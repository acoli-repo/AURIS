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<sst xmlns="http://schemas.openxmlformats.org/spreadsheetml/2006/main" count="6370" uniqueCount="1647">
  <si>
    <t>ID</t>
  </si>
  <si>
    <t>PRED_ID</t>
  </si>
  <si>
    <t>MARKER_AUTO</t>
  </si>
  <si>
    <t>PREDICATE</t>
  </si>
  <si>
    <t>TEXT</t>
  </si>
  <si>
    <t>SENTENCE</t>
  </si>
  <si>
    <t>MARKER</t>
  </si>
  <si>
    <t>TARGET</t>
  </si>
  <si>
    <t>RELATION</t>
  </si>
  <si>
    <t>COMMENT</t>
  </si>
  <si>
    <t>2</t>
  </si>
  <si>
    <t>9</t>
  </si>
  <si>
    <t>_</t>
  </si>
  <si>
    <t>übertragen</t>
  </si>
  <si>
    <t>Sie wird über die Stiche von infizierten Moskitos übertragen und ist wahrscheinlich unsere älteste Plage .</t>
  </si>
  <si>
    <t>file://conllu/de/teddy-1293.conllu#s2_0</t>
  </si>
  <si>
    <t>3</t>
  </si>
  <si>
    <t>5</t>
  </si>
  <si>
    <t>haben</t>
  </si>
  <si>
    <t>Möglicherweise haben wir Malaria gehabt , seitdem wir uns von den Affen entwickelt haben , Und bis zum zu dem heutigen Tage gibt Malaria unserer Spezies schwer zu schaffen .</t>
  </si>
  <si>
    <t>file://conllu/de/teddy-1293.conllu#s3_0</t>
  </si>
  <si>
    <t>4</t>
  </si>
  <si>
    <t>Wir haben 300 Millionen Fälle pro Jahr und über eine halbe Million Todesfälle .</t>
  </si>
  <si>
    <t>file://conllu/de/teddy-1293.conllu#s4_0</t>
  </si>
  <si>
    <t>ergeben</t>
  </si>
  <si>
    <t>Nun ergibt das eigentlich gar keinen Sinn .</t>
  </si>
  <si>
    <t>file://conllu/de/teddy-1293.conllu#s5_0</t>
  </si>
  <si>
    <t>6</t>
  </si>
  <si>
    <t>wissen</t>
  </si>
  <si>
    <t>Wir wissen seit dem 16 . Jahrhundert , wie man Malaria heilt .</t>
  </si>
  <si>
    <t>file://conllu/de/teddy-1293.conllu#s6_0</t>
  </si>
  <si>
    <t>7</t>
  </si>
  <si>
    <t>Was?</t>
  </si>
  <si>
    <t>entdecken</t>
  </si>
  <si>
    <t>Damals entdeckten die jesuitischen Missionare in Peru die Chinarinde und in dieser Rinde war Chinin enthalten , was bis heute ein wirksames Heilmittel für Malaria ist .</t>
  </si>
  <si>
    <t>file://conllu/de/teddy-1293.conllu#s7_0</t>
  </si>
  <si>
    <t>8</t>
  </si>
  <si>
    <t>Demnach wissen wir seit Jahrhunderten , Wir wissen seit 1897 , wie man Malaria vorbeugt .</t>
  </si>
  <si>
    <t>file://conllu/de/teddy-1293.conllu#s8_0</t>
  </si>
  <si>
    <t>Da entdeckte nämlich der Chirurg der Britischen Armee , Ronald Ross , dass Moskitos Malaria übertragen , und nicht schlechte Luft oder Miasmen , wie zuvor gedacht wurde .</t>
  </si>
  <si>
    <t>file://conllu/de/teddy-1293.conllu#s9_0</t>
  </si>
  <si>
    <t>10</t>
  </si>
  <si>
    <t>lösen</t>
  </si>
  <si>
    <t>Also sollte man das Problem der Malaria relativ simpel lösen können , und trotzdem werden auch heute Hunderte von Leuten an einem Moskitostich sterben .</t>
  </si>
  <si>
    <t>file://conllu/de/teddy-1293.conllu#s10_0</t>
  </si>
  <si>
    <t>11</t>
  </si>
  <si>
    <t>1</t>
  </si>
  <si>
    <t>Warum?</t>
  </si>
  <si>
    <t>warum</t>
  </si>
  <si>
    <t>Warum ist das so ?</t>
  </si>
  <si>
    <t>file://conllu/de/teddy-1293.conllu#s11_0</t>
  </si>
  <si>
    <t>12</t>
  </si>
  <si>
    <t>sein (sein Frage)</t>
  </si>
  <si>
    <t>Das ist eine Frage , die mich persönlich lange eingenommen hat .</t>
  </si>
  <si>
    <t>file://conllu/de/teddy-1293.conllu#s12_0</t>
  </si>
  <si>
    <t>13</t>
  </si>
  <si>
    <t>aufwachsen</t>
  </si>
  <si>
    <t>Ich bin als Tochter von indischen Immigranten aufgewachsen und habe jeden Sommer meine Cousins in Indien besucht .</t>
  </si>
  <si>
    <t>file://conllu/de/teddy-1293.conllu#s13_0</t>
  </si>
  <si>
    <t>14</t>
  </si>
  <si>
    <t>21</t>
  </si>
  <si>
    <t>schlafen</t>
  </si>
  <si>
    <t>Da ich nicht gegen die einheimische Malaria immun war , musste ich jede Nacht unter einem heißen , schwitzigen Moskitonetz schlafen , während meine Cousins draußen auf der Terrasse schlafen durften ein kühles , angenehmes Lüftchen über sie wehen hatten .</t>
  </si>
  <si>
    <t>file://conllu/de/teddy-1293.conllu#s14_0</t>
  </si>
  <si>
    <t>15</t>
  </si>
  <si>
    <t>gehasst</t>
  </si>
  <si>
    <t>Ich habe die Moskitos dafür wirklich gehasst .</t>
  </si>
  <si>
    <t>file://conllu/de/teddy-1293.conllu#s15_0</t>
  </si>
  <si>
    <t>16</t>
  </si>
  <si>
    <t>kommen</t>
  </si>
  <si>
    <t>Aber ich komme auch aus einer jainistischen Familie , und Jainismus ist eine Religion , die mit einer sehr extremen Form der Gewaltlosigkeit verbunden ist .</t>
  </si>
  <si>
    <t>file://conllu/de/teddy-1293.conllu#s16_0</t>
  </si>
  <si>
    <t>17</t>
  </si>
  <si>
    <t>essen</t>
  </si>
  <si>
    <t>Also sollen Jainisten kein Fleisch essen .</t>
  </si>
  <si>
    <t>file://conllu/de/teddy-1293.conllu#s17_0</t>
  </si>
  <si>
    <t>18</t>
  </si>
  <si>
    <t>laufen</t>
  </si>
  <si>
    <t>Wir sollen nicht auf Gras laufen , weil man , na ja , dabei unabsichtlich einige Insekten umbringen könnte .</t>
  </si>
  <si>
    <t>file://conllu/de/teddy-1293.conllu#s18_0</t>
  </si>
  <si>
    <t>19</t>
  </si>
  <si>
    <t>zerklatschen</t>
  </si>
  <si>
    <t>Wir sollen auf keinen Fall Moskitos zerklatschen .</t>
  </si>
  <si>
    <t>file://conllu/de/teddy-1293.conllu#s19_0</t>
  </si>
  <si>
    <t>20</t>
  </si>
  <si>
    <t>sein (sein offensichtlich)</t>
  </si>
  <si>
    <t>Also war mir die furchterregende Macht dieses kleinen Insekts schon frühzeitig offensichtlich und es ist ein Grund , warum ich 5 Jahre als Journalistin damit verbracht habe , zu verstehen , warum Malaria so lange so eine schlimme Plage für uns alle gewesen ist .</t>
  </si>
  <si>
    <t>file://conllu/de/teddy-1293.conllu#s20_0</t>
  </si>
  <si>
    <t>glauben</t>
  </si>
  <si>
    <t>Und ich glaube , es gibt 3 Hauptgründe dafür .</t>
  </si>
  <si>
    <t>file://conllu/de/teddy-1293.conllu#s21_0</t>
  </si>
  <si>
    <t>22</t>
  </si>
  <si>
    <t>summieren</t>
  </si>
  <si>
    <t>Diese 3 Gründe summieren sich zu einem vierten Grund , der wahrscheinlich der wichtigste Grund von allen ist .</t>
  </si>
  <si>
    <t>file://conllu/de/teddy-1293.conllu#s22_0</t>
  </si>
  <si>
    <t>23</t>
  </si>
  <si>
    <t>sein (sein wissenschaftlich)</t>
  </si>
  <si>
    <t>Der erste Grund ist ein wissenschaftlicher .</t>
  </si>
  <si>
    <t>file://conllu/de/teddy-1293.conllu#s23_0</t>
  </si>
  <si>
    <t>24</t>
  </si>
  <si>
    <t>sein (sein ein)</t>
  </si>
  <si>
    <t>Dieser kleine Parasit , der Malaria verursacht , ist wahrscheinlich einer der komplexesten und trickreichsten Erreger , die wir kennen .</t>
  </si>
  <si>
    <t>file://conllu/de/teddy-1293.conllu#s24_0</t>
  </si>
  <si>
    <t>25</t>
  </si>
  <si>
    <t>verbringen</t>
  </si>
  <si>
    <t>Er verbringt sein halbes Leben in einem kaltblütigen Moskito und die andere Hälfte in einem warmblütigen Menschen .</t>
  </si>
  <si>
    <t>file://conllu/de/teddy-1293.conllu#s25_0</t>
  </si>
  <si>
    <t>26</t>
  </si>
  <si>
    <t>sein (sein verschieden)</t>
  </si>
  <si>
    <t>Diese zwei Umgebungen sind komplett verschieden , und zudem sind sie beide durchweg feindselig .</t>
  </si>
  <si>
    <t>file://conllu/de/teddy-1293.conllu#s26_0</t>
  </si>
  <si>
    <t>27</t>
  </si>
  <si>
    <t>versuchen (versuchen versuchen)</t>
  </si>
  <si>
    <t>Also versucht das Insekt dauernd , den Parasiten abzuwehren , und genauso versucht ihn der menschliche Körper dauernd abzuwehren .</t>
  </si>
  <si>
    <t>file://conllu/de/teddy-1293.conllu#s27_0</t>
  </si>
  <si>
    <t>28</t>
  </si>
  <si>
    <t>überleben</t>
  </si>
  <si>
    <t>Dieses kleine Wesen überlebt so eine Belagerung , und es überlebt sie nicht nur , sondern er gedeiht sogar prächtig .</t>
  </si>
  <si>
    <t>file://conllu/de/teddy-1293.conllu#s28_0</t>
  </si>
  <si>
    <t>29</t>
  </si>
  <si>
    <t>ausbreiten</t>
  </si>
  <si>
    <t>Es hat sich ausgebreitet .</t>
  </si>
  <si>
    <t>file://conllu/de/teddy-1293.conllu#s29_0</t>
  </si>
  <si>
    <t>30</t>
  </si>
  <si>
    <t>Es hat ungeahnte Möglichkeiten , einen Angriff zu überleben .</t>
  </si>
  <si>
    <t>file://conllu/de/teddy-1293.conllu#s30_0</t>
  </si>
  <si>
    <t>31</t>
  </si>
  <si>
    <t>sein</t>
  </si>
  <si>
    <t>Es ist zum zu dem einen ein Gestaltwandler .</t>
  </si>
  <si>
    <t>file://conllu/de/teddy-1293.conllu#s31_0</t>
  </si>
  <si>
    <t>32</t>
  </si>
  <si>
    <t>verwandeln</t>
  </si>
  <si>
    <t>Genauso wie eine Raupe sich in einen Schmetterling verwandelt , verwandelt sich der Malariaparasit sieben Mal in seinem Lebenszyklus .</t>
  </si>
  <si>
    <t>file://conllu/de/teddy-1293.conllu#s32_0</t>
  </si>
  <si>
    <t>33</t>
  </si>
  <si>
    <t>sehen</t>
  </si>
  <si>
    <t>Und jedes dieser Lebensstadien sieht nicht nur komplett anders aus , sondern hat auch eine komplett unterschiedliche Physiologie .</t>
  </si>
  <si>
    <t>file://conllu/de/teddy-1293.conllu#s33_0</t>
  </si>
  <si>
    <t>34</t>
  </si>
  <si>
    <t>denken (denken sagen)</t>
  </si>
  <si>
    <t>Sagen wir mal , Sie denken sich ein tolles Medikament aus , welches gegen ein Lebensstadium des Parasiten funktioniert .</t>
  </si>
  <si>
    <t>file://conllu/de/teddy-1293.conllu#s34_0</t>
  </si>
  <si>
    <t>35</t>
  </si>
  <si>
    <t>wirken</t>
  </si>
  <si>
    <t>Möglicherweise würde es aber in keinster Weise in den anderen Stadien wirken .</t>
  </si>
  <si>
    <t>file://conllu/de/teddy-1293.conllu#s35_0</t>
  </si>
  <si>
    <t>36</t>
  </si>
  <si>
    <t>verstecken</t>
  </si>
  <si>
    <t>Er kann sich unentdeckt in unserem Körper verstecken , ohne dass wir es wissen , tagelang , wochenlang , monatelang , jahrelang , und in manchen Fällen sogar jahrzehntelang .</t>
  </si>
  <si>
    <t>file://conllu/de/teddy-1293.conllu#s36_0</t>
  </si>
  <si>
    <t>37</t>
  </si>
  <si>
    <t>sein (sein Herausforderung)</t>
  </si>
  <si>
    <t>Also ist dieser Parasit eine riesige wissenschaftliche Herausforderung , aber genauso der Moskito , der den Parasiten überträgt .</t>
  </si>
  <si>
    <t>file://conllu/de/teddy-1293.conllu#s37_0</t>
  </si>
  <si>
    <t>38</t>
  </si>
  <si>
    <t>Nur ungefähr 12 Moskitoarten übertragen größtenteils die Malaria dieser Welt und wir wissen einiges über die Wasserlebensräume , auf die sie spezialisiert sind .</t>
  </si>
  <si>
    <t>file://conllu/de/teddy-1293.conllu#s38_0</t>
  </si>
  <si>
    <t>39</t>
  </si>
  <si>
    <t>denken</t>
  </si>
  <si>
    <t>Sie denken wahrscheinlich , also warum meiden wir nicht einfach die Orte , an denen diese Killermoskitos leben ?</t>
  </si>
  <si>
    <t>file://conllu/de/teddy-1293.conllu#s39_0</t>
  </si>
  <si>
    <t>40</t>
  </si>
  <si>
    <t>meiden</t>
  </si>
  <si>
    <t>Wir könnten die Orte meiden , an denen Killergrizzlybären leben , und die Orte , an denen Killerkrokodile leben .</t>
  </si>
  <si>
    <t>file://conllu/de/teddy-1293.conllu#s40_0</t>
  </si>
  <si>
    <t>41</t>
  </si>
  <si>
    <t>sagen</t>
  </si>
  <si>
    <t>Aber sagen wir mal , dass Sie in den Tropen wohnen und Sie laufen eines Tages außerhalb Ihrer Hütte und lassen ein paar Fußabdrücke in der weichen Erde um Ihr Heim .</t>
  </si>
  <si>
    <t>file://conllu/de/teddy-1293.conllu#s41_0</t>
  </si>
  <si>
    <t>42</t>
  </si>
  <si>
    <t>Oder sagen wir , dass Ihre Kuh das tut , oder Ihr Schwein , und dann regnet es und Ihr Fußabdruck füllt sich mit ein bisschen Wasser .</t>
  </si>
  <si>
    <t>file://conllu/de/teddy-1293.conllu#s42_0</t>
  </si>
  <si>
    <t>43</t>
  </si>
  <si>
    <t>Dann haben wir's .</t>
  </si>
  <si>
    <t>file://conllu/de/teddy-1293.conllu#s43_0</t>
  </si>
  <si>
    <t>44</t>
  </si>
  <si>
    <t>schaffen</t>
  </si>
  <si>
    <t>Sie haben den perfekten Lebensraum für Malariamoskitos direkt vor Ihrer Haustüre geschaffen .</t>
  </si>
  <si>
    <t>file://conllu/de/teddy-1293.conllu#s44_0</t>
  </si>
  <si>
    <t>45</t>
  </si>
  <si>
    <t>sein (sein einfach)</t>
  </si>
  <si>
    <t>Demnach ist es für uns nicht so einfach , diesen Insekten zu entkommen .</t>
  </si>
  <si>
    <t>file://conllu/de/teddy-1293.conllu#s45_0</t>
  </si>
  <si>
    <t>46</t>
  </si>
  <si>
    <t>Wir schaffen sozusagen Orte , die sie lieben , indem wir einfach unser Leben leben .</t>
  </si>
  <si>
    <t>file://conllu/de/teddy-1293.conllu#s46_0</t>
  </si>
  <si>
    <t>47</t>
  </si>
  <si>
    <t>Herausforderung</t>
  </si>
  <si>
    <t>Eine riesige wissenschaftliche Herausforderung , aber auch eine riesige wirtschaftliche .</t>
  </si>
  <si>
    <t>file://conllu/de/teddy-1293.conllu#s47_0</t>
  </si>
  <si>
    <t>48</t>
  </si>
  <si>
    <t>Malaria kommt an einigen der ärmsten und abgelegensten Orte der Welt vor , und es gibt einen Grund dafür .</t>
  </si>
  <si>
    <t>file://conllu/de/teddy-1293.conllu#s48_0</t>
  </si>
  <si>
    <t>49</t>
  </si>
  <si>
    <t>Wenn man arm ist , ist es wahrscheinlicher , dass man Malaria bekommt .</t>
  </si>
  <si>
    <t>file://conllu/de/teddy-1293.conllu#s49_0</t>
  </si>
  <si>
    <t>50</t>
  </si>
  <si>
    <t>wohnen</t>
  </si>
  <si>
    <t>dass man in einer einfachen Unterkunft wohnt in einem Randgebiet , mit einem schlechten Abwassersystem .</t>
  </si>
  <si>
    <t>file://conllu/de/teddy-1293.conllu#s50_0</t>
  </si>
  <si>
    <t>51</t>
  </si>
  <si>
    <t>sein (sein Ort)</t>
  </si>
  <si>
    <t>Das sind die Orte , an denen Moskitos sich fortpflanzen .</t>
  </si>
  <si>
    <t>file://conllu/de/teddy-1293.conllu#s51_0</t>
  </si>
  <si>
    <t>52</t>
  </si>
  <si>
    <t>sein (sein unwahrscheinlich)</t>
  </si>
  <si>
    <t>Es ist unwahrscheinlicher , dass man Mückengitter an Türen und Fenstern hat .</t>
  </si>
  <si>
    <t>file://conllu/de/teddy-1293.conllu#s52_0</t>
  </si>
  <si>
    <t>53</t>
  </si>
  <si>
    <t>Oder dass man Strom hat , der so viele Innenaktivitäten möglich macht .</t>
  </si>
  <si>
    <t>file://conllu/de/teddy-1293.conllu#s53_0</t>
  </si>
  <si>
    <t>54</t>
  </si>
  <si>
    <t>sein (sein draußen)</t>
  </si>
  <si>
    <t>Somit ist man mehr draußen .</t>
  </si>
  <si>
    <t>file://conllu/de/teddy-1293.conllu#s54_0</t>
  </si>
  <si>
    <t>55</t>
  </si>
  <si>
    <t>stochen</t>
  </si>
  <si>
    <t>Man wird öfters von Moskitos gestochen .</t>
  </si>
  <si>
    <t>file://conllu/de/teddy-1293.conllu#s55_0</t>
  </si>
  <si>
    <t>56</t>
  </si>
  <si>
    <t>verursachen</t>
  </si>
  <si>
    <t>Demnach verursacht Armut Malaria , aber wir wissen heute auch , dass Malaria selbst Armut verursacht .</t>
  </si>
  <si>
    <t>file://conllu/de/teddy-1293.conllu#s56_0</t>
  </si>
  <si>
    <t>58</t>
  </si>
  <si>
    <t>machen</t>
  </si>
  <si>
    <t>Aber sie macht Leute auch empfänglicher für andere Todesursachen .</t>
  </si>
  <si>
    <t>file://conllu/de/teddy-1293.conllu#s58_0</t>
  </si>
  <si>
    <t>59</t>
  </si>
  <si>
    <t>sein (sein passieren)</t>
  </si>
  <si>
    <t>Folgendes ist passiert .</t>
  </si>
  <si>
    <t>file://conllu/de/teddy-1293.conllu#s59_0</t>
  </si>
  <si>
    <t>60</t>
  </si>
  <si>
    <t>Wir haben es geschafft , Malaria aus einer Gesellschaft zu entfernen .</t>
  </si>
  <si>
    <t>file://conllu/de/teddy-1293.conllu#s60_0</t>
  </si>
  <si>
    <t>61</t>
  </si>
  <si>
    <t>bleiben</t>
  </si>
  <si>
    <t>Alles andere bleibt gleich , schlechtes Essen , schlechtes Wasser , schlechte sanitäre Anlagen , alles , was Leute krank macht .</t>
  </si>
  <si>
    <t>file://conllu/de/teddy-1293.conllu#s61_0</t>
  </si>
  <si>
    <t>62</t>
  </si>
  <si>
    <t>Durch?</t>
  </si>
  <si>
    <t>nehmen</t>
  </si>
  <si>
    <t>Aber wenn man davon nur Malaria rausnimmt , nehmen Todesfälle durch alle anderen Gründe ab .</t>
  </si>
  <si>
    <t>file://conllu/de/teddy-1293.conllu#s62_0</t>
  </si>
  <si>
    <t>63</t>
  </si>
  <si>
    <t>ausdrücken</t>
  </si>
  <si>
    <t>Der Ökonom Jeff Sachs hat sogar in Zahlen ausgedrückt , was das für eine Gesellschaft bedeutet .</t>
  </si>
  <si>
    <t>file://conllu/de/teddy-1293.conllu#s63_0</t>
  </si>
  <si>
    <t>64</t>
  </si>
  <si>
    <t>Nämlich : Wenn man Malaria in seiner Gesellschaft hat , dann flaut das Wirtschaftswachstum um 1,3 Prozent jedes Jahr ab , das Jahr um Jahr , nur wegen dieser einen Krankheit .</t>
  </si>
  <si>
    <t>file://conllu/de/teddy-1293.conllu#s64_0</t>
  </si>
  <si>
    <t>65</t>
  </si>
  <si>
    <t>stellen</t>
  </si>
  <si>
    <t>Das stellt also eine große wirtschaftliche Herausforderung dar , denn nehmen wir an , dass Sie tatsächlich Ihre tolle Arznei entdecken , oder Ihren tollen Impfstoff – wie bringen Sie diese an einen Ort ohne Straßen , ohne Infrastruktur , wo es keinen Strom gibt , um Dinge zu kühlen , wo es keine Kliniken gibt , wo es keine Krankenhausärzte gibt , die diese Dinge dorthin bringen , wo sie gebraucht werden ?</t>
  </si>
  <si>
    <t>file://conllu/de/teddy-1293.conllu#s65_0</t>
  </si>
  <si>
    <t>66</t>
  </si>
  <si>
    <t>bestehen</t>
  </si>
  <si>
    <t>Demnach besteht eine große wirtschaftliche Herausforderung darin , Malaria zu bändigen .</t>
  </si>
  <si>
    <t>file://conllu/de/teddy-1293.conllu#s66_0</t>
  </si>
  <si>
    <t>67</t>
  </si>
  <si>
    <t>Aber mit der wissenschaftlichen und der wirtschaftlichen Herausforderung kommt auch eine kulturelle Herausforderung , und dies ist wahrscheinlich der Teil der Malaria , über den Leute nicht gerne sprechen .</t>
  </si>
  <si>
    <t>file://conllu/de/teddy-1293.conllu#s67_0</t>
  </si>
  <si>
    <t>68</t>
  </si>
  <si>
    <t>sein (sein paradox)</t>
  </si>
  <si>
    <t>Und es ist paradox , dass die Leute , die am an dem häufigsten Malaria auf dieser Welt kriegen , dazu neigen , sich darum am an dem wenigsten zu sorgen .</t>
  </si>
  <si>
    <t>file://conllu/de/teddy-1293.conllu#s68_0</t>
  </si>
  <si>
    <t>69</t>
  </si>
  <si>
    <t>herausgefunden</t>
  </si>
  <si>
    <t>Das haben medizinische Anthropologen immer wieder herausgefunden .</t>
  </si>
  <si>
    <t>file://conllu/de/teddy-1293.conllu#s69_0</t>
  </si>
  <si>
    <t>70</t>
  </si>
  <si>
    <t>denken (denken fragen)</t>
  </si>
  <si>
    <t>Sie fragen Leute in malariainfizierten Gebieten : &amp;quot; Was denken Sie über Malaria ? &amp;quot;</t>
  </si>
  <si>
    <t>file://conllu/de/teddy-1293.conllu#s70_0</t>
  </si>
  <si>
    <t>71</t>
  </si>
  <si>
    <t>sein (sein Krankheit)</t>
  </si>
  <si>
    <t>Und anstelle : &amp;quot; Es ist eine tödliche Krankheit .</t>
  </si>
  <si>
    <t>file://conllu/de/teddy-1293.conllu#s71_0</t>
  </si>
  <si>
    <t>72</t>
  </si>
  <si>
    <t>Wir haben davor Angst . &amp;quot;</t>
  </si>
  <si>
    <t>file://conllu/de/teddy-1293.conllu#s72_0</t>
  </si>
  <si>
    <t>73</t>
  </si>
  <si>
    <t>sagen sie : &amp;quot; Malaria ist ein alltägliches Problem im in dem Leben . &amp;quot;</t>
  </si>
  <si>
    <t>file://conllu/de/teddy-1293.conllu#s73_0</t>
  </si>
  <si>
    <t>74</t>
  </si>
  <si>
    <t>sein (sein Erfahrung)</t>
  </si>
  <si>
    <t>Und so war auf jeden Fall auch meine persönliche Erfahrung .</t>
  </si>
  <si>
    <t>file://conllu/de/teddy-1293.conllu#s74_0</t>
  </si>
  <si>
    <t>75</t>
  </si>
  <si>
    <t>angeschauen</t>
  </si>
  <si>
    <t>Als ich meinen Verwandten in Indien erzählt habe , dass ich ein Buch über Malaria schreibe , haben sie mich so angeschaut , als ob ich erzählt hätte , dass ich ein Buch über Warzen schriebe .</t>
  </si>
  <si>
    <t>file://conllu/de/teddy-1293.conllu#s75_0</t>
  </si>
  <si>
    <t>76</t>
  </si>
  <si>
    <t>schreiben</t>
  </si>
  <si>
    <t>In etwa , warum würde man über etwas so Langweiliges , so Alltägliches schreiben ?</t>
  </si>
  <si>
    <t>file://conllu/de/teddy-1293.conllu#s76_0</t>
  </si>
  <si>
    <t>77</t>
  </si>
  <si>
    <t>sein (sein schlicht)</t>
  </si>
  <si>
    <t>Und es ist schlicht und einfach Risikowahrnehmung .</t>
  </si>
  <si>
    <t>file://conllu/de/teddy-1293.conllu#s77_0</t>
  </si>
  <si>
    <t>78</t>
  </si>
  <si>
    <t>befallen</t>
  </si>
  <si>
    <t>Ein Kind in Malawi , zum zu dem Beispiel , könnte 12 Mal von Malaria befallen werden , bevor es das Alter von zwei erreicht hat , aber wenn es überlebt , wird es weiterhin Malaria in seinem Leben bekommen , aber es wird viel unwahrscheinlicher , dass es daran stirbt .</t>
  </si>
  <si>
    <t>file://conllu/de/teddy-1293.conllu#s78_0</t>
  </si>
  <si>
    <t>79</t>
  </si>
  <si>
    <t>sein (sein etwas)</t>
  </si>
  <si>
    <t>Und seiner Lebenserfahrung nach ist Malaria also etwas , das kommt und geht .</t>
  </si>
  <si>
    <t>file://conllu/de/teddy-1293.conllu#s79_0</t>
  </si>
  <si>
    <t>80</t>
  </si>
  <si>
    <t>stimmen</t>
  </si>
  <si>
    <t>Und das stimmt sogar für den Großteil der Malaria dieser Welt .</t>
  </si>
  <si>
    <t>file://conllu/de/teddy-1293.conllu#s80_0</t>
  </si>
  <si>
    <t>81</t>
  </si>
  <si>
    <t>Der Großteil der Malaria dieser Welt kommt und geht von selbst .</t>
  </si>
  <si>
    <t>file://conllu/de/teddy-1293.conllu#s81_0</t>
  </si>
  <si>
    <t>82</t>
  </si>
  <si>
    <t>geben</t>
  </si>
  <si>
    <t>Es ist nur so , dass es so viel Malaria gibt , dass dieser kleine Anteil der Fälle , der im in dem Tod endet , sich zu einer großen , riesigen Zahl summiert .</t>
  </si>
  <si>
    <t>file://conllu/de/teddy-1293.conllu#s82_0</t>
  </si>
  <si>
    <t>83</t>
  </si>
  <si>
    <t>Leute in Malariagebieten denken wohl so über Malaria wie wir in den gemäßigten Breiten über Erkältung und Grippe .</t>
  </si>
  <si>
    <t>file://conllu/de/teddy-1293.conllu#s83_0</t>
  </si>
  <si>
    <t>84</t>
  </si>
  <si>
    <t>sein (sein Last)</t>
  </si>
  <si>
    <t>Erkältung und Grippe sind eine große Last für unsere Gesellschaften und unser Leben , aber wir treffen nicht einmal die einfachsten Vorkehrungen gegen sie , weil wir es für normal halten , in der kalten Jahreszeit an einer Erkältung oder Grippe zu erkranken .</t>
  </si>
  <si>
    <t>file://conllu/de/teddy-1293.conllu#s84_0</t>
  </si>
  <si>
    <t>85</t>
  </si>
  <si>
    <t>Demnach ist das Bändigen von Malaria eine große kulturelle Herausforderung , denn wenn Leute denken , dass Malaria normal ist , wie bekommt man sie dazu , zum zu dem Arzt zu gehen , diagnostiziert zu werden , ihr Rezept zu holen und einzulösen , die Arznei zu sich zu nehmen , die Abwehrmittel aufzutragen , ihre Moskitonetze zu benutzen .</t>
  </si>
  <si>
    <t>file://conllu/de/teddy-1293.conllu#s85_0</t>
  </si>
  <si>
    <t>87</t>
  </si>
  <si>
    <t>fassen</t>
  </si>
  <si>
    <t>Also fassen wir das mal zusammen .</t>
  </si>
  <si>
    <t>file://conllu/de/teddy-1293.conllu#s87_0</t>
  </si>
  <si>
    <t>88</t>
  </si>
  <si>
    <t>Wir haben eine Krankheit .</t>
  </si>
  <si>
    <t>file://conllu/de/teddy-1293.conllu#s88_0</t>
  </si>
  <si>
    <t>89</t>
  </si>
  <si>
    <t>Sie ist wissenschaftlich komplex , eine wirtschaftliche Herausforderung , und die größten potentiellen Nutznießer interessieren sich am an dem wenigsten für sie .</t>
  </si>
  <si>
    <t>file://conllu/de/teddy-1293.conllu#s89_0</t>
  </si>
  <si>
    <t>90</t>
  </si>
  <si>
    <t>Und das summiert sich zum zu dem größten Problem überhaupt , was , natürlich , das politische Problem ist .</t>
  </si>
  <si>
    <t>file://conllu/de/teddy-1293.conllu#s90_0</t>
  </si>
  <si>
    <t>91</t>
  </si>
  <si>
    <t>überzeugen</t>
  </si>
  <si>
    <t>Wie überzeugt man politische Führer , etwas gegen so ein Problem zu tun ?</t>
  </si>
  <si>
    <t>file://conllu/de/teddy-1293.conllu#s91_0</t>
  </si>
  <si>
    <t>92</t>
  </si>
  <si>
    <t>Geschichtlich gesehen kann man es nicht .</t>
  </si>
  <si>
    <t>file://conllu/de/teddy-1293.conllu#s92_0</t>
  </si>
  <si>
    <t>93</t>
  </si>
  <si>
    <t>leben</t>
  </si>
  <si>
    <t>Die meisten Malaria Gesellschaften haben die Geschichte hindurch einfach mit der Krankheit gelebt .</t>
  </si>
  <si>
    <t>file://conllu/de/teddy-1293.conllu#s93_0</t>
  </si>
  <si>
    <t>94</t>
  </si>
  <si>
    <t>Demnach kamen die Hauptangriffe gegen Malaria von außerhalb der Malaria Gesellschaften , von Leuten , die nicht durch diese eher lähmende Politik eingeengt werden .</t>
  </si>
  <si>
    <t>file://conllu/de/teddy-1293.conllu#s94_0</t>
  </si>
  <si>
    <t>95</t>
  </si>
  <si>
    <t>führen</t>
  </si>
  <si>
    <t>Aber das führt zu einer Reihe neuartiger Schwierigkeiten .</t>
  </si>
  <si>
    <t>file://conllu/de/teddy-1293.conllu#s95_0</t>
  </si>
  <si>
    <t>96</t>
  </si>
  <si>
    <t>beginnen</t>
  </si>
  <si>
    <t>Der erste gezielte Angriff gegen Malaria begann in den 50er Jahren .</t>
  </si>
  <si>
    <t>file://conllu/de/teddy-1293.conllu#s96_0</t>
  </si>
  <si>
    <t>97</t>
  </si>
  <si>
    <t>sein (sein Geistesprodukt)</t>
  </si>
  <si>
    <t>Es war das Geistesprodukt des U.S. -Außenministeriums .</t>
  </si>
  <si>
    <t>file://conllu/de/teddy-1293.conllu#s97_0</t>
  </si>
  <si>
    <t>98</t>
  </si>
  <si>
    <t>verstehen</t>
  </si>
  <si>
    <t>Und diese Bemühungen verstanden die wirtschaftliche Herausforderung sehr gut .</t>
  </si>
  <si>
    <t>file://conllu/de/teddy-1293.conllu#s98_0</t>
  </si>
  <si>
    <t>99</t>
  </si>
  <si>
    <t>Sie wussten , dass sie sich auf billige , leicht handhabbare Mittel spezialisieren mussten und spezialisierten sich auf DDT .</t>
  </si>
  <si>
    <t>file://conllu/de/teddy-1293.conllu#s99_0</t>
  </si>
  <si>
    <t>100</t>
  </si>
  <si>
    <t>Sie verstanden die kulturelle Herausforderung .</t>
  </si>
  <si>
    <t>file://conllu/de/teddy-1293.conllu#s100_0</t>
  </si>
  <si>
    <t>101</t>
  </si>
  <si>
    <t>Ansicht</t>
  </si>
  <si>
    <t>Sie hatten sogar die eher bevormundende Ansicht , dass die Leute mit Malariarisiko gar nicht erst gefragt werden sollten .</t>
  </si>
  <si>
    <t>file://conllu/de/teddy-1293.conllu#s101_0</t>
  </si>
  <si>
    <t>102</t>
  </si>
  <si>
    <t>antun</t>
  </si>
  <si>
    <t>Alles sollte ihnen angetan und für sie getan werden .</t>
  </si>
  <si>
    <t>file://conllu/de/teddy-1293.conllu#s102_0</t>
  </si>
  <si>
    <t>103</t>
  </si>
  <si>
    <t>unterschätzen</t>
  </si>
  <si>
    <t>Aber sie unterschätzten die wissenschaftliche Herausforderung um einiges .</t>
  </si>
  <si>
    <t>file://conllu/de/teddy-1293.conllu#s103_0</t>
  </si>
  <si>
    <t>104</t>
  </si>
  <si>
    <t>Sie hatten so viel Vertrauen in ihre Instrumente , dass sie mit der Malariaforschung aufhörten .</t>
  </si>
  <si>
    <t>file://conllu/de/teddy-1293.conllu#s104_0</t>
  </si>
  <si>
    <t>105</t>
  </si>
  <si>
    <t>Und als diese Instrumente anfingen zu versagen und die öffentliche Meinung anfing , sich gegen diese Instrumente zu wehren , hatten sie keine wissenschaftliche Kompetenzen , um herauszufinden , was zu machen sei .</t>
  </si>
  <si>
    <t>file://conllu/de/teddy-1293.conllu#s105_0</t>
  </si>
  <si>
    <t>106</t>
  </si>
  <si>
    <t>brechen</t>
  </si>
  <si>
    <t>Die Kampagne brach zusammen , Malaria kam zurück , aber dieses Mal war sie schlimmer als je zuvor , weil sie an den entlegensten Orten eingezäunt wurde in den am an dem schwierigsten kontrollierbaren Formen .</t>
  </si>
  <si>
    <t>file://conllu/de/teddy-1293.conllu#s106_0</t>
  </si>
  <si>
    <t>107</t>
  </si>
  <si>
    <t>nennen</t>
  </si>
  <si>
    <t>Ein WHO Funktionär jener Zeit nannte diese Kampagne sogar &amp;quot; einen der größten Fehler aller Zeiten in der öffentlichen Gesundheit . &amp;quot;</t>
  </si>
  <si>
    <t>file://conllu/de/teddy-1293.conllu#s107_0</t>
  </si>
  <si>
    <t>108</t>
  </si>
  <si>
    <t>angefangen</t>
  </si>
  <si>
    <t>Der letzte Versuch , Malaria zu bändigen , wurde in den späten 90ern angefangen .</t>
  </si>
  <si>
    <t>file://conllu/de/teddy-1293.conllu#s108_0</t>
  </si>
  <si>
    <t>109</t>
  </si>
  <si>
    <t>dirigieren</t>
  </si>
  <si>
    <t>Er wird auf ähnliche Weise von außerhalb der Malariagebiete dirigiert und finanziert .</t>
  </si>
  <si>
    <t>file://conllu/de/teddy-1293.conllu#s109_0</t>
  </si>
  <si>
    <t>110</t>
  </si>
  <si>
    <t>Dieser Versuch versteht die wissenschaftliche Herausforderung gut .</t>
  </si>
  <si>
    <t>file://conllu/de/teddy-1293.conllu#s110_0</t>
  </si>
  <si>
    <t>111</t>
  </si>
  <si>
    <t>betreiben</t>
  </si>
  <si>
    <t>Diese Leute betreiben jede Menge Malariaforschung und sie verstehen auch die wirtschaftliche Herausforderung .</t>
  </si>
  <si>
    <t>file://conllu/de/teddy-1293.conllu#s111_0</t>
  </si>
  <si>
    <t>112</t>
  </si>
  <si>
    <t>spezialisieren</t>
  </si>
  <si>
    <t>Sie spezialisieren sich auf sehr billige , leicht handhabbare Instrumente .</t>
  </si>
  <si>
    <t>file://conllu/de/teddy-1293.conllu#s112_0</t>
  </si>
  <si>
    <t>113</t>
  </si>
  <si>
    <t>Aber hier denke ich , das Problem ist die kulturelle Herausforderung .</t>
  </si>
  <si>
    <t>file://conllu/de/teddy-1293.conllu#s113_0</t>
  </si>
  <si>
    <t>114</t>
  </si>
  <si>
    <t>sein (sein Moskitonetz)</t>
  </si>
  <si>
    <t>Das Herzstück des jetzigen Versuchs ist das Moskitonetz .</t>
  </si>
  <si>
    <t>file://conllu/de/teddy-1293.conllu#s114_0</t>
  </si>
  <si>
    <t>115</t>
  </si>
  <si>
    <t>behandeln</t>
  </si>
  <si>
    <t>Es wird mit Insektiziden behandelt .</t>
  </si>
  <si>
    <t>file://conllu/de/teddy-1293.conllu#s115_0</t>
  </si>
  <si>
    <t>116</t>
  </si>
  <si>
    <t>verteilen</t>
  </si>
  <si>
    <t>Es wurde millionenfach in allen Malariagebieten verteilt .</t>
  </si>
  <si>
    <t>file://conllu/de/teddy-1293.conllu#s116_0</t>
  </si>
  <si>
    <t>117</t>
  </si>
  <si>
    <t>sein (sein Eingriff)</t>
  </si>
  <si>
    <t>Und wenn man darüber nachdenkt , ist das Moskitonetz eine Art chirurgischer Eingriff .</t>
  </si>
  <si>
    <t>file://conllu/de/teddy-1293.conllu#s117_0</t>
  </si>
  <si>
    <t>118</t>
  </si>
  <si>
    <t>Es hat keinen wirklichen Wert für eine Familie , außer dass es hilft , Malaria vorzubeugen .</t>
  </si>
  <si>
    <t>file://conllu/de/teddy-1293.conllu#s118_0</t>
  </si>
  <si>
    <t>119</t>
  </si>
  <si>
    <t>bitten</t>
  </si>
  <si>
    <t>Und trotzdem bitten wir die Leute darum , jede Nacht unter diesem Netz zu schlafen .</t>
  </si>
  <si>
    <t>file://conllu/de/teddy-1293.conllu#s119_0</t>
  </si>
  <si>
    <t>120</t>
  </si>
  <si>
    <t>sein (sein effektiv)</t>
  </si>
  <si>
    <t>Nur so können sie effektiv sein .</t>
  </si>
  <si>
    <t>file://conllu/de/teddy-1293.conllu#s120_0</t>
  </si>
  <si>
    <t>121</t>
  </si>
  <si>
    <t>tun</t>
  </si>
  <si>
    <t>Und sie sollen dies selbst dann tun , wenn das Netz die Brise aufhält , oder wenn sie mitten in der Nacht auf die Toilette müssen , oder wenn sie ihr Mobiliar umstellen müssen , um das Netz aufzuhängen , auch wenn sie vielleicht in einer runden Hütte leben , in der es schwierig ist , ein viereckiges Netz zu montieren .</t>
  </si>
  <si>
    <t>file://conllu/de/teddy-1293.conllu#s121_0</t>
  </si>
  <si>
    <t>122</t>
  </si>
  <si>
    <t>sein (sein Ding)</t>
  </si>
  <si>
    <t>Nun ist das eigentlich kein großes Ding , wenn man eine tödliche Krankheit bekämpft .</t>
  </si>
  <si>
    <t>file://conllu/de/teddy-1293.conllu#s122_0</t>
  </si>
  <si>
    <t>123</t>
  </si>
  <si>
    <t>sein (sein Unannehmlichkeit)</t>
  </si>
  <si>
    <t>Das sind schließlich kleine Unannehmlichkeiten .</t>
  </si>
  <si>
    <t>file://conllu/de/teddy-1293.conllu#s123_0</t>
  </si>
  <si>
    <t>124</t>
  </si>
  <si>
    <t>Aber so denken Leute nun mal nicht über Malaria .</t>
  </si>
  <si>
    <t>file://conllu/de/teddy-1293.conllu#s124_0</t>
  </si>
  <si>
    <t>125</t>
  </si>
  <si>
    <t>lauten</t>
  </si>
  <si>
    <t>Also müsste für sie die Rechnung ganz anders lauten .</t>
  </si>
  <si>
    <t>file://conllu/de/teddy-1293.conllu#s125_0</t>
  </si>
  <si>
    <t>126</t>
  </si>
  <si>
    <t>Stelle</t>
  </si>
  <si>
    <t>Stellen Sie sich vor , ein Haufen wohlmeinender Kenianer käme auf uns in den gemäßigten Breiten zu : &amp;quot; Bei euch gibt es ja sehr viele Erkältungs und Grippefälle .</t>
  </si>
  <si>
    <t>file://conllu/de/teddy-1293.conllu#s126_0</t>
  </si>
  <si>
    <t>127</t>
  </si>
  <si>
    <t>erfinden</t>
  </si>
  <si>
    <t>Wir haben dieses tolle , leicht handhabbare , billige Ding erfunden , ihr kriegt es umsonst .</t>
  </si>
  <si>
    <t>file://conllu/de/teddy-1293.conllu#s127_0</t>
  </si>
  <si>
    <t>128</t>
  </si>
  <si>
    <t>Es nennt sich Gesichtsmaske , und ihr müsst es nur jeden Tag während der Grippezeit tragen , auch wenn ihr zur zu der Schule und zur zu der Arbeit geht . &amp;quot;</t>
  </si>
  <si>
    <t>file://conllu/de/teddy-1293.conllu#s128_0</t>
  </si>
  <si>
    <t>129</t>
  </si>
  <si>
    <t>Würden wir das tun ?</t>
  </si>
  <si>
    <t>file://conllu/de/teddy-1293.conllu#s129_0</t>
  </si>
  <si>
    <t>130</t>
  </si>
  <si>
    <t>fragen</t>
  </si>
  <si>
    <t>Und ich frage mich , ob so die Leute in den Malariagebieten über diese Netze gedacht haben , als sie sie zum zu dem ersten Mal bekamen .</t>
  </si>
  <si>
    <t>file://conllu/de/teddy-1293.conllu#s130_0</t>
  </si>
  <si>
    <t>131</t>
  </si>
  <si>
    <t>Tatsächlich wissen wir aus Studien , dass nur 20 % der Moskitonetze , die zu Anfang verteilt wurden , überhaupt benutzt wurden .</t>
  </si>
  <si>
    <t>file://conllu/de/teddy-1293.conllu#s131_0</t>
  </si>
  <si>
    <t>132</t>
  </si>
  <si>
    <t>sein (sein optimistisch)</t>
  </si>
  <si>
    <t>Das ist wahrscheinlich noch zu optimistisch , weil die selben Leute , die die Netze verteilt haben , zurück gegangen sind und die Abnehmer gefragt haben : &amp;quot; Haben Sie denn das Netz benutzt , das ich Ihnen gegeben habe ? &amp;quot;</t>
  </si>
  <si>
    <t>file://conllu/de/teddy-1293.conllu#s132_0</t>
  </si>
  <si>
    <t>133</t>
  </si>
  <si>
    <t>sein (sein ähnlich)</t>
  </si>
  <si>
    <t>Was so ähnlich ist , wie wenn Tante Jane dich fragt : &amp;quot; Hast du denn die Vase benutzt , die ich dir zu Weihnachten geschenkt habe ? &amp;quot;</t>
  </si>
  <si>
    <t>file://conllu/de/teddy-1293.conllu#s133_0</t>
  </si>
  <si>
    <t>134</t>
  </si>
  <si>
    <t>sein (sein hoch)</t>
  </si>
  <si>
    <t>Also ist die Zahl wahrscheinlich zu hoch .</t>
  </si>
  <si>
    <t>file://conllu/de/teddy-1293.conllu#s134_0</t>
  </si>
  <si>
    <t>135</t>
  </si>
  <si>
    <t>sein (sein Problem)</t>
  </si>
  <si>
    <t>Aber das ist kein unüberwindbares Problem .</t>
  </si>
  <si>
    <t>file://conllu/de/teddy-1293.conllu#s135_0</t>
  </si>
  <si>
    <t>136</t>
  </si>
  <si>
    <t>aufklären</t>
  </si>
  <si>
    <t>Wir können besser aufklären und Leute überzeugen , ihre Netze zu benutzen .</t>
  </si>
  <si>
    <t>file://conllu/de/teddy-1293.conllu#s136_0</t>
  </si>
  <si>
    <t>137</t>
  </si>
  <si>
    <t>passieren</t>
  </si>
  <si>
    <t>Genau das passiert jetzt auch .</t>
  </si>
  <si>
    <t>file://conllu/de/teddy-1293.conllu#s137_0</t>
  </si>
  <si>
    <t>138</t>
  </si>
  <si>
    <t>investieren</t>
  </si>
  <si>
    <t>Wir investieren gerade viel mehr Geld und Zeit in Workshops , Seminare , Trainings , Musicals , Theaterstücke und Infoabende und tun all diese Dinge , um Leute zu überzeugen , die Netze zu nutzen , die wir ihnen gegeben haben .</t>
  </si>
  <si>
    <t>file://conllu/de/teddy-1293.conllu#s138_0</t>
  </si>
  <si>
    <t>139</t>
  </si>
  <si>
    <t>funktionieren</t>
  </si>
  <si>
    <t>Und das könnte funktionieren .</t>
  </si>
  <si>
    <t>file://conllu/de/teddy-1293.conllu#s139_0</t>
  </si>
  <si>
    <t>140</t>
  </si>
  <si>
    <t>brauchen</t>
  </si>
  <si>
    <t>Aber es braucht Zeit .</t>
  </si>
  <si>
    <t>file://conllu/de/teddy-1293.conllu#s140_0</t>
  </si>
  <si>
    <t>141</t>
  </si>
  <si>
    <t>Es braucht Geld .</t>
  </si>
  <si>
    <t>file://conllu/de/teddy-1293.conllu#s141_0</t>
  </si>
  <si>
    <t>142</t>
  </si>
  <si>
    <t>Es braucht Ressourcen .</t>
  </si>
  <si>
    <t>file://conllu/de/teddy-1293.conllu#s142_0</t>
  </si>
  <si>
    <t>143</t>
  </si>
  <si>
    <t>Es braucht eine Infrastruktur .</t>
  </si>
  <si>
    <t>file://conllu/de/teddy-1293.conllu#s143_0</t>
  </si>
  <si>
    <t>144</t>
  </si>
  <si>
    <t>Ding</t>
  </si>
  <si>
    <t>Alles Dinge , die dieses billige , leicht anwendbare Moskitonetz nicht hätte brauchen sollen .</t>
  </si>
  <si>
    <t>file://conllu/de/teddy-1293.conllu#s144_0</t>
  </si>
  <si>
    <t>145</t>
  </si>
  <si>
    <t>sein (sein schwierig)</t>
  </si>
  <si>
    <t>Es ist also schwierig , Malaria von innerhalb der Malariagesellschaften anzugreifen , aber genauso schwierig , wenn wir sie von außerhalb dieser Gesellschaften angreifen wollen .</t>
  </si>
  <si>
    <t>file://conllu/de/teddy-1293.conllu#s145_0</t>
  </si>
  <si>
    <t>147</t>
  </si>
  <si>
    <t>Genau das haben wir in den 50ern gemacht und diese Bemühungen sind fehlgeschlagen .</t>
  </si>
  <si>
    <t>file://conllu/de/teddy-1293.conllu#s147_0</t>
  </si>
  <si>
    <t>148</t>
  </si>
  <si>
    <t>Ich würde heute sagen , wenn wir Mittel verteilen , die wir entworfen haben , und diese nicht zwingend in dem Leben der Leute Sinn ergeben , laufen wir Gefahr , den gleichen Fehler zu wiederholen .</t>
  </si>
  <si>
    <t>file://conllu/de/teddy-1293.conllu#s148_0</t>
  </si>
  <si>
    <t>149</t>
  </si>
  <si>
    <t>heißen</t>
  </si>
  <si>
    <t>Das soll nicht heißen , dass Malaria unüberwindbar ist , denn ich meine , sie ist es .</t>
  </si>
  <si>
    <t>file://conllu/de/teddy-1293.conllu#s149_0</t>
  </si>
  <si>
    <t>150</t>
  </si>
  <si>
    <t>Aber wie wäre es , wenn wir diese Krankheit im in dem Einklang mit den Prioritäten der Leute , die mit ihr leben , angehen würden ?</t>
  </si>
  <si>
    <t>file://conllu/de/teddy-1293.conllu#s150_0</t>
  </si>
  <si>
    <t>151</t>
  </si>
  <si>
    <t>Nehmen wir das Beispiel von England und den USA .</t>
  </si>
  <si>
    <t>file://conllu/de/teddy-1293.conllu#s151_0</t>
  </si>
  <si>
    <t>152</t>
  </si>
  <si>
    <t>Hunderte von Jahren gab es dort Malaria und wir sind sie vollständig losgeworden , nicht , weil wir sie angegriffen haben .</t>
  </si>
  <si>
    <t>file://conllu/de/teddy-1293.conllu#s152_0</t>
  </si>
  <si>
    <t>153</t>
  </si>
  <si>
    <t>Haben wir nicht .</t>
  </si>
  <si>
    <t>file://conllu/de/teddy-1293.conllu#s153_0</t>
  </si>
  <si>
    <t>154</t>
  </si>
  <si>
    <t>Wir haben schlechte Straßen und schlechte Häuser , schlechte Kanalisation , Strommangel und Landarmut in Angriff genommen .</t>
  </si>
  <si>
    <t>file://conllu/de/teddy-1293.conllu#s154_0</t>
  </si>
  <si>
    <t>155</t>
  </si>
  <si>
    <t>Dadurch?</t>
  </si>
  <si>
    <t>greifen</t>
  </si>
  <si>
    <t>Wir griffen die Malaria Lebensart an und dadurch haben wir langsam Malaria ausgeschlossen .</t>
  </si>
  <si>
    <t>file://conllu/de/teddy-1293.conllu#s155_0</t>
  </si>
  <si>
    <t>156</t>
  </si>
  <si>
    <t>angreifen</t>
  </si>
  <si>
    <t>Die Malaria Lebensart angreifen – dafür könnte man Leute heute begeistern .</t>
  </si>
  <si>
    <t>file://conllu/de/teddy-1293.conllu#s156_0</t>
  </si>
  <si>
    <t>157</t>
  </si>
  <si>
    <t>Und die Malaria Lebensart anzugreifen ist weder schnell , noch billig , noch leicht , aber ich denke , es ist der einzig haltbare Weg nach vorne .</t>
  </si>
  <si>
    <t>file://conllu/de/teddy-1293.conllu#s157_0</t>
  </si>
  <si>
    <t>158</t>
  </si>
  <si>
    <t>Dank</t>
  </si>
  <si>
    <t>Vielen Dank .</t>
  </si>
  <si>
    <t>file://conllu/de/teddy-1293.conllu#s158_0</t>
  </si>
  <si>
    <t>159</t>
  </si>
  <si>
    <t>Applaus</t>
  </si>
  <si>
    <t>( Applaus )</t>
  </si>
  <si>
    <t>file://conllu/de/teddy-1293.conllu#s159_0</t>
  </si>
  <si>
    <t>WORD</t>
  </si>
  <si>
    <t>GR</t>
  </si>
  <si>
    <t>NP_TYPE</t>
  </si>
  <si>
    <t>REF_AUTO</t>
  </si>
  <si>
    <t>COREF</t>
  </si>
  <si>
    <t>REF</t>
  </si>
  <si>
    <t>IS</t>
  </si>
  <si>
    <t>CB</t>
  </si>
  <si>
    <t>GR_ANTE</t>
  </si>
  <si>
    <t>REF_DIST</t>
  </si>
  <si>
    <t>REF_DIST_ANTE</t>
  </si>
  <si>
    <t># text = Im langen Laufe der Geschichte ist jene Krankheit, die mehr Leute als jede andere umgebracht hat, Malaria gewesen.</t>
  </si>
  <si>
    <t>In</t>
  </si>
  <si>
    <t>dem</t>
  </si>
  <si>
    <t>langen</t>
  </si>
  <si>
    <t>Laufe</t>
  </si>
  <si>
    <t>other</t>
  </si>
  <si>
    <t>def-np.the</t>
  </si>
  <si>
    <t>?OLD</t>
  </si>
  <si>
    <t>der</t>
  </si>
  <si>
    <t>Geschichte</t>
  </si>
  <si>
    <t>other_2</t>
  </si>
  <si>
    <t>ist</t>
  </si>
  <si>
    <t>jene</t>
  </si>
  <si>
    <t>pron.pds</t>
  </si>
  <si>
    <t>Krankheit</t>
  </si>
  <si>
    <t>def-np.dem</t>
  </si>
  <si>
    <t>,</t>
  </si>
  <si>
    <t>die</t>
  </si>
  <si>
    <t>SBJ_2</t>
  </si>
  <si>
    <t>mehr</t>
  </si>
  <si>
    <t>Leute</t>
  </si>
  <si>
    <t>indef-np.bare</t>
  </si>
  <si>
    <t>als</t>
  </si>
  <si>
    <t>jede</t>
  </si>
  <si>
    <t>other_3</t>
  </si>
  <si>
    <t>pron.pind</t>
  </si>
  <si>
    <t>andere</t>
  </si>
  <si>
    <t>umgebracht</t>
  </si>
  <si>
    <t>hat</t>
  </si>
  <si>
    <t>Malaria</t>
  </si>
  <si>
    <t>ne</t>
  </si>
  <si>
    <t>gewesen</t>
  </si>
  <si>
    <t>.</t>
  </si>
  <si>
    <t># text = Sie wird über die Stiche von infizierten Moskitos übertragen und ist wahrscheinlich unsere älteste Plage.</t>
  </si>
  <si>
    <t>Sie</t>
  </si>
  <si>
    <t>SBJ</t>
  </si>
  <si>
    <t>pron.pper</t>
  </si>
  <si>
    <t>wird</t>
  </si>
  <si>
    <t>über</t>
  </si>
  <si>
    <t>Stiche</t>
  </si>
  <si>
    <t>von</t>
  </si>
  <si>
    <t>infizierten</t>
  </si>
  <si>
    <t>Moskitos</t>
  </si>
  <si>
    <t>und</t>
  </si>
  <si>
    <t>wahrscheinlich</t>
  </si>
  <si>
    <t>unsere</t>
  </si>
  <si>
    <t>älteste</t>
  </si>
  <si>
    <t>Plage</t>
  </si>
  <si>
    <t># text = Möglicherweise haben wir Malaria gehabt, seitdem wir uns von den Affen entwickelt haben, Und bis zum heutigen Tage gibt Malaria unserer Spezies schwer zu schaffen.</t>
  </si>
  <si>
    <t>Möglicherweise</t>
  </si>
  <si>
    <t>wir</t>
  </si>
  <si>
    <t>pron</t>
  </si>
  <si>
    <t>OBJ</t>
  </si>
  <si>
    <t>gehabt</t>
  </si>
  <si>
    <t>seitdem</t>
  </si>
  <si>
    <t>uns</t>
  </si>
  <si>
    <t>OBJ_2</t>
  </si>
  <si>
    <t>den</t>
  </si>
  <si>
    <t>Affen</t>
  </si>
  <si>
    <t>entwickelt</t>
  </si>
  <si>
    <t>Und</t>
  </si>
  <si>
    <t>bis</t>
  </si>
  <si>
    <t>zu</t>
  </si>
  <si>
    <t>other_4</t>
  </si>
  <si>
    <t>heutigen</t>
  </si>
  <si>
    <t>Tage</t>
  </si>
  <si>
    <t>gibt</t>
  </si>
  <si>
    <t>SBJ_3</t>
  </si>
  <si>
    <t>unserer</t>
  </si>
  <si>
    <t>other_5</t>
  </si>
  <si>
    <t>pron.ppos</t>
  </si>
  <si>
    <t>Spezies</t>
  </si>
  <si>
    <t>schwer</t>
  </si>
  <si>
    <t># text = Wir haben 300 Millionen Fälle pro Jahr und über eine halbe Million Todesfälle.</t>
  </si>
  <si>
    <t>Wir</t>
  </si>
  <si>
    <t>300</t>
  </si>
  <si>
    <t>Millionen</t>
  </si>
  <si>
    <t>indef-np.quant</t>
  </si>
  <si>
    <t>Fälle</t>
  </si>
  <si>
    <t>pro</t>
  </si>
  <si>
    <t>Jahr</t>
  </si>
  <si>
    <t>eine</t>
  </si>
  <si>
    <t>halbe</t>
  </si>
  <si>
    <t>Million</t>
  </si>
  <si>
    <t>indef-np.a</t>
  </si>
  <si>
    <t>Todesfälle</t>
  </si>
  <si>
    <t># text = Nun ergibt das eigentlich gar keinen Sinn.</t>
  </si>
  <si>
    <t>Nun</t>
  </si>
  <si>
    <t>ergibt</t>
  </si>
  <si>
    <t>das</t>
  </si>
  <si>
    <t>eigentlich</t>
  </si>
  <si>
    <t>gar</t>
  </si>
  <si>
    <t>keinen</t>
  </si>
  <si>
    <t>Sinn</t>
  </si>
  <si>
    <t># text = Wir wissen seit dem 16. Jahrhundert, wie man Malaria heilt.</t>
  </si>
  <si>
    <t>seit</t>
  </si>
  <si>
    <t>Jahrhundert</t>
  </si>
  <si>
    <t>def-np.quant</t>
  </si>
  <si>
    <t>wie</t>
  </si>
  <si>
    <t>man</t>
  </si>
  <si>
    <t>heilt</t>
  </si>
  <si>
    <t># text = Damals entdeckten die jesuitischen Missionare in Peru die Chinarinde und in dieser Rinde war Chinin enthalten, was bis heute ein wirksames Heilmittel für Malaria ist.</t>
  </si>
  <si>
    <t>Damals</t>
  </si>
  <si>
    <t>entdeckten</t>
  </si>
  <si>
    <t>jesuitischen</t>
  </si>
  <si>
    <t>Missionare</t>
  </si>
  <si>
    <t>in</t>
  </si>
  <si>
    <t>Peru</t>
  </si>
  <si>
    <t>Chinarinde</t>
  </si>
  <si>
    <t>dieser</t>
  </si>
  <si>
    <t>Rinde</t>
  </si>
  <si>
    <t>war</t>
  </si>
  <si>
    <t>Chinin</t>
  </si>
  <si>
    <t>enthalten</t>
  </si>
  <si>
    <t>was</t>
  </si>
  <si>
    <t>heute</t>
  </si>
  <si>
    <t>ein</t>
  </si>
  <si>
    <t>wirksames</t>
  </si>
  <si>
    <t>Heilmittel</t>
  </si>
  <si>
    <t>für</t>
  </si>
  <si>
    <t># text = Demnach wissen wir seit Jahrhunderten, Wir wissen seit 1897, wie man Malaria vorbeugt.</t>
  </si>
  <si>
    <t>Demnach</t>
  </si>
  <si>
    <t>Jahrhunderten</t>
  </si>
  <si>
    <t>1897</t>
  </si>
  <si>
    <t>OBJ_3</t>
  </si>
  <si>
    <t>vorbeugt</t>
  </si>
  <si>
    <t># text = Da entdeckte nämlich der Chirurg der Britischen Armee, Ronald Ross, dass Moskitos Malaria übertragen, und nicht schlechte Luft oder Miasmen, wie zuvor gedacht wurde.</t>
  </si>
  <si>
    <t>Da</t>
  </si>
  <si>
    <t>entdeckte</t>
  </si>
  <si>
    <t>nämlich</t>
  </si>
  <si>
    <t>Chirurg</t>
  </si>
  <si>
    <t>Britischen</t>
  </si>
  <si>
    <t>Armee</t>
  </si>
  <si>
    <t>Ronald</t>
  </si>
  <si>
    <t>Ross</t>
  </si>
  <si>
    <t>dass</t>
  </si>
  <si>
    <t>nicht</t>
  </si>
  <si>
    <t>schlechte</t>
  </si>
  <si>
    <t>Luft</t>
  </si>
  <si>
    <t>oder</t>
  </si>
  <si>
    <t>Miasmen</t>
  </si>
  <si>
    <t>SBJ_4</t>
  </si>
  <si>
    <t>zuvor</t>
  </si>
  <si>
    <t>gedacht</t>
  </si>
  <si>
    <t>wurde</t>
  </si>
  <si>
    <t># text = Also sollte man das Problem der Malaria relativ simpel lösen können, und trotzdem werden auch heute Hunderte von Leuten an einem Moskitostich sterben.</t>
  </si>
  <si>
    <t>Also</t>
  </si>
  <si>
    <t>sollte</t>
  </si>
  <si>
    <t>Problem</t>
  </si>
  <si>
    <t>def-np.poss</t>
  </si>
  <si>
    <t>relativ</t>
  </si>
  <si>
    <t>simpel</t>
  </si>
  <si>
    <t>können</t>
  </si>
  <si>
    <t>trotzdem</t>
  </si>
  <si>
    <t>werden</t>
  </si>
  <si>
    <t>auch</t>
  </si>
  <si>
    <t>Hunderte</t>
  </si>
  <si>
    <t>Leuten</t>
  </si>
  <si>
    <t>an</t>
  </si>
  <si>
    <t>einem</t>
  </si>
  <si>
    <t>Moskitostich</t>
  </si>
  <si>
    <t>sterben</t>
  </si>
  <si>
    <t># text = Warum ist das so?</t>
  </si>
  <si>
    <t>Warum</t>
  </si>
  <si>
    <t>pron.pint</t>
  </si>
  <si>
    <t>so</t>
  </si>
  <si>
    <t>?</t>
  </si>
  <si>
    <t># text = Das ist eine Frage, die mich persönlich lange eingenommen hat.</t>
  </si>
  <si>
    <t>Das</t>
  </si>
  <si>
    <t>Frage</t>
  </si>
  <si>
    <t>mich</t>
  </si>
  <si>
    <t>persönlich</t>
  </si>
  <si>
    <t>lange</t>
  </si>
  <si>
    <t>eingenommen</t>
  </si>
  <si>
    <t># text = Ich bin als Tochter von indischen Immigranten aufgewachsen und habe jeden Sommer meine Cousins in Indien besucht.</t>
  </si>
  <si>
    <t>Ich</t>
  </si>
  <si>
    <t>bin</t>
  </si>
  <si>
    <t>Tochter</t>
  </si>
  <si>
    <t>indischen</t>
  </si>
  <si>
    <t>Immigranten</t>
  </si>
  <si>
    <t>aufgewachsen</t>
  </si>
  <si>
    <t>habe</t>
  </si>
  <si>
    <t>jeden</t>
  </si>
  <si>
    <t>Sommer</t>
  </si>
  <si>
    <t>meine</t>
  </si>
  <si>
    <t>Cousins</t>
  </si>
  <si>
    <t>Indien</t>
  </si>
  <si>
    <t>besucht</t>
  </si>
  <si>
    <t># text = Da ich nicht gegen die einheimische Malaria immun war, musste ich jede Nacht unter einem heißen, schwitzigen Moskitonetz schlafen, während meine Cousins draußen auf der Terrasse schlafen durften ein kühles, angenehmes Lüftchen über sie wehen hatten.</t>
  </si>
  <si>
    <t>ich</t>
  </si>
  <si>
    <t>gegen</t>
  </si>
  <si>
    <t>einheimische</t>
  </si>
  <si>
    <t>immun</t>
  </si>
  <si>
    <t>musste</t>
  </si>
  <si>
    <t>Nacht</t>
  </si>
  <si>
    <t>unter</t>
  </si>
  <si>
    <t>schwitzigen</t>
  </si>
  <si>
    <t>Moskitonetz</t>
  </si>
  <si>
    <t>während</t>
  </si>
  <si>
    <t>draußen</t>
  </si>
  <si>
    <t>auf</t>
  </si>
  <si>
    <t>Terrasse</t>
  </si>
  <si>
    <t>durften</t>
  </si>
  <si>
    <t>kühles</t>
  </si>
  <si>
    <t>angenehmes</t>
  </si>
  <si>
    <t>Lüftchen</t>
  </si>
  <si>
    <t>sie</t>
  </si>
  <si>
    <t>wehen</t>
  </si>
  <si>
    <t>hatten</t>
  </si>
  <si>
    <t># text = Ich habe die Moskitos dafür wirklich gehasst.</t>
  </si>
  <si>
    <t>dafür</t>
  </si>
  <si>
    <t>wirklich</t>
  </si>
  <si>
    <t># text = Aber ich komme auch aus einer jainistischen Familie, und Jainismus ist eine Religion, die mit einer sehr extremen Form der Gewaltlosigkeit verbunden ist.</t>
  </si>
  <si>
    <t>Aber</t>
  </si>
  <si>
    <t>komme</t>
  </si>
  <si>
    <t>aus</t>
  </si>
  <si>
    <t>einer</t>
  </si>
  <si>
    <t>jainistischen</t>
  </si>
  <si>
    <t>Familie</t>
  </si>
  <si>
    <t>Jainismus</t>
  </si>
  <si>
    <t>Religion</t>
  </si>
  <si>
    <t>mit</t>
  </si>
  <si>
    <t>sehr</t>
  </si>
  <si>
    <t>extremen</t>
  </si>
  <si>
    <t>Form</t>
  </si>
  <si>
    <t>Gewaltlosigkeit</t>
  </si>
  <si>
    <t>verbunden</t>
  </si>
  <si>
    <t># text = Also sollen Jainisten kein Fleisch essen.</t>
  </si>
  <si>
    <t>sollen</t>
  </si>
  <si>
    <t>Jainisten</t>
  </si>
  <si>
    <t>kein</t>
  </si>
  <si>
    <t>Fleisch</t>
  </si>
  <si>
    <t># text = Wir sollen nicht auf Gras laufen, weil man, na ja, dabei unabsichtlich einige Insekten umbringen könnte.</t>
  </si>
  <si>
    <t>Gras</t>
  </si>
  <si>
    <t>weil</t>
  </si>
  <si>
    <t>na</t>
  </si>
  <si>
    <t>ja</t>
  </si>
  <si>
    <t>dabei</t>
  </si>
  <si>
    <t>unabsichtlich</t>
  </si>
  <si>
    <t>einige</t>
  </si>
  <si>
    <t>Insekten</t>
  </si>
  <si>
    <t>umbringen</t>
  </si>
  <si>
    <t>könnte</t>
  </si>
  <si>
    <t># text = Wir sollen auf keinen Fall Moskitos zerklatschen.</t>
  </si>
  <si>
    <t>Fall</t>
  </si>
  <si>
    <t># text = Also war mir die furchterregende Macht dieses kleinen Insekts schon frühzeitig offensichtlich und es ist ein Grund, warum ich 5 Jahre als Journalistin damit verbracht habe, zu verstehen, warum Malaria so lange so eine schlimme Plage für uns alle gewesen ist.</t>
  </si>
  <si>
    <t>mir</t>
  </si>
  <si>
    <t>furchterregende</t>
  </si>
  <si>
    <t>Macht</t>
  </si>
  <si>
    <t>dieses</t>
  </si>
  <si>
    <t>kleinen</t>
  </si>
  <si>
    <t>Insekts</t>
  </si>
  <si>
    <t>schon</t>
  </si>
  <si>
    <t>frühzeitig</t>
  </si>
  <si>
    <t>offensichtlich</t>
  </si>
  <si>
    <t>es</t>
  </si>
  <si>
    <t>Grund</t>
  </si>
  <si>
    <t>Jahre</t>
  </si>
  <si>
    <t>Journalistin</t>
  </si>
  <si>
    <t>damit</t>
  </si>
  <si>
    <t>verbracht</t>
  </si>
  <si>
    <t>SBJ_6</t>
  </si>
  <si>
    <t>schlimme</t>
  </si>
  <si>
    <t>other_6</t>
  </si>
  <si>
    <t>alle</t>
  </si>
  <si>
    <t># text = Und ich glaube, es gibt 3 Hauptgründe dafür.</t>
  </si>
  <si>
    <t>glaube</t>
  </si>
  <si>
    <t>Hauptgründe</t>
  </si>
  <si>
    <t># text = Diese 3 Gründe summieren sich zu einem vierten Grund, der wahrscheinlich der wichtigste Grund von allen ist.</t>
  </si>
  <si>
    <t>Diese</t>
  </si>
  <si>
    <t>Gründe</t>
  </si>
  <si>
    <t>sich</t>
  </si>
  <si>
    <t>vierten</t>
  </si>
  <si>
    <t>wichtigste</t>
  </si>
  <si>
    <t>allen</t>
  </si>
  <si>
    <t># text = Der erste Grund ist ein wissenschaftlicher.</t>
  </si>
  <si>
    <t>Der</t>
  </si>
  <si>
    <t>erste</t>
  </si>
  <si>
    <t>wissenschaftlicher</t>
  </si>
  <si>
    <t># text = Dieser kleine Parasit, der Malaria verursacht, ist wahrscheinlich einer der komplexesten und trickreichsten Erreger, die wir kennen.</t>
  </si>
  <si>
    <t>Dieser</t>
  </si>
  <si>
    <t>kleine</t>
  </si>
  <si>
    <t>Parasit</t>
  </si>
  <si>
    <t>verursacht</t>
  </si>
  <si>
    <t>komplexesten</t>
  </si>
  <si>
    <t>trickreichsten</t>
  </si>
  <si>
    <t>Erreger</t>
  </si>
  <si>
    <t>kennen</t>
  </si>
  <si>
    <t># text = Er verbringt sein halbes Leben in einem kaltblütigen Moskito und die andere Hälfte in einem warmblütigen Menschen.</t>
  </si>
  <si>
    <t>Er</t>
  </si>
  <si>
    <t>verbringt</t>
  </si>
  <si>
    <t>halbes</t>
  </si>
  <si>
    <t>Leben</t>
  </si>
  <si>
    <t>indef-np</t>
  </si>
  <si>
    <t>kaltblütigen</t>
  </si>
  <si>
    <t>Moskito</t>
  </si>
  <si>
    <t>Hälfte</t>
  </si>
  <si>
    <t>def-np.the.other</t>
  </si>
  <si>
    <t>warmblütigen</t>
  </si>
  <si>
    <t>Menschen</t>
  </si>
  <si>
    <t># text = Diese zwei Umgebungen sind komplett verschieden, und zudem sind sie beide durchweg feindselig.</t>
  </si>
  <si>
    <t>zwei</t>
  </si>
  <si>
    <t>Umgebungen</t>
  </si>
  <si>
    <t>sind</t>
  </si>
  <si>
    <t>komplett</t>
  </si>
  <si>
    <t>verschieden</t>
  </si>
  <si>
    <t>zudem</t>
  </si>
  <si>
    <t>beide</t>
  </si>
  <si>
    <t>durchweg</t>
  </si>
  <si>
    <t>feindselig</t>
  </si>
  <si>
    <t># text = Also versucht das Insekt dauernd, den Parasiten abzuwehren, und genauso versucht ihn der menschliche Körper dauernd abzuwehren.</t>
  </si>
  <si>
    <t>versucht</t>
  </si>
  <si>
    <t>Insekt</t>
  </si>
  <si>
    <t>dauernd</t>
  </si>
  <si>
    <t>Parasiten</t>
  </si>
  <si>
    <t>abzuwehren</t>
  </si>
  <si>
    <t>genauso</t>
  </si>
  <si>
    <t>ihn</t>
  </si>
  <si>
    <t>menschliche</t>
  </si>
  <si>
    <t>Körper</t>
  </si>
  <si>
    <t># text = Dieses kleine Wesen überlebt so eine Belagerung, und es überlebt sie nicht nur, sondern er gedeiht sogar prächtig.</t>
  </si>
  <si>
    <t>Dieses</t>
  </si>
  <si>
    <t>Wesen</t>
  </si>
  <si>
    <t>überlebt</t>
  </si>
  <si>
    <t>Belagerung</t>
  </si>
  <si>
    <t>nur</t>
  </si>
  <si>
    <t>sondern</t>
  </si>
  <si>
    <t>er</t>
  </si>
  <si>
    <t>gedeiht</t>
  </si>
  <si>
    <t>sogar</t>
  </si>
  <si>
    <t>prächtig</t>
  </si>
  <si>
    <t># text = Es hat sich ausgebreitet.</t>
  </si>
  <si>
    <t>Es</t>
  </si>
  <si>
    <t>ausgebreitet</t>
  </si>
  <si>
    <t># text = Es hat ungeahnte Möglichkeiten, einen Angriff zu überleben.</t>
  </si>
  <si>
    <t>ungeahnte</t>
  </si>
  <si>
    <t>Möglichkeiten</t>
  </si>
  <si>
    <t>einen</t>
  </si>
  <si>
    <t>Angriff</t>
  </si>
  <si>
    <t># text = Es ist zum einen ein Gestaltwandler.</t>
  </si>
  <si>
    <t>Gestaltwandler</t>
  </si>
  <si>
    <t># text = Genauso wie eine Raupe sich in einen Schmetterling verwandelt, verwandelt sich der Malariaparasit sieben Mal in seinem Lebenszyklus.</t>
  </si>
  <si>
    <t>Genauso</t>
  </si>
  <si>
    <t>Raupe</t>
  </si>
  <si>
    <t>Schmetterling</t>
  </si>
  <si>
    <t>verwandelt</t>
  </si>
  <si>
    <t>Malariaparasit</t>
  </si>
  <si>
    <t>sieben</t>
  </si>
  <si>
    <t>Mal</t>
  </si>
  <si>
    <t>seinem</t>
  </si>
  <si>
    <t>Lebenszyklus</t>
  </si>
  <si>
    <t># text = Und jedes dieser Lebensstadien sieht nicht nur komplett anders aus, sondern hat auch eine komplett unterschiedliche Physiologie.</t>
  </si>
  <si>
    <t>jedes</t>
  </si>
  <si>
    <t>Lebensstadien</t>
  </si>
  <si>
    <t>sieht</t>
  </si>
  <si>
    <t>anders</t>
  </si>
  <si>
    <t>unterschiedliche</t>
  </si>
  <si>
    <t>Physiologie</t>
  </si>
  <si>
    <t># text = Sagen wir mal, Sie denken sich ein tolles Medikament aus, welches gegen ein Lebensstadium des Parasiten funktioniert.</t>
  </si>
  <si>
    <t>Sagen</t>
  </si>
  <si>
    <t>mal</t>
  </si>
  <si>
    <t>tolles</t>
  </si>
  <si>
    <t>Medikament</t>
  </si>
  <si>
    <t>welches</t>
  </si>
  <si>
    <t>Lebensstadium</t>
  </si>
  <si>
    <t>des</t>
  </si>
  <si>
    <t>funktioniert</t>
  </si>
  <si>
    <t># text = Möglicherweise würde es aber in keinster Weise in den anderen Stadien wirken.</t>
  </si>
  <si>
    <t>würde</t>
  </si>
  <si>
    <t>aber</t>
  </si>
  <si>
    <t>keinster</t>
  </si>
  <si>
    <t>Weise</t>
  </si>
  <si>
    <t>anderen</t>
  </si>
  <si>
    <t>Stadien</t>
  </si>
  <si>
    <t># text = Er kann sich unentdeckt in unserem Körper verstecken, ohne dass wir es wissen, tagelang, wochenlang, monatelang, jahrelang, und in manchen Fällen sogar jahrzehntelang.</t>
  </si>
  <si>
    <t>kann</t>
  </si>
  <si>
    <t>unentdeckt</t>
  </si>
  <si>
    <t>unserem</t>
  </si>
  <si>
    <t>ohne</t>
  </si>
  <si>
    <t>tagelang</t>
  </si>
  <si>
    <t>wochenlang</t>
  </si>
  <si>
    <t>monatelang</t>
  </si>
  <si>
    <t>jahrelang</t>
  </si>
  <si>
    <t>manchen</t>
  </si>
  <si>
    <t>Fällen</t>
  </si>
  <si>
    <t>jahrzehntelang</t>
  </si>
  <si>
    <t># text = Also ist dieser Parasit eine riesige wissenschaftliche Herausforderung, aber genauso der Moskito, der den Parasiten überträgt.</t>
  </si>
  <si>
    <t>riesige</t>
  </si>
  <si>
    <t>wissenschaftliche</t>
  </si>
  <si>
    <t>überträgt</t>
  </si>
  <si>
    <t># text = Nur ungefähr 12 Moskitoarten übertragen größtenteils die Malaria dieser Welt und wir wissen einiges über die Wasserlebensräume, auf die sie spezialisiert sind.</t>
  </si>
  <si>
    <t>Nur</t>
  </si>
  <si>
    <t>ungefähr</t>
  </si>
  <si>
    <t>Moskitoarten</t>
  </si>
  <si>
    <t>größtenteils</t>
  </si>
  <si>
    <t>Welt</t>
  </si>
  <si>
    <t>einiges</t>
  </si>
  <si>
    <t>Wasserlebensräume</t>
  </si>
  <si>
    <t>SBJ_5</t>
  </si>
  <si>
    <t>spezialisiert</t>
  </si>
  <si>
    <t># text = Sie denken wahrscheinlich, also warum meiden wir nicht einfach die Orte, an denen diese Killermoskitos leben?</t>
  </si>
  <si>
    <t>also</t>
  </si>
  <si>
    <t>einfach</t>
  </si>
  <si>
    <t>Orte</t>
  </si>
  <si>
    <t>denen</t>
  </si>
  <si>
    <t>diese</t>
  </si>
  <si>
    <t>Killermoskitos</t>
  </si>
  <si>
    <t># text = Wir könnten die Orte meiden, an denen Killergrizzlybären leben, und die Orte, an denen Killerkrokodile leben.</t>
  </si>
  <si>
    <t>könnten</t>
  </si>
  <si>
    <t>Killergrizzlybären</t>
  </si>
  <si>
    <t>Killerkrokodile</t>
  </si>
  <si>
    <t># text = Aber sagen wir mal, dass Sie in den Tropen wohnen und Sie laufen eines Tages außerhalb Ihrer Hütte und lassen ein paar Fußabdrücke in der weichen Erde um Ihr Heim.</t>
  </si>
  <si>
    <t>Tropen</t>
  </si>
  <si>
    <t>eines</t>
  </si>
  <si>
    <t>Tages</t>
  </si>
  <si>
    <t>außerhalb</t>
  </si>
  <si>
    <t>Ihrer</t>
  </si>
  <si>
    <t>Hütte</t>
  </si>
  <si>
    <t>lassen</t>
  </si>
  <si>
    <t>paar</t>
  </si>
  <si>
    <t>Fußabdrücke</t>
  </si>
  <si>
    <t>OBJ_4</t>
  </si>
  <si>
    <t>weichen</t>
  </si>
  <si>
    <t>Erde</t>
  </si>
  <si>
    <t>um</t>
  </si>
  <si>
    <t>Ihr</t>
  </si>
  <si>
    <t>other_7</t>
  </si>
  <si>
    <t>Heim</t>
  </si>
  <si>
    <t># text = Oder sagen wir, dass Ihre Kuh das tut, oder Ihr Schwein, und dann regnet es und Ihr Fußabdruck füllt sich mit ein bisschen Wasser.</t>
  </si>
  <si>
    <t>Oder</t>
  </si>
  <si>
    <t>Ihre</t>
  </si>
  <si>
    <t>Kuh</t>
  </si>
  <si>
    <t>tut</t>
  </si>
  <si>
    <t>Schwein</t>
  </si>
  <si>
    <t>dann</t>
  </si>
  <si>
    <t>regnet</t>
  </si>
  <si>
    <t>Fußabdruck</t>
  </si>
  <si>
    <t>füllt</t>
  </si>
  <si>
    <t>bisschen</t>
  </si>
  <si>
    <t>Wasser</t>
  </si>
  <si>
    <t># text = Dann haben wir's.</t>
  </si>
  <si>
    <t>Dann</t>
  </si>
  <si>
    <t>wir's</t>
  </si>
  <si>
    <t># text = Sie haben den perfekten Lebensraum für Malariamoskitos direkt vor Ihrer Haustüre geschaffen.</t>
  </si>
  <si>
    <t>perfekten</t>
  </si>
  <si>
    <t>Lebensraum</t>
  </si>
  <si>
    <t>Malariamoskitos</t>
  </si>
  <si>
    <t>direkt</t>
  </si>
  <si>
    <t>vor</t>
  </si>
  <si>
    <t>Haustüre</t>
  </si>
  <si>
    <t>geschaffen</t>
  </si>
  <si>
    <t># text = Demnach ist es für uns nicht so einfach, diesen Insekten zu entkommen.</t>
  </si>
  <si>
    <t>diesen</t>
  </si>
  <si>
    <t>entkommen</t>
  </si>
  <si>
    <t># text = Wir schaffen sozusagen Orte, die sie lieben, indem wir einfach unser Leben leben.</t>
  </si>
  <si>
    <t>sozusagen</t>
  </si>
  <si>
    <t>lieben</t>
  </si>
  <si>
    <t>indem</t>
  </si>
  <si>
    <t>unser</t>
  </si>
  <si>
    <t># text = Eine riesige wissenschaftliche Herausforderung, aber auch eine riesige wirtschaftliche.</t>
  </si>
  <si>
    <t>Eine</t>
  </si>
  <si>
    <t>wirtschaftliche</t>
  </si>
  <si>
    <t># text = Malaria kommt an einigen der ärmsten und abgelegensten Orte der Welt vor, und es gibt einen Grund dafür.</t>
  </si>
  <si>
    <t>kommt</t>
  </si>
  <si>
    <t>einigen</t>
  </si>
  <si>
    <t>ärmsten</t>
  </si>
  <si>
    <t>abgelegensten</t>
  </si>
  <si>
    <t># text = Wenn man arm ist, ist es wahrscheinlicher, dass man Malaria bekommt.</t>
  </si>
  <si>
    <t>Wenn</t>
  </si>
  <si>
    <t>arm</t>
  </si>
  <si>
    <t>wahrscheinlicher</t>
  </si>
  <si>
    <t>bekommt</t>
  </si>
  <si>
    <t># text = dass man in einer einfachen Unterkunft wohnt in einem Randgebiet, mit einem schlechten Abwassersystem.</t>
  </si>
  <si>
    <t>einfachen</t>
  </si>
  <si>
    <t>Unterkunft</t>
  </si>
  <si>
    <t>wohnt</t>
  </si>
  <si>
    <t>Randgebiet</t>
  </si>
  <si>
    <t>schlechten</t>
  </si>
  <si>
    <t>Abwassersystem</t>
  </si>
  <si>
    <t># text = Das sind die Orte, an denen Moskitos sich fortpflanzen.</t>
  </si>
  <si>
    <t>fortpflanzen</t>
  </si>
  <si>
    <t># text = Es ist unwahrscheinlicher, dass man Mückengitter an Türen und Fenstern hat.</t>
  </si>
  <si>
    <t>unwahrscheinlicher</t>
  </si>
  <si>
    <t>Mückengitter</t>
  </si>
  <si>
    <t>Türen</t>
  </si>
  <si>
    <t>Fenstern</t>
  </si>
  <si>
    <t># text = Oder dass man Strom hat, der so viele Innenaktivitäten möglich macht.</t>
  </si>
  <si>
    <t>Strom</t>
  </si>
  <si>
    <t>viele</t>
  </si>
  <si>
    <t>Innenaktivitäten</t>
  </si>
  <si>
    <t>möglich</t>
  </si>
  <si>
    <t>macht</t>
  </si>
  <si>
    <t># text = Somit ist man mehr draußen.</t>
  </si>
  <si>
    <t>Somit</t>
  </si>
  <si>
    <t># text = Man wird öfters von Moskitos gestochen.</t>
  </si>
  <si>
    <t>Man</t>
  </si>
  <si>
    <t>öfters</t>
  </si>
  <si>
    <t>gestochen</t>
  </si>
  <si>
    <t># text = Demnach verursacht Armut Malaria, aber wir wissen heute auch, dass Malaria selbst Armut verursacht.</t>
  </si>
  <si>
    <t>Armut</t>
  </si>
  <si>
    <t>selbst</t>
  </si>
  <si>
    <t># text = Zum einen schlägt sie am härtesten zur Erntezeit zu – also genau dann, wenn Bauern auf den Feldern sein und ernten müssen, sind sie zuhause und haben Fieber.</t>
  </si>
  <si>
    <t>Zu</t>
  </si>
  <si>
    <t>schlägt</t>
  </si>
  <si>
    <t>härtesten</t>
  </si>
  <si>
    <t>Erntezeit</t>
  </si>
  <si>
    <t>–</t>
  </si>
  <si>
    <t>genau</t>
  </si>
  <si>
    <t>wenn</t>
  </si>
  <si>
    <t>Bauern</t>
  </si>
  <si>
    <t>Feldern</t>
  </si>
  <si>
    <t>ernten</t>
  </si>
  <si>
    <t>müssen</t>
  </si>
  <si>
    <t>zuhause</t>
  </si>
  <si>
    <t>Fieber</t>
  </si>
  <si>
    <t># text = Aber sie macht Leute auch empfänglicher für andere Todesursachen.</t>
  </si>
  <si>
    <t>empfänglicher</t>
  </si>
  <si>
    <t>Todesursachen</t>
  </si>
  <si>
    <t># text = Folgendes ist passiert.</t>
  </si>
  <si>
    <t>Folgendes</t>
  </si>
  <si>
    <t>passiert</t>
  </si>
  <si>
    <t># text = Wir haben es geschafft, Malaria aus einer Gesellschaft zu entfernen.</t>
  </si>
  <si>
    <t>geschafft</t>
  </si>
  <si>
    <t>Gesellschaft</t>
  </si>
  <si>
    <t>entfernen</t>
  </si>
  <si>
    <t># text = Alles andere bleibt gleich, schlechtes Essen, schlechtes Wasser, schlechte sanitäre Anlagen, alles, was Leute krank macht.</t>
  </si>
  <si>
    <t>Alles</t>
  </si>
  <si>
    <t>bleibt</t>
  </si>
  <si>
    <t>gleich</t>
  </si>
  <si>
    <t>schlechtes</t>
  </si>
  <si>
    <t>Essen</t>
  </si>
  <si>
    <t>sanitäre</t>
  </si>
  <si>
    <t>Anlagen</t>
  </si>
  <si>
    <t>alles</t>
  </si>
  <si>
    <t>krank</t>
  </si>
  <si>
    <t># text = Aber wenn man davon nur Malaria rausnimmt, nehmen Todesfälle durch alle anderen Gründe ab.</t>
  </si>
  <si>
    <t>davon</t>
  </si>
  <si>
    <t>rausnimmt</t>
  </si>
  <si>
    <t>durch</t>
  </si>
  <si>
    <t>ab</t>
  </si>
  <si>
    <t># text = Der Ökonom Jeff Sachs hat sogar in Zahlen ausgedrückt, was das für eine Gesellschaft bedeutet.</t>
  </si>
  <si>
    <t>Ökonom</t>
  </si>
  <si>
    <t>Jeff</t>
  </si>
  <si>
    <t>Sachs</t>
  </si>
  <si>
    <t>Zahlen</t>
  </si>
  <si>
    <t>ausgedrückt</t>
  </si>
  <si>
    <t>bedeutet</t>
  </si>
  <si>
    <t># text = Nämlich: Wenn man Malaria in seiner Gesellschaft hat, dann flaut das Wirtschaftswachstum um 1,3 Prozent jedes Jahr ab, das Jahr um Jahr, nur wegen dieser einen Krankheit.</t>
  </si>
  <si>
    <t>Nämlich</t>
  </si>
  <si>
    <t>:</t>
  </si>
  <si>
    <t>seiner</t>
  </si>
  <si>
    <t>flaut</t>
  </si>
  <si>
    <t>Wirtschaftswachstum</t>
  </si>
  <si>
    <t>1,3</t>
  </si>
  <si>
    <t>Prozent</t>
  </si>
  <si>
    <t>wegen</t>
  </si>
  <si>
    <t># text = Das stellt also eine große wirtschaftliche Herausforderung dar, denn nehmen wir an, dass Sie tatsächlich Ihre tolle Arznei entdecken, oder Ihren tollen Impfstoff – wie bringen Sie diese an einen Ort ohne Straßen, ohne Infrastruktur, wo es keinen Strom gibt, um Dinge zu kühlen, wo es keine Kliniken gibt, wo es keine Krankenhausärzte gibt, die diese Dinge dorthin bringen, wo sie gebraucht werden?</t>
  </si>
  <si>
    <t>stellt</t>
  </si>
  <si>
    <t>große</t>
  </si>
  <si>
    <t>dar</t>
  </si>
  <si>
    <t>denn</t>
  </si>
  <si>
    <t>tatsächlich</t>
  </si>
  <si>
    <t>tolle</t>
  </si>
  <si>
    <t>Arznei</t>
  </si>
  <si>
    <t>Ihren</t>
  </si>
  <si>
    <t>tollen</t>
  </si>
  <si>
    <t>Impfstoff</t>
  </si>
  <si>
    <t>bringen</t>
  </si>
  <si>
    <t>Ort</t>
  </si>
  <si>
    <t>Straßen</t>
  </si>
  <si>
    <t>Infrastruktur</t>
  </si>
  <si>
    <t>wo</t>
  </si>
  <si>
    <t>Dinge</t>
  </si>
  <si>
    <t>OBJ_5</t>
  </si>
  <si>
    <t>kühlen</t>
  </si>
  <si>
    <t>keine</t>
  </si>
  <si>
    <t>Kliniken</t>
  </si>
  <si>
    <t>Krankenhausärzte</t>
  </si>
  <si>
    <t>SBJ_7</t>
  </si>
  <si>
    <t>other_8</t>
  </si>
  <si>
    <t>OBJ_7</t>
  </si>
  <si>
    <t>dorthin</t>
  </si>
  <si>
    <t>SBJ_8</t>
  </si>
  <si>
    <t>gebraucht</t>
  </si>
  <si>
    <t># text = Demnach besteht eine große wirtschaftliche Herausforderung darin, Malaria zu bändigen.</t>
  </si>
  <si>
    <t>besteht</t>
  </si>
  <si>
    <t>darin</t>
  </si>
  <si>
    <t>bändigen</t>
  </si>
  <si>
    <t># text = Aber mit der wissenschaftlichen und der wirtschaftlichen Herausforderung kommt auch eine kulturelle Herausforderung, und dies ist wahrscheinlich der Teil der Malaria, über den Leute nicht gerne sprechen.</t>
  </si>
  <si>
    <t>wissenschaftlichen</t>
  </si>
  <si>
    <t>wirtschaftlichen</t>
  </si>
  <si>
    <t>kulturelle</t>
  </si>
  <si>
    <t>dies</t>
  </si>
  <si>
    <t>Teil</t>
  </si>
  <si>
    <t>gerne</t>
  </si>
  <si>
    <t>sprechen</t>
  </si>
  <si>
    <t># text = Und es ist paradox, dass die Leute, die am häufigsten Malaria auf dieser Welt kriegen, dazu neigen, sich darum am wenigsten zu sorgen.</t>
  </si>
  <si>
    <t>paradox</t>
  </si>
  <si>
    <t>häufigsten</t>
  </si>
  <si>
    <t>kriegen</t>
  </si>
  <si>
    <t>dazu</t>
  </si>
  <si>
    <t>pron.padv</t>
  </si>
  <si>
    <t>neigen</t>
  </si>
  <si>
    <t>darum</t>
  </si>
  <si>
    <t>wenigsten</t>
  </si>
  <si>
    <t>sorgen</t>
  </si>
  <si>
    <t># text = Das haben medizinische Anthropologen immer wieder herausgefunden.</t>
  </si>
  <si>
    <t>medizinische</t>
  </si>
  <si>
    <t>Anthropologen</t>
  </si>
  <si>
    <t>immer</t>
  </si>
  <si>
    <t>wieder</t>
  </si>
  <si>
    <t>--</t>
  </si>
  <si>
    <t># text = Sie fragen Leute in malariainfizierten Gebieten: "Was denken Sie über Malaria?"</t>
  </si>
  <si>
    <t>malariainfizierten</t>
  </si>
  <si>
    <t>Gebieten</t>
  </si>
  <si>
    <t>&amp;quot;</t>
  </si>
  <si>
    <t>Was</t>
  </si>
  <si>
    <t># text = Und anstelle: \"Es ist eine tödliche Krankheit.</t>
  </si>
  <si>
    <t>anstelle</t>
  </si>
  <si>
    <t>tödliche</t>
  </si>
  <si>
    <t># text = Wir haben davor Angst.\"</t>
  </si>
  <si>
    <t>davor</t>
  </si>
  <si>
    <t>Angst</t>
  </si>
  <si>
    <t># text = sagen sie: "Malaria ist ein alltägliches Problem im Leben."</t>
  </si>
  <si>
    <t>alltägliches</t>
  </si>
  <si>
    <t># text = Und so war auf jeden Fall auch meine persönliche Erfahrung.</t>
  </si>
  <si>
    <t>persönliche</t>
  </si>
  <si>
    <t>Erfahrung</t>
  </si>
  <si>
    <t># text = Als ich meinen Verwandten in Indien erzählt habe, dass ich ein Buch über Malaria schreibe, haben sie mich so angeschaut, als ob ich erzählt hätte, dass ich ein Buch über Warzen schriebe.</t>
  </si>
  <si>
    <t>Als</t>
  </si>
  <si>
    <t>meinen</t>
  </si>
  <si>
    <t>Verwandten</t>
  </si>
  <si>
    <t>erzählt</t>
  </si>
  <si>
    <t>Buch</t>
  </si>
  <si>
    <t>schreibe</t>
  </si>
  <si>
    <t>angeschaut</t>
  </si>
  <si>
    <t>ob</t>
  </si>
  <si>
    <t>hätte</t>
  </si>
  <si>
    <t>Warzen</t>
  </si>
  <si>
    <t>schriebe</t>
  </si>
  <si>
    <t># text = In etwa, warum würde man über etwas so Langweiliges, so Alltägliches schreiben?</t>
  </si>
  <si>
    <t>etwa</t>
  </si>
  <si>
    <t>etwas</t>
  </si>
  <si>
    <t>Langweiliges</t>
  </si>
  <si>
    <t>Alltägliches</t>
  </si>
  <si>
    <t># text = Und es ist schlicht und einfach Risikowahrnehmung.</t>
  </si>
  <si>
    <t>schlicht</t>
  </si>
  <si>
    <t>Risikowahrnehmung</t>
  </si>
  <si>
    <t># text = Ein Kind in Malawi, zum Beispiel, könnte 12 Mal von Malaria befallen werden, bevor es das Alter von zwei erreicht hat, aber wenn es überlebt, wird es weiterhin Malaria in seinem Leben bekommen, aber es wird viel unwahrscheinlicher, dass es daran stirbt.</t>
  </si>
  <si>
    <t>Ein</t>
  </si>
  <si>
    <t>Kind</t>
  </si>
  <si>
    <t>Malawi</t>
  </si>
  <si>
    <t>Beispiel</t>
  </si>
  <si>
    <t>bevor</t>
  </si>
  <si>
    <t>Alter</t>
  </si>
  <si>
    <t>erreicht</t>
  </si>
  <si>
    <t>weiterhin</t>
  </si>
  <si>
    <t>bekommen</t>
  </si>
  <si>
    <t>viel</t>
  </si>
  <si>
    <t>daran</t>
  </si>
  <si>
    <t>stirbt</t>
  </si>
  <si>
    <t># text = Und seiner Lebenserfahrung nach ist Malaria also etwas, das kommt und geht.</t>
  </si>
  <si>
    <t>Lebenserfahrung</t>
  </si>
  <si>
    <t>nach</t>
  </si>
  <si>
    <t>geht</t>
  </si>
  <si>
    <t># text = Und das stimmt sogar für den Großteil der Malaria dieser Welt.</t>
  </si>
  <si>
    <t>stimmt</t>
  </si>
  <si>
    <t>Großteil</t>
  </si>
  <si>
    <t># text = Der Großteil der Malaria dieser Welt kommt und geht von selbst.</t>
  </si>
  <si>
    <t># text = Es ist nur so, dass es so viel Malaria gibt, dass dieser kleine Anteil der Fälle, der im Tod endet, sich zu einer großen, riesigen Zahl summiert.</t>
  </si>
  <si>
    <t>Anteil</t>
  </si>
  <si>
    <t>Tod</t>
  </si>
  <si>
    <t>endet</t>
  </si>
  <si>
    <t>großen</t>
  </si>
  <si>
    <t>riesigen</t>
  </si>
  <si>
    <t>Zahl</t>
  </si>
  <si>
    <t>summiert</t>
  </si>
  <si>
    <t># text = Leute in Malariagebieten denken wohl so über Malaria wie wir in den gemäßigten Breiten über Erkältung und Grippe.</t>
  </si>
  <si>
    <t>Malariagebieten</t>
  </si>
  <si>
    <t>wohl</t>
  </si>
  <si>
    <t>gemäßigten</t>
  </si>
  <si>
    <t>Breiten</t>
  </si>
  <si>
    <t>Erkältung</t>
  </si>
  <si>
    <t>Grippe</t>
  </si>
  <si>
    <t># text = Erkältung und Grippe sind eine große Last für unsere Gesellschaften und unser Leben, aber wir treffen nicht einmal die einfachsten Vorkehrungen gegen sie, weil wir es für normal halten, in der kalten Jahreszeit an einer Erkältung oder Grippe zu erkranken.</t>
  </si>
  <si>
    <t>Last</t>
  </si>
  <si>
    <t>Gesellschaften</t>
  </si>
  <si>
    <t>treffen</t>
  </si>
  <si>
    <t>einmal</t>
  </si>
  <si>
    <t>einfachsten</t>
  </si>
  <si>
    <t>Vorkehrungen</t>
  </si>
  <si>
    <t>normal</t>
  </si>
  <si>
    <t>halten</t>
  </si>
  <si>
    <t>kalten</t>
  </si>
  <si>
    <t>Jahreszeit</t>
  </si>
  <si>
    <t>erkranken</t>
  </si>
  <si>
    <t># text = Demnach ist das Bändigen von Malaria eine große kulturelle Herausforderung, denn wenn Leute denken, dass Malaria normal ist, wie bekommt man sie dazu, zum Arzt zu gehen, diagnostiziert zu werden, ihr Rezept zu holen und einzulösen, die Arznei zu sich zu nehmen, die Abwehrmittel aufzutragen, ihre Moskitonetze zu benutzen.</t>
  </si>
  <si>
    <t>Bändigen</t>
  </si>
  <si>
    <t>Arzt</t>
  </si>
  <si>
    <t>gehen</t>
  </si>
  <si>
    <t>diagnostiziert</t>
  </si>
  <si>
    <t>ihr</t>
  </si>
  <si>
    <t>Rezept</t>
  </si>
  <si>
    <t>holen</t>
  </si>
  <si>
    <t>einzulösen</t>
  </si>
  <si>
    <t>Abwehrmittel</t>
  </si>
  <si>
    <t>aufzutragen</t>
  </si>
  <si>
    <t>ihre</t>
  </si>
  <si>
    <t>Moskitonetze</t>
  </si>
  <si>
    <t>benutzen</t>
  </si>
  <si>
    <t># text = Im Bändigen der Krankheit besteht eine riesige kulturelle Herausforderung.</t>
  </si>
  <si>
    <t># text = Also fassen wir das mal zusammen.</t>
  </si>
  <si>
    <t>zusammen</t>
  </si>
  <si>
    <t># text = Wir haben eine Krankheit.</t>
  </si>
  <si>
    <t># text = Sie ist wissenschaftlich komplex, eine wirtschaftliche Herausforderung, und die größten potentiellen Nutznießer interessieren sich am wenigsten für sie.</t>
  </si>
  <si>
    <t>wissenschaftlich</t>
  </si>
  <si>
    <t>komplex</t>
  </si>
  <si>
    <t>größten</t>
  </si>
  <si>
    <t>potentiellen</t>
  </si>
  <si>
    <t>Nutznießer</t>
  </si>
  <si>
    <t>interessieren</t>
  </si>
  <si>
    <t># text = Und das summiert sich zum größten Problem überhaupt, was, natürlich, das politische Problem ist.</t>
  </si>
  <si>
    <t>überhaupt</t>
  </si>
  <si>
    <t>natürlich</t>
  </si>
  <si>
    <t>politische</t>
  </si>
  <si>
    <t># text = Wie überzeugt man politische Führer, etwas gegen so ein Problem zu tun?</t>
  </si>
  <si>
    <t>Wie</t>
  </si>
  <si>
    <t>überzeugt</t>
  </si>
  <si>
    <t>Führer</t>
  </si>
  <si>
    <t># text = Geschichtlich gesehen kann man es nicht.</t>
  </si>
  <si>
    <t>Geschichtlich</t>
  </si>
  <si>
    <t>gesehen</t>
  </si>
  <si>
    <t># text = Die meisten Malaria-Gesellschaften haben die Geschichte hindurch einfach mit der Krankheit gelebt.</t>
  </si>
  <si>
    <t>Die</t>
  </si>
  <si>
    <t>meisten</t>
  </si>
  <si>
    <t>hindurch</t>
  </si>
  <si>
    <t>gelebt</t>
  </si>
  <si>
    <t># text = Demnach kamen die Hauptangriffe gegen Malaria von außerhalb der Malaria-Gesellschaften, von Leuten, die nicht durch diese eher lähmende Politik eingeengt werden.</t>
  </si>
  <si>
    <t>kamen</t>
  </si>
  <si>
    <t>Hauptangriffe</t>
  </si>
  <si>
    <t>eher</t>
  </si>
  <si>
    <t>lähmende</t>
  </si>
  <si>
    <t>Politik</t>
  </si>
  <si>
    <t>eingeengt</t>
  </si>
  <si>
    <t># text = Aber das führt zu einer Reihe neuartiger Schwierigkeiten.</t>
  </si>
  <si>
    <t>führt</t>
  </si>
  <si>
    <t>Reihe</t>
  </si>
  <si>
    <t>neuartiger</t>
  </si>
  <si>
    <t>Schwierigkeiten</t>
  </si>
  <si>
    <t># text = Der erste gezielte Angriff gegen Malaria begann in den 50er Jahren.</t>
  </si>
  <si>
    <t>gezielte</t>
  </si>
  <si>
    <t>begann</t>
  </si>
  <si>
    <t>50er</t>
  </si>
  <si>
    <t>Jahren</t>
  </si>
  <si>
    <t># text = Es war das Geistesprodukt des U.S.-Außenministeriums.</t>
  </si>
  <si>
    <t>Geistesprodukt</t>
  </si>
  <si>
    <t>U.S.</t>
  </si>
  <si>
    <t>-Außenministeriums</t>
  </si>
  <si>
    <t># text = Und diese Bemühungen verstanden die wirtschaftliche Herausforderung sehr gut.</t>
  </si>
  <si>
    <t>Bemühungen</t>
  </si>
  <si>
    <t>verstanden</t>
  </si>
  <si>
    <t>gut</t>
  </si>
  <si>
    <t># text = Sie wussten, dass sie sich auf billige, leicht handhabbare Mittel spezialisieren mussten und spezialisierten sich auf DDT.</t>
  </si>
  <si>
    <t>wussten</t>
  </si>
  <si>
    <t>billige</t>
  </si>
  <si>
    <t>leicht</t>
  </si>
  <si>
    <t>handhabbare</t>
  </si>
  <si>
    <t>Mittel</t>
  </si>
  <si>
    <t>mussten</t>
  </si>
  <si>
    <t>spezialisierten</t>
  </si>
  <si>
    <t>DDT</t>
  </si>
  <si>
    <t># text = Sie verstanden die kulturelle Herausforderung.</t>
  </si>
  <si>
    <t># text = Sie hatten sogar die eher bevormundende Ansicht, dass die Leute mit Malariarisiko gar nicht erst gefragt werden sollten.</t>
  </si>
  <si>
    <t>bevormundende</t>
  </si>
  <si>
    <t>Malariarisiko</t>
  </si>
  <si>
    <t>erst</t>
  </si>
  <si>
    <t>gefragt</t>
  </si>
  <si>
    <t>sollten</t>
  </si>
  <si>
    <t># text = Alles sollte ihnen angetan und für sie getan werden.</t>
  </si>
  <si>
    <t>ihnen</t>
  </si>
  <si>
    <t>angetan</t>
  </si>
  <si>
    <t>getan</t>
  </si>
  <si>
    <t># text = Aber sie unterschätzten die wissenschaftliche Herausforderung um einiges.</t>
  </si>
  <si>
    <t>unterschätzten</t>
  </si>
  <si>
    <t># text = Sie hatten so viel Vertrauen in ihre Instrumente, dass sie mit der Malariaforschung aufhörten.</t>
  </si>
  <si>
    <t>Vertrauen</t>
  </si>
  <si>
    <t>Instrumente</t>
  </si>
  <si>
    <t>Malariaforschung</t>
  </si>
  <si>
    <t>aufhörten</t>
  </si>
  <si>
    <t># text = Und als diese Instrumente anfingen zu versagen und die öffentliche Meinung anfing, sich gegen diese Instrumente zu wehren, hatten sie keine wissenschaftliche Kompetenzen, um herauszufinden, was zu machen sei.</t>
  </si>
  <si>
    <t>anfingen</t>
  </si>
  <si>
    <t>versagen</t>
  </si>
  <si>
    <t>öffentliche</t>
  </si>
  <si>
    <t>Meinung</t>
  </si>
  <si>
    <t>anfing</t>
  </si>
  <si>
    <t>wehren</t>
  </si>
  <si>
    <t>Kompetenzen</t>
  </si>
  <si>
    <t>herauszufinden</t>
  </si>
  <si>
    <t>sei</t>
  </si>
  <si>
    <t># text = Die Kampagne brach zusammen, Malaria kam zurück, aber dieses Mal war sie schlimmer als je zuvor, weil sie an den entlegensten Orten eingezäunt wurde in den am schwierigsten kontrollierbaren Formen.</t>
  </si>
  <si>
    <t>Kampagne</t>
  </si>
  <si>
    <t>brach</t>
  </si>
  <si>
    <t>kam</t>
  </si>
  <si>
    <t>zurück</t>
  </si>
  <si>
    <t>schlimmer</t>
  </si>
  <si>
    <t>je</t>
  </si>
  <si>
    <t>entlegensten</t>
  </si>
  <si>
    <t>Orten</t>
  </si>
  <si>
    <t>eingezäunt</t>
  </si>
  <si>
    <t>schwierigsten</t>
  </si>
  <si>
    <t>kontrollierbaren</t>
  </si>
  <si>
    <t>Formen</t>
  </si>
  <si>
    <t># text = Ein WHO-Funktionär jener Zeit nannte diese Kampagne sogar \"einen der größten Fehler aller Zeiten in der öffentlichen Gesundheit.\"</t>
  </si>
  <si>
    <t>WHO</t>
  </si>
  <si>
    <t>Funktionär</t>
  </si>
  <si>
    <t>jener</t>
  </si>
  <si>
    <t>Zeit</t>
  </si>
  <si>
    <t>nannte</t>
  </si>
  <si>
    <t>Fehler</t>
  </si>
  <si>
    <t>aller</t>
  </si>
  <si>
    <t>Zeiten</t>
  </si>
  <si>
    <t>öffentlichen</t>
  </si>
  <si>
    <t>Gesundheit</t>
  </si>
  <si>
    <t># text = Der letzte Versuch, Malaria zu bändigen, wurde in den späten 90ern angefangen.</t>
  </si>
  <si>
    <t>letzte</t>
  </si>
  <si>
    <t>Versuch</t>
  </si>
  <si>
    <t>späten</t>
  </si>
  <si>
    <t>90ern</t>
  </si>
  <si>
    <t># text = Er wird auf ähnliche Weise von außerhalb der Malariagebiete dirigiert und finanziert.</t>
  </si>
  <si>
    <t>ähnliche</t>
  </si>
  <si>
    <t>Malariagebiete</t>
  </si>
  <si>
    <t>dirigiert</t>
  </si>
  <si>
    <t>finanziert</t>
  </si>
  <si>
    <t># text = Dieser Versuch versteht die wissenschaftliche Herausforderung gut.</t>
  </si>
  <si>
    <t>versteht</t>
  </si>
  <si>
    <t># text = Diese Leute betreiben jede Menge Malariaforschung und sie verstehen auch die wirtschaftliche Herausforderung.</t>
  </si>
  <si>
    <t>Menge</t>
  </si>
  <si>
    <t># text = Sie spezialisieren sich auf sehr billige, leicht handhabbare Instrumente.</t>
  </si>
  <si>
    <t># text = Aber hier denke ich, das Problem ist die kulturelle Herausforderung.</t>
  </si>
  <si>
    <t>hier</t>
  </si>
  <si>
    <t>denke</t>
  </si>
  <si>
    <t># text = Das Herzstück des jetzigen Versuchs ist das Moskitonetz.</t>
  </si>
  <si>
    <t>Herzstück</t>
  </si>
  <si>
    <t>jetzigen</t>
  </si>
  <si>
    <t>Versuchs</t>
  </si>
  <si>
    <t># text = Es wird mit Insektiziden behandelt.</t>
  </si>
  <si>
    <t>Insektiziden</t>
  </si>
  <si>
    <t>behandelt</t>
  </si>
  <si>
    <t># text = Es wurde millionenfach in allen Malariagebieten verteilt.</t>
  </si>
  <si>
    <t>millionenfach</t>
  </si>
  <si>
    <t>verteilt</t>
  </si>
  <si>
    <t># text = Und wenn man darüber nachdenkt, ist das Moskitonetz eine Art chirurgischer Eingriff.</t>
  </si>
  <si>
    <t>darüber</t>
  </si>
  <si>
    <t>nachdenkt</t>
  </si>
  <si>
    <t>Art</t>
  </si>
  <si>
    <t>chirurgischer</t>
  </si>
  <si>
    <t>Eingriff</t>
  </si>
  <si>
    <t># text = Es hat keinen wirklichen Wert für eine Familie, außer dass es hilft, Malaria vorzubeugen.</t>
  </si>
  <si>
    <t>wirklichen</t>
  </si>
  <si>
    <t>Wert</t>
  </si>
  <si>
    <t>außer</t>
  </si>
  <si>
    <t>hilft</t>
  </si>
  <si>
    <t>vorzubeugen</t>
  </si>
  <si>
    <t># text = Und trotzdem bitten wir die Leute darum, jede Nacht unter diesem Netz zu schlafen.</t>
  </si>
  <si>
    <t>diesem</t>
  </si>
  <si>
    <t>Netz</t>
  </si>
  <si>
    <t># text = Nur so können sie effektiv sein.</t>
  </si>
  <si>
    <t>effektiv</t>
  </si>
  <si>
    <t># text = Und sie sollen dies selbst dann tun, wenn das Netz die Brise aufhält, oder wenn sie mitten in der Nacht auf die Toilette müssen, oder wenn sie ihr Mobiliar umstellen müssen, um das Netz aufzuhängen, auch wenn sie vielleicht in einer runden Hütte leben, in der es schwierig ist, ein viereckiges Netz zu montieren.</t>
  </si>
  <si>
    <t>Brise</t>
  </si>
  <si>
    <t>aufhält</t>
  </si>
  <si>
    <t>mitten</t>
  </si>
  <si>
    <t>Toilette</t>
  </si>
  <si>
    <t>Mobiliar</t>
  </si>
  <si>
    <t>umstellen</t>
  </si>
  <si>
    <t>aufzuhängen</t>
  </si>
  <si>
    <t>vielleicht</t>
  </si>
  <si>
    <t>runden</t>
  </si>
  <si>
    <t>schwierig</t>
  </si>
  <si>
    <t>viereckiges</t>
  </si>
  <si>
    <t>montieren</t>
  </si>
  <si>
    <t># text = Nun ist das eigentlich kein großes Ding, wenn man eine tödliche Krankheit bekämpft.</t>
  </si>
  <si>
    <t>großes</t>
  </si>
  <si>
    <t>bekämpft</t>
  </si>
  <si>
    <t># text = Das sind schließlich kleine Unannehmlichkeiten.</t>
  </si>
  <si>
    <t>schließlich</t>
  </si>
  <si>
    <t>Unannehmlichkeiten</t>
  </si>
  <si>
    <t># text = Aber so denken Leute nun mal nicht über Malaria.</t>
  </si>
  <si>
    <t>nun</t>
  </si>
  <si>
    <t># text = Also müsste für sie die Rechnung ganz anders lauten.</t>
  </si>
  <si>
    <t>müsste</t>
  </si>
  <si>
    <t>Rechnung</t>
  </si>
  <si>
    <t>ganz</t>
  </si>
  <si>
    <t># text = Stellen Sie sich vor, ein Haufen wohlmeinender Kenianer käme auf uns in den gemäßigten Breiten zu: "Bei euch gibt es ja sehr viele Erkältungs- und Grippefälle.</t>
  </si>
  <si>
    <t>Stellen</t>
  </si>
  <si>
    <t>Haufen</t>
  </si>
  <si>
    <t>wohlmeinender</t>
  </si>
  <si>
    <t>Kenianer</t>
  </si>
  <si>
    <t>käme</t>
  </si>
  <si>
    <t>Bei</t>
  </si>
  <si>
    <t>euch</t>
  </si>
  <si>
    <t>Erkältungs</t>
  </si>
  <si>
    <t>Grippefälle</t>
  </si>
  <si>
    <t># text = Wir haben dieses tolle, leicht handhabbare, billige Ding erfunden, ihr kriegt es umsonst.</t>
  </si>
  <si>
    <t>erfunden</t>
  </si>
  <si>
    <t>kriegt</t>
  </si>
  <si>
    <t>umsonst</t>
  </si>
  <si>
    <t># text = Es nennt sich Gesichtsmaske, und ihr müsst es nur jeden Tag während der Grippezeit tragen, auch wenn ihr zur Schule und zur Arbeit geht.\"</t>
  </si>
  <si>
    <t>nennt</t>
  </si>
  <si>
    <t>Gesichtsmaske</t>
  </si>
  <si>
    <t>müsst</t>
  </si>
  <si>
    <t>Tag</t>
  </si>
  <si>
    <t>Grippezeit</t>
  </si>
  <si>
    <t>tragen</t>
  </si>
  <si>
    <t>Schule</t>
  </si>
  <si>
    <t>Arbeit</t>
  </si>
  <si>
    <t># text = Würden wir das tun?</t>
  </si>
  <si>
    <t>Würden</t>
  </si>
  <si>
    <t># text = Und ich frage mich, ob so die Leute in den Malariagebieten über diese Netze gedacht haben, als sie sie zum ersten Mal bekamen.</t>
  </si>
  <si>
    <t>frage</t>
  </si>
  <si>
    <t>Netze</t>
  </si>
  <si>
    <t>ersten</t>
  </si>
  <si>
    <t>bekamen</t>
  </si>
  <si>
    <t># text = Tatsächlich wissen wir aus Studien, dass nur 20 % der Moskitonetze, die zu Anfang verteilt wurden, überhaupt benutzt wurden.</t>
  </si>
  <si>
    <t>Tatsächlich</t>
  </si>
  <si>
    <t>Studien</t>
  </si>
  <si>
    <t>%</t>
  </si>
  <si>
    <t>Anfang</t>
  </si>
  <si>
    <t>wurden</t>
  </si>
  <si>
    <t>benutzt</t>
  </si>
  <si>
    <t># text = Das ist wahrscheinlich noch zu optimistisch, weil die selben Leute, die die Netze verteilt haben, zurück gegangen sind und die Abnehmer gefragt haben: \"Haben Sie denn das Netz benutzt, das ich Ihnen gegeben habe?\"</t>
  </si>
  <si>
    <t>noch</t>
  </si>
  <si>
    <t>optimistisch</t>
  </si>
  <si>
    <t>selben</t>
  </si>
  <si>
    <t>gegangen</t>
  </si>
  <si>
    <t>Abnehmer</t>
  </si>
  <si>
    <t>Haben</t>
  </si>
  <si>
    <t>Ihnen</t>
  </si>
  <si>
    <t>gegeben</t>
  </si>
  <si>
    <t># text = Was so ähnlich ist, wie wenn Tante Jane dich fragt: "Hast du denn die Vase benutzt, die ich dir zu Weihnachten geschenkt habe?"</t>
  </si>
  <si>
    <t>ähnlich</t>
  </si>
  <si>
    <t>Tante</t>
  </si>
  <si>
    <t>Jane</t>
  </si>
  <si>
    <t>dich</t>
  </si>
  <si>
    <t>fragt</t>
  </si>
  <si>
    <t>Hast</t>
  </si>
  <si>
    <t>du</t>
  </si>
  <si>
    <t>Vase</t>
  </si>
  <si>
    <t>dir</t>
  </si>
  <si>
    <t>Weihnachten</t>
  </si>
  <si>
    <t>geschenkt</t>
  </si>
  <si>
    <t># text = Also ist die Zahl wahrscheinlich zu hoch.</t>
  </si>
  <si>
    <t>hoch</t>
  </si>
  <si>
    <t># text = Aber das ist kein unüberwindbares Problem.</t>
  </si>
  <si>
    <t>unüberwindbares</t>
  </si>
  <si>
    <t># text = Wir können besser aufklären und Leute überzeugen, ihre Netze zu benutzen.</t>
  </si>
  <si>
    <t>besser</t>
  </si>
  <si>
    <t># text = Genau das passiert jetzt auch.</t>
  </si>
  <si>
    <t>Genau</t>
  </si>
  <si>
    <t>jetzt</t>
  </si>
  <si>
    <t># text = Wir investieren gerade viel mehr Geld und Zeit in Workshops, Seminare, Trainings, Musicals, Theaterstücke und Infoabende und tun all diese Dinge, um Leute zu überzeugen, die Netze zu nutzen, die wir ihnen gegeben haben.</t>
  </si>
  <si>
    <t>gerade</t>
  </si>
  <si>
    <t>Geld</t>
  </si>
  <si>
    <t>Workshops</t>
  </si>
  <si>
    <t>Seminare</t>
  </si>
  <si>
    <t>Trainings</t>
  </si>
  <si>
    <t>Musicals</t>
  </si>
  <si>
    <t>Theaterstücke</t>
  </si>
  <si>
    <t>Infoabende</t>
  </si>
  <si>
    <t>all</t>
  </si>
  <si>
    <t>nutzen</t>
  </si>
  <si>
    <t># text = Und das könnte funktionieren.</t>
  </si>
  <si>
    <t># text = Aber es braucht Zeit.</t>
  </si>
  <si>
    <t>braucht</t>
  </si>
  <si>
    <t># text = Es braucht Geld.</t>
  </si>
  <si>
    <t># text = Es braucht Ressourcen.</t>
  </si>
  <si>
    <t>Ressourcen</t>
  </si>
  <si>
    <t># text = Es braucht eine Infrastruktur.</t>
  </si>
  <si>
    <t># text = Alles Dinge, die dieses billige, leicht anwendbare Moskitonetz nicht hätte brauchen sollen.</t>
  </si>
  <si>
    <t>anwendbare</t>
  </si>
  <si>
    <t># text = Es ist also schwierig, Malaria von innerhalb der Malariagesellschaften anzugreifen, aber genauso schwierig, wenn wir sie von außerhalb dieser Gesellschaften angreifen wollen.</t>
  </si>
  <si>
    <t>innerhalb</t>
  </si>
  <si>
    <t>Malariagesellschaften</t>
  </si>
  <si>
    <t>anzugreifen</t>
  </si>
  <si>
    <t>wollen</t>
  </si>
  <si>
    <t># text = Am Ende streifen wir unsere Prioritäten den Leuten in den Malariagebieten über.</t>
  </si>
  <si>
    <t>An</t>
  </si>
  <si>
    <t>Ende</t>
  </si>
  <si>
    <t>streifen</t>
  </si>
  <si>
    <t>Prioritäten</t>
  </si>
  <si>
    <t># text = Genau das haben wir in den 50ern gemacht und diese Bemühungen sind fehlgeschlagen.</t>
  </si>
  <si>
    <t>50ern</t>
  </si>
  <si>
    <t>gemacht</t>
  </si>
  <si>
    <t>fehlgeschlagen</t>
  </si>
  <si>
    <t># text = Ich würde heute sagen, wenn wir Mittel verteilen, die wir entworfen haben, und diese nicht zwingend in dem Leben der Leute Sinn ergeben, laufen wir Gefahr, den gleichen Fehler zu wiederholen.</t>
  </si>
  <si>
    <t>entworfen</t>
  </si>
  <si>
    <t>zwingend</t>
  </si>
  <si>
    <t>Gefahr</t>
  </si>
  <si>
    <t>gleichen</t>
  </si>
  <si>
    <t>wiederholen</t>
  </si>
  <si>
    <t># text = Das soll nicht heißen, dass Malaria unüberwindbar ist, denn ich meine, sie ist es.</t>
  </si>
  <si>
    <t>soll</t>
  </si>
  <si>
    <t>unüberwindbar</t>
  </si>
  <si>
    <t># text = Aber wie wäre es, wenn wir diese Krankheit im Einklang mit den Prioritäten der Leute, die mit ihr leben, angehen würden?</t>
  </si>
  <si>
    <t>wäre</t>
  </si>
  <si>
    <t>Einklang</t>
  </si>
  <si>
    <t>angehen</t>
  </si>
  <si>
    <t>würden</t>
  </si>
  <si>
    <t># text = Nehmen wir das Beispiel von England und den USA.</t>
  </si>
  <si>
    <t>Nehmen</t>
  </si>
  <si>
    <t>England</t>
  </si>
  <si>
    <t>USA</t>
  </si>
  <si>
    <t># text = Hunderte von Jahren gab es dort Malaria und wir sind sie vollständig losgeworden, nicht, weil wir sie angegriffen haben.</t>
  </si>
  <si>
    <t>gab</t>
  </si>
  <si>
    <t>dort</t>
  </si>
  <si>
    <t>vollständig</t>
  </si>
  <si>
    <t>losgeworden</t>
  </si>
  <si>
    <t>angegriffen</t>
  </si>
  <si>
    <t># text = Haben wir nicht.</t>
  </si>
  <si>
    <t># text = Wir haben schlechte Straßen und schlechte Häuser, schlechte Kanalisation, Strommangel und Landarmut in Angriff genommen.</t>
  </si>
  <si>
    <t>Häuser</t>
  </si>
  <si>
    <t>Kanalisation</t>
  </si>
  <si>
    <t>Strommangel</t>
  </si>
  <si>
    <t>Landarmut</t>
  </si>
  <si>
    <t>genommen</t>
  </si>
  <si>
    <t># text = Wir griffen die Malaria-Lebensart an und dadurch haben wir langsam Malaria ausgeschlossen.</t>
  </si>
  <si>
    <t>griffen</t>
  </si>
  <si>
    <t>Lebensart</t>
  </si>
  <si>
    <t>dadurch</t>
  </si>
  <si>
    <t>langsam</t>
  </si>
  <si>
    <t>ausgeschlossen</t>
  </si>
  <si>
    <t># text = Die Malaria-Lebensart angreifen – dafür könnte man Leute heute begeistern.</t>
  </si>
  <si>
    <t>begeistern</t>
  </si>
  <si>
    <t># text = Und die Malaria-Lebensart anzugreifen ist weder schnell, noch billig, noch leicht, aber ich denke, es ist der einzig haltbare Weg nach vorne.</t>
  </si>
  <si>
    <t>weder</t>
  </si>
  <si>
    <t>schnell</t>
  </si>
  <si>
    <t>billig</t>
  </si>
  <si>
    <t>einzig</t>
  </si>
  <si>
    <t>haltbare</t>
  </si>
  <si>
    <t>Weg</t>
  </si>
  <si>
    <t>vorne</t>
  </si>
  <si>
    <t># text = Vielen Dank.</t>
  </si>
  <si>
    <t>Vielen</t>
  </si>
  <si>
    <t># text = (Applaus)</t>
  </si>
  <si>
    <t>(</t>
  </si>
  <si>
    <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</si>
</sst>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56"/>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16</v>
      </c>
      <c r="B3" s="6" t="s">
        <v>17</v>
      </c>
      <c r="C3" s="6" t="s">
        <v>12</v>
      </c>
      <c r="D3" s="7" t="s">
        <v>18</v>
      </c>
      <c r="E3" s="8" t="s">
        <v>19</v>
      </c>
      <c r="F3" s="6" t="s">
        <v>20</v>
      </c>
      <c r="G3" s="9">
        <f>IF(A3=1,"_",IF(C3="_","???",C3))</f>
        <v/>
      </c>
      <c r="H3" s="10" t="s">
        <v>12</v>
      </c>
      <c r="I3" s="11" t="s">
        <v>12</v>
      </c>
      <c r="J3" s="12"/>
    </row>
    <row r="4" spans="1:10" ht="60" customHeight="1">
      <c r="A4" s="6" t="s">
        <v>21</v>
      </c>
      <c r="B4" s="6" t="s">
        <v>10</v>
      </c>
      <c r="C4" s="6" t="s">
        <v>12</v>
      </c>
      <c r="D4" s="7" t="s">
        <v>18</v>
      </c>
      <c r="E4" s="8" t="s">
        <v>22</v>
      </c>
      <c r="F4" s="6" t="s">
        <v>23</v>
      </c>
      <c r="G4" s="9">
        <f>IF(A4=1,"_",IF(C4="_","???",C4))</f>
        <v/>
      </c>
      <c r="H4" s="10" t="s">
        <v>12</v>
      </c>
      <c r="I4" s="11" t="s">
        <v>12</v>
      </c>
      <c r="J4" s="12"/>
    </row>
    <row r="5" spans="1:10" ht="60" customHeight="1">
      <c r="A5" s="6" t="s">
        <v>17</v>
      </c>
      <c r="B5" s="6" t="s">
        <v>10</v>
      </c>
      <c r="C5" s="6" t="s">
        <v>12</v>
      </c>
      <c r="D5" s="7" t="s">
        <v>24</v>
      </c>
      <c r="E5" s="8" t="s">
        <v>25</v>
      </c>
      <c r="F5" s="6" t="s">
        <v>26</v>
      </c>
      <c r="G5" s="9">
        <f>IF(A5=1,"_",IF(C5="_","???",C5))</f>
        <v/>
      </c>
      <c r="H5" s="10" t="s">
        <v>12</v>
      </c>
      <c r="I5" s="11" t="s">
        <v>12</v>
      </c>
      <c r="J5" s="12"/>
    </row>
    <row r="6" spans="1:10" ht="60" customHeight="1">
      <c r="A6" s="6" t="s">
        <v>27</v>
      </c>
      <c r="B6" s="6" t="s">
        <v>10</v>
      </c>
      <c r="C6" s="6" t="s">
        <v>12</v>
      </c>
      <c r="D6" s="7" t="s">
        <v>28</v>
      </c>
      <c r="E6" s="8" t="s">
        <v>29</v>
      </c>
      <c r="F6" s="6" t="s">
        <v>30</v>
      </c>
      <c r="G6" s="9">
        <f>IF(A6=1,"_",IF(C6="_","???",C6))</f>
        <v/>
      </c>
      <c r="H6" s="10" t="s">
        <v>12</v>
      </c>
      <c r="I6" s="11" t="s">
        <v>12</v>
      </c>
      <c r="J6" s="12"/>
    </row>
    <row r="7" spans="1:10" ht="60" customHeight="1">
      <c r="A7" s="6" t="s">
        <v>31</v>
      </c>
      <c r="B7" s="6" t="s">
        <v>10</v>
      </c>
      <c r="C7" s="6" t="s">
        <v>32</v>
      </c>
      <c r="D7" s="7" t="s">
        <v>33</v>
      </c>
      <c r="E7" s="8" t="s">
        <v>34</v>
      </c>
      <c r="F7" s="6" t="s">
        <v>35</v>
      </c>
      <c r="G7" s="9">
        <f>IF(A7=1,"_",IF(C7="_","???",C7))</f>
        <v/>
      </c>
      <c r="H7" s="10" t="s">
        <v>12</v>
      </c>
      <c r="I7" s="11" t="s">
        <v>12</v>
      </c>
      <c r="J7" s="12"/>
    </row>
    <row r="8" spans="1:10" ht="60" customHeight="1">
      <c r="A8" s="6" t="s">
        <v>36</v>
      </c>
      <c r="B8" s="6" t="s">
        <v>10</v>
      </c>
      <c r="C8" s="6" t="s">
        <v>12</v>
      </c>
      <c r="D8" s="7" t="s">
        <v>28</v>
      </c>
      <c r="E8" s="8" t="s">
        <v>37</v>
      </c>
      <c r="F8" s="6" t="s">
        <v>38</v>
      </c>
      <c r="G8" s="9">
        <f>IF(A8=1,"_",IF(C8="_","???",C8))</f>
        <v/>
      </c>
      <c r="H8" s="10" t="s">
        <v>12</v>
      </c>
      <c r="I8" s="11" t="s">
        <v>12</v>
      </c>
      <c r="J8" s="12"/>
    </row>
    <row r="9" spans="1:10" ht="60" customHeight="1">
      <c r="A9" s="6" t="s">
        <v>11</v>
      </c>
      <c r="B9" s="6" t="s">
        <v>10</v>
      </c>
      <c r="C9" s="6" t="s">
        <v>12</v>
      </c>
      <c r="D9" s="7" t="s">
        <v>33</v>
      </c>
      <c r="E9" s="8" t="s">
        <v>39</v>
      </c>
      <c r="F9" s="6" t="s">
        <v>40</v>
      </c>
      <c r="G9" s="9">
        <f>IF(A9=1,"_",IF(C9="_","???",C9))</f>
        <v/>
      </c>
      <c r="H9" s="10" t="s">
        <v>12</v>
      </c>
      <c r="I9" s="11" t="s">
        <v>12</v>
      </c>
      <c r="J9" s="12"/>
    </row>
    <row r="10" spans="1:10" ht="60" customHeight="1">
      <c r="A10" s="6" t="s">
        <v>41</v>
      </c>
      <c r="B10" s="6" t="s">
        <v>41</v>
      </c>
      <c r="C10" s="6" t="s">
        <v>12</v>
      </c>
      <c r="D10" s="7" t="s">
        <v>42</v>
      </c>
      <c r="E10" s="8" t="s">
        <v>43</v>
      </c>
      <c r="F10" s="6" t="s">
        <v>44</v>
      </c>
      <c r="G10" s="9">
        <f>IF(A10=1,"_",IF(C10="_","???",C10))</f>
        <v/>
      </c>
      <c r="H10" s="10" t="s">
        <v>12</v>
      </c>
      <c r="I10" s="11" t="s">
        <v>12</v>
      </c>
      <c r="J10" s="12"/>
    </row>
    <row r="11" spans="1:10" ht="60" customHeight="1">
      <c r="A11" s="6" t="s">
        <v>45</v>
      </c>
      <c r="B11" s="6" t="s">
        <v>46</v>
      </c>
      <c r="C11" s="6" t="s">
        <v>47</v>
      </c>
      <c r="D11" s="7" t="s">
        <v>48</v>
      </c>
      <c r="E11" s="8" t="s">
        <v>49</v>
      </c>
      <c r="F11" s="6" t="s">
        <v>50</v>
      </c>
      <c r="G11" s="9">
        <f>IF(A11=1,"_",IF(C11="_","???",C11))</f>
        <v/>
      </c>
      <c r="H11" s="10" t="s">
        <v>12</v>
      </c>
      <c r="I11" s="11" t="s">
        <v>12</v>
      </c>
      <c r="J11" s="12"/>
    </row>
    <row r="12" spans="1:10" ht="60" customHeight="1">
      <c r="A12" s="6" t="s">
        <v>51</v>
      </c>
      <c r="B12" s="6" t="s">
        <v>10</v>
      </c>
      <c r="C12" s="6" t="s">
        <v>12</v>
      </c>
      <c r="D12" s="7" t="s">
        <v>52</v>
      </c>
      <c r="E12" s="8" t="s">
        <v>53</v>
      </c>
      <c r="F12" s="6" t="s">
        <v>54</v>
      </c>
      <c r="G12" s="9">
        <f>IF(A12=1,"_",IF(C12="_","???",C12))</f>
        <v/>
      </c>
      <c r="H12" s="10" t="s">
        <v>12</v>
      </c>
      <c r="I12" s="11" t="s">
        <v>12</v>
      </c>
      <c r="J12" s="12"/>
    </row>
    <row r="13" spans="1:10" ht="60" customHeight="1">
      <c r="A13" s="6" t="s">
        <v>55</v>
      </c>
      <c r="B13" s="6" t="s">
        <v>36</v>
      </c>
      <c r="C13" s="6" t="s">
        <v>12</v>
      </c>
      <c r="D13" s="7" t="s">
        <v>56</v>
      </c>
      <c r="E13" s="8" t="s">
        <v>57</v>
      </c>
      <c r="F13" s="6" t="s">
        <v>58</v>
      </c>
      <c r="G13" s="9">
        <f>IF(A13=1,"_",IF(C13="_","???",C13))</f>
        <v/>
      </c>
      <c r="H13" s="10" t="s">
        <v>12</v>
      </c>
      <c r="I13" s="11" t="s">
        <v>12</v>
      </c>
      <c r="J13" s="12"/>
    </row>
    <row r="14" spans="1:10" ht="60" customHeight="1">
      <c r="A14" s="6" t="s">
        <v>59</v>
      </c>
      <c r="B14" s="6" t="s">
        <v>60</v>
      </c>
      <c r="C14" s="6" t="s">
        <v>12</v>
      </c>
      <c r="D14" s="7" t="s">
        <v>61</v>
      </c>
      <c r="E14" s="8" t="s">
        <v>62</v>
      </c>
      <c r="F14" s="6" t="s">
        <v>63</v>
      </c>
      <c r="G14" s="9">
        <f>IF(A14=1,"_",IF(C14="_","???",C14))</f>
        <v/>
      </c>
      <c r="H14" s="10" t="s">
        <v>12</v>
      </c>
      <c r="I14" s="11" t="s">
        <v>12</v>
      </c>
      <c r="J14" s="12"/>
    </row>
    <row r="15" spans="1:10" ht="60" customHeight="1">
      <c r="A15" s="6" t="s">
        <v>64</v>
      </c>
      <c r="B15" s="6" t="s">
        <v>31</v>
      </c>
      <c r="C15" s="6" t="s">
        <v>12</v>
      </c>
      <c r="D15" s="7" t="s">
        <v>65</v>
      </c>
      <c r="E15" s="8" t="s">
        <v>66</v>
      </c>
      <c r="F15" s="6" t="s">
        <v>67</v>
      </c>
      <c r="G15" s="9">
        <f>IF(A15=1,"_",IF(C15="_","???",C15))</f>
        <v/>
      </c>
      <c r="H15" s="10" t="s">
        <v>12</v>
      </c>
      <c r="I15" s="11" t="s">
        <v>12</v>
      </c>
      <c r="J15" s="12"/>
    </row>
    <row r="16" spans="1:10" ht="60" customHeight="1">
      <c r="A16" s="6" t="s">
        <v>68</v>
      </c>
      <c r="B16" s="6" t="s">
        <v>16</v>
      </c>
      <c r="C16" s="6" t="s">
        <v>12</v>
      </c>
      <c r="D16" s="7" t="s">
        <v>69</v>
      </c>
      <c r="E16" s="8" t="s">
        <v>70</v>
      </c>
      <c r="F16" s="6" t="s">
        <v>71</v>
      </c>
      <c r="G16" s="9">
        <f>IF(A16=1,"_",IF(C16="_","???",C16))</f>
        <v/>
      </c>
      <c r="H16" s="10" t="s">
        <v>12</v>
      </c>
      <c r="I16" s="11" t="s">
        <v>12</v>
      </c>
      <c r="J16" s="12"/>
    </row>
    <row r="17" spans="1:10" ht="60" customHeight="1">
      <c r="A17" s="6" t="s">
        <v>72</v>
      </c>
      <c r="B17" s="6" t="s">
        <v>27</v>
      </c>
      <c r="C17" s="6" t="s">
        <v>12</v>
      </c>
      <c r="D17" s="7" t="s">
        <v>73</v>
      </c>
      <c r="E17" s="8" t="s">
        <v>74</v>
      </c>
      <c r="F17" s="6" t="s">
        <v>75</v>
      </c>
      <c r="G17" s="9">
        <f>IF(A17=1,"_",IF(C17="_","???",C17))</f>
        <v/>
      </c>
      <c r="H17" s="10" t="s">
        <v>12</v>
      </c>
      <c r="I17" s="11" t="s">
        <v>12</v>
      </c>
      <c r="J17" s="12"/>
    </row>
    <row r="18" spans="1:10" ht="60" customHeight="1">
      <c r="A18" s="6" t="s">
        <v>76</v>
      </c>
      <c r="B18" s="6" t="s">
        <v>27</v>
      </c>
      <c r="C18" s="6" t="s">
        <v>12</v>
      </c>
      <c r="D18" s="7" t="s">
        <v>77</v>
      </c>
      <c r="E18" s="8" t="s">
        <v>78</v>
      </c>
      <c r="F18" s="6" t="s">
        <v>79</v>
      </c>
      <c r="G18" s="9">
        <f>IF(A18=1,"_",IF(C18="_","???",C18))</f>
        <v/>
      </c>
      <c r="H18" s="10" t="s">
        <v>12</v>
      </c>
      <c r="I18" s="11" t="s">
        <v>12</v>
      </c>
      <c r="J18" s="12"/>
    </row>
    <row r="19" spans="1:10" ht="60" customHeight="1">
      <c r="A19" s="6" t="s">
        <v>80</v>
      </c>
      <c r="B19" s="6" t="s">
        <v>31</v>
      </c>
      <c r="C19" s="6" t="s">
        <v>12</v>
      </c>
      <c r="D19" s="7" t="s">
        <v>81</v>
      </c>
      <c r="E19" s="8" t="s">
        <v>82</v>
      </c>
      <c r="F19" s="6" t="s">
        <v>83</v>
      </c>
      <c r="G19" s="9">
        <f>IF(A19=1,"_",IF(C19="_","???",C19))</f>
        <v/>
      </c>
      <c r="H19" s="10" t="s">
        <v>12</v>
      </c>
      <c r="I19" s="11" t="s">
        <v>12</v>
      </c>
      <c r="J19" s="12"/>
    </row>
    <row r="20" spans="1:10" ht="60" customHeight="1">
      <c r="A20" s="6" t="s">
        <v>84</v>
      </c>
      <c r="B20" s="6" t="s">
        <v>10</v>
      </c>
      <c r="C20" s="6" t="s">
        <v>12</v>
      </c>
      <c r="D20" s="7" t="s">
        <v>85</v>
      </c>
      <c r="E20" s="8" t="s">
        <v>86</v>
      </c>
      <c r="F20" s="6" t="s">
        <v>87</v>
      </c>
      <c r="G20" s="9">
        <f>IF(A20=1,"_",IF(C20="_","???",C20))</f>
        <v/>
      </c>
      <c r="H20" s="10" t="s">
        <v>12</v>
      </c>
      <c r="I20" s="11" t="s">
        <v>12</v>
      </c>
      <c r="J20" s="12"/>
    </row>
    <row r="21" spans="1:10" ht="60" customHeight="1">
      <c r="A21" s="6" t="s">
        <v>60</v>
      </c>
      <c r="B21" s="6" t="s">
        <v>16</v>
      </c>
      <c r="C21" s="6" t="s">
        <v>12</v>
      </c>
      <c r="D21" s="7" t="s">
        <v>88</v>
      </c>
      <c r="E21" s="8" t="s">
        <v>89</v>
      </c>
      <c r="F21" s="6" t="s">
        <v>90</v>
      </c>
      <c r="G21" s="9">
        <f>IF(A21=1,"_",IF(C21="_","???",C21))</f>
        <v/>
      </c>
      <c r="H21" s="10" t="s">
        <v>12</v>
      </c>
      <c r="I21" s="11" t="s">
        <v>12</v>
      </c>
      <c r="J21" s="12"/>
    </row>
    <row r="22" spans="1:10" ht="60" customHeight="1">
      <c r="A22" s="6" t="s">
        <v>91</v>
      </c>
      <c r="B22" s="6" t="s">
        <v>21</v>
      </c>
      <c r="C22" s="6" t="s">
        <v>12</v>
      </c>
      <c r="D22" s="7" t="s">
        <v>92</v>
      </c>
      <c r="E22" s="8" t="s">
        <v>93</v>
      </c>
      <c r="F22" s="6" t="s">
        <v>94</v>
      </c>
      <c r="G22" s="9">
        <f>IF(A22=1,"_",IF(C22="_","???",C22))</f>
        <v/>
      </c>
      <c r="H22" s="10" t="s">
        <v>12</v>
      </c>
      <c r="I22" s="11" t="s">
        <v>12</v>
      </c>
      <c r="J22" s="12"/>
    </row>
    <row r="23" spans="1:10" ht="60" customHeight="1">
      <c r="A23" s="6" t="s">
        <v>95</v>
      </c>
      <c r="B23" s="6" t="s">
        <v>21</v>
      </c>
      <c r="C23" s="6" t="s">
        <v>12</v>
      </c>
      <c r="D23" s="7" t="s">
        <v>96</v>
      </c>
      <c r="E23" s="8" t="s">
        <v>97</v>
      </c>
      <c r="F23" s="6" t="s">
        <v>98</v>
      </c>
      <c r="G23" s="9">
        <f>IF(A23=1,"_",IF(C23="_","???",C23))</f>
        <v/>
      </c>
      <c r="H23" s="10" t="s">
        <v>12</v>
      </c>
      <c r="I23" s="11" t="s">
        <v>12</v>
      </c>
      <c r="J23" s="12"/>
    </row>
    <row r="24" spans="1:10" ht="60" customHeight="1">
      <c r="A24" s="6" t="s">
        <v>99</v>
      </c>
      <c r="B24" s="6" t="s">
        <v>11</v>
      </c>
      <c r="C24" s="6" t="s">
        <v>12</v>
      </c>
      <c r="D24" s="7" t="s">
        <v>100</v>
      </c>
      <c r="E24" s="8" t="s">
        <v>101</v>
      </c>
      <c r="F24" s="6" t="s">
        <v>102</v>
      </c>
      <c r="G24" s="9">
        <f>IF(A24=1,"_",IF(C24="_","???",C24))</f>
        <v/>
      </c>
      <c r="H24" s="10" t="s">
        <v>12</v>
      </c>
      <c r="I24" s="11" t="s">
        <v>12</v>
      </c>
      <c r="J24" s="12"/>
    </row>
    <row r="25" spans="1:10" ht="60" customHeight="1">
      <c r="A25" s="6" t="s">
        <v>103</v>
      </c>
      <c r="B25" s="6" t="s">
        <v>10</v>
      </c>
      <c r="C25" s="6" t="s">
        <v>12</v>
      </c>
      <c r="D25" s="7" t="s">
        <v>104</v>
      </c>
      <c r="E25" s="8" t="s">
        <v>105</v>
      </c>
      <c r="F25" s="6" t="s">
        <v>106</v>
      </c>
      <c r="G25" s="9">
        <f>IF(A25=1,"_",IF(C25="_","???",C25))</f>
        <v/>
      </c>
      <c r="H25" s="10" t="s">
        <v>12</v>
      </c>
      <c r="I25" s="11" t="s">
        <v>12</v>
      </c>
      <c r="J25" s="12"/>
    </row>
    <row r="26" spans="1:10" ht="60" customHeight="1">
      <c r="A26" s="6" t="s">
        <v>107</v>
      </c>
      <c r="B26" s="6" t="s">
        <v>21</v>
      </c>
      <c r="C26" s="6" t="s">
        <v>12</v>
      </c>
      <c r="D26" s="7" t="s">
        <v>108</v>
      </c>
      <c r="E26" s="8" t="s">
        <v>109</v>
      </c>
      <c r="F26" s="6" t="s">
        <v>110</v>
      </c>
      <c r="G26" s="9">
        <f>IF(A26=1,"_",IF(C26="_","???",C26))</f>
        <v/>
      </c>
      <c r="H26" s="10" t="s">
        <v>12</v>
      </c>
      <c r="I26" s="11" t="s">
        <v>12</v>
      </c>
      <c r="J26" s="12"/>
    </row>
    <row r="27" spans="1:10" ht="60" customHeight="1">
      <c r="A27" s="6" t="s">
        <v>111</v>
      </c>
      <c r="B27" s="6" t="s">
        <v>55</v>
      </c>
      <c r="C27" s="6" t="s">
        <v>12</v>
      </c>
      <c r="D27" s="7" t="s">
        <v>112</v>
      </c>
      <c r="E27" s="8" t="s">
        <v>113</v>
      </c>
      <c r="F27" s="6" t="s">
        <v>114</v>
      </c>
      <c r="G27" s="9">
        <f>IF(A27=1,"_",IF(C27="_","???",C27))</f>
        <v/>
      </c>
      <c r="H27" s="10" t="s">
        <v>12</v>
      </c>
      <c r="I27" s="11" t="s">
        <v>12</v>
      </c>
      <c r="J27" s="12"/>
    </row>
    <row r="28" spans="1:10" ht="60" customHeight="1">
      <c r="A28" s="6" t="s">
        <v>115</v>
      </c>
      <c r="B28" s="6" t="s">
        <v>21</v>
      </c>
      <c r="C28" s="6" t="s">
        <v>12</v>
      </c>
      <c r="D28" s="7" t="s">
        <v>116</v>
      </c>
      <c r="E28" s="8" t="s">
        <v>117</v>
      </c>
      <c r="F28" s="6" t="s">
        <v>118</v>
      </c>
      <c r="G28" s="9">
        <f>IF(A28=1,"_",IF(C28="_","???",C28))</f>
        <v/>
      </c>
      <c r="H28" s="10" t="s">
        <v>12</v>
      </c>
      <c r="I28" s="11" t="s">
        <v>12</v>
      </c>
      <c r="J28" s="12"/>
    </row>
    <row r="29" spans="1:10" ht="60" customHeight="1">
      <c r="A29" s="6" t="s">
        <v>119</v>
      </c>
      <c r="B29" s="6" t="s">
        <v>21</v>
      </c>
      <c r="C29" s="6" t="s">
        <v>12</v>
      </c>
      <c r="D29" s="7" t="s">
        <v>120</v>
      </c>
      <c r="E29" s="8" t="s">
        <v>121</v>
      </c>
      <c r="F29" s="6" t="s">
        <v>122</v>
      </c>
      <c r="G29" s="9">
        <f>IF(A29=1,"_",IF(C29="_","???",C29))</f>
        <v/>
      </c>
      <c r="H29" s="10" t="s">
        <v>12</v>
      </c>
      <c r="I29" s="11" t="s">
        <v>12</v>
      </c>
      <c r="J29" s="12"/>
    </row>
    <row r="30" spans="1:10" ht="60" customHeight="1">
      <c r="A30" s="6" t="s">
        <v>123</v>
      </c>
      <c r="B30" s="6" t="s">
        <v>10</v>
      </c>
      <c r="C30" s="6" t="s">
        <v>12</v>
      </c>
      <c r="D30" s="7" t="s">
        <v>18</v>
      </c>
      <c r="E30" s="8" t="s">
        <v>124</v>
      </c>
      <c r="F30" s="6" t="s">
        <v>125</v>
      </c>
      <c r="G30" s="9">
        <f>IF(A30=1,"_",IF(C30="_","???",C30))</f>
        <v/>
      </c>
      <c r="H30" s="10" t="s">
        <v>12</v>
      </c>
      <c r="I30" s="11" t="s">
        <v>12</v>
      </c>
      <c r="J30" s="12"/>
    </row>
    <row r="31" spans="1:10" ht="60" customHeight="1">
      <c r="A31" s="6" t="s">
        <v>126</v>
      </c>
      <c r="B31" s="6" t="s">
        <v>10</v>
      </c>
      <c r="C31" s="6" t="s">
        <v>12</v>
      </c>
      <c r="D31" s="7" t="s">
        <v>127</v>
      </c>
      <c r="E31" s="8" t="s">
        <v>128</v>
      </c>
      <c r="F31" s="6" t="s">
        <v>129</v>
      </c>
      <c r="G31" s="9">
        <f>IF(A31=1,"_",IF(C31="_","???",C31))</f>
        <v/>
      </c>
      <c r="H31" s="10" t="s">
        <v>12</v>
      </c>
      <c r="I31" s="11" t="s">
        <v>12</v>
      </c>
      <c r="J31" s="12"/>
    </row>
    <row r="32" spans="1:10" ht="60" customHeight="1">
      <c r="A32" s="6" t="s">
        <v>130</v>
      </c>
      <c r="B32" s="6" t="s">
        <v>11</v>
      </c>
      <c r="C32" s="6" t="s">
        <v>12</v>
      </c>
      <c r="D32" s="7" t="s">
        <v>131</v>
      </c>
      <c r="E32" s="8" t="s">
        <v>132</v>
      </c>
      <c r="F32" s="6" t="s">
        <v>133</v>
      </c>
      <c r="G32" s="9">
        <f>IF(A32=1,"_",IF(C32="_","???",C32))</f>
        <v/>
      </c>
      <c r="H32" s="10" t="s">
        <v>12</v>
      </c>
      <c r="I32" s="11" t="s">
        <v>12</v>
      </c>
      <c r="J32" s="12"/>
    </row>
    <row r="33" spans="1:10" ht="60" customHeight="1">
      <c r="A33" s="6" t="s">
        <v>134</v>
      </c>
      <c r="B33" s="6" t="s">
        <v>17</v>
      </c>
      <c r="C33" s="6" t="s">
        <v>12</v>
      </c>
      <c r="D33" s="7" t="s">
        <v>135</v>
      </c>
      <c r="E33" s="8" t="s">
        <v>136</v>
      </c>
      <c r="F33" s="6" t="s">
        <v>137</v>
      </c>
      <c r="G33" s="9">
        <f>IF(A33=1,"_",IF(C33="_","???",C33))</f>
        <v/>
      </c>
      <c r="H33" s="10" t="s">
        <v>12</v>
      </c>
      <c r="I33" s="11" t="s">
        <v>12</v>
      </c>
      <c r="J33" s="12"/>
    </row>
    <row r="34" spans="1:10" ht="60" customHeight="1">
      <c r="A34" s="6" t="s">
        <v>138</v>
      </c>
      <c r="B34" s="6" t="s">
        <v>27</v>
      </c>
      <c r="C34" s="6" t="s">
        <v>12</v>
      </c>
      <c r="D34" s="7" t="s">
        <v>139</v>
      </c>
      <c r="E34" s="8" t="s">
        <v>140</v>
      </c>
      <c r="F34" s="6" t="s">
        <v>141</v>
      </c>
      <c r="G34" s="9">
        <f>IF(A34=1,"_",IF(C34="_","???",C34))</f>
        <v/>
      </c>
      <c r="H34" s="10" t="s">
        <v>12</v>
      </c>
      <c r="I34" s="11" t="s">
        <v>12</v>
      </c>
      <c r="J34" s="12"/>
    </row>
    <row r="35" spans="1:10" ht="60" customHeight="1">
      <c r="A35" s="6" t="s">
        <v>142</v>
      </c>
      <c r="B35" s="6" t="s">
        <v>51</v>
      </c>
      <c r="C35" s="6" t="s">
        <v>12</v>
      </c>
      <c r="D35" s="7" t="s">
        <v>143</v>
      </c>
      <c r="E35" s="8" t="s">
        <v>144</v>
      </c>
      <c r="F35" s="6" t="s">
        <v>145</v>
      </c>
      <c r="G35" s="9">
        <f>IF(A35=1,"_",IF(C35="_","???",C35))</f>
        <v/>
      </c>
      <c r="H35" s="10" t="s">
        <v>12</v>
      </c>
      <c r="I35" s="11" t="s">
        <v>12</v>
      </c>
      <c r="J35" s="12"/>
    </row>
    <row r="36" spans="1:10" ht="60" customHeight="1">
      <c r="A36" s="6" t="s">
        <v>146</v>
      </c>
      <c r="B36" s="6" t="s">
        <v>36</v>
      </c>
      <c r="C36" s="6" t="s">
        <v>12</v>
      </c>
      <c r="D36" s="7" t="s">
        <v>147</v>
      </c>
      <c r="E36" s="8" t="s">
        <v>148</v>
      </c>
      <c r="F36" s="6" t="s">
        <v>149</v>
      </c>
      <c r="G36" s="9">
        <f>IF(A36=1,"_",IF(C36="_","???",C36))</f>
        <v/>
      </c>
      <c r="H36" s="10" t="s">
        <v>12</v>
      </c>
      <c r="I36" s="11" t="s">
        <v>12</v>
      </c>
      <c r="J36" s="12"/>
    </row>
    <row r="37" spans="1:10" ht="60" customHeight="1">
      <c r="A37" s="6" t="s">
        <v>150</v>
      </c>
      <c r="B37" s="6" t="s">
        <v>10</v>
      </c>
      <c r="C37" s="6" t="s">
        <v>12</v>
      </c>
      <c r="D37" s="7" t="s">
        <v>151</v>
      </c>
      <c r="E37" s="8" t="s">
        <v>152</v>
      </c>
      <c r="F37" s="6" t="s">
        <v>153</v>
      </c>
      <c r="G37" s="9">
        <f>IF(A37=1,"_",IF(C37="_","???",C37))</f>
        <v/>
      </c>
      <c r="H37" s="10" t="s">
        <v>12</v>
      </c>
      <c r="I37" s="11" t="s">
        <v>12</v>
      </c>
      <c r="J37" s="12"/>
    </row>
    <row r="38" spans="1:10" ht="60" customHeight="1">
      <c r="A38" s="6" t="s">
        <v>154</v>
      </c>
      <c r="B38" s="6" t="s">
        <v>17</v>
      </c>
      <c r="C38" s="6" t="s">
        <v>12</v>
      </c>
      <c r="D38" s="7" t="s">
        <v>13</v>
      </c>
      <c r="E38" s="8" t="s">
        <v>155</v>
      </c>
      <c r="F38" s="6" t="s">
        <v>156</v>
      </c>
      <c r="G38" s="9">
        <f>IF(A38=1,"_",IF(C38="_","???",C38))</f>
        <v/>
      </c>
      <c r="H38" s="10" t="s">
        <v>12</v>
      </c>
      <c r="I38" s="11" t="s">
        <v>12</v>
      </c>
      <c r="J38" s="12"/>
    </row>
    <row r="39" spans="1:10" ht="60" customHeight="1">
      <c r="A39" s="6" t="s">
        <v>157</v>
      </c>
      <c r="B39" s="6" t="s">
        <v>10</v>
      </c>
      <c r="C39" s="6" t="s">
        <v>47</v>
      </c>
      <c r="D39" s="7" t="s">
        <v>158</v>
      </c>
      <c r="E39" s="8" t="s">
        <v>159</v>
      </c>
      <c r="F39" s="6" t="s">
        <v>160</v>
      </c>
      <c r="G39" s="9">
        <f>IF(A39=1,"_",IF(C39="_","???",C39))</f>
        <v/>
      </c>
      <c r="H39" s="10" t="s">
        <v>12</v>
      </c>
      <c r="I39" s="11" t="s">
        <v>12</v>
      </c>
      <c r="J39" s="12"/>
    </row>
    <row r="40" spans="1:10" ht="60" customHeight="1">
      <c r="A40" s="6" t="s">
        <v>161</v>
      </c>
      <c r="B40" s="6" t="s">
        <v>17</v>
      </c>
      <c r="C40" s="6" t="s">
        <v>12</v>
      </c>
      <c r="D40" s="7" t="s">
        <v>162</v>
      </c>
      <c r="E40" s="8" t="s">
        <v>163</v>
      </c>
      <c r="F40" s="6" t="s">
        <v>164</v>
      </c>
      <c r="G40" s="9">
        <f>IF(A40=1,"_",IF(C40="_","???",C40))</f>
        <v/>
      </c>
      <c r="H40" s="10" t="s">
        <v>12</v>
      </c>
      <c r="I40" s="11" t="s">
        <v>12</v>
      </c>
      <c r="J40" s="12"/>
    </row>
    <row r="41" spans="1:10" ht="60" customHeight="1">
      <c r="A41" s="6" t="s">
        <v>165</v>
      </c>
      <c r="B41" s="6" t="s">
        <v>10</v>
      </c>
      <c r="C41" s="6" t="s">
        <v>12</v>
      </c>
      <c r="D41" s="7" t="s">
        <v>166</v>
      </c>
      <c r="E41" s="8" t="s">
        <v>167</v>
      </c>
      <c r="F41" s="6" t="s">
        <v>168</v>
      </c>
      <c r="G41" s="9">
        <f>IF(A41=1,"_",IF(C41="_","???",C41))</f>
        <v/>
      </c>
      <c r="H41" s="10" t="s">
        <v>12</v>
      </c>
      <c r="I41" s="11" t="s">
        <v>12</v>
      </c>
      <c r="J41" s="12"/>
    </row>
    <row r="42" spans="1:10" ht="60" customHeight="1">
      <c r="A42" s="6" t="s">
        <v>169</v>
      </c>
      <c r="B42" s="6" t="s">
        <v>10</v>
      </c>
      <c r="C42" s="6" t="s">
        <v>12</v>
      </c>
      <c r="D42" s="7" t="s">
        <v>166</v>
      </c>
      <c r="E42" s="8" t="s">
        <v>170</v>
      </c>
      <c r="F42" s="6" t="s">
        <v>171</v>
      </c>
      <c r="G42" s="9">
        <f>IF(A42=1,"_",IF(C42="_","???",C42))</f>
        <v/>
      </c>
      <c r="H42" s="10" t="s">
        <v>12</v>
      </c>
      <c r="I42" s="11" t="s">
        <v>12</v>
      </c>
      <c r="J42" s="12"/>
    </row>
    <row r="43" spans="1:10" ht="60" customHeight="1">
      <c r="A43" s="6" t="s">
        <v>172</v>
      </c>
      <c r="B43" s="6" t="s">
        <v>10</v>
      </c>
      <c r="C43" s="6" t="s">
        <v>12</v>
      </c>
      <c r="D43" s="7" t="s">
        <v>18</v>
      </c>
      <c r="E43" s="8" t="s">
        <v>173</v>
      </c>
      <c r="F43" s="6" t="s">
        <v>174</v>
      </c>
      <c r="G43" s="9">
        <f>IF(A43=1,"_",IF(C43="_","???",C43))</f>
        <v/>
      </c>
      <c r="H43" s="10" t="s">
        <v>12</v>
      </c>
      <c r="I43" s="11" t="s">
        <v>12</v>
      </c>
      <c r="J43" s="12"/>
    </row>
    <row r="44" spans="1:10" ht="60" customHeight="1">
      <c r="A44" s="6" t="s">
        <v>175</v>
      </c>
      <c r="B44" s="6" t="s">
        <v>51</v>
      </c>
      <c r="C44" s="6" t="s">
        <v>12</v>
      </c>
      <c r="D44" s="7" t="s">
        <v>176</v>
      </c>
      <c r="E44" s="8" t="s">
        <v>177</v>
      </c>
      <c r="F44" s="6" t="s">
        <v>178</v>
      </c>
      <c r="G44" s="9">
        <f>IF(A44=1,"_",IF(C44="_","???",C44))</f>
        <v/>
      </c>
      <c r="H44" s="10" t="s">
        <v>12</v>
      </c>
      <c r="I44" s="11" t="s">
        <v>12</v>
      </c>
      <c r="J44" s="12"/>
    </row>
    <row r="45" spans="1:10" ht="60" customHeight="1">
      <c r="A45" s="6" t="s">
        <v>179</v>
      </c>
      <c r="B45" s="6" t="s">
        <v>10</v>
      </c>
      <c r="C45" s="6" t="s">
        <v>12</v>
      </c>
      <c r="D45" s="7" t="s">
        <v>180</v>
      </c>
      <c r="E45" s="8" t="s">
        <v>181</v>
      </c>
      <c r="F45" s="6" t="s">
        <v>182</v>
      </c>
      <c r="G45" s="9">
        <f>IF(A45=1,"_",IF(C45="_","???",C45))</f>
        <v/>
      </c>
      <c r="H45" s="10" t="s">
        <v>12</v>
      </c>
      <c r="I45" s="11" t="s">
        <v>12</v>
      </c>
      <c r="J45" s="12"/>
    </row>
    <row r="46" spans="1:10" ht="60" customHeight="1">
      <c r="A46" s="6" t="s">
        <v>183</v>
      </c>
      <c r="B46" s="6" t="s">
        <v>10</v>
      </c>
      <c r="C46" s="6" t="s">
        <v>12</v>
      </c>
      <c r="D46" s="7" t="s">
        <v>176</v>
      </c>
      <c r="E46" s="8" t="s">
        <v>184</v>
      </c>
      <c r="F46" s="6" t="s">
        <v>185</v>
      </c>
      <c r="G46" s="9">
        <f>IF(A46=1,"_",IF(C46="_","???",C46))</f>
        <v/>
      </c>
      <c r="H46" s="10" t="s">
        <v>12</v>
      </c>
      <c r="I46" s="11" t="s">
        <v>12</v>
      </c>
      <c r="J46" s="12"/>
    </row>
    <row r="47" spans="1:10" ht="60" customHeight="1">
      <c r="A47" s="6" t="s">
        <v>186</v>
      </c>
      <c r="B47" s="6" t="s">
        <v>21</v>
      </c>
      <c r="C47" s="6" t="s">
        <v>12</v>
      </c>
      <c r="D47" s="7" t="s">
        <v>187</v>
      </c>
      <c r="E47" s="8" t="s">
        <v>188</v>
      </c>
      <c r="F47" s="6" t="s">
        <v>189</v>
      </c>
      <c r="G47" s="9">
        <f>IF(A47=1,"_",IF(C47="_","???",C47))</f>
        <v/>
      </c>
      <c r="H47" s="10" t="s">
        <v>12</v>
      </c>
      <c r="I47" s="11" t="s">
        <v>12</v>
      </c>
      <c r="J47" s="12"/>
    </row>
    <row r="48" spans="1:10" ht="60" customHeight="1">
      <c r="A48" s="6" t="s">
        <v>190</v>
      </c>
      <c r="B48" s="6" t="s">
        <v>10</v>
      </c>
      <c r="C48" s="6" t="s">
        <v>12</v>
      </c>
      <c r="D48" s="7" t="s">
        <v>69</v>
      </c>
      <c r="E48" s="8" t="s">
        <v>191</v>
      </c>
      <c r="F48" s="6" t="s">
        <v>192</v>
      </c>
      <c r="G48" s="9">
        <f>IF(A48=1,"_",IF(C48="_","???",C48))</f>
        <v/>
      </c>
      <c r="H48" s="10" t="s">
        <v>12</v>
      </c>
      <c r="I48" s="11" t="s">
        <v>12</v>
      </c>
      <c r="J48" s="12"/>
    </row>
    <row r="49" spans="1:10" ht="60" customHeight="1">
      <c r="A49" s="6" t="s">
        <v>193</v>
      </c>
      <c r="B49" s="6" t="s">
        <v>27</v>
      </c>
      <c r="C49" s="6" t="s">
        <v>12</v>
      </c>
      <c r="D49" s="7" t="s">
        <v>127</v>
      </c>
      <c r="E49" s="8" t="s">
        <v>194</v>
      </c>
      <c r="F49" s="6" t="s">
        <v>195</v>
      </c>
      <c r="G49" s="9">
        <f>IF(A49=1,"_",IF(C49="_","???",C49))</f>
        <v/>
      </c>
      <c r="H49" s="10" t="s">
        <v>12</v>
      </c>
      <c r="I49" s="11" t="s">
        <v>12</v>
      </c>
      <c r="J49" s="12"/>
    </row>
    <row r="50" spans="1:10" ht="60" customHeight="1">
      <c r="A50" s="6" t="s">
        <v>196</v>
      </c>
      <c r="B50" s="6" t="s">
        <v>31</v>
      </c>
      <c r="C50" s="6" t="s">
        <v>12</v>
      </c>
      <c r="D50" s="7" t="s">
        <v>197</v>
      </c>
      <c r="E50" s="8" t="s">
        <v>198</v>
      </c>
      <c r="F50" s="6" t="s">
        <v>199</v>
      </c>
      <c r="G50" s="9">
        <f>IF(A50=1,"_",IF(C50="_","???",C50))</f>
        <v/>
      </c>
      <c r="H50" s="10" t="s">
        <v>12</v>
      </c>
      <c r="I50" s="11" t="s">
        <v>12</v>
      </c>
      <c r="J50" s="12"/>
    </row>
    <row r="51" spans="1:10" ht="60" customHeight="1">
      <c r="A51" s="6" t="s">
        <v>200</v>
      </c>
      <c r="B51" s="6" t="s">
        <v>10</v>
      </c>
      <c r="C51" s="6" t="s">
        <v>12</v>
      </c>
      <c r="D51" s="7" t="s">
        <v>201</v>
      </c>
      <c r="E51" s="8" t="s">
        <v>202</v>
      </c>
      <c r="F51" s="6" t="s">
        <v>203</v>
      </c>
      <c r="G51" s="9">
        <f>IF(A51=1,"_",IF(C51="_","???",C51))</f>
        <v/>
      </c>
      <c r="H51" s="10" t="s">
        <v>12</v>
      </c>
      <c r="I51" s="11" t="s">
        <v>12</v>
      </c>
      <c r="J51" s="12"/>
    </row>
    <row r="52" spans="1:10" ht="60" customHeight="1">
      <c r="A52" s="6" t="s">
        <v>204</v>
      </c>
      <c r="B52" s="6" t="s">
        <v>10</v>
      </c>
      <c r="C52" s="6" t="s">
        <v>12</v>
      </c>
      <c r="D52" s="7" t="s">
        <v>205</v>
      </c>
      <c r="E52" s="8" t="s">
        <v>206</v>
      </c>
      <c r="F52" s="6" t="s">
        <v>207</v>
      </c>
      <c r="G52" s="9">
        <f>IF(A52=1,"_",IF(C52="_","???",C52))</f>
        <v/>
      </c>
      <c r="H52" s="10" t="s">
        <v>12</v>
      </c>
      <c r="I52" s="11" t="s">
        <v>12</v>
      </c>
      <c r="J52" s="12"/>
    </row>
    <row r="53" spans="1:10" ht="60" customHeight="1">
      <c r="A53" s="6" t="s">
        <v>208</v>
      </c>
      <c r="B53" s="6" t="s">
        <v>17</v>
      </c>
      <c r="C53" s="6" t="s">
        <v>12</v>
      </c>
      <c r="D53" s="7" t="s">
        <v>18</v>
      </c>
      <c r="E53" s="8" t="s">
        <v>209</v>
      </c>
      <c r="F53" s="6" t="s">
        <v>210</v>
      </c>
      <c r="G53" s="9">
        <f>IF(A53=1,"_",IF(C53="_","???",C53))</f>
        <v/>
      </c>
      <c r="H53" s="10" t="s">
        <v>12</v>
      </c>
      <c r="I53" s="11" t="s">
        <v>12</v>
      </c>
      <c r="J53" s="12"/>
    </row>
    <row r="54" spans="1:10" ht="60" customHeight="1">
      <c r="A54" s="6" t="s">
        <v>211</v>
      </c>
      <c r="B54" s="6" t="s">
        <v>10</v>
      </c>
      <c r="C54" s="6" t="s">
        <v>12</v>
      </c>
      <c r="D54" s="7" t="s">
        <v>212</v>
      </c>
      <c r="E54" s="8" t="s">
        <v>213</v>
      </c>
      <c r="F54" s="6" t="s">
        <v>214</v>
      </c>
      <c r="G54" s="9">
        <f>IF(A54=1,"_",IF(C54="_","???",C54))</f>
        <v/>
      </c>
      <c r="H54" s="10" t="s">
        <v>12</v>
      </c>
      <c r="I54" s="11" t="s">
        <v>12</v>
      </c>
      <c r="J54" s="12"/>
    </row>
    <row r="55" spans="1:10" ht="60" customHeight="1">
      <c r="A55" s="6" t="s">
        <v>215</v>
      </c>
      <c r="B55" s="6" t="s">
        <v>27</v>
      </c>
      <c r="C55" s="6" t="s">
        <v>12</v>
      </c>
      <c r="D55" s="7" t="s">
        <v>216</v>
      </c>
      <c r="E55" s="8" t="s">
        <v>217</v>
      </c>
      <c r="F55" s="6" t="s">
        <v>218</v>
      </c>
      <c r="G55" s="9">
        <f>IF(A55=1,"_",IF(C55="_","???",C55))</f>
        <v/>
      </c>
      <c r="H55" s="10" t="s">
        <v>12</v>
      </c>
      <c r="I55" s="11" t="s">
        <v>12</v>
      </c>
      <c r="J55" s="12"/>
    </row>
    <row r="56" spans="1:10" ht="60" customHeight="1">
      <c r="A56" s="6" t="s">
        <v>219</v>
      </c>
      <c r="B56" s="6" t="s">
        <v>10</v>
      </c>
      <c r="C56" s="6" t="s">
        <v>12</v>
      </c>
      <c r="D56" s="7" t="s">
        <v>220</v>
      </c>
      <c r="E56" s="8" t="s">
        <v>221</v>
      </c>
      <c r="F56" s="6" t="s">
        <v>222</v>
      </c>
      <c r="G56" s="9">
        <f>IF(A56=1,"_",IF(C56="_","???",C56))</f>
        <v/>
      </c>
      <c r="H56" s="10" t="s">
        <v>12</v>
      </c>
      <c r="I56" s="11" t="s">
        <v>12</v>
      </c>
      <c r="J56" s="12"/>
    </row>
    <row r="57" spans="1:10" ht="60" customHeight="1">
      <c r="A57" s="6" t="s">
        <v>223</v>
      </c>
      <c r="B57" s="6" t="s">
        <v>16</v>
      </c>
      <c r="C57" s="6" t="s">
        <v>12</v>
      </c>
      <c r="D57" s="7" t="s">
        <v>224</v>
      </c>
      <c r="E57" s="8" t="s">
        <v>225</v>
      </c>
      <c r="F57" s="6" t="s">
        <v>226</v>
      </c>
      <c r="G57" s="9">
        <f>IF(A57=1,"_",IF(C57="_","???",C57))</f>
        <v/>
      </c>
      <c r="H57" s="10" t="s">
        <v>12</v>
      </c>
      <c r="I57" s="11" t="s">
        <v>12</v>
      </c>
      <c r="J57" s="12"/>
    </row>
    <row r="58" spans="1:10" ht="60" customHeight="1">
      <c r="A58" s="6" t="s">
        <v>227</v>
      </c>
      <c r="B58" s="6" t="s">
        <v>10</v>
      </c>
      <c r="C58" s="6" t="s">
        <v>12</v>
      </c>
      <c r="D58" s="7" t="s">
        <v>228</v>
      </c>
      <c r="E58" s="8" t="s">
        <v>229</v>
      </c>
      <c r="F58" s="6" t="s">
        <v>230</v>
      </c>
      <c r="G58" s="9">
        <f>IF(A58=1,"_",IF(C58="_","???",C58))</f>
        <v/>
      </c>
      <c r="H58" s="10" t="s">
        <v>12</v>
      </c>
      <c r="I58" s="11" t="s">
        <v>12</v>
      </c>
      <c r="J58" s="12"/>
    </row>
    <row r="59" spans="1:10" ht="60" customHeight="1">
      <c r="A59" s="6" t="s">
        <v>231</v>
      </c>
      <c r="B59" s="6" t="s">
        <v>21</v>
      </c>
      <c r="C59" s="6" t="s">
        <v>12</v>
      </c>
      <c r="D59" s="7" t="s">
        <v>176</v>
      </c>
      <c r="E59" s="8" t="s">
        <v>232</v>
      </c>
      <c r="F59" s="6" t="s">
        <v>233</v>
      </c>
      <c r="G59" s="9">
        <f>IF(A59=1,"_",IF(C59="_","???",C59))</f>
        <v/>
      </c>
      <c r="H59" s="10" t="s">
        <v>12</v>
      </c>
      <c r="I59" s="11" t="s">
        <v>12</v>
      </c>
      <c r="J59" s="12"/>
    </row>
    <row r="60" spans="1:10" ht="60" customHeight="1">
      <c r="A60" s="6" t="s">
        <v>234</v>
      </c>
      <c r="B60" s="6" t="s">
        <v>16</v>
      </c>
      <c r="C60" s="6" t="s">
        <v>12</v>
      </c>
      <c r="D60" s="7" t="s">
        <v>235</v>
      </c>
      <c r="E60" s="8" t="s">
        <v>236</v>
      </c>
      <c r="F60" s="6" t="s">
        <v>237</v>
      </c>
      <c r="G60" s="9">
        <f>IF(A60=1,"_",IF(C60="_","???",C60))</f>
        <v/>
      </c>
      <c r="H60" s="10" t="s">
        <v>12</v>
      </c>
      <c r="I60" s="11" t="s">
        <v>12</v>
      </c>
      <c r="J60" s="12"/>
    </row>
    <row r="61" spans="1:10" ht="60" customHeight="1">
      <c r="A61" s="6" t="s">
        <v>238</v>
      </c>
      <c r="B61" s="6" t="s">
        <v>11</v>
      </c>
      <c r="C61" s="6" t="s">
        <v>239</v>
      </c>
      <c r="D61" s="7" t="s">
        <v>240</v>
      </c>
      <c r="E61" s="8" t="s">
        <v>241</v>
      </c>
      <c r="F61" s="6" t="s">
        <v>242</v>
      </c>
      <c r="G61" s="9">
        <f>IF(A61=1,"_",IF(C61="_","???",C61))</f>
        <v/>
      </c>
      <c r="H61" s="10" t="s">
        <v>12</v>
      </c>
      <c r="I61" s="11" t="s">
        <v>12</v>
      </c>
      <c r="J61" s="12"/>
    </row>
    <row r="62" spans="1:10" ht="60" customHeight="1">
      <c r="A62" s="6" t="s">
        <v>243</v>
      </c>
      <c r="B62" s="6" t="s">
        <v>11</v>
      </c>
      <c r="C62" s="6" t="s">
        <v>32</v>
      </c>
      <c r="D62" s="7" t="s">
        <v>244</v>
      </c>
      <c r="E62" s="8" t="s">
        <v>245</v>
      </c>
      <c r="F62" s="6" t="s">
        <v>246</v>
      </c>
      <c r="G62" s="9">
        <f>IF(A62=1,"_",IF(C62="_","???",C62))</f>
        <v/>
      </c>
      <c r="H62" s="10" t="s">
        <v>12</v>
      </c>
      <c r="I62" s="11" t="s">
        <v>12</v>
      </c>
      <c r="J62" s="12"/>
    </row>
    <row r="63" spans="1:10" ht="60" customHeight="1">
      <c r="A63" s="6" t="s">
        <v>247</v>
      </c>
      <c r="B63" s="6" t="s">
        <v>11</v>
      </c>
      <c r="C63" s="6" t="s">
        <v>12</v>
      </c>
      <c r="D63" s="7" t="s">
        <v>18</v>
      </c>
      <c r="E63" s="8" t="s">
        <v>248</v>
      </c>
      <c r="F63" s="6" t="s">
        <v>249</v>
      </c>
      <c r="G63" s="9">
        <f>IF(A63=1,"_",IF(C63="_","???",C63))</f>
        <v/>
      </c>
      <c r="H63" s="10" t="s">
        <v>12</v>
      </c>
      <c r="I63" s="11" t="s">
        <v>12</v>
      </c>
      <c r="J63" s="12"/>
    </row>
    <row r="64" spans="1:10" ht="60" customHeight="1">
      <c r="A64" s="6" t="s">
        <v>250</v>
      </c>
      <c r="B64" s="6" t="s">
        <v>10</v>
      </c>
      <c r="C64" s="6" t="s">
        <v>12</v>
      </c>
      <c r="D64" s="7" t="s">
        <v>251</v>
      </c>
      <c r="E64" s="8" t="s">
        <v>252</v>
      </c>
      <c r="F64" s="6" t="s">
        <v>253</v>
      </c>
      <c r="G64" s="9">
        <f>IF(A64=1,"_",IF(C64="_","???",C64))</f>
        <v/>
      </c>
      <c r="H64" s="10" t="s">
        <v>12</v>
      </c>
      <c r="I64" s="11" t="s">
        <v>12</v>
      </c>
      <c r="J64" s="12"/>
    </row>
    <row r="65" spans="1:10" ht="60" customHeight="1">
      <c r="A65" s="6" t="s">
        <v>254</v>
      </c>
      <c r="B65" s="6" t="s">
        <v>10</v>
      </c>
      <c r="C65" s="6" t="s">
        <v>12</v>
      </c>
      <c r="D65" s="7" t="s">
        <v>255</v>
      </c>
      <c r="E65" s="8" t="s">
        <v>256</v>
      </c>
      <c r="F65" s="6" t="s">
        <v>257</v>
      </c>
      <c r="G65" s="9">
        <f>IF(A65=1,"_",IF(C65="_","???",C65))</f>
        <v/>
      </c>
      <c r="H65" s="10" t="s">
        <v>12</v>
      </c>
      <c r="I65" s="11" t="s">
        <v>12</v>
      </c>
      <c r="J65" s="12"/>
    </row>
    <row r="66" spans="1:10" ht="60" customHeight="1">
      <c r="A66" s="6" t="s">
        <v>258</v>
      </c>
      <c r="B66" s="6" t="s">
        <v>11</v>
      </c>
      <c r="C66" s="6" t="s">
        <v>12</v>
      </c>
      <c r="D66" s="7" t="s">
        <v>69</v>
      </c>
      <c r="E66" s="8" t="s">
        <v>259</v>
      </c>
      <c r="F66" s="6" t="s">
        <v>260</v>
      </c>
      <c r="G66" s="9">
        <f>IF(A66=1,"_",IF(C66="_","???",C66))</f>
        <v/>
      </c>
      <c r="H66" s="10" t="s">
        <v>12</v>
      </c>
      <c r="I66" s="11" t="s">
        <v>12</v>
      </c>
      <c r="J66" s="12"/>
    </row>
    <row r="67" spans="1:10" ht="60" customHeight="1">
      <c r="A67" s="6" t="s">
        <v>261</v>
      </c>
      <c r="B67" s="6" t="s">
        <v>16</v>
      </c>
      <c r="C67" s="6" t="s">
        <v>12</v>
      </c>
      <c r="D67" s="7" t="s">
        <v>262</v>
      </c>
      <c r="E67" s="8" t="s">
        <v>263</v>
      </c>
      <c r="F67" s="6" t="s">
        <v>264</v>
      </c>
      <c r="G67" s="9">
        <f>IF(A67=1,"_",IF(C67="_","???",C67))</f>
        <v/>
      </c>
      <c r="H67" s="10" t="s">
        <v>12</v>
      </c>
      <c r="I67" s="11" t="s">
        <v>12</v>
      </c>
      <c r="J67" s="12"/>
    </row>
    <row r="68" spans="1:10" ht="60" customHeight="1">
      <c r="A68" s="6" t="s">
        <v>265</v>
      </c>
      <c r="B68" s="6" t="s">
        <v>31</v>
      </c>
      <c r="C68" s="6" t="s">
        <v>12</v>
      </c>
      <c r="D68" s="7" t="s">
        <v>266</v>
      </c>
      <c r="E68" s="8" t="s">
        <v>267</v>
      </c>
      <c r="F68" s="6" t="s">
        <v>268</v>
      </c>
      <c r="G68" s="9">
        <f>IF(A68=1,"_",IF(C68="_","???",C68))</f>
        <v/>
      </c>
      <c r="H68" s="10" t="s">
        <v>12</v>
      </c>
      <c r="I68" s="11" t="s">
        <v>12</v>
      </c>
      <c r="J68" s="12"/>
    </row>
    <row r="69" spans="1:10" ht="60" customHeight="1">
      <c r="A69" s="6" t="s">
        <v>269</v>
      </c>
      <c r="B69" s="6" t="s">
        <v>41</v>
      </c>
      <c r="C69" s="6" t="s">
        <v>32</v>
      </c>
      <c r="D69" s="7" t="s">
        <v>270</v>
      </c>
      <c r="E69" s="8" t="s">
        <v>271</v>
      </c>
      <c r="F69" s="6" t="s">
        <v>272</v>
      </c>
      <c r="G69" s="9">
        <f>IF(A69=1,"_",IF(C69="_","???",C69))</f>
        <v/>
      </c>
      <c r="H69" s="10" t="s">
        <v>12</v>
      </c>
      <c r="I69" s="11" t="s">
        <v>12</v>
      </c>
      <c r="J69" s="12"/>
    </row>
    <row r="70" spans="1:10" ht="60" customHeight="1">
      <c r="A70" s="6" t="s">
        <v>273</v>
      </c>
      <c r="B70" s="6" t="s">
        <v>27</v>
      </c>
      <c r="C70" s="6" t="s">
        <v>12</v>
      </c>
      <c r="D70" s="7" t="s">
        <v>274</v>
      </c>
      <c r="E70" s="8" t="s">
        <v>275</v>
      </c>
      <c r="F70" s="6" t="s">
        <v>276</v>
      </c>
      <c r="G70" s="9">
        <f>IF(A70=1,"_",IF(C70="_","???",C70))</f>
        <v/>
      </c>
      <c r="H70" s="10" t="s">
        <v>12</v>
      </c>
      <c r="I70" s="11" t="s">
        <v>12</v>
      </c>
      <c r="J70" s="12"/>
    </row>
    <row r="71" spans="1:10" ht="60" customHeight="1">
      <c r="A71" s="6" t="s">
        <v>277</v>
      </c>
      <c r="B71" s="6" t="s">
        <v>10</v>
      </c>
      <c r="C71" s="6" t="s">
        <v>12</v>
      </c>
      <c r="D71" s="7" t="s">
        <v>18</v>
      </c>
      <c r="E71" s="8" t="s">
        <v>278</v>
      </c>
      <c r="F71" s="6" t="s">
        <v>279</v>
      </c>
      <c r="G71" s="9">
        <f>IF(A71=1,"_",IF(C71="_","???",C71))</f>
        <v/>
      </c>
      <c r="H71" s="10" t="s">
        <v>12</v>
      </c>
      <c r="I71" s="11" t="s">
        <v>12</v>
      </c>
      <c r="J71" s="12"/>
    </row>
    <row r="72" spans="1:10" ht="60" customHeight="1">
      <c r="A72" s="6" t="s">
        <v>280</v>
      </c>
      <c r="B72" s="6" t="s">
        <v>46</v>
      </c>
      <c r="C72" s="6" t="s">
        <v>12</v>
      </c>
      <c r="D72" s="7" t="s">
        <v>166</v>
      </c>
      <c r="E72" s="8" t="s">
        <v>281</v>
      </c>
      <c r="F72" s="6" t="s">
        <v>282</v>
      </c>
      <c r="G72" s="9">
        <f>IF(A72=1,"_",IF(C72="_","???",C72))</f>
        <v/>
      </c>
      <c r="H72" s="10" t="s">
        <v>12</v>
      </c>
      <c r="I72" s="11" t="s">
        <v>12</v>
      </c>
      <c r="J72" s="12"/>
    </row>
    <row r="73" spans="1:10" ht="60" customHeight="1">
      <c r="A73" s="6" t="s">
        <v>283</v>
      </c>
      <c r="B73" s="6" t="s">
        <v>16</v>
      </c>
      <c r="C73" s="6" t="s">
        <v>12</v>
      </c>
      <c r="D73" s="7" t="s">
        <v>284</v>
      </c>
      <c r="E73" s="8" t="s">
        <v>285</v>
      </c>
      <c r="F73" s="6" t="s">
        <v>286</v>
      </c>
      <c r="G73" s="9">
        <f>IF(A73=1,"_",IF(C73="_","???",C73))</f>
        <v/>
      </c>
      <c r="H73" s="10" t="s">
        <v>12</v>
      </c>
      <c r="I73" s="11" t="s">
        <v>12</v>
      </c>
      <c r="J73" s="12"/>
    </row>
    <row r="74" spans="1:10" ht="60" customHeight="1">
      <c r="A74" s="6" t="s">
        <v>287</v>
      </c>
      <c r="B74" s="6" t="s">
        <v>91</v>
      </c>
      <c r="C74" s="6" t="s">
        <v>12</v>
      </c>
      <c r="D74" s="7" t="s">
        <v>288</v>
      </c>
      <c r="E74" s="8" t="s">
        <v>289</v>
      </c>
      <c r="F74" s="6" t="s">
        <v>290</v>
      </c>
      <c r="G74" s="9">
        <f>IF(A74=1,"_",IF(C74="_","???",C74))</f>
        <v/>
      </c>
      <c r="H74" s="10" t="s">
        <v>12</v>
      </c>
      <c r="I74" s="11" t="s">
        <v>12</v>
      </c>
      <c r="J74" s="12"/>
    </row>
    <row r="75" spans="1:10" ht="60" customHeight="1">
      <c r="A75" s="6" t="s">
        <v>291</v>
      </c>
      <c r="B75" s="6" t="s">
        <v>59</v>
      </c>
      <c r="C75" s="6" t="s">
        <v>47</v>
      </c>
      <c r="D75" s="7" t="s">
        <v>292</v>
      </c>
      <c r="E75" s="8" t="s">
        <v>293</v>
      </c>
      <c r="F75" s="6" t="s">
        <v>294</v>
      </c>
      <c r="G75" s="9">
        <f>IF(A75=1,"_",IF(C75="_","???",C75))</f>
        <v/>
      </c>
      <c r="H75" s="10" t="s">
        <v>12</v>
      </c>
      <c r="I75" s="11" t="s">
        <v>12</v>
      </c>
      <c r="J75" s="12"/>
    </row>
    <row r="76" spans="1:10" ht="60" customHeight="1">
      <c r="A76" s="6" t="s">
        <v>295</v>
      </c>
      <c r="B76" s="6" t="s">
        <v>16</v>
      </c>
      <c r="C76" s="6" t="s">
        <v>12</v>
      </c>
      <c r="D76" s="7" t="s">
        <v>296</v>
      </c>
      <c r="E76" s="8" t="s">
        <v>297</v>
      </c>
      <c r="F76" s="6" t="s">
        <v>298</v>
      </c>
      <c r="G76" s="9">
        <f>IF(A76=1,"_",IF(C76="_","???",C76))</f>
        <v/>
      </c>
      <c r="H76" s="10" t="s">
        <v>12</v>
      </c>
      <c r="I76" s="11" t="s">
        <v>12</v>
      </c>
      <c r="J76" s="12"/>
    </row>
    <row r="77" spans="1:10" ht="60" customHeight="1">
      <c r="A77" s="6" t="s">
        <v>299</v>
      </c>
      <c r="B77" s="6" t="s">
        <v>64</v>
      </c>
      <c r="C77" s="6" t="s">
        <v>12</v>
      </c>
      <c r="D77" s="7" t="s">
        <v>300</v>
      </c>
      <c r="E77" s="8" t="s">
        <v>301</v>
      </c>
      <c r="F77" s="6" t="s">
        <v>302</v>
      </c>
      <c r="G77" s="9">
        <f>IF(A77=1,"_",IF(C77="_","???",C77))</f>
        <v/>
      </c>
      <c r="H77" s="10" t="s">
        <v>12</v>
      </c>
      <c r="I77" s="11" t="s">
        <v>12</v>
      </c>
      <c r="J77" s="12"/>
    </row>
    <row r="78" spans="1:10" ht="60" customHeight="1">
      <c r="A78" s="6" t="s">
        <v>303</v>
      </c>
      <c r="B78" s="6" t="s">
        <v>17</v>
      </c>
      <c r="C78" s="6" t="s">
        <v>12</v>
      </c>
      <c r="D78" s="7" t="s">
        <v>304</v>
      </c>
      <c r="E78" s="8" t="s">
        <v>305</v>
      </c>
      <c r="F78" s="6" t="s">
        <v>306</v>
      </c>
      <c r="G78" s="9">
        <f>IF(A78=1,"_",IF(C78="_","???",C78))</f>
        <v/>
      </c>
      <c r="H78" s="10" t="s">
        <v>12</v>
      </c>
      <c r="I78" s="11" t="s">
        <v>12</v>
      </c>
      <c r="J78" s="12"/>
    </row>
    <row r="79" spans="1:10" ht="60" customHeight="1">
      <c r="A79" s="6" t="s">
        <v>307</v>
      </c>
      <c r="B79" s="6" t="s">
        <v>16</v>
      </c>
      <c r="C79" s="6" t="s">
        <v>12</v>
      </c>
      <c r="D79" s="7" t="s">
        <v>308</v>
      </c>
      <c r="E79" s="8" t="s">
        <v>309</v>
      </c>
      <c r="F79" s="6" t="s">
        <v>310</v>
      </c>
      <c r="G79" s="9">
        <f>IF(A79=1,"_",IF(C79="_","???",C79))</f>
        <v/>
      </c>
      <c r="H79" s="10" t="s">
        <v>12</v>
      </c>
      <c r="I79" s="11" t="s">
        <v>12</v>
      </c>
      <c r="J79" s="12"/>
    </row>
    <row r="80" spans="1:10" ht="60" customHeight="1">
      <c r="A80" s="6" t="s">
        <v>311</v>
      </c>
      <c r="B80" s="6" t="s">
        <v>31</v>
      </c>
      <c r="C80" s="6" t="s">
        <v>12</v>
      </c>
      <c r="D80" s="7" t="s">
        <v>69</v>
      </c>
      <c r="E80" s="8" t="s">
        <v>312</v>
      </c>
      <c r="F80" s="6" t="s">
        <v>313</v>
      </c>
      <c r="G80" s="9">
        <f>IF(A80=1,"_",IF(C80="_","???",C80))</f>
        <v/>
      </c>
      <c r="H80" s="10" t="s">
        <v>12</v>
      </c>
      <c r="I80" s="11" t="s">
        <v>12</v>
      </c>
      <c r="J80" s="12"/>
    </row>
    <row r="81" spans="1:10" ht="60" customHeight="1">
      <c r="A81" s="6" t="s">
        <v>314</v>
      </c>
      <c r="B81" s="6" t="s">
        <v>45</v>
      </c>
      <c r="C81" s="6" t="s">
        <v>12</v>
      </c>
      <c r="D81" s="7" t="s">
        <v>315</v>
      </c>
      <c r="E81" s="8" t="s">
        <v>316</v>
      </c>
      <c r="F81" s="6" t="s">
        <v>317</v>
      </c>
      <c r="G81" s="9">
        <f>IF(A81=1,"_",IF(C81="_","???",C81))</f>
        <v/>
      </c>
      <c r="H81" s="10" t="s">
        <v>12</v>
      </c>
      <c r="I81" s="11" t="s">
        <v>12</v>
      </c>
      <c r="J81" s="12"/>
    </row>
    <row r="82" spans="1:10" ht="60" customHeight="1">
      <c r="A82" s="6" t="s">
        <v>318</v>
      </c>
      <c r="B82" s="6" t="s">
        <v>21</v>
      </c>
      <c r="C82" s="6" t="s">
        <v>12</v>
      </c>
      <c r="D82" s="7" t="s">
        <v>158</v>
      </c>
      <c r="E82" s="8" t="s">
        <v>319</v>
      </c>
      <c r="F82" s="6" t="s">
        <v>320</v>
      </c>
      <c r="G82" s="9">
        <f>IF(A82=1,"_",IF(C82="_","???",C82))</f>
        <v/>
      </c>
      <c r="H82" s="10" t="s">
        <v>12</v>
      </c>
      <c r="I82" s="11" t="s">
        <v>12</v>
      </c>
      <c r="J82" s="12"/>
    </row>
    <row r="83" spans="1:10" ht="60" customHeight="1">
      <c r="A83" s="6" t="s">
        <v>321</v>
      </c>
      <c r="B83" s="6" t="s">
        <v>21</v>
      </c>
      <c r="C83" s="6" t="s">
        <v>12</v>
      </c>
      <c r="D83" s="7" t="s">
        <v>322</v>
      </c>
      <c r="E83" s="8" t="s">
        <v>323</v>
      </c>
      <c r="F83" s="6" t="s">
        <v>324</v>
      </c>
      <c r="G83" s="9">
        <f>IF(A83=1,"_",IF(C83="_","???",C83))</f>
        <v/>
      </c>
      <c r="H83" s="10" t="s">
        <v>12</v>
      </c>
      <c r="I83" s="11" t="s">
        <v>12</v>
      </c>
      <c r="J83" s="12"/>
    </row>
    <row r="84" spans="1:10" ht="60" customHeight="1">
      <c r="A84" s="6" t="s">
        <v>325</v>
      </c>
      <c r="B84" s="6" t="s">
        <v>10</v>
      </c>
      <c r="C84" s="6" t="s">
        <v>12</v>
      </c>
      <c r="D84" s="7" t="s">
        <v>151</v>
      </c>
      <c r="E84" s="8" t="s">
        <v>326</v>
      </c>
      <c r="F84" s="6" t="s">
        <v>327</v>
      </c>
      <c r="G84" s="9">
        <f>IF(A84=1,"_",IF(C84="_","???",C84))</f>
        <v/>
      </c>
      <c r="H84" s="10" t="s">
        <v>12</v>
      </c>
      <c r="I84" s="11" t="s">
        <v>12</v>
      </c>
      <c r="J84" s="12"/>
    </row>
    <row r="85" spans="1:10" ht="60" customHeight="1">
      <c r="A85" s="6" t="s">
        <v>328</v>
      </c>
      <c r="B85" s="6" t="s">
        <v>10</v>
      </c>
      <c r="C85" s="6" t="s">
        <v>12</v>
      </c>
      <c r="D85" s="7" t="s">
        <v>329</v>
      </c>
      <c r="E85" s="8" t="s">
        <v>330</v>
      </c>
      <c r="F85" s="6" t="s">
        <v>331</v>
      </c>
      <c r="G85" s="9">
        <f>IF(A85=1,"_",IF(C85="_","???",C85))</f>
        <v/>
      </c>
      <c r="H85" s="10" t="s">
        <v>12</v>
      </c>
      <c r="I85" s="11" t="s">
        <v>12</v>
      </c>
      <c r="J85" s="12"/>
    </row>
    <row r="86" spans="1:10" ht="60" customHeight="1">
      <c r="A86" s="6" t="s">
        <v>332</v>
      </c>
      <c r="B86" s="6" t="s">
        <v>10</v>
      </c>
      <c r="C86" s="6" t="s">
        <v>12</v>
      </c>
      <c r="D86" s="7" t="s">
        <v>18</v>
      </c>
      <c r="E86" s="8" t="s">
        <v>333</v>
      </c>
      <c r="F86" s="6" t="s">
        <v>334</v>
      </c>
      <c r="G86" s="9">
        <f>IF(A86=1,"_",IF(C86="_","???",C86))</f>
        <v/>
      </c>
      <c r="H86" s="10" t="s">
        <v>12</v>
      </c>
      <c r="I86" s="11" t="s">
        <v>12</v>
      </c>
      <c r="J86" s="12"/>
    </row>
    <row r="87" spans="1:10" ht="60" customHeight="1">
      <c r="A87" s="6" t="s">
        <v>335</v>
      </c>
      <c r="B87" s="6" t="s">
        <v>10</v>
      </c>
      <c r="C87" s="6" t="s">
        <v>12</v>
      </c>
      <c r="D87" s="7" t="s">
        <v>151</v>
      </c>
      <c r="E87" s="8" t="s">
        <v>336</v>
      </c>
      <c r="F87" s="6" t="s">
        <v>337</v>
      </c>
      <c r="G87" s="9">
        <f>IF(A87=1,"_",IF(C87="_","???",C87))</f>
        <v/>
      </c>
      <c r="H87" s="10" t="s">
        <v>12</v>
      </c>
      <c r="I87" s="11" t="s">
        <v>12</v>
      </c>
      <c r="J87" s="12"/>
    </row>
    <row r="88" spans="1:10" ht="60" customHeight="1">
      <c r="A88" s="6" t="s">
        <v>338</v>
      </c>
      <c r="B88" s="6" t="s">
        <v>16</v>
      </c>
      <c r="C88" s="6" t="s">
        <v>32</v>
      </c>
      <c r="D88" s="7" t="s">
        <v>92</v>
      </c>
      <c r="E88" s="8" t="s">
        <v>339</v>
      </c>
      <c r="F88" s="6" t="s">
        <v>340</v>
      </c>
      <c r="G88" s="9">
        <f>IF(A88=1,"_",IF(C88="_","???",C88))</f>
        <v/>
      </c>
      <c r="H88" s="10" t="s">
        <v>12</v>
      </c>
      <c r="I88" s="11" t="s">
        <v>12</v>
      </c>
      <c r="J88" s="12"/>
    </row>
    <row r="89" spans="1:10" ht="60" customHeight="1">
      <c r="A89" s="6" t="s">
        <v>341</v>
      </c>
      <c r="B89" s="6" t="s">
        <v>10</v>
      </c>
      <c r="C89" s="6" t="s">
        <v>12</v>
      </c>
      <c r="D89" s="7" t="s">
        <v>342</v>
      </c>
      <c r="E89" s="8" t="s">
        <v>343</v>
      </c>
      <c r="F89" s="6" t="s">
        <v>344</v>
      </c>
      <c r="G89" s="9">
        <f>IF(A89=1,"_",IF(C89="_","???",C89))</f>
        <v/>
      </c>
      <c r="H89" s="10" t="s">
        <v>12</v>
      </c>
      <c r="I89" s="11" t="s">
        <v>12</v>
      </c>
      <c r="J89" s="12"/>
    </row>
    <row r="90" spans="1:10" ht="60" customHeight="1">
      <c r="A90" s="6" t="s">
        <v>345</v>
      </c>
      <c r="B90" s="6" t="s">
        <v>10</v>
      </c>
      <c r="C90" s="6" t="s">
        <v>12</v>
      </c>
      <c r="D90" s="7" t="s">
        <v>135</v>
      </c>
      <c r="E90" s="8" t="s">
        <v>346</v>
      </c>
      <c r="F90" s="6" t="s">
        <v>347</v>
      </c>
      <c r="G90" s="9">
        <f>IF(A90=1,"_",IF(C90="_","???",C90))</f>
        <v/>
      </c>
      <c r="H90" s="10" t="s">
        <v>12</v>
      </c>
      <c r="I90" s="11" t="s">
        <v>12</v>
      </c>
      <c r="J90" s="12"/>
    </row>
    <row r="91" spans="1:10" ht="60" customHeight="1">
      <c r="A91" s="6" t="s">
        <v>348</v>
      </c>
      <c r="B91" s="6" t="s">
        <v>59</v>
      </c>
      <c r="C91" s="6" t="s">
        <v>12</v>
      </c>
      <c r="D91" s="7" t="s">
        <v>349</v>
      </c>
      <c r="E91" s="8" t="s">
        <v>350</v>
      </c>
      <c r="F91" s="6" t="s">
        <v>351</v>
      </c>
      <c r="G91" s="9">
        <f>IF(A91=1,"_",IF(C91="_","???",C91))</f>
        <v/>
      </c>
      <c r="H91" s="10" t="s">
        <v>12</v>
      </c>
      <c r="I91" s="11" t="s">
        <v>12</v>
      </c>
      <c r="J91" s="12"/>
    </row>
    <row r="92" spans="1:10" ht="60" customHeight="1">
      <c r="A92" s="6" t="s">
        <v>352</v>
      </c>
      <c r="B92" s="6" t="s">
        <v>10</v>
      </c>
      <c r="C92" s="6" t="s">
        <v>12</v>
      </c>
      <c r="D92" s="7" t="s">
        <v>69</v>
      </c>
      <c r="E92" s="8" t="s">
        <v>353</v>
      </c>
      <c r="F92" s="6" t="s">
        <v>354</v>
      </c>
      <c r="G92" s="9">
        <f>IF(A92=1,"_",IF(C92="_","???",C92))</f>
        <v/>
      </c>
      <c r="H92" s="10" t="s">
        <v>12</v>
      </c>
      <c r="I92" s="11" t="s">
        <v>12</v>
      </c>
      <c r="J92" s="12"/>
    </row>
    <row r="93" spans="1:10" ht="60" customHeight="1">
      <c r="A93" s="6" t="s">
        <v>355</v>
      </c>
      <c r="B93" s="6" t="s">
        <v>16</v>
      </c>
      <c r="C93" s="6" t="s">
        <v>12</v>
      </c>
      <c r="D93" s="7" t="s">
        <v>356</v>
      </c>
      <c r="E93" s="8" t="s">
        <v>357</v>
      </c>
      <c r="F93" s="6" t="s">
        <v>358</v>
      </c>
      <c r="G93" s="9">
        <f>IF(A93=1,"_",IF(C93="_","???",C93))</f>
        <v/>
      </c>
      <c r="H93" s="10" t="s">
        <v>12</v>
      </c>
      <c r="I93" s="11" t="s">
        <v>12</v>
      </c>
      <c r="J93" s="12"/>
    </row>
    <row r="94" spans="1:10" ht="60" customHeight="1">
      <c r="A94" s="6" t="s">
        <v>359</v>
      </c>
      <c r="B94" s="6" t="s">
        <v>31</v>
      </c>
      <c r="C94" s="6" t="s">
        <v>12</v>
      </c>
      <c r="D94" s="7" t="s">
        <v>360</v>
      </c>
      <c r="E94" s="8" t="s">
        <v>361</v>
      </c>
      <c r="F94" s="6" t="s">
        <v>362</v>
      </c>
      <c r="G94" s="9">
        <f>IF(A94=1,"_",IF(C94="_","???",C94))</f>
        <v/>
      </c>
      <c r="H94" s="10" t="s">
        <v>12</v>
      </c>
      <c r="I94" s="11" t="s">
        <v>12</v>
      </c>
      <c r="J94" s="12"/>
    </row>
    <row r="95" spans="1:10" ht="60" customHeight="1">
      <c r="A95" s="6" t="s">
        <v>363</v>
      </c>
      <c r="B95" s="6" t="s">
        <v>10</v>
      </c>
      <c r="C95" s="6" t="s">
        <v>12</v>
      </c>
      <c r="D95" s="7" t="s">
        <v>364</v>
      </c>
      <c r="E95" s="8" t="s">
        <v>365</v>
      </c>
      <c r="F95" s="6" t="s">
        <v>366</v>
      </c>
      <c r="G95" s="9">
        <f>IF(A95=1,"_",IF(C95="_","???",C95))</f>
        <v/>
      </c>
      <c r="H95" s="10" t="s">
        <v>12</v>
      </c>
      <c r="I95" s="11" t="s">
        <v>12</v>
      </c>
      <c r="J95" s="12"/>
    </row>
    <row r="96" spans="1:10" ht="60" customHeight="1">
      <c r="A96" s="6" t="s">
        <v>367</v>
      </c>
      <c r="B96" s="6" t="s">
        <v>21</v>
      </c>
      <c r="C96" s="6" t="s">
        <v>12</v>
      </c>
      <c r="D96" s="7" t="s">
        <v>368</v>
      </c>
      <c r="E96" s="8" t="s">
        <v>369</v>
      </c>
      <c r="F96" s="6" t="s">
        <v>370</v>
      </c>
      <c r="G96" s="9">
        <f>IF(A96=1,"_",IF(C96="_","???",C96))</f>
        <v/>
      </c>
      <c r="H96" s="10" t="s">
        <v>12</v>
      </c>
      <c r="I96" s="11" t="s">
        <v>12</v>
      </c>
      <c r="J96" s="12"/>
    </row>
    <row r="97" spans="1:10" ht="60" customHeight="1">
      <c r="A97" s="6" t="s">
        <v>371</v>
      </c>
      <c r="B97" s="6" t="s">
        <v>10</v>
      </c>
      <c r="C97" s="6" t="s">
        <v>12</v>
      </c>
      <c r="D97" s="7" t="s">
        <v>28</v>
      </c>
      <c r="E97" s="8" t="s">
        <v>372</v>
      </c>
      <c r="F97" s="6" t="s">
        <v>373</v>
      </c>
      <c r="G97" s="9">
        <f>IF(A97=1,"_",IF(C97="_","???",C97))</f>
        <v/>
      </c>
      <c r="H97" s="10" t="s">
        <v>12</v>
      </c>
      <c r="I97" s="11" t="s">
        <v>12</v>
      </c>
      <c r="J97" s="12"/>
    </row>
    <row r="98" spans="1:10" ht="60" customHeight="1">
      <c r="A98" s="6" t="s">
        <v>374</v>
      </c>
      <c r="B98" s="6" t="s">
        <v>10</v>
      </c>
      <c r="C98" s="6" t="s">
        <v>12</v>
      </c>
      <c r="D98" s="7" t="s">
        <v>368</v>
      </c>
      <c r="E98" s="8" t="s">
        <v>375</v>
      </c>
      <c r="F98" s="6" t="s">
        <v>376</v>
      </c>
      <c r="G98" s="9">
        <f>IF(A98=1,"_",IF(C98="_","???",C98))</f>
        <v/>
      </c>
      <c r="H98" s="10" t="s">
        <v>12</v>
      </c>
      <c r="I98" s="11" t="s">
        <v>12</v>
      </c>
      <c r="J98" s="12"/>
    </row>
    <row r="99" spans="1:10" ht="60" customHeight="1">
      <c r="A99" s="6" t="s">
        <v>377</v>
      </c>
      <c r="B99" s="6" t="s">
        <v>31</v>
      </c>
      <c r="C99" s="6" t="s">
        <v>12</v>
      </c>
      <c r="D99" s="7" t="s">
        <v>378</v>
      </c>
      <c r="E99" s="8" t="s">
        <v>379</v>
      </c>
      <c r="F99" s="6" t="s">
        <v>380</v>
      </c>
      <c r="G99" s="9">
        <f>IF(A99=1,"_",IF(C99="_","???",C99))</f>
        <v/>
      </c>
      <c r="H99" s="10" t="s">
        <v>12</v>
      </c>
      <c r="I99" s="11" t="s">
        <v>12</v>
      </c>
      <c r="J99" s="12"/>
    </row>
    <row r="100" spans="1:10" ht="60" customHeight="1">
      <c r="A100" s="6" t="s">
        <v>381</v>
      </c>
      <c r="B100" s="6" t="s">
        <v>21</v>
      </c>
      <c r="C100" s="6" t="s">
        <v>12</v>
      </c>
      <c r="D100" s="7" t="s">
        <v>382</v>
      </c>
      <c r="E100" s="8" t="s">
        <v>383</v>
      </c>
      <c r="F100" s="6" t="s">
        <v>384</v>
      </c>
      <c r="G100" s="9">
        <f>IF(A100=1,"_",IF(C100="_","???",C100))</f>
        <v/>
      </c>
      <c r="H100" s="10" t="s">
        <v>12</v>
      </c>
      <c r="I100" s="11" t="s">
        <v>12</v>
      </c>
      <c r="J100" s="12"/>
    </row>
    <row r="101" spans="1:10" ht="60" customHeight="1">
      <c r="A101" s="6" t="s">
        <v>385</v>
      </c>
      <c r="B101" s="6" t="s">
        <v>16</v>
      </c>
      <c r="C101" s="6" t="s">
        <v>12</v>
      </c>
      <c r="D101" s="7" t="s">
        <v>386</v>
      </c>
      <c r="E101" s="8" t="s">
        <v>387</v>
      </c>
      <c r="F101" s="6" t="s">
        <v>388</v>
      </c>
      <c r="G101" s="9">
        <f>IF(A101=1,"_",IF(C101="_","???",C101))</f>
        <v/>
      </c>
      <c r="H101" s="10" t="s">
        <v>12</v>
      </c>
      <c r="I101" s="11" t="s">
        <v>12</v>
      </c>
      <c r="J101" s="12"/>
    </row>
    <row r="102" spans="1:10" ht="60" customHeight="1">
      <c r="A102" s="6" t="s">
        <v>389</v>
      </c>
      <c r="B102" s="6" t="s">
        <v>10</v>
      </c>
      <c r="C102" s="6" t="s">
        <v>12</v>
      </c>
      <c r="D102" s="7" t="s">
        <v>18</v>
      </c>
      <c r="E102" s="8" t="s">
        <v>390</v>
      </c>
      <c r="F102" s="6" t="s">
        <v>391</v>
      </c>
      <c r="G102" s="9">
        <f>IF(A102=1,"_",IF(C102="_","???",C102))</f>
        <v/>
      </c>
      <c r="H102" s="10" t="s">
        <v>12</v>
      </c>
      <c r="I102" s="11" t="s">
        <v>12</v>
      </c>
      <c r="J102" s="12"/>
    </row>
    <row r="103" spans="1:10" ht="60" customHeight="1">
      <c r="A103" s="6" t="s">
        <v>392</v>
      </c>
      <c r="B103" s="6" t="s">
        <v>60</v>
      </c>
      <c r="C103" s="6" t="s">
        <v>12</v>
      </c>
      <c r="D103" s="7" t="s">
        <v>18</v>
      </c>
      <c r="E103" s="8" t="s">
        <v>393</v>
      </c>
      <c r="F103" s="6" t="s">
        <v>394</v>
      </c>
      <c r="G103" s="9">
        <f>IF(A103=1,"_",IF(C103="_","???",C103))</f>
        <v/>
      </c>
      <c r="H103" s="10" t="s">
        <v>12</v>
      </c>
      <c r="I103" s="11" t="s">
        <v>12</v>
      </c>
      <c r="J103" s="12"/>
    </row>
    <row r="104" spans="1:10" ht="60" customHeight="1">
      <c r="A104" s="6" t="s">
        <v>395</v>
      </c>
      <c r="B104" s="6" t="s">
        <v>16</v>
      </c>
      <c r="C104" s="6" t="s">
        <v>12</v>
      </c>
      <c r="D104" s="7" t="s">
        <v>396</v>
      </c>
      <c r="E104" s="8" t="s">
        <v>397</v>
      </c>
      <c r="F104" s="6" t="s">
        <v>398</v>
      </c>
      <c r="G104" s="9">
        <f>IF(A104=1,"_",IF(C104="_","???",C104))</f>
        <v/>
      </c>
      <c r="H104" s="10" t="s">
        <v>12</v>
      </c>
      <c r="I104" s="11" t="s">
        <v>12</v>
      </c>
      <c r="J104" s="12"/>
    </row>
    <row r="105" spans="1:10" ht="60" customHeight="1">
      <c r="A105" s="6" t="s">
        <v>399</v>
      </c>
      <c r="B105" s="6" t="s">
        <v>31</v>
      </c>
      <c r="C105" s="6" t="s">
        <v>12</v>
      </c>
      <c r="D105" s="7" t="s">
        <v>400</v>
      </c>
      <c r="E105" s="8" t="s">
        <v>401</v>
      </c>
      <c r="F105" s="6" t="s">
        <v>402</v>
      </c>
      <c r="G105" s="9">
        <f>IF(A105=1,"_",IF(C105="_","???",C105))</f>
        <v/>
      </c>
      <c r="H105" s="10" t="s">
        <v>12</v>
      </c>
      <c r="I105" s="11" t="s">
        <v>12</v>
      </c>
      <c r="J105" s="12"/>
    </row>
    <row r="106" spans="1:10" ht="60" customHeight="1">
      <c r="A106" s="6" t="s">
        <v>403</v>
      </c>
      <c r="B106" s="6" t="s">
        <v>59</v>
      </c>
      <c r="C106" s="6" t="s">
        <v>12</v>
      </c>
      <c r="D106" s="7" t="s">
        <v>404</v>
      </c>
      <c r="E106" s="8" t="s">
        <v>405</v>
      </c>
      <c r="F106" s="6" t="s">
        <v>406</v>
      </c>
      <c r="G106" s="9">
        <f>IF(A106=1,"_",IF(C106="_","???",C106))</f>
        <v/>
      </c>
      <c r="H106" s="10" t="s">
        <v>12</v>
      </c>
      <c r="I106" s="11" t="s">
        <v>12</v>
      </c>
      <c r="J106" s="12"/>
    </row>
    <row r="107" spans="1:10" ht="60" customHeight="1">
      <c r="A107" s="6" t="s">
        <v>407</v>
      </c>
      <c r="B107" s="6" t="s">
        <v>41</v>
      </c>
      <c r="C107" s="6" t="s">
        <v>12</v>
      </c>
      <c r="D107" s="7" t="s">
        <v>408</v>
      </c>
      <c r="E107" s="8" t="s">
        <v>409</v>
      </c>
      <c r="F107" s="6" t="s">
        <v>410</v>
      </c>
      <c r="G107" s="9">
        <f>IF(A107=1,"_",IF(C107="_","???",C107))</f>
        <v/>
      </c>
      <c r="H107" s="10" t="s">
        <v>12</v>
      </c>
      <c r="I107" s="11" t="s">
        <v>12</v>
      </c>
      <c r="J107" s="12"/>
    </row>
    <row r="108" spans="1:10" ht="60" customHeight="1">
      <c r="A108" s="6" t="s">
        <v>411</v>
      </c>
      <c r="B108" s="6" t="s">
        <v>16</v>
      </c>
      <c r="C108" s="6" t="s">
        <v>12</v>
      </c>
      <c r="D108" s="7" t="s">
        <v>368</v>
      </c>
      <c r="E108" s="8" t="s">
        <v>412</v>
      </c>
      <c r="F108" s="6" t="s">
        <v>413</v>
      </c>
      <c r="G108" s="9">
        <f>IF(A108=1,"_",IF(C108="_","???",C108))</f>
        <v/>
      </c>
      <c r="H108" s="10" t="s">
        <v>12</v>
      </c>
      <c r="I108" s="11" t="s">
        <v>12</v>
      </c>
      <c r="J108" s="12"/>
    </row>
    <row r="109" spans="1:10" ht="60" customHeight="1">
      <c r="A109" s="6" t="s">
        <v>414</v>
      </c>
      <c r="B109" s="6" t="s">
        <v>16</v>
      </c>
      <c r="C109" s="6" t="s">
        <v>12</v>
      </c>
      <c r="D109" s="7" t="s">
        <v>415</v>
      </c>
      <c r="E109" s="8" t="s">
        <v>416</v>
      </c>
      <c r="F109" s="6" t="s">
        <v>417</v>
      </c>
      <c r="G109" s="9">
        <f>IF(A109=1,"_",IF(C109="_","???",C109))</f>
        <v/>
      </c>
      <c r="H109" s="10" t="s">
        <v>12</v>
      </c>
      <c r="I109" s="11" t="s">
        <v>12</v>
      </c>
      <c r="J109" s="12"/>
    </row>
    <row r="110" spans="1:10" ht="60" customHeight="1">
      <c r="A110" s="6" t="s">
        <v>418</v>
      </c>
      <c r="B110" s="6" t="s">
        <v>10</v>
      </c>
      <c r="C110" s="6" t="s">
        <v>12</v>
      </c>
      <c r="D110" s="7" t="s">
        <v>419</v>
      </c>
      <c r="E110" s="8" t="s">
        <v>420</v>
      </c>
      <c r="F110" s="6" t="s">
        <v>421</v>
      </c>
      <c r="G110" s="9">
        <f>IF(A110=1,"_",IF(C110="_","???",C110))</f>
        <v/>
      </c>
      <c r="H110" s="10" t="s">
        <v>12</v>
      </c>
      <c r="I110" s="11" t="s">
        <v>12</v>
      </c>
      <c r="J110" s="12"/>
    </row>
    <row r="111" spans="1:10" ht="60" customHeight="1">
      <c r="A111" s="6" t="s">
        <v>422</v>
      </c>
      <c r="B111" s="6" t="s">
        <v>16</v>
      </c>
      <c r="C111" s="6" t="s">
        <v>12</v>
      </c>
      <c r="D111" s="7" t="s">
        <v>158</v>
      </c>
      <c r="E111" s="8" t="s">
        <v>423</v>
      </c>
      <c r="F111" s="6" t="s">
        <v>424</v>
      </c>
      <c r="G111" s="9">
        <f>IF(A111=1,"_",IF(C111="_","???",C111))</f>
        <v/>
      </c>
      <c r="H111" s="10" t="s">
        <v>12</v>
      </c>
      <c r="I111" s="11" t="s">
        <v>12</v>
      </c>
      <c r="J111" s="12"/>
    </row>
    <row r="112" spans="1:10" ht="60" customHeight="1">
      <c r="A112" s="6" t="s">
        <v>425</v>
      </c>
      <c r="B112" s="6" t="s">
        <v>27</v>
      </c>
      <c r="C112" s="6" t="s">
        <v>12</v>
      </c>
      <c r="D112" s="7" t="s">
        <v>426</v>
      </c>
      <c r="E112" s="8" t="s">
        <v>427</v>
      </c>
      <c r="F112" s="6" t="s">
        <v>428</v>
      </c>
      <c r="G112" s="9">
        <f>IF(A112=1,"_",IF(C112="_","???",C112))</f>
        <v/>
      </c>
      <c r="H112" s="10" t="s">
        <v>12</v>
      </c>
      <c r="I112" s="11" t="s">
        <v>12</v>
      </c>
      <c r="J112" s="12"/>
    </row>
    <row r="113" spans="1:10" ht="60" customHeight="1">
      <c r="A113" s="6" t="s">
        <v>429</v>
      </c>
      <c r="B113" s="6" t="s">
        <v>17</v>
      </c>
      <c r="C113" s="6" t="s">
        <v>12</v>
      </c>
      <c r="D113" s="7" t="s">
        <v>430</v>
      </c>
      <c r="E113" s="8" t="s">
        <v>431</v>
      </c>
      <c r="F113" s="6" t="s">
        <v>432</v>
      </c>
      <c r="G113" s="9">
        <f>IF(A113=1,"_",IF(C113="_","???",C113))</f>
        <v/>
      </c>
      <c r="H113" s="10" t="s">
        <v>12</v>
      </c>
      <c r="I113" s="11" t="s">
        <v>12</v>
      </c>
      <c r="J113" s="12"/>
    </row>
    <row r="114" spans="1:10" ht="60" customHeight="1">
      <c r="A114" s="6" t="s">
        <v>433</v>
      </c>
      <c r="B114" s="6" t="s">
        <v>31</v>
      </c>
      <c r="C114" s="6" t="s">
        <v>12</v>
      </c>
      <c r="D114" s="7" t="s">
        <v>434</v>
      </c>
      <c r="E114" s="8" t="s">
        <v>435</v>
      </c>
      <c r="F114" s="6" t="s">
        <v>436</v>
      </c>
      <c r="G114" s="9">
        <f>IF(A114=1,"_",IF(C114="_","???",C114))</f>
        <v/>
      </c>
      <c r="H114" s="10" t="s">
        <v>12</v>
      </c>
      <c r="I114" s="11" t="s">
        <v>12</v>
      </c>
      <c r="J114" s="12"/>
    </row>
    <row r="115" spans="1:10" ht="60" customHeight="1">
      <c r="A115" s="6" t="s">
        <v>437</v>
      </c>
      <c r="B115" s="6" t="s">
        <v>31</v>
      </c>
      <c r="C115" s="6" t="s">
        <v>12</v>
      </c>
      <c r="D115" s="7" t="s">
        <v>438</v>
      </c>
      <c r="E115" s="8" t="s">
        <v>439</v>
      </c>
      <c r="F115" s="6" t="s">
        <v>440</v>
      </c>
      <c r="G115" s="9">
        <f>IF(A115=1,"_",IF(C115="_","???",C115))</f>
        <v/>
      </c>
      <c r="H115" s="10" t="s">
        <v>12</v>
      </c>
      <c r="I115" s="11" t="s">
        <v>12</v>
      </c>
      <c r="J115" s="12"/>
    </row>
    <row r="116" spans="1:10" ht="60" customHeight="1">
      <c r="A116" s="6" t="s">
        <v>441</v>
      </c>
      <c r="B116" s="6" t="s">
        <v>10</v>
      </c>
      <c r="C116" s="6" t="s">
        <v>12</v>
      </c>
      <c r="D116" s="7" t="s">
        <v>18</v>
      </c>
      <c r="E116" s="8" t="s">
        <v>442</v>
      </c>
      <c r="F116" s="6" t="s">
        <v>443</v>
      </c>
      <c r="G116" s="9">
        <f>IF(A116=1,"_",IF(C116="_","???",C116))</f>
        <v/>
      </c>
      <c r="H116" s="10" t="s">
        <v>12</v>
      </c>
      <c r="I116" s="11" t="s">
        <v>12</v>
      </c>
      <c r="J116" s="12"/>
    </row>
    <row r="117" spans="1:10" ht="60" customHeight="1">
      <c r="A117" s="6" t="s">
        <v>444</v>
      </c>
      <c r="B117" s="6" t="s">
        <v>16</v>
      </c>
      <c r="C117" s="6" t="s">
        <v>12</v>
      </c>
      <c r="D117" s="7" t="s">
        <v>445</v>
      </c>
      <c r="E117" s="8" t="s">
        <v>446</v>
      </c>
      <c r="F117" s="6" t="s">
        <v>447</v>
      </c>
      <c r="G117" s="9">
        <f>IF(A117=1,"_",IF(C117="_","???",C117))</f>
        <v/>
      </c>
      <c r="H117" s="10" t="s">
        <v>12</v>
      </c>
      <c r="I117" s="11" t="s">
        <v>12</v>
      </c>
      <c r="J117" s="12"/>
    </row>
    <row r="118" spans="1:10" ht="60" customHeight="1">
      <c r="A118" s="6" t="s">
        <v>448</v>
      </c>
      <c r="B118" s="6" t="s">
        <v>27</v>
      </c>
      <c r="C118" s="6" t="s">
        <v>12</v>
      </c>
      <c r="D118" s="7" t="s">
        <v>449</v>
      </c>
      <c r="E118" s="8" t="s">
        <v>450</v>
      </c>
      <c r="F118" s="6" t="s">
        <v>451</v>
      </c>
      <c r="G118" s="9">
        <f>IF(A118=1,"_",IF(C118="_","???",C118))</f>
        <v/>
      </c>
      <c r="H118" s="10" t="s">
        <v>12</v>
      </c>
      <c r="I118" s="11" t="s">
        <v>12</v>
      </c>
      <c r="J118" s="12"/>
    </row>
    <row r="119" spans="1:10" ht="60" customHeight="1">
      <c r="A119" s="6" t="s">
        <v>452</v>
      </c>
      <c r="B119" s="6" t="s">
        <v>31</v>
      </c>
      <c r="C119" s="6" t="s">
        <v>12</v>
      </c>
      <c r="D119" s="7" t="s">
        <v>453</v>
      </c>
      <c r="E119" s="8" t="s">
        <v>454</v>
      </c>
      <c r="F119" s="6" t="s">
        <v>455</v>
      </c>
      <c r="G119" s="9">
        <f>IF(A119=1,"_",IF(C119="_","???",C119))</f>
        <v/>
      </c>
      <c r="H119" s="10" t="s">
        <v>12</v>
      </c>
      <c r="I119" s="11" t="s">
        <v>12</v>
      </c>
      <c r="J119" s="12"/>
    </row>
    <row r="120" spans="1:10" ht="60" customHeight="1">
      <c r="A120" s="6" t="s">
        <v>456</v>
      </c>
      <c r="B120" s="6" t="s">
        <v>10</v>
      </c>
      <c r="C120" s="6" t="s">
        <v>12</v>
      </c>
      <c r="D120" s="7" t="s">
        <v>457</v>
      </c>
      <c r="E120" s="8" t="s">
        <v>458</v>
      </c>
      <c r="F120" s="6" t="s">
        <v>459</v>
      </c>
      <c r="G120" s="9">
        <f>IF(A120=1,"_",IF(C120="_","???",C120))</f>
        <v/>
      </c>
      <c r="H120" s="10" t="s">
        <v>12</v>
      </c>
      <c r="I120" s="11" t="s">
        <v>12</v>
      </c>
      <c r="J120" s="12"/>
    </row>
    <row r="121" spans="1:10" ht="60" customHeight="1">
      <c r="A121" s="6" t="s">
        <v>460</v>
      </c>
      <c r="B121" s="6" t="s">
        <v>10</v>
      </c>
      <c r="C121" s="6" t="s">
        <v>12</v>
      </c>
      <c r="D121" s="7" t="s">
        <v>461</v>
      </c>
      <c r="E121" s="8" t="s">
        <v>462</v>
      </c>
      <c r="F121" s="6" t="s">
        <v>463</v>
      </c>
      <c r="G121" s="9">
        <f>IF(A121=1,"_",IF(C121="_","???",C121))</f>
        <v/>
      </c>
      <c r="H121" s="10" t="s">
        <v>12</v>
      </c>
      <c r="I121" s="11" t="s">
        <v>12</v>
      </c>
      <c r="J121" s="12"/>
    </row>
    <row r="122" spans="1:10" ht="60" customHeight="1">
      <c r="A122" s="6" t="s">
        <v>464</v>
      </c>
      <c r="B122" s="6" t="s">
        <v>16</v>
      </c>
      <c r="C122" s="6" t="s">
        <v>12</v>
      </c>
      <c r="D122" s="7" t="s">
        <v>158</v>
      </c>
      <c r="E122" s="8" t="s">
        <v>465</v>
      </c>
      <c r="F122" s="6" t="s">
        <v>466</v>
      </c>
      <c r="G122" s="9">
        <f>IF(A122=1,"_",IF(C122="_","???",C122))</f>
        <v/>
      </c>
      <c r="H122" s="10" t="s">
        <v>12</v>
      </c>
      <c r="I122" s="11" t="s">
        <v>12</v>
      </c>
      <c r="J122" s="12"/>
    </row>
    <row r="123" spans="1:10" ht="60" customHeight="1">
      <c r="A123" s="6" t="s">
        <v>467</v>
      </c>
      <c r="B123" s="6" t="s">
        <v>11</v>
      </c>
      <c r="C123" s="6" t="s">
        <v>12</v>
      </c>
      <c r="D123" s="7" t="s">
        <v>468</v>
      </c>
      <c r="E123" s="8" t="s">
        <v>469</v>
      </c>
      <c r="F123" s="6" t="s">
        <v>470</v>
      </c>
      <c r="G123" s="9">
        <f>IF(A123=1,"_",IF(C123="_","???",C123))</f>
        <v/>
      </c>
      <c r="H123" s="10" t="s">
        <v>12</v>
      </c>
      <c r="I123" s="11" t="s">
        <v>12</v>
      </c>
      <c r="J123" s="12"/>
    </row>
    <row r="124" spans="1:10" ht="60" customHeight="1">
      <c r="A124" s="6" t="s">
        <v>471</v>
      </c>
      <c r="B124" s="6" t="s">
        <v>46</v>
      </c>
      <c r="C124" s="6" t="s">
        <v>12</v>
      </c>
      <c r="D124" s="7" t="s">
        <v>472</v>
      </c>
      <c r="E124" s="8" t="s">
        <v>473</v>
      </c>
      <c r="F124" s="6" t="s">
        <v>474</v>
      </c>
      <c r="G124" s="9">
        <f>IF(A124=1,"_",IF(C124="_","???",C124))</f>
        <v/>
      </c>
      <c r="H124" s="10" t="s">
        <v>12</v>
      </c>
      <c r="I124" s="11" t="s">
        <v>12</v>
      </c>
      <c r="J124" s="12"/>
    </row>
    <row r="125" spans="1:10" ht="60" customHeight="1">
      <c r="A125" s="6" t="s">
        <v>475</v>
      </c>
      <c r="B125" s="6" t="s">
        <v>45</v>
      </c>
      <c r="C125" s="6" t="s">
        <v>12</v>
      </c>
      <c r="D125" s="7" t="s">
        <v>476</v>
      </c>
      <c r="E125" s="8" t="s">
        <v>477</v>
      </c>
      <c r="F125" s="6" t="s">
        <v>478</v>
      </c>
      <c r="G125" s="9">
        <f>IF(A125=1,"_",IF(C125="_","???",C125))</f>
        <v/>
      </c>
      <c r="H125" s="10" t="s">
        <v>12</v>
      </c>
      <c r="I125" s="11" t="s">
        <v>12</v>
      </c>
      <c r="J125" s="12"/>
    </row>
    <row r="126" spans="1:10" ht="60" customHeight="1">
      <c r="A126" s="6" t="s">
        <v>479</v>
      </c>
      <c r="B126" s="6" t="s">
        <v>10</v>
      </c>
      <c r="C126" s="6" t="s">
        <v>12</v>
      </c>
      <c r="D126" s="7" t="s">
        <v>400</v>
      </c>
      <c r="E126" s="8" t="s">
        <v>480</v>
      </c>
      <c r="F126" s="6" t="s">
        <v>481</v>
      </c>
      <c r="G126" s="9">
        <f>IF(A126=1,"_",IF(C126="_","???",C126))</f>
        <v/>
      </c>
      <c r="H126" s="10" t="s">
        <v>12</v>
      </c>
      <c r="I126" s="11" t="s">
        <v>12</v>
      </c>
      <c r="J126" s="12"/>
    </row>
    <row r="127" spans="1:10" ht="60" customHeight="1">
      <c r="A127" s="6" t="s">
        <v>482</v>
      </c>
      <c r="B127" s="6" t="s">
        <v>21</v>
      </c>
      <c r="C127" s="6" t="s">
        <v>12</v>
      </c>
      <c r="D127" s="7" t="s">
        <v>453</v>
      </c>
      <c r="E127" s="8" t="s">
        <v>483</v>
      </c>
      <c r="F127" s="6" t="s">
        <v>484</v>
      </c>
      <c r="G127" s="9">
        <f>IF(A127=1,"_",IF(C127="_","???",C127))</f>
        <v/>
      </c>
      <c r="H127" s="10" t="s">
        <v>12</v>
      </c>
      <c r="I127" s="11" t="s">
        <v>12</v>
      </c>
      <c r="J127" s="12"/>
    </row>
    <row r="128" spans="1:10" ht="60" customHeight="1">
      <c r="A128" s="6" t="s">
        <v>485</v>
      </c>
      <c r="B128" s="6" t="s">
        <v>16</v>
      </c>
      <c r="C128" s="6" t="s">
        <v>12</v>
      </c>
      <c r="D128" s="7" t="s">
        <v>486</v>
      </c>
      <c r="E128" s="8" t="s">
        <v>487</v>
      </c>
      <c r="F128" s="6" t="s">
        <v>488</v>
      </c>
      <c r="G128" s="9">
        <f>IF(A128=1,"_",IF(C128="_","???",C128))</f>
        <v/>
      </c>
      <c r="H128" s="10" t="s">
        <v>12</v>
      </c>
      <c r="I128" s="11" t="s">
        <v>12</v>
      </c>
      <c r="J128" s="12"/>
    </row>
    <row r="129" spans="1:10" ht="60" customHeight="1">
      <c r="A129" s="6" t="s">
        <v>489</v>
      </c>
      <c r="B129" s="6" t="s">
        <v>10</v>
      </c>
      <c r="C129" s="6" t="s">
        <v>12</v>
      </c>
      <c r="D129" s="7" t="s">
        <v>28</v>
      </c>
      <c r="E129" s="8" t="s">
        <v>490</v>
      </c>
      <c r="F129" s="6" t="s">
        <v>491</v>
      </c>
      <c r="G129" s="9">
        <f>IF(A129=1,"_",IF(C129="_","???",C129))</f>
        <v/>
      </c>
      <c r="H129" s="10" t="s">
        <v>12</v>
      </c>
      <c r="I129" s="11" t="s">
        <v>12</v>
      </c>
      <c r="J129" s="12"/>
    </row>
    <row r="130" spans="1:10" ht="60" customHeight="1">
      <c r="A130" s="6" t="s">
        <v>492</v>
      </c>
      <c r="B130" s="6" t="s">
        <v>10</v>
      </c>
      <c r="C130" s="6" t="s">
        <v>12</v>
      </c>
      <c r="D130" s="7" t="s">
        <v>493</v>
      </c>
      <c r="E130" s="8" t="s">
        <v>494</v>
      </c>
      <c r="F130" s="6" t="s">
        <v>495</v>
      </c>
      <c r="G130" s="9">
        <f>IF(A130=1,"_",IF(C130="_","???",C130))</f>
        <v/>
      </c>
      <c r="H130" s="10" t="s">
        <v>12</v>
      </c>
      <c r="I130" s="11" t="s">
        <v>12</v>
      </c>
      <c r="J130" s="12"/>
    </row>
    <row r="131" spans="1:10" ht="60" customHeight="1">
      <c r="A131" s="6" t="s">
        <v>496</v>
      </c>
      <c r="B131" s="6" t="s">
        <v>21</v>
      </c>
      <c r="C131" s="6" t="s">
        <v>32</v>
      </c>
      <c r="D131" s="7" t="s">
        <v>497</v>
      </c>
      <c r="E131" s="8" t="s">
        <v>498</v>
      </c>
      <c r="F131" s="6" t="s">
        <v>499</v>
      </c>
      <c r="G131" s="9">
        <f>IF(A131=1,"_",IF(C131="_","???",C131))</f>
        <v/>
      </c>
      <c r="H131" s="10" t="s">
        <v>12</v>
      </c>
      <c r="I131" s="11" t="s">
        <v>12</v>
      </c>
      <c r="J131" s="12"/>
    </row>
    <row r="132" spans="1:10" ht="60" customHeight="1">
      <c r="A132" s="6" t="s">
        <v>500</v>
      </c>
      <c r="B132" s="6" t="s">
        <v>10</v>
      </c>
      <c r="C132" s="6" t="s">
        <v>12</v>
      </c>
      <c r="D132" s="7" t="s">
        <v>501</v>
      </c>
      <c r="E132" s="8" t="s">
        <v>502</v>
      </c>
      <c r="F132" s="6" t="s">
        <v>503</v>
      </c>
      <c r="G132" s="9">
        <f>IF(A132=1,"_",IF(C132="_","???",C132))</f>
        <v/>
      </c>
      <c r="H132" s="10" t="s">
        <v>12</v>
      </c>
      <c r="I132" s="11" t="s">
        <v>12</v>
      </c>
      <c r="J132" s="12"/>
    </row>
    <row r="133" spans="1:10" ht="60" customHeight="1">
      <c r="A133" s="6" t="s">
        <v>504</v>
      </c>
      <c r="B133" s="6" t="s">
        <v>16</v>
      </c>
      <c r="C133" s="6" t="s">
        <v>12</v>
      </c>
      <c r="D133" s="7" t="s">
        <v>505</v>
      </c>
      <c r="E133" s="8" t="s">
        <v>506</v>
      </c>
      <c r="F133" s="6" t="s">
        <v>507</v>
      </c>
      <c r="G133" s="9">
        <f>IF(A133=1,"_",IF(C133="_","???",C133))</f>
        <v/>
      </c>
      <c r="H133" s="10" t="s">
        <v>12</v>
      </c>
      <c r="I133" s="11" t="s">
        <v>12</v>
      </c>
      <c r="J133" s="12"/>
    </row>
    <row r="134" spans="1:10" ht="60" customHeight="1">
      <c r="A134" s="6" t="s">
        <v>508</v>
      </c>
      <c r="B134" s="6" t="s">
        <v>21</v>
      </c>
      <c r="C134" s="6" t="s">
        <v>12</v>
      </c>
      <c r="D134" s="7" t="s">
        <v>509</v>
      </c>
      <c r="E134" s="8" t="s">
        <v>510</v>
      </c>
      <c r="F134" s="6" t="s">
        <v>511</v>
      </c>
      <c r="G134" s="9">
        <f>IF(A134=1,"_",IF(C134="_","???",C134))</f>
        <v/>
      </c>
      <c r="H134" s="10" t="s">
        <v>12</v>
      </c>
      <c r="I134" s="11" t="s">
        <v>12</v>
      </c>
      <c r="J134" s="12"/>
    </row>
    <row r="135" spans="1:10" ht="60" customHeight="1">
      <c r="A135" s="6" t="s">
        <v>512</v>
      </c>
      <c r="B135" s="6" t="s">
        <v>16</v>
      </c>
      <c r="C135" s="6" t="s">
        <v>12</v>
      </c>
      <c r="D135" s="7" t="s">
        <v>513</v>
      </c>
      <c r="E135" s="8" t="s">
        <v>514</v>
      </c>
      <c r="F135" s="6" t="s">
        <v>515</v>
      </c>
      <c r="G135" s="9">
        <f>IF(A135=1,"_",IF(C135="_","???",C135))</f>
        <v/>
      </c>
      <c r="H135" s="10" t="s">
        <v>12</v>
      </c>
      <c r="I135" s="11" t="s">
        <v>12</v>
      </c>
      <c r="J135" s="12"/>
    </row>
    <row r="136" spans="1:10" ht="60" customHeight="1">
      <c r="A136" s="6" t="s">
        <v>516</v>
      </c>
      <c r="B136" s="6" t="s">
        <v>10</v>
      </c>
      <c r="C136" s="6" t="s">
        <v>12</v>
      </c>
      <c r="D136" s="7" t="s">
        <v>517</v>
      </c>
      <c r="E136" s="8" t="s">
        <v>518</v>
      </c>
      <c r="F136" s="6" t="s">
        <v>519</v>
      </c>
      <c r="G136" s="9">
        <f>IF(A136=1,"_",IF(C136="_","???",C136))</f>
        <v/>
      </c>
      <c r="H136" s="10" t="s">
        <v>12</v>
      </c>
      <c r="I136" s="11" t="s">
        <v>12</v>
      </c>
      <c r="J136" s="12"/>
    </row>
    <row r="137" spans="1:10" ht="60" customHeight="1">
      <c r="A137" s="6" t="s">
        <v>520</v>
      </c>
      <c r="B137" s="6" t="s">
        <v>21</v>
      </c>
      <c r="C137" s="6" t="s">
        <v>12</v>
      </c>
      <c r="D137" s="7" t="s">
        <v>521</v>
      </c>
      <c r="E137" s="8" t="s">
        <v>522</v>
      </c>
      <c r="F137" s="6" t="s">
        <v>523</v>
      </c>
      <c r="G137" s="9">
        <f>IF(A137=1,"_",IF(C137="_","???",C137))</f>
        <v/>
      </c>
      <c r="H137" s="10" t="s">
        <v>12</v>
      </c>
      <c r="I137" s="11" t="s">
        <v>12</v>
      </c>
      <c r="J137" s="12"/>
    </row>
    <row r="138" spans="1:10" ht="60" customHeight="1">
      <c r="A138" s="6" t="s">
        <v>524</v>
      </c>
      <c r="B138" s="6" t="s">
        <v>16</v>
      </c>
      <c r="C138" s="6" t="s">
        <v>12</v>
      </c>
      <c r="D138" s="7" t="s">
        <v>525</v>
      </c>
      <c r="E138" s="8" t="s">
        <v>526</v>
      </c>
      <c r="F138" s="6" t="s">
        <v>527</v>
      </c>
      <c r="G138" s="9">
        <f>IF(A138=1,"_",IF(C138="_","???",C138))</f>
        <v/>
      </c>
      <c r="H138" s="10" t="s">
        <v>12</v>
      </c>
      <c r="I138" s="11" t="s">
        <v>12</v>
      </c>
      <c r="J138" s="12"/>
    </row>
    <row r="139" spans="1:10" ht="60" customHeight="1">
      <c r="A139" s="6" t="s">
        <v>528</v>
      </c>
      <c r="B139" s="6" t="s">
        <v>10</v>
      </c>
      <c r="C139" s="6" t="s">
        <v>12</v>
      </c>
      <c r="D139" s="7" t="s">
        <v>525</v>
      </c>
      <c r="E139" s="8" t="s">
        <v>529</v>
      </c>
      <c r="F139" s="6" t="s">
        <v>530</v>
      </c>
      <c r="G139" s="9">
        <f>IF(A139=1,"_",IF(C139="_","???",C139))</f>
        <v/>
      </c>
      <c r="H139" s="10" t="s">
        <v>12</v>
      </c>
      <c r="I139" s="11" t="s">
        <v>12</v>
      </c>
      <c r="J139" s="12"/>
    </row>
    <row r="140" spans="1:10" ht="60" customHeight="1">
      <c r="A140" s="6" t="s">
        <v>531</v>
      </c>
      <c r="B140" s="6" t="s">
        <v>10</v>
      </c>
      <c r="C140" s="6" t="s">
        <v>12</v>
      </c>
      <c r="D140" s="7" t="s">
        <v>525</v>
      </c>
      <c r="E140" s="8" t="s">
        <v>532</v>
      </c>
      <c r="F140" s="6" t="s">
        <v>533</v>
      </c>
      <c r="G140" s="9">
        <f>IF(A140=1,"_",IF(C140="_","???",C140))</f>
        <v/>
      </c>
      <c r="H140" s="10" t="s">
        <v>12</v>
      </c>
      <c r="I140" s="11" t="s">
        <v>12</v>
      </c>
      <c r="J140" s="12"/>
    </row>
    <row r="141" spans="1:10" ht="60" customHeight="1">
      <c r="A141" s="6" t="s">
        <v>534</v>
      </c>
      <c r="B141" s="6" t="s">
        <v>10</v>
      </c>
      <c r="C141" s="6" t="s">
        <v>12</v>
      </c>
      <c r="D141" s="7" t="s">
        <v>525</v>
      </c>
      <c r="E141" s="8" t="s">
        <v>535</v>
      </c>
      <c r="F141" s="6" t="s">
        <v>536</v>
      </c>
      <c r="G141" s="9">
        <f>IF(A141=1,"_",IF(C141="_","???",C141))</f>
        <v/>
      </c>
      <c r="H141" s="10" t="s">
        <v>12</v>
      </c>
      <c r="I141" s="11" t="s">
        <v>12</v>
      </c>
      <c r="J141" s="12"/>
    </row>
    <row r="142" spans="1:10" ht="60" customHeight="1">
      <c r="A142" s="6" t="s">
        <v>537</v>
      </c>
      <c r="B142" s="6" t="s">
        <v>10</v>
      </c>
      <c r="C142" s="6" t="s">
        <v>12</v>
      </c>
      <c r="D142" s="7" t="s">
        <v>538</v>
      </c>
      <c r="E142" s="8" t="s">
        <v>539</v>
      </c>
      <c r="F142" s="6" t="s">
        <v>540</v>
      </c>
      <c r="G142" s="9">
        <f>IF(A142=1,"_",IF(C142="_","???",C142))</f>
        <v/>
      </c>
      <c r="H142" s="10" t="s">
        <v>12</v>
      </c>
      <c r="I142" s="11" t="s">
        <v>12</v>
      </c>
      <c r="J142" s="12"/>
    </row>
    <row r="143" spans="1:10" ht="60" customHeight="1">
      <c r="A143" s="6" t="s">
        <v>541</v>
      </c>
      <c r="B143" s="6" t="s">
        <v>10</v>
      </c>
      <c r="C143" s="6" t="s">
        <v>12</v>
      </c>
      <c r="D143" s="7" t="s">
        <v>542</v>
      </c>
      <c r="E143" s="8" t="s">
        <v>543</v>
      </c>
      <c r="F143" s="6" t="s">
        <v>544</v>
      </c>
      <c r="G143" s="9">
        <f>IF(A143=1,"_",IF(C143="_","???",C143))</f>
        <v/>
      </c>
      <c r="H143" s="10" t="s">
        <v>12</v>
      </c>
      <c r="I143" s="11" t="s">
        <v>12</v>
      </c>
      <c r="J143" s="12"/>
    </row>
    <row r="144" spans="1:10" ht="60" customHeight="1">
      <c r="A144" s="6" t="s">
        <v>545</v>
      </c>
      <c r="B144" s="6" t="s">
        <v>36</v>
      </c>
      <c r="C144" s="6" t="s">
        <v>12</v>
      </c>
      <c r="D144" s="7" t="s">
        <v>224</v>
      </c>
      <c r="E144" s="8" t="s">
        <v>546</v>
      </c>
      <c r="F144" s="6" t="s">
        <v>547</v>
      </c>
      <c r="G144" s="9">
        <f>IF(A144=1,"_",IF(C144="_","???",C144))</f>
        <v/>
      </c>
      <c r="H144" s="10" t="s">
        <v>12</v>
      </c>
      <c r="I144" s="11" t="s">
        <v>12</v>
      </c>
      <c r="J144" s="12"/>
    </row>
    <row r="145" spans="1:10" ht="60" customHeight="1">
      <c r="A145" s="6" t="s">
        <v>548</v>
      </c>
      <c r="B145" s="6" t="s">
        <v>21</v>
      </c>
      <c r="C145" s="6" t="s">
        <v>12</v>
      </c>
      <c r="D145" s="7" t="s">
        <v>166</v>
      </c>
      <c r="E145" s="8" t="s">
        <v>549</v>
      </c>
      <c r="F145" s="6" t="s">
        <v>550</v>
      </c>
      <c r="G145" s="9">
        <f>IF(A145=1,"_",IF(C145="_","???",C145))</f>
        <v/>
      </c>
      <c r="H145" s="10" t="s">
        <v>12</v>
      </c>
      <c r="I145" s="11" t="s">
        <v>12</v>
      </c>
      <c r="J145" s="12"/>
    </row>
    <row r="146" spans="1:10" ht="60" customHeight="1">
      <c r="A146" s="6" t="s">
        <v>551</v>
      </c>
      <c r="B146" s="6" t="s">
        <v>21</v>
      </c>
      <c r="C146" s="6" t="s">
        <v>12</v>
      </c>
      <c r="D146" s="7" t="s">
        <v>552</v>
      </c>
      <c r="E146" s="8" t="s">
        <v>553</v>
      </c>
      <c r="F146" s="6" t="s">
        <v>554</v>
      </c>
      <c r="G146" s="9">
        <f>IF(A146=1,"_",IF(C146="_","???",C146))</f>
        <v/>
      </c>
      <c r="H146" s="10" t="s">
        <v>12</v>
      </c>
      <c r="I146" s="11" t="s">
        <v>12</v>
      </c>
      <c r="J146" s="12"/>
    </row>
    <row r="147" spans="1:10" ht="60" customHeight="1">
      <c r="A147" s="6" t="s">
        <v>555</v>
      </c>
      <c r="B147" s="6" t="s">
        <v>16</v>
      </c>
      <c r="C147" s="6" t="s">
        <v>12</v>
      </c>
      <c r="D147" s="7" t="s">
        <v>127</v>
      </c>
      <c r="E147" s="8" t="s">
        <v>556</v>
      </c>
      <c r="F147" s="6" t="s">
        <v>557</v>
      </c>
      <c r="G147" s="9">
        <f>IF(A147=1,"_",IF(C147="_","???",C147))</f>
        <v/>
      </c>
      <c r="H147" s="10" t="s">
        <v>12</v>
      </c>
      <c r="I147" s="11" t="s">
        <v>12</v>
      </c>
      <c r="J147" s="12"/>
    </row>
    <row r="148" spans="1:10" ht="60" customHeight="1">
      <c r="A148" s="6" t="s">
        <v>558</v>
      </c>
      <c r="B148" s="6" t="s">
        <v>46</v>
      </c>
      <c r="C148" s="6" t="s">
        <v>12</v>
      </c>
      <c r="D148" s="7" t="s">
        <v>240</v>
      </c>
      <c r="E148" s="8" t="s">
        <v>559</v>
      </c>
      <c r="F148" s="6" t="s">
        <v>560</v>
      </c>
      <c r="G148" s="9">
        <f>IF(A148=1,"_",IF(C148="_","???",C148))</f>
        <v/>
      </c>
      <c r="H148" s="10" t="s">
        <v>12</v>
      </c>
      <c r="I148" s="11" t="s">
        <v>12</v>
      </c>
      <c r="J148" s="12"/>
    </row>
    <row r="149" spans="1:10" ht="60" customHeight="1">
      <c r="A149" s="6" t="s">
        <v>561</v>
      </c>
      <c r="B149" s="6" t="s">
        <v>21</v>
      </c>
      <c r="C149" s="6" t="s">
        <v>12</v>
      </c>
      <c r="D149" s="7" t="s">
        <v>315</v>
      </c>
      <c r="E149" s="8" t="s">
        <v>562</v>
      </c>
      <c r="F149" s="6" t="s">
        <v>563</v>
      </c>
      <c r="G149" s="9">
        <f>IF(A149=1,"_",IF(C149="_","???",C149))</f>
        <v/>
      </c>
      <c r="H149" s="10" t="s">
        <v>12</v>
      </c>
      <c r="I149" s="11" t="s">
        <v>12</v>
      </c>
      <c r="J149" s="12"/>
    </row>
    <row r="150" spans="1:10" ht="60" customHeight="1">
      <c r="A150" s="6" t="s">
        <v>564</v>
      </c>
      <c r="B150" s="6" t="s">
        <v>46</v>
      </c>
      <c r="C150" s="6" t="s">
        <v>12</v>
      </c>
      <c r="D150" s="7" t="s">
        <v>18</v>
      </c>
      <c r="E150" s="8" t="s">
        <v>565</v>
      </c>
      <c r="F150" s="6" t="s">
        <v>566</v>
      </c>
      <c r="G150" s="9">
        <f>IF(A150=1,"_",IF(C150="_","???",C150))</f>
        <v/>
      </c>
      <c r="H150" s="10" t="s">
        <v>12</v>
      </c>
      <c r="I150" s="11" t="s">
        <v>12</v>
      </c>
      <c r="J150" s="12"/>
    </row>
    <row r="151" spans="1:10" ht="60" customHeight="1">
      <c r="A151" s="6" t="s">
        <v>567</v>
      </c>
      <c r="B151" s="6" t="s">
        <v>72</v>
      </c>
      <c r="C151" s="6" t="s">
        <v>12</v>
      </c>
      <c r="D151" s="7" t="s">
        <v>240</v>
      </c>
      <c r="E151" s="8" t="s">
        <v>568</v>
      </c>
      <c r="F151" s="6" t="s">
        <v>569</v>
      </c>
      <c r="G151" s="9">
        <f>IF(A151=1,"_",IF(C151="_","???",C151))</f>
        <v/>
      </c>
      <c r="H151" s="10" t="s">
        <v>12</v>
      </c>
      <c r="I151" s="11" t="s">
        <v>12</v>
      </c>
      <c r="J151" s="12"/>
    </row>
    <row r="152" spans="1:10" ht="60" customHeight="1">
      <c r="A152" s="6" t="s">
        <v>570</v>
      </c>
      <c r="B152" s="6" t="s">
        <v>10</v>
      </c>
      <c r="C152" s="6" t="s">
        <v>571</v>
      </c>
      <c r="D152" s="7" t="s">
        <v>572</v>
      </c>
      <c r="E152" s="8" t="s">
        <v>573</v>
      </c>
      <c r="F152" s="6" t="s">
        <v>574</v>
      </c>
      <c r="G152" s="9">
        <f>IF(A152=1,"_",IF(C152="_","???",C152))</f>
        <v/>
      </c>
      <c r="H152" s="10" t="s">
        <v>12</v>
      </c>
      <c r="I152" s="11" t="s">
        <v>12</v>
      </c>
      <c r="J152" s="12"/>
    </row>
    <row r="153" spans="1:10" ht="60" customHeight="1">
      <c r="A153" s="6" t="s">
        <v>575</v>
      </c>
      <c r="B153" s="6" t="s">
        <v>17</v>
      </c>
      <c r="C153" s="6" t="s">
        <v>12</v>
      </c>
      <c r="D153" s="7" t="s">
        <v>576</v>
      </c>
      <c r="E153" s="8" t="s">
        <v>577</v>
      </c>
      <c r="F153" s="6" t="s">
        <v>578</v>
      </c>
      <c r="G153" s="9">
        <f>IF(A153=1,"_",IF(C153="_","???",C153))</f>
        <v/>
      </c>
      <c r="H153" s="10" t="s">
        <v>12</v>
      </c>
      <c r="I153" s="11" t="s">
        <v>12</v>
      </c>
      <c r="J153" s="12"/>
    </row>
    <row r="154" spans="1:10" ht="60" customHeight="1">
      <c r="A154" s="6" t="s">
        <v>579</v>
      </c>
      <c r="B154" s="6" t="s">
        <v>27</v>
      </c>
      <c r="C154" s="6" t="s">
        <v>12</v>
      </c>
      <c r="D154" s="7" t="s">
        <v>576</v>
      </c>
      <c r="E154" s="8" t="s">
        <v>580</v>
      </c>
      <c r="F154" s="6" t="s">
        <v>581</v>
      </c>
      <c r="G154" s="9">
        <f>IF(A154=1,"_",IF(C154="_","???",C154))</f>
        <v/>
      </c>
      <c r="H154" s="10" t="s">
        <v>12</v>
      </c>
      <c r="I154" s="11" t="s">
        <v>12</v>
      </c>
      <c r="J154" s="12"/>
    </row>
    <row r="155" spans="1:10" ht="60" customHeight="1">
      <c r="A155" s="6" t="s">
        <v>582</v>
      </c>
      <c r="B155" s="6" t="s">
        <v>10</v>
      </c>
      <c r="C155" s="6" t="s">
        <v>12</v>
      </c>
      <c r="D155" s="7" t="s">
        <v>583</v>
      </c>
      <c r="E155" s="8" t="s">
        <v>584</v>
      </c>
      <c r="F155" s="6" t="s">
        <v>585</v>
      </c>
      <c r="G155" s="9">
        <f>IF(A155=1,"_",IF(C155="_","???",C155))</f>
        <v/>
      </c>
      <c r="H155" s="10" t="s">
        <v>12</v>
      </c>
      <c r="I155" s="11" t="s">
        <v>12</v>
      </c>
      <c r="J155" s="12"/>
    </row>
    <row r="156" spans="1:10" ht="60" customHeight="1">
      <c r="A156" s="6" t="s">
        <v>586</v>
      </c>
      <c r="B156" s="6" t="s">
        <v>10</v>
      </c>
      <c r="C156" s="6" t="s">
        <v>12</v>
      </c>
      <c r="D156" s="7" t="s">
        <v>587</v>
      </c>
      <c r="E156" s="8" t="s">
        <v>588</v>
      </c>
      <c r="F156" s="6" t="s">
        <v>589</v>
      </c>
      <c r="G156" s="9">
        <f>IF(A156=1,"_",IF(C156="_","???",C156))</f>
        <v/>
      </c>
      <c r="H156" s="10" t="s">
        <v>12</v>
      </c>
      <c r="I156" s="11" t="s">
        <v>12</v>
      </c>
      <c r="J156"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3114"/>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590</v>
      </c>
      <c r="B1" s="13" t="s">
        <v>591</v>
      </c>
      <c r="C1" s="13" t="s">
        <v>592</v>
      </c>
      <c r="D1" s="13" t="s">
        <v>593</v>
      </c>
      <c r="E1" s="14" t="s">
        <v>594</v>
      </c>
      <c r="F1" s="15" t="s">
        <v>595</v>
      </c>
      <c r="G1" s="16" t="s">
        <v>596</v>
      </c>
      <c r="H1" s="17" t="s">
        <v>597</v>
      </c>
      <c r="I1" s="18" t="s">
        <v>598</v>
      </c>
      <c r="J1" s="18" t="s">
        <v>599</v>
      </c>
      <c r="K1" s="18" t="s">
        <v>600</v>
      </c>
      <c r="L1" s="19" t="s">
        <v>9</v>
      </c>
    </row>
    <row r="2" spans="1:12">
      <c r="A2" s="20" t="s">
        <v>601</v>
      </c>
    </row>
    <row r="3" spans="1:12">
      <c r="A3" s="20" t="s">
        <v>602</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603</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604</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605</v>
      </c>
      <c r="B6" s="27" t="s">
        <v>606</v>
      </c>
      <c r="C6" s="27" t="s">
        <v>607</v>
      </c>
      <c r="D6" s="27" t="s">
        <v>608</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609</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610</v>
      </c>
      <c r="B8" s="27" t="s">
        <v>611</v>
      </c>
      <c r="C8" s="27" t="s">
        <v>607</v>
      </c>
      <c r="D8" s="27" t="s">
        <v>608</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612</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613</v>
      </c>
      <c r="B10" s="27" t="s">
        <v>606</v>
      </c>
      <c r="C10" s="27" t="s">
        <v>614</v>
      </c>
      <c r="D10" s="27" t="s">
        <v>608</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615</v>
      </c>
      <c r="B11" s="27" t="s">
        <v>606</v>
      </c>
      <c r="C11" s="27" t="s">
        <v>616</v>
      </c>
      <c r="D11" s="27" t="s">
        <v>608</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617</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618</v>
      </c>
      <c r="B13" s="27" t="s">
        <v>619</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620</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621</v>
      </c>
      <c r="B15" s="27" t="s">
        <v>619</v>
      </c>
      <c r="C15" s="27" t="s">
        <v>622</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623</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624</v>
      </c>
      <c r="B17" s="27" t="s">
        <v>625</v>
      </c>
      <c r="C17" s="27" t="s">
        <v>626</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627</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628</v>
      </c>
      <c r="B19" s="27" t="s">
        <v>611</v>
      </c>
      <c r="C19" s="27" t="s">
        <v>622</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629</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617</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630</v>
      </c>
      <c r="B22" s="27" t="s">
        <v>611</v>
      </c>
      <c r="C22" s="27" t="s">
        <v>631</v>
      </c>
      <c r="D22" s="27" t="s">
        <v>608</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632</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633</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row>
    <row r="26" spans="1:12">
      <c r="A26" s="20" t="s">
        <v>634</v>
      </c>
    </row>
    <row r="27" spans="1:12">
      <c r="A27" s="20" t="s">
        <v>635</v>
      </c>
      <c r="B27" s="27" t="s">
        <v>636</v>
      </c>
      <c r="C27" s="27" t="s">
        <v>637</v>
      </c>
      <c r="D27" s="27" t="s">
        <v>608</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638</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639</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618</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640</v>
      </c>
      <c r="B31" s="27" t="s">
        <v>606</v>
      </c>
      <c r="C31" s="27" t="s">
        <v>607</v>
      </c>
      <c r="D31" s="27" t="s">
        <v>608</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641</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642</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643</v>
      </c>
      <c r="B34" s="27" t="s">
        <v>606</v>
      </c>
      <c r="C34" s="27" t="s">
        <v>622</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13</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644</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612</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645</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646</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647</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648</v>
      </c>
      <c r="B41" s="27" t="s">
        <v>606</v>
      </c>
      <c r="C41" s="27" t="s">
        <v>622</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633</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row>
    <row r="44" spans="1:12">
      <c r="A44" s="20" t="s">
        <v>649</v>
      </c>
    </row>
    <row r="45" spans="1:12">
      <c r="A45" s="20" t="s">
        <v>650</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18</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651</v>
      </c>
      <c r="B47" s="27" t="s">
        <v>636</v>
      </c>
      <c r="C47" s="27" t="s">
        <v>652</v>
      </c>
      <c r="D47" s="27" t="s">
        <v>608</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630</v>
      </c>
      <c r="B48" s="27" t="s">
        <v>653</v>
      </c>
      <c r="C48" s="27" t="s">
        <v>631</v>
      </c>
      <c r="D48" s="27" t="s">
        <v>608</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654</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617</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655</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651</v>
      </c>
      <c r="B52" s="27" t="s">
        <v>619</v>
      </c>
      <c r="C52" s="27" t="s">
        <v>652</v>
      </c>
      <c r="D52" s="27" t="s">
        <v>608</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656</v>
      </c>
      <c r="B53" s="27" t="s">
        <v>657</v>
      </c>
      <c r="C53" s="27" t="s">
        <v>652</v>
      </c>
      <c r="D53" s="27" t="s">
        <v>608</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641</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658</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659</v>
      </c>
      <c r="B56" s="27" t="s">
        <v>611</v>
      </c>
      <c r="C56" s="27" t="s">
        <v>607</v>
      </c>
      <c r="D56" s="27" t="s">
        <v>608</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660</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18</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617</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661</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662</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663</v>
      </c>
      <c r="B62" s="27" t="s">
        <v>664</v>
      </c>
      <c r="C62" s="27" t="s">
        <v>626</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603</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665</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666</v>
      </c>
      <c r="B65" s="27" t="s">
        <v>625</v>
      </c>
      <c r="C65" s="27" t="s">
        <v>607</v>
      </c>
      <c r="D65" s="27" t="s">
        <v>608</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667</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630</v>
      </c>
      <c r="B67" s="27" t="s">
        <v>668</v>
      </c>
      <c r="C67" s="27" t="s">
        <v>631</v>
      </c>
      <c r="D67" s="27" t="s">
        <v>608</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669</v>
      </c>
      <c r="B68" s="27" t="s">
        <v>670</v>
      </c>
      <c r="C68" s="27" t="s">
        <v>671</v>
      </c>
      <c r="D68" s="27" t="s">
        <v>608</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672</v>
      </c>
      <c r="B69" s="27" t="s">
        <v>664</v>
      </c>
      <c r="C69" s="27" t="s">
        <v>622</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673</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663</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176</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633</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row>
    <row r="75" spans="1:12">
      <c r="A75" s="20" t="s">
        <v>674</v>
      </c>
    </row>
    <row r="76" spans="1:12">
      <c r="A76" s="20" t="s">
        <v>675</v>
      </c>
      <c r="B76" s="27" t="s">
        <v>636</v>
      </c>
      <c r="C76" s="27" t="s">
        <v>652</v>
      </c>
      <c r="D76" s="27" t="s">
        <v>608</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18</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676</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677</v>
      </c>
      <c r="B79" s="27" t="s">
        <v>611</v>
      </c>
      <c r="C79" s="27" t="s">
        <v>678</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679</v>
      </c>
      <c r="B80" s="27" t="s">
        <v>653</v>
      </c>
      <c r="C80" s="27" t="s">
        <v>622</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680</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681</v>
      </c>
      <c r="B82" s="27" t="s">
        <v>611</v>
      </c>
      <c r="C82" s="27" t="s">
        <v>622</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644</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639</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682</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683</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684</v>
      </c>
      <c r="B87" s="27" t="s">
        <v>611</v>
      </c>
      <c r="C87" s="27" t="s">
        <v>685</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686</v>
      </c>
      <c r="B88" s="27" t="s">
        <v>606</v>
      </c>
      <c r="C88" s="27" t="s">
        <v>622</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633</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row>
    <row r="91" spans="1:12">
      <c r="A91" s="20" t="s">
        <v>687</v>
      </c>
    </row>
    <row r="92" spans="1:12">
      <c r="A92" s="20" t="s">
        <v>688</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689</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690</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691</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692</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693</v>
      </c>
      <c r="B97" s="27" t="s">
        <v>611</v>
      </c>
      <c r="C97" s="27" t="s">
        <v>652</v>
      </c>
      <c r="D97" s="27" t="s">
        <v>608</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694</v>
      </c>
      <c r="B98" s="27" t="s">
        <v>653</v>
      </c>
      <c r="C98" s="27" t="s">
        <v>607</v>
      </c>
      <c r="D98" s="27" t="s">
        <v>608</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633</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row>
    <row r="101" spans="1:12">
      <c r="A101" s="20" t="s">
        <v>695</v>
      </c>
    </row>
    <row r="102" spans="1:12">
      <c r="A102" s="20" t="s">
        <v>675</v>
      </c>
      <c r="B102" s="27" t="s">
        <v>636</v>
      </c>
      <c r="C102" s="27" t="s">
        <v>652</v>
      </c>
      <c r="D102" s="27" t="s">
        <v>608</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28</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696</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603</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68</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633</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697</v>
      </c>
      <c r="B108" s="27" t="s">
        <v>606</v>
      </c>
      <c r="C108" s="27" t="s">
        <v>698</v>
      </c>
      <c r="D108" s="27" t="s">
        <v>608</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617</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699</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700</v>
      </c>
      <c r="B111" s="27" t="s">
        <v>619</v>
      </c>
      <c r="C111" s="27" t="s">
        <v>626</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630</v>
      </c>
      <c r="B112" s="27" t="s">
        <v>657</v>
      </c>
      <c r="C112" s="27" t="s">
        <v>631</v>
      </c>
      <c r="D112" s="27" t="s">
        <v>608</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701</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633</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row>
    <row r="116" spans="1:12">
      <c r="A116" s="20" t="s">
        <v>702</v>
      </c>
    </row>
    <row r="117" spans="1:12">
      <c r="A117" s="20" t="s">
        <v>703</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704</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618</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705</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706</v>
      </c>
      <c r="B121" s="27" t="s">
        <v>636</v>
      </c>
      <c r="C121" s="27" t="s">
        <v>607</v>
      </c>
      <c r="D121" s="27" t="s">
        <v>608</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707</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708</v>
      </c>
      <c r="B123" s="27" t="s">
        <v>606</v>
      </c>
      <c r="C123" s="27" t="s">
        <v>631</v>
      </c>
      <c r="D123" s="27" t="s">
        <v>608</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618</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709</v>
      </c>
      <c r="B125" s="27" t="s">
        <v>657</v>
      </c>
      <c r="C125" s="27" t="s">
        <v>607</v>
      </c>
      <c r="D125" s="27" t="s">
        <v>608</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644</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707</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710</v>
      </c>
      <c r="B128" s="27" t="s">
        <v>625</v>
      </c>
      <c r="C128" s="27" t="s">
        <v>614</v>
      </c>
      <c r="D128" s="27" t="s">
        <v>608</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711</v>
      </c>
      <c r="B129" s="27" t="s">
        <v>611</v>
      </c>
      <c r="C129" s="27" t="s">
        <v>616</v>
      </c>
      <c r="D129" s="27" t="s">
        <v>608</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712</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713</v>
      </c>
      <c r="B131" s="27" t="s">
        <v>619</v>
      </c>
      <c r="C131" s="27" t="s">
        <v>622</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714</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617</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715</v>
      </c>
      <c r="B134" s="27" t="s">
        <v>619</v>
      </c>
      <c r="C134" s="27" t="s">
        <v>652</v>
      </c>
      <c r="D134" s="27" t="s">
        <v>608</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662</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716</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717</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718</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719</v>
      </c>
      <c r="B139" s="27" t="s">
        <v>606</v>
      </c>
      <c r="C139" s="27" t="s">
        <v>685</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720</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630</v>
      </c>
      <c r="B141" s="27" t="s">
        <v>611</v>
      </c>
      <c r="C141" s="27" t="s">
        <v>631</v>
      </c>
      <c r="D141" s="27" t="s">
        <v>608</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612</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633</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row>
    <row r="145" spans="1:12">
      <c r="A145" s="20" t="s">
        <v>721</v>
      </c>
    </row>
    <row r="146" spans="1:12">
      <c r="A146" s="20" t="s">
        <v>722</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28</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651</v>
      </c>
      <c r="B148" s="27" t="s">
        <v>636</v>
      </c>
      <c r="C148" s="27" t="s">
        <v>652</v>
      </c>
      <c r="D148" s="27" t="s">
        <v>608</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696</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723</v>
      </c>
      <c r="B150" s="27" t="s">
        <v>606</v>
      </c>
      <c r="C150" s="27" t="s">
        <v>622</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617</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675</v>
      </c>
      <c r="B152" s="27" t="s">
        <v>619</v>
      </c>
      <c r="C152" s="27" t="s">
        <v>652</v>
      </c>
      <c r="D152" s="27" t="s">
        <v>608</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28</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696</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724</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617</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699</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700</v>
      </c>
      <c r="B158" s="27" t="s">
        <v>668</v>
      </c>
      <c r="C158" s="27" t="s">
        <v>626</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630</v>
      </c>
      <c r="B159" s="27" t="s">
        <v>725</v>
      </c>
      <c r="C159" s="27" t="s">
        <v>631</v>
      </c>
      <c r="D159" s="27" t="s">
        <v>608</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726</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633</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row>
    <row r="163" spans="1:12">
      <c r="A163" s="20" t="s">
        <v>727</v>
      </c>
    </row>
    <row r="164" spans="1:12">
      <c r="A164" s="20" t="s">
        <v>728</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729</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730</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609</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731</v>
      </c>
      <c r="B168" s="27" t="s">
        <v>636</v>
      </c>
      <c r="C168" s="27" t="s">
        <v>607</v>
      </c>
      <c r="D168" s="27" t="s">
        <v>608</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609</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732</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733</v>
      </c>
      <c r="B171" s="27" t="s">
        <v>611</v>
      </c>
      <c r="C171" s="27" t="s">
        <v>607</v>
      </c>
      <c r="D171" s="27" t="s">
        <v>608</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617</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734</v>
      </c>
      <c r="B173" s="27" t="s">
        <v>611</v>
      </c>
      <c r="C173" s="27" t="s">
        <v>631</v>
      </c>
      <c r="D173" s="27" t="s">
        <v>608</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735</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617</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736</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643</v>
      </c>
      <c r="B177" s="27" t="s">
        <v>668</v>
      </c>
      <c r="C177" s="27" t="s">
        <v>631</v>
      </c>
      <c r="D177" s="27" t="s">
        <v>608</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630</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13</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617</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644</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737</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738</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739</v>
      </c>
      <c r="B184" s="27" t="s">
        <v>625</v>
      </c>
      <c r="C184" s="27" t="s">
        <v>622</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740</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741</v>
      </c>
      <c r="B186" s="27" t="s">
        <v>742</v>
      </c>
      <c r="C186" s="27" t="s">
        <v>622</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617</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699</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743</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744</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745</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633</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row>
    <row r="194" spans="1:12">
      <c r="A194" s="20" t="s">
        <v>746</v>
      </c>
    </row>
    <row r="195" spans="1:12">
      <c r="A195" s="20" t="s">
        <v>747</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748</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700</v>
      </c>
      <c r="B197" s="27" t="s">
        <v>636</v>
      </c>
      <c r="C197" s="27" t="s">
        <v>626</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690</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749</v>
      </c>
      <c r="B199" s="27" t="s">
        <v>653</v>
      </c>
      <c r="C199" s="27" t="s">
        <v>750</v>
      </c>
      <c r="D199" s="27" t="s">
        <v>608</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609</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630</v>
      </c>
      <c r="B201" s="27" t="s">
        <v>611</v>
      </c>
      <c r="C201" s="27" t="s">
        <v>631</v>
      </c>
      <c r="D201" s="27" t="s">
        <v>608</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751</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752</v>
      </c>
      <c r="B203" s="27" t="s">
        <v>653</v>
      </c>
      <c r="C203" s="27" t="s">
        <v>622</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42</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753</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617</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644</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754</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755</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756</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716</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757</v>
      </c>
      <c r="B212" s="27" t="s">
        <v>619</v>
      </c>
      <c r="C212" s="27" t="s">
        <v>622</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641</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758</v>
      </c>
      <c r="B214" s="27" t="s">
        <v>611</v>
      </c>
      <c r="C214" s="27" t="s">
        <v>622</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759</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760</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761</v>
      </c>
      <c r="B217" s="27" t="s">
        <v>611</v>
      </c>
      <c r="C217" s="27" t="s">
        <v>685</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762</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633</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row>
    <row r="221" spans="1:12">
      <c r="A221" s="20" t="s">
        <v>763</v>
      </c>
    </row>
    <row r="222" spans="1:12">
      <c r="A222" s="20" t="s">
        <v>764</v>
      </c>
      <c r="B222" s="27" t="s">
        <v>606</v>
      </c>
      <c r="C222" s="27" t="s">
        <v>765</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612</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690</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766</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767</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row>
    <row r="228" spans="1:12">
      <c r="A228" s="20" t="s">
        <v>768</v>
      </c>
    </row>
    <row r="229" spans="1:12">
      <c r="A229" s="20" t="s">
        <v>769</v>
      </c>
      <c r="B229" s="27" t="s">
        <v>636</v>
      </c>
      <c r="C229" s="27" t="s">
        <v>614</v>
      </c>
      <c r="D229" s="27" t="s">
        <v>608</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612</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682</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770</v>
      </c>
      <c r="B232" s="27" t="s">
        <v>606</v>
      </c>
      <c r="C232" s="27" t="s">
        <v>685</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617</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618</v>
      </c>
      <c r="B234" s="27" t="s">
        <v>619</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771</v>
      </c>
      <c r="B235" s="27" t="s">
        <v>657</v>
      </c>
      <c r="C235" s="27" t="s">
        <v>637</v>
      </c>
      <c r="D235" s="27" t="s">
        <v>608</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772</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773</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774</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629</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633</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row>
    <row r="242" spans="1:12">
      <c r="A242" s="20" t="s">
        <v>775</v>
      </c>
    </row>
    <row r="243" spans="1:12">
      <c r="A243" s="20" t="s">
        <v>776</v>
      </c>
      <c r="B243" s="27" t="s">
        <v>636</v>
      </c>
      <c r="C243" s="27" t="s">
        <v>637</v>
      </c>
      <c r="D243" s="27" t="s">
        <v>608</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777</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623</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778</v>
      </c>
      <c r="B246" s="27" t="s">
        <v>606</v>
      </c>
      <c r="C246" s="27" t="s">
        <v>622</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641</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779</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780</v>
      </c>
      <c r="B249" s="27" t="s">
        <v>611</v>
      </c>
      <c r="C249" s="27" t="s">
        <v>622</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781</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644</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782</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783</v>
      </c>
      <c r="B253" s="27" t="s">
        <v>625</v>
      </c>
      <c r="C253" s="27" t="s">
        <v>626</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784</v>
      </c>
      <c r="B254" s="27" t="s">
        <v>611</v>
      </c>
      <c r="C254" s="27" t="s">
        <v>622</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785</v>
      </c>
      <c r="B255" s="27" t="s">
        <v>625</v>
      </c>
      <c r="C255" s="27" t="s">
        <v>671</v>
      </c>
      <c r="D255" s="27" t="s">
        <v>608</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786</v>
      </c>
      <c r="B256" s="27" t="s">
        <v>657</v>
      </c>
      <c r="C256" s="27" t="s">
        <v>631</v>
      </c>
      <c r="D256" s="27" t="s">
        <v>608</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707</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787</v>
      </c>
      <c r="B258" s="27" t="s">
        <v>611</v>
      </c>
      <c r="C258" s="27" t="s">
        <v>631</v>
      </c>
      <c r="D258" s="27" t="s">
        <v>608</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788</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633</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row>
    <row r="262" spans="1:12">
      <c r="A262" s="20" t="s">
        <v>789</v>
      </c>
    </row>
    <row r="263" spans="1:12">
      <c r="A263" s="20" t="s">
        <v>728</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790</v>
      </c>
      <c r="B264" s="27" t="s">
        <v>619</v>
      </c>
      <c r="C264" s="27" t="s">
        <v>637</v>
      </c>
      <c r="D264" s="27" t="s">
        <v>608</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737</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791</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618</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792</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630</v>
      </c>
      <c r="B269" s="27" t="s">
        <v>611</v>
      </c>
      <c r="C269" s="27" t="s">
        <v>607</v>
      </c>
      <c r="D269" s="27" t="s">
        <v>608</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793</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712</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617</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794</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790</v>
      </c>
      <c r="B274" s="27" t="s">
        <v>636</v>
      </c>
      <c r="C274" s="27" t="s">
        <v>637</v>
      </c>
      <c r="D274" s="27" t="s">
        <v>608</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624</v>
      </c>
      <c r="B275" s="27" t="s">
        <v>611</v>
      </c>
      <c r="C275" s="27" t="s">
        <v>626</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795</v>
      </c>
      <c r="B276" s="27" t="s">
        <v>653</v>
      </c>
      <c r="C276" s="27" t="s">
        <v>622</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796</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760</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552</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617</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797</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798</v>
      </c>
      <c r="B282" s="27" t="s">
        <v>606</v>
      </c>
      <c r="C282" s="27" t="s">
        <v>685</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61</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617</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799</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785</v>
      </c>
      <c r="B286" s="27" t="s">
        <v>664</v>
      </c>
      <c r="C286" s="27" t="s">
        <v>671</v>
      </c>
      <c r="D286" s="27" t="s">
        <v>608</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786</v>
      </c>
      <c r="B287" s="27" t="s">
        <v>668</v>
      </c>
      <c r="C287" s="27" t="s">
        <v>631</v>
      </c>
      <c r="D287" s="27" t="s">
        <v>608</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800</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801</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609</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802</v>
      </c>
      <c r="B291" s="27" t="s">
        <v>625</v>
      </c>
      <c r="C291" s="27" t="s">
        <v>607</v>
      </c>
      <c r="D291" s="27" t="s">
        <v>608</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61</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803</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717</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804</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617</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805</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806</v>
      </c>
      <c r="B298" s="27" t="s">
        <v>657</v>
      </c>
      <c r="C298" s="27" t="s">
        <v>685</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639</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807</v>
      </c>
      <c r="B300" s="27" t="s">
        <v>611</v>
      </c>
      <c r="C300" s="27" t="s">
        <v>652</v>
      </c>
      <c r="D300" s="27" t="s">
        <v>608</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808</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809</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633</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row>
    <row r="305" spans="1:12">
      <c r="A305" s="20" t="s">
        <v>810</v>
      </c>
    </row>
    <row r="306" spans="1:12">
      <c r="A306" s="20" t="s">
        <v>776</v>
      </c>
      <c r="B306" s="27" t="s">
        <v>636</v>
      </c>
      <c r="C306" s="27" t="s">
        <v>637</v>
      </c>
      <c r="D306" s="27" t="s">
        <v>608</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782</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618</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643</v>
      </c>
      <c r="B309" s="27" t="s">
        <v>636</v>
      </c>
      <c r="C309" s="27" t="s">
        <v>607</v>
      </c>
      <c r="D309" s="27" t="s">
        <v>608</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811</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812</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65</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633</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row>
    <row r="315" spans="1:12">
      <c r="A315" s="20" t="s">
        <v>813</v>
      </c>
    </row>
    <row r="316" spans="1:12">
      <c r="A316" s="20" t="s">
        <v>814</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790</v>
      </c>
      <c r="B317" s="27" t="s">
        <v>636</v>
      </c>
      <c r="C317" s="27" t="s">
        <v>637</v>
      </c>
      <c r="D317" s="27" t="s">
        <v>608</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815</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756</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816</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817</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818</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819</v>
      </c>
      <c r="B323" s="27" t="s">
        <v>606</v>
      </c>
      <c r="C323" s="27" t="s">
        <v>685</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617</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644</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820</v>
      </c>
      <c r="B326" s="27" t="s">
        <v>619</v>
      </c>
      <c r="C326" s="27" t="s">
        <v>631</v>
      </c>
      <c r="D326" s="27" t="s">
        <v>608</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612</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682</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821</v>
      </c>
      <c r="B329" s="27" t="s">
        <v>606</v>
      </c>
      <c r="C329" s="27" t="s">
        <v>685</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617</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618</v>
      </c>
      <c r="B331" s="27" t="s">
        <v>668</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822</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817</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823</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824</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825</v>
      </c>
      <c r="B336" s="27" t="s">
        <v>625</v>
      </c>
      <c r="C336" s="27" t="s">
        <v>685</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609</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826</v>
      </c>
      <c r="B338" s="27" t="s">
        <v>664</v>
      </c>
      <c r="C338" s="27" t="s">
        <v>607</v>
      </c>
      <c r="D338" s="27" t="s">
        <v>608</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827</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612</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633</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row>
    <row r="343" spans="1:12">
      <c r="A343" s="20" t="s">
        <v>828</v>
      </c>
    </row>
    <row r="344" spans="1:12">
      <c r="A344" s="20" t="s">
        <v>747</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829</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830</v>
      </c>
      <c r="B346" s="27" t="s">
        <v>636</v>
      </c>
      <c r="C346" s="27" t="s">
        <v>631</v>
      </c>
      <c r="D346" s="27" t="s">
        <v>608</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831</v>
      </c>
      <c r="B347" s="27" t="s">
        <v>611</v>
      </c>
      <c r="C347" s="27" t="s">
        <v>652</v>
      </c>
      <c r="D347" s="27" t="s">
        <v>608</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832</v>
      </c>
      <c r="B348" s="27" t="s">
        <v>653</v>
      </c>
      <c r="C348" s="27" t="s">
        <v>678</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73</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633</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row>
    <row r="352" spans="1:12">
      <c r="A352" s="20" t="s">
        <v>833</v>
      </c>
    </row>
    <row r="353" spans="1:12">
      <c r="A353" s="20" t="s">
        <v>675</v>
      </c>
      <c r="B353" s="27" t="s">
        <v>636</v>
      </c>
      <c r="C353" s="27" t="s">
        <v>652</v>
      </c>
      <c r="D353" s="27" t="s">
        <v>608</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829</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737</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801</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834</v>
      </c>
      <c r="B357" s="27" t="s">
        <v>606</v>
      </c>
      <c r="C357" s="27" t="s">
        <v>622</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77</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617</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835</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700</v>
      </c>
      <c r="B361" s="27" t="s">
        <v>619</v>
      </c>
      <c r="C361" s="27" t="s">
        <v>626</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617</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836</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837</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617</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838</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839</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840</v>
      </c>
      <c r="B368" s="27" t="s">
        <v>625</v>
      </c>
      <c r="C368" s="27" t="s">
        <v>626</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841</v>
      </c>
      <c r="B369" s="27" t="s">
        <v>657</v>
      </c>
      <c r="C369" s="27" t="s">
        <v>678</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842</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843</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633</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row>
    <row r="374" spans="1:12">
      <c r="A374" s="20" t="s">
        <v>844</v>
      </c>
    </row>
    <row r="375" spans="1:12">
      <c r="A375" s="20" t="s">
        <v>675</v>
      </c>
      <c r="B375" s="27" t="s">
        <v>636</v>
      </c>
      <c r="C375" s="27" t="s">
        <v>652</v>
      </c>
      <c r="D375" s="27" t="s">
        <v>608</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829</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801</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693</v>
      </c>
      <c r="B378" s="27" t="s">
        <v>611</v>
      </c>
      <c r="C378" s="27" t="s">
        <v>652</v>
      </c>
      <c r="D378" s="27" t="s">
        <v>608</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845</v>
      </c>
      <c r="B379" s="27" t="s">
        <v>606</v>
      </c>
      <c r="C379" s="27" t="s">
        <v>678</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643</v>
      </c>
      <c r="B380" s="27" t="s">
        <v>636</v>
      </c>
      <c r="C380" s="27" t="s">
        <v>631</v>
      </c>
      <c r="D380" s="27" t="s">
        <v>608</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81</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633</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row>
    <row r="384" spans="1:12">
      <c r="A384" s="20" t="s">
        <v>846</v>
      </c>
    </row>
    <row r="385" spans="1:12">
      <c r="A385" s="20" t="s">
        <v>747</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712</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847</v>
      </c>
      <c r="B387" s="27" t="s">
        <v>653</v>
      </c>
      <c r="C387" s="27" t="s">
        <v>637</v>
      </c>
      <c r="D387" s="27" t="s">
        <v>608</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618</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848</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849</v>
      </c>
      <c r="B390" s="27" t="s">
        <v>636</v>
      </c>
      <c r="C390" s="27" t="s">
        <v>750</v>
      </c>
      <c r="D390" s="27" t="s">
        <v>608</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850</v>
      </c>
      <c r="B391" s="27" t="s">
        <v>625</v>
      </c>
      <c r="C391" s="27" t="s">
        <v>614</v>
      </c>
      <c r="D391" s="27" t="s">
        <v>608</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851</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852</v>
      </c>
      <c r="B393" s="27" t="s">
        <v>611</v>
      </c>
      <c r="C393" s="27" t="s">
        <v>616</v>
      </c>
      <c r="D393" s="27" t="s">
        <v>608</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853</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854</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855</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644</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856</v>
      </c>
      <c r="B398" s="27" t="s">
        <v>619</v>
      </c>
      <c r="C398" s="27" t="s">
        <v>637</v>
      </c>
      <c r="D398" s="27" t="s">
        <v>608</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612</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717</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857</v>
      </c>
      <c r="B401" s="27" t="s">
        <v>606</v>
      </c>
      <c r="C401" s="27" t="s">
        <v>685</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617</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48</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790</v>
      </c>
      <c r="B404" s="27" t="s">
        <v>742</v>
      </c>
      <c r="C404" s="27" t="s">
        <v>637</v>
      </c>
      <c r="D404" s="27" t="s">
        <v>608</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17</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858</v>
      </c>
      <c r="B406" s="27" t="s">
        <v>664</v>
      </c>
      <c r="C406" s="27" t="s">
        <v>678</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623</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859</v>
      </c>
      <c r="B408" s="27" t="s">
        <v>664</v>
      </c>
      <c r="C408" s="27" t="s">
        <v>622</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860</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861</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782</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617</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663</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368</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617</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48</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630</v>
      </c>
      <c r="B417" s="27" t="s">
        <v>862</v>
      </c>
      <c r="C417" s="27" t="s">
        <v>631</v>
      </c>
      <c r="D417" s="27" t="s">
        <v>608</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766</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773</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766</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682</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863</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648</v>
      </c>
      <c r="B423" s="27" t="s">
        <v>670</v>
      </c>
      <c r="C423" s="27" t="s">
        <v>750</v>
      </c>
      <c r="D423" s="27" t="s">
        <v>608</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720</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656</v>
      </c>
      <c r="B425" s="27" t="s">
        <v>864</v>
      </c>
      <c r="C425" s="27" t="s">
        <v>652</v>
      </c>
      <c r="D425" s="27" t="s">
        <v>608</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865</v>
      </c>
      <c r="B426" s="27" t="s">
        <v>611</v>
      </c>
      <c r="C426" s="27" t="s">
        <v>626</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632</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612</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633</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row>
    <row r="431" spans="1:12">
      <c r="A431" s="20" t="s">
        <v>866</v>
      </c>
    </row>
    <row r="432" spans="1:12">
      <c r="A432" s="20" t="s">
        <v>661</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790</v>
      </c>
      <c r="B433" s="27" t="s">
        <v>636</v>
      </c>
      <c r="C433" s="27" t="s">
        <v>637</v>
      </c>
      <c r="D433" s="27" t="s">
        <v>608</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867</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617</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856</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667</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16</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868</v>
      </c>
      <c r="B439" s="27" t="s">
        <v>619</v>
      </c>
      <c r="C439" s="27" t="s">
        <v>678</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811</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633</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row>
    <row r="443" spans="1:12">
      <c r="A443" s="20" t="s">
        <v>869</v>
      </c>
    </row>
    <row r="444" spans="1:12">
      <c r="A444" s="20" t="s">
        <v>870</v>
      </c>
      <c r="B444" s="27" t="s">
        <v>611</v>
      </c>
      <c r="C444" s="27" t="s">
        <v>614</v>
      </c>
      <c r="D444" s="27" t="s">
        <v>608</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16</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871</v>
      </c>
      <c r="B446" s="27" t="s">
        <v>636</v>
      </c>
      <c r="C446" s="27" t="s">
        <v>616</v>
      </c>
      <c r="D446" s="27" t="s">
        <v>608</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92</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872</v>
      </c>
      <c r="B448" s="27" t="s">
        <v>653</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663</v>
      </c>
      <c r="B449" s="27" t="s">
        <v>611</v>
      </c>
      <c r="C449" s="27" t="s">
        <v>626</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760</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873</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857</v>
      </c>
      <c r="B452" s="27" t="s">
        <v>606</v>
      </c>
      <c r="C452" s="27" t="s">
        <v>685</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617</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609</v>
      </c>
      <c r="B454" s="27" t="s">
        <v>668</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645</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609</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874</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857</v>
      </c>
      <c r="B458" s="27" t="s">
        <v>611</v>
      </c>
      <c r="C458" s="27" t="s">
        <v>607</v>
      </c>
      <c r="D458" s="27" t="s">
        <v>608</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641</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875</v>
      </c>
      <c r="B460" s="27" t="s">
        <v>625</v>
      </c>
      <c r="C460" s="27" t="s">
        <v>626</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612</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633</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row>
    <row r="464" spans="1:12">
      <c r="A464" s="20" t="s">
        <v>876</v>
      </c>
    </row>
    <row r="465" spans="1:12">
      <c r="A465" s="20" t="s">
        <v>877</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878</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857</v>
      </c>
      <c r="B467" s="27" t="s">
        <v>636</v>
      </c>
      <c r="C467" s="27" t="s">
        <v>607</v>
      </c>
      <c r="D467" s="27" t="s">
        <v>608</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612</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717</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879</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633</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row>
    <row r="473" spans="1:12">
      <c r="A473" s="20" t="s">
        <v>880</v>
      </c>
    </row>
    <row r="474" spans="1:12">
      <c r="A474" s="20" t="s">
        <v>881</v>
      </c>
      <c r="B474" s="27" t="s">
        <v>611</v>
      </c>
      <c r="C474" s="27" t="s">
        <v>614</v>
      </c>
      <c r="D474" s="27" t="s">
        <v>608</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882</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883</v>
      </c>
      <c r="B476" s="27" t="s">
        <v>636</v>
      </c>
      <c r="C476" s="27" t="s">
        <v>616</v>
      </c>
      <c r="D476" s="27" t="s">
        <v>608</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617</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609</v>
      </c>
      <c r="B478" s="27" t="s">
        <v>668</v>
      </c>
      <c r="C478" s="27" t="s">
        <v>652</v>
      </c>
      <c r="D478" s="27" t="s">
        <v>608</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630</v>
      </c>
      <c r="B479" s="27" t="s">
        <v>668</v>
      </c>
      <c r="C479" s="27" t="s">
        <v>631</v>
      </c>
      <c r="D479" s="27" t="s">
        <v>608</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884</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617</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612</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645</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817</v>
      </c>
      <c r="B484" s="27" t="s">
        <v>606</v>
      </c>
      <c r="C484" s="27" t="s">
        <v>626</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609</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885</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644</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886</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887</v>
      </c>
      <c r="B489" s="27" t="s">
        <v>606</v>
      </c>
      <c r="C489" s="27" t="s">
        <v>607</v>
      </c>
      <c r="D489" s="27" t="s">
        <v>608</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617</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618</v>
      </c>
      <c r="B491" s="27" t="s">
        <v>725</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651</v>
      </c>
      <c r="B492" s="27" t="s">
        <v>668</v>
      </c>
      <c r="C492" s="27" t="s">
        <v>652</v>
      </c>
      <c r="D492" s="27" t="s">
        <v>608</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888</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633</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row>
    <row r="496" spans="1:12">
      <c r="A496" s="20" t="s">
        <v>889</v>
      </c>
    </row>
    <row r="497" spans="1:12">
      <c r="A497" s="20" t="s">
        <v>890</v>
      </c>
      <c r="B497" s="27" t="s">
        <v>636</v>
      </c>
      <c r="C497" s="27" t="s">
        <v>637</v>
      </c>
      <c r="D497" s="27" t="s">
        <v>608</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891</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127</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892</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893</v>
      </c>
      <c r="B501" s="27" t="s">
        <v>653</v>
      </c>
      <c r="C501" s="27" t="s">
        <v>894</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707</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760</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895</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896</v>
      </c>
      <c r="B505" s="27" t="s">
        <v>606</v>
      </c>
      <c r="C505" s="27" t="s">
        <v>685</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644</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618</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627</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897</v>
      </c>
      <c r="B509" s="27" t="s">
        <v>611</v>
      </c>
      <c r="C509" s="27" t="s">
        <v>898</v>
      </c>
      <c r="D509" s="27" t="s">
        <v>608</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707</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760</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899</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900</v>
      </c>
      <c r="B513" s="27" t="s">
        <v>625</v>
      </c>
      <c r="C513" s="27" t="s">
        <v>685</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633</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row>
    <row r="516" spans="1:12">
      <c r="A516" s="20" t="s">
        <v>901</v>
      </c>
    </row>
    <row r="517" spans="1:12">
      <c r="A517" s="20" t="s">
        <v>870</v>
      </c>
      <c r="B517" s="27" t="s">
        <v>611</v>
      </c>
      <c r="C517" s="27" t="s">
        <v>614</v>
      </c>
      <c r="D517" s="27" t="s">
        <v>608</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902</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903</v>
      </c>
      <c r="B519" s="27" t="s">
        <v>636</v>
      </c>
      <c r="C519" s="27" t="s">
        <v>616</v>
      </c>
      <c r="D519" s="27" t="s">
        <v>608</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904</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905</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906</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617</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644</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907</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904</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807</v>
      </c>
      <c r="B527" s="27" t="s">
        <v>619</v>
      </c>
      <c r="C527" s="27" t="s">
        <v>652</v>
      </c>
      <c r="D527" s="27" t="s">
        <v>608</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908</v>
      </c>
      <c r="B528" s="27" t="s">
        <v>619</v>
      </c>
      <c r="C528" s="27" t="s">
        <v>626</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909</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910</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633</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row>
    <row r="533" spans="1:12">
      <c r="A533" s="20" t="s">
        <v>911</v>
      </c>
    </row>
    <row r="534" spans="1:12">
      <c r="A534" s="20" t="s">
        <v>747</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912</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690</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913</v>
      </c>
      <c r="B537" s="27" t="s">
        <v>636</v>
      </c>
      <c r="C537" s="27" t="s">
        <v>607</v>
      </c>
      <c r="D537" s="27" t="s">
        <v>608</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914</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617</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658</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915</v>
      </c>
      <c r="B541" s="27" t="s">
        <v>657</v>
      </c>
      <c r="C541" s="27" t="s">
        <v>607</v>
      </c>
      <c r="D541" s="27" t="s">
        <v>608</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916</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617</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644</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917</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912</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918</v>
      </c>
      <c r="B547" s="27" t="s">
        <v>725</v>
      </c>
      <c r="C547" s="27" t="s">
        <v>637</v>
      </c>
      <c r="D547" s="27" t="s">
        <v>608</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609</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919</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920</v>
      </c>
      <c r="B550" s="27" t="s">
        <v>668</v>
      </c>
      <c r="C550" s="27" t="s">
        <v>607</v>
      </c>
      <c r="D550" s="27" t="s">
        <v>608</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914</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916</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633</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row>
    <row r="555" spans="1:12">
      <c r="A555" s="20" t="s">
        <v>921</v>
      </c>
    </row>
    <row r="556" spans="1:12">
      <c r="A556" s="20" t="s">
        <v>922</v>
      </c>
      <c r="B556" s="27" t="s">
        <v>611</v>
      </c>
      <c r="C556" s="27" t="s">
        <v>614</v>
      </c>
      <c r="D556" s="27" t="s">
        <v>608</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882</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923</v>
      </c>
      <c r="B558" s="27" t="s">
        <v>636</v>
      </c>
      <c r="C558" s="27" t="s">
        <v>616</v>
      </c>
      <c r="D558" s="27" t="s">
        <v>608</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924</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766</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682</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925</v>
      </c>
      <c r="B562" s="27" t="s">
        <v>653</v>
      </c>
      <c r="C562" s="27" t="s">
        <v>685</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617</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644</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856</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924</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807</v>
      </c>
      <c r="B567" s="27" t="s">
        <v>619</v>
      </c>
      <c r="C567" s="27" t="s">
        <v>652</v>
      </c>
      <c r="D567" s="27" t="s">
        <v>608</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737</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926</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617</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927</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928</v>
      </c>
      <c r="B572" s="27" t="s">
        <v>619</v>
      </c>
      <c r="C572" s="27" t="s">
        <v>637</v>
      </c>
      <c r="D572" s="27" t="s">
        <v>608</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929</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930</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931</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633</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row>
    <row r="578" spans="1:12">
      <c r="A578" s="20" t="s">
        <v>932</v>
      </c>
    </row>
    <row r="579" spans="1:12">
      <c r="A579" s="20" t="s">
        <v>933</v>
      </c>
      <c r="B579" s="27" t="s">
        <v>636</v>
      </c>
      <c r="C579" s="27" t="s">
        <v>637</v>
      </c>
      <c r="D579" s="27" t="s">
        <v>608</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629</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872</v>
      </c>
      <c r="B581" s="27" t="s">
        <v>653</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934</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633</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row>
    <row r="585" spans="1:12">
      <c r="A585" s="20" t="s">
        <v>935</v>
      </c>
    </row>
    <row r="586" spans="1:12">
      <c r="A586" s="20" t="s">
        <v>933</v>
      </c>
      <c r="B586" s="27" t="s">
        <v>636</v>
      </c>
      <c r="C586" s="27" t="s">
        <v>637</v>
      </c>
      <c r="D586" s="27" t="s">
        <v>608</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629</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936</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937</v>
      </c>
      <c r="B589" s="27" t="s">
        <v>653</v>
      </c>
      <c r="C589" s="27" t="s">
        <v>622</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617</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938</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939</v>
      </c>
      <c r="B592" s="27" t="s">
        <v>725</v>
      </c>
      <c r="C592" s="27" t="s">
        <v>685</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663</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116</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633</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row>
    <row r="597" spans="1:12">
      <c r="A597" s="20" t="s">
        <v>940</v>
      </c>
    </row>
    <row r="598" spans="1:12">
      <c r="A598" s="20" t="s">
        <v>933</v>
      </c>
      <c r="B598" s="27" t="s">
        <v>636</v>
      </c>
      <c r="C598" s="27" t="s">
        <v>637</v>
      </c>
      <c r="D598" s="27" t="s">
        <v>608</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612</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663</v>
      </c>
      <c r="B600" s="27" t="s">
        <v>611</v>
      </c>
      <c r="C600" s="27" t="s">
        <v>626</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603</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938</v>
      </c>
      <c r="B602" s="27" t="s">
        <v>606</v>
      </c>
      <c r="C602" s="27" t="s">
        <v>626</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717</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941</v>
      </c>
      <c r="B604" s="27" t="s">
        <v>636</v>
      </c>
      <c r="C604" s="27" t="s">
        <v>685</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633</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row>
    <row r="607" spans="1:12">
      <c r="A607" s="20" t="s">
        <v>942</v>
      </c>
    </row>
    <row r="608" spans="1:12">
      <c r="A608" s="20" t="s">
        <v>943</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699</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682</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944</v>
      </c>
      <c r="B611" s="27" t="s">
        <v>606</v>
      </c>
      <c r="C611" s="27" t="s">
        <v>685</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872</v>
      </c>
      <c r="B612" s="27" t="s">
        <v>653</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707</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938</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945</v>
      </c>
      <c r="B615" s="27" t="s">
        <v>606</v>
      </c>
      <c r="C615" s="27" t="s">
        <v>685</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946</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617</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946</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872</v>
      </c>
      <c r="B619" s="27" t="s">
        <v>657</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609</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947</v>
      </c>
      <c r="B621" s="27" t="s">
        <v>619</v>
      </c>
      <c r="C621" s="27" t="s">
        <v>607</v>
      </c>
      <c r="D621" s="27" t="s">
        <v>608</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948</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949</v>
      </c>
      <c r="B623" s="27" t="s">
        <v>611</v>
      </c>
      <c r="C623" s="27" t="s">
        <v>678</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707</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950</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951</v>
      </c>
      <c r="B626" s="27" t="s">
        <v>611</v>
      </c>
      <c r="C626" s="27" t="s">
        <v>894</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633</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row>
    <row r="629" spans="1:12">
      <c r="A629" s="20" t="s">
        <v>952</v>
      </c>
    </row>
    <row r="630" spans="1:12">
      <c r="A630" s="20" t="s">
        <v>661</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953</v>
      </c>
      <c r="B631" s="27" t="s">
        <v>636</v>
      </c>
      <c r="C631" s="27" t="s">
        <v>626</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710</v>
      </c>
      <c r="B632" s="27" t="s">
        <v>625</v>
      </c>
      <c r="C632" s="27" t="s">
        <v>614</v>
      </c>
      <c r="D632" s="27" t="s">
        <v>608</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954</v>
      </c>
      <c r="B633" s="27" t="s">
        <v>611</v>
      </c>
      <c r="C633" s="27" t="s">
        <v>616</v>
      </c>
      <c r="D633" s="27" t="s">
        <v>608</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955</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737</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926</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905</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956</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816</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617</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927</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629</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756</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682</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905</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957</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958</v>
      </c>
      <c r="B647" s="27" t="s">
        <v>657</v>
      </c>
      <c r="C647" s="27" t="s">
        <v>685</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633</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row>
    <row r="650" spans="1:12">
      <c r="A650" s="20" t="s">
        <v>959</v>
      </c>
    </row>
    <row r="651" spans="1:12">
      <c r="A651" s="20" t="s">
        <v>960</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651</v>
      </c>
      <c r="B652" s="27" t="s">
        <v>636</v>
      </c>
      <c r="C652" s="27" t="s">
        <v>652</v>
      </c>
      <c r="D652" s="27" t="s">
        <v>608</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961</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617</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635</v>
      </c>
      <c r="B655" s="27" t="s">
        <v>619</v>
      </c>
      <c r="C655" s="27" t="s">
        <v>637</v>
      </c>
      <c r="D655" s="27" t="s">
        <v>608</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158</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872</v>
      </c>
      <c r="B657" s="27" t="s">
        <v>657</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717</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962</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963</v>
      </c>
      <c r="B660" s="27" t="s">
        <v>657</v>
      </c>
      <c r="C660" s="27" t="s">
        <v>685</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816</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617</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964</v>
      </c>
      <c r="B663" s="27" t="s">
        <v>619</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791</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717</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965</v>
      </c>
      <c r="B666" s="27" t="s">
        <v>611</v>
      </c>
      <c r="C666" s="27" t="s">
        <v>685</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966</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915</v>
      </c>
      <c r="B668" s="27" t="s">
        <v>625</v>
      </c>
      <c r="C668" s="27" t="s">
        <v>607</v>
      </c>
      <c r="D668" s="27" t="s">
        <v>608</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967</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633</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row>
    <row r="672" spans="1:12">
      <c r="A672" s="20" t="s">
        <v>968</v>
      </c>
    </row>
    <row r="673" spans="1:12">
      <c r="A673" s="20" t="s">
        <v>650</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969</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856</v>
      </c>
      <c r="B675" s="27" t="s">
        <v>636</v>
      </c>
      <c r="C675" s="27" t="s">
        <v>637</v>
      </c>
      <c r="D675" s="27" t="s">
        <v>608</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970</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707</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971</v>
      </c>
      <c r="B678" s="27" t="s">
        <v>611</v>
      </c>
      <c r="C678" s="27" t="s">
        <v>652</v>
      </c>
      <c r="D678" s="27" t="s">
        <v>608</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972</v>
      </c>
      <c r="B679" s="27" t="s">
        <v>606</v>
      </c>
      <c r="C679" s="27" t="s">
        <v>622</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707</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658</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973</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974</v>
      </c>
      <c r="B683" s="27" t="s">
        <v>606</v>
      </c>
      <c r="C683" s="27" t="s">
        <v>898</v>
      </c>
      <c r="D683" s="27" t="s">
        <v>608</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143</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633</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row>
    <row r="687" spans="1:12">
      <c r="A687" s="20" t="s">
        <v>975</v>
      </c>
    </row>
    <row r="688" spans="1:12">
      <c r="A688" s="20" t="s">
        <v>890</v>
      </c>
      <c r="B688" s="27" t="s">
        <v>636</v>
      </c>
      <c r="C688" s="27" t="s">
        <v>637</v>
      </c>
      <c r="D688" s="27" t="s">
        <v>608</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976</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872</v>
      </c>
      <c r="B690" s="27" t="s">
        <v>653</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977</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707</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978</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920</v>
      </c>
      <c r="B694" s="27" t="s">
        <v>606</v>
      </c>
      <c r="C694" s="27" t="s">
        <v>622</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147</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617</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979</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736</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651</v>
      </c>
      <c r="B699" s="27" t="s">
        <v>619</v>
      </c>
      <c r="C699" s="27" t="s">
        <v>652</v>
      </c>
      <c r="D699" s="27" t="s">
        <v>608</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856</v>
      </c>
      <c r="B700" s="27" t="s">
        <v>657</v>
      </c>
      <c r="C700" s="27" t="s">
        <v>637</v>
      </c>
      <c r="D700" s="27" t="s">
        <v>608</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28</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617</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980</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617</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981</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617</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982</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617</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983</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617</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644</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707</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984</v>
      </c>
      <c r="B713" s="27" t="s">
        <v>664</v>
      </c>
      <c r="C713" s="27" t="s">
        <v>626</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985</v>
      </c>
      <c r="B714" s="27" t="s">
        <v>625</v>
      </c>
      <c r="C714" s="27" t="s">
        <v>678</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930</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986</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633</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row>
    <row r="719" spans="1:12">
      <c r="A719" s="20" t="s">
        <v>987</v>
      </c>
    </row>
    <row r="720" spans="1:12">
      <c r="A720" s="20" t="s">
        <v>747</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612</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710</v>
      </c>
      <c r="B722" s="27" t="s">
        <v>611</v>
      </c>
      <c r="C722" s="27" t="s">
        <v>614</v>
      </c>
      <c r="D722" s="27" t="s">
        <v>608</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883</v>
      </c>
      <c r="B723" s="27" t="s">
        <v>606</v>
      </c>
      <c r="C723" s="27" t="s">
        <v>616</v>
      </c>
      <c r="D723" s="27" t="s">
        <v>608</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682</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988</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989</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187</v>
      </c>
      <c r="B727" s="27" t="s">
        <v>606</v>
      </c>
      <c r="C727" s="27" t="s">
        <v>685</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617</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970</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917</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609</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896</v>
      </c>
      <c r="B732" s="27" t="s">
        <v>606</v>
      </c>
      <c r="C732" s="27" t="s">
        <v>631</v>
      </c>
      <c r="D732" s="27" t="s">
        <v>608</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617</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609</v>
      </c>
      <c r="B734" s="27" t="s">
        <v>668</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658</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915</v>
      </c>
      <c r="B736" s="27" t="s">
        <v>725</v>
      </c>
      <c r="C736" s="27" t="s">
        <v>607</v>
      </c>
      <c r="D736" s="27" t="s">
        <v>608</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990</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633</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row>
    <row r="740" spans="1:12">
      <c r="A740" s="20" t="s">
        <v>991</v>
      </c>
    </row>
    <row r="741" spans="1:12">
      <c r="A741" s="20" t="s">
        <v>992</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993</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51</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994</v>
      </c>
      <c r="B744" s="27" t="s">
        <v>636</v>
      </c>
      <c r="C744" s="27" t="s">
        <v>678</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13</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995</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618</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630</v>
      </c>
      <c r="B748" s="27" t="s">
        <v>657</v>
      </c>
      <c r="C748" s="27" t="s">
        <v>631</v>
      </c>
      <c r="D748" s="27" t="s">
        <v>608</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710</v>
      </c>
      <c r="B749" s="27" t="s">
        <v>664</v>
      </c>
      <c r="C749" s="27" t="s">
        <v>614</v>
      </c>
      <c r="D749" s="27" t="s">
        <v>608</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996</v>
      </c>
      <c r="B750" s="27" t="s">
        <v>625</v>
      </c>
      <c r="C750" s="27" t="s">
        <v>616</v>
      </c>
      <c r="D750" s="27" t="s">
        <v>608</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644</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651</v>
      </c>
      <c r="B752" s="27" t="s">
        <v>619</v>
      </c>
      <c r="C752" s="27" t="s">
        <v>652</v>
      </c>
      <c r="D752" s="27" t="s">
        <v>608</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28</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997</v>
      </c>
      <c r="B754" s="27" t="s">
        <v>657</v>
      </c>
      <c r="C754" s="27" t="s">
        <v>626</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639</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618</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998</v>
      </c>
      <c r="B757" s="27" t="s">
        <v>625</v>
      </c>
      <c r="C757" s="27" t="s">
        <v>607</v>
      </c>
      <c r="D757" s="27" t="s">
        <v>608</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617</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801</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618</v>
      </c>
      <c r="B760" s="27" t="s">
        <v>670</v>
      </c>
      <c r="C760" s="27" t="s">
        <v>652</v>
      </c>
      <c r="D760" s="27" t="s">
        <v>608</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807</v>
      </c>
      <c r="B761" s="27" t="s">
        <v>999</v>
      </c>
      <c r="C761" s="27" t="s">
        <v>652</v>
      </c>
      <c r="D761" s="27" t="s">
        <v>608</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1000</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904</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633</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row>
    <row r="766" spans="1:12">
      <c r="A766" s="20" t="s">
        <v>1001</v>
      </c>
    </row>
    <row r="767" spans="1:12">
      <c r="A767" s="20" t="s">
        <v>635</v>
      </c>
      <c r="B767" s="27" t="s">
        <v>636</v>
      </c>
      <c r="C767" s="27" t="s">
        <v>637</v>
      </c>
      <c r="D767" s="27" t="s">
        <v>608</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158</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645</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617</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1002</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48</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162</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651</v>
      </c>
      <c r="B774" s="27" t="s">
        <v>619</v>
      </c>
      <c r="C774" s="27" t="s">
        <v>652</v>
      </c>
      <c r="D774" s="27" t="s">
        <v>608</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737</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1003</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618</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1004</v>
      </c>
      <c r="B778" s="27" t="s">
        <v>619</v>
      </c>
      <c r="C778" s="27" t="s">
        <v>607</v>
      </c>
      <c r="D778" s="27" t="s">
        <v>608</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617</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759</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1005</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1006</v>
      </c>
      <c r="B782" s="27" t="s">
        <v>670</v>
      </c>
      <c r="C782" s="27" t="s">
        <v>614</v>
      </c>
      <c r="D782" s="27" t="s">
        <v>608</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1007</v>
      </c>
      <c r="B783" s="27" t="s">
        <v>742</v>
      </c>
      <c r="C783" s="27" t="s">
        <v>616</v>
      </c>
      <c r="D783" s="27" t="s">
        <v>608</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349</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767</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row>
    <row r="787" spans="1:12">
      <c r="A787" s="20" t="s">
        <v>1008</v>
      </c>
    </row>
    <row r="788" spans="1:12">
      <c r="A788" s="20" t="s">
        <v>675</v>
      </c>
      <c r="B788" s="27" t="s">
        <v>636</v>
      </c>
      <c r="C788" s="27" t="s">
        <v>652</v>
      </c>
      <c r="D788" s="27" t="s">
        <v>608</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1009</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618</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1004</v>
      </c>
      <c r="B791" s="27" t="s">
        <v>636</v>
      </c>
      <c r="C791" s="27" t="s">
        <v>607</v>
      </c>
      <c r="D791" s="27" t="s">
        <v>608</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162</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617</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759</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1005</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1010</v>
      </c>
      <c r="B796" s="27" t="s">
        <v>619</v>
      </c>
      <c r="C796" s="27" t="s">
        <v>622</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349</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617</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644</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618</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1004</v>
      </c>
      <c r="B801" s="27" t="s">
        <v>606</v>
      </c>
      <c r="C801" s="27" t="s">
        <v>607</v>
      </c>
      <c r="D801" s="27" t="s">
        <v>608</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617</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759</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1005</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1011</v>
      </c>
      <c r="B805" s="27" t="s">
        <v>668</v>
      </c>
      <c r="C805" s="27" t="s">
        <v>622</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349</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633</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row>
    <row r="809" spans="1:12">
      <c r="A809" s="20" t="s">
        <v>1012</v>
      </c>
    </row>
    <row r="810" spans="1:12">
      <c r="A810" s="20" t="s">
        <v>814</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166</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651</v>
      </c>
      <c r="B812" s="27" t="s">
        <v>636</v>
      </c>
      <c r="C812" s="27" t="s">
        <v>652</v>
      </c>
      <c r="D812" s="27" t="s">
        <v>608</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961</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617</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736</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635</v>
      </c>
      <c r="B816" s="27" t="s">
        <v>619</v>
      </c>
      <c r="C816" s="27" t="s">
        <v>637</v>
      </c>
      <c r="D816" s="27" t="s">
        <v>608</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707</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658</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1013</v>
      </c>
      <c r="B819" s="27" t="s">
        <v>611</v>
      </c>
      <c r="C819" s="27" t="s">
        <v>607</v>
      </c>
      <c r="D819" s="27" t="s">
        <v>608</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197</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644</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635</v>
      </c>
      <c r="B822" s="27" t="s">
        <v>668</v>
      </c>
      <c r="C822" s="27" t="s">
        <v>637</v>
      </c>
      <c r="D822" s="27" t="s">
        <v>608</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77</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1014</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1015</v>
      </c>
      <c r="B825" s="27" t="s">
        <v>725</v>
      </c>
      <c r="C825" s="27" t="s">
        <v>685</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1016</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1017</v>
      </c>
      <c r="B827" s="27" t="s">
        <v>670</v>
      </c>
      <c r="C827" s="27" t="s">
        <v>671</v>
      </c>
      <c r="D827" s="27" t="s">
        <v>608</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1018</v>
      </c>
      <c r="B828" s="27" t="s">
        <v>664</v>
      </c>
      <c r="C828" s="27" t="s">
        <v>622</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644</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1019</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717</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1020</v>
      </c>
      <c r="B832" s="27" t="s">
        <v>670</v>
      </c>
      <c r="C832" s="27" t="s">
        <v>626</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1021</v>
      </c>
      <c r="B833" s="27" t="s">
        <v>1022</v>
      </c>
      <c r="C833" s="27" t="s">
        <v>685</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707</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609</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1023</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1024</v>
      </c>
      <c r="B837" s="27" t="s">
        <v>670</v>
      </c>
      <c r="C837" s="27" t="s">
        <v>607</v>
      </c>
      <c r="D837" s="27" t="s">
        <v>608</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1025</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1026</v>
      </c>
      <c r="B839" s="27" t="s">
        <v>1027</v>
      </c>
      <c r="C839" s="27" t="s">
        <v>671</v>
      </c>
      <c r="D839" s="27" t="s">
        <v>608</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1028</v>
      </c>
      <c r="B840" s="27" t="s">
        <v>864</v>
      </c>
      <c r="C840" s="27" t="s">
        <v>622</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633</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row>
    <row r="843" spans="1:12">
      <c r="A843" s="20" t="s">
        <v>1029</v>
      </c>
    </row>
    <row r="844" spans="1:12">
      <c r="A844" s="20" t="s">
        <v>1030</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166</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651</v>
      </c>
      <c r="B846" s="27" t="s">
        <v>636</v>
      </c>
      <c r="C846" s="27" t="s">
        <v>652</v>
      </c>
      <c r="D846" s="27" t="s">
        <v>608</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t="s">
        <v>617</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736</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1031</v>
      </c>
      <c r="B849" s="27" t="s">
        <v>625</v>
      </c>
      <c r="C849" s="27" t="s">
        <v>671</v>
      </c>
      <c r="D849" s="27" t="s">
        <v>608</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1032</v>
      </c>
      <c r="B850" s="27" t="s">
        <v>619</v>
      </c>
      <c r="C850" s="27" t="s">
        <v>631</v>
      </c>
      <c r="D850" s="27" t="s">
        <v>608</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690</v>
      </c>
      <c r="B851" s="27" t="s">
        <v>619</v>
      </c>
      <c r="C851" s="27" t="s">
        <v>652</v>
      </c>
      <c r="D851" s="27" t="s">
        <v>608</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1033</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617</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t="s">
        <v>740</v>
      </c>
      <c r="E854" s="21">
        <f>IF(D854="?OLD","!!!","")</f>
        <v/>
      </c>
      <c r="F854" s="22" t="str">
        <f>IF(OR(E854="",E854="!!!"),"",IF(NOT(ISNA(VLOOKUP(E854,E$1:E853,1,FALSE()))),"OLD",IF(AND(E854&lt;&gt;"",E854&lt;&gt;"!!!"),"NEW","")))</f>
        <v> </v>
      </c>
      <c r="G854" s="23" t="str">
        <f>IF(OR(E854="",E854="!!!"),"",IF(OR(J854=0,AND(J854=1,K854=1),AND(J854=1,I854="SBJ"),AND(J854=1,I854=0)),"?IN_FOCUS",IF(J854&lt;=2,"?ACTIVATED",IF(J854&lt;&gt;"","?FAMILIAR",IF(F854="NEW",IF(ISNA(VLOOKUP(E854,#REF!,1,FALSE())),"?TYPE_IDENTIFIABLE","?REFERENTIAL"),"_")))))</f>
        <v> </v>
      </c>
      <c r="H854" s="24" t="str">
        <f>IF(J854&lt;&gt;1,"",IF(I854="SBJ","CB","?"))</f>
        <v> </v>
      </c>
      <c r="I854" s="25" t="str">
        <f>IF(OR(E854="",E854="!!!",F854="NEW"),"",INDEX(B853:B$2,-1+SUMPRODUCT(MAX(ROW(E853:E$2)*(E854=E853:E$2)))))</f>
        <v> </v>
      </c>
      <c r="J854" s="25" t="str">
        <f>IF(OR(E854="",E854="!!!",F854="NEW"),"",COUNTBLANK(OFFSET(A$1,,,SUMPRODUCT(MAX(ROW(E$2:E854)*(E854=E$2:E854)))))-COUNTBLANK(OFFSET(A$1,,,SUMPRODUCT(MAX(ROW(E$1:E853)*(E2=E$1:E853))))))</f>
        <v> </v>
      </c>
      <c r="K854" s="25" t="str">
        <f>IF(OR(E854="",E854="!!!",F854="NEW"),"",INDEX(J$1:J853,SUMPRODUCT(MAX(ROW(E$1:E853)*(E854=E$1:E853)))))</f>
        <v> </v>
      </c>
      <c r="L854" s="26"/>
    </row>
    <row r="855" spans="1:12">
      <c r="A855" s="20" t="s">
        <v>1026</v>
      </c>
      <c r="B855" s="27" t="s">
        <v>611</v>
      </c>
      <c r="C855" s="27" t="s">
        <v>637</v>
      </c>
      <c r="D855" s="27" t="s">
        <v>608</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t="s">
        <v>1034</v>
      </c>
      <c r="B856" s="27" t="s">
        <v>725</v>
      </c>
      <c r="C856" s="27" t="s">
        <v>622</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617</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644</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1035</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1036</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856</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644</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1026</v>
      </c>
      <c r="B863" s="27" t="s">
        <v>670</v>
      </c>
      <c r="C863" s="27" t="s">
        <v>671</v>
      </c>
      <c r="D863" s="27" t="s">
        <v>608</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1037</v>
      </c>
      <c r="B864" s="27" t="s">
        <v>742</v>
      </c>
      <c r="C864" s="27" t="s">
        <v>622</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1038</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872</v>
      </c>
      <c r="B866" s="27" t="s">
        <v>1022</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822</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717</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1039</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1040</v>
      </c>
      <c r="B870" s="27" t="s">
        <v>664</v>
      </c>
      <c r="C870" s="27" t="s">
        <v>685</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t="s">
        <v>633</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row>
    <row r="873" spans="1:12">
      <c r="A873" s="20" t="s">
        <v>1041</v>
      </c>
    </row>
    <row r="874" spans="1:12">
      <c r="A874" s="20" t="s">
        <v>1042</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18</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t="s">
        <v>1043</v>
      </c>
      <c r="B876" s="27" t="s">
        <v>653</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633</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row>
    <row r="879" spans="1:12">
      <c r="A879" s="20" t="s">
        <v>1044</v>
      </c>
    </row>
    <row r="880" spans="1:12">
      <c r="A880" s="20" t="s">
        <v>635</v>
      </c>
      <c r="B880" s="27" t="s">
        <v>619</v>
      </c>
      <c r="C880" s="27" t="s">
        <v>637</v>
      </c>
      <c r="D880" s="27" t="s">
        <v>608</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18</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658</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1045</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1046</v>
      </c>
      <c r="B884" s="27" t="s">
        <v>653</v>
      </c>
      <c r="C884" s="27" t="s">
        <v>607</v>
      </c>
      <c r="D884" s="27" t="s">
        <v>608</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720</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1047</v>
      </c>
      <c r="B886" s="27" t="s">
        <v>611</v>
      </c>
      <c r="C886" s="27" t="s">
        <v>631</v>
      </c>
      <c r="D886" s="27" t="s">
        <v>608</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1048</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t="s">
        <v>1049</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1017</v>
      </c>
      <c r="B889" s="27" t="s">
        <v>611</v>
      </c>
      <c r="C889" s="27" t="s">
        <v>671</v>
      </c>
      <c r="D889" s="27" t="s">
        <v>608</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1050</v>
      </c>
      <c r="B890" s="27" t="s">
        <v>606</v>
      </c>
      <c r="C890" s="27" t="s">
        <v>622</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1051</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633</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row>
    <row r="894" spans="1:12">
      <c r="A894" s="20" t="s">
        <v>1052</v>
      </c>
    </row>
    <row r="895" spans="1:12">
      <c r="A895" s="20" t="s">
        <v>722</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612</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856</v>
      </c>
      <c r="B897" s="27" t="s">
        <v>636</v>
      </c>
      <c r="C897" s="27" t="s">
        <v>637</v>
      </c>
      <c r="D897" s="27" t="s">
        <v>608</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720</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656</v>
      </c>
      <c r="B899" s="27" t="s">
        <v>606</v>
      </c>
      <c r="C899" s="27" t="s">
        <v>652</v>
      </c>
      <c r="D899" s="27" t="s">
        <v>608</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t="s">
        <v>737</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t="s">
        <v>766</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t="s">
        <v>1003</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617</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1053</v>
      </c>
      <c r="B904" s="27" t="s">
        <v>625</v>
      </c>
      <c r="C904" s="27" t="s">
        <v>614</v>
      </c>
      <c r="D904" s="27" t="s">
        <v>608</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841</v>
      </c>
      <c r="B905" s="27" t="s">
        <v>657</v>
      </c>
      <c r="C905" s="27" t="s">
        <v>616</v>
      </c>
      <c r="D905" s="27" t="s">
        <v>608</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t="s">
        <v>663</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t="s">
        <v>1054</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t="s">
        <v>633</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row>
    <row r="910" spans="1:12">
      <c r="A910" s="20" t="s">
        <v>1055</v>
      </c>
    </row>
    <row r="911" spans="1:12">
      <c r="A911" s="20" t="s">
        <v>675</v>
      </c>
      <c r="B911" s="27" t="s">
        <v>636</v>
      </c>
      <c r="C911" s="27" t="s">
        <v>652</v>
      </c>
      <c r="D911" s="27" t="s">
        <v>608</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t="s">
        <v>176</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t="s">
        <v>1056</v>
      </c>
      <c r="E913" s="21">
        <f>IF(D913="?OLD","!!!","")</f>
        <v/>
      </c>
      <c r="F913" s="22" t="str">
        <f>IF(OR(E913="",E913="!!!"),"",IF(NOT(ISNA(VLOOKUP(E913,E$1:E912,1,FALSE()))),"OLD",IF(AND(E913&lt;&gt;"",E913&lt;&gt;"!!!"),"NEW","")))</f>
        <v> </v>
      </c>
      <c r="G913" s="23" t="str">
        <f>IF(OR(E913="",E913="!!!"),"",IF(OR(J913=0,AND(J913=1,K913=1),AND(J913=1,I913="SBJ"),AND(J913=1,I913=0)),"?IN_FOCUS",IF(J913&lt;=2,"?ACTIVATED",IF(J913&lt;&gt;"","?FAMILIAR",IF(F913="NEW",IF(ISNA(VLOOKUP(E913,#REF!,1,FALSE())),"?TYPE_IDENTIFIABLE","?REFERENTIAL"),"_")))))</f>
        <v> </v>
      </c>
      <c r="H913" s="24" t="str">
        <f>IF(J913&lt;&gt;1,"",IF(I913="SBJ","CB","?"))</f>
        <v> </v>
      </c>
      <c r="I913" s="25" t="str">
        <f>IF(OR(E913="",E913="!!!",F913="NEW"),"",INDEX(B912:B$2,-1+SUMPRODUCT(MAX(ROW(E912:E$2)*(E913=E912:E$2)))))</f>
        <v> </v>
      </c>
      <c r="J913" s="25" t="str">
        <f>IF(OR(E913="",E913="!!!",F913="NEW"),"",COUNTBLANK(OFFSET(A$1,,,SUMPRODUCT(MAX(ROW(E$2:E913)*(E913=E$2:E913)))))-COUNTBLANK(OFFSET(A$1,,,SUMPRODUCT(MAX(ROW(E$1:E912)*(E2=E$1:E912))))))</f>
        <v> </v>
      </c>
      <c r="K913" s="25" t="str">
        <f>IF(OR(E913="",E913="!!!",F913="NEW"),"",INDEX(J$1:J912,SUMPRODUCT(MAX(ROW(E$1:E912)*(E913=E$1:E912)))))</f>
        <v> </v>
      </c>
      <c r="L913" s="26"/>
    </row>
    <row r="914" spans="1:12">
      <c r="A914" s="20" t="s">
        <v>1004</v>
      </c>
      <c r="B914" s="27" t="s">
        <v>653</v>
      </c>
      <c r="C914" s="27" t="s">
        <v>622</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t="s">
        <v>617</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618</v>
      </c>
      <c r="B916" s="27" t="s">
        <v>725</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807</v>
      </c>
      <c r="B917" s="27" t="s">
        <v>668</v>
      </c>
      <c r="C917" s="27" t="s">
        <v>652</v>
      </c>
      <c r="D917" s="27" t="s">
        <v>608</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1057</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617</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t="s">
        <v>1058</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t="s">
        <v>651</v>
      </c>
      <c r="B921" s="27" t="s">
        <v>619</v>
      </c>
      <c r="C921" s="27" t="s">
        <v>652</v>
      </c>
      <c r="D921" s="27" t="s">
        <v>608</v>
      </c>
      <c r="E921" s="21">
        <f>IF(D921="?OLD","!!!","")</f>
        <v/>
      </c>
      <c r="F921" s="22" t="str">
        <f>IF(OR(E921="",E921="!!!"),"",IF(NOT(ISNA(VLOOKUP(E921,E$1:E920,1,FALSE()))),"OLD",IF(AND(E921&lt;&gt;"",E921&lt;&gt;"!!!"),"NEW","")))</f>
        <v> </v>
      </c>
      <c r="G921" s="23" t="str">
        <f>IF(OR(E921="",E921="!!!"),"",IF(OR(J921=0,AND(J921=1,K921=1),AND(J921=1,I921="SBJ"),AND(J921=1,I921=0)),"?IN_FOCUS",IF(J921&lt;=2,"?ACTIVATED",IF(J921&lt;&gt;"","?FAMILIAR",IF(F921="NEW",IF(ISNA(VLOOKUP(E921,#REF!,1,FALSE())),"?TYPE_IDENTIFIABLE","?REFERENTIAL"),"_")))))</f>
        <v> </v>
      </c>
      <c r="H921" s="24" t="str">
        <f>IF(J921&lt;&gt;1,"",IF(I921="SBJ","CB","?"))</f>
        <v> </v>
      </c>
      <c r="I921" s="25" t="str">
        <f>IF(OR(E921="",E921="!!!",F921="NEW"),"",INDEX(B920:B$2,-1+SUMPRODUCT(MAX(ROW(E920:E$2)*(E921=E920:E$2)))))</f>
        <v> </v>
      </c>
      <c r="J921" s="25" t="str">
        <f>IF(OR(E921="",E921="!!!",F921="NEW"),"",COUNTBLANK(OFFSET(A$1,,,SUMPRODUCT(MAX(ROW(E$2:E921)*(E921=E$2:E921)))))-COUNTBLANK(OFFSET(A$1,,,SUMPRODUCT(MAX(ROW(E$1:E920)*(E2=E$1:E920))))))</f>
        <v> </v>
      </c>
      <c r="K921" s="25" t="str">
        <f>IF(OR(E921="",E921="!!!",F921="NEW"),"",INDEX(J$1:J920,SUMPRODUCT(MAX(ROW(E$1:E920)*(E921=E$1:E920)))))</f>
        <v> </v>
      </c>
      <c r="L921" s="26"/>
    </row>
    <row r="922" spans="1:12">
      <c r="A922" s="20" t="s">
        <v>1003</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1059</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893</v>
      </c>
      <c r="B924" s="27" t="s">
        <v>657</v>
      </c>
      <c r="C924" s="27" t="s">
        <v>622</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349</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633</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row>
    <row r="928" spans="1:12">
      <c r="A928" s="20" t="s">
        <v>1060</v>
      </c>
    </row>
    <row r="929" spans="1:12">
      <c r="A929" s="20" t="s">
        <v>1061</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988</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989</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187</v>
      </c>
      <c r="B932" s="27" t="s">
        <v>606</v>
      </c>
      <c r="C932" s="27" t="s">
        <v>685</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617</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970</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756</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682</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988</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1062</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633</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row>
    <row r="941" spans="1:12">
      <c r="A941" s="20" t="s">
        <v>1063</v>
      </c>
    </row>
    <row r="942" spans="1:12">
      <c r="A942" s="20" t="s">
        <v>630</v>
      </c>
      <c r="B942" s="27" t="s">
        <v>636</v>
      </c>
      <c r="C942" s="27" t="s">
        <v>631</v>
      </c>
      <c r="D942" s="27" t="s">
        <v>608</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t="s">
        <v>1064</v>
      </c>
      <c r="E943" s="21">
        <f>IF(D943="?OLD","!!!","")</f>
        <v/>
      </c>
      <c r="F943" s="22" t="str">
        <f>IF(OR(E943="",E943="!!!"),"",IF(NOT(ISNA(VLOOKUP(E943,E$1:E942,1,FALSE()))),"OLD",IF(AND(E943&lt;&gt;"",E943&lt;&gt;"!!!"),"NEW","")))</f>
        <v> </v>
      </c>
      <c r="G943" s="23" t="str">
        <f>IF(OR(E943="",E943="!!!"),"",IF(OR(J943=0,AND(J943=1,K943=1),AND(J943=1,I943="SBJ"),AND(J943=1,I943=0)),"?IN_FOCUS",IF(J943&lt;=2,"?ACTIVATED",IF(J943&lt;&gt;"","?FAMILIAR",IF(F943="NEW",IF(ISNA(VLOOKUP(E943,#REF!,1,FALSE())),"?TYPE_IDENTIFIABLE","?REFERENTIAL"),"_")))))</f>
        <v> </v>
      </c>
      <c r="H943" s="24" t="str">
        <f>IF(J943&lt;&gt;1,"",IF(I943="SBJ","CB","?"))</f>
        <v> </v>
      </c>
      <c r="I943" s="25" t="str">
        <f>IF(OR(E943="",E943="!!!",F943="NEW"),"",INDEX(B942:B$2,-1+SUMPRODUCT(MAX(ROW(E942:E$2)*(E943=E942:E$2)))))</f>
        <v> </v>
      </c>
      <c r="J943" s="25" t="str">
        <f>IF(OR(E943="",E943="!!!",F943="NEW"),"",COUNTBLANK(OFFSET(A$1,,,SUMPRODUCT(MAX(ROW(E$2:E943)*(E943=E$2:E943)))))-COUNTBLANK(OFFSET(A$1,,,SUMPRODUCT(MAX(ROW(E$1:E942)*(E2=E$1:E942))))))</f>
        <v> </v>
      </c>
      <c r="K943" s="25" t="str">
        <f>IF(OR(E943="",E943="!!!",F943="NEW"),"",INDEX(J$1:J942,SUMPRODUCT(MAX(ROW(E$1:E942)*(E943=E$1:E942)))))</f>
        <v> </v>
      </c>
      <c r="L943" s="26"/>
    </row>
    <row r="944" spans="1:12">
      <c r="A944" s="20" t="s">
        <v>759</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1065</v>
      </c>
      <c r="B945" s="27" t="s">
        <v>611</v>
      </c>
      <c r="C945" s="27" t="s">
        <v>626</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609</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1066</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644</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t="s">
        <v>1067</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1004</v>
      </c>
      <c r="B950" s="27" t="s">
        <v>606</v>
      </c>
      <c r="C950" s="27" t="s">
        <v>607</v>
      </c>
      <c r="D950" s="27" t="s">
        <v>608</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t="s">
        <v>609</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996</v>
      </c>
      <c r="B952" s="27" t="s">
        <v>611</v>
      </c>
      <c r="C952" s="27" t="s">
        <v>607</v>
      </c>
      <c r="D952" s="27" t="s">
        <v>608</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1049</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617</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644</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856</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t="s">
        <v>667</v>
      </c>
      <c r="E957" s="21">
        <f>IF(D957="?OLD","!!!","")</f>
        <v/>
      </c>
      <c r="F957" s="22" t="str">
        <f>IF(OR(E957="",E957="!!!"),"",IF(NOT(ISNA(VLOOKUP(E957,E$1:E956,1,FALSE()))),"OLD",IF(AND(E957&lt;&gt;"",E957&lt;&gt;"!!!"),"NEW","")))</f>
        <v> </v>
      </c>
      <c r="G957" s="23" t="str">
        <f>IF(OR(E957="",E957="!!!"),"",IF(OR(J957=0,AND(J957=1,K957=1),AND(J957=1,I957="SBJ"),AND(J957=1,I957=0)),"?IN_FOCUS",IF(J957&lt;=2,"?ACTIVATED",IF(J957&lt;&gt;"","?FAMILIAR",IF(F957="NEW",IF(ISNA(VLOOKUP(E957,#REF!,1,FALSE())),"?TYPE_IDENTIFIABLE","?REFERENTIAL"),"_")))))</f>
        <v> </v>
      </c>
      <c r="H957" s="24" t="str">
        <f>IF(J957&lt;&gt;1,"",IF(I957="SBJ","CB","?"))</f>
        <v> </v>
      </c>
      <c r="I957" s="25" t="str">
        <f>IF(OR(E957="",E957="!!!",F957="NEW"),"",INDEX(B956:B$2,-1+SUMPRODUCT(MAX(ROW(E956:E$2)*(E957=E956:E$2)))))</f>
        <v> </v>
      </c>
      <c r="J957" s="25" t="str">
        <f>IF(OR(E957="",E957="!!!",F957="NEW"),"",COUNTBLANK(OFFSET(A$1,,,SUMPRODUCT(MAX(ROW(E$2:E957)*(E957=E$2:E957)))))-COUNTBLANK(OFFSET(A$1,,,SUMPRODUCT(MAX(ROW(E$1:E956)*(E2=E$1:E956))))))</f>
        <v> </v>
      </c>
      <c r="K957" s="25" t="str">
        <f>IF(OR(E957="",E957="!!!",F957="NEW"),"",INDEX(J$1:J956,SUMPRODUCT(MAX(ROW(E$1:E956)*(E957=E$1:E956)))))</f>
        <v> </v>
      </c>
      <c r="L957" s="26"/>
    </row>
    <row r="958" spans="1:12">
      <c r="A958" s="20" t="s">
        <v>938</v>
      </c>
      <c r="E958" s="21">
        <f>IF(D958="?OLD","!!!","")</f>
        <v/>
      </c>
      <c r="F958" s="22" t="str">
        <f>IF(OR(E958="",E958="!!!"),"",IF(NOT(ISNA(VLOOKUP(E958,E$1:E957,1,FALSE()))),"OLD",IF(AND(E958&lt;&gt;"",E958&lt;&gt;"!!!"),"NEW","")))</f>
        <v> </v>
      </c>
      <c r="G958" s="23" t="str">
        <f>IF(OR(E958="",E958="!!!"),"",IF(OR(J958=0,AND(J958=1,K958=1),AND(J958=1,I958="SBJ"),AND(J958=1,I958=0)),"?IN_FOCUS",IF(J958&lt;=2,"?ACTIVATED",IF(J958&lt;&gt;"","?FAMILIAR",IF(F958="NEW",IF(ISNA(VLOOKUP(E958,#REF!,1,FALSE())),"?TYPE_IDENTIFIABLE","?REFERENTIAL"),"_")))))</f>
        <v> </v>
      </c>
      <c r="H958" s="24" t="str">
        <f>IF(J958&lt;&gt;1,"",IF(I958="SBJ","CB","?"))</f>
        <v> </v>
      </c>
      <c r="I958" s="25" t="str">
        <f>IF(OR(E958="",E958="!!!",F958="NEW"),"",INDEX(B957:B$2,-1+SUMPRODUCT(MAX(ROW(E957:E$2)*(E958=E957:E$2)))))</f>
        <v> </v>
      </c>
      <c r="J958" s="25" t="str">
        <f>IF(OR(E958="",E958="!!!",F958="NEW"),"",COUNTBLANK(OFFSET(A$1,,,SUMPRODUCT(MAX(ROW(E$2:E958)*(E958=E$2:E958)))))-COUNTBLANK(OFFSET(A$1,,,SUMPRODUCT(MAX(ROW(E$1:E957)*(E2=E$1:E957))))))</f>
        <v> </v>
      </c>
      <c r="K958" s="25" t="str">
        <f>IF(OR(E958="",E958="!!!",F958="NEW"),"",INDEX(J$1:J957,SUMPRODUCT(MAX(ROW(E$1:E957)*(E958=E$1:E957)))))</f>
        <v> </v>
      </c>
      <c r="L958" s="26"/>
    </row>
    <row r="959" spans="1:12">
      <c r="A959" s="20" t="s">
        <v>857</v>
      </c>
      <c r="B959" s="27" t="s">
        <v>657</v>
      </c>
      <c r="C959" s="27" t="s">
        <v>685</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811</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633</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row>
    <row r="963" spans="1:12">
      <c r="A963" s="20" t="s">
        <v>1068</v>
      </c>
    </row>
    <row r="964" spans="1:12">
      <c r="A964" s="20" t="s">
        <v>1069</v>
      </c>
      <c r="E964" s="21">
        <f>IF(D964="?OLD","!!!","")</f>
        <v/>
      </c>
      <c r="F964" s="22" t="str">
        <f>IF(OR(E964="",E964="!!!"),"",IF(NOT(ISNA(VLOOKUP(E964,E$1:E963,1,FALSE()))),"OLD",IF(AND(E964&lt;&gt;"",E964&lt;&gt;"!!!"),"NEW","")))</f>
        <v> </v>
      </c>
      <c r="G964" s="23" t="str">
        <f>IF(OR(E964="",E964="!!!"),"",IF(OR(J964=0,AND(J964=1,K964=1),AND(J964=1,I964="SBJ"),AND(J964=1,I964=0)),"?IN_FOCUS",IF(J964&lt;=2,"?ACTIVATED",IF(J964&lt;&gt;"","?FAMILIAR",IF(F964="NEW",IF(ISNA(VLOOKUP(E964,#REF!,1,FALSE())),"?TYPE_IDENTIFIABLE","?REFERENTIAL"),"_")))))</f>
        <v> </v>
      </c>
      <c r="H964" s="24" t="str">
        <f>IF(J964&lt;&gt;1,"",IF(I964="SBJ","CB","?"))</f>
        <v> </v>
      </c>
      <c r="I964" s="25" t="str">
        <f>IF(OR(E964="",E964="!!!",F964="NEW"),"",INDEX(B963:B$2,-1+SUMPRODUCT(MAX(ROW(E963:E$2)*(E964=E963:E$2)))))</f>
        <v> </v>
      </c>
      <c r="J964" s="25" t="str">
        <f>IF(OR(E964="",E964="!!!",F964="NEW"),"",COUNTBLANK(OFFSET(A$1,,,SUMPRODUCT(MAX(ROW(E$2:E964)*(E964=E$2:E964)))))-COUNTBLANK(OFFSET(A$1,,,SUMPRODUCT(MAX(ROW(E$1:E963)*(E2=E$1:E963))))))</f>
        <v> </v>
      </c>
      <c r="K964" s="25" t="str">
        <f>IF(OR(E964="",E964="!!!",F964="NEW"),"",INDEX(J$1:J963,SUMPRODUCT(MAX(ROW(E$1:E963)*(E964=E$1:E963)))))</f>
        <v> </v>
      </c>
      <c r="L964" s="26"/>
    </row>
    <row r="965" spans="1:12">
      <c r="A965" s="20" t="s">
        <v>700</v>
      </c>
      <c r="B965" s="27" t="s">
        <v>619</v>
      </c>
      <c r="C965" s="27" t="s">
        <v>626</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t="s">
        <v>1070</v>
      </c>
      <c r="E966" s="21">
        <f>IF(D966="?OLD","!!!","")</f>
        <v/>
      </c>
      <c r="F966" s="22" t="str">
        <f>IF(OR(E966="",E966="!!!"),"",IF(NOT(ISNA(VLOOKUP(E966,E$1:E965,1,FALSE()))),"OLD",IF(AND(E966&lt;&gt;"",E966&lt;&gt;"!!!"),"NEW","")))</f>
        <v> </v>
      </c>
      <c r="G966" s="23" t="str">
        <f>IF(OR(E966="",E966="!!!"),"",IF(OR(J966=0,AND(J966=1,K966=1),AND(J966=1,I966="SBJ"),AND(J966=1,I966=0)),"?IN_FOCUS",IF(J966&lt;=2,"?ACTIVATED",IF(J966&lt;&gt;"","?FAMILIAR",IF(F966="NEW",IF(ISNA(VLOOKUP(E966,#REF!,1,FALSE())),"?TYPE_IDENTIFIABLE","?REFERENTIAL"),"_")))))</f>
        <v> </v>
      </c>
      <c r="H966" s="24" t="str">
        <f>IF(J966&lt;&gt;1,"",IF(I966="SBJ","CB","?"))</f>
        <v> </v>
      </c>
      <c r="I966" s="25" t="str">
        <f>IF(OR(E966="",E966="!!!",F966="NEW"),"",INDEX(B965:B$2,-1+SUMPRODUCT(MAX(ROW(E965:E$2)*(E966=E965:E$2)))))</f>
        <v> </v>
      </c>
      <c r="J966" s="25" t="str">
        <f>IF(OR(E966="",E966="!!!",F966="NEW"),"",COUNTBLANK(OFFSET(A$1,,,SUMPRODUCT(MAX(ROW(E$2:E966)*(E966=E$2:E966)))))-COUNTBLANK(OFFSET(A$1,,,SUMPRODUCT(MAX(ROW(E$1:E965)*(E2=E$1:E965))))))</f>
        <v> </v>
      </c>
      <c r="K966" s="25" t="str">
        <f>IF(OR(E966="",E966="!!!",F966="NEW"),"",INDEX(J$1:J965,SUMPRODUCT(MAX(ROW(E$1:E965)*(E966=E$1:E965)))))</f>
        <v> </v>
      </c>
      <c r="L966" s="26"/>
    </row>
    <row r="967" spans="1:12">
      <c r="A967" s="20" t="s">
        <v>612</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617</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612</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856</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t="s">
        <v>1071</v>
      </c>
      <c r="B971" s="27" t="s">
        <v>636</v>
      </c>
      <c r="C971" s="27" t="s">
        <v>652</v>
      </c>
      <c r="D971" s="27" t="s">
        <v>608</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t="s">
        <v>617</v>
      </c>
      <c r="E972" s="21">
        <f>IF(D972="?OLD","!!!","")</f>
        <v/>
      </c>
      <c r="F972" s="22" t="str">
        <f>IF(OR(E972="",E972="!!!"),"",IF(NOT(ISNA(VLOOKUP(E972,E$1:E971,1,FALSE()))),"OLD",IF(AND(E972&lt;&gt;"",E972&lt;&gt;"!!!"),"NEW","")))</f>
        <v> </v>
      </c>
      <c r="G972" s="23" t="str">
        <f>IF(OR(E972="",E972="!!!"),"",IF(OR(J972=0,AND(J972=1,K972=1),AND(J972=1,I972="SBJ"),AND(J972=1,I972=0)),"?IN_FOCUS",IF(J972&lt;=2,"?ACTIVATED",IF(J972&lt;&gt;"","?FAMILIAR",IF(F972="NEW",IF(ISNA(VLOOKUP(E972,#REF!,1,FALSE())),"?TYPE_IDENTIFIABLE","?REFERENTIAL"),"_")))))</f>
        <v> </v>
      </c>
      <c r="H972" s="24" t="str">
        <f>IF(J972&lt;&gt;1,"",IF(I972="SBJ","CB","?"))</f>
        <v> </v>
      </c>
      <c r="I972" s="25" t="str">
        <f>IF(OR(E972="",E972="!!!",F972="NEW"),"",INDEX(B971:B$2,-1+SUMPRODUCT(MAX(ROW(E971:E$2)*(E972=E971:E$2)))))</f>
        <v> </v>
      </c>
      <c r="J972" s="25" t="str">
        <f>IF(OR(E972="",E972="!!!",F972="NEW"),"",COUNTBLANK(OFFSET(A$1,,,SUMPRODUCT(MAX(ROW(E$2:E972)*(E972=E$2:E972)))))-COUNTBLANK(OFFSET(A$1,,,SUMPRODUCT(MAX(ROW(E$1:E971)*(E2=E$1:E971))))))</f>
        <v> </v>
      </c>
      <c r="K972" s="25" t="str">
        <f>IF(OR(E972="",E972="!!!",F972="NEW"),"",INDEX(J$1:J971,SUMPRODUCT(MAX(ROW(E$1:E971)*(E972=E$1:E971)))))</f>
        <v> </v>
      </c>
      <c r="L972" s="26"/>
    </row>
    <row r="973" spans="1:12">
      <c r="A973" s="20" t="s">
        <v>736</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700</v>
      </c>
      <c r="B974" s="27" t="s">
        <v>619</v>
      </c>
      <c r="C974" s="27" t="s">
        <v>626</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630</v>
      </c>
      <c r="B975" s="27" t="s">
        <v>657</v>
      </c>
      <c r="C975" s="27" t="s">
        <v>631</v>
      </c>
      <c r="D975" s="27" t="s">
        <v>608</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t="s">
        <v>1072</v>
      </c>
      <c r="E976" s="21">
        <f>IF(D976="?OLD","!!!","")</f>
        <v/>
      </c>
      <c r="F976" s="22" t="str">
        <f>IF(OR(E976="",E976="!!!"),"",IF(NOT(ISNA(VLOOKUP(E976,E$1:E975,1,FALSE()))),"OLD",IF(AND(E976&lt;&gt;"",E976&lt;&gt;"!!!"),"NEW","")))</f>
        <v> </v>
      </c>
      <c r="G976" s="23" t="str">
        <f>IF(OR(E976="",E976="!!!"),"",IF(OR(J976=0,AND(J976=1,K976=1),AND(J976=1,I976="SBJ"),AND(J976=1,I976=0)),"?IN_FOCUS",IF(J976&lt;=2,"?ACTIVATED",IF(J976&lt;&gt;"","?FAMILIAR",IF(F976="NEW",IF(ISNA(VLOOKUP(E976,#REF!,1,FALSE())),"?TYPE_IDENTIFIABLE","?REFERENTIAL"),"_")))))</f>
        <v> </v>
      </c>
      <c r="H976" s="24" t="str">
        <f>IF(J976&lt;&gt;1,"",IF(I976="SBJ","CB","?"))</f>
        <v> </v>
      </c>
      <c r="I976" s="25" t="str">
        <f>IF(OR(E976="",E976="!!!",F976="NEW"),"",INDEX(B975:B$2,-1+SUMPRODUCT(MAX(ROW(E975:E$2)*(E976=E975:E$2)))))</f>
        <v> </v>
      </c>
      <c r="J976" s="25" t="str">
        <f>IF(OR(E976="",E976="!!!",F976="NEW"),"",COUNTBLANK(OFFSET(A$1,,,SUMPRODUCT(MAX(ROW(E$2:E976)*(E976=E$2:E976)))))-COUNTBLANK(OFFSET(A$1,,,SUMPRODUCT(MAX(ROW(E$1:E975)*(E2=E$1:E975))))))</f>
        <v> </v>
      </c>
      <c r="K976" s="25" t="str">
        <f>IF(OR(E976="",E976="!!!",F976="NEW"),"",INDEX(J$1:J975,SUMPRODUCT(MAX(ROW(E$1:E975)*(E976=E$1:E975)))))</f>
        <v> </v>
      </c>
      <c r="L976" s="26"/>
    </row>
    <row r="977" spans="1:12">
      <c r="A977" s="20" t="s">
        <v>633</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row>
    <row r="979" spans="1:12">
      <c r="A979" s="20" t="s">
        <v>1073</v>
      </c>
    </row>
    <row r="980" spans="1:12">
      <c r="A980" s="20" t="s">
        <v>736</v>
      </c>
      <c r="E980" s="21">
        <f>IF(D980="?OLD","!!!","")</f>
        <v/>
      </c>
      <c r="F980" s="22" t="str">
        <f>IF(OR(E980="",E980="!!!"),"",IF(NOT(ISNA(VLOOKUP(E980,E$1:E979,1,FALSE()))),"OLD",IF(AND(E980&lt;&gt;"",E980&lt;&gt;"!!!"),"NEW","")))</f>
        <v> </v>
      </c>
      <c r="G980" s="23" t="str">
        <f>IF(OR(E980="",E980="!!!"),"",IF(OR(J980=0,AND(J980=1,K980=1),AND(J980=1,I980="SBJ"),AND(J980=1,I980=0)),"?IN_FOCUS",IF(J980&lt;=2,"?ACTIVATED",IF(J980&lt;&gt;"","?FAMILIAR",IF(F980="NEW",IF(ISNA(VLOOKUP(E980,#REF!,1,FALSE())),"?TYPE_IDENTIFIABLE","?REFERENTIAL"),"_")))))</f>
        <v> </v>
      </c>
      <c r="H980" s="24" t="str">
        <f>IF(J980&lt;&gt;1,"",IF(I980="SBJ","CB","?"))</f>
        <v> </v>
      </c>
      <c r="I980" s="25" t="str">
        <f>IF(OR(E980="",E980="!!!",F980="NEW"),"",INDEX(B979:B$2,-1+SUMPRODUCT(MAX(ROW(E979:E$2)*(E980=E979:E$2)))))</f>
        <v> </v>
      </c>
      <c r="J980" s="25" t="str">
        <f>IF(OR(E980="",E980="!!!",F980="NEW"),"",COUNTBLANK(OFFSET(A$1,,,SUMPRODUCT(MAX(ROW(E$2:E980)*(E980=E$2:E980)))))-COUNTBLANK(OFFSET(A$1,,,SUMPRODUCT(MAX(ROW(E$1:E979)*(E2=E$1:E979))))))</f>
        <v> </v>
      </c>
      <c r="K980" s="25" t="str">
        <f>IF(OR(E980="",E980="!!!",F980="NEW"),"",INDEX(J$1:J979,SUMPRODUCT(MAX(ROW(E$1:E979)*(E980=E$1:E979)))))</f>
        <v> </v>
      </c>
      <c r="L980" s="26"/>
    </row>
    <row r="981" spans="1:12">
      <c r="A981" s="20" t="s">
        <v>700</v>
      </c>
      <c r="B981" s="27" t="s">
        <v>636</v>
      </c>
      <c r="C981" s="27" t="s">
        <v>626</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t="s">
        <v>707</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817</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1074</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1075</v>
      </c>
      <c r="B985" s="27" t="s">
        <v>606</v>
      </c>
      <c r="C985" s="27" t="s">
        <v>685</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1076</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707</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760</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1077</v>
      </c>
      <c r="B989" s="27" t="s">
        <v>606</v>
      </c>
      <c r="C989" s="27" t="s">
        <v>685</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617</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t="s">
        <v>822</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t="s">
        <v>760</v>
      </c>
      <c r="E992" s="21">
        <f>IF(D992="?OLD","!!!","")</f>
        <v/>
      </c>
      <c r="F992" s="22" t="str">
        <f>IF(OR(E992="",E992="!!!"),"",IF(NOT(ISNA(VLOOKUP(E992,E$1:E991,1,FALSE()))),"OLD",IF(AND(E992&lt;&gt;"",E992&lt;&gt;"!!!"),"NEW","")))</f>
        <v> </v>
      </c>
      <c r="G992" s="23" t="str">
        <f>IF(OR(E992="",E992="!!!"),"",IF(OR(J992=0,AND(J992=1,K992=1),AND(J992=1,I992="SBJ"),AND(J992=1,I992=0)),"?IN_FOCUS",IF(J992&lt;=2,"?ACTIVATED",IF(J992&lt;&gt;"","?FAMILIAR",IF(F992="NEW",IF(ISNA(VLOOKUP(E992,#REF!,1,FALSE())),"?TYPE_IDENTIFIABLE","?REFERENTIAL"),"_")))))</f>
        <v> </v>
      </c>
      <c r="H992" s="24" t="str">
        <f>IF(J992&lt;&gt;1,"",IF(I992="SBJ","CB","?"))</f>
        <v> </v>
      </c>
      <c r="I992" s="25" t="str">
        <f>IF(OR(E992="",E992="!!!",F992="NEW"),"",INDEX(B991:B$2,-1+SUMPRODUCT(MAX(ROW(E991:E$2)*(E992=E991:E$2)))))</f>
        <v> </v>
      </c>
      <c r="J992" s="25" t="str">
        <f>IF(OR(E992="",E992="!!!",F992="NEW"),"",COUNTBLANK(OFFSET(A$1,,,SUMPRODUCT(MAX(ROW(E$2:E992)*(E992=E$2:E992)))))-COUNTBLANK(OFFSET(A$1,,,SUMPRODUCT(MAX(ROW(E$1:E991)*(E2=E$1:E991))))))</f>
        <v> </v>
      </c>
      <c r="K992" s="25" t="str">
        <f>IF(OR(E992="",E992="!!!",F992="NEW"),"",INDEX(J$1:J991,SUMPRODUCT(MAX(ROW(E$1:E991)*(E992=E$1:E991)))))</f>
        <v> </v>
      </c>
      <c r="L992" s="26"/>
    </row>
    <row r="993" spans="1:12">
      <c r="A993" s="20" t="s">
        <v>1078</v>
      </c>
      <c r="E993" s="21">
        <f>IF(D993="?OLD","!!!","")</f>
        <v/>
      </c>
      <c r="F993" s="22" t="str">
        <f>IF(OR(E993="",E993="!!!"),"",IF(NOT(ISNA(VLOOKUP(E993,E$1:E992,1,FALSE()))),"OLD",IF(AND(E993&lt;&gt;"",E993&lt;&gt;"!!!"),"NEW","")))</f>
        <v> </v>
      </c>
      <c r="G993" s="23" t="str">
        <f>IF(OR(E993="",E993="!!!"),"",IF(OR(J993=0,AND(J993=1,K993=1),AND(J993=1,I993="SBJ"),AND(J993=1,I993=0)),"?IN_FOCUS",IF(J993&lt;=2,"?ACTIVATED",IF(J993&lt;&gt;"","?FAMILIAR",IF(F993="NEW",IF(ISNA(VLOOKUP(E993,#REF!,1,FALSE())),"?TYPE_IDENTIFIABLE","?REFERENTIAL"),"_")))))</f>
        <v> </v>
      </c>
      <c r="H993" s="24" t="str">
        <f>IF(J993&lt;&gt;1,"",IF(I993="SBJ","CB","?"))</f>
        <v> </v>
      </c>
      <c r="I993" s="25" t="str">
        <f>IF(OR(E993="",E993="!!!",F993="NEW"),"",INDEX(B992:B$2,-1+SUMPRODUCT(MAX(ROW(E992:E$2)*(E993=E992:E$2)))))</f>
        <v> </v>
      </c>
      <c r="J993" s="25" t="str">
        <f>IF(OR(E993="",E993="!!!",F993="NEW"),"",COUNTBLANK(OFFSET(A$1,,,SUMPRODUCT(MAX(ROW(E$2:E993)*(E993=E$2:E993)))))-COUNTBLANK(OFFSET(A$1,,,SUMPRODUCT(MAX(ROW(E$1:E992)*(E2=E$1:E992))))))</f>
        <v> </v>
      </c>
      <c r="K993" s="25" t="str">
        <f>IF(OR(E993="",E993="!!!",F993="NEW"),"",INDEX(J$1:J992,SUMPRODUCT(MAX(ROW(E$1:E992)*(E993=E$1:E992)))))</f>
        <v> </v>
      </c>
      <c r="L993" s="26"/>
    </row>
    <row r="994" spans="1:12">
      <c r="A994" s="20" t="s">
        <v>1079</v>
      </c>
      <c r="B994" s="27" t="s">
        <v>606</v>
      </c>
      <c r="C994" s="27" t="s">
        <v>685</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633</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row>
    <row r="997" spans="1:12">
      <c r="A997" s="20" t="s">
        <v>1080</v>
      </c>
    </row>
    <row r="998" spans="1:12">
      <c r="A998" s="20" t="s">
        <v>769</v>
      </c>
      <c r="B998" s="27" t="s">
        <v>636</v>
      </c>
      <c r="C998" s="27" t="s">
        <v>614</v>
      </c>
      <c r="D998" s="27" t="s">
        <v>608</v>
      </c>
      <c r="E998" s="21">
        <f>IF(D998="?OLD","!!!","")</f>
        <v/>
      </c>
      <c r="F998" s="22" t="str">
        <f>IF(OR(E998="",E998="!!!"),"",IF(NOT(ISNA(VLOOKUP(E998,E$1:E997,1,FALSE()))),"OLD",IF(AND(E998&lt;&gt;"",E998&lt;&gt;"!!!"),"NEW","")))</f>
        <v> </v>
      </c>
      <c r="G998" s="23" t="str">
        <f>IF(OR(E998="",E998="!!!"),"",IF(OR(J998=0,AND(J998=1,K998=1),AND(J998=1,I998="SBJ"),AND(J998=1,I998=0)),"?IN_FOCUS",IF(J998&lt;=2,"?ACTIVATED",IF(J998&lt;&gt;"","?FAMILIAR",IF(F998="NEW",IF(ISNA(VLOOKUP(E998,#REF!,1,FALSE())),"?TYPE_IDENTIFIABLE","?REFERENTIAL"),"_")))))</f>
        <v> </v>
      </c>
      <c r="H998" s="24" t="str">
        <f>IF(J998&lt;&gt;1,"",IF(I998="SBJ","CB","?"))</f>
        <v> </v>
      </c>
      <c r="I998" s="25" t="str">
        <f>IF(OR(E998="",E998="!!!",F998="NEW"),"",INDEX(B997:B$2,-1+SUMPRODUCT(MAX(ROW(E997:E$2)*(E998=E997:E$2)))))</f>
        <v> </v>
      </c>
      <c r="J998" s="25" t="str">
        <f>IF(OR(E998="",E998="!!!",F998="NEW"),"",COUNTBLANK(OFFSET(A$1,,,SUMPRODUCT(MAX(ROW(E$2:E998)*(E998=E$2:E998)))))-COUNTBLANK(OFFSET(A$1,,,SUMPRODUCT(MAX(ROW(E$1:E997)*(E2=E$1:E997))))))</f>
        <v> </v>
      </c>
      <c r="K998" s="25" t="str">
        <f>IF(OR(E998="",E998="!!!",F998="NEW"),"",INDEX(J$1:J997,SUMPRODUCT(MAX(ROW(E$1:E997)*(E998=E$1:E997)))))</f>
        <v> </v>
      </c>
      <c r="L998" s="26"/>
    </row>
    <row r="999" spans="1:12">
      <c r="A999" s="20" t="s">
        <v>904</v>
      </c>
      <c r="E999" s="21">
        <f>IF(D999="?OLD","!!!","")</f>
        <v/>
      </c>
      <c r="F999" s="22" t="str">
        <f>IF(OR(E999="",E999="!!!"),"",IF(NOT(ISNA(VLOOKUP(E999,E$1:E998,1,FALSE()))),"OLD",IF(AND(E999&lt;&gt;"",E999&lt;&gt;"!!!"),"NEW","")))</f>
        <v> </v>
      </c>
      <c r="G999" s="23" t="str">
        <f>IF(OR(E999="",E999="!!!"),"",IF(OR(J999=0,AND(J999=1,K999=1),AND(J999=1,I999="SBJ"),AND(J999=1,I999=0)),"?IN_FOCUS",IF(J999&lt;=2,"?ACTIVATED",IF(J999&lt;&gt;"","?FAMILIAR",IF(F999="NEW",IF(ISNA(VLOOKUP(E999,#REF!,1,FALSE())),"?TYPE_IDENTIFIABLE","?REFERENTIAL"),"_")))))</f>
        <v> </v>
      </c>
      <c r="H999" s="24" t="str">
        <f>IF(J999&lt;&gt;1,"",IF(I999="SBJ","CB","?"))</f>
        <v> </v>
      </c>
      <c r="I999" s="25" t="str">
        <f>IF(OR(E999="",E999="!!!",F999="NEW"),"",INDEX(B998:B$2,-1+SUMPRODUCT(MAX(ROW(E998:E$2)*(E999=E998:E$2)))))</f>
        <v> </v>
      </c>
      <c r="J999" s="25" t="str">
        <f>IF(OR(E999="",E999="!!!",F999="NEW"),"",COUNTBLANK(OFFSET(A$1,,,SUMPRODUCT(MAX(ROW(E$2:E999)*(E999=E$2:E999)))))-COUNTBLANK(OFFSET(A$1,,,SUMPRODUCT(MAX(ROW(E$1:E998)*(E2=E$1:E998))))))</f>
        <v> </v>
      </c>
      <c r="K999" s="25" t="str">
        <f>IF(OR(E999="",E999="!!!",F999="NEW"),"",INDEX(J$1:J998,SUMPRODUCT(MAX(ROW(E$1:E998)*(E999=E$1:E998)))))</f>
        <v> </v>
      </c>
      <c r="L999" s="26"/>
    </row>
    <row r="1000" spans="1:12">
      <c r="A1000" s="20" t="s">
        <v>618</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1004</v>
      </c>
      <c r="B1001" s="27" t="s">
        <v>606</v>
      </c>
      <c r="C1001" s="27" t="s">
        <v>607</v>
      </c>
      <c r="D1001" s="27" t="s">
        <v>608</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t="s">
        <v>617</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t="s">
        <v>759</v>
      </c>
      <c r="E1003" s="21">
        <f>IF(D1003="?OLD","!!!","")</f>
        <v/>
      </c>
      <c r="F1003" s="22" t="str">
        <f>IF(OR(E1003="",E1003="!!!"),"",IF(NOT(ISNA(VLOOKUP(E1003,E$1:E1002,1,FALSE()))),"OLD",IF(AND(E1003&lt;&gt;"",E1003&lt;&gt;"!!!"),"NEW","")))</f>
        <v> </v>
      </c>
      <c r="G1003" s="23" t="str">
        <f>IF(OR(E1003="",E1003="!!!"),"",IF(OR(J1003=0,AND(J1003=1,K1003=1),AND(J1003=1,I1003="SBJ"),AND(J1003=1,I1003=0)),"?IN_FOCUS",IF(J1003&lt;=2,"?ACTIVATED",IF(J1003&lt;&gt;"","?FAMILIAR",IF(F1003="NEW",IF(ISNA(VLOOKUP(E1003,#REF!,1,FALSE())),"?TYPE_IDENTIFIABLE","?REFERENTIAL"),"_")))))</f>
        <v> </v>
      </c>
      <c r="H1003" s="24" t="str">
        <f>IF(J1003&lt;&gt;1,"",IF(I1003="SBJ","CB","?"))</f>
        <v> </v>
      </c>
      <c r="I1003" s="25" t="str">
        <f>IF(OR(E1003="",E1003="!!!",F1003="NEW"),"",INDEX(B1002:B$2,-1+SUMPRODUCT(MAX(ROW(E1002:E$2)*(E1003=E1002:E$2)))))</f>
        <v> </v>
      </c>
      <c r="J1003" s="25" t="str">
        <f>IF(OR(E1003="",E1003="!!!",F1003="NEW"),"",COUNTBLANK(OFFSET(A$1,,,SUMPRODUCT(MAX(ROW(E$2:E1003)*(E1003=E$2:E1003)))))-COUNTBLANK(OFFSET(A$1,,,SUMPRODUCT(MAX(ROW(E$1:E1002)*(E2=E$1:E1002))))))</f>
        <v> </v>
      </c>
      <c r="K1003" s="25" t="str">
        <f>IF(OR(E1003="",E1003="!!!",F1003="NEW"),"",INDEX(J$1:J1002,SUMPRODUCT(MAX(ROW(E$1:E1002)*(E1003=E$1:E1002)))))</f>
        <v> </v>
      </c>
      <c r="L1003" s="26"/>
    </row>
    <row r="1004" spans="1:12">
      <c r="A1004" s="20" t="s">
        <v>1005</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643</v>
      </c>
      <c r="B1005" s="27" t="s">
        <v>619</v>
      </c>
      <c r="C1005" s="27" t="s">
        <v>631</v>
      </c>
      <c r="D1005" s="27" t="s">
        <v>608</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872</v>
      </c>
      <c r="B1006" s="27" t="s">
        <v>657</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1081</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t="s">
        <v>633</v>
      </c>
      <c r="E1008" s="21">
        <f>IF(D1008="?OLD","!!!","")</f>
        <v/>
      </c>
      <c r="F1008" s="22" t="str">
        <f>IF(OR(E1008="",E1008="!!!"),"",IF(NOT(ISNA(VLOOKUP(E1008,E$1:E1007,1,FALSE()))),"OLD",IF(AND(E1008&lt;&gt;"",E1008&lt;&gt;"!!!"),"NEW","")))</f>
        <v> </v>
      </c>
      <c r="G1008" s="23" t="str">
        <f>IF(OR(E1008="",E1008="!!!"),"",IF(OR(J1008=0,AND(J1008=1,K1008=1),AND(J1008=1,I1008="SBJ"),AND(J1008=1,I1008=0)),"?IN_FOCUS",IF(J1008&lt;=2,"?ACTIVATED",IF(J1008&lt;&gt;"","?FAMILIAR",IF(F1008="NEW",IF(ISNA(VLOOKUP(E1008,#REF!,1,FALSE())),"?TYPE_IDENTIFIABLE","?REFERENTIAL"),"_")))))</f>
        <v> </v>
      </c>
      <c r="H1008" s="24" t="str">
        <f>IF(J1008&lt;&gt;1,"",IF(I1008="SBJ","CB","?"))</f>
        <v> </v>
      </c>
      <c r="I1008" s="25" t="str">
        <f>IF(OR(E1008="",E1008="!!!",F1008="NEW"),"",INDEX(B1007:B$2,-1+SUMPRODUCT(MAX(ROW(E1007:E$2)*(E1008=E1007:E$2)))))</f>
        <v> </v>
      </c>
      <c r="J1008" s="25" t="str">
        <f>IF(OR(E1008="",E1008="!!!",F1008="NEW"),"",COUNTBLANK(OFFSET(A$1,,,SUMPRODUCT(MAX(ROW(E$2:E1008)*(E1008=E$2:E1008)))))-COUNTBLANK(OFFSET(A$1,,,SUMPRODUCT(MAX(ROW(E$1:E1007)*(E2=E$1:E1007))))))</f>
        <v> </v>
      </c>
      <c r="K1008" s="25" t="str">
        <f>IF(OR(E1008="",E1008="!!!",F1008="NEW"),"",INDEX(J$1:J1007,SUMPRODUCT(MAX(ROW(E$1:E1007)*(E1008=E$1:E1007)))))</f>
        <v> </v>
      </c>
      <c r="L1008" s="26"/>
    </row>
    <row r="1009" spans="1:12">
      <c r="A1009" s="20"/>
    </row>
    <row r="1010" spans="1:12">
      <c r="A1010" s="20" t="s">
        <v>1082</v>
      </c>
    </row>
    <row r="1011" spans="1:12">
      <c r="A1011" s="20" t="s">
        <v>933</v>
      </c>
      <c r="B1011" s="27" t="s">
        <v>636</v>
      </c>
      <c r="C1011" s="27" t="s">
        <v>637</v>
      </c>
      <c r="D1011" s="27" t="s">
        <v>608</v>
      </c>
      <c r="E1011" s="21">
        <f>IF(D1011="?OLD","!!!","")</f>
        <v/>
      </c>
      <c r="F1011" s="22" t="str">
        <f>IF(OR(E1011="",E1011="!!!"),"",IF(NOT(ISNA(VLOOKUP(E1011,E$1:E1010,1,FALSE()))),"OLD",IF(AND(E1011&lt;&gt;"",E1011&lt;&gt;"!!!"),"NEW","")))</f>
        <v> </v>
      </c>
      <c r="G1011" s="23" t="str">
        <f>IF(OR(E1011="",E1011="!!!"),"",IF(OR(J1011=0,AND(J1011=1,K1011=1),AND(J1011=1,I1011="SBJ"),AND(J1011=1,I1011=0)),"?IN_FOCUS",IF(J1011&lt;=2,"?ACTIVATED",IF(J1011&lt;&gt;"","?FAMILIAR",IF(F1011="NEW",IF(ISNA(VLOOKUP(E1011,#REF!,1,FALSE())),"?TYPE_IDENTIFIABLE","?REFERENTIAL"),"_")))))</f>
        <v> </v>
      </c>
      <c r="H1011" s="24" t="str">
        <f>IF(J1011&lt;&gt;1,"",IF(I1011="SBJ","CB","?"))</f>
        <v> </v>
      </c>
      <c r="I1011" s="25" t="str">
        <f>IF(OR(E1011="",E1011="!!!",F1011="NEW"),"",INDEX(B1010:B$2,-1+SUMPRODUCT(MAX(ROW(E1010:E$2)*(E1011=E1010:E$2)))))</f>
        <v> </v>
      </c>
      <c r="J1011" s="25" t="str">
        <f>IF(OR(E1011="",E1011="!!!",F1011="NEW"),"",COUNTBLANK(OFFSET(A$1,,,SUMPRODUCT(MAX(ROW(E$2:E1011)*(E1011=E$2:E1011)))))-COUNTBLANK(OFFSET(A$1,,,SUMPRODUCT(MAX(ROW(E$1:E1010)*(E2=E$1:E1010))))))</f>
        <v> </v>
      </c>
      <c r="K1011" s="25" t="str">
        <f>IF(OR(E1011="",E1011="!!!",F1011="NEW"),"",INDEX(J$1:J1010,SUMPRODUCT(MAX(ROW(E$1:E1010)*(E1011=E$1:E1010)))))</f>
        <v> </v>
      </c>
      <c r="L1011" s="26"/>
    </row>
    <row r="1012" spans="1:12">
      <c r="A1012" s="20" t="s">
        <v>612</v>
      </c>
      <c r="E1012" s="21">
        <f>IF(D1012="?OLD","!!!","")</f>
        <v/>
      </c>
      <c r="F1012" s="22" t="str">
        <f>IF(OR(E1012="",E1012="!!!"),"",IF(NOT(ISNA(VLOOKUP(E1012,E$1:E1011,1,FALSE()))),"OLD",IF(AND(E1012&lt;&gt;"",E1012&lt;&gt;"!!!"),"NEW","")))</f>
        <v> </v>
      </c>
      <c r="G1012" s="23" t="str">
        <f>IF(OR(E1012="",E1012="!!!"),"",IF(OR(J1012=0,AND(J1012=1,K1012=1),AND(J1012=1,I1012="SBJ"),AND(J1012=1,I1012=0)),"?IN_FOCUS",IF(J1012&lt;=2,"?ACTIVATED",IF(J1012&lt;&gt;"","?FAMILIAR",IF(F1012="NEW",IF(ISNA(VLOOKUP(E1012,#REF!,1,FALSE())),"?TYPE_IDENTIFIABLE","?REFERENTIAL"),"_")))))</f>
        <v> </v>
      </c>
      <c r="H1012" s="24" t="str">
        <f>IF(J1012&lt;&gt;1,"",IF(I1012="SBJ","CB","?"))</f>
        <v> </v>
      </c>
      <c r="I1012" s="25" t="str">
        <f>IF(OR(E1012="",E1012="!!!",F1012="NEW"),"",INDEX(B1011:B$2,-1+SUMPRODUCT(MAX(ROW(E1011:E$2)*(E1012=E1011:E$2)))))</f>
        <v> </v>
      </c>
      <c r="J1012" s="25" t="str">
        <f>IF(OR(E1012="",E1012="!!!",F1012="NEW"),"",COUNTBLANK(OFFSET(A$1,,,SUMPRODUCT(MAX(ROW(E$2:E1012)*(E1012=E$2:E1012)))))-COUNTBLANK(OFFSET(A$1,,,SUMPRODUCT(MAX(ROW(E$1:E1011)*(E2=E$1:E1011))))))</f>
        <v> </v>
      </c>
      <c r="K1012" s="25" t="str">
        <f>IF(OR(E1012="",E1012="!!!",F1012="NEW"),"",INDEX(J$1:J1011,SUMPRODUCT(MAX(ROW(E$1:E1011)*(E1012=E$1:E1011)))))</f>
        <v> </v>
      </c>
      <c r="L1012" s="26"/>
    </row>
    <row r="1013" spans="1:12">
      <c r="A1013" s="20" t="s">
        <v>1083</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617</v>
      </c>
      <c r="E1014" s="21">
        <f>IF(D1014="?OLD","!!!","")</f>
        <v/>
      </c>
      <c r="F1014" s="22" t="str">
        <f>IF(OR(E1014="",E1014="!!!"),"",IF(NOT(ISNA(VLOOKUP(E1014,E$1:E1013,1,FALSE()))),"OLD",IF(AND(E1014&lt;&gt;"",E1014&lt;&gt;"!!!"),"NEW","")))</f>
        <v> </v>
      </c>
      <c r="G1014" s="23" t="str">
        <f>IF(OR(E1014="",E1014="!!!"),"",IF(OR(J1014=0,AND(J1014=1,K1014=1),AND(J1014=1,I1014="SBJ"),AND(J1014=1,I1014=0)),"?IN_FOCUS",IF(J1014&lt;=2,"?ACTIVATED",IF(J1014&lt;&gt;"","?FAMILIAR",IF(F1014="NEW",IF(ISNA(VLOOKUP(E1014,#REF!,1,FALSE())),"?TYPE_IDENTIFIABLE","?REFERENTIAL"),"_")))))</f>
        <v> </v>
      </c>
      <c r="H1014" s="24" t="str">
        <f>IF(J1014&lt;&gt;1,"",IF(I1014="SBJ","CB","?"))</f>
        <v> </v>
      </c>
      <c r="I1014" s="25" t="str">
        <f>IF(OR(E1014="",E1014="!!!",F1014="NEW"),"",INDEX(B1013:B$2,-1+SUMPRODUCT(MAX(ROW(E1013:E$2)*(E1014=E1013:E$2)))))</f>
        <v> </v>
      </c>
      <c r="J1014" s="25" t="str">
        <f>IF(OR(E1014="",E1014="!!!",F1014="NEW"),"",COUNTBLANK(OFFSET(A$1,,,SUMPRODUCT(MAX(ROW(E$2:E1014)*(E1014=E$2:E1014)))))-COUNTBLANK(OFFSET(A$1,,,SUMPRODUCT(MAX(ROW(E$1:E1013)*(E2=E$1:E1013))))))</f>
        <v> </v>
      </c>
      <c r="K1014" s="25" t="str">
        <f>IF(OR(E1014="",E1014="!!!",F1014="NEW"),"",INDEX(J$1:J1013,SUMPRODUCT(MAX(ROW(E$1:E1013)*(E1014=E$1:E1013)))))</f>
        <v> </v>
      </c>
      <c r="L1014" s="26"/>
    </row>
    <row r="1015" spans="1:12">
      <c r="A1015" s="20" t="s">
        <v>736</v>
      </c>
      <c r="E1015" s="21">
        <f>IF(D1015="?OLD","!!!","")</f>
        <v/>
      </c>
      <c r="F1015" s="22" t="str">
        <f>IF(OR(E1015="",E1015="!!!"),"",IF(NOT(ISNA(VLOOKUP(E1015,E$1:E1014,1,FALSE()))),"OLD",IF(AND(E1015&lt;&gt;"",E1015&lt;&gt;"!!!"),"NEW","")))</f>
        <v> </v>
      </c>
      <c r="G1015" s="23" t="str">
        <f>IF(OR(E1015="",E1015="!!!"),"",IF(OR(J1015=0,AND(J1015=1,K1015=1),AND(J1015=1,I1015="SBJ"),AND(J1015=1,I1015=0)),"?IN_FOCUS",IF(J1015&lt;=2,"?ACTIVATED",IF(J1015&lt;&gt;"","?FAMILIAR",IF(F1015="NEW",IF(ISNA(VLOOKUP(E1015,#REF!,1,FALSE())),"?TYPE_IDENTIFIABLE","?REFERENTIAL"),"_")))))</f>
        <v> </v>
      </c>
      <c r="H1015" s="24" t="str">
        <f>IF(J1015&lt;&gt;1,"",IF(I1015="SBJ","CB","?"))</f>
        <v> </v>
      </c>
      <c r="I1015" s="25" t="str">
        <f>IF(OR(E1015="",E1015="!!!",F1015="NEW"),"",INDEX(B1014:B$2,-1+SUMPRODUCT(MAX(ROW(E1014:E$2)*(E1015=E1014:E$2)))))</f>
        <v> </v>
      </c>
      <c r="J1015" s="25" t="str">
        <f>IF(OR(E1015="",E1015="!!!",F1015="NEW"),"",COUNTBLANK(OFFSET(A$1,,,SUMPRODUCT(MAX(ROW(E$2:E1015)*(E1015=E$2:E1015)))))-COUNTBLANK(OFFSET(A$1,,,SUMPRODUCT(MAX(ROW(E$1:E1014)*(E2=E$1:E1014))))))</f>
        <v> </v>
      </c>
      <c r="K1015" s="25" t="str">
        <f>IF(OR(E1015="",E1015="!!!",F1015="NEW"),"",INDEX(J$1:J1014,SUMPRODUCT(MAX(ROW(E$1:E1014)*(E1015=E$1:E1014)))))</f>
        <v> </v>
      </c>
      <c r="L1015" s="26"/>
    </row>
    <row r="1016" spans="1:12">
      <c r="A1016" s="20" t="s">
        <v>700</v>
      </c>
      <c r="B1016" s="27" t="s">
        <v>619</v>
      </c>
      <c r="C1016" s="27" t="s">
        <v>626</v>
      </c>
      <c r="E1016" s="21">
        <f>IF(D1016="?OLD","!!!","")</f>
        <v/>
      </c>
      <c r="F1016" s="22" t="str">
        <f>IF(OR(E1016="",E1016="!!!"),"",IF(NOT(ISNA(VLOOKUP(E1016,E$1:E1015,1,FALSE()))),"OLD",IF(AND(E1016&lt;&gt;"",E1016&lt;&gt;"!!!"),"NEW","")))</f>
        <v> </v>
      </c>
      <c r="G1016" s="23" t="str">
        <f>IF(OR(E1016="",E1016="!!!"),"",IF(OR(J1016=0,AND(J1016=1,K1016=1),AND(J1016=1,I1016="SBJ"),AND(J1016=1,I1016=0)),"?IN_FOCUS",IF(J1016&lt;=2,"?ACTIVATED",IF(J1016&lt;&gt;"","?FAMILIAR",IF(F1016="NEW",IF(ISNA(VLOOKUP(E1016,#REF!,1,FALSE())),"?TYPE_IDENTIFIABLE","?REFERENTIAL"),"_")))))</f>
        <v> </v>
      </c>
      <c r="H1016" s="24" t="str">
        <f>IF(J1016&lt;&gt;1,"",IF(I1016="SBJ","CB","?"))</f>
        <v> </v>
      </c>
      <c r="I1016" s="25" t="str">
        <f>IF(OR(E1016="",E1016="!!!",F1016="NEW"),"",INDEX(B1015:B$2,-1+SUMPRODUCT(MAX(ROW(E1015:E$2)*(E1016=E1015:E$2)))))</f>
        <v> </v>
      </c>
      <c r="J1016" s="25" t="str">
        <f>IF(OR(E1016="",E1016="!!!",F1016="NEW"),"",COUNTBLANK(OFFSET(A$1,,,SUMPRODUCT(MAX(ROW(E$2:E1016)*(E1016=E$2:E1016)))))-COUNTBLANK(OFFSET(A$1,,,SUMPRODUCT(MAX(ROW(E$1:E1015)*(E2=E$1:E1015))))))</f>
        <v> </v>
      </c>
      <c r="K1016" s="25" t="str">
        <f>IF(OR(E1016="",E1016="!!!",F1016="NEW"),"",INDEX(J$1:J1015,SUMPRODUCT(MAX(ROW(E$1:E1015)*(E1016=E$1:E1015)))))</f>
        <v> </v>
      </c>
      <c r="L1016" s="26"/>
    </row>
    <row r="1017" spans="1:12">
      <c r="A1017" s="20" t="s">
        <v>1084</v>
      </c>
      <c r="B1017" s="27" t="s">
        <v>657</v>
      </c>
      <c r="C1017" s="27" t="s">
        <v>622</v>
      </c>
      <c r="E1017" s="21">
        <f>IF(D1017="?OLD","!!!","")</f>
        <v/>
      </c>
      <c r="F1017" s="22" t="str">
        <f>IF(OR(E1017="",E1017="!!!"),"",IF(NOT(ISNA(VLOOKUP(E1017,E$1:E1016,1,FALSE()))),"OLD",IF(AND(E1017&lt;&gt;"",E1017&lt;&gt;"!!!"),"NEW","")))</f>
        <v> </v>
      </c>
      <c r="G1017" s="23" t="str">
        <f>IF(OR(E1017="",E1017="!!!"),"",IF(OR(J1017=0,AND(J1017=1,K1017=1),AND(J1017=1,I1017="SBJ"),AND(J1017=1,I1017=0)),"?IN_FOCUS",IF(J1017&lt;=2,"?ACTIVATED",IF(J1017&lt;&gt;"","?FAMILIAR",IF(F1017="NEW",IF(ISNA(VLOOKUP(E1017,#REF!,1,FALSE())),"?TYPE_IDENTIFIABLE","?REFERENTIAL"),"_")))))</f>
        <v> </v>
      </c>
      <c r="H1017" s="24" t="str">
        <f>IF(J1017&lt;&gt;1,"",IF(I1017="SBJ","CB","?"))</f>
        <v> </v>
      </c>
      <c r="I1017" s="25" t="str">
        <f>IF(OR(E1017="",E1017="!!!",F1017="NEW"),"",INDEX(B1016:B$2,-1+SUMPRODUCT(MAX(ROW(E1016:E$2)*(E1017=E1016:E$2)))))</f>
        <v> </v>
      </c>
      <c r="J1017" s="25" t="str">
        <f>IF(OR(E1017="",E1017="!!!",F1017="NEW"),"",COUNTBLANK(OFFSET(A$1,,,SUMPRODUCT(MAX(ROW(E$2:E1017)*(E1017=E$2:E1017)))))-COUNTBLANK(OFFSET(A$1,,,SUMPRODUCT(MAX(ROW(E$1:E1016)*(E2=E$1:E1016))))))</f>
        <v> </v>
      </c>
      <c r="K1017" s="25" t="str">
        <f>IF(OR(E1017="",E1017="!!!",F1017="NEW"),"",INDEX(J$1:J1016,SUMPRODUCT(MAX(ROW(E$1:E1016)*(E1017=E$1:E1016)))))</f>
        <v> </v>
      </c>
      <c r="L1017" s="26"/>
    </row>
    <row r="1018" spans="1:12">
      <c r="A1018" s="20" t="s">
        <v>759</v>
      </c>
      <c r="E1018" s="21">
        <f>IF(D1018="?OLD","!!!","")</f>
        <v/>
      </c>
      <c r="F1018" s="22" t="str">
        <f>IF(OR(E1018="",E1018="!!!"),"",IF(NOT(ISNA(VLOOKUP(E1018,E$1:E1017,1,FALSE()))),"OLD",IF(AND(E1018&lt;&gt;"",E1018&lt;&gt;"!!!"),"NEW","")))</f>
        <v> </v>
      </c>
      <c r="G1018" s="23" t="str">
        <f>IF(OR(E1018="",E1018="!!!"),"",IF(OR(J1018=0,AND(J1018=1,K1018=1),AND(J1018=1,I1018="SBJ"),AND(J1018=1,I1018=0)),"?IN_FOCUS",IF(J1018&lt;=2,"?ACTIVATED",IF(J1018&lt;&gt;"","?FAMILIAR",IF(F1018="NEW",IF(ISNA(VLOOKUP(E1018,#REF!,1,FALSE())),"?TYPE_IDENTIFIABLE","?REFERENTIAL"),"_")))))</f>
        <v> </v>
      </c>
      <c r="H1018" s="24" t="str">
        <f>IF(J1018&lt;&gt;1,"",IF(I1018="SBJ","CB","?"))</f>
        <v> </v>
      </c>
      <c r="I1018" s="25" t="str">
        <f>IF(OR(E1018="",E1018="!!!",F1018="NEW"),"",INDEX(B1017:B$2,-1+SUMPRODUCT(MAX(ROW(E1017:E$2)*(E1018=E1017:E$2)))))</f>
        <v> </v>
      </c>
      <c r="J1018" s="25" t="str">
        <f>IF(OR(E1018="",E1018="!!!",F1018="NEW"),"",COUNTBLANK(OFFSET(A$1,,,SUMPRODUCT(MAX(ROW(E$2:E1018)*(E1018=E$2:E1018)))))-COUNTBLANK(OFFSET(A$1,,,SUMPRODUCT(MAX(ROW(E$1:E1017)*(E2=E$1:E1017))))))</f>
        <v> </v>
      </c>
      <c r="K1018" s="25" t="str">
        <f>IF(OR(E1018="",E1018="!!!",F1018="NEW"),"",INDEX(J$1:J1017,SUMPRODUCT(MAX(ROW(E$1:E1017)*(E1018=E$1:E1017)))))</f>
        <v> </v>
      </c>
      <c r="L1018" s="26"/>
    </row>
    <row r="1019" spans="1:12">
      <c r="A1019" s="20" t="s">
        <v>1085</v>
      </c>
      <c r="B1019" s="27" t="s">
        <v>611</v>
      </c>
      <c r="C1019" s="27" t="s">
        <v>622</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644</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1086</v>
      </c>
      <c r="B1021" s="27" t="s">
        <v>625</v>
      </c>
      <c r="C1021" s="27" t="s">
        <v>622</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t="s">
        <v>629</v>
      </c>
      <c r="E1022" s="21">
        <f>IF(D1022="?OLD","!!!","")</f>
        <v/>
      </c>
      <c r="F1022" s="22" t="str">
        <f>IF(OR(E1022="",E1022="!!!"),"",IF(NOT(ISNA(VLOOKUP(E1022,E$1:E1021,1,FALSE()))),"OLD",IF(AND(E1022&lt;&gt;"",E1022&lt;&gt;"!!!"),"NEW","")))</f>
        <v> </v>
      </c>
      <c r="G1022" s="23" t="str">
        <f>IF(OR(E1022="",E1022="!!!"),"",IF(OR(J1022=0,AND(J1022=1,K1022=1),AND(J1022=1,I1022="SBJ"),AND(J1022=1,I1022=0)),"?IN_FOCUS",IF(J1022&lt;=2,"?ACTIVATED",IF(J1022&lt;&gt;"","?FAMILIAR",IF(F1022="NEW",IF(ISNA(VLOOKUP(E1022,#REF!,1,FALSE())),"?TYPE_IDENTIFIABLE","?REFERENTIAL"),"_")))))</f>
        <v> </v>
      </c>
      <c r="H1022" s="24" t="str">
        <f>IF(J1022&lt;&gt;1,"",IF(I1022="SBJ","CB","?"))</f>
        <v> </v>
      </c>
      <c r="I1022" s="25" t="str">
        <f>IF(OR(E1022="",E1022="!!!",F1022="NEW"),"",INDEX(B1021:B$2,-1+SUMPRODUCT(MAX(ROW(E1021:E$2)*(E1022=E1021:E$2)))))</f>
        <v> </v>
      </c>
      <c r="J1022" s="25" t="str">
        <f>IF(OR(E1022="",E1022="!!!",F1022="NEW"),"",COUNTBLANK(OFFSET(A$1,,,SUMPRODUCT(MAX(ROW(E$2:E1022)*(E1022=E$2:E1022)))))-COUNTBLANK(OFFSET(A$1,,,SUMPRODUCT(MAX(ROW(E$1:E1021)*(E2=E$1:E1021))))))</f>
        <v> </v>
      </c>
      <c r="K1022" s="25" t="str">
        <f>IF(OR(E1022="",E1022="!!!",F1022="NEW"),"",INDEX(J$1:J1021,SUMPRODUCT(MAX(ROW(E$1:E1021)*(E1022=E$1:E1021)))))</f>
        <v> </v>
      </c>
      <c r="L1022" s="26"/>
    </row>
    <row r="1023" spans="1:12">
      <c r="A1023" s="20" t="s">
        <v>633</v>
      </c>
      <c r="E1023" s="21">
        <f>IF(D1023="?OLD","!!!","")</f>
        <v/>
      </c>
      <c r="F1023" s="22" t="str">
        <f>IF(OR(E1023="",E1023="!!!"),"",IF(NOT(ISNA(VLOOKUP(E1023,E$1:E1022,1,FALSE()))),"OLD",IF(AND(E1023&lt;&gt;"",E1023&lt;&gt;"!!!"),"NEW","")))</f>
        <v> </v>
      </c>
      <c r="G1023" s="23" t="str">
        <f>IF(OR(E1023="",E1023="!!!"),"",IF(OR(J1023=0,AND(J1023=1,K1023=1),AND(J1023=1,I1023="SBJ"),AND(J1023=1,I1023=0)),"?IN_FOCUS",IF(J1023&lt;=2,"?ACTIVATED",IF(J1023&lt;&gt;"","?FAMILIAR",IF(F1023="NEW",IF(ISNA(VLOOKUP(E1023,#REF!,1,FALSE())),"?TYPE_IDENTIFIABLE","?REFERENTIAL"),"_")))))</f>
        <v> </v>
      </c>
      <c r="H1023" s="24" t="str">
        <f>IF(J1023&lt;&gt;1,"",IF(I1023="SBJ","CB","?"))</f>
        <v> </v>
      </c>
      <c r="I1023" s="25" t="str">
        <f>IF(OR(E1023="",E1023="!!!",F1023="NEW"),"",INDEX(B1022:B$2,-1+SUMPRODUCT(MAX(ROW(E1022:E$2)*(E1023=E1022:E$2)))))</f>
        <v> </v>
      </c>
      <c r="J1023" s="25" t="str">
        <f>IF(OR(E1023="",E1023="!!!",F1023="NEW"),"",COUNTBLANK(OFFSET(A$1,,,SUMPRODUCT(MAX(ROW(E$2:E1023)*(E1023=E$2:E1023)))))-COUNTBLANK(OFFSET(A$1,,,SUMPRODUCT(MAX(ROW(E$1:E1022)*(E2=E$1:E1022))))))</f>
        <v> </v>
      </c>
      <c r="K1023" s="25" t="str">
        <f>IF(OR(E1023="",E1023="!!!",F1023="NEW"),"",INDEX(J$1:J1022,SUMPRODUCT(MAX(ROW(E$1:E1022)*(E1023=E$1:E1022)))))</f>
        <v> </v>
      </c>
      <c r="L1023" s="26"/>
    </row>
    <row r="1024" spans="1:12">
      <c r="A1024" s="20"/>
    </row>
    <row r="1025" spans="1:12">
      <c r="A1025" s="20" t="s">
        <v>1087</v>
      </c>
    </row>
    <row r="1026" spans="1:12">
      <c r="A1026" s="20" t="s">
        <v>1030</v>
      </c>
      <c r="E1026" s="21">
        <f>IF(D1026="?OLD","!!!","")</f>
        <v/>
      </c>
      <c r="F1026" s="22" t="str">
        <f>IF(OR(E1026="",E1026="!!!"),"",IF(NOT(ISNA(VLOOKUP(E1026,E$1:E1025,1,FALSE()))),"OLD",IF(AND(E1026&lt;&gt;"",E1026&lt;&gt;"!!!"),"NEW","")))</f>
        <v> </v>
      </c>
      <c r="G1026" s="23" t="str">
        <f>IF(OR(E1026="",E1026="!!!"),"",IF(OR(J1026=0,AND(J1026=1,K1026=1),AND(J1026=1,I1026="SBJ"),AND(J1026=1,I1026=0)),"?IN_FOCUS",IF(J1026&lt;=2,"?ACTIVATED",IF(J1026&lt;&gt;"","?FAMILIAR",IF(F1026="NEW",IF(ISNA(VLOOKUP(E1026,#REF!,1,FALSE())),"?TYPE_IDENTIFIABLE","?REFERENTIAL"),"_")))))</f>
        <v> </v>
      </c>
      <c r="H1026" s="24" t="str">
        <f>IF(J1026&lt;&gt;1,"",IF(I1026="SBJ","CB","?"))</f>
        <v> </v>
      </c>
      <c r="I1026" s="25" t="str">
        <f>IF(OR(E1026="",E1026="!!!",F1026="NEW"),"",INDEX(B1025:B$2,-1+SUMPRODUCT(MAX(ROW(E1025:E$2)*(E1026=E1025:E$2)))))</f>
        <v> </v>
      </c>
      <c r="J1026" s="25" t="str">
        <f>IF(OR(E1026="",E1026="!!!",F1026="NEW"),"",COUNTBLANK(OFFSET(A$1,,,SUMPRODUCT(MAX(ROW(E$2:E1026)*(E1026=E$2:E1026)))))-COUNTBLANK(OFFSET(A$1,,,SUMPRODUCT(MAX(ROW(E$1:E1025)*(E2=E$1:E1025))))))</f>
        <v> </v>
      </c>
      <c r="K1026" s="25" t="str">
        <f>IF(OR(E1026="",E1026="!!!",F1026="NEW"),"",INDEX(J$1:J1025,SUMPRODUCT(MAX(ROW(E$1:E1025)*(E1026=E$1:E1025)))))</f>
        <v> </v>
      </c>
      <c r="L1026" s="26"/>
    </row>
    <row r="1027" spans="1:12">
      <c r="A1027" s="20" t="s">
        <v>736</v>
      </c>
      <c r="E1027" s="21">
        <f>IF(D1027="?OLD","!!!","")</f>
        <v/>
      </c>
      <c r="F1027" s="22" t="str">
        <f>IF(OR(E1027="",E1027="!!!"),"",IF(NOT(ISNA(VLOOKUP(E1027,E$1:E1026,1,FALSE()))),"OLD",IF(AND(E1027&lt;&gt;"",E1027&lt;&gt;"!!!"),"NEW","")))</f>
        <v> </v>
      </c>
      <c r="G1027" s="23" t="str">
        <f>IF(OR(E1027="",E1027="!!!"),"",IF(OR(J1027=0,AND(J1027=1,K1027=1),AND(J1027=1,I1027="SBJ"),AND(J1027=1,I1027=0)),"?IN_FOCUS",IF(J1027&lt;=2,"?ACTIVATED",IF(J1027&lt;&gt;"","?FAMILIAR",IF(F1027="NEW",IF(ISNA(VLOOKUP(E1027,#REF!,1,FALSE())),"?TYPE_IDENTIFIABLE","?REFERENTIAL"),"_")))))</f>
        <v> </v>
      </c>
      <c r="H1027" s="24" t="str">
        <f>IF(J1027&lt;&gt;1,"",IF(I1027="SBJ","CB","?"))</f>
        <v> </v>
      </c>
      <c r="I1027" s="25" t="str">
        <f>IF(OR(E1027="",E1027="!!!",F1027="NEW"),"",INDEX(B1026:B$2,-1+SUMPRODUCT(MAX(ROW(E1026:E$2)*(E1027=E1026:E$2)))))</f>
        <v> </v>
      </c>
      <c r="J1027" s="25" t="str">
        <f>IF(OR(E1027="",E1027="!!!",F1027="NEW"),"",COUNTBLANK(OFFSET(A$1,,,SUMPRODUCT(MAX(ROW(E$2:E1027)*(E1027=E$2:E1027)))))-COUNTBLANK(OFFSET(A$1,,,SUMPRODUCT(MAX(ROW(E$1:E1026)*(E2=E$1:E1026))))))</f>
        <v> </v>
      </c>
      <c r="K1027" s="25" t="str">
        <f>IF(OR(E1027="",E1027="!!!",F1027="NEW"),"",INDEX(J$1:J1026,SUMPRODUCT(MAX(ROW(E$1:E1026)*(E1027=E$1:E1026)))))</f>
        <v> </v>
      </c>
      <c r="L1027" s="26"/>
    </row>
    <row r="1028" spans="1:12">
      <c r="A1028" s="20" t="s">
        <v>700</v>
      </c>
      <c r="B1028" s="27" t="s">
        <v>636</v>
      </c>
      <c r="C1028" s="27" t="s">
        <v>626</v>
      </c>
      <c r="E1028" s="21">
        <f>IF(D1028="?OLD","!!!","")</f>
        <v/>
      </c>
      <c r="F1028" s="22" t="str">
        <f>IF(OR(E1028="",E1028="!!!"),"",IF(NOT(ISNA(VLOOKUP(E1028,E$1:E1027,1,FALSE()))),"OLD",IF(AND(E1028&lt;&gt;"",E1028&lt;&gt;"!!!"),"NEW","")))</f>
        <v> </v>
      </c>
      <c r="G1028" s="23" t="str">
        <f>IF(OR(E1028="",E1028="!!!"),"",IF(OR(J1028=0,AND(J1028=1,K1028=1),AND(J1028=1,I1028="SBJ"),AND(J1028=1,I1028=0)),"?IN_FOCUS",IF(J1028&lt;=2,"?ACTIVATED",IF(J1028&lt;&gt;"","?FAMILIAR",IF(F1028="NEW",IF(ISNA(VLOOKUP(E1028,#REF!,1,FALSE())),"?TYPE_IDENTIFIABLE","?REFERENTIAL"),"_")))))</f>
        <v> </v>
      </c>
      <c r="H1028" s="24" t="str">
        <f>IF(J1028&lt;&gt;1,"",IF(I1028="SBJ","CB","?"))</f>
        <v> </v>
      </c>
      <c r="I1028" s="25" t="str">
        <f>IF(OR(E1028="",E1028="!!!",F1028="NEW"),"",INDEX(B1027:B$2,-1+SUMPRODUCT(MAX(ROW(E1027:E$2)*(E1028=E1027:E$2)))))</f>
        <v> </v>
      </c>
      <c r="J1028" s="25" t="str">
        <f>IF(OR(E1028="",E1028="!!!",F1028="NEW"),"",COUNTBLANK(OFFSET(A$1,,,SUMPRODUCT(MAX(ROW(E$2:E1028)*(E1028=E$2:E1028)))))-COUNTBLANK(OFFSET(A$1,,,SUMPRODUCT(MAX(ROW(E$1:E1027)*(E2=E$1:E1027))))))</f>
        <v> </v>
      </c>
      <c r="K1028" s="25" t="str">
        <f>IF(OR(E1028="",E1028="!!!",F1028="NEW"),"",INDEX(J$1:J1027,SUMPRODUCT(MAX(ROW(E$1:E1027)*(E1028=E$1:E1027)))))</f>
        <v> </v>
      </c>
      <c r="L1028" s="26"/>
    </row>
    <row r="1029" spans="1:12">
      <c r="A1029" s="20" t="s">
        <v>1088</v>
      </c>
      <c r="B1029" s="27" t="s">
        <v>653</v>
      </c>
      <c r="C1029" s="27" t="s">
        <v>622</v>
      </c>
      <c r="E1029" s="21">
        <f>IF(D1029="?OLD","!!!","")</f>
        <v/>
      </c>
      <c r="F1029" s="22" t="str">
        <f>IF(OR(E1029="",E1029="!!!"),"",IF(NOT(ISNA(VLOOKUP(E1029,E$1:E1028,1,FALSE()))),"OLD",IF(AND(E1029&lt;&gt;"",E1029&lt;&gt;"!!!"),"NEW","")))</f>
        <v> </v>
      </c>
      <c r="G1029" s="23" t="str">
        <f>IF(OR(E1029="",E1029="!!!"),"",IF(OR(J1029=0,AND(J1029=1,K1029=1),AND(J1029=1,I1029="SBJ"),AND(J1029=1,I1029=0)),"?IN_FOCUS",IF(J1029&lt;=2,"?ACTIVATED",IF(J1029&lt;&gt;"","?FAMILIAR",IF(F1029="NEW",IF(ISNA(VLOOKUP(E1029,#REF!,1,FALSE())),"?TYPE_IDENTIFIABLE","?REFERENTIAL"),"_")))))</f>
        <v> </v>
      </c>
      <c r="H1029" s="24" t="str">
        <f>IF(J1029&lt;&gt;1,"",IF(I1029="SBJ","CB","?"))</f>
        <v> </v>
      </c>
      <c r="I1029" s="25" t="str">
        <f>IF(OR(E1029="",E1029="!!!",F1029="NEW"),"",INDEX(B1028:B$2,-1+SUMPRODUCT(MAX(ROW(E1028:E$2)*(E1029=E1028:E$2)))))</f>
        <v> </v>
      </c>
      <c r="J1029" s="25" t="str">
        <f>IF(OR(E1029="",E1029="!!!",F1029="NEW"),"",COUNTBLANK(OFFSET(A$1,,,SUMPRODUCT(MAX(ROW(E$2:E1029)*(E1029=E$2:E1029)))))-COUNTBLANK(OFFSET(A$1,,,SUMPRODUCT(MAX(ROW(E$1:E1028)*(E2=E$1:E1028))))))</f>
        <v> </v>
      </c>
      <c r="K1029" s="25" t="str">
        <f>IF(OR(E1029="",E1029="!!!",F1029="NEW"),"",INDEX(J$1:J1028,SUMPRODUCT(MAX(ROW(E$1:E1028)*(E1029=E$1:E1028)))))</f>
        <v> </v>
      </c>
      <c r="L1029" s="26"/>
    </row>
    <row r="1030" spans="1:12">
      <c r="A1030" s="20" t="s">
        <v>629</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t="s">
        <v>617</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t="s">
        <v>609</v>
      </c>
      <c r="B1032" s="27" t="s">
        <v>619</v>
      </c>
      <c r="C1032" s="27" t="s">
        <v>652</v>
      </c>
      <c r="D1032" s="27" t="s">
        <v>608</v>
      </c>
      <c r="E1032" s="21">
        <f>IF(D1032="?OLD","!!!","")</f>
        <v/>
      </c>
      <c r="F1032" s="22" t="str">
        <f>IF(OR(E1032="",E1032="!!!"),"",IF(NOT(ISNA(VLOOKUP(E1032,E$1:E1031,1,FALSE()))),"OLD",IF(AND(E1032&lt;&gt;"",E1032&lt;&gt;"!!!"),"NEW","")))</f>
        <v> </v>
      </c>
      <c r="G1032" s="23" t="str">
        <f>IF(OR(E1032="",E1032="!!!"),"",IF(OR(J1032=0,AND(J1032=1,K1032=1),AND(J1032=1,I1032="SBJ"),AND(J1032=1,I1032=0)),"?IN_FOCUS",IF(J1032&lt;=2,"?ACTIVATED",IF(J1032&lt;&gt;"","?FAMILIAR",IF(F1032="NEW",IF(ISNA(VLOOKUP(E1032,#REF!,1,FALSE())),"?TYPE_IDENTIFIABLE","?REFERENTIAL"),"_")))))</f>
        <v> </v>
      </c>
      <c r="H1032" s="24" t="str">
        <f>IF(J1032&lt;&gt;1,"",IF(I1032="SBJ","CB","?"))</f>
        <v> </v>
      </c>
      <c r="I1032" s="25" t="str">
        <f>IF(OR(E1032="",E1032="!!!",F1032="NEW"),"",INDEX(B1031:B$2,-1+SUMPRODUCT(MAX(ROW(E1031:E$2)*(E1032=E1031:E$2)))))</f>
        <v> </v>
      </c>
      <c r="J1032" s="25" t="str">
        <f>IF(OR(E1032="",E1032="!!!",F1032="NEW"),"",COUNTBLANK(OFFSET(A$1,,,SUMPRODUCT(MAX(ROW(E$2:E1032)*(E1032=E$2:E1032)))))-COUNTBLANK(OFFSET(A$1,,,SUMPRODUCT(MAX(ROW(E$1:E1031)*(E2=E$1:E1031))))))</f>
        <v> </v>
      </c>
      <c r="K1032" s="25" t="str">
        <f>IF(OR(E1032="",E1032="!!!",F1032="NEW"),"",INDEX(J$1:J1031,SUMPRODUCT(MAX(ROW(E$1:E1031)*(E1032=E$1:E1031)))))</f>
        <v> </v>
      </c>
      <c r="L1032" s="26"/>
    </row>
    <row r="1033" spans="1:12">
      <c r="A1033" s="20" t="s">
        <v>766</v>
      </c>
      <c r="E1033" s="21">
        <f>IF(D1033="?OLD","!!!","")</f>
        <v/>
      </c>
      <c r="F1033" s="22" t="str">
        <f>IF(OR(E1033="",E1033="!!!"),"",IF(NOT(ISNA(VLOOKUP(E1033,E$1:E1032,1,FALSE()))),"OLD",IF(AND(E1033&lt;&gt;"",E1033&lt;&gt;"!!!"),"NEW","")))</f>
        <v> </v>
      </c>
      <c r="G1033" s="23" t="str">
        <f>IF(OR(E1033="",E1033="!!!"),"",IF(OR(J1033=0,AND(J1033=1,K1033=1),AND(J1033=1,I1033="SBJ"),AND(J1033=1,I1033=0)),"?IN_FOCUS",IF(J1033&lt;=2,"?ACTIVATED",IF(J1033&lt;&gt;"","?FAMILIAR",IF(F1033="NEW",IF(ISNA(VLOOKUP(E1033,#REF!,1,FALSE())),"?TYPE_IDENTIFIABLE","?REFERENTIAL"),"_")))))</f>
        <v> </v>
      </c>
      <c r="H1033" s="24" t="str">
        <f>IF(J1033&lt;&gt;1,"",IF(I1033="SBJ","CB","?"))</f>
        <v> </v>
      </c>
      <c r="I1033" s="25" t="str">
        <f>IF(OR(E1033="",E1033="!!!",F1033="NEW"),"",INDEX(B1032:B$2,-1+SUMPRODUCT(MAX(ROW(E1032:E$2)*(E1033=E1032:E$2)))))</f>
        <v> </v>
      </c>
      <c r="J1033" s="25" t="str">
        <f>IF(OR(E1033="",E1033="!!!",F1033="NEW"),"",COUNTBLANK(OFFSET(A$1,,,SUMPRODUCT(MAX(ROW(E$2:E1033)*(E1033=E$2:E1033)))))-COUNTBLANK(OFFSET(A$1,,,SUMPRODUCT(MAX(ROW(E$1:E1032)*(E2=E$1:E1032))))))</f>
        <v> </v>
      </c>
      <c r="K1033" s="25" t="str">
        <f>IF(OR(E1033="",E1033="!!!",F1033="NEW"),"",INDEX(J$1:J1032,SUMPRODUCT(MAX(ROW(E$1:E1032)*(E1033=E$1:E1032)))))</f>
        <v> </v>
      </c>
      <c r="L1033" s="26"/>
    </row>
    <row r="1034" spans="1:12">
      <c r="A1034" s="20" t="s">
        <v>1089</v>
      </c>
      <c r="E1034" s="21">
        <f>IF(D1034="?OLD","!!!","")</f>
        <v/>
      </c>
      <c r="F1034" s="22" t="str">
        <f>IF(OR(E1034="",E1034="!!!"),"",IF(NOT(ISNA(VLOOKUP(E1034,E$1:E1033,1,FALSE()))),"OLD",IF(AND(E1034&lt;&gt;"",E1034&lt;&gt;"!!!"),"NEW","")))</f>
        <v> </v>
      </c>
      <c r="G1034" s="23" t="str">
        <f>IF(OR(E1034="",E1034="!!!"),"",IF(OR(J1034=0,AND(J1034=1,K1034=1),AND(J1034=1,I1034="SBJ"),AND(J1034=1,I1034=0)),"?IN_FOCUS",IF(J1034&lt;=2,"?ACTIVATED",IF(J1034&lt;&gt;"","?FAMILIAR",IF(F1034="NEW",IF(ISNA(VLOOKUP(E1034,#REF!,1,FALSE())),"?TYPE_IDENTIFIABLE","?REFERENTIAL"),"_")))))</f>
        <v> </v>
      </c>
      <c r="H1034" s="24" t="str">
        <f>IF(J1034&lt;&gt;1,"",IF(I1034="SBJ","CB","?"))</f>
        <v> </v>
      </c>
      <c r="I1034" s="25" t="str">
        <f>IF(OR(E1034="",E1034="!!!",F1034="NEW"),"",INDEX(B1033:B$2,-1+SUMPRODUCT(MAX(ROW(E1033:E$2)*(E1034=E1033:E$2)))))</f>
        <v> </v>
      </c>
      <c r="J1034" s="25" t="str">
        <f>IF(OR(E1034="",E1034="!!!",F1034="NEW"),"",COUNTBLANK(OFFSET(A$1,,,SUMPRODUCT(MAX(ROW(E$2:E1034)*(E1034=E$2:E1034)))))-COUNTBLANK(OFFSET(A$1,,,SUMPRODUCT(MAX(ROW(E$1:E1033)*(E2=E$1:E1033))))))</f>
        <v> </v>
      </c>
      <c r="K1034" s="25" t="str">
        <f>IF(OR(E1034="",E1034="!!!",F1034="NEW"),"",INDEX(J$1:J1033,SUMPRODUCT(MAX(ROW(E$1:E1033)*(E1034=E$1:E1033)))))</f>
        <v> </v>
      </c>
      <c r="L1034" s="26"/>
    </row>
    <row r="1035" spans="1:12">
      <c r="A1035" s="20" t="s">
        <v>1090</v>
      </c>
      <c r="B1035" s="27" t="s">
        <v>625</v>
      </c>
      <c r="C1035" s="27" t="s">
        <v>678</v>
      </c>
      <c r="E1035" s="21">
        <f>IF(D1035="?OLD","!!!","")</f>
        <v/>
      </c>
      <c r="F1035" s="22" t="str">
        <f>IF(OR(E1035="",E1035="!!!"),"",IF(NOT(ISNA(VLOOKUP(E1035,E$1:E1034,1,FALSE()))),"OLD",IF(AND(E1035&lt;&gt;"",E1035&lt;&gt;"!!!"),"NEW","")))</f>
        <v> </v>
      </c>
      <c r="G1035" s="23" t="str">
        <f>IF(OR(E1035="",E1035="!!!"),"",IF(OR(J1035=0,AND(J1035=1,K1035=1),AND(J1035=1,I1035="SBJ"),AND(J1035=1,I1035=0)),"?IN_FOCUS",IF(J1035&lt;=2,"?ACTIVATED",IF(J1035&lt;&gt;"","?FAMILIAR",IF(F1035="NEW",IF(ISNA(VLOOKUP(E1035,#REF!,1,FALSE())),"?TYPE_IDENTIFIABLE","?REFERENTIAL"),"_")))))</f>
        <v> </v>
      </c>
      <c r="H1035" s="24" t="str">
        <f>IF(J1035&lt;&gt;1,"",IF(I1035="SBJ","CB","?"))</f>
        <v> </v>
      </c>
      <c r="I1035" s="25" t="str">
        <f>IF(OR(E1035="",E1035="!!!",F1035="NEW"),"",INDEX(B1034:B$2,-1+SUMPRODUCT(MAX(ROW(E1034:E$2)*(E1035=E1034:E$2)))))</f>
        <v> </v>
      </c>
      <c r="J1035" s="25" t="str">
        <f>IF(OR(E1035="",E1035="!!!",F1035="NEW"),"",COUNTBLANK(OFFSET(A$1,,,SUMPRODUCT(MAX(ROW(E$2:E1035)*(E1035=E$2:E1035)))))-COUNTBLANK(OFFSET(A$1,,,SUMPRODUCT(MAX(ROW(E$1:E1034)*(E2=E$1:E1034))))))</f>
        <v> </v>
      </c>
      <c r="K1035" s="25" t="str">
        <f>IF(OR(E1035="",E1035="!!!",F1035="NEW"),"",INDEX(J$1:J1034,SUMPRODUCT(MAX(ROW(E$1:E1034)*(E1035=E$1:E1034)))))</f>
        <v> </v>
      </c>
      <c r="L1035" s="26"/>
    </row>
    <row r="1036" spans="1:12">
      <c r="A1036" s="20" t="s">
        <v>1091</v>
      </c>
      <c r="E1036" s="21">
        <f>IF(D1036="?OLD","!!!","")</f>
        <v/>
      </c>
      <c r="F1036" s="22" t="str">
        <f>IF(OR(E1036="",E1036="!!!"),"",IF(NOT(ISNA(VLOOKUP(E1036,E$1:E1035,1,FALSE()))),"OLD",IF(AND(E1036&lt;&gt;"",E1036&lt;&gt;"!!!"),"NEW","")))</f>
        <v> </v>
      </c>
      <c r="G1036" s="23" t="str">
        <f>IF(OR(E1036="",E1036="!!!"),"",IF(OR(J1036=0,AND(J1036=1,K1036=1),AND(J1036=1,I1036="SBJ"),AND(J1036=1,I1036=0)),"?IN_FOCUS",IF(J1036&lt;=2,"?ACTIVATED",IF(J1036&lt;&gt;"","?FAMILIAR",IF(F1036="NEW",IF(ISNA(VLOOKUP(E1036,#REF!,1,FALSE())),"?TYPE_IDENTIFIABLE","?REFERENTIAL"),"_")))))</f>
        <v> </v>
      </c>
      <c r="H1036" s="24" t="str">
        <f>IF(J1036&lt;&gt;1,"",IF(I1036="SBJ","CB","?"))</f>
        <v> </v>
      </c>
      <c r="I1036" s="25" t="str">
        <f>IF(OR(E1036="",E1036="!!!",F1036="NEW"),"",INDEX(B1035:B$2,-1+SUMPRODUCT(MAX(ROW(E1035:E$2)*(E1036=E1035:E$2)))))</f>
        <v> </v>
      </c>
      <c r="J1036" s="25" t="str">
        <f>IF(OR(E1036="",E1036="!!!",F1036="NEW"),"",COUNTBLANK(OFFSET(A$1,,,SUMPRODUCT(MAX(ROW(E$2:E1036)*(E1036=E$2:E1036)))))-COUNTBLANK(OFFSET(A$1,,,SUMPRODUCT(MAX(ROW(E$1:E1035)*(E2=E$1:E1035))))))</f>
        <v> </v>
      </c>
      <c r="K1036" s="25" t="str">
        <f>IF(OR(E1036="",E1036="!!!",F1036="NEW"),"",INDEX(J$1:J1035,SUMPRODUCT(MAX(ROW(E$1:E1035)*(E1036=E$1:E1035)))))</f>
        <v> </v>
      </c>
      <c r="L1036" s="26"/>
    </row>
    <row r="1037" spans="1:12">
      <c r="A1037" s="20" t="s">
        <v>1092</v>
      </c>
      <c r="B1037" s="27" t="s">
        <v>606</v>
      </c>
      <c r="C1037" s="27" t="s">
        <v>622</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t="s">
        <v>633</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row>
    <row r="1040" spans="1:12">
      <c r="A1040" s="20" t="s">
        <v>1093</v>
      </c>
    </row>
    <row r="1041" spans="1:12">
      <c r="A1041" s="20" t="s">
        <v>1094</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t="s">
        <v>612</v>
      </c>
      <c r="E1042" s="21">
        <f>IF(D1042="?OLD","!!!","")</f>
        <v/>
      </c>
      <c r="F1042" s="22" t="str">
        <f>IF(OR(E1042="",E1042="!!!"),"",IF(NOT(ISNA(VLOOKUP(E1042,E$1:E1041,1,FALSE()))),"OLD",IF(AND(E1042&lt;&gt;"",E1042&lt;&gt;"!!!"),"NEW","")))</f>
        <v> </v>
      </c>
      <c r="G1042" s="23" t="str">
        <f>IF(OR(E1042="",E1042="!!!"),"",IF(OR(J1042=0,AND(J1042=1,K1042=1),AND(J1042=1,I1042="SBJ"),AND(J1042=1,I1042=0)),"?IN_FOCUS",IF(J1042&lt;=2,"?ACTIVATED",IF(J1042&lt;&gt;"","?FAMILIAR",IF(F1042="NEW",IF(ISNA(VLOOKUP(E1042,#REF!,1,FALSE())),"?TYPE_IDENTIFIABLE","?REFERENTIAL"),"_")))))</f>
        <v> </v>
      </c>
      <c r="H1042" s="24" t="str">
        <f>IF(J1042&lt;&gt;1,"",IF(I1042="SBJ","CB","?"))</f>
        <v> </v>
      </c>
      <c r="I1042" s="25" t="str">
        <f>IF(OR(E1042="",E1042="!!!",F1042="NEW"),"",INDEX(B1041:B$2,-1+SUMPRODUCT(MAX(ROW(E1041:E$2)*(E1042=E1041:E$2)))))</f>
        <v> </v>
      </c>
      <c r="J1042" s="25" t="str">
        <f>IF(OR(E1042="",E1042="!!!",F1042="NEW"),"",COUNTBLANK(OFFSET(A$1,,,SUMPRODUCT(MAX(ROW(E$2:E1042)*(E1042=E$2:E1042)))))-COUNTBLANK(OFFSET(A$1,,,SUMPRODUCT(MAX(ROW(E$1:E1041)*(E2=E$1:E1041))))))</f>
        <v> </v>
      </c>
      <c r="K1042" s="25" t="str">
        <f>IF(OR(E1042="",E1042="!!!",F1042="NEW"),"",INDEX(J$1:J1041,SUMPRODUCT(MAX(ROW(E$1:E1041)*(E1042=E$1:E1041)))))</f>
        <v> </v>
      </c>
      <c r="L1042" s="26"/>
    </row>
    <row r="1043" spans="1:12">
      <c r="A1043" s="20" t="s">
        <v>700</v>
      </c>
      <c r="B1043" s="27" t="s">
        <v>636</v>
      </c>
      <c r="C1043" s="27" t="s">
        <v>626</v>
      </c>
      <c r="E1043" s="21">
        <f>IF(D1043="?OLD","!!!","")</f>
        <v/>
      </c>
      <c r="F1043" s="22" t="str">
        <f>IF(OR(E1043="",E1043="!!!"),"",IF(NOT(ISNA(VLOOKUP(E1043,E$1:E1042,1,FALSE()))),"OLD",IF(AND(E1043&lt;&gt;"",E1043&lt;&gt;"!!!"),"NEW","")))</f>
        <v> </v>
      </c>
      <c r="G1043" s="23" t="str">
        <f>IF(OR(E1043="",E1043="!!!"),"",IF(OR(J1043=0,AND(J1043=1,K1043=1),AND(J1043=1,I1043="SBJ"),AND(J1043=1,I1043=0)),"?IN_FOCUS",IF(J1043&lt;=2,"?ACTIVATED",IF(J1043&lt;&gt;"","?FAMILIAR",IF(F1043="NEW",IF(ISNA(VLOOKUP(E1043,#REF!,1,FALSE())),"?TYPE_IDENTIFIABLE","?REFERENTIAL"),"_")))))</f>
        <v> </v>
      </c>
      <c r="H1043" s="24" t="str">
        <f>IF(J1043&lt;&gt;1,"",IF(I1043="SBJ","CB","?"))</f>
        <v> </v>
      </c>
      <c r="I1043" s="25" t="str">
        <f>IF(OR(E1043="",E1043="!!!",F1043="NEW"),"",INDEX(B1042:B$2,-1+SUMPRODUCT(MAX(ROW(E1042:E$2)*(E1043=E1042:E$2)))))</f>
        <v> </v>
      </c>
      <c r="J1043" s="25" t="str">
        <f>IF(OR(E1043="",E1043="!!!",F1043="NEW"),"",COUNTBLANK(OFFSET(A$1,,,SUMPRODUCT(MAX(ROW(E$2:E1043)*(E1043=E$2:E1043)))))-COUNTBLANK(OFFSET(A$1,,,SUMPRODUCT(MAX(ROW(E$1:E1042)*(E2=E$1:E1042))))))</f>
        <v> </v>
      </c>
      <c r="K1043" s="25" t="str">
        <f>IF(OR(E1043="",E1043="!!!",F1043="NEW"),"",INDEX(J$1:J1042,SUMPRODUCT(MAX(ROW(E$1:E1042)*(E1043=E$1:E1042)))))</f>
        <v> </v>
      </c>
      <c r="L1043" s="26"/>
    </row>
    <row r="1044" spans="1:12">
      <c r="A1044" s="20" t="s">
        <v>620</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t="s">
        <v>800</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t="s">
        <v>633</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row>
    <row r="1048" spans="1:12">
      <c r="A1048" s="20" t="s">
        <v>1095</v>
      </c>
    </row>
    <row r="1049" spans="1:12">
      <c r="A1049" s="20" t="s">
        <v>1096</v>
      </c>
      <c r="B1049" s="27" t="s">
        <v>636</v>
      </c>
      <c r="C1049" s="27" t="s">
        <v>626</v>
      </c>
      <c r="E1049" s="21">
        <f>IF(D1049="?OLD","!!!","")</f>
        <v/>
      </c>
      <c r="F1049" s="22" t="str">
        <f>IF(OR(E1049="",E1049="!!!"),"",IF(NOT(ISNA(VLOOKUP(E1049,E$1:E1048,1,FALSE()))),"OLD",IF(AND(E1049&lt;&gt;"",E1049&lt;&gt;"!!!"),"NEW","")))</f>
        <v> </v>
      </c>
      <c r="G1049" s="23" t="str">
        <f>IF(OR(E1049="",E1049="!!!"),"",IF(OR(J1049=0,AND(J1049=1,K1049=1),AND(J1049=1,I1049="SBJ"),AND(J1049=1,I1049=0)),"?IN_FOCUS",IF(J1049&lt;=2,"?ACTIVATED",IF(J1049&lt;&gt;"","?FAMILIAR",IF(F1049="NEW",IF(ISNA(VLOOKUP(E1049,#REF!,1,FALSE())),"?TYPE_IDENTIFIABLE","?REFERENTIAL"),"_")))))</f>
        <v> </v>
      </c>
      <c r="H1049" s="24" t="str">
        <f>IF(J1049&lt;&gt;1,"",IF(I1049="SBJ","CB","?"))</f>
        <v> </v>
      </c>
      <c r="I1049" s="25" t="str">
        <f>IF(OR(E1049="",E1049="!!!",F1049="NEW"),"",INDEX(B1048:B$2,-1+SUMPRODUCT(MAX(ROW(E1048:E$2)*(E1049=E1048:E$2)))))</f>
        <v> </v>
      </c>
      <c r="J1049" s="25" t="str">
        <f>IF(OR(E1049="",E1049="!!!",F1049="NEW"),"",COUNTBLANK(OFFSET(A$1,,,SUMPRODUCT(MAX(ROW(E$2:E1049)*(E1049=E$2:E1049)))))-COUNTBLANK(OFFSET(A$1,,,SUMPRODUCT(MAX(ROW(E$1:E1048)*(E2=E$1:E1048))))))</f>
        <v> </v>
      </c>
      <c r="K1049" s="25" t="str">
        <f>IF(OR(E1049="",E1049="!!!",F1049="NEW"),"",INDEX(J$1:J1048,SUMPRODUCT(MAX(ROW(E$1:E1048)*(E1049=E$1:E1048)))))</f>
        <v> </v>
      </c>
      <c r="L1049" s="26"/>
    </row>
    <row r="1050" spans="1:12">
      <c r="A1050" s="20" t="s">
        <v>638</v>
      </c>
      <c r="E1050" s="21">
        <f>IF(D1050="?OLD","!!!","")</f>
        <v/>
      </c>
      <c r="F1050" s="22" t="str">
        <f>IF(OR(E1050="",E1050="!!!"),"",IF(NOT(ISNA(VLOOKUP(E1050,E$1:E1049,1,FALSE()))),"OLD",IF(AND(E1050&lt;&gt;"",E1050&lt;&gt;"!!!"),"NEW","")))</f>
        <v> </v>
      </c>
      <c r="G1050" s="23" t="str">
        <f>IF(OR(E1050="",E1050="!!!"),"",IF(OR(J1050=0,AND(J1050=1,K1050=1),AND(J1050=1,I1050="SBJ"),AND(J1050=1,I1050=0)),"?IN_FOCUS",IF(J1050&lt;=2,"?ACTIVATED",IF(J1050&lt;&gt;"","?FAMILIAR",IF(F1050="NEW",IF(ISNA(VLOOKUP(E1050,#REF!,1,FALSE())),"?TYPE_IDENTIFIABLE","?REFERENTIAL"),"_")))))</f>
        <v> </v>
      </c>
      <c r="H1050" s="24" t="str">
        <f>IF(J1050&lt;&gt;1,"",IF(I1050="SBJ","CB","?"))</f>
        <v> </v>
      </c>
      <c r="I1050" s="25" t="str">
        <f>IF(OR(E1050="",E1050="!!!",F1050="NEW"),"",INDEX(B1049:B$2,-1+SUMPRODUCT(MAX(ROW(E1049:E$2)*(E1050=E1049:E$2)))))</f>
        <v> </v>
      </c>
      <c r="J1050" s="25" t="str">
        <f>IF(OR(E1050="",E1050="!!!",F1050="NEW"),"",COUNTBLANK(OFFSET(A$1,,,SUMPRODUCT(MAX(ROW(E$2:E1050)*(E1050=E$2:E1050)))))-COUNTBLANK(OFFSET(A$1,,,SUMPRODUCT(MAX(ROW(E$1:E1049)*(E2=E$1:E1049))))))</f>
        <v> </v>
      </c>
      <c r="K1050" s="25" t="str">
        <f>IF(OR(E1050="",E1050="!!!",F1050="NEW"),"",INDEX(J$1:J1049,SUMPRODUCT(MAX(ROW(E$1:E1049)*(E1050=E$1:E1049)))))</f>
        <v> </v>
      </c>
      <c r="L1050" s="26"/>
    </row>
    <row r="1051" spans="1:12">
      <c r="A1051" s="20" t="s">
        <v>1097</v>
      </c>
      <c r="E1051" s="21">
        <f>IF(D1051="?OLD","!!!","")</f>
        <v/>
      </c>
      <c r="F1051" s="22" t="str">
        <f>IF(OR(E1051="",E1051="!!!"),"",IF(NOT(ISNA(VLOOKUP(E1051,E$1:E1050,1,FALSE()))),"OLD",IF(AND(E1051&lt;&gt;"",E1051&lt;&gt;"!!!"),"NEW","")))</f>
        <v> </v>
      </c>
      <c r="G1051" s="23" t="str">
        <f>IF(OR(E1051="",E1051="!!!"),"",IF(OR(J1051=0,AND(J1051=1,K1051=1),AND(J1051=1,I1051="SBJ"),AND(J1051=1,I1051=0)),"?IN_FOCUS",IF(J1051&lt;=2,"?ACTIVATED",IF(J1051&lt;&gt;"","?FAMILIAR",IF(F1051="NEW",IF(ISNA(VLOOKUP(E1051,#REF!,1,FALSE())),"?TYPE_IDENTIFIABLE","?REFERENTIAL"),"_")))))</f>
        <v> </v>
      </c>
      <c r="H1051" s="24" t="str">
        <f>IF(J1051&lt;&gt;1,"",IF(I1051="SBJ","CB","?"))</f>
        <v> </v>
      </c>
      <c r="I1051" s="25" t="str">
        <f>IF(OR(E1051="",E1051="!!!",F1051="NEW"),"",INDEX(B1050:B$2,-1+SUMPRODUCT(MAX(ROW(E1050:E$2)*(E1051=E1050:E$2)))))</f>
        <v> </v>
      </c>
      <c r="J1051" s="25" t="str">
        <f>IF(OR(E1051="",E1051="!!!",F1051="NEW"),"",COUNTBLANK(OFFSET(A$1,,,SUMPRODUCT(MAX(ROW(E$2:E1051)*(E1051=E$2:E1051)))))-COUNTBLANK(OFFSET(A$1,,,SUMPRODUCT(MAX(ROW(E$1:E1050)*(E2=E$1:E1050))))))</f>
        <v> </v>
      </c>
      <c r="K1051" s="25" t="str">
        <f>IF(OR(E1051="",E1051="!!!",F1051="NEW"),"",INDEX(J$1:J1050,SUMPRODUCT(MAX(ROW(E$1:E1050)*(E1051=E$1:E1050)))))</f>
        <v> </v>
      </c>
      <c r="L1051" s="26"/>
    </row>
    <row r="1052" spans="1:12">
      <c r="A1052" s="20" t="s">
        <v>641</v>
      </c>
      <c r="E1052" s="21">
        <f>IF(D1052="?OLD","!!!","")</f>
        <v/>
      </c>
      <c r="F1052" s="22" t="str">
        <f>IF(OR(E1052="",E1052="!!!"),"",IF(NOT(ISNA(VLOOKUP(E1052,E$1:E1051,1,FALSE()))),"OLD",IF(AND(E1052&lt;&gt;"",E1052&lt;&gt;"!!!"),"NEW","")))</f>
        <v> </v>
      </c>
      <c r="G1052" s="23" t="str">
        <f>IF(OR(E1052="",E1052="!!!"),"",IF(OR(J1052=0,AND(J1052=1,K1052=1),AND(J1052=1,I1052="SBJ"),AND(J1052=1,I1052=0)),"?IN_FOCUS",IF(J1052&lt;=2,"?ACTIVATED",IF(J1052&lt;&gt;"","?FAMILIAR",IF(F1052="NEW",IF(ISNA(VLOOKUP(E1052,#REF!,1,FALSE())),"?TYPE_IDENTIFIABLE","?REFERENTIAL"),"_")))))</f>
        <v> </v>
      </c>
      <c r="H1052" s="24" t="str">
        <f>IF(J1052&lt;&gt;1,"",IF(I1052="SBJ","CB","?"))</f>
        <v> </v>
      </c>
      <c r="I1052" s="25" t="str">
        <f>IF(OR(E1052="",E1052="!!!",F1052="NEW"),"",INDEX(B1051:B$2,-1+SUMPRODUCT(MAX(ROW(E1051:E$2)*(E1052=E1051:E$2)))))</f>
        <v> </v>
      </c>
      <c r="J1052" s="25" t="str">
        <f>IF(OR(E1052="",E1052="!!!",F1052="NEW"),"",COUNTBLANK(OFFSET(A$1,,,SUMPRODUCT(MAX(ROW(E$2:E1052)*(E1052=E$2:E1052)))))-COUNTBLANK(OFFSET(A$1,,,SUMPRODUCT(MAX(ROW(E$1:E1051)*(E2=E$1:E1051))))))</f>
        <v> </v>
      </c>
      <c r="K1052" s="25" t="str">
        <f>IF(OR(E1052="",E1052="!!!",F1052="NEW"),"",INDEX(J$1:J1051,SUMPRODUCT(MAX(ROW(E$1:E1051)*(E1052=E$1:E1051)))))</f>
        <v> </v>
      </c>
      <c r="L1052" s="26"/>
    </row>
    <row r="1053" spans="1:12">
      <c r="A1053" s="20" t="s">
        <v>643</v>
      </c>
      <c r="B1053" s="27" t="s">
        <v>606</v>
      </c>
      <c r="C1053" s="27" t="s">
        <v>631</v>
      </c>
      <c r="D1053" s="27" t="s">
        <v>608</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1098</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t="s">
        <v>633</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row>
    <row r="1057" spans="1:12">
      <c r="A1057" s="20" t="s">
        <v>1099</v>
      </c>
    </row>
    <row r="1058" spans="1:12">
      <c r="A1058" s="20" t="s">
        <v>722</v>
      </c>
      <c r="E1058" s="21">
        <f>IF(D1058="?OLD","!!!","")</f>
        <v/>
      </c>
      <c r="F1058" s="22" t="str">
        <f>IF(OR(E1058="",E1058="!!!"),"",IF(NOT(ISNA(VLOOKUP(E1058,E$1:E1057,1,FALSE()))),"OLD",IF(AND(E1058&lt;&gt;"",E1058&lt;&gt;"!!!"),"NEW","")))</f>
        <v> </v>
      </c>
      <c r="G1058" s="23" t="str">
        <f>IF(OR(E1058="",E1058="!!!"),"",IF(OR(J1058=0,AND(J1058=1,K1058=1),AND(J1058=1,I1058="SBJ"),AND(J1058=1,I1058=0)),"?IN_FOCUS",IF(J1058&lt;=2,"?ACTIVATED",IF(J1058&lt;&gt;"","?FAMILIAR",IF(F1058="NEW",IF(ISNA(VLOOKUP(E1058,#REF!,1,FALSE())),"?TYPE_IDENTIFIABLE","?REFERENTIAL"),"_")))))</f>
        <v> </v>
      </c>
      <c r="H1058" s="24" t="str">
        <f>IF(J1058&lt;&gt;1,"",IF(I1058="SBJ","CB","?"))</f>
        <v> </v>
      </c>
      <c r="I1058" s="25" t="str">
        <f>IF(OR(E1058="",E1058="!!!",F1058="NEW"),"",INDEX(B1057:B$2,-1+SUMPRODUCT(MAX(ROW(E1057:E$2)*(E1058=E1057:E$2)))))</f>
        <v> </v>
      </c>
      <c r="J1058" s="25" t="str">
        <f>IF(OR(E1058="",E1058="!!!",F1058="NEW"),"",COUNTBLANK(OFFSET(A$1,,,SUMPRODUCT(MAX(ROW(E$2:E1058)*(E1058=E$2:E1058)))))-COUNTBLANK(OFFSET(A$1,,,SUMPRODUCT(MAX(ROW(E$1:E1057)*(E2=E$1:E1057))))))</f>
        <v> </v>
      </c>
      <c r="K1058" s="25" t="str">
        <f>IF(OR(E1058="",E1058="!!!",F1058="NEW"),"",INDEX(J$1:J1057,SUMPRODUCT(MAX(ROW(E$1:E1057)*(E1058=E$1:E1057)))))</f>
        <v> </v>
      </c>
      <c r="L1058" s="26"/>
    </row>
    <row r="1059" spans="1:12">
      <c r="A1059" s="20" t="s">
        <v>884</v>
      </c>
      <c r="E1059" s="21">
        <f>IF(D1059="?OLD","!!!","")</f>
        <v/>
      </c>
      <c r="F1059" s="22" t="str">
        <f>IF(OR(E1059="",E1059="!!!"),"",IF(NOT(ISNA(VLOOKUP(E1059,E$1:E1058,1,FALSE()))),"OLD",IF(AND(E1059&lt;&gt;"",E1059&lt;&gt;"!!!"),"NEW","")))</f>
        <v> </v>
      </c>
      <c r="G1059" s="23" t="str">
        <f>IF(OR(E1059="",E1059="!!!"),"",IF(OR(J1059=0,AND(J1059=1,K1059=1),AND(J1059=1,I1059="SBJ"),AND(J1059=1,I1059=0)),"?IN_FOCUS",IF(J1059&lt;=2,"?ACTIVATED",IF(J1059&lt;&gt;"","?FAMILIAR",IF(F1059="NEW",IF(ISNA(VLOOKUP(E1059,#REF!,1,FALSE())),"?TYPE_IDENTIFIABLE","?REFERENTIAL"),"_")))))</f>
        <v> </v>
      </c>
      <c r="H1059" s="24" t="str">
        <f>IF(J1059&lt;&gt;1,"",IF(I1059="SBJ","CB","?"))</f>
        <v> </v>
      </c>
      <c r="I1059" s="25" t="str">
        <f>IF(OR(E1059="",E1059="!!!",F1059="NEW"),"",INDEX(B1058:B$2,-1+SUMPRODUCT(MAX(ROW(E1058:E$2)*(E1059=E1058:E$2)))))</f>
        <v> </v>
      </c>
      <c r="J1059" s="25" t="str">
        <f>IF(OR(E1059="",E1059="!!!",F1059="NEW"),"",COUNTBLANK(OFFSET(A$1,,,SUMPRODUCT(MAX(ROW(E$2:E1059)*(E1059=E$2:E1059)))))-COUNTBLANK(OFFSET(A$1,,,SUMPRODUCT(MAX(ROW(E$1:E1058)*(E2=E$1:E1058))))))</f>
        <v> </v>
      </c>
      <c r="K1059" s="25" t="str">
        <f>IF(OR(E1059="",E1059="!!!",F1059="NEW"),"",INDEX(J$1:J1058,SUMPRODUCT(MAX(ROW(E$1:E1058)*(E1059=E$1:E1058)))))</f>
        <v> </v>
      </c>
      <c r="L1059" s="26"/>
    </row>
    <row r="1060" spans="1:12">
      <c r="A1060" s="20" t="s">
        <v>1100</v>
      </c>
      <c r="B1060" s="27" t="s">
        <v>636</v>
      </c>
      <c r="C1060" s="27" t="s">
        <v>631</v>
      </c>
      <c r="D1060" s="27" t="s">
        <v>608</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630</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617</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t="s">
        <v>970</v>
      </c>
      <c r="E1063" s="21">
        <f>IF(D1063="?OLD","!!!","")</f>
        <v/>
      </c>
      <c r="F1063" s="22" t="str">
        <f>IF(OR(E1063="",E1063="!!!"),"",IF(NOT(ISNA(VLOOKUP(E1063,E$1:E1062,1,FALSE()))),"OLD",IF(AND(E1063&lt;&gt;"",E1063&lt;&gt;"!!!"),"NEW","")))</f>
        <v> </v>
      </c>
      <c r="G1063" s="23" t="str">
        <f>IF(OR(E1063="",E1063="!!!"),"",IF(OR(J1063=0,AND(J1063=1,K1063=1),AND(J1063=1,I1063="SBJ"),AND(J1063=1,I1063=0)),"?IN_FOCUS",IF(J1063&lt;=2,"?ACTIVATED",IF(J1063&lt;&gt;"","?FAMILIAR",IF(F1063="NEW",IF(ISNA(VLOOKUP(E1063,#REF!,1,FALSE())),"?TYPE_IDENTIFIABLE","?REFERENTIAL"),"_")))))</f>
        <v> </v>
      </c>
      <c r="H1063" s="24" t="str">
        <f>IF(J1063&lt;&gt;1,"",IF(I1063="SBJ","CB","?"))</f>
        <v> </v>
      </c>
      <c r="I1063" s="25" t="str">
        <f>IF(OR(E1063="",E1063="!!!",F1063="NEW"),"",INDEX(B1062:B$2,-1+SUMPRODUCT(MAX(ROW(E1062:E$2)*(E1063=E1062:E$2)))))</f>
        <v> </v>
      </c>
      <c r="J1063" s="25" t="str">
        <f>IF(OR(E1063="",E1063="!!!",F1063="NEW"),"",COUNTBLANK(OFFSET(A$1,,,SUMPRODUCT(MAX(ROW(E$2:E1063)*(E1063=E$2:E1063)))))-COUNTBLANK(OFFSET(A$1,,,SUMPRODUCT(MAX(ROW(E$1:E1062)*(E2=E$1:E1062))))))</f>
        <v> </v>
      </c>
      <c r="K1063" s="25" t="str">
        <f>IF(OR(E1063="",E1063="!!!",F1063="NEW"),"",INDEX(J$1:J1062,SUMPRODUCT(MAX(ROW(E$1:E1062)*(E1063=E$1:E1062)))))</f>
        <v> </v>
      </c>
      <c r="L1063" s="26"/>
    </row>
    <row r="1064" spans="1:12">
      <c r="A1064" s="20" t="s">
        <v>651</v>
      </c>
      <c r="B1064" s="27" t="s">
        <v>619</v>
      </c>
      <c r="C1064" s="27" t="s">
        <v>652</v>
      </c>
      <c r="D1064" s="27" t="s">
        <v>608</v>
      </c>
      <c r="E1064" s="21">
        <f>IF(D1064="?OLD","!!!","")</f>
        <v/>
      </c>
      <c r="F1064" s="22" t="str">
        <f>IF(OR(E1064="",E1064="!!!"),"",IF(NOT(ISNA(VLOOKUP(E1064,E$1:E1063,1,FALSE()))),"OLD",IF(AND(E1064&lt;&gt;"",E1064&lt;&gt;"!!!"),"NEW","")))</f>
        <v> </v>
      </c>
      <c r="G1064" s="23" t="str">
        <f>IF(OR(E1064="",E1064="!!!"),"",IF(OR(J1064=0,AND(J1064=1,K1064=1),AND(J1064=1,I1064="SBJ"),AND(J1064=1,I1064=0)),"?IN_FOCUS",IF(J1064&lt;=2,"?ACTIVATED",IF(J1064&lt;&gt;"","?FAMILIAR",IF(F1064="NEW",IF(ISNA(VLOOKUP(E1064,#REF!,1,FALSE())),"?TYPE_IDENTIFIABLE","?REFERENTIAL"),"_")))))</f>
        <v> </v>
      </c>
      <c r="H1064" s="24" t="str">
        <f>IF(J1064&lt;&gt;1,"",IF(I1064="SBJ","CB","?"))</f>
        <v> </v>
      </c>
      <c r="I1064" s="25" t="str">
        <f>IF(OR(E1064="",E1064="!!!",F1064="NEW"),"",INDEX(B1063:B$2,-1+SUMPRODUCT(MAX(ROW(E1063:E$2)*(E1064=E1063:E$2)))))</f>
        <v> </v>
      </c>
      <c r="J1064" s="25" t="str">
        <f>IF(OR(E1064="",E1064="!!!",F1064="NEW"),"",COUNTBLANK(OFFSET(A$1,,,SUMPRODUCT(MAX(ROW(E$2:E1064)*(E1064=E$2:E1064)))))-COUNTBLANK(OFFSET(A$1,,,SUMPRODUCT(MAX(ROW(E$1:E1063)*(E2=E$1:E1063))))))</f>
        <v> </v>
      </c>
      <c r="K1064" s="25" t="str">
        <f>IF(OR(E1064="",E1064="!!!",F1064="NEW"),"",INDEX(J$1:J1063,SUMPRODUCT(MAX(ROW(E$1:E1063)*(E1064=E$1:E1063)))))</f>
        <v> </v>
      </c>
      <c r="L1064" s="26"/>
    </row>
    <row r="1065" spans="1:12">
      <c r="A1065" s="20" t="s">
        <v>28</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t="s">
        <v>716</v>
      </c>
      <c r="E1066" s="21">
        <f>IF(D1066="?OLD","!!!","")</f>
        <v/>
      </c>
      <c r="F1066" s="22" t="str">
        <f>IF(OR(E1066="",E1066="!!!"),"",IF(NOT(ISNA(VLOOKUP(E1066,E$1:E1065,1,FALSE()))),"OLD",IF(AND(E1066&lt;&gt;"",E1066&lt;&gt;"!!!"),"NEW","")))</f>
        <v> </v>
      </c>
      <c r="G1066" s="23" t="str">
        <f>IF(OR(E1066="",E1066="!!!"),"",IF(OR(J1066=0,AND(J1066=1,K1066=1),AND(J1066=1,I1066="SBJ"),AND(J1066=1,I1066=0)),"?IN_FOCUS",IF(J1066&lt;=2,"?ACTIVATED",IF(J1066&lt;&gt;"","?FAMILIAR",IF(F1066="NEW",IF(ISNA(VLOOKUP(E1066,#REF!,1,FALSE())),"?TYPE_IDENTIFIABLE","?REFERENTIAL"),"_")))))</f>
        <v> </v>
      </c>
      <c r="H1066" s="24" t="str">
        <f>IF(J1066&lt;&gt;1,"",IF(I1066="SBJ","CB","?"))</f>
        <v> </v>
      </c>
      <c r="I1066" s="25" t="str">
        <f>IF(OR(E1066="",E1066="!!!",F1066="NEW"),"",INDEX(B1065:B$2,-1+SUMPRODUCT(MAX(ROW(E1065:E$2)*(E1066=E1065:E$2)))))</f>
        <v> </v>
      </c>
      <c r="J1066" s="25" t="str">
        <f>IF(OR(E1066="",E1066="!!!",F1066="NEW"),"",COUNTBLANK(OFFSET(A$1,,,SUMPRODUCT(MAX(ROW(E$2:E1066)*(E1066=E$2:E1066)))))-COUNTBLANK(OFFSET(A$1,,,SUMPRODUCT(MAX(ROW(E$1:E1065)*(E2=E$1:E1065))))))</f>
        <v> </v>
      </c>
      <c r="K1066" s="25" t="str">
        <f>IF(OR(E1066="",E1066="!!!",F1066="NEW"),"",INDEX(J$1:J1065,SUMPRODUCT(MAX(ROW(E$1:E1065)*(E1066=E$1:E1065)))))</f>
        <v> </v>
      </c>
      <c r="L1066" s="26"/>
    </row>
    <row r="1067" spans="1:12">
      <c r="A1067" s="20" t="s">
        <v>756</v>
      </c>
      <c r="E1067" s="21">
        <f>IF(D1067="?OLD","!!!","")</f>
        <v/>
      </c>
      <c r="F1067" s="22" t="str">
        <f>IF(OR(E1067="",E1067="!!!"),"",IF(NOT(ISNA(VLOOKUP(E1067,E$1:E1066,1,FALSE()))),"OLD",IF(AND(E1067&lt;&gt;"",E1067&lt;&gt;"!!!"),"NEW","")))</f>
        <v> </v>
      </c>
      <c r="G1067" s="23" t="str">
        <f>IF(OR(E1067="",E1067="!!!"),"",IF(OR(J1067=0,AND(J1067=1,K1067=1),AND(J1067=1,I1067="SBJ"),AND(J1067=1,I1067=0)),"?IN_FOCUS",IF(J1067&lt;=2,"?ACTIVATED",IF(J1067&lt;&gt;"","?FAMILIAR",IF(F1067="NEW",IF(ISNA(VLOOKUP(E1067,#REF!,1,FALSE())),"?TYPE_IDENTIFIABLE","?REFERENTIAL"),"_")))))</f>
        <v> </v>
      </c>
      <c r="H1067" s="24" t="str">
        <f>IF(J1067&lt;&gt;1,"",IF(I1067="SBJ","CB","?"))</f>
        <v> </v>
      </c>
      <c r="I1067" s="25" t="str">
        <f>IF(OR(E1067="",E1067="!!!",F1067="NEW"),"",INDEX(B1066:B$2,-1+SUMPRODUCT(MAX(ROW(E1066:E$2)*(E1067=E1066:E$2)))))</f>
        <v> </v>
      </c>
      <c r="J1067" s="25" t="str">
        <f>IF(OR(E1067="",E1067="!!!",F1067="NEW"),"",COUNTBLANK(OFFSET(A$1,,,SUMPRODUCT(MAX(ROW(E$2:E1067)*(E1067=E$2:E1067)))))-COUNTBLANK(OFFSET(A$1,,,SUMPRODUCT(MAX(ROW(E$1:E1066)*(E2=E$1:E1066))))))</f>
        <v> </v>
      </c>
      <c r="K1067" s="25" t="str">
        <f>IF(OR(E1067="",E1067="!!!",F1067="NEW"),"",INDEX(J$1:J1066,SUMPRODUCT(MAX(ROW(E$1:E1066)*(E1067=E$1:E1066)))))</f>
        <v> </v>
      </c>
      <c r="L1067" s="26"/>
    </row>
    <row r="1068" spans="1:12">
      <c r="A1068" s="20" t="s">
        <v>617</v>
      </c>
      <c r="E1068" s="21">
        <f>IF(D1068="?OLD","!!!","")</f>
        <v/>
      </c>
      <c r="F1068" s="22" t="str">
        <f>IF(OR(E1068="",E1068="!!!"),"",IF(NOT(ISNA(VLOOKUP(E1068,E$1:E1067,1,FALSE()))),"OLD",IF(AND(E1068&lt;&gt;"",E1068&lt;&gt;"!!!"),"NEW","")))</f>
        <v> </v>
      </c>
      <c r="G1068" s="23" t="str">
        <f>IF(OR(E1068="",E1068="!!!"),"",IF(OR(J1068=0,AND(J1068=1,K1068=1),AND(J1068=1,I1068="SBJ"),AND(J1068=1,I1068=0)),"?IN_FOCUS",IF(J1068&lt;=2,"?ACTIVATED",IF(J1068&lt;&gt;"","?FAMILIAR",IF(F1068="NEW",IF(ISNA(VLOOKUP(E1068,#REF!,1,FALSE())),"?TYPE_IDENTIFIABLE","?REFERENTIAL"),"_")))))</f>
        <v> </v>
      </c>
      <c r="H1068" s="24" t="str">
        <f>IF(J1068&lt;&gt;1,"",IF(I1068="SBJ","CB","?"))</f>
        <v> </v>
      </c>
      <c r="I1068" s="25" t="str">
        <f>IF(OR(E1068="",E1068="!!!",F1068="NEW"),"",INDEX(B1067:B$2,-1+SUMPRODUCT(MAX(ROW(E1067:E$2)*(E1068=E1067:E$2)))))</f>
        <v> </v>
      </c>
      <c r="J1068" s="25" t="str">
        <f>IF(OR(E1068="",E1068="!!!",F1068="NEW"),"",COUNTBLANK(OFFSET(A$1,,,SUMPRODUCT(MAX(ROW(E$2:E1068)*(E1068=E$2:E1068)))))-COUNTBLANK(OFFSET(A$1,,,SUMPRODUCT(MAX(ROW(E$1:E1067)*(E2=E$1:E1067))))))</f>
        <v> </v>
      </c>
      <c r="K1068" s="25" t="str">
        <f>IF(OR(E1068="",E1068="!!!",F1068="NEW"),"",INDEX(J$1:J1067,SUMPRODUCT(MAX(ROW(E$1:E1067)*(E1068=E$1:E1067)))))</f>
        <v> </v>
      </c>
      <c r="L1068" s="26"/>
    </row>
    <row r="1069" spans="1:12">
      <c r="A1069" s="20" t="s">
        <v>736</v>
      </c>
      <c r="E1069" s="21">
        <f>IF(D1069="?OLD","!!!","")</f>
        <v/>
      </c>
      <c r="F1069" s="22" t="str">
        <f>IF(OR(E1069="",E1069="!!!"),"",IF(NOT(ISNA(VLOOKUP(E1069,E$1:E1068,1,FALSE()))),"OLD",IF(AND(E1069&lt;&gt;"",E1069&lt;&gt;"!!!"),"NEW","")))</f>
        <v> </v>
      </c>
      <c r="G1069" s="23" t="str">
        <f>IF(OR(E1069="",E1069="!!!"),"",IF(OR(J1069=0,AND(J1069=1,K1069=1),AND(J1069=1,I1069="SBJ"),AND(J1069=1,I1069=0)),"?IN_FOCUS",IF(J1069&lt;=2,"?ACTIVATED",IF(J1069&lt;&gt;"","?FAMILIAR",IF(F1069="NEW",IF(ISNA(VLOOKUP(E1069,#REF!,1,FALSE())),"?TYPE_IDENTIFIABLE","?REFERENTIAL"),"_")))))</f>
        <v> </v>
      </c>
      <c r="H1069" s="24" t="str">
        <f>IF(J1069&lt;&gt;1,"",IF(I1069="SBJ","CB","?"))</f>
        <v> </v>
      </c>
      <c r="I1069" s="25" t="str">
        <f>IF(OR(E1069="",E1069="!!!",F1069="NEW"),"",INDEX(B1068:B$2,-1+SUMPRODUCT(MAX(ROW(E1068:E$2)*(E1069=E1068:E$2)))))</f>
        <v> </v>
      </c>
      <c r="J1069" s="25" t="str">
        <f>IF(OR(E1069="",E1069="!!!",F1069="NEW"),"",COUNTBLANK(OFFSET(A$1,,,SUMPRODUCT(MAX(ROW(E$2:E1069)*(E1069=E$2:E1069)))))-COUNTBLANK(OFFSET(A$1,,,SUMPRODUCT(MAX(ROW(E$1:E1068)*(E2=E$1:E1068))))))</f>
        <v> </v>
      </c>
      <c r="K1069" s="25" t="str">
        <f>IF(OR(E1069="",E1069="!!!",F1069="NEW"),"",INDEX(J$1:J1068,SUMPRODUCT(MAX(ROW(E$1:E1068)*(E1069=E$1:E1068)))))</f>
        <v> </v>
      </c>
      <c r="L1069" s="26"/>
    </row>
    <row r="1070" spans="1:12">
      <c r="A1070" s="20" t="s">
        <v>630</v>
      </c>
      <c r="B1070" s="27" t="s">
        <v>668</v>
      </c>
      <c r="C1070" s="27" t="s">
        <v>631</v>
      </c>
      <c r="D1070" s="27" t="s">
        <v>608</v>
      </c>
      <c r="E1070" s="21">
        <f>IF(D1070="?OLD","!!!","")</f>
        <v/>
      </c>
      <c r="F1070" s="22" t="str">
        <f>IF(OR(E1070="",E1070="!!!"),"",IF(NOT(ISNA(VLOOKUP(E1070,E$1:E1069,1,FALSE()))),"OLD",IF(AND(E1070&lt;&gt;"",E1070&lt;&gt;"!!!"),"NEW","")))</f>
        <v> </v>
      </c>
      <c r="G1070" s="23" t="str">
        <f>IF(OR(E1070="",E1070="!!!"),"",IF(OR(J1070=0,AND(J1070=1,K1070=1),AND(J1070=1,I1070="SBJ"),AND(J1070=1,I1070=0)),"?IN_FOCUS",IF(J1070&lt;=2,"?ACTIVATED",IF(J1070&lt;&gt;"","?FAMILIAR",IF(F1070="NEW",IF(ISNA(VLOOKUP(E1070,#REF!,1,FALSE())),"?TYPE_IDENTIFIABLE","?REFERENTIAL"),"_")))))</f>
        <v> </v>
      </c>
      <c r="H1070" s="24" t="str">
        <f>IF(J1070&lt;&gt;1,"",IF(I1070="SBJ","CB","?"))</f>
        <v> </v>
      </c>
      <c r="I1070" s="25" t="str">
        <f>IF(OR(E1070="",E1070="!!!",F1070="NEW"),"",INDEX(B1069:B$2,-1+SUMPRODUCT(MAX(ROW(E1069:E$2)*(E1070=E1069:E$2)))))</f>
        <v> </v>
      </c>
      <c r="J1070" s="25" t="str">
        <f>IF(OR(E1070="",E1070="!!!",F1070="NEW"),"",COUNTBLANK(OFFSET(A$1,,,SUMPRODUCT(MAX(ROW(E$2:E1070)*(E1070=E$2:E1070)))))-COUNTBLANK(OFFSET(A$1,,,SUMPRODUCT(MAX(ROW(E$1:E1069)*(E2=E$1:E1069))))))</f>
        <v> </v>
      </c>
      <c r="K1070" s="25" t="str">
        <f>IF(OR(E1070="",E1070="!!!",F1070="NEW"),"",INDEX(J$1:J1069,SUMPRODUCT(MAX(ROW(E$1:E1069)*(E1070=E$1:E1069)))))</f>
        <v> </v>
      </c>
      <c r="L1070" s="26"/>
    </row>
    <row r="1071" spans="1:12">
      <c r="A1071" s="20" t="s">
        <v>1101</v>
      </c>
      <c r="E1071" s="21">
        <f>IF(D1071="?OLD","!!!","")</f>
        <v/>
      </c>
      <c r="F1071" s="22" t="str">
        <f>IF(OR(E1071="",E1071="!!!"),"",IF(NOT(ISNA(VLOOKUP(E1071,E$1:E1070,1,FALSE()))),"OLD",IF(AND(E1071&lt;&gt;"",E1071&lt;&gt;"!!!"),"NEW","")))</f>
        <v> </v>
      </c>
      <c r="G1071" s="23" t="str">
        <f>IF(OR(E1071="",E1071="!!!"),"",IF(OR(J1071=0,AND(J1071=1,K1071=1),AND(J1071=1,I1071="SBJ"),AND(J1071=1,I1071=0)),"?IN_FOCUS",IF(J1071&lt;=2,"?ACTIVATED",IF(J1071&lt;&gt;"","?FAMILIAR",IF(F1071="NEW",IF(ISNA(VLOOKUP(E1071,#REF!,1,FALSE())),"?TYPE_IDENTIFIABLE","?REFERENTIAL"),"_")))))</f>
        <v> </v>
      </c>
      <c r="H1071" s="24" t="str">
        <f>IF(J1071&lt;&gt;1,"",IF(I1071="SBJ","CB","?"))</f>
        <v> </v>
      </c>
      <c r="I1071" s="25" t="str">
        <f>IF(OR(E1071="",E1071="!!!",F1071="NEW"),"",INDEX(B1070:B$2,-1+SUMPRODUCT(MAX(ROW(E1070:E$2)*(E1071=E1070:E$2)))))</f>
        <v> </v>
      </c>
      <c r="J1071" s="25" t="str">
        <f>IF(OR(E1071="",E1071="!!!",F1071="NEW"),"",COUNTBLANK(OFFSET(A$1,,,SUMPRODUCT(MAX(ROW(E$2:E1071)*(E1071=E$2:E1071)))))-COUNTBLANK(OFFSET(A$1,,,SUMPRODUCT(MAX(ROW(E$1:E1070)*(E2=E$1:E1070))))))</f>
        <v> </v>
      </c>
      <c r="K1071" s="25" t="str">
        <f>IF(OR(E1071="",E1071="!!!",F1071="NEW"),"",INDEX(J$1:J1070,SUMPRODUCT(MAX(ROW(E$1:E1070)*(E1071=E$1:E1070)))))</f>
        <v> </v>
      </c>
      <c r="L1071" s="26"/>
    </row>
    <row r="1072" spans="1:12">
      <c r="A1072" s="20" t="s">
        <v>1100</v>
      </c>
      <c r="B1072" s="27" t="s">
        <v>725</v>
      </c>
      <c r="C1072" s="27" t="s">
        <v>622</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884</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633</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row>
    <row r="1076" spans="1:12">
      <c r="A1076" s="20" t="s">
        <v>1102</v>
      </c>
    </row>
    <row r="1077" spans="1:12">
      <c r="A1077" s="20" t="s">
        <v>1103</v>
      </c>
      <c r="B1077" s="27" t="s">
        <v>611</v>
      </c>
      <c r="C1077" s="27" t="s">
        <v>626</v>
      </c>
      <c r="E1077" s="21">
        <f>IF(D1077="?OLD","!!!","")</f>
        <v/>
      </c>
      <c r="F1077" s="22" t="str">
        <f>IF(OR(E1077="",E1077="!!!"),"",IF(NOT(ISNA(VLOOKUP(E1077,E$1:E1076,1,FALSE()))),"OLD",IF(AND(E1077&lt;&gt;"",E1077&lt;&gt;"!!!"),"NEW","")))</f>
        <v> </v>
      </c>
      <c r="G1077" s="23" t="str">
        <f>IF(OR(E1077="",E1077="!!!"),"",IF(OR(J1077=0,AND(J1077=1,K1077=1),AND(J1077=1,I1077="SBJ"),AND(J1077=1,I1077=0)),"?IN_FOCUS",IF(J1077&lt;=2,"?ACTIVATED",IF(J1077&lt;&gt;"","?FAMILIAR",IF(F1077="NEW",IF(ISNA(VLOOKUP(E1077,#REF!,1,FALSE())),"?TYPE_IDENTIFIABLE","?REFERENTIAL"),"_")))))</f>
        <v> </v>
      </c>
      <c r="H1077" s="24" t="str">
        <f>IF(J1077&lt;&gt;1,"",IF(I1077="SBJ","CB","?"))</f>
        <v> </v>
      </c>
      <c r="I1077" s="25" t="str">
        <f>IF(OR(E1077="",E1077="!!!",F1077="NEW"),"",INDEX(B1076:B$2,-1+SUMPRODUCT(MAX(ROW(E1076:E$2)*(E1077=E1076:E$2)))))</f>
        <v> </v>
      </c>
      <c r="J1077" s="25" t="str">
        <f>IF(OR(E1077="",E1077="!!!",F1077="NEW"),"",COUNTBLANK(OFFSET(A$1,,,SUMPRODUCT(MAX(ROW(E$2:E1077)*(E1077=E$2:E1077)))))-COUNTBLANK(OFFSET(A$1,,,SUMPRODUCT(MAX(ROW(E$1:E1076)*(E2=E$1:E1076))))))</f>
        <v> </v>
      </c>
      <c r="K1077" s="25" t="str">
        <f>IF(OR(E1077="",E1077="!!!",F1077="NEW"),"",INDEX(J$1:J1076,SUMPRODUCT(MAX(ROW(E$1:E1076)*(E1077=E$1:E1076)))))</f>
        <v> </v>
      </c>
      <c r="L1077" s="26"/>
    </row>
    <row r="1078" spans="1:12">
      <c r="A1078" s="20" t="s">
        <v>603</v>
      </c>
      <c r="E1078" s="21">
        <f>IF(D1078="?OLD","!!!","")</f>
        <v/>
      </c>
      <c r="F1078" s="22" t="str">
        <f>IF(OR(E1078="",E1078="!!!"),"",IF(NOT(ISNA(VLOOKUP(E1078,E$1:E1077,1,FALSE()))),"OLD",IF(AND(E1078&lt;&gt;"",E1078&lt;&gt;"!!!"),"NEW","")))</f>
        <v> </v>
      </c>
      <c r="G1078" s="23" t="str">
        <f>IF(OR(E1078="",E1078="!!!"),"",IF(OR(J1078=0,AND(J1078=1,K1078=1),AND(J1078=1,I1078="SBJ"),AND(J1078=1,I1078=0)),"?IN_FOCUS",IF(J1078&lt;=2,"?ACTIVATED",IF(J1078&lt;&gt;"","?FAMILIAR",IF(F1078="NEW",IF(ISNA(VLOOKUP(E1078,#REF!,1,FALSE())),"?TYPE_IDENTIFIABLE","?REFERENTIAL"),"_")))))</f>
        <v> </v>
      </c>
      <c r="H1078" s="24" t="str">
        <f>IF(J1078&lt;&gt;1,"",IF(I1078="SBJ","CB","?"))</f>
        <v> </v>
      </c>
      <c r="I1078" s="25" t="str">
        <f>IF(OR(E1078="",E1078="!!!",F1078="NEW"),"",INDEX(B1077:B$2,-1+SUMPRODUCT(MAX(ROW(E1077:E$2)*(E1078=E1077:E$2)))))</f>
        <v> </v>
      </c>
      <c r="J1078" s="25" t="str">
        <f>IF(OR(E1078="",E1078="!!!",F1078="NEW"),"",COUNTBLANK(OFFSET(A$1,,,SUMPRODUCT(MAX(ROW(E$2:E1078)*(E1078=E$2:E1078)))))-COUNTBLANK(OFFSET(A$1,,,SUMPRODUCT(MAX(ROW(E$1:E1077)*(E2=E$1:E1077))))))</f>
        <v> </v>
      </c>
      <c r="K1078" s="25" t="str">
        <f>IF(OR(E1078="",E1078="!!!",F1078="NEW"),"",INDEX(J$1:J1077,SUMPRODUCT(MAX(ROW(E$1:E1077)*(E1078=E$1:E1077)))))</f>
        <v> </v>
      </c>
      <c r="L1078" s="26"/>
    </row>
    <row r="1079" spans="1:12">
      <c r="A1079" s="20" t="s">
        <v>938</v>
      </c>
      <c r="B1079" s="27" t="s">
        <v>606</v>
      </c>
      <c r="C1079" s="27" t="s">
        <v>626</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t="s">
        <v>1104</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t="s">
        <v>807</v>
      </c>
      <c r="B1081" s="27" t="s">
        <v>636</v>
      </c>
      <c r="C1081" s="27" t="s">
        <v>652</v>
      </c>
      <c r="D1081" s="27" t="s">
        <v>608</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t="s">
        <v>759</v>
      </c>
      <c r="E1082" s="21">
        <f>IF(D1082="?OLD","!!!","")</f>
        <v/>
      </c>
      <c r="F1082" s="22" t="str">
        <f>IF(OR(E1082="",E1082="!!!"),"",IF(NOT(ISNA(VLOOKUP(E1082,E$1:E1081,1,FALSE()))),"OLD",IF(AND(E1082&lt;&gt;"",E1082&lt;&gt;"!!!"),"NEW","")))</f>
        <v> </v>
      </c>
      <c r="G1082" s="23" t="str">
        <f>IF(OR(E1082="",E1082="!!!"),"",IF(OR(J1082=0,AND(J1082=1,K1082=1),AND(J1082=1,I1082="SBJ"),AND(J1082=1,I1082=0)),"?IN_FOCUS",IF(J1082&lt;=2,"?ACTIVATED",IF(J1082&lt;&gt;"","?FAMILIAR",IF(F1082="NEW",IF(ISNA(VLOOKUP(E1082,#REF!,1,FALSE())),"?TYPE_IDENTIFIABLE","?REFERENTIAL"),"_")))))</f>
        <v> </v>
      </c>
      <c r="H1082" s="24" t="str">
        <f>IF(J1082&lt;&gt;1,"",IF(I1082="SBJ","CB","?"))</f>
        <v> </v>
      </c>
      <c r="I1082" s="25" t="str">
        <f>IF(OR(E1082="",E1082="!!!",F1082="NEW"),"",INDEX(B1081:B$2,-1+SUMPRODUCT(MAX(ROW(E1081:E$2)*(E1082=E1081:E$2)))))</f>
        <v> </v>
      </c>
      <c r="J1082" s="25" t="str">
        <f>IF(OR(E1082="",E1082="!!!",F1082="NEW"),"",COUNTBLANK(OFFSET(A$1,,,SUMPRODUCT(MAX(ROW(E$2:E1082)*(E1082=E$2:E1082)))))-COUNTBLANK(OFFSET(A$1,,,SUMPRODUCT(MAX(ROW(E$1:E1081)*(E2=E$1:E1081))))))</f>
        <v> </v>
      </c>
      <c r="K1082" s="25" t="str">
        <f>IF(OR(E1082="",E1082="!!!",F1082="NEW"),"",INDEX(J$1:J1081,SUMPRODUCT(MAX(ROW(E$1:E1081)*(E1082=E$1:E1081)))))</f>
        <v> </v>
      </c>
      <c r="L1082" s="26"/>
    </row>
    <row r="1083" spans="1:12">
      <c r="A1083" s="20" t="s">
        <v>603</v>
      </c>
      <c r="E1083" s="21">
        <f>IF(D1083="?OLD","!!!","")</f>
        <v/>
      </c>
      <c r="F1083" s="22" t="str">
        <f>IF(OR(E1083="",E1083="!!!"),"",IF(NOT(ISNA(VLOOKUP(E1083,E$1:E1082,1,FALSE()))),"OLD",IF(AND(E1083&lt;&gt;"",E1083&lt;&gt;"!!!"),"NEW","")))</f>
        <v> </v>
      </c>
      <c r="G1083" s="23" t="str">
        <f>IF(OR(E1083="",E1083="!!!"),"",IF(OR(J1083=0,AND(J1083=1,K1083=1),AND(J1083=1,I1083="SBJ"),AND(J1083=1,I1083=0)),"?IN_FOCUS",IF(J1083&lt;=2,"?ACTIVATED",IF(J1083&lt;&gt;"","?FAMILIAR",IF(F1083="NEW",IF(ISNA(VLOOKUP(E1083,#REF!,1,FALSE())),"?TYPE_IDENTIFIABLE","?REFERENTIAL"),"_")))))</f>
        <v> </v>
      </c>
      <c r="H1083" s="24" t="str">
        <f>IF(J1083&lt;&gt;1,"",IF(I1083="SBJ","CB","?"))</f>
        <v> </v>
      </c>
      <c r="I1083" s="25" t="str">
        <f>IF(OR(E1083="",E1083="!!!",F1083="NEW"),"",INDEX(B1082:B$2,-1+SUMPRODUCT(MAX(ROW(E1082:E$2)*(E1083=E1082:E$2)))))</f>
        <v> </v>
      </c>
      <c r="J1083" s="25" t="str">
        <f>IF(OR(E1083="",E1083="!!!",F1083="NEW"),"",COUNTBLANK(OFFSET(A$1,,,SUMPRODUCT(MAX(ROW(E$2:E1083)*(E1083=E$2:E1083)))))-COUNTBLANK(OFFSET(A$1,,,SUMPRODUCT(MAX(ROW(E$1:E1082)*(E2=E$1:E1082))))))</f>
        <v> </v>
      </c>
      <c r="K1083" s="25" t="str">
        <f>IF(OR(E1083="",E1083="!!!",F1083="NEW"),"",INDEX(J$1:J1082,SUMPRODUCT(MAX(ROW(E$1:E1082)*(E1083=E$1:E1082)))))</f>
        <v> </v>
      </c>
      <c r="L1083" s="26"/>
    </row>
    <row r="1084" spans="1:12">
      <c r="A1084" s="20" t="s">
        <v>1105</v>
      </c>
      <c r="B1084" s="27" t="s">
        <v>606</v>
      </c>
      <c r="C1084" s="27" t="s">
        <v>607</v>
      </c>
      <c r="D1084" s="27" t="s">
        <v>608</v>
      </c>
      <c r="E1084" s="21">
        <f>IF(D1084="?OLD","!!!","")</f>
        <v/>
      </c>
      <c r="F1084" s="22" t="str">
        <f>IF(OR(E1084="",E1084="!!!"),"",IF(NOT(ISNA(VLOOKUP(E1084,E$1:E1083,1,FALSE()))),"OLD",IF(AND(E1084&lt;&gt;"",E1084&lt;&gt;"!!!"),"NEW","")))</f>
        <v> </v>
      </c>
      <c r="G1084" s="23" t="str">
        <f>IF(OR(E1084="",E1084="!!!"),"",IF(OR(J1084=0,AND(J1084=1,K1084=1),AND(J1084=1,I1084="SBJ"),AND(J1084=1,I1084=0)),"?IN_FOCUS",IF(J1084&lt;=2,"?ACTIVATED",IF(J1084&lt;&gt;"","?FAMILIAR",IF(F1084="NEW",IF(ISNA(VLOOKUP(E1084,#REF!,1,FALSE())),"?TYPE_IDENTIFIABLE","?REFERENTIAL"),"_")))))</f>
        <v> </v>
      </c>
      <c r="H1084" s="24" t="str">
        <f>IF(J1084&lt;&gt;1,"",IF(I1084="SBJ","CB","?"))</f>
        <v> </v>
      </c>
      <c r="I1084" s="25" t="str">
        <f>IF(OR(E1084="",E1084="!!!",F1084="NEW"),"",INDEX(B1083:B$2,-1+SUMPRODUCT(MAX(ROW(E1083:E$2)*(E1084=E1083:E$2)))))</f>
        <v> </v>
      </c>
      <c r="J1084" s="25" t="str">
        <f>IF(OR(E1084="",E1084="!!!",F1084="NEW"),"",COUNTBLANK(OFFSET(A$1,,,SUMPRODUCT(MAX(ROW(E$2:E1084)*(E1084=E$2:E1084)))))-COUNTBLANK(OFFSET(A$1,,,SUMPRODUCT(MAX(ROW(E$1:E1083)*(E2=E$1:E1083))))))</f>
        <v> </v>
      </c>
      <c r="K1084" s="25" t="str">
        <f>IF(OR(E1084="",E1084="!!!",F1084="NEW"),"",INDEX(J$1:J1083,SUMPRODUCT(MAX(ROW(E$1:E1083)*(E1084=E$1:E1083)))))</f>
        <v> </v>
      </c>
      <c r="L1084" s="26"/>
    </row>
    <row r="1085" spans="1:12">
      <c r="A1085" s="20" t="s">
        <v>663</v>
      </c>
      <c r="E1085" s="21">
        <f>IF(D1085="?OLD","!!!","")</f>
        <v/>
      </c>
      <c r="F1085" s="22" t="str">
        <f>IF(OR(E1085="",E1085="!!!"),"",IF(NOT(ISNA(VLOOKUP(E1085,E$1:E1084,1,FALSE()))),"OLD",IF(AND(E1085&lt;&gt;"",E1085&lt;&gt;"!!!"),"NEW","")))</f>
        <v> </v>
      </c>
      <c r="G1085" s="23" t="str">
        <f>IF(OR(E1085="",E1085="!!!"),"",IF(OR(J1085=0,AND(J1085=1,K1085=1),AND(J1085=1,I1085="SBJ"),AND(J1085=1,I1085=0)),"?IN_FOCUS",IF(J1085&lt;=2,"?ACTIVATED",IF(J1085&lt;&gt;"","?FAMILIAR",IF(F1085="NEW",IF(ISNA(VLOOKUP(E1085,#REF!,1,FALSE())),"?TYPE_IDENTIFIABLE","?REFERENTIAL"),"_")))))</f>
        <v> </v>
      </c>
      <c r="H1085" s="24" t="str">
        <f>IF(J1085&lt;&gt;1,"",IF(I1085="SBJ","CB","?"))</f>
        <v> </v>
      </c>
      <c r="I1085" s="25" t="str">
        <f>IF(OR(E1085="",E1085="!!!",F1085="NEW"),"",INDEX(B1084:B$2,-1+SUMPRODUCT(MAX(ROW(E1084:E$2)*(E1085=E1084:E$2)))))</f>
        <v> </v>
      </c>
      <c r="J1085" s="25" t="str">
        <f>IF(OR(E1085="",E1085="!!!",F1085="NEW"),"",COUNTBLANK(OFFSET(A$1,,,SUMPRODUCT(MAX(ROW(E$2:E1085)*(E1085=E$2:E1085)))))-COUNTBLANK(OFFSET(A$1,,,SUMPRODUCT(MAX(ROW(E$1:E1084)*(E2=E$1:E1084))))))</f>
        <v> </v>
      </c>
      <c r="K1085" s="25" t="str">
        <f>IF(OR(E1085="",E1085="!!!",F1085="NEW"),"",INDEX(J$1:J1084,SUMPRODUCT(MAX(ROW(E$1:E1084)*(E1085=E$1:E1084)))))</f>
        <v> </v>
      </c>
      <c r="L1085" s="26"/>
    </row>
    <row r="1086" spans="1:12">
      <c r="A1086" s="20" t="s">
        <v>609</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t="s">
        <v>1106</v>
      </c>
      <c r="B1087" s="27" t="s">
        <v>611</v>
      </c>
      <c r="C1087" s="27" t="s">
        <v>607</v>
      </c>
      <c r="D1087" s="27" t="s">
        <v>608</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t="s">
        <v>663</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t="s">
        <v>1107</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1002</v>
      </c>
      <c r="E1090" s="21">
        <f>IF(D1090="?OLD","!!!","")</f>
        <v/>
      </c>
      <c r="F1090" s="22" t="str">
        <f>IF(OR(E1090="",E1090="!!!"),"",IF(NOT(ISNA(VLOOKUP(E1090,E$1:E1089,1,FALSE()))),"OLD",IF(AND(E1090&lt;&gt;"",E1090&lt;&gt;"!!!"),"NEW","")))</f>
        <v> </v>
      </c>
      <c r="G1090" s="23" t="str">
        <f>IF(OR(E1090="",E1090="!!!"),"",IF(OR(J1090=0,AND(J1090=1,K1090=1),AND(J1090=1,I1090="SBJ"),AND(J1090=1,I1090=0)),"?IN_FOCUS",IF(J1090&lt;=2,"?ACTIVATED",IF(J1090&lt;&gt;"","?FAMILIAR",IF(F1090="NEW",IF(ISNA(VLOOKUP(E1090,#REF!,1,FALSE())),"?TYPE_IDENTIFIABLE","?REFERENTIAL"),"_")))))</f>
        <v> </v>
      </c>
      <c r="H1090" s="24" t="str">
        <f>IF(J1090&lt;&gt;1,"",IF(I1090="SBJ","CB","?"))</f>
        <v> </v>
      </c>
      <c r="I1090" s="25" t="str">
        <f>IF(OR(E1090="",E1090="!!!",F1090="NEW"),"",INDEX(B1089:B$2,-1+SUMPRODUCT(MAX(ROW(E1089:E$2)*(E1090=E1089:E$2)))))</f>
        <v> </v>
      </c>
      <c r="J1090" s="25" t="str">
        <f>IF(OR(E1090="",E1090="!!!",F1090="NEW"),"",COUNTBLANK(OFFSET(A$1,,,SUMPRODUCT(MAX(ROW(E$2:E1090)*(E1090=E$2:E1090)))))-COUNTBLANK(OFFSET(A$1,,,SUMPRODUCT(MAX(ROW(E$1:E1089)*(E2=E$1:E1089))))))</f>
        <v> </v>
      </c>
      <c r="K1090" s="25" t="str">
        <f>IF(OR(E1090="",E1090="!!!",F1090="NEW"),"",INDEX(J$1:J1089,SUMPRODUCT(MAX(ROW(E$1:E1089)*(E1090=E$1:E1089)))))</f>
        <v> </v>
      </c>
      <c r="L1090" s="26"/>
    </row>
    <row r="1091" spans="1:12">
      <c r="A1091" s="20" t="s">
        <v>1108</v>
      </c>
      <c r="E1091" s="21">
        <f>IF(D1091="?OLD","!!!","")</f>
        <v/>
      </c>
      <c r="F1091" s="22" t="str">
        <f>IF(OR(E1091="",E1091="!!!"),"",IF(NOT(ISNA(VLOOKUP(E1091,E$1:E1090,1,FALSE()))),"OLD",IF(AND(E1091&lt;&gt;"",E1091&lt;&gt;"!!!"),"NEW","")))</f>
        <v> </v>
      </c>
      <c r="G1091" s="23" t="str">
        <f>IF(OR(E1091="",E1091="!!!"),"",IF(OR(J1091=0,AND(J1091=1,K1091=1),AND(J1091=1,I1091="SBJ"),AND(J1091=1,I1091=0)),"?IN_FOCUS",IF(J1091&lt;=2,"?ACTIVATED",IF(J1091&lt;&gt;"","?FAMILIAR",IF(F1091="NEW",IF(ISNA(VLOOKUP(E1091,#REF!,1,FALSE())),"?TYPE_IDENTIFIABLE","?REFERENTIAL"),"_")))))</f>
        <v> </v>
      </c>
      <c r="H1091" s="24" t="str">
        <f>IF(J1091&lt;&gt;1,"",IF(I1091="SBJ","CB","?"))</f>
        <v> </v>
      </c>
      <c r="I1091" s="25" t="str">
        <f>IF(OR(E1091="",E1091="!!!",F1091="NEW"),"",INDEX(B1090:B$2,-1+SUMPRODUCT(MAX(ROW(E1090:E$2)*(E1091=E1090:E$2)))))</f>
        <v> </v>
      </c>
      <c r="J1091" s="25" t="str">
        <f>IF(OR(E1091="",E1091="!!!",F1091="NEW"),"",COUNTBLANK(OFFSET(A$1,,,SUMPRODUCT(MAX(ROW(E$2:E1091)*(E1091=E$2:E1091)))))-COUNTBLANK(OFFSET(A$1,,,SUMPRODUCT(MAX(ROW(E$1:E1090)*(E2=E$1:E1090))))))</f>
        <v> </v>
      </c>
      <c r="K1091" s="25" t="str">
        <f>IF(OR(E1091="",E1091="!!!",F1091="NEW"),"",INDEX(J$1:J1090,SUMPRODUCT(MAX(ROW(E$1:E1090)*(E1091=E$1:E1090)))))</f>
        <v> </v>
      </c>
      <c r="L1091" s="26"/>
    </row>
    <row r="1092" spans="1:12">
      <c r="A1092" s="20" t="s">
        <v>1035</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t="s">
        <v>617</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t="s">
        <v>1109</v>
      </c>
      <c r="E1094" s="21">
        <f>IF(D1094="?OLD","!!!","")</f>
        <v/>
      </c>
      <c r="F1094" s="22" t="str">
        <f>IF(OR(E1094="",E1094="!!!"),"",IF(NOT(ISNA(VLOOKUP(E1094,E$1:E1093,1,FALSE()))),"OLD",IF(AND(E1094&lt;&gt;"",E1094&lt;&gt;"!!!"),"NEW","")))</f>
        <v> </v>
      </c>
      <c r="G1094" s="23" t="str">
        <f>IF(OR(E1094="",E1094="!!!"),"",IF(OR(J1094=0,AND(J1094=1,K1094=1),AND(J1094=1,I1094="SBJ"),AND(J1094=1,I1094=0)),"?IN_FOCUS",IF(J1094&lt;=2,"?ACTIVATED",IF(J1094&lt;&gt;"","?FAMILIAR",IF(F1094="NEW",IF(ISNA(VLOOKUP(E1094,#REF!,1,FALSE())),"?TYPE_IDENTIFIABLE","?REFERENTIAL"),"_")))))</f>
        <v> </v>
      </c>
      <c r="H1094" s="24" t="str">
        <f>IF(J1094&lt;&gt;1,"",IF(I1094="SBJ","CB","?"))</f>
        <v> </v>
      </c>
      <c r="I1094" s="25" t="str">
        <f>IF(OR(E1094="",E1094="!!!",F1094="NEW"),"",INDEX(B1093:B$2,-1+SUMPRODUCT(MAX(ROW(E1093:E$2)*(E1094=E1093:E$2)))))</f>
        <v> </v>
      </c>
      <c r="J1094" s="25" t="str">
        <f>IF(OR(E1094="",E1094="!!!",F1094="NEW"),"",COUNTBLANK(OFFSET(A$1,,,SUMPRODUCT(MAX(ROW(E$2:E1094)*(E1094=E$2:E1094)))))-COUNTBLANK(OFFSET(A$1,,,SUMPRODUCT(MAX(ROW(E$1:E1093)*(E2=E$1:E1093))))))</f>
        <v> </v>
      </c>
      <c r="K1094" s="25" t="str">
        <f>IF(OR(E1094="",E1094="!!!",F1094="NEW"),"",INDEX(J$1:J1093,SUMPRODUCT(MAX(ROW(E$1:E1093)*(E1094=E$1:E1093)))))</f>
        <v> </v>
      </c>
      <c r="L1094" s="26"/>
    </row>
    <row r="1095" spans="1:12">
      <c r="A1095" s="20" t="s">
        <v>1110</v>
      </c>
      <c r="B1095" s="27" t="s">
        <v>619</v>
      </c>
      <c r="C1095" s="27" t="s">
        <v>622</v>
      </c>
      <c r="E1095" s="21">
        <f>IF(D1095="?OLD","!!!","")</f>
        <v/>
      </c>
      <c r="F1095" s="22" t="str">
        <f>IF(OR(E1095="",E1095="!!!"),"",IF(NOT(ISNA(VLOOKUP(E1095,E$1:E1094,1,FALSE()))),"OLD",IF(AND(E1095&lt;&gt;"",E1095&lt;&gt;"!!!"),"NEW","")))</f>
        <v> </v>
      </c>
      <c r="G1095" s="23" t="str">
        <f>IF(OR(E1095="",E1095="!!!"),"",IF(OR(J1095=0,AND(J1095=1,K1095=1),AND(J1095=1,I1095="SBJ"),AND(J1095=1,I1095=0)),"?IN_FOCUS",IF(J1095&lt;=2,"?ACTIVATED",IF(J1095&lt;&gt;"","?FAMILIAR",IF(F1095="NEW",IF(ISNA(VLOOKUP(E1095,#REF!,1,FALSE())),"?TYPE_IDENTIFIABLE","?REFERENTIAL"),"_")))))</f>
        <v> </v>
      </c>
      <c r="H1095" s="24" t="str">
        <f>IF(J1095&lt;&gt;1,"",IF(I1095="SBJ","CB","?"))</f>
        <v> </v>
      </c>
      <c r="I1095" s="25" t="str">
        <f>IF(OR(E1095="",E1095="!!!",F1095="NEW"),"",INDEX(B1094:B$2,-1+SUMPRODUCT(MAX(ROW(E1094:E$2)*(E1095=E1094:E$2)))))</f>
        <v> </v>
      </c>
      <c r="J1095" s="25" t="str">
        <f>IF(OR(E1095="",E1095="!!!",F1095="NEW"),"",COUNTBLANK(OFFSET(A$1,,,SUMPRODUCT(MAX(ROW(E$2:E1095)*(E1095=E$2:E1095)))))-COUNTBLANK(OFFSET(A$1,,,SUMPRODUCT(MAX(ROW(E$1:E1094)*(E2=E$1:E1094))))))</f>
        <v> </v>
      </c>
      <c r="K1095" s="25" t="str">
        <f>IF(OR(E1095="",E1095="!!!",F1095="NEW"),"",INDEX(J$1:J1094,SUMPRODUCT(MAX(ROW(E$1:E1094)*(E1095=E$1:E1094)))))</f>
        <v> </v>
      </c>
      <c r="L1095" s="26"/>
    </row>
    <row r="1096" spans="1:12">
      <c r="A1096" s="20" t="s">
        <v>801</v>
      </c>
      <c r="E1096" s="21">
        <f>IF(D1096="?OLD","!!!","")</f>
        <v/>
      </c>
      <c r="F1096" s="22" t="str">
        <f>IF(OR(E1096="",E1096="!!!"),"",IF(NOT(ISNA(VLOOKUP(E1096,E$1:E1095,1,FALSE()))),"OLD",IF(AND(E1096&lt;&gt;"",E1096&lt;&gt;"!!!"),"NEW","")))</f>
        <v> </v>
      </c>
      <c r="G1096" s="23" t="str">
        <f>IF(OR(E1096="",E1096="!!!"),"",IF(OR(J1096=0,AND(J1096=1,K1096=1),AND(J1096=1,I1096="SBJ"),AND(J1096=1,I1096=0)),"?IN_FOCUS",IF(J1096&lt;=2,"?ACTIVATED",IF(J1096&lt;&gt;"","?FAMILIAR",IF(F1096="NEW",IF(ISNA(VLOOKUP(E1096,#REF!,1,FALSE())),"?TYPE_IDENTIFIABLE","?REFERENTIAL"),"_")))))</f>
        <v> </v>
      </c>
      <c r="H1096" s="24" t="str">
        <f>IF(J1096&lt;&gt;1,"",IF(I1096="SBJ","CB","?"))</f>
        <v> </v>
      </c>
      <c r="I1096" s="25" t="str">
        <f>IF(OR(E1096="",E1096="!!!",F1096="NEW"),"",INDEX(B1095:B$2,-1+SUMPRODUCT(MAX(ROW(E1095:E$2)*(E1096=E1095:E$2)))))</f>
        <v> </v>
      </c>
      <c r="J1096" s="25" t="str">
        <f>IF(OR(E1096="",E1096="!!!",F1096="NEW"),"",COUNTBLANK(OFFSET(A$1,,,SUMPRODUCT(MAX(ROW(E$2:E1096)*(E1096=E$2:E1096)))))-COUNTBLANK(OFFSET(A$1,,,SUMPRODUCT(MAX(ROW(E$1:E1095)*(E2=E$1:E1095))))))</f>
        <v> </v>
      </c>
      <c r="K1096" s="25" t="str">
        <f>IF(OR(E1096="",E1096="!!!",F1096="NEW"),"",INDEX(J$1:J1095,SUMPRODUCT(MAX(ROW(E$1:E1095)*(E1096=E$1:E1095)))))</f>
        <v> </v>
      </c>
      <c r="L1096" s="26"/>
    </row>
    <row r="1097" spans="1:12">
      <c r="A1097" s="20" t="s">
        <v>658</v>
      </c>
      <c r="E1097" s="21">
        <f>IF(D1097="?OLD","!!!","")</f>
        <v/>
      </c>
      <c r="F1097" s="22" t="str">
        <f>IF(OR(E1097="",E1097="!!!"),"",IF(NOT(ISNA(VLOOKUP(E1097,E$1:E1096,1,FALSE()))),"OLD",IF(AND(E1097&lt;&gt;"",E1097&lt;&gt;"!!!"),"NEW","")))</f>
        <v> </v>
      </c>
      <c r="G1097" s="23" t="str">
        <f>IF(OR(E1097="",E1097="!!!"),"",IF(OR(J1097=0,AND(J1097=1,K1097=1),AND(J1097=1,I1097="SBJ"),AND(J1097=1,I1097=0)),"?IN_FOCUS",IF(J1097&lt;=2,"?ACTIVATED",IF(J1097&lt;&gt;"","?FAMILIAR",IF(F1097="NEW",IF(ISNA(VLOOKUP(E1097,#REF!,1,FALSE())),"?TYPE_IDENTIFIABLE","?REFERENTIAL"),"_")))))</f>
        <v> </v>
      </c>
      <c r="H1097" s="24" t="str">
        <f>IF(J1097&lt;&gt;1,"",IF(I1097="SBJ","CB","?"))</f>
        <v> </v>
      </c>
      <c r="I1097" s="25" t="str">
        <f>IF(OR(E1097="",E1097="!!!",F1097="NEW"),"",INDEX(B1096:B$2,-1+SUMPRODUCT(MAX(ROW(E1096:E$2)*(E1097=E1096:E$2)))))</f>
        <v> </v>
      </c>
      <c r="J1097" s="25" t="str">
        <f>IF(OR(E1097="",E1097="!!!",F1097="NEW"),"",COUNTBLANK(OFFSET(A$1,,,SUMPRODUCT(MAX(ROW(E$2:E1097)*(E1097=E$2:E1097)))))-COUNTBLANK(OFFSET(A$1,,,SUMPRODUCT(MAX(ROW(E$1:E1096)*(E2=E$1:E1096))))))</f>
        <v> </v>
      </c>
      <c r="K1097" s="25" t="str">
        <f>IF(OR(E1097="",E1097="!!!",F1097="NEW"),"",INDEX(J$1:J1096,SUMPRODUCT(MAX(ROW(E$1:E1096)*(E1097=E$1:E1096)))))</f>
        <v> </v>
      </c>
      <c r="L1097" s="26"/>
    </row>
    <row r="1098" spans="1:12">
      <c r="A1098" s="20" t="s">
        <v>1111</v>
      </c>
      <c r="B1098" s="27" t="s">
        <v>625</v>
      </c>
      <c r="C1098" s="27" t="s">
        <v>607</v>
      </c>
      <c r="D1098" s="27" t="s">
        <v>608</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t="s">
        <v>127</v>
      </c>
      <c r="E1099" s="21">
        <f>IF(D1099="?OLD","!!!","")</f>
        <v/>
      </c>
      <c r="F1099" s="22" t="str">
        <f>IF(OR(E1099="",E1099="!!!"),"",IF(NOT(ISNA(VLOOKUP(E1099,E$1:E1098,1,FALSE()))),"OLD",IF(AND(E1099&lt;&gt;"",E1099&lt;&gt;"!!!"),"NEW","")))</f>
        <v> </v>
      </c>
      <c r="G1099" s="23" t="str">
        <f>IF(OR(E1099="",E1099="!!!"),"",IF(OR(J1099=0,AND(J1099=1,K1099=1),AND(J1099=1,I1099="SBJ"),AND(J1099=1,I1099=0)),"?IN_FOCUS",IF(J1099&lt;=2,"?ACTIVATED",IF(J1099&lt;&gt;"","?FAMILIAR",IF(F1099="NEW",IF(ISNA(VLOOKUP(E1099,#REF!,1,FALSE())),"?TYPE_IDENTIFIABLE","?REFERENTIAL"),"_")))))</f>
        <v> </v>
      </c>
      <c r="H1099" s="24" t="str">
        <f>IF(J1099&lt;&gt;1,"",IF(I1099="SBJ","CB","?"))</f>
        <v> </v>
      </c>
      <c r="I1099" s="25" t="str">
        <f>IF(OR(E1099="",E1099="!!!",F1099="NEW"),"",INDEX(B1098:B$2,-1+SUMPRODUCT(MAX(ROW(E1098:E$2)*(E1099=E1098:E$2)))))</f>
        <v> </v>
      </c>
      <c r="J1099" s="25" t="str">
        <f>IF(OR(E1099="",E1099="!!!",F1099="NEW"),"",COUNTBLANK(OFFSET(A$1,,,SUMPRODUCT(MAX(ROW(E$2:E1099)*(E1099=E$2:E1099)))))-COUNTBLANK(OFFSET(A$1,,,SUMPRODUCT(MAX(ROW(E$1:E1098)*(E2=E$1:E1098))))))</f>
        <v> </v>
      </c>
      <c r="K1099" s="25" t="str">
        <f>IF(OR(E1099="",E1099="!!!",F1099="NEW"),"",INDEX(J$1:J1098,SUMPRODUCT(MAX(ROW(E$1:E1098)*(E1099=E$1:E1098)))))</f>
        <v> </v>
      </c>
      <c r="L1099" s="26"/>
    </row>
    <row r="1100" spans="1:12">
      <c r="A1100" s="20" t="s">
        <v>644</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t="s">
        <v>1112</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t="s">
        <v>1113</v>
      </c>
      <c r="E1102" s="21">
        <f>IF(D1102="?OLD","!!!","")</f>
        <v/>
      </c>
      <c r="F1102" s="22" t="str">
        <f>IF(OR(E1102="",E1102="!!!"),"",IF(NOT(ISNA(VLOOKUP(E1102,E$1:E1101,1,FALSE()))),"OLD",IF(AND(E1102&lt;&gt;"",E1102&lt;&gt;"!!!"),"NEW","")))</f>
        <v> </v>
      </c>
      <c r="G1102" s="23" t="str">
        <f>IF(OR(E1102="",E1102="!!!"),"",IF(OR(J1102=0,AND(J1102=1,K1102=1),AND(J1102=1,I1102="SBJ"),AND(J1102=1,I1102=0)),"?IN_FOCUS",IF(J1102&lt;=2,"?ACTIVATED",IF(J1102&lt;&gt;"","?FAMILIAR",IF(F1102="NEW",IF(ISNA(VLOOKUP(E1102,#REF!,1,FALSE())),"?TYPE_IDENTIFIABLE","?REFERENTIAL"),"_")))))</f>
        <v> </v>
      </c>
      <c r="H1102" s="24" t="str">
        <f>IF(J1102&lt;&gt;1,"",IF(I1102="SBJ","CB","?"))</f>
        <v> </v>
      </c>
      <c r="I1102" s="25" t="str">
        <f>IF(OR(E1102="",E1102="!!!",F1102="NEW"),"",INDEX(B1101:B$2,-1+SUMPRODUCT(MAX(ROW(E1101:E$2)*(E1102=E1101:E$2)))))</f>
        <v> </v>
      </c>
      <c r="J1102" s="25" t="str">
        <f>IF(OR(E1102="",E1102="!!!",F1102="NEW"),"",COUNTBLANK(OFFSET(A$1,,,SUMPRODUCT(MAX(ROW(E$2:E1102)*(E1102=E$2:E1102)))))-COUNTBLANK(OFFSET(A$1,,,SUMPRODUCT(MAX(ROW(E$1:E1101)*(E2=E$1:E1101))))))</f>
        <v> </v>
      </c>
      <c r="K1102" s="25" t="str">
        <f>IF(OR(E1102="",E1102="!!!",F1102="NEW"),"",INDEX(J$1:J1101,SUMPRODUCT(MAX(ROW(E$1:E1101)*(E1102=E$1:E1101)))))</f>
        <v> </v>
      </c>
      <c r="L1102" s="26"/>
    </row>
    <row r="1103" spans="1:12">
      <c r="A1103" s="20" t="s">
        <v>617</v>
      </c>
      <c r="E1103" s="21">
        <f>IF(D1103="?OLD","!!!","")</f>
        <v/>
      </c>
      <c r="F1103" s="22" t="str">
        <f>IF(OR(E1103="",E1103="!!!"),"",IF(NOT(ISNA(VLOOKUP(E1103,E$1:E1102,1,FALSE()))),"OLD",IF(AND(E1103&lt;&gt;"",E1103&lt;&gt;"!!!"),"NEW","")))</f>
        <v> </v>
      </c>
      <c r="G1103" s="23" t="str">
        <f>IF(OR(E1103="",E1103="!!!"),"",IF(OR(J1103=0,AND(J1103=1,K1103=1),AND(J1103=1,I1103="SBJ"),AND(J1103=1,I1103=0)),"?IN_FOCUS",IF(J1103&lt;=2,"?ACTIVATED",IF(J1103&lt;&gt;"","?FAMILIAR",IF(F1103="NEW",IF(ISNA(VLOOKUP(E1103,#REF!,1,FALSE())),"?TYPE_IDENTIFIABLE","?REFERENTIAL"),"_")))))</f>
        <v> </v>
      </c>
      <c r="H1103" s="24" t="str">
        <f>IF(J1103&lt;&gt;1,"",IF(I1103="SBJ","CB","?"))</f>
        <v> </v>
      </c>
      <c r="I1103" s="25" t="str">
        <f>IF(OR(E1103="",E1103="!!!",F1103="NEW"),"",INDEX(B1102:B$2,-1+SUMPRODUCT(MAX(ROW(E1102:E$2)*(E1103=E1102:E$2)))))</f>
        <v> </v>
      </c>
      <c r="J1103" s="25" t="str">
        <f>IF(OR(E1103="",E1103="!!!",F1103="NEW"),"",COUNTBLANK(OFFSET(A$1,,,SUMPRODUCT(MAX(ROW(E$2:E1103)*(E1103=E$2:E1103)))))-COUNTBLANK(OFFSET(A$1,,,SUMPRODUCT(MAX(ROW(E$1:E1102)*(E2=E$1:E1102))))))</f>
        <v> </v>
      </c>
      <c r="K1103" s="25" t="str">
        <f>IF(OR(E1103="",E1103="!!!",F1103="NEW"),"",INDEX(J$1:J1102,SUMPRODUCT(MAX(ROW(E$1:E1102)*(E1103=E$1:E1102)))))</f>
        <v> </v>
      </c>
      <c r="L1103" s="26"/>
    </row>
    <row r="1104" spans="1:12">
      <c r="A1104" s="20" t="s">
        <v>904</v>
      </c>
      <c r="E1104" s="21">
        <f>IF(D1104="?OLD","!!!","")</f>
        <v/>
      </c>
      <c r="F1104" s="22" t="str">
        <f>IF(OR(E1104="",E1104="!!!"),"",IF(NOT(ISNA(VLOOKUP(E1104,E$1:E1103,1,FALSE()))),"OLD",IF(AND(E1104&lt;&gt;"",E1104&lt;&gt;"!!!"),"NEW","")))</f>
        <v> </v>
      </c>
      <c r="G1104" s="23" t="str">
        <f>IF(OR(E1104="",E1104="!!!"),"",IF(OR(J1104=0,AND(J1104=1,K1104=1),AND(J1104=1,I1104="SBJ"),AND(J1104=1,I1104=0)),"?IN_FOCUS",IF(J1104&lt;=2,"?ACTIVATED",IF(J1104&lt;&gt;"","?FAMILIAR",IF(F1104="NEW",IF(ISNA(VLOOKUP(E1104,#REF!,1,FALSE())),"?TYPE_IDENTIFIABLE","?REFERENTIAL"),"_")))))</f>
        <v> </v>
      </c>
      <c r="H1104" s="24" t="str">
        <f>IF(J1104&lt;&gt;1,"",IF(I1104="SBJ","CB","?"))</f>
        <v> </v>
      </c>
      <c r="I1104" s="25" t="str">
        <f>IF(OR(E1104="",E1104="!!!",F1104="NEW"),"",INDEX(B1103:B$2,-1+SUMPRODUCT(MAX(ROW(E1103:E$2)*(E1104=E1103:E$2)))))</f>
        <v> </v>
      </c>
      <c r="J1104" s="25" t="str">
        <f>IF(OR(E1104="",E1104="!!!",F1104="NEW"),"",COUNTBLANK(OFFSET(A$1,,,SUMPRODUCT(MAX(ROW(E$2:E1104)*(E1104=E$2:E1104)))))-COUNTBLANK(OFFSET(A$1,,,SUMPRODUCT(MAX(ROW(E$1:E1103)*(E2=E$1:E1103))))))</f>
        <v> </v>
      </c>
      <c r="K1104" s="25" t="str">
        <f>IF(OR(E1104="",E1104="!!!",F1104="NEW"),"",INDEX(J$1:J1103,SUMPRODUCT(MAX(ROW(E$1:E1103)*(E1104=E$1:E1103)))))</f>
        <v> </v>
      </c>
      <c r="L1104" s="26"/>
    </row>
    <row r="1105" spans="1:12">
      <c r="A1105" s="20" t="s">
        <v>807</v>
      </c>
      <c r="B1105" s="27" t="s">
        <v>619</v>
      </c>
      <c r="C1105" s="27" t="s">
        <v>652</v>
      </c>
      <c r="D1105" s="27" t="s">
        <v>608</v>
      </c>
      <c r="E1105" s="21">
        <f>IF(D1105="?OLD","!!!","")</f>
        <v/>
      </c>
      <c r="F1105" s="22" t="str">
        <f>IF(OR(E1105="",E1105="!!!"),"",IF(NOT(ISNA(VLOOKUP(E1105,E$1:E1104,1,FALSE()))),"OLD",IF(AND(E1105&lt;&gt;"",E1105&lt;&gt;"!!!"),"NEW","")))</f>
        <v> </v>
      </c>
      <c r="G1105" s="23" t="str">
        <f>IF(OR(E1105="",E1105="!!!"),"",IF(OR(J1105=0,AND(J1105=1,K1105=1),AND(J1105=1,I1105="SBJ"),AND(J1105=1,I1105=0)),"?IN_FOCUS",IF(J1105&lt;=2,"?ACTIVATED",IF(J1105&lt;&gt;"","?FAMILIAR",IF(F1105="NEW",IF(ISNA(VLOOKUP(E1105,#REF!,1,FALSE())),"?TYPE_IDENTIFIABLE","?REFERENTIAL"),"_")))))</f>
        <v> </v>
      </c>
      <c r="H1105" s="24" t="str">
        <f>IF(J1105&lt;&gt;1,"",IF(I1105="SBJ","CB","?"))</f>
        <v> </v>
      </c>
      <c r="I1105" s="25" t="str">
        <f>IF(OR(E1105="",E1105="!!!",F1105="NEW"),"",INDEX(B1104:B$2,-1+SUMPRODUCT(MAX(ROW(E1104:E$2)*(E1105=E1104:E$2)))))</f>
        <v> </v>
      </c>
      <c r="J1105" s="25" t="str">
        <f>IF(OR(E1105="",E1105="!!!",F1105="NEW"),"",COUNTBLANK(OFFSET(A$1,,,SUMPRODUCT(MAX(ROW(E$2:E1105)*(E1105=E$2:E1105)))))-COUNTBLANK(OFFSET(A$1,,,SUMPRODUCT(MAX(ROW(E$1:E1104)*(E2=E$1:E1104))))))</f>
        <v> </v>
      </c>
      <c r="K1105" s="25" t="str">
        <f>IF(OR(E1105="",E1105="!!!",F1105="NEW"),"",INDEX(J$1:J1104,SUMPRODUCT(MAX(ROW(E$1:E1104)*(E1105=E$1:E1104)))))</f>
        <v> </v>
      </c>
      <c r="L1105" s="26"/>
    </row>
    <row r="1106" spans="1:12">
      <c r="A1106" s="20" t="s">
        <v>1114</v>
      </c>
      <c r="E1106" s="21">
        <f>IF(D1106="?OLD","!!!","")</f>
        <v/>
      </c>
      <c r="F1106" s="22" t="str">
        <f>IF(OR(E1106="",E1106="!!!"),"",IF(NOT(ISNA(VLOOKUP(E1106,E$1:E1105,1,FALSE()))),"OLD",IF(AND(E1106&lt;&gt;"",E1106&lt;&gt;"!!!"),"NEW","")))</f>
        <v> </v>
      </c>
      <c r="G1106" s="23" t="str">
        <f>IF(OR(E1106="",E1106="!!!"),"",IF(OR(J1106=0,AND(J1106=1,K1106=1),AND(J1106=1,I1106="SBJ"),AND(J1106=1,I1106=0)),"?IN_FOCUS",IF(J1106&lt;=2,"?ACTIVATED",IF(J1106&lt;&gt;"","?FAMILIAR",IF(F1106="NEW",IF(ISNA(VLOOKUP(E1106,#REF!,1,FALSE())),"?TYPE_IDENTIFIABLE","?REFERENTIAL"),"_")))))</f>
        <v> </v>
      </c>
      <c r="H1106" s="24" t="str">
        <f>IF(J1106&lt;&gt;1,"",IF(I1106="SBJ","CB","?"))</f>
        <v> </v>
      </c>
      <c r="I1106" s="25" t="str">
        <f>IF(OR(E1106="",E1106="!!!",F1106="NEW"),"",INDEX(B1105:B$2,-1+SUMPRODUCT(MAX(ROW(E1105:E$2)*(E1106=E1105:E$2)))))</f>
        <v> </v>
      </c>
      <c r="J1106" s="25" t="str">
        <f>IF(OR(E1106="",E1106="!!!",F1106="NEW"),"",COUNTBLANK(OFFSET(A$1,,,SUMPRODUCT(MAX(ROW(E$2:E1106)*(E1106=E$2:E1106)))))-COUNTBLANK(OFFSET(A$1,,,SUMPRODUCT(MAX(ROW(E$1:E1105)*(E2=E$1:E1105))))))</f>
        <v> </v>
      </c>
      <c r="K1106" s="25" t="str">
        <f>IF(OR(E1106="",E1106="!!!",F1106="NEW"),"",INDEX(J$1:J1105,SUMPRODUCT(MAX(ROW(E$1:E1105)*(E1106=E$1:E1105)))))</f>
        <v> </v>
      </c>
      <c r="L1106" s="26"/>
    </row>
    <row r="1107" spans="1:12">
      <c r="A1107" s="20" t="s">
        <v>644</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t="s">
        <v>18</v>
      </c>
      <c r="E1108" s="21">
        <f>IF(D1108="?OLD","!!!","")</f>
        <v/>
      </c>
      <c r="F1108" s="22" t="str">
        <f>IF(OR(E1108="",E1108="!!!"),"",IF(NOT(ISNA(VLOOKUP(E1108,E$1:E1107,1,FALSE()))),"OLD",IF(AND(E1108&lt;&gt;"",E1108&lt;&gt;"!!!"),"NEW","")))</f>
        <v> </v>
      </c>
      <c r="G1108" s="23" t="str">
        <f>IF(OR(E1108="",E1108="!!!"),"",IF(OR(J1108=0,AND(J1108=1,K1108=1),AND(J1108=1,I1108="SBJ"),AND(J1108=1,I1108=0)),"?IN_FOCUS",IF(J1108&lt;=2,"?ACTIVATED",IF(J1108&lt;&gt;"","?FAMILIAR",IF(F1108="NEW",IF(ISNA(VLOOKUP(E1108,#REF!,1,FALSE())),"?TYPE_IDENTIFIABLE","?REFERENTIAL"),"_")))))</f>
        <v> </v>
      </c>
      <c r="H1108" s="24" t="str">
        <f>IF(J1108&lt;&gt;1,"",IF(I1108="SBJ","CB","?"))</f>
        <v> </v>
      </c>
      <c r="I1108" s="25" t="str">
        <f>IF(OR(E1108="",E1108="!!!",F1108="NEW"),"",INDEX(B1107:B$2,-1+SUMPRODUCT(MAX(ROW(E1107:E$2)*(E1108=E1107:E$2)))))</f>
        <v> </v>
      </c>
      <c r="J1108" s="25" t="str">
        <f>IF(OR(E1108="",E1108="!!!",F1108="NEW"),"",COUNTBLANK(OFFSET(A$1,,,SUMPRODUCT(MAX(ROW(E$2:E1108)*(E1108=E$2:E1108)))))-COUNTBLANK(OFFSET(A$1,,,SUMPRODUCT(MAX(ROW(E$1:E1107)*(E2=E$1:E1107))))))</f>
        <v> </v>
      </c>
      <c r="K1108" s="25" t="str">
        <f>IF(OR(E1108="",E1108="!!!",F1108="NEW"),"",INDEX(J$1:J1107,SUMPRODUCT(MAX(ROW(E$1:E1107)*(E1108=E$1:E1107)))))</f>
        <v> </v>
      </c>
      <c r="L1108" s="26"/>
    </row>
    <row r="1109" spans="1:12">
      <c r="A1109" s="20" t="s">
        <v>1115</v>
      </c>
      <c r="B1109" s="27" t="s">
        <v>657</v>
      </c>
      <c r="C1109" s="27" t="s">
        <v>622</v>
      </c>
      <c r="E1109" s="21">
        <f>IF(D1109="?OLD","!!!","")</f>
        <v/>
      </c>
      <c r="F1109" s="22" t="str">
        <f>IF(OR(E1109="",E1109="!!!"),"",IF(NOT(ISNA(VLOOKUP(E1109,E$1:E1108,1,FALSE()))),"OLD",IF(AND(E1109&lt;&gt;"",E1109&lt;&gt;"!!!"),"NEW","")))</f>
        <v> </v>
      </c>
      <c r="G1109" s="23" t="str">
        <f>IF(OR(E1109="",E1109="!!!"),"",IF(OR(J1109=0,AND(J1109=1,K1109=1),AND(J1109=1,I1109="SBJ"),AND(J1109=1,I1109=0)),"?IN_FOCUS",IF(J1109&lt;=2,"?ACTIVATED",IF(J1109&lt;&gt;"","?FAMILIAR",IF(F1109="NEW",IF(ISNA(VLOOKUP(E1109,#REF!,1,FALSE())),"?TYPE_IDENTIFIABLE","?REFERENTIAL"),"_")))))</f>
        <v> </v>
      </c>
      <c r="H1109" s="24" t="str">
        <f>IF(J1109&lt;&gt;1,"",IF(I1109="SBJ","CB","?"))</f>
        <v> </v>
      </c>
      <c r="I1109" s="25" t="str">
        <f>IF(OR(E1109="",E1109="!!!",F1109="NEW"),"",INDEX(B1108:B$2,-1+SUMPRODUCT(MAX(ROW(E1108:E$2)*(E1109=E1108:E$2)))))</f>
        <v> </v>
      </c>
      <c r="J1109" s="25" t="str">
        <f>IF(OR(E1109="",E1109="!!!",F1109="NEW"),"",COUNTBLANK(OFFSET(A$1,,,SUMPRODUCT(MAX(ROW(E$2:E1109)*(E1109=E$2:E1109)))))-COUNTBLANK(OFFSET(A$1,,,SUMPRODUCT(MAX(ROW(E$1:E1108)*(E2=E$1:E1108))))))</f>
        <v> </v>
      </c>
      <c r="K1109" s="25" t="str">
        <f>IF(OR(E1109="",E1109="!!!",F1109="NEW"),"",INDEX(J$1:J1108,SUMPRODUCT(MAX(ROW(E$1:E1108)*(E1109=E$1:E1108)))))</f>
        <v> </v>
      </c>
      <c r="L1109" s="26"/>
    </row>
    <row r="1110" spans="1:12">
      <c r="A1110" s="20" t="s">
        <v>633</v>
      </c>
      <c r="E1110" s="21">
        <f>IF(D1110="?OLD","!!!","")</f>
        <v/>
      </c>
      <c r="F1110" s="22" t="str">
        <f>IF(OR(E1110="",E1110="!!!"),"",IF(NOT(ISNA(VLOOKUP(E1110,E$1:E1109,1,FALSE()))),"OLD",IF(AND(E1110&lt;&gt;"",E1110&lt;&gt;"!!!"),"NEW","")))</f>
        <v> </v>
      </c>
      <c r="G1110" s="23" t="str">
        <f>IF(OR(E1110="",E1110="!!!"),"",IF(OR(J1110=0,AND(J1110=1,K1110=1),AND(J1110=1,I1110="SBJ"),AND(J1110=1,I1110=0)),"?IN_FOCUS",IF(J1110&lt;=2,"?ACTIVATED",IF(J1110&lt;&gt;"","?FAMILIAR",IF(F1110="NEW",IF(ISNA(VLOOKUP(E1110,#REF!,1,FALSE())),"?TYPE_IDENTIFIABLE","?REFERENTIAL"),"_")))))</f>
        <v> </v>
      </c>
      <c r="H1110" s="24" t="str">
        <f>IF(J1110&lt;&gt;1,"",IF(I1110="SBJ","CB","?"))</f>
        <v> </v>
      </c>
      <c r="I1110" s="25" t="str">
        <f>IF(OR(E1110="",E1110="!!!",F1110="NEW"),"",INDEX(B1109:B$2,-1+SUMPRODUCT(MAX(ROW(E1109:E$2)*(E1110=E1109:E$2)))))</f>
        <v> </v>
      </c>
      <c r="J1110" s="25" t="str">
        <f>IF(OR(E1110="",E1110="!!!",F1110="NEW"),"",COUNTBLANK(OFFSET(A$1,,,SUMPRODUCT(MAX(ROW(E$2:E1110)*(E1110=E$2:E1110)))))-COUNTBLANK(OFFSET(A$1,,,SUMPRODUCT(MAX(ROW(E$1:E1109)*(E2=E$1:E1109))))))</f>
        <v> </v>
      </c>
      <c r="K1110" s="25" t="str">
        <f>IF(OR(E1110="",E1110="!!!",F1110="NEW"),"",INDEX(J$1:J1109,SUMPRODUCT(MAX(ROW(E$1:E1109)*(E1110=E$1:E1109)))))</f>
        <v> </v>
      </c>
      <c r="L1110" s="26"/>
    </row>
    <row r="1111" spans="1:12">
      <c r="A1111" s="20"/>
    </row>
    <row r="1112" spans="1:12">
      <c r="A1112" s="20" t="s">
        <v>1116</v>
      </c>
    </row>
    <row r="1113" spans="1:12">
      <c r="A1113" s="20" t="s">
        <v>814</v>
      </c>
      <c r="E1113" s="21">
        <f>IF(D1113="?OLD","!!!","")</f>
        <v/>
      </c>
      <c r="F1113" s="22" t="str">
        <f>IF(OR(E1113="",E1113="!!!"),"",IF(NOT(ISNA(VLOOKUP(E1113,E$1:E1112,1,FALSE()))),"OLD",IF(AND(E1113&lt;&gt;"",E1113&lt;&gt;"!!!"),"NEW","")))</f>
        <v> </v>
      </c>
      <c r="G1113" s="23" t="str">
        <f>IF(OR(E1113="",E1113="!!!"),"",IF(OR(J1113=0,AND(J1113=1,K1113=1),AND(J1113=1,I1113="SBJ"),AND(J1113=1,I1113=0)),"?IN_FOCUS",IF(J1113&lt;=2,"?ACTIVATED",IF(J1113&lt;&gt;"","?FAMILIAR",IF(F1113="NEW",IF(ISNA(VLOOKUP(E1113,#REF!,1,FALSE())),"?TYPE_IDENTIFIABLE","?REFERENTIAL"),"_")))))</f>
        <v> </v>
      </c>
      <c r="H1113" s="24" t="str">
        <f>IF(J1113&lt;&gt;1,"",IF(I1113="SBJ","CB","?"))</f>
        <v> </v>
      </c>
      <c r="I1113" s="25" t="str">
        <f>IF(OR(E1113="",E1113="!!!",F1113="NEW"),"",INDEX(B1112:B$2,-1+SUMPRODUCT(MAX(ROW(E1112:E$2)*(E1113=E1112:E$2)))))</f>
        <v> </v>
      </c>
      <c r="J1113" s="25" t="str">
        <f>IF(OR(E1113="",E1113="!!!",F1113="NEW"),"",COUNTBLANK(OFFSET(A$1,,,SUMPRODUCT(MAX(ROW(E$2:E1113)*(E1113=E$2:E1113)))))-COUNTBLANK(OFFSET(A$1,,,SUMPRODUCT(MAX(ROW(E$1:E1112)*(E2=E$1:E1112))))))</f>
        <v> </v>
      </c>
      <c r="K1113" s="25" t="str">
        <f>IF(OR(E1113="",E1113="!!!",F1113="NEW"),"",INDEX(J$1:J1112,SUMPRODUCT(MAX(ROW(E$1:E1112)*(E1113=E$1:E1112)))))</f>
        <v> </v>
      </c>
      <c r="L1113" s="26"/>
    </row>
    <row r="1114" spans="1:12">
      <c r="A1114" s="20" t="s">
        <v>807</v>
      </c>
      <c r="B1114" s="27" t="s">
        <v>636</v>
      </c>
      <c r="C1114" s="27" t="s">
        <v>652</v>
      </c>
      <c r="D1114" s="27" t="s">
        <v>608</v>
      </c>
      <c r="E1114" s="21">
        <f>IF(D1114="?OLD","!!!","")</f>
        <v/>
      </c>
      <c r="F1114" s="22" t="str">
        <f>IF(OR(E1114="",E1114="!!!"),"",IF(NOT(ISNA(VLOOKUP(E1114,E$1:E1113,1,FALSE()))),"OLD",IF(AND(E1114&lt;&gt;"",E1114&lt;&gt;"!!!"),"NEW","")))</f>
        <v> </v>
      </c>
      <c r="G1114" s="23" t="str">
        <f>IF(OR(E1114="",E1114="!!!"),"",IF(OR(J1114=0,AND(J1114=1,K1114=1),AND(J1114=1,I1114="SBJ"),AND(J1114=1,I1114=0)),"?IN_FOCUS",IF(J1114&lt;=2,"?ACTIVATED",IF(J1114&lt;&gt;"","?FAMILIAR",IF(F1114="NEW",IF(ISNA(VLOOKUP(E1114,#REF!,1,FALSE())),"?TYPE_IDENTIFIABLE","?REFERENTIAL"),"_")))))</f>
        <v> </v>
      </c>
      <c r="H1114" s="24" t="str">
        <f>IF(J1114&lt;&gt;1,"",IF(I1114="SBJ","CB","?"))</f>
        <v> </v>
      </c>
      <c r="I1114" s="25" t="str">
        <f>IF(OR(E1114="",E1114="!!!",F1114="NEW"),"",INDEX(B1113:B$2,-1+SUMPRODUCT(MAX(ROW(E1113:E$2)*(E1114=E1113:E$2)))))</f>
        <v> </v>
      </c>
      <c r="J1114" s="25" t="str">
        <f>IF(OR(E1114="",E1114="!!!",F1114="NEW"),"",COUNTBLANK(OFFSET(A$1,,,SUMPRODUCT(MAX(ROW(E$2:E1114)*(E1114=E$2:E1114)))))-COUNTBLANK(OFFSET(A$1,,,SUMPRODUCT(MAX(ROW(E$1:E1113)*(E2=E$1:E1113))))))</f>
        <v> </v>
      </c>
      <c r="K1114" s="25" t="str">
        <f>IF(OR(E1114="",E1114="!!!",F1114="NEW"),"",INDEX(J$1:J1113,SUMPRODUCT(MAX(ROW(E$1:E1113)*(E1114=E$1:E1113)))))</f>
        <v> </v>
      </c>
      <c r="L1114" s="26"/>
    </row>
    <row r="1115" spans="1:12">
      <c r="A1115" s="20" t="s">
        <v>1092</v>
      </c>
      <c r="E1115" s="21">
        <f>IF(D1115="?OLD","!!!","")</f>
        <v/>
      </c>
      <c r="F1115" s="22" t="str">
        <f>IF(OR(E1115="",E1115="!!!"),"",IF(NOT(ISNA(VLOOKUP(E1115,E$1:E1114,1,FALSE()))),"OLD",IF(AND(E1115&lt;&gt;"",E1115&lt;&gt;"!!!"),"NEW","")))</f>
        <v> </v>
      </c>
      <c r="G1115" s="23" t="str">
        <f>IF(OR(E1115="",E1115="!!!"),"",IF(OR(J1115=0,AND(J1115=1,K1115=1),AND(J1115=1,I1115="SBJ"),AND(J1115=1,I1115=0)),"?IN_FOCUS",IF(J1115&lt;=2,"?ACTIVATED",IF(J1115&lt;&gt;"","?FAMILIAR",IF(F1115="NEW",IF(ISNA(VLOOKUP(E1115,#REF!,1,FALSE())),"?TYPE_IDENTIFIABLE","?REFERENTIAL"),"_")))))</f>
        <v> </v>
      </c>
      <c r="H1115" s="24" t="str">
        <f>IF(J1115&lt;&gt;1,"",IF(I1115="SBJ","CB","?"))</f>
        <v> </v>
      </c>
      <c r="I1115" s="25" t="str">
        <f>IF(OR(E1115="",E1115="!!!",F1115="NEW"),"",INDEX(B1114:B$2,-1+SUMPRODUCT(MAX(ROW(E1114:E$2)*(E1115=E1114:E$2)))))</f>
        <v> </v>
      </c>
      <c r="J1115" s="25" t="str">
        <f>IF(OR(E1115="",E1115="!!!",F1115="NEW"),"",COUNTBLANK(OFFSET(A$1,,,SUMPRODUCT(MAX(ROW(E$2:E1115)*(E1115=E$2:E1115)))))-COUNTBLANK(OFFSET(A$1,,,SUMPRODUCT(MAX(ROW(E$1:E1114)*(E2=E$1:E1114))))))</f>
        <v> </v>
      </c>
      <c r="K1115" s="25" t="str">
        <f>IF(OR(E1115="",E1115="!!!",F1115="NEW"),"",INDEX(J$1:J1114,SUMPRODUCT(MAX(ROW(E$1:E1114)*(E1115=E$1:E1114)))))</f>
        <v> </v>
      </c>
      <c r="L1115" s="26"/>
    </row>
    <row r="1116" spans="1:12">
      <c r="A1116" s="20" t="s">
        <v>621</v>
      </c>
      <c r="E1116" s="21">
        <f>IF(D1116="?OLD","!!!","")</f>
        <v/>
      </c>
      <c r="F1116" s="22" t="str">
        <f>IF(OR(E1116="",E1116="!!!"),"",IF(NOT(ISNA(VLOOKUP(E1116,E$1:E1115,1,FALSE()))),"OLD",IF(AND(E1116&lt;&gt;"",E1116&lt;&gt;"!!!"),"NEW","")))</f>
        <v> </v>
      </c>
      <c r="G1116" s="23" t="str">
        <f>IF(OR(E1116="",E1116="!!!"),"",IF(OR(J1116=0,AND(J1116=1,K1116=1),AND(J1116=1,I1116="SBJ"),AND(J1116=1,I1116=0)),"?IN_FOCUS",IF(J1116&lt;=2,"?ACTIVATED",IF(J1116&lt;&gt;"","?FAMILIAR",IF(F1116="NEW",IF(ISNA(VLOOKUP(E1116,#REF!,1,FALSE())),"?TYPE_IDENTIFIABLE","?REFERENTIAL"),"_")))))</f>
        <v> </v>
      </c>
      <c r="H1116" s="24" t="str">
        <f>IF(J1116&lt;&gt;1,"",IF(I1116="SBJ","CB","?"))</f>
        <v> </v>
      </c>
      <c r="I1116" s="25" t="str">
        <f>IF(OR(E1116="",E1116="!!!",F1116="NEW"),"",INDEX(B1115:B$2,-1+SUMPRODUCT(MAX(ROW(E1115:E$2)*(E1116=E1115:E$2)))))</f>
        <v> </v>
      </c>
      <c r="J1116" s="25" t="str">
        <f>IF(OR(E1116="",E1116="!!!",F1116="NEW"),"",COUNTBLANK(OFFSET(A$1,,,SUMPRODUCT(MAX(ROW(E$2:E1116)*(E1116=E$2:E1116)))))-COUNTBLANK(OFFSET(A$1,,,SUMPRODUCT(MAX(ROW(E$1:E1115)*(E2=E$1:E1115))))))</f>
        <v> </v>
      </c>
      <c r="K1116" s="25" t="str">
        <f>IF(OR(E1116="",E1116="!!!",F1116="NEW"),"",INDEX(J$1:J1115,SUMPRODUCT(MAX(ROW(E$1:E1115)*(E1116=E$1:E1115)))))</f>
        <v> </v>
      </c>
      <c r="L1116" s="26"/>
    </row>
    <row r="1117" spans="1:12">
      <c r="A1117" s="20" t="s">
        <v>756</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t="s">
        <v>1117</v>
      </c>
      <c r="B1118" s="27" t="s">
        <v>653</v>
      </c>
      <c r="C1118" s="27" t="s">
        <v>652</v>
      </c>
      <c r="D1118" s="27" t="s">
        <v>608</v>
      </c>
      <c r="E1118" s="21">
        <f>IF(D1118="?OLD","!!!","")</f>
        <v/>
      </c>
      <c r="F1118" s="22" t="str">
        <f>IF(OR(E1118="",E1118="!!!"),"",IF(NOT(ISNA(VLOOKUP(E1118,E$1:E1117,1,FALSE()))),"OLD",IF(AND(E1118&lt;&gt;"",E1118&lt;&gt;"!!!"),"NEW","")))</f>
        <v> </v>
      </c>
      <c r="G1118" s="23" t="str">
        <f>IF(OR(E1118="",E1118="!!!"),"",IF(OR(J1118=0,AND(J1118=1,K1118=1),AND(J1118=1,I1118="SBJ"),AND(J1118=1,I1118=0)),"?IN_FOCUS",IF(J1118&lt;=2,"?ACTIVATED",IF(J1118&lt;&gt;"","?FAMILIAR",IF(F1118="NEW",IF(ISNA(VLOOKUP(E1118,#REF!,1,FALSE())),"?TYPE_IDENTIFIABLE","?REFERENTIAL"),"_")))))</f>
        <v> </v>
      </c>
      <c r="H1118" s="24" t="str">
        <f>IF(J1118&lt;&gt;1,"",IF(I1118="SBJ","CB","?"))</f>
        <v> </v>
      </c>
      <c r="I1118" s="25" t="str">
        <f>IF(OR(E1118="",E1118="!!!",F1118="NEW"),"",INDEX(B1117:B$2,-1+SUMPRODUCT(MAX(ROW(E1117:E$2)*(E1118=E1117:E$2)))))</f>
        <v> </v>
      </c>
      <c r="J1118" s="25" t="str">
        <f>IF(OR(E1118="",E1118="!!!",F1118="NEW"),"",COUNTBLANK(OFFSET(A$1,,,SUMPRODUCT(MAX(ROW(E$2:E1118)*(E1118=E$2:E1118)))))-COUNTBLANK(OFFSET(A$1,,,SUMPRODUCT(MAX(ROW(E$1:E1117)*(E2=E$1:E1117))))))</f>
        <v> </v>
      </c>
      <c r="K1118" s="25" t="str">
        <f>IF(OR(E1118="",E1118="!!!",F1118="NEW"),"",INDEX(J$1:J1117,SUMPRODUCT(MAX(ROW(E$1:E1117)*(E1118=E$1:E1117)))))</f>
        <v> </v>
      </c>
      <c r="L1118" s="26"/>
    </row>
    <row r="1119" spans="1:12">
      <c r="A1119" s="20" t="s">
        <v>720</v>
      </c>
      <c r="E1119" s="21">
        <f>IF(D1119="?OLD","!!!","")</f>
        <v/>
      </c>
      <c r="F1119" s="22" t="str">
        <f>IF(OR(E1119="",E1119="!!!"),"",IF(NOT(ISNA(VLOOKUP(E1119,E$1:E1118,1,FALSE()))),"OLD",IF(AND(E1119&lt;&gt;"",E1119&lt;&gt;"!!!"),"NEW","")))</f>
        <v> </v>
      </c>
      <c r="G1119" s="23" t="str">
        <f>IF(OR(E1119="",E1119="!!!"),"",IF(OR(J1119=0,AND(J1119=1,K1119=1),AND(J1119=1,I1119="SBJ"),AND(J1119=1,I1119=0)),"?IN_FOCUS",IF(J1119&lt;=2,"?ACTIVATED",IF(J1119&lt;&gt;"","?FAMILIAR",IF(F1119="NEW",IF(ISNA(VLOOKUP(E1119,#REF!,1,FALSE())),"?TYPE_IDENTIFIABLE","?REFERENTIAL"),"_")))))</f>
        <v> </v>
      </c>
      <c r="H1119" s="24" t="str">
        <f>IF(J1119&lt;&gt;1,"",IF(I1119="SBJ","CB","?"))</f>
        <v> </v>
      </c>
      <c r="I1119" s="25" t="str">
        <f>IF(OR(E1119="",E1119="!!!",F1119="NEW"),"",INDEX(B1118:B$2,-1+SUMPRODUCT(MAX(ROW(E1118:E$2)*(E1119=E1118:E$2)))))</f>
        <v> </v>
      </c>
      <c r="J1119" s="25" t="str">
        <f>IF(OR(E1119="",E1119="!!!",F1119="NEW"),"",COUNTBLANK(OFFSET(A$1,,,SUMPRODUCT(MAX(ROW(E$2:E1119)*(E1119=E$2:E1119)))))-COUNTBLANK(OFFSET(A$1,,,SUMPRODUCT(MAX(ROW(E$1:E1118)*(E2=E$1:E1118))))))</f>
        <v> </v>
      </c>
      <c r="K1119" s="25" t="str">
        <f>IF(OR(E1119="",E1119="!!!",F1119="NEW"),"",INDEX(J$1:J1118,SUMPRODUCT(MAX(ROW(E$1:E1118)*(E1119=E$1:E1118)))))</f>
        <v> </v>
      </c>
      <c r="L1119" s="26"/>
    </row>
    <row r="1120" spans="1:12">
      <c r="A1120" s="20" t="s">
        <v>627</v>
      </c>
      <c r="E1120" s="21">
        <f>IF(D1120="?OLD","!!!","")</f>
        <v/>
      </c>
      <c r="F1120" s="22" t="str">
        <f>IF(OR(E1120="",E1120="!!!"),"",IF(NOT(ISNA(VLOOKUP(E1120,E$1:E1119,1,FALSE()))),"OLD",IF(AND(E1120&lt;&gt;"",E1120&lt;&gt;"!!!"),"NEW","")))</f>
        <v> </v>
      </c>
      <c r="G1120" s="23" t="str">
        <f>IF(OR(E1120="",E1120="!!!"),"",IF(OR(J1120=0,AND(J1120=1,K1120=1),AND(J1120=1,I1120="SBJ"),AND(J1120=1,I1120=0)),"?IN_FOCUS",IF(J1120&lt;=2,"?ACTIVATED",IF(J1120&lt;&gt;"","?FAMILIAR",IF(F1120="NEW",IF(ISNA(VLOOKUP(E1120,#REF!,1,FALSE())),"?TYPE_IDENTIFIABLE","?REFERENTIAL"),"_")))))</f>
        <v> </v>
      </c>
      <c r="H1120" s="24" t="str">
        <f>IF(J1120&lt;&gt;1,"",IF(I1120="SBJ","CB","?"))</f>
        <v> </v>
      </c>
      <c r="I1120" s="25" t="str">
        <f>IF(OR(E1120="",E1120="!!!",F1120="NEW"),"",INDEX(B1119:B$2,-1+SUMPRODUCT(MAX(ROW(E1119:E$2)*(E1120=E1119:E$2)))))</f>
        <v> </v>
      </c>
      <c r="J1120" s="25" t="str">
        <f>IF(OR(E1120="",E1120="!!!",F1120="NEW"),"",COUNTBLANK(OFFSET(A$1,,,SUMPRODUCT(MAX(ROW(E$2:E1120)*(E1120=E$2:E1120)))))-COUNTBLANK(OFFSET(A$1,,,SUMPRODUCT(MAX(ROW(E$1:E1119)*(E2=E$1:E1119))))))</f>
        <v> </v>
      </c>
      <c r="K1120" s="25" t="str">
        <f>IF(OR(E1120="",E1120="!!!",F1120="NEW"),"",INDEX(J$1:J1119,SUMPRODUCT(MAX(ROW(E$1:E1119)*(E1120=E$1:E1119)))))</f>
        <v> </v>
      </c>
      <c r="L1120" s="26"/>
    </row>
    <row r="1121" spans="1:12">
      <c r="A1121" s="20" t="s">
        <v>1118</v>
      </c>
      <c r="B1121" s="27" t="s">
        <v>611</v>
      </c>
      <c r="C1121" s="27" t="s">
        <v>622</v>
      </c>
      <c r="E1121" s="21">
        <f>IF(D1121="?OLD","!!!","")</f>
        <v/>
      </c>
      <c r="F1121" s="22" t="str">
        <f>IF(OR(E1121="",E1121="!!!"),"",IF(NOT(ISNA(VLOOKUP(E1121,E$1:E1120,1,FALSE()))),"OLD",IF(AND(E1121&lt;&gt;"",E1121&lt;&gt;"!!!"),"NEW","")))</f>
        <v> </v>
      </c>
      <c r="G1121" s="23" t="str">
        <f>IF(OR(E1121="",E1121="!!!"),"",IF(OR(J1121=0,AND(J1121=1,K1121=1),AND(J1121=1,I1121="SBJ"),AND(J1121=1,I1121=0)),"?IN_FOCUS",IF(J1121&lt;=2,"?ACTIVATED",IF(J1121&lt;&gt;"","?FAMILIAR",IF(F1121="NEW",IF(ISNA(VLOOKUP(E1121,#REF!,1,FALSE())),"?TYPE_IDENTIFIABLE","?REFERENTIAL"),"_")))))</f>
        <v> </v>
      </c>
      <c r="H1121" s="24" t="str">
        <f>IF(J1121&lt;&gt;1,"",IF(I1121="SBJ","CB","?"))</f>
        <v> </v>
      </c>
      <c r="I1121" s="25" t="str">
        <f>IF(OR(E1121="",E1121="!!!",F1121="NEW"),"",INDEX(B1120:B$2,-1+SUMPRODUCT(MAX(ROW(E1120:E$2)*(E1121=E1120:E$2)))))</f>
        <v> </v>
      </c>
      <c r="J1121" s="25" t="str">
        <f>IF(OR(E1121="",E1121="!!!",F1121="NEW"),"",COUNTBLANK(OFFSET(A$1,,,SUMPRODUCT(MAX(ROW(E$2:E1121)*(E1121=E$2:E1121)))))-COUNTBLANK(OFFSET(A$1,,,SUMPRODUCT(MAX(ROW(E$1:E1120)*(E2=E$1:E1120))))))</f>
        <v> </v>
      </c>
      <c r="K1121" s="25" t="str">
        <f>IF(OR(E1121="",E1121="!!!",F1121="NEW"),"",INDEX(J$1:J1120,SUMPRODUCT(MAX(ROW(E$1:E1120)*(E1121=E$1:E1120)))))</f>
        <v> </v>
      </c>
      <c r="L1121" s="26"/>
    </row>
    <row r="1122" spans="1:12">
      <c r="A1122" s="20" t="s">
        <v>633</v>
      </c>
      <c r="E1122" s="21">
        <f>IF(D1122="?OLD","!!!","")</f>
        <v/>
      </c>
      <c r="F1122" s="22" t="str">
        <f>IF(OR(E1122="",E1122="!!!"),"",IF(NOT(ISNA(VLOOKUP(E1122,E$1:E1121,1,FALSE()))),"OLD",IF(AND(E1122&lt;&gt;"",E1122&lt;&gt;"!!!"),"NEW","")))</f>
        <v> </v>
      </c>
      <c r="G1122" s="23" t="str">
        <f>IF(OR(E1122="",E1122="!!!"),"",IF(OR(J1122=0,AND(J1122=1,K1122=1),AND(J1122=1,I1122="SBJ"),AND(J1122=1,I1122=0)),"?IN_FOCUS",IF(J1122&lt;=2,"?ACTIVATED",IF(J1122&lt;&gt;"","?FAMILIAR",IF(F1122="NEW",IF(ISNA(VLOOKUP(E1122,#REF!,1,FALSE())),"?TYPE_IDENTIFIABLE","?REFERENTIAL"),"_")))))</f>
        <v> </v>
      </c>
      <c r="H1122" s="24" t="str">
        <f>IF(J1122&lt;&gt;1,"",IF(I1122="SBJ","CB","?"))</f>
        <v> </v>
      </c>
      <c r="I1122" s="25" t="str">
        <f>IF(OR(E1122="",E1122="!!!",F1122="NEW"),"",INDEX(B1121:B$2,-1+SUMPRODUCT(MAX(ROW(E1121:E$2)*(E1122=E1121:E$2)))))</f>
        <v> </v>
      </c>
      <c r="J1122" s="25" t="str">
        <f>IF(OR(E1122="",E1122="!!!",F1122="NEW"),"",COUNTBLANK(OFFSET(A$1,,,SUMPRODUCT(MAX(ROW(E$2:E1122)*(E1122=E$2:E1122)))))-COUNTBLANK(OFFSET(A$1,,,SUMPRODUCT(MAX(ROW(E$1:E1121)*(E2=E$1:E1121))))))</f>
        <v> </v>
      </c>
      <c r="K1122" s="25" t="str">
        <f>IF(OR(E1122="",E1122="!!!",F1122="NEW"),"",INDEX(J$1:J1121,SUMPRODUCT(MAX(ROW(E$1:E1121)*(E1122=E$1:E1121)))))</f>
        <v> </v>
      </c>
      <c r="L1122" s="26"/>
    </row>
    <row r="1123" spans="1:12">
      <c r="A1123" s="20"/>
    </row>
    <row r="1124" spans="1:12">
      <c r="A1124" s="20" t="s">
        <v>1119</v>
      </c>
    </row>
    <row r="1125" spans="1:12">
      <c r="A1125" s="20" t="s">
        <v>1120</v>
      </c>
      <c r="B1125" s="27" t="s">
        <v>636</v>
      </c>
      <c r="C1125" s="27" t="s">
        <v>622</v>
      </c>
      <c r="E1125" s="21">
        <f>IF(D1125="?OLD","!!!","")</f>
        <v/>
      </c>
      <c r="F1125" s="22" t="str">
        <f>IF(OR(E1125="",E1125="!!!"),"",IF(NOT(ISNA(VLOOKUP(E1125,E$1:E1124,1,FALSE()))),"OLD",IF(AND(E1125&lt;&gt;"",E1125&lt;&gt;"!!!"),"NEW","")))</f>
        <v> </v>
      </c>
      <c r="G1125" s="23" t="str">
        <f>IF(OR(E1125="",E1125="!!!"),"",IF(OR(J1125=0,AND(J1125=1,K1125=1),AND(J1125=1,I1125="SBJ"),AND(J1125=1,I1125=0)),"?IN_FOCUS",IF(J1125&lt;=2,"?ACTIVATED",IF(J1125&lt;&gt;"","?FAMILIAR",IF(F1125="NEW",IF(ISNA(VLOOKUP(E1125,#REF!,1,FALSE())),"?TYPE_IDENTIFIABLE","?REFERENTIAL"),"_")))))</f>
        <v> </v>
      </c>
      <c r="H1125" s="24" t="str">
        <f>IF(J1125&lt;&gt;1,"",IF(I1125="SBJ","CB","?"))</f>
        <v> </v>
      </c>
      <c r="I1125" s="25" t="str">
        <f>IF(OR(E1125="",E1125="!!!",F1125="NEW"),"",INDEX(B1124:B$2,-1+SUMPRODUCT(MAX(ROW(E1124:E$2)*(E1125=E1124:E$2)))))</f>
        <v> </v>
      </c>
      <c r="J1125" s="25" t="str">
        <f>IF(OR(E1125="",E1125="!!!",F1125="NEW"),"",COUNTBLANK(OFFSET(A$1,,,SUMPRODUCT(MAX(ROW(E$2:E1125)*(E1125=E$2:E1125)))))-COUNTBLANK(OFFSET(A$1,,,SUMPRODUCT(MAX(ROW(E$1:E1124)*(E2=E$1:E1124))))))</f>
        <v> </v>
      </c>
      <c r="K1125" s="25" t="str">
        <f>IF(OR(E1125="",E1125="!!!",F1125="NEW"),"",INDEX(J$1:J1124,SUMPRODUCT(MAX(ROW(E$1:E1124)*(E1125=E$1:E1124)))))</f>
        <v> </v>
      </c>
      <c r="L1125" s="26"/>
    </row>
    <row r="1126" spans="1:12">
      <c r="A1126" s="20" t="s">
        <v>612</v>
      </c>
      <c r="E1126" s="21">
        <f>IF(D1126="?OLD","!!!","")</f>
        <v/>
      </c>
      <c r="F1126" s="22" t="str">
        <f>IF(OR(E1126="",E1126="!!!"),"",IF(NOT(ISNA(VLOOKUP(E1126,E$1:E1125,1,FALSE()))),"OLD",IF(AND(E1126&lt;&gt;"",E1126&lt;&gt;"!!!"),"NEW","")))</f>
        <v> </v>
      </c>
      <c r="G1126" s="23" t="str">
        <f>IF(OR(E1126="",E1126="!!!"),"",IF(OR(J1126=0,AND(J1126=1,K1126=1),AND(J1126=1,I1126="SBJ"),AND(J1126=1,I1126=0)),"?IN_FOCUS",IF(J1126&lt;=2,"?ACTIVATED",IF(J1126&lt;&gt;"","?FAMILIAR",IF(F1126="NEW",IF(ISNA(VLOOKUP(E1126,#REF!,1,FALSE())),"?TYPE_IDENTIFIABLE","?REFERENTIAL"),"_")))))</f>
        <v> </v>
      </c>
      <c r="H1126" s="24" t="str">
        <f>IF(J1126&lt;&gt;1,"",IF(I1126="SBJ","CB","?"))</f>
        <v> </v>
      </c>
      <c r="I1126" s="25" t="str">
        <f>IF(OR(E1126="",E1126="!!!",F1126="NEW"),"",INDEX(B1125:B$2,-1+SUMPRODUCT(MAX(ROW(E1125:E$2)*(E1126=E1125:E$2)))))</f>
        <v> </v>
      </c>
      <c r="J1126" s="25" t="str">
        <f>IF(OR(E1126="",E1126="!!!",F1126="NEW"),"",COUNTBLANK(OFFSET(A$1,,,SUMPRODUCT(MAX(ROW(E$2:E1126)*(E1126=E$2:E1126)))))-COUNTBLANK(OFFSET(A$1,,,SUMPRODUCT(MAX(ROW(E$1:E1125)*(E2=E$1:E1125))))))</f>
        <v> </v>
      </c>
      <c r="K1126" s="25" t="str">
        <f>IF(OR(E1126="",E1126="!!!",F1126="NEW"),"",INDEX(J$1:J1125,SUMPRODUCT(MAX(ROW(E$1:E1125)*(E1126=E$1:E1125)))))</f>
        <v> </v>
      </c>
      <c r="L1126" s="26"/>
    </row>
    <row r="1127" spans="1:12">
      <c r="A1127" s="20" t="s">
        <v>1121</v>
      </c>
      <c r="E1127" s="21">
        <f>IF(D1127="?OLD","!!!","")</f>
        <v/>
      </c>
      <c r="F1127" s="22" t="str">
        <f>IF(OR(E1127="",E1127="!!!"),"",IF(NOT(ISNA(VLOOKUP(E1127,E$1:E1126,1,FALSE()))),"OLD",IF(AND(E1127&lt;&gt;"",E1127&lt;&gt;"!!!"),"NEW","")))</f>
        <v> </v>
      </c>
      <c r="G1127" s="23" t="str">
        <f>IF(OR(E1127="",E1127="!!!"),"",IF(OR(J1127=0,AND(J1127=1,K1127=1),AND(J1127=1,I1127="SBJ"),AND(J1127=1,I1127=0)),"?IN_FOCUS",IF(J1127&lt;=2,"?ACTIVATED",IF(J1127&lt;&gt;"","?FAMILIAR",IF(F1127="NEW",IF(ISNA(VLOOKUP(E1127,#REF!,1,FALSE())),"?TYPE_IDENTIFIABLE","?REFERENTIAL"),"_")))))</f>
        <v> </v>
      </c>
      <c r="H1127" s="24" t="str">
        <f>IF(J1127&lt;&gt;1,"",IF(I1127="SBJ","CB","?"))</f>
        <v> </v>
      </c>
      <c r="I1127" s="25" t="str">
        <f>IF(OR(E1127="",E1127="!!!",F1127="NEW"),"",INDEX(B1126:B$2,-1+SUMPRODUCT(MAX(ROW(E1126:E$2)*(E1127=E1126:E$2)))))</f>
        <v> </v>
      </c>
      <c r="J1127" s="25" t="str">
        <f>IF(OR(E1127="",E1127="!!!",F1127="NEW"),"",COUNTBLANK(OFFSET(A$1,,,SUMPRODUCT(MAX(ROW(E$2:E1127)*(E1127=E$2:E1127)))))-COUNTBLANK(OFFSET(A$1,,,SUMPRODUCT(MAX(ROW(E$1:E1126)*(E2=E$1:E1126))))))</f>
        <v> </v>
      </c>
      <c r="K1127" s="25" t="str">
        <f>IF(OR(E1127="",E1127="!!!",F1127="NEW"),"",INDEX(J$1:J1126,SUMPRODUCT(MAX(ROW(E$1:E1126)*(E1127=E$1:E1126)))))</f>
        <v> </v>
      </c>
      <c r="L1127" s="26"/>
    </row>
    <row r="1128" spans="1:12">
      <c r="A1128" s="20" t="s">
        <v>633</v>
      </c>
      <c r="E1128" s="21">
        <f>IF(D1128="?OLD","!!!","")</f>
        <v/>
      </c>
      <c r="F1128" s="22" t="str">
        <f>IF(OR(E1128="",E1128="!!!"),"",IF(NOT(ISNA(VLOOKUP(E1128,E$1:E1127,1,FALSE()))),"OLD",IF(AND(E1128&lt;&gt;"",E1128&lt;&gt;"!!!"),"NEW","")))</f>
        <v> </v>
      </c>
      <c r="G1128" s="23" t="str">
        <f>IF(OR(E1128="",E1128="!!!"),"",IF(OR(J1128=0,AND(J1128=1,K1128=1),AND(J1128=1,I1128="SBJ"),AND(J1128=1,I1128=0)),"?IN_FOCUS",IF(J1128&lt;=2,"?ACTIVATED",IF(J1128&lt;&gt;"","?FAMILIAR",IF(F1128="NEW",IF(ISNA(VLOOKUP(E1128,#REF!,1,FALSE())),"?TYPE_IDENTIFIABLE","?REFERENTIAL"),"_")))))</f>
        <v> </v>
      </c>
      <c r="H1128" s="24" t="str">
        <f>IF(J1128&lt;&gt;1,"",IF(I1128="SBJ","CB","?"))</f>
        <v> </v>
      </c>
      <c r="I1128" s="25" t="str">
        <f>IF(OR(E1128="",E1128="!!!",F1128="NEW"),"",INDEX(B1127:B$2,-1+SUMPRODUCT(MAX(ROW(E1127:E$2)*(E1128=E1127:E$2)))))</f>
        <v> </v>
      </c>
      <c r="J1128" s="25" t="str">
        <f>IF(OR(E1128="",E1128="!!!",F1128="NEW"),"",COUNTBLANK(OFFSET(A$1,,,SUMPRODUCT(MAX(ROW(E$2:E1128)*(E1128=E$2:E1128)))))-COUNTBLANK(OFFSET(A$1,,,SUMPRODUCT(MAX(ROW(E$1:E1127)*(E2=E$1:E1127))))))</f>
        <v> </v>
      </c>
      <c r="K1128" s="25" t="str">
        <f>IF(OR(E1128="",E1128="!!!",F1128="NEW"),"",INDEX(J$1:J1127,SUMPRODUCT(MAX(ROW(E$1:E1127)*(E1128=E$1:E1127)))))</f>
        <v> </v>
      </c>
      <c r="L1128" s="26"/>
    </row>
    <row r="1129" spans="1:12">
      <c r="A1129" s="20"/>
    </row>
    <row r="1130" spans="1:12">
      <c r="A1130" s="20" t="s">
        <v>1122</v>
      </c>
    </row>
    <row r="1131" spans="1:12">
      <c r="A1131" s="20" t="s">
        <v>675</v>
      </c>
      <c r="B1131" s="27" t="s">
        <v>636</v>
      </c>
      <c r="C1131" s="27" t="s">
        <v>652</v>
      </c>
      <c r="D1131" s="27" t="s">
        <v>608</v>
      </c>
      <c r="E1131" s="21">
        <f>IF(D1131="?OLD","!!!","")</f>
        <v/>
      </c>
      <c r="F1131" s="22" t="str">
        <f>IF(OR(E1131="",E1131="!!!"),"",IF(NOT(ISNA(VLOOKUP(E1131,E$1:E1130,1,FALSE()))),"OLD",IF(AND(E1131&lt;&gt;"",E1131&lt;&gt;"!!!"),"NEW","")))</f>
        <v> </v>
      </c>
      <c r="G1131" s="23" t="str">
        <f>IF(OR(E1131="",E1131="!!!"),"",IF(OR(J1131=0,AND(J1131=1,K1131=1),AND(J1131=1,I1131="SBJ"),AND(J1131=1,I1131=0)),"?IN_FOCUS",IF(J1131&lt;=2,"?ACTIVATED",IF(J1131&lt;&gt;"","?FAMILIAR",IF(F1131="NEW",IF(ISNA(VLOOKUP(E1131,#REF!,1,FALSE())),"?TYPE_IDENTIFIABLE","?REFERENTIAL"),"_")))))</f>
        <v> </v>
      </c>
      <c r="H1131" s="24" t="str">
        <f>IF(J1131&lt;&gt;1,"",IF(I1131="SBJ","CB","?"))</f>
        <v> </v>
      </c>
      <c r="I1131" s="25" t="str">
        <f>IF(OR(E1131="",E1131="!!!",F1131="NEW"),"",INDEX(B1130:B$2,-1+SUMPRODUCT(MAX(ROW(E1130:E$2)*(E1131=E1130:E$2)))))</f>
        <v> </v>
      </c>
      <c r="J1131" s="25" t="str">
        <f>IF(OR(E1131="",E1131="!!!",F1131="NEW"),"",COUNTBLANK(OFFSET(A$1,,,SUMPRODUCT(MAX(ROW(E$2:E1131)*(E1131=E$2:E1131)))))-COUNTBLANK(OFFSET(A$1,,,SUMPRODUCT(MAX(ROW(E$1:E1130)*(E2=E$1:E1130))))))</f>
        <v> </v>
      </c>
      <c r="K1131" s="25" t="str">
        <f>IF(OR(E1131="",E1131="!!!",F1131="NEW"),"",INDEX(J$1:J1130,SUMPRODUCT(MAX(ROW(E$1:E1130)*(E1131=E$1:E1130)))))</f>
        <v> </v>
      </c>
      <c r="L1131" s="26"/>
    </row>
    <row r="1132" spans="1:12">
      <c r="A1132" s="20" t="s">
        <v>18</v>
      </c>
      <c r="E1132" s="21">
        <f>IF(D1132="?OLD","!!!","")</f>
        <v/>
      </c>
      <c r="F1132" s="22" t="str">
        <f>IF(OR(E1132="",E1132="!!!"),"",IF(NOT(ISNA(VLOOKUP(E1132,E$1:E1131,1,FALSE()))),"OLD",IF(AND(E1132&lt;&gt;"",E1132&lt;&gt;"!!!"),"NEW","")))</f>
        <v> </v>
      </c>
      <c r="G1132" s="23" t="str">
        <f>IF(OR(E1132="",E1132="!!!"),"",IF(OR(J1132=0,AND(J1132=1,K1132=1),AND(J1132=1,I1132="SBJ"),AND(J1132=1,I1132=0)),"?IN_FOCUS",IF(J1132&lt;=2,"?ACTIVATED",IF(J1132&lt;&gt;"","?FAMILIAR",IF(F1132="NEW",IF(ISNA(VLOOKUP(E1132,#REF!,1,FALSE())),"?TYPE_IDENTIFIABLE","?REFERENTIAL"),"_")))))</f>
        <v> </v>
      </c>
      <c r="H1132" s="24" t="str">
        <f>IF(J1132&lt;&gt;1,"",IF(I1132="SBJ","CB","?"))</f>
        <v> </v>
      </c>
      <c r="I1132" s="25" t="str">
        <f>IF(OR(E1132="",E1132="!!!",F1132="NEW"),"",INDEX(B1131:B$2,-1+SUMPRODUCT(MAX(ROW(E1131:E$2)*(E1132=E1131:E$2)))))</f>
        <v> </v>
      </c>
      <c r="J1132" s="25" t="str">
        <f>IF(OR(E1132="",E1132="!!!",F1132="NEW"),"",COUNTBLANK(OFFSET(A$1,,,SUMPRODUCT(MAX(ROW(E$2:E1132)*(E1132=E$2:E1132)))))-COUNTBLANK(OFFSET(A$1,,,SUMPRODUCT(MAX(ROW(E$1:E1131)*(E2=E$1:E1131))))))</f>
        <v> </v>
      </c>
      <c r="K1132" s="25" t="str">
        <f>IF(OR(E1132="",E1132="!!!",F1132="NEW"),"",INDEX(J$1:J1131,SUMPRODUCT(MAX(ROW(E$1:E1131)*(E1132=E$1:E1131)))))</f>
        <v> </v>
      </c>
      <c r="L1132" s="26"/>
    </row>
    <row r="1133" spans="1:12">
      <c r="A1133" s="20" t="s">
        <v>856</v>
      </c>
      <c r="B1133" s="27" t="s">
        <v>636</v>
      </c>
      <c r="C1133" s="27" t="s">
        <v>637</v>
      </c>
      <c r="D1133" s="27" t="s">
        <v>608</v>
      </c>
      <c r="E1133" s="21">
        <f>IF(D1133="?OLD","!!!","")</f>
        <v/>
      </c>
      <c r="F1133" s="22" t="str">
        <f>IF(OR(E1133="",E1133="!!!"),"",IF(NOT(ISNA(VLOOKUP(E1133,E$1:E1132,1,FALSE()))),"OLD",IF(AND(E1133&lt;&gt;"",E1133&lt;&gt;"!!!"),"NEW","")))</f>
        <v> </v>
      </c>
      <c r="G1133" s="23" t="str">
        <f>IF(OR(E1133="",E1133="!!!"),"",IF(OR(J1133=0,AND(J1133=1,K1133=1),AND(J1133=1,I1133="SBJ"),AND(J1133=1,I1133=0)),"?IN_FOCUS",IF(J1133&lt;=2,"?ACTIVATED",IF(J1133&lt;&gt;"","?FAMILIAR",IF(F1133="NEW",IF(ISNA(VLOOKUP(E1133,#REF!,1,FALSE())),"?TYPE_IDENTIFIABLE","?REFERENTIAL"),"_")))))</f>
        <v> </v>
      </c>
      <c r="H1133" s="24" t="str">
        <f>IF(J1133&lt;&gt;1,"",IF(I1133="SBJ","CB","?"))</f>
        <v> </v>
      </c>
      <c r="I1133" s="25" t="str">
        <f>IF(OR(E1133="",E1133="!!!",F1133="NEW"),"",INDEX(B1132:B$2,-1+SUMPRODUCT(MAX(ROW(E1132:E$2)*(E1133=E1132:E$2)))))</f>
        <v> </v>
      </c>
      <c r="J1133" s="25" t="str">
        <f>IF(OR(E1133="",E1133="!!!",F1133="NEW"),"",COUNTBLANK(OFFSET(A$1,,,SUMPRODUCT(MAX(ROW(E$2:E1133)*(E1133=E$2:E1133)))))-COUNTBLANK(OFFSET(A$1,,,SUMPRODUCT(MAX(ROW(E$1:E1132)*(E2=E$1:E1132))))))</f>
        <v> </v>
      </c>
      <c r="K1133" s="25" t="str">
        <f>IF(OR(E1133="",E1133="!!!",F1133="NEW"),"",INDEX(J$1:J1132,SUMPRODUCT(MAX(ROW(E$1:E1132)*(E1133=E$1:E1132)))))</f>
        <v> </v>
      </c>
      <c r="L1133" s="26"/>
    </row>
    <row r="1134" spans="1:12">
      <c r="A1134" s="20" t="s">
        <v>1123</v>
      </c>
      <c r="E1134" s="21">
        <f>IF(D1134="?OLD","!!!","")</f>
        <v/>
      </c>
      <c r="F1134" s="22" t="str">
        <f>IF(OR(E1134="",E1134="!!!"),"",IF(NOT(ISNA(VLOOKUP(E1134,E$1:E1133,1,FALSE()))),"OLD",IF(AND(E1134&lt;&gt;"",E1134&lt;&gt;"!!!"),"NEW","")))</f>
        <v> </v>
      </c>
      <c r="G1134" s="23" t="str">
        <f>IF(OR(E1134="",E1134="!!!"),"",IF(OR(J1134=0,AND(J1134=1,K1134=1),AND(J1134=1,I1134="SBJ"),AND(J1134=1,I1134=0)),"?IN_FOCUS",IF(J1134&lt;=2,"?ACTIVATED",IF(J1134&lt;&gt;"","?FAMILIAR",IF(F1134="NEW",IF(ISNA(VLOOKUP(E1134,#REF!,1,FALSE())),"?TYPE_IDENTIFIABLE","?REFERENTIAL"),"_")))))</f>
        <v> </v>
      </c>
      <c r="H1134" s="24" t="str">
        <f>IF(J1134&lt;&gt;1,"",IF(I1134="SBJ","CB","?"))</f>
        <v> </v>
      </c>
      <c r="I1134" s="25" t="str">
        <f>IF(OR(E1134="",E1134="!!!",F1134="NEW"),"",INDEX(B1133:B$2,-1+SUMPRODUCT(MAX(ROW(E1133:E$2)*(E1134=E1133:E$2)))))</f>
        <v> </v>
      </c>
      <c r="J1134" s="25" t="str">
        <f>IF(OR(E1134="",E1134="!!!",F1134="NEW"),"",COUNTBLANK(OFFSET(A$1,,,SUMPRODUCT(MAX(ROW(E$2:E1134)*(E1134=E$2:E1134)))))-COUNTBLANK(OFFSET(A$1,,,SUMPRODUCT(MAX(ROW(E$1:E1133)*(E2=E$1:E1133))))))</f>
        <v> </v>
      </c>
      <c r="K1134" s="25" t="str">
        <f>IF(OR(E1134="",E1134="!!!",F1134="NEW"),"",INDEX(J$1:J1133,SUMPRODUCT(MAX(ROW(E$1:E1133)*(E1134=E$1:E1133)))))</f>
        <v> </v>
      </c>
      <c r="L1134" s="26"/>
    </row>
    <row r="1135" spans="1:12">
      <c r="A1135" s="20" t="s">
        <v>617</v>
      </c>
      <c r="E1135" s="21">
        <f>IF(D1135="?OLD","!!!","")</f>
        <v/>
      </c>
      <c r="F1135" s="22" t="str">
        <f>IF(OR(E1135="",E1135="!!!"),"",IF(NOT(ISNA(VLOOKUP(E1135,E$1:E1134,1,FALSE()))),"OLD",IF(AND(E1135&lt;&gt;"",E1135&lt;&gt;"!!!"),"NEW","")))</f>
        <v> </v>
      </c>
      <c r="G1135" s="23" t="str">
        <f>IF(OR(E1135="",E1135="!!!"),"",IF(OR(J1135=0,AND(J1135=1,K1135=1),AND(J1135=1,I1135="SBJ"),AND(J1135=1,I1135=0)),"?IN_FOCUS",IF(J1135&lt;=2,"?ACTIVATED",IF(J1135&lt;&gt;"","?FAMILIAR",IF(F1135="NEW",IF(ISNA(VLOOKUP(E1135,#REF!,1,FALSE())),"?TYPE_IDENTIFIABLE","?REFERENTIAL"),"_")))))</f>
        <v> </v>
      </c>
      <c r="H1135" s="24" t="str">
        <f>IF(J1135&lt;&gt;1,"",IF(I1135="SBJ","CB","?"))</f>
        <v> </v>
      </c>
      <c r="I1135" s="25" t="str">
        <f>IF(OR(E1135="",E1135="!!!",F1135="NEW"),"",INDEX(B1134:B$2,-1+SUMPRODUCT(MAX(ROW(E1134:E$2)*(E1135=E1134:E$2)))))</f>
        <v> </v>
      </c>
      <c r="J1135" s="25" t="str">
        <f>IF(OR(E1135="",E1135="!!!",F1135="NEW"),"",COUNTBLANK(OFFSET(A$1,,,SUMPRODUCT(MAX(ROW(E$2:E1135)*(E1135=E$2:E1135)))))-COUNTBLANK(OFFSET(A$1,,,SUMPRODUCT(MAX(ROW(E$1:E1134)*(E2=E$1:E1134))))))</f>
        <v> </v>
      </c>
      <c r="K1135" s="25" t="str">
        <f>IF(OR(E1135="",E1135="!!!",F1135="NEW"),"",INDEX(J$1:J1134,SUMPRODUCT(MAX(ROW(E$1:E1134)*(E1135=E$1:E1134)))))</f>
        <v> </v>
      </c>
      <c r="L1135" s="26"/>
    </row>
    <row r="1136" spans="1:12">
      <c r="A1136" s="20" t="s">
        <v>630</v>
      </c>
      <c r="B1136" s="27" t="s">
        <v>657</v>
      </c>
      <c r="C1136" s="27" t="s">
        <v>631</v>
      </c>
      <c r="D1136" s="27" t="s">
        <v>608</v>
      </c>
      <c r="E1136" s="21">
        <f>IF(D1136="?OLD","!!!","")</f>
        <v/>
      </c>
      <c r="F1136" s="22" t="str">
        <f>IF(OR(E1136="",E1136="!!!"),"",IF(NOT(ISNA(VLOOKUP(E1136,E$1:E1135,1,FALSE()))),"OLD",IF(AND(E1136&lt;&gt;"",E1136&lt;&gt;"!!!"),"NEW","")))</f>
        <v> </v>
      </c>
      <c r="G1136" s="23" t="str">
        <f>IF(OR(E1136="",E1136="!!!"),"",IF(OR(J1136=0,AND(J1136=1,K1136=1),AND(J1136=1,I1136="SBJ"),AND(J1136=1,I1136=0)),"?IN_FOCUS",IF(J1136&lt;=2,"?ACTIVATED",IF(J1136&lt;&gt;"","?FAMILIAR",IF(F1136="NEW",IF(ISNA(VLOOKUP(E1136,#REF!,1,FALSE())),"?TYPE_IDENTIFIABLE","?REFERENTIAL"),"_")))))</f>
        <v> </v>
      </c>
      <c r="H1136" s="24" t="str">
        <f>IF(J1136&lt;&gt;1,"",IF(I1136="SBJ","CB","?"))</f>
        <v> </v>
      </c>
      <c r="I1136" s="25" t="str">
        <f>IF(OR(E1136="",E1136="!!!",F1136="NEW"),"",INDEX(B1135:B$2,-1+SUMPRODUCT(MAX(ROW(E1135:E$2)*(E1136=E1135:E$2)))))</f>
        <v> </v>
      </c>
      <c r="J1136" s="25" t="str">
        <f>IF(OR(E1136="",E1136="!!!",F1136="NEW"),"",COUNTBLANK(OFFSET(A$1,,,SUMPRODUCT(MAX(ROW(E$2:E1136)*(E1136=E$2:E1136)))))-COUNTBLANK(OFFSET(A$1,,,SUMPRODUCT(MAX(ROW(E$1:E1135)*(E2=E$1:E1135))))))</f>
        <v> </v>
      </c>
      <c r="K1136" s="25" t="str">
        <f>IF(OR(E1136="",E1136="!!!",F1136="NEW"),"",INDEX(J$1:J1135,SUMPRODUCT(MAX(ROW(E$1:E1135)*(E1136=E$1:E1135)))))</f>
        <v> </v>
      </c>
      <c r="L1136" s="26"/>
    </row>
    <row r="1137" spans="1:12">
      <c r="A1137" s="20" t="s">
        <v>816</v>
      </c>
      <c r="E1137" s="21">
        <f>IF(D1137="?OLD","!!!","")</f>
        <v/>
      </c>
      <c r="F1137" s="22" t="str">
        <f>IF(OR(E1137="",E1137="!!!"),"",IF(NOT(ISNA(VLOOKUP(E1137,E$1:E1136,1,FALSE()))),"OLD",IF(AND(E1137&lt;&gt;"",E1137&lt;&gt;"!!!"),"NEW","")))</f>
        <v> </v>
      </c>
      <c r="G1137" s="23" t="str">
        <f>IF(OR(E1137="",E1137="!!!"),"",IF(OR(J1137=0,AND(J1137=1,K1137=1),AND(J1137=1,I1137="SBJ"),AND(J1137=1,I1137=0)),"?IN_FOCUS",IF(J1137&lt;=2,"?ACTIVATED",IF(J1137&lt;&gt;"","?FAMILIAR",IF(F1137="NEW",IF(ISNA(VLOOKUP(E1137,#REF!,1,FALSE())),"?TYPE_IDENTIFIABLE","?REFERENTIAL"),"_")))))</f>
        <v> </v>
      </c>
      <c r="H1137" s="24" t="str">
        <f>IF(J1137&lt;&gt;1,"",IF(I1137="SBJ","CB","?"))</f>
        <v> </v>
      </c>
      <c r="I1137" s="25" t="str">
        <f>IF(OR(E1137="",E1137="!!!",F1137="NEW"),"",INDEX(B1136:B$2,-1+SUMPRODUCT(MAX(ROW(E1136:E$2)*(E1137=E1136:E$2)))))</f>
        <v> </v>
      </c>
      <c r="J1137" s="25" t="str">
        <f>IF(OR(E1137="",E1137="!!!",F1137="NEW"),"",COUNTBLANK(OFFSET(A$1,,,SUMPRODUCT(MAX(ROW(E$2:E1137)*(E1137=E$2:E1137)))))-COUNTBLANK(OFFSET(A$1,,,SUMPRODUCT(MAX(ROW(E$1:E1136)*(E2=E$1:E1136))))))</f>
        <v> </v>
      </c>
      <c r="K1137" s="25" t="str">
        <f>IF(OR(E1137="",E1137="!!!",F1137="NEW"),"",INDEX(J$1:J1136,SUMPRODUCT(MAX(ROW(E$1:E1136)*(E1137=E$1:E1136)))))</f>
        <v> </v>
      </c>
      <c r="L1137" s="26"/>
    </row>
    <row r="1138" spans="1:12">
      <c r="A1138" s="20" t="s">
        <v>817</v>
      </c>
      <c r="E1138" s="21">
        <f>IF(D1138="?OLD","!!!","")</f>
        <v/>
      </c>
      <c r="F1138" s="22" t="str">
        <f>IF(OR(E1138="",E1138="!!!"),"",IF(NOT(ISNA(VLOOKUP(E1138,E$1:E1137,1,FALSE()))),"OLD",IF(AND(E1138&lt;&gt;"",E1138&lt;&gt;"!!!"),"NEW","")))</f>
        <v> </v>
      </c>
      <c r="G1138" s="23" t="str">
        <f>IF(OR(E1138="",E1138="!!!"),"",IF(OR(J1138=0,AND(J1138=1,K1138=1),AND(J1138=1,I1138="SBJ"),AND(J1138=1,I1138=0)),"?IN_FOCUS",IF(J1138&lt;=2,"?ACTIVATED",IF(J1138&lt;&gt;"","?FAMILIAR",IF(F1138="NEW",IF(ISNA(VLOOKUP(E1138,#REF!,1,FALSE())),"?TYPE_IDENTIFIABLE","?REFERENTIAL"),"_")))))</f>
        <v> </v>
      </c>
      <c r="H1138" s="24" t="str">
        <f>IF(J1138&lt;&gt;1,"",IF(I1138="SBJ","CB","?"))</f>
        <v> </v>
      </c>
      <c r="I1138" s="25" t="str">
        <f>IF(OR(E1138="",E1138="!!!",F1138="NEW"),"",INDEX(B1137:B$2,-1+SUMPRODUCT(MAX(ROW(E1137:E$2)*(E1138=E1137:E$2)))))</f>
        <v> </v>
      </c>
      <c r="J1138" s="25" t="str">
        <f>IF(OR(E1138="",E1138="!!!",F1138="NEW"),"",COUNTBLANK(OFFSET(A$1,,,SUMPRODUCT(MAX(ROW(E$2:E1138)*(E1138=E$2:E1138)))))-COUNTBLANK(OFFSET(A$1,,,SUMPRODUCT(MAX(ROW(E$1:E1137)*(E2=E$1:E1137))))))</f>
        <v> </v>
      </c>
      <c r="K1138" s="25" t="str">
        <f>IF(OR(E1138="",E1138="!!!",F1138="NEW"),"",INDEX(J$1:J1137,SUMPRODUCT(MAX(ROW(E$1:E1137)*(E1138=E$1:E1137)))))</f>
        <v> </v>
      </c>
      <c r="L1138" s="26"/>
    </row>
    <row r="1139" spans="1:12">
      <c r="A1139" s="20" t="s">
        <v>1124</v>
      </c>
      <c r="B1139" s="27" t="s">
        <v>611</v>
      </c>
      <c r="C1139" s="27" t="s">
        <v>685</v>
      </c>
      <c r="E1139" s="21">
        <f>IF(D1139="?OLD","!!!","")</f>
        <v/>
      </c>
      <c r="F1139" s="22" t="str">
        <f>IF(OR(E1139="",E1139="!!!"),"",IF(NOT(ISNA(VLOOKUP(E1139,E$1:E1138,1,FALSE()))),"OLD",IF(AND(E1139&lt;&gt;"",E1139&lt;&gt;"!!!"),"NEW","")))</f>
        <v> </v>
      </c>
      <c r="G1139" s="23" t="str">
        <f>IF(OR(E1139="",E1139="!!!"),"",IF(OR(J1139=0,AND(J1139=1,K1139=1),AND(J1139=1,I1139="SBJ"),AND(J1139=1,I1139=0)),"?IN_FOCUS",IF(J1139&lt;=2,"?ACTIVATED",IF(J1139&lt;&gt;"","?FAMILIAR",IF(F1139="NEW",IF(ISNA(VLOOKUP(E1139,#REF!,1,FALSE())),"?TYPE_IDENTIFIABLE","?REFERENTIAL"),"_")))))</f>
        <v> </v>
      </c>
      <c r="H1139" s="24" t="str">
        <f>IF(J1139&lt;&gt;1,"",IF(I1139="SBJ","CB","?"))</f>
        <v> </v>
      </c>
      <c r="I1139" s="25" t="str">
        <f>IF(OR(E1139="",E1139="!!!",F1139="NEW"),"",INDEX(B1138:B$2,-1+SUMPRODUCT(MAX(ROW(E1138:E$2)*(E1139=E1138:E$2)))))</f>
        <v> </v>
      </c>
      <c r="J1139" s="25" t="str">
        <f>IF(OR(E1139="",E1139="!!!",F1139="NEW"),"",COUNTBLANK(OFFSET(A$1,,,SUMPRODUCT(MAX(ROW(E$2:E1139)*(E1139=E$2:E1139)))))-COUNTBLANK(OFFSET(A$1,,,SUMPRODUCT(MAX(ROW(E$1:E1138)*(E2=E$1:E1138))))))</f>
        <v> </v>
      </c>
      <c r="K1139" s="25" t="str">
        <f>IF(OR(E1139="",E1139="!!!",F1139="NEW"),"",INDEX(J$1:J1138,SUMPRODUCT(MAX(ROW(E$1:E1138)*(E1139=E$1:E1138)))))</f>
        <v> </v>
      </c>
      <c r="L1139" s="26"/>
    </row>
    <row r="1140" spans="1:12">
      <c r="A1140" s="20" t="s">
        <v>663</v>
      </c>
      <c r="E1140" s="21">
        <f>IF(D1140="?OLD","!!!","")</f>
        <v/>
      </c>
      <c r="F1140" s="22" t="str">
        <f>IF(OR(E1140="",E1140="!!!"),"",IF(NOT(ISNA(VLOOKUP(E1140,E$1:E1139,1,FALSE()))),"OLD",IF(AND(E1140&lt;&gt;"",E1140&lt;&gt;"!!!"),"NEW","")))</f>
        <v> </v>
      </c>
      <c r="G1140" s="23" t="str">
        <f>IF(OR(E1140="",E1140="!!!"),"",IF(OR(J1140=0,AND(J1140=1,K1140=1),AND(J1140=1,I1140="SBJ"),AND(J1140=1,I1140=0)),"?IN_FOCUS",IF(J1140&lt;=2,"?ACTIVATED",IF(J1140&lt;&gt;"","?FAMILIAR",IF(F1140="NEW",IF(ISNA(VLOOKUP(E1140,#REF!,1,FALSE())),"?TYPE_IDENTIFIABLE","?REFERENTIAL"),"_")))))</f>
        <v> </v>
      </c>
      <c r="H1140" s="24" t="str">
        <f>IF(J1140&lt;&gt;1,"",IF(I1140="SBJ","CB","?"))</f>
        <v> </v>
      </c>
      <c r="I1140" s="25" t="str">
        <f>IF(OR(E1140="",E1140="!!!",F1140="NEW"),"",INDEX(B1139:B$2,-1+SUMPRODUCT(MAX(ROW(E1139:E$2)*(E1140=E1139:E$2)))))</f>
        <v> </v>
      </c>
      <c r="J1140" s="25" t="str">
        <f>IF(OR(E1140="",E1140="!!!",F1140="NEW"),"",COUNTBLANK(OFFSET(A$1,,,SUMPRODUCT(MAX(ROW(E$2:E1140)*(E1140=E$2:E1140)))))-COUNTBLANK(OFFSET(A$1,,,SUMPRODUCT(MAX(ROW(E$1:E1139)*(E2=E$1:E1139))))))</f>
        <v> </v>
      </c>
      <c r="K1140" s="25" t="str">
        <f>IF(OR(E1140="",E1140="!!!",F1140="NEW"),"",INDEX(J$1:J1139,SUMPRODUCT(MAX(ROW(E$1:E1139)*(E1140=E$1:E1139)))))</f>
        <v> </v>
      </c>
      <c r="L1140" s="26"/>
    </row>
    <row r="1141" spans="1:12">
      <c r="A1141" s="20" t="s">
        <v>1125</v>
      </c>
      <c r="E1141" s="21">
        <f>IF(D1141="?OLD","!!!","")</f>
        <v/>
      </c>
      <c r="F1141" s="22" t="str">
        <f>IF(OR(E1141="",E1141="!!!"),"",IF(NOT(ISNA(VLOOKUP(E1141,E$1:E1140,1,FALSE()))),"OLD",IF(AND(E1141&lt;&gt;"",E1141&lt;&gt;"!!!"),"NEW","")))</f>
        <v> </v>
      </c>
      <c r="G1141" s="23" t="str">
        <f>IF(OR(E1141="",E1141="!!!"),"",IF(OR(J1141=0,AND(J1141=1,K1141=1),AND(J1141=1,I1141="SBJ"),AND(J1141=1,I1141=0)),"?IN_FOCUS",IF(J1141&lt;=2,"?ACTIVATED",IF(J1141&lt;&gt;"","?FAMILIAR",IF(F1141="NEW",IF(ISNA(VLOOKUP(E1141,#REF!,1,FALSE())),"?TYPE_IDENTIFIABLE","?REFERENTIAL"),"_")))))</f>
        <v> </v>
      </c>
      <c r="H1141" s="24" t="str">
        <f>IF(J1141&lt;&gt;1,"",IF(I1141="SBJ","CB","?"))</f>
        <v> </v>
      </c>
      <c r="I1141" s="25" t="str">
        <f>IF(OR(E1141="",E1141="!!!",F1141="NEW"),"",INDEX(B1140:B$2,-1+SUMPRODUCT(MAX(ROW(E1140:E$2)*(E1141=E1140:E$2)))))</f>
        <v> </v>
      </c>
      <c r="J1141" s="25" t="str">
        <f>IF(OR(E1141="",E1141="!!!",F1141="NEW"),"",COUNTBLANK(OFFSET(A$1,,,SUMPRODUCT(MAX(ROW(E$2:E1141)*(E1141=E$2:E1141)))))-COUNTBLANK(OFFSET(A$1,,,SUMPRODUCT(MAX(ROW(E$1:E1140)*(E2=E$1:E1140))))))</f>
        <v> </v>
      </c>
      <c r="K1141" s="25" t="str">
        <f>IF(OR(E1141="",E1141="!!!",F1141="NEW"),"",INDEX(J$1:J1140,SUMPRODUCT(MAX(ROW(E$1:E1140)*(E1141=E$1:E1140)))))</f>
        <v> </v>
      </c>
      <c r="L1141" s="26"/>
    </row>
    <row r="1142" spans="1:12">
      <c r="A1142" s="20" t="s">
        <v>633</v>
      </c>
      <c r="E1142" s="21">
        <f>IF(D1142="?OLD","!!!","")</f>
        <v/>
      </c>
      <c r="F1142" s="22" t="str">
        <f>IF(OR(E1142="",E1142="!!!"),"",IF(NOT(ISNA(VLOOKUP(E1142,E$1:E1141,1,FALSE()))),"OLD",IF(AND(E1142&lt;&gt;"",E1142&lt;&gt;"!!!"),"NEW","")))</f>
        <v> </v>
      </c>
      <c r="G1142" s="23" t="str">
        <f>IF(OR(E1142="",E1142="!!!"),"",IF(OR(J1142=0,AND(J1142=1,K1142=1),AND(J1142=1,I1142="SBJ"),AND(J1142=1,I1142=0)),"?IN_FOCUS",IF(J1142&lt;=2,"?ACTIVATED",IF(J1142&lt;&gt;"","?FAMILIAR",IF(F1142="NEW",IF(ISNA(VLOOKUP(E1142,#REF!,1,FALSE())),"?TYPE_IDENTIFIABLE","?REFERENTIAL"),"_")))))</f>
        <v> </v>
      </c>
      <c r="H1142" s="24" t="str">
        <f>IF(J1142&lt;&gt;1,"",IF(I1142="SBJ","CB","?"))</f>
        <v> </v>
      </c>
      <c r="I1142" s="25" t="str">
        <f>IF(OR(E1142="",E1142="!!!",F1142="NEW"),"",INDEX(B1141:B$2,-1+SUMPRODUCT(MAX(ROW(E1141:E$2)*(E1142=E1141:E$2)))))</f>
        <v> </v>
      </c>
      <c r="J1142" s="25" t="str">
        <f>IF(OR(E1142="",E1142="!!!",F1142="NEW"),"",COUNTBLANK(OFFSET(A$1,,,SUMPRODUCT(MAX(ROW(E$2:E1142)*(E1142=E$2:E1142)))))-COUNTBLANK(OFFSET(A$1,,,SUMPRODUCT(MAX(ROW(E$1:E1141)*(E2=E$1:E1141))))))</f>
        <v> </v>
      </c>
      <c r="K1142" s="25" t="str">
        <f>IF(OR(E1142="",E1142="!!!",F1142="NEW"),"",INDEX(J$1:J1141,SUMPRODUCT(MAX(ROW(E$1:E1141)*(E1142=E$1:E1141)))))</f>
        <v> </v>
      </c>
      <c r="L1142" s="26"/>
    </row>
    <row r="1143" spans="1:12">
      <c r="A1143" s="20"/>
    </row>
    <row r="1144" spans="1:12">
      <c r="A1144" s="20" t="s">
        <v>1126</v>
      </c>
    </row>
    <row r="1145" spans="1:12">
      <c r="A1145" s="20" t="s">
        <v>1127</v>
      </c>
      <c r="B1145" s="27" t="s">
        <v>636</v>
      </c>
      <c r="C1145" s="27" t="s">
        <v>626</v>
      </c>
      <c r="E1145" s="21">
        <f>IF(D1145="?OLD","!!!","")</f>
        <v/>
      </c>
      <c r="F1145" s="22" t="str">
        <f>IF(OR(E1145="",E1145="!!!"),"",IF(NOT(ISNA(VLOOKUP(E1145,E$1:E1144,1,FALSE()))),"OLD",IF(AND(E1145&lt;&gt;"",E1145&lt;&gt;"!!!"),"NEW","")))</f>
        <v> </v>
      </c>
      <c r="G1145" s="23" t="str">
        <f>IF(OR(E1145="",E1145="!!!"),"",IF(OR(J1145=0,AND(J1145=1,K1145=1),AND(J1145=1,I1145="SBJ"),AND(J1145=1,I1145=0)),"?IN_FOCUS",IF(J1145&lt;=2,"?ACTIVATED",IF(J1145&lt;&gt;"","?FAMILIAR",IF(F1145="NEW",IF(ISNA(VLOOKUP(E1145,#REF!,1,FALSE())),"?TYPE_IDENTIFIABLE","?REFERENTIAL"),"_")))))</f>
        <v> </v>
      </c>
      <c r="H1145" s="24" t="str">
        <f>IF(J1145&lt;&gt;1,"",IF(I1145="SBJ","CB","?"))</f>
        <v> </v>
      </c>
      <c r="I1145" s="25" t="str">
        <f>IF(OR(E1145="",E1145="!!!",F1145="NEW"),"",INDEX(B1144:B$2,-1+SUMPRODUCT(MAX(ROW(E1144:E$2)*(E1145=E1144:E$2)))))</f>
        <v> </v>
      </c>
      <c r="J1145" s="25" t="str">
        <f>IF(OR(E1145="",E1145="!!!",F1145="NEW"),"",COUNTBLANK(OFFSET(A$1,,,SUMPRODUCT(MAX(ROW(E$2:E1145)*(E1145=E$2:E1145)))))-COUNTBLANK(OFFSET(A$1,,,SUMPRODUCT(MAX(ROW(E$1:E1144)*(E2=E$1:E1144))))))</f>
        <v> </v>
      </c>
      <c r="K1145" s="25" t="str">
        <f>IF(OR(E1145="",E1145="!!!",F1145="NEW"),"",INDEX(J$1:J1144,SUMPRODUCT(MAX(ROW(E$1:E1144)*(E1145=E$1:E1144)))))</f>
        <v> </v>
      </c>
      <c r="L1145" s="26"/>
    </row>
    <row r="1146" spans="1:12">
      <c r="A1146" s="20" t="s">
        <v>627</v>
      </c>
      <c r="B1146" s="27" t="s">
        <v>611</v>
      </c>
      <c r="C1146" s="27" t="s">
        <v>626</v>
      </c>
      <c r="E1146" s="21">
        <f>IF(D1146="?OLD","!!!","")</f>
        <v/>
      </c>
      <c r="F1146" s="22" t="str">
        <f>IF(OR(E1146="",E1146="!!!"),"",IF(NOT(ISNA(VLOOKUP(E1146,E$1:E1145,1,FALSE()))),"OLD",IF(AND(E1146&lt;&gt;"",E1146&lt;&gt;"!!!"),"NEW","")))</f>
        <v> </v>
      </c>
      <c r="G1146" s="23" t="str">
        <f>IF(OR(E1146="",E1146="!!!"),"",IF(OR(J1146=0,AND(J1146=1,K1146=1),AND(J1146=1,I1146="SBJ"),AND(J1146=1,I1146=0)),"?IN_FOCUS",IF(J1146&lt;=2,"?ACTIVATED",IF(J1146&lt;&gt;"","?FAMILIAR",IF(F1146="NEW",IF(ISNA(VLOOKUP(E1146,#REF!,1,FALSE())),"?TYPE_IDENTIFIABLE","?REFERENTIAL"),"_")))))</f>
        <v> </v>
      </c>
      <c r="H1146" s="24" t="str">
        <f>IF(J1146&lt;&gt;1,"",IF(I1146="SBJ","CB","?"))</f>
        <v> </v>
      </c>
      <c r="I1146" s="25" t="str">
        <f>IF(OR(E1146="",E1146="!!!",F1146="NEW"),"",INDEX(B1145:B$2,-1+SUMPRODUCT(MAX(ROW(E1145:E$2)*(E1146=E1145:E$2)))))</f>
        <v> </v>
      </c>
      <c r="J1146" s="25" t="str">
        <f>IF(OR(E1146="",E1146="!!!",F1146="NEW"),"",COUNTBLANK(OFFSET(A$1,,,SUMPRODUCT(MAX(ROW(E$2:E1146)*(E1146=E$2:E1146)))))-COUNTBLANK(OFFSET(A$1,,,SUMPRODUCT(MAX(ROW(E$1:E1145)*(E2=E$1:E1145))))))</f>
        <v> </v>
      </c>
      <c r="K1146" s="25" t="str">
        <f>IF(OR(E1146="",E1146="!!!",F1146="NEW"),"",INDEX(J$1:J1145,SUMPRODUCT(MAX(ROW(E$1:E1145)*(E1146=E$1:E1145)))))</f>
        <v> </v>
      </c>
      <c r="L1146" s="26"/>
    </row>
    <row r="1147" spans="1:12">
      <c r="A1147" s="20" t="s">
        <v>1128</v>
      </c>
      <c r="E1147" s="21">
        <f>IF(D1147="?OLD","!!!","")</f>
        <v/>
      </c>
      <c r="F1147" s="22" t="str">
        <f>IF(OR(E1147="",E1147="!!!"),"",IF(NOT(ISNA(VLOOKUP(E1147,E$1:E1146,1,FALSE()))),"OLD",IF(AND(E1147&lt;&gt;"",E1147&lt;&gt;"!!!"),"NEW","")))</f>
        <v> </v>
      </c>
      <c r="G1147" s="23" t="str">
        <f>IF(OR(E1147="",E1147="!!!"),"",IF(OR(J1147=0,AND(J1147=1,K1147=1),AND(J1147=1,I1147="SBJ"),AND(J1147=1,I1147=0)),"?IN_FOCUS",IF(J1147&lt;=2,"?ACTIVATED",IF(J1147&lt;&gt;"","?FAMILIAR",IF(F1147="NEW",IF(ISNA(VLOOKUP(E1147,#REF!,1,FALSE())),"?TYPE_IDENTIFIABLE","?REFERENTIAL"),"_")))))</f>
        <v> </v>
      </c>
      <c r="H1147" s="24" t="str">
        <f>IF(J1147&lt;&gt;1,"",IF(I1147="SBJ","CB","?"))</f>
        <v> </v>
      </c>
      <c r="I1147" s="25" t="str">
        <f>IF(OR(E1147="",E1147="!!!",F1147="NEW"),"",INDEX(B1146:B$2,-1+SUMPRODUCT(MAX(ROW(E1146:E$2)*(E1147=E1146:E$2)))))</f>
        <v> </v>
      </c>
      <c r="J1147" s="25" t="str">
        <f>IF(OR(E1147="",E1147="!!!",F1147="NEW"),"",COUNTBLANK(OFFSET(A$1,,,SUMPRODUCT(MAX(ROW(E$2:E1147)*(E1147=E$2:E1147)))))-COUNTBLANK(OFFSET(A$1,,,SUMPRODUCT(MAX(ROW(E$1:E1146)*(E2=E$1:E1146))))))</f>
        <v> </v>
      </c>
      <c r="K1147" s="25" t="str">
        <f>IF(OR(E1147="",E1147="!!!",F1147="NEW"),"",INDEX(J$1:J1146,SUMPRODUCT(MAX(ROW(E$1:E1146)*(E1147=E$1:E1146)))))</f>
        <v> </v>
      </c>
      <c r="L1147" s="26"/>
    </row>
    <row r="1148" spans="1:12">
      <c r="A1148" s="20" t="s">
        <v>1129</v>
      </c>
      <c r="E1148" s="21">
        <f>IF(D1148="?OLD","!!!","")</f>
        <v/>
      </c>
      <c r="F1148" s="22" t="str">
        <f>IF(OR(E1148="",E1148="!!!"),"",IF(NOT(ISNA(VLOOKUP(E1148,E$1:E1147,1,FALSE()))),"OLD",IF(AND(E1148&lt;&gt;"",E1148&lt;&gt;"!!!"),"NEW","")))</f>
        <v> </v>
      </c>
      <c r="G1148" s="23" t="str">
        <f>IF(OR(E1148="",E1148="!!!"),"",IF(OR(J1148=0,AND(J1148=1,K1148=1),AND(J1148=1,I1148="SBJ"),AND(J1148=1,I1148=0)),"?IN_FOCUS",IF(J1148&lt;=2,"?ACTIVATED",IF(J1148&lt;&gt;"","?FAMILIAR",IF(F1148="NEW",IF(ISNA(VLOOKUP(E1148,#REF!,1,FALSE())),"?TYPE_IDENTIFIABLE","?REFERENTIAL"),"_")))))</f>
        <v> </v>
      </c>
      <c r="H1148" s="24" t="str">
        <f>IF(J1148&lt;&gt;1,"",IF(I1148="SBJ","CB","?"))</f>
        <v> </v>
      </c>
      <c r="I1148" s="25" t="str">
        <f>IF(OR(E1148="",E1148="!!!",F1148="NEW"),"",INDEX(B1147:B$2,-1+SUMPRODUCT(MAX(ROW(E1147:E$2)*(E1148=E1147:E$2)))))</f>
        <v> </v>
      </c>
      <c r="J1148" s="25" t="str">
        <f>IF(OR(E1148="",E1148="!!!",F1148="NEW"),"",COUNTBLANK(OFFSET(A$1,,,SUMPRODUCT(MAX(ROW(E$2:E1148)*(E1148=E$2:E1148)))))-COUNTBLANK(OFFSET(A$1,,,SUMPRODUCT(MAX(ROW(E$1:E1147)*(E2=E$1:E1147))))))</f>
        <v> </v>
      </c>
      <c r="K1148" s="25" t="str">
        <f>IF(OR(E1148="",E1148="!!!",F1148="NEW"),"",INDEX(J$1:J1147,SUMPRODUCT(MAX(ROW(E$1:E1147)*(E1148=E$1:E1147)))))</f>
        <v> </v>
      </c>
      <c r="L1148" s="26"/>
    </row>
    <row r="1149" spans="1:12">
      <c r="A1149" s="20" t="s">
        <v>617</v>
      </c>
      <c r="E1149" s="21">
        <f>IF(D1149="?OLD","!!!","")</f>
        <v/>
      </c>
      <c r="F1149" s="22" t="str">
        <f>IF(OR(E1149="",E1149="!!!"),"",IF(NOT(ISNA(VLOOKUP(E1149,E$1:E1148,1,FALSE()))),"OLD",IF(AND(E1149&lt;&gt;"",E1149&lt;&gt;"!!!"),"NEW","")))</f>
        <v> </v>
      </c>
      <c r="G1149" s="23" t="str">
        <f>IF(OR(E1149="",E1149="!!!"),"",IF(OR(J1149=0,AND(J1149=1,K1149=1),AND(J1149=1,I1149="SBJ"),AND(J1149=1,I1149=0)),"?IN_FOCUS",IF(J1149&lt;=2,"?ACTIVATED",IF(J1149&lt;&gt;"","?FAMILIAR",IF(F1149="NEW",IF(ISNA(VLOOKUP(E1149,#REF!,1,FALSE())),"?TYPE_IDENTIFIABLE","?REFERENTIAL"),"_")))))</f>
        <v> </v>
      </c>
      <c r="H1149" s="24" t="str">
        <f>IF(J1149&lt;&gt;1,"",IF(I1149="SBJ","CB","?"))</f>
        <v> </v>
      </c>
      <c r="I1149" s="25" t="str">
        <f>IF(OR(E1149="",E1149="!!!",F1149="NEW"),"",INDEX(B1148:B$2,-1+SUMPRODUCT(MAX(ROW(E1148:E$2)*(E1149=E1148:E$2)))))</f>
        <v> </v>
      </c>
      <c r="J1149" s="25" t="str">
        <f>IF(OR(E1149="",E1149="!!!",F1149="NEW"),"",COUNTBLANK(OFFSET(A$1,,,SUMPRODUCT(MAX(ROW(E$2:E1149)*(E1149=E$2:E1149)))))-COUNTBLANK(OFFSET(A$1,,,SUMPRODUCT(MAX(ROW(E$1:E1148)*(E2=E$1:E1148))))))</f>
        <v> </v>
      </c>
      <c r="K1149" s="25" t="str">
        <f>IF(OR(E1149="",E1149="!!!",F1149="NEW"),"",INDEX(J$1:J1148,SUMPRODUCT(MAX(ROW(E$1:E1148)*(E1149=E$1:E1148)))))</f>
        <v> </v>
      </c>
      <c r="L1149" s="26"/>
    </row>
    <row r="1150" spans="1:12">
      <c r="A1150" s="20" t="s">
        <v>1130</v>
      </c>
      <c r="E1150" s="21">
        <f>IF(D1150="?OLD","!!!","")</f>
        <v/>
      </c>
      <c r="F1150" s="22" t="str">
        <f>IF(OR(E1150="",E1150="!!!"),"",IF(NOT(ISNA(VLOOKUP(E1150,E$1:E1149,1,FALSE()))),"OLD",IF(AND(E1150&lt;&gt;"",E1150&lt;&gt;"!!!"),"NEW","")))</f>
        <v> </v>
      </c>
      <c r="G1150" s="23" t="str">
        <f>IF(OR(E1150="",E1150="!!!"),"",IF(OR(J1150=0,AND(J1150=1,K1150=1),AND(J1150=1,I1150="SBJ"),AND(J1150=1,I1150=0)),"?IN_FOCUS",IF(J1150&lt;=2,"?ACTIVATED",IF(J1150&lt;&gt;"","?FAMILIAR",IF(F1150="NEW",IF(ISNA(VLOOKUP(E1150,#REF!,1,FALSE())),"?TYPE_IDENTIFIABLE","?REFERENTIAL"),"_")))))</f>
        <v> </v>
      </c>
      <c r="H1150" s="24" t="str">
        <f>IF(J1150&lt;&gt;1,"",IF(I1150="SBJ","CB","?"))</f>
        <v> </v>
      </c>
      <c r="I1150" s="25" t="str">
        <f>IF(OR(E1150="",E1150="!!!",F1150="NEW"),"",INDEX(B1149:B$2,-1+SUMPRODUCT(MAX(ROW(E1149:E$2)*(E1150=E1149:E$2)))))</f>
        <v> </v>
      </c>
      <c r="J1150" s="25" t="str">
        <f>IF(OR(E1150="",E1150="!!!",F1150="NEW"),"",COUNTBLANK(OFFSET(A$1,,,SUMPRODUCT(MAX(ROW(E$2:E1150)*(E1150=E$2:E1150)))))-COUNTBLANK(OFFSET(A$1,,,SUMPRODUCT(MAX(ROW(E$1:E1149)*(E2=E$1:E1149))))))</f>
        <v> </v>
      </c>
      <c r="K1150" s="25" t="str">
        <f>IF(OR(E1150="",E1150="!!!",F1150="NEW"),"",INDEX(J$1:J1149,SUMPRODUCT(MAX(ROW(E$1:E1149)*(E1150=E$1:E1149)))))</f>
        <v> </v>
      </c>
      <c r="L1150" s="26"/>
    </row>
    <row r="1151" spans="1:12">
      <c r="A1151" s="20" t="s">
        <v>1131</v>
      </c>
      <c r="B1151" s="27" t="s">
        <v>625</v>
      </c>
      <c r="C1151" s="27" t="s">
        <v>622</v>
      </c>
      <c r="E1151" s="21">
        <f>IF(D1151="?OLD","!!!","")</f>
        <v/>
      </c>
      <c r="F1151" s="22" t="str">
        <f>IF(OR(E1151="",E1151="!!!"),"",IF(NOT(ISNA(VLOOKUP(E1151,E$1:E1150,1,FALSE()))),"OLD",IF(AND(E1151&lt;&gt;"",E1151&lt;&gt;"!!!"),"NEW","")))</f>
        <v> </v>
      </c>
      <c r="G1151" s="23" t="str">
        <f>IF(OR(E1151="",E1151="!!!"),"",IF(OR(J1151=0,AND(J1151=1,K1151=1),AND(J1151=1,I1151="SBJ"),AND(J1151=1,I1151=0)),"?IN_FOCUS",IF(J1151&lt;=2,"?ACTIVATED",IF(J1151&lt;&gt;"","?FAMILIAR",IF(F1151="NEW",IF(ISNA(VLOOKUP(E1151,#REF!,1,FALSE())),"?TYPE_IDENTIFIABLE","?REFERENTIAL"),"_")))))</f>
        <v> </v>
      </c>
      <c r="H1151" s="24" t="str">
        <f>IF(J1151&lt;&gt;1,"",IF(I1151="SBJ","CB","?"))</f>
        <v> </v>
      </c>
      <c r="I1151" s="25" t="str">
        <f>IF(OR(E1151="",E1151="!!!",F1151="NEW"),"",INDEX(B1150:B$2,-1+SUMPRODUCT(MAX(ROW(E1150:E$2)*(E1151=E1150:E$2)))))</f>
        <v> </v>
      </c>
      <c r="J1151" s="25" t="str">
        <f>IF(OR(E1151="",E1151="!!!",F1151="NEW"),"",COUNTBLANK(OFFSET(A$1,,,SUMPRODUCT(MAX(ROW(E$2:E1151)*(E1151=E$2:E1151)))))-COUNTBLANK(OFFSET(A$1,,,SUMPRODUCT(MAX(ROW(E$1:E1150)*(E2=E$1:E1150))))))</f>
        <v> </v>
      </c>
      <c r="K1151" s="25" t="str">
        <f>IF(OR(E1151="",E1151="!!!",F1151="NEW"),"",INDEX(J$1:J1150,SUMPRODUCT(MAX(ROW(E$1:E1150)*(E1151=E$1:E1150)))))</f>
        <v> </v>
      </c>
      <c r="L1151" s="26"/>
    </row>
    <row r="1152" spans="1:12">
      <c r="A1152" s="20" t="s">
        <v>617</v>
      </c>
      <c r="E1152" s="21">
        <f>IF(D1152="?OLD","!!!","")</f>
        <v/>
      </c>
      <c r="F1152" s="22" t="str">
        <f>IF(OR(E1152="",E1152="!!!"),"",IF(NOT(ISNA(VLOOKUP(E1152,E$1:E1151,1,FALSE()))),"OLD",IF(AND(E1152&lt;&gt;"",E1152&lt;&gt;"!!!"),"NEW","")))</f>
        <v> </v>
      </c>
      <c r="G1152" s="23" t="str">
        <f>IF(OR(E1152="",E1152="!!!"),"",IF(OR(J1152=0,AND(J1152=1,K1152=1),AND(J1152=1,I1152="SBJ"),AND(J1152=1,I1152=0)),"?IN_FOCUS",IF(J1152&lt;=2,"?ACTIVATED",IF(J1152&lt;&gt;"","?FAMILIAR",IF(F1152="NEW",IF(ISNA(VLOOKUP(E1152,#REF!,1,FALSE())),"?TYPE_IDENTIFIABLE","?REFERENTIAL"),"_")))))</f>
        <v> </v>
      </c>
      <c r="H1152" s="24" t="str">
        <f>IF(J1152&lt;&gt;1,"",IF(I1152="SBJ","CB","?"))</f>
        <v> </v>
      </c>
      <c r="I1152" s="25" t="str">
        <f>IF(OR(E1152="",E1152="!!!",F1152="NEW"),"",INDEX(B1151:B$2,-1+SUMPRODUCT(MAX(ROW(E1151:E$2)*(E1152=E1151:E$2)))))</f>
        <v> </v>
      </c>
      <c r="J1152" s="25" t="str">
        <f>IF(OR(E1152="",E1152="!!!",F1152="NEW"),"",COUNTBLANK(OFFSET(A$1,,,SUMPRODUCT(MAX(ROW(E$2:E1152)*(E1152=E$2:E1152)))))-COUNTBLANK(OFFSET(A$1,,,SUMPRODUCT(MAX(ROW(E$1:E1151)*(E2=E$1:E1151))))))</f>
        <v> </v>
      </c>
      <c r="K1152" s="25" t="str">
        <f>IF(OR(E1152="",E1152="!!!",F1152="NEW"),"",INDEX(J$1:J1151,SUMPRODUCT(MAX(ROW(E$1:E1151)*(E1152=E$1:E1151)))))</f>
        <v> </v>
      </c>
      <c r="L1152" s="26"/>
    </row>
    <row r="1153" spans="1:12">
      <c r="A1153" s="20" t="s">
        <v>1130</v>
      </c>
      <c r="E1153" s="21">
        <f>IF(D1153="?OLD","!!!","")</f>
        <v/>
      </c>
      <c r="F1153" s="22" t="str">
        <f>IF(OR(E1153="",E1153="!!!"),"",IF(NOT(ISNA(VLOOKUP(E1153,E$1:E1152,1,FALSE()))),"OLD",IF(AND(E1153&lt;&gt;"",E1153&lt;&gt;"!!!"),"NEW","")))</f>
        <v> </v>
      </c>
      <c r="G1153" s="23" t="str">
        <f>IF(OR(E1153="",E1153="!!!"),"",IF(OR(J1153=0,AND(J1153=1,K1153=1),AND(J1153=1,I1153="SBJ"),AND(J1153=1,I1153=0)),"?IN_FOCUS",IF(J1153&lt;=2,"?ACTIVATED",IF(J1153&lt;&gt;"","?FAMILIAR",IF(F1153="NEW",IF(ISNA(VLOOKUP(E1153,#REF!,1,FALSE())),"?TYPE_IDENTIFIABLE","?REFERENTIAL"),"_")))))</f>
        <v> </v>
      </c>
      <c r="H1153" s="24" t="str">
        <f>IF(J1153&lt;&gt;1,"",IF(I1153="SBJ","CB","?"))</f>
        <v> </v>
      </c>
      <c r="I1153" s="25" t="str">
        <f>IF(OR(E1153="",E1153="!!!",F1153="NEW"),"",INDEX(B1152:B$2,-1+SUMPRODUCT(MAX(ROW(E1152:E$2)*(E1153=E1152:E$2)))))</f>
        <v> </v>
      </c>
      <c r="J1153" s="25" t="str">
        <f>IF(OR(E1153="",E1153="!!!",F1153="NEW"),"",COUNTBLANK(OFFSET(A$1,,,SUMPRODUCT(MAX(ROW(E$2:E1153)*(E1153=E$2:E1153)))))-COUNTBLANK(OFFSET(A$1,,,SUMPRODUCT(MAX(ROW(E$1:E1152)*(E2=E$1:E1152))))))</f>
        <v> </v>
      </c>
      <c r="K1153" s="25" t="str">
        <f>IF(OR(E1153="",E1153="!!!",F1153="NEW"),"",INDEX(J$1:J1152,SUMPRODUCT(MAX(ROW(E$1:E1152)*(E1153=E$1:E1152)))))</f>
        <v> </v>
      </c>
      <c r="L1153" s="26"/>
    </row>
    <row r="1154" spans="1:12">
      <c r="A1154" s="20" t="s">
        <v>1040</v>
      </c>
      <c r="B1154" s="27" t="s">
        <v>664</v>
      </c>
      <c r="C1154" s="27" t="s">
        <v>622</v>
      </c>
      <c r="E1154" s="21">
        <f>IF(D1154="?OLD","!!!","")</f>
        <v/>
      </c>
      <c r="F1154" s="22" t="str">
        <f>IF(OR(E1154="",E1154="!!!"),"",IF(NOT(ISNA(VLOOKUP(E1154,E$1:E1153,1,FALSE()))),"OLD",IF(AND(E1154&lt;&gt;"",E1154&lt;&gt;"!!!"),"NEW","")))</f>
        <v> </v>
      </c>
      <c r="G1154" s="23" t="str">
        <f>IF(OR(E1154="",E1154="!!!"),"",IF(OR(J1154=0,AND(J1154=1,K1154=1),AND(J1154=1,I1154="SBJ"),AND(J1154=1,I1154=0)),"?IN_FOCUS",IF(J1154&lt;=2,"?ACTIVATED",IF(J1154&lt;&gt;"","?FAMILIAR",IF(F1154="NEW",IF(ISNA(VLOOKUP(E1154,#REF!,1,FALSE())),"?TYPE_IDENTIFIABLE","?REFERENTIAL"),"_")))))</f>
        <v> </v>
      </c>
      <c r="H1154" s="24" t="str">
        <f>IF(J1154&lt;&gt;1,"",IF(I1154="SBJ","CB","?"))</f>
        <v> </v>
      </c>
      <c r="I1154" s="25" t="str">
        <f>IF(OR(E1154="",E1154="!!!",F1154="NEW"),"",INDEX(B1153:B$2,-1+SUMPRODUCT(MAX(ROW(E1153:E$2)*(E1154=E1153:E$2)))))</f>
        <v> </v>
      </c>
      <c r="J1154" s="25" t="str">
        <f>IF(OR(E1154="",E1154="!!!",F1154="NEW"),"",COUNTBLANK(OFFSET(A$1,,,SUMPRODUCT(MAX(ROW(E$2:E1154)*(E1154=E$2:E1154)))))-COUNTBLANK(OFFSET(A$1,,,SUMPRODUCT(MAX(ROW(E$1:E1153)*(E2=E$1:E1153))))))</f>
        <v> </v>
      </c>
      <c r="K1154" s="25" t="str">
        <f>IF(OR(E1154="",E1154="!!!",F1154="NEW"),"",INDEX(J$1:J1153,SUMPRODUCT(MAX(ROW(E$1:E1153)*(E1154=E$1:E1153)))))</f>
        <v> </v>
      </c>
      <c r="L1154" s="26"/>
    </row>
    <row r="1155" spans="1:12">
      <c r="A1155" s="20" t="s">
        <v>617</v>
      </c>
      <c r="E1155" s="21">
        <f>IF(D1155="?OLD","!!!","")</f>
        <v/>
      </c>
      <c r="F1155" s="22" t="str">
        <f>IF(OR(E1155="",E1155="!!!"),"",IF(NOT(ISNA(VLOOKUP(E1155,E$1:E1154,1,FALSE()))),"OLD",IF(AND(E1155&lt;&gt;"",E1155&lt;&gt;"!!!"),"NEW","")))</f>
        <v> </v>
      </c>
      <c r="G1155" s="23" t="str">
        <f>IF(OR(E1155="",E1155="!!!"),"",IF(OR(J1155=0,AND(J1155=1,K1155=1),AND(J1155=1,I1155="SBJ"),AND(J1155=1,I1155=0)),"?IN_FOCUS",IF(J1155&lt;=2,"?ACTIVATED",IF(J1155&lt;&gt;"","?FAMILIAR",IF(F1155="NEW",IF(ISNA(VLOOKUP(E1155,#REF!,1,FALSE())),"?TYPE_IDENTIFIABLE","?REFERENTIAL"),"_")))))</f>
        <v> </v>
      </c>
      <c r="H1155" s="24" t="str">
        <f>IF(J1155&lt;&gt;1,"",IF(I1155="SBJ","CB","?"))</f>
        <v> </v>
      </c>
      <c r="I1155" s="25" t="str">
        <f>IF(OR(E1155="",E1155="!!!",F1155="NEW"),"",INDEX(B1154:B$2,-1+SUMPRODUCT(MAX(ROW(E1154:E$2)*(E1155=E1154:E$2)))))</f>
        <v> </v>
      </c>
      <c r="J1155" s="25" t="str">
        <f>IF(OR(E1155="",E1155="!!!",F1155="NEW"),"",COUNTBLANK(OFFSET(A$1,,,SUMPRODUCT(MAX(ROW(E$2:E1155)*(E1155=E$2:E1155)))))-COUNTBLANK(OFFSET(A$1,,,SUMPRODUCT(MAX(ROW(E$1:E1154)*(E2=E$1:E1154))))))</f>
        <v> </v>
      </c>
      <c r="K1155" s="25" t="str">
        <f>IF(OR(E1155="",E1155="!!!",F1155="NEW"),"",INDEX(J$1:J1154,SUMPRODUCT(MAX(ROW(E$1:E1154)*(E1155=E$1:E1154)))))</f>
        <v> </v>
      </c>
      <c r="L1155" s="26"/>
    </row>
    <row r="1156" spans="1:12">
      <c r="A1156" s="20" t="s">
        <v>738</v>
      </c>
      <c r="E1156" s="21">
        <f>IF(D1156="?OLD","!!!","")</f>
        <v/>
      </c>
      <c r="F1156" s="22" t="str">
        <f>IF(OR(E1156="",E1156="!!!"),"",IF(NOT(ISNA(VLOOKUP(E1156,E$1:E1155,1,FALSE()))),"OLD",IF(AND(E1156&lt;&gt;"",E1156&lt;&gt;"!!!"),"NEW","")))</f>
        <v> </v>
      </c>
      <c r="G1156" s="23" t="str">
        <f>IF(OR(E1156="",E1156="!!!"),"",IF(OR(J1156=0,AND(J1156=1,K1156=1),AND(J1156=1,I1156="SBJ"),AND(J1156=1,I1156=0)),"?IN_FOCUS",IF(J1156&lt;=2,"?ACTIVATED",IF(J1156&lt;&gt;"","?FAMILIAR",IF(F1156="NEW",IF(ISNA(VLOOKUP(E1156,#REF!,1,FALSE())),"?TYPE_IDENTIFIABLE","?REFERENTIAL"),"_")))))</f>
        <v> </v>
      </c>
      <c r="H1156" s="24" t="str">
        <f>IF(J1156&lt;&gt;1,"",IF(I1156="SBJ","CB","?"))</f>
        <v> </v>
      </c>
      <c r="I1156" s="25" t="str">
        <f>IF(OR(E1156="",E1156="!!!",F1156="NEW"),"",INDEX(B1155:B$2,-1+SUMPRODUCT(MAX(ROW(E1155:E$2)*(E1156=E1155:E$2)))))</f>
        <v> </v>
      </c>
      <c r="J1156" s="25" t="str">
        <f>IF(OR(E1156="",E1156="!!!",F1156="NEW"),"",COUNTBLANK(OFFSET(A$1,,,SUMPRODUCT(MAX(ROW(E$2:E1156)*(E1156=E$2:E1156)))))-COUNTBLANK(OFFSET(A$1,,,SUMPRODUCT(MAX(ROW(E$1:E1155)*(E2=E$1:E1155))))))</f>
        <v> </v>
      </c>
      <c r="K1156" s="25" t="str">
        <f>IF(OR(E1156="",E1156="!!!",F1156="NEW"),"",INDEX(J$1:J1155,SUMPRODUCT(MAX(ROW(E$1:E1155)*(E1156=E$1:E1155)))))</f>
        <v> </v>
      </c>
      <c r="L1156" s="26"/>
    </row>
    <row r="1157" spans="1:12">
      <c r="A1157" s="20" t="s">
        <v>1132</v>
      </c>
      <c r="E1157" s="21">
        <f>IF(D1157="?OLD","!!!","")</f>
        <v/>
      </c>
      <c r="F1157" s="22" t="str">
        <f>IF(OR(E1157="",E1157="!!!"),"",IF(NOT(ISNA(VLOOKUP(E1157,E$1:E1156,1,FALSE()))),"OLD",IF(AND(E1157&lt;&gt;"",E1157&lt;&gt;"!!!"),"NEW","")))</f>
        <v> </v>
      </c>
      <c r="G1157" s="23" t="str">
        <f>IF(OR(E1157="",E1157="!!!"),"",IF(OR(J1157=0,AND(J1157=1,K1157=1),AND(J1157=1,I1157="SBJ"),AND(J1157=1,I1157=0)),"?IN_FOCUS",IF(J1157&lt;=2,"?ACTIVATED",IF(J1157&lt;&gt;"","?FAMILIAR",IF(F1157="NEW",IF(ISNA(VLOOKUP(E1157,#REF!,1,FALSE())),"?TYPE_IDENTIFIABLE","?REFERENTIAL"),"_")))))</f>
        <v> </v>
      </c>
      <c r="H1157" s="24" t="str">
        <f>IF(J1157&lt;&gt;1,"",IF(I1157="SBJ","CB","?"))</f>
        <v> </v>
      </c>
      <c r="I1157" s="25" t="str">
        <f>IF(OR(E1157="",E1157="!!!",F1157="NEW"),"",INDEX(B1156:B$2,-1+SUMPRODUCT(MAX(ROW(E1156:E$2)*(E1157=E1156:E$2)))))</f>
        <v> </v>
      </c>
      <c r="J1157" s="25" t="str">
        <f>IF(OR(E1157="",E1157="!!!",F1157="NEW"),"",COUNTBLANK(OFFSET(A$1,,,SUMPRODUCT(MAX(ROW(E$2:E1157)*(E1157=E$2:E1157)))))-COUNTBLANK(OFFSET(A$1,,,SUMPRODUCT(MAX(ROW(E$1:E1156)*(E2=E$1:E1156))))))</f>
        <v> </v>
      </c>
      <c r="K1157" s="25" t="str">
        <f>IF(OR(E1157="",E1157="!!!",F1157="NEW"),"",INDEX(J$1:J1156,SUMPRODUCT(MAX(ROW(E$1:E1156)*(E1157=E$1:E1156)))))</f>
        <v> </v>
      </c>
      <c r="L1157" s="26"/>
    </row>
    <row r="1158" spans="1:12">
      <c r="A1158" s="20" t="s">
        <v>1133</v>
      </c>
      <c r="B1158" s="27" t="s">
        <v>606</v>
      </c>
      <c r="C1158" s="27" t="s">
        <v>622</v>
      </c>
      <c r="E1158" s="21">
        <f>IF(D1158="?OLD","!!!","")</f>
        <v/>
      </c>
      <c r="F1158" s="22" t="str">
        <f>IF(OR(E1158="",E1158="!!!"),"",IF(NOT(ISNA(VLOOKUP(E1158,E$1:E1157,1,FALSE()))),"OLD",IF(AND(E1158&lt;&gt;"",E1158&lt;&gt;"!!!"),"NEW","")))</f>
        <v> </v>
      </c>
      <c r="G1158" s="23" t="str">
        <f>IF(OR(E1158="",E1158="!!!"),"",IF(OR(J1158=0,AND(J1158=1,K1158=1),AND(J1158=1,I1158="SBJ"),AND(J1158=1,I1158=0)),"?IN_FOCUS",IF(J1158&lt;=2,"?ACTIVATED",IF(J1158&lt;&gt;"","?FAMILIAR",IF(F1158="NEW",IF(ISNA(VLOOKUP(E1158,#REF!,1,FALSE())),"?TYPE_IDENTIFIABLE","?REFERENTIAL"),"_")))))</f>
        <v> </v>
      </c>
      <c r="H1158" s="24" t="str">
        <f>IF(J1158&lt;&gt;1,"",IF(I1158="SBJ","CB","?"))</f>
        <v> </v>
      </c>
      <c r="I1158" s="25" t="str">
        <f>IF(OR(E1158="",E1158="!!!",F1158="NEW"),"",INDEX(B1157:B$2,-1+SUMPRODUCT(MAX(ROW(E1157:E$2)*(E1158=E1157:E$2)))))</f>
        <v> </v>
      </c>
      <c r="J1158" s="25" t="str">
        <f>IF(OR(E1158="",E1158="!!!",F1158="NEW"),"",COUNTBLANK(OFFSET(A$1,,,SUMPRODUCT(MAX(ROW(E$2:E1158)*(E1158=E$2:E1158)))))-COUNTBLANK(OFFSET(A$1,,,SUMPRODUCT(MAX(ROW(E$1:E1157)*(E2=E$1:E1157))))))</f>
        <v> </v>
      </c>
      <c r="K1158" s="25" t="str">
        <f>IF(OR(E1158="",E1158="!!!",F1158="NEW"),"",INDEX(J$1:J1157,SUMPRODUCT(MAX(ROW(E$1:E1157)*(E1158=E$1:E1157)))))</f>
        <v> </v>
      </c>
      <c r="L1158" s="26"/>
    </row>
    <row r="1159" spans="1:12">
      <c r="A1159" s="20" t="s">
        <v>617</v>
      </c>
      <c r="E1159" s="21">
        <f>IF(D1159="?OLD","!!!","")</f>
        <v/>
      </c>
      <c r="F1159" s="22" t="str">
        <f>IF(OR(E1159="",E1159="!!!"),"",IF(NOT(ISNA(VLOOKUP(E1159,E$1:E1158,1,FALSE()))),"OLD",IF(AND(E1159&lt;&gt;"",E1159&lt;&gt;"!!!"),"NEW","")))</f>
        <v> </v>
      </c>
      <c r="G1159" s="23" t="str">
        <f>IF(OR(E1159="",E1159="!!!"),"",IF(OR(J1159=0,AND(J1159=1,K1159=1),AND(J1159=1,I1159="SBJ"),AND(J1159=1,I1159=0)),"?IN_FOCUS",IF(J1159&lt;=2,"?ACTIVATED",IF(J1159&lt;&gt;"","?FAMILIAR",IF(F1159="NEW",IF(ISNA(VLOOKUP(E1159,#REF!,1,FALSE())),"?TYPE_IDENTIFIABLE","?REFERENTIAL"),"_")))))</f>
        <v> </v>
      </c>
      <c r="H1159" s="24" t="str">
        <f>IF(J1159&lt;&gt;1,"",IF(I1159="SBJ","CB","?"))</f>
        <v> </v>
      </c>
      <c r="I1159" s="25" t="str">
        <f>IF(OR(E1159="",E1159="!!!",F1159="NEW"),"",INDEX(B1158:B$2,-1+SUMPRODUCT(MAX(ROW(E1158:E$2)*(E1159=E1158:E$2)))))</f>
        <v> </v>
      </c>
      <c r="J1159" s="25" t="str">
        <f>IF(OR(E1159="",E1159="!!!",F1159="NEW"),"",COUNTBLANK(OFFSET(A$1,,,SUMPRODUCT(MAX(ROW(E$2:E1159)*(E1159=E$2:E1159)))))-COUNTBLANK(OFFSET(A$1,,,SUMPRODUCT(MAX(ROW(E$1:E1158)*(E2=E$1:E1158))))))</f>
        <v> </v>
      </c>
      <c r="K1159" s="25" t="str">
        <f>IF(OR(E1159="",E1159="!!!",F1159="NEW"),"",INDEX(J$1:J1158,SUMPRODUCT(MAX(ROW(E$1:E1158)*(E1159=E$1:E1158)))))</f>
        <v> </v>
      </c>
      <c r="L1159" s="26"/>
    </row>
    <row r="1160" spans="1:12">
      <c r="A1160" s="20" t="s">
        <v>1134</v>
      </c>
      <c r="B1160" s="27" t="s">
        <v>606</v>
      </c>
      <c r="C1160" s="27" t="s">
        <v>626</v>
      </c>
      <c r="E1160" s="21">
        <f>IF(D1160="?OLD","!!!","")</f>
        <v/>
      </c>
      <c r="F1160" s="22" t="str">
        <f>IF(OR(E1160="",E1160="!!!"),"",IF(NOT(ISNA(VLOOKUP(E1160,E$1:E1159,1,FALSE()))),"OLD",IF(AND(E1160&lt;&gt;"",E1160&lt;&gt;"!!!"),"NEW","")))</f>
        <v> </v>
      </c>
      <c r="G1160" s="23" t="str">
        <f>IF(OR(E1160="",E1160="!!!"),"",IF(OR(J1160=0,AND(J1160=1,K1160=1),AND(J1160=1,I1160="SBJ"),AND(J1160=1,I1160=0)),"?IN_FOCUS",IF(J1160&lt;=2,"?ACTIVATED",IF(J1160&lt;&gt;"","?FAMILIAR",IF(F1160="NEW",IF(ISNA(VLOOKUP(E1160,#REF!,1,FALSE())),"?TYPE_IDENTIFIABLE","?REFERENTIAL"),"_")))))</f>
        <v> </v>
      </c>
      <c r="H1160" s="24" t="str">
        <f>IF(J1160&lt;&gt;1,"",IF(I1160="SBJ","CB","?"))</f>
        <v> </v>
      </c>
      <c r="I1160" s="25" t="str">
        <f>IF(OR(E1160="",E1160="!!!",F1160="NEW"),"",INDEX(B1159:B$2,-1+SUMPRODUCT(MAX(ROW(E1159:E$2)*(E1160=E1159:E$2)))))</f>
        <v> </v>
      </c>
      <c r="J1160" s="25" t="str">
        <f>IF(OR(E1160="",E1160="!!!",F1160="NEW"),"",COUNTBLANK(OFFSET(A$1,,,SUMPRODUCT(MAX(ROW(E$2:E1160)*(E1160=E$2:E1160)))))-COUNTBLANK(OFFSET(A$1,,,SUMPRODUCT(MAX(ROW(E$1:E1159)*(E2=E$1:E1159))))))</f>
        <v> </v>
      </c>
      <c r="K1160" s="25" t="str">
        <f>IF(OR(E1160="",E1160="!!!",F1160="NEW"),"",INDEX(J$1:J1159,SUMPRODUCT(MAX(ROW(E$1:E1159)*(E1160=E$1:E1159)))))</f>
        <v> </v>
      </c>
      <c r="L1160" s="26"/>
    </row>
    <row r="1161" spans="1:12">
      <c r="A1161" s="20" t="s">
        <v>617</v>
      </c>
      <c r="E1161" s="21">
        <f>IF(D1161="?OLD","!!!","")</f>
        <v/>
      </c>
      <c r="F1161" s="22" t="str">
        <f>IF(OR(E1161="",E1161="!!!"),"",IF(NOT(ISNA(VLOOKUP(E1161,E$1:E1160,1,FALSE()))),"OLD",IF(AND(E1161&lt;&gt;"",E1161&lt;&gt;"!!!"),"NEW","")))</f>
        <v> </v>
      </c>
      <c r="G1161" s="23" t="str">
        <f>IF(OR(E1161="",E1161="!!!"),"",IF(OR(J1161=0,AND(J1161=1,K1161=1),AND(J1161=1,I1161="SBJ"),AND(J1161=1,I1161=0)),"?IN_FOCUS",IF(J1161&lt;=2,"?ACTIVATED",IF(J1161&lt;&gt;"","?FAMILIAR",IF(F1161="NEW",IF(ISNA(VLOOKUP(E1161,#REF!,1,FALSE())),"?TYPE_IDENTIFIABLE","?REFERENTIAL"),"_")))))</f>
        <v> </v>
      </c>
      <c r="H1161" s="24" t="str">
        <f>IF(J1161&lt;&gt;1,"",IF(I1161="SBJ","CB","?"))</f>
        <v> </v>
      </c>
      <c r="I1161" s="25" t="str">
        <f>IF(OR(E1161="",E1161="!!!",F1161="NEW"),"",INDEX(B1160:B$2,-1+SUMPRODUCT(MAX(ROW(E1160:E$2)*(E1161=E1160:E$2)))))</f>
        <v> </v>
      </c>
      <c r="J1161" s="25" t="str">
        <f>IF(OR(E1161="",E1161="!!!",F1161="NEW"),"",COUNTBLANK(OFFSET(A$1,,,SUMPRODUCT(MAX(ROW(E$2:E1161)*(E1161=E$2:E1161)))))-COUNTBLANK(OFFSET(A$1,,,SUMPRODUCT(MAX(ROW(E$1:E1160)*(E2=E$1:E1160))))))</f>
        <v> </v>
      </c>
      <c r="K1161" s="25" t="str">
        <f>IF(OR(E1161="",E1161="!!!",F1161="NEW"),"",INDEX(J$1:J1160,SUMPRODUCT(MAX(ROW(E$1:E1160)*(E1161=E$1:E1160)))))</f>
        <v> </v>
      </c>
      <c r="L1161" s="26"/>
    </row>
    <row r="1162" spans="1:12">
      <c r="A1162" s="20" t="s">
        <v>715</v>
      </c>
      <c r="B1162" s="27" t="s">
        <v>725</v>
      </c>
      <c r="C1162" s="27" t="s">
        <v>652</v>
      </c>
      <c r="D1162" s="27" t="s">
        <v>608</v>
      </c>
      <c r="E1162" s="21">
        <f>IF(D1162="?OLD","!!!","")</f>
        <v/>
      </c>
      <c r="F1162" s="22" t="str">
        <f>IF(OR(E1162="",E1162="!!!"),"",IF(NOT(ISNA(VLOOKUP(E1162,E$1:E1161,1,FALSE()))),"OLD",IF(AND(E1162&lt;&gt;"",E1162&lt;&gt;"!!!"),"NEW","")))</f>
        <v> </v>
      </c>
      <c r="G1162" s="23" t="str">
        <f>IF(OR(E1162="",E1162="!!!"),"",IF(OR(J1162=0,AND(J1162=1,K1162=1),AND(J1162=1,I1162="SBJ"),AND(J1162=1,I1162=0)),"?IN_FOCUS",IF(J1162&lt;=2,"?ACTIVATED",IF(J1162&lt;&gt;"","?FAMILIAR",IF(F1162="NEW",IF(ISNA(VLOOKUP(E1162,#REF!,1,FALSE())),"?TYPE_IDENTIFIABLE","?REFERENTIAL"),"_")))))</f>
        <v> </v>
      </c>
      <c r="H1162" s="24" t="str">
        <f>IF(J1162&lt;&gt;1,"",IF(I1162="SBJ","CB","?"))</f>
        <v> </v>
      </c>
      <c r="I1162" s="25" t="str">
        <f>IF(OR(E1162="",E1162="!!!",F1162="NEW"),"",INDEX(B1161:B$2,-1+SUMPRODUCT(MAX(ROW(E1161:E$2)*(E1162=E1161:E$2)))))</f>
        <v> </v>
      </c>
      <c r="J1162" s="25" t="str">
        <f>IF(OR(E1162="",E1162="!!!",F1162="NEW"),"",COUNTBLANK(OFFSET(A$1,,,SUMPRODUCT(MAX(ROW(E$2:E1162)*(E1162=E$2:E1162)))))-COUNTBLANK(OFFSET(A$1,,,SUMPRODUCT(MAX(ROW(E$1:E1161)*(E2=E$1:E1161))))))</f>
        <v> </v>
      </c>
      <c r="K1162" s="25" t="str">
        <f>IF(OR(E1162="",E1162="!!!",F1162="NEW"),"",INDEX(J$1:J1161,SUMPRODUCT(MAX(ROW(E$1:E1161)*(E1162=E$1:E1161)))))</f>
        <v> </v>
      </c>
      <c r="L1162" s="26"/>
    </row>
    <row r="1163" spans="1:12">
      <c r="A1163" s="20" t="s">
        <v>621</v>
      </c>
      <c r="B1163" s="27" t="s">
        <v>668</v>
      </c>
      <c r="C1163" s="27" t="s">
        <v>622</v>
      </c>
      <c r="E1163" s="21">
        <f>IF(D1163="?OLD","!!!","")</f>
        <v/>
      </c>
      <c r="F1163" s="22" t="str">
        <f>IF(OR(E1163="",E1163="!!!"),"",IF(NOT(ISNA(VLOOKUP(E1163,E$1:E1162,1,FALSE()))),"OLD",IF(AND(E1163&lt;&gt;"",E1163&lt;&gt;"!!!"),"NEW","")))</f>
        <v> </v>
      </c>
      <c r="G1163" s="23" t="str">
        <f>IF(OR(E1163="",E1163="!!!"),"",IF(OR(J1163=0,AND(J1163=1,K1163=1),AND(J1163=1,I1163="SBJ"),AND(J1163=1,I1163=0)),"?IN_FOCUS",IF(J1163&lt;=2,"?ACTIVATED",IF(J1163&lt;&gt;"","?FAMILIAR",IF(F1163="NEW",IF(ISNA(VLOOKUP(E1163,#REF!,1,FALSE())),"?TYPE_IDENTIFIABLE","?REFERENTIAL"),"_")))))</f>
        <v> </v>
      </c>
      <c r="H1163" s="24" t="str">
        <f>IF(J1163&lt;&gt;1,"",IF(I1163="SBJ","CB","?"))</f>
        <v> </v>
      </c>
      <c r="I1163" s="25" t="str">
        <f>IF(OR(E1163="",E1163="!!!",F1163="NEW"),"",INDEX(B1162:B$2,-1+SUMPRODUCT(MAX(ROW(E1162:E$2)*(E1163=E1162:E$2)))))</f>
        <v> </v>
      </c>
      <c r="J1163" s="25" t="str">
        <f>IF(OR(E1163="",E1163="!!!",F1163="NEW"),"",COUNTBLANK(OFFSET(A$1,,,SUMPRODUCT(MAX(ROW(E$2:E1163)*(E1163=E$2:E1163)))))-COUNTBLANK(OFFSET(A$1,,,SUMPRODUCT(MAX(ROW(E$1:E1162)*(E2=E$1:E1162))))))</f>
        <v> </v>
      </c>
      <c r="K1163" s="25" t="str">
        <f>IF(OR(E1163="",E1163="!!!",F1163="NEW"),"",INDEX(J$1:J1162,SUMPRODUCT(MAX(ROW(E$1:E1162)*(E1163=E$1:E1162)))))</f>
        <v> </v>
      </c>
      <c r="L1163" s="26"/>
    </row>
    <row r="1164" spans="1:12">
      <c r="A1164" s="20" t="s">
        <v>1135</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t="s">
        <v>1092</v>
      </c>
      <c r="E1165" s="21">
        <f>IF(D1165="?OLD","!!!","")</f>
        <v/>
      </c>
      <c r="F1165" s="22" t="str">
        <f>IF(OR(E1165="",E1165="!!!"),"",IF(NOT(ISNA(VLOOKUP(E1165,E$1:E1164,1,FALSE()))),"OLD",IF(AND(E1165&lt;&gt;"",E1165&lt;&gt;"!!!"),"NEW","")))</f>
        <v> </v>
      </c>
      <c r="G1165" s="23" t="str">
        <f>IF(OR(E1165="",E1165="!!!"),"",IF(OR(J1165=0,AND(J1165=1,K1165=1),AND(J1165=1,I1165="SBJ"),AND(J1165=1,I1165=0)),"?IN_FOCUS",IF(J1165&lt;=2,"?ACTIVATED",IF(J1165&lt;&gt;"","?FAMILIAR",IF(F1165="NEW",IF(ISNA(VLOOKUP(E1165,#REF!,1,FALSE())),"?TYPE_IDENTIFIABLE","?REFERENTIAL"),"_")))))</f>
        <v> </v>
      </c>
      <c r="H1165" s="24" t="str">
        <f>IF(J1165&lt;&gt;1,"",IF(I1165="SBJ","CB","?"))</f>
        <v> </v>
      </c>
      <c r="I1165" s="25" t="str">
        <f>IF(OR(E1165="",E1165="!!!",F1165="NEW"),"",INDEX(B1164:B$2,-1+SUMPRODUCT(MAX(ROW(E1164:E$2)*(E1165=E1164:E$2)))))</f>
        <v> </v>
      </c>
      <c r="J1165" s="25" t="str">
        <f>IF(OR(E1165="",E1165="!!!",F1165="NEW"),"",COUNTBLANK(OFFSET(A$1,,,SUMPRODUCT(MAX(ROW(E$2:E1165)*(E1165=E$2:E1165)))))-COUNTBLANK(OFFSET(A$1,,,SUMPRODUCT(MAX(ROW(E$1:E1164)*(E2=E$1:E1164))))))</f>
        <v> </v>
      </c>
      <c r="K1165" s="25" t="str">
        <f>IF(OR(E1165="",E1165="!!!",F1165="NEW"),"",INDEX(J$1:J1164,SUMPRODUCT(MAX(ROW(E$1:E1164)*(E1165=E$1:E1164)))))</f>
        <v> </v>
      </c>
      <c r="L1165" s="26"/>
    </row>
    <row r="1166" spans="1:12">
      <c r="A1166" s="20" t="s">
        <v>633</v>
      </c>
      <c r="E1166" s="21">
        <f>IF(D1166="?OLD","!!!","")</f>
        <v/>
      </c>
      <c r="F1166" s="22" t="str">
        <f>IF(OR(E1166="",E1166="!!!"),"",IF(NOT(ISNA(VLOOKUP(E1166,E$1:E1165,1,FALSE()))),"OLD",IF(AND(E1166&lt;&gt;"",E1166&lt;&gt;"!!!"),"NEW","")))</f>
        <v> </v>
      </c>
      <c r="G1166" s="23" t="str">
        <f>IF(OR(E1166="",E1166="!!!"),"",IF(OR(J1166=0,AND(J1166=1,K1166=1),AND(J1166=1,I1166="SBJ"),AND(J1166=1,I1166=0)),"?IN_FOCUS",IF(J1166&lt;=2,"?ACTIVATED",IF(J1166&lt;&gt;"","?FAMILIAR",IF(F1166="NEW",IF(ISNA(VLOOKUP(E1166,#REF!,1,FALSE())),"?TYPE_IDENTIFIABLE","?REFERENTIAL"),"_")))))</f>
        <v> </v>
      </c>
      <c r="H1166" s="24" t="str">
        <f>IF(J1166&lt;&gt;1,"",IF(I1166="SBJ","CB","?"))</f>
        <v> </v>
      </c>
      <c r="I1166" s="25" t="str">
        <f>IF(OR(E1166="",E1166="!!!",F1166="NEW"),"",INDEX(B1165:B$2,-1+SUMPRODUCT(MAX(ROW(E1165:E$2)*(E1166=E1165:E$2)))))</f>
        <v> </v>
      </c>
      <c r="J1166" s="25" t="str">
        <f>IF(OR(E1166="",E1166="!!!",F1166="NEW"),"",COUNTBLANK(OFFSET(A$1,,,SUMPRODUCT(MAX(ROW(E$2:E1166)*(E1166=E$2:E1166)))))-COUNTBLANK(OFFSET(A$1,,,SUMPRODUCT(MAX(ROW(E$1:E1165)*(E2=E$1:E1165))))))</f>
        <v> </v>
      </c>
      <c r="K1166" s="25" t="str">
        <f>IF(OR(E1166="",E1166="!!!",F1166="NEW"),"",INDEX(J$1:J1165,SUMPRODUCT(MAX(ROW(E$1:E1165)*(E1166=E$1:E1165)))))</f>
        <v> </v>
      </c>
      <c r="L1166" s="26"/>
    </row>
    <row r="1167" spans="1:12">
      <c r="A1167" s="20"/>
    </row>
    <row r="1168" spans="1:12">
      <c r="A1168" s="20" t="s">
        <v>1136</v>
      </c>
    </row>
    <row r="1169" spans="1:12">
      <c r="A1169" s="20" t="s">
        <v>814</v>
      </c>
      <c r="E1169" s="21">
        <f>IF(D1169="?OLD","!!!","")</f>
        <v/>
      </c>
      <c r="F1169" s="22" t="str">
        <f>IF(OR(E1169="",E1169="!!!"),"",IF(NOT(ISNA(VLOOKUP(E1169,E$1:E1168,1,FALSE()))),"OLD",IF(AND(E1169&lt;&gt;"",E1169&lt;&gt;"!!!"),"NEW","")))</f>
        <v> </v>
      </c>
      <c r="G1169" s="23" t="str">
        <f>IF(OR(E1169="",E1169="!!!"),"",IF(OR(J1169=0,AND(J1169=1,K1169=1),AND(J1169=1,I1169="SBJ"),AND(J1169=1,I1169=0)),"?IN_FOCUS",IF(J1169&lt;=2,"?ACTIVATED",IF(J1169&lt;&gt;"","?FAMILIAR",IF(F1169="NEW",IF(ISNA(VLOOKUP(E1169,#REF!,1,FALSE())),"?TYPE_IDENTIFIABLE","?REFERENTIAL"),"_")))))</f>
        <v> </v>
      </c>
      <c r="H1169" s="24" t="str">
        <f>IF(J1169&lt;&gt;1,"",IF(I1169="SBJ","CB","?"))</f>
        <v> </v>
      </c>
      <c r="I1169" s="25" t="str">
        <f>IF(OR(E1169="",E1169="!!!",F1169="NEW"),"",INDEX(B1168:B$2,-1+SUMPRODUCT(MAX(ROW(E1168:E$2)*(E1169=E1168:E$2)))))</f>
        <v> </v>
      </c>
      <c r="J1169" s="25" t="str">
        <f>IF(OR(E1169="",E1169="!!!",F1169="NEW"),"",COUNTBLANK(OFFSET(A$1,,,SUMPRODUCT(MAX(ROW(E$2:E1169)*(E1169=E$2:E1169)))))-COUNTBLANK(OFFSET(A$1,,,SUMPRODUCT(MAX(ROW(E$1:E1168)*(E2=E$1:E1168))))))</f>
        <v> </v>
      </c>
      <c r="K1169" s="25" t="str">
        <f>IF(OR(E1169="",E1169="!!!",F1169="NEW"),"",INDEX(J$1:J1168,SUMPRODUCT(MAX(ROW(E$1:E1168)*(E1169=E$1:E1168)))))</f>
        <v> </v>
      </c>
      <c r="L1169" s="26"/>
    </row>
    <row r="1170" spans="1:12">
      <c r="A1170" s="20" t="s">
        <v>1109</v>
      </c>
      <c r="E1170" s="21">
        <f>IF(D1170="?OLD","!!!","")</f>
        <v/>
      </c>
      <c r="F1170" s="22" t="str">
        <f>IF(OR(E1170="",E1170="!!!"),"",IF(NOT(ISNA(VLOOKUP(E1170,E$1:E1169,1,FALSE()))),"OLD",IF(AND(E1170&lt;&gt;"",E1170&lt;&gt;"!!!"),"NEW","")))</f>
        <v> </v>
      </c>
      <c r="G1170" s="23" t="str">
        <f>IF(OR(E1170="",E1170="!!!"),"",IF(OR(J1170=0,AND(J1170=1,K1170=1),AND(J1170=1,I1170="SBJ"),AND(J1170=1,I1170=0)),"?IN_FOCUS",IF(J1170&lt;=2,"?ACTIVATED",IF(J1170&lt;&gt;"","?FAMILIAR",IF(F1170="NEW",IF(ISNA(VLOOKUP(E1170,#REF!,1,FALSE())),"?TYPE_IDENTIFIABLE","?REFERENTIAL"),"_")))))</f>
        <v> </v>
      </c>
      <c r="H1170" s="24" t="str">
        <f>IF(J1170&lt;&gt;1,"",IF(I1170="SBJ","CB","?"))</f>
        <v> </v>
      </c>
      <c r="I1170" s="25" t="str">
        <f>IF(OR(E1170="",E1170="!!!",F1170="NEW"),"",INDEX(B1169:B$2,-1+SUMPRODUCT(MAX(ROW(E1169:E$2)*(E1170=E1169:E$2)))))</f>
        <v> </v>
      </c>
      <c r="J1170" s="25" t="str">
        <f>IF(OR(E1170="",E1170="!!!",F1170="NEW"),"",COUNTBLANK(OFFSET(A$1,,,SUMPRODUCT(MAX(ROW(E$2:E1170)*(E1170=E$2:E1170)))))-COUNTBLANK(OFFSET(A$1,,,SUMPRODUCT(MAX(ROW(E$1:E1169)*(E2=E$1:E1169))))))</f>
        <v> </v>
      </c>
      <c r="K1170" s="25" t="str">
        <f>IF(OR(E1170="",E1170="!!!",F1170="NEW"),"",INDEX(J$1:J1169,SUMPRODUCT(MAX(ROW(E$1:E1169)*(E1170=E$1:E1169)))))</f>
        <v> </v>
      </c>
      <c r="L1170" s="26"/>
    </row>
    <row r="1171" spans="1:12">
      <c r="A1171" s="20" t="s">
        <v>700</v>
      </c>
      <c r="B1171" s="27" t="s">
        <v>619</v>
      </c>
      <c r="C1171" s="27" t="s">
        <v>626</v>
      </c>
      <c r="E1171" s="21">
        <f>IF(D1171="?OLD","!!!","")</f>
        <v/>
      </c>
      <c r="F1171" s="22" t="str">
        <f>IF(OR(E1171="",E1171="!!!"),"",IF(NOT(ISNA(VLOOKUP(E1171,E$1:E1170,1,FALSE()))),"OLD",IF(AND(E1171&lt;&gt;"",E1171&lt;&gt;"!!!"),"NEW","")))</f>
        <v> </v>
      </c>
      <c r="G1171" s="23" t="str">
        <f>IF(OR(E1171="",E1171="!!!"),"",IF(OR(J1171=0,AND(J1171=1,K1171=1),AND(J1171=1,I1171="SBJ"),AND(J1171=1,I1171=0)),"?IN_FOCUS",IF(J1171&lt;=2,"?ACTIVATED",IF(J1171&lt;&gt;"","?FAMILIAR",IF(F1171="NEW",IF(ISNA(VLOOKUP(E1171,#REF!,1,FALSE())),"?TYPE_IDENTIFIABLE","?REFERENTIAL"),"_")))))</f>
        <v> </v>
      </c>
      <c r="H1171" s="24" t="str">
        <f>IF(J1171&lt;&gt;1,"",IF(I1171="SBJ","CB","?"))</f>
        <v> </v>
      </c>
      <c r="I1171" s="25" t="str">
        <f>IF(OR(E1171="",E1171="!!!",F1171="NEW"),"",INDEX(B1170:B$2,-1+SUMPRODUCT(MAX(ROW(E1170:E$2)*(E1171=E1170:E$2)))))</f>
        <v> </v>
      </c>
      <c r="J1171" s="25" t="str">
        <f>IF(OR(E1171="",E1171="!!!",F1171="NEW"),"",COUNTBLANK(OFFSET(A$1,,,SUMPRODUCT(MAX(ROW(E$2:E1171)*(E1171=E$2:E1171)))))-COUNTBLANK(OFFSET(A$1,,,SUMPRODUCT(MAX(ROW(E$1:E1170)*(E2=E$1:E1170))))))</f>
        <v> </v>
      </c>
      <c r="K1171" s="25" t="str">
        <f>IF(OR(E1171="",E1171="!!!",F1171="NEW"),"",INDEX(J$1:J1170,SUMPRODUCT(MAX(ROW(E$1:E1170)*(E1171=E$1:E1170)))))</f>
        <v> </v>
      </c>
      <c r="L1171" s="26"/>
    </row>
    <row r="1172" spans="1:12">
      <c r="A1172" s="20" t="s">
        <v>1137</v>
      </c>
      <c r="E1172" s="21">
        <f>IF(D1172="?OLD","!!!","")</f>
        <v/>
      </c>
      <c r="F1172" s="22" t="str">
        <f>IF(OR(E1172="",E1172="!!!"),"",IF(NOT(ISNA(VLOOKUP(E1172,E$1:E1171,1,FALSE()))),"OLD",IF(AND(E1172&lt;&gt;"",E1172&lt;&gt;"!!!"),"NEW","")))</f>
        <v> </v>
      </c>
      <c r="G1172" s="23" t="str">
        <f>IF(OR(E1172="",E1172="!!!"),"",IF(OR(J1172=0,AND(J1172=1,K1172=1),AND(J1172=1,I1172="SBJ"),AND(J1172=1,I1172=0)),"?IN_FOCUS",IF(J1172&lt;=2,"?ACTIVATED",IF(J1172&lt;&gt;"","?FAMILIAR",IF(F1172="NEW",IF(ISNA(VLOOKUP(E1172,#REF!,1,FALSE())),"?TYPE_IDENTIFIABLE","?REFERENTIAL"),"_")))))</f>
        <v> </v>
      </c>
      <c r="H1172" s="24" t="str">
        <f>IF(J1172&lt;&gt;1,"",IF(I1172="SBJ","CB","?"))</f>
        <v> </v>
      </c>
      <c r="I1172" s="25" t="str">
        <f>IF(OR(E1172="",E1172="!!!",F1172="NEW"),"",INDEX(B1171:B$2,-1+SUMPRODUCT(MAX(ROW(E1171:E$2)*(E1172=E1171:E$2)))))</f>
        <v> </v>
      </c>
      <c r="J1172" s="25" t="str">
        <f>IF(OR(E1172="",E1172="!!!",F1172="NEW"),"",COUNTBLANK(OFFSET(A$1,,,SUMPRODUCT(MAX(ROW(E$2:E1172)*(E1172=E$2:E1172)))))-COUNTBLANK(OFFSET(A$1,,,SUMPRODUCT(MAX(ROW(E$1:E1171)*(E2=E$1:E1171))))))</f>
        <v> </v>
      </c>
      <c r="K1172" s="25" t="str">
        <f>IF(OR(E1172="",E1172="!!!",F1172="NEW"),"",INDEX(J$1:J1171,SUMPRODUCT(MAX(ROW(E$1:E1171)*(E1172=E$1:E1171)))))</f>
        <v> </v>
      </c>
      <c r="L1172" s="26"/>
    </row>
    <row r="1173" spans="1:12">
      <c r="A1173" s="20" t="s">
        <v>926</v>
      </c>
      <c r="E1173" s="21">
        <f>IF(D1173="?OLD","!!!","")</f>
        <v/>
      </c>
      <c r="F1173" s="22" t="str">
        <f>IF(OR(E1173="",E1173="!!!"),"",IF(NOT(ISNA(VLOOKUP(E1173,E$1:E1172,1,FALSE()))),"OLD",IF(AND(E1173&lt;&gt;"",E1173&lt;&gt;"!!!"),"NEW","")))</f>
        <v> </v>
      </c>
      <c r="G1173" s="23" t="str">
        <f>IF(OR(E1173="",E1173="!!!"),"",IF(OR(J1173=0,AND(J1173=1,K1173=1),AND(J1173=1,I1173="SBJ"),AND(J1173=1,I1173=0)),"?IN_FOCUS",IF(J1173&lt;=2,"?ACTIVATED",IF(J1173&lt;&gt;"","?FAMILIAR",IF(F1173="NEW",IF(ISNA(VLOOKUP(E1173,#REF!,1,FALSE())),"?TYPE_IDENTIFIABLE","?REFERENTIAL"),"_")))))</f>
        <v> </v>
      </c>
      <c r="H1173" s="24" t="str">
        <f>IF(J1173&lt;&gt;1,"",IF(I1173="SBJ","CB","?"))</f>
        <v> </v>
      </c>
      <c r="I1173" s="25" t="str">
        <f>IF(OR(E1173="",E1173="!!!",F1173="NEW"),"",INDEX(B1172:B$2,-1+SUMPRODUCT(MAX(ROW(E1172:E$2)*(E1173=E1172:E$2)))))</f>
        <v> </v>
      </c>
      <c r="J1173" s="25" t="str">
        <f>IF(OR(E1173="",E1173="!!!",F1173="NEW"),"",COUNTBLANK(OFFSET(A$1,,,SUMPRODUCT(MAX(ROW(E$2:E1173)*(E1173=E$2:E1173)))))-COUNTBLANK(OFFSET(A$1,,,SUMPRODUCT(MAX(ROW(E$1:E1172)*(E2=E$1:E1172))))))</f>
        <v> </v>
      </c>
      <c r="K1173" s="25" t="str">
        <f>IF(OR(E1173="",E1173="!!!",F1173="NEW"),"",INDEX(J$1:J1172,SUMPRODUCT(MAX(ROW(E$1:E1172)*(E1173=E$1:E1172)))))</f>
        <v> </v>
      </c>
      <c r="L1173" s="26"/>
    </row>
    <row r="1174" spans="1:12">
      <c r="A1174" s="20" t="s">
        <v>630</v>
      </c>
      <c r="B1174" s="27" t="s">
        <v>619</v>
      </c>
      <c r="C1174" s="27" t="s">
        <v>631</v>
      </c>
      <c r="D1174" s="27" t="s">
        <v>608</v>
      </c>
      <c r="E1174" s="21">
        <f>IF(D1174="?OLD","!!!","")</f>
        <v/>
      </c>
      <c r="F1174" s="22" t="str">
        <f>IF(OR(E1174="",E1174="!!!"),"",IF(NOT(ISNA(VLOOKUP(E1174,E$1:E1173,1,FALSE()))),"OLD",IF(AND(E1174&lt;&gt;"",E1174&lt;&gt;"!!!"),"NEW","")))</f>
        <v> </v>
      </c>
      <c r="G1174" s="23" t="str">
        <f>IF(OR(E1174="",E1174="!!!"),"",IF(OR(J1174=0,AND(J1174=1,K1174=1),AND(J1174=1,I1174="SBJ"),AND(J1174=1,I1174=0)),"?IN_FOCUS",IF(J1174&lt;=2,"?ACTIVATED",IF(J1174&lt;&gt;"","?FAMILIAR",IF(F1174="NEW",IF(ISNA(VLOOKUP(E1174,#REF!,1,FALSE())),"?TYPE_IDENTIFIABLE","?REFERENTIAL"),"_")))))</f>
        <v> </v>
      </c>
      <c r="H1174" s="24" t="str">
        <f>IF(J1174&lt;&gt;1,"",IF(I1174="SBJ","CB","?"))</f>
        <v> </v>
      </c>
      <c r="I1174" s="25" t="str">
        <f>IF(OR(E1174="",E1174="!!!",F1174="NEW"),"",INDEX(B1173:B$2,-1+SUMPRODUCT(MAX(ROW(E1173:E$2)*(E1174=E1173:E$2)))))</f>
        <v> </v>
      </c>
      <c r="J1174" s="25" t="str">
        <f>IF(OR(E1174="",E1174="!!!",F1174="NEW"),"",COUNTBLANK(OFFSET(A$1,,,SUMPRODUCT(MAX(ROW(E$2:E1174)*(E1174=E$2:E1174)))))-COUNTBLANK(OFFSET(A$1,,,SUMPRODUCT(MAX(ROW(E$1:E1173)*(E2=E$1:E1173))))))</f>
        <v> </v>
      </c>
      <c r="K1174" s="25" t="str">
        <f>IF(OR(E1174="",E1174="!!!",F1174="NEW"),"",INDEX(J$1:J1173,SUMPRODUCT(MAX(ROW(E$1:E1173)*(E1174=E$1:E1173)))))</f>
        <v> </v>
      </c>
      <c r="L1174" s="26"/>
    </row>
    <row r="1175" spans="1:12">
      <c r="A1175" s="20" t="s">
        <v>1138</v>
      </c>
      <c r="E1175" s="21">
        <f>IF(D1175="?OLD","!!!","")</f>
        <v/>
      </c>
      <c r="F1175" s="22" t="str">
        <f>IF(OR(E1175="",E1175="!!!"),"",IF(NOT(ISNA(VLOOKUP(E1175,E$1:E1174,1,FALSE()))),"OLD",IF(AND(E1175&lt;&gt;"",E1175&lt;&gt;"!!!"),"NEW","")))</f>
        <v> </v>
      </c>
      <c r="G1175" s="23" t="str">
        <f>IF(OR(E1175="",E1175="!!!"),"",IF(OR(J1175=0,AND(J1175=1,K1175=1),AND(J1175=1,I1175="SBJ"),AND(J1175=1,I1175=0)),"?IN_FOCUS",IF(J1175&lt;=2,"?ACTIVATED",IF(J1175&lt;&gt;"","?FAMILIAR",IF(F1175="NEW",IF(ISNA(VLOOKUP(E1175,#REF!,1,FALSE())),"?TYPE_IDENTIFIABLE","?REFERENTIAL"),"_")))))</f>
        <v> </v>
      </c>
      <c r="H1175" s="24" t="str">
        <f>IF(J1175&lt;&gt;1,"",IF(I1175="SBJ","CB","?"))</f>
        <v> </v>
      </c>
      <c r="I1175" s="25" t="str">
        <f>IF(OR(E1175="",E1175="!!!",F1175="NEW"),"",INDEX(B1174:B$2,-1+SUMPRODUCT(MAX(ROW(E1174:E$2)*(E1175=E1174:E$2)))))</f>
        <v> </v>
      </c>
      <c r="J1175" s="25" t="str">
        <f>IF(OR(E1175="",E1175="!!!",F1175="NEW"),"",COUNTBLANK(OFFSET(A$1,,,SUMPRODUCT(MAX(ROW(E$2:E1175)*(E1175=E$2:E1175)))))-COUNTBLANK(OFFSET(A$1,,,SUMPRODUCT(MAX(ROW(E$1:E1174)*(E2=E$1:E1174))))))</f>
        <v> </v>
      </c>
      <c r="K1175" s="25" t="str">
        <f>IF(OR(E1175="",E1175="!!!",F1175="NEW"),"",INDEX(J$1:J1174,SUMPRODUCT(MAX(ROW(E$1:E1174)*(E1175=E$1:E1174)))))</f>
        <v> </v>
      </c>
      <c r="L1175" s="26"/>
    </row>
    <row r="1176" spans="1:12">
      <c r="A1176" s="20" t="s">
        <v>617</v>
      </c>
      <c r="E1176" s="21">
        <f>IF(D1176="?OLD","!!!","")</f>
        <v/>
      </c>
      <c r="F1176" s="22" t="str">
        <f>IF(OR(E1176="",E1176="!!!"),"",IF(NOT(ISNA(VLOOKUP(E1176,E$1:E1175,1,FALSE()))),"OLD",IF(AND(E1176&lt;&gt;"",E1176&lt;&gt;"!!!"),"NEW","")))</f>
        <v> </v>
      </c>
      <c r="G1176" s="23" t="str">
        <f>IF(OR(E1176="",E1176="!!!"),"",IF(OR(J1176=0,AND(J1176=1,K1176=1),AND(J1176=1,I1176="SBJ"),AND(J1176=1,I1176=0)),"?IN_FOCUS",IF(J1176&lt;=2,"?ACTIVATED",IF(J1176&lt;&gt;"","?FAMILIAR",IF(F1176="NEW",IF(ISNA(VLOOKUP(E1176,#REF!,1,FALSE())),"?TYPE_IDENTIFIABLE","?REFERENTIAL"),"_")))))</f>
        <v> </v>
      </c>
      <c r="H1176" s="24" t="str">
        <f>IF(J1176&lt;&gt;1,"",IF(I1176="SBJ","CB","?"))</f>
        <v> </v>
      </c>
      <c r="I1176" s="25" t="str">
        <f>IF(OR(E1176="",E1176="!!!",F1176="NEW"),"",INDEX(B1175:B$2,-1+SUMPRODUCT(MAX(ROW(E1175:E$2)*(E1176=E1175:E$2)))))</f>
        <v> </v>
      </c>
      <c r="J1176" s="25" t="str">
        <f>IF(OR(E1176="",E1176="!!!",F1176="NEW"),"",COUNTBLANK(OFFSET(A$1,,,SUMPRODUCT(MAX(ROW(E$2:E1176)*(E1176=E$2:E1176)))))-COUNTBLANK(OFFSET(A$1,,,SUMPRODUCT(MAX(ROW(E$1:E1175)*(E2=E$1:E1175))))))</f>
        <v> </v>
      </c>
      <c r="K1176" s="25" t="str">
        <f>IF(OR(E1176="",E1176="!!!",F1176="NEW"),"",INDEX(J$1:J1175,SUMPRODUCT(MAX(ROW(E$1:E1175)*(E1176=E$1:E1175)))))</f>
        <v> </v>
      </c>
      <c r="L1176" s="26"/>
    </row>
    <row r="1177" spans="1:12">
      <c r="A1177" s="20" t="s">
        <v>240</v>
      </c>
      <c r="E1177" s="21">
        <f>IF(D1177="?OLD","!!!","")</f>
        <v/>
      </c>
      <c r="F1177" s="22" t="str">
        <f>IF(OR(E1177="",E1177="!!!"),"",IF(NOT(ISNA(VLOOKUP(E1177,E$1:E1176,1,FALSE()))),"OLD",IF(AND(E1177&lt;&gt;"",E1177&lt;&gt;"!!!"),"NEW","")))</f>
        <v> </v>
      </c>
      <c r="G1177" s="23" t="str">
        <f>IF(OR(E1177="",E1177="!!!"),"",IF(OR(J1177=0,AND(J1177=1,K1177=1),AND(J1177=1,I1177="SBJ"),AND(J1177=1,I1177=0)),"?IN_FOCUS",IF(J1177&lt;=2,"?ACTIVATED",IF(J1177&lt;&gt;"","?FAMILIAR",IF(F1177="NEW",IF(ISNA(VLOOKUP(E1177,#REF!,1,FALSE())),"?TYPE_IDENTIFIABLE","?REFERENTIAL"),"_")))))</f>
        <v> </v>
      </c>
      <c r="H1177" s="24" t="str">
        <f>IF(J1177&lt;&gt;1,"",IF(I1177="SBJ","CB","?"))</f>
        <v> </v>
      </c>
      <c r="I1177" s="25" t="str">
        <f>IF(OR(E1177="",E1177="!!!",F1177="NEW"),"",INDEX(B1176:B$2,-1+SUMPRODUCT(MAX(ROW(E1176:E$2)*(E1177=E1176:E$2)))))</f>
        <v> </v>
      </c>
      <c r="J1177" s="25" t="str">
        <f>IF(OR(E1177="",E1177="!!!",F1177="NEW"),"",COUNTBLANK(OFFSET(A$1,,,SUMPRODUCT(MAX(ROW(E$2:E1177)*(E1177=E$2:E1177)))))-COUNTBLANK(OFFSET(A$1,,,SUMPRODUCT(MAX(ROW(E$1:E1176)*(E2=E$1:E1176))))))</f>
        <v> </v>
      </c>
      <c r="K1177" s="25" t="str">
        <f>IF(OR(E1177="",E1177="!!!",F1177="NEW"),"",INDEX(J$1:J1176,SUMPRODUCT(MAX(ROW(E$1:E1176)*(E1177=E$1:E1176)))))</f>
        <v> </v>
      </c>
      <c r="L1177" s="26"/>
    </row>
    <row r="1178" spans="1:12">
      <c r="A1178" s="20" t="s">
        <v>686</v>
      </c>
      <c r="B1178" s="27" t="s">
        <v>653</v>
      </c>
      <c r="C1178" s="27" t="s">
        <v>622</v>
      </c>
      <c r="E1178" s="21">
        <f>IF(D1178="?OLD","!!!","")</f>
        <v/>
      </c>
      <c r="F1178" s="22" t="str">
        <f>IF(OR(E1178="",E1178="!!!"),"",IF(NOT(ISNA(VLOOKUP(E1178,E$1:E1177,1,FALSE()))),"OLD",IF(AND(E1178&lt;&gt;"",E1178&lt;&gt;"!!!"),"NEW","")))</f>
        <v> </v>
      </c>
      <c r="G1178" s="23" t="str">
        <f>IF(OR(E1178="",E1178="!!!"),"",IF(OR(J1178=0,AND(J1178=1,K1178=1),AND(J1178=1,I1178="SBJ"),AND(J1178=1,I1178=0)),"?IN_FOCUS",IF(J1178&lt;=2,"?ACTIVATED",IF(J1178&lt;&gt;"","?FAMILIAR",IF(F1178="NEW",IF(ISNA(VLOOKUP(E1178,#REF!,1,FALSE())),"?TYPE_IDENTIFIABLE","?REFERENTIAL"),"_")))))</f>
        <v> </v>
      </c>
      <c r="H1178" s="24" t="str">
        <f>IF(J1178&lt;&gt;1,"",IF(I1178="SBJ","CB","?"))</f>
        <v> </v>
      </c>
      <c r="I1178" s="25" t="str">
        <f>IF(OR(E1178="",E1178="!!!",F1178="NEW"),"",INDEX(B1177:B$2,-1+SUMPRODUCT(MAX(ROW(E1177:E$2)*(E1178=E1177:E$2)))))</f>
        <v> </v>
      </c>
      <c r="J1178" s="25" t="str">
        <f>IF(OR(E1178="",E1178="!!!",F1178="NEW"),"",COUNTBLANK(OFFSET(A$1,,,SUMPRODUCT(MAX(ROW(E$2:E1178)*(E1178=E$2:E1178)))))-COUNTBLANK(OFFSET(A$1,,,SUMPRODUCT(MAX(ROW(E$1:E1177)*(E2=E$1:E1177))))))</f>
        <v> </v>
      </c>
      <c r="K1178" s="25" t="str">
        <f>IF(OR(E1178="",E1178="!!!",F1178="NEW"),"",INDEX(J$1:J1177,SUMPRODUCT(MAX(ROW(E$1:E1177)*(E1178=E$1:E1177)))))</f>
        <v> </v>
      </c>
      <c r="L1178" s="26"/>
    </row>
    <row r="1179" spans="1:12">
      <c r="A1179" s="20" t="s">
        <v>1139</v>
      </c>
      <c r="E1179" s="21">
        <f>IF(D1179="?OLD","!!!","")</f>
        <v/>
      </c>
      <c r="F1179" s="22" t="str">
        <f>IF(OR(E1179="",E1179="!!!"),"",IF(NOT(ISNA(VLOOKUP(E1179,E$1:E1178,1,FALSE()))),"OLD",IF(AND(E1179&lt;&gt;"",E1179&lt;&gt;"!!!"),"NEW","")))</f>
        <v> </v>
      </c>
      <c r="G1179" s="23" t="str">
        <f>IF(OR(E1179="",E1179="!!!"),"",IF(OR(J1179=0,AND(J1179=1,K1179=1),AND(J1179=1,I1179="SBJ"),AND(J1179=1,I1179=0)),"?IN_FOCUS",IF(J1179&lt;=2,"?ACTIVATED",IF(J1179&lt;&gt;"","?FAMILIAR",IF(F1179="NEW",IF(ISNA(VLOOKUP(E1179,#REF!,1,FALSE())),"?TYPE_IDENTIFIABLE","?REFERENTIAL"),"_")))))</f>
        <v> </v>
      </c>
      <c r="H1179" s="24" t="str">
        <f>IF(J1179&lt;&gt;1,"",IF(I1179="SBJ","CB","?"))</f>
        <v> </v>
      </c>
      <c r="I1179" s="25" t="str">
        <f>IF(OR(E1179="",E1179="!!!",F1179="NEW"),"",INDEX(B1178:B$2,-1+SUMPRODUCT(MAX(ROW(E1178:E$2)*(E1179=E1178:E$2)))))</f>
        <v> </v>
      </c>
      <c r="J1179" s="25" t="str">
        <f>IF(OR(E1179="",E1179="!!!",F1179="NEW"),"",COUNTBLANK(OFFSET(A$1,,,SUMPRODUCT(MAX(ROW(E$2:E1179)*(E1179=E$2:E1179)))))-COUNTBLANK(OFFSET(A$1,,,SUMPRODUCT(MAX(ROW(E$1:E1178)*(E2=E$1:E1178))))))</f>
        <v> </v>
      </c>
      <c r="K1179" s="25" t="str">
        <f>IF(OR(E1179="",E1179="!!!",F1179="NEW"),"",INDEX(J$1:J1178,SUMPRODUCT(MAX(ROW(E$1:E1178)*(E1179=E$1:E1178)))))</f>
        <v> </v>
      </c>
      <c r="L1179" s="26"/>
    </row>
    <row r="1180" spans="1:12">
      <c r="A1180" s="20" t="s">
        <v>865</v>
      </c>
      <c r="B1180" s="27" t="s">
        <v>611</v>
      </c>
      <c r="C1180" s="27" t="s">
        <v>626</v>
      </c>
      <c r="E1180" s="21">
        <f>IF(D1180="?OLD","!!!","")</f>
        <v/>
      </c>
      <c r="F1180" s="22" t="str">
        <f>IF(OR(E1180="",E1180="!!!"),"",IF(NOT(ISNA(VLOOKUP(E1180,E$1:E1179,1,FALSE()))),"OLD",IF(AND(E1180&lt;&gt;"",E1180&lt;&gt;"!!!"),"NEW","")))</f>
        <v> </v>
      </c>
      <c r="G1180" s="23" t="str">
        <f>IF(OR(E1180="",E1180="!!!"),"",IF(OR(J1180=0,AND(J1180=1,K1180=1),AND(J1180=1,I1180="SBJ"),AND(J1180=1,I1180=0)),"?IN_FOCUS",IF(J1180&lt;=2,"?ACTIVATED",IF(J1180&lt;&gt;"","?FAMILIAR",IF(F1180="NEW",IF(ISNA(VLOOKUP(E1180,#REF!,1,FALSE())),"?TYPE_IDENTIFIABLE","?REFERENTIAL"),"_")))))</f>
        <v> </v>
      </c>
      <c r="H1180" s="24" t="str">
        <f>IF(J1180&lt;&gt;1,"",IF(I1180="SBJ","CB","?"))</f>
        <v> </v>
      </c>
      <c r="I1180" s="25" t="str">
        <f>IF(OR(E1180="",E1180="!!!",F1180="NEW"),"",INDEX(B1179:B$2,-1+SUMPRODUCT(MAX(ROW(E1179:E$2)*(E1180=E1179:E$2)))))</f>
        <v> </v>
      </c>
      <c r="J1180" s="25" t="str">
        <f>IF(OR(E1180="",E1180="!!!",F1180="NEW"),"",COUNTBLANK(OFFSET(A$1,,,SUMPRODUCT(MAX(ROW(E$2:E1180)*(E1180=E$2:E1180)))))-COUNTBLANK(OFFSET(A$1,,,SUMPRODUCT(MAX(ROW(E$1:E1179)*(E2=E$1:E1179))))))</f>
        <v> </v>
      </c>
      <c r="K1180" s="25" t="str">
        <f>IF(OR(E1180="",E1180="!!!",F1180="NEW"),"",INDEX(J$1:J1179,SUMPRODUCT(MAX(ROW(E$1:E1179)*(E1180=E$1:E1179)))))</f>
        <v> </v>
      </c>
      <c r="L1180" s="26"/>
    </row>
    <row r="1181" spans="1:12">
      <c r="A1181" s="20" t="s">
        <v>973</v>
      </c>
      <c r="E1181" s="21">
        <f>IF(D1181="?OLD","!!!","")</f>
        <v/>
      </c>
      <c r="F1181" s="22" t="str">
        <f>IF(OR(E1181="",E1181="!!!"),"",IF(NOT(ISNA(VLOOKUP(E1181,E$1:E1180,1,FALSE()))),"OLD",IF(AND(E1181&lt;&gt;"",E1181&lt;&gt;"!!!"),"NEW","")))</f>
        <v> </v>
      </c>
      <c r="G1181" s="23" t="str">
        <f>IF(OR(E1181="",E1181="!!!"),"",IF(OR(J1181=0,AND(J1181=1,K1181=1),AND(J1181=1,I1181="SBJ"),AND(J1181=1,I1181=0)),"?IN_FOCUS",IF(J1181&lt;=2,"?ACTIVATED",IF(J1181&lt;&gt;"","?FAMILIAR",IF(F1181="NEW",IF(ISNA(VLOOKUP(E1181,#REF!,1,FALSE())),"?TYPE_IDENTIFIABLE","?REFERENTIAL"),"_")))))</f>
        <v> </v>
      </c>
      <c r="H1181" s="24" t="str">
        <f>IF(J1181&lt;&gt;1,"",IF(I1181="SBJ","CB","?"))</f>
        <v> </v>
      </c>
      <c r="I1181" s="25" t="str">
        <f>IF(OR(E1181="",E1181="!!!",F1181="NEW"),"",INDEX(B1180:B$2,-1+SUMPRODUCT(MAX(ROW(E1180:E$2)*(E1181=E1180:E$2)))))</f>
        <v> </v>
      </c>
      <c r="J1181" s="25" t="str">
        <f>IF(OR(E1181="",E1181="!!!",F1181="NEW"),"",COUNTBLANK(OFFSET(A$1,,,SUMPRODUCT(MAX(ROW(E$2:E1181)*(E1181=E$2:E1181)))))-COUNTBLANK(OFFSET(A$1,,,SUMPRODUCT(MAX(ROW(E$1:E1180)*(E2=E$1:E1180))))))</f>
        <v> </v>
      </c>
      <c r="K1181" s="25" t="str">
        <f>IF(OR(E1181="",E1181="!!!",F1181="NEW"),"",INDEX(J$1:J1180,SUMPRODUCT(MAX(ROW(E$1:E1180)*(E1181=E$1:E1180)))))</f>
        <v> </v>
      </c>
      <c r="L1181" s="26"/>
    </row>
    <row r="1182" spans="1:12">
      <c r="A1182" s="20" t="s">
        <v>871</v>
      </c>
      <c r="B1182" s="27" t="s">
        <v>606</v>
      </c>
      <c r="C1182" s="27" t="s">
        <v>678</v>
      </c>
      <c r="E1182" s="21">
        <f>IF(D1182="?OLD","!!!","")</f>
        <v/>
      </c>
      <c r="F1182" s="22" t="str">
        <f>IF(OR(E1182="",E1182="!!!"),"",IF(NOT(ISNA(VLOOKUP(E1182,E$1:E1181,1,FALSE()))),"OLD",IF(AND(E1182&lt;&gt;"",E1182&lt;&gt;"!!!"),"NEW","")))</f>
        <v> </v>
      </c>
      <c r="G1182" s="23" t="str">
        <f>IF(OR(E1182="",E1182="!!!"),"",IF(OR(J1182=0,AND(J1182=1,K1182=1),AND(J1182=1,I1182="SBJ"),AND(J1182=1,I1182=0)),"?IN_FOCUS",IF(J1182&lt;=2,"?ACTIVATED",IF(J1182&lt;&gt;"","?FAMILIAR",IF(F1182="NEW",IF(ISNA(VLOOKUP(E1182,#REF!,1,FALSE())),"?TYPE_IDENTIFIABLE","?REFERENTIAL"),"_")))))</f>
        <v> </v>
      </c>
      <c r="H1182" s="24" t="str">
        <f>IF(J1182&lt;&gt;1,"",IF(I1182="SBJ","CB","?"))</f>
        <v> </v>
      </c>
      <c r="I1182" s="25" t="str">
        <f>IF(OR(E1182="",E1182="!!!",F1182="NEW"),"",INDEX(B1181:B$2,-1+SUMPRODUCT(MAX(ROW(E1181:E$2)*(E1182=E1181:E$2)))))</f>
        <v> </v>
      </c>
      <c r="J1182" s="25" t="str">
        <f>IF(OR(E1182="",E1182="!!!",F1182="NEW"),"",COUNTBLANK(OFFSET(A$1,,,SUMPRODUCT(MAX(ROW(E$2:E1182)*(E1182=E$2:E1182)))))-COUNTBLANK(OFFSET(A$1,,,SUMPRODUCT(MAX(ROW(E$1:E1181)*(E2=E$1:E1181))))))</f>
        <v> </v>
      </c>
      <c r="K1182" s="25" t="str">
        <f>IF(OR(E1182="",E1182="!!!",F1182="NEW"),"",INDEX(J$1:J1181,SUMPRODUCT(MAX(ROW(E$1:E1181)*(E1182=E$1:E1181)))))</f>
        <v> </v>
      </c>
      <c r="L1182" s="26"/>
    </row>
    <row r="1183" spans="1:12">
      <c r="A1183" s="20" t="s">
        <v>1140</v>
      </c>
      <c r="E1183" s="21">
        <f>IF(D1183="?OLD","!!!","")</f>
        <v/>
      </c>
      <c r="F1183" s="22" t="str">
        <f>IF(OR(E1183="",E1183="!!!"),"",IF(NOT(ISNA(VLOOKUP(E1183,E$1:E1182,1,FALSE()))),"OLD",IF(AND(E1183&lt;&gt;"",E1183&lt;&gt;"!!!"),"NEW","")))</f>
        <v> </v>
      </c>
      <c r="G1183" s="23" t="str">
        <f>IF(OR(E1183="",E1183="!!!"),"",IF(OR(J1183=0,AND(J1183=1,K1183=1),AND(J1183=1,I1183="SBJ"),AND(J1183=1,I1183=0)),"?IN_FOCUS",IF(J1183&lt;=2,"?ACTIVATED",IF(J1183&lt;&gt;"","?FAMILIAR",IF(F1183="NEW",IF(ISNA(VLOOKUP(E1183,#REF!,1,FALSE())),"?TYPE_IDENTIFIABLE","?REFERENTIAL"),"_")))))</f>
        <v> </v>
      </c>
      <c r="H1183" s="24" t="str">
        <f>IF(J1183&lt;&gt;1,"",IF(I1183="SBJ","CB","?"))</f>
        <v> </v>
      </c>
      <c r="I1183" s="25" t="str">
        <f>IF(OR(E1183="",E1183="!!!",F1183="NEW"),"",INDEX(B1182:B$2,-1+SUMPRODUCT(MAX(ROW(E1182:E$2)*(E1183=E1182:E$2)))))</f>
        <v> </v>
      </c>
      <c r="J1183" s="25" t="str">
        <f>IF(OR(E1183="",E1183="!!!",F1183="NEW"),"",COUNTBLANK(OFFSET(A$1,,,SUMPRODUCT(MAX(ROW(E$2:E1183)*(E1183=E$2:E1183)))))-COUNTBLANK(OFFSET(A$1,,,SUMPRODUCT(MAX(ROW(E$1:E1182)*(E2=E$1:E1182))))))</f>
        <v> </v>
      </c>
      <c r="K1183" s="25" t="str">
        <f>IF(OR(E1183="",E1183="!!!",F1183="NEW"),"",INDEX(J$1:J1182,SUMPRODUCT(MAX(ROW(E$1:E1182)*(E1183=E$1:E1182)))))</f>
        <v> </v>
      </c>
      <c r="L1183" s="26"/>
    </row>
    <row r="1184" spans="1:12">
      <c r="A1184" s="20" t="s">
        <v>633</v>
      </c>
      <c r="E1184" s="21">
        <f>IF(D1184="?OLD","!!!","")</f>
        <v/>
      </c>
      <c r="F1184" s="22" t="str">
        <f>IF(OR(E1184="",E1184="!!!"),"",IF(NOT(ISNA(VLOOKUP(E1184,E$1:E1183,1,FALSE()))),"OLD",IF(AND(E1184&lt;&gt;"",E1184&lt;&gt;"!!!"),"NEW","")))</f>
        <v> </v>
      </c>
      <c r="G1184" s="23" t="str">
        <f>IF(OR(E1184="",E1184="!!!"),"",IF(OR(J1184=0,AND(J1184=1,K1184=1),AND(J1184=1,I1184="SBJ"),AND(J1184=1,I1184=0)),"?IN_FOCUS",IF(J1184&lt;=2,"?ACTIVATED",IF(J1184&lt;&gt;"","?FAMILIAR",IF(F1184="NEW",IF(ISNA(VLOOKUP(E1184,#REF!,1,FALSE())),"?TYPE_IDENTIFIABLE","?REFERENTIAL"),"_")))))</f>
        <v> </v>
      </c>
      <c r="H1184" s="24" t="str">
        <f>IF(J1184&lt;&gt;1,"",IF(I1184="SBJ","CB","?"))</f>
        <v> </v>
      </c>
      <c r="I1184" s="25" t="str">
        <f>IF(OR(E1184="",E1184="!!!",F1184="NEW"),"",INDEX(B1183:B$2,-1+SUMPRODUCT(MAX(ROW(E1183:E$2)*(E1184=E1183:E$2)))))</f>
        <v> </v>
      </c>
      <c r="J1184" s="25" t="str">
        <f>IF(OR(E1184="",E1184="!!!",F1184="NEW"),"",COUNTBLANK(OFFSET(A$1,,,SUMPRODUCT(MAX(ROW(E$2:E1184)*(E1184=E$2:E1184)))))-COUNTBLANK(OFFSET(A$1,,,SUMPRODUCT(MAX(ROW(E$1:E1183)*(E2=E$1:E1183))))))</f>
        <v> </v>
      </c>
      <c r="K1184" s="25" t="str">
        <f>IF(OR(E1184="",E1184="!!!",F1184="NEW"),"",INDEX(J$1:J1183,SUMPRODUCT(MAX(ROW(E$1:E1183)*(E1184=E$1:E1183)))))</f>
        <v> </v>
      </c>
      <c r="L1184" s="26"/>
    </row>
    <row r="1185" spans="1:12">
      <c r="A1185" s="20"/>
    </row>
    <row r="1186" spans="1:12">
      <c r="A1186" s="20" t="s">
        <v>1141</v>
      </c>
    </row>
    <row r="1187" spans="1:12">
      <c r="A1187" s="20" t="s">
        <v>877</v>
      </c>
      <c r="E1187" s="21">
        <f>IF(D1187="?OLD","!!!","")</f>
        <v/>
      </c>
      <c r="F1187" s="22" t="str">
        <f>IF(OR(E1187="",E1187="!!!"),"",IF(NOT(ISNA(VLOOKUP(E1187,E$1:E1186,1,FALSE()))),"OLD",IF(AND(E1187&lt;&gt;"",E1187&lt;&gt;"!!!"),"NEW","")))</f>
        <v> </v>
      </c>
      <c r="G1187" s="23" t="str">
        <f>IF(OR(E1187="",E1187="!!!"),"",IF(OR(J1187=0,AND(J1187=1,K1187=1),AND(J1187=1,I1187="SBJ"),AND(J1187=1,I1187=0)),"?IN_FOCUS",IF(J1187&lt;=2,"?ACTIVATED",IF(J1187&lt;&gt;"","?FAMILIAR",IF(F1187="NEW",IF(ISNA(VLOOKUP(E1187,#REF!,1,FALSE())),"?TYPE_IDENTIFIABLE","?REFERENTIAL"),"_")))))</f>
        <v> </v>
      </c>
      <c r="H1187" s="24" t="str">
        <f>IF(J1187&lt;&gt;1,"",IF(I1187="SBJ","CB","?"))</f>
        <v> </v>
      </c>
      <c r="I1187" s="25" t="str">
        <f>IF(OR(E1187="",E1187="!!!",F1187="NEW"),"",INDEX(B1186:B$2,-1+SUMPRODUCT(MAX(ROW(E1186:E$2)*(E1187=E1186:E$2)))))</f>
        <v> </v>
      </c>
      <c r="J1187" s="25" t="str">
        <f>IF(OR(E1187="",E1187="!!!",F1187="NEW"),"",COUNTBLANK(OFFSET(A$1,,,SUMPRODUCT(MAX(ROW(E$2:E1187)*(E1187=E$2:E1187)))))-COUNTBLANK(OFFSET(A$1,,,SUMPRODUCT(MAX(ROW(E$1:E1186)*(E2=E$1:E1186))))))</f>
        <v> </v>
      </c>
      <c r="K1187" s="25" t="str">
        <f>IF(OR(E1187="",E1187="!!!",F1187="NEW"),"",INDEX(J$1:J1186,SUMPRODUCT(MAX(ROW(E$1:E1186)*(E1187=E$1:E1186)))))</f>
        <v> </v>
      </c>
      <c r="L1187" s="26"/>
    </row>
    <row r="1188" spans="1:12">
      <c r="A1188" s="20" t="s">
        <v>1142</v>
      </c>
      <c r="B1188" s="27" t="s">
        <v>636</v>
      </c>
      <c r="C1188" s="27" t="s">
        <v>607</v>
      </c>
      <c r="D1188" s="27" t="s">
        <v>608</v>
      </c>
      <c r="E1188" s="21">
        <f>IF(D1188="?OLD","!!!","")</f>
        <v/>
      </c>
      <c r="F1188" s="22" t="str">
        <f>IF(OR(E1188="",E1188="!!!"),"",IF(NOT(ISNA(VLOOKUP(E1188,E$1:E1187,1,FALSE()))),"OLD",IF(AND(E1188&lt;&gt;"",E1188&lt;&gt;"!!!"),"NEW","")))</f>
        <v> </v>
      </c>
      <c r="G1188" s="23" t="str">
        <f>IF(OR(E1188="",E1188="!!!"),"",IF(OR(J1188=0,AND(J1188=1,K1188=1),AND(J1188=1,I1188="SBJ"),AND(J1188=1,I1188=0)),"?IN_FOCUS",IF(J1188&lt;=2,"?ACTIVATED",IF(J1188&lt;&gt;"","?FAMILIAR",IF(F1188="NEW",IF(ISNA(VLOOKUP(E1188,#REF!,1,FALSE())),"?TYPE_IDENTIFIABLE","?REFERENTIAL"),"_")))))</f>
        <v> </v>
      </c>
      <c r="H1188" s="24" t="str">
        <f>IF(J1188&lt;&gt;1,"",IF(I1188="SBJ","CB","?"))</f>
        <v> </v>
      </c>
      <c r="I1188" s="25" t="str">
        <f>IF(OR(E1188="",E1188="!!!",F1188="NEW"),"",INDEX(B1187:B$2,-1+SUMPRODUCT(MAX(ROW(E1187:E$2)*(E1188=E1187:E$2)))))</f>
        <v> </v>
      </c>
      <c r="J1188" s="25" t="str">
        <f>IF(OR(E1188="",E1188="!!!",F1188="NEW"),"",COUNTBLANK(OFFSET(A$1,,,SUMPRODUCT(MAX(ROW(E$2:E1188)*(E1188=E$2:E1188)))))-COUNTBLANK(OFFSET(A$1,,,SUMPRODUCT(MAX(ROW(E$1:E1187)*(E2=E$1:E1187))))))</f>
        <v> </v>
      </c>
      <c r="K1188" s="25" t="str">
        <f>IF(OR(E1188="",E1188="!!!",F1188="NEW"),"",INDEX(J$1:J1187,SUMPRODUCT(MAX(ROW(E$1:E1187)*(E1188=E$1:E1187)))))</f>
        <v> </v>
      </c>
      <c r="L1188" s="26"/>
    </row>
    <row r="1189" spans="1:12">
      <c r="A1189" s="20" t="s">
        <v>1143</v>
      </c>
      <c r="B1189" s="27" t="s">
        <v>611</v>
      </c>
      <c r="C1189" s="27" t="s">
        <v>631</v>
      </c>
      <c r="D1189" s="27" t="s">
        <v>608</v>
      </c>
      <c r="E1189" s="21">
        <f>IF(D1189="?OLD","!!!","")</f>
        <v/>
      </c>
      <c r="F1189" s="22" t="str">
        <f>IF(OR(E1189="",E1189="!!!"),"",IF(NOT(ISNA(VLOOKUP(E1189,E$1:E1188,1,FALSE()))),"OLD",IF(AND(E1189&lt;&gt;"",E1189&lt;&gt;"!!!"),"NEW","")))</f>
        <v> </v>
      </c>
      <c r="G1189" s="23" t="str">
        <f>IF(OR(E1189="",E1189="!!!"),"",IF(OR(J1189=0,AND(J1189=1,K1189=1),AND(J1189=1,I1189="SBJ"),AND(J1189=1,I1189=0)),"?IN_FOCUS",IF(J1189&lt;=2,"?ACTIVATED",IF(J1189&lt;&gt;"","?FAMILIAR",IF(F1189="NEW",IF(ISNA(VLOOKUP(E1189,#REF!,1,FALSE())),"?TYPE_IDENTIFIABLE","?REFERENTIAL"),"_")))))</f>
        <v> </v>
      </c>
      <c r="H1189" s="24" t="str">
        <f>IF(J1189&lt;&gt;1,"",IF(I1189="SBJ","CB","?"))</f>
        <v> </v>
      </c>
      <c r="I1189" s="25" t="str">
        <f>IF(OR(E1189="",E1189="!!!",F1189="NEW"),"",INDEX(B1188:B$2,-1+SUMPRODUCT(MAX(ROW(E1188:E$2)*(E1189=E1188:E$2)))))</f>
        <v> </v>
      </c>
      <c r="J1189" s="25" t="str">
        <f>IF(OR(E1189="",E1189="!!!",F1189="NEW"),"",COUNTBLANK(OFFSET(A$1,,,SUMPRODUCT(MAX(ROW(E$2:E1189)*(E1189=E$2:E1189)))))-COUNTBLANK(OFFSET(A$1,,,SUMPRODUCT(MAX(ROW(E$1:E1188)*(E2=E$1:E1188))))))</f>
        <v> </v>
      </c>
      <c r="K1189" s="25" t="str">
        <f>IF(OR(E1189="",E1189="!!!",F1189="NEW"),"",INDEX(J$1:J1188,SUMPRODUCT(MAX(ROW(E$1:E1188)*(E1189=E$1:E1188)))))</f>
        <v> </v>
      </c>
      <c r="L1189" s="26"/>
    </row>
    <row r="1190" spans="1:12">
      <c r="A1190" s="20" t="s">
        <v>1144</v>
      </c>
      <c r="E1190" s="21">
        <f>IF(D1190="?OLD","!!!","")</f>
        <v/>
      </c>
      <c r="F1190" s="22" t="str">
        <f>IF(OR(E1190="",E1190="!!!"),"",IF(NOT(ISNA(VLOOKUP(E1190,E$1:E1189,1,FALSE()))),"OLD",IF(AND(E1190&lt;&gt;"",E1190&lt;&gt;"!!!"),"NEW","")))</f>
        <v> </v>
      </c>
      <c r="G1190" s="23" t="str">
        <f>IF(OR(E1190="",E1190="!!!"),"",IF(OR(J1190=0,AND(J1190=1,K1190=1),AND(J1190=1,I1190="SBJ"),AND(J1190=1,I1190=0)),"?IN_FOCUS",IF(J1190&lt;=2,"?ACTIVATED",IF(J1190&lt;&gt;"","?FAMILIAR",IF(F1190="NEW",IF(ISNA(VLOOKUP(E1190,#REF!,1,FALSE())),"?TYPE_IDENTIFIABLE","?REFERENTIAL"),"_")))))</f>
        <v> </v>
      </c>
      <c r="H1190" s="24" t="str">
        <f>IF(J1190&lt;&gt;1,"",IF(I1190="SBJ","CB","?"))</f>
        <v> </v>
      </c>
      <c r="I1190" s="25" t="str">
        <f>IF(OR(E1190="",E1190="!!!",F1190="NEW"),"",INDEX(B1189:B$2,-1+SUMPRODUCT(MAX(ROW(E1189:E$2)*(E1190=E1189:E$2)))))</f>
        <v> </v>
      </c>
      <c r="J1190" s="25" t="str">
        <f>IF(OR(E1190="",E1190="!!!",F1190="NEW"),"",COUNTBLANK(OFFSET(A$1,,,SUMPRODUCT(MAX(ROW(E$2:E1190)*(E1190=E$2:E1190)))))-COUNTBLANK(OFFSET(A$1,,,SUMPRODUCT(MAX(ROW(E$1:E1189)*(E2=E$1:E1189))))))</f>
        <v> </v>
      </c>
      <c r="K1190" s="25" t="str">
        <f>IF(OR(E1190="",E1190="!!!",F1190="NEW"),"",INDEX(J$1:J1189,SUMPRODUCT(MAX(ROW(E$1:E1189)*(E1190=E$1:E1189)))))</f>
        <v> </v>
      </c>
      <c r="L1190" s="26"/>
    </row>
    <row r="1191" spans="1:12">
      <c r="A1191" s="20" t="s">
        <v>629</v>
      </c>
      <c r="E1191" s="21">
        <f>IF(D1191="?OLD","!!!","")</f>
        <v/>
      </c>
      <c r="F1191" s="22" t="str">
        <f>IF(OR(E1191="",E1191="!!!"),"",IF(NOT(ISNA(VLOOKUP(E1191,E$1:E1190,1,FALSE()))),"OLD",IF(AND(E1191&lt;&gt;"",E1191&lt;&gt;"!!!"),"NEW","")))</f>
        <v> </v>
      </c>
      <c r="G1191" s="23" t="str">
        <f>IF(OR(E1191="",E1191="!!!"),"",IF(OR(J1191=0,AND(J1191=1,K1191=1),AND(J1191=1,I1191="SBJ"),AND(J1191=1,I1191=0)),"?IN_FOCUS",IF(J1191&lt;=2,"?ACTIVATED",IF(J1191&lt;&gt;"","?FAMILIAR",IF(F1191="NEW",IF(ISNA(VLOOKUP(E1191,#REF!,1,FALSE())),"?TYPE_IDENTIFIABLE","?REFERENTIAL"),"_")))))</f>
        <v> </v>
      </c>
      <c r="H1191" s="24" t="str">
        <f>IF(J1191&lt;&gt;1,"",IF(I1191="SBJ","CB","?"))</f>
        <v> </v>
      </c>
      <c r="I1191" s="25" t="str">
        <f>IF(OR(E1191="",E1191="!!!",F1191="NEW"),"",INDEX(B1190:B$2,-1+SUMPRODUCT(MAX(ROW(E1190:E$2)*(E1191=E1190:E$2)))))</f>
        <v> </v>
      </c>
      <c r="J1191" s="25" t="str">
        <f>IF(OR(E1191="",E1191="!!!",F1191="NEW"),"",COUNTBLANK(OFFSET(A$1,,,SUMPRODUCT(MAX(ROW(E$2:E1191)*(E1191=E$2:E1191)))))-COUNTBLANK(OFFSET(A$1,,,SUMPRODUCT(MAX(ROW(E$1:E1190)*(E2=E$1:E1190))))))</f>
        <v> </v>
      </c>
      <c r="K1191" s="25" t="str">
        <f>IF(OR(E1191="",E1191="!!!",F1191="NEW"),"",INDEX(J$1:J1190,SUMPRODUCT(MAX(ROW(E$1:E1190)*(E1191=E$1:E1190)))))</f>
        <v> </v>
      </c>
      <c r="L1191" s="26"/>
    </row>
    <row r="1192" spans="1:12">
      <c r="A1192" s="20" t="s">
        <v>930</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t="s">
        <v>707</v>
      </c>
      <c r="E1193" s="21">
        <f>IF(D1193="?OLD","!!!","")</f>
        <v/>
      </c>
      <c r="F1193" s="22" t="str">
        <f>IF(OR(E1193="",E1193="!!!"),"",IF(NOT(ISNA(VLOOKUP(E1193,E$1:E1192,1,FALSE()))),"OLD",IF(AND(E1193&lt;&gt;"",E1193&lt;&gt;"!!!"),"NEW","")))</f>
        <v> </v>
      </c>
      <c r="G1193" s="23" t="str">
        <f>IF(OR(E1193="",E1193="!!!"),"",IF(OR(J1193=0,AND(J1193=1,K1193=1),AND(J1193=1,I1193="SBJ"),AND(J1193=1,I1193=0)),"?IN_FOCUS",IF(J1193&lt;=2,"?ACTIVATED",IF(J1193&lt;&gt;"","?FAMILIAR",IF(F1193="NEW",IF(ISNA(VLOOKUP(E1193,#REF!,1,FALSE())),"?TYPE_IDENTIFIABLE","?REFERENTIAL"),"_")))))</f>
        <v> </v>
      </c>
      <c r="H1193" s="24" t="str">
        <f>IF(J1193&lt;&gt;1,"",IF(I1193="SBJ","CB","?"))</f>
        <v> </v>
      </c>
      <c r="I1193" s="25" t="str">
        <f>IF(OR(E1193="",E1193="!!!",F1193="NEW"),"",INDEX(B1192:B$2,-1+SUMPRODUCT(MAX(ROW(E1192:E$2)*(E1193=E1192:E$2)))))</f>
        <v> </v>
      </c>
      <c r="J1193" s="25" t="str">
        <f>IF(OR(E1193="",E1193="!!!",F1193="NEW"),"",COUNTBLANK(OFFSET(A$1,,,SUMPRODUCT(MAX(ROW(E$2:E1193)*(E1193=E$2:E1193)))))-COUNTBLANK(OFFSET(A$1,,,SUMPRODUCT(MAX(ROW(E$1:E1192)*(E2=E$1:E1192))))))</f>
        <v> </v>
      </c>
      <c r="K1193" s="25" t="str">
        <f>IF(OR(E1193="",E1193="!!!",F1193="NEW"),"",INDEX(J$1:J1192,SUMPRODUCT(MAX(ROW(E$1:E1192)*(E1193=E$1:E1192)))))</f>
        <v> </v>
      </c>
      <c r="L1193" s="26"/>
    </row>
    <row r="1194" spans="1:12">
      <c r="A1194" s="20" t="s">
        <v>1145</v>
      </c>
      <c r="B1194" s="27" t="s">
        <v>606</v>
      </c>
      <c r="C1194" s="27" t="s">
        <v>622</v>
      </c>
      <c r="E1194" s="21">
        <f>IF(D1194="?OLD","!!!","")</f>
        <v/>
      </c>
      <c r="F1194" s="22" t="str">
        <f>IF(OR(E1194="",E1194="!!!"),"",IF(NOT(ISNA(VLOOKUP(E1194,E$1:E1193,1,FALSE()))),"OLD",IF(AND(E1194&lt;&gt;"",E1194&lt;&gt;"!!!"),"NEW","")))</f>
        <v> </v>
      </c>
      <c r="G1194" s="23" t="str">
        <f>IF(OR(E1194="",E1194="!!!"),"",IF(OR(J1194=0,AND(J1194=1,K1194=1),AND(J1194=1,I1194="SBJ"),AND(J1194=1,I1194=0)),"?IN_FOCUS",IF(J1194&lt;=2,"?ACTIVATED",IF(J1194&lt;&gt;"","?FAMILIAR",IF(F1194="NEW",IF(ISNA(VLOOKUP(E1194,#REF!,1,FALSE())),"?TYPE_IDENTIFIABLE","?REFERENTIAL"),"_")))))</f>
        <v> </v>
      </c>
      <c r="H1194" s="24" t="str">
        <f>IF(J1194&lt;&gt;1,"",IF(I1194="SBJ","CB","?"))</f>
        <v> </v>
      </c>
      <c r="I1194" s="25" t="str">
        <f>IF(OR(E1194="",E1194="!!!",F1194="NEW"),"",INDEX(B1193:B$2,-1+SUMPRODUCT(MAX(ROW(E1193:E$2)*(E1194=E1193:E$2)))))</f>
        <v> </v>
      </c>
      <c r="J1194" s="25" t="str">
        <f>IF(OR(E1194="",E1194="!!!",F1194="NEW"),"",COUNTBLANK(OFFSET(A$1,,,SUMPRODUCT(MAX(ROW(E$2:E1194)*(E1194=E$2:E1194)))))-COUNTBLANK(OFFSET(A$1,,,SUMPRODUCT(MAX(ROW(E$1:E1193)*(E2=E$1:E1193))))))</f>
        <v> </v>
      </c>
      <c r="K1194" s="25" t="str">
        <f>IF(OR(E1194="",E1194="!!!",F1194="NEW"),"",INDEX(J$1:J1193,SUMPRODUCT(MAX(ROW(E$1:E1193)*(E1194=E$1:E1193)))))</f>
        <v> </v>
      </c>
      <c r="L1194" s="26"/>
    </row>
    <row r="1195" spans="1:12">
      <c r="A1195" s="20" t="s">
        <v>1146</v>
      </c>
      <c r="E1195" s="21">
        <f>IF(D1195="?OLD","!!!","")</f>
        <v/>
      </c>
      <c r="F1195" s="22" t="str">
        <f>IF(OR(E1195="",E1195="!!!"),"",IF(NOT(ISNA(VLOOKUP(E1195,E$1:E1194,1,FALSE()))),"OLD",IF(AND(E1195&lt;&gt;"",E1195&lt;&gt;"!!!"),"NEW","")))</f>
        <v> </v>
      </c>
      <c r="G1195" s="23" t="str">
        <f>IF(OR(E1195="",E1195="!!!"),"",IF(OR(J1195=0,AND(J1195=1,K1195=1),AND(J1195=1,I1195="SBJ"),AND(J1195=1,I1195=0)),"?IN_FOCUS",IF(J1195&lt;=2,"?ACTIVATED",IF(J1195&lt;&gt;"","?FAMILIAR",IF(F1195="NEW",IF(ISNA(VLOOKUP(E1195,#REF!,1,FALSE())),"?TYPE_IDENTIFIABLE","?REFERENTIAL"),"_")))))</f>
        <v> </v>
      </c>
      <c r="H1195" s="24" t="str">
        <f>IF(J1195&lt;&gt;1,"",IF(I1195="SBJ","CB","?"))</f>
        <v> </v>
      </c>
      <c r="I1195" s="25" t="str">
        <f>IF(OR(E1195="",E1195="!!!",F1195="NEW"),"",INDEX(B1194:B$2,-1+SUMPRODUCT(MAX(ROW(E1194:E$2)*(E1195=E1194:E$2)))))</f>
        <v> </v>
      </c>
      <c r="J1195" s="25" t="str">
        <f>IF(OR(E1195="",E1195="!!!",F1195="NEW"),"",COUNTBLANK(OFFSET(A$1,,,SUMPRODUCT(MAX(ROW(E$2:E1195)*(E1195=E$2:E1195)))))-COUNTBLANK(OFFSET(A$1,,,SUMPRODUCT(MAX(ROW(E$1:E1194)*(E2=E$1:E1194))))))</f>
        <v> </v>
      </c>
      <c r="K1195" s="25" t="str">
        <f>IF(OR(E1195="",E1195="!!!",F1195="NEW"),"",INDEX(J$1:J1194,SUMPRODUCT(MAX(ROW(E$1:E1194)*(E1195=E$1:E1194)))))</f>
        <v> </v>
      </c>
      <c r="L1195" s="26"/>
    </row>
    <row r="1196" spans="1:12">
      <c r="A1196" s="20" t="s">
        <v>617</v>
      </c>
      <c r="E1196" s="21">
        <f>IF(D1196="?OLD","!!!","")</f>
        <v/>
      </c>
      <c r="F1196" s="22" t="str">
        <f>IF(OR(E1196="",E1196="!!!"),"",IF(NOT(ISNA(VLOOKUP(E1196,E$1:E1195,1,FALSE()))),"OLD",IF(AND(E1196&lt;&gt;"",E1196&lt;&gt;"!!!"),"NEW","")))</f>
        <v> </v>
      </c>
      <c r="G1196" s="23" t="str">
        <f>IF(OR(E1196="",E1196="!!!"),"",IF(OR(J1196=0,AND(J1196=1,K1196=1),AND(J1196=1,I1196="SBJ"),AND(J1196=1,I1196=0)),"?IN_FOCUS",IF(J1196&lt;=2,"?ACTIVATED",IF(J1196&lt;&gt;"","?FAMILIAR",IF(F1196="NEW",IF(ISNA(VLOOKUP(E1196,#REF!,1,FALSE())),"?TYPE_IDENTIFIABLE","?REFERENTIAL"),"_")))))</f>
        <v> </v>
      </c>
      <c r="H1196" s="24" t="str">
        <f>IF(J1196&lt;&gt;1,"",IF(I1196="SBJ","CB","?"))</f>
        <v> </v>
      </c>
      <c r="I1196" s="25" t="str">
        <f>IF(OR(E1196="",E1196="!!!",F1196="NEW"),"",INDEX(B1195:B$2,-1+SUMPRODUCT(MAX(ROW(E1195:E$2)*(E1196=E1195:E$2)))))</f>
        <v> </v>
      </c>
      <c r="J1196" s="25" t="str">
        <f>IF(OR(E1196="",E1196="!!!",F1196="NEW"),"",COUNTBLANK(OFFSET(A$1,,,SUMPRODUCT(MAX(ROW(E$2:E1196)*(E1196=E$2:E1196)))))-COUNTBLANK(OFFSET(A$1,,,SUMPRODUCT(MAX(ROW(E$1:E1195)*(E2=E$1:E1195))))))</f>
        <v> </v>
      </c>
      <c r="K1196" s="25" t="str">
        <f>IF(OR(E1196="",E1196="!!!",F1196="NEW"),"",INDEX(J$1:J1195,SUMPRODUCT(MAX(ROW(E$1:E1195)*(E1196=E$1:E1195)))))</f>
        <v> </v>
      </c>
      <c r="L1196" s="26"/>
    </row>
    <row r="1197" spans="1:12">
      <c r="A1197" s="20" t="s">
        <v>715</v>
      </c>
      <c r="B1197" s="27" t="s">
        <v>619</v>
      </c>
      <c r="C1197" s="27" t="s">
        <v>652</v>
      </c>
      <c r="D1197" s="27" t="s">
        <v>608</v>
      </c>
      <c r="E1197" s="21">
        <f>IF(D1197="?OLD","!!!","")</f>
        <v/>
      </c>
      <c r="F1197" s="22" t="str">
        <f>IF(OR(E1197="",E1197="!!!"),"",IF(NOT(ISNA(VLOOKUP(E1197,E$1:E1196,1,FALSE()))),"OLD",IF(AND(E1197&lt;&gt;"",E1197&lt;&gt;"!!!"),"NEW","")))</f>
        <v> </v>
      </c>
      <c r="G1197" s="23" t="str">
        <f>IF(OR(E1197="",E1197="!!!"),"",IF(OR(J1197=0,AND(J1197=1,K1197=1),AND(J1197=1,I1197="SBJ"),AND(J1197=1,I1197=0)),"?IN_FOCUS",IF(J1197&lt;=2,"?ACTIVATED",IF(J1197&lt;&gt;"","?FAMILIAR",IF(F1197="NEW",IF(ISNA(VLOOKUP(E1197,#REF!,1,FALSE())),"?TYPE_IDENTIFIABLE","?REFERENTIAL"),"_")))))</f>
        <v> </v>
      </c>
      <c r="H1197" s="24" t="str">
        <f>IF(J1197&lt;&gt;1,"",IF(I1197="SBJ","CB","?"))</f>
        <v> </v>
      </c>
      <c r="I1197" s="25" t="str">
        <f>IF(OR(E1197="",E1197="!!!",F1197="NEW"),"",INDEX(B1196:B$2,-1+SUMPRODUCT(MAX(ROW(E1196:E$2)*(E1197=E1196:E$2)))))</f>
        <v> </v>
      </c>
      <c r="J1197" s="25" t="str">
        <f>IF(OR(E1197="",E1197="!!!",F1197="NEW"),"",COUNTBLANK(OFFSET(A$1,,,SUMPRODUCT(MAX(ROW(E$2:E1197)*(E1197=E$2:E1197)))))-COUNTBLANK(OFFSET(A$1,,,SUMPRODUCT(MAX(ROW(E$1:E1196)*(E2=E$1:E1196))))))</f>
        <v> </v>
      </c>
      <c r="K1197" s="25" t="str">
        <f>IF(OR(E1197="",E1197="!!!",F1197="NEW"),"",INDEX(J$1:J1196,SUMPRODUCT(MAX(ROW(E$1:E1196)*(E1197=E$1:E1196)))))</f>
        <v> </v>
      </c>
      <c r="L1197" s="26"/>
    </row>
    <row r="1198" spans="1:12">
      <c r="A1198" s="20" t="s">
        <v>690</v>
      </c>
      <c r="B1198" s="27" t="s">
        <v>619</v>
      </c>
      <c r="E1198" s="21">
        <f>IF(D1198="?OLD","!!!","")</f>
        <v/>
      </c>
      <c r="F1198" s="22" t="str">
        <f>IF(OR(E1198="",E1198="!!!"),"",IF(NOT(ISNA(VLOOKUP(E1198,E$1:E1197,1,FALSE()))),"OLD",IF(AND(E1198&lt;&gt;"",E1198&lt;&gt;"!!!"),"NEW","")))</f>
        <v> </v>
      </c>
      <c r="G1198" s="23" t="str">
        <f>IF(OR(E1198="",E1198="!!!"),"",IF(OR(J1198=0,AND(J1198=1,K1198=1),AND(J1198=1,I1198="SBJ"),AND(J1198=1,I1198=0)),"?IN_FOCUS",IF(J1198&lt;=2,"?ACTIVATED",IF(J1198&lt;&gt;"","?FAMILIAR",IF(F1198="NEW",IF(ISNA(VLOOKUP(E1198,#REF!,1,FALSE())),"?TYPE_IDENTIFIABLE","?REFERENTIAL"),"_")))))</f>
        <v> </v>
      </c>
      <c r="H1198" s="24" t="str">
        <f>IF(J1198&lt;&gt;1,"",IF(I1198="SBJ","CB","?"))</f>
        <v> </v>
      </c>
      <c r="I1198" s="25" t="str">
        <f>IF(OR(E1198="",E1198="!!!",F1198="NEW"),"",INDEX(B1197:B$2,-1+SUMPRODUCT(MAX(ROW(E1197:E$2)*(E1198=E1197:E$2)))))</f>
        <v> </v>
      </c>
      <c r="J1198" s="25" t="str">
        <f>IF(OR(E1198="",E1198="!!!",F1198="NEW"),"",COUNTBLANK(OFFSET(A$1,,,SUMPRODUCT(MAX(ROW(E$2:E1198)*(E1198=E$2:E1198)))))-COUNTBLANK(OFFSET(A$1,,,SUMPRODUCT(MAX(ROW(E$1:E1197)*(E2=E$1:E1197))))))</f>
        <v> </v>
      </c>
      <c r="K1198" s="25" t="str">
        <f>IF(OR(E1198="",E1198="!!!",F1198="NEW"),"",INDEX(J$1:J1197,SUMPRODUCT(MAX(ROW(E$1:E1197)*(E1198=E$1:E1197)))))</f>
        <v> </v>
      </c>
      <c r="L1198" s="26"/>
    </row>
    <row r="1199" spans="1:12">
      <c r="A1199" s="20" t="s">
        <v>720</v>
      </c>
      <c r="E1199" s="21">
        <f>IF(D1199="?OLD","!!!","")</f>
        <v/>
      </c>
      <c r="F1199" s="22" t="str">
        <f>IF(OR(E1199="",E1199="!!!"),"",IF(NOT(ISNA(VLOOKUP(E1199,E$1:E1198,1,FALSE()))),"OLD",IF(AND(E1199&lt;&gt;"",E1199&lt;&gt;"!!!"),"NEW","")))</f>
        <v> </v>
      </c>
      <c r="G1199" s="23" t="str">
        <f>IF(OR(E1199="",E1199="!!!"),"",IF(OR(J1199=0,AND(J1199=1,K1199=1),AND(J1199=1,I1199="SBJ"),AND(J1199=1,I1199=0)),"?IN_FOCUS",IF(J1199&lt;=2,"?ACTIVATED",IF(J1199&lt;&gt;"","?FAMILIAR",IF(F1199="NEW",IF(ISNA(VLOOKUP(E1199,#REF!,1,FALSE())),"?TYPE_IDENTIFIABLE","?REFERENTIAL"),"_")))))</f>
        <v> </v>
      </c>
      <c r="H1199" s="24" t="str">
        <f>IF(J1199&lt;&gt;1,"",IF(I1199="SBJ","CB","?"))</f>
        <v> </v>
      </c>
      <c r="I1199" s="25" t="str">
        <f>IF(OR(E1199="",E1199="!!!",F1199="NEW"),"",INDEX(B1198:B$2,-1+SUMPRODUCT(MAX(ROW(E1198:E$2)*(E1199=E1198:E$2)))))</f>
        <v> </v>
      </c>
      <c r="J1199" s="25" t="str">
        <f>IF(OR(E1199="",E1199="!!!",F1199="NEW"),"",COUNTBLANK(OFFSET(A$1,,,SUMPRODUCT(MAX(ROW(E$2:E1199)*(E1199=E$2:E1199)))))-COUNTBLANK(OFFSET(A$1,,,SUMPRODUCT(MAX(ROW(E$1:E1198)*(E2=E$1:E1198))))))</f>
        <v> </v>
      </c>
      <c r="K1199" s="25" t="str">
        <f>IF(OR(E1199="",E1199="!!!",F1199="NEW"),"",INDEX(J$1:J1198,SUMPRODUCT(MAX(ROW(E$1:E1198)*(E1199=E$1:E1198)))))</f>
        <v> </v>
      </c>
      <c r="L1199" s="26"/>
    </row>
    <row r="1200" spans="1:12">
      <c r="A1200" s="20" t="s">
        <v>682</v>
      </c>
      <c r="E1200" s="21">
        <f>IF(D1200="?OLD","!!!","")</f>
        <v/>
      </c>
      <c r="F1200" s="22" t="str">
        <f>IF(OR(E1200="",E1200="!!!"),"",IF(NOT(ISNA(VLOOKUP(E1200,E$1:E1199,1,FALSE()))),"OLD",IF(AND(E1200&lt;&gt;"",E1200&lt;&gt;"!!!"),"NEW","")))</f>
        <v> </v>
      </c>
      <c r="G1200" s="23" t="str">
        <f>IF(OR(E1200="",E1200="!!!"),"",IF(OR(J1200=0,AND(J1200=1,K1200=1),AND(J1200=1,I1200="SBJ"),AND(J1200=1,I1200=0)),"?IN_FOCUS",IF(J1200&lt;=2,"?ACTIVATED",IF(J1200&lt;&gt;"","?FAMILIAR",IF(F1200="NEW",IF(ISNA(VLOOKUP(E1200,#REF!,1,FALSE())),"?TYPE_IDENTIFIABLE","?REFERENTIAL"),"_")))))</f>
        <v> </v>
      </c>
      <c r="H1200" s="24" t="str">
        <f>IF(J1200&lt;&gt;1,"",IF(I1200="SBJ","CB","?"))</f>
        <v> </v>
      </c>
      <c r="I1200" s="25" t="str">
        <f>IF(OR(E1200="",E1200="!!!",F1200="NEW"),"",INDEX(B1199:B$2,-1+SUMPRODUCT(MAX(ROW(E1199:E$2)*(E1200=E1199:E$2)))))</f>
        <v> </v>
      </c>
      <c r="J1200" s="25" t="str">
        <f>IF(OR(E1200="",E1200="!!!",F1200="NEW"),"",COUNTBLANK(OFFSET(A$1,,,SUMPRODUCT(MAX(ROW(E$2:E1200)*(E1200=E$2:E1200)))))-COUNTBLANK(OFFSET(A$1,,,SUMPRODUCT(MAX(ROW(E$1:E1199)*(E2=E$1:E1199))))))</f>
        <v> </v>
      </c>
      <c r="K1200" s="25" t="str">
        <f>IF(OR(E1200="",E1200="!!!",F1200="NEW"),"",INDEX(J$1:J1199,SUMPRODUCT(MAX(ROW(E$1:E1199)*(E1200=E$1:E1199)))))</f>
        <v> </v>
      </c>
      <c r="L1200" s="26"/>
    </row>
    <row r="1201" spans="1:12">
      <c r="A1201" s="20" t="s">
        <v>1124</v>
      </c>
      <c r="B1201" s="27" t="s">
        <v>611</v>
      </c>
      <c r="C1201" s="27" t="s">
        <v>685</v>
      </c>
      <c r="E1201" s="21">
        <f>IF(D1201="?OLD","!!!","")</f>
        <v/>
      </c>
      <c r="F1201" s="22" t="str">
        <f>IF(OR(E1201="",E1201="!!!"),"",IF(NOT(ISNA(VLOOKUP(E1201,E$1:E1200,1,FALSE()))),"OLD",IF(AND(E1201&lt;&gt;"",E1201&lt;&gt;"!!!"),"NEW","")))</f>
        <v> </v>
      </c>
      <c r="G1201" s="23" t="str">
        <f>IF(OR(E1201="",E1201="!!!"),"",IF(OR(J1201=0,AND(J1201=1,K1201=1),AND(J1201=1,I1201="SBJ"),AND(J1201=1,I1201=0)),"?IN_FOCUS",IF(J1201&lt;=2,"?ACTIVATED",IF(J1201&lt;&gt;"","?FAMILIAR",IF(F1201="NEW",IF(ISNA(VLOOKUP(E1201,#REF!,1,FALSE())),"?TYPE_IDENTIFIABLE","?REFERENTIAL"),"_")))))</f>
        <v> </v>
      </c>
      <c r="H1201" s="24" t="str">
        <f>IF(J1201&lt;&gt;1,"",IF(I1201="SBJ","CB","?"))</f>
        <v> </v>
      </c>
      <c r="I1201" s="25" t="str">
        <f>IF(OR(E1201="",E1201="!!!",F1201="NEW"),"",INDEX(B1200:B$2,-1+SUMPRODUCT(MAX(ROW(E1200:E$2)*(E1201=E1200:E$2)))))</f>
        <v> </v>
      </c>
      <c r="J1201" s="25" t="str">
        <f>IF(OR(E1201="",E1201="!!!",F1201="NEW"),"",COUNTBLANK(OFFSET(A$1,,,SUMPRODUCT(MAX(ROW(E$2:E1201)*(E1201=E$2:E1201)))))-COUNTBLANK(OFFSET(A$1,,,SUMPRODUCT(MAX(ROW(E$1:E1200)*(E2=E$1:E1200))))))</f>
        <v> </v>
      </c>
      <c r="K1201" s="25" t="str">
        <f>IF(OR(E1201="",E1201="!!!",F1201="NEW"),"",INDEX(J$1:J1200,SUMPRODUCT(MAX(ROW(E$1:E1200)*(E1201=E$1:E1200)))))</f>
        <v> </v>
      </c>
      <c r="L1201" s="26"/>
    </row>
    <row r="1202" spans="1:12">
      <c r="A1202" s="20" t="s">
        <v>1147</v>
      </c>
      <c r="E1202" s="21">
        <f>IF(D1202="?OLD","!!!","")</f>
        <v/>
      </c>
      <c r="F1202" s="22" t="str">
        <f>IF(OR(E1202="",E1202="!!!"),"",IF(NOT(ISNA(VLOOKUP(E1202,E$1:E1201,1,FALSE()))),"OLD",IF(AND(E1202&lt;&gt;"",E1202&lt;&gt;"!!!"),"NEW","")))</f>
        <v> </v>
      </c>
      <c r="G1202" s="23" t="str">
        <f>IF(OR(E1202="",E1202="!!!"),"",IF(OR(J1202=0,AND(J1202=1,K1202=1),AND(J1202=1,I1202="SBJ"),AND(J1202=1,I1202=0)),"?IN_FOCUS",IF(J1202&lt;=2,"?ACTIVATED",IF(J1202&lt;&gt;"","?FAMILIAR",IF(F1202="NEW",IF(ISNA(VLOOKUP(E1202,#REF!,1,FALSE())),"?TYPE_IDENTIFIABLE","?REFERENTIAL"),"_")))))</f>
        <v> </v>
      </c>
      <c r="H1202" s="24" t="str">
        <f>IF(J1202&lt;&gt;1,"",IF(I1202="SBJ","CB","?"))</f>
        <v> </v>
      </c>
      <c r="I1202" s="25" t="str">
        <f>IF(OR(E1202="",E1202="!!!",F1202="NEW"),"",INDEX(B1201:B$2,-1+SUMPRODUCT(MAX(ROW(E1201:E$2)*(E1202=E1201:E$2)))))</f>
        <v> </v>
      </c>
      <c r="J1202" s="25" t="str">
        <f>IF(OR(E1202="",E1202="!!!",F1202="NEW"),"",COUNTBLANK(OFFSET(A$1,,,SUMPRODUCT(MAX(ROW(E$2:E1202)*(E1202=E$2:E1202)))))-COUNTBLANK(OFFSET(A$1,,,SUMPRODUCT(MAX(ROW(E$1:E1201)*(E2=E$1:E1201))))))</f>
        <v> </v>
      </c>
      <c r="K1202" s="25" t="str">
        <f>IF(OR(E1202="",E1202="!!!",F1202="NEW"),"",INDEX(J$1:J1201,SUMPRODUCT(MAX(ROW(E$1:E1201)*(E1202=E$1:E1201)))))</f>
        <v> </v>
      </c>
      <c r="L1202" s="26"/>
    </row>
    <row r="1203" spans="1:12">
      <c r="A1203" s="20" t="s">
        <v>633</v>
      </c>
      <c r="E1203" s="21">
        <f>IF(D1203="?OLD","!!!","")</f>
        <v/>
      </c>
      <c r="F1203" s="22" t="str">
        <f>IF(OR(E1203="",E1203="!!!"),"",IF(NOT(ISNA(VLOOKUP(E1203,E$1:E1202,1,FALSE()))),"OLD",IF(AND(E1203&lt;&gt;"",E1203&lt;&gt;"!!!"),"NEW","")))</f>
        <v> </v>
      </c>
      <c r="G1203" s="23" t="str">
        <f>IF(OR(E1203="",E1203="!!!"),"",IF(OR(J1203=0,AND(J1203=1,K1203=1),AND(J1203=1,I1203="SBJ"),AND(J1203=1,I1203=0)),"?IN_FOCUS",IF(J1203&lt;=2,"?ACTIVATED",IF(J1203&lt;&gt;"","?FAMILIAR",IF(F1203="NEW",IF(ISNA(VLOOKUP(E1203,#REF!,1,FALSE())),"?TYPE_IDENTIFIABLE","?REFERENTIAL"),"_")))))</f>
        <v> </v>
      </c>
      <c r="H1203" s="24" t="str">
        <f>IF(J1203&lt;&gt;1,"",IF(I1203="SBJ","CB","?"))</f>
        <v> </v>
      </c>
      <c r="I1203" s="25" t="str">
        <f>IF(OR(E1203="",E1203="!!!",F1203="NEW"),"",INDEX(B1202:B$2,-1+SUMPRODUCT(MAX(ROW(E1202:E$2)*(E1203=E1202:E$2)))))</f>
        <v> </v>
      </c>
      <c r="J1203" s="25" t="str">
        <f>IF(OR(E1203="",E1203="!!!",F1203="NEW"),"",COUNTBLANK(OFFSET(A$1,,,SUMPRODUCT(MAX(ROW(E$2:E1203)*(E1203=E$2:E1203)))))-COUNTBLANK(OFFSET(A$1,,,SUMPRODUCT(MAX(ROW(E$1:E1202)*(E2=E$1:E1202))))))</f>
        <v> </v>
      </c>
      <c r="K1203" s="25" t="str">
        <f>IF(OR(E1203="",E1203="!!!",F1203="NEW"),"",INDEX(J$1:J1202,SUMPRODUCT(MAX(ROW(E$1:E1202)*(E1203=E$1:E1202)))))</f>
        <v> </v>
      </c>
      <c r="L1203" s="26"/>
    </row>
    <row r="1204" spans="1:12">
      <c r="A1204" s="20"/>
    </row>
    <row r="1205" spans="1:12">
      <c r="A1205" s="20" t="s">
        <v>1148</v>
      </c>
    </row>
    <row r="1206" spans="1:12">
      <c r="A1206" s="20" t="s">
        <v>1149</v>
      </c>
      <c r="E1206" s="21">
        <f>IF(D1206="?OLD","!!!","")</f>
        <v/>
      </c>
      <c r="F1206" s="22" t="str">
        <f>IF(OR(E1206="",E1206="!!!"),"",IF(NOT(ISNA(VLOOKUP(E1206,E$1:E1205,1,FALSE()))),"OLD",IF(AND(E1206&lt;&gt;"",E1206&lt;&gt;"!!!"),"NEW","")))</f>
        <v> </v>
      </c>
      <c r="G1206" s="23" t="str">
        <f>IF(OR(E1206="",E1206="!!!"),"",IF(OR(J1206=0,AND(J1206=1,K1206=1),AND(J1206=1,I1206="SBJ"),AND(J1206=1,I1206=0)),"?IN_FOCUS",IF(J1206&lt;=2,"?ACTIVATED",IF(J1206&lt;&gt;"","?FAMILIAR",IF(F1206="NEW",IF(ISNA(VLOOKUP(E1206,#REF!,1,FALSE())),"?TYPE_IDENTIFIABLE","?REFERENTIAL"),"_")))))</f>
        <v> </v>
      </c>
      <c r="H1206" s="24" t="str">
        <f>IF(J1206&lt;&gt;1,"",IF(I1206="SBJ","CB","?"))</f>
        <v> </v>
      </c>
      <c r="I1206" s="25" t="str">
        <f>IF(OR(E1206="",E1206="!!!",F1206="NEW"),"",INDEX(B1205:B$2,-1+SUMPRODUCT(MAX(ROW(E1205:E$2)*(E1206=E1205:E$2)))))</f>
        <v> </v>
      </c>
      <c r="J1206" s="25" t="str">
        <f>IF(OR(E1206="",E1206="!!!",F1206="NEW"),"",COUNTBLANK(OFFSET(A$1,,,SUMPRODUCT(MAX(ROW(E$2:E1206)*(E1206=E$2:E1206)))))-COUNTBLANK(OFFSET(A$1,,,SUMPRODUCT(MAX(ROW(E$1:E1205)*(E2=E$1:E1205))))))</f>
        <v> </v>
      </c>
      <c r="K1206" s="25" t="str">
        <f>IF(OR(E1206="",E1206="!!!",F1206="NEW"),"",INDEX(J$1:J1205,SUMPRODUCT(MAX(ROW(E$1:E1205)*(E1206=E$1:E1205)))))</f>
        <v> </v>
      </c>
      <c r="L1206" s="26"/>
    </row>
    <row r="1207" spans="1:12">
      <c r="A1207" s="20" t="s">
        <v>1150</v>
      </c>
      <c r="E1207" s="21">
        <f>IF(D1207="?OLD","!!!","")</f>
        <v/>
      </c>
      <c r="F1207" s="22" t="str">
        <f>IF(OR(E1207="",E1207="!!!"),"",IF(NOT(ISNA(VLOOKUP(E1207,E$1:E1206,1,FALSE()))),"OLD",IF(AND(E1207&lt;&gt;"",E1207&lt;&gt;"!!!"),"NEW","")))</f>
        <v> </v>
      </c>
      <c r="G1207" s="23" t="str">
        <f>IF(OR(E1207="",E1207="!!!"),"",IF(OR(J1207=0,AND(J1207=1,K1207=1),AND(J1207=1,I1207="SBJ"),AND(J1207=1,I1207=0)),"?IN_FOCUS",IF(J1207&lt;=2,"?ACTIVATED",IF(J1207&lt;&gt;"","?FAMILIAR",IF(F1207="NEW",IF(ISNA(VLOOKUP(E1207,#REF!,1,FALSE())),"?TYPE_IDENTIFIABLE","?REFERENTIAL"),"_")))))</f>
        <v> </v>
      </c>
      <c r="H1207" s="24" t="str">
        <f>IF(J1207&lt;&gt;1,"",IF(I1207="SBJ","CB","?"))</f>
        <v> </v>
      </c>
      <c r="I1207" s="25" t="str">
        <f>IF(OR(E1207="",E1207="!!!",F1207="NEW"),"",INDEX(B1206:B$2,-1+SUMPRODUCT(MAX(ROW(E1206:E$2)*(E1207=E1206:E$2)))))</f>
        <v> </v>
      </c>
      <c r="J1207" s="25" t="str">
        <f>IF(OR(E1207="",E1207="!!!",F1207="NEW"),"",COUNTBLANK(OFFSET(A$1,,,SUMPRODUCT(MAX(ROW(E$2:E1207)*(E1207=E$2:E1207)))))-COUNTBLANK(OFFSET(A$1,,,SUMPRODUCT(MAX(ROW(E$1:E1206)*(E2=E$1:E1206))))))</f>
        <v> </v>
      </c>
      <c r="K1207" s="25" t="str">
        <f>IF(OR(E1207="",E1207="!!!",F1207="NEW"),"",INDEX(J$1:J1206,SUMPRODUCT(MAX(ROW(E$1:E1206)*(E1207=E$1:E1206)))))</f>
        <v> </v>
      </c>
      <c r="L1207" s="26"/>
    </row>
    <row r="1208" spans="1:12">
      <c r="A1208" s="20" t="s">
        <v>1069</v>
      </c>
      <c r="E1208" s="21">
        <f>IF(D1208="?OLD","!!!","")</f>
        <v/>
      </c>
      <c r="F1208" s="22" t="str">
        <f>IF(OR(E1208="",E1208="!!!"),"",IF(NOT(ISNA(VLOOKUP(E1208,E$1:E1207,1,FALSE()))),"OLD",IF(AND(E1208&lt;&gt;"",E1208&lt;&gt;"!!!"),"NEW","")))</f>
        <v> </v>
      </c>
      <c r="G1208" s="23" t="str">
        <f>IF(OR(E1208="",E1208="!!!"),"",IF(OR(J1208=0,AND(J1208=1,K1208=1),AND(J1208=1,I1208="SBJ"),AND(J1208=1,I1208=0)),"?IN_FOCUS",IF(J1208&lt;=2,"?ACTIVATED",IF(J1208&lt;&gt;"","?FAMILIAR",IF(F1208="NEW",IF(ISNA(VLOOKUP(E1208,#REF!,1,FALSE())),"?TYPE_IDENTIFIABLE","?REFERENTIAL"),"_")))))</f>
        <v> </v>
      </c>
      <c r="H1208" s="24" t="str">
        <f>IF(J1208&lt;&gt;1,"",IF(I1208="SBJ","CB","?"))</f>
        <v> </v>
      </c>
      <c r="I1208" s="25" t="str">
        <f>IF(OR(E1208="",E1208="!!!",F1208="NEW"),"",INDEX(B1207:B$2,-1+SUMPRODUCT(MAX(ROW(E1207:E$2)*(E1208=E1207:E$2)))))</f>
        <v> </v>
      </c>
      <c r="J1208" s="25" t="str">
        <f>IF(OR(E1208="",E1208="!!!",F1208="NEW"),"",COUNTBLANK(OFFSET(A$1,,,SUMPRODUCT(MAX(ROW(E$2:E1208)*(E1208=E$2:E1208)))))-COUNTBLANK(OFFSET(A$1,,,SUMPRODUCT(MAX(ROW(E$1:E1207)*(E2=E$1:E1207))))))</f>
        <v> </v>
      </c>
      <c r="K1208" s="25" t="str">
        <f>IF(OR(E1208="",E1208="!!!",F1208="NEW"),"",INDEX(J$1:J1207,SUMPRODUCT(MAX(ROW(E$1:E1207)*(E1208=E$1:E1207)))))</f>
        <v> </v>
      </c>
      <c r="L1208" s="26"/>
    </row>
    <row r="1209" spans="1:12">
      <c r="A1209" s="20" t="s">
        <v>700</v>
      </c>
      <c r="B1209" s="27" t="s">
        <v>636</v>
      </c>
      <c r="C1209" s="27" t="s">
        <v>626</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630</v>
      </c>
      <c r="B1210" s="27" t="s">
        <v>653</v>
      </c>
      <c r="C1210" s="27" t="s">
        <v>631</v>
      </c>
      <c r="D1210" s="27" t="s">
        <v>608</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t="s">
        <v>707</v>
      </c>
      <c r="E1211" s="21">
        <f>IF(D1211="?OLD","!!!","")</f>
        <v/>
      </c>
      <c r="F1211" s="22" t="str">
        <f>IF(OR(E1211="",E1211="!!!"),"",IF(NOT(ISNA(VLOOKUP(E1211,E$1:E1210,1,FALSE()))),"OLD",IF(AND(E1211&lt;&gt;"",E1211&lt;&gt;"!!!"),"NEW","")))</f>
        <v> </v>
      </c>
      <c r="G1211" s="23" t="str">
        <f>IF(OR(E1211="",E1211="!!!"),"",IF(OR(J1211=0,AND(J1211=1,K1211=1),AND(J1211=1,I1211="SBJ"),AND(J1211=1,I1211=0)),"?IN_FOCUS",IF(J1211&lt;=2,"?ACTIVATED",IF(J1211&lt;&gt;"","?FAMILIAR",IF(F1211="NEW",IF(ISNA(VLOOKUP(E1211,#REF!,1,FALSE())),"?TYPE_IDENTIFIABLE","?REFERENTIAL"),"_")))))</f>
        <v> </v>
      </c>
      <c r="H1211" s="24" t="str">
        <f>IF(J1211&lt;&gt;1,"",IF(I1211="SBJ","CB","?"))</f>
        <v> </v>
      </c>
      <c r="I1211" s="25" t="str">
        <f>IF(OR(E1211="",E1211="!!!",F1211="NEW"),"",INDEX(B1210:B$2,-1+SUMPRODUCT(MAX(ROW(E1210:E$2)*(E1211=E1210:E$2)))))</f>
        <v> </v>
      </c>
      <c r="J1211" s="25" t="str">
        <f>IF(OR(E1211="",E1211="!!!",F1211="NEW"),"",COUNTBLANK(OFFSET(A$1,,,SUMPRODUCT(MAX(ROW(E$2:E1211)*(E1211=E$2:E1211)))))-COUNTBLANK(OFFSET(A$1,,,SUMPRODUCT(MAX(ROW(E$1:E1210)*(E2=E$1:E1210))))))</f>
        <v> </v>
      </c>
      <c r="K1211" s="25" t="str">
        <f>IF(OR(E1211="",E1211="!!!",F1211="NEW"),"",INDEX(J$1:J1210,SUMPRODUCT(MAX(ROW(E$1:E1210)*(E1211=E$1:E1210)))))</f>
        <v> </v>
      </c>
      <c r="L1211" s="26"/>
    </row>
    <row r="1212" spans="1:12">
      <c r="A1212" s="20" t="s">
        <v>1151</v>
      </c>
      <c r="E1212" s="21">
        <f>IF(D1212="?OLD","!!!","")</f>
        <v/>
      </c>
      <c r="F1212" s="22" t="str">
        <f>IF(OR(E1212="",E1212="!!!"),"",IF(NOT(ISNA(VLOOKUP(E1212,E$1:E1211,1,FALSE()))),"OLD",IF(AND(E1212&lt;&gt;"",E1212&lt;&gt;"!!!"),"NEW","")))</f>
        <v> </v>
      </c>
      <c r="G1212" s="23" t="str">
        <f>IF(OR(E1212="",E1212="!!!"),"",IF(OR(J1212=0,AND(J1212=1,K1212=1),AND(J1212=1,I1212="SBJ"),AND(J1212=1,I1212=0)),"?IN_FOCUS",IF(J1212&lt;=2,"?ACTIVATED",IF(J1212&lt;&gt;"","?FAMILIAR",IF(F1212="NEW",IF(ISNA(VLOOKUP(E1212,#REF!,1,FALSE())),"?TYPE_IDENTIFIABLE","?REFERENTIAL"),"_")))))</f>
        <v> </v>
      </c>
      <c r="H1212" s="24" t="str">
        <f>IF(J1212&lt;&gt;1,"",IF(I1212="SBJ","CB","?"))</f>
        <v> </v>
      </c>
      <c r="I1212" s="25" t="str">
        <f>IF(OR(E1212="",E1212="!!!",F1212="NEW"),"",INDEX(B1211:B$2,-1+SUMPRODUCT(MAX(ROW(E1211:E$2)*(E1212=E1211:E$2)))))</f>
        <v> </v>
      </c>
      <c r="J1212" s="25" t="str">
        <f>IF(OR(E1212="",E1212="!!!",F1212="NEW"),"",COUNTBLANK(OFFSET(A$1,,,SUMPRODUCT(MAX(ROW(E$2:E1212)*(E1212=E$2:E1212)))))-COUNTBLANK(OFFSET(A$1,,,SUMPRODUCT(MAX(ROW(E$1:E1211)*(E2=E$1:E1211))))))</f>
        <v> </v>
      </c>
      <c r="K1212" s="25" t="str">
        <f>IF(OR(E1212="",E1212="!!!",F1212="NEW"),"",INDEX(J$1:J1211,SUMPRODUCT(MAX(ROW(E$1:E1211)*(E1212=E$1:E1211)))))</f>
        <v> </v>
      </c>
      <c r="L1212" s="26"/>
    </row>
    <row r="1213" spans="1:12">
      <c r="A1213" s="20" t="s">
        <v>1124</v>
      </c>
      <c r="B1213" s="27" t="s">
        <v>606</v>
      </c>
      <c r="C1213" s="27" t="s">
        <v>894</v>
      </c>
      <c r="E1213" s="21">
        <f>IF(D1213="?OLD","!!!","")</f>
        <v/>
      </c>
      <c r="F1213" s="22" t="str">
        <f>IF(OR(E1213="",E1213="!!!"),"",IF(NOT(ISNA(VLOOKUP(E1213,E$1:E1212,1,FALSE()))),"OLD",IF(AND(E1213&lt;&gt;"",E1213&lt;&gt;"!!!"),"NEW","")))</f>
        <v> </v>
      </c>
      <c r="G1213" s="23" t="str">
        <f>IF(OR(E1213="",E1213="!!!"),"",IF(OR(J1213=0,AND(J1213=1,K1213=1),AND(J1213=1,I1213="SBJ"),AND(J1213=1,I1213=0)),"?IN_FOCUS",IF(J1213&lt;=2,"?ACTIVATED",IF(J1213&lt;&gt;"","?FAMILIAR",IF(F1213="NEW",IF(ISNA(VLOOKUP(E1213,#REF!,1,FALSE())),"?TYPE_IDENTIFIABLE","?REFERENTIAL"),"_")))))</f>
        <v> </v>
      </c>
      <c r="H1213" s="24" t="str">
        <f>IF(J1213&lt;&gt;1,"",IF(I1213="SBJ","CB","?"))</f>
        <v> </v>
      </c>
      <c r="I1213" s="25" t="str">
        <f>IF(OR(E1213="",E1213="!!!",F1213="NEW"),"",INDEX(B1212:B$2,-1+SUMPRODUCT(MAX(ROW(E1212:E$2)*(E1213=E1212:E$2)))))</f>
        <v> </v>
      </c>
      <c r="J1213" s="25" t="str">
        <f>IF(OR(E1213="",E1213="!!!",F1213="NEW"),"",COUNTBLANK(OFFSET(A$1,,,SUMPRODUCT(MAX(ROW(E$2:E1213)*(E1213=E$2:E1213)))))-COUNTBLANK(OFFSET(A$1,,,SUMPRODUCT(MAX(ROW(E$1:E1212)*(E2=E$1:E1212))))))</f>
        <v> </v>
      </c>
      <c r="K1213" s="25" t="str">
        <f>IF(OR(E1213="",E1213="!!!",F1213="NEW"),"",INDEX(J$1:J1212,SUMPRODUCT(MAX(ROW(E$1:E1212)*(E1213=E$1:E1212)))))</f>
        <v> </v>
      </c>
      <c r="L1213" s="26"/>
    </row>
    <row r="1214" spans="1:12">
      <c r="A1214" s="20" t="s">
        <v>629</v>
      </c>
      <c r="E1214" s="21">
        <f>IF(D1214="?OLD","!!!","")</f>
        <v/>
      </c>
      <c r="F1214" s="22" t="str">
        <f>IF(OR(E1214="",E1214="!!!"),"",IF(NOT(ISNA(VLOOKUP(E1214,E$1:E1213,1,FALSE()))),"OLD",IF(AND(E1214&lt;&gt;"",E1214&lt;&gt;"!!!"),"NEW","")))</f>
        <v> </v>
      </c>
      <c r="G1214" s="23" t="str">
        <f>IF(OR(E1214="",E1214="!!!"),"",IF(OR(J1214=0,AND(J1214=1,K1214=1),AND(J1214=1,I1214="SBJ"),AND(J1214=1,I1214=0)),"?IN_FOCUS",IF(J1214&lt;=2,"?ACTIVATED",IF(J1214&lt;&gt;"","?FAMILIAR",IF(F1214="NEW",IF(ISNA(VLOOKUP(E1214,#REF!,1,FALSE())),"?TYPE_IDENTIFIABLE","?REFERENTIAL"),"_")))))</f>
        <v> </v>
      </c>
      <c r="H1214" s="24" t="str">
        <f>IF(J1214&lt;&gt;1,"",IF(I1214="SBJ","CB","?"))</f>
        <v> </v>
      </c>
      <c r="I1214" s="25" t="str">
        <f>IF(OR(E1214="",E1214="!!!",F1214="NEW"),"",INDEX(B1213:B$2,-1+SUMPRODUCT(MAX(ROW(E1213:E$2)*(E1214=E1213:E$2)))))</f>
        <v> </v>
      </c>
      <c r="J1214" s="25" t="str">
        <f>IF(OR(E1214="",E1214="!!!",F1214="NEW"),"",COUNTBLANK(OFFSET(A$1,,,SUMPRODUCT(MAX(ROW(E$2:E1214)*(E1214=E$2:E1214)))))-COUNTBLANK(OFFSET(A$1,,,SUMPRODUCT(MAX(ROW(E$1:E1213)*(E2=E$1:E1213))))))</f>
        <v> </v>
      </c>
      <c r="K1214" s="25" t="str">
        <f>IF(OR(E1214="",E1214="!!!",F1214="NEW"),"",INDEX(J$1:J1213,SUMPRODUCT(MAX(ROW(E$1:E1213)*(E1214=E$1:E1213)))))</f>
        <v> </v>
      </c>
      <c r="L1214" s="26"/>
    </row>
    <row r="1215" spans="1:12">
      <c r="A1215" s="20" t="s">
        <v>617</v>
      </c>
      <c r="E1215" s="21">
        <f>IF(D1215="?OLD","!!!","")</f>
        <v/>
      </c>
      <c r="F1215" s="22" t="str">
        <f>IF(OR(E1215="",E1215="!!!"),"",IF(NOT(ISNA(VLOOKUP(E1215,E$1:E1214,1,FALSE()))),"OLD",IF(AND(E1215&lt;&gt;"",E1215&lt;&gt;"!!!"),"NEW","")))</f>
        <v> </v>
      </c>
      <c r="G1215" s="23" t="str">
        <f>IF(OR(E1215="",E1215="!!!"),"",IF(OR(J1215=0,AND(J1215=1,K1215=1),AND(J1215=1,I1215="SBJ"),AND(J1215=1,I1215=0)),"?IN_FOCUS",IF(J1215&lt;=2,"?ACTIVATED",IF(J1215&lt;&gt;"","?FAMILIAR",IF(F1215="NEW",IF(ISNA(VLOOKUP(E1215,#REF!,1,FALSE())),"?TYPE_IDENTIFIABLE","?REFERENTIAL"),"_")))))</f>
        <v> </v>
      </c>
      <c r="H1215" s="24" t="str">
        <f>IF(J1215&lt;&gt;1,"",IF(I1215="SBJ","CB","?"))</f>
        <v> </v>
      </c>
      <c r="I1215" s="25" t="str">
        <f>IF(OR(E1215="",E1215="!!!",F1215="NEW"),"",INDEX(B1214:B$2,-1+SUMPRODUCT(MAX(ROW(E1214:E$2)*(E1215=E1214:E$2)))))</f>
        <v> </v>
      </c>
      <c r="J1215" s="25" t="str">
        <f>IF(OR(E1215="",E1215="!!!",F1215="NEW"),"",COUNTBLANK(OFFSET(A$1,,,SUMPRODUCT(MAX(ROW(E$2:E1215)*(E1215=E$2:E1215)))))-COUNTBLANK(OFFSET(A$1,,,SUMPRODUCT(MAX(ROW(E$1:E1214)*(E2=E$1:E1214))))))</f>
        <v> </v>
      </c>
      <c r="K1215" s="25" t="str">
        <f>IF(OR(E1215="",E1215="!!!",F1215="NEW"),"",INDEX(J$1:J1214,SUMPRODUCT(MAX(ROW(E$1:E1214)*(E1215=E$1:E1214)))))</f>
        <v> </v>
      </c>
      <c r="L1215" s="26"/>
    </row>
    <row r="1216" spans="1:12">
      <c r="A1216" s="20" t="s">
        <v>1035</v>
      </c>
      <c r="E1216" s="21">
        <f>IF(D1216="?OLD","!!!","")</f>
        <v/>
      </c>
      <c r="F1216" s="22" t="str">
        <f>IF(OR(E1216="",E1216="!!!"),"",IF(NOT(ISNA(VLOOKUP(E1216,E$1:E1215,1,FALSE()))),"OLD",IF(AND(E1216&lt;&gt;"",E1216&lt;&gt;"!!!"),"NEW","")))</f>
        <v> </v>
      </c>
      <c r="G1216" s="23" t="str">
        <f>IF(OR(E1216="",E1216="!!!"),"",IF(OR(J1216=0,AND(J1216=1,K1216=1),AND(J1216=1,I1216="SBJ"),AND(J1216=1,I1216=0)),"?IN_FOCUS",IF(J1216&lt;=2,"?ACTIVATED",IF(J1216&lt;&gt;"","?FAMILIAR",IF(F1216="NEW",IF(ISNA(VLOOKUP(E1216,#REF!,1,FALSE())),"?TYPE_IDENTIFIABLE","?REFERENTIAL"),"_")))))</f>
        <v> </v>
      </c>
      <c r="H1216" s="24" t="str">
        <f>IF(J1216&lt;&gt;1,"",IF(I1216="SBJ","CB","?"))</f>
        <v> </v>
      </c>
      <c r="I1216" s="25" t="str">
        <f>IF(OR(E1216="",E1216="!!!",F1216="NEW"),"",INDEX(B1215:B$2,-1+SUMPRODUCT(MAX(ROW(E1215:E$2)*(E1216=E1215:E$2)))))</f>
        <v> </v>
      </c>
      <c r="J1216" s="25" t="str">
        <f>IF(OR(E1216="",E1216="!!!",F1216="NEW"),"",COUNTBLANK(OFFSET(A$1,,,SUMPRODUCT(MAX(ROW(E$2:E1216)*(E1216=E$2:E1216)))))-COUNTBLANK(OFFSET(A$1,,,SUMPRODUCT(MAX(ROW(E$1:E1215)*(E2=E$1:E1215))))))</f>
        <v> </v>
      </c>
      <c r="K1216" s="25" t="str">
        <f>IF(OR(E1216="",E1216="!!!",F1216="NEW"),"",INDEX(J$1:J1215,SUMPRODUCT(MAX(ROW(E$1:E1215)*(E1216=E$1:E1215)))))</f>
        <v> </v>
      </c>
      <c r="L1216" s="26"/>
    </row>
    <row r="1217" spans="1:12">
      <c r="A1217" s="20" t="s">
        <v>1152</v>
      </c>
      <c r="E1217" s="21">
        <f>IF(D1217="?OLD","!!!","")</f>
        <v/>
      </c>
      <c r="F1217" s="22" t="str">
        <f>IF(OR(E1217="",E1217="!!!"),"",IF(NOT(ISNA(VLOOKUP(E1217,E$1:E1216,1,FALSE()))),"OLD",IF(AND(E1217&lt;&gt;"",E1217&lt;&gt;"!!!"),"NEW","")))</f>
        <v> </v>
      </c>
      <c r="G1217" s="23" t="str">
        <f>IF(OR(E1217="",E1217="!!!"),"",IF(OR(J1217=0,AND(J1217=1,K1217=1),AND(J1217=1,I1217="SBJ"),AND(J1217=1,I1217=0)),"?IN_FOCUS",IF(J1217&lt;=2,"?ACTIVATED",IF(J1217&lt;&gt;"","?FAMILIAR",IF(F1217="NEW",IF(ISNA(VLOOKUP(E1217,#REF!,1,FALSE())),"?TYPE_IDENTIFIABLE","?REFERENTIAL"),"_")))))</f>
        <v> </v>
      </c>
      <c r="H1217" s="24" t="str">
        <f>IF(J1217&lt;&gt;1,"",IF(I1217="SBJ","CB","?"))</f>
        <v> </v>
      </c>
      <c r="I1217" s="25" t="str">
        <f>IF(OR(E1217="",E1217="!!!",F1217="NEW"),"",INDEX(B1216:B$2,-1+SUMPRODUCT(MAX(ROW(E1216:E$2)*(E1217=E1216:E$2)))))</f>
        <v> </v>
      </c>
      <c r="J1217" s="25" t="str">
        <f>IF(OR(E1217="",E1217="!!!",F1217="NEW"),"",COUNTBLANK(OFFSET(A$1,,,SUMPRODUCT(MAX(ROW(E$2:E1217)*(E1217=E$2:E1217)))))-COUNTBLANK(OFFSET(A$1,,,SUMPRODUCT(MAX(ROW(E$1:E1216)*(E2=E$1:E1216))))))</f>
        <v> </v>
      </c>
      <c r="K1217" s="25" t="str">
        <f>IF(OR(E1217="",E1217="!!!",F1217="NEW"),"",INDEX(J$1:J1216,SUMPRODUCT(MAX(ROW(E$1:E1216)*(E1217=E$1:E1216)))))</f>
        <v> </v>
      </c>
      <c r="L1217" s="26"/>
    </row>
    <row r="1218" spans="1:12">
      <c r="A1218" s="20" t="s">
        <v>690</v>
      </c>
      <c r="E1218" s="21">
        <f>IF(D1218="?OLD","!!!","")</f>
        <v/>
      </c>
      <c r="F1218" s="22" t="str">
        <f>IF(OR(E1218="",E1218="!!!"),"",IF(NOT(ISNA(VLOOKUP(E1218,E$1:E1217,1,FALSE()))),"OLD",IF(AND(E1218&lt;&gt;"",E1218&lt;&gt;"!!!"),"NEW","")))</f>
        <v> </v>
      </c>
      <c r="G1218" s="23" t="str">
        <f>IF(OR(E1218="",E1218="!!!"),"",IF(OR(J1218=0,AND(J1218=1,K1218=1),AND(J1218=1,I1218="SBJ"),AND(J1218=1,I1218=0)),"?IN_FOCUS",IF(J1218&lt;=2,"?ACTIVATED",IF(J1218&lt;&gt;"","?FAMILIAR",IF(F1218="NEW",IF(ISNA(VLOOKUP(E1218,#REF!,1,FALSE())),"?TYPE_IDENTIFIABLE","?REFERENTIAL"),"_")))))</f>
        <v> </v>
      </c>
      <c r="H1218" s="24" t="str">
        <f>IF(J1218&lt;&gt;1,"",IF(I1218="SBJ","CB","?"))</f>
        <v> </v>
      </c>
      <c r="I1218" s="25" t="str">
        <f>IF(OR(E1218="",E1218="!!!",F1218="NEW"),"",INDEX(B1217:B$2,-1+SUMPRODUCT(MAX(ROW(E1217:E$2)*(E1218=E1217:E$2)))))</f>
        <v> </v>
      </c>
      <c r="J1218" s="25" t="str">
        <f>IF(OR(E1218="",E1218="!!!",F1218="NEW"),"",COUNTBLANK(OFFSET(A$1,,,SUMPRODUCT(MAX(ROW(E$2:E1218)*(E1218=E$2:E1218)))))-COUNTBLANK(OFFSET(A$1,,,SUMPRODUCT(MAX(ROW(E$1:E1217)*(E2=E$1:E1217))))))</f>
        <v> </v>
      </c>
      <c r="K1218" s="25" t="str">
        <f>IF(OR(E1218="",E1218="!!!",F1218="NEW"),"",INDEX(J$1:J1217,SUMPRODUCT(MAX(ROW(E$1:E1217)*(E1218=E$1:E1217)))))</f>
        <v> </v>
      </c>
      <c r="L1218" s="26"/>
    </row>
    <row r="1219" spans="1:12">
      <c r="A1219" s="20" t="s">
        <v>1153</v>
      </c>
      <c r="B1219" s="27" t="s">
        <v>606</v>
      </c>
      <c r="C1219" s="27" t="s">
        <v>607</v>
      </c>
      <c r="D1219" s="27" t="s">
        <v>608</v>
      </c>
      <c r="E1219" s="21">
        <f>IF(D1219="?OLD","!!!","")</f>
        <v/>
      </c>
      <c r="F1219" s="22" t="str">
        <f>IF(OR(E1219="",E1219="!!!"),"",IF(NOT(ISNA(VLOOKUP(E1219,E$1:E1218,1,FALSE()))),"OLD",IF(AND(E1219&lt;&gt;"",E1219&lt;&gt;"!!!"),"NEW","")))</f>
        <v> </v>
      </c>
      <c r="G1219" s="23" t="str">
        <f>IF(OR(E1219="",E1219="!!!"),"",IF(OR(J1219=0,AND(J1219=1,K1219=1),AND(J1219=1,I1219="SBJ"),AND(J1219=1,I1219=0)),"?IN_FOCUS",IF(J1219&lt;=2,"?ACTIVATED",IF(J1219&lt;&gt;"","?FAMILIAR",IF(F1219="NEW",IF(ISNA(VLOOKUP(E1219,#REF!,1,FALSE())),"?TYPE_IDENTIFIABLE","?REFERENTIAL"),"_")))))</f>
        <v> </v>
      </c>
      <c r="H1219" s="24" t="str">
        <f>IF(J1219&lt;&gt;1,"",IF(I1219="SBJ","CB","?"))</f>
        <v> </v>
      </c>
      <c r="I1219" s="25" t="str">
        <f>IF(OR(E1219="",E1219="!!!",F1219="NEW"),"",INDEX(B1218:B$2,-1+SUMPRODUCT(MAX(ROW(E1218:E$2)*(E1219=E1218:E$2)))))</f>
        <v> </v>
      </c>
      <c r="J1219" s="25" t="str">
        <f>IF(OR(E1219="",E1219="!!!",F1219="NEW"),"",COUNTBLANK(OFFSET(A$1,,,SUMPRODUCT(MAX(ROW(E$2:E1219)*(E1219=E$2:E1219)))))-COUNTBLANK(OFFSET(A$1,,,SUMPRODUCT(MAX(ROW(E$1:E1218)*(E2=E$1:E1218))))))</f>
        <v> </v>
      </c>
      <c r="K1219" s="25" t="str">
        <f>IF(OR(E1219="",E1219="!!!",F1219="NEW"),"",INDEX(J$1:J1218,SUMPRODUCT(MAX(ROW(E$1:E1218)*(E1219=E$1:E1218)))))</f>
        <v> </v>
      </c>
      <c r="L1219" s="26"/>
    </row>
    <row r="1220" spans="1:12">
      <c r="A1220" s="20" t="s">
        <v>1025</v>
      </c>
      <c r="E1220" s="21">
        <f>IF(D1220="?OLD","!!!","")</f>
        <v/>
      </c>
      <c r="F1220" s="22" t="str">
        <f>IF(OR(E1220="",E1220="!!!"),"",IF(NOT(ISNA(VLOOKUP(E1220,E$1:E1219,1,FALSE()))),"OLD",IF(AND(E1220&lt;&gt;"",E1220&lt;&gt;"!!!"),"NEW","")))</f>
        <v> </v>
      </c>
      <c r="G1220" s="23" t="str">
        <f>IF(OR(E1220="",E1220="!!!"),"",IF(OR(J1220=0,AND(J1220=1,K1220=1),AND(J1220=1,I1220="SBJ"),AND(J1220=1,I1220=0)),"?IN_FOCUS",IF(J1220&lt;=2,"?ACTIVATED",IF(J1220&lt;&gt;"","?FAMILIAR",IF(F1220="NEW",IF(ISNA(VLOOKUP(E1220,#REF!,1,FALSE())),"?TYPE_IDENTIFIABLE","?REFERENTIAL"),"_")))))</f>
        <v> </v>
      </c>
      <c r="H1220" s="24" t="str">
        <f>IF(J1220&lt;&gt;1,"",IF(I1220="SBJ","CB","?"))</f>
        <v> </v>
      </c>
      <c r="I1220" s="25" t="str">
        <f>IF(OR(E1220="",E1220="!!!",F1220="NEW"),"",INDEX(B1219:B$2,-1+SUMPRODUCT(MAX(ROW(E1219:E$2)*(E1220=E1219:E$2)))))</f>
        <v> </v>
      </c>
      <c r="J1220" s="25" t="str">
        <f>IF(OR(E1220="",E1220="!!!",F1220="NEW"),"",COUNTBLANK(OFFSET(A$1,,,SUMPRODUCT(MAX(ROW(E$2:E1220)*(E1220=E$2:E1220)))))-COUNTBLANK(OFFSET(A$1,,,SUMPRODUCT(MAX(ROW(E$1:E1219)*(E2=E$1:E1219))))))</f>
        <v> </v>
      </c>
      <c r="K1220" s="25" t="str">
        <f>IF(OR(E1220="",E1220="!!!",F1220="NEW"),"",INDEX(J$1:J1219,SUMPRODUCT(MAX(ROW(E$1:E1219)*(E1220=E$1:E1219)))))</f>
        <v> </v>
      </c>
      <c r="L1220" s="26"/>
    </row>
    <row r="1221" spans="1:12">
      <c r="A1221" s="20" t="s">
        <v>1154</v>
      </c>
      <c r="E1221" s="21">
        <f>IF(D1221="?OLD","!!!","")</f>
        <v/>
      </c>
      <c r="F1221" s="22" t="str">
        <f>IF(OR(E1221="",E1221="!!!"),"",IF(NOT(ISNA(VLOOKUP(E1221,E$1:E1220,1,FALSE()))),"OLD",IF(AND(E1221&lt;&gt;"",E1221&lt;&gt;"!!!"),"NEW","")))</f>
        <v> </v>
      </c>
      <c r="G1221" s="23" t="str">
        <f>IF(OR(E1221="",E1221="!!!"),"",IF(OR(J1221=0,AND(J1221=1,K1221=1),AND(J1221=1,I1221="SBJ"),AND(J1221=1,I1221=0)),"?IN_FOCUS",IF(J1221&lt;=2,"?ACTIVATED",IF(J1221&lt;&gt;"","?FAMILIAR",IF(F1221="NEW",IF(ISNA(VLOOKUP(E1221,#REF!,1,FALSE())),"?TYPE_IDENTIFIABLE","?REFERENTIAL"),"_")))))</f>
        <v> </v>
      </c>
      <c r="H1221" s="24" t="str">
        <f>IF(J1221&lt;&gt;1,"",IF(I1221="SBJ","CB","?"))</f>
        <v> </v>
      </c>
      <c r="I1221" s="25" t="str">
        <f>IF(OR(E1221="",E1221="!!!",F1221="NEW"),"",INDEX(B1220:B$2,-1+SUMPRODUCT(MAX(ROW(E1220:E$2)*(E1221=E1220:E$2)))))</f>
        <v> </v>
      </c>
      <c r="J1221" s="25" t="str">
        <f>IF(OR(E1221="",E1221="!!!",F1221="NEW"),"",COUNTBLANK(OFFSET(A$1,,,SUMPRODUCT(MAX(ROW(E$2:E1221)*(E1221=E$2:E1221)))))-COUNTBLANK(OFFSET(A$1,,,SUMPRODUCT(MAX(ROW(E$1:E1220)*(E2=E$1:E1220))))))</f>
        <v> </v>
      </c>
      <c r="K1221" s="25" t="str">
        <f>IF(OR(E1221="",E1221="!!!",F1221="NEW"),"",INDEX(J$1:J1220,SUMPRODUCT(MAX(ROW(E$1:E1220)*(E1221=E$1:E1220)))))</f>
        <v> </v>
      </c>
      <c r="L1221" s="26"/>
    </row>
    <row r="1222" spans="1:12">
      <c r="A1222" s="20" t="s">
        <v>1155</v>
      </c>
      <c r="B1222" s="27" t="s">
        <v>611</v>
      </c>
      <c r="C1222" s="27" t="s">
        <v>678</v>
      </c>
      <c r="E1222" s="21">
        <f>IF(D1222="?OLD","!!!","")</f>
        <v/>
      </c>
      <c r="F1222" s="22" t="str">
        <f>IF(OR(E1222="",E1222="!!!"),"",IF(NOT(ISNA(VLOOKUP(E1222,E$1:E1221,1,FALSE()))),"OLD",IF(AND(E1222&lt;&gt;"",E1222&lt;&gt;"!!!"),"NEW","")))</f>
        <v> </v>
      </c>
      <c r="G1222" s="23" t="str">
        <f>IF(OR(E1222="",E1222="!!!"),"",IF(OR(J1222=0,AND(J1222=1,K1222=1),AND(J1222=1,I1222="SBJ"),AND(J1222=1,I1222=0)),"?IN_FOCUS",IF(J1222&lt;=2,"?ACTIVATED",IF(J1222&lt;&gt;"","?FAMILIAR",IF(F1222="NEW",IF(ISNA(VLOOKUP(E1222,#REF!,1,FALSE())),"?TYPE_IDENTIFIABLE","?REFERENTIAL"),"_")))))</f>
        <v> </v>
      </c>
      <c r="H1222" s="24" t="str">
        <f>IF(J1222&lt;&gt;1,"",IF(I1222="SBJ","CB","?"))</f>
        <v> </v>
      </c>
      <c r="I1222" s="25" t="str">
        <f>IF(OR(E1222="",E1222="!!!",F1222="NEW"),"",INDEX(B1221:B$2,-1+SUMPRODUCT(MAX(ROW(E1221:E$2)*(E1222=E1221:E$2)))))</f>
        <v> </v>
      </c>
      <c r="J1222" s="25" t="str">
        <f>IF(OR(E1222="",E1222="!!!",F1222="NEW"),"",COUNTBLANK(OFFSET(A$1,,,SUMPRODUCT(MAX(ROW(E$2:E1222)*(E1222=E$2:E1222)))))-COUNTBLANK(OFFSET(A$1,,,SUMPRODUCT(MAX(ROW(E$1:E1221)*(E2=E$1:E1221))))))</f>
        <v> </v>
      </c>
      <c r="K1222" s="25" t="str">
        <f>IF(OR(E1222="",E1222="!!!",F1222="NEW"),"",INDEX(J$1:J1221,SUMPRODUCT(MAX(ROW(E$1:E1221)*(E1222=E$1:E1221)))))</f>
        <v> </v>
      </c>
      <c r="L1222" s="26"/>
    </row>
    <row r="1223" spans="1:12">
      <c r="A1223" s="20" t="s">
        <v>953</v>
      </c>
      <c r="B1223" s="27" t="s">
        <v>664</v>
      </c>
      <c r="C1223" s="27" t="s">
        <v>626</v>
      </c>
      <c r="E1223" s="21">
        <f>IF(D1223="?OLD","!!!","")</f>
        <v/>
      </c>
      <c r="F1223" s="22" t="str">
        <f>IF(OR(E1223="",E1223="!!!"),"",IF(NOT(ISNA(VLOOKUP(E1223,E$1:E1222,1,FALSE()))),"OLD",IF(AND(E1223&lt;&gt;"",E1223&lt;&gt;"!!!"),"NEW","")))</f>
        <v> </v>
      </c>
      <c r="G1223" s="23" t="str">
        <f>IF(OR(E1223="",E1223="!!!"),"",IF(OR(J1223=0,AND(J1223=1,K1223=1),AND(J1223=1,I1223="SBJ"),AND(J1223=1,I1223=0)),"?IN_FOCUS",IF(J1223&lt;=2,"?ACTIVATED",IF(J1223&lt;&gt;"","?FAMILIAR",IF(F1223="NEW",IF(ISNA(VLOOKUP(E1223,#REF!,1,FALSE())),"?TYPE_IDENTIFIABLE","?REFERENTIAL"),"_")))))</f>
        <v> </v>
      </c>
      <c r="H1223" s="24" t="str">
        <f>IF(J1223&lt;&gt;1,"",IF(I1223="SBJ","CB","?"))</f>
        <v> </v>
      </c>
      <c r="I1223" s="25" t="str">
        <f>IF(OR(E1223="",E1223="!!!",F1223="NEW"),"",INDEX(B1222:B$2,-1+SUMPRODUCT(MAX(ROW(E1222:E$2)*(E1223=E1222:E$2)))))</f>
        <v> </v>
      </c>
      <c r="J1223" s="25" t="str">
        <f>IF(OR(E1223="",E1223="!!!",F1223="NEW"),"",COUNTBLANK(OFFSET(A$1,,,SUMPRODUCT(MAX(ROW(E$2:E1223)*(E1223=E$2:E1223)))))-COUNTBLANK(OFFSET(A$1,,,SUMPRODUCT(MAX(ROW(E$1:E1222)*(E2=E$1:E1222))))))</f>
        <v> </v>
      </c>
      <c r="K1223" s="25" t="str">
        <f>IF(OR(E1223="",E1223="!!!",F1223="NEW"),"",INDEX(J$1:J1222,SUMPRODUCT(MAX(ROW(E$1:E1222)*(E1223=E$1:E1222)))))</f>
        <v> </v>
      </c>
      <c r="L1223" s="26"/>
    </row>
    <row r="1224" spans="1:12">
      <c r="A1224" s="20" t="s">
        <v>681</v>
      </c>
      <c r="B1224" s="27" t="s">
        <v>625</v>
      </c>
      <c r="C1224" s="27" t="s">
        <v>622</v>
      </c>
      <c r="E1224" s="21">
        <f>IF(D1224="?OLD","!!!","")</f>
        <v/>
      </c>
      <c r="F1224" s="22" t="str">
        <f>IF(OR(E1224="",E1224="!!!"),"",IF(NOT(ISNA(VLOOKUP(E1224,E$1:E1223,1,FALSE()))),"OLD",IF(AND(E1224&lt;&gt;"",E1224&lt;&gt;"!!!"),"NEW","")))</f>
        <v> </v>
      </c>
      <c r="G1224" s="23" t="str">
        <f>IF(OR(E1224="",E1224="!!!"),"",IF(OR(J1224=0,AND(J1224=1,K1224=1),AND(J1224=1,I1224="SBJ"),AND(J1224=1,I1224=0)),"?IN_FOCUS",IF(J1224&lt;=2,"?ACTIVATED",IF(J1224&lt;&gt;"","?FAMILIAR",IF(F1224="NEW",IF(ISNA(VLOOKUP(E1224,#REF!,1,FALSE())),"?TYPE_IDENTIFIABLE","?REFERENTIAL"),"_")))))</f>
        <v> </v>
      </c>
      <c r="H1224" s="24" t="str">
        <f>IF(J1224&lt;&gt;1,"",IF(I1224="SBJ","CB","?"))</f>
        <v> </v>
      </c>
      <c r="I1224" s="25" t="str">
        <f>IF(OR(E1224="",E1224="!!!",F1224="NEW"),"",INDEX(B1223:B$2,-1+SUMPRODUCT(MAX(ROW(E1223:E$2)*(E1224=E1223:E$2)))))</f>
        <v> </v>
      </c>
      <c r="J1224" s="25" t="str">
        <f>IF(OR(E1224="",E1224="!!!",F1224="NEW"),"",COUNTBLANK(OFFSET(A$1,,,SUMPRODUCT(MAX(ROW(E$2:E1224)*(E1224=E$2:E1224)))))-COUNTBLANK(OFFSET(A$1,,,SUMPRODUCT(MAX(ROW(E$1:E1223)*(E2=E$1:E1223))))))</f>
        <v> </v>
      </c>
      <c r="K1224" s="25" t="str">
        <f>IF(OR(E1224="",E1224="!!!",F1224="NEW"),"",INDEX(J$1:J1223,SUMPRODUCT(MAX(ROW(E$1:E1223)*(E1224=E$1:E1223)))))</f>
        <v> </v>
      </c>
      <c r="L1224" s="26"/>
    </row>
    <row r="1225" spans="1:12">
      <c r="A1225" s="20" t="s">
        <v>1140</v>
      </c>
      <c r="E1225" s="21">
        <f>IF(D1225="?OLD","!!!","")</f>
        <v/>
      </c>
      <c r="F1225" s="22" t="str">
        <f>IF(OR(E1225="",E1225="!!!"),"",IF(NOT(ISNA(VLOOKUP(E1225,E$1:E1224,1,FALSE()))),"OLD",IF(AND(E1225&lt;&gt;"",E1225&lt;&gt;"!!!"),"NEW","")))</f>
        <v> </v>
      </c>
      <c r="G1225" s="23" t="str">
        <f>IF(OR(E1225="",E1225="!!!"),"",IF(OR(J1225=0,AND(J1225=1,K1225=1),AND(J1225=1,I1225="SBJ"),AND(J1225=1,I1225=0)),"?IN_FOCUS",IF(J1225&lt;=2,"?ACTIVATED",IF(J1225&lt;&gt;"","?FAMILIAR",IF(F1225="NEW",IF(ISNA(VLOOKUP(E1225,#REF!,1,FALSE())),"?TYPE_IDENTIFIABLE","?REFERENTIAL"),"_")))))</f>
        <v> </v>
      </c>
      <c r="H1225" s="24" t="str">
        <f>IF(J1225&lt;&gt;1,"",IF(I1225="SBJ","CB","?"))</f>
        <v> </v>
      </c>
      <c r="I1225" s="25" t="str">
        <f>IF(OR(E1225="",E1225="!!!",F1225="NEW"),"",INDEX(B1224:B$2,-1+SUMPRODUCT(MAX(ROW(E1224:E$2)*(E1225=E1224:E$2)))))</f>
        <v> </v>
      </c>
      <c r="J1225" s="25" t="str">
        <f>IF(OR(E1225="",E1225="!!!",F1225="NEW"),"",COUNTBLANK(OFFSET(A$1,,,SUMPRODUCT(MAX(ROW(E$2:E1225)*(E1225=E$2:E1225)))))-COUNTBLANK(OFFSET(A$1,,,SUMPRODUCT(MAX(ROW(E$1:E1224)*(E2=E$1:E1224))))))</f>
        <v> </v>
      </c>
      <c r="K1225" s="25" t="str">
        <f>IF(OR(E1225="",E1225="!!!",F1225="NEW"),"",INDEX(J$1:J1224,SUMPRODUCT(MAX(ROW(E$1:E1224)*(E1225=E$1:E1224)))))</f>
        <v> </v>
      </c>
      <c r="L1225" s="26"/>
    </row>
    <row r="1226" spans="1:12">
      <c r="A1226" s="20" t="s">
        <v>617</v>
      </c>
      <c r="E1226" s="21">
        <f>IF(D1226="?OLD","!!!","")</f>
        <v/>
      </c>
      <c r="F1226" s="22" t="str">
        <f>IF(OR(E1226="",E1226="!!!"),"",IF(NOT(ISNA(VLOOKUP(E1226,E$1:E1225,1,FALSE()))),"OLD",IF(AND(E1226&lt;&gt;"",E1226&lt;&gt;"!!!"),"NEW","")))</f>
        <v> </v>
      </c>
      <c r="G1226" s="23" t="str">
        <f>IF(OR(E1226="",E1226="!!!"),"",IF(OR(J1226=0,AND(J1226=1,K1226=1),AND(J1226=1,I1226="SBJ"),AND(J1226=1,I1226=0)),"?IN_FOCUS",IF(J1226&lt;=2,"?ACTIVATED",IF(J1226&lt;&gt;"","?FAMILIAR",IF(F1226="NEW",IF(ISNA(VLOOKUP(E1226,#REF!,1,FALSE())),"?TYPE_IDENTIFIABLE","?REFERENTIAL"),"_")))))</f>
        <v> </v>
      </c>
      <c r="H1226" s="24" t="str">
        <f>IF(J1226&lt;&gt;1,"",IF(I1226="SBJ","CB","?"))</f>
        <v> </v>
      </c>
      <c r="I1226" s="25" t="str">
        <f>IF(OR(E1226="",E1226="!!!",F1226="NEW"),"",INDEX(B1225:B$2,-1+SUMPRODUCT(MAX(ROW(E1225:E$2)*(E1226=E1225:E$2)))))</f>
        <v> </v>
      </c>
      <c r="J1226" s="25" t="str">
        <f>IF(OR(E1226="",E1226="!!!",F1226="NEW"),"",COUNTBLANK(OFFSET(A$1,,,SUMPRODUCT(MAX(ROW(E$2:E1226)*(E1226=E$2:E1226)))))-COUNTBLANK(OFFSET(A$1,,,SUMPRODUCT(MAX(ROW(E$1:E1225)*(E2=E$1:E1225))))))</f>
        <v> </v>
      </c>
      <c r="K1226" s="25" t="str">
        <f>IF(OR(E1226="",E1226="!!!",F1226="NEW"),"",INDEX(J$1:J1225,SUMPRODUCT(MAX(ROW(E$1:E1225)*(E1226=E$1:E1225)))))</f>
        <v> </v>
      </c>
      <c r="L1226" s="26"/>
    </row>
    <row r="1227" spans="1:12">
      <c r="A1227" s="20" t="s">
        <v>690</v>
      </c>
      <c r="E1227" s="21">
        <f>IF(D1227="?OLD","!!!","")</f>
        <v/>
      </c>
      <c r="F1227" s="22" t="str">
        <f>IF(OR(E1227="",E1227="!!!"),"",IF(NOT(ISNA(VLOOKUP(E1227,E$1:E1226,1,FALSE()))),"OLD",IF(AND(E1227&lt;&gt;"",E1227&lt;&gt;"!!!"),"NEW","")))</f>
        <v> </v>
      </c>
      <c r="G1227" s="23" t="str">
        <f>IF(OR(E1227="",E1227="!!!"),"",IF(OR(J1227=0,AND(J1227=1,K1227=1),AND(J1227=1,I1227="SBJ"),AND(J1227=1,I1227=0)),"?IN_FOCUS",IF(J1227&lt;=2,"?ACTIVATED",IF(J1227&lt;&gt;"","?FAMILIAR",IF(F1227="NEW",IF(ISNA(VLOOKUP(E1227,#REF!,1,FALSE())),"?TYPE_IDENTIFIABLE","?REFERENTIAL"),"_")))))</f>
        <v> </v>
      </c>
      <c r="H1227" s="24" t="str">
        <f>IF(J1227&lt;&gt;1,"",IF(I1227="SBJ","CB","?"))</f>
        <v> </v>
      </c>
      <c r="I1227" s="25" t="str">
        <f>IF(OR(E1227="",E1227="!!!",F1227="NEW"),"",INDEX(B1226:B$2,-1+SUMPRODUCT(MAX(ROW(E1226:E$2)*(E1227=E1226:E$2)))))</f>
        <v> </v>
      </c>
      <c r="J1227" s="25" t="str">
        <f>IF(OR(E1227="",E1227="!!!",F1227="NEW"),"",COUNTBLANK(OFFSET(A$1,,,SUMPRODUCT(MAX(ROW(E$2:E1227)*(E1227=E$2:E1227)))))-COUNTBLANK(OFFSET(A$1,,,SUMPRODUCT(MAX(ROW(E$1:E1226)*(E2=E$1:E1226))))))</f>
        <v> </v>
      </c>
      <c r="K1227" s="25" t="str">
        <f>IF(OR(E1227="",E1227="!!!",F1227="NEW"),"",INDEX(J$1:J1226,SUMPRODUCT(MAX(ROW(E$1:E1226)*(E1227=E$1:E1226)))))</f>
        <v> </v>
      </c>
      <c r="L1227" s="26"/>
    </row>
    <row r="1228" spans="1:12">
      <c r="A1228" s="20" t="s">
        <v>681</v>
      </c>
      <c r="B1228" s="27" t="s">
        <v>606</v>
      </c>
      <c r="C1228" s="27" t="s">
        <v>607</v>
      </c>
      <c r="D1228" s="27" t="s">
        <v>608</v>
      </c>
      <c r="E1228" s="21">
        <f>IF(D1228="?OLD","!!!","")</f>
        <v/>
      </c>
      <c r="F1228" s="22" t="str">
        <f>IF(OR(E1228="",E1228="!!!"),"",IF(NOT(ISNA(VLOOKUP(E1228,E$1:E1227,1,FALSE()))),"OLD",IF(AND(E1228&lt;&gt;"",E1228&lt;&gt;"!!!"),"NEW","")))</f>
        <v> </v>
      </c>
      <c r="G1228" s="23" t="str">
        <f>IF(OR(E1228="",E1228="!!!"),"",IF(OR(J1228=0,AND(J1228=1,K1228=1),AND(J1228=1,I1228="SBJ"),AND(J1228=1,I1228=0)),"?IN_FOCUS",IF(J1228&lt;=2,"?ACTIVATED",IF(J1228&lt;&gt;"","?FAMILIAR",IF(F1228="NEW",IF(ISNA(VLOOKUP(E1228,#REF!,1,FALSE())),"?TYPE_IDENTIFIABLE","?REFERENTIAL"),"_")))))</f>
        <v> </v>
      </c>
      <c r="H1228" s="24" t="str">
        <f>IF(J1228&lt;&gt;1,"",IF(I1228="SBJ","CB","?"))</f>
        <v> </v>
      </c>
      <c r="I1228" s="25" t="str">
        <f>IF(OR(E1228="",E1228="!!!",F1228="NEW"),"",INDEX(B1227:B$2,-1+SUMPRODUCT(MAX(ROW(E1227:E$2)*(E1228=E1227:E$2)))))</f>
        <v> </v>
      </c>
      <c r="J1228" s="25" t="str">
        <f>IF(OR(E1228="",E1228="!!!",F1228="NEW"),"",COUNTBLANK(OFFSET(A$1,,,SUMPRODUCT(MAX(ROW(E$2:E1228)*(E1228=E$2:E1228)))))-COUNTBLANK(OFFSET(A$1,,,SUMPRODUCT(MAX(ROW(E$1:E1227)*(E2=E$1:E1227))))))</f>
        <v> </v>
      </c>
      <c r="K1228" s="25" t="str">
        <f>IF(OR(E1228="",E1228="!!!",F1228="NEW"),"",INDEX(J$1:J1227,SUMPRODUCT(MAX(ROW(E$1:E1227)*(E1228=E$1:E1227)))))</f>
        <v> </v>
      </c>
      <c r="L1228" s="26"/>
    </row>
    <row r="1229" spans="1:12">
      <c r="A1229" s="20" t="s">
        <v>1025</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t="s">
        <v>681</v>
      </c>
      <c r="B1230" s="27" t="s">
        <v>611</v>
      </c>
      <c r="C1230" s="27" t="s">
        <v>622</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617</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t="s">
        <v>926</v>
      </c>
      <c r="E1232" s="21">
        <f>IF(D1232="?OLD","!!!","")</f>
        <v/>
      </c>
      <c r="F1232" s="22" t="str">
        <f>IF(OR(E1232="",E1232="!!!"),"",IF(NOT(ISNA(VLOOKUP(E1232,E$1:E1231,1,FALSE()))),"OLD",IF(AND(E1232&lt;&gt;"",E1232&lt;&gt;"!!!"),"NEW","")))</f>
        <v> </v>
      </c>
      <c r="G1232" s="23" t="str">
        <f>IF(OR(E1232="",E1232="!!!"),"",IF(OR(J1232=0,AND(J1232=1,K1232=1),AND(J1232=1,I1232="SBJ"),AND(J1232=1,I1232=0)),"?IN_FOCUS",IF(J1232&lt;=2,"?ACTIVATED",IF(J1232&lt;&gt;"","?FAMILIAR",IF(F1232="NEW",IF(ISNA(VLOOKUP(E1232,#REF!,1,FALSE())),"?TYPE_IDENTIFIABLE","?REFERENTIAL"),"_")))))</f>
        <v> </v>
      </c>
      <c r="H1232" s="24" t="str">
        <f>IF(J1232&lt;&gt;1,"",IF(I1232="SBJ","CB","?"))</f>
        <v> </v>
      </c>
      <c r="I1232" s="25" t="str">
        <f>IF(OR(E1232="",E1232="!!!",F1232="NEW"),"",INDEX(B1231:B$2,-1+SUMPRODUCT(MAX(ROW(E1231:E$2)*(E1232=E1231:E$2)))))</f>
        <v> </v>
      </c>
      <c r="J1232" s="25" t="str">
        <f>IF(OR(E1232="",E1232="!!!",F1232="NEW"),"",COUNTBLANK(OFFSET(A$1,,,SUMPRODUCT(MAX(ROW(E$2:E1232)*(E1232=E$2:E1232)))))-COUNTBLANK(OFFSET(A$1,,,SUMPRODUCT(MAX(ROW(E$1:E1231)*(E2=E$1:E1231))))))</f>
        <v> </v>
      </c>
      <c r="K1232" s="25" t="str">
        <f>IF(OR(E1232="",E1232="!!!",F1232="NEW"),"",INDEX(J$1:J1231,SUMPRODUCT(MAX(ROW(E$1:E1231)*(E1232=E$1:E1231)))))</f>
        <v> </v>
      </c>
      <c r="L1232" s="26"/>
    </row>
    <row r="1233" spans="1:12">
      <c r="A1233" s="20" t="s">
        <v>1156</v>
      </c>
      <c r="E1233" s="21">
        <f>IF(D1233="?OLD","!!!","")</f>
        <v/>
      </c>
      <c r="F1233" s="22" t="str">
        <f>IF(OR(E1233="",E1233="!!!"),"",IF(NOT(ISNA(VLOOKUP(E1233,E$1:E1232,1,FALSE()))),"OLD",IF(AND(E1233&lt;&gt;"",E1233&lt;&gt;"!!!"),"NEW","")))</f>
        <v> </v>
      </c>
      <c r="G1233" s="23" t="str">
        <f>IF(OR(E1233="",E1233="!!!"),"",IF(OR(J1233=0,AND(J1233=1,K1233=1),AND(J1233=1,I1233="SBJ"),AND(J1233=1,I1233=0)),"?IN_FOCUS",IF(J1233&lt;=2,"?ACTIVATED",IF(J1233&lt;&gt;"","?FAMILIAR",IF(F1233="NEW",IF(ISNA(VLOOKUP(E1233,#REF!,1,FALSE())),"?TYPE_IDENTIFIABLE","?REFERENTIAL"),"_")))))</f>
        <v> </v>
      </c>
      <c r="H1233" s="24" t="str">
        <f>IF(J1233&lt;&gt;1,"",IF(I1233="SBJ","CB","?"))</f>
        <v> </v>
      </c>
      <c r="I1233" s="25" t="str">
        <f>IF(OR(E1233="",E1233="!!!",F1233="NEW"),"",INDEX(B1232:B$2,-1+SUMPRODUCT(MAX(ROW(E1232:E$2)*(E1233=E1232:E$2)))))</f>
        <v> </v>
      </c>
      <c r="J1233" s="25" t="str">
        <f>IF(OR(E1233="",E1233="!!!",F1233="NEW"),"",COUNTBLANK(OFFSET(A$1,,,SUMPRODUCT(MAX(ROW(E$2:E1233)*(E1233=E$2:E1233)))))-COUNTBLANK(OFFSET(A$1,,,SUMPRODUCT(MAX(ROW(E$1:E1232)*(E2=E$1:E1232))))))</f>
        <v> </v>
      </c>
      <c r="K1233" s="25" t="str">
        <f>IF(OR(E1233="",E1233="!!!",F1233="NEW"),"",INDEX(J$1:J1232,SUMPRODUCT(MAX(ROW(E$1:E1232)*(E1233=E$1:E1232)))))</f>
        <v> </v>
      </c>
      <c r="L1233" s="26"/>
    </row>
    <row r="1234" spans="1:12">
      <c r="A1234" s="20" t="s">
        <v>710</v>
      </c>
      <c r="B1234" s="27" t="s">
        <v>636</v>
      </c>
      <c r="C1234" s="27" t="s">
        <v>614</v>
      </c>
      <c r="D1234" s="27" t="s">
        <v>608</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t="s">
        <v>938</v>
      </c>
      <c r="E1235" s="21">
        <f>IF(D1235="?OLD","!!!","")</f>
        <v/>
      </c>
      <c r="F1235" s="22" t="str">
        <f>IF(OR(E1235="",E1235="!!!"),"",IF(NOT(ISNA(VLOOKUP(E1235,E$1:E1234,1,FALSE()))),"OLD",IF(AND(E1235&lt;&gt;"",E1235&lt;&gt;"!!!"),"NEW","")))</f>
        <v> </v>
      </c>
      <c r="G1235" s="23" t="str">
        <f>IF(OR(E1235="",E1235="!!!"),"",IF(OR(J1235=0,AND(J1235=1,K1235=1),AND(J1235=1,I1235="SBJ"),AND(J1235=1,I1235=0)),"?IN_FOCUS",IF(J1235&lt;=2,"?ACTIVATED",IF(J1235&lt;&gt;"","?FAMILIAR",IF(F1235="NEW",IF(ISNA(VLOOKUP(E1235,#REF!,1,FALSE())),"?TYPE_IDENTIFIABLE","?REFERENTIAL"),"_")))))</f>
        <v> </v>
      </c>
      <c r="H1235" s="24" t="str">
        <f>IF(J1235&lt;&gt;1,"",IF(I1235="SBJ","CB","?"))</f>
        <v> </v>
      </c>
      <c r="I1235" s="25" t="str">
        <f>IF(OR(E1235="",E1235="!!!",F1235="NEW"),"",INDEX(B1234:B$2,-1+SUMPRODUCT(MAX(ROW(E1234:E$2)*(E1235=E1234:E$2)))))</f>
        <v> </v>
      </c>
      <c r="J1235" s="25" t="str">
        <f>IF(OR(E1235="",E1235="!!!",F1235="NEW"),"",COUNTBLANK(OFFSET(A$1,,,SUMPRODUCT(MAX(ROW(E$2:E1235)*(E1235=E$2:E1235)))))-COUNTBLANK(OFFSET(A$1,,,SUMPRODUCT(MAX(ROW(E$1:E1234)*(E2=E$1:E1234))))))</f>
        <v> </v>
      </c>
      <c r="K1235" s="25" t="str">
        <f>IF(OR(E1235="",E1235="!!!",F1235="NEW"),"",INDEX(J$1:J1234,SUMPRODUCT(MAX(ROW(E$1:E1234)*(E1235=E$1:E1234)))))</f>
        <v> </v>
      </c>
      <c r="L1235" s="26"/>
    </row>
    <row r="1236" spans="1:12">
      <c r="A1236" s="20" t="s">
        <v>615</v>
      </c>
      <c r="B1236" s="27" t="s">
        <v>653</v>
      </c>
      <c r="C1236" s="27" t="s">
        <v>685</v>
      </c>
      <c r="E1236" s="21">
        <f>IF(D1236="?OLD","!!!","")</f>
        <v/>
      </c>
      <c r="F1236" s="22" t="str">
        <f>IF(OR(E1236="",E1236="!!!"),"",IF(NOT(ISNA(VLOOKUP(E1236,E$1:E1235,1,FALSE()))),"OLD",IF(AND(E1236&lt;&gt;"",E1236&lt;&gt;"!!!"),"NEW","")))</f>
        <v> </v>
      </c>
      <c r="G1236" s="23" t="str">
        <f>IF(OR(E1236="",E1236="!!!"),"",IF(OR(J1236=0,AND(J1236=1,K1236=1),AND(J1236=1,I1236="SBJ"),AND(J1236=1,I1236=0)),"?IN_FOCUS",IF(J1236&lt;=2,"?ACTIVATED",IF(J1236&lt;&gt;"","?FAMILIAR",IF(F1236="NEW",IF(ISNA(VLOOKUP(E1236,#REF!,1,FALSE())),"?TYPE_IDENTIFIABLE","?REFERENTIAL"),"_")))))</f>
        <v> </v>
      </c>
      <c r="H1236" s="24" t="str">
        <f>IF(J1236&lt;&gt;1,"",IF(I1236="SBJ","CB","?"))</f>
        <v> </v>
      </c>
      <c r="I1236" s="25" t="str">
        <f>IF(OR(E1236="",E1236="!!!",F1236="NEW"),"",INDEX(B1235:B$2,-1+SUMPRODUCT(MAX(ROW(E1235:E$2)*(E1236=E1235:E$2)))))</f>
        <v> </v>
      </c>
      <c r="J1236" s="25" t="str">
        <f>IF(OR(E1236="",E1236="!!!",F1236="NEW"),"",COUNTBLANK(OFFSET(A$1,,,SUMPRODUCT(MAX(ROW(E$2:E1236)*(E1236=E$2:E1236)))))-COUNTBLANK(OFFSET(A$1,,,SUMPRODUCT(MAX(ROW(E$1:E1235)*(E2=E$1:E1235))))))</f>
        <v> </v>
      </c>
      <c r="K1236" s="25" t="str">
        <f>IF(OR(E1236="",E1236="!!!",F1236="NEW"),"",INDEX(J$1:J1235,SUMPRODUCT(MAX(ROW(E$1:E1235)*(E1236=E$1:E1235)))))</f>
        <v> </v>
      </c>
      <c r="L1236" s="26"/>
    </row>
    <row r="1237" spans="1:12">
      <c r="A1237" s="20" t="s">
        <v>633</v>
      </c>
      <c r="E1237" s="21">
        <f>IF(D1237="?OLD","!!!","")</f>
        <v/>
      </c>
      <c r="F1237" s="22" t="str">
        <f>IF(OR(E1237="",E1237="!!!"),"",IF(NOT(ISNA(VLOOKUP(E1237,E$1:E1236,1,FALSE()))),"OLD",IF(AND(E1237&lt;&gt;"",E1237&lt;&gt;"!!!"),"NEW","")))</f>
        <v> </v>
      </c>
      <c r="G1237" s="23" t="str">
        <f>IF(OR(E1237="",E1237="!!!"),"",IF(OR(J1237=0,AND(J1237=1,K1237=1),AND(J1237=1,I1237="SBJ"),AND(J1237=1,I1237=0)),"?IN_FOCUS",IF(J1237&lt;=2,"?ACTIVATED",IF(J1237&lt;&gt;"","?FAMILIAR",IF(F1237="NEW",IF(ISNA(VLOOKUP(E1237,#REF!,1,FALSE())),"?TYPE_IDENTIFIABLE","?REFERENTIAL"),"_")))))</f>
        <v> </v>
      </c>
      <c r="H1237" s="24" t="str">
        <f>IF(J1237&lt;&gt;1,"",IF(I1237="SBJ","CB","?"))</f>
        <v> </v>
      </c>
      <c r="I1237" s="25" t="str">
        <f>IF(OR(E1237="",E1237="!!!",F1237="NEW"),"",INDEX(B1236:B$2,-1+SUMPRODUCT(MAX(ROW(E1236:E$2)*(E1237=E1236:E$2)))))</f>
        <v> </v>
      </c>
      <c r="J1237" s="25" t="str">
        <f>IF(OR(E1237="",E1237="!!!",F1237="NEW"),"",COUNTBLANK(OFFSET(A$1,,,SUMPRODUCT(MAX(ROW(E$2:E1237)*(E1237=E$2:E1237)))))-COUNTBLANK(OFFSET(A$1,,,SUMPRODUCT(MAX(ROW(E$1:E1236)*(E2=E$1:E1236))))))</f>
        <v> </v>
      </c>
      <c r="K1237" s="25" t="str">
        <f>IF(OR(E1237="",E1237="!!!",F1237="NEW"),"",INDEX(J$1:J1236,SUMPRODUCT(MAX(ROW(E$1:E1236)*(E1237=E$1:E1236)))))</f>
        <v> </v>
      </c>
      <c r="L1237" s="26"/>
    </row>
    <row r="1238" spans="1:12">
      <c r="A1238" s="20"/>
    </row>
    <row r="1239" spans="1:12">
      <c r="A1239" s="20" t="s">
        <v>1157</v>
      </c>
    </row>
    <row r="1240" spans="1:12">
      <c r="A1240" s="20" t="s">
        <v>769</v>
      </c>
      <c r="B1240" s="27" t="s">
        <v>636</v>
      </c>
      <c r="C1240" s="27" t="s">
        <v>614</v>
      </c>
      <c r="D1240" s="27" t="s">
        <v>608</v>
      </c>
      <c r="E1240" s="21">
        <f>IF(D1240="?OLD","!!!","")</f>
        <v/>
      </c>
      <c r="F1240" s="22" t="str">
        <f>IF(OR(E1240="",E1240="!!!"),"",IF(NOT(ISNA(VLOOKUP(E1240,E$1:E1239,1,FALSE()))),"OLD",IF(AND(E1240&lt;&gt;"",E1240&lt;&gt;"!!!"),"NEW","")))</f>
        <v> </v>
      </c>
      <c r="G1240" s="23" t="str">
        <f>IF(OR(E1240="",E1240="!!!"),"",IF(OR(J1240=0,AND(J1240=1,K1240=1),AND(J1240=1,I1240="SBJ"),AND(J1240=1,I1240=0)),"?IN_FOCUS",IF(J1240&lt;=2,"?ACTIVATED",IF(J1240&lt;&gt;"","?FAMILIAR",IF(F1240="NEW",IF(ISNA(VLOOKUP(E1240,#REF!,1,FALSE())),"?TYPE_IDENTIFIABLE","?REFERENTIAL"),"_")))))</f>
        <v> </v>
      </c>
      <c r="H1240" s="24" t="str">
        <f>IF(J1240&lt;&gt;1,"",IF(I1240="SBJ","CB","?"))</f>
        <v> </v>
      </c>
      <c r="I1240" s="25" t="str">
        <f>IF(OR(E1240="",E1240="!!!",F1240="NEW"),"",INDEX(B1239:B$2,-1+SUMPRODUCT(MAX(ROW(E1239:E$2)*(E1240=E1239:E$2)))))</f>
        <v> </v>
      </c>
      <c r="J1240" s="25" t="str">
        <f>IF(OR(E1240="",E1240="!!!",F1240="NEW"),"",COUNTBLANK(OFFSET(A$1,,,SUMPRODUCT(MAX(ROW(E$2:E1240)*(E1240=E$2:E1240)))))-COUNTBLANK(OFFSET(A$1,,,SUMPRODUCT(MAX(ROW(E$1:E1239)*(E2=E$1:E1239))))))</f>
        <v> </v>
      </c>
      <c r="K1240" s="25" t="str">
        <f>IF(OR(E1240="",E1240="!!!",F1240="NEW"),"",INDEX(J$1:J1239,SUMPRODUCT(MAX(ROW(E$1:E1239)*(E1240=E$1:E1239)))))</f>
        <v> </v>
      </c>
      <c r="L1240" s="26"/>
    </row>
    <row r="1241" spans="1:12">
      <c r="A1241" s="20" t="s">
        <v>1158</v>
      </c>
      <c r="E1241" s="21">
        <f>IF(D1241="?OLD","!!!","")</f>
        <v/>
      </c>
      <c r="F1241" s="22" t="str">
        <f>IF(OR(E1241="",E1241="!!!"),"",IF(NOT(ISNA(VLOOKUP(E1241,E$1:E1240,1,FALSE()))),"OLD",IF(AND(E1241&lt;&gt;"",E1241&lt;&gt;"!!!"),"NEW","")))</f>
        <v> </v>
      </c>
      <c r="G1241" s="23" t="str">
        <f>IF(OR(E1241="",E1241="!!!"),"",IF(OR(J1241=0,AND(J1241=1,K1241=1),AND(J1241=1,I1241="SBJ"),AND(J1241=1,I1241=0)),"?IN_FOCUS",IF(J1241&lt;=2,"?ACTIVATED",IF(J1241&lt;&gt;"","?FAMILIAR",IF(F1241="NEW",IF(ISNA(VLOOKUP(E1241,#REF!,1,FALSE())),"?TYPE_IDENTIFIABLE","?REFERENTIAL"),"_")))))</f>
        <v> </v>
      </c>
      <c r="H1241" s="24" t="str">
        <f>IF(J1241&lt;&gt;1,"",IF(I1241="SBJ","CB","?"))</f>
        <v> </v>
      </c>
      <c r="I1241" s="25" t="str">
        <f>IF(OR(E1241="",E1241="!!!",F1241="NEW"),"",INDEX(B1240:B$2,-1+SUMPRODUCT(MAX(ROW(E1240:E$2)*(E1241=E1240:E$2)))))</f>
        <v> </v>
      </c>
      <c r="J1241" s="25" t="str">
        <f>IF(OR(E1241="",E1241="!!!",F1241="NEW"),"",COUNTBLANK(OFFSET(A$1,,,SUMPRODUCT(MAX(ROW(E$2:E1241)*(E1241=E$2:E1241)))))-COUNTBLANK(OFFSET(A$1,,,SUMPRODUCT(MAX(ROW(E$1:E1240)*(E2=E$1:E1240))))))</f>
        <v> </v>
      </c>
      <c r="K1241" s="25" t="str">
        <f>IF(OR(E1241="",E1241="!!!",F1241="NEW"),"",INDEX(J$1:J1240,SUMPRODUCT(MAX(ROW(E$1:E1240)*(E1241=E$1:E1240)))))</f>
        <v> </v>
      </c>
      <c r="L1241" s="26"/>
    </row>
    <row r="1242" spans="1:12">
      <c r="A1242" s="20" t="s">
        <v>1002</v>
      </c>
      <c r="E1242" s="21">
        <f>IF(D1242="?OLD","!!!","")</f>
        <v/>
      </c>
      <c r="F1242" s="22" t="str">
        <f>IF(OR(E1242="",E1242="!!!"),"",IF(NOT(ISNA(VLOOKUP(E1242,E$1:E1241,1,FALSE()))),"OLD",IF(AND(E1242&lt;&gt;"",E1242&lt;&gt;"!!!"),"NEW","")))</f>
        <v> </v>
      </c>
      <c r="G1242" s="23" t="str">
        <f>IF(OR(E1242="",E1242="!!!"),"",IF(OR(J1242=0,AND(J1242=1,K1242=1),AND(J1242=1,I1242="SBJ"),AND(J1242=1,I1242=0)),"?IN_FOCUS",IF(J1242&lt;=2,"?ACTIVATED",IF(J1242&lt;&gt;"","?FAMILIAR",IF(F1242="NEW",IF(ISNA(VLOOKUP(E1242,#REF!,1,FALSE())),"?TYPE_IDENTIFIABLE","?REFERENTIAL"),"_")))))</f>
        <v> </v>
      </c>
      <c r="H1242" s="24" t="str">
        <f>IF(J1242&lt;&gt;1,"",IF(I1242="SBJ","CB","?"))</f>
        <v> </v>
      </c>
      <c r="I1242" s="25" t="str">
        <f>IF(OR(E1242="",E1242="!!!",F1242="NEW"),"",INDEX(B1241:B$2,-1+SUMPRODUCT(MAX(ROW(E1241:E$2)*(E1242=E1241:E$2)))))</f>
        <v> </v>
      </c>
      <c r="J1242" s="25" t="str">
        <f>IF(OR(E1242="",E1242="!!!",F1242="NEW"),"",COUNTBLANK(OFFSET(A$1,,,SUMPRODUCT(MAX(ROW(E$2:E1242)*(E1242=E$2:E1242)))))-COUNTBLANK(OFFSET(A$1,,,SUMPRODUCT(MAX(ROW(E$1:E1241)*(E2=E$1:E1241))))))</f>
        <v> </v>
      </c>
      <c r="K1242" s="25" t="str">
        <f>IF(OR(E1242="",E1242="!!!",F1242="NEW"),"",INDEX(J$1:J1241,SUMPRODUCT(MAX(ROW(E$1:E1241)*(E1242=E$1:E1241)))))</f>
        <v> </v>
      </c>
      <c r="L1242" s="26"/>
    </row>
    <row r="1243" spans="1:12">
      <c r="A1243" s="20" t="s">
        <v>682</v>
      </c>
      <c r="E1243" s="21">
        <f>IF(D1243="?OLD","!!!","")</f>
        <v/>
      </c>
      <c r="F1243" s="22" t="str">
        <f>IF(OR(E1243="",E1243="!!!"),"",IF(NOT(ISNA(VLOOKUP(E1243,E$1:E1242,1,FALSE()))),"OLD",IF(AND(E1243&lt;&gt;"",E1243&lt;&gt;"!!!"),"NEW","")))</f>
        <v> </v>
      </c>
      <c r="G1243" s="23" t="str">
        <f>IF(OR(E1243="",E1243="!!!"),"",IF(OR(J1243=0,AND(J1243=1,K1243=1),AND(J1243=1,I1243="SBJ"),AND(J1243=1,I1243=0)),"?IN_FOCUS",IF(J1243&lt;=2,"?ACTIVATED",IF(J1243&lt;&gt;"","?FAMILIAR",IF(F1243="NEW",IF(ISNA(VLOOKUP(E1243,#REF!,1,FALSE())),"?TYPE_IDENTIFIABLE","?REFERENTIAL"),"_")))))</f>
        <v> </v>
      </c>
      <c r="H1243" s="24" t="str">
        <f>IF(J1243&lt;&gt;1,"",IF(I1243="SBJ","CB","?"))</f>
        <v> </v>
      </c>
      <c r="I1243" s="25" t="str">
        <f>IF(OR(E1243="",E1243="!!!",F1243="NEW"),"",INDEX(B1242:B$2,-1+SUMPRODUCT(MAX(ROW(E1242:E$2)*(E1243=E1242:E$2)))))</f>
        <v> </v>
      </c>
      <c r="J1243" s="25" t="str">
        <f>IF(OR(E1243="",E1243="!!!",F1243="NEW"),"",COUNTBLANK(OFFSET(A$1,,,SUMPRODUCT(MAX(ROW(E$2:E1243)*(E1243=E$2:E1243)))))-COUNTBLANK(OFFSET(A$1,,,SUMPRODUCT(MAX(ROW(E$1:E1242)*(E2=E$1:E1242))))))</f>
        <v> </v>
      </c>
      <c r="K1243" s="25" t="str">
        <f>IF(OR(E1243="",E1243="!!!",F1243="NEW"),"",INDEX(J$1:J1242,SUMPRODUCT(MAX(ROW(E$1:E1242)*(E1243=E$1:E1242)))))</f>
        <v> </v>
      </c>
      <c r="L1243" s="26"/>
    </row>
    <row r="1244" spans="1:12">
      <c r="A1244" s="20" t="s">
        <v>1159</v>
      </c>
      <c r="E1244" s="21">
        <f>IF(D1244="?OLD","!!!","")</f>
        <v/>
      </c>
      <c r="F1244" s="22" t="str">
        <f>IF(OR(E1244="",E1244="!!!"),"",IF(NOT(ISNA(VLOOKUP(E1244,E$1:E1243,1,FALSE()))),"OLD",IF(AND(E1244&lt;&gt;"",E1244&lt;&gt;"!!!"),"NEW","")))</f>
        <v> </v>
      </c>
      <c r="G1244" s="23" t="str">
        <f>IF(OR(E1244="",E1244="!!!"),"",IF(OR(J1244=0,AND(J1244=1,K1244=1),AND(J1244=1,I1244="SBJ"),AND(J1244=1,I1244=0)),"?IN_FOCUS",IF(J1244&lt;=2,"?ACTIVATED",IF(J1244&lt;&gt;"","?FAMILIAR",IF(F1244="NEW",IF(ISNA(VLOOKUP(E1244,#REF!,1,FALSE())),"?TYPE_IDENTIFIABLE","?REFERENTIAL"),"_")))))</f>
        <v> </v>
      </c>
      <c r="H1244" s="24" t="str">
        <f>IF(J1244&lt;&gt;1,"",IF(I1244="SBJ","CB","?"))</f>
        <v> </v>
      </c>
      <c r="I1244" s="25" t="str">
        <f>IF(OR(E1244="",E1244="!!!",F1244="NEW"),"",INDEX(B1243:B$2,-1+SUMPRODUCT(MAX(ROW(E1243:E$2)*(E1244=E1243:E$2)))))</f>
        <v> </v>
      </c>
      <c r="J1244" s="25" t="str">
        <f>IF(OR(E1244="",E1244="!!!",F1244="NEW"),"",COUNTBLANK(OFFSET(A$1,,,SUMPRODUCT(MAX(ROW(E$2:E1244)*(E1244=E$2:E1244)))))-COUNTBLANK(OFFSET(A$1,,,SUMPRODUCT(MAX(ROW(E$1:E1243)*(E2=E$1:E1243))))))</f>
        <v> </v>
      </c>
      <c r="K1244" s="25" t="str">
        <f>IF(OR(E1244="",E1244="!!!",F1244="NEW"),"",INDEX(J$1:J1243,SUMPRODUCT(MAX(ROW(E$1:E1243)*(E1244=E$1:E1243)))))</f>
        <v> </v>
      </c>
      <c r="L1244" s="26"/>
    </row>
    <row r="1245" spans="1:12">
      <c r="A1245" s="20" t="s">
        <v>1062</v>
      </c>
      <c r="E1245" s="21">
        <f>IF(D1245="?OLD","!!!","")</f>
        <v/>
      </c>
      <c r="F1245" s="22" t="str">
        <f>IF(OR(E1245="",E1245="!!!"),"",IF(NOT(ISNA(VLOOKUP(E1245,E$1:E1244,1,FALSE()))),"OLD",IF(AND(E1245&lt;&gt;"",E1245&lt;&gt;"!!!"),"NEW","")))</f>
        <v> </v>
      </c>
      <c r="G1245" s="23" t="str">
        <f>IF(OR(E1245="",E1245="!!!"),"",IF(OR(J1245=0,AND(J1245=1,K1245=1),AND(J1245=1,I1245="SBJ"),AND(J1245=1,I1245=0)),"?IN_FOCUS",IF(J1245&lt;=2,"?ACTIVATED",IF(J1245&lt;&gt;"","?FAMILIAR",IF(F1245="NEW",IF(ISNA(VLOOKUP(E1245,#REF!,1,FALSE())),"?TYPE_IDENTIFIABLE","?REFERENTIAL"),"_")))))</f>
        <v> </v>
      </c>
      <c r="H1245" s="24" t="str">
        <f>IF(J1245&lt;&gt;1,"",IF(I1245="SBJ","CB","?"))</f>
        <v> </v>
      </c>
      <c r="I1245" s="25" t="str">
        <f>IF(OR(E1245="",E1245="!!!",F1245="NEW"),"",INDEX(B1244:B$2,-1+SUMPRODUCT(MAX(ROW(E1244:E$2)*(E1245=E1244:E$2)))))</f>
        <v> </v>
      </c>
      <c r="J1245" s="25" t="str">
        <f>IF(OR(E1245="",E1245="!!!",F1245="NEW"),"",COUNTBLANK(OFFSET(A$1,,,SUMPRODUCT(MAX(ROW(E$2:E1245)*(E1245=E$2:E1245)))))-COUNTBLANK(OFFSET(A$1,,,SUMPRODUCT(MAX(ROW(E$1:E1244)*(E2=E$1:E1244))))))</f>
        <v> </v>
      </c>
      <c r="K1245" s="25" t="str">
        <f>IF(OR(E1245="",E1245="!!!",F1245="NEW"),"",INDEX(J$1:J1244,SUMPRODUCT(MAX(ROW(E$1:E1244)*(E1245=E$1:E1244)))))</f>
        <v> </v>
      </c>
      <c r="L1245" s="26"/>
    </row>
    <row r="1246" spans="1:12">
      <c r="A1246" s="20" t="s">
        <v>187</v>
      </c>
      <c r="B1246" s="27" t="s">
        <v>653</v>
      </c>
      <c r="C1246" s="27" t="s">
        <v>685</v>
      </c>
      <c r="E1246" s="21">
        <f>IF(D1246="?OLD","!!!","")</f>
        <v/>
      </c>
      <c r="F1246" s="22" t="str">
        <f>IF(OR(E1246="",E1246="!!!"),"",IF(NOT(ISNA(VLOOKUP(E1246,E$1:E1245,1,FALSE()))),"OLD",IF(AND(E1246&lt;&gt;"",E1246&lt;&gt;"!!!"),"NEW","")))</f>
        <v> </v>
      </c>
      <c r="G1246" s="23" t="str">
        <f>IF(OR(E1246="",E1246="!!!"),"",IF(OR(J1246=0,AND(J1246=1,K1246=1),AND(J1246=1,I1246="SBJ"),AND(J1246=1,I1246=0)),"?IN_FOCUS",IF(J1246&lt;=2,"?ACTIVATED",IF(J1246&lt;&gt;"","?FAMILIAR",IF(F1246="NEW",IF(ISNA(VLOOKUP(E1246,#REF!,1,FALSE())),"?TYPE_IDENTIFIABLE","?REFERENTIAL"),"_")))))</f>
        <v> </v>
      </c>
      <c r="H1246" s="24" t="str">
        <f>IF(J1246&lt;&gt;1,"",IF(I1246="SBJ","CB","?"))</f>
        <v> </v>
      </c>
      <c r="I1246" s="25" t="str">
        <f>IF(OR(E1246="",E1246="!!!",F1246="NEW"),"",INDEX(B1245:B$2,-1+SUMPRODUCT(MAX(ROW(E1245:E$2)*(E1246=E1245:E$2)))))</f>
        <v> </v>
      </c>
      <c r="J1246" s="25" t="str">
        <f>IF(OR(E1246="",E1246="!!!",F1246="NEW"),"",COUNTBLANK(OFFSET(A$1,,,SUMPRODUCT(MAX(ROW(E$2:E1246)*(E1246=E$2:E1246)))))-COUNTBLANK(OFFSET(A$1,,,SUMPRODUCT(MAX(ROW(E$1:E1245)*(E2=E$1:E1245))))))</f>
        <v> </v>
      </c>
      <c r="K1246" s="25" t="str">
        <f>IF(OR(E1246="",E1246="!!!",F1246="NEW"),"",INDEX(J$1:J1245,SUMPRODUCT(MAX(ROW(E$1:E1245)*(E1246=E$1:E1245)))))</f>
        <v> </v>
      </c>
      <c r="L1246" s="26"/>
    </row>
    <row r="1247" spans="1:12">
      <c r="A1247" s="20" t="s">
        <v>1160</v>
      </c>
      <c r="E1247" s="21">
        <f>IF(D1247="?OLD","!!!","")</f>
        <v/>
      </c>
      <c r="F1247" s="22" t="str">
        <f>IF(OR(E1247="",E1247="!!!"),"",IF(NOT(ISNA(VLOOKUP(E1247,E$1:E1246,1,FALSE()))),"OLD",IF(AND(E1247&lt;&gt;"",E1247&lt;&gt;"!!!"),"NEW","")))</f>
        <v> </v>
      </c>
      <c r="G1247" s="23" t="str">
        <f>IF(OR(E1247="",E1247="!!!"),"",IF(OR(J1247=0,AND(J1247=1,K1247=1),AND(J1247=1,I1247="SBJ"),AND(J1247=1,I1247=0)),"?IN_FOCUS",IF(J1247&lt;=2,"?ACTIVATED",IF(J1247&lt;&gt;"","?FAMILIAR",IF(F1247="NEW",IF(ISNA(VLOOKUP(E1247,#REF!,1,FALSE())),"?TYPE_IDENTIFIABLE","?REFERENTIAL"),"_")))))</f>
        <v> </v>
      </c>
      <c r="H1247" s="24" t="str">
        <f>IF(J1247&lt;&gt;1,"",IF(I1247="SBJ","CB","?"))</f>
        <v> </v>
      </c>
      <c r="I1247" s="25" t="str">
        <f>IF(OR(E1247="",E1247="!!!",F1247="NEW"),"",INDEX(B1246:B$2,-1+SUMPRODUCT(MAX(ROW(E1246:E$2)*(E1247=E1246:E$2)))))</f>
        <v> </v>
      </c>
      <c r="J1247" s="25" t="str">
        <f>IF(OR(E1247="",E1247="!!!",F1247="NEW"),"",COUNTBLANK(OFFSET(A$1,,,SUMPRODUCT(MAX(ROW(E$2:E1247)*(E1247=E$2:E1247)))))-COUNTBLANK(OFFSET(A$1,,,SUMPRODUCT(MAX(ROW(E$1:E1246)*(E2=E$1:E1246))))))</f>
        <v> </v>
      </c>
      <c r="K1247" s="25" t="str">
        <f>IF(OR(E1247="",E1247="!!!",F1247="NEW"),"",INDEX(J$1:J1246,SUMPRODUCT(MAX(ROW(E$1:E1246)*(E1247=E$1:E1246)))))</f>
        <v> </v>
      </c>
      <c r="L1247" s="26"/>
    </row>
    <row r="1248" spans="1:12">
      <c r="A1248" s="20" t="s">
        <v>617</v>
      </c>
      <c r="E1248" s="21">
        <f>IF(D1248="?OLD","!!!","")</f>
        <v/>
      </c>
      <c r="F1248" s="22" t="str">
        <f>IF(OR(E1248="",E1248="!!!"),"",IF(NOT(ISNA(VLOOKUP(E1248,E$1:E1247,1,FALSE()))),"OLD",IF(AND(E1248&lt;&gt;"",E1248&lt;&gt;"!!!"),"NEW","")))</f>
        <v> </v>
      </c>
      <c r="G1248" s="23" t="str">
        <f>IF(OR(E1248="",E1248="!!!"),"",IF(OR(J1248=0,AND(J1248=1,K1248=1),AND(J1248=1,I1248="SBJ"),AND(J1248=1,I1248=0)),"?IN_FOCUS",IF(J1248&lt;=2,"?ACTIVATED",IF(J1248&lt;&gt;"","?FAMILIAR",IF(F1248="NEW",IF(ISNA(VLOOKUP(E1248,#REF!,1,FALSE())),"?TYPE_IDENTIFIABLE","?REFERENTIAL"),"_")))))</f>
        <v> </v>
      </c>
      <c r="H1248" s="24" t="str">
        <f>IF(J1248&lt;&gt;1,"",IF(I1248="SBJ","CB","?"))</f>
        <v> </v>
      </c>
      <c r="I1248" s="25" t="str">
        <f>IF(OR(E1248="",E1248="!!!",F1248="NEW"),"",INDEX(B1247:B$2,-1+SUMPRODUCT(MAX(ROW(E1247:E$2)*(E1248=E1247:E$2)))))</f>
        <v> </v>
      </c>
      <c r="J1248" s="25" t="str">
        <f>IF(OR(E1248="",E1248="!!!",F1248="NEW"),"",COUNTBLANK(OFFSET(A$1,,,SUMPRODUCT(MAX(ROW(E$2:E1248)*(E1248=E$2:E1248)))))-COUNTBLANK(OFFSET(A$1,,,SUMPRODUCT(MAX(ROW(E$1:E1247)*(E2=E$1:E1247))))))</f>
        <v> </v>
      </c>
      <c r="K1248" s="25" t="str">
        <f>IF(OR(E1248="",E1248="!!!",F1248="NEW"),"",INDEX(J$1:J1247,SUMPRODUCT(MAX(ROW(E$1:E1247)*(E1248=E$1:E1247)))))</f>
        <v> </v>
      </c>
      <c r="L1248" s="26"/>
    </row>
    <row r="1249" spans="1:12">
      <c r="A1249" s="20" t="s">
        <v>1161</v>
      </c>
      <c r="E1249" s="21">
        <f>IF(D1249="?OLD","!!!","")</f>
        <v/>
      </c>
      <c r="F1249" s="22" t="str">
        <f>IF(OR(E1249="",E1249="!!!"),"",IF(NOT(ISNA(VLOOKUP(E1249,E$1:E1248,1,FALSE()))),"OLD",IF(AND(E1249&lt;&gt;"",E1249&lt;&gt;"!!!"),"NEW","")))</f>
        <v> </v>
      </c>
      <c r="G1249" s="23" t="str">
        <f>IF(OR(E1249="",E1249="!!!"),"",IF(OR(J1249=0,AND(J1249=1,K1249=1),AND(J1249=1,I1249="SBJ"),AND(J1249=1,I1249=0)),"?IN_FOCUS",IF(J1249&lt;=2,"?ACTIVATED",IF(J1249&lt;&gt;"","?FAMILIAR",IF(F1249="NEW",IF(ISNA(VLOOKUP(E1249,#REF!,1,FALSE())),"?TYPE_IDENTIFIABLE","?REFERENTIAL"),"_")))))</f>
        <v> </v>
      </c>
      <c r="H1249" s="24" t="str">
        <f>IF(J1249&lt;&gt;1,"",IF(I1249="SBJ","CB","?"))</f>
        <v> </v>
      </c>
      <c r="I1249" s="25" t="str">
        <f>IF(OR(E1249="",E1249="!!!",F1249="NEW"),"",INDEX(B1248:B$2,-1+SUMPRODUCT(MAX(ROW(E1248:E$2)*(E1249=E1248:E$2)))))</f>
        <v> </v>
      </c>
      <c r="J1249" s="25" t="str">
        <f>IF(OR(E1249="",E1249="!!!",F1249="NEW"),"",COUNTBLANK(OFFSET(A$1,,,SUMPRODUCT(MAX(ROW(E$2:E1249)*(E1249=E$2:E1249)))))-COUNTBLANK(OFFSET(A$1,,,SUMPRODUCT(MAX(ROW(E$1:E1248)*(E2=E$1:E1248))))))</f>
        <v> </v>
      </c>
      <c r="K1249" s="25" t="str">
        <f>IF(OR(E1249="",E1249="!!!",F1249="NEW"),"",INDEX(J$1:J1248,SUMPRODUCT(MAX(ROW(E$1:E1248)*(E1249=E$1:E1248)))))</f>
        <v> </v>
      </c>
      <c r="L1249" s="26"/>
    </row>
    <row r="1250" spans="1:12">
      <c r="A1250" s="20" t="s">
        <v>240</v>
      </c>
      <c r="E1250" s="21">
        <f>IF(D1250="?OLD","!!!","")</f>
        <v/>
      </c>
      <c r="F1250" s="22" t="str">
        <f>IF(OR(E1250="",E1250="!!!"),"",IF(NOT(ISNA(VLOOKUP(E1250,E$1:E1249,1,FALSE()))),"OLD",IF(AND(E1250&lt;&gt;"",E1250&lt;&gt;"!!!"),"NEW","")))</f>
        <v> </v>
      </c>
      <c r="G1250" s="23" t="str">
        <f>IF(OR(E1250="",E1250="!!!"),"",IF(OR(J1250=0,AND(J1250=1,K1250=1),AND(J1250=1,I1250="SBJ"),AND(J1250=1,I1250=0)),"?IN_FOCUS",IF(J1250&lt;=2,"?ACTIVATED",IF(J1250&lt;&gt;"","?FAMILIAR",IF(F1250="NEW",IF(ISNA(VLOOKUP(E1250,#REF!,1,FALSE())),"?TYPE_IDENTIFIABLE","?REFERENTIAL"),"_")))))</f>
        <v> </v>
      </c>
      <c r="H1250" s="24" t="str">
        <f>IF(J1250&lt;&gt;1,"",IF(I1250="SBJ","CB","?"))</f>
        <v> </v>
      </c>
      <c r="I1250" s="25" t="str">
        <f>IF(OR(E1250="",E1250="!!!",F1250="NEW"),"",INDEX(B1249:B$2,-1+SUMPRODUCT(MAX(ROW(E1249:E$2)*(E1250=E1249:E$2)))))</f>
        <v> </v>
      </c>
      <c r="J1250" s="25" t="str">
        <f>IF(OR(E1250="",E1250="!!!",F1250="NEW"),"",COUNTBLANK(OFFSET(A$1,,,SUMPRODUCT(MAX(ROW(E$2:E1250)*(E1250=E$2:E1250)))))-COUNTBLANK(OFFSET(A$1,,,SUMPRODUCT(MAX(ROW(E$1:E1249)*(E2=E$1:E1249))))))</f>
        <v> </v>
      </c>
      <c r="K1250" s="25" t="str">
        <f>IF(OR(E1250="",E1250="!!!",F1250="NEW"),"",INDEX(J$1:J1249,SUMPRODUCT(MAX(ROW(E$1:E1249)*(E1250=E$1:E1249)))))</f>
        <v> </v>
      </c>
      <c r="L1250" s="26"/>
    </row>
    <row r="1251" spans="1:12">
      <c r="A1251" s="20" t="s">
        <v>651</v>
      </c>
      <c r="B1251" s="27" t="s">
        <v>619</v>
      </c>
      <c r="C1251" s="27" t="s">
        <v>652</v>
      </c>
      <c r="D1251" s="27" t="s">
        <v>608</v>
      </c>
      <c r="E1251" s="21">
        <f>IF(D1251="?OLD","!!!","")</f>
        <v/>
      </c>
      <c r="F1251" s="22" t="str">
        <f>IF(OR(E1251="",E1251="!!!"),"",IF(NOT(ISNA(VLOOKUP(E1251,E$1:E1250,1,FALSE()))),"OLD",IF(AND(E1251&lt;&gt;"",E1251&lt;&gt;"!!!"),"NEW","")))</f>
        <v> </v>
      </c>
      <c r="G1251" s="23" t="str">
        <f>IF(OR(E1251="",E1251="!!!"),"",IF(OR(J1251=0,AND(J1251=1,K1251=1),AND(J1251=1,I1251="SBJ"),AND(J1251=1,I1251=0)),"?IN_FOCUS",IF(J1251&lt;=2,"?ACTIVATED",IF(J1251&lt;&gt;"","?FAMILIAR",IF(F1251="NEW",IF(ISNA(VLOOKUP(E1251,#REF!,1,FALSE())),"?TYPE_IDENTIFIABLE","?REFERENTIAL"),"_")))))</f>
        <v> </v>
      </c>
      <c r="H1251" s="24" t="str">
        <f>IF(J1251&lt;&gt;1,"",IF(I1251="SBJ","CB","?"))</f>
        <v> </v>
      </c>
      <c r="I1251" s="25" t="str">
        <f>IF(OR(E1251="",E1251="!!!",F1251="NEW"),"",INDEX(B1250:B$2,-1+SUMPRODUCT(MAX(ROW(E1250:E$2)*(E1251=E1250:E$2)))))</f>
        <v> </v>
      </c>
      <c r="J1251" s="25" t="str">
        <f>IF(OR(E1251="",E1251="!!!",F1251="NEW"),"",COUNTBLANK(OFFSET(A$1,,,SUMPRODUCT(MAX(ROW(E$2:E1251)*(E1251=E$2:E1251)))))-COUNTBLANK(OFFSET(A$1,,,SUMPRODUCT(MAX(ROW(E$1:E1250)*(E2=E$1:E1250))))))</f>
        <v> </v>
      </c>
      <c r="K1251" s="25" t="str">
        <f>IF(OR(E1251="",E1251="!!!",F1251="NEW"),"",INDEX(J$1:J1250,SUMPRODUCT(MAX(ROW(E$1:E1250)*(E1251=E$1:E1250)))))</f>
        <v> </v>
      </c>
      <c r="L1251" s="26"/>
    </row>
    <row r="1252" spans="1:12">
      <c r="A1252" s="20" t="s">
        <v>759</v>
      </c>
      <c r="E1252" s="21">
        <f>IF(D1252="?OLD","!!!","")</f>
        <v/>
      </c>
      <c r="F1252" s="22" t="str">
        <f>IF(OR(E1252="",E1252="!!!"),"",IF(NOT(ISNA(VLOOKUP(E1252,E$1:E1251,1,FALSE()))),"OLD",IF(AND(E1252&lt;&gt;"",E1252&lt;&gt;"!!!"),"NEW","")))</f>
        <v> </v>
      </c>
      <c r="G1252" s="23" t="str">
        <f>IF(OR(E1252="",E1252="!!!"),"",IF(OR(J1252=0,AND(J1252=1,K1252=1),AND(J1252=1,I1252="SBJ"),AND(J1252=1,I1252=0)),"?IN_FOCUS",IF(J1252&lt;=2,"?ACTIVATED",IF(J1252&lt;&gt;"","?FAMILIAR",IF(F1252="NEW",IF(ISNA(VLOOKUP(E1252,#REF!,1,FALSE())),"?TYPE_IDENTIFIABLE","?REFERENTIAL"),"_")))))</f>
        <v> </v>
      </c>
      <c r="H1252" s="24" t="str">
        <f>IF(J1252&lt;&gt;1,"",IF(I1252="SBJ","CB","?"))</f>
        <v> </v>
      </c>
      <c r="I1252" s="25" t="str">
        <f>IF(OR(E1252="",E1252="!!!",F1252="NEW"),"",INDEX(B1251:B$2,-1+SUMPRODUCT(MAX(ROW(E1251:E$2)*(E1252=E1251:E$2)))))</f>
        <v> </v>
      </c>
      <c r="J1252" s="25" t="str">
        <f>IF(OR(E1252="",E1252="!!!",F1252="NEW"),"",COUNTBLANK(OFFSET(A$1,,,SUMPRODUCT(MAX(ROW(E$2:E1252)*(E1252=E$2:E1252)))))-COUNTBLANK(OFFSET(A$1,,,SUMPRODUCT(MAX(ROW(E$1:E1251)*(E2=E$1:E1251))))))</f>
        <v> </v>
      </c>
      <c r="K1252" s="25" t="str">
        <f>IF(OR(E1252="",E1252="!!!",F1252="NEW"),"",INDEX(J$1:J1251,SUMPRODUCT(MAX(ROW(E$1:E1251)*(E1252=E$1:E1251)))))</f>
        <v> </v>
      </c>
      <c r="L1252" s="26"/>
    </row>
    <row r="1253" spans="1:12">
      <c r="A1253" s="20" t="s">
        <v>617</v>
      </c>
      <c r="E1253" s="21">
        <f>IF(D1253="?OLD","!!!","")</f>
        <v/>
      </c>
      <c r="F1253" s="22" t="str">
        <f>IF(OR(E1253="",E1253="!!!"),"",IF(NOT(ISNA(VLOOKUP(E1253,E$1:E1252,1,FALSE()))),"OLD",IF(AND(E1253&lt;&gt;"",E1253&lt;&gt;"!!!"),"NEW","")))</f>
        <v> </v>
      </c>
      <c r="G1253" s="23" t="str">
        <f>IF(OR(E1253="",E1253="!!!"),"",IF(OR(J1253=0,AND(J1253=1,K1253=1),AND(J1253=1,I1253="SBJ"),AND(J1253=1,I1253=0)),"?IN_FOCUS",IF(J1253&lt;=2,"?ACTIVATED",IF(J1253&lt;&gt;"","?FAMILIAR",IF(F1253="NEW",IF(ISNA(VLOOKUP(E1253,#REF!,1,FALSE())),"?TYPE_IDENTIFIABLE","?REFERENTIAL"),"_")))))</f>
        <v> </v>
      </c>
      <c r="H1253" s="24" t="str">
        <f>IF(J1253&lt;&gt;1,"",IF(I1253="SBJ","CB","?"))</f>
        <v> </v>
      </c>
      <c r="I1253" s="25" t="str">
        <f>IF(OR(E1253="",E1253="!!!",F1253="NEW"),"",INDEX(B1252:B$2,-1+SUMPRODUCT(MAX(ROW(E1252:E$2)*(E1253=E1252:E$2)))))</f>
        <v> </v>
      </c>
      <c r="J1253" s="25" t="str">
        <f>IF(OR(E1253="",E1253="!!!",F1253="NEW"),"",COUNTBLANK(OFFSET(A$1,,,SUMPRODUCT(MAX(ROW(E$2:E1253)*(E1253=E$2:E1253)))))-COUNTBLANK(OFFSET(A$1,,,SUMPRODUCT(MAX(ROW(E$1:E1252)*(E2=E$1:E1252))))))</f>
        <v> </v>
      </c>
      <c r="K1253" s="25" t="str">
        <f>IF(OR(E1253="",E1253="!!!",F1253="NEW"),"",INDEX(J$1:J1252,SUMPRODUCT(MAX(ROW(E$1:E1252)*(E1253=E$1:E1252)))))</f>
        <v> </v>
      </c>
      <c r="L1253" s="26"/>
    </row>
    <row r="1254" spans="1:12">
      <c r="A1254" s="20" t="s">
        <v>736</v>
      </c>
      <c r="E1254" s="21">
        <f>IF(D1254="?OLD","!!!","")</f>
        <v/>
      </c>
      <c r="F1254" s="22" t="str">
        <f>IF(OR(E1254="",E1254="!!!"),"",IF(NOT(ISNA(VLOOKUP(E1254,E$1:E1253,1,FALSE()))),"OLD",IF(AND(E1254&lt;&gt;"",E1254&lt;&gt;"!!!"),"NEW","")))</f>
        <v> </v>
      </c>
      <c r="G1254" s="23" t="str">
        <f>IF(OR(E1254="",E1254="!!!"),"",IF(OR(J1254=0,AND(J1254=1,K1254=1),AND(J1254=1,I1254="SBJ"),AND(J1254=1,I1254=0)),"?IN_FOCUS",IF(J1254&lt;=2,"?ACTIVATED",IF(J1254&lt;&gt;"","?FAMILIAR",IF(F1254="NEW",IF(ISNA(VLOOKUP(E1254,#REF!,1,FALSE())),"?TYPE_IDENTIFIABLE","?REFERENTIAL"),"_")))))</f>
        <v> </v>
      </c>
      <c r="H1254" s="24" t="str">
        <f>IF(J1254&lt;&gt;1,"",IF(I1254="SBJ","CB","?"))</f>
        <v> </v>
      </c>
      <c r="I1254" s="25" t="str">
        <f>IF(OR(E1254="",E1254="!!!",F1254="NEW"),"",INDEX(B1253:B$2,-1+SUMPRODUCT(MAX(ROW(E1253:E$2)*(E1254=E1253:E$2)))))</f>
        <v> </v>
      </c>
      <c r="J1254" s="25" t="str">
        <f>IF(OR(E1254="",E1254="!!!",F1254="NEW"),"",COUNTBLANK(OFFSET(A$1,,,SUMPRODUCT(MAX(ROW(E$2:E1254)*(E1254=E$2:E1254)))))-COUNTBLANK(OFFSET(A$1,,,SUMPRODUCT(MAX(ROW(E$1:E1253)*(E2=E$1:E1253))))))</f>
        <v> </v>
      </c>
      <c r="K1254" s="25" t="str">
        <f>IF(OR(E1254="",E1254="!!!",F1254="NEW"),"",INDEX(J$1:J1253,SUMPRODUCT(MAX(ROW(E$1:E1253)*(E1254=E$1:E1253)))))</f>
        <v> </v>
      </c>
      <c r="L1254" s="26"/>
    </row>
    <row r="1255" spans="1:12">
      <c r="A1255" s="20" t="s">
        <v>635</v>
      </c>
      <c r="B1255" s="27" t="s">
        <v>619</v>
      </c>
      <c r="C1255" s="27" t="s">
        <v>637</v>
      </c>
      <c r="D1255" s="27" t="s">
        <v>608</v>
      </c>
      <c r="E1255" s="21">
        <f>IF(D1255="?OLD","!!!","")</f>
        <v/>
      </c>
      <c r="F1255" s="22" t="str">
        <f>IF(OR(E1255="",E1255="!!!"),"",IF(NOT(ISNA(VLOOKUP(E1255,E$1:E1254,1,FALSE()))),"OLD",IF(AND(E1255&lt;&gt;"",E1255&lt;&gt;"!!!"),"NEW","")))</f>
        <v> </v>
      </c>
      <c r="G1255" s="23" t="str">
        <f>IF(OR(E1255="",E1255="!!!"),"",IF(OR(J1255=0,AND(J1255=1,K1255=1),AND(J1255=1,I1255="SBJ"),AND(J1255=1,I1255=0)),"?IN_FOCUS",IF(J1255&lt;=2,"?ACTIVATED",IF(J1255&lt;&gt;"","?FAMILIAR",IF(F1255="NEW",IF(ISNA(VLOOKUP(E1255,#REF!,1,FALSE())),"?TYPE_IDENTIFIABLE","?REFERENTIAL"),"_")))))</f>
        <v> </v>
      </c>
      <c r="H1255" s="24" t="str">
        <f>IF(J1255&lt;&gt;1,"",IF(I1255="SBJ","CB","?"))</f>
        <v> </v>
      </c>
      <c r="I1255" s="25" t="str">
        <f>IF(OR(E1255="",E1255="!!!",F1255="NEW"),"",INDEX(B1254:B$2,-1+SUMPRODUCT(MAX(ROW(E1254:E$2)*(E1255=E1254:E$2)))))</f>
        <v> </v>
      </c>
      <c r="J1255" s="25" t="str">
        <f>IF(OR(E1255="",E1255="!!!",F1255="NEW"),"",COUNTBLANK(OFFSET(A$1,,,SUMPRODUCT(MAX(ROW(E$2:E1255)*(E1255=E$2:E1255)))))-COUNTBLANK(OFFSET(A$1,,,SUMPRODUCT(MAX(ROW(E$1:E1254)*(E2=E$1:E1254))))))</f>
        <v> </v>
      </c>
      <c r="K1255" s="25" t="str">
        <f>IF(OR(E1255="",E1255="!!!",F1255="NEW"),"",INDEX(J$1:J1254,SUMPRODUCT(MAX(ROW(E$1:E1254)*(E1255=E$1:E1254)))))</f>
        <v> </v>
      </c>
      <c r="L1255" s="26"/>
    </row>
    <row r="1256" spans="1:12">
      <c r="A1256" s="20" t="s">
        <v>1162</v>
      </c>
      <c r="E1256" s="21">
        <f>IF(D1256="?OLD","!!!","")</f>
        <v/>
      </c>
      <c r="F1256" s="22" t="str">
        <f>IF(OR(E1256="",E1256="!!!"),"",IF(NOT(ISNA(VLOOKUP(E1256,E$1:E1255,1,FALSE()))),"OLD",IF(AND(E1256&lt;&gt;"",E1256&lt;&gt;"!!!"),"NEW","")))</f>
        <v> </v>
      </c>
      <c r="G1256" s="23" t="str">
        <f>IF(OR(E1256="",E1256="!!!"),"",IF(OR(J1256=0,AND(J1256=1,K1256=1),AND(J1256=1,I1256="SBJ"),AND(J1256=1,I1256=0)),"?IN_FOCUS",IF(J1256&lt;=2,"?ACTIVATED",IF(J1256&lt;&gt;"","?FAMILIAR",IF(F1256="NEW",IF(ISNA(VLOOKUP(E1256,#REF!,1,FALSE())),"?TYPE_IDENTIFIABLE","?REFERENTIAL"),"_")))))</f>
        <v> </v>
      </c>
      <c r="H1256" s="24" t="str">
        <f>IF(J1256&lt;&gt;1,"",IF(I1256="SBJ","CB","?"))</f>
        <v> </v>
      </c>
      <c r="I1256" s="25" t="str">
        <f>IF(OR(E1256="",E1256="!!!",F1256="NEW"),"",INDEX(B1255:B$2,-1+SUMPRODUCT(MAX(ROW(E1255:E$2)*(E1256=E1255:E$2)))))</f>
        <v> </v>
      </c>
      <c r="J1256" s="25" t="str">
        <f>IF(OR(E1256="",E1256="!!!",F1256="NEW"),"",COUNTBLANK(OFFSET(A$1,,,SUMPRODUCT(MAX(ROW(E$2:E1256)*(E1256=E$2:E1256)))))-COUNTBLANK(OFFSET(A$1,,,SUMPRODUCT(MAX(ROW(E$1:E1255)*(E2=E$1:E1255))))))</f>
        <v> </v>
      </c>
      <c r="K1256" s="25" t="str">
        <f>IF(OR(E1256="",E1256="!!!",F1256="NEW"),"",INDEX(J$1:J1255,SUMPRODUCT(MAX(ROW(E$1:E1255)*(E1256=E$1:E1255)))))</f>
        <v> </v>
      </c>
      <c r="L1256" s="26"/>
    </row>
    <row r="1257" spans="1:12">
      <c r="A1257" s="20" t="s">
        <v>1031</v>
      </c>
      <c r="B1257" s="27" t="s">
        <v>625</v>
      </c>
      <c r="C1257" s="27" t="s">
        <v>622</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t="s">
        <v>1163</v>
      </c>
      <c r="E1258" s="21">
        <f>IF(D1258="?OLD","!!!","")</f>
        <v/>
      </c>
      <c r="F1258" s="22" t="str">
        <f>IF(OR(E1258="",E1258="!!!"),"",IF(NOT(ISNA(VLOOKUP(E1258,E$1:E1257,1,FALSE()))),"OLD",IF(AND(E1258&lt;&gt;"",E1258&lt;&gt;"!!!"),"NEW","")))</f>
        <v> </v>
      </c>
      <c r="G1258" s="23" t="str">
        <f>IF(OR(E1258="",E1258="!!!"),"",IF(OR(J1258=0,AND(J1258=1,K1258=1),AND(J1258=1,I1258="SBJ"),AND(J1258=1,I1258=0)),"?IN_FOCUS",IF(J1258&lt;=2,"?ACTIVATED",IF(J1258&lt;&gt;"","?FAMILIAR",IF(F1258="NEW",IF(ISNA(VLOOKUP(E1258,#REF!,1,FALSE())),"?TYPE_IDENTIFIABLE","?REFERENTIAL"),"_")))))</f>
        <v> </v>
      </c>
      <c r="H1258" s="24" t="str">
        <f>IF(J1258&lt;&gt;1,"",IF(I1258="SBJ","CB","?"))</f>
        <v> </v>
      </c>
      <c r="I1258" s="25" t="str">
        <f>IF(OR(E1258="",E1258="!!!",F1258="NEW"),"",INDEX(B1257:B$2,-1+SUMPRODUCT(MAX(ROW(E1257:E$2)*(E1258=E1257:E$2)))))</f>
        <v> </v>
      </c>
      <c r="J1258" s="25" t="str">
        <f>IF(OR(E1258="",E1258="!!!",F1258="NEW"),"",COUNTBLANK(OFFSET(A$1,,,SUMPRODUCT(MAX(ROW(E$2:E1258)*(E1258=E$2:E1258)))))-COUNTBLANK(OFFSET(A$1,,,SUMPRODUCT(MAX(ROW(E$1:E1257)*(E2=E$1:E1257))))))</f>
        <v> </v>
      </c>
      <c r="K1258" s="25" t="str">
        <f>IF(OR(E1258="",E1258="!!!",F1258="NEW"),"",INDEX(J$1:J1257,SUMPRODUCT(MAX(ROW(E$1:E1257)*(E1258=E$1:E1257)))))</f>
        <v> </v>
      </c>
      <c r="L1258" s="26"/>
    </row>
    <row r="1259" spans="1:12">
      <c r="A1259" s="20" t="s">
        <v>1164</v>
      </c>
      <c r="B1259" s="27" t="s">
        <v>657</v>
      </c>
      <c r="C1259" s="27" t="s">
        <v>622</v>
      </c>
      <c r="E1259" s="21">
        <f>IF(D1259="?OLD","!!!","")</f>
        <v/>
      </c>
      <c r="F1259" s="22" t="str">
        <f>IF(OR(E1259="",E1259="!!!"),"",IF(NOT(ISNA(VLOOKUP(E1259,E$1:E1258,1,FALSE()))),"OLD",IF(AND(E1259&lt;&gt;"",E1259&lt;&gt;"!!!"),"NEW","")))</f>
        <v> </v>
      </c>
      <c r="G1259" s="23" t="str">
        <f>IF(OR(E1259="",E1259="!!!"),"",IF(OR(J1259=0,AND(J1259=1,K1259=1),AND(J1259=1,I1259="SBJ"),AND(J1259=1,I1259=0)),"?IN_FOCUS",IF(J1259&lt;=2,"?ACTIVATED",IF(J1259&lt;&gt;"","?FAMILIAR",IF(F1259="NEW",IF(ISNA(VLOOKUP(E1259,#REF!,1,FALSE())),"?TYPE_IDENTIFIABLE","?REFERENTIAL"),"_")))))</f>
        <v> </v>
      </c>
      <c r="H1259" s="24" t="str">
        <f>IF(J1259&lt;&gt;1,"",IF(I1259="SBJ","CB","?"))</f>
        <v> </v>
      </c>
      <c r="I1259" s="25" t="str">
        <f>IF(OR(E1259="",E1259="!!!",F1259="NEW"),"",INDEX(B1258:B$2,-1+SUMPRODUCT(MAX(ROW(E1258:E$2)*(E1259=E1258:E$2)))))</f>
        <v> </v>
      </c>
      <c r="J1259" s="25" t="str">
        <f>IF(OR(E1259="",E1259="!!!",F1259="NEW"),"",COUNTBLANK(OFFSET(A$1,,,SUMPRODUCT(MAX(ROW(E$2:E1259)*(E1259=E$2:E1259)))))-COUNTBLANK(OFFSET(A$1,,,SUMPRODUCT(MAX(ROW(E$1:E1258)*(E2=E$1:E1258))))))</f>
        <v> </v>
      </c>
      <c r="K1259" s="25" t="str">
        <f>IF(OR(E1259="",E1259="!!!",F1259="NEW"),"",INDEX(J$1:J1258,SUMPRODUCT(MAX(ROW(E$1:E1258)*(E1259=E$1:E1258)))))</f>
        <v> </v>
      </c>
      <c r="L1259" s="26"/>
    </row>
    <row r="1260" spans="1:12">
      <c r="A1260" s="20" t="s">
        <v>33</v>
      </c>
      <c r="E1260" s="21">
        <f>IF(D1260="?OLD","!!!","")</f>
        <v/>
      </c>
      <c r="F1260" s="22" t="str">
        <f>IF(OR(E1260="",E1260="!!!"),"",IF(NOT(ISNA(VLOOKUP(E1260,E$1:E1259,1,FALSE()))),"OLD",IF(AND(E1260&lt;&gt;"",E1260&lt;&gt;"!!!"),"NEW","")))</f>
        <v> </v>
      </c>
      <c r="G1260" s="23" t="str">
        <f>IF(OR(E1260="",E1260="!!!"),"",IF(OR(J1260=0,AND(J1260=1,K1260=1),AND(J1260=1,I1260="SBJ"),AND(J1260=1,I1260=0)),"?IN_FOCUS",IF(J1260&lt;=2,"?ACTIVATED",IF(J1260&lt;&gt;"","?FAMILIAR",IF(F1260="NEW",IF(ISNA(VLOOKUP(E1260,#REF!,1,FALSE())),"?TYPE_IDENTIFIABLE","?REFERENTIAL"),"_")))))</f>
        <v> </v>
      </c>
      <c r="H1260" s="24" t="str">
        <f>IF(J1260&lt;&gt;1,"",IF(I1260="SBJ","CB","?"))</f>
        <v> </v>
      </c>
      <c r="I1260" s="25" t="str">
        <f>IF(OR(E1260="",E1260="!!!",F1260="NEW"),"",INDEX(B1259:B$2,-1+SUMPRODUCT(MAX(ROW(E1259:E$2)*(E1260=E1259:E$2)))))</f>
        <v> </v>
      </c>
      <c r="J1260" s="25" t="str">
        <f>IF(OR(E1260="",E1260="!!!",F1260="NEW"),"",COUNTBLANK(OFFSET(A$1,,,SUMPRODUCT(MAX(ROW(E$2:E1260)*(E1260=E$2:E1260)))))-COUNTBLANK(OFFSET(A$1,,,SUMPRODUCT(MAX(ROW(E$1:E1259)*(E2=E$1:E1259))))))</f>
        <v> </v>
      </c>
      <c r="K1260" s="25" t="str">
        <f>IF(OR(E1260="",E1260="!!!",F1260="NEW"),"",INDEX(J$1:J1259,SUMPRODUCT(MAX(ROW(E$1:E1259)*(E1260=E$1:E1259)))))</f>
        <v> </v>
      </c>
      <c r="L1260" s="26"/>
    </row>
    <row r="1261" spans="1:12">
      <c r="A1261" s="20" t="s">
        <v>617</v>
      </c>
      <c r="E1261" s="21">
        <f>IF(D1261="?OLD","!!!","")</f>
        <v/>
      </c>
      <c r="F1261" s="22" t="str">
        <f>IF(OR(E1261="",E1261="!!!"),"",IF(NOT(ISNA(VLOOKUP(E1261,E$1:E1260,1,FALSE()))),"OLD",IF(AND(E1261&lt;&gt;"",E1261&lt;&gt;"!!!"),"NEW","")))</f>
        <v> </v>
      </c>
      <c r="G1261" s="23" t="str">
        <f>IF(OR(E1261="",E1261="!!!"),"",IF(OR(J1261=0,AND(J1261=1,K1261=1),AND(J1261=1,I1261="SBJ"),AND(J1261=1,I1261=0)),"?IN_FOCUS",IF(J1261&lt;=2,"?ACTIVATED",IF(J1261&lt;&gt;"","?FAMILIAR",IF(F1261="NEW",IF(ISNA(VLOOKUP(E1261,#REF!,1,FALSE())),"?TYPE_IDENTIFIABLE","?REFERENTIAL"),"_")))))</f>
        <v> </v>
      </c>
      <c r="H1261" s="24" t="str">
        <f>IF(J1261&lt;&gt;1,"",IF(I1261="SBJ","CB","?"))</f>
        <v> </v>
      </c>
      <c r="I1261" s="25" t="str">
        <f>IF(OR(E1261="",E1261="!!!",F1261="NEW"),"",INDEX(B1260:B$2,-1+SUMPRODUCT(MAX(ROW(E1260:E$2)*(E1261=E1260:E$2)))))</f>
        <v> </v>
      </c>
      <c r="J1261" s="25" t="str">
        <f>IF(OR(E1261="",E1261="!!!",F1261="NEW"),"",COUNTBLANK(OFFSET(A$1,,,SUMPRODUCT(MAX(ROW(E$2:E1261)*(E1261=E$2:E1261)))))-COUNTBLANK(OFFSET(A$1,,,SUMPRODUCT(MAX(ROW(E$1:E1260)*(E2=E$1:E1260))))))</f>
        <v> </v>
      </c>
      <c r="K1261" s="25" t="str">
        <f>IF(OR(E1261="",E1261="!!!",F1261="NEW"),"",INDEX(J$1:J1260,SUMPRODUCT(MAX(ROW(E$1:E1260)*(E1261=E$1:E1260)))))</f>
        <v> </v>
      </c>
      <c r="L1261" s="26"/>
    </row>
    <row r="1262" spans="1:12">
      <c r="A1262" s="20" t="s">
        <v>740</v>
      </c>
      <c r="E1262" s="21">
        <f>IF(D1262="?OLD","!!!","")</f>
        <v/>
      </c>
      <c r="F1262" s="22" t="str">
        <f>IF(OR(E1262="",E1262="!!!"),"",IF(NOT(ISNA(VLOOKUP(E1262,E$1:E1261,1,FALSE()))),"OLD",IF(AND(E1262&lt;&gt;"",E1262&lt;&gt;"!!!"),"NEW","")))</f>
        <v> </v>
      </c>
      <c r="G1262" s="23" t="str">
        <f>IF(OR(E1262="",E1262="!!!"),"",IF(OR(J1262=0,AND(J1262=1,K1262=1),AND(J1262=1,I1262="SBJ"),AND(J1262=1,I1262=0)),"?IN_FOCUS",IF(J1262&lt;=2,"?ACTIVATED",IF(J1262&lt;&gt;"","?FAMILIAR",IF(F1262="NEW",IF(ISNA(VLOOKUP(E1262,#REF!,1,FALSE())),"?TYPE_IDENTIFIABLE","?REFERENTIAL"),"_")))))</f>
        <v> </v>
      </c>
      <c r="H1262" s="24" t="str">
        <f>IF(J1262&lt;&gt;1,"",IF(I1262="SBJ","CB","?"))</f>
        <v> </v>
      </c>
      <c r="I1262" s="25" t="str">
        <f>IF(OR(E1262="",E1262="!!!",F1262="NEW"),"",INDEX(B1261:B$2,-1+SUMPRODUCT(MAX(ROW(E1261:E$2)*(E1262=E1261:E$2)))))</f>
        <v> </v>
      </c>
      <c r="J1262" s="25" t="str">
        <f>IF(OR(E1262="",E1262="!!!",F1262="NEW"),"",COUNTBLANK(OFFSET(A$1,,,SUMPRODUCT(MAX(ROW(E$2:E1262)*(E1262=E$2:E1262)))))-COUNTBLANK(OFFSET(A$1,,,SUMPRODUCT(MAX(ROW(E$1:E1261)*(E2=E$1:E1261))))))</f>
        <v> </v>
      </c>
      <c r="K1262" s="25" t="str">
        <f>IF(OR(E1262="",E1262="!!!",F1262="NEW"),"",INDEX(J$1:J1261,SUMPRODUCT(MAX(ROW(E$1:E1261)*(E1262=E$1:E1261)))))</f>
        <v> </v>
      </c>
      <c r="L1262" s="26"/>
    </row>
    <row r="1263" spans="1:12">
      <c r="A1263" s="20" t="s">
        <v>1165</v>
      </c>
      <c r="B1263" s="27" t="s">
        <v>625</v>
      </c>
      <c r="C1263" s="27" t="s">
        <v>671</v>
      </c>
      <c r="D1263" s="27" t="s">
        <v>608</v>
      </c>
      <c r="E1263" s="21">
        <f>IF(D1263="?OLD","!!!","")</f>
        <v/>
      </c>
      <c r="F1263" s="22" t="str">
        <f>IF(OR(E1263="",E1263="!!!"),"",IF(NOT(ISNA(VLOOKUP(E1263,E$1:E1262,1,FALSE()))),"OLD",IF(AND(E1263&lt;&gt;"",E1263&lt;&gt;"!!!"),"NEW","")))</f>
        <v> </v>
      </c>
      <c r="G1263" s="23" t="str">
        <f>IF(OR(E1263="",E1263="!!!"),"",IF(OR(J1263=0,AND(J1263=1,K1263=1),AND(J1263=1,I1263="SBJ"),AND(J1263=1,I1263=0)),"?IN_FOCUS",IF(J1263&lt;=2,"?ACTIVATED",IF(J1263&lt;&gt;"","?FAMILIAR",IF(F1263="NEW",IF(ISNA(VLOOKUP(E1263,#REF!,1,FALSE())),"?TYPE_IDENTIFIABLE","?REFERENTIAL"),"_")))))</f>
        <v> </v>
      </c>
      <c r="H1263" s="24" t="str">
        <f>IF(J1263&lt;&gt;1,"",IF(I1263="SBJ","CB","?"))</f>
        <v> </v>
      </c>
      <c r="I1263" s="25" t="str">
        <f>IF(OR(E1263="",E1263="!!!",F1263="NEW"),"",INDEX(B1262:B$2,-1+SUMPRODUCT(MAX(ROW(E1262:E$2)*(E1263=E1262:E$2)))))</f>
        <v> </v>
      </c>
      <c r="J1263" s="25" t="str">
        <f>IF(OR(E1263="",E1263="!!!",F1263="NEW"),"",COUNTBLANK(OFFSET(A$1,,,SUMPRODUCT(MAX(ROW(E$2:E1263)*(E1263=E$2:E1263)))))-COUNTBLANK(OFFSET(A$1,,,SUMPRODUCT(MAX(ROW(E$1:E1262)*(E2=E$1:E1262))))))</f>
        <v> </v>
      </c>
      <c r="K1263" s="25" t="str">
        <f>IF(OR(E1263="",E1263="!!!",F1263="NEW"),"",INDEX(J$1:J1262,SUMPRODUCT(MAX(ROW(E$1:E1262)*(E1263=E$1:E1262)))))</f>
        <v> </v>
      </c>
      <c r="L1263" s="26"/>
    </row>
    <row r="1264" spans="1:12">
      <c r="A1264" s="20" t="s">
        <v>1166</v>
      </c>
      <c r="E1264" s="21">
        <f>IF(D1264="?OLD","!!!","")</f>
        <v/>
      </c>
      <c r="F1264" s="22" t="str">
        <f>IF(OR(E1264="",E1264="!!!"),"",IF(NOT(ISNA(VLOOKUP(E1264,E$1:E1263,1,FALSE()))),"OLD",IF(AND(E1264&lt;&gt;"",E1264&lt;&gt;"!!!"),"NEW","")))</f>
        <v> </v>
      </c>
      <c r="G1264" s="23" t="str">
        <f>IF(OR(E1264="",E1264="!!!"),"",IF(OR(J1264=0,AND(J1264=1,K1264=1),AND(J1264=1,I1264="SBJ"),AND(J1264=1,I1264=0)),"?IN_FOCUS",IF(J1264&lt;=2,"?ACTIVATED",IF(J1264&lt;&gt;"","?FAMILIAR",IF(F1264="NEW",IF(ISNA(VLOOKUP(E1264,#REF!,1,FALSE())),"?TYPE_IDENTIFIABLE","?REFERENTIAL"),"_")))))</f>
        <v> </v>
      </c>
      <c r="H1264" s="24" t="str">
        <f>IF(J1264&lt;&gt;1,"",IF(I1264="SBJ","CB","?"))</f>
        <v> </v>
      </c>
      <c r="I1264" s="25" t="str">
        <f>IF(OR(E1264="",E1264="!!!",F1264="NEW"),"",INDEX(B1263:B$2,-1+SUMPRODUCT(MAX(ROW(E1263:E$2)*(E1264=E1263:E$2)))))</f>
        <v> </v>
      </c>
      <c r="J1264" s="25" t="str">
        <f>IF(OR(E1264="",E1264="!!!",F1264="NEW"),"",COUNTBLANK(OFFSET(A$1,,,SUMPRODUCT(MAX(ROW(E$2:E1264)*(E1264=E$2:E1264)))))-COUNTBLANK(OFFSET(A$1,,,SUMPRODUCT(MAX(ROW(E$1:E1263)*(E2=E$1:E1263))))))</f>
        <v> </v>
      </c>
      <c r="K1264" s="25" t="str">
        <f>IF(OR(E1264="",E1264="!!!",F1264="NEW"),"",INDEX(J$1:J1263,SUMPRODUCT(MAX(ROW(E$1:E1263)*(E1264=E$1:E1263)))))</f>
        <v> </v>
      </c>
      <c r="L1264" s="26"/>
    </row>
    <row r="1265" spans="1:12">
      <c r="A1265" s="20" t="s">
        <v>1167</v>
      </c>
      <c r="B1265" s="27" t="s">
        <v>611</v>
      </c>
      <c r="C1265" s="27" t="s">
        <v>622</v>
      </c>
      <c r="E1265" s="21">
        <f>IF(D1265="?OLD","!!!","")</f>
        <v/>
      </c>
      <c r="F1265" s="22" t="str">
        <f>IF(OR(E1265="",E1265="!!!"),"",IF(NOT(ISNA(VLOOKUP(E1265,E$1:E1264,1,FALSE()))),"OLD",IF(AND(E1265&lt;&gt;"",E1265&lt;&gt;"!!!"),"NEW","")))</f>
        <v> </v>
      </c>
      <c r="G1265" s="23" t="str">
        <f>IF(OR(E1265="",E1265="!!!"),"",IF(OR(J1265=0,AND(J1265=1,K1265=1),AND(J1265=1,I1265="SBJ"),AND(J1265=1,I1265=0)),"?IN_FOCUS",IF(J1265&lt;=2,"?ACTIVATED",IF(J1265&lt;&gt;"","?FAMILIAR",IF(F1265="NEW",IF(ISNA(VLOOKUP(E1265,#REF!,1,FALSE())),"?TYPE_IDENTIFIABLE","?REFERENTIAL"),"_")))))</f>
        <v> </v>
      </c>
      <c r="H1265" s="24" t="str">
        <f>IF(J1265&lt;&gt;1,"",IF(I1265="SBJ","CB","?"))</f>
        <v> </v>
      </c>
      <c r="I1265" s="25" t="str">
        <f>IF(OR(E1265="",E1265="!!!",F1265="NEW"),"",INDEX(B1264:B$2,-1+SUMPRODUCT(MAX(ROW(E1264:E$2)*(E1265=E1264:E$2)))))</f>
        <v> </v>
      </c>
      <c r="J1265" s="25" t="str">
        <f>IF(OR(E1265="",E1265="!!!",F1265="NEW"),"",COUNTBLANK(OFFSET(A$1,,,SUMPRODUCT(MAX(ROW(E$2:E1265)*(E1265=E$2:E1265)))))-COUNTBLANK(OFFSET(A$1,,,SUMPRODUCT(MAX(ROW(E$1:E1264)*(E2=E$1:E1264))))))</f>
        <v> </v>
      </c>
      <c r="K1265" s="25" t="str">
        <f>IF(OR(E1265="",E1265="!!!",F1265="NEW"),"",INDEX(J$1:J1264,SUMPRODUCT(MAX(ROW(E$1:E1264)*(E1265=E$1:E1264)))))</f>
        <v> </v>
      </c>
      <c r="L1265" s="26"/>
    </row>
    <row r="1266" spans="1:12">
      <c r="A1266" s="20" t="s">
        <v>1107</v>
      </c>
      <c r="E1266" s="21">
        <f>IF(D1266="?OLD","!!!","")</f>
        <v/>
      </c>
      <c r="F1266" s="22" t="str">
        <f>IF(OR(E1266="",E1266="!!!"),"",IF(NOT(ISNA(VLOOKUP(E1266,E$1:E1265,1,FALSE()))),"OLD",IF(AND(E1266&lt;&gt;"",E1266&lt;&gt;"!!!"),"NEW","")))</f>
        <v> </v>
      </c>
      <c r="G1266" s="23" t="str">
        <f>IF(OR(E1266="",E1266="!!!"),"",IF(OR(J1266=0,AND(J1266=1,K1266=1),AND(J1266=1,I1266="SBJ"),AND(J1266=1,I1266=0)),"?IN_FOCUS",IF(J1266&lt;=2,"?ACTIVATED",IF(J1266&lt;&gt;"","?FAMILIAR",IF(F1266="NEW",IF(ISNA(VLOOKUP(E1266,#REF!,1,FALSE())),"?TYPE_IDENTIFIABLE","?REFERENTIAL"),"_")))))</f>
        <v> </v>
      </c>
      <c r="H1266" s="24" t="str">
        <f>IF(J1266&lt;&gt;1,"",IF(I1266="SBJ","CB","?"))</f>
        <v> </v>
      </c>
      <c r="I1266" s="25" t="str">
        <f>IF(OR(E1266="",E1266="!!!",F1266="NEW"),"",INDEX(B1265:B$2,-1+SUMPRODUCT(MAX(ROW(E1265:E$2)*(E1266=E1265:E$2)))))</f>
        <v> </v>
      </c>
      <c r="J1266" s="25" t="str">
        <f>IF(OR(E1266="",E1266="!!!",F1266="NEW"),"",COUNTBLANK(OFFSET(A$1,,,SUMPRODUCT(MAX(ROW(E$2:E1266)*(E1266=E$2:E1266)))))-COUNTBLANK(OFFSET(A$1,,,SUMPRODUCT(MAX(ROW(E$1:E1265)*(E2=E$1:E1265))))))</f>
        <v> </v>
      </c>
      <c r="K1266" s="25" t="str">
        <f>IF(OR(E1266="",E1266="!!!",F1266="NEW"),"",INDEX(J$1:J1265,SUMPRODUCT(MAX(ROW(E$1:E1265)*(E1266=E$1:E1265)))))</f>
        <v> </v>
      </c>
      <c r="L1266" s="26"/>
    </row>
    <row r="1267" spans="1:12">
      <c r="A1267" s="20" t="s">
        <v>699</v>
      </c>
      <c r="E1267" s="21">
        <f>IF(D1267="?OLD","!!!","")</f>
        <v/>
      </c>
      <c r="F1267" s="22" t="str">
        <f>IF(OR(E1267="",E1267="!!!"),"",IF(NOT(ISNA(VLOOKUP(E1267,E$1:E1266,1,FALSE()))),"OLD",IF(AND(E1267&lt;&gt;"",E1267&lt;&gt;"!!!"),"NEW","")))</f>
        <v> </v>
      </c>
      <c r="G1267" s="23" t="str">
        <f>IF(OR(E1267="",E1267="!!!"),"",IF(OR(J1267=0,AND(J1267=1,K1267=1),AND(J1267=1,I1267="SBJ"),AND(J1267=1,I1267=0)),"?IN_FOCUS",IF(J1267&lt;=2,"?ACTIVATED",IF(J1267&lt;&gt;"","?FAMILIAR",IF(F1267="NEW",IF(ISNA(VLOOKUP(E1267,#REF!,1,FALSE())),"?TYPE_IDENTIFIABLE","?REFERENTIAL"),"_")))))</f>
        <v> </v>
      </c>
      <c r="H1267" s="24" t="str">
        <f>IF(J1267&lt;&gt;1,"",IF(I1267="SBJ","CB","?"))</f>
        <v> </v>
      </c>
      <c r="I1267" s="25" t="str">
        <f>IF(OR(E1267="",E1267="!!!",F1267="NEW"),"",INDEX(B1266:B$2,-1+SUMPRODUCT(MAX(ROW(E1266:E$2)*(E1267=E1266:E$2)))))</f>
        <v> </v>
      </c>
      <c r="J1267" s="25" t="str">
        <f>IF(OR(E1267="",E1267="!!!",F1267="NEW"),"",COUNTBLANK(OFFSET(A$1,,,SUMPRODUCT(MAX(ROW(E$2:E1267)*(E1267=E$2:E1267)))))-COUNTBLANK(OFFSET(A$1,,,SUMPRODUCT(MAX(ROW(E$1:E1266)*(E2=E$1:E1266))))))</f>
        <v> </v>
      </c>
      <c r="K1267" s="25" t="str">
        <f>IF(OR(E1267="",E1267="!!!",F1267="NEW"),"",INDEX(J$1:J1266,SUMPRODUCT(MAX(ROW(E$1:E1266)*(E1267=E$1:E1266)))))</f>
        <v> </v>
      </c>
      <c r="L1267" s="26"/>
    </row>
    <row r="1268" spans="1:12">
      <c r="A1268" s="20" t="s">
        <v>1168</v>
      </c>
      <c r="E1268" s="21">
        <f>IF(D1268="?OLD","!!!","")</f>
        <v/>
      </c>
      <c r="F1268" s="22" t="str">
        <f>IF(OR(E1268="",E1268="!!!"),"",IF(NOT(ISNA(VLOOKUP(E1268,E$1:E1267,1,FALSE()))),"OLD",IF(AND(E1268&lt;&gt;"",E1268&lt;&gt;"!!!"),"NEW","")))</f>
        <v> </v>
      </c>
      <c r="G1268" s="23" t="str">
        <f>IF(OR(E1268="",E1268="!!!"),"",IF(OR(J1268=0,AND(J1268=1,K1268=1),AND(J1268=1,I1268="SBJ"),AND(J1268=1,I1268=0)),"?IN_FOCUS",IF(J1268&lt;=2,"?ACTIVATED",IF(J1268&lt;&gt;"","?FAMILIAR",IF(F1268="NEW",IF(ISNA(VLOOKUP(E1268,#REF!,1,FALSE())),"?TYPE_IDENTIFIABLE","?REFERENTIAL"),"_")))))</f>
        <v> </v>
      </c>
      <c r="H1268" s="24" t="str">
        <f>IF(J1268&lt;&gt;1,"",IF(I1268="SBJ","CB","?"))</f>
        <v> </v>
      </c>
      <c r="I1268" s="25" t="str">
        <f>IF(OR(E1268="",E1268="!!!",F1268="NEW"),"",INDEX(B1267:B$2,-1+SUMPRODUCT(MAX(ROW(E1267:E$2)*(E1268=E1267:E$2)))))</f>
        <v> </v>
      </c>
      <c r="J1268" s="25" t="str">
        <f>IF(OR(E1268="",E1268="!!!",F1268="NEW"),"",COUNTBLANK(OFFSET(A$1,,,SUMPRODUCT(MAX(ROW(E$2:E1268)*(E1268=E$2:E1268)))))-COUNTBLANK(OFFSET(A$1,,,SUMPRODUCT(MAX(ROW(E$1:E1267)*(E2=E$1:E1267))))))</f>
        <v> </v>
      </c>
      <c r="K1268" s="25" t="str">
        <f>IF(OR(E1268="",E1268="!!!",F1268="NEW"),"",INDEX(J$1:J1267,SUMPRODUCT(MAX(ROW(E$1:E1267)*(E1268=E$1:E1267)))))</f>
        <v> </v>
      </c>
      <c r="L1268" s="26"/>
    </row>
    <row r="1269" spans="1:12">
      <c r="A1269" s="20" t="s">
        <v>635</v>
      </c>
      <c r="B1269" s="27" t="s">
        <v>619</v>
      </c>
      <c r="C1269" s="27" t="s">
        <v>637</v>
      </c>
      <c r="D1269" s="27" t="s">
        <v>608</v>
      </c>
      <c r="E1269" s="21">
        <f>IF(D1269="?OLD","!!!","")</f>
        <v/>
      </c>
      <c r="F1269" s="22" t="str">
        <f>IF(OR(E1269="",E1269="!!!"),"",IF(NOT(ISNA(VLOOKUP(E1269,E$1:E1268,1,FALSE()))),"OLD",IF(AND(E1269&lt;&gt;"",E1269&lt;&gt;"!!!"),"NEW","")))</f>
        <v> </v>
      </c>
      <c r="G1269" s="23" t="str">
        <f>IF(OR(E1269="",E1269="!!!"),"",IF(OR(J1269=0,AND(J1269=1,K1269=1),AND(J1269=1,I1269="SBJ"),AND(J1269=1,I1269=0)),"?IN_FOCUS",IF(J1269&lt;=2,"?ACTIVATED",IF(J1269&lt;&gt;"","?FAMILIAR",IF(F1269="NEW",IF(ISNA(VLOOKUP(E1269,#REF!,1,FALSE())),"?TYPE_IDENTIFIABLE","?REFERENTIAL"),"_")))))</f>
        <v> </v>
      </c>
      <c r="H1269" s="24" t="str">
        <f>IF(J1269&lt;&gt;1,"",IF(I1269="SBJ","CB","?"))</f>
        <v> </v>
      </c>
      <c r="I1269" s="25" t="str">
        <f>IF(OR(E1269="",E1269="!!!",F1269="NEW"),"",INDEX(B1268:B$2,-1+SUMPRODUCT(MAX(ROW(E1268:E$2)*(E1269=E1268:E$2)))))</f>
        <v> </v>
      </c>
      <c r="J1269" s="25" t="str">
        <f>IF(OR(E1269="",E1269="!!!",F1269="NEW"),"",COUNTBLANK(OFFSET(A$1,,,SUMPRODUCT(MAX(ROW(E$2:E1269)*(E1269=E$2:E1269)))))-COUNTBLANK(OFFSET(A$1,,,SUMPRODUCT(MAX(ROW(E$1:E1268)*(E2=E$1:E1268))))))</f>
        <v> </v>
      </c>
      <c r="K1269" s="25" t="str">
        <f>IF(OR(E1269="",E1269="!!!",F1269="NEW"),"",INDEX(J$1:J1268,SUMPRODUCT(MAX(ROW(E$1:E1268)*(E1269=E$1:E1268)))))</f>
        <v> </v>
      </c>
      <c r="L1269" s="26"/>
    </row>
    <row r="1270" spans="1:12">
      <c r="A1270" s="20" t="s">
        <v>1006</v>
      </c>
      <c r="B1270" s="27" t="s">
        <v>657</v>
      </c>
      <c r="C1270" s="27" t="s">
        <v>614</v>
      </c>
      <c r="D1270" s="27" t="s">
        <v>608</v>
      </c>
      <c r="E1270" s="21">
        <f>IF(D1270="?OLD","!!!","")</f>
        <v/>
      </c>
      <c r="F1270" s="22" t="str">
        <f>IF(OR(E1270="",E1270="!!!"),"",IF(NOT(ISNA(VLOOKUP(E1270,E$1:E1269,1,FALSE()))),"OLD",IF(AND(E1270&lt;&gt;"",E1270&lt;&gt;"!!!"),"NEW","")))</f>
        <v> </v>
      </c>
      <c r="G1270" s="23" t="str">
        <f>IF(OR(E1270="",E1270="!!!"),"",IF(OR(J1270=0,AND(J1270=1,K1270=1),AND(J1270=1,I1270="SBJ"),AND(J1270=1,I1270=0)),"?IN_FOCUS",IF(J1270&lt;=2,"?ACTIVATED",IF(J1270&lt;&gt;"","?FAMILIAR",IF(F1270="NEW",IF(ISNA(VLOOKUP(E1270,#REF!,1,FALSE())),"?TYPE_IDENTIFIABLE","?REFERENTIAL"),"_")))))</f>
        <v> </v>
      </c>
      <c r="H1270" s="24" t="str">
        <f>IF(J1270&lt;&gt;1,"",IF(I1270="SBJ","CB","?"))</f>
        <v> </v>
      </c>
      <c r="I1270" s="25" t="str">
        <f>IF(OR(E1270="",E1270="!!!",F1270="NEW"),"",INDEX(B1269:B$2,-1+SUMPRODUCT(MAX(ROW(E1269:E$2)*(E1270=E1269:E$2)))))</f>
        <v> </v>
      </c>
      <c r="J1270" s="25" t="str">
        <f>IF(OR(E1270="",E1270="!!!",F1270="NEW"),"",COUNTBLANK(OFFSET(A$1,,,SUMPRODUCT(MAX(ROW(E$2:E1270)*(E1270=E$2:E1270)))))-COUNTBLANK(OFFSET(A$1,,,SUMPRODUCT(MAX(ROW(E$1:E1269)*(E2=E$1:E1269))))))</f>
        <v> </v>
      </c>
      <c r="K1270" s="25" t="str">
        <f>IF(OR(E1270="",E1270="!!!",F1270="NEW"),"",INDEX(J$1:J1269,SUMPRODUCT(MAX(ROW(E$1:E1269)*(E1270=E$1:E1269)))))</f>
        <v> </v>
      </c>
      <c r="L1270" s="26"/>
    </row>
    <row r="1271" spans="1:12">
      <c r="A1271" s="20" t="s">
        <v>759</v>
      </c>
      <c r="E1271" s="21">
        <f>IF(D1271="?OLD","!!!","")</f>
        <v/>
      </c>
      <c r="F1271" s="22" t="str">
        <f>IF(OR(E1271="",E1271="!!!"),"",IF(NOT(ISNA(VLOOKUP(E1271,E$1:E1270,1,FALSE()))),"OLD",IF(AND(E1271&lt;&gt;"",E1271&lt;&gt;"!!!"),"NEW","")))</f>
        <v> </v>
      </c>
      <c r="G1271" s="23" t="str">
        <f>IF(OR(E1271="",E1271="!!!"),"",IF(OR(J1271=0,AND(J1271=1,K1271=1),AND(J1271=1,I1271="SBJ"),AND(J1271=1,I1271=0)),"?IN_FOCUS",IF(J1271&lt;=2,"?ACTIVATED",IF(J1271&lt;&gt;"","?FAMILIAR",IF(F1271="NEW",IF(ISNA(VLOOKUP(E1271,#REF!,1,FALSE())),"?TYPE_IDENTIFIABLE","?REFERENTIAL"),"_")))))</f>
        <v> </v>
      </c>
      <c r="H1271" s="24" t="str">
        <f>IF(J1271&lt;&gt;1,"",IF(I1271="SBJ","CB","?"))</f>
        <v> </v>
      </c>
      <c r="I1271" s="25" t="str">
        <f>IF(OR(E1271="",E1271="!!!",F1271="NEW"),"",INDEX(B1270:B$2,-1+SUMPRODUCT(MAX(ROW(E1270:E$2)*(E1271=E1270:E$2)))))</f>
        <v> </v>
      </c>
      <c r="J1271" s="25" t="str">
        <f>IF(OR(E1271="",E1271="!!!",F1271="NEW"),"",COUNTBLANK(OFFSET(A$1,,,SUMPRODUCT(MAX(ROW(E$2:E1271)*(E1271=E$2:E1271)))))-COUNTBLANK(OFFSET(A$1,,,SUMPRODUCT(MAX(ROW(E$1:E1270)*(E2=E$1:E1270))))))</f>
        <v> </v>
      </c>
      <c r="K1271" s="25" t="str">
        <f>IF(OR(E1271="",E1271="!!!",F1271="NEW"),"",INDEX(J$1:J1270,SUMPRODUCT(MAX(ROW(E$1:E1270)*(E1271=E$1:E1270)))))</f>
        <v> </v>
      </c>
      <c r="L1271" s="26"/>
    </row>
    <row r="1272" spans="1:12">
      <c r="A1272" s="20" t="s">
        <v>938</v>
      </c>
      <c r="E1272" s="21">
        <f>IF(D1272="?OLD","!!!","")</f>
        <v/>
      </c>
      <c r="F1272" s="22" t="str">
        <f>IF(OR(E1272="",E1272="!!!"),"",IF(NOT(ISNA(VLOOKUP(E1272,E$1:E1271,1,FALSE()))),"OLD",IF(AND(E1272&lt;&gt;"",E1272&lt;&gt;"!!!"),"NEW","")))</f>
        <v> </v>
      </c>
      <c r="G1272" s="23" t="str">
        <f>IF(OR(E1272="",E1272="!!!"),"",IF(OR(J1272=0,AND(J1272=1,K1272=1),AND(J1272=1,I1272="SBJ"),AND(J1272=1,I1272=0)),"?IN_FOCUS",IF(J1272&lt;=2,"?ACTIVATED",IF(J1272&lt;&gt;"","?FAMILIAR",IF(F1272="NEW",IF(ISNA(VLOOKUP(E1272,#REF!,1,FALSE())),"?TYPE_IDENTIFIABLE","?REFERENTIAL"),"_")))))</f>
        <v> </v>
      </c>
      <c r="H1272" s="24" t="str">
        <f>IF(J1272&lt;&gt;1,"",IF(I1272="SBJ","CB","?"))</f>
        <v> </v>
      </c>
      <c r="I1272" s="25" t="str">
        <f>IF(OR(E1272="",E1272="!!!",F1272="NEW"),"",INDEX(B1271:B$2,-1+SUMPRODUCT(MAX(ROW(E1271:E$2)*(E1272=E1271:E$2)))))</f>
        <v> </v>
      </c>
      <c r="J1272" s="25" t="str">
        <f>IF(OR(E1272="",E1272="!!!",F1272="NEW"),"",COUNTBLANK(OFFSET(A$1,,,SUMPRODUCT(MAX(ROW(E$2:E1272)*(E1272=E$2:E1272)))))-COUNTBLANK(OFFSET(A$1,,,SUMPRODUCT(MAX(ROW(E$1:E1271)*(E2=E$1:E1271))))))</f>
        <v> </v>
      </c>
      <c r="K1272" s="25" t="str">
        <f>IF(OR(E1272="",E1272="!!!",F1272="NEW"),"",INDEX(J$1:J1271,SUMPRODUCT(MAX(ROW(E$1:E1271)*(E1272=E$1:E1271)))))</f>
        <v> </v>
      </c>
      <c r="L1272" s="26"/>
    </row>
    <row r="1273" spans="1:12">
      <c r="A1273" s="20" t="s">
        <v>1169</v>
      </c>
      <c r="B1273" s="27" t="s">
        <v>611</v>
      </c>
      <c r="C1273" s="27" t="s">
        <v>685</v>
      </c>
      <c r="E1273" s="21">
        <f>IF(D1273="?OLD","!!!","")</f>
        <v/>
      </c>
      <c r="F1273" s="22" t="str">
        <f>IF(OR(E1273="",E1273="!!!"),"",IF(NOT(ISNA(VLOOKUP(E1273,E$1:E1272,1,FALSE()))),"OLD",IF(AND(E1273&lt;&gt;"",E1273&lt;&gt;"!!!"),"NEW","")))</f>
        <v> </v>
      </c>
      <c r="G1273" s="23" t="str">
        <f>IF(OR(E1273="",E1273="!!!"),"",IF(OR(J1273=0,AND(J1273=1,K1273=1),AND(J1273=1,I1273="SBJ"),AND(J1273=1,I1273=0)),"?IN_FOCUS",IF(J1273&lt;=2,"?ACTIVATED",IF(J1273&lt;&gt;"","?FAMILIAR",IF(F1273="NEW",IF(ISNA(VLOOKUP(E1273,#REF!,1,FALSE())),"?TYPE_IDENTIFIABLE","?REFERENTIAL"),"_")))))</f>
        <v> </v>
      </c>
      <c r="H1273" s="24" t="str">
        <f>IF(J1273&lt;&gt;1,"",IF(I1273="SBJ","CB","?"))</f>
        <v> </v>
      </c>
      <c r="I1273" s="25" t="str">
        <f>IF(OR(E1273="",E1273="!!!",F1273="NEW"),"",INDEX(B1272:B$2,-1+SUMPRODUCT(MAX(ROW(E1272:E$2)*(E1273=E1272:E$2)))))</f>
        <v> </v>
      </c>
      <c r="J1273" s="25" t="str">
        <f>IF(OR(E1273="",E1273="!!!",F1273="NEW"),"",COUNTBLANK(OFFSET(A$1,,,SUMPRODUCT(MAX(ROW(E$2:E1273)*(E1273=E$2:E1273)))))-COUNTBLANK(OFFSET(A$1,,,SUMPRODUCT(MAX(ROW(E$1:E1272)*(E2=E$1:E1272))))))</f>
        <v> </v>
      </c>
      <c r="K1273" s="25" t="str">
        <f>IF(OR(E1273="",E1273="!!!",F1273="NEW"),"",INDEX(J$1:J1272,SUMPRODUCT(MAX(ROW(E$1:E1272)*(E1273=E$1:E1272)))))</f>
        <v> </v>
      </c>
      <c r="L1273" s="26"/>
    </row>
    <row r="1274" spans="1:12">
      <c r="A1274" s="20" t="s">
        <v>979</v>
      </c>
      <c r="E1274" s="21">
        <f>IF(D1274="?OLD","!!!","")</f>
        <v/>
      </c>
      <c r="F1274" s="22" t="str">
        <f>IF(OR(E1274="",E1274="!!!"),"",IF(NOT(ISNA(VLOOKUP(E1274,E$1:E1273,1,FALSE()))),"OLD",IF(AND(E1274&lt;&gt;"",E1274&lt;&gt;"!!!"),"NEW","")))</f>
        <v> </v>
      </c>
      <c r="G1274" s="23" t="str">
        <f>IF(OR(E1274="",E1274="!!!"),"",IF(OR(J1274=0,AND(J1274=1,K1274=1),AND(J1274=1,I1274="SBJ"),AND(J1274=1,I1274=0)),"?IN_FOCUS",IF(J1274&lt;=2,"?ACTIVATED",IF(J1274&lt;&gt;"","?FAMILIAR",IF(F1274="NEW",IF(ISNA(VLOOKUP(E1274,#REF!,1,FALSE())),"?TYPE_IDENTIFIABLE","?REFERENTIAL"),"_")))))</f>
        <v> </v>
      </c>
      <c r="H1274" s="24" t="str">
        <f>IF(J1274&lt;&gt;1,"",IF(I1274="SBJ","CB","?"))</f>
        <v> </v>
      </c>
      <c r="I1274" s="25" t="str">
        <f>IF(OR(E1274="",E1274="!!!",F1274="NEW"),"",INDEX(B1273:B$2,-1+SUMPRODUCT(MAX(ROW(E1273:E$2)*(E1274=E1273:E$2)))))</f>
        <v> </v>
      </c>
      <c r="J1274" s="25" t="str">
        <f>IF(OR(E1274="",E1274="!!!",F1274="NEW"),"",COUNTBLANK(OFFSET(A$1,,,SUMPRODUCT(MAX(ROW(E$2:E1274)*(E1274=E$2:E1274)))))-COUNTBLANK(OFFSET(A$1,,,SUMPRODUCT(MAX(ROW(E$1:E1273)*(E2=E$1:E1273))))))</f>
        <v> </v>
      </c>
      <c r="K1274" s="25" t="str">
        <f>IF(OR(E1274="",E1274="!!!",F1274="NEW"),"",INDEX(J$1:J1273,SUMPRODUCT(MAX(ROW(E$1:E1273)*(E1274=E$1:E1273)))))</f>
        <v> </v>
      </c>
      <c r="L1274" s="26"/>
    </row>
    <row r="1275" spans="1:12">
      <c r="A1275" s="20" t="s">
        <v>1170</v>
      </c>
      <c r="B1275" s="27" t="s">
        <v>625</v>
      </c>
      <c r="C1275" s="27" t="s">
        <v>622</v>
      </c>
      <c r="E1275" s="21">
        <f>IF(D1275="?OLD","!!!","")</f>
        <v/>
      </c>
      <c r="F1275" s="22" t="str">
        <f>IF(OR(E1275="",E1275="!!!"),"",IF(NOT(ISNA(VLOOKUP(E1275,E$1:E1274,1,FALSE()))),"OLD",IF(AND(E1275&lt;&gt;"",E1275&lt;&gt;"!!!"),"NEW","")))</f>
        <v> </v>
      </c>
      <c r="G1275" s="23" t="str">
        <f>IF(OR(E1275="",E1275="!!!"),"",IF(OR(J1275=0,AND(J1275=1,K1275=1),AND(J1275=1,I1275="SBJ"),AND(J1275=1,I1275=0)),"?IN_FOCUS",IF(J1275&lt;=2,"?ACTIVATED",IF(J1275&lt;&gt;"","?FAMILIAR",IF(F1275="NEW",IF(ISNA(VLOOKUP(E1275,#REF!,1,FALSE())),"?TYPE_IDENTIFIABLE","?REFERENTIAL"),"_")))))</f>
        <v> </v>
      </c>
      <c r="H1275" s="24" t="str">
        <f>IF(J1275&lt;&gt;1,"",IF(I1275="SBJ","CB","?"))</f>
        <v> </v>
      </c>
      <c r="I1275" s="25" t="str">
        <f>IF(OR(E1275="",E1275="!!!",F1275="NEW"),"",INDEX(B1274:B$2,-1+SUMPRODUCT(MAX(ROW(E1274:E$2)*(E1275=E1274:E$2)))))</f>
        <v> </v>
      </c>
      <c r="J1275" s="25" t="str">
        <f>IF(OR(E1275="",E1275="!!!",F1275="NEW"),"",COUNTBLANK(OFFSET(A$1,,,SUMPRODUCT(MAX(ROW(E$2:E1275)*(E1275=E$2:E1275)))))-COUNTBLANK(OFFSET(A$1,,,SUMPRODUCT(MAX(ROW(E$1:E1274)*(E2=E$1:E1274))))))</f>
        <v> </v>
      </c>
      <c r="K1275" s="25" t="str">
        <f>IF(OR(E1275="",E1275="!!!",F1275="NEW"),"",INDEX(J$1:J1274,SUMPRODUCT(MAX(ROW(E$1:E1274)*(E1275=E$1:E1274)))))</f>
        <v> </v>
      </c>
      <c r="L1275" s="26"/>
    </row>
    <row r="1276" spans="1:12">
      <c r="A1276" s="20" t="s">
        <v>617</v>
      </c>
      <c r="E1276" s="21">
        <f>IF(D1276="?OLD","!!!","")</f>
        <v/>
      </c>
      <c r="F1276" s="22" t="str">
        <f>IF(OR(E1276="",E1276="!!!"),"",IF(NOT(ISNA(VLOOKUP(E1276,E$1:E1275,1,FALSE()))),"OLD",IF(AND(E1276&lt;&gt;"",E1276&lt;&gt;"!!!"),"NEW","")))</f>
        <v> </v>
      </c>
      <c r="G1276" s="23" t="str">
        <f>IF(OR(E1276="",E1276="!!!"),"",IF(OR(J1276=0,AND(J1276=1,K1276=1),AND(J1276=1,I1276="SBJ"),AND(J1276=1,I1276=0)),"?IN_FOCUS",IF(J1276&lt;=2,"?ACTIVATED",IF(J1276&lt;&gt;"","?FAMILIAR",IF(F1276="NEW",IF(ISNA(VLOOKUP(E1276,#REF!,1,FALSE())),"?TYPE_IDENTIFIABLE","?REFERENTIAL"),"_")))))</f>
        <v> </v>
      </c>
      <c r="H1276" s="24" t="str">
        <f>IF(J1276&lt;&gt;1,"",IF(I1276="SBJ","CB","?"))</f>
        <v> </v>
      </c>
      <c r="I1276" s="25" t="str">
        <f>IF(OR(E1276="",E1276="!!!",F1276="NEW"),"",INDEX(B1275:B$2,-1+SUMPRODUCT(MAX(ROW(E1275:E$2)*(E1276=E1275:E$2)))))</f>
        <v> </v>
      </c>
      <c r="J1276" s="25" t="str">
        <f>IF(OR(E1276="",E1276="!!!",F1276="NEW"),"",COUNTBLANK(OFFSET(A$1,,,SUMPRODUCT(MAX(ROW(E$2:E1276)*(E1276=E$2:E1276)))))-COUNTBLANK(OFFSET(A$1,,,SUMPRODUCT(MAX(ROW(E$1:E1275)*(E2=E$1:E1275))))))</f>
        <v> </v>
      </c>
      <c r="K1276" s="25" t="str">
        <f>IF(OR(E1276="",E1276="!!!",F1276="NEW"),"",INDEX(J$1:J1275,SUMPRODUCT(MAX(ROW(E$1:E1275)*(E1276=E$1:E1275)))))</f>
        <v> </v>
      </c>
      <c r="L1276" s="26"/>
    </row>
    <row r="1277" spans="1:12">
      <c r="A1277" s="20" t="s">
        <v>979</v>
      </c>
      <c r="E1277" s="21">
        <f>IF(D1277="?OLD","!!!","")</f>
        <v/>
      </c>
      <c r="F1277" s="22" t="str">
        <f>IF(OR(E1277="",E1277="!!!"),"",IF(NOT(ISNA(VLOOKUP(E1277,E$1:E1276,1,FALSE()))),"OLD",IF(AND(E1277&lt;&gt;"",E1277&lt;&gt;"!!!"),"NEW","")))</f>
        <v> </v>
      </c>
      <c r="G1277" s="23" t="str">
        <f>IF(OR(E1277="",E1277="!!!"),"",IF(OR(J1277=0,AND(J1277=1,K1277=1),AND(J1277=1,I1277="SBJ"),AND(J1277=1,I1277=0)),"?IN_FOCUS",IF(J1277&lt;=2,"?ACTIVATED",IF(J1277&lt;&gt;"","?FAMILIAR",IF(F1277="NEW",IF(ISNA(VLOOKUP(E1277,#REF!,1,FALSE())),"?TYPE_IDENTIFIABLE","?REFERENTIAL"),"_")))))</f>
        <v> </v>
      </c>
      <c r="H1277" s="24" t="str">
        <f>IF(J1277&lt;&gt;1,"",IF(I1277="SBJ","CB","?"))</f>
        <v> </v>
      </c>
      <c r="I1277" s="25" t="str">
        <f>IF(OR(E1277="",E1277="!!!",F1277="NEW"),"",INDEX(B1276:B$2,-1+SUMPRODUCT(MAX(ROW(E1276:E$2)*(E1277=E1276:E$2)))))</f>
        <v> </v>
      </c>
      <c r="J1277" s="25" t="str">
        <f>IF(OR(E1277="",E1277="!!!",F1277="NEW"),"",COUNTBLANK(OFFSET(A$1,,,SUMPRODUCT(MAX(ROW(E$2:E1277)*(E1277=E$2:E1277)))))-COUNTBLANK(OFFSET(A$1,,,SUMPRODUCT(MAX(ROW(E$1:E1276)*(E2=E$1:E1276))))))</f>
        <v> </v>
      </c>
      <c r="K1277" s="25" t="str">
        <f>IF(OR(E1277="",E1277="!!!",F1277="NEW"),"",INDEX(J$1:J1276,SUMPRODUCT(MAX(ROW(E$1:E1276)*(E1277=E$1:E1276)))))</f>
        <v> </v>
      </c>
      <c r="L1277" s="26"/>
    </row>
    <row r="1278" spans="1:12">
      <c r="A1278" s="20" t="s">
        <v>1171</v>
      </c>
      <c r="B1278" s="27" t="s">
        <v>611</v>
      </c>
      <c r="C1278" s="27" t="s">
        <v>622</v>
      </c>
      <c r="E1278" s="21">
        <f>IF(D1278="?OLD","!!!","")</f>
        <v/>
      </c>
      <c r="F1278" s="22" t="str">
        <f>IF(OR(E1278="",E1278="!!!"),"",IF(NOT(ISNA(VLOOKUP(E1278,E$1:E1277,1,FALSE()))),"OLD",IF(AND(E1278&lt;&gt;"",E1278&lt;&gt;"!!!"),"NEW","")))</f>
        <v> </v>
      </c>
      <c r="G1278" s="23" t="str">
        <f>IF(OR(E1278="",E1278="!!!"),"",IF(OR(J1278=0,AND(J1278=1,K1278=1),AND(J1278=1,I1278="SBJ"),AND(J1278=1,I1278=0)),"?IN_FOCUS",IF(J1278&lt;=2,"?ACTIVATED",IF(J1278&lt;&gt;"","?FAMILIAR",IF(F1278="NEW",IF(ISNA(VLOOKUP(E1278,#REF!,1,FALSE())),"?TYPE_IDENTIFIABLE","?REFERENTIAL"),"_")))))</f>
        <v> </v>
      </c>
      <c r="H1278" s="24" t="str">
        <f>IF(J1278&lt;&gt;1,"",IF(I1278="SBJ","CB","?"))</f>
        <v> </v>
      </c>
      <c r="I1278" s="25" t="str">
        <f>IF(OR(E1278="",E1278="!!!",F1278="NEW"),"",INDEX(B1277:B$2,-1+SUMPRODUCT(MAX(ROW(E1277:E$2)*(E1278=E1277:E$2)))))</f>
        <v> </v>
      </c>
      <c r="J1278" s="25" t="str">
        <f>IF(OR(E1278="",E1278="!!!",F1278="NEW"),"",COUNTBLANK(OFFSET(A$1,,,SUMPRODUCT(MAX(ROW(E$2:E1278)*(E1278=E$2:E1278)))))-COUNTBLANK(OFFSET(A$1,,,SUMPRODUCT(MAX(ROW(E$1:E1277)*(E2=E$1:E1277))))))</f>
        <v> </v>
      </c>
      <c r="K1278" s="25" t="str">
        <f>IF(OR(E1278="",E1278="!!!",F1278="NEW"),"",INDEX(J$1:J1277,SUMPRODUCT(MAX(ROW(E$1:E1277)*(E1278=E$1:E1277)))))</f>
        <v> </v>
      </c>
      <c r="L1278" s="26"/>
    </row>
    <row r="1279" spans="1:12">
      <c r="A1279" s="20" t="s">
        <v>617</v>
      </c>
      <c r="E1279" s="21">
        <f>IF(D1279="?OLD","!!!","")</f>
        <v/>
      </c>
      <c r="F1279" s="22" t="str">
        <f>IF(OR(E1279="",E1279="!!!"),"",IF(NOT(ISNA(VLOOKUP(E1279,E$1:E1278,1,FALSE()))),"OLD",IF(AND(E1279&lt;&gt;"",E1279&lt;&gt;"!!!"),"NEW","")))</f>
        <v> </v>
      </c>
      <c r="G1279" s="23" t="str">
        <f>IF(OR(E1279="",E1279="!!!"),"",IF(OR(J1279=0,AND(J1279=1,K1279=1),AND(J1279=1,I1279="SBJ"),AND(J1279=1,I1279=0)),"?IN_FOCUS",IF(J1279&lt;=2,"?ACTIVATED",IF(J1279&lt;&gt;"","?FAMILIAR",IF(F1279="NEW",IF(ISNA(VLOOKUP(E1279,#REF!,1,FALSE())),"?TYPE_IDENTIFIABLE","?REFERENTIAL"),"_")))))</f>
        <v> </v>
      </c>
      <c r="H1279" s="24" t="str">
        <f>IF(J1279&lt;&gt;1,"",IF(I1279="SBJ","CB","?"))</f>
        <v> </v>
      </c>
      <c r="I1279" s="25" t="str">
        <f>IF(OR(E1279="",E1279="!!!",F1279="NEW"),"",INDEX(B1278:B$2,-1+SUMPRODUCT(MAX(ROW(E1278:E$2)*(E1279=E1278:E$2)))))</f>
        <v> </v>
      </c>
      <c r="J1279" s="25" t="str">
        <f>IF(OR(E1279="",E1279="!!!",F1279="NEW"),"",COUNTBLANK(OFFSET(A$1,,,SUMPRODUCT(MAX(ROW(E$2:E1279)*(E1279=E$2:E1279)))))-COUNTBLANK(OFFSET(A$1,,,SUMPRODUCT(MAX(ROW(E$1:E1278)*(E2=E$1:E1278))))))</f>
        <v> </v>
      </c>
      <c r="K1279" s="25" t="str">
        <f>IF(OR(E1279="",E1279="!!!",F1279="NEW"),"",INDEX(J$1:J1278,SUMPRODUCT(MAX(ROW(E$1:E1278)*(E1279=E$1:E1278)))))</f>
        <v> </v>
      </c>
      <c r="L1279" s="26"/>
    </row>
    <row r="1280" spans="1:12">
      <c r="A1280" s="20" t="s">
        <v>1172</v>
      </c>
      <c r="E1280" s="21">
        <f>IF(D1280="?OLD","!!!","")</f>
        <v/>
      </c>
      <c r="F1280" s="22" t="str">
        <f>IF(OR(E1280="",E1280="!!!"),"",IF(NOT(ISNA(VLOOKUP(E1280,E$1:E1279,1,FALSE()))),"OLD",IF(AND(E1280&lt;&gt;"",E1280&lt;&gt;"!!!"),"NEW","")))</f>
        <v> </v>
      </c>
      <c r="G1280" s="23" t="str">
        <f>IF(OR(E1280="",E1280="!!!"),"",IF(OR(J1280=0,AND(J1280=1,K1280=1),AND(J1280=1,I1280="SBJ"),AND(J1280=1,I1280=0)),"?IN_FOCUS",IF(J1280&lt;=2,"?ACTIVATED",IF(J1280&lt;&gt;"","?FAMILIAR",IF(F1280="NEW",IF(ISNA(VLOOKUP(E1280,#REF!,1,FALSE())),"?TYPE_IDENTIFIABLE","?REFERENTIAL"),"_")))))</f>
        <v> </v>
      </c>
      <c r="H1280" s="24" t="str">
        <f>IF(J1280&lt;&gt;1,"",IF(I1280="SBJ","CB","?"))</f>
        <v> </v>
      </c>
      <c r="I1280" s="25" t="str">
        <f>IF(OR(E1280="",E1280="!!!",F1280="NEW"),"",INDEX(B1279:B$2,-1+SUMPRODUCT(MAX(ROW(E1279:E$2)*(E1280=E1279:E$2)))))</f>
        <v> </v>
      </c>
      <c r="J1280" s="25" t="str">
        <f>IF(OR(E1280="",E1280="!!!",F1280="NEW"),"",COUNTBLANK(OFFSET(A$1,,,SUMPRODUCT(MAX(ROW(E$2:E1280)*(E1280=E$2:E1280)))))-COUNTBLANK(OFFSET(A$1,,,SUMPRODUCT(MAX(ROW(E$1:E1279)*(E2=E$1:E1279))))))</f>
        <v> </v>
      </c>
      <c r="K1280" s="25" t="str">
        <f>IF(OR(E1280="",E1280="!!!",F1280="NEW"),"",INDEX(J$1:J1279,SUMPRODUCT(MAX(ROW(E$1:E1279)*(E1280=E$1:E1279)))))</f>
        <v> </v>
      </c>
      <c r="L1280" s="26"/>
    </row>
    <row r="1281" spans="1:12">
      <c r="A1281" s="20" t="s">
        <v>856</v>
      </c>
      <c r="B1281" s="27" t="s">
        <v>742</v>
      </c>
      <c r="C1281" s="27" t="s">
        <v>637</v>
      </c>
      <c r="D1281" s="27" t="s">
        <v>608</v>
      </c>
      <c r="E1281" s="21">
        <f>IF(D1281="?OLD","!!!","")</f>
        <v/>
      </c>
      <c r="F1281" s="22" t="str">
        <f>IF(OR(E1281="",E1281="!!!"),"",IF(NOT(ISNA(VLOOKUP(E1281,E$1:E1280,1,FALSE()))),"OLD",IF(AND(E1281&lt;&gt;"",E1281&lt;&gt;"!!!"),"NEW","")))</f>
        <v> </v>
      </c>
      <c r="G1281" s="23" t="str">
        <f>IF(OR(E1281="",E1281="!!!"),"",IF(OR(J1281=0,AND(J1281=1,K1281=1),AND(J1281=1,I1281="SBJ"),AND(J1281=1,I1281=0)),"?IN_FOCUS",IF(J1281&lt;=2,"?ACTIVATED",IF(J1281&lt;&gt;"","?FAMILIAR",IF(F1281="NEW",IF(ISNA(VLOOKUP(E1281,#REF!,1,FALSE())),"?TYPE_IDENTIFIABLE","?REFERENTIAL"),"_")))))</f>
        <v> </v>
      </c>
      <c r="H1281" s="24" t="str">
        <f>IF(J1281&lt;&gt;1,"",IF(I1281="SBJ","CB","?"))</f>
        <v> </v>
      </c>
      <c r="I1281" s="25" t="str">
        <f>IF(OR(E1281="",E1281="!!!",F1281="NEW"),"",INDEX(B1280:B$2,-1+SUMPRODUCT(MAX(ROW(E1280:E$2)*(E1281=E1280:E$2)))))</f>
        <v> </v>
      </c>
      <c r="J1281" s="25" t="str">
        <f>IF(OR(E1281="",E1281="!!!",F1281="NEW"),"",COUNTBLANK(OFFSET(A$1,,,SUMPRODUCT(MAX(ROW(E$2:E1281)*(E1281=E$2:E1281)))))-COUNTBLANK(OFFSET(A$1,,,SUMPRODUCT(MAX(ROW(E$1:E1280)*(E2=E$1:E1280))))))</f>
        <v> </v>
      </c>
      <c r="K1281" s="25" t="str">
        <f>IF(OR(E1281="",E1281="!!!",F1281="NEW"),"",INDEX(J$1:J1280,SUMPRODUCT(MAX(ROW(E$1:E1280)*(E1281=E$1:E1280)))))</f>
        <v> </v>
      </c>
      <c r="L1281" s="26"/>
    </row>
    <row r="1282" spans="1:12">
      <c r="A1282" s="20" t="s">
        <v>693</v>
      </c>
      <c r="B1282" s="27" t="s">
        <v>670</v>
      </c>
      <c r="C1282" s="27" t="s">
        <v>652</v>
      </c>
      <c r="D1282" s="27" t="s">
        <v>608</v>
      </c>
      <c r="E1282" s="21">
        <f>IF(D1282="?OLD","!!!","")</f>
        <v/>
      </c>
      <c r="F1282" s="22" t="str">
        <f>IF(OR(E1282="",E1282="!!!"),"",IF(NOT(ISNA(VLOOKUP(E1282,E$1:E1281,1,FALSE()))),"OLD",IF(AND(E1282&lt;&gt;"",E1282&lt;&gt;"!!!"),"NEW","")))</f>
        <v> </v>
      </c>
      <c r="G1282" s="23" t="str">
        <f>IF(OR(E1282="",E1282="!!!"),"",IF(OR(J1282=0,AND(J1282=1,K1282=1),AND(J1282=1,I1282="SBJ"),AND(J1282=1,I1282=0)),"?IN_FOCUS",IF(J1282&lt;=2,"?ACTIVATED",IF(J1282&lt;&gt;"","?FAMILIAR",IF(F1282="NEW",IF(ISNA(VLOOKUP(E1282,#REF!,1,FALSE())),"?TYPE_IDENTIFIABLE","?REFERENTIAL"),"_")))))</f>
        <v> </v>
      </c>
      <c r="H1282" s="24" t="str">
        <f>IF(J1282&lt;&gt;1,"",IF(I1282="SBJ","CB","?"))</f>
        <v> </v>
      </c>
      <c r="I1282" s="25" t="str">
        <f>IF(OR(E1282="",E1282="!!!",F1282="NEW"),"",INDEX(B1281:B$2,-1+SUMPRODUCT(MAX(ROW(E1281:E$2)*(E1282=E1281:E$2)))))</f>
        <v> </v>
      </c>
      <c r="J1282" s="25" t="str">
        <f>IF(OR(E1282="",E1282="!!!",F1282="NEW"),"",COUNTBLANK(OFFSET(A$1,,,SUMPRODUCT(MAX(ROW(E$2:E1282)*(E1282=E$2:E1282)))))-COUNTBLANK(OFFSET(A$1,,,SUMPRODUCT(MAX(ROW(E$1:E1281)*(E2=E$1:E1281))))))</f>
        <v> </v>
      </c>
      <c r="K1282" s="25" t="str">
        <f>IF(OR(E1282="",E1282="!!!",F1282="NEW"),"",INDEX(J$1:J1281,SUMPRODUCT(MAX(ROW(E$1:E1281)*(E1282=E$1:E1281)))))</f>
        <v> </v>
      </c>
      <c r="L1282" s="26"/>
    </row>
    <row r="1283" spans="1:12">
      <c r="A1283" s="20" t="s">
        <v>1088</v>
      </c>
      <c r="B1283" s="27" t="s">
        <v>1022</v>
      </c>
      <c r="C1283" s="27" t="s">
        <v>678</v>
      </c>
      <c r="E1283" s="21">
        <f>IF(D1283="?OLD","!!!","")</f>
        <v/>
      </c>
      <c r="F1283" s="22" t="str">
        <f>IF(OR(E1283="",E1283="!!!"),"",IF(NOT(ISNA(VLOOKUP(E1283,E$1:E1282,1,FALSE()))),"OLD",IF(AND(E1283&lt;&gt;"",E1283&lt;&gt;"!!!"),"NEW","")))</f>
        <v> </v>
      </c>
      <c r="G1283" s="23" t="str">
        <f>IF(OR(E1283="",E1283="!!!"),"",IF(OR(J1283=0,AND(J1283=1,K1283=1),AND(J1283=1,I1283="SBJ"),AND(J1283=1,I1283=0)),"?IN_FOCUS",IF(J1283&lt;=2,"?ACTIVATED",IF(J1283&lt;&gt;"","?FAMILIAR",IF(F1283="NEW",IF(ISNA(VLOOKUP(E1283,#REF!,1,FALSE())),"?TYPE_IDENTIFIABLE","?REFERENTIAL"),"_")))))</f>
        <v> </v>
      </c>
      <c r="H1283" s="24" t="str">
        <f>IF(J1283&lt;&gt;1,"",IF(I1283="SBJ","CB","?"))</f>
        <v> </v>
      </c>
      <c r="I1283" s="25" t="str">
        <f>IF(OR(E1283="",E1283="!!!",F1283="NEW"),"",INDEX(B1282:B$2,-1+SUMPRODUCT(MAX(ROW(E1282:E$2)*(E1283=E1282:E$2)))))</f>
        <v> </v>
      </c>
      <c r="J1283" s="25" t="str">
        <f>IF(OR(E1283="",E1283="!!!",F1283="NEW"),"",COUNTBLANK(OFFSET(A$1,,,SUMPRODUCT(MAX(ROW(E$2:E1283)*(E1283=E$2:E1283)))))-COUNTBLANK(OFFSET(A$1,,,SUMPRODUCT(MAX(ROW(E$1:E1282)*(E2=E$1:E1282))))))</f>
        <v> </v>
      </c>
      <c r="K1283" s="25" t="str">
        <f>IF(OR(E1283="",E1283="!!!",F1283="NEW"),"",INDEX(J$1:J1282,SUMPRODUCT(MAX(ROW(E$1:E1282)*(E1283=E$1:E1282)))))</f>
        <v> </v>
      </c>
      <c r="L1283" s="26"/>
    </row>
    <row r="1284" spans="1:12">
      <c r="A1284" s="20" t="s">
        <v>667</v>
      </c>
      <c r="E1284" s="21">
        <f>IF(D1284="?OLD","!!!","")</f>
        <v/>
      </c>
      <c r="F1284" s="22" t="str">
        <f>IF(OR(E1284="",E1284="!!!"),"",IF(NOT(ISNA(VLOOKUP(E1284,E$1:E1283,1,FALSE()))),"OLD",IF(AND(E1284&lt;&gt;"",E1284&lt;&gt;"!!!"),"NEW","")))</f>
        <v> </v>
      </c>
      <c r="G1284" s="23" t="str">
        <f>IF(OR(E1284="",E1284="!!!"),"",IF(OR(J1284=0,AND(J1284=1,K1284=1),AND(J1284=1,I1284="SBJ"),AND(J1284=1,I1284=0)),"?IN_FOCUS",IF(J1284&lt;=2,"?ACTIVATED",IF(J1284&lt;&gt;"","?FAMILIAR",IF(F1284="NEW",IF(ISNA(VLOOKUP(E1284,#REF!,1,FALSE())),"?TYPE_IDENTIFIABLE","?REFERENTIAL"),"_")))))</f>
        <v> </v>
      </c>
      <c r="H1284" s="24" t="str">
        <f>IF(J1284&lt;&gt;1,"",IF(I1284="SBJ","CB","?"))</f>
        <v> </v>
      </c>
      <c r="I1284" s="25" t="str">
        <f>IF(OR(E1284="",E1284="!!!",F1284="NEW"),"",INDEX(B1283:B$2,-1+SUMPRODUCT(MAX(ROW(E1283:E$2)*(E1284=E1283:E$2)))))</f>
        <v> </v>
      </c>
      <c r="J1284" s="25" t="str">
        <f>IF(OR(E1284="",E1284="!!!",F1284="NEW"),"",COUNTBLANK(OFFSET(A$1,,,SUMPRODUCT(MAX(ROW(E$2:E1284)*(E1284=E$2:E1284)))))-COUNTBLANK(OFFSET(A$1,,,SUMPRODUCT(MAX(ROW(E$1:E1283)*(E2=E$1:E1283))))))</f>
        <v> </v>
      </c>
      <c r="K1284" s="25" t="str">
        <f>IF(OR(E1284="",E1284="!!!",F1284="NEW"),"",INDEX(J$1:J1283,SUMPRODUCT(MAX(ROW(E$1:E1283)*(E1284=E$1:E1283)))))</f>
        <v> </v>
      </c>
      <c r="L1284" s="26"/>
    </row>
    <row r="1285" spans="1:12">
      <c r="A1285" s="20" t="s">
        <v>617</v>
      </c>
      <c r="E1285" s="21">
        <f>IF(D1285="?OLD","!!!","")</f>
        <v/>
      </c>
      <c r="F1285" s="22" t="str">
        <f>IF(OR(E1285="",E1285="!!!"),"",IF(NOT(ISNA(VLOOKUP(E1285,E$1:E1284,1,FALSE()))),"OLD",IF(AND(E1285&lt;&gt;"",E1285&lt;&gt;"!!!"),"NEW","")))</f>
        <v> </v>
      </c>
      <c r="G1285" s="23" t="str">
        <f>IF(OR(E1285="",E1285="!!!"),"",IF(OR(J1285=0,AND(J1285=1,K1285=1),AND(J1285=1,I1285="SBJ"),AND(J1285=1,I1285=0)),"?IN_FOCUS",IF(J1285&lt;=2,"?ACTIVATED",IF(J1285&lt;&gt;"","?FAMILIAR",IF(F1285="NEW",IF(ISNA(VLOOKUP(E1285,#REF!,1,FALSE())),"?TYPE_IDENTIFIABLE","?REFERENTIAL"),"_")))))</f>
        <v> </v>
      </c>
      <c r="H1285" s="24" t="str">
        <f>IF(J1285&lt;&gt;1,"",IF(I1285="SBJ","CB","?"))</f>
        <v> </v>
      </c>
      <c r="I1285" s="25" t="str">
        <f>IF(OR(E1285="",E1285="!!!",F1285="NEW"),"",INDEX(B1284:B$2,-1+SUMPRODUCT(MAX(ROW(E1284:E$2)*(E1285=E1284:E$2)))))</f>
        <v> </v>
      </c>
      <c r="J1285" s="25" t="str">
        <f>IF(OR(E1285="",E1285="!!!",F1285="NEW"),"",COUNTBLANK(OFFSET(A$1,,,SUMPRODUCT(MAX(ROW(E$2:E1285)*(E1285=E$2:E1285)))))-COUNTBLANK(OFFSET(A$1,,,SUMPRODUCT(MAX(ROW(E$1:E1284)*(E2=E$1:E1284))))))</f>
        <v> </v>
      </c>
      <c r="K1285" s="25" t="str">
        <f>IF(OR(E1285="",E1285="!!!",F1285="NEW"),"",INDEX(J$1:J1284,SUMPRODUCT(MAX(ROW(E$1:E1284)*(E1285=E$1:E1284)))))</f>
        <v> </v>
      </c>
      <c r="L1285" s="26"/>
    </row>
    <row r="1286" spans="1:12">
      <c r="A1286" s="20" t="s">
        <v>1025</v>
      </c>
      <c r="E1286" s="21">
        <f>IF(D1286="?OLD","!!!","")</f>
        <v/>
      </c>
      <c r="F1286" s="22" t="str">
        <f>IF(OR(E1286="",E1286="!!!"),"",IF(NOT(ISNA(VLOOKUP(E1286,E$1:E1285,1,FALSE()))),"OLD",IF(AND(E1286&lt;&gt;"",E1286&lt;&gt;"!!!"),"NEW","")))</f>
        <v> </v>
      </c>
      <c r="G1286" s="23" t="str">
        <f>IF(OR(E1286="",E1286="!!!"),"",IF(OR(J1286=0,AND(J1286=1,K1286=1),AND(J1286=1,I1286="SBJ"),AND(J1286=1,I1286=0)),"?IN_FOCUS",IF(J1286&lt;=2,"?ACTIVATED",IF(J1286&lt;&gt;"","?FAMILIAR",IF(F1286="NEW",IF(ISNA(VLOOKUP(E1286,#REF!,1,FALSE())),"?TYPE_IDENTIFIABLE","?REFERENTIAL"),"_")))))</f>
        <v> </v>
      </c>
      <c r="H1286" s="24" t="str">
        <f>IF(J1286&lt;&gt;1,"",IF(I1286="SBJ","CB","?"))</f>
        <v> </v>
      </c>
      <c r="I1286" s="25" t="str">
        <f>IF(OR(E1286="",E1286="!!!",F1286="NEW"),"",INDEX(B1285:B$2,-1+SUMPRODUCT(MAX(ROW(E1285:E$2)*(E1286=E1285:E$2)))))</f>
        <v> </v>
      </c>
      <c r="J1286" s="25" t="str">
        <f>IF(OR(E1286="",E1286="!!!",F1286="NEW"),"",COUNTBLANK(OFFSET(A$1,,,SUMPRODUCT(MAX(ROW(E$2:E1286)*(E1286=E$2:E1286)))))-COUNTBLANK(OFFSET(A$1,,,SUMPRODUCT(MAX(ROW(E$1:E1285)*(E2=E$1:E1285))))))</f>
        <v> </v>
      </c>
      <c r="K1286" s="25" t="str">
        <f>IF(OR(E1286="",E1286="!!!",F1286="NEW"),"",INDEX(J$1:J1285,SUMPRODUCT(MAX(ROW(E$1:E1285)*(E1286=E$1:E1285)))))</f>
        <v> </v>
      </c>
      <c r="L1286" s="26"/>
    </row>
    <row r="1287" spans="1:12">
      <c r="A1287" s="20" t="s">
        <v>1173</v>
      </c>
      <c r="B1287" s="27" t="s">
        <v>1174</v>
      </c>
      <c r="C1287" s="27" t="s">
        <v>622</v>
      </c>
      <c r="E1287" s="21">
        <f>IF(D1287="?OLD","!!!","")</f>
        <v/>
      </c>
      <c r="F1287" s="22" t="str">
        <f>IF(OR(E1287="",E1287="!!!"),"",IF(NOT(ISNA(VLOOKUP(E1287,E$1:E1286,1,FALSE()))),"OLD",IF(AND(E1287&lt;&gt;"",E1287&lt;&gt;"!!!"),"NEW","")))</f>
        <v> </v>
      </c>
      <c r="G1287" s="23" t="str">
        <f>IF(OR(E1287="",E1287="!!!"),"",IF(OR(J1287=0,AND(J1287=1,K1287=1),AND(J1287=1,I1287="SBJ"),AND(J1287=1,I1287=0)),"?IN_FOCUS",IF(J1287&lt;=2,"?ACTIVATED",IF(J1287&lt;&gt;"","?FAMILIAR",IF(F1287="NEW",IF(ISNA(VLOOKUP(E1287,#REF!,1,FALSE())),"?TYPE_IDENTIFIABLE","?REFERENTIAL"),"_")))))</f>
        <v> </v>
      </c>
      <c r="H1287" s="24" t="str">
        <f>IF(J1287&lt;&gt;1,"",IF(I1287="SBJ","CB","?"))</f>
        <v> </v>
      </c>
      <c r="I1287" s="25" t="str">
        <f>IF(OR(E1287="",E1287="!!!",F1287="NEW"),"",INDEX(B1286:B$2,-1+SUMPRODUCT(MAX(ROW(E1286:E$2)*(E1287=E1286:E$2)))))</f>
        <v> </v>
      </c>
      <c r="J1287" s="25" t="str">
        <f>IF(OR(E1287="",E1287="!!!",F1287="NEW"),"",COUNTBLANK(OFFSET(A$1,,,SUMPRODUCT(MAX(ROW(E$2:E1287)*(E1287=E$2:E1287)))))-COUNTBLANK(OFFSET(A$1,,,SUMPRODUCT(MAX(ROW(E$1:E1286)*(E2=E$1:E1286))))))</f>
        <v> </v>
      </c>
      <c r="K1287" s="25" t="str">
        <f>IF(OR(E1287="",E1287="!!!",F1287="NEW"),"",INDEX(J$1:J1286,SUMPRODUCT(MAX(ROW(E$1:E1286)*(E1287=E$1:E1286)))))</f>
        <v> </v>
      </c>
      <c r="L1287" s="26"/>
    </row>
    <row r="1288" spans="1:12">
      <c r="A1288" s="20" t="s">
        <v>663</v>
      </c>
      <c r="E1288" s="21">
        <f>IF(D1288="?OLD","!!!","")</f>
        <v/>
      </c>
      <c r="F1288" s="22" t="str">
        <f>IF(OR(E1288="",E1288="!!!"),"",IF(NOT(ISNA(VLOOKUP(E1288,E$1:E1287,1,FALSE()))),"OLD",IF(AND(E1288&lt;&gt;"",E1288&lt;&gt;"!!!"),"NEW","")))</f>
        <v> </v>
      </c>
      <c r="G1288" s="23" t="str">
        <f>IF(OR(E1288="",E1288="!!!"),"",IF(OR(J1288=0,AND(J1288=1,K1288=1),AND(J1288=1,I1288="SBJ"),AND(J1288=1,I1288=0)),"?IN_FOCUS",IF(J1288&lt;=2,"?ACTIVATED",IF(J1288&lt;&gt;"","?FAMILIAR",IF(F1288="NEW",IF(ISNA(VLOOKUP(E1288,#REF!,1,FALSE())),"?TYPE_IDENTIFIABLE","?REFERENTIAL"),"_")))))</f>
        <v> </v>
      </c>
      <c r="H1288" s="24" t="str">
        <f>IF(J1288&lt;&gt;1,"",IF(I1288="SBJ","CB","?"))</f>
        <v> </v>
      </c>
      <c r="I1288" s="25" t="str">
        <f>IF(OR(E1288="",E1288="!!!",F1288="NEW"),"",INDEX(B1287:B$2,-1+SUMPRODUCT(MAX(ROW(E1287:E$2)*(E1288=E1287:E$2)))))</f>
        <v> </v>
      </c>
      <c r="J1288" s="25" t="str">
        <f>IF(OR(E1288="",E1288="!!!",F1288="NEW"),"",COUNTBLANK(OFFSET(A$1,,,SUMPRODUCT(MAX(ROW(E$2:E1288)*(E1288=E$2:E1288)))))-COUNTBLANK(OFFSET(A$1,,,SUMPRODUCT(MAX(ROW(E$1:E1287)*(E2=E$1:E1287))))))</f>
        <v> </v>
      </c>
      <c r="K1288" s="25" t="str">
        <f>IF(OR(E1288="",E1288="!!!",F1288="NEW"),"",INDEX(J$1:J1287,SUMPRODUCT(MAX(ROW(E$1:E1287)*(E1288=E$1:E1287)))))</f>
        <v> </v>
      </c>
      <c r="L1288" s="26"/>
    </row>
    <row r="1289" spans="1:12">
      <c r="A1289" s="20" t="s">
        <v>1175</v>
      </c>
      <c r="E1289" s="21">
        <f>IF(D1289="?OLD","!!!","")</f>
        <v/>
      </c>
      <c r="F1289" s="22" t="str">
        <f>IF(OR(E1289="",E1289="!!!"),"",IF(NOT(ISNA(VLOOKUP(E1289,E$1:E1288,1,FALSE()))),"OLD",IF(AND(E1289&lt;&gt;"",E1289&lt;&gt;"!!!"),"NEW","")))</f>
        <v> </v>
      </c>
      <c r="G1289" s="23" t="str">
        <f>IF(OR(E1289="",E1289="!!!"),"",IF(OR(J1289=0,AND(J1289=1,K1289=1),AND(J1289=1,I1289="SBJ"),AND(J1289=1,I1289=0)),"?IN_FOCUS",IF(J1289&lt;=2,"?ACTIVATED",IF(J1289&lt;&gt;"","?FAMILIAR",IF(F1289="NEW",IF(ISNA(VLOOKUP(E1289,#REF!,1,FALSE())),"?TYPE_IDENTIFIABLE","?REFERENTIAL"),"_")))))</f>
        <v> </v>
      </c>
      <c r="H1289" s="24" t="str">
        <f>IF(J1289&lt;&gt;1,"",IF(I1289="SBJ","CB","?"))</f>
        <v> </v>
      </c>
      <c r="I1289" s="25" t="str">
        <f>IF(OR(E1289="",E1289="!!!",F1289="NEW"),"",INDEX(B1288:B$2,-1+SUMPRODUCT(MAX(ROW(E1288:E$2)*(E1289=E1288:E$2)))))</f>
        <v> </v>
      </c>
      <c r="J1289" s="25" t="str">
        <f>IF(OR(E1289="",E1289="!!!",F1289="NEW"),"",COUNTBLANK(OFFSET(A$1,,,SUMPRODUCT(MAX(ROW(E$2:E1289)*(E1289=E$2:E1289)))))-COUNTBLANK(OFFSET(A$1,,,SUMPRODUCT(MAX(ROW(E$1:E1288)*(E2=E$1:E1288))))))</f>
        <v> </v>
      </c>
      <c r="K1289" s="25" t="str">
        <f>IF(OR(E1289="",E1289="!!!",F1289="NEW"),"",INDEX(J$1:J1288,SUMPRODUCT(MAX(ROW(E$1:E1288)*(E1289=E$1:E1288)))))</f>
        <v> </v>
      </c>
      <c r="L1289" s="26"/>
    </row>
    <row r="1290" spans="1:12">
      <c r="A1290" s="20" t="s">
        <v>617</v>
      </c>
      <c r="E1290" s="21">
        <f>IF(D1290="?OLD","!!!","")</f>
        <v/>
      </c>
      <c r="F1290" s="22" t="str">
        <f>IF(OR(E1290="",E1290="!!!"),"",IF(NOT(ISNA(VLOOKUP(E1290,E$1:E1289,1,FALSE()))),"OLD",IF(AND(E1290&lt;&gt;"",E1290&lt;&gt;"!!!"),"NEW","")))</f>
        <v> </v>
      </c>
      <c r="G1290" s="23" t="str">
        <f>IF(OR(E1290="",E1290="!!!"),"",IF(OR(J1290=0,AND(J1290=1,K1290=1),AND(J1290=1,I1290="SBJ"),AND(J1290=1,I1290=0)),"?IN_FOCUS",IF(J1290&lt;=2,"?ACTIVATED",IF(J1290&lt;&gt;"","?FAMILIAR",IF(F1290="NEW",IF(ISNA(VLOOKUP(E1290,#REF!,1,FALSE())),"?TYPE_IDENTIFIABLE","?REFERENTIAL"),"_")))))</f>
        <v> </v>
      </c>
      <c r="H1290" s="24" t="str">
        <f>IF(J1290&lt;&gt;1,"",IF(I1290="SBJ","CB","?"))</f>
        <v> </v>
      </c>
      <c r="I1290" s="25" t="str">
        <f>IF(OR(E1290="",E1290="!!!",F1290="NEW"),"",INDEX(B1289:B$2,-1+SUMPRODUCT(MAX(ROW(E1289:E$2)*(E1290=E1289:E$2)))))</f>
        <v> </v>
      </c>
      <c r="J1290" s="25" t="str">
        <f>IF(OR(E1290="",E1290="!!!",F1290="NEW"),"",COUNTBLANK(OFFSET(A$1,,,SUMPRODUCT(MAX(ROW(E$2:E1290)*(E1290=E$2:E1290)))))-COUNTBLANK(OFFSET(A$1,,,SUMPRODUCT(MAX(ROW(E$1:E1289)*(E2=E$1:E1289))))))</f>
        <v> </v>
      </c>
      <c r="K1290" s="25" t="str">
        <f>IF(OR(E1290="",E1290="!!!",F1290="NEW"),"",INDEX(J$1:J1289,SUMPRODUCT(MAX(ROW(E$1:E1289)*(E1290=E$1:E1289)))))</f>
        <v> </v>
      </c>
      <c r="L1290" s="26"/>
    </row>
    <row r="1291" spans="1:12">
      <c r="A1291" s="20" t="s">
        <v>1172</v>
      </c>
      <c r="E1291" s="21">
        <f>IF(D1291="?OLD","!!!","")</f>
        <v/>
      </c>
      <c r="F1291" s="22" t="str">
        <f>IF(OR(E1291="",E1291="!!!"),"",IF(NOT(ISNA(VLOOKUP(E1291,E$1:E1290,1,FALSE()))),"OLD",IF(AND(E1291&lt;&gt;"",E1291&lt;&gt;"!!!"),"NEW","")))</f>
        <v> </v>
      </c>
      <c r="G1291" s="23" t="str">
        <f>IF(OR(E1291="",E1291="!!!"),"",IF(OR(J1291=0,AND(J1291=1,K1291=1),AND(J1291=1,I1291="SBJ"),AND(J1291=1,I1291=0)),"?IN_FOCUS",IF(J1291&lt;=2,"?ACTIVATED",IF(J1291&lt;&gt;"","?FAMILIAR",IF(F1291="NEW",IF(ISNA(VLOOKUP(E1291,#REF!,1,FALSE())),"?TYPE_IDENTIFIABLE","?REFERENTIAL"),"_")))))</f>
        <v> </v>
      </c>
      <c r="H1291" s="24" t="str">
        <f>IF(J1291&lt;&gt;1,"",IF(I1291="SBJ","CB","?"))</f>
        <v> </v>
      </c>
      <c r="I1291" s="25" t="str">
        <f>IF(OR(E1291="",E1291="!!!",F1291="NEW"),"",INDEX(B1290:B$2,-1+SUMPRODUCT(MAX(ROW(E1290:E$2)*(E1291=E1290:E$2)))))</f>
        <v> </v>
      </c>
      <c r="J1291" s="25" t="str">
        <f>IF(OR(E1291="",E1291="!!!",F1291="NEW"),"",COUNTBLANK(OFFSET(A$1,,,SUMPRODUCT(MAX(ROW(E$2:E1291)*(E1291=E$2:E1291)))))-COUNTBLANK(OFFSET(A$1,,,SUMPRODUCT(MAX(ROW(E$1:E1290)*(E2=E$1:E1290))))))</f>
        <v> </v>
      </c>
      <c r="K1291" s="25" t="str">
        <f>IF(OR(E1291="",E1291="!!!",F1291="NEW"),"",INDEX(J$1:J1290,SUMPRODUCT(MAX(ROW(E$1:E1290)*(E1291=E$1:E1290)))))</f>
        <v> </v>
      </c>
      <c r="L1291" s="26"/>
    </row>
    <row r="1292" spans="1:12">
      <c r="A1292" s="20" t="s">
        <v>856</v>
      </c>
      <c r="B1292" s="27" t="s">
        <v>999</v>
      </c>
      <c r="C1292" s="27" t="s">
        <v>637</v>
      </c>
      <c r="D1292" s="27" t="s">
        <v>608</v>
      </c>
      <c r="E1292" s="21">
        <f>IF(D1292="?OLD","!!!","")</f>
        <v/>
      </c>
      <c r="F1292" s="22" t="str">
        <f>IF(OR(E1292="",E1292="!!!"),"",IF(NOT(ISNA(VLOOKUP(E1292,E$1:E1291,1,FALSE()))),"OLD",IF(AND(E1292&lt;&gt;"",E1292&lt;&gt;"!!!"),"NEW","")))</f>
        <v> </v>
      </c>
      <c r="G1292" s="23" t="str">
        <f>IF(OR(E1292="",E1292="!!!"),"",IF(OR(J1292=0,AND(J1292=1,K1292=1),AND(J1292=1,I1292="SBJ"),AND(J1292=1,I1292=0)),"?IN_FOCUS",IF(J1292&lt;=2,"?ACTIVATED",IF(J1292&lt;&gt;"","?FAMILIAR",IF(F1292="NEW",IF(ISNA(VLOOKUP(E1292,#REF!,1,FALSE())),"?TYPE_IDENTIFIABLE","?REFERENTIAL"),"_")))))</f>
        <v> </v>
      </c>
      <c r="H1292" s="24" t="str">
        <f>IF(J1292&lt;&gt;1,"",IF(I1292="SBJ","CB","?"))</f>
        <v> </v>
      </c>
      <c r="I1292" s="25" t="str">
        <f>IF(OR(E1292="",E1292="!!!",F1292="NEW"),"",INDEX(B1291:B$2,-1+SUMPRODUCT(MAX(ROW(E1291:E$2)*(E1292=E1291:E$2)))))</f>
        <v> </v>
      </c>
      <c r="J1292" s="25" t="str">
        <f>IF(OR(E1292="",E1292="!!!",F1292="NEW"),"",COUNTBLANK(OFFSET(A$1,,,SUMPRODUCT(MAX(ROW(E$2:E1292)*(E1292=E$2:E1292)))))-COUNTBLANK(OFFSET(A$1,,,SUMPRODUCT(MAX(ROW(E$1:E1291)*(E2=E$1:E1291))))))</f>
        <v> </v>
      </c>
      <c r="K1292" s="25" t="str">
        <f>IF(OR(E1292="",E1292="!!!",F1292="NEW"),"",INDEX(J$1:J1291,SUMPRODUCT(MAX(ROW(E$1:E1291)*(E1292=E$1:E1291)))))</f>
        <v> </v>
      </c>
      <c r="L1292" s="26"/>
    </row>
    <row r="1293" spans="1:12">
      <c r="A1293" s="20" t="s">
        <v>1176</v>
      </c>
      <c r="B1293" s="27" t="s">
        <v>864</v>
      </c>
      <c r="C1293" s="27" t="s">
        <v>652</v>
      </c>
      <c r="D1293" s="27" t="s">
        <v>608</v>
      </c>
      <c r="E1293" s="21">
        <f>IF(D1293="?OLD","!!!","")</f>
        <v/>
      </c>
      <c r="F1293" s="22" t="str">
        <f>IF(OR(E1293="",E1293="!!!"),"",IF(NOT(ISNA(VLOOKUP(E1293,E$1:E1292,1,FALSE()))),"OLD",IF(AND(E1293&lt;&gt;"",E1293&lt;&gt;"!!!"),"NEW","")))</f>
        <v> </v>
      </c>
      <c r="G1293" s="23" t="str">
        <f>IF(OR(E1293="",E1293="!!!"),"",IF(OR(J1293=0,AND(J1293=1,K1293=1),AND(J1293=1,I1293="SBJ"),AND(J1293=1,I1293=0)),"?IN_FOCUS",IF(J1293&lt;=2,"?ACTIVATED",IF(J1293&lt;&gt;"","?FAMILIAR",IF(F1293="NEW",IF(ISNA(VLOOKUP(E1293,#REF!,1,FALSE())),"?TYPE_IDENTIFIABLE","?REFERENTIAL"),"_")))))</f>
        <v> </v>
      </c>
      <c r="H1293" s="24" t="str">
        <f>IF(J1293&lt;&gt;1,"",IF(I1293="SBJ","CB","?"))</f>
        <v> </v>
      </c>
      <c r="I1293" s="25" t="str">
        <f>IF(OR(E1293="",E1293="!!!",F1293="NEW"),"",INDEX(B1292:B$2,-1+SUMPRODUCT(MAX(ROW(E1292:E$2)*(E1293=E1292:E$2)))))</f>
        <v> </v>
      </c>
      <c r="J1293" s="25" t="str">
        <f>IF(OR(E1293="",E1293="!!!",F1293="NEW"),"",COUNTBLANK(OFFSET(A$1,,,SUMPRODUCT(MAX(ROW(E$2:E1293)*(E1293=E$2:E1293)))))-COUNTBLANK(OFFSET(A$1,,,SUMPRODUCT(MAX(ROW(E$1:E1292)*(E2=E$1:E1292))))))</f>
        <v> </v>
      </c>
      <c r="K1293" s="25" t="str">
        <f>IF(OR(E1293="",E1293="!!!",F1293="NEW"),"",INDEX(J$1:J1292,SUMPRODUCT(MAX(ROW(E$1:E1292)*(E1293=E$1:E1292)))))</f>
        <v> </v>
      </c>
      <c r="L1293" s="26"/>
    </row>
    <row r="1294" spans="1:12">
      <c r="A1294" s="20" t="s">
        <v>1177</v>
      </c>
      <c r="B1294" s="27" t="s">
        <v>999</v>
      </c>
      <c r="C1294" s="27" t="s">
        <v>678</v>
      </c>
      <c r="E1294" s="21">
        <f>IF(D1294="?OLD","!!!","")</f>
        <v/>
      </c>
      <c r="F1294" s="22" t="str">
        <f>IF(OR(E1294="",E1294="!!!"),"",IF(NOT(ISNA(VLOOKUP(E1294,E$1:E1293,1,FALSE()))),"OLD",IF(AND(E1294&lt;&gt;"",E1294&lt;&gt;"!!!"),"NEW","")))</f>
        <v> </v>
      </c>
      <c r="G1294" s="23" t="str">
        <f>IF(OR(E1294="",E1294="!!!"),"",IF(OR(J1294=0,AND(J1294=1,K1294=1),AND(J1294=1,I1294="SBJ"),AND(J1294=1,I1294=0)),"?IN_FOCUS",IF(J1294&lt;=2,"?ACTIVATED",IF(J1294&lt;&gt;"","?FAMILIAR",IF(F1294="NEW",IF(ISNA(VLOOKUP(E1294,#REF!,1,FALSE())),"?TYPE_IDENTIFIABLE","?REFERENTIAL"),"_")))))</f>
        <v> </v>
      </c>
      <c r="H1294" s="24" t="str">
        <f>IF(J1294&lt;&gt;1,"",IF(I1294="SBJ","CB","?"))</f>
        <v> </v>
      </c>
      <c r="I1294" s="25" t="str">
        <f>IF(OR(E1294="",E1294="!!!",F1294="NEW"),"",INDEX(B1293:B$2,-1+SUMPRODUCT(MAX(ROW(E1293:E$2)*(E1294=E1293:E$2)))))</f>
        <v> </v>
      </c>
      <c r="J1294" s="25" t="str">
        <f>IF(OR(E1294="",E1294="!!!",F1294="NEW"),"",COUNTBLANK(OFFSET(A$1,,,SUMPRODUCT(MAX(ROW(E$2:E1294)*(E1294=E$2:E1294)))))-COUNTBLANK(OFFSET(A$1,,,SUMPRODUCT(MAX(ROW(E$1:E1293)*(E2=E$1:E1293))))))</f>
        <v> </v>
      </c>
      <c r="K1294" s="25" t="str">
        <f>IF(OR(E1294="",E1294="!!!",F1294="NEW"),"",INDEX(J$1:J1293,SUMPRODUCT(MAX(ROW(E$1:E1293)*(E1294=E$1:E1293)))))</f>
        <v> </v>
      </c>
      <c r="L1294" s="26"/>
    </row>
    <row r="1295" spans="1:12">
      <c r="A1295" s="20" t="s">
        <v>667</v>
      </c>
      <c r="E1295" s="21">
        <f>IF(D1295="?OLD","!!!","")</f>
        <v/>
      </c>
      <c r="F1295" s="22" t="str">
        <f>IF(OR(E1295="",E1295="!!!"),"",IF(NOT(ISNA(VLOOKUP(E1295,E$1:E1294,1,FALSE()))),"OLD",IF(AND(E1295&lt;&gt;"",E1295&lt;&gt;"!!!"),"NEW","")))</f>
        <v> </v>
      </c>
      <c r="G1295" s="23" t="str">
        <f>IF(OR(E1295="",E1295="!!!"),"",IF(OR(J1295=0,AND(J1295=1,K1295=1),AND(J1295=1,I1295="SBJ"),AND(J1295=1,I1295=0)),"?IN_FOCUS",IF(J1295&lt;=2,"?ACTIVATED",IF(J1295&lt;&gt;"","?FAMILIAR",IF(F1295="NEW",IF(ISNA(VLOOKUP(E1295,#REF!,1,FALSE())),"?TYPE_IDENTIFIABLE","?REFERENTIAL"),"_")))))</f>
        <v> </v>
      </c>
      <c r="H1295" s="24" t="str">
        <f>IF(J1295&lt;&gt;1,"",IF(I1295="SBJ","CB","?"))</f>
        <v> </v>
      </c>
      <c r="I1295" s="25" t="str">
        <f>IF(OR(E1295="",E1295="!!!",F1295="NEW"),"",INDEX(B1294:B$2,-1+SUMPRODUCT(MAX(ROW(E1294:E$2)*(E1295=E1294:E$2)))))</f>
        <v> </v>
      </c>
      <c r="J1295" s="25" t="str">
        <f>IF(OR(E1295="",E1295="!!!",F1295="NEW"),"",COUNTBLANK(OFFSET(A$1,,,SUMPRODUCT(MAX(ROW(E$2:E1295)*(E1295=E$2:E1295)))))-COUNTBLANK(OFFSET(A$1,,,SUMPRODUCT(MAX(ROW(E$1:E1294)*(E2=E$1:E1294))))))</f>
        <v> </v>
      </c>
      <c r="K1295" s="25" t="str">
        <f>IF(OR(E1295="",E1295="!!!",F1295="NEW"),"",INDEX(J$1:J1294,SUMPRODUCT(MAX(ROW(E$1:E1294)*(E1295=E$1:E1294)))))</f>
        <v> </v>
      </c>
      <c r="L1295" s="26"/>
    </row>
    <row r="1296" spans="1:12">
      <c r="A1296" s="20" t="s">
        <v>617</v>
      </c>
      <c r="E1296" s="21">
        <f>IF(D1296="?OLD","!!!","")</f>
        <v/>
      </c>
      <c r="F1296" s="22" t="str">
        <f>IF(OR(E1296="",E1296="!!!"),"",IF(NOT(ISNA(VLOOKUP(E1296,E$1:E1295,1,FALSE()))),"OLD",IF(AND(E1296&lt;&gt;"",E1296&lt;&gt;"!!!"),"NEW","")))</f>
        <v> </v>
      </c>
      <c r="G1296" s="23" t="str">
        <f>IF(OR(E1296="",E1296="!!!"),"",IF(OR(J1296=0,AND(J1296=1,K1296=1),AND(J1296=1,I1296="SBJ"),AND(J1296=1,I1296=0)),"?IN_FOCUS",IF(J1296&lt;=2,"?ACTIVATED",IF(J1296&lt;&gt;"","?FAMILIAR",IF(F1296="NEW",IF(ISNA(VLOOKUP(E1296,#REF!,1,FALSE())),"?TYPE_IDENTIFIABLE","?REFERENTIAL"),"_")))))</f>
        <v> </v>
      </c>
      <c r="H1296" s="24" t="str">
        <f>IF(J1296&lt;&gt;1,"",IF(I1296="SBJ","CB","?"))</f>
        <v> </v>
      </c>
      <c r="I1296" s="25" t="str">
        <f>IF(OR(E1296="",E1296="!!!",F1296="NEW"),"",INDEX(B1295:B$2,-1+SUMPRODUCT(MAX(ROW(E1295:E$2)*(E1296=E1295:E$2)))))</f>
        <v> </v>
      </c>
      <c r="J1296" s="25" t="str">
        <f>IF(OR(E1296="",E1296="!!!",F1296="NEW"),"",COUNTBLANK(OFFSET(A$1,,,SUMPRODUCT(MAX(ROW(E$2:E1296)*(E1296=E$2:E1296)))))-COUNTBLANK(OFFSET(A$1,,,SUMPRODUCT(MAX(ROW(E$1:E1295)*(E2=E$1:E1295))))))</f>
        <v> </v>
      </c>
      <c r="K1296" s="25" t="str">
        <f>IF(OR(E1296="",E1296="!!!",F1296="NEW"),"",INDEX(J$1:J1295,SUMPRODUCT(MAX(ROW(E$1:E1295)*(E1296=E$1:E1295)))))</f>
        <v> </v>
      </c>
      <c r="L1296" s="26"/>
    </row>
    <row r="1297" spans="1:12">
      <c r="A1297" s="20" t="s">
        <v>1172</v>
      </c>
      <c r="E1297" s="21">
        <f>IF(D1297="?OLD","!!!","")</f>
        <v/>
      </c>
      <c r="F1297" s="22" t="str">
        <f>IF(OR(E1297="",E1297="!!!"),"",IF(NOT(ISNA(VLOOKUP(E1297,E$1:E1296,1,FALSE()))),"OLD",IF(AND(E1297&lt;&gt;"",E1297&lt;&gt;"!!!"),"NEW","")))</f>
        <v> </v>
      </c>
      <c r="G1297" s="23" t="str">
        <f>IF(OR(E1297="",E1297="!!!"),"",IF(OR(J1297=0,AND(J1297=1,K1297=1),AND(J1297=1,I1297="SBJ"),AND(J1297=1,I1297=0)),"?IN_FOCUS",IF(J1297&lt;=2,"?ACTIVATED",IF(J1297&lt;&gt;"","?FAMILIAR",IF(F1297="NEW",IF(ISNA(VLOOKUP(E1297,#REF!,1,FALSE())),"?TYPE_IDENTIFIABLE","?REFERENTIAL"),"_")))))</f>
        <v> </v>
      </c>
      <c r="H1297" s="24" t="str">
        <f>IF(J1297&lt;&gt;1,"",IF(I1297="SBJ","CB","?"))</f>
        <v> </v>
      </c>
      <c r="I1297" s="25" t="str">
        <f>IF(OR(E1297="",E1297="!!!",F1297="NEW"),"",INDEX(B1296:B$2,-1+SUMPRODUCT(MAX(ROW(E1296:E$2)*(E1297=E1296:E$2)))))</f>
        <v> </v>
      </c>
      <c r="J1297" s="25" t="str">
        <f>IF(OR(E1297="",E1297="!!!",F1297="NEW"),"",COUNTBLANK(OFFSET(A$1,,,SUMPRODUCT(MAX(ROW(E$2:E1297)*(E1297=E$2:E1297)))))-COUNTBLANK(OFFSET(A$1,,,SUMPRODUCT(MAX(ROW(E$1:E1296)*(E2=E$1:E1296))))))</f>
        <v> </v>
      </c>
      <c r="K1297" s="25" t="str">
        <f>IF(OR(E1297="",E1297="!!!",F1297="NEW"),"",INDEX(J$1:J1296,SUMPRODUCT(MAX(ROW(E$1:E1296)*(E1297=E$1:E1296)))))</f>
        <v> </v>
      </c>
      <c r="L1297" s="26"/>
    </row>
    <row r="1298" spans="1:12">
      <c r="A1298" s="20" t="s">
        <v>856</v>
      </c>
      <c r="B1298" s="27" t="s">
        <v>862</v>
      </c>
      <c r="C1298" s="27" t="s">
        <v>637</v>
      </c>
      <c r="D1298" s="27" t="s">
        <v>608</v>
      </c>
      <c r="E1298" s="21">
        <f>IF(D1298="?OLD","!!!","")</f>
        <v/>
      </c>
      <c r="F1298" s="22" t="str">
        <f>IF(OR(E1298="",E1298="!!!"),"",IF(NOT(ISNA(VLOOKUP(E1298,E$1:E1297,1,FALSE()))),"OLD",IF(AND(E1298&lt;&gt;"",E1298&lt;&gt;"!!!"),"NEW","")))</f>
        <v> </v>
      </c>
      <c r="G1298" s="23" t="str">
        <f>IF(OR(E1298="",E1298="!!!"),"",IF(OR(J1298=0,AND(J1298=1,K1298=1),AND(J1298=1,I1298="SBJ"),AND(J1298=1,I1298=0)),"?IN_FOCUS",IF(J1298&lt;=2,"?ACTIVATED",IF(J1298&lt;&gt;"","?FAMILIAR",IF(F1298="NEW",IF(ISNA(VLOOKUP(E1298,#REF!,1,FALSE())),"?TYPE_IDENTIFIABLE","?REFERENTIAL"),"_")))))</f>
        <v> </v>
      </c>
      <c r="H1298" s="24" t="str">
        <f>IF(J1298&lt;&gt;1,"",IF(I1298="SBJ","CB","?"))</f>
        <v> </v>
      </c>
      <c r="I1298" s="25" t="str">
        <f>IF(OR(E1298="",E1298="!!!",F1298="NEW"),"",INDEX(B1297:B$2,-1+SUMPRODUCT(MAX(ROW(E1297:E$2)*(E1298=E1297:E$2)))))</f>
        <v> </v>
      </c>
      <c r="J1298" s="25" t="str">
        <f>IF(OR(E1298="",E1298="!!!",F1298="NEW"),"",COUNTBLANK(OFFSET(A$1,,,SUMPRODUCT(MAX(ROW(E$2:E1298)*(E1298=E$2:E1298)))))-COUNTBLANK(OFFSET(A$1,,,SUMPRODUCT(MAX(ROW(E$1:E1297)*(E2=E$1:E1297))))))</f>
        <v> </v>
      </c>
      <c r="K1298" s="25" t="str">
        <f>IF(OR(E1298="",E1298="!!!",F1298="NEW"),"",INDEX(J$1:J1297,SUMPRODUCT(MAX(ROW(E$1:E1297)*(E1298=E$1:E1297)))))</f>
        <v> </v>
      </c>
      <c r="L1298" s="26"/>
    </row>
    <row r="1299" spans="1:12">
      <c r="A1299" s="20" t="s">
        <v>1176</v>
      </c>
      <c r="B1299" s="27" t="s">
        <v>1027</v>
      </c>
      <c r="C1299" s="27" t="s">
        <v>652</v>
      </c>
      <c r="D1299" s="27" t="s">
        <v>608</v>
      </c>
      <c r="E1299" s="21">
        <f>IF(D1299="?OLD","!!!","")</f>
        <v/>
      </c>
      <c r="F1299" s="22" t="str">
        <f>IF(OR(E1299="",E1299="!!!"),"",IF(NOT(ISNA(VLOOKUP(E1299,E$1:E1298,1,FALSE()))),"OLD",IF(AND(E1299&lt;&gt;"",E1299&lt;&gt;"!!!"),"NEW","")))</f>
        <v> </v>
      </c>
      <c r="G1299" s="23" t="str">
        <f>IF(OR(E1299="",E1299="!!!"),"",IF(OR(J1299=0,AND(J1299=1,K1299=1),AND(J1299=1,I1299="SBJ"),AND(J1299=1,I1299=0)),"?IN_FOCUS",IF(J1299&lt;=2,"?ACTIVATED",IF(J1299&lt;&gt;"","?FAMILIAR",IF(F1299="NEW",IF(ISNA(VLOOKUP(E1299,#REF!,1,FALSE())),"?TYPE_IDENTIFIABLE","?REFERENTIAL"),"_")))))</f>
        <v> </v>
      </c>
      <c r="H1299" s="24" t="str">
        <f>IF(J1299&lt;&gt;1,"",IF(I1299="SBJ","CB","?"))</f>
        <v> </v>
      </c>
      <c r="I1299" s="25" t="str">
        <f>IF(OR(E1299="",E1299="!!!",F1299="NEW"),"",INDEX(B1298:B$2,-1+SUMPRODUCT(MAX(ROW(E1298:E$2)*(E1299=E1298:E$2)))))</f>
        <v> </v>
      </c>
      <c r="J1299" s="25" t="str">
        <f>IF(OR(E1299="",E1299="!!!",F1299="NEW"),"",COUNTBLANK(OFFSET(A$1,,,SUMPRODUCT(MAX(ROW(E$2:E1299)*(E1299=E$2:E1299)))))-COUNTBLANK(OFFSET(A$1,,,SUMPRODUCT(MAX(ROW(E$1:E1298)*(E2=E$1:E1298))))))</f>
        <v> </v>
      </c>
      <c r="K1299" s="25" t="str">
        <f>IF(OR(E1299="",E1299="!!!",F1299="NEW"),"",INDEX(J$1:J1298,SUMPRODUCT(MAX(ROW(E$1:E1298)*(E1299=E$1:E1298)))))</f>
        <v> </v>
      </c>
      <c r="L1299" s="26"/>
    </row>
    <row r="1300" spans="1:12">
      <c r="A1300" s="20" t="s">
        <v>1178</v>
      </c>
      <c r="B1300" s="27" t="s">
        <v>862</v>
      </c>
      <c r="C1300" s="27" t="s">
        <v>678</v>
      </c>
      <c r="E1300" s="21">
        <f>IF(D1300="?OLD","!!!","")</f>
        <v/>
      </c>
      <c r="F1300" s="22" t="str">
        <f>IF(OR(E1300="",E1300="!!!"),"",IF(NOT(ISNA(VLOOKUP(E1300,E$1:E1299,1,FALSE()))),"OLD",IF(AND(E1300&lt;&gt;"",E1300&lt;&gt;"!!!"),"NEW","")))</f>
        <v> </v>
      </c>
      <c r="G1300" s="23" t="str">
        <f>IF(OR(E1300="",E1300="!!!"),"",IF(OR(J1300=0,AND(J1300=1,K1300=1),AND(J1300=1,I1300="SBJ"),AND(J1300=1,I1300=0)),"?IN_FOCUS",IF(J1300&lt;=2,"?ACTIVATED",IF(J1300&lt;&gt;"","?FAMILIAR",IF(F1300="NEW",IF(ISNA(VLOOKUP(E1300,#REF!,1,FALSE())),"?TYPE_IDENTIFIABLE","?REFERENTIAL"),"_")))))</f>
        <v> </v>
      </c>
      <c r="H1300" s="24" t="str">
        <f>IF(J1300&lt;&gt;1,"",IF(I1300="SBJ","CB","?"))</f>
        <v> </v>
      </c>
      <c r="I1300" s="25" t="str">
        <f>IF(OR(E1300="",E1300="!!!",F1300="NEW"),"",INDEX(B1299:B$2,-1+SUMPRODUCT(MAX(ROW(E1299:E$2)*(E1300=E1299:E$2)))))</f>
        <v> </v>
      </c>
      <c r="J1300" s="25" t="str">
        <f>IF(OR(E1300="",E1300="!!!",F1300="NEW"),"",COUNTBLANK(OFFSET(A$1,,,SUMPRODUCT(MAX(ROW(E$2:E1300)*(E1300=E$2:E1300)))))-COUNTBLANK(OFFSET(A$1,,,SUMPRODUCT(MAX(ROW(E$1:E1299)*(E2=E$1:E1299))))))</f>
        <v> </v>
      </c>
      <c r="K1300" s="25" t="str">
        <f>IF(OR(E1300="",E1300="!!!",F1300="NEW"),"",INDEX(J$1:J1299,SUMPRODUCT(MAX(ROW(E$1:E1299)*(E1300=E$1:E1299)))))</f>
        <v> </v>
      </c>
      <c r="L1300" s="26"/>
    </row>
    <row r="1301" spans="1:12">
      <c r="A1301" s="20" t="s">
        <v>667</v>
      </c>
      <c r="E1301" s="21">
        <f>IF(D1301="?OLD","!!!","")</f>
        <v/>
      </c>
      <c r="F1301" s="22" t="str">
        <f>IF(OR(E1301="",E1301="!!!"),"",IF(NOT(ISNA(VLOOKUP(E1301,E$1:E1300,1,FALSE()))),"OLD",IF(AND(E1301&lt;&gt;"",E1301&lt;&gt;"!!!"),"NEW","")))</f>
        <v> </v>
      </c>
      <c r="G1301" s="23" t="str">
        <f>IF(OR(E1301="",E1301="!!!"),"",IF(OR(J1301=0,AND(J1301=1,K1301=1),AND(J1301=1,I1301="SBJ"),AND(J1301=1,I1301=0)),"?IN_FOCUS",IF(J1301&lt;=2,"?ACTIVATED",IF(J1301&lt;&gt;"","?FAMILIAR",IF(F1301="NEW",IF(ISNA(VLOOKUP(E1301,#REF!,1,FALSE())),"?TYPE_IDENTIFIABLE","?REFERENTIAL"),"_")))))</f>
        <v> </v>
      </c>
      <c r="H1301" s="24" t="str">
        <f>IF(J1301&lt;&gt;1,"",IF(I1301="SBJ","CB","?"))</f>
        <v> </v>
      </c>
      <c r="I1301" s="25" t="str">
        <f>IF(OR(E1301="",E1301="!!!",F1301="NEW"),"",INDEX(B1300:B$2,-1+SUMPRODUCT(MAX(ROW(E1300:E$2)*(E1301=E1300:E$2)))))</f>
        <v> </v>
      </c>
      <c r="J1301" s="25" t="str">
        <f>IF(OR(E1301="",E1301="!!!",F1301="NEW"),"",COUNTBLANK(OFFSET(A$1,,,SUMPRODUCT(MAX(ROW(E$2:E1301)*(E1301=E$2:E1301)))))-COUNTBLANK(OFFSET(A$1,,,SUMPRODUCT(MAX(ROW(E$1:E1300)*(E2=E$1:E1300))))))</f>
        <v> </v>
      </c>
      <c r="K1301" s="25" t="str">
        <f>IF(OR(E1301="",E1301="!!!",F1301="NEW"),"",INDEX(J$1:J1300,SUMPRODUCT(MAX(ROW(E$1:E1300)*(E1301=E$1:E1300)))))</f>
        <v> </v>
      </c>
      <c r="L1301" s="26"/>
    </row>
    <row r="1302" spans="1:12">
      <c r="A1302" s="20" t="s">
        <v>617</v>
      </c>
      <c r="E1302" s="21">
        <f>IF(D1302="?OLD","!!!","")</f>
        <v/>
      </c>
      <c r="F1302" s="22" t="str">
        <f>IF(OR(E1302="",E1302="!!!"),"",IF(NOT(ISNA(VLOOKUP(E1302,E$1:E1301,1,FALSE()))),"OLD",IF(AND(E1302&lt;&gt;"",E1302&lt;&gt;"!!!"),"NEW","")))</f>
        <v> </v>
      </c>
      <c r="G1302" s="23" t="str">
        <f>IF(OR(E1302="",E1302="!!!"),"",IF(OR(J1302=0,AND(J1302=1,K1302=1),AND(J1302=1,I1302="SBJ"),AND(J1302=1,I1302=0)),"?IN_FOCUS",IF(J1302&lt;=2,"?ACTIVATED",IF(J1302&lt;&gt;"","?FAMILIAR",IF(F1302="NEW",IF(ISNA(VLOOKUP(E1302,#REF!,1,FALSE())),"?TYPE_IDENTIFIABLE","?REFERENTIAL"),"_")))))</f>
        <v> </v>
      </c>
      <c r="H1302" s="24" t="str">
        <f>IF(J1302&lt;&gt;1,"",IF(I1302="SBJ","CB","?"))</f>
        <v> </v>
      </c>
      <c r="I1302" s="25" t="str">
        <f>IF(OR(E1302="",E1302="!!!",F1302="NEW"),"",INDEX(B1301:B$2,-1+SUMPRODUCT(MAX(ROW(E1301:E$2)*(E1302=E1301:E$2)))))</f>
        <v> </v>
      </c>
      <c r="J1302" s="25" t="str">
        <f>IF(OR(E1302="",E1302="!!!",F1302="NEW"),"",COUNTBLANK(OFFSET(A$1,,,SUMPRODUCT(MAX(ROW(E$2:E1302)*(E1302=E$2:E1302)))))-COUNTBLANK(OFFSET(A$1,,,SUMPRODUCT(MAX(ROW(E$1:E1301)*(E2=E$1:E1301))))))</f>
        <v> </v>
      </c>
      <c r="K1302" s="25" t="str">
        <f>IF(OR(E1302="",E1302="!!!",F1302="NEW"),"",INDEX(J$1:J1301,SUMPRODUCT(MAX(ROW(E$1:E1301)*(E1302=E$1:E1301)))))</f>
        <v> </v>
      </c>
      <c r="L1302" s="26"/>
    </row>
    <row r="1303" spans="1:12">
      <c r="A1303" s="20" t="s">
        <v>618</v>
      </c>
      <c r="B1303" s="27" t="s">
        <v>1179</v>
      </c>
      <c r="E1303" s="21">
        <f>IF(D1303="?OLD","!!!","")</f>
        <v/>
      </c>
      <c r="F1303" s="22" t="str">
        <f>IF(OR(E1303="",E1303="!!!"),"",IF(NOT(ISNA(VLOOKUP(E1303,E$1:E1302,1,FALSE()))),"OLD",IF(AND(E1303&lt;&gt;"",E1303&lt;&gt;"!!!"),"NEW","")))</f>
        <v> </v>
      </c>
      <c r="G1303" s="23" t="str">
        <f>IF(OR(E1303="",E1303="!!!"),"",IF(OR(J1303=0,AND(J1303=1,K1303=1),AND(J1303=1,I1303="SBJ"),AND(J1303=1,I1303=0)),"?IN_FOCUS",IF(J1303&lt;=2,"?ACTIVATED",IF(J1303&lt;&gt;"","?FAMILIAR",IF(F1303="NEW",IF(ISNA(VLOOKUP(E1303,#REF!,1,FALSE())),"?TYPE_IDENTIFIABLE","?REFERENTIAL"),"_")))))</f>
        <v> </v>
      </c>
      <c r="H1303" s="24" t="str">
        <f>IF(J1303&lt;&gt;1,"",IF(I1303="SBJ","CB","?"))</f>
        <v> </v>
      </c>
      <c r="I1303" s="25" t="str">
        <f>IF(OR(E1303="",E1303="!!!",F1303="NEW"),"",INDEX(B1302:B$2,-1+SUMPRODUCT(MAX(ROW(E1302:E$2)*(E1303=E1302:E$2)))))</f>
        <v> </v>
      </c>
      <c r="J1303" s="25" t="str">
        <f>IF(OR(E1303="",E1303="!!!",F1303="NEW"),"",COUNTBLANK(OFFSET(A$1,,,SUMPRODUCT(MAX(ROW(E$2:E1303)*(E1303=E$2:E1303)))))-COUNTBLANK(OFFSET(A$1,,,SUMPRODUCT(MAX(ROW(E$1:E1302)*(E2=E$1:E1302))))))</f>
        <v> </v>
      </c>
      <c r="K1303" s="25" t="str">
        <f>IF(OR(E1303="",E1303="!!!",F1303="NEW"),"",INDEX(J$1:J1302,SUMPRODUCT(MAX(ROW(E$1:E1302)*(E1303=E$1:E1302)))))</f>
        <v> </v>
      </c>
      <c r="L1303" s="26"/>
    </row>
    <row r="1304" spans="1:12">
      <c r="A1304" s="20" t="s">
        <v>1006</v>
      </c>
      <c r="B1304" s="27" t="s">
        <v>1180</v>
      </c>
      <c r="C1304" s="27" t="s">
        <v>614</v>
      </c>
      <c r="D1304" s="27" t="s">
        <v>608</v>
      </c>
      <c r="E1304" s="21">
        <f>IF(D1304="?OLD","!!!","")</f>
        <v/>
      </c>
      <c r="F1304" s="22" t="str">
        <f>IF(OR(E1304="",E1304="!!!"),"",IF(NOT(ISNA(VLOOKUP(E1304,E$1:E1303,1,FALSE()))),"OLD",IF(AND(E1304&lt;&gt;"",E1304&lt;&gt;"!!!"),"NEW","")))</f>
        <v> </v>
      </c>
      <c r="G1304" s="23" t="str">
        <f>IF(OR(E1304="",E1304="!!!"),"",IF(OR(J1304=0,AND(J1304=1,K1304=1),AND(J1304=1,I1304="SBJ"),AND(J1304=1,I1304=0)),"?IN_FOCUS",IF(J1304&lt;=2,"?ACTIVATED",IF(J1304&lt;&gt;"","?FAMILIAR",IF(F1304="NEW",IF(ISNA(VLOOKUP(E1304,#REF!,1,FALSE())),"?TYPE_IDENTIFIABLE","?REFERENTIAL"),"_")))))</f>
        <v> </v>
      </c>
      <c r="H1304" s="24" t="str">
        <f>IF(J1304&lt;&gt;1,"",IF(I1304="SBJ","CB","?"))</f>
        <v> </v>
      </c>
      <c r="I1304" s="25" t="str">
        <f>IF(OR(E1304="",E1304="!!!",F1304="NEW"),"",INDEX(B1303:B$2,-1+SUMPRODUCT(MAX(ROW(E1303:E$2)*(E1304=E1303:E$2)))))</f>
        <v> </v>
      </c>
      <c r="J1304" s="25" t="str">
        <f>IF(OR(E1304="",E1304="!!!",F1304="NEW"),"",COUNTBLANK(OFFSET(A$1,,,SUMPRODUCT(MAX(ROW(E$2:E1304)*(E1304=E$2:E1304)))))-COUNTBLANK(OFFSET(A$1,,,SUMPRODUCT(MAX(ROW(E$1:E1303)*(E2=E$1:E1303))))))</f>
        <v> </v>
      </c>
      <c r="K1304" s="25" t="str">
        <f>IF(OR(E1304="",E1304="!!!",F1304="NEW"),"",INDEX(J$1:J1303,SUMPRODUCT(MAX(ROW(E$1:E1303)*(E1304=E$1:E1303)))))</f>
        <v> </v>
      </c>
      <c r="L1304" s="26"/>
    </row>
    <row r="1305" spans="1:12">
      <c r="A1305" s="20" t="s">
        <v>1173</v>
      </c>
      <c r="B1305" s="27" t="s">
        <v>1181</v>
      </c>
      <c r="C1305" s="27" t="s">
        <v>616</v>
      </c>
      <c r="D1305" s="27" t="s">
        <v>608</v>
      </c>
      <c r="E1305" s="21">
        <f>IF(D1305="?OLD","!!!","")</f>
        <v/>
      </c>
      <c r="F1305" s="22" t="str">
        <f>IF(OR(E1305="",E1305="!!!"),"",IF(NOT(ISNA(VLOOKUP(E1305,E$1:E1304,1,FALSE()))),"OLD",IF(AND(E1305&lt;&gt;"",E1305&lt;&gt;"!!!"),"NEW","")))</f>
        <v> </v>
      </c>
      <c r="G1305" s="23" t="str">
        <f>IF(OR(E1305="",E1305="!!!"),"",IF(OR(J1305=0,AND(J1305=1,K1305=1),AND(J1305=1,I1305="SBJ"),AND(J1305=1,I1305=0)),"?IN_FOCUS",IF(J1305&lt;=2,"?ACTIVATED",IF(J1305&lt;&gt;"","?FAMILIAR",IF(F1305="NEW",IF(ISNA(VLOOKUP(E1305,#REF!,1,FALSE())),"?TYPE_IDENTIFIABLE","?REFERENTIAL"),"_")))))</f>
        <v> </v>
      </c>
      <c r="H1305" s="24" t="str">
        <f>IF(J1305&lt;&gt;1,"",IF(I1305="SBJ","CB","?"))</f>
        <v> </v>
      </c>
      <c r="I1305" s="25" t="str">
        <f>IF(OR(E1305="",E1305="!!!",F1305="NEW"),"",INDEX(B1304:B$2,-1+SUMPRODUCT(MAX(ROW(E1304:E$2)*(E1305=E1304:E$2)))))</f>
        <v> </v>
      </c>
      <c r="J1305" s="25" t="str">
        <f>IF(OR(E1305="",E1305="!!!",F1305="NEW"),"",COUNTBLANK(OFFSET(A$1,,,SUMPRODUCT(MAX(ROW(E$2:E1305)*(E1305=E$2:E1305)))))-COUNTBLANK(OFFSET(A$1,,,SUMPRODUCT(MAX(ROW(E$1:E1304)*(E2=E$1:E1304))))))</f>
        <v> </v>
      </c>
      <c r="K1305" s="25" t="str">
        <f>IF(OR(E1305="",E1305="!!!",F1305="NEW"),"",INDEX(J$1:J1304,SUMPRODUCT(MAX(ROW(E$1:E1304)*(E1305=E$1:E1304)))))</f>
        <v> </v>
      </c>
      <c r="L1305" s="26"/>
    </row>
    <row r="1306" spans="1:12">
      <c r="A1306" s="20" t="s">
        <v>1182</v>
      </c>
      <c r="E1306" s="21">
        <f>IF(D1306="?OLD","!!!","")</f>
        <v/>
      </c>
      <c r="F1306" s="22" t="str">
        <f>IF(OR(E1306="",E1306="!!!"),"",IF(NOT(ISNA(VLOOKUP(E1306,E$1:E1305,1,FALSE()))),"OLD",IF(AND(E1306&lt;&gt;"",E1306&lt;&gt;"!!!"),"NEW","")))</f>
        <v> </v>
      </c>
      <c r="G1306" s="23" t="str">
        <f>IF(OR(E1306="",E1306="!!!"),"",IF(OR(J1306=0,AND(J1306=1,K1306=1),AND(J1306=1,I1306="SBJ"),AND(J1306=1,I1306=0)),"?IN_FOCUS",IF(J1306&lt;=2,"?ACTIVATED",IF(J1306&lt;&gt;"","?FAMILIAR",IF(F1306="NEW",IF(ISNA(VLOOKUP(E1306,#REF!,1,FALSE())),"?TYPE_IDENTIFIABLE","?REFERENTIAL"),"_")))))</f>
        <v> </v>
      </c>
      <c r="H1306" s="24" t="str">
        <f>IF(J1306&lt;&gt;1,"",IF(I1306="SBJ","CB","?"))</f>
        <v> </v>
      </c>
      <c r="I1306" s="25" t="str">
        <f>IF(OR(E1306="",E1306="!!!",F1306="NEW"),"",INDEX(B1305:B$2,-1+SUMPRODUCT(MAX(ROW(E1305:E$2)*(E1306=E1305:E$2)))))</f>
        <v> </v>
      </c>
      <c r="J1306" s="25" t="str">
        <f>IF(OR(E1306="",E1306="!!!",F1306="NEW"),"",COUNTBLANK(OFFSET(A$1,,,SUMPRODUCT(MAX(ROW(E$2:E1306)*(E1306=E$2:E1306)))))-COUNTBLANK(OFFSET(A$1,,,SUMPRODUCT(MAX(ROW(E$1:E1305)*(E2=E$1:E1305))))))</f>
        <v> </v>
      </c>
      <c r="K1306" s="25" t="str">
        <f>IF(OR(E1306="",E1306="!!!",F1306="NEW"),"",INDEX(J$1:J1305,SUMPRODUCT(MAX(ROW(E$1:E1305)*(E1306=E$1:E1305)))))</f>
        <v> </v>
      </c>
      <c r="L1306" s="26"/>
    </row>
    <row r="1307" spans="1:12">
      <c r="A1307" s="20" t="s">
        <v>1168</v>
      </c>
      <c r="E1307" s="21">
        <f>IF(D1307="?OLD","!!!","")</f>
        <v/>
      </c>
      <c r="F1307" s="22" t="str">
        <f>IF(OR(E1307="",E1307="!!!"),"",IF(NOT(ISNA(VLOOKUP(E1307,E$1:E1306,1,FALSE()))),"OLD",IF(AND(E1307&lt;&gt;"",E1307&lt;&gt;"!!!"),"NEW","")))</f>
        <v> </v>
      </c>
      <c r="G1307" s="23" t="str">
        <f>IF(OR(E1307="",E1307="!!!"),"",IF(OR(J1307=0,AND(J1307=1,K1307=1),AND(J1307=1,I1307="SBJ"),AND(J1307=1,I1307=0)),"?IN_FOCUS",IF(J1307&lt;=2,"?ACTIVATED",IF(J1307&lt;&gt;"","?FAMILIAR",IF(F1307="NEW",IF(ISNA(VLOOKUP(E1307,#REF!,1,FALSE())),"?TYPE_IDENTIFIABLE","?REFERENTIAL"),"_")))))</f>
        <v> </v>
      </c>
      <c r="H1307" s="24" t="str">
        <f>IF(J1307&lt;&gt;1,"",IF(I1307="SBJ","CB","?"))</f>
        <v> </v>
      </c>
      <c r="I1307" s="25" t="str">
        <f>IF(OR(E1307="",E1307="!!!",F1307="NEW"),"",INDEX(B1306:B$2,-1+SUMPRODUCT(MAX(ROW(E1306:E$2)*(E1307=E1306:E$2)))))</f>
        <v> </v>
      </c>
      <c r="J1307" s="25" t="str">
        <f>IF(OR(E1307="",E1307="!!!",F1307="NEW"),"",COUNTBLANK(OFFSET(A$1,,,SUMPRODUCT(MAX(ROW(E$2:E1307)*(E1307=E$2:E1307)))))-COUNTBLANK(OFFSET(A$1,,,SUMPRODUCT(MAX(ROW(E$1:E1306)*(E2=E$1:E1306))))))</f>
        <v> </v>
      </c>
      <c r="K1307" s="25" t="str">
        <f>IF(OR(E1307="",E1307="!!!",F1307="NEW"),"",INDEX(J$1:J1306,SUMPRODUCT(MAX(ROW(E$1:E1306)*(E1307=E$1:E1306)))))</f>
        <v> </v>
      </c>
      <c r="L1307" s="26"/>
    </row>
    <row r="1308" spans="1:12">
      <c r="A1308" s="20" t="s">
        <v>617</v>
      </c>
      <c r="E1308" s="21">
        <f>IF(D1308="?OLD","!!!","")</f>
        <v/>
      </c>
      <c r="F1308" s="22" t="str">
        <f>IF(OR(E1308="",E1308="!!!"),"",IF(NOT(ISNA(VLOOKUP(E1308,E$1:E1307,1,FALSE()))),"OLD",IF(AND(E1308&lt;&gt;"",E1308&lt;&gt;"!!!"),"NEW","")))</f>
        <v> </v>
      </c>
      <c r="G1308" s="23" t="str">
        <f>IF(OR(E1308="",E1308="!!!"),"",IF(OR(J1308=0,AND(J1308=1,K1308=1),AND(J1308=1,I1308="SBJ"),AND(J1308=1,I1308=0)),"?IN_FOCUS",IF(J1308&lt;=2,"?ACTIVATED",IF(J1308&lt;&gt;"","?FAMILIAR",IF(F1308="NEW",IF(ISNA(VLOOKUP(E1308,#REF!,1,FALSE())),"?TYPE_IDENTIFIABLE","?REFERENTIAL"),"_")))))</f>
        <v> </v>
      </c>
      <c r="H1308" s="24" t="str">
        <f>IF(J1308&lt;&gt;1,"",IF(I1308="SBJ","CB","?"))</f>
        <v> </v>
      </c>
      <c r="I1308" s="25" t="str">
        <f>IF(OR(E1308="",E1308="!!!",F1308="NEW"),"",INDEX(B1307:B$2,-1+SUMPRODUCT(MAX(ROW(E1307:E$2)*(E1308=E1307:E$2)))))</f>
        <v> </v>
      </c>
      <c r="J1308" s="25" t="str">
        <f>IF(OR(E1308="",E1308="!!!",F1308="NEW"),"",COUNTBLANK(OFFSET(A$1,,,SUMPRODUCT(MAX(ROW(E$2:E1308)*(E1308=E$2:E1308)))))-COUNTBLANK(OFFSET(A$1,,,SUMPRODUCT(MAX(ROW(E$1:E1307)*(E2=E$1:E1307))))))</f>
        <v> </v>
      </c>
      <c r="K1308" s="25" t="str">
        <f>IF(OR(E1308="",E1308="!!!",F1308="NEW"),"",INDEX(J$1:J1307,SUMPRODUCT(MAX(ROW(E$1:E1307)*(E1308=E$1:E1307)))))</f>
        <v> </v>
      </c>
      <c r="L1308" s="26"/>
    </row>
    <row r="1309" spans="1:12">
      <c r="A1309" s="20" t="s">
        <v>1172</v>
      </c>
      <c r="E1309" s="21">
        <f>IF(D1309="?OLD","!!!","")</f>
        <v/>
      </c>
      <c r="F1309" s="22" t="str">
        <f>IF(OR(E1309="",E1309="!!!"),"",IF(NOT(ISNA(VLOOKUP(E1309,E$1:E1308,1,FALSE()))),"OLD",IF(AND(E1309&lt;&gt;"",E1309&lt;&gt;"!!!"),"NEW","")))</f>
        <v> </v>
      </c>
      <c r="G1309" s="23" t="str">
        <f>IF(OR(E1309="",E1309="!!!"),"",IF(OR(J1309=0,AND(J1309=1,K1309=1),AND(J1309=1,I1309="SBJ"),AND(J1309=1,I1309=0)),"?IN_FOCUS",IF(J1309&lt;=2,"?ACTIVATED",IF(J1309&lt;&gt;"","?FAMILIAR",IF(F1309="NEW",IF(ISNA(VLOOKUP(E1309,#REF!,1,FALSE())),"?TYPE_IDENTIFIABLE","?REFERENTIAL"),"_")))))</f>
        <v> </v>
      </c>
      <c r="H1309" s="24" t="str">
        <f>IF(J1309&lt;&gt;1,"",IF(I1309="SBJ","CB","?"))</f>
        <v> </v>
      </c>
      <c r="I1309" s="25" t="str">
        <f>IF(OR(E1309="",E1309="!!!",F1309="NEW"),"",INDEX(B1308:B$2,-1+SUMPRODUCT(MAX(ROW(E1308:E$2)*(E1309=E1308:E$2)))))</f>
        <v> </v>
      </c>
      <c r="J1309" s="25" t="str">
        <f>IF(OR(E1309="",E1309="!!!",F1309="NEW"),"",COUNTBLANK(OFFSET(A$1,,,SUMPRODUCT(MAX(ROW(E$2:E1309)*(E1309=E$2:E1309)))))-COUNTBLANK(OFFSET(A$1,,,SUMPRODUCT(MAX(ROW(E$1:E1308)*(E2=E$1:E1308))))))</f>
        <v> </v>
      </c>
      <c r="K1309" s="25" t="str">
        <f>IF(OR(E1309="",E1309="!!!",F1309="NEW"),"",INDEX(J$1:J1308,SUMPRODUCT(MAX(ROW(E$1:E1308)*(E1309=E$1:E1308)))))</f>
        <v> </v>
      </c>
      <c r="L1309" s="26"/>
    </row>
    <row r="1310" spans="1:12">
      <c r="A1310" s="20" t="s">
        <v>807</v>
      </c>
      <c r="B1310" s="27" t="s">
        <v>1183</v>
      </c>
      <c r="C1310" s="27" t="s">
        <v>652</v>
      </c>
      <c r="D1310" s="27" t="s">
        <v>608</v>
      </c>
      <c r="E1310" s="21">
        <f>IF(D1310="?OLD","!!!","")</f>
        <v/>
      </c>
      <c r="F1310" s="22" t="str">
        <f>IF(OR(E1310="",E1310="!!!"),"",IF(NOT(ISNA(VLOOKUP(E1310,E$1:E1309,1,FALSE()))),"OLD",IF(AND(E1310&lt;&gt;"",E1310&lt;&gt;"!!!"),"NEW","")))</f>
        <v> </v>
      </c>
      <c r="G1310" s="23" t="str">
        <f>IF(OR(E1310="",E1310="!!!"),"",IF(OR(J1310=0,AND(J1310=1,K1310=1),AND(J1310=1,I1310="SBJ"),AND(J1310=1,I1310=0)),"?IN_FOCUS",IF(J1310&lt;=2,"?ACTIVATED",IF(J1310&lt;&gt;"","?FAMILIAR",IF(F1310="NEW",IF(ISNA(VLOOKUP(E1310,#REF!,1,FALSE())),"?TYPE_IDENTIFIABLE","?REFERENTIAL"),"_")))))</f>
        <v> </v>
      </c>
      <c r="H1310" s="24" t="str">
        <f>IF(J1310&lt;&gt;1,"",IF(I1310="SBJ","CB","?"))</f>
        <v> </v>
      </c>
      <c r="I1310" s="25" t="str">
        <f>IF(OR(E1310="",E1310="!!!",F1310="NEW"),"",INDEX(B1309:B$2,-1+SUMPRODUCT(MAX(ROW(E1309:E$2)*(E1310=E1309:E$2)))))</f>
        <v> </v>
      </c>
      <c r="J1310" s="25" t="str">
        <f>IF(OR(E1310="",E1310="!!!",F1310="NEW"),"",COUNTBLANK(OFFSET(A$1,,,SUMPRODUCT(MAX(ROW(E$2:E1310)*(E1310=E$2:E1310)))))-COUNTBLANK(OFFSET(A$1,,,SUMPRODUCT(MAX(ROW(E$1:E1309)*(E2=E$1:E1309))))))</f>
        <v> </v>
      </c>
      <c r="K1310" s="25" t="str">
        <f>IF(OR(E1310="",E1310="!!!",F1310="NEW"),"",INDEX(J$1:J1309,SUMPRODUCT(MAX(ROW(E$1:E1309)*(E1310=E$1:E1309)))))</f>
        <v> </v>
      </c>
      <c r="L1310" s="26"/>
    </row>
    <row r="1311" spans="1:12">
      <c r="A1311" s="20" t="s">
        <v>1184</v>
      </c>
      <c r="E1311" s="21">
        <f>IF(D1311="?OLD","!!!","")</f>
        <v/>
      </c>
      <c r="F1311" s="22" t="str">
        <f>IF(OR(E1311="",E1311="!!!"),"",IF(NOT(ISNA(VLOOKUP(E1311,E$1:E1310,1,FALSE()))),"OLD",IF(AND(E1311&lt;&gt;"",E1311&lt;&gt;"!!!"),"NEW","")))</f>
        <v> </v>
      </c>
      <c r="G1311" s="23" t="str">
        <f>IF(OR(E1311="",E1311="!!!"),"",IF(OR(J1311=0,AND(J1311=1,K1311=1),AND(J1311=1,I1311="SBJ"),AND(J1311=1,I1311=0)),"?IN_FOCUS",IF(J1311&lt;=2,"?ACTIVATED",IF(J1311&lt;&gt;"","?FAMILIAR",IF(F1311="NEW",IF(ISNA(VLOOKUP(E1311,#REF!,1,FALSE())),"?TYPE_IDENTIFIABLE","?REFERENTIAL"),"_")))))</f>
        <v> </v>
      </c>
      <c r="H1311" s="24" t="str">
        <f>IF(J1311&lt;&gt;1,"",IF(I1311="SBJ","CB","?"))</f>
        <v> </v>
      </c>
      <c r="I1311" s="25" t="str">
        <f>IF(OR(E1311="",E1311="!!!",F1311="NEW"),"",INDEX(B1310:B$2,-1+SUMPRODUCT(MAX(ROW(E1310:E$2)*(E1311=E1310:E$2)))))</f>
        <v> </v>
      </c>
      <c r="J1311" s="25" t="str">
        <f>IF(OR(E1311="",E1311="!!!",F1311="NEW"),"",COUNTBLANK(OFFSET(A$1,,,SUMPRODUCT(MAX(ROW(E$2:E1311)*(E1311=E$2:E1311)))))-COUNTBLANK(OFFSET(A$1,,,SUMPRODUCT(MAX(ROW(E$1:E1310)*(E2=E$1:E1310))))))</f>
        <v> </v>
      </c>
      <c r="K1311" s="25" t="str">
        <f>IF(OR(E1311="",E1311="!!!",F1311="NEW"),"",INDEX(J$1:J1310,SUMPRODUCT(MAX(ROW(E$1:E1310)*(E1311=E$1:E1310)))))</f>
        <v> </v>
      </c>
      <c r="L1311" s="26"/>
    </row>
    <row r="1312" spans="1:12">
      <c r="A1312" s="20" t="s">
        <v>755</v>
      </c>
      <c r="E1312" s="21">
        <f>IF(D1312="?OLD","!!!","")</f>
        <v/>
      </c>
      <c r="F1312" s="22" t="str">
        <f>IF(OR(E1312="",E1312="!!!"),"",IF(NOT(ISNA(VLOOKUP(E1312,E$1:E1311,1,FALSE()))),"OLD",IF(AND(E1312&lt;&gt;"",E1312&lt;&gt;"!!!"),"NEW","")))</f>
        <v> </v>
      </c>
      <c r="G1312" s="23" t="str">
        <f>IF(OR(E1312="",E1312="!!!"),"",IF(OR(J1312=0,AND(J1312=1,K1312=1),AND(J1312=1,I1312="SBJ"),AND(J1312=1,I1312=0)),"?IN_FOCUS",IF(J1312&lt;=2,"?ACTIVATED",IF(J1312&lt;&gt;"","?FAMILIAR",IF(F1312="NEW",IF(ISNA(VLOOKUP(E1312,#REF!,1,FALSE())),"?TYPE_IDENTIFIABLE","?REFERENTIAL"),"_")))))</f>
        <v> </v>
      </c>
      <c r="H1312" s="24" t="str">
        <f>IF(J1312&lt;&gt;1,"",IF(I1312="SBJ","CB","?"))</f>
        <v> </v>
      </c>
      <c r="I1312" s="25" t="str">
        <f>IF(OR(E1312="",E1312="!!!",F1312="NEW"),"",INDEX(B1311:B$2,-1+SUMPRODUCT(MAX(ROW(E1311:E$2)*(E1312=E1311:E$2)))))</f>
        <v> </v>
      </c>
      <c r="J1312" s="25" t="str">
        <f>IF(OR(E1312="",E1312="!!!",F1312="NEW"),"",COUNTBLANK(OFFSET(A$1,,,SUMPRODUCT(MAX(ROW(E$2:E1312)*(E1312=E$2:E1312)))))-COUNTBLANK(OFFSET(A$1,,,SUMPRODUCT(MAX(ROW(E$1:E1311)*(E2=E$1:E1311))))))</f>
        <v> </v>
      </c>
      <c r="K1312" s="25" t="str">
        <f>IF(OR(E1312="",E1312="!!!",F1312="NEW"),"",INDEX(J$1:J1311,SUMPRODUCT(MAX(ROW(E$1:E1311)*(E1312=E$1:E1311)))))</f>
        <v> </v>
      </c>
      <c r="L1312" s="26"/>
    </row>
    <row r="1313" spans="1:12">
      <c r="A1313" s="20" t="s">
        <v>767</v>
      </c>
      <c r="E1313" s="21">
        <f>IF(D1313="?OLD","!!!","")</f>
        <v/>
      </c>
      <c r="F1313" s="22" t="str">
        <f>IF(OR(E1313="",E1313="!!!"),"",IF(NOT(ISNA(VLOOKUP(E1313,E$1:E1312,1,FALSE()))),"OLD",IF(AND(E1313&lt;&gt;"",E1313&lt;&gt;"!!!"),"NEW","")))</f>
        <v> </v>
      </c>
      <c r="G1313" s="23" t="str">
        <f>IF(OR(E1313="",E1313="!!!"),"",IF(OR(J1313=0,AND(J1313=1,K1313=1),AND(J1313=1,I1313="SBJ"),AND(J1313=1,I1313=0)),"?IN_FOCUS",IF(J1313&lt;=2,"?ACTIVATED",IF(J1313&lt;&gt;"","?FAMILIAR",IF(F1313="NEW",IF(ISNA(VLOOKUP(E1313,#REF!,1,FALSE())),"?TYPE_IDENTIFIABLE","?REFERENTIAL"),"_")))))</f>
        <v> </v>
      </c>
      <c r="H1313" s="24" t="str">
        <f>IF(J1313&lt;&gt;1,"",IF(I1313="SBJ","CB","?"))</f>
        <v> </v>
      </c>
      <c r="I1313" s="25" t="str">
        <f>IF(OR(E1313="",E1313="!!!",F1313="NEW"),"",INDEX(B1312:B$2,-1+SUMPRODUCT(MAX(ROW(E1312:E$2)*(E1313=E1312:E$2)))))</f>
        <v> </v>
      </c>
      <c r="J1313" s="25" t="str">
        <f>IF(OR(E1313="",E1313="!!!",F1313="NEW"),"",COUNTBLANK(OFFSET(A$1,,,SUMPRODUCT(MAX(ROW(E$2:E1313)*(E1313=E$2:E1313)))))-COUNTBLANK(OFFSET(A$1,,,SUMPRODUCT(MAX(ROW(E$1:E1312)*(E2=E$1:E1312))))))</f>
        <v> </v>
      </c>
      <c r="K1313" s="25" t="str">
        <f>IF(OR(E1313="",E1313="!!!",F1313="NEW"),"",INDEX(J$1:J1312,SUMPRODUCT(MAX(ROW(E$1:E1312)*(E1313=E$1:E1312)))))</f>
        <v> </v>
      </c>
      <c r="L1313" s="26"/>
    </row>
    <row r="1314" spans="1:12">
      <c r="A1314" s="20"/>
    </row>
    <row r="1315" spans="1:12">
      <c r="A1315" s="20" t="s">
        <v>1185</v>
      </c>
    </row>
    <row r="1316" spans="1:12">
      <c r="A1316" s="20" t="s">
        <v>722</v>
      </c>
      <c r="E1316" s="21">
        <f>IF(D1316="?OLD","!!!","")</f>
        <v/>
      </c>
      <c r="F1316" s="22" t="str">
        <f>IF(OR(E1316="",E1316="!!!"),"",IF(NOT(ISNA(VLOOKUP(E1316,E$1:E1315,1,FALSE()))),"OLD",IF(AND(E1316&lt;&gt;"",E1316&lt;&gt;"!!!"),"NEW","")))</f>
        <v> </v>
      </c>
      <c r="G1316" s="23" t="str">
        <f>IF(OR(E1316="",E1316="!!!"),"",IF(OR(J1316=0,AND(J1316=1,K1316=1),AND(J1316=1,I1316="SBJ"),AND(J1316=1,I1316=0)),"?IN_FOCUS",IF(J1316&lt;=2,"?ACTIVATED",IF(J1316&lt;&gt;"","?FAMILIAR",IF(F1316="NEW",IF(ISNA(VLOOKUP(E1316,#REF!,1,FALSE())),"?TYPE_IDENTIFIABLE","?REFERENTIAL"),"_")))))</f>
        <v> </v>
      </c>
      <c r="H1316" s="24" t="str">
        <f>IF(J1316&lt;&gt;1,"",IF(I1316="SBJ","CB","?"))</f>
        <v> </v>
      </c>
      <c r="I1316" s="25" t="str">
        <f>IF(OR(E1316="",E1316="!!!",F1316="NEW"),"",INDEX(B1315:B$2,-1+SUMPRODUCT(MAX(ROW(E1315:E$2)*(E1316=E1315:E$2)))))</f>
        <v> </v>
      </c>
      <c r="J1316" s="25" t="str">
        <f>IF(OR(E1316="",E1316="!!!",F1316="NEW"),"",COUNTBLANK(OFFSET(A$1,,,SUMPRODUCT(MAX(ROW(E$2:E1316)*(E1316=E$2:E1316)))))-COUNTBLANK(OFFSET(A$1,,,SUMPRODUCT(MAX(ROW(E$1:E1315)*(E2=E$1:E1315))))))</f>
        <v> </v>
      </c>
      <c r="K1316" s="25" t="str">
        <f>IF(OR(E1316="",E1316="!!!",F1316="NEW"),"",INDEX(J$1:J1315,SUMPRODUCT(MAX(ROW(E$1:E1315)*(E1316=E$1:E1315)))))</f>
        <v> </v>
      </c>
      <c r="L1316" s="26"/>
    </row>
    <row r="1317" spans="1:12">
      <c r="A1317" s="20" t="s">
        <v>1186</v>
      </c>
      <c r="E1317" s="21">
        <f>IF(D1317="?OLD","!!!","")</f>
        <v/>
      </c>
      <c r="F1317" s="22" t="str">
        <f>IF(OR(E1317="",E1317="!!!"),"",IF(NOT(ISNA(VLOOKUP(E1317,E$1:E1316,1,FALSE()))),"OLD",IF(AND(E1317&lt;&gt;"",E1317&lt;&gt;"!!!"),"NEW","")))</f>
        <v> </v>
      </c>
      <c r="G1317" s="23" t="str">
        <f>IF(OR(E1317="",E1317="!!!"),"",IF(OR(J1317=0,AND(J1317=1,K1317=1),AND(J1317=1,I1317="SBJ"),AND(J1317=1,I1317=0)),"?IN_FOCUS",IF(J1317&lt;=2,"?ACTIVATED",IF(J1317&lt;&gt;"","?FAMILIAR",IF(F1317="NEW",IF(ISNA(VLOOKUP(E1317,#REF!,1,FALSE())),"?TYPE_IDENTIFIABLE","?REFERENTIAL"),"_")))))</f>
        <v> </v>
      </c>
      <c r="H1317" s="24" t="str">
        <f>IF(J1317&lt;&gt;1,"",IF(I1317="SBJ","CB","?"))</f>
        <v> </v>
      </c>
      <c r="I1317" s="25" t="str">
        <f>IF(OR(E1317="",E1317="!!!",F1317="NEW"),"",INDEX(B1316:B$2,-1+SUMPRODUCT(MAX(ROW(E1316:E$2)*(E1317=E1316:E$2)))))</f>
        <v> </v>
      </c>
      <c r="J1317" s="25" t="str">
        <f>IF(OR(E1317="",E1317="!!!",F1317="NEW"),"",COUNTBLANK(OFFSET(A$1,,,SUMPRODUCT(MAX(ROW(E$2:E1317)*(E1317=E$2:E1317)))))-COUNTBLANK(OFFSET(A$1,,,SUMPRODUCT(MAX(ROW(E$1:E1316)*(E2=E$1:E1316))))))</f>
        <v> </v>
      </c>
      <c r="K1317" s="25" t="str">
        <f>IF(OR(E1317="",E1317="!!!",F1317="NEW"),"",INDEX(J$1:J1316,SUMPRODUCT(MAX(ROW(E$1:E1316)*(E1317=E$1:E1316)))))</f>
        <v> </v>
      </c>
      <c r="L1317" s="26"/>
    </row>
    <row r="1318" spans="1:12">
      <c r="A1318" s="20" t="s">
        <v>682</v>
      </c>
      <c r="E1318" s="21">
        <f>IF(D1318="?OLD","!!!","")</f>
        <v/>
      </c>
      <c r="F1318" s="22" t="str">
        <f>IF(OR(E1318="",E1318="!!!"),"",IF(NOT(ISNA(VLOOKUP(E1318,E$1:E1317,1,FALSE()))),"OLD",IF(AND(E1318&lt;&gt;"",E1318&lt;&gt;"!!!"),"NEW","")))</f>
        <v> </v>
      </c>
      <c r="G1318" s="23" t="str">
        <f>IF(OR(E1318="",E1318="!!!"),"",IF(OR(J1318=0,AND(J1318=1,K1318=1),AND(J1318=1,I1318="SBJ"),AND(J1318=1,I1318=0)),"?IN_FOCUS",IF(J1318&lt;=2,"?ACTIVATED",IF(J1318&lt;&gt;"","?FAMILIAR",IF(F1318="NEW",IF(ISNA(VLOOKUP(E1318,#REF!,1,FALSE())),"?TYPE_IDENTIFIABLE","?REFERENTIAL"),"_")))))</f>
        <v> </v>
      </c>
      <c r="H1318" s="24" t="str">
        <f>IF(J1318&lt;&gt;1,"",IF(I1318="SBJ","CB","?"))</f>
        <v> </v>
      </c>
      <c r="I1318" s="25" t="str">
        <f>IF(OR(E1318="",E1318="!!!",F1318="NEW"),"",INDEX(B1317:B$2,-1+SUMPRODUCT(MAX(ROW(E1317:E$2)*(E1318=E1317:E$2)))))</f>
        <v> </v>
      </c>
      <c r="J1318" s="25" t="str">
        <f>IF(OR(E1318="",E1318="!!!",F1318="NEW"),"",COUNTBLANK(OFFSET(A$1,,,SUMPRODUCT(MAX(ROW(E$2:E1318)*(E1318=E$2:E1318)))))-COUNTBLANK(OFFSET(A$1,,,SUMPRODUCT(MAX(ROW(E$1:E1317)*(E2=E$1:E1317))))))</f>
        <v> </v>
      </c>
      <c r="K1318" s="25" t="str">
        <f>IF(OR(E1318="",E1318="!!!",F1318="NEW"),"",INDEX(J$1:J1317,SUMPRODUCT(MAX(ROW(E$1:E1317)*(E1318=E$1:E1317)))))</f>
        <v> </v>
      </c>
      <c r="L1318" s="26"/>
    </row>
    <row r="1319" spans="1:12">
      <c r="A1319" s="20" t="s">
        <v>1159</v>
      </c>
      <c r="E1319" s="21">
        <f>IF(D1319="?OLD","!!!","")</f>
        <v/>
      </c>
      <c r="F1319" s="22" t="str">
        <f>IF(OR(E1319="",E1319="!!!"),"",IF(NOT(ISNA(VLOOKUP(E1319,E$1:E1318,1,FALSE()))),"OLD",IF(AND(E1319&lt;&gt;"",E1319&lt;&gt;"!!!"),"NEW","")))</f>
        <v> </v>
      </c>
      <c r="G1319" s="23" t="str">
        <f>IF(OR(E1319="",E1319="!!!"),"",IF(OR(J1319=0,AND(J1319=1,K1319=1),AND(J1319=1,I1319="SBJ"),AND(J1319=1,I1319=0)),"?IN_FOCUS",IF(J1319&lt;=2,"?ACTIVATED",IF(J1319&lt;&gt;"","?FAMILIAR",IF(F1319="NEW",IF(ISNA(VLOOKUP(E1319,#REF!,1,FALSE())),"?TYPE_IDENTIFIABLE","?REFERENTIAL"),"_")))))</f>
        <v> </v>
      </c>
      <c r="H1319" s="24" t="str">
        <f>IF(J1319&lt;&gt;1,"",IF(I1319="SBJ","CB","?"))</f>
        <v> </v>
      </c>
      <c r="I1319" s="25" t="str">
        <f>IF(OR(E1319="",E1319="!!!",F1319="NEW"),"",INDEX(B1318:B$2,-1+SUMPRODUCT(MAX(ROW(E1318:E$2)*(E1319=E1318:E$2)))))</f>
        <v> </v>
      </c>
      <c r="J1319" s="25" t="str">
        <f>IF(OR(E1319="",E1319="!!!",F1319="NEW"),"",COUNTBLANK(OFFSET(A$1,,,SUMPRODUCT(MAX(ROW(E$2:E1319)*(E1319=E$2:E1319)))))-COUNTBLANK(OFFSET(A$1,,,SUMPRODUCT(MAX(ROW(E$1:E1318)*(E2=E$1:E1318))))))</f>
        <v> </v>
      </c>
      <c r="K1319" s="25" t="str">
        <f>IF(OR(E1319="",E1319="!!!",F1319="NEW"),"",INDEX(J$1:J1318,SUMPRODUCT(MAX(ROW(E$1:E1318)*(E1319=E$1:E1318)))))</f>
        <v> </v>
      </c>
      <c r="L1319" s="26"/>
    </row>
    <row r="1320" spans="1:12">
      <c r="A1320" s="20" t="s">
        <v>1062</v>
      </c>
      <c r="E1320" s="21">
        <f>IF(D1320="?OLD","!!!","")</f>
        <v/>
      </c>
      <c r="F1320" s="22" t="str">
        <f>IF(OR(E1320="",E1320="!!!"),"",IF(NOT(ISNA(VLOOKUP(E1320,E$1:E1319,1,FALSE()))),"OLD",IF(AND(E1320&lt;&gt;"",E1320&lt;&gt;"!!!"),"NEW","")))</f>
        <v> </v>
      </c>
      <c r="G1320" s="23" t="str">
        <f>IF(OR(E1320="",E1320="!!!"),"",IF(OR(J1320=0,AND(J1320=1,K1320=1),AND(J1320=1,I1320="SBJ"),AND(J1320=1,I1320=0)),"?IN_FOCUS",IF(J1320&lt;=2,"?ACTIVATED",IF(J1320&lt;&gt;"","?FAMILIAR",IF(F1320="NEW",IF(ISNA(VLOOKUP(E1320,#REF!,1,FALSE())),"?TYPE_IDENTIFIABLE","?REFERENTIAL"),"_")))))</f>
        <v> </v>
      </c>
      <c r="H1320" s="24" t="str">
        <f>IF(J1320&lt;&gt;1,"",IF(I1320="SBJ","CB","?"))</f>
        <v> </v>
      </c>
      <c r="I1320" s="25" t="str">
        <f>IF(OR(E1320="",E1320="!!!",F1320="NEW"),"",INDEX(B1319:B$2,-1+SUMPRODUCT(MAX(ROW(E1319:E$2)*(E1320=E1319:E$2)))))</f>
        <v> </v>
      </c>
      <c r="J1320" s="25" t="str">
        <f>IF(OR(E1320="",E1320="!!!",F1320="NEW"),"",COUNTBLANK(OFFSET(A$1,,,SUMPRODUCT(MAX(ROW(E$2:E1320)*(E1320=E$2:E1320)))))-COUNTBLANK(OFFSET(A$1,,,SUMPRODUCT(MAX(ROW(E$1:E1319)*(E2=E$1:E1319))))))</f>
        <v> </v>
      </c>
      <c r="K1320" s="25" t="str">
        <f>IF(OR(E1320="",E1320="!!!",F1320="NEW"),"",INDEX(J$1:J1319,SUMPRODUCT(MAX(ROW(E$1:E1319)*(E1320=E$1:E1319)))))</f>
        <v> </v>
      </c>
      <c r="L1320" s="26"/>
    </row>
    <row r="1321" spans="1:12">
      <c r="A1321" s="20" t="s">
        <v>187</v>
      </c>
      <c r="B1321" s="27" t="s">
        <v>636</v>
      </c>
      <c r="C1321" s="27" t="s">
        <v>685</v>
      </c>
      <c r="E1321" s="21">
        <f>IF(D1321="?OLD","!!!","")</f>
        <v/>
      </c>
      <c r="F1321" s="22" t="str">
        <f>IF(OR(E1321="",E1321="!!!"),"",IF(NOT(ISNA(VLOOKUP(E1321,E$1:E1320,1,FALSE()))),"OLD",IF(AND(E1321&lt;&gt;"",E1321&lt;&gt;"!!!"),"NEW","")))</f>
        <v> </v>
      </c>
      <c r="G1321" s="23" t="str">
        <f>IF(OR(E1321="",E1321="!!!"),"",IF(OR(J1321=0,AND(J1321=1,K1321=1),AND(J1321=1,I1321="SBJ"),AND(J1321=1,I1321=0)),"?IN_FOCUS",IF(J1321&lt;=2,"?ACTIVATED",IF(J1321&lt;&gt;"","?FAMILIAR",IF(F1321="NEW",IF(ISNA(VLOOKUP(E1321,#REF!,1,FALSE())),"?TYPE_IDENTIFIABLE","?REFERENTIAL"),"_")))))</f>
        <v> </v>
      </c>
      <c r="H1321" s="24" t="str">
        <f>IF(J1321&lt;&gt;1,"",IF(I1321="SBJ","CB","?"))</f>
        <v> </v>
      </c>
      <c r="I1321" s="25" t="str">
        <f>IF(OR(E1321="",E1321="!!!",F1321="NEW"),"",INDEX(B1320:B$2,-1+SUMPRODUCT(MAX(ROW(E1320:E$2)*(E1321=E1320:E$2)))))</f>
        <v> </v>
      </c>
      <c r="J1321" s="25" t="str">
        <f>IF(OR(E1321="",E1321="!!!",F1321="NEW"),"",COUNTBLANK(OFFSET(A$1,,,SUMPRODUCT(MAX(ROW(E$2:E1321)*(E1321=E$2:E1321)))))-COUNTBLANK(OFFSET(A$1,,,SUMPRODUCT(MAX(ROW(E$1:E1320)*(E2=E$1:E1320))))))</f>
        <v> </v>
      </c>
      <c r="K1321" s="25" t="str">
        <f>IF(OR(E1321="",E1321="!!!",F1321="NEW"),"",INDEX(J$1:J1320,SUMPRODUCT(MAX(ROW(E$1:E1320)*(E1321=E$1:E1320)))))</f>
        <v> </v>
      </c>
      <c r="L1321" s="26"/>
    </row>
    <row r="1322" spans="1:12">
      <c r="A1322" s="20" t="s">
        <v>1187</v>
      </c>
      <c r="E1322" s="21">
        <f>IF(D1322="?OLD","!!!","")</f>
        <v/>
      </c>
      <c r="F1322" s="22" t="str">
        <f>IF(OR(E1322="",E1322="!!!"),"",IF(NOT(ISNA(VLOOKUP(E1322,E$1:E1321,1,FALSE()))),"OLD",IF(AND(E1322&lt;&gt;"",E1322&lt;&gt;"!!!"),"NEW","")))</f>
        <v> </v>
      </c>
      <c r="G1322" s="23" t="str">
        <f>IF(OR(E1322="",E1322="!!!"),"",IF(OR(J1322=0,AND(J1322=1,K1322=1),AND(J1322=1,I1322="SBJ"),AND(J1322=1,I1322=0)),"?IN_FOCUS",IF(J1322&lt;=2,"?ACTIVATED",IF(J1322&lt;&gt;"","?FAMILIAR",IF(F1322="NEW",IF(ISNA(VLOOKUP(E1322,#REF!,1,FALSE())),"?TYPE_IDENTIFIABLE","?REFERENTIAL"),"_")))))</f>
        <v> </v>
      </c>
      <c r="H1322" s="24" t="str">
        <f>IF(J1322&lt;&gt;1,"",IF(I1322="SBJ","CB","?"))</f>
        <v> </v>
      </c>
      <c r="I1322" s="25" t="str">
        <f>IF(OR(E1322="",E1322="!!!",F1322="NEW"),"",INDEX(B1321:B$2,-1+SUMPRODUCT(MAX(ROW(E1321:E$2)*(E1322=E1321:E$2)))))</f>
        <v> </v>
      </c>
      <c r="J1322" s="25" t="str">
        <f>IF(OR(E1322="",E1322="!!!",F1322="NEW"),"",COUNTBLANK(OFFSET(A$1,,,SUMPRODUCT(MAX(ROW(E$2:E1322)*(E1322=E$2:E1322)))))-COUNTBLANK(OFFSET(A$1,,,SUMPRODUCT(MAX(ROW(E$1:E1321)*(E2=E$1:E1321))))))</f>
        <v> </v>
      </c>
      <c r="K1322" s="25" t="str">
        <f>IF(OR(E1322="",E1322="!!!",F1322="NEW"),"",INDEX(J$1:J1321,SUMPRODUCT(MAX(ROW(E$1:E1321)*(E1322=E$1:E1321)))))</f>
        <v> </v>
      </c>
      <c r="L1322" s="26"/>
    </row>
    <row r="1323" spans="1:12">
      <c r="A1323" s="20" t="s">
        <v>617</v>
      </c>
      <c r="E1323" s="21">
        <f>IF(D1323="?OLD","!!!","")</f>
        <v/>
      </c>
      <c r="F1323" s="22" t="str">
        <f>IF(OR(E1323="",E1323="!!!"),"",IF(NOT(ISNA(VLOOKUP(E1323,E$1:E1322,1,FALSE()))),"OLD",IF(AND(E1323&lt;&gt;"",E1323&lt;&gt;"!!!"),"NEW","")))</f>
        <v> </v>
      </c>
      <c r="G1323" s="23" t="str">
        <f>IF(OR(E1323="",E1323="!!!"),"",IF(OR(J1323=0,AND(J1323=1,K1323=1),AND(J1323=1,I1323="SBJ"),AND(J1323=1,I1323=0)),"?IN_FOCUS",IF(J1323&lt;=2,"?ACTIVATED",IF(J1323&lt;&gt;"","?FAMILIAR",IF(F1323="NEW",IF(ISNA(VLOOKUP(E1323,#REF!,1,FALSE())),"?TYPE_IDENTIFIABLE","?REFERENTIAL"),"_")))))</f>
        <v> </v>
      </c>
      <c r="H1323" s="24" t="str">
        <f>IF(J1323&lt;&gt;1,"",IF(I1323="SBJ","CB","?"))</f>
        <v> </v>
      </c>
      <c r="I1323" s="25" t="str">
        <f>IF(OR(E1323="",E1323="!!!",F1323="NEW"),"",INDEX(B1322:B$2,-1+SUMPRODUCT(MAX(ROW(E1322:E$2)*(E1323=E1322:E$2)))))</f>
        <v> </v>
      </c>
      <c r="J1323" s="25" t="str">
        <f>IF(OR(E1323="",E1323="!!!",F1323="NEW"),"",COUNTBLANK(OFFSET(A$1,,,SUMPRODUCT(MAX(ROW(E$2:E1323)*(E1323=E$2:E1323)))))-COUNTBLANK(OFFSET(A$1,,,SUMPRODUCT(MAX(ROW(E$1:E1322)*(E2=E$1:E1322))))))</f>
        <v> </v>
      </c>
      <c r="K1323" s="25" t="str">
        <f>IF(OR(E1323="",E1323="!!!",F1323="NEW"),"",INDEX(J$1:J1322,SUMPRODUCT(MAX(ROW(E$1:E1322)*(E1323=E$1:E1322)))))</f>
        <v> </v>
      </c>
      <c r="L1323" s="26"/>
    </row>
    <row r="1324" spans="1:12">
      <c r="A1324" s="20" t="s">
        <v>630</v>
      </c>
      <c r="B1324" s="27" t="s">
        <v>657</v>
      </c>
      <c r="C1324" s="27" t="s">
        <v>631</v>
      </c>
      <c r="D1324" s="27" t="s">
        <v>608</v>
      </c>
      <c r="E1324" s="21">
        <f>IF(D1324="?OLD","!!!","")</f>
        <v/>
      </c>
      <c r="F1324" s="22" t="str">
        <f>IF(OR(E1324="",E1324="!!!"),"",IF(NOT(ISNA(VLOOKUP(E1324,E$1:E1323,1,FALSE()))),"OLD",IF(AND(E1324&lt;&gt;"",E1324&lt;&gt;"!!!"),"NEW","")))</f>
        <v> </v>
      </c>
      <c r="G1324" s="23" t="str">
        <f>IF(OR(E1324="",E1324="!!!"),"",IF(OR(J1324=0,AND(J1324=1,K1324=1),AND(J1324=1,I1324="SBJ"),AND(J1324=1,I1324=0)),"?IN_FOCUS",IF(J1324&lt;=2,"?ACTIVATED",IF(J1324&lt;&gt;"","?FAMILIAR",IF(F1324="NEW",IF(ISNA(VLOOKUP(E1324,#REF!,1,FALSE())),"?TYPE_IDENTIFIABLE","?REFERENTIAL"),"_")))))</f>
        <v> </v>
      </c>
      <c r="H1324" s="24" t="str">
        <f>IF(J1324&lt;&gt;1,"",IF(I1324="SBJ","CB","?"))</f>
        <v> </v>
      </c>
      <c r="I1324" s="25" t="str">
        <f>IF(OR(E1324="",E1324="!!!",F1324="NEW"),"",INDEX(B1323:B$2,-1+SUMPRODUCT(MAX(ROW(E1323:E$2)*(E1324=E1323:E$2)))))</f>
        <v> </v>
      </c>
      <c r="J1324" s="25" t="str">
        <f>IF(OR(E1324="",E1324="!!!",F1324="NEW"),"",COUNTBLANK(OFFSET(A$1,,,SUMPRODUCT(MAX(ROW(E$2:E1324)*(E1324=E$2:E1324)))))-COUNTBLANK(OFFSET(A$1,,,SUMPRODUCT(MAX(ROW(E$1:E1323)*(E2=E$1:E1323))))))</f>
        <v> </v>
      </c>
      <c r="K1324" s="25" t="str">
        <f>IF(OR(E1324="",E1324="!!!",F1324="NEW"),"",INDEX(J$1:J1323,SUMPRODUCT(MAX(ROW(E$1:E1323)*(E1324=E$1:E1323)))))</f>
        <v> </v>
      </c>
      <c r="L1324" s="26"/>
    </row>
    <row r="1325" spans="1:12">
      <c r="A1325" s="20" t="s">
        <v>663</v>
      </c>
      <c r="E1325" s="21">
        <f>IF(D1325="?OLD","!!!","")</f>
        <v/>
      </c>
      <c r="F1325" s="22" t="str">
        <f>IF(OR(E1325="",E1325="!!!"),"",IF(NOT(ISNA(VLOOKUP(E1325,E$1:E1324,1,FALSE()))),"OLD",IF(AND(E1325&lt;&gt;"",E1325&lt;&gt;"!!!"),"NEW","")))</f>
        <v> </v>
      </c>
      <c r="G1325" s="23" t="str">
        <f>IF(OR(E1325="",E1325="!!!"),"",IF(OR(J1325=0,AND(J1325=1,K1325=1),AND(J1325=1,I1325="SBJ"),AND(J1325=1,I1325=0)),"?IN_FOCUS",IF(J1325&lt;=2,"?ACTIVATED",IF(J1325&lt;&gt;"","?FAMILIAR",IF(F1325="NEW",IF(ISNA(VLOOKUP(E1325,#REF!,1,FALSE())),"?TYPE_IDENTIFIABLE","?REFERENTIAL"),"_")))))</f>
        <v> </v>
      </c>
      <c r="H1325" s="24" t="str">
        <f>IF(J1325&lt;&gt;1,"",IF(I1325="SBJ","CB","?"))</f>
        <v> </v>
      </c>
      <c r="I1325" s="25" t="str">
        <f>IF(OR(E1325="",E1325="!!!",F1325="NEW"),"",INDEX(B1324:B$2,-1+SUMPRODUCT(MAX(ROW(E1324:E$2)*(E1325=E1324:E$2)))))</f>
        <v> </v>
      </c>
      <c r="J1325" s="25" t="str">
        <f>IF(OR(E1325="",E1325="!!!",F1325="NEW"),"",COUNTBLANK(OFFSET(A$1,,,SUMPRODUCT(MAX(ROW(E$2:E1325)*(E1325=E$2:E1325)))))-COUNTBLANK(OFFSET(A$1,,,SUMPRODUCT(MAX(ROW(E$1:E1324)*(E2=E$1:E1324))))))</f>
        <v> </v>
      </c>
      <c r="K1325" s="25" t="str">
        <f>IF(OR(E1325="",E1325="!!!",F1325="NEW"),"",INDEX(J$1:J1324,SUMPRODUCT(MAX(ROW(E$1:E1324)*(E1325=E$1:E1324)))))</f>
        <v> </v>
      </c>
      <c r="L1325" s="26"/>
    </row>
    <row r="1326" spans="1:12">
      <c r="A1326" s="20" t="s">
        <v>1188</v>
      </c>
      <c r="E1326" s="21">
        <f>IF(D1326="?OLD","!!!","")</f>
        <v/>
      </c>
      <c r="F1326" s="22" t="str">
        <f>IF(OR(E1326="",E1326="!!!"),"",IF(NOT(ISNA(VLOOKUP(E1326,E$1:E1325,1,FALSE()))),"OLD",IF(AND(E1326&lt;&gt;"",E1326&lt;&gt;"!!!"),"NEW","")))</f>
        <v> </v>
      </c>
      <c r="G1326" s="23" t="str">
        <f>IF(OR(E1326="",E1326="!!!"),"",IF(OR(J1326=0,AND(J1326=1,K1326=1),AND(J1326=1,I1326="SBJ"),AND(J1326=1,I1326=0)),"?IN_FOCUS",IF(J1326&lt;=2,"?ACTIVATED",IF(J1326&lt;&gt;"","?FAMILIAR",IF(F1326="NEW",IF(ISNA(VLOOKUP(E1326,#REF!,1,FALSE())),"?TYPE_IDENTIFIABLE","?REFERENTIAL"),"_")))))</f>
        <v> </v>
      </c>
      <c r="H1326" s="24" t="str">
        <f>IF(J1326&lt;&gt;1,"",IF(I1326="SBJ","CB","?"))</f>
        <v> </v>
      </c>
      <c r="I1326" s="25" t="str">
        <f>IF(OR(E1326="",E1326="!!!",F1326="NEW"),"",INDEX(B1325:B$2,-1+SUMPRODUCT(MAX(ROW(E1325:E$2)*(E1326=E1325:E$2)))))</f>
        <v> </v>
      </c>
      <c r="J1326" s="25" t="str">
        <f>IF(OR(E1326="",E1326="!!!",F1326="NEW"),"",COUNTBLANK(OFFSET(A$1,,,SUMPRODUCT(MAX(ROW(E$2:E1326)*(E1326=E$2:E1326)))))-COUNTBLANK(OFFSET(A$1,,,SUMPRODUCT(MAX(ROW(E$1:E1325)*(E2=E$1:E1325))))))</f>
        <v> </v>
      </c>
      <c r="K1326" s="25" t="str">
        <f>IF(OR(E1326="",E1326="!!!",F1326="NEW"),"",INDEX(J$1:J1325,SUMPRODUCT(MAX(ROW(E$1:E1325)*(E1326=E$1:E1325)))))</f>
        <v> </v>
      </c>
      <c r="L1326" s="26"/>
    </row>
    <row r="1327" spans="1:12">
      <c r="A1327" s="20" t="s">
        <v>633</v>
      </c>
      <c r="E1327" s="21">
        <f>IF(D1327="?OLD","!!!","")</f>
        <v/>
      </c>
      <c r="F1327" s="22" t="str">
        <f>IF(OR(E1327="",E1327="!!!"),"",IF(NOT(ISNA(VLOOKUP(E1327,E$1:E1326,1,FALSE()))),"OLD",IF(AND(E1327&lt;&gt;"",E1327&lt;&gt;"!!!"),"NEW","")))</f>
        <v> </v>
      </c>
      <c r="G1327" s="23" t="str">
        <f>IF(OR(E1327="",E1327="!!!"),"",IF(OR(J1327=0,AND(J1327=1,K1327=1),AND(J1327=1,I1327="SBJ"),AND(J1327=1,I1327=0)),"?IN_FOCUS",IF(J1327&lt;=2,"?ACTIVATED",IF(J1327&lt;&gt;"","?FAMILIAR",IF(F1327="NEW",IF(ISNA(VLOOKUP(E1327,#REF!,1,FALSE())),"?TYPE_IDENTIFIABLE","?REFERENTIAL"),"_")))))</f>
        <v> </v>
      </c>
      <c r="H1327" s="24" t="str">
        <f>IF(J1327&lt;&gt;1,"",IF(I1327="SBJ","CB","?"))</f>
        <v> </v>
      </c>
      <c r="I1327" s="25" t="str">
        <f>IF(OR(E1327="",E1327="!!!",F1327="NEW"),"",INDEX(B1326:B$2,-1+SUMPRODUCT(MAX(ROW(E1326:E$2)*(E1327=E1326:E$2)))))</f>
        <v> </v>
      </c>
      <c r="J1327" s="25" t="str">
        <f>IF(OR(E1327="",E1327="!!!",F1327="NEW"),"",COUNTBLANK(OFFSET(A$1,,,SUMPRODUCT(MAX(ROW(E$2:E1327)*(E1327=E$2:E1327)))))-COUNTBLANK(OFFSET(A$1,,,SUMPRODUCT(MAX(ROW(E$1:E1326)*(E2=E$1:E1326))))))</f>
        <v> </v>
      </c>
      <c r="K1327" s="25" t="str">
        <f>IF(OR(E1327="",E1327="!!!",F1327="NEW"),"",INDEX(J$1:J1326,SUMPRODUCT(MAX(ROW(E$1:E1326)*(E1327=E$1:E1326)))))</f>
        <v> </v>
      </c>
      <c r="L1327" s="26"/>
    </row>
    <row r="1328" spans="1:12">
      <c r="A1328" s="20"/>
    </row>
    <row r="1329" spans="1:12">
      <c r="A1329" s="20" t="s">
        <v>1189</v>
      </c>
    </row>
    <row r="1330" spans="1:12">
      <c r="A1330" s="20" t="s">
        <v>814</v>
      </c>
      <c r="E1330" s="21">
        <f>IF(D1330="?OLD","!!!","")</f>
        <v/>
      </c>
      <c r="F1330" s="22" t="str">
        <f>IF(OR(E1330="",E1330="!!!"),"",IF(NOT(ISNA(VLOOKUP(E1330,E$1:E1329,1,FALSE()))),"OLD",IF(AND(E1330&lt;&gt;"",E1330&lt;&gt;"!!!"),"NEW","")))</f>
        <v> </v>
      </c>
      <c r="G1330" s="23" t="str">
        <f>IF(OR(E1330="",E1330="!!!"),"",IF(OR(J1330=0,AND(J1330=1,K1330=1),AND(J1330=1,I1330="SBJ"),AND(J1330=1,I1330=0)),"?IN_FOCUS",IF(J1330&lt;=2,"?ACTIVATED",IF(J1330&lt;&gt;"","?FAMILIAR",IF(F1330="NEW",IF(ISNA(VLOOKUP(E1330,#REF!,1,FALSE())),"?TYPE_IDENTIFIABLE","?REFERENTIAL"),"_")))))</f>
        <v> </v>
      </c>
      <c r="H1330" s="24" t="str">
        <f>IF(J1330&lt;&gt;1,"",IF(I1330="SBJ","CB","?"))</f>
        <v> </v>
      </c>
      <c r="I1330" s="25" t="str">
        <f>IF(OR(E1330="",E1330="!!!",F1330="NEW"),"",INDEX(B1329:B$2,-1+SUMPRODUCT(MAX(ROW(E1329:E$2)*(E1330=E1329:E$2)))))</f>
        <v> </v>
      </c>
      <c r="J1330" s="25" t="str">
        <f>IF(OR(E1330="",E1330="!!!",F1330="NEW"),"",COUNTBLANK(OFFSET(A$1,,,SUMPRODUCT(MAX(ROW(E$2:E1330)*(E1330=E$2:E1330)))))-COUNTBLANK(OFFSET(A$1,,,SUMPRODUCT(MAX(ROW(E$1:E1329)*(E2=E$1:E1329))))))</f>
        <v> </v>
      </c>
      <c r="K1330" s="25" t="str">
        <f>IF(OR(E1330="",E1330="!!!",F1330="NEW"),"",INDEX(J$1:J1329,SUMPRODUCT(MAX(ROW(E$1:E1329)*(E1330=E$1:E1329)))))</f>
        <v> </v>
      </c>
      <c r="L1330" s="26"/>
    </row>
    <row r="1331" spans="1:12">
      <c r="A1331" s="20" t="s">
        <v>822</v>
      </c>
      <c r="E1331" s="21">
        <f>IF(D1331="?OLD","!!!","")</f>
        <v/>
      </c>
      <c r="F1331" s="22" t="str">
        <f>IF(OR(E1331="",E1331="!!!"),"",IF(NOT(ISNA(VLOOKUP(E1331,E$1:E1330,1,FALSE()))),"OLD",IF(AND(E1331&lt;&gt;"",E1331&lt;&gt;"!!!"),"NEW","")))</f>
        <v> </v>
      </c>
      <c r="G1331" s="23" t="str">
        <f>IF(OR(E1331="",E1331="!!!"),"",IF(OR(J1331=0,AND(J1331=1,K1331=1),AND(J1331=1,I1331="SBJ"),AND(J1331=1,I1331=0)),"?IN_FOCUS",IF(J1331&lt;=2,"?ACTIVATED",IF(J1331&lt;&gt;"","?FAMILIAR",IF(F1331="NEW",IF(ISNA(VLOOKUP(E1331,#REF!,1,FALSE())),"?TYPE_IDENTIFIABLE","?REFERENTIAL"),"_")))))</f>
        <v> </v>
      </c>
      <c r="H1331" s="24" t="str">
        <f>IF(J1331&lt;&gt;1,"",IF(I1331="SBJ","CB","?"))</f>
        <v> </v>
      </c>
      <c r="I1331" s="25" t="str">
        <f>IF(OR(E1331="",E1331="!!!",F1331="NEW"),"",INDEX(B1330:B$2,-1+SUMPRODUCT(MAX(ROW(E1330:E$2)*(E1331=E1330:E$2)))))</f>
        <v> </v>
      </c>
      <c r="J1331" s="25" t="str">
        <f>IF(OR(E1331="",E1331="!!!",F1331="NEW"),"",COUNTBLANK(OFFSET(A$1,,,SUMPRODUCT(MAX(ROW(E$2:E1331)*(E1331=E$2:E1331)))))-COUNTBLANK(OFFSET(A$1,,,SUMPRODUCT(MAX(ROW(E$1:E1330)*(E2=E$1:E1330))))))</f>
        <v> </v>
      </c>
      <c r="K1331" s="25" t="str">
        <f>IF(OR(E1331="",E1331="!!!",F1331="NEW"),"",INDEX(J$1:J1330,SUMPRODUCT(MAX(ROW(E$1:E1330)*(E1331=E$1:E1330)))))</f>
        <v> </v>
      </c>
      <c r="L1331" s="26"/>
    </row>
    <row r="1332" spans="1:12">
      <c r="A1332" s="20" t="s">
        <v>609</v>
      </c>
      <c r="E1332" s="21">
        <f>IF(D1332="?OLD","!!!","")</f>
        <v/>
      </c>
      <c r="F1332" s="22" t="str">
        <f>IF(OR(E1332="",E1332="!!!"),"",IF(NOT(ISNA(VLOOKUP(E1332,E$1:E1331,1,FALSE()))),"OLD",IF(AND(E1332&lt;&gt;"",E1332&lt;&gt;"!!!"),"NEW","")))</f>
        <v> </v>
      </c>
      <c r="G1332" s="23" t="str">
        <f>IF(OR(E1332="",E1332="!!!"),"",IF(OR(J1332=0,AND(J1332=1,K1332=1),AND(J1332=1,I1332="SBJ"),AND(J1332=1,I1332=0)),"?IN_FOCUS",IF(J1332&lt;=2,"?ACTIVATED",IF(J1332&lt;&gt;"","?FAMILIAR",IF(F1332="NEW",IF(ISNA(VLOOKUP(E1332,#REF!,1,FALSE())),"?TYPE_IDENTIFIABLE","?REFERENTIAL"),"_")))))</f>
        <v> </v>
      </c>
      <c r="H1332" s="24" t="str">
        <f>IF(J1332&lt;&gt;1,"",IF(I1332="SBJ","CB","?"))</f>
        <v> </v>
      </c>
      <c r="I1332" s="25" t="str">
        <f>IF(OR(E1332="",E1332="!!!",F1332="NEW"),"",INDEX(B1331:B$2,-1+SUMPRODUCT(MAX(ROW(E1331:E$2)*(E1332=E1331:E$2)))))</f>
        <v> </v>
      </c>
      <c r="J1332" s="25" t="str">
        <f>IF(OR(E1332="",E1332="!!!",F1332="NEW"),"",COUNTBLANK(OFFSET(A$1,,,SUMPRODUCT(MAX(ROW(E$2:E1332)*(E1332=E$2:E1332)))))-COUNTBLANK(OFFSET(A$1,,,SUMPRODUCT(MAX(ROW(E$1:E1331)*(E2=E$1:E1331))))))</f>
        <v> </v>
      </c>
      <c r="K1332" s="25" t="str">
        <f>IF(OR(E1332="",E1332="!!!",F1332="NEW"),"",INDEX(J$1:J1331,SUMPRODUCT(MAX(ROW(E$1:E1331)*(E1332=E$1:E1331)))))</f>
        <v> </v>
      </c>
      <c r="L1332" s="26"/>
    </row>
    <row r="1333" spans="1:12">
      <c r="A1333" s="20" t="s">
        <v>1190</v>
      </c>
      <c r="E1333" s="21">
        <f>IF(D1333="?OLD","!!!","")</f>
        <v/>
      </c>
      <c r="F1333" s="22" t="str">
        <f>IF(OR(E1333="",E1333="!!!"),"",IF(NOT(ISNA(VLOOKUP(E1333,E$1:E1332,1,FALSE()))),"OLD",IF(AND(E1333&lt;&gt;"",E1333&lt;&gt;"!!!"),"NEW","")))</f>
        <v> </v>
      </c>
      <c r="G1333" s="23" t="str">
        <f>IF(OR(E1333="",E1333="!!!"),"",IF(OR(J1333=0,AND(J1333=1,K1333=1),AND(J1333=1,I1333="SBJ"),AND(J1333=1,I1333=0)),"?IN_FOCUS",IF(J1333&lt;=2,"?ACTIVATED",IF(J1333&lt;&gt;"","?FAMILIAR",IF(F1333="NEW",IF(ISNA(VLOOKUP(E1333,#REF!,1,FALSE())),"?TYPE_IDENTIFIABLE","?REFERENTIAL"),"_")))))</f>
        <v> </v>
      </c>
      <c r="H1333" s="24" t="str">
        <f>IF(J1333&lt;&gt;1,"",IF(I1333="SBJ","CB","?"))</f>
        <v> </v>
      </c>
      <c r="I1333" s="25" t="str">
        <f>IF(OR(E1333="",E1333="!!!",F1333="NEW"),"",INDEX(B1332:B$2,-1+SUMPRODUCT(MAX(ROW(E1332:E$2)*(E1333=E1332:E$2)))))</f>
        <v> </v>
      </c>
      <c r="J1333" s="25" t="str">
        <f>IF(OR(E1333="",E1333="!!!",F1333="NEW"),"",COUNTBLANK(OFFSET(A$1,,,SUMPRODUCT(MAX(ROW(E$2:E1333)*(E1333=E$2:E1333)))))-COUNTBLANK(OFFSET(A$1,,,SUMPRODUCT(MAX(ROW(E$1:E1332)*(E2=E$1:E1332))))))</f>
        <v> </v>
      </c>
      <c r="K1333" s="25" t="str">
        <f>IF(OR(E1333="",E1333="!!!",F1333="NEW"),"",INDEX(J$1:J1332,SUMPRODUCT(MAX(ROW(E$1:E1332)*(E1333=E$1:E1332)))))</f>
        <v> </v>
      </c>
      <c r="L1333" s="26"/>
    </row>
    <row r="1334" spans="1:12">
      <c r="A1334" s="20" t="s">
        <v>644</v>
      </c>
      <c r="E1334" s="21">
        <f>IF(D1334="?OLD","!!!","")</f>
        <v/>
      </c>
      <c r="F1334" s="22" t="str">
        <f>IF(OR(E1334="",E1334="!!!"),"",IF(NOT(ISNA(VLOOKUP(E1334,E$1:E1333,1,FALSE()))),"OLD",IF(AND(E1334&lt;&gt;"",E1334&lt;&gt;"!!!"),"NEW","")))</f>
        <v> </v>
      </c>
      <c r="G1334" s="23" t="str">
        <f>IF(OR(E1334="",E1334="!!!"),"",IF(OR(J1334=0,AND(J1334=1,K1334=1),AND(J1334=1,I1334="SBJ"),AND(J1334=1,I1334=0)),"?IN_FOCUS",IF(J1334&lt;=2,"?ACTIVATED",IF(J1334&lt;&gt;"","?FAMILIAR",IF(F1334="NEW",IF(ISNA(VLOOKUP(E1334,#REF!,1,FALSE())),"?TYPE_IDENTIFIABLE","?REFERENTIAL"),"_")))))</f>
        <v> </v>
      </c>
      <c r="H1334" s="24" t="str">
        <f>IF(J1334&lt;&gt;1,"",IF(I1334="SBJ","CB","?"))</f>
        <v> </v>
      </c>
      <c r="I1334" s="25" t="str">
        <f>IF(OR(E1334="",E1334="!!!",F1334="NEW"),"",INDEX(B1333:B$2,-1+SUMPRODUCT(MAX(ROW(E1333:E$2)*(E1334=E1333:E$2)))))</f>
        <v> </v>
      </c>
      <c r="J1334" s="25" t="str">
        <f>IF(OR(E1334="",E1334="!!!",F1334="NEW"),"",COUNTBLANK(OFFSET(A$1,,,SUMPRODUCT(MAX(ROW(E$2:E1334)*(E1334=E$2:E1334)))))-COUNTBLANK(OFFSET(A$1,,,SUMPRODUCT(MAX(ROW(E$1:E1333)*(E2=E$1:E1333))))))</f>
        <v> </v>
      </c>
      <c r="K1334" s="25" t="str">
        <f>IF(OR(E1334="",E1334="!!!",F1334="NEW"),"",INDEX(J$1:J1333,SUMPRODUCT(MAX(ROW(E$1:E1333)*(E1334=E$1:E1333)))))</f>
        <v> </v>
      </c>
      <c r="L1334" s="26"/>
    </row>
    <row r="1335" spans="1:12">
      <c r="A1335" s="20" t="s">
        <v>609</v>
      </c>
      <c r="E1335" s="21">
        <f>IF(D1335="?OLD","!!!","")</f>
        <v/>
      </c>
      <c r="F1335" s="22" t="str">
        <f>IF(OR(E1335="",E1335="!!!"),"",IF(NOT(ISNA(VLOOKUP(E1335,E$1:E1334,1,FALSE()))),"OLD",IF(AND(E1335&lt;&gt;"",E1335&lt;&gt;"!!!"),"NEW","")))</f>
        <v> </v>
      </c>
      <c r="G1335" s="23" t="str">
        <f>IF(OR(E1335="",E1335="!!!"),"",IF(OR(J1335=0,AND(J1335=1,K1335=1),AND(J1335=1,I1335="SBJ"),AND(J1335=1,I1335=0)),"?IN_FOCUS",IF(J1335&lt;=2,"?ACTIVATED",IF(J1335&lt;&gt;"","?FAMILIAR",IF(F1335="NEW",IF(ISNA(VLOOKUP(E1335,#REF!,1,FALSE())),"?TYPE_IDENTIFIABLE","?REFERENTIAL"),"_")))))</f>
        <v> </v>
      </c>
      <c r="H1335" s="24" t="str">
        <f>IF(J1335&lt;&gt;1,"",IF(I1335="SBJ","CB","?"))</f>
        <v> </v>
      </c>
      <c r="I1335" s="25" t="str">
        <f>IF(OR(E1335="",E1335="!!!",F1335="NEW"),"",INDEX(B1334:B$2,-1+SUMPRODUCT(MAX(ROW(E1334:E$2)*(E1335=E1334:E$2)))))</f>
        <v> </v>
      </c>
      <c r="J1335" s="25" t="str">
        <f>IF(OR(E1335="",E1335="!!!",F1335="NEW"),"",COUNTBLANK(OFFSET(A$1,,,SUMPRODUCT(MAX(ROW(E$2:E1335)*(E1335=E$2:E1335)))))-COUNTBLANK(OFFSET(A$1,,,SUMPRODUCT(MAX(ROW(E$1:E1334)*(E2=E$1:E1334))))))</f>
        <v> </v>
      </c>
      <c r="K1335" s="25" t="str">
        <f>IF(OR(E1335="",E1335="!!!",F1335="NEW"),"",INDEX(J$1:J1334,SUMPRODUCT(MAX(ROW(E$1:E1334)*(E1335=E$1:E1334)))))</f>
        <v> </v>
      </c>
      <c r="L1335" s="26"/>
    </row>
    <row r="1336" spans="1:12">
      <c r="A1336" s="20" t="s">
        <v>1191</v>
      </c>
      <c r="E1336" s="21">
        <f>IF(D1336="?OLD","!!!","")</f>
        <v/>
      </c>
      <c r="F1336" s="22" t="str">
        <f>IF(OR(E1336="",E1336="!!!"),"",IF(NOT(ISNA(VLOOKUP(E1336,E$1:E1335,1,FALSE()))),"OLD",IF(AND(E1336&lt;&gt;"",E1336&lt;&gt;"!!!"),"NEW","")))</f>
        <v> </v>
      </c>
      <c r="G1336" s="23" t="str">
        <f>IF(OR(E1336="",E1336="!!!"),"",IF(OR(J1336=0,AND(J1336=1,K1336=1),AND(J1336=1,I1336="SBJ"),AND(J1336=1,I1336=0)),"?IN_FOCUS",IF(J1336&lt;=2,"?ACTIVATED",IF(J1336&lt;&gt;"","?FAMILIAR",IF(F1336="NEW",IF(ISNA(VLOOKUP(E1336,#REF!,1,FALSE())),"?TYPE_IDENTIFIABLE","?REFERENTIAL"),"_")))))</f>
        <v> </v>
      </c>
      <c r="H1336" s="24" t="str">
        <f>IF(J1336&lt;&gt;1,"",IF(I1336="SBJ","CB","?"))</f>
        <v> </v>
      </c>
      <c r="I1336" s="25" t="str">
        <f>IF(OR(E1336="",E1336="!!!",F1336="NEW"),"",INDEX(B1335:B$2,-1+SUMPRODUCT(MAX(ROW(E1335:E$2)*(E1336=E1335:E$2)))))</f>
        <v> </v>
      </c>
      <c r="J1336" s="25" t="str">
        <f>IF(OR(E1336="",E1336="!!!",F1336="NEW"),"",COUNTBLANK(OFFSET(A$1,,,SUMPRODUCT(MAX(ROW(E$2:E1336)*(E1336=E$2:E1336)))))-COUNTBLANK(OFFSET(A$1,,,SUMPRODUCT(MAX(ROW(E$1:E1335)*(E2=E$1:E1335))))))</f>
        <v> </v>
      </c>
      <c r="K1336" s="25" t="str">
        <f>IF(OR(E1336="",E1336="!!!",F1336="NEW"),"",INDEX(J$1:J1335,SUMPRODUCT(MAX(ROW(E$1:E1335)*(E1336=E$1:E1335)))))</f>
        <v> </v>
      </c>
      <c r="L1336" s="26"/>
    </row>
    <row r="1337" spans="1:12">
      <c r="A1337" s="20" t="s">
        <v>187</v>
      </c>
      <c r="B1337" s="27" t="s">
        <v>606</v>
      </c>
      <c r="C1337" s="27" t="s">
        <v>607</v>
      </c>
      <c r="D1337" s="27" t="s">
        <v>608</v>
      </c>
      <c r="E1337" s="21">
        <f>IF(D1337="?OLD","!!!","")</f>
        <v/>
      </c>
      <c r="F1337" s="22" t="str">
        <f>IF(OR(E1337="",E1337="!!!"),"",IF(NOT(ISNA(VLOOKUP(E1337,E$1:E1336,1,FALSE()))),"OLD",IF(AND(E1337&lt;&gt;"",E1337&lt;&gt;"!!!"),"NEW","")))</f>
        <v> </v>
      </c>
      <c r="G1337" s="23" t="str">
        <f>IF(OR(E1337="",E1337="!!!"),"",IF(OR(J1337=0,AND(J1337=1,K1337=1),AND(J1337=1,I1337="SBJ"),AND(J1337=1,I1337=0)),"?IN_FOCUS",IF(J1337&lt;=2,"?ACTIVATED",IF(J1337&lt;&gt;"","?FAMILIAR",IF(F1337="NEW",IF(ISNA(VLOOKUP(E1337,#REF!,1,FALSE())),"?TYPE_IDENTIFIABLE","?REFERENTIAL"),"_")))))</f>
        <v> </v>
      </c>
      <c r="H1337" s="24" t="str">
        <f>IF(J1337&lt;&gt;1,"",IF(I1337="SBJ","CB","?"))</f>
        <v> </v>
      </c>
      <c r="I1337" s="25" t="str">
        <f>IF(OR(E1337="",E1337="!!!",F1337="NEW"),"",INDEX(B1336:B$2,-1+SUMPRODUCT(MAX(ROW(E1336:E$2)*(E1337=E1336:E$2)))))</f>
        <v> </v>
      </c>
      <c r="J1337" s="25" t="str">
        <f>IF(OR(E1337="",E1337="!!!",F1337="NEW"),"",COUNTBLANK(OFFSET(A$1,,,SUMPRODUCT(MAX(ROW(E$2:E1337)*(E1337=E$2:E1337)))))-COUNTBLANK(OFFSET(A$1,,,SUMPRODUCT(MAX(ROW(E$1:E1336)*(E2=E$1:E1336))))))</f>
        <v> </v>
      </c>
      <c r="K1337" s="25" t="str">
        <f>IF(OR(E1337="",E1337="!!!",F1337="NEW"),"",INDEX(J$1:J1336,SUMPRODUCT(MAX(ROW(E$1:E1336)*(E1337=E$1:E1336)))))</f>
        <v> </v>
      </c>
      <c r="L1337" s="26"/>
    </row>
    <row r="1338" spans="1:12">
      <c r="A1338" s="20" t="s">
        <v>1064</v>
      </c>
      <c r="E1338" s="21">
        <f>IF(D1338="?OLD","!!!","")</f>
        <v/>
      </c>
      <c r="F1338" s="22" t="str">
        <f>IF(OR(E1338="",E1338="!!!"),"",IF(NOT(ISNA(VLOOKUP(E1338,E$1:E1337,1,FALSE()))),"OLD",IF(AND(E1338&lt;&gt;"",E1338&lt;&gt;"!!!"),"NEW","")))</f>
        <v> </v>
      </c>
      <c r="G1338" s="23" t="str">
        <f>IF(OR(E1338="",E1338="!!!"),"",IF(OR(J1338=0,AND(J1338=1,K1338=1),AND(J1338=1,I1338="SBJ"),AND(J1338=1,I1338=0)),"?IN_FOCUS",IF(J1338&lt;=2,"?ACTIVATED",IF(J1338&lt;&gt;"","?FAMILIAR",IF(F1338="NEW",IF(ISNA(VLOOKUP(E1338,#REF!,1,FALSE())),"?TYPE_IDENTIFIABLE","?REFERENTIAL"),"_")))))</f>
        <v> </v>
      </c>
      <c r="H1338" s="24" t="str">
        <f>IF(J1338&lt;&gt;1,"",IF(I1338="SBJ","CB","?"))</f>
        <v> </v>
      </c>
      <c r="I1338" s="25" t="str">
        <f>IF(OR(E1338="",E1338="!!!",F1338="NEW"),"",INDEX(B1337:B$2,-1+SUMPRODUCT(MAX(ROW(E1337:E$2)*(E1338=E1337:E$2)))))</f>
        <v> </v>
      </c>
      <c r="J1338" s="25" t="str">
        <f>IF(OR(E1338="",E1338="!!!",F1338="NEW"),"",COUNTBLANK(OFFSET(A$1,,,SUMPRODUCT(MAX(ROW(E$2:E1338)*(E1338=E$2:E1338)))))-COUNTBLANK(OFFSET(A$1,,,SUMPRODUCT(MAX(ROW(E$1:E1337)*(E2=E$1:E1337))))))</f>
        <v> </v>
      </c>
      <c r="K1338" s="25" t="str">
        <f>IF(OR(E1338="",E1338="!!!",F1338="NEW"),"",INDEX(J$1:J1337,SUMPRODUCT(MAX(ROW(E$1:E1337)*(E1338=E$1:E1337)))))</f>
        <v> </v>
      </c>
      <c r="L1338" s="26"/>
    </row>
    <row r="1339" spans="1:12">
      <c r="A1339" s="20" t="s">
        <v>756</v>
      </c>
      <c r="E1339" s="21">
        <f>IF(D1339="?OLD","!!!","")</f>
        <v/>
      </c>
      <c r="F1339" s="22" t="str">
        <f>IF(OR(E1339="",E1339="!!!"),"",IF(NOT(ISNA(VLOOKUP(E1339,E$1:E1338,1,FALSE()))),"OLD",IF(AND(E1339&lt;&gt;"",E1339&lt;&gt;"!!!"),"NEW","")))</f>
        <v> </v>
      </c>
      <c r="G1339" s="23" t="str">
        <f>IF(OR(E1339="",E1339="!!!"),"",IF(OR(J1339=0,AND(J1339=1,K1339=1),AND(J1339=1,I1339="SBJ"),AND(J1339=1,I1339=0)),"?IN_FOCUS",IF(J1339&lt;=2,"?ACTIVATED",IF(J1339&lt;&gt;"","?FAMILIAR",IF(F1339="NEW",IF(ISNA(VLOOKUP(E1339,#REF!,1,FALSE())),"?TYPE_IDENTIFIABLE","?REFERENTIAL"),"_")))))</f>
        <v> </v>
      </c>
      <c r="H1339" s="24" t="str">
        <f>IF(J1339&lt;&gt;1,"",IF(I1339="SBJ","CB","?"))</f>
        <v> </v>
      </c>
      <c r="I1339" s="25" t="str">
        <f>IF(OR(E1339="",E1339="!!!",F1339="NEW"),"",INDEX(B1338:B$2,-1+SUMPRODUCT(MAX(ROW(E1338:E$2)*(E1339=E1338:E$2)))))</f>
        <v> </v>
      </c>
      <c r="J1339" s="25" t="str">
        <f>IF(OR(E1339="",E1339="!!!",F1339="NEW"),"",COUNTBLANK(OFFSET(A$1,,,SUMPRODUCT(MAX(ROW(E$2:E1339)*(E1339=E$2:E1339)))))-COUNTBLANK(OFFSET(A$1,,,SUMPRODUCT(MAX(ROW(E$1:E1338)*(E2=E$1:E1338))))))</f>
        <v> </v>
      </c>
      <c r="K1339" s="25" t="str">
        <f>IF(OR(E1339="",E1339="!!!",F1339="NEW"),"",INDEX(J$1:J1338,SUMPRODUCT(MAX(ROW(E$1:E1338)*(E1339=E$1:E1338)))))</f>
        <v> </v>
      </c>
      <c r="L1339" s="26"/>
    </row>
    <row r="1340" spans="1:12">
      <c r="A1340" s="20" t="s">
        <v>682</v>
      </c>
      <c r="E1340" s="21">
        <f>IF(D1340="?OLD","!!!","")</f>
        <v/>
      </c>
      <c r="F1340" s="22" t="str">
        <f>IF(OR(E1340="",E1340="!!!"),"",IF(NOT(ISNA(VLOOKUP(E1340,E$1:E1339,1,FALSE()))),"OLD",IF(AND(E1340&lt;&gt;"",E1340&lt;&gt;"!!!"),"NEW","")))</f>
        <v> </v>
      </c>
      <c r="G1340" s="23" t="str">
        <f>IF(OR(E1340="",E1340="!!!"),"",IF(OR(J1340=0,AND(J1340=1,K1340=1),AND(J1340=1,I1340="SBJ"),AND(J1340=1,I1340=0)),"?IN_FOCUS",IF(J1340&lt;=2,"?ACTIVATED",IF(J1340&lt;&gt;"","?FAMILIAR",IF(F1340="NEW",IF(ISNA(VLOOKUP(E1340,#REF!,1,FALSE())),"?TYPE_IDENTIFIABLE","?REFERENTIAL"),"_")))))</f>
        <v> </v>
      </c>
      <c r="H1340" s="24" t="str">
        <f>IF(J1340&lt;&gt;1,"",IF(I1340="SBJ","CB","?"))</f>
        <v> </v>
      </c>
      <c r="I1340" s="25" t="str">
        <f>IF(OR(E1340="",E1340="!!!",F1340="NEW"),"",INDEX(B1339:B$2,-1+SUMPRODUCT(MAX(ROW(E1339:E$2)*(E1340=E1339:E$2)))))</f>
        <v> </v>
      </c>
      <c r="J1340" s="25" t="str">
        <f>IF(OR(E1340="",E1340="!!!",F1340="NEW"),"",COUNTBLANK(OFFSET(A$1,,,SUMPRODUCT(MAX(ROW(E$2:E1340)*(E1340=E$2:E1340)))))-COUNTBLANK(OFFSET(A$1,,,SUMPRODUCT(MAX(ROW(E$1:E1339)*(E2=E$1:E1339))))))</f>
        <v> </v>
      </c>
      <c r="K1340" s="25" t="str">
        <f>IF(OR(E1340="",E1340="!!!",F1340="NEW"),"",INDEX(J$1:J1339,SUMPRODUCT(MAX(ROW(E$1:E1339)*(E1340=E$1:E1339)))))</f>
        <v> </v>
      </c>
      <c r="L1340" s="26"/>
    </row>
    <row r="1341" spans="1:12">
      <c r="A1341" s="20" t="s">
        <v>1192</v>
      </c>
      <c r="E1341" s="21">
        <f>IF(D1341="?OLD","!!!","")</f>
        <v/>
      </c>
      <c r="F1341" s="22" t="str">
        <f>IF(OR(E1341="",E1341="!!!"),"",IF(NOT(ISNA(VLOOKUP(E1341,E$1:E1340,1,FALSE()))),"OLD",IF(AND(E1341&lt;&gt;"",E1341&lt;&gt;"!!!"),"NEW","")))</f>
        <v> </v>
      </c>
      <c r="G1341" s="23" t="str">
        <f>IF(OR(E1341="",E1341="!!!"),"",IF(OR(J1341=0,AND(J1341=1,K1341=1),AND(J1341=1,I1341="SBJ"),AND(J1341=1,I1341=0)),"?IN_FOCUS",IF(J1341&lt;=2,"?ACTIVATED",IF(J1341&lt;&gt;"","?FAMILIAR",IF(F1341="NEW",IF(ISNA(VLOOKUP(E1341,#REF!,1,FALSE())),"?TYPE_IDENTIFIABLE","?REFERENTIAL"),"_")))))</f>
        <v> </v>
      </c>
      <c r="H1341" s="24" t="str">
        <f>IF(J1341&lt;&gt;1,"",IF(I1341="SBJ","CB","?"))</f>
        <v> </v>
      </c>
      <c r="I1341" s="25" t="str">
        <f>IF(OR(E1341="",E1341="!!!",F1341="NEW"),"",INDEX(B1340:B$2,-1+SUMPRODUCT(MAX(ROW(E1340:E$2)*(E1341=E1340:E$2)))))</f>
        <v> </v>
      </c>
      <c r="J1341" s="25" t="str">
        <f>IF(OR(E1341="",E1341="!!!",F1341="NEW"),"",COUNTBLANK(OFFSET(A$1,,,SUMPRODUCT(MAX(ROW(E$2:E1341)*(E1341=E$2:E1341)))))-COUNTBLANK(OFFSET(A$1,,,SUMPRODUCT(MAX(ROW(E$1:E1340)*(E2=E$1:E1340))))))</f>
        <v> </v>
      </c>
      <c r="K1341" s="25" t="str">
        <f>IF(OR(E1341="",E1341="!!!",F1341="NEW"),"",INDEX(J$1:J1340,SUMPRODUCT(MAX(ROW(E$1:E1340)*(E1341=E$1:E1340)))))</f>
        <v> </v>
      </c>
      <c r="L1341" s="26"/>
    </row>
    <row r="1342" spans="1:12">
      <c r="A1342" s="20" t="s">
        <v>187</v>
      </c>
      <c r="B1342" s="27" t="s">
        <v>636</v>
      </c>
      <c r="C1342" s="27" t="s">
        <v>685</v>
      </c>
      <c r="E1342" s="21">
        <f>IF(D1342="?OLD","!!!","")</f>
        <v/>
      </c>
      <c r="F1342" s="22" t="str">
        <f>IF(OR(E1342="",E1342="!!!"),"",IF(NOT(ISNA(VLOOKUP(E1342,E$1:E1341,1,FALSE()))),"OLD",IF(AND(E1342&lt;&gt;"",E1342&lt;&gt;"!!!"),"NEW","")))</f>
        <v> </v>
      </c>
      <c r="G1342" s="23" t="str">
        <f>IF(OR(E1342="",E1342="!!!"),"",IF(OR(J1342=0,AND(J1342=1,K1342=1),AND(J1342=1,I1342="SBJ"),AND(J1342=1,I1342=0)),"?IN_FOCUS",IF(J1342&lt;=2,"?ACTIVATED",IF(J1342&lt;&gt;"","?FAMILIAR",IF(F1342="NEW",IF(ISNA(VLOOKUP(E1342,#REF!,1,FALSE())),"?TYPE_IDENTIFIABLE","?REFERENTIAL"),"_")))))</f>
        <v> </v>
      </c>
      <c r="H1342" s="24" t="str">
        <f>IF(J1342&lt;&gt;1,"",IF(I1342="SBJ","CB","?"))</f>
        <v> </v>
      </c>
      <c r="I1342" s="25" t="str">
        <f>IF(OR(E1342="",E1342="!!!",F1342="NEW"),"",INDEX(B1341:B$2,-1+SUMPRODUCT(MAX(ROW(E1341:E$2)*(E1342=E1341:E$2)))))</f>
        <v> </v>
      </c>
      <c r="J1342" s="25" t="str">
        <f>IF(OR(E1342="",E1342="!!!",F1342="NEW"),"",COUNTBLANK(OFFSET(A$1,,,SUMPRODUCT(MAX(ROW(E$2:E1342)*(E1342=E$2:E1342)))))-COUNTBLANK(OFFSET(A$1,,,SUMPRODUCT(MAX(ROW(E$1:E1341)*(E2=E$1:E1341))))))</f>
        <v> </v>
      </c>
      <c r="K1342" s="25" t="str">
        <f>IF(OR(E1342="",E1342="!!!",F1342="NEW"),"",INDEX(J$1:J1341,SUMPRODUCT(MAX(ROW(E$1:E1341)*(E1342=E$1:E1341)))))</f>
        <v> </v>
      </c>
      <c r="L1342" s="26"/>
    </row>
    <row r="1343" spans="1:12">
      <c r="A1343" s="20" t="s">
        <v>617</v>
      </c>
      <c r="E1343" s="21">
        <f>IF(D1343="?OLD","!!!","")</f>
        <v/>
      </c>
      <c r="F1343" s="22" t="str">
        <f>IF(OR(E1343="",E1343="!!!"),"",IF(NOT(ISNA(VLOOKUP(E1343,E$1:E1342,1,FALSE()))),"OLD",IF(AND(E1343&lt;&gt;"",E1343&lt;&gt;"!!!"),"NEW","")))</f>
        <v> </v>
      </c>
      <c r="G1343" s="23" t="str">
        <f>IF(OR(E1343="",E1343="!!!"),"",IF(OR(J1343=0,AND(J1343=1,K1343=1),AND(J1343=1,I1343="SBJ"),AND(J1343=1,I1343=0)),"?IN_FOCUS",IF(J1343&lt;=2,"?ACTIVATED",IF(J1343&lt;&gt;"","?FAMILIAR",IF(F1343="NEW",IF(ISNA(VLOOKUP(E1343,#REF!,1,FALSE())),"?TYPE_IDENTIFIABLE","?REFERENTIAL"),"_")))))</f>
        <v> </v>
      </c>
      <c r="H1343" s="24" t="str">
        <f>IF(J1343&lt;&gt;1,"",IF(I1343="SBJ","CB","?"))</f>
        <v> </v>
      </c>
      <c r="I1343" s="25" t="str">
        <f>IF(OR(E1343="",E1343="!!!",F1343="NEW"),"",INDEX(B1342:B$2,-1+SUMPRODUCT(MAX(ROW(E1342:E$2)*(E1343=E1342:E$2)))))</f>
        <v> </v>
      </c>
      <c r="J1343" s="25" t="str">
        <f>IF(OR(E1343="",E1343="!!!",F1343="NEW"),"",COUNTBLANK(OFFSET(A$1,,,SUMPRODUCT(MAX(ROW(E$2:E1343)*(E1343=E$2:E1343)))))-COUNTBLANK(OFFSET(A$1,,,SUMPRODUCT(MAX(ROW(E$1:E1342)*(E2=E$1:E1342))))))</f>
        <v> </v>
      </c>
      <c r="K1343" s="25" t="str">
        <f>IF(OR(E1343="",E1343="!!!",F1343="NEW"),"",INDEX(J$1:J1342,SUMPRODUCT(MAX(ROW(E$1:E1342)*(E1343=E$1:E1342)))))</f>
        <v> </v>
      </c>
      <c r="L1343" s="26"/>
    </row>
    <row r="1344" spans="1:12">
      <c r="A1344" s="20" t="s">
        <v>644</v>
      </c>
      <c r="E1344" s="21">
        <f>IF(D1344="?OLD","!!!","")</f>
        <v/>
      </c>
      <c r="F1344" s="22" t="str">
        <f>IF(OR(E1344="",E1344="!!!"),"",IF(NOT(ISNA(VLOOKUP(E1344,E$1:E1343,1,FALSE()))),"OLD",IF(AND(E1344&lt;&gt;"",E1344&lt;&gt;"!!!"),"NEW","")))</f>
        <v> </v>
      </c>
      <c r="G1344" s="23" t="str">
        <f>IF(OR(E1344="",E1344="!!!"),"",IF(OR(J1344=0,AND(J1344=1,K1344=1),AND(J1344=1,I1344="SBJ"),AND(J1344=1,I1344=0)),"?IN_FOCUS",IF(J1344&lt;=2,"?ACTIVATED",IF(J1344&lt;&gt;"","?FAMILIAR",IF(F1344="NEW",IF(ISNA(VLOOKUP(E1344,#REF!,1,FALSE())),"?TYPE_IDENTIFIABLE","?REFERENTIAL"),"_")))))</f>
        <v> </v>
      </c>
      <c r="H1344" s="24" t="str">
        <f>IF(J1344&lt;&gt;1,"",IF(I1344="SBJ","CB","?"))</f>
        <v> </v>
      </c>
      <c r="I1344" s="25" t="str">
        <f>IF(OR(E1344="",E1344="!!!",F1344="NEW"),"",INDEX(B1343:B$2,-1+SUMPRODUCT(MAX(ROW(E1343:E$2)*(E1344=E1343:E$2)))))</f>
        <v> </v>
      </c>
      <c r="J1344" s="25" t="str">
        <f>IF(OR(E1344="",E1344="!!!",F1344="NEW"),"",COUNTBLANK(OFFSET(A$1,,,SUMPRODUCT(MAX(ROW(E$2:E1344)*(E1344=E$2:E1344)))))-COUNTBLANK(OFFSET(A$1,,,SUMPRODUCT(MAX(ROW(E$1:E1343)*(E2=E$1:E1343))))))</f>
        <v> </v>
      </c>
      <c r="K1344" s="25" t="str">
        <f>IF(OR(E1344="",E1344="!!!",F1344="NEW"),"",INDEX(J$1:J1343,SUMPRODUCT(MAX(ROW(E$1:E1343)*(E1344=E$1:E1343)))))</f>
        <v> </v>
      </c>
      <c r="L1344" s="26"/>
    </row>
    <row r="1345" spans="1:12">
      <c r="A1345" s="20" t="s">
        <v>1193</v>
      </c>
      <c r="B1345" s="27" t="s">
        <v>619</v>
      </c>
      <c r="C1345" s="27" t="s">
        <v>614</v>
      </c>
      <c r="D1345" s="27" t="s">
        <v>608</v>
      </c>
      <c r="E1345" s="21">
        <f>IF(D1345="?OLD","!!!","")</f>
        <v/>
      </c>
      <c r="F1345" s="22" t="str">
        <f>IF(OR(E1345="",E1345="!!!"),"",IF(NOT(ISNA(VLOOKUP(E1345,E$1:E1344,1,FALSE()))),"OLD",IF(AND(E1345&lt;&gt;"",E1345&lt;&gt;"!!!"),"NEW","")))</f>
        <v> </v>
      </c>
      <c r="G1345" s="23" t="str">
        <f>IF(OR(E1345="",E1345="!!!"),"",IF(OR(J1345=0,AND(J1345=1,K1345=1),AND(J1345=1,I1345="SBJ"),AND(J1345=1,I1345=0)),"?IN_FOCUS",IF(J1345&lt;=2,"?ACTIVATED",IF(J1345&lt;&gt;"","?FAMILIAR",IF(F1345="NEW",IF(ISNA(VLOOKUP(E1345,#REF!,1,FALSE())),"?TYPE_IDENTIFIABLE","?REFERENTIAL"),"_")))))</f>
        <v> </v>
      </c>
      <c r="H1345" s="24" t="str">
        <f>IF(J1345&lt;&gt;1,"",IF(I1345="SBJ","CB","?"))</f>
        <v> </v>
      </c>
      <c r="I1345" s="25" t="str">
        <f>IF(OR(E1345="",E1345="!!!",F1345="NEW"),"",INDEX(B1344:B$2,-1+SUMPRODUCT(MAX(ROW(E1344:E$2)*(E1345=E1344:E$2)))))</f>
        <v> </v>
      </c>
      <c r="J1345" s="25" t="str">
        <f>IF(OR(E1345="",E1345="!!!",F1345="NEW"),"",COUNTBLANK(OFFSET(A$1,,,SUMPRODUCT(MAX(ROW(E$2:E1345)*(E1345=E$2:E1345)))))-COUNTBLANK(OFFSET(A$1,,,SUMPRODUCT(MAX(ROW(E$1:E1344)*(E2=E$1:E1344))))))</f>
        <v> </v>
      </c>
      <c r="K1345" s="25" t="str">
        <f>IF(OR(E1345="",E1345="!!!",F1345="NEW"),"",INDEX(J$1:J1344,SUMPRODUCT(MAX(ROW(E$1:E1344)*(E1345=E$1:E1344)))))</f>
        <v> </v>
      </c>
      <c r="L1345" s="26"/>
    </row>
    <row r="1346" spans="1:12">
      <c r="A1346" s="20" t="s">
        <v>612</v>
      </c>
      <c r="E1346" s="21">
        <f>IF(D1346="?OLD","!!!","")</f>
        <v/>
      </c>
      <c r="F1346" s="22" t="str">
        <f>IF(OR(E1346="",E1346="!!!"),"",IF(NOT(ISNA(VLOOKUP(E1346,E$1:E1345,1,FALSE()))),"OLD",IF(AND(E1346&lt;&gt;"",E1346&lt;&gt;"!!!"),"NEW","")))</f>
        <v> </v>
      </c>
      <c r="G1346" s="23" t="str">
        <f>IF(OR(E1346="",E1346="!!!"),"",IF(OR(J1346=0,AND(J1346=1,K1346=1),AND(J1346=1,I1346="SBJ"),AND(J1346=1,I1346=0)),"?IN_FOCUS",IF(J1346&lt;=2,"?ACTIVATED",IF(J1346&lt;&gt;"","?FAMILIAR",IF(F1346="NEW",IF(ISNA(VLOOKUP(E1346,#REF!,1,FALSE())),"?TYPE_IDENTIFIABLE","?REFERENTIAL"),"_")))))</f>
        <v> </v>
      </c>
      <c r="H1346" s="24" t="str">
        <f>IF(J1346&lt;&gt;1,"",IF(I1346="SBJ","CB","?"))</f>
        <v> </v>
      </c>
      <c r="I1346" s="25" t="str">
        <f>IF(OR(E1346="",E1346="!!!",F1346="NEW"),"",INDEX(B1345:B$2,-1+SUMPRODUCT(MAX(ROW(E1345:E$2)*(E1346=E1345:E$2)))))</f>
        <v> </v>
      </c>
      <c r="J1346" s="25" t="str">
        <f>IF(OR(E1346="",E1346="!!!",F1346="NEW"),"",COUNTBLANK(OFFSET(A$1,,,SUMPRODUCT(MAX(ROW(E$2:E1346)*(E1346=E$2:E1346)))))-COUNTBLANK(OFFSET(A$1,,,SUMPRODUCT(MAX(ROW(E$1:E1345)*(E2=E$1:E1345))))))</f>
        <v> </v>
      </c>
      <c r="K1346" s="25" t="str">
        <f>IF(OR(E1346="",E1346="!!!",F1346="NEW"),"",INDEX(J$1:J1345,SUMPRODUCT(MAX(ROW(E$1:E1345)*(E1346=E$1:E1345)))))</f>
        <v> </v>
      </c>
      <c r="L1346" s="26"/>
    </row>
    <row r="1347" spans="1:12">
      <c r="A1347" s="20" t="s">
        <v>645</v>
      </c>
      <c r="E1347" s="21">
        <f>IF(D1347="?OLD","!!!","")</f>
        <v/>
      </c>
      <c r="F1347" s="22" t="str">
        <f>IF(OR(E1347="",E1347="!!!"),"",IF(NOT(ISNA(VLOOKUP(E1347,E$1:E1346,1,FALSE()))),"OLD",IF(AND(E1347&lt;&gt;"",E1347&lt;&gt;"!!!"),"NEW","")))</f>
        <v> </v>
      </c>
      <c r="G1347" s="23" t="str">
        <f>IF(OR(E1347="",E1347="!!!"),"",IF(OR(J1347=0,AND(J1347=1,K1347=1),AND(J1347=1,I1347="SBJ"),AND(J1347=1,I1347=0)),"?IN_FOCUS",IF(J1347&lt;=2,"?ACTIVATED",IF(J1347&lt;&gt;"","?FAMILIAR",IF(F1347="NEW",IF(ISNA(VLOOKUP(E1347,#REF!,1,FALSE())),"?TYPE_IDENTIFIABLE","?REFERENTIAL"),"_")))))</f>
        <v> </v>
      </c>
      <c r="H1347" s="24" t="str">
        <f>IF(J1347&lt;&gt;1,"",IF(I1347="SBJ","CB","?"))</f>
        <v> </v>
      </c>
      <c r="I1347" s="25" t="str">
        <f>IF(OR(E1347="",E1347="!!!",F1347="NEW"),"",INDEX(B1346:B$2,-1+SUMPRODUCT(MAX(ROW(E1346:E$2)*(E1347=E1346:E$2)))))</f>
        <v> </v>
      </c>
      <c r="J1347" s="25" t="str">
        <f>IF(OR(E1347="",E1347="!!!",F1347="NEW"),"",COUNTBLANK(OFFSET(A$1,,,SUMPRODUCT(MAX(ROW(E$2:E1347)*(E1347=E$2:E1347)))))-COUNTBLANK(OFFSET(A$1,,,SUMPRODUCT(MAX(ROW(E$1:E1346)*(E2=E$1:E1346))))))</f>
        <v> </v>
      </c>
      <c r="K1347" s="25" t="str">
        <f>IF(OR(E1347="",E1347="!!!",F1347="NEW"),"",INDEX(J$1:J1346,SUMPRODUCT(MAX(ROW(E$1:E1346)*(E1347=E$1:E1346)))))</f>
        <v> </v>
      </c>
      <c r="L1347" s="26"/>
    </row>
    <row r="1348" spans="1:12">
      <c r="A1348" s="20" t="s">
        <v>609</v>
      </c>
      <c r="E1348" s="21">
        <f>IF(D1348="?OLD","!!!","")</f>
        <v/>
      </c>
      <c r="F1348" s="22" t="str">
        <f>IF(OR(E1348="",E1348="!!!"),"",IF(NOT(ISNA(VLOOKUP(E1348,E$1:E1347,1,FALSE()))),"OLD",IF(AND(E1348&lt;&gt;"",E1348&lt;&gt;"!!!"),"NEW","")))</f>
        <v> </v>
      </c>
      <c r="G1348" s="23" t="str">
        <f>IF(OR(E1348="",E1348="!!!"),"",IF(OR(J1348=0,AND(J1348=1,K1348=1),AND(J1348=1,I1348="SBJ"),AND(J1348=1,I1348=0)),"?IN_FOCUS",IF(J1348&lt;=2,"?ACTIVATED",IF(J1348&lt;&gt;"","?FAMILIAR",IF(F1348="NEW",IF(ISNA(VLOOKUP(E1348,#REF!,1,FALSE())),"?TYPE_IDENTIFIABLE","?REFERENTIAL"),"_")))))</f>
        <v> </v>
      </c>
      <c r="H1348" s="24" t="str">
        <f>IF(J1348&lt;&gt;1,"",IF(I1348="SBJ","CB","?"))</f>
        <v> </v>
      </c>
      <c r="I1348" s="25" t="str">
        <f>IF(OR(E1348="",E1348="!!!",F1348="NEW"),"",INDEX(B1347:B$2,-1+SUMPRODUCT(MAX(ROW(E1347:E$2)*(E1348=E1347:E$2)))))</f>
        <v> </v>
      </c>
      <c r="J1348" s="25" t="str">
        <f>IF(OR(E1348="",E1348="!!!",F1348="NEW"),"",COUNTBLANK(OFFSET(A$1,,,SUMPRODUCT(MAX(ROW(E$2:E1348)*(E1348=E$2:E1348)))))-COUNTBLANK(OFFSET(A$1,,,SUMPRODUCT(MAX(ROW(E$1:E1347)*(E2=E$1:E1347))))))</f>
        <v> </v>
      </c>
      <c r="K1348" s="25" t="str">
        <f>IF(OR(E1348="",E1348="!!!",F1348="NEW"),"",INDEX(J$1:J1347,SUMPRODUCT(MAX(ROW(E$1:E1347)*(E1348=E$1:E1347)))))</f>
        <v> </v>
      </c>
      <c r="L1348" s="26"/>
    </row>
    <row r="1349" spans="1:12">
      <c r="A1349" s="20" t="s">
        <v>1194</v>
      </c>
      <c r="B1349" s="27" t="s">
        <v>606</v>
      </c>
      <c r="C1349" s="27" t="s">
        <v>750</v>
      </c>
      <c r="D1349" s="27" t="s">
        <v>608</v>
      </c>
      <c r="E1349" s="21">
        <f>IF(D1349="?OLD","!!!","")</f>
        <v/>
      </c>
      <c r="F1349" s="22" t="str">
        <f>IF(OR(E1349="",E1349="!!!"),"",IF(NOT(ISNA(VLOOKUP(E1349,E$1:E1348,1,FALSE()))),"OLD",IF(AND(E1349&lt;&gt;"",E1349&lt;&gt;"!!!"),"NEW","")))</f>
        <v> </v>
      </c>
      <c r="G1349" s="23" t="str">
        <f>IF(OR(E1349="",E1349="!!!"),"",IF(OR(J1349=0,AND(J1349=1,K1349=1),AND(J1349=1,I1349="SBJ"),AND(J1349=1,I1349=0)),"?IN_FOCUS",IF(J1349&lt;=2,"?ACTIVATED",IF(J1349&lt;&gt;"","?FAMILIAR",IF(F1349="NEW",IF(ISNA(VLOOKUP(E1349,#REF!,1,FALSE())),"?TYPE_IDENTIFIABLE","?REFERENTIAL"),"_")))))</f>
        <v> </v>
      </c>
      <c r="H1349" s="24" t="str">
        <f>IF(J1349&lt;&gt;1,"",IF(I1349="SBJ","CB","?"))</f>
        <v> </v>
      </c>
      <c r="I1349" s="25" t="str">
        <f>IF(OR(E1349="",E1349="!!!",F1349="NEW"),"",INDEX(B1348:B$2,-1+SUMPRODUCT(MAX(ROW(E1348:E$2)*(E1349=E1348:E$2)))))</f>
        <v> </v>
      </c>
      <c r="J1349" s="25" t="str">
        <f>IF(OR(E1349="",E1349="!!!",F1349="NEW"),"",COUNTBLANK(OFFSET(A$1,,,SUMPRODUCT(MAX(ROW(E$2:E1349)*(E1349=E$2:E1349)))))-COUNTBLANK(OFFSET(A$1,,,SUMPRODUCT(MAX(ROW(E$1:E1348)*(E2=E$1:E1348))))))</f>
        <v> </v>
      </c>
      <c r="K1349" s="25" t="str">
        <f>IF(OR(E1349="",E1349="!!!",F1349="NEW"),"",INDEX(J$1:J1348,SUMPRODUCT(MAX(ROW(E$1:E1348)*(E1349=E$1:E1348)))))</f>
        <v> </v>
      </c>
      <c r="L1349" s="26"/>
    </row>
    <row r="1350" spans="1:12">
      <c r="A1350" s="20" t="s">
        <v>609</v>
      </c>
      <c r="E1350" s="21">
        <f>IF(D1350="?OLD","!!!","")</f>
        <v/>
      </c>
      <c r="F1350" s="22" t="str">
        <f>IF(OR(E1350="",E1350="!!!"),"",IF(NOT(ISNA(VLOOKUP(E1350,E$1:E1349,1,FALSE()))),"OLD",IF(AND(E1350&lt;&gt;"",E1350&lt;&gt;"!!!"),"NEW","")))</f>
        <v> </v>
      </c>
      <c r="G1350" s="23" t="str">
        <f>IF(OR(E1350="",E1350="!!!"),"",IF(OR(J1350=0,AND(J1350=1,K1350=1),AND(J1350=1,I1350="SBJ"),AND(J1350=1,I1350=0)),"?IN_FOCUS",IF(J1350&lt;=2,"?ACTIVATED",IF(J1350&lt;&gt;"","?FAMILIAR",IF(F1350="NEW",IF(ISNA(VLOOKUP(E1350,#REF!,1,FALSE())),"?TYPE_IDENTIFIABLE","?REFERENTIAL"),"_")))))</f>
        <v> </v>
      </c>
      <c r="H1350" s="24" t="str">
        <f>IF(J1350&lt;&gt;1,"",IF(I1350="SBJ","CB","?"))</f>
        <v> </v>
      </c>
      <c r="I1350" s="25" t="str">
        <f>IF(OR(E1350="",E1350="!!!",F1350="NEW"),"",INDEX(B1349:B$2,-1+SUMPRODUCT(MAX(ROW(E1349:E$2)*(E1350=E1349:E$2)))))</f>
        <v> </v>
      </c>
      <c r="J1350" s="25" t="str">
        <f>IF(OR(E1350="",E1350="!!!",F1350="NEW"),"",COUNTBLANK(OFFSET(A$1,,,SUMPRODUCT(MAX(ROW(E$2:E1350)*(E1350=E$2:E1350)))))-COUNTBLANK(OFFSET(A$1,,,SUMPRODUCT(MAX(ROW(E$1:E1349)*(E2=E$1:E1349))))))</f>
        <v> </v>
      </c>
      <c r="K1350" s="25" t="str">
        <f>IF(OR(E1350="",E1350="!!!",F1350="NEW"),"",INDEX(J$1:J1349,SUMPRODUCT(MAX(ROW(E$1:E1349)*(E1350=E$1:E1349)))))</f>
        <v> </v>
      </c>
      <c r="L1350" s="26"/>
    </row>
    <row r="1351" spans="1:12">
      <c r="A1351" s="20" t="s">
        <v>630</v>
      </c>
      <c r="B1351" s="27" t="s">
        <v>611</v>
      </c>
      <c r="C1351" s="27" t="s">
        <v>631</v>
      </c>
      <c r="D1351" s="27" t="s">
        <v>608</v>
      </c>
      <c r="E1351" s="21">
        <f>IF(D1351="?OLD","!!!","")</f>
        <v/>
      </c>
      <c r="F1351" s="22" t="str">
        <f>IF(OR(E1351="",E1351="!!!"),"",IF(NOT(ISNA(VLOOKUP(E1351,E$1:E1350,1,FALSE()))),"OLD",IF(AND(E1351&lt;&gt;"",E1351&lt;&gt;"!!!"),"NEW","")))</f>
        <v> </v>
      </c>
      <c r="G1351" s="23" t="str">
        <f>IF(OR(E1351="",E1351="!!!"),"",IF(OR(J1351=0,AND(J1351=1,K1351=1),AND(J1351=1,I1351="SBJ"),AND(J1351=1,I1351=0)),"?IN_FOCUS",IF(J1351&lt;=2,"?ACTIVATED",IF(J1351&lt;&gt;"","?FAMILIAR",IF(F1351="NEW",IF(ISNA(VLOOKUP(E1351,#REF!,1,FALSE())),"?TYPE_IDENTIFIABLE","?REFERENTIAL"),"_")))))</f>
        <v> </v>
      </c>
      <c r="H1351" s="24" t="str">
        <f>IF(J1351&lt;&gt;1,"",IF(I1351="SBJ","CB","?"))</f>
        <v> </v>
      </c>
      <c r="I1351" s="25" t="str">
        <f>IF(OR(E1351="",E1351="!!!",F1351="NEW"),"",INDEX(B1350:B$2,-1+SUMPRODUCT(MAX(ROW(E1350:E$2)*(E1351=E1350:E$2)))))</f>
        <v> </v>
      </c>
      <c r="J1351" s="25" t="str">
        <f>IF(OR(E1351="",E1351="!!!",F1351="NEW"),"",COUNTBLANK(OFFSET(A$1,,,SUMPRODUCT(MAX(ROW(E$2:E1351)*(E1351=E$2:E1351)))))-COUNTBLANK(OFFSET(A$1,,,SUMPRODUCT(MAX(ROW(E$1:E1350)*(E2=E$1:E1350))))))</f>
        <v> </v>
      </c>
      <c r="K1351" s="25" t="str">
        <f>IF(OR(E1351="",E1351="!!!",F1351="NEW"),"",INDEX(J$1:J1350,SUMPRODUCT(MAX(ROW(E$1:E1350)*(E1351=E$1:E1350)))))</f>
        <v> </v>
      </c>
      <c r="L1351" s="26"/>
    </row>
    <row r="1352" spans="1:12">
      <c r="A1352" s="20" t="s">
        <v>617</v>
      </c>
      <c r="E1352" s="21">
        <f>IF(D1352="?OLD","!!!","")</f>
        <v/>
      </c>
      <c r="F1352" s="22" t="str">
        <f>IF(OR(E1352="",E1352="!!!"),"",IF(NOT(ISNA(VLOOKUP(E1352,E$1:E1351,1,FALSE()))),"OLD",IF(AND(E1352&lt;&gt;"",E1352&lt;&gt;"!!!"),"NEW","")))</f>
        <v> </v>
      </c>
      <c r="G1352" s="23" t="str">
        <f>IF(OR(E1352="",E1352="!!!"),"",IF(OR(J1352=0,AND(J1352=1,K1352=1),AND(J1352=1,I1352="SBJ"),AND(J1352=1,I1352=0)),"?IN_FOCUS",IF(J1352&lt;=2,"?ACTIVATED",IF(J1352&lt;&gt;"","?FAMILIAR",IF(F1352="NEW",IF(ISNA(VLOOKUP(E1352,#REF!,1,FALSE())),"?TYPE_IDENTIFIABLE","?REFERENTIAL"),"_")))))</f>
        <v> </v>
      </c>
      <c r="H1352" s="24" t="str">
        <f>IF(J1352&lt;&gt;1,"",IF(I1352="SBJ","CB","?"))</f>
        <v> </v>
      </c>
      <c r="I1352" s="25" t="str">
        <f>IF(OR(E1352="",E1352="!!!",F1352="NEW"),"",INDEX(B1351:B$2,-1+SUMPRODUCT(MAX(ROW(E1351:E$2)*(E1352=E1351:E$2)))))</f>
        <v> </v>
      </c>
      <c r="J1352" s="25" t="str">
        <f>IF(OR(E1352="",E1352="!!!",F1352="NEW"),"",COUNTBLANK(OFFSET(A$1,,,SUMPRODUCT(MAX(ROW(E$2:E1352)*(E1352=E$2:E1352)))))-COUNTBLANK(OFFSET(A$1,,,SUMPRODUCT(MAX(ROW(E$1:E1351)*(E2=E$1:E1351))))))</f>
        <v> </v>
      </c>
      <c r="K1352" s="25" t="str">
        <f>IF(OR(E1352="",E1352="!!!",F1352="NEW"),"",INDEX(J$1:J1351,SUMPRODUCT(MAX(ROW(E$1:E1351)*(E1352=E$1:E1351)))))</f>
        <v> </v>
      </c>
      <c r="L1352" s="26"/>
    </row>
    <row r="1353" spans="1:12">
      <c r="A1353" s="20" t="s">
        <v>639</v>
      </c>
      <c r="E1353" s="21">
        <f>IF(D1353="?OLD","!!!","")</f>
        <v/>
      </c>
      <c r="F1353" s="22" t="str">
        <f>IF(OR(E1353="",E1353="!!!"),"",IF(NOT(ISNA(VLOOKUP(E1353,E$1:E1352,1,FALSE()))),"OLD",IF(AND(E1353&lt;&gt;"",E1353&lt;&gt;"!!!"),"NEW","")))</f>
        <v> </v>
      </c>
      <c r="G1353" s="23" t="str">
        <f>IF(OR(E1353="",E1353="!!!"),"",IF(OR(J1353=0,AND(J1353=1,K1353=1),AND(J1353=1,I1353="SBJ"),AND(J1353=1,I1353=0)),"?IN_FOCUS",IF(J1353&lt;=2,"?ACTIVATED",IF(J1353&lt;&gt;"","?FAMILIAR",IF(F1353="NEW",IF(ISNA(VLOOKUP(E1353,#REF!,1,FALSE())),"?TYPE_IDENTIFIABLE","?REFERENTIAL"),"_")))))</f>
        <v> </v>
      </c>
      <c r="H1353" s="24" t="str">
        <f>IF(J1353&lt;&gt;1,"",IF(I1353="SBJ","CB","?"))</f>
        <v> </v>
      </c>
      <c r="I1353" s="25" t="str">
        <f>IF(OR(E1353="",E1353="!!!",F1353="NEW"),"",INDEX(B1352:B$2,-1+SUMPRODUCT(MAX(ROW(E1352:E$2)*(E1353=E1352:E$2)))))</f>
        <v> </v>
      </c>
      <c r="J1353" s="25" t="str">
        <f>IF(OR(E1353="",E1353="!!!",F1353="NEW"),"",COUNTBLANK(OFFSET(A$1,,,SUMPRODUCT(MAX(ROW(E$2:E1353)*(E1353=E$2:E1353)))))-COUNTBLANK(OFFSET(A$1,,,SUMPRODUCT(MAX(ROW(E$1:E1352)*(E2=E$1:E1352))))))</f>
        <v> </v>
      </c>
      <c r="K1353" s="25" t="str">
        <f>IF(OR(E1353="",E1353="!!!",F1353="NEW"),"",INDEX(J$1:J1352,SUMPRODUCT(MAX(ROW(E$1:E1352)*(E1353=E$1:E1352)))))</f>
        <v> </v>
      </c>
      <c r="L1353" s="26"/>
    </row>
    <row r="1354" spans="1:12">
      <c r="A1354" s="20" t="s">
        <v>658</v>
      </c>
      <c r="E1354" s="21">
        <f>IF(D1354="?OLD","!!!","")</f>
        <v/>
      </c>
      <c r="F1354" s="22" t="str">
        <f>IF(OR(E1354="",E1354="!!!"),"",IF(NOT(ISNA(VLOOKUP(E1354,E$1:E1353,1,FALSE()))),"OLD",IF(AND(E1354&lt;&gt;"",E1354&lt;&gt;"!!!"),"NEW","")))</f>
        <v> </v>
      </c>
      <c r="G1354" s="23" t="str">
        <f>IF(OR(E1354="",E1354="!!!"),"",IF(OR(J1354=0,AND(J1354=1,K1354=1),AND(J1354=1,I1354="SBJ"),AND(J1354=1,I1354=0)),"?IN_FOCUS",IF(J1354&lt;=2,"?ACTIVATED",IF(J1354&lt;&gt;"","?FAMILIAR",IF(F1354="NEW",IF(ISNA(VLOOKUP(E1354,#REF!,1,FALSE())),"?TYPE_IDENTIFIABLE","?REFERENTIAL"),"_")))))</f>
        <v> </v>
      </c>
      <c r="H1354" s="24" t="str">
        <f>IF(J1354&lt;&gt;1,"",IF(I1354="SBJ","CB","?"))</f>
        <v> </v>
      </c>
      <c r="I1354" s="25" t="str">
        <f>IF(OR(E1354="",E1354="!!!",F1354="NEW"),"",INDEX(B1353:B$2,-1+SUMPRODUCT(MAX(ROW(E1353:E$2)*(E1354=E1353:E$2)))))</f>
        <v> </v>
      </c>
      <c r="J1354" s="25" t="str">
        <f>IF(OR(E1354="",E1354="!!!",F1354="NEW"),"",COUNTBLANK(OFFSET(A$1,,,SUMPRODUCT(MAX(ROW(E$2:E1354)*(E1354=E$2:E1354)))))-COUNTBLANK(OFFSET(A$1,,,SUMPRODUCT(MAX(ROW(E$1:E1353)*(E2=E$1:E1353))))))</f>
        <v> </v>
      </c>
      <c r="K1354" s="25" t="str">
        <f>IF(OR(E1354="",E1354="!!!",F1354="NEW"),"",INDEX(J$1:J1353,SUMPRODUCT(MAX(ROW(E$1:E1353)*(E1354=E$1:E1353)))))</f>
        <v> </v>
      </c>
      <c r="L1354" s="26"/>
    </row>
    <row r="1355" spans="1:12">
      <c r="A1355" s="20" t="s">
        <v>621</v>
      </c>
      <c r="B1355" s="27" t="s">
        <v>611</v>
      </c>
      <c r="C1355" s="27" t="s">
        <v>607</v>
      </c>
      <c r="D1355" s="27" t="s">
        <v>608</v>
      </c>
      <c r="E1355" s="21">
        <f>IF(D1355="?OLD","!!!","")</f>
        <v/>
      </c>
      <c r="F1355" s="22" t="str">
        <f>IF(OR(E1355="",E1355="!!!"),"",IF(NOT(ISNA(VLOOKUP(E1355,E$1:E1354,1,FALSE()))),"OLD",IF(AND(E1355&lt;&gt;"",E1355&lt;&gt;"!!!"),"NEW","")))</f>
        <v> </v>
      </c>
      <c r="G1355" s="23" t="str">
        <f>IF(OR(E1355="",E1355="!!!"),"",IF(OR(J1355=0,AND(J1355=1,K1355=1),AND(J1355=1,I1355="SBJ"),AND(J1355=1,I1355=0)),"?IN_FOCUS",IF(J1355&lt;=2,"?ACTIVATED",IF(J1355&lt;&gt;"","?FAMILIAR",IF(F1355="NEW",IF(ISNA(VLOOKUP(E1355,#REF!,1,FALSE())),"?TYPE_IDENTIFIABLE","?REFERENTIAL"),"_")))))</f>
        <v> </v>
      </c>
      <c r="H1355" s="24" t="str">
        <f>IF(J1355&lt;&gt;1,"",IF(I1355="SBJ","CB","?"))</f>
        <v> </v>
      </c>
      <c r="I1355" s="25" t="str">
        <f>IF(OR(E1355="",E1355="!!!",F1355="NEW"),"",INDEX(B1354:B$2,-1+SUMPRODUCT(MAX(ROW(E1354:E$2)*(E1355=E1354:E$2)))))</f>
        <v> </v>
      </c>
      <c r="J1355" s="25" t="str">
        <f>IF(OR(E1355="",E1355="!!!",F1355="NEW"),"",COUNTBLANK(OFFSET(A$1,,,SUMPRODUCT(MAX(ROW(E$2:E1355)*(E1355=E$2:E1355)))))-COUNTBLANK(OFFSET(A$1,,,SUMPRODUCT(MAX(ROW(E$1:E1354)*(E2=E$1:E1354))))))</f>
        <v> </v>
      </c>
      <c r="K1355" s="25" t="str">
        <f>IF(OR(E1355="",E1355="!!!",F1355="NEW"),"",INDEX(J$1:J1354,SUMPRODUCT(MAX(ROW(E$1:E1354)*(E1355=E$1:E1354)))))</f>
        <v> </v>
      </c>
      <c r="L1355" s="26"/>
    </row>
    <row r="1356" spans="1:12">
      <c r="A1356" s="20" t="s">
        <v>737</v>
      </c>
      <c r="E1356" s="21">
        <f>IF(D1356="?OLD","!!!","")</f>
        <v/>
      </c>
      <c r="F1356" s="22" t="str">
        <f>IF(OR(E1356="",E1356="!!!"),"",IF(NOT(ISNA(VLOOKUP(E1356,E$1:E1355,1,FALSE()))),"OLD",IF(AND(E1356&lt;&gt;"",E1356&lt;&gt;"!!!"),"NEW","")))</f>
        <v> </v>
      </c>
      <c r="G1356" s="23" t="str">
        <f>IF(OR(E1356="",E1356="!!!"),"",IF(OR(J1356=0,AND(J1356=1,K1356=1),AND(J1356=1,I1356="SBJ"),AND(J1356=1,I1356=0)),"?IN_FOCUS",IF(J1356&lt;=2,"?ACTIVATED",IF(J1356&lt;&gt;"","?FAMILIAR",IF(F1356="NEW",IF(ISNA(VLOOKUP(E1356,#REF!,1,FALSE())),"?TYPE_IDENTIFIABLE","?REFERENTIAL"),"_")))))</f>
        <v> </v>
      </c>
      <c r="H1356" s="24" t="str">
        <f>IF(J1356&lt;&gt;1,"",IF(I1356="SBJ","CB","?"))</f>
        <v> </v>
      </c>
      <c r="I1356" s="25" t="str">
        <f>IF(OR(E1356="",E1356="!!!",F1356="NEW"),"",INDEX(B1355:B$2,-1+SUMPRODUCT(MAX(ROW(E1355:E$2)*(E1356=E1355:E$2)))))</f>
        <v> </v>
      </c>
      <c r="J1356" s="25" t="str">
        <f>IF(OR(E1356="",E1356="!!!",F1356="NEW"),"",COUNTBLANK(OFFSET(A$1,,,SUMPRODUCT(MAX(ROW(E$2:E1356)*(E1356=E$2:E1356)))))-COUNTBLANK(OFFSET(A$1,,,SUMPRODUCT(MAX(ROW(E$1:E1355)*(E2=E$1:E1355))))))</f>
        <v> </v>
      </c>
      <c r="K1356" s="25" t="str">
        <f>IF(OR(E1356="",E1356="!!!",F1356="NEW"),"",INDEX(J$1:J1355,SUMPRODUCT(MAX(ROW(E$1:E1355)*(E1356=E$1:E1355)))))</f>
        <v> </v>
      </c>
      <c r="L1356" s="26"/>
    </row>
    <row r="1357" spans="1:12">
      <c r="A1357" s="20" t="s">
        <v>1195</v>
      </c>
      <c r="E1357" s="21">
        <f>IF(D1357="?OLD","!!!","")</f>
        <v/>
      </c>
      <c r="F1357" s="22" t="str">
        <f>IF(OR(E1357="",E1357="!!!"),"",IF(NOT(ISNA(VLOOKUP(E1357,E$1:E1356,1,FALSE()))),"OLD",IF(AND(E1357&lt;&gt;"",E1357&lt;&gt;"!!!"),"NEW","")))</f>
        <v> </v>
      </c>
      <c r="G1357" s="23" t="str">
        <f>IF(OR(E1357="",E1357="!!!"),"",IF(OR(J1357=0,AND(J1357=1,K1357=1),AND(J1357=1,I1357="SBJ"),AND(J1357=1,I1357=0)),"?IN_FOCUS",IF(J1357&lt;=2,"?ACTIVATED",IF(J1357&lt;&gt;"","?FAMILIAR",IF(F1357="NEW",IF(ISNA(VLOOKUP(E1357,#REF!,1,FALSE())),"?TYPE_IDENTIFIABLE","?REFERENTIAL"),"_")))))</f>
        <v> </v>
      </c>
      <c r="H1357" s="24" t="str">
        <f>IF(J1357&lt;&gt;1,"",IF(I1357="SBJ","CB","?"))</f>
        <v> </v>
      </c>
      <c r="I1357" s="25" t="str">
        <f>IF(OR(E1357="",E1357="!!!",F1357="NEW"),"",INDEX(B1356:B$2,-1+SUMPRODUCT(MAX(ROW(E1356:E$2)*(E1357=E1356:E$2)))))</f>
        <v> </v>
      </c>
      <c r="J1357" s="25" t="str">
        <f>IF(OR(E1357="",E1357="!!!",F1357="NEW"),"",COUNTBLANK(OFFSET(A$1,,,SUMPRODUCT(MAX(ROW(E$2:E1357)*(E1357=E$2:E1357)))))-COUNTBLANK(OFFSET(A$1,,,SUMPRODUCT(MAX(ROW(E$1:E1356)*(E2=E$1:E1356))))))</f>
        <v> </v>
      </c>
      <c r="K1357" s="25" t="str">
        <f>IF(OR(E1357="",E1357="!!!",F1357="NEW"),"",INDEX(J$1:J1356,SUMPRODUCT(MAX(ROW(E$1:E1356)*(E1357=E$1:E1356)))))</f>
        <v> </v>
      </c>
      <c r="L1357" s="26"/>
    </row>
    <row r="1358" spans="1:12">
      <c r="A1358" s="20" t="s">
        <v>1196</v>
      </c>
      <c r="E1358" s="21">
        <f>IF(D1358="?OLD","!!!","")</f>
        <v/>
      </c>
      <c r="F1358" s="22" t="str">
        <f>IF(OR(E1358="",E1358="!!!"),"",IF(NOT(ISNA(VLOOKUP(E1358,E$1:E1357,1,FALSE()))),"OLD",IF(AND(E1358&lt;&gt;"",E1358&lt;&gt;"!!!"),"NEW","")))</f>
        <v> </v>
      </c>
      <c r="G1358" s="23" t="str">
        <f>IF(OR(E1358="",E1358="!!!"),"",IF(OR(J1358=0,AND(J1358=1,K1358=1),AND(J1358=1,I1358="SBJ"),AND(J1358=1,I1358=0)),"?IN_FOCUS",IF(J1358&lt;=2,"?ACTIVATED",IF(J1358&lt;&gt;"","?FAMILIAR",IF(F1358="NEW",IF(ISNA(VLOOKUP(E1358,#REF!,1,FALSE())),"?TYPE_IDENTIFIABLE","?REFERENTIAL"),"_")))))</f>
        <v> </v>
      </c>
      <c r="H1358" s="24" t="str">
        <f>IF(J1358&lt;&gt;1,"",IF(I1358="SBJ","CB","?"))</f>
        <v> </v>
      </c>
      <c r="I1358" s="25" t="str">
        <f>IF(OR(E1358="",E1358="!!!",F1358="NEW"),"",INDEX(B1357:B$2,-1+SUMPRODUCT(MAX(ROW(E1357:E$2)*(E1358=E1357:E$2)))))</f>
        <v> </v>
      </c>
      <c r="J1358" s="25" t="str">
        <f>IF(OR(E1358="",E1358="!!!",F1358="NEW"),"",COUNTBLANK(OFFSET(A$1,,,SUMPRODUCT(MAX(ROW(E$2:E1358)*(E1358=E$2:E1358)))))-COUNTBLANK(OFFSET(A$1,,,SUMPRODUCT(MAX(ROW(E$1:E1357)*(E2=E$1:E1357))))))</f>
        <v> </v>
      </c>
      <c r="K1358" s="25" t="str">
        <f>IF(OR(E1358="",E1358="!!!",F1358="NEW"),"",INDEX(J$1:J1357,SUMPRODUCT(MAX(ROW(E$1:E1357)*(E1358=E$1:E1357)))))</f>
        <v> </v>
      </c>
      <c r="L1358" s="26"/>
    </row>
    <row r="1359" spans="1:12">
      <c r="A1359" s="20" t="s">
        <v>633</v>
      </c>
      <c r="E1359" s="21">
        <f>IF(D1359="?OLD","!!!","")</f>
        <v/>
      </c>
      <c r="F1359" s="22" t="str">
        <f>IF(OR(E1359="",E1359="!!!"),"",IF(NOT(ISNA(VLOOKUP(E1359,E$1:E1358,1,FALSE()))),"OLD",IF(AND(E1359&lt;&gt;"",E1359&lt;&gt;"!!!"),"NEW","")))</f>
        <v> </v>
      </c>
      <c r="G1359" s="23" t="str">
        <f>IF(OR(E1359="",E1359="!!!"),"",IF(OR(J1359=0,AND(J1359=1,K1359=1),AND(J1359=1,I1359="SBJ"),AND(J1359=1,I1359=0)),"?IN_FOCUS",IF(J1359&lt;=2,"?ACTIVATED",IF(J1359&lt;&gt;"","?FAMILIAR",IF(F1359="NEW",IF(ISNA(VLOOKUP(E1359,#REF!,1,FALSE())),"?TYPE_IDENTIFIABLE","?REFERENTIAL"),"_")))))</f>
        <v> </v>
      </c>
      <c r="H1359" s="24" t="str">
        <f>IF(J1359&lt;&gt;1,"",IF(I1359="SBJ","CB","?"))</f>
        <v> </v>
      </c>
      <c r="I1359" s="25" t="str">
        <f>IF(OR(E1359="",E1359="!!!",F1359="NEW"),"",INDEX(B1358:B$2,-1+SUMPRODUCT(MAX(ROW(E1358:E$2)*(E1359=E1358:E$2)))))</f>
        <v> </v>
      </c>
      <c r="J1359" s="25" t="str">
        <f>IF(OR(E1359="",E1359="!!!",F1359="NEW"),"",COUNTBLANK(OFFSET(A$1,,,SUMPRODUCT(MAX(ROW(E$2:E1359)*(E1359=E$2:E1359)))))-COUNTBLANK(OFFSET(A$1,,,SUMPRODUCT(MAX(ROW(E$1:E1358)*(E2=E$1:E1358))))))</f>
        <v> </v>
      </c>
      <c r="K1359" s="25" t="str">
        <f>IF(OR(E1359="",E1359="!!!",F1359="NEW"),"",INDEX(J$1:J1358,SUMPRODUCT(MAX(ROW(E$1:E1358)*(E1359=E$1:E1358)))))</f>
        <v> </v>
      </c>
      <c r="L1359" s="26"/>
    </row>
    <row r="1360" spans="1:12">
      <c r="A1360" s="20"/>
    </row>
    <row r="1361" spans="1:12">
      <c r="A1361" s="20" t="s">
        <v>1197</v>
      </c>
    </row>
    <row r="1362" spans="1:12">
      <c r="A1362" s="20" t="s">
        <v>661</v>
      </c>
      <c r="E1362" s="21">
        <f>IF(D1362="?OLD","!!!","")</f>
        <v/>
      </c>
      <c r="F1362" s="22" t="str">
        <f>IF(OR(E1362="",E1362="!!!"),"",IF(NOT(ISNA(VLOOKUP(E1362,E$1:E1361,1,FALSE()))),"OLD",IF(AND(E1362&lt;&gt;"",E1362&lt;&gt;"!!!"),"NEW","")))</f>
        <v> </v>
      </c>
      <c r="G1362" s="23" t="str">
        <f>IF(OR(E1362="",E1362="!!!"),"",IF(OR(J1362=0,AND(J1362=1,K1362=1),AND(J1362=1,I1362="SBJ"),AND(J1362=1,I1362=0)),"?IN_FOCUS",IF(J1362&lt;=2,"?ACTIVATED",IF(J1362&lt;&gt;"","?FAMILIAR",IF(F1362="NEW",IF(ISNA(VLOOKUP(E1362,#REF!,1,FALSE())),"?TYPE_IDENTIFIABLE","?REFERENTIAL"),"_")))))</f>
        <v> </v>
      </c>
      <c r="H1362" s="24" t="str">
        <f>IF(J1362&lt;&gt;1,"",IF(I1362="SBJ","CB","?"))</f>
        <v> </v>
      </c>
      <c r="I1362" s="25" t="str">
        <f>IF(OR(E1362="",E1362="!!!",F1362="NEW"),"",INDEX(B1361:B$2,-1+SUMPRODUCT(MAX(ROW(E1361:E$2)*(E1362=E1361:E$2)))))</f>
        <v> </v>
      </c>
      <c r="J1362" s="25" t="str">
        <f>IF(OR(E1362="",E1362="!!!",F1362="NEW"),"",COUNTBLANK(OFFSET(A$1,,,SUMPRODUCT(MAX(ROW(E$2:E1362)*(E1362=E$2:E1362)))))-COUNTBLANK(OFFSET(A$1,,,SUMPRODUCT(MAX(ROW(E$1:E1361)*(E2=E$1:E1361))))))</f>
        <v> </v>
      </c>
      <c r="K1362" s="25" t="str">
        <f>IF(OR(E1362="",E1362="!!!",F1362="NEW"),"",INDEX(J$1:J1361,SUMPRODUCT(MAX(ROW(E$1:E1361)*(E1362=E$1:E1361)))))</f>
        <v> </v>
      </c>
      <c r="L1362" s="26"/>
    </row>
    <row r="1363" spans="1:12">
      <c r="A1363" s="20" t="s">
        <v>856</v>
      </c>
      <c r="E1363" s="21">
        <f>IF(D1363="?OLD","!!!","")</f>
        <v/>
      </c>
      <c r="F1363" s="22" t="str">
        <f>IF(OR(E1363="",E1363="!!!"),"",IF(NOT(ISNA(VLOOKUP(E1363,E$1:E1362,1,FALSE()))),"OLD",IF(AND(E1363&lt;&gt;"",E1363&lt;&gt;"!!!"),"NEW","")))</f>
        <v> </v>
      </c>
      <c r="G1363" s="23" t="str">
        <f>IF(OR(E1363="",E1363="!!!"),"",IF(OR(J1363=0,AND(J1363=1,K1363=1),AND(J1363=1,I1363="SBJ"),AND(J1363=1,I1363=0)),"?IN_FOCUS",IF(J1363&lt;=2,"?ACTIVATED",IF(J1363&lt;&gt;"","?FAMILIAR",IF(F1363="NEW",IF(ISNA(VLOOKUP(E1363,#REF!,1,FALSE())),"?TYPE_IDENTIFIABLE","?REFERENTIAL"),"_")))))</f>
        <v> </v>
      </c>
      <c r="H1363" s="24" t="str">
        <f>IF(J1363&lt;&gt;1,"",IF(I1363="SBJ","CB","?"))</f>
        <v> </v>
      </c>
      <c r="I1363" s="25" t="str">
        <f>IF(OR(E1363="",E1363="!!!",F1363="NEW"),"",INDEX(B1362:B$2,-1+SUMPRODUCT(MAX(ROW(E1362:E$2)*(E1363=E1362:E$2)))))</f>
        <v> </v>
      </c>
      <c r="J1363" s="25" t="str">
        <f>IF(OR(E1363="",E1363="!!!",F1363="NEW"),"",COUNTBLANK(OFFSET(A$1,,,SUMPRODUCT(MAX(ROW(E$2:E1363)*(E1363=E$2:E1363)))))-COUNTBLANK(OFFSET(A$1,,,SUMPRODUCT(MAX(ROW(E$1:E1362)*(E2=E$1:E1362))))))</f>
        <v> </v>
      </c>
      <c r="K1363" s="25" t="str">
        <f>IF(OR(E1363="",E1363="!!!",F1363="NEW"),"",INDEX(J$1:J1362,SUMPRODUCT(MAX(ROW(E$1:E1362)*(E1363=E$1:E1362)))))</f>
        <v> </v>
      </c>
      <c r="L1363" s="26"/>
    </row>
    <row r="1364" spans="1:12">
      <c r="A1364" s="20" t="s">
        <v>612</v>
      </c>
      <c r="E1364" s="21">
        <f>IF(D1364="?OLD","!!!","")</f>
        <v/>
      </c>
      <c r="F1364" s="22" t="str">
        <f>IF(OR(E1364="",E1364="!!!"),"",IF(NOT(ISNA(VLOOKUP(E1364,E$1:E1363,1,FALSE()))),"OLD",IF(AND(E1364&lt;&gt;"",E1364&lt;&gt;"!!!"),"NEW","")))</f>
        <v> </v>
      </c>
      <c r="G1364" s="23" t="str">
        <f>IF(OR(E1364="",E1364="!!!"),"",IF(OR(J1364=0,AND(J1364=1,K1364=1),AND(J1364=1,I1364="SBJ"),AND(J1364=1,I1364=0)),"?IN_FOCUS",IF(J1364&lt;=2,"?ACTIVATED",IF(J1364&lt;&gt;"","?FAMILIAR",IF(F1364="NEW",IF(ISNA(VLOOKUP(E1364,#REF!,1,FALSE())),"?TYPE_IDENTIFIABLE","?REFERENTIAL"),"_")))))</f>
        <v> </v>
      </c>
      <c r="H1364" s="24" t="str">
        <f>IF(J1364&lt;&gt;1,"",IF(I1364="SBJ","CB","?"))</f>
        <v> </v>
      </c>
      <c r="I1364" s="25" t="str">
        <f>IF(OR(E1364="",E1364="!!!",F1364="NEW"),"",INDEX(B1363:B$2,-1+SUMPRODUCT(MAX(ROW(E1363:E$2)*(E1364=E1363:E$2)))))</f>
        <v> </v>
      </c>
      <c r="J1364" s="25" t="str">
        <f>IF(OR(E1364="",E1364="!!!",F1364="NEW"),"",COUNTBLANK(OFFSET(A$1,,,SUMPRODUCT(MAX(ROW(E$2:E1364)*(E1364=E$2:E1364)))))-COUNTBLANK(OFFSET(A$1,,,SUMPRODUCT(MAX(ROW(E$1:E1363)*(E2=E$1:E1363))))))</f>
        <v> </v>
      </c>
      <c r="K1364" s="25" t="str">
        <f>IF(OR(E1364="",E1364="!!!",F1364="NEW"),"",INDEX(J$1:J1363,SUMPRODUCT(MAX(ROW(E$1:E1363)*(E1364=E$1:E1363)))))</f>
        <v> </v>
      </c>
      <c r="L1364" s="26"/>
    </row>
    <row r="1365" spans="1:12">
      <c r="A1365" s="20" t="s">
        <v>1198</v>
      </c>
      <c r="E1365" s="21">
        <f>IF(D1365="?OLD","!!!","")</f>
        <v/>
      </c>
      <c r="F1365" s="22" t="str">
        <f>IF(OR(E1365="",E1365="!!!"),"",IF(NOT(ISNA(VLOOKUP(E1365,E$1:E1364,1,FALSE()))),"OLD",IF(AND(E1365&lt;&gt;"",E1365&lt;&gt;"!!!"),"NEW","")))</f>
        <v> </v>
      </c>
      <c r="G1365" s="23" t="str">
        <f>IF(OR(E1365="",E1365="!!!"),"",IF(OR(J1365=0,AND(J1365=1,K1365=1),AND(J1365=1,I1365="SBJ"),AND(J1365=1,I1365=0)),"?IN_FOCUS",IF(J1365&lt;=2,"?ACTIVATED",IF(J1365&lt;&gt;"","?FAMILIAR",IF(F1365="NEW",IF(ISNA(VLOOKUP(E1365,#REF!,1,FALSE())),"?TYPE_IDENTIFIABLE","?REFERENTIAL"),"_")))))</f>
        <v> </v>
      </c>
      <c r="H1365" s="24" t="str">
        <f>IF(J1365&lt;&gt;1,"",IF(I1365="SBJ","CB","?"))</f>
        <v> </v>
      </c>
      <c r="I1365" s="25" t="str">
        <f>IF(OR(E1365="",E1365="!!!",F1365="NEW"),"",INDEX(B1364:B$2,-1+SUMPRODUCT(MAX(ROW(E1364:E$2)*(E1365=E1364:E$2)))))</f>
        <v> </v>
      </c>
      <c r="J1365" s="25" t="str">
        <f>IF(OR(E1365="",E1365="!!!",F1365="NEW"),"",COUNTBLANK(OFFSET(A$1,,,SUMPRODUCT(MAX(ROW(E$2:E1365)*(E1365=E$2:E1365)))))-COUNTBLANK(OFFSET(A$1,,,SUMPRODUCT(MAX(ROW(E$1:E1364)*(E2=E$1:E1364))))))</f>
        <v> </v>
      </c>
      <c r="K1365" s="25" t="str">
        <f>IF(OR(E1365="",E1365="!!!",F1365="NEW"),"",INDEX(J$1:J1364,SUMPRODUCT(MAX(ROW(E$1:E1364)*(E1365=E$1:E1364)))))</f>
        <v> </v>
      </c>
      <c r="L1365" s="26"/>
    </row>
    <row r="1366" spans="1:12">
      <c r="A1366" s="20" t="s">
        <v>617</v>
      </c>
      <c r="E1366" s="21">
        <f>IF(D1366="?OLD","!!!","")</f>
        <v/>
      </c>
      <c r="F1366" s="22" t="str">
        <f>IF(OR(E1366="",E1366="!!!"),"",IF(NOT(ISNA(VLOOKUP(E1366,E$1:E1365,1,FALSE()))),"OLD",IF(AND(E1366&lt;&gt;"",E1366&lt;&gt;"!!!"),"NEW","")))</f>
        <v> </v>
      </c>
      <c r="G1366" s="23" t="str">
        <f>IF(OR(E1366="",E1366="!!!"),"",IF(OR(J1366=0,AND(J1366=1,K1366=1),AND(J1366=1,I1366="SBJ"),AND(J1366=1,I1366=0)),"?IN_FOCUS",IF(J1366&lt;=2,"?ACTIVATED",IF(J1366&lt;&gt;"","?FAMILIAR",IF(F1366="NEW",IF(ISNA(VLOOKUP(E1366,#REF!,1,FALSE())),"?TYPE_IDENTIFIABLE","?REFERENTIAL"),"_")))))</f>
        <v> </v>
      </c>
      <c r="H1366" s="24" t="str">
        <f>IF(J1366&lt;&gt;1,"",IF(I1366="SBJ","CB","?"))</f>
        <v> </v>
      </c>
      <c r="I1366" s="25" t="str">
        <f>IF(OR(E1366="",E1366="!!!",F1366="NEW"),"",INDEX(B1365:B$2,-1+SUMPRODUCT(MAX(ROW(E1365:E$2)*(E1366=E1365:E$2)))))</f>
        <v> </v>
      </c>
      <c r="J1366" s="25" t="str">
        <f>IF(OR(E1366="",E1366="!!!",F1366="NEW"),"",COUNTBLANK(OFFSET(A$1,,,SUMPRODUCT(MAX(ROW(E$2:E1366)*(E1366=E$2:E1366)))))-COUNTBLANK(OFFSET(A$1,,,SUMPRODUCT(MAX(ROW(E$1:E1365)*(E2=E$1:E1365))))))</f>
        <v> </v>
      </c>
      <c r="K1366" s="25" t="str">
        <f>IF(OR(E1366="",E1366="!!!",F1366="NEW"),"",INDEX(J$1:J1365,SUMPRODUCT(MAX(ROW(E$1:E1365)*(E1366=E$1:E1365)))))</f>
        <v> </v>
      </c>
      <c r="L1366" s="26"/>
    </row>
    <row r="1367" spans="1:12">
      <c r="A1367" s="20" t="s">
        <v>736</v>
      </c>
      <c r="E1367" s="21">
        <f>IF(D1367="?OLD","!!!","")</f>
        <v/>
      </c>
      <c r="F1367" s="22" t="str">
        <f>IF(OR(E1367="",E1367="!!!"),"",IF(NOT(ISNA(VLOOKUP(E1367,E$1:E1366,1,FALSE()))),"OLD",IF(AND(E1367&lt;&gt;"",E1367&lt;&gt;"!!!"),"NEW","")))</f>
        <v> </v>
      </c>
      <c r="G1367" s="23" t="str">
        <f>IF(OR(E1367="",E1367="!!!"),"",IF(OR(J1367=0,AND(J1367=1,K1367=1),AND(J1367=1,I1367="SBJ"),AND(J1367=1,I1367=0)),"?IN_FOCUS",IF(J1367&lt;=2,"?ACTIVATED",IF(J1367&lt;&gt;"","?FAMILIAR",IF(F1367="NEW",IF(ISNA(VLOOKUP(E1367,#REF!,1,FALSE())),"?TYPE_IDENTIFIABLE","?REFERENTIAL"),"_")))))</f>
        <v> </v>
      </c>
      <c r="H1367" s="24" t="str">
        <f>IF(J1367&lt;&gt;1,"",IF(I1367="SBJ","CB","?"))</f>
        <v> </v>
      </c>
      <c r="I1367" s="25" t="str">
        <f>IF(OR(E1367="",E1367="!!!",F1367="NEW"),"",INDEX(B1366:B$2,-1+SUMPRODUCT(MAX(ROW(E1366:E$2)*(E1367=E1366:E$2)))))</f>
        <v> </v>
      </c>
      <c r="J1367" s="25" t="str">
        <f>IF(OR(E1367="",E1367="!!!",F1367="NEW"),"",COUNTBLANK(OFFSET(A$1,,,SUMPRODUCT(MAX(ROW(E$2:E1367)*(E1367=E$2:E1367)))))-COUNTBLANK(OFFSET(A$1,,,SUMPRODUCT(MAX(ROW(E$1:E1366)*(E2=E$1:E1366))))))</f>
        <v> </v>
      </c>
      <c r="K1367" s="25" t="str">
        <f>IF(OR(E1367="",E1367="!!!",F1367="NEW"),"",INDEX(J$1:J1366,SUMPRODUCT(MAX(ROW(E$1:E1366)*(E1367=E$1:E1366)))))</f>
        <v> </v>
      </c>
      <c r="L1367" s="26"/>
    </row>
    <row r="1368" spans="1:12">
      <c r="A1368" s="20" t="s">
        <v>618</v>
      </c>
      <c r="E1368" s="21">
        <f>IF(D1368="?OLD","!!!","")</f>
        <v/>
      </c>
      <c r="F1368" s="22" t="str">
        <f>IF(OR(E1368="",E1368="!!!"),"",IF(NOT(ISNA(VLOOKUP(E1368,E$1:E1367,1,FALSE()))),"OLD",IF(AND(E1368&lt;&gt;"",E1368&lt;&gt;"!!!"),"NEW","")))</f>
        <v> </v>
      </c>
      <c r="G1368" s="23" t="str">
        <f>IF(OR(E1368="",E1368="!!!"),"",IF(OR(J1368=0,AND(J1368=1,K1368=1),AND(J1368=1,I1368="SBJ"),AND(J1368=1,I1368=0)),"?IN_FOCUS",IF(J1368&lt;=2,"?ACTIVATED",IF(J1368&lt;&gt;"","?FAMILIAR",IF(F1368="NEW",IF(ISNA(VLOOKUP(E1368,#REF!,1,FALSE())),"?TYPE_IDENTIFIABLE","?REFERENTIAL"),"_")))))</f>
        <v> </v>
      </c>
      <c r="H1368" s="24" t="str">
        <f>IF(J1368&lt;&gt;1,"",IF(I1368="SBJ","CB","?"))</f>
        <v> </v>
      </c>
      <c r="I1368" s="25" t="str">
        <f>IF(OR(E1368="",E1368="!!!",F1368="NEW"),"",INDEX(B1367:B$2,-1+SUMPRODUCT(MAX(ROW(E1367:E$2)*(E1368=E1367:E$2)))))</f>
        <v> </v>
      </c>
      <c r="J1368" s="25" t="str">
        <f>IF(OR(E1368="",E1368="!!!",F1368="NEW"),"",COUNTBLANK(OFFSET(A$1,,,SUMPRODUCT(MAX(ROW(E$2:E1368)*(E1368=E$2:E1368)))))-COUNTBLANK(OFFSET(A$1,,,SUMPRODUCT(MAX(ROW(E$1:E1367)*(E2=E$1:E1367))))))</f>
        <v> </v>
      </c>
      <c r="K1368" s="25" t="str">
        <f>IF(OR(E1368="",E1368="!!!",F1368="NEW"),"",INDEX(J$1:J1367,SUMPRODUCT(MAX(ROW(E$1:E1367)*(E1368=E$1:E1367)))))</f>
        <v> </v>
      </c>
      <c r="L1368" s="26"/>
    </row>
    <row r="1369" spans="1:12">
      <c r="A1369" s="20" t="s">
        <v>621</v>
      </c>
      <c r="B1369" s="27" t="s">
        <v>619</v>
      </c>
      <c r="C1369" s="27" t="s">
        <v>607</v>
      </c>
      <c r="D1369" s="27" t="s">
        <v>608</v>
      </c>
      <c r="E1369" s="21">
        <f>IF(D1369="?OLD","!!!","")</f>
        <v/>
      </c>
      <c r="F1369" s="22" t="str">
        <f>IF(OR(E1369="",E1369="!!!"),"",IF(NOT(ISNA(VLOOKUP(E1369,E$1:E1368,1,FALSE()))),"OLD",IF(AND(E1369&lt;&gt;"",E1369&lt;&gt;"!!!"),"NEW","")))</f>
        <v> </v>
      </c>
      <c r="G1369" s="23" t="str">
        <f>IF(OR(E1369="",E1369="!!!"),"",IF(OR(J1369=0,AND(J1369=1,K1369=1),AND(J1369=1,I1369="SBJ"),AND(J1369=1,I1369=0)),"?IN_FOCUS",IF(J1369&lt;=2,"?ACTIVATED",IF(J1369&lt;&gt;"","?FAMILIAR",IF(F1369="NEW",IF(ISNA(VLOOKUP(E1369,#REF!,1,FALSE())),"?TYPE_IDENTIFIABLE","?REFERENTIAL"),"_")))))</f>
        <v> </v>
      </c>
      <c r="H1369" s="24" t="str">
        <f>IF(J1369&lt;&gt;1,"",IF(I1369="SBJ","CB","?"))</f>
        <v> </v>
      </c>
      <c r="I1369" s="25" t="str">
        <f>IF(OR(E1369="",E1369="!!!",F1369="NEW"),"",INDEX(B1368:B$2,-1+SUMPRODUCT(MAX(ROW(E1368:E$2)*(E1369=E1368:E$2)))))</f>
        <v> </v>
      </c>
      <c r="J1369" s="25" t="str">
        <f>IF(OR(E1369="",E1369="!!!",F1369="NEW"),"",COUNTBLANK(OFFSET(A$1,,,SUMPRODUCT(MAX(ROW(E$2:E1369)*(E1369=E$2:E1369)))))-COUNTBLANK(OFFSET(A$1,,,SUMPRODUCT(MAX(ROW(E$1:E1368)*(E2=E$1:E1368))))))</f>
        <v> </v>
      </c>
      <c r="K1369" s="25" t="str">
        <f>IF(OR(E1369="",E1369="!!!",F1369="NEW"),"",INDEX(J$1:J1368,SUMPRODUCT(MAX(ROW(E$1:E1368)*(E1369=E$1:E1368)))))</f>
        <v> </v>
      </c>
      <c r="L1369" s="26"/>
    </row>
    <row r="1370" spans="1:12">
      <c r="A1370" s="20" t="s">
        <v>617</v>
      </c>
      <c r="E1370" s="21">
        <f>IF(D1370="?OLD","!!!","")</f>
        <v/>
      </c>
      <c r="F1370" s="22" t="str">
        <f>IF(OR(E1370="",E1370="!!!"),"",IF(NOT(ISNA(VLOOKUP(E1370,E$1:E1369,1,FALSE()))),"OLD",IF(AND(E1370&lt;&gt;"",E1370&lt;&gt;"!!!"),"NEW","")))</f>
        <v> </v>
      </c>
      <c r="G1370" s="23" t="str">
        <f>IF(OR(E1370="",E1370="!!!"),"",IF(OR(J1370=0,AND(J1370=1,K1370=1),AND(J1370=1,I1370="SBJ"),AND(J1370=1,I1370=0)),"?IN_FOCUS",IF(J1370&lt;=2,"?ACTIVATED",IF(J1370&lt;&gt;"","?FAMILIAR",IF(F1370="NEW",IF(ISNA(VLOOKUP(E1370,#REF!,1,FALSE())),"?TYPE_IDENTIFIABLE","?REFERENTIAL"),"_")))))</f>
        <v> </v>
      </c>
      <c r="H1370" s="24" t="str">
        <f>IF(J1370&lt;&gt;1,"",IF(I1370="SBJ","CB","?"))</f>
        <v> </v>
      </c>
      <c r="I1370" s="25" t="str">
        <f>IF(OR(E1370="",E1370="!!!",F1370="NEW"),"",INDEX(B1369:B$2,-1+SUMPRODUCT(MAX(ROW(E1369:E$2)*(E1370=E1369:E$2)))))</f>
        <v> </v>
      </c>
      <c r="J1370" s="25" t="str">
        <f>IF(OR(E1370="",E1370="!!!",F1370="NEW"),"",COUNTBLANK(OFFSET(A$1,,,SUMPRODUCT(MAX(ROW(E$2:E1370)*(E1370=E$2:E1370)))))-COUNTBLANK(OFFSET(A$1,,,SUMPRODUCT(MAX(ROW(E$1:E1369)*(E2=E$1:E1369))))))</f>
        <v> </v>
      </c>
      <c r="K1370" s="25" t="str">
        <f>IF(OR(E1370="",E1370="!!!",F1370="NEW"),"",INDEX(J$1:J1369,SUMPRODUCT(MAX(ROW(E$1:E1369)*(E1370=E$1:E1369)))))</f>
        <v> </v>
      </c>
      <c r="L1370" s="26"/>
    </row>
    <row r="1371" spans="1:12">
      <c r="A1371" s="20" t="s">
        <v>618</v>
      </c>
      <c r="B1371" s="27" t="s">
        <v>742</v>
      </c>
      <c r="E1371" s="21">
        <f>IF(D1371="?OLD","!!!","")</f>
        <v/>
      </c>
      <c r="F1371" s="22" t="str">
        <f>IF(OR(E1371="",E1371="!!!"),"",IF(NOT(ISNA(VLOOKUP(E1371,E$1:E1370,1,FALSE()))),"OLD",IF(AND(E1371&lt;&gt;"",E1371&lt;&gt;"!!!"),"NEW","")))</f>
        <v> </v>
      </c>
      <c r="G1371" s="23" t="str">
        <f>IF(OR(E1371="",E1371="!!!"),"",IF(OR(J1371=0,AND(J1371=1,K1371=1),AND(J1371=1,I1371="SBJ"),AND(J1371=1,I1371=0)),"?IN_FOCUS",IF(J1371&lt;=2,"?ACTIVATED",IF(J1371&lt;&gt;"","?FAMILIAR",IF(F1371="NEW",IF(ISNA(VLOOKUP(E1371,#REF!,1,FALSE())),"?TYPE_IDENTIFIABLE","?REFERENTIAL"),"_")))))</f>
        <v> </v>
      </c>
      <c r="H1371" s="24" t="str">
        <f>IF(J1371&lt;&gt;1,"",IF(I1371="SBJ","CB","?"))</f>
        <v> </v>
      </c>
      <c r="I1371" s="25" t="str">
        <f>IF(OR(E1371="",E1371="!!!",F1371="NEW"),"",INDEX(B1370:B$2,-1+SUMPRODUCT(MAX(ROW(E1370:E$2)*(E1371=E1370:E$2)))))</f>
        <v> </v>
      </c>
      <c r="J1371" s="25" t="str">
        <f>IF(OR(E1371="",E1371="!!!",F1371="NEW"),"",COUNTBLANK(OFFSET(A$1,,,SUMPRODUCT(MAX(ROW(E$2:E1371)*(E1371=E$2:E1371)))))-COUNTBLANK(OFFSET(A$1,,,SUMPRODUCT(MAX(ROW(E$1:E1370)*(E2=E$1:E1370))))))</f>
        <v> </v>
      </c>
      <c r="K1371" s="25" t="str">
        <f>IF(OR(E1371="",E1371="!!!",F1371="NEW"),"",INDEX(J$1:J1370,SUMPRODUCT(MAX(ROW(E$1:E1370)*(E1371=E$1:E1370)))))</f>
        <v> </v>
      </c>
      <c r="L1371" s="26"/>
    </row>
    <row r="1372" spans="1:12">
      <c r="A1372" s="20" t="s">
        <v>759</v>
      </c>
      <c r="E1372" s="21">
        <f>IF(D1372="?OLD","!!!","")</f>
        <v/>
      </c>
      <c r="F1372" s="22" t="str">
        <f>IF(OR(E1372="",E1372="!!!"),"",IF(NOT(ISNA(VLOOKUP(E1372,E$1:E1371,1,FALSE()))),"OLD",IF(AND(E1372&lt;&gt;"",E1372&lt;&gt;"!!!"),"NEW","")))</f>
        <v> </v>
      </c>
      <c r="G1372" s="23" t="str">
        <f>IF(OR(E1372="",E1372="!!!"),"",IF(OR(J1372=0,AND(J1372=1,K1372=1),AND(J1372=1,I1372="SBJ"),AND(J1372=1,I1372=0)),"?IN_FOCUS",IF(J1372&lt;=2,"?ACTIVATED",IF(J1372&lt;&gt;"","?FAMILIAR",IF(F1372="NEW",IF(ISNA(VLOOKUP(E1372,#REF!,1,FALSE())),"?TYPE_IDENTIFIABLE","?REFERENTIAL"),"_")))))</f>
        <v> </v>
      </c>
      <c r="H1372" s="24" t="str">
        <f>IF(J1372&lt;&gt;1,"",IF(I1372="SBJ","CB","?"))</f>
        <v> </v>
      </c>
      <c r="I1372" s="25" t="str">
        <f>IF(OR(E1372="",E1372="!!!",F1372="NEW"),"",INDEX(B1371:B$2,-1+SUMPRODUCT(MAX(ROW(E1371:E$2)*(E1372=E1371:E$2)))))</f>
        <v> </v>
      </c>
      <c r="J1372" s="25" t="str">
        <f>IF(OR(E1372="",E1372="!!!",F1372="NEW"),"",COUNTBLANK(OFFSET(A$1,,,SUMPRODUCT(MAX(ROW(E$2:E1372)*(E1372=E$2:E1372)))))-COUNTBLANK(OFFSET(A$1,,,SUMPRODUCT(MAX(ROW(E$1:E1371)*(E2=E$1:E1371))))))</f>
        <v> </v>
      </c>
      <c r="K1372" s="25" t="str">
        <f>IF(OR(E1372="",E1372="!!!",F1372="NEW"),"",INDEX(J$1:J1371,SUMPRODUCT(MAX(ROW(E$1:E1371)*(E1372=E$1:E1371)))))</f>
        <v> </v>
      </c>
      <c r="L1372" s="26"/>
    </row>
    <row r="1373" spans="1:12">
      <c r="A1373" s="20" t="s">
        <v>603</v>
      </c>
      <c r="E1373" s="21">
        <f>IF(D1373="?OLD","!!!","")</f>
        <v/>
      </c>
      <c r="F1373" s="22" t="str">
        <f>IF(OR(E1373="",E1373="!!!"),"",IF(NOT(ISNA(VLOOKUP(E1373,E$1:E1372,1,FALSE()))),"OLD",IF(AND(E1373&lt;&gt;"",E1373&lt;&gt;"!!!"),"NEW","")))</f>
        <v> </v>
      </c>
      <c r="G1373" s="23" t="str">
        <f>IF(OR(E1373="",E1373="!!!"),"",IF(OR(J1373=0,AND(J1373=1,K1373=1),AND(J1373=1,I1373="SBJ"),AND(J1373=1,I1373=0)),"?IN_FOCUS",IF(J1373&lt;=2,"?ACTIVATED",IF(J1373&lt;&gt;"","?FAMILIAR",IF(F1373="NEW",IF(ISNA(VLOOKUP(E1373,#REF!,1,FALSE())),"?TYPE_IDENTIFIABLE","?REFERENTIAL"),"_")))))</f>
        <v> </v>
      </c>
      <c r="H1373" s="24" t="str">
        <f>IF(J1373&lt;&gt;1,"",IF(I1373="SBJ","CB","?"))</f>
        <v> </v>
      </c>
      <c r="I1373" s="25" t="str">
        <f>IF(OR(E1373="",E1373="!!!",F1373="NEW"),"",INDEX(B1372:B$2,-1+SUMPRODUCT(MAX(ROW(E1372:E$2)*(E1373=E1372:E$2)))))</f>
        <v> </v>
      </c>
      <c r="J1373" s="25" t="str">
        <f>IF(OR(E1373="",E1373="!!!",F1373="NEW"),"",COUNTBLANK(OFFSET(A$1,,,SUMPRODUCT(MAX(ROW(E$2:E1373)*(E1373=E$2:E1373)))))-COUNTBLANK(OFFSET(A$1,,,SUMPRODUCT(MAX(ROW(E$1:E1372)*(E2=E$1:E1372))))))</f>
        <v> </v>
      </c>
      <c r="K1373" s="25" t="str">
        <f>IF(OR(E1373="",E1373="!!!",F1373="NEW"),"",INDEX(J$1:J1372,SUMPRODUCT(MAX(ROW(E$1:E1372)*(E1373=E$1:E1372)))))</f>
        <v> </v>
      </c>
      <c r="L1373" s="26"/>
    </row>
    <row r="1374" spans="1:12">
      <c r="A1374" s="20" t="s">
        <v>1199</v>
      </c>
      <c r="E1374" s="21">
        <f>IF(D1374="?OLD","!!!","")</f>
        <v/>
      </c>
      <c r="F1374" s="22" t="str">
        <f>IF(OR(E1374="",E1374="!!!"),"",IF(NOT(ISNA(VLOOKUP(E1374,E$1:E1373,1,FALSE()))),"OLD",IF(AND(E1374&lt;&gt;"",E1374&lt;&gt;"!!!"),"NEW","")))</f>
        <v> </v>
      </c>
      <c r="G1374" s="23" t="str">
        <f>IF(OR(E1374="",E1374="!!!"),"",IF(OR(J1374=0,AND(J1374=1,K1374=1),AND(J1374=1,I1374="SBJ"),AND(J1374=1,I1374=0)),"?IN_FOCUS",IF(J1374&lt;=2,"?ACTIVATED",IF(J1374&lt;&gt;"","?FAMILIAR",IF(F1374="NEW",IF(ISNA(VLOOKUP(E1374,#REF!,1,FALSE())),"?TYPE_IDENTIFIABLE","?REFERENTIAL"),"_")))))</f>
        <v> </v>
      </c>
      <c r="H1374" s="24" t="str">
        <f>IF(J1374&lt;&gt;1,"",IF(I1374="SBJ","CB","?"))</f>
        <v> </v>
      </c>
      <c r="I1374" s="25" t="str">
        <f>IF(OR(E1374="",E1374="!!!",F1374="NEW"),"",INDEX(B1373:B$2,-1+SUMPRODUCT(MAX(ROW(E1373:E$2)*(E1374=E1373:E$2)))))</f>
        <v> </v>
      </c>
      <c r="J1374" s="25" t="str">
        <f>IF(OR(E1374="",E1374="!!!",F1374="NEW"),"",COUNTBLANK(OFFSET(A$1,,,SUMPRODUCT(MAX(ROW(E$2:E1374)*(E1374=E$2:E1374)))))-COUNTBLANK(OFFSET(A$1,,,SUMPRODUCT(MAX(ROW(E$1:E1373)*(E2=E$1:E1373))))))</f>
        <v> </v>
      </c>
      <c r="K1374" s="25" t="str">
        <f>IF(OR(E1374="",E1374="!!!",F1374="NEW"),"",INDEX(J$1:J1373,SUMPRODUCT(MAX(ROW(E$1:E1373)*(E1374=E$1:E1373)))))</f>
        <v> </v>
      </c>
      <c r="L1374" s="26"/>
    </row>
    <row r="1375" spans="1:12">
      <c r="A1375" s="20" t="s">
        <v>630</v>
      </c>
      <c r="B1375" s="27" t="s">
        <v>664</v>
      </c>
      <c r="C1375" s="27" t="s">
        <v>631</v>
      </c>
      <c r="D1375" s="27" t="s">
        <v>608</v>
      </c>
      <c r="E1375" s="21">
        <f>IF(D1375="?OLD","!!!","")</f>
        <v/>
      </c>
      <c r="F1375" s="22" t="str">
        <f>IF(OR(E1375="",E1375="!!!"),"",IF(NOT(ISNA(VLOOKUP(E1375,E$1:E1374,1,FALSE()))),"OLD",IF(AND(E1375&lt;&gt;"",E1375&lt;&gt;"!!!"),"NEW","")))</f>
        <v> </v>
      </c>
      <c r="G1375" s="23" t="str">
        <f>IF(OR(E1375="",E1375="!!!"),"",IF(OR(J1375=0,AND(J1375=1,K1375=1),AND(J1375=1,I1375="SBJ"),AND(J1375=1,I1375=0)),"?IN_FOCUS",IF(J1375&lt;=2,"?ACTIVATED",IF(J1375&lt;&gt;"","?FAMILIAR",IF(F1375="NEW",IF(ISNA(VLOOKUP(E1375,#REF!,1,FALSE())),"?TYPE_IDENTIFIABLE","?REFERENTIAL"),"_")))))</f>
        <v> </v>
      </c>
      <c r="H1375" s="24" t="str">
        <f>IF(J1375&lt;&gt;1,"",IF(I1375="SBJ","CB","?"))</f>
        <v> </v>
      </c>
      <c r="I1375" s="25" t="str">
        <f>IF(OR(E1375="",E1375="!!!",F1375="NEW"),"",INDEX(B1374:B$2,-1+SUMPRODUCT(MAX(ROW(E1374:E$2)*(E1375=E1374:E$2)))))</f>
        <v> </v>
      </c>
      <c r="J1375" s="25" t="str">
        <f>IF(OR(E1375="",E1375="!!!",F1375="NEW"),"",COUNTBLANK(OFFSET(A$1,,,SUMPRODUCT(MAX(ROW(E$2:E1375)*(E1375=E$2:E1375)))))-COUNTBLANK(OFFSET(A$1,,,SUMPRODUCT(MAX(ROW(E$1:E1374)*(E2=E$1:E1374))))))</f>
        <v> </v>
      </c>
      <c r="K1375" s="25" t="str">
        <f>IF(OR(E1375="",E1375="!!!",F1375="NEW"),"",INDEX(J$1:J1374,SUMPRODUCT(MAX(ROW(E$1:E1374)*(E1375=E$1:E1374)))))</f>
        <v> </v>
      </c>
      <c r="L1375" s="26"/>
    </row>
    <row r="1376" spans="1:12">
      <c r="A1376" s="20" t="s">
        <v>801</v>
      </c>
      <c r="E1376" s="21">
        <f>IF(D1376="?OLD","!!!","")</f>
        <v/>
      </c>
      <c r="F1376" s="22" t="str">
        <f>IF(OR(E1376="",E1376="!!!"),"",IF(NOT(ISNA(VLOOKUP(E1376,E$1:E1375,1,FALSE()))),"OLD",IF(AND(E1376&lt;&gt;"",E1376&lt;&gt;"!!!"),"NEW","")))</f>
        <v> </v>
      </c>
      <c r="G1376" s="23" t="str">
        <f>IF(OR(E1376="",E1376="!!!"),"",IF(OR(J1376=0,AND(J1376=1,K1376=1),AND(J1376=1,I1376="SBJ"),AND(J1376=1,I1376=0)),"?IN_FOCUS",IF(J1376&lt;=2,"?ACTIVATED",IF(J1376&lt;&gt;"","?FAMILIAR",IF(F1376="NEW",IF(ISNA(VLOOKUP(E1376,#REF!,1,FALSE())),"?TYPE_IDENTIFIABLE","?REFERENTIAL"),"_")))))</f>
        <v> </v>
      </c>
      <c r="H1376" s="24" t="str">
        <f>IF(J1376&lt;&gt;1,"",IF(I1376="SBJ","CB","?"))</f>
        <v> </v>
      </c>
      <c r="I1376" s="25" t="str">
        <f>IF(OR(E1376="",E1376="!!!",F1376="NEW"),"",INDEX(B1375:B$2,-1+SUMPRODUCT(MAX(ROW(E1375:E$2)*(E1376=E1375:E$2)))))</f>
        <v> </v>
      </c>
      <c r="J1376" s="25" t="str">
        <f>IF(OR(E1376="",E1376="!!!",F1376="NEW"),"",COUNTBLANK(OFFSET(A$1,,,SUMPRODUCT(MAX(ROW(E$2:E1376)*(E1376=E$2:E1376)))))-COUNTBLANK(OFFSET(A$1,,,SUMPRODUCT(MAX(ROW(E$1:E1375)*(E2=E$1:E1375))))))</f>
        <v> </v>
      </c>
      <c r="K1376" s="25" t="str">
        <f>IF(OR(E1376="",E1376="!!!",F1376="NEW"),"",INDEX(J$1:J1375,SUMPRODUCT(MAX(ROW(E$1:E1375)*(E1376=E$1:E1375)))))</f>
        <v> </v>
      </c>
      <c r="L1376" s="26"/>
    </row>
    <row r="1377" spans="1:12">
      <c r="A1377" s="20" t="s">
        <v>710</v>
      </c>
      <c r="B1377" s="27" t="s">
        <v>670</v>
      </c>
      <c r="C1377" s="27" t="s">
        <v>614</v>
      </c>
      <c r="D1377" s="27" t="s">
        <v>608</v>
      </c>
      <c r="E1377" s="21">
        <f>IF(D1377="?OLD","!!!","")</f>
        <v/>
      </c>
      <c r="F1377" s="22" t="str">
        <f>IF(OR(E1377="",E1377="!!!"),"",IF(NOT(ISNA(VLOOKUP(E1377,E$1:E1376,1,FALSE()))),"OLD",IF(AND(E1377&lt;&gt;"",E1377&lt;&gt;"!!!"),"NEW","")))</f>
        <v> </v>
      </c>
      <c r="G1377" s="23" t="str">
        <f>IF(OR(E1377="",E1377="!!!"),"",IF(OR(J1377=0,AND(J1377=1,K1377=1),AND(J1377=1,I1377="SBJ"),AND(J1377=1,I1377=0)),"?IN_FOCUS",IF(J1377&lt;=2,"?ACTIVATED",IF(J1377&lt;&gt;"","?FAMILIAR",IF(F1377="NEW",IF(ISNA(VLOOKUP(E1377,#REF!,1,FALSE())),"?TYPE_IDENTIFIABLE","?REFERENTIAL"),"_")))))</f>
        <v> </v>
      </c>
      <c r="H1377" s="24" t="str">
        <f>IF(J1377&lt;&gt;1,"",IF(I1377="SBJ","CB","?"))</f>
        <v> </v>
      </c>
      <c r="I1377" s="25" t="str">
        <f>IF(OR(E1377="",E1377="!!!",F1377="NEW"),"",INDEX(B1376:B$2,-1+SUMPRODUCT(MAX(ROW(E1376:E$2)*(E1377=E1376:E$2)))))</f>
        <v> </v>
      </c>
      <c r="J1377" s="25" t="str">
        <f>IF(OR(E1377="",E1377="!!!",F1377="NEW"),"",COUNTBLANK(OFFSET(A$1,,,SUMPRODUCT(MAX(ROW(E$2:E1377)*(E1377=E$2:E1377)))))-COUNTBLANK(OFFSET(A$1,,,SUMPRODUCT(MAX(ROW(E$1:E1376)*(E2=E$1:E1376))))))</f>
        <v> </v>
      </c>
      <c r="K1377" s="25" t="str">
        <f>IF(OR(E1377="",E1377="!!!",F1377="NEW"),"",INDEX(J$1:J1376,SUMPRODUCT(MAX(ROW(E$1:E1376)*(E1377=E$1:E1376)))))</f>
        <v> </v>
      </c>
      <c r="L1377" s="26"/>
    </row>
    <row r="1378" spans="1:12">
      <c r="A1378" s="20" t="s">
        <v>996</v>
      </c>
      <c r="B1378" s="27" t="s">
        <v>664</v>
      </c>
      <c r="C1378" s="27" t="s">
        <v>616</v>
      </c>
      <c r="D1378" s="27" t="s">
        <v>608</v>
      </c>
      <c r="E1378" s="21">
        <f>IF(D1378="?OLD","!!!","")</f>
        <v/>
      </c>
      <c r="F1378" s="22" t="str">
        <f>IF(OR(E1378="",E1378="!!!"),"",IF(NOT(ISNA(VLOOKUP(E1378,E$1:E1377,1,FALSE()))),"OLD",IF(AND(E1378&lt;&gt;"",E1378&lt;&gt;"!!!"),"NEW","")))</f>
        <v> </v>
      </c>
      <c r="G1378" s="23" t="str">
        <f>IF(OR(E1378="",E1378="!!!"),"",IF(OR(J1378=0,AND(J1378=1,K1378=1),AND(J1378=1,I1378="SBJ"),AND(J1378=1,I1378=0)),"?IN_FOCUS",IF(J1378&lt;=2,"?ACTIVATED",IF(J1378&lt;&gt;"","?FAMILIAR",IF(F1378="NEW",IF(ISNA(VLOOKUP(E1378,#REF!,1,FALSE())),"?TYPE_IDENTIFIABLE","?REFERENTIAL"),"_")))))</f>
        <v> </v>
      </c>
      <c r="H1378" s="24" t="str">
        <f>IF(J1378&lt;&gt;1,"",IF(I1378="SBJ","CB","?"))</f>
        <v> </v>
      </c>
      <c r="I1378" s="25" t="str">
        <f>IF(OR(E1378="",E1378="!!!",F1378="NEW"),"",INDEX(B1377:B$2,-1+SUMPRODUCT(MAX(ROW(E1377:E$2)*(E1378=E1377:E$2)))))</f>
        <v> </v>
      </c>
      <c r="J1378" s="25" t="str">
        <f>IF(OR(E1378="",E1378="!!!",F1378="NEW"),"",COUNTBLANK(OFFSET(A$1,,,SUMPRODUCT(MAX(ROW(E$2:E1378)*(E1378=E$2:E1378)))))-COUNTBLANK(OFFSET(A$1,,,SUMPRODUCT(MAX(ROW(E$1:E1377)*(E2=E$1:E1377))))))</f>
        <v> </v>
      </c>
      <c r="K1378" s="25" t="str">
        <f>IF(OR(E1378="",E1378="!!!",F1378="NEW"),"",INDEX(J$1:J1377,SUMPRODUCT(MAX(ROW(E$1:E1377)*(E1378=E$1:E1377)))))</f>
        <v> </v>
      </c>
      <c r="L1378" s="26"/>
    </row>
    <row r="1379" spans="1:12">
      <c r="A1379" s="20" t="s">
        <v>1200</v>
      </c>
      <c r="E1379" s="21">
        <f>IF(D1379="?OLD","!!!","")</f>
        <v/>
      </c>
      <c r="F1379" s="22" t="str">
        <f>IF(OR(E1379="",E1379="!!!"),"",IF(NOT(ISNA(VLOOKUP(E1379,E$1:E1378,1,FALSE()))),"OLD",IF(AND(E1379&lt;&gt;"",E1379&lt;&gt;"!!!"),"NEW","")))</f>
        <v> </v>
      </c>
      <c r="G1379" s="23" t="str">
        <f>IF(OR(E1379="",E1379="!!!"),"",IF(OR(J1379=0,AND(J1379=1,K1379=1),AND(J1379=1,I1379="SBJ"),AND(J1379=1,I1379=0)),"?IN_FOCUS",IF(J1379&lt;=2,"?ACTIVATED",IF(J1379&lt;&gt;"","?FAMILIAR",IF(F1379="NEW",IF(ISNA(VLOOKUP(E1379,#REF!,1,FALSE())),"?TYPE_IDENTIFIABLE","?REFERENTIAL"),"_")))))</f>
        <v> </v>
      </c>
      <c r="H1379" s="24" t="str">
        <f>IF(J1379&lt;&gt;1,"",IF(I1379="SBJ","CB","?"))</f>
        <v> </v>
      </c>
      <c r="I1379" s="25" t="str">
        <f>IF(OR(E1379="",E1379="!!!",F1379="NEW"),"",INDEX(B1378:B$2,-1+SUMPRODUCT(MAX(ROW(E1378:E$2)*(E1379=E1378:E$2)))))</f>
        <v> </v>
      </c>
      <c r="J1379" s="25" t="str">
        <f>IF(OR(E1379="",E1379="!!!",F1379="NEW"),"",COUNTBLANK(OFFSET(A$1,,,SUMPRODUCT(MAX(ROW(E$2:E1379)*(E1379=E$2:E1379)))))-COUNTBLANK(OFFSET(A$1,,,SUMPRODUCT(MAX(ROW(E$1:E1378)*(E2=E$1:E1378))))))</f>
        <v> </v>
      </c>
      <c r="K1379" s="25" t="str">
        <f>IF(OR(E1379="",E1379="!!!",F1379="NEW"),"",INDEX(J$1:J1378,SUMPRODUCT(MAX(ROW(E$1:E1378)*(E1379=E$1:E1378)))))</f>
        <v> </v>
      </c>
      <c r="L1379" s="26"/>
    </row>
    <row r="1380" spans="1:12">
      <c r="A1380" s="20" t="s">
        <v>617</v>
      </c>
      <c r="E1380" s="21">
        <f>IF(D1380="?OLD","!!!","")</f>
        <v/>
      </c>
      <c r="F1380" s="22" t="str">
        <f>IF(OR(E1380="",E1380="!!!"),"",IF(NOT(ISNA(VLOOKUP(E1380,E$1:E1379,1,FALSE()))),"OLD",IF(AND(E1380&lt;&gt;"",E1380&lt;&gt;"!!!"),"NEW","")))</f>
        <v> </v>
      </c>
      <c r="G1380" s="23" t="str">
        <f>IF(OR(E1380="",E1380="!!!"),"",IF(OR(J1380=0,AND(J1380=1,K1380=1),AND(J1380=1,I1380="SBJ"),AND(J1380=1,I1380=0)),"?IN_FOCUS",IF(J1380&lt;=2,"?ACTIVATED",IF(J1380&lt;&gt;"","?FAMILIAR",IF(F1380="NEW",IF(ISNA(VLOOKUP(E1380,#REF!,1,FALSE())),"?TYPE_IDENTIFIABLE","?REFERENTIAL"),"_")))))</f>
        <v> </v>
      </c>
      <c r="H1380" s="24" t="str">
        <f>IF(J1380&lt;&gt;1,"",IF(I1380="SBJ","CB","?"))</f>
        <v> </v>
      </c>
      <c r="I1380" s="25" t="str">
        <f>IF(OR(E1380="",E1380="!!!",F1380="NEW"),"",INDEX(B1379:B$2,-1+SUMPRODUCT(MAX(ROW(E1379:E$2)*(E1380=E1379:E$2)))))</f>
        <v> </v>
      </c>
      <c r="J1380" s="25" t="str">
        <f>IF(OR(E1380="",E1380="!!!",F1380="NEW"),"",COUNTBLANK(OFFSET(A$1,,,SUMPRODUCT(MAX(ROW(E$2:E1380)*(E1380=E$2:E1380)))))-COUNTBLANK(OFFSET(A$1,,,SUMPRODUCT(MAX(ROW(E$1:E1379)*(E2=E$1:E1379))))))</f>
        <v> </v>
      </c>
      <c r="K1380" s="25" t="str">
        <f>IF(OR(E1380="",E1380="!!!",F1380="NEW"),"",INDEX(J$1:J1379,SUMPRODUCT(MAX(ROW(E$1:E1379)*(E1380=E$1:E1379)))))</f>
        <v> </v>
      </c>
      <c r="L1380" s="26"/>
    </row>
    <row r="1381" spans="1:12">
      <c r="A1381" s="20" t="s">
        <v>1201</v>
      </c>
      <c r="B1381" s="27" t="s">
        <v>611</v>
      </c>
      <c r="C1381" s="27" t="s">
        <v>1202</v>
      </c>
      <c r="D1381" s="27" t="s">
        <v>608</v>
      </c>
      <c r="E1381" s="21">
        <f>IF(D1381="?OLD","!!!","")</f>
        <v/>
      </c>
      <c r="F1381" s="22" t="str">
        <f>IF(OR(E1381="",E1381="!!!"),"",IF(NOT(ISNA(VLOOKUP(E1381,E$1:E1380,1,FALSE()))),"OLD",IF(AND(E1381&lt;&gt;"",E1381&lt;&gt;"!!!"),"NEW","")))</f>
        <v> </v>
      </c>
      <c r="G1381" s="23" t="str">
        <f>IF(OR(E1381="",E1381="!!!"),"",IF(OR(J1381=0,AND(J1381=1,K1381=1),AND(J1381=1,I1381="SBJ"),AND(J1381=1,I1381=0)),"?IN_FOCUS",IF(J1381&lt;=2,"?ACTIVATED",IF(J1381&lt;&gt;"","?FAMILIAR",IF(F1381="NEW",IF(ISNA(VLOOKUP(E1381,#REF!,1,FALSE())),"?TYPE_IDENTIFIABLE","?REFERENTIAL"),"_")))))</f>
        <v> </v>
      </c>
      <c r="H1381" s="24" t="str">
        <f>IF(J1381&lt;&gt;1,"",IF(I1381="SBJ","CB","?"))</f>
        <v> </v>
      </c>
      <c r="I1381" s="25" t="str">
        <f>IF(OR(E1381="",E1381="!!!",F1381="NEW"),"",INDEX(B1380:B$2,-1+SUMPRODUCT(MAX(ROW(E1380:E$2)*(E1381=E1380:E$2)))))</f>
        <v> </v>
      </c>
      <c r="J1381" s="25" t="str">
        <f>IF(OR(E1381="",E1381="!!!",F1381="NEW"),"",COUNTBLANK(OFFSET(A$1,,,SUMPRODUCT(MAX(ROW(E$2:E1381)*(E1381=E$2:E1381)))))-COUNTBLANK(OFFSET(A$1,,,SUMPRODUCT(MAX(ROW(E$1:E1380)*(E2=E$1:E1380))))))</f>
        <v> </v>
      </c>
      <c r="K1381" s="25" t="str">
        <f>IF(OR(E1381="",E1381="!!!",F1381="NEW"),"",INDEX(J$1:J1380,SUMPRODUCT(MAX(ROW(E$1:E1380)*(E1381=E$1:E1380)))))</f>
        <v> </v>
      </c>
      <c r="L1381" s="26"/>
    </row>
    <row r="1382" spans="1:12">
      <c r="A1382" s="20" t="s">
        <v>1203</v>
      </c>
      <c r="E1382" s="21">
        <f>IF(D1382="?OLD","!!!","")</f>
        <v/>
      </c>
      <c r="F1382" s="22" t="str">
        <f>IF(OR(E1382="",E1382="!!!"),"",IF(NOT(ISNA(VLOOKUP(E1382,E$1:E1381,1,FALSE()))),"OLD",IF(AND(E1382&lt;&gt;"",E1382&lt;&gt;"!!!"),"NEW","")))</f>
        <v> </v>
      </c>
      <c r="G1382" s="23" t="str">
        <f>IF(OR(E1382="",E1382="!!!"),"",IF(OR(J1382=0,AND(J1382=1,K1382=1),AND(J1382=1,I1382="SBJ"),AND(J1382=1,I1382=0)),"?IN_FOCUS",IF(J1382&lt;=2,"?ACTIVATED",IF(J1382&lt;&gt;"","?FAMILIAR",IF(F1382="NEW",IF(ISNA(VLOOKUP(E1382,#REF!,1,FALSE())),"?TYPE_IDENTIFIABLE","?REFERENTIAL"),"_")))))</f>
        <v> </v>
      </c>
      <c r="H1382" s="24" t="str">
        <f>IF(J1382&lt;&gt;1,"",IF(I1382="SBJ","CB","?"))</f>
        <v> </v>
      </c>
      <c r="I1382" s="25" t="str">
        <f>IF(OR(E1382="",E1382="!!!",F1382="NEW"),"",INDEX(B1381:B$2,-1+SUMPRODUCT(MAX(ROW(E1381:E$2)*(E1382=E1381:E$2)))))</f>
        <v> </v>
      </c>
      <c r="J1382" s="25" t="str">
        <f>IF(OR(E1382="",E1382="!!!",F1382="NEW"),"",COUNTBLANK(OFFSET(A$1,,,SUMPRODUCT(MAX(ROW(E$2:E1382)*(E1382=E$2:E1382)))))-COUNTBLANK(OFFSET(A$1,,,SUMPRODUCT(MAX(ROW(E$1:E1381)*(E2=E$1:E1381))))))</f>
        <v> </v>
      </c>
      <c r="K1382" s="25" t="str">
        <f>IF(OR(E1382="",E1382="!!!",F1382="NEW"),"",INDEX(J$1:J1381,SUMPRODUCT(MAX(ROW(E$1:E1381)*(E1382=E$1:E1381)))))</f>
        <v> </v>
      </c>
      <c r="L1382" s="26"/>
    </row>
    <row r="1383" spans="1:12">
      <c r="A1383" s="20" t="s">
        <v>617</v>
      </c>
      <c r="E1383" s="21">
        <f>IF(D1383="?OLD","!!!","")</f>
        <v/>
      </c>
      <c r="F1383" s="22" t="str">
        <f>IF(OR(E1383="",E1383="!!!"),"",IF(NOT(ISNA(VLOOKUP(E1383,E$1:E1382,1,FALSE()))),"OLD",IF(AND(E1383&lt;&gt;"",E1383&lt;&gt;"!!!"),"NEW","")))</f>
        <v> </v>
      </c>
      <c r="G1383" s="23" t="str">
        <f>IF(OR(E1383="",E1383="!!!"),"",IF(OR(J1383=0,AND(J1383=1,K1383=1),AND(J1383=1,I1383="SBJ"),AND(J1383=1,I1383=0)),"?IN_FOCUS",IF(J1383&lt;=2,"?ACTIVATED",IF(J1383&lt;&gt;"","?FAMILIAR",IF(F1383="NEW",IF(ISNA(VLOOKUP(E1383,#REF!,1,FALSE())),"?TYPE_IDENTIFIABLE","?REFERENTIAL"),"_")))))</f>
        <v> </v>
      </c>
      <c r="H1383" s="24" t="str">
        <f>IF(J1383&lt;&gt;1,"",IF(I1383="SBJ","CB","?"))</f>
        <v> </v>
      </c>
      <c r="I1383" s="25" t="str">
        <f>IF(OR(E1383="",E1383="!!!",F1383="NEW"),"",INDEX(B1382:B$2,-1+SUMPRODUCT(MAX(ROW(E1382:E$2)*(E1383=E1382:E$2)))))</f>
        <v> </v>
      </c>
      <c r="J1383" s="25" t="str">
        <f>IF(OR(E1383="",E1383="!!!",F1383="NEW"),"",COUNTBLANK(OFFSET(A$1,,,SUMPRODUCT(MAX(ROW(E$2:E1383)*(E1383=E$2:E1383)))))-COUNTBLANK(OFFSET(A$1,,,SUMPRODUCT(MAX(ROW(E$1:E1382)*(E2=E$1:E1382))))))</f>
        <v> </v>
      </c>
      <c r="K1383" s="25" t="str">
        <f>IF(OR(E1383="",E1383="!!!",F1383="NEW"),"",INDEX(J$1:J1382,SUMPRODUCT(MAX(ROW(E$1:E1382)*(E1383=E$1:E1382)))))</f>
        <v> </v>
      </c>
      <c r="L1383" s="26"/>
    </row>
    <row r="1384" spans="1:12">
      <c r="A1384" s="20" t="s">
        <v>872</v>
      </c>
      <c r="B1384" s="27" t="s">
        <v>657</v>
      </c>
      <c r="E1384" s="21">
        <f>IF(D1384="?OLD","!!!","")</f>
        <v/>
      </c>
      <c r="F1384" s="22" t="str">
        <f>IF(OR(E1384="",E1384="!!!"),"",IF(NOT(ISNA(VLOOKUP(E1384,E$1:E1383,1,FALSE()))),"OLD",IF(AND(E1384&lt;&gt;"",E1384&lt;&gt;"!!!"),"NEW","")))</f>
        <v> </v>
      </c>
      <c r="G1384" s="23" t="str">
        <f>IF(OR(E1384="",E1384="!!!"),"",IF(OR(J1384=0,AND(J1384=1,K1384=1),AND(J1384=1,I1384="SBJ"),AND(J1384=1,I1384=0)),"?IN_FOCUS",IF(J1384&lt;=2,"?ACTIVATED",IF(J1384&lt;&gt;"","?FAMILIAR",IF(F1384="NEW",IF(ISNA(VLOOKUP(E1384,#REF!,1,FALSE())),"?TYPE_IDENTIFIABLE","?REFERENTIAL"),"_")))))</f>
        <v> </v>
      </c>
      <c r="H1384" s="24" t="str">
        <f>IF(J1384&lt;&gt;1,"",IF(I1384="SBJ","CB","?"))</f>
        <v> </v>
      </c>
      <c r="I1384" s="25" t="str">
        <f>IF(OR(E1384="",E1384="!!!",F1384="NEW"),"",INDEX(B1383:B$2,-1+SUMPRODUCT(MAX(ROW(E1383:E$2)*(E1384=E1383:E$2)))))</f>
        <v> </v>
      </c>
      <c r="J1384" s="25" t="str">
        <f>IF(OR(E1384="",E1384="!!!",F1384="NEW"),"",COUNTBLANK(OFFSET(A$1,,,SUMPRODUCT(MAX(ROW(E$2:E1384)*(E1384=E$2:E1384)))))-COUNTBLANK(OFFSET(A$1,,,SUMPRODUCT(MAX(ROW(E$1:E1383)*(E2=E$1:E1383))))))</f>
        <v> </v>
      </c>
      <c r="K1384" s="25" t="str">
        <f>IF(OR(E1384="",E1384="!!!",F1384="NEW"),"",INDEX(J$1:J1383,SUMPRODUCT(MAX(ROW(E$1:E1383)*(E1384=E$1:E1383)))))</f>
        <v> </v>
      </c>
      <c r="L1384" s="26"/>
    </row>
    <row r="1385" spans="1:12">
      <c r="A1385" s="20" t="s">
        <v>1204</v>
      </c>
      <c r="E1385" s="21">
        <f>IF(D1385="?OLD","!!!","")</f>
        <v/>
      </c>
      <c r="F1385" s="22" t="str">
        <f>IF(OR(E1385="",E1385="!!!"),"",IF(NOT(ISNA(VLOOKUP(E1385,E$1:E1384,1,FALSE()))),"OLD",IF(AND(E1385&lt;&gt;"",E1385&lt;&gt;"!!!"),"NEW","")))</f>
        <v> </v>
      </c>
      <c r="G1385" s="23" t="str">
        <f>IF(OR(E1385="",E1385="!!!"),"",IF(OR(J1385=0,AND(J1385=1,K1385=1),AND(J1385=1,I1385="SBJ"),AND(J1385=1,I1385=0)),"?IN_FOCUS",IF(J1385&lt;=2,"?ACTIVATED",IF(J1385&lt;&gt;"","?FAMILIAR",IF(F1385="NEW",IF(ISNA(VLOOKUP(E1385,#REF!,1,FALSE())),"?TYPE_IDENTIFIABLE","?REFERENTIAL"),"_")))))</f>
        <v> </v>
      </c>
      <c r="H1385" s="24" t="str">
        <f>IF(J1385&lt;&gt;1,"",IF(I1385="SBJ","CB","?"))</f>
        <v> </v>
      </c>
      <c r="I1385" s="25" t="str">
        <f>IF(OR(E1385="",E1385="!!!",F1385="NEW"),"",INDEX(B1384:B$2,-1+SUMPRODUCT(MAX(ROW(E1384:E$2)*(E1385=E1384:E$2)))))</f>
        <v> </v>
      </c>
      <c r="J1385" s="25" t="str">
        <f>IF(OR(E1385="",E1385="!!!",F1385="NEW"),"",COUNTBLANK(OFFSET(A$1,,,SUMPRODUCT(MAX(ROW(E$2:E1385)*(E1385=E$2:E1385)))))-COUNTBLANK(OFFSET(A$1,,,SUMPRODUCT(MAX(ROW(E$1:E1384)*(E2=E$1:E1384))))))</f>
        <v> </v>
      </c>
      <c r="K1385" s="25" t="str">
        <f>IF(OR(E1385="",E1385="!!!",F1385="NEW"),"",INDEX(J$1:J1384,SUMPRODUCT(MAX(ROW(E$1:E1384)*(E1385=E$1:E1384)))))</f>
        <v> </v>
      </c>
      <c r="L1385" s="26"/>
    </row>
    <row r="1386" spans="1:12">
      <c r="A1386" s="20" t="s">
        <v>759</v>
      </c>
      <c r="E1386" s="21">
        <f>IF(D1386="?OLD","!!!","")</f>
        <v/>
      </c>
      <c r="F1386" s="22" t="str">
        <f>IF(OR(E1386="",E1386="!!!"),"",IF(NOT(ISNA(VLOOKUP(E1386,E$1:E1385,1,FALSE()))),"OLD",IF(AND(E1386&lt;&gt;"",E1386&lt;&gt;"!!!"),"NEW","")))</f>
        <v> </v>
      </c>
      <c r="G1386" s="23" t="str">
        <f>IF(OR(E1386="",E1386="!!!"),"",IF(OR(J1386=0,AND(J1386=1,K1386=1),AND(J1386=1,I1386="SBJ"),AND(J1386=1,I1386=0)),"?IN_FOCUS",IF(J1386&lt;=2,"?ACTIVATED",IF(J1386&lt;&gt;"","?FAMILIAR",IF(F1386="NEW",IF(ISNA(VLOOKUP(E1386,#REF!,1,FALSE())),"?TYPE_IDENTIFIABLE","?REFERENTIAL"),"_")))))</f>
        <v> </v>
      </c>
      <c r="H1386" s="24" t="str">
        <f>IF(J1386&lt;&gt;1,"",IF(I1386="SBJ","CB","?"))</f>
        <v> </v>
      </c>
      <c r="I1386" s="25" t="str">
        <f>IF(OR(E1386="",E1386="!!!",F1386="NEW"),"",INDEX(B1385:B$2,-1+SUMPRODUCT(MAX(ROW(E1385:E$2)*(E1386=E1385:E$2)))))</f>
        <v> </v>
      </c>
      <c r="J1386" s="25" t="str">
        <f>IF(OR(E1386="",E1386="!!!",F1386="NEW"),"",COUNTBLANK(OFFSET(A$1,,,SUMPRODUCT(MAX(ROW(E$2:E1386)*(E1386=E$2:E1386)))))-COUNTBLANK(OFFSET(A$1,,,SUMPRODUCT(MAX(ROW(E$1:E1385)*(E2=E$1:E1385))))))</f>
        <v> </v>
      </c>
      <c r="K1386" s="25" t="str">
        <f>IF(OR(E1386="",E1386="!!!",F1386="NEW"),"",INDEX(J$1:J1385,SUMPRODUCT(MAX(ROW(E$1:E1385)*(E1386=E$1:E1385)))))</f>
        <v> </v>
      </c>
      <c r="L1386" s="26"/>
    </row>
    <row r="1387" spans="1:12">
      <c r="A1387" s="20" t="s">
        <v>603</v>
      </c>
      <c r="E1387" s="21">
        <f>IF(D1387="?OLD","!!!","")</f>
        <v/>
      </c>
      <c r="F1387" s="22" t="str">
        <f>IF(OR(E1387="",E1387="!!!"),"",IF(NOT(ISNA(VLOOKUP(E1387,E$1:E1386,1,FALSE()))),"OLD",IF(AND(E1387&lt;&gt;"",E1387&lt;&gt;"!!!"),"NEW","")))</f>
        <v> </v>
      </c>
      <c r="G1387" s="23" t="str">
        <f>IF(OR(E1387="",E1387="!!!"),"",IF(OR(J1387=0,AND(J1387=1,K1387=1),AND(J1387=1,I1387="SBJ"),AND(J1387=1,I1387=0)),"?IN_FOCUS",IF(J1387&lt;=2,"?ACTIVATED",IF(J1387&lt;&gt;"","?FAMILIAR",IF(F1387="NEW",IF(ISNA(VLOOKUP(E1387,#REF!,1,FALSE())),"?TYPE_IDENTIFIABLE","?REFERENTIAL"),"_")))))</f>
        <v> </v>
      </c>
      <c r="H1387" s="24" t="str">
        <f>IF(J1387&lt;&gt;1,"",IF(I1387="SBJ","CB","?"))</f>
        <v> </v>
      </c>
      <c r="I1387" s="25" t="str">
        <f>IF(OR(E1387="",E1387="!!!",F1387="NEW"),"",INDEX(B1386:B$2,-1+SUMPRODUCT(MAX(ROW(E1386:E$2)*(E1387=E1386:E$2)))))</f>
        <v> </v>
      </c>
      <c r="J1387" s="25" t="str">
        <f>IF(OR(E1387="",E1387="!!!",F1387="NEW"),"",COUNTBLANK(OFFSET(A$1,,,SUMPRODUCT(MAX(ROW(E$2:E1387)*(E1387=E$2:E1387)))))-COUNTBLANK(OFFSET(A$1,,,SUMPRODUCT(MAX(ROW(E$1:E1386)*(E2=E$1:E1386))))))</f>
        <v> </v>
      </c>
      <c r="K1387" s="25" t="str">
        <f>IF(OR(E1387="",E1387="!!!",F1387="NEW"),"",INDEX(J$1:J1386,SUMPRODUCT(MAX(ROW(E$1:E1386)*(E1387=E$1:E1386)))))</f>
        <v> </v>
      </c>
      <c r="L1387" s="26"/>
    </row>
    <row r="1388" spans="1:12">
      <c r="A1388" s="20" t="s">
        <v>1205</v>
      </c>
      <c r="E1388" s="21">
        <f>IF(D1388="?OLD","!!!","")</f>
        <v/>
      </c>
      <c r="F1388" s="22" t="str">
        <f>IF(OR(E1388="",E1388="!!!"),"",IF(NOT(ISNA(VLOOKUP(E1388,E$1:E1387,1,FALSE()))),"OLD",IF(AND(E1388&lt;&gt;"",E1388&lt;&gt;"!!!"),"NEW","")))</f>
        <v> </v>
      </c>
      <c r="G1388" s="23" t="str">
        <f>IF(OR(E1388="",E1388="!!!"),"",IF(OR(J1388=0,AND(J1388=1,K1388=1),AND(J1388=1,I1388="SBJ"),AND(J1388=1,I1388=0)),"?IN_FOCUS",IF(J1388&lt;=2,"?ACTIVATED",IF(J1388&lt;&gt;"","?FAMILIAR",IF(F1388="NEW",IF(ISNA(VLOOKUP(E1388,#REF!,1,FALSE())),"?TYPE_IDENTIFIABLE","?REFERENTIAL"),"_")))))</f>
        <v> </v>
      </c>
      <c r="H1388" s="24" t="str">
        <f>IF(J1388&lt;&gt;1,"",IF(I1388="SBJ","CB","?"))</f>
        <v> </v>
      </c>
      <c r="I1388" s="25" t="str">
        <f>IF(OR(E1388="",E1388="!!!",F1388="NEW"),"",INDEX(B1387:B$2,-1+SUMPRODUCT(MAX(ROW(E1387:E$2)*(E1388=E1387:E$2)))))</f>
        <v> </v>
      </c>
      <c r="J1388" s="25" t="str">
        <f>IF(OR(E1388="",E1388="!!!",F1388="NEW"),"",COUNTBLANK(OFFSET(A$1,,,SUMPRODUCT(MAX(ROW(E$2:E1388)*(E1388=E$2:E1388)))))-COUNTBLANK(OFFSET(A$1,,,SUMPRODUCT(MAX(ROW(E$1:E1387)*(E2=E$1:E1387))))))</f>
        <v> </v>
      </c>
      <c r="K1388" s="25" t="str">
        <f>IF(OR(E1388="",E1388="!!!",F1388="NEW"),"",INDEX(J$1:J1387,SUMPRODUCT(MAX(ROW(E$1:E1387)*(E1388=E$1:E1387)))))</f>
        <v> </v>
      </c>
      <c r="L1388" s="26"/>
    </row>
    <row r="1389" spans="1:12">
      <c r="A1389" s="20" t="s">
        <v>663</v>
      </c>
      <c r="E1389" s="21">
        <f>IF(D1389="?OLD","!!!","")</f>
        <v/>
      </c>
      <c r="F1389" s="22" t="str">
        <f>IF(OR(E1389="",E1389="!!!"),"",IF(NOT(ISNA(VLOOKUP(E1389,E$1:E1388,1,FALSE()))),"OLD",IF(AND(E1389&lt;&gt;"",E1389&lt;&gt;"!!!"),"NEW","")))</f>
        <v> </v>
      </c>
      <c r="G1389" s="23" t="str">
        <f>IF(OR(E1389="",E1389="!!!"),"",IF(OR(J1389=0,AND(J1389=1,K1389=1),AND(J1389=1,I1389="SBJ"),AND(J1389=1,I1389=0)),"?IN_FOCUS",IF(J1389&lt;=2,"?ACTIVATED",IF(J1389&lt;&gt;"","?FAMILIAR",IF(F1389="NEW",IF(ISNA(VLOOKUP(E1389,#REF!,1,FALSE())),"?TYPE_IDENTIFIABLE","?REFERENTIAL"),"_")))))</f>
        <v> </v>
      </c>
      <c r="H1389" s="24" t="str">
        <f>IF(J1389&lt;&gt;1,"",IF(I1389="SBJ","CB","?"))</f>
        <v> </v>
      </c>
      <c r="I1389" s="25" t="str">
        <f>IF(OR(E1389="",E1389="!!!",F1389="NEW"),"",INDEX(B1388:B$2,-1+SUMPRODUCT(MAX(ROW(E1388:E$2)*(E1389=E1388:E$2)))))</f>
        <v> </v>
      </c>
      <c r="J1389" s="25" t="str">
        <f>IF(OR(E1389="",E1389="!!!",F1389="NEW"),"",COUNTBLANK(OFFSET(A$1,,,SUMPRODUCT(MAX(ROW(E$2:E1389)*(E1389=E$2:E1389)))))-COUNTBLANK(OFFSET(A$1,,,SUMPRODUCT(MAX(ROW(E$1:E1388)*(E2=E$1:E1388))))))</f>
        <v> </v>
      </c>
      <c r="K1389" s="25" t="str">
        <f>IF(OR(E1389="",E1389="!!!",F1389="NEW"),"",INDEX(J$1:J1388,SUMPRODUCT(MAX(ROW(E$1:E1388)*(E1389=E$1:E1388)))))</f>
        <v> </v>
      </c>
      <c r="L1389" s="26"/>
    </row>
    <row r="1390" spans="1:12">
      <c r="A1390" s="20" t="s">
        <v>1206</v>
      </c>
      <c r="E1390" s="21">
        <f>IF(D1390="?OLD","!!!","")</f>
        <v/>
      </c>
      <c r="F1390" s="22" t="str">
        <f>IF(OR(E1390="",E1390="!!!"),"",IF(NOT(ISNA(VLOOKUP(E1390,E$1:E1389,1,FALSE()))),"OLD",IF(AND(E1390&lt;&gt;"",E1390&lt;&gt;"!!!"),"NEW","")))</f>
        <v> </v>
      </c>
      <c r="G1390" s="23" t="str">
        <f>IF(OR(E1390="",E1390="!!!"),"",IF(OR(J1390=0,AND(J1390=1,K1390=1),AND(J1390=1,I1390="SBJ"),AND(J1390=1,I1390=0)),"?IN_FOCUS",IF(J1390&lt;=2,"?ACTIVATED",IF(J1390&lt;&gt;"","?FAMILIAR",IF(F1390="NEW",IF(ISNA(VLOOKUP(E1390,#REF!,1,FALSE())),"?TYPE_IDENTIFIABLE","?REFERENTIAL"),"_")))))</f>
        <v> </v>
      </c>
      <c r="H1390" s="24" t="str">
        <f>IF(J1390&lt;&gt;1,"",IF(I1390="SBJ","CB","?"))</f>
        <v> </v>
      </c>
      <c r="I1390" s="25" t="str">
        <f>IF(OR(E1390="",E1390="!!!",F1390="NEW"),"",INDEX(B1389:B$2,-1+SUMPRODUCT(MAX(ROW(E1389:E$2)*(E1390=E1389:E$2)))))</f>
        <v> </v>
      </c>
      <c r="J1390" s="25" t="str">
        <f>IF(OR(E1390="",E1390="!!!",F1390="NEW"),"",COUNTBLANK(OFFSET(A$1,,,SUMPRODUCT(MAX(ROW(E$2:E1390)*(E1390=E$2:E1390)))))-COUNTBLANK(OFFSET(A$1,,,SUMPRODUCT(MAX(ROW(E$1:E1389)*(E2=E$1:E1389))))))</f>
        <v> </v>
      </c>
      <c r="K1390" s="25" t="str">
        <f>IF(OR(E1390="",E1390="!!!",F1390="NEW"),"",INDEX(J$1:J1389,SUMPRODUCT(MAX(ROW(E$1:E1389)*(E1390=E$1:E1389)))))</f>
        <v> </v>
      </c>
      <c r="L1390" s="26"/>
    </row>
    <row r="1391" spans="1:12">
      <c r="A1391" s="20" t="s">
        <v>633</v>
      </c>
      <c r="E1391" s="21">
        <f>IF(D1391="?OLD","!!!","")</f>
        <v/>
      </c>
      <c r="F1391" s="22" t="str">
        <f>IF(OR(E1391="",E1391="!!!"),"",IF(NOT(ISNA(VLOOKUP(E1391,E$1:E1390,1,FALSE()))),"OLD",IF(AND(E1391&lt;&gt;"",E1391&lt;&gt;"!!!"),"NEW","")))</f>
        <v> </v>
      </c>
      <c r="G1391" s="23" t="str">
        <f>IF(OR(E1391="",E1391="!!!"),"",IF(OR(J1391=0,AND(J1391=1,K1391=1),AND(J1391=1,I1391="SBJ"),AND(J1391=1,I1391=0)),"?IN_FOCUS",IF(J1391&lt;=2,"?ACTIVATED",IF(J1391&lt;&gt;"","?FAMILIAR",IF(F1391="NEW",IF(ISNA(VLOOKUP(E1391,#REF!,1,FALSE())),"?TYPE_IDENTIFIABLE","?REFERENTIAL"),"_")))))</f>
        <v> </v>
      </c>
      <c r="H1391" s="24" t="str">
        <f>IF(J1391&lt;&gt;1,"",IF(I1391="SBJ","CB","?"))</f>
        <v> </v>
      </c>
      <c r="I1391" s="25" t="str">
        <f>IF(OR(E1391="",E1391="!!!",F1391="NEW"),"",INDEX(B1390:B$2,-1+SUMPRODUCT(MAX(ROW(E1390:E$2)*(E1391=E1390:E$2)))))</f>
        <v> </v>
      </c>
      <c r="J1391" s="25" t="str">
        <f>IF(OR(E1391="",E1391="!!!",F1391="NEW"),"",COUNTBLANK(OFFSET(A$1,,,SUMPRODUCT(MAX(ROW(E$2:E1391)*(E1391=E$2:E1391)))))-COUNTBLANK(OFFSET(A$1,,,SUMPRODUCT(MAX(ROW(E$1:E1390)*(E2=E$1:E1390))))))</f>
        <v> </v>
      </c>
      <c r="K1391" s="25" t="str">
        <f>IF(OR(E1391="",E1391="!!!",F1391="NEW"),"",INDEX(J$1:J1390,SUMPRODUCT(MAX(ROW(E$1:E1390)*(E1391=E$1:E1390)))))</f>
        <v> </v>
      </c>
      <c r="L1391" s="26"/>
    </row>
    <row r="1392" spans="1:12">
      <c r="A1392" s="20"/>
    </row>
    <row r="1393" spans="1:12">
      <c r="A1393" s="20" t="s">
        <v>1207</v>
      </c>
    </row>
    <row r="1394" spans="1:12">
      <c r="A1394" s="20" t="s">
        <v>769</v>
      </c>
      <c r="B1394" s="27" t="s">
        <v>636</v>
      </c>
      <c r="C1394" s="27" t="s">
        <v>614</v>
      </c>
      <c r="D1394" s="27" t="s">
        <v>608</v>
      </c>
      <c r="E1394" s="21">
        <f>IF(D1394="?OLD","!!!","")</f>
        <v/>
      </c>
      <c r="F1394" s="22" t="str">
        <f>IF(OR(E1394="",E1394="!!!"),"",IF(NOT(ISNA(VLOOKUP(E1394,E$1:E1393,1,FALSE()))),"OLD",IF(AND(E1394&lt;&gt;"",E1394&lt;&gt;"!!!"),"NEW","")))</f>
        <v> </v>
      </c>
      <c r="G1394" s="23" t="str">
        <f>IF(OR(E1394="",E1394="!!!"),"",IF(OR(J1394=0,AND(J1394=1,K1394=1),AND(J1394=1,I1394="SBJ"),AND(J1394=1,I1394=0)),"?IN_FOCUS",IF(J1394&lt;=2,"?ACTIVATED",IF(J1394&lt;&gt;"","?FAMILIAR",IF(F1394="NEW",IF(ISNA(VLOOKUP(E1394,#REF!,1,FALSE())),"?TYPE_IDENTIFIABLE","?REFERENTIAL"),"_")))))</f>
        <v> </v>
      </c>
      <c r="H1394" s="24" t="str">
        <f>IF(J1394&lt;&gt;1,"",IF(I1394="SBJ","CB","?"))</f>
        <v> </v>
      </c>
      <c r="I1394" s="25" t="str">
        <f>IF(OR(E1394="",E1394="!!!",F1394="NEW"),"",INDEX(B1393:B$2,-1+SUMPRODUCT(MAX(ROW(E1393:E$2)*(E1394=E1393:E$2)))))</f>
        <v> </v>
      </c>
      <c r="J1394" s="25" t="str">
        <f>IF(OR(E1394="",E1394="!!!",F1394="NEW"),"",COUNTBLANK(OFFSET(A$1,,,SUMPRODUCT(MAX(ROW(E$2:E1394)*(E1394=E$2:E1394)))))-COUNTBLANK(OFFSET(A$1,,,SUMPRODUCT(MAX(ROW(E$1:E1393)*(E2=E$1:E1393))))))</f>
        <v> </v>
      </c>
      <c r="K1394" s="25" t="str">
        <f>IF(OR(E1394="",E1394="!!!",F1394="NEW"),"",INDEX(J$1:J1393,SUMPRODUCT(MAX(ROW(E$1:E1393)*(E1394=E$1:E1393)))))</f>
        <v> </v>
      </c>
      <c r="L1394" s="26"/>
    </row>
    <row r="1395" spans="1:12">
      <c r="A1395" s="20" t="s">
        <v>18</v>
      </c>
      <c r="E1395" s="21">
        <f>IF(D1395="?OLD","!!!","")</f>
        <v/>
      </c>
      <c r="F1395" s="22" t="str">
        <f>IF(OR(E1395="",E1395="!!!"),"",IF(NOT(ISNA(VLOOKUP(E1395,E$1:E1394,1,FALSE()))),"OLD",IF(AND(E1395&lt;&gt;"",E1395&lt;&gt;"!!!"),"NEW","")))</f>
        <v> </v>
      </c>
      <c r="G1395" s="23" t="str">
        <f>IF(OR(E1395="",E1395="!!!"),"",IF(OR(J1395=0,AND(J1395=1,K1395=1),AND(J1395=1,I1395="SBJ"),AND(J1395=1,I1395=0)),"?IN_FOCUS",IF(J1395&lt;=2,"?ACTIVATED",IF(J1395&lt;&gt;"","?FAMILIAR",IF(F1395="NEW",IF(ISNA(VLOOKUP(E1395,#REF!,1,FALSE())),"?TYPE_IDENTIFIABLE","?REFERENTIAL"),"_")))))</f>
        <v> </v>
      </c>
      <c r="H1395" s="24" t="str">
        <f>IF(J1395&lt;&gt;1,"",IF(I1395="SBJ","CB","?"))</f>
        <v> </v>
      </c>
      <c r="I1395" s="25" t="str">
        <f>IF(OR(E1395="",E1395="!!!",F1395="NEW"),"",INDEX(B1394:B$2,-1+SUMPRODUCT(MAX(ROW(E1394:E$2)*(E1395=E1394:E$2)))))</f>
        <v> </v>
      </c>
      <c r="J1395" s="25" t="str">
        <f>IF(OR(E1395="",E1395="!!!",F1395="NEW"),"",COUNTBLANK(OFFSET(A$1,,,SUMPRODUCT(MAX(ROW(E$2:E1395)*(E1395=E$2:E1395)))))-COUNTBLANK(OFFSET(A$1,,,SUMPRODUCT(MAX(ROW(E$1:E1394)*(E2=E$1:E1394))))))</f>
        <v> </v>
      </c>
      <c r="K1395" s="25" t="str">
        <f>IF(OR(E1395="",E1395="!!!",F1395="NEW"),"",INDEX(J$1:J1394,SUMPRODUCT(MAX(ROW(E$1:E1394)*(E1395=E$1:E1394)))))</f>
        <v> </v>
      </c>
      <c r="L1395" s="26"/>
    </row>
    <row r="1396" spans="1:12">
      <c r="A1396" s="20" t="s">
        <v>1208</v>
      </c>
      <c r="E1396" s="21">
        <f>IF(D1396="?OLD","!!!","")</f>
        <v/>
      </c>
      <c r="F1396" s="22" t="str">
        <f>IF(OR(E1396="",E1396="!!!"),"",IF(NOT(ISNA(VLOOKUP(E1396,E$1:E1395,1,FALSE()))),"OLD",IF(AND(E1396&lt;&gt;"",E1396&lt;&gt;"!!!"),"NEW","")))</f>
        <v> </v>
      </c>
      <c r="G1396" s="23" t="str">
        <f>IF(OR(E1396="",E1396="!!!"),"",IF(OR(J1396=0,AND(J1396=1,K1396=1),AND(J1396=1,I1396="SBJ"),AND(J1396=1,I1396=0)),"?IN_FOCUS",IF(J1396&lt;=2,"?ACTIVATED",IF(J1396&lt;&gt;"","?FAMILIAR",IF(F1396="NEW",IF(ISNA(VLOOKUP(E1396,#REF!,1,FALSE())),"?TYPE_IDENTIFIABLE","?REFERENTIAL"),"_")))))</f>
        <v> </v>
      </c>
      <c r="H1396" s="24" t="str">
        <f>IF(J1396&lt;&gt;1,"",IF(I1396="SBJ","CB","?"))</f>
        <v> </v>
      </c>
      <c r="I1396" s="25" t="str">
        <f>IF(OR(E1396="",E1396="!!!",F1396="NEW"),"",INDEX(B1395:B$2,-1+SUMPRODUCT(MAX(ROW(E1395:E$2)*(E1396=E1395:E$2)))))</f>
        <v> </v>
      </c>
      <c r="J1396" s="25" t="str">
        <f>IF(OR(E1396="",E1396="!!!",F1396="NEW"),"",COUNTBLANK(OFFSET(A$1,,,SUMPRODUCT(MAX(ROW(E$2:E1396)*(E1396=E$2:E1396)))))-COUNTBLANK(OFFSET(A$1,,,SUMPRODUCT(MAX(ROW(E$1:E1395)*(E2=E$1:E1395))))))</f>
        <v> </v>
      </c>
      <c r="K1396" s="25" t="str">
        <f>IF(OR(E1396="",E1396="!!!",F1396="NEW"),"",INDEX(J$1:J1395,SUMPRODUCT(MAX(ROW(E$1:E1395)*(E1396=E$1:E1395)))))</f>
        <v> </v>
      </c>
      <c r="L1396" s="26"/>
    </row>
    <row r="1397" spans="1:12">
      <c r="A1397" s="20" t="s">
        <v>1209</v>
      </c>
      <c r="B1397" s="27" t="s">
        <v>636</v>
      </c>
      <c r="C1397" s="27" t="s">
        <v>631</v>
      </c>
      <c r="D1397" s="27" t="s">
        <v>608</v>
      </c>
      <c r="E1397" s="21">
        <f>IF(D1397="?OLD","!!!","")</f>
        <v/>
      </c>
      <c r="F1397" s="22" t="str">
        <f>IF(OR(E1397="",E1397="!!!"),"",IF(NOT(ISNA(VLOOKUP(E1397,E$1:E1396,1,FALSE()))),"OLD",IF(AND(E1397&lt;&gt;"",E1397&lt;&gt;"!!!"),"NEW","")))</f>
        <v> </v>
      </c>
      <c r="G1397" s="23" t="str">
        <f>IF(OR(E1397="",E1397="!!!"),"",IF(OR(J1397=0,AND(J1397=1,K1397=1),AND(J1397=1,I1397="SBJ"),AND(J1397=1,I1397=0)),"?IN_FOCUS",IF(J1397&lt;=2,"?ACTIVATED",IF(J1397&lt;&gt;"","?FAMILIAR",IF(F1397="NEW",IF(ISNA(VLOOKUP(E1397,#REF!,1,FALSE())),"?TYPE_IDENTIFIABLE","?REFERENTIAL"),"_")))))</f>
        <v> </v>
      </c>
      <c r="H1397" s="24" t="str">
        <f>IF(J1397&lt;&gt;1,"",IF(I1397="SBJ","CB","?"))</f>
        <v> </v>
      </c>
      <c r="I1397" s="25" t="str">
        <f>IF(OR(E1397="",E1397="!!!",F1397="NEW"),"",INDEX(B1396:B$2,-1+SUMPRODUCT(MAX(ROW(E1396:E$2)*(E1397=E1396:E$2)))))</f>
        <v> </v>
      </c>
      <c r="J1397" s="25" t="str">
        <f>IF(OR(E1397="",E1397="!!!",F1397="NEW"),"",COUNTBLANK(OFFSET(A$1,,,SUMPRODUCT(MAX(ROW(E$2:E1397)*(E1397=E$2:E1397)))))-COUNTBLANK(OFFSET(A$1,,,SUMPRODUCT(MAX(ROW(E$1:E1396)*(E2=E$1:E1396))))))</f>
        <v> </v>
      </c>
      <c r="K1397" s="25" t="str">
        <f>IF(OR(E1397="",E1397="!!!",F1397="NEW"),"",INDEX(J$1:J1396,SUMPRODUCT(MAX(ROW(E$1:E1396)*(E1397=E$1:E1396)))))</f>
        <v> </v>
      </c>
      <c r="L1397" s="26"/>
    </row>
    <row r="1398" spans="1:12">
      <c r="A1398" s="20" t="s">
        <v>1210</v>
      </c>
      <c r="E1398" s="21">
        <f>IF(D1398="?OLD","!!!","")</f>
        <v/>
      </c>
      <c r="F1398" s="22" t="str">
        <f>IF(OR(E1398="",E1398="!!!"),"",IF(NOT(ISNA(VLOOKUP(E1398,E$1:E1397,1,FALSE()))),"OLD",IF(AND(E1398&lt;&gt;"",E1398&lt;&gt;"!!!"),"NEW","")))</f>
        <v> </v>
      </c>
      <c r="G1398" s="23" t="str">
        <f>IF(OR(E1398="",E1398="!!!"),"",IF(OR(J1398=0,AND(J1398=1,K1398=1),AND(J1398=1,I1398="SBJ"),AND(J1398=1,I1398=0)),"?IN_FOCUS",IF(J1398&lt;=2,"?ACTIVATED",IF(J1398&lt;&gt;"","?FAMILIAR",IF(F1398="NEW",IF(ISNA(VLOOKUP(E1398,#REF!,1,FALSE())),"?TYPE_IDENTIFIABLE","?REFERENTIAL"),"_")))))</f>
        <v> </v>
      </c>
      <c r="H1398" s="24" t="str">
        <f>IF(J1398&lt;&gt;1,"",IF(I1398="SBJ","CB","?"))</f>
        <v> </v>
      </c>
      <c r="I1398" s="25" t="str">
        <f>IF(OR(E1398="",E1398="!!!",F1398="NEW"),"",INDEX(B1397:B$2,-1+SUMPRODUCT(MAX(ROW(E1397:E$2)*(E1398=E1397:E$2)))))</f>
        <v> </v>
      </c>
      <c r="J1398" s="25" t="str">
        <f>IF(OR(E1398="",E1398="!!!",F1398="NEW"),"",COUNTBLANK(OFFSET(A$1,,,SUMPRODUCT(MAX(ROW(E$2:E1398)*(E1398=E$2:E1398)))))-COUNTBLANK(OFFSET(A$1,,,SUMPRODUCT(MAX(ROW(E$1:E1397)*(E2=E$1:E1397))))))</f>
        <v> </v>
      </c>
      <c r="K1398" s="25" t="str">
        <f>IF(OR(E1398="",E1398="!!!",F1398="NEW"),"",INDEX(J$1:J1397,SUMPRODUCT(MAX(ROW(E$1:E1397)*(E1398=E$1:E1397)))))</f>
        <v> </v>
      </c>
      <c r="L1398" s="26"/>
    </row>
    <row r="1399" spans="1:12">
      <c r="A1399" s="20" t="s">
        <v>1211</v>
      </c>
      <c r="E1399" s="21">
        <f>IF(D1399="?OLD","!!!","")</f>
        <v/>
      </c>
      <c r="F1399" s="22" t="str">
        <f>IF(OR(E1399="",E1399="!!!"),"",IF(NOT(ISNA(VLOOKUP(E1399,E$1:E1398,1,FALSE()))),"OLD",IF(AND(E1399&lt;&gt;"",E1399&lt;&gt;"!!!"),"NEW","")))</f>
        <v> </v>
      </c>
      <c r="G1399" s="23" t="str">
        <f>IF(OR(E1399="",E1399="!!!"),"",IF(OR(J1399=0,AND(J1399=1,K1399=1),AND(J1399=1,I1399="SBJ"),AND(J1399=1,I1399=0)),"?IN_FOCUS",IF(J1399&lt;=2,"?ACTIVATED",IF(J1399&lt;&gt;"","?FAMILIAR",IF(F1399="NEW",IF(ISNA(VLOOKUP(E1399,#REF!,1,FALSE())),"?TYPE_IDENTIFIABLE","?REFERENTIAL"),"_")))))</f>
        <v> </v>
      </c>
      <c r="H1399" s="24" t="str">
        <f>IF(J1399&lt;&gt;1,"",IF(I1399="SBJ","CB","?"))</f>
        <v> </v>
      </c>
      <c r="I1399" s="25" t="str">
        <f>IF(OR(E1399="",E1399="!!!",F1399="NEW"),"",INDEX(B1398:B$2,-1+SUMPRODUCT(MAX(ROW(E1398:E$2)*(E1399=E1398:E$2)))))</f>
        <v> </v>
      </c>
      <c r="J1399" s="25" t="str">
        <f>IF(OR(E1399="",E1399="!!!",F1399="NEW"),"",COUNTBLANK(OFFSET(A$1,,,SUMPRODUCT(MAX(ROW(E$2:E1399)*(E1399=E$2:E1399)))))-COUNTBLANK(OFFSET(A$1,,,SUMPRODUCT(MAX(ROW(E$1:E1398)*(E2=E$1:E1398))))))</f>
        <v> </v>
      </c>
      <c r="K1399" s="25" t="str">
        <f>IF(OR(E1399="",E1399="!!!",F1399="NEW"),"",INDEX(J$1:J1398,SUMPRODUCT(MAX(ROW(E$1:E1398)*(E1399=E$1:E1398)))))</f>
        <v> </v>
      </c>
      <c r="L1399" s="26"/>
    </row>
    <row r="1400" spans="1:12">
      <c r="A1400" s="20" t="s">
        <v>266</v>
      </c>
      <c r="E1400" s="21">
        <f>IF(D1400="?OLD","!!!","")</f>
        <v/>
      </c>
      <c r="F1400" s="22" t="str">
        <f>IF(OR(E1400="",E1400="!!!"),"",IF(NOT(ISNA(VLOOKUP(E1400,E$1:E1399,1,FALSE()))),"OLD",IF(AND(E1400&lt;&gt;"",E1400&lt;&gt;"!!!"),"NEW","")))</f>
        <v> </v>
      </c>
      <c r="G1400" s="23" t="str">
        <f>IF(OR(E1400="",E1400="!!!"),"",IF(OR(J1400=0,AND(J1400=1,K1400=1),AND(J1400=1,I1400="SBJ"),AND(J1400=1,I1400=0)),"?IN_FOCUS",IF(J1400&lt;=2,"?ACTIVATED",IF(J1400&lt;&gt;"","?FAMILIAR",IF(F1400="NEW",IF(ISNA(VLOOKUP(E1400,#REF!,1,FALSE())),"?TYPE_IDENTIFIABLE","?REFERENTIAL"),"_")))))</f>
        <v> </v>
      </c>
      <c r="H1400" s="24" t="str">
        <f>IF(J1400&lt;&gt;1,"",IF(I1400="SBJ","CB","?"))</f>
        <v> </v>
      </c>
      <c r="I1400" s="25" t="str">
        <f>IF(OR(E1400="",E1400="!!!",F1400="NEW"),"",INDEX(B1399:B$2,-1+SUMPRODUCT(MAX(ROW(E1399:E$2)*(E1400=E1399:E$2)))))</f>
        <v> </v>
      </c>
      <c r="J1400" s="25" t="str">
        <f>IF(OR(E1400="",E1400="!!!",F1400="NEW"),"",COUNTBLANK(OFFSET(A$1,,,SUMPRODUCT(MAX(ROW(E$2:E1400)*(E1400=E$2:E1400)))))-COUNTBLANK(OFFSET(A$1,,,SUMPRODUCT(MAX(ROW(E$1:E1399)*(E2=E$1:E1399))))))</f>
        <v> </v>
      </c>
      <c r="K1400" s="25" t="str">
        <f>IF(OR(E1400="",E1400="!!!",F1400="NEW"),"",INDEX(J$1:J1399,SUMPRODUCT(MAX(ROW(E$1:E1399)*(E1400=E$1:E1399)))))</f>
        <v> </v>
      </c>
      <c r="L1400" s="26"/>
    </row>
    <row r="1401" spans="1:12">
      <c r="A1401" s="20" t="s">
        <v>633</v>
      </c>
      <c r="E1401" s="21">
        <f>IF(D1401="?OLD","!!!","")</f>
        <v/>
      </c>
      <c r="F1401" s="22" t="str">
        <f>IF(OR(E1401="",E1401="!!!"),"",IF(NOT(ISNA(VLOOKUP(E1401,E$1:E1400,1,FALSE()))),"OLD",IF(AND(E1401&lt;&gt;"",E1401&lt;&gt;"!!!"),"NEW","")))</f>
        <v> </v>
      </c>
      <c r="G1401" s="23" t="str">
        <f>IF(OR(E1401="",E1401="!!!"),"",IF(OR(J1401=0,AND(J1401=1,K1401=1),AND(J1401=1,I1401="SBJ"),AND(J1401=1,I1401=0)),"?IN_FOCUS",IF(J1401&lt;=2,"?ACTIVATED",IF(J1401&lt;&gt;"","?FAMILIAR",IF(F1401="NEW",IF(ISNA(VLOOKUP(E1401,#REF!,1,FALSE())),"?TYPE_IDENTIFIABLE","?REFERENTIAL"),"_")))))</f>
        <v> </v>
      </c>
      <c r="H1401" s="24" t="str">
        <f>IF(J1401&lt;&gt;1,"",IF(I1401="SBJ","CB","?"))</f>
        <v> </v>
      </c>
      <c r="I1401" s="25" t="str">
        <f>IF(OR(E1401="",E1401="!!!",F1401="NEW"),"",INDEX(B1400:B$2,-1+SUMPRODUCT(MAX(ROW(E1400:E$2)*(E1401=E1400:E$2)))))</f>
        <v> </v>
      </c>
      <c r="J1401" s="25" t="str">
        <f>IF(OR(E1401="",E1401="!!!",F1401="NEW"),"",COUNTBLANK(OFFSET(A$1,,,SUMPRODUCT(MAX(ROW(E$2:E1401)*(E1401=E$2:E1401)))))-COUNTBLANK(OFFSET(A$1,,,SUMPRODUCT(MAX(ROW(E$1:E1400)*(E2=E$1:E1400))))))</f>
        <v> </v>
      </c>
      <c r="K1401" s="25" t="str">
        <f>IF(OR(E1401="",E1401="!!!",F1401="NEW"),"",INDEX(J$1:J1400,SUMPRODUCT(MAX(ROW(E$1:E1400)*(E1401=E$1:E1400)))))</f>
        <v> </v>
      </c>
      <c r="L1401" s="26"/>
    </row>
    <row r="1402" spans="1:12">
      <c r="A1402" s="20"/>
    </row>
    <row r="1403" spans="1:12">
      <c r="A1403" s="20" t="s">
        <v>1212</v>
      </c>
      <c r="E1403" s="21">
        <f>IF(D1403="?OLD","!!!","")</f>
        <v/>
      </c>
      <c r="F1403" s="22" t="str">
        <f>IF(OR(E1403="",E1403="!!!"),"",IF(NOT(ISNA(VLOOKUP(E1403,E$1:E1402,1,FALSE()))),"OLD",IF(AND(E1403&lt;&gt;"",E1403&lt;&gt;"!!!"),"NEW","")))</f>
        <v> </v>
      </c>
      <c r="G1403" s="23" t="str">
        <f>IF(OR(E1403="",E1403="!!!"),"",IF(OR(J1403=0,AND(J1403=1,K1403=1),AND(J1403=1,I1403="SBJ"),AND(J1403=1,I1403=0)),"?IN_FOCUS",IF(J1403&lt;=2,"?ACTIVATED",IF(J1403&lt;&gt;"","?FAMILIAR",IF(F1403="NEW",IF(ISNA(VLOOKUP(E1403,#REF!,1,FALSE())),"?TYPE_IDENTIFIABLE","?REFERENTIAL"),"_")))))</f>
        <v> </v>
      </c>
      <c r="H1403" s="24" t="str">
        <f>IF(J1403&lt;&gt;1,"",IF(I1403="SBJ","CB","?"))</f>
        <v> </v>
      </c>
      <c r="I1403" s="25" t="str">
        <f>IF(OR(E1403="",E1403="!!!",F1403="NEW"),"",INDEX(B1402:B$2,-1+SUMPRODUCT(MAX(ROW(E1402:E$2)*(E1403=E1402:E$2)))))</f>
        <v> </v>
      </c>
      <c r="J1403" s="25" t="str">
        <f>IF(OR(E1403="",E1403="!!!",F1403="NEW"),"",COUNTBLANK(OFFSET(A$1,,,SUMPRODUCT(MAX(ROW(E$2:E1403)*(E1403=E$2:E1403)))))-COUNTBLANK(OFFSET(A$1,,,SUMPRODUCT(MAX(ROW(E$1:E1402)*(E2=E$1:E1402))))))</f>
        <v> </v>
      </c>
      <c r="K1403" s="25" t="str">
        <f>IF(OR(E1403="",E1403="!!!",F1403="NEW"),"",INDEX(J$1:J1402,SUMPRODUCT(MAX(ROW(E$1:E1402)*(E1403=E$1:E1402)))))</f>
        <v> </v>
      </c>
      <c r="L1403" s="26"/>
    </row>
    <row r="1404" spans="1:12">
      <c r="A1404" s="20" t="s">
        <v>1213</v>
      </c>
    </row>
    <row r="1405" spans="1:12">
      <c r="A1405" s="20" t="s">
        <v>635</v>
      </c>
      <c r="B1405" s="27" t="s">
        <v>636</v>
      </c>
      <c r="C1405" s="27" t="s">
        <v>637</v>
      </c>
      <c r="D1405" s="27" t="s">
        <v>608</v>
      </c>
      <c r="E1405" s="21">
        <f>IF(D1405="?OLD","!!!","")</f>
        <v/>
      </c>
      <c r="F1405" s="22" t="str">
        <f>IF(OR(E1405="",E1405="!!!"),"",IF(NOT(ISNA(VLOOKUP(E1405,E$1:E1404,1,FALSE()))),"OLD",IF(AND(E1405&lt;&gt;"",E1405&lt;&gt;"!!!"),"NEW","")))</f>
        <v> </v>
      </c>
      <c r="G1405" s="23" t="str">
        <f>IF(OR(E1405="",E1405="!!!"),"",IF(OR(J1405=0,AND(J1405=1,K1405=1),AND(J1405=1,I1405="SBJ"),AND(J1405=1,I1405=0)),"?IN_FOCUS",IF(J1405&lt;=2,"?ACTIVATED",IF(J1405&lt;&gt;"","?FAMILIAR",IF(F1405="NEW",IF(ISNA(VLOOKUP(E1405,#REF!,1,FALSE())),"?TYPE_IDENTIFIABLE","?REFERENTIAL"),"_")))))</f>
        <v> </v>
      </c>
      <c r="H1405" s="24" t="str">
        <f>IF(J1405&lt;&gt;1,"",IF(I1405="SBJ","CB","?"))</f>
        <v> </v>
      </c>
      <c r="I1405" s="25" t="str">
        <f>IF(OR(E1405="",E1405="!!!",F1405="NEW"),"",INDEX(B1404:B$2,-1+SUMPRODUCT(MAX(ROW(E1404:E$2)*(E1405=E1404:E$2)))))</f>
        <v> </v>
      </c>
      <c r="J1405" s="25" t="str">
        <f>IF(OR(E1405="",E1405="!!!",F1405="NEW"),"",COUNTBLANK(OFFSET(A$1,,,SUMPRODUCT(MAX(ROW(E$2:E1405)*(E1405=E$2:E1405)))))-COUNTBLANK(OFFSET(A$1,,,SUMPRODUCT(MAX(ROW(E$1:E1404)*(E2=E$1:E1404))))))</f>
        <v> </v>
      </c>
      <c r="K1405" s="25" t="str">
        <f>IF(OR(E1405="",E1405="!!!",F1405="NEW"),"",INDEX(J$1:J1404,SUMPRODUCT(MAX(ROW(E$1:E1404)*(E1405=E$1:E1404)))))</f>
        <v> </v>
      </c>
      <c r="L1405" s="26"/>
    </row>
    <row r="1406" spans="1:12">
      <c r="A1406" s="20" t="s">
        <v>486</v>
      </c>
      <c r="E1406" s="21">
        <f>IF(D1406="?OLD","!!!","")</f>
        <v/>
      </c>
      <c r="F1406" s="22" t="str">
        <f>IF(OR(E1406="",E1406="!!!"),"",IF(NOT(ISNA(VLOOKUP(E1406,E$1:E1405,1,FALSE()))),"OLD",IF(AND(E1406&lt;&gt;"",E1406&lt;&gt;"!!!"),"NEW","")))</f>
        <v> </v>
      </c>
      <c r="G1406" s="23" t="str">
        <f>IF(OR(E1406="",E1406="!!!"),"",IF(OR(J1406=0,AND(J1406=1,K1406=1),AND(J1406=1,I1406="SBJ"),AND(J1406=1,I1406=0)),"?IN_FOCUS",IF(J1406&lt;=2,"?ACTIVATED",IF(J1406&lt;&gt;"","?FAMILIAR",IF(F1406="NEW",IF(ISNA(VLOOKUP(E1406,#REF!,1,FALSE())),"?TYPE_IDENTIFIABLE","?REFERENTIAL"),"_")))))</f>
        <v> </v>
      </c>
      <c r="H1406" s="24" t="str">
        <f>IF(J1406&lt;&gt;1,"",IF(I1406="SBJ","CB","?"))</f>
        <v> </v>
      </c>
      <c r="I1406" s="25" t="str">
        <f>IF(OR(E1406="",E1406="!!!",F1406="NEW"),"",INDEX(B1405:B$2,-1+SUMPRODUCT(MAX(ROW(E1405:E$2)*(E1406=E1405:E$2)))))</f>
        <v> </v>
      </c>
      <c r="J1406" s="25" t="str">
        <f>IF(OR(E1406="",E1406="!!!",F1406="NEW"),"",COUNTBLANK(OFFSET(A$1,,,SUMPRODUCT(MAX(ROW(E$2:E1406)*(E1406=E$2:E1406)))))-COUNTBLANK(OFFSET(A$1,,,SUMPRODUCT(MAX(ROW(E$1:E1405)*(E2=E$1:E1405))))))</f>
        <v> </v>
      </c>
      <c r="K1406" s="25" t="str">
        <f>IF(OR(E1406="",E1406="!!!",F1406="NEW"),"",INDEX(J$1:J1405,SUMPRODUCT(MAX(ROW(E$1:E1405)*(E1406=E$1:E1405)))))</f>
        <v> </v>
      </c>
      <c r="L1406" s="26"/>
    </row>
    <row r="1407" spans="1:12">
      <c r="A1407" s="20" t="s">
        <v>621</v>
      </c>
      <c r="B1407" s="27" t="s">
        <v>619</v>
      </c>
      <c r="C1407" s="27" t="s">
        <v>622</v>
      </c>
      <c r="E1407" s="21">
        <f>IF(D1407="?OLD","!!!","")</f>
        <v/>
      </c>
      <c r="F1407" s="22" t="str">
        <f>IF(OR(E1407="",E1407="!!!"),"",IF(NOT(ISNA(VLOOKUP(E1407,E$1:E1406,1,FALSE()))),"OLD",IF(AND(E1407&lt;&gt;"",E1407&lt;&gt;"!!!"),"NEW","")))</f>
        <v> </v>
      </c>
      <c r="G1407" s="23" t="str">
        <f>IF(OR(E1407="",E1407="!!!"),"",IF(OR(J1407=0,AND(J1407=1,K1407=1),AND(J1407=1,I1407="SBJ"),AND(J1407=1,I1407=0)),"?IN_FOCUS",IF(J1407&lt;=2,"?ACTIVATED",IF(J1407&lt;&gt;"","?FAMILIAR",IF(F1407="NEW",IF(ISNA(VLOOKUP(E1407,#REF!,1,FALSE())),"?TYPE_IDENTIFIABLE","?REFERENTIAL"),"_")))))</f>
        <v> </v>
      </c>
      <c r="H1407" s="24" t="str">
        <f>IF(J1407&lt;&gt;1,"",IF(I1407="SBJ","CB","?"))</f>
        <v> </v>
      </c>
      <c r="I1407" s="25" t="str">
        <f>IF(OR(E1407="",E1407="!!!",F1407="NEW"),"",INDEX(B1406:B$2,-1+SUMPRODUCT(MAX(ROW(E1406:E$2)*(E1407=E1406:E$2)))))</f>
        <v> </v>
      </c>
      <c r="J1407" s="25" t="str">
        <f>IF(OR(E1407="",E1407="!!!",F1407="NEW"),"",COUNTBLANK(OFFSET(A$1,,,SUMPRODUCT(MAX(ROW(E$2:E1407)*(E1407=E$2:E1407)))))-COUNTBLANK(OFFSET(A$1,,,SUMPRODUCT(MAX(ROW(E$1:E1406)*(E2=E$1:E1406))))))</f>
        <v> </v>
      </c>
      <c r="K1407" s="25" t="str">
        <f>IF(OR(E1407="",E1407="!!!",F1407="NEW"),"",INDEX(J$1:J1406,SUMPRODUCT(MAX(ROW(E$1:E1406)*(E1407=E$1:E1406)))))</f>
        <v> </v>
      </c>
      <c r="L1407" s="26"/>
    </row>
    <row r="1408" spans="1:12">
      <c r="A1408" s="20" t="s">
        <v>707</v>
      </c>
      <c r="E1408" s="21">
        <f>IF(D1408="?OLD","!!!","")</f>
        <v/>
      </c>
      <c r="F1408" s="22" t="str">
        <f>IF(OR(E1408="",E1408="!!!"),"",IF(NOT(ISNA(VLOOKUP(E1408,E$1:E1407,1,FALSE()))),"OLD",IF(AND(E1408&lt;&gt;"",E1408&lt;&gt;"!!!"),"NEW","")))</f>
        <v> </v>
      </c>
      <c r="G1408" s="23" t="str">
        <f>IF(OR(E1408="",E1408="!!!"),"",IF(OR(J1408=0,AND(J1408=1,K1408=1),AND(J1408=1,I1408="SBJ"),AND(J1408=1,I1408=0)),"?IN_FOCUS",IF(J1408&lt;=2,"?ACTIVATED",IF(J1408&lt;&gt;"","?FAMILIAR",IF(F1408="NEW",IF(ISNA(VLOOKUP(E1408,#REF!,1,FALSE())),"?TYPE_IDENTIFIABLE","?REFERENTIAL"),"_")))))</f>
        <v> </v>
      </c>
      <c r="H1408" s="24" t="str">
        <f>IF(J1408&lt;&gt;1,"",IF(I1408="SBJ","CB","?"))</f>
        <v> </v>
      </c>
      <c r="I1408" s="25" t="str">
        <f>IF(OR(E1408="",E1408="!!!",F1408="NEW"),"",INDEX(B1407:B$2,-1+SUMPRODUCT(MAX(ROW(E1407:E$2)*(E1408=E1407:E$2)))))</f>
        <v> </v>
      </c>
      <c r="J1408" s="25" t="str">
        <f>IF(OR(E1408="",E1408="!!!",F1408="NEW"),"",COUNTBLANK(OFFSET(A$1,,,SUMPRODUCT(MAX(ROW(E$2:E1408)*(E1408=E$2:E1408)))))-COUNTBLANK(OFFSET(A$1,,,SUMPRODUCT(MAX(ROW(E$1:E1407)*(E2=E$1:E1407))))))</f>
        <v> </v>
      </c>
      <c r="K1408" s="25" t="str">
        <f>IF(OR(E1408="",E1408="!!!",F1408="NEW"),"",INDEX(J$1:J1407,SUMPRODUCT(MAX(ROW(E$1:E1407)*(E1408=E$1:E1407)))))</f>
        <v> </v>
      </c>
      <c r="L1408" s="26"/>
    </row>
    <row r="1409" spans="1:12">
      <c r="A1409" s="20" t="s">
        <v>1214</v>
      </c>
      <c r="E1409" s="21">
        <f>IF(D1409="?OLD","!!!","")</f>
        <v/>
      </c>
      <c r="F1409" s="22" t="str">
        <f>IF(OR(E1409="",E1409="!!!"),"",IF(NOT(ISNA(VLOOKUP(E1409,E$1:E1408,1,FALSE()))),"OLD",IF(AND(E1409&lt;&gt;"",E1409&lt;&gt;"!!!"),"NEW","")))</f>
        <v> </v>
      </c>
      <c r="G1409" s="23" t="str">
        <f>IF(OR(E1409="",E1409="!!!"),"",IF(OR(J1409=0,AND(J1409=1,K1409=1),AND(J1409=1,I1409="SBJ"),AND(J1409=1,I1409=0)),"?IN_FOCUS",IF(J1409&lt;=2,"?ACTIVATED",IF(J1409&lt;&gt;"","?FAMILIAR",IF(F1409="NEW",IF(ISNA(VLOOKUP(E1409,#REF!,1,FALSE())),"?TYPE_IDENTIFIABLE","?REFERENTIAL"),"_")))))</f>
        <v> </v>
      </c>
      <c r="H1409" s="24" t="str">
        <f>IF(J1409&lt;&gt;1,"",IF(I1409="SBJ","CB","?"))</f>
        <v> </v>
      </c>
      <c r="I1409" s="25" t="str">
        <f>IF(OR(E1409="",E1409="!!!",F1409="NEW"),"",INDEX(B1408:B$2,-1+SUMPRODUCT(MAX(ROW(E1408:E$2)*(E1409=E1408:E$2)))))</f>
        <v> </v>
      </c>
      <c r="J1409" s="25" t="str">
        <f>IF(OR(E1409="",E1409="!!!",F1409="NEW"),"",COUNTBLANK(OFFSET(A$1,,,SUMPRODUCT(MAX(ROW(E$2:E1409)*(E1409=E$2:E1409)))))-COUNTBLANK(OFFSET(A$1,,,SUMPRODUCT(MAX(ROW(E$1:E1408)*(E2=E$1:E1408))))))</f>
        <v> </v>
      </c>
      <c r="K1409" s="25" t="str">
        <f>IF(OR(E1409="",E1409="!!!",F1409="NEW"),"",INDEX(J$1:J1408,SUMPRODUCT(MAX(ROW(E$1:E1408)*(E1409=E$1:E1408)))))</f>
        <v> </v>
      </c>
      <c r="L1409" s="26"/>
    </row>
    <row r="1410" spans="1:12">
      <c r="A1410" s="20" t="s">
        <v>1215</v>
      </c>
      <c r="B1410" s="27" t="s">
        <v>606</v>
      </c>
      <c r="C1410" s="27" t="s">
        <v>622</v>
      </c>
      <c r="E1410" s="21">
        <f>IF(D1410="?OLD","!!!","")</f>
        <v/>
      </c>
      <c r="F1410" s="22" t="str">
        <f>IF(OR(E1410="",E1410="!!!"),"",IF(NOT(ISNA(VLOOKUP(E1410,E$1:E1409,1,FALSE()))),"OLD",IF(AND(E1410&lt;&gt;"",E1410&lt;&gt;"!!!"),"NEW","")))</f>
        <v> </v>
      </c>
      <c r="G1410" s="23" t="str">
        <f>IF(OR(E1410="",E1410="!!!"),"",IF(OR(J1410=0,AND(J1410=1,K1410=1),AND(J1410=1,I1410="SBJ"),AND(J1410=1,I1410=0)),"?IN_FOCUS",IF(J1410&lt;=2,"?ACTIVATED",IF(J1410&lt;&gt;"","?FAMILIAR",IF(F1410="NEW",IF(ISNA(VLOOKUP(E1410,#REF!,1,FALSE())),"?TYPE_IDENTIFIABLE","?REFERENTIAL"),"_")))))</f>
        <v> </v>
      </c>
      <c r="H1410" s="24" t="str">
        <f>IF(J1410&lt;&gt;1,"",IF(I1410="SBJ","CB","?"))</f>
        <v> </v>
      </c>
      <c r="I1410" s="25" t="str">
        <f>IF(OR(E1410="",E1410="!!!",F1410="NEW"),"",INDEX(B1409:B$2,-1+SUMPRODUCT(MAX(ROW(E1409:E$2)*(E1410=E1409:E$2)))))</f>
        <v> </v>
      </c>
      <c r="J1410" s="25" t="str">
        <f>IF(OR(E1410="",E1410="!!!",F1410="NEW"),"",COUNTBLANK(OFFSET(A$1,,,SUMPRODUCT(MAX(ROW(E$2:E1410)*(E1410=E$2:E1410)))))-COUNTBLANK(OFFSET(A$1,,,SUMPRODUCT(MAX(ROW(E$1:E1409)*(E2=E$1:E1409))))))</f>
        <v> </v>
      </c>
      <c r="K1410" s="25" t="str">
        <f>IF(OR(E1410="",E1410="!!!",F1410="NEW"),"",INDEX(J$1:J1409,SUMPRODUCT(MAX(ROW(E$1:E1409)*(E1410=E$1:E1409)))))</f>
        <v> </v>
      </c>
      <c r="L1410" s="26"/>
    </row>
    <row r="1411" spans="1:12">
      <c r="A1411" s="20" t="s">
        <v>1150</v>
      </c>
      <c r="E1411" s="21">
        <f>IF(D1411="?OLD","!!!","")</f>
        <v/>
      </c>
      <c r="F1411" s="22" t="str">
        <f>IF(OR(E1411="",E1411="!!!"),"",IF(NOT(ISNA(VLOOKUP(E1411,E$1:E1410,1,FALSE()))),"OLD",IF(AND(E1411&lt;&gt;"",E1411&lt;&gt;"!!!"),"NEW","")))</f>
        <v> </v>
      </c>
      <c r="G1411" s="23" t="str">
        <f>IF(OR(E1411="",E1411="!!!"),"",IF(OR(J1411=0,AND(J1411=1,K1411=1),AND(J1411=1,I1411="SBJ"),AND(J1411=1,I1411=0)),"?IN_FOCUS",IF(J1411&lt;=2,"?ACTIVATED",IF(J1411&lt;&gt;"","?FAMILIAR",IF(F1411="NEW",IF(ISNA(VLOOKUP(E1411,#REF!,1,FALSE())),"?TYPE_IDENTIFIABLE","?REFERENTIAL"),"_")))))</f>
        <v> </v>
      </c>
      <c r="H1411" s="24" t="str">
        <f>IF(J1411&lt;&gt;1,"",IF(I1411="SBJ","CB","?"))</f>
        <v> </v>
      </c>
      <c r="I1411" s="25" t="str">
        <f>IF(OR(E1411="",E1411="!!!",F1411="NEW"),"",INDEX(B1410:B$2,-1+SUMPRODUCT(MAX(ROW(E1410:E$2)*(E1411=E1410:E$2)))))</f>
        <v> </v>
      </c>
      <c r="J1411" s="25" t="str">
        <f>IF(OR(E1411="",E1411="!!!",F1411="NEW"),"",COUNTBLANK(OFFSET(A$1,,,SUMPRODUCT(MAX(ROW(E$2:E1411)*(E1411=E$2:E1411)))))-COUNTBLANK(OFFSET(A$1,,,SUMPRODUCT(MAX(ROW(E$1:E1410)*(E2=E$1:E1410))))))</f>
        <v> </v>
      </c>
      <c r="K1411" s="25" t="str">
        <f>IF(OR(E1411="",E1411="!!!",F1411="NEW"),"",INDEX(J$1:J1410,SUMPRODUCT(MAX(ROW(E$1:E1410)*(E1411=E$1:E1410)))))</f>
        <v> </v>
      </c>
      <c r="L1411" s="26"/>
    </row>
    <row r="1412" spans="1:12">
      <c r="A1412" s="20" t="s">
        <v>1216</v>
      </c>
      <c r="E1412" s="21">
        <f>IF(D1412="?OLD","!!!","")</f>
        <v/>
      </c>
      <c r="F1412" s="22" t="str">
        <f>IF(OR(E1412="",E1412="!!!"),"",IF(NOT(ISNA(VLOOKUP(E1412,E$1:E1411,1,FALSE()))),"OLD",IF(AND(E1412&lt;&gt;"",E1412&lt;&gt;"!!!"),"NEW","")))</f>
        <v> </v>
      </c>
      <c r="G1412" s="23" t="str">
        <f>IF(OR(E1412="",E1412="!!!"),"",IF(OR(J1412=0,AND(J1412=1,K1412=1),AND(J1412=1,I1412="SBJ"),AND(J1412=1,I1412=0)),"?IN_FOCUS",IF(J1412&lt;=2,"?ACTIVATED",IF(J1412&lt;&gt;"","?FAMILIAR",IF(F1412="NEW",IF(ISNA(VLOOKUP(E1412,#REF!,1,FALSE())),"?TYPE_IDENTIFIABLE","?REFERENTIAL"),"_")))))</f>
        <v> </v>
      </c>
      <c r="H1412" s="24" t="str">
        <f>IF(J1412&lt;&gt;1,"",IF(I1412="SBJ","CB","?"))</f>
        <v> </v>
      </c>
      <c r="I1412" s="25" t="str">
        <f>IF(OR(E1412="",E1412="!!!",F1412="NEW"),"",INDEX(B1411:B$2,-1+SUMPRODUCT(MAX(ROW(E1411:E$2)*(E1412=E1411:E$2)))))</f>
        <v> </v>
      </c>
      <c r="J1412" s="25" t="str">
        <f>IF(OR(E1412="",E1412="!!!",F1412="NEW"),"",COUNTBLANK(OFFSET(A$1,,,SUMPRODUCT(MAX(ROW(E$2:E1412)*(E1412=E$2:E1412)))))-COUNTBLANK(OFFSET(A$1,,,SUMPRODUCT(MAX(ROW(E$1:E1411)*(E2=E$1:E1411))))))</f>
        <v> </v>
      </c>
      <c r="K1412" s="25" t="str">
        <f>IF(OR(E1412="",E1412="!!!",F1412="NEW"),"",INDEX(J$1:J1411,SUMPRODUCT(MAX(ROW(E$1:E1411)*(E1412=E$1:E1411)))))</f>
        <v> </v>
      </c>
      <c r="L1412" s="26"/>
    </row>
    <row r="1413" spans="1:12">
      <c r="A1413" s="20" t="s">
        <v>1217</v>
      </c>
      <c r="B1413" s="27" t="s">
        <v>619</v>
      </c>
      <c r="C1413" s="27" t="s">
        <v>652</v>
      </c>
      <c r="D1413" s="27" t="s">
        <v>608</v>
      </c>
      <c r="E1413" s="21">
        <f>IF(D1413="?OLD","!!!","")</f>
        <v/>
      </c>
      <c r="F1413" s="22" t="str">
        <f>IF(OR(E1413="",E1413="!!!"),"",IF(NOT(ISNA(VLOOKUP(E1413,E$1:E1412,1,FALSE()))),"OLD",IF(AND(E1413&lt;&gt;"",E1413&lt;&gt;"!!!"),"NEW","")))</f>
        <v> </v>
      </c>
      <c r="G1413" s="23" t="str">
        <f>IF(OR(E1413="",E1413="!!!"),"",IF(OR(J1413=0,AND(J1413=1,K1413=1),AND(J1413=1,I1413="SBJ"),AND(J1413=1,I1413=0)),"?IN_FOCUS",IF(J1413&lt;=2,"?ACTIVATED",IF(J1413&lt;&gt;"","?FAMILIAR",IF(F1413="NEW",IF(ISNA(VLOOKUP(E1413,#REF!,1,FALSE())),"?TYPE_IDENTIFIABLE","?REFERENTIAL"),"_")))))</f>
        <v> </v>
      </c>
      <c r="H1413" s="24" t="str">
        <f>IF(J1413&lt;&gt;1,"",IF(I1413="SBJ","CB","?"))</f>
        <v> </v>
      </c>
      <c r="I1413" s="25" t="str">
        <f>IF(OR(E1413="",E1413="!!!",F1413="NEW"),"",INDEX(B1412:B$2,-1+SUMPRODUCT(MAX(ROW(E1412:E$2)*(E1413=E1412:E$2)))))</f>
        <v> </v>
      </c>
      <c r="J1413" s="25" t="str">
        <f>IF(OR(E1413="",E1413="!!!",F1413="NEW"),"",COUNTBLANK(OFFSET(A$1,,,SUMPRODUCT(MAX(ROW(E$2:E1413)*(E1413=E$2:E1413)))))-COUNTBLANK(OFFSET(A$1,,,SUMPRODUCT(MAX(ROW(E$1:E1412)*(E2=E$1:E1412))))))</f>
        <v> </v>
      </c>
      <c r="K1413" s="25" t="str">
        <f>IF(OR(E1413="",E1413="!!!",F1413="NEW"),"",INDEX(J$1:J1412,SUMPRODUCT(MAX(ROW(E$1:E1412)*(E1413=E$1:E1412)))))</f>
        <v> </v>
      </c>
      <c r="L1413" s="26"/>
    </row>
    <row r="1414" spans="1:12">
      <c r="A1414" s="20" t="s">
        <v>158</v>
      </c>
      <c r="E1414" s="21">
        <f>IF(D1414="?OLD","!!!","")</f>
        <v/>
      </c>
      <c r="F1414" s="22" t="str">
        <f>IF(OR(E1414="",E1414="!!!"),"",IF(NOT(ISNA(VLOOKUP(E1414,E$1:E1413,1,FALSE()))),"OLD",IF(AND(E1414&lt;&gt;"",E1414&lt;&gt;"!!!"),"NEW","")))</f>
        <v> </v>
      </c>
      <c r="G1414" s="23" t="str">
        <f>IF(OR(E1414="",E1414="!!!"),"",IF(OR(J1414=0,AND(J1414=1,K1414=1),AND(J1414=1,I1414="SBJ"),AND(J1414=1,I1414=0)),"?IN_FOCUS",IF(J1414&lt;=2,"?ACTIVATED",IF(J1414&lt;&gt;"","?FAMILIAR",IF(F1414="NEW",IF(ISNA(VLOOKUP(E1414,#REF!,1,FALSE())),"?TYPE_IDENTIFIABLE","?REFERENTIAL"),"_")))))</f>
        <v> </v>
      </c>
      <c r="H1414" s="24" t="str">
        <f>IF(J1414&lt;&gt;1,"",IF(I1414="SBJ","CB","?"))</f>
        <v> </v>
      </c>
      <c r="I1414" s="25" t="str">
        <f>IF(OR(E1414="",E1414="!!!",F1414="NEW"),"",INDEX(B1413:B$2,-1+SUMPRODUCT(MAX(ROW(E1413:E$2)*(E1414=E1413:E$2)))))</f>
        <v> </v>
      </c>
      <c r="J1414" s="25" t="str">
        <f>IF(OR(E1414="",E1414="!!!",F1414="NEW"),"",COUNTBLANK(OFFSET(A$1,,,SUMPRODUCT(MAX(ROW(E$2:E1414)*(E1414=E$2:E1414)))))-COUNTBLANK(OFFSET(A$1,,,SUMPRODUCT(MAX(ROW(E$1:E1413)*(E2=E$1:E1413))))))</f>
        <v> </v>
      </c>
      <c r="K1414" s="25" t="str">
        <f>IF(OR(E1414="",E1414="!!!",F1414="NEW"),"",INDEX(J$1:J1413,SUMPRODUCT(MAX(ROW(E$1:E1413)*(E1414=E$1:E1413)))))</f>
        <v> </v>
      </c>
      <c r="L1414" s="26"/>
    </row>
    <row r="1415" spans="1:12">
      <c r="A1415" s="20" t="s">
        <v>635</v>
      </c>
      <c r="B1415" s="27" t="s">
        <v>619</v>
      </c>
      <c r="C1415" s="27" t="s">
        <v>637</v>
      </c>
      <c r="D1415" s="27" t="s">
        <v>608</v>
      </c>
      <c r="E1415" s="21">
        <f>IF(D1415="?OLD","!!!","")</f>
        <v/>
      </c>
      <c r="F1415" s="22" t="str">
        <f>IF(OR(E1415="",E1415="!!!"),"",IF(NOT(ISNA(VLOOKUP(E1415,E$1:E1414,1,FALSE()))),"OLD",IF(AND(E1415&lt;&gt;"",E1415&lt;&gt;"!!!"),"NEW","")))</f>
        <v> </v>
      </c>
      <c r="G1415" s="23" t="str">
        <f>IF(OR(E1415="",E1415="!!!"),"",IF(OR(J1415=0,AND(J1415=1,K1415=1),AND(J1415=1,I1415="SBJ"),AND(J1415=1,I1415=0)),"?IN_FOCUS",IF(J1415&lt;=2,"?ACTIVATED",IF(J1415&lt;&gt;"","?FAMILIAR",IF(F1415="NEW",IF(ISNA(VLOOKUP(E1415,#REF!,1,FALSE())),"?TYPE_IDENTIFIABLE","?REFERENTIAL"),"_")))))</f>
        <v> </v>
      </c>
      <c r="H1415" s="24" t="str">
        <f>IF(J1415&lt;&gt;1,"",IF(I1415="SBJ","CB","?"))</f>
        <v> </v>
      </c>
      <c r="I1415" s="25" t="str">
        <f>IF(OR(E1415="",E1415="!!!",F1415="NEW"),"",INDEX(B1414:B$2,-1+SUMPRODUCT(MAX(ROW(E1414:E$2)*(E1415=E1414:E$2)))))</f>
        <v> </v>
      </c>
      <c r="J1415" s="25" t="str">
        <f>IF(OR(E1415="",E1415="!!!",F1415="NEW"),"",COUNTBLANK(OFFSET(A$1,,,SUMPRODUCT(MAX(ROW(E$2:E1415)*(E1415=E$2:E1415)))))-COUNTBLANK(OFFSET(A$1,,,SUMPRODUCT(MAX(ROW(E$1:E1414)*(E2=E$1:E1414))))))</f>
        <v> </v>
      </c>
      <c r="K1415" s="25" t="str">
        <f>IF(OR(E1415="",E1415="!!!",F1415="NEW"),"",INDEX(J$1:J1414,SUMPRODUCT(MAX(ROW(E$1:E1414)*(E1415=E$1:E1414)))))</f>
        <v> </v>
      </c>
      <c r="L1415" s="26"/>
    </row>
    <row r="1416" spans="1:12">
      <c r="A1416" s="20" t="s">
        <v>639</v>
      </c>
      <c r="E1416" s="21">
        <f>IF(D1416="?OLD","!!!","")</f>
        <v/>
      </c>
      <c r="F1416" s="22" t="str">
        <f>IF(OR(E1416="",E1416="!!!"),"",IF(NOT(ISNA(VLOOKUP(E1416,E$1:E1415,1,FALSE()))),"OLD",IF(AND(E1416&lt;&gt;"",E1416&lt;&gt;"!!!"),"NEW","")))</f>
        <v> </v>
      </c>
      <c r="G1416" s="23" t="str">
        <f>IF(OR(E1416="",E1416="!!!"),"",IF(OR(J1416=0,AND(J1416=1,K1416=1),AND(J1416=1,I1416="SBJ"),AND(J1416=1,I1416=0)),"?IN_FOCUS",IF(J1416&lt;=2,"?ACTIVATED",IF(J1416&lt;&gt;"","?FAMILIAR",IF(F1416="NEW",IF(ISNA(VLOOKUP(E1416,#REF!,1,FALSE())),"?TYPE_IDENTIFIABLE","?REFERENTIAL"),"_")))))</f>
        <v> </v>
      </c>
      <c r="H1416" s="24" t="str">
        <f>IF(J1416&lt;&gt;1,"",IF(I1416="SBJ","CB","?"))</f>
        <v> </v>
      </c>
      <c r="I1416" s="25" t="str">
        <f>IF(OR(E1416="",E1416="!!!",F1416="NEW"),"",INDEX(B1415:B$2,-1+SUMPRODUCT(MAX(ROW(E1415:E$2)*(E1416=E1415:E$2)))))</f>
        <v> </v>
      </c>
      <c r="J1416" s="25" t="str">
        <f>IF(OR(E1416="",E1416="!!!",F1416="NEW"),"",COUNTBLANK(OFFSET(A$1,,,SUMPRODUCT(MAX(ROW(E$2:E1416)*(E1416=E$2:E1416)))))-COUNTBLANK(OFFSET(A$1,,,SUMPRODUCT(MAX(ROW(E$1:E1415)*(E2=E$1:E1415))))))</f>
        <v> </v>
      </c>
      <c r="K1416" s="25" t="str">
        <f>IF(OR(E1416="",E1416="!!!",F1416="NEW"),"",INDEX(J$1:J1415,SUMPRODUCT(MAX(ROW(E$1:E1415)*(E1416=E$1:E1415)))))</f>
        <v> </v>
      </c>
      <c r="L1416" s="26"/>
    </row>
    <row r="1417" spans="1:12">
      <c r="A1417" s="20" t="s">
        <v>630</v>
      </c>
      <c r="B1417" s="27" t="s">
        <v>611</v>
      </c>
      <c r="C1417" s="27" t="s">
        <v>631</v>
      </c>
      <c r="D1417" s="27" t="s">
        <v>608</v>
      </c>
      <c r="E1417" s="21">
        <f>IF(D1417="?OLD","!!!","")</f>
        <v/>
      </c>
      <c r="F1417" s="22" t="str">
        <f>IF(OR(E1417="",E1417="!!!"),"",IF(NOT(ISNA(VLOOKUP(E1417,E$1:E1416,1,FALSE()))),"OLD",IF(AND(E1417&lt;&gt;"",E1417&lt;&gt;"!!!"),"NEW","")))</f>
        <v> </v>
      </c>
      <c r="G1417" s="23" t="str">
        <f>IF(OR(E1417="",E1417="!!!"),"",IF(OR(J1417=0,AND(J1417=1,K1417=1),AND(J1417=1,I1417="SBJ"),AND(J1417=1,I1417=0)),"?IN_FOCUS",IF(J1417&lt;=2,"?ACTIVATED",IF(J1417&lt;&gt;"","?FAMILIAR",IF(F1417="NEW",IF(ISNA(VLOOKUP(E1417,#REF!,1,FALSE())),"?TYPE_IDENTIFIABLE","?REFERENTIAL"),"_")))))</f>
        <v> </v>
      </c>
      <c r="H1417" s="24" t="str">
        <f>IF(J1417&lt;&gt;1,"",IF(I1417="SBJ","CB","?"))</f>
        <v> </v>
      </c>
      <c r="I1417" s="25" t="str">
        <f>IF(OR(E1417="",E1417="!!!",F1417="NEW"),"",INDEX(B1416:B$2,-1+SUMPRODUCT(MAX(ROW(E1416:E$2)*(E1417=E1416:E$2)))))</f>
        <v> </v>
      </c>
      <c r="J1417" s="25" t="str">
        <f>IF(OR(E1417="",E1417="!!!",F1417="NEW"),"",COUNTBLANK(OFFSET(A$1,,,SUMPRODUCT(MAX(ROW(E$2:E1417)*(E1417=E$2:E1417)))))-COUNTBLANK(OFFSET(A$1,,,SUMPRODUCT(MAX(ROW(E$1:E1416)*(E2=E$1:E1416))))))</f>
        <v> </v>
      </c>
      <c r="K1417" s="25" t="str">
        <f>IF(OR(E1417="",E1417="!!!",F1417="NEW"),"",INDEX(J$1:J1416,SUMPRODUCT(MAX(ROW(E$1:E1416)*(E1417=E$1:E1416)))))</f>
        <v> </v>
      </c>
      <c r="L1417" s="26"/>
    </row>
    <row r="1418" spans="1:12">
      <c r="A1418" s="20" t="s">
        <v>767</v>
      </c>
      <c r="E1418" s="21">
        <f>IF(D1418="?OLD","!!!","")</f>
        <v/>
      </c>
      <c r="F1418" s="22" t="str">
        <f>IF(OR(E1418="",E1418="!!!"),"",IF(NOT(ISNA(VLOOKUP(E1418,E$1:E1417,1,FALSE()))),"OLD",IF(AND(E1418&lt;&gt;"",E1418&lt;&gt;"!!!"),"NEW","")))</f>
        <v> </v>
      </c>
      <c r="G1418" s="23" t="str">
        <f>IF(OR(E1418="",E1418="!!!"),"",IF(OR(J1418=0,AND(J1418=1,K1418=1),AND(J1418=1,I1418="SBJ"),AND(J1418=1,I1418=0)),"?IN_FOCUS",IF(J1418&lt;=2,"?ACTIVATED",IF(J1418&lt;&gt;"","?FAMILIAR",IF(F1418="NEW",IF(ISNA(VLOOKUP(E1418,#REF!,1,FALSE())),"?TYPE_IDENTIFIABLE","?REFERENTIAL"),"_")))))</f>
        <v> </v>
      </c>
      <c r="H1418" s="24" t="str">
        <f>IF(J1418&lt;&gt;1,"",IF(I1418="SBJ","CB","?"))</f>
        <v> </v>
      </c>
      <c r="I1418" s="25" t="str">
        <f>IF(OR(E1418="",E1418="!!!",F1418="NEW"),"",INDEX(B1417:B$2,-1+SUMPRODUCT(MAX(ROW(E1417:E$2)*(E1418=E1417:E$2)))))</f>
        <v> </v>
      </c>
      <c r="J1418" s="25" t="str">
        <f>IF(OR(E1418="",E1418="!!!",F1418="NEW"),"",COUNTBLANK(OFFSET(A$1,,,SUMPRODUCT(MAX(ROW(E$2:E1418)*(E1418=E$2:E1418)))))-COUNTBLANK(OFFSET(A$1,,,SUMPRODUCT(MAX(ROW(E$1:E1417)*(E2=E$1:E1417))))))</f>
        <v> </v>
      </c>
      <c r="K1418" s="25" t="str">
        <f>IF(OR(E1418="",E1418="!!!",F1418="NEW"),"",INDEX(J$1:J1417,SUMPRODUCT(MAX(ROW(E$1:E1417)*(E1418=E$1:E1417)))))</f>
        <v> </v>
      </c>
      <c r="L1418" s="26"/>
    </row>
    <row r="1419" spans="1:12">
      <c r="A1419" s="20" t="s">
        <v>1216</v>
      </c>
      <c r="E1419" s="21">
        <f>IF(D1419="?OLD","!!!","")</f>
        <v/>
      </c>
      <c r="F1419" s="22" t="str">
        <f>IF(OR(E1419="",E1419="!!!"),"",IF(NOT(ISNA(VLOOKUP(E1419,E$1:E1418,1,FALSE()))),"OLD",IF(AND(E1419&lt;&gt;"",E1419&lt;&gt;"!!!"),"NEW","")))</f>
        <v> </v>
      </c>
      <c r="G1419" s="23" t="str">
        <f>IF(OR(E1419="",E1419="!!!"),"",IF(OR(J1419=0,AND(J1419=1,K1419=1),AND(J1419=1,I1419="SBJ"),AND(J1419=1,I1419=0)),"?IN_FOCUS",IF(J1419&lt;=2,"?ACTIVATED",IF(J1419&lt;&gt;"","?FAMILIAR",IF(F1419="NEW",IF(ISNA(VLOOKUP(E1419,#REF!,1,FALSE())),"?TYPE_IDENTIFIABLE","?REFERENTIAL"),"_")))))</f>
        <v> </v>
      </c>
      <c r="H1419" s="24" t="str">
        <f>IF(J1419&lt;&gt;1,"",IF(I1419="SBJ","CB","?"))</f>
        <v> </v>
      </c>
      <c r="I1419" s="25" t="str">
        <f>IF(OR(E1419="",E1419="!!!",F1419="NEW"),"",INDEX(B1418:B$2,-1+SUMPRODUCT(MAX(ROW(E1418:E$2)*(E1419=E1418:E$2)))))</f>
        <v> </v>
      </c>
      <c r="J1419" s="25" t="str">
        <f>IF(OR(E1419="",E1419="!!!",F1419="NEW"),"",COUNTBLANK(OFFSET(A$1,,,SUMPRODUCT(MAX(ROW(E$2:E1419)*(E1419=E$2:E1419)))))-COUNTBLANK(OFFSET(A$1,,,SUMPRODUCT(MAX(ROW(E$1:E1418)*(E2=E$1:E1418))))))</f>
        <v> </v>
      </c>
      <c r="K1419" s="25" t="str">
        <f>IF(OR(E1419="",E1419="!!!",F1419="NEW"),"",INDEX(J$1:J1418,SUMPRODUCT(MAX(ROW(E$1:E1418)*(E1419=E$1:E1418)))))</f>
        <v> </v>
      </c>
      <c r="L1419" s="26"/>
    </row>
    <row r="1420" spans="1:12">
      <c r="A1420" s="20"/>
    </row>
    <row r="1421" spans="1:12">
      <c r="A1421" s="20" t="s">
        <v>1212</v>
      </c>
      <c r="E1421" s="21">
        <f>IF(D1421="?OLD","!!!","")</f>
        <v/>
      </c>
      <c r="F1421" s="22" t="str">
        <f>IF(OR(E1421="",E1421="!!!"),"",IF(NOT(ISNA(VLOOKUP(E1421,E$1:E1420,1,FALSE()))),"OLD",IF(AND(E1421&lt;&gt;"",E1421&lt;&gt;"!!!"),"NEW","")))</f>
        <v> </v>
      </c>
      <c r="G1421" s="23" t="str">
        <f>IF(OR(E1421="",E1421="!!!"),"",IF(OR(J1421=0,AND(J1421=1,K1421=1),AND(J1421=1,I1421="SBJ"),AND(J1421=1,I1421=0)),"?IN_FOCUS",IF(J1421&lt;=2,"?ACTIVATED",IF(J1421&lt;&gt;"","?FAMILIAR",IF(F1421="NEW",IF(ISNA(VLOOKUP(E1421,#REF!,1,FALSE())),"?TYPE_IDENTIFIABLE","?REFERENTIAL"),"_")))))</f>
        <v> </v>
      </c>
      <c r="H1421" s="24" t="str">
        <f>IF(J1421&lt;&gt;1,"",IF(I1421="SBJ","CB","?"))</f>
        <v> </v>
      </c>
      <c r="I1421" s="25" t="str">
        <f>IF(OR(E1421="",E1421="!!!",F1421="NEW"),"",INDEX(B1420:B$2,-1+SUMPRODUCT(MAX(ROW(E1420:E$2)*(E1421=E1420:E$2)))))</f>
        <v> </v>
      </c>
      <c r="J1421" s="25" t="str">
        <f>IF(OR(E1421="",E1421="!!!",F1421="NEW"),"",COUNTBLANK(OFFSET(A$1,,,SUMPRODUCT(MAX(ROW(E$2:E1421)*(E1421=E$2:E1421)))))-COUNTBLANK(OFFSET(A$1,,,SUMPRODUCT(MAX(ROW(E$1:E1420)*(E2=E$1:E1420))))))</f>
        <v> </v>
      </c>
      <c r="K1421" s="25" t="str">
        <f>IF(OR(E1421="",E1421="!!!",F1421="NEW"),"",INDEX(J$1:J1420,SUMPRODUCT(MAX(ROW(E$1:E1420)*(E1421=E$1:E1420)))))</f>
        <v> </v>
      </c>
      <c r="L1421" s="26"/>
    </row>
    <row r="1422" spans="1:12">
      <c r="A1422" s="20" t="s">
        <v>1218</v>
      </c>
    </row>
    <row r="1423" spans="1:12">
      <c r="A1423" s="20" t="s">
        <v>661</v>
      </c>
      <c r="E1423" s="21">
        <f>IF(D1423="?OLD","!!!","")</f>
        <v/>
      </c>
      <c r="F1423" s="22" t="str">
        <f>IF(OR(E1423="",E1423="!!!"),"",IF(NOT(ISNA(VLOOKUP(E1423,E$1:E1422,1,FALSE()))),"OLD",IF(AND(E1423&lt;&gt;"",E1423&lt;&gt;"!!!"),"NEW","")))</f>
        <v> </v>
      </c>
      <c r="G1423" s="23" t="str">
        <f>IF(OR(E1423="",E1423="!!!"),"",IF(OR(J1423=0,AND(J1423=1,K1423=1),AND(J1423=1,I1423="SBJ"),AND(J1423=1,I1423=0)),"?IN_FOCUS",IF(J1423&lt;=2,"?ACTIVATED",IF(J1423&lt;&gt;"","?FAMILIAR",IF(F1423="NEW",IF(ISNA(VLOOKUP(E1423,#REF!,1,FALSE())),"?TYPE_IDENTIFIABLE","?REFERENTIAL"),"_")))))</f>
        <v> </v>
      </c>
      <c r="H1423" s="24" t="str">
        <f>IF(J1423&lt;&gt;1,"",IF(I1423="SBJ","CB","?"))</f>
        <v> </v>
      </c>
      <c r="I1423" s="25" t="str">
        <f>IF(OR(E1423="",E1423="!!!",F1423="NEW"),"",INDEX(B1422:B$2,-1+SUMPRODUCT(MAX(ROW(E1422:E$2)*(E1423=E1422:E$2)))))</f>
        <v> </v>
      </c>
      <c r="J1423" s="25" t="str">
        <f>IF(OR(E1423="",E1423="!!!",F1423="NEW"),"",COUNTBLANK(OFFSET(A$1,,,SUMPRODUCT(MAX(ROW(E$2:E1423)*(E1423=E$2:E1423)))))-COUNTBLANK(OFFSET(A$1,,,SUMPRODUCT(MAX(ROW(E$1:E1422)*(E2=E$1:E1422))))))</f>
        <v> </v>
      </c>
      <c r="K1423" s="25" t="str">
        <f>IF(OR(E1423="",E1423="!!!",F1423="NEW"),"",INDEX(J$1:J1422,SUMPRODUCT(MAX(ROW(E$1:E1422)*(E1423=E$1:E1422)))))</f>
        <v> </v>
      </c>
      <c r="L1423" s="26"/>
    </row>
    <row r="1424" spans="1:12">
      <c r="A1424" s="20" t="s">
        <v>1219</v>
      </c>
      <c r="E1424" s="21">
        <f>IF(D1424="?OLD","!!!","")</f>
        <v/>
      </c>
      <c r="F1424" s="22" t="str">
        <f>IF(OR(E1424="",E1424="!!!"),"",IF(NOT(ISNA(VLOOKUP(E1424,E$1:E1423,1,FALSE()))),"OLD",IF(AND(E1424&lt;&gt;"",E1424&lt;&gt;"!!!"),"NEW","")))</f>
        <v> </v>
      </c>
      <c r="G1424" s="23" t="str">
        <f>IF(OR(E1424="",E1424="!!!"),"",IF(OR(J1424=0,AND(J1424=1,K1424=1),AND(J1424=1,I1424="SBJ"),AND(J1424=1,I1424=0)),"?IN_FOCUS",IF(J1424&lt;=2,"?ACTIVATED",IF(J1424&lt;&gt;"","?FAMILIAR",IF(F1424="NEW",IF(ISNA(VLOOKUP(E1424,#REF!,1,FALSE())),"?TYPE_IDENTIFIABLE","?REFERENTIAL"),"_")))))</f>
        <v> </v>
      </c>
      <c r="H1424" s="24" t="str">
        <f>IF(J1424&lt;&gt;1,"",IF(I1424="SBJ","CB","?"))</f>
        <v> </v>
      </c>
      <c r="I1424" s="25" t="str">
        <f>IF(OR(E1424="",E1424="!!!",F1424="NEW"),"",INDEX(B1423:B$2,-1+SUMPRODUCT(MAX(ROW(E1423:E$2)*(E1424=E1423:E$2)))))</f>
        <v> </v>
      </c>
      <c r="J1424" s="25" t="str">
        <f>IF(OR(E1424="",E1424="!!!",F1424="NEW"),"",COUNTBLANK(OFFSET(A$1,,,SUMPRODUCT(MAX(ROW(E$2:E1424)*(E1424=E$2:E1424)))))-COUNTBLANK(OFFSET(A$1,,,SUMPRODUCT(MAX(ROW(E$1:E1423)*(E2=E$1:E1423))))))</f>
        <v> </v>
      </c>
      <c r="K1424" s="25" t="str">
        <f>IF(OR(E1424="",E1424="!!!",F1424="NEW"),"",INDEX(J$1:J1423,SUMPRODUCT(MAX(ROW(E$1:E1423)*(E1424=E$1:E1423)))))</f>
        <v> </v>
      </c>
      <c r="L1424" s="26"/>
    </row>
    <row r="1425" spans="1:12">
      <c r="A1425" s="20" t="s">
        <v>1150</v>
      </c>
      <c r="E1425" s="21">
        <f>IF(D1425="?OLD","!!!","")</f>
        <v/>
      </c>
      <c r="F1425" s="22" t="str">
        <f>IF(OR(E1425="",E1425="!!!"),"",IF(NOT(ISNA(VLOOKUP(E1425,E$1:E1424,1,FALSE()))),"OLD",IF(AND(E1425&lt;&gt;"",E1425&lt;&gt;"!!!"),"NEW","")))</f>
        <v> </v>
      </c>
      <c r="G1425" s="23" t="str">
        <f>IF(OR(E1425="",E1425="!!!"),"",IF(OR(J1425=0,AND(J1425=1,K1425=1),AND(J1425=1,I1425="SBJ"),AND(J1425=1,I1425=0)),"?IN_FOCUS",IF(J1425&lt;=2,"?ACTIVATED",IF(J1425&lt;&gt;"","?FAMILIAR",IF(F1425="NEW",IF(ISNA(VLOOKUP(E1425,#REF!,1,FALSE())),"?TYPE_IDENTIFIABLE","?REFERENTIAL"),"_")))))</f>
        <v> </v>
      </c>
      <c r="H1425" s="24" t="str">
        <f>IF(J1425&lt;&gt;1,"",IF(I1425="SBJ","CB","?"))</f>
        <v> </v>
      </c>
      <c r="I1425" s="25" t="str">
        <f>IF(OR(E1425="",E1425="!!!",F1425="NEW"),"",INDEX(B1424:B$2,-1+SUMPRODUCT(MAX(ROW(E1424:E$2)*(E1425=E1424:E$2)))))</f>
        <v> </v>
      </c>
      <c r="J1425" s="25" t="str">
        <f>IF(OR(E1425="",E1425="!!!",F1425="NEW"),"",COUNTBLANK(OFFSET(A$1,,,SUMPRODUCT(MAX(ROW(E$2:E1425)*(E1425=E$2:E1425)))))-COUNTBLANK(OFFSET(A$1,,,SUMPRODUCT(MAX(ROW(E$1:E1424)*(E2=E$1:E1424))))))</f>
        <v> </v>
      </c>
      <c r="K1425" s="25" t="str">
        <f>IF(OR(E1425="",E1425="!!!",F1425="NEW"),"",INDEX(J$1:J1424,SUMPRODUCT(MAX(ROW(E$1:E1424)*(E1425=E$1:E1424)))))</f>
        <v> </v>
      </c>
      <c r="L1425" s="26"/>
    </row>
    <row r="1426" spans="1:12">
      <c r="A1426" s="20" t="s">
        <v>1216</v>
      </c>
      <c r="E1426" s="21">
        <f>IF(D1426="?OLD","!!!","")</f>
        <v/>
      </c>
      <c r="F1426" s="22" t="str">
        <f>IF(OR(E1426="",E1426="!!!"),"",IF(NOT(ISNA(VLOOKUP(E1426,E$1:E1425,1,FALSE()))),"OLD",IF(AND(E1426&lt;&gt;"",E1426&lt;&gt;"!!!"),"NEW","")))</f>
        <v> </v>
      </c>
      <c r="G1426" s="23" t="str">
        <f>IF(OR(E1426="",E1426="!!!"),"",IF(OR(J1426=0,AND(J1426=1,K1426=1),AND(J1426=1,I1426="SBJ"),AND(J1426=1,I1426=0)),"?IN_FOCUS",IF(J1426&lt;=2,"?ACTIVATED",IF(J1426&lt;&gt;"","?FAMILIAR",IF(F1426="NEW",IF(ISNA(VLOOKUP(E1426,#REF!,1,FALSE())),"?TYPE_IDENTIFIABLE","?REFERENTIAL"),"_")))))</f>
        <v> </v>
      </c>
      <c r="H1426" s="24" t="str">
        <f>IF(J1426&lt;&gt;1,"",IF(I1426="SBJ","CB","?"))</f>
        <v> </v>
      </c>
      <c r="I1426" s="25" t="str">
        <f>IF(OR(E1426="",E1426="!!!",F1426="NEW"),"",INDEX(B1425:B$2,-1+SUMPRODUCT(MAX(ROW(E1425:E$2)*(E1426=E1425:E$2)))))</f>
        <v> </v>
      </c>
      <c r="J1426" s="25" t="str">
        <f>IF(OR(E1426="",E1426="!!!",F1426="NEW"),"",COUNTBLANK(OFFSET(A$1,,,SUMPRODUCT(MAX(ROW(E$2:E1426)*(E1426=E$2:E1426)))))-COUNTBLANK(OFFSET(A$1,,,SUMPRODUCT(MAX(ROW(E$1:E1425)*(E2=E$1:E1425))))))</f>
        <v> </v>
      </c>
      <c r="K1426" s="25" t="str">
        <f>IF(OR(E1426="",E1426="!!!",F1426="NEW"),"",INDEX(J$1:J1425,SUMPRODUCT(MAX(ROW(E$1:E1425)*(E1426=E$1:E1425)))))</f>
        <v> </v>
      </c>
      <c r="L1426" s="26"/>
    </row>
    <row r="1427" spans="1:12">
      <c r="A1427" s="20" t="s">
        <v>933</v>
      </c>
      <c r="B1427" s="27" t="s">
        <v>636</v>
      </c>
      <c r="C1427" s="27" t="s">
        <v>637</v>
      </c>
      <c r="D1427" s="27" t="s">
        <v>608</v>
      </c>
      <c r="E1427" s="21">
        <f>IF(D1427="?OLD","!!!","")</f>
        <v/>
      </c>
      <c r="F1427" s="22" t="str">
        <f>IF(OR(E1427="",E1427="!!!"),"",IF(NOT(ISNA(VLOOKUP(E1427,E$1:E1426,1,FALSE()))),"OLD",IF(AND(E1427&lt;&gt;"",E1427&lt;&gt;"!!!"),"NEW","")))</f>
        <v> </v>
      </c>
      <c r="G1427" s="23" t="str">
        <f>IF(OR(E1427="",E1427="!!!"),"",IF(OR(J1427=0,AND(J1427=1,K1427=1),AND(J1427=1,I1427="SBJ"),AND(J1427=1,I1427=0)),"?IN_FOCUS",IF(J1427&lt;=2,"?ACTIVATED",IF(J1427&lt;&gt;"","?FAMILIAR",IF(F1427="NEW",IF(ISNA(VLOOKUP(E1427,#REF!,1,FALSE())),"?TYPE_IDENTIFIABLE","?REFERENTIAL"),"_")))))</f>
        <v> </v>
      </c>
      <c r="H1427" s="24" t="str">
        <f>IF(J1427&lt;&gt;1,"",IF(I1427="SBJ","CB","?"))</f>
        <v> </v>
      </c>
      <c r="I1427" s="25" t="str">
        <f>IF(OR(E1427="",E1427="!!!",F1427="NEW"),"",INDEX(B1426:B$2,-1+SUMPRODUCT(MAX(ROW(E1426:E$2)*(E1427=E1426:E$2)))))</f>
        <v> </v>
      </c>
      <c r="J1427" s="25" t="str">
        <f>IF(OR(E1427="",E1427="!!!",F1427="NEW"),"",COUNTBLANK(OFFSET(A$1,,,SUMPRODUCT(MAX(ROW(E$2:E1427)*(E1427=E$2:E1427)))))-COUNTBLANK(OFFSET(A$1,,,SUMPRODUCT(MAX(ROW(E$1:E1426)*(E2=E$1:E1426))))))</f>
        <v> </v>
      </c>
      <c r="K1427" s="25" t="str">
        <f>IF(OR(E1427="",E1427="!!!",F1427="NEW"),"",INDEX(J$1:J1426,SUMPRODUCT(MAX(ROW(E$1:E1426)*(E1427=E$1:E1426)))))</f>
        <v> </v>
      </c>
      <c r="L1427" s="26"/>
    </row>
    <row r="1428" spans="1:12">
      <c r="A1428" s="20" t="s">
        <v>612</v>
      </c>
      <c r="E1428" s="21">
        <f>IF(D1428="?OLD","!!!","")</f>
        <v/>
      </c>
      <c r="F1428" s="22" t="str">
        <f>IF(OR(E1428="",E1428="!!!"),"",IF(NOT(ISNA(VLOOKUP(E1428,E$1:E1427,1,FALSE()))),"OLD",IF(AND(E1428&lt;&gt;"",E1428&lt;&gt;"!!!"),"NEW","")))</f>
        <v> </v>
      </c>
      <c r="G1428" s="23" t="str">
        <f>IF(OR(E1428="",E1428="!!!"),"",IF(OR(J1428=0,AND(J1428=1,K1428=1),AND(J1428=1,I1428="SBJ"),AND(J1428=1,I1428=0)),"?IN_FOCUS",IF(J1428&lt;=2,"?ACTIVATED",IF(J1428&lt;&gt;"","?FAMILIAR",IF(F1428="NEW",IF(ISNA(VLOOKUP(E1428,#REF!,1,FALSE())),"?TYPE_IDENTIFIABLE","?REFERENTIAL"),"_")))))</f>
        <v> </v>
      </c>
      <c r="H1428" s="24" t="str">
        <f>IF(J1428&lt;&gt;1,"",IF(I1428="SBJ","CB","?"))</f>
        <v> </v>
      </c>
      <c r="I1428" s="25" t="str">
        <f>IF(OR(E1428="",E1428="!!!",F1428="NEW"),"",INDEX(B1427:B$2,-1+SUMPRODUCT(MAX(ROW(E1427:E$2)*(E1428=E1427:E$2)))))</f>
        <v> </v>
      </c>
      <c r="J1428" s="25" t="str">
        <f>IF(OR(E1428="",E1428="!!!",F1428="NEW"),"",COUNTBLANK(OFFSET(A$1,,,SUMPRODUCT(MAX(ROW(E$2:E1428)*(E1428=E$2:E1428)))))-COUNTBLANK(OFFSET(A$1,,,SUMPRODUCT(MAX(ROW(E$1:E1427)*(E2=E$1:E1427))))))</f>
        <v> </v>
      </c>
      <c r="K1428" s="25" t="str">
        <f>IF(OR(E1428="",E1428="!!!",F1428="NEW"),"",INDEX(J$1:J1427,SUMPRODUCT(MAX(ROW(E$1:E1427)*(E1428=E$1:E1427)))))</f>
        <v> </v>
      </c>
      <c r="L1428" s="26"/>
    </row>
    <row r="1429" spans="1:12">
      <c r="A1429" s="20" t="s">
        <v>682</v>
      </c>
      <c r="E1429" s="21">
        <f>IF(D1429="?OLD","!!!","")</f>
        <v/>
      </c>
      <c r="F1429" s="22" t="str">
        <f>IF(OR(E1429="",E1429="!!!"),"",IF(NOT(ISNA(VLOOKUP(E1429,E$1:E1428,1,FALSE()))),"OLD",IF(AND(E1429&lt;&gt;"",E1429&lt;&gt;"!!!"),"NEW","")))</f>
        <v> </v>
      </c>
      <c r="G1429" s="23" t="str">
        <f>IF(OR(E1429="",E1429="!!!"),"",IF(OR(J1429=0,AND(J1429=1,K1429=1),AND(J1429=1,I1429="SBJ"),AND(J1429=1,I1429=0)),"?IN_FOCUS",IF(J1429&lt;=2,"?ACTIVATED",IF(J1429&lt;&gt;"","?FAMILIAR",IF(F1429="NEW",IF(ISNA(VLOOKUP(E1429,#REF!,1,FALSE())),"?TYPE_IDENTIFIABLE","?REFERENTIAL"),"_")))))</f>
        <v> </v>
      </c>
      <c r="H1429" s="24" t="str">
        <f>IF(J1429&lt;&gt;1,"",IF(I1429="SBJ","CB","?"))</f>
        <v> </v>
      </c>
      <c r="I1429" s="25" t="str">
        <f>IF(OR(E1429="",E1429="!!!",F1429="NEW"),"",INDEX(B1428:B$2,-1+SUMPRODUCT(MAX(ROW(E1428:E$2)*(E1429=E1428:E$2)))))</f>
        <v> </v>
      </c>
      <c r="J1429" s="25" t="str">
        <f>IF(OR(E1429="",E1429="!!!",F1429="NEW"),"",COUNTBLANK(OFFSET(A$1,,,SUMPRODUCT(MAX(ROW(E$2:E1429)*(E1429=E$2:E1429)))))-COUNTBLANK(OFFSET(A$1,,,SUMPRODUCT(MAX(ROW(E$1:E1428)*(E2=E$1:E1428))))))</f>
        <v> </v>
      </c>
      <c r="K1429" s="25" t="str">
        <f>IF(OR(E1429="",E1429="!!!",F1429="NEW"),"",INDEX(J$1:J1428,SUMPRODUCT(MAX(ROW(E$1:E1428)*(E1429=E$1:E1428)))))</f>
        <v> </v>
      </c>
      <c r="L1429" s="26"/>
    </row>
    <row r="1430" spans="1:12">
      <c r="A1430" s="20" t="s">
        <v>1220</v>
      </c>
      <c r="E1430" s="21">
        <f>IF(D1430="?OLD","!!!","")</f>
        <v/>
      </c>
      <c r="F1430" s="22" t="str">
        <f>IF(OR(E1430="",E1430="!!!"),"",IF(NOT(ISNA(VLOOKUP(E1430,E$1:E1429,1,FALSE()))),"OLD",IF(AND(E1430&lt;&gt;"",E1430&lt;&gt;"!!!"),"NEW","")))</f>
        <v> </v>
      </c>
      <c r="G1430" s="23" t="str">
        <f>IF(OR(E1430="",E1430="!!!"),"",IF(OR(J1430=0,AND(J1430=1,K1430=1),AND(J1430=1,I1430="SBJ"),AND(J1430=1,I1430=0)),"?IN_FOCUS",IF(J1430&lt;=2,"?ACTIVATED",IF(J1430&lt;&gt;"","?FAMILIAR",IF(F1430="NEW",IF(ISNA(VLOOKUP(E1430,#REF!,1,FALSE())),"?TYPE_IDENTIFIABLE","?REFERENTIAL"),"_")))))</f>
        <v> </v>
      </c>
      <c r="H1430" s="24" t="str">
        <f>IF(J1430&lt;&gt;1,"",IF(I1430="SBJ","CB","?"))</f>
        <v> </v>
      </c>
      <c r="I1430" s="25" t="str">
        <f>IF(OR(E1430="",E1430="!!!",F1430="NEW"),"",INDEX(B1429:B$2,-1+SUMPRODUCT(MAX(ROW(E1429:E$2)*(E1430=E1429:E$2)))))</f>
        <v> </v>
      </c>
      <c r="J1430" s="25" t="str">
        <f>IF(OR(E1430="",E1430="!!!",F1430="NEW"),"",COUNTBLANK(OFFSET(A$1,,,SUMPRODUCT(MAX(ROW(E$2:E1430)*(E1430=E$2:E1430)))))-COUNTBLANK(OFFSET(A$1,,,SUMPRODUCT(MAX(ROW(E$1:E1429)*(E2=E$1:E1429))))))</f>
        <v> </v>
      </c>
      <c r="K1430" s="25" t="str">
        <f>IF(OR(E1430="",E1430="!!!",F1430="NEW"),"",INDEX(J$1:J1429,SUMPRODUCT(MAX(ROW(E$1:E1429)*(E1430=E$1:E1429)))))</f>
        <v> </v>
      </c>
      <c r="L1430" s="26"/>
    </row>
    <row r="1431" spans="1:12">
      <c r="A1431" s="20" t="s">
        <v>615</v>
      </c>
      <c r="B1431" s="27" t="s">
        <v>606</v>
      </c>
      <c r="C1431" s="27" t="s">
        <v>685</v>
      </c>
      <c r="E1431" s="21">
        <f>IF(D1431="?OLD","!!!","")</f>
        <v/>
      </c>
      <c r="F1431" s="22" t="str">
        <f>IF(OR(E1431="",E1431="!!!"),"",IF(NOT(ISNA(VLOOKUP(E1431,E$1:E1430,1,FALSE()))),"OLD",IF(AND(E1431&lt;&gt;"",E1431&lt;&gt;"!!!"),"NEW","")))</f>
        <v> </v>
      </c>
      <c r="G1431" s="23" t="str">
        <f>IF(OR(E1431="",E1431="!!!"),"",IF(OR(J1431=0,AND(J1431=1,K1431=1),AND(J1431=1,I1431="SBJ"),AND(J1431=1,I1431=0)),"?IN_FOCUS",IF(J1431&lt;=2,"?ACTIVATED",IF(J1431&lt;&gt;"","?FAMILIAR",IF(F1431="NEW",IF(ISNA(VLOOKUP(E1431,#REF!,1,FALSE())),"?TYPE_IDENTIFIABLE","?REFERENTIAL"),"_")))))</f>
        <v> </v>
      </c>
      <c r="H1431" s="24" t="str">
        <f>IF(J1431&lt;&gt;1,"",IF(I1431="SBJ","CB","?"))</f>
        <v> </v>
      </c>
      <c r="I1431" s="25" t="str">
        <f>IF(OR(E1431="",E1431="!!!",F1431="NEW"),"",INDEX(B1430:B$2,-1+SUMPRODUCT(MAX(ROW(E1430:E$2)*(E1431=E1430:E$2)))))</f>
        <v> </v>
      </c>
      <c r="J1431" s="25" t="str">
        <f>IF(OR(E1431="",E1431="!!!",F1431="NEW"),"",COUNTBLANK(OFFSET(A$1,,,SUMPRODUCT(MAX(ROW(E$2:E1431)*(E1431=E$2:E1431)))))-COUNTBLANK(OFFSET(A$1,,,SUMPRODUCT(MAX(ROW(E$1:E1430)*(E2=E$1:E1430))))))</f>
        <v> </v>
      </c>
      <c r="K1431" s="25" t="str">
        <f>IF(OR(E1431="",E1431="!!!",F1431="NEW"),"",INDEX(J$1:J1430,SUMPRODUCT(MAX(ROW(E$1:E1430)*(E1431=E$1:E1430)))))</f>
        <v> </v>
      </c>
      <c r="L1431" s="26"/>
    </row>
    <row r="1432" spans="1:12">
      <c r="A1432" s="20" t="s">
        <v>633</v>
      </c>
      <c r="E1432" s="21">
        <f>IF(D1432="?OLD","!!!","")</f>
        <v/>
      </c>
      <c r="F1432" s="22" t="str">
        <f>IF(OR(E1432="",E1432="!!!"),"",IF(NOT(ISNA(VLOOKUP(E1432,E$1:E1431,1,FALSE()))),"OLD",IF(AND(E1432&lt;&gt;"",E1432&lt;&gt;"!!!"),"NEW","")))</f>
        <v> </v>
      </c>
      <c r="G1432" s="23" t="str">
        <f>IF(OR(E1432="",E1432="!!!"),"",IF(OR(J1432=0,AND(J1432=1,K1432=1),AND(J1432=1,I1432="SBJ"),AND(J1432=1,I1432=0)),"?IN_FOCUS",IF(J1432&lt;=2,"?ACTIVATED",IF(J1432&lt;&gt;"","?FAMILIAR",IF(F1432="NEW",IF(ISNA(VLOOKUP(E1432,#REF!,1,FALSE())),"?TYPE_IDENTIFIABLE","?REFERENTIAL"),"_")))))</f>
        <v> </v>
      </c>
      <c r="H1432" s="24" t="str">
        <f>IF(J1432&lt;&gt;1,"",IF(I1432="SBJ","CB","?"))</f>
        <v> </v>
      </c>
      <c r="I1432" s="25" t="str">
        <f>IF(OR(E1432="",E1432="!!!",F1432="NEW"),"",INDEX(B1431:B$2,-1+SUMPRODUCT(MAX(ROW(E1431:E$2)*(E1432=E1431:E$2)))))</f>
        <v> </v>
      </c>
      <c r="J1432" s="25" t="str">
        <f>IF(OR(E1432="",E1432="!!!",F1432="NEW"),"",COUNTBLANK(OFFSET(A$1,,,SUMPRODUCT(MAX(ROW(E$2:E1432)*(E1432=E$2:E1432)))))-COUNTBLANK(OFFSET(A$1,,,SUMPRODUCT(MAX(ROW(E$1:E1431)*(E2=E$1:E1431))))))</f>
        <v> </v>
      </c>
      <c r="K1432" s="25" t="str">
        <f>IF(OR(E1432="",E1432="!!!",F1432="NEW"),"",INDEX(J$1:J1431,SUMPRODUCT(MAX(ROW(E$1:E1431)*(E1432=E$1:E1431)))))</f>
        <v> </v>
      </c>
      <c r="L1432" s="26"/>
    </row>
    <row r="1433" spans="1:12">
      <c r="A1433" s="20"/>
    </row>
    <row r="1434" spans="1:12">
      <c r="A1434" s="20" t="s">
        <v>1212</v>
      </c>
      <c r="E1434" s="21">
        <f>IF(D1434="?OLD","!!!","")</f>
        <v/>
      </c>
      <c r="F1434" s="22" t="str">
        <f>IF(OR(E1434="",E1434="!!!"),"",IF(NOT(ISNA(VLOOKUP(E1434,E$1:E1433,1,FALSE()))),"OLD",IF(AND(E1434&lt;&gt;"",E1434&lt;&gt;"!!!"),"NEW","")))</f>
        <v> </v>
      </c>
      <c r="G1434" s="23" t="str">
        <f>IF(OR(E1434="",E1434="!!!"),"",IF(OR(J1434=0,AND(J1434=1,K1434=1),AND(J1434=1,I1434="SBJ"),AND(J1434=1,I1434=0)),"?IN_FOCUS",IF(J1434&lt;=2,"?ACTIVATED",IF(J1434&lt;&gt;"","?FAMILIAR",IF(F1434="NEW",IF(ISNA(VLOOKUP(E1434,#REF!,1,FALSE())),"?TYPE_IDENTIFIABLE","?REFERENTIAL"),"_")))))</f>
        <v> </v>
      </c>
      <c r="H1434" s="24" t="str">
        <f>IF(J1434&lt;&gt;1,"",IF(I1434="SBJ","CB","?"))</f>
        <v> </v>
      </c>
      <c r="I1434" s="25" t="str">
        <f>IF(OR(E1434="",E1434="!!!",F1434="NEW"),"",INDEX(B1433:B$2,-1+SUMPRODUCT(MAX(ROW(E1433:E$2)*(E1434=E1433:E$2)))))</f>
        <v> </v>
      </c>
      <c r="J1434" s="25" t="str">
        <f>IF(OR(E1434="",E1434="!!!",F1434="NEW"),"",COUNTBLANK(OFFSET(A$1,,,SUMPRODUCT(MAX(ROW(E$2:E1434)*(E1434=E$2:E1434)))))-COUNTBLANK(OFFSET(A$1,,,SUMPRODUCT(MAX(ROW(E$1:E1433)*(E2=E$1:E1433))))))</f>
        <v> </v>
      </c>
      <c r="K1434" s="25" t="str">
        <f>IF(OR(E1434="",E1434="!!!",F1434="NEW"),"",INDEX(J$1:J1433,SUMPRODUCT(MAX(ROW(E$1:E1433)*(E1434=E$1:E1433)))))</f>
        <v> </v>
      </c>
      <c r="L1434" s="26"/>
    </row>
    <row r="1435" spans="1:12">
      <c r="A1435" s="20" t="s">
        <v>1221</v>
      </c>
    </row>
    <row r="1436" spans="1:12">
      <c r="A1436" s="20" t="s">
        <v>675</v>
      </c>
      <c r="B1436" s="27" t="s">
        <v>636</v>
      </c>
      <c r="C1436" s="27" t="s">
        <v>652</v>
      </c>
      <c r="D1436" s="27" t="s">
        <v>608</v>
      </c>
      <c r="E1436" s="21">
        <f>IF(D1436="?OLD","!!!","")</f>
        <v/>
      </c>
      <c r="F1436" s="22" t="str">
        <f>IF(OR(E1436="",E1436="!!!"),"",IF(NOT(ISNA(VLOOKUP(E1436,E$1:E1435,1,FALSE()))),"OLD",IF(AND(E1436&lt;&gt;"",E1436&lt;&gt;"!!!"),"NEW","")))</f>
        <v> </v>
      </c>
      <c r="G1436" s="23" t="str">
        <f>IF(OR(E1436="",E1436="!!!"),"",IF(OR(J1436=0,AND(J1436=1,K1436=1),AND(J1436=1,I1436="SBJ"),AND(J1436=1,I1436=0)),"?IN_FOCUS",IF(J1436&lt;=2,"?ACTIVATED",IF(J1436&lt;&gt;"","?FAMILIAR",IF(F1436="NEW",IF(ISNA(VLOOKUP(E1436,#REF!,1,FALSE())),"?TYPE_IDENTIFIABLE","?REFERENTIAL"),"_")))))</f>
        <v> </v>
      </c>
      <c r="H1436" s="24" t="str">
        <f>IF(J1436&lt;&gt;1,"",IF(I1436="SBJ","CB","?"))</f>
        <v> </v>
      </c>
      <c r="I1436" s="25" t="str">
        <f>IF(OR(E1436="",E1436="!!!",F1436="NEW"),"",INDEX(B1435:B$2,-1+SUMPRODUCT(MAX(ROW(E1435:E$2)*(E1436=E1435:E$2)))))</f>
        <v> </v>
      </c>
      <c r="J1436" s="25" t="str">
        <f>IF(OR(E1436="",E1436="!!!",F1436="NEW"),"",COUNTBLANK(OFFSET(A$1,,,SUMPRODUCT(MAX(ROW(E$2:E1436)*(E1436=E$2:E1436)))))-COUNTBLANK(OFFSET(A$1,,,SUMPRODUCT(MAX(ROW(E$1:E1435)*(E2=E$1:E1435))))))</f>
        <v> </v>
      </c>
      <c r="K1436" s="25" t="str">
        <f>IF(OR(E1436="",E1436="!!!",F1436="NEW"),"",INDEX(J$1:J1435,SUMPRODUCT(MAX(ROW(E$1:E1435)*(E1436=E$1:E1435)))))</f>
        <v> </v>
      </c>
      <c r="L1436" s="26"/>
    </row>
    <row r="1437" spans="1:12">
      <c r="A1437" s="20" t="s">
        <v>18</v>
      </c>
      <c r="E1437" s="21">
        <f>IF(D1437="?OLD","!!!","")</f>
        <v/>
      </c>
      <c r="F1437" s="22" t="str">
        <f>IF(OR(E1437="",E1437="!!!"),"",IF(NOT(ISNA(VLOOKUP(E1437,E$1:E1436,1,FALSE()))),"OLD",IF(AND(E1437&lt;&gt;"",E1437&lt;&gt;"!!!"),"NEW","")))</f>
        <v> </v>
      </c>
      <c r="G1437" s="23" t="str">
        <f>IF(OR(E1437="",E1437="!!!"),"",IF(OR(J1437=0,AND(J1437=1,K1437=1),AND(J1437=1,I1437="SBJ"),AND(J1437=1,I1437=0)),"?IN_FOCUS",IF(J1437&lt;=2,"?ACTIVATED",IF(J1437&lt;&gt;"","?FAMILIAR",IF(F1437="NEW",IF(ISNA(VLOOKUP(E1437,#REF!,1,FALSE())),"?TYPE_IDENTIFIABLE","?REFERENTIAL"),"_")))))</f>
        <v> </v>
      </c>
      <c r="H1437" s="24" t="str">
        <f>IF(J1437&lt;&gt;1,"",IF(I1437="SBJ","CB","?"))</f>
        <v> </v>
      </c>
      <c r="I1437" s="25" t="str">
        <f>IF(OR(E1437="",E1437="!!!",F1437="NEW"),"",INDEX(B1436:B$2,-1+SUMPRODUCT(MAX(ROW(E1436:E$2)*(E1437=E1436:E$2)))))</f>
        <v> </v>
      </c>
      <c r="J1437" s="25" t="str">
        <f>IF(OR(E1437="",E1437="!!!",F1437="NEW"),"",COUNTBLANK(OFFSET(A$1,,,SUMPRODUCT(MAX(ROW(E$2:E1437)*(E1437=E$2:E1437)))))-COUNTBLANK(OFFSET(A$1,,,SUMPRODUCT(MAX(ROW(E$1:E1436)*(E2=E$1:E1436))))))</f>
        <v> </v>
      </c>
      <c r="K1437" s="25" t="str">
        <f>IF(OR(E1437="",E1437="!!!",F1437="NEW"),"",INDEX(J$1:J1436,SUMPRODUCT(MAX(ROW(E$1:E1436)*(E1437=E$1:E1436)))))</f>
        <v> </v>
      </c>
      <c r="L1437" s="26"/>
    </row>
    <row r="1438" spans="1:12">
      <c r="A1438" s="20" t="s">
        <v>1222</v>
      </c>
      <c r="E1438" s="21">
        <f>IF(D1438="?OLD","!!!","")</f>
        <v/>
      </c>
      <c r="F1438" s="22" t="str">
        <f>IF(OR(E1438="",E1438="!!!"),"",IF(NOT(ISNA(VLOOKUP(E1438,E$1:E1437,1,FALSE()))),"OLD",IF(AND(E1438&lt;&gt;"",E1438&lt;&gt;"!!!"),"NEW","")))</f>
        <v> </v>
      </c>
      <c r="G1438" s="23" t="str">
        <f>IF(OR(E1438="",E1438="!!!"),"",IF(OR(J1438=0,AND(J1438=1,K1438=1),AND(J1438=1,I1438="SBJ"),AND(J1438=1,I1438=0)),"?IN_FOCUS",IF(J1438&lt;=2,"?ACTIVATED",IF(J1438&lt;&gt;"","?FAMILIAR",IF(F1438="NEW",IF(ISNA(VLOOKUP(E1438,#REF!,1,FALSE())),"?TYPE_IDENTIFIABLE","?REFERENTIAL"),"_")))))</f>
        <v> </v>
      </c>
      <c r="H1438" s="24" t="str">
        <f>IF(J1438&lt;&gt;1,"",IF(I1438="SBJ","CB","?"))</f>
        <v> </v>
      </c>
      <c r="I1438" s="25" t="str">
        <f>IF(OR(E1438="",E1438="!!!",F1438="NEW"),"",INDEX(B1437:B$2,-1+SUMPRODUCT(MAX(ROW(E1437:E$2)*(E1438=E1437:E$2)))))</f>
        <v> </v>
      </c>
      <c r="J1438" s="25" t="str">
        <f>IF(OR(E1438="",E1438="!!!",F1438="NEW"),"",COUNTBLANK(OFFSET(A$1,,,SUMPRODUCT(MAX(ROW(E$2:E1438)*(E1438=E$2:E1438)))))-COUNTBLANK(OFFSET(A$1,,,SUMPRODUCT(MAX(ROW(E$1:E1437)*(E2=E$1:E1437))))))</f>
        <v> </v>
      </c>
      <c r="K1438" s="25" t="str">
        <f>IF(OR(E1438="",E1438="!!!",F1438="NEW"),"",INDEX(J$1:J1437,SUMPRODUCT(MAX(ROW(E$1:E1437)*(E1438=E$1:E1437)))))</f>
        <v> </v>
      </c>
      <c r="L1438" s="26"/>
    </row>
    <row r="1439" spans="1:12">
      <c r="A1439" s="20" t="s">
        <v>1223</v>
      </c>
      <c r="B1439" s="27" t="s">
        <v>653</v>
      </c>
      <c r="C1439" s="27" t="s">
        <v>622</v>
      </c>
      <c r="E1439" s="21">
        <f>IF(D1439="?OLD","!!!","")</f>
        <v/>
      </c>
      <c r="F1439" s="22" t="str">
        <f>IF(OR(E1439="",E1439="!!!"),"",IF(NOT(ISNA(VLOOKUP(E1439,E$1:E1438,1,FALSE()))),"OLD",IF(AND(E1439&lt;&gt;"",E1439&lt;&gt;"!!!"),"NEW","")))</f>
        <v> </v>
      </c>
      <c r="G1439" s="23" t="str">
        <f>IF(OR(E1439="",E1439="!!!"),"",IF(OR(J1439=0,AND(J1439=1,K1439=1),AND(J1439=1,I1439="SBJ"),AND(J1439=1,I1439=0)),"?IN_FOCUS",IF(J1439&lt;=2,"?ACTIVATED",IF(J1439&lt;&gt;"","?FAMILIAR",IF(F1439="NEW",IF(ISNA(VLOOKUP(E1439,#REF!,1,FALSE())),"?TYPE_IDENTIFIABLE","?REFERENTIAL"),"_")))))</f>
        <v> </v>
      </c>
      <c r="H1439" s="24" t="str">
        <f>IF(J1439&lt;&gt;1,"",IF(I1439="SBJ","CB","?"))</f>
        <v> </v>
      </c>
      <c r="I1439" s="25" t="str">
        <f>IF(OR(E1439="",E1439="!!!",F1439="NEW"),"",INDEX(B1438:B$2,-1+SUMPRODUCT(MAX(ROW(E1438:E$2)*(E1439=E1438:E$2)))))</f>
        <v> </v>
      </c>
      <c r="J1439" s="25" t="str">
        <f>IF(OR(E1439="",E1439="!!!",F1439="NEW"),"",COUNTBLANK(OFFSET(A$1,,,SUMPRODUCT(MAX(ROW(E$2:E1439)*(E1439=E$2:E1439)))))-COUNTBLANK(OFFSET(A$1,,,SUMPRODUCT(MAX(ROW(E$1:E1438)*(E2=E$1:E1438))))))</f>
        <v> </v>
      </c>
      <c r="K1439" s="25" t="str">
        <f>IF(OR(E1439="",E1439="!!!",F1439="NEW"),"",INDEX(J$1:J1438,SUMPRODUCT(MAX(ROW(E$1:E1438)*(E1439=E$1:E1438)))))</f>
        <v> </v>
      </c>
      <c r="L1439" s="26"/>
    </row>
    <row r="1440" spans="1:12">
      <c r="A1440" s="20" t="s">
        <v>633</v>
      </c>
      <c r="E1440" s="21">
        <f>IF(D1440="?OLD","!!!","")</f>
        <v/>
      </c>
      <c r="F1440" s="22" t="str">
        <f>IF(OR(E1440="",E1440="!!!"),"",IF(NOT(ISNA(VLOOKUP(E1440,E$1:E1439,1,FALSE()))),"OLD",IF(AND(E1440&lt;&gt;"",E1440&lt;&gt;"!!!"),"NEW","")))</f>
        <v> </v>
      </c>
      <c r="G1440" s="23" t="str">
        <f>IF(OR(E1440="",E1440="!!!"),"",IF(OR(J1440=0,AND(J1440=1,K1440=1),AND(J1440=1,I1440="SBJ"),AND(J1440=1,I1440=0)),"?IN_FOCUS",IF(J1440&lt;=2,"?ACTIVATED",IF(J1440&lt;&gt;"","?FAMILIAR",IF(F1440="NEW",IF(ISNA(VLOOKUP(E1440,#REF!,1,FALSE())),"?TYPE_IDENTIFIABLE","?REFERENTIAL"),"_")))))</f>
        <v> </v>
      </c>
      <c r="H1440" s="24" t="str">
        <f>IF(J1440&lt;&gt;1,"",IF(I1440="SBJ","CB","?"))</f>
        <v> </v>
      </c>
      <c r="I1440" s="25" t="str">
        <f>IF(OR(E1440="",E1440="!!!",F1440="NEW"),"",INDEX(B1439:B$2,-1+SUMPRODUCT(MAX(ROW(E1439:E$2)*(E1440=E1439:E$2)))))</f>
        <v> </v>
      </c>
      <c r="J1440" s="25" t="str">
        <f>IF(OR(E1440="",E1440="!!!",F1440="NEW"),"",COUNTBLANK(OFFSET(A$1,,,SUMPRODUCT(MAX(ROW(E$2:E1440)*(E1440=E$2:E1440)))))-COUNTBLANK(OFFSET(A$1,,,SUMPRODUCT(MAX(ROW(E$1:E1439)*(E2=E$1:E1439))))))</f>
        <v> </v>
      </c>
      <c r="K1440" s="25" t="str">
        <f>IF(OR(E1440="",E1440="!!!",F1440="NEW"),"",INDEX(J$1:J1439,SUMPRODUCT(MAX(ROW(E$1:E1439)*(E1440=E$1:E1439)))))</f>
        <v> </v>
      </c>
      <c r="L1440" s="26"/>
    </row>
    <row r="1441" spans="1:12">
      <c r="A1441" s="20" t="s">
        <v>1216</v>
      </c>
      <c r="E1441" s="21">
        <f>IF(D1441="?OLD","!!!","")</f>
        <v/>
      </c>
      <c r="F1441" s="22" t="str">
        <f>IF(OR(E1441="",E1441="!!!"),"",IF(NOT(ISNA(VLOOKUP(E1441,E$1:E1440,1,FALSE()))),"OLD",IF(AND(E1441&lt;&gt;"",E1441&lt;&gt;"!!!"),"NEW","")))</f>
        <v> </v>
      </c>
      <c r="G1441" s="23" t="str">
        <f>IF(OR(E1441="",E1441="!!!"),"",IF(OR(J1441=0,AND(J1441=1,K1441=1),AND(J1441=1,I1441="SBJ"),AND(J1441=1,I1441=0)),"?IN_FOCUS",IF(J1441&lt;=2,"?ACTIVATED",IF(J1441&lt;&gt;"","?FAMILIAR",IF(F1441="NEW",IF(ISNA(VLOOKUP(E1441,#REF!,1,FALSE())),"?TYPE_IDENTIFIABLE","?REFERENTIAL"),"_")))))</f>
        <v> </v>
      </c>
      <c r="H1441" s="24" t="str">
        <f>IF(J1441&lt;&gt;1,"",IF(I1441="SBJ","CB","?"))</f>
        <v> </v>
      </c>
      <c r="I1441" s="25" t="str">
        <f>IF(OR(E1441="",E1441="!!!",F1441="NEW"),"",INDEX(B1440:B$2,-1+SUMPRODUCT(MAX(ROW(E1440:E$2)*(E1441=E1440:E$2)))))</f>
        <v> </v>
      </c>
      <c r="J1441" s="25" t="str">
        <f>IF(OR(E1441="",E1441="!!!",F1441="NEW"),"",COUNTBLANK(OFFSET(A$1,,,SUMPRODUCT(MAX(ROW(E$2:E1441)*(E1441=E$2:E1441)))))-COUNTBLANK(OFFSET(A$1,,,SUMPRODUCT(MAX(ROW(E$1:E1440)*(E2=E$1:E1440))))))</f>
        <v> </v>
      </c>
      <c r="K1441" s="25" t="str">
        <f>IF(OR(E1441="",E1441="!!!",F1441="NEW"),"",INDEX(J$1:J1440,SUMPRODUCT(MAX(ROW(E$1:E1440)*(E1441=E$1:E1440)))))</f>
        <v> </v>
      </c>
      <c r="L1441" s="26"/>
    </row>
    <row r="1442" spans="1:12">
      <c r="A1442" s="20"/>
    </row>
    <row r="1443" spans="1:12">
      <c r="A1443" s="20" t="s">
        <v>1212</v>
      </c>
      <c r="E1443" s="21">
        <f>IF(D1443="?OLD","!!!","")</f>
        <v/>
      </c>
      <c r="F1443" s="22" t="str">
        <f>IF(OR(E1443="",E1443="!!!"),"",IF(NOT(ISNA(VLOOKUP(E1443,E$1:E1442,1,FALSE()))),"OLD",IF(AND(E1443&lt;&gt;"",E1443&lt;&gt;"!!!"),"NEW","")))</f>
        <v> </v>
      </c>
      <c r="G1443" s="23" t="str">
        <f>IF(OR(E1443="",E1443="!!!"),"",IF(OR(J1443=0,AND(J1443=1,K1443=1),AND(J1443=1,I1443="SBJ"),AND(J1443=1,I1443=0)),"?IN_FOCUS",IF(J1443&lt;=2,"?ACTIVATED",IF(J1443&lt;&gt;"","?FAMILIAR",IF(F1443="NEW",IF(ISNA(VLOOKUP(E1443,#REF!,1,FALSE())),"?TYPE_IDENTIFIABLE","?REFERENTIAL"),"_")))))</f>
        <v> </v>
      </c>
      <c r="H1443" s="24" t="str">
        <f>IF(J1443&lt;&gt;1,"",IF(I1443="SBJ","CB","?"))</f>
        <v> </v>
      </c>
      <c r="I1443" s="25" t="str">
        <f>IF(OR(E1443="",E1443="!!!",F1443="NEW"),"",INDEX(B1442:B$2,-1+SUMPRODUCT(MAX(ROW(E1442:E$2)*(E1443=E1442:E$2)))))</f>
        <v> </v>
      </c>
      <c r="J1443" s="25" t="str">
        <f>IF(OR(E1443="",E1443="!!!",F1443="NEW"),"",COUNTBLANK(OFFSET(A$1,,,SUMPRODUCT(MAX(ROW(E$2:E1443)*(E1443=E$2:E1443)))))-COUNTBLANK(OFFSET(A$1,,,SUMPRODUCT(MAX(ROW(E$1:E1442)*(E2=E$1:E1442))))))</f>
        <v> </v>
      </c>
      <c r="K1443" s="25" t="str">
        <f>IF(OR(E1443="",E1443="!!!",F1443="NEW"),"",INDEX(J$1:J1442,SUMPRODUCT(MAX(ROW(E$1:E1442)*(E1443=E$1:E1442)))))</f>
        <v> </v>
      </c>
      <c r="L1443" s="26"/>
    </row>
    <row r="1444" spans="1:12">
      <c r="A1444" s="20" t="s">
        <v>1224</v>
      </c>
    </row>
    <row r="1445" spans="1:12">
      <c r="A1445" s="20" t="s">
        <v>166</v>
      </c>
      <c r="E1445" s="21">
        <f>IF(D1445="?OLD","!!!","")</f>
        <v/>
      </c>
      <c r="F1445" s="22" t="str">
        <f>IF(OR(E1445="",E1445="!!!"),"",IF(NOT(ISNA(VLOOKUP(E1445,E$1:E1444,1,FALSE()))),"OLD",IF(AND(E1445&lt;&gt;"",E1445&lt;&gt;"!!!"),"NEW","")))</f>
        <v> </v>
      </c>
      <c r="G1445" s="23" t="str">
        <f>IF(OR(E1445="",E1445="!!!"),"",IF(OR(J1445=0,AND(J1445=1,K1445=1),AND(J1445=1,I1445="SBJ"),AND(J1445=1,I1445=0)),"?IN_FOCUS",IF(J1445&lt;=2,"?ACTIVATED",IF(J1445&lt;&gt;"","?FAMILIAR",IF(F1445="NEW",IF(ISNA(VLOOKUP(E1445,#REF!,1,FALSE())),"?TYPE_IDENTIFIABLE","?REFERENTIAL"),"_")))))</f>
        <v> </v>
      </c>
      <c r="H1445" s="24" t="str">
        <f>IF(J1445&lt;&gt;1,"",IF(I1445="SBJ","CB","?"))</f>
        <v> </v>
      </c>
      <c r="I1445" s="25" t="str">
        <f>IF(OR(E1445="",E1445="!!!",F1445="NEW"),"",INDEX(B1444:B$2,-1+SUMPRODUCT(MAX(ROW(E1444:E$2)*(E1445=E1444:E$2)))))</f>
        <v> </v>
      </c>
      <c r="J1445" s="25" t="str">
        <f>IF(OR(E1445="",E1445="!!!",F1445="NEW"),"",COUNTBLANK(OFFSET(A$1,,,SUMPRODUCT(MAX(ROW(E$2:E1445)*(E1445=E$2:E1445)))))-COUNTBLANK(OFFSET(A$1,,,SUMPRODUCT(MAX(ROW(E$1:E1444)*(E2=E$1:E1444))))))</f>
        <v> </v>
      </c>
      <c r="K1445" s="25" t="str">
        <f>IF(OR(E1445="",E1445="!!!",F1445="NEW"),"",INDEX(J$1:J1444,SUMPRODUCT(MAX(ROW(E$1:E1444)*(E1445=E$1:E1444)))))</f>
        <v> </v>
      </c>
      <c r="L1445" s="26"/>
    </row>
    <row r="1446" spans="1:12">
      <c r="A1446" s="20" t="s">
        <v>807</v>
      </c>
      <c r="B1446" s="27" t="s">
        <v>619</v>
      </c>
      <c r="C1446" s="27" t="s">
        <v>652</v>
      </c>
      <c r="D1446" s="27" t="s">
        <v>608</v>
      </c>
      <c r="E1446" s="21">
        <f>IF(D1446="?OLD","!!!","")</f>
        <v/>
      </c>
      <c r="F1446" s="22" t="str">
        <f>IF(OR(E1446="",E1446="!!!"),"",IF(NOT(ISNA(VLOOKUP(E1446,E$1:E1445,1,FALSE()))),"OLD",IF(AND(E1446&lt;&gt;"",E1446&lt;&gt;"!!!"),"NEW","")))</f>
        <v> </v>
      </c>
      <c r="G1446" s="23" t="str">
        <f>IF(OR(E1446="",E1446="!!!"),"",IF(OR(J1446=0,AND(J1446=1,K1446=1),AND(J1446=1,I1446="SBJ"),AND(J1446=1,I1446=0)),"?IN_FOCUS",IF(J1446&lt;=2,"?ACTIVATED",IF(J1446&lt;&gt;"","?FAMILIAR",IF(F1446="NEW",IF(ISNA(VLOOKUP(E1446,#REF!,1,FALSE())),"?TYPE_IDENTIFIABLE","?REFERENTIAL"),"_")))))</f>
        <v> </v>
      </c>
      <c r="H1446" s="24" t="str">
        <f>IF(J1446&lt;&gt;1,"",IF(I1446="SBJ","CB","?"))</f>
        <v> </v>
      </c>
      <c r="I1446" s="25" t="str">
        <f>IF(OR(E1446="",E1446="!!!",F1446="NEW"),"",INDEX(B1445:B$2,-1+SUMPRODUCT(MAX(ROW(E1445:E$2)*(E1446=E1445:E$2)))))</f>
        <v> </v>
      </c>
      <c r="J1446" s="25" t="str">
        <f>IF(OR(E1446="",E1446="!!!",F1446="NEW"),"",COUNTBLANK(OFFSET(A$1,,,SUMPRODUCT(MAX(ROW(E$2:E1446)*(E1446=E$2:E1446)))))-COUNTBLANK(OFFSET(A$1,,,SUMPRODUCT(MAX(ROW(E$1:E1445)*(E2=E$1:E1445))))))</f>
        <v> </v>
      </c>
      <c r="K1446" s="25" t="str">
        <f>IF(OR(E1446="",E1446="!!!",F1446="NEW"),"",INDEX(J$1:J1445,SUMPRODUCT(MAX(ROW(E$1:E1445)*(E1446=E$1:E1445)))))</f>
        <v> </v>
      </c>
      <c r="L1446" s="26"/>
    </row>
    <row r="1447" spans="1:12">
      <c r="A1447" s="20" t="s">
        <v>1150</v>
      </c>
      <c r="E1447" s="21">
        <f>IF(D1447="?OLD","!!!","")</f>
        <v/>
      </c>
      <c r="F1447" s="22" t="str">
        <f>IF(OR(E1447="",E1447="!!!"),"",IF(NOT(ISNA(VLOOKUP(E1447,E$1:E1446,1,FALSE()))),"OLD",IF(AND(E1447&lt;&gt;"",E1447&lt;&gt;"!!!"),"NEW","")))</f>
        <v> </v>
      </c>
      <c r="G1447" s="23" t="str">
        <f>IF(OR(E1447="",E1447="!!!"),"",IF(OR(J1447=0,AND(J1447=1,K1447=1),AND(J1447=1,I1447="SBJ"),AND(J1447=1,I1447=0)),"?IN_FOCUS",IF(J1447&lt;=2,"?ACTIVATED",IF(J1447&lt;&gt;"","?FAMILIAR",IF(F1447="NEW",IF(ISNA(VLOOKUP(E1447,#REF!,1,FALSE())),"?TYPE_IDENTIFIABLE","?REFERENTIAL"),"_")))))</f>
        <v> </v>
      </c>
      <c r="H1447" s="24" t="str">
        <f>IF(J1447&lt;&gt;1,"",IF(I1447="SBJ","CB","?"))</f>
        <v> </v>
      </c>
      <c r="I1447" s="25" t="str">
        <f>IF(OR(E1447="",E1447="!!!",F1447="NEW"),"",INDEX(B1446:B$2,-1+SUMPRODUCT(MAX(ROW(E1446:E$2)*(E1447=E1446:E$2)))))</f>
        <v> </v>
      </c>
      <c r="J1447" s="25" t="str">
        <f>IF(OR(E1447="",E1447="!!!",F1447="NEW"),"",COUNTBLANK(OFFSET(A$1,,,SUMPRODUCT(MAX(ROW(E$2:E1447)*(E1447=E$2:E1447)))))-COUNTBLANK(OFFSET(A$1,,,SUMPRODUCT(MAX(ROW(E$1:E1446)*(E2=E$1:E1446))))))</f>
        <v> </v>
      </c>
      <c r="K1447" s="25" t="str">
        <f>IF(OR(E1447="",E1447="!!!",F1447="NEW"),"",INDEX(J$1:J1446,SUMPRODUCT(MAX(ROW(E$1:E1446)*(E1447=E$1:E1446)))))</f>
        <v> </v>
      </c>
      <c r="L1447" s="26"/>
    </row>
    <row r="1448" spans="1:12">
      <c r="A1448" s="20" t="s">
        <v>1216</v>
      </c>
      <c r="E1448" s="21">
        <f>IF(D1448="?OLD","!!!","")</f>
        <v/>
      </c>
      <c r="F1448" s="22" t="str">
        <f>IF(OR(E1448="",E1448="!!!"),"",IF(NOT(ISNA(VLOOKUP(E1448,E$1:E1447,1,FALSE()))),"OLD",IF(AND(E1448&lt;&gt;"",E1448&lt;&gt;"!!!"),"NEW","")))</f>
        <v> </v>
      </c>
      <c r="G1448" s="23" t="str">
        <f>IF(OR(E1448="",E1448="!!!"),"",IF(OR(J1448=0,AND(J1448=1,K1448=1),AND(J1448=1,I1448="SBJ"),AND(J1448=1,I1448=0)),"?IN_FOCUS",IF(J1448&lt;=2,"?ACTIVATED",IF(J1448&lt;&gt;"","?FAMILIAR",IF(F1448="NEW",IF(ISNA(VLOOKUP(E1448,#REF!,1,FALSE())),"?TYPE_IDENTIFIABLE","?REFERENTIAL"),"_")))))</f>
        <v> </v>
      </c>
      <c r="H1448" s="24" t="str">
        <f>IF(J1448&lt;&gt;1,"",IF(I1448="SBJ","CB","?"))</f>
        <v> </v>
      </c>
      <c r="I1448" s="25" t="str">
        <f>IF(OR(E1448="",E1448="!!!",F1448="NEW"),"",INDEX(B1447:B$2,-1+SUMPRODUCT(MAX(ROW(E1447:E$2)*(E1448=E1447:E$2)))))</f>
        <v> </v>
      </c>
      <c r="J1448" s="25" t="str">
        <f>IF(OR(E1448="",E1448="!!!",F1448="NEW"),"",COUNTBLANK(OFFSET(A$1,,,SUMPRODUCT(MAX(ROW(E$2:E1448)*(E1448=E$2:E1448)))))-COUNTBLANK(OFFSET(A$1,,,SUMPRODUCT(MAX(ROW(E$1:E1447)*(E2=E$1:E1447))))))</f>
        <v> </v>
      </c>
      <c r="K1448" s="25" t="str">
        <f>IF(OR(E1448="",E1448="!!!",F1448="NEW"),"",INDEX(J$1:J1447,SUMPRODUCT(MAX(ROW(E$1:E1447)*(E1448=E$1:E1447)))))</f>
        <v> </v>
      </c>
      <c r="L1448" s="26"/>
    </row>
    <row r="1449" spans="1:12">
      <c r="A1449" s="20" t="s">
        <v>630</v>
      </c>
      <c r="B1449" s="27" t="s">
        <v>619</v>
      </c>
      <c r="C1449" s="27" t="s">
        <v>631</v>
      </c>
      <c r="D1449" s="27" t="s">
        <v>608</v>
      </c>
      <c r="E1449" s="21">
        <f>IF(D1449="?OLD","!!!","")</f>
        <v/>
      </c>
      <c r="F1449" s="22" t="str">
        <f>IF(OR(E1449="",E1449="!!!"),"",IF(NOT(ISNA(VLOOKUP(E1449,E$1:E1448,1,FALSE()))),"OLD",IF(AND(E1449&lt;&gt;"",E1449&lt;&gt;"!!!"),"NEW","")))</f>
        <v> </v>
      </c>
      <c r="G1449" s="23" t="str">
        <f>IF(OR(E1449="",E1449="!!!"),"",IF(OR(J1449=0,AND(J1449=1,K1449=1),AND(J1449=1,I1449="SBJ"),AND(J1449=1,I1449=0)),"?IN_FOCUS",IF(J1449&lt;=2,"?ACTIVATED",IF(J1449&lt;&gt;"","?FAMILIAR",IF(F1449="NEW",IF(ISNA(VLOOKUP(E1449,#REF!,1,FALSE())),"?TYPE_IDENTIFIABLE","?REFERENTIAL"),"_")))))</f>
        <v> </v>
      </c>
      <c r="H1449" s="24" t="str">
        <f>IF(J1449&lt;&gt;1,"",IF(I1449="SBJ","CB","?"))</f>
        <v> </v>
      </c>
      <c r="I1449" s="25" t="str">
        <f>IF(OR(E1449="",E1449="!!!",F1449="NEW"),"",INDEX(B1448:B$2,-1+SUMPRODUCT(MAX(ROW(E1448:E$2)*(E1449=E1448:E$2)))))</f>
        <v> </v>
      </c>
      <c r="J1449" s="25" t="str">
        <f>IF(OR(E1449="",E1449="!!!",F1449="NEW"),"",COUNTBLANK(OFFSET(A$1,,,SUMPRODUCT(MAX(ROW(E$2:E1449)*(E1449=E$2:E1449)))))-COUNTBLANK(OFFSET(A$1,,,SUMPRODUCT(MAX(ROW(E$1:E1448)*(E2=E$1:E1448))))))</f>
        <v> </v>
      </c>
      <c r="K1449" s="25" t="str">
        <f>IF(OR(E1449="",E1449="!!!",F1449="NEW"),"",INDEX(J$1:J1448,SUMPRODUCT(MAX(ROW(E$1:E1448)*(E1449=E$1:E1448)))))</f>
        <v> </v>
      </c>
      <c r="L1449" s="26"/>
    </row>
    <row r="1450" spans="1:12">
      <c r="A1450" s="20" t="s">
        <v>612</v>
      </c>
      <c r="E1450" s="21">
        <f>IF(D1450="?OLD","!!!","")</f>
        <v/>
      </c>
      <c r="F1450" s="22" t="str">
        <f>IF(OR(E1450="",E1450="!!!"),"",IF(NOT(ISNA(VLOOKUP(E1450,E$1:E1449,1,FALSE()))),"OLD",IF(AND(E1450&lt;&gt;"",E1450&lt;&gt;"!!!"),"NEW","")))</f>
        <v> </v>
      </c>
      <c r="G1450" s="23" t="str">
        <f>IF(OR(E1450="",E1450="!!!"),"",IF(OR(J1450=0,AND(J1450=1,K1450=1),AND(J1450=1,I1450="SBJ"),AND(J1450=1,I1450=0)),"?IN_FOCUS",IF(J1450&lt;=2,"?ACTIVATED",IF(J1450&lt;&gt;"","?FAMILIAR",IF(F1450="NEW",IF(ISNA(VLOOKUP(E1450,#REF!,1,FALSE())),"?TYPE_IDENTIFIABLE","?REFERENTIAL"),"_")))))</f>
        <v> </v>
      </c>
      <c r="H1450" s="24" t="str">
        <f>IF(J1450&lt;&gt;1,"",IF(I1450="SBJ","CB","?"))</f>
        <v> </v>
      </c>
      <c r="I1450" s="25" t="str">
        <f>IF(OR(E1450="",E1450="!!!",F1450="NEW"),"",INDEX(B1449:B$2,-1+SUMPRODUCT(MAX(ROW(E1449:E$2)*(E1450=E1449:E$2)))))</f>
        <v> </v>
      </c>
      <c r="J1450" s="25" t="str">
        <f>IF(OR(E1450="",E1450="!!!",F1450="NEW"),"",COUNTBLANK(OFFSET(A$1,,,SUMPRODUCT(MAX(ROW(E$2:E1450)*(E1450=E$2:E1450)))))-COUNTBLANK(OFFSET(A$1,,,SUMPRODUCT(MAX(ROW(E$1:E1449)*(E2=E$1:E1449))))))</f>
        <v> </v>
      </c>
      <c r="K1450" s="25" t="str">
        <f>IF(OR(E1450="",E1450="!!!",F1450="NEW"),"",INDEX(J$1:J1449,SUMPRODUCT(MAX(ROW(E$1:E1449)*(E1450=E$1:E1449)))))</f>
        <v> </v>
      </c>
      <c r="L1450" s="26"/>
    </row>
    <row r="1451" spans="1:12">
      <c r="A1451" s="20" t="s">
        <v>717</v>
      </c>
      <c r="E1451" s="21">
        <f>IF(D1451="?OLD","!!!","")</f>
        <v/>
      </c>
      <c r="F1451" s="22" t="str">
        <f>IF(OR(E1451="",E1451="!!!"),"",IF(NOT(ISNA(VLOOKUP(E1451,E$1:E1450,1,FALSE()))),"OLD",IF(AND(E1451&lt;&gt;"",E1451&lt;&gt;"!!!"),"NEW","")))</f>
        <v> </v>
      </c>
      <c r="G1451" s="23" t="str">
        <f>IF(OR(E1451="",E1451="!!!"),"",IF(OR(J1451=0,AND(J1451=1,K1451=1),AND(J1451=1,I1451="SBJ"),AND(J1451=1,I1451=0)),"?IN_FOCUS",IF(J1451&lt;=2,"?ACTIVATED",IF(J1451&lt;&gt;"","?FAMILIAR",IF(F1451="NEW",IF(ISNA(VLOOKUP(E1451,#REF!,1,FALSE())),"?TYPE_IDENTIFIABLE","?REFERENTIAL"),"_")))))</f>
        <v> </v>
      </c>
      <c r="H1451" s="24" t="str">
        <f>IF(J1451&lt;&gt;1,"",IF(I1451="SBJ","CB","?"))</f>
        <v> </v>
      </c>
      <c r="I1451" s="25" t="str">
        <f>IF(OR(E1451="",E1451="!!!",F1451="NEW"),"",INDEX(B1450:B$2,-1+SUMPRODUCT(MAX(ROW(E1450:E$2)*(E1451=E1450:E$2)))))</f>
        <v> </v>
      </c>
      <c r="J1451" s="25" t="str">
        <f>IF(OR(E1451="",E1451="!!!",F1451="NEW"),"",COUNTBLANK(OFFSET(A$1,,,SUMPRODUCT(MAX(ROW(E$2:E1451)*(E1451=E$2:E1451)))))-COUNTBLANK(OFFSET(A$1,,,SUMPRODUCT(MAX(ROW(E$1:E1450)*(E2=E$1:E1450))))))</f>
        <v> </v>
      </c>
      <c r="K1451" s="25" t="str">
        <f>IF(OR(E1451="",E1451="!!!",F1451="NEW"),"",INDEX(J$1:J1450,SUMPRODUCT(MAX(ROW(E$1:E1450)*(E1451=E$1:E1450)))))</f>
        <v> </v>
      </c>
      <c r="L1451" s="26"/>
    </row>
    <row r="1452" spans="1:12">
      <c r="A1452" s="20" t="s">
        <v>1225</v>
      </c>
      <c r="E1452" s="21">
        <f>IF(D1452="?OLD","!!!","")</f>
        <v/>
      </c>
      <c r="F1452" s="22" t="str">
        <f>IF(OR(E1452="",E1452="!!!"),"",IF(NOT(ISNA(VLOOKUP(E1452,E$1:E1451,1,FALSE()))),"OLD",IF(AND(E1452&lt;&gt;"",E1452&lt;&gt;"!!!"),"NEW","")))</f>
        <v> </v>
      </c>
      <c r="G1452" s="23" t="str">
        <f>IF(OR(E1452="",E1452="!!!"),"",IF(OR(J1452=0,AND(J1452=1,K1452=1),AND(J1452=1,I1452="SBJ"),AND(J1452=1,I1452=0)),"?IN_FOCUS",IF(J1452&lt;=2,"?ACTIVATED",IF(J1452&lt;&gt;"","?FAMILIAR",IF(F1452="NEW",IF(ISNA(VLOOKUP(E1452,#REF!,1,FALSE())),"?TYPE_IDENTIFIABLE","?REFERENTIAL"),"_")))))</f>
        <v> </v>
      </c>
      <c r="H1452" s="24" t="str">
        <f>IF(J1452&lt;&gt;1,"",IF(I1452="SBJ","CB","?"))</f>
        <v> </v>
      </c>
      <c r="I1452" s="25" t="str">
        <f>IF(OR(E1452="",E1452="!!!",F1452="NEW"),"",INDEX(B1451:B$2,-1+SUMPRODUCT(MAX(ROW(E1451:E$2)*(E1452=E1451:E$2)))))</f>
        <v> </v>
      </c>
      <c r="J1452" s="25" t="str">
        <f>IF(OR(E1452="",E1452="!!!",F1452="NEW"),"",COUNTBLANK(OFFSET(A$1,,,SUMPRODUCT(MAX(ROW(E$2:E1452)*(E1452=E$2:E1452)))))-COUNTBLANK(OFFSET(A$1,,,SUMPRODUCT(MAX(ROW(E$1:E1451)*(E2=E$1:E1451))))))</f>
        <v> </v>
      </c>
      <c r="K1452" s="25" t="str">
        <f>IF(OR(E1452="",E1452="!!!",F1452="NEW"),"",INDEX(J$1:J1451,SUMPRODUCT(MAX(ROW(E$1:E1451)*(E1452=E$1:E1451)))))</f>
        <v> </v>
      </c>
      <c r="L1452" s="26"/>
    </row>
    <row r="1453" spans="1:12">
      <c r="A1453" s="20" t="s">
        <v>749</v>
      </c>
      <c r="B1453" s="27" t="s">
        <v>606</v>
      </c>
      <c r="C1453" s="27" t="s">
        <v>685</v>
      </c>
      <c r="E1453" s="21">
        <f>IF(D1453="?OLD","!!!","")</f>
        <v/>
      </c>
      <c r="F1453" s="22" t="str">
        <f>IF(OR(E1453="",E1453="!!!"),"",IF(NOT(ISNA(VLOOKUP(E1453,E$1:E1452,1,FALSE()))),"OLD",IF(AND(E1453&lt;&gt;"",E1453&lt;&gt;"!!!"),"NEW","")))</f>
        <v> </v>
      </c>
      <c r="G1453" s="23" t="str">
        <f>IF(OR(E1453="",E1453="!!!"),"",IF(OR(J1453=0,AND(J1453=1,K1453=1),AND(J1453=1,I1453="SBJ"),AND(J1453=1,I1453=0)),"?IN_FOCUS",IF(J1453&lt;=2,"?ACTIVATED",IF(J1453&lt;&gt;"","?FAMILIAR",IF(F1453="NEW",IF(ISNA(VLOOKUP(E1453,#REF!,1,FALSE())),"?TYPE_IDENTIFIABLE","?REFERENTIAL"),"_")))))</f>
        <v> </v>
      </c>
      <c r="H1453" s="24" t="str">
        <f>IF(J1453&lt;&gt;1,"",IF(I1453="SBJ","CB","?"))</f>
        <v> </v>
      </c>
      <c r="I1453" s="25" t="str">
        <f>IF(OR(E1453="",E1453="!!!",F1453="NEW"),"",INDEX(B1452:B$2,-1+SUMPRODUCT(MAX(ROW(E1452:E$2)*(E1453=E1452:E$2)))))</f>
        <v> </v>
      </c>
      <c r="J1453" s="25" t="str">
        <f>IF(OR(E1453="",E1453="!!!",F1453="NEW"),"",COUNTBLANK(OFFSET(A$1,,,SUMPRODUCT(MAX(ROW(E$2:E1453)*(E1453=E$2:E1453)))))-COUNTBLANK(OFFSET(A$1,,,SUMPRODUCT(MAX(ROW(E$1:E1452)*(E2=E$1:E1452))))))</f>
        <v> </v>
      </c>
      <c r="K1453" s="25" t="str">
        <f>IF(OR(E1453="",E1453="!!!",F1453="NEW"),"",INDEX(J$1:J1452,SUMPRODUCT(MAX(ROW(E$1:E1452)*(E1453=E$1:E1452)))))</f>
        <v> </v>
      </c>
      <c r="L1453" s="26"/>
    </row>
    <row r="1454" spans="1:12">
      <c r="A1454" s="20" t="s">
        <v>707</v>
      </c>
      <c r="E1454" s="21">
        <f>IF(D1454="?OLD","!!!","")</f>
        <v/>
      </c>
      <c r="F1454" s="22" t="str">
        <f>IF(OR(E1454="",E1454="!!!"),"",IF(NOT(ISNA(VLOOKUP(E1454,E$1:E1453,1,FALSE()))),"OLD",IF(AND(E1454&lt;&gt;"",E1454&lt;&gt;"!!!"),"NEW","")))</f>
        <v> </v>
      </c>
      <c r="G1454" s="23" t="str">
        <f>IF(OR(E1454="",E1454="!!!"),"",IF(OR(J1454=0,AND(J1454=1,K1454=1),AND(J1454=1,I1454="SBJ"),AND(J1454=1,I1454=0)),"?IN_FOCUS",IF(J1454&lt;=2,"?ACTIVATED",IF(J1454&lt;&gt;"","?FAMILIAR",IF(F1454="NEW",IF(ISNA(VLOOKUP(E1454,#REF!,1,FALSE())),"?TYPE_IDENTIFIABLE","?REFERENTIAL"),"_")))))</f>
        <v> </v>
      </c>
      <c r="H1454" s="24" t="str">
        <f>IF(J1454&lt;&gt;1,"",IF(I1454="SBJ","CB","?"))</f>
        <v> </v>
      </c>
      <c r="I1454" s="25" t="str">
        <f>IF(OR(E1454="",E1454="!!!",F1454="NEW"),"",INDEX(B1453:B$2,-1+SUMPRODUCT(MAX(ROW(E1453:E$2)*(E1454=E1453:E$2)))))</f>
        <v> </v>
      </c>
      <c r="J1454" s="25" t="str">
        <f>IF(OR(E1454="",E1454="!!!",F1454="NEW"),"",COUNTBLANK(OFFSET(A$1,,,SUMPRODUCT(MAX(ROW(E$2:E1454)*(E1454=E$2:E1454)))))-COUNTBLANK(OFFSET(A$1,,,SUMPRODUCT(MAX(ROW(E$1:E1453)*(E2=E$1:E1453))))))</f>
        <v> </v>
      </c>
      <c r="K1454" s="25" t="str">
        <f>IF(OR(E1454="",E1454="!!!",F1454="NEW"),"",INDEX(J$1:J1453,SUMPRODUCT(MAX(ROW(E$1:E1453)*(E1454=E$1:E1453)))))</f>
        <v> </v>
      </c>
      <c r="L1454" s="26"/>
    </row>
    <row r="1455" spans="1:12">
      <c r="A1455" s="20" t="s">
        <v>603</v>
      </c>
      <c r="E1455" s="21">
        <f>IF(D1455="?OLD","!!!","")</f>
        <v/>
      </c>
      <c r="F1455" s="22" t="str">
        <f>IF(OR(E1455="",E1455="!!!"),"",IF(NOT(ISNA(VLOOKUP(E1455,E$1:E1454,1,FALSE()))),"OLD",IF(AND(E1455&lt;&gt;"",E1455&lt;&gt;"!!!"),"NEW","")))</f>
        <v> </v>
      </c>
      <c r="G1455" s="23" t="str">
        <f>IF(OR(E1455="",E1455="!!!"),"",IF(OR(J1455=0,AND(J1455=1,K1455=1),AND(J1455=1,I1455="SBJ"),AND(J1455=1,I1455=0)),"?IN_FOCUS",IF(J1455&lt;=2,"?ACTIVATED",IF(J1455&lt;&gt;"","?FAMILIAR",IF(F1455="NEW",IF(ISNA(VLOOKUP(E1455,#REF!,1,FALSE())),"?TYPE_IDENTIFIABLE","?REFERENTIAL"),"_")))))</f>
        <v> </v>
      </c>
      <c r="H1455" s="24" t="str">
        <f>IF(J1455&lt;&gt;1,"",IF(I1455="SBJ","CB","?"))</f>
        <v> </v>
      </c>
      <c r="I1455" s="25" t="str">
        <f>IF(OR(E1455="",E1455="!!!",F1455="NEW"),"",INDEX(B1454:B$2,-1+SUMPRODUCT(MAX(ROW(E1454:E$2)*(E1455=E1454:E$2)))))</f>
        <v> </v>
      </c>
      <c r="J1455" s="25" t="str">
        <f>IF(OR(E1455="",E1455="!!!",F1455="NEW"),"",COUNTBLANK(OFFSET(A$1,,,SUMPRODUCT(MAX(ROW(E$2:E1455)*(E1455=E$2:E1455)))))-COUNTBLANK(OFFSET(A$1,,,SUMPRODUCT(MAX(ROW(E$1:E1454)*(E2=E$1:E1454))))))</f>
        <v> </v>
      </c>
      <c r="K1455" s="25" t="str">
        <f>IF(OR(E1455="",E1455="!!!",F1455="NEW"),"",INDEX(J$1:J1454,SUMPRODUCT(MAX(ROW(E$1:E1454)*(E1455=E$1:E1454)))))</f>
        <v> </v>
      </c>
      <c r="L1455" s="26"/>
    </row>
    <row r="1456" spans="1:12">
      <c r="A1456" s="20" t="s">
        <v>893</v>
      </c>
      <c r="B1456" s="27" t="s">
        <v>611</v>
      </c>
      <c r="C1456" s="27" t="s">
        <v>607</v>
      </c>
      <c r="D1456" s="27" t="s">
        <v>608</v>
      </c>
      <c r="E1456" s="21">
        <f>IF(D1456="?OLD","!!!","")</f>
        <v/>
      </c>
      <c r="F1456" s="22" t="str">
        <f>IF(OR(E1456="",E1456="!!!"),"",IF(NOT(ISNA(VLOOKUP(E1456,E$1:E1455,1,FALSE()))),"OLD",IF(AND(E1456&lt;&gt;"",E1456&lt;&gt;"!!!"),"NEW","")))</f>
        <v> </v>
      </c>
      <c r="G1456" s="23" t="str">
        <f>IF(OR(E1456="",E1456="!!!"),"",IF(OR(J1456=0,AND(J1456=1,K1456=1),AND(J1456=1,I1456="SBJ"),AND(J1456=1,I1456=0)),"?IN_FOCUS",IF(J1456&lt;=2,"?ACTIVATED",IF(J1456&lt;&gt;"","?FAMILIAR",IF(F1456="NEW",IF(ISNA(VLOOKUP(E1456,#REF!,1,FALSE())),"?TYPE_IDENTIFIABLE","?REFERENTIAL"),"_")))))</f>
        <v> </v>
      </c>
      <c r="H1456" s="24" t="str">
        <f>IF(J1456&lt;&gt;1,"",IF(I1456="SBJ","CB","?"))</f>
        <v> </v>
      </c>
      <c r="I1456" s="25" t="str">
        <f>IF(OR(E1456="",E1456="!!!",F1456="NEW"),"",INDEX(B1455:B$2,-1+SUMPRODUCT(MAX(ROW(E1455:E$2)*(E1456=E1455:E$2)))))</f>
        <v> </v>
      </c>
      <c r="J1456" s="25" t="str">
        <f>IF(OR(E1456="",E1456="!!!",F1456="NEW"),"",COUNTBLANK(OFFSET(A$1,,,SUMPRODUCT(MAX(ROW(E$2:E1456)*(E1456=E$2:E1456)))))-COUNTBLANK(OFFSET(A$1,,,SUMPRODUCT(MAX(ROW(E$1:E1455)*(E2=E$1:E1455))))))</f>
        <v> </v>
      </c>
      <c r="K1456" s="25" t="str">
        <f>IF(OR(E1456="",E1456="!!!",F1456="NEW"),"",INDEX(J$1:J1455,SUMPRODUCT(MAX(ROW(E$1:E1455)*(E1456=E$1:E1455)))))</f>
        <v> </v>
      </c>
      <c r="L1456" s="26"/>
    </row>
    <row r="1457" spans="1:12">
      <c r="A1457" s="20" t="s">
        <v>633</v>
      </c>
      <c r="E1457" s="21">
        <f>IF(D1457="?OLD","!!!","")</f>
        <v/>
      </c>
      <c r="F1457" s="22" t="str">
        <f>IF(OR(E1457="",E1457="!!!"),"",IF(NOT(ISNA(VLOOKUP(E1457,E$1:E1456,1,FALSE()))),"OLD",IF(AND(E1457&lt;&gt;"",E1457&lt;&gt;"!!!"),"NEW","")))</f>
        <v> </v>
      </c>
      <c r="G1457" s="23" t="str">
        <f>IF(OR(E1457="",E1457="!!!"),"",IF(OR(J1457=0,AND(J1457=1,K1457=1),AND(J1457=1,I1457="SBJ"),AND(J1457=1,I1457=0)),"?IN_FOCUS",IF(J1457&lt;=2,"?ACTIVATED",IF(J1457&lt;&gt;"","?FAMILIAR",IF(F1457="NEW",IF(ISNA(VLOOKUP(E1457,#REF!,1,FALSE())),"?TYPE_IDENTIFIABLE","?REFERENTIAL"),"_")))))</f>
        <v> </v>
      </c>
      <c r="H1457" s="24" t="str">
        <f>IF(J1457&lt;&gt;1,"",IF(I1457="SBJ","CB","?"))</f>
        <v> </v>
      </c>
      <c r="I1457" s="25" t="str">
        <f>IF(OR(E1457="",E1457="!!!",F1457="NEW"),"",INDEX(B1456:B$2,-1+SUMPRODUCT(MAX(ROW(E1456:E$2)*(E1457=E1456:E$2)))))</f>
        <v> </v>
      </c>
      <c r="J1457" s="25" t="str">
        <f>IF(OR(E1457="",E1457="!!!",F1457="NEW"),"",COUNTBLANK(OFFSET(A$1,,,SUMPRODUCT(MAX(ROW(E$2:E1457)*(E1457=E$2:E1457)))))-COUNTBLANK(OFFSET(A$1,,,SUMPRODUCT(MAX(ROW(E$1:E1456)*(E2=E$1:E1456))))))</f>
        <v> </v>
      </c>
      <c r="K1457" s="25" t="str">
        <f>IF(OR(E1457="",E1457="!!!",F1457="NEW"),"",INDEX(J$1:J1456,SUMPRODUCT(MAX(ROW(E$1:E1456)*(E1457=E$1:E1456)))))</f>
        <v> </v>
      </c>
      <c r="L1457" s="26"/>
    </row>
    <row r="1458" spans="1:12">
      <c r="A1458" s="20" t="s">
        <v>1216</v>
      </c>
      <c r="E1458" s="21">
        <f>IF(D1458="?OLD","!!!","")</f>
        <v/>
      </c>
      <c r="F1458" s="22" t="str">
        <f>IF(OR(E1458="",E1458="!!!"),"",IF(NOT(ISNA(VLOOKUP(E1458,E$1:E1457,1,FALSE()))),"OLD",IF(AND(E1458&lt;&gt;"",E1458&lt;&gt;"!!!"),"NEW","")))</f>
        <v> </v>
      </c>
      <c r="G1458" s="23" t="str">
        <f>IF(OR(E1458="",E1458="!!!"),"",IF(OR(J1458=0,AND(J1458=1,K1458=1),AND(J1458=1,I1458="SBJ"),AND(J1458=1,I1458=0)),"?IN_FOCUS",IF(J1458&lt;=2,"?ACTIVATED",IF(J1458&lt;&gt;"","?FAMILIAR",IF(F1458="NEW",IF(ISNA(VLOOKUP(E1458,#REF!,1,FALSE())),"?TYPE_IDENTIFIABLE","?REFERENTIAL"),"_")))))</f>
        <v> </v>
      </c>
      <c r="H1458" s="24" t="str">
        <f>IF(J1458&lt;&gt;1,"",IF(I1458="SBJ","CB","?"))</f>
        <v> </v>
      </c>
      <c r="I1458" s="25" t="str">
        <f>IF(OR(E1458="",E1458="!!!",F1458="NEW"),"",INDEX(B1457:B$2,-1+SUMPRODUCT(MAX(ROW(E1457:E$2)*(E1458=E1457:E$2)))))</f>
        <v> </v>
      </c>
      <c r="J1458" s="25" t="str">
        <f>IF(OR(E1458="",E1458="!!!",F1458="NEW"),"",COUNTBLANK(OFFSET(A$1,,,SUMPRODUCT(MAX(ROW(E$2:E1458)*(E1458=E$2:E1458)))))-COUNTBLANK(OFFSET(A$1,,,SUMPRODUCT(MAX(ROW(E$1:E1457)*(E2=E$1:E1457))))))</f>
        <v> </v>
      </c>
      <c r="K1458" s="25" t="str">
        <f>IF(OR(E1458="",E1458="!!!",F1458="NEW"),"",INDEX(J$1:J1457,SUMPRODUCT(MAX(ROW(E$1:E1457)*(E1458=E$1:E1457)))))</f>
        <v> </v>
      </c>
      <c r="L1458" s="26"/>
    </row>
    <row r="1459" spans="1:12">
      <c r="A1459" s="20"/>
    </row>
    <row r="1460" spans="1:12">
      <c r="A1460" s="20" t="s">
        <v>1226</v>
      </c>
    </row>
    <row r="1461" spans="1:12">
      <c r="A1461" s="20" t="s">
        <v>661</v>
      </c>
      <c r="E1461" s="21">
        <f>IF(D1461="?OLD","!!!","")</f>
        <v/>
      </c>
      <c r="F1461" s="22" t="str">
        <f>IF(OR(E1461="",E1461="!!!"),"",IF(NOT(ISNA(VLOOKUP(E1461,E$1:E1460,1,FALSE()))),"OLD",IF(AND(E1461&lt;&gt;"",E1461&lt;&gt;"!!!"),"NEW","")))</f>
        <v> </v>
      </c>
      <c r="G1461" s="23" t="str">
        <f>IF(OR(E1461="",E1461="!!!"),"",IF(OR(J1461=0,AND(J1461=1,K1461=1),AND(J1461=1,I1461="SBJ"),AND(J1461=1,I1461=0)),"?IN_FOCUS",IF(J1461&lt;=2,"?ACTIVATED",IF(J1461&lt;&gt;"","?FAMILIAR",IF(F1461="NEW",IF(ISNA(VLOOKUP(E1461,#REF!,1,FALSE())),"?TYPE_IDENTIFIABLE","?REFERENTIAL"),"_")))))</f>
        <v> </v>
      </c>
      <c r="H1461" s="24" t="str">
        <f>IF(J1461&lt;&gt;1,"",IF(I1461="SBJ","CB","?"))</f>
        <v> </v>
      </c>
      <c r="I1461" s="25" t="str">
        <f>IF(OR(E1461="",E1461="!!!",F1461="NEW"),"",INDEX(B1460:B$2,-1+SUMPRODUCT(MAX(ROW(E1460:E$2)*(E1461=E1460:E$2)))))</f>
        <v> </v>
      </c>
      <c r="J1461" s="25" t="str">
        <f>IF(OR(E1461="",E1461="!!!",F1461="NEW"),"",COUNTBLANK(OFFSET(A$1,,,SUMPRODUCT(MAX(ROW(E$2:E1461)*(E1461=E$2:E1461)))))-COUNTBLANK(OFFSET(A$1,,,SUMPRODUCT(MAX(ROW(E$1:E1460)*(E2=E$1:E1460))))))</f>
        <v> </v>
      </c>
      <c r="K1461" s="25" t="str">
        <f>IF(OR(E1461="",E1461="!!!",F1461="NEW"),"",INDEX(J$1:J1460,SUMPRODUCT(MAX(ROW(E$1:E1460)*(E1461=E$1:E1460)))))</f>
        <v> </v>
      </c>
      <c r="L1461" s="26"/>
    </row>
    <row r="1462" spans="1:12">
      <c r="A1462" s="20" t="s">
        <v>766</v>
      </c>
      <c r="E1462" s="21">
        <f>IF(D1462="?OLD","!!!","")</f>
        <v/>
      </c>
      <c r="F1462" s="22" t="str">
        <f>IF(OR(E1462="",E1462="!!!"),"",IF(NOT(ISNA(VLOOKUP(E1462,E$1:E1461,1,FALSE()))),"OLD",IF(AND(E1462&lt;&gt;"",E1462&lt;&gt;"!!!"),"NEW","")))</f>
        <v> </v>
      </c>
      <c r="G1462" s="23" t="str">
        <f>IF(OR(E1462="",E1462="!!!"),"",IF(OR(J1462=0,AND(J1462=1,K1462=1),AND(J1462=1,I1462="SBJ"),AND(J1462=1,I1462=0)),"?IN_FOCUS",IF(J1462&lt;=2,"?ACTIVATED",IF(J1462&lt;&gt;"","?FAMILIAR",IF(F1462="NEW",IF(ISNA(VLOOKUP(E1462,#REF!,1,FALSE())),"?TYPE_IDENTIFIABLE","?REFERENTIAL"),"_")))))</f>
        <v> </v>
      </c>
      <c r="H1462" s="24" t="str">
        <f>IF(J1462&lt;&gt;1,"",IF(I1462="SBJ","CB","?"))</f>
        <v> </v>
      </c>
      <c r="I1462" s="25" t="str">
        <f>IF(OR(E1462="",E1462="!!!",F1462="NEW"),"",INDEX(B1461:B$2,-1+SUMPRODUCT(MAX(ROW(E1461:E$2)*(E1462=E1461:E$2)))))</f>
        <v> </v>
      </c>
      <c r="J1462" s="25" t="str">
        <f>IF(OR(E1462="",E1462="!!!",F1462="NEW"),"",COUNTBLANK(OFFSET(A$1,,,SUMPRODUCT(MAX(ROW(E$2:E1462)*(E1462=E$2:E1462)))))-COUNTBLANK(OFFSET(A$1,,,SUMPRODUCT(MAX(ROW(E$1:E1461)*(E2=E$1:E1461))))))</f>
        <v> </v>
      </c>
      <c r="K1462" s="25" t="str">
        <f>IF(OR(E1462="",E1462="!!!",F1462="NEW"),"",INDEX(J$1:J1461,SUMPRODUCT(MAX(ROW(E$1:E1461)*(E1462=E$1:E1461)))))</f>
        <v> </v>
      </c>
      <c r="L1462" s="26"/>
    </row>
    <row r="1463" spans="1:12">
      <c r="A1463" s="20" t="s">
        <v>712</v>
      </c>
      <c r="E1463" s="21">
        <f>IF(D1463="?OLD","!!!","")</f>
        <v/>
      </c>
      <c r="F1463" s="22" t="str">
        <f>IF(OR(E1463="",E1463="!!!"),"",IF(NOT(ISNA(VLOOKUP(E1463,E$1:E1462,1,FALSE()))),"OLD",IF(AND(E1463&lt;&gt;"",E1463&lt;&gt;"!!!"),"NEW","")))</f>
        <v> </v>
      </c>
      <c r="G1463" s="23" t="str">
        <f>IF(OR(E1463="",E1463="!!!"),"",IF(OR(J1463=0,AND(J1463=1,K1463=1),AND(J1463=1,I1463="SBJ"),AND(J1463=1,I1463=0)),"?IN_FOCUS",IF(J1463&lt;=2,"?ACTIVATED",IF(J1463&lt;&gt;"","?FAMILIAR",IF(F1463="NEW",IF(ISNA(VLOOKUP(E1463,#REF!,1,FALSE())),"?TYPE_IDENTIFIABLE","?REFERENTIAL"),"_")))))</f>
        <v> </v>
      </c>
      <c r="H1463" s="24" t="str">
        <f>IF(J1463&lt;&gt;1,"",IF(I1463="SBJ","CB","?"))</f>
        <v> </v>
      </c>
      <c r="I1463" s="25" t="str">
        <f>IF(OR(E1463="",E1463="!!!",F1463="NEW"),"",INDEX(B1462:B$2,-1+SUMPRODUCT(MAX(ROW(E1462:E$2)*(E1463=E1462:E$2)))))</f>
        <v> </v>
      </c>
      <c r="J1463" s="25" t="str">
        <f>IF(OR(E1463="",E1463="!!!",F1463="NEW"),"",COUNTBLANK(OFFSET(A$1,,,SUMPRODUCT(MAX(ROW(E$2:E1463)*(E1463=E$2:E1463)))))-COUNTBLANK(OFFSET(A$1,,,SUMPRODUCT(MAX(ROW(E$1:E1462)*(E2=E$1:E1462))))))</f>
        <v> </v>
      </c>
      <c r="K1463" s="25" t="str">
        <f>IF(OR(E1463="",E1463="!!!",F1463="NEW"),"",INDEX(J$1:J1462,SUMPRODUCT(MAX(ROW(E$1:E1462)*(E1463=E$1:E1462)))))</f>
        <v> </v>
      </c>
      <c r="L1463" s="26"/>
    </row>
    <row r="1464" spans="1:12">
      <c r="A1464" s="20" t="s">
        <v>801</v>
      </c>
      <c r="E1464" s="21">
        <f>IF(D1464="?OLD","!!!","")</f>
        <v/>
      </c>
      <c r="F1464" s="22" t="str">
        <f>IF(OR(E1464="",E1464="!!!"),"",IF(NOT(ISNA(VLOOKUP(E1464,E$1:E1463,1,FALSE()))),"OLD",IF(AND(E1464&lt;&gt;"",E1464&lt;&gt;"!!!"),"NEW","")))</f>
        <v> </v>
      </c>
      <c r="G1464" s="23" t="str">
        <f>IF(OR(E1464="",E1464="!!!"),"",IF(OR(J1464=0,AND(J1464=1,K1464=1),AND(J1464=1,I1464="SBJ"),AND(J1464=1,I1464=0)),"?IN_FOCUS",IF(J1464&lt;=2,"?ACTIVATED",IF(J1464&lt;&gt;"","?FAMILIAR",IF(F1464="NEW",IF(ISNA(VLOOKUP(E1464,#REF!,1,FALSE())),"?TYPE_IDENTIFIABLE","?REFERENTIAL"),"_")))))</f>
        <v> </v>
      </c>
      <c r="H1464" s="24" t="str">
        <f>IF(J1464&lt;&gt;1,"",IF(I1464="SBJ","CB","?"))</f>
        <v> </v>
      </c>
      <c r="I1464" s="25" t="str">
        <f>IF(OR(E1464="",E1464="!!!",F1464="NEW"),"",INDEX(B1463:B$2,-1+SUMPRODUCT(MAX(ROW(E1463:E$2)*(E1464=E1463:E$2)))))</f>
        <v> </v>
      </c>
      <c r="J1464" s="25" t="str">
        <f>IF(OR(E1464="",E1464="!!!",F1464="NEW"),"",COUNTBLANK(OFFSET(A$1,,,SUMPRODUCT(MAX(ROW(E$2:E1464)*(E1464=E$2:E1464)))))-COUNTBLANK(OFFSET(A$1,,,SUMPRODUCT(MAX(ROW(E$1:E1463)*(E2=E$1:E1463))))))</f>
        <v> </v>
      </c>
      <c r="K1464" s="25" t="str">
        <f>IF(OR(E1464="",E1464="!!!",F1464="NEW"),"",INDEX(J$1:J1463,SUMPRODUCT(MAX(ROW(E$1:E1463)*(E1464=E$1:E1463)))))</f>
        <v> </v>
      </c>
      <c r="L1464" s="26"/>
    </row>
    <row r="1465" spans="1:12">
      <c r="A1465" s="20" t="s">
        <v>783</v>
      </c>
      <c r="B1465" s="27" t="s">
        <v>611</v>
      </c>
      <c r="C1465" s="27" t="s">
        <v>626</v>
      </c>
      <c r="E1465" s="21">
        <f>IF(D1465="?OLD","!!!","")</f>
        <v/>
      </c>
      <c r="F1465" s="22" t="str">
        <f>IF(OR(E1465="",E1465="!!!"),"",IF(NOT(ISNA(VLOOKUP(E1465,E$1:E1464,1,FALSE()))),"OLD",IF(AND(E1465&lt;&gt;"",E1465&lt;&gt;"!!!"),"NEW","")))</f>
        <v> </v>
      </c>
      <c r="G1465" s="23" t="str">
        <f>IF(OR(E1465="",E1465="!!!"),"",IF(OR(J1465=0,AND(J1465=1,K1465=1),AND(J1465=1,I1465="SBJ"),AND(J1465=1,I1465=0)),"?IN_FOCUS",IF(J1465&lt;=2,"?ACTIVATED",IF(J1465&lt;&gt;"","?FAMILIAR",IF(F1465="NEW",IF(ISNA(VLOOKUP(E1465,#REF!,1,FALSE())),"?TYPE_IDENTIFIABLE","?REFERENTIAL"),"_")))))</f>
        <v> </v>
      </c>
      <c r="H1465" s="24" t="str">
        <f>IF(J1465&lt;&gt;1,"",IF(I1465="SBJ","CB","?"))</f>
        <v> </v>
      </c>
      <c r="I1465" s="25" t="str">
        <f>IF(OR(E1465="",E1465="!!!",F1465="NEW"),"",INDEX(B1464:B$2,-1+SUMPRODUCT(MAX(ROW(E1464:E$2)*(E1465=E1464:E$2)))))</f>
        <v> </v>
      </c>
      <c r="J1465" s="25" t="str">
        <f>IF(OR(E1465="",E1465="!!!",F1465="NEW"),"",COUNTBLANK(OFFSET(A$1,,,SUMPRODUCT(MAX(ROW(E$2:E1465)*(E1465=E$2:E1465)))))-COUNTBLANK(OFFSET(A$1,,,SUMPRODUCT(MAX(ROW(E$1:E1464)*(E2=E$1:E1464))))))</f>
        <v> </v>
      </c>
      <c r="K1465" s="25" t="str">
        <f>IF(OR(E1465="",E1465="!!!",F1465="NEW"),"",INDEX(J$1:J1464,SUMPRODUCT(MAX(ROW(E$1:E1464)*(E1465=E$1:E1464)))))</f>
        <v> </v>
      </c>
      <c r="L1465" s="26"/>
    </row>
    <row r="1466" spans="1:12">
      <c r="A1466" s="20" t="s">
        <v>845</v>
      </c>
      <c r="B1466" s="27" t="s">
        <v>606</v>
      </c>
      <c r="C1466" s="27" t="s">
        <v>622</v>
      </c>
      <c r="E1466" s="21">
        <f>IF(D1466="?OLD","!!!","")</f>
        <v/>
      </c>
      <c r="F1466" s="22" t="str">
        <f>IF(OR(E1466="",E1466="!!!"),"",IF(NOT(ISNA(VLOOKUP(E1466,E$1:E1465,1,FALSE()))),"OLD",IF(AND(E1466&lt;&gt;"",E1466&lt;&gt;"!!!"),"NEW","")))</f>
        <v> </v>
      </c>
      <c r="G1466" s="23" t="str">
        <f>IF(OR(E1466="",E1466="!!!"),"",IF(OR(J1466=0,AND(J1466=1,K1466=1),AND(J1466=1,I1466="SBJ"),AND(J1466=1,I1466=0)),"?IN_FOCUS",IF(J1466&lt;=2,"?ACTIVATED",IF(J1466&lt;&gt;"","?FAMILIAR",IF(F1466="NEW",IF(ISNA(VLOOKUP(E1466,#REF!,1,FALSE())),"?TYPE_IDENTIFIABLE","?REFERENTIAL"),"_")))))</f>
        <v> </v>
      </c>
      <c r="H1466" s="24" t="str">
        <f>IF(J1466&lt;&gt;1,"",IF(I1466="SBJ","CB","?"))</f>
        <v> </v>
      </c>
      <c r="I1466" s="25" t="str">
        <f>IF(OR(E1466="",E1466="!!!",F1466="NEW"),"",INDEX(B1465:B$2,-1+SUMPRODUCT(MAX(ROW(E1465:E$2)*(E1466=E1465:E$2)))))</f>
        <v> </v>
      </c>
      <c r="J1466" s="25" t="str">
        <f>IF(OR(E1466="",E1466="!!!",F1466="NEW"),"",COUNTBLANK(OFFSET(A$1,,,SUMPRODUCT(MAX(ROW(E$2:E1466)*(E1466=E$2:E1466)))))-COUNTBLANK(OFFSET(A$1,,,SUMPRODUCT(MAX(ROW(E$1:E1465)*(E2=E$1:E1465))))))</f>
        <v> </v>
      </c>
      <c r="K1466" s="25" t="str">
        <f>IF(OR(E1466="",E1466="!!!",F1466="NEW"),"",INDEX(J$1:J1465,SUMPRODUCT(MAX(ROW(E$1:E1465)*(E1466=E$1:E1465)))))</f>
        <v> </v>
      </c>
      <c r="L1466" s="26"/>
    </row>
    <row r="1467" spans="1:12">
      <c r="A1467" s="20" t="s">
        <v>756</v>
      </c>
      <c r="E1467" s="21">
        <f>IF(D1467="?OLD","!!!","")</f>
        <v/>
      </c>
      <c r="F1467" s="22" t="str">
        <f>IF(OR(E1467="",E1467="!!!"),"",IF(NOT(ISNA(VLOOKUP(E1467,E$1:E1466,1,FALSE()))),"OLD",IF(AND(E1467&lt;&gt;"",E1467&lt;&gt;"!!!"),"NEW","")))</f>
        <v> </v>
      </c>
      <c r="G1467" s="23" t="str">
        <f>IF(OR(E1467="",E1467="!!!"),"",IF(OR(J1467=0,AND(J1467=1,K1467=1),AND(J1467=1,I1467="SBJ"),AND(J1467=1,I1467=0)),"?IN_FOCUS",IF(J1467&lt;=2,"?ACTIVATED",IF(J1467&lt;&gt;"","?FAMILIAR",IF(F1467="NEW",IF(ISNA(VLOOKUP(E1467,#REF!,1,FALSE())),"?TYPE_IDENTIFIABLE","?REFERENTIAL"),"_")))))</f>
        <v> </v>
      </c>
      <c r="H1467" s="24" t="str">
        <f>IF(J1467&lt;&gt;1,"",IF(I1467="SBJ","CB","?"))</f>
        <v> </v>
      </c>
      <c r="I1467" s="25" t="str">
        <f>IF(OR(E1467="",E1467="!!!",F1467="NEW"),"",INDEX(B1466:B$2,-1+SUMPRODUCT(MAX(ROW(E1466:E$2)*(E1467=E1466:E$2)))))</f>
        <v> </v>
      </c>
      <c r="J1467" s="25" t="str">
        <f>IF(OR(E1467="",E1467="!!!",F1467="NEW"),"",COUNTBLANK(OFFSET(A$1,,,SUMPRODUCT(MAX(ROW(E$2:E1467)*(E1467=E$2:E1467)))))-COUNTBLANK(OFFSET(A$1,,,SUMPRODUCT(MAX(ROW(E$1:E1466)*(E2=E$1:E1466))))))</f>
        <v> </v>
      </c>
      <c r="K1467" s="25" t="str">
        <f>IF(OR(E1467="",E1467="!!!",F1467="NEW"),"",INDEX(J$1:J1466,SUMPRODUCT(MAX(ROW(E$1:E1466)*(E1467=E$1:E1466)))))</f>
        <v> </v>
      </c>
      <c r="L1467" s="26"/>
    </row>
    <row r="1468" spans="1:12">
      <c r="A1468" s="20" t="s">
        <v>785</v>
      </c>
      <c r="B1468" s="27" t="s">
        <v>606</v>
      </c>
      <c r="C1468" s="27" t="s">
        <v>671</v>
      </c>
      <c r="D1468" s="27" t="s">
        <v>608</v>
      </c>
      <c r="E1468" s="21">
        <f>IF(D1468="?OLD","!!!","")</f>
        <v/>
      </c>
      <c r="F1468" s="22" t="str">
        <f>IF(OR(E1468="",E1468="!!!"),"",IF(NOT(ISNA(VLOOKUP(E1468,E$1:E1467,1,FALSE()))),"OLD",IF(AND(E1468&lt;&gt;"",E1468&lt;&gt;"!!!"),"NEW","")))</f>
        <v> </v>
      </c>
      <c r="G1468" s="23" t="str">
        <f>IF(OR(E1468="",E1468="!!!"),"",IF(OR(J1468=0,AND(J1468=1,K1468=1),AND(J1468=1,I1468="SBJ"),AND(J1468=1,I1468=0)),"?IN_FOCUS",IF(J1468&lt;=2,"?ACTIVATED",IF(J1468&lt;&gt;"","?FAMILIAR",IF(F1468="NEW",IF(ISNA(VLOOKUP(E1468,#REF!,1,FALSE())),"?TYPE_IDENTIFIABLE","?REFERENTIAL"),"_")))))</f>
        <v> </v>
      </c>
      <c r="H1468" s="24" t="str">
        <f>IF(J1468&lt;&gt;1,"",IF(I1468="SBJ","CB","?"))</f>
        <v> </v>
      </c>
      <c r="I1468" s="25" t="str">
        <f>IF(OR(E1468="",E1468="!!!",F1468="NEW"),"",INDEX(B1467:B$2,-1+SUMPRODUCT(MAX(ROW(E1467:E$2)*(E1468=E1467:E$2)))))</f>
        <v> </v>
      </c>
      <c r="J1468" s="25" t="str">
        <f>IF(OR(E1468="",E1468="!!!",F1468="NEW"),"",COUNTBLANK(OFFSET(A$1,,,SUMPRODUCT(MAX(ROW(E$2:E1468)*(E1468=E$2:E1468)))))-COUNTBLANK(OFFSET(A$1,,,SUMPRODUCT(MAX(ROW(E$1:E1467)*(E2=E$1:E1467))))))</f>
        <v> </v>
      </c>
      <c r="K1468" s="25" t="str">
        <f>IF(OR(E1468="",E1468="!!!",F1468="NEW"),"",INDEX(J$1:J1467,SUMPRODUCT(MAX(ROW(E$1:E1467)*(E1468=E$1:E1467)))))</f>
        <v> </v>
      </c>
      <c r="L1468" s="26"/>
    </row>
    <row r="1469" spans="1:12">
      <c r="A1469" s="20" t="s">
        <v>1227</v>
      </c>
      <c r="E1469" s="21">
        <f>IF(D1469="?OLD","!!!","")</f>
        <v/>
      </c>
      <c r="F1469" s="22" t="str">
        <f>IF(OR(E1469="",E1469="!!!"),"",IF(NOT(ISNA(VLOOKUP(E1469,E$1:E1468,1,FALSE()))),"OLD",IF(AND(E1469&lt;&gt;"",E1469&lt;&gt;"!!!"),"NEW","")))</f>
        <v> </v>
      </c>
      <c r="G1469" s="23" t="str">
        <f>IF(OR(E1469="",E1469="!!!"),"",IF(OR(J1469=0,AND(J1469=1,K1469=1),AND(J1469=1,I1469="SBJ"),AND(J1469=1,I1469=0)),"?IN_FOCUS",IF(J1469&lt;=2,"?ACTIVATED",IF(J1469&lt;&gt;"","?FAMILIAR",IF(F1469="NEW",IF(ISNA(VLOOKUP(E1469,#REF!,1,FALSE())),"?TYPE_IDENTIFIABLE","?REFERENTIAL"),"_")))))</f>
        <v> </v>
      </c>
      <c r="H1469" s="24" t="str">
        <f>IF(J1469&lt;&gt;1,"",IF(I1469="SBJ","CB","?"))</f>
        <v> </v>
      </c>
      <c r="I1469" s="25" t="str">
        <f>IF(OR(E1469="",E1469="!!!",F1469="NEW"),"",INDEX(B1468:B$2,-1+SUMPRODUCT(MAX(ROW(E1468:E$2)*(E1469=E1468:E$2)))))</f>
        <v> </v>
      </c>
      <c r="J1469" s="25" t="str">
        <f>IF(OR(E1469="",E1469="!!!",F1469="NEW"),"",COUNTBLANK(OFFSET(A$1,,,SUMPRODUCT(MAX(ROW(E$2:E1469)*(E1469=E$2:E1469)))))-COUNTBLANK(OFFSET(A$1,,,SUMPRODUCT(MAX(ROW(E$1:E1468)*(E2=E$1:E1468))))))</f>
        <v> </v>
      </c>
      <c r="K1469" s="25" t="str">
        <f>IF(OR(E1469="",E1469="!!!",F1469="NEW"),"",INDEX(J$1:J1468,SUMPRODUCT(MAX(ROW(E$1:E1468)*(E1469=E$1:E1468)))))</f>
        <v> </v>
      </c>
      <c r="L1469" s="26"/>
    </row>
    <row r="1470" spans="1:12">
      <c r="A1470" s="20" t="s">
        <v>1228</v>
      </c>
      <c r="B1470" s="27" t="s">
        <v>606</v>
      </c>
      <c r="C1470" s="27" t="s">
        <v>622</v>
      </c>
      <c r="E1470" s="21">
        <f>IF(D1470="?OLD","!!!","")</f>
        <v/>
      </c>
      <c r="F1470" s="22" t="str">
        <f>IF(OR(E1470="",E1470="!!!"),"",IF(NOT(ISNA(VLOOKUP(E1470,E$1:E1469,1,FALSE()))),"OLD",IF(AND(E1470&lt;&gt;"",E1470&lt;&gt;"!!!"),"NEW","")))</f>
        <v> </v>
      </c>
      <c r="G1470" s="23" t="str">
        <f>IF(OR(E1470="",E1470="!!!"),"",IF(OR(J1470=0,AND(J1470=1,K1470=1),AND(J1470=1,I1470="SBJ"),AND(J1470=1,I1470=0)),"?IN_FOCUS",IF(J1470&lt;=2,"?ACTIVATED",IF(J1470&lt;&gt;"","?FAMILIAR",IF(F1470="NEW",IF(ISNA(VLOOKUP(E1470,#REF!,1,FALSE())),"?TYPE_IDENTIFIABLE","?REFERENTIAL"),"_")))))</f>
        <v> </v>
      </c>
      <c r="H1470" s="24" t="str">
        <f>IF(J1470&lt;&gt;1,"",IF(I1470="SBJ","CB","?"))</f>
        <v> </v>
      </c>
      <c r="I1470" s="25" t="str">
        <f>IF(OR(E1470="",E1470="!!!",F1470="NEW"),"",INDEX(B1469:B$2,-1+SUMPRODUCT(MAX(ROW(E1469:E$2)*(E1470=E1469:E$2)))))</f>
        <v> </v>
      </c>
      <c r="J1470" s="25" t="str">
        <f>IF(OR(E1470="",E1470="!!!",F1470="NEW"),"",COUNTBLANK(OFFSET(A$1,,,SUMPRODUCT(MAX(ROW(E$2:E1470)*(E1470=E$2:E1470)))))-COUNTBLANK(OFFSET(A$1,,,SUMPRODUCT(MAX(ROW(E$1:E1469)*(E2=E$1:E1469))))))</f>
        <v> </v>
      </c>
      <c r="K1470" s="25" t="str">
        <f>IF(OR(E1470="",E1470="!!!",F1470="NEW"),"",INDEX(J$1:J1469,SUMPRODUCT(MAX(ROW(E$1:E1469)*(E1470=E$1:E1469)))))</f>
        <v> </v>
      </c>
      <c r="L1470" s="26"/>
    </row>
    <row r="1471" spans="1:12">
      <c r="A1471" s="20" t="s">
        <v>633</v>
      </c>
      <c r="E1471" s="21">
        <f>IF(D1471="?OLD","!!!","")</f>
        <v/>
      </c>
      <c r="F1471" s="22" t="str">
        <f>IF(OR(E1471="",E1471="!!!"),"",IF(NOT(ISNA(VLOOKUP(E1471,E$1:E1470,1,FALSE()))),"OLD",IF(AND(E1471&lt;&gt;"",E1471&lt;&gt;"!!!"),"NEW","")))</f>
        <v> </v>
      </c>
      <c r="G1471" s="23" t="str">
        <f>IF(OR(E1471="",E1471="!!!"),"",IF(OR(J1471=0,AND(J1471=1,K1471=1),AND(J1471=1,I1471="SBJ"),AND(J1471=1,I1471=0)),"?IN_FOCUS",IF(J1471&lt;=2,"?ACTIVATED",IF(J1471&lt;&gt;"","?FAMILIAR",IF(F1471="NEW",IF(ISNA(VLOOKUP(E1471,#REF!,1,FALSE())),"?TYPE_IDENTIFIABLE","?REFERENTIAL"),"_")))))</f>
        <v> </v>
      </c>
      <c r="H1471" s="24" t="str">
        <f>IF(J1471&lt;&gt;1,"",IF(I1471="SBJ","CB","?"))</f>
        <v> </v>
      </c>
      <c r="I1471" s="25" t="str">
        <f>IF(OR(E1471="",E1471="!!!",F1471="NEW"),"",INDEX(B1470:B$2,-1+SUMPRODUCT(MAX(ROW(E1470:E$2)*(E1471=E1470:E$2)))))</f>
        <v> </v>
      </c>
      <c r="J1471" s="25" t="str">
        <f>IF(OR(E1471="",E1471="!!!",F1471="NEW"),"",COUNTBLANK(OFFSET(A$1,,,SUMPRODUCT(MAX(ROW(E$2:E1471)*(E1471=E$2:E1471)))))-COUNTBLANK(OFFSET(A$1,,,SUMPRODUCT(MAX(ROW(E$1:E1470)*(E2=E$1:E1470))))))</f>
        <v> </v>
      </c>
      <c r="K1471" s="25" t="str">
        <f>IF(OR(E1471="",E1471="!!!",F1471="NEW"),"",INDEX(J$1:J1470,SUMPRODUCT(MAX(ROW(E$1:E1470)*(E1471=E$1:E1470)))))</f>
        <v> </v>
      </c>
      <c r="L1471" s="26"/>
    </row>
    <row r="1472" spans="1:12">
      <c r="A1472" s="20"/>
    </row>
    <row r="1473" spans="1:12">
      <c r="A1473" s="20" t="s">
        <v>1229</v>
      </c>
    </row>
    <row r="1474" spans="1:12">
      <c r="A1474" s="20" t="s">
        <v>1230</v>
      </c>
      <c r="E1474" s="21">
        <f>IF(D1474="?OLD","!!!","")</f>
        <v/>
      </c>
      <c r="F1474" s="22" t="str">
        <f>IF(OR(E1474="",E1474="!!!"),"",IF(NOT(ISNA(VLOOKUP(E1474,E$1:E1473,1,FALSE()))),"OLD",IF(AND(E1474&lt;&gt;"",E1474&lt;&gt;"!!!"),"NEW","")))</f>
        <v> </v>
      </c>
      <c r="G1474" s="23" t="str">
        <f>IF(OR(E1474="",E1474="!!!"),"",IF(OR(J1474=0,AND(J1474=1,K1474=1),AND(J1474=1,I1474="SBJ"),AND(J1474=1,I1474=0)),"?IN_FOCUS",IF(J1474&lt;=2,"?ACTIVATED",IF(J1474&lt;&gt;"","?FAMILIAR",IF(F1474="NEW",IF(ISNA(VLOOKUP(E1474,#REF!,1,FALSE())),"?TYPE_IDENTIFIABLE","?REFERENTIAL"),"_")))))</f>
        <v> </v>
      </c>
      <c r="H1474" s="24" t="str">
        <f>IF(J1474&lt;&gt;1,"",IF(I1474="SBJ","CB","?"))</f>
        <v> </v>
      </c>
      <c r="I1474" s="25" t="str">
        <f>IF(OR(E1474="",E1474="!!!",F1474="NEW"),"",INDEX(B1473:B$2,-1+SUMPRODUCT(MAX(ROW(E1473:E$2)*(E1474=E1473:E$2)))))</f>
        <v> </v>
      </c>
      <c r="J1474" s="25" t="str">
        <f>IF(OR(E1474="",E1474="!!!",F1474="NEW"),"",COUNTBLANK(OFFSET(A$1,,,SUMPRODUCT(MAX(ROW(E$2:E1474)*(E1474=E$2:E1474)))))-COUNTBLANK(OFFSET(A$1,,,SUMPRODUCT(MAX(ROW(E$1:E1473)*(E2=E$1:E1473))))))</f>
        <v> </v>
      </c>
      <c r="K1474" s="25" t="str">
        <f>IF(OR(E1474="",E1474="!!!",F1474="NEW"),"",INDEX(J$1:J1473,SUMPRODUCT(MAX(ROW(E$1:E1473)*(E1474=E$1:E1473)))))</f>
        <v> </v>
      </c>
      <c r="L1474" s="26"/>
    </row>
    <row r="1475" spans="1:12">
      <c r="A1475" s="20" t="s">
        <v>790</v>
      </c>
      <c r="B1475" s="27" t="s">
        <v>619</v>
      </c>
      <c r="C1475" s="27" t="s">
        <v>637</v>
      </c>
      <c r="D1475" s="27" t="s">
        <v>608</v>
      </c>
      <c r="E1475" s="21">
        <f>IF(D1475="?OLD","!!!","")</f>
        <v/>
      </c>
      <c r="F1475" s="22" t="str">
        <f>IF(OR(E1475="",E1475="!!!"),"",IF(NOT(ISNA(VLOOKUP(E1475,E$1:E1474,1,FALSE()))),"OLD",IF(AND(E1475&lt;&gt;"",E1475&lt;&gt;"!!!"),"NEW","")))</f>
        <v> </v>
      </c>
      <c r="G1475" s="23" t="str">
        <f>IF(OR(E1475="",E1475="!!!"),"",IF(OR(J1475=0,AND(J1475=1,K1475=1),AND(J1475=1,I1475="SBJ"),AND(J1475=1,I1475=0)),"?IN_FOCUS",IF(J1475&lt;=2,"?ACTIVATED",IF(J1475&lt;&gt;"","?FAMILIAR",IF(F1475="NEW",IF(ISNA(VLOOKUP(E1475,#REF!,1,FALSE())),"?TYPE_IDENTIFIABLE","?REFERENTIAL"),"_")))))</f>
        <v> </v>
      </c>
      <c r="H1475" s="24" t="str">
        <f>IF(J1475&lt;&gt;1,"",IF(I1475="SBJ","CB","?"))</f>
        <v> </v>
      </c>
      <c r="I1475" s="25" t="str">
        <f>IF(OR(E1475="",E1475="!!!",F1475="NEW"),"",INDEX(B1474:B$2,-1+SUMPRODUCT(MAX(ROW(E1474:E$2)*(E1475=E1474:E$2)))))</f>
        <v> </v>
      </c>
      <c r="J1475" s="25" t="str">
        <f>IF(OR(E1475="",E1475="!!!",F1475="NEW"),"",COUNTBLANK(OFFSET(A$1,,,SUMPRODUCT(MAX(ROW(E$2:E1475)*(E1475=E$2:E1475)))))-COUNTBLANK(OFFSET(A$1,,,SUMPRODUCT(MAX(ROW(E$1:E1474)*(E2=E$1:E1474))))))</f>
        <v> </v>
      </c>
      <c r="K1475" s="25" t="str">
        <f>IF(OR(E1475="",E1475="!!!",F1475="NEW"),"",INDEX(J$1:J1474,SUMPRODUCT(MAX(ROW(E$1:E1474)*(E1475=E$1:E1474)))))</f>
        <v> </v>
      </c>
      <c r="L1475" s="26"/>
    </row>
    <row r="1476" spans="1:12">
      <c r="A1476" s="20" t="s">
        <v>1231</v>
      </c>
      <c r="E1476" s="21">
        <f>IF(D1476="?OLD","!!!","")</f>
        <v/>
      </c>
      <c r="F1476" s="22" t="str">
        <f>IF(OR(E1476="",E1476="!!!"),"",IF(NOT(ISNA(VLOOKUP(E1476,E$1:E1475,1,FALSE()))),"OLD",IF(AND(E1476&lt;&gt;"",E1476&lt;&gt;"!!!"),"NEW","")))</f>
        <v> </v>
      </c>
      <c r="G1476" s="23" t="str">
        <f>IF(OR(E1476="",E1476="!!!"),"",IF(OR(J1476=0,AND(J1476=1,K1476=1),AND(J1476=1,I1476="SBJ"),AND(J1476=1,I1476=0)),"?IN_FOCUS",IF(J1476&lt;=2,"?ACTIVATED",IF(J1476&lt;&gt;"","?FAMILIAR",IF(F1476="NEW",IF(ISNA(VLOOKUP(E1476,#REF!,1,FALSE())),"?TYPE_IDENTIFIABLE","?REFERENTIAL"),"_")))))</f>
        <v> </v>
      </c>
      <c r="H1476" s="24" t="str">
        <f>IF(J1476&lt;&gt;1,"",IF(I1476="SBJ","CB","?"))</f>
        <v> </v>
      </c>
      <c r="I1476" s="25" t="str">
        <f>IF(OR(E1476="",E1476="!!!",F1476="NEW"),"",INDEX(B1475:B$2,-1+SUMPRODUCT(MAX(ROW(E1475:E$2)*(E1476=E1475:E$2)))))</f>
        <v> </v>
      </c>
      <c r="J1476" s="25" t="str">
        <f>IF(OR(E1476="",E1476="!!!",F1476="NEW"),"",COUNTBLANK(OFFSET(A$1,,,SUMPRODUCT(MAX(ROW(E$2:E1476)*(E1476=E$2:E1476)))))-COUNTBLANK(OFFSET(A$1,,,SUMPRODUCT(MAX(ROW(E$1:E1475)*(E2=E$1:E1475))))))</f>
        <v> </v>
      </c>
      <c r="K1476" s="25" t="str">
        <f>IF(OR(E1476="",E1476="!!!",F1476="NEW"),"",INDEX(J$1:J1475,SUMPRODUCT(MAX(ROW(E$1:E1475)*(E1476=E$1:E1475)))))</f>
        <v> </v>
      </c>
      <c r="L1476" s="26"/>
    </row>
    <row r="1477" spans="1:12">
      <c r="A1477" s="20" t="s">
        <v>1232</v>
      </c>
      <c r="B1477" s="27" t="s">
        <v>657</v>
      </c>
      <c r="C1477" s="27" t="s">
        <v>894</v>
      </c>
      <c r="E1477" s="21">
        <f>IF(D1477="?OLD","!!!","")</f>
        <v/>
      </c>
      <c r="F1477" s="22" t="str">
        <f>IF(OR(E1477="",E1477="!!!"),"",IF(NOT(ISNA(VLOOKUP(E1477,E$1:E1476,1,FALSE()))),"OLD",IF(AND(E1477&lt;&gt;"",E1477&lt;&gt;"!!!"),"NEW","")))</f>
        <v> </v>
      </c>
      <c r="G1477" s="23" t="str">
        <f>IF(OR(E1477="",E1477="!!!"),"",IF(OR(J1477=0,AND(J1477=1,K1477=1),AND(J1477=1,I1477="SBJ"),AND(J1477=1,I1477=0)),"?IN_FOCUS",IF(J1477&lt;=2,"?ACTIVATED",IF(J1477&lt;&gt;"","?FAMILIAR",IF(F1477="NEW",IF(ISNA(VLOOKUP(E1477,#REF!,1,FALSE())),"?TYPE_IDENTIFIABLE","?REFERENTIAL"),"_")))))</f>
        <v> </v>
      </c>
      <c r="H1477" s="24" t="str">
        <f>IF(J1477&lt;&gt;1,"",IF(I1477="SBJ","CB","?"))</f>
        <v> </v>
      </c>
      <c r="I1477" s="25" t="str">
        <f>IF(OR(E1477="",E1477="!!!",F1477="NEW"),"",INDEX(B1476:B$2,-1+SUMPRODUCT(MAX(ROW(E1476:E$2)*(E1477=E1476:E$2)))))</f>
        <v> </v>
      </c>
      <c r="J1477" s="25" t="str">
        <f>IF(OR(E1477="",E1477="!!!",F1477="NEW"),"",COUNTBLANK(OFFSET(A$1,,,SUMPRODUCT(MAX(ROW(E$2:E1477)*(E1477=E$2:E1477)))))-COUNTBLANK(OFFSET(A$1,,,SUMPRODUCT(MAX(ROW(E$1:E1476)*(E2=E$1:E1476))))))</f>
        <v> </v>
      </c>
      <c r="K1477" s="25" t="str">
        <f>IF(OR(E1477="",E1477="!!!",F1477="NEW"),"",INDEX(J$1:J1476,SUMPRODUCT(MAX(ROW(E$1:E1476)*(E1477=E$1:E1476)))))</f>
        <v> </v>
      </c>
      <c r="L1477" s="26"/>
    </row>
    <row r="1478" spans="1:12">
      <c r="A1478" s="20" t="s">
        <v>707</v>
      </c>
      <c r="E1478" s="21">
        <f>IF(D1478="?OLD","!!!","")</f>
        <v/>
      </c>
      <c r="F1478" s="22" t="str">
        <f>IF(OR(E1478="",E1478="!!!"),"",IF(NOT(ISNA(VLOOKUP(E1478,E$1:E1477,1,FALSE()))),"OLD",IF(AND(E1478&lt;&gt;"",E1478&lt;&gt;"!!!"),"NEW","")))</f>
        <v> </v>
      </c>
      <c r="G1478" s="23" t="str">
        <f>IF(OR(E1478="",E1478="!!!"),"",IF(OR(J1478=0,AND(J1478=1,K1478=1),AND(J1478=1,I1478="SBJ"),AND(J1478=1,I1478=0)),"?IN_FOCUS",IF(J1478&lt;=2,"?ACTIVATED",IF(J1478&lt;&gt;"","?FAMILIAR",IF(F1478="NEW",IF(ISNA(VLOOKUP(E1478,#REF!,1,FALSE())),"?TYPE_IDENTIFIABLE","?REFERENTIAL"),"_")))))</f>
        <v> </v>
      </c>
      <c r="H1478" s="24" t="str">
        <f>IF(J1478&lt;&gt;1,"",IF(I1478="SBJ","CB","?"))</f>
        <v> </v>
      </c>
      <c r="I1478" s="25" t="str">
        <f>IF(OR(E1478="",E1478="!!!",F1478="NEW"),"",INDEX(B1477:B$2,-1+SUMPRODUCT(MAX(ROW(E1477:E$2)*(E1478=E1477:E$2)))))</f>
        <v> </v>
      </c>
      <c r="J1478" s="25" t="str">
        <f>IF(OR(E1478="",E1478="!!!",F1478="NEW"),"",COUNTBLANK(OFFSET(A$1,,,SUMPRODUCT(MAX(ROW(E$2:E1478)*(E1478=E$2:E1478)))))-COUNTBLANK(OFFSET(A$1,,,SUMPRODUCT(MAX(ROW(E$1:E1477)*(E2=E$1:E1477))))))</f>
        <v> </v>
      </c>
      <c r="K1478" s="25" t="str">
        <f>IF(OR(E1478="",E1478="!!!",F1478="NEW"),"",INDEX(J$1:J1477,SUMPRODUCT(MAX(ROW(E$1:E1477)*(E1478=E$1:E1477)))))</f>
        <v> </v>
      </c>
      <c r="L1478" s="26"/>
    </row>
    <row r="1479" spans="1:12">
      <c r="A1479" s="20" t="s">
        <v>787</v>
      </c>
      <c r="B1479" s="27" t="s">
        <v>611</v>
      </c>
      <c r="C1479" s="27" t="s">
        <v>631</v>
      </c>
      <c r="D1479" s="27" t="s">
        <v>608</v>
      </c>
      <c r="E1479" s="21">
        <f>IF(D1479="?OLD","!!!","")</f>
        <v/>
      </c>
      <c r="F1479" s="22" t="str">
        <f>IF(OR(E1479="",E1479="!!!"),"",IF(NOT(ISNA(VLOOKUP(E1479,E$1:E1478,1,FALSE()))),"OLD",IF(AND(E1479&lt;&gt;"",E1479&lt;&gt;"!!!"),"NEW","")))</f>
        <v> </v>
      </c>
      <c r="G1479" s="23" t="str">
        <f>IF(OR(E1479="",E1479="!!!"),"",IF(OR(J1479=0,AND(J1479=1,K1479=1),AND(J1479=1,I1479="SBJ"),AND(J1479=1,I1479=0)),"?IN_FOCUS",IF(J1479&lt;=2,"?ACTIVATED",IF(J1479&lt;&gt;"","?FAMILIAR",IF(F1479="NEW",IF(ISNA(VLOOKUP(E1479,#REF!,1,FALSE())),"?TYPE_IDENTIFIABLE","?REFERENTIAL"),"_")))))</f>
        <v> </v>
      </c>
      <c r="H1479" s="24" t="str">
        <f>IF(J1479&lt;&gt;1,"",IF(I1479="SBJ","CB","?"))</f>
        <v> </v>
      </c>
      <c r="I1479" s="25" t="str">
        <f>IF(OR(E1479="",E1479="!!!",F1479="NEW"),"",INDEX(B1478:B$2,-1+SUMPRODUCT(MAX(ROW(E1478:E$2)*(E1479=E1478:E$2)))))</f>
        <v> </v>
      </c>
      <c r="J1479" s="25" t="str">
        <f>IF(OR(E1479="",E1479="!!!",F1479="NEW"),"",COUNTBLANK(OFFSET(A$1,,,SUMPRODUCT(MAX(ROW(E$2:E1479)*(E1479=E$2:E1479)))))-COUNTBLANK(OFFSET(A$1,,,SUMPRODUCT(MAX(ROW(E$1:E1478)*(E2=E$1:E1478))))))</f>
        <v> </v>
      </c>
      <c r="K1479" s="25" t="str">
        <f>IF(OR(E1479="",E1479="!!!",F1479="NEW"),"",INDEX(J$1:J1478,SUMPRODUCT(MAX(ROW(E$1:E1478)*(E1479=E$1:E1478)))))</f>
        <v> </v>
      </c>
      <c r="L1479" s="26"/>
    </row>
    <row r="1480" spans="1:12">
      <c r="A1480" s="20" t="s">
        <v>1233</v>
      </c>
      <c r="E1480" s="21">
        <f>IF(D1480="?OLD","!!!","")</f>
        <v/>
      </c>
      <c r="F1480" s="22" t="str">
        <f>IF(OR(E1480="",E1480="!!!"),"",IF(NOT(ISNA(VLOOKUP(E1480,E$1:E1479,1,FALSE()))),"OLD",IF(AND(E1480&lt;&gt;"",E1480&lt;&gt;"!!!"),"NEW","")))</f>
        <v> </v>
      </c>
      <c r="G1480" s="23" t="str">
        <f>IF(OR(E1480="",E1480="!!!"),"",IF(OR(J1480=0,AND(J1480=1,K1480=1),AND(J1480=1,I1480="SBJ"),AND(J1480=1,I1480=0)),"?IN_FOCUS",IF(J1480&lt;=2,"?ACTIVATED",IF(J1480&lt;&gt;"","?FAMILIAR",IF(F1480="NEW",IF(ISNA(VLOOKUP(E1480,#REF!,1,FALSE())),"?TYPE_IDENTIFIABLE","?REFERENTIAL"),"_")))))</f>
        <v> </v>
      </c>
      <c r="H1480" s="24" t="str">
        <f>IF(J1480&lt;&gt;1,"",IF(I1480="SBJ","CB","?"))</f>
        <v> </v>
      </c>
      <c r="I1480" s="25" t="str">
        <f>IF(OR(E1480="",E1480="!!!",F1480="NEW"),"",INDEX(B1479:B$2,-1+SUMPRODUCT(MAX(ROW(E1479:E$2)*(E1480=E1479:E$2)))))</f>
        <v> </v>
      </c>
      <c r="J1480" s="25" t="str">
        <f>IF(OR(E1480="",E1480="!!!",F1480="NEW"),"",COUNTBLANK(OFFSET(A$1,,,SUMPRODUCT(MAX(ROW(E$2:E1480)*(E1480=E$2:E1480)))))-COUNTBLANK(OFFSET(A$1,,,SUMPRODUCT(MAX(ROW(E$1:E1479)*(E2=E$1:E1479))))))</f>
        <v> </v>
      </c>
      <c r="K1480" s="25" t="str">
        <f>IF(OR(E1480="",E1480="!!!",F1480="NEW"),"",INDEX(J$1:J1479,SUMPRODUCT(MAX(ROW(E$1:E1479)*(E1480=E$1:E1479)))))</f>
        <v> </v>
      </c>
      <c r="L1480" s="26"/>
    </row>
    <row r="1481" spans="1:12">
      <c r="A1481" s="20" t="s">
        <v>782</v>
      </c>
      <c r="E1481" s="21">
        <f>IF(D1481="?OLD","!!!","")</f>
        <v/>
      </c>
      <c r="F1481" s="22" t="str">
        <f>IF(OR(E1481="",E1481="!!!"),"",IF(NOT(ISNA(VLOOKUP(E1481,E$1:E1480,1,FALSE()))),"OLD",IF(AND(E1481&lt;&gt;"",E1481&lt;&gt;"!!!"),"NEW","")))</f>
        <v> </v>
      </c>
      <c r="G1481" s="23" t="str">
        <f>IF(OR(E1481="",E1481="!!!"),"",IF(OR(J1481=0,AND(J1481=1,K1481=1),AND(J1481=1,I1481="SBJ"),AND(J1481=1,I1481=0)),"?IN_FOCUS",IF(J1481&lt;=2,"?ACTIVATED",IF(J1481&lt;&gt;"","?FAMILIAR",IF(F1481="NEW",IF(ISNA(VLOOKUP(E1481,#REF!,1,FALSE())),"?TYPE_IDENTIFIABLE","?REFERENTIAL"),"_")))))</f>
        <v> </v>
      </c>
      <c r="H1481" s="24" t="str">
        <f>IF(J1481&lt;&gt;1,"",IF(I1481="SBJ","CB","?"))</f>
        <v> </v>
      </c>
      <c r="I1481" s="25" t="str">
        <f>IF(OR(E1481="",E1481="!!!",F1481="NEW"),"",INDEX(B1480:B$2,-1+SUMPRODUCT(MAX(ROW(E1480:E$2)*(E1481=E1480:E$2)))))</f>
        <v> </v>
      </c>
      <c r="J1481" s="25" t="str">
        <f>IF(OR(E1481="",E1481="!!!",F1481="NEW"),"",COUNTBLANK(OFFSET(A$1,,,SUMPRODUCT(MAX(ROW(E$2:E1481)*(E1481=E$2:E1481)))))-COUNTBLANK(OFFSET(A$1,,,SUMPRODUCT(MAX(ROW(E$1:E1480)*(E2=E$1:E1480))))))</f>
        <v> </v>
      </c>
      <c r="K1481" s="25" t="str">
        <f>IF(OR(E1481="",E1481="!!!",F1481="NEW"),"",INDEX(J$1:J1480,SUMPRODUCT(MAX(ROW(E$1:E1480)*(E1481=E$1:E1480)))))</f>
        <v> </v>
      </c>
      <c r="L1481" s="26"/>
    </row>
    <row r="1482" spans="1:12">
      <c r="A1482" s="20" t="s">
        <v>617</v>
      </c>
      <c r="E1482" s="21">
        <f>IF(D1482="?OLD","!!!","")</f>
        <v/>
      </c>
      <c r="F1482" s="22" t="str">
        <f>IF(OR(E1482="",E1482="!!!"),"",IF(NOT(ISNA(VLOOKUP(E1482,E$1:E1481,1,FALSE()))),"OLD",IF(AND(E1482&lt;&gt;"",E1482&lt;&gt;"!!!"),"NEW","")))</f>
        <v> </v>
      </c>
      <c r="G1482" s="23" t="str">
        <f>IF(OR(E1482="",E1482="!!!"),"",IF(OR(J1482=0,AND(J1482=1,K1482=1),AND(J1482=1,I1482="SBJ"),AND(J1482=1,I1482=0)),"?IN_FOCUS",IF(J1482&lt;=2,"?ACTIVATED",IF(J1482&lt;&gt;"","?FAMILIAR",IF(F1482="NEW",IF(ISNA(VLOOKUP(E1482,#REF!,1,FALSE())),"?TYPE_IDENTIFIABLE","?REFERENTIAL"),"_")))))</f>
        <v> </v>
      </c>
      <c r="H1482" s="24" t="str">
        <f>IF(J1482&lt;&gt;1,"",IF(I1482="SBJ","CB","?"))</f>
        <v> </v>
      </c>
      <c r="I1482" s="25" t="str">
        <f>IF(OR(E1482="",E1482="!!!",F1482="NEW"),"",INDEX(B1481:B$2,-1+SUMPRODUCT(MAX(ROW(E1481:E$2)*(E1482=E1481:E$2)))))</f>
        <v> </v>
      </c>
      <c r="J1482" s="25" t="str">
        <f>IF(OR(E1482="",E1482="!!!",F1482="NEW"),"",COUNTBLANK(OFFSET(A$1,,,SUMPRODUCT(MAX(ROW(E$2:E1482)*(E1482=E$2:E1482)))))-COUNTBLANK(OFFSET(A$1,,,SUMPRODUCT(MAX(ROW(E$1:E1481)*(E2=E$1:E1481))))))</f>
        <v> </v>
      </c>
      <c r="K1482" s="25" t="str">
        <f>IF(OR(E1482="",E1482="!!!",F1482="NEW"),"",INDEX(J$1:J1481,SUMPRODUCT(MAX(ROW(E$1:E1481)*(E1482=E$1:E1481)))))</f>
        <v> </v>
      </c>
      <c r="L1482" s="26"/>
    </row>
    <row r="1483" spans="1:12">
      <c r="A1483" s="20" t="s">
        <v>736</v>
      </c>
      <c r="E1483" s="21">
        <f>IF(D1483="?OLD","!!!","")</f>
        <v/>
      </c>
      <c r="F1483" s="22" t="str">
        <f>IF(OR(E1483="",E1483="!!!"),"",IF(NOT(ISNA(VLOOKUP(E1483,E$1:E1482,1,FALSE()))),"OLD",IF(AND(E1483&lt;&gt;"",E1483&lt;&gt;"!!!"),"NEW","")))</f>
        <v> </v>
      </c>
      <c r="G1483" s="23" t="str">
        <f>IF(OR(E1483="",E1483="!!!"),"",IF(OR(J1483=0,AND(J1483=1,K1483=1),AND(J1483=1,I1483="SBJ"),AND(J1483=1,I1483=0)),"?IN_FOCUS",IF(J1483&lt;=2,"?ACTIVATED",IF(J1483&lt;&gt;"","?FAMILIAR",IF(F1483="NEW",IF(ISNA(VLOOKUP(E1483,#REF!,1,FALSE())),"?TYPE_IDENTIFIABLE","?REFERENTIAL"),"_")))))</f>
        <v> </v>
      </c>
      <c r="H1483" s="24" t="str">
        <f>IF(J1483&lt;&gt;1,"",IF(I1483="SBJ","CB","?"))</f>
        <v> </v>
      </c>
      <c r="I1483" s="25" t="str">
        <f>IF(OR(E1483="",E1483="!!!",F1483="NEW"),"",INDEX(B1482:B$2,-1+SUMPRODUCT(MAX(ROW(E1482:E$2)*(E1483=E1482:E$2)))))</f>
        <v> </v>
      </c>
      <c r="J1483" s="25" t="str">
        <f>IF(OR(E1483="",E1483="!!!",F1483="NEW"),"",COUNTBLANK(OFFSET(A$1,,,SUMPRODUCT(MAX(ROW(E$2:E1483)*(E1483=E$2:E1483)))))-COUNTBLANK(OFFSET(A$1,,,SUMPRODUCT(MAX(ROW(E$1:E1482)*(E2=E$1:E1482))))))</f>
        <v> </v>
      </c>
      <c r="K1483" s="25" t="str">
        <f>IF(OR(E1483="",E1483="!!!",F1483="NEW"),"",INDEX(J$1:J1482,SUMPRODUCT(MAX(ROW(E$1:E1482)*(E1483=E$1:E1482)))))</f>
        <v> </v>
      </c>
      <c r="L1483" s="26"/>
    </row>
    <row r="1484" spans="1:12">
      <c r="A1484" s="20" t="s">
        <v>790</v>
      </c>
      <c r="B1484" s="27" t="s">
        <v>668</v>
      </c>
      <c r="C1484" s="27" t="s">
        <v>637</v>
      </c>
      <c r="D1484" s="27" t="s">
        <v>608</v>
      </c>
      <c r="E1484" s="21">
        <f>IF(D1484="?OLD","!!!","")</f>
        <v/>
      </c>
      <c r="F1484" s="22" t="str">
        <f>IF(OR(E1484="",E1484="!!!"),"",IF(NOT(ISNA(VLOOKUP(E1484,E$1:E1483,1,FALSE()))),"OLD",IF(AND(E1484&lt;&gt;"",E1484&lt;&gt;"!!!"),"NEW","")))</f>
        <v> </v>
      </c>
      <c r="G1484" s="23" t="str">
        <f>IF(OR(E1484="",E1484="!!!"),"",IF(OR(J1484=0,AND(J1484=1,K1484=1),AND(J1484=1,I1484="SBJ"),AND(J1484=1,I1484=0)),"?IN_FOCUS",IF(J1484&lt;=2,"?ACTIVATED",IF(J1484&lt;&gt;"","?FAMILIAR",IF(F1484="NEW",IF(ISNA(VLOOKUP(E1484,#REF!,1,FALSE())),"?TYPE_IDENTIFIABLE","?REFERENTIAL"),"_")))))</f>
        <v> </v>
      </c>
      <c r="H1484" s="24" t="str">
        <f>IF(J1484&lt;&gt;1,"",IF(I1484="SBJ","CB","?"))</f>
        <v> </v>
      </c>
      <c r="I1484" s="25" t="str">
        <f>IF(OR(E1484="",E1484="!!!",F1484="NEW"),"",INDEX(B1483:B$2,-1+SUMPRODUCT(MAX(ROW(E1483:E$2)*(E1484=E1483:E$2)))))</f>
        <v> </v>
      </c>
      <c r="J1484" s="25" t="str">
        <f>IF(OR(E1484="",E1484="!!!",F1484="NEW"),"",COUNTBLANK(OFFSET(A$1,,,SUMPRODUCT(MAX(ROW(E$2:E1484)*(E1484=E$2:E1484)))))-COUNTBLANK(OFFSET(A$1,,,SUMPRODUCT(MAX(ROW(E$1:E1483)*(E2=E$1:E1483))))))</f>
        <v> </v>
      </c>
      <c r="K1484" s="25" t="str">
        <f>IF(OR(E1484="",E1484="!!!",F1484="NEW"),"",INDEX(J$1:J1483,SUMPRODUCT(MAX(ROW(E$1:E1483)*(E1484=E$1:E1483)))))</f>
        <v> </v>
      </c>
      <c r="L1484" s="26"/>
    </row>
    <row r="1485" spans="1:12">
      <c r="A1485" s="20" t="s">
        <v>717</v>
      </c>
      <c r="E1485" s="21">
        <f>IF(D1485="?OLD","!!!","")</f>
        <v/>
      </c>
      <c r="F1485" s="22" t="str">
        <f>IF(OR(E1485="",E1485="!!!"),"",IF(NOT(ISNA(VLOOKUP(E1485,E$1:E1484,1,FALSE()))),"OLD",IF(AND(E1485&lt;&gt;"",E1485&lt;&gt;"!!!"),"NEW","")))</f>
        <v> </v>
      </c>
      <c r="G1485" s="23" t="str">
        <f>IF(OR(E1485="",E1485="!!!"),"",IF(OR(J1485=0,AND(J1485=1,K1485=1),AND(J1485=1,I1485="SBJ"),AND(J1485=1,I1485=0)),"?IN_FOCUS",IF(J1485&lt;=2,"?ACTIVATED",IF(J1485&lt;&gt;"","?FAMILIAR",IF(F1485="NEW",IF(ISNA(VLOOKUP(E1485,#REF!,1,FALSE())),"?TYPE_IDENTIFIABLE","?REFERENTIAL"),"_")))))</f>
        <v> </v>
      </c>
      <c r="H1485" s="24" t="str">
        <f>IF(J1485&lt;&gt;1,"",IF(I1485="SBJ","CB","?"))</f>
        <v> </v>
      </c>
      <c r="I1485" s="25" t="str">
        <f>IF(OR(E1485="",E1485="!!!",F1485="NEW"),"",INDEX(B1484:B$2,-1+SUMPRODUCT(MAX(ROW(E1484:E$2)*(E1485=E1484:E$2)))))</f>
        <v> </v>
      </c>
      <c r="J1485" s="25" t="str">
        <f>IF(OR(E1485="",E1485="!!!",F1485="NEW"),"",COUNTBLANK(OFFSET(A$1,,,SUMPRODUCT(MAX(ROW(E$2:E1485)*(E1485=E$2:E1485)))))-COUNTBLANK(OFFSET(A$1,,,SUMPRODUCT(MAX(ROW(E$1:E1484)*(E2=E$1:E1484))))))</f>
        <v> </v>
      </c>
      <c r="K1485" s="25" t="str">
        <f>IF(OR(E1485="",E1485="!!!",F1485="NEW"),"",INDEX(J$1:J1484,SUMPRODUCT(MAX(ROW(E$1:E1484)*(E1485=E$1:E1484)))))</f>
        <v> </v>
      </c>
      <c r="L1485" s="26"/>
    </row>
    <row r="1486" spans="1:12">
      <c r="A1486" s="20" t="s">
        <v>1234</v>
      </c>
      <c r="B1486" s="27" t="s">
        <v>725</v>
      </c>
      <c r="C1486" s="27" t="s">
        <v>750</v>
      </c>
      <c r="D1486" s="27" t="s">
        <v>608</v>
      </c>
      <c r="E1486" s="21">
        <f>IF(D1486="?OLD","!!!","")</f>
        <v/>
      </c>
      <c r="F1486" s="22" t="str">
        <f>IF(OR(E1486="",E1486="!!!"),"",IF(NOT(ISNA(VLOOKUP(E1486,E$1:E1485,1,FALSE()))),"OLD",IF(AND(E1486&lt;&gt;"",E1486&lt;&gt;"!!!"),"NEW","")))</f>
        <v> </v>
      </c>
      <c r="G1486" s="23" t="str">
        <f>IF(OR(E1486="",E1486="!!!"),"",IF(OR(J1486=0,AND(J1486=1,K1486=1),AND(J1486=1,I1486="SBJ"),AND(J1486=1,I1486=0)),"?IN_FOCUS",IF(J1486&lt;=2,"?ACTIVATED",IF(J1486&lt;&gt;"","?FAMILIAR",IF(F1486="NEW",IF(ISNA(VLOOKUP(E1486,#REF!,1,FALSE())),"?TYPE_IDENTIFIABLE","?REFERENTIAL"),"_")))))</f>
        <v> </v>
      </c>
      <c r="H1486" s="24" t="str">
        <f>IF(J1486&lt;&gt;1,"",IF(I1486="SBJ","CB","?"))</f>
        <v> </v>
      </c>
      <c r="I1486" s="25" t="str">
        <f>IF(OR(E1486="",E1486="!!!",F1486="NEW"),"",INDEX(B1485:B$2,-1+SUMPRODUCT(MAX(ROW(E1485:E$2)*(E1486=E1485:E$2)))))</f>
        <v> </v>
      </c>
      <c r="J1486" s="25" t="str">
        <f>IF(OR(E1486="",E1486="!!!",F1486="NEW"),"",COUNTBLANK(OFFSET(A$1,,,SUMPRODUCT(MAX(ROW(E$2:E1486)*(E1486=E$2:E1486)))))-COUNTBLANK(OFFSET(A$1,,,SUMPRODUCT(MAX(ROW(E$1:E1485)*(E2=E$1:E1485))))))</f>
        <v> </v>
      </c>
      <c r="K1486" s="25" t="str">
        <f>IF(OR(E1486="",E1486="!!!",F1486="NEW"),"",INDEX(J$1:J1485,SUMPRODUCT(MAX(ROW(E$1:E1485)*(E1486=E$1:E1485)))))</f>
        <v> </v>
      </c>
      <c r="L1486" s="26"/>
    </row>
    <row r="1487" spans="1:12">
      <c r="A1487" s="20" t="s">
        <v>639</v>
      </c>
      <c r="E1487" s="21">
        <f>IF(D1487="?OLD","!!!","")</f>
        <v/>
      </c>
      <c r="F1487" s="22" t="str">
        <f>IF(OR(E1487="",E1487="!!!"),"",IF(NOT(ISNA(VLOOKUP(E1487,E$1:E1486,1,FALSE()))),"OLD",IF(AND(E1487&lt;&gt;"",E1487&lt;&gt;"!!!"),"NEW","")))</f>
        <v> </v>
      </c>
      <c r="G1487" s="23" t="str">
        <f>IF(OR(E1487="",E1487="!!!"),"",IF(OR(J1487=0,AND(J1487=1,K1487=1),AND(J1487=1,I1487="SBJ"),AND(J1487=1,I1487=0)),"?IN_FOCUS",IF(J1487&lt;=2,"?ACTIVATED",IF(J1487&lt;&gt;"","?FAMILIAR",IF(F1487="NEW",IF(ISNA(VLOOKUP(E1487,#REF!,1,FALSE())),"?TYPE_IDENTIFIABLE","?REFERENTIAL"),"_")))))</f>
        <v> </v>
      </c>
      <c r="H1487" s="24" t="str">
        <f>IF(J1487&lt;&gt;1,"",IF(I1487="SBJ","CB","?"))</f>
        <v> </v>
      </c>
      <c r="I1487" s="25" t="str">
        <f>IF(OR(E1487="",E1487="!!!",F1487="NEW"),"",INDEX(B1486:B$2,-1+SUMPRODUCT(MAX(ROW(E1486:E$2)*(E1487=E1486:E$2)))))</f>
        <v> </v>
      </c>
      <c r="J1487" s="25" t="str">
        <f>IF(OR(E1487="",E1487="!!!",F1487="NEW"),"",COUNTBLANK(OFFSET(A$1,,,SUMPRODUCT(MAX(ROW(E$2:E1487)*(E1487=E$2:E1487)))))-COUNTBLANK(OFFSET(A$1,,,SUMPRODUCT(MAX(ROW(E$1:E1486)*(E2=E$1:E1486))))))</f>
        <v> </v>
      </c>
      <c r="K1487" s="25" t="str">
        <f>IF(OR(E1487="",E1487="!!!",F1487="NEW"),"",INDEX(J$1:J1486,SUMPRODUCT(MAX(ROW(E$1:E1486)*(E1487=E$1:E1486)))))</f>
        <v> </v>
      </c>
      <c r="L1487" s="26"/>
    </row>
    <row r="1488" spans="1:12">
      <c r="A1488" s="20" t="s">
        <v>630</v>
      </c>
      <c r="B1488" s="27" t="s">
        <v>664</v>
      </c>
      <c r="C1488" s="27" t="s">
        <v>631</v>
      </c>
      <c r="D1488" s="27" t="s">
        <v>608</v>
      </c>
      <c r="E1488" s="21">
        <f>IF(D1488="?OLD","!!!","")</f>
        <v/>
      </c>
      <c r="F1488" s="22" t="str">
        <f>IF(OR(E1488="",E1488="!!!"),"",IF(NOT(ISNA(VLOOKUP(E1488,E$1:E1487,1,FALSE()))),"OLD",IF(AND(E1488&lt;&gt;"",E1488&lt;&gt;"!!!"),"NEW","")))</f>
        <v> </v>
      </c>
      <c r="G1488" s="23" t="str">
        <f>IF(OR(E1488="",E1488="!!!"),"",IF(OR(J1488=0,AND(J1488=1,K1488=1),AND(J1488=1,I1488="SBJ"),AND(J1488=1,I1488=0)),"?IN_FOCUS",IF(J1488&lt;=2,"?ACTIVATED",IF(J1488&lt;&gt;"","?FAMILIAR",IF(F1488="NEW",IF(ISNA(VLOOKUP(E1488,#REF!,1,FALSE())),"?TYPE_IDENTIFIABLE","?REFERENTIAL"),"_")))))</f>
        <v> </v>
      </c>
      <c r="H1488" s="24" t="str">
        <f>IF(J1488&lt;&gt;1,"",IF(I1488="SBJ","CB","?"))</f>
        <v> </v>
      </c>
      <c r="I1488" s="25" t="str">
        <f>IF(OR(E1488="",E1488="!!!",F1488="NEW"),"",INDEX(B1487:B$2,-1+SUMPRODUCT(MAX(ROW(E1487:E$2)*(E1488=E1487:E$2)))))</f>
        <v> </v>
      </c>
      <c r="J1488" s="25" t="str">
        <f>IF(OR(E1488="",E1488="!!!",F1488="NEW"),"",COUNTBLANK(OFFSET(A$1,,,SUMPRODUCT(MAX(ROW(E$2:E1488)*(E1488=E$2:E1488)))))-COUNTBLANK(OFFSET(A$1,,,SUMPRODUCT(MAX(ROW(E$1:E1487)*(E2=E$1:E1487))))))</f>
        <v> </v>
      </c>
      <c r="K1488" s="25" t="str">
        <f>IF(OR(E1488="",E1488="!!!",F1488="NEW"),"",INDEX(J$1:J1487,SUMPRODUCT(MAX(ROW(E$1:E1487)*(E1488=E$1:E1487)))))</f>
        <v> </v>
      </c>
      <c r="L1488" s="26"/>
    </row>
    <row r="1489" spans="1:12">
      <c r="A1489" s="20" t="s">
        <v>1235</v>
      </c>
      <c r="E1489" s="21">
        <f>IF(D1489="?OLD","!!!","")</f>
        <v/>
      </c>
      <c r="F1489" s="22" t="str">
        <f>IF(OR(E1489="",E1489="!!!"),"",IF(NOT(ISNA(VLOOKUP(E1489,E$1:E1488,1,FALSE()))),"OLD",IF(AND(E1489&lt;&gt;"",E1489&lt;&gt;"!!!"),"NEW","")))</f>
        <v> </v>
      </c>
      <c r="G1489" s="23" t="str">
        <f>IF(OR(E1489="",E1489="!!!"),"",IF(OR(J1489=0,AND(J1489=1,K1489=1),AND(J1489=1,I1489="SBJ"),AND(J1489=1,I1489=0)),"?IN_FOCUS",IF(J1489&lt;=2,"?ACTIVATED",IF(J1489&lt;&gt;"","?FAMILIAR",IF(F1489="NEW",IF(ISNA(VLOOKUP(E1489,#REF!,1,FALSE())),"?TYPE_IDENTIFIABLE","?REFERENTIAL"),"_")))))</f>
        <v> </v>
      </c>
      <c r="H1489" s="24" t="str">
        <f>IF(J1489&lt;&gt;1,"",IF(I1489="SBJ","CB","?"))</f>
        <v> </v>
      </c>
      <c r="I1489" s="25" t="str">
        <f>IF(OR(E1489="",E1489="!!!",F1489="NEW"),"",INDEX(B1488:B$2,-1+SUMPRODUCT(MAX(ROW(E1488:E$2)*(E1489=E1488:E$2)))))</f>
        <v> </v>
      </c>
      <c r="J1489" s="25" t="str">
        <f>IF(OR(E1489="",E1489="!!!",F1489="NEW"),"",COUNTBLANK(OFFSET(A$1,,,SUMPRODUCT(MAX(ROW(E$2:E1489)*(E1489=E$2:E1489)))))-COUNTBLANK(OFFSET(A$1,,,SUMPRODUCT(MAX(ROW(E$1:E1488)*(E2=E$1:E1488))))))</f>
        <v> </v>
      </c>
      <c r="K1489" s="25" t="str">
        <f>IF(OR(E1489="",E1489="!!!",F1489="NEW"),"",INDEX(J$1:J1488,SUMPRODUCT(MAX(ROW(E$1:E1488)*(E1489=E$1:E1488)))))</f>
        <v> </v>
      </c>
      <c r="L1489" s="26"/>
    </row>
    <row r="1490" spans="1:12">
      <c r="A1490" s="20" t="s">
        <v>617</v>
      </c>
      <c r="E1490" s="21">
        <f>IF(D1490="?OLD","!!!","")</f>
        <v/>
      </c>
      <c r="F1490" s="22" t="str">
        <f>IF(OR(E1490="",E1490="!!!"),"",IF(NOT(ISNA(VLOOKUP(E1490,E$1:E1489,1,FALSE()))),"OLD",IF(AND(E1490&lt;&gt;"",E1490&lt;&gt;"!!!"),"NEW","")))</f>
        <v> </v>
      </c>
      <c r="G1490" s="23" t="str">
        <f>IF(OR(E1490="",E1490="!!!"),"",IF(OR(J1490=0,AND(J1490=1,K1490=1),AND(J1490=1,I1490="SBJ"),AND(J1490=1,I1490=0)),"?IN_FOCUS",IF(J1490&lt;=2,"?ACTIVATED",IF(J1490&lt;&gt;"","?FAMILIAR",IF(F1490="NEW",IF(ISNA(VLOOKUP(E1490,#REF!,1,FALSE())),"?TYPE_IDENTIFIABLE","?REFERENTIAL"),"_")))))</f>
        <v> </v>
      </c>
      <c r="H1490" s="24" t="str">
        <f>IF(J1490&lt;&gt;1,"",IF(I1490="SBJ","CB","?"))</f>
        <v> </v>
      </c>
      <c r="I1490" s="25" t="str">
        <f>IF(OR(E1490="",E1490="!!!",F1490="NEW"),"",INDEX(B1489:B$2,-1+SUMPRODUCT(MAX(ROW(E1489:E$2)*(E1490=E1489:E$2)))))</f>
        <v> </v>
      </c>
      <c r="J1490" s="25" t="str">
        <f>IF(OR(E1490="",E1490="!!!",F1490="NEW"),"",COUNTBLANK(OFFSET(A$1,,,SUMPRODUCT(MAX(ROW(E$2:E1490)*(E1490=E$2:E1490)))))-COUNTBLANK(OFFSET(A$1,,,SUMPRODUCT(MAX(ROW(E$1:E1489)*(E2=E$1:E1489))))))</f>
        <v> </v>
      </c>
      <c r="K1490" s="25" t="str">
        <f>IF(OR(E1490="",E1490="!!!",F1490="NEW"),"",INDEX(J$1:J1489,SUMPRODUCT(MAX(ROW(E$1:E1489)*(E1490=E$1:E1489)))))</f>
        <v> </v>
      </c>
      <c r="L1490" s="26"/>
    </row>
    <row r="1491" spans="1:12">
      <c r="A1491" s="20" t="s">
        <v>18</v>
      </c>
      <c r="E1491" s="21">
        <f>IF(D1491="?OLD","!!!","")</f>
        <v/>
      </c>
      <c r="F1491" s="22" t="str">
        <f>IF(OR(E1491="",E1491="!!!"),"",IF(NOT(ISNA(VLOOKUP(E1491,E$1:E1490,1,FALSE()))),"OLD",IF(AND(E1491&lt;&gt;"",E1491&lt;&gt;"!!!"),"NEW","")))</f>
        <v> </v>
      </c>
      <c r="G1491" s="23" t="str">
        <f>IF(OR(E1491="",E1491="!!!"),"",IF(OR(J1491=0,AND(J1491=1,K1491=1),AND(J1491=1,I1491="SBJ"),AND(J1491=1,I1491=0)),"?IN_FOCUS",IF(J1491&lt;=2,"?ACTIVATED",IF(J1491&lt;&gt;"","?FAMILIAR",IF(F1491="NEW",IF(ISNA(VLOOKUP(E1491,#REF!,1,FALSE())),"?TYPE_IDENTIFIABLE","?REFERENTIAL"),"_")))))</f>
        <v> </v>
      </c>
      <c r="H1491" s="24" t="str">
        <f>IF(J1491&lt;&gt;1,"",IF(I1491="SBJ","CB","?"))</f>
        <v> </v>
      </c>
      <c r="I1491" s="25" t="str">
        <f>IF(OR(E1491="",E1491="!!!",F1491="NEW"),"",INDEX(B1490:B$2,-1+SUMPRODUCT(MAX(ROW(E1490:E$2)*(E1491=E1490:E$2)))))</f>
        <v> </v>
      </c>
      <c r="J1491" s="25" t="str">
        <f>IF(OR(E1491="",E1491="!!!",F1491="NEW"),"",COUNTBLANK(OFFSET(A$1,,,SUMPRODUCT(MAX(ROW(E$2:E1491)*(E1491=E$2:E1491)))))-COUNTBLANK(OFFSET(A$1,,,SUMPRODUCT(MAX(ROW(E$1:E1490)*(E2=E$1:E1490))))))</f>
        <v> </v>
      </c>
      <c r="K1491" s="25" t="str">
        <f>IF(OR(E1491="",E1491="!!!",F1491="NEW"),"",INDEX(J$1:J1490,SUMPRODUCT(MAX(ROW(E$1:E1490)*(E1491=E$1:E1490)))))</f>
        <v> </v>
      </c>
      <c r="L1491" s="26"/>
    </row>
    <row r="1492" spans="1:12">
      <c r="A1492" s="20" t="s">
        <v>807</v>
      </c>
      <c r="B1492" s="27" t="s">
        <v>636</v>
      </c>
      <c r="C1492" s="27" t="s">
        <v>652</v>
      </c>
      <c r="D1492" s="27" t="s">
        <v>608</v>
      </c>
      <c r="E1492" s="21">
        <f>IF(D1492="?OLD","!!!","")</f>
        <v/>
      </c>
      <c r="F1492" s="22" t="str">
        <f>IF(OR(E1492="",E1492="!!!"),"",IF(NOT(ISNA(VLOOKUP(E1492,E$1:E1491,1,FALSE()))),"OLD",IF(AND(E1492&lt;&gt;"",E1492&lt;&gt;"!!!"),"NEW","")))</f>
        <v> </v>
      </c>
      <c r="G1492" s="23" t="str">
        <f>IF(OR(E1492="",E1492="!!!"),"",IF(OR(J1492=0,AND(J1492=1,K1492=1),AND(J1492=1,I1492="SBJ"),AND(J1492=1,I1492=0)),"?IN_FOCUS",IF(J1492&lt;=2,"?ACTIVATED",IF(J1492&lt;&gt;"","?FAMILIAR",IF(F1492="NEW",IF(ISNA(VLOOKUP(E1492,#REF!,1,FALSE())),"?TYPE_IDENTIFIABLE","?REFERENTIAL"),"_")))))</f>
        <v> </v>
      </c>
      <c r="H1492" s="24" t="str">
        <f>IF(J1492&lt;&gt;1,"",IF(I1492="SBJ","CB","?"))</f>
        <v> </v>
      </c>
      <c r="I1492" s="25" t="str">
        <f>IF(OR(E1492="",E1492="!!!",F1492="NEW"),"",INDEX(B1491:B$2,-1+SUMPRODUCT(MAX(ROW(E1491:E$2)*(E1492=E1491:E$2)))))</f>
        <v> </v>
      </c>
      <c r="J1492" s="25" t="str">
        <f>IF(OR(E1492="",E1492="!!!",F1492="NEW"),"",COUNTBLANK(OFFSET(A$1,,,SUMPRODUCT(MAX(ROW(E$2:E1492)*(E1492=E$2:E1492)))))-COUNTBLANK(OFFSET(A$1,,,SUMPRODUCT(MAX(ROW(E$1:E1491)*(E2=E$1:E1491))))))</f>
        <v> </v>
      </c>
      <c r="K1492" s="25" t="str">
        <f>IF(OR(E1492="",E1492="!!!",F1492="NEW"),"",INDEX(J$1:J1491,SUMPRODUCT(MAX(ROW(E$1:E1491)*(E1492=E$1:E1491)))))</f>
        <v> </v>
      </c>
      <c r="L1492" s="26"/>
    </row>
    <row r="1493" spans="1:12">
      <c r="A1493" s="20" t="s">
        <v>771</v>
      </c>
      <c r="B1493" s="27" t="s">
        <v>653</v>
      </c>
      <c r="C1493" s="27" t="s">
        <v>637</v>
      </c>
      <c r="D1493" s="27" t="s">
        <v>608</v>
      </c>
      <c r="E1493" s="21">
        <f>IF(D1493="?OLD","!!!","")</f>
        <v/>
      </c>
      <c r="F1493" s="22" t="str">
        <f>IF(OR(E1493="",E1493="!!!"),"",IF(NOT(ISNA(VLOOKUP(E1493,E$1:E1492,1,FALSE()))),"OLD",IF(AND(E1493&lt;&gt;"",E1493&lt;&gt;"!!!"),"NEW","")))</f>
        <v> </v>
      </c>
      <c r="G1493" s="23" t="str">
        <f>IF(OR(E1493="",E1493="!!!"),"",IF(OR(J1493=0,AND(J1493=1,K1493=1),AND(J1493=1,I1493="SBJ"),AND(J1493=1,I1493=0)),"?IN_FOCUS",IF(J1493&lt;=2,"?ACTIVATED",IF(J1493&lt;&gt;"","?FAMILIAR",IF(F1493="NEW",IF(ISNA(VLOOKUP(E1493,#REF!,1,FALSE())),"?TYPE_IDENTIFIABLE","?REFERENTIAL"),"_")))))</f>
        <v> </v>
      </c>
      <c r="H1493" s="24" t="str">
        <f>IF(J1493&lt;&gt;1,"",IF(I1493="SBJ","CB","?"))</f>
        <v> </v>
      </c>
      <c r="I1493" s="25" t="str">
        <f>IF(OR(E1493="",E1493="!!!",F1493="NEW"),"",INDEX(B1492:B$2,-1+SUMPRODUCT(MAX(ROW(E1492:E$2)*(E1493=E1492:E$2)))))</f>
        <v> </v>
      </c>
      <c r="J1493" s="25" t="str">
        <f>IF(OR(E1493="",E1493="!!!",F1493="NEW"),"",COUNTBLANK(OFFSET(A$1,,,SUMPRODUCT(MAX(ROW(E$2:E1493)*(E1493=E$2:E1493)))))-COUNTBLANK(OFFSET(A$1,,,SUMPRODUCT(MAX(ROW(E$1:E1492)*(E2=E$1:E1492))))))</f>
        <v> </v>
      </c>
      <c r="K1493" s="25" t="str">
        <f>IF(OR(E1493="",E1493="!!!",F1493="NEW"),"",INDEX(J$1:J1492,SUMPRODUCT(MAX(ROW(E$1:E1492)*(E1493=E$1:E1492)))))</f>
        <v> </v>
      </c>
      <c r="L1493" s="26"/>
    </row>
    <row r="1494" spans="1:12">
      <c r="A1494" s="20" t="s">
        <v>766</v>
      </c>
      <c r="E1494" s="21">
        <f>IF(D1494="?OLD","!!!","")</f>
        <v/>
      </c>
      <c r="F1494" s="22" t="str">
        <f>IF(OR(E1494="",E1494="!!!"),"",IF(NOT(ISNA(VLOOKUP(E1494,E$1:E1493,1,FALSE()))),"OLD",IF(AND(E1494&lt;&gt;"",E1494&lt;&gt;"!!!"),"NEW","")))</f>
        <v> </v>
      </c>
      <c r="G1494" s="23" t="str">
        <f>IF(OR(E1494="",E1494="!!!"),"",IF(OR(J1494=0,AND(J1494=1,K1494=1),AND(J1494=1,I1494="SBJ"),AND(J1494=1,I1494=0)),"?IN_FOCUS",IF(J1494&lt;=2,"?ACTIVATED",IF(J1494&lt;&gt;"","?FAMILIAR",IF(F1494="NEW",IF(ISNA(VLOOKUP(E1494,#REF!,1,FALSE())),"?TYPE_IDENTIFIABLE","?REFERENTIAL"),"_")))))</f>
        <v> </v>
      </c>
      <c r="H1494" s="24" t="str">
        <f>IF(J1494&lt;&gt;1,"",IF(I1494="SBJ","CB","?"))</f>
        <v> </v>
      </c>
      <c r="I1494" s="25" t="str">
        <f>IF(OR(E1494="",E1494="!!!",F1494="NEW"),"",INDEX(B1493:B$2,-1+SUMPRODUCT(MAX(ROW(E1493:E$2)*(E1494=E1493:E$2)))))</f>
        <v> </v>
      </c>
      <c r="J1494" s="25" t="str">
        <f>IF(OR(E1494="",E1494="!!!",F1494="NEW"),"",COUNTBLANK(OFFSET(A$1,,,SUMPRODUCT(MAX(ROW(E$2:E1494)*(E1494=E$2:E1494)))))-COUNTBLANK(OFFSET(A$1,,,SUMPRODUCT(MAX(ROW(E$1:E1493)*(E2=E$1:E1493))))))</f>
        <v> </v>
      </c>
      <c r="K1494" s="25" t="str">
        <f>IF(OR(E1494="",E1494="!!!",F1494="NEW"),"",INDEX(J$1:J1493,SUMPRODUCT(MAX(ROW(E$1:E1493)*(E1494=E$1:E1493)))))</f>
        <v> </v>
      </c>
      <c r="L1494" s="26"/>
    </row>
    <row r="1495" spans="1:12">
      <c r="A1495" s="20" t="s">
        <v>1236</v>
      </c>
      <c r="E1495" s="21">
        <f>IF(D1495="?OLD","!!!","")</f>
        <v/>
      </c>
      <c r="F1495" s="22" t="str">
        <f>IF(OR(E1495="",E1495="!!!"),"",IF(NOT(ISNA(VLOOKUP(E1495,E$1:E1494,1,FALSE()))),"OLD",IF(AND(E1495&lt;&gt;"",E1495&lt;&gt;"!!!"),"NEW","")))</f>
        <v> </v>
      </c>
      <c r="G1495" s="23" t="str">
        <f>IF(OR(E1495="",E1495="!!!"),"",IF(OR(J1495=0,AND(J1495=1,K1495=1),AND(J1495=1,I1495="SBJ"),AND(J1495=1,I1495=0)),"?IN_FOCUS",IF(J1495&lt;=2,"?ACTIVATED",IF(J1495&lt;&gt;"","?FAMILIAR",IF(F1495="NEW",IF(ISNA(VLOOKUP(E1495,#REF!,1,FALSE())),"?TYPE_IDENTIFIABLE","?REFERENTIAL"),"_")))))</f>
        <v> </v>
      </c>
      <c r="H1495" s="24" t="str">
        <f>IF(J1495&lt;&gt;1,"",IF(I1495="SBJ","CB","?"))</f>
        <v> </v>
      </c>
      <c r="I1495" s="25" t="str">
        <f>IF(OR(E1495="",E1495="!!!",F1495="NEW"),"",INDEX(B1494:B$2,-1+SUMPRODUCT(MAX(ROW(E1494:E$2)*(E1495=E1494:E$2)))))</f>
        <v> </v>
      </c>
      <c r="J1495" s="25" t="str">
        <f>IF(OR(E1495="",E1495="!!!",F1495="NEW"),"",COUNTBLANK(OFFSET(A$1,,,SUMPRODUCT(MAX(ROW(E$2:E1495)*(E1495=E$2:E1495)))))-COUNTBLANK(OFFSET(A$1,,,SUMPRODUCT(MAX(ROW(E$1:E1494)*(E2=E$1:E1494))))))</f>
        <v> </v>
      </c>
      <c r="K1495" s="25" t="str">
        <f>IF(OR(E1495="",E1495="!!!",F1495="NEW"),"",INDEX(J$1:J1494,SUMPRODUCT(MAX(ROW(E$1:E1494)*(E1495=E$1:E1494)))))</f>
        <v> </v>
      </c>
      <c r="L1495" s="26"/>
    </row>
    <row r="1496" spans="1:12">
      <c r="A1496" s="20" t="s">
        <v>617</v>
      </c>
      <c r="E1496" s="21">
        <f>IF(D1496="?OLD","!!!","")</f>
        <v/>
      </c>
      <c r="F1496" s="22" t="str">
        <f>IF(OR(E1496="",E1496="!!!"),"",IF(NOT(ISNA(VLOOKUP(E1496,E$1:E1495,1,FALSE()))),"OLD",IF(AND(E1496&lt;&gt;"",E1496&lt;&gt;"!!!"),"NEW","")))</f>
        <v> </v>
      </c>
      <c r="G1496" s="23" t="str">
        <f>IF(OR(E1496="",E1496="!!!"),"",IF(OR(J1496=0,AND(J1496=1,K1496=1),AND(J1496=1,I1496="SBJ"),AND(J1496=1,I1496=0)),"?IN_FOCUS",IF(J1496&lt;=2,"?ACTIVATED",IF(J1496&lt;&gt;"","?FAMILIAR",IF(F1496="NEW",IF(ISNA(VLOOKUP(E1496,#REF!,1,FALSE())),"?TYPE_IDENTIFIABLE","?REFERENTIAL"),"_")))))</f>
        <v> </v>
      </c>
      <c r="H1496" s="24" t="str">
        <f>IF(J1496&lt;&gt;1,"",IF(I1496="SBJ","CB","?"))</f>
        <v> </v>
      </c>
      <c r="I1496" s="25" t="str">
        <f>IF(OR(E1496="",E1496="!!!",F1496="NEW"),"",INDEX(B1495:B$2,-1+SUMPRODUCT(MAX(ROW(E1495:E$2)*(E1496=E1495:E$2)))))</f>
        <v> </v>
      </c>
      <c r="J1496" s="25" t="str">
        <f>IF(OR(E1496="",E1496="!!!",F1496="NEW"),"",COUNTBLANK(OFFSET(A$1,,,SUMPRODUCT(MAX(ROW(E$2:E1496)*(E1496=E$2:E1496)))))-COUNTBLANK(OFFSET(A$1,,,SUMPRODUCT(MAX(ROW(E$1:E1495)*(E2=E$1:E1495))))))</f>
        <v> </v>
      </c>
      <c r="K1496" s="25" t="str">
        <f>IF(OR(E1496="",E1496="!!!",F1496="NEW"),"",INDEX(J$1:J1495,SUMPRODUCT(MAX(ROW(E$1:E1495)*(E1496=E$1:E1495)))))</f>
        <v> </v>
      </c>
      <c r="L1496" s="26"/>
    </row>
    <row r="1497" spans="1:12">
      <c r="A1497" s="20" t="s">
        <v>623</v>
      </c>
      <c r="E1497" s="21">
        <f>IF(D1497="?OLD","!!!","")</f>
        <v/>
      </c>
      <c r="F1497" s="22" t="str">
        <f>IF(OR(E1497="",E1497="!!!"),"",IF(NOT(ISNA(VLOOKUP(E1497,E$1:E1496,1,FALSE()))),"OLD",IF(AND(E1497&lt;&gt;"",E1497&lt;&gt;"!!!"),"NEW","")))</f>
        <v> </v>
      </c>
      <c r="G1497" s="23" t="str">
        <f>IF(OR(E1497="",E1497="!!!"),"",IF(OR(J1497=0,AND(J1497=1,K1497=1),AND(J1497=1,I1497="SBJ"),AND(J1497=1,I1497=0)),"?IN_FOCUS",IF(J1497&lt;=2,"?ACTIVATED",IF(J1497&lt;&gt;"","?FAMILIAR",IF(F1497="NEW",IF(ISNA(VLOOKUP(E1497,#REF!,1,FALSE())),"?TYPE_IDENTIFIABLE","?REFERENTIAL"),"_")))))</f>
        <v> </v>
      </c>
      <c r="H1497" s="24" t="str">
        <f>IF(J1497&lt;&gt;1,"",IF(I1497="SBJ","CB","?"))</f>
        <v> </v>
      </c>
      <c r="I1497" s="25" t="str">
        <f>IF(OR(E1497="",E1497="!!!",F1497="NEW"),"",INDEX(B1496:B$2,-1+SUMPRODUCT(MAX(ROW(E1496:E$2)*(E1497=E1496:E$2)))))</f>
        <v> </v>
      </c>
      <c r="J1497" s="25" t="str">
        <f>IF(OR(E1497="",E1497="!!!",F1497="NEW"),"",COUNTBLANK(OFFSET(A$1,,,SUMPRODUCT(MAX(ROW(E$2:E1497)*(E1497=E$2:E1497)))))-COUNTBLANK(OFFSET(A$1,,,SUMPRODUCT(MAX(ROW(E$1:E1496)*(E2=E$1:E1496))))))</f>
        <v> </v>
      </c>
      <c r="K1497" s="25" t="str">
        <f>IF(OR(E1497="",E1497="!!!",F1497="NEW"),"",INDEX(J$1:J1496,SUMPRODUCT(MAX(ROW(E$1:E1496)*(E1497=E$1:E1496)))))</f>
        <v> </v>
      </c>
      <c r="L1497" s="26"/>
    </row>
    <row r="1498" spans="1:12">
      <c r="A1498" s="20" t="s">
        <v>1237</v>
      </c>
      <c r="E1498" s="21">
        <f>IF(D1498="?OLD","!!!","")</f>
        <v/>
      </c>
      <c r="F1498" s="22" t="str">
        <f>IF(OR(E1498="",E1498="!!!"),"",IF(NOT(ISNA(VLOOKUP(E1498,E$1:E1497,1,FALSE()))),"OLD",IF(AND(E1498&lt;&gt;"",E1498&lt;&gt;"!!!"),"NEW","")))</f>
        <v> </v>
      </c>
      <c r="G1498" s="23" t="str">
        <f>IF(OR(E1498="",E1498="!!!"),"",IF(OR(J1498=0,AND(J1498=1,K1498=1),AND(J1498=1,I1498="SBJ"),AND(J1498=1,I1498=0)),"?IN_FOCUS",IF(J1498&lt;=2,"?ACTIVATED",IF(J1498&lt;&gt;"","?FAMILIAR",IF(F1498="NEW",IF(ISNA(VLOOKUP(E1498,#REF!,1,FALSE())),"?TYPE_IDENTIFIABLE","?REFERENTIAL"),"_")))))</f>
        <v> </v>
      </c>
      <c r="H1498" s="24" t="str">
        <f>IF(J1498&lt;&gt;1,"",IF(I1498="SBJ","CB","?"))</f>
        <v> </v>
      </c>
      <c r="I1498" s="25" t="str">
        <f>IF(OR(E1498="",E1498="!!!",F1498="NEW"),"",INDEX(B1497:B$2,-1+SUMPRODUCT(MAX(ROW(E1497:E$2)*(E1498=E1497:E$2)))))</f>
        <v> </v>
      </c>
      <c r="J1498" s="25" t="str">
        <f>IF(OR(E1498="",E1498="!!!",F1498="NEW"),"",COUNTBLANK(OFFSET(A$1,,,SUMPRODUCT(MAX(ROW(E$2:E1498)*(E1498=E$2:E1498)))))-COUNTBLANK(OFFSET(A$1,,,SUMPRODUCT(MAX(ROW(E$1:E1497)*(E2=E$1:E1497))))))</f>
        <v> </v>
      </c>
      <c r="K1498" s="25" t="str">
        <f>IF(OR(E1498="",E1498="!!!",F1498="NEW"),"",INDEX(J$1:J1497,SUMPRODUCT(MAX(ROW(E$1:E1497)*(E1498=E$1:E1497)))))</f>
        <v> </v>
      </c>
      <c r="L1498" s="26"/>
    </row>
    <row r="1499" spans="1:12">
      <c r="A1499" s="20" t="s">
        <v>790</v>
      </c>
      <c r="B1499" s="27" t="s">
        <v>619</v>
      </c>
      <c r="C1499" s="27" t="s">
        <v>637</v>
      </c>
      <c r="D1499" s="27" t="s">
        <v>608</v>
      </c>
      <c r="E1499" s="21">
        <f>IF(D1499="?OLD","!!!","")</f>
        <v/>
      </c>
      <c r="F1499" s="22" t="str">
        <f>IF(OR(E1499="",E1499="!!!"),"",IF(NOT(ISNA(VLOOKUP(E1499,E$1:E1498,1,FALSE()))),"OLD",IF(AND(E1499&lt;&gt;"",E1499&lt;&gt;"!!!"),"NEW","")))</f>
        <v> </v>
      </c>
      <c r="G1499" s="23" t="str">
        <f>IF(OR(E1499="",E1499="!!!"),"",IF(OR(J1499=0,AND(J1499=1,K1499=1),AND(J1499=1,I1499="SBJ"),AND(J1499=1,I1499=0)),"?IN_FOCUS",IF(J1499&lt;=2,"?ACTIVATED",IF(J1499&lt;&gt;"","?FAMILIAR",IF(F1499="NEW",IF(ISNA(VLOOKUP(E1499,#REF!,1,FALSE())),"?TYPE_IDENTIFIABLE","?REFERENTIAL"),"_")))))</f>
        <v> </v>
      </c>
      <c r="H1499" s="24" t="str">
        <f>IF(J1499&lt;&gt;1,"",IF(I1499="SBJ","CB","?"))</f>
        <v> </v>
      </c>
      <c r="I1499" s="25" t="str">
        <f>IF(OR(E1499="",E1499="!!!",F1499="NEW"),"",INDEX(B1498:B$2,-1+SUMPRODUCT(MAX(ROW(E1498:E$2)*(E1499=E1498:E$2)))))</f>
        <v> </v>
      </c>
      <c r="J1499" s="25" t="str">
        <f>IF(OR(E1499="",E1499="!!!",F1499="NEW"),"",COUNTBLANK(OFFSET(A$1,,,SUMPRODUCT(MAX(ROW(E$2:E1499)*(E1499=E$2:E1499)))))-COUNTBLANK(OFFSET(A$1,,,SUMPRODUCT(MAX(ROW(E$1:E1498)*(E2=E$1:E1498))))))</f>
        <v> </v>
      </c>
      <c r="K1499" s="25" t="str">
        <f>IF(OR(E1499="",E1499="!!!",F1499="NEW"),"",INDEX(J$1:J1498,SUMPRODUCT(MAX(ROW(E$1:E1498)*(E1499=E$1:E1498)))))</f>
        <v> </v>
      </c>
      <c r="L1499" s="26"/>
    </row>
    <row r="1500" spans="1:12">
      <c r="A1500" s="20" t="s">
        <v>1233</v>
      </c>
      <c r="E1500" s="21">
        <f>IF(D1500="?OLD","!!!","")</f>
        <v/>
      </c>
      <c r="F1500" s="22" t="str">
        <f>IF(OR(E1500="",E1500="!!!"),"",IF(NOT(ISNA(VLOOKUP(E1500,E$1:E1499,1,FALSE()))),"OLD",IF(AND(E1500&lt;&gt;"",E1500&lt;&gt;"!!!"),"NEW","")))</f>
        <v> </v>
      </c>
      <c r="G1500" s="23" t="str">
        <f>IF(OR(E1500="",E1500="!!!"),"",IF(OR(J1500=0,AND(J1500=1,K1500=1),AND(J1500=1,I1500="SBJ"),AND(J1500=1,I1500=0)),"?IN_FOCUS",IF(J1500&lt;=2,"?ACTIVATED",IF(J1500&lt;&gt;"","?FAMILIAR",IF(F1500="NEW",IF(ISNA(VLOOKUP(E1500,#REF!,1,FALSE())),"?TYPE_IDENTIFIABLE","?REFERENTIAL"),"_")))))</f>
        <v> </v>
      </c>
      <c r="H1500" s="24" t="str">
        <f>IF(J1500&lt;&gt;1,"",IF(I1500="SBJ","CB","?"))</f>
        <v> </v>
      </c>
      <c r="I1500" s="25" t="str">
        <f>IF(OR(E1500="",E1500="!!!",F1500="NEW"),"",INDEX(B1499:B$2,-1+SUMPRODUCT(MAX(ROW(E1499:E$2)*(E1500=E1499:E$2)))))</f>
        <v> </v>
      </c>
      <c r="J1500" s="25" t="str">
        <f>IF(OR(E1500="",E1500="!!!",F1500="NEW"),"",COUNTBLANK(OFFSET(A$1,,,SUMPRODUCT(MAX(ROW(E$2:E1500)*(E1500=E$2:E1500)))))-COUNTBLANK(OFFSET(A$1,,,SUMPRODUCT(MAX(ROW(E$1:E1499)*(E2=E$1:E1499))))))</f>
        <v> </v>
      </c>
      <c r="K1500" s="25" t="str">
        <f>IF(OR(E1500="",E1500="!!!",F1500="NEW"),"",INDEX(J$1:J1499,SUMPRODUCT(MAX(ROW(E$1:E1499)*(E1500=E$1:E1499)))))</f>
        <v> </v>
      </c>
      <c r="L1500" s="26"/>
    </row>
    <row r="1501" spans="1:12">
      <c r="A1501" s="20" t="s">
        <v>1238</v>
      </c>
      <c r="E1501" s="21">
        <f>IF(D1501="?OLD","!!!","")</f>
        <v/>
      </c>
      <c r="F1501" s="22" t="str">
        <f>IF(OR(E1501="",E1501="!!!"),"",IF(NOT(ISNA(VLOOKUP(E1501,E$1:E1500,1,FALSE()))),"OLD",IF(AND(E1501&lt;&gt;"",E1501&lt;&gt;"!!!"),"NEW","")))</f>
        <v> </v>
      </c>
      <c r="G1501" s="23" t="str">
        <f>IF(OR(E1501="",E1501="!!!"),"",IF(OR(J1501=0,AND(J1501=1,K1501=1),AND(J1501=1,I1501="SBJ"),AND(J1501=1,I1501=0)),"?IN_FOCUS",IF(J1501&lt;=2,"?ACTIVATED",IF(J1501&lt;&gt;"","?FAMILIAR",IF(F1501="NEW",IF(ISNA(VLOOKUP(E1501,#REF!,1,FALSE())),"?TYPE_IDENTIFIABLE","?REFERENTIAL"),"_")))))</f>
        <v> </v>
      </c>
      <c r="H1501" s="24" t="str">
        <f>IF(J1501&lt;&gt;1,"",IF(I1501="SBJ","CB","?"))</f>
        <v> </v>
      </c>
      <c r="I1501" s="25" t="str">
        <f>IF(OR(E1501="",E1501="!!!",F1501="NEW"),"",INDEX(B1500:B$2,-1+SUMPRODUCT(MAX(ROW(E1500:E$2)*(E1501=E1500:E$2)))))</f>
        <v> </v>
      </c>
      <c r="J1501" s="25" t="str">
        <f>IF(OR(E1501="",E1501="!!!",F1501="NEW"),"",COUNTBLANK(OFFSET(A$1,,,SUMPRODUCT(MAX(ROW(E$2:E1501)*(E1501=E$2:E1501)))))-COUNTBLANK(OFFSET(A$1,,,SUMPRODUCT(MAX(ROW(E$1:E1500)*(E2=E$1:E1500))))))</f>
        <v> </v>
      </c>
      <c r="K1501" s="25" t="str">
        <f>IF(OR(E1501="",E1501="!!!",F1501="NEW"),"",INDEX(J$1:J1500,SUMPRODUCT(MAX(ROW(E$1:E1500)*(E1501=E$1:E1500)))))</f>
        <v> </v>
      </c>
      <c r="L1501" s="26"/>
    </row>
    <row r="1502" spans="1:12">
      <c r="A1502" s="20" t="s">
        <v>617</v>
      </c>
      <c r="E1502" s="21">
        <f>IF(D1502="?OLD","!!!","")</f>
        <v/>
      </c>
      <c r="F1502" s="22" t="str">
        <f>IF(OR(E1502="",E1502="!!!"),"",IF(NOT(ISNA(VLOOKUP(E1502,E$1:E1501,1,FALSE()))),"OLD",IF(AND(E1502&lt;&gt;"",E1502&lt;&gt;"!!!"),"NEW","")))</f>
        <v> </v>
      </c>
      <c r="G1502" s="23" t="str">
        <f>IF(OR(E1502="",E1502="!!!"),"",IF(OR(J1502=0,AND(J1502=1,K1502=1),AND(J1502=1,I1502="SBJ"),AND(J1502=1,I1502=0)),"?IN_FOCUS",IF(J1502&lt;=2,"?ACTIVATED",IF(J1502&lt;&gt;"","?FAMILIAR",IF(F1502="NEW",IF(ISNA(VLOOKUP(E1502,#REF!,1,FALSE())),"?TYPE_IDENTIFIABLE","?REFERENTIAL"),"_")))))</f>
        <v> </v>
      </c>
      <c r="H1502" s="24" t="str">
        <f>IF(J1502&lt;&gt;1,"",IF(I1502="SBJ","CB","?"))</f>
        <v> </v>
      </c>
      <c r="I1502" s="25" t="str">
        <f>IF(OR(E1502="",E1502="!!!",F1502="NEW"),"",INDEX(B1501:B$2,-1+SUMPRODUCT(MAX(ROW(E1501:E$2)*(E1502=E1501:E$2)))))</f>
        <v> </v>
      </c>
      <c r="J1502" s="25" t="str">
        <f>IF(OR(E1502="",E1502="!!!",F1502="NEW"),"",COUNTBLANK(OFFSET(A$1,,,SUMPRODUCT(MAX(ROW(E$2:E1502)*(E1502=E$2:E1502)))))-COUNTBLANK(OFFSET(A$1,,,SUMPRODUCT(MAX(ROW(E$1:E1501)*(E2=E$1:E1501))))))</f>
        <v> </v>
      </c>
      <c r="K1502" s="25" t="str">
        <f>IF(OR(E1502="",E1502="!!!",F1502="NEW"),"",INDEX(J$1:J1501,SUMPRODUCT(MAX(ROW(E$1:E1501)*(E1502=E$1:E1501)))))</f>
        <v> </v>
      </c>
      <c r="L1502" s="26"/>
    </row>
    <row r="1503" spans="1:12">
      <c r="A1503" s="20" t="s">
        <v>736</v>
      </c>
      <c r="E1503" s="21">
        <f>IF(D1503="?OLD","!!!","")</f>
        <v/>
      </c>
      <c r="F1503" s="22" t="str">
        <f>IF(OR(E1503="",E1503="!!!"),"",IF(NOT(ISNA(VLOOKUP(E1503,E$1:E1502,1,FALSE()))),"OLD",IF(AND(E1503&lt;&gt;"",E1503&lt;&gt;"!!!"),"NEW","")))</f>
        <v> </v>
      </c>
      <c r="G1503" s="23" t="str">
        <f>IF(OR(E1503="",E1503="!!!"),"",IF(OR(J1503=0,AND(J1503=1,K1503=1),AND(J1503=1,I1503="SBJ"),AND(J1503=1,I1503=0)),"?IN_FOCUS",IF(J1503&lt;=2,"?ACTIVATED",IF(J1503&lt;&gt;"","?FAMILIAR",IF(F1503="NEW",IF(ISNA(VLOOKUP(E1503,#REF!,1,FALSE())),"?TYPE_IDENTIFIABLE","?REFERENTIAL"),"_")))))</f>
        <v> </v>
      </c>
      <c r="H1503" s="24" t="str">
        <f>IF(J1503&lt;&gt;1,"",IF(I1503="SBJ","CB","?"))</f>
        <v> </v>
      </c>
      <c r="I1503" s="25" t="str">
        <f>IF(OR(E1503="",E1503="!!!",F1503="NEW"),"",INDEX(B1502:B$2,-1+SUMPRODUCT(MAX(ROW(E1502:E$2)*(E1503=E1502:E$2)))))</f>
        <v> </v>
      </c>
      <c r="J1503" s="25" t="str">
        <f>IF(OR(E1503="",E1503="!!!",F1503="NEW"),"",COUNTBLANK(OFFSET(A$1,,,SUMPRODUCT(MAX(ROW(E$2:E1503)*(E1503=E$2:E1503)))))-COUNTBLANK(OFFSET(A$1,,,SUMPRODUCT(MAX(ROW(E$1:E1502)*(E2=E$1:E1502))))))</f>
        <v> </v>
      </c>
      <c r="K1503" s="25" t="str">
        <f>IF(OR(E1503="",E1503="!!!",F1503="NEW"),"",INDEX(J$1:J1502,SUMPRODUCT(MAX(ROW(E$1:E1502)*(E1503=E$1:E1502)))))</f>
        <v> </v>
      </c>
      <c r="L1503" s="26"/>
    </row>
    <row r="1504" spans="1:12">
      <c r="A1504" s="20" t="s">
        <v>790</v>
      </c>
      <c r="B1504" s="27" t="s">
        <v>668</v>
      </c>
      <c r="C1504" s="27" t="s">
        <v>637</v>
      </c>
      <c r="D1504" s="27" t="s">
        <v>608</v>
      </c>
      <c r="E1504" s="21">
        <f>IF(D1504="?OLD","!!!","")</f>
        <v/>
      </c>
      <c r="F1504" s="22" t="str">
        <f>IF(OR(E1504="",E1504="!!!"),"",IF(NOT(ISNA(VLOOKUP(E1504,E$1:E1503,1,FALSE()))),"OLD",IF(AND(E1504&lt;&gt;"",E1504&lt;&gt;"!!!"),"NEW","")))</f>
        <v> </v>
      </c>
      <c r="G1504" s="23" t="str">
        <f>IF(OR(E1504="",E1504="!!!"),"",IF(OR(J1504=0,AND(J1504=1,K1504=1),AND(J1504=1,I1504="SBJ"),AND(J1504=1,I1504=0)),"?IN_FOCUS",IF(J1504&lt;=2,"?ACTIVATED",IF(J1504&lt;&gt;"","?FAMILIAR",IF(F1504="NEW",IF(ISNA(VLOOKUP(E1504,#REF!,1,FALSE())),"?TYPE_IDENTIFIABLE","?REFERENTIAL"),"_")))))</f>
        <v> </v>
      </c>
      <c r="H1504" s="24" t="str">
        <f>IF(J1504&lt;&gt;1,"",IF(I1504="SBJ","CB","?"))</f>
        <v> </v>
      </c>
      <c r="I1504" s="25" t="str">
        <f>IF(OR(E1504="",E1504="!!!",F1504="NEW"),"",INDEX(B1503:B$2,-1+SUMPRODUCT(MAX(ROW(E1503:E$2)*(E1504=E1503:E$2)))))</f>
        <v> </v>
      </c>
      <c r="J1504" s="25" t="str">
        <f>IF(OR(E1504="",E1504="!!!",F1504="NEW"),"",COUNTBLANK(OFFSET(A$1,,,SUMPRODUCT(MAX(ROW(E$2:E1504)*(E1504=E$2:E1504)))))-COUNTBLANK(OFFSET(A$1,,,SUMPRODUCT(MAX(ROW(E$1:E1503)*(E2=E$1:E1503))))))</f>
        <v> </v>
      </c>
      <c r="K1504" s="25" t="str">
        <f>IF(OR(E1504="",E1504="!!!",F1504="NEW"),"",INDEX(J$1:J1503,SUMPRODUCT(MAX(ROW(E$1:E1503)*(E1504=E$1:E1503)))))</f>
        <v> </v>
      </c>
      <c r="L1504" s="26"/>
    </row>
    <row r="1505" spans="1:12">
      <c r="A1505" s="20" t="s">
        <v>717</v>
      </c>
      <c r="E1505" s="21">
        <f>IF(D1505="?OLD","!!!","")</f>
        <v/>
      </c>
      <c r="F1505" s="22" t="str">
        <f>IF(OR(E1505="",E1505="!!!"),"",IF(NOT(ISNA(VLOOKUP(E1505,E$1:E1504,1,FALSE()))),"OLD",IF(AND(E1505&lt;&gt;"",E1505&lt;&gt;"!!!"),"NEW","")))</f>
        <v> </v>
      </c>
      <c r="G1505" s="23" t="str">
        <f>IF(OR(E1505="",E1505="!!!"),"",IF(OR(J1505=0,AND(J1505=1,K1505=1),AND(J1505=1,I1505="SBJ"),AND(J1505=1,I1505=0)),"?IN_FOCUS",IF(J1505&lt;=2,"?ACTIVATED",IF(J1505&lt;&gt;"","?FAMILIAR",IF(F1505="NEW",IF(ISNA(VLOOKUP(E1505,#REF!,1,FALSE())),"?TYPE_IDENTIFIABLE","?REFERENTIAL"),"_")))))</f>
        <v> </v>
      </c>
      <c r="H1505" s="24" t="str">
        <f>IF(J1505&lt;&gt;1,"",IF(I1505="SBJ","CB","?"))</f>
        <v> </v>
      </c>
      <c r="I1505" s="25" t="str">
        <f>IF(OR(E1505="",E1505="!!!",F1505="NEW"),"",INDEX(B1504:B$2,-1+SUMPRODUCT(MAX(ROW(E1504:E$2)*(E1505=E1504:E$2)))))</f>
        <v> </v>
      </c>
      <c r="J1505" s="25" t="str">
        <f>IF(OR(E1505="",E1505="!!!",F1505="NEW"),"",COUNTBLANK(OFFSET(A$1,,,SUMPRODUCT(MAX(ROW(E$2:E1505)*(E1505=E$2:E1505)))))-COUNTBLANK(OFFSET(A$1,,,SUMPRODUCT(MAX(ROW(E$1:E1504)*(E2=E$1:E1504))))))</f>
        <v> </v>
      </c>
      <c r="K1505" s="25" t="str">
        <f>IF(OR(E1505="",E1505="!!!",F1505="NEW"),"",INDEX(J$1:J1504,SUMPRODUCT(MAX(ROW(E$1:E1504)*(E1505=E$1:E1504)))))</f>
        <v> </v>
      </c>
      <c r="L1505" s="26"/>
    </row>
    <row r="1506" spans="1:12">
      <c r="A1506" s="20" t="s">
        <v>1234</v>
      </c>
      <c r="B1506" s="27" t="s">
        <v>725</v>
      </c>
      <c r="C1506" s="27" t="s">
        <v>685</v>
      </c>
      <c r="E1506" s="21">
        <f>IF(D1506="?OLD","!!!","")</f>
        <v/>
      </c>
      <c r="F1506" s="22" t="str">
        <f>IF(OR(E1506="",E1506="!!!"),"",IF(NOT(ISNA(VLOOKUP(E1506,E$1:E1505,1,FALSE()))),"OLD",IF(AND(E1506&lt;&gt;"",E1506&lt;&gt;"!!!"),"NEW","")))</f>
        <v> </v>
      </c>
      <c r="G1506" s="23" t="str">
        <f>IF(OR(E1506="",E1506="!!!"),"",IF(OR(J1506=0,AND(J1506=1,K1506=1),AND(J1506=1,I1506="SBJ"),AND(J1506=1,I1506=0)),"?IN_FOCUS",IF(J1506&lt;=2,"?ACTIVATED",IF(J1506&lt;&gt;"","?FAMILIAR",IF(F1506="NEW",IF(ISNA(VLOOKUP(E1506,#REF!,1,FALSE())),"?TYPE_IDENTIFIABLE","?REFERENTIAL"),"_")))))</f>
        <v> </v>
      </c>
      <c r="H1506" s="24" t="str">
        <f>IF(J1506&lt;&gt;1,"",IF(I1506="SBJ","CB","?"))</f>
        <v> </v>
      </c>
      <c r="I1506" s="25" t="str">
        <f>IF(OR(E1506="",E1506="!!!",F1506="NEW"),"",INDEX(B1505:B$2,-1+SUMPRODUCT(MAX(ROW(E1505:E$2)*(E1506=E1505:E$2)))))</f>
        <v> </v>
      </c>
      <c r="J1506" s="25" t="str">
        <f>IF(OR(E1506="",E1506="!!!",F1506="NEW"),"",COUNTBLANK(OFFSET(A$1,,,SUMPRODUCT(MAX(ROW(E$2:E1506)*(E1506=E$2:E1506)))))-COUNTBLANK(OFFSET(A$1,,,SUMPRODUCT(MAX(ROW(E$1:E1505)*(E2=E$1:E1505))))))</f>
        <v> </v>
      </c>
      <c r="K1506" s="25" t="str">
        <f>IF(OR(E1506="",E1506="!!!",F1506="NEW"),"",INDEX(J$1:J1505,SUMPRODUCT(MAX(ROW(E$1:E1505)*(E1506=E$1:E1505)))))</f>
        <v> </v>
      </c>
      <c r="L1506" s="26"/>
    </row>
    <row r="1507" spans="1:12">
      <c r="A1507" s="20" t="s">
        <v>639</v>
      </c>
      <c r="E1507" s="21">
        <f>IF(D1507="?OLD","!!!","")</f>
        <v/>
      </c>
      <c r="F1507" s="22" t="str">
        <f>IF(OR(E1507="",E1507="!!!"),"",IF(NOT(ISNA(VLOOKUP(E1507,E$1:E1506,1,FALSE()))),"OLD",IF(AND(E1507&lt;&gt;"",E1507&lt;&gt;"!!!"),"NEW","")))</f>
        <v> </v>
      </c>
      <c r="G1507" s="23" t="str">
        <f>IF(OR(E1507="",E1507="!!!"),"",IF(OR(J1507=0,AND(J1507=1,K1507=1),AND(J1507=1,I1507="SBJ"),AND(J1507=1,I1507=0)),"?IN_FOCUS",IF(J1507&lt;=2,"?ACTIVATED",IF(J1507&lt;&gt;"","?FAMILIAR",IF(F1507="NEW",IF(ISNA(VLOOKUP(E1507,#REF!,1,FALSE())),"?TYPE_IDENTIFIABLE","?REFERENTIAL"),"_")))))</f>
        <v> </v>
      </c>
      <c r="H1507" s="24" t="str">
        <f>IF(J1507&lt;&gt;1,"",IF(I1507="SBJ","CB","?"))</f>
        <v> </v>
      </c>
      <c r="I1507" s="25" t="str">
        <f>IF(OR(E1507="",E1507="!!!",F1507="NEW"),"",INDEX(B1506:B$2,-1+SUMPRODUCT(MAX(ROW(E1506:E$2)*(E1507=E1506:E$2)))))</f>
        <v> </v>
      </c>
      <c r="J1507" s="25" t="str">
        <f>IF(OR(E1507="",E1507="!!!",F1507="NEW"),"",COUNTBLANK(OFFSET(A$1,,,SUMPRODUCT(MAX(ROW(E$2:E1507)*(E1507=E$2:E1507)))))-COUNTBLANK(OFFSET(A$1,,,SUMPRODUCT(MAX(ROW(E$1:E1506)*(E2=E$1:E1506))))))</f>
        <v> </v>
      </c>
      <c r="K1507" s="25" t="str">
        <f>IF(OR(E1507="",E1507="!!!",F1507="NEW"),"",INDEX(J$1:J1506,SUMPRODUCT(MAX(ROW(E$1:E1506)*(E1507=E$1:E1506)))))</f>
        <v> </v>
      </c>
      <c r="L1507" s="26"/>
    </row>
    <row r="1508" spans="1:12">
      <c r="A1508" s="20" t="s">
        <v>1239</v>
      </c>
      <c r="B1508" s="27" t="s">
        <v>664</v>
      </c>
      <c r="C1508" s="27" t="s">
        <v>631</v>
      </c>
      <c r="D1508" s="27" t="s">
        <v>608</v>
      </c>
      <c r="E1508" s="21">
        <f>IF(D1508="?OLD","!!!","")</f>
        <v/>
      </c>
      <c r="F1508" s="22" t="str">
        <f>IF(OR(E1508="",E1508="!!!"),"",IF(NOT(ISNA(VLOOKUP(E1508,E$1:E1507,1,FALSE()))),"OLD",IF(AND(E1508&lt;&gt;"",E1508&lt;&gt;"!!!"),"NEW","")))</f>
        <v> </v>
      </c>
      <c r="G1508" s="23" t="str">
        <f>IF(OR(E1508="",E1508="!!!"),"",IF(OR(J1508=0,AND(J1508=1,K1508=1),AND(J1508=1,I1508="SBJ"),AND(J1508=1,I1508=0)),"?IN_FOCUS",IF(J1508&lt;=2,"?ACTIVATED",IF(J1508&lt;&gt;"","?FAMILIAR",IF(F1508="NEW",IF(ISNA(VLOOKUP(E1508,#REF!,1,FALSE())),"?TYPE_IDENTIFIABLE","?REFERENTIAL"),"_")))))</f>
        <v> </v>
      </c>
      <c r="H1508" s="24" t="str">
        <f>IF(J1508&lt;&gt;1,"",IF(I1508="SBJ","CB","?"))</f>
        <v> </v>
      </c>
      <c r="I1508" s="25" t="str">
        <f>IF(OR(E1508="",E1508="!!!",F1508="NEW"),"",INDEX(B1507:B$2,-1+SUMPRODUCT(MAX(ROW(E1507:E$2)*(E1508=E1507:E$2)))))</f>
        <v> </v>
      </c>
      <c r="J1508" s="25" t="str">
        <f>IF(OR(E1508="",E1508="!!!",F1508="NEW"),"",COUNTBLANK(OFFSET(A$1,,,SUMPRODUCT(MAX(ROW(E$2:E1508)*(E1508=E$2:E1508)))))-COUNTBLANK(OFFSET(A$1,,,SUMPRODUCT(MAX(ROW(E$1:E1507)*(E2=E$1:E1507))))))</f>
        <v> </v>
      </c>
      <c r="K1508" s="25" t="str">
        <f>IF(OR(E1508="",E1508="!!!",F1508="NEW"),"",INDEX(J$1:J1507,SUMPRODUCT(MAX(ROW(E$1:E1507)*(E1508=E$1:E1507)))))</f>
        <v> </v>
      </c>
      <c r="L1508" s="26"/>
    </row>
    <row r="1509" spans="1:12">
      <c r="A1509" s="20" t="s">
        <v>1240</v>
      </c>
      <c r="E1509" s="21">
        <f>IF(D1509="?OLD","!!!","")</f>
        <v/>
      </c>
      <c r="F1509" s="22" t="str">
        <f>IF(OR(E1509="",E1509="!!!"),"",IF(NOT(ISNA(VLOOKUP(E1509,E$1:E1508,1,FALSE()))),"OLD",IF(AND(E1509&lt;&gt;"",E1509&lt;&gt;"!!!"),"NEW","")))</f>
        <v> </v>
      </c>
      <c r="G1509" s="23" t="str">
        <f>IF(OR(E1509="",E1509="!!!"),"",IF(OR(J1509=0,AND(J1509=1,K1509=1),AND(J1509=1,I1509="SBJ"),AND(J1509=1,I1509=0)),"?IN_FOCUS",IF(J1509&lt;=2,"?ACTIVATED",IF(J1509&lt;&gt;"","?FAMILIAR",IF(F1509="NEW",IF(ISNA(VLOOKUP(E1509,#REF!,1,FALSE())),"?TYPE_IDENTIFIABLE","?REFERENTIAL"),"_")))))</f>
        <v> </v>
      </c>
      <c r="H1509" s="24" t="str">
        <f>IF(J1509&lt;&gt;1,"",IF(I1509="SBJ","CB","?"))</f>
        <v> </v>
      </c>
      <c r="I1509" s="25" t="str">
        <f>IF(OR(E1509="",E1509="!!!",F1509="NEW"),"",INDEX(B1508:B$2,-1+SUMPRODUCT(MAX(ROW(E1508:E$2)*(E1509=E1508:E$2)))))</f>
        <v> </v>
      </c>
      <c r="J1509" s="25" t="str">
        <f>IF(OR(E1509="",E1509="!!!",F1509="NEW"),"",COUNTBLANK(OFFSET(A$1,,,SUMPRODUCT(MAX(ROW(E$2:E1509)*(E1509=E$2:E1509)))))-COUNTBLANK(OFFSET(A$1,,,SUMPRODUCT(MAX(ROW(E$1:E1508)*(E2=E$1:E1508))))))</f>
        <v> </v>
      </c>
      <c r="K1509" s="25" t="str">
        <f>IF(OR(E1509="",E1509="!!!",F1509="NEW"),"",INDEX(J$1:J1508,SUMPRODUCT(MAX(ROW(E$1:E1508)*(E1509=E$1:E1508)))))</f>
        <v> </v>
      </c>
      <c r="L1509" s="26"/>
    </row>
    <row r="1510" spans="1:12">
      <c r="A1510" s="20" t="s">
        <v>633</v>
      </c>
      <c r="E1510" s="21">
        <f>IF(D1510="?OLD","!!!","")</f>
        <v/>
      </c>
      <c r="F1510" s="22" t="str">
        <f>IF(OR(E1510="",E1510="!!!"),"",IF(NOT(ISNA(VLOOKUP(E1510,E$1:E1509,1,FALSE()))),"OLD",IF(AND(E1510&lt;&gt;"",E1510&lt;&gt;"!!!"),"NEW","")))</f>
        <v> </v>
      </c>
      <c r="G1510" s="23" t="str">
        <f>IF(OR(E1510="",E1510="!!!"),"",IF(OR(J1510=0,AND(J1510=1,K1510=1),AND(J1510=1,I1510="SBJ"),AND(J1510=1,I1510=0)),"?IN_FOCUS",IF(J1510&lt;=2,"?ACTIVATED",IF(J1510&lt;&gt;"","?FAMILIAR",IF(F1510="NEW",IF(ISNA(VLOOKUP(E1510,#REF!,1,FALSE())),"?TYPE_IDENTIFIABLE","?REFERENTIAL"),"_")))))</f>
        <v> </v>
      </c>
      <c r="H1510" s="24" t="str">
        <f>IF(J1510&lt;&gt;1,"",IF(I1510="SBJ","CB","?"))</f>
        <v> </v>
      </c>
      <c r="I1510" s="25" t="str">
        <f>IF(OR(E1510="",E1510="!!!",F1510="NEW"),"",INDEX(B1509:B$2,-1+SUMPRODUCT(MAX(ROW(E1509:E$2)*(E1510=E1509:E$2)))))</f>
        <v> </v>
      </c>
      <c r="J1510" s="25" t="str">
        <f>IF(OR(E1510="",E1510="!!!",F1510="NEW"),"",COUNTBLANK(OFFSET(A$1,,,SUMPRODUCT(MAX(ROW(E$2:E1510)*(E1510=E$2:E1510)))))-COUNTBLANK(OFFSET(A$1,,,SUMPRODUCT(MAX(ROW(E$1:E1509)*(E2=E$1:E1509))))))</f>
        <v> </v>
      </c>
      <c r="K1510" s="25" t="str">
        <f>IF(OR(E1510="",E1510="!!!",F1510="NEW"),"",INDEX(J$1:J1509,SUMPRODUCT(MAX(ROW(E$1:E1509)*(E1510=E$1:E1509)))))</f>
        <v> </v>
      </c>
      <c r="L1510" s="26"/>
    </row>
    <row r="1511" spans="1:12">
      <c r="A1511" s="20"/>
    </row>
    <row r="1512" spans="1:12">
      <c r="A1512" s="20" t="s">
        <v>1241</v>
      </c>
    </row>
    <row r="1513" spans="1:12">
      <c r="A1513" s="20" t="s">
        <v>602</v>
      </c>
      <c r="E1513" s="21">
        <f>IF(D1513="?OLD","!!!","")</f>
        <v/>
      </c>
      <c r="F1513" s="22" t="str">
        <f>IF(OR(E1513="",E1513="!!!"),"",IF(NOT(ISNA(VLOOKUP(E1513,E$1:E1512,1,FALSE()))),"OLD",IF(AND(E1513&lt;&gt;"",E1513&lt;&gt;"!!!"),"NEW","")))</f>
        <v> </v>
      </c>
      <c r="G1513" s="23" t="str">
        <f>IF(OR(E1513="",E1513="!!!"),"",IF(OR(J1513=0,AND(J1513=1,K1513=1),AND(J1513=1,I1513="SBJ"),AND(J1513=1,I1513=0)),"?IN_FOCUS",IF(J1513&lt;=2,"?ACTIVATED",IF(J1513&lt;&gt;"","?FAMILIAR",IF(F1513="NEW",IF(ISNA(VLOOKUP(E1513,#REF!,1,FALSE())),"?TYPE_IDENTIFIABLE","?REFERENTIAL"),"_")))))</f>
        <v> </v>
      </c>
      <c r="H1513" s="24" t="str">
        <f>IF(J1513&lt;&gt;1,"",IF(I1513="SBJ","CB","?"))</f>
        <v> </v>
      </c>
      <c r="I1513" s="25" t="str">
        <f>IF(OR(E1513="",E1513="!!!",F1513="NEW"),"",INDEX(B1512:B$2,-1+SUMPRODUCT(MAX(ROW(E1512:E$2)*(E1513=E1512:E$2)))))</f>
        <v> </v>
      </c>
      <c r="J1513" s="25" t="str">
        <f>IF(OR(E1513="",E1513="!!!",F1513="NEW"),"",COUNTBLANK(OFFSET(A$1,,,SUMPRODUCT(MAX(ROW(E$2:E1513)*(E1513=E$2:E1513)))))-COUNTBLANK(OFFSET(A$1,,,SUMPRODUCT(MAX(ROW(E$1:E1512)*(E2=E$1:E1512))))))</f>
        <v> </v>
      </c>
      <c r="K1513" s="25" t="str">
        <f>IF(OR(E1513="",E1513="!!!",F1513="NEW"),"",INDEX(J$1:J1512,SUMPRODUCT(MAX(ROW(E$1:E1512)*(E1513=E$1:E1512)))))</f>
        <v> </v>
      </c>
      <c r="L1513" s="26"/>
    </row>
    <row r="1514" spans="1:12">
      <c r="A1514" s="20" t="s">
        <v>1242</v>
      </c>
      <c r="E1514" s="21">
        <f>IF(D1514="?OLD","!!!","")</f>
        <v/>
      </c>
      <c r="F1514" s="22" t="str">
        <f>IF(OR(E1514="",E1514="!!!"),"",IF(NOT(ISNA(VLOOKUP(E1514,E$1:E1513,1,FALSE()))),"OLD",IF(AND(E1514&lt;&gt;"",E1514&lt;&gt;"!!!"),"NEW","")))</f>
        <v> </v>
      </c>
      <c r="G1514" s="23" t="str">
        <f>IF(OR(E1514="",E1514="!!!"),"",IF(OR(J1514=0,AND(J1514=1,K1514=1),AND(J1514=1,I1514="SBJ"),AND(J1514=1,I1514=0)),"?IN_FOCUS",IF(J1514&lt;=2,"?ACTIVATED",IF(J1514&lt;&gt;"","?FAMILIAR",IF(F1514="NEW",IF(ISNA(VLOOKUP(E1514,#REF!,1,FALSE())),"?TYPE_IDENTIFIABLE","?REFERENTIAL"),"_")))))</f>
        <v> </v>
      </c>
      <c r="H1514" s="24" t="str">
        <f>IF(J1514&lt;&gt;1,"",IF(I1514="SBJ","CB","?"))</f>
        <v> </v>
      </c>
      <c r="I1514" s="25" t="str">
        <f>IF(OR(E1514="",E1514="!!!",F1514="NEW"),"",INDEX(B1513:B$2,-1+SUMPRODUCT(MAX(ROW(E1513:E$2)*(E1514=E1513:E$2)))))</f>
        <v> </v>
      </c>
      <c r="J1514" s="25" t="str">
        <f>IF(OR(E1514="",E1514="!!!",F1514="NEW"),"",COUNTBLANK(OFFSET(A$1,,,SUMPRODUCT(MAX(ROW(E$2:E1514)*(E1514=E$2:E1514)))))-COUNTBLANK(OFFSET(A$1,,,SUMPRODUCT(MAX(ROW(E$1:E1513)*(E2=E$1:E1513))))))</f>
        <v> </v>
      </c>
      <c r="K1514" s="25" t="str">
        <f>IF(OR(E1514="",E1514="!!!",F1514="NEW"),"",INDEX(J$1:J1513,SUMPRODUCT(MAX(ROW(E$1:E1513)*(E1514=E$1:E1513)))))</f>
        <v> </v>
      </c>
      <c r="L1514" s="26"/>
    </row>
    <row r="1515" spans="1:12">
      <c r="A1515" s="20" t="s">
        <v>617</v>
      </c>
      <c r="E1515" s="21">
        <f>IF(D1515="?OLD","!!!","")</f>
        <v/>
      </c>
      <c r="F1515" s="22" t="str">
        <f>IF(OR(E1515="",E1515="!!!"),"",IF(NOT(ISNA(VLOOKUP(E1515,E$1:E1514,1,FALSE()))),"OLD",IF(AND(E1515&lt;&gt;"",E1515&lt;&gt;"!!!"),"NEW","")))</f>
        <v> </v>
      </c>
      <c r="G1515" s="23" t="str">
        <f>IF(OR(E1515="",E1515="!!!"),"",IF(OR(J1515=0,AND(J1515=1,K1515=1),AND(J1515=1,I1515="SBJ"),AND(J1515=1,I1515=0)),"?IN_FOCUS",IF(J1515&lt;=2,"?ACTIVATED",IF(J1515&lt;&gt;"","?FAMILIAR",IF(F1515="NEW",IF(ISNA(VLOOKUP(E1515,#REF!,1,FALSE())),"?TYPE_IDENTIFIABLE","?REFERENTIAL"),"_")))))</f>
        <v> </v>
      </c>
      <c r="H1515" s="24" t="str">
        <f>IF(J1515&lt;&gt;1,"",IF(I1515="SBJ","CB","?"))</f>
        <v> </v>
      </c>
      <c r="I1515" s="25" t="str">
        <f>IF(OR(E1515="",E1515="!!!",F1515="NEW"),"",INDEX(B1514:B$2,-1+SUMPRODUCT(MAX(ROW(E1514:E$2)*(E1515=E1514:E$2)))))</f>
        <v> </v>
      </c>
      <c r="J1515" s="25" t="str">
        <f>IF(OR(E1515="",E1515="!!!",F1515="NEW"),"",COUNTBLANK(OFFSET(A$1,,,SUMPRODUCT(MAX(ROW(E$2:E1515)*(E1515=E$2:E1515)))))-COUNTBLANK(OFFSET(A$1,,,SUMPRODUCT(MAX(ROW(E$1:E1514)*(E2=E$1:E1514))))))</f>
        <v> </v>
      </c>
      <c r="K1515" s="25" t="str">
        <f>IF(OR(E1515="",E1515="!!!",F1515="NEW"),"",INDEX(J$1:J1514,SUMPRODUCT(MAX(ROW(E$1:E1514)*(E1515=E$1:E1514)))))</f>
        <v> </v>
      </c>
      <c r="L1515" s="26"/>
    </row>
    <row r="1516" spans="1:12">
      <c r="A1516" s="20" t="s">
        <v>48</v>
      </c>
      <c r="E1516" s="21">
        <f>IF(D1516="?OLD","!!!","")</f>
        <v/>
      </c>
      <c r="F1516" s="22" t="str">
        <f>IF(OR(E1516="",E1516="!!!"),"",IF(NOT(ISNA(VLOOKUP(E1516,E$1:E1515,1,FALSE()))),"OLD",IF(AND(E1516&lt;&gt;"",E1516&lt;&gt;"!!!"),"NEW","")))</f>
        <v> </v>
      </c>
      <c r="G1516" s="23" t="str">
        <f>IF(OR(E1516="",E1516="!!!"),"",IF(OR(J1516=0,AND(J1516=1,K1516=1),AND(J1516=1,I1516="SBJ"),AND(J1516=1,I1516=0)),"?IN_FOCUS",IF(J1516&lt;=2,"?ACTIVATED",IF(J1516&lt;&gt;"","?FAMILIAR",IF(F1516="NEW",IF(ISNA(VLOOKUP(E1516,#REF!,1,FALSE())),"?TYPE_IDENTIFIABLE","?REFERENTIAL"),"_")))))</f>
        <v> </v>
      </c>
      <c r="H1516" s="24" t="str">
        <f>IF(J1516&lt;&gt;1,"",IF(I1516="SBJ","CB","?"))</f>
        <v> </v>
      </c>
      <c r="I1516" s="25" t="str">
        <f>IF(OR(E1516="",E1516="!!!",F1516="NEW"),"",INDEX(B1515:B$2,-1+SUMPRODUCT(MAX(ROW(E1515:E$2)*(E1516=E1515:E$2)))))</f>
        <v> </v>
      </c>
      <c r="J1516" s="25" t="str">
        <f>IF(OR(E1516="",E1516="!!!",F1516="NEW"),"",COUNTBLANK(OFFSET(A$1,,,SUMPRODUCT(MAX(ROW(E$2:E1516)*(E1516=E$2:E1516)))))-COUNTBLANK(OFFSET(A$1,,,SUMPRODUCT(MAX(ROW(E$1:E1515)*(E2=E$1:E1515))))))</f>
        <v> </v>
      </c>
      <c r="K1516" s="25" t="str">
        <f>IF(OR(E1516="",E1516="!!!",F1516="NEW"),"",INDEX(J$1:J1515,SUMPRODUCT(MAX(ROW(E$1:E1515)*(E1516=E$1:E1515)))))</f>
        <v> </v>
      </c>
      <c r="L1516" s="26"/>
    </row>
    <row r="1517" spans="1:12">
      <c r="A1517" s="20" t="s">
        <v>969</v>
      </c>
      <c r="E1517" s="21">
        <f>IF(D1517="?OLD","!!!","")</f>
        <v/>
      </c>
      <c r="F1517" s="22" t="str">
        <f>IF(OR(E1517="",E1517="!!!"),"",IF(NOT(ISNA(VLOOKUP(E1517,E$1:E1516,1,FALSE()))),"OLD",IF(AND(E1517&lt;&gt;"",E1517&lt;&gt;"!!!"),"NEW","")))</f>
        <v> </v>
      </c>
      <c r="G1517" s="23" t="str">
        <f>IF(OR(E1517="",E1517="!!!"),"",IF(OR(J1517=0,AND(J1517=1,K1517=1),AND(J1517=1,I1517="SBJ"),AND(J1517=1,I1517=0)),"?IN_FOCUS",IF(J1517&lt;=2,"?ACTIVATED",IF(J1517&lt;&gt;"","?FAMILIAR",IF(F1517="NEW",IF(ISNA(VLOOKUP(E1517,#REF!,1,FALSE())),"?TYPE_IDENTIFIABLE","?REFERENTIAL"),"_")))))</f>
        <v> </v>
      </c>
      <c r="H1517" s="24" t="str">
        <f>IF(J1517&lt;&gt;1,"",IF(I1517="SBJ","CB","?"))</f>
        <v> </v>
      </c>
      <c r="I1517" s="25" t="str">
        <f>IF(OR(E1517="",E1517="!!!",F1517="NEW"),"",INDEX(B1516:B$2,-1+SUMPRODUCT(MAX(ROW(E1516:E$2)*(E1517=E1516:E$2)))))</f>
        <v> </v>
      </c>
      <c r="J1517" s="25" t="str">
        <f>IF(OR(E1517="",E1517="!!!",F1517="NEW"),"",COUNTBLANK(OFFSET(A$1,,,SUMPRODUCT(MAX(ROW(E$2:E1517)*(E1517=E$2:E1517)))))-COUNTBLANK(OFFSET(A$1,,,SUMPRODUCT(MAX(ROW(E$1:E1516)*(E2=E$1:E1516))))))</f>
        <v> </v>
      </c>
      <c r="K1517" s="25" t="str">
        <f>IF(OR(E1517="",E1517="!!!",F1517="NEW"),"",INDEX(J$1:J1516,SUMPRODUCT(MAX(ROW(E$1:E1516)*(E1517=E$1:E1516)))))</f>
        <v> </v>
      </c>
      <c r="L1517" s="26"/>
    </row>
    <row r="1518" spans="1:12">
      <c r="A1518" s="20" t="s">
        <v>700</v>
      </c>
      <c r="B1518" s="27" t="s">
        <v>636</v>
      </c>
      <c r="C1518" s="27" t="s">
        <v>626</v>
      </c>
      <c r="E1518" s="21">
        <f>IF(D1518="?OLD","!!!","")</f>
        <v/>
      </c>
      <c r="F1518" s="22" t="str">
        <f>IF(OR(E1518="",E1518="!!!"),"",IF(NOT(ISNA(VLOOKUP(E1518,E$1:E1517,1,FALSE()))),"OLD",IF(AND(E1518&lt;&gt;"",E1518&lt;&gt;"!!!"),"NEW","")))</f>
        <v> </v>
      </c>
      <c r="G1518" s="23" t="str">
        <f>IF(OR(E1518="",E1518="!!!"),"",IF(OR(J1518=0,AND(J1518=1,K1518=1),AND(J1518=1,I1518="SBJ"),AND(J1518=1,I1518=0)),"?IN_FOCUS",IF(J1518&lt;=2,"?ACTIVATED",IF(J1518&lt;&gt;"","?FAMILIAR",IF(F1518="NEW",IF(ISNA(VLOOKUP(E1518,#REF!,1,FALSE())),"?TYPE_IDENTIFIABLE","?REFERENTIAL"),"_")))))</f>
        <v> </v>
      </c>
      <c r="H1518" s="24" t="str">
        <f>IF(J1518&lt;&gt;1,"",IF(I1518="SBJ","CB","?"))</f>
        <v> </v>
      </c>
      <c r="I1518" s="25" t="str">
        <f>IF(OR(E1518="",E1518="!!!",F1518="NEW"),"",INDEX(B1517:B$2,-1+SUMPRODUCT(MAX(ROW(E1517:E$2)*(E1518=E1517:E$2)))))</f>
        <v> </v>
      </c>
      <c r="J1518" s="25" t="str">
        <f>IF(OR(E1518="",E1518="!!!",F1518="NEW"),"",COUNTBLANK(OFFSET(A$1,,,SUMPRODUCT(MAX(ROW(E$2:E1518)*(E1518=E$2:E1518)))))-COUNTBLANK(OFFSET(A$1,,,SUMPRODUCT(MAX(ROW(E$1:E1517)*(E2=E$1:E1517))))))</f>
        <v> </v>
      </c>
      <c r="K1518" s="25" t="str">
        <f>IF(OR(E1518="",E1518="!!!",F1518="NEW"),"",INDEX(J$1:J1517,SUMPRODUCT(MAX(ROW(E$1:E1517)*(E1518=E$1:E1517)))))</f>
        <v> </v>
      </c>
      <c r="L1518" s="26"/>
    </row>
    <row r="1519" spans="1:12">
      <c r="A1519" s="20" t="s">
        <v>639</v>
      </c>
      <c r="E1519" s="21">
        <f>IF(D1519="?OLD","!!!","")</f>
        <v/>
      </c>
      <c r="F1519" s="22" t="str">
        <f>IF(OR(E1519="",E1519="!!!"),"",IF(NOT(ISNA(VLOOKUP(E1519,E$1:E1518,1,FALSE()))),"OLD",IF(AND(E1519&lt;&gt;"",E1519&lt;&gt;"!!!"),"NEW","")))</f>
        <v> </v>
      </c>
      <c r="G1519" s="23" t="str">
        <f>IF(OR(E1519="",E1519="!!!"),"",IF(OR(J1519=0,AND(J1519=1,K1519=1),AND(J1519=1,I1519="SBJ"),AND(J1519=1,I1519=0)),"?IN_FOCUS",IF(J1519&lt;=2,"?ACTIVATED",IF(J1519&lt;&gt;"","?FAMILIAR",IF(F1519="NEW",IF(ISNA(VLOOKUP(E1519,#REF!,1,FALSE())),"?TYPE_IDENTIFIABLE","?REFERENTIAL"),"_")))))</f>
        <v> </v>
      </c>
      <c r="H1519" s="24" t="str">
        <f>IF(J1519&lt;&gt;1,"",IF(I1519="SBJ","CB","?"))</f>
        <v> </v>
      </c>
      <c r="I1519" s="25" t="str">
        <f>IF(OR(E1519="",E1519="!!!",F1519="NEW"),"",INDEX(B1518:B$2,-1+SUMPRODUCT(MAX(ROW(E1518:E$2)*(E1519=E1518:E$2)))))</f>
        <v> </v>
      </c>
      <c r="J1519" s="25" t="str">
        <f>IF(OR(E1519="",E1519="!!!",F1519="NEW"),"",COUNTBLANK(OFFSET(A$1,,,SUMPRODUCT(MAX(ROW(E$2:E1519)*(E1519=E$2:E1519)))))-COUNTBLANK(OFFSET(A$1,,,SUMPRODUCT(MAX(ROW(E$1:E1518)*(E2=E$1:E1518))))))</f>
        <v> </v>
      </c>
      <c r="K1519" s="25" t="str">
        <f>IF(OR(E1519="",E1519="!!!",F1519="NEW"),"",INDEX(J$1:J1518,SUMPRODUCT(MAX(ROW(E$1:E1518)*(E1519=E$1:E1518)))))</f>
        <v> </v>
      </c>
      <c r="L1519" s="26"/>
    </row>
    <row r="1520" spans="1:12">
      <c r="A1520" s="20" t="s">
        <v>1243</v>
      </c>
      <c r="E1520" s="21">
        <f>IF(D1520="?OLD","!!!","")</f>
        <v/>
      </c>
      <c r="F1520" s="22" t="str">
        <f>IF(OR(E1520="",E1520="!!!"),"",IF(NOT(ISNA(VLOOKUP(E1520,E$1:E1519,1,FALSE()))),"OLD",IF(AND(E1520&lt;&gt;"",E1520&lt;&gt;"!!!"),"NEW","")))</f>
        <v> </v>
      </c>
      <c r="G1520" s="23" t="str">
        <f>IF(OR(E1520="",E1520="!!!"),"",IF(OR(J1520=0,AND(J1520=1,K1520=1),AND(J1520=1,I1520="SBJ"),AND(J1520=1,I1520=0)),"?IN_FOCUS",IF(J1520&lt;=2,"?ACTIVATED",IF(J1520&lt;&gt;"","?FAMILIAR",IF(F1520="NEW",IF(ISNA(VLOOKUP(E1520,#REF!,1,FALSE())),"?TYPE_IDENTIFIABLE","?REFERENTIAL"),"_")))))</f>
        <v> </v>
      </c>
      <c r="H1520" s="24" t="str">
        <f>IF(J1520&lt;&gt;1,"",IF(I1520="SBJ","CB","?"))</f>
        <v> </v>
      </c>
      <c r="I1520" s="25" t="str">
        <f>IF(OR(E1520="",E1520="!!!",F1520="NEW"),"",INDEX(B1519:B$2,-1+SUMPRODUCT(MAX(ROW(E1519:E$2)*(E1520=E1519:E$2)))))</f>
        <v> </v>
      </c>
      <c r="J1520" s="25" t="str">
        <f>IF(OR(E1520="",E1520="!!!",F1520="NEW"),"",COUNTBLANK(OFFSET(A$1,,,SUMPRODUCT(MAX(ROW(E$2:E1520)*(E1520=E$2:E1520)))))-COUNTBLANK(OFFSET(A$1,,,SUMPRODUCT(MAX(ROW(E$1:E1519)*(E2=E$1:E1519))))))</f>
        <v> </v>
      </c>
      <c r="K1520" s="25" t="str">
        <f>IF(OR(E1520="",E1520="!!!",F1520="NEW"),"",INDEX(J$1:J1519,SUMPRODUCT(MAX(ROW(E$1:E1519)*(E1520=E$1:E1519)))))</f>
        <v> </v>
      </c>
      <c r="L1520" s="26"/>
    </row>
    <row r="1521" spans="1:12">
      <c r="A1521" s="20" t="s">
        <v>766</v>
      </c>
      <c r="E1521" s="21">
        <f>IF(D1521="?OLD","!!!","")</f>
        <v/>
      </c>
      <c r="F1521" s="22" t="str">
        <f>IF(OR(E1521="",E1521="!!!"),"",IF(NOT(ISNA(VLOOKUP(E1521,E$1:E1520,1,FALSE()))),"OLD",IF(AND(E1521&lt;&gt;"",E1521&lt;&gt;"!!!"),"NEW","")))</f>
        <v> </v>
      </c>
      <c r="G1521" s="23" t="str">
        <f>IF(OR(E1521="",E1521="!!!"),"",IF(OR(J1521=0,AND(J1521=1,K1521=1),AND(J1521=1,I1521="SBJ"),AND(J1521=1,I1521=0)),"?IN_FOCUS",IF(J1521&lt;=2,"?ACTIVATED",IF(J1521&lt;&gt;"","?FAMILIAR",IF(F1521="NEW",IF(ISNA(VLOOKUP(E1521,#REF!,1,FALSE())),"?TYPE_IDENTIFIABLE","?REFERENTIAL"),"_")))))</f>
        <v> </v>
      </c>
      <c r="H1521" s="24" t="str">
        <f>IF(J1521&lt;&gt;1,"",IF(I1521="SBJ","CB","?"))</f>
        <v> </v>
      </c>
      <c r="I1521" s="25" t="str">
        <f>IF(OR(E1521="",E1521="!!!",F1521="NEW"),"",INDEX(B1520:B$2,-1+SUMPRODUCT(MAX(ROW(E1520:E$2)*(E1521=E1520:E$2)))))</f>
        <v> </v>
      </c>
      <c r="J1521" s="25" t="str">
        <f>IF(OR(E1521="",E1521="!!!",F1521="NEW"),"",COUNTBLANK(OFFSET(A$1,,,SUMPRODUCT(MAX(ROW(E$2:E1521)*(E1521=E$2:E1521)))))-COUNTBLANK(OFFSET(A$1,,,SUMPRODUCT(MAX(ROW(E$1:E1520)*(E2=E$1:E1520))))))</f>
        <v> </v>
      </c>
      <c r="K1521" s="25" t="str">
        <f>IF(OR(E1521="",E1521="!!!",F1521="NEW"),"",INDEX(J$1:J1520,SUMPRODUCT(MAX(ROW(E$1:E1520)*(E1521=E$1:E1520)))))</f>
        <v> </v>
      </c>
      <c r="L1521" s="26"/>
    </row>
    <row r="1522" spans="1:12">
      <c r="A1522" s="20" t="s">
        <v>1244</v>
      </c>
      <c r="B1522" s="27" t="s">
        <v>653</v>
      </c>
      <c r="C1522" s="27" t="s">
        <v>622</v>
      </c>
      <c r="E1522" s="21">
        <f>IF(D1522="?OLD","!!!","")</f>
        <v/>
      </c>
      <c r="F1522" s="22" t="str">
        <f>IF(OR(E1522="",E1522="!!!"),"",IF(NOT(ISNA(VLOOKUP(E1522,E$1:E1521,1,FALSE()))),"OLD",IF(AND(E1522&lt;&gt;"",E1522&lt;&gt;"!!!"),"NEW","")))</f>
        <v> </v>
      </c>
      <c r="G1522" s="23" t="str">
        <f>IF(OR(E1522="",E1522="!!!"),"",IF(OR(J1522=0,AND(J1522=1,K1522=1),AND(J1522=1,I1522="SBJ"),AND(J1522=1,I1522=0)),"?IN_FOCUS",IF(J1522&lt;=2,"?ACTIVATED",IF(J1522&lt;&gt;"","?FAMILIAR",IF(F1522="NEW",IF(ISNA(VLOOKUP(E1522,#REF!,1,FALSE())),"?TYPE_IDENTIFIABLE","?REFERENTIAL"),"_")))))</f>
        <v> </v>
      </c>
      <c r="H1522" s="24" t="str">
        <f>IF(J1522&lt;&gt;1,"",IF(I1522="SBJ","CB","?"))</f>
        <v> </v>
      </c>
      <c r="I1522" s="25" t="str">
        <f>IF(OR(E1522="",E1522="!!!",F1522="NEW"),"",INDEX(B1521:B$2,-1+SUMPRODUCT(MAX(ROW(E1521:E$2)*(E1522=E1521:E$2)))))</f>
        <v> </v>
      </c>
      <c r="J1522" s="25" t="str">
        <f>IF(OR(E1522="",E1522="!!!",F1522="NEW"),"",COUNTBLANK(OFFSET(A$1,,,SUMPRODUCT(MAX(ROW(E$2:E1522)*(E1522=E$2:E1522)))))-COUNTBLANK(OFFSET(A$1,,,SUMPRODUCT(MAX(ROW(E$1:E1521)*(E2=E$1:E1521))))))</f>
        <v> </v>
      </c>
      <c r="K1522" s="25" t="str">
        <f>IF(OR(E1522="",E1522="!!!",F1522="NEW"),"",INDEX(J$1:J1521,SUMPRODUCT(MAX(ROW(E$1:E1521)*(E1522=E$1:E1521)))))</f>
        <v> </v>
      </c>
      <c r="L1522" s="26"/>
    </row>
    <row r="1523" spans="1:12">
      <c r="A1523" s="20" t="s">
        <v>617</v>
      </c>
      <c r="E1523" s="21">
        <f>IF(D1523="?OLD","!!!","")</f>
        <v/>
      </c>
      <c r="F1523" s="22" t="str">
        <f>IF(OR(E1523="",E1523="!!!"),"",IF(NOT(ISNA(VLOOKUP(E1523,E$1:E1522,1,FALSE()))),"OLD",IF(AND(E1523&lt;&gt;"",E1523&lt;&gt;"!!!"),"NEW","")))</f>
        <v> </v>
      </c>
      <c r="G1523" s="23" t="str">
        <f>IF(OR(E1523="",E1523="!!!"),"",IF(OR(J1523=0,AND(J1523=1,K1523=1),AND(J1523=1,I1523="SBJ"),AND(J1523=1,I1523=0)),"?IN_FOCUS",IF(J1523&lt;=2,"?ACTIVATED",IF(J1523&lt;&gt;"","?FAMILIAR",IF(F1523="NEW",IF(ISNA(VLOOKUP(E1523,#REF!,1,FALSE())),"?TYPE_IDENTIFIABLE","?REFERENTIAL"),"_")))))</f>
        <v> </v>
      </c>
      <c r="H1523" s="24" t="str">
        <f>IF(J1523&lt;&gt;1,"",IF(I1523="SBJ","CB","?"))</f>
        <v> </v>
      </c>
      <c r="I1523" s="25" t="str">
        <f>IF(OR(E1523="",E1523="!!!",F1523="NEW"),"",INDEX(B1522:B$2,-1+SUMPRODUCT(MAX(ROW(E1522:E$2)*(E1523=E1522:E$2)))))</f>
        <v> </v>
      </c>
      <c r="J1523" s="25" t="str">
        <f>IF(OR(E1523="",E1523="!!!",F1523="NEW"),"",COUNTBLANK(OFFSET(A$1,,,SUMPRODUCT(MAX(ROW(E$2:E1523)*(E1523=E$2:E1523)))))-COUNTBLANK(OFFSET(A$1,,,SUMPRODUCT(MAX(ROW(E$1:E1522)*(E2=E$1:E1522))))))</f>
        <v> </v>
      </c>
      <c r="K1523" s="25" t="str">
        <f>IF(OR(E1523="",E1523="!!!",F1523="NEW"),"",INDEX(J$1:J1522,SUMPRODUCT(MAX(ROW(E$1:E1522)*(E1523=E$1:E1522)))))</f>
        <v> </v>
      </c>
      <c r="L1523" s="26"/>
    </row>
    <row r="1524" spans="1:12">
      <c r="A1524" s="20" t="s">
        <v>766</v>
      </c>
      <c r="E1524" s="21">
        <f>IF(D1524="?OLD","!!!","")</f>
        <v/>
      </c>
      <c r="F1524" s="22" t="str">
        <f>IF(OR(E1524="",E1524="!!!"),"",IF(NOT(ISNA(VLOOKUP(E1524,E$1:E1523,1,FALSE()))),"OLD",IF(AND(E1524&lt;&gt;"",E1524&lt;&gt;"!!!"),"NEW","")))</f>
        <v> </v>
      </c>
      <c r="G1524" s="23" t="str">
        <f>IF(OR(E1524="",E1524="!!!"),"",IF(OR(J1524=0,AND(J1524=1,K1524=1),AND(J1524=1,I1524="SBJ"),AND(J1524=1,I1524=0)),"?IN_FOCUS",IF(J1524&lt;=2,"?ACTIVATED",IF(J1524&lt;&gt;"","?FAMILIAR",IF(F1524="NEW",IF(ISNA(VLOOKUP(E1524,#REF!,1,FALSE())),"?TYPE_IDENTIFIABLE","?REFERENTIAL"),"_")))))</f>
        <v> </v>
      </c>
      <c r="H1524" s="24" t="str">
        <f>IF(J1524&lt;&gt;1,"",IF(I1524="SBJ","CB","?"))</f>
        <v> </v>
      </c>
      <c r="I1524" s="25" t="str">
        <f>IF(OR(E1524="",E1524="!!!",F1524="NEW"),"",INDEX(B1523:B$2,-1+SUMPRODUCT(MAX(ROW(E1523:E$2)*(E1524=E1523:E$2)))))</f>
        <v> </v>
      </c>
      <c r="J1524" s="25" t="str">
        <f>IF(OR(E1524="",E1524="!!!",F1524="NEW"),"",COUNTBLANK(OFFSET(A$1,,,SUMPRODUCT(MAX(ROW(E$2:E1524)*(E1524=E$2:E1524)))))-COUNTBLANK(OFFSET(A$1,,,SUMPRODUCT(MAX(ROW(E$1:E1523)*(E2=E$1:E1523))))))</f>
        <v> </v>
      </c>
      <c r="K1524" s="25" t="str">
        <f>IF(OR(E1524="",E1524="!!!",F1524="NEW"),"",INDEX(J$1:J1523,SUMPRODUCT(MAX(ROW(E$1:E1523)*(E1524=E$1:E1523)))))</f>
        <v> </v>
      </c>
      <c r="L1524" s="26"/>
    </row>
    <row r="1525" spans="1:12">
      <c r="A1525" s="20" t="s">
        <v>1245</v>
      </c>
      <c r="B1525" s="27" t="s">
        <v>636</v>
      </c>
      <c r="C1525" s="27" t="s">
        <v>631</v>
      </c>
      <c r="D1525" s="27" t="s">
        <v>608</v>
      </c>
      <c r="E1525" s="21">
        <f>IF(D1525="?OLD","!!!","")</f>
        <v/>
      </c>
      <c r="F1525" s="22" t="str">
        <f>IF(OR(E1525="",E1525="!!!"),"",IF(NOT(ISNA(VLOOKUP(E1525,E$1:E1524,1,FALSE()))),"OLD",IF(AND(E1525&lt;&gt;"",E1525&lt;&gt;"!!!"),"NEW","")))</f>
        <v> </v>
      </c>
      <c r="G1525" s="23" t="str">
        <f>IF(OR(E1525="",E1525="!!!"),"",IF(OR(J1525=0,AND(J1525=1,K1525=1),AND(J1525=1,I1525="SBJ"),AND(J1525=1,I1525=0)),"?IN_FOCUS",IF(J1525&lt;=2,"?ACTIVATED",IF(J1525&lt;&gt;"","?FAMILIAR",IF(F1525="NEW",IF(ISNA(VLOOKUP(E1525,#REF!,1,FALSE())),"?TYPE_IDENTIFIABLE","?REFERENTIAL"),"_")))))</f>
        <v> </v>
      </c>
      <c r="H1525" s="24" t="str">
        <f>IF(J1525&lt;&gt;1,"",IF(I1525="SBJ","CB","?"))</f>
        <v> </v>
      </c>
      <c r="I1525" s="25" t="str">
        <f>IF(OR(E1525="",E1525="!!!",F1525="NEW"),"",INDEX(B1524:B$2,-1+SUMPRODUCT(MAX(ROW(E1524:E$2)*(E1525=E1524:E$2)))))</f>
        <v> </v>
      </c>
      <c r="J1525" s="25" t="str">
        <f>IF(OR(E1525="",E1525="!!!",F1525="NEW"),"",COUNTBLANK(OFFSET(A$1,,,SUMPRODUCT(MAX(ROW(E$2:E1525)*(E1525=E$2:E1525)))))-COUNTBLANK(OFFSET(A$1,,,SUMPRODUCT(MAX(ROW(E$1:E1524)*(E2=E$1:E1524))))))</f>
        <v> </v>
      </c>
      <c r="K1525" s="25" t="str">
        <f>IF(OR(E1525="",E1525="!!!",F1525="NEW"),"",INDEX(J$1:J1524,SUMPRODUCT(MAX(ROW(E$1:E1524)*(E1525=E$1:E1524)))))</f>
        <v> </v>
      </c>
      <c r="L1525" s="26"/>
    </row>
    <row r="1526" spans="1:12">
      <c r="A1526" s="20" t="s">
        <v>292</v>
      </c>
      <c r="E1526" s="21">
        <f>IF(D1526="?OLD","!!!","")</f>
        <v/>
      </c>
      <c r="F1526" s="22" t="str">
        <f>IF(OR(E1526="",E1526="!!!"),"",IF(NOT(ISNA(VLOOKUP(E1526,E$1:E1525,1,FALSE()))),"OLD",IF(AND(E1526&lt;&gt;"",E1526&lt;&gt;"!!!"),"NEW","")))</f>
        <v> </v>
      </c>
      <c r="G1526" s="23" t="str">
        <f>IF(OR(E1526="",E1526="!!!"),"",IF(OR(J1526=0,AND(J1526=1,K1526=1),AND(J1526=1,I1526="SBJ"),AND(J1526=1,I1526=0)),"?IN_FOCUS",IF(J1526&lt;=2,"?ACTIVATED",IF(J1526&lt;&gt;"","?FAMILIAR",IF(F1526="NEW",IF(ISNA(VLOOKUP(E1526,#REF!,1,FALSE())),"?TYPE_IDENTIFIABLE","?REFERENTIAL"),"_")))))</f>
        <v> </v>
      </c>
      <c r="H1526" s="24" t="str">
        <f>IF(J1526&lt;&gt;1,"",IF(I1526="SBJ","CB","?"))</f>
        <v> </v>
      </c>
      <c r="I1526" s="25" t="str">
        <f>IF(OR(E1526="",E1526="!!!",F1526="NEW"),"",INDEX(B1525:B$2,-1+SUMPRODUCT(MAX(ROW(E1525:E$2)*(E1526=E1525:E$2)))))</f>
        <v> </v>
      </c>
      <c r="J1526" s="25" t="str">
        <f>IF(OR(E1526="",E1526="!!!",F1526="NEW"),"",COUNTBLANK(OFFSET(A$1,,,SUMPRODUCT(MAX(ROW(E$2:E1526)*(E1526=E$2:E1526)))))-COUNTBLANK(OFFSET(A$1,,,SUMPRODUCT(MAX(ROW(E$1:E1525)*(E2=E$1:E1525))))))</f>
        <v> </v>
      </c>
      <c r="K1526" s="25" t="str">
        <f>IF(OR(E1526="",E1526="!!!",F1526="NEW"),"",INDEX(J$1:J1525,SUMPRODUCT(MAX(ROW(E$1:E1525)*(E1526=E$1:E1525)))))</f>
        <v> </v>
      </c>
      <c r="L1526" s="26"/>
    </row>
    <row r="1527" spans="1:12">
      <c r="A1527" s="20" t="s">
        <v>767</v>
      </c>
      <c r="E1527" s="21">
        <f>IF(D1527="?OLD","!!!","")</f>
        <v/>
      </c>
      <c r="F1527" s="22" t="str">
        <f>IF(OR(E1527="",E1527="!!!"),"",IF(NOT(ISNA(VLOOKUP(E1527,E$1:E1526,1,FALSE()))),"OLD",IF(AND(E1527&lt;&gt;"",E1527&lt;&gt;"!!!"),"NEW","")))</f>
        <v> </v>
      </c>
      <c r="G1527" s="23" t="str">
        <f>IF(OR(E1527="",E1527="!!!"),"",IF(OR(J1527=0,AND(J1527=1,K1527=1),AND(J1527=1,I1527="SBJ"),AND(J1527=1,I1527=0)),"?IN_FOCUS",IF(J1527&lt;=2,"?ACTIVATED",IF(J1527&lt;&gt;"","?FAMILIAR",IF(F1527="NEW",IF(ISNA(VLOOKUP(E1527,#REF!,1,FALSE())),"?TYPE_IDENTIFIABLE","?REFERENTIAL"),"_")))))</f>
        <v> </v>
      </c>
      <c r="H1527" s="24" t="str">
        <f>IF(J1527&lt;&gt;1,"",IF(I1527="SBJ","CB","?"))</f>
        <v> </v>
      </c>
      <c r="I1527" s="25" t="str">
        <f>IF(OR(E1527="",E1527="!!!",F1527="NEW"),"",INDEX(B1526:B$2,-1+SUMPRODUCT(MAX(ROW(E1526:E$2)*(E1527=E1526:E$2)))))</f>
        <v> </v>
      </c>
      <c r="J1527" s="25" t="str">
        <f>IF(OR(E1527="",E1527="!!!",F1527="NEW"),"",COUNTBLANK(OFFSET(A$1,,,SUMPRODUCT(MAX(ROW(E$2:E1527)*(E1527=E$2:E1527)))))-COUNTBLANK(OFFSET(A$1,,,SUMPRODUCT(MAX(ROW(E$1:E1526)*(E2=E$1:E1526))))))</f>
        <v> </v>
      </c>
      <c r="K1527" s="25" t="str">
        <f>IF(OR(E1527="",E1527="!!!",F1527="NEW"),"",INDEX(J$1:J1526,SUMPRODUCT(MAX(ROW(E$1:E1526)*(E1527=E$1:E1526)))))</f>
        <v> </v>
      </c>
      <c r="L1527" s="26"/>
    </row>
    <row r="1528" spans="1:12">
      <c r="A1528" s="20"/>
    </row>
    <row r="1529" spans="1:12">
      <c r="A1529" s="20" t="s">
        <v>1246</v>
      </c>
    </row>
    <row r="1530" spans="1:12">
      <c r="A1530" s="20" t="s">
        <v>661</v>
      </c>
      <c r="E1530" s="21">
        <f>IF(D1530="?OLD","!!!","")</f>
        <v/>
      </c>
      <c r="F1530" s="22" t="str">
        <f>IF(OR(E1530="",E1530="!!!"),"",IF(NOT(ISNA(VLOOKUP(E1530,E$1:E1529,1,FALSE()))),"OLD",IF(AND(E1530&lt;&gt;"",E1530&lt;&gt;"!!!"),"NEW","")))</f>
        <v> </v>
      </c>
      <c r="G1530" s="23" t="str">
        <f>IF(OR(E1530="",E1530="!!!"),"",IF(OR(J1530=0,AND(J1530=1,K1530=1),AND(J1530=1,I1530="SBJ"),AND(J1530=1,I1530=0)),"?IN_FOCUS",IF(J1530&lt;=2,"?ACTIVATED",IF(J1530&lt;&gt;"","?FAMILIAR",IF(F1530="NEW",IF(ISNA(VLOOKUP(E1530,#REF!,1,FALSE())),"?TYPE_IDENTIFIABLE","?REFERENTIAL"),"_")))))</f>
        <v> </v>
      </c>
      <c r="H1530" s="24" t="str">
        <f>IF(J1530&lt;&gt;1,"",IF(I1530="SBJ","CB","?"))</f>
        <v> </v>
      </c>
      <c r="I1530" s="25" t="str">
        <f>IF(OR(E1530="",E1530="!!!",F1530="NEW"),"",INDEX(B1529:B$2,-1+SUMPRODUCT(MAX(ROW(E1529:E$2)*(E1530=E1529:E$2)))))</f>
        <v> </v>
      </c>
      <c r="J1530" s="25" t="str">
        <f>IF(OR(E1530="",E1530="!!!",F1530="NEW"),"",COUNTBLANK(OFFSET(A$1,,,SUMPRODUCT(MAX(ROW(E$2:E1530)*(E1530=E$2:E1530)))))-COUNTBLANK(OFFSET(A$1,,,SUMPRODUCT(MAX(ROW(E$1:E1529)*(E2=E$1:E1529))))))</f>
        <v> </v>
      </c>
      <c r="K1530" s="25" t="str">
        <f>IF(OR(E1530="",E1530="!!!",F1530="NEW"),"",INDEX(J$1:J1529,SUMPRODUCT(MAX(ROW(E$1:E1529)*(E1530=E$1:E1529)))))</f>
        <v> </v>
      </c>
      <c r="L1530" s="26"/>
    </row>
    <row r="1531" spans="1:12">
      <c r="A1531" s="20" t="s">
        <v>856</v>
      </c>
      <c r="B1531" s="27" t="s">
        <v>636</v>
      </c>
      <c r="C1531" s="27" t="s">
        <v>637</v>
      </c>
      <c r="D1531" s="27" t="s">
        <v>608</v>
      </c>
      <c r="E1531" s="21">
        <f>IF(D1531="?OLD","!!!","")</f>
        <v/>
      </c>
      <c r="F1531" s="22" t="str">
        <f>IF(OR(E1531="",E1531="!!!"),"",IF(NOT(ISNA(VLOOKUP(E1531,E$1:E1530,1,FALSE()))),"OLD",IF(AND(E1531&lt;&gt;"",E1531&lt;&gt;"!!!"),"NEW","")))</f>
        <v> </v>
      </c>
      <c r="G1531" s="23" t="str">
        <f>IF(OR(E1531="",E1531="!!!"),"",IF(OR(J1531=0,AND(J1531=1,K1531=1),AND(J1531=1,I1531="SBJ"),AND(J1531=1,I1531=0)),"?IN_FOCUS",IF(J1531&lt;=2,"?ACTIVATED",IF(J1531&lt;&gt;"","?FAMILIAR",IF(F1531="NEW",IF(ISNA(VLOOKUP(E1531,#REF!,1,FALSE())),"?TYPE_IDENTIFIABLE","?REFERENTIAL"),"_")))))</f>
        <v> </v>
      </c>
      <c r="H1531" s="24" t="str">
        <f>IF(J1531&lt;&gt;1,"",IF(I1531="SBJ","CB","?"))</f>
        <v> </v>
      </c>
      <c r="I1531" s="25" t="str">
        <f>IF(OR(E1531="",E1531="!!!",F1531="NEW"),"",INDEX(B1530:B$2,-1+SUMPRODUCT(MAX(ROW(E1530:E$2)*(E1531=E1530:E$2)))))</f>
        <v> </v>
      </c>
      <c r="J1531" s="25" t="str">
        <f>IF(OR(E1531="",E1531="!!!",F1531="NEW"),"",COUNTBLANK(OFFSET(A$1,,,SUMPRODUCT(MAX(ROW(E$2:E1531)*(E1531=E$2:E1531)))))-COUNTBLANK(OFFSET(A$1,,,SUMPRODUCT(MAX(ROW(E$1:E1530)*(E2=E$1:E1530))))))</f>
        <v> </v>
      </c>
      <c r="K1531" s="25" t="str">
        <f>IF(OR(E1531="",E1531="!!!",F1531="NEW"),"",INDEX(J$1:J1530,SUMPRODUCT(MAX(ROW(E$1:E1530)*(E1531=E$1:E1530)))))</f>
        <v> </v>
      </c>
      <c r="L1531" s="26"/>
    </row>
    <row r="1532" spans="1:12">
      <c r="A1532" s="20" t="s">
        <v>612</v>
      </c>
      <c r="E1532" s="21">
        <f>IF(D1532="?OLD","!!!","")</f>
        <v/>
      </c>
      <c r="F1532" s="22" t="str">
        <f>IF(OR(E1532="",E1532="!!!"),"",IF(NOT(ISNA(VLOOKUP(E1532,E$1:E1531,1,FALSE()))),"OLD",IF(AND(E1532&lt;&gt;"",E1532&lt;&gt;"!!!"),"NEW","")))</f>
        <v> </v>
      </c>
      <c r="G1532" s="23" t="str">
        <f>IF(OR(E1532="",E1532="!!!"),"",IF(OR(J1532=0,AND(J1532=1,K1532=1),AND(J1532=1,I1532="SBJ"),AND(J1532=1,I1532=0)),"?IN_FOCUS",IF(J1532&lt;=2,"?ACTIVATED",IF(J1532&lt;&gt;"","?FAMILIAR",IF(F1532="NEW",IF(ISNA(VLOOKUP(E1532,#REF!,1,FALSE())),"?TYPE_IDENTIFIABLE","?REFERENTIAL"),"_")))))</f>
        <v> </v>
      </c>
      <c r="H1532" s="24" t="str">
        <f>IF(J1532&lt;&gt;1,"",IF(I1532="SBJ","CB","?"))</f>
        <v> </v>
      </c>
      <c r="I1532" s="25" t="str">
        <f>IF(OR(E1532="",E1532="!!!",F1532="NEW"),"",INDEX(B1531:B$2,-1+SUMPRODUCT(MAX(ROW(E1531:E$2)*(E1532=E1531:E$2)))))</f>
        <v> </v>
      </c>
      <c r="J1532" s="25" t="str">
        <f>IF(OR(E1532="",E1532="!!!",F1532="NEW"),"",COUNTBLANK(OFFSET(A$1,,,SUMPRODUCT(MAX(ROW(E$2:E1532)*(E1532=E$2:E1532)))))-COUNTBLANK(OFFSET(A$1,,,SUMPRODUCT(MAX(ROW(E$1:E1531)*(E2=E$1:E1531))))))</f>
        <v> </v>
      </c>
      <c r="K1532" s="25" t="str">
        <f>IF(OR(E1532="",E1532="!!!",F1532="NEW"),"",INDEX(J$1:J1531,SUMPRODUCT(MAX(ROW(E$1:E1531)*(E1532=E$1:E1531)))))</f>
        <v> </v>
      </c>
      <c r="L1532" s="26"/>
    </row>
    <row r="1533" spans="1:12">
      <c r="A1533" s="20" t="s">
        <v>1247</v>
      </c>
      <c r="E1533" s="21">
        <f>IF(D1533="?OLD","!!!","")</f>
        <v/>
      </c>
      <c r="F1533" s="22" t="str">
        <f>IF(OR(E1533="",E1533="!!!"),"",IF(NOT(ISNA(VLOOKUP(E1533,E$1:E1532,1,FALSE()))),"OLD",IF(AND(E1533&lt;&gt;"",E1533&lt;&gt;"!!!"),"NEW","")))</f>
        <v> </v>
      </c>
      <c r="G1533" s="23" t="str">
        <f>IF(OR(E1533="",E1533="!!!"),"",IF(OR(J1533=0,AND(J1533=1,K1533=1),AND(J1533=1,I1533="SBJ"),AND(J1533=1,I1533=0)),"?IN_FOCUS",IF(J1533&lt;=2,"?ACTIVATED",IF(J1533&lt;&gt;"","?FAMILIAR",IF(F1533="NEW",IF(ISNA(VLOOKUP(E1533,#REF!,1,FALSE())),"?TYPE_IDENTIFIABLE","?REFERENTIAL"),"_")))))</f>
        <v> </v>
      </c>
      <c r="H1533" s="24" t="str">
        <f>IF(J1533&lt;&gt;1,"",IF(I1533="SBJ","CB","?"))</f>
        <v> </v>
      </c>
      <c r="I1533" s="25" t="str">
        <f>IF(OR(E1533="",E1533="!!!",F1533="NEW"),"",INDEX(B1532:B$2,-1+SUMPRODUCT(MAX(ROW(E1532:E$2)*(E1533=E1532:E$2)))))</f>
        <v> </v>
      </c>
      <c r="J1533" s="25" t="str">
        <f>IF(OR(E1533="",E1533="!!!",F1533="NEW"),"",COUNTBLANK(OFFSET(A$1,,,SUMPRODUCT(MAX(ROW(E$2:E1533)*(E1533=E$2:E1533)))))-COUNTBLANK(OFFSET(A$1,,,SUMPRODUCT(MAX(ROW(E$1:E1532)*(E2=E$1:E1532))))))</f>
        <v> </v>
      </c>
      <c r="K1533" s="25" t="str">
        <f>IF(OR(E1533="",E1533="!!!",F1533="NEW"),"",INDEX(J$1:J1532,SUMPRODUCT(MAX(ROW(E$1:E1532)*(E1533=E$1:E1532)))))</f>
        <v> </v>
      </c>
      <c r="L1533" s="26"/>
    </row>
    <row r="1534" spans="1:12">
      <c r="A1534" s="20" t="s">
        <v>644</v>
      </c>
      <c r="E1534" s="21">
        <f>IF(D1534="?OLD","!!!","")</f>
        <v/>
      </c>
      <c r="F1534" s="22" t="str">
        <f>IF(OR(E1534="",E1534="!!!"),"",IF(NOT(ISNA(VLOOKUP(E1534,E$1:E1533,1,FALSE()))),"OLD",IF(AND(E1534&lt;&gt;"",E1534&lt;&gt;"!!!"),"NEW","")))</f>
        <v> </v>
      </c>
      <c r="G1534" s="23" t="str">
        <f>IF(OR(E1534="",E1534="!!!"),"",IF(OR(J1534=0,AND(J1534=1,K1534=1),AND(J1534=1,I1534="SBJ"),AND(J1534=1,I1534=0)),"?IN_FOCUS",IF(J1534&lt;=2,"?ACTIVATED",IF(J1534&lt;&gt;"","?FAMILIAR",IF(F1534="NEW",IF(ISNA(VLOOKUP(E1534,#REF!,1,FALSE())),"?TYPE_IDENTIFIABLE","?REFERENTIAL"),"_")))))</f>
        <v> </v>
      </c>
      <c r="H1534" s="24" t="str">
        <f>IF(J1534&lt;&gt;1,"",IF(I1534="SBJ","CB","?"))</f>
        <v> </v>
      </c>
      <c r="I1534" s="25" t="str">
        <f>IF(OR(E1534="",E1534="!!!",F1534="NEW"),"",INDEX(B1533:B$2,-1+SUMPRODUCT(MAX(ROW(E1533:E$2)*(E1534=E1533:E$2)))))</f>
        <v> </v>
      </c>
      <c r="J1534" s="25" t="str">
        <f>IF(OR(E1534="",E1534="!!!",F1534="NEW"),"",COUNTBLANK(OFFSET(A$1,,,SUMPRODUCT(MAX(ROW(E$2:E1534)*(E1534=E$2:E1534)))))-COUNTBLANK(OFFSET(A$1,,,SUMPRODUCT(MAX(ROW(E$1:E1533)*(E2=E$1:E1533))))))</f>
        <v> </v>
      </c>
      <c r="K1534" s="25" t="str">
        <f>IF(OR(E1534="",E1534="!!!",F1534="NEW"),"",INDEX(J$1:J1533,SUMPRODUCT(MAX(ROW(E$1:E1533)*(E1534=E$1:E1533)))))</f>
        <v> </v>
      </c>
      <c r="L1534" s="26"/>
    </row>
    <row r="1535" spans="1:12">
      <c r="A1535" s="20" t="s">
        <v>1003</v>
      </c>
      <c r="E1535" s="21">
        <f>IF(D1535="?OLD","!!!","")</f>
        <v/>
      </c>
      <c r="F1535" s="22" t="str">
        <f>IF(OR(E1535="",E1535="!!!"),"",IF(NOT(ISNA(VLOOKUP(E1535,E$1:E1534,1,FALSE()))),"OLD",IF(AND(E1535&lt;&gt;"",E1535&lt;&gt;"!!!"),"NEW","")))</f>
        <v> </v>
      </c>
      <c r="G1535" s="23" t="str">
        <f>IF(OR(E1535="",E1535="!!!"),"",IF(OR(J1535=0,AND(J1535=1,K1535=1),AND(J1535=1,I1535="SBJ"),AND(J1535=1,I1535=0)),"?IN_FOCUS",IF(J1535&lt;=2,"?ACTIVATED",IF(J1535&lt;&gt;"","?FAMILIAR",IF(F1535="NEW",IF(ISNA(VLOOKUP(E1535,#REF!,1,FALSE())),"?TYPE_IDENTIFIABLE","?REFERENTIAL"),"_")))))</f>
        <v> </v>
      </c>
      <c r="H1535" s="24" t="str">
        <f>IF(J1535&lt;&gt;1,"",IF(I1535="SBJ","CB","?"))</f>
        <v> </v>
      </c>
      <c r="I1535" s="25" t="str">
        <f>IF(OR(E1535="",E1535="!!!",F1535="NEW"),"",INDEX(B1534:B$2,-1+SUMPRODUCT(MAX(ROW(E1534:E$2)*(E1535=E1534:E$2)))))</f>
        <v> </v>
      </c>
      <c r="J1535" s="25" t="str">
        <f>IF(OR(E1535="",E1535="!!!",F1535="NEW"),"",COUNTBLANK(OFFSET(A$1,,,SUMPRODUCT(MAX(ROW(E$2:E1535)*(E1535=E$2:E1535)))))-COUNTBLANK(OFFSET(A$1,,,SUMPRODUCT(MAX(ROW(E$1:E1534)*(E2=E$1:E1534))))))</f>
        <v> </v>
      </c>
      <c r="K1535" s="25" t="str">
        <f>IF(OR(E1535="",E1535="!!!",F1535="NEW"),"",INDEX(J$1:J1534,SUMPRODUCT(MAX(ROW(E$1:E1534)*(E1535=E$1:E1534)))))</f>
        <v> </v>
      </c>
      <c r="L1535" s="26"/>
    </row>
    <row r="1536" spans="1:12">
      <c r="A1536" s="20" t="s">
        <v>1248</v>
      </c>
      <c r="B1536" s="27" t="s">
        <v>606</v>
      </c>
      <c r="C1536" s="27" t="s">
        <v>622</v>
      </c>
      <c r="E1536" s="21">
        <f>IF(D1536="?OLD","!!!","")</f>
        <v/>
      </c>
      <c r="F1536" s="22" t="str">
        <f>IF(OR(E1536="",E1536="!!!"),"",IF(NOT(ISNA(VLOOKUP(E1536,E$1:E1535,1,FALSE()))),"OLD",IF(AND(E1536&lt;&gt;"",E1536&lt;&gt;"!!!"),"NEW","")))</f>
        <v> </v>
      </c>
      <c r="G1536" s="23" t="str">
        <f>IF(OR(E1536="",E1536="!!!"),"",IF(OR(J1536=0,AND(J1536=1,K1536=1),AND(J1536=1,I1536="SBJ"),AND(J1536=1,I1536=0)),"?IN_FOCUS",IF(J1536&lt;=2,"?ACTIVATED",IF(J1536&lt;&gt;"","?FAMILIAR",IF(F1536="NEW",IF(ISNA(VLOOKUP(E1536,#REF!,1,FALSE())),"?TYPE_IDENTIFIABLE","?REFERENTIAL"),"_")))))</f>
        <v> </v>
      </c>
      <c r="H1536" s="24" t="str">
        <f>IF(J1536&lt;&gt;1,"",IF(I1536="SBJ","CB","?"))</f>
        <v> </v>
      </c>
      <c r="I1536" s="25" t="str">
        <f>IF(OR(E1536="",E1536="!!!",F1536="NEW"),"",INDEX(B1535:B$2,-1+SUMPRODUCT(MAX(ROW(E1535:E$2)*(E1536=E1535:E$2)))))</f>
        <v> </v>
      </c>
      <c r="J1536" s="25" t="str">
        <f>IF(OR(E1536="",E1536="!!!",F1536="NEW"),"",COUNTBLANK(OFFSET(A$1,,,SUMPRODUCT(MAX(ROW(E$2:E1536)*(E1536=E$2:E1536)))))-COUNTBLANK(OFFSET(A$1,,,SUMPRODUCT(MAX(ROW(E$1:E1535)*(E2=E$1:E1535))))))</f>
        <v> </v>
      </c>
      <c r="K1536" s="25" t="str">
        <f>IF(OR(E1536="",E1536="!!!",F1536="NEW"),"",INDEX(J$1:J1535,SUMPRODUCT(MAX(ROW(E$1:E1535)*(E1536=E$1:E1535)))))</f>
        <v> </v>
      </c>
      <c r="L1536" s="26"/>
    </row>
    <row r="1537" spans="1:12">
      <c r="A1537" s="20" t="s">
        <v>633</v>
      </c>
      <c r="E1537" s="21">
        <f>IF(D1537="?OLD","!!!","")</f>
        <v/>
      </c>
      <c r="F1537" s="22" t="str">
        <f>IF(OR(E1537="",E1537="!!!"),"",IF(NOT(ISNA(VLOOKUP(E1537,E$1:E1536,1,FALSE()))),"OLD",IF(AND(E1537&lt;&gt;"",E1537&lt;&gt;"!!!"),"NEW","")))</f>
        <v> </v>
      </c>
      <c r="G1537" s="23" t="str">
        <f>IF(OR(E1537="",E1537="!!!"),"",IF(OR(J1537=0,AND(J1537=1,K1537=1),AND(J1537=1,I1537="SBJ"),AND(J1537=1,I1537=0)),"?IN_FOCUS",IF(J1537&lt;=2,"?ACTIVATED",IF(J1537&lt;&gt;"","?FAMILIAR",IF(F1537="NEW",IF(ISNA(VLOOKUP(E1537,#REF!,1,FALSE())),"?TYPE_IDENTIFIABLE","?REFERENTIAL"),"_")))))</f>
        <v> </v>
      </c>
      <c r="H1537" s="24" t="str">
        <f>IF(J1537&lt;&gt;1,"",IF(I1537="SBJ","CB","?"))</f>
        <v> </v>
      </c>
      <c r="I1537" s="25" t="str">
        <f>IF(OR(E1537="",E1537="!!!",F1537="NEW"),"",INDEX(B1536:B$2,-1+SUMPRODUCT(MAX(ROW(E1536:E$2)*(E1537=E1536:E$2)))))</f>
        <v> </v>
      </c>
      <c r="J1537" s="25" t="str">
        <f>IF(OR(E1537="",E1537="!!!",F1537="NEW"),"",COUNTBLANK(OFFSET(A$1,,,SUMPRODUCT(MAX(ROW(E$2:E1537)*(E1537=E$2:E1537)))))-COUNTBLANK(OFFSET(A$1,,,SUMPRODUCT(MAX(ROW(E$1:E1536)*(E2=E$1:E1536))))))</f>
        <v> </v>
      </c>
      <c r="K1537" s="25" t="str">
        <f>IF(OR(E1537="",E1537="!!!",F1537="NEW"),"",INDEX(J$1:J1536,SUMPRODUCT(MAX(ROW(E$1:E1536)*(E1537=E$1:E1536)))))</f>
        <v> </v>
      </c>
      <c r="L1537" s="26"/>
    </row>
    <row r="1538" spans="1:12">
      <c r="A1538" s="20"/>
    </row>
    <row r="1539" spans="1:12">
      <c r="A1539" s="20" t="s">
        <v>1249</v>
      </c>
    </row>
    <row r="1540" spans="1:12">
      <c r="A1540" s="20" t="s">
        <v>1250</v>
      </c>
      <c r="E1540" s="21">
        <f>IF(D1540="?OLD","!!!","")</f>
        <v/>
      </c>
      <c r="F1540" s="22" t="str">
        <f>IF(OR(E1540="",E1540="!!!"),"",IF(NOT(ISNA(VLOOKUP(E1540,E$1:E1539,1,FALSE()))),"OLD",IF(AND(E1540&lt;&gt;"",E1540&lt;&gt;"!!!"),"NEW","")))</f>
        <v> </v>
      </c>
      <c r="G1540" s="23" t="str">
        <f>IF(OR(E1540="",E1540="!!!"),"",IF(OR(J1540=0,AND(J1540=1,K1540=1),AND(J1540=1,I1540="SBJ"),AND(J1540=1,I1540=0)),"?IN_FOCUS",IF(J1540&lt;=2,"?ACTIVATED",IF(J1540&lt;&gt;"","?FAMILIAR",IF(F1540="NEW",IF(ISNA(VLOOKUP(E1540,#REF!,1,FALSE())),"?TYPE_IDENTIFIABLE","?REFERENTIAL"),"_")))))</f>
        <v> </v>
      </c>
      <c r="H1540" s="24" t="str">
        <f>IF(J1540&lt;&gt;1,"",IF(I1540="SBJ","CB","?"))</f>
        <v> </v>
      </c>
      <c r="I1540" s="25" t="str">
        <f>IF(OR(E1540="",E1540="!!!",F1540="NEW"),"",INDEX(B1539:B$2,-1+SUMPRODUCT(MAX(ROW(E1539:E$2)*(E1540=E1539:E$2)))))</f>
        <v> </v>
      </c>
      <c r="J1540" s="25" t="str">
        <f>IF(OR(E1540="",E1540="!!!",F1540="NEW"),"",COUNTBLANK(OFFSET(A$1,,,SUMPRODUCT(MAX(ROW(E$2:E1540)*(E1540=E$2:E1540)))))-COUNTBLANK(OFFSET(A$1,,,SUMPRODUCT(MAX(ROW(E$1:E1539)*(E2=E$1:E1539))))))</f>
        <v> </v>
      </c>
      <c r="K1540" s="25" t="str">
        <f>IF(OR(E1540="",E1540="!!!",F1540="NEW"),"",INDEX(J$1:J1539,SUMPRODUCT(MAX(ROW(E$1:E1539)*(E1540=E$1:E1539)))))</f>
        <v> </v>
      </c>
      <c r="L1540" s="26"/>
    </row>
    <row r="1541" spans="1:12">
      <c r="A1541" s="20" t="s">
        <v>1251</v>
      </c>
      <c r="B1541" s="27" t="s">
        <v>636</v>
      </c>
      <c r="C1541" s="27" t="s">
        <v>685</v>
      </c>
      <c r="E1541" s="21">
        <f>IF(D1541="?OLD","!!!","")</f>
        <v/>
      </c>
      <c r="F1541" s="22" t="str">
        <f>IF(OR(E1541="",E1541="!!!"),"",IF(NOT(ISNA(VLOOKUP(E1541,E$1:E1540,1,FALSE()))),"OLD",IF(AND(E1541&lt;&gt;"",E1541&lt;&gt;"!!!"),"NEW","")))</f>
        <v> </v>
      </c>
      <c r="G1541" s="23" t="str">
        <f>IF(OR(E1541="",E1541="!!!"),"",IF(OR(J1541=0,AND(J1541=1,K1541=1),AND(J1541=1,I1541="SBJ"),AND(J1541=1,I1541=0)),"?IN_FOCUS",IF(J1541&lt;=2,"?ACTIVATED",IF(J1541&lt;&gt;"","?FAMILIAR",IF(F1541="NEW",IF(ISNA(VLOOKUP(E1541,#REF!,1,FALSE())),"?TYPE_IDENTIFIABLE","?REFERENTIAL"),"_")))))</f>
        <v> </v>
      </c>
      <c r="H1541" s="24" t="str">
        <f>IF(J1541&lt;&gt;1,"",IF(I1541="SBJ","CB","?"))</f>
        <v> </v>
      </c>
      <c r="I1541" s="25" t="str">
        <f>IF(OR(E1541="",E1541="!!!",F1541="NEW"),"",INDEX(B1540:B$2,-1+SUMPRODUCT(MAX(ROW(E1540:E$2)*(E1541=E1540:E$2)))))</f>
        <v> </v>
      </c>
      <c r="J1541" s="25" t="str">
        <f>IF(OR(E1541="",E1541="!!!",F1541="NEW"),"",COUNTBLANK(OFFSET(A$1,,,SUMPRODUCT(MAX(ROW(E$2:E1541)*(E1541=E$2:E1541)))))-COUNTBLANK(OFFSET(A$1,,,SUMPRODUCT(MAX(ROW(E$1:E1540)*(E2=E$1:E1540))))))</f>
        <v> </v>
      </c>
      <c r="K1541" s="25" t="str">
        <f>IF(OR(E1541="",E1541="!!!",F1541="NEW"),"",INDEX(J$1:J1540,SUMPRODUCT(MAX(ROW(E$1:E1540)*(E1541=E$1:E1540)))))</f>
        <v> </v>
      </c>
      <c r="L1541" s="26"/>
    </row>
    <row r="1542" spans="1:12">
      <c r="A1542" s="20" t="s">
        <v>707</v>
      </c>
      <c r="E1542" s="21">
        <f>IF(D1542="?OLD","!!!","")</f>
        <v/>
      </c>
      <c r="F1542" s="22" t="str">
        <f>IF(OR(E1542="",E1542="!!!"),"",IF(NOT(ISNA(VLOOKUP(E1542,E$1:E1541,1,FALSE()))),"OLD",IF(AND(E1542&lt;&gt;"",E1542&lt;&gt;"!!!"),"NEW","")))</f>
        <v> </v>
      </c>
      <c r="G1542" s="23" t="str">
        <f>IF(OR(E1542="",E1542="!!!"),"",IF(OR(J1542=0,AND(J1542=1,K1542=1),AND(J1542=1,I1542="SBJ"),AND(J1542=1,I1542=0)),"?IN_FOCUS",IF(J1542&lt;=2,"?ACTIVATED",IF(J1542&lt;&gt;"","?FAMILIAR",IF(F1542="NEW",IF(ISNA(VLOOKUP(E1542,#REF!,1,FALSE())),"?TYPE_IDENTIFIABLE","?REFERENTIAL"),"_")))))</f>
        <v> </v>
      </c>
      <c r="H1542" s="24" t="str">
        <f>IF(J1542&lt;&gt;1,"",IF(I1542="SBJ","CB","?"))</f>
        <v> </v>
      </c>
      <c r="I1542" s="25" t="str">
        <f>IF(OR(E1542="",E1542="!!!",F1542="NEW"),"",INDEX(B1541:B$2,-1+SUMPRODUCT(MAX(ROW(E1541:E$2)*(E1542=E1541:E$2)))))</f>
        <v> </v>
      </c>
      <c r="J1542" s="25" t="str">
        <f>IF(OR(E1542="",E1542="!!!",F1542="NEW"),"",COUNTBLANK(OFFSET(A$1,,,SUMPRODUCT(MAX(ROW(E$2:E1542)*(E1542=E$2:E1542)))))-COUNTBLANK(OFFSET(A$1,,,SUMPRODUCT(MAX(ROW(E$1:E1541)*(E2=E$1:E1541))))))</f>
        <v> </v>
      </c>
      <c r="K1542" s="25" t="str">
        <f>IF(OR(E1542="",E1542="!!!",F1542="NEW"),"",INDEX(J$1:J1541,SUMPRODUCT(MAX(ROW(E$1:E1541)*(E1542=E$1:E1541)))))</f>
        <v> </v>
      </c>
      <c r="L1542" s="26"/>
    </row>
    <row r="1543" spans="1:12">
      <c r="A1543" s="20" t="s">
        <v>1252</v>
      </c>
      <c r="B1543" s="27" t="s">
        <v>611</v>
      </c>
      <c r="C1543" s="27" t="s">
        <v>631</v>
      </c>
      <c r="D1543" s="27" t="s">
        <v>608</v>
      </c>
      <c r="E1543" s="21">
        <f>IF(D1543="?OLD","!!!","")</f>
        <v/>
      </c>
      <c r="F1543" s="22" t="str">
        <f>IF(OR(E1543="",E1543="!!!"),"",IF(NOT(ISNA(VLOOKUP(E1543,E$1:E1542,1,FALSE()))),"OLD",IF(AND(E1543&lt;&gt;"",E1543&lt;&gt;"!!!"),"NEW","")))</f>
        <v> </v>
      </c>
      <c r="G1543" s="23" t="str">
        <f>IF(OR(E1543="",E1543="!!!"),"",IF(OR(J1543=0,AND(J1543=1,K1543=1),AND(J1543=1,I1543="SBJ"),AND(J1543=1,I1543=0)),"?IN_FOCUS",IF(J1543&lt;=2,"?ACTIVATED",IF(J1543&lt;&gt;"","?FAMILIAR",IF(F1543="NEW",IF(ISNA(VLOOKUP(E1543,#REF!,1,FALSE())),"?TYPE_IDENTIFIABLE","?REFERENTIAL"),"_")))))</f>
        <v> </v>
      </c>
      <c r="H1543" s="24" t="str">
        <f>IF(J1543&lt;&gt;1,"",IF(I1543="SBJ","CB","?"))</f>
        <v> </v>
      </c>
      <c r="I1543" s="25" t="str">
        <f>IF(OR(E1543="",E1543="!!!",F1543="NEW"),"",INDEX(B1542:B$2,-1+SUMPRODUCT(MAX(ROW(E1542:E$2)*(E1543=E1542:E$2)))))</f>
        <v> </v>
      </c>
      <c r="J1543" s="25" t="str">
        <f>IF(OR(E1543="",E1543="!!!",F1543="NEW"),"",COUNTBLANK(OFFSET(A$1,,,SUMPRODUCT(MAX(ROW(E$2:E1543)*(E1543=E$2:E1543)))))-COUNTBLANK(OFFSET(A$1,,,SUMPRODUCT(MAX(ROW(E$1:E1542)*(E2=E$1:E1542))))))</f>
        <v> </v>
      </c>
      <c r="K1543" s="25" t="str">
        <f>IF(OR(E1543="",E1543="!!!",F1543="NEW"),"",INDEX(J$1:J1542,SUMPRODUCT(MAX(ROW(E$1:E1542)*(E1543=E$1:E1542)))))</f>
        <v> </v>
      </c>
      <c r="L1543" s="26"/>
    </row>
    <row r="1544" spans="1:12">
      <c r="A1544" s="20" t="s">
        <v>617</v>
      </c>
      <c r="E1544" s="21">
        <f>IF(D1544="?OLD","!!!","")</f>
        <v/>
      </c>
      <c r="F1544" s="22" t="str">
        <f>IF(OR(E1544="",E1544="!!!"),"",IF(NOT(ISNA(VLOOKUP(E1544,E$1:E1543,1,FALSE()))),"OLD",IF(AND(E1544&lt;&gt;"",E1544&lt;&gt;"!!!"),"NEW","")))</f>
        <v> </v>
      </c>
      <c r="G1544" s="23" t="str">
        <f>IF(OR(E1544="",E1544="!!!"),"",IF(OR(J1544=0,AND(J1544=1,K1544=1),AND(J1544=1,I1544="SBJ"),AND(J1544=1,I1544=0)),"?IN_FOCUS",IF(J1544&lt;=2,"?ACTIVATED",IF(J1544&lt;&gt;"","?FAMILIAR",IF(F1544="NEW",IF(ISNA(VLOOKUP(E1544,#REF!,1,FALSE())),"?TYPE_IDENTIFIABLE","?REFERENTIAL"),"_")))))</f>
        <v> </v>
      </c>
      <c r="H1544" s="24" t="str">
        <f>IF(J1544&lt;&gt;1,"",IF(I1544="SBJ","CB","?"))</f>
        <v> </v>
      </c>
      <c r="I1544" s="25" t="str">
        <f>IF(OR(E1544="",E1544="!!!",F1544="NEW"),"",INDEX(B1543:B$2,-1+SUMPRODUCT(MAX(ROW(E1543:E$2)*(E1544=E1543:E$2)))))</f>
        <v> </v>
      </c>
      <c r="J1544" s="25" t="str">
        <f>IF(OR(E1544="",E1544="!!!",F1544="NEW"),"",COUNTBLANK(OFFSET(A$1,,,SUMPRODUCT(MAX(ROW(E$2:E1544)*(E1544=E$2:E1544)))))-COUNTBLANK(OFFSET(A$1,,,SUMPRODUCT(MAX(ROW(E$1:E1543)*(E2=E$1:E1543))))))</f>
        <v> </v>
      </c>
      <c r="K1544" s="25" t="str">
        <f>IF(OR(E1544="",E1544="!!!",F1544="NEW"),"",INDEX(J$1:J1543,SUMPRODUCT(MAX(ROW(E$1:E1543)*(E1544=E$1:E1543)))))</f>
        <v> </v>
      </c>
      <c r="L1544" s="26"/>
    </row>
    <row r="1545" spans="1:12">
      <c r="A1545" s="20" t="s">
        <v>663</v>
      </c>
      <c r="B1545" s="27" t="s">
        <v>625</v>
      </c>
      <c r="C1545" s="27" t="s">
        <v>626</v>
      </c>
      <c r="E1545" s="21">
        <f>IF(D1545="?OLD","!!!","")</f>
        <v/>
      </c>
      <c r="F1545" s="22" t="str">
        <f>IF(OR(E1545="",E1545="!!!"),"",IF(NOT(ISNA(VLOOKUP(E1545,E$1:E1544,1,FALSE()))),"OLD",IF(AND(E1545&lt;&gt;"",E1545&lt;&gt;"!!!"),"NEW","")))</f>
        <v> </v>
      </c>
      <c r="G1545" s="23" t="str">
        <f>IF(OR(E1545="",E1545="!!!"),"",IF(OR(J1545=0,AND(J1545=1,K1545=1),AND(J1545=1,I1545="SBJ"),AND(J1545=1,I1545=0)),"?IN_FOCUS",IF(J1545&lt;=2,"?ACTIVATED",IF(J1545&lt;&gt;"","?FAMILIAR",IF(F1545="NEW",IF(ISNA(VLOOKUP(E1545,#REF!,1,FALSE())),"?TYPE_IDENTIFIABLE","?REFERENTIAL"),"_")))))</f>
        <v> </v>
      </c>
      <c r="H1545" s="24" t="str">
        <f>IF(J1545&lt;&gt;1,"",IF(I1545="SBJ","CB","?"))</f>
        <v> </v>
      </c>
      <c r="I1545" s="25" t="str">
        <f>IF(OR(E1545="",E1545="!!!",F1545="NEW"),"",INDEX(B1544:B$2,-1+SUMPRODUCT(MAX(ROW(E1544:E$2)*(E1545=E1544:E$2)))))</f>
        <v> </v>
      </c>
      <c r="J1545" s="25" t="str">
        <f>IF(OR(E1545="",E1545="!!!",F1545="NEW"),"",COUNTBLANK(OFFSET(A$1,,,SUMPRODUCT(MAX(ROW(E$2:E1545)*(E1545=E$2:E1545)))))-COUNTBLANK(OFFSET(A$1,,,SUMPRODUCT(MAX(ROW(E$1:E1544)*(E2=E$1:E1544))))))</f>
        <v> </v>
      </c>
      <c r="K1545" s="25" t="str">
        <f>IF(OR(E1545="",E1545="!!!",F1545="NEW"),"",INDEX(J$1:J1544,SUMPRODUCT(MAX(ROW(E$1:E1544)*(E1545=E$1:E1544)))))</f>
        <v> </v>
      </c>
      <c r="L1545" s="26"/>
    </row>
    <row r="1546" spans="1:12">
      <c r="A1546" s="20" t="s">
        <v>603</v>
      </c>
      <c r="E1546" s="21">
        <f>IF(D1546="?OLD","!!!","")</f>
        <v/>
      </c>
      <c r="F1546" s="22" t="str">
        <f>IF(OR(E1546="",E1546="!!!"),"",IF(NOT(ISNA(VLOOKUP(E1546,E$1:E1545,1,FALSE()))),"OLD",IF(AND(E1546&lt;&gt;"",E1546&lt;&gt;"!!!"),"NEW","")))</f>
        <v> </v>
      </c>
      <c r="G1546" s="23" t="str">
        <f>IF(OR(E1546="",E1546="!!!"),"",IF(OR(J1546=0,AND(J1546=1,K1546=1),AND(J1546=1,I1546="SBJ"),AND(J1546=1,I1546=0)),"?IN_FOCUS",IF(J1546&lt;=2,"?ACTIVATED",IF(J1546&lt;&gt;"","?FAMILIAR",IF(F1546="NEW",IF(ISNA(VLOOKUP(E1546,#REF!,1,FALSE())),"?TYPE_IDENTIFIABLE","?REFERENTIAL"),"_")))))</f>
        <v> </v>
      </c>
      <c r="H1546" s="24" t="str">
        <f>IF(J1546&lt;&gt;1,"",IF(I1546="SBJ","CB","?"))</f>
        <v> </v>
      </c>
      <c r="I1546" s="25" t="str">
        <f>IF(OR(E1546="",E1546="!!!",F1546="NEW"),"",INDEX(B1545:B$2,-1+SUMPRODUCT(MAX(ROW(E1545:E$2)*(E1546=E1545:E$2)))))</f>
        <v> </v>
      </c>
      <c r="J1546" s="25" t="str">
        <f>IF(OR(E1546="",E1546="!!!",F1546="NEW"),"",COUNTBLANK(OFFSET(A$1,,,SUMPRODUCT(MAX(ROW(E$2:E1546)*(E1546=E$2:E1546)))))-COUNTBLANK(OFFSET(A$1,,,SUMPRODUCT(MAX(ROW(E$1:E1545)*(E2=E$1:E1545))))))</f>
        <v> </v>
      </c>
      <c r="K1546" s="25" t="str">
        <f>IF(OR(E1546="",E1546="!!!",F1546="NEW"),"",INDEX(J$1:J1545,SUMPRODUCT(MAX(ROW(E$1:E1545)*(E1546=E$1:E1545)))))</f>
        <v> </v>
      </c>
      <c r="L1546" s="26"/>
    </row>
    <row r="1547" spans="1:12">
      <c r="A1547" s="20" t="s">
        <v>1253</v>
      </c>
      <c r="B1547" s="27" t="s">
        <v>611</v>
      </c>
      <c r="C1547" s="27" t="s">
        <v>607</v>
      </c>
      <c r="D1547" s="27" t="s">
        <v>608</v>
      </c>
      <c r="E1547" s="21">
        <f>IF(D1547="?OLD","!!!","")</f>
        <v/>
      </c>
      <c r="F1547" s="22" t="str">
        <f>IF(OR(E1547="",E1547="!!!"),"",IF(NOT(ISNA(VLOOKUP(E1547,E$1:E1546,1,FALSE()))),"OLD",IF(AND(E1547&lt;&gt;"",E1547&lt;&gt;"!!!"),"NEW","")))</f>
        <v> </v>
      </c>
      <c r="G1547" s="23" t="str">
        <f>IF(OR(E1547="",E1547="!!!"),"",IF(OR(J1547=0,AND(J1547=1,K1547=1),AND(J1547=1,I1547="SBJ"),AND(J1547=1,I1547=0)),"?IN_FOCUS",IF(J1547&lt;=2,"?ACTIVATED",IF(J1547&lt;&gt;"","?FAMILIAR",IF(F1547="NEW",IF(ISNA(VLOOKUP(E1547,#REF!,1,FALSE())),"?TYPE_IDENTIFIABLE","?REFERENTIAL"),"_")))))</f>
        <v> </v>
      </c>
      <c r="H1547" s="24" t="str">
        <f>IF(J1547&lt;&gt;1,"",IF(I1547="SBJ","CB","?"))</f>
        <v> </v>
      </c>
      <c r="I1547" s="25" t="str">
        <f>IF(OR(E1547="",E1547="!!!",F1547="NEW"),"",INDEX(B1546:B$2,-1+SUMPRODUCT(MAX(ROW(E1546:E$2)*(E1547=E1546:E$2)))))</f>
        <v> </v>
      </c>
      <c r="J1547" s="25" t="str">
        <f>IF(OR(E1547="",E1547="!!!",F1547="NEW"),"",COUNTBLANK(OFFSET(A$1,,,SUMPRODUCT(MAX(ROW(E$2:E1547)*(E1547=E$2:E1547)))))-COUNTBLANK(OFFSET(A$1,,,SUMPRODUCT(MAX(ROW(E$1:E1546)*(E2=E$1:E1546))))))</f>
        <v> </v>
      </c>
      <c r="K1547" s="25" t="str">
        <f>IF(OR(E1547="",E1547="!!!",F1547="NEW"),"",INDEX(J$1:J1546,SUMPRODUCT(MAX(ROW(E$1:E1546)*(E1547=E$1:E1546)))))</f>
        <v> </v>
      </c>
      <c r="L1547" s="26"/>
    </row>
    <row r="1548" spans="1:12">
      <c r="A1548" s="20" t="s">
        <v>617</v>
      </c>
      <c r="E1548" s="21">
        <f>IF(D1548="?OLD","!!!","")</f>
        <v/>
      </c>
      <c r="F1548" s="22" t="str">
        <f>IF(OR(E1548="",E1548="!!!"),"",IF(NOT(ISNA(VLOOKUP(E1548,E$1:E1547,1,FALSE()))),"OLD",IF(AND(E1548&lt;&gt;"",E1548&lt;&gt;"!!!"),"NEW","")))</f>
        <v> </v>
      </c>
      <c r="G1548" s="23" t="str">
        <f>IF(OR(E1548="",E1548="!!!"),"",IF(OR(J1548=0,AND(J1548=1,K1548=1),AND(J1548=1,I1548="SBJ"),AND(J1548=1,I1548=0)),"?IN_FOCUS",IF(J1548&lt;=2,"?ACTIVATED",IF(J1548&lt;&gt;"","?FAMILIAR",IF(F1548="NEW",IF(ISNA(VLOOKUP(E1548,#REF!,1,FALSE())),"?TYPE_IDENTIFIABLE","?REFERENTIAL"),"_")))))</f>
        <v> </v>
      </c>
      <c r="H1548" s="24" t="str">
        <f>IF(J1548&lt;&gt;1,"",IF(I1548="SBJ","CB","?"))</f>
        <v> </v>
      </c>
      <c r="I1548" s="25" t="str">
        <f>IF(OR(E1548="",E1548="!!!",F1548="NEW"),"",INDEX(B1547:B$2,-1+SUMPRODUCT(MAX(ROW(E1547:E$2)*(E1548=E1547:E$2)))))</f>
        <v> </v>
      </c>
      <c r="J1548" s="25" t="str">
        <f>IF(OR(E1548="",E1548="!!!",F1548="NEW"),"",COUNTBLANK(OFFSET(A$1,,,SUMPRODUCT(MAX(ROW(E$2:E1548)*(E1548=E$2:E1548)))))-COUNTBLANK(OFFSET(A$1,,,SUMPRODUCT(MAX(ROW(E$1:E1547)*(E2=E$1:E1547))))))</f>
        <v> </v>
      </c>
      <c r="K1548" s="25" t="str">
        <f>IF(OR(E1548="",E1548="!!!",F1548="NEW"),"",INDEX(J$1:J1547,SUMPRODUCT(MAX(ROW(E$1:E1547)*(E1548=E$1:E1547)))))</f>
        <v> </v>
      </c>
      <c r="L1548" s="26"/>
    </row>
    <row r="1549" spans="1:12">
      <c r="A1549" s="20" t="s">
        <v>843</v>
      </c>
      <c r="E1549" s="21">
        <f>IF(D1549="?OLD","!!!","")</f>
        <v/>
      </c>
      <c r="F1549" s="22" t="str">
        <f>IF(OR(E1549="",E1549="!!!"),"",IF(NOT(ISNA(VLOOKUP(E1549,E$1:E1548,1,FALSE()))),"OLD",IF(AND(E1549&lt;&gt;"",E1549&lt;&gt;"!!!"),"NEW","")))</f>
        <v> </v>
      </c>
      <c r="G1549" s="23" t="str">
        <f>IF(OR(E1549="",E1549="!!!"),"",IF(OR(J1549=0,AND(J1549=1,K1549=1),AND(J1549=1,I1549="SBJ"),AND(J1549=1,I1549=0)),"?IN_FOCUS",IF(J1549&lt;=2,"?ACTIVATED",IF(J1549&lt;&gt;"","?FAMILIAR",IF(F1549="NEW",IF(ISNA(VLOOKUP(E1549,#REF!,1,FALSE())),"?TYPE_IDENTIFIABLE","?REFERENTIAL"),"_")))))</f>
        <v> </v>
      </c>
      <c r="H1549" s="24" t="str">
        <f>IF(J1549&lt;&gt;1,"",IF(I1549="SBJ","CB","?"))</f>
        <v> </v>
      </c>
      <c r="I1549" s="25" t="str">
        <f>IF(OR(E1549="",E1549="!!!",F1549="NEW"),"",INDEX(B1548:B$2,-1+SUMPRODUCT(MAX(ROW(E1548:E$2)*(E1549=E1548:E$2)))))</f>
        <v> </v>
      </c>
      <c r="J1549" s="25" t="str">
        <f>IF(OR(E1549="",E1549="!!!",F1549="NEW"),"",COUNTBLANK(OFFSET(A$1,,,SUMPRODUCT(MAX(ROW(E$2:E1549)*(E1549=E$2:E1549)))))-COUNTBLANK(OFFSET(A$1,,,SUMPRODUCT(MAX(ROW(E$1:E1548)*(E2=E$1:E1548))))))</f>
        <v> </v>
      </c>
      <c r="K1549" s="25" t="str">
        <f>IF(OR(E1549="",E1549="!!!",F1549="NEW"),"",INDEX(J$1:J1548,SUMPRODUCT(MAX(ROW(E$1:E1548)*(E1549=E$1:E1548)))))</f>
        <v> </v>
      </c>
      <c r="L1549" s="26"/>
    </row>
    <row r="1550" spans="1:12">
      <c r="A1550" s="20" t="s">
        <v>51</v>
      </c>
      <c r="E1550" s="21">
        <f>IF(D1550="?OLD","!!!","")</f>
        <v/>
      </c>
      <c r="F1550" s="22" t="str">
        <f>IF(OR(E1550="",E1550="!!!"),"",IF(NOT(ISNA(VLOOKUP(E1550,E$1:E1549,1,FALSE()))),"OLD",IF(AND(E1550&lt;&gt;"",E1550&lt;&gt;"!!!"),"NEW","")))</f>
        <v> </v>
      </c>
      <c r="G1550" s="23" t="str">
        <f>IF(OR(E1550="",E1550="!!!"),"",IF(OR(J1550=0,AND(J1550=1,K1550=1),AND(J1550=1,I1550="SBJ"),AND(J1550=1,I1550=0)),"?IN_FOCUS",IF(J1550&lt;=2,"?ACTIVATED",IF(J1550&lt;&gt;"","?FAMILIAR",IF(F1550="NEW",IF(ISNA(VLOOKUP(E1550,#REF!,1,FALSE())),"?TYPE_IDENTIFIABLE","?REFERENTIAL"),"_")))))</f>
        <v> </v>
      </c>
      <c r="H1550" s="24" t="str">
        <f>IF(J1550&lt;&gt;1,"",IF(I1550="SBJ","CB","?"))</f>
        <v> </v>
      </c>
      <c r="I1550" s="25" t="str">
        <f>IF(OR(E1550="",E1550="!!!",F1550="NEW"),"",INDEX(B1549:B$2,-1+SUMPRODUCT(MAX(ROW(E1549:E$2)*(E1550=E1549:E$2)))))</f>
        <v> </v>
      </c>
      <c r="J1550" s="25" t="str">
        <f>IF(OR(E1550="",E1550="!!!",F1550="NEW"),"",COUNTBLANK(OFFSET(A$1,,,SUMPRODUCT(MAX(ROW(E$2:E1550)*(E1550=E$2:E1550)))))-COUNTBLANK(OFFSET(A$1,,,SUMPRODUCT(MAX(ROW(E$1:E1549)*(E2=E$1:E1549))))))</f>
        <v> </v>
      </c>
      <c r="K1550" s="25" t="str">
        <f>IF(OR(E1550="",E1550="!!!",F1550="NEW"),"",INDEX(J$1:J1549,SUMPRODUCT(MAX(ROW(E$1:E1549)*(E1550=E$1:E1549)))))</f>
        <v> </v>
      </c>
      <c r="L1550" s="26"/>
    </row>
    <row r="1551" spans="1:12">
      <c r="A1551" s="20" t="s">
        <v>949</v>
      </c>
      <c r="B1551" s="27" t="s">
        <v>606</v>
      </c>
      <c r="C1551" s="27" t="s">
        <v>678</v>
      </c>
      <c r="E1551" s="21">
        <f>IF(D1551="?OLD","!!!","")</f>
        <v/>
      </c>
      <c r="F1551" s="22" t="str">
        <f>IF(OR(E1551="",E1551="!!!"),"",IF(NOT(ISNA(VLOOKUP(E1551,E$1:E1550,1,FALSE()))),"OLD",IF(AND(E1551&lt;&gt;"",E1551&lt;&gt;"!!!"),"NEW","")))</f>
        <v> </v>
      </c>
      <c r="G1551" s="23" t="str">
        <f>IF(OR(E1551="",E1551="!!!"),"",IF(OR(J1551=0,AND(J1551=1,K1551=1),AND(J1551=1,I1551="SBJ"),AND(J1551=1,I1551=0)),"?IN_FOCUS",IF(J1551&lt;=2,"?ACTIVATED",IF(J1551&lt;&gt;"","?FAMILIAR",IF(F1551="NEW",IF(ISNA(VLOOKUP(E1551,#REF!,1,FALSE())),"?TYPE_IDENTIFIABLE","?REFERENTIAL"),"_")))))</f>
        <v> </v>
      </c>
      <c r="H1551" s="24" t="str">
        <f>IF(J1551&lt;&gt;1,"",IF(I1551="SBJ","CB","?"))</f>
        <v> </v>
      </c>
      <c r="I1551" s="25" t="str">
        <f>IF(OR(E1551="",E1551="!!!",F1551="NEW"),"",INDEX(B1550:B$2,-1+SUMPRODUCT(MAX(ROW(E1550:E$2)*(E1551=E1550:E$2)))))</f>
        <v> </v>
      </c>
      <c r="J1551" s="25" t="str">
        <f>IF(OR(E1551="",E1551="!!!",F1551="NEW"),"",COUNTBLANK(OFFSET(A$1,,,SUMPRODUCT(MAX(ROW(E$2:E1551)*(E1551=E$2:E1551)))))-COUNTBLANK(OFFSET(A$1,,,SUMPRODUCT(MAX(ROW(E$1:E1550)*(E2=E$1:E1550))))))</f>
        <v> </v>
      </c>
      <c r="K1551" s="25" t="str">
        <f>IF(OR(E1551="",E1551="!!!",F1551="NEW"),"",INDEX(J$1:J1550,SUMPRODUCT(MAX(ROW(E$1:E1550)*(E1551=E$1:E1550)))))</f>
        <v> </v>
      </c>
      <c r="L1551" s="26"/>
    </row>
    <row r="1552" spans="1:12">
      <c r="A1552" s="20" t="s">
        <v>641</v>
      </c>
      <c r="E1552" s="21">
        <f>IF(D1552="?OLD","!!!","")</f>
        <v/>
      </c>
      <c r="F1552" s="22" t="str">
        <f>IF(OR(E1552="",E1552="!!!"),"",IF(NOT(ISNA(VLOOKUP(E1552,E$1:E1551,1,FALSE()))),"OLD",IF(AND(E1552&lt;&gt;"",E1552&lt;&gt;"!!!"),"NEW","")))</f>
        <v> </v>
      </c>
      <c r="G1552" s="23" t="str">
        <f>IF(OR(E1552="",E1552="!!!"),"",IF(OR(J1552=0,AND(J1552=1,K1552=1),AND(J1552=1,I1552="SBJ"),AND(J1552=1,I1552=0)),"?IN_FOCUS",IF(J1552&lt;=2,"?ACTIVATED",IF(J1552&lt;&gt;"","?FAMILIAR",IF(F1552="NEW",IF(ISNA(VLOOKUP(E1552,#REF!,1,FALSE())),"?TYPE_IDENTIFIABLE","?REFERENTIAL"),"_")))))</f>
        <v> </v>
      </c>
      <c r="H1552" s="24" t="str">
        <f>IF(J1552&lt;&gt;1,"",IF(I1552="SBJ","CB","?"))</f>
        <v> </v>
      </c>
      <c r="I1552" s="25" t="str">
        <f>IF(OR(E1552="",E1552="!!!",F1552="NEW"),"",INDEX(B1551:B$2,-1+SUMPRODUCT(MAX(ROW(E1551:E$2)*(E1552=E1551:E$2)))))</f>
        <v> </v>
      </c>
      <c r="J1552" s="25" t="str">
        <f>IF(OR(E1552="",E1552="!!!",F1552="NEW"),"",COUNTBLANK(OFFSET(A$1,,,SUMPRODUCT(MAX(ROW(E$2:E1552)*(E1552=E$2:E1552)))))-COUNTBLANK(OFFSET(A$1,,,SUMPRODUCT(MAX(ROW(E$1:E1551)*(E2=E$1:E1551))))))</f>
        <v> </v>
      </c>
      <c r="K1552" s="25" t="str">
        <f>IF(OR(E1552="",E1552="!!!",F1552="NEW"),"",INDEX(J$1:J1551,SUMPRODUCT(MAX(ROW(E$1:E1551)*(E1552=E$1:E1551)))))</f>
        <v> </v>
      </c>
      <c r="L1552" s="26"/>
    </row>
    <row r="1553" spans="1:12">
      <c r="A1553" s="20" t="s">
        <v>630</v>
      </c>
      <c r="B1553" s="27" t="s">
        <v>606</v>
      </c>
      <c r="C1553" s="27" t="s">
        <v>631</v>
      </c>
      <c r="D1553" s="27" t="s">
        <v>608</v>
      </c>
      <c r="E1553" s="21">
        <f>IF(D1553="?OLD","!!!","")</f>
        <v/>
      </c>
      <c r="F1553" s="22" t="str">
        <f>IF(OR(E1553="",E1553="!!!"),"",IF(NOT(ISNA(VLOOKUP(E1553,E$1:E1552,1,FALSE()))),"OLD",IF(AND(E1553&lt;&gt;"",E1553&lt;&gt;"!!!"),"NEW","")))</f>
        <v> </v>
      </c>
      <c r="G1553" s="23" t="str">
        <f>IF(OR(E1553="",E1553="!!!"),"",IF(OR(J1553=0,AND(J1553=1,K1553=1),AND(J1553=1,I1553="SBJ"),AND(J1553=1,I1553=0)),"?IN_FOCUS",IF(J1553&lt;=2,"?ACTIVATED",IF(J1553&lt;&gt;"","?FAMILIAR",IF(F1553="NEW",IF(ISNA(VLOOKUP(E1553,#REF!,1,FALSE())),"?TYPE_IDENTIFIABLE","?REFERENTIAL"),"_")))))</f>
        <v> </v>
      </c>
      <c r="H1553" s="24" t="str">
        <f>IF(J1553&lt;&gt;1,"",IF(I1553="SBJ","CB","?"))</f>
        <v> </v>
      </c>
      <c r="I1553" s="25" t="str">
        <f>IF(OR(E1553="",E1553="!!!",F1553="NEW"),"",INDEX(B1552:B$2,-1+SUMPRODUCT(MAX(ROW(E1552:E$2)*(E1553=E1552:E$2)))))</f>
        <v> </v>
      </c>
      <c r="J1553" s="25" t="str">
        <f>IF(OR(E1553="",E1553="!!!",F1553="NEW"),"",COUNTBLANK(OFFSET(A$1,,,SUMPRODUCT(MAX(ROW(E$2:E1553)*(E1553=E$2:E1553)))))-COUNTBLANK(OFFSET(A$1,,,SUMPRODUCT(MAX(ROW(E$1:E1552)*(E2=E$1:E1552))))))</f>
        <v> </v>
      </c>
      <c r="K1553" s="25" t="str">
        <f>IF(OR(E1553="",E1553="!!!",F1553="NEW"),"",INDEX(J$1:J1552,SUMPRODUCT(MAX(ROW(E$1:E1552)*(E1553=E$1:E1552)))))</f>
        <v> </v>
      </c>
      <c r="L1553" s="26"/>
    </row>
    <row r="1554" spans="1:12">
      <c r="A1554" s="20" t="s">
        <v>300</v>
      </c>
      <c r="E1554" s="21">
        <f>IF(D1554="?OLD","!!!","")</f>
        <v/>
      </c>
      <c r="F1554" s="22" t="str">
        <f>IF(OR(E1554="",E1554="!!!"),"",IF(NOT(ISNA(VLOOKUP(E1554,E$1:E1553,1,FALSE()))),"OLD",IF(AND(E1554&lt;&gt;"",E1554&lt;&gt;"!!!"),"NEW","")))</f>
        <v> </v>
      </c>
      <c r="G1554" s="23" t="str">
        <f>IF(OR(E1554="",E1554="!!!"),"",IF(OR(J1554=0,AND(J1554=1,K1554=1),AND(J1554=1,I1554="SBJ"),AND(J1554=1,I1554=0)),"?IN_FOCUS",IF(J1554&lt;=2,"?ACTIVATED",IF(J1554&lt;&gt;"","?FAMILIAR",IF(F1554="NEW",IF(ISNA(VLOOKUP(E1554,#REF!,1,FALSE())),"?TYPE_IDENTIFIABLE","?REFERENTIAL"),"_")))))</f>
        <v> </v>
      </c>
      <c r="H1554" s="24" t="str">
        <f>IF(J1554&lt;&gt;1,"",IF(I1554="SBJ","CB","?"))</f>
        <v> </v>
      </c>
      <c r="I1554" s="25" t="str">
        <f>IF(OR(E1554="",E1554="!!!",F1554="NEW"),"",INDEX(B1553:B$2,-1+SUMPRODUCT(MAX(ROW(E1553:E$2)*(E1554=E1553:E$2)))))</f>
        <v> </v>
      </c>
      <c r="J1554" s="25" t="str">
        <f>IF(OR(E1554="",E1554="!!!",F1554="NEW"),"",COUNTBLANK(OFFSET(A$1,,,SUMPRODUCT(MAX(ROW(E$2:E1554)*(E1554=E$2:E1554)))))-COUNTBLANK(OFFSET(A$1,,,SUMPRODUCT(MAX(ROW(E$1:E1553)*(E2=E$1:E1553))))))</f>
        <v> </v>
      </c>
      <c r="K1554" s="25" t="str">
        <f>IF(OR(E1554="",E1554="!!!",F1554="NEW"),"",INDEX(J$1:J1553,SUMPRODUCT(MAX(ROW(E$1:E1553)*(E1554=E$1:E1553)))))</f>
        <v> </v>
      </c>
      <c r="L1554" s="26"/>
    </row>
    <row r="1555" spans="1:12">
      <c r="A1555" s="20" t="s">
        <v>755</v>
      </c>
      <c r="E1555" s="21">
        <f>IF(D1555="?OLD","!!!","")</f>
        <v/>
      </c>
      <c r="F1555" s="22" t="str">
        <f>IF(OR(E1555="",E1555="!!!"),"",IF(NOT(ISNA(VLOOKUP(E1555,E$1:E1554,1,FALSE()))),"OLD",IF(AND(E1555&lt;&gt;"",E1555&lt;&gt;"!!!"),"NEW","")))</f>
        <v> </v>
      </c>
      <c r="G1555" s="23" t="str">
        <f>IF(OR(E1555="",E1555="!!!"),"",IF(OR(J1555=0,AND(J1555=1,K1555=1),AND(J1555=1,I1555="SBJ"),AND(J1555=1,I1555=0)),"?IN_FOCUS",IF(J1555&lt;=2,"?ACTIVATED",IF(J1555&lt;&gt;"","?FAMILIAR",IF(F1555="NEW",IF(ISNA(VLOOKUP(E1555,#REF!,1,FALSE())),"?TYPE_IDENTIFIABLE","?REFERENTIAL"),"_")))))</f>
        <v> </v>
      </c>
      <c r="H1555" s="24" t="str">
        <f>IF(J1555&lt;&gt;1,"",IF(I1555="SBJ","CB","?"))</f>
        <v> </v>
      </c>
      <c r="I1555" s="25" t="str">
        <f>IF(OR(E1555="",E1555="!!!",F1555="NEW"),"",INDEX(B1554:B$2,-1+SUMPRODUCT(MAX(ROW(E1554:E$2)*(E1555=E1554:E$2)))))</f>
        <v> </v>
      </c>
      <c r="J1555" s="25" t="str">
        <f>IF(OR(E1555="",E1555="!!!",F1555="NEW"),"",COUNTBLANK(OFFSET(A$1,,,SUMPRODUCT(MAX(ROW(E$2:E1555)*(E1555=E$2:E1555)))))-COUNTBLANK(OFFSET(A$1,,,SUMPRODUCT(MAX(ROW(E$1:E1554)*(E2=E$1:E1554))))))</f>
        <v> </v>
      </c>
      <c r="K1555" s="25" t="str">
        <f>IF(OR(E1555="",E1555="!!!",F1555="NEW"),"",INDEX(J$1:J1554,SUMPRODUCT(MAX(ROW(E$1:E1554)*(E1555=E$1:E1554)))))</f>
        <v> </v>
      </c>
      <c r="L1555" s="26"/>
    </row>
    <row r="1556" spans="1:12">
      <c r="A1556" s="20" t="s">
        <v>617</v>
      </c>
      <c r="E1556" s="21">
        <f>IF(D1556="?OLD","!!!","")</f>
        <v/>
      </c>
      <c r="F1556" s="22" t="str">
        <f>IF(OR(E1556="",E1556="!!!"),"",IF(NOT(ISNA(VLOOKUP(E1556,E$1:E1555,1,FALSE()))),"OLD",IF(AND(E1556&lt;&gt;"",E1556&lt;&gt;"!!!"),"NEW","")))</f>
        <v> </v>
      </c>
      <c r="G1556" s="23" t="str">
        <f>IF(OR(E1556="",E1556="!!!"),"",IF(OR(J1556=0,AND(J1556=1,K1556=1),AND(J1556=1,I1556="SBJ"),AND(J1556=1,I1556=0)),"?IN_FOCUS",IF(J1556&lt;=2,"?ACTIVATED",IF(J1556&lt;&gt;"","?FAMILIAR",IF(F1556="NEW",IF(ISNA(VLOOKUP(E1556,#REF!,1,FALSE())),"?TYPE_IDENTIFIABLE","?REFERENTIAL"),"_")))))</f>
        <v> </v>
      </c>
      <c r="H1556" s="24" t="str">
        <f>IF(J1556&lt;&gt;1,"",IF(I1556="SBJ","CB","?"))</f>
        <v> </v>
      </c>
      <c r="I1556" s="25" t="str">
        <f>IF(OR(E1556="",E1556="!!!",F1556="NEW"),"",INDEX(B1555:B$2,-1+SUMPRODUCT(MAX(ROW(E1555:E$2)*(E1556=E1555:E$2)))))</f>
        <v> </v>
      </c>
      <c r="J1556" s="25" t="str">
        <f>IF(OR(E1556="",E1556="!!!",F1556="NEW"),"",COUNTBLANK(OFFSET(A$1,,,SUMPRODUCT(MAX(ROW(E$2:E1556)*(E1556=E$2:E1556)))))-COUNTBLANK(OFFSET(A$1,,,SUMPRODUCT(MAX(ROW(E$1:E1555)*(E2=E$1:E1555))))))</f>
        <v> </v>
      </c>
      <c r="K1556" s="25" t="str">
        <f>IF(OR(E1556="",E1556="!!!",F1556="NEW"),"",INDEX(J$1:J1555,SUMPRODUCT(MAX(ROW(E$1:E1555)*(E1556=E$1:E1555)))))</f>
        <v> </v>
      </c>
      <c r="L1556" s="26"/>
    </row>
    <row r="1557" spans="1:12">
      <c r="A1557" s="20" t="s">
        <v>1254</v>
      </c>
      <c r="E1557" s="21">
        <f>IF(D1557="?OLD","!!!","")</f>
        <v/>
      </c>
      <c r="F1557" s="22" t="str">
        <f>IF(OR(E1557="",E1557="!!!"),"",IF(NOT(ISNA(VLOOKUP(E1557,E$1:E1556,1,FALSE()))),"OLD",IF(AND(E1557&lt;&gt;"",E1557&lt;&gt;"!!!"),"NEW","")))</f>
        <v> </v>
      </c>
      <c r="G1557" s="23" t="str">
        <f>IF(OR(E1557="",E1557="!!!"),"",IF(OR(J1557=0,AND(J1557=1,K1557=1),AND(J1557=1,I1557="SBJ"),AND(J1557=1,I1557=0)),"?IN_FOCUS",IF(J1557&lt;=2,"?ACTIVATED",IF(J1557&lt;&gt;"","?FAMILIAR",IF(F1557="NEW",IF(ISNA(VLOOKUP(E1557,#REF!,1,FALSE())),"?TYPE_IDENTIFIABLE","?REFERENTIAL"),"_")))))</f>
        <v> </v>
      </c>
      <c r="H1557" s="24" t="str">
        <f>IF(J1557&lt;&gt;1,"",IF(I1557="SBJ","CB","?"))</f>
        <v> </v>
      </c>
      <c r="I1557" s="25" t="str">
        <f>IF(OR(E1557="",E1557="!!!",F1557="NEW"),"",INDEX(B1556:B$2,-1+SUMPRODUCT(MAX(ROW(E1556:E$2)*(E1557=E1556:E$2)))))</f>
        <v> </v>
      </c>
      <c r="J1557" s="25" t="str">
        <f>IF(OR(E1557="",E1557="!!!",F1557="NEW"),"",COUNTBLANK(OFFSET(A$1,,,SUMPRODUCT(MAX(ROW(E$2:E1557)*(E1557=E$2:E1557)))))-COUNTBLANK(OFFSET(A$1,,,SUMPRODUCT(MAX(ROW(E$1:E1556)*(E2=E$1:E1556))))))</f>
        <v> </v>
      </c>
      <c r="K1557" s="25" t="str">
        <f>IF(OR(E1557="",E1557="!!!",F1557="NEW"),"",INDEX(J$1:J1556,SUMPRODUCT(MAX(ROW(E$1:E1556)*(E1557=E$1:E1556)))))</f>
        <v> </v>
      </c>
      <c r="L1557" s="26"/>
    </row>
    <row r="1558" spans="1:12">
      <c r="A1558" s="20" t="s">
        <v>856</v>
      </c>
      <c r="B1558" s="27" t="s">
        <v>619</v>
      </c>
      <c r="C1558" s="27" t="s">
        <v>637</v>
      </c>
      <c r="D1558" s="27" t="s">
        <v>608</v>
      </c>
      <c r="E1558" s="21">
        <f>IF(D1558="?OLD","!!!","")</f>
        <v/>
      </c>
      <c r="F1558" s="22" t="str">
        <f>IF(OR(E1558="",E1558="!!!"),"",IF(NOT(ISNA(VLOOKUP(E1558,E$1:E1557,1,FALSE()))),"OLD",IF(AND(E1558&lt;&gt;"",E1558&lt;&gt;"!!!"),"NEW","")))</f>
        <v> </v>
      </c>
      <c r="G1558" s="23" t="str">
        <f>IF(OR(E1558="",E1558="!!!"),"",IF(OR(J1558=0,AND(J1558=1,K1558=1),AND(J1558=1,I1558="SBJ"),AND(J1558=1,I1558=0)),"?IN_FOCUS",IF(J1558&lt;=2,"?ACTIVATED",IF(J1558&lt;&gt;"","?FAMILIAR",IF(F1558="NEW",IF(ISNA(VLOOKUP(E1558,#REF!,1,FALSE())),"?TYPE_IDENTIFIABLE","?REFERENTIAL"),"_")))))</f>
        <v> </v>
      </c>
      <c r="H1558" s="24" t="str">
        <f>IF(J1558&lt;&gt;1,"",IF(I1558="SBJ","CB","?"))</f>
        <v> </v>
      </c>
      <c r="I1558" s="25" t="str">
        <f>IF(OR(E1558="",E1558="!!!",F1558="NEW"),"",INDEX(B1557:B$2,-1+SUMPRODUCT(MAX(ROW(E1557:E$2)*(E1558=E1557:E$2)))))</f>
        <v> </v>
      </c>
      <c r="J1558" s="25" t="str">
        <f>IF(OR(E1558="",E1558="!!!",F1558="NEW"),"",COUNTBLANK(OFFSET(A$1,,,SUMPRODUCT(MAX(ROW(E$2:E1558)*(E1558=E$2:E1558)))))-COUNTBLANK(OFFSET(A$1,,,SUMPRODUCT(MAX(ROW(E$1:E1557)*(E2=E$1:E1557))))))</f>
        <v> </v>
      </c>
      <c r="K1558" s="25" t="str">
        <f>IF(OR(E1558="",E1558="!!!",F1558="NEW"),"",INDEX(J$1:J1557,SUMPRODUCT(MAX(ROW(E$1:E1557)*(E1558=E$1:E1557)))))</f>
        <v> </v>
      </c>
      <c r="L1558" s="26"/>
    </row>
    <row r="1559" spans="1:12">
      <c r="A1559" s="20" t="s">
        <v>690</v>
      </c>
      <c r="E1559" s="21">
        <f>IF(D1559="?OLD","!!!","")</f>
        <v/>
      </c>
      <c r="F1559" s="22" t="str">
        <f>IF(OR(E1559="",E1559="!!!"),"",IF(NOT(ISNA(VLOOKUP(E1559,E$1:E1558,1,FALSE()))),"OLD",IF(AND(E1559&lt;&gt;"",E1559&lt;&gt;"!!!"),"NEW","")))</f>
        <v> </v>
      </c>
      <c r="G1559" s="23" t="str">
        <f>IF(OR(E1559="",E1559="!!!"),"",IF(OR(J1559=0,AND(J1559=1,K1559=1),AND(J1559=1,I1559="SBJ"),AND(J1559=1,I1559=0)),"?IN_FOCUS",IF(J1559&lt;=2,"?ACTIVATED",IF(J1559&lt;&gt;"","?FAMILIAR",IF(F1559="NEW",IF(ISNA(VLOOKUP(E1559,#REF!,1,FALSE())),"?TYPE_IDENTIFIABLE","?REFERENTIAL"),"_")))))</f>
        <v> </v>
      </c>
      <c r="H1559" s="24" t="str">
        <f>IF(J1559&lt;&gt;1,"",IF(I1559="SBJ","CB","?"))</f>
        <v> </v>
      </c>
      <c r="I1559" s="25" t="str">
        <f>IF(OR(E1559="",E1559="!!!",F1559="NEW"),"",INDEX(B1558:B$2,-1+SUMPRODUCT(MAX(ROW(E1558:E$2)*(E1559=E1558:E$2)))))</f>
        <v> </v>
      </c>
      <c r="J1559" s="25" t="str">
        <f>IF(OR(E1559="",E1559="!!!",F1559="NEW"),"",COUNTBLANK(OFFSET(A$1,,,SUMPRODUCT(MAX(ROW(E$2:E1559)*(E1559=E$2:E1559)))))-COUNTBLANK(OFFSET(A$1,,,SUMPRODUCT(MAX(ROW(E$1:E1558)*(E2=E$1:E1558))))))</f>
        <v> </v>
      </c>
      <c r="K1559" s="25" t="str">
        <f>IF(OR(E1559="",E1559="!!!",F1559="NEW"),"",INDEX(J$1:J1558,SUMPRODUCT(MAX(ROW(E$1:E1558)*(E1559=E$1:E1558)))))</f>
        <v> </v>
      </c>
      <c r="L1559" s="26"/>
    </row>
    <row r="1560" spans="1:12">
      <c r="A1560" s="20" t="s">
        <v>1255</v>
      </c>
      <c r="B1560" s="27" t="s">
        <v>657</v>
      </c>
      <c r="C1560" s="27" t="s">
        <v>607</v>
      </c>
      <c r="D1560" s="27" t="s">
        <v>608</v>
      </c>
      <c r="E1560" s="21">
        <f>IF(D1560="?OLD","!!!","")</f>
        <v/>
      </c>
      <c r="F1560" s="22" t="str">
        <f>IF(OR(E1560="",E1560="!!!"),"",IF(NOT(ISNA(VLOOKUP(E1560,E$1:E1559,1,FALSE()))),"OLD",IF(AND(E1560&lt;&gt;"",E1560&lt;&gt;"!!!"),"NEW","")))</f>
        <v> </v>
      </c>
      <c r="G1560" s="23" t="str">
        <f>IF(OR(E1560="",E1560="!!!"),"",IF(OR(J1560=0,AND(J1560=1,K1560=1),AND(J1560=1,I1560="SBJ"),AND(J1560=1,I1560=0)),"?IN_FOCUS",IF(J1560&lt;=2,"?ACTIVATED",IF(J1560&lt;&gt;"","?FAMILIAR",IF(F1560="NEW",IF(ISNA(VLOOKUP(E1560,#REF!,1,FALSE())),"?TYPE_IDENTIFIABLE","?REFERENTIAL"),"_")))))</f>
        <v> </v>
      </c>
      <c r="H1560" s="24" t="str">
        <f>IF(J1560&lt;&gt;1,"",IF(I1560="SBJ","CB","?"))</f>
        <v> </v>
      </c>
      <c r="I1560" s="25" t="str">
        <f>IF(OR(E1560="",E1560="!!!",F1560="NEW"),"",INDEX(B1559:B$2,-1+SUMPRODUCT(MAX(ROW(E1559:E$2)*(E1560=E1559:E$2)))))</f>
        <v> </v>
      </c>
      <c r="J1560" s="25" t="str">
        <f>IF(OR(E1560="",E1560="!!!",F1560="NEW"),"",COUNTBLANK(OFFSET(A$1,,,SUMPRODUCT(MAX(ROW(E$2:E1560)*(E1560=E$2:E1560)))))-COUNTBLANK(OFFSET(A$1,,,SUMPRODUCT(MAX(ROW(E$1:E1559)*(E2=E$1:E1559))))))</f>
        <v> </v>
      </c>
      <c r="K1560" s="25" t="str">
        <f>IF(OR(E1560="",E1560="!!!",F1560="NEW"),"",INDEX(J$1:J1559,SUMPRODUCT(MAX(ROW(E$1:E1559)*(E1560=E$1:E1559)))))</f>
        <v> </v>
      </c>
      <c r="L1560" s="26"/>
    </row>
    <row r="1561" spans="1:12">
      <c r="A1561" s="20" t="s">
        <v>641</v>
      </c>
      <c r="E1561" s="21">
        <f>IF(D1561="?OLD","!!!","")</f>
        <v/>
      </c>
      <c r="F1561" s="22" t="str">
        <f>IF(OR(E1561="",E1561="!!!"),"",IF(NOT(ISNA(VLOOKUP(E1561,E$1:E1560,1,FALSE()))),"OLD",IF(AND(E1561&lt;&gt;"",E1561&lt;&gt;"!!!"),"NEW","")))</f>
        <v> </v>
      </c>
      <c r="G1561" s="23" t="str">
        <f>IF(OR(E1561="",E1561="!!!"),"",IF(OR(J1561=0,AND(J1561=1,K1561=1),AND(J1561=1,I1561="SBJ"),AND(J1561=1,I1561=0)),"?IN_FOCUS",IF(J1561&lt;=2,"?ACTIVATED",IF(J1561&lt;&gt;"","?FAMILIAR",IF(F1561="NEW",IF(ISNA(VLOOKUP(E1561,#REF!,1,FALSE())),"?TYPE_IDENTIFIABLE","?REFERENTIAL"),"_")))))</f>
        <v> </v>
      </c>
      <c r="H1561" s="24" t="str">
        <f>IF(J1561&lt;&gt;1,"",IF(I1561="SBJ","CB","?"))</f>
        <v> </v>
      </c>
      <c r="I1561" s="25" t="str">
        <f>IF(OR(E1561="",E1561="!!!",F1561="NEW"),"",INDEX(B1560:B$2,-1+SUMPRODUCT(MAX(ROW(E1560:E$2)*(E1561=E1560:E$2)))))</f>
        <v> </v>
      </c>
      <c r="J1561" s="25" t="str">
        <f>IF(OR(E1561="",E1561="!!!",F1561="NEW"),"",COUNTBLANK(OFFSET(A$1,,,SUMPRODUCT(MAX(ROW(E$2:E1561)*(E1561=E$2:E1561)))))-COUNTBLANK(OFFSET(A$1,,,SUMPRODUCT(MAX(ROW(E$1:E1560)*(E2=E$1:E1560))))))</f>
        <v> </v>
      </c>
      <c r="K1561" s="25" t="str">
        <f>IF(OR(E1561="",E1561="!!!",F1561="NEW"),"",INDEX(J$1:J1560,SUMPRODUCT(MAX(ROW(E$1:E1560)*(E1561=E$1:E1560)))))</f>
        <v> </v>
      </c>
      <c r="L1561" s="26"/>
    </row>
    <row r="1562" spans="1:12">
      <c r="A1562" s="20" t="s">
        <v>902</v>
      </c>
      <c r="E1562" s="21">
        <f>IF(D1562="?OLD","!!!","")</f>
        <v/>
      </c>
      <c r="F1562" s="22" t="str">
        <f>IF(OR(E1562="",E1562="!!!"),"",IF(NOT(ISNA(VLOOKUP(E1562,E$1:E1561,1,FALSE()))),"OLD",IF(AND(E1562&lt;&gt;"",E1562&lt;&gt;"!!!"),"NEW","")))</f>
        <v> </v>
      </c>
      <c r="G1562" s="23" t="str">
        <f>IF(OR(E1562="",E1562="!!!"),"",IF(OR(J1562=0,AND(J1562=1,K1562=1),AND(J1562=1,I1562="SBJ"),AND(J1562=1,I1562=0)),"?IN_FOCUS",IF(J1562&lt;=2,"?ACTIVATED",IF(J1562&lt;&gt;"","?FAMILIAR",IF(F1562="NEW",IF(ISNA(VLOOKUP(E1562,#REF!,1,FALSE())),"?TYPE_IDENTIFIABLE","?REFERENTIAL"),"_")))))</f>
        <v> </v>
      </c>
      <c r="H1562" s="24" t="str">
        <f>IF(J1562&lt;&gt;1,"",IF(I1562="SBJ","CB","?"))</f>
        <v> </v>
      </c>
      <c r="I1562" s="25" t="str">
        <f>IF(OR(E1562="",E1562="!!!",F1562="NEW"),"",INDEX(B1561:B$2,-1+SUMPRODUCT(MAX(ROW(E1561:E$2)*(E1562=E1561:E$2)))))</f>
        <v> </v>
      </c>
      <c r="J1562" s="25" t="str">
        <f>IF(OR(E1562="",E1562="!!!",F1562="NEW"),"",COUNTBLANK(OFFSET(A$1,,,SUMPRODUCT(MAX(ROW(E$2:E1562)*(E1562=E$2:E1562)))))-COUNTBLANK(OFFSET(A$1,,,SUMPRODUCT(MAX(ROW(E$1:E1561)*(E2=E$1:E1561))))))</f>
        <v> </v>
      </c>
      <c r="K1562" s="25" t="str">
        <f>IF(OR(E1562="",E1562="!!!",F1562="NEW"),"",INDEX(J$1:J1561,SUMPRODUCT(MAX(ROW(E$1:E1561)*(E1562=E$1:E1561)))))</f>
        <v> </v>
      </c>
      <c r="L1562" s="26"/>
    </row>
    <row r="1563" spans="1:12">
      <c r="A1563" s="20" t="s">
        <v>1256</v>
      </c>
      <c r="E1563" s="21">
        <f>IF(D1563="?OLD","!!!","")</f>
        <v/>
      </c>
      <c r="F1563" s="22" t="str">
        <f>IF(OR(E1563="",E1563="!!!"),"",IF(NOT(ISNA(VLOOKUP(E1563,E$1:E1562,1,FALSE()))),"OLD",IF(AND(E1563&lt;&gt;"",E1563&lt;&gt;"!!!"),"NEW","")))</f>
        <v> </v>
      </c>
      <c r="G1563" s="23" t="str">
        <f>IF(OR(E1563="",E1563="!!!"),"",IF(OR(J1563=0,AND(J1563=1,K1563=1),AND(J1563=1,I1563="SBJ"),AND(J1563=1,I1563=0)),"?IN_FOCUS",IF(J1563&lt;=2,"?ACTIVATED",IF(J1563&lt;&gt;"","?FAMILIAR",IF(F1563="NEW",IF(ISNA(VLOOKUP(E1563,#REF!,1,FALSE())),"?TYPE_IDENTIFIABLE","?REFERENTIAL"),"_")))))</f>
        <v> </v>
      </c>
      <c r="H1563" s="24" t="str">
        <f>IF(J1563&lt;&gt;1,"",IF(I1563="SBJ","CB","?"))</f>
        <v> </v>
      </c>
      <c r="I1563" s="25" t="str">
        <f>IF(OR(E1563="",E1563="!!!",F1563="NEW"),"",INDEX(B1562:B$2,-1+SUMPRODUCT(MAX(ROW(E1562:E$2)*(E1563=E1562:E$2)))))</f>
        <v> </v>
      </c>
      <c r="J1563" s="25" t="str">
        <f>IF(OR(E1563="",E1563="!!!",F1563="NEW"),"",COUNTBLANK(OFFSET(A$1,,,SUMPRODUCT(MAX(ROW(E$2:E1563)*(E1563=E$2:E1563)))))-COUNTBLANK(OFFSET(A$1,,,SUMPRODUCT(MAX(ROW(E$1:E1562)*(E2=E$1:E1562))))))</f>
        <v> </v>
      </c>
      <c r="K1563" s="25" t="str">
        <f>IF(OR(E1563="",E1563="!!!",F1563="NEW"),"",INDEX(J$1:J1562,SUMPRODUCT(MAX(ROW(E$1:E1562)*(E1563=E$1:E1562)))))</f>
        <v> </v>
      </c>
      <c r="L1563" s="26"/>
    </row>
    <row r="1564" spans="1:12">
      <c r="A1564" s="20" t="s">
        <v>629</v>
      </c>
      <c r="E1564" s="21">
        <f>IF(D1564="?OLD","!!!","")</f>
        <v/>
      </c>
      <c r="F1564" s="22" t="str">
        <f>IF(OR(E1564="",E1564="!!!"),"",IF(NOT(ISNA(VLOOKUP(E1564,E$1:E1563,1,FALSE()))),"OLD",IF(AND(E1564&lt;&gt;"",E1564&lt;&gt;"!!!"),"NEW","")))</f>
        <v> </v>
      </c>
      <c r="G1564" s="23" t="str">
        <f>IF(OR(E1564="",E1564="!!!"),"",IF(OR(J1564=0,AND(J1564=1,K1564=1),AND(J1564=1,I1564="SBJ"),AND(J1564=1,I1564=0)),"?IN_FOCUS",IF(J1564&lt;=2,"?ACTIVATED",IF(J1564&lt;&gt;"","?FAMILIAR",IF(F1564="NEW",IF(ISNA(VLOOKUP(E1564,#REF!,1,FALSE())),"?TYPE_IDENTIFIABLE","?REFERENTIAL"),"_")))))</f>
        <v> </v>
      </c>
      <c r="H1564" s="24" t="str">
        <f>IF(J1564&lt;&gt;1,"",IF(I1564="SBJ","CB","?"))</f>
        <v> </v>
      </c>
      <c r="I1564" s="25" t="str">
        <f>IF(OR(E1564="",E1564="!!!",F1564="NEW"),"",INDEX(B1563:B$2,-1+SUMPRODUCT(MAX(ROW(E1563:E$2)*(E1564=E1563:E$2)))))</f>
        <v> </v>
      </c>
      <c r="J1564" s="25" t="str">
        <f>IF(OR(E1564="",E1564="!!!",F1564="NEW"),"",COUNTBLANK(OFFSET(A$1,,,SUMPRODUCT(MAX(ROW(E$2:E1564)*(E1564=E$2:E1564)))))-COUNTBLANK(OFFSET(A$1,,,SUMPRODUCT(MAX(ROW(E$1:E1563)*(E2=E$1:E1563))))))</f>
        <v> </v>
      </c>
      <c r="K1564" s="25" t="str">
        <f>IF(OR(E1564="",E1564="!!!",F1564="NEW"),"",INDEX(J$1:J1563,SUMPRODUCT(MAX(ROW(E$1:E1563)*(E1564=E$1:E1563)))))</f>
        <v> </v>
      </c>
      <c r="L1564" s="26"/>
    </row>
    <row r="1565" spans="1:12">
      <c r="A1565" s="20" t="s">
        <v>617</v>
      </c>
      <c r="E1565" s="21">
        <f>IF(D1565="?OLD","!!!","")</f>
        <v/>
      </c>
      <c r="F1565" s="22" t="str">
        <f>IF(OR(E1565="",E1565="!!!"),"",IF(NOT(ISNA(VLOOKUP(E1565,E$1:E1564,1,FALSE()))),"OLD",IF(AND(E1565&lt;&gt;"",E1565&lt;&gt;"!!!"),"NEW","")))</f>
        <v> </v>
      </c>
      <c r="G1565" s="23" t="str">
        <f>IF(OR(E1565="",E1565="!!!"),"",IF(OR(J1565=0,AND(J1565=1,K1565=1),AND(J1565=1,I1565="SBJ"),AND(J1565=1,I1565=0)),"?IN_FOCUS",IF(J1565&lt;=2,"?ACTIVATED",IF(J1565&lt;&gt;"","?FAMILIAR",IF(F1565="NEW",IF(ISNA(VLOOKUP(E1565,#REF!,1,FALSE())),"?TYPE_IDENTIFIABLE","?REFERENTIAL"),"_")))))</f>
        <v> </v>
      </c>
      <c r="H1565" s="24" t="str">
        <f>IF(J1565&lt;&gt;1,"",IF(I1565="SBJ","CB","?"))</f>
        <v> </v>
      </c>
      <c r="I1565" s="25" t="str">
        <f>IF(OR(E1565="",E1565="!!!",F1565="NEW"),"",INDEX(B1564:B$2,-1+SUMPRODUCT(MAX(ROW(E1564:E$2)*(E1565=E1564:E$2)))))</f>
        <v> </v>
      </c>
      <c r="J1565" s="25" t="str">
        <f>IF(OR(E1565="",E1565="!!!",F1565="NEW"),"",COUNTBLANK(OFFSET(A$1,,,SUMPRODUCT(MAX(ROW(E$2:E1565)*(E1565=E$2:E1565)))))-COUNTBLANK(OFFSET(A$1,,,SUMPRODUCT(MAX(ROW(E$1:E1564)*(E2=E$1:E1564))))))</f>
        <v> </v>
      </c>
      <c r="K1565" s="25" t="str">
        <f>IF(OR(E1565="",E1565="!!!",F1565="NEW"),"",INDEX(J$1:J1564,SUMPRODUCT(MAX(ROW(E$1:E1564)*(E1565=E$1:E1564)))))</f>
        <v> </v>
      </c>
      <c r="L1565" s="26"/>
    </row>
    <row r="1566" spans="1:12">
      <c r="A1566" s="20" t="s">
        <v>970</v>
      </c>
      <c r="E1566" s="21">
        <f>IF(D1566="?OLD","!!!","")</f>
        <v/>
      </c>
      <c r="F1566" s="22" t="str">
        <f>IF(OR(E1566="",E1566="!!!"),"",IF(NOT(ISNA(VLOOKUP(E1566,E$1:E1565,1,FALSE()))),"OLD",IF(AND(E1566&lt;&gt;"",E1566&lt;&gt;"!!!"),"NEW","")))</f>
        <v> </v>
      </c>
      <c r="G1566" s="23" t="str">
        <f>IF(OR(E1566="",E1566="!!!"),"",IF(OR(J1566=0,AND(J1566=1,K1566=1),AND(J1566=1,I1566="SBJ"),AND(J1566=1,I1566=0)),"?IN_FOCUS",IF(J1566&lt;=2,"?ACTIVATED",IF(J1566&lt;&gt;"","?FAMILIAR",IF(F1566="NEW",IF(ISNA(VLOOKUP(E1566,#REF!,1,FALSE())),"?TYPE_IDENTIFIABLE","?REFERENTIAL"),"_")))))</f>
        <v> </v>
      </c>
      <c r="H1566" s="24" t="str">
        <f>IF(J1566&lt;&gt;1,"",IF(I1566="SBJ","CB","?"))</f>
        <v> </v>
      </c>
      <c r="I1566" s="25" t="str">
        <f>IF(OR(E1566="",E1566="!!!",F1566="NEW"),"",INDEX(B1565:B$2,-1+SUMPRODUCT(MAX(ROW(E1565:E$2)*(E1566=E1565:E$2)))))</f>
        <v> </v>
      </c>
      <c r="J1566" s="25" t="str">
        <f>IF(OR(E1566="",E1566="!!!",F1566="NEW"),"",COUNTBLANK(OFFSET(A$1,,,SUMPRODUCT(MAX(ROW(E$2:E1566)*(E1566=E$2:E1566)))))-COUNTBLANK(OFFSET(A$1,,,SUMPRODUCT(MAX(ROW(E$1:E1565)*(E2=E$1:E1565))))))</f>
        <v> </v>
      </c>
      <c r="K1566" s="25" t="str">
        <f>IF(OR(E1566="",E1566="!!!",F1566="NEW"),"",INDEX(J$1:J1565,SUMPRODUCT(MAX(ROW(E$1:E1565)*(E1566=E$1:E1565)))))</f>
        <v> </v>
      </c>
      <c r="L1566" s="26"/>
    </row>
    <row r="1567" spans="1:12">
      <c r="A1567" s="20" t="s">
        <v>1109</v>
      </c>
      <c r="E1567" s="21">
        <f>IF(D1567="?OLD","!!!","")</f>
        <v/>
      </c>
      <c r="F1567" s="22" t="str">
        <f>IF(OR(E1567="",E1567="!!!"),"",IF(NOT(ISNA(VLOOKUP(E1567,E$1:E1566,1,FALSE()))),"OLD",IF(AND(E1567&lt;&gt;"",E1567&lt;&gt;"!!!"),"NEW","")))</f>
        <v> </v>
      </c>
      <c r="G1567" s="23" t="str">
        <f>IF(OR(E1567="",E1567="!!!"),"",IF(OR(J1567=0,AND(J1567=1,K1567=1),AND(J1567=1,I1567="SBJ"),AND(J1567=1,I1567=0)),"?IN_FOCUS",IF(J1567&lt;=2,"?ACTIVATED",IF(J1567&lt;&gt;"","?FAMILIAR",IF(F1567="NEW",IF(ISNA(VLOOKUP(E1567,#REF!,1,FALSE())),"?TYPE_IDENTIFIABLE","?REFERENTIAL"),"_")))))</f>
        <v> </v>
      </c>
      <c r="H1567" s="24" t="str">
        <f>IF(J1567&lt;&gt;1,"",IF(I1567="SBJ","CB","?"))</f>
        <v> </v>
      </c>
      <c r="I1567" s="25" t="str">
        <f>IF(OR(E1567="",E1567="!!!",F1567="NEW"),"",INDEX(B1566:B$2,-1+SUMPRODUCT(MAX(ROW(E1566:E$2)*(E1567=E1566:E$2)))))</f>
        <v> </v>
      </c>
      <c r="J1567" s="25" t="str">
        <f>IF(OR(E1567="",E1567="!!!",F1567="NEW"),"",COUNTBLANK(OFFSET(A$1,,,SUMPRODUCT(MAX(ROW(E$2:E1567)*(E1567=E$2:E1567)))))-COUNTBLANK(OFFSET(A$1,,,SUMPRODUCT(MAX(ROW(E$1:E1566)*(E2=E$1:E1566))))))</f>
        <v> </v>
      </c>
      <c r="K1567" s="25" t="str">
        <f>IF(OR(E1567="",E1567="!!!",F1567="NEW"),"",INDEX(J$1:J1566,SUMPRODUCT(MAX(ROW(E$1:E1566)*(E1567=E$1:E1566)))))</f>
        <v> </v>
      </c>
      <c r="L1567" s="26"/>
    </row>
    <row r="1568" spans="1:12">
      <c r="A1568" s="20" t="s">
        <v>856</v>
      </c>
      <c r="B1568" s="27" t="s">
        <v>668</v>
      </c>
      <c r="C1568" s="27" t="s">
        <v>637</v>
      </c>
      <c r="D1568" s="27" t="s">
        <v>608</v>
      </c>
      <c r="E1568" s="21">
        <f>IF(D1568="?OLD","!!!","")</f>
        <v/>
      </c>
      <c r="F1568" s="22" t="str">
        <f>IF(OR(E1568="",E1568="!!!"),"",IF(NOT(ISNA(VLOOKUP(E1568,E$1:E1567,1,FALSE()))),"OLD",IF(AND(E1568&lt;&gt;"",E1568&lt;&gt;"!!!"),"NEW","")))</f>
        <v> </v>
      </c>
      <c r="G1568" s="23" t="str">
        <f>IF(OR(E1568="",E1568="!!!"),"",IF(OR(J1568=0,AND(J1568=1,K1568=1),AND(J1568=1,I1568="SBJ"),AND(J1568=1,I1568=0)),"?IN_FOCUS",IF(J1568&lt;=2,"?ACTIVATED",IF(J1568&lt;&gt;"","?FAMILIAR",IF(F1568="NEW",IF(ISNA(VLOOKUP(E1568,#REF!,1,FALSE())),"?TYPE_IDENTIFIABLE","?REFERENTIAL"),"_")))))</f>
        <v> </v>
      </c>
      <c r="H1568" s="24" t="str">
        <f>IF(J1568&lt;&gt;1,"",IF(I1568="SBJ","CB","?"))</f>
        <v> </v>
      </c>
      <c r="I1568" s="25" t="str">
        <f>IF(OR(E1568="",E1568="!!!",F1568="NEW"),"",INDEX(B1567:B$2,-1+SUMPRODUCT(MAX(ROW(E1567:E$2)*(E1568=E1567:E$2)))))</f>
        <v> </v>
      </c>
      <c r="J1568" s="25" t="str">
        <f>IF(OR(E1568="",E1568="!!!",F1568="NEW"),"",COUNTBLANK(OFFSET(A$1,,,SUMPRODUCT(MAX(ROW(E$2:E1568)*(E1568=E$2:E1568)))))-COUNTBLANK(OFFSET(A$1,,,SUMPRODUCT(MAX(ROW(E$1:E1567)*(E2=E$1:E1567))))))</f>
        <v> </v>
      </c>
      <c r="K1568" s="25" t="str">
        <f>IF(OR(E1568="",E1568="!!!",F1568="NEW"),"",INDEX(J$1:J1567,SUMPRODUCT(MAX(ROW(E$1:E1567)*(E1568=E$1:E1567)))))</f>
        <v> </v>
      </c>
      <c r="L1568" s="26"/>
    </row>
    <row r="1569" spans="1:12">
      <c r="A1569" s="20" t="s">
        <v>924</v>
      </c>
      <c r="E1569" s="21">
        <f>IF(D1569="?OLD","!!!","")</f>
        <v/>
      </c>
      <c r="F1569" s="22" t="str">
        <f>IF(OR(E1569="",E1569="!!!"),"",IF(NOT(ISNA(VLOOKUP(E1569,E$1:E1568,1,FALSE()))),"OLD",IF(AND(E1569&lt;&gt;"",E1569&lt;&gt;"!!!"),"NEW","")))</f>
        <v> </v>
      </c>
      <c r="G1569" s="23" t="str">
        <f>IF(OR(E1569="",E1569="!!!"),"",IF(OR(J1569=0,AND(J1569=1,K1569=1),AND(J1569=1,I1569="SBJ"),AND(J1569=1,I1569=0)),"?IN_FOCUS",IF(J1569&lt;=2,"?ACTIVATED",IF(J1569&lt;&gt;"","?FAMILIAR",IF(F1569="NEW",IF(ISNA(VLOOKUP(E1569,#REF!,1,FALSE())),"?TYPE_IDENTIFIABLE","?REFERENTIAL"),"_")))))</f>
        <v> </v>
      </c>
      <c r="H1569" s="24" t="str">
        <f>IF(J1569&lt;&gt;1,"",IF(I1569="SBJ","CB","?"))</f>
        <v> </v>
      </c>
      <c r="I1569" s="25" t="str">
        <f>IF(OR(E1569="",E1569="!!!",F1569="NEW"),"",INDEX(B1568:B$2,-1+SUMPRODUCT(MAX(ROW(E1568:E$2)*(E1569=E1568:E$2)))))</f>
        <v> </v>
      </c>
      <c r="J1569" s="25" t="str">
        <f>IF(OR(E1569="",E1569="!!!",F1569="NEW"),"",COUNTBLANK(OFFSET(A$1,,,SUMPRODUCT(MAX(ROW(E$2:E1569)*(E1569=E$2:E1569)))))-COUNTBLANK(OFFSET(A$1,,,SUMPRODUCT(MAX(ROW(E$1:E1568)*(E2=E$1:E1568))))))</f>
        <v> </v>
      </c>
      <c r="K1569" s="25" t="str">
        <f>IF(OR(E1569="",E1569="!!!",F1569="NEW"),"",INDEX(J$1:J1568,SUMPRODUCT(MAX(ROW(E$1:E1568)*(E1569=E$1:E1568)))))</f>
        <v> </v>
      </c>
      <c r="L1569" s="26"/>
    </row>
    <row r="1570" spans="1:12">
      <c r="A1570" s="20" t="s">
        <v>617</v>
      </c>
      <c r="E1570" s="21">
        <f>IF(D1570="?OLD","!!!","")</f>
        <v/>
      </c>
      <c r="F1570" s="22" t="str">
        <f>IF(OR(E1570="",E1570="!!!"),"",IF(NOT(ISNA(VLOOKUP(E1570,E$1:E1569,1,FALSE()))),"OLD",IF(AND(E1570&lt;&gt;"",E1570&lt;&gt;"!!!"),"NEW","")))</f>
        <v> </v>
      </c>
      <c r="G1570" s="23" t="str">
        <f>IF(OR(E1570="",E1570="!!!"),"",IF(OR(J1570=0,AND(J1570=1,K1570=1),AND(J1570=1,I1570="SBJ"),AND(J1570=1,I1570=0)),"?IN_FOCUS",IF(J1570&lt;=2,"?ACTIVATED",IF(J1570&lt;&gt;"","?FAMILIAR",IF(F1570="NEW",IF(ISNA(VLOOKUP(E1570,#REF!,1,FALSE())),"?TYPE_IDENTIFIABLE","?REFERENTIAL"),"_")))))</f>
        <v> </v>
      </c>
      <c r="H1570" s="24" t="str">
        <f>IF(J1570&lt;&gt;1,"",IF(I1570="SBJ","CB","?"))</f>
        <v> </v>
      </c>
      <c r="I1570" s="25" t="str">
        <f>IF(OR(E1570="",E1570="!!!",F1570="NEW"),"",INDEX(B1569:B$2,-1+SUMPRODUCT(MAX(ROW(E1569:E$2)*(E1570=E1569:E$2)))))</f>
        <v> </v>
      </c>
      <c r="J1570" s="25" t="str">
        <f>IF(OR(E1570="",E1570="!!!",F1570="NEW"),"",COUNTBLANK(OFFSET(A$1,,,SUMPRODUCT(MAX(ROW(E$2:E1570)*(E1570=E$2:E1570)))))-COUNTBLANK(OFFSET(A$1,,,SUMPRODUCT(MAX(ROW(E$1:E1569)*(E2=E$1:E1569))))))</f>
        <v> </v>
      </c>
      <c r="K1570" s="25" t="str">
        <f>IF(OR(E1570="",E1570="!!!",F1570="NEW"),"",INDEX(J$1:J1569,SUMPRODUCT(MAX(ROW(E$1:E1569)*(E1570=E$1:E1569)))))</f>
        <v> </v>
      </c>
      <c r="L1570" s="26"/>
    </row>
    <row r="1571" spans="1:12">
      <c r="A1571" s="20" t="s">
        <v>638</v>
      </c>
      <c r="E1571" s="21">
        <f>IF(D1571="?OLD","!!!","")</f>
        <v/>
      </c>
      <c r="F1571" s="22" t="str">
        <f>IF(OR(E1571="",E1571="!!!"),"",IF(NOT(ISNA(VLOOKUP(E1571,E$1:E1570,1,FALSE()))),"OLD",IF(AND(E1571&lt;&gt;"",E1571&lt;&gt;"!!!"),"NEW","")))</f>
        <v> </v>
      </c>
      <c r="G1571" s="23" t="str">
        <f>IF(OR(E1571="",E1571="!!!"),"",IF(OR(J1571=0,AND(J1571=1,K1571=1),AND(J1571=1,I1571="SBJ"),AND(J1571=1,I1571=0)),"?IN_FOCUS",IF(J1571&lt;=2,"?ACTIVATED",IF(J1571&lt;&gt;"","?FAMILIAR",IF(F1571="NEW",IF(ISNA(VLOOKUP(E1571,#REF!,1,FALSE())),"?TYPE_IDENTIFIABLE","?REFERENTIAL"),"_")))))</f>
        <v> </v>
      </c>
      <c r="H1571" s="24" t="str">
        <f>IF(J1571&lt;&gt;1,"",IF(I1571="SBJ","CB","?"))</f>
        <v> </v>
      </c>
      <c r="I1571" s="25" t="str">
        <f>IF(OR(E1571="",E1571="!!!",F1571="NEW"),"",INDEX(B1570:B$2,-1+SUMPRODUCT(MAX(ROW(E1570:E$2)*(E1571=E1570:E$2)))))</f>
        <v> </v>
      </c>
      <c r="J1571" s="25" t="str">
        <f>IF(OR(E1571="",E1571="!!!",F1571="NEW"),"",COUNTBLANK(OFFSET(A$1,,,SUMPRODUCT(MAX(ROW(E$2:E1571)*(E1571=E$2:E1571)))))-COUNTBLANK(OFFSET(A$1,,,SUMPRODUCT(MAX(ROW(E$1:E1570)*(E2=E$1:E1570))))))</f>
        <v> </v>
      </c>
      <c r="K1571" s="25" t="str">
        <f>IF(OR(E1571="",E1571="!!!",F1571="NEW"),"",INDEX(J$1:J1570,SUMPRODUCT(MAX(ROW(E$1:E1570)*(E1571=E$1:E1570)))))</f>
        <v> </v>
      </c>
      <c r="L1571" s="26"/>
    </row>
    <row r="1572" spans="1:12">
      <c r="A1572" s="20" t="s">
        <v>856</v>
      </c>
      <c r="B1572" s="27" t="s">
        <v>619</v>
      </c>
      <c r="C1572" s="27" t="s">
        <v>637</v>
      </c>
      <c r="D1572" s="27" t="s">
        <v>608</v>
      </c>
      <c r="E1572" s="21">
        <f>IF(D1572="?OLD","!!!","")</f>
        <v/>
      </c>
      <c r="F1572" s="22" t="str">
        <f>IF(OR(E1572="",E1572="!!!"),"",IF(NOT(ISNA(VLOOKUP(E1572,E$1:E1571,1,FALSE()))),"OLD",IF(AND(E1572&lt;&gt;"",E1572&lt;&gt;"!!!"),"NEW","")))</f>
        <v> </v>
      </c>
      <c r="G1572" s="23" t="str">
        <f>IF(OR(E1572="",E1572="!!!"),"",IF(OR(J1572=0,AND(J1572=1,K1572=1),AND(J1572=1,I1572="SBJ"),AND(J1572=1,I1572=0)),"?IN_FOCUS",IF(J1572&lt;=2,"?ACTIVATED",IF(J1572&lt;&gt;"","?FAMILIAR",IF(F1572="NEW",IF(ISNA(VLOOKUP(E1572,#REF!,1,FALSE())),"?TYPE_IDENTIFIABLE","?REFERENTIAL"),"_")))))</f>
        <v> </v>
      </c>
      <c r="H1572" s="24" t="str">
        <f>IF(J1572&lt;&gt;1,"",IF(I1572="SBJ","CB","?"))</f>
        <v> </v>
      </c>
      <c r="I1572" s="25" t="str">
        <f>IF(OR(E1572="",E1572="!!!",F1572="NEW"),"",INDEX(B1571:B$2,-1+SUMPRODUCT(MAX(ROW(E1571:E$2)*(E1572=E1571:E$2)))))</f>
        <v> </v>
      </c>
      <c r="J1572" s="25" t="str">
        <f>IF(OR(E1572="",E1572="!!!",F1572="NEW"),"",COUNTBLANK(OFFSET(A$1,,,SUMPRODUCT(MAX(ROW(E$2:E1572)*(E1572=E$2:E1572)))))-COUNTBLANK(OFFSET(A$1,,,SUMPRODUCT(MAX(ROW(E$1:E1571)*(E2=E$1:E1571))))))</f>
        <v> </v>
      </c>
      <c r="K1572" s="25" t="str">
        <f>IF(OR(E1572="",E1572="!!!",F1572="NEW"),"",INDEX(J$1:J1571,SUMPRODUCT(MAX(ROW(E$1:E1571)*(E1572=E$1:E1571)))))</f>
        <v> </v>
      </c>
      <c r="L1572" s="26"/>
    </row>
    <row r="1573" spans="1:12">
      <c r="A1573" s="20" t="s">
        <v>1257</v>
      </c>
      <c r="E1573" s="21">
        <f>IF(D1573="?OLD","!!!","")</f>
        <v/>
      </c>
      <c r="F1573" s="22" t="str">
        <f>IF(OR(E1573="",E1573="!!!"),"",IF(NOT(ISNA(VLOOKUP(E1573,E$1:E1572,1,FALSE()))),"OLD",IF(AND(E1573&lt;&gt;"",E1573&lt;&gt;"!!!"),"NEW","")))</f>
        <v> </v>
      </c>
      <c r="G1573" s="23" t="str">
        <f>IF(OR(E1573="",E1573="!!!"),"",IF(OR(J1573=0,AND(J1573=1,K1573=1),AND(J1573=1,I1573="SBJ"),AND(J1573=1,I1573=0)),"?IN_FOCUS",IF(J1573&lt;=2,"?ACTIVATED",IF(J1573&lt;&gt;"","?FAMILIAR",IF(F1573="NEW",IF(ISNA(VLOOKUP(E1573,#REF!,1,FALSE())),"?TYPE_IDENTIFIABLE","?REFERENTIAL"),"_")))))</f>
        <v> </v>
      </c>
      <c r="H1573" s="24" t="str">
        <f>IF(J1573&lt;&gt;1,"",IF(I1573="SBJ","CB","?"))</f>
        <v> </v>
      </c>
      <c r="I1573" s="25" t="str">
        <f>IF(OR(E1573="",E1573="!!!",F1573="NEW"),"",INDEX(B1572:B$2,-1+SUMPRODUCT(MAX(ROW(E1572:E$2)*(E1573=E1572:E$2)))))</f>
        <v> </v>
      </c>
      <c r="J1573" s="25" t="str">
        <f>IF(OR(E1573="",E1573="!!!",F1573="NEW"),"",COUNTBLANK(OFFSET(A$1,,,SUMPRODUCT(MAX(ROW(E$2:E1573)*(E1573=E$2:E1573)))))-COUNTBLANK(OFFSET(A$1,,,SUMPRODUCT(MAX(ROW(E$1:E1572)*(E2=E$1:E1572))))))</f>
        <v> </v>
      </c>
      <c r="K1573" s="25" t="str">
        <f>IF(OR(E1573="",E1573="!!!",F1573="NEW"),"",INDEX(J$1:J1572,SUMPRODUCT(MAX(ROW(E$1:E1572)*(E1573=E$1:E1572)))))</f>
        <v> </v>
      </c>
      <c r="L1573" s="26"/>
    </row>
    <row r="1574" spans="1:12">
      <c r="A1574" s="20" t="s">
        <v>630</v>
      </c>
      <c r="B1574" s="27" t="s">
        <v>619</v>
      </c>
      <c r="C1574" s="27" t="s">
        <v>631</v>
      </c>
      <c r="D1574" s="27" t="s">
        <v>608</v>
      </c>
      <c r="E1574" s="21">
        <f>IF(D1574="?OLD","!!!","")</f>
        <v/>
      </c>
      <c r="F1574" s="22" t="str">
        <f>IF(OR(E1574="",E1574="!!!"),"",IF(NOT(ISNA(VLOOKUP(E1574,E$1:E1573,1,FALSE()))),"OLD",IF(AND(E1574&lt;&gt;"",E1574&lt;&gt;"!!!"),"NEW","")))</f>
        <v> </v>
      </c>
      <c r="G1574" s="23" t="str">
        <f>IF(OR(E1574="",E1574="!!!"),"",IF(OR(J1574=0,AND(J1574=1,K1574=1),AND(J1574=1,I1574="SBJ"),AND(J1574=1,I1574=0)),"?IN_FOCUS",IF(J1574&lt;=2,"?ACTIVATED",IF(J1574&lt;&gt;"","?FAMILIAR",IF(F1574="NEW",IF(ISNA(VLOOKUP(E1574,#REF!,1,FALSE())),"?TYPE_IDENTIFIABLE","?REFERENTIAL"),"_")))))</f>
        <v> </v>
      </c>
      <c r="H1574" s="24" t="str">
        <f>IF(J1574&lt;&gt;1,"",IF(I1574="SBJ","CB","?"))</f>
        <v> </v>
      </c>
      <c r="I1574" s="25" t="str">
        <f>IF(OR(E1574="",E1574="!!!",F1574="NEW"),"",INDEX(B1573:B$2,-1+SUMPRODUCT(MAX(ROW(E1573:E$2)*(E1574=E1573:E$2)))))</f>
        <v> </v>
      </c>
      <c r="J1574" s="25" t="str">
        <f>IF(OR(E1574="",E1574="!!!",F1574="NEW"),"",COUNTBLANK(OFFSET(A$1,,,SUMPRODUCT(MAX(ROW(E$2:E1574)*(E1574=E$2:E1574)))))-COUNTBLANK(OFFSET(A$1,,,SUMPRODUCT(MAX(ROW(E$1:E1573)*(E2=E$1:E1573))))))</f>
        <v> </v>
      </c>
      <c r="K1574" s="25" t="str">
        <f>IF(OR(E1574="",E1574="!!!",F1574="NEW"),"",INDEX(J$1:J1573,SUMPRODUCT(MAX(ROW(E$1:E1573)*(E1574=E$1:E1573)))))</f>
        <v> </v>
      </c>
      <c r="L1574" s="26"/>
    </row>
    <row r="1575" spans="1:12">
      <c r="A1575" s="20" t="s">
        <v>707</v>
      </c>
      <c r="E1575" s="21">
        <f>IF(D1575="?OLD","!!!","")</f>
        <v/>
      </c>
      <c r="F1575" s="22" t="str">
        <f>IF(OR(E1575="",E1575="!!!"),"",IF(NOT(ISNA(VLOOKUP(E1575,E$1:E1574,1,FALSE()))),"OLD",IF(AND(E1575&lt;&gt;"",E1575&lt;&gt;"!!!"),"NEW","")))</f>
        <v> </v>
      </c>
      <c r="G1575" s="23" t="str">
        <f>IF(OR(E1575="",E1575="!!!"),"",IF(OR(J1575=0,AND(J1575=1,K1575=1),AND(J1575=1,I1575="SBJ"),AND(J1575=1,I1575=0)),"?IN_FOCUS",IF(J1575&lt;=2,"?ACTIVATED",IF(J1575&lt;&gt;"","?FAMILIAR",IF(F1575="NEW",IF(ISNA(VLOOKUP(E1575,#REF!,1,FALSE())),"?TYPE_IDENTIFIABLE","?REFERENTIAL"),"_")))))</f>
        <v> </v>
      </c>
      <c r="H1575" s="24" t="str">
        <f>IF(J1575&lt;&gt;1,"",IF(I1575="SBJ","CB","?"))</f>
        <v> </v>
      </c>
      <c r="I1575" s="25" t="str">
        <f>IF(OR(E1575="",E1575="!!!",F1575="NEW"),"",INDEX(B1574:B$2,-1+SUMPRODUCT(MAX(ROW(E1574:E$2)*(E1575=E1574:E$2)))))</f>
        <v> </v>
      </c>
      <c r="J1575" s="25" t="str">
        <f>IF(OR(E1575="",E1575="!!!",F1575="NEW"),"",COUNTBLANK(OFFSET(A$1,,,SUMPRODUCT(MAX(ROW(E$2:E1575)*(E1575=E$2:E1575)))))-COUNTBLANK(OFFSET(A$1,,,SUMPRODUCT(MAX(ROW(E$1:E1574)*(E2=E$1:E1574))))))</f>
        <v> </v>
      </c>
      <c r="K1575" s="25" t="str">
        <f>IF(OR(E1575="",E1575="!!!",F1575="NEW"),"",INDEX(J$1:J1574,SUMPRODUCT(MAX(ROW(E$1:E1574)*(E1575=E$1:E1574)))))</f>
        <v> </v>
      </c>
      <c r="L1575" s="26"/>
    </row>
    <row r="1576" spans="1:12">
      <c r="A1576" s="20" t="s">
        <v>950</v>
      </c>
      <c r="E1576" s="21">
        <f>IF(D1576="?OLD","!!!","")</f>
        <v/>
      </c>
      <c r="F1576" s="22" t="str">
        <f>IF(OR(E1576="",E1576="!!!"),"",IF(NOT(ISNA(VLOOKUP(E1576,E$1:E1575,1,FALSE()))),"OLD",IF(AND(E1576&lt;&gt;"",E1576&lt;&gt;"!!!"),"NEW","")))</f>
        <v> </v>
      </c>
      <c r="G1576" s="23" t="str">
        <f>IF(OR(E1576="",E1576="!!!"),"",IF(OR(J1576=0,AND(J1576=1,K1576=1),AND(J1576=1,I1576="SBJ"),AND(J1576=1,I1576=0)),"?IN_FOCUS",IF(J1576&lt;=2,"?ACTIVATED",IF(J1576&lt;&gt;"","?FAMILIAR",IF(F1576="NEW",IF(ISNA(VLOOKUP(E1576,#REF!,1,FALSE())),"?TYPE_IDENTIFIABLE","?REFERENTIAL"),"_")))))</f>
        <v> </v>
      </c>
      <c r="H1576" s="24" t="str">
        <f>IF(J1576&lt;&gt;1,"",IF(I1576="SBJ","CB","?"))</f>
        <v> </v>
      </c>
      <c r="I1576" s="25" t="str">
        <f>IF(OR(E1576="",E1576="!!!",F1576="NEW"),"",INDEX(B1575:B$2,-1+SUMPRODUCT(MAX(ROW(E1575:E$2)*(E1576=E1575:E$2)))))</f>
        <v> </v>
      </c>
      <c r="J1576" s="25" t="str">
        <f>IF(OR(E1576="",E1576="!!!",F1576="NEW"),"",COUNTBLANK(OFFSET(A$1,,,SUMPRODUCT(MAX(ROW(E$2:E1576)*(E1576=E$2:E1576)))))-COUNTBLANK(OFFSET(A$1,,,SUMPRODUCT(MAX(ROW(E$1:E1575)*(E2=E$1:E1575))))))</f>
        <v> </v>
      </c>
      <c r="K1576" s="25" t="str">
        <f>IF(OR(E1576="",E1576="!!!",F1576="NEW"),"",INDEX(J$1:J1575,SUMPRODUCT(MAX(ROW(E$1:E1575)*(E1576=E$1:E1575)))))</f>
        <v> </v>
      </c>
      <c r="L1576" s="26"/>
    </row>
    <row r="1577" spans="1:12">
      <c r="A1577" s="20" t="s">
        <v>893</v>
      </c>
      <c r="B1577" s="27" t="s">
        <v>611</v>
      </c>
      <c r="C1577" s="27" t="s">
        <v>894</v>
      </c>
      <c r="E1577" s="21">
        <f>IF(D1577="?OLD","!!!","")</f>
        <v/>
      </c>
      <c r="F1577" s="22" t="str">
        <f>IF(OR(E1577="",E1577="!!!"),"",IF(NOT(ISNA(VLOOKUP(E1577,E$1:E1576,1,FALSE()))),"OLD",IF(AND(E1577&lt;&gt;"",E1577&lt;&gt;"!!!"),"NEW","")))</f>
        <v> </v>
      </c>
      <c r="G1577" s="23" t="str">
        <f>IF(OR(E1577="",E1577="!!!"),"",IF(OR(J1577=0,AND(J1577=1,K1577=1),AND(J1577=1,I1577="SBJ"),AND(J1577=1,I1577=0)),"?IN_FOCUS",IF(J1577&lt;=2,"?ACTIVATED",IF(J1577&lt;&gt;"","?FAMILIAR",IF(F1577="NEW",IF(ISNA(VLOOKUP(E1577,#REF!,1,FALSE())),"?TYPE_IDENTIFIABLE","?REFERENTIAL"),"_")))))</f>
        <v> </v>
      </c>
      <c r="H1577" s="24" t="str">
        <f>IF(J1577&lt;&gt;1,"",IF(I1577="SBJ","CB","?"))</f>
        <v> </v>
      </c>
      <c r="I1577" s="25" t="str">
        <f>IF(OR(E1577="",E1577="!!!",F1577="NEW"),"",INDEX(B1576:B$2,-1+SUMPRODUCT(MAX(ROW(E1576:E$2)*(E1577=E1576:E$2)))))</f>
        <v> </v>
      </c>
      <c r="J1577" s="25" t="str">
        <f>IF(OR(E1577="",E1577="!!!",F1577="NEW"),"",COUNTBLANK(OFFSET(A$1,,,SUMPRODUCT(MAX(ROW(E$2:E1577)*(E1577=E$2:E1577)))))-COUNTBLANK(OFFSET(A$1,,,SUMPRODUCT(MAX(ROW(E$1:E1576)*(E2=E$1:E1576))))))</f>
        <v> </v>
      </c>
      <c r="K1577" s="25" t="str">
        <f>IF(OR(E1577="",E1577="!!!",F1577="NEW"),"",INDEX(J$1:J1576,SUMPRODUCT(MAX(ROW(E$1:E1576)*(E1577=E$1:E1576)))))</f>
        <v> </v>
      </c>
      <c r="L1577" s="26"/>
    </row>
    <row r="1578" spans="1:12">
      <c r="A1578" s="20" t="s">
        <v>1258</v>
      </c>
      <c r="B1578" s="27" t="s">
        <v>606</v>
      </c>
      <c r="C1578" s="27" t="s">
        <v>622</v>
      </c>
      <c r="E1578" s="21">
        <f>IF(D1578="?OLD","!!!","")</f>
        <v/>
      </c>
      <c r="F1578" s="22" t="str">
        <f>IF(OR(E1578="",E1578="!!!"),"",IF(NOT(ISNA(VLOOKUP(E1578,E$1:E1577,1,FALSE()))),"OLD",IF(AND(E1578&lt;&gt;"",E1578&lt;&gt;"!!!"),"NEW","")))</f>
        <v> </v>
      </c>
      <c r="G1578" s="23" t="str">
        <f>IF(OR(E1578="",E1578="!!!"),"",IF(OR(J1578=0,AND(J1578=1,K1578=1),AND(J1578=1,I1578="SBJ"),AND(J1578=1,I1578=0)),"?IN_FOCUS",IF(J1578&lt;=2,"?ACTIVATED",IF(J1578&lt;&gt;"","?FAMILIAR",IF(F1578="NEW",IF(ISNA(VLOOKUP(E1578,#REF!,1,FALSE())),"?TYPE_IDENTIFIABLE","?REFERENTIAL"),"_")))))</f>
        <v> </v>
      </c>
      <c r="H1578" s="24" t="str">
        <f>IF(J1578&lt;&gt;1,"",IF(I1578="SBJ","CB","?"))</f>
        <v> </v>
      </c>
      <c r="I1578" s="25" t="str">
        <f>IF(OR(E1578="",E1578="!!!",F1578="NEW"),"",INDEX(B1577:B$2,-1+SUMPRODUCT(MAX(ROW(E1577:E$2)*(E1578=E1577:E$2)))))</f>
        <v> </v>
      </c>
      <c r="J1578" s="25" t="str">
        <f>IF(OR(E1578="",E1578="!!!",F1578="NEW"),"",COUNTBLANK(OFFSET(A$1,,,SUMPRODUCT(MAX(ROW(E$2:E1578)*(E1578=E$2:E1578)))))-COUNTBLANK(OFFSET(A$1,,,SUMPRODUCT(MAX(ROW(E$1:E1577)*(E2=E$1:E1577))))))</f>
        <v> </v>
      </c>
      <c r="K1578" s="25" t="str">
        <f>IF(OR(E1578="",E1578="!!!",F1578="NEW"),"",INDEX(J$1:J1577,SUMPRODUCT(MAX(ROW(E$1:E1577)*(E1578=E$1:E1577)))))</f>
        <v> </v>
      </c>
      <c r="L1578" s="26"/>
    </row>
    <row r="1579" spans="1:12">
      <c r="A1579" s="20" t="s">
        <v>617</v>
      </c>
      <c r="E1579" s="21">
        <f>IF(D1579="?OLD","!!!","")</f>
        <v/>
      </c>
      <c r="F1579" s="22" t="str">
        <f>IF(OR(E1579="",E1579="!!!"),"",IF(NOT(ISNA(VLOOKUP(E1579,E$1:E1578,1,FALSE()))),"OLD",IF(AND(E1579&lt;&gt;"",E1579&lt;&gt;"!!!"),"NEW","")))</f>
        <v> </v>
      </c>
      <c r="G1579" s="23" t="str">
        <f>IF(OR(E1579="",E1579="!!!"),"",IF(OR(J1579=0,AND(J1579=1,K1579=1),AND(J1579=1,I1579="SBJ"),AND(J1579=1,I1579=0)),"?IN_FOCUS",IF(J1579&lt;=2,"?ACTIVATED",IF(J1579&lt;&gt;"","?FAMILIAR",IF(F1579="NEW",IF(ISNA(VLOOKUP(E1579,#REF!,1,FALSE())),"?TYPE_IDENTIFIABLE","?REFERENTIAL"),"_")))))</f>
        <v> </v>
      </c>
      <c r="H1579" s="24" t="str">
        <f>IF(J1579&lt;&gt;1,"",IF(I1579="SBJ","CB","?"))</f>
        <v> </v>
      </c>
      <c r="I1579" s="25" t="str">
        <f>IF(OR(E1579="",E1579="!!!",F1579="NEW"),"",INDEX(B1578:B$2,-1+SUMPRODUCT(MAX(ROW(E1578:E$2)*(E1579=E1578:E$2)))))</f>
        <v> </v>
      </c>
      <c r="J1579" s="25" t="str">
        <f>IF(OR(E1579="",E1579="!!!",F1579="NEW"),"",COUNTBLANK(OFFSET(A$1,,,SUMPRODUCT(MAX(ROW(E$2:E1579)*(E1579=E$2:E1579)))))-COUNTBLANK(OFFSET(A$1,,,SUMPRODUCT(MAX(ROW(E$1:E1578)*(E2=E$1:E1578))))))</f>
        <v> </v>
      </c>
      <c r="K1579" s="25" t="str">
        <f>IF(OR(E1579="",E1579="!!!",F1579="NEW"),"",INDEX(J$1:J1578,SUMPRODUCT(MAX(ROW(E$1:E1578)*(E1579=E$1:E1578)))))</f>
        <v> </v>
      </c>
      <c r="L1579" s="26"/>
    </row>
    <row r="1580" spans="1:12">
      <c r="A1580" s="20" t="s">
        <v>970</v>
      </c>
      <c r="E1580" s="21">
        <f>IF(D1580="?OLD","!!!","")</f>
        <v/>
      </c>
      <c r="F1580" s="22" t="str">
        <f>IF(OR(E1580="",E1580="!!!"),"",IF(NOT(ISNA(VLOOKUP(E1580,E$1:E1579,1,FALSE()))),"OLD",IF(AND(E1580&lt;&gt;"",E1580&lt;&gt;"!!!"),"NEW","")))</f>
        <v> </v>
      </c>
      <c r="G1580" s="23" t="str">
        <f>IF(OR(E1580="",E1580="!!!"),"",IF(OR(J1580=0,AND(J1580=1,K1580=1),AND(J1580=1,I1580="SBJ"),AND(J1580=1,I1580=0)),"?IN_FOCUS",IF(J1580&lt;=2,"?ACTIVATED",IF(J1580&lt;&gt;"","?FAMILIAR",IF(F1580="NEW",IF(ISNA(VLOOKUP(E1580,#REF!,1,FALSE())),"?TYPE_IDENTIFIABLE","?REFERENTIAL"),"_")))))</f>
        <v> </v>
      </c>
      <c r="H1580" s="24" t="str">
        <f>IF(J1580&lt;&gt;1,"",IF(I1580="SBJ","CB","?"))</f>
        <v> </v>
      </c>
      <c r="I1580" s="25" t="str">
        <f>IF(OR(E1580="",E1580="!!!",F1580="NEW"),"",INDEX(B1579:B$2,-1+SUMPRODUCT(MAX(ROW(E1579:E$2)*(E1580=E1579:E$2)))))</f>
        <v> </v>
      </c>
      <c r="J1580" s="25" t="str">
        <f>IF(OR(E1580="",E1580="!!!",F1580="NEW"),"",COUNTBLANK(OFFSET(A$1,,,SUMPRODUCT(MAX(ROW(E$2:E1580)*(E1580=E$2:E1580)))))-COUNTBLANK(OFFSET(A$1,,,SUMPRODUCT(MAX(ROW(E$1:E1579)*(E2=E$1:E1579))))))</f>
        <v> </v>
      </c>
      <c r="K1580" s="25" t="str">
        <f>IF(OR(E1580="",E1580="!!!",F1580="NEW"),"",INDEX(J$1:J1579,SUMPRODUCT(MAX(ROW(E$1:E1579)*(E1580=E$1:E1579)))))</f>
        <v> </v>
      </c>
      <c r="L1580" s="26"/>
    </row>
    <row r="1581" spans="1:12">
      <c r="A1581" s="20" t="s">
        <v>856</v>
      </c>
      <c r="E1581" s="21">
        <f>IF(D1581="?OLD","!!!","")</f>
        <v/>
      </c>
      <c r="F1581" s="22" t="str">
        <f>IF(OR(E1581="",E1581="!!!"),"",IF(NOT(ISNA(VLOOKUP(E1581,E$1:E1580,1,FALSE()))),"OLD",IF(AND(E1581&lt;&gt;"",E1581&lt;&gt;"!!!"),"NEW","")))</f>
        <v> </v>
      </c>
      <c r="G1581" s="23" t="str">
        <f>IF(OR(E1581="",E1581="!!!"),"",IF(OR(J1581=0,AND(J1581=1,K1581=1),AND(J1581=1,I1581="SBJ"),AND(J1581=1,I1581=0)),"?IN_FOCUS",IF(J1581&lt;=2,"?ACTIVATED",IF(J1581&lt;&gt;"","?FAMILIAR",IF(F1581="NEW",IF(ISNA(VLOOKUP(E1581,#REF!,1,FALSE())),"?TYPE_IDENTIFIABLE","?REFERENTIAL"),"_")))))</f>
        <v> </v>
      </c>
      <c r="H1581" s="24" t="str">
        <f>IF(J1581&lt;&gt;1,"",IF(I1581="SBJ","CB","?"))</f>
        <v> </v>
      </c>
      <c r="I1581" s="25" t="str">
        <f>IF(OR(E1581="",E1581="!!!",F1581="NEW"),"",INDEX(B1580:B$2,-1+SUMPRODUCT(MAX(ROW(E1580:E$2)*(E1581=E1580:E$2)))))</f>
        <v> </v>
      </c>
      <c r="J1581" s="25" t="str">
        <f>IF(OR(E1581="",E1581="!!!",F1581="NEW"),"",COUNTBLANK(OFFSET(A$1,,,SUMPRODUCT(MAX(ROW(E$2:E1581)*(E1581=E$2:E1581)))))-COUNTBLANK(OFFSET(A$1,,,SUMPRODUCT(MAX(ROW(E$1:E1580)*(E2=E$1:E1580))))))</f>
        <v> </v>
      </c>
      <c r="K1581" s="25" t="str">
        <f>IF(OR(E1581="",E1581="!!!",F1581="NEW"),"",INDEX(J$1:J1580,SUMPRODUCT(MAX(ROW(E$1:E1580)*(E1581=E$1:E1580)))))</f>
        <v> </v>
      </c>
      <c r="L1581" s="26"/>
    </row>
    <row r="1582" spans="1:12">
      <c r="A1582" s="20" t="s">
        <v>638</v>
      </c>
      <c r="E1582" s="21">
        <f>IF(D1582="?OLD","!!!","")</f>
        <v/>
      </c>
      <c r="F1582" s="22" t="str">
        <f>IF(OR(E1582="",E1582="!!!"),"",IF(NOT(ISNA(VLOOKUP(E1582,E$1:E1581,1,FALSE()))),"OLD",IF(AND(E1582&lt;&gt;"",E1582&lt;&gt;"!!!"),"NEW","")))</f>
        <v> </v>
      </c>
      <c r="G1582" s="23" t="str">
        <f>IF(OR(E1582="",E1582="!!!"),"",IF(OR(J1582=0,AND(J1582=1,K1582=1),AND(J1582=1,I1582="SBJ"),AND(J1582=1,I1582=0)),"?IN_FOCUS",IF(J1582&lt;=2,"?ACTIVATED",IF(J1582&lt;&gt;"","?FAMILIAR",IF(F1582="NEW",IF(ISNA(VLOOKUP(E1582,#REF!,1,FALSE())),"?TYPE_IDENTIFIABLE","?REFERENTIAL"),"_")))))</f>
        <v> </v>
      </c>
      <c r="H1582" s="24" t="str">
        <f>IF(J1582&lt;&gt;1,"",IF(I1582="SBJ","CB","?"))</f>
        <v> </v>
      </c>
      <c r="I1582" s="25" t="str">
        <f>IF(OR(E1582="",E1582="!!!",F1582="NEW"),"",INDEX(B1581:B$2,-1+SUMPRODUCT(MAX(ROW(E1581:E$2)*(E1582=E1581:E$2)))))</f>
        <v> </v>
      </c>
      <c r="J1582" s="25" t="str">
        <f>IF(OR(E1582="",E1582="!!!",F1582="NEW"),"",COUNTBLANK(OFFSET(A$1,,,SUMPRODUCT(MAX(ROW(E$2:E1582)*(E1582=E$2:E1582)))))-COUNTBLANK(OFFSET(A$1,,,SUMPRODUCT(MAX(ROW(E$1:E1581)*(E2=E$1:E1581))))))</f>
        <v> </v>
      </c>
      <c r="K1582" s="25" t="str">
        <f>IF(OR(E1582="",E1582="!!!",F1582="NEW"),"",INDEX(J$1:J1581,SUMPRODUCT(MAX(ROW(E$1:E1581)*(E1582=E$1:E1581)))))</f>
        <v> </v>
      </c>
      <c r="L1582" s="26"/>
    </row>
    <row r="1583" spans="1:12">
      <c r="A1583" s="20" t="s">
        <v>1259</v>
      </c>
      <c r="B1583" s="27" t="s">
        <v>625</v>
      </c>
      <c r="C1583" s="27" t="s">
        <v>626</v>
      </c>
      <c r="E1583" s="21">
        <f>IF(D1583="?OLD","!!!","")</f>
        <v/>
      </c>
      <c r="F1583" s="22" t="str">
        <f>IF(OR(E1583="",E1583="!!!"),"",IF(NOT(ISNA(VLOOKUP(E1583,E$1:E1582,1,FALSE()))),"OLD",IF(AND(E1583&lt;&gt;"",E1583&lt;&gt;"!!!"),"NEW","")))</f>
        <v> </v>
      </c>
      <c r="G1583" s="23" t="str">
        <f>IF(OR(E1583="",E1583="!!!"),"",IF(OR(J1583=0,AND(J1583=1,K1583=1),AND(J1583=1,I1583="SBJ"),AND(J1583=1,I1583=0)),"?IN_FOCUS",IF(J1583&lt;=2,"?ACTIVATED",IF(J1583&lt;&gt;"","?FAMILIAR",IF(F1583="NEW",IF(ISNA(VLOOKUP(E1583,#REF!,1,FALSE())),"?TYPE_IDENTIFIABLE","?REFERENTIAL"),"_")))))</f>
        <v> </v>
      </c>
      <c r="H1583" s="24" t="str">
        <f>IF(J1583&lt;&gt;1,"",IF(I1583="SBJ","CB","?"))</f>
        <v> </v>
      </c>
      <c r="I1583" s="25" t="str">
        <f>IF(OR(E1583="",E1583="!!!",F1583="NEW"),"",INDEX(B1582:B$2,-1+SUMPRODUCT(MAX(ROW(E1582:E$2)*(E1583=E1582:E$2)))))</f>
        <v> </v>
      </c>
      <c r="J1583" s="25" t="str">
        <f>IF(OR(E1583="",E1583="!!!",F1583="NEW"),"",COUNTBLANK(OFFSET(A$1,,,SUMPRODUCT(MAX(ROW(E$2:E1583)*(E1583=E$2:E1583)))))-COUNTBLANK(OFFSET(A$1,,,SUMPRODUCT(MAX(ROW(E$1:E1582)*(E2=E$1:E1582))))))</f>
        <v> </v>
      </c>
      <c r="K1583" s="25" t="str">
        <f>IF(OR(E1583="",E1583="!!!",F1583="NEW"),"",INDEX(J$1:J1582,SUMPRODUCT(MAX(ROW(E$1:E1582)*(E1583=E$1:E1582)))))</f>
        <v> </v>
      </c>
      <c r="L1583" s="26"/>
    </row>
    <row r="1584" spans="1:12">
      <c r="A1584" s="20" t="s">
        <v>1083</v>
      </c>
      <c r="B1584" s="27" t="s">
        <v>611</v>
      </c>
      <c r="C1584" s="27" t="s">
        <v>652</v>
      </c>
      <c r="D1584" s="27" t="s">
        <v>608</v>
      </c>
      <c r="E1584" s="21">
        <f>IF(D1584="?OLD","!!!","")</f>
        <v/>
      </c>
      <c r="F1584" s="22" t="str">
        <f>IF(OR(E1584="",E1584="!!!"),"",IF(NOT(ISNA(VLOOKUP(E1584,E$1:E1583,1,FALSE()))),"OLD",IF(AND(E1584&lt;&gt;"",E1584&lt;&gt;"!!!"),"NEW","")))</f>
        <v> </v>
      </c>
      <c r="G1584" s="23" t="str">
        <f>IF(OR(E1584="",E1584="!!!"),"",IF(OR(J1584=0,AND(J1584=1,K1584=1),AND(J1584=1,I1584="SBJ"),AND(J1584=1,I1584=0)),"?IN_FOCUS",IF(J1584&lt;=2,"?ACTIVATED",IF(J1584&lt;&gt;"","?FAMILIAR",IF(F1584="NEW",IF(ISNA(VLOOKUP(E1584,#REF!,1,FALSE())),"?TYPE_IDENTIFIABLE","?REFERENTIAL"),"_")))))</f>
        <v> </v>
      </c>
      <c r="H1584" s="24" t="str">
        <f>IF(J1584&lt;&gt;1,"",IF(I1584="SBJ","CB","?"))</f>
        <v> </v>
      </c>
      <c r="I1584" s="25" t="str">
        <f>IF(OR(E1584="",E1584="!!!",F1584="NEW"),"",INDEX(B1583:B$2,-1+SUMPRODUCT(MAX(ROW(E1583:E$2)*(E1584=E1583:E$2)))))</f>
        <v> </v>
      </c>
      <c r="J1584" s="25" t="str">
        <f>IF(OR(E1584="",E1584="!!!",F1584="NEW"),"",COUNTBLANK(OFFSET(A$1,,,SUMPRODUCT(MAX(ROW(E$2:E1584)*(E1584=E$2:E1584)))))-COUNTBLANK(OFFSET(A$1,,,SUMPRODUCT(MAX(ROW(E$1:E1583)*(E2=E$1:E1583))))))</f>
        <v> </v>
      </c>
      <c r="K1584" s="25" t="str">
        <f>IF(OR(E1584="",E1584="!!!",F1584="NEW"),"",INDEX(J$1:J1583,SUMPRODUCT(MAX(ROW(E$1:E1583)*(E1584=E$1:E1583)))))</f>
        <v> </v>
      </c>
      <c r="L1584" s="26"/>
    </row>
    <row r="1585" spans="1:12">
      <c r="A1585" s="20" t="s">
        <v>617</v>
      </c>
      <c r="E1585" s="21">
        <f>IF(D1585="?OLD","!!!","")</f>
        <v/>
      </c>
      <c r="F1585" s="22" t="str">
        <f>IF(OR(E1585="",E1585="!!!"),"",IF(NOT(ISNA(VLOOKUP(E1585,E$1:E1584,1,FALSE()))),"OLD",IF(AND(E1585&lt;&gt;"",E1585&lt;&gt;"!!!"),"NEW","")))</f>
        <v> </v>
      </c>
      <c r="G1585" s="23" t="str">
        <f>IF(OR(E1585="",E1585="!!!"),"",IF(OR(J1585=0,AND(J1585=1,K1585=1),AND(J1585=1,I1585="SBJ"),AND(J1585=1,I1585=0)),"?IN_FOCUS",IF(J1585&lt;=2,"?ACTIVATED",IF(J1585&lt;&gt;"","?FAMILIAR",IF(F1585="NEW",IF(ISNA(VLOOKUP(E1585,#REF!,1,FALSE())),"?TYPE_IDENTIFIABLE","?REFERENTIAL"),"_")))))</f>
        <v> </v>
      </c>
      <c r="H1585" s="24" t="str">
        <f>IF(J1585&lt;&gt;1,"",IF(I1585="SBJ","CB","?"))</f>
        <v> </v>
      </c>
      <c r="I1585" s="25" t="str">
        <f>IF(OR(E1585="",E1585="!!!",F1585="NEW"),"",INDEX(B1584:B$2,-1+SUMPRODUCT(MAX(ROW(E1584:E$2)*(E1585=E1584:E$2)))))</f>
        <v> </v>
      </c>
      <c r="J1585" s="25" t="str">
        <f>IF(OR(E1585="",E1585="!!!",F1585="NEW"),"",COUNTBLANK(OFFSET(A$1,,,SUMPRODUCT(MAX(ROW(E$2:E1585)*(E1585=E$2:E1585)))))-COUNTBLANK(OFFSET(A$1,,,SUMPRODUCT(MAX(ROW(E$1:E1584)*(E2=E$1:E1584))))))</f>
        <v> </v>
      </c>
      <c r="K1585" s="25" t="str">
        <f>IF(OR(E1585="",E1585="!!!",F1585="NEW"),"",INDEX(J$1:J1584,SUMPRODUCT(MAX(ROW(E$1:E1584)*(E1585=E$1:E1584)))))</f>
        <v> </v>
      </c>
      <c r="L1585" s="26"/>
    </row>
    <row r="1586" spans="1:12">
      <c r="A1586" s="20" t="s">
        <v>736</v>
      </c>
      <c r="E1586" s="21">
        <f>IF(D1586="?OLD","!!!","")</f>
        <v/>
      </c>
      <c r="F1586" s="22" t="str">
        <f>IF(OR(E1586="",E1586="!!!"),"",IF(NOT(ISNA(VLOOKUP(E1586,E$1:E1585,1,FALSE()))),"OLD",IF(AND(E1586&lt;&gt;"",E1586&lt;&gt;"!!!"),"NEW","")))</f>
        <v> </v>
      </c>
      <c r="G1586" s="23" t="str">
        <f>IF(OR(E1586="",E1586="!!!"),"",IF(OR(J1586=0,AND(J1586=1,K1586=1),AND(J1586=1,I1586="SBJ"),AND(J1586=1,I1586=0)),"?IN_FOCUS",IF(J1586&lt;=2,"?ACTIVATED",IF(J1586&lt;&gt;"","?FAMILIAR",IF(F1586="NEW",IF(ISNA(VLOOKUP(E1586,#REF!,1,FALSE())),"?TYPE_IDENTIFIABLE","?REFERENTIAL"),"_")))))</f>
        <v> </v>
      </c>
      <c r="H1586" s="24" t="str">
        <f>IF(J1586&lt;&gt;1,"",IF(I1586="SBJ","CB","?"))</f>
        <v> </v>
      </c>
      <c r="I1586" s="25" t="str">
        <f>IF(OR(E1586="",E1586="!!!",F1586="NEW"),"",INDEX(B1585:B$2,-1+SUMPRODUCT(MAX(ROW(E1585:E$2)*(E1586=E1585:E$2)))))</f>
        <v> </v>
      </c>
      <c r="J1586" s="25" t="str">
        <f>IF(OR(E1586="",E1586="!!!",F1586="NEW"),"",COUNTBLANK(OFFSET(A$1,,,SUMPRODUCT(MAX(ROW(E$2:E1586)*(E1586=E$2:E1586)))))-COUNTBLANK(OFFSET(A$1,,,SUMPRODUCT(MAX(ROW(E$1:E1585)*(E2=E$1:E1585))))))</f>
        <v> </v>
      </c>
      <c r="K1586" s="25" t="str">
        <f>IF(OR(E1586="",E1586="!!!",F1586="NEW"),"",INDEX(J$1:J1585,SUMPRODUCT(MAX(ROW(E$1:E1585)*(E1586=E$1:E1585)))))</f>
        <v> </v>
      </c>
      <c r="L1586" s="26"/>
    </row>
    <row r="1587" spans="1:12">
      <c r="A1587" s="20" t="s">
        <v>856</v>
      </c>
      <c r="B1587" s="27" t="s">
        <v>742</v>
      </c>
      <c r="C1587" s="27" t="s">
        <v>637</v>
      </c>
      <c r="D1587" s="27" t="s">
        <v>608</v>
      </c>
      <c r="E1587" s="21">
        <f>IF(D1587="?OLD","!!!","")</f>
        <v/>
      </c>
      <c r="F1587" s="22" t="str">
        <f>IF(OR(E1587="",E1587="!!!"),"",IF(NOT(ISNA(VLOOKUP(E1587,E$1:E1586,1,FALSE()))),"OLD",IF(AND(E1587&lt;&gt;"",E1587&lt;&gt;"!!!"),"NEW","")))</f>
        <v> </v>
      </c>
      <c r="G1587" s="23" t="str">
        <f>IF(OR(E1587="",E1587="!!!"),"",IF(OR(J1587=0,AND(J1587=1,K1587=1),AND(J1587=1,I1587="SBJ"),AND(J1587=1,I1587=0)),"?IN_FOCUS",IF(J1587&lt;=2,"?ACTIVATED",IF(J1587&lt;&gt;"","?FAMILIAR",IF(F1587="NEW",IF(ISNA(VLOOKUP(E1587,#REF!,1,FALSE())),"?TYPE_IDENTIFIABLE","?REFERENTIAL"),"_")))))</f>
        <v> </v>
      </c>
      <c r="H1587" s="24" t="str">
        <f>IF(J1587&lt;&gt;1,"",IF(I1587="SBJ","CB","?"))</f>
        <v> </v>
      </c>
      <c r="I1587" s="25" t="str">
        <f>IF(OR(E1587="",E1587="!!!",F1587="NEW"),"",INDEX(B1586:B$2,-1+SUMPRODUCT(MAX(ROW(E1586:E$2)*(E1587=E1586:E$2)))))</f>
        <v> </v>
      </c>
      <c r="J1587" s="25" t="str">
        <f>IF(OR(E1587="",E1587="!!!",F1587="NEW"),"",COUNTBLANK(OFFSET(A$1,,,SUMPRODUCT(MAX(ROW(E$2:E1587)*(E1587=E$2:E1587)))))-COUNTBLANK(OFFSET(A$1,,,SUMPRODUCT(MAX(ROW(E$1:E1586)*(E2=E$1:E1586))))))</f>
        <v> </v>
      </c>
      <c r="K1587" s="25" t="str">
        <f>IF(OR(E1587="",E1587="!!!",F1587="NEW"),"",INDEX(J$1:J1586,SUMPRODUCT(MAX(ROW(E$1:E1586)*(E1587=E$1:E1586)))))</f>
        <v> </v>
      </c>
      <c r="L1587" s="26"/>
    </row>
    <row r="1588" spans="1:12">
      <c r="A1588" s="20" t="s">
        <v>1260</v>
      </c>
      <c r="E1588" s="21">
        <f>IF(D1588="?OLD","!!!","")</f>
        <v/>
      </c>
      <c r="F1588" s="22" t="str">
        <f>IF(OR(E1588="",E1588="!!!"),"",IF(NOT(ISNA(VLOOKUP(E1588,E$1:E1587,1,FALSE()))),"OLD",IF(AND(E1588&lt;&gt;"",E1588&lt;&gt;"!!!"),"NEW","")))</f>
        <v> </v>
      </c>
      <c r="G1588" s="23" t="str">
        <f>IF(OR(E1588="",E1588="!!!"),"",IF(OR(J1588=0,AND(J1588=1,K1588=1),AND(J1588=1,I1588="SBJ"),AND(J1588=1,I1588=0)),"?IN_FOCUS",IF(J1588&lt;=2,"?ACTIVATED",IF(J1588&lt;&gt;"","?FAMILIAR",IF(F1588="NEW",IF(ISNA(VLOOKUP(E1588,#REF!,1,FALSE())),"?TYPE_IDENTIFIABLE","?REFERENTIAL"),"_")))))</f>
        <v> </v>
      </c>
      <c r="H1588" s="24" t="str">
        <f>IF(J1588&lt;&gt;1,"",IF(I1588="SBJ","CB","?"))</f>
        <v> </v>
      </c>
      <c r="I1588" s="25" t="str">
        <f>IF(OR(E1588="",E1588="!!!",F1588="NEW"),"",INDEX(B1587:B$2,-1+SUMPRODUCT(MAX(ROW(E1587:E$2)*(E1588=E1587:E$2)))))</f>
        <v> </v>
      </c>
      <c r="J1588" s="25" t="str">
        <f>IF(OR(E1588="",E1588="!!!",F1588="NEW"),"",COUNTBLANK(OFFSET(A$1,,,SUMPRODUCT(MAX(ROW(E$2:E1588)*(E1588=E$2:E1588)))))-COUNTBLANK(OFFSET(A$1,,,SUMPRODUCT(MAX(ROW(E$1:E1587)*(E2=E$1:E1587))))))</f>
        <v> </v>
      </c>
      <c r="K1588" s="25" t="str">
        <f>IF(OR(E1588="",E1588="!!!",F1588="NEW"),"",INDEX(J$1:J1587,SUMPRODUCT(MAX(ROW(E$1:E1587)*(E1588=E$1:E1587)))))</f>
        <v> </v>
      </c>
      <c r="L1588" s="26"/>
    </row>
    <row r="1589" spans="1:12">
      <c r="A1589" s="20" t="s">
        <v>1261</v>
      </c>
      <c r="E1589" s="21">
        <f>IF(D1589="?OLD","!!!","")</f>
        <v/>
      </c>
      <c r="F1589" s="22" t="str">
        <f>IF(OR(E1589="",E1589="!!!"),"",IF(NOT(ISNA(VLOOKUP(E1589,E$1:E1588,1,FALSE()))),"OLD",IF(AND(E1589&lt;&gt;"",E1589&lt;&gt;"!!!"),"NEW","")))</f>
        <v> </v>
      </c>
      <c r="G1589" s="23" t="str">
        <f>IF(OR(E1589="",E1589="!!!"),"",IF(OR(J1589=0,AND(J1589=1,K1589=1),AND(J1589=1,I1589="SBJ"),AND(J1589=1,I1589=0)),"?IN_FOCUS",IF(J1589&lt;=2,"?ACTIVATED",IF(J1589&lt;&gt;"","?FAMILIAR",IF(F1589="NEW",IF(ISNA(VLOOKUP(E1589,#REF!,1,FALSE())),"?TYPE_IDENTIFIABLE","?REFERENTIAL"),"_")))))</f>
        <v> </v>
      </c>
      <c r="H1589" s="24" t="str">
        <f>IF(J1589&lt;&gt;1,"",IF(I1589="SBJ","CB","?"))</f>
        <v> </v>
      </c>
      <c r="I1589" s="25" t="str">
        <f>IF(OR(E1589="",E1589="!!!",F1589="NEW"),"",INDEX(B1588:B$2,-1+SUMPRODUCT(MAX(ROW(E1588:E$2)*(E1589=E1588:E$2)))))</f>
        <v> </v>
      </c>
      <c r="J1589" s="25" t="str">
        <f>IF(OR(E1589="",E1589="!!!",F1589="NEW"),"",COUNTBLANK(OFFSET(A$1,,,SUMPRODUCT(MAX(ROW(E$2:E1589)*(E1589=E$2:E1589)))))-COUNTBLANK(OFFSET(A$1,,,SUMPRODUCT(MAX(ROW(E$1:E1588)*(E2=E$1:E1588))))))</f>
        <v> </v>
      </c>
      <c r="K1589" s="25" t="str">
        <f>IF(OR(E1589="",E1589="!!!",F1589="NEW"),"",INDEX(J$1:J1588,SUMPRODUCT(MAX(ROW(E$1:E1588)*(E1589=E$1:E1588)))))</f>
        <v> </v>
      </c>
      <c r="L1589" s="26"/>
    </row>
    <row r="1590" spans="1:12">
      <c r="A1590" s="20" t="s">
        <v>633</v>
      </c>
      <c r="E1590" s="21">
        <f>IF(D1590="?OLD","!!!","")</f>
        <v/>
      </c>
      <c r="F1590" s="22" t="str">
        <f>IF(OR(E1590="",E1590="!!!"),"",IF(NOT(ISNA(VLOOKUP(E1590,E$1:E1589,1,FALSE()))),"OLD",IF(AND(E1590&lt;&gt;"",E1590&lt;&gt;"!!!"),"NEW","")))</f>
        <v> </v>
      </c>
      <c r="G1590" s="23" t="str">
        <f>IF(OR(E1590="",E1590="!!!"),"",IF(OR(J1590=0,AND(J1590=1,K1590=1),AND(J1590=1,I1590="SBJ"),AND(J1590=1,I1590=0)),"?IN_FOCUS",IF(J1590&lt;=2,"?ACTIVATED",IF(J1590&lt;&gt;"","?FAMILIAR",IF(F1590="NEW",IF(ISNA(VLOOKUP(E1590,#REF!,1,FALSE())),"?TYPE_IDENTIFIABLE","?REFERENTIAL"),"_")))))</f>
        <v> </v>
      </c>
      <c r="H1590" s="24" t="str">
        <f>IF(J1590&lt;&gt;1,"",IF(I1590="SBJ","CB","?"))</f>
        <v> </v>
      </c>
      <c r="I1590" s="25" t="str">
        <f>IF(OR(E1590="",E1590="!!!",F1590="NEW"),"",INDEX(B1589:B$2,-1+SUMPRODUCT(MAX(ROW(E1589:E$2)*(E1590=E1589:E$2)))))</f>
        <v> </v>
      </c>
      <c r="J1590" s="25" t="str">
        <f>IF(OR(E1590="",E1590="!!!",F1590="NEW"),"",COUNTBLANK(OFFSET(A$1,,,SUMPRODUCT(MAX(ROW(E$2:E1590)*(E1590=E$2:E1590)))))-COUNTBLANK(OFFSET(A$1,,,SUMPRODUCT(MAX(ROW(E$1:E1589)*(E2=E$1:E1589))))))</f>
        <v> </v>
      </c>
      <c r="K1590" s="25" t="str">
        <f>IF(OR(E1590="",E1590="!!!",F1590="NEW"),"",INDEX(J$1:J1589,SUMPRODUCT(MAX(ROW(E$1:E1589)*(E1590=E$1:E1589)))))</f>
        <v> </v>
      </c>
      <c r="L1590" s="26"/>
    </row>
    <row r="1591" spans="1:12">
      <c r="A1591" s="20"/>
    </row>
    <row r="1592" spans="1:12">
      <c r="A1592" s="20" t="s">
        <v>1262</v>
      </c>
    </row>
    <row r="1593" spans="1:12">
      <c r="A1593" s="20" t="s">
        <v>661</v>
      </c>
      <c r="E1593" s="21">
        <f>IF(D1593="?OLD","!!!","")</f>
        <v/>
      </c>
      <c r="F1593" s="22" t="str">
        <f>IF(OR(E1593="",E1593="!!!"),"",IF(NOT(ISNA(VLOOKUP(E1593,E$1:E1592,1,FALSE()))),"OLD",IF(AND(E1593&lt;&gt;"",E1593&lt;&gt;"!!!"),"NEW","")))</f>
        <v> </v>
      </c>
      <c r="G1593" s="23" t="str">
        <f>IF(OR(E1593="",E1593="!!!"),"",IF(OR(J1593=0,AND(J1593=1,K1593=1),AND(J1593=1,I1593="SBJ"),AND(J1593=1,I1593=0)),"?IN_FOCUS",IF(J1593&lt;=2,"?ACTIVATED",IF(J1593&lt;&gt;"","?FAMILIAR",IF(F1593="NEW",IF(ISNA(VLOOKUP(E1593,#REF!,1,FALSE())),"?TYPE_IDENTIFIABLE","?REFERENTIAL"),"_")))))</f>
        <v> </v>
      </c>
      <c r="H1593" s="24" t="str">
        <f>IF(J1593&lt;&gt;1,"",IF(I1593="SBJ","CB","?"))</f>
        <v> </v>
      </c>
      <c r="I1593" s="25" t="str">
        <f>IF(OR(E1593="",E1593="!!!",F1593="NEW"),"",INDEX(B1592:B$2,-1+SUMPRODUCT(MAX(ROW(E1592:E$2)*(E1593=E1592:E$2)))))</f>
        <v> </v>
      </c>
      <c r="J1593" s="25" t="str">
        <f>IF(OR(E1593="",E1593="!!!",F1593="NEW"),"",COUNTBLANK(OFFSET(A$1,,,SUMPRODUCT(MAX(ROW(E$2:E1593)*(E1593=E$2:E1593)))))-COUNTBLANK(OFFSET(A$1,,,SUMPRODUCT(MAX(ROW(E$1:E1592)*(E2=E$1:E1592))))))</f>
        <v> </v>
      </c>
      <c r="K1593" s="25" t="str">
        <f>IF(OR(E1593="",E1593="!!!",F1593="NEW"),"",INDEX(J$1:J1592,SUMPRODUCT(MAX(ROW(E$1:E1592)*(E1593=E$1:E1592)))))</f>
        <v> </v>
      </c>
      <c r="L1593" s="26"/>
    </row>
    <row r="1594" spans="1:12">
      <c r="A1594" s="20" t="s">
        <v>1151</v>
      </c>
      <c r="E1594" s="21">
        <f>IF(D1594="?OLD","!!!","")</f>
        <v/>
      </c>
      <c r="F1594" s="22" t="str">
        <f>IF(OR(E1594="",E1594="!!!"),"",IF(NOT(ISNA(VLOOKUP(E1594,E$1:E1593,1,FALSE()))),"OLD",IF(AND(E1594&lt;&gt;"",E1594&lt;&gt;"!!!"),"NEW","")))</f>
        <v> </v>
      </c>
      <c r="G1594" s="23" t="str">
        <f>IF(OR(E1594="",E1594="!!!"),"",IF(OR(J1594=0,AND(J1594=1,K1594=1),AND(J1594=1,I1594="SBJ"),AND(J1594=1,I1594=0)),"?IN_FOCUS",IF(J1594&lt;=2,"?ACTIVATED",IF(J1594&lt;&gt;"","?FAMILIAR",IF(F1594="NEW",IF(ISNA(VLOOKUP(E1594,#REF!,1,FALSE())),"?TYPE_IDENTIFIABLE","?REFERENTIAL"),"_")))))</f>
        <v> </v>
      </c>
      <c r="H1594" s="24" t="str">
        <f>IF(J1594&lt;&gt;1,"",IF(I1594="SBJ","CB","?"))</f>
        <v> </v>
      </c>
      <c r="I1594" s="25" t="str">
        <f>IF(OR(E1594="",E1594="!!!",F1594="NEW"),"",INDEX(B1593:B$2,-1+SUMPRODUCT(MAX(ROW(E1593:E$2)*(E1594=E1593:E$2)))))</f>
        <v> </v>
      </c>
      <c r="J1594" s="25" t="str">
        <f>IF(OR(E1594="",E1594="!!!",F1594="NEW"),"",COUNTBLANK(OFFSET(A$1,,,SUMPRODUCT(MAX(ROW(E$2:E1594)*(E1594=E$2:E1594)))))-COUNTBLANK(OFFSET(A$1,,,SUMPRODUCT(MAX(ROW(E$1:E1593)*(E2=E$1:E1593))))))</f>
        <v> </v>
      </c>
      <c r="K1594" s="25" t="str">
        <f>IF(OR(E1594="",E1594="!!!",F1594="NEW"),"",INDEX(J$1:J1593,SUMPRODUCT(MAX(ROW(E$1:E1593)*(E1594=E$1:E1593)))))</f>
        <v> </v>
      </c>
      <c r="L1594" s="26"/>
    </row>
    <row r="1595" spans="1:12">
      <c r="A1595" s="20" t="s">
        <v>1263</v>
      </c>
      <c r="B1595" s="27" t="s">
        <v>606</v>
      </c>
      <c r="C1595" s="27" t="s">
        <v>894</v>
      </c>
      <c r="E1595" s="21">
        <f>IF(D1595="?OLD","!!!","")</f>
        <v/>
      </c>
      <c r="F1595" s="22" t="str">
        <f>IF(OR(E1595="",E1595="!!!"),"",IF(NOT(ISNA(VLOOKUP(E1595,E$1:E1594,1,FALSE()))),"OLD",IF(AND(E1595&lt;&gt;"",E1595&lt;&gt;"!!!"),"NEW","")))</f>
        <v> </v>
      </c>
      <c r="G1595" s="23" t="str">
        <f>IF(OR(E1595="",E1595="!!!"),"",IF(OR(J1595=0,AND(J1595=1,K1595=1),AND(J1595=1,I1595="SBJ"),AND(J1595=1,I1595=0)),"?IN_FOCUS",IF(J1595&lt;=2,"?ACTIVATED",IF(J1595&lt;&gt;"","?FAMILIAR",IF(F1595="NEW",IF(ISNA(VLOOKUP(E1595,#REF!,1,FALSE())),"?TYPE_IDENTIFIABLE","?REFERENTIAL"),"_")))))</f>
        <v> </v>
      </c>
      <c r="H1595" s="24" t="str">
        <f>IF(J1595&lt;&gt;1,"",IF(I1595="SBJ","CB","?"))</f>
        <v> </v>
      </c>
      <c r="I1595" s="25" t="str">
        <f>IF(OR(E1595="",E1595="!!!",F1595="NEW"),"",INDEX(B1594:B$2,-1+SUMPRODUCT(MAX(ROW(E1594:E$2)*(E1595=E1594:E$2)))))</f>
        <v> </v>
      </c>
      <c r="J1595" s="25" t="str">
        <f>IF(OR(E1595="",E1595="!!!",F1595="NEW"),"",COUNTBLANK(OFFSET(A$1,,,SUMPRODUCT(MAX(ROW(E$2:E1595)*(E1595=E$2:E1595)))))-COUNTBLANK(OFFSET(A$1,,,SUMPRODUCT(MAX(ROW(E$1:E1594)*(E2=E$1:E1594))))))</f>
        <v> </v>
      </c>
      <c r="K1595" s="25" t="str">
        <f>IF(OR(E1595="",E1595="!!!",F1595="NEW"),"",INDEX(J$1:J1594,SUMPRODUCT(MAX(ROW(E$1:E1594)*(E1595=E$1:E1594)))))</f>
        <v> </v>
      </c>
      <c r="L1595" s="26"/>
    </row>
    <row r="1596" spans="1:12">
      <c r="A1596" s="20" t="s">
        <v>1264</v>
      </c>
      <c r="E1596" s="21">
        <f>IF(D1596="?OLD","!!!","")</f>
        <v/>
      </c>
      <c r="F1596" s="22" t="str">
        <f>IF(OR(E1596="",E1596="!!!"),"",IF(NOT(ISNA(VLOOKUP(E1596,E$1:E1595,1,FALSE()))),"OLD",IF(AND(E1596&lt;&gt;"",E1596&lt;&gt;"!!!"),"NEW","")))</f>
        <v> </v>
      </c>
      <c r="G1596" s="23" t="str">
        <f>IF(OR(E1596="",E1596="!!!"),"",IF(OR(J1596=0,AND(J1596=1,K1596=1),AND(J1596=1,I1596="SBJ"),AND(J1596=1,I1596=0)),"?IN_FOCUS",IF(J1596&lt;=2,"?ACTIVATED",IF(J1596&lt;&gt;"","?FAMILIAR",IF(F1596="NEW",IF(ISNA(VLOOKUP(E1596,#REF!,1,FALSE())),"?TYPE_IDENTIFIABLE","?REFERENTIAL"),"_")))))</f>
        <v> </v>
      </c>
      <c r="H1596" s="24" t="str">
        <f>IF(J1596&lt;&gt;1,"",IF(I1596="SBJ","CB","?"))</f>
        <v> </v>
      </c>
      <c r="I1596" s="25" t="str">
        <f>IF(OR(E1596="",E1596="!!!",F1596="NEW"),"",INDEX(B1595:B$2,-1+SUMPRODUCT(MAX(ROW(E1595:E$2)*(E1596=E1595:E$2)))))</f>
        <v> </v>
      </c>
      <c r="J1596" s="25" t="str">
        <f>IF(OR(E1596="",E1596="!!!",F1596="NEW"),"",COUNTBLANK(OFFSET(A$1,,,SUMPRODUCT(MAX(ROW(E$2:E1596)*(E1596=E$2:E1596)))))-COUNTBLANK(OFFSET(A$1,,,SUMPRODUCT(MAX(ROW(E$1:E1595)*(E2=E$1:E1595))))))</f>
        <v> </v>
      </c>
      <c r="K1596" s="25" t="str">
        <f>IF(OR(E1596="",E1596="!!!",F1596="NEW"),"",INDEX(J$1:J1595,SUMPRODUCT(MAX(ROW(E$1:E1595)*(E1596=E$1:E1595)))))</f>
        <v> </v>
      </c>
      <c r="L1596" s="26"/>
    </row>
    <row r="1597" spans="1:12">
      <c r="A1597" s="20" t="s">
        <v>612</v>
      </c>
      <c r="E1597" s="21">
        <f>IF(D1597="?OLD","!!!","")</f>
        <v/>
      </c>
      <c r="F1597" s="22" t="str">
        <f>IF(OR(E1597="",E1597="!!!"),"",IF(NOT(ISNA(VLOOKUP(E1597,E$1:E1596,1,FALSE()))),"OLD",IF(AND(E1597&lt;&gt;"",E1597&lt;&gt;"!!!"),"NEW","")))</f>
        <v> </v>
      </c>
      <c r="G1597" s="23" t="str">
        <f>IF(OR(E1597="",E1597="!!!"),"",IF(OR(J1597=0,AND(J1597=1,K1597=1),AND(J1597=1,I1597="SBJ"),AND(J1597=1,I1597=0)),"?IN_FOCUS",IF(J1597&lt;=2,"?ACTIVATED",IF(J1597&lt;&gt;"","?FAMILIAR",IF(F1597="NEW",IF(ISNA(VLOOKUP(E1597,#REF!,1,FALSE())),"?TYPE_IDENTIFIABLE","?REFERENTIAL"),"_")))))</f>
        <v> </v>
      </c>
      <c r="H1597" s="24" t="str">
        <f>IF(J1597&lt;&gt;1,"",IF(I1597="SBJ","CB","?"))</f>
        <v> </v>
      </c>
      <c r="I1597" s="25" t="str">
        <f>IF(OR(E1597="",E1597="!!!",F1597="NEW"),"",INDEX(B1596:B$2,-1+SUMPRODUCT(MAX(ROW(E1596:E$2)*(E1597=E1596:E$2)))))</f>
        <v> </v>
      </c>
      <c r="J1597" s="25" t="str">
        <f>IF(OR(E1597="",E1597="!!!",F1597="NEW"),"",COUNTBLANK(OFFSET(A$1,,,SUMPRODUCT(MAX(ROW(E$2:E1597)*(E1597=E$2:E1597)))))-COUNTBLANK(OFFSET(A$1,,,SUMPRODUCT(MAX(ROW(E$1:E1596)*(E2=E$1:E1596))))))</f>
        <v> </v>
      </c>
      <c r="K1597" s="25" t="str">
        <f>IF(OR(E1597="",E1597="!!!",F1597="NEW"),"",INDEX(J$1:J1596,SUMPRODUCT(MAX(ROW(E$1:E1596)*(E1597=E$1:E1596)))))</f>
        <v> </v>
      </c>
      <c r="L1597" s="26"/>
    </row>
    <row r="1598" spans="1:12">
      <c r="A1598" s="20" t="s">
        <v>630</v>
      </c>
      <c r="B1598" s="27" t="s">
        <v>636</v>
      </c>
      <c r="C1598" s="27" t="s">
        <v>631</v>
      </c>
      <c r="D1598" s="27" t="s">
        <v>608</v>
      </c>
      <c r="E1598" s="21">
        <f>IF(D1598="?OLD","!!!","")</f>
        <v/>
      </c>
      <c r="F1598" s="22" t="str">
        <f>IF(OR(E1598="",E1598="!!!"),"",IF(NOT(ISNA(VLOOKUP(E1598,E$1:E1597,1,FALSE()))),"OLD",IF(AND(E1598&lt;&gt;"",E1598&lt;&gt;"!!!"),"NEW","")))</f>
        <v> </v>
      </c>
      <c r="G1598" s="23" t="str">
        <f>IF(OR(E1598="",E1598="!!!"),"",IF(OR(J1598=0,AND(J1598=1,K1598=1),AND(J1598=1,I1598="SBJ"),AND(J1598=1,I1598=0)),"?IN_FOCUS",IF(J1598&lt;=2,"?ACTIVATED",IF(J1598&lt;&gt;"","?FAMILIAR",IF(F1598="NEW",IF(ISNA(VLOOKUP(E1598,#REF!,1,FALSE())),"?TYPE_IDENTIFIABLE","?REFERENTIAL"),"_")))))</f>
        <v> </v>
      </c>
      <c r="H1598" s="24" t="str">
        <f>IF(J1598&lt;&gt;1,"",IF(I1598="SBJ","CB","?"))</f>
        <v> </v>
      </c>
      <c r="I1598" s="25" t="str">
        <f>IF(OR(E1598="",E1598="!!!",F1598="NEW"),"",INDEX(B1597:B$2,-1+SUMPRODUCT(MAX(ROW(E1597:E$2)*(E1598=E1597:E$2)))))</f>
        <v> </v>
      </c>
      <c r="J1598" s="25" t="str">
        <f>IF(OR(E1598="",E1598="!!!",F1598="NEW"),"",COUNTBLANK(OFFSET(A$1,,,SUMPRODUCT(MAX(ROW(E$2:E1598)*(E1598=E$2:E1598)))))-COUNTBLANK(OFFSET(A$1,,,SUMPRODUCT(MAX(ROW(E$1:E1597)*(E2=E$1:E1597))))))</f>
        <v> </v>
      </c>
      <c r="K1598" s="25" t="str">
        <f>IF(OR(E1598="",E1598="!!!",F1598="NEW"),"",INDEX(J$1:J1597,SUMPRODUCT(MAX(ROW(E$1:E1597)*(E1598=E$1:E1597)))))</f>
        <v> </v>
      </c>
      <c r="L1598" s="26"/>
    </row>
    <row r="1599" spans="1:12">
      <c r="A1599" s="20" t="s">
        <v>1002</v>
      </c>
      <c r="E1599" s="21">
        <f>IF(D1599="?OLD","!!!","")</f>
        <v/>
      </c>
      <c r="F1599" s="22" t="str">
        <f>IF(OR(E1599="",E1599="!!!"),"",IF(NOT(ISNA(VLOOKUP(E1599,E$1:E1598,1,FALSE()))),"OLD",IF(AND(E1599&lt;&gt;"",E1599&lt;&gt;"!!!"),"NEW","")))</f>
        <v> </v>
      </c>
      <c r="G1599" s="23" t="str">
        <f>IF(OR(E1599="",E1599="!!!"),"",IF(OR(J1599=0,AND(J1599=1,K1599=1),AND(J1599=1,I1599="SBJ"),AND(J1599=1,I1599=0)),"?IN_FOCUS",IF(J1599&lt;=2,"?ACTIVATED",IF(J1599&lt;&gt;"","?FAMILIAR",IF(F1599="NEW",IF(ISNA(VLOOKUP(E1599,#REF!,1,FALSE())),"?TYPE_IDENTIFIABLE","?REFERENTIAL"),"_")))))</f>
        <v> </v>
      </c>
      <c r="H1599" s="24" t="str">
        <f>IF(J1599&lt;&gt;1,"",IF(I1599="SBJ","CB","?"))</f>
        <v> </v>
      </c>
      <c r="I1599" s="25" t="str">
        <f>IF(OR(E1599="",E1599="!!!",F1599="NEW"),"",INDEX(B1598:B$2,-1+SUMPRODUCT(MAX(ROW(E1598:E$2)*(E1599=E1598:E$2)))))</f>
        <v> </v>
      </c>
      <c r="J1599" s="25" t="str">
        <f>IF(OR(E1599="",E1599="!!!",F1599="NEW"),"",COUNTBLANK(OFFSET(A$1,,,SUMPRODUCT(MAX(ROW(E$2:E1599)*(E1599=E$2:E1599)))))-COUNTBLANK(OFFSET(A$1,,,SUMPRODUCT(MAX(ROW(E$1:E1598)*(E2=E$1:E1598))))))</f>
        <v> </v>
      </c>
      <c r="K1599" s="25" t="str">
        <f>IF(OR(E1599="",E1599="!!!",F1599="NEW"),"",INDEX(J$1:J1598,SUMPRODUCT(MAX(ROW(E$1:E1598)*(E1599=E$1:E1598)))))</f>
        <v> </v>
      </c>
      <c r="L1599" s="26"/>
    </row>
    <row r="1600" spans="1:12">
      <c r="A1600" s="20" t="s">
        <v>1243</v>
      </c>
      <c r="E1600" s="21">
        <f>IF(D1600="?OLD","!!!","")</f>
        <v/>
      </c>
      <c r="F1600" s="22" t="str">
        <f>IF(OR(E1600="",E1600="!!!"),"",IF(NOT(ISNA(VLOOKUP(E1600,E$1:E1599,1,FALSE()))),"OLD",IF(AND(E1600&lt;&gt;"",E1600&lt;&gt;"!!!"),"NEW","")))</f>
        <v> </v>
      </c>
      <c r="G1600" s="23" t="str">
        <f>IF(OR(E1600="",E1600="!!!"),"",IF(OR(J1600=0,AND(J1600=1,K1600=1),AND(J1600=1,I1600="SBJ"),AND(J1600=1,I1600=0)),"?IN_FOCUS",IF(J1600&lt;=2,"?ACTIVATED",IF(J1600&lt;&gt;"","?FAMILIAR",IF(F1600="NEW",IF(ISNA(VLOOKUP(E1600,#REF!,1,FALSE())),"?TYPE_IDENTIFIABLE","?REFERENTIAL"),"_")))))</f>
        <v> </v>
      </c>
      <c r="H1600" s="24" t="str">
        <f>IF(J1600&lt;&gt;1,"",IF(I1600="SBJ","CB","?"))</f>
        <v> </v>
      </c>
      <c r="I1600" s="25" t="str">
        <f>IF(OR(E1600="",E1600="!!!",F1600="NEW"),"",INDEX(B1599:B$2,-1+SUMPRODUCT(MAX(ROW(E1599:E$2)*(E1600=E1599:E$2)))))</f>
        <v> </v>
      </c>
      <c r="J1600" s="25" t="str">
        <f>IF(OR(E1600="",E1600="!!!",F1600="NEW"),"",COUNTBLANK(OFFSET(A$1,,,SUMPRODUCT(MAX(ROW(E$2:E1600)*(E1600=E$2:E1600)))))-COUNTBLANK(OFFSET(A$1,,,SUMPRODUCT(MAX(ROW(E$1:E1599)*(E2=E$1:E1599))))))</f>
        <v> </v>
      </c>
      <c r="K1600" s="25" t="str">
        <f>IF(OR(E1600="",E1600="!!!",F1600="NEW"),"",INDEX(J$1:J1599,SUMPRODUCT(MAX(ROW(E$1:E1599)*(E1600=E$1:E1599)))))</f>
        <v> </v>
      </c>
      <c r="L1600" s="26"/>
    </row>
    <row r="1601" spans="1:12">
      <c r="A1601" s="20" t="s">
        <v>617</v>
      </c>
      <c r="E1601" s="21">
        <f>IF(D1601="?OLD","!!!","")</f>
        <v/>
      </c>
      <c r="F1601" s="22" t="str">
        <f>IF(OR(E1601="",E1601="!!!"),"",IF(NOT(ISNA(VLOOKUP(E1601,E$1:E1600,1,FALSE()))),"OLD",IF(AND(E1601&lt;&gt;"",E1601&lt;&gt;"!!!"),"NEW","")))</f>
        <v> </v>
      </c>
      <c r="G1601" s="23" t="str">
        <f>IF(OR(E1601="",E1601="!!!"),"",IF(OR(J1601=0,AND(J1601=1,K1601=1),AND(J1601=1,I1601="SBJ"),AND(J1601=1,I1601=0)),"?IN_FOCUS",IF(J1601&lt;=2,"?ACTIVATED",IF(J1601&lt;&gt;"","?FAMILIAR",IF(F1601="NEW",IF(ISNA(VLOOKUP(E1601,#REF!,1,FALSE())),"?TYPE_IDENTIFIABLE","?REFERENTIAL"),"_")))))</f>
        <v> </v>
      </c>
      <c r="H1601" s="24" t="str">
        <f>IF(J1601&lt;&gt;1,"",IF(I1601="SBJ","CB","?"))</f>
        <v> </v>
      </c>
      <c r="I1601" s="25" t="str">
        <f>IF(OR(E1601="",E1601="!!!",F1601="NEW"),"",INDEX(B1600:B$2,-1+SUMPRODUCT(MAX(ROW(E1600:E$2)*(E1601=E1600:E$2)))))</f>
        <v> </v>
      </c>
      <c r="J1601" s="25" t="str">
        <f>IF(OR(E1601="",E1601="!!!",F1601="NEW"),"",COUNTBLANK(OFFSET(A$1,,,SUMPRODUCT(MAX(ROW(E$2:E1601)*(E1601=E$2:E1601)))))-COUNTBLANK(OFFSET(A$1,,,SUMPRODUCT(MAX(ROW(E$1:E1600)*(E2=E$1:E1600))))))</f>
        <v> </v>
      </c>
      <c r="K1601" s="25" t="str">
        <f>IF(OR(E1601="",E1601="!!!",F1601="NEW"),"",INDEX(J$1:J1600,SUMPRODUCT(MAX(ROW(E$1:E1600)*(E1601=E$1:E1600)))))</f>
        <v> </v>
      </c>
      <c r="L1601" s="26"/>
    </row>
    <row r="1602" spans="1:12">
      <c r="A1602" s="20" t="s">
        <v>690</v>
      </c>
      <c r="B1602" s="27" t="s">
        <v>619</v>
      </c>
      <c r="E1602" s="21">
        <f>IF(D1602="?OLD","!!!","")</f>
        <v/>
      </c>
      <c r="F1602" s="22" t="str">
        <f>IF(OR(E1602="",E1602="!!!"),"",IF(NOT(ISNA(VLOOKUP(E1602,E$1:E1601,1,FALSE()))),"OLD",IF(AND(E1602&lt;&gt;"",E1602&lt;&gt;"!!!"),"NEW","")))</f>
        <v> </v>
      </c>
      <c r="G1602" s="23" t="str">
        <f>IF(OR(E1602="",E1602="!!!"),"",IF(OR(J1602=0,AND(J1602=1,K1602=1),AND(J1602=1,I1602="SBJ"),AND(J1602=1,I1602=0)),"?IN_FOCUS",IF(J1602&lt;=2,"?ACTIVATED",IF(J1602&lt;&gt;"","?FAMILIAR",IF(F1602="NEW",IF(ISNA(VLOOKUP(E1602,#REF!,1,FALSE())),"?TYPE_IDENTIFIABLE","?REFERENTIAL"),"_")))))</f>
        <v> </v>
      </c>
      <c r="H1602" s="24" t="str">
        <f>IF(J1602&lt;&gt;1,"",IF(I1602="SBJ","CB","?"))</f>
        <v> </v>
      </c>
      <c r="I1602" s="25" t="str">
        <f>IF(OR(E1602="",E1602="!!!",F1602="NEW"),"",INDEX(B1601:B$2,-1+SUMPRODUCT(MAX(ROW(E1601:E$2)*(E1602=E1601:E$2)))))</f>
        <v> </v>
      </c>
      <c r="J1602" s="25" t="str">
        <f>IF(OR(E1602="",E1602="!!!",F1602="NEW"),"",COUNTBLANK(OFFSET(A$1,,,SUMPRODUCT(MAX(ROW(E$2:E1602)*(E1602=E$2:E1602)))))-COUNTBLANK(OFFSET(A$1,,,SUMPRODUCT(MAX(ROW(E$1:E1601)*(E2=E$1:E1601))))))</f>
        <v> </v>
      </c>
      <c r="K1602" s="25" t="str">
        <f>IF(OR(E1602="",E1602="!!!",F1602="NEW"),"",INDEX(J$1:J1601,SUMPRODUCT(MAX(ROW(E$1:E1601)*(E1602=E$1:E1601)))))</f>
        <v> </v>
      </c>
      <c r="L1602" s="26"/>
    </row>
    <row r="1603" spans="1:12">
      <c r="A1603" s="20" t="s">
        <v>1064</v>
      </c>
      <c r="E1603" s="21">
        <f>IF(D1603="?OLD","!!!","")</f>
        <v/>
      </c>
      <c r="F1603" s="22" t="str">
        <f>IF(OR(E1603="",E1603="!!!"),"",IF(NOT(ISNA(VLOOKUP(E1603,E$1:E1602,1,FALSE()))),"OLD",IF(AND(E1603&lt;&gt;"",E1603&lt;&gt;"!!!"),"NEW","")))</f>
        <v> </v>
      </c>
      <c r="G1603" s="23" t="str">
        <f>IF(OR(E1603="",E1603="!!!"),"",IF(OR(J1603=0,AND(J1603=1,K1603=1),AND(J1603=1,I1603="SBJ"),AND(J1603=1,I1603=0)),"?IN_FOCUS",IF(J1603&lt;=2,"?ACTIVATED",IF(J1603&lt;&gt;"","?FAMILIAR",IF(F1603="NEW",IF(ISNA(VLOOKUP(E1603,#REF!,1,FALSE())),"?TYPE_IDENTIFIABLE","?REFERENTIAL"),"_")))))</f>
        <v> </v>
      </c>
      <c r="H1603" s="24" t="str">
        <f>IF(J1603&lt;&gt;1,"",IF(I1603="SBJ","CB","?"))</f>
        <v> </v>
      </c>
      <c r="I1603" s="25" t="str">
        <f>IF(OR(E1603="",E1603="!!!",F1603="NEW"),"",INDEX(B1602:B$2,-1+SUMPRODUCT(MAX(ROW(E1602:E$2)*(E1603=E1602:E$2)))))</f>
        <v> </v>
      </c>
      <c r="J1603" s="25" t="str">
        <f>IF(OR(E1603="",E1603="!!!",F1603="NEW"),"",COUNTBLANK(OFFSET(A$1,,,SUMPRODUCT(MAX(ROW(E$2:E1603)*(E1603=E$2:E1603)))))-COUNTBLANK(OFFSET(A$1,,,SUMPRODUCT(MAX(ROW(E$1:E1602)*(E2=E$1:E1602))))))</f>
        <v> </v>
      </c>
      <c r="K1603" s="25" t="str">
        <f>IF(OR(E1603="",E1603="!!!",F1603="NEW"),"",INDEX(J$1:J1602,SUMPRODUCT(MAX(ROW(E$1:E1602)*(E1603=E$1:E1602)))))</f>
        <v> </v>
      </c>
      <c r="L1603" s="26"/>
    </row>
    <row r="1604" spans="1:12">
      <c r="A1604" s="20" t="s">
        <v>644</v>
      </c>
      <c r="E1604" s="21">
        <f>IF(D1604="?OLD","!!!","")</f>
        <v/>
      </c>
      <c r="F1604" s="22" t="str">
        <f>IF(OR(E1604="",E1604="!!!"),"",IF(NOT(ISNA(VLOOKUP(E1604,E$1:E1603,1,FALSE()))),"OLD",IF(AND(E1604&lt;&gt;"",E1604&lt;&gt;"!!!"),"NEW","")))</f>
        <v> </v>
      </c>
      <c r="G1604" s="23" t="str">
        <f>IF(OR(E1604="",E1604="!!!"),"",IF(OR(J1604=0,AND(J1604=1,K1604=1),AND(J1604=1,I1604="SBJ"),AND(J1604=1,I1604=0)),"?IN_FOCUS",IF(J1604&lt;=2,"?ACTIVATED",IF(J1604&lt;&gt;"","?FAMILIAR",IF(F1604="NEW",IF(ISNA(VLOOKUP(E1604,#REF!,1,FALSE())),"?TYPE_IDENTIFIABLE","?REFERENTIAL"),"_")))))</f>
        <v> </v>
      </c>
      <c r="H1604" s="24" t="str">
        <f>IF(J1604&lt;&gt;1,"",IF(I1604="SBJ","CB","?"))</f>
        <v> </v>
      </c>
      <c r="I1604" s="25" t="str">
        <f>IF(OR(E1604="",E1604="!!!",F1604="NEW"),"",INDEX(B1603:B$2,-1+SUMPRODUCT(MAX(ROW(E1603:E$2)*(E1604=E1603:E$2)))))</f>
        <v> </v>
      </c>
      <c r="J1604" s="25" t="str">
        <f>IF(OR(E1604="",E1604="!!!",F1604="NEW"),"",COUNTBLANK(OFFSET(A$1,,,SUMPRODUCT(MAX(ROW(E$2:E1604)*(E1604=E$2:E1604)))))-COUNTBLANK(OFFSET(A$1,,,SUMPRODUCT(MAX(ROW(E$1:E1603)*(E2=E$1:E1603))))))</f>
        <v> </v>
      </c>
      <c r="K1604" s="25" t="str">
        <f>IF(OR(E1604="",E1604="!!!",F1604="NEW"),"",INDEX(J$1:J1603,SUMPRODUCT(MAX(ROW(E$1:E1603)*(E1604=E$1:E1603)))))</f>
        <v> </v>
      </c>
      <c r="L1604" s="26"/>
    </row>
    <row r="1605" spans="1:12">
      <c r="A1605" s="20" t="s">
        <v>1265</v>
      </c>
      <c r="E1605" s="21">
        <f>IF(D1605="?OLD","!!!","")</f>
        <v/>
      </c>
      <c r="F1605" s="22" t="str">
        <f>IF(OR(E1605="",E1605="!!!"),"",IF(NOT(ISNA(VLOOKUP(E1605,E$1:E1604,1,FALSE()))),"OLD",IF(AND(E1605&lt;&gt;"",E1605&lt;&gt;"!!!"),"NEW","")))</f>
        <v> </v>
      </c>
      <c r="G1605" s="23" t="str">
        <f>IF(OR(E1605="",E1605="!!!"),"",IF(OR(J1605=0,AND(J1605=1,K1605=1),AND(J1605=1,I1605="SBJ"),AND(J1605=1,I1605=0)),"?IN_FOCUS",IF(J1605&lt;=2,"?ACTIVATED",IF(J1605&lt;&gt;"","?FAMILIAR",IF(F1605="NEW",IF(ISNA(VLOOKUP(E1605,#REF!,1,FALSE())),"?TYPE_IDENTIFIABLE","?REFERENTIAL"),"_")))))</f>
        <v> </v>
      </c>
      <c r="H1605" s="24" t="str">
        <f>IF(J1605&lt;&gt;1,"",IF(I1605="SBJ","CB","?"))</f>
        <v> </v>
      </c>
      <c r="I1605" s="25" t="str">
        <f>IF(OR(E1605="",E1605="!!!",F1605="NEW"),"",INDEX(B1604:B$2,-1+SUMPRODUCT(MAX(ROW(E1604:E$2)*(E1605=E1604:E$2)))))</f>
        <v> </v>
      </c>
      <c r="J1605" s="25" t="str">
        <f>IF(OR(E1605="",E1605="!!!",F1605="NEW"),"",COUNTBLANK(OFFSET(A$1,,,SUMPRODUCT(MAX(ROW(E$2:E1605)*(E1605=E$2:E1605)))))-COUNTBLANK(OFFSET(A$1,,,SUMPRODUCT(MAX(ROW(E$1:E1604)*(E2=E$1:E1604))))))</f>
        <v> </v>
      </c>
      <c r="K1605" s="25" t="str">
        <f>IF(OR(E1605="",E1605="!!!",F1605="NEW"),"",INDEX(J$1:J1604,SUMPRODUCT(MAX(ROW(E$1:E1604)*(E1605=E$1:E1604)))))</f>
        <v> </v>
      </c>
      <c r="L1605" s="26"/>
    </row>
    <row r="1606" spans="1:12">
      <c r="A1606" s="20" t="s">
        <v>633</v>
      </c>
      <c r="E1606" s="21">
        <f>IF(D1606="?OLD","!!!","")</f>
        <v/>
      </c>
      <c r="F1606" s="22" t="str">
        <f>IF(OR(E1606="",E1606="!!!"),"",IF(NOT(ISNA(VLOOKUP(E1606,E$1:E1605,1,FALSE()))),"OLD",IF(AND(E1606&lt;&gt;"",E1606&lt;&gt;"!!!"),"NEW","")))</f>
        <v> </v>
      </c>
      <c r="G1606" s="23" t="str">
        <f>IF(OR(E1606="",E1606="!!!"),"",IF(OR(J1606=0,AND(J1606=1,K1606=1),AND(J1606=1,I1606="SBJ"),AND(J1606=1,I1606=0)),"?IN_FOCUS",IF(J1606&lt;=2,"?ACTIVATED",IF(J1606&lt;&gt;"","?FAMILIAR",IF(F1606="NEW",IF(ISNA(VLOOKUP(E1606,#REF!,1,FALSE())),"?TYPE_IDENTIFIABLE","?REFERENTIAL"),"_")))))</f>
        <v> </v>
      </c>
      <c r="H1606" s="24" t="str">
        <f>IF(J1606&lt;&gt;1,"",IF(I1606="SBJ","CB","?"))</f>
        <v> </v>
      </c>
      <c r="I1606" s="25" t="str">
        <f>IF(OR(E1606="",E1606="!!!",F1606="NEW"),"",INDEX(B1605:B$2,-1+SUMPRODUCT(MAX(ROW(E1605:E$2)*(E1606=E1605:E$2)))))</f>
        <v> </v>
      </c>
      <c r="J1606" s="25" t="str">
        <f>IF(OR(E1606="",E1606="!!!",F1606="NEW"),"",COUNTBLANK(OFFSET(A$1,,,SUMPRODUCT(MAX(ROW(E$2:E1606)*(E1606=E$2:E1606)))))-COUNTBLANK(OFFSET(A$1,,,SUMPRODUCT(MAX(ROW(E$1:E1605)*(E2=E$1:E1605))))))</f>
        <v> </v>
      </c>
      <c r="K1606" s="25" t="str">
        <f>IF(OR(E1606="",E1606="!!!",F1606="NEW"),"",INDEX(J$1:J1605,SUMPRODUCT(MAX(ROW(E$1:E1605)*(E1606=E$1:E1605)))))</f>
        <v> </v>
      </c>
      <c r="L1606" s="26"/>
    </row>
    <row r="1607" spans="1:12">
      <c r="A1607" s="20"/>
    </row>
    <row r="1608" spans="1:12">
      <c r="A1608" s="20" t="s">
        <v>1266</v>
      </c>
    </row>
    <row r="1609" spans="1:12">
      <c r="A1609" s="20" t="s">
        <v>661</v>
      </c>
      <c r="E1609" s="21">
        <f>IF(D1609="?OLD","!!!","")</f>
        <v/>
      </c>
      <c r="F1609" s="22" t="str">
        <f>IF(OR(E1609="",E1609="!!!"),"",IF(NOT(ISNA(VLOOKUP(E1609,E$1:E1608,1,FALSE()))),"OLD",IF(AND(E1609&lt;&gt;"",E1609&lt;&gt;"!!!"),"NEW","")))</f>
        <v> </v>
      </c>
      <c r="G1609" s="23" t="str">
        <f>IF(OR(E1609="",E1609="!!!"),"",IF(OR(J1609=0,AND(J1609=1,K1609=1),AND(J1609=1,I1609="SBJ"),AND(J1609=1,I1609=0)),"?IN_FOCUS",IF(J1609&lt;=2,"?ACTIVATED",IF(J1609&lt;&gt;"","?FAMILIAR",IF(F1609="NEW",IF(ISNA(VLOOKUP(E1609,#REF!,1,FALSE())),"?TYPE_IDENTIFIABLE","?REFERENTIAL"),"_")))))</f>
        <v> </v>
      </c>
      <c r="H1609" s="24" t="str">
        <f>IF(J1609&lt;&gt;1,"",IF(I1609="SBJ","CB","?"))</f>
        <v> </v>
      </c>
      <c r="I1609" s="25" t="str">
        <f>IF(OR(E1609="",E1609="!!!",F1609="NEW"),"",INDEX(B1608:B$2,-1+SUMPRODUCT(MAX(ROW(E1608:E$2)*(E1609=E1608:E$2)))))</f>
        <v> </v>
      </c>
      <c r="J1609" s="25" t="str">
        <f>IF(OR(E1609="",E1609="!!!",F1609="NEW"),"",COUNTBLANK(OFFSET(A$1,,,SUMPRODUCT(MAX(ROW(E$2:E1609)*(E1609=E$2:E1609)))))-COUNTBLANK(OFFSET(A$1,,,SUMPRODUCT(MAX(ROW(E$1:E1608)*(E2=E$1:E1608))))))</f>
        <v> </v>
      </c>
      <c r="K1609" s="25" t="str">
        <f>IF(OR(E1609="",E1609="!!!",F1609="NEW"),"",INDEX(J$1:J1608,SUMPRODUCT(MAX(ROW(E$1:E1608)*(E1609=E$1:E1608)))))</f>
        <v> </v>
      </c>
      <c r="L1609" s="26"/>
    </row>
    <row r="1610" spans="1:12">
      <c r="A1610" s="20" t="s">
        <v>690</v>
      </c>
      <c r="B1610" s="27" t="s">
        <v>636</v>
      </c>
      <c r="C1610" s="27" t="s">
        <v>614</v>
      </c>
      <c r="D1610" s="27" t="s">
        <v>608</v>
      </c>
      <c r="E1610" s="21">
        <f>IF(D1610="?OLD","!!!","")</f>
        <v/>
      </c>
      <c r="F1610" s="22" t="str">
        <f>IF(OR(E1610="",E1610="!!!"),"",IF(NOT(ISNA(VLOOKUP(E1610,E$1:E1609,1,FALSE()))),"OLD",IF(AND(E1610&lt;&gt;"",E1610&lt;&gt;"!!!"),"NEW","")))</f>
        <v> </v>
      </c>
      <c r="G1610" s="23" t="str">
        <f>IF(OR(E1610="",E1610="!!!"),"",IF(OR(J1610=0,AND(J1610=1,K1610=1),AND(J1610=1,I1610="SBJ"),AND(J1610=1,I1610=0)),"?IN_FOCUS",IF(J1610&lt;=2,"?ACTIVATED",IF(J1610&lt;&gt;"","?FAMILIAR",IF(F1610="NEW",IF(ISNA(VLOOKUP(E1610,#REF!,1,FALSE())),"?TYPE_IDENTIFIABLE","?REFERENTIAL"),"_")))))</f>
        <v> </v>
      </c>
      <c r="H1610" s="24" t="str">
        <f>IF(J1610&lt;&gt;1,"",IF(I1610="SBJ","CB","?"))</f>
        <v> </v>
      </c>
      <c r="I1610" s="25" t="str">
        <f>IF(OR(E1610="",E1610="!!!",F1610="NEW"),"",INDEX(B1609:B$2,-1+SUMPRODUCT(MAX(ROW(E1609:E$2)*(E1610=E1609:E$2)))))</f>
        <v> </v>
      </c>
      <c r="J1610" s="25" t="str">
        <f>IF(OR(E1610="",E1610="!!!",F1610="NEW"),"",COUNTBLANK(OFFSET(A$1,,,SUMPRODUCT(MAX(ROW(E$2:E1610)*(E1610=E$2:E1610)))))-COUNTBLANK(OFFSET(A$1,,,SUMPRODUCT(MAX(ROW(E$1:E1609)*(E2=E$1:E1609))))))</f>
        <v> </v>
      </c>
      <c r="K1610" s="25" t="str">
        <f>IF(OR(E1610="",E1610="!!!",F1610="NEW"),"",INDEX(J$1:J1609,SUMPRODUCT(MAX(ROW(E$1:E1609)*(E1610=E$1:E1609)))))</f>
        <v> </v>
      </c>
      <c r="L1610" s="26"/>
    </row>
    <row r="1611" spans="1:12">
      <c r="A1611" s="20" t="s">
        <v>1267</v>
      </c>
      <c r="E1611" s="21">
        <f>IF(D1611="?OLD","!!!","")</f>
        <v/>
      </c>
      <c r="F1611" s="22" t="str">
        <f>IF(OR(E1611="",E1611="!!!"),"",IF(NOT(ISNA(VLOOKUP(E1611,E$1:E1610,1,FALSE()))),"OLD",IF(AND(E1611&lt;&gt;"",E1611&lt;&gt;"!!!"),"NEW","")))</f>
        <v> </v>
      </c>
      <c r="G1611" s="23" t="str">
        <f>IF(OR(E1611="",E1611="!!!"),"",IF(OR(J1611=0,AND(J1611=1,K1611=1),AND(J1611=1,I1611="SBJ"),AND(J1611=1,I1611=0)),"?IN_FOCUS",IF(J1611&lt;=2,"?ACTIVATED",IF(J1611&lt;&gt;"","?FAMILIAR",IF(F1611="NEW",IF(ISNA(VLOOKUP(E1611,#REF!,1,FALSE())),"?TYPE_IDENTIFIABLE","?REFERENTIAL"),"_")))))</f>
        <v> </v>
      </c>
      <c r="H1611" s="24" t="str">
        <f>IF(J1611&lt;&gt;1,"",IF(I1611="SBJ","CB","?"))</f>
        <v> </v>
      </c>
      <c r="I1611" s="25" t="str">
        <f>IF(OR(E1611="",E1611="!!!",F1611="NEW"),"",INDEX(B1610:B$2,-1+SUMPRODUCT(MAX(ROW(E1610:E$2)*(E1611=E1610:E$2)))))</f>
        <v> </v>
      </c>
      <c r="J1611" s="25" t="str">
        <f>IF(OR(E1611="",E1611="!!!",F1611="NEW"),"",COUNTBLANK(OFFSET(A$1,,,SUMPRODUCT(MAX(ROW(E$2:E1611)*(E1611=E$2:E1611)))))-COUNTBLANK(OFFSET(A$1,,,SUMPRODUCT(MAX(ROW(E$1:E1610)*(E2=E$1:E1610))))))</f>
        <v> </v>
      </c>
      <c r="K1611" s="25" t="str">
        <f>IF(OR(E1611="",E1611="!!!",F1611="NEW"),"",INDEX(J$1:J1610,SUMPRODUCT(MAX(ROW(E$1:E1610)*(E1611=E$1:E1610)))))</f>
        <v> </v>
      </c>
      <c r="L1611" s="26"/>
    </row>
    <row r="1612" spans="1:12">
      <c r="A1612" s="20" t="s">
        <v>930</v>
      </c>
      <c r="E1612" s="21">
        <f>IF(D1612="?OLD","!!!","")</f>
        <v/>
      </c>
      <c r="F1612" s="22" t="str">
        <f>IF(OR(E1612="",E1612="!!!"),"",IF(NOT(ISNA(VLOOKUP(E1612,E$1:E1611,1,FALSE()))),"OLD",IF(AND(E1612&lt;&gt;"",E1612&lt;&gt;"!!!"),"NEW","")))</f>
        <v> </v>
      </c>
      <c r="G1612" s="23" t="str">
        <f>IF(OR(E1612="",E1612="!!!"),"",IF(OR(J1612=0,AND(J1612=1,K1612=1),AND(J1612=1,I1612="SBJ"),AND(J1612=1,I1612=0)),"?IN_FOCUS",IF(J1612&lt;=2,"?ACTIVATED",IF(J1612&lt;&gt;"","?FAMILIAR",IF(F1612="NEW",IF(ISNA(VLOOKUP(E1612,#REF!,1,FALSE())),"?TYPE_IDENTIFIABLE","?REFERENTIAL"),"_")))))</f>
        <v> </v>
      </c>
      <c r="H1612" s="24" t="str">
        <f>IF(J1612&lt;&gt;1,"",IF(I1612="SBJ","CB","?"))</f>
        <v> </v>
      </c>
      <c r="I1612" s="25" t="str">
        <f>IF(OR(E1612="",E1612="!!!",F1612="NEW"),"",INDEX(B1611:B$2,-1+SUMPRODUCT(MAX(ROW(E1611:E$2)*(E1612=E1611:E$2)))))</f>
        <v> </v>
      </c>
      <c r="J1612" s="25" t="str">
        <f>IF(OR(E1612="",E1612="!!!",F1612="NEW"),"",COUNTBLANK(OFFSET(A$1,,,SUMPRODUCT(MAX(ROW(E$2:E1612)*(E1612=E$2:E1612)))))-COUNTBLANK(OFFSET(A$1,,,SUMPRODUCT(MAX(ROW(E$1:E1611)*(E2=E$1:E1611))))))</f>
        <v> </v>
      </c>
      <c r="K1612" s="25" t="str">
        <f>IF(OR(E1612="",E1612="!!!",F1612="NEW"),"",INDEX(J$1:J1611,SUMPRODUCT(MAX(ROW(E$1:E1611)*(E1612=E$1:E1611)))))</f>
        <v> </v>
      </c>
      <c r="L1612" s="26"/>
    </row>
    <row r="1613" spans="1:12">
      <c r="A1613" s="20" t="s">
        <v>720</v>
      </c>
      <c r="E1613" s="21">
        <f>IF(D1613="?OLD","!!!","")</f>
        <v/>
      </c>
      <c r="F1613" s="22" t="str">
        <f>IF(OR(E1613="",E1613="!!!"),"",IF(NOT(ISNA(VLOOKUP(E1613,E$1:E1612,1,FALSE()))),"OLD",IF(AND(E1613&lt;&gt;"",E1613&lt;&gt;"!!!"),"NEW","")))</f>
        <v> </v>
      </c>
      <c r="G1613" s="23" t="str">
        <f>IF(OR(E1613="",E1613="!!!"),"",IF(OR(J1613=0,AND(J1613=1,K1613=1),AND(J1613=1,I1613="SBJ"),AND(J1613=1,I1613=0)),"?IN_FOCUS",IF(J1613&lt;=2,"?ACTIVATED",IF(J1613&lt;&gt;"","?FAMILIAR",IF(F1613="NEW",IF(ISNA(VLOOKUP(E1613,#REF!,1,FALSE())),"?TYPE_IDENTIFIABLE","?REFERENTIAL"),"_")))))</f>
        <v> </v>
      </c>
      <c r="H1613" s="24" t="str">
        <f>IF(J1613&lt;&gt;1,"",IF(I1613="SBJ","CB","?"))</f>
        <v> </v>
      </c>
      <c r="I1613" s="25" t="str">
        <f>IF(OR(E1613="",E1613="!!!",F1613="NEW"),"",INDEX(B1612:B$2,-1+SUMPRODUCT(MAX(ROW(E1612:E$2)*(E1613=E1612:E$2)))))</f>
        <v> </v>
      </c>
      <c r="J1613" s="25" t="str">
        <f>IF(OR(E1613="",E1613="!!!",F1613="NEW"),"",COUNTBLANK(OFFSET(A$1,,,SUMPRODUCT(MAX(ROW(E$2:E1613)*(E1613=E$2:E1613)))))-COUNTBLANK(OFFSET(A$1,,,SUMPRODUCT(MAX(ROW(E$1:E1612)*(E2=E$1:E1612))))))</f>
        <v> </v>
      </c>
      <c r="K1613" s="25" t="str">
        <f>IF(OR(E1613="",E1613="!!!",F1613="NEW"),"",INDEX(J$1:J1612,SUMPRODUCT(MAX(ROW(E$1:E1612)*(E1613=E$1:E1612)))))</f>
        <v> </v>
      </c>
      <c r="L1613" s="26"/>
    </row>
    <row r="1614" spans="1:12">
      <c r="A1614" s="20" t="s">
        <v>658</v>
      </c>
      <c r="E1614" s="21">
        <f>IF(D1614="?OLD","!!!","")</f>
        <v/>
      </c>
      <c r="F1614" s="22" t="str">
        <f>IF(OR(E1614="",E1614="!!!"),"",IF(NOT(ISNA(VLOOKUP(E1614,E$1:E1613,1,FALSE()))),"OLD",IF(AND(E1614&lt;&gt;"",E1614&lt;&gt;"!!!"),"NEW","")))</f>
        <v> </v>
      </c>
      <c r="G1614" s="23" t="str">
        <f>IF(OR(E1614="",E1614="!!!"),"",IF(OR(J1614=0,AND(J1614=1,K1614=1),AND(J1614=1,I1614="SBJ"),AND(J1614=1,I1614=0)),"?IN_FOCUS",IF(J1614&lt;=2,"?ACTIVATED",IF(J1614&lt;&gt;"","?FAMILIAR",IF(F1614="NEW",IF(ISNA(VLOOKUP(E1614,#REF!,1,FALSE())),"?TYPE_IDENTIFIABLE","?REFERENTIAL"),"_")))))</f>
        <v> </v>
      </c>
      <c r="H1614" s="24" t="str">
        <f>IF(J1614&lt;&gt;1,"",IF(I1614="SBJ","CB","?"))</f>
        <v> </v>
      </c>
      <c r="I1614" s="25" t="str">
        <f>IF(OR(E1614="",E1614="!!!",F1614="NEW"),"",INDEX(B1613:B$2,-1+SUMPRODUCT(MAX(ROW(E1613:E$2)*(E1614=E1613:E$2)))))</f>
        <v> </v>
      </c>
      <c r="J1614" s="25" t="str">
        <f>IF(OR(E1614="",E1614="!!!",F1614="NEW"),"",COUNTBLANK(OFFSET(A$1,,,SUMPRODUCT(MAX(ROW(E$2:E1614)*(E1614=E$2:E1614)))))-COUNTBLANK(OFFSET(A$1,,,SUMPRODUCT(MAX(ROW(E$1:E1613)*(E2=E$1:E1613))))))</f>
        <v> </v>
      </c>
      <c r="K1614" s="25" t="str">
        <f>IF(OR(E1614="",E1614="!!!",F1614="NEW"),"",INDEX(J$1:J1613,SUMPRODUCT(MAX(ROW(E$1:E1613)*(E1614=E$1:E1613)))))</f>
        <v> </v>
      </c>
      <c r="L1614" s="26"/>
    </row>
    <row r="1615" spans="1:12">
      <c r="A1615" s="20" t="s">
        <v>1268</v>
      </c>
      <c r="B1615" s="27" t="s">
        <v>606</v>
      </c>
      <c r="C1615" s="27" t="s">
        <v>750</v>
      </c>
      <c r="D1615" s="27" t="s">
        <v>608</v>
      </c>
      <c r="E1615" s="21">
        <f>IF(D1615="?OLD","!!!","")</f>
        <v/>
      </c>
      <c r="F1615" s="22" t="str">
        <f>IF(OR(E1615="",E1615="!!!"),"",IF(NOT(ISNA(VLOOKUP(E1615,E$1:E1614,1,FALSE()))),"OLD",IF(AND(E1615&lt;&gt;"",E1615&lt;&gt;"!!!"),"NEW","")))</f>
        <v> </v>
      </c>
      <c r="G1615" s="23" t="str">
        <f>IF(OR(E1615="",E1615="!!!"),"",IF(OR(J1615=0,AND(J1615=1,K1615=1),AND(J1615=1,I1615="SBJ"),AND(J1615=1,I1615=0)),"?IN_FOCUS",IF(J1615&lt;=2,"?ACTIVATED",IF(J1615&lt;&gt;"","?FAMILIAR",IF(F1615="NEW",IF(ISNA(VLOOKUP(E1615,#REF!,1,FALSE())),"?TYPE_IDENTIFIABLE","?REFERENTIAL"),"_")))))</f>
        <v> </v>
      </c>
      <c r="H1615" s="24" t="str">
        <f>IF(J1615&lt;&gt;1,"",IF(I1615="SBJ","CB","?"))</f>
        <v> </v>
      </c>
      <c r="I1615" s="25" t="str">
        <f>IF(OR(E1615="",E1615="!!!",F1615="NEW"),"",INDEX(B1614:B$2,-1+SUMPRODUCT(MAX(ROW(E1614:E$2)*(E1615=E1614:E$2)))))</f>
        <v> </v>
      </c>
      <c r="J1615" s="25" t="str">
        <f>IF(OR(E1615="",E1615="!!!",F1615="NEW"),"",COUNTBLANK(OFFSET(A$1,,,SUMPRODUCT(MAX(ROW(E$2:E1615)*(E1615=E$2:E1615)))))-COUNTBLANK(OFFSET(A$1,,,SUMPRODUCT(MAX(ROW(E$1:E1614)*(E2=E$1:E1614))))))</f>
        <v> </v>
      </c>
      <c r="K1615" s="25" t="str">
        <f>IF(OR(E1615="",E1615="!!!",F1615="NEW"),"",INDEX(J$1:J1614,SUMPRODUCT(MAX(ROW(E$1:E1614)*(E1615=E$1:E1614)))))</f>
        <v> </v>
      </c>
      <c r="L1615" s="26"/>
    </row>
    <row r="1616" spans="1:12">
      <c r="A1616" s="20" t="s">
        <v>609</v>
      </c>
      <c r="E1616" s="21">
        <f>IF(D1616="?OLD","!!!","")</f>
        <v/>
      </c>
      <c r="F1616" s="22" t="str">
        <f>IF(OR(E1616="",E1616="!!!"),"",IF(NOT(ISNA(VLOOKUP(E1616,E$1:E1615,1,FALSE()))),"OLD",IF(AND(E1616&lt;&gt;"",E1616&lt;&gt;"!!!"),"NEW","")))</f>
        <v> </v>
      </c>
      <c r="G1616" s="23" t="str">
        <f>IF(OR(E1616="",E1616="!!!"),"",IF(OR(J1616=0,AND(J1616=1,K1616=1),AND(J1616=1,I1616="SBJ"),AND(J1616=1,I1616=0)),"?IN_FOCUS",IF(J1616&lt;=2,"?ACTIVATED",IF(J1616&lt;&gt;"","?FAMILIAR",IF(F1616="NEW",IF(ISNA(VLOOKUP(E1616,#REF!,1,FALSE())),"?TYPE_IDENTIFIABLE","?REFERENTIAL"),"_")))))</f>
        <v> </v>
      </c>
      <c r="H1616" s="24" t="str">
        <f>IF(J1616&lt;&gt;1,"",IF(I1616="SBJ","CB","?"))</f>
        <v> </v>
      </c>
      <c r="I1616" s="25" t="str">
        <f>IF(OR(E1616="",E1616="!!!",F1616="NEW"),"",INDEX(B1615:B$2,-1+SUMPRODUCT(MAX(ROW(E1615:E$2)*(E1616=E1615:E$2)))))</f>
        <v> </v>
      </c>
      <c r="J1616" s="25" t="str">
        <f>IF(OR(E1616="",E1616="!!!",F1616="NEW"),"",COUNTBLANK(OFFSET(A$1,,,SUMPRODUCT(MAX(ROW(E$2:E1616)*(E1616=E$2:E1616)))))-COUNTBLANK(OFFSET(A$1,,,SUMPRODUCT(MAX(ROW(E$1:E1615)*(E2=E$1:E1615))))))</f>
        <v> </v>
      </c>
      <c r="K1616" s="25" t="str">
        <f>IF(OR(E1616="",E1616="!!!",F1616="NEW"),"",INDEX(J$1:J1615,SUMPRODUCT(MAX(ROW(E$1:E1615)*(E1616=E$1:E1615)))))</f>
        <v> </v>
      </c>
      <c r="L1616" s="26"/>
    </row>
    <row r="1617" spans="1:12">
      <c r="A1617" s="20" t="s">
        <v>630</v>
      </c>
      <c r="B1617" s="27" t="s">
        <v>611</v>
      </c>
      <c r="C1617" s="27" t="s">
        <v>631</v>
      </c>
      <c r="D1617" s="27" t="s">
        <v>608</v>
      </c>
      <c r="E1617" s="21">
        <f>IF(D1617="?OLD","!!!","")</f>
        <v/>
      </c>
      <c r="F1617" s="22" t="str">
        <f>IF(OR(E1617="",E1617="!!!"),"",IF(NOT(ISNA(VLOOKUP(E1617,E$1:E1616,1,FALSE()))),"OLD",IF(AND(E1617&lt;&gt;"",E1617&lt;&gt;"!!!"),"NEW","")))</f>
        <v> </v>
      </c>
      <c r="G1617" s="23" t="str">
        <f>IF(OR(E1617="",E1617="!!!"),"",IF(OR(J1617=0,AND(J1617=1,K1617=1),AND(J1617=1,I1617="SBJ"),AND(J1617=1,I1617=0)),"?IN_FOCUS",IF(J1617&lt;=2,"?ACTIVATED",IF(J1617&lt;&gt;"","?FAMILIAR",IF(F1617="NEW",IF(ISNA(VLOOKUP(E1617,#REF!,1,FALSE())),"?TYPE_IDENTIFIABLE","?REFERENTIAL"),"_")))))</f>
        <v> </v>
      </c>
      <c r="H1617" s="24" t="str">
        <f>IF(J1617&lt;&gt;1,"",IF(I1617="SBJ","CB","?"))</f>
        <v> </v>
      </c>
      <c r="I1617" s="25" t="str">
        <f>IF(OR(E1617="",E1617="!!!",F1617="NEW"),"",INDEX(B1616:B$2,-1+SUMPRODUCT(MAX(ROW(E1616:E$2)*(E1617=E1616:E$2)))))</f>
        <v> </v>
      </c>
      <c r="J1617" s="25" t="str">
        <f>IF(OR(E1617="",E1617="!!!",F1617="NEW"),"",COUNTBLANK(OFFSET(A$1,,,SUMPRODUCT(MAX(ROW(E$2:E1617)*(E1617=E$2:E1617)))))-COUNTBLANK(OFFSET(A$1,,,SUMPRODUCT(MAX(ROW(E$1:E1616)*(E2=E$1:E1616))))))</f>
        <v> </v>
      </c>
      <c r="K1617" s="25" t="str">
        <f>IF(OR(E1617="",E1617="!!!",F1617="NEW"),"",INDEX(J$1:J1616,SUMPRODUCT(MAX(ROW(E$1:E1616)*(E1617=E$1:E1616)))))</f>
        <v> </v>
      </c>
      <c r="L1617" s="26"/>
    </row>
    <row r="1618" spans="1:12">
      <c r="A1618" s="20" t="s">
        <v>710</v>
      </c>
      <c r="B1618" s="27" t="s">
        <v>664</v>
      </c>
      <c r="C1618" s="27" t="s">
        <v>614</v>
      </c>
      <c r="D1618" s="27" t="s">
        <v>608</v>
      </c>
      <c r="E1618" s="21">
        <f>IF(D1618="?OLD","!!!","")</f>
        <v/>
      </c>
      <c r="F1618" s="22" t="str">
        <f>IF(OR(E1618="",E1618="!!!"),"",IF(NOT(ISNA(VLOOKUP(E1618,E$1:E1617,1,FALSE()))),"OLD",IF(AND(E1618&lt;&gt;"",E1618&lt;&gt;"!!!"),"NEW","")))</f>
        <v> </v>
      </c>
      <c r="G1618" s="23" t="str">
        <f>IF(OR(E1618="",E1618="!!!"),"",IF(OR(J1618=0,AND(J1618=1,K1618=1),AND(J1618=1,I1618="SBJ"),AND(J1618=1,I1618=0)),"?IN_FOCUS",IF(J1618&lt;=2,"?ACTIVATED",IF(J1618&lt;&gt;"","?FAMILIAR",IF(F1618="NEW",IF(ISNA(VLOOKUP(E1618,#REF!,1,FALSE())),"?TYPE_IDENTIFIABLE","?REFERENTIAL"),"_")))))</f>
        <v> </v>
      </c>
      <c r="H1618" s="24" t="str">
        <f>IF(J1618&lt;&gt;1,"",IF(I1618="SBJ","CB","?"))</f>
        <v> </v>
      </c>
      <c r="I1618" s="25" t="str">
        <f>IF(OR(E1618="",E1618="!!!",F1618="NEW"),"",INDEX(B1617:B$2,-1+SUMPRODUCT(MAX(ROW(E1617:E$2)*(E1618=E1617:E$2)))))</f>
        <v> </v>
      </c>
      <c r="J1618" s="25" t="str">
        <f>IF(OR(E1618="",E1618="!!!",F1618="NEW"),"",COUNTBLANK(OFFSET(A$1,,,SUMPRODUCT(MAX(ROW(E$2:E1618)*(E1618=E$2:E1618)))))-COUNTBLANK(OFFSET(A$1,,,SUMPRODUCT(MAX(ROW(E$1:E1617)*(E2=E$1:E1617))))))</f>
        <v> </v>
      </c>
      <c r="K1618" s="25" t="str">
        <f>IF(OR(E1618="",E1618="!!!",F1618="NEW"),"",INDEX(J$1:J1617,SUMPRODUCT(MAX(ROW(E$1:E1617)*(E1618=E$1:E1617)))))</f>
        <v> </v>
      </c>
      <c r="L1618" s="26"/>
    </row>
    <row r="1619" spans="1:12">
      <c r="A1619" s="20" t="s">
        <v>996</v>
      </c>
      <c r="B1619" s="27" t="s">
        <v>625</v>
      </c>
      <c r="C1619" s="27" t="s">
        <v>616</v>
      </c>
      <c r="D1619" s="27" t="s">
        <v>608</v>
      </c>
      <c r="E1619" s="21">
        <f>IF(D1619="?OLD","!!!","")</f>
        <v/>
      </c>
      <c r="F1619" s="22" t="str">
        <f>IF(OR(E1619="",E1619="!!!"),"",IF(NOT(ISNA(VLOOKUP(E1619,E$1:E1618,1,FALSE()))),"OLD",IF(AND(E1619&lt;&gt;"",E1619&lt;&gt;"!!!"),"NEW","")))</f>
        <v> </v>
      </c>
      <c r="G1619" s="23" t="str">
        <f>IF(OR(E1619="",E1619="!!!"),"",IF(OR(J1619=0,AND(J1619=1,K1619=1),AND(J1619=1,I1619="SBJ"),AND(J1619=1,I1619=0)),"?IN_FOCUS",IF(J1619&lt;=2,"?ACTIVATED",IF(J1619&lt;&gt;"","?FAMILIAR",IF(F1619="NEW",IF(ISNA(VLOOKUP(E1619,#REF!,1,FALSE())),"?TYPE_IDENTIFIABLE","?REFERENTIAL"),"_")))))</f>
        <v> </v>
      </c>
      <c r="H1619" s="24" t="str">
        <f>IF(J1619&lt;&gt;1,"",IF(I1619="SBJ","CB","?"))</f>
        <v> </v>
      </c>
      <c r="I1619" s="25" t="str">
        <f>IF(OR(E1619="",E1619="!!!",F1619="NEW"),"",INDEX(B1618:B$2,-1+SUMPRODUCT(MAX(ROW(E1618:E$2)*(E1619=E1618:E$2)))))</f>
        <v> </v>
      </c>
      <c r="J1619" s="25" t="str">
        <f>IF(OR(E1619="",E1619="!!!",F1619="NEW"),"",COUNTBLANK(OFFSET(A$1,,,SUMPRODUCT(MAX(ROW(E$2:E1619)*(E1619=E$2:E1619)))))-COUNTBLANK(OFFSET(A$1,,,SUMPRODUCT(MAX(ROW(E$1:E1618)*(E2=E$1:E1618))))))</f>
        <v> </v>
      </c>
      <c r="K1619" s="25" t="str">
        <f>IF(OR(E1619="",E1619="!!!",F1619="NEW"),"",INDEX(J$1:J1618,SUMPRODUCT(MAX(ROW(E$1:E1618)*(E1619=E$1:E1618)))))</f>
        <v> </v>
      </c>
      <c r="L1619" s="26"/>
    </row>
    <row r="1620" spans="1:12">
      <c r="A1620" s="20" t="s">
        <v>633</v>
      </c>
      <c r="E1620" s="21">
        <f>IF(D1620="?OLD","!!!","")</f>
        <v/>
      </c>
      <c r="F1620" s="22" t="str">
        <f>IF(OR(E1620="",E1620="!!!"),"",IF(NOT(ISNA(VLOOKUP(E1620,E$1:E1619,1,FALSE()))),"OLD",IF(AND(E1620&lt;&gt;"",E1620&lt;&gt;"!!!"),"NEW","")))</f>
        <v> </v>
      </c>
      <c r="G1620" s="23" t="str">
        <f>IF(OR(E1620="",E1620="!!!"),"",IF(OR(J1620=0,AND(J1620=1,K1620=1),AND(J1620=1,I1620="SBJ"),AND(J1620=1,I1620=0)),"?IN_FOCUS",IF(J1620&lt;=2,"?ACTIVATED",IF(J1620&lt;&gt;"","?FAMILIAR",IF(F1620="NEW",IF(ISNA(VLOOKUP(E1620,#REF!,1,FALSE())),"?TYPE_IDENTIFIABLE","?REFERENTIAL"),"_")))))</f>
        <v> </v>
      </c>
      <c r="H1620" s="24" t="str">
        <f>IF(J1620&lt;&gt;1,"",IF(I1620="SBJ","CB","?"))</f>
        <v> </v>
      </c>
      <c r="I1620" s="25" t="str">
        <f>IF(OR(E1620="",E1620="!!!",F1620="NEW"),"",INDEX(B1619:B$2,-1+SUMPRODUCT(MAX(ROW(E1619:E$2)*(E1620=E1619:E$2)))))</f>
        <v> </v>
      </c>
      <c r="J1620" s="25" t="str">
        <f>IF(OR(E1620="",E1620="!!!",F1620="NEW"),"",COUNTBLANK(OFFSET(A$1,,,SUMPRODUCT(MAX(ROW(E$2:E1620)*(E1620=E$2:E1620)))))-COUNTBLANK(OFFSET(A$1,,,SUMPRODUCT(MAX(ROW(E$1:E1619)*(E2=E$1:E1619))))))</f>
        <v> </v>
      </c>
      <c r="K1620" s="25" t="str">
        <f>IF(OR(E1620="",E1620="!!!",F1620="NEW"),"",INDEX(J$1:J1619,SUMPRODUCT(MAX(ROW(E$1:E1619)*(E1620=E$1:E1619)))))</f>
        <v> </v>
      </c>
      <c r="L1620" s="26"/>
    </row>
    <row r="1621" spans="1:12">
      <c r="A1621" s="20"/>
    </row>
    <row r="1622" spans="1:12">
      <c r="A1622" s="20" t="s">
        <v>1269</v>
      </c>
    </row>
    <row r="1623" spans="1:12">
      <c r="A1623" s="20" t="s">
        <v>877</v>
      </c>
      <c r="E1623" s="21">
        <f>IF(D1623="?OLD","!!!","")</f>
        <v/>
      </c>
      <c r="F1623" s="22" t="str">
        <f>IF(OR(E1623="",E1623="!!!"),"",IF(NOT(ISNA(VLOOKUP(E1623,E$1:E1622,1,FALSE()))),"OLD",IF(AND(E1623&lt;&gt;"",E1623&lt;&gt;"!!!"),"NEW","")))</f>
        <v> </v>
      </c>
      <c r="G1623" s="23" t="str">
        <f>IF(OR(E1623="",E1623="!!!"),"",IF(OR(J1623=0,AND(J1623=1,K1623=1),AND(J1623=1,I1623="SBJ"),AND(J1623=1,I1623=0)),"?IN_FOCUS",IF(J1623&lt;=2,"?ACTIVATED",IF(J1623&lt;&gt;"","?FAMILIAR",IF(F1623="NEW",IF(ISNA(VLOOKUP(E1623,#REF!,1,FALSE())),"?TYPE_IDENTIFIABLE","?REFERENTIAL"),"_")))))</f>
        <v> </v>
      </c>
      <c r="H1623" s="24" t="str">
        <f>IF(J1623&lt;&gt;1,"",IF(I1623="SBJ","CB","?"))</f>
        <v> </v>
      </c>
      <c r="I1623" s="25" t="str">
        <f>IF(OR(E1623="",E1623="!!!",F1623="NEW"),"",INDEX(B1622:B$2,-1+SUMPRODUCT(MAX(ROW(E1622:E$2)*(E1623=E1622:E$2)))))</f>
        <v> </v>
      </c>
      <c r="J1623" s="25" t="str">
        <f>IF(OR(E1623="",E1623="!!!",F1623="NEW"),"",COUNTBLANK(OFFSET(A$1,,,SUMPRODUCT(MAX(ROW(E$2:E1623)*(E1623=E$2:E1623)))))-COUNTBLANK(OFFSET(A$1,,,SUMPRODUCT(MAX(ROW(E$1:E1622)*(E2=E$1:E1622))))))</f>
        <v> </v>
      </c>
      <c r="K1623" s="25" t="str">
        <f>IF(OR(E1623="",E1623="!!!",F1623="NEW"),"",INDEX(J$1:J1622,SUMPRODUCT(MAX(ROW(E$1:E1622)*(E1623=E$1:E1622)))))</f>
        <v> </v>
      </c>
      <c r="L1623" s="26"/>
    </row>
    <row r="1624" spans="1:12">
      <c r="A1624" s="20" t="s">
        <v>1268</v>
      </c>
      <c r="B1624" s="27" t="s">
        <v>636</v>
      </c>
      <c r="C1624" s="27" t="s">
        <v>750</v>
      </c>
      <c r="D1624" s="27" t="s">
        <v>608</v>
      </c>
      <c r="E1624" s="21">
        <f>IF(D1624="?OLD","!!!","")</f>
        <v/>
      </c>
      <c r="F1624" s="22" t="str">
        <f>IF(OR(E1624="",E1624="!!!"),"",IF(NOT(ISNA(VLOOKUP(E1624,E$1:E1623,1,FALSE()))),"OLD",IF(AND(E1624&lt;&gt;"",E1624&lt;&gt;"!!!"),"NEW","")))</f>
        <v> </v>
      </c>
      <c r="G1624" s="23" t="str">
        <f>IF(OR(E1624="",E1624="!!!"),"",IF(OR(J1624=0,AND(J1624=1,K1624=1),AND(J1624=1,I1624="SBJ"),AND(J1624=1,I1624=0)),"?IN_FOCUS",IF(J1624&lt;=2,"?ACTIVATED",IF(J1624&lt;&gt;"","?FAMILIAR",IF(F1624="NEW",IF(ISNA(VLOOKUP(E1624,#REF!,1,FALSE())),"?TYPE_IDENTIFIABLE","?REFERENTIAL"),"_")))))</f>
        <v> </v>
      </c>
      <c r="H1624" s="24" t="str">
        <f>IF(J1624&lt;&gt;1,"",IF(I1624="SBJ","CB","?"))</f>
        <v> </v>
      </c>
      <c r="I1624" s="25" t="str">
        <f>IF(OR(E1624="",E1624="!!!",F1624="NEW"),"",INDEX(B1623:B$2,-1+SUMPRODUCT(MAX(ROW(E1623:E$2)*(E1624=E1623:E$2)))))</f>
        <v> </v>
      </c>
      <c r="J1624" s="25" t="str">
        <f>IF(OR(E1624="",E1624="!!!",F1624="NEW"),"",COUNTBLANK(OFFSET(A$1,,,SUMPRODUCT(MAX(ROW(E$2:E1624)*(E1624=E$2:E1624)))))-COUNTBLANK(OFFSET(A$1,,,SUMPRODUCT(MAX(ROW(E$1:E1623)*(E2=E$1:E1623))))))</f>
        <v> </v>
      </c>
      <c r="K1624" s="25" t="str">
        <f>IF(OR(E1624="",E1624="!!!",F1624="NEW"),"",INDEX(J$1:J1623,SUMPRODUCT(MAX(ROW(E$1:E1623)*(E1624=E$1:E1623)))))</f>
        <v> </v>
      </c>
      <c r="L1624" s="26"/>
    </row>
    <row r="1625" spans="1:12">
      <c r="A1625" s="20" t="s">
        <v>609</v>
      </c>
      <c r="E1625" s="21">
        <f>IF(D1625="?OLD","!!!","")</f>
        <v/>
      </c>
      <c r="F1625" s="22" t="str">
        <f>IF(OR(E1625="",E1625="!!!"),"",IF(NOT(ISNA(VLOOKUP(E1625,E$1:E1624,1,FALSE()))),"OLD",IF(AND(E1625&lt;&gt;"",E1625&lt;&gt;"!!!"),"NEW","")))</f>
        <v> </v>
      </c>
      <c r="G1625" s="23" t="str">
        <f>IF(OR(E1625="",E1625="!!!"),"",IF(OR(J1625=0,AND(J1625=1,K1625=1),AND(J1625=1,I1625="SBJ"),AND(J1625=1,I1625=0)),"?IN_FOCUS",IF(J1625&lt;=2,"?ACTIVATED",IF(J1625&lt;&gt;"","?FAMILIAR",IF(F1625="NEW",IF(ISNA(VLOOKUP(E1625,#REF!,1,FALSE())),"?TYPE_IDENTIFIABLE","?REFERENTIAL"),"_")))))</f>
        <v> </v>
      </c>
      <c r="H1625" s="24" t="str">
        <f>IF(J1625&lt;&gt;1,"",IF(I1625="SBJ","CB","?"))</f>
        <v> </v>
      </c>
      <c r="I1625" s="25" t="str">
        <f>IF(OR(E1625="",E1625="!!!",F1625="NEW"),"",INDEX(B1624:B$2,-1+SUMPRODUCT(MAX(ROW(E1624:E$2)*(E1625=E1624:E$2)))))</f>
        <v> </v>
      </c>
      <c r="J1625" s="25" t="str">
        <f>IF(OR(E1625="",E1625="!!!",F1625="NEW"),"",COUNTBLANK(OFFSET(A$1,,,SUMPRODUCT(MAX(ROW(E$2:E1625)*(E1625=E$2:E1625)))))-COUNTBLANK(OFFSET(A$1,,,SUMPRODUCT(MAX(ROW(E$1:E1624)*(E2=E$1:E1624))))))</f>
        <v> </v>
      </c>
      <c r="K1625" s="25" t="str">
        <f>IF(OR(E1625="",E1625="!!!",F1625="NEW"),"",INDEX(J$1:J1624,SUMPRODUCT(MAX(ROW(E$1:E1624)*(E1625=E$1:E1624)))))</f>
        <v> </v>
      </c>
      <c r="L1625" s="26"/>
    </row>
    <row r="1626" spans="1:12">
      <c r="A1626" s="20" t="s">
        <v>630</v>
      </c>
      <c r="B1626" s="27" t="s">
        <v>611</v>
      </c>
      <c r="C1626" s="27" t="s">
        <v>631</v>
      </c>
      <c r="D1626" s="27" t="s">
        <v>608</v>
      </c>
      <c r="E1626" s="21">
        <f>IF(D1626="?OLD","!!!","")</f>
        <v/>
      </c>
      <c r="F1626" s="22" t="str">
        <f>IF(OR(E1626="",E1626="!!!"),"",IF(NOT(ISNA(VLOOKUP(E1626,E$1:E1625,1,FALSE()))),"OLD",IF(AND(E1626&lt;&gt;"",E1626&lt;&gt;"!!!"),"NEW","")))</f>
        <v> </v>
      </c>
      <c r="G1626" s="23" t="str">
        <f>IF(OR(E1626="",E1626="!!!"),"",IF(OR(J1626=0,AND(J1626=1,K1626=1),AND(J1626=1,I1626="SBJ"),AND(J1626=1,I1626=0)),"?IN_FOCUS",IF(J1626&lt;=2,"?ACTIVATED",IF(J1626&lt;&gt;"","?FAMILIAR",IF(F1626="NEW",IF(ISNA(VLOOKUP(E1626,#REF!,1,FALSE())),"?TYPE_IDENTIFIABLE","?REFERENTIAL"),"_")))))</f>
        <v> </v>
      </c>
      <c r="H1626" s="24" t="str">
        <f>IF(J1626&lt;&gt;1,"",IF(I1626="SBJ","CB","?"))</f>
        <v> </v>
      </c>
      <c r="I1626" s="25" t="str">
        <f>IF(OR(E1626="",E1626="!!!",F1626="NEW"),"",INDEX(B1625:B$2,-1+SUMPRODUCT(MAX(ROW(E1625:E$2)*(E1626=E1625:E$2)))))</f>
        <v> </v>
      </c>
      <c r="J1626" s="25" t="str">
        <f>IF(OR(E1626="",E1626="!!!",F1626="NEW"),"",COUNTBLANK(OFFSET(A$1,,,SUMPRODUCT(MAX(ROW(E$2:E1626)*(E1626=E$2:E1626)))))-COUNTBLANK(OFFSET(A$1,,,SUMPRODUCT(MAX(ROW(E$1:E1625)*(E2=E$1:E1625))))))</f>
        <v> </v>
      </c>
      <c r="K1626" s="25" t="str">
        <f>IF(OR(E1626="",E1626="!!!",F1626="NEW"),"",INDEX(J$1:J1625,SUMPRODUCT(MAX(ROW(E$1:E1625)*(E1626=E$1:E1625)))))</f>
        <v> </v>
      </c>
      <c r="L1626" s="26"/>
    </row>
    <row r="1627" spans="1:12">
      <c r="A1627" s="20" t="s">
        <v>710</v>
      </c>
      <c r="B1627" s="27" t="s">
        <v>664</v>
      </c>
      <c r="C1627" s="27" t="s">
        <v>614</v>
      </c>
      <c r="D1627" s="27" t="s">
        <v>608</v>
      </c>
      <c r="E1627" s="21">
        <f>IF(D1627="?OLD","!!!","")</f>
        <v/>
      </c>
      <c r="F1627" s="22" t="str">
        <f>IF(OR(E1627="",E1627="!!!"),"",IF(NOT(ISNA(VLOOKUP(E1627,E$1:E1626,1,FALSE()))),"OLD",IF(AND(E1627&lt;&gt;"",E1627&lt;&gt;"!!!"),"NEW","")))</f>
        <v> </v>
      </c>
      <c r="G1627" s="23" t="str">
        <f>IF(OR(E1627="",E1627="!!!"),"",IF(OR(J1627=0,AND(J1627=1,K1627=1),AND(J1627=1,I1627="SBJ"),AND(J1627=1,I1627=0)),"?IN_FOCUS",IF(J1627&lt;=2,"?ACTIVATED",IF(J1627&lt;&gt;"","?FAMILIAR",IF(F1627="NEW",IF(ISNA(VLOOKUP(E1627,#REF!,1,FALSE())),"?TYPE_IDENTIFIABLE","?REFERENTIAL"),"_")))))</f>
        <v> </v>
      </c>
      <c r="H1627" s="24" t="str">
        <f>IF(J1627&lt;&gt;1,"",IF(I1627="SBJ","CB","?"))</f>
        <v> </v>
      </c>
      <c r="I1627" s="25" t="str">
        <f>IF(OR(E1627="",E1627="!!!",F1627="NEW"),"",INDEX(B1626:B$2,-1+SUMPRODUCT(MAX(ROW(E1626:E$2)*(E1627=E1626:E$2)))))</f>
        <v> </v>
      </c>
      <c r="J1627" s="25" t="str">
        <f>IF(OR(E1627="",E1627="!!!",F1627="NEW"),"",COUNTBLANK(OFFSET(A$1,,,SUMPRODUCT(MAX(ROW(E$2:E1627)*(E1627=E$2:E1627)))))-COUNTBLANK(OFFSET(A$1,,,SUMPRODUCT(MAX(ROW(E$1:E1626)*(E2=E$1:E1626))))))</f>
        <v> </v>
      </c>
      <c r="K1627" s="25" t="str">
        <f>IF(OR(E1627="",E1627="!!!",F1627="NEW"),"",INDEX(J$1:J1626,SUMPRODUCT(MAX(ROW(E$1:E1626)*(E1627=E$1:E1626)))))</f>
        <v> </v>
      </c>
      <c r="L1627" s="26"/>
    </row>
    <row r="1628" spans="1:12">
      <c r="A1628" s="20" t="s">
        <v>996</v>
      </c>
      <c r="B1628" s="27" t="s">
        <v>625</v>
      </c>
      <c r="C1628" s="27" t="s">
        <v>616</v>
      </c>
      <c r="D1628" s="27" t="s">
        <v>608</v>
      </c>
      <c r="E1628" s="21">
        <f>IF(D1628="?OLD","!!!","")</f>
        <v/>
      </c>
      <c r="F1628" s="22" t="str">
        <f>IF(OR(E1628="",E1628="!!!"),"",IF(NOT(ISNA(VLOOKUP(E1628,E$1:E1627,1,FALSE()))),"OLD",IF(AND(E1628&lt;&gt;"",E1628&lt;&gt;"!!!"),"NEW","")))</f>
        <v> </v>
      </c>
      <c r="G1628" s="23" t="str">
        <f>IF(OR(E1628="",E1628="!!!"),"",IF(OR(J1628=0,AND(J1628=1,K1628=1),AND(J1628=1,I1628="SBJ"),AND(J1628=1,I1628=0)),"?IN_FOCUS",IF(J1628&lt;=2,"?ACTIVATED",IF(J1628&lt;&gt;"","?FAMILIAR",IF(F1628="NEW",IF(ISNA(VLOOKUP(E1628,#REF!,1,FALSE())),"?TYPE_IDENTIFIABLE","?REFERENTIAL"),"_")))))</f>
        <v> </v>
      </c>
      <c r="H1628" s="24" t="str">
        <f>IF(J1628&lt;&gt;1,"",IF(I1628="SBJ","CB","?"))</f>
        <v> </v>
      </c>
      <c r="I1628" s="25" t="str">
        <f>IF(OR(E1628="",E1628="!!!",F1628="NEW"),"",INDEX(B1627:B$2,-1+SUMPRODUCT(MAX(ROW(E1627:E$2)*(E1628=E1627:E$2)))))</f>
        <v> </v>
      </c>
      <c r="J1628" s="25" t="str">
        <f>IF(OR(E1628="",E1628="!!!",F1628="NEW"),"",COUNTBLANK(OFFSET(A$1,,,SUMPRODUCT(MAX(ROW(E$2:E1628)*(E1628=E$2:E1628)))))-COUNTBLANK(OFFSET(A$1,,,SUMPRODUCT(MAX(ROW(E$1:E1627)*(E2=E$1:E1627))))))</f>
        <v> </v>
      </c>
      <c r="K1628" s="25" t="str">
        <f>IF(OR(E1628="",E1628="!!!",F1628="NEW"),"",INDEX(J$1:J1627,SUMPRODUCT(MAX(ROW(E$1:E1627)*(E1628=E$1:E1627)))))</f>
        <v> </v>
      </c>
      <c r="L1628" s="26"/>
    </row>
    <row r="1629" spans="1:12">
      <c r="A1629" s="20" t="s">
        <v>1064</v>
      </c>
      <c r="E1629" s="21">
        <f>IF(D1629="?OLD","!!!","")</f>
        <v/>
      </c>
      <c r="F1629" s="22" t="str">
        <f>IF(OR(E1629="",E1629="!!!"),"",IF(NOT(ISNA(VLOOKUP(E1629,E$1:E1628,1,FALSE()))),"OLD",IF(AND(E1629&lt;&gt;"",E1629&lt;&gt;"!!!"),"NEW","")))</f>
        <v> </v>
      </c>
      <c r="G1629" s="23" t="str">
        <f>IF(OR(E1629="",E1629="!!!"),"",IF(OR(J1629=0,AND(J1629=1,K1629=1),AND(J1629=1,I1629="SBJ"),AND(J1629=1,I1629=0)),"?IN_FOCUS",IF(J1629&lt;=2,"?ACTIVATED",IF(J1629&lt;&gt;"","?FAMILIAR",IF(F1629="NEW",IF(ISNA(VLOOKUP(E1629,#REF!,1,FALSE())),"?TYPE_IDENTIFIABLE","?REFERENTIAL"),"_")))))</f>
        <v> </v>
      </c>
      <c r="H1629" s="24" t="str">
        <f>IF(J1629&lt;&gt;1,"",IF(I1629="SBJ","CB","?"))</f>
        <v> </v>
      </c>
      <c r="I1629" s="25" t="str">
        <f>IF(OR(E1629="",E1629="!!!",F1629="NEW"),"",INDEX(B1628:B$2,-1+SUMPRODUCT(MAX(ROW(E1628:E$2)*(E1629=E1628:E$2)))))</f>
        <v> </v>
      </c>
      <c r="J1629" s="25" t="str">
        <f>IF(OR(E1629="",E1629="!!!",F1629="NEW"),"",COUNTBLANK(OFFSET(A$1,,,SUMPRODUCT(MAX(ROW(E$2:E1629)*(E1629=E$2:E1629)))))-COUNTBLANK(OFFSET(A$1,,,SUMPRODUCT(MAX(ROW(E$1:E1628)*(E2=E$1:E1628))))))</f>
        <v> </v>
      </c>
      <c r="K1629" s="25" t="str">
        <f>IF(OR(E1629="",E1629="!!!",F1629="NEW"),"",INDEX(J$1:J1628,SUMPRODUCT(MAX(ROW(E$1:E1628)*(E1629=E$1:E1628)))))</f>
        <v> </v>
      </c>
      <c r="L1629" s="26"/>
    </row>
    <row r="1630" spans="1:12">
      <c r="A1630" s="20" t="s">
        <v>644</v>
      </c>
      <c r="E1630" s="21">
        <f>IF(D1630="?OLD","!!!","")</f>
        <v/>
      </c>
      <c r="F1630" s="22" t="str">
        <f>IF(OR(E1630="",E1630="!!!"),"",IF(NOT(ISNA(VLOOKUP(E1630,E$1:E1629,1,FALSE()))),"OLD",IF(AND(E1630&lt;&gt;"",E1630&lt;&gt;"!!!"),"NEW","")))</f>
        <v> </v>
      </c>
      <c r="G1630" s="23" t="str">
        <f>IF(OR(E1630="",E1630="!!!"),"",IF(OR(J1630=0,AND(J1630=1,K1630=1),AND(J1630=1,I1630="SBJ"),AND(J1630=1,I1630=0)),"?IN_FOCUS",IF(J1630&lt;=2,"?ACTIVATED",IF(J1630&lt;&gt;"","?FAMILIAR",IF(F1630="NEW",IF(ISNA(VLOOKUP(E1630,#REF!,1,FALSE())),"?TYPE_IDENTIFIABLE","?REFERENTIAL"),"_")))))</f>
        <v> </v>
      </c>
      <c r="H1630" s="24" t="str">
        <f>IF(J1630&lt;&gt;1,"",IF(I1630="SBJ","CB","?"))</f>
        <v> </v>
      </c>
      <c r="I1630" s="25" t="str">
        <f>IF(OR(E1630="",E1630="!!!",F1630="NEW"),"",INDEX(B1629:B$2,-1+SUMPRODUCT(MAX(ROW(E1629:E$2)*(E1630=E1629:E$2)))))</f>
        <v> </v>
      </c>
      <c r="J1630" s="25" t="str">
        <f>IF(OR(E1630="",E1630="!!!",F1630="NEW"),"",COUNTBLANK(OFFSET(A$1,,,SUMPRODUCT(MAX(ROW(E$2:E1630)*(E1630=E$2:E1630)))))-COUNTBLANK(OFFSET(A$1,,,SUMPRODUCT(MAX(ROW(E$1:E1629)*(E2=E$1:E1629))))))</f>
        <v> </v>
      </c>
      <c r="K1630" s="25" t="str">
        <f>IF(OR(E1630="",E1630="!!!",F1630="NEW"),"",INDEX(J$1:J1629,SUMPRODUCT(MAX(ROW(E$1:E1629)*(E1630=E$1:E1629)))))</f>
        <v> </v>
      </c>
      <c r="L1630" s="26"/>
    </row>
    <row r="1631" spans="1:12">
      <c r="A1631" s="20" t="s">
        <v>1265</v>
      </c>
      <c r="E1631" s="21">
        <f>IF(D1631="?OLD","!!!","")</f>
        <v/>
      </c>
      <c r="F1631" s="22" t="str">
        <f>IF(OR(E1631="",E1631="!!!"),"",IF(NOT(ISNA(VLOOKUP(E1631,E$1:E1630,1,FALSE()))),"OLD",IF(AND(E1631&lt;&gt;"",E1631&lt;&gt;"!!!"),"NEW","")))</f>
        <v> </v>
      </c>
      <c r="G1631" s="23" t="str">
        <f>IF(OR(E1631="",E1631="!!!"),"",IF(OR(J1631=0,AND(J1631=1,K1631=1),AND(J1631=1,I1631="SBJ"),AND(J1631=1,I1631=0)),"?IN_FOCUS",IF(J1631&lt;=2,"?ACTIVATED",IF(J1631&lt;&gt;"","?FAMILIAR",IF(F1631="NEW",IF(ISNA(VLOOKUP(E1631,#REF!,1,FALSE())),"?TYPE_IDENTIFIABLE","?REFERENTIAL"),"_")))))</f>
        <v> </v>
      </c>
      <c r="H1631" s="24" t="str">
        <f>IF(J1631&lt;&gt;1,"",IF(I1631="SBJ","CB","?"))</f>
        <v> </v>
      </c>
      <c r="I1631" s="25" t="str">
        <f>IF(OR(E1631="",E1631="!!!",F1631="NEW"),"",INDEX(B1630:B$2,-1+SUMPRODUCT(MAX(ROW(E1630:E$2)*(E1631=E1630:E$2)))))</f>
        <v> </v>
      </c>
      <c r="J1631" s="25" t="str">
        <f>IF(OR(E1631="",E1631="!!!",F1631="NEW"),"",COUNTBLANK(OFFSET(A$1,,,SUMPRODUCT(MAX(ROW(E$2:E1631)*(E1631=E$2:E1631)))))-COUNTBLANK(OFFSET(A$1,,,SUMPRODUCT(MAX(ROW(E$1:E1630)*(E2=E$1:E1630))))))</f>
        <v> </v>
      </c>
      <c r="K1631" s="25" t="str">
        <f>IF(OR(E1631="",E1631="!!!",F1631="NEW"),"",INDEX(J$1:J1630,SUMPRODUCT(MAX(ROW(E$1:E1630)*(E1631=E$1:E1630)))))</f>
        <v> </v>
      </c>
      <c r="L1631" s="26"/>
    </row>
    <row r="1632" spans="1:12">
      <c r="A1632" s="20" t="s">
        <v>641</v>
      </c>
      <c r="E1632" s="21">
        <f>IF(D1632="?OLD","!!!","")</f>
        <v/>
      </c>
      <c r="F1632" s="22" t="str">
        <f>IF(OR(E1632="",E1632="!!!"),"",IF(NOT(ISNA(VLOOKUP(E1632,E$1:E1631,1,FALSE()))),"OLD",IF(AND(E1632&lt;&gt;"",E1632&lt;&gt;"!!!"),"NEW","")))</f>
        <v> </v>
      </c>
      <c r="G1632" s="23" t="str">
        <f>IF(OR(E1632="",E1632="!!!"),"",IF(OR(J1632=0,AND(J1632=1,K1632=1),AND(J1632=1,I1632="SBJ"),AND(J1632=1,I1632=0)),"?IN_FOCUS",IF(J1632&lt;=2,"?ACTIVATED",IF(J1632&lt;&gt;"","?FAMILIAR",IF(F1632="NEW",IF(ISNA(VLOOKUP(E1632,#REF!,1,FALSE())),"?TYPE_IDENTIFIABLE","?REFERENTIAL"),"_")))))</f>
        <v> </v>
      </c>
      <c r="H1632" s="24" t="str">
        <f>IF(J1632&lt;&gt;1,"",IF(I1632="SBJ","CB","?"))</f>
        <v> </v>
      </c>
      <c r="I1632" s="25" t="str">
        <f>IF(OR(E1632="",E1632="!!!",F1632="NEW"),"",INDEX(B1631:B$2,-1+SUMPRODUCT(MAX(ROW(E1631:E$2)*(E1632=E1631:E$2)))))</f>
        <v> </v>
      </c>
      <c r="J1632" s="25" t="str">
        <f>IF(OR(E1632="",E1632="!!!",F1632="NEW"),"",COUNTBLANK(OFFSET(A$1,,,SUMPRODUCT(MAX(ROW(E$2:E1632)*(E1632=E$2:E1632)))))-COUNTBLANK(OFFSET(A$1,,,SUMPRODUCT(MAX(ROW(E$1:E1631)*(E2=E$1:E1631))))))</f>
        <v> </v>
      </c>
      <c r="K1632" s="25" t="str">
        <f>IF(OR(E1632="",E1632="!!!",F1632="NEW"),"",INDEX(J$1:J1631,SUMPRODUCT(MAX(ROW(E$1:E1631)*(E1632=E$1:E1631)))))</f>
        <v> </v>
      </c>
      <c r="L1632" s="26"/>
    </row>
    <row r="1633" spans="1:12">
      <c r="A1633" s="20" t="s">
        <v>1101</v>
      </c>
      <c r="E1633" s="21">
        <f>IF(D1633="?OLD","!!!","")</f>
        <v/>
      </c>
      <c r="F1633" s="22" t="str">
        <f>IF(OR(E1633="",E1633="!!!"),"",IF(NOT(ISNA(VLOOKUP(E1633,E$1:E1632,1,FALSE()))),"OLD",IF(AND(E1633&lt;&gt;"",E1633&lt;&gt;"!!!"),"NEW","")))</f>
        <v> </v>
      </c>
      <c r="G1633" s="23" t="str">
        <f>IF(OR(E1633="",E1633="!!!"),"",IF(OR(J1633=0,AND(J1633=1,K1633=1),AND(J1633=1,I1633="SBJ"),AND(J1633=1,I1633=0)),"?IN_FOCUS",IF(J1633&lt;=2,"?ACTIVATED",IF(J1633&lt;&gt;"","?FAMILIAR",IF(F1633="NEW",IF(ISNA(VLOOKUP(E1633,#REF!,1,FALSE())),"?TYPE_IDENTIFIABLE","?REFERENTIAL"),"_")))))</f>
        <v> </v>
      </c>
      <c r="H1633" s="24" t="str">
        <f>IF(J1633&lt;&gt;1,"",IF(I1633="SBJ","CB","?"))</f>
        <v> </v>
      </c>
      <c r="I1633" s="25" t="str">
        <f>IF(OR(E1633="",E1633="!!!",F1633="NEW"),"",INDEX(B1632:B$2,-1+SUMPRODUCT(MAX(ROW(E1632:E$2)*(E1633=E1632:E$2)))))</f>
        <v> </v>
      </c>
      <c r="J1633" s="25" t="str">
        <f>IF(OR(E1633="",E1633="!!!",F1633="NEW"),"",COUNTBLANK(OFFSET(A$1,,,SUMPRODUCT(MAX(ROW(E$2:E1633)*(E1633=E$2:E1633)))))-COUNTBLANK(OFFSET(A$1,,,SUMPRODUCT(MAX(ROW(E$1:E1632)*(E2=E$1:E1632))))))</f>
        <v> </v>
      </c>
      <c r="K1633" s="25" t="str">
        <f>IF(OR(E1633="",E1633="!!!",F1633="NEW"),"",INDEX(J$1:J1632,SUMPRODUCT(MAX(ROW(E$1:E1632)*(E1633=E$1:E1632)))))</f>
        <v> </v>
      </c>
      <c r="L1633" s="26"/>
    </row>
    <row r="1634" spans="1:12">
      <c r="A1634" s="20" t="s">
        <v>633</v>
      </c>
      <c r="E1634" s="21">
        <f>IF(D1634="?OLD","!!!","")</f>
        <v/>
      </c>
      <c r="F1634" s="22" t="str">
        <f>IF(OR(E1634="",E1634="!!!"),"",IF(NOT(ISNA(VLOOKUP(E1634,E$1:E1633,1,FALSE()))),"OLD",IF(AND(E1634&lt;&gt;"",E1634&lt;&gt;"!!!"),"NEW","")))</f>
        <v> </v>
      </c>
      <c r="G1634" s="23" t="str">
        <f>IF(OR(E1634="",E1634="!!!"),"",IF(OR(J1634=0,AND(J1634=1,K1634=1),AND(J1634=1,I1634="SBJ"),AND(J1634=1,I1634=0)),"?IN_FOCUS",IF(J1634&lt;=2,"?ACTIVATED",IF(J1634&lt;&gt;"","?FAMILIAR",IF(F1634="NEW",IF(ISNA(VLOOKUP(E1634,#REF!,1,FALSE())),"?TYPE_IDENTIFIABLE","?REFERENTIAL"),"_")))))</f>
        <v> </v>
      </c>
      <c r="H1634" s="24" t="str">
        <f>IF(J1634&lt;&gt;1,"",IF(I1634="SBJ","CB","?"))</f>
        <v> </v>
      </c>
      <c r="I1634" s="25" t="str">
        <f>IF(OR(E1634="",E1634="!!!",F1634="NEW"),"",INDEX(B1633:B$2,-1+SUMPRODUCT(MAX(ROW(E1633:E$2)*(E1634=E1633:E$2)))))</f>
        <v> </v>
      </c>
      <c r="J1634" s="25" t="str">
        <f>IF(OR(E1634="",E1634="!!!",F1634="NEW"),"",COUNTBLANK(OFFSET(A$1,,,SUMPRODUCT(MAX(ROW(E$2:E1634)*(E1634=E$2:E1634)))))-COUNTBLANK(OFFSET(A$1,,,SUMPRODUCT(MAX(ROW(E$1:E1633)*(E2=E$1:E1633))))))</f>
        <v> </v>
      </c>
      <c r="K1634" s="25" t="str">
        <f>IF(OR(E1634="",E1634="!!!",F1634="NEW"),"",INDEX(J$1:J1633,SUMPRODUCT(MAX(ROW(E$1:E1633)*(E1634=E$1:E1633)))))</f>
        <v> </v>
      </c>
      <c r="L1634" s="26"/>
    </row>
    <row r="1635" spans="1:12">
      <c r="A1635" s="20"/>
    </row>
    <row r="1636" spans="1:12">
      <c r="A1636" s="20" t="s">
        <v>1270</v>
      </c>
    </row>
    <row r="1637" spans="1:12">
      <c r="A1637" s="20" t="s">
        <v>933</v>
      </c>
      <c r="E1637" s="21">
        <f>IF(D1637="?OLD","!!!","")</f>
        <v/>
      </c>
      <c r="F1637" s="22" t="str">
        <f>IF(OR(E1637="",E1637="!!!"),"",IF(NOT(ISNA(VLOOKUP(E1637,E$1:E1636,1,FALSE()))),"OLD",IF(AND(E1637&lt;&gt;"",E1637&lt;&gt;"!!!"),"NEW","")))</f>
        <v> </v>
      </c>
      <c r="G1637" s="23" t="str">
        <f>IF(OR(E1637="",E1637="!!!"),"",IF(OR(J1637=0,AND(J1637=1,K1637=1),AND(J1637=1,I1637="SBJ"),AND(J1637=1,I1637=0)),"?IN_FOCUS",IF(J1637&lt;=2,"?ACTIVATED",IF(J1637&lt;&gt;"","?FAMILIAR",IF(F1637="NEW",IF(ISNA(VLOOKUP(E1637,#REF!,1,FALSE())),"?TYPE_IDENTIFIABLE","?REFERENTIAL"),"_")))))</f>
        <v> </v>
      </c>
      <c r="H1637" s="24" t="str">
        <f>IF(J1637&lt;&gt;1,"",IF(I1637="SBJ","CB","?"))</f>
        <v> </v>
      </c>
      <c r="I1637" s="25" t="str">
        <f>IF(OR(E1637="",E1637="!!!",F1637="NEW"),"",INDEX(B1636:B$2,-1+SUMPRODUCT(MAX(ROW(E1636:E$2)*(E1637=E1636:E$2)))))</f>
        <v> </v>
      </c>
      <c r="J1637" s="25" t="str">
        <f>IF(OR(E1637="",E1637="!!!",F1637="NEW"),"",COUNTBLANK(OFFSET(A$1,,,SUMPRODUCT(MAX(ROW(E$2:E1637)*(E1637=E$2:E1637)))))-COUNTBLANK(OFFSET(A$1,,,SUMPRODUCT(MAX(ROW(E$1:E1636)*(E2=E$1:E1636))))))</f>
        <v> </v>
      </c>
      <c r="K1637" s="25" t="str">
        <f>IF(OR(E1637="",E1637="!!!",F1637="NEW"),"",INDEX(J$1:J1636,SUMPRODUCT(MAX(ROW(E$1:E1636)*(E1637=E$1:E1636)))))</f>
        <v> </v>
      </c>
      <c r="L1637" s="26"/>
    </row>
    <row r="1638" spans="1:12">
      <c r="A1638" s="20" t="s">
        <v>612</v>
      </c>
      <c r="E1638" s="21">
        <f>IF(D1638="?OLD","!!!","")</f>
        <v/>
      </c>
      <c r="F1638" s="22" t="str">
        <f>IF(OR(E1638="",E1638="!!!"),"",IF(NOT(ISNA(VLOOKUP(E1638,E$1:E1637,1,FALSE()))),"OLD",IF(AND(E1638&lt;&gt;"",E1638&lt;&gt;"!!!"),"NEW","")))</f>
        <v> </v>
      </c>
      <c r="G1638" s="23" t="str">
        <f>IF(OR(E1638="",E1638="!!!"),"",IF(OR(J1638=0,AND(J1638=1,K1638=1),AND(J1638=1,I1638="SBJ"),AND(J1638=1,I1638=0)),"?IN_FOCUS",IF(J1638&lt;=2,"?ACTIVATED",IF(J1638&lt;&gt;"","?FAMILIAR",IF(F1638="NEW",IF(ISNA(VLOOKUP(E1638,#REF!,1,FALSE())),"?TYPE_IDENTIFIABLE","?REFERENTIAL"),"_")))))</f>
        <v> </v>
      </c>
      <c r="H1638" s="24" t="str">
        <f>IF(J1638&lt;&gt;1,"",IF(I1638="SBJ","CB","?"))</f>
        <v> </v>
      </c>
      <c r="I1638" s="25" t="str">
        <f>IF(OR(E1638="",E1638="!!!",F1638="NEW"),"",INDEX(B1637:B$2,-1+SUMPRODUCT(MAX(ROW(E1637:E$2)*(E1638=E1637:E$2)))))</f>
        <v> </v>
      </c>
      <c r="J1638" s="25" t="str">
        <f>IF(OR(E1638="",E1638="!!!",F1638="NEW"),"",COUNTBLANK(OFFSET(A$1,,,SUMPRODUCT(MAX(ROW(E$2:E1638)*(E1638=E$2:E1638)))))-COUNTBLANK(OFFSET(A$1,,,SUMPRODUCT(MAX(ROW(E$1:E1637)*(E2=E$1:E1637))))))</f>
        <v> </v>
      </c>
      <c r="K1638" s="25" t="str">
        <f>IF(OR(E1638="",E1638="!!!",F1638="NEW"),"",INDEX(J$1:J1637,SUMPRODUCT(MAX(ROW(E$1:E1637)*(E1638=E$1:E1637)))))</f>
        <v> </v>
      </c>
      <c r="L1638" s="26"/>
    </row>
    <row r="1639" spans="1:12">
      <c r="A1639" s="20" t="s">
        <v>926</v>
      </c>
      <c r="E1639" s="21">
        <f>IF(D1639="?OLD","!!!","")</f>
        <v/>
      </c>
      <c r="F1639" s="22" t="str">
        <f>IF(OR(E1639="",E1639="!!!"),"",IF(NOT(ISNA(VLOOKUP(E1639,E$1:E1638,1,FALSE()))),"OLD",IF(AND(E1639&lt;&gt;"",E1639&lt;&gt;"!!!"),"NEW","")))</f>
        <v> </v>
      </c>
      <c r="G1639" s="23" t="str">
        <f>IF(OR(E1639="",E1639="!!!"),"",IF(OR(J1639=0,AND(J1639=1,K1639=1),AND(J1639=1,I1639="SBJ"),AND(J1639=1,I1639=0)),"?IN_FOCUS",IF(J1639&lt;=2,"?ACTIVATED",IF(J1639&lt;&gt;"","?FAMILIAR",IF(F1639="NEW",IF(ISNA(VLOOKUP(E1639,#REF!,1,FALSE())),"?TYPE_IDENTIFIABLE","?REFERENTIAL"),"_")))))</f>
        <v> </v>
      </c>
      <c r="H1639" s="24" t="str">
        <f>IF(J1639&lt;&gt;1,"",IF(I1639="SBJ","CB","?"))</f>
        <v> </v>
      </c>
      <c r="I1639" s="25" t="str">
        <f>IF(OR(E1639="",E1639="!!!",F1639="NEW"),"",INDEX(B1638:B$2,-1+SUMPRODUCT(MAX(ROW(E1638:E$2)*(E1639=E1638:E$2)))))</f>
        <v> </v>
      </c>
      <c r="J1639" s="25" t="str">
        <f>IF(OR(E1639="",E1639="!!!",F1639="NEW"),"",COUNTBLANK(OFFSET(A$1,,,SUMPRODUCT(MAX(ROW(E$2:E1639)*(E1639=E$2:E1639)))))-COUNTBLANK(OFFSET(A$1,,,SUMPRODUCT(MAX(ROW(E$1:E1638)*(E2=E$1:E1638))))))</f>
        <v> </v>
      </c>
      <c r="K1639" s="25" t="str">
        <f>IF(OR(E1639="",E1639="!!!",F1639="NEW"),"",INDEX(J$1:J1638,SUMPRODUCT(MAX(ROW(E$1:E1638)*(E1639=E$1:E1638)))))</f>
        <v> </v>
      </c>
      <c r="L1639" s="26"/>
    </row>
    <row r="1640" spans="1:12">
      <c r="A1640" s="20" t="s">
        <v>766</v>
      </c>
      <c r="E1640" s="21">
        <f>IF(D1640="?OLD","!!!","")</f>
        <v/>
      </c>
      <c r="F1640" s="22" t="str">
        <f>IF(OR(E1640="",E1640="!!!"),"",IF(NOT(ISNA(VLOOKUP(E1640,E$1:E1639,1,FALSE()))),"OLD",IF(AND(E1640&lt;&gt;"",E1640&lt;&gt;"!!!"),"NEW","")))</f>
        <v> </v>
      </c>
      <c r="G1640" s="23" t="str">
        <f>IF(OR(E1640="",E1640="!!!"),"",IF(OR(J1640=0,AND(J1640=1,K1640=1),AND(J1640=1,I1640="SBJ"),AND(J1640=1,I1640=0)),"?IN_FOCUS",IF(J1640&lt;=2,"?ACTIVATED",IF(J1640&lt;&gt;"","?FAMILIAR",IF(F1640="NEW",IF(ISNA(VLOOKUP(E1640,#REF!,1,FALSE())),"?TYPE_IDENTIFIABLE","?REFERENTIAL"),"_")))))</f>
        <v> </v>
      </c>
      <c r="H1640" s="24" t="str">
        <f>IF(J1640&lt;&gt;1,"",IF(I1640="SBJ","CB","?"))</f>
        <v> </v>
      </c>
      <c r="I1640" s="25" t="str">
        <f>IF(OR(E1640="",E1640="!!!",F1640="NEW"),"",INDEX(B1639:B$2,-1+SUMPRODUCT(MAX(ROW(E1639:E$2)*(E1640=E1639:E$2)))))</f>
        <v> </v>
      </c>
      <c r="J1640" s="25" t="str">
        <f>IF(OR(E1640="",E1640="!!!",F1640="NEW"),"",COUNTBLANK(OFFSET(A$1,,,SUMPRODUCT(MAX(ROW(E$2:E1640)*(E1640=E$2:E1640)))))-COUNTBLANK(OFFSET(A$1,,,SUMPRODUCT(MAX(ROW(E$1:E1639)*(E2=E$1:E1639))))))</f>
        <v> </v>
      </c>
      <c r="K1640" s="25" t="str">
        <f>IF(OR(E1640="",E1640="!!!",F1640="NEW"),"",INDEX(J$1:J1639,SUMPRODUCT(MAX(ROW(E$1:E1639)*(E1640=E$1:E1639)))))</f>
        <v> </v>
      </c>
      <c r="L1640" s="26"/>
    </row>
    <row r="1641" spans="1:12">
      <c r="A1641" s="20" t="s">
        <v>617</v>
      </c>
      <c r="E1641" s="21">
        <f>IF(D1641="?OLD","!!!","")</f>
        <v/>
      </c>
      <c r="F1641" s="22" t="str">
        <f>IF(OR(E1641="",E1641="!!!"),"",IF(NOT(ISNA(VLOOKUP(E1641,E$1:E1640,1,FALSE()))),"OLD",IF(AND(E1641&lt;&gt;"",E1641&lt;&gt;"!!!"),"NEW","")))</f>
        <v> </v>
      </c>
      <c r="G1641" s="23" t="str">
        <f>IF(OR(E1641="",E1641="!!!"),"",IF(OR(J1641=0,AND(J1641=1,K1641=1),AND(J1641=1,I1641="SBJ"),AND(J1641=1,I1641=0)),"?IN_FOCUS",IF(J1641&lt;=2,"?ACTIVATED",IF(J1641&lt;&gt;"","?FAMILIAR",IF(F1641="NEW",IF(ISNA(VLOOKUP(E1641,#REF!,1,FALSE())),"?TYPE_IDENTIFIABLE","?REFERENTIAL"),"_")))))</f>
        <v> </v>
      </c>
      <c r="H1641" s="24" t="str">
        <f>IF(J1641&lt;&gt;1,"",IF(I1641="SBJ","CB","?"))</f>
        <v> </v>
      </c>
      <c r="I1641" s="25" t="str">
        <f>IF(OR(E1641="",E1641="!!!",F1641="NEW"),"",INDEX(B1640:B$2,-1+SUMPRODUCT(MAX(ROW(E1640:E$2)*(E1641=E1640:E$2)))))</f>
        <v> </v>
      </c>
      <c r="J1641" s="25" t="str">
        <f>IF(OR(E1641="",E1641="!!!",F1641="NEW"),"",COUNTBLANK(OFFSET(A$1,,,SUMPRODUCT(MAX(ROW(E$2:E1641)*(E1641=E$2:E1641)))))-COUNTBLANK(OFFSET(A$1,,,SUMPRODUCT(MAX(ROW(E$1:E1640)*(E2=E$1:E1640))))))</f>
        <v> </v>
      </c>
      <c r="K1641" s="25" t="str">
        <f>IF(OR(E1641="",E1641="!!!",F1641="NEW"),"",INDEX(J$1:J1640,SUMPRODUCT(MAX(ROW(E$1:E1640)*(E1641=E$1:E1640)))))</f>
        <v> </v>
      </c>
      <c r="L1641" s="26"/>
    </row>
    <row r="1642" spans="1:12">
      <c r="A1642" s="20" t="s">
        <v>736</v>
      </c>
      <c r="E1642" s="21">
        <f>IF(D1642="?OLD","!!!","")</f>
        <v/>
      </c>
      <c r="F1642" s="22" t="str">
        <f>IF(OR(E1642="",E1642="!!!"),"",IF(NOT(ISNA(VLOOKUP(E1642,E$1:E1641,1,FALSE()))),"OLD",IF(AND(E1642&lt;&gt;"",E1642&lt;&gt;"!!!"),"NEW","")))</f>
        <v> </v>
      </c>
      <c r="G1642" s="23" t="str">
        <f>IF(OR(E1642="",E1642="!!!"),"",IF(OR(J1642=0,AND(J1642=1,K1642=1),AND(J1642=1,I1642="SBJ"),AND(J1642=1,I1642=0)),"?IN_FOCUS",IF(J1642&lt;=2,"?ACTIVATED",IF(J1642&lt;&gt;"","?FAMILIAR",IF(F1642="NEW",IF(ISNA(VLOOKUP(E1642,#REF!,1,FALSE())),"?TYPE_IDENTIFIABLE","?REFERENTIAL"),"_")))))</f>
        <v> </v>
      </c>
      <c r="H1642" s="24" t="str">
        <f>IF(J1642&lt;&gt;1,"",IF(I1642="SBJ","CB","?"))</f>
        <v> </v>
      </c>
      <c r="I1642" s="25" t="str">
        <f>IF(OR(E1642="",E1642="!!!",F1642="NEW"),"",INDEX(B1641:B$2,-1+SUMPRODUCT(MAX(ROW(E1641:E$2)*(E1642=E1641:E$2)))))</f>
        <v> </v>
      </c>
      <c r="J1642" s="25" t="str">
        <f>IF(OR(E1642="",E1642="!!!",F1642="NEW"),"",COUNTBLANK(OFFSET(A$1,,,SUMPRODUCT(MAX(ROW(E$2:E1642)*(E1642=E$2:E1642)))))-COUNTBLANK(OFFSET(A$1,,,SUMPRODUCT(MAX(ROW(E$1:E1641)*(E2=E$1:E1641))))))</f>
        <v> </v>
      </c>
      <c r="K1642" s="25" t="str">
        <f>IF(OR(E1642="",E1642="!!!",F1642="NEW"),"",INDEX(J$1:J1641,SUMPRODUCT(MAX(ROW(E$1:E1641)*(E1642=E$1:E1641)))))</f>
        <v> </v>
      </c>
      <c r="L1642" s="26"/>
    </row>
    <row r="1643" spans="1:12">
      <c r="A1643" s="20" t="s">
        <v>856</v>
      </c>
      <c r="E1643" s="21">
        <f>IF(D1643="?OLD","!!!","")</f>
        <v/>
      </c>
      <c r="F1643" s="22" t="str">
        <f>IF(OR(E1643="",E1643="!!!"),"",IF(NOT(ISNA(VLOOKUP(E1643,E$1:E1642,1,FALSE()))),"OLD",IF(AND(E1643&lt;&gt;"",E1643&lt;&gt;"!!!"),"NEW","")))</f>
        <v> </v>
      </c>
      <c r="G1643" s="23" t="str">
        <f>IF(OR(E1643="",E1643="!!!"),"",IF(OR(J1643=0,AND(J1643=1,K1643=1),AND(J1643=1,I1643="SBJ"),AND(J1643=1,I1643=0)),"?IN_FOCUS",IF(J1643&lt;=2,"?ACTIVATED",IF(J1643&lt;&gt;"","?FAMILIAR",IF(F1643="NEW",IF(ISNA(VLOOKUP(E1643,#REF!,1,FALSE())),"?TYPE_IDENTIFIABLE","?REFERENTIAL"),"_")))))</f>
        <v> </v>
      </c>
      <c r="H1643" s="24" t="str">
        <f>IF(J1643&lt;&gt;1,"",IF(I1643="SBJ","CB","?"))</f>
        <v> </v>
      </c>
      <c r="I1643" s="25" t="str">
        <f>IF(OR(E1643="",E1643="!!!",F1643="NEW"),"",INDEX(B1642:B$2,-1+SUMPRODUCT(MAX(ROW(E1642:E$2)*(E1643=E1642:E$2)))))</f>
        <v> </v>
      </c>
      <c r="J1643" s="25" t="str">
        <f>IF(OR(E1643="",E1643="!!!",F1643="NEW"),"",COUNTBLANK(OFFSET(A$1,,,SUMPRODUCT(MAX(ROW(E$2:E1643)*(E1643=E$2:E1643)))))-COUNTBLANK(OFFSET(A$1,,,SUMPRODUCT(MAX(ROW(E$1:E1642)*(E2=E$1:E1642))))))</f>
        <v> </v>
      </c>
      <c r="K1643" s="25" t="str">
        <f>IF(OR(E1643="",E1643="!!!",F1643="NEW"),"",INDEX(J$1:J1642,SUMPRODUCT(MAX(ROW(E$1:E1642)*(E1643=E$1:E1642)))))</f>
        <v> </v>
      </c>
      <c r="L1643" s="26"/>
    </row>
    <row r="1644" spans="1:12">
      <c r="A1644" s="20" t="s">
        <v>766</v>
      </c>
      <c r="E1644" s="21">
        <f>IF(D1644="?OLD","!!!","")</f>
        <v/>
      </c>
      <c r="F1644" s="22" t="str">
        <f>IF(OR(E1644="",E1644="!!!"),"",IF(NOT(ISNA(VLOOKUP(E1644,E$1:E1643,1,FALSE()))),"OLD",IF(AND(E1644&lt;&gt;"",E1644&lt;&gt;"!!!"),"NEW","")))</f>
        <v> </v>
      </c>
      <c r="G1644" s="23" t="str">
        <f>IF(OR(E1644="",E1644="!!!"),"",IF(OR(J1644=0,AND(J1644=1,K1644=1),AND(J1644=1,I1644="SBJ"),AND(J1644=1,I1644=0)),"?IN_FOCUS",IF(J1644&lt;=2,"?ACTIVATED",IF(J1644&lt;&gt;"","?FAMILIAR",IF(F1644="NEW",IF(ISNA(VLOOKUP(E1644,#REF!,1,FALSE())),"?TYPE_IDENTIFIABLE","?REFERENTIAL"),"_")))))</f>
        <v> </v>
      </c>
      <c r="H1644" s="24" t="str">
        <f>IF(J1644&lt;&gt;1,"",IF(I1644="SBJ","CB","?"))</f>
        <v> </v>
      </c>
      <c r="I1644" s="25" t="str">
        <f>IF(OR(E1644="",E1644="!!!",F1644="NEW"),"",INDEX(B1643:B$2,-1+SUMPRODUCT(MAX(ROW(E1643:E$2)*(E1644=E1643:E$2)))))</f>
        <v> </v>
      </c>
      <c r="J1644" s="25" t="str">
        <f>IF(OR(E1644="",E1644="!!!",F1644="NEW"),"",COUNTBLANK(OFFSET(A$1,,,SUMPRODUCT(MAX(ROW(E$2:E1644)*(E1644=E$2:E1644)))))-COUNTBLANK(OFFSET(A$1,,,SUMPRODUCT(MAX(ROW(E$1:E1643)*(E2=E$1:E1643))))))</f>
        <v> </v>
      </c>
      <c r="K1644" s="25" t="str">
        <f>IF(OR(E1644="",E1644="!!!",F1644="NEW"),"",INDEX(J$1:J1643,SUMPRODUCT(MAX(ROW(E$1:E1643)*(E1644=E$1:E1643)))))</f>
        <v> </v>
      </c>
      <c r="L1644" s="26"/>
    </row>
    <row r="1645" spans="1:12">
      <c r="A1645" s="20" t="s">
        <v>1259</v>
      </c>
      <c r="E1645" s="21">
        <f>IF(D1645="?OLD","!!!","")</f>
        <v/>
      </c>
      <c r="F1645" s="22" t="str">
        <f>IF(OR(E1645="",E1645="!!!"),"",IF(NOT(ISNA(VLOOKUP(E1645,E$1:E1644,1,FALSE()))),"OLD",IF(AND(E1645&lt;&gt;"",E1645&lt;&gt;"!!!"),"NEW","")))</f>
        <v> </v>
      </c>
      <c r="G1645" s="23" t="str">
        <f>IF(OR(E1645="",E1645="!!!"),"",IF(OR(J1645=0,AND(J1645=1,K1645=1),AND(J1645=1,I1645="SBJ"),AND(J1645=1,I1645=0)),"?IN_FOCUS",IF(J1645&lt;=2,"?ACTIVATED",IF(J1645&lt;&gt;"","?FAMILIAR",IF(F1645="NEW",IF(ISNA(VLOOKUP(E1645,#REF!,1,FALSE())),"?TYPE_IDENTIFIABLE","?REFERENTIAL"),"_")))))</f>
        <v> </v>
      </c>
      <c r="H1645" s="24" t="str">
        <f>IF(J1645&lt;&gt;1,"",IF(I1645="SBJ","CB","?"))</f>
        <v> </v>
      </c>
      <c r="I1645" s="25" t="str">
        <f>IF(OR(E1645="",E1645="!!!",F1645="NEW"),"",INDEX(B1644:B$2,-1+SUMPRODUCT(MAX(ROW(E1644:E$2)*(E1645=E1644:E$2)))))</f>
        <v> </v>
      </c>
      <c r="J1645" s="25" t="str">
        <f>IF(OR(E1645="",E1645="!!!",F1645="NEW"),"",COUNTBLANK(OFFSET(A$1,,,SUMPRODUCT(MAX(ROW(E$2:E1645)*(E1645=E$2:E1645)))))-COUNTBLANK(OFFSET(A$1,,,SUMPRODUCT(MAX(ROW(E$1:E1644)*(E2=E$1:E1644))))))</f>
        <v> </v>
      </c>
      <c r="K1645" s="25" t="str">
        <f>IF(OR(E1645="",E1645="!!!",F1645="NEW"),"",INDEX(J$1:J1644,SUMPRODUCT(MAX(ROW(E$1:E1644)*(E1645=E$1:E1644)))))</f>
        <v> </v>
      </c>
      <c r="L1645" s="26"/>
    </row>
    <row r="1646" spans="1:12">
      <c r="A1646" s="20" t="s">
        <v>630</v>
      </c>
      <c r="B1646" s="27" t="s">
        <v>636</v>
      </c>
      <c r="C1646" s="27" t="s">
        <v>678</v>
      </c>
      <c r="E1646" s="21">
        <f>IF(D1646="?OLD","!!!","")</f>
        <v/>
      </c>
      <c r="F1646" s="22" t="str">
        <f>IF(OR(E1646="",E1646="!!!"),"",IF(NOT(ISNA(VLOOKUP(E1646,E$1:E1645,1,FALSE()))),"OLD",IF(AND(E1646&lt;&gt;"",E1646&lt;&gt;"!!!"),"NEW","")))</f>
        <v> </v>
      </c>
      <c r="G1646" s="23" t="str">
        <f>IF(OR(E1646="",E1646="!!!"),"",IF(OR(J1646=0,AND(J1646=1,K1646=1),AND(J1646=1,I1646="SBJ"),AND(J1646=1,I1646=0)),"?IN_FOCUS",IF(J1646&lt;=2,"?ACTIVATED",IF(J1646&lt;&gt;"","?FAMILIAR",IF(F1646="NEW",IF(ISNA(VLOOKUP(E1646,#REF!,1,FALSE())),"?TYPE_IDENTIFIABLE","?REFERENTIAL"),"_")))))</f>
        <v> </v>
      </c>
      <c r="H1646" s="24" t="str">
        <f>IF(J1646&lt;&gt;1,"",IF(I1646="SBJ","CB","?"))</f>
        <v> </v>
      </c>
      <c r="I1646" s="25" t="str">
        <f>IF(OR(E1646="",E1646="!!!",F1646="NEW"),"",INDEX(B1645:B$2,-1+SUMPRODUCT(MAX(ROW(E1645:E$2)*(E1646=E1645:E$2)))))</f>
        <v> </v>
      </c>
      <c r="J1646" s="25" t="str">
        <f>IF(OR(E1646="",E1646="!!!",F1646="NEW"),"",COUNTBLANK(OFFSET(A$1,,,SUMPRODUCT(MAX(ROW(E$2:E1646)*(E1646=E$2:E1646)))))-COUNTBLANK(OFFSET(A$1,,,SUMPRODUCT(MAX(ROW(E$1:E1645)*(E2=E$1:E1645))))))</f>
        <v> </v>
      </c>
      <c r="K1646" s="25" t="str">
        <f>IF(OR(E1646="",E1646="!!!",F1646="NEW"),"",INDEX(J$1:J1645,SUMPRODUCT(MAX(ROW(E$1:E1645)*(E1646=E$1:E1645)))))</f>
        <v> </v>
      </c>
      <c r="L1646" s="26"/>
    </row>
    <row r="1647" spans="1:12">
      <c r="A1647" s="20" t="s">
        <v>667</v>
      </c>
      <c r="E1647" s="21">
        <f>IF(D1647="?OLD","!!!","")</f>
        <v/>
      </c>
      <c r="F1647" s="22" t="str">
        <f>IF(OR(E1647="",E1647="!!!"),"",IF(NOT(ISNA(VLOOKUP(E1647,E$1:E1646,1,FALSE()))),"OLD",IF(AND(E1647&lt;&gt;"",E1647&lt;&gt;"!!!"),"NEW","")))</f>
        <v> </v>
      </c>
      <c r="G1647" s="23" t="str">
        <f>IF(OR(E1647="",E1647="!!!"),"",IF(OR(J1647=0,AND(J1647=1,K1647=1),AND(J1647=1,I1647="SBJ"),AND(J1647=1,I1647=0)),"?IN_FOCUS",IF(J1647&lt;=2,"?ACTIVATED",IF(J1647&lt;&gt;"","?FAMILIAR",IF(F1647="NEW",IF(ISNA(VLOOKUP(E1647,#REF!,1,FALSE())),"?TYPE_IDENTIFIABLE","?REFERENTIAL"),"_")))))</f>
        <v> </v>
      </c>
      <c r="H1647" s="24" t="str">
        <f>IF(J1647&lt;&gt;1,"",IF(I1647="SBJ","CB","?"))</f>
        <v> </v>
      </c>
      <c r="I1647" s="25" t="str">
        <f>IF(OR(E1647="",E1647="!!!",F1647="NEW"),"",INDEX(B1646:B$2,-1+SUMPRODUCT(MAX(ROW(E1646:E$2)*(E1647=E1646:E$2)))))</f>
        <v> </v>
      </c>
      <c r="J1647" s="25" t="str">
        <f>IF(OR(E1647="",E1647="!!!",F1647="NEW"),"",COUNTBLANK(OFFSET(A$1,,,SUMPRODUCT(MAX(ROW(E$2:E1647)*(E1647=E$2:E1647)))))-COUNTBLANK(OFFSET(A$1,,,SUMPRODUCT(MAX(ROW(E$1:E1646)*(E2=E$1:E1646))))))</f>
        <v> </v>
      </c>
      <c r="K1647" s="25" t="str">
        <f>IF(OR(E1647="",E1647="!!!",F1647="NEW"),"",INDEX(J$1:J1646,SUMPRODUCT(MAX(ROW(E$1:E1646)*(E1647=E$1:E1646)))))</f>
        <v> </v>
      </c>
      <c r="L1647" s="26"/>
    </row>
    <row r="1648" spans="1:12">
      <c r="A1648" s="20" t="s">
        <v>617</v>
      </c>
      <c r="E1648" s="21">
        <f>IF(D1648="?OLD","!!!","")</f>
        <v/>
      </c>
      <c r="F1648" s="22" t="str">
        <f>IF(OR(E1648="",E1648="!!!"),"",IF(NOT(ISNA(VLOOKUP(E1648,E$1:E1647,1,FALSE()))),"OLD",IF(AND(E1648&lt;&gt;"",E1648&lt;&gt;"!!!"),"NEW","")))</f>
        <v> </v>
      </c>
      <c r="G1648" s="23" t="str">
        <f>IF(OR(E1648="",E1648="!!!"),"",IF(OR(J1648=0,AND(J1648=1,K1648=1),AND(J1648=1,I1648="SBJ"),AND(J1648=1,I1648=0)),"?IN_FOCUS",IF(J1648&lt;=2,"?ACTIVATED",IF(J1648&lt;&gt;"","?FAMILIAR",IF(F1648="NEW",IF(ISNA(VLOOKUP(E1648,#REF!,1,FALSE())),"?TYPE_IDENTIFIABLE","?REFERENTIAL"),"_")))))</f>
        <v> </v>
      </c>
      <c r="H1648" s="24" t="str">
        <f>IF(J1648&lt;&gt;1,"",IF(I1648="SBJ","CB","?"))</f>
        <v> </v>
      </c>
      <c r="I1648" s="25" t="str">
        <f>IF(OR(E1648="",E1648="!!!",F1648="NEW"),"",INDEX(B1647:B$2,-1+SUMPRODUCT(MAX(ROW(E1647:E$2)*(E1648=E1647:E$2)))))</f>
        <v> </v>
      </c>
      <c r="J1648" s="25" t="str">
        <f>IF(OR(E1648="",E1648="!!!",F1648="NEW"),"",COUNTBLANK(OFFSET(A$1,,,SUMPRODUCT(MAX(ROW(E$2:E1648)*(E1648=E$2:E1648)))))-COUNTBLANK(OFFSET(A$1,,,SUMPRODUCT(MAX(ROW(E$1:E1647)*(E2=E$1:E1647))))))</f>
        <v> </v>
      </c>
      <c r="K1648" s="25" t="str">
        <f>IF(OR(E1648="",E1648="!!!",F1648="NEW"),"",INDEX(J$1:J1647,SUMPRODUCT(MAX(ROW(E$1:E1647)*(E1648=E$1:E1647)))))</f>
        <v> </v>
      </c>
      <c r="L1648" s="26"/>
    </row>
    <row r="1649" spans="1:12">
      <c r="A1649" s="20" t="s">
        <v>736</v>
      </c>
      <c r="E1649" s="21">
        <f>IF(D1649="?OLD","!!!","")</f>
        <v/>
      </c>
      <c r="F1649" s="22" t="str">
        <f>IF(OR(E1649="",E1649="!!!"),"",IF(NOT(ISNA(VLOOKUP(E1649,E$1:E1648,1,FALSE()))),"OLD",IF(AND(E1649&lt;&gt;"",E1649&lt;&gt;"!!!"),"NEW","")))</f>
        <v> </v>
      </c>
      <c r="G1649" s="23" t="str">
        <f>IF(OR(E1649="",E1649="!!!"),"",IF(OR(J1649=0,AND(J1649=1,K1649=1),AND(J1649=1,I1649="SBJ"),AND(J1649=1,I1649=0)),"?IN_FOCUS",IF(J1649&lt;=2,"?ACTIVATED",IF(J1649&lt;&gt;"","?FAMILIAR",IF(F1649="NEW",IF(ISNA(VLOOKUP(E1649,#REF!,1,FALSE())),"?TYPE_IDENTIFIABLE","?REFERENTIAL"),"_")))))</f>
        <v> </v>
      </c>
      <c r="H1649" s="24" t="str">
        <f>IF(J1649&lt;&gt;1,"",IF(I1649="SBJ","CB","?"))</f>
        <v> </v>
      </c>
      <c r="I1649" s="25" t="str">
        <f>IF(OR(E1649="",E1649="!!!",F1649="NEW"),"",INDEX(B1648:B$2,-1+SUMPRODUCT(MAX(ROW(E1648:E$2)*(E1649=E1648:E$2)))))</f>
        <v> </v>
      </c>
      <c r="J1649" s="25" t="str">
        <f>IF(OR(E1649="",E1649="!!!",F1649="NEW"),"",COUNTBLANK(OFFSET(A$1,,,SUMPRODUCT(MAX(ROW(E$2:E1649)*(E1649=E$2:E1649)))))-COUNTBLANK(OFFSET(A$1,,,SUMPRODUCT(MAX(ROW(E$1:E1648)*(E2=E$1:E1648))))))</f>
        <v> </v>
      </c>
      <c r="K1649" s="25" t="str">
        <f>IF(OR(E1649="",E1649="!!!",F1649="NEW"),"",INDEX(J$1:J1648,SUMPRODUCT(MAX(ROW(E$1:E1648)*(E1649=E$1:E1648)))))</f>
        <v> </v>
      </c>
      <c r="L1649" s="26"/>
    </row>
    <row r="1650" spans="1:12">
      <c r="A1650" s="20" t="s">
        <v>710</v>
      </c>
      <c r="B1650" s="27" t="s">
        <v>611</v>
      </c>
      <c r="C1650" s="27" t="s">
        <v>614</v>
      </c>
      <c r="D1650" s="27" t="s">
        <v>608</v>
      </c>
      <c r="E1650" s="21">
        <f>IF(D1650="?OLD","!!!","")</f>
        <v/>
      </c>
      <c r="F1650" s="22" t="str">
        <f>IF(OR(E1650="",E1650="!!!"),"",IF(NOT(ISNA(VLOOKUP(E1650,E$1:E1649,1,FALSE()))),"OLD",IF(AND(E1650&lt;&gt;"",E1650&lt;&gt;"!!!"),"NEW","")))</f>
        <v> </v>
      </c>
      <c r="G1650" s="23" t="str">
        <f>IF(OR(E1650="",E1650="!!!"),"",IF(OR(J1650=0,AND(J1650=1,K1650=1),AND(J1650=1,I1650="SBJ"),AND(J1650=1,I1650=0)),"?IN_FOCUS",IF(J1650&lt;=2,"?ACTIVATED",IF(J1650&lt;&gt;"","?FAMILIAR",IF(F1650="NEW",IF(ISNA(VLOOKUP(E1650,#REF!,1,FALSE())),"?TYPE_IDENTIFIABLE","?REFERENTIAL"),"_")))))</f>
        <v> </v>
      </c>
      <c r="H1650" s="24" t="str">
        <f>IF(J1650&lt;&gt;1,"",IF(I1650="SBJ","CB","?"))</f>
        <v> </v>
      </c>
      <c r="I1650" s="25" t="str">
        <f>IF(OR(E1650="",E1650="!!!",F1650="NEW"),"",INDEX(B1649:B$2,-1+SUMPRODUCT(MAX(ROW(E1649:E$2)*(E1650=E1649:E$2)))))</f>
        <v> </v>
      </c>
      <c r="J1650" s="25" t="str">
        <f>IF(OR(E1650="",E1650="!!!",F1650="NEW"),"",COUNTBLANK(OFFSET(A$1,,,SUMPRODUCT(MAX(ROW(E$2:E1650)*(E1650=E$2:E1650)))))-COUNTBLANK(OFFSET(A$1,,,SUMPRODUCT(MAX(ROW(E$1:E1649)*(E2=E$1:E1649))))))</f>
        <v> </v>
      </c>
      <c r="K1650" s="25" t="str">
        <f>IF(OR(E1650="",E1650="!!!",F1650="NEW"),"",INDEX(J$1:J1649,SUMPRODUCT(MAX(ROW(E$1:E1649)*(E1650=E$1:E1649)))))</f>
        <v> </v>
      </c>
      <c r="L1650" s="26"/>
    </row>
    <row r="1651" spans="1:12">
      <c r="A1651" s="20" t="s">
        <v>882</v>
      </c>
      <c r="E1651" s="21">
        <f>IF(D1651="?OLD","!!!","")</f>
        <v/>
      </c>
      <c r="F1651" s="22" t="str">
        <f>IF(OR(E1651="",E1651="!!!"),"",IF(NOT(ISNA(VLOOKUP(E1651,E$1:E1650,1,FALSE()))),"OLD",IF(AND(E1651&lt;&gt;"",E1651&lt;&gt;"!!!"),"NEW","")))</f>
        <v> </v>
      </c>
      <c r="G1651" s="23" t="str">
        <f>IF(OR(E1651="",E1651="!!!"),"",IF(OR(J1651=0,AND(J1651=1,K1651=1),AND(J1651=1,I1651="SBJ"),AND(J1651=1,I1651=0)),"?IN_FOCUS",IF(J1651&lt;=2,"?ACTIVATED",IF(J1651&lt;&gt;"","?FAMILIAR",IF(F1651="NEW",IF(ISNA(VLOOKUP(E1651,#REF!,1,FALSE())),"?TYPE_IDENTIFIABLE","?REFERENTIAL"),"_")))))</f>
        <v> </v>
      </c>
      <c r="H1651" s="24" t="str">
        <f>IF(J1651&lt;&gt;1,"",IF(I1651="SBJ","CB","?"))</f>
        <v> </v>
      </c>
      <c r="I1651" s="25" t="str">
        <f>IF(OR(E1651="",E1651="!!!",F1651="NEW"),"",INDEX(B1650:B$2,-1+SUMPRODUCT(MAX(ROW(E1650:E$2)*(E1651=E1650:E$2)))))</f>
        <v> </v>
      </c>
      <c r="J1651" s="25" t="str">
        <f>IF(OR(E1651="",E1651="!!!",F1651="NEW"),"",COUNTBLANK(OFFSET(A$1,,,SUMPRODUCT(MAX(ROW(E$2:E1651)*(E1651=E$2:E1651)))))-COUNTBLANK(OFFSET(A$1,,,SUMPRODUCT(MAX(ROW(E$1:E1650)*(E2=E$1:E1650))))))</f>
        <v> </v>
      </c>
      <c r="K1651" s="25" t="str">
        <f>IF(OR(E1651="",E1651="!!!",F1651="NEW"),"",INDEX(J$1:J1650,SUMPRODUCT(MAX(ROW(E$1:E1650)*(E1651=E$1:E1650)))))</f>
        <v> </v>
      </c>
      <c r="L1651" s="26"/>
    </row>
    <row r="1652" spans="1:12">
      <c r="A1652" s="20" t="s">
        <v>1271</v>
      </c>
      <c r="B1652" s="27" t="s">
        <v>636</v>
      </c>
      <c r="C1652" s="27" t="s">
        <v>616</v>
      </c>
      <c r="D1652" s="27" t="s">
        <v>608</v>
      </c>
      <c r="E1652" s="21">
        <f>IF(D1652="?OLD","!!!","")</f>
        <v/>
      </c>
      <c r="F1652" s="22" t="str">
        <f>IF(OR(E1652="",E1652="!!!"),"",IF(NOT(ISNA(VLOOKUP(E1652,E$1:E1651,1,FALSE()))),"OLD",IF(AND(E1652&lt;&gt;"",E1652&lt;&gt;"!!!"),"NEW","")))</f>
        <v> </v>
      </c>
      <c r="G1652" s="23" t="str">
        <f>IF(OR(E1652="",E1652="!!!"),"",IF(OR(J1652=0,AND(J1652=1,K1652=1),AND(J1652=1,I1652="SBJ"),AND(J1652=1,I1652=0)),"?IN_FOCUS",IF(J1652&lt;=2,"?ACTIVATED",IF(J1652&lt;&gt;"","?FAMILIAR",IF(F1652="NEW",IF(ISNA(VLOOKUP(E1652,#REF!,1,FALSE())),"?TYPE_IDENTIFIABLE","?REFERENTIAL"),"_")))))</f>
        <v> </v>
      </c>
      <c r="H1652" s="24" t="str">
        <f>IF(J1652&lt;&gt;1,"",IF(I1652="SBJ","CB","?"))</f>
        <v> </v>
      </c>
      <c r="I1652" s="25" t="str">
        <f>IF(OR(E1652="",E1652="!!!",F1652="NEW"),"",INDEX(B1651:B$2,-1+SUMPRODUCT(MAX(ROW(E1651:E$2)*(E1652=E1651:E$2)))))</f>
        <v> </v>
      </c>
      <c r="J1652" s="25" t="str">
        <f>IF(OR(E1652="",E1652="!!!",F1652="NEW"),"",COUNTBLANK(OFFSET(A$1,,,SUMPRODUCT(MAX(ROW(E$2:E1652)*(E1652=E$2:E1652)))))-COUNTBLANK(OFFSET(A$1,,,SUMPRODUCT(MAX(ROW(E$1:E1651)*(E2=E$1:E1651))))))</f>
        <v> </v>
      </c>
      <c r="K1652" s="25" t="str">
        <f>IF(OR(E1652="",E1652="!!!",F1652="NEW"),"",INDEX(J$1:J1651,SUMPRODUCT(MAX(ROW(E$1:E1651)*(E1652=E$1:E1651)))))</f>
        <v> </v>
      </c>
      <c r="L1652" s="26"/>
    </row>
    <row r="1653" spans="1:12">
      <c r="A1653" s="20" t="s">
        <v>609</v>
      </c>
      <c r="E1653" s="21">
        <f>IF(D1653="?OLD","!!!","")</f>
        <v/>
      </c>
      <c r="F1653" s="22" t="str">
        <f>IF(OR(E1653="",E1653="!!!"),"",IF(NOT(ISNA(VLOOKUP(E1653,E$1:E1652,1,FALSE()))),"OLD",IF(AND(E1653&lt;&gt;"",E1653&lt;&gt;"!!!"),"NEW","")))</f>
        <v> </v>
      </c>
      <c r="G1653" s="23" t="str">
        <f>IF(OR(E1653="",E1653="!!!"),"",IF(OR(J1653=0,AND(J1653=1,K1653=1),AND(J1653=1,I1653="SBJ"),AND(J1653=1,I1653=0)),"?IN_FOCUS",IF(J1653&lt;=2,"?ACTIVATED",IF(J1653&lt;&gt;"","?FAMILIAR",IF(F1653="NEW",IF(ISNA(VLOOKUP(E1653,#REF!,1,FALSE())),"?TYPE_IDENTIFIABLE","?REFERENTIAL"),"_")))))</f>
        <v> </v>
      </c>
      <c r="H1653" s="24" t="str">
        <f>IF(J1653&lt;&gt;1,"",IF(I1653="SBJ","CB","?"))</f>
        <v> </v>
      </c>
      <c r="I1653" s="25" t="str">
        <f>IF(OR(E1653="",E1653="!!!",F1653="NEW"),"",INDEX(B1652:B$2,-1+SUMPRODUCT(MAX(ROW(E1652:E$2)*(E1653=E1652:E$2)))))</f>
        <v> </v>
      </c>
      <c r="J1653" s="25" t="str">
        <f>IF(OR(E1653="",E1653="!!!",F1653="NEW"),"",COUNTBLANK(OFFSET(A$1,,,SUMPRODUCT(MAX(ROW(E$2:E1653)*(E1653=E$2:E1653)))))-COUNTBLANK(OFFSET(A$1,,,SUMPRODUCT(MAX(ROW(E$1:E1652)*(E2=E$1:E1652))))))</f>
        <v> </v>
      </c>
      <c r="K1653" s="25" t="str">
        <f>IF(OR(E1653="",E1653="!!!",F1653="NEW"),"",INDEX(J$1:J1652,SUMPRODUCT(MAX(ROW(E$1:E1652)*(E1653=E$1:E1652)))))</f>
        <v> </v>
      </c>
      <c r="L1653" s="26"/>
    </row>
    <row r="1654" spans="1:12">
      <c r="A1654" s="20" t="s">
        <v>679</v>
      </c>
      <c r="B1654" s="27" t="s">
        <v>611</v>
      </c>
      <c r="C1654" s="27" t="s">
        <v>607</v>
      </c>
      <c r="D1654" s="27" t="s">
        <v>608</v>
      </c>
      <c r="E1654" s="21">
        <f>IF(D1654="?OLD","!!!","")</f>
        <v/>
      </c>
      <c r="F1654" s="22" t="str">
        <f>IF(OR(E1654="",E1654="!!!"),"",IF(NOT(ISNA(VLOOKUP(E1654,E$1:E1653,1,FALSE()))),"OLD",IF(AND(E1654&lt;&gt;"",E1654&lt;&gt;"!!!"),"NEW","")))</f>
        <v> </v>
      </c>
      <c r="G1654" s="23" t="str">
        <f>IF(OR(E1654="",E1654="!!!"),"",IF(OR(J1654=0,AND(J1654=1,K1654=1),AND(J1654=1,I1654="SBJ"),AND(J1654=1,I1654=0)),"?IN_FOCUS",IF(J1654&lt;=2,"?ACTIVATED",IF(J1654&lt;&gt;"","?FAMILIAR",IF(F1654="NEW",IF(ISNA(VLOOKUP(E1654,#REF!,1,FALSE())),"?TYPE_IDENTIFIABLE","?REFERENTIAL"),"_")))))</f>
        <v> </v>
      </c>
      <c r="H1654" s="24" t="str">
        <f>IF(J1654&lt;&gt;1,"",IF(I1654="SBJ","CB","?"))</f>
        <v> </v>
      </c>
      <c r="I1654" s="25" t="str">
        <f>IF(OR(E1654="",E1654="!!!",F1654="NEW"),"",INDEX(B1653:B$2,-1+SUMPRODUCT(MAX(ROW(E1653:E$2)*(E1654=E1653:E$2)))))</f>
        <v> </v>
      </c>
      <c r="J1654" s="25" t="str">
        <f>IF(OR(E1654="",E1654="!!!",F1654="NEW"),"",COUNTBLANK(OFFSET(A$1,,,SUMPRODUCT(MAX(ROW(E$2:E1654)*(E1654=E$2:E1654)))))-COUNTBLANK(OFFSET(A$1,,,SUMPRODUCT(MAX(ROW(E$1:E1653)*(E2=E$1:E1653))))))</f>
        <v> </v>
      </c>
      <c r="K1654" s="25" t="str">
        <f>IF(OR(E1654="",E1654="!!!",F1654="NEW"),"",INDEX(J$1:J1653,SUMPRODUCT(MAX(ROW(E$1:E1653)*(E1654=E$1:E1653)))))</f>
        <v> </v>
      </c>
      <c r="L1654" s="26"/>
    </row>
    <row r="1655" spans="1:12">
      <c r="A1655" s="20" t="s">
        <v>617</v>
      </c>
      <c r="E1655" s="21">
        <f>IF(D1655="?OLD","!!!","")</f>
        <v/>
      </c>
      <c r="F1655" s="22" t="str">
        <f>IF(OR(E1655="",E1655="!!!"),"",IF(NOT(ISNA(VLOOKUP(E1655,E$1:E1654,1,FALSE()))),"OLD",IF(AND(E1655&lt;&gt;"",E1655&lt;&gt;"!!!"),"NEW","")))</f>
        <v> </v>
      </c>
      <c r="G1655" s="23" t="str">
        <f>IF(OR(E1655="",E1655="!!!"),"",IF(OR(J1655=0,AND(J1655=1,K1655=1),AND(J1655=1,I1655="SBJ"),AND(J1655=1,I1655=0)),"?IN_FOCUS",IF(J1655&lt;=2,"?ACTIVATED",IF(J1655&lt;&gt;"","?FAMILIAR",IF(F1655="NEW",IF(ISNA(VLOOKUP(E1655,#REF!,1,FALSE())),"?TYPE_IDENTIFIABLE","?REFERENTIAL"),"_")))))</f>
        <v> </v>
      </c>
      <c r="H1655" s="24" t="str">
        <f>IF(J1655&lt;&gt;1,"",IF(I1655="SBJ","CB","?"))</f>
        <v> </v>
      </c>
      <c r="I1655" s="25" t="str">
        <f>IF(OR(E1655="",E1655="!!!",F1655="NEW"),"",INDEX(B1654:B$2,-1+SUMPRODUCT(MAX(ROW(E1654:E$2)*(E1655=E1654:E$2)))))</f>
        <v> </v>
      </c>
      <c r="J1655" s="25" t="str">
        <f>IF(OR(E1655="",E1655="!!!",F1655="NEW"),"",COUNTBLANK(OFFSET(A$1,,,SUMPRODUCT(MAX(ROW(E$2:E1655)*(E1655=E$2:E1655)))))-COUNTBLANK(OFFSET(A$1,,,SUMPRODUCT(MAX(ROW(E$1:E1654)*(E2=E$1:E1654))))))</f>
        <v> </v>
      </c>
      <c r="K1655" s="25" t="str">
        <f>IF(OR(E1655="",E1655="!!!",F1655="NEW"),"",INDEX(J$1:J1654,SUMPRODUCT(MAX(ROW(E$1:E1654)*(E1655=E$1:E1654)))))</f>
        <v> </v>
      </c>
      <c r="L1655" s="26"/>
    </row>
    <row r="1656" spans="1:12">
      <c r="A1656" s="20" t="s">
        <v>609</v>
      </c>
      <c r="B1656" s="27" t="s">
        <v>668</v>
      </c>
      <c r="E1656" s="21">
        <f>IF(D1656="?OLD","!!!","")</f>
        <v/>
      </c>
      <c r="F1656" s="22" t="str">
        <f>IF(OR(E1656="",E1656="!!!"),"",IF(NOT(ISNA(VLOOKUP(E1656,E$1:E1655,1,FALSE()))),"OLD",IF(AND(E1656&lt;&gt;"",E1656&lt;&gt;"!!!"),"NEW","")))</f>
        <v> </v>
      </c>
      <c r="G1656" s="23" t="str">
        <f>IF(OR(E1656="",E1656="!!!"),"",IF(OR(J1656=0,AND(J1656=1,K1656=1),AND(J1656=1,I1656="SBJ"),AND(J1656=1,I1656=0)),"?IN_FOCUS",IF(J1656&lt;=2,"?ACTIVATED",IF(J1656&lt;&gt;"","?FAMILIAR",IF(F1656="NEW",IF(ISNA(VLOOKUP(E1656,#REF!,1,FALSE())),"?TYPE_IDENTIFIABLE","?REFERENTIAL"),"_")))))</f>
        <v> </v>
      </c>
      <c r="H1656" s="24" t="str">
        <f>IF(J1656&lt;&gt;1,"",IF(I1656="SBJ","CB","?"))</f>
        <v> </v>
      </c>
      <c r="I1656" s="25" t="str">
        <f>IF(OR(E1656="",E1656="!!!",F1656="NEW"),"",INDEX(B1655:B$2,-1+SUMPRODUCT(MAX(ROW(E1655:E$2)*(E1656=E1655:E$2)))))</f>
        <v> </v>
      </c>
      <c r="J1656" s="25" t="str">
        <f>IF(OR(E1656="",E1656="!!!",F1656="NEW"),"",COUNTBLANK(OFFSET(A$1,,,SUMPRODUCT(MAX(ROW(E$2:E1656)*(E1656=E$2:E1656)))))-COUNTBLANK(OFFSET(A$1,,,SUMPRODUCT(MAX(ROW(E$1:E1655)*(E2=E$1:E1655))))))</f>
        <v> </v>
      </c>
      <c r="K1656" s="25" t="str">
        <f>IF(OR(E1656="",E1656="!!!",F1656="NEW"),"",INDEX(J$1:J1655,SUMPRODUCT(MAX(ROW(E$1:E1655)*(E1656=E$1:E1655)))))</f>
        <v> </v>
      </c>
      <c r="L1656" s="26"/>
    </row>
    <row r="1657" spans="1:12">
      <c r="A1657" s="20" t="s">
        <v>707</v>
      </c>
      <c r="E1657" s="21">
        <f>IF(D1657="?OLD","!!!","")</f>
        <v/>
      </c>
      <c r="F1657" s="22" t="str">
        <f>IF(OR(E1657="",E1657="!!!"),"",IF(NOT(ISNA(VLOOKUP(E1657,E$1:E1656,1,FALSE()))),"OLD",IF(AND(E1657&lt;&gt;"",E1657&lt;&gt;"!!!"),"NEW","")))</f>
        <v> </v>
      </c>
      <c r="G1657" s="23" t="str">
        <f>IF(OR(E1657="",E1657="!!!"),"",IF(OR(J1657=0,AND(J1657=1,K1657=1),AND(J1657=1,I1657="SBJ"),AND(J1657=1,I1657=0)),"?IN_FOCUS",IF(J1657&lt;=2,"?ACTIVATED",IF(J1657&lt;&gt;"","?FAMILIAR",IF(F1657="NEW",IF(ISNA(VLOOKUP(E1657,#REF!,1,FALSE())),"?TYPE_IDENTIFIABLE","?REFERENTIAL"),"_")))))</f>
        <v> </v>
      </c>
      <c r="H1657" s="24" t="str">
        <f>IF(J1657&lt;&gt;1,"",IF(I1657="SBJ","CB","?"))</f>
        <v> </v>
      </c>
      <c r="I1657" s="25" t="str">
        <f>IF(OR(E1657="",E1657="!!!",F1657="NEW"),"",INDEX(B1656:B$2,-1+SUMPRODUCT(MAX(ROW(E1656:E$2)*(E1657=E1656:E$2)))))</f>
        <v> </v>
      </c>
      <c r="J1657" s="25" t="str">
        <f>IF(OR(E1657="",E1657="!!!",F1657="NEW"),"",COUNTBLANK(OFFSET(A$1,,,SUMPRODUCT(MAX(ROW(E$2:E1657)*(E1657=E$2:E1657)))))-COUNTBLANK(OFFSET(A$1,,,SUMPRODUCT(MAX(ROW(E$1:E1656)*(E2=E$1:E1656))))))</f>
        <v> </v>
      </c>
      <c r="K1657" s="25" t="str">
        <f>IF(OR(E1657="",E1657="!!!",F1657="NEW"),"",INDEX(J$1:J1656,SUMPRODUCT(MAX(ROW(E$1:E1656)*(E1657=E$1:E1656)))))</f>
        <v> </v>
      </c>
      <c r="L1657" s="26"/>
    </row>
    <row r="1658" spans="1:12">
      <c r="A1658" s="20" t="s">
        <v>603</v>
      </c>
      <c r="E1658" s="21">
        <f>IF(D1658="?OLD","!!!","")</f>
        <v/>
      </c>
      <c r="F1658" s="22" t="str">
        <f>IF(OR(E1658="",E1658="!!!"),"",IF(NOT(ISNA(VLOOKUP(E1658,E$1:E1657,1,FALSE()))),"OLD",IF(AND(E1658&lt;&gt;"",E1658&lt;&gt;"!!!"),"NEW","")))</f>
        <v> </v>
      </c>
      <c r="G1658" s="23" t="str">
        <f>IF(OR(E1658="",E1658="!!!"),"",IF(OR(J1658=0,AND(J1658=1,K1658=1),AND(J1658=1,I1658="SBJ"),AND(J1658=1,I1658=0)),"?IN_FOCUS",IF(J1658&lt;=2,"?ACTIVATED",IF(J1658&lt;&gt;"","?FAMILIAR",IF(F1658="NEW",IF(ISNA(VLOOKUP(E1658,#REF!,1,FALSE())),"?TYPE_IDENTIFIABLE","?REFERENTIAL"),"_")))))</f>
        <v> </v>
      </c>
      <c r="H1658" s="24" t="str">
        <f>IF(J1658&lt;&gt;1,"",IF(I1658="SBJ","CB","?"))</f>
        <v> </v>
      </c>
      <c r="I1658" s="25" t="str">
        <f>IF(OR(E1658="",E1658="!!!",F1658="NEW"),"",INDEX(B1657:B$2,-1+SUMPRODUCT(MAX(ROW(E1657:E$2)*(E1658=E1657:E$2)))))</f>
        <v> </v>
      </c>
      <c r="J1658" s="25" t="str">
        <f>IF(OR(E1658="",E1658="!!!",F1658="NEW"),"",COUNTBLANK(OFFSET(A$1,,,SUMPRODUCT(MAX(ROW(E$2:E1658)*(E1658=E$2:E1658)))))-COUNTBLANK(OFFSET(A$1,,,SUMPRODUCT(MAX(ROW(E$1:E1657)*(E2=E$1:E1657))))))</f>
        <v> </v>
      </c>
      <c r="K1658" s="25" t="str">
        <f>IF(OR(E1658="",E1658="!!!",F1658="NEW"),"",INDEX(J$1:J1657,SUMPRODUCT(MAX(ROW(E$1:E1657)*(E1658=E$1:E1657)))))</f>
        <v> </v>
      </c>
      <c r="L1658" s="26"/>
    </row>
    <row r="1659" spans="1:12">
      <c r="A1659" s="20" t="s">
        <v>1272</v>
      </c>
      <c r="B1659" s="27" t="s">
        <v>625</v>
      </c>
      <c r="C1659" s="27" t="s">
        <v>607</v>
      </c>
      <c r="D1659" s="27" t="s">
        <v>608</v>
      </c>
      <c r="E1659" s="21">
        <f>IF(D1659="?OLD","!!!","")</f>
        <v/>
      </c>
      <c r="F1659" s="22" t="str">
        <f>IF(OR(E1659="",E1659="!!!"),"",IF(NOT(ISNA(VLOOKUP(E1659,E$1:E1658,1,FALSE()))),"OLD",IF(AND(E1659&lt;&gt;"",E1659&lt;&gt;"!!!"),"NEW","")))</f>
        <v> </v>
      </c>
      <c r="G1659" s="23" t="str">
        <f>IF(OR(E1659="",E1659="!!!"),"",IF(OR(J1659=0,AND(J1659=1,K1659=1),AND(J1659=1,I1659="SBJ"),AND(J1659=1,I1659=0)),"?IN_FOCUS",IF(J1659&lt;=2,"?ACTIVATED",IF(J1659&lt;&gt;"","?FAMILIAR",IF(F1659="NEW",IF(ISNA(VLOOKUP(E1659,#REF!,1,FALSE())),"?TYPE_IDENTIFIABLE","?REFERENTIAL"),"_")))))</f>
        <v> </v>
      </c>
      <c r="H1659" s="24" t="str">
        <f>IF(J1659&lt;&gt;1,"",IF(I1659="SBJ","CB","?"))</f>
        <v> </v>
      </c>
      <c r="I1659" s="25" t="str">
        <f>IF(OR(E1659="",E1659="!!!",F1659="NEW"),"",INDEX(B1658:B$2,-1+SUMPRODUCT(MAX(ROW(E1658:E$2)*(E1659=E1658:E$2)))))</f>
        <v> </v>
      </c>
      <c r="J1659" s="25" t="str">
        <f>IF(OR(E1659="",E1659="!!!",F1659="NEW"),"",COUNTBLANK(OFFSET(A$1,,,SUMPRODUCT(MAX(ROW(E$2:E1659)*(E1659=E$2:E1659)))))-COUNTBLANK(OFFSET(A$1,,,SUMPRODUCT(MAX(ROW(E$1:E1658)*(E2=E$1:E1658))))))</f>
        <v> </v>
      </c>
      <c r="K1659" s="25" t="str">
        <f>IF(OR(E1659="",E1659="!!!",F1659="NEW"),"",INDEX(J$1:J1658,SUMPRODUCT(MAX(ROW(E$1:E1658)*(E1659=E$1:E1658)))))</f>
        <v> </v>
      </c>
      <c r="L1659" s="26"/>
    </row>
    <row r="1660" spans="1:12">
      <c r="A1660" s="20" t="s">
        <v>1273</v>
      </c>
      <c r="E1660" s="21">
        <f>IF(D1660="?OLD","!!!","")</f>
        <v/>
      </c>
      <c r="F1660" s="22" t="str">
        <f>IF(OR(E1660="",E1660="!!!"),"",IF(NOT(ISNA(VLOOKUP(E1660,E$1:E1659,1,FALSE()))),"OLD",IF(AND(E1660&lt;&gt;"",E1660&lt;&gt;"!!!"),"NEW","")))</f>
        <v> </v>
      </c>
      <c r="G1660" s="23" t="str">
        <f>IF(OR(E1660="",E1660="!!!"),"",IF(OR(J1660=0,AND(J1660=1,K1660=1),AND(J1660=1,I1660="SBJ"),AND(J1660=1,I1660=0)),"?IN_FOCUS",IF(J1660&lt;=2,"?ACTIVATED",IF(J1660&lt;&gt;"","?FAMILIAR",IF(F1660="NEW",IF(ISNA(VLOOKUP(E1660,#REF!,1,FALSE())),"?TYPE_IDENTIFIABLE","?REFERENTIAL"),"_")))))</f>
        <v> </v>
      </c>
      <c r="H1660" s="24" t="str">
        <f>IF(J1660&lt;&gt;1,"",IF(I1660="SBJ","CB","?"))</f>
        <v> </v>
      </c>
      <c r="I1660" s="25" t="str">
        <f>IF(OR(E1660="",E1660="!!!",F1660="NEW"),"",INDEX(B1659:B$2,-1+SUMPRODUCT(MAX(ROW(E1659:E$2)*(E1660=E1659:E$2)))))</f>
        <v> </v>
      </c>
      <c r="J1660" s="25" t="str">
        <f>IF(OR(E1660="",E1660="!!!",F1660="NEW"),"",COUNTBLANK(OFFSET(A$1,,,SUMPRODUCT(MAX(ROW(E$2:E1660)*(E1660=E$2:E1660)))))-COUNTBLANK(OFFSET(A$1,,,SUMPRODUCT(MAX(ROW(E$1:E1659)*(E2=E$1:E1659))))))</f>
        <v> </v>
      </c>
      <c r="K1660" s="25" t="str">
        <f>IF(OR(E1660="",E1660="!!!",F1660="NEW"),"",INDEX(J$1:J1659,SUMPRODUCT(MAX(ROW(E$1:E1659)*(E1660=E$1:E1659)))))</f>
        <v> </v>
      </c>
      <c r="L1660" s="26"/>
    </row>
    <row r="1661" spans="1:12">
      <c r="A1661" s="20" t="s">
        <v>617</v>
      </c>
      <c r="E1661" s="21">
        <f>IF(D1661="?OLD","!!!","")</f>
        <v/>
      </c>
      <c r="F1661" s="22" t="str">
        <f>IF(OR(E1661="",E1661="!!!"),"",IF(NOT(ISNA(VLOOKUP(E1661,E$1:E1660,1,FALSE()))),"OLD",IF(AND(E1661&lt;&gt;"",E1661&lt;&gt;"!!!"),"NEW","")))</f>
        <v> </v>
      </c>
      <c r="G1661" s="23" t="str">
        <f>IF(OR(E1661="",E1661="!!!"),"",IF(OR(J1661=0,AND(J1661=1,K1661=1),AND(J1661=1,I1661="SBJ"),AND(J1661=1,I1661=0)),"?IN_FOCUS",IF(J1661&lt;=2,"?ACTIVATED",IF(J1661&lt;&gt;"","?FAMILIAR",IF(F1661="NEW",IF(ISNA(VLOOKUP(E1661,#REF!,1,FALSE())),"?TYPE_IDENTIFIABLE","?REFERENTIAL"),"_")))))</f>
        <v> </v>
      </c>
      <c r="H1661" s="24" t="str">
        <f>IF(J1661&lt;&gt;1,"",IF(I1661="SBJ","CB","?"))</f>
        <v> </v>
      </c>
      <c r="I1661" s="25" t="str">
        <f>IF(OR(E1661="",E1661="!!!",F1661="NEW"),"",INDEX(B1660:B$2,-1+SUMPRODUCT(MAX(ROW(E1660:E$2)*(E1661=E1660:E$2)))))</f>
        <v> </v>
      </c>
      <c r="J1661" s="25" t="str">
        <f>IF(OR(E1661="",E1661="!!!",F1661="NEW"),"",COUNTBLANK(OFFSET(A$1,,,SUMPRODUCT(MAX(ROW(E$2:E1661)*(E1661=E$2:E1661)))))-COUNTBLANK(OFFSET(A$1,,,SUMPRODUCT(MAX(ROW(E$1:E1660)*(E2=E$1:E1660))))))</f>
        <v> </v>
      </c>
      <c r="K1661" s="25" t="str">
        <f>IF(OR(E1661="",E1661="!!!",F1661="NEW"),"",INDEX(J$1:J1660,SUMPRODUCT(MAX(ROW(E$1:E1660)*(E1661=E$1:E1660)))))</f>
        <v> </v>
      </c>
      <c r="L1661" s="26"/>
    </row>
    <row r="1662" spans="1:12">
      <c r="A1662" s="20" t="s">
        <v>872</v>
      </c>
      <c r="B1662" s="27" t="s">
        <v>725</v>
      </c>
      <c r="E1662" s="21">
        <f>IF(D1662="?OLD","!!!","")</f>
        <v/>
      </c>
      <c r="F1662" s="22" t="str">
        <f>IF(OR(E1662="",E1662="!!!"),"",IF(NOT(ISNA(VLOOKUP(E1662,E$1:E1661,1,FALSE()))),"OLD",IF(AND(E1662&lt;&gt;"",E1662&lt;&gt;"!!!"),"NEW","")))</f>
        <v> </v>
      </c>
      <c r="G1662" s="23" t="str">
        <f>IF(OR(E1662="",E1662="!!!"),"",IF(OR(J1662=0,AND(J1662=1,K1662=1),AND(J1662=1,I1662="SBJ"),AND(J1662=1,I1662=0)),"?IN_FOCUS",IF(J1662&lt;=2,"?ACTIVATED",IF(J1662&lt;&gt;"","?FAMILIAR",IF(F1662="NEW",IF(ISNA(VLOOKUP(E1662,#REF!,1,FALSE())),"?TYPE_IDENTIFIABLE","?REFERENTIAL"),"_")))))</f>
        <v> </v>
      </c>
      <c r="H1662" s="24" t="str">
        <f>IF(J1662&lt;&gt;1,"",IF(I1662="SBJ","CB","?"))</f>
        <v> </v>
      </c>
      <c r="I1662" s="25" t="str">
        <f>IF(OR(E1662="",E1662="!!!",F1662="NEW"),"",INDEX(B1661:B$2,-1+SUMPRODUCT(MAX(ROW(E1661:E$2)*(E1662=E1661:E$2)))))</f>
        <v> </v>
      </c>
      <c r="J1662" s="25" t="str">
        <f>IF(OR(E1662="",E1662="!!!",F1662="NEW"),"",COUNTBLANK(OFFSET(A$1,,,SUMPRODUCT(MAX(ROW(E$2:E1662)*(E1662=E$2:E1662)))))-COUNTBLANK(OFFSET(A$1,,,SUMPRODUCT(MAX(ROW(E$1:E1661)*(E2=E$1:E1661))))))</f>
        <v> </v>
      </c>
      <c r="K1662" s="25" t="str">
        <f>IF(OR(E1662="",E1662="!!!",F1662="NEW"),"",INDEX(J$1:J1661,SUMPRODUCT(MAX(ROW(E$1:E1661)*(E1662=E$1:E1661)))))</f>
        <v> </v>
      </c>
      <c r="L1662" s="26"/>
    </row>
    <row r="1663" spans="1:12">
      <c r="A1663" s="20" t="s">
        <v>663</v>
      </c>
      <c r="B1663" s="27" t="s">
        <v>664</v>
      </c>
      <c r="C1663" s="27" t="s">
        <v>626</v>
      </c>
      <c r="E1663" s="21">
        <f>IF(D1663="?OLD","!!!","")</f>
        <v/>
      </c>
      <c r="F1663" s="22" t="str">
        <f>IF(OR(E1663="",E1663="!!!"),"",IF(NOT(ISNA(VLOOKUP(E1663,E$1:E1662,1,FALSE()))),"OLD",IF(AND(E1663&lt;&gt;"",E1663&lt;&gt;"!!!"),"NEW","")))</f>
        <v> </v>
      </c>
      <c r="G1663" s="23" t="str">
        <f>IF(OR(E1663="",E1663="!!!"),"",IF(OR(J1663=0,AND(J1663=1,K1663=1),AND(J1663=1,I1663="SBJ"),AND(J1663=1,I1663=0)),"?IN_FOCUS",IF(J1663&lt;=2,"?ACTIVATED",IF(J1663&lt;&gt;"","?FAMILIAR",IF(F1663="NEW",IF(ISNA(VLOOKUP(E1663,#REF!,1,FALSE())),"?TYPE_IDENTIFIABLE","?REFERENTIAL"),"_")))))</f>
        <v> </v>
      </c>
      <c r="H1663" s="24" t="str">
        <f>IF(J1663&lt;&gt;1,"",IF(I1663="SBJ","CB","?"))</f>
        <v> </v>
      </c>
      <c r="I1663" s="25" t="str">
        <f>IF(OR(E1663="",E1663="!!!",F1663="NEW"),"",INDEX(B1662:B$2,-1+SUMPRODUCT(MAX(ROW(E1662:E$2)*(E1663=E1662:E$2)))))</f>
        <v> </v>
      </c>
      <c r="J1663" s="25" t="str">
        <f>IF(OR(E1663="",E1663="!!!",F1663="NEW"),"",COUNTBLANK(OFFSET(A$1,,,SUMPRODUCT(MAX(ROW(E$2:E1663)*(E1663=E$2:E1663)))))-COUNTBLANK(OFFSET(A$1,,,SUMPRODUCT(MAX(ROW(E$1:E1662)*(E2=E$1:E1662))))))</f>
        <v> </v>
      </c>
      <c r="K1663" s="25" t="str">
        <f>IF(OR(E1663="",E1663="!!!",F1663="NEW"),"",INDEX(J$1:J1662,SUMPRODUCT(MAX(ROW(E$1:E1662)*(E1663=E$1:E1662)))))</f>
        <v> </v>
      </c>
      <c r="L1663" s="26"/>
    </row>
    <row r="1664" spans="1:12">
      <c r="A1664" s="20" t="s">
        <v>817</v>
      </c>
      <c r="E1664" s="21">
        <f>IF(D1664="?OLD","!!!","")</f>
        <v/>
      </c>
      <c r="F1664" s="22" t="str">
        <f>IF(OR(E1664="",E1664="!!!"),"",IF(NOT(ISNA(VLOOKUP(E1664,E$1:E1663,1,FALSE()))),"OLD",IF(AND(E1664&lt;&gt;"",E1664&lt;&gt;"!!!"),"NEW","")))</f>
        <v> </v>
      </c>
      <c r="G1664" s="23" t="str">
        <f>IF(OR(E1664="",E1664="!!!"),"",IF(OR(J1664=0,AND(J1664=1,K1664=1),AND(J1664=1,I1664="SBJ"),AND(J1664=1,I1664=0)),"?IN_FOCUS",IF(J1664&lt;=2,"?ACTIVATED",IF(J1664&lt;&gt;"","?FAMILIAR",IF(F1664="NEW",IF(ISNA(VLOOKUP(E1664,#REF!,1,FALSE())),"?TYPE_IDENTIFIABLE","?REFERENTIAL"),"_")))))</f>
        <v> </v>
      </c>
      <c r="H1664" s="24" t="str">
        <f>IF(J1664&lt;&gt;1,"",IF(I1664="SBJ","CB","?"))</f>
        <v> </v>
      </c>
      <c r="I1664" s="25" t="str">
        <f>IF(OR(E1664="",E1664="!!!",F1664="NEW"),"",INDEX(B1663:B$2,-1+SUMPRODUCT(MAX(ROW(E1663:E$2)*(E1664=E1663:E$2)))))</f>
        <v> </v>
      </c>
      <c r="J1664" s="25" t="str">
        <f>IF(OR(E1664="",E1664="!!!",F1664="NEW"),"",COUNTBLANK(OFFSET(A$1,,,SUMPRODUCT(MAX(ROW(E$2:E1664)*(E1664=E$2:E1664)))))-COUNTBLANK(OFFSET(A$1,,,SUMPRODUCT(MAX(ROW(E$1:E1663)*(E2=E$1:E1663))))))</f>
        <v> </v>
      </c>
      <c r="K1664" s="25" t="str">
        <f>IF(OR(E1664="",E1664="!!!",F1664="NEW"),"",INDEX(J$1:J1663,SUMPRODUCT(MAX(ROW(E$1:E1663)*(E1664=E$1:E1663)))))</f>
        <v> </v>
      </c>
      <c r="L1664" s="26"/>
    </row>
    <row r="1665" spans="1:12">
      <c r="A1665" s="20" t="s">
        <v>1274</v>
      </c>
      <c r="E1665" s="21">
        <f>IF(D1665="?OLD","!!!","")</f>
        <v/>
      </c>
      <c r="F1665" s="22" t="str">
        <f>IF(OR(E1665="",E1665="!!!"),"",IF(NOT(ISNA(VLOOKUP(E1665,E$1:E1664,1,FALSE()))),"OLD",IF(AND(E1665&lt;&gt;"",E1665&lt;&gt;"!!!"),"NEW","")))</f>
        <v> </v>
      </c>
      <c r="G1665" s="23" t="str">
        <f>IF(OR(E1665="",E1665="!!!"),"",IF(OR(J1665=0,AND(J1665=1,K1665=1),AND(J1665=1,I1665="SBJ"),AND(J1665=1,I1665=0)),"?IN_FOCUS",IF(J1665&lt;=2,"?ACTIVATED",IF(J1665&lt;&gt;"","?FAMILIAR",IF(F1665="NEW",IF(ISNA(VLOOKUP(E1665,#REF!,1,FALSE())),"?TYPE_IDENTIFIABLE","?REFERENTIAL"),"_")))))</f>
        <v> </v>
      </c>
      <c r="H1665" s="24" t="str">
        <f>IF(J1665&lt;&gt;1,"",IF(I1665="SBJ","CB","?"))</f>
        <v> </v>
      </c>
      <c r="I1665" s="25" t="str">
        <f>IF(OR(E1665="",E1665="!!!",F1665="NEW"),"",INDEX(B1664:B$2,-1+SUMPRODUCT(MAX(ROW(E1664:E$2)*(E1665=E1664:E$2)))))</f>
        <v> </v>
      </c>
      <c r="J1665" s="25" t="str">
        <f>IF(OR(E1665="",E1665="!!!",F1665="NEW"),"",COUNTBLANK(OFFSET(A$1,,,SUMPRODUCT(MAX(ROW(E$2:E1665)*(E1665=E$2:E1665)))))-COUNTBLANK(OFFSET(A$1,,,SUMPRODUCT(MAX(ROW(E$1:E1664)*(E2=E$1:E1664))))))</f>
        <v> </v>
      </c>
      <c r="K1665" s="25" t="str">
        <f>IF(OR(E1665="",E1665="!!!",F1665="NEW"),"",INDEX(J$1:J1664,SUMPRODUCT(MAX(ROW(E$1:E1664)*(E1665=E$1:E1664)))))</f>
        <v> </v>
      </c>
      <c r="L1665" s="26"/>
    </row>
    <row r="1666" spans="1:12">
      <c r="A1666" s="20" t="s">
        <v>617</v>
      </c>
      <c r="E1666" s="21">
        <f>IF(D1666="?OLD","!!!","")</f>
        <v/>
      </c>
      <c r="F1666" s="22" t="str">
        <f>IF(OR(E1666="",E1666="!!!"),"",IF(NOT(ISNA(VLOOKUP(E1666,E$1:E1665,1,FALSE()))),"OLD",IF(AND(E1666&lt;&gt;"",E1666&lt;&gt;"!!!"),"NEW","")))</f>
        <v> </v>
      </c>
      <c r="G1666" s="23" t="str">
        <f>IF(OR(E1666="",E1666="!!!"),"",IF(OR(J1666=0,AND(J1666=1,K1666=1),AND(J1666=1,I1666="SBJ"),AND(J1666=1,I1666=0)),"?IN_FOCUS",IF(J1666&lt;=2,"?ACTIVATED",IF(J1666&lt;&gt;"","?FAMILIAR",IF(F1666="NEW",IF(ISNA(VLOOKUP(E1666,#REF!,1,FALSE())),"?TYPE_IDENTIFIABLE","?REFERENTIAL"),"_")))))</f>
        <v> </v>
      </c>
      <c r="H1666" s="24" t="str">
        <f>IF(J1666&lt;&gt;1,"",IF(I1666="SBJ","CB","?"))</f>
        <v> </v>
      </c>
      <c r="I1666" s="25" t="str">
        <f>IF(OR(E1666="",E1666="!!!",F1666="NEW"),"",INDEX(B1665:B$2,-1+SUMPRODUCT(MAX(ROW(E1665:E$2)*(E1666=E1665:E$2)))))</f>
        <v> </v>
      </c>
      <c r="J1666" s="25" t="str">
        <f>IF(OR(E1666="",E1666="!!!",F1666="NEW"),"",COUNTBLANK(OFFSET(A$1,,,SUMPRODUCT(MAX(ROW(E$2:E1666)*(E1666=E$2:E1666)))))-COUNTBLANK(OFFSET(A$1,,,SUMPRODUCT(MAX(ROW(E$1:E1665)*(E2=E$1:E1665))))))</f>
        <v> </v>
      </c>
      <c r="K1666" s="25" t="str">
        <f>IF(OR(E1666="",E1666="!!!",F1666="NEW"),"",INDEX(J$1:J1665,SUMPRODUCT(MAX(ROW(E$1:E1665)*(E1666=E$1:E1665)))))</f>
        <v> </v>
      </c>
      <c r="L1666" s="26"/>
    </row>
    <row r="1667" spans="1:12">
      <c r="A1667" s="20" t="s">
        <v>1275</v>
      </c>
      <c r="E1667" s="21">
        <f>IF(D1667="?OLD","!!!","")</f>
        <v/>
      </c>
      <c r="F1667" s="22" t="str">
        <f>IF(OR(E1667="",E1667="!!!"),"",IF(NOT(ISNA(VLOOKUP(E1667,E$1:E1666,1,FALSE()))),"OLD",IF(AND(E1667&lt;&gt;"",E1667&lt;&gt;"!!!"),"NEW","")))</f>
        <v> </v>
      </c>
      <c r="G1667" s="23" t="str">
        <f>IF(OR(E1667="",E1667="!!!"),"",IF(OR(J1667=0,AND(J1667=1,K1667=1),AND(J1667=1,I1667="SBJ"),AND(J1667=1,I1667=0)),"?IN_FOCUS",IF(J1667&lt;=2,"?ACTIVATED",IF(J1667&lt;&gt;"","?FAMILIAR",IF(F1667="NEW",IF(ISNA(VLOOKUP(E1667,#REF!,1,FALSE())),"?TYPE_IDENTIFIABLE","?REFERENTIAL"),"_")))))</f>
        <v> </v>
      </c>
      <c r="H1667" s="24" t="str">
        <f>IF(J1667&lt;&gt;1,"",IF(I1667="SBJ","CB","?"))</f>
        <v> </v>
      </c>
      <c r="I1667" s="25" t="str">
        <f>IF(OR(E1667="",E1667="!!!",F1667="NEW"),"",INDEX(B1666:B$2,-1+SUMPRODUCT(MAX(ROW(E1666:E$2)*(E1667=E1666:E$2)))))</f>
        <v> </v>
      </c>
      <c r="J1667" s="25" t="str">
        <f>IF(OR(E1667="",E1667="!!!",F1667="NEW"),"",COUNTBLANK(OFFSET(A$1,,,SUMPRODUCT(MAX(ROW(E$2:E1667)*(E1667=E$2:E1667)))))-COUNTBLANK(OFFSET(A$1,,,SUMPRODUCT(MAX(ROW(E$1:E1666)*(E2=E$1:E1666))))))</f>
        <v> </v>
      </c>
      <c r="K1667" s="25" t="str">
        <f>IF(OR(E1667="",E1667="!!!",F1667="NEW"),"",INDEX(J$1:J1666,SUMPRODUCT(MAX(ROW(E$1:E1666)*(E1667=E$1:E1666)))))</f>
        <v> </v>
      </c>
      <c r="L1667" s="26"/>
    </row>
    <row r="1668" spans="1:12">
      <c r="A1668" s="20" t="s">
        <v>1276</v>
      </c>
      <c r="B1668" s="27" t="s">
        <v>625</v>
      </c>
      <c r="C1668" s="27" t="s">
        <v>685</v>
      </c>
      <c r="E1668" s="21">
        <f>IF(D1668="?OLD","!!!","")</f>
        <v/>
      </c>
      <c r="F1668" s="22" t="str">
        <f>IF(OR(E1668="",E1668="!!!"),"",IF(NOT(ISNA(VLOOKUP(E1668,E$1:E1667,1,FALSE()))),"OLD",IF(AND(E1668&lt;&gt;"",E1668&lt;&gt;"!!!"),"NEW","")))</f>
        <v> </v>
      </c>
      <c r="G1668" s="23" t="str">
        <f>IF(OR(E1668="",E1668="!!!"),"",IF(OR(J1668=0,AND(J1668=1,K1668=1),AND(J1668=1,I1668="SBJ"),AND(J1668=1,I1668=0)),"?IN_FOCUS",IF(J1668&lt;=2,"?ACTIVATED",IF(J1668&lt;&gt;"","?FAMILIAR",IF(F1668="NEW",IF(ISNA(VLOOKUP(E1668,#REF!,1,FALSE())),"?TYPE_IDENTIFIABLE","?REFERENTIAL"),"_")))))</f>
        <v> </v>
      </c>
      <c r="H1668" s="24" t="str">
        <f>IF(J1668&lt;&gt;1,"",IF(I1668="SBJ","CB","?"))</f>
        <v> </v>
      </c>
      <c r="I1668" s="25" t="str">
        <f>IF(OR(E1668="",E1668="!!!",F1668="NEW"),"",INDEX(B1667:B$2,-1+SUMPRODUCT(MAX(ROW(E1667:E$2)*(E1668=E1667:E$2)))))</f>
        <v> </v>
      </c>
      <c r="J1668" s="25" t="str">
        <f>IF(OR(E1668="",E1668="!!!",F1668="NEW"),"",COUNTBLANK(OFFSET(A$1,,,SUMPRODUCT(MAX(ROW(E$2:E1668)*(E1668=E$2:E1668)))))-COUNTBLANK(OFFSET(A$1,,,SUMPRODUCT(MAX(ROW(E$1:E1667)*(E2=E$1:E1667))))))</f>
        <v> </v>
      </c>
      <c r="K1668" s="25" t="str">
        <f>IF(OR(E1668="",E1668="!!!",F1668="NEW"),"",INDEX(J$1:J1667,SUMPRODUCT(MAX(ROW(E$1:E1667)*(E1668=E$1:E1667)))))</f>
        <v> </v>
      </c>
      <c r="L1668" s="26"/>
    </row>
    <row r="1669" spans="1:12">
      <c r="A1669" s="20" t="s">
        <v>1277</v>
      </c>
      <c r="E1669" s="21">
        <f>IF(D1669="?OLD","!!!","")</f>
        <v/>
      </c>
      <c r="F1669" s="22" t="str">
        <f>IF(OR(E1669="",E1669="!!!"),"",IF(NOT(ISNA(VLOOKUP(E1669,E$1:E1668,1,FALSE()))),"OLD",IF(AND(E1669&lt;&gt;"",E1669&lt;&gt;"!!!"),"NEW","")))</f>
        <v> </v>
      </c>
      <c r="G1669" s="23" t="str">
        <f>IF(OR(E1669="",E1669="!!!"),"",IF(OR(J1669=0,AND(J1669=1,K1669=1),AND(J1669=1,I1669="SBJ"),AND(J1669=1,I1669=0)),"?IN_FOCUS",IF(J1669&lt;=2,"?ACTIVATED",IF(J1669&lt;&gt;"","?FAMILIAR",IF(F1669="NEW",IF(ISNA(VLOOKUP(E1669,#REF!,1,FALSE())),"?TYPE_IDENTIFIABLE","?REFERENTIAL"),"_")))))</f>
        <v> </v>
      </c>
      <c r="H1669" s="24" t="str">
        <f>IF(J1669&lt;&gt;1,"",IF(I1669="SBJ","CB","?"))</f>
        <v> </v>
      </c>
      <c r="I1669" s="25" t="str">
        <f>IF(OR(E1669="",E1669="!!!",F1669="NEW"),"",INDEX(B1668:B$2,-1+SUMPRODUCT(MAX(ROW(E1668:E$2)*(E1669=E1668:E$2)))))</f>
        <v> </v>
      </c>
      <c r="J1669" s="25" t="str">
        <f>IF(OR(E1669="",E1669="!!!",F1669="NEW"),"",COUNTBLANK(OFFSET(A$1,,,SUMPRODUCT(MAX(ROW(E$2:E1669)*(E1669=E$2:E1669)))))-COUNTBLANK(OFFSET(A$1,,,SUMPRODUCT(MAX(ROW(E$1:E1668)*(E2=E$1:E1668))))))</f>
        <v> </v>
      </c>
      <c r="K1669" s="25" t="str">
        <f>IF(OR(E1669="",E1669="!!!",F1669="NEW"),"",INDEX(J$1:J1668,SUMPRODUCT(MAX(ROW(E$1:E1668)*(E1669=E$1:E1668)))))</f>
        <v> </v>
      </c>
      <c r="L1669" s="26"/>
    </row>
    <row r="1670" spans="1:12">
      <c r="A1670" s="20" t="s">
        <v>633</v>
      </c>
      <c r="E1670" s="21">
        <f>IF(D1670="?OLD","!!!","")</f>
        <v/>
      </c>
      <c r="F1670" s="22" t="str">
        <f>IF(OR(E1670="",E1670="!!!"),"",IF(NOT(ISNA(VLOOKUP(E1670,E$1:E1669,1,FALSE()))),"OLD",IF(AND(E1670&lt;&gt;"",E1670&lt;&gt;"!!!"),"NEW","")))</f>
        <v> </v>
      </c>
      <c r="G1670" s="23" t="str">
        <f>IF(OR(E1670="",E1670="!!!"),"",IF(OR(J1670=0,AND(J1670=1,K1670=1),AND(J1670=1,I1670="SBJ"),AND(J1670=1,I1670=0)),"?IN_FOCUS",IF(J1670&lt;=2,"?ACTIVATED",IF(J1670&lt;&gt;"","?FAMILIAR",IF(F1670="NEW",IF(ISNA(VLOOKUP(E1670,#REF!,1,FALSE())),"?TYPE_IDENTIFIABLE","?REFERENTIAL"),"_")))))</f>
        <v> </v>
      </c>
      <c r="H1670" s="24" t="str">
        <f>IF(J1670&lt;&gt;1,"",IF(I1670="SBJ","CB","?"))</f>
        <v> </v>
      </c>
      <c r="I1670" s="25" t="str">
        <f>IF(OR(E1670="",E1670="!!!",F1670="NEW"),"",INDEX(B1669:B$2,-1+SUMPRODUCT(MAX(ROW(E1669:E$2)*(E1670=E1669:E$2)))))</f>
        <v> </v>
      </c>
      <c r="J1670" s="25" t="str">
        <f>IF(OR(E1670="",E1670="!!!",F1670="NEW"),"",COUNTBLANK(OFFSET(A$1,,,SUMPRODUCT(MAX(ROW(E$2:E1670)*(E1670=E$2:E1670)))))-COUNTBLANK(OFFSET(A$1,,,SUMPRODUCT(MAX(ROW(E$1:E1669)*(E2=E$1:E1669))))))</f>
        <v> </v>
      </c>
      <c r="K1670" s="25" t="str">
        <f>IF(OR(E1670="",E1670="!!!",F1670="NEW"),"",INDEX(J$1:J1669,SUMPRODUCT(MAX(ROW(E$1:E1669)*(E1670=E$1:E1669)))))</f>
        <v> </v>
      </c>
      <c r="L1670" s="26"/>
    </row>
    <row r="1671" spans="1:12">
      <c r="A1671" s="20"/>
    </row>
    <row r="1672" spans="1:12">
      <c r="A1672" s="20" t="s">
        <v>1278</v>
      </c>
    </row>
    <row r="1673" spans="1:12">
      <c r="A1673" s="20" t="s">
        <v>621</v>
      </c>
      <c r="E1673" s="21">
        <f>IF(D1673="?OLD","!!!","")</f>
        <v/>
      </c>
      <c r="F1673" s="22" t="str">
        <f>IF(OR(E1673="",E1673="!!!"),"",IF(NOT(ISNA(VLOOKUP(E1673,E$1:E1672,1,FALSE()))),"OLD",IF(AND(E1673&lt;&gt;"",E1673&lt;&gt;"!!!"),"NEW","")))</f>
        <v> </v>
      </c>
      <c r="G1673" s="23" t="str">
        <f>IF(OR(E1673="",E1673="!!!"),"",IF(OR(J1673=0,AND(J1673=1,K1673=1),AND(J1673=1,I1673="SBJ"),AND(J1673=1,I1673=0)),"?IN_FOCUS",IF(J1673&lt;=2,"?ACTIVATED",IF(J1673&lt;&gt;"","?FAMILIAR",IF(F1673="NEW",IF(ISNA(VLOOKUP(E1673,#REF!,1,FALSE())),"?TYPE_IDENTIFIABLE","?REFERENTIAL"),"_")))))</f>
        <v> </v>
      </c>
      <c r="H1673" s="24" t="str">
        <f>IF(J1673&lt;&gt;1,"",IF(I1673="SBJ","CB","?"))</f>
        <v> </v>
      </c>
      <c r="I1673" s="25" t="str">
        <f>IF(OR(E1673="",E1673="!!!",F1673="NEW"),"",INDEX(B1672:B$2,-1+SUMPRODUCT(MAX(ROW(E1672:E$2)*(E1673=E1672:E$2)))))</f>
        <v> </v>
      </c>
      <c r="J1673" s="25" t="str">
        <f>IF(OR(E1673="",E1673="!!!",F1673="NEW"),"",COUNTBLANK(OFFSET(A$1,,,SUMPRODUCT(MAX(ROW(E$2:E1673)*(E1673=E$2:E1673)))))-COUNTBLANK(OFFSET(A$1,,,SUMPRODUCT(MAX(ROW(E$1:E1672)*(E2=E$1:E1672))))))</f>
        <v> </v>
      </c>
      <c r="K1673" s="25" t="str">
        <f>IF(OR(E1673="",E1673="!!!",F1673="NEW"),"",INDEX(J$1:J1672,SUMPRODUCT(MAX(ROW(E$1:E1672)*(E1673=E$1:E1672)))))</f>
        <v> </v>
      </c>
      <c r="L1673" s="26"/>
    </row>
    <row r="1674" spans="1:12">
      <c r="A1674" s="20" t="s">
        <v>707</v>
      </c>
      <c r="E1674" s="21">
        <f>IF(D1674="?OLD","!!!","")</f>
        <v/>
      </c>
      <c r="F1674" s="22" t="str">
        <f>IF(OR(E1674="",E1674="!!!"),"",IF(NOT(ISNA(VLOOKUP(E1674,E$1:E1673,1,FALSE()))),"OLD",IF(AND(E1674&lt;&gt;"",E1674&lt;&gt;"!!!"),"NEW","")))</f>
        <v> </v>
      </c>
      <c r="G1674" s="23" t="str">
        <f>IF(OR(E1674="",E1674="!!!"),"",IF(OR(J1674=0,AND(J1674=1,K1674=1),AND(J1674=1,I1674="SBJ"),AND(J1674=1,I1674=0)),"?IN_FOCUS",IF(J1674&lt;=2,"?ACTIVATED",IF(J1674&lt;&gt;"","?FAMILIAR",IF(F1674="NEW",IF(ISNA(VLOOKUP(E1674,#REF!,1,FALSE())),"?TYPE_IDENTIFIABLE","?REFERENTIAL"),"_")))))</f>
        <v> </v>
      </c>
      <c r="H1674" s="24" t="str">
        <f>IF(J1674&lt;&gt;1,"",IF(I1674="SBJ","CB","?"))</f>
        <v> </v>
      </c>
      <c r="I1674" s="25" t="str">
        <f>IF(OR(E1674="",E1674="!!!",F1674="NEW"),"",INDEX(B1673:B$2,-1+SUMPRODUCT(MAX(ROW(E1673:E$2)*(E1674=E1673:E$2)))))</f>
        <v> </v>
      </c>
      <c r="J1674" s="25" t="str">
        <f>IF(OR(E1674="",E1674="!!!",F1674="NEW"),"",COUNTBLANK(OFFSET(A$1,,,SUMPRODUCT(MAX(ROW(E$2:E1674)*(E1674=E$2:E1674)))))-COUNTBLANK(OFFSET(A$1,,,SUMPRODUCT(MAX(ROW(E$1:E1673)*(E2=E$1:E1673))))))</f>
        <v> </v>
      </c>
      <c r="K1674" s="25" t="str">
        <f>IF(OR(E1674="",E1674="!!!",F1674="NEW"),"",INDEX(J$1:J1673,SUMPRODUCT(MAX(ROW(E$1:E1673)*(E1674=E$1:E1673)))))</f>
        <v> </v>
      </c>
      <c r="L1674" s="26"/>
    </row>
    <row r="1675" spans="1:12">
      <c r="A1675" s="20" t="s">
        <v>1279</v>
      </c>
      <c r="B1675" s="27" t="s">
        <v>606</v>
      </c>
      <c r="C1675" s="27" t="s">
        <v>622</v>
      </c>
      <c r="E1675" s="21">
        <f>IF(D1675="?OLD","!!!","")</f>
        <v/>
      </c>
      <c r="F1675" s="22" t="str">
        <f>IF(OR(E1675="",E1675="!!!"),"",IF(NOT(ISNA(VLOOKUP(E1675,E$1:E1674,1,FALSE()))),"OLD",IF(AND(E1675&lt;&gt;"",E1675&lt;&gt;"!!!"),"NEW","")))</f>
        <v> </v>
      </c>
      <c r="G1675" s="23" t="str">
        <f>IF(OR(E1675="",E1675="!!!"),"",IF(OR(J1675=0,AND(J1675=1,K1675=1),AND(J1675=1,I1675="SBJ"),AND(J1675=1,I1675=0)),"?IN_FOCUS",IF(J1675&lt;=2,"?ACTIVATED",IF(J1675&lt;&gt;"","?FAMILIAR",IF(F1675="NEW",IF(ISNA(VLOOKUP(E1675,#REF!,1,FALSE())),"?TYPE_IDENTIFIABLE","?REFERENTIAL"),"_")))))</f>
        <v> </v>
      </c>
      <c r="H1675" s="24" t="str">
        <f>IF(J1675&lt;&gt;1,"",IF(I1675="SBJ","CB","?"))</f>
        <v> </v>
      </c>
      <c r="I1675" s="25" t="str">
        <f>IF(OR(E1675="",E1675="!!!",F1675="NEW"),"",INDEX(B1674:B$2,-1+SUMPRODUCT(MAX(ROW(E1674:E$2)*(E1675=E1674:E$2)))))</f>
        <v> </v>
      </c>
      <c r="J1675" s="25" t="str">
        <f>IF(OR(E1675="",E1675="!!!",F1675="NEW"),"",COUNTBLANK(OFFSET(A$1,,,SUMPRODUCT(MAX(ROW(E$2:E1675)*(E1675=E$2:E1675)))))-COUNTBLANK(OFFSET(A$1,,,SUMPRODUCT(MAX(ROW(E$1:E1674)*(E2=E$1:E1674))))))</f>
        <v> </v>
      </c>
      <c r="K1675" s="25" t="str">
        <f>IF(OR(E1675="",E1675="!!!",F1675="NEW"),"",INDEX(J$1:J1674,SUMPRODUCT(MAX(ROW(E$1:E1674)*(E1675=E$1:E1674)))))</f>
        <v> </v>
      </c>
      <c r="L1675" s="26"/>
    </row>
    <row r="1676" spans="1:12">
      <c r="A1676" s="20" t="s">
        <v>158</v>
      </c>
      <c r="E1676" s="21">
        <f>IF(D1676="?OLD","!!!","")</f>
        <v/>
      </c>
      <c r="F1676" s="22" t="str">
        <f>IF(OR(E1676="",E1676="!!!"),"",IF(NOT(ISNA(VLOOKUP(E1676,E$1:E1675,1,FALSE()))),"OLD",IF(AND(E1676&lt;&gt;"",E1676&lt;&gt;"!!!"),"NEW","")))</f>
        <v> </v>
      </c>
      <c r="G1676" s="23" t="str">
        <f>IF(OR(E1676="",E1676="!!!"),"",IF(OR(J1676=0,AND(J1676=1,K1676=1),AND(J1676=1,I1676="SBJ"),AND(J1676=1,I1676=0)),"?IN_FOCUS",IF(J1676&lt;=2,"?ACTIVATED",IF(J1676&lt;&gt;"","?FAMILIAR",IF(F1676="NEW",IF(ISNA(VLOOKUP(E1676,#REF!,1,FALSE())),"?TYPE_IDENTIFIABLE","?REFERENTIAL"),"_")))))</f>
        <v> </v>
      </c>
      <c r="H1676" s="24" t="str">
        <f>IF(J1676&lt;&gt;1,"",IF(I1676="SBJ","CB","?"))</f>
        <v> </v>
      </c>
      <c r="I1676" s="25" t="str">
        <f>IF(OR(E1676="",E1676="!!!",F1676="NEW"),"",INDEX(B1675:B$2,-1+SUMPRODUCT(MAX(ROW(E1675:E$2)*(E1676=E1675:E$2)))))</f>
        <v> </v>
      </c>
      <c r="J1676" s="25" t="str">
        <f>IF(OR(E1676="",E1676="!!!",F1676="NEW"),"",COUNTBLANK(OFFSET(A$1,,,SUMPRODUCT(MAX(ROW(E$2:E1676)*(E1676=E$2:E1676)))))-COUNTBLANK(OFFSET(A$1,,,SUMPRODUCT(MAX(ROW(E$1:E1675)*(E2=E$1:E1675))))))</f>
        <v> </v>
      </c>
      <c r="K1676" s="25" t="str">
        <f>IF(OR(E1676="",E1676="!!!",F1676="NEW"),"",INDEX(J$1:J1675,SUMPRODUCT(MAX(ROW(E$1:E1675)*(E1676=E$1:E1675)))))</f>
        <v> </v>
      </c>
      <c r="L1676" s="26"/>
    </row>
    <row r="1677" spans="1:12">
      <c r="A1677" s="20" t="s">
        <v>1280</v>
      </c>
      <c r="E1677" s="21">
        <f>IF(D1677="?OLD","!!!","")</f>
        <v/>
      </c>
      <c r="F1677" s="22" t="str">
        <f>IF(OR(E1677="",E1677="!!!"),"",IF(NOT(ISNA(VLOOKUP(E1677,E$1:E1676,1,FALSE()))),"OLD",IF(AND(E1677&lt;&gt;"",E1677&lt;&gt;"!!!"),"NEW","")))</f>
        <v> </v>
      </c>
      <c r="G1677" s="23" t="str">
        <f>IF(OR(E1677="",E1677="!!!"),"",IF(OR(J1677=0,AND(J1677=1,K1677=1),AND(J1677=1,I1677="SBJ"),AND(J1677=1,I1677=0)),"?IN_FOCUS",IF(J1677&lt;=2,"?ACTIVATED",IF(J1677&lt;&gt;"","?FAMILIAR",IF(F1677="NEW",IF(ISNA(VLOOKUP(E1677,#REF!,1,FALSE())),"?TYPE_IDENTIFIABLE","?REFERENTIAL"),"_")))))</f>
        <v> </v>
      </c>
      <c r="H1677" s="24" t="str">
        <f>IF(J1677&lt;&gt;1,"",IF(I1677="SBJ","CB","?"))</f>
        <v> </v>
      </c>
      <c r="I1677" s="25" t="str">
        <f>IF(OR(E1677="",E1677="!!!",F1677="NEW"),"",INDEX(B1676:B$2,-1+SUMPRODUCT(MAX(ROW(E1676:E$2)*(E1677=E1676:E$2)))))</f>
        <v> </v>
      </c>
      <c r="J1677" s="25" t="str">
        <f>IF(OR(E1677="",E1677="!!!",F1677="NEW"),"",COUNTBLANK(OFFSET(A$1,,,SUMPRODUCT(MAX(ROW(E$2:E1677)*(E1677=E$2:E1677)))))-COUNTBLANK(OFFSET(A$1,,,SUMPRODUCT(MAX(ROW(E$1:E1676)*(E2=E$1:E1676))))))</f>
        <v> </v>
      </c>
      <c r="K1677" s="25" t="str">
        <f>IF(OR(E1677="",E1677="!!!",F1677="NEW"),"",INDEX(J$1:J1676,SUMPRODUCT(MAX(ROW(E$1:E1676)*(E1677=E$1:E1676)))))</f>
        <v> </v>
      </c>
      <c r="L1677" s="26"/>
    </row>
    <row r="1678" spans="1:12">
      <c r="A1678" s="20" t="s">
        <v>766</v>
      </c>
      <c r="E1678" s="21">
        <f>IF(D1678="?OLD","!!!","")</f>
        <v/>
      </c>
      <c r="F1678" s="22" t="str">
        <f>IF(OR(E1678="",E1678="!!!"),"",IF(NOT(ISNA(VLOOKUP(E1678,E$1:E1677,1,FALSE()))),"OLD",IF(AND(E1678&lt;&gt;"",E1678&lt;&gt;"!!!"),"NEW","")))</f>
        <v> </v>
      </c>
      <c r="G1678" s="23" t="str">
        <f>IF(OR(E1678="",E1678="!!!"),"",IF(OR(J1678=0,AND(J1678=1,K1678=1),AND(J1678=1,I1678="SBJ"),AND(J1678=1,I1678=0)),"?IN_FOCUS",IF(J1678&lt;=2,"?ACTIVATED",IF(J1678&lt;&gt;"","?FAMILIAR",IF(F1678="NEW",IF(ISNA(VLOOKUP(E1678,#REF!,1,FALSE())),"?TYPE_IDENTIFIABLE","?REFERENTIAL"),"_")))))</f>
        <v> </v>
      </c>
      <c r="H1678" s="24" t="str">
        <f>IF(J1678&lt;&gt;1,"",IF(I1678="SBJ","CB","?"))</f>
        <v> </v>
      </c>
      <c r="I1678" s="25" t="str">
        <f>IF(OR(E1678="",E1678="!!!",F1678="NEW"),"",INDEX(B1677:B$2,-1+SUMPRODUCT(MAX(ROW(E1677:E$2)*(E1678=E1677:E$2)))))</f>
        <v> </v>
      </c>
      <c r="J1678" s="25" t="str">
        <f>IF(OR(E1678="",E1678="!!!",F1678="NEW"),"",COUNTBLANK(OFFSET(A$1,,,SUMPRODUCT(MAX(ROW(E$2:E1678)*(E1678=E$2:E1678)))))-COUNTBLANK(OFFSET(A$1,,,SUMPRODUCT(MAX(ROW(E$1:E1677)*(E2=E$1:E1677))))))</f>
        <v> </v>
      </c>
      <c r="K1678" s="25" t="str">
        <f>IF(OR(E1678="",E1678="!!!",F1678="NEW"),"",INDEX(J$1:J1677,SUMPRODUCT(MAX(ROW(E$1:E1677)*(E1678=E$1:E1677)))))</f>
        <v> </v>
      </c>
      <c r="L1678" s="26"/>
    </row>
    <row r="1679" spans="1:12">
      <c r="A1679" s="20" t="s">
        <v>639</v>
      </c>
      <c r="E1679" s="21">
        <f>IF(D1679="?OLD","!!!","")</f>
        <v/>
      </c>
      <c r="F1679" s="22" t="str">
        <f>IF(OR(E1679="",E1679="!!!"),"",IF(NOT(ISNA(VLOOKUP(E1679,E$1:E1678,1,FALSE()))),"OLD",IF(AND(E1679&lt;&gt;"",E1679&lt;&gt;"!!!"),"NEW","")))</f>
        <v> </v>
      </c>
      <c r="G1679" s="23" t="str">
        <f>IF(OR(E1679="",E1679="!!!"),"",IF(OR(J1679=0,AND(J1679=1,K1679=1),AND(J1679=1,I1679="SBJ"),AND(J1679=1,I1679=0)),"?IN_FOCUS",IF(J1679&lt;=2,"?ACTIVATED",IF(J1679&lt;&gt;"","?FAMILIAR",IF(F1679="NEW",IF(ISNA(VLOOKUP(E1679,#REF!,1,FALSE())),"?TYPE_IDENTIFIABLE","?REFERENTIAL"),"_")))))</f>
        <v> </v>
      </c>
      <c r="H1679" s="24" t="str">
        <f>IF(J1679&lt;&gt;1,"",IF(I1679="SBJ","CB","?"))</f>
        <v> </v>
      </c>
      <c r="I1679" s="25" t="str">
        <f>IF(OR(E1679="",E1679="!!!",F1679="NEW"),"",INDEX(B1678:B$2,-1+SUMPRODUCT(MAX(ROW(E1678:E$2)*(E1679=E1678:E$2)))))</f>
        <v> </v>
      </c>
      <c r="J1679" s="25" t="str">
        <f>IF(OR(E1679="",E1679="!!!",F1679="NEW"),"",COUNTBLANK(OFFSET(A$1,,,SUMPRODUCT(MAX(ROW(E$2:E1679)*(E1679=E$2:E1679)))))-COUNTBLANK(OFFSET(A$1,,,SUMPRODUCT(MAX(ROW(E$1:E1678)*(E2=E$1:E1678))))))</f>
        <v> </v>
      </c>
      <c r="K1679" s="25" t="str">
        <f>IF(OR(E1679="",E1679="!!!",F1679="NEW"),"",INDEX(J$1:J1678,SUMPRODUCT(MAX(ROW(E$1:E1678)*(E1679=E$1:E1678)))))</f>
        <v> </v>
      </c>
      <c r="L1679" s="26"/>
    </row>
    <row r="1680" spans="1:12">
      <c r="A1680" s="20" t="s">
        <v>630</v>
      </c>
      <c r="B1680" s="27" t="s">
        <v>606</v>
      </c>
      <c r="C1680" s="27" t="s">
        <v>631</v>
      </c>
      <c r="D1680" s="27" t="s">
        <v>608</v>
      </c>
      <c r="E1680" s="21">
        <f>IF(D1680="?OLD","!!!","")</f>
        <v/>
      </c>
      <c r="F1680" s="22" t="str">
        <f>IF(OR(E1680="",E1680="!!!"),"",IF(NOT(ISNA(VLOOKUP(E1680,E$1:E1679,1,FALSE()))),"OLD",IF(AND(E1680&lt;&gt;"",E1680&lt;&gt;"!!!"),"NEW","")))</f>
        <v> </v>
      </c>
      <c r="G1680" s="23" t="str">
        <f>IF(OR(E1680="",E1680="!!!"),"",IF(OR(J1680=0,AND(J1680=1,K1680=1),AND(J1680=1,I1680="SBJ"),AND(J1680=1,I1680=0)),"?IN_FOCUS",IF(J1680&lt;=2,"?ACTIVATED",IF(J1680&lt;&gt;"","?FAMILIAR",IF(F1680="NEW",IF(ISNA(VLOOKUP(E1680,#REF!,1,FALSE())),"?TYPE_IDENTIFIABLE","?REFERENTIAL"),"_")))))</f>
        <v> </v>
      </c>
      <c r="H1680" s="24" t="str">
        <f>IF(J1680&lt;&gt;1,"",IF(I1680="SBJ","CB","?"))</f>
        <v> </v>
      </c>
      <c r="I1680" s="25" t="str">
        <f>IF(OR(E1680="",E1680="!!!",F1680="NEW"),"",INDEX(B1679:B$2,-1+SUMPRODUCT(MAX(ROW(E1679:E$2)*(E1680=E1679:E$2)))))</f>
        <v> </v>
      </c>
      <c r="J1680" s="25" t="str">
        <f>IF(OR(E1680="",E1680="!!!",F1680="NEW"),"",COUNTBLANK(OFFSET(A$1,,,SUMPRODUCT(MAX(ROW(E$2:E1680)*(E1680=E$2:E1680)))))-COUNTBLANK(OFFSET(A$1,,,SUMPRODUCT(MAX(ROW(E$1:E1679)*(E2=E$1:E1679))))))</f>
        <v> </v>
      </c>
      <c r="K1680" s="25" t="str">
        <f>IF(OR(E1680="",E1680="!!!",F1680="NEW"),"",INDEX(J$1:J1679,SUMPRODUCT(MAX(ROW(E$1:E1679)*(E1680=E$1:E1679)))))</f>
        <v> </v>
      </c>
      <c r="L1680" s="26"/>
    </row>
    <row r="1681" spans="1:12">
      <c r="A1681" s="20" t="s">
        <v>699</v>
      </c>
      <c r="E1681" s="21">
        <f>IF(D1681="?OLD","!!!","")</f>
        <v/>
      </c>
      <c r="F1681" s="22" t="str">
        <f>IF(OR(E1681="",E1681="!!!"),"",IF(NOT(ISNA(VLOOKUP(E1681,E$1:E1680,1,FALSE()))),"OLD",IF(AND(E1681&lt;&gt;"",E1681&lt;&gt;"!!!"),"NEW","")))</f>
        <v> </v>
      </c>
      <c r="G1681" s="23" t="str">
        <f>IF(OR(E1681="",E1681="!!!"),"",IF(OR(J1681=0,AND(J1681=1,K1681=1),AND(J1681=1,I1681="SBJ"),AND(J1681=1,I1681=0)),"?IN_FOCUS",IF(J1681&lt;=2,"?ACTIVATED",IF(J1681&lt;&gt;"","?FAMILIAR",IF(F1681="NEW",IF(ISNA(VLOOKUP(E1681,#REF!,1,FALSE())),"?TYPE_IDENTIFIABLE","?REFERENTIAL"),"_")))))</f>
        <v> </v>
      </c>
      <c r="H1681" s="24" t="str">
        <f>IF(J1681&lt;&gt;1,"",IF(I1681="SBJ","CB","?"))</f>
        <v> </v>
      </c>
      <c r="I1681" s="25" t="str">
        <f>IF(OR(E1681="",E1681="!!!",F1681="NEW"),"",INDEX(B1680:B$2,-1+SUMPRODUCT(MAX(ROW(E1680:E$2)*(E1681=E1680:E$2)))))</f>
        <v> </v>
      </c>
      <c r="J1681" s="25" t="str">
        <f>IF(OR(E1681="",E1681="!!!",F1681="NEW"),"",COUNTBLANK(OFFSET(A$1,,,SUMPRODUCT(MAX(ROW(E$2:E1681)*(E1681=E$2:E1681)))))-COUNTBLANK(OFFSET(A$1,,,SUMPRODUCT(MAX(ROW(E$1:E1680)*(E2=E$1:E1680))))))</f>
        <v> </v>
      </c>
      <c r="K1681" s="25" t="str">
        <f>IF(OR(E1681="",E1681="!!!",F1681="NEW"),"",INDEX(J$1:J1680,SUMPRODUCT(MAX(ROW(E$1:E1680)*(E1681=E$1:E1680)))))</f>
        <v> </v>
      </c>
      <c r="L1681" s="26"/>
    </row>
    <row r="1682" spans="1:12">
      <c r="A1682" s="20" t="s">
        <v>651</v>
      </c>
      <c r="B1682" s="27" t="s">
        <v>619</v>
      </c>
      <c r="C1682" s="27" t="s">
        <v>652</v>
      </c>
      <c r="D1682" s="27" t="s">
        <v>608</v>
      </c>
      <c r="E1682" s="21">
        <f>IF(D1682="?OLD","!!!","")</f>
        <v/>
      </c>
      <c r="F1682" s="22" t="str">
        <f>IF(OR(E1682="",E1682="!!!"),"",IF(NOT(ISNA(VLOOKUP(E1682,E$1:E1681,1,FALSE()))),"OLD",IF(AND(E1682&lt;&gt;"",E1682&lt;&gt;"!!!"),"NEW","")))</f>
        <v> </v>
      </c>
      <c r="G1682" s="23" t="str">
        <f>IF(OR(E1682="",E1682="!!!"),"",IF(OR(J1682=0,AND(J1682=1,K1682=1),AND(J1682=1,I1682="SBJ"),AND(J1682=1,I1682=0)),"?IN_FOCUS",IF(J1682&lt;=2,"?ACTIVATED",IF(J1682&lt;&gt;"","?FAMILIAR",IF(F1682="NEW",IF(ISNA(VLOOKUP(E1682,#REF!,1,FALSE())),"?TYPE_IDENTIFIABLE","?REFERENTIAL"),"_")))))</f>
        <v> </v>
      </c>
      <c r="H1682" s="24" t="str">
        <f>IF(J1682&lt;&gt;1,"",IF(I1682="SBJ","CB","?"))</f>
        <v> </v>
      </c>
      <c r="I1682" s="25" t="str">
        <f>IF(OR(E1682="",E1682="!!!",F1682="NEW"),"",INDEX(B1681:B$2,-1+SUMPRODUCT(MAX(ROW(E1681:E$2)*(E1682=E1681:E$2)))))</f>
        <v> </v>
      </c>
      <c r="J1682" s="25" t="str">
        <f>IF(OR(E1682="",E1682="!!!",F1682="NEW"),"",COUNTBLANK(OFFSET(A$1,,,SUMPRODUCT(MAX(ROW(E$2:E1682)*(E1682=E$2:E1682)))))-COUNTBLANK(OFFSET(A$1,,,SUMPRODUCT(MAX(ROW(E$1:E1681)*(E2=E$1:E1681))))))</f>
        <v> </v>
      </c>
      <c r="K1682" s="25" t="str">
        <f>IF(OR(E1682="",E1682="!!!",F1682="NEW"),"",INDEX(J$1:J1681,SUMPRODUCT(MAX(ROW(E$1:E1681)*(E1682=E$1:E1681)))))</f>
        <v> </v>
      </c>
      <c r="L1682" s="26"/>
    </row>
    <row r="1683" spans="1:12">
      <c r="A1683" s="20" t="s">
        <v>707</v>
      </c>
      <c r="E1683" s="21">
        <f>IF(D1683="?OLD","!!!","")</f>
        <v/>
      </c>
      <c r="F1683" s="22" t="str">
        <f>IF(OR(E1683="",E1683="!!!"),"",IF(NOT(ISNA(VLOOKUP(E1683,E$1:E1682,1,FALSE()))),"OLD",IF(AND(E1683&lt;&gt;"",E1683&lt;&gt;"!!!"),"NEW","")))</f>
        <v> </v>
      </c>
      <c r="G1683" s="23" t="str">
        <f>IF(OR(E1683="",E1683="!!!"),"",IF(OR(J1683=0,AND(J1683=1,K1683=1),AND(J1683=1,I1683="SBJ"),AND(J1683=1,I1683=0)),"?IN_FOCUS",IF(J1683&lt;=2,"?ACTIVATED",IF(J1683&lt;&gt;"","?FAMILIAR",IF(F1683="NEW",IF(ISNA(VLOOKUP(E1683,#REF!,1,FALSE())),"?TYPE_IDENTIFIABLE","?REFERENTIAL"),"_")))))</f>
        <v> </v>
      </c>
      <c r="H1683" s="24" t="str">
        <f>IF(J1683&lt;&gt;1,"",IF(I1683="SBJ","CB","?"))</f>
        <v> </v>
      </c>
      <c r="I1683" s="25" t="str">
        <f>IF(OR(E1683="",E1683="!!!",F1683="NEW"),"",INDEX(B1682:B$2,-1+SUMPRODUCT(MAX(ROW(E1682:E$2)*(E1683=E1682:E$2)))))</f>
        <v> </v>
      </c>
      <c r="J1683" s="25" t="str">
        <f>IF(OR(E1683="",E1683="!!!",F1683="NEW"),"",COUNTBLANK(OFFSET(A$1,,,SUMPRODUCT(MAX(ROW(E$2:E1683)*(E1683=E$2:E1683)))))-COUNTBLANK(OFFSET(A$1,,,SUMPRODUCT(MAX(ROW(E$1:E1682)*(E2=E$1:E1682))))))</f>
        <v> </v>
      </c>
      <c r="K1683" s="25" t="str">
        <f>IF(OR(E1683="",E1683="!!!",F1683="NEW"),"",INDEX(J$1:J1682,SUMPRODUCT(MAX(ROW(E$1:E1682)*(E1683=E$1:E1682)))))</f>
        <v> </v>
      </c>
      <c r="L1683" s="26"/>
    </row>
    <row r="1684" spans="1:12">
      <c r="A1684" s="20" t="s">
        <v>658</v>
      </c>
      <c r="E1684" s="21">
        <f>IF(D1684="?OLD","!!!","")</f>
        <v/>
      </c>
      <c r="F1684" s="22" t="str">
        <f>IF(OR(E1684="",E1684="!!!"),"",IF(NOT(ISNA(VLOOKUP(E1684,E$1:E1683,1,FALSE()))),"OLD",IF(AND(E1684&lt;&gt;"",E1684&lt;&gt;"!!!"),"NEW","")))</f>
        <v> </v>
      </c>
      <c r="G1684" s="23" t="str">
        <f>IF(OR(E1684="",E1684="!!!"),"",IF(OR(J1684=0,AND(J1684=1,K1684=1),AND(J1684=1,I1684="SBJ"),AND(J1684=1,I1684=0)),"?IN_FOCUS",IF(J1684&lt;=2,"?ACTIVATED",IF(J1684&lt;&gt;"","?FAMILIAR",IF(F1684="NEW",IF(ISNA(VLOOKUP(E1684,#REF!,1,FALSE())),"?TYPE_IDENTIFIABLE","?REFERENTIAL"),"_")))))</f>
        <v> </v>
      </c>
      <c r="H1684" s="24" t="str">
        <f>IF(J1684&lt;&gt;1,"",IF(I1684="SBJ","CB","?"))</f>
        <v> </v>
      </c>
      <c r="I1684" s="25" t="str">
        <f>IF(OR(E1684="",E1684="!!!",F1684="NEW"),"",INDEX(B1683:B$2,-1+SUMPRODUCT(MAX(ROW(E1683:E$2)*(E1684=E1683:E$2)))))</f>
        <v> </v>
      </c>
      <c r="J1684" s="25" t="str">
        <f>IF(OR(E1684="",E1684="!!!",F1684="NEW"),"",COUNTBLANK(OFFSET(A$1,,,SUMPRODUCT(MAX(ROW(E$2:E1684)*(E1684=E$2:E1684)))))-COUNTBLANK(OFFSET(A$1,,,SUMPRODUCT(MAX(ROW(E$1:E1683)*(E2=E$1:E1683))))))</f>
        <v> </v>
      </c>
      <c r="K1684" s="25" t="str">
        <f>IF(OR(E1684="",E1684="!!!",F1684="NEW"),"",INDEX(J$1:J1683,SUMPRODUCT(MAX(ROW(E$1:E1683)*(E1684=E$1:E1683)))))</f>
        <v> </v>
      </c>
      <c r="L1684" s="26"/>
    </row>
    <row r="1685" spans="1:12">
      <c r="A1685" s="20" t="s">
        <v>1281</v>
      </c>
      <c r="E1685" s="21">
        <f>IF(D1685="?OLD","!!!","")</f>
        <v/>
      </c>
      <c r="F1685" s="22" t="str">
        <f>IF(OR(E1685="",E1685="!!!"),"",IF(NOT(ISNA(VLOOKUP(E1685,E$1:E1684,1,FALSE()))),"OLD",IF(AND(E1685&lt;&gt;"",E1685&lt;&gt;"!!!"),"NEW","")))</f>
        <v> </v>
      </c>
      <c r="G1685" s="23" t="str">
        <f>IF(OR(E1685="",E1685="!!!"),"",IF(OR(J1685=0,AND(J1685=1,K1685=1),AND(J1685=1,I1685="SBJ"),AND(J1685=1,I1685=0)),"?IN_FOCUS",IF(J1685&lt;=2,"?ACTIVATED",IF(J1685&lt;&gt;"","?FAMILIAR",IF(F1685="NEW",IF(ISNA(VLOOKUP(E1685,#REF!,1,FALSE())),"?TYPE_IDENTIFIABLE","?REFERENTIAL"),"_")))))</f>
        <v> </v>
      </c>
      <c r="H1685" s="24" t="str">
        <f>IF(J1685&lt;&gt;1,"",IF(I1685="SBJ","CB","?"))</f>
        <v> </v>
      </c>
      <c r="I1685" s="25" t="str">
        <f>IF(OR(E1685="",E1685="!!!",F1685="NEW"),"",INDEX(B1684:B$2,-1+SUMPRODUCT(MAX(ROW(E1684:E$2)*(E1685=E1684:E$2)))))</f>
        <v> </v>
      </c>
      <c r="J1685" s="25" t="str">
        <f>IF(OR(E1685="",E1685="!!!",F1685="NEW"),"",COUNTBLANK(OFFSET(A$1,,,SUMPRODUCT(MAX(ROW(E$2:E1685)*(E1685=E$2:E1685)))))-COUNTBLANK(OFFSET(A$1,,,SUMPRODUCT(MAX(ROW(E$1:E1684)*(E2=E$1:E1684))))))</f>
        <v> </v>
      </c>
      <c r="K1685" s="25" t="str">
        <f>IF(OR(E1685="",E1685="!!!",F1685="NEW"),"",INDEX(J$1:J1684,SUMPRODUCT(MAX(ROW(E$1:E1684)*(E1685=E$1:E1684)))))</f>
        <v> </v>
      </c>
      <c r="L1685" s="26"/>
    </row>
    <row r="1686" spans="1:12">
      <c r="A1686" s="20" t="s">
        <v>1282</v>
      </c>
      <c r="B1686" s="27" t="s">
        <v>606</v>
      </c>
      <c r="C1686" s="27" t="s">
        <v>607</v>
      </c>
      <c r="D1686" s="27" t="s">
        <v>608</v>
      </c>
      <c r="E1686" s="21">
        <f>IF(D1686="?OLD","!!!","")</f>
        <v/>
      </c>
      <c r="F1686" s="22" t="str">
        <f>IF(OR(E1686="",E1686="!!!"),"",IF(NOT(ISNA(VLOOKUP(E1686,E$1:E1685,1,FALSE()))),"OLD",IF(AND(E1686&lt;&gt;"",E1686&lt;&gt;"!!!"),"NEW","")))</f>
        <v> </v>
      </c>
      <c r="G1686" s="23" t="str">
        <f>IF(OR(E1686="",E1686="!!!"),"",IF(OR(J1686=0,AND(J1686=1,K1686=1),AND(J1686=1,I1686="SBJ"),AND(J1686=1,I1686=0)),"?IN_FOCUS",IF(J1686&lt;=2,"?ACTIVATED",IF(J1686&lt;&gt;"","?FAMILIAR",IF(F1686="NEW",IF(ISNA(VLOOKUP(E1686,#REF!,1,FALSE())),"?TYPE_IDENTIFIABLE","?REFERENTIAL"),"_")))))</f>
        <v> </v>
      </c>
      <c r="H1686" s="24" t="str">
        <f>IF(J1686&lt;&gt;1,"",IF(I1686="SBJ","CB","?"))</f>
        <v> </v>
      </c>
      <c r="I1686" s="25" t="str">
        <f>IF(OR(E1686="",E1686="!!!",F1686="NEW"),"",INDEX(B1685:B$2,-1+SUMPRODUCT(MAX(ROW(E1685:E$2)*(E1686=E1685:E$2)))))</f>
        <v> </v>
      </c>
      <c r="J1686" s="25" t="str">
        <f>IF(OR(E1686="",E1686="!!!",F1686="NEW"),"",COUNTBLANK(OFFSET(A$1,,,SUMPRODUCT(MAX(ROW(E$2:E1686)*(E1686=E$2:E1686)))))-COUNTBLANK(OFFSET(A$1,,,SUMPRODUCT(MAX(ROW(E$1:E1685)*(E2=E$1:E1685))))))</f>
        <v> </v>
      </c>
      <c r="K1686" s="25" t="str">
        <f>IF(OR(E1686="",E1686="!!!",F1686="NEW"),"",INDEX(J$1:J1685,SUMPRODUCT(MAX(ROW(E$1:E1685)*(E1686=E$1:E1685)))))</f>
        <v> </v>
      </c>
      <c r="L1686" s="26"/>
    </row>
    <row r="1687" spans="1:12">
      <c r="A1687" s="20" t="s">
        <v>639</v>
      </c>
      <c r="E1687" s="21">
        <f>IF(D1687="?OLD","!!!","")</f>
        <v/>
      </c>
      <c r="F1687" s="22" t="str">
        <f>IF(OR(E1687="",E1687="!!!"),"",IF(NOT(ISNA(VLOOKUP(E1687,E$1:E1686,1,FALSE()))),"OLD",IF(AND(E1687&lt;&gt;"",E1687&lt;&gt;"!!!"),"NEW","")))</f>
        <v> </v>
      </c>
      <c r="G1687" s="23" t="str">
        <f>IF(OR(E1687="",E1687="!!!"),"",IF(OR(J1687=0,AND(J1687=1,K1687=1),AND(J1687=1,I1687="SBJ"),AND(J1687=1,I1687=0)),"?IN_FOCUS",IF(J1687&lt;=2,"?ACTIVATED",IF(J1687&lt;&gt;"","?FAMILIAR",IF(F1687="NEW",IF(ISNA(VLOOKUP(E1687,#REF!,1,FALSE())),"?TYPE_IDENTIFIABLE","?REFERENTIAL"),"_")))))</f>
        <v> </v>
      </c>
      <c r="H1687" s="24" t="str">
        <f>IF(J1687&lt;&gt;1,"",IF(I1687="SBJ","CB","?"))</f>
        <v> </v>
      </c>
      <c r="I1687" s="25" t="str">
        <f>IF(OR(E1687="",E1687="!!!",F1687="NEW"),"",INDEX(B1686:B$2,-1+SUMPRODUCT(MAX(ROW(E1686:E$2)*(E1687=E1686:E$2)))))</f>
        <v> </v>
      </c>
      <c r="J1687" s="25" t="str">
        <f>IF(OR(E1687="",E1687="!!!",F1687="NEW"),"",COUNTBLANK(OFFSET(A$1,,,SUMPRODUCT(MAX(ROW(E$2:E1687)*(E1687=E$2:E1687)))))-COUNTBLANK(OFFSET(A$1,,,SUMPRODUCT(MAX(ROW(E$1:E1686)*(E2=E$1:E1686))))))</f>
        <v> </v>
      </c>
      <c r="K1687" s="25" t="str">
        <f>IF(OR(E1687="",E1687="!!!",F1687="NEW"),"",INDEX(J$1:J1686,SUMPRODUCT(MAX(ROW(E$1:E1686)*(E1687=E$1:E1686)))))</f>
        <v> </v>
      </c>
      <c r="L1687" s="26"/>
    </row>
    <row r="1688" spans="1:12">
      <c r="A1688" s="20" t="s">
        <v>1283</v>
      </c>
      <c r="B1688" s="27" t="s">
        <v>611</v>
      </c>
      <c r="C1688" s="27" t="s">
        <v>622</v>
      </c>
      <c r="E1688" s="21">
        <f>IF(D1688="?OLD","!!!","")</f>
        <v/>
      </c>
      <c r="F1688" s="22" t="str">
        <f>IF(OR(E1688="",E1688="!!!"),"",IF(NOT(ISNA(VLOOKUP(E1688,E$1:E1687,1,FALSE()))),"OLD",IF(AND(E1688&lt;&gt;"",E1688&lt;&gt;"!!!"),"NEW","")))</f>
        <v> </v>
      </c>
      <c r="G1688" s="23" t="str">
        <f>IF(OR(E1688="",E1688="!!!"),"",IF(OR(J1688=0,AND(J1688=1,K1688=1),AND(J1688=1,I1688="SBJ"),AND(J1688=1,I1688=0)),"?IN_FOCUS",IF(J1688&lt;=2,"?ACTIVATED",IF(J1688&lt;&gt;"","?FAMILIAR",IF(F1688="NEW",IF(ISNA(VLOOKUP(E1688,#REF!,1,FALSE())),"?TYPE_IDENTIFIABLE","?REFERENTIAL"),"_")))))</f>
        <v> </v>
      </c>
      <c r="H1688" s="24" t="str">
        <f>IF(J1688&lt;&gt;1,"",IF(I1688="SBJ","CB","?"))</f>
        <v> </v>
      </c>
      <c r="I1688" s="25" t="str">
        <f>IF(OR(E1688="",E1688="!!!",F1688="NEW"),"",INDEX(B1687:B$2,-1+SUMPRODUCT(MAX(ROW(E1687:E$2)*(E1688=E1687:E$2)))))</f>
        <v> </v>
      </c>
      <c r="J1688" s="25" t="str">
        <f>IF(OR(E1688="",E1688="!!!",F1688="NEW"),"",COUNTBLANK(OFFSET(A$1,,,SUMPRODUCT(MAX(ROW(E$2:E1688)*(E1688=E$2:E1688)))))-COUNTBLANK(OFFSET(A$1,,,SUMPRODUCT(MAX(ROW(E$1:E1687)*(E2=E$1:E1687))))))</f>
        <v> </v>
      </c>
      <c r="K1688" s="25" t="str">
        <f>IF(OR(E1688="",E1688="!!!",F1688="NEW"),"",INDEX(J$1:J1687,SUMPRODUCT(MAX(ROW(E$1:E1687)*(E1688=E$1:E1687)))))</f>
        <v> </v>
      </c>
      <c r="L1688" s="26"/>
    </row>
    <row r="1689" spans="1:12">
      <c r="A1689" s="20" t="s">
        <v>644</v>
      </c>
      <c r="E1689" s="21">
        <f>IF(D1689="?OLD","!!!","")</f>
        <v/>
      </c>
      <c r="F1689" s="22" t="str">
        <f>IF(OR(E1689="",E1689="!!!"),"",IF(NOT(ISNA(VLOOKUP(E1689,E$1:E1688,1,FALSE()))),"OLD",IF(AND(E1689&lt;&gt;"",E1689&lt;&gt;"!!!"),"NEW","")))</f>
        <v> </v>
      </c>
      <c r="G1689" s="23" t="str">
        <f>IF(OR(E1689="",E1689="!!!"),"",IF(OR(J1689=0,AND(J1689=1,K1689=1),AND(J1689=1,I1689="SBJ"),AND(J1689=1,I1689=0)),"?IN_FOCUS",IF(J1689&lt;=2,"?ACTIVATED",IF(J1689&lt;&gt;"","?FAMILIAR",IF(F1689="NEW",IF(ISNA(VLOOKUP(E1689,#REF!,1,FALSE())),"?TYPE_IDENTIFIABLE","?REFERENTIAL"),"_")))))</f>
        <v> </v>
      </c>
      <c r="H1689" s="24" t="str">
        <f>IF(J1689&lt;&gt;1,"",IF(I1689="SBJ","CB","?"))</f>
        <v> </v>
      </c>
      <c r="I1689" s="25" t="str">
        <f>IF(OR(E1689="",E1689="!!!",F1689="NEW"),"",INDEX(B1688:B$2,-1+SUMPRODUCT(MAX(ROW(E1688:E$2)*(E1689=E1688:E$2)))))</f>
        <v> </v>
      </c>
      <c r="J1689" s="25" t="str">
        <f>IF(OR(E1689="",E1689="!!!",F1689="NEW"),"",COUNTBLANK(OFFSET(A$1,,,SUMPRODUCT(MAX(ROW(E$2:E1689)*(E1689=E$2:E1689)))))-COUNTBLANK(OFFSET(A$1,,,SUMPRODUCT(MAX(ROW(E$1:E1688)*(E2=E$1:E1688))))))</f>
        <v> </v>
      </c>
      <c r="K1689" s="25" t="str">
        <f>IF(OR(E1689="",E1689="!!!",F1689="NEW"),"",INDEX(J$1:J1688,SUMPRODUCT(MAX(ROW(E$1:E1688)*(E1689=E$1:E1688)))))</f>
        <v> </v>
      </c>
      <c r="L1689" s="26"/>
    </row>
    <row r="1690" spans="1:12">
      <c r="A1690" s="20" t="s">
        <v>1284</v>
      </c>
      <c r="B1690" s="27" t="s">
        <v>625</v>
      </c>
      <c r="C1690" s="27" t="s">
        <v>622</v>
      </c>
      <c r="E1690" s="21">
        <f>IF(D1690="?OLD","!!!","")</f>
        <v/>
      </c>
      <c r="F1690" s="22" t="str">
        <f>IF(OR(E1690="",E1690="!!!"),"",IF(NOT(ISNA(VLOOKUP(E1690,E$1:E1689,1,FALSE()))),"OLD",IF(AND(E1690&lt;&gt;"",E1690&lt;&gt;"!!!"),"NEW","")))</f>
        <v> </v>
      </c>
      <c r="G1690" s="23" t="str">
        <f>IF(OR(E1690="",E1690="!!!"),"",IF(OR(J1690=0,AND(J1690=1,K1690=1),AND(J1690=1,I1690="SBJ"),AND(J1690=1,I1690=0)),"?IN_FOCUS",IF(J1690&lt;=2,"?ACTIVATED",IF(J1690&lt;&gt;"","?FAMILIAR",IF(F1690="NEW",IF(ISNA(VLOOKUP(E1690,#REF!,1,FALSE())),"?TYPE_IDENTIFIABLE","?REFERENTIAL"),"_")))))</f>
        <v> </v>
      </c>
      <c r="H1690" s="24" t="str">
        <f>IF(J1690&lt;&gt;1,"",IF(I1690="SBJ","CB","?"))</f>
        <v> </v>
      </c>
      <c r="I1690" s="25" t="str">
        <f>IF(OR(E1690="",E1690="!!!",F1690="NEW"),"",INDEX(B1689:B$2,-1+SUMPRODUCT(MAX(ROW(E1689:E$2)*(E1690=E1689:E$2)))))</f>
        <v> </v>
      </c>
      <c r="J1690" s="25" t="str">
        <f>IF(OR(E1690="",E1690="!!!",F1690="NEW"),"",COUNTBLANK(OFFSET(A$1,,,SUMPRODUCT(MAX(ROW(E$2:E1690)*(E1690=E$2:E1690)))))-COUNTBLANK(OFFSET(A$1,,,SUMPRODUCT(MAX(ROW(E$1:E1689)*(E2=E$1:E1689))))))</f>
        <v> </v>
      </c>
      <c r="K1690" s="25" t="str">
        <f>IF(OR(E1690="",E1690="!!!",F1690="NEW"),"",INDEX(J$1:J1689,SUMPRODUCT(MAX(ROW(E$1:E1689)*(E1690=E$1:E1689)))))</f>
        <v> </v>
      </c>
      <c r="L1690" s="26"/>
    </row>
    <row r="1691" spans="1:12">
      <c r="A1691" s="20" t="s">
        <v>633</v>
      </c>
      <c r="E1691" s="21">
        <f>IF(D1691="?OLD","!!!","")</f>
        <v/>
      </c>
      <c r="F1691" s="22" t="str">
        <f>IF(OR(E1691="",E1691="!!!"),"",IF(NOT(ISNA(VLOOKUP(E1691,E$1:E1690,1,FALSE()))),"OLD",IF(AND(E1691&lt;&gt;"",E1691&lt;&gt;"!!!"),"NEW","")))</f>
        <v> </v>
      </c>
      <c r="G1691" s="23" t="str">
        <f>IF(OR(E1691="",E1691="!!!"),"",IF(OR(J1691=0,AND(J1691=1,K1691=1),AND(J1691=1,I1691="SBJ"),AND(J1691=1,I1691=0)),"?IN_FOCUS",IF(J1691&lt;=2,"?ACTIVATED",IF(J1691&lt;&gt;"","?FAMILIAR",IF(F1691="NEW",IF(ISNA(VLOOKUP(E1691,#REF!,1,FALSE())),"?TYPE_IDENTIFIABLE","?REFERENTIAL"),"_")))))</f>
        <v> </v>
      </c>
      <c r="H1691" s="24" t="str">
        <f>IF(J1691&lt;&gt;1,"",IF(I1691="SBJ","CB","?"))</f>
        <v> </v>
      </c>
      <c r="I1691" s="25" t="str">
        <f>IF(OR(E1691="",E1691="!!!",F1691="NEW"),"",INDEX(B1690:B$2,-1+SUMPRODUCT(MAX(ROW(E1690:E$2)*(E1691=E1690:E$2)))))</f>
        <v> </v>
      </c>
      <c r="J1691" s="25" t="str">
        <f>IF(OR(E1691="",E1691="!!!",F1691="NEW"),"",COUNTBLANK(OFFSET(A$1,,,SUMPRODUCT(MAX(ROW(E$2:E1691)*(E1691=E$2:E1691)))))-COUNTBLANK(OFFSET(A$1,,,SUMPRODUCT(MAX(ROW(E$1:E1690)*(E2=E$1:E1690))))))</f>
        <v> </v>
      </c>
      <c r="K1691" s="25" t="str">
        <f>IF(OR(E1691="",E1691="!!!",F1691="NEW"),"",INDEX(J$1:J1690,SUMPRODUCT(MAX(ROW(E$1:E1690)*(E1691=E$1:E1690)))))</f>
        <v> </v>
      </c>
      <c r="L1691" s="26"/>
    </row>
    <row r="1692" spans="1:12">
      <c r="A1692" s="20"/>
    </row>
    <row r="1693" spans="1:12">
      <c r="A1693" s="20" t="s">
        <v>1285</v>
      </c>
    </row>
    <row r="1694" spans="1:12">
      <c r="A1694" s="20" t="s">
        <v>1283</v>
      </c>
      <c r="B1694" s="27" t="s">
        <v>636</v>
      </c>
      <c r="C1694" s="27" t="s">
        <v>622</v>
      </c>
      <c r="E1694" s="21">
        <f>IF(D1694="?OLD","!!!","")</f>
        <v/>
      </c>
      <c r="F1694" s="22" t="str">
        <f>IF(OR(E1694="",E1694="!!!"),"",IF(NOT(ISNA(VLOOKUP(E1694,E$1:E1693,1,FALSE()))),"OLD",IF(AND(E1694&lt;&gt;"",E1694&lt;&gt;"!!!"),"NEW","")))</f>
        <v> </v>
      </c>
      <c r="G1694" s="23" t="str">
        <f>IF(OR(E1694="",E1694="!!!"),"",IF(OR(J1694=0,AND(J1694=1,K1694=1),AND(J1694=1,I1694="SBJ"),AND(J1694=1,I1694=0)),"?IN_FOCUS",IF(J1694&lt;=2,"?ACTIVATED",IF(J1694&lt;&gt;"","?FAMILIAR",IF(F1694="NEW",IF(ISNA(VLOOKUP(E1694,#REF!,1,FALSE())),"?TYPE_IDENTIFIABLE","?REFERENTIAL"),"_")))))</f>
        <v> </v>
      </c>
      <c r="H1694" s="24" t="str">
        <f>IF(J1694&lt;&gt;1,"",IF(I1694="SBJ","CB","?"))</f>
        <v> </v>
      </c>
      <c r="I1694" s="25" t="str">
        <f>IF(OR(E1694="",E1694="!!!",F1694="NEW"),"",INDEX(B1693:B$2,-1+SUMPRODUCT(MAX(ROW(E1693:E$2)*(E1694=E1693:E$2)))))</f>
        <v> </v>
      </c>
      <c r="J1694" s="25" t="str">
        <f>IF(OR(E1694="",E1694="!!!",F1694="NEW"),"",COUNTBLANK(OFFSET(A$1,,,SUMPRODUCT(MAX(ROW(E$2:E1694)*(E1694=E$2:E1694)))))-COUNTBLANK(OFFSET(A$1,,,SUMPRODUCT(MAX(ROW(E$1:E1693)*(E2=E$1:E1693))))))</f>
        <v> </v>
      </c>
      <c r="K1694" s="25" t="str">
        <f>IF(OR(E1694="",E1694="!!!",F1694="NEW"),"",INDEX(J$1:J1693,SUMPRODUCT(MAX(ROW(E$1:E1693)*(E1694=E$1:E1693)))))</f>
        <v> </v>
      </c>
      <c r="L1694" s="26"/>
    </row>
    <row r="1695" spans="1:12">
      <c r="A1695" s="20" t="s">
        <v>644</v>
      </c>
      <c r="E1695" s="21">
        <f>IF(D1695="?OLD","!!!","")</f>
        <v/>
      </c>
      <c r="F1695" s="22" t="str">
        <f>IF(OR(E1695="",E1695="!!!"),"",IF(NOT(ISNA(VLOOKUP(E1695,E$1:E1694,1,FALSE()))),"OLD",IF(AND(E1695&lt;&gt;"",E1695&lt;&gt;"!!!"),"NEW","")))</f>
        <v> </v>
      </c>
      <c r="G1695" s="23" t="str">
        <f>IF(OR(E1695="",E1695="!!!"),"",IF(OR(J1695=0,AND(J1695=1,K1695=1),AND(J1695=1,I1695="SBJ"),AND(J1695=1,I1695=0)),"?IN_FOCUS",IF(J1695&lt;=2,"?ACTIVATED",IF(J1695&lt;&gt;"","?FAMILIAR",IF(F1695="NEW",IF(ISNA(VLOOKUP(E1695,#REF!,1,FALSE())),"?TYPE_IDENTIFIABLE","?REFERENTIAL"),"_")))))</f>
        <v> </v>
      </c>
      <c r="H1695" s="24" t="str">
        <f>IF(J1695&lt;&gt;1,"",IF(I1695="SBJ","CB","?"))</f>
        <v> </v>
      </c>
      <c r="I1695" s="25" t="str">
        <f>IF(OR(E1695="",E1695="!!!",F1695="NEW"),"",INDEX(B1694:B$2,-1+SUMPRODUCT(MAX(ROW(E1694:E$2)*(E1695=E1694:E$2)))))</f>
        <v> </v>
      </c>
      <c r="J1695" s="25" t="str">
        <f>IF(OR(E1695="",E1695="!!!",F1695="NEW"),"",COUNTBLANK(OFFSET(A$1,,,SUMPRODUCT(MAX(ROW(E$2:E1695)*(E1695=E$2:E1695)))))-COUNTBLANK(OFFSET(A$1,,,SUMPRODUCT(MAX(ROW(E$1:E1694)*(E2=E$1:E1694))))))</f>
        <v> </v>
      </c>
      <c r="K1695" s="25" t="str">
        <f>IF(OR(E1695="",E1695="!!!",F1695="NEW"),"",INDEX(J$1:J1694,SUMPRODUCT(MAX(ROW(E$1:E1694)*(E1695=E$1:E1694)))))</f>
        <v> </v>
      </c>
      <c r="L1695" s="26"/>
    </row>
    <row r="1696" spans="1:12">
      <c r="A1696" s="20" t="s">
        <v>1284</v>
      </c>
      <c r="B1696" s="27" t="s">
        <v>611</v>
      </c>
      <c r="C1696" s="27" t="s">
        <v>622</v>
      </c>
      <c r="E1696" s="21">
        <f>IF(D1696="?OLD","!!!","")</f>
        <v/>
      </c>
      <c r="F1696" s="22" t="str">
        <f>IF(OR(E1696="",E1696="!!!"),"",IF(NOT(ISNA(VLOOKUP(E1696,E$1:E1695,1,FALSE()))),"OLD",IF(AND(E1696&lt;&gt;"",E1696&lt;&gt;"!!!"),"NEW","")))</f>
        <v> </v>
      </c>
      <c r="G1696" s="23" t="str">
        <f>IF(OR(E1696="",E1696="!!!"),"",IF(OR(J1696=0,AND(J1696=1,K1696=1),AND(J1696=1,I1696="SBJ"),AND(J1696=1,I1696=0)),"?IN_FOCUS",IF(J1696&lt;=2,"?ACTIVATED",IF(J1696&lt;&gt;"","?FAMILIAR",IF(F1696="NEW",IF(ISNA(VLOOKUP(E1696,#REF!,1,FALSE())),"?TYPE_IDENTIFIABLE","?REFERENTIAL"),"_")))))</f>
        <v> </v>
      </c>
      <c r="H1696" s="24" t="str">
        <f>IF(J1696&lt;&gt;1,"",IF(I1696="SBJ","CB","?"))</f>
        <v> </v>
      </c>
      <c r="I1696" s="25" t="str">
        <f>IF(OR(E1696="",E1696="!!!",F1696="NEW"),"",INDEX(B1695:B$2,-1+SUMPRODUCT(MAX(ROW(E1695:E$2)*(E1696=E1695:E$2)))))</f>
        <v> </v>
      </c>
      <c r="J1696" s="25" t="str">
        <f>IF(OR(E1696="",E1696="!!!",F1696="NEW"),"",COUNTBLANK(OFFSET(A$1,,,SUMPRODUCT(MAX(ROW(E$2:E1696)*(E1696=E$2:E1696)))))-COUNTBLANK(OFFSET(A$1,,,SUMPRODUCT(MAX(ROW(E$1:E1695)*(E2=E$1:E1695))))))</f>
        <v> </v>
      </c>
      <c r="K1696" s="25" t="str">
        <f>IF(OR(E1696="",E1696="!!!",F1696="NEW"),"",INDEX(J$1:J1695,SUMPRODUCT(MAX(ROW(E$1:E1695)*(E1696=E$1:E1695)))))</f>
        <v> </v>
      </c>
      <c r="L1696" s="26"/>
    </row>
    <row r="1697" spans="1:12">
      <c r="A1697" s="20" t="s">
        <v>904</v>
      </c>
      <c r="E1697" s="21">
        <f>IF(D1697="?OLD","!!!","")</f>
        <v/>
      </c>
      <c r="F1697" s="22" t="str">
        <f>IF(OR(E1697="",E1697="!!!"),"",IF(NOT(ISNA(VLOOKUP(E1697,E$1:E1696,1,FALSE()))),"OLD",IF(AND(E1697&lt;&gt;"",E1697&lt;&gt;"!!!"),"NEW","")))</f>
        <v> </v>
      </c>
      <c r="G1697" s="23" t="str">
        <f>IF(OR(E1697="",E1697="!!!"),"",IF(OR(J1697=0,AND(J1697=1,K1697=1),AND(J1697=1,I1697="SBJ"),AND(J1697=1,I1697=0)),"?IN_FOCUS",IF(J1697&lt;=2,"?ACTIVATED",IF(J1697&lt;&gt;"","?FAMILIAR",IF(F1697="NEW",IF(ISNA(VLOOKUP(E1697,#REF!,1,FALSE())),"?TYPE_IDENTIFIABLE","?REFERENTIAL"),"_")))))</f>
        <v> </v>
      </c>
      <c r="H1697" s="24" t="str">
        <f>IF(J1697&lt;&gt;1,"",IF(I1697="SBJ","CB","?"))</f>
        <v> </v>
      </c>
      <c r="I1697" s="25" t="str">
        <f>IF(OR(E1697="",E1697="!!!",F1697="NEW"),"",INDEX(B1696:B$2,-1+SUMPRODUCT(MAX(ROW(E1696:E$2)*(E1697=E1696:E$2)))))</f>
        <v> </v>
      </c>
      <c r="J1697" s="25" t="str">
        <f>IF(OR(E1697="",E1697="!!!",F1697="NEW"),"",COUNTBLANK(OFFSET(A$1,,,SUMPRODUCT(MAX(ROW(E$2:E1697)*(E1697=E$2:E1697)))))-COUNTBLANK(OFFSET(A$1,,,SUMPRODUCT(MAX(ROW(E$1:E1696)*(E2=E$1:E1696))))))</f>
        <v> </v>
      </c>
      <c r="K1697" s="25" t="str">
        <f>IF(OR(E1697="",E1697="!!!",F1697="NEW"),"",INDEX(J$1:J1696,SUMPRODUCT(MAX(ROW(E$1:E1696)*(E1697=E$1:E1696)))))</f>
        <v> </v>
      </c>
      <c r="L1697" s="26"/>
    </row>
    <row r="1698" spans="1:12">
      <c r="A1698" s="20" t="s">
        <v>682</v>
      </c>
      <c r="E1698" s="21">
        <f>IF(D1698="?OLD","!!!","")</f>
        <v/>
      </c>
      <c r="F1698" s="22" t="str">
        <f>IF(OR(E1698="",E1698="!!!"),"",IF(NOT(ISNA(VLOOKUP(E1698,E$1:E1697,1,FALSE()))),"OLD",IF(AND(E1698&lt;&gt;"",E1698&lt;&gt;"!!!"),"NEW","")))</f>
        <v> </v>
      </c>
      <c r="G1698" s="23" t="str">
        <f>IF(OR(E1698="",E1698="!!!"),"",IF(OR(J1698=0,AND(J1698=1,K1698=1),AND(J1698=1,I1698="SBJ"),AND(J1698=1,I1698=0)),"?IN_FOCUS",IF(J1698&lt;=2,"?ACTIVATED",IF(J1698&lt;&gt;"","?FAMILIAR",IF(F1698="NEW",IF(ISNA(VLOOKUP(E1698,#REF!,1,FALSE())),"?TYPE_IDENTIFIABLE","?REFERENTIAL"),"_")))))</f>
        <v> </v>
      </c>
      <c r="H1698" s="24" t="str">
        <f>IF(J1698&lt;&gt;1,"",IF(I1698="SBJ","CB","?"))</f>
        <v> </v>
      </c>
      <c r="I1698" s="25" t="str">
        <f>IF(OR(E1698="",E1698="!!!",F1698="NEW"),"",INDEX(B1697:B$2,-1+SUMPRODUCT(MAX(ROW(E1697:E$2)*(E1698=E1697:E$2)))))</f>
        <v> </v>
      </c>
      <c r="J1698" s="25" t="str">
        <f>IF(OR(E1698="",E1698="!!!",F1698="NEW"),"",COUNTBLANK(OFFSET(A$1,,,SUMPRODUCT(MAX(ROW(E$2:E1698)*(E1698=E$2:E1698)))))-COUNTBLANK(OFFSET(A$1,,,SUMPRODUCT(MAX(ROW(E$1:E1697)*(E2=E$1:E1697))))))</f>
        <v> </v>
      </c>
      <c r="K1698" s="25" t="str">
        <f>IF(OR(E1698="",E1698="!!!",F1698="NEW"),"",INDEX(J$1:J1697,SUMPRODUCT(MAX(ROW(E$1:E1697)*(E1698=E$1:E1697)))))</f>
        <v> </v>
      </c>
      <c r="L1698" s="26"/>
    </row>
    <row r="1699" spans="1:12">
      <c r="A1699" s="20" t="s">
        <v>1159</v>
      </c>
      <c r="E1699" s="21">
        <f>IF(D1699="?OLD","!!!","")</f>
        <v/>
      </c>
      <c r="F1699" s="22" t="str">
        <f>IF(OR(E1699="",E1699="!!!"),"",IF(NOT(ISNA(VLOOKUP(E1699,E$1:E1698,1,FALSE()))),"OLD",IF(AND(E1699&lt;&gt;"",E1699&lt;&gt;"!!!"),"NEW","")))</f>
        <v> </v>
      </c>
      <c r="G1699" s="23" t="str">
        <f>IF(OR(E1699="",E1699="!!!"),"",IF(OR(J1699=0,AND(J1699=1,K1699=1),AND(J1699=1,I1699="SBJ"),AND(J1699=1,I1699=0)),"?IN_FOCUS",IF(J1699&lt;=2,"?ACTIVATED",IF(J1699&lt;&gt;"","?FAMILIAR",IF(F1699="NEW",IF(ISNA(VLOOKUP(E1699,#REF!,1,FALSE())),"?TYPE_IDENTIFIABLE","?REFERENTIAL"),"_")))))</f>
        <v> </v>
      </c>
      <c r="H1699" s="24" t="str">
        <f>IF(J1699&lt;&gt;1,"",IF(I1699="SBJ","CB","?"))</f>
        <v> </v>
      </c>
      <c r="I1699" s="25" t="str">
        <f>IF(OR(E1699="",E1699="!!!",F1699="NEW"),"",INDEX(B1698:B$2,-1+SUMPRODUCT(MAX(ROW(E1698:E$2)*(E1699=E1698:E$2)))))</f>
        <v> </v>
      </c>
      <c r="J1699" s="25" t="str">
        <f>IF(OR(E1699="",E1699="!!!",F1699="NEW"),"",COUNTBLANK(OFFSET(A$1,,,SUMPRODUCT(MAX(ROW(E$2:E1699)*(E1699=E$2:E1699)))))-COUNTBLANK(OFFSET(A$1,,,SUMPRODUCT(MAX(ROW(E$1:E1698)*(E2=E$1:E1698))))))</f>
        <v> </v>
      </c>
      <c r="K1699" s="25" t="str">
        <f>IF(OR(E1699="",E1699="!!!",F1699="NEW"),"",INDEX(J$1:J1698,SUMPRODUCT(MAX(ROW(E$1:E1698)*(E1699=E$1:E1698)))))</f>
        <v> </v>
      </c>
      <c r="L1699" s="26"/>
    </row>
    <row r="1700" spans="1:12">
      <c r="A1700" s="20" t="s">
        <v>1286</v>
      </c>
      <c r="B1700" s="27" t="s">
        <v>606</v>
      </c>
      <c r="C1700" s="27" t="s">
        <v>685</v>
      </c>
      <c r="E1700" s="21">
        <f>IF(D1700="?OLD","!!!","")</f>
        <v/>
      </c>
      <c r="F1700" s="22" t="str">
        <f>IF(OR(E1700="",E1700="!!!"),"",IF(NOT(ISNA(VLOOKUP(E1700,E$1:E1699,1,FALSE()))),"OLD",IF(AND(E1700&lt;&gt;"",E1700&lt;&gt;"!!!"),"NEW","")))</f>
        <v> </v>
      </c>
      <c r="G1700" s="23" t="str">
        <f>IF(OR(E1700="",E1700="!!!"),"",IF(OR(J1700=0,AND(J1700=1,K1700=1),AND(J1700=1,I1700="SBJ"),AND(J1700=1,I1700=0)),"?IN_FOCUS",IF(J1700&lt;=2,"?ACTIVATED",IF(J1700&lt;&gt;"","?FAMILIAR",IF(F1700="NEW",IF(ISNA(VLOOKUP(E1700,#REF!,1,FALSE())),"?TYPE_IDENTIFIABLE","?REFERENTIAL"),"_")))))</f>
        <v> </v>
      </c>
      <c r="H1700" s="24" t="str">
        <f>IF(J1700&lt;&gt;1,"",IF(I1700="SBJ","CB","?"))</f>
        <v> </v>
      </c>
      <c r="I1700" s="25" t="str">
        <f>IF(OR(E1700="",E1700="!!!",F1700="NEW"),"",INDEX(B1699:B$2,-1+SUMPRODUCT(MAX(ROW(E1699:E$2)*(E1700=E1699:E$2)))))</f>
        <v> </v>
      </c>
      <c r="J1700" s="25" t="str">
        <f>IF(OR(E1700="",E1700="!!!",F1700="NEW"),"",COUNTBLANK(OFFSET(A$1,,,SUMPRODUCT(MAX(ROW(E$2:E1700)*(E1700=E$2:E1700)))))-COUNTBLANK(OFFSET(A$1,,,SUMPRODUCT(MAX(ROW(E$1:E1699)*(E2=E$1:E1699))))))</f>
        <v> </v>
      </c>
      <c r="K1700" s="25" t="str">
        <f>IF(OR(E1700="",E1700="!!!",F1700="NEW"),"",INDEX(J$1:J1699,SUMPRODUCT(MAX(ROW(E$1:E1699)*(E1700=E$1:E1699)))))</f>
        <v> </v>
      </c>
      <c r="L1700" s="26"/>
    </row>
    <row r="1701" spans="1:12">
      <c r="A1701" s="20" t="s">
        <v>720</v>
      </c>
      <c r="E1701" s="21">
        <f>IF(D1701="?OLD","!!!","")</f>
        <v/>
      </c>
      <c r="F1701" s="22" t="str">
        <f>IF(OR(E1701="",E1701="!!!"),"",IF(NOT(ISNA(VLOOKUP(E1701,E$1:E1700,1,FALSE()))),"OLD",IF(AND(E1701&lt;&gt;"",E1701&lt;&gt;"!!!"),"NEW","")))</f>
        <v> </v>
      </c>
      <c r="G1701" s="23" t="str">
        <f>IF(OR(E1701="",E1701="!!!"),"",IF(OR(J1701=0,AND(J1701=1,K1701=1),AND(J1701=1,I1701="SBJ"),AND(J1701=1,I1701=0)),"?IN_FOCUS",IF(J1701&lt;=2,"?ACTIVATED",IF(J1701&lt;&gt;"","?FAMILIAR",IF(F1701="NEW",IF(ISNA(VLOOKUP(E1701,#REF!,1,FALSE())),"?TYPE_IDENTIFIABLE","?REFERENTIAL"),"_")))))</f>
        <v> </v>
      </c>
      <c r="H1701" s="24" t="str">
        <f>IF(J1701&lt;&gt;1,"",IF(I1701="SBJ","CB","?"))</f>
        <v> </v>
      </c>
      <c r="I1701" s="25" t="str">
        <f>IF(OR(E1701="",E1701="!!!",F1701="NEW"),"",INDEX(B1700:B$2,-1+SUMPRODUCT(MAX(ROW(E1700:E$2)*(E1701=E1700:E$2)))))</f>
        <v> </v>
      </c>
      <c r="J1701" s="25" t="str">
        <f>IF(OR(E1701="",E1701="!!!",F1701="NEW"),"",COUNTBLANK(OFFSET(A$1,,,SUMPRODUCT(MAX(ROW(E$2:E1701)*(E1701=E$2:E1701)))))-COUNTBLANK(OFFSET(A$1,,,SUMPRODUCT(MAX(ROW(E$1:E1700)*(E2=E$1:E1700))))))</f>
        <v> </v>
      </c>
      <c r="K1701" s="25" t="str">
        <f>IF(OR(E1701="",E1701="!!!",F1701="NEW"),"",INDEX(J$1:J1700,SUMPRODUCT(MAX(ROW(E$1:E1700)*(E1701=E$1:E1700)))))</f>
        <v> </v>
      </c>
      <c r="L1701" s="26"/>
    </row>
    <row r="1702" spans="1:12">
      <c r="A1702" s="20" t="s">
        <v>646</v>
      </c>
      <c r="B1702" s="27" t="s">
        <v>611</v>
      </c>
      <c r="C1702" s="27" t="s">
        <v>671</v>
      </c>
      <c r="D1702" s="27" t="s">
        <v>608</v>
      </c>
      <c r="E1702" s="21">
        <f>IF(D1702="?OLD","!!!","")</f>
        <v/>
      </c>
      <c r="F1702" s="22" t="str">
        <f>IF(OR(E1702="",E1702="!!!"),"",IF(NOT(ISNA(VLOOKUP(E1702,E$1:E1701,1,FALSE()))),"OLD",IF(AND(E1702&lt;&gt;"",E1702&lt;&gt;"!!!"),"NEW","")))</f>
        <v> </v>
      </c>
      <c r="G1702" s="23" t="str">
        <f>IF(OR(E1702="",E1702="!!!"),"",IF(OR(J1702=0,AND(J1702=1,K1702=1),AND(J1702=1,I1702="SBJ"),AND(J1702=1,I1702=0)),"?IN_FOCUS",IF(J1702&lt;=2,"?ACTIVATED",IF(J1702&lt;&gt;"","?FAMILIAR",IF(F1702="NEW",IF(ISNA(VLOOKUP(E1702,#REF!,1,FALSE())),"?TYPE_IDENTIFIABLE","?REFERENTIAL"),"_")))))</f>
        <v> </v>
      </c>
      <c r="H1702" s="24" t="str">
        <f>IF(J1702&lt;&gt;1,"",IF(I1702="SBJ","CB","?"))</f>
        <v> </v>
      </c>
      <c r="I1702" s="25" t="str">
        <f>IF(OR(E1702="",E1702="!!!",F1702="NEW"),"",INDEX(B1701:B$2,-1+SUMPRODUCT(MAX(ROW(E1701:E$2)*(E1702=E1701:E$2)))))</f>
        <v> </v>
      </c>
      <c r="J1702" s="25" t="str">
        <f>IF(OR(E1702="",E1702="!!!",F1702="NEW"),"",COUNTBLANK(OFFSET(A$1,,,SUMPRODUCT(MAX(ROW(E$2:E1702)*(E1702=E$2:E1702)))))-COUNTBLANK(OFFSET(A$1,,,SUMPRODUCT(MAX(ROW(E$1:E1701)*(E2=E$1:E1701))))))</f>
        <v> </v>
      </c>
      <c r="K1702" s="25" t="str">
        <f>IF(OR(E1702="",E1702="!!!",F1702="NEW"),"",INDEX(J$1:J1701,SUMPRODUCT(MAX(ROW(E$1:E1701)*(E1702=E$1:E1701)))))</f>
        <v> </v>
      </c>
      <c r="L1702" s="26"/>
    </row>
    <row r="1703" spans="1:12">
      <c r="A1703" s="20" t="s">
        <v>1287</v>
      </c>
      <c r="B1703" s="27" t="s">
        <v>606</v>
      </c>
      <c r="C1703" s="27" t="s">
        <v>622</v>
      </c>
      <c r="E1703" s="21">
        <f>IF(D1703="?OLD","!!!","")</f>
        <v/>
      </c>
      <c r="F1703" s="22" t="str">
        <f>IF(OR(E1703="",E1703="!!!"),"",IF(NOT(ISNA(VLOOKUP(E1703,E$1:E1702,1,FALSE()))),"OLD",IF(AND(E1703&lt;&gt;"",E1703&lt;&gt;"!!!"),"NEW","")))</f>
        <v> </v>
      </c>
      <c r="G1703" s="23" t="str">
        <f>IF(OR(E1703="",E1703="!!!"),"",IF(OR(J1703=0,AND(J1703=1,K1703=1),AND(J1703=1,I1703="SBJ"),AND(J1703=1,I1703=0)),"?IN_FOCUS",IF(J1703&lt;=2,"?ACTIVATED",IF(J1703&lt;&gt;"","?FAMILIAR",IF(F1703="NEW",IF(ISNA(VLOOKUP(E1703,#REF!,1,FALSE())),"?TYPE_IDENTIFIABLE","?REFERENTIAL"),"_")))))</f>
        <v> </v>
      </c>
      <c r="H1703" s="24" t="str">
        <f>IF(J1703&lt;&gt;1,"",IF(I1703="SBJ","CB","?"))</f>
        <v> </v>
      </c>
      <c r="I1703" s="25" t="str">
        <f>IF(OR(E1703="",E1703="!!!",F1703="NEW"),"",INDEX(B1702:B$2,-1+SUMPRODUCT(MAX(ROW(E1702:E$2)*(E1703=E1702:E$2)))))</f>
        <v> </v>
      </c>
      <c r="J1703" s="25" t="str">
        <f>IF(OR(E1703="",E1703="!!!",F1703="NEW"),"",COUNTBLANK(OFFSET(A$1,,,SUMPRODUCT(MAX(ROW(E$2:E1703)*(E1703=E$2:E1703)))))-COUNTBLANK(OFFSET(A$1,,,SUMPRODUCT(MAX(ROW(E$1:E1702)*(E2=E$1:E1702))))))</f>
        <v> </v>
      </c>
      <c r="K1703" s="25" t="str">
        <f>IF(OR(E1703="",E1703="!!!",F1703="NEW"),"",INDEX(J$1:J1702,SUMPRODUCT(MAX(ROW(E$1:E1702)*(E1703=E$1:E1702)))))</f>
        <v> </v>
      </c>
      <c r="L1703" s="26"/>
    </row>
    <row r="1704" spans="1:12">
      <c r="A1704" s="20" t="s">
        <v>644</v>
      </c>
      <c r="E1704" s="21">
        <f>IF(D1704="?OLD","!!!","")</f>
        <v/>
      </c>
      <c r="F1704" s="22" t="str">
        <f>IF(OR(E1704="",E1704="!!!"),"",IF(NOT(ISNA(VLOOKUP(E1704,E$1:E1703,1,FALSE()))),"OLD",IF(AND(E1704&lt;&gt;"",E1704&lt;&gt;"!!!"),"NEW","")))</f>
        <v> </v>
      </c>
      <c r="G1704" s="23" t="str">
        <f>IF(OR(E1704="",E1704="!!!"),"",IF(OR(J1704=0,AND(J1704=1,K1704=1),AND(J1704=1,I1704="SBJ"),AND(J1704=1,I1704=0)),"?IN_FOCUS",IF(J1704&lt;=2,"?ACTIVATED",IF(J1704&lt;&gt;"","?FAMILIAR",IF(F1704="NEW",IF(ISNA(VLOOKUP(E1704,#REF!,1,FALSE())),"?TYPE_IDENTIFIABLE","?REFERENTIAL"),"_")))))</f>
        <v> </v>
      </c>
      <c r="H1704" s="24" t="str">
        <f>IF(J1704&lt;&gt;1,"",IF(I1704="SBJ","CB","?"))</f>
        <v> </v>
      </c>
      <c r="I1704" s="25" t="str">
        <f>IF(OR(E1704="",E1704="!!!",F1704="NEW"),"",INDEX(B1703:B$2,-1+SUMPRODUCT(MAX(ROW(E1703:E$2)*(E1704=E1703:E$2)))))</f>
        <v> </v>
      </c>
      <c r="J1704" s="25" t="str">
        <f>IF(OR(E1704="",E1704="!!!",F1704="NEW"),"",COUNTBLANK(OFFSET(A$1,,,SUMPRODUCT(MAX(ROW(E$2:E1704)*(E1704=E$2:E1704)))))-COUNTBLANK(OFFSET(A$1,,,SUMPRODUCT(MAX(ROW(E$1:E1703)*(E2=E$1:E1703))))))</f>
        <v> </v>
      </c>
      <c r="K1704" s="25" t="str">
        <f>IF(OR(E1704="",E1704="!!!",F1704="NEW"),"",INDEX(J$1:J1703,SUMPRODUCT(MAX(ROW(E$1:E1703)*(E1704=E$1:E1703)))))</f>
        <v> </v>
      </c>
      <c r="L1704" s="26"/>
    </row>
    <row r="1705" spans="1:12">
      <c r="A1705" s="20" t="s">
        <v>1059</v>
      </c>
      <c r="B1705" s="27" t="s">
        <v>625</v>
      </c>
      <c r="C1705" s="27" t="s">
        <v>671</v>
      </c>
      <c r="D1705" s="27" t="s">
        <v>608</v>
      </c>
      <c r="E1705" s="21">
        <f>IF(D1705="?OLD","!!!","")</f>
        <v/>
      </c>
      <c r="F1705" s="22" t="str">
        <f>IF(OR(E1705="",E1705="!!!"),"",IF(NOT(ISNA(VLOOKUP(E1705,E$1:E1704,1,FALSE()))),"OLD",IF(AND(E1705&lt;&gt;"",E1705&lt;&gt;"!!!"),"NEW","")))</f>
        <v> </v>
      </c>
      <c r="G1705" s="23" t="str">
        <f>IF(OR(E1705="",E1705="!!!"),"",IF(OR(J1705=0,AND(J1705=1,K1705=1),AND(J1705=1,I1705="SBJ"),AND(J1705=1,I1705=0)),"?IN_FOCUS",IF(J1705&lt;=2,"?ACTIVATED",IF(J1705&lt;&gt;"","?FAMILIAR",IF(F1705="NEW",IF(ISNA(VLOOKUP(E1705,#REF!,1,FALSE())),"?TYPE_IDENTIFIABLE","?REFERENTIAL"),"_")))))</f>
        <v> </v>
      </c>
      <c r="H1705" s="24" t="str">
        <f>IF(J1705&lt;&gt;1,"",IF(I1705="SBJ","CB","?"))</f>
        <v> </v>
      </c>
      <c r="I1705" s="25" t="str">
        <f>IF(OR(E1705="",E1705="!!!",F1705="NEW"),"",INDEX(B1704:B$2,-1+SUMPRODUCT(MAX(ROW(E1704:E$2)*(E1705=E1704:E$2)))))</f>
        <v> </v>
      </c>
      <c r="J1705" s="25" t="str">
        <f>IF(OR(E1705="",E1705="!!!",F1705="NEW"),"",COUNTBLANK(OFFSET(A$1,,,SUMPRODUCT(MAX(ROW(E$2:E1705)*(E1705=E$2:E1705)))))-COUNTBLANK(OFFSET(A$1,,,SUMPRODUCT(MAX(ROW(E$1:E1704)*(E2=E$1:E1704))))))</f>
        <v> </v>
      </c>
      <c r="K1705" s="25" t="str">
        <f>IF(OR(E1705="",E1705="!!!",F1705="NEW"),"",INDEX(J$1:J1704,SUMPRODUCT(MAX(ROW(E$1:E1704)*(E1705=E$1:E1704)))))</f>
        <v> </v>
      </c>
      <c r="L1705" s="26"/>
    </row>
    <row r="1706" spans="1:12">
      <c r="A1706" s="20" t="s">
        <v>893</v>
      </c>
      <c r="B1706" s="27" t="s">
        <v>611</v>
      </c>
      <c r="C1706" s="27" t="s">
        <v>622</v>
      </c>
      <c r="E1706" s="21">
        <f>IF(D1706="?OLD","!!!","")</f>
        <v/>
      </c>
      <c r="F1706" s="22" t="str">
        <f>IF(OR(E1706="",E1706="!!!"),"",IF(NOT(ISNA(VLOOKUP(E1706,E$1:E1705,1,FALSE()))),"OLD",IF(AND(E1706&lt;&gt;"",E1706&lt;&gt;"!!!"),"NEW","")))</f>
        <v> </v>
      </c>
      <c r="G1706" s="23" t="str">
        <f>IF(OR(E1706="",E1706="!!!"),"",IF(OR(J1706=0,AND(J1706=1,K1706=1),AND(J1706=1,I1706="SBJ"),AND(J1706=1,I1706=0)),"?IN_FOCUS",IF(J1706&lt;=2,"?ACTIVATED",IF(J1706&lt;&gt;"","?FAMILIAR",IF(F1706="NEW",IF(ISNA(VLOOKUP(E1706,#REF!,1,FALSE())),"?TYPE_IDENTIFIABLE","?REFERENTIAL"),"_")))))</f>
        <v> </v>
      </c>
      <c r="H1706" s="24" t="str">
        <f>IF(J1706&lt;&gt;1,"",IF(I1706="SBJ","CB","?"))</f>
        <v> </v>
      </c>
      <c r="I1706" s="25" t="str">
        <f>IF(OR(E1706="",E1706="!!!",F1706="NEW"),"",INDEX(B1705:B$2,-1+SUMPRODUCT(MAX(ROW(E1705:E$2)*(E1706=E1705:E$2)))))</f>
        <v> </v>
      </c>
      <c r="J1706" s="25" t="str">
        <f>IF(OR(E1706="",E1706="!!!",F1706="NEW"),"",COUNTBLANK(OFFSET(A$1,,,SUMPRODUCT(MAX(ROW(E$2:E1706)*(E1706=E$2:E1706)))))-COUNTBLANK(OFFSET(A$1,,,SUMPRODUCT(MAX(ROW(E$1:E1705)*(E2=E$1:E1705))))))</f>
        <v> </v>
      </c>
      <c r="K1706" s="25" t="str">
        <f>IF(OR(E1706="",E1706="!!!",F1706="NEW"),"",INDEX(J$1:J1705,SUMPRODUCT(MAX(ROW(E$1:E1705)*(E1706=E$1:E1705)))))</f>
        <v> </v>
      </c>
      <c r="L1706" s="26"/>
    </row>
    <row r="1707" spans="1:12">
      <c r="A1707" s="20" t="s">
        <v>617</v>
      </c>
      <c r="E1707" s="21">
        <f>IF(D1707="?OLD","!!!","")</f>
        <v/>
      </c>
      <c r="F1707" s="22" t="str">
        <f>IF(OR(E1707="",E1707="!!!"),"",IF(NOT(ISNA(VLOOKUP(E1707,E$1:E1706,1,FALSE()))),"OLD",IF(AND(E1707&lt;&gt;"",E1707&lt;&gt;"!!!"),"NEW","")))</f>
        <v> </v>
      </c>
      <c r="G1707" s="23" t="str">
        <f>IF(OR(E1707="",E1707="!!!"),"",IF(OR(J1707=0,AND(J1707=1,K1707=1),AND(J1707=1,I1707="SBJ"),AND(J1707=1,I1707=0)),"?IN_FOCUS",IF(J1707&lt;=2,"?ACTIVATED",IF(J1707&lt;&gt;"","?FAMILIAR",IF(F1707="NEW",IF(ISNA(VLOOKUP(E1707,#REF!,1,FALSE())),"?TYPE_IDENTIFIABLE","?REFERENTIAL"),"_")))))</f>
        <v> </v>
      </c>
      <c r="H1707" s="24" t="str">
        <f>IF(J1707&lt;&gt;1,"",IF(I1707="SBJ","CB","?"))</f>
        <v> </v>
      </c>
      <c r="I1707" s="25" t="str">
        <f>IF(OR(E1707="",E1707="!!!",F1707="NEW"),"",INDEX(B1706:B$2,-1+SUMPRODUCT(MAX(ROW(E1706:E$2)*(E1707=E1706:E$2)))))</f>
        <v> </v>
      </c>
      <c r="J1707" s="25" t="str">
        <f>IF(OR(E1707="",E1707="!!!",F1707="NEW"),"",COUNTBLANK(OFFSET(A$1,,,SUMPRODUCT(MAX(ROW(E$2:E1707)*(E1707=E$2:E1707)))))-COUNTBLANK(OFFSET(A$1,,,SUMPRODUCT(MAX(ROW(E$1:E1706)*(E2=E$1:E1706))))))</f>
        <v> </v>
      </c>
      <c r="K1707" s="25" t="str">
        <f>IF(OR(E1707="",E1707="!!!",F1707="NEW"),"",INDEX(J$1:J1706,SUMPRODUCT(MAX(ROW(E$1:E1706)*(E1707=E$1:E1706)))))</f>
        <v> </v>
      </c>
      <c r="L1707" s="26"/>
    </row>
    <row r="1708" spans="1:12">
      <c r="A1708" s="20" t="s">
        <v>970</v>
      </c>
      <c r="E1708" s="21">
        <f>IF(D1708="?OLD","!!!","")</f>
        <v/>
      </c>
      <c r="F1708" s="22" t="str">
        <f>IF(OR(E1708="",E1708="!!!"),"",IF(NOT(ISNA(VLOOKUP(E1708,E$1:E1707,1,FALSE()))),"OLD",IF(AND(E1708&lt;&gt;"",E1708&lt;&gt;"!!!"),"NEW","")))</f>
        <v> </v>
      </c>
      <c r="G1708" s="23" t="str">
        <f>IF(OR(E1708="",E1708="!!!"),"",IF(OR(J1708=0,AND(J1708=1,K1708=1),AND(J1708=1,I1708="SBJ"),AND(J1708=1,I1708=0)),"?IN_FOCUS",IF(J1708&lt;=2,"?ACTIVATED",IF(J1708&lt;&gt;"","?FAMILIAR",IF(F1708="NEW",IF(ISNA(VLOOKUP(E1708,#REF!,1,FALSE())),"?TYPE_IDENTIFIABLE","?REFERENTIAL"),"_")))))</f>
        <v> </v>
      </c>
      <c r="H1708" s="24" t="str">
        <f>IF(J1708&lt;&gt;1,"",IF(I1708="SBJ","CB","?"))</f>
        <v> </v>
      </c>
      <c r="I1708" s="25" t="str">
        <f>IF(OR(E1708="",E1708="!!!",F1708="NEW"),"",INDEX(B1707:B$2,-1+SUMPRODUCT(MAX(ROW(E1707:E$2)*(E1708=E1707:E$2)))))</f>
        <v> </v>
      </c>
      <c r="J1708" s="25" t="str">
        <f>IF(OR(E1708="",E1708="!!!",F1708="NEW"),"",COUNTBLANK(OFFSET(A$1,,,SUMPRODUCT(MAX(ROW(E$2:E1708)*(E1708=E$2:E1708)))))-COUNTBLANK(OFFSET(A$1,,,SUMPRODUCT(MAX(ROW(E$1:E1707)*(E2=E$1:E1707))))))</f>
        <v> </v>
      </c>
      <c r="K1708" s="25" t="str">
        <f>IF(OR(E1708="",E1708="!!!",F1708="NEW"),"",INDEX(J$1:J1707,SUMPRODUCT(MAX(ROW(E$1:E1707)*(E1708=E$1:E1707)))))</f>
        <v> </v>
      </c>
      <c r="L1708" s="26"/>
    </row>
    <row r="1709" spans="1:12">
      <c r="A1709" s="20" t="s">
        <v>651</v>
      </c>
      <c r="B1709" s="27" t="s">
        <v>619</v>
      </c>
      <c r="C1709" s="27" t="s">
        <v>652</v>
      </c>
      <c r="D1709" s="27" t="s">
        <v>608</v>
      </c>
      <c r="E1709" s="21">
        <f>IF(D1709="?OLD","!!!","")</f>
        <v/>
      </c>
      <c r="F1709" s="22" t="str">
        <f>IF(OR(E1709="",E1709="!!!"),"",IF(NOT(ISNA(VLOOKUP(E1709,E$1:E1708,1,FALSE()))),"OLD",IF(AND(E1709&lt;&gt;"",E1709&lt;&gt;"!!!"),"NEW","")))</f>
        <v> </v>
      </c>
      <c r="G1709" s="23" t="str">
        <f>IF(OR(E1709="",E1709="!!!"),"",IF(OR(J1709=0,AND(J1709=1,K1709=1),AND(J1709=1,I1709="SBJ"),AND(J1709=1,I1709=0)),"?IN_FOCUS",IF(J1709&lt;=2,"?ACTIVATED",IF(J1709&lt;&gt;"","?FAMILIAR",IF(F1709="NEW",IF(ISNA(VLOOKUP(E1709,#REF!,1,FALSE())),"?TYPE_IDENTIFIABLE","?REFERENTIAL"),"_")))))</f>
        <v> </v>
      </c>
      <c r="H1709" s="24" t="str">
        <f>IF(J1709&lt;&gt;1,"",IF(I1709="SBJ","CB","?"))</f>
        <v> </v>
      </c>
      <c r="I1709" s="25" t="str">
        <f>IF(OR(E1709="",E1709="!!!",F1709="NEW"),"",INDEX(B1708:B$2,-1+SUMPRODUCT(MAX(ROW(E1708:E$2)*(E1709=E1708:E$2)))))</f>
        <v> </v>
      </c>
      <c r="J1709" s="25" t="str">
        <f>IF(OR(E1709="",E1709="!!!",F1709="NEW"),"",COUNTBLANK(OFFSET(A$1,,,SUMPRODUCT(MAX(ROW(E$2:E1709)*(E1709=E$2:E1709)))))-COUNTBLANK(OFFSET(A$1,,,SUMPRODUCT(MAX(ROW(E$1:E1708)*(E2=E$1:E1708))))))</f>
        <v> </v>
      </c>
      <c r="K1709" s="25" t="str">
        <f>IF(OR(E1709="",E1709="!!!",F1709="NEW"),"",INDEX(J$1:J1708,SUMPRODUCT(MAX(ROW(E$1:E1708)*(E1709=E$1:E1708)))))</f>
        <v> </v>
      </c>
      <c r="L1709" s="26"/>
    </row>
    <row r="1710" spans="1:12">
      <c r="A1710" s="20" t="s">
        <v>1288</v>
      </c>
      <c r="E1710" s="21">
        <f>IF(D1710="?OLD","!!!","")</f>
        <v/>
      </c>
      <c r="F1710" s="22" t="str">
        <f>IF(OR(E1710="",E1710="!!!"),"",IF(NOT(ISNA(VLOOKUP(E1710,E$1:E1709,1,FALSE()))),"OLD",IF(AND(E1710&lt;&gt;"",E1710&lt;&gt;"!!!"),"NEW","")))</f>
        <v> </v>
      </c>
      <c r="G1710" s="23" t="str">
        <f>IF(OR(E1710="",E1710="!!!"),"",IF(OR(J1710=0,AND(J1710=1,K1710=1),AND(J1710=1,I1710="SBJ"),AND(J1710=1,I1710=0)),"?IN_FOCUS",IF(J1710&lt;=2,"?ACTIVATED",IF(J1710&lt;&gt;"","?FAMILIAR",IF(F1710="NEW",IF(ISNA(VLOOKUP(E1710,#REF!,1,FALSE())),"?TYPE_IDENTIFIABLE","?REFERENTIAL"),"_")))))</f>
        <v> </v>
      </c>
      <c r="H1710" s="24" t="str">
        <f>IF(J1710&lt;&gt;1,"",IF(I1710="SBJ","CB","?"))</f>
        <v> </v>
      </c>
      <c r="I1710" s="25" t="str">
        <f>IF(OR(E1710="",E1710="!!!",F1710="NEW"),"",INDEX(B1709:B$2,-1+SUMPRODUCT(MAX(ROW(E1709:E$2)*(E1710=E1709:E$2)))))</f>
        <v> </v>
      </c>
      <c r="J1710" s="25" t="str">
        <f>IF(OR(E1710="",E1710="!!!",F1710="NEW"),"",COUNTBLANK(OFFSET(A$1,,,SUMPRODUCT(MAX(ROW(E$2:E1710)*(E1710=E$2:E1710)))))-COUNTBLANK(OFFSET(A$1,,,SUMPRODUCT(MAX(ROW(E$1:E1709)*(E2=E$1:E1709))))))</f>
        <v> </v>
      </c>
      <c r="K1710" s="25" t="str">
        <f>IF(OR(E1710="",E1710="!!!",F1710="NEW"),"",INDEX(J$1:J1709,SUMPRODUCT(MAX(ROW(E$1:E1709)*(E1710=E$1:E1709)))))</f>
        <v> </v>
      </c>
      <c r="L1710" s="26"/>
    </row>
    <row r="1711" spans="1:12">
      <c r="A1711" s="20" t="s">
        <v>737</v>
      </c>
      <c r="E1711" s="21">
        <f>IF(D1711="?OLD","!!!","")</f>
        <v/>
      </c>
      <c r="F1711" s="22" t="str">
        <f>IF(OR(E1711="",E1711="!!!"),"",IF(NOT(ISNA(VLOOKUP(E1711,E$1:E1710,1,FALSE()))),"OLD",IF(AND(E1711&lt;&gt;"",E1711&lt;&gt;"!!!"),"NEW","")))</f>
        <v> </v>
      </c>
      <c r="G1711" s="23" t="str">
        <f>IF(OR(E1711="",E1711="!!!"),"",IF(OR(J1711=0,AND(J1711=1,K1711=1),AND(J1711=1,I1711="SBJ"),AND(J1711=1,I1711=0)),"?IN_FOCUS",IF(J1711&lt;=2,"?ACTIVATED",IF(J1711&lt;&gt;"","?FAMILIAR",IF(F1711="NEW",IF(ISNA(VLOOKUP(E1711,#REF!,1,FALSE())),"?TYPE_IDENTIFIABLE","?REFERENTIAL"),"_")))))</f>
        <v> </v>
      </c>
      <c r="H1711" s="24" t="str">
        <f>IF(J1711&lt;&gt;1,"",IF(I1711="SBJ","CB","?"))</f>
        <v> </v>
      </c>
      <c r="I1711" s="25" t="str">
        <f>IF(OR(E1711="",E1711="!!!",F1711="NEW"),"",INDEX(B1710:B$2,-1+SUMPRODUCT(MAX(ROW(E1710:E$2)*(E1711=E1710:E$2)))))</f>
        <v> </v>
      </c>
      <c r="J1711" s="25" t="str">
        <f>IF(OR(E1711="",E1711="!!!",F1711="NEW"),"",COUNTBLANK(OFFSET(A$1,,,SUMPRODUCT(MAX(ROW(E$2:E1711)*(E1711=E$2:E1711)))))-COUNTBLANK(OFFSET(A$1,,,SUMPRODUCT(MAX(ROW(E$1:E1710)*(E2=E$1:E1710))))))</f>
        <v> </v>
      </c>
      <c r="K1711" s="25" t="str">
        <f>IF(OR(E1711="",E1711="!!!",F1711="NEW"),"",INDEX(J$1:J1710,SUMPRODUCT(MAX(ROW(E$1:E1710)*(E1711=E$1:E1710)))))</f>
        <v> </v>
      </c>
      <c r="L1711" s="26"/>
    </row>
    <row r="1712" spans="1:12">
      <c r="A1712" s="20" t="s">
        <v>1289</v>
      </c>
      <c r="E1712" s="21">
        <f>IF(D1712="?OLD","!!!","")</f>
        <v/>
      </c>
      <c r="F1712" s="22" t="str">
        <f>IF(OR(E1712="",E1712="!!!"),"",IF(NOT(ISNA(VLOOKUP(E1712,E$1:E1711,1,FALSE()))),"OLD",IF(AND(E1712&lt;&gt;"",E1712&lt;&gt;"!!!"),"NEW","")))</f>
        <v> </v>
      </c>
      <c r="G1712" s="23" t="str">
        <f>IF(OR(E1712="",E1712="!!!"),"",IF(OR(J1712=0,AND(J1712=1,K1712=1),AND(J1712=1,I1712="SBJ"),AND(J1712=1,I1712=0)),"?IN_FOCUS",IF(J1712&lt;=2,"?ACTIVATED",IF(J1712&lt;&gt;"","?FAMILIAR",IF(F1712="NEW",IF(ISNA(VLOOKUP(E1712,#REF!,1,FALSE())),"?TYPE_IDENTIFIABLE","?REFERENTIAL"),"_")))))</f>
        <v> </v>
      </c>
      <c r="H1712" s="24" t="str">
        <f>IF(J1712&lt;&gt;1,"",IF(I1712="SBJ","CB","?"))</f>
        <v> </v>
      </c>
      <c r="I1712" s="25" t="str">
        <f>IF(OR(E1712="",E1712="!!!",F1712="NEW"),"",INDEX(B1711:B$2,-1+SUMPRODUCT(MAX(ROW(E1711:E$2)*(E1712=E1711:E$2)))))</f>
        <v> </v>
      </c>
      <c r="J1712" s="25" t="str">
        <f>IF(OR(E1712="",E1712="!!!",F1712="NEW"),"",COUNTBLANK(OFFSET(A$1,,,SUMPRODUCT(MAX(ROW(E$2:E1712)*(E1712=E$2:E1712)))))-COUNTBLANK(OFFSET(A$1,,,SUMPRODUCT(MAX(ROW(E$1:E1711)*(E2=E$1:E1711))))))</f>
        <v> </v>
      </c>
      <c r="K1712" s="25" t="str">
        <f>IF(OR(E1712="",E1712="!!!",F1712="NEW"),"",INDEX(J$1:J1711,SUMPRODUCT(MAX(ROW(E$1:E1711)*(E1712=E$1:E1711)))))</f>
        <v> </v>
      </c>
      <c r="L1712" s="26"/>
    </row>
    <row r="1713" spans="1:12">
      <c r="A1713" s="20" t="s">
        <v>618</v>
      </c>
      <c r="E1713" s="21">
        <f>IF(D1713="?OLD","!!!","")</f>
        <v/>
      </c>
      <c r="F1713" s="22" t="str">
        <f>IF(OR(E1713="",E1713="!!!"),"",IF(NOT(ISNA(VLOOKUP(E1713,E$1:E1712,1,FALSE()))),"OLD",IF(AND(E1713&lt;&gt;"",E1713&lt;&gt;"!!!"),"NEW","")))</f>
        <v> </v>
      </c>
      <c r="G1713" s="23" t="str">
        <f>IF(OR(E1713="",E1713="!!!"),"",IF(OR(J1713=0,AND(J1713=1,K1713=1),AND(J1713=1,I1713="SBJ"),AND(J1713=1,I1713=0)),"?IN_FOCUS",IF(J1713&lt;=2,"?ACTIVATED",IF(J1713&lt;&gt;"","?FAMILIAR",IF(F1713="NEW",IF(ISNA(VLOOKUP(E1713,#REF!,1,FALSE())),"?TYPE_IDENTIFIABLE","?REFERENTIAL"),"_")))))</f>
        <v> </v>
      </c>
      <c r="H1713" s="24" t="str">
        <f>IF(J1713&lt;&gt;1,"",IF(I1713="SBJ","CB","?"))</f>
        <v> </v>
      </c>
      <c r="I1713" s="25" t="str">
        <f>IF(OR(E1713="",E1713="!!!",F1713="NEW"),"",INDEX(B1712:B$2,-1+SUMPRODUCT(MAX(ROW(E1712:E$2)*(E1713=E1712:E$2)))))</f>
        <v> </v>
      </c>
      <c r="J1713" s="25" t="str">
        <f>IF(OR(E1713="",E1713="!!!",F1713="NEW"),"",COUNTBLANK(OFFSET(A$1,,,SUMPRODUCT(MAX(ROW(E$2:E1713)*(E1713=E$2:E1713)))))-COUNTBLANK(OFFSET(A$1,,,SUMPRODUCT(MAX(ROW(E$1:E1712)*(E2=E$1:E1712))))))</f>
        <v> </v>
      </c>
      <c r="K1713" s="25" t="str">
        <f>IF(OR(E1713="",E1713="!!!",F1713="NEW"),"",INDEX(J$1:J1712,SUMPRODUCT(MAX(ROW(E$1:E1712)*(E1713=E$1:E1712)))))</f>
        <v> </v>
      </c>
      <c r="L1713" s="26"/>
    </row>
    <row r="1714" spans="1:12">
      <c r="A1714" s="20" t="s">
        <v>1290</v>
      </c>
      <c r="E1714" s="21">
        <f>IF(D1714="?OLD","!!!","")</f>
        <v/>
      </c>
      <c r="F1714" s="22" t="str">
        <f>IF(OR(E1714="",E1714="!!!"),"",IF(NOT(ISNA(VLOOKUP(E1714,E$1:E1713,1,FALSE()))),"OLD",IF(AND(E1714&lt;&gt;"",E1714&lt;&gt;"!!!"),"NEW","")))</f>
        <v> </v>
      </c>
      <c r="G1714" s="23" t="str">
        <f>IF(OR(E1714="",E1714="!!!"),"",IF(OR(J1714=0,AND(J1714=1,K1714=1),AND(J1714=1,I1714="SBJ"),AND(J1714=1,I1714=0)),"?IN_FOCUS",IF(J1714&lt;=2,"?ACTIVATED",IF(J1714&lt;&gt;"","?FAMILIAR",IF(F1714="NEW",IF(ISNA(VLOOKUP(E1714,#REF!,1,FALSE())),"?TYPE_IDENTIFIABLE","?REFERENTIAL"),"_")))))</f>
        <v> </v>
      </c>
      <c r="H1714" s="24" t="str">
        <f>IF(J1714&lt;&gt;1,"",IF(I1714="SBJ","CB","?"))</f>
        <v> </v>
      </c>
      <c r="I1714" s="25" t="str">
        <f>IF(OR(E1714="",E1714="!!!",F1714="NEW"),"",INDEX(B1713:B$2,-1+SUMPRODUCT(MAX(ROW(E1713:E$2)*(E1714=E1713:E$2)))))</f>
        <v> </v>
      </c>
      <c r="J1714" s="25" t="str">
        <f>IF(OR(E1714="",E1714="!!!",F1714="NEW"),"",COUNTBLANK(OFFSET(A$1,,,SUMPRODUCT(MAX(ROW(E$2:E1714)*(E1714=E$2:E1714)))))-COUNTBLANK(OFFSET(A$1,,,SUMPRODUCT(MAX(ROW(E$1:E1713)*(E2=E$1:E1713))))))</f>
        <v> </v>
      </c>
      <c r="K1714" s="25" t="str">
        <f>IF(OR(E1714="",E1714="!!!",F1714="NEW"),"",INDEX(J$1:J1713,SUMPRODUCT(MAX(ROW(E$1:E1713)*(E1714=E$1:E1713)))))</f>
        <v> </v>
      </c>
      <c r="L1714" s="26"/>
    </row>
    <row r="1715" spans="1:12">
      <c r="A1715" s="20" t="s">
        <v>1291</v>
      </c>
      <c r="B1715" s="27" t="s">
        <v>657</v>
      </c>
      <c r="C1715" s="27" t="s">
        <v>607</v>
      </c>
      <c r="D1715" s="27" t="s">
        <v>608</v>
      </c>
      <c r="E1715" s="21">
        <f>IF(D1715="?OLD","!!!","")</f>
        <v/>
      </c>
      <c r="F1715" s="22" t="str">
        <f>IF(OR(E1715="",E1715="!!!"),"",IF(NOT(ISNA(VLOOKUP(E1715,E$1:E1714,1,FALSE()))),"OLD",IF(AND(E1715&lt;&gt;"",E1715&lt;&gt;"!!!"),"NEW","")))</f>
        <v> </v>
      </c>
      <c r="G1715" s="23" t="str">
        <f>IF(OR(E1715="",E1715="!!!"),"",IF(OR(J1715=0,AND(J1715=1,K1715=1),AND(J1715=1,I1715="SBJ"),AND(J1715=1,I1715=0)),"?IN_FOCUS",IF(J1715&lt;=2,"?ACTIVATED",IF(J1715&lt;&gt;"","?FAMILIAR",IF(F1715="NEW",IF(ISNA(VLOOKUP(E1715,#REF!,1,FALSE())),"?TYPE_IDENTIFIABLE","?REFERENTIAL"),"_")))))</f>
        <v> </v>
      </c>
      <c r="H1715" s="24" t="str">
        <f>IF(J1715&lt;&gt;1,"",IF(I1715="SBJ","CB","?"))</f>
        <v> </v>
      </c>
      <c r="I1715" s="25" t="str">
        <f>IF(OR(E1715="",E1715="!!!",F1715="NEW"),"",INDEX(B1714:B$2,-1+SUMPRODUCT(MAX(ROW(E1714:E$2)*(E1715=E1714:E$2)))))</f>
        <v> </v>
      </c>
      <c r="J1715" s="25" t="str">
        <f>IF(OR(E1715="",E1715="!!!",F1715="NEW"),"",COUNTBLANK(OFFSET(A$1,,,SUMPRODUCT(MAX(ROW(E$2:E1715)*(E1715=E$2:E1715)))))-COUNTBLANK(OFFSET(A$1,,,SUMPRODUCT(MAX(ROW(E$1:E1714)*(E2=E$1:E1714))))))</f>
        <v> </v>
      </c>
      <c r="K1715" s="25" t="str">
        <f>IF(OR(E1715="",E1715="!!!",F1715="NEW"),"",INDEX(J$1:J1714,SUMPRODUCT(MAX(ROW(E$1:E1714)*(E1715=E$1:E1714)))))</f>
        <v> </v>
      </c>
      <c r="L1715" s="26"/>
    </row>
    <row r="1716" spans="1:12">
      <c r="A1716" s="20" t="s">
        <v>791</v>
      </c>
      <c r="E1716" s="21">
        <f>IF(D1716="?OLD","!!!","")</f>
        <v/>
      </c>
      <c r="F1716" s="22" t="str">
        <f>IF(OR(E1716="",E1716="!!!"),"",IF(NOT(ISNA(VLOOKUP(E1716,E$1:E1715,1,FALSE()))),"OLD",IF(AND(E1716&lt;&gt;"",E1716&lt;&gt;"!!!"),"NEW","")))</f>
        <v> </v>
      </c>
      <c r="G1716" s="23" t="str">
        <f>IF(OR(E1716="",E1716="!!!"),"",IF(OR(J1716=0,AND(J1716=1,K1716=1),AND(J1716=1,I1716="SBJ"),AND(J1716=1,I1716=0)),"?IN_FOCUS",IF(J1716&lt;=2,"?ACTIVATED",IF(J1716&lt;&gt;"","?FAMILIAR",IF(F1716="NEW",IF(ISNA(VLOOKUP(E1716,#REF!,1,FALSE())),"?TYPE_IDENTIFIABLE","?REFERENTIAL"),"_")))))</f>
        <v> </v>
      </c>
      <c r="H1716" s="24" t="str">
        <f>IF(J1716&lt;&gt;1,"",IF(I1716="SBJ","CB","?"))</f>
        <v> </v>
      </c>
      <c r="I1716" s="25" t="str">
        <f>IF(OR(E1716="",E1716="!!!",F1716="NEW"),"",INDEX(B1715:B$2,-1+SUMPRODUCT(MAX(ROW(E1715:E$2)*(E1716=E1715:E$2)))))</f>
        <v> </v>
      </c>
      <c r="J1716" s="25" t="str">
        <f>IF(OR(E1716="",E1716="!!!",F1716="NEW"),"",COUNTBLANK(OFFSET(A$1,,,SUMPRODUCT(MAX(ROW(E$2:E1716)*(E1716=E$2:E1716)))))-COUNTBLANK(OFFSET(A$1,,,SUMPRODUCT(MAX(ROW(E$1:E1715)*(E2=E$1:E1715))))))</f>
        <v> </v>
      </c>
      <c r="K1716" s="25" t="str">
        <f>IF(OR(E1716="",E1716="!!!",F1716="NEW"),"",INDEX(J$1:J1715,SUMPRODUCT(MAX(ROW(E$1:E1715)*(E1716=E$1:E1715)))))</f>
        <v> </v>
      </c>
      <c r="L1716" s="26"/>
    </row>
    <row r="1717" spans="1:12">
      <c r="A1717" s="20" t="s">
        <v>807</v>
      </c>
      <c r="B1717" s="27" t="s">
        <v>625</v>
      </c>
      <c r="C1717" s="27" t="s">
        <v>652</v>
      </c>
      <c r="D1717" s="27" t="s">
        <v>608</v>
      </c>
      <c r="E1717" s="21">
        <f>IF(D1717="?OLD","!!!","")</f>
        <v/>
      </c>
      <c r="F1717" s="22" t="str">
        <f>IF(OR(E1717="",E1717="!!!"),"",IF(NOT(ISNA(VLOOKUP(E1717,E$1:E1716,1,FALSE()))),"OLD",IF(AND(E1717&lt;&gt;"",E1717&lt;&gt;"!!!"),"NEW","")))</f>
        <v> </v>
      </c>
      <c r="G1717" s="23" t="str">
        <f>IF(OR(E1717="",E1717="!!!"),"",IF(OR(J1717=0,AND(J1717=1,K1717=1),AND(J1717=1,I1717="SBJ"),AND(J1717=1,I1717=0)),"?IN_FOCUS",IF(J1717&lt;=2,"?ACTIVATED",IF(J1717&lt;&gt;"","?FAMILIAR",IF(F1717="NEW",IF(ISNA(VLOOKUP(E1717,#REF!,1,FALSE())),"?TYPE_IDENTIFIABLE","?REFERENTIAL"),"_")))))</f>
        <v> </v>
      </c>
      <c r="H1717" s="24" t="str">
        <f>IF(J1717&lt;&gt;1,"",IF(I1717="SBJ","CB","?"))</f>
        <v> </v>
      </c>
      <c r="I1717" s="25" t="str">
        <f>IF(OR(E1717="",E1717="!!!",F1717="NEW"),"",INDEX(B1716:B$2,-1+SUMPRODUCT(MAX(ROW(E1716:E$2)*(E1717=E1716:E$2)))))</f>
        <v> </v>
      </c>
      <c r="J1717" s="25" t="str">
        <f>IF(OR(E1717="",E1717="!!!",F1717="NEW"),"",COUNTBLANK(OFFSET(A$1,,,SUMPRODUCT(MAX(ROW(E$2:E1717)*(E1717=E$2:E1717)))))-COUNTBLANK(OFFSET(A$1,,,SUMPRODUCT(MAX(ROW(E$1:E1716)*(E2=E$1:E1716))))))</f>
        <v> </v>
      </c>
      <c r="K1717" s="25" t="str">
        <f>IF(OR(E1717="",E1717="!!!",F1717="NEW"),"",INDEX(J$1:J1716,SUMPRODUCT(MAX(ROW(E$1:E1716)*(E1717=E$1:E1716)))))</f>
        <v> </v>
      </c>
      <c r="L1717" s="26"/>
    </row>
    <row r="1718" spans="1:12">
      <c r="A1718" s="20" t="s">
        <v>617</v>
      </c>
      <c r="E1718" s="21">
        <f>IF(D1718="?OLD","!!!","")</f>
        <v/>
      </c>
      <c r="F1718" s="22" t="str">
        <f>IF(OR(E1718="",E1718="!!!"),"",IF(NOT(ISNA(VLOOKUP(E1718,E$1:E1717,1,FALSE()))),"OLD",IF(AND(E1718&lt;&gt;"",E1718&lt;&gt;"!!!"),"NEW","")))</f>
        <v> </v>
      </c>
      <c r="G1718" s="23" t="str">
        <f>IF(OR(E1718="",E1718="!!!"),"",IF(OR(J1718=0,AND(J1718=1,K1718=1),AND(J1718=1,I1718="SBJ"),AND(J1718=1,I1718=0)),"?IN_FOCUS",IF(J1718&lt;=2,"?ACTIVATED",IF(J1718&lt;&gt;"","?FAMILIAR",IF(F1718="NEW",IF(ISNA(VLOOKUP(E1718,#REF!,1,FALSE())),"?TYPE_IDENTIFIABLE","?REFERENTIAL"),"_")))))</f>
        <v> </v>
      </c>
      <c r="H1718" s="24" t="str">
        <f>IF(J1718&lt;&gt;1,"",IF(I1718="SBJ","CB","?"))</f>
        <v> </v>
      </c>
      <c r="I1718" s="25" t="str">
        <f>IF(OR(E1718="",E1718="!!!",F1718="NEW"),"",INDEX(B1717:B$2,-1+SUMPRODUCT(MAX(ROW(E1717:E$2)*(E1718=E1717:E$2)))))</f>
        <v> </v>
      </c>
      <c r="J1718" s="25" t="str">
        <f>IF(OR(E1718="",E1718="!!!",F1718="NEW"),"",COUNTBLANK(OFFSET(A$1,,,SUMPRODUCT(MAX(ROW(E$2:E1718)*(E1718=E$2:E1718)))))-COUNTBLANK(OFFSET(A$1,,,SUMPRODUCT(MAX(ROW(E$1:E1717)*(E2=E$1:E1717))))))</f>
        <v> </v>
      </c>
      <c r="K1718" s="25" t="str">
        <f>IF(OR(E1718="",E1718="!!!",F1718="NEW"),"",INDEX(J$1:J1717,SUMPRODUCT(MAX(ROW(E$1:E1717)*(E1718=E$1:E1717)))))</f>
        <v> </v>
      </c>
      <c r="L1718" s="26"/>
    </row>
    <row r="1719" spans="1:12">
      <c r="A1719" s="20" t="s">
        <v>835</v>
      </c>
      <c r="E1719" s="21">
        <f>IF(D1719="?OLD","!!!","")</f>
        <v/>
      </c>
      <c r="F1719" s="22" t="str">
        <f>IF(OR(E1719="",E1719="!!!"),"",IF(NOT(ISNA(VLOOKUP(E1719,E$1:E1718,1,FALSE()))),"OLD",IF(AND(E1719&lt;&gt;"",E1719&lt;&gt;"!!!"),"NEW","")))</f>
        <v> </v>
      </c>
      <c r="G1719" s="23" t="str">
        <f>IF(OR(E1719="",E1719="!!!"),"",IF(OR(J1719=0,AND(J1719=1,K1719=1),AND(J1719=1,I1719="SBJ"),AND(J1719=1,I1719=0)),"?IN_FOCUS",IF(J1719&lt;=2,"?ACTIVATED",IF(J1719&lt;&gt;"","?FAMILIAR",IF(F1719="NEW",IF(ISNA(VLOOKUP(E1719,#REF!,1,FALSE())),"?TYPE_IDENTIFIABLE","?REFERENTIAL"),"_")))))</f>
        <v> </v>
      </c>
      <c r="H1719" s="24" t="str">
        <f>IF(J1719&lt;&gt;1,"",IF(I1719="SBJ","CB","?"))</f>
        <v> </v>
      </c>
      <c r="I1719" s="25" t="str">
        <f>IF(OR(E1719="",E1719="!!!",F1719="NEW"),"",INDEX(B1718:B$2,-1+SUMPRODUCT(MAX(ROW(E1718:E$2)*(E1719=E1718:E$2)))))</f>
        <v> </v>
      </c>
      <c r="J1719" s="25" t="str">
        <f>IF(OR(E1719="",E1719="!!!",F1719="NEW"),"",COUNTBLANK(OFFSET(A$1,,,SUMPRODUCT(MAX(ROW(E$2:E1719)*(E1719=E$2:E1719)))))-COUNTBLANK(OFFSET(A$1,,,SUMPRODUCT(MAX(ROW(E$1:E1718)*(E2=E$1:E1718))))))</f>
        <v> </v>
      </c>
      <c r="K1719" s="25" t="str">
        <f>IF(OR(E1719="",E1719="!!!",F1719="NEW"),"",INDEX(J$1:J1718,SUMPRODUCT(MAX(ROW(E$1:E1718)*(E1719=E$1:E1718)))))</f>
        <v> </v>
      </c>
      <c r="L1719" s="26"/>
    </row>
    <row r="1720" spans="1:12">
      <c r="A1720" s="20" t="s">
        <v>651</v>
      </c>
      <c r="B1720" s="27" t="s">
        <v>668</v>
      </c>
      <c r="C1720" s="27" t="s">
        <v>652</v>
      </c>
      <c r="D1720" s="27" t="s">
        <v>608</v>
      </c>
      <c r="E1720" s="21">
        <f>IF(D1720="?OLD","!!!","")</f>
        <v/>
      </c>
      <c r="F1720" s="22" t="str">
        <f>IF(OR(E1720="",E1720="!!!"),"",IF(NOT(ISNA(VLOOKUP(E1720,E$1:E1719,1,FALSE()))),"OLD",IF(AND(E1720&lt;&gt;"",E1720&lt;&gt;"!!!"),"NEW","")))</f>
        <v> </v>
      </c>
      <c r="G1720" s="23" t="str">
        <f>IF(OR(E1720="",E1720="!!!"),"",IF(OR(J1720=0,AND(J1720=1,K1720=1),AND(J1720=1,I1720="SBJ"),AND(J1720=1,I1720=0)),"?IN_FOCUS",IF(J1720&lt;=2,"?ACTIVATED",IF(J1720&lt;&gt;"","?FAMILIAR",IF(F1720="NEW",IF(ISNA(VLOOKUP(E1720,#REF!,1,FALSE())),"?TYPE_IDENTIFIABLE","?REFERENTIAL"),"_")))))</f>
        <v> </v>
      </c>
      <c r="H1720" s="24" t="str">
        <f>IF(J1720&lt;&gt;1,"",IF(I1720="SBJ","CB","?"))</f>
        <v> </v>
      </c>
      <c r="I1720" s="25" t="str">
        <f>IF(OR(E1720="",E1720="!!!",F1720="NEW"),"",INDEX(B1719:B$2,-1+SUMPRODUCT(MAX(ROW(E1719:E$2)*(E1720=E1719:E$2)))))</f>
        <v> </v>
      </c>
      <c r="J1720" s="25" t="str">
        <f>IF(OR(E1720="",E1720="!!!",F1720="NEW"),"",COUNTBLANK(OFFSET(A$1,,,SUMPRODUCT(MAX(ROW(E$2:E1720)*(E1720=E$2:E1720)))))-COUNTBLANK(OFFSET(A$1,,,SUMPRODUCT(MAX(ROW(E$1:E1719)*(E2=E$1:E1719))))))</f>
        <v> </v>
      </c>
      <c r="K1720" s="25" t="str">
        <f>IF(OR(E1720="",E1720="!!!",F1720="NEW"),"",INDEX(J$1:J1719,SUMPRODUCT(MAX(ROW(E$1:E1719)*(E1720=E$1:E1719)))))</f>
        <v> </v>
      </c>
      <c r="L1720" s="26"/>
    </row>
    <row r="1721" spans="1:12">
      <c r="A1721" s="20" t="s">
        <v>856</v>
      </c>
      <c r="B1721" s="27" t="s">
        <v>725</v>
      </c>
      <c r="C1721" s="27" t="s">
        <v>637</v>
      </c>
      <c r="D1721" s="27" t="s">
        <v>608</v>
      </c>
      <c r="E1721" s="21">
        <f>IF(D1721="?OLD","!!!","")</f>
        <v/>
      </c>
      <c r="F1721" s="22" t="str">
        <f>IF(OR(E1721="",E1721="!!!"),"",IF(NOT(ISNA(VLOOKUP(E1721,E$1:E1720,1,FALSE()))),"OLD",IF(AND(E1721&lt;&gt;"",E1721&lt;&gt;"!!!"),"NEW","")))</f>
        <v> </v>
      </c>
      <c r="G1721" s="23" t="str">
        <f>IF(OR(E1721="",E1721="!!!"),"",IF(OR(J1721=0,AND(J1721=1,K1721=1),AND(J1721=1,I1721="SBJ"),AND(J1721=1,I1721=0)),"?IN_FOCUS",IF(J1721&lt;=2,"?ACTIVATED",IF(J1721&lt;&gt;"","?FAMILIAR",IF(F1721="NEW",IF(ISNA(VLOOKUP(E1721,#REF!,1,FALSE())),"?TYPE_IDENTIFIABLE","?REFERENTIAL"),"_")))))</f>
        <v> </v>
      </c>
      <c r="H1721" s="24" t="str">
        <f>IF(J1721&lt;&gt;1,"",IF(I1721="SBJ","CB","?"))</f>
        <v> </v>
      </c>
      <c r="I1721" s="25" t="str">
        <f>IF(OR(E1721="",E1721="!!!",F1721="NEW"),"",INDEX(B1720:B$2,-1+SUMPRODUCT(MAX(ROW(E1720:E$2)*(E1721=E1720:E$2)))))</f>
        <v> </v>
      </c>
      <c r="J1721" s="25" t="str">
        <f>IF(OR(E1721="",E1721="!!!",F1721="NEW"),"",COUNTBLANK(OFFSET(A$1,,,SUMPRODUCT(MAX(ROW(E$2:E1721)*(E1721=E$2:E1721)))))-COUNTBLANK(OFFSET(A$1,,,SUMPRODUCT(MAX(ROW(E$1:E1720)*(E2=E$1:E1720))))))</f>
        <v> </v>
      </c>
      <c r="K1721" s="25" t="str">
        <f>IF(OR(E1721="",E1721="!!!",F1721="NEW"),"",INDEX(J$1:J1720,SUMPRODUCT(MAX(ROW(E$1:E1720)*(E1721=E$1:E1720)))))</f>
        <v> </v>
      </c>
      <c r="L1721" s="26"/>
    </row>
    <row r="1722" spans="1:12">
      <c r="A1722" s="20" t="s">
        <v>720</v>
      </c>
      <c r="E1722" s="21">
        <f>IF(D1722="?OLD","!!!","")</f>
        <v/>
      </c>
      <c r="F1722" s="22" t="str">
        <f>IF(OR(E1722="",E1722="!!!"),"",IF(NOT(ISNA(VLOOKUP(E1722,E$1:E1721,1,FALSE()))),"OLD",IF(AND(E1722&lt;&gt;"",E1722&lt;&gt;"!!!"),"NEW","")))</f>
        <v> </v>
      </c>
      <c r="G1722" s="23" t="str">
        <f>IF(OR(E1722="",E1722="!!!"),"",IF(OR(J1722=0,AND(J1722=1,K1722=1),AND(J1722=1,I1722="SBJ"),AND(J1722=1,I1722=0)),"?IN_FOCUS",IF(J1722&lt;=2,"?ACTIVATED",IF(J1722&lt;&gt;"","?FAMILIAR",IF(F1722="NEW",IF(ISNA(VLOOKUP(E1722,#REF!,1,FALSE())),"?TYPE_IDENTIFIABLE","?REFERENTIAL"),"_")))))</f>
        <v> </v>
      </c>
      <c r="H1722" s="24" t="str">
        <f>IF(J1722&lt;&gt;1,"",IF(I1722="SBJ","CB","?"))</f>
        <v> </v>
      </c>
      <c r="I1722" s="25" t="str">
        <f>IF(OR(E1722="",E1722="!!!",F1722="NEW"),"",INDEX(B1721:B$2,-1+SUMPRODUCT(MAX(ROW(E1721:E$2)*(E1722=E1721:E$2)))))</f>
        <v> </v>
      </c>
      <c r="J1722" s="25" t="str">
        <f>IF(OR(E1722="",E1722="!!!",F1722="NEW"),"",COUNTBLANK(OFFSET(A$1,,,SUMPRODUCT(MAX(ROW(E$2:E1722)*(E1722=E$2:E1722)))))-COUNTBLANK(OFFSET(A$1,,,SUMPRODUCT(MAX(ROW(E$1:E1721)*(E2=E$1:E1721))))))</f>
        <v> </v>
      </c>
      <c r="K1722" s="25" t="str">
        <f>IF(OR(E1722="",E1722="!!!",F1722="NEW"),"",INDEX(J$1:J1721,SUMPRODUCT(MAX(ROW(E$1:E1721)*(E1722=E$1:E1721)))))</f>
        <v> </v>
      </c>
      <c r="L1722" s="26"/>
    </row>
    <row r="1723" spans="1:12">
      <c r="A1723" s="20" t="s">
        <v>1292</v>
      </c>
      <c r="E1723" s="21">
        <f>IF(D1723="?OLD","!!!","")</f>
        <v/>
      </c>
      <c r="F1723" s="22" t="str">
        <f>IF(OR(E1723="",E1723="!!!"),"",IF(NOT(ISNA(VLOOKUP(E1723,E$1:E1722,1,FALSE()))),"OLD",IF(AND(E1723&lt;&gt;"",E1723&lt;&gt;"!!!"),"NEW","")))</f>
        <v> </v>
      </c>
      <c r="G1723" s="23" t="str">
        <f>IF(OR(E1723="",E1723="!!!"),"",IF(OR(J1723=0,AND(J1723=1,K1723=1),AND(J1723=1,I1723="SBJ"),AND(J1723=1,I1723=0)),"?IN_FOCUS",IF(J1723&lt;=2,"?ACTIVATED",IF(J1723&lt;&gt;"","?FAMILIAR",IF(F1723="NEW",IF(ISNA(VLOOKUP(E1723,#REF!,1,FALSE())),"?TYPE_IDENTIFIABLE","?REFERENTIAL"),"_")))))</f>
        <v> </v>
      </c>
      <c r="H1723" s="24" t="str">
        <f>IF(J1723&lt;&gt;1,"",IF(I1723="SBJ","CB","?"))</f>
        <v> </v>
      </c>
      <c r="I1723" s="25" t="str">
        <f>IF(OR(E1723="",E1723="!!!",F1723="NEW"),"",INDEX(B1722:B$2,-1+SUMPRODUCT(MAX(ROW(E1722:E$2)*(E1723=E1722:E$2)))))</f>
        <v> </v>
      </c>
      <c r="J1723" s="25" t="str">
        <f>IF(OR(E1723="",E1723="!!!",F1723="NEW"),"",COUNTBLANK(OFFSET(A$1,,,SUMPRODUCT(MAX(ROW(E$2:E1723)*(E1723=E$2:E1723)))))-COUNTBLANK(OFFSET(A$1,,,SUMPRODUCT(MAX(ROW(E$1:E1722)*(E2=E$1:E1722))))))</f>
        <v> </v>
      </c>
      <c r="K1723" s="25" t="str">
        <f>IF(OR(E1723="",E1723="!!!",F1723="NEW"),"",INDEX(J$1:J1722,SUMPRODUCT(MAX(ROW(E$1:E1722)*(E1723=E$1:E1722)))))</f>
        <v> </v>
      </c>
      <c r="L1723" s="26"/>
    </row>
    <row r="1724" spans="1:12">
      <c r="A1724" s="20" t="s">
        <v>1293</v>
      </c>
      <c r="E1724" s="21">
        <f>IF(D1724="?OLD","!!!","")</f>
        <v/>
      </c>
      <c r="F1724" s="22" t="str">
        <f>IF(OR(E1724="",E1724="!!!"),"",IF(NOT(ISNA(VLOOKUP(E1724,E$1:E1723,1,FALSE()))),"OLD",IF(AND(E1724&lt;&gt;"",E1724&lt;&gt;"!!!"),"NEW","")))</f>
        <v> </v>
      </c>
      <c r="G1724" s="23" t="str">
        <f>IF(OR(E1724="",E1724="!!!"),"",IF(OR(J1724=0,AND(J1724=1,K1724=1),AND(J1724=1,I1724="SBJ"),AND(J1724=1,I1724=0)),"?IN_FOCUS",IF(J1724&lt;=2,"?ACTIVATED",IF(J1724&lt;&gt;"","?FAMILIAR",IF(F1724="NEW",IF(ISNA(VLOOKUP(E1724,#REF!,1,FALSE())),"?TYPE_IDENTIFIABLE","?REFERENTIAL"),"_")))))</f>
        <v> </v>
      </c>
      <c r="H1724" s="24" t="str">
        <f>IF(J1724&lt;&gt;1,"",IF(I1724="SBJ","CB","?"))</f>
        <v> </v>
      </c>
      <c r="I1724" s="25" t="str">
        <f>IF(OR(E1724="",E1724="!!!",F1724="NEW"),"",INDEX(B1723:B$2,-1+SUMPRODUCT(MAX(ROW(E1723:E$2)*(E1724=E1723:E$2)))))</f>
        <v> </v>
      </c>
      <c r="J1724" s="25" t="str">
        <f>IF(OR(E1724="",E1724="!!!",F1724="NEW"),"",COUNTBLANK(OFFSET(A$1,,,SUMPRODUCT(MAX(ROW(E$2:E1724)*(E1724=E$2:E1724)))))-COUNTBLANK(OFFSET(A$1,,,SUMPRODUCT(MAX(ROW(E$1:E1723)*(E2=E$1:E1723))))))</f>
        <v> </v>
      </c>
      <c r="K1724" s="25" t="str">
        <f>IF(OR(E1724="",E1724="!!!",F1724="NEW"),"",INDEX(J$1:J1723,SUMPRODUCT(MAX(ROW(E$1:E1723)*(E1724=E$1:E1723)))))</f>
        <v> </v>
      </c>
      <c r="L1724" s="26"/>
    </row>
    <row r="1725" spans="1:12">
      <c r="A1725" s="20" t="s">
        <v>617</v>
      </c>
      <c r="E1725" s="21">
        <f>IF(D1725="?OLD","!!!","")</f>
        <v/>
      </c>
      <c r="F1725" s="22" t="str">
        <f>IF(OR(E1725="",E1725="!!!"),"",IF(NOT(ISNA(VLOOKUP(E1725,E$1:E1724,1,FALSE()))),"OLD",IF(AND(E1725&lt;&gt;"",E1725&lt;&gt;"!!!"),"NEW","")))</f>
        <v> </v>
      </c>
      <c r="G1725" s="23" t="str">
        <f>IF(OR(E1725="",E1725="!!!"),"",IF(OR(J1725=0,AND(J1725=1,K1725=1),AND(J1725=1,I1725="SBJ"),AND(J1725=1,I1725=0)),"?IN_FOCUS",IF(J1725&lt;=2,"?ACTIVATED",IF(J1725&lt;&gt;"","?FAMILIAR",IF(F1725="NEW",IF(ISNA(VLOOKUP(E1725,#REF!,1,FALSE())),"?TYPE_IDENTIFIABLE","?REFERENTIAL"),"_")))))</f>
        <v> </v>
      </c>
      <c r="H1725" s="24" t="str">
        <f>IF(J1725&lt;&gt;1,"",IF(I1725="SBJ","CB","?"))</f>
        <v> </v>
      </c>
      <c r="I1725" s="25" t="str">
        <f>IF(OR(E1725="",E1725="!!!",F1725="NEW"),"",INDEX(B1724:B$2,-1+SUMPRODUCT(MAX(ROW(E1724:E$2)*(E1725=E1724:E$2)))))</f>
        <v> </v>
      </c>
      <c r="J1725" s="25" t="str">
        <f>IF(OR(E1725="",E1725="!!!",F1725="NEW"),"",COUNTBLANK(OFFSET(A$1,,,SUMPRODUCT(MAX(ROW(E$2:E1725)*(E1725=E$2:E1725)))))-COUNTBLANK(OFFSET(A$1,,,SUMPRODUCT(MAX(ROW(E$1:E1724)*(E2=E$1:E1724))))))</f>
        <v> </v>
      </c>
      <c r="K1725" s="25" t="str">
        <f>IF(OR(E1725="",E1725="!!!",F1725="NEW"),"",INDEX(J$1:J1724,SUMPRODUCT(MAX(ROW(E$1:E1724)*(E1725=E$1:E1724)))))</f>
        <v> </v>
      </c>
      <c r="L1725" s="26"/>
    </row>
    <row r="1726" spans="1:12">
      <c r="A1726" s="20" t="s">
        <v>707</v>
      </c>
      <c r="E1726" s="21">
        <f>IF(D1726="?OLD","!!!","")</f>
        <v/>
      </c>
      <c r="F1726" s="22" t="str">
        <f>IF(OR(E1726="",E1726="!!!"),"",IF(NOT(ISNA(VLOOKUP(E1726,E$1:E1725,1,FALSE()))),"OLD",IF(AND(E1726&lt;&gt;"",E1726&lt;&gt;"!!!"),"NEW","")))</f>
        <v> </v>
      </c>
      <c r="G1726" s="23" t="str">
        <f>IF(OR(E1726="",E1726="!!!"),"",IF(OR(J1726=0,AND(J1726=1,K1726=1),AND(J1726=1,I1726="SBJ"),AND(J1726=1,I1726=0)),"?IN_FOCUS",IF(J1726&lt;=2,"?ACTIVATED",IF(J1726&lt;&gt;"","?FAMILIAR",IF(F1726="NEW",IF(ISNA(VLOOKUP(E1726,#REF!,1,FALSE())),"?TYPE_IDENTIFIABLE","?REFERENTIAL"),"_")))))</f>
        <v> </v>
      </c>
      <c r="H1726" s="24" t="str">
        <f>IF(J1726&lt;&gt;1,"",IF(I1726="SBJ","CB","?"))</f>
        <v> </v>
      </c>
      <c r="I1726" s="25" t="str">
        <f>IF(OR(E1726="",E1726="!!!",F1726="NEW"),"",INDEX(B1725:B$2,-1+SUMPRODUCT(MAX(ROW(E1725:E$2)*(E1726=E1725:E$2)))))</f>
        <v> </v>
      </c>
      <c r="J1726" s="25" t="str">
        <f>IF(OR(E1726="",E1726="!!!",F1726="NEW"),"",COUNTBLANK(OFFSET(A$1,,,SUMPRODUCT(MAX(ROW(E$2:E1726)*(E1726=E$2:E1726)))))-COUNTBLANK(OFFSET(A$1,,,SUMPRODUCT(MAX(ROW(E$1:E1725)*(E2=E$1:E1725))))))</f>
        <v> </v>
      </c>
      <c r="K1726" s="25" t="str">
        <f>IF(OR(E1726="",E1726="!!!",F1726="NEW"),"",INDEX(J$1:J1725,SUMPRODUCT(MAX(ROW(E$1:E1725)*(E1726=E$1:E1725)))))</f>
        <v> </v>
      </c>
      <c r="L1726" s="26"/>
    </row>
    <row r="1727" spans="1:12">
      <c r="A1727" s="20" t="s">
        <v>609</v>
      </c>
      <c r="E1727" s="21">
        <f>IF(D1727="?OLD","!!!","")</f>
        <v/>
      </c>
      <c r="F1727" s="22" t="str">
        <f>IF(OR(E1727="",E1727="!!!"),"",IF(NOT(ISNA(VLOOKUP(E1727,E$1:E1726,1,FALSE()))),"OLD",IF(AND(E1727&lt;&gt;"",E1727&lt;&gt;"!!!"),"NEW","")))</f>
        <v> </v>
      </c>
      <c r="G1727" s="23" t="str">
        <f>IF(OR(E1727="",E1727="!!!"),"",IF(OR(J1727=0,AND(J1727=1,K1727=1),AND(J1727=1,I1727="SBJ"),AND(J1727=1,I1727=0)),"?IN_FOCUS",IF(J1727&lt;=2,"?ACTIVATED",IF(J1727&lt;&gt;"","?FAMILIAR",IF(F1727="NEW",IF(ISNA(VLOOKUP(E1727,#REF!,1,FALSE())),"?TYPE_IDENTIFIABLE","?REFERENTIAL"),"_")))))</f>
        <v> </v>
      </c>
      <c r="H1727" s="24" t="str">
        <f>IF(J1727&lt;&gt;1,"",IF(I1727="SBJ","CB","?"))</f>
        <v> </v>
      </c>
      <c r="I1727" s="25" t="str">
        <f>IF(OR(E1727="",E1727="!!!",F1727="NEW"),"",INDEX(B1726:B$2,-1+SUMPRODUCT(MAX(ROW(E1726:E$2)*(E1727=E1726:E$2)))))</f>
        <v> </v>
      </c>
      <c r="J1727" s="25" t="str">
        <f>IF(OR(E1727="",E1727="!!!",F1727="NEW"),"",COUNTBLANK(OFFSET(A$1,,,SUMPRODUCT(MAX(ROW(E$2:E1727)*(E1727=E$2:E1727)))))-COUNTBLANK(OFFSET(A$1,,,SUMPRODUCT(MAX(ROW(E$1:E1726)*(E2=E$1:E1726))))))</f>
        <v> </v>
      </c>
      <c r="K1727" s="25" t="str">
        <f>IF(OR(E1727="",E1727="!!!",F1727="NEW"),"",INDEX(J$1:J1726,SUMPRODUCT(MAX(ROW(E$1:E1726)*(E1727=E$1:E1726)))))</f>
        <v> </v>
      </c>
      <c r="L1727" s="26"/>
    </row>
    <row r="1728" spans="1:12">
      <c r="A1728" s="20" t="s">
        <v>1294</v>
      </c>
      <c r="E1728" s="21">
        <f>IF(D1728="?OLD","!!!","")</f>
        <v/>
      </c>
      <c r="F1728" s="22" t="str">
        <f>IF(OR(E1728="",E1728="!!!"),"",IF(NOT(ISNA(VLOOKUP(E1728,E$1:E1727,1,FALSE()))),"OLD",IF(AND(E1728&lt;&gt;"",E1728&lt;&gt;"!!!"),"NEW","")))</f>
        <v> </v>
      </c>
      <c r="G1728" s="23" t="str">
        <f>IF(OR(E1728="",E1728="!!!"),"",IF(OR(J1728=0,AND(J1728=1,K1728=1),AND(J1728=1,I1728="SBJ"),AND(J1728=1,I1728=0)),"?IN_FOCUS",IF(J1728&lt;=2,"?ACTIVATED",IF(J1728&lt;&gt;"","?FAMILIAR",IF(F1728="NEW",IF(ISNA(VLOOKUP(E1728,#REF!,1,FALSE())),"?TYPE_IDENTIFIABLE","?REFERENTIAL"),"_")))))</f>
        <v> </v>
      </c>
      <c r="H1728" s="24" t="str">
        <f>IF(J1728&lt;&gt;1,"",IF(I1728="SBJ","CB","?"))</f>
        <v> </v>
      </c>
      <c r="I1728" s="25" t="str">
        <f>IF(OR(E1728="",E1728="!!!",F1728="NEW"),"",INDEX(B1727:B$2,-1+SUMPRODUCT(MAX(ROW(E1727:E$2)*(E1728=E1727:E$2)))))</f>
        <v> </v>
      </c>
      <c r="J1728" s="25" t="str">
        <f>IF(OR(E1728="",E1728="!!!",F1728="NEW"),"",COUNTBLANK(OFFSET(A$1,,,SUMPRODUCT(MAX(ROW(E$2:E1728)*(E1728=E$2:E1728)))))-COUNTBLANK(OFFSET(A$1,,,SUMPRODUCT(MAX(ROW(E$1:E1727)*(E2=E$1:E1727))))))</f>
        <v> </v>
      </c>
      <c r="K1728" s="25" t="str">
        <f>IF(OR(E1728="",E1728="!!!",F1728="NEW"),"",INDEX(J$1:J1727,SUMPRODUCT(MAX(ROW(E$1:E1727)*(E1728=E$1:E1727)))))</f>
        <v> </v>
      </c>
      <c r="L1728" s="26"/>
    </row>
    <row r="1729" spans="1:12">
      <c r="A1729" s="20" t="s">
        <v>1295</v>
      </c>
      <c r="B1729" s="27" t="s">
        <v>625</v>
      </c>
      <c r="C1729" s="27" t="s">
        <v>607</v>
      </c>
      <c r="D1729" s="27" t="s">
        <v>608</v>
      </c>
      <c r="E1729" s="21">
        <f>IF(D1729="?OLD","!!!","")</f>
        <v/>
      </c>
      <c r="F1729" s="22" t="str">
        <f>IF(OR(E1729="",E1729="!!!"),"",IF(NOT(ISNA(VLOOKUP(E1729,E$1:E1728,1,FALSE()))),"OLD",IF(AND(E1729&lt;&gt;"",E1729&lt;&gt;"!!!"),"NEW","")))</f>
        <v> </v>
      </c>
      <c r="G1729" s="23" t="str">
        <f>IF(OR(E1729="",E1729="!!!"),"",IF(OR(J1729=0,AND(J1729=1,K1729=1),AND(J1729=1,I1729="SBJ"),AND(J1729=1,I1729=0)),"?IN_FOCUS",IF(J1729&lt;=2,"?ACTIVATED",IF(J1729&lt;&gt;"","?FAMILIAR",IF(F1729="NEW",IF(ISNA(VLOOKUP(E1729,#REF!,1,FALSE())),"?TYPE_IDENTIFIABLE","?REFERENTIAL"),"_")))))</f>
        <v> </v>
      </c>
      <c r="H1729" s="24" t="str">
        <f>IF(J1729&lt;&gt;1,"",IF(I1729="SBJ","CB","?"))</f>
        <v> </v>
      </c>
      <c r="I1729" s="25" t="str">
        <f>IF(OR(E1729="",E1729="!!!",F1729="NEW"),"",INDEX(B1728:B$2,-1+SUMPRODUCT(MAX(ROW(E1728:E$2)*(E1729=E1728:E$2)))))</f>
        <v> </v>
      </c>
      <c r="J1729" s="25" t="str">
        <f>IF(OR(E1729="",E1729="!!!",F1729="NEW"),"",COUNTBLANK(OFFSET(A$1,,,SUMPRODUCT(MAX(ROW(E$2:E1729)*(E1729=E$2:E1729)))))-COUNTBLANK(OFFSET(A$1,,,SUMPRODUCT(MAX(ROW(E$1:E1728)*(E2=E$1:E1728))))))</f>
        <v> </v>
      </c>
      <c r="K1729" s="25" t="str">
        <f>IF(OR(E1729="",E1729="!!!",F1729="NEW"),"",INDEX(J$1:J1728,SUMPRODUCT(MAX(ROW(E$1:E1728)*(E1729=E$1:E1728)))))</f>
        <v> </v>
      </c>
      <c r="L1729" s="26"/>
    </row>
    <row r="1730" spans="1:12">
      <c r="A1730" s="20" t="s">
        <v>759</v>
      </c>
      <c r="E1730" s="21">
        <f>IF(D1730="?OLD","!!!","")</f>
        <v/>
      </c>
      <c r="F1730" s="22" t="str">
        <f>IF(OR(E1730="",E1730="!!!"),"",IF(NOT(ISNA(VLOOKUP(E1730,E$1:E1729,1,FALSE()))),"OLD",IF(AND(E1730&lt;&gt;"",E1730&lt;&gt;"!!!"),"NEW","")))</f>
        <v> </v>
      </c>
      <c r="G1730" s="23" t="str">
        <f>IF(OR(E1730="",E1730="!!!"),"",IF(OR(J1730=0,AND(J1730=1,K1730=1),AND(J1730=1,I1730="SBJ"),AND(J1730=1,I1730=0)),"?IN_FOCUS",IF(J1730&lt;=2,"?ACTIVATED",IF(J1730&lt;&gt;"","?FAMILIAR",IF(F1730="NEW",IF(ISNA(VLOOKUP(E1730,#REF!,1,FALSE())),"?TYPE_IDENTIFIABLE","?REFERENTIAL"),"_")))))</f>
        <v> </v>
      </c>
      <c r="H1730" s="24" t="str">
        <f>IF(J1730&lt;&gt;1,"",IF(I1730="SBJ","CB","?"))</f>
        <v> </v>
      </c>
      <c r="I1730" s="25" t="str">
        <f>IF(OR(E1730="",E1730="!!!",F1730="NEW"),"",INDEX(B1729:B$2,-1+SUMPRODUCT(MAX(ROW(E1729:E$2)*(E1730=E1729:E$2)))))</f>
        <v> </v>
      </c>
      <c r="J1730" s="25" t="str">
        <f>IF(OR(E1730="",E1730="!!!",F1730="NEW"),"",COUNTBLANK(OFFSET(A$1,,,SUMPRODUCT(MAX(ROW(E$2:E1730)*(E1730=E$2:E1730)))))-COUNTBLANK(OFFSET(A$1,,,SUMPRODUCT(MAX(ROW(E$1:E1729)*(E2=E$1:E1729))))))</f>
        <v> </v>
      </c>
      <c r="K1730" s="25" t="str">
        <f>IF(OR(E1730="",E1730="!!!",F1730="NEW"),"",INDEX(J$1:J1729,SUMPRODUCT(MAX(ROW(E$1:E1729)*(E1730=E$1:E1729)))))</f>
        <v> </v>
      </c>
      <c r="L1730" s="26"/>
    </row>
    <row r="1731" spans="1:12">
      <c r="A1731" s="20" t="s">
        <v>817</v>
      </c>
      <c r="E1731" s="21">
        <f>IF(D1731="?OLD","!!!","")</f>
        <v/>
      </c>
      <c r="F1731" s="22" t="str">
        <f>IF(OR(E1731="",E1731="!!!"),"",IF(NOT(ISNA(VLOOKUP(E1731,E$1:E1730,1,FALSE()))),"OLD",IF(AND(E1731&lt;&gt;"",E1731&lt;&gt;"!!!"),"NEW","")))</f>
        <v> </v>
      </c>
      <c r="G1731" s="23" t="str">
        <f>IF(OR(E1731="",E1731="!!!"),"",IF(OR(J1731=0,AND(J1731=1,K1731=1),AND(J1731=1,I1731="SBJ"),AND(J1731=1,I1731=0)),"?IN_FOCUS",IF(J1731&lt;=2,"?ACTIVATED",IF(J1731&lt;&gt;"","?FAMILIAR",IF(F1731="NEW",IF(ISNA(VLOOKUP(E1731,#REF!,1,FALSE())),"?TYPE_IDENTIFIABLE","?REFERENTIAL"),"_")))))</f>
        <v> </v>
      </c>
      <c r="H1731" s="24" t="str">
        <f>IF(J1731&lt;&gt;1,"",IF(I1731="SBJ","CB","?"))</f>
        <v> </v>
      </c>
      <c r="I1731" s="25" t="str">
        <f>IF(OR(E1731="",E1731="!!!",F1731="NEW"),"",INDEX(B1730:B$2,-1+SUMPRODUCT(MAX(ROW(E1730:E$2)*(E1731=E1730:E$2)))))</f>
        <v> </v>
      </c>
      <c r="J1731" s="25" t="str">
        <f>IF(OR(E1731="",E1731="!!!",F1731="NEW"),"",COUNTBLANK(OFFSET(A$1,,,SUMPRODUCT(MAX(ROW(E$2:E1731)*(E1731=E$2:E1731)))))-COUNTBLANK(OFFSET(A$1,,,SUMPRODUCT(MAX(ROW(E$1:E1730)*(E2=E$1:E1730))))))</f>
        <v> </v>
      </c>
      <c r="K1731" s="25" t="str">
        <f>IF(OR(E1731="",E1731="!!!",F1731="NEW"),"",INDEX(J$1:J1730,SUMPRODUCT(MAX(ROW(E$1:E1730)*(E1731=E$1:E1730)))))</f>
        <v> </v>
      </c>
      <c r="L1731" s="26"/>
    </row>
    <row r="1732" spans="1:12">
      <c r="A1732" s="20" t="s">
        <v>1283</v>
      </c>
      <c r="B1732" s="27" t="s">
        <v>625</v>
      </c>
      <c r="C1732" s="27" t="s">
        <v>685</v>
      </c>
      <c r="E1732" s="21">
        <f>IF(D1732="?OLD","!!!","")</f>
        <v/>
      </c>
      <c r="F1732" s="22" t="str">
        <f>IF(OR(E1732="",E1732="!!!"),"",IF(NOT(ISNA(VLOOKUP(E1732,E$1:E1731,1,FALSE()))),"OLD",IF(AND(E1732&lt;&gt;"",E1732&lt;&gt;"!!!"),"NEW","")))</f>
        <v> </v>
      </c>
      <c r="G1732" s="23" t="str">
        <f>IF(OR(E1732="",E1732="!!!"),"",IF(OR(J1732=0,AND(J1732=1,K1732=1),AND(J1732=1,I1732="SBJ"),AND(J1732=1,I1732=0)),"?IN_FOCUS",IF(J1732&lt;=2,"?ACTIVATED",IF(J1732&lt;&gt;"","?FAMILIAR",IF(F1732="NEW",IF(ISNA(VLOOKUP(E1732,#REF!,1,FALSE())),"?TYPE_IDENTIFIABLE","?REFERENTIAL"),"_")))))</f>
        <v> </v>
      </c>
      <c r="H1732" s="24" t="str">
        <f>IF(J1732&lt;&gt;1,"",IF(I1732="SBJ","CB","?"))</f>
        <v> </v>
      </c>
      <c r="I1732" s="25" t="str">
        <f>IF(OR(E1732="",E1732="!!!",F1732="NEW"),"",INDEX(B1731:B$2,-1+SUMPRODUCT(MAX(ROW(E1731:E$2)*(E1732=E1731:E$2)))))</f>
        <v> </v>
      </c>
      <c r="J1732" s="25" t="str">
        <f>IF(OR(E1732="",E1732="!!!",F1732="NEW"),"",COUNTBLANK(OFFSET(A$1,,,SUMPRODUCT(MAX(ROW(E$2:E1732)*(E1732=E$2:E1732)))))-COUNTBLANK(OFFSET(A$1,,,SUMPRODUCT(MAX(ROW(E$1:E1731)*(E2=E$1:E1731))))))</f>
        <v> </v>
      </c>
      <c r="K1732" s="25" t="str">
        <f>IF(OR(E1732="",E1732="!!!",F1732="NEW"),"",INDEX(J$1:J1731,SUMPRODUCT(MAX(ROW(E$1:E1731)*(E1732=E$1:E1731)))))</f>
        <v> </v>
      </c>
      <c r="L1732" s="26"/>
    </row>
    <row r="1733" spans="1:12">
      <c r="A1733" s="20" t="s">
        <v>740</v>
      </c>
      <c r="E1733" s="21">
        <f>IF(D1733="?OLD","!!!","")</f>
        <v/>
      </c>
      <c r="F1733" s="22" t="str">
        <f>IF(OR(E1733="",E1733="!!!"),"",IF(NOT(ISNA(VLOOKUP(E1733,E$1:E1732,1,FALSE()))),"OLD",IF(AND(E1733&lt;&gt;"",E1733&lt;&gt;"!!!"),"NEW","")))</f>
        <v> </v>
      </c>
      <c r="G1733" s="23" t="str">
        <f>IF(OR(E1733="",E1733="!!!"),"",IF(OR(J1733=0,AND(J1733=1,K1733=1),AND(J1733=1,I1733="SBJ"),AND(J1733=1,I1733=0)),"?IN_FOCUS",IF(J1733&lt;=2,"?ACTIVATED",IF(J1733&lt;&gt;"","?FAMILIAR",IF(F1733="NEW",IF(ISNA(VLOOKUP(E1733,#REF!,1,FALSE())),"?TYPE_IDENTIFIABLE","?REFERENTIAL"),"_")))))</f>
        <v> </v>
      </c>
      <c r="H1733" s="24" t="str">
        <f>IF(J1733&lt;&gt;1,"",IF(I1733="SBJ","CB","?"))</f>
        <v> </v>
      </c>
      <c r="I1733" s="25" t="str">
        <f>IF(OR(E1733="",E1733="!!!",F1733="NEW"),"",INDEX(B1732:B$2,-1+SUMPRODUCT(MAX(ROW(E1732:E$2)*(E1733=E1732:E$2)))))</f>
        <v> </v>
      </c>
      <c r="J1733" s="25" t="str">
        <f>IF(OR(E1733="",E1733="!!!",F1733="NEW"),"",COUNTBLANK(OFFSET(A$1,,,SUMPRODUCT(MAX(ROW(E$2:E1733)*(E1733=E$2:E1733)))))-COUNTBLANK(OFFSET(A$1,,,SUMPRODUCT(MAX(ROW(E$1:E1732)*(E2=E$1:E1732))))))</f>
        <v> </v>
      </c>
      <c r="K1733" s="25" t="str">
        <f>IF(OR(E1733="",E1733="!!!",F1733="NEW"),"",INDEX(J$1:J1732,SUMPRODUCT(MAX(ROW(E$1:E1732)*(E1733=E$1:E1732)))))</f>
        <v> </v>
      </c>
      <c r="L1733" s="26"/>
    </row>
    <row r="1734" spans="1:12">
      <c r="A1734" s="20" t="s">
        <v>1284</v>
      </c>
      <c r="B1734" s="27" t="s">
        <v>664</v>
      </c>
      <c r="C1734" s="27" t="s">
        <v>622</v>
      </c>
      <c r="E1734" s="21">
        <f>IF(D1734="?OLD","!!!","")</f>
        <v/>
      </c>
      <c r="F1734" s="22" t="str">
        <f>IF(OR(E1734="",E1734="!!!"),"",IF(NOT(ISNA(VLOOKUP(E1734,E$1:E1733,1,FALSE()))),"OLD",IF(AND(E1734&lt;&gt;"",E1734&lt;&gt;"!!!"),"NEW","")))</f>
        <v> </v>
      </c>
      <c r="G1734" s="23" t="str">
        <f>IF(OR(E1734="",E1734="!!!"),"",IF(OR(J1734=0,AND(J1734=1,K1734=1),AND(J1734=1,I1734="SBJ"),AND(J1734=1,I1734=0)),"?IN_FOCUS",IF(J1734&lt;=2,"?ACTIVATED",IF(J1734&lt;&gt;"","?FAMILIAR",IF(F1734="NEW",IF(ISNA(VLOOKUP(E1734,#REF!,1,FALSE())),"?TYPE_IDENTIFIABLE","?REFERENTIAL"),"_")))))</f>
        <v> </v>
      </c>
      <c r="H1734" s="24" t="str">
        <f>IF(J1734&lt;&gt;1,"",IF(I1734="SBJ","CB","?"))</f>
        <v> </v>
      </c>
      <c r="I1734" s="25" t="str">
        <f>IF(OR(E1734="",E1734="!!!",F1734="NEW"),"",INDEX(B1733:B$2,-1+SUMPRODUCT(MAX(ROW(E1733:E$2)*(E1734=E1733:E$2)))))</f>
        <v> </v>
      </c>
      <c r="J1734" s="25" t="str">
        <f>IF(OR(E1734="",E1734="!!!",F1734="NEW"),"",COUNTBLANK(OFFSET(A$1,,,SUMPRODUCT(MAX(ROW(E$2:E1734)*(E1734=E$2:E1734)))))-COUNTBLANK(OFFSET(A$1,,,SUMPRODUCT(MAX(ROW(E$1:E1733)*(E2=E$1:E1733))))))</f>
        <v> </v>
      </c>
      <c r="K1734" s="25" t="str">
        <f>IF(OR(E1734="",E1734="!!!",F1734="NEW"),"",INDEX(J$1:J1733,SUMPRODUCT(MAX(ROW(E$1:E1733)*(E1734=E$1:E1733)))))</f>
        <v> </v>
      </c>
      <c r="L1734" s="26"/>
    </row>
    <row r="1735" spans="1:12">
      <c r="A1735" s="20" t="s">
        <v>663</v>
      </c>
      <c r="E1735" s="21">
        <f>IF(D1735="?OLD","!!!","")</f>
        <v/>
      </c>
      <c r="F1735" s="22" t="str">
        <f>IF(OR(E1735="",E1735="!!!"),"",IF(NOT(ISNA(VLOOKUP(E1735,E$1:E1734,1,FALSE()))),"OLD",IF(AND(E1735&lt;&gt;"",E1735&lt;&gt;"!!!"),"NEW","")))</f>
        <v> </v>
      </c>
      <c r="G1735" s="23" t="str">
        <f>IF(OR(E1735="",E1735="!!!"),"",IF(OR(J1735=0,AND(J1735=1,K1735=1),AND(J1735=1,I1735="SBJ"),AND(J1735=1,I1735=0)),"?IN_FOCUS",IF(J1735&lt;=2,"?ACTIVATED",IF(J1735&lt;&gt;"","?FAMILIAR",IF(F1735="NEW",IF(ISNA(VLOOKUP(E1735,#REF!,1,FALSE())),"?TYPE_IDENTIFIABLE","?REFERENTIAL"),"_")))))</f>
        <v> </v>
      </c>
      <c r="H1735" s="24" t="str">
        <f>IF(J1735&lt;&gt;1,"",IF(I1735="SBJ","CB","?"))</f>
        <v> </v>
      </c>
      <c r="I1735" s="25" t="str">
        <f>IF(OR(E1735="",E1735="!!!",F1735="NEW"),"",INDEX(B1734:B$2,-1+SUMPRODUCT(MAX(ROW(E1734:E$2)*(E1735=E1734:E$2)))))</f>
        <v> </v>
      </c>
      <c r="J1735" s="25" t="str">
        <f>IF(OR(E1735="",E1735="!!!",F1735="NEW"),"",COUNTBLANK(OFFSET(A$1,,,SUMPRODUCT(MAX(ROW(E$2:E1735)*(E1735=E$2:E1735)))))-COUNTBLANK(OFFSET(A$1,,,SUMPRODUCT(MAX(ROW(E$1:E1734)*(E2=E$1:E1734))))))</f>
        <v> </v>
      </c>
      <c r="K1735" s="25" t="str">
        <f>IF(OR(E1735="",E1735="!!!",F1735="NEW"),"",INDEX(J$1:J1734,SUMPRODUCT(MAX(ROW(E$1:E1734)*(E1735=E$1:E1734)))))</f>
        <v> </v>
      </c>
      <c r="L1735" s="26"/>
    </row>
    <row r="1736" spans="1:12">
      <c r="A1736" s="20" t="s">
        <v>1296</v>
      </c>
      <c r="E1736" s="21">
        <f>IF(D1736="?OLD","!!!","")</f>
        <v/>
      </c>
      <c r="F1736" s="22" t="str">
        <f>IF(OR(E1736="",E1736="!!!"),"",IF(NOT(ISNA(VLOOKUP(E1736,E$1:E1735,1,FALSE()))),"OLD",IF(AND(E1736&lt;&gt;"",E1736&lt;&gt;"!!!"),"NEW","")))</f>
        <v> </v>
      </c>
      <c r="G1736" s="23" t="str">
        <f>IF(OR(E1736="",E1736="!!!"),"",IF(OR(J1736=0,AND(J1736=1,K1736=1),AND(J1736=1,I1736="SBJ"),AND(J1736=1,I1736=0)),"?IN_FOCUS",IF(J1736&lt;=2,"?ACTIVATED",IF(J1736&lt;&gt;"","?FAMILIAR",IF(F1736="NEW",IF(ISNA(VLOOKUP(E1736,#REF!,1,FALSE())),"?TYPE_IDENTIFIABLE","?REFERENTIAL"),"_")))))</f>
        <v> </v>
      </c>
      <c r="H1736" s="24" t="str">
        <f>IF(J1736&lt;&gt;1,"",IF(I1736="SBJ","CB","?"))</f>
        <v> </v>
      </c>
      <c r="I1736" s="25" t="str">
        <f>IF(OR(E1736="",E1736="!!!",F1736="NEW"),"",INDEX(B1735:B$2,-1+SUMPRODUCT(MAX(ROW(E1735:E$2)*(E1736=E1735:E$2)))))</f>
        <v> </v>
      </c>
      <c r="J1736" s="25" t="str">
        <f>IF(OR(E1736="",E1736="!!!",F1736="NEW"),"",COUNTBLANK(OFFSET(A$1,,,SUMPRODUCT(MAX(ROW(E$2:E1736)*(E1736=E$2:E1736)))))-COUNTBLANK(OFFSET(A$1,,,SUMPRODUCT(MAX(ROW(E$1:E1735)*(E2=E$1:E1735))))))</f>
        <v> </v>
      </c>
      <c r="K1736" s="25" t="str">
        <f>IF(OR(E1736="",E1736="!!!",F1736="NEW"),"",INDEX(J$1:J1735,SUMPRODUCT(MAX(ROW(E$1:E1735)*(E1736=E$1:E1735)))))</f>
        <v> </v>
      </c>
      <c r="L1736" s="26"/>
    </row>
    <row r="1737" spans="1:12">
      <c r="A1737" s="20" t="s">
        <v>633</v>
      </c>
      <c r="E1737" s="21">
        <f>IF(D1737="?OLD","!!!","")</f>
        <v/>
      </c>
      <c r="F1737" s="22" t="str">
        <f>IF(OR(E1737="",E1737="!!!"),"",IF(NOT(ISNA(VLOOKUP(E1737,E$1:E1736,1,FALSE()))),"OLD",IF(AND(E1737&lt;&gt;"",E1737&lt;&gt;"!!!"),"NEW","")))</f>
        <v> </v>
      </c>
      <c r="G1737" s="23" t="str">
        <f>IF(OR(E1737="",E1737="!!!"),"",IF(OR(J1737=0,AND(J1737=1,K1737=1),AND(J1737=1,I1737="SBJ"),AND(J1737=1,I1737=0)),"?IN_FOCUS",IF(J1737&lt;=2,"?ACTIVATED",IF(J1737&lt;&gt;"","?FAMILIAR",IF(F1737="NEW",IF(ISNA(VLOOKUP(E1737,#REF!,1,FALSE())),"?TYPE_IDENTIFIABLE","?REFERENTIAL"),"_")))))</f>
        <v> </v>
      </c>
      <c r="H1737" s="24" t="str">
        <f>IF(J1737&lt;&gt;1,"",IF(I1737="SBJ","CB","?"))</f>
        <v> </v>
      </c>
      <c r="I1737" s="25" t="str">
        <f>IF(OR(E1737="",E1737="!!!",F1737="NEW"),"",INDEX(B1736:B$2,-1+SUMPRODUCT(MAX(ROW(E1736:E$2)*(E1737=E1736:E$2)))))</f>
        <v> </v>
      </c>
      <c r="J1737" s="25" t="str">
        <f>IF(OR(E1737="",E1737="!!!",F1737="NEW"),"",COUNTBLANK(OFFSET(A$1,,,SUMPRODUCT(MAX(ROW(E$2:E1737)*(E1737=E$2:E1737)))))-COUNTBLANK(OFFSET(A$1,,,SUMPRODUCT(MAX(ROW(E$1:E1736)*(E2=E$1:E1736))))))</f>
        <v> </v>
      </c>
      <c r="K1737" s="25" t="str">
        <f>IF(OR(E1737="",E1737="!!!",F1737="NEW"),"",INDEX(J$1:J1736,SUMPRODUCT(MAX(ROW(E$1:E1736)*(E1737=E$1:E1736)))))</f>
        <v> </v>
      </c>
      <c r="L1737" s="26"/>
    </row>
    <row r="1738" spans="1:12">
      <c r="A1738" s="20"/>
    </row>
    <row r="1739" spans="1:12">
      <c r="A1739" s="20" t="s">
        <v>1297</v>
      </c>
    </row>
    <row r="1740" spans="1:12">
      <c r="A1740" s="20" t="s">
        <v>722</v>
      </c>
      <c r="E1740" s="21">
        <f>IF(D1740="?OLD","!!!","")</f>
        <v/>
      </c>
      <c r="F1740" s="22" t="str">
        <f>IF(OR(E1740="",E1740="!!!"),"",IF(NOT(ISNA(VLOOKUP(E1740,E$1:E1739,1,FALSE()))),"OLD",IF(AND(E1740&lt;&gt;"",E1740&lt;&gt;"!!!"),"NEW","")))</f>
        <v> </v>
      </c>
      <c r="G1740" s="23" t="str">
        <f>IF(OR(E1740="",E1740="!!!"),"",IF(OR(J1740=0,AND(J1740=1,K1740=1),AND(J1740=1,I1740="SBJ"),AND(J1740=1,I1740=0)),"?IN_FOCUS",IF(J1740&lt;=2,"?ACTIVATED",IF(J1740&lt;&gt;"","?FAMILIAR",IF(F1740="NEW",IF(ISNA(VLOOKUP(E1740,#REF!,1,FALSE())),"?TYPE_IDENTIFIABLE","?REFERENTIAL"),"_")))))</f>
        <v> </v>
      </c>
      <c r="H1740" s="24" t="str">
        <f>IF(J1740&lt;&gt;1,"",IF(I1740="SBJ","CB","?"))</f>
        <v> </v>
      </c>
      <c r="I1740" s="25" t="str">
        <f>IF(OR(E1740="",E1740="!!!",F1740="NEW"),"",INDEX(B1739:B$2,-1+SUMPRODUCT(MAX(ROW(E1739:E$2)*(E1740=E1739:E$2)))))</f>
        <v> </v>
      </c>
      <c r="J1740" s="25" t="str">
        <f>IF(OR(E1740="",E1740="!!!",F1740="NEW"),"",COUNTBLANK(OFFSET(A$1,,,SUMPRODUCT(MAX(ROW(E$2:E1740)*(E1740=E$2:E1740)))))-COUNTBLANK(OFFSET(A$1,,,SUMPRODUCT(MAX(ROW(E$1:E1739)*(E2=E$1:E1739))))))</f>
        <v> </v>
      </c>
      <c r="K1740" s="25" t="str">
        <f>IF(OR(E1740="",E1740="!!!",F1740="NEW"),"",INDEX(J$1:J1739,SUMPRODUCT(MAX(ROW(E$1:E1739)*(E1740=E$1:E1739)))))</f>
        <v> </v>
      </c>
      <c r="L1740" s="26"/>
    </row>
    <row r="1741" spans="1:12">
      <c r="A1741" s="20" t="s">
        <v>612</v>
      </c>
      <c r="E1741" s="21">
        <f>IF(D1741="?OLD","!!!","")</f>
        <v/>
      </c>
      <c r="F1741" s="22" t="str">
        <f>IF(OR(E1741="",E1741="!!!"),"",IF(NOT(ISNA(VLOOKUP(E1741,E$1:E1740,1,FALSE()))),"OLD",IF(AND(E1741&lt;&gt;"",E1741&lt;&gt;"!!!"),"NEW","")))</f>
        <v> </v>
      </c>
      <c r="G1741" s="23" t="str">
        <f>IF(OR(E1741="",E1741="!!!"),"",IF(OR(J1741=0,AND(J1741=1,K1741=1),AND(J1741=1,I1741="SBJ"),AND(J1741=1,I1741=0)),"?IN_FOCUS",IF(J1741&lt;=2,"?ACTIVATED",IF(J1741&lt;&gt;"","?FAMILIAR",IF(F1741="NEW",IF(ISNA(VLOOKUP(E1741,#REF!,1,FALSE())),"?TYPE_IDENTIFIABLE","?REFERENTIAL"),"_")))))</f>
        <v> </v>
      </c>
      <c r="H1741" s="24" t="str">
        <f>IF(J1741&lt;&gt;1,"",IF(I1741="SBJ","CB","?"))</f>
        <v> </v>
      </c>
      <c r="I1741" s="25" t="str">
        <f>IF(OR(E1741="",E1741="!!!",F1741="NEW"),"",INDEX(B1740:B$2,-1+SUMPRODUCT(MAX(ROW(E1740:E$2)*(E1741=E1740:E$2)))))</f>
        <v> </v>
      </c>
      <c r="J1741" s="25" t="str">
        <f>IF(OR(E1741="",E1741="!!!",F1741="NEW"),"",COUNTBLANK(OFFSET(A$1,,,SUMPRODUCT(MAX(ROW(E$2:E1741)*(E1741=E$2:E1741)))))-COUNTBLANK(OFFSET(A$1,,,SUMPRODUCT(MAX(ROW(E$1:E1740)*(E2=E$1:E1740))))))</f>
        <v> </v>
      </c>
      <c r="K1741" s="25" t="str">
        <f>IF(OR(E1741="",E1741="!!!",F1741="NEW"),"",INDEX(J$1:J1740,SUMPRODUCT(MAX(ROW(E$1:E1740)*(E1741=E$1:E1740)))))</f>
        <v> </v>
      </c>
      <c r="L1741" s="26"/>
    </row>
    <row r="1742" spans="1:12">
      <c r="A1742" s="20" t="s">
        <v>690</v>
      </c>
      <c r="E1742" s="21">
        <f>IF(D1742="?OLD","!!!","")</f>
        <v/>
      </c>
      <c r="F1742" s="22" t="str">
        <f>IF(OR(E1742="",E1742="!!!"),"",IF(NOT(ISNA(VLOOKUP(E1742,E$1:E1741,1,FALSE()))),"OLD",IF(AND(E1742&lt;&gt;"",E1742&lt;&gt;"!!!"),"NEW","")))</f>
        <v> </v>
      </c>
      <c r="G1742" s="23" t="str">
        <f>IF(OR(E1742="",E1742="!!!"),"",IF(OR(J1742=0,AND(J1742=1,K1742=1),AND(J1742=1,I1742="SBJ"),AND(J1742=1,I1742=0)),"?IN_FOCUS",IF(J1742&lt;=2,"?ACTIVATED",IF(J1742&lt;&gt;"","?FAMILIAR",IF(F1742="NEW",IF(ISNA(VLOOKUP(E1742,#REF!,1,FALSE())),"?TYPE_IDENTIFIABLE","?REFERENTIAL"),"_")))))</f>
        <v> </v>
      </c>
      <c r="H1742" s="24" t="str">
        <f>IF(J1742&lt;&gt;1,"",IF(I1742="SBJ","CB","?"))</f>
        <v> </v>
      </c>
      <c r="I1742" s="25" t="str">
        <f>IF(OR(E1742="",E1742="!!!",F1742="NEW"),"",INDEX(B1741:B$2,-1+SUMPRODUCT(MAX(ROW(E1741:E$2)*(E1742=E1741:E$2)))))</f>
        <v> </v>
      </c>
      <c r="J1742" s="25" t="str">
        <f>IF(OR(E1742="",E1742="!!!",F1742="NEW"),"",COUNTBLANK(OFFSET(A$1,,,SUMPRODUCT(MAX(ROW(E$2:E1742)*(E1742=E$2:E1742)))))-COUNTBLANK(OFFSET(A$1,,,SUMPRODUCT(MAX(ROW(E$1:E1741)*(E2=E$1:E1741))))))</f>
        <v> </v>
      </c>
      <c r="K1742" s="25" t="str">
        <f>IF(OR(E1742="",E1742="!!!",F1742="NEW"),"",INDEX(J$1:J1741,SUMPRODUCT(MAX(ROW(E$1:E1741)*(E1742=E$1:E1741)))))</f>
        <v> </v>
      </c>
      <c r="L1742" s="26"/>
    </row>
    <row r="1743" spans="1:12">
      <c r="A1743" s="20" t="s">
        <v>1298</v>
      </c>
      <c r="B1743" s="27" t="s">
        <v>636</v>
      </c>
      <c r="C1743" s="27" t="s">
        <v>607</v>
      </c>
      <c r="D1743" s="27" t="s">
        <v>608</v>
      </c>
      <c r="E1743" s="21">
        <f>IF(D1743="?OLD","!!!","")</f>
        <v/>
      </c>
      <c r="F1743" s="22" t="str">
        <f>IF(OR(E1743="",E1743="!!!"),"",IF(NOT(ISNA(VLOOKUP(E1743,E$1:E1742,1,FALSE()))),"OLD",IF(AND(E1743&lt;&gt;"",E1743&lt;&gt;"!!!"),"NEW","")))</f>
        <v> </v>
      </c>
      <c r="G1743" s="23" t="str">
        <f>IF(OR(E1743="",E1743="!!!"),"",IF(OR(J1743=0,AND(J1743=1,K1743=1),AND(J1743=1,I1743="SBJ"),AND(J1743=1,I1743=0)),"?IN_FOCUS",IF(J1743&lt;=2,"?ACTIVATED",IF(J1743&lt;&gt;"","?FAMILIAR",IF(F1743="NEW",IF(ISNA(VLOOKUP(E1743,#REF!,1,FALSE())),"?TYPE_IDENTIFIABLE","?REFERENTIAL"),"_")))))</f>
        <v> </v>
      </c>
      <c r="H1743" s="24" t="str">
        <f>IF(J1743&lt;&gt;1,"",IF(I1743="SBJ","CB","?"))</f>
        <v> </v>
      </c>
      <c r="I1743" s="25" t="str">
        <f>IF(OR(E1743="",E1743="!!!",F1743="NEW"),"",INDEX(B1742:B$2,-1+SUMPRODUCT(MAX(ROW(E1742:E$2)*(E1743=E1742:E$2)))))</f>
        <v> </v>
      </c>
      <c r="J1743" s="25" t="str">
        <f>IF(OR(E1743="",E1743="!!!",F1743="NEW"),"",COUNTBLANK(OFFSET(A$1,,,SUMPRODUCT(MAX(ROW(E$2:E1743)*(E1743=E$2:E1743)))))-COUNTBLANK(OFFSET(A$1,,,SUMPRODUCT(MAX(ROW(E$1:E1742)*(E2=E$1:E1742))))))</f>
        <v> </v>
      </c>
      <c r="K1743" s="25" t="str">
        <f>IF(OR(E1743="",E1743="!!!",F1743="NEW"),"",INDEX(J$1:J1742,SUMPRODUCT(MAX(ROW(E$1:E1742)*(E1743=E$1:E1742)))))</f>
        <v> </v>
      </c>
      <c r="L1743" s="26"/>
    </row>
    <row r="1744" spans="1:12">
      <c r="A1744" s="20" t="s">
        <v>641</v>
      </c>
      <c r="E1744" s="21">
        <f>IF(D1744="?OLD","!!!","")</f>
        <v/>
      </c>
      <c r="F1744" s="22" t="str">
        <f>IF(OR(E1744="",E1744="!!!"),"",IF(NOT(ISNA(VLOOKUP(E1744,E$1:E1743,1,FALSE()))),"OLD",IF(AND(E1744&lt;&gt;"",E1744&lt;&gt;"!!!"),"NEW","")))</f>
        <v> </v>
      </c>
      <c r="G1744" s="23" t="str">
        <f>IF(OR(E1744="",E1744="!!!"),"",IF(OR(J1744=0,AND(J1744=1,K1744=1),AND(J1744=1,I1744="SBJ"),AND(J1744=1,I1744=0)),"?IN_FOCUS",IF(J1744&lt;=2,"?ACTIVATED",IF(J1744&lt;&gt;"","?FAMILIAR",IF(F1744="NEW",IF(ISNA(VLOOKUP(E1744,#REF!,1,FALSE())),"?TYPE_IDENTIFIABLE","?REFERENTIAL"),"_")))))</f>
        <v> </v>
      </c>
      <c r="H1744" s="24" t="str">
        <f>IF(J1744&lt;&gt;1,"",IF(I1744="SBJ","CB","?"))</f>
        <v> </v>
      </c>
      <c r="I1744" s="25" t="str">
        <f>IF(OR(E1744="",E1744="!!!",F1744="NEW"),"",INDEX(B1743:B$2,-1+SUMPRODUCT(MAX(ROW(E1743:E$2)*(E1744=E1743:E$2)))))</f>
        <v> </v>
      </c>
      <c r="J1744" s="25" t="str">
        <f>IF(OR(E1744="",E1744="!!!",F1744="NEW"),"",COUNTBLANK(OFFSET(A$1,,,SUMPRODUCT(MAX(ROW(E$2:E1744)*(E1744=E$2:E1744)))))-COUNTBLANK(OFFSET(A$1,,,SUMPRODUCT(MAX(ROW(E$1:E1743)*(E2=E$1:E1743))))))</f>
        <v> </v>
      </c>
      <c r="K1744" s="25" t="str">
        <f>IF(OR(E1744="",E1744="!!!",F1744="NEW"),"",INDEX(J$1:J1743,SUMPRODUCT(MAX(ROW(E$1:E1743)*(E1744=E$1:E1743)))))</f>
        <v> </v>
      </c>
      <c r="L1744" s="26"/>
    </row>
    <row r="1745" spans="1:12">
      <c r="A1745" s="20" t="s">
        <v>630</v>
      </c>
      <c r="B1745" s="27" t="s">
        <v>611</v>
      </c>
      <c r="C1745" s="27" t="s">
        <v>631</v>
      </c>
      <c r="D1745" s="27" t="s">
        <v>608</v>
      </c>
      <c r="E1745" s="21">
        <f>IF(D1745="?OLD","!!!","")</f>
        <v/>
      </c>
      <c r="F1745" s="22" t="str">
        <f>IF(OR(E1745="",E1745="!!!"),"",IF(NOT(ISNA(VLOOKUP(E1745,E$1:E1744,1,FALSE()))),"OLD",IF(AND(E1745&lt;&gt;"",E1745&lt;&gt;"!!!"),"NEW","")))</f>
        <v> </v>
      </c>
      <c r="G1745" s="23" t="str">
        <f>IF(OR(E1745="",E1745="!!!"),"",IF(OR(J1745=0,AND(J1745=1,K1745=1),AND(J1745=1,I1745="SBJ"),AND(J1745=1,I1745=0)),"?IN_FOCUS",IF(J1745&lt;=2,"?ACTIVATED",IF(J1745&lt;&gt;"","?FAMILIAR",IF(F1745="NEW",IF(ISNA(VLOOKUP(E1745,#REF!,1,FALSE())),"?TYPE_IDENTIFIABLE","?REFERENTIAL"),"_")))))</f>
        <v> </v>
      </c>
      <c r="H1745" s="24" t="str">
        <f>IF(J1745&lt;&gt;1,"",IF(I1745="SBJ","CB","?"))</f>
        <v> </v>
      </c>
      <c r="I1745" s="25" t="str">
        <f>IF(OR(E1745="",E1745="!!!",F1745="NEW"),"",INDEX(B1744:B$2,-1+SUMPRODUCT(MAX(ROW(E1744:E$2)*(E1745=E1744:E$2)))))</f>
        <v> </v>
      </c>
      <c r="J1745" s="25" t="str">
        <f>IF(OR(E1745="",E1745="!!!",F1745="NEW"),"",COUNTBLANK(OFFSET(A$1,,,SUMPRODUCT(MAX(ROW(E$2:E1745)*(E1745=E$2:E1745)))))-COUNTBLANK(OFFSET(A$1,,,SUMPRODUCT(MAX(ROW(E$1:E1744)*(E2=E$1:E1744))))))</f>
        <v> </v>
      </c>
      <c r="K1745" s="25" t="str">
        <f>IF(OR(E1745="",E1745="!!!",F1745="NEW"),"",INDEX(J$1:J1744,SUMPRODUCT(MAX(ROW(E$1:E1744)*(E1745=E$1:E1744)))))</f>
        <v> </v>
      </c>
      <c r="L1745" s="26"/>
    </row>
    <row r="1746" spans="1:12">
      <c r="A1746" s="20" t="s">
        <v>682</v>
      </c>
      <c r="E1746" s="21">
        <f>IF(D1746="?OLD","!!!","")</f>
        <v/>
      </c>
      <c r="F1746" s="22" t="str">
        <f>IF(OR(E1746="",E1746="!!!"),"",IF(NOT(ISNA(VLOOKUP(E1746,E$1:E1745,1,FALSE()))),"OLD",IF(AND(E1746&lt;&gt;"",E1746&lt;&gt;"!!!"),"NEW","")))</f>
        <v> </v>
      </c>
      <c r="G1746" s="23" t="str">
        <f>IF(OR(E1746="",E1746="!!!"),"",IF(OR(J1746=0,AND(J1746=1,K1746=1),AND(J1746=1,I1746="SBJ"),AND(J1746=1,I1746=0)),"?IN_FOCUS",IF(J1746&lt;=2,"?ACTIVATED",IF(J1746&lt;&gt;"","?FAMILIAR",IF(F1746="NEW",IF(ISNA(VLOOKUP(E1746,#REF!,1,FALSE())),"?TYPE_IDENTIFIABLE","?REFERENTIAL"),"_")))))</f>
        <v> </v>
      </c>
      <c r="H1746" s="24" t="str">
        <f>IF(J1746&lt;&gt;1,"",IF(I1746="SBJ","CB","?"))</f>
        <v> </v>
      </c>
      <c r="I1746" s="25" t="str">
        <f>IF(OR(E1746="",E1746="!!!",F1746="NEW"),"",INDEX(B1745:B$2,-1+SUMPRODUCT(MAX(ROW(E1745:E$2)*(E1746=E1745:E$2)))))</f>
        <v> </v>
      </c>
      <c r="J1746" s="25" t="str">
        <f>IF(OR(E1746="",E1746="!!!",F1746="NEW"),"",COUNTBLANK(OFFSET(A$1,,,SUMPRODUCT(MAX(ROW(E$2:E1746)*(E1746=E$2:E1746)))))-COUNTBLANK(OFFSET(A$1,,,SUMPRODUCT(MAX(ROW(E$1:E1745)*(E2=E$1:E1745))))))</f>
        <v> </v>
      </c>
      <c r="K1746" s="25" t="str">
        <f>IF(OR(E1746="",E1746="!!!",F1746="NEW"),"",INDEX(J$1:J1745,SUMPRODUCT(MAX(ROW(E$1:E1745)*(E1746=E$1:E1745)))))</f>
        <v> </v>
      </c>
      <c r="L1746" s="26"/>
    </row>
    <row r="1747" spans="1:12">
      <c r="A1747" s="20" t="s">
        <v>1159</v>
      </c>
      <c r="E1747" s="21">
        <f>IF(D1747="?OLD","!!!","")</f>
        <v/>
      </c>
      <c r="F1747" s="22" t="str">
        <f>IF(OR(E1747="",E1747="!!!"),"",IF(NOT(ISNA(VLOOKUP(E1747,E$1:E1746,1,FALSE()))),"OLD",IF(AND(E1747&lt;&gt;"",E1747&lt;&gt;"!!!"),"NEW","")))</f>
        <v> </v>
      </c>
      <c r="G1747" s="23" t="str">
        <f>IF(OR(E1747="",E1747="!!!"),"",IF(OR(J1747=0,AND(J1747=1,K1747=1),AND(J1747=1,I1747="SBJ"),AND(J1747=1,I1747=0)),"?IN_FOCUS",IF(J1747&lt;=2,"?ACTIVATED",IF(J1747&lt;&gt;"","?FAMILIAR",IF(F1747="NEW",IF(ISNA(VLOOKUP(E1747,#REF!,1,FALSE())),"?TYPE_IDENTIFIABLE","?REFERENTIAL"),"_")))))</f>
        <v> </v>
      </c>
      <c r="H1747" s="24" t="str">
        <f>IF(J1747&lt;&gt;1,"",IF(I1747="SBJ","CB","?"))</f>
        <v> </v>
      </c>
      <c r="I1747" s="25" t="str">
        <f>IF(OR(E1747="",E1747="!!!",F1747="NEW"),"",INDEX(B1746:B$2,-1+SUMPRODUCT(MAX(ROW(E1746:E$2)*(E1747=E1746:E$2)))))</f>
        <v> </v>
      </c>
      <c r="J1747" s="25" t="str">
        <f>IF(OR(E1747="",E1747="!!!",F1747="NEW"),"",COUNTBLANK(OFFSET(A$1,,,SUMPRODUCT(MAX(ROW(E$2:E1747)*(E1747=E$2:E1747)))))-COUNTBLANK(OFFSET(A$1,,,SUMPRODUCT(MAX(ROW(E$1:E1746)*(E2=E$1:E1746))))))</f>
        <v> </v>
      </c>
      <c r="K1747" s="25" t="str">
        <f>IF(OR(E1747="",E1747="!!!",F1747="NEW"),"",INDEX(J$1:J1746,SUMPRODUCT(MAX(ROW(E$1:E1746)*(E1747=E$1:E1746)))))</f>
        <v> </v>
      </c>
      <c r="L1747" s="26"/>
    </row>
    <row r="1748" spans="1:12">
      <c r="A1748" s="20" t="s">
        <v>1192</v>
      </c>
      <c r="E1748" s="21">
        <f>IF(D1748="?OLD","!!!","")</f>
        <v/>
      </c>
      <c r="F1748" s="22" t="str">
        <f>IF(OR(E1748="",E1748="!!!"),"",IF(NOT(ISNA(VLOOKUP(E1748,E$1:E1747,1,FALSE()))),"OLD",IF(AND(E1748&lt;&gt;"",E1748&lt;&gt;"!!!"),"NEW","")))</f>
        <v> </v>
      </c>
      <c r="G1748" s="23" t="str">
        <f>IF(OR(E1748="",E1748="!!!"),"",IF(OR(J1748=0,AND(J1748=1,K1748=1),AND(J1748=1,I1748="SBJ"),AND(J1748=1,I1748=0)),"?IN_FOCUS",IF(J1748&lt;=2,"?ACTIVATED",IF(J1748&lt;&gt;"","?FAMILIAR",IF(F1748="NEW",IF(ISNA(VLOOKUP(E1748,#REF!,1,FALSE())),"?TYPE_IDENTIFIABLE","?REFERENTIAL"),"_")))))</f>
        <v> </v>
      </c>
      <c r="H1748" s="24" t="str">
        <f>IF(J1748&lt;&gt;1,"",IF(I1748="SBJ","CB","?"))</f>
        <v> </v>
      </c>
      <c r="I1748" s="25" t="str">
        <f>IF(OR(E1748="",E1748="!!!",F1748="NEW"),"",INDEX(B1747:B$2,-1+SUMPRODUCT(MAX(ROW(E1747:E$2)*(E1748=E1747:E$2)))))</f>
        <v> </v>
      </c>
      <c r="J1748" s="25" t="str">
        <f>IF(OR(E1748="",E1748="!!!",F1748="NEW"),"",COUNTBLANK(OFFSET(A$1,,,SUMPRODUCT(MAX(ROW(E$2:E1748)*(E1748=E$2:E1748)))))-COUNTBLANK(OFFSET(A$1,,,SUMPRODUCT(MAX(ROW(E$1:E1747)*(E2=E$1:E1747))))))</f>
        <v> </v>
      </c>
      <c r="K1748" s="25" t="str">
        <f>IF(OR(E1748="",E1748="!!!",F1748="NEW"),"",INDEX(J$1:J1747,SUMPRODUCT(MAX(ROW(E$1:E1747)*(E1748=E$1:E1747)))))</f>
        <v> </v>
      </c>
      <c r="L1748" s="26"/>
    </row>
    <row r="1749" spans="1:12">
      <c r="A1749" s="20" t="s">
        <v>187</v>
      </c>
      <c r="B1749" s="27" t="s">
        <v>606</v>
      </c>
      <c r="C1749" s="27" t="s">
        <v>685</v>
      </c>
      <c r="E1749" s="21">
        <f>IF(D1749="?OLD","!!!","")</f>
        <v/>
      </c>
      <c r="F1749" s="22" t="str">
        <f>IF(OR(E1749="",E1749="!!!"),"",IF(NOT(ISNA(VLOOKUP(E1749,E$1:E1748,1,FALSE()))),"OLD",IF(AND(E1749&lt;&gt;"",E1749&lt;&gt;"!!!"),"NEW","")))</f>
        <v> </v>
      </c>
      <c r="G1749" s="23" t="str">
        <f>IF(OR(E1749="",E1749="!!!"),"",IF(OR(J1749=0,AND(J1749=1,K1749=1),AND(J1749=1,I1749="SBJ"),AND(J1749=1,I1749=0)),"?IN_FOCUS",IF(J1749&lt;=2,"?ACTIVATED",IF(J1749&lt;&gt;"","?FAMILIAR",IF(F1749="NEW",IF(ISNA(VLOOKUP(E1749,#REF!,1,FALSE())),"?TYPE_IDENTIFIABLE","?REFERENTIAL"),"_")))))</f>
        <v> </v>
      </c>
      <c r="H1749" s="24" t="str">
        <f>IF(J1749&lt;&gt;1,"",IF(I1749="SBJ","CB","?"))</f>
        <v> </v>
      </c>
      <c r="I1749" s="25" t="str">
        <f>IF(OR(E1749="",E1749="!!!",F1749="NEW"),"",INDEX(B1748:B$2,-1+SUMPRODUCT(MAX(ROW(E1748:E$2)*(E1749=E1748:E$2)))))</f>
        <v> </v>
      </c>
      <c r="J1749" s="25" t="str">
        <f>IF(OR(E1749="",E1749="!!!",F1749="NEW"),"",COUNTBLANK(OFFSET(A$1,,,SUMPRODUCT(MAX(ROW(E$2:E1749)*(E1749=E$2:E1749)))))-COUNTBLANK(OFFSET(A$1,,,SUMPRODUCT(MAX(ROW(E$1:E1748)*(E2=E$1:E1748))))))</f>
        <v> </v>
      </c>
      <c r="K1749" s="25" t="str">
        <f>IF(OR(E1749="",E1749="!!!",F1749="NEW"),"",INDEX(J$1:J1748,SUMPRODUCT(MAX(ROW(E$1:E1748)*(E1749=E$1:E1748)))))</f>
        <v> </v>
      </c>
      <c r="L1749" s="26"/>
    </row>
    <row r="1750" spans="1:12">
      <c r="A1750" s="20" t="s">
        <v>617</v>
      </c>
      <c r="E1750" s="21">
        <f>IF(D1750="?OLD","!!!","")</f>
        <v/>
      </c>
      <c r="F1750" s="22" t="str">
        <f>IF(OR(E1750="",E1750="!!!"),"",IF(NOT(ISNA(VLOOKUP(E1750,E$1:E1749,1,FALSE()))),"OLD",IF(AND(E1750&lt;&gt;"",E1750&lt;&gt;"!!!"),"NEW","")))</f>
        <v> </v>
      </c>
      <c r="G1750" s="23" t="str">
        <f>IF(OR(E1750="",E1750="!!!"),"",IF(OR(J1750=0,AND(J1750=1,K1750=1),AND(J1750=1,I1750="SBJ"),AND(J1750=1,I1750=0)),"?IN_FOCUS",IF(J1750&lt;=2,"?ACTIVATED",IF(J1750&lt;&gt;"","?FAMILIAR",IF(F1750="NEW",IF(ISNA(VLOOKUP(E1750,#REF!,1,FALSE())),"?TYPE_IDENTIFIABLE","?REFERENTIAL"),"_")))))</f>
        <v> </v>
      </c>
      <c r="H1750" s="24" t="str">
        <f>IF(J1750&lt;&gt;1,"",IF(I1750="SBJ","CB","?"))</f>
        <v> </v>
      </c>
      <c r="I1750" s="25" t="str">
        <f>IF(OR(E1750="",E1750="!!!",F1750="NEW"),"",INDEX(B1749:B$2,-1+SUMPRODUCT(MAX(ROW(E1749:E$2)*(E1750=E1749:E$2)))))</f>
        <v> </v>
      </c>
      <c r="J1750" s="25" t="str">
        <f>IF(OR(E1750="",E1750="!!!",F1750="NEW"),"",COUNTBLANK(OFFSET(A$1,,,SUMPRODUCT(MAX(ROW(E$2:E1750)*(E1750=E$2:E1750)))))-COUNTBLANK(OFFSET(A$1,,,SUMPRODUCT(MAX(ROW(E$1:E1749)*(E2=E$1:E1749))))))</f>
        <v> </v>
      </c>
      <c r="K1750" s="25" t="str">
        <f>IF(OR(E1750="",E1750="!!!",F1750="NEW"),"",INDEX(J$1:J1749,SUMPRODUCT(MAX(ROW(E$1:E1749)*(E1750=E$1:E1749)))))</f>
        <v> </v>
      </c>
      <c r="L1750" s="26"/>
    </row>
    <row r="1751" spans="1:12">
      <c r="A1751" s="20" t="s">
        <v>1161</v>
      </c>
      <c r="E1751" s="21">
        <f>IF(D1751="?OLD","!!!","")</f>
        <v/>
      </c>
      <c r="F1751" s="22" t="str">
        <f>IF(OR(E1751="",E1751="!!!"),"",IF(NOT(ISNA(VLOOKUP(E1751,E$1:E1750,1,FALSE()))),"OLD",IF(AND(E1751&lt;&gt;"",E1751&lt;&gt;"!!!"),"NEW","")))</f>
        <v> </v>
      </c>
      <c r="G1751" s="23" t="str">
        <f>IF(OR(E1751="",E1751="!!!"),"",IF(OR(J1751=0,AND(J1751=1,K1751=1),AND(J1751=1,I1751="SBJ"),AND(J1751=1,I1751=0)),"?IN_FOCUS",IF(J1751&lt;=2,"?ACTIVATED",IF(J1751&lt;&gt;"","?FAMILIAR",IF(F1751="NEW",IF(ISNA(VLOOKUP(E1751,#REF!,1,FALSE())),"?TYPE_IDENTIFIABLE","?REFERENTIAL"),"_")))))</f>
        <v> </v>
      </c>
      <c r="H1751" s="24" t="str">
        <f>IF(J1751&lt;&gt;1,"",IF(I1751="SBJ","CB","?"))</f>
        <v> </v>
      </c>
      <c r="I1751" s="25" t="str">
        <f>IF(OR(E1751="",E1751="!!!",F1751="NEW"),"",INDEX(B1750:B$2,-1+SUMPRODUCT(MAX(ROW(E1750:E$2)*(E1751=E1750:E$2)))))</f>
        <v> </v>
      </c>
      <c r="J1751" s="25" t="str">
        <f>IF(OR(E1751="",E1751="!!!",F1751="NEW"),"",COUNTBLANK(OFFSET(A$1,,,SUMPRODUCT(MAX(ROW(E$2:E1751)*(E1751=E$2:E1751)))))-COUNTBLANK(OFFSET(A$1,,,SUMPRODUCT(MAX(ROW(E$1:E1750)*(E2=E$1:E1750))))))</f>
        <v> </v>
      </c>
      <c r="K1751" s="25" t="str">
        <f>IF(OR(E1751="",E1751="!!!",F1751="NEW"),"",INDEX(J$1:J1750,SUMPRODUCT(MAX(ROW(E$1:E1750)*(E1751=E$1:E1750)))))</f>
        <v> </v>
      </c>
      <c r="L1751" s="26"/>
    </row>
    <row r="1752" spans="1:12">
      <c r="A1752" s="20" t="s">
        <v>1109</v>
      </c>
      <c r="E1752" s="21">
        <f>IF(D1752="?OLD","!!!","")</f>
        <v/>
      </c>
      <c r="F1752" s="22" t="str">
        <f>IF(OR(E1752="",E1752="!!!"),"",IF(NOT(ISNA(VLOOKUP(E1752,E$1:E1751,1,FALSE()))),"OLD",IF(AND(E1752&lt;&gt;"",E1752&lt;&gt;"!!!"),"NEW","")))</f>
        <v> </v>
      </c>
      <c r="G1752" s="23" t="str">
        <f>IF(OR(E1752="",E1752="!!!"),"",IF(OR(J1752=0,AND(J1752=1,K1752=1),AND(J1752=1,I1752="SBJ"),AND(J1752=1,I1752=0)),"?IN_FOCUS",IF(J1752&lt;=2,"?ACTIVATED",IF(J1752&lt;&gt;"","?FAMILIAR",IF(F1752="NEW",IF(ISNA(VLOOKUP(E1752,#REF!,1,FALSE())),"?TYPE_IDENTIFIABLE","?REFERENTIAL"),"_")))))</f>
        <v> </v>
      </c>
      <c r="H1752" s="24" t="str">
        <f>IF(J1752&lt;&gt;1,"",IF(I1752="SBJ","CB","?"))</f>
        <v> </v>
      </c>
      <c r="I1752" s="25" t="str">
        <f>IF(OR(E1752="",E1752="!!!",F1752="NEW"),"",INDEX(B1751:B$2,-1+SUMPRODUCT(MAX(ROW(E1751:E$2)*(E1752=E1751:E$2)))))</f>
        <v> </v>
      </c>
      <c r="J1752" s="25" t="str">
        <f>IF(OR(E1752="",E1752="!!!",F1752="NEW"),"",COUNTBLANK(OFFSET(A$1,,,SUMPRODUCT(MAX(ROW(E$2:E1752)*(E1752=E$2:E1752)))))-COUNTBLANK(OFFSET(A$1,,,SUMPRODUCT(MAX(ROW(E$1:E1751)*(E2=E$1:E1751))))))</f>
        <v> </v>
      </c>
      <c r="K1752" s="25" t="str">
        <f>IF(OR(E1752="",E1752="!!!",F1752="NEW"),"",INDEX(J$1:J1751,SUMPRODUCT(MAX(ROW(E$1:E1751)*(E1752=E$1:E1751)))))</f>
        <v> </v>
      </c>
      <c r="L1752" s="26"/>
    </row>
    <row r="1753" spans="1:12">
      <c r="A1753" s="20" t="s">
        <v>621</v>
      </c>
      <c r="B1753" s="27" t="s">
        <v>619</v>
      </c>
      <c r="C1753" s="27" t="s">
        <v>622</v>
      </c>
      <c r="E1753" s="21">
        <f>IF(D1753="?OLD","!!!","")</f>
        <v/>
      </c>
      <c r="F1753" s="22" t="str">
        <f>IF(OR(E1753="",E1753="!!!"),"",IF(NOT(ISNA(VLOOKUP(E1753,E$1:E1752,1,FALSE()))),"OLD",IF(AND(E1753&lt;&gt;"",E1753&lt;&gt;"!!!"),"NEW","")))</f>
        <v> </v>
      </c>
      <c r="G1753" s="23" t="str">
        <f>IF(OR(E1753="",E1753="!!!"),"",IF(OR(J1753=0,AND(J1753=1,K1753=1),AND(J1753=1,I1753="SBJ"),AND(J1753=1,I1753=0)),"?IN_FOCUS",IF(J1753&lt;=2,"?ACTIVATED",IF(J1753&lt;&gt;"","?FAMILIAR",IF(F1753="NEW",IF(ISNA(VLOOKUP(E1753,#REF!,1,FALSE())),"?TYPE_IDENTIFIABLE","?REFERENTIAL"),"_")))))</f>
        <v> </v>
      </c>
      <c r="H1753" s="24" t="str">
        <f>IF(J1753&lt;&gt;1,"",IF(I1753="SBJ","CB","?"))</f>
        <v> </v>
      </c>
      <c r="I1753" s="25" t="str">
        <f>IF(OR(E1753="",E1753="!!!",F1753="NEW"),"",INDEX(B1752:B$2,-1+SUMPRODUCT(MAX(ROW(E1752:E$2)*(E1753=E1752:E$2)))))</f>
        <v> </v>
      </c>
      <c r="J1753" s="25" t="str">
        <f>IF(OR(E1753="",E1753="!!!",F1753="NEW"),"",COUNTBLANK(OFFSET(A$1,,,SUMPRODUCT(MAX(ROW(E$2:E1753)*(E1753=E$2:E1753)))))-COUNTBLANK(OFFSET(A$1,,,SUMPRODUCT(MAX(ROW(E$1:E1752)*(E2=E$1:E1752))))))</f>
        <v> </v>
      </c>
      <c r="K1753" s="25" t="str">
        <f>IF(OR(E1753="",E1753="!!!",F1753="NEW"),"",INDEX(J$1:J1752,SUMPRODUCT(MAX(ROW(E$1:E1752)*(E1753=E$1:E1752)))))</f>
        <v> </v>
      </c>
      <c r="L1753" s="26"/>
    </row>
    <row r="1754" spans="1:12">
      <c r="A1754" s="20" t="s">
        <v>158</v>
      </c>
      <c r="E1754" s="21">
        <f>IF(D1754="?OLD","!!!","")</f>
        <v/>
      </c>
      <c r="F1754" s="22" t="str">
        <f>IF(OR(E1754="",E1754="!!!"),"",IF(NOT(ISNA(VLOOKUP(E1754,E$1:E1753,1,FALSE()))),"OLD",IF(AND(E1754&lt;&gt;"",E1754&lt;&gt;"!!!"),"NEW","")))</f>
        <v> </v>
      </c>
      <c r="G1754" s="23" t="str">
        <f>IF(OR(E1754="",E1754="!!!"),"",IF(OR(J1754=0,AND(J1754=1,K1754=1),AND(J1754=1,I1754="SBJ"),AND(J1754=1,I1754=0)),"?IN_FOCUS",IF(J1754&lt;=2,"?ACTIVATED",IF(J1754&lt;&gt;"","?FAMILIAR",IF(F1754="NEW",IF(ISNA(VLOOKUP(E1754,#REF!,1,FALSE())),"?TYPE_IDENTIFIABLE","?REFERENTIAL"),"_")))))</f>
        <v> </v>
      </c>
      <c r="H1754" s="24" t="str">
        <f>IF(J1754&lt;&gt;1,"",IF(I1754="SBJ","CB","?"))</f>
        <v> </v>
      </c>
      <c r="I1754" s="25" t="str">
        <f>IF(OR(E1754="",E1754="!!!",F1754="NEW"),"",INDEX(B1753:B$2,-1+SUMPRODUCT(MAX(ROW(E1753:E$2)*(E1754=E1753:E$2)))))</f>
        <v> </v>
      </c>
      <c r="J1754" s="25" t="str">
        <f>IF(OR(E1754="",E1754="!!!",F1754="NEW"),"",COUNTBLANK(OFFSET(A$1,,,SUMPRODUCT(MAX(ROW(E$2:E1754)*(E1754=E$2:E1754)))))-COUNTBLANK(OFFSET(A$1,,,SUMPRODUCT(MAX(ROW(E$1:E1753)*(E2=E$1:E1753))))))</f>
        <v> </v>
      </c>
      <c r="K1754" s="25" t="str">
        <f>IF(OR(E1754="",E1754="!!!",F1754="NEW"),"",INDEX(J$1:J1753,SUMPRODUCT(MAX(ROW(E$1:E1753)*(E1754=E$1:E1753)))))</f>
        <v> </v>
      </c>
      <c r="L1754" s="26"/>
    </row>
    <row r="1755" spans="1:12">
      <c r="A1755" s="20" t="s">
        <v>617</v>
      </c>
      <c r="E1755" s="21">
        <f>IF(D1755="?OLD","!!!","")</f>
        <v/>
      </c>
      <c r="F1755" s="22" t="str">
        <f>IF(OR(E1755="",E1755="!!!"),"",IF(NOT(ISNA(VLOOKUP(E1755,E$1:E1754,1,FALSE()))),"OLD",IF(AND(E1755&lt;&gt;"",E1755&lt;&gt;"!!!"),"NEW","")))</f>
        <v> </v>
      </c>
      <c r="G1755" s="23" t="str">
        <f>IF(OR(E1755="",E1755="!!!"),"",IF(OR(J1755=0,AND(J1755=1,K1755=1),AND(J1755=1,I1755="SBJ"),AND(J1755=1,I1755=0)),"?IN_FOCUS",IF(J1755&lt;=2,"?ACTIVATED",IF(J1755&lt;&gt;"","?FAMILIAR",IF(F1755="NEW",IF(ISNA(VLOOKUP(E1755,#REF!,1,FALSE())),"?TYPE_IDENTIFIABLE","?REFERENTIAL"),"_")))))</f>
        <v> </v>
      </c>
      <c r="H1755" s="24" t="str">
        <f>IF(J1755&lt;&gt;1,"",IF(I1755="SBJ","CB","?"))</f>
        <v> </v>
      </c>
      <c r="I1755" s="25" t="str">
        <f>IF(OR(E1755="",E1755="!!!",F1755="NEW"),"",INDEX(B1754:B$2,-1+SUMPRODUCT(MAX(ROW(E1754:E$2)*(E1755=E1754:E$2)))))</f>
        <v> </v>
      </c>
      <c r="J1755" s="25" t="str">
        <f>IF(OR(E1755="",E1755="!!!",F1755="NEW"),"",COUNTBLANK(OFFSET(A$1,,,SUMPRODUCT(MAX(ROW(E$2:E1755)*(E1755=E$2:E1755)))))-COUNTBLANK(OFFSET(A$1,,,SUMPRODUCT(MAX(ROW(E$1:E1754)*(E2=E$1:E1754))))))</f>
        <v> </v>
      </c>
      <c r="K1755" s="25" t="str">
        <f>IF(OR(E1755="",E1755="!!!",F1755="NEW"),"",INDEX(J$1:J1754,SUMPRODUCT(MAX(ROW(E$1:E1754)*(E1755=E$1:E1754)))))</f>
        <v> </v>
      </c>
      <c r="L1755" s="26"/>
    </row>
    <row r="1756" spans="1:12">
      <c r="A1756" s="20" t="s">
        <v>736</v>
      </c>
      <c r="E1756" s="21">
        <f>IF(D1756="?OLD","!!!","")</f>
        <v/>
      </c>
      <c r="F1756" s="22" t="str">
        <f>IF(OR(E1756="",E1756="!!!"),"",IF(NOT(ISNA(VLOOKUP(E1756,E$1:E1755,1,FALSE()))),"OLD",IF(AND(E1756&lt;&gt;"",E1756&lt;&gt;"!!!"),"NEW","")))</f>
        <v> </v>
      </c>
      <c r="G1756" s="23" t="str">
        <f>IF(OR(E1756="",E1756="!!!"),"",IF(OR(J1756=0,AND(J1756=1,K1756=1),AND(J1756=1,I1756="SBJ"),AND(J1756=1,I1756=0)),"?IN_FOCUS",IF(J1756&lt;=2,"?ACTIVATED",IF(J1756&lt;&gt;"","?FAMILIAR",IF(F1756="NEW",IF(ISNA(VLOOKUP(E1756,#REF!,1,FALSE())),"?TYPE_IDENTIFIABLE","?REFERENTIAL"),"_")))))</f>
        <v> </v>
      </c>
      <c r="H1756" s="24" t="str">
        <f>IF(J1756&lt;&gt;1,"",IF(I1756="SBJ","CB","?"))</f>
        <v> </v>
      </c>
      <c r="I1756" s="25" t="str">
        <f>IF(OR(E1756="",E1756="!!!",F1756="NEW"),"",INDEX(B1755:B$2,-1+SUMPRODUCT(MAX(ROW(E1755:E$2)*(E1756=E1755:E$2)))))</f>
        <v> </v>
      </c>
      <c r="J1756" s="25" t="str">
        <f>IF(OR(E1756="",E1756="!!!",F1756="NEW"),"",COUNTBLANK(OFFSET(A$1,,,SUMPRODUCT(MAX(ROW(E$2:E1756)*(E1756=E$2:E1756)))))-COUNTBLANK(OFFSET(A$1,,,SUMPRODUCT(MAX(ROW(E$1:E1755)*(E2=E$1:E1755))))))</f>
        <v> </v>
      </c>
      <c r="K1756" s="25" t="str">
        <f>IF(OR(E1756="",E1756="!!!",F1756="NEW"),"",INDEX(J$1:J1755,SUMPRODUCT(MAX(ROW(E$1:E1755)*(E1756=E$1:E1755)))))</f>
        <v> </v>
      </c>
      <c r="L1756" s="26"/>
    </row>
    <row r="1757" spans="1:12">
      <c r="A1757" s="20" t="s">
        <v>630</v>
      </c>
      <c r="B1757" s="27" t="s">
        <v>742</v>
      </c>
      <c r="C1757" s="27" t="s">
        <v>631</v>
      </c>
      <c r="D1757" s="27" t="s">
        <v>608</v>
      </c>
      <c r="E1757" s="21">
        <f>IF(D1757="?OLD","!!!","")</f>
        <v/>
      </c>
      <c r="F1757" s="22" t="str">
        <f>IF(OR(E1757="",E1757="!!!"),"",IF(NOT(ISNA(VLOOKUP(E1757,E$1:E1756,1,FALSE()))),"OLD",IF(AND(E1757&lt;&gt;"",E1757&lt;&gt;"!!!"),"NEW","")))</f>
        <v> </v>
      </c>
      <c r="G1757" s="23" t="str">
        <f>IF(OR(E1757="",E1757="!!!"),"",IF(OR(J1757=0,AND(J1757=1,K1757=1),AND(J1757=1,I1757="SBJ"),AND(J1757=1,I1757=0)),"?IN_FOCUS",IF(J1757&lt;=2,"?ACTIVATED",IF(J1757&lt;&gt;"","?FAMILIAR",IF(F1757="NEW",IF(ISNA(VLOOKUP(E1757,#REF!,1,FALSE())),"?TYPE_IDENTIFIABLE","?REFERENTIAL"),"_")))))</f>
        <v> </v>
      </c>
      <c r="H1757" s="24" t="str">
        <f>IF(J1757&lt;&gt;1,"",IF(I1757="SBJ","CB","?"))</f>
        <v> </v>
      </c>
      <c r="I1757" s="25" t="str">
        <f>IF(OR(E1757="",E1757="!!!",F1757="NEW"),"",INDEX(B1756:B$2,-1+SUMPRODUCT(MAX(ROW(E1756:E$2)*(E1757=E1756:E$2)))))</f>
        <v> </v>
      </c>
      <c r="J1757" s="25" t="str">
        <f>IF(OR(E1757="",E1757="!!!",F1757="NEW"),"",COUNTBLANK(OFFSET(A$1,,,SUMPRODUCT(MAX(ROW(E$2:E1757)*(E1757=E$2:E1757)))))-COUNTBLANK(OFFSET(A$1,,,SUMPRODUCT(MAX(ROW(E$1:E1756)*(E2=E$1:E1756))))))</f>
        <v> </v>
      </c>
      <c r="K1757" s="25" t="str">
        <f>IF(OR(E1757="",E1757="!!!",F1757="NEW"),"",INDEX(J$1:J1756,SUMPRODUCT(MAX(ROW(E$1:E1756)*(E1757=E$1:E1756)))))</f>
        <v> </v>
      </c>
      <c r="L1757" s="26"/>
    </row>
    <row r="1758" spans="1:12">
      <c r="A1758" s="20" t="s">
        <v>1292</v>
      </c>
      <c r="E1758" s="21">
        <f>IF(D1758="?OLD","!!!","")</f>
        <v/>
      </c>
      <c r="F1758" s="22" t="str">
        <f>IF(OR(E1758="",E1758="!!!"),"",IF(NOT(ISNA(VLOOKUP(E1758,E$1:E1757,1,FALSE()))),"OLD",IF(AND(E1758&lt;&gt;"",E1758&lt;&gt;"!!!"),"NEW","")))</f>
        <v> </v>
      </c>
      <c r="G1758" s="23" t="str">
        <f>IF(OR(E1758="",E1758="!!!"),"",IF(OR(J1758=0,AND(J1758=1,K1758=1),AND(J1758=1,I1758="SBJ"),AND(J1758=1,I1758=0)),"?IN_FOCUS",IF(J1758&lt;=2,"?ACTIVATED",IF(J1758&lt;&gt;"","?FAMILIAR",IF(F1758="NEW",IF(ISNA(VLOOKUP(E1758,#REF!,1,FALSE())),"?TYPE_IDENTIFIABLE","?REFERENTIAL"),"_")))))</f>
        <v> </v>
      </c>
      <c r="H1758" s="24" t="str">
        <f>IF(J1758&lt;&gt;1,"",IF(I1758="SBJ","CB","?"))</f>
        <v> </v>
      </c>
      <c r="I1758" s="25" t="str">
        <f>IF(OR(E1758="",E1758="!!!",F1758="NEW"),"",INDEX(B1757:B$2,-1+SUMPRODUCT(MAX(ROW(E1757:E$2)*(E1758=E1757:E$2)))))</f>
        <v> </v>
      </c>
      <c r="J1758" s="25" t="str">
        <f>IF(OR(E1758="",E1758="!!!",F1758="NEW"),"",COUNTBLANK(OFFSET(A$1,,,SUMPRODUCT(MAX(ROW(E$2:E1758)*(E1758=E$2:E1758)))))-COUNTBLANK(OFFSET(A$1,,,SUMPRODUCT(MAX(ROW(E$1:E1757)*(E2=E$1:E1757))))))</f>
        <v> </v>
      </c>
      <c r="K1758" s="25" t="str">
        <f>IF(OR(E1758="",E1758="!!!",F1758="NEW"),"",INDEX(J$1:J1757,SUMPRODUCT(MAX(ROW(E$1:E1757)*(E1758=E$1:E1757)))))</f>
        <v> </v>
      </c>
      <c r="L1758" s="26"/>
    </row>
    <row r="1759" spans="1:12">
      <c r="A1759" s="20" t="s">
        <v>612</v>
      </c>
      <c r="E1759" s="21">
        <f>IF(D1759="?OLD","!!!","")</f>
        <v/>
      </c>
      <c r="F1759" s="22" t="str">
        <f>IF(OR(E1759="",E1759="!!!"),"",IF(NOT(ISNA(VLOOKUP(E1759,E$1:E1758,1,FALSE()))),"OLD",IF(AND(E1759&lt;&gt;"",E1759&lt;&gt;"!!!"),"NEW","")))</f>
        <v> </v>
      </c>
      <c r="G1759" s="23" t="str">
        <f>IF(OR(E1759="",E1759="!!!"),"",IF(OR(J1759=0,AND(J1759=1,K1759=1),AND(J1759=1,I1759="SBJ"),AND(J1759=1,I1759=0)),"?IN_FOCUS",IF(J1759&lt;=2,"?ACTIVATED",IF(J1759&lt;&gt;"","?FAMILIAR",IF(F1759="NEW",IF(ISNA(VLOOKUP(E1759,#REF!,1,FALSE())),"?TYPE_IDENTIFIABLE","?REFERENTIAL"),"_")))))</f>
        <v> </v>
      </c>
      <c r="H1759" s="24" t="str">
        <f>IF(J1759&lt;&gt;1,"",IF(I1759="SBJ","CB","?"))</f>
        <v> </v>
      </c>
      <c r="I1759" s="25" t="str">
        <f>IF(OR(E1759="",E1759="!!!",F1759="NEW"),"",INDEX(B1758:B$2,-1+SUMPRODUCT(MAX(ROW(E1758:E$2)*(E1759=E1758:E$2)))))</f>
        <v> </v>
      </c>
      <c r="J1759" s="25" t="str">
        <f>IF(OR(E1759="",E1759="!!!",F1759="NEW"),"",COUNTBLANK(OFFSET(A$1,,,SUMPRODUCT(MAX(ROW(E$2:E1759)*(E1759=E$2:E1759)))))-COUNTBLANK(OFFSET(A$1,,,SUMPRODUCT(MAX(ROW(E$1:E1758)*(E2=E$1:E1758))))))</f>
        <v> </v>
      </c>
      <c r="K1759" s="25" t="str">
        <f>IF(OR(E1759="",E1759="!!!",F1759="NEW"),"",INDEX(J$1:J1758,SUMPRODUCT(MAX(ROW(E$1:E1758)*(E1759=E$1:E1758)))))</f>
        <v> </v>
      </c>
      <c r="L1759" s="26"/>
    </row>
    <row r="1760" spans="1:12">
      <c r="A1760" s="20" t="s">
        <v>617</v>
      </c>
      <c r="E1760" s="21">
        <f>IF(D1760="?OLD","!!!","")</f>
        <v/>
      </c>
      <c r="F1760" s="22" t="str">
        <f>IF(OR(E1760="",E1760="!!!"),"",IF(NOT(ISNA(VLOOKUP(E1760,E$1:E1759,1,FALSE()))),"OLD",IF(AND(E1760&lt;&gt;"",E1760&lt;&gt;"!!!"),"NEW","")))</f>
        <v> </v>
      </c>
      <c r="G1760" s="23" t="str">
        <f>IF(OR(E1760="",E1760="!!!"),"",IF(OR(J1760=0,AND(J1760=1,K1760=1),AND(J1760=1,I1760="SBJ"),AND(J1760=1,I1760=0)),"?IN_FOCUS",IF(J1760&lt;=2,"?ACTIVATED",IF(J1760&lt;&gt;"","?FAMILIAR",IF(F1760="NEW",IF(ISNA(VLOOKUP(E1760,#REF!,1,FALSE())),"?TYPE_IDENTIFIABLE","?REFERENTIAL"),"_")))))</f>
        <v> </v>
      </c>
      <c r="H1760" s="24" t="str">
        <f>IF(J1760&lt;&gt;1,"",IF(I1760="SBJ","CB","?"))</f>
        <v> </v>
      </c>
      <c r="I1760" s="25" t="str">
        <f>IF(OR(E1760="",E1760="!!!",F1760="NEW"),"",INDEX(B1759:B$2,-1+SUMPRODUCT(MAX(ROW(E1759:E$2)*(E1760=E1759:E$2)))))</f>
        <v> </v>
      </c>
      <c r="J1760" s="25" t="str">
        <f>IF(OR(E1760="",E1760="!!!",F1760="NEW"),"",COUNTBLANK(OFFSET(A$1,,,SUMPRODUCT(MAX(ROW(E$2:E1760)*(E1760=E$2:E1760)))))-COUNTBLANK(OFFSET(A$1,,,SUMPRODUCT(MAX(ROW(E$1:E1759)*(E2=E$1:E1759))))))</f>
        <v> </v>
      </c>
      <c r="K1760" s="25" t="str">
        <f>IF(OR(E1760="",E1760="!!!",F1760="NEW"),"",INDEX(J$1:J1759,SUMPRODUCT(MAX(ROW(E$1:E1759)*(E1760=E$1:E1759)))))</f>
        <v> </v>
      </c>
      <c r="L1760" s="26"/>
    </row>
    <row r="1761" spans="1:12">
      <c r="A1761" s="20" t="s">
        <v>699</v>
      </c>
      <c r="E1761" s="21">
        <f>IF(D1761="?OLD","!!!","")</f>
        <v/>
      </c>
      <c r="F1761" s="22" t="str">
        <f>IF(OR(E1761="",E1761="!!!"),"",IF(NOT(ISNA(VLOOKUP(E1761,E$1:E1760,1,FALSE()))),"OLD",IF(AND(E1761&lt;&gt;"",E1761&lt;&gt;"!!!"),"NEW","")))</f>
        <v> </v>
      </c>
      <c r="G1761" s="23" t="str">
        <f>IF(OR(E1761="",E1761="!!!"),"",IF(OR(J1761=0,AND(J1761=1,K1761=1),AND(J1761=1,I1761="SBJ"),AND(J1761=1,I1761=0)),"?IN_FOCUS",IF(J1761&lt;=2,"?ACTIVATED",IF(J1761&lt;&gt;"","?FAMILIAR",IF(F1761="NEW",IF(ISNA(VLOOKUP(E1761,#REF!,1,FALSE())),"?TYPE_IDENTIFIABLE","?REFERENTIAL"),"_")))))</f>
        <v> </v>
      </c>
      <c r="H1761" s="24" t="str">
        <f>IF(J1761&lt;&gt;1,"",IF(I1761="SBJ","CB","?"))</f>
        <v> </v>
      </c>
      <c r="I1761" s="25" t="str">
        <f>IF(OR(E1761="",E1761="!!!",F1761="NEW"),"",INDEX(B1760:B$2,-1+SUMPRODUCT(MAX(ROW(E1760:E$2)*(E1761=E1760:E$2)))))</f>
        <v> </v>
      </c>
      <c r="J1761" s="25" t="str">
        <f>IF(OR(E1761="",E1761="!!!",F1761="NEW"),"",COUNTBLANK(OFFSET(A$1,,,SUMPRODUCT(MAX(ROW(E$2:E1761)*(E1761=E$2:E1761)))))-COUNTBLANK(OFFSET(A$1,,,SUMPRODUCT(MAX(ROW(E$1:E1760)*(E2=E$1:E1760))))))</f>
        <v> </v>
      </c>
      <c r="K1761" s="25" t="str">
        <f>IF(OR(E1761="",E1761="!!!",F1761="NEW"),"",INDEX(J$1:J1760,SUMPRODUCT(MAX(ROW(E$1:E1760)*(E1761=E$1:E1760)))))</f>
        <v> </v>
      </c>
      <c r="L1761" s="26"/>
    </row>
    <row r="1762" spans="1:12">
      <c r="A1762" s="20" t="s">
        <v>1072</v>
      </c>
      <c r="E1762" s="21">
        <f>IF(D1762="?OLD","!!!","")</f>
        <v/>
      </c>
      <c r="F1762" s="22" t="str">
        <f>IF(OR(E1762="",E1762="!!!"),"",IF(NOT(ISNA(VLOOKUP(E1762,E$1:E1761,1,FALSE()))),"OLD",IF(AND(E1762&lt;&gt;"",E1762&lt;&gt;"!!!"),"NEW","")))</f>
        <v> </v>
      </c>
      <c r="G1762" s="23" t="str">
        <f>IF(OR(E1762="",E1762="!!!"),"",IF(OR(J1762=0,AND(J1762=1,K1762=1),AND(J1762=1,I1762="SBJ"),AND(J1762=1,I1762=0)),"?IN_FOCUS",IF(J1762&lt;=2,"?ACTIVATED",IF(J1762&lt;&gt;"","?FAMILIAR",IF(F1762="NEW",IF(ISNA(VLOOKUP(E1762,#REF!,1,FALSE())),"?TYPE_IDENTIFIABLE","?REFERENTIAL"),"_")))))</f>
        <v> </v>
      </c>
      <c r="H1762" s="24" t="str">
        <f>IF(J1762&lt;&gt;1,"",IF(I1762="SBJ","CB","?"))</f>
        <v> </v>
      </c>
      <c r="I1762" s="25" t="str">
        <f>IF(OR(E1762="",E1762="!!!",F1762="NEW"),"",INDEX(B1761:B$2,-1+SUMPRODUCT(MAX(ROW(E1761:E$2)*(E1762=E1761:E$2)))))</f>
        <v> </v>
      </c>
      <c r="J1762" s="25" t="str">
        <f>IF(OR(E1762="",E1762="!!!",F1762="NEW"),"",COUNTBLANK(OFFSET(A$1,,,SUMPRODUCT(MAX(ROW(E$2:E1762)*(E1762=E$2:E1762)))))-COUNTBLANK(OFFSET(A$1,,,SUMPRODUCT(MAX(ROW(E$1:E1761)*(E2=E$1:E1761))))))</f>
        <v> </v>
      </c>
      <c r="K1762" s="25" t="str">
        <f>IF(OR(E1762="",E1762="!!!",F1762="NEW"),"",INDEX(J$1:J1761,SUMPRODUCT(MAX(ROW(E$1:E1761)*(E1762=E$1:E1761)))))</f>
        <v> </v>
      </c>
      <c r="L1762" s="26"/>
    </row>
    <row r="1763" spans="1:12">
      <c r="A1763" s="20" t="s">
        <v>700</v>
      </c>
      <c r="B1763" s="27" t="s">
        <v>668</v>
      </c>
      <c r="C1763" s="27" t="s">
        <v>626</v>
      </c>
      <c r="E1763" s="21">
        <f>IF(D1763="?OLD","!!!","")</f>
        <v/>
      </c>
      <c r="F1763" s="22" t="str">
        <f>IF(OR(E1763="",E1763="!!!"),"",IF(NOT(ISNA(VLOOKUP(E1763,E$1:E1762,1,FALSE()))),"OLD",IF(AND(E1763&lt;&gt;"",E1763&lt;&gt;"!!!"),"NEW","")))</f>
        <v> </v>
      </c>
      <c r="G1763" s="23" t="str">
        <f>IF(OR(E1763="",E1763="!!!"),"",IF(OR(J1763=0,AND(J1763=1,K1763=1),AND(J1763=1,I1763="SBJ"),AND(J1763=1,I1763=0)),"?IN_FOCUS",IF(J1763&lt;=2,"?ACTIVATED",IF(J1763&lt;&gt;"","?FAMILIAR",IF(F1763="NEW",IF(ISNA(VLOOKUP(E1763,#REF!,1,FALSE())),"?TYPE_IDENTIFIABLE","?REFERENTIAL"),"_")))))</f>
        <v> </v>
      </c>
      <c r="H1763" s="24" t="str">
        <f>IF(J1763&lt;&gt;1,"",IF(I1763="SBJ","CB","?"))</f>
        <v> </v>
      </c>
      <c r="I1763" s="25" t="str">
        <f>IF(OR(E1763="",E1763="!!!",F1763="NEW"),"",INDEX(B1762:B$2,-1+SUMPRODUCT(MAX(ROW(E1762:E$2)*(E1763=E1762:E$2)))))</f>
        <v> </v>
      </c>
      <c r="J1763" s="25" t="str">
        <f>IF(OR(E1763="",E1763="!!!",F1763="NEW"),"",COUNTBLANK(OFFSET(A$1,,,SUMPRODUCT(MAX(ROW(E$2:E1763)*(E1763=E$2:E1763)))))-COUNTBLANK(OFFSET(A$1,,,SUMPRODUCT(MAX(ROW(E$1:E1762)*(E2=E$1:E1762))))))</f>
        <v> </v>
      </c>
      <c r="K1763" s="25" t="str">
        <f>IF(OR(E1763="",E1763="!!!",F1763="NEW"),"",INDEX(J$1:J1762,SUMPRODUCT(MAX(ROW(E$1:E1762)*(E1763=E$1:E1762)))))</f>
        <v> </v>
      </c>
      <c r="L1763" s="26"/>
    </row>
    <row r="1764" spans="1:12">
      <c r="A1764" s="20" t="s">
        <v>807</v>
      </c>
      <c r="B1764" s="27" t="s">
        <v>668</v>
      </c>
      <c r="C1764" s="27" t="s">
        <v>652</v>
      </c>
      <c r="D1764" s="27" t="s">
        <v>608</v>
      </c>
      <c r="E1764" s="21">
        <f>IF(D1764="?OLD","!!!","")</f>
        <v/>
      </c>
      <c r="F1764" s="22" t="str">
        <f>IF(OR(E1764="",E1764="!!!"),"",IF(NOT(ISNA(VLOOKUP(E1764,E$1:E1763,1,FALSE()))),"OLD",IF(AND(E1764&lt;&gt;"",E1764&lt;&gt;"!!!"),"NEW","")))</f>
        <v> </v>
      </c>
      <c r="G1764" s="23" t="str">
        <f>IF(OR(E1764="",E1764="!!!"),"",IF(OR(J1764=0,AND(J1764=1,K1764=1),AND(J1764=1,I1764="SBJ"),AND(J1764=1,I1764=0)),"?IN_FOCUS",IF(J1764&lt;=2,"?ACTIVATED",IF(J1764&lt;&gt;"","?FAMILIAR",IF(F1764="NEW",IF(ISNA(VLOOKUP(E1764,#REF!,1,FALSE())),"?TYPE_IDENTIFIABLE","?REFERENTIAL"),"_")))))</f>
        <v> </v>
      </c>
      <c r="H1764" s="24" t="str">
        <f>IF(J1764&lt;&gt;1,"",IF(I1764="SBJ","CB","?"))</f>
        <v> </v>
      </c>
      <c r="I1764" s="25" t="str">
        <f>IF(OR(E1764="",E1764="!!!",F1764="NEW"),"",INDEX(B1763:B$2,-1+SUMPRODUCT(MAX(ROW(E1763:E$2)*(E1764=E1763:E$2)))))</f>
        <v> </v>
      </c>
      <c r="J1764" s="25" t="str">
        <f>IF(OR(E1764="",E1764="!!!",F1764="NEW"),"",COUNTBLANK(OFFSET(A$1,,,SUMPRODUCT(MAX(ROW(E$2:E1764)*(E1764=E$2:E1764)))))-COUNTBLANK(OFFSET(A$1,,,SUMPRODUCT(MAX(ROW(E$1:E1763)*(E2=E$1:E1763))))))</f>
        <v> </v>
      </c>
      <c r="K1764" s="25" t="str">
        <f>IF(OR(E1764="",E1764="!!!",F1764="NEW"),"",INDEX(J$1:J1763,SUMPRODUCT(MAX(ROW(E$1:E1763)*(E1764=E$1:E1763)))))</f>
        <v> </v>
      </c>
      <c r="L1764" s="26"/>
    </row>
    <row r="1765" spans="1:12">
      <c r="A1765" s="20" t="s">
        <v>1201</v>
      </c>
      <c r="E1765" s="21">
        <f>IF(D1765="?OLD","!!!","")</f>
        <v/>
      </c>
      <c r="F1765" s="22" t="str">
        <f>IF(OR(E1765="",E1765="!!!"),"",IF(NOT(ISNA(VLOOKUP(E1765,E$1:E1764,1,FALSE()))),"OLD",IF(AND(E1765&lt;&gt;"",E1765&lt;&gt;"!!!"),"NEW","")))</f>
        <v> </v>
      </c>
      <c r="G1765" s="23" t="str">
        <f>IF(OR(E1765="",E1765="!!!"),"",IF(OR(J1765=0,AND(J1765=1,K1765=1),AND(J1765=1,I1765="SBJ"),AND(J1765=1,I1765=0)),"?IN_FOCUS",IF(J1765&lt;=2,"?ACTIVATED",IF(J1765&lt;&gt;"","?FAMILIAR",IF(F1765="NEW",IF(ISNA(VLOOKUP(E1765,#REF!,1,FALSE())),"?TYPE_IDENTIFIABLE","?REFERENTIAL"),"_")))))</f>
        <v> </v>
      </c>
      <c r="H1765" s="24" t="str">
        <f>IF(J1765&lt;&gt;1,"",IF(I1765="SBJ","CB","?"))</f>
        <v> </v>
      </c>
      <c r="I1765" s="25" t="str">
        <f>IF(OR(E1765="",E1765="!!!",F1765="NEW"),"",INDEX(B1764:B$2,-1+SUMPRODUCT(MAX(ROW(E1764:E$2)*(E1765=E1764:E$2)))))</f>
        <v> </v>
      </c>
      <c r="J1765" s="25" t="str">
        <f>IF(OR(E1765="",E1765="!!!",F1765="NEW"),"",COUNTBLANK(OFFSET(A$1,,,SUMPRODUCT(MAX(ROW(E$2:E1765)*(E1765=E$2:E1765)))))-COUNTBLANK(OFFSET(A$1,,,SUMPRODUCT(MAX(ROW(E$1:E1764)*(E2=E$1:E1764))))))</f>
        <v> </v>
      </c>
      <c r="K1765" s="25" t="str">
        <f>IF(OR(E1765="",E1765="!!!",F1765="NEW"),"",INDEX(J$1:J1764,SUMPRODUCT(MAX(ROW(E$1:E1764)*(E1765=E$1:E1764)))))</f>
        <v> </v>
      </c>
      <c r="L1765" s="26"/>
    </row>
    <row r="1766" spans="1:12">
      <c r="A1766" s="20" t="s">
        <v>617</v>
      </c>
      <c r="E1766" s="21">
        <f>IF(D1766="?OLD","!!!","")</f>
        <v/>
      </c>
      <c r="F1766" s="22" t="str">
        <f>IF(OR(E1766="",E1766="!!!"),"",IF(NOT(ISNA(VLOOKUP(E1766,E$1:E1765,1,FALSE()))),"OLD",IF(AND(E1766&lt;&gt;"",E1766&lt;&gt;"!!!"),"NEW","")))</f>
        <v> </v>
      </c>
      <c r="G1766" s="23" t="str">
        <f>IF(OR(E1766="",E1766="!!!"),"",IF(OR(J1766=0,AND(J1766=1,K1766=1),AND(J1766=1,I1766="SBJ"),AND(J1766=1,I1766=0)),"?IN_FOCUS",IF(J1766&lt;=2,"?ACTIVATED",IF(J1766&lt;&gt;"","?FAMILIAR",IF(F1766="NEW",IF(ISNA(VLOOKUP(E1766,#REF!,1,FALSE())),"?TYPE_IDENTIFIABLE","?REFERENTIAL"),"_")))))</f>
        <v> </v>
      </c>
      <c r="H1766" s="24" t="str">
        <f>IF(J1766&lt;&gt;1,"",IF(I1766="SBJ","CB","?"))</f>
        <v> </v>
      </c>
      <c r="I1766" s="25" t="str">
        <f>IF(OR(E1766="",E1766="!!!",F1766="NEW"),"",INDEX(B1765:B$2,-1+SUMPRODUCT(MAX(ROW(E1765:E$2)*(E1766=E1765:E$2)))))</f>
        <v> </v>
      </c>
      <c r="J1766" s="25" t="str">
        <f>IF(OR(E1766="",E1766="!!!",F1766="NEW"),"",COUNTBLANK(OFFSET(A$1,,,SUMPRODUCT(MAX(ROW(E$2:E1766)*(E1766=E$2:E1766)))))-COUNTBLANK(OFFSET(A$1,,,SUMPRODUCT(MAX(ROW(E$1:E1765)*(E2=E$1:E1765))))))</f>
        <v> </v>
      </c>
      <c r="K1766" s="25" t="str">
        <f>IF(OR(E1766="",E1766="!!!",F1766="NEW"),"",INDEX(J$1:J1765,SUMPRODUCT(MAX(ROW(E$1:E1765)*(E1766=E$1:E1765)))))</f>
        <v> </v>
      </c>
      <c r="L1766" s="26"/>
    </row>
    <row r="1767" spans="1:12">
      <c r="A1767" s="20" t="s">
        <v>663</v>
      </c>
      <c r="B1767" s="27" t="s">
        <v>670</v>
      </c>
      <c r="C1767" s="27" t="s">
        <v>626</v>
      </c>
      <c r="E1767" s="21">
        <f>IF(D1767="?OLD","!!!","")</f>
        <v/>
      </c>
      <c r="F1767" s="22" t="str">
        <f>IF(OR(E1767="",E1767="!!!"),"",IF(NOT(ISNA(VLOOKUP(E1767,E$1:E1766,1,FALSE()))),"OLD",IF(AND(E1767&lt;&gt;"",E1767&lt;&gt;"!!!"),"NEW","")))</f>
        <v> </v>
      </c>
      <c r="G1767" s="23" t="str">
        <f>IF(OR(E1767="",E1767="!!!"),"",IF(OR(J1767=0,AND(J1767=1,K1767=1),AND(J1767=1,I1767="SBJ"),AND(J1767=1,I1767=0)),"?IN_FOCUS",IF(J1767&lt;=2,"?ACTIVATED",IF(J1767&lt;&gt;"","?FAMILIAR",IF(F1767="NEW",IF(ISNA(VLOOKUP(E1767,#REF!,1,FALSE())),"?TYPE_IDENTIFIABLE","?REFERENTIAL"),"_")))))</f>
        <v> </v>
      </c>
      <c r="H1767" s="24" t="str">
        <f>IF(J1767&lt;&gt;1,"",IF(I1767="SBJ","CB","?"))</f>
        <v> </v>
      </c>
      <c r="I1767" s="25" t="str">
        <f>IF(OR(E1767="",E1767="!!!",F1767="NEW"),"",INDEX(B1766:B$2,-1+SUMPRODUCT(MAX(ROW(E1766:E$2)*(E1767=E1766:E$2)))))</f>
        <v> </v>
      </c>
      <c r="J1767" s="25" t="str">
        <f>IF(OR(E1767="",E1767="!!!",F1767="NEW"),"",COUNTBLANK(OFFSET(A$1,,,SUMPRODUCT(MAX(ROW(E$2:E1767)*(E1767=E$2:E1767)))))-COUNTBLANK(OFFSET(A$1,,,SUMPRODUCT(MAX(ROW(E$1:E1766)*(E2=E$1:E1766))))))</f>
        <v> </v>
      </c>
      <c r="K1767" s="25" t="str">
        <f>IF(OR(E1767="",E1767="!!!",F1767="NEW"),"",INDEX(J$1:J1766,SUMPRODUCT(MAX(ROW(E$1:E1766)*(E1767=E$1:E1766)))))</f>
        <v> </v>
      </c>
      <c r="L1767" s="26"/>
    </row>
    <row r="1768" spans="1:12">
      <c r="A1768" s="20" t="s">
        <v>603</v>
      </c>
      <c r="E1768" s="21">
        <f>IF(D1768="?OLD","!!!","")</f>
        <v/>
      </c>
      <c r="F1768" s="22" t="str">
        <f>IF(OR(E1768="",E1768="!!!"),"",IF(NOT(ISNA(VLOOKUP(E1768,E$1:E1767,1,FALSE()))),"OLD",IF(AND(E1768&lt;&gt;"",E1768&lt;&gt;"!!!"),"NEW","")))</f>
        <v> </v>
      </c>
      <c r="G1768" s="23" t="str">
        <f>IF(OR(E1768="",E1768="!!!"),"",IF(OR(J1768=0,AND(J1768=1,K1768=1),AND(J1768=1,I1768="SBJ"),AND(J1768=1,I1768=0)),"?IN_FOCUS",IF(J1768&lt;=2,"?ACTIVATED",IF(J1768&lt;&gt;"","?FAMILIAR",IF(F1768="NEW",IF(ISNA(VLOOKUP(E1768,#REF!,1,FALSE())),"?TYPE_IDENTIFIABLE","?REFERENTIAL"),"_")))))</f>
        <v> </v>
      </c>
      <c r="H1768" s="24" t="str">
        <f>IF(J1768&lt;&gt;1,"",IF(I1768="SBJ","CB","?"))</f>
        <v> </v>
      </c>
      <c r="I1768" s="25" t="str">
        <f>IF(OR(E1768="",E1768="!!!",F1768="NEW"),"",INDEX(B1767:B$2,-1+SUMPRODUCT(MAX(ROW(E1767:E$2)*(E1768=E1767:E$2)))))</f>
        <v> </v>
      </c>
      <c r="J1768" s="25" t="str">
        <f>IF(OR(E1768="",E1768="!!!",F1768="NEW"),"",COUNTBLANK(OFFSET(A$1,,,SUMPRODUCT(MAX(ROW(E$2:E1768)*(E1768=E$2:E1768)))))-COUNTBLANK(OFFSET(A$1,,,SUMPRODUCT(MAX(ROW(E$1:E1767)*(E2=E$1:E1767))))))</f>
        <v> </v>
      </c>
      <c r="K1768" s="25" t="str">
        <f>IF(OR(E1768="",E1768="!!!",F1768="NEW"),"",INDEX(J$1:J1767,SUMPRODUCT(MAX(ROW(E$1:E1767)*(E1768=E$1:E1767)))))</f>
        <v> </v>
      </c>
      <c r="L1768" s="26"/>
    </row>
    <row r="1769" spans="1:12">
      <c r="A1769" s="20" t="s">
        <v>1299</v>
      </c>
      <c r="B1769" s="27" t="s">
        <v>664</v>
      </c>
      <c r="C1769" s="27" t="s">
        <v>607</v>
      </c>
      <c r="D1769" s="27" t="s">
        <v>608</v>
      </c>
      <c r="E1769" s="21">
        <f>IF(D1769="?OLD","!!!","")</f>
        <v/>
      </c>
      <c r="F1769" s="22" t="str">
        <f>IF(OR(E1769="",E1769="!!!"),"",IF(NOT(ISNA(VLOOKUP(E1769,E$1:E1768,1,FALSE()))),"OLD",IF(AND(E1769&lt;&gt;"",E1769&lt;&gt;"!!!"),"NEW","")))</f>
        <v> </v>
      </c>
      <c r="G1769" s="23" t="str">
        <f>IF(OR(E1769="",E1769="!!!"),"",IF(OR(J1769=0,AND(J1769=1,K1769=1),AND(J1769=1,I1769="SBJ"),AND(J1769=1,I1769=0)),"?IN_FOCUS",IF(J1769&lt;=2,"?ACTIVATED",IF(J1769&lt;&gt;"","?FAMILIAR",IF(F1769="NEW",IF(ISNA(VLOOKUP(E1769,#REF!,1,FALSE())),"?TYPE_IDENTIFIABLE","?REFERENTIAL"),"_")))))</f>
        <v> </v>
      </c>
      <c r="H1769" s="24" t="str">
        <f>IF(J1769&lt;&gt;1,"",IF(I1769="SBJ","CB","?"))</f>
        <v> </v>
      </c>
      <c r="I1769" s="25" t="str">
        <f>IF(OR(E1769="",E1769="!!!",F1769="NEW"),"",INDEX(B1768:B$2,-1+SUMPRODUCT(MAX(ROW(E1768:E$2)*(E1769=E1768:E$2)))))</f>
        <v> </v>
      </c>
      <c r="J1769" s="25" t="str">
        <f>IF(OR(E1769="",E1769="!!!",F1769="NEW"),"",COUNTBLANK(OFFSET(A$1,,,SUMPRODUCT(MAX(ROW(E$2:E1769)*(E1769=E$2:E1769)))))-COUNTBLANK(OFFSET(A$1,,,SUMPRODUCT(MAX(ROW(E$1:E1768)*(E2=E$1:E1768))))))</f>
        <v> </v>
      </c>
      <c r="K1769" s="25" t="str">
        <f>IF(OR(E1769="",E1769="!!!",F1769="NEW"),"",INDEX(J$1:J1768,SUMPRODUCT(MAX(ROW(E$1:E1768)*(E1769=E$1:E1768)))))</f>
        <v> </v>
      </c>
      <c r="L1769" s="26"/>
    </row>
    <row r="1770" spans="1:12">
      <c r="A1770" s="20" t="s">
        <v>663</v>
      </c>
      <c r="E1770" s="21">
        <f>IF(D1770="?OLD","!!!","")</f>
        <v/>
      </c>
      <c r="F1770" s="22" t="str">
        <f>IF(OR(E1770="",E1770="!!!"),"",IF(NOT(ISNA(VLOOKUP(E1770,E$1:E1769,1,FALSE()))),"OLD",IF(AND(E1770&lt;&gt;"",E1770&lt;&gt;"!!!"),"NEW","")))</f>
        <v> </v>
      </c>
      <c r="G1770" s="23" t="str">
        <f>IF(OR(E1770="",E1770="!!!"),"",IF(OR(J1770=0,AND(J1770=1,K1770=1),AND(J1770=1,I1770="SBJ"),AND(J1770=1,I1770=0)),"?IN_FOCUS",IF(J1770&lt;=2,"?ACTIVATED",IF(J1770&lt;&gt;"","?FAMILIAR",IF(F1770="NEW",IF(ISNA(VLOOKUP(E1770,#REF!,1,FALSE())),"?TYPE_IDENTIFIABLE","?REFERENTIAL"),"_")))))</f>
        <v> </v>
      </c>
      <c r="H1770" s="24" t="str">
        <f>IF(J1770&lt;&gt;1,"",IF(I1770="SBJ","CB","?"))</f>
        <v> </v>
      </c>
      <c r="I1770" s="25" t="str">
        <f>IF(OR(E1770="",E1770="!!!",F1770="NEW"),"",INDEX(B1769:B$2,-1+SUMPRODUCT(MAX(ROW(E1769:E$2)*(E1770=E1769:E$2)))))</f>
        <v> </v>
      </c>
      <c r="J1770" s="25" t="str">
        <f>IF(OR(E1770="",E1770="!!!",F1770="NEW"),"",COUNTBLANK(OFFSET(A$1,,,SUMPRODUCT(MAX(ROW(E$2:E1770)*(E1770=E$2:E1770)))))-COUNTBLANK(OFFSET(A$1,,,SUMPRODUCT(MAX(ROW(E$1:E1769)*(E2=E$1:E1769))))))</f>
        <v> </v>
      </c>
      <c r="K1770" s="25" t="str">
        <f>IF(OR(E1770="",E1770="!!!",F1770="NEW"),"",INDEX(J$1:J1769,SUMPRODUCT(MAX(ROW(E$1:E1769)*(E1770=E$1:E1769)))))</f>
        <v> </v>
      </c>
      <c r="L1770" s="26"/>
    </row>
    <row r="1771" spans="1:12">
      <c r="A1771" s="20" t="s">
        <v>1300</v>
      </c>
      <c r="E1771" s="21">
        <f>IF(D1771="?OLD","!!!","")</f>
        <v/>
      </c>
      <c r="F1771" s="22" t="str">
        <f>IF(OR(E1771="",E1771="!!!"),"",IF(NOT(ISNA(VLOOKUP(E1771,E$1:E1770,1,FALSE()))),"OLD",IF(AND(E1771&lt;&gt;"",E1771&lt;&gt;"!!!"),"NEW","")))</f>
        <v> </v>
      </c>
      <c r="G1771" s="23" t="str">
        <f>IF(OR(E1771="",E1771="!!!"),"",IF(OR(J1771=0,AND(J1771=1,K1771=1),AND(J1771=1,I1771="SBJ"),AND(J1771=1,I1771=0)),"?IN_FOCUS",IF(J1771&lt;=2,"?ACTIVATED",IF(J1771&lt;&gt;"","?FAMILIAR",IF(F1771="NEW",IF(ISNA(VLOOKUP(E1771,#REF!,1,FALSE())),"?TYPE_IDENTIFIABLE","?REFERENTIAL"),"_")))))</f>
        <v> </v>
      </c>
      <c r="H1771" s="24" t="str">
        <f>IF(J1771&lt;&gt;1,"",IF(I1771="SBJ","CB","?"))</f>
        <v> </v>
      </c>
      <c r="I1771" s="25" t="str">
        <f>IF(OR(E1771="",E1771="!!!",F1771="NEW"),"",INDEX(B1770:B$2,-1+SUMPRODUCT(MAX(ROW(E1770:E$2)*(E1771=E1770:E$2)))))</f>
        <v> </v>
      </c>
      <c r="J1771" s="25" t="str">
        <f>IF(OR(E1771="",E1771="!!!",F1771="NEW"),"",COUNTBLANK(OFFSET(A$1,,,SUMPRODUCT(MAX(ROW(E$2:E1771)*(E1771=E$2:E1771)))))-COUNTBLANK(OFFSET(A$1,,,SUMPRODUCT(MAX(ROW(E$1:E1770)*(E2=E$1:E1770))))))</f>
        <v> </v>
      </c>
      <c r="K1771" s="25" t="str">
        <f>IF(OR(E1771="",E1771="!!!",F1771="NEW"),"",INDEX(J$1:J1770,SUMPRODUCT(MAX(ROW(E$1:E1770)*(E1771=E$1:E1770)))))</f>
        <v> </v>
      </c>
      <c r="L1771" s="26"/>
    </row>
    <row r="1772" spans="1:12">
      <c r="A1772" s="20" t="s">
        <v>617</v>
      </c>
      <c r="E1772" s="21">
        <f>IF(D1772="?OLD","!!!","")</f>
        <v/>
      </c>
      <c r="F1772" s="22" t="str">
        <f>IF(OR(E1772="",E1772="!!!"),"",IF(NOT(ISNA(VLOOKUP(E1772,E$1:E1771,1,FALSE()))),"OLD",IF(AND(E1772&lt;&gt;"",E1772&lt;&gt;"!!!"),"NEW","")))</f>
        <v> </v>
      </c>
      <c r="G1772" s="23" t="str">
        <f>IF(OR(E1772="",E1772="!!!"),"",IF(OR(J1772=0,AND(J1772=1,K1772=1),AND(J1772=1,I1772="SBJ"),AND(J1772=1,I1772=0)),"?IN_FOCUS",IF(J1772&lt;=2,"?ACTIVATED",IF(J1772&lt;&gt;"","?FAMILIAR",IF(F1772="NEW",IF(ISNA(VLOOKUP(E1772,#REF!,1,FALSE())),"?TYPE_IDENTIFIABLE","?REFERENTIAL"),"_")))))</f>
        <v> </v>
      </c>
      <c r="H1772" s="24" t="str">
        <f>IF(J1772&lt;&gt;1,"",IF(I1772="SBJ","CB","?"))</f>
        <v> </v>
      </c>
      <c r="I1772" s="25" t="str">
        <f>IF(OR(E1772="",E1772="!!!",F1772="NEW"),"",INDEX(B1771:B$2,-1+SUMPRODUCT(MAX(ROW(E1771:E$2)*(E1772=E1771:E$2)))))</f>
        <v> </v>
      </c>
      <c r="J1772" s="25" t="str">
        <f>IF(OR(E1772="",E1772="!!!",F1772="NEW"),"",COUNTBLANK(OFFSET(A$1,,,SUMPRODUCT(MAX(ROW(E$2:E1772)*(E1772=E$2:E1772)))))-COUNTBLANK(OFFSET(A$1,,,SUMPRODUCT(MAX(ROW(E$1:E1771)*(E2=E$1:E1771))))))</f>
        <v> </v>
      </c>
      <c r="K1772" s="25" t="str">
        <f>IF(OR(E1772="",E1772="!!!",F1772="NEW"),"",INDEX(J$1:J1771,SUMPRODUCT(MAX(ROW(E$1:E1771)*(E1772=E$1:E1771)))))</f>
        <v> </v>
      </c>
      <c r="L1772" s="26"/>
    </row>
    <row r="1773" spans="1:12">
      <c r="A1773" s="20" t="s">
        <v>1301</v>
      </c>
      <c r="E1773" s="21">
        <f>IF(D1773="?OLD","!!!","")</f>
        <v/>
      </c>
      <c r="F1773" s="22" t="str">
        <f>IF(OR(E1773="",E1773="!!!"),"",IF(NOT(ISNA(VLOOKUP(E1773,E$1:E1772,1,FALSE()))),"OLD",IF(AND(E1773&lt;&gt;"",E1773&lt;&gt;"!!!"),"NEW","")))</f>
        <v> </v>
      </c>
      <c r="G1773" s="23" t="str">
        <f>IF(OR(E1773="",E1773="!!!"),"",IF(OR(J1773=0,AND(J1773=1,K1773=1),AND(J1773=1,I1773="SBJ"),AND(J1773=1,I1773=0)),"?IN_FOCUS",IF(J1773&lt;=2,"?ACTIVATED",IF(J1773&lt;&gt;"","?FAMILIAR",IF(F1773="NEW",IF(ISNA(VLOOKUP(E1773,#REF!,1,FALSE())),"?TYPE_IDENTIFIABLE","?REFERENTIAL"),"_")))))</f>
        <v> </v>
      </c>
      <c r="H1773" s="24" t="str">
        <f>IF(J1773&lt;&gt;1,"",IF(I1773="SBJ","CB","?"))</f>
        <v> </v>
      </c>
      <c r="I1773" s="25" t="str">
        <f>IF(OR(E1773="",E1773="!!!",F1773="NEW"),"",INDEX(B1772:B$2,-1+SUMPRODUCT(MAX(ROW(E1772:E$2)*(E1773=E1772:E$2)))))</f>
        <v> </v>
      </c>
      <c r="J1773" s="25" t="str">
        <f>IF(OR(E1773="",E1773="!!!",F1773="NEW"),"",COUNTBLANK(OFFSET(A$1,,,SUMPRODUCT(MAX(ROW(E$2:E1773)*(E1773=E$2:E1773)))))-COUNTBLANK(OFFSET(A$1,,,SUMPRODUCT(MAX(ROW(E$1:E1772)*(E2=E$1:E1772))))))</f>
        <v> </v>
      </c>
      <c r="K1773" s="25" t="str">
        <f>IF(OR(E1773="",E1773="!!!",F1773="NEW"),"",INDEX(J$1:J1772,SUMPRODUCT(MAX(ROW(E$1:E1772)*(E1773=E$1:E1772)))))</f>
        <v> </v>
      </c>
      <c r="L1773" s="26"/>
    </row>
    <row r="1774" spans="1:12">
      <c r="A1774" s="20" t="s">
        <v>663</v>
      </c>
      <c r="E1774" s="21">
        <f>IF(D1774="?OLD","!!!","")</f>
        <v/>
      </c>
      <c r="F1774" s="22" t="str">
        <f>IF(OR(E1774="",E1774="!!!"),"",IF(NOT(ISNA(VLOOKUP(E1774,E$1:E1773,1,FALSE()))),"OLD",IF(AND(E1774&lt;&gt;"",E1774&lt;&gt;"!!!"),"NEW","")))</f>
        <v> </v>
      </c>
      <c r="G1774" s="23" t="str">
        <f>IF(OR(E1774="",E1774="!!!"),"",IF(OR(J1774=0,AND(J1774=1,K1774=1),AND(J1774=1,I1774="SBJ"),AND(J1774=1,I1774=0)),"?IN_FOCUS",IF(J1774&lt;=2,"?ACTIVATED",IF(J1774&lt;&gt;"","?FAMILIAR",IF(F1774="NEW",IF(ISNA(VLOOKUP(E1774,#REF!,1,FALSE())),"?TYPE_IDENTIFIABLE","?REFERENTIAL"),"_")))))</f>
        <v> </v>
      </c>
      <c r="H1774" s="24" t="str">
        <f>IF(J1774&lt;&gt;1,"",IF(I1774="SBJ","CB","?"))</f>
        <v> </v>
      </c>
      <c r="I1774" s="25" t="str">
        <f>IF(OR(E1774="",E1774="!!!",F1774="NEW"),"",INDEX(B1773:B$2,-1+SUMPRODUCT(MAX(ROW(E1773:E$2)*(E1774=E1773:E$2)))))</f>
        <v> </v>
      </c>
      <c r="J1774" s="25" t="str">
        <f>IF(OR(E1774="",E1774="!!!",F1774="NEW"),"",COUNTBLANK(OFFSET(A$1,,,SUMPRODUCT(MAX(ROW(E$2:E1774)*(E1774=E$2:E1774)))))-COUNTBLANK(OFFSET(A$1,,,SUMPRODUCT(MAX(ROW(E$1:E1773)*(E2=E$1:E1773))))))</f>
        <v> </v>
      </c>
      <c r="K1774" s="25" t="str">
        <f>IF(OR(E1774="",E1774="!!!",F1774="NEW"),"",INDEX(J$1:J1773,SUMPRODUCT(MAX(ROW(E$1:E1773)*(E1774=E$1:E1773)))))</f>
        <v> </v>
      </c>
      <c r="L1774" s="26"/>
    </row>
    <row r="1775" spans="1:12">
      <c r="A1775" s="20" t="s">
        <v>755</v>
      </c>
      <c r="E1775" s="21">
        <f>IF(D1775="?OLD","!!!","")</f>
        <v/>
      </c>
      <c r="F1775" s="22" t="str">
        <f>IF(OR(E1775="",E1775="!!!"),"",IF(NOT(ISNA(VLOOKUP(E1775,E$1:E1774,1,FALSE()))),"OLD",IF(AND(E1775&lt;&gt;"",E1775&lt;&gt;"!!!"),"NEW","")))</f>
        <v> </v>
      </c>
      <c r="G1775" s="23" t="str">
        <f>IF(OR(E1775="",E1775="!!!"),"",IF(OR(J1775=0,AND(J1775=1,K1775=1),AND(J1775=1,I1775="SBJ"),AND(J1775=1,I1775=0)),"?IN_FOCUS",IF(J1775&lt;=2,"?ACTIVATED",IF(J1775&lt;&gt;"","?FAMILIAR",IF(F1775="NEW",IF(ISNA(VLOOKUP(E1775,#REF!,1,FALSE())),"?TYPE_IDENTIFIABLE","?REFERENTIAL"),"_")))))</f>
        <v> </v>
      </c>
      <c r="H1775" s="24" t="str">
        <f>IF(J1775&lt;&gt;1,"",IF(I1775="SBJ","CB","?"))</f>
        <v> </v>
      </c>
      <c r="I1775" s="25" t="str">
        <f>IF(OR(E1775="",E1775="!!!",F1775="NEW"),"",INDEX(B1774:B$2,-1+SUMPRODUCT(MAX(ROW(E1774:E$2)*(E1775=E1774:E$2)))))</f>
        <v> </v>
      </c>
      <c r="J1775" s="25" t="str">
        <f>IF(OR(E1775="",E1775="!!!",F1775="NEW"),"",COUNTBLANK(OFFSET(A$1,,,SUMPRODUCT(MAX(ROW(E$2:E1775)*(E1775=E$2:E1775)))))-COUNTBLANK(OFFSET(A$1,,,SUMPRODUCT(MAX(ROW(E$1:E1774)*(E2=E$1:E1774))))))</f>
        <v> </v>
      </c>
      <c r="K1775" s="25" t="str">
        <f>IF(OR(E1775="",E1775="!!!",F1775="NEW"),"",INDEX(J$1:J1774,SUMPRODUCT(MAX(ROW(E$1:E1774)*(E1775=E$1:E1774)))))</f>
        <v> </v>
      </c>
      <c r="L1775" s="26"/>
    </row>
    <row r="1776" spans="1:12">
      <c r="A1776" s="20" t="s">
        <v>617</v>
      </c>
      <c r="E1776" s="21">
        <f>IF(D1776="?OLD","!!!","")</f>
        <v/>
      </c>
      <c r="F1776" s="22" t="str">
        <f>IF(OR(E1776="",E1776="!!!"),"",IF(NOT(ISNA(VLOOKUP(E1776,E$1:E1775,1,FALSE()))),"OLD",IF(AND(E1776&lt;&gt;"",E1776&lt;&gt;"!!!"),"NEW","")))</f>
        <v> </v>
      </c>
      <c r="G1776" s="23" t="str">
        <f>IF(OR(E1776="",E1776="!!!"),"",IF(OR(J1776=0,AND(J1776=1,K1776=1),AND(J1776=1,I1776="SBJ"),AND(J1776=1,I1776=0)),"?IN_FOCUS",IF(J1776&lt;=2,"?ACTIVATED",IF(J1776&lt;&gt;"","?FAMILIAR",IF(F1776="NEW",IF(ISNA(VLOOKUP(E1776,#REF!,1,FALSE())),"?TYPE_IDENTIFIABLE","?REFERENTIAL"),"_")))))</f>
        <v> </v>
      </c>
      <c r="H1776" s="24" t="str">
        <f>IF(J1776&lt;&gt;1,"",IF(I1776="SBJ","CB","?"))</f>
        <v> </v>
      </c>
      <c r="I1776" s="25" t="str">
        <f>IF(OR(E1776="",E1776="!!!",F1776="NEW"),"",INDEX(B1775:B$2,-1+SUMPRODUCT(MAX(ROW(E1775:E$2)*(E1776=E1775:E$2)))))</f>
        <v> </v>
      </c>
      <c r="J1776" s="25" t="str">
        <f>IF(OR(E1776="",E1776="!!!",F1776="NEW"),"",COUNTBLANK(OFFSET(A$1,,,SUMPRODUCT(MAX(ROW(E$2:E1776)*(E1776=E$2:E1776)))))-COUNTBLANK(OFFSET(A$1,,,SUMPRODUCT(MAX(ROW(E$1:E1775)*(E2=E$1:E1775))))))</f>
        <v> </v>
      </c>
      <c r="K1776" s="25" t="str">
        <f>IF(OR(E1776="",E1776="!!!",F1776="NEW"),"",INDEX(J$1:J1775,SUMPRODUCT(MAX(ROW(E$1:E1775)*(E1776=E$1:E1775)))))</f>
        <v> </v>
      </c>
      <c r="L1776" s="26"/>
    </row>
    <row r="1777" spans="1:12">
      <c r="A1777" s="20" t="s">
        <v>1302</v>
      </c>
      <c r="E1777" s="21">
        <f>IF(D1777="?OLD","!!!","")</f>
        <v/>
      </c>
      <c r="F1777" s="22" t="str">
        <f>IF(OR(E1777="",E1777="!!!"),"",IF(NOT(ISNA(VLOOKUP(E1777,E$1:E1776,1,FALSE()))),"OLD",IF(AND(E1777&lt;&gt;"",E1777&lt;&gt;"!!!"),"NEW","")))</f>
        <v> </v>
      </c>
      <c r="G1777" s="23" t="str">
        <f>IF(OR(E1777="",E1777="!!!"),"",IF(OR(J1777=0,AND(J1777=1,K1777=1),AND(J1777=1,I1777="SBJ"),AND(J1777=1,I1777=0)),"?IN_FOCUS",IF(J1777&lt;=2,"?ACTIVATED",IF(J1777&lt;&gt;"","?FAMILIAR",IF(F1777="NEW",IF(ISNA(VLOOKUP(E1777,#REF!,1,FALSE())),"?TYPE_IDENTIFIABLE","?REFERENTIAL"),"_")))))</f>
        <v> </v>
      </c>
      <c r="H1777" s="24" t="str">
        <f>IF(J1777&lt;&gt;1,"",IF(I1777="SBJ","CB","?"))</f>
        <v> </v>
      </c>
      <c r="I1777" s="25" t="str">
        <f>IF(OR(E1777="",E1777="!!!",F1777="NEW"),"",INDEX(B1776:B$2,-1+SUMPRODUCT(MAX(ROW(E1776:E$2)*(E1777=E1776:E$2)))))</f>
        <v> </v>
      </c>
      <c r="J1777" s="25" t="str">
        <f>IF(OR(E1777="",E1777="!!!",F1777="NEW"),"",COUNTBLANK(OFFSET(A$1,,,SUMPRODUCT(MAX(ROW(E$2:E1777)*(E1777=E$2:E1777)))))-COUNTBLANK(OFFSET(A$1,,,SUMPRODUCT(MAX(ROW(E$1:E1776)*(E2=E$1:E1776))))))</f>
        <v> </v>
      </c>
      <c r="K1777" s="25" t="str">
        <f>IF(OR(E1777="",E1777="!!!",F1777="NEW"),"",INDEX(J$1:J1776,SUMPRODUCT(MAX(ROW(E$1:E1776)*(E1777=E$1:E1776)))))</f>
        <v> </v>
      </c>
      <c r="L1777" s="26"/>
    </row>
    <row r="1778" spans="1:12">
      <c r="A1778" s="20" t="s">
        <v>1303</v>
      </c>
      <c r="B1778" s="27" t="s">
        <v>1022</v>
      </c>
      <c r="C1778" s="27" t="s">
        <v>894</v>
      </c>
      <c r="E1778" s="21">
        <f>IF(D1778="?OLD","!!!","")</f>
        <v/>
      </c>
      <c r="F1778" s="22" t="str">
        <f>IF(OR(E1778="",E1778="!!!"),"",IF(NOT(ISNA(VLOOKUP(E1778,E$1:E1777,1,FALSE()))),"OLD",IF(AND(E1778&lt;&gt;"",E1778&lt;&gt;"!!!"),"NEW","")))</f>
        <v> </v>
      </c>
      <c r="G1778" s="23" t="str">
        <f>IF(OR(E1778="",E1778="!!!"),"",IF(OR(J1778=0,AND(J1778=1,K1778=1),AND(J1778=1,I1778="SBJ"),AND(J1778=1,I1778=0)),"?IN_FOCUS",IF(J1778&lt;=2,"?ACTIVATED",IF(J1778&lt;&gt;"","?FAMILIAR",IF(F1778="NEW",IF(ISNA(VLOOKUP(E1778,#REF!,1,FALSE())),"?TYPE_IDENTIFIABLE","?REFERENTIAL"),"_")))))</f>
        <v> </v>
      </c>
      <c r="H1778" s="24" t="str">
        <f>IF(J1778&lt;&gt;1,"",IF(I1778="SBJ","CB","?"))</f>
        <v> </v>
      </c>
      <c r="I1778" s="25" t="str">
        <f>IF(OR(E1778="",E1778="!!!",F1778="NEW"),"",INDEX(B1777:B$2,-1+SUMPRODUCT(MAX(ROW(E1777:E$2)*(E1778=E1777:E$2)))))</f>
        <v> </v>
      </c>
      <c r="J1778" s="25" t="str">
        <f>IF(OR(E1778="",E1778="!!!",F1778="NEW"),"",COUNTBLANK(OFFSET(A$1,,,SUMPRODUCT(MAX(ROW(E$2:E1778)*(E1778=E$2:E1778)))))-COUNTBLANK(OFFSET(A$1,,,SUMPRODUCT(MAX(ROW(E$1:E1777)*(E2=E$1:E1777))))))</f>
        <v> </v>
      </c>
      <c r="K1778" s="25" t="str">
        <f>IF(OR(E1778="",E1778="!!!",F1778="NEW"),"",INDEX(J$1:J1777,SUMPRODUCT(MAX(ROW(E$1:E1777)*(E1778=E$1:E1777)))))</f>
        <v> </v>
      </c>
      <c r="L1778" s="26"/>
    </row>
    <row r="1779" spans="1:12">
      <c r="A1779" s="20" t="s">
        <v>663</v>
      </c>
      <c r="E1779" s="21">
        <f>IF(D1779="?OLD","!!!","")</f>
        <v/>
      </c>
      <c r="F1779" s="22" t="str">
        <f>IF(OR(E1779="",E1779="!!!"),"",IF(NOT(ISNA(VLOOKUP(E1779,E$1:E1778,1,FALSE()))),"OLD",IF(AND(E1779&lt;&gt;"",E1779&lt;&gt;"!!!"),"NEW","")))</f>
        <v> </v>
      </c>
      <c r="G1779" s="23" t="str">
        <f>IF(OR(E1779="",E1779="!!!"),"",IF(OR(J1779=0,AND(J1779=1,K1779=1),AND(J1779=1,I1779="SBJ"),AND(J1779=1,I1779=0)),"?IN_FOCUS",IF(J1779&lt;=2,"?ACTIVATED",IF(J1779&lt;&gt;"","?FAMILIAR",IF(F1779="NEW",IF(ISNA(VLOOKUP(E1779,#REF!,1,FALSE())),"?TYPE_IDENTIFIABLE","?REFERENTIAL"),"_")))))</f>
        <v> </v>
      </c>
      <c r="H1779" s="24" t="str">
        <f>IF(J1779&lt;&gt;1,"",IF(I1779="SBJ","CB","?"))</f>
        <v> </v>
      </c>
      <c r="I1779" s="25" t="str">
        <f>IF(OR(E1779="",E1779="!!!",F1779="NEW"),"",INDEX(B1778:B$2,-1+SUMPRODUCT(MAX(ROW(E1778:E$2)*(E1779=E1778:E$2)))))</f>
        <v> </v>
      </c>
      <c r="J1779" s="25" t="str">
        <f>IF(OR(E1779="",E1779="!!!",F1779="NEW"),"",COUNTBLANK(OFFSET(A$1,,,SUMPRODUCT(MAX(ROW(E$2:E1779)*(E1779=E$2:E1779)))))-COUNTBLANK(OFFSET(A$1,,,SUMPRODUCT(MAX(ROW(E$1:E1778)*(E2=E$1:E1778))))))</f>
        <v> </v>
      </c>
      <c r="K1779" s="25" t="str">
        <f>IF(OR(E1779="",E1779="!!!",F1779="NEW"),"",INDEX(J$1:J1778,SUMPRODUCT(MAX(ROW(E$1:E1778)*(E1779=E$1:E1778)))))</f>
        <v> </v>
      </c>
      <c r="L1779" s="26"/>
    </row>
    <row r="1780" spans="1:12">
      <c r="A1780" s="20" t="s">
        <v>1304</v>
      </c>
      <c r="E1780" s="21">
        <f>IF(D1780="?OLD","!!!","")</f>
        <v/>
      </c>
      <c r="F1780" s="22" t="str">
        <f>IF(OR(E1780="",E1780="!!!"),"",IF(NOT(ISNA(VLOOKUP(E1780,E$1:E1779,1,FALSE()))),"OLD",IF(AND(E1780&lt;&gt;"",E1780&lt;&gt;"!!!"),"NEW","")))</f>
        <v> </v>
      </c>
      <c r="G1780" s="23" t="str">
        <f>IF(OR(E1780="",E1780="!!!"),"",IF(OR(J1780=0,AND(J1780=1,K1780=1),AND(J1780=1,I1780="SBJ"),AND(J1780=1,I1780=0)),"?IN_FOCUS",IF(J1780&lt;=2,"?ACTIVATED",IF(J1780&lt;&gt;"","?FAMILIAR",IF(F1780="NEW",IF(ISNA(VLOOKUP(E1780,#REF!,1,FALSE())),"?TYPE_IDENTIFIABLE","?REFERENTIAL"),"_")))))</f>
        <v> </v>
      </c>
      <c r="H1780" s="24" t="str">
        <f>IF(J1780&lt;&gt;1,"",IF(I1780="SBJ","CB","?"))</f>
        <v> </v>
      </c>
      <c r="I1780" s="25" t="str">
        <f>IF(OR(E1780="",E1780="!!!",F1780="NEW"),"",INDEX(B1779:B$2,-1+SUMPRODUCT(MAX(ROW(E1779:E$2)*(E1780=E1779:E$2)))))</f>
        <v> </v>
      </c>
      <c r="J1780" s="25" t="str">
        <f>IF(OR(E1780="",E1780="!!!",F1780="NEW"),"",COUNTBLANK(OFFSET(A$1,,,SUMPRODUCT(MAX(ROW(E$2:E1780)*(E1780=E$2:E1780)))))-COUNTBLANK(OFFSET(A$1,,,SUMPRODUCT(MAX(ROW(E$1:E1779)*(E2=E$1:E1779))))))</f>
        <v> </v>
      </c>
      <c r="K1780" s="25" t="str">
        <f>IF(OR(E1780="",E1780="!!!",F1780="NEW"),"",INDEX(J$1:J1779,SUMPRODUCT(MAX(ROW(E$1:E1779)*(E1780=E$1:E1779)))))</f>
        <v> </v>
      </c>
      <c r="L1780" s="26"/>
    </row>
    <row r="1781" spans="1:12">
      <c r="A1781" s="20" t="s">
        <v>644</v>
      </c>
      <c r="E1781" s="21">
        <f>IF(D1781="?OLD","!!!","")</f>
        <v/>
      </c>
      <c r="F1781" s="22" t="str">
        <f>IF(OR(E1781="",E1781="!!!"),"",IF(NOT(ISNA(VLOOKUP(E1781,E$1:E1780,1,FALSE()))),"OLD",IF(AND(E1781&lt;&gt;"",E1781&lt;&gt;"!!!"),"NEW","")))</f>
        <v> </v>
      </c>
      <c r="G1781" s="23" t="str">
        <f>IF(OR(E1781="",E1781="!!!"),"",IF(OR(J1781=0,AND(J1781=1,K1781=1),AND(J1781=1,I1781="SBJ"),AND(J1781=1,I1781=0)),"?IN_FOCUS",IF(J1781&lt;=2,"?ACTIVATED",IF(J1781&lt;&gt;"","?FAMILIAR",IF(F1781="NEW",IF(ISNA(VLOOKUP(E1781,#REF!,1,FALSE())),"?TYPE_IDENTIFIABLE","?REFERENTIAL"),"_")))))</f>
        <v> </v>
      </c>
      <c r="H1781" s="24" t="str">
        <f>IF(J1781&lt;&gt;1,"",IF(I1781="SBJ","CB","?"))</f>
        <v> </v>
      </c>
      <c r="I1781" s="25" t="str">
        <f>IF(OR(E1781="",E1781="!!!",F1781="NEW"),"",INDEX(B1780:B$2,-1+SUMPRODUCT(MAX(ROW(E1780:E$2)*(E1781=E1780:E$2)))))</f>
        <v> </v>
      </c>
      <c r="J1781" s="25" t="str">
        <f>IF(OR(E1781="",E1781="!!!",F1781="NEW"),"",COUNTBLANK(OFFSET(A$1,,,SUMPRODUCT(MAX(ROW(E$2:E1781)*(E1781=E$2:E1781)))))-COUNTBLANK(OFFSET(A$1,,,SUMPRODUCT(MAX(ROW(E$1:E1780)*(E2=E$1:E1780))))))</f>
        <v> </v>
      </c>
      <c r="K1781" s="25" t="str">
        <f>IF(OR(E1781="",E1781="!!!",F1781="NEW"),"",INDEX(J$1:J1780,SUMPRODUCT(MAX(ROW(E$1:E1780)*(E1781=E$1:E1780)))))</f>
        <v> </v>
      </c>
      <c r="L1781" s="26"/>
    </row>
    <row r="1782" spans="1:12">
      <c r="A1782" s="20" t="s">
        <v>1305</v>
      </c>
      <c r="E1782" s="21">
        <f>IF(D1782="?OLD","!!!","")</f>
        <v/>
      </c>
      <c r="F1782" s="22" t="str">
        <f>IF(OR(E1782="",E1782="!!!"),"",IF(NOT(ISNA(VLOOKUP(E1782,E$1:E1781,1,FALSE()))),"OLD",IF(AND(E1782&lt;&gt;"",E1782&lt;&gt;"!!!"),"NEW","")))</f>
        <v> </v>
      </c>
      <c r="G1782" s="23" t="str">
        <f>IF(OR(E1782="",E1782="!!!"),"",IF(OR(J1782=0,AND(J1782=1,K1782=1),AND(J1782=1,I1782="SBJ"),AND(J1782=1,I1782=0)),"?IN_FOCUS",IF(J1782&lt;=2,"?ACTIVATED",IF(J1782&lt;&gt;"","?FAMILIAR",IF(F1782="NEW",IF(ISNA(VLOOKUP(E1782,#REF!,1,FALSE())),"?TYPE_IDENTIFIABLE","?REFERENTIAL"),"_")))))</f>
        <v> </v>
      </c>
      <c r="H1782" s="24" t="str">
        <f>IF(J1782&lt;&gt;1,"",IF(I1782="SBJ","CB","?"))</f>
        <v> </v>
      </c>
      <c r="I1782" s="25" t="str">
        <f>IF(OR(E1782="",E1782="!!!",F1782="NEW"),"",INDEX(B1781:B$2,-1+SUMPRODUCT(MAX(ROW(E1781:E$2)*(E1782=E1781:E$2)))))</f>
        <v> </v>
      </c>
      <c r="J1782" s="25" t="str">
        <f>IF(OR(E1782="",E1782="!!!",F1782="NEW"),"",COUNTBLANK(OFFSET(A$1,,,SUMPRODUCT(MAX(ROW(E$2:E1782)*(E1782=E$2:E1782)))))-COUNTBLANK(OFFSET(A$1,,,SUMPRODUCT(MAX(ROW(E$1:E1781)*(E2=E$1:E1781))))))</f>
        <v> </v>
      </c>
      <c r="K1782" s="25" t="str">
        <f>IF(OR(E1782="",E1782="!!!",F1782="NEW"),"",INDEX(J$1:J1781,SUMPRODUCT(MAX(ROW(E$1:E1781)*(E1782=E$1:E1781)))))</f>
        <v> </v>
      </c>
      <c r="L1782" s="26"/>
    </row>
    <row r="1783" spans="1:12">
      <c r="A1783" s="20" t="s">
        <v>617</v>
      </c>
      <c r="E1783" s="21">
        <f>IF(D1783="?OLD","!!!","")</f>
        <v/>
      </c>
      <c r="F1783" s="22" t="str">
        <f>IF(OR(E1783="",E1783="!!!"),"",IF(NOT(ISNA(VLOOKUP(E1783,E$1:E1782,1,FALSE()))),"OLD",IF(AND(E1783&lt;&gt;"",E1783&lt;&gt;"!!!"),"NEW","")))</f>
        <v> </v>
      </c>
      <c r="G1783" s="23" t="str">
        <f>IF(OR(E1783="",E1783="!!!"),"",IF(OR(J1783=0,AND(J1783=1,K1783=1),AND(J1783=1,I1783="SBJ"),AND(J1783=1,I1783=0)),"?IN_FOCUS",IF(J1783&lt;=2,"?ACTIVATED",IF(J1783&lt;&gt;"","?FAMILIAR",IF(F1783="NEW",IF(ISNA(VLOOKUP(E1783,#REF!,1,FALSE())),"?TYPE_IDENTIFIABLE","?REFERENTIAL"),"_")))))</f>
        <v> </v>
      </c>
      <c r="H1783" s="24" t="str">
        <f>IF(J1783&lt;&gt;1,"",IF(I1783="SBJ","CB","?"))</f>
        <v> </v>
      </c>
      <c r="I1783" s="25" t="str">
        <f>IF(OR(E1783="",E1783="!!!",F1783="NEW"),"",INDEX(B1782:B$2,-1+SUMPRODUCT(MAX(ROW(E1782:E$2)*(E1783=E1782:E$2)))))</f>
        <v> </v>
      </c>
      <c r="J1783" s="25" t="str">
        <f>IF(OR(E1783="",E1783="!!!",F1783="NEW"),"",COUNTBLANK(OFFSET(A$1,,,SUMPRODUCT(MAX(ROW(E$2:E1783)*(E1783=E$2:E1783)))))-COUNTBLANK(OFFSET(A$1,,,SUMPRODUCT(MAX(ROW(E$1:E1782)*(E2=E$1:E1782))))))</f>
        <v> </v>
      </c>
      <c r="K1783" s="25" t="str">
        <f>IF(OR(E1783="",E1783="!!!",F1783="NEW"),"",INDEX(J$1:J1782,SUMPRODUCT(MAX(ROW(E$1:E1782)*(E1783=E$1:E1782)))))</f>
        <v> </v>
      </c>
      <c r="L1783" s="26"/>
    </row>
    <row r="1784" spans="1:12">
      <c r="A1784" s="20" t="s">
        <v>618</v>
      </c>
      <c r="E1784" s="21">
        <f>IF(D1784="?OLD","!!!","")</f>
        <v/>
      </c>
      <c r="F1784" s="22" t="str">
        <f>IF(OR(E1784="",E1784="!!!"),"",IF(NOT(ISNA(VLOOKUP(E1784,E$1:E1783,1,FALSE()))),"OLD",IF(AND(E1784&lt;&gt;"",E1784&lt;&gt;"!!!"),"NEW","")))</f>
        <v> </v>
      </c>
      <c r="G1784" s="23" t="str">
        <f>IF(OR(E1784="",E1784="!!!"),"",IF(OR(J1784=0,AND(J1784=1,K1784=1),AND(J1784=1,I1784="SBJ"),AND(J1784=1,I1784=0)),"?IN_FOCUS",IF(J1784&lt;=2,"?ACTIVATED",IF(J1784&lt;&gt;"","?FAMILIAR",IF(F1784="NEW",IF(ISNA(VLOOKUP(E1784,#REF!,1,FALSE())),"?TYPE_IDENTIFIABLE","?REFERENTIAL"),"_")))))</f>
        <v> </v>
      </c>
      <c r="H1784" s="24" t="str">
        <f>IF(J1784&lt;&gt;1,"",IF(I1784="SBJ","CB","?"))</f>
        <v> </v>
      </c>
      <c r="I1784" s="25" t="str">
        <f>IF(OR(E1784="",E1784="!!!",F1784="NEW"),"",INDEX(B1783:B$2,-1+SUMPRODUCT(MAX(ROW(E1783:E$2)*(E1784=E1783:E$2)))))</f>
        <v> </v>
      </c>
      <c r="J1784" s="25" t="str">
        <f>IF(OR(E1784="",E1784="!!!",F1784="NEW"),"",COUNTBLANK(OFFSET(A$1,,,SUMPRODUCT(MAX(ROW(E$2:E1784)*(E1784=E$2:E1784)))))-COUNTBLANK(OFFSET(A$1,,,SUMPRODUCT(MAX(ROW(E$1:E1783)*(E2=E$1:E1783))))))</f>
        <v> </v>
      </c>
      <c r="K1784" s="25" t="str">
        <f>IF(OR(E1784="",E1784="!!!",F1784="NEW"),"",INDEX(J$1:J1783,SUMPRODUCT(MAX(ROW(E$1:E1783)*(E1784=E$1:E1783)))))</f>
        <v> </v>
      </c>
      <c r="L1784" s="26"/>
    </row>
    <row r="1785" spans="1:12">
      <c r="A1785" s="20" t="s">
        <v>1164</v>
      </c>
      <c r="B1785" s="27" t="s">
        <v>725</v>
      </c>
      <c r="C1785" s="27" t="s">
        <v>607</v>
      </c>
      <c r="D1785" s="27" t="s">
        <v>608</v>
      </c>
      <c r="E1785" s="21">
        <f>IF(D1785="?OLD","!!!","")</f>
        <v/>
      </c>
      <c r="F1785" s="22" t="str">
        <f>IF(OR(E1785="",E1785="!!!"),"",IF(NOT(ISNA(VLOOKUP(E1785,E$1:E1784,1,FALSE()))),"OLD",IF(AND(E1785&lt;&gt;"",E1785&lt;&gt;"!!!"),"NEW","")))</f>
        <v> </v>
      </c>
      <c r="G1785" s="23" t="str">
        <f>IF(OR(E1785="",E1785="!!!"),"",IF(OR(J1785=0,AND(J1785=1,K1785=1),AND(J1785=1,I1785="SBJ"),AND(J1785=1,I1785=0)),"?IN_FOCUS",IF(J1785&lt;=2,"?ACTIVATED",IF(J1785&lt;&gt;"","?FAMILIAR",IF(F1785="NEW",IF(ISNA(VLOOKUP(E1785,#REF!,1,FALSE())),"?TYPE_IDENTIFIABLE","?REFERENTIAL"),"_")))))</f>
        <v> </v>
      </c>
      <c r="H1785" s="24" t="str">
        <f>IF(J1785&lt;&gt;1,"",IF(I1785="SBJ","CB","?"))</f>
        <v> </v>
      </c>
      <c r="I1785" s="25" t="str">
        <f>IF(OR(E1785="",E1785="!!!",F1785="NEW"),"",INDEX(B1784:B$2,-1+SUMPRODUCT(MAX(ROW(E1784:E$2)*(E1785=E1784:E$2)))))</f>
        <v> </v>
      </c>
      <c r="J1785" s="25" t="str">
        <f>IF(OR(E1785="",E1785="!!!",F1785="NEW"),"",COUNTBLANK(OFFSET(A$1,,,SUMPRODUCT(MAX(ROW(E$2:E1785)*(E1785=E$2:E1785)))))-COUNTBLANK(OFFSET(A$1,,,SUMPRODUCT(MAX(ROW(E$1:E1784)*(E2=E$1:E1784))))))</f>
        <v> </v>
      </c>
      <c r="K1785" s="25" t="str">
        <f>IF(OR(E1785="",E1785="!!!",F1785="NEW"),"",INDEX(J$1:J1784,SUMPRODUCT(MAX(ROW(E$1:E1784)*(E1785=E$1:E1784)))))</f>
        <v> </v>
      </c>
      <c r="L1785" s="26"/>
    </row>
    <row r="1786" spans="1:12">
      <c r="A1786" s="20" t="s">
        <v>663</v>
      </c>
      <c r="E1786" s="21">
        <f>IF(D1786="?OLD","!!!","")</f>
        <v/>
      </c>
      <c r="F1786" s="22" t="str">
        <f>IF(OR(E1786="",E1786="!!!"),"",IF(NOT(ISNA(VLOOKUP(E1786,E$1:E1785,1,FALSE()))),"OLD",IF(AND(E1786&lt;&gt;"",E1786&lt;&gt;"!!!"),"NEW","")))</f>
        <v> </v>
      </c>
      <c r="G1786" s="23" t="str">
        <f>IF(OR(E1786="",E1786="!!!"),"",IF(OR(J1786=0,AND(J1786=1,K1786=1),AND(J1786=1,I1786="SBJ"),AND(J1786=1,I1786=0)),"?IN_FOCUS",IF(J1786&lt;=2,"?ACTIVATED",IF(J1786&lt;&gt;"","?FAMILIAR",IF(F1786="NEW",IF(ISNA(VLOOKUP(E1786,#REF!,1,FALSE())),"?TYPE_IDENTIFIABLE","?REFERENTIAL"),"_")))))</f>
        <v> </v>
      </c>
      <c r="H1786" s="24" t="str">
        <f>IF(J1786&lt;&gt;1,"",IF(I1786="SBJ","CB","?"))</f>
        <v> </v>
      </c>
      <c r="I1786" s="25" t="str">
        <f>IF(OR(E1786="",E1786="!!!",F1786="NEW"),"",INDEX(B1785:B$2,-1+SUMPRODUCT(MAX(ROW(E1785:E$2)*(E1786=E1785:E$2)))))</f>
        <v> </v>
      </c>
      <c r="J1786" s="25" t="str">
        <f>IF(OR(E1786="",E1786="!!!",F1786="NEW"),"",COUNTBLANK(OFFSET(A$1,,,SUMPRODUCT(MAX(ROW(E$2:E1786)*(E1786=E$2:E1786)))))-COUNTBLANK(OFFSET(A$1,,,SUMPRODUCT(MAX(ROW(E$1:E1785)*(E2=E$1:E1785))))))</f>
        <v> </v>
      </c>
      <c r="K1786" s="25" t="str">
        <f>IF(OR(E1786="",E1786="!!!",F1786="NEW"),"",INDEX(J$1:J1785,SUMPRODUCT(MAX(ROW(E$1:E1785)*(E1786=E$1:E1785)))))</f>
        <v> </v>
      </c>
      <c r="L1786" s="26"/>
    </row>
    <row r="1787" spans="1:12">
      <c r="A1787" s="20" t="s">
        <v>872</v>
      </c>
      <c r="E1787" s="21">
        <f>IF(D1787="?OLD","!!!","")</f>
        <v/>
      </c>
      <c r="F1787" s="22" t="str">
        <f>IF(OR(E1787="",E1787="!!!"),"",IF(NOT(ISNA(VLOOKUP(E1787,E$1:E1786,1,FALSE()))),"OLD",IF(AND(E1787&lt;&gt;"",E1787&lt;&gt;"!!!"),"NEW","")))</f>
        <v> </v>
      </c>
      <c r="G1787" s="23" t="str">
        <f>IF(OR(E1787="",E1787="!!!"),"",IF(OR(J1787=0,AND(J1787=1,K1787=1),AND(J1787=1,I1787="SBJ"),AND(J1787=1,I1787=0)),"?IN_FOCUS",IF(J1787&lt;=2,"?ACTIVATED",IF(J1787&lt;&gt;"","?FAMILIAR",IF(F1787="NEW",IF(ISNA(VLOOKUP(E1787,#REF!,1,FALSE())),"?TYPE_IDENTIFIABLE","?REFERENTIAL"),"_")))))</f>
        <v> </v>
      </c>
      <c r="H1787" s="24" t="str">
        <f>IF(J1787&lt;&gt;1,"",IF(I1787="SBJ","CB","?"))</f>
        <v> </v>
      </c>
      <c r="I1787" s="25" t="str">
        <f>IF(OR(E1787="",E1787="!!!",F1787="NEW"),"",INDEX(B1786:B$2,-1+SUMPRODUCT(MAX(ROW(E1786:E$2)*(E1787=E1786:E$2)))))</f>
        <v> </v>
      </c>
      <c r="J1787" s="25" t="str">
        <f>IF(OR(E1787="",E1787="!!!",F1787="NEW"),"",COUNTBLANK(OFFSET(A$1,,,SUMPRODUCT(MAX(ROW(E$2:E1787)*(E1787=E$2:E1787)))))-COUNTBLANK(OFFSET(A$1,,,SUMPRODUCT(MAX(ROW(E$1:E1786)*(E2=E$1:E1786))))))</f>
        <v> </v>
      </c>
      <c r="K1787" s="25" t="str">
        <f>IF(OR(E1787="",E1787="!!!",F1787="NEW"),"",INDEX(J$1:J1786,SUMPRODUCT(MAX(ROW(E$1:E1786)*(E1787=E$1:E1786)))))</f>
        <v> </v>
      </c>
      <c r="L1787" s="26"/>
    </row>
    <row r="1788" spans="1:12">
      <c r="A1788" s="20" t="s">
        <v>663</v>
      </c>
      <c r="E1788" s="21">
        <f>IF(D1788="?OLD","!!!","")</f>
        <v/>
      </c>
      <c r="F1788" s="22" t="str">
        <f>IF(OR(E1788="",E1788="!!!"),"",IF(NOT(ISNA(VLOOKUP(E1788,E$1:E1787,1,FALSE()))),"OLD",IF(AND(E1788&lt;&gt;"",E1788&lt;&gt;"!!!"),"NEW","")))</f>
        <v> </v>
      </c>
      <c r="G1788" s="23" t="str">
        <f>IF(OR(E1788="",E1788="!!!"),"",IF(OR(J1788=0,AND(J1788=1,K1788=1),AND(J1788=1,I1788="SBJ"),AND(J1788=1,I1788=0)),"?IN_FOCUS",IF(J1788&lt;=2,"?ACTIVATED",IF(J1788&lt;&gt;"","?FAMILIAR",IF(F1788="NEW",IF(ISNA(VLOOKUP(E1788,#REF!,1,FALSE())),"?TYPE_IDENTIFIABLE","?REFERENTIAL"),"_")))))</f>
        <v> </v>
      </c>
      <c r="H1788" s="24" t="str">
        <f>IF(J1788&lt;&gt;1,"",IF(I1788="SBJ","CB","?"))</f>
        <v> </v>
      </c>
      <c r="I1788" s="25" t="str">
        <f>IF(OR(E1788="",E1788="!!!",F1788="NEW"),"",INDEX(B1787:B$2,-1+SUMPRODUCT(MAX(ROW(E1787:E$2)*(E1788=E1787:E$2)))))</f>
        <v> </v>
      </c>
      <c r="J1788" s="25" t="str">
        <f>IF(OR(E1788="",E1788="!!!",F1788="NEW"),"",COUNTBLANK(OFFSET(A$1,,,SUMPRODUCT(MAX(ROW(E$2:E1788)*(E1788=E$2:E1788)))))-COUNTBLANK(OFFSET(A$1,,,SUMPRODUCT(MAX(ROW(E$1:E1787)*(E2=E$1:E1787))))))</f>
        <v> </v>
      </c>
      <c r="K1788" s="25" t="str">
        <f>IF(OR(E1788="",E1788="!!!",F1788="NEW"),"",INDEX(J$1:J1787,SUMPRODUCT(MAX(ROW(E$1:E1787)*(E1788=E$1:E1787)))))</f>
        <v> </v>
      </c>
      <c r="L1788" s="26"/>
    </row>
    <row r="1789" spans="1:12">
      <c r="A1789" s="20" t="s">
        <v>240</v>
      </c>
      <c r="E1789" s="21">
        <f>IF(D1789="?OLD","!!!","")</f>
        <v/>
      </c>
      <c r="F1789" s="22" t="str">
        <f>IF(OR(E1789="",E1789="!!!"),"",IF(NOT(ISNA(VLOOKUP(E1789,E$1:E1788,1,FALSE()))),"OLD",IF(AND(E1789&lt;&gt;"",E1789&lt;&gt;"!!!"),"NEW","")))</f>
        <v> </v>
      </c>
      <c r="G1789" s="23" t="str">
        <f>IF(OR(E1789="",E1789="!!!"),"",IF(OR(J1789=0,AND(J1789=1,K1789=1),AND(J1789=1,I1789="SBJ"),AND(J1789=1,I1789=0)),"?IN_FOCUS",IF(J1789&lt;=2,"?ACTIVATED",IF(J1789&lt;&gt;"","?FAMILIAR",IF(F1789="NEW",IF(ISNA(VLOOKUP(E1789,#REF!,1,FALSE())),"?TYPE_IDENTIFIABLE","?REFERENTIAL"),"_")))))</f>
        <v> </v>
      </c>
      <c r="H1789" s="24" t="str">
        <f>IF(J1789&lt;&gt;1,"",IF(I1789="SBJ","CB","?"))</f>
        <v> </v>
      </c>
      <c r="I1789" s="25" t="str">
        <f>IF(OR(E1789="",E1789="!!!",F1789="NEW"),"",INDEX(B1788:B$2,-1+SUMPRODUCT(MAX(ROW(E1788:E$2)*(E1789=E1788:E$2)))))</f>
        <v> </v>
      </c>
      <c r="J1789" s="25" t="str">
        <f>IF(OR(E1789="",E1789="!!!",F1789="NEW"),"",COUNTBLANK(OFFSET(A$1,,,SUMPRODUCT(MAX(ROW(E$2:E1789)*(E1789=E$2:E1789)))))-COUNTBLANK(OFFSET(A$1,,,SUMPRODUCT(MAX(ROW(E$1:E1788)*(E2=E$1:E1788))))))</f>
        <v> </v>
      </c>
      <c r="K1789" s="25" t="str">
        <f>IF(OR(E1789="",E1789="!!!",F1789="NEW"),"",INDEX(J$1:J1788,SUMPRODUCT(MAX(ROW(E$1:E1788)*(E1789=E$1:E1788)))))</f>
        <v> </v>
      </c>
      <c r="L1789" s="26"/>
    </row>
    <row r="1790" spans="1:12">
      <c r="A1790" s="20" t="s">
        <v>617</v>
      </c>
      <c r="E1790" s="21">
        <f>IF(D1790="?OLD","!!!","")</f>
        <v/>
      </c>
      <c r="F1790" s="22" t="str">
        <f>IF(OR(E1790="",E1790="!!!"),"",IF(NOT(ISNA(VLOOKUP(E1790,E$1:E1789,1,FALSE()))),"OLD",IF(AND(E1790&lt;&gt;"",E1790&lt;&gt;"!!!"),"NEW","")))</f>
        <v> </v>
      </c>
      <c r="G1790" s="23" t="str">
        <f>IF(OR(E1790="",E1790="!!!"),"",IF(OR(J1790=0,AND(J1790=1,K1790=1),AND(J1790=1,I1790="SBJ"),AND(J1790=1,I1790=0)),"?IN_FOCUS",IF(J1790&lt;=2,"?ACTIVATED",IF(J1790&lt;&gt;"","?FAMILIAR",IF(F1790="NEW",IF(ISNA(VLOOKUP(E1790,#REF!,1,FALSE())),"?TYPE_IDENTIFIABLE","?REFERENTIAL"),"_")))))</f>
        <v> </v>
      </c>
      <c r="H1790" s="24" t="str">
        <f>IF(J1790&lt;&gt;1,"",IF(I1790="SBJ","CB","?"))</f>
        <v> </v>
      </c>
      <c r="I1790" s="25" t="str">
        <f>IF(OR(E1790="",E1790="!!!",F1790="NEW"),"",INDEX(B1789:B$2,-1+SUMPRODUCT(MAX(ROW(E1789:E$2)*(E1790=E1789:E$2)))))</f>
        <v> </v>
      </c>
      <c r="J1790" s="25" t="str">
        <f>IF(OR(E1790="",E1790="!!!",F1790="NEW"),"",COUNTBLANK(OFFSET(A$1,,,SUMPRODUCT(MAX(ROW(E$2:E1790)*(E1790=E$2:E1790)))))-COUNTBLANK(OFFSET(A$1,,,SUMPRODUCT(MAX(ROW(E$1:E1789)*(E2=E$1:E1789))))))</f>
        <v> </v>
      </c>
      <c r="K1790" s="25" t="str">
        <f>IF(OR(E1790="",E1790="!!!",F1790="NEW"),"",INDEX(J$1:J1789,SUMPRODUCT(MAX(ROW(E$1:E1789)*(E1790=E$1:E1789)))))</f>
        <v> </v>
      </c>
      <c r="L1790" s="26"/>
    </row>
    <row r="1791" spans="1:12">
      <c r="A1791" s="20" t="s">
        <v>618</v>
      </c>
      <c r="E1791" s="21">
        <f>IF(D1791="?OLD","!!!","")</f>
        <v/>
      </c>
      <c r="F1791" s="22" t="str">
        <f>IF(OR(E1791="",E1791="!!!"),"",IF(NOT(ISNA(VLOOKUP(E1791,E$1:E1790,1,FALSE()))),"OLD",IF(AND(E1791&lt;&gt;"",E1791&lt;&gt;"!!!"),"NEW","")))</f>
        <v> </v>
      </c>
      <c r="G1791" s="23" t="str">
        <f>IF(OR(E1791="",E1791="!!!"),"",IF(OR(J1791=0,AND(J1791=1,K1791=1),AND(J1791=1,I1791="SBJ"),AND(J1791=1,I1791=0)),"?IN_FOCUS",IF(J1791&lt;=2,"?ACTIVATED",IF(J1791&lt;&gt;"","?FAMILIAR",IF(F1791="NEW",IF(ISNA(VLOOKUP(E1791,#REF!,1,FALSE())),"?TYPE_IDENTIFIABLE","?REFERENTIAL"),"_")))))</f>
        <v> </v>
      </c>
      <c r="H1791" s="24" t="str">
        <f>IF(J1791&lt;&gt;1,"",IF(I1791="SBJ","CB","?"))</f>
        <v> </v>
      </c>
      <c r="I1791" s="25" t="str">
        <f>IF(OR(E1791="",E1791="!!!",F1791="NEW"),"",INDEX(B1790:B$2,-1+SUMPRODUCT(MAX(ROW(E1790:E$2)*(E1791=E1790:E$2)))))</f>
        <v> </v>
      </c>
      <c r="J1791" s="25" t="str">
        <f>IF(OR(E1791="",E1791="!!!",F1791="NEW"),"",COUNTBLANK(OFFSET(A$1,,,SUMPRODUCT(MAX(ROW(E$2:E1791)*(E1791=E$2:E1791)))))-COUNTBLANK(OFFSET(A$1,,,SUMPRODUCT(MAX(ROW(E$1:E1790)*(E2=E$1:E1790))))))</f>
        <v> </v>
      </c>
      <c r="K1791" s="25" t="str">
        <f>IF(OR(E1791="",E1791="!!!",F1791="NEW"),"",INDEX(J$1:J1790,SUMPRODUCT(MAX(ROW(E$1:E1790)*(E1791=E$1:E1790)))))</f>
        <v> </v>
      </c>
      <c r="L1791" s="26"/>
    </row>
    <row r="1792" spans="1:12">
      <c r="A1792" s="20" t="s">
        <v>1306</v>
      </c>
      <c r="B1792" s="27" t="s">
        <v>668</v>
      </c>
      <c r="C1792" s="27" t="s">
        <v>607</v>
      </c>
      <c r="D1792" s="27" t="s">
        <v>608</v>
      </c>
      <c r="E1792" s="21">
        <f>IF(D1792="?OLD","!!!","")</f>
        <v/>
      </c>
      <c r="F1792" s="22" t="str">
        <f>IF(OR(E1792="",E1792="!!!"),"",IF(NOT(ISNA(VLOOKUP(E1792,E$1:E1791,1,FALSE()))),"OLD",IF(AND(E1792&lt;&gt;"",E1792&lt;&gt;"!!!"),"NEW","")))</f>
        <v> </v>
      </c>
      <c r="G1792" s="23" t="str">
        <f>IF(OR(E1792="",E1792="!!!"),"",IF(OR(J1792=0,AND(J1792=1,K1792=1),AND(J1792=1,I1792="SBJ"),AND(J1792=1,I1792=0)),"?IN_FOCUS",IF(J1792&lt;=2,"?ACTIVATED",IF(J1792&lt;&gt;"","?FAMILIAR",IF(F1792="NEW",IF(ISNA(VLOOKUP(E1792,#REF!,1,FALSE())),"?TYPE_IDENTIFIABLE","?REFERENTIAL"),"_")))))</f>
        <v> </v>
      </c>
      <c r="H1792" s="24" t="str">
        <f>IF(J1792&lt;&gt;1,"",IF(I1792="SBJ","CB","?"))</f>
        <v> </v>
      </c>
      <c r="I1792" s="25" t="str">
        <f>IF(OR(E1792="",E1792="!!!",F1792="NEW"),"",INDEX(B1791:B$2,-1+SUMPRODUCT(MAX(ROW(E1791:E$2)*(E1792=E1791:E$2)))))</f>
        <v> </v>
      </c>
      <c r="J1792" s="25" t="str">
        <f>IF(OR(E1792="",E1792="!!!",F1792="NEW"),"",COUNTBLANK(OFFSET(A$1,,,SUMPRODUCT(MAX(ROW(E$2:E1792)*(E1792=E$2:E1792)))))-COUNTBLANK(OFFSET(A$1,,,SUMPRODUCT(MAX(ROW(E$1:E1791)*(E2=E$1:E1791))))))</f>
        <v> </v>
      </c>
      <c r="K1792" s="25" t="str">
        <f>IF(OR(E1792="",E1792="!!!",F1792="NEW"),"",INDEX(J$1:J1791,SUMPRODUCT(MAX(ROW(E$1:E1791)*(E1792=E$1:E1791)))))</f>
        <v> </v>
      </c>
      <c r="L1792" s="26"/>
    </row>
    <row r="1793" spans="1:12">
      <c r="A1793" s="20" t="s">
        <v>1307</v>
      </c>
      <c r="E1793" s="21">
        <f>IF(D1793="?OLD","!!!","")</f>
        <v/>
      </c>
      <c r="F1793" s="22" t="str">
        <f>IF(OR(E1793="",E1793="!!!"),"",IF(NOT(ISNA(VLOOKUP(E1793,E$1:E1792,1,FALSE()))),"OLD",IF(AND(E1793&lt;&gt;"",E1793&lt;&gt;"!!!"),"NEW","")))</f>
        <v> </v>
      </c>
      <c r="G1793" s="23" t="str">
        <f>IF(OR(E1793="",E1793="!!!"),"",IF(OR(J1793=0,AND(J1793=1,K1793=1),AND(J1793=1,I1793="SBJ"),AND(J1793=1,I1793=0)),"?IN_FOCUS",IF(J1793&lt;=2,"?ACTIVATED",IF(J1793&lt;&gt;"","?FAMILIAR",IF(F1793="NEW",IF(ISNA(VLOOKUP(E1793,#REF!,1,FALSE())),"?TYPE_IDENTIFIABLE","?REFERENTIAL"),"_")))))</f>
        <v> </v>
      </c>
      <c r="H1793" s="24" t="str">
        <f>IF(J1793&lt;&gt;1,"",IF(I1793="SBJ","CB","?"))</f>
        <v> </v>
      </c>
      <c r="I1793" s="25" t="str">
        <f>IF(OR(E1793="",E1793="!!!",F1793="NEW"),"",INDEX(B1792:B$2,-1+SUMPRODUCT(MAX(ROW(E1792:E$2)*(E1793=E1792:E$2)))))</f>
        <v> </v>
      </c>
      <c r="J1793" s="25" t="str">
        <f>IF(OR(E1793="",E1793="!!!",F1793="NEW"),"",COUNTBLANK(OFFSET(A$1,,,SUMPRODUCT(MAX(ROW(E$2:E1793)*(E1793=E$2:E1793)))))-COUNTBLANK(OFFSET(A$1,,,SUMPRODUCT(MAX(ROW(E$1:E1792)*(E2=E$1:E1792))))))</f>
        <v> </v>
      </c>
      <c r="K1793" s="25" t="str">
        <f>IF(OR(E1793="",E1793="!!!",F1793="NEW"),"",INDEX(J$1:J1792,SUMPRODUCT(MAX(ROW(E$1:E1792)*(E1793=E$1:E1792)))))</f>
        <v> </v>
      </c>
      <c r="L1793" s="26"/>
    </row>
    <row r="1794" spans="1:12">
      <c r="A1794" s="20" t="s">
        <v>617</v>
      </c>
      <c r="E1794" s="21">
        <f>IF(D1794="?OLD","!!!","")</f>
        <v/>
      </c>
      <c r="F1794" s="22" t="str">
        <f>IF(OR(E1794="",E1794="!!!"),"",IF(NOT(ISNA(VLOOKUP(E1794,E$1:E1793,1,FALSE()))),"OLD",IF(AND(E1794&lt;&gt;"",E1794&lt;&gt;"!!!"),"NEW","")))</f>
        <v> </v>
      </c>
      <c r="G1794" s="23" t="str">
        <f>IF(OR(E1794="",E1794="!!!"),"",IF(OR(J1794=0,AND(J1794=1,K1794=1),AND(J1794=1,I1794="SBJ"),AND(J1794=1,I1794=0)),"?IN_FOCUS",IF(J1794&lt;=2,"?ACTIVATED",IF(J1794&lt;&gt;"","?FAMILIAR",IF(F1794="NEW",IF(ISNA(VLOOKUP(E1794,#REF!,1,FALSE())),"?TYPE_IDENTIFIABLE","?REFERENTIAL"),"_")))))</f>
        <v> </v>
      </c>
      <c r="H1794" s="24" t="str">
        <f>IF(J1794&lt;&gt;1,"",IF(I1794="SBJ","CB","?"))</f>
        <v> </v>
      </c>
      <c r="I1794" s="25" t="str">
        <f>IF(OR(E1794="",E1794="!!!",F1794="NEW"),"",INDEX(B1793:B$2,-1+SUMPRODUCT(MAX(ROW(E1793:E$2)*(E1794=E1793:E$2)))))</f>
        <v> </v>
      </c>
      <c r="J1794" s="25" t="str">
        <f>IF(OR(E1794="",E1794="!!!",F1794="NEW"),"",COUNTBLANK(OFFSET(A$1,,,SUMPRODUCT(MAX(ROW(E$2:E1794)*(E1794=E$2:E1794)))))-COUNTBLANK(OFFSET(A$1,,,SUMPRODUCT(MAX(ROW(E$1:E1793)*(E2=E$1:E1793))))))</f>
        <v> </v>
      </c>
      <c r="K1794" s="25" t="str">
        <f>IF(OR(E1794="",E1794="!!!",F1794="NEW"),"",INDEX(J$1:J1793,SUMPRODUCT(MAX(ROW(E$1:E1793)*(E1794=E$1:E1793)))))</f>
        <v> </v>
      </c>
      <c r="L1794" s="26"/>
    </row>
    <row r="1795" spans="1:12">
      <c r="A1795" s="20" t="s">
        <v>1308</v>
      </c>
      <c r="E1795" s="21">
        <f>IF(D1795="?OLD","!!!","")</f>
        <v/>
      </c>
      <c r="F1795" s="22" t="str">
        <f>IF(OR(E1795="",E1795="!!!"),"",IF(NOT(ISNA(VLOOKUP(E1795,E$1:E1794,1,FALSE()))),"OLD",IF(AND(E1795&lt;&gt;"",E1795&lt;&gt;"!!!"),"NEW","")))</f>
        <v> </v>
      </c>
      <c r="G1795" s="23" t="str">
        <f>IF(OR(E1795="",E1795="!!!"),"",IF(OR(J1795=0,AND(J1795=1,K1795=1),AND(J1795=1,I1795="SBJ"),AND(J1795=1,I1795=0)),"?IN_FOCUS",IF(J1795&lt;=2,"?ACTIVATED",IF(J1795&lt;&gt;"","?FAMILIAR",IF(F1795="NEW",IF(ISNA(VLOOKUP(E1795,#REF!,1,FALSE())),"?TYPE_IDENTIFIABLE","?REFERENTIAL"),"_")))))</f>
        <v> </v>
      </c>
      <c r="H1795" s="24" t="str">
        <f>IF(J1795&lt;&gt;1,"",IF(I1795="SBJ","CB","?"))</f>
        <v> </v>
      </c>
      <c r="I1795" s="25" t="str">
        <f>IF(OR(E1795="",E1795="!!!",F1795="NEW"),"",INDEX(B1794:B$2,-1+SUMPRODUCT(MAX(ROW(E1794:E$2)*(E1795=E1794:E$2)))))</f>
        <v> </v>
      </c>
      <c r="J1795" s="25" t="str">
        <f>IF(OR(E1795="",E1795="!!!",F1795="NEW"),"",COUNTBLANK(OFFSET(A$1,,,SUMPRODUCT(MAX(ROW(E$2:E1795)*(E1795=E$2:E1795)))))-COUNTBLANK(OFFSET(A$1,,,SUMPRODUCT(MAX(ROW(E$1:E1794)*(E2=E$1:E1794))))))</f>
        <v> </v>
      </c>
      <c r="K1795" s="25" t="str">
        <f>IF(OR(E1795="",E1795="!!!",F1795="NEW"),"",INDEX(J$1:J1794,SUMPRODUCT(MAX(ROW(E$1:E1794)*(E1795=E$1:E1794)))))</f>
        <v> </v>
      </c>
      <c r="L1795" s="26"/>
    </row>
    <row r="1796" spans="1:12">
      <c r="A1796" s="20" t="s">
        <v>1309</v>
      </c>
      <c r="B1796" s="27" t="s">
        <v>725</v>
      </c>
      <c r="C1796" s="27" t="s">
        <v>894</v>
      </c>
      <c r="E1796" s="21">
        <f>IF(D1796="?OLD","!!!","")</f>
        <v/>
      </c>
      <c r="F1796" s="22" t="str">
        <f>IF(OR(E1796="",E1796="!!!"),"",IF(NOT(ISNA(VLOOKUP(E1796,E$1:E1795,1,FALSE()))),"OLD",IF(AND(E1796&lt;&gt;"",E1796&lt;&gt;"!!!"),"NEW","")))</f>
        <v> </v>
      </c>
      <c r="G1796" s="23" t="str">
        <f>IF(OR(E1796="",E1796="!!!"),"",IF(OR(J1796=0,AND(J1796=1,K1796=1),AND(J1796=1,I1796="SBJ"),AND(J1796=1,I1796=0)),"?IN_FOCUS",IF(J1796&lt;=2,"?ACTIVATED",IF(J1796&lt;&gt;"","?FAMILIAR",IF(F1796="NEW",IF(ISNA(VLOOKUP(E1796,#REF!,1,FALSE())),"?TYPE_IDENTIFIABLE","?REFERENTIAL"),"_")))))</f>
        <v> </v>
      </c>
      <c r="H1796" s="24" t="str">
        <f>IF(J1796&lt;&gt;1,"",IF(I1796="SBJ","CB","?"))</f>
        <v> </v>
      </c>
      <c r="I1796" s="25" t="str">
        <f>IF(OR(E1796="",E1796="!!!",F1796="NEW"),"",INDEX(B1795:B$2,-1+SUMPRODUCT(MAX(ROW(E1795:E$2)*(E1796=E1795:E$2)))))</f>
        <v> </v>
      </c>
      <c r="J1796" s="25" t="str">
        <f>IF(OR(E1796="",E1796="!!!",F1796="NEW"),"",COUNTBLANK(OFFSET(A$1,,,SUMPRODUCT(MAX(ROW(E$2:E1796)*(E1796=E$2:E1796)))))-COUNTBLANK(OFFSET(A$1,,,SUMPRODUCT(MAX(ROW(E$1:E1795)*(E2=E$1:E1795))))))</f>
        <v> </v>
      </c>
      <c r="K1796" s="25" t="str">
        <f>IF(OR(E1796="",E1796="!!!",F1796="NEW"),"",INDEX(J$1:J1795,SUMPRODUCT(MAX(ROW(E$1:E1795)*(E1796=E$1:E1795)))))</f>
        <v> </v>
      </c>
      <c r="L1796" s="26"/>
    </row>
    <row r="1797" spans="1:12">
      <c r="A1797" s="20" t="s">
        <v>663</v>
      </c>
      <c r="E1797" s="21">
        <f>IF(D1797="?OLD","!!!","")</f>
        <v/>
      </c>
      <c r="F1797" s="22" t="str">
        <f>IF(OR(E1797="",E1797="!!!"),"",IF(NOT(ISNA(VLOOKUP(E1797,E$1:E1796,1,FALSE()))),"OLD",IF(AND(E1797&lt;&gt;"",E1797&lt;&gt;"!!!"),"NEW","")))</f>
        <v> </v>
      </c>
      <c r="G1797" s="23" t="str">
        <f>IF(OR(E1797="",E1797="!!!"),"",IF(OR(J1797=0,AND(J1797=1,K1797=1),AND(J1797=1,I1797="SBJ"),AND(J1797=1,I1797=0)),"?IN_FOCUS",IF(J1797&lt;=2,"?ACTIVATED",IF(J1797&lt;&gt;"","?FAMILIAR",IF(F1797="NEW",IF(ISNA(VLOOKUP(E1797,#REF!,1,FALSE())),"?TYPE_IDENTIFIABLE","?REFERENTIAL"),"_")))))</f>
        <v> </v>
      </c>
      <c r="H1797" s="24" t="str">
        <f>IF(J1797&lt;&gt;1,"",IF(I1797="SBJ","CB","?"))</f>
        <v> </v>
      </c>
      <c r="I1797" s="25" t="str">
        <f>IF(OR(E1797="",E1797="!!!",F1797="NEW"),"",INDEX(B1796:B$2,-1+SUMPRODUCT(MAX(ROW(E1796:E$2)*(E1797=E1796:E$2)))))</f>
        <v> </v>
      </c>
      <c r="J1797" s="25" t="str">
        <f>IF(OR(E1797="",E1797="!!!",F1797="NEW"),"",COUNTBLANK(OFFSET(A$1,,,SUMPRODUCT(MAX(ROW(E$2:E1797)*(E1797=E$2:E1797)))))-COUNTBLANK(OFFSET(A$1,,,SUMPRODUCT(MAX(ROW(E$1:E1796)*(E2=E$1:E1796))))))</f>
        <v> </v>
      </c>
      <c r="K1797" s="25" t="str">
        <f>IF(OR(E1797="",E1797="!!!",F1797="NEW"),"",INDEX(J$1:J1796,SUMPRODUCT(MAX(ROW(E$1:E1796)*(E1797=E$1:E1796)))))</f>
        <v> </v>
      </c>
      <c r="L1797" s="26"/>
    </row>
    <row r="1798" spans="1:12">
      <c r="A1798" s="20" t="s">
        <v>1310</v>
      </c>
      <c r="E1798" s="21">
        <f>IF(D1798="?OLD","!!!","")</f>
        <v/>
      </c>
      <c r="F1798" s="22" t="str">
        <f>IF(OR(E1798="",E1798="!!!"),"",IF(NOT(ISNA(VLOOKUP(E1798,E$1:E1797,1,FALSE()))),"OLD",IF(AND(E1798&lt;&gt;"",E1798&lt;&gt;"!!!"),"NEW","")))</f>
        <v> </v>
      </c>
      <c r="G1798" s="23" t="str">
        <f>IF(OR(E1798="",E1798="!!!"),"",IF(OR(J1798=0,AND(J1798=1,K1798=1),AND(J1798=1,I1798="SBJ"),AND(J1798=1,I1798=0)),"?IN_FOCUS",IF(J1798&lt;=2,"?ACTIVATED",IF(J1798&lt;&gt;"","?FAMILIAR",IF(F1798="NEW",IF(ISNA(VLOOKUP(E1798,#REF!,1,FALSE())),"?TYPE_IDENTIFIABLE","?REFERENTIAL"),"_")))))</f>
        <v> </v>
      </c>
      <c r="H1798" s="24" t="str">
        <f>IF(J1798&lt;&gt;1,"",IF(I1798="SBJ","CB","?"))</f>
        <v> </v>
      </c>
      <c r="I1798" s="25" t="str">
        <f>IF(OR(E1798="",E1798="!!!",F1798="NEW"),"",INDEX(B1797:B$2,-1+SUMPRODUCT(MAX(ROW(E1797:E$2)*(E1798=E1797:E$2)))))</f>
        <v> </v>
      </c>
      <c r="J1798" s="25" t="str">
        <f>IF(OR(E1798="",E1798="!!!",F1798="NEW"),"",COUNTBLANK(OFFSET(A$1,,,SUMPRODUCT(MAX(ROW(E$2:E1798)*(E1798=E$2:E1798)))))-COUNTBLANK(OFFSET(A$1,,,SUMPRODUCT(MAX(ROW(E$1:E1797)*(E2=E$1:E1797))))))</f>
        <v> </v>
      </c>
      <c r="K1798" s="25" t="str">
        <f>IF(OR(E1798="",E1798="!!!",F1798="NEW"),"",INDEX(J$1:J1797,SUMPRODUCT(MAX(ROW(E$1:E1797)*(E1798=E$1:E1797)))))</f>
        <v> </v>
      </c>
      <c r="L1798" s="26"/>
    </row>
    <row r="1799" spans="1:12">
      <c r="A1799" s="20" t="s">
        <v>633</v>
      </c>
      <c r="E1799" s="21">
        <f>IF(D1799="?OLD","!!!","")</f>
        <v/>
      </c>
      <c r="F1799" s="22" t="str">
        <f>IF(OR(E1799="",E1799="!!!"),"",IF(NOT(ISNA(VLOOKUP(E1799,E$1:E1798,1,FALSE()))),"OLD",IF(AND(E1799&lt;&gt;"",E1799&lt;&gt;"!!!"),"NEW","")))</f>
        <v> </v>
      </c>
      <c r="G1799" s="23" t="str">
        <f>IF(OR(E1799="",E1799="!!!"),"",IF(OR(J1799=0,AND(J1799=1,K1799=1),AND(J1799=1,I1799="SBJ"),AND(J1799=1,I1799=0)),"?IN_FOCUS",IF(J1799&lt;=2,"?ACTIVATED",IF(J1799&lt;&gt;"","?FAMILIAR",IF(F1799="NEW",IF(ISNA(VLOOKUP(E1799,#REF!,1,FALSE())),"?TYPE_IDENTIFIABLE","?REFERENTIAL"),"_")))))</f>
        <v> </v>
      </c>
      <c r="H1799" s="24" t="str">
        <f>IF(J1799&lt;&gt;1,"",IF(I1799="SBJ","CB","?"))</f>
        <v> </v>
      </c>
      <c r="I1799" s="25" t="str">
        <f>IF(OR(E1799="",E1799="!!!",F1799="NEW"),"",INDEX(B1798:B$2,-1+SUMPRODUCT(MAX(ROW(E1798:E$2)*(E1799=E1798:E$2)))))</f>
        <v> </v>
      </c>
      <c r="J1799" s="25" t="str">
        <f>IF(OR(E1799="",E1799="!!!",F1799="NEW"),"",COUNTBLANK(OFFSET(A$1,,,SUMPRODUCT(MAX(ROW(E$2:E1799)*(E1799=E$2:E1799)))))-COUNTBLANK(OFFSET(A$1,,,SUMPRODUCT(MAX(ROW(E$1:E1798)*(E2=E$1:E1798))))))</f>
        <v> </v>
      </c>
      <c r="K1799" s="25" t="str">
        <f>IF(OR(E1799="",E1799="!!!",F1799="NEW"),"",INDEX(J$1:J1798,SUMPRODUCT(MAX(ROW(E$1:E1798)*(E1799=E$1:E1798)))))</f>
        <v> </v>
      </c>
      <c r="L1799" s="26"/>
    </row>
    <row r="1800" spans="1:12">
      <c r="A1800" s="20"/>
    </row>
    <row r="1801" spans="1:12">
      <c r="A1801" s="20" t="s">
        <v>1311</v>
      </c>
    </row>
    <row r="1802" spans="1:12">
      <c r="A1802" s="20" t="s">
        <v>602</v>
      </c>
      <c r="E1802" s="21">
        <f>IF(D1802="?OLD","!!!","")</f>
        <v/>
      </c>
      <c r="F1802" s="22" t="str">
        <f>IF(OR(E1802="",E1802="!!!"),"",IF(NOT(ISNA(VLOOKUP(E1802,E$1:E1801,1,FALSE()))),"OLD",IF(AND(E1802&lt;&gt;"",E1802&lt;&gt;"!!!"),"NEW","")))</f>
        <v> </v>
      </c>
      <c r="G1802" s="23" t="str">
        <f>IF(OR(E1802="",E1802="!!!"),"",IF(OR(J1802=0,AND(J1802=1,K1802=1),AND(J1802=1,I1802="SBJ"),AND(J1802=1,I1802=0)),"?IN_FOCUS",IF(J1802&lt;=2,"?ACTIVATED",IF(J1802&lt;&gt;"","?FAMILIAR",IF(F1802="NEW",IF(ISNA(VLOOKUP(E1802,#REF!,1,FALSE())),"?TYPE_IDENTIFIABLE","?REFERENTIAL"),"_")))))</f>
        <v> </v>
      </c>
      <c r="H1802" s="24" t="str">
        <f>IF(J1802&lt;&gt;1,"",IF(I1802="SBJ","CB","?"))</f>
        <v> </v>
      </c>
      <c r="I1802" s="25" t="str">
        <f>IF(OR(E1802="",E1802="!!!",F1802="NEW"),"",INDEX(B1801:B$2,-1+SUMPRODUCT(MAX(ROW(E1801:E$2)*(E1802=E1801:E$2)))))</f>
        <v> </v>
      </c>
      <c r="J1802" s="25" t="str">
        <f>IF(OR(E1802="",E1802="!!!",F1802="NEW"),"",COUNTBLANK(OFFSET(A$1,,,SUMPRODUCT(MAX(ROW(E$2:E1802)*(E1802=E$2:E1802)))))-COUNTBLANK(OFFSET(A$1,,,SUMPRODUCT(MAX(ROW(E$1:E1801)*(E2=E$1:E1801))))))</f>
        <v> </v>
      </c>
      <c r="K1802" s="25" t="str">
        <f>IF(OR(E1802="",E1802="!!!",F1802="NEW"),"",INDEX(J$1:J1801,SUMPRODUCT(MAX(ROW(E$1:E1801)*(E1802=E$1:E1801)))))</f>
        <v> </v>
      </c>
      <c r="L1802" s="26"/>
    </row>
    <row r="1803" spans="1:12">
      <c r="A1803" s="20" t="s">
        <v>603</v>
      </c>
      <c r="E1803" s="21">
        <f>IF(D1803="?OLD","!!!","")</f>
        <v/>
      </c>
      <c r="F1803" s="22" t="str">
        <f>IF(OR(E1803="",E1803="!!!"),"",IF(NOT(ISNA(VLOOKUP(E1803,E$1:E1802,1,FALSE()))),"OLD",IF(AND(E1803&lt;&gt;"",E1803&lt;&gt;"!!!"),"NEW","")))</f>
        <v> </v>
      </c>
      <c r="G1803" s="23" t="str">
        <f>IF(OR(E1803="",E1803="!!!"),"",IF(OR(J1803=0,AND(J1803=1,K1803=1),AND(J1803=1,I1803="SBJ"),AND(J1803=1,I1803=0)),"?IN_FOCUS",IF(J1803&lt;=2,"?ACTIVATED",IF(J1803&lt;&gt;"","?FAMILIAR",IF(F1803="NEW",IF(ISNA(VLOOKUP(E1803,#REF!,1,FALSE())),"?TYPE_IDENTIFIABLE","?REFERENTIAL"),"_")))))</f>
        <v> </v>
      </c>
      <c r="H1803" s="24" t="str">
        <f>IF(J1803&lt;&gt;1,"",IF(I1803="SBJ","CB","?"))</f>
        <v> </v>
      </c>
      <c r="I1803" s="25" t="str">
        <f>IF(OR(E1803="",E1803="!!!",F1803="NEW"),"",INDEX(B1802:B$2,-1+SUMPRODUCT(MAX(ROW(E1802:E$2)*(E1803=E1802:E$2)))))</f>
        <v> </v>
      </c>
      <c r="J1803" s="25" t="str">
        <f>IF(OR(E1803="",E1803="!!!",F1803="NEW"),"",COUNTBLANK(OFFSET(A$1,,,SUMPRODUCT(MAX(ROW(E$2:E1803)*(E1803=E$2:E1803)))))-COUNTBLANK(OFFSET(A$1,,,SUMPRODUCT(MAX(ROW(E$1:E1802)*(E2=E$1:E1802))))))</f>
        <v> </v>
      </c>
      <c r="K1803" s="25" t="str">
        <f>IF(OR(E1803="",E1803="!!!",F1803="NEW"),"",INDEX(J$1:J1802,SUMPRODUCT(MAX(ROW(E$1:E1802)*(E1803=E$1:E1802)))))</f>
        <v> </v>
      </c>
      <c r="L1803" s="26"/>
    </row>
    <row r="1804" spans="1:12">
      <c r="A1804" s="20" t="s">
        <v>1298</v>
      </c>
      <c r="B1804" s="27" t="s">
        <v>606</v>
      </c>
      <c r="C1804" s="27" t="s">
        <v>607</v>
      </c>
      <c r="D1804" s="27" t="s">
        <v>608</v>
      </c>
      <c r="E1804" s="21">
        <f>IF(D1804="?OLD","!!!","")</f>
        <v/>
      </c>
      <c r="F1804" s="22" t="str">
        <f>IF(OR(E1804="",E1804="!!!"),"",IF(NOT(ISNA(VLOOKUP(E1804,E$1:E1803,1,FALSE()))),"OLD",IF(AND(E1804&lt;&gt;"",E1804&lt;&gt;"!!!"),"NEW","")))</f>
        <v> </v>
      </c>
      <c r="G1804" s="23" t="str">
        <f>IF(OR(E1804="",E1804="!!!"),"",IF(OR(J1804=0,AND(J1804=1,K1804=1),AND(J1804=1,I1804="SBJ"),AND(J1804=1,I1804=0)),"?IN_FOCUS",IF(J1804&lt;=2,"?ACTIVATED",IF(J1804&lt;&gt;"","?FAMILIAR",IF(F1804="NEW",IF(ISNA(VLOOKUP(E1804,#REF!,1,FALSE())),"?TYPE_IDENTIFIABLE","?REFERENTIAL"),"_")))))</f>
        <v> </v>
      </c>
      <c r="H1804" s="24" t="str">
        <f>IF(J1804&lt;&gt;1,"",IF(I1804="SBJ","CB","?"))</f>
        <v> </v>
      </c>
      <c r="I1804" s="25" t="str">
        <f>IF(OR(E1804="",E1804="!!!",F1804="NEW"),"",INDEX(B1803:B$2,-1+SUMPRODUCT(MAX(ROW(E1803:E$2)*(E1804=E1803:E$2)))))</f>
        <v> </v>
      </c>
      <c r="J1804" s="25" t="str">
        <f>IF(OR(E1804="",E1804="!!!",F1804="NEW"),"",COUNTBLANK(OFFSET(A$1,,,SUMPRODUCT(MAX(ROW(E$2:E1804)*(E1804=E$2:E1804)))))-COUNTBLANK(OFFSET(A$1,,,SUMPRODUCT(MAX(ROW(E$1:E1803)*(E2=E$1:E1803))))))</f>
        <v> </v>
      </c>
      <c r="K1804" s="25" t="str">
        <f>IF(OR(E1804="",E1804="!!!",F1804="NEW"),"",INDEX(J$1:J1803,SUMPRODUCT(MAX(ROW(E$1:E1803)*(E1804=E$1:E1803)))))</f>
        <v> </v>
      </c>
      <c r="L1804" s="26"/>
    </row>
    <row r="1805" spans="1:12">
      <c r="A1805" s="20" t="s">
        <v>609</v>
      </c>
      <c r="E1805" s="21">
        <f>IF(D1805="?OLD","!!!","")</f>
        <v/>
      </c>
      <c r="F1805" s="22" t="str">
        <f>IF(OR(E1805="",E1805="!!!"),"",IF(NOT(ISNA(VLOOKUP(E1805,E$1:E1804,1,FALSE()))),"OLD",IF(AND(E1805&lt;&gt;"",E1805&lt;&gt;"!!!"),"NEW","")))</f>
        <v> </v>
      </c>
      <c r="G1805" s="23" t="str">
        <f>IF(OR(E1805="",E1805="!!!"),"",IF(OR(J1805=0,AND(J1805=1,K1805=1),AND(J1805=1,I1805="SBJ"),AND(J1805=1,I1805=0)),"?IN_FOCUS",IF(J1805&lt;=2,"?ACTIVATED",IF(J1805&lt;&gt;"","?FAMILIAR",IF(F1805="NEW",IF(ISNA(VLOOKUP(E1805,#REF!,1,FALSE())),"?TYPE_IDENTIFIABLE","?REFERENTIAL"),"_")))))</f>
        <v> </v>
      </c>
      <c r="H1805" s="24" t="str">
        <f>IF(J1805&lt;&gt;1,"",IF(I1805="SBJ","CB","?"))</f>
        <v> </v>
      </c>
      <c r="I1805" s="25" t="str">
        <f>IF(OR(E1805="",E1805="!!!",F1805="NEW"),"",INDEX(B1804:B$2,-1+SUMPRODUCT(MAX(ROW(E1804:E$2)*(E1805=E1804:E$2)))))</f>
        <v> </v>
      </c>
      <c r="J1805" s="25" t="str">
        <f>IF(OR(E1805="",E1805="!!!",F1805="NEW"),"",COUNTBLANK(OFFSET(A$1,,,SUMPRODUCT(MAX(ROW(E$2:E1805)*(E1805=E$2:E1805)))))-COUNTBLANK(OFFSET(A$1,,,SUMPRODUCT(MAX(ROW(E$1:E1804)*(E2=E$1:E1804))))))</f>
        <v> </v>
      </c>
      <c r="K1805" s="25" t="str">
        <f>IF(OR(E1805="",E1805="!!!",F1805="NEW"),"",INDEX(J$1:J1804,SUMPRODUCT(MAX(ROW(E$1:E1804)*(E1805=E$1:E1804)))))</f>
        <v> </v>
      </c>
      <c r="L1805" s="26"/>
    </row>
    <row r="1806" spans="1:12">
      <c r="A1806" s="20" t="s">
        <v>615</v>
      </c>
      <c r="B1806" s="27" t="s">
        <v>611</v>
      </c>
      <c r="C1806" s="27" t="s">
        <v>607</v>
      </c>
      <c r="D1806" s="27" t="s">
        <v>608</v>
      </c>
      <c r="E1806" s="21">
        <f>IF(D1806="?OLD","!!!","")</f>
        <v/>
      </c>
      <c r="F1806" s="22" t="str">
        <f>IF(OR(E1806="",E1806="!!!"),"",IF(NOT(ISNA(VLOOKUP(E1806,E$1:E1805,1,FALSE()))),"OLD",IF(AND(E1806&lt;&gt;"",E1806&lt;&gt;"!!!"),"NEW","")))</f>
        <v> </v>
      </c>
      <c r="G1806" s="23" t="str">
        <f>IF(OR(E1806="",E1806="!!!"),"",IF(OR(J1806=0,AND(J1806=1,K1806=1),AND(J1806=1,I1806="SBJ"),AND(J1806=1,I1806=0)),"?IN_FOCUS",IF(J1806&lt;=2,"?ACTIVATED",IF(J1806&lt;&gt;"","?FAMILIAR",IF(F1806="NEW",IF(ISNA(VLOOKUP(E1806,#REF!,1,FALSE())),"?TYPE_IDENTIFIABLE","?REFERENTIAL"),"_")))))</f>
        <v> </v>
      </c>
      <c r="H1806" s="24" t="str">
        <f>IF(J1806&lt;&gt;1,"",IF(I1806="SBJ","CB","?"))</f>
        <v> </v>
      </c>
      <c r="I1806" s="25" t="str">
        <f>IF(OR(E1806="",E1806="!!!",F1806="NEW"),"",INDEX(B1805:B$2,-1+SUMPRODUCT(MAX(ROW(E1805:E$2)*(E1806=E1805:E$2)))))</f>
        <v> </v>
      </c>
      <c r="J1806" s="25" t="str">
        <f>IF(OR(E1806="",E1806="!!!",F1806="NEW"),"",COUNTBLANK(OFFSET(A$1,,,SUMPRODUCT(MAX(ROW(E$2:E1806)*(E1806=E$2:E1806)))))-COUNTBLANK(OFFSET(A$1,,,SUMPRODUCT(MAX(ROW(E$1:E1805)*(E2=E$1:E1805))))))</f>
        <v> </v>
      </c>
      <c r="K1806" s="25" t="str">
        <f>IF(OR(E1806="",E1806="!!!",F1806="NEW"),"",INDEX(J$1:J1805,SUMPRODUCT(MAX(ROW(E$1:E1805)*(E1806=E$1:E1805)))))</f>
        <v> </v>
      </c>
      <c r="L1806" s="26"/>
    </row>
    <row r="1807" spans="1:12">
      <c r="A1807" s="20" t="s">
        <v>1186</v>
      </c>
      <c r="E1807" s="21">
        <f>IF(D1807="?OLD","!!!","")</f>
        <v/>
      </c>
      <c r="F1807" s="22" t="str">
        <f>IF(OR(E1807="",E1807="!!!"),"",IF(NOT(ISNA(VLOOKUP(E1807,E$1:E1806,1,FALSE()))),"OLD",IF(AND(E1807&lt;&gt;"",E1807&lt;&gt;"!!!"),"NEW","")))</f>
        <v> </v>
      </c>
      <c r="G1807" s="23" t="str">
        <f>IF(OR(E1807="",E1807="!!!"),"",IF(OR(J1807=0,AND(J1807=1,K1807=1),AND(J1807=1,I1807="SBJ"),AND(J1807=1,I1807=0)),"?IN_FOCUS",IF(J1807&lt;=2,"?ACTIVATED",IF(J1807&lt;&gt;"","?FAMILIAR",IF(F1807="NEW",IF(ISNA(VLOOKUP(E1807,#REF!,1,FALSE())),"?TYPE_IDENTIFIABLE","?REFERENTIAL"),"_")))))</f>
        <v> </v>
      </c>
      <c r="H1807" s="24" t="str">
        <f>IF(J1807&lt;&gt;1,"",IF(I1807="SBJ","CB","?"))</f>
        <v> </v>
      </c>
      <c r="I1807" s="25" t="str">
        <f>IF(OR(E1807="",E1807="!!!",F1807="NEW"),"",INDEX(B1806:B$2,-1+SUMPRODUCT(MAX(ROW(E1806:E$2)*(E1807=E1806:E$2)))))</f>
        <v> </v>
      </c>
      <c r="J1807" s="25" t="str">
        <f>IF(OR(E1807="",E1807="!!!",F1807="NEW"),"",COUNTBLANK(OFFSET(A$1,,,SUMPRODUCT(MAX(ROW(E$2:E1807)*(E1807=E$2:E1807)))))-COUNTBLANK(OFFSET(A$1,,,SUMPRODUCT(MAX(ROW(E$1:E1806)*(E2=E$1:E1806))))))</f>
        <v> </v>
      </c>
      <c r="K1807" s="25" t="str">
        <f>IF(OR(E1807="",E1807="!!!",F1807="NEW"),"",INDEX(J$1:J1806,SUMPRODUCT(MAX(ROW(E$1:E1806)*(E1807=E$1:E1806)))))</f>
        <v> </v>
      </c>
      <c r="L1807" s="26"/>
    </row>
    <row r="1808" spans="1:12">
      <c r="A1808" s="20" t="s">
        <v>682</v>
      </c>
      <c r="E1808" s="21">
        <f>IF(D1808="?OLD","!!!","")</f>
        <v/>
      </c>
      <c r="F1808" s="22" t="str">
        <f>IF(OR(E1808="",E1808="!!!"),"",IF(NOT(ISNA(VLOOKUP(E1808,E$1:E1807,1,FALSE()))),"OLD",IF(AND(E1808&lt;&gt;"",E1808&lt;&gt;"!!!"),"NEW","")))</f>
        <v> </v>
      </c>
      <c r="G1808" s="23" t="str">
        <f>IF(OR(E1808="",E1808="!!!"),"",IF(OR(J1808=0,AND(J1808=1,K1808=1),AND(J1808=1,I1808="SBJ"),AND(J1808=1,I1808=0)),"?IN_FOCUS",IF(J1808&lt;=2,"?ACTIVATED",IF(J1808&lt;&gt;"","?FAMILIAR",IF(F1808="NEW",IF(ISNA(VLOOKUP(E1808,#REF!,1,FALSE())),"?TYPE_IDENTIFIABLE","?REFERENTIAL"),"_")))))</f>
        <v> </v>
      </c>
      <c r="H1808" s="24" t="str">
        <f>IF(J1808&lt;&gt;1,"",IF(I1808="SBJ","CB","?"))</f>
        <v> </v>
      </c>
      <c r="I1808" s="25" t="str">
        <f>IF(OR(E1808="",E1808="!!!",F1808="NEW"),"",INDEX(B1807:B$2,-1+SUMPRODUCT(MAX(ROW(E1807:E$2)*(E1808=E1807:E$2)))))</f>
        <v> </v>
      </c>
      <c r="J1808" s="25" t="str">
        <f>IF(OR(E1808="",E1808="!!!",F1808="NEW"),"",COUNTBLANK(OFFSET(A$1,,,SUMPRODUCT(MAX(ROW(E$2:E1808)*(E1808=E$2:E1808)))))-COUNTBLANK(OFFSET(A$1,,,SUMPRODUCT(MAX(ROW(E$1:E1807)*(E2=E$1:E1807))))))</f>
        <v> </v>
      </c>
      <c r="K1808" s="25" t="str">
        <f>IF(OR(E1808="",E1808="!!!",F1808="NEW"),"",INDEX(J$1:J1807,SUMPRODUCT(MAX(ROW(E$1:E1807)*(E1808=E$1:E1807)))))</f>
        <v> </v>
      </c>
      <c r="L1808" s="26"/>
    </row>
    <row r="1809" spans="1:12">
      <c r="A1809" s="20" t="s">
        <v>988</v>
      </c>
      <c r="E1809" s="21">
        <f>IF(D1809="?OLD","!!!","")</f>
        <v/>
      </c>
      <c r="F1809" s="22" t="str">
        <f>IF(OR(E1809="",E1809="!!!"),"",IF(NOT(ISNA(VLOOKUP(E1809,E$1:E1808,1,FALSE()))),"OLD",IF(AND(E1809&lt;&gt;"",E1809&lt;&gt;"!!!"),"NEW","")))</f>
        <v> </v>
      </c>
      <c r="G1809" s="23" t="str">
        <f>IF(OR(E1809="",E1809="!!!"),"",IF(OR(J1809=0,AND(J1809=1,K1809=1),AND(J1809=1,I1809="SBJ"),AND(J1809=1,I1809=0)),"?IN_FOCUS",IF(J1809&lt;=2,"?ACTIVATED",IF(J1809&lt;&gt;"","?FAMILIAR",IF(F1809="NEW",IF(ISNA(VLOOKUP(E1809,#REF!,1,FALSE())),"?TYPE_IDENTIFIABLE","?REFERENTIAL"),"_")))))</f>
        <v> </v>
      </c>
      <c r="H1809" s="24" t="str">
        <f>IF(J1809&lt;&gt;1,"",IF(I1809="SBJ","CB","?"))</f>
        <v> </v>
      </c>
      <c r="I1809" s="25" t="str">
        <f>IF(OR(E1809="",E1809="!!!",F1809="NEW"),"",INDEX(B1808:B$2,-1+SUMPRODUCT(MAX(ROW(E1808:E$2)*(E1809=E1808:E$2)))))</f>
        <v> </v>
      </c>
      <c r="J1809" s="25" t="str">
        <f>IF(OR(E1809="",E1809="!!!",F1809="NEW"),"",COUNTBLANK(OFFSET(A$1,,,SUMPRODUCT(MAX(ROW(E$2:E1809)*(E1809=E$2:E1809)))))-COUNTBLANK(OFFSET(A$1,,,SUMPRODUCT(MAX(ROW(E$1:E1808)*(E2=E$1:E1808))))))</f>
        <v> </v>
      </c>
      <c r="K1809" s="25" t="str">
        <f>IF(OR(E1809="",E1809="!!!",F1809="NEW"),"",INDEX(J$1:J1808,SUMPRODUCT(MAX(ROW(E$1:E1808)*(E1809=E$1:E1808)))))</f>
        <v> </v>
      </c>
      <c r="L1809" s="26"/>
    </row>
    <row r="1810" spans="1:12">
      <c r="A1810" s="20" t="s">
        <v>1192</v>
      </c>
      <c r="E1810" s="21">
        <f>IF(D1810="?OLD","!!!","")</f>
        <v/>
      </c>
      <c r="F1810" s="22" t="str">
        <f>IF(OR(E1810="",E1810="!!!"),"",IF(NOT(ISNA(VLOOKUP(E1810,E$1:E1809,1,FALSE()))),"OLD",IF(AND(E1810&lt;&gt;"",E1810&lt;&gt;"!!!"),"NEW","")))</f>
        <v> </v>
      </c>
      <c r="G1810" s="23" t="str">
        <f>IF(OR(E1810="",E1810="!!!"),"",IF(OR(J1810=0,AND(J1810=1,K1810=1),AND(J1810=1,I1810="SBJ"),AND(J1810=1,I1810=0)),"?IN_FOCUS",IF(J1810&lt;=2,"?ACTIVATED",IF(J1810&lt;&gt;"","?FAMILIAR",IF(F1810="NEW",IF(ISNA(VLOOKUP(E1810,#REF!,1,FALSE())),"?TYPE_IDENTIFIABLE","?REFERENTIAL"),"_")))))</f>
        <v> </v>
      </c>
      <c r="H1810" s="24" t="str">
        <f>IF(J1810&lt;&gt;1,"",IF(I1810="SBJ","CB","?"))</f>
        <v> </v>
      </c>
      <c r="I1810" s="25" t="str">
        <f>IF(OR(E1810="",E1810="!!!",F1810="NEW"),"",INDEX(B1809:B$2,-1+SUMPRODUCT(MAX(ROW(E1809:E$2)*(E1810=E1809:E$2)))))</f>
        <v> </v>
      </c>
      <c r="J1810" s="25" t="str">
        <f>IF(OR(E1810="",E1810="!!!",F1810="NEW"),"",COUNTBLANK(OFFSET(A$1,,,SUMPRODUCT(MAX(ROW(E$2:E1810)*(E1810=E$2:E1810)))))-COUNTBLANK(OFFSET(A$1,,,SUMPRODUCT(MAX(ROW(E$1:E1809)*(E2=E$1:E1809))))))</f>
        <v> </v>
      </c>
      <c r="K1810" s="25" t="str">
        <f>IF(OR(E1810="",E1810="!!!",F1810="NEW"),"",INDEX(J$1:J1809,SUMPRODUCT(MAX(ROW(E$1:E1809)*(E1810=E$1:E1809)))))</f>
        <v> </v>
      </c>
      <c r="L1810" s="26"/>
    </row>
    <row r="1811" spans="1:12">
      <c r="A1811" s="20" t="s">
        <v>187</v>
      </c>
      <c r="B1811" s="27" t="s">
        <v>636</v>
      </c>
      <c r="C1811" s="27" t="s">
        <v>685</v>
      </c>
      <c r="E1811" s="21">
        <f>IF(D1811="?OLD","!!!","")</f>
        <v/>
      </c>
      <c r="F1811" s="22" t="str">
        <f>IF(OR(E1811="",E1811="!!!"),"",IF(NOT(ISNA(VLOOKUP(E1811,E$1:E1810,1,FALSE()))),"OLD",IF(AND(E1811&lt;&gt;"",E1811&lt;&gt;"!!!"),"NEW","")))</f>
        <v> </v>
      </c>
      <c r="G1811" s="23" t="str">
        <f>IF(OR(E1811="",E1811="!!!"),"",IF(OR(J1811=0,AND(J1811=1,K1811=1),AND(J1811=1,I1811="SBJ"),AND(J1811=1,I1811=0)),"?IN_FOCUS",IF(J1811&lt;=2,"?ACTIVATED",IF(J1811&lt;&gt;"","?FAMILIAR",IF(F1811="NEW",IF(ISNA(VLOOKUP(E1811,#REF!,1,FALSE())),"?TYPE_IDENTIFIABLE","?REFERENTIAL"),"_")))))</f>
        <v> </v>
      </c>
      <c r="H1811" s="24" t="str">
        <f>IF(J1811&lt;&gt;1,"",IF(I1811="SBJ","CB","?"))</f>
        <v> </v>
      </c>
      <c r="I1811" s="25" t="str">
        <f>IF(OR(E1811="",E1811="!!!",F1811="NEW"),"",INDEX(B1810:B$2,-1+SUMPRODUCT(MAX(ROW(E1810:E$2)*(E1811=E1810:E$2)))))</f>
        <v> </v>
      </c>
      <c r="J1811" s="25" t="str">
        <f>IF(OR(E1811="",E1811="!!!",F1811="NEW"),"",COUNTBLANK(OFFSET(A$1,,,SUMPRODUCT(MAX(ROW(E$2:E1811)*(E1811=E$2:E1811)))))-COUNTBLANK(OFFSET(A$1,,,SUMPRODUCT(MAX(ROW(E$1:E1810)*(E2=E$1:E1810))))))</f>
        <v> </v>
      </c>
      <c r="K1811" s="25" t="str">
        <f>IF(OR(E1811="",E1811="!!!",F1811="NEW"),"",INDEX(J$1:J1810,SUMPRODUCT(MAX(ROW(E$1:E1810)*(E1811=E$1:E1810)))))</f>
        <v> </v>
      </c>
      <c r="L1811" s="26"/>
    </row>
    <row r="1812" spans="1:12">
      <c r="A1812" s="20" t="s">
        <v>633</v>
      </c>
      <c r="E1812" s="21">
        <f>IF(D1812="?OLD","!!!","")</f>
        <v/>
      </c>
      <c r="F1812" s="22" t="str">
        <f>IF(OR(E1812="",E1812="!!!"),"",IF(NOT(ISNA(VLOOKUP(E1812,E$1:E1811,1,FALSE()))),"OLD",IF(AND(E1812&lt;&gt;"",E1812&lt;&gt;"!!!"),"NEW","")))</f>
        <v> </v>
      </c>
      <c r="G1812" s="23" t="str">
        <f>IF(OR(E1812="",E1812="!!!"),"",IF(OR(J1812=0,AND(J1812=1,K1812=1),AND(J1812=1,I1812="SBJ"),AND(J1812=1,I1812=0)),"?IN_FOCUS",IF(J1812&lt;=2,"?ACTIVATED",IF(J1812&lt;&gt;"","?FAMILIAR",IF(F1812="NEW",IF(ISNA(VLOOKUP(E1812,#REF!,1,FALSE())),"?TYPE_IDENTIFIABLE","?REFERENTIAL"),"_")))))</f>
        <v> </v>
      </c>
      <c r="H1812" s="24" t="str">
        <f>IF(J1812&lt;&gt;1,"",IF(I1812="SBJ","CB","?"))</f>
        <v> </v>
      </c>
      <c r="I1812" s="25" t="str">
        <f>IF(OR(E1812="",E1812="!!!",F1812="NEW"),"",INDEX(B1811:B$2,-1+SUMPRODUCT(MAX(ROW(E1811:E$2)*(E1812=E1811:E$2)))))</f>
        <v> </v>
      </c>
      <c r="J1812" s="25" t="str">
        <f>IF(OR(E1812="",E1812="!!!",F1812="NEW"),"",COUNTBLANK(OFFSET(A$1,,,SUMPRODUCT(MAX(ROW(E$2:E1812)*(E1812=E$2:E1812)))))-COUNTBLANK(OFFSET(A$1,,,SUMPRODUCT(MAX(ROW(E$1:E1811)*(E2=E$1:E1811))))))</f>
        <v> </v>
      </c>
      <c r="K1812" s="25" t="str">
        <f>IF(OR(E1812="",E1812="!!!",F1812="NEW"),"",INDEX(J$1:J1811,SUMPRODUCT(MAX(ROW(E$1:E1811)*(E1812=E$1:E1811)))))</f>
        <v> </v>
      </c>
      <c r="L1812" s="26"/>
    </row>
    <row r="1813" spans="1:12">
      <c r="A1813" s="20"/>
    </row>
    <row r="1814" spans="1:12">
      <c r="A1814" s="20" t="s">
        <v>1312</v>
      </c>
    </row>
    <row r="1815" spans="1:12">
      <c r="A1815" s="20" t="s">
        <v>747</v>
      </c>
      <c r="E1815" s="21">
        <f>IF(D1815="?OLD","!!!","")</f>
        <v/>
      </c>
      <c r="F1815" s="22" t="str">
        <f>IF(OR(E1815="",E1815="!!!"),"",IF(NOT(ISNA(VLOOKUP(E1815,E$1:E1814,1,FALSE()))),"OLD",IF(AND(E1815&lt;&gt;"",E1815&lt;&gt;"!!!"),"NEW","")))</f>
        <v> </v>
      </c>
      <c r="G1815" s="23" t="str">
        <f>IF(OR(E1815="",E1815="!!!"),"",IF(OR(J1815=0,AND(J1815=1,K1815=1),AND(J1815=1,I1815="SBJ"),AND(J1815=1,I1815=0)),"?IN_FOCUS",IF(J1815&lt;=2,"?ACTIVATED",IF(J1815&lt;&gt;"","?FAMILIAR",IF(F1815="NEW",IF(ISNA(VLOOKUP(E1815,#REF!,1,FALSE())),"?TYPE_IDENTIFIABLE","?REFERENTIAL"),"_")))))</f>
        <v> </v>
      </c>
      <c r="H1815" s="24" t="str">
        <f>IF(J1815&lt;&gt;1,"",IF(I1815="SBJ","CB","?"))</f>
        <v> </v>
      </c>
      <c r="I1815" s="25" t="str">
        <f>IF(OR(E1815="",E1815="!!!",F1815="NEW"),"",INDEX(B1814:B$2,-1+SUMPRODUCT(MAX(ROW(E1814:E$2)*(E1815=E1814:E$2)))))</f>
        <v> </v>
      </c>
      <c r="J1815" s="25" t="str">
        <f>IF(OR(E1815="",E1815="!!!",F1815="NEW"),"",COUNTBLANK(OFFSET(A$1,,,SUMPRODUCT(MAX(ROW(E$2:E1815)*(E1815=E$2:E1815)))))-COUNTBLANK(OFFSET(A$1,,,SUMPRODUCT(MAX(ROW(E$1:E1814)*(E2=E$1:E1814))))))</f>
        <v> </v>
      </c>
      <c r="K1815" s="25" t="str">
        <f>IF(OR(E1815="",E1815="!!!",F1815="NEW"),"",INDEX(J$1:J1814,SUMPRODUCT(MAX(ROW(E$1:E1814)*(E1815=E$1:E1814)))))</f>
        <v> </v>
      </c>
      <c r="L1815" s="26"/>
    </row>
    <row r="1816" spans="1:12">
      <c r="A1816" s="20" t="s">
        <v>329</v>
      </c>
      <c r="E1816" s="21">
        <f>IF(D1816="?OLD","!!!","")</f>
        <v/>
      </c>
      <c r="F1816" s="22" t="str">
        <f>IF(OR(E1816="",E1816="!!!"),"",IF(NOT(ISNA(VLOOKUP(E1816,E$1:E1815,1,FALSE()))),"OLD",IF(AND(E1816&lt;&gt;"",E1816&lt;&gt;"!!!"),"NEW","")))</f>
        <v> </v>
      </c>
      <c r="G1816" s="23" t="str">
        <f>IF(OR(E1816="",E1816="!!!"),"",IF(OR(J1816=0,AND(J1816=1,K1816=1),AND(J1816=1,I1816="SBJ"),AND(J1816=1,I1816=0)),"?IN_FOCUS",IF(J1816&lt;=2,"?ACTIVATED",IF(J1816&lt;&gt;"","?FAMILIAR",IF(F1816="NEW",IF(ISNA(VLOOKUP(E1816,#REF!,1,FALSE())),"?TYPE_IDENTIFIABLE","?REFERENTIAL"),"_")))))</f>
        <v> </v>
      </c>
      <c r="H1816" s="24" t="str">
        <f>IF(J1816&lt;&gt;1,"",IF(I1816="SBJ","CB","?"))</f>
        <v> </v>
      </c>
      <c r="I1816" s="25" t="str">
        <f>IF(OR(E1816="",E1816="!!!",F1816="NEW"),"",INDEX(B1815:B$2,-1+SUMPRODUCT(MAX(ROW(E1815:E$2)*(E1816=E1815:E$2)))))</f>
        <v> </v>
      </c>
      <c r="J1816" s="25" t="str">
        <f>IF(OR(E1816="",E1816="!!!",F1816="NEW"),"",COUNTBLANK(OFFSET(A$1,,,SUMPRODUCT(MAX(ROW(E$2:E1816)*(E1816=E$2:E1816)))))-COUNTBLANK(OFFSET(A$1,,,SUMPRODUCT(MAX(ROW(E$1:E1815)*(E2=E$1:E1815))))))</f>
        <v> </v>
      </c>
      <c r="K1816" s="25" t="str">
        <f>IF(OR(E1816="",E1816="!!!",F1816="NEW"),"",INDEX(J$1:J1815,SUMPRODUCT(MAX(ROW(E$1:E1815)*(E1816=E$1:E1815)))))</f>
        <v> </v>
      </c>
      <c r="L1816" s="26"/>
    </row>
    <row r="1817" spans="1:12">
      <c r="A1817" s="20" t="s">
        <v>651</v>
      </c>
      <c r="B1817" s="27" t="s">
        <v>636</v>
      </c>
      <c r="C1817" s="27" t="s">
        <v>652</v>
      </c>
      <c r="D1817" s="27" t="s">
        <v>608</v>
      </c>
      <c r="E1817" s="21">
        <f>IF(D1817="?OLD","!!!","")</f>
        <v/>
      </c>
      <c r="F1817" s="22" t="str">
        <f>IF(OR(E1817="",E1817="!!!"),"",IF(NOT(ISNA(VLOOKUP(E1817,E$1:E1816,1,FALSE()))),"OLD",IF(AND(E1817&lt;&gt;"",E1817&lt;&gt;"!!!"),"NEW","")))</f>
        <v> </v>
      </c>
      <c r="G1817" s="23" t="str">
        <f>IF(OR(E1817="",E1817="!!!"),"",IF(OR(J1817=0,AND(J1817=1,K1817=1),AND(J1817=1,I1817="SBJ"),AND(J1817=1,I1817=0)),"?IN_FOCUS",IF(J1817&lt;=2,"?ACTIVATED",IF(J1817&lt;&gt;"","?FAMILIAR",IF(F1817="NEW",IF(ISNA(VLOOKUP(E1817,#REF!,1,FALSE())),"?TYPE_IDENTIFIABLE","?REFERENTIAL"),"_")))))</f>
        <v> </v>
      </c>
      <c r="H1817" s="24" t="str">
        <f>IF(J1817&lt;&gt;1,"",IF(I1817="SBJ","CB","?"))</f>
        <v> </v>
      </c>
      <c r="I1817" s="25" t="str">
        <f>IF(OR(E1817="",E1817="!!!",F1817="NEW"),"",INDEX(B1816:B$2,-1+SUMPRODUCT(MAX(ROW(E1816:E$2)*(E1817=E1816:E$2)))))</f>
        <v> </v>
      </c>
      <c r="J1817" s="25" t="str">
        <f>IF(OR(E1817="",E1817="!!!",F1817="NEW"),"",COUNTBLANK(OFFSET(A$1,,,SUMPRODUCT(MAX(ROW(E$2:E1817)*(E1817=E$2:E1817)))))-COUNTBLANK(OFFSET(A$1,,,SUMPRODUCT(MAX(ROW(E$1:E1816)*(E2=E$1:E1816))))))</f>
        <v> </v>
      </c>
      <c r="K1817" s="25" t="str">
        <f>IF(OR(E1817="",E1817="!!!",F1817="NEW"),"",INDEX(J$1:J1816,SUMPRODUCT(MAX(ROW(E$1:E1816)*(E1817=E$1:E1816)))))</f>
        <v> </v>
      </c>
      <c r="L1817" s="26"/>
    </row>
    <row r="1818" spans="1:12">
      <c r="A1818" s="20" t="s">
        <v>690</v>
      </c>
      <c r="E1818" s="21">
        <f>IF(D1818="?OLD","!!!","")</f>
        <v/>
      </c>
      <c r="F1818" s="22" t="str">
        <f>IF(OR(E1818="",E1818="!!!"),"",IF(NOT(ISNA(VLOOKUP(E1818,E$1:E1817,1,FALSE()))),"OLD",IF(AND(E1818&lt;&gt;"",E1818&lt;&gt;"!!!"),"NEW","")))</f>
        <v> </v>
      </c>
      <c r="G1818" s="23" t="str">
        <f>IF(OR(E1818="",E1818="!!!"),"",IF(OR(J1818=0,AND(J1818=1,K1818=1),AND(J1818=1,I1818="SBJ"),AND(J1818=1,I1818=0)),"?IN_FOCUS",IF(J1818&lt;=2,"?ACTIVATED",IF(J1818&lt;&gt;"","?FAMILIAR",IF(F1818="NEW",IF(ISNA(VLOOKUP(E1818,#REF!,1,FALSE())),"?TYPE_IDENTIFIABLE","?REFERENTIAL"),"_")))))</f>
        <v> </v>
      </c>
      <c r="H1818" s="24" t="str">
        <f>IF(J1818&lt;&gt;1,"",IF(I1818="SBJ","CB","?"))</f>
        <v> </v>
      </c>
      <c r="I1818" s="25" t="str">
        <f>IF(OR(E1818="",E1818="!!!",F1818="NEW"),"",INDEX(B1817:B$2,-1+SUMPRODUCT(MAX(ROW(E1817:E$2)*(E1818=E1817:E$2)))))</f>
        <v> </v>
      </c>
      <c r="J1818" s="25" t="str">
        <f>IF(OR(E1818="",E1818="!!!",F1818="NEW"),"",COUNTBLANK(OFFSET(A$1,,,SUMPRODUCT(MAX(ROW(E$2:E1818)*(E1818=E$2:E1818)))))-COUNTBLANK(OFFSET(A$1,,,SUMPRODUCT(MAX(ROW(E$1:E1817)*(E2=E$1:E1817))))))</f>
        <v> </v>
      </c>
      <c r="K1818" s="25" t="str">
        <f>IF(OR(E1818="",E1818="!!!",F1818="NEW"),"",INDEX(J$1:J1817,SUMPRODUCT(MAX(ROW(E$1:E1817)*(E1818=E$1:E1817)))))</f>
        <v> </v>
      </c>
      <c r="L1818" s="26"/>
    </row>
    <row r="1819" spans="1:12">
      <c r="A1819" s="20" t="s">
        <v>961</v>
      </c>
      <c r="B1819" s="27" t="s">
        <v>653</v>
      </c>
      <c r="C1819" s="27" t="s">
        <v>607</v>
      </c>
      <c r="D1819" s="27" t="s">
        <v>608</v>
      </c>
      <c r="E1819" s="21">
        <f>IF(D1819="?OLD","!!!","")</f>
        <v/>
      </c>
      <c r="F1819" s="22" t="str">
        <f>IF(OR(E1819="",E1819="!!!"),"",IF(NOT(ISNA(VLOOKUP(E1819,E$1:E1818,1,FALSE()))),"OLD",IF(AND(E1819&lt;&gt;"",E1819&lt;&gt;"!!!"),"NEW","")))</f>
        <v> </v>
      </c>
      <c r="G1819" s="23" t="str">
        <f>IF(OR(E1819="",E1819="!!!"),"",IF(OR(J1819=0,AND(J1819=1,K1819=1),AND(J1819=1,I1819="SBJ"),AND(J1819=1,I1819=0)),"?IN_FOCUS",IF(J1819&lt;=2,"?ACTIVATED",IF(J1819&lt;&gt;"","?FAMILIAR",IF(F1819="NEW",IF(ISNA(VLOOKUP(E1819,#REF!,1,FALSE())),"?TYPE_IDENTIFIABLE","?REFERENTIAL"),"_")))))</f>
        <v> </v>
      </c>
      <c r="H1819" s="24" t="str">
        <f>IF(J1819&lt;&gt;1,"",IF(I1819="SBJ","CB","?"))</f>
        <v> </v>
      </c>
      <c r="I1819" s="25" t="str">
        <f>IF(OR(E1819="",E1819="!!!",F1819="NEW"),"",INDEX(B1818:B$2,-1+SUMPRODUCT(MAX(ROW(E1818:E$2)*(E1819=E1818:E$2)))))</f>
        <v> </v>
      </c>
      <c r="J1819" s="25" t="str">
        <f>IF(OR(E1819="",E1819="!!!",F1819="NEW"),"",COUNTBLANK(OFFSET(A$1,,,SUMPRODUCT(MAX(ROW(E$2:E1819)*(E1819=E$2:E1819)))))-COUNTBLANK(OFFSET(A$1,,,SUMPRODUCT(MAX(ROW(E$1:E1818)*(E2=E$1:E1818))))))</f>
        <v> </v>
      </c>
      <c r="K1819" s="25" t="str">
        <f>IF(OR(E1819="",E1819="!!!",F1819="NEW"),"",INDEX(J$1:J1818,SUMPRODUCT(MAX(ROW(E$1:E1818)*(E1819=E$1:E1818)))))</f>
        <v> </v>
      </c>
      <c r="L1819" s="26"/>
    </row>
    <row r="1820" spans="1:12">
      <c r="A1820" s="20" t="s">
        <v>1313</v>
      </c>
      <c r="E1820" s="21">
        <f>IF(D1820="?OLD","!!!","")</f>
        <v/>
      </c>
      <c r="F1820" s="22" t="str">
        <f>IF(OR(E1820="",E1820="!!!"),"",IF(NOT(ISNA(VLOOKUP(E1820,E$1:E1819,1,FALSE()))),"OLD",IF(AND(E1820&lt;&gt;"",E1820&lt;&gt;"!!!"),"NEW","")))</f>
        <v> </v>
      </c>
      <c r="G1820" s="23" t="str">
        <f>IF(OR(E1820="",E1820="!!!"),"",IF(OR(J1820=0,AND(J1820=1,K1820=1),AND(J1820=1,I1820="SBJ"),AND(J1820=1,I1820=0)),"?IN_FOCUS",IF(J1820&lt;=2,"?ACTIVATED",IF(J1820&lt;&gt;"","?FAMILIAR",IF(F1820="NEW",IF(ISNA(VLOOKUP(E1820,#REF!,1,FALSE())),"?TYPE_IDENTIFIABLE","?REFERENTIAL"),"_")))))</f>
        <v> </v>
      </c>
      <c r="H1820" s="24" t="str">
        <f>IF(J1820&lt;&gt;1,"",IF(I1820="SBJ","CB","?"))</f>
        <v> </v>
      </c>
      <c r="I1820" s="25" t="str">
        <f>IF(OR(E1820="",E1820="!!!",F1820="NEW"),"",INDEX(B1819:B$2,-1+SUMPRODUCT(MAX(ROW(E1819:E$2)*(E1820=E1819:E$2)))))</f>
        <v> </v>
      </c>
      <c r="J1820" s="25" t="str">
        <f>IF(OR(E1820="",E1820="!!!",F1820="NEW"),"",COUNTBLANK(OFFSET(A$1,,,SUMPRODUCT(MAX(ROW(E$2:E1820)*(E1820=E$2:E1820)))))-COUNTBLANK(OFFSET(A$1,,,SUMPRODUCT(MAX(ROW(E$1:E1819)*(E2=E$1:E1819))))))</f>
        <v> </v>
      </c>
      <c r="K1820" s="25" t="str">
        <f>IF(OR(E1820="",E1820="!!!",F1820="NEW"),"",INDEX(J$1:J1819,SUMPRODUCT(MAX(ROW(E$1:E1819)*(E1820=E$1:E1819)))))</f>
        <v> </v>
      </c>
      <c r="L1820" s="26"/>
    </row>
    <row r="1821" spans="1:12">
      <c r="A1821" s="20" t="s">
        <v>633</v>
      </c>
      <c r="E1821" s="21">
        <f>IF(D1821="?OLD","!!!","")</f>
        <v/>
      </c>
      <c r="F1821" s="22" t="str">
        <f>IF(OR(E1821="",E1821="!!!"),"",IF(NOT(ISNA(VLOOKUP(E1821,E$1:E1820,1,FALSE()))),"OLD",IF(AND(E1821&lt;&gt;"",E1821&lt;&gt;"!!!"),"NEW","")))</f>
        <v> </v>
      </c>
      <c r="G1821" s="23" t="str">
        <f>IF(OR(E1821="",E1821="!!!"),"",IF(OR(J1821=0,AND(J1821=1,K1821=1),AND(J1821=1,I1821="SBJ"),AND(J1821=1,I1821=0)),"?IN_FOCUS",IF(J1821&lt;=2,"?ACTIVATED",IF(J1821&lt;&gt;"","?FAMILIAR",IF(F1821="NEW",IF(ISNA(VLOOKUP(E1821,#REF!,1,FALSE())),"?TYPE_IDENTIFIABLE","?REFERENTIAL"),"_")))))</f>
        <v> </v>
      </c>
      <c r="H1821" s="24" t="str">
        <f>IF(J1821&lt;&gt;1,"",IF(I1821="SBJ","CB","?"))</f>
        <v> </v>
      </c>
      <c r="I1821" s="25" t="str">
        <f>IF(OR(E1821="",E1821="!!!",F1821="NEW"),"",INDEX(B1820:B$2,-1+SUMPRODUCT(MAX(ROW(E1820:E$2)*(E1821=E1820:E$2)))))</f>
        <v> </v>
      </c>
      <c r="J1821" s="25" t="str">
        <f>IF(OR(E1821="",E1821="!!!",F1821="NEW"),"",COUNTBLANK(OFFSET(A$1,,,SUMPRODUCT(MAX(ROW(E$2:E1821)*(E1821=E$2:E1821)))))-COUNTBLANK(OFFSET(A$1,,,SUMPRODUCT(MAX(ROW(E$1:E1820)*(E2=E$1:E1820))))))</f>
        <v> </v>
      </c>
      <c r="K1821" s="25" t="str">
        <f>IF(OR(E1821="",E1821="!!!",F1821="NEW"),"",INDEX(J$1:J1820,SUMPRODUCT(MAX(ROW(E$1:E1820)*(E1821=E$1:E1820)))))</f>
        <v> </v>
      </c>
      <c r="L1821" s="26"/>
    </row>
    <row r="1822" spans="1:12">
      <c r="A1822" s="20"/>
    </row>
    <row r="1823" spans="1:12">
      <c r="A1823" s="20" t="s">
        <v>1314</v>
      </c>
    </row>
    <row r="1824" spans="1:12">
      <c r="A1824" s="20" t="s">
        <v>675</v>
      </c>
      <c r="B1824" s="27" t="s">
        <v>636</v>
      </c>
      <c r="C1824" s="27" t="s">
        <v>652</v>
      </c>
      <c r="D1824" s="27" t="s">
        <v>608</v>
      </c>
      <c r="E1824" s="21">
        <f>IF(D1824="?OLD","!!!","")</f>
        <v/>
      </c>
      <c r="F1824" s="22" t="str">
        <f>IF(OR(E1824="",E1824="!!!"),"",IF(NOT(ISNA(VLOOKUP(E1824,E$1:E1823,1,FALSE()))),"OLD",IF(AND(E1824&lt;&gt;"",E1824&lt;&gt;"!!!"),"NEW","")))</f>
        <v> </v>
      </c>
      <c r="G1824" s="23" t="str">
        <f>IF(OR(E1824="",E1824="!!!"),"",IF(OR(J1824=0,AND(J1824=1,K1824=1),AND(J1824=1,I1824="SBJ"),AND(J1824=1,I1824=0)),"?IN_FOCUS",IF(J1824&lt;=2,"?ACTIVATED",IF(J1824&lt;&gt;"","?FAMILIAR",IF(F1824="NEW",IF(ISNA(VLOOKUP(E1824,#REF!,1,FALSE())),"?TYPE_IDENTIFIABLE","?REFERENTIAL"),"_")))))</f>
        <v> </v>
      </c>
      <c r="H1824" s="24" t="str">
        <f>IF(J1824&lt;&gt;1,"",IF(I1824="SBJ","CB","?"))</f>
        <v> </v>
      </c>
      <c r="I1824" s="25" t="str">
        <f>IF(OR(E1824="",E1824="!!!",F1824="NEW"),"",INDEX(B1823:B$2,-1+SUMPRODUCT(MAX(ROW(E1823:E$2)*(E1824=E1823:E$2)))))</f>
        <v> </v>
      </c>
      <c r="J1824" s="25" t="str">
        <f>IF(OR(E1824="",E1824="!!!",F1824="NEW"),"",COUNTBLANK(OFFSET(A$1,,,SUMPRODUCT(MAX(ROW(E$2:E1824)*(E1824=E$2:E1824)))))-COUNTBLANK(OFFSET(A$1,,,SUMPRODUCT(MAX(ROW(E$1:E1823)*(E2=E$1:E1823))))))</f>
        <v> </v>
      </c>
      <c r="K1824" s="25" t="str">
        <f>IF(OR(E1824="",E1824="!!!",F1824="NEW"),"",INDEX(J$1:J1823,SUMPRODUCT(MAX(ROW(E$1:E1823)*(E1824=E$1:E1823)))))</f>
        <v> </v>
      </c>
      <c r="L1824" s="26"/>
    </row>
    <row r="1825" spans="1:12">
      <c r="A1825" s="20" t="s">
        <v>18</v>
      </c>
      <c r="E1825" s="21">
        <f>IF(D1825="?OLD","!!!","")</f>
        <v/>
      </c>
      <c r="F1825" s="22" t="str">
        <f>IF(OR(E1825="",E1825="!!!"),"",IF(NOT(ISNA(VLOOKUP(E1825,E$1:E1824,1,FALSE()))),"OLD",IF(AND(E1825&lt;&gt;"",E1825&lt;&gt;"!!!"),"NEW","")))</f>
        <v> </v>
      </c>
      <c r="G1825" s="23" t="str">
        <f>IF(OR(E1825="",E1825="!!!"),"",IF(OR(J1825=0,AND(J1825=1,K1825=1),AND(J1825=1,I1825="SBJ"),AND(J1825=1,I1825=0)),"?IN_FOCUS",IF(J1825&lt;=2,"?ACTIVATED",IF(J1825&lt;&gt;"","?FAMILIAR",IF(F1825="NEW",IF(ISNA(VLOOKUP(E1825,#REF!,1,FALSE())),"?TYPE_IDENTIFIABLE","?REFERENTIAL"),"_")))))</f>
        <v> </v>
      </c>
      <c r="H1825" s="24" t="str">
        <f>IF(J1825&lt;&gt;1,"",IF(I1825="SBJ","CB","?"))</f>
        <v> </v>
      </c>
      <c r="I1825" s="25" t="str">
        <f>IF(OR(E1825="",E1825="!!!",F1825="NEW"),"",INDEX(B1824:B$2,-1+SUMPRODUCT(MAX(ROW(E1824:E$2)*(E1825=E1824:E$2)))))</f>
        <v> </v>
      </c>
      <c r="J1825" s="25" t="str">
        <f>IF(OR(E1825="",E1825="!!!",F1825="NEW"),"",COUNTBLANK(OFFSET(A$1,,,SUMPRODUCT(MAX(ROW(E$2:E1825)*(E1825=E$2:E1825)))))-COUNTBLANK(OFFSET(A$1,,,SUMPRODUCT(MAX(ROW(E$1:E1824)*(E2=E$1:E1824))))))</f>
        <v> </v>
      </c>
      <c r="K1825" s="25" t="str">
        <f>IF(OR(E1825="",E1825="!!!",F1825="NEW"),"",INDEX(J$1:J1824,SUMPRODUCT(MAX(ROW(E$1:E1824)*(E1825=E$1:E1824)))))</f>
        <v> </v>
      </c>
      <c r="L1825" s="26"/>
    </row>
    <row r="1826" spans="1:12">
      <c r="A1826" s="20" t="s">
        <v>682</v>
      </c>
      <c r="E1826" s="21">
        <f>IF(D1826="?OLD","!!!","")</f>
        <v/>
      </c>
      <c r="F1826" s="22" t="str">
        <f>IF(OR(E1826="",E1826="!!!"),"",IF(NOT(ISNA(VLOOKUP(E1826,E$1:E1825,1,FALSE()))),"OLD",IF(AND(E1826&lt;&gt;"",E1826&lt;&gt;"!!!"),"NEW","")))</f>
        <v> </v>
      </c>
      <c r="G1826" s="23" t="str">
        <f>IF(OR(E1826="",E1826="!!!"),"",IF(OR(J1826=0,AND(J1826=1,K1826=1),AND(J1826=1,I1826="SBJ"),AND(J1826=1,I1826=0)),"?IN_FOCUS",IF(J1826&lt;=2,"?ACTIVATED",IF(J1826&lt;&gt;"","?FAMILIAR",IF(F1826="NEW",IF(ISNA(VLOOKUP(E1826,#REF!,1,FALSE())),"?TYPE_IDENTIFIABLE","?REFERENTIAL"),"_")))))</f>
        <v> </v>
      </c>
      <c r="H1826" s="24" t="str">
        <f>IF(J1826&lt;&gt;1,"",IF(I1826="SBJ","CB","?"))</f>
        <v> </v>
      </c>
      <c r="I1826" s="25" t="str">
        <f>IF(OR(E1826="",E1826="!!!",F1826="NEW"),"",INDEX(B1825:B$2,-1+SUMPRODUCT(MAX(ROW(E1825:E$2)*(E1826=E1825:E$2)))))</f>
        <v> </v>
      </c>
      <c r="J1826" s="25" t="str">
        <f>IF(OR(E1826="",E1826="!!!",F1826="NEW"),"",COUNTBLANK(OFFSET(A$1,,,SUMPRODUCT(MAX(ROW(E$2:E1826)*(E1826=E$2:E1826)))))-COUNTBLANK(OFFSET(A$1,,,SUMPRODUCT(MAX(ROW(E$1:E1825)*(E2=E$1:E1825))))))</f>
        <v> </v>
      </c>
      <c r="K1826" s="25" t="str">
        <f>IF(OR(E1826="",E1826="!!!",F1826="NEW"),"",INDEX(J$1:J1825,SUMPRODUCT(MAX(ROW(E$1:E1825)*(E1826=E$1:E1825)))))</f>
        <v> </v>
      </c>
      <c r="L1826" s="26"/>
    </row>
    <row r="1827" spans="1:12">
      <c r="A1827" s="20" t="s">
        <v>615</v>
      </c>
      <c r="B1827" s="27" t="s">
        <v>653</v>
      </c>
      <c r="C1827" s="27" t="s">
        <v>685</v>
      </c>
      <c r="E1827" s="21">
        <f>IF(D1827="?OLD","!!!","")</f>
        <v/>
      </c>
      <c r="F1827" s="22" t="str">
        <f>IF(OR(E1827="",E1827="!!!"),"",IF(NOT(ISNA(VLOOKUP(E1827,E$1:E1826,1,FALSE()))),"OLD",IF(AND(E1827&lt;&gt;"",E1827&lt;&gt;"!!!"),"NEW","")))</f>
        <v> </v>
      </c>
      <c r="G1827" s="23" t="str">
        <f>IF(OR(E1827="",E1827="!!!"),"",IF(OR(J1827=0,AND(J1827=1,K1827=1),AND(J1827=1,I1827="SBJ"),AND(J1827=1,I1827=0)),"?IN_FOCUS",IF(J1827&lt;=2,"?ACTIVATED",IF(J1827&lt;&gt;"","?FAMILIAR",IF(F1827="NEW",IF(ISNA(VLOOKUP(E1827,#REF!,1,FALSE())),"?TYPE_IDENTIFIABLE","?REFERENTIAL"),"_")))))</f>
        <v> </v>
      </c>
      <c r="H1827" s="24" t="str">
        <f>IF(J1827&lt;&gt;1,"",IF(I1827="SBJ","CB","?"))</f>
        <v> </v>
      </c>
      <c r="I1827" s="25" t="str">
        <f>IF(OR(E1827="",E1827="!!!",F1827="NEW"),"",INDEX(B1826:B$2,-1+SUMPRODUCT(MAX(ROW(E1826:E$2)*(E1827=E1826:E$2)))))</f>
        <v> </v>
      </c>
      <c r="J1827" s="25" t="str">
        <f>IF(OR(E1827="",E1827="!!!",F1827="NEW"),"",COUNTBLANK(OFFSET(A$1,,,SUMPRODUCT(MAX(ROW(E$2:E1827)*(E1827=E$2:E1827)))))-COUNTBLANK(OFFSET(A$1,,,SUMPRODUCT(MAX(ROW(E$1:E1826)*(E2=E$1:E1826))))))</f>
        <v> </v>
      </c>
      <c r="K1827" s="25" t="str">
        <f>IF(OR(E1827="",E1827="!!!",F1827="NEW"),"",INDEX(J$1:J1826,SUMPRODUCT(MAX(ROW(E$1:E1826)*(E1827=E$1:E1826)))))</f>
        <v> </v>
      </c>
      <c r="L1827" s="26"/>
    </row>
    <row r="1828" spans="1:12">
      <c r="A1828" s="20" t="s">
        <v>633</v>
      </c>
      <c r="E1828" s="21">
        <f>IF(D1828="?OLD","!!!","")</f>
        <v/>
      </c>
      <c r="F1828" s="22" t="str">
        <f>IF(OR(E1828="",E1828="!!!"),"",IF(NOT(ISNA(VLOOKUP(E1828,E$1:E1827,1,FALSE()))),"OLD",IF(AND(E1828&lt;&gt;"",E1828&lt;&gt;"!!!"),"NEW","")))</f>
        <v> </v>
      </c>
      <c r="G1828" s="23" t="str">
        <f>IF(OR(E1828="",E1828="!!!"),"",IF(OR(J1828=0,AND(J1828=1,K1828=1),AND(J1828=1,I1828="SBJ"),AND(J1828=1,I1828=0)),"?IN_FOCUS",IF(J1828&lt;=2,"?ACTIVATED",IF(J1828&lt;&gt;"","?FAMILIAR",IF(F1828="NEW",IF(ISNA(VLOOKUP(E1828,#REF!,1,FALSE())),"?TYPE_IDENTIFIABLE","?REFERENTIAL"),"_")))))</f>
        <v> </v>
      </c>
      <c r="H1828" s="24" t="str">
        <f>IF(J1828&lt;&gt;1,"",IF(I1828="SBJ","CB","?"))</f>
        <v> </v>
      </c>
      <c r="I1828" s="25" t="str">
        <f>IF(OR(E1828="",E1828="!!!",F1828="NEW"),"",INDEX(B1827:B$2,-1+SUMPRODUCT(MAX(ROW(E1827:E$2)*(E1828=E1827:E$2)))))</f>
        <v> </v>
      </c>
      <c r="J1828" s="25" t="str">
        <f>IF(OR(E1828="",E1828="!!!",F1828="NEW"),"",COUNTBLANK(OFFSET(A$1,,,SUMPRODUCT(MAX(ROW(E$2:E1828)*(E1828=E$2:E1828)))))-COUNTBLANK(OFFSET(A$1,,,SUMPRODUCT(MAX(ROW(E$1:E1827)*(E2=E$1:E1827))))))</f>
        <v> </v>
      </c>
      <c r="K1828" s="25" t="str">
        <f>IF(OR(E1828="",E1828="!!!",F1828="NEW"),"",INDEX(J$1:J1827,SUMPRODUCT(MAX(ROW(E$1:E1827)*(E1828=E$1:E1827)))))</f>
        <v> </v>
      </c>
      <c r="L1828" s="26"/>
    </row>
    <row r="1829" spans="1:12">
      <c r="A1829" s="20"/>
    </row>
    <row r="1830" spans="1:12">
      <c r="A1830" s="20" t="s">
        <v>1315</v>
      </c>
    </row>
    <row r="1831" spans="1:12">
      <c r="A1831" s="20" t="s">
        <v>635</v>
      </c>
      <c r="B1831" s="27" t="s">
        <v>636</v>
      </c>
      <c r="C1831" s="27" t="s">
        <v>637</v>
      </c>
      <c r="D1831" s="27" t="s">
        <v>608</v>
      </c>
      <c r="E1831" s="21">
        <f>IF(D1831="?OLD","!!!","")</f>
        <v/>
      </c>
      <c r="F1831" s="22" t="str">
        <f>IF(OR(E1831="",E1831="!!!"),"",IF(NOT(ISNA(VLOOKUP(E1831,E$1:E1830,1,FALSE()))),"OLD",IF(AND(E1831&lt;&gt;"",E1831&lt;&gt;"!!!"),"NEW","")))</f>
        <v> </v>
      </c>
      <c r="G1831" s="23" t="str">
        <f>IF(OR(E1831="",E1831="!!!"),"",IF(OR(J1831=0,AND(J1831=1,K1831=1),AND(J1831=1,I1831="SBJ"),AND(J1831=1,I1831=0)),"?IN_FOCUS",IF(J1831&lt;=2,"?ACTIVATED",IF(J1831&lt;&gt;"","?FAMILIAR",IF(F1831="NEW",IF(ISNA(VLOOKUP(E1831,#REF!,1,FALSE())),"?TYPE_IDENTIFIABLE","?REFERENTIAL"),"_")))))</f>
        <v> </v>
      </c>
      <c r="H1831" s="24" t="str">
        <f>IF(J1831&lt;&gt;1,"",IF(I1831="SBJ","CB","?"))</f>
        <v> </v>
      </c>
      <c r="I1831" s="25" t="str">
        <f>IF(OR(E1831="",E1831="!!!",F1831="NEW"),"",INDEX(B1830:B$2,-1+SUMPRODUCT(MAX(ROW(E1830:E$2)*(E1831=E1830:E$2)))))</f>
        <v> </v>
      </c>
      <c r="J1831" s="25" t="str">
        <f>IF(OR(E1831="",E1831="!!!",F1831="NEW"),"",COUNTBLANK(OFFSET(A$1,,,SUMPRODUCT(MAX(ROW(E$2:E1831)*(E1831=E$2:E1831)))))-COUNTBLANK(OFFSET(A$1,,,SUMPRODUCT(MAX(ROW(E$1:E1830)*(E2=E$1:E1830))))))</f>
        <v> </v>
      </c>
      <c r="K1831" s="25" t="str">
        <f>IF(OR(E1831="",E1831="!!!",F1831="NEW"),"",INDEX(J$1:J1830,SUMPRODUCT(MAX(ROW(E$1:E1830)*(E1831=E$1:E1830)))))</f>
        <v> </v>
      </c>
      <c r="L1831" s="26"/>
    </row>
    <row r="1832" spans="1:12">
      <c r="A1832" s="20" t="s">
        <v>612</v>
      </c>
      <c r="E1832" s="21">
        <f>IF(D1832="?OLD","!!!","")</f>
        <v/>
      </c>
      <c r="F1832" s="22" t="str">
        <f>IF(OR(E1832="",E1832="!!!"),"",IF(NOT(ISNA(VLOOKUP(E1832,E$1:E1831,1,FALSE()))),"OLD",IF(AND(E1832&lt;&gt;"",E1832&lt;&gt;"!!!"),"NEW","")))</f>
        <v> </v>
      </c>
      <c r="G1832" s="23" t="str">
        <f>IF(OR(E1832="",E1832="!!!"),"",IF(OR(J1832=0,AND(J1832=1,K1832=1),AND(J1832=1,I1832="SBJ"),AND(J1832=1,I1832=0)),"?IN_FOCUS",IF(J1832&lt;=2,"?ACTIVATED",IF(J1832&lt;&gt;"","?FAMILIAR",IF(F1832="NEW",IF(ISNA(VLOOKUP(E1832,#REF!,1,FALSE())),"?TYPE_IDENTIFIABLE","?REFERENTIAL"),"_")))))</f>
        <v> </v>
      </c>
      <c r="H1832" s="24" t="str">
        <f>IF(J1832&lt;&gt;1,"",IF(I1832="SBJ","CB","?"))</f>
        <v> </v>
      </c>
      <c r="I1832" s="25" t="str">
        <f>IF(OR(E1832="",E1832="!!!",F1832="NEW"),"",INDEX(B1831:B$2,-1+SUMPRODUCT(MAX(ROW(E1831:E$2)*(E1832=E1831:E$2)))))</f>
        <v> </v>
      </c>
      <c r="J1832" s="25" t="str">
        <f>IF(OR(E1832="",E1832="!!!",F1832="NEW"),"",COUNTBLANK(OFFSET(A$1,,,SUMPRODUCT(MAX(ROW(E$2:E1832)*(E1832=E$2:E1832)))))-COUNTBLANK(OFFSET(A$1,,,SUMPRODUCT(MAX(ROW(E$1:E1831)*(E2=E$1:E1831))))))</f>
        <v> </v>
      </c>
      <c r="K1832" s="25" t="str">
        <f>IF(OR(E1832="",E1832="!!!",F1832="NEW"),"",INDEX(J$1:J1831,SUMPRODUCT(MAX(ROW(E$1:E1831)*(E1832=E$1:E1831)))))</f>
        <v> </v>
      </c>
      <c r="L1832" s="26"/>
    </row>
    <row r="1833" spans="1:12">
      <c r="A1833" s="20" t="s">
        <v>1316</v>
      </c>
      <c r="E1833" s="21">
        <f>IF(D1833="?OLD","!!!","")</f>
        <v/>
      </c>
      <c r="F1833" s="22" t="str">
        <f>IF(OR(E1833="",E1833="!!!"),"",IF(NOT(ISNA(VLOOKUP(E1833,E$1:E1832,1,FALSE()))),"OLD",IF(AND(E1833&lt;&gt;"",E1833&lt;&gt;"!!!"),"NEW","")))</f>
        <v> </v>
      </c>
      <c r="G1833" s="23" t="str">
        <f>IF(OR(E1833="",E1833="!!!"),"",IF(OR(J1833=0,AND(J1833=1,K1833=1),AND(J1833=1,I1833="SBJ"),AND(J1833=1,I1833=0)),"?IN_FOCUS",IF(J1833&lt;=2,"?ACTIVATED",IF(J1833&lt;&gt;"","?FAMILIAR",IF(F1833="NEW",IF(ISNA(VLOOKUP(E1833,#REF!,1,FALSE())),"?TYPE_IDENTIFIABLE","?REFERENTIAL"),"_")))))</f>
        <v> </v>
      </c>
      <c r="H1833" s="24" t="str">
        <f>IF(J1833&lt;&gt;1,"",IF(I1833="SBJ","CB","?"))</f>
        <v> </v>
      </c>
      <c r="I1833" s="25" t="str">
        <f>IF(OR(E1833="",E1833="!!!",F1833="NEW"),"",INDEX(B1832:B$2,-1+SUMPRODUCT(MAX(ROW(E1832:E$2)*(E1833=E1832:E$2)))))</f>
        <v> </v>
      </c>
      <c r="J1833" s="25" t="str">
        <f>IF(OR(E1833="",E1833="!!!",F1833="NEW"),"",COUNTBLANK(OFFSET(A$1,,,SUMPRODUCT(MAX(ROW(E$2:E1833)*(E1833=E$2:E1833)))))-COUNTBLANK(OFFSET(A$1,,,SUMPRODUCT(MAX(ROW(E$1:E1832)*(E2=E$1:E1832))))))</f>
        <v> </v>
      </c>
      <c r="K1833" s="25" t="str">
        <f>IF(OR(E1833="",E1833="!!!",F1833="NEW"),"",INDEX(J$1:J1832,SUMPRODUCT(MAX(ROW(E$1:E1832)*(E1833=E$1:E1832)))))</f>
        <v> </v>
      </c>
      <c r="L1833" s="26"/>
    </row>
    <row r="1834" spans="1:12">
      <c r="A1834" s="20" t="s">
        <v>1317</v>
      </c>
      <c r="E1834" s="21">
        <f>IF(D1834="?OLD","!!!","")</f>
        <v/>
      </c>
      <c r="F1834" s="22" t="str">
        <f>IF(OR(E1834="",E1834="!!!"),"",IF(NOT(ISNA(VLOOKUP(E1834,E$1:E1833,1,FALSE()))),"OLD",IF(AND(E1834&lt;&gt;"",E1834&lt;&gt;"!!!"),"NEW","")))</f>
        <v> </v>
      </c>
      <c r="G1834" s="23" t="str">
        <f>IF(OR(E1834="",E1834="!!!"),"",IF(OR(J1834=0,AND(J1834=1,K1834=1),AND(J1834=1,I1834="SBJ"),AND(J1834=1,I1834=0)),"?IN_FOCUS",IF(J1834&lt;=2,"?ACTIVATED",IF(J1834&lt;&gt;"","?FAMILIAR",IF(F1834="NEW",IF(ISNA(VLOOKUP(E1834,#REF!,1,FALSE())),"?TYPE_IDENTIFIABLE","?REFERENTIAL"),"_")))))</f>
        <v> </v>
      </c>
      <c r="H1834" s="24" t="str">
        <f>IF(J1834&lt;&gt;1,"",IF(I1834="SBJ","CB","?"))</f>
        <v> </v>
      </c>
      <c r="I1834" s="25" t="str">
        <f>IF(OR(E1834="",E1834="!!!",F1834="NEW"),"",INDEX(B1833:B$2,-1+SUMPRODUCT(MAX(ROW(E1833:E$2)*(E1834=E1833:E$2)))))</f>
        <v> </v>
      </c>
      <c r="J1834" s="25" t="str">
        <f>IF(OR(E1834="",E1834="!!!",F1834="NEW"),"",COUNTBLANK(OFFSET(A$1,,,SUMPRODUCT(MAX(ROW(E$2:E1834)*(E1834=E$2:E1834)))))-COUNTBLANK(OFFSET(A$1,,,SUMPRODUCT(MAX(ROW(E$1:E1833)*(E2=E$1:E1833))))))</f>
        <v> </v>
      </c>
      <c r="K1834" s="25" t="str">
        <f>IF(OR(E1834="",E1834="!!!",F1834="NEW"),"",INDEX(J$1:J1833,SUMPRODUCT(MAX(ROW(E$1:E1833)*(E1834=E$1:E1833)))))</f>
        <v> </v>
      </c>
      <c r="L1834" s="26"/>
    </row>
    <row r="1835" spans="1:12">
      <c r="A1835" s="20" t="s">
        <v>617</v>
      </c>
      <c r="E1835" s="21">
        <f>IF(D1835="?OLD","!!!","")</f>
        <v/>
      </c>
      <c r="F1835" s="22" t="str">
        <f>IF(OR(E1835="",E1835="!!!"),"",IF(NOT(ISNA(VLOOKUP(E1835,E$1:E1834,1,FALSE()))),"OLD",IF(AND(E1835&lt;&gt;"",E1835&lt;&gt;"!!!"),"NEW","")))</f>
        <v> </v>
      </c>
      <c r="G1835" s="23" t="str">
        <f>IF(OR(E1835="",E1835="!!!"),"",IF(OR(J1835=0,AND(J1835=1,K1835=1),AND(J1835=1,I1835="SBJ"),AND(J1835=1,I1835=0)),"?IN_FOCUS",IF(J1835&lt;=2,"?ACTIVATED",IF(J1835&lt;&gt;"","?FAMILIAR",IF(F1835="NEW",IF(ISNA(VLOOKUP(E1835,#REF!,1,FALSE())),"?TYPE_IDENTIFIABLE","?REFERENTIAL"),"_")))))</f>
        <v> </v>
      </c>
      <c r="H1835" s="24" t="str">
        <f>IF(J1835&lt;&gt;1,"",IF(I1835="SBJ","CB","?"))</f>
        <v> </v>
      </c>
      <c r="I1835" s="25" t="str">
        <f>IF(OR(E1835="",E1835="!!!",F1835="NEW"),"",INDEX(B1834:B$2,-1+SUMPRODUCT(MAX(ROW(E1834:E$2)*(E1835=E1834:E$2)))))</f>
        <v> </v>
      </c>
      <c r="J1835" s="25" t="str">
        <f>IF(OR(E1835="",E1835="!!!",F1835="NEW"),"",COUNTBLANK(OFFSET(A$1,,,SUMPRODUCT(MAX(ROW(E$2:E1835)*(E1835=E$2:E1835)))))-COUNTBLANK(OFFSET(A$1,,,SUMPRODUCT(MAX(ROW(E$1:E1834)*(E2=E$1:E1834))))))</f>
        <v> </v>
      </c>
      <c r="K1835" s="25" t="str">
        <f>IF(OR(E1835="",E1835="!!!",F1835="NEW"),"",INDEX(J$1:J1834,SUMPRODUCT(MAX(ROW(E$1:E1834)*(E1835=E$1:E1834)))))</f>
        <v> </v>
      </c>
      <c r="L1835" s="26"/>
    </row>
    <row r="1836" spans="1:12">
      <c r="A1836" s="20" t="s">
        <v>682</v>
      </c>
      <c r="E1836" s="21">
        <f>IF(D1836="?OLD","!!!","")</f>
        <v/>
      </c>
      <c r="F1836" s="22" t="str">
        <f>IF(OR(E1836="",E1836="!!!"),"",IF(NOT(ISNA(VLOOKUP(E1836,E$1:E1835,1,FALSE()))),"OLD",IF(AND(E1836&lt;&gt;"",E1836&lt;&gt;"!!!"),"NEW","")))</f>
        <v> </v>
      </c>
      <c r="G1836" s="23" t="str">
        <f>IF(OR(E1836="",E1836="!!!"),"",IF(OR(J1836=0,AND(J1836=1,K1836=1),AND(J1836=1,I1836="SBJ"),AND(J1836=1,I1836=0)),"?IN_FOCUS",IF(J1836&lt;=2,"?ACTIVATED",IF(J1836&lt;&gt;"","?FAMILIAR",IF(F1836="NEW",IF(ISNA(VLOOKUP(E1836,#REF!,1,FALSE())),"?TYPE_IDENTIFIABLE","?REFERENTIAL"),"_")))))</f>
        <v> </v>
      </c>
      <c r="H1836" s="24" t="str">
        <f>IF(J1836&lt;&gt;1,"",IF(I1836="SBJ","CB","?"))</f>
        <v> </v>
      </c>
      <c r="I1836" s="25" t="str">
        <f>IF(OR(E1836="",E1836="!!!",F1836="NEW"),"",INDEX(B1835:B$2,-1+SUMPRODUCT(MAX(ROW(E1835:E$2)*(E1836=E1835:E$2)))))</f>
        <v> </v>
      </c>
      <c r="J1836" s="25" t="str">
        <f>IF(OR(E1836="",E1836="!!!",F1836="NEW"),"",COUNTBLANK(OFFSET(A$1,,,SUMPRODUCT(MAX(ROW(E$2:E1836)*(E1836=E$2:E1836)))))-COUNTBLANK(OFFSET(A$1,,,SUMPRODUCT(MAX(ROW(E$1:E1835)*(E2=E$1:E1835))))))</f>
        <v> </v>
      </c>
      <c r="K1836" s="25" t="str">
        <f>IF(OR(E1836="",E1836="!!!",F1836="NEW"),"",INDEX(J$1:J1835,SUMPRODUCT(MAX(ROW(E$1:E1835)*(E1836=E$1:E1835)))))</f>
        <v> </v>
      </c>
      <c r="L1836" s="26"/>
    </row>
    <row r="1837" spans="1:12">
      <c r="A1837" s="20" t="s">
        <v>1062</v>
      </c>
      <c r="E1837" s="21">
        <f>IF(D1837="?OLD","!!!","")</f>
        <v/>
      </c>
      <c r="F1837" s="22" t="str">
        <f>IF(OR(E1837="",E1837="!!!"),"",IF(NOT(ISNA(VLOOKUP(E1837,E$1:E1836,1,FALSE()))),"OLD",IF(AND(E1837&lt;&gt;"",E1837&lt;&gt;"!!!"),"NEW","")))</f>
        <v> </v>
      </c>
      <c r="G1837" s="23" t="str">
        <f>IF(OR(E1837="",E1837="!!!"),"",IF(OR(J1837=0,AND(J1837=1,K1837=1),AND(J1837=1,I1837="SBJ"),AND(J1837=1,I1837=0)),"?IN_FOCUS",IF(J1837&lt;=2,"?ACTIVATED",IF(J1837&lt;&gt;"","?FAMILIAR",IF(F1837="NEW",IF(ISNA(VLOOKUP(E1837,#REF!,1,FALSE())),"?TYPE_IDENTIFIABLE","?REFERENTIAL"),"_")))))</f>
        <v> </v>
      </c>
      <c r="H1837" s="24" t="str">
        <f>IF(J1837&lt;&gt;1,"",IF(I1837="SBJ","CB","?"))</f>
        <v> </v>
      </c>
      <c r="I1837" s="25" t="str">
        <f>IF(OR(E1837="",E1837="!!!",F1837="NEW"),"",INDEX(B1836:B$2,-1+SUMPRODUCT(MAX(ROW(E1836:E$2)*(E1837=E1836:E$2)))))</f>
        <v> </v>
      </c>
      <c r="J1837" s="25" t="str">
        <f>IF(OR(E1837="",E1837="!!!",F1837="NEW"),"",COUNTBLANK(OFFSET(A$1,,,SUMPRODUCT(MAX(ROW(E$2:E1837)*(E1837=E$2:E1837)))))-COUNTBLANK(OFFSET(A$1,,,SUMPRODUCT(MAX(ROW(E$1:E1836)*(E2=E$1:E1836))))))</f>
        <v> </v>
      </c>
      <c r="K1837" s="25" t="str">
        <f>IF(OR(E1837="",E1837="!!!",F1837="NEW"),"",INDEX(J$1:J1836,SUMPRODUCT(MAX(ROW(E$1:E1836)*(E1837=E$1:E1836)))))</f>
        <v> </v>
      </c>
      <c r="L1837" s="26"/>
    </row>
    <row r="1838" spans="1:12">
      <c r="A1838" s="20" t="s">
        <v>187</v>
      </c>
      <c r="B1838" s="27" t="s">
        <v>606</v>
      </c>
      <c r="C1838" s="27" t="s">
        <v>685</v>
      </c>
      <c r="E1838" s="21">
        <f>IF(D1838="?OLD","!!!","")</f>
        <v/>
      </c>
      <c r="F1838" s="22" t="str">
        <f>IF(OR(E1838="",E1838="!!!"),"",IF(NOT(ISNA(VLOOKUP(E1838,E$1:E1837,1,FALSE()))),"OLD",IF(AND(E1838&lt;&gt;"",E1838&lt;&gt;"!!!"),"NEW","")))</f>
        <v> </v>
      </c>
      <c r="G1838" s="23" t="str">
        <f>IF(OR(E1838="",E1838="!!!"),"",IF(OR(J1838=0,AND(J1838=1,K1838=1),AND(J1838=1,I1838="SBJ"),AND(J1838=1,I1838=0)),"?IN_FOCUS",IF(J1838&lt;=2,"?ACTIVATED",IF(J1838&lt;&gt;"","?FAMILIAR",IF(F1838="NEW",IF(ISNA(VLOOKUP(E1838,#REF!,1,FALSE())),"?TYPE_IDENTIFIABLE","?REFERENTIAL"),"_")))))</f>
        <v> </v>
      </c>
      <c r="H1838" s="24" t="str">
        <f>IF(J1838&lt;&gt;1,"",IF(I1838="SBJ","CB","?"))</f>
        <v> </v>
      </c>
      <c r="I1838" s="25" t="str">
        <f>IF(OR(E1838="",E1838="!!!",F1838="NEW"),"",INDEX(B1837:B$2,-1+SUMPRODUCT(MAX(ROW(E1837:E$2)*(E1838=E1837:E$2)))))</f>
        <v> </v>
      </c>
      <c r="J1838" s="25" t="str">
        <f>IF(OR(E1838="",E1838="!!!",F1838="NEW"),"",COUNTBLANK(OFFSET(A$1,,,SUMPRODUCT(MAX(ROW(E$2:E1838)*(E1838=E$2:E1838)))))-COUNTBLANK(OFFSET(A$1,,,SUMPRODUCT(MAX(ROW(E$1:E1837)*(E2=E$1:E1837))))))</f>
        <v> </v>
      </c>
      <c r="K1838" s="25" t="str">
        <f>IF(OR(E1838="",E1838="!!!",F1838="NEW"),"",INDEX(J$1:J1837,SUMPRODUCT(MAX(ROW(E$1:E1837)*(E1838=E$1:E1837)))))</f>
        <v> </v>
      </c>
      <c r="L1838" s="26"/>
    </row>
    <row r="1839" spans="1:12">
      <c r="A1839" s="20" t="s">
        <v>617</v>
      </c>
      <c r="E1839" s="21">
        <f>IF(D1839="?OLD","!!!","")</f>
        <v/>
      </c>
      <c r="F1839" s="22" t="str">
        <f>IF(OR(E1839="",E1839="!!!"),"",IF(NOT(ISNA(VLOOKUP(E1839,E$1:E1838,1,FALSE()))),"OLD",IF(AND(E1839&lt;&gt;"",E1839&lt;&gt;"!!!"),"NEW","")))</f>
        <v> </v>
      </c>
      <c r="G1839" s="23" t="str">
        <f>IF(OR(E1839="",E1839="!!!"),"",IF(OR(J1839=0,AND(J1839=1,K1839=1),AND(J1839=1,I1839="SBJ"),AND(J1839=1,I1839=0)),"?IN_FOCUS",IF(J1839&lt;=2,"?ACTIVATED",IF(J1839&lt;&gt;"","?FAMILIAR",IF(F1839="NEW",IF(ISNA(VLOOKUP(E1839,#REF!,1,FALSE())),"?TYPE_IDENTIFIABLE","?REFERENTIAL"),"_")))))</f>
        <v> </v>
      </c>
      <c r="H1839" s="24" t="str">
        <f>IF(J1839&lt;&gt;1,"",IF(I1839="SBJ","CB","?"))</f>
        <v> </v>
      </c>
      <c r="I1839" s="25" t="str">
        <f>IF(OR(E1839="",E1839="!!!",F1839="NEW"),"",INDEX(B1838:B$2,-1+SUMPRODUCT(MAX(ROW(E1838:E$2)*(E1839=E1838:E$2)))))</f>
        <v> </v>
      </c>
      <c r="J1839" s="25" t="str">
        <f>IF(OR(E1839="",E1839="!!!",F1839="NEW"),"",COUNTBLANK(OFFSET(A$1,,,SUMPRODUCT(MAX(ROW(E$2:E1839)*(E1839=E$2:E1839)))))-COUNTBLANK(OFFSET(A$1,,,SUMPRODUCT(MAX(ROW(E$1:E1838)*(E2=E$1:E1838))))))</f>
        <v> </v>
      </c>
      <c r="K1839" s="25" t="str">
        <f>IF(OR(E1839="",E1839="!!!",F1839="NEW"),"",INDEX(J$1:J1838,SUMPRODUCT(MAX(ROW(E$1:E1838)*(E1839=E$1:E1838)))))</f>
        <v> </v>
      </c>
      <c r="L1839" s="26"/>
    </row>
    <row r="1840" spans="1:12">
      <c r="A1840" s="20" t="s">
        <v>644</v>
      </c>
      <c r="E1840" s="21">
        <f>IF(D1840="?OLD","!!!","")</f>
        <v/>
      </c>
      <c r="F1840" s="22" t="str">
        <f>IF(OR(E1840="",E1840="!!!"),"",IF(NOT(ISNA(VLOOKUP(E1840,E$1:E1839,1,FALSE()))),"OLD",IF(AND(E1840&lt;&gt;"",E1840&lt;&gt;"!!!"),"NEW","")))</f>
        <v> </v>
      </c>
      <c r="G1840" s="23" t="str">
        <f>IF(OR(E1840="",E1840="!!!"),"",IF(OR(J1840=0,AND(J1840=1,K1840=1),AND(J1840=1,I1840="SBJ"),AND(J1840=1,I1840=0)),"?IN_FOCUS",IF(J1840&lt;=2,"?ACTIVATED",IF(J1840&lt;&gt;"","?FAMILIAR",IF(F1840="NEW",IF(ISNA(VLOOKUP(E1840,#REF!,1,FALSE())),"?TYPE_IDENTIFIABLE","?REFERENTIAL"),"_")))))</f>
        <v> </v>
      </c>
      <c r="H1840" s="24" t="str">
        <f>IF(J1840&lt;&gt;1,"",IF(I1840="SBJ","CB","?"))</f>
        <v> </v>
      </c>
      <c r="I1840" s="25" t="str">
        <f>IF(OR(E1840="",E1840="!!!",F1840="NEW"),"",INDEX(B1839:B$2,-1+SUMPRODUCT(MAX(ROW(E1839:E$2)*(E1840=E1839:E$2)))))</f>
        <v> </v>
      </c>
      <c r="J1840" s="25" t="str">
        <f>IF(OR(E1840="",E1840="!!!",F1840="NEW"),"",COUNTBLANK(OFFSET(A$1,,,SUMPRODUCT(MAX(ROW(E$2:E1840)*(E1840=E$2:E1840)))))-COUNTBLANK(OFFSET(A$1,,,SUMPRODUCT(MAX(ROW(E$1:E1839)*(E2=E$1:E1839))))))</f>
        <v> </v>
      </c>
      <c r="K1840" s="25" t="str">
        <f>IF(OR(E1840="",E1840="!!!",F1840="NEW"),"",INDEX(J$1:J1839,SUMPRODUCT(MAX(ROW(E$1:E1839)*(E1840=E$1:E1839)))))</f>
        <v> </v>
      </c>
      <c r="L1840" s="26"/>
    </row>
    <row r="1841" spans="1:12">
      <c r="A1841" s="20" t="s">
        <v>618</v>
      </c>
      <c r="E1841" s="21">
        <f>IF(D1841="?OLD","!!!","")</f>
        <v/>
      </c>
      <c r="F1841" s="22" t="str">
        <f>IF(OR(E1841="",E1841="!!!"),"",IF(NOT(ISNA(VLOOKUP(E1841,E$1:E1840,1,FALSE()))),"OLD",IF(AND(E1841&lt;&gt;"",E1841&lt;&gt;"!!!"),"NEW","")))</f>
        <v> </v>
      </c>
      <c r="G1841" s="23" t="str">
        <f>IF(OR(E1841="",E1841="!!!"),"",IF(OR(J1841=0,AND(J1841=1,K1841=1),AND(J1841=1,I1841="SBJ"),AND(J1841=1,I1841=0)),"?IN_FOCUS",IF(J1841&lt;=2,"?ACTIVATED",IF(J1841&lt;&gt;"","?FAMILIAR",IF(F1841="NEW",IF(ISNA(VLOOKUP(E1841,#REF!,1,FALSE())),"?TYPE_IDENTIFIABLE","?REFERENTIAL"),"_")))))</f>
        <v> </v>
      </c>
      <c r="H1841" s="24" t="str">
        <f>IF(J1841&lt;&gt;1,"",IF(I1841="SBJ","CB","?"))</f>
        <v> </v>
      </c>
      <c r="I1841" s="25" t="str">
        <f>IF(OR(E1841="",E1841="!!!",F1841="NEW"),"",INDEX(B1840:B$2,-1+SUMPRODUCT(MAX(ROW(E1840:E$2)*(E1841=E1840:E$2)))))</f>
        <v> </v>
      </c>
      <c r="J1841" s="25" t="str">
        <f>IF(OR(E1841="",E1841="!!!",F1841="NEW"),"",COUNTBLANK(OFFSET(A$1,,,SUMPRODUCT(MAX(ROW(E$2:E1841)*(E1841=E$2:E1841)))))-COUNTBLANK(OFFSET(A$1,,,SUMPRODUCT(MAX(ROW(E$1:E1840)*(E2=E$1:E1840))))))</f>
        <v> </v>
      </c>
      <c r="K1841" s="25" t="str">
        <f>IF(OR(E1841="",E1841="!!!",F1841="NEW"),"",INDEX(J$1:J1840,SUMPRODUCT(MAX(ROW(E$1:E1840)*(E1841=E$1:E1840)))))</f>
        <v> </v>
      </c>
      <c r="L1841" s="26"/>
    </row>
    <row r="1842" spans="1:12">
      <c r="A1842" s="20" t="s">
        <v>1318</v>
      </c>
      <c r="E1842" s="21">
        <f>IF(D1842="?OLD","!!!","")</f>
        <v/>
      </c>
      <c r="F1842" s="22" t="str">
        <f>IF(OR(E1842="",E1842="!!!"),"",IF(NOT(ISNA(VLOOKUP(E1842,E$1:E1841,1,FALSE()))),"OLD",IF(AND(E1842&lt;&gt;"",E1842&lt;&gt;"!!!"),"NEW","")))</f>
        <v> </v>
      </c>
      <c r="G1842" s="23" t="str">
        <f>IF(OR(E1842="",E1842="!!!"),"",IF(OR(J1842=0,AND(J1842=1,K1842=1),AND(J1842=1,I1842="SBJ"),AND(J1842=1,I1842=0)),"?IN_FOCUS",IF(J1842&lt;=2,"?ACTIVATED",IF(J1842&lt;&gt;"","?FAMILIAR",IF(F1842="NEW",IF(ISNA(VLOOKUP(E1842,#REF!,1,FALSE())),"?TYPE_IDENTIFIABLE","?REFERENTIAL"),"_")))))</f>
        <v> </v>
      </c>
      <c r="H1842" s="24" t="str">
        <f>IF(J1842&lt;&gt;1,"",IF(I1842="SBJ","CB","?"))</f>
        <v> </v>
      </c>
      <c r="I1842" s="25" t="str">
        <f>IF(OR(E1842="",E1842="!!!",F1842="NEW"),"",INDEX(B1841:B$2,-1+SUMPRODUCT(MAX(ROW(E1841:E$2)*(E1842=E1841:E$2)))))</f>
        <v> </v>
      </c>
      <c r="J1842" s="25" t="str">
        <f>IF(OR(E1842="",E1842="!!!",F1842="NEW"),"",COUNTBLANK(OFFSET(A$1,,,SUMPRODUCT(MAX(ROW(E$2:E1842)*(E1842=E$2:E1842)))))-COUNTBLANK(OFFSET(A$1,,,SUMPRODUCT(MAX(ROW(E$1:E1841)*(E2=E$1:E1841))))))</f>
        <v> </v>
      </c>
      <c r="K1842" s="25" t="str">
        <f>IF(OR(E1842="",E1842="!!!",F1842="NEW"),"",INDEX(J$1:J1841,SUMPRODUCT(MAX(ROW(E$1:E1841)*(E1842=E$1:E1841)))))</f>
        <v> </v>
      </c>
      <c r="L1842" s="26"/>
    </row>
    <row r="1843" spans="1:12">
      <c r="A1843" s="20" t="s">
        <v>1319</v>
      </c>
      <c r="E1843" s="21">
        <f>IF(D1843="?OLD","!!!","")</f>
        <v/>
      </c>
      <c r="F1843" s="22" t="str">
        <f>IF(OR(E1843="",E1843="!!!"),"",IF(NOT(ISNA(VLOOKUP(E1843,E$1:E1842,1,FALSE()))),"OLD",IF(AND(E1843&lt;&gt;"",E1843&lt;&gt;"!!!"),"NEW","")))</f>
        <v> </v>
      </c>
      <c r="G1843" s="23" t="str">
        <f>IF(OR(E1843="",E1843="!!!"),"",IF(OR(J1843=0,AND(J1843=1,K1843=1),AND(J1843=1,I1843="SBJ"),AND(J1843=1,I1843=0)),"?IN_FOCUS",IF(J1843&lt;=2,"?ACTIVATED",IF(J1843&lt;&gt;"","?FAMILIAR",IF(F1843="NEW",IF(ISNA(VLOOKUP(E1843,#REF!,1,FALSE())),"?TYPE_IDENTIFIABLE","?REFERENTIAL"),"_")))))</f>
        <v> </v>
      </c>
      <c r="H1843" s="24" t="str">
        <f>IF(J1843&lt;&gt;1,"",IF(I1843="SBJ","CB","?"))</f>
        <v> </v>
      </c>
      <c r="I1843" s="25" t="str">
        <f>IF(OR(E1843="",E1843="!!!",F1843="NEW"),"",INDEX(B1842:B$2,-1+SUMPRODUCT(MAX(ROW(E1842:E$2)*(E1843=E1842:E$2)))))</f>
        <v> </v>
      </c>
      <c r="J1843" s="25" t="str">
        <f>IF(OR(E1843="",E1843="!!!",F1843="NEW"),"",COUNTBLANK(OFFSET(A$1,,,SUMPRODUCT(MAX(ROW(E$2:E1843)*(E1843=E$2:E1843)))))-COUNTBLANK(OFFSET(A$1,,,SUMPRODUCT(MAX(ROW(E$1:E1842)*(E2=E$1:E1842))))))</f>
        <v> </v>
      </c>
      <c r="K1843" s="25" t="str">
        <f>IF(OR(E1843="",E1843="!!!",F1843="NEW"),"",INDEX(J$1:J1842,SUMPRODUCT(MAX(ROW(E$1:E1842)*(E1843=E$1:E1842)))))</f>
        <v> </v>
      </c>
      <c r="L1843" s="26"/>
    </row>
    <row r="1844" spans="1:12">
      <c r="A1844" s="20" t="s">
        <v>1320</v>
      </c>
      <c r="B1844" s="27" t="s">
        <v>619</v>
      </c>
      <c r="C1844" s="27" t="s">
        <v>607</v>
      </c>
      <c r="D1844" s="27" t="s">
        <v>608</v>
      </c>
      <c r="E1844" s="21">
        <f>IF(D1844="?OLD","!!!","")</f>
        <v/>
      </c>
      <c r="F1844" s="22" t="str">
        <f>IF(OR(E1844="",E1844="!!!"),"",IF(NOT(ISNA(VLOOKUP(E1844,E$1:E1843,1,FALSE()))),"OLD",IF(AND(E1844&lt;&gt;"",E1844&lt;&gt;"!!!"),"NEW","")))</f>
        <v> </v>
      </c>
      <c r="G1844" s="23" t="str">
        <f>IF(OR(E1844="",E1844="!!!"),"",IF(OR(J1844=0,AND(J1844=1,K1844=1),AND(J1844=1,I1844="SBJ"),AND(J1844=1,I1844=0)),"?IN_FOCUS",IF(J1844&lt;=2,"?ACTIVATED",IF(J1844&lt;&gt;"","?FAMILIAR",IF(F1844="NEW",IF(ISNA(VLOOKUP(E1844,#REF!,1,FALSE())),"?TYPE_IDENTIFIABLE","?REFERENTIAL"),"_")))))</f>
        <v> </v>
      </c>
      <c r="H1844" s="24" t="str">
        <f>IF(J1844&lt;&gt;1,"",IF(I1844="SBJ","CB","?"))</f>
        <v> </v>
      </c>
      <c r="I1844" s="25" t="str">
        <f>IF(OR(E1844="",E1844="!!!",F1844="NEW"),"",INDEX(B1843:B$2,-1+SUMPRODUCT(MAX(ROW(E1843:E$2)*(E1844=E1843:E$2)))))</f>
        <v> </v>
      </c>
      <c r="J1844" s="25" t="str">
        <f>IF(OR(E1844="",E1844="!!!",F1844="NEW"),"",COUNTBLANK(OFFSET(A$1,,,SUMPRODUCT(MAX(ROW(E$2:E1844)*(E1844=E$2:E1844)))))-COUNTBLANK(OFFSET(A$1,,,SUMPRODUCT(MAX(ROW(E$1:E1843)*(E2=E$1:E1843))))))</f>
        <v> </v>
      </c>
      <c r="K1844" s="25" t="str">
        <f>IF(OR(E1844="",E1844="!!!",F1844="NEW"),"",INDEX(J$1:J1843,SUMPRODUCT(MAX(ROW(E$1:E1843)*(E1844=E$1:E1843)))))</f>
        <v> </v>
      </c>
      <c r="L1844" s="26"/>
    </row>
    <row r="1845" spans="1:12">
      <c r="A1845" s="20" t="s">
        <v>1321</v>
      </c>
      <c r="E1845" s="21">
        <f>IF(D1845="?OLD","!!!","")</f>
        <v/>
      </c>
      <c r="F1845" s="22" t="str">
        <f>IF(OR(E1845="",E1845="!!!"),"",IF(NOT(ISNA(VLOOKUP(E1845,E$1:E1844,1,FALSE()))),"OLD",IF(AND(E1845&lt;&gt;"",E1845&lt;&gt;"!!!"),"NEW","")))</f>
        <v> </v>
      </c>
      <c r="G1845" s="23" t="str">
        <f>IF(OR(E1845="",E1845="!!!"),"",IF(OR(J1845=0,AND(J1845=1,K1845=1),AND(J1845=1,I1845="SBJ"),AND(J1845=1,I1845=0)),"?IN_FOCUS",IF(J1845&lt;=2,"?ACTIVATED",IF(J1845&lt;&gt;"","?FAMILIAR",IF(F1845="NEW",IF(ISNA(VLOOKUP(E1845,#REF!,1,FALSE())),"?TYPE_IDENTIFIABLE","?REFERENTIAL"),"_")))))</f>
        <v> </v>
      </c>
      <c r="H1845" s="24" t="str">
        <f>IF(J1845&lt;&gt;1,"",IF(I1845="SBJ","CB","?"))</f>
        <v> </v>
      </c>
      <c r="I1845" s="25" t="str">
        <f>IF(OR(E1845="",E1845="!!!",F1845="NEW"),"",INDEX(B1844:B$2,-1+SUMPRODUCT(MAX(ROW(E1844:E$2)*(E1845=E1844:E$2)))))</f>
        <v> </v>
      </c>
      <c r="J1845" s="25" t="str">
        <f>IF(OR(E1845="",E1845="!!!",F1845="NEW"),"",COUNTBLANK(OFFSET(A$1,,,SUMPRODUCT(MAX(ROW(E$2:E1845)*(E1845=E$2:E1845)))))-COUNTBLANK(OFFSET(A$1,,,SUMPRODUCT(MAX(ROW(E$1:E1844)*(E2=E$1:E1844))))))</f>
        <v> </v>
      </c>
      <c r="K1845" s="25" t="str">
        <f>IF(OR(E1845="",E1845="!!!",F1845="NEW"),"",INDEX(J$1:J1844,SUMPRODUCT(MAX(ROW(E$1:E1844)*(E1845=E$1:E1844)))))</f>
        <v> </v>
      </c>
      <c r="L1845" s="26"/>
    </row>
    <row r="1846" spans="1:12">
      <c r="A1846" s="20" t="s">
        <v>872</v>
      </c>
      <c r="B1846" s="27" t="s">
        <v>657</v>
      </c>
      <c r="E1846" s="21">
        <f>IF(D1846="?OLD","!!!","")</f>
        <v/>
      </c>
      <c r="F1846" s="22" t="str">
        <f>IF(OR(E1846="",E1846="!!!"),"",IF(NOT(ISNA(VLOOKUP(E1846,E$1:E1845,1,FALSE()))),"OLD",IF(AND(E1846&lt;&gt;"",E1846&lt;&gt;"!!!"),"NEW","")))</f>
        <v> </v>
      </c>
      <c r="G1846" s="23" t="str">
        <f>IF(OR(E1846="",E1846="!!!"),"",IF(OR(J1846=0,AND(J1846=1,K1846=1),AND(J1846=1,I1846="SBJ"),AND(J1846=1,I1846=0)),"?IN_FOCUS",IF(J1846&lt;=2,"?ACTIVATED",IF(J1846&lt;&gt;"","?FAMILIAR",IF(F1846="NEW",IF(ISNA(VLOOKUP(E1846,#REF!,1,FALSE())),"?TYPE_IDENTIFIABLE","?REFERENTIAL"),"_")))))</f>
        <v> </v>
      </c>
      <c r="H1846" s="24" t="str">
        <f>IF(J1846&lt;&gt;1,"",IF(I1846="SBJ","CB","?"))</f>
        <v> </v>
      </c>
      <c r="I1846" s="25" t="str">
        <f>IF(OR(E1846="",E1846="!!!",F1846="NEW"),"",INDEX(B1845:B$2,-1+SUMPRODUCT(MAX(ROW(E1845:E$2)*(E1846=E1845:E$2)))))</f>
        <v> </v>
      </c>
      <c r="J1846" s="25" t="str">
        <f>IF(OR(E1846="",E1846="!!!",F1846="NEW"),"",COUNTBLANK(OFFSET(A$1,,,SUMPRODUCT(MAX(ROW(E$2:E1846)*(E1846=E$2:E1846)))))-COUNTBLANK(OFFSET(A$1,,,SUMPRODUCT(MAX(ROW(E$1:E1845)*(E2=E$1:E1845))))))</f>
        <v> </v>
      </c>
      <c r="K1846" s="25" t="str">
        <f>IF(OR(E1846="",E1846="!!!",F1846="NEW"),"",INDEX(J$1:J1845,SUMPRODUCT(MAX(ROW(E$1:E1845)*(E1846=E$1:E1845)))))</f>
        <v> </v>
      </c>
      <c r="L1846" s="26"/>
    </row>
    <row r="1847" spans="1:12">
      <c r="A1847" s="20" t="s">
        <v>759</v>
      </c>
      <c r="E1847" s="21">
        <f>IF(D1847="?OLD","!!!","")</f>
        <v/>
      </c>
      <c r="F1847" s="22" t="str">
        <f>IF(OR(E1847="",E1847="!!!"),"",IF(NOT(ISNA(VLOOKUP(E1847,E$1:E1846,1,FALSE()))),"OLD",IF(AND(E1847&lt;&gt;"",E1847&lt;&gt;"!!!"),"NEW","")))</f>
        <v> </v>
      </c>
      <c r="G1847" s="23" t="str">
        <f>IF(OR(E1847="",E1847="!!!"),"",IF(OR(J1847=0,AND(J1847=1,K1847=1),AND(J1847=1,I1847="SBJ"),AND(J1847=1,I1847=0)),"?IN_FOCUS",IF(J1847&lt;=2,"?ACTIVATED",IF(J1847&lt;&gt;"","?FAMILIAR",IF(F1847="NEW",IF(ISNA(VLOOKUP(E1847,#REF!,1,FALSE())),"?TYPE_IDENTIFIABLE","?REFERENTIAL"),"_")))))</f>
        <v> </v>
      </c>
      <c r="H1847" s="24" t="str">
        <f>IF(J1847&lt;&gt;1,"",IF(I1847="SBJ","CB","?"))</f>
        <v> </v>
      </c>
      <c r="I1847" s="25" t="str">
        <f>IF(OR(E1847="",E1847="!!!",F1847="NEW"),"",INDEX(B1846:B$2,-1+SUMPRODUCT(MAX(ROW(E1846:E$2)*(E1847=E1846:E$2)))))</f>
        <v> </v>
      </c>
      <c r="J1847" s="25" t="str">
        <f>IF(OR(E1847="",E1847="!!!",F1847="NEW"),"",COUNTBLANK(OFFSET(A$1,,,SUMPRODUCT(MAX(ROW(E$2:E1847)*(E1847=E$2:E1847)))))-COUNTBLANK(OFFSET(A$1,,,SUMPRODUCT(MAX(ROW(E$1:E1846)*(E2=E$1:E1846))))))</f>
        <v> </v>
      </c>
      <c r="K1847" s="25" t="str">
        <f>IF(OR(E1847="",E1847="!!!",F1847="NEW"),"",INDEX(J$1:J1846,SUMPRODUCT(MAX(ROW(E$1:E1846)*(E1847=E$1:E1846)))))</f>
        <v> </v>
      </c>
      <c r="L1847" s="26"/>
    </row>
    <row r="1848" spans="1:12">
      <c r="A1848" s="20" t="s">
        <v>603</v>
      </c>
      <c r="E1848" s="21">
        <f>IF(D1848="?OLD","!!!","")</f>
        <v/>
      </c>
      <c r="F1848" s="22" t="str">
        <f>IF(OR(E1848="",E1848="!!!"),"",IF(NOT(ISNA(VLOOKUP(E1848,E$1:E1847,1,FALSE()))),"OLD",IF(AND(E1848&lt;&gt;"",E1848&lt;&gt;"!!!"),"NEW","")))</f>
        <v> </v>
      </c>
      <c r="G1848" s="23" t="str">
        <f>IF(OR(E1848="",E1848="!!!"),"",IF(OR(J1848=0,AND(J1848=1,K1848=1),AND(J1848=1,I1848="SBJ"),AND(J1848=1,I1848=0)),"?IN_FOCUS",IF(J1848&lt;=2,"?ACTIVATED",IF(J1848&lt;&gt;"","?FAMILIAR",IF(F1848="NEW",IF(ISNA(VLOOKUP(E1848,#REF!,1,FALSE())),"?TYPE_IDENTIFIABLE","?REFERENTIAL"),"_")))))</f>
        <v> </v>
      </c>
      <c r="H1848" s="24" t="str">
        <f>IF(J1848&lt;&gt;1,"",IF(I1848="SBJ","CB","?"))</f>
        <v> </v>
      </c>
      <c r="I1848" s="25" t="str">
        <f>IF(OR(E1848="",E1848="!!!",F1848="NEW"),"",INDEX(B1847:B$2,-1+SUMPRODUCT(MAX(ROW(E1847:E$2)*(E1848=E1847:E$2)))))</f>
        <v> </v>
      </c>
      <c r="J1848" s="25" t="str">
        <f>IF(OR(E1848="",E1848="!!!",F1848="NEW"),"",COUNTBLANK(OFFSET(A$1,,,SUMPRODUCT(MAX(ROW(E$2:E1848)*(E1848=E$2:E1848)))))-COUNTBLANK(OFFSET(A$1,,,SUMPRODUCT(MAX(ROW(E$1:E1847)*(E2=E$1:E1847))))))</f>
        <v> </v>
      </c>
      <c r="K1848" s="25" t="str">
        <f>IF(OR(E1848="",E1848="!!!",F1848="NEW"),"",INDEX(J$1:J1847,SUMPRODUCT(MAX(ROW(E$1:E1847)*(E1848=E$1:E1847)))))</f>
        <v> </v>
      </c>
      <c r="L1848" s="26"/>
    </row>
    <row r="1849" spans="1:12">
      <c r="A1849" s="20" t="s">
        <v>1205</v>
      </c>
      <c r="E1849" s="21">
        <f>IF(D1849="?OLD","!!!","")</f>
        <v/>
      </c>
      <c r="F1849" s="22" t="str">
        <f>IF(OR(E1849="",E1849="!!!"),"",IF(NOT(ISNA(VLOOKUP(E1849,E$1:E1848,1,FALSE()))),"OLD",IF(AND(E1849&lt;&gt;"",E1849&lt;&gt;"!!!"),"NEW","")))</f>
        <v> </v>
      </c>
      <c r="G1849" s="23" t="str">
        <f>IF(OR(E1849="",E1849="!!!"),"",IF(OR(J1849=0,AND(J1849=1,K1849=1),AND(J1849=1,I1849="SBJ"),AND(J1849=1,I1849=0)),"?IN_FOCUS",IF(J1849&lt;=2,"?ACTIVATED",IF(J1849&lt;&gt;"","?FAMILIAR",IF(F1849="NEW",IF(ISNA(VLOOKUP(E1849,#REF!,1,FALSE())),"?TYPE_IDENTIFIABLE","?REFERENTIAL"),"_")))))</f>
        <v> </v>
      </c>
      <c r="H1849" s="24" t="str">
        <f>IF(J1849&lt;&gt;1,"",IF(I1849="SBJ","CB","?"))</f>
        <v> </v>
      </c>
      <c r="I1849" s="25" t="str">
        <f>IF(OR(E1849="",E1849="!!!",F1849="NEW"),"",INDEX(B1848:B$2,-1+SUMPRODUCT(MAX(ROW(E1848:E$2)*(E1849=E1848:E$2)))))</f>
        <v> </v>
      </c>
      <c r="J1849" s="25" t="str">
        <f>IF(OR(E1849="",E1849="!!!",F1849="NEW"),"",COUNTBLANK(OFFSET(A$1,,,SUMPRODUCT(MAX(ROW(E$2:E1849)*(E1849=E$2:E1849)))))-COUNTBLANK(OFFSET(A$1,,,SUMPRODUCT(MAX(ROW(E$1:E1848)*(E2=E$1:E1848))))))</f>
        <v> </v>
      </c>
      <c r="K1849" s="25" t="str">
        <f>IF(OR(E1849="",E1849="!!!",F1849="NEW"),"",INDEX(J$1:J1848,SUMPRODUCT(MAX(ROW(E$1:E1848)*(E1849=E$1:E1848)))))</f>
        <v> </v>
      </c>
      <c r="L1849" s="26"/>
    </row>
    <row r="1850" spans="1:12">
      <c r="A1850" s="20" t="s">
        <v>720</v>
      </c>
      <c r="E1850" s="21">
        <f>IF(D1850="?OLD","!!!","")</f>
        <v/>
      </c>
      <c r="F1850" s="22" t="str">
        <f>IF(OR(E1850="",E1850="!!!"),"",IF(NOT(ISNA(VLOOKUP(E1850,E$1:E1849,1,FALSE()))),"OLD",IF(AND(E1850&lt;&gt;"",E1850&lt;&gt;"!!!"),"NEW","")))</f>
        <v> </v>
      </c>
      <c r="G1850" s="23" t="str">
        <f>IF(OR(E1850="",E1850="!!!"),"",IF(OR(J1850=0,AND(J1850=1,K1850=1),AND(J1850=1,I1850="SBJ"),AND(J1850=1,I1850=0)),"?IN_FOCUS",IF(J1850&lt;=2,"?ACTIVATED",IF(J1850&lt;&gt;"","?FAMILIAR",IF(F1850="NEW",IF(ISNA(VLOOKUP(E1850,#REF!,1,FALSE())),"?TYPE_IDENTIFIABLE","?REFERENTIAL"),"_")))))</f>
        <v> </v>
      </c>
      <c r="H1850" s="24" t="str">
        <f>IF(J1850&lt;&gt;1,"",IF(I1850="SBJ","CB","?"))</f>
        <v> </v>
      </c>
      <c r="I1850" s="25" t="str">
        <f>IF(OR(E1850="",E1850="!!!",F1850="NEW"),"",INDEX(B1849:B$2,-1+SUMPRODUCT(MAX(ROW(E1849:E$2)*(E1850=E1849:E$2)))))</f>
        <v> </v>
      </c>
      <c r="J1850" s="25" t="str">
        <f>IF(OR(E1850="",E1850="!!!",F1850="NEW"),"",COUNTBLANK(OFFSET(A$1,,,SUMPRODUCT(MAX(ROW(E$2:E1850)*(E1850=E$2:E1850)))))-COUNTBLANK(OFFSET(A$1,,,SUMPRODUCT(MAX(ROW(E$1:E1849)*(E2=E$1:E1849))))))</f>
        <v> </v>
      </c>
      <c r="K1850" s="25" t="str">
        <f>IF(OR(E1850="",E1850="!!!",F1850="NEW"),"",INDEX(J$1:J1849,SUMPRODUCT(MAX(ROW(E$1:E1849)*(E1850=E$1:E1849)))))</f>
        <v> </v>
      </c>
      <c r="L1850" s="26"/>
    </row>
    <row r="1851" spans="1:12">
      <c r="A1851" s="20" t="s">
        <v>807</v>
      </c>
      <c r="B1851" s="27" t="s">
        <v>611</v>
      </c>
      <c r="C1851" s="27" t="s">
        <v>652</v>
      </c>
      <c r="D1851" s="27" t="s">
        <v>608</v>
      </c>
      <c r="E1851" s="21">
        <f>IF(D1851="?OLD","!!!","")</f>
        <v/>
      </c>
      <c r="F1851" s="22" t="str">
        <f>IF(OR(E1851="",E1851="!!!"),"",IF(NOT(ISNA(VLOOKUP(E1851,E$1:E1850,1,FALSE()))),"OLD",IF(AND(E1851&lt;&gt;"",E1851&lt;&gt;"!!!"),"NEW","")))</f>
        <v> </v>
      </c>
      <c r="G1851" s="23" t="str">
        <f>IF(OR(E1851="",E1851="!!!"),"",IF(OR(J1851=0,AND(J1851=1,K1851=1),AND(J1851=1,I1851="SBJ"),AND(J1851=1,I1851=0)),"?IN_FOCUS",IF(J1851&lt;=2,"?ACTIVATED",IF(J1851&lt;&gt;"","?FAMILIAR",IF(F1851="NEW",IF(ISNA(VLOOKUP(E1851,#REF!,1,FALSE())),"?TYPE_IDENTIFIABLE","?REFERENTIAL"),"_")))))</f>
        <v> </v>
      </c>
      <c r="H1851" s="24" t="str">
        <f>IF(J1851&lt;&gt;1,"",IF(I1851="SBJ","CB","?"))</f>
        <v> </v>
      </c>
      <c r="I1851" s="25" t="str">
        <f>IF(OR(E1851="",E1851="!!!",F1851="NEW"),"",INDEX(B1850:B$2,-1+SUMPRODUCT(MAX(ROW(E1850:E$2)*(E1851=E1850:E$2)))))</f>
        <v> </v>
      </c>
      <c r="J1851" s="25" t="str">
        <f>IF(OR(E1851="",E1851="!!!",F1851="NEW"),"",COUNTBLANK(OFFSET(A$1,,,SUMPRODUCT(MAX(ROW(E$2:E1851)*(E1851=E$2:E1851)))))-COUNTBLANK(OFFSET(A$1,,,SUMPRODUCT(MAX(ROW(E$1:E1850)*(E2=E$1:E1850))))))</f>
        <v> </v>
      </c>
      <c r="K1851" s="25" t="str">
        <f>IF(OR(E1851="",E1851="!!!",F1851="NEW"),"",INDEX(J$1:J1850,SUMPRODUCT(MAX(ROW(E$1:E1850)*(E1851=E$1:E1850)))))</f>
        <v> </v>
      </c>
      <c r="L1851" s="26"/>
    </row>
    <row r="1852" spans="1:12">
      <c r="A1852" s="20" t="s">
        <v>633</v>
      </c>
      <c r="E1852" s="21">
        <f>IF(D1852="?OLD","!!!","")</f>
        <v/>
      </c>
      <c r="F1852" s="22" t="str">
        <f>IF(OR(E1852="",E1852="!!!"),"",IF(NOT(ISNA(VLOOKUP(E1852,E$1:E1851,1,FALSE()))),"OLD",IF(AND(E1852&lt;&gt;"",E1852&lt;&gt;"!!!"),"NEW","")))</f>
        <v> </v>
      </c>
      <c r="G1852" s="23" t="str">
        <f>IF(OR(E1852="",E1852="!!!"),"",IF(OR(J1852=0,AND(J1852=1,K1852=1),AND(J1852=1,I1852="SBJ"),AND(J1852=1,I1852=0)),"?IN_FOCUS",IF(J1852&lt;=2,"?ACTIVATED",IF(J1852&lt;&gt;"","?FAMILIAR",IF(F1852="NEW",IF(ISNA(VLOOKUP(E1852,#REF!,1,FALSE())),"?TYPE_IDENTIFIABLE","?REFERENTIAL"),"_")))))</f>
        <v> </v>
      </c>
      <c r="H1852" s="24" t="str">
        <f>IF(J1852&lt;&gt;1,"",IF(I1852="SBJ","CB","?"))</f>
        <v> </v>
      </c>
      <c r="I1852" s="25" t="str">
        <f>IF(OR(E1852="",E1852="!!!",F1852="NEW"),"",INDEX(B1851:B$2,-1+SUMPRODUCT(MAX(ROW(E1851:E$2)*(E1852=E1851:E$2)))))</f>
        <v> </v>
      </c>
      <c r="J1852" s="25" t="str">
        <f>IF(OR(E1852="",E1852="!!!",F1852="NEW"),"",COUNTBLANK(OFFSET(A$1,,,SUMPRODUCT(MAX(ROW(E$2:E1852)*(E1852=E$2:E1852)))))-COUNTBLANK(OFFSET(A$1,,,SUMPRODUCT(MAX(ROW(E$1:E1851)*(E2=E$1:E1851))))))</f>
        <v> </v>
      </c>
      <c r="K1852" s="25" t="str">
        <f>IF(OR(E1852="",E1852="!!!",F1852="NEW"),"",INDEX(J$1:J1851,SUMPRODUCT(MAX(ROW(E$1:E1851)*(E1852=E$1:E1851)))))</f>
        <v> </v>
      </c>
      <c r="L1852" s="26"/>
    </row>
    <row r="1853" spans="1:12">
      <c r="A1853" s="20"/>
    </row>
    <row r="1854" spans="1:12">
      <c r="A1854" s="20" t="s">
        <v>1322</v>
      </c>
    </row>
    <row r="1855" spans="1:12">
      <c r="A1855" s="20" t="s">
        <v>661</v>
      </c>
      <c r="E1855" s="21">
        <f>IF(D1855="?OLD","!!!","")</f>
        <v/>
      </c>
      <c r="F1855" s="22" t="str">
        <f>IF(OR(E1855="",E1855="!!!"),"",IF(NOT(ISNA(VLOOKUP(E1855,E$1:E1854,1,FALSE()))),"OLD",IF(AND(E1855&lt;&gt;"",E1855&lt;&gt;"!!!"),"NEW","")))</f>
        <v> </v>
      </c>
      <c r="G1855" s="23" t="str">
        <f>IF(OR(E1855="",E1855="!!!"),"",IF(OR(J1855=0,AND(J1855=1,K1855=1),AND(J1855=1,I1855="SBJ"),AND(J1855=1,I1855=0)),"?IN_FOCUS",IF(J1855&lt;=2,"?ACTIVATED",IF(J1855&lt;&gt;"","?FAMILIAR",IF(F1855="NEW",IF(ISNA(VLOOKUP(E1855,#REF!,1,FALSE())),"?TYPE_IDENTIFIABLE","?REFERENTIAL"),"_")))))</f>
        <v> </v>
      </c>
      <c r="H1855" s="24" t="str">
        <f>IF(J1855&lt;&gt;1,"",IF(I1855="SBJ","CB","?"))</f>
        <v> </v>
      </c>
      <c r="I1855" s="25" t="str">
        <f>IF(OR(E1855="",E1855="!!!",F1855="NEW"),"",INDEX(B1854:B$2,-1+SUMPRODUCT(MAX(ROW(E1854:E$2)*(E1855=E1854:E$2)))))</f>
        <v> </v>
      </c>
      <c r="J1855" s="25" t="str">
        <f>IF(OR(E1855="",E1855="!!!",F1855="NEW"),"",COUNTBLANK(OFFSET(A$1,,,SUMPRODUCT(MAX(ROW(E$2:E1855)*(E1855=E$2:E1855)))))-COUNTBLANK(OFFSET(A$1,,,SUMPRODUCT(MAX(ROW(E$1:E1854)*(E2=E$1:E1854))))))</f>
        <v> </v>
      </c>
      <c r="K1855" s="25" t="str">
        <f>IF(OR(E1855="",E1855="!!!",F1855="NEW"),"",INDEX(J$1:J1854,SUMPRODUCT(MAX(ROW(E$1:E1854)*(E1855=E$1:E1854)))))</f>
        <v> </v>
      </c>
      <c r="L1855" s="26"/>
    </row>
    <row r="1856" spans="1:12">
      <c r="A1856" s="20" t="s">
        <v>690</v>
      </c>
      <c r="B1856" s="27" t="s">
        <v>636</v>
      </c>
      <c r="C1856" s="27" t="s">
        <v>614</v>
      </c>
      <c r="D1856" s="27" t="s">
        <v>608</v>
      </c>
      <c r="E1856" s="21">
        <f>IF(D1856="?OLD","!!!","")</f>
        <v/>
      </c>
      <c r="F1856" s="22" t="str">
        <f>IF(OR(E1856="",E1856="!!!"),"",IF(NOT(ISNA(VLOOKUP(E1856,E$1:E1855,1,FALSE()))),"OLD",IF(AND(E1856&lt;&gt;"",E1856&lt;&gt;"!!!"),"NEW","")))</f>
        <v> </v>
      </c>
      <c r="G1856" s="23" t="str">
        <f>IF(OR(E1856="",E1856="!!!"),"",IF(OR(J1856=0,AND(J1856=1,K1856=1),AND(J1856=1,I1856="SBJ"),AND(J1856=1,I1856=0)),"?IN_FOCUS",IF(J1856&lt;=2,"?ACTIVATED",IF(J1856&lt;&gt;"","?FAMILIAR",IF(F1856="NEW",IF(ISNA(VLOOKUP(E1856,#REF!,1,FALSE())),"?TYPE_IDENTIFIABLE","?REFERENTIAL"),"_")))))</f>
        <v> </v>
      </c>
      <c r="H1856" s="24" t="str">
        <f>IF(J1856&lt;&gt;1,"",IF(I1856="SBJ","CB","?"))</f>
        <v> </v>
      </c>
      <c r="I1856" s="25" t="str">
        <f>IF(OR(E1856="",E1856="!!!",F1856="NEW"),"",INDEX(B1855:B$2,-1+SUMPRODUCT(MAX(ROW(E1855:E$2)*(E1856=E1855:E$2)))))</f>
        <v> </v>
      </c>
      <c r="J1856" s="25" t="str">
        <f>IF(OR(E1856="",E1856="!!!",F1856="NEW"),"",COUNTBLANK(OFFSET(A$1,,,SUMPRODUCT(MAX(ROW(E$2:E1856)*(E1856=E$2:E1856)))))-COUNTBLANK(OFFSET(A$1,,,SUMPRODUCT(MAX(ROW(E$1:E1855)*(E2=E$1:E1855))))))</f>
        <v> </v>
      </c>
      <c r="K1856" s="25" t="str">
        <f>IF(OR(E1856="",E1856="!!!",F1856="NEW"),"",INDEX(J$1:J1855,SUMPRODUCT(MAX(ROW(E$1:E1855)*(E1856=E$1:E1855)))))</f>
        <v> </v>
      </c>
      <c r="L1856" s="26"/>
    </row>
    <row r="1857" spans="1:12">
      <c r="A1857" s="20" t="s">
        <v>1277</v>
      </c>
      <c r="E1857" s="21">
        <f>IF(D1857="?OLD","!!!","")</f>
        <v/>
      </c>
      <c r="F1857" s="22" t="str">
        <f>IF(OR(E1857="",E1857="!!!"),"",IF(NOT(ISNA(VLOOKUP(E1857,E$1:E1856,1,FALSE()))),"OLD",IF(AND(E1857&lt;&gt;"",E1857&lt;&gt;"!!!"),"NEW","")))</f>
        <v> </v>
      </c>
      <c r="G1857" s="23" t="str">
        <f>IF(OR(E1857="",E1857="!!!"),"",IF(OR(J1857=0,AND(J1857=1,K1857=1),AND(J1857=1,I1857="SBJ"),AND(J1857=1,I1857=0)),"?IN_FOCUS",IF(J1857&lt;=2,"?ACTIVATED",IF(J1857&lt;&gt;"","?FAMILIAR",IF(F1857="NEW",IF(ISNA(VLOOKUP(E1857,#REF!,1,FALSE())),"?TYPE_IDENTIFIABLE","?REFERENTIAL"),"_")))))</f>
        <v> </v>
      </c>
      <c r="H1857" s="24" t="str">
        <f>IF(J1857&lt;&gt;1,"",IF(I1857="SBJ","CB","?"))</f>
        <v> </v>
      </c>
      <c r="I1857" s="25" t="str">
        <f>IF(OR(E1857="",E1857="!!!",F1857="NEW"),"",INDEX(B1856:B$2,-1+SUMPRODUCT(MAX(ROW(E1856:E$2)*(E1857=E1856:E$2)))))</f>
        <v> </v>
      </c>
      <c r="J1857" s="25" t="str">
        <f>IF(OR(E1857="",E1857="!!!",F1857="NEW"),"",COUNTBLANK(OFFSET(A$1,,,SUMPRODUCT(MAX(ROW(E$2:E1857)*(E1857=E$2:E1857)))))-COUNTBLANK(OFFSET(A$1,,,SUMPRODUCT(MAX(ROW(E$1:E1856)*(E2=E$1:E1856))))))</f>
        <v> </v>
      </c>
      <c r="K1857" s="25" t="str">
        <f>IF(OR(E1857="",E1857="!!!",F1857="NEW"),"",INDEX(J$1:J1856,SUMPRODUCT(MAX(ROW(E$1:E1856)*(E1857=E$1:E1856)))))</f>
        <v> </v>
      </c>
      <c r="L1857" s="26"/>
    </row>
    <row r="1858" spans="1:12">
      <c r="A1858" s="20" t="s">
        <v>872</v>
      </c>
      <c r="B1858" s="27" t="s">
        <v>653</v>
      </c>
      <c r="E1858" s="21">
        <f>IF(D1858="?OLD","!!!","")</f>
        <v/>
      </c>
      <c r="F1858" s="22" t="str">
        <f>IF(OR(E1858="",E1858="!!!"),"",IF(NOT(ISNA(VLOOKUP(E1858,E$1:E1857,1,FALSE()))),"OLD",IF(AND(E1858&lt;&gt;"",E1858&lt;&gt;"!!!"),"NEW","")))</f>
        <v> </v>
      </c>
      <c r="G1858" s="23" t="str">
        <f>IF(OR(E1858="",E1858="!!!"),"",IF(OR(J1858=0,AND(J1858=1,K1858=1),AND(J1858=1,I1858="SBJ"),AND(J1858=1,I1858=0)),"?IN_FOCUS",IF(J1858&lt;=2,"?ACTIVATED",IF(J1858&lt;&gt;"","?FAMILIAR",IF(F1858="NEW",IF(ISNA(VLOOKUP(E1858,#REF!,1,FALSE())),"?TYPE_IDENTIFIABLE","?REFERENTIAL"),"_")))))</f>
        <v> </v>
      </c>
      <c r="H1858" s="24" t="str">
        <f>IF(J1858&lt;&gt;1,"",IF(I1858="SBJ","CB","?"))</f>
        <v> </v>
      </c>
      <c r="I1858" s="25" t="str">
        <f>IF(OR(E1858="",E1858="!!!",F1858="NEW"),"",INDEX(B1857:B$2,-1+SUMPRODUCT(MAX(ROW(E1857:E$2)*(E1858=E1857:E$2)))))</f>
        <v> </v>
      </c>
      <c r="J1858" s="25" t="str">
        <f>IF(OR(E1858="",E1858="!!!",F1858="NEW"),"",COUNTBLANK(OFFSET(A$1,,,SUMPRODUCT(MAX(ROW(E$2:E1858)*(E1858=E$2:E1858)))))-COUNTBLANK(OFFSET(A$1,,,SUMPRODUCT(MAX(ROW(E$1:E1857)*(E2=E$1:E1857))))))</f>
        <v> </v>
      </c>
      <c r="K1858" s="25" t="str">
        <f>IF(OR(E1858="",E1858="!!!",F1858="NEW"),"",INDEX(J$1:J1857,SUMPRODUCT(MAX(ROW(E$1:E1857)*(E1858=E$1:E1857)))))</f>
        <v> </v>
      </c>
      <c r="L1858" s="26"/>
    </row>
    <row r="1859" spans="1:12">
      <c r="A1859" s="20" t="s">
        <v>663</v>
      </c>
      <c r="B1859" s="27" t="s">
        <v>611</v>
      </c>
      <c r="C1859" s="27" t="s">
        <v>626</v>
      </c>
      <c r="E1859" s="21">
        <f>IF(D1859="?OLD","!!!","")</f>
        <v/>
      </c>
      <c r="F1859" s="22" t="str">
        <f>IF(OR(E1859="",E1859="!!!"),"",IF(NOT(ISNA(VLOOKUP(E1859,E$1:E1858,1,FALSE()))),"OLD",IF(AND(E1859&lt;&gt;"",E1859&lt;&gt;"!!!"),"NEW","")))</f>
        <v> </v>
      </c>
      <c r="G1859" s="23" t="str">
        <f>IF(OR(E1859="",E1859="!!!"),"",IF(OR(J1859=0,AND(J1859=1,K1859=1),AND(J1859=1,I1859="SBJ"),AND(J1859=1,I1859=0)),"?IN_FOCUS",IF(J1859&lt;=2,"?ACTIVATED",IF(J1859&lt;&gt;"","?FAMILIAR",IF(F1859="NEW",IF(ISNA(VLOOKUP(E1859,#REF!,1,FALSE())),"?TYPE_IDENTIFIABLE","?REFERENTIAL"),"_")))))</f>
        <v> </v>
      </c>
      <c r="H1859" s="24" t="str">
        <f>IF(J1859&lt;&gt;1,"",IF(I1859="SBJ","CB","?"))</f>
        <v> </v>
      </c>
      <c r="I1859" s="25" t="str">
        <f>IF(OR(E1859="",E1859="!!!",F1859="NEW"),"",INDEX(B1858:B$2,-1+SUMPRODUCT(MAX(ROW(E1858:E$2)*(E1859=E1858:E$2)))))</f>
        <v> </v>
      </c>
      <c r="J1859" s="25" t="str">
        <f>IF(OR(E1859="",E1859="!!!",F1859="NEW"),"",COUNTBLANK(OFFSET(A$1,,,SUMPRODUCT(MAX(ROW(E$2:E1859)*(E1859=E$2:E1859)))))-COUNTBLANK(OFFSET(A$1,,,SUMPRODUCT(MAX(ROW(E$1:E1858)*(E2=E$1:E1858))))))</f>
        <v> </v>
      </c>
      <c r="K1859" s="25" t="str">
        <f>IF(OR(E1859="",E1859="!!!",F1859="NEW"),"",INDEX(J$1:J1858,SUMPRODUCT(MAX(ROW(E$1:E1858)*(E1859=E$1:E1858)))))</f>
        <v> </v>
      </c>
      <c r="L1859" s="26"/>
    </row>
    <row r="1860" spans="1:12">
      <c r="A1860" s="20" t="s">
        <v>603</v>
      </c>
      <c r="E1860" s="21">
        <f>IF(D1860="?OLD","!!!","")</f>
        <v/>
      </c>
      <c r="F1860" s="22" t="str">
        <f>IF(OR(E1860="",E1860="!!!"),"",IF(NOT(ISNA(VLOOKUP(E1860,E$1:E1859,1,FALSE()))),"OLD",IF(AND(E1860&lt;&gt;"",E1860&lt;&gt;"!!!"),"NEW","")))</f>
        <v> </v>
      </c>
      <c r="G1860" s="23" t="str">
        <f>IF(OR(E1860="",E1860="!!!"),"",IF(OR(J1860=0,AND(J1860=1,K1860=1),AND(J1860=1,I1860="SBJ"),AND(J1860=1,I1860=0)),"?IN_FOCUS",IF(J1860&lt;=2,"?ACTIVATED",IF(J1860&lt;&gt;"","?FAMILIAR",IF(F1860="NEW",IF(ISNA(VLOOKUP(E1860,#REF!,1,FALSE())),"?TYPE_IDENTIFIABLE","?REFERENTIAL"),"_")))))</f>
        <v> </v>
      </c>
      <c r="H1860" s="24" t="str">
        <f>IF(J1860&lt;&gt;1,"",IF(I1860="SBJ","CB","?"))</f>
        <v> </v>
      </c>
      <c r="I1860" s="25" t="str">
        <f>IF(OR(E1860="",E1860="!!!",F1860="NEW"),"",INDEX(B1859:B$2,-1+SUMPRODUCT(MAX(ROW(E1859:E$2)*(E1860=E1859:E$2)))))</f>
        <v> </v>
      </c>
      <c r="J1860" s="25" t="str">
        <f>IF(OR(E1860="",E1860="!!!",F1860="NEW"),"",COUNTBLANK(OFFSET(A$1,,,SUMPRODUCT(MAX(ROW(E$2:E1860)*(E1860=E$2:E1860)))))-COUNTBLANK(OFFSET(A$1,,,SUMPRODUCT(MAX(ROW(E$1:E1859)*(E2=E$1:E1859))))))</f>
        <v> </v>
      </c>
      <c r="K1860" s="25" t="str">
        <f>IF(OR(E1860="",E1860="!!!",F1860="NEW"),"",INDEX(J$1:J1859,SUMPRODUCT(MAX(ROW(E$1:E1859)*(E1860=E$1:E1859)))))</f>
        <v> </v>
      </c>
      <c r="L1860" s="26"/>
    </row>
    <row r="1861" spans="1:12">
      <c r="A1861" s="20" t="s">
        <v>1318</v>
      </c>
      <c r="E1861" s="21">
        <f>IF(D1861="?OLD","!!!","")</f>
        <v/>
      </c>
      <c r="F1861" s="22" t="str">
        <f>IF(OR(E1861="",E1861="!!!"),"",IF(NOT(ISNA(VLOOKUP(E1861,E$1:E1860,1,FALSE()))),"OLD",IF(AND(E1861&lt;&gt;"",E1861&lt;&gt;"!!!"),"NEW","")))</f>
        <v> </v>
      </c>
      <c r="G1861" s="23" t="str">
        <f>IF(OR(E1861="",E1861="!!!"),"",IF(OR(J1861=0,AND(J1861=1,K1861=1),AND(J1861=1,I1861="SBJ"),AND(J1861=1,I1861=0)),"?IN_FOCUS",IF(J1861&lt;=2,"?ACTIVATED",IF(J1861&lt;&gt;"","?FAMILIAR",IF(F1861="NEW",IF(ISNA(VLOOKUP(E1861,#REF!,1,FALSE())),"?TYPE_IDENTIFIABLE","?REFERENTIAL"),"_")))))</f>
        <v> </v>
      </c>
      <c r="H1861" s="24" t="str">
        <f>IF(J1861&lt;&gt;1,"",IF(I1861="SBJ","CB","?"))</f>
        <v> </v>
      </c>
      <c r="I1861" s="25" t="str">
        <f>IF(OR(E1861="",E1861="!!!",F1861="NEW"),"",INDEX(B1860:B$2,-1+SUMPRODUCT(MAX(ROW(E1860:E$2)*(E1861=E1860:E$2)))))</f>
        <v> </v>
      </c>
      <c r="J1861" s="25" t="str">
        <f>IF(OR(E1861="",E1861="!!!",F1861="NEW"),"",COUNTBLANK(OFFSET(A$1,,,SUMPRODUCT(MAX(ROW(E$2:E1861)*(E1861=E$2:E1861)))))-COUNTBLANK(OFFSET(A$1,,,SUMPRODUCT(MAX(ROW(E$1:E1860)*(E2=E$1:E1860))))))</f>
        <v> </v>
      </c>
      <c r="K1861" s="25" t="str">
        <f>IF(OR(E1861="",E1861="!!!",F1861="NEW"),"",INDEX(J$1:J1860,SUMPRODUCT(MAX(ROW(E$1:E1860)*(E1861=E$1:E1860)))))</f>
        <v> </v>
      </c>
      <c r="L1861" s="26"/>
    </row>
    <row r="1862" spans="1:12">
      <c r="A1862" s="20" t="s">
        <v>749</v>
      </c>
      <c r="B1862" s="27" t="s">
        <v>606</v>
      </c>
      <c r="C1862" s="27" t="s">
        <v>607</v>
      </c>
      <c r="D1862" s="27" t="s">
        <v>608</v>
      </c>
      <c r="E1862" s="21">
        <f>IF(D1862="?OLD","!!!","")</f>
        <v/>
      </c>
      <c r="F1862" s="22" t="str">
        <f>IF(OR(E1862="",E1862="!!!"),"",IF(NOT(ISNA(VLOOKUP(E1862,E$1:E1861,1,FALSE()))),"OLD",IF(AND(E1862&lt;&gt;"",E1862&lt;&gt;"!!!"),"NEW","")))</f>
        <v> </v>
      </c>
      <c r="G1862" s="23" t="str">
        <f>IF(OR(E1862="",E1862="!!!"),"",IF(OR(J1862=0,AND(J1862=1,K1862=1),AND(J1862=1,I1862="SBJ"),AND(J1862=1,I1862=0)),"?IN_FOCUS",IF(J1862&lt;=2,"?ACTIVATED",IF(J1862&lt;&gt;"","?FAMILIAR",IF(F1862="NEW",IF(ISNA(VLOOKUP(E1862,#REF!,1,FALSE())),"?TYPE_IDENTIFIABLE","?REFERENTIAL"),"_")))))</f>
        <v> </v>
      </c>
      <c r="H1862" s="24" t="str">
        <f>IF(J1862&lt;&gt;1,"",IF(I1862="SBJ","CB","?"))</f>
        <v> </v>
      </c>
      <c r="I1862" s="25" t="str">
        <f>IF(OR(E1862="",E1862="!!!",F1862="NEW"),"",INDEX(B1861:B$2,-1+SUMPRODUCT(MAX(ROW(E1861:E$2)*(E1862=E1861:E$2)))))</f>
        <v> </v>
      </c>
      <c r="J1862" s="25" t="str">
        <f>IF(OR(E1862="",E1862="!!!",F1862="NEW"),"",COUNTBLANK(OFFSET(A$1,,,SUMPRODUCT(MAX(ROW(E$2:E1862)*(E1862=E$2:E1862)))))-COUNTBLANK(OFFSET(A$1,,,SUMPRODUCT(MAX(ROW(E$1:E1861)*(E2=E$1:E1861))))))</f>
        <v> </v>
      </c>
      <c r="K1862" s="25" t="str">
        <f>IF(OR(E1862="",E1862="!!!",F1862="NEW"),"",INDEX(J$1:J1861,SUMPRODUCT(MAX(ROW(E$1:E1861)*(E1862=E$1:E1861)))))</f>
        <v> </v>
      </c>
      <c r="L1862" s="26"/>
    </row>
    <row r="1863" spans="1:12">
      <c r="A1863" s="20" t="s">
        <v>1323</v>
      </c>
      <c r="E1863" s="21">
        <f>IF(D1863="?OLD","!!!","")</f>
        <v/>
      </c>
      <c r="F1863" s="22" t="str">
        <f>IF(OR(E1863="",E1863="!!!"),"",IF(NOT(ISNA(VLOOKUP(E1863,E$1:E1862,1,FALSE()))),"OLD",IF(AND(E1863&lt;&gt;"",E1863&lt;&gt;"!!!"),"NEW","")))</f>
        <v> </v>
      </c>
      <c r="G1863" s="23" t="str">
        <f>IF(OR(E1863="",E1863="!!!"),"",IF(OR(J1863=0,AND(J1863=1,K1863=1),AND(J1863=1,I1863="SBJ"),AND(J1863=1,I1863=0)),"?IN_FOCUS",IF(J1863&lt;=2,"?ACTIVATED",IF(J1863&lt;&gt;"","?FAMILIAR",IF(F1863="NEW",IF(ISNA(VLOOKUP(E1863,#REF!,1,FALSE())),"?TYPE_IDENTIFIABLE","?REFERENTIAL"),"_")))))</f>
        <v> </v>
      </c>
      <c r="H1863" s="24" t="str">
        <f>IF(J1863&lt;&gt;1,"",IF(I1863="SBJ","CB","?"))</f>
        <v> </v>
      </c>
      <c r="I1863" s="25" t="str">
        <f>IF(OR(E1863="",E1863="!!!",F1863="NEW"),"",INDEX(B1862:B$2,-1+SUMPRODUCT(MAX(ROW(E1862:E$2)*(E1863=E1862:E$2)))))</f>
        <v> </v>
      </c>
      <c r="J1863" s="25" t="str">
        <f>IF(OR(E1863="",E1863="!!!",F1863="NEW"),"",COUNTBLANK(OFFSET(A$1,,,SUMPRODUCT(MAX(ROW(E$2:E1863)*(E1863=E$2:E1863)))))-COUNTBLANK(OFFSET(A$1,,,SUMPRODUCT(MAX(ROW(E$1:E1862)*(E2=E$1:E1862))))))</f>
        <v> </v>
      </c>
      <c r="K1863" s="25" t="str">
        <f>IF(OR(E1863="",E1863="!!!",F1863="NEW"),"",INDEX(J$1:J1862,SUMPRODUCT(MAX(ROW(E$1:E1862)*(E1863=E$1:E1862)))))</f>
        <v> </v>
      </c>
      <c r="L1863" s="26"/>
    </row>
    <row r="1864" spans="1:12">
      <c r="A1864" s="20" t="s">
        <v>617</v>
      </c>
      <c r="E1864" s="21">
        <f>IF(D1864="?OLD","!!!","")</f>
        <v/>
      </c>
      <c r="F1864" s="22" t="str">
        <f>IF(OR(E1864="",E1864="!!!"),"",IF(NOT(ISNA(VLOOKUP(E1864,E$1:E1863,1,FALSE()))),"OLD",IF(AND(E1864&lt;&gt;"",E1864&lt;&gt;"!!!"),"NEW","")))</f>
        <v> </v>
      </c>
      <c r="G1864" s="23" t="str">
        <f>IF(OR(E1864="",E1864="!!!"),"",IF(OR(J1864=0,AND(J1864=1,K1864=1),AND(J1864=1,I1864="SBJ"),AND(J1864=1,I1864=0)),"?IN_FOCUS",IF(J1864&lt;=2,"?ACTIVATED",IF(J1864&lt;&gt;"","?FAMILIAR",IF(F1864="NEW",IF(ISNA(VLOOKUP(E1864,#REF!,1,FALSE())),"?TYPE_IDENTIFIABLE","?REFERENTIAL"),"_")))))</f>
        <v> </v>
      </c>
      <c r="H1864" s="24" t="str">
        <f>IF(J1864&lt;&gt;1,"",IF(I1864="SBJ","CB","?"))</f>
        <v> </v>
      </c>
      <c r="I1864" s="25" t="str">
        <f>IF(OR(E1864="",E1864="!!!",F1864="NEW"),"",INDEX(B1863:B$2,-1+SUMPRODUCT(MAX(ROW(E1863:E$2)*(E1864=E1863:E$2)))))</f>
        <v> </v>
      </c>
      <c r="J1864" s="25" t="str">
        <f>IF(OR(E1864="",E1864="!!!",F1864="NEW"),"",COUNTBLANK(OFFSET(A$1,,,SUMPRODUCT(MAX(ROW(E$2:E1864)*(E1864=E$2:E1864)))))-COUNTBLANK(OFFSET(A$1,,,SUMPRODUCT(MAX(ROW(E$1:E1863)*(E2=E$1:E1863))))))</f>
        <v> </v>
      </c>
      <c r="K1864" s="25" t="str">
        <f>IF(OR(E1864="",E1864="!!!",F1864="NEW"),"",INDEX(J$1:J1863,SUMPRODUCT(MAX(ROW(E$1:E1863)*(E1864=E$1:E1863)))))</f>
        <v> </v>
      </c>
      <c r="L1864" s="26"/>
    </row>
    <row r="1865" spans="1:12">
      <c r="A1865" s="20" t="s">
        <v>715</v>
      </c>
      <c r="B1865" s="27" t="s">
        <v>619</v>
      </c>
      <c r="C1865" s="27" t="s">
        <v>652</v>
      </c>
      <c r="D1865" s="27" t="s">
        <v>608</v>
      </c>
      <c r="E1865" s="21">
        <f>IF(D1865="?OLD","!!!","")</f>
        <v/>
      </c>
      <c r="F1865" s="22" t="str">
        <f>IF(OR(E1865="",E1865="!!!"),"",IF(NOT(ISNA(VLOOKUP(E1865,E$1:E1864,1,FALSE()))),"OLD",IF(AND(E1865&lt;&gt;"",E1865&lt;&gt;"!!!"),"NEW","")))</f>
        <v> </v>
      </c>
      <c r="G1865" s="23" t="str">
        <f>IF(OR(E1865="",E1865="!!!"),"",IF(OR(J1865=0,AND(J1865=1,K1865=1),AND(J1865=1,I1865="SBJ"),AND(J1865=1,I1865=0)),"?IN_FOCUS",IF(J1865&lt;=2,"?ACTIVATED",IF(J1865&lt;&gt;"","?FAMILIAR",IF(F1865="NEW",IF(ISNA(VLOOKUP(E1865,#REF!,1,FALSE())),"?TYPE_IDENTIFIABLE","?REFERENTIAL"),"_")))))</f>
        <v> </v>
      </c>
      <c r="H1865" s="24" t="str">
        <f>IF(J1865&lt;&gt;1,"",IF(I1865="SBJ","CB","?"))</f>
        <v> </v>
      </c>
      <c r="I1865" s="25" t="str">
        <f>IF(OR(E1865="",E1865="!!!",F1865="NEW"),"",INDEX(B1864:B$2,-1+SUMPRODUCT(MAX(ROW(E1864:E$2)*(E1865=E1864:E$2)))))</f>
        <v> </v>
      </c>
      <c r="J1865" s="25" t="str">
        <f>IF(OR(E1865="",E1865="!!!",F1865="NEW"),"",COUNTBLANK(OFFSET(A$1,,,SUMPRODUCT(MAX(ROW(E$2:E1865)*(E1865=E$2:E1865)))))-COUNTBLANK(OFFSET(A$1,,,SUMPRODUCT(MAX(ROW(E$1:E1864)*(E2=E$1:E1864))))))</f>
        <v> </v>
      </c>
      <c r="K1865" s="25" t="str">
        <f>IF(OR(E1865="",E1865="!!!",F1865="NEW"),"",INDEX(J$1:J1864,SUMPRODUCT(MAX(ROW(E$1:E1864)*(E1865=E$1:E1864)))))</f>
        <v> </v>
      </c>
      <c r="L1865" s="26"/>
    </row>
    <row r="1866" spans="1:12">
      <c r="A1866" s="20" t="s">
        <v>617</v>
      </c>
      <c r="E1866" s="21">
        <f>IF(D1866="?OLD","!!!","")</f>
        <v/>
      </c>
      <c r="F1866" s="22" t="str">
        <f>IF(OR(E1866="",E1866="!!!"),"",IF(NOT(ISNA(VLOOKUP(E1866,E$1:E1865,1,FALSE()))),"OLD",IF(AND(E1866&lt;&gt;"",E1866&lt;&gt;"!!!"),"NEW","")))</f>
        <v> </v>
      </c>
      <c r="G1866" s="23" t="str">
        <f>IF(OR(E1866="",E1866="!!!"),"",IF(OR(J1866=0,AND(J1866=1,K1866=1),AND(J1866=1,I1866="SBJ"),AND(J1866=1,I1866=0)),"?IN_FOCUS",IF(J1866&lt;=2,"?ACTIVATED",IF(J1866&lt;&gt;"","?FAMILIAR",IF(F1866="NEW",IF(ISNA(VLOOKUP(E1866,#REF!,1,FALSE())),"?TYPE_IDENTIFIABLE","?REFERENTIAL"),"_")))))</f>
        <v> </v>
      </c>
      <c r="H1866" s="24" t="str">
        <f>IF(J1866&lt;&gt;1,"",IF(I1866="SBJ","CB","?"))</f>
        <v> </v>
      </c>
      <c r="I1866" s="25" t="str">
        <f>IF(OR(E1866="",E1866="!!!",F1866="NEW"),"",INDEX(B1865:B$2,-1+SUMPRODUCT(MAX(ROW(E1865:E$2)*(E1866=E1865:E$2)))))</f>
        <v> </v>
      </c>
      <c r="J1866" s="25" t="str">
        <f>IF(OR(E1866="",E1866="!!!",F1866="NEW"),"",COUNTBLANK(OFFSET(A$1,,,SUMPRODUCT(MAX(ROW(E$2:E1866)*(E1866=E$2:E1866)))))-COUNTBLANK(OFFSET(A$1,,,SUMPRODUCT(MAX(ROW(E$1:E1865)*(E2=E$1:E1865))))))</f>
        <v> </v>
      </c>
      <c r="K1866" s="25" t="str">
        <f>IF(OR(E1866="",E1866="!!!",F1866="NEW"),"",INDEX(J$1:J1865,SUMPRODUCT(MAX(ROW(E$1:E1865)*(E1866=E$1:E1865)))))</f>
        <v> </v>
      </c>
      <c r="L1866" s="26"/>
    </row>
    <row r="1867" spans="1:12">
      <c r="A1867" s="20" t="s">
        <v>1324</v>
      </c>
      <c r="E1867" s="21">
        <f>IF(D1867="?OLD","!!!","")</f>
        <v/>
      </c>
      <c r="F1867" s="22" t="str">
        <f>IF(OR(E1867="",E1867="!!!"),"",IF(NOT(ISNA(VLOOKUP(E1867,E$1:E1866,1,FALSE()))),"OLD",IF(AND(E1867&lt;&gt;"",E1867&lt;&gt;"!!!"),"NEW","")))</f>
        <v> </v>
      </c>
      <c r="G1867" s="23" t="str">
        <f>IF(OR(E1867="",E1867="!!!"),"",IF(OR(J1867=0,AND(J1867=1,K1867=1),AND(J1867=1,I1867="SBJ"),AND(J1867=1,I1867=0)),"?IN_FOCUS",IF(J1867&lt;=2,"?ACTIVATED",IF(J1867&lt;&gt;"","?FAMILIAR",IF(F1867="NEW",IF(ISNA(VLOOKUP(E1867,#REF!,1,FALSE())),"?TYPE_IDENTIFIABLE","?REFERENTIAL"),"_")))))</f>
        <v> </v>
      </c>
      <c r="H1867" s="24" t="str">
        <f>IF(J1867&lt;&gt;1,"",IF(I1867="SBJ","CB","?"))</f>
        <v> </v>
      </c>
      <c r="I1867" s="25" t="str">
        <f>IF(OR(E1867="",E1867="!!!",F1867="NEW"),"",INDEX(B1866:B$2,-1+SUMPRODUCT(MAX(ROW(E1866:E$2)*(E1867=E1866:E$2)))))</f>
        <v> </v>
      </c>
      <c r="J1867" s="25" t="str">
        <f>IF(OR(E1867="",E1867="!!!",F1867="NEW"),"",COUNTBLANK(OFFSET(A$1,,,SUMPRODUCT(MAX(ROW(E$2:E1867)*(E1867=E$2:E1867)))))-COUNTBLANK(OFFSET(A$1,,,SUMPRODUCT(MAX(ROW(E$1:E1866)*(E2=E$1:E1866))))))</f>
        <v> </v>
      </c>
      <c r="K1867" s="25" t="str">
        <f>IF(OR(E1867="",E1867="!!!",F1867="NEW"),"",INDEX(J$1:J1866,SUMPRODUCT(MAX(ROW(E$1:E1866)*(E1867=E$1:E1866)))))</f>
        <v> </v>
      </c>
      <c r="L1867" s="26"/>
    </row>
    <row r="1868" spans="1:12">
      <c r="A1868" s="20" t="s">
        <v>617</v>
      </c>
      <c r="E1868" s="21">
        <f>IF(D1868="?OLD","!!!","")</f>
        <v/>
      </c>
      <c r="F1868" s="22" t="str">
        <f>IF(OR(E1868="",E1868="!!!"),"",IF(NOT(ISNA(VLOOKUP(E1868,E$1:E1867,1,FALSE()))),"OLD",IF(AND(E1868&lt;&gt;"",E1868&lt;&gt;"!!!"),"NEW","")))</f>
        <v> </v>
      </c>
      <c r="G1868" s="23" t="str">
        <f>IF(OR(E1868="",E1868="!!!"),"",IF(OR(J1868=0,AND(J1868=1,K1868=1),AND(J1868=1,I1868="SBJ"),AND(J1868=1,I1868=0)),"?IN_FOCUS",IF(J1868&lt;=2,"?ACTIVATED",IF(J1868&lt;&gt;"","?FAMILIAR",IF(F1868="NEW",IF(ISNA(VLOOKUP(E1868,#REF!,1,FALSE())),"?TYPE_IDENTIFIABLE","?REFERENTIAL"),"_")))))</f>
        <v> </v>
      </c>
      <c r="H1868" s="24" t="str">
        <f>IF(J1868&lt;&gt;1,"",IF(I1868="SBJ","CB","?"))</f>
        <v> </v>
      </c>
      <c r="I1868" s="25" t="str">
        <f>IF(OR(E1868="",E1868="!!!",F1868="NEW"),"",INDEX(B1867:B$2,-1+SUMPRODUCT(MAX(ROW(E1867:E$2)*(E1868=E1867:E$2)))))</f>
        <v> </v>
      </c>
      <c r="J1868" s="25" t="str">
        <f>IF(OR(E1868="",E1868="!!!",F1868="NEW"),"",COUNTBLANK(OFFSET(A$1,,,SUMPRODUCT(MAX(ROW(E$2:E1868)*(E1868=E$2:E1868)))))-COUNTBLANK(OFFSET(A$1,,,SUMPRODUCT(MAX(ROW(E$1:E1867)*(E2=E$1:E1867))))))</f>
        <v> </v>
      </c>
      <c r="K1868" s="25" t="str">
        <f>IF(OR(E1868="",E1868="!!!",F1868="NEW"),"",INDEX(J$1:J1867,SUMPRODUCT(MAX(ROW(E$1:E1867)*(E1868=E$1:E1867)))))</f>
        <v> </v>
      </c>
      <c r="L1868" s="26"/>
    </row>
    <row r="1869" spans="1:12">
      <c r="A1869" s="20" t="s">
        <v>690</v>
      </c>
      <c r="E1869" s="21">
        <f>IF(D1869="?OLD","!!!","")</f>
        <v/>
      </c>
      <c r="F1869" s="22" t="str">
        <f>IF(OR(E1869="",E1869="!!!"),"",IF(NOT(ISNA(VLOOKUP(E1869,E$1:E1868,1,FALSE()))),"OLD",IF(AND(E1869&lt;&gt;"",E1869&lt;&gt;"!!!"),"NEW","")))</f>
        <v> </v>
      </c>
      <c r="G1869" s="23" t="str">
        <f>IF(OR(E1869="",E1869="!!!"),"",IF(OR(J1869=0,AND(J1869=1,K1869=1),AND(J1869=1,I1869="SBJ"),AND(J1869=1,I1869=0)),"?IN_FOCUS",IF(J1869&lt;=2,"?ACTIVATED",IF(J1869&lt;&gt;"","?FAMILIAR",IF(F1869="NEW",IF(ISNA(VLOOKUP(E1869,#REF!,1,FALSE())),"?TYPE_IDENTIFIABLE","?REFERENTIAL"),"_")))))</f>
        <v> </v>
      </c>
      <c r="H1869" s="24" t="str">
        <f>IF(J1869&lt;&gt;1,"",IF(I1869="SBJ","CB","?"))</f>
        <v> </v>
      </c>
      <c r="I1869" s="25" t="str">
        <f>IF(OR(E1869="",E1869="!!!",F1869="NEW"),"",INDEX(B1868:B$2,-1+SUMPRODUCT(MAX(ROW(E1868:E$2)*(E1869=E1868:E$2)))))</f>
        <v> </v>
      </c>
      <c r="J1869" s="25" t="str">
        <f>IF(OR(E1869="",E1869="!!!",F1869="NEW"),"",COUNTBLANK(OFFSET(A$1,,,SUMPRODUCT(MAX(ROW(E$2:E1869)*(E1869=E$2:E1869)))))-COUNTBLANK(OFFSET(A$1,,,SUMPRODUCT(MAX(ROW(E$1:E1868)*(E2=E$1:E1868))))))</f>
        <v> </v>
      </c>
      <c r="K1869" s="25" t="str">
        <f>IF(OR(E1869="",E1869="!!!",F1869="NEW"),"",INDEX(J$1:J1868,SUMPRODUCT(MAX(ROW(E$1:E1868)*(E1869=E$1:E1868)))))</f>
        <v> </v>
      </c>
      <c r="L1869" s="26"/>
    </row>
    <row r="1870" spans="1:12">
      <c r="A1870" s="20" t="s">
        <v>1325</v>
      </c>
      <c r="E1870" s="21">
        <f>IF(D1870="?OLD","!!!","")</f>
        <v/>
      </c>
      <c r="F1870" s="22" t="str">
        <f>IF(OR(E1870="",E1870="!!!"),"",IF(NOT(ISNA(VLOOKUP(E1870,E$1:E1869,1,FALSE()))),"OLD",IF(AND(E1870&lt;&gt;"",E1870&lt;&gt;"!!!"),"NEW","")))</f>
        <v> </v>
      </c>
      <c r="G1870" s="23" t="str">
        <f>IF(OR(E1870="",E1870="!!!"),"",IF(OR(J1870=0,AND(J1870=1,K1870=1),AND(J1870=1,I1870="SBJ"),AND(J1870=1,I1870=0)),"?IN_FOCUS",IF(J1870&lt;=2,"?ACTIVATED",IF(J1870&lt;&gt;"","?FAMILIAR",IF(F1870="NEW",IF(ISNA(VLOOKUP(E1870,#REF!,1,FALSE())),"?TYPE_IDENTIFIABLE","?REFERENTIAL"),"_")))))</f>
        <v> </v>
      </c>
      <c r="H1870" s="24" t="str">
        <f>IF(J1870&lt;&gt;1,"",IF(I1870="SBJ","CB","?"))</f>
        <v> </v>
      </c>
      <c r="I1870" s="25" t="str">
        <f>IF(OR(E1870="",E1870="!!!",F1870="NEW"),"",INDEX(B1869:B$2,-1+SUMPRODUCT(MAX(ROW(E1869:E$2)*(E1870=E1869:E$2)))))</f>
        <v> </v>
      </c>
      <c r="J1870" s="25" t="str">
        <f>IF(OR(E1870="",E1870="!!!",F1870="NEW"),"",COUNTBLANK(OFFSET(A$1,,,SUMPRODUCT(MAX(ROW(E$2:E1870)*(E1870=E$2:E1870)))))-COUNTBLANK(OFFSET(A$1,,,SUMPRODUCT(MAX(ROW(E$1:E1869)*(E2=E$1:E1869))))))</f>
        <v> </v>
      </c>
      <c r="K1870" s="25" t="str">
        <f>IF(OR(E1870="",E1870="!!!",F1870="NEW"),"",INDEX(J$1:J1869,SUMPRODUCT(MAX(ROW(E$1:E1869)*(E1870=E$1:E1869)))))</f>
        <v> </v>
      </c>
      <c r="L1870" s="26"/>
    </row>
    <row r="1871" spans="1:12">
      <c r="A1871" s="20" t="s">
        <v>749</v>
      </c>
      <c r="B1871" s="27" t="s">
        <v>606</v>
      </c>
      <c r="C1871" s="27" t="s">
        <v>607</v>
      </c>
      <c r="D1871" s="27" t="s">
        <v>608</v>
      </c>
      <c r="E1871" s="21">
        <f>IF(D1871="?OLD","!!!","")</f>
        <v/>
      </c>
      <c r="F1871" s="22" t="str">
        <f>IF(OR(E1871="",E1871="!!!"),"",IF(NOT(ISNA(VLOOKUP(E1871,E$1:E1870,1,FALSE()))),"OLD",IF(AND(E1871&lt;&gt;"",E1871&lt;&gt;"!!!"),"NEW","")))</f>
        <v> </v>
      </c>
      <c r="G1871" s="23" t="str">
        <f>IF(OR(E1871="",E1871="!!!"),"",IF(OR(J1871=0,AND(J1871=1,K1871=1),AND(J1871=1,I1871="SBJ"),AND(J1871=1,I1871=0)),"?IN_FOCUS",IF(J1871&lt;=2,"?ACTIVATED",IF(J1871&lt;&gt;"","?FAMILIAR",IF(F1871="NEW",IF(ISNA(VLOOKUP(E1871,#REF!,1,FALSE())),"?TYPE_IDENTIFIABLE","?REFERENTIAL"),"_")))))</f>
        <v> </v>
      </c>
      <c r="H1871" s="24" t="str">
        <f>IF(J1871&lt;&gt;1,"",IF(I1871="SBJ","CB","?"))</f>
        <v> </v>
      </c>
      <c r="I1871" s="25" t="str">
        <f>IF(OR(E1871="",E1871="!!!",F1871="NEW"),"",INDEX(B1870:B$2,-1+SUMPRODUCT(MAX(ROW(E1870:E$2)*(E1871=E1870:E$2)))))</f>
        <v> </v>
      </c>
      <c r="J1871" s="25" t="str">
        <f>IF(OR(E1871="",E1871="!!!",F1871="NEW"),"",COUNTBLANK(OFFSET(A$1,,,SUMPRODUCT(MAX(ROW(E$2:E1871)*(E1871=E$2:E1871)))))-COUNTBLANK(OFFSET(A$1,,,SUMPRODUCT(MAX(ROW(E$1:E1870)*(E2=E$1:E1870))))))</f>
        <v> </v>
      </c>
      <c r="K1871" s="25" t="str">
        <f>IF(OR(E1871="",E1871="!!!",F1871="NEW"),"",INDEX(J$1:J1870,SUMPRODUCT(MAX(ROW(E$1:E1870)*(E1871=E$1:E1870)))))</f>
        <v> </v>
      </c>
      <c r="L1871" s="26"/>
    </row>
    <row r="1872" spans="1:12">
      <c r="A1872" s="20" t="s">
        <v>612</v>
      </c>
      <c r="E1872" s="21">
        <f>IF(D1872="?OLD","!!!","")</f>
        <v/>
      </c>
      <c r="F1872" s="22" t="str">
        <f>IF(OR(E1872="",E1872="!!!"),"",IF(NOT(ISNA(VLOOKUP(E1872,E$1:E1871,1,FALSE()))),"OLD",IF(AND(E1872&lt;&gt;"",E1872&lt;&gt;"!!!"),"NEW","")))</f>
        <v> </v>
      </c>
      <c r="G1872" s="23" t="str">
        <f>IF(OR(E1872="",E1872="!!!"),"",IF(OR(J1872=0,AND(J1872=1,K1872=1),AND(J1872=1,I1872="SBJ"),AND(J1872=1,I1872=0)),"?IN_FOCUS",IF(J1872&lt;=2,"?ACTIVATED",IF(J1872&lt;&gt;"","?FAMILIAR",IF(F1872="NEW",IF(ISNA(VLOOKUP(E1872,#REF!,1,FALSE())),"?TYPE_IDENTIFIABLE","?REFERENTIAL"),"_")))))</f>
        <v> </v>
      </c>
      <c r="H1872" s="24" t="str">
        <f>IF(J1872&lt;&gt;1,"",IF(I1872="SBJ","CB","?"))</f>
        <v> </v>
      </c>
      <c r="I1872" s="25" t="str">
        <f>IF(OR(E1872="",E1872="!!!",F1872="NEW"),"",INDEX(B1871:B$2,-1+SUMPRODUCT(MAX(ROW(E1871:E$2)*(E1872=E1871:E$2)))))</f>
        <v> </v>
      </c>
      <c r="J1872" s="25" t="str">
        <f>IF(OR(E1872="",E1872="!!!",F1872="NEW"),"",COUNTBLANK(OFFSET(A$1,,,SUMPRODUCT(MAX(ROW(E$2:E1872)*(E1872=E$2:E1872)))))-COUNTBLANK(OFFSET(A$1,,,SUMPRODUCT(MAX(ROW(E$1:E1871)*(E2=E$1:E1871))))))</f>
        <v> </v>
      </c>
      <c r="K1872" s="25" t="str">
        <f>IF(OR(E1872="",E1872="!!!",F1872="NEW"),"",INDEX(J$1:J1871,SUMPRODUCT(MAX(ROW(E$1:E1871)*(E1872=E$1:E1871)))))</f>
        <v> </v>
      </c>
      <c r="L1872" s="26"/>
    </row>
    <row r="1873" spans="1:12">
      <c r="A1873" s="20" t="s">
        <v>633</v>
      </c>
      <c r="E1873" s="21">
        <f>IF(D1873="?OLD","!!!","")</f>
        <v/>
      </c>
      <c r="F1873" s="22" t="str">
        <f>IF(OR(E1873="",E1873="!!!"),"",IF(NOT(ISNA(VLOOKUP(E1873,E$1:E1872,1,FALSE()))),"OLD",IF(AND(E1873&lt;&gt;"",E1873&lt;&gt;"!!!"),"NEW","")))</f>
        <v> </v>
      </c>
      <c r="G1873" s="23" t="str">
        <f>IF(OR(E1873="",E1873="!!!"),"",IF(OR(J1873=0,AND(J1873=1,K1873=1),AND(J1873=1,I1873="SBJ"),AND(J1873=1,I1873=0)),"?IN_FOCUS",IF(J1873&lt;=2,"?ACTIVATED",IF(J1873&lt;&gt;"","?FAMILIAR",IF(F1873="NEW",IF(ISNA(VLOOKUP(E1873,#REF!,1,FALSE())),"?TYPE_IDENTIFIABLE","?REFERENTIAL"),"_")))))</f>
        <v> </v>
      </c>
      <c r="H1873" s="24" t="str">
        <f>IF(J1873&lt;&gt;1,"",IF(I1873="SBJ","CB","?"))</f>
        <v> </v>
      </c>
      <c r="I1873" s="25" t="str">
        <f>IF(OR(E1873="",E1873="!!!",F1873="NEW"),"",INDEX(B1872:B$2,-1+SUMPRODUCT(MAX(ROW(E1872:E$2)*(E1873=E1872:E$2)))))</f>
        <v> </v>
      </c>
      <c r="J1873" s="25" t="str">
        <f>IF(OR(E1873="",E1873="!!!",F1873="NEW"),"",COUNTBLANK(OFFSET(A$1,,,SUMPRODUCT(MAX(ROW(E$2:E1873)*(E1873=E$2:E1873)))))-COUNTBLANK(OFFSET(A$1,,,SUMPRODUCT(MAX(ROW(E$1:E1872)*(E2=E$1:E1872))))))</f>
        <v> </v>
      </c>
      <c r="K1873" s="25" t="str">
        <f>IF(OR(E1873="",E1873="!!!",F1873="NEW"),"",INDEX(J$1:J1872,SUMPRODUCT(MAX(ROW(E$1:E1872)*(E1873=E$1:E1872)))))</f>
        <v> </v>
      </c>
      <c r="L1873" s="26"/>
    </row>
    <row r="1874" spans="1:12">
      <c r="A1874" s="20"/>
    </row>
    <row r="1875" spans="1:12">
      <c r="A1875" s="20" t="s">
        <v>1326</v>
      </c>
    </row>
    <row r="1876" spans="1:12">
      <c r="A1876" s="20" t="s">
        <v>1327</v>
      </c>
      <c r="E1876" s="21">
        <f>IF(D1876="?OLD","!!!","")</f>
        <v/>
      </c>
      <c r="F1876" s="22" t="str">
        <f>IF(OR(E1876="",E1876="!!!"),"",IF(NOT(ISNA(VLOOKUP(E1876,E$1:E1875,1,FALSE()))),"OLD",IF(AND(E1876&lt;&gt;"",E1876&lt;&gt;"!!!"),"NEW","")))</f>
        <v> </v>
      </c>
      <c r="G1876" s="23" t="str">
        <f>IF(OR(E1876="",E1876="!!!"),"",IF(OR(J1876=0,AND(J1876=1,K1876=1),AND(J1876=1,I1876="SBJ"),AND(J1876=1,I1876=0)),"?IN_FOCUS",IF(J1876&lt;=2,"?ACTIVATED",IF(J1876&lt;&gt;"","?FAMILIAR",IF(F1876="NEW",IF(ISNA(VLOOKUP(E1876,#REF!,1,FALSE())),"?TYPE_IDENTIFIABLE","?REFERENTIAL"),"_")))))</f>
        <v> </v>
      </c>
      <c r="H1876" s="24" t="str">
        <f>IF(J1876&lt;&gt;1,"",IF(I1876="SBJ","CB","?"))</f>
        <v> </v>
      </c>
      <c r="I1876" s="25" t="str">
        <f>IF(OR(E1876="",E1876="!!!",F1876="NEW"),"",INDEX(B1875:B$2,-1+SUMPRODUCT(MAX(ROW(E1875:E$2)*(E1876=E1875:E$2)))))</f>
        <v> </v>
      </c>
      <c r="J1876" s="25" t="str">
        <f>IF(OR(E1876="",E1876="!!!",F1876="NEW"),"",COUNTBLANK(OFFSET(A$1,,,SUMPRODUCT(MAX(ROW(E$2:E1876)*(E1876=E$2:E1876)))))-COUNTBLANK(OFFSET(A$1,,,SUMPRODUCT(MAX(ROW(E$1:E1875)*(E2=E$1:E1875))))))</f>
        <v> </v>
      </c>
      <c r="K1876" s="25" t="str">
        <f>IF(OR(E1876="",E1876="!!!",F1876="NEW"),"",INDEX(J$1:J1875,SUMPRODUCT(MAX(ROW(E$1:E1875)*(E1876=E$1:E1875)))))</f>
        <v> </v>
      </c>
      <c r="L1876" s="26"/>
    </row>
    <row r="1877" spans="1:12">
      <c r="A1877" s="20" t="s">
        <v>1328</v>
      </c>
      <c r="E1877" s="21">
        <f>IF(D1877="?OLD","!!!","")</f>
        <v/>
      </c>
      <c r="F1877" s="22" t="str">
        <f>IF(OR(E1877="",E1877="!!!"),"",IF(NOT(ISNA(VLOOKUP(E1877,E$1:E1876,1,FALSE()))),"OLD",IF(AND(E1877&lt;&gt;"",E1877&lt;&gt;"!!!"),"NEW","")))</f>
        <v> </v>
      </c>
      <c r="G1877" s="23" t="str">
        <f>IF(OR(E1877="",E1877="!!!"),"",IF(OR(J1877=0,AND(J1877=1,K1877=1),AND(J1877=1,I1877="SBJ"),AND(J1877=1,I1877=0)),"?IN_FOCUS",IF(J1877&lt;=2,"?ACTIVATED",IF(J1877&lt;&gt;"","?FAMILIAR",IF(F1877="NEW",IF(ISNA(VLOOKUP(E1877,#REF!,1,FALSE())),"?TYPE_IDENTIFIABLE","?REFERENTIAL"),"_")))))</f>
        <v> </v>
      </c>
      <c r="H1877" s="24" t="str">
        <f>IF(J1877&lt;&gt;1,"",IF(I1877="SBJ","CB","?"))</f>
        <v> </v>
      </c>
      <c r="I1877" s="25" t="str">
        <f>IF(OR(E1877="",E1877="!!!",F1877="NEW"),"",INDEX(B1876:B$2,-1+SUMPRODUCT(MAX(ROW(E1876:E$2)*(E1877=E1876:E$2)))))</f>
        <v> </v>
      </c>
      <c r="J1877" s="25" t="str">
        <f>IF(OR(E1877="",E1877="!!!",F1877="NEW"),"",COUNTBLANK(OFFSET(A$1,,,SUMPRODUCT(MAX(ROW(E$2:E1877)*(E1877=E$2:E1877)))))-COUNTBLANK(OFFSET(A$1,,,SUMPRODUCT(MAX(ROW(E$1:E1876)*(E2=E$1:E1876))))))</f>
        <v> </v>
      </c>
      <c r="K1877" s="25" t="str">
        <f>IF(OR(E1877="",E1877="!!!",F1877="NEW"),"",INDEX(J$1:J1876,SUMPRODUCT(MAX(ROW(E$1:E1876)*(E1877=E$1:E1876)))))</f>
        <v> </v>
      </c>
      <c r="L1877" s="26"/>
    </row>
    <row r="1878" spans="1:12">
      <c r="A1878" s="20" t="s">
        <v>700</v>
      </c>
      <c r="B1878" s="27" t="s">
        <v>636</v>
      </c>
      <c r="C1878" s="27" t="s">
        <v>626</v>
      </c>
      <c r="E1878" s="21">
        <f>IF(D1878="?OLD","!!!","")</f>
        <v/>
      </c>
      <c r="F1878" s="22" t="str">
        <f>IF(OR(E1878="",E1878="!!!"),"",IF(NOT(ISNA(VLOOKUP(E1878,E$1:E1877,1,FALSE()))),"OLD",IF(AND(E1878&lt;&gt;"",E1878&lt;&gt;"!!!"),"NEW","")))</f>
        <v> </v>
      </c>
      <c r="G1878" s="23" t="str">
        <f>IF(OR(E1878="",E1878="!!!"),"",IF(OR(J1878=0,AND(J1878=1,K1878=1),AND(J1878=1,I1878="SBJ"),AND(J1878=1,I1878=0)),"?IN_FOCUS",IF(J1878&lt;=2,"?ACTIVATED",IF(J1878&lt;&gt;"","?FAMILIAR",IF(F1878="NEW",IF(ISNA(VLOOKUP(E1878,#REF!,1,FALSE())),"?TYPE_IDENTIFIABLE","?REFERENTIAL"),"_")))))</f>
        <v> </v>
      </c>
      <c r="H1878" s="24" t="str">
        <f>IF(J1878&lt;&gt;1,"",IF(I1878="SBJ","CB","?"))</f>
        <v> </v>
      </c>
      <c r="I1878" s="25" t="str">
        <f>IF(OR(E1878="",E1878="!!!",F1878="NEW"),"",INDEX(B1877:B$2,-1+SUMPRODUCT(MAX(ROW(E1877:E$2)*(E1878=E1877:E$2)))))</f>
        <v> </v>
      </c>
      <c r="J1878" s="25" t="str">
        <f>IF(OR(E1878="",E1878="!!!",F1878="NEW"),"",COUNTBLANK(OFFSET(A$1,,,SUMPRODUCT(MAX(ROW(E$2:E1878)*(E1878=E$2:E1878)))))-COUNTBLANK(OFFSET(A$1,,,SUMPRODUCT(MAX(ROW(E$1:E1877)*(E2=E$1:E1877))))))</f>
        <v> </v>
      </c>
      <c r="K1878" s="25" t="str">
        <f>IF(OR(E1878="",E1878="!!!",F1878="NEW"),"",INDEX(J$1:J1877,SUMPRODUCT(MAX(ROW(E$1:E1877)*(E1878=E$1:E1877)))))</f>
        <v> </v>
      </c>
      <c r="L1878" s="26"/>
    </row>
    <row r="1879" spans="1:12">
      <c r="A1879" s="20" t="s">
        <v>1325</v>
      </c>
      <c r="E1879" s="21">
        <f>IF(D1879="?OLD","!!!","")</f>
        <v/>
      </c>
      <c r="F1879" s="22" t="str">
        <f>IF(OR(E1879="",E1879="!!!"),"",IF(NOT(ISNA(VLOOKUP(E1879,E$1:E1878,1,FALSE()))),"OLD",IF(AND(E1879&lt;&gt;"",E1879&lt;&gt;"!!!"),"NEW","")))</f>
        <v> </v>
      </c>
      <c r="G1879" s="23" t="str">
        <f>IF(OR(E1879="",E1879="!!!"),"",IF(OR(J1879=0,AND(J1879=1,K1879=1),AND(J1879=1,I1879="SBJ"),AND(J1879=1,I1879=0)),"?IN_FOCUS",IF(J1879&lt;=2,"?ACTIVATED",IF(J1879&lt;&gt;"","?FAMILIAR",IF(F1879="NEW",IF(ISNA(VLOOKUP(E1879,#REF!,1,FALSE())),"?TYPE_IDENTIFIABLE","?REFERENTIAL"),"_")))))</f>
        <v> </v>
      </c>
      <c r="H1879" s="24" t="str">
        <f>IF(J1879&lt;&gt;1,"",IF(I1879="SBJ","CB","?"))</f>
        <v> </v>
      </c>
      <c r="I1879" s="25" t="str">
        <f>IF(OR(E1879="",E1879="!!!",F1879="NEW"),"",INDEX(B1878:B$2,-1+SUMPRODUCT(MAX(ROW(E1878:E$2)*(E1879=E1878:E$2)))))</f>
        <v> </v>
      </c>
      <c r="J1879" s="25" t="str">
        <f>IF(OR(E1879="",E1879="!!!",F1879="NEW"),"",COUNTBLANK(OFFSET(A$1,,,SUMPRODUCT(MAX(ROW(E$2:E1879)*(E1879=E$2:E1879)))))-COUNTBLANK(OFFSET(A$1,,,SUMPRODUCT(MAX(ROW(E$1:E1878)*(E2=E$1:E1878))))))</f>
        <v> </v>
      </c>
      <c r="K1879" s="25" t="str">
        <f>IF(OR(E1879="",E1879="!!!",F1879="NEW"),"",INDEX(J$1:J1878,SUMPRODUCT(MAX(ROW(E$1:E1878)*(E1879=E$1:E1878)))))</f>
        <v> </v>
      </c>
      <c r="L1879" s="26"/>
    </row>
    <row r="1880" spans="1:12">
      <c r="A1880" s="20" t="s">
        <v>1329</v>
      </c>
      <c r="B1880" s="27" t="s">
        <v>653</v>
      </c>
      <c r="C1880" s="27" t="s">
        <v>622</v>
      </c>
      <c r="E1880" s="21">
        <f>IF(D1880="?OLD","!!!","")</f>
        <v/>
      </c>
      <c r="F1880" s="22" t="str">
        <f>IF(OR(E1880="",E1880="!!!"),"",IF(NOT(ISNA(VLOOKUP(E1880,E$1:E1879,1,FALSE()))),"OLD",IF(AND(E1880&lt;&gt;"",E1880&lt;&gt;"!!!"),"NEW","")))</f>
        <v> </v>
      </c>
      <c r="G1880" s="23" t="str">
        <f>IF(OR(E1880="",E1880="!!!"),"",IF(OR(J1880=0,AND(J1880=1,K1880=1),AND(J1880=1,I1880="SBJ"),AND(J1880=1,I1880=0)),"?IN_FOCUS",IF(J1880&lt;=2,"?ACTIVATED",IF(J1880&lt;&gt;"","?FAMILIAR",IF(F1880="NEW",IF(ISNA(VLOOKUP(E1880,#REF!,1,FALSE())),"?TYPE_IDENTIFIABLE","?REFERENTIAL"),"_")))))</f>
        <v> </v>
      </c>
      <c r="H1880" s="24" t="str">
        <f>IF(J1880&lt;&gt;1,"",IF(I1880="SBJ","CB","?"))</f>
        <v> </v>
      </c>
      <c r="I1880" s="25" t="str">
        <f>IF(OR(E1880="",E1880="!!!",F1880="NEW"),"",INDEX(B1879:B$2,-1+SUMPRODUCT(MAX(ROW(E1879:E$2)*(E1880=E1879:E$2)))))</f>
        <v> </v>
      </c>
      <c r="J1880" s="25" t="str">
        <f>IF(OR(E1880="",E1880="!!!",F1880="NEW"),"",COUNTBLANK(OFFSET(A$1,,,SUMPRODUCT(MAX(ROW(E$2:E1880)*(E1880=E$2:E1880)))))-COUNTBLANK(OFFSET(A$1,,,SUMPRODUCT(MAX(ROW(E$1:E1879)*(E2=E$1:E1879))))))</f>
        <v> </v>
      </c>
      <c r="K1880" s="25" t="str">
        <f>IF(OR(E1880="",E1880="!!!",F1880="NEW"),"",INDEX(J$1:J1879,SUMPRODUCT(MAX(ROW(E$1:E1879)*(E1880=E$1:E1879)))))</f>
        <v> </v>
      </c>
      <c r="L1880" s="26"/>
    </row>
    <row r="1881" spans="1:12">
      <c r="A1881" s="20" t="s">
        <v>617</v>
      </c>
      <c r="E1881" s="21">
        <f>IF(D1881="?OLD","!!!","")</f>
        <v/>
      </c>
      <c r="F1881" s="22" t="str">
        <f>IF(OR(E1881="",E1881="!!!"),"",IF(NOT(ISNA(VLOOKUP(E1881,E$1:E1880,1,FALSE()))),"OLD",IF(AND(E1881&lt;&gt;"",E1881&lt;&gt;"!!!"),"NEW","")))</f>
        <v> </v>
      </c>
      <c r="G1881" s="23" t="str">
        <f>IF(OR(E1881="",E1881="!!!"),"",IF(OR(J1881=0,AND(J1881=1,K1881=1),AND(J1881=1,I1881="SBJ"),AND(J1881=1,I1881=0)),"?IN_FOCUS",IF(J1881&lt;=2,"?ACTIVATED",IF(J1881&lt;&gt;"","?FAMILIAR",IF(F1881="NEW",IF(ISNA(VLOOKUP(E1881,#REF!,1,FALSE())),"?TYPE_IDENTIFIABLE","?REFERENTIAL"),"_")))))</f>
        <v> </v>
      </c>
      <c r="H1881" s="24" t="str">
        <f>IF(J1881&lt;&gt;1,"",IF(I1881="SBJ","CB","?"))</f>
        <v> </v>
      </c>
      <c r="I1881" s="25" t="str">
        <f>IF(OR(E1881="",E1881="!!!",F1881="NEW"),"",INDEX(B1880:B$2,-1+SUMPRODUCT(MAX(ROW(E1880:E$2)*(E1881=E1880:E$2)))))</f>
        <v> </v>
      </c>
      <c r="J1881" s="25" t="str">
        <f>IF(OR(E1881="",E1881="!!!",F1881="NEW"),"",COUNTBLANK(OFFSET(A$1,,,SUMPRODUCT(MAX(ROW(E$2:E1881)*(E1881=E$2:E1881)))))-COUNTBLANK(OFFSET(A$1,,,SUMPRODUCT(MAX(ROW(E$1:E1880)*(E2=E$1:E1880))))))</f>
        <v> </v>
      </c>
      <c r="K1881" s="25" t="str">
        <f>IF(OR(E1881="",E1881="!!!",F1881="NEW"),"",INDEX(J$1:J1880,SUMPRODUCT(MAX(ROW(E$1:E1880)*(E1881=E$1:E1880)))))</f>
        <v> </v>
      </c>
      <c r="L1881" s="26"/>
    </row>
    <row r="1882" spans="1:12">
      <c r="A1882" s="20" t="s">
        <v>1243</v>
      </c>
      <c r="B1882" s="27" t="s">
        <v>668</v>
      </c>
      <c r="C1882" s="27" t="s">
        <v>626</v>
      </c>
      <c r="E1882" s="21">
        <f>IF(D1882="?OLD","!!!","")</f>
        <v/>
      </c>
      <c r="F1882" s="22" t="str">
        <f>IF(OR(E1882="",E1882="!!!"),"",IF(NOT(ISNA(VLOOKUP(E1882,E$1:E1881,1,FALSE()))),"OLD",IF(AND(E1882&lt;&gt;"",E1882&lt;&gt;"!!!"),"NEW","")))</f>
        <v> </v>
      </c>
      <c r="G1882" s="23" t="str">
        <f>IF(OR(E1882="",E1882="!!!"),"",IF(OR(J1882=0,AND(J1882=1,K1882=1),AND(J1882=1,I1882="SBJ"),AND(J1882=1,I1882=0)),"?IN_FOCUS",IF(J1882&lt;=2,"?ACTIVATED",IF(J1882&lt;&gt;"","?FAMILIAR",IF(F1882="NEW",IF(ISNA(VLOOKUP(E1882,#REF!,1,FALSE())),"?TYPE_IDENTIFIABLE","?REFERENTIAL"),"_")))))</f>
        <v> </v>
      </c>
      <c r="H1882" s="24" t="str">
        <f>IF(J1882&lt;&gt;1,"",IF(I1882="SBJ","CB","?"))</f>
        <v> </v>
      </c>
      <c r="I1882" s="25" t="str">
        <f>IF(OR(E1882="",E1882="!!!",F1882="NEW"),"",INDEX(B1881:B$2,-1+SUMPRODUCT(MAX(ROW(E1881:E$2)*(E1882=E1881:E$2)))))</f>
        <v> </v>
      </c>
      <c r="J1882" s="25" t="str">
        <f>IF(OR(E1882="",E1882="!!!",F1882="NEW"),"",COUNTBLANK(OFFSET(A$1,,,SUMPRODUCT(MAX(ROW(E$2:E1882)*(E1882=E$2:E1882)))))-COUNTBLANK(OFFSET(A$1,,,SUMPRODUCT(MAX(ROW(E$1:E1881)*(E2=E$1:E1881))))))</f>
        <v> </v>
      </c>
      <c r="K1882" s="25" t="str">
        <f>IF(OR(E1882="",E1882="!!!",F1882="NEW"),"",INDEX(J$1:J1881,SUMPRODUCT(MAX(ROW(E$1:E1881)*(E1882=E$1:E1881)))))</f>
        <v> </v>
      </c>
      <c r="L1882" s="26"/>
    </row>
    <row r="1883" spans="1:12">
      <c r="A1883" s="20" t="s">
        <v>791</v>
      </c>
      <c r="E1883" s="21">
        <f>IF(D1883="?OLD","!!!","")</f>
        <v/>
      </c>
      <c r="F1883" s="22" t="str">
        <f>IF(OR(E1883="",E1883="!!!"),"",IF(NOT(ISNA(VLOOKUP(E1883,E$1:E1882,1,FALSE()))),"OLD",IF(AND(E1883&lt;&gt;"",E1883&lt;&gt;"!!!"),"NEW","")))</f>
        <v> </v>
      </c>
      <c r="G1883" s="23" t="str">
        <f>IF(OR(E1883="",E1883="!!!"),"",IF(OR(J1883=0,AND(J1883=1,K1883=1),AND(J1883=1,I1883="SBJ"),AND(J1883=1,I1883=0)),"?IN_FOCUS",IF(J1883&lt;=2,"?ACTIVATED",IF(J1883&lt;&gt;"","?FAMILIAR",IF(F1883="NEW",IF(ISNA(VLOOKUP(E1883,#REF!,1,FALSE())),"?TYPE_IDENTIFIABLE","?REFERENTIAL"),"_")))))</f>
        <v> </v>
      </c>
      <c r="H1883" s="24" t="str">
        <f>IF(J1883&lt;&gt;1,"",IF(I1883="SBJ","CB","?"))</f>
        <v> </v>
      </c>
      <c r="I1883" s="25" t="str">
        <f>IF(OR(E1883="",E1883="!!!",F1883="NEW"),"",INDEX(B1882:B$2,-1+SUMPRODUCT(MAX(ROW(E1882:E$2)*(E1883=E1882:E$2)))))</f>
        <v> </v>
      </c>
      <c r="J1883" s="25" t="str">
        <f>IF(OR(E1883="",E1883="!!!",F1883="NEW"),"",COUNTBLANK(OFFSET(A$1,,,SUMPRODUCT(MAX(ROW(E$2:E1883)*(E1883=E$2:E1883)))))-COUNTBLANK(OFFSET(A$1,,,SUMPRODUCT(MAX(ROW(E$1:E1882)*(E2=E$1:E1882))))))</f>
        <v> </v>
      </c>
      <c r="K1883" s="25" t="str">
        <f>IF(OR(E1883="",E1883="!!!",F1883="NEW"),"",INDEX(J$1:J1882,SUMPRODUCT(MAX(ROW(E$1:E1882)*(E1883=E$1:E1882)))))</f>
        <v> </v>
      </c>
      <c r="L1883" s="26"/>
    </row>
    <row r="1884" spans="1:12">
      <c r="A1884" s="20" t="s">
        <v>766</v>
      </c>
      <c r="E1884" s="21">
        <f>IF(D1884="?OLD","!!!","")</f>
        <v/>
      </c>
      <c r="F1884" s="22" t="str">
        <f>IF(OR(E1884="",E1884="!!!"),"",IF(NOT(ISNA(VLOOKUP(E1884,E$1:E1883,1,FALSE()))),"OLD",IF(AND(E1884&lt;&gt;"",E1884&lt;&gt;"!!!"),"NEW","")))</f>
        <v> </v>
      </c>
      <c r="G1884" s="23" t="str">
        <f>IF(OR(E1884="",E1884="!!!"),"",IF(OR(J1884=0,AND(J1884=1,K1884=1),AND(J1884=1,I1884="SBJ"),AND(J1884=1,I1884=0)),"?IN_FOCUS",IF(J1884&lt;=2,"?ACTIVATED",IF(J1884&lt;&gt;"","?FAMILIAR",IF(F1884="NEW",IF(ISNA(VLOOKUP(E1884,#REF!,1,FALSE())),"?TYPE_IDENTIFIABLE","?REFERENTIAL"),"_")))))</f>
        <v> </v>
      </c>
      <c r="H1884" s="24" t="str">
        <f>IF(J1884&lt;&gt;1,"",IF(I1884="SBJ","CB","?"))</f>
        <v> </v>
      </c>
      <c r="I1884" s="25" t="str">
        <f>IF(OR(E1884="",E1884="!!!",F1884="NEW"),"",INDEX(B1883:B$2,-1+SUMPRODUCT(MAX(ROW(E1883:E$2)*(E1884=E1883:E$2)))))</f>
        <v> </v>
      </c>
      <c r="J1884" s="25" t="str">
        <f>IF(OR(E1884="",E1884="!!!",F1884="NEW"),"",COUNTBLANK(OFFSET(A$1,,,SUMPRODUCT(MAX(ROW(E$2:E1884)*(E1884=E$2:E1884)))))-COUNTBLANK(OFFSET(A$1,,,SUMPRODUCT(MAX(ROW(E$1:E1883)*(E2=E$1:E1883))))))</f>
        <v> </v>
      </c>
      <c r="K1884" s="25" t="str">
        <f>IF(OR(E1884="",E1884="!!!",F1884="NEW"),"",INDEX(J$1:J1883,SUMPRODUCT(MAX(ROW(E$1:E1883)*(E1884=E$1:E1883)))))</f>
        <v> </v>
      </c>
      <c r="L1884" s="26"/>
    </row>
    <row r="1885" spans="1:12">
      <c r="A1885" s="20" t="s">
        <v>717</v>
      </c>
      <c r="E1885" s="21">
        <f>IF(D1885="?OLD","!!!","")</f>
        <v/>
      </c>
      <c r="F1885" s="22" t="str">
        <f>IF(OR(E1885="",E1885="!!!"),"",IF(NOT(ISNA(VLOOKUP(E1885,E$1:E1884,1,FALSE()))),"OLD",IF(AND(E1885&lt;&gt;"",E1885&lt;&gt;"!!!"),"NEW","")))</f>
        <v> </v>
      </c>
      <c r="G1885" s="23" t="str">
        <f>IF(OR(E1885="",E1885="!!!"),"",IF(OR(J1885=0,AND(J1885=1,K1885=1),AND(J1885=1,I1885="SBJ"),AND(J1885=1,I1885=0)),"?IN_FOCUS",IF(J1885&lt;=2,"?ACTIVATED",IF(J1885&lt;&gt;"","?FAMILIAR",IF(F1885="NEW",IF(ISNA(VLOOKUP(E1885,#REF!,1,FALSE())),"?TYPE_IDENTIFIABLE","?REFERENTIAL"),"_")))))</f>
        <v> </v>
      </c>
      <c r="H1885" s="24" t="str">
        <f>IF(J1885&lt;&gt;1,"",IF(I1885="SBJ","CB","?"))</f>
        <v> </v>
      </c>
      <c r="I1885" s="25" t="str">
        <f>IF(OR(E1885="",E1885="!!!",F1885="NEW"),"",INDEX(B1884:B$2,-1+SUMPRODUCT(MAX(ROW(E1884:E$2)*(E1885=E1884:E$2)))))</f>
        <v> </v>
      </c>
      <c r="J1885" s="25" t="str">
        <f>IF(OR(E1885="",E1885="!!!",F1885="NEW"),"",COUNTBLANK(OFFSET(A$1,,,SUMPRODUCT(MAX(ROW(E$2:E1885)*(E1885=E$2:E1885)))))-COUNTBLANK(OFFSET(A$1,,,SUMPRODUCT(MAX(ROW(E$1:E1884)*(E2=E$1:E1884))))))</f>
        <v> </v>
      </c>
      <c r="K1885" s="25" t="str">
        <f>IF(OR(E1885="",E1885="!!!",F1885="NEW"),"",INDEX(J$1:J1884,SUMPRODUCT(MAX(ROW(E$1:E1884)*(E1885=E$1:E1884)))))</f>
        <v> </v>
      </c>
      <c r="L1885" s="26"/>
    </row>
    <row r="1886" spans="1:12">
      <c r="A1886" s="20" t="s">
        <v>749</v>
      </c>
      <c r="B1886" s="27" t="s">
        <v>725</v>
      </c>
      <c r="C1886" s="27" t="s">
        <v>685</v>
      </c>
      <c r="E1886" s="21">
        <f>IF(D1886="?OLD","!!!","")</f>
        <v/>
      </c>
      <c r="F1886" s="22" t="str">
        <f>IF(OR(E1886="",E1886="!!!"),"",IF(NOT(ISNA(VLOOKUP(E1886,E$1:E1885,1,FALSE()))),"OLD",IF(AND(E1886&lt;&gt;"",E1886&lt;&gt;"!!!"),"NEW","")))</f>
        <v> </v>
      </c>
      <c r="G1886" s="23" t="str">
        <f>IF(OR(E1886="",E1886="!!!"),"",IF(OR(J1886=0,AND(J1886=1,K1886=1),AND(J1886=1,I1886="SBJ"),AND(J1886=1,I1886=0)),"?IN_FOCUS",IF(J1886&lt;=2,"?ACTIVATED",IF(J1886&lt;&gt;"","?FAMILIAR",IF(F1886="NEW",IF(ISNA(VLOOKUP(E1886,#REF!,1,FALSE())),"?TYPE_IDENTIFIABLE","?REFERENTIAL"),"_")))))</f>
        <v> </v>
      </c>
      <c r="H1886" s="24" t="str">
        <f>IF(J1886&lt;&gt;1,"",IF(I1886="SBJ","CB","?"))</f>
        <v> </v>
      </c>
      <c r="I1886" s="25" t="str">
        <f>IF(OR(E1886="",E1886="!!!",F1886="NEW"),"",INDEX(B1885:B$2,-1+SUMPRODUCT(MAX(ROW(E1885:E$2)*(E1886=E1885:E$2)))))</f>
        <v> </v>
      </c>
      <c r="J1886" s="25" t="str">
        <f>IF(OR(E1886="",E1886="!!!",F1886="NEW"),"",COUNTBLANK(OFFSET(A$1,,,SUMPRODUCT(MAX(ROW(E$2:E1886)*(E1886=E$2:E1886)))))-COUNTBLANK(OFFSET(A$1,,,SUMPRODUCT(MAX(ROW(E$1:E1885)*(E2=E$1:E1885))))))</f>
        <v> </v>
      </c>
      <c r="K1886" s="25" t="str">
        <f>IF(OR(E1886="",E1886="!!!",F1886="NEW"),"",INDEX(J$1:J1885,SUMPRODUCT(MAX(ROW(E$1:E1885)*(E1886=E$1:E1885)))))</f>
        <v> </v>
      </c>
      <c r="L1886" s="26"/>
    </row>
    <row r="1887" spans="1:12">
      <c r="A1887" s="20" t="s">
        <v>663</v>
      </c>
      <c r="E1887" s="21">
        <f>IF(D1887="?OLD","!!!","")</f>
        <v/>
      </c>
      <c r="F1887" s="22" t="str">
        <f>IF(OR(E1887="",E1887="!!!"),"",IF(NOT(ISNA(VLOOKUP(E1887,E$1:E1886,1,FALSE()))),"OLD",IF(AND(E1887&lt;&gt;"",E1887&lt;&gt;"!!!"),"NEW","")))</f>
        <v> </v>
      </c>
      <c r="G1887" s="23" t="str">
        <f>IF(OR(E1887="",E1887="!!!"),"",IF(OR(J1887=0,AND(J1887=1,K1887=1),AND(J1887=1,I1887="SBJ"),AND(J1887=1,I1887=0)),"?IN_FOCUS",IF(J1887&lt;=2,"?ACTIVATED",IF(J1887&lt;&gt;"","?FAMILIAR",IF(F1887="NEW",IF(ISNA(VLOOKUP(E1887,#REF!,1,FALSE())),"?TYPE_IDENTIFIABLE","?REFERENTIAL"),"_")))))</f>
        <v> </v>
      </c>
      <c r="H1887" s="24" t="str">
        <f>IF(J1887&lt;&gt;1,"",IF(I1887="SBJ","CB","?"))</f>
        <v> </v>
      </c>
      <c r="I1887" s="25" t="str">
        <f>IF(OR(E1887="",E1887="!!!",F1887="NEW"),"",INDEX(B1886:B$2,-1+SUMPRODUCT(MAX(ROW(E1886:E$2)*(E1887=E1886:E$2)))))</f>
        <v> </v>
      </c>
      <c r="J1887" s="25" t="str">
        <f>IF(OR(E1887="",E1887="!!!",F1887="NEW"),"",COUNTBLANK(OFFSET(A$1,,,SUMPRODUCT(MAX(ROW(E$2:E1887)*(E1887=E$2:E1887)))))-COUNTBLANK(OFFSET(A$1,,,SUMPRODUCT(MAX(ROW(E$1:E1886)*(E2=E$1:E1886))))))</f>
        <v> </v>
      </c>
      <c r="K1887" s="25" t="str">
        <f>IF(OR(E1887="",E1887="!!!",F1887="NEW"),"",INDEX(J$1:J1886,SUMPRODUCT(MAX(ROW(E$1:E1886)*(E1887=E$1:E1886)))))</f>
        <v> </v>
      </c>
      <c r="L1887" s="26"/>
    </row>
    <row r="1888" spans="1:12">
      <c r="A1888" s="20" t="s">
        <v>453</v>
      </c>
      <c r="E1888" s="21">
        <f>IF(D1888="?OLD","!!!","")</f>
        <v/>
      </c>
      <c r="F1888" s="22" t="str">
        <f>IF(OR(E1888="",E1888="!!!"),"",IF(NOT(ISNA(VLOOKUP(E1888,E$1:E1887,1,FALSE()))),"OLD",IF(AND(E1888&lt;&gt;"",E1888&lt;&gt;"!!!"),"NEW","")))</f>
        <v> </v>
      </c>
      <c r="G1888" s="23" t="str">
        <f>IF(OR(E1888="",E1888="!!!"),"",IF(OR(J1888=0,AND(J1888=1,K1888=1),AND(J1888=1,I1888="SBJ"),AND(J1888=1,I1888=0)),"?IN_FOCUS",IF(J1888&lt;=2,"?ACTIVATED",IF(J1888&lt;&gt;"","?FAMILIAR",IF(F1888="NEW",IF(ISNA(VLOOKUP(E1888,#REF!,1,FALSE())),"?TYPE_IDENTIFIABLE","?REFERENTIAL"),"_")))))</f>
        <v> </v>
      </c>
      <c r="H1888" s="24" t="str">
        <f>IF(J1888&lt;&gt;1,"",IF(I1888="SBJ","CB","?"))</f>
        <v> </v>
      </c>
      <c r="I1888" s="25" t="str">
        <f>IF(OR(E1888="",E1888="!!!",F1888="NEW"),"",INDEX(B1887:B$2,-1+SUMPRODUCT(MAX(ROW(E1887:E$2)*(E1888=E1887:E$2)))))</f>
        <v> </v>
      </c>
      <c r="J1888" s="25" t="str">
        <f>IF(OR(E1888="",E1888="!!!",F1888="NEW"),"",COUNTBLANK(OFFSET(A$1,,,SUMPRODUCT(MAX(ROW(E$2:E1888)*(E1888=E$2:E1888)))))-COUNTBLANK(OFFSET(A$1,,,SUMPRODUCT(MAX(ROW(E$1:E1887)*(E2=E$1:E1887))))))</f>
        <v> </v>
      </c>
      <c r="K1888" s="25" t="str">
        <f>IF(OR(E1888="",E1888="!!!",F1888="NEW"),"",INDEX(J$1:J1887,SUMPRODUCT(MAX(ROW(E$1:E1887)*(E1888=E$1:E1887)))))</f>
        <v> </v>
      </c>
      <c r="L1888" s="26"/>
    </row>
    <row r="1889" spans="1:12">
      <c r="A1889" s="20" t="s">
        <v>767</v>
      </c>
      <c r="E1889" s="21">
        <f>IF(D1889="?OLD","!!!","")</f>
        <v/>
      </c>
      <c r="F1889" s="22" t="str">
        <f>IF(OR(E1889="",E1889="!!!"),"",IF(NOT(ISNA(VLOOKUP(E1889,E$1:E1888,1,FALSE()))),"OLD",IF(AND(E1889&lt;&gt;"",E1889&lt;&gt;"!!!"),"NEW","")))</f>
        <v> </v>
      </c>
      <c r="G1889" s="23" t="str">
        <f>IF(OR(E1889="",E1889="!!!"),"",IF(OR(J1889=0,AND(J1889=1,K1889=1),AND(J1889=1,I1889="SBJ"),AND(J1889=1,I1889=0)),"?IN_FOCUS",IF(J1889&lt;=2,"?ACTIVATED",IF(J1889&lt;&gt;"","?FAMILIAR",IF(F1889="NEW",IF(ISNA(VLOOKUP(E1889,#REF!,1,FALSE())),"?TYPE_IDENTIFIABLE","?REFERENTIAL"),"_")))))</f>
        <v> </v>
      </c>
      <c r="H1889" s="24" t="str">
        <f>IF(J1889&lt;&gt;1,"",IF(I1889="SBJ","CB","?"))</f>
        <v> </v>
      </c>
      <c r="I1889" s="25" t="str">
        <f>IF(OR(E1889="",E1889="!!!",F1889="NEW"),"",INDEX(B1888:B$2,-1+SUMPRODUCT(MAX(ROW(E1888:E$2)*(E1889=E1888:E$2)))))</f>
        <v> </v>
      </c>
      <c r="J1889" s="25" t="str">
        <f>IF(OR(E1889="",E1889="!!!",F1889="NEW"),"",COUNTBLANK(OFFSET(A$1,,,SUMPRODUCT(MAX(ROW(E$2:E1889)*(E1889=E$2:E1889)))))-COUNTBLANK(OFFSET(A$1,,,SUMPRODUCT(MAX(ROW(E$1:E1888)*(E2=E$1:E1888))))))</f>
        <v> </v>
      </c>
      <c r="K1889" s="25" t="str">
        <f>IF(OR(E1889="",E1889="!!!",F1889="NEW"),"",INDEX(J$1:J1888,SUMPRODUCT(MAX(ROW(E$1:E1888)*(E1889=E$1:E1888)))))</f>
        <v> </v>
      </c>
      <c r="L1889" s="26"/>
    </row>
    <row r="1890" spans="1:12">
      <c r="A1890" s="20"/>
    </row>
    <row r="1891" spans="1:12">
      <c r="A1891" s="20" t="s">
        <v>1330</v>
      </c>
    </row>
    <row r="1892" spans="1:12">
      <c r="A1892" s="20" t="s">
        <v>1331</v>
      </c>
      <c r="E1892" s="21">
        <f>IF(D1892="?OLD","!!!","")</f>
        <v/>
      </c>
      <c r="F1892" s="22" t="str">
        <f>IF(OR(E1892="",E1892="!!!"),"",IF(NOT(ISNA(VLOOKUP(E1892,E$1:E1891,1,FALSE()))),"OLD",IF(AND(E1892&lt;&gt;"",E1892&lt;&gt;"!!!"),"NEW","")))</f>
        <v> </v>
      </c>
      <c r="G1892" s="23" t="str">
        <f>IF(OR(E1892="",E1892="!!!"),"",IF(OR(J1892=0,AND(J1892=1,K1892=1),AND(J1892=1,I1892="SBJ"),AND(J1892=1,I1892=0)),"?IN_FOCUS",IF(J1892&lt;=2,"?ACTIVATED",IF(J1892&lt;&gt;"","?FAMILIAR",IF(F1892="NEW",IF(ISNA(VLOOKUP(E1892,#REF!,1,FALSE())),"?TYPE_IDENTIFIABLE","?REFERENTIAL"),"_")))))</f>
        <v> </v>
      </c>
      <c r="H1892" s="24" t="str">
        <f>IF(J1892&lt;&gt;1,"",IF(I1892="SBJ","CB","?"))</f>
        <v> </v>
      </c>
      <c r="I1892" s="25" t="str">
        <f>IF(OR(E1892="",E1892="!!!",F1892="NEW"),"",INDEX(B1891:B$2,-1+SUMPRODUCT(MAX(ROW(E1891:E$2)*(E1892=E1891:E$2)))))</f>
        <v> </v>
      </c>
      <c r="J1892" s="25" t="str">
        <f>IF(OR(E1892="",E1892="!!!",F1892="NEW"),"",COUNTBLANK(OFFSET(A$1,,,SUMPRODUCT(MAX(ROW(E$2:E1892)*(E1892=E$2:E1892)))))-COUNTBLANK(OFFSET(A$1,,,SUMPRODUCT(MAX(ROW(E$1:E1891)*(E2=E$1:E1891))))))</f>
        <v> </v>
      </c>
      <c r="K1892" s="25" t="str">
        <f>IF(OR(E1892="",E1892="!!!",F1892="NEW"),"",INDEX(J$1:J1891,SUMPRODUCT(MAX(ROW(E$1:E1891)*(E1892=E$1:E1891)))))</f>
        <v> </v>
      </c>
      <c r="L1892" s="26"/>
    </row>
    <row r="1893" spans="1:12">
      <c r="A1893" s="20" t="s">
        <v>1332</v>
      </c>
      <c r="E1893" s="21">
        <f>IF(D1893="?OLD","!!!","")</f>
        <v/>
      </c>
      <c r="F1893" s="22" t="str">
        <f>IF(OR(E1893="",E1893="!!!"),"",IF(NOT(ISNA(VLOOKUP(E1893,E$1:E1892,1,FALSE()))),"OLD",IF(AND(E1893&lt;&gt;"",E1893&lt;&gt;"!!!"),"NEW","")))</f>
        <v> </v>
      </c>
      <c r="G1893" s="23" t="str">
        <f>IF(OR(E1893="",E1893="!!!"),"",IF(OR(J1893=0,AND(J1893=1,K1893=1),AND(J1893=1,I1893="SBJ"),AND(J1893=1,I1893=0)),"?IN_FOCUS",IF(J1893&lt;=2,"?ACTIVATED",IF(J1893&lt;&gt;"","?FAMILIAR",IF(F1893="NEW",IF(ISNA(VLOOKUP(E1893,#REF!,1,FALSE())),"?TYPE_IDENTIFIABLE","?REFERENTIAL"),"_")))))</f>
        <v> </v>
      </c>
      <c r="H1893" s="24" t="str">
        <f>IF(J1893&lt;&gt;1,"",IF(I1893="SBJ","CB","?"))</f>
        <v> </v>
      </c>
      <c r="I1893" s="25" t="str">
        <f>IF(OR(E1893="",E1893="!!!",F1893="NEW"),"",INDEX(B1892:B$2,-1+SUMPRODUCT(MAX(ROW(E1892:E$2)*(E1893=E1892:E$2)))))</f>
        <v> </v>
      </c>
      <c r="J1893" s="25" t="str">
        <f>IF(OR(E1893="",E1893="!!!",F1893="NEW"),"",COUNTBLANK(OFFSET(A$1,,,SUMPRODUCT(MAX(ROW(E$2:E1893)*(E1893=E$2:E1893)))))-COUNTBLANK(OFFSET(A$1,,,SUMPRODUCT(MAX(ROW(E$1:E1892)*(E2=E$1:E1892))))))</f>
        <v> </v>
      </c>
      <c r="K1893" s="25" t="str">
        <f>IF(OR(E1893="",E1893="!!!",F1893="NEW"),"",INDEX(J$1:J1892,SUMPRODUCT(MAX(ROW(E$1:E1892)*(E1893=E$1:E1892)))))</f>
        <v> </v>
      </c>
      <c r="L1893" s="26"/>
    </row>
    <row r="1894" spans="1:12">
      <c r="A1894" s="20" t="s">
        <v>976</v>
      </c>
      <c r="E1894" s="21">
        <f>IF(D1894="?OLD","!!!","")</f>
        <v/>
      </c>
      <c r="F1894" s="22" t="str">
        <f>IF(OR(E1894="",E1894="!!!"),"",IF(NOT(ISNA(VLOOKUP(E1894,E$1:E1893,1,FALSE()))),"OLD",IF(AND(E1894&lt;&gt;"",E1894&lt;&gt;"!!!"),"NEW","")))</f>
        <v> </v>
      </c>
      <c r="G1894" s="23" t="str">
        <f>IF(OR(E1894="",E1894="!!!"),"",IF(OR(J1894=0,AND(J1894=1,K1894=1),AND(J1894=1,I1894="SBJ"),AND(J1894=1,I1894=0)),"?IN_FOCUS",IF(J1894&lt;=2,"?ACTIVATED",IF(J1894&lt;&gt;"","?FAMILIAR",IF(F1894="NEW",IF(ISNA(VLOOKUP(E1894,#REF!,1,FALSE())),"?TYPE_IDENTIFIABLE","?REFERENTIAL"),"_")))))</f>
        <v> </v>
      </c>
      <c r="H1894" s="24" t="str">
        <f>IF(J1894&lt;&gt;1,"",IF(I1894="SBJ","CB","?"))</f>
        <v> </v>
      </c>
      <c r="I1894" s="25" t="str">
        <f>IF(OR(E1894="",E1894="!!!",F1894="NEW"),"",INDEX(B1893:B$2,-1+SUMPRODUCT(MAX(ROW(E1893:E$2)*(E1894=E1893:E$2)))))</f>
        <v> </v>
      </c>
      <c r="J1894" s="25" t="str">
        <f>IF(OR(E1894="",E1894="!!!",F1894="NEW"),"",COUNTBLANK(OFFSET(A$1,,,SUMPRODUCT(MAX(ROW(E$2:E1894)*(E1894=E$2:E1894)))))-COUNTBLANK(OFFSET(A$1,,,SUMPRODUCT(MAX(ROW(E$1:E1893)*(E2=E$1:E1893))))))</f>
        <v> </v>
      </c>
      <c r="K1894" s="25" t="str">
        <f>IF(OR(E1894="",E1894="!!!",F1894="NEW"),"",INDEX(J$1:J1893,SUMPRODUCT(MAX(ROW(E$1:E1893)*(E1894=E$1:E1893)))))</f>
        <v> </v>
      </c>
      <c r="L1894" s="26"/>
    </row>
    <row r="1895" spans="1:12">
      <c r="A1895" s="20" t="s">
        <v>700</v>
      </c>
      <c r="B1895" s="27" t="s">
        <v>619</v>
      </c>
      <c r="C1895" s="27" t="s">
        <v>626</v>
      </c>
      <c r="E1895" s="21">
        <f>IF(D1895="?OLD","!!!","")</f>
        <v/>
      </c>
      <c r="F1895" s="22" t="str">
        <f>IF(OR(E1895="",E1895="!!!"),"",IF(NOT(ISNA(VLOOKUP(E1895,E$1:E1894,1,FALSE()))),"OLD",IF(AND(E1895&lt;&gt;"",E1895&lt;&gt;"!!!"),"NEW","")))</f>
        <v> </v>
      </c>
      <c r="G1895" s="23" t="str">
        <f>IF(OR(E1895="",E1895="!!!"),"",IF(OR(J1895=0,AND(J1895=1,K1895=1),AND(J1895=1,I1895="SBJ"),AND(J1895=1,I1895=0)),"?IN_FOCUS",IF(J1895&lt;=2,"?ACTIVATED",IF(J1895&lt;&gt;"","?FAMILIAR",IF(F1895="NEW",IF(ISNA(VLOOKUP(E1895,#REF!,1,FALSE())),"?TYPE_IDENTIFIABLE","?REFERENTIAL"),"_")))))</f>
        <v> </v>
      </c>
      <c r="H1895" s="24" t="str">
        <f>IF(J1895&lt;&gt;1,"",IF(I1895="SBJ","CB","?"))</f>
        <v> </v>
      </c>
      <c r="I1895" s="25" t="str">
        <f>IF(OR(E1895="",E1895="!!!",F1895="NEW"),"",INDEX(B1894:B$2,-1+SUMPRODUCT(MAX(ROW(E1894:E$2)*(E1895=E1894:E$2)))))</f>
        <v> </v>
      </c>
      <c r="J1895" s="25" t="str">
        <f>IF(OR(E1895="",E1895="!!!",F1895="NEW"),"",COUNTBLANK(OFFSET(A$1,,,SUMPRODUCT(MAX(ROW(E$2:E1895)*(E1895=E$2:E1895)))))-COUNTBLANK(OFFSET(A$1,,,SUMPRODUCT(MAX(ROW(E$1:E1894)*(E2=E$1:E1894))))))</f>
        <v> </v>
      </c>
      <c r="K1895" s="25" t="str">
        <f>IF(OR(E1895="",E1895="!!!",F1895="NEW"),"",INDEX(J$1:J1894,SUMPRODUCT(MAX(ROW(E$1:E1894)*(E1895=E$1:E1894)))))</f>
        <v> </v>
      </c>
      <c r="L1895" s="26"/>
    </row>
    <row r="1896" spans="1:12">
      <c r="A1896" s="20" t="s">
        <v>856</v>
      </c>
      <c r="B1896" s="27" t="s">
        <v>657</v>
      </c>
      <c r="C1896" s="27" t="s">
        <v>637</v>
      </c>
      <c r="D1896" s="27" t="s">
        <v>608</v>
      </c>
      <c r="E1896" s="21">
        <f>IF(D1896="?OLD","!!!","")</f>
        <v/>
      </c>
      <c r="F1896" s="22" t="str">
        <f>IF(OR(E1896="",E1896="!!!"),"",IF(NOT(ISNA(VLOOKUP(E1896,E$1:E1895,1,FALSE()))),"OLD",IF(AND(E1896&lt;&gt;"",E1896&lt;&gt;"!!!"),"NEW","")))</f>
        <v> </v>
      </c>
      <c r="G1896" s="23" t="str">
        <f>IF(OR(E1896="",E1896="!!!"),"",IF(OR(J1896=0,AND(J1896=1,K1896=1),AND(J1896=1,I1896="SBJ"),AND(J1896=1,I1896=0)),"?IN_FOCUS",IF(J1896&lt;=2,"?ACTIVATED",IF(J1896&lt;&gt;"","?FAMILIAR",IF(F1896="NEW",IF(ISNA(VLOOKUP(E1896,#REF!,1,FALSE())),"?TYPE_IDENTIFIABLE","?REFERENTIAL"),"_")))))</f>
        <v> </v>
      </c>
      <c r="H1896" s="24" t="str">
        <f>IF(J1896&lt;&gt;1,"",IF(I1896="SBJ","CB","?"))</f>
        <v> </v>
      </c>
      <c r="I1896" s="25" t="str">
        <f>IF(OR(E1896="",E1896="!!!",F1896="NEW"),"",INDEX(B1895:B$2,-1+SUMPRODUCT(MAX(ROW(E1895:E$2)*(E1896=E1895:E$2)))))</f>
        <v> </v>
      </c>
      <c r="J1896" s="25" t="str">
        <f>IF(OR(E1896="",E1896="!!!",F1896="NEW"),"",COUNTBLANK(OFFSET(A$1,,,SUMPRODUCT(MAX(ROW(E$2:E1896)*(E1896=E$2:E1896)))))-COUNTBLANK(OFFSET(A$1,,,SUMPRODUCT(MAX(ROW(E$1:E1895)*(E2=E$1:E1895))))))</f>
        <v> </v>
      </c>
      <c r="K1896" s="25" t="str">
        <f>IF(OR(E1896="",E1896="!!!",F1896="NEW"),"",INDEX(J$1:J1895,SUMPRODUCT(MAX(ROW(E$1:E1895)*(E1896=E$1:E1895)))))</f>
        <v> </v>
      </c>
      <c r="L1896" s="26"/>
    </row>
    <row r="1897" spans="1:12">
      <c r="A1897" s="20" t="s">
        <v>737</v>
      </c>
      <c r="E1897" s="21">
        <f>IF(D1897="?OLD","!!!","")</f>
        <v/>
      </c>
      <c r="F1897" s="22" t="str">
        <f>IF(OR(E1897="",E1897="!!!"),"",IF(NOT(ISNA(VLOOKUP(E1897,E$1:E1896,1,FALSE()))),"OLD",IF(AND(E1897&lt;&gt;"",E1897&lt;&gt;"!!!"),"NEW","")))</f>
        <v> </v>
      </c>
      <c r="G1897" s="23" t="str">
        <f>IF(OR(E1897="",E1897="!!!"),"",IF(OR(J1897=0,AND(J1897=1,K1897=1),AND(J1897=1,I1897="SBJ"),AND(J1897=1,I1897=0)),"?IN_FOCUS",IF(J1897&lt;=2,"?ACTIVATED",IF(J1897&lt;&gt;"","?FAMILIAR",IF(F1897="NEW",IF(ISNA(VLOOKUP(E1897,#REF!,1,FALSE())),"?TYPE_IDENTIFIABLE","?REFERENTIAL"),"_")))))</f>
        <v> </v>
      </c>
      <c r="H1897" s="24" t="str">
        <f>IF(J1897&lt;&gt;1,"",IF(I1897="SBJ","CB","?"))</f>
        <v> </v>
      </c>
      <c r="I1897" s="25" t="str">
        <f>IF(OR(E1897="",E1897="!!!",F1897="NEW"),"",INDEX(B1896:B$2,-1+SUMPRODUCT(MAX(ROW(E1896:E$2)*(E1897=E1896:E$2)))))</f>
        <v> </v>
      </c>
      <c r="J1897" s="25" t="str">
        <f>IF(OR(E1897="",E1897="!!!",F1897="NEW"),"",COUNTBLANK(OFFSET(A$1,,,SUMPRODUCT(MAX(ROW(E$2:E1897)*(E1897=E$2:E1897)))))-COUNTBLANK(OFFSET(A$1,,,SUMPRODUCT(MAX(ROW(E$1:E1896)*(E2=E$1:E1896))))))</f>
        <v> </v>
      </c>
      <c r="K1897" s="25" t="str">
        <f>IF(OR(E1897="",E1897="!!!",F1897="NEW"),"",INDEX(J$1:J1896,SUMPRODUCT(MAX(ROW(E$1:E1896)*(E1897=E$1:E1896)))))</f>
        <v> </v>
      </c>
      <c r="L1897" s="26"/>
    </row>
    <row r="1898" spans="1:12">
      <c r="A1898" s="20" t="s">
        <v>633</v>
      </c>
      <c r="E1898" s="21">
        <f>IF(D1898="?OLD","!!!","")</f>
        <v/>
      </c>
      <c r="F1898" s="22" t="str">
        <f>IF(OR(E1898="",E1898="!!!"),"",IF(NOT(ISNA(VLOOKUP(E1898,E$1:E1897,1,FALSE()))),"OLD",IF(AND(E1898&lt;&gt;"",E1898&lt;&gt;"!!!"),"NEW","")))</f>
        <v> </v>
      </c>
      <c r="G1898" s="23" t="str">
        <f>IF(OR(E1898="",E1898="!!!"),"",IF(OR(J1898=0,AND(J1898=1,K1898=1),AND(J1898=1,I1898="SBJ"),AND(J1898=1,I1898=0)),"?IN_FOCUS",IF(J1898&lt;=2,"?ACTIVATED",IF(J1898&lt;&gt;"","?FAMILIAR",IF(F1898="NEW",IF(ISNA(VLOOKUP(E1898,#REF!,1,FALSE())),"?TYPE_IDENTIFIABLE","?REFERENTIAL"),"_")))))</f>
        <v> </v>
      </c>
      <c r="H1898" s="24" t="str">
        <f>IF(J1898&lt;&gt;1,"",IF(I1898="SBJ","CB","?"))</f>
        <v> </v>
      </c>
      <c r="I1898" s="25" t="str">
        <f>IF(OR(E1898="",E1898="!!!",F1898="NEW"),"",INDEX(B1897:B$2,-1+SUMPRODUCT(MAX(ROW(E1897:E$2)*(E1898=E1897:E$2)))))</f>
        <v> </v>
      </c>
      <c r="J1898" s="25" t="str">
        <f>IF(OR(E1898="",E1898="!!!",F1898="NEW"),"",COUNTBLANK(OFFSET(A$1,,,SUMPRODUCT(MAX(ROW(E$2:E1898)*(E1898=E$2:E1898)))))-COUNTBLANK(OFFSET(A$1,,,SUMPRODUCT(MAX(ROW(E$1:E1897)*(E2=E$1:E1897))))))</f>
        <v> </v>
      </c>
      <c r="K1898" s="25" t="str">
        <f>IF(OR(E1898="",E1898="!!!",F1898="NEW"),"",INDEX(J$1:J1897,SUMPRODUCT(MAX(ROW(E$1:E1897)*(E1898=E$1:E1897)))))</f>
        <v> </v>
      </c>
      <c r="L1898" s="26"/>
    </row>
    <row r="1899" spans="1:12">
      <c r="A1899" s="20"/>
    </row>
    <row r="1900" spans="1:12">
      <c r="A1900" s="20" t="s">
        <v>1333</v>
      </c>
    </row>
    <row r="1901" spans="1:12">
      <c r="A1901" s="20" t="s">
        <v>1334</v>
      </c>
      <c r="E1901" s="21">
        <f>IF(D1901="?OLD","!!!","")</f>
        <v/>
      </c>
      <c r="F1901" s="22" t="str">
        <f>IF(OR(E1901="",E1901="!!!"),"",IF(NOT(ISNA(VLOOKUP(E1901,E$1:E1900,1,FALSE()))),"OLD",IF(AND(E1901&lt;&gt;"",E1901&lt;&gt;"!!!"),"NEW","")))</f>
        <v> </v>
      </c>
      <c r="G1901" s="23" t="str">
        <f>IF(OR(E1901="",E1901="!!!"),"",IF(OR(J1901=0,AND(J1901=1,K1901=1),AND(J1901=1,I1901="SBJ"),AND(J1901=1,I1901=0)),"?IN_FOCUS",IF(J1901&lt;=2,"?ACTIVATED",IF(J1901&lt;&gt;"","?FAMILIAR",IF(F1901="NEW",IF(ISNA(VLOOKUP(E1901,#REF!,1,FALSE())),"?TYPE_IDENTIFIABLE","?REFERENTIAL"),"_")))))</f>
        <v> </v>
      </c>
      <c r="H1901" s="24" t="str">
        <f>IF(J1901&lt;&gt;1,"",IF(I1901="SBJ","CB","?"))</f>
        <v> </v>
      </c>
      <c r="I1901" s="25" t="str">
        <f>IF(OR(E1901="",E1901="!!!",F1901="NEW"),"",INDEX(B1900:B$2,-1+SUMPRODUCT(MAX(ROW(E1900:E$2)*(E1901=E1900:E$2)))))</f>
        <v> </v>
      </c>
      <c r="J1901" s="25" t="str">
        <f>IF(OR(E1901="",E1901="!!!",F1901="NEW"),"",COUNTBLANK(OFFSET(A$1,,,SUMPRODUCT(MAX(ROW(E$2:E1901)*(E1901=E$2:E1901)))))-COUNTBLANK(OFFSET(A$1,,,SUMPRODUCT(MAX(ROW(E$1:E1900)*(E2=E$1:E1900))))))</f>
        <v> </v>
      </c>
      <c r="K1901" s="25" t="str">
        <f>IF(OR(E1901="",E1901="!!!",F1901="NEW"),"",INDEX(J$1:J1900,SUMPRODUCT(MAX(ROW(E$1:E1900)*(E1901=E$1:E1900)))))</f>
        <v> </v>
      </c>
      <c r="L1901" s="26"/>
    </row>
    <row r="1902" spans="1:12">
      <c r="A1902" s="20" t="s">
        <v>1335</v>
      </c>
      <c r="E1902" s="21">
        <f>IF(D1902="?OLD","!!!","")</f>
        <v/>
      </c>
      <c r="F1902" s="22" t="str">
        <f>IF(OR(E1902="",E1902="!!!"),"",IF(NOT(ISNA(VLOOKUP(E1902,E$1:E1901,1,FALSE()))),"OLD",IF(AND(E1902&lt;&gt;"",E1902&lt;&gt;"!!!"),"NEW","")))</f>
        <v> </v>
      </c>
      <c r="G1902" s="23" t="str">
        <f>IF(OR(E1902="",E1902="!!!"),"",IF(OR(J1902=0,AND(J1902=1,K1902=1),AND(J1902=1,I1902="SBJ"),AND(J1902=1,I1902=0)),"?IN_FOCUS",IF(J1902&lt;=2,"?ACTIVATED",IF(J1902&lt;&gt;"","?FAMILIAR",IF(F1902="NEW",IF(ISNA(VLOOKUP(E1902,#REF!,1,FALSE())),"?TYPE_IDENTIFIABLE","?REFERENTIAL"),"_")))))</f>
        <v> </v>
      </c>
      <c r="H1902" s="24" t="str">
        <f>IF(J1902&lt;&gt;1,"",IF(I1902="SBJ","CB","?"))</f>
        <v> </v>
      </c>
      <c r="I1902" s="25" t="str">
        <f>IF(OR(E1902="",E1902="!!!",F1902="NEW"),"",INDEX(B1901:B$2,-1+SUMPRODUCT(MAX(ROW(E1901:E$2)*(E1902=E1901:E$2)))))</f>
        <v> </v>
      </c>
      <c r="J1902" s="25" t="str">
        <f>IF(OR(E1902="",E1902="!!!",F1902="NEW"),"",COUNTBLANK(OFFSET(A$1,,,SUMPRODUCT(MAX(ROW(E$2:E1902)*(E1902=E$2:E1902)))))-COUNTBLANK(OFFSET(A$1,,,SUMPRODUCT(MAX(ROW(E$1:E1901)*(E2=E$1:E1901))))))</f>
        <v> </v>
      </c>
      <c r="K1902" s="25" t="str">
        <f>IF(OR(E1902="",E1902="!!!",F1902="NEW"),"",INDEX(J$1:J1901,SUMPRODUCT(MAX(ROW(E$1:E1901)*(E1902=E$1:E1901)))))</f>
        <v> </v>
      </c>
      <c r="L1902" s="26"/>
    </row>
    <row r="1903" spans="1:12">
      <c r="A1903" s="20" t="s">
        <v>630</v>
      </c>
      <c r="B1903" s="27" t="s">
        <v>636</v>
      </c>
      <c r="C1903" s="27" t="s">
        <v>631</v>
      </c>
      <c r="D1903" s="27" t="s">
        <v>608</v>
      </c>
      <c r="E1903" s="21">
        <f>IF(D1903="?OLD","!!!","")</f>
        <v/>
      </c>
      <c r="F1903" s="22" t="str">
        <f>IF(OR(E1903="",E1903="!!!"),"",IF(NOT(ISNA(VLOOKUP(E1903,E$1:E1902,1,FALSE()))),"OLD",IF(AND(E1903&lt;&gt;"",E1903&lt;&gt;"!!!"),"NEW","")))</f>
        <v> </v>
      </c>
      <c r="G1903" s="23" t="str">
        <f>IF(OR(E1903="",E1903="!!!"),"",IF(OR(J1903=0,AND(J1903=1,K1903=1),AND(J1903=1,I1903="SBJ"),AND(J1903=1,I1903=0)),"?IN_FOCUS",IF(J1903&lt;=2,"?ACTIVATED",IF(J1903&lt;&gt;"","?FAMILIAR",IF(F1903="NEW",IF(ISNA(VLOOKUP(E1903,#REF!,1,FALSE())),"?TYPE_IDENTIFIABLE","?REFERENTIAL"),"_")))))</f>
        <v> </v>
      </c>
      <c r="H1903" s="24" t="str">
        <f>IF(J1903&lt;&gt;1,"",IF(I1903="SBJ","CB","?"))</f>
        <v> </v>
      </c>
      <c r="I1903" s="25" t="str">
        <f>IF(OR(E1903="",E1903="!!!",F1903="NEW"),"",INDEX(B1902:B$2,-1+SUMPRODUCT(MAX(ROW(E1902:E$2)*(E1903=E1902:E$2)))))</f>
        <v> </v>
      </c>
      <c r="J1903" s="25" t="str">
        <f>IF(OR(E1903="",E1903="!!!",F1903="NEW"),"",COUNTBLANK(OFFSET(A$1,,,SUMPRODUCT(MAX(ROW(E$2:E1903)*(E1903=E$2:E1903)))))-COUNTBLANK(OFFSET(A$1,,,SUMPRODUCT(MAX(ROW(E$1:E1902)*(E2=E$1:E1902))))))</f>
        <v> </v>
      </c>
      <c r="K1903" s="25" t="str">
        <f>IF(OR(E1903="",E1903="!!!",F1903="NEW"),"",INDEX(J$1:J1902,SUMPRODUCT(MAX(ROW(E$1:E1902)*(E1903=E$1:E1902)))))</f>
        <v> </v>
      </c>
      <c r="L1903" s="26"/>
    </row>
    <row r="1904" spans="1:12">
      <c r="A1904" s="20" t="s">
        <v>12</v>
      </c>
      <c r="E1904" s="21">
        <f>IF(D1904="?OLD","!!!","")</f>
        <v/>
      </c>
      <c r="F1904" s="22" t="str">
        <f>IF(OR(E1904="",E1904="!!!"),"",IF(NOT(ISNA(VLOOKUP(E1904,E$1:E1903,1,FALSE()))),"OLD",IF(AND(E1904&lt;&gt;"",E1904&lt;&gt;"!!!"),"NEW","")))</f>
        <v> </v>
      </c>
      <c r="G1904" s="23" t="str">
        <f>IF(OR(E1904="",E1904="!!!"),"",IF(OR(J1904=0,AND(J1904=1,K1904=1),AND(J1904=1,I1904="SBJ"),AND(J1904=1,I1904=0)),"?IN_FOCUS",IF(J1904&lt;=2,"?ACTIVATED",IF(J1904&lt;&gt;"","?FAMILIAR",IF(F1904="NEW",IF(ISNA(VLOOKUP(E1904,#REF!,1,FALSE())),"?TYPE_IDENTIFIABLE","?REFERENTIAL"),"_")))))</f>
        <v> </v>
      </c>
      <c r="H1904" s="24" t="str">
        <f>IF(J1904&lt;&gt;1,"",IF(I1904="SBJ","CB","?"))</f>
        <v> </v>
      </c>
      <c r="I1904" s="25" t="str">
        <f>IF(OR(E1904="",E1904="!!!",F1904="NEW"),"",INDEX(B1903:B$2,-1+SUMPRODUCT(MAX(ROW(E1903:E$2)*(E1904=E1903:E$2)))))</f>
        <v> </v>
      </c>
      <c r="J1904" s="25" t="str">
        <f>IF(OR(E1904="",E1904="!!!",F1904="NEW"),"",COUNTBLANK(OFFSET(A$1,,,SUMPRODUCT(MAX(ROW(E$2:E1904)*(E1904=E$2:E1904)))))-COUNTBLANK(OFFSET(A$1,,,SUMPRODUCT(MAX(ROW(E$1:E1903)*(E2=E$1:E1903))))))</f>
        <v> </v>
      </c>
      <c r="K1904" s="25" t="str">
        <f>IF(OR(E1904="",E1904="!!!",F1904="NEW"),"",INDEX(J$1:J1903,SUMPRODUCT(MAX(ROW(E$1:E1903)*(E1904=E$1:E1903)))))</f>
        <v> </v>
      </c>
      <c r="L1904" s="26"/>
    </row>
    <row r="1905" spans="1:12">
      <c r="A1905" s="20" t="s">
        <v>1287</v>
      </c>
      <c r="E1905" s="21">
        <f>IF(D1905="?OLD","!!!","")</f>
        <v/>
      </c>
      <c r="F1905" s="22" t="str">
        <f>IF(OR(E1905="",E1905="!!!"),"",IF(NOT(ISNA(VLOOKUP(E1905,E$1:E1904,1,FALSE()))),"OLD",IF(AND(E1905&lt;&gt;"",E1905&lt;&gt;"!!!"),"NEW","")))</f>
        <v> </v>
      </c>
      <c r="G1905" s="23" t="str">
        <f>IF(OR(E1905="",E1905="!!!"),"",IF(OR(J1905=0,AND(J1905=1,K1905=1),AND(J1905=1,I1905="SBJ"),AND(J1905=1,I1905=0)),"?IN_FOCUS",IF(J1905&lt;=2,"?ACTIVATED",IF(J1905&lt;&gt;"","?FAMILIAR",IF(F1905="NEW",IF(ISNA(VLOOKUP(E1905,#REF!,1,FALSE())),"?TYPE_IDENTIFIABLE","?REFERENTIAL"),"_")))))</f>
        <v> </v>
      </c>
      <c r="H1905" s="24" t="str">
        <f>IF(J1905&lt;&gt;1,"",IF(I1905="SBJ","CB","?"))</f>
        <v> </v>
      </c>
      <c r="I1905" s="25" t="str">
        <f>IF(OR(E1905="",E1905="!!!",F1905="NEW"),"",INDEX(B1904:B$2,-1+SUMPRODUCT(MAX(ROW(E1904:E$2)*(E1905=E1904:E$2)))))</f>
        <v> </v>
      </c>
      <c r="J1905" s="25" t="str">
        <f>IF(OR(E1905="",E1905="!!!",F1905="NEW"),"",COUNTBLANK(OFFSET(A$1,,,SUMPRODUCT(MAX(ROW(E$2:E1905)*(E1905=E$2:E1905)))))-COUNTBLANK(OFFSET(A$1,,,SUMPRODUCT(MAX(ROW(E$1:E1904)*(E2=E$1:E1904))))))</f>
        <v> </v>
      </c>
      <c r="K1905" s="25" t="str">
        <f>IF(OR(E1905="",E1905="!!!",F1905="NEW"),"",INDEX(J$1:J1904,SUMPRODUCT(MAX(ROW(E$1:E1904)*(E1905=E$1:E1904)))))</f>
        <v> </v>
      </c>
      <c r="L1905" s="26"/>
    </row>
    <row r="1906" spans="1:12">
      <c r="A1906" s="20" t="s">
        <v>18</v>
      </c>
      <c r="E1906" s="21">
        <f>IF(D1906="?OLD","!!!","")</f>
        <v/>
      </c>
      <c r="F1906" s="22" t="str">
        <f>IF(OR(E1906="",E1906="!!!"),"",IF(NOT(ISNA(VLOOKUP(E1906,E$1:E1905,1,FALSE()))),"OLD",IF(AND(E1906&lt;&gt;"",E1906&lt;&gt;"!!!"),"NEW","")))</f>
        <v> </v>
      </c>
      <c r="G1906" s="23" t="str">
        <f>IF(OR(E1906="",E1906="!!!"),"",IF(OR(J1906=0,AND(J1906=1,K1906=1),AND(J1906=1,I1906="SBJ"),AND(J1906=1,I1906=0)),"?IN_FOCUS",IF(J1906&lt;=2,"?ACTIVATED",IF(J1906&lt;&gt;"","?FAMILIAR",IF(F1906="NEW",IF(ISNA(VLOOKUP(E1906,#REF!,1,FALSE())),"?TYPE_IDENTIFIABLE","?REFERENTIAL"),"_")))))</f>
        <v> </v>
      </c>
      <c r="H1906" s="24" t="str">
        <f>IF(J1906&lt;&gt;1,"",IF(I1906="SBJ","CB","?"))</f>
        <v> </v>
      </c>
      <c r="I1906" s="25" t="str">
        <f>IF(OR(E1906="",E1906="!!!",F1906="NEW"),"",INDEX(B1905:B$2,-1+SUMPRODUCT(MAX(ROW(E1905:E$2)*(E1906=E1905:E$2)))))</f>
        <v> </v>
      </c>
      <c r="J1906" s="25" t="str">
        <f>IF(OR(E1906="",E1906="!!!",F1906="NEW"),"",COUNTBLANK(OFFSET(A$1,,,SUMPRODUCT(MAX(ROW(E$2:E1906)*(E1906=E$2:E1906)))))-COUNTBLANK(OFFSET(A$1,,,SUMPRODUCT(MAX(ROW(E$1:E1905)*(E2=E$1:E1905))))))</f>
        <v> </v>
      </c>
      <c r="K1906" s="25" t="str">
        <f>IF(OR(E1906="",E1906="!!!",F1906="NEW"),"",INDEX(J$1:J1905,SUMPRODUCT(MAX(ROW(E$1:E1905)*(E1906=E$1:E1905)))))</f>
        <v> </v>
      </c>
      <c r="L1906" s="26"/>
    </row>
    <row r="1907" spans="1:12">
      <c r="A1907" s="20" t="s">
        <v>618</v>
      </c>
      <c r="E1907" s="21">
        <f>IF(D1907="?OLD","!!!","")</f>
        <v/>
      </c>
      <c r="F1907" s="22" t="str">
        <f>IF(OR(E1907="",E1907="!!!"),"",IF(NOT(ISNA(VLOOKUP(E1907,E$1:E1906,1,FALSE()))),"OLD",IF(AND(E1907&lt;&gt;"",E1907&lt;&gt;"!!!"),"NEW","")))</f>
        <v> </v>
      </c>
      <c r="G1907" s="23" t="str">
        <f>IF(OR(E1907="",E1907="!!!"),"",IF(OR(J1907=0,AND(J1907=1,K1907=1),AND(J1907=1,I1907="SBJ"),AND(J1907=1,I1907=0)),"?IN_FOCUS",IF(J1907&lt;=2,"?ACTIVATED",IF(J1907&lt;&gt;"","?FAMILIAR",IF(F1907="NEW",IF(ISNA(VLOOKUP(E1907,#REF!,1,FALSE())),"?TYPE_IDENTIFIABLE","?REFERENTIAL"),"_")))))</f>
        <v> </v>
      </c>
      <c r="H1907" s="24" t="str">
        <f>IF(J1907&lt;&gt;1,"",IF(I1907="SBJ","CB","?"))</f>
        <v> </v>
      </c>
      <c r="I1907" s="25" t="str">
        <f>IF(OR(E1907="",E1907="!!!",F1907="NEW"),"",INDEX(B1906:B$2,-1+SUMPRODUCT(MAX(ROW(E1906:E$2)*(E1907=E1906:E$2)))))</f>
        <v> </v>
      </c>
      <c r="J1907" s="25" t="str">
        <f>IF(OR(E1907="",E1907="!!!",F1907="NEW"),"",COUNTBLANK(OFFSET(A$1,,,SUMPRODUCT(MAX(ROW(E$2:E1907)*(E1907=E$2:E1907)))))-COUNTBLANK(OFFSET(A$1,,,SUMPRODUCT(MAX(ROW(E$1:E1906)*(E2=E$1:E1906))))))</f>
        <v> </v>
      </c>
      <c r="K1907" s="25" t="str">
        <f>IF(OR(E1907="",E1907="!!!",F1907="NEW"),"",INDEX(J$1:J1906,SUMPRODUCT(MAX(ROW(E$1:E1906)*(E1907=E$1:E1906)))))</f>
        <v> </v>
      </c>
      <c r="L1907" s="26"/>
    </row>
    <row r="1908" spans="1:12">
      <c r="A1908" s="20" t="s">
        <v>610</v>
      </c>
      <c r="B1908" s="27" t="s">
        <v>636</v>
      </c>
      <c r="C1908" s="27" t="s">
        <v>607</v>
      </c>
      <c r="D1908" s="27" t="s">
        <v>608</v>
      </c>
      <c r="E1908" s="21">
        <f>IF(D1908="?OLD","!!!","")</f>
        <v/>
      </c>
      <c r="F1908" s="22" t="str">
        <f>IF(OR(E1908="",E1908="!!!"),"",IF(NOT(ISNA(VLOOKUP(E1908,E$1:E1907,1,FALSE()))),"OLD",IF(AND(E1908&lt;&gt;"",E1908&lt;&gt;"!!!"),"NEW","")))</f>
        <v> </v>
      </c>
      <c r="G1908" s="23" t="str">
        <f>IF(OR(E1908="",E1908="!!!"),"",IF(OR(J1908=0,AND(J1908=1,K1908=1),AND(J1908=1,I1908="SBJ"),AND(J1908=1,I1908=0)),"?IN_FOCUS",IF(J1908&lt;=2,"?ACTIVATED",IF(J1908&lt;&gt;"","?FAMILIAR",IF(F1908="NEW",IF(ISNA(VLOOKUP(E1908,#REF!,1,FALSE())),"?TYPE_IDENTIFIABLE","?REFERENTIAL"),"_")))))</f>
        <v> </v>
      </c>
      <c r="H1908" s="24" t="str">
        <f>IF(J1908&lt;&gt;1,"",IF(I1908="SBJ","CB","?"))</f>
        <v> </v>
      </c>
      <c r="I1908" s="25" t="str">
        <f>IF(OR(E1908="",E1908="!!!",F1908="NEW"),"",INDEX(B1907:B$2,-1+SUMPRODUCT(MAX(ROW(E1907:E$2)*(E1908=E1907:E$2)))))</f>
        <v> </v>
      </c>
      <c r="J1908" s="25" t="str">
        <f>IF(OR(E1908="",E1908="!!!",F1908="NEW"),"",COUNTBLANK(OFFSET(A$1,,,SUMPRODUCT(MAX(ROW(E$2:E1908)*(E1908=E$2:E1908)))))-COUNTBLANK(OFFSET(A$1,,,SUMPRODUCT(MAX(ROW(E$1:E1907)*(E2=E$1:E1907))))))</f>
        <v> </v>
      </c>
      <c r="K1908" s="25" t="str">
        <f>IF(OR(E1908="",E1908="!!!",F1908="NEW"),"",INDEX(J$1:J1907,SUMPRODUCT(MAX(ROW(E$1:E1907)*(E1908=E$1:E1907)))))</f>
        <v> </v>
      </c>
      <c r="L1908" s="26"/>
    </row>
    <row r="1909" spans="1:12">
      <c r="A1909" s="20" t="s">
        <v>1336</v>
      </c>
      <c r="E1909" s="21">
        <f>IF(D1909="?OLD","!!!","")</f>
        <v/>
      </c>
      <c r="F1909" s="22" t="str">
        <f>IF(OR(E1909="",E1909="!!!"),"",IF(NOT(ISNA(VLOOKUP(E1909,E$1:E1908,1,FALSE()))),"OLD",IF(AND(E1909&lt;&gt;"",E1909&lt;&gt;"!!!"),"NEW","")))</f>
        <v> </v>
      </c>
      <c r="G1909" s="23" t="str">
        <f>IF(OR(E1909="",E1909="!!!"),"",IF(OR(J1909=0,AND(J1909=1,K1909=1),AND(J1909=1,I1909="SBJ"),AND(J1909=1,I1909=0)),"?IN_FOCUS",IF(J1909&lt;=2,"?ACTIVATED",IF(J1909&lt;&gt;"","?FAMILIAR",IF(F1909="NEW",IF(ISNA(VLOOKUP(E1909,#REF!,1,FALSE())),"?TYPE_IDENTIFIABLE","?REFERENTIAL"),"_")))))</f>
        <v> </v>
      </c>
      <c r="H1909" s="24" t="str">
        <f>IF(J1909&lt;&gt;1,"",IF(I1909="SBJ","CB","?"))</f>
        <v> </v>
      </c>
      <c r="I1909" s="25" t="str">
        <f>IF(OR(E1909="",E1909="!!!",F1909="NEW"),"",INDEX(B1908:B$2,-1+SUMPRODUCT(MAX(ROW(E1908:E$2)*(E1909=E1908:E$2)))))</f>
        <v> </v>
      </c>
      <c r="J1909" s="25" t="str">
        <f>IF(OR(E1909="",E1909="!!!",F1909="NEW"),"",COUNTBLANK(OFFSET(A$1,,,SUMPRODUCT(MAX(ROW(E$2:E1909)*(E1909=E$2:E1909)))))-COUNTBLANK(OFFSET(A$1,,,SUMPRODUCT(MAX(ROW(E$1:E1908)*(E2=E$1:E1908))))))</f>
        <v> </v>
      </c>
      <c r="K1909" s="25" t="str">
        <f>IF(OR(E1909="",E1909="!!!",F1909="NEW"),"",INDEX(J$1:J1908,SUMPRODUCT(MAX(ROW(E$1:E1908)*(E1909=E$1:E1908)))))</f>
        <v> </v>
      </c>
      <c r="L1909" s="26"/>
    </row>
    <row r="1910" spans="1:12">
      <c r="A1910" s="20" t="s">
        <v>1003</v>
      </c>
      <c r="E1910" s="21">
        <f>IF(D1910="?OLD","!!!","")</f>
        <v/>
      </c>
      <c r="F1910" s="22" t="str">
        <f>IF(OR(E1910="",E1910="!!!"),"",IF(NOT(ISNA(VLOOKUP(E1910,E$1:E1909,1,FALSE()))),"OLD",IF(AND(E1910&lt;&gt;"",E1910&lt;&gt;"!!!"),"NEW","")))</f>
        <v> </v>
      </c>
      <c r="G1910" s="23" t="str">
        <f>IF(OR(E1910="",E1910="!!!"),"",IF(OR(J1910=0,AND(J1910=1,K1910=1),AND(J1910=1,I1910="SBJ"),AND(J1910=1,I1910=0)),"?IN_FOCUS",IF(J1910&lt;=2,"?ACTIVATED",IF(J1910&lt;&gt;"","?FAMILIAR",IF(F1910="NEW",IF(ISNA(VLOOKUP(E1910,#REF!,1,FALSE())),"?TYPE_IDENTIFIABLE","?REFERENTIAL"),"_")))))</f>
        <v> </v>
      </c>
      <c r="H1910" s="24" t="str">
        <f>IF(J1910&lt;&gt;1,"",IF(I1910="SBJ","CB","?"))</f>
        <v> </v>
      </c>
      <c r="I1910" s="25" t="str">
        <f>IF(OR(E1910="",E1910="!!!",F1910="NEW"),"",INDEX(B1909:B$2,-1+SUMPRODUCT(MAX(ROW(E1909:E$2)*(E1910=E1909:E$2)))))</f>
        <v> </v>
      </c>
      <c r="J1910" s="25" t="str">
        <f>IF(OR(E1910="",E1910="!!!",F1910="NEW"),"",COUNTBLANK(OFFSET(A$1,,,SUMPRODUCT(MAX(ROW(E$2:E1910)*(E1910=E$2:E1910)))))-COUNTBLANK(OFFSET(A$1,,,SUMPRODUCT(MAX(ROW(E$1:E1909)*(E2=E$1:E1909))))))</f>
        <v> </v>
      </c>
      <c r="K1910" s="25" t="str">
        <f>IF(OR(E1910="",E1910="!!!",F1910="NEW"),"",INDEX(J$1:J1909,SUMPRODUCT(MAX(ROW(E$1:E1909)*(E1910=E$1:E1909)))))</f>
        <v> </v>
      </c>
      <c r="L1910" s="26"/>
    </row>
    <row r="1911" spans="1:12">
      <c r="A1911" s="20" t="s">
        <v>822</v>
      </c>
      <c r="E1911" s="21">
        <f>IF(D1911="?OLD","!!!","")</f>
        <v/>
      </c>
      <c r="F1911" s="22" t="str">
        <f>IF(OR(E1911="",E1911="!!!"),"",IF(NOT(ISNA(VLOOKUP(E1911,E$1:E1910,1,FALSE()))),"OLD",IF(AND(E1911&lt;&gt;"",E1911&lt;&gt;"!!!"),"NEW","")))</f>
        <v> </v>
      </c>
      <c r="G1911" s="23" t="str">
        <f>IF(OR(E1911="",E1911="!!!"),"",IF(OR(J1911=0,AND(J1911=1,K1911=1),AND(J1911=1,I1911="SBJ"),AND(J1911=1,I1911=0)),"?IN_FOCUS",IF(J1911&lt;=2,"?ACTIVATED",IF(J1911&lt;&gt;"","?FAMILIAR",IF(F1911="NEW",IF(ISNA(VLOOKUP(E1911,#REF!,1,FALSE())),"?TYPE_IDENTIFIABLE","?REFERENTIAL"),"_")))))</f>
        <v> </v>
      </c>
      <c r="H1911" s="24" t="str">
        <f>IF(J1911&lt;&gt;1,"",IF(I1911="SBJ","CB","?"))</f>
        <v> </v>
      </c>
      <c r="I1911" s="25" t="str">
        <f>IF(OR(E1911="",E1911="!!!",F1911="NEW"),"",INDEX(B1910:B$2,-1+SUMPRODUCT(MAX(ROW(E1910:E$2)*(E1911=E1910:E$2)))))</f>
        <v> </v>
      </c>
      <c r="J1911" s="25" t="str">
        <f>IF(OR(E1911="",E1911="!!!",F1911="NEW"),"",COUNTBLANK(OFFSET(A$1,,,SUMPRODUCT(MAX(ROW(E$2:E1911)*(E1911=E$2:E1911)))))-COUNTBLANK(OFFSET(A$1,,,SUMPRODUCT(MAX(ROW(E$1:E1910)*(E2=E$1:E1910))))))</f>
        <v> </v>
      </c>
      <c r="K1911" s="25" t="str">
        <f>IF(OR(E1911="",E1911="!!!",F1911="NEW"),"",INDEX(J$1:J1910,SUMPRODUCT(MAX(ROW(E$1:E1910)*(E1911=E$1:E1910)))))</f>
        <v> </v>
      </c>
      <c r="L1911" s="26"/>
    </row>
    <row r="1912" spans="1:12">
      <c r="A1912" s="20" t="s">
        <v>609</v>
      </c>
      <c r="E1912" s="21">
        <f>IF(D1912="?OLD","!!!","")</f>
        <v/>
      </c>
      <c r="F1912" s="22" t="str">
        <f>IF(OR(E1912="",E1912="!!!"),"",IF(NOT(ISNA(VLOOKUP(E1912,E$1:E1911,1,FALSE()))),"OLD",IF(AND(E1912&lt;&gt;"",E1912&lt;&gt;"!!!"),"NEW","")))</f>
        <v> </v>
      </c>
      <c r="G1912" s="23" t="str">
        <f>IF(OR(E1912="",E1912="!!!"),"",IF(OR(J1912=0,AND(J1912=1,K1912=1),AND(J1912=1,I1912="SBJ"),AND(J1912=1,I1912=0)),"?IN_FOCUS",IF(J1912&lt;=2,"?ACTIVATED",IF(J1912&lt;&gt;"","?FAMILIAR",IF(F1912="NEW",IF(ISNA(VLOOKUP(E1912,#REF!,1,FALSE())),"?TYPE_IDENTIFIABLE","?REFERENTIAL"),"_")))))</f>
        <v> </v>
      </c>
      <c r="H1912" s="24" t="str">
        <f>IF(J1912&lt;&gt;1,"",IF(I1912="SBJ","CB","?"))</f>
        <v> </v>
      </c>
      <c r="I1912" s="25" t="str">
        <f>IF(OR(E1912="",E1912="!!!",F1912="NEW"),"",INDEX(B1911:B$2,-1+SUMPRODUCT(MAX(ROW(E1911:E$2)*(E1912=E1911:E$2)))))</f>
        <v> </v>
      </c>
      <c r="J1912" s="25" t="str">
        <f>IF(OR(E1912="",E1912="!!!",F1912="NEW"),"",COUNTBLANK(OFFSET(A$1,,,SUMPRODUCT(MAX(ROW(E$2:E1912)*(E1912=E$2:E1912)))))-COUNTBLANK(OFFSET(A$1,,,SUMPRODUCT(MAX(ROW(E$1:E1911)*(E2=E$1:E1911))))))</f>
        <v> </v>
      </c>
      <c r="K1912" s="25" t="str">
        <f>IF(OR(E1912="",E1912="!!!",F1912="NEW"),"",INDEX(J$1:J1911,SUMPRODUCT(MAX(ROW(E$1:E1911)*(E1912=E$1:E1911)))))</f>
        <v> </v>
      </c>
      <c r="L1912" s="26"/>
    </row>
    <row r="1913" spans="1:12">
      <c r="A1913" s="20" t="s">
        <v>615</v>
      </c>
      <c r="B1913" s="27" t="s">
        <v>606</v>
      </c>
      <c r="C1913" s="27" t="s">
        <v>607</v>
      </c>
      <c r="D1913" s="27" t="s">
        <v>608</v>
      </c>
      <c r="E1913" s="21">
        <f>IF(D1913="?OLD","!!!","")</f>
        <v/>
      </c>
      <c r="F1913" s="22" t="str">
        <f>IF(OR(E1913="",E1913="!!!"),"",IF(NOT(ISNA(VLOOKUP(E1913,E$1:E1912,1,FALSE()))),"OLD",IF(AND(E1913&lt;&gt;"",E1913&lt;&gt;"!!!"),"NEW","")))</f>
        <v> </v>
      </c>
      <c r="G1913" s="23" t="str">
        <f>IF(OR(E1913="",E1913="!!!"),"",IF(OR(J1913=0,AND(J1913=1,K1913=1),AND(J1913=1,I1913="SBJ"),AND(J1913=1,I1913=0)),"?IN_FOCUS",IF(J1913&lt;=2,"?ACTIVATED",IF(J1913&lt;&gt;"","?FAMILIAR",IF(F1913="NEW",IF(ISNA(VLOOKUP(E1913,#REF!,1,FALSE())),"?TYPE_IDENTIFIABLE","?REFERENTIAL"),"_")))))</f>
        <v> </v>
      </c>
      <c r="H1913" s="24" t="str">
        <f>IF(J1913&lt;&gt;1,"",IF(I1913="SBJ","CB","?"))</f>
        <v> </v>
      </c>
      <c r="I1913" s="25" t="str">
        <f>IF(OR(E1913="",E1913="!!!",F1913="NEW"),"",INDEX(B1912:B$2,-1+SUMPRODUCT(MAX(ROW(E1912:E$2)*(E1913=E1912:E$2)))))</f>
        <v> </v>
      </c>
      <c r="J1913" s="25" t="str">
        <f>IF(OR(E1913="",E1913="!!!",F1913="NEW"),"",COUNTBLANK(OFFSET(A$1,,,SUMPRODUCT(MAX(ROW(E$2:E1913)*(E1913=E$2:E1913)))))-COUNTBLANK(OFFSET(A$1,,,SUMPRODUCT(MAX(ROW(E$1:E1912)*(E2=E$1:E1912))))))</f>
        <v> </v>
      </c>
      <c r="K1913" s="25" t="str">
        <f>IF(OR(E1913="",E1913="!!!",F1913="NEW"),"",INDEX(J$1:J1912,SUMPRODUCT(MAX(ROW(E$1:E1912)*(E1913=E$1:E1912)))))</f>
        <v> </v>
      </c>
      <c r="L1913" s="26"/>
    </row>
    <row r="1914" spans="1:12">
      <c r="A1914" s="20" t="s">
        <v>1337</v>
      </c>
      <c r="E1914" s="21">
        <f>IF(D1914="?OLD","!!!","")</f>
        <v/>
      </c>
      <c r="F1914" s="22" t="str">
        <f>IF(OR(E1914="",E1914="!!!"),"",IF(NOT(ISNA(VLOOKUP(E1914,E$1:E1913,1,FALSE()))),"OLD",IF(AND(E1914&lt;&gt;"",E1914&lt;&gt;"!!!"),"NEW","")))</f>
        <v> </v>
      </c>
      <c r="G1914" s="23" t="str">
        <f>IF(OR(E1914="",E1914="!!!"),"",IF(OR(J1914=0,AND(J1914=1,K1914=1),AND(J1914=1,I1914="SBJ"),AND(J1914=1,I1914=0)),"?IN_FOCUS",IF(J1914&lt;=2,"?ACTIVATED",IF(J1914&lt;&gt;"","?FAMILIAR",IF(F1914="NEW",IF(ISNA(VLOOKUP(E1914,#REF!,1,FALSE())),"?TYPE_IDENTIFIABLE","?REFERENTIAL"),"_")))))</f>
        <v> </v>
      </c>
      <c r="H1914" s="24" t="str">
        <f>IF(J1914&lt;&gt;1,"",IF(I1914="SBJ","CB","?"))</f>
        <v> </v>
      </c>
      <c r="I1914" s="25" t="str">
        <f>IF(OR(E1914="",E1914="!!!",F1914="NEW"),"",INDEX(B1913:B$2,-1+SUMPRODUCT(MAX(ROW(E1913:E$2)*(E1914=E1913:E$2)))))</f>
        <v> </v>
      </c>
      <c r="J1914" s="25" t="str">
        <f>IF(OR(E1914="",E1914="!!!",F1914="NEW"),"",COUNTBLANK(OFFSET(A$1,,,SUMPRODUCT(MAX(ROW(E$2:E1914)*(E1914=E$2:E1914)))))-COUNTBLANK(OFFSET(A$1,,,SUMPRODUCT(MAX(ROW(E$1:E1913)*(E2=E$1:E1913))))))</f>
        <v> </v>
      </c>
      <c r="K1914" s="25" t="str">
        <f>IF(OR(E1914="",E1914="!!!",F1914="NEW"),"",INDEX(J$1:J1913,SUMPRODUCT(MAX(ROW(E$1:E1913)*(E1914=E$1:E1913)))))</f>
        <v> </v>
      </c>
      <c r="L1914" s="26"/>
    </row>
    <row r="1915" spans="1:12">
      <c r="A1915" s="20" t="s">
        <v>633</v>
      </c>
      <c r="E1915" s="21">
        <f>IF(D1915="?OLD","!!!","")</f>
        <v/>
      </c>
      <c r="F1915" s="22" t="str">
        <f>IF(OR(E1915="",E1915="!!!"),"",IF(NOT(ISNA(VLOOKUP(E1915,E$1:E1914,1,FALSE()))),"OLD",IF(AND(E1915&lt;&gt;"",E1915&lt;&gt;"!!!"),"NEW","")))</f>
        <v> </v>
      </c>
      <c r="G1915" s="23" t="str">
        <f>IF(OR(E1915="",E1915="!!!"),"",IF(OR(J1915=0,AND(J1915=1,K1915=1),AND(J1915=1,I1915="SBJ"),AND(J1915=1,I1915=0)),"?IN_FOCUS",IF(J1915&lt;=2,"?ACTIVATED",IF(J1915&lt;&gt;"","?FAMILIAR",IF(F1915="NEW",IF(ISNA(VLOOKUP(E1915,#REF!,1,FALSE())),"?TYPE_IDENTIFIABLE","?REFERENTIAL"),"_")))))</f>
        <v> </v>
      </c>
      <c r="H1915" s="24" t="str">
        <f>IF(J1915&lt;&gt;1,"",IF(I1915="SBJ","CB","?"))</f>
        <v> </v>
      </c>
      <c r="I1915" s="25" t="str">
        <f>IF(OR(E1915="",E1915="!!!",F1915="NEW"),"",INDEX(B1914:B$2,-1+SUMPRODUCT(MAX(ROW(E1914:E$2)*(E1915=E1914:E$2)))))</f>
        <v> </v>
      </c>
      <c r="J1915" s="25" t="str">
        <f>IF(OR(E1915="",E1915="!!!",F1915="NEW"),"",COUNTBLANK(OFFSET(A$1,,,SUMPRODUCT(MAX(ROW(E$2:E1915)*(E1915=E$2:E1915)))))-COUNTBLANK(OFFSET(A$1,,,SUMPRODUCT(MAX(ROW(E$1:E1914)*(E2=E$1:E1914))))))</f>
        <v> </v>
      </c>
      <c r="K1915" s="25" t="str">
        <f>IF(OR(E1915="",E1915="!!!",F1915="NEW"),"",INDEX(J$1:J1914,SUMPRODUCT(MAX(ROW(E$1:E1914)*(E1915=E$1:E1914)))))</f>
        <v> </v>
      </c>
      <c r="L1915" s="26"/>
    </row>
    <row r="1916" spans="1:12">
      <c r="A1916" s="20"/>
    </row>
    <row r="1917" spans="1:12">
      <c r="A1917" s="20" t="s">
        <v>1338</v>
      </c>
    </row>
    <row r="1918" spans="1:12">
      <c r="A1918" s="20" t="s">
        <v>722</v>
      </c>
      <c r="E1918" s="21">
        <f>IF(D1918="?OLD","!!!","")</f>
        <v/>
      </c>
      <c r="F1918" s="22" t="str">
        <f>IF(OR(E1918="",E1918="!!!"),"",IF(NOT(ISNA(VLOOKUP(E1918,E$1:E1917,1,FALSE()))),"OLD",IF(AND(E1918&lt;&gt;"",E1918&lt;&gt;"!!!"),"NEW","")))</f>
        <v> </v>
      </c>
      <c r="G1918" s="23" t="str">
        <f>IF(OR(E1918="",E1918="!!!"),"",IF(OR(J1918=0,AND(J1918=1,K1918=1),AND(J1918=1,I1918="SBJ"),AND(J1918=1,I1918=0)),"?IN_FOCUS",IF(J1918&lt;=2,"?ACTIVATED",IF(J1918&lt;&gt;"","?FAMILIAR",IF(F1918="NEW",IF(ISNA(VLOOKUP(E1918,#REF!,1,FALSE())),"?TYPE_IDENTIFIABLE","?REFERENTIAL"),"_")))))</f>
        <v> </v>
      </c>
      <c r="H1918" s="24" t="str">
        <f>IF(J1918&lt;&gt;1,"",IF(I1918="SBJ","CB","?"))</f>
        <v> </v>
      </c>
      <c r="I1918" s="25" t="str">
        <f>IF(OR(E1918="",E1918="!!!",F1918="NEW"),"",INDEX(B1917:B$2,-1+SUMPRODUCT(MAX(ROW(E1917:E$2)*(E1918=E1917:E$2)))))</f>
        <v> </v>
      </c>
      <c r="J1918" s="25" t="str">
        <f>IF(OR(E1918="",E1918="!!!",F1918="NEW"),"",COUNTBLANK(OFFSET(A$1,,,SUMPRODUCT(MAX(ROW(E$2:E1918)*(E1918=E$2:E1918)))))-COUNTBLANK(OFFSET(A$1,,,SUMPRODUCT(MAX(ROW(E$1:E1917)*(E2=E$1:E1917))))))</f>
        <v> </v>
      </c>
      <c r="K1918" s="25" t="str">
        <f>IF(OR(E1918="",E1918="!!!",F1918="NEW"),"",INDEX(J$1:J1917,SUMPRODUCT(MAX(ROW(E$1:E1917)*(E1918=E$1:E1917)))))</f>
        <v> </v>
      </c>
      <c r="L1918" s="26"/>
    </row>
    <row r="1919" spans="1:12">
      <c r="A1919" s="20" t="s">
        <v>1339</v>
      </c>
      <c r="E1919" s="21">
        <f>IF(D1919="?OLD","!!!","")</f>
        <v/>
      </c>
      <c r="F1919" s="22" t="str">
        <f>IF(OR(E1919="",E1919="!!!"),"",IF(NOT(ISNA(VLOOKUP(E1919,E$1:E1918,1,FALSE()))),"OLD",IF(AND(E1919&lt;&gt;"",E1919&lt;&gt;"!!!"),"NEW","")))</f>
        <v> </v>
      </c>
      <c r="G1919" s="23" t="str">
        <f>IF(OR(E1919="",E1919="!!!"),"",IF(OR(J1919=0,AND(J1919=1,K1919=1),AND(J1919=1,I1919="SBJ"),AND(J1919=1,I1919=0)),"?IN_FOCUS",IF(J1919&lt;=2,"?ACTIVATED",IF(J1919&lt;&gt;"","?FAMILIAR",IF(F1919="NEW",IF(ISNA(VLOOKUP(E1919,#REF!,1,FALSE())),"?TYPE_IDENTIFIABLE","?REFERENTIAL"),"_")))))</f>
        <v> </v>
      </c>
      <c r="H1919" s="24" t="str">
        <f>IF(J1919&lt;&gt;1,"",IF(I1919="SBJ","CB","?"))</f>
        <v> </v>
      </c>
      <c r="I1919" s="25" t="str">
        <f>IF(OR(E1919="",E1919="!!!",F1919="NEW"),"",INDEX(B1918:B$2,-1+SUMPRODUCT(MAX(ROW(E1918:E$2)*(E1919=E1918:E$2)))))</f>
        <v> </v>
      </c>
      <c r="J1919" s="25" t="str">
        <f>IF(OR(E1919="",E1919="!!!",F1919="NEW"),"",COUNTBLANK(OFFSET(A$1,,,SUMPRODUCT(MAX(ROW(E$2:E1919)*(E1919=E$2:E1919)))))-COUNTBLANK(OFFSET(A$1,,,SUMPRODUCT(MAX(ROW(E$1:E1918)*(E2=E$1:E1918))))))</f>
        <v> </v>
      </c>
      <c r="K1919" s="25" t="str">
        <f>IF(OR(E1919="",E1919="!!!",F1919="NEW"),"",INDEX(J$1:J1918,SUMPRODUCT(MAX(ROW(E$1:E1918)*(E1919=E$1:E1918)))))</f>
        <v> </v>
      </c>
      <c r="L1919" s="26"/>
    </row>
    <row r="1920" spans="1:12">
      <c r="A1920" s="20" t="s">
        <v>618</v>
      </c>
      <c r="E1920" s="21">
        <f>IF(D1920="?OLD","!!!","")</f>
        <v/>
      </c>
      <c r="F1920" s="22" t="str">
        <f>IF(OR(E1920="",E1920="!!!"),"",IF(NOT(ISNA(VLOOKUP(E1920,E$1:E1919,1,FALSE()))),"OLD",IF(AND(E1920&lt;&gt;"",E1920&lt;&gt;"!!!"),"NEW","")))</f>
        <v> </v>
      </c>
      <c r="G1920" s="23" t="str">
        <f>IF(OR(E1920="",E1920="!!!"),"",IF(OR(J1920=0,AND(J1920=1,K1920=1),AND(J1920=1,I1920="SBJ"),AND(J1920=1,I1920=0)),"?IN_FOCUS",IF(J1920&lt;=2,"?ACTIVATED",IF(J1920&lt;&gt;"","?FAMILIAR",IF(F1920="NEW",IF(ISNA(VLOOKUP(E1920,#REF!,1,FALSE())),"?TYPE_IDENTIFIABLE","?REFERENTIAL"),"_")))))</f>
        <v> </v>
      </c>
      <c r="H1920" s="24" t="str">
        <f>IF(J1920&lt;&gt;1,"",IF(I1920="SBJ","CB","?"))</f>
        <v> </v>
      </c>
      <c r="I1920" s="25" t="str">
        <f>IF(OR(E1920="",E1920="!!!",F1920="NEW"),"",INDEX(B1919:B$2,-1+SUMPRODUCT(MAX(ROW(E1919:E$2)*(E1920=E1919:E$2)))))</f>
        <v> </v>
      </c>
      <c r="J1920" s="25" t="str">
        <f>IF(OR(E1920="",E1920="!!!",F1920="NEW"),"",COUNTBLANK(OFFSET(A$1,,,SUMPRODUCT(MAX(ROW(E$2:E1920)*(E1920=E$2:E1920)))))-COUNTBLANK(OFFSET(A$1,,,SUMPRODUCT(MAX(ROW(E$1:E1919)*(E2=E$1:E1919))))))</f>
        <v> </v>
      </c>
      <c r="K1920" s="25" t="str">
        <f>IF(OR(E1920="",E1920="!!!",F1920="NEW"),"",INDEX(J$1:J1919,SUMPRODUCT(MAX(ROW(E$1:E1919)*(E1920=E$1:E1919)))))</f>
        <v> </v>
      </c>
      <c r="L1920" s="26"/>
    </row>
    <row r="1921" spans="1:12">
      <c r="A1921" s="20" t="s">
        <v>1340</v>
      </c>
      <c r="B1921" s="27" t="s">
        <v>636</v>
      </c>
      <c r="C1921" s="27" t="s">
        <v>607</v>
      </c>
      <c r="D1921" s="27" t="s">
        <v>608</v>
      </c>
      <c r="E1921" s="21">
        <f>IF(D1921="?OLD","!!!","")</f>
        <v/>
      </c>
      <c r="F1921" s="22" t="str">
        <f>IF(OR(E1921="",E1921="!!!"),"",IF(NOT(ISNA(VLOOKUP(E1921,E$1:E1920,1,FALSE()))),"OLD",IF(AND(E1921&lt;&gt;"",E1921&lt;&gt;"!!!"),"NEW","")))</f>
        <v> </v>
      </c>
      <c r="G1921" s="23" t="str">
        <f>IF(OR(E1921="",E1921="!!!"),"",IF(OR(J1921=0,AND(J1921=1,K1921=1),AND(J1921=1,I1921="SBJ"),AND(J1921=1,I1921=0)),"?IN_FOCUS",IF(J1921&lt;=2,"?ACTIVATED",IF(J1921&lt;&gt;"","?FAMILIAR",IF(F1921="NEW",IF(ISNA(VLOOKUP(E1921,#REF!,1,FALSE())),"?TYPE_IDENTIFIABLE","?REFERENTIAL"),"_")))))</f>
        <v> </v>
      </c>
      <c r="H1921" s="24" t="str">
        <f>IF(J1921&lt;&gt;1,"",IF(I1921="SBJ","CB","?"))</f>
        <v> </v>
      </c>
      <c r="I1921" s="25" t="str">
        <f>IF(OR(E1921="",E1921="!!!",F1921="NEW"),"",INDEX(B1920:B$2,-1+SUMPRODUCT(MAX(ROW(E1920:E$2)*(E1921=E1920:E$2)))))</f>
        <v> </v>
      </c>
      <c r="J1921" s="25" t="str">
        <f>IF(OR(E1921="",E1921="!!!",F1921="NEW"),"",COUNTBLANK(OFFSET(A$1,,,SUMPRODUCT(MAX(ROW(E$2:E1921)*(E1921=E$2:E1921)))))-COUNTBLANK(OFFSET(A$1,,,SUMPRODUCT(MAX(ROW(E$1:E1920)*(E2=E$1:E1920))))))</f>
        <v> </v>
      </c>
      <c r="K1921" s="25" t="str">
        <f>IF(OR(E1921="",E1921="!!!",F1921="NEW"),"",INDEX(J$1:J1920,SUMPRODUCT(MAX(ROW(E$1:E1920)*(E1921=E$1:E1920)))))</f>
        <v> </v>
      </c>
      <c r="L1921" s="26"/>
    </row>
    <row r="1922" spans="1:12">
      <c r="A1922" s="20" t="s">
        <v>791</v>
      </c>
      <c r="E1922" s="21">
        <f>IF(D1922="?OLD","!!!","")</f>
        <v/>
      </c>
      <c r="F1922" s="22" t="str">
        <f>IF(OR(E1922="",E1922="!!!"),"",IF(NOT(ISNA(VLOOKUP(E1922,E$1:E1921,1,FALSE()))),"OLD",IF(AND(E1922&lt;&gt;"",E1922&lt;&gt;"!!!"),"NEW","")))</f>
        <v> </v>
      </c>
      <c r="G1922" s="23" t="str">
        <f>IF(OR(E1922="",E1922="!!!"),"",IF(OR(J1922=0,AND(J1922=1,K1922=1),AND(J1922=1,I1922="SBJ"),AND(J1922=1,I1922=0)),"?IN_FOCUS",IF(J1922&lt;=2,"?ACTIVATED",IF(J1922&lt;&gt;"","?FAMILIAR",IF(F1922="NEW",IF(ISNA(VLOOKUP(E1922,#REF!,1,FALSE())),"?TYPE_IDENTIFIABLE","?REFERENTIAL"),"_")))))</f>
        <v> </v>
      </c>
      <c r="H1922" s="24" t="str">
        <f>IF(J1922&lt;&gt;1,"",IF(I1922="SBJ","CB","?"))</f>
        <v> </v>
      </c>
      <c r="I1922" s="25" t="str">
        <f>IF(OR(E1922="",E1922="!!!",F1922="NEW"),"",INDEX(B1921:B$2,-1+SUMPRODUCT(MAX(ROW(E1921:E$2)*(E1922=E1921:E$2)))))</f>
        <v> </v>
      </c>
      <c r="J1922" s="25" t="str">
        <f>IF(OR(E1922="",E1922="!!!",F1922="NEW"),"",COUNTBLANK(OFFSET(A$1,,,SUMPRODUCT(MAX(ROW(E$2:E1922)*(E1922=E$2:E1922)))))-COUNTBLANK(OFFSET(A$1,,,SUMPRODUCT(MAX(ROW(E$1:E1921)*(E2=E$1:E1921))))))</f>
        <v> </v>
      </c>
      <c r="K1922" s="25" t="str">
        <f>IF(OR(E1922="",E1922="!!!",F1922="NEW"),"",INDEX(J$1:J1921,SUMPRODUCT(MAX(ROW(E$1:E1921)*(E1922=E$1:E1921)))))</f>
        <v> </v>
      </c>
      <c r="L1922" s="26"/>
    </row>
    <row r="1923" spans="1:12">
      <c r="A1923" s="20" t="s">
        <v>630</v>
      </c>
      <c r="B1923" s="27" t="s">
        <v>606</v>
      </c>
      <c r="C1923" s="27" t="s">
        <v>631</v>
      </c>
      <c r="D1923" s="27" t="s">
        <v>608</v>
      </c>
      <c r="E1923" s="21">
        <f>IF(D1923="?OLD","!!!","")</f>
        <v/>
      </c>
      <c r="F1923" s="22" t="str">
        <f>IF(OR(E1923="",E1923="!!!"),"",IF(NOT(ISNA(VLOOKUP(E1923,E$1:E1922,1,FALSE()))),"OLD",IF(AND(E1923&lt;&gt;"",E1923&lt;&gt;"!!!"),"NEW","")))</f>
        <v> </v>
      </c>
      <c r="G1923" s="23" t="str">
        <f>IF(OR(E1923="",E1923="!!!"),"",IF(OR(J1923=0,AND(J1923=1,K1923=1),AND(J1923=1,I1923="SBJ"),AND(J1923=1,I1923=0)),"?IN_FOCUS",IF(J1923&lt;=2,"?ACTIVATED",IF(J1923&lt;&gt;"","?FAMILIAR",IF(F1923="NEW",IF(ISNA(VLOOKUP(E1923,#REF!,1,FALSE())),"?TYPE_IDENTIFIABLE","?REFERENTIAL"),"_")))))</f>
        <v> </v>
      </c>
      <c r="H1923" s="24" t="str">
        <f>IF(J1923&lt;&gt;1,"",IF(I1923="SBJ","CB","?"))</f>
        <v> </v>
      </c>
      <c r="I1923" s="25" t="str">
        <f>IF(OR(E1923="",E1923="!!!",F1923="NEW"),"",INDEX(B1922:B$2,-1+SUMPRODUCT(MAX(ROW(E1922:E$2)*(E1923=E1922:E$2)))))</f>
        <v> </v>
      </c>
      <c r="J1923" s="25" t="str">
        <f>IF(OR(E1923="",E1923="!!!",F1923="NEW"),"",COUNTBLANK(OFFSET(A$1,,,SUMPRODUCT(MAX(ROW(E$2:E1923)*(E1923=E$2:E1923)))))-COUNTBLANK(OFFSET(A$1,,,SUMPRODUCT(MAX(ROW(E$1:E1922)*(E2=E$1:E1922))))))</f>
        <v> </v>
      </c>
      <c r="K1923" s="25" t="str">
        <f>IF(OR(E1923="",E1923="!!!",F1923="NEW"),"",INDEX(J$1:J1922,SUMPRODUCT(MAX(ROW(E$1:E1922)*(E1923=E$1:E1922)))))</f>
        <v> </v>
      </c>
      <c r="L1923" s="26"/>
    </row>
    <row r="1924" spans="1:12">
      <c r="A1924" s="20" t="s">
        <v>641</v>
      </c>
      <c r="E1924" s="21">
        <f>IF(D1924="?OLD","!!!","")</f>
        <v/>
      </c>
      <c r="F1924" s="22" t="str">
        <f>IF(OR(E1924="",E1924="!!!"),"",IF(NOT(ISNA(VLOOKUP(E1924,E$1:E1923,1,FALSE()))),"OLD",IF(AND(E1924&lt;&gt;"",E1924&lt;&gt;"!!!"),"NEW","")))</f>
        <v> </v>
      </c>
      <c r="G1924" s="23" t="str">
        <f>IF(OR(E1924="",E1924="!!!"),"",IF(OR(J1924=0,AND(J1924=1,K1924=1),AND(J1924=1,I1924="SBJ"),AND(J1924=1,I1924=0)),"?IN_FOCUS",IF(J1924&lt;=2,"?ACTIVATED",IF(J1924&lt;&gt;"","?FAMILIAR",IF(F1924="NEW",IF(ISNA(VLOOKUP(E1924,#REF!,1,FALSE())),"?TYPE_IDENTIFIABLE","?REFERENTIAL"),"_")))))</f>
        <v> </v>
      </c>
      <c r="H1924" s="24" t="str">
        <f>IF(J1924&lt;&gt;1,"",IF(I1924="SBJ","CB","?"))</f>
        <v> </v>
      </c>
      <c r="I1924" s="25" t="str">
        <f>IF(OR(E1924="",E1924="!!!",F1924="NEW"),"",INDEX(B1923:B$2,-1+SUMPRODUCT(MAX(ROW(E1923:E$2)*(E1924=E1923:E$2)))))</f>
        <v> </v>
      </c>
      <c r="J1924" s="25" t="str">
        <f>IF(OR(E1924="",E1924="!!!",F1924="NEW"),"",COUNTBLANK(OFFSET(A$1,,,SUMPRODUCT(MAX(ROW(E$2:E1924)*(E1924=E$2:E1924)))))-COUNTBLANK(OFFSET(A$1,,,SUMPRODUCT(MAX(ROW(E$1:E1923)*(E2=E$1:E1923))))))</f>
        <v> </v>
      </c>
      <c r="K1924" s="25" t="str">
        <f>IF(OR(E1924="",E1924="!!!",F1924="NEW"),"",INDEX(J$1:J1923,SUMPRODUCT(MAX(ROW(E$1:E1923)*(E1924=E$1:E1923)))))</f>
        <v> </v>
      </c>
      <c r="L1924" s="26"/>
    </row>
    <row r="1925" spans="1:12">
      <c r="A1925" s="20" t="s">
        <v>1016</v>
      </c>
      <c r="E1925" s="21">
        <f>IF(D1925="?OLD","!!!","")</f>
        <v/>
      </c>
      <c r="F1925" s="22" t="str">
        <f>IF(OR(E1925="",E1925="!!!"),"",IF(NOT(ISNA(VLOOKUP(E1925,E$1:E1924,1,FALSE()))),"OLD",IF(AND(E1925&lt;&gt;"",E1925&lt;&gt;"!!!"),"NEW","")))</f>
        <v> </v>
      </c>
      <c r="G1925" s="23" t="str">
        <f>IF(OR(E1925="",E1925="!!!"),"",IF(OR(J1925=0,AND(J1925=1,K1925=1),AND(J1925=1,I1925="SBJ"),AND(J1925=1,I1925=0)),"?IN_FOCUS",IF(J1925&lt;=2,"?ACTIVATED",IF(J1925&lt;&gt;"","?FAMILIAR",IF(F1925="NEW",IF(ISNA(VLOOKUP(E1925,#REF!,1,FALSE())),"?TYPE_IDENTIFIABLE","?REFERENTIAL"),"_")))))</f>
        <v> </v>
      </c>
      <c r="H1925" s="24" t="str">
        <f>IF(J1925&lt;&gt;1,"",IF(I1925="SBJ","CB","?"))</f>
        <v> </v>
      </c>
      <c r="I1925" s="25" t="str">
        <f>IF(OR(E1925="",E1925="!!!",F1925="NEW"),"",INDEX(B1924:B$2,-1+SUMPRODUCT(MAX(ROW(E1924:E$2)*(E1925=E1924:E$2)))))</f>
        <v> </v>
      </c>
      <c r="J1925" s="25" t="str">
        <f>IF(OR(E1925="",E1925="!!!",F1925="NEW"),"",COUNTBLANK(OFFSET(A$1,,,SUMPRODUCT(MAX(ROW(E$2:E1925)*(E1925=E$2:E1925)))))-COUNTBLANK(OFFSET(A$1,,,SUMPRODUCT(MAX(ROW(E$1:E1924)*(E2=E$1:E1924))))))</f>
        <v> </v>
      </c>
      <c r="K1925" s="25" t="str">
        <f>IF(OR(E1925="",E1925="!!!",F1925="NEW"),"",INDEX(J$1:J1924,SUMPRODUCT(MAX(ROW(E$1:E1924)*(E1925=E$1:E1924)))))</f>
        <v> </v>
      </c>
      <c r="L1925" s="26"/>
    </row>
    <row r="1926" spans="1:12">
      <c r="A1926" s="20" t="s">
        <v>609</v>
      </c>
      <c r="E1926" s="21">
        <f>IF(D1926="?OLD","!!!","")</f>
        <v/>
      </c>
      <c r="F1926" s="22" t="str">
        <f>IF(OR(E1926="",E1926="!!!"),"",IF(NOT(ISNA(VLOOKUP(E1926,E$1:E1925,1,FALSE()))),"OLD",IF(AND(E1926&lt;&gt;"",E1926&lt;&gt;"!!!"),"NEW","")))</f>
        <v> </v>
      </c>
      <c r="G1926" s="23" t="str">
        <f>IF(OR(E1926="",E1926="!!!"),"",IF(OR(J1926=0,AND(J1926=1,K1926=1),AND(J1926=1,I1926="SBJ"),AND(J1926=1,I1926=0)),"?IN_FOCUS",IF(J1926&lt;=2,"?ACTIVATED",IF(J1926&lt;&gt;"","?FAMILIAR",IF(F1926="NEW",IF(ISNA(VLOOKUP(E1926,#REF!,1,FALSE())),"?TYPE_IDENTIFIABLE","?REFERENTIAL"),"_")))))</f>
        <v> </v>
      </c>
      <c r="H1926" s="24" t="str">
        <f>IF(J1926&lt;&gt;1,"",IF(I1926="SBJ","CB","?"))</f>
        <v> </v>
      </c>
      <c r="I1926" s="25" t="str">
        <f>IF(OR(E1926="",E1926="!!!",F1926="NEW"),"",INDEX(B1925:B$2,-1+SUMPRODUCT(MAX(ROW(E1925:E$2)*(E1926=E1925:E$2)))))</f>
        <v> </v>
      </c>
      <c r="J1926" s="25" t="str">
        <f>IF(OR(E1926="",E1926="!!!",F1926="NEW"),"",COUNTBLANK(OFFSET(A$1,,,SUMPRODUCT(MAX(ROW(E$2:E1926)*(E1926=E$2:E1926)))))-COUNTBLANK(OFFSET(A$1,,,SUMPRODUCT(MAX(ROW(E$1:E1925)*(E2=E$1:E1925))))))</f>
        <v> </v>
      </c>
      <c r="K1926" s="25" t="str">
        <f>IF(OR(E1926="",E1926="!!!",F1926="NEW"),"",INDEX(J$1:J1925,SUMPRODUCT(MAX(ROW(E$1:E1925)*(E1926=E$1:E1925)))))</f>
        <v> </v>
      </c>
      <c r="L1926" s="26"/>
    </row>
    <row r="1927" spans="1:12">
      <c r="A1927" s="20" t="s">
        <v>630</v>
      </c>
      <c r="B1927" s="27" t="s">
        <v>611</v>
      </c>
      <c r="C1927" s="27" t="s">
        <v>631</v>
      </c>
      <c r="D1927" s="27" t="s">
        <v>608</v>
      </c>
      <c r="E1927" s="21">
        <f>IF(D1927="?OLD","!!!","")</f>
        <v/>
      </c>
      <c r="F1927" s="22" t="str">
        <f>IF(OR(E1927="",E1927="!!!"),"",IF(NOT(ISNA(VLOOKUP(E1927,E$1:E1926,1,FALSE()))),"OLD",IF(AND(E1927&lt;&gt;"",E1927&lt;&gt;"!!!"),"NEW","")))</f>
        <v> </v>
      </c>
      <c r="G1927" s="23" t="str">
        <f>IF(OR(E1927="",E1927="!!!"),"",IF(OR(J1927=0,AND(J1927=1,K1927=1),AND(J1927=1,I1927="SBJ"),AND(J1927=1,I1927=0)),"?IN_FOCUS",IF(J1927&lt;=2,"?ACTIVATED",IF(J1927&lt;&gt;"","?FAMILIAR",IF(F1927="NEW",IF(ISNA(VLOOKUP(E1927,#REF!,1,FALSE())),"?TYPE_IDENTIFIABLE","?REFERENTIAL"),"_")))))</f>
        <v> </v>
      </c>
      <c r="H1927" s="24" t="str">
        <f>IF(J1927&lt;&gt;1,"",IF(I1927="SBJ","CB","?"))</f>
        <v> </v>
      </c>
      <c r="I1927" s="25" t="str">
        <f>IF(OR(E1927="",E1927="!!!",F1927="NEW"),"",INDEX(B1926:B$2,-1+SUMPRODUCT(MAX(ROW(E1926:E$2)*(E1927=E1926:E$2)))))</f>
        <v> </v>
      </c>
      <c r="J1927" s="25" t="str">
        <f>IF(OR(E1927="",E1927="!!!",F1927="NEW"),"",COUNTBLANK(OFFSET(A$1,,,SUMPRODUCT(MAX(ROW(E$2:E1927)*(E1927=E$2:E1927)))))-COUNTBLANK(OFFSET(A$1,,,SUMPRODUCT(MAX(ROW(E$1:E1926)*(E2=E$1:E1926))))))</f>
        <v> </v>
      </c>
      <c r="K1927" s="25" t="str">
        <f>IF(OR(E1927="",E1927="!!!",F1927="NEW"),"",INDEX(J$1:J1926,SUMPRODUCT(MAX(ROW(E$1:E1926)*(E1927=E$1:E1926)))))</f>
        <v> </v>
      </c>
      <c r="L1927" s="26"/>
    </row>
    <row r="1928" spans="1:12">
      <c r="A1928" s="20" t="s">
        <v>12</v>
      </c>
      <c r="E1928" s="21">
        <f>IF(D1928="?OLD","!!!","")</f>
        <v/>
      </c>
      <c r="F1928" s="22" t="str">
        <f>IF(OR(E1928="",E1928="!!!"),"",IF(NOT(ISNA(VLOOKUP(E1928,E$1:E1927,1,FALSE()))),"OLD",IF(AND(E1928&lt;&gt;"",E1928&lt;&gt;"!!!"),"NEW","")))</f>
        <v> </v>
      </c>
      <c r="G1928" s="23" t="str">
        <f>IF(OR(E1928="",E1928="!!!"),"",IF(OR(J1928=0,AND(J1928=1,K1928=1),AND(J1928=1,I1928="SBJ"),AND(J1928=1,I1928=0)),"?IN_FOCUS",IF(J1928&lt;=2,"?ACTIVATED",IF(J1928&lt;&gt;"","?FAMILIAR",IF(F1928="NEW",IF(ISNA(VLOOKUP(E1928,#REF!,1,FALSE())),"?TYPE_IDENTIFIABLE","?REFERENTIAL"),"_")))))</f>
        <v> </v>
      </c>
      <c r="H1928" s="24" t="str">
        <f>IF(J1928&lt;&gt;1,"",IF(I1928="SBJ","CB","?"))</f>
        <v> </v>
      </c>
      <c r="I1928" s="25" t="str">
        <f>IF(OR(E1928="",E1928="!!!",F1928="NEW"),"",INDEX(B1927:B$2,-1+SUMPRODUCT(MAX(ROW(E1927:E$2)*(E1928=E1927:E$2)))))</f>
        <v> </v>
      </c>
      <c r="J1928" s="25" t="str">
        <f>IF(OR(E1928="",E1928="!!!",F1928="NEW"),"",COUNTBLANK(OFFSET(A$1,,,SUMPRODUCT(MAX(ROW(E$2:E1928)*(E1928=E$2:E1928)))))-COUNTBLANK(OFFSET(A$1,,,SUMPRODUCT(MAX(ROW(E$1:E1927)*(E2=E$1:E1927))))))</f>
        <v> </v>
      </c>
      <c r="K1928" s="25" t="str">
        <f>IF(OR(E1928="",E1928="!!!",F1928="NEW"),"",INDEX(J$1:J1927,SUMPRODUCT(MAX(ROW(E$1:E1927)*(E1928=E$1:E1927)))))</f>
        <v> </v>
      </c>
      <c r="L1928" s="26"/>
    </row>
    <row r="1929" spans="1:12">
      <c r="A1929" s="20" t="s">
        <v>1287</v>
      </c>
      <c r="E1929" s="21">
        <f>IF(D1929="?OLD","!!!","")</f>
        <v/>
      </c>
      <c r="F1929" s="22" t="str">
        <f>IF(OR(E1929="",E1929="!!!"),"",IF(NOT(ISNA(VLOOKUP(E1929,E$1:E1928,1,FALSE()))),"OLD",IF(AND(E1929&lt;&gt;"",E1929&lt;&gt;"!!!"),"NEW","")))</f>
        <v> </v>
      </c>
      <c r="G1929" s="23" t="str">
        <f>IF(OR(E1929="",E1929="!!!"),"",IF(OR(J1929=0,AND(J1929=1,K1929=1),AND(J1929=1,I1929="SBJ"),AND(J1929=1,I1929=0)),"?IN_FOCUS",IF(J1929&lt;=2,"?ACTIVATED",IF(J1929&lt;&gt;"","?FAMILIAR",IF(F1929="NEW",IF(ISNA(VLOOKUP(E1929,#REF!,1,FALSE())),"?TYPE_IDENTIFIABLE","?REFERENTIAL"),"_")))))</f>
        <v> </v>
      </c>
      <c r="H1929" s="24" t="str">
        <f>IF(J1929&lt;&gt;1,"",IF(I1929="SBJ","CB","?"))</f>
        <v> </v>
      </c>
      <c r="I1929" s="25" t="str">
        <f>IF(OR(E1929="",E1929="!!!",F1929="NEW"),"",INDEX(B1928:B$2,-1+SUMPRODUCT(MAX(ROW(E1928:E$2)*(E1929=E1928:E$2)))))</f>
        <v> </v>
      </c>
      <c r="J1929" s="25" t="str">
        <f>IF(OR(E1929="",E1929="!!!",F1929="NEW"),"",COUNTBLANK(OFFSET(A$1,,,SUMPRODUCT(MAX(ROW(E$2:E1929)*(E1929=E$2:E1929)))))-COUNTBLANK(OFFSET(A$1,,,SUMPRODUCT(MAX(ROW(E$1:E1928)*(E2=E$1:E1928))))))</f>
        <v> </v>
      </c>
      <c r="K1929" s="25" t="str">
        <f>IF(OR(E1929="",E1929="!!!",F1929="NEW"),"",INDEX(J$1:J1928,SUMPRODUCT(MAX(ROW(E$1:E1928)*(E1929=E$1:E1928)))))</f>
        <v> </v>
      </c>
      <c r="L1929" s="26"/>
    </row>
    <row r="1930" spans="1:12">
      <c r="A1930" s="20" t="s">
        <v>617</v>
      </c>
      <c r="E1930" s="21">
        <f>IF(D1930="?OLD","!!!","")</f>
        <v/>
      </c>
      <c r="F1930" s="22" t="str">
        <f>IF(OR(E1930="",E1930="!!!"),"",IF(NOT(ISNA(VLOOKUP(E1930,E$1:E1929,1,FALSE()))),"OLD",IF(AND(E1930&lt;&gt;"",E1930&lt;&gt;"!!!"),"NEW","")))</f>
        <v> </v>
      </c>
      <c r="G1930" s="23" t="str">
        <f>IF(OR(E1930="",E1930="!!!"),"",IF(OR(J1930=0,AND(J1930=1,K1930=1),AND(J1930=1,I1930="SBJ"),AND(J1930=1,I1930=0)),"?IN_FOCUS",IF(J1930&lt;=2,"?ACTIVATED",IF(J1930&lt;&gt;"","?FAMILIAR",IF(F1930="NEW",IF(ISNA(VLOOKUP(E1930,#REF!,1,FALSE())),"?TYPE_IDENTIFIABLE","?REFERENTIAL"),"_")))))</f>
        <v> </v>
      </c>
      <c r="H1930" s="24" t="str">
        <f>IF(J1930&lt;&gt;1,"",IF(I1930="SBJ","CB","?"))</f>
        <v> </v>
      </c>
      <c r="I1930" s="25" t="str">
        <f>IF(OR(E1930="",E1930="!!!",F1930="NEW"),"",INDEX(B1929:B$2,-1+SUMPRODUCT(MAX(ROW(E1929:E$2)*(E1930=E1929:E$2)))))</f>
        <v> </v>
      </c>
      <c r="J1930" s="25" t="str">
        <f>IF(OR(E1930="",E1930="!!!",F1930="NEW"),"",COUNTBLANK(OFFSET(A$1,,,SUMPRODUCT(MAX(ROW(E$2:E1930)*(E1930=E$2:E1930)))))-COUNTBLANK(OFFSET(A$1,,,SUMPRODUCT(MAX(ROW(E$1:E1929)*(E2=E$1:E1929))))))</f>
        <v> </v>
      </c>
      <c r="K1930" s="25" t="str">
        <f>IF(OR(E1930="",E1930="!!!",F1930="NEW"),"",INDEX(J$1:J1929,SUMPRODUCT(MAX(ROW(E$1:E1929)*(E1930=E$1:E1929)))))</f>
        <v> </v>
      </c>
      <c r="L1930" s="26"/>
    </row>
    <row r="1931" spans="1:12">
      <c r="A1931" s="20" t="s">
        <v>641</v>
      </c>
      <c r="E1931" s="21">
        <f>IF(D1931="?OLD","!!!","")</f>
        <v/>
      </c>
      <c r="F1931" s="22" t="str">
        <f>IF(OR(E1931="",E1931="!!!"),"",IF(NOT(ISNA(VLOOKUP(E1931,E$1:E1930,1,FALSE()))),"OLD",IF(AND(E1931&lt;&gt;"",E1931&lt;&gt;"!!!"),"NEW","")))</f>
        <v> </v>
      </c>
      <c r="G1931" s="23" t="str">
        <f>IF(OR(E1931="",E1931="!!!"),"",IF(OR(J1931=0,AND(J1931=1,K1931=1),AND(J1931=1,I1931="SBJ"),AND(J1931=1,I1931=0)),"?IN_FOCUS",IF(J1931&lt;=2,"?ACTIVATED",IF(J1931&lt;&gt;"","?FAMILIAR",IF(F1931="NEW",IF(ISNA(VLOOKUP(E1931,#REF!,1,FALSE())),"?TYPE_IDENTIFIABLE","?REFERENTIAL"),"_")))))</f>
        <v> </v>
      </c>
      <c r="H1931" s="24" t="str">
        <f>IF(J1931&lt;&gt;1,"",IF(I1931="SBJ","CB","?"))</f>
        <v> </v>
      </c>
      <c r="I1931" s="25" t="str">
        <f>IF(OR(E1931="",E1931="!!!",F1931="NEW"),"",INDEX(B1930:B$2,-1+SUMPRODUCT(MAX(ROW(E1930:E$2)*(E1931=E1930:E$2)))))</f>
        <v> </v>
      </c>
      <c r="J1931" s="25" t="str">
        <f>IF(OR(E1931="",E1931="!!!",F1931="NEW"),"",COUNTBLANK(OFFSET(A$1,,,SUMPRODUCT(MAX(ROW(E$2:E1931)*(E1931=E$2:E1931)))))-COUNTBLANK(OFFSET(A$1,,,SUMPRODUCT(MAX(ROW(E$1:E1930)*(E2=E$1:E1930))))))</f>
        <v> </v>
      </c>
      <c r="K1931" s="25" t="str">
        <f>IF(OR(E1931="",E1931="!!!",F1931="NEW"),"",INDEX(J$1:J1930,SUMPRODUCT(MAX(ROW(E$1:E1930)*(E1931=E$1:E1930)))))</f>
        <v> </v>
      </c>
      <c r="L1931" s="26"/>
    </row>
    <row r="1932" spans="1:12">
      <c r="A1932" s="20" t="s">
        <v>758</v>
      </c>
      <c r="B1932" s="27" t="s">
        <v>625</v>
      </c>
      <c r="C1932" s="27" t="s">
        <v>622</v>
      </c>
      <c r="E1932" s="21">
        <f>IF(D1932="?OLD","!!!","")</f>
        <v/>
      </c>
      <c r="F1932" s="22" t="str">
        <f>IF(OR(E1932="",E1932="!!!"),"",IF(NOT(ISNA(VLOOKUP(E1932,E$1:E1931,1,FALSE()))),"OLD",IF(AND(E1932&lt;&gt;"",E1932&lt;&gt;"!!!"),"NEW","")))</f>
        <v> </v>
      </c>
      <c r="G1932" s="23" t="str">
        <f>IF(OR(E1932="",E1932="!!!"),"",IF(OR(J1932=0,AND(J1932=1,K1932=1),AND(J1932=1,I1932="SBJ"),AND(J1932=1,I1932=0)),"?IN_FOCUS",IF(J1932&lt;=2,"?ACTIVATED",IF(J1932&lt;&gt;"","?FAMILIAR",IF(F1932="NEW",IF(ISNA(VLOOKUP(E1932,#REF!,1,FALSE())),"?TYPE_IDENTIFIABLE","?REFERENTIAL"),"_")))))</f>
        <v> </v>
      </c>
      <c r="H1932" s="24" t="str">
        <f>IF(J1932&lt;&gt;1,"",IF(I1932="SBJ","CB","?"))</f>
        <v> </v>
      </c>
      <c r="I1932" s="25" t="str">
        <f>IF(OR(E1932="",E1932="!!!",F1932="NEW"),"",INDEX(B1931:B$2,-1+SUMPRODUCT(MAX(ROW(E1931:E$2)*(E1932=E1931:E$2)))))</f>
        <v> </v>
      </c>
      <c r="J1932" s="25" t="str">
        <f>IF(OR(E1932="",E1932="!!!",F1932="NEW"),"",COUNTBLANK(OFFSET(A$1,,,SUMPRODUCT(MAX(ROW(E$2:E1932)*(E1932=E$2:E1932)))))-COUNTBLANK(OFFSET(A$1,,,SUMPRODUCT(MAX(ROW(E$1:E1931)*(E2=E$1:E1931))))))</f>
        <v> </v>
      </c>
      <c r="K1932" s="25" t="str">
        <f>IF(OR(E1932="",E1932="!!!",F1932="NEW"),"",INDEX(J$1:J1931,SUMPRODUCT(MAX(ROW(E$1:E1931)*(E1932=E$1:E1931)))))</f>
        <v> </v>
      </c>
      <c r="L1932" s="26"/>
    </row>
    <row r="1933" spans="1:12">
      <c r="A1933" s="20" t="s">
        <v>617</v>
      </c>
      <c r="E1933" s="21">
        <f>IF(D1933="?OLD","!!!","")</f>
        <v/>
      </c>
      <c r="F1933" s="22" t="str">
        <f>IF(OR(E1933="",E1933="!!!"),"",IF(NOT(ISNA(VLOOKUP(E1933,E$1:E1932,1,FALSE()))),"OLD",IF(AND(E1933&lt;&gt;"",E1933&lt;&gt;"!!!"),"NEW","")))</f>
        <v> </v>
      </c>
      <c r="G1933" s="23" t="str">
        <f>IF(OR(E1933="",E1933="!!!"),"",IF(OR(J1933=0,AND(J1933=1,K1933=1),AND(J1933=1,I1933="SBJ"),AND(J1933=1,I1933=0)),"?IN_FOCUS",IF(J1933&lt;=2,"?ACTIVATED",IF(J1933&lt;&gt;"","?FAMILIAR",IF(F1933="NEW",IF(ISNA(VLOOKUP(E1933,#REF!,1,FALSE())),"?TYPE_IDENTIFIABLE","?REFERENTIAL"),"_")))))</f>
        <v> </v>
      </c>
      <c r="H1933" s="24" t="str">
        <f>IF(J1933&lt;&gt;1,"",IF(I1933="SBJ","CB","?"))</f>
        <v> </v>
      </c>
      <c r="I1933" s="25" t="str">
        <f>IF(OR(E1933="",E1933="!!!",F1933="NEW"),"",INDEX(B1932:B$2,-1+SUMPRODUCT(MAX(ROW(E1932:E$2)*(E1933=E1932:E$2)))))</f>
        <v> </v>
      </c>
      <c r="J1933" s="25" t="str">
        <f>IF(OR(E1933="",E1933="!!!",F1933="NEW"),"",COUNTBLANK(OFFSET(A$1,,,SUMPRODUCT(MAX(ROW(E$2:E1933)*(E1933=E$2:E1933)))))-COUNTBLANK(OFFSET(A$1,,,SUMPRODUCT(MAX(ROW(E$1:E1932)*(E2=E$1:E1932))))))</f>
        <v> </v>
      </c>
      <c r="K1933" s="25" t="str">
        <f>IF(OR(E1933="",E1933="!!!",F1933="NEW"),"",INDEX(J$1:J1932,SUMPRODUCT(MAX(ROW(E$1:E1932)*(E1933=E$1:E1932)))))</f>
        <v> </v>
      </c>
      <c r="L1933" s="26"/>
    </row>
    <row r="1934" spans="1:12">
      <c r="A1934" s="20" t="s">
        <v>618</v>
      </c>
      <c r="B1934" s="27" t="s">
        <v>742</v>
      </c>
      <c r="E1934" s="21">
        <f>IF(D1934="?OLD","!!!","")</f>
        <v/>
      </c>
      <c r="F1934" s="22" t="str">
        <f>IF(OR(E1934="",E1934="!!!"),"",IF(NOT(ISNA(VLOOKUP(E1934,E$1:E1933,1,FALSE()))),"OLD",IF(AND(E1934&lt;&gt;"",E1934&lt;&gt;"!!!"),"NEW","")))</f>
        <v> </v>
      </c>
      <c r="G1934" s="23" t="str">
        <f>IF(OR(E1934="",E1934="!!!"),"",IF(OR(J1934=0,AND(J1934=1,K1934=1),AND(J1934=1,I1934="SBJ"),AND(J1934=1,I1934=0)),"?IN_FOCUS",IF(J1934&lt;=2,"?ACTIVATED",IF(J1934&lt;&gt;"","?FAMILIAR",IF(F1934="NEW",IF(ISNA(VLOOKUP(E1934,#REF!,1,FALSE())),"?TYPE_IDENTIFIABLE","?REFERENTIAL"),"_")))))</f>
        <v> </v>
      </c>
      <c r="H1934" s="24" t="str">
        <f>IF(J1934&lt;&gt;1,"",IF(I1934="SBJ","CB","?"))</f>
        <v> </v>
      </c>
      <c r="I1934" s="25" t="str">
        <f>IF(OR(E1934="",E1934="!!!",F1934="NEW"),"",INDEX(B1933:B$2,-1+SUMPRODUCT(MAX(ROW(E1933:E$2)*(E1934=E1933:E$2)))))</f>
        <v> </v>
      </c>
      <c r="J1934" s="25" t="str">
        <f>IF(OR(E1934="",E1934="!!!",F1934="NEW"),"",COUNTBLANK(OFFSET(A$1,,,SUMPRODUCT(MAX(ROW(E$2:E1934)*(E1934=E$2:E1934)))))-COUNTBLANK(OFFSET(A$1,,,SUMPRODUCT(MAX(ROW(E$1:E1933)*(E2=E$1:E1933))))))</f>
        <v> </v>
      </c>
      <c r="K1934" s="25" t="str">
        <f>IF(OR(E1934="",E1934="!!!",F1934="NEW"),"",INDEX(J$1:J1933,SUMPRODUCT(MAX(ROW(E$1:E1933)*(E1934=E$1:E1933)))))</f>
        <v> </v>
      </c>
      <c r="L1934" s="26"/>
    </row>
    <row r="1935" spans="1:12">
      <c r="A1935" s="20" t="s">
        <v>737</v>
      </c>
      <c r="E1935" s="21">
        <f>IF(D1935="?OLD","!!!","")</f>
        <v/>
      </c>
      <c r="F1935" s="22" t="str">
        <f>IF(OR(E1935="",E1935="!!!"),"",IF(NOT(ISNA(VLOOKUP(E1935,E$1:E1934,1,FALSE()))),"OLD",IF(AND(E1935&lt;&gt;"",E1935&lt;&gt;"!!!"),"NEW","")))</f>
        <v> </v>
      </c>
      <c r="G1935" s="23" t="str">
        <f>IF(OR(E1935="",E1935="!!!"),"",IF(OR(J1935=0,AND(J1935=1,K1935=1),AND(J1935=1,I1935="SBJ"),AND(J1935=1,I1935=0)),"?IN_FOCUS",IF(J1935&lt;=2,"?ACTIVATED",IF(J1935&lt;&gt;"","?FAMILIAR",IF(F1935="NEW",IF(ISNA(VLOOKUP(E1935,#REF!,1,FALSE())),"?TYPE_IDENTIFIABLE","?REFERENTIAL"),"_")))))</f>
        <v> </v>
      </c>
      <c r="H1935" s="24" t="str">
        <f>IF(J1935&lt;&gt;1,"",IF(I1935="SBJ","CB","?"))</f>
        <v> </v>
      </c>
      <c r="I1935" s="25" t="str">
        <f>IF(OR(E1935="",E1935="!!!",F1935="NEW"),"",INDEX(B1934:B$2,-1+SUMPRODUCT(MAX(ROW(E1934:E$2)*(E1935=E1934:E$2)))))</f>
        <v> </v>
      </c>
      <c r="J1935" s="25" t="str">
        <f>IF(OR(E1935="",E1935="!!!",F1935="NEW"),"",COUNTBLANK(OFFSET(A$1,,,SUMPRODUCT(MAX(ROW(E$2:E1935)*(E1935=E$2:E1935)))))-COUNTBLANK(OFFSET(A$1,,,SUMPRODUCT(MAX(ROW(E$1:E1934)*(E2=E$1:E1934))))))</f>
        <v> </v>
      </c>
      <c r="K1935" s="25" t="str">
        <f>IF(OR(E1935="",E1935="!!!",F1935="NEW"),"",INDEX(J$1:J1934,SUMPRODUCT(MAX(ROW(E$1:E1934)*(E1935=E$1:E1934)))))</f>
        <v> </v>
      </c>
      <c r="L1935" s="26"/>
    </row>
    <row r="1936" spans="1:12">
      <c r="A1936" s="20" t="s">
        <v>1139</v>
      </c>
      <c r="E1936" s="21">
        <f>IF(D1936="?OLD","!!!","")</f>
        <v/>
      </c>
      <c r="F1936" s="22" t="str">
        <f>IF(OR(E1936="",E1936="!!!"),"",IF(NOT(ISNA(VLOOKUP(E1936,E$1:E1935,1,FALSE()))),"OLD",IF(AND(E1936&lt;&gt;"",E1936&lt;&gt;"!!!"),"NEW","")))</f>
        <v> </v>
      </c>
      <c r="G1936" s="23" t="str">
        <f>IF(OR(E1936="",E1936="!!!"),"",IF(OR(J1936=0,AND(J1936=1,K1936=1),AND(J1936=1,I1936="SBJ"),AND(J1936=1,I1936=0)),"?IN_FOCUS",IF(J1936&lt;=2,"?ACTIVATED",IF(J1936&lt;&gt;"","?FAMILIAR",IF(F1936="NEW",IF(ISNA(VLOOKUP(E1936,#REF!,1,FALSE())),"?TYPE_IDENTIFIABLE","?REFERENTIAL"),"_")))))</f>
        <v> </v>
      </c>
      <c r="H1936" s="24" t="str">
        <f>IF(J1936&lt;&gt;1,"",IF(I1936="SBJ","CB","?"))</f>
        <v> </v>
      </c>
      <c r="I1936" s="25" t="str">
        <f>IF(OR(E1936="",E1936="!!!",F1936="NEW"),"",INDEX(B1935:B$2,-1+SUMPRODUCT(MAX(ROW(E1935:E$2)*(E1936=E1935:E$2)))))</f>
        <v> </v>
      </c>
      <c r="J1936" s="25" t="str">
        <f>IF(OR(E1936="",E1936="!!!",F1936="NEW"),"",COUNTBLANK(OFFSET(A$1,,,SUMPRODUCT(MAX(ROW(E$2:E1936)*(E1936=E$2:E1936)))))-COUNTBLANK(OFFSET(A$1,,,SUMPRODUCT(MAX(ROW(E$1:E1935)*(E2=E$1:E1935))))))</f>
        <v> </v>
      </c>
      <c r="K1936" s="25" t="str">
        <f>IF(OR(E1936="",E1936="!!!",F1936="NEW"),"",INDEX(J$1:J1935,SUMPRODUCT(MAX(ROW(E$1:E1935)*(E1936=E$1:E1935)))))</f>
        <v> </v>
      </c>
      <c r="L1936" s="26"/>
    </row>
    <row r="1937" spans="1:12">
      <c r="A1937" s="20" t="s">
        <v>1006</v>
      </c>
      <c r="B1937" s="27" t="s">
        <v>670</v>
      </c>
      <c r="C1937" s="27" t="s">
        <v>614</v>
      </c>
      <c r="D1937" s="27" t="s">
        <v>608</v>
      </c>
      <c r="E1937" s="21">
        <f>IF(D1937="?OLD","!!!","")</f>
        <v/>
      </c>
      <c r="F1937" s="22" t="str">
        <f>IF(OR(E1937="",E1937="!!!"),"",IF(NOT(ISNA(VLOOKUP(E1937,E$1:E1936,1,FALSE()))),"OLD",IF(AND(E1937&lt;&gt;"",E1937&lt;&gt;"!!!"),"NEW","")))</f>
        <v> </v>
      </c>
      <c r="G1937" s="23" t="str">
        <f>IF(OR(E1937="",E1937="!!!"),"",IF(OR(J1937=0,AND(J1937=1,K1937=1),AND(J1937=1,I1937="SBJ"),AND(J1937=1,I1937=0)),"?IN_FOCUS",IF(J1937&lt;=2,"?ACTIVATED",IF(J1937&lt;&gt;"","?FAMILIAR",IF(F1937="NEW",IF(ISNA(VLOOKUP(E1937,#REF!,1,FALSE())),"?TYPE_IDENTIFIABLE","?REFERENTIAL"),"_")))))</f>
        <v> </v>
      </c>
      <c r="H1937" s="24" t="str">
        <f>IF(J1937&lt;&gt;1,"",IF(I1937="SBJ","CB","?"))</f>
        <v> </v>
      </c>
      <c r="I1937" s="25" t="str">
        <f>IF(OR(E1937="",E1937="!!!",F1937="NEW"),"",INDEX(B1936:B$2,-1+SUMPRODUCT(MAX(ROW(E1936:E$2)*(E1937=E1936:E$2)))))</f>
        <v> </v>
      </c>
      <c r="J1937" s="25" t="str">
        <f>IF(OR(E1937="",E1937="!!!",F1937="NEW"),"",COUNTBLANK(OFFSET(A$1,,,SUMPRODUCT(MAX(ROW(E$2:E1937)*(E1937=E$2:E1937)))))-COUNTBLANK(OFFSET(A$1,,,SUMPRODUCT(MAX(ROW(E$1:E1936)*(E2=E$1:E1936))))))</f>
        <v> </v>
      </c>
      <c r="K1937" s="25" t="str">
        <f>IF(OR(E1937="",E1937="!!!",F1937="NEW"),"",INDEX(J$1:J1936,SUMPRODUCT(MAX(ROW(E$1:E1936)*(E1937=E$1:E1936)))))</f>
        <v> </v>
      </c>
      <c r="L1937" s="26"/>
    </row>
    <row r="1938" spans="1:12">
      <c r="A1938" s="20" t="s">
        <v>1341</v>
      </c>
      <c r="E1938" s="21">
        <f>IF(D1938="?OLD","!!!","")</f>
        <v/>
      </c>
      <c r="F1938" s="22" t="str">
        <f>IF(OR(E1938="",E1938="!!!"),"",IF(NOT(ISNA(VLOOKUP(E1938,E$1:E1937,1,FALSE()))),"OLD",IF(AND(E1938&lt;&gt;"",E1938&lt;&gt;"!!!"),"NEW","")))</f>
        <v> </v>
      </c>
      <c r="G1938" s="23" t="str">
        <f>IF(OR(E1938="",E1938="!!!"),"",IF(OR(J1938=0,AND(J1938=1,K1938=1),AND(J1938=1,I1938="SBJ"),AND(J1938=1,I1938=0)),"?IN_FOCUS",IF(J1938&lt;=2,"?ACTIVATED",IF(J1938&lt;&gt;"","?FAMILIAR",IF(F1938="NEW",IF(ISNA(VLOOKUP(E1938,#REF!,1,FALSE())),"?TYPE_IDENTIFIABLE","?REFERENTIAL"),"_")))))</f>
        <v> </v>
      </c>
      <c r="H1938" s="24" t="str">
        <f>IF(J1938&lt;&gt;1,"",IF(I1938="SBJ","CB","?"))</f>
        <v> </v>
      </c>
      <c r="I1938" s="25" t="str">
        <f>IF(OR(E1938="",E1938="!!!",F1938="NEW"),"",INDEX(B1937:B$2,-1+SUMPRODUCT(MAX(ROW(E1937:E$2)*(E1938=E1937:E$2)))))</f>
        <v> </v>
      </c>
      <c r="J1938" s="25" t="str">
        <f>IF(OR(E1938="",E1938="!!!",F1938="NEW"),"",COUNTBLANK(OFFSET(A$1,,,SUMPRODUCT(MAX(ROW(E$2:E1938)*(E1938=E$2:E1938)))))-COUNTBLANK(OFFSET(A$1,,,SUMPRODUCT(MAX(ROW(E$1:E1937)*(E2=E$1:E1937))))))</f>
        <v> </v>
      </c>
      <c r="K1938" s="25" t="str">
        <f>IF(OR(E1938="",E1938="!!!",F1938="NEW"),"",INDEX(J$1:J1937,SUMPRODUCT(MAX(ROW(E$1:E1937)*(E1938=E$1:E1937)))))</f>
        <v> </v>
      </c>
      <c r="L1938" s="26"/>
    </row>
    <row r="1939" spans="1:12">
      <c r="A1939" s="20" t="s">
        <v>1342</v>
      </c>
      <c r="E1939" s="21">
        <f>IF(D1939="?OLD","!!!","")</f>
        <v/>
      </c>
      <c r="F1939" s="22" t="str">
        <f>IF(OR(E1939="",E1939="!!!"),"",IF(NOT(ISNA(VLOOKUP(E1939,E$1:E1938,1,FALSE()))),"OLD",IF(AND(E1939&lt;&gt;"",E1939&lt;&gt;"!!!"),"NEW","")))</f>
        <v> </v>
      </c>
      <c r="G1939" s="23" t="str">
        <f>IF(OR(E1939="",E1939="!!!"),"",IF(OR(J1939=0,AND(J1939=1,K1939=1),AND(J1939=1,I1939="SBJ"),AND(J1939=1,I1939=0)),"?IN_FOCUS",IF(J1939&lt;=2,"?ACTIVATED",IF(J1939&lt;&gt;"","?FAMILIAR",IF(F1939="NEW",IF(ISNA(VLOOKUP(E1939,#REF!,1,FALSE())),"?TYPE_IDENTIFIABLE","?REFERENTIAL"),"_")))))</f>
        <v> </v>
      </c>
      <c r="H1939" s="24" t="str">
        <f>IF(J1939&lt;&gt;1,"",IF(I1939="SBJ","CB","?"))</f>
        <v> </v>
      </c>
      <c r="I1939" s="25" t="str">
        <f>IF(OR(E1939="",E1939="!!!",F1939="NEW"),"",INDEX(B1938:B$2,-1+SUMPRODUCT(MAX(ROW(E1938:E$2)*(E1939=E1938:E$2)))))</f>
        <v> </v>
      </c>
      <c r="J1939" s="25" t="str">
        <f>IF(OR(E1939="",E1939="!!!",F1939="NEW"),"",COUNTBLANK(OFFSET(A$1,,,SUMPRODUCT(MAX(ROW(E$2:E1939)*(E1939=E$2:E1939)))))-COUNTBLANK(OFFSET(A$1,,,SUMPRODUCT(MAX(ROW(E$1:E1938)*(E2=E$1:E1938))))))</f>
        <v> </v>
      </c>
      <c r="K1939" s="25" t="str">
        <f>IF(OR(E1939="",E1939="!!!",F1939="NEW"),"",INDEX(J$1:J1938,SUMPRODUCT(MAX(ROW(E$1:E1938)*(E1939=E$1:E1938)))))</f>
        <v> </v>
      </c>
      <c r="L1939" s="26"/>
    </row>
    <row r="1940" spans="1:12">
      <c r="A1940" s="20" t="s">
        <v>1343</v>
      </c>
      <c r="B1940" s="27" t="s">
        <v>664</v>
      </c>
      <c r="C1940" s="27" t="s">
        <v>616</v>
      </c>
      <c r="D1940" s="27" t="s">
        <v>608</v>
      </c>
      <c r="E1940" s="21">
        <f>IF(D1940="?OLD","!!!","")</f>
        <v/>
      </c>
      <c r="F1940" s="22" t="str">
        <f>IF(OR(E1940="",E1940="!!!"),"",IF(NOT(ISNA(VLOOKUP(E1940,E$1:E1939,1,FALSE()))),"OLD",IF(AND(E1940&lt;&gt;"",E1940&lt;&gt;"!!!"),"NEW","")))</f>
        <v> </v>
      </c>
      <c r="G1940" s="23" t="str">
        <f>IF(OR(E1940="",E1940="!!!"),"",IF(OR(J1940=0,AND(J1940=1,K1940=1),AND(J1940=1,I1940="SBJ"),AND(J1940=1,I1940=0)),"?IN_FOCUS",IF(J1940&lt;=2,"?ACTIVATED",IF(J1940&lt;&gt;"","?FAMILIAR",IF(F1940="NEW",IF(ISNA(VLOOKUP(E1940,#REF!,1,FALSE())),"?TYPE_IDENTIFIABLE","?REFERENTIAL"),"_")))))</f>
        <v> </v>
      </c>
      <c r="H1940" s="24" t="str">
        <f>IF(J1940&lt;&gt;1,"",IF(I1940="SBJ","CB","?"))</f>
        <v> </v>
      </c>
      <c r="I1940" s="25" t="str">
        <f>IF(OR(E1940="",E1940="!!!",F1940="NEW"),"",INDEX(B1939:B$2,-1+SUMPRODUCT(MAX(ROW(E1939:E$2)*(E1940=E1939:E$2)))))</f>
        <v> </v>
      </c>
      <c r="J1940" s="25" t="str">
        <f>IF(OR(E1940="",E1940="!!!",F1940="NEW"),"",COUNTBLANK(OFFSET(A$1,,,SUMPRODUCT(MAX(ROW(E$2:E1940)*(E1940=E$2:E1940)))))-COUNTBLANK(OFFSET(A$1,,,SUMPRODUCT(MAX(ROW(E$1:E1939)*(E2=E$1:E1939))))))</f>
        <v> </v>
      </c>
      <c r="K1940" s="25" t="str">
        <f>IF(OR(E1940="",E1940="!!!",F1940="NEW"),"",INDEX(J$1:J1939,SUMPRODUCT(MAX(ROW(E$1:E1939)*(E1940=E$1:E1939)))))</f>
        <v> </v>
      </c>
      <c r="L1940" s="26"/>
    </row>
    <row r="1941" spans="1:12">
      <c r="A1941" s="20" t="s">
        <v>1344</v>
      </c>
      <c r="E1941" s="21">
        <f>IF(D1941="?OLD","!!!","")</f>
        <v/>
      </c>
      <c r="F1941" s="22" t="str">
        <f>IF(OR(E1941="",E1941="!!!"),"",IF(NOT(ISNA(VLOOKUP(E1941,E$1:E1940,1,FALSE()))),"OLD",IF(AND(E1941&lt;&gt;"",E1941&lt;&gt;"!!!"),"NEW","")))</f>
        <v> </v>
      </c>
      <c r="G1941" s="23" t="str">
        <f>IF(OR(E1941="",E1941="!!!"),"",IF(OR(J1941=0,AND(J1941=1,K1941=1),AND(J1941=1,I1941="SBJ"),AND(J1941=1,I1941=0)),"?IN_FOCUS",IF(J1941&lt;=2,"?ACTIVATED",IF(J1941&lt;&gt;"","?FAMILIAR",IF(F1941="NEW",IF(ISNA(VLOOKUP(E1941,#REF!,1,FALSE())),"?TYPE_IDENTIFIABLE","?REFERENTIAL"),"_")))))</f>
        <v> </v>
      </c>
      <c r="H1941" s="24" t="str">
        <f>IF(J1941&lt;&gt;1,"",IF(I1941="SBJ","CB","?"))</f>
        <v> </v>
      </c>
      <c r="I1941" s="25" t="str">
        <f>IF(OR(E1941="",E1941="!!!",F1941="NEW"),"",INDEX(B1940:B$2,-1+SUMPRODUCT(MAX(ROW(E1940:E$2)*(E1941=E1940:E$2)))))</f>
        <v> </v>
      </c>
      <c r="J1941" s="25" t="str">
        <f>IF(OR(E1941="",E1941="!!!",F1941="NEW"),"",COUNTBLANK(OFFSET(A$1,,,SUMPRODUCT(MAX(ROW(E$2:E1941)*(E1941=E$2:E1941)))))-COUNTBLANK(OFFSET(A$1,,,SUMPRODUCT(MAX(ROW(E$1:E1940)*(E2=E$1:E1940))))))</f>
        <v> </v>
      </c>
      <c r="K1941" s="25" t="str">
        <f>IF(OR(E1941="",E1941="!!!",F1941="NEW"),"",INDEX(J$1:J1940,SUMPRODUCT(MAX(ROW(E$1:E1940)*(E1941=E$1:E1940)))))</f>
        <v> </v>
      </c>
      <c r="L1941" s="26"/>
    </row>
    <row r="1942" spans="1:12">
      <c r="A1942" s="20" t="s">
        <v>755</v>
      </c>
      <c r="E1942" s="21">
        <f>IF(D1942="?OLD","!!!","")</f>
        <v/>
      </c>
      <c r="F1942" s="22" t="str">
        <f>IF(OR(E1942="",E1942="!!!"),"",IF(NOT(ISNA(VLOOKUP(E1942,E$1:E1941,1,FALSE()))),"OLD",IF(AND(E1942&lt;&gt;"",E1942&lt;&gt;"!!!"),"NEW","")))</f>
        <v> </v>
      </c>
      <c r="G1942" s="23" t="str">
        <f>IF(OR(E1942="",E1942="!!!"),"",IF(OR(J1942=0,AND(J1942=1,K1942=1),AND(J1942=1,I1942="SBJ"),AND(J1942=1,I1942=0)),"?IN_FOCUS",IF(J1942&lt;=2,"?ACTIVATED",IF(J1942&lt;&gt;"","?FAMILIAR",IF(F1942="NEW",IF(ISNA(VLOOKUP(E1942,#REF!,1,FALSE())),"?TYPE_IDENTIFIABLE","?REFERENTIAL"),"_")))))</f>
        <v> </v>
      </c>
      <c r="H1942" s="24" t="str">
        <f>IF(J1942&lt;&gt;1,"",IF(I1942="SBJ","CB","?"))</f>
        <v> </v>
      </c>
      <c r="I1942" s="25" t="str">
        <f>IF(OR(E1942="",E1942="!!!",F1942="NEW"),"",INDEX(B1941:B$2,-1+SUMPRODUCT(MAX(ROW(E1941:E$2)*(E1942=E1941:E$2)))))</f>
        <v> </v>
      </c>
      <c r="J1942" s="25" t="str">
        <f>IF(OR(E1942="",E1942="!!!",F1942="NEW"),"",COUNTBLANK(OFFSET(A$1,,,SUMPRODUCT(MAX(ROW(E$2:E1942)*(E1942=E$2:E1942)))))-COUNTBLANK(OFFSET(A$1,,,SUMPRODUCT(MAX(ROW(E$1:E1941)*(E2=E$1:E1941))))))</f>
        <v> </v>
      </c>
      <c r="K1942" s="25" t="str">
        <f>IF(OR(E1942="",E1942="!!!",F1942="NEW"),"",INDEX(J$1:J1941,SUMPRODUCT(MAX(ROW(E$1:E1941)*(E1942=E$1:E1941)))))</f>
        <v> </v>
      </c>
      <c r="L1942" s="26"/>
    </row>
    <row r="1943" spans="1:12">
      <c r="A1943" s="20" t="s">
        <v>633</v>
      </c>
      <c r="E1943" s="21">
        <f>IF(D1943="?OLD","!!!","")</f>
        <v/>
      </c>
      <c r="F1943" s="22" t="str">
        <f>IF(OR(E1943="",E1943="!!!"),"",IF(NOT(ISNA(VLOOKUP(E1943,E$1:E1942,1,FALSE()))),"OLD",IF(AND(E1943&lt;&gt;"",E1943&lt;&gt;"!!!"),"NEW","")))</f>
        <v> </v>
      </c>
      <c r="G1943" s="23" t="str">
        <f>IF(OR(E1943="",E1943="!!!"),"",IF(OR(J1943=0,AND(J1943=1,K1943=1),AND(J1943=1,I1943="SBJ"),AND(J1943=1,I1943=0)),"?IN_FOCUS",IF(J1943&lt;=2,"?ACTIVATED",IF(J1943&lt;&gt;"","?FAMILIAR",IF(F1943="NEW",IF(ISNA(VLOOKUP(E1943,#REF!,1,FALSE())),"?TYPE_IDENTIFIABLE","?REFERENTIAL"),"_")))))</f>
        <v> </v>
      </c>
      <c r="H1943" s="24" t="str">
        <f>IF(J1943&lt;&gt;1,"",IF(I1943="SBJ","CB","?"))</f>
        <v> </v>
      </c>
      <c r="I1943" s="25" t="str">
        <f>IF(OR(E1943="",E1943="!!!",F1943="NEW"),"",INDEX(B1942:B$2,-1+SUMPRODUCT(MAX(ROW(E1942:E$2)*(E1943=E1942:E$2)))))</f>
        <v> </v>
      </c>
      <c r="J1943" s="25" t="str">
        <f>IF(OR(E1943="",E1943="!!!",F1943="NEW"),"",COUNTBLANK(OFFSET(A$1,,,SUMPRODUCT(MAX(ROW(E$2:E1943)*(E1943=E$2:E1943)))))-COUNTBLANK(OFFSET(A$1,,,SUMPRODUCT(MAX(ROW(E$1:E1942)*(E2=E$1:E1942))))))</f>
        <v> </v>
      </c>
      <c r="K1943" s="25" t="str">
        <f>IF(OR(E1943="",E1943="!!!",F1943="NEW"),"",INDEX(J$1:J1942,SUMPRODUCT(MAX(ROW(E$1:E1942)*(E1943=E$1:E1942)))))</f>
        <v> </v>
      </c>
      <c r="L1943" s="26"/>
    </row>
    <row r="1944" spans="1:12">
      <c r="A1944" s="20"/>
    </row>
    <row r="1945" spans="1:12">
      <c r="A1945" s="20" t="s">
        <v>1345</v>
      </c>
    </row>
    <row r="1946" spans="1:12">
      <c r="A1946" s="20" t="s">
        <v>814</v>
      </c>
      <c r="E1946" s="21">
        <f>IF(D1946="?OLD","!!!","")</f>
        <v/>
      </c>
      <c r="F1946" s="22" t="str">
        <f>IF(OR(E1946="",E1946="!!!"),"",IF(NOT(ISNA(VLOOKUP(E1946,E$1:E1945,1,FALSE()))),"OLD",IF(AND(E1946&lt;&gt;"",E1946&lt;&gt;"!!!"),"NEW","")))</f>
        <v> </v>
      </c>
      <c r="G1946" s="23" t="str">
        <f>IF(OR(E1946="",E1946="!!!"),"",IF(OR(J1946=0,AND(J1946=1,K1946=1),AND(J1946=1,I1946="SBJ"),AND(J1946=1,I1946=0)),"?IN_FOCUS",IF(J1946&lt;=2,"?ACTIVATED",IF(J1946&lt;&gt;"","?FAMILIAR",IF(F1946="NEW",IF(ISNA(VLOOKUP(E1946,#REF!,1,FALSE())),"?TYPE_IDENTIFIABLE","?REFERENTIAL"),"_")))))</f>
        <v> </v>
      </c>
      <c r="H1946" s="24" t="str">
        <f>IF(J1946&lt;&gt;1,"",IF(I1946="SBJ","CB","?"))</f>
        <v> </v>
      </c>
      <c r="I1946" s="25" t="str">
        <f>IF(OR(E1946="",E1946="!!!",F1946="NEW"),"",INDEX(B1945:B$2,-1+SUMPRODUCT(MAX(ROW(E1945:E$2)*(E1946=E1945:E$2)))))</f>
        <v> </v>
      </c>
      <c r="J1946" s="25" t="str">
        <f>IF(OR(E1946="",E1946="!!!",F1946="NEW"),"",COUNTBLANK(OFFSET(A$1,,,SUMPRODUCT(MAX(ROW(E$2:E1946)*(E1946=E$2:E1946)))))-COUNTBLANK(OFFSET(A$1,,,SUMPRODUCT(MAX(ROW(E$1:E1945)*(E2=E$1:E1945))))))</f>
        <v> </v>
      </c>
      <c r="K1946" s="25" t="str">
        <f>IF(OR(E1946="",E1946="!!!",F1946="NEW"),"",INDEX(J$1:J1945,SUMPRODUCT(MAX(ROW(E$1:E1945)*(E1946=E$1:E1945)))))</f>
        <v> </v>
      </c>
      <c r="L1946" s="26"/>
    </row>
    <row r="1947" spans="1:12">
      <c r="A1947" s="20" t="s">
        <v>690</v>
      </c>
      <c r="B1947" s="27" t="s">
        <v>636</v>
      </c>
      <c r="C1947" s="27" t="s">
        <v>614</v>
      </c>
      <c r="D1947" s="27" t="s">
        <v>608</v>
      </c>
      <c r="E1947" s="21">
        <f>IF(D1947="?OLD","!!!","")</f>
        <v/>
      </c>
      <c r="F1947" s="22" t="str">
        <f>IF(OR(E1947="",E1947="!!!"),"",IF(NOT(ISNA(VLOOKUP(E1947,E$1:E1946,1,FALSE()))),"OLD",IF(AND(E1947&lt;&gt;"",E1947&lt;&gt;"!!!"),"NEW","")))</f>
        <v> </v>
      </c>
      <c r="G1947" s="23" t="str">
        <f>IF(OR(E1947="",E1947="!!!"),"",IF(OR(J1947=0,AND(J1947=1,K1947=1),AND(J1947=1,I1947="SBJ"),AND(J1947=1,I1947=0)),"?IN_FOCUS",IF(J1947&lt;=2,"?ACTIVATED",IF(J1947&lt;&gt;"","?FAMILIAR",IF(F1947="NEW",IF(ISNA(VLOOKUP(E1947,#REF!,1,FALSE())),"?TYPE_IDENTIFIABLE","?REFERENTIAL"),"_")))))</f>
        <v> </v>
      </c>
      <c r="H1947" s="24" t="str">
        <f>IF(J1947&lt;&gt;1,"",IF(I1947="SBJ","CB","?"))</f>
        <v> </v>
      </c>
      <c r="I1947" s="25" t="str">
        <f>IF(OR(E1947="",E1947="!!!",F1947="NEW"),"",INDEX(B1946:B$2,-1+SUMPRODUCT(MAX(ROW(E1946:E$2)*(E1947=E1946:E$2)))))</f>
        <v> </v>
      </c>
      <c r="J1947" s="25" t="str">
        <f>IF(OR(E1947="",E1947="!!!",F1947="NEW"),"",COUNTBLANK(OFFSET(A$1,,,SUMPRODUCT(MAX(ROW(E$2:E1947)*(E1947=E$2:E1947)))))-COUNTBLANK(OFFSET(A$1,,,SUMPRODUCT(MAX(ROW(E$1:E1946)*(E2=E$1:E1946))))))</f>
        <v> </v>
      </c>
      <c r="K1947" s="25" t="str">
        <f>IF(OR(E1947="",E1947="!!!",F1947="NEW"),"",INDEX(J$1:J1946,SUMPRODUCT(MAX(ROW(E$1:E1946)*(E1947=E$1:E1946)))))</f>
        <v> </v>
      </c>
      <c r="L1947" s="26"/>
    </row>
    <row r="1948" spans="1:12">
      <c r="A1948" s="20" t="s">
        <v>1346</v>
      </c>
      <c r="E1948" s="21">
        <f>IF(D1948="?OLD","!!!","")</f>
        <v/>
      </c>
      <c r="F1948" s="22" t="str">
        <f>IF(OR(E1948="",E1948="!!!"),"",IF(NOT(ISNA(VLOOKUP(E1948,E$1:E1947,1,FALSE()))),"OLD",IF(AND(E1948&lt;&gt;"",E1948&lt;&gt;"!!!"),"NEW","")))</f>
        <v> </v>
      </c>
      <c r="G1948" s="23" t="str">
        <f>IF(OR(E1948="",E1948="!!!"),"",IF(OR(J1948=0,AND(J1948=1,K1948=1),AND(J1948=1,I1948="SBJ"),AND(J1948=1,I1948=0)),"?IN_FOCUS",IF(J1948&lt;=2,"?ACTIVATED",IF(J1948&lt;&gt;"","?FAMILIAR",IF(F1948="NEW",IF(ISNA(VLOOKUP(E1948,#REF!,1,FALSE())),"?TYPE_IDENTIFIABLE","?REFERENTIAL"),"_")))))</f>
        <v> </v>
      </c>
      <c r="H1948" s="24" t="str">
        <f>IF(J1948&lt;&gt;1,"",IF(I1948="SBJ","CB","?"))</f>
        <v> </v>
      </c>
      <c r="I1948" s="25" t="str">
        <f>IF(OR(E1948="",E1948="!!!",F1948="NEW"),"",INDEX(B1947:B$2,-1+SUMPRODUCT(MAX(ROW(E1947:E$2)*(E1948=E1947:E$2)))))</f>
        <v> </v>
      </c>
      <c r="J1948" s="25" t="str">
        <f>IF(OR(E1948="",E1948="!!!",F1948="NEW"),"",COUNTBLANK(OFFSET(A$1,,,SUMPRODUCT(MAX(ROW(E$2:E1948)*(E1948=E$2:E1948)))))-COUNTBLANK(OFFSET(A$1,,,SUMPRODUCT(MAX(ROW(E$1:E1947)*(E2=E$1:E1947))))))</f>
        <v> </v>
      </c>
      <c r="K1948" s="25" t="str">
        <f>IF(OR(E1948="",E1948="!!!",F1948="NEW"),"",INDEX(J$1:J1947,SUMPRODUCT(MAX(ROW(E$1:E1947)*(E1948=E$1:E1947)))))</f>
        <v> </v>
      </c>
      <c r="L1948" s="26"/>
    </row>
    <row r="1949" spans="1:12">
      <c r="A1949" s="20" t="s">
        <v>663</v>
      </c>
      <c r="B1949" s="27" t="s">
        <v>611</v>
      </c>
      <c r="C1949" s="27" t="s">
        <v>626</v>
      </c>
      <c r="E1949" s="21">
        <f>IF(D1949="?OLD","!!!","")</f>
        <v/>
      </c>
      <c r="F1949" s="22" t="str">
        <f>IF(OR(E1949="",E1949="!!!"),"",IF(NOT(ISNA(VLOOKUP(E1949,E$1:E1948,1,FALSE()))),"OLD",IF(AND(E1949&lt;&gt;"",E1949&lt;&gt;"!!!"),"NEW","")))</f>
        <v> </v>
      </c>
      <c r="G1949" s="23" t="str">
        <f>IF(OR(E1949="",E1949="!!!"),"",IF(OR(J1949=0,AND(J1949=1,K1949=1),AND(J1949=1,I1949="SBJ"),AND(J1949=1,I1949=0)),"?IN_FOCUS",IF(J1949&lt;=2,"?ACTIVATED",IF(J1949&lt;&gt;"","?FAMILIAR",IF(F1949="NEW",IF(ISNA(VLOOKUP(E1949,#REF!,1,FALSE())),"?TYPE_IDENTIFIABLE","?REFERENTIAL"),"_")))))</f>
        <v> </v>
      </c>
      <c r="H1949" s="24" t="str">
        <f>IF(J1949&lt;&gt;1,"",IF(I1949="SBJ","CB","?"))</f>
        <v> </v>
      </c>
      <c r="I1949" s="25" t="str">
        <f>IF(OR(E1949="",E1949="!!!",F1949="NEW"),"",INDEX(B1948:B$2,-1+SUMPRODUCT(MAX(ROW(E1948:E$2)*(E1949=E1948:E$2)))))</f>
        <v> </v>
      </c>
      <c r="J1949" s="25" t="str">
        <f>IF(OR(E1949="",E1949="!!!",F1949="NEW"),"",COUNTBLANK(OFFSET(A$1,,,SUMPRODUCT(MAX(ROW(E$2:E1949)*(E1949=E$2:E1949)))))-COUNTBLANK(OFFSET(A$1,,,SUMPRODUCT(MAX(ROW(E$1:E1948)*(E2=E$1:E1948))))))</f>
        <v> </v>
      </c>
      <c r="K1949" s="25" t="str">
        <f>IF(OR(E1949="",E1949="!!!",F1949="NEW"),"",INDEX(J$1:J1948,SUMPRODUCT(MAX(ROW(E$1:E1948)*(E1949=E$1:E1948)))))</f>
        <v> </v>
      </c>
      <c r="L1949" s="26"/>
    </row>
    <row r="1950" spans="1:12">
      <c r="A1950" s="20" t="s">
        <v>817</v>
      </c>
      <c r="E1950" s="21">
        <f>IF(D1950="?OLD","!!!","")</f>
        <v/>
      </c>
      <c r="F1950" s="22" t="str">
        <f>IF(OR(E1950="",E1950="!!!"),"",IF(NOT(ISNA(VLOOKUP(E1950,E$1:E1949,1,FALSE()))),"OLD",IF(AND(E1950&lt;&gt;"",E1950&lt;&gt;"!!!"),"NEW","")))</f>
        <v> </v>
      </c>
      <c r="G1950" s="23" t="str">
        <f>IF(OR(E1950="",E1950="!!!"),"",IF(OR(J1950=0,AND(J1950=1,K1950=1),AND(J1950=1,I1950="SBJ"),AND(J1950=1,I1950=0)),"?IN_FOCUS",IF(J1950&lt;=2,"?ACTIVATED",IF(J1950&lt;&gt;"","?FAMILIAR",IF(F1950="NEW",IF(ISNA(VLOOKUP(E1950,#REF!,1,FALSE())),"?TYPE_IDENTIFIABLE","?REFERENTIAL"),"_")))))</f>
        <v> </v>
      </c>
      <c r="H1950" s="24" t="str">
        <f>IF(J1950&lt;&gt;1,"",IF(I1950="SBJ","CB","?"))</f>
        <v> </v>
      </c>
      <c r="I1950" s="25" t="str">
        <f>IF(OR(E1950="",E1950="!!!",F1950="NEW"),"",INDEX(B1949:B$2,-1+SUMPRODUCT(MAX(ROW(E1949:E$2)*(E1950=E1949:E$2)))))</f>
        <v> </v>
      </c>
      <c r="J1950" s="25" t="str">
        <f>IF(OR(E1950="",E1950="!!!",F1950="NEW"),"",COUNTBLANK(OFFSET(A$1,,,SUMPRODUCT(MAX(ROW(E$2:E1950)*(E1950=E$2:E1950)))))-COUNTBLANK(OFFSET(A$1,,,SUMPRODUCT(MAX(ROW(E$1:E1949)*(E2=E$1:E1949))))))</f>
        <v> </v>
      </c>
      <c r="K1950" s="25" t="str">
        <f>IF(OR(E1950="",E1950="!!!",F1950="NEW"),"",INDEX(J$1:J1949,SUMPRODUCT(MAX(ROW(E$1:E1949)*(E1950=E$1:E1949)))))</f>
        <v> </v>
      </c>
      <c r="L1950" s="26"/>
    </row>
    <row r="1951" spans="1:12">
      <c r="A1951" s="20" t="s">
        <v>1347</v>
      </c>
      <c r="B1951" s="27" t="s">
        <v>606</v>
      </c>
      <c r="C1951" s="27" t="s">
        <v>685</v>
      </c>
      <c r="E1951" s="21">
        <f>IF(D1951="?OLD","!!!","")</f>
        <v/>
      </c>
      <c r="F1951" s="22" t="str">
        <f>IF(OR(E1951="",E1951="!!!"),"",IF(NOT(ISNA(VLOOKUP(E1951,E$1:E1950,1,FALSE()))),"OLD",IF(AND(E1951&lt;&gt;"",E1951&lt;&gt;"!!!"),"NEW","")))</f>
        <v> </v>
      </c>
      <c r="G1951" s="23" t="str">
        <f>IF(OR(E1951="",E1951="!!!"),"",IF(OR(J1951=0,AND(J1951=1,K1951=1),AND(J1951=1,I1951="SBJ"),AND(J1951=1,I1951=0)),"?IN_FOCUS",IF(J1951&lt;=2,"?ACTIVATED",IF(J1951&lt;&gt;"","?FAMILIAR",IF(F1951="NEW",IF(ISNA(VLOOKUP(E1951,#REF!,1,FALSE())),"?TYPE_IDENTIFIABLE","?REFERENTIAL"),"_")))))</f>
        <v> </v>
      </c>
      <c r="H1951" s="24" t="str">
        <f>IF(J1951&lt;&gt;1,"",IF(I1951="SBJ","CB","?"))</f>
        <v> </v>
      </c>
      <c r="I1951" s="25" t="str">
        <f>IF(OR(E1951="",E1951="!!!",F1951="NEW"),"",INDEX(B1950:B$2,-1+SUMPRODUCT(MAX(ROW(E1950:E$2)*(E1951=E1950:E$2)))))</f>
        <v> </v>
      </c>
      <c r="J1951" s="25" t="str">
        <f>IF(OR(E1951="",E1951="!!!",F1951="NEW"),"",COUNTBLANK(OFFSET(A$1,,,SUMPRODUCT(MAX(ROW(E$2:E1951)*(E1951=E$2:E1951)))))-COUNTBLANK(OFFSET(A$1,,,SUMPRODUCT(MAX(ROW(E$1:E1950)*(E2=E$1:E1950))))))</f>
        <v> </v>
      </c>
      <c r="K1951" s="25" t="str">
        <f>IF(OR(E1951="",E1951="!!!",F1951="NEW"),"",INDEX(J$1:J1950,SUMPRODUCT(MAX(ROW(E$1:E1950)*(E1951=E$1:E1950)))))</f>
        <v> </v>
      </c>
      <c r="L1951" s="26"/>
    </row>
    <row r="1952" spans="1:12">
      <c r="A1952" s="20" t="s">
        <v>1348</v>
      </c>
      <c r="E1952" s="21">
        <f>IF(D1952="?OLD","!!!","")</f>
        <v/>
      </c>
      <c r="F1952" s="22" t="str">
        <f>IF(OR(E1952="",E1952="!!!"),"",IF(NOT(ISNA(VLOOKUP(E1952,E$1:E1951,1,FALSE()))),"OLD",IF(AND(E1952&lt;&gt;"",E1952&lt;&gt;"!!!"),"NEW","")))</f>
        <v> </v>
      </c>
      <c r="G1952" s="23" t="str">
        <f>IF(OR(E1952="",E1952="!!!"),"",IF(OR(J1952=0,AND(J1952=1,K1952=1),AND(J1952=1,I1952="SBJ"),AND(J1952=1,I1952=0)),"?IN_FOCUS",IF(J1952&lt;=2,"?ACTIVATED",IF(J1952&lt;&gt;"","?FAMILIAR",IF(F1952="NEW",IF(ISNA(VLOOKUP(E1952,#REF!,1,FALSE())),"?TYPE_IDENTIFIABLE","?REFERENTIAL"),"_")))))</f>
        <v> </v>
      </c>
      <c r="H1952" s="24" t="str">
        <f>IF(J1952&lt;&gt;1,"",IF(I1952="SBJ","CB","?"))</f>
        <v> </v>
      </c>
      <c r="I1952" s="25" t="str">
        <f>IF(OR(E1952="",E1952="!!!",F1952="NEW"),"",INDEX(B1951:B$2,-1+SUMPRODUCT(MAX(ROW(E1951:E$2)*(E1952=E1951:E$2)))))</f>
        <v> </v>
      </c>
      <c r="J1952" s="25" t="str">
        <f>IF(OR(E1952="",E1952="!!!",F1952="NEW"),"",COUNTBLANK(OFFSET(A$1,,,SUMPRODUCT(MAX(ROW(E$2:E1952)*(E1952=E$2:E1952)))))-COUNTBLANK(OFFSET(A$1,,,SUMPRODUCT(MAX(ROW(E$1:E1951)*(E2=E$1:E1951))))))</f>
        <v> </v>
      </c>
      <c r="K1952" s="25" t="str">
        <f>IF(OR(E1952="",E1952="!!!",F1952="NEW"),"",INDEX(J$1:J1951,SUMPRODUCT(MAX(ROW(E$1:E1951)*(E1952=E$1:E1951)))))</f>
        <v> </v>
      </c>
      <c r="L1952" s="26"/>
    </row>
    <row r="1953" spans="1:12">
      <c r="A1953" s="20" t="s">
        <v>1349</v>
      </c>
      <c r="B1953" s="27" t="s">
        <v>611</v>
      </c>
      <c r="C1953" s="27" t="s">
        <v>622</v>
      </c>
      <c r="E1953" s="21">
        <f>IF(D1953="?OLD","!!!","")</f>
        <v/>
      </c>
      <c r="F1953" s="22" t="str">
        <f>IF(OR(E1953="",E1953="!!!"),"",IF(NOT(ISNA(VLOOKUP(E1953,E$1:E1952,1,FALSE()))),"OLD",IF(AND(E1953&lt;&gt;"",E1953&lt;&gt;"!!!"),"NEW","")))</f>
        <v> </v>
      </c>
      <c r="G1953" s="23" t="str">
        <f>IF(OR(E1953="",E1953="!!!"),"",IF(OR(J1953=0,AND(J1953=1,K1953=1),AND(J1953=1,I1953="SBJ"),AND(J1953=1,I1953=0)),"?IN_FOCUS",IF(J1953&lt;=2,"?ACTIVATED",IF(J1953&lt;&gt;"","?FAMILIAR",IF(F1953="NEW",IF(ISNA(VLOOKUP(E1953,#REF!,1,FALSE())),"?TYPE_IDENTIFIABLE","?REFERENTIAL"),"_")))))</f>
        <v> </v>
      </c>
      <c r="H1953" s="24" t="str">
        <f>IF(J1953&lt;&gt;1,"",IF(I1953="SBJ","CB","?"))</f>
        <v> </v>
      </c>
      <c r="I1953" s="25" t="str">
        <f>IF(OR(E1953="",E1953="!!!",F1953="NEW"),"",INDEX(B1952:B$2,-1+SUMPRODUCT(MAX(ROW(E1952:E$2)*(E1953=E1952:E$2)))))</f>
        <v> </v>
      </c>
      <c r="J1953" s="25" t="str">
        <f>IF(OR(E1953="",E1953="!!!",F1953="NEW"),"",COUNTBLANK(OFFSET(A$1,,,SUMPRODUCT(MAX(ROW(E$2:E1953)*(E1953=E$2:E1953)))))-COUNTBLANK(OFFSET(A$1,,,SUMPRODUCT(MAX(ROW(E$1:E1952)*(E2=E$1:E1952))))))</f>
        <v> </v>
      </c>
      <c r="K1953" s="25" t="str">
        <f>IF(OR(E1953="",E1953="!!!",F1953="NEW"),"",INDEX(J$1:J1952,SUMPRODUCT(MAX(ROW(E$1:E1952)*(E1953=E$1:E1952)))))</f>
        <v> </v>
      </c>
      <c r="L1953" s="26"/>
    </row>
    <row r="1954" spans="1:12">
      <c r="A1954" s="20" t="s">
        <v>633</v>
      </c>
      <c r="E1954" s="21">
        <f>IF(D1954="?OLD","!!!","")</f>
        <v/>
      </c>
      <c r="F1954" s="22" t="str">
        <f>IF(OR(E1954="",E1954="!!!"),"",IF(NOT(ISNA(VLOOKUP(E1954,E$1:E1953,1,FALSE()))),"OLD",IF(AND(E1954&lt;&gt;"",E1954&lt;&gt;"!!!"),"NEW","")))</f>
        <v> </v>
      </c>
      <c r="G1954" s="23" t="str">
        <f>IF(OR(E1954="",E1954="!!!"),"",IF(OR(J1954=0,AND(J1954=1,K1954=1),AND(J1954=1,I1954="SBJ"),AND(J1954=1,I1954=0)),"?IN_FOCUS",IF(J1954&lt;=2,"?ACTIVATED",IF(J1954&lt;&gt;"","?FAMILIAR",IF(F1954="NEW",IF(ISNA(VLOOKUP(E1954,#REF!,1,FALSE())),"?TYPE_IDENTIFIABLE","?REFERENTIAL"),"_")))))</f>
        <v> </v>
      </c>
      <c r="H1954" s="24" t="str">
        <f>IF(J1954&lt;&gt;1,"",IF(I1954="SBJ","CB","?"))</f>
        <v> </v>
      </c>
      <c r="I1954" s="25" t="str">
        <f>IF(OR(E1954="",E1954="!!!",F1954="NEW"),"",INDEX(B1953:B$2,-1+SUMPRODUCT(MAX(ROW(E1953:E$2)*(E1954=E1953:E$2)))))</f>
        <v> </v>
      </c>
      <c r="J1954" s="25" t="str">
        <f>IF(OR(E1954="",E1954="!!!",F1954="NEW"),"",COUNTBLANK(OFFSET(A$1,,,SUMPRODUCT(MAX(ROW(E$2:E1954)*(E1954=E$2:E1954)))))-COUNTBLANK(OFFSET(A$1,,,SUMPRODUCT(MAX(ROW(E$1:E1953)*(E2=E$1:E1953))))))</f>
        <v> </v>
      </c>
      <c r="K1954" s="25" t="str">
        <f>IF(OR(E1954="",E1954="!!!",F1954="NEW"),"",INDEX(J$1:J1953,SUMPRODUCT(MAX(ROW(E$1:E1953)*(E1954=E$1:E1953)))))</f>
        <v> </v>
      </c>
      <c r="L1954" s="26"/>
    </row>
    <row r="1955" spans="1:12">
      <c r="A1955" s="20"/>
    </row>
    <row r="1956" spans="1:12">
      <c r="A1956" s="20" t="s">
        <v>1350</v>
      </c>
    </row>
    <row r="1957" spans="1:12">
      <c r="A1957" s="20" t="s">
        <v>877</v>
      </c>
      <c r="E1957" s="21">
        <f>IF(D1957="?OLD","!!!","")</f>
        <v/>
      </c>
      <c r="F1957" s="22" t="str">
        <f>IF(OR(E1957="",E1957="!!!"),"",IF(NOT(ISNA(VLOOKUP(E1957,E$1:E1956,1,FALSE()))),"OLD",IF(AND(E1957&lt;&gt;"",E1957&lt;&gt;"!!!"),"NEW","")))</f>
        <v> </v>
      </c>
      <c r="G1957" s="23" t="str">
        <f>IF(OR(E1957="",E1957="!!!"),"",IF(OR(J1957=0,AND(J1957=1,K1957=1),AND(J1957=1,I1957="SBJ"),AND(J1957=1,I1957=0)),"?IN_FOCUS",IF(J1957&lt;=2,"?ACTIVATED",IF(J1957&lt;&gt;"","?FAMILIAR",IF(F1957="NEW",IF(ISNA(VLOOKUP(E1957,#REF!,1,FALSE())),"?TYPE_IDENTIFIABLE","?REFERENTIAL"),"_")))))</f>
        <v> </v>
      </c>
      <c r="H1957" s="24" t="str">
        <f>IF(J1957&lt;&gt;1,"",IF(I1957="SBJ","CB","?"))</f>
        <v> </v>
      </c>
      <c r="I1957" s="25" t="str">
        <f>IF(OR(E1957="",E1957="!!!",F1957="NEW"),"",INDEX(B1956:B$2,-1+SUMPRODUCT(MAX(ROW(E1956:E$2)*(E1957=E1956:E$2)))))</f>
        <v> </v>
      </c>
      <c r="J1957" s="25" t="str">
        <f>IF(OR(E1957="",E1957="!!!",F1957="NEW"),"",COUNTBLANK(OFFSET(A$1,,,SUMPRODUCT(MAX(ROW(E$2:E1957)*(E1957=E$2:E1957)))))-COUNTBLANK(OFFSET(A$1,,,SUMPRODUCT(MAX(ROW(E$1:E1956)*(E2=E$1:E1956))))))</f>
        <v> </v>
      </c>
      <c r="K1957" s="25" t="str">
        <f>IF(OR(E1957="",E1957="!!!",F1957="NEW"),"",INDEX(J$1:J1956,SUMPRODUCT(MAX(ROW(E$1:E1956)*(E1957=E$1:E1956)))))</f>
        <v> </v>
      </c>
      <c r="L1957" s="26"/>
    </row>
    <row r="1958" spans="1:12">
      <c r="A1958" s="20" t="s">
        <v>878</v>
      </c>
      <c r="E1958" s="21">
        <f>IF(D1958="?OLD","!!!","")</f>
        <v/>
      </c>
      <c r="F1958" s="22" t="str">
        <f>IF(OR(E1958="",E1958="!!!"),"",IF(NOT(ISNA(VLOOKUP(E1958,E$1:E1957,1,FALSE()))),"OLD",IF(AND(E1958&lt;&gt;"",E1958&lt;&gt;"!!!"),"NEW","")))</f>
        <v> </v>
      </c>
      <c r="G1958" s="23" t="str">
        <f>IF(OR(E1958="",E1958="!!!"),"",IF(OR(J1958=0,AND(J1958=1,K1958=1),AND(J1958=1,I1958="SBJ"),AND(J1958=1,I1958=0)),"?IN_FOCUS",IF(J1958&lt;=2,"?ACTIVATED",IF(J1958&lt;&gt;"","?FAMILIAR",IF(F1958="NEW",IF(ISNA(VLOOKUP(E1958,#REF!,1,FALSE())),"?TYPE_IDENTIFIABLE","?REFERENTIAL"),"_")))))</f>
        <v> </v>
      </c>
      <c r="H1958" s="24" t="str">
        <f>IF(J1958&lt;&gt;1,"",IF(I1958="SBJ","CB","?"))</f>
        <v> </v>
      </c>
      <c r="I1958" s="25" t="str">
        <f>IF(OR(E1958="",E1958="!!!",F1958="NEW"),"",INDEX(B1957:B$2,-1+SUMPRODUCT(MAX(ROW(E1957:E$2)*(E1958=E1957:E$2)))))</f>
        <v> </v>
      </c>
      <c r="J1958" s="25" t="str">
        <f>IF(OR(E1958="",E1958="!!!",F1958="NEW"),"",COUNTBLANK(OFFSET(A$1,,,SUMPRODUCT(MAX(ROW(E$2:E1958)*(E1958=E$2:E1958)))))-COUNTBLANK(OFFSET(A$1,,,SUMPRODUCT(MAX(ROW(E$1:E1957)*(E2=E$1:E1957))))))</f>
        <v> </v>
      </c>
      <c r="K1958" s="25" t="str">
        <f>IF(OR(E1958="",E1958="!!!",F1958="NEW"),"",INDEX(J$1:J1957,SUMPRODUCT(MAX(ROW(E$1:E1957)*(E1958=E$1:E1957)))))</f>
        <v> </v>
      </c>
      <c r="L1958" s="26"/>
    </row>
    <row r="1959" spans="1:12">
      <c r="A1959" s="20" t="s">
        <v>1351</v>
      </c>
      <c r="E1959" s="21">
        <f>IF(D1959="?OLD","!!!","")</f>
        <v/>
      </c>
      <c r="F1959" s="22" t="str">
        <f>IF(OR(E1959="",E1959="!!!"),"",IF(NOT(ISNA(VLOOKUP(E1959,E$1:E1958,1,FALSE()))),"OLD",IF(AND(E1959&lt;&gt;"",E1959&lt;&gt;"!!!"),"NEW","")))</f>
        <v> </v>
      </c>
      <c r="G1959" s="23" t="str">
        <f>IF(OR(E1959="",E1959="!!!"),"",IF(OR(J1959=0,AND(J1959=1,K1959=1),AND(J1959=1,I1959="SBJ"),AND(J1959=1,I1959=0)),"?IN_FOCUS",IF(J1959&lt;=2,"?ACTIVATED",IF(J1959&lt;&gt;"","?FAMILIAR",IF(F1959="NEW",IF(ISNA(VLOOKUP(E1959,#REF!,1,FALSE())),"?TYPE_IDENTIFIABLE","?REFERENTIAL"),"_")))))</f>
        <v> </v>
      </c>
      <c r="H1959" s="24" t="str">
        <f>IF(J1959&lt;&gt;1,"",IF(I1959="SBJ","CB","?"))</f>
        <v> </v>
      </c>
      <c r="I1959" s="25" t="str">
        <f>IF(OR(E1959="",E1959="!!!",F1959="NEW"),"",INDEX(B1958:B$2,-1+SUMPRODUCT(MAX(ROW(E1958:E$2)*(E1959=E1958:E$2)))))</f>
        <v> </v>
      </c>
      <c r="J1959" s="25" t="str">
        <f>IF(OR(E1959="",E1959="!!!",F1959="NEW"),"",COUNTBLANK(OFFSET(A$1,,,SUMPRODUCT(MAX(ROW(E$2:E1959)*(E1959=E$2:E1959)))))-COUNTBLANK(OFFSET(A$1,,,SUMPRODUCT(MAX(ROW(E$1:E1958)*(E2=E$1:E1958))))))</f>
        <v> </v>
      </c>
      <c r="K1959" s="25" t="str">
        <f>IF(OR(E1959="",E1959="!!!",F1959="NEW"),"",INDEX(J$1:J1958,SUMPRODUCT(MAX(ROW(E$1:E1958)*(E1959=E$1:E1958)))))</f>
        <v> </v>
      </c>
      <c r="L1959" s="26"/>
    </row>
    <row r="1960" spans="1:12">
      <c r="A1960" s="20" t="s">
        <v>939</v>
      </c>
      <c r="B1960" s="27" t="s">
        <v>636</v>
      </c>
      <c r="C1960" s="27" t="s">
        <v>607</v>
      </c>
      <c r="D1960" s="27" t="s">
        <v>608</v>
      </c>
      <c r="E1960" s="21">
        <f>IF(D1960="?OLD","!!!","")</f>
        <v/>
      </c>
      <c r="F1960" s="22" t="str">
        <f>IF(OR(E1960="",E1960="!!!"),"",IF(NOT(ISNA(VLOOKUP(E1960,E$1:E1959,1,FALSE()))),"OLD",IF(AND(E1960&lt;&gt;"",E1960&lt;&gt;"!!!"),"NEW","")))</f>
        <v> </v>
      </c>
      <c r="G1960" s="23" t="str">
        <f>IF(OR(E1960="",E1960="!!!"),"",IF(OR(J1960=0,AND(J1960=1,K1960=1),AND(J1960=1,I1960="SBJ"),AND(J1960=1,I1960=0)),"?IN_FOCUS",IF(J1960&lt;=2,"?ACTIVATED",IF(J1960&lt;&gt;"","?FAMILIAR",IF(F1960="NEW",IF(ISNA(VLOOKUP(E1960,#REF!,1,FALSE())),"?TYPE_IDENTIFIABLE","?REFERENTIAL"),"_")))))</f>
        <v> </v>
      </c>
      <c r="H1960" s="24" t="str">
        <f>IF(J1960&lt;&gt;1,"",IF(I1960="SBJ","CB","?"))</f>
        <v> </v>
      </c>
      <c r="I1960" s="25" t="str">
        <f>IF(OR(E1960="",E1960="!!!",F1960="NEW"),"",INDEX(B1959:B$2,-1+SUMPRODUCT(MAX(ROW(E1959:E$2)*(E1960=E1959:E$2)))))</f>
        <v> </v>
      </c>
      <c r="J1960" s="25" t="str">
        <f>IF(OR(E1960="",E1960="!!!",F1960="NEW"),"",COUNTBLANK(OFFSET(A$1,,,SUMPRODUCT(MAX(ROW(E$2:E1960)*(E1960=E$2:E1960)))))-COUNTBLANK(OFFSET(A$1,,,SUMPRODUCT(MAX(ROW(E$1:E1959)*(E2=E$1:E1959))))))</f>
        <v> </v>
      </c>
      <c r="K1960" s="25" t="str">
        <f>IF(OR(E1960="",E1960="!!!",F1960="NEW"),"",INDEX(J$1:J1959,SUMPRODUCT(MAX(ROW(E$1:E1959)*(E1960=E$1:E1959)))))</f>
        <v> </v>
      </c>
      <c r="L1960" s="26"/>
    </row>
    <row r="1961" spans="1:12">
      <c r="A1961" s="20" t="s">
        <v>791</v>
      </c>
      <c r="E1961" s="21">
        <f>IF(D1961="?OLD","!!!","")</f>
        <v/>
      </c>
      <c r="F1961" s="22" t="str">
        <f>IF(OR(E1961="",E1961="!!!"),"",IF(NOT(ISNA(VLOOKUP(E1961,E$1:E1960,1,FALSE()))),"OLD",IF(AND(E1961&lt;&gt;"",E1961&lt;&gt;"!!!"),"NEW","")))</f>
        <v> </v>
      </c>
      <c r="G1961" s="23" t="str">
        <f>IF(OR(E1961="",E1961="!!!"),"",IF(OR(J1961=0,AND(J1961=1,K1961=1),AND(J1961=1,I1961="SBJ"),AND(J1961=1,I1961=0)),"?IN_FOCUS",IF(J1961&lt;=2,"?ACTIVATED",IF(J1961&lt;&gt;"","?FAMILIAR",IF(F1961="NEW",IF(ISNA(VLOOKUP(E1961,#REF!,1,FALSE())),"?TYPE_IDENTIFIABLE","?REFERENTIAL"),"_")))))</f>
        <v> </v>
      </c>
      <c r="H1961" s="24" t="str">
        <f>IF(J1961&lt;&gt;1,"",IF(I1961="SBJ","CB","?"))</f>
        <v> </v>
      </c>
      <c r="I1961" s="25" t="str">
        <f>IF(OR(E1961="",E1961="!!!",F1961="NEW"),"",INDEX(B1960:B$2,-1+SUMPRODUCT(MAX(ROW(E1960:E$2)*(E1961=E1960:E$2)))))</f>
        <v> </v>
      </c>
      <c r="J1961" s="25" t="str">
        <f>IF(OR(E1961="",E1961="!!!",F1961="NEW"),"",COUNTBLANK(OFFSET(A$1,,,SUMPRODUCT(MAX(ROW(E$2:E1961)*(E1961=E$2:E1961)))))-COUNTBLANK(OFFSET(A$1,,,SUMPRODUCT(MAX(ROW(E$1:E1960)*(E2=E$1:E1960))))))</f>
        <v> </v>
      </c>
      <c r="K1961" s="25" t="str">
        <f>IF(OR(E1961="",E1961="!!!",F1961="NEW"),"",INDEX(J$1:J1960,SUMPRODUCT(MAX(ROW(E$1:E1960)*(E1961=E$1:E1960)))))</f>
        <v> </v>
      </c>
      <c r="L1961" s="26"/>
    </row>
    <row r="1962" spans="1:12">
      <c r="A1962" s="20" t="s">
        <v>630</v>
      </c>
      <c r="B1962" s="27" t="s">
        <v>611</v>
      </c>
      <c r="C1962" s="27" t="s">
        <v>631</v>
      </c>
      <c r="D1962" s="27" t="s">
        <v>608</v>
      </c>
      <c r="E1962" s="21">
        <f>IF(D1962="?OLD","!!!","")</f>
        <v/>
      </c>
      <c r="F1962" s="22" t="str">
        <f>IF(OR(E1962="",E1962="!!!"),"",IF(NOT(ISNA(VLOOKUP(E1962,E$1:E1961,1,FALSE()))),"OLD",IF(AND(E1962&lt;&gt;"",E1962&lt;&gt;"!!!"),"NEW","")))</f>
        <v> </v>
      </c>
      <c r="G1962" s="23" t="str">
        <f>IF(OR(E1962="",E1962="!!!"),"",IF(OR(J1962=0,AND(J1962=1,K1962=1),AND(J1962=1,I1962="SBJ"),AND(J1962=1,I1962=0)),"?IN_FOCUS",IF(J1962&lt;=2,"?ACTIVATED",IF(J1962&lt;&gt;"","?FAMILIAR",IF(F1962="NEW",IF(ISNA(VLOOKUP(E1962,#REF!,1,FALSE())),"?TYPE_IDENTIFIABLE","?REFERENTIAL"),"_")))))</f>
        <v> </v>
      </c>
      <c r="H1962" s="24" t="str">
        <f>IF(J1962&lt;&gt;1,"",IF(I1962="SBJ","CB","?"))</f>
        <v> </v>
      </c>
      <c r="I1962" s="25" t="str">
        <f>IF(OR(E1962="",E1962="!!!",F1962="NEW"),"",INDEX(B1961:B$2,-1+SUMPRODUCT(MAX(ROW(E1961:E$2)*(E1962=E1961:E$2)))))</f>
        <v> </v>
      </c>
      <c r="J1962" s="25" t="str">
        <f>IF(OR(E1962="",E1962="!!!",F1962="NEW"),"",COUNTBLANK(OFFSET(A$1,,,SUMPRODUCT(MAX(ROW(E$2:E1962)*(E1962=E$2:E1962)))))-COUNTBLANK(OFFSET(A$1,,,SUMPRODUCT(MAX(ROW(E$1:E1961)*(E2=E$1:E1961))))))</f>
        <v> </v>
      </c>
      <c r="K1962" s="25" t="str">
        <f>IF(OR(E1962="",E1962="!!!",F1962="NEW"),"",INDEX(J$1:J1961,SUMPRODUCT(MAX(ROW(E$1:E1961)*(E1962=E$1:E1961)))))</f>
        <v> </v>
      </c>
      <c r="L1962" s="26"/>
    </row>
    <row r="1963" spans="1:12">
      <c r="A1963" s="20" t="s">
        <v>1352</v>
      </c>
      <c r="E1963" s="21">
        <f>IF(D1963="?OLD","!!!","")</f>
        <v/>
      </c>
      <c r="F1963" s="22" t="str">
        <f>IF(OR(E1963="",E1963="!!!"),"",IF(NOT(ISNA(VLOOKUP(E1963,E$1:E1962,1,FALSE()))),"OLD",IF(AND(E1963&lt;&gt;"",E1963&lt;&gt;"!!!"),"NEW","")))</f>
        <v> </v>
      </c>
      <c r="G1963" s="23" t="str">
        <f>IF(OR(E1963="",E1963="!!!"),"",IF(OR(J1963=0,AND(J1963=1,K1963=1),AND(J1963=1,I1963="SBJ"),AND(J1963=1,I1963=0)),"?IN_FOCUS",IF(J1963&lt;=2,"?ACTIVATED",IF(J1963&lt;&gt;"","?FAMILIAR",IF(F1963="NEW",IF(ISNA(VLOOKUP(E1963,#REF!,1,FALSE())),"?TYPE_IDENTIFIABLE","?REFERENTIAL"),"_")))))</f>
        <v> </v>
      </c>
      <c r="H1963" s="24" t="str">
        <f>IF(J1963&lt;&gt;1,"",IF(I1963="SBJ","CB","?"))</f>
        <v> </v>
      </c>
      <c r="I1963" s="25" t="str">
        <f>IF(OR(E1963="",E1963="!!!",F1963="NEW"),"",INDEX(B1962:B$2,-1+SUMPRODUCT(MAX(ROW(E1962:E$2)*(E1963=E1962:E$2)))))</f>
        <v> </v>
      </c>
      <c r="J1963" s="25" t="str">
        <f>IF(OR(E1963="",E1963="!!!",F1963="NEW"),"",COUNTBLANK(OFFSET(A$1,,,SUMPRODUCT(MAX(ROW(E$2:E1963)*(E1963=E$2:E1963)))))-COUNTBLANK(OFFSET(A$1,,,SUMPRODUCT(MAX(ROW(E$1:E1962)*(E2=E$1:E1962))))))</f>
        <v> </v>
      </c>
      <c r="K1963" s="25" t="str">
        <f>IF(OR(E1963="",E1963="!!!",F1963="NEW"),"",INDEX(J$1:J1962,SUMPRODUCT(MAX(ROW(E$1:E1962)*(E1963=E$1:E1962)))))</f>
        <v> </v>
      </c>
      <c r="L1963" s="26"/>
    </row>
    <row r="1964" spans="1:12">
      <c r="A1964" s="20" t="s">
        <v>707</v>
      </c>
      <c r="E1964" s="21">
        <f>IF(D1964="?OLD","!!!","")</f>
        <v/>
      </c>
      <c r="F1964" s="22" t="str">
        <f>IF(OR(E1964="",E1964="!!!"),"",IF(NOT(ISNA(VLOOKUP(E1964,E$1:E1963,1,FALSE()))),"OLD",IF(AND(E1964&lt;&gt;"",E1964&lt;&gt;"!!!"),"NEW","")))</f>
        <v> </v>
      </c>
      <c r="G1964" s="23" t="str">
        <f>IF(OR(E1964="",E1964="!!!"),"",IF(OR(J1964=0,AND(J1964=1,K1964=1),AND(J1964=1,I1964="SBJ"),AND(J1964=1,I1964=0)),"?IN_FOCUS",IF(J1964&lt;=2,"?ACTIVATED",IF(J1964&lt;&gt;"","?FAMILIAR",IF(F1964="NEW",IF(ISNA(VLOOKUP(E1964,#REF!,1,FALSE())),"?TYPE_IDENTIFIABLE","?REFERENTIAL"),"_")))))</f>
        <v> </v>
      </c>
      <c r="H1964" s="24" t="str">
        <f>IF(J1964&lt;&gt;1,"",IF(I1964="SBJ","CB","?"))</f>
        <v> </v>
      </c>
      <c r="I1964" s="25" t="str">
        <f>IF(OR(E1964="",E1964="!!!",F1964="NEW"),"",INDEX(B1963:B$2,-1+SUMPRODUCT(MAX(ROW(E1963:E$2)*(E1964=E1963:E$2)))))</f>
        <v> </v>
      </c>
      <c r="J1964" s="25" t="str">
        <f>IF(OR(E1964="",E1964="!!!",F1964="NEW"),"",COUNTBLANK(OFFSET(A$1,,,SUMPRODUCT(MAX(ROW(E$2:E1964)*(E1964=E$2:E1964)))))-COUNTBLANK(OFFSET(A$1,,,SUMPRODUCT(MAX(ROW(E$1:E1963)*(E2=E$1:E1963))))))</f>
        <v> </v>
      </c>
      <c r="K1964" s="25" t="str">
        <f>IF(OR(E1964="",E1964="!!!",F1964="NEW"),"",INDEX(J$1:J1963,SUMPRODUCT(MAX(ROW(E$1:E1963)*(E1964=E$1:E1963)))))</f>
        <v> </v>
      </c>
      <c r="L1964" s="26"/>
    </row>
    <row r="1965" spans="1:12">
      <c r="A1965" s="20" t="s">
        <v>658</v>
      </c>
      <c r="E1965" s="21">
        <f>IF(D1965="?OLD","!!!","")</f>
        <v/>
      </c>
      <c r="F1965" s="22" t="str">
        <f>IF(OR(E1965="",E1965="!!!"),"",IF(NOT(ISNA(VLOOKUP(E1965,E$1:E1964,1,FALSE()))),"OLD",IF(AND(E1965&lt;&gt;"",E1965&lt;&gt;"!!!"),"NEW","")))</f>
        <v> </v>
      </c>
      <c r="G1965" s="23" t="str">
        <f>IF(OR(E1965="",E1965="!!!"),"",IF(OR(J1965=0,AND(J1965=1,K1965=1),AND(J1965=1,I1965="SBJ"),AND(J1965=1,I1965=0)),"?IN_FOCUS",IF(J1965&lt;=2,"?ACTIVATED",IF(J1965&lt;&gt;"","?FAMILIAR",IF(F1965="NEW",IF(ISNA(VLOOKUP(E1965,#REF!,1,FALSE())),"?TYPE_IDENTIFIABLE","?REFERENTIAL"),"_")))))</f>
        <v> </v>
      </c>
      <c r="H1965" s="24" t="str">
        <f>IF(J1965&lt;&gt;1,"",IF(I1965="SBJ","CB","?"))</f>
        <v> </v>
      </c>
      <c r="I1965" s="25" t="str">
        <f>IF(OR(E1965="",E1965="!!!",F1965="NEW"),"",INDEX(B1964:B$2,-1+SUMPRODUCT(MAX(ROW(E1964:E$2)*(E1965=E1964:E$2)))))</f>
        <v> </v>
      </c>
      <c r="J1965" s="25" t="str">
        <f>IF(OR(E1965="",E1965="!!!",F1965="NEW"),"",COUNTBLANK(OFFSET(A$1,,,SUMPRODUCT(MAX(ROW(E$2:E1965)*(E1965=E$2:E1965)))))-COUNTBLANK(OFFSET(A$1,,,SUMPRODUCT(MAX(ROW(E$1:E1964)*(E2=E$1:E1964))))))</f>
        <v> </v>
      </c>
      <c r="K1965" s="25" t="str">
        <f>IF(OR(E1965="",E1965="!!!",F1965="NEW"),"",INDEX(J$1:J1964,SUMPRODUCT(MAX(ROW(E$1:E1964)*(E1965=E$1:E1964)))))</f>
        <v> </v>
      </c>
      <c r="L1965" s="26"/>
    </row>
    <row r="1966" spans="1:12">
      <c r="A1966" s="20" t="s">
        <v>1353</v>
      </c>
      <c r="E1966" s="21">
        <f>IF(D1966="?OLD","!!!","")</f>
        <v/>
      </c>
      <c r="F1966" s="22" t="str">
        <f>IF(OR(E1966="",E1966="!!!"),"",IF(NOT(ISNA(VLOOKUP(E1966,E$1:E1965,1,FALSE()))),"OLD",IF(AND(E1966&lt;&gt;"",E1966&lt;&gt;"!!!"),"NEW","")))</f>
        <v> </v>
      </c>
      <c r="G1966" s="23" t="str">
        <f>IF(OR(E1966="",E1966="!!!"),"",IF(OR(J1966=0,AND(J1966=1,K1966=1),AND(J1966=1,I1966="SBJ"),AND(J1966=1,I1966=0)),"?IN_FOCUS",IF(J1966&lt;=2,"?ACTIVATED",IF(J1966&lt;&gt;"","?FAMILIAR",IF(F1966="NEW",IF(ISNA(VLOOKUP(E1966,#REF!,1,FALSE())),"?TYPE_IDENTIFIABLE","?REFERENTIAL"),"_")))))</f>
        <v> </v>
      </c>
      <c r="H1966" s="24" t="str">
        <f>IF(J1966&lt;&gt;1,"",IF(I1966="SBJ","CB","?"))</f>
        <v> </v>
      </c>
      <c r="I1966" s="25" t="str">
        <f>IF(OR(E1966="",E1966="!!!",F1966="NEW"),"",INDEX(B1965:B$2,-1+SUMPRODUCT(MAX(ROW(E1965:E$2)*(E1966=E1965:E$2)))))</f>
        <v> </v>
      </c>
      <c r="J1966" s="25" t="str">
        <f>IF(OR(E1966="",E1966="!!!",F1966="NEW"),"",COUNTBLANK(OFFSET(A$1,,,SUMPRODUCT(MAX(ROW(E$2:E1966)*(E1966=E$2:E1966)))))-COUNTBLANK(OFFSET(A$1,,,SUMPRODUCT(MAX(ROW(E$1:E1965)*(E2=E$1:E1965))))))</f>
        <v> </v>
      </c>
      <c r="K1966" s="25" t="str">
        <f>IF(OR(E1966="",E1966="!!!",F1966="NEW"),"",INDEX(J$1:J1965,SUMPRODUCT(MAX(ROW(E$1:E1965)*(E1966=E$1:E1965)))))</f>
        <v> </v>
      </c>
      <c r="L1966" s="26"/>
    </row>
    <row r="1967" spans="1:12">
      <c r="A1967" s="20" t="s">
        <v>1354</v>
      </c>
      <c r="B1967" s="27" t="s">
        <v>606</v>
      </c>
      <c r="C1967" s="27" t="s">
        <v>607</v>
      </c>
      <c r="D1967" s="27" t="s">
        <v>608</v>
      </c>
      <c r="E1967" s="21">
        <f>IF(D1967="?OLD","!!!","")</f>
        <v/>
      </c>
      <c r="F1967" s="22" t="str">
        <f>IF(OR(E1967="",E1967="!!!"),"",IF(NOT(ISNA(VLOOKUP(E1967,E$1:E1966,1,FALSE()))),"OLD",IF(AND(E1967&lt;&gt;"",E1967&lt;&gt;"!!!"),"NEW","")))</f>
        <v> </v>
      </c>
      <c r="G1967" s="23" t="str">
        <f>IF(OR(E1967="",E1967="!!!"),"",IF(OR(J1967=0,AND(J1967=1,K1967=1),AND(J1967=1,I1967="SBJ"),AND(J1967=1,I1967=0)),"?IN_FOCUS",IF(J1967&lt;=2,"?ACTIVATED",IF(J1967&lt;&gt;"","?FAMILIAR",IF(F1967="NEW",IF(ISNA(VLOOKUP(E1967,#REF!,1,FALSE())),"?TYPE_IDENTIFIABLE","?REFERENTIAL"),"_")))))</f>
        <v> </v>
      </c>
      <c r="H1967" s="24" t="str">
        <f>IF(J1967&lt;&gt;1,"",IF(I1967="SBJ","CB","?"))</f>
        <v> </v>
      </c>
      <c r="I1967" s="25" t="str">
        <f>IF(OR(E1967="",E1967="!!!",F1967="NEW"),"",INDEX(B1966:B$2,-1+SUMPRODUCT(MAX(ROW(E1966:E$2)*(E1967=E1966:E$2)))))</f>
        <v> </v>
      </c>
      <c r="J1967" s="25" t="str">
        <f>IF(OR(E1967="",E1967="!!!",F1967="NEW"),"",COUNTBLANK(OFFSET(A$1,,,SUMPRODUCT(MAX(ROW(E$2:E1967)*(E1967=E$2:E1967)))))-COUNTBLANK(OFFSET(A$1,,,SUMPRODUCT(MAX(ROW(E$1:E1966)*(E2=E$1:E1966))))))</f>
        <v> </v>
      </c>
      <c r="K1967" s="25" t="str">
        <f>IF(OR(E1967="",E1967="!!!",F1967="NEW"),"",INDEX(J$1:J1966,SUMPRODUCT(MAX(ROW(E$1:E1966)*(E1967=E$1:E1966)))))</f>
        <v> </v>
      </c>
      <c r="L1967" s="26"/>
    </row>
    <row r="1968" spans="1:12">
      <c r="A1968" s="20" t="s">
        <v>633</v>
      </c>
      <c r="E1968" s="21">
        <f>IF(D1968="?OLD","!!!","")</f>
        <v/>
      </c>
      <c r="F1968" s="22" t="str">
        <f>IF(OR(E1968="",E1968="!!!"),"",IF(NOT(ISNA(VLOOKUP(E1968,E$1:E1967,1,FALSE()))),"OLD",IF(AND(E1968&lt;&gt;"",E1968&lt;&gt;"!!!"),"NEW","")))</f>
        <v> </v>
      </c>
      <c r="G1968" s="23" t="str">
        <f>IF(OR(E1968="",E1968="!!!"),"",IF(OR(J1968=0,AND(J1968=1,K1968=1),AND(J1968=1,I1968="SBJ"),AND(J1968=1,I1968=0)),"?IN_FOCUS",IF(J1968&lt;=2,"?ACTIVATED",IF(J1968&lt;&gt;"","?FAMILIAR",IF(F1968="NEW",IF(ISNA(VLOOKUP(E1968,#REF!,1,FALSE())),"?TYPE_IDENTIFIABLE","?REFERENTIAL"),"_")))))</f>
        <v> </v>
      </c>
      <c r="H1968" s="24" t="str">
        <f>IF(J1968&lt;&gt;1,"",IF(I1968="SBJ","CB","?"))</f>
        <v> </v>
      </c>
      <c r="I1968" s="25" t="str">
        <f>IF(OR(E1968="",E1968="!!!",F1968="NEW"),"",INDEX(B1967:B$2,-1+SUMPRODUCT(MAX(ROW(E1967:E$2)*(E1968=E1967:E$2)))))</f>
        <v> </v>
      </c>
      <c r="J1968" s="25" t="str">
        <f>IF(OR(E1968="",E1968="!!!",F1968="NEW"),"",COUNTBLANK(OFFSET(A$1,,,SUMPRODUCT(MAX(ROW(E$2:E1968)*(E1968=E$2:E1968)))))-COUNTBLANK(OFFSET(A$1,,,SUMPRODUCT(MAX(ROW(E$1:E1967)*(E2=E$1:E1967))))))</f>
        <v> </v>
      </c>
      <c r="K1968" s="25" t="str">
        <f>IF(OR(E1968="",E1968="!!!",F1968="NEW"),"",INDEX(J$1:J1967,SUMPRODUCT(MAX(ROW(E$1:E1967)*(E1968=E$1:E1967)))))</f>
        <v> </v>
      </c>
      <c r="L1968" s="26"/>
    </row>
    <row r="1969" spans="1:12">
      <c r="A1969" s="20"/>
    </row>
    <row r="1970" spans="1:12">
      <c r="A1970" s="20" t="s">
        <v>1355</v>
      </c>
    </row>
    <row r="1971" spans="1:12">
      <c r="A1971" s="20" t="s">
        <v>933</v>
      </c>
      <c r="B1971" s="27" t="s">
        <v>636</v>
      </c>
      <c r="C1971" s="27" t="s">
        <v>637</v>
      </c>
      <c r="D1971" s="27" t="s">
        <v>608</v>
      </c>
      <c r="E1971" s="21">
        <f>IF(D1971="?OLD","!!!","")</f>
        <v/>
      </c>
      <c r="F1971" s="22" t="str">
        <f>IF(OR(E1971="",E1971="!!!"),"",IF(NOT(ISNA(VLOOKUP(E1971,E$1:E1970,1,FALSE()))),"OLD",IF(AND(E1971&lt;&gt;"",E1971&lt;&gt;"!!!"),"NEW","")))</f>
        <v> </v>
      </c>
      <c r="G1971" s="23" t="str">
        <f>IF(OR(E1971="",E1971="!!!"),"",IF(OR(J1971=0,AND(J1971=1,K1971=1),AND(J1971=1,I1971="SBJ"),AND(J1971=1,I1971=0)),"?IN_FOCUS",IF(J1971&lt;=2,"?ACTIVATED",IF(J1971&lt;&gt;"","?FAMILIAR",IF(F1971="NEW",IF(ISNA(VLOOKUP(E1971,#REF!,1,FALSE())),"?TYPE_IDENTIFIABLE","?REFERENTIAL"),"_")))))</f>
        <v> </v>
      </c>
      <c r="H1971" s="24" t="str">
        <f>IF(J1971&lt;&gt;1,"",IF(I1971="SBJ","CB","?"))</f>
        <v> </v>
      </c>
      <c r="I1971" s="25" t="str">
        <f>IF(OR(E1971="",E1971="!!!",F1971="NEW"),"",INDEX(B1970:B$2,-1+SUMPRODUCT(MAX(ROW(E1970:E$2)*(E1971=E1970:E$2)))))</f>
        <v> </v>
      </c>
      <c r="J1971" s="25" t="str">
        <f>IF(OR(E1971="",E1971="!!!",F1971="NEW"),"",COUNTBLANK(OFFSET(A$1,,,SUMPRODUCT(MAX(ROW(E$2:E1971)*(E1971=E$2:E1971)))))-COUNTBLANK(OFFSET(A$1,,,SUMPRODUCT(MAX(ROW(E$1:E1970)*(E2=E$1:E1970))))))</f>
        <v> </v>
      </c>
      <c r="K1971" s="25" t="str">
        <f>IF(OR(E1971="",E1971="!!!",F1971="NEW"),"",INDEX(J$1:J1970,SUMPRODUCT(MAX(ROW(E$1:E1970)*(E1971=E$1:E1970)))))</f>
        <v> </v>
      </c>
      <c r="L1971" s="26"/>
    </row>
    <row r="1972" spans="1:12">
      <c r="A1972" s="20" t="s">
        <v>712</v>
      </c>
      <c r="E1972" s="21">
        <f>IF(D1972="?OLD","!!!","")</f>
        <v/>
      </c>
      <c r="F1972" s="22" t="str">
        <f>IF(OR(E1972="",E1972="!!!"),"",IF(NOT(ISNA(VLOOKUP(E1972,E$1:E1971,1,FALSE()))),"OLD",IF(AND(E1972&lt;&gt;"",E1972&lt;&gt;"!!!"),"NEW","")))</f>
        <v> </v>
      </c>
      <c r="G1972" s="23" t="str">
        <f>IF(OR(E1972="",E1972="!!!"),"",IF(OR(J1972=0,AND(J1972=1,K1972=1),AND(J1972=1,I1972="SBJ"),AND(J1972=1,I1972=0)),"?IN_FOCUS",IF(J1972&lt;=2,"?ACTIVATED",IF(J1972&lt;&gt;"","?FAMILIAR",IF(F1972="NEW",IF(ISNA(VLOOKUP(E1972,#REF!,1,FALSE())),"?TYPE_IDENTIFIABLE","?REFERENTIAL"),"_")))))</f>
        <v> </v>
      </c>
      <c r="H1972" s="24" t="str">
        <f>IF(J1972&lt;&gt;1,"",IF(I1972="SBJ","CB","?"))</f>
        <v> </v>
      </c>
      <c r="I1972" s="25" t="str">
        <f>IF(OR(E1972="",E1972="!!!",F1972="NEW"),"",INDEX(B1971:B$2,-1+SUMPRODUCT(MAX(ROW(E1971:E$2)*(E1972=E1971:E$2)))))</f>
        <v> </v>
      </c>
      <c r="J1972" s="25" t="str">
        <f>IF(OR(E1972="",E1972="!!!",F1972="NEW"),"",COUNTBLANK(OFFSET(A$1,,,SUMPRODUCT(MAX(ROW(E$2:E1972)*(E1972=E$2:E1972)))))-COUNTBLANK(OFFSET(A$1,,,SUMPRODUCT(MAX(ROW(E$1:E1971)*(E2=E$1:E1971))))))</f>
        <v> </v>
      </c>
      <c r="K1972" s="25" t="str">
        <f>IF(OR(E1972="",E1972="!!!",F1972="NEW"),"",INDEX(J$1:J1971,SUMPRODUCT(MAX(ROW(E$1:E1971)*(E1972=E$1:E1971)))))</f>
        <v> </v>
      </c>
      <c r="L1972" s="26"/>
    </row>
    <row r="1973" spans="1:12">
      <c r="A1973" s="20" t="s">
        <v>690</v>
      </c>
      <c r="E1973" s="21">
        <f>IF(D1973="?OLD","!!!","")</f>
        <v/>
      </c>
      <c r="F1973" s="22" t="str">
        <f>IF(OR(E1973="",E1973="!!!"),"",IF(NOT(ISNA(VLOOKUP(E1973,E$1:E1972,1,FALSE()))),"OLD",IF(AND(E1973&lt;&gt;"",E1973&lt;&gt;"!!!"),"NEW","")))</f>
        <v> </v>
      </c>
      <c r="G1973" s="23" t="str">
        <f>IF(OR(E1973="",E1973="!!!"),"",IF(OR(J1973=0,AND(J1973=1,K1973=1),AND(J1973=1,I1973="SBJ"),AND(J1973=1,I1973=0)),"?IN_FOCUS",IF(J1973&lt;=2,"?ACTIVATED",IF(J1973&lt;&gt;"","?FAMILIAR",IF(F1973="NEW",IF(ISNA(VLOOKUP(E1973,#REF!,1,FALSE())),"?TYPE_IDENTIFIABLE","?REFERENTIAL"),"_")))))</f>
        <v> </v>
      </c>
      <c r="H1973" s="24" t="str">
        <f>IF(J1973&lt;&gt;1,"",IF(I1973="SBJ","CB","?"))</f>
        <v> </v>
      </c>
      <c r="I1973" s="25" t="str">
        <f>IF(OR(E1973="",E1973="!!!",F1973="NEW"),"",INDEX(B1972:B$2,-1+SUMPRODUCT(MAX(ROW(E1972:E$2)*(E1973=E1972:E$2)))))</f>
        <v> </v>
      </c>
      <c r="J1973" s="25" t="str">
        <f>IF(OR(E1973="",E1973="!!!",F1973="NEW"),"",COUNTBLANK(OFFSET(A$1,,,SUMPRODUCT(MAX(ROW(E$2:E1973)*(E1973=E$2:E1973)))))-COUNTBLANK(OFFSET(A$1,,,SUMPRODUCT(MAX(ROW(E$1:E1972)*(E2=E$1:E1972))))))</f>
        <v> </v>
      </c>
      <c r="K1973" s="25" t="str">
        <f>IF(OR(E1973="",E1973="!!!",F1973="NEW"),"",INDEX(J$1:J1972,SUMPRODUCT(MAX(ROW(E$1:E1972)*(E1973=E$1:E1972)))))</f>
        <v> </v>
      </c>
      <c r="L1973" s="26"/>
    </row>
    <row r="1974" spans="1:12">
      <c r="A1974" s="20" t="s">
        <v>1356</v>
      </c>
      <c r="B1974" s="27" t="s">
        <v>606</v>
      </c>
      <c r="C1974" s="27" t="s">
        <v>750</v>
      </c>
      <c r="D1974" s="27" t="s">
        <v>608</v>
      </c>
      <c r="E1974" s="21">
        <f>IF(D1974="?OLD","!!!","")</f>
        <v/>
      </c>
      <c r="F1974" s="22" t="str">
        <f>IF(OR(E1974="",E1974="!!!"),"",IF(NOT(ISNA(VLOOKUP(E1974,E$1:E1973,1,FALSE()))),"OLD",IF(AND(E1974&lt;&gt;"",E1974&lt;&gt;"!!!"),"NEW","")))</f>
        <v> </v>
      </c>
      <c r="G1974" s="23" t="str">
        <f>IF(OR(E1974="",E1974="!!!"),"",IF(OR(J1974=0,AND(J1974=1,K1974=1),AND(J1974=1,I1974="SBJ"),AND(J1974=1,I1974=0)),"?IN_FOCUS",IF(J1974&lt;=2,"?ACTIVATED",IF(J1974&lt;&gt;"","?FAMILIAR",IF(F1974="NEW",IF(ISNA(VLOOKUP(E1974,#REF!,1,FALSE())),"?TYPE_IDENTIFIABLE","?REFERENTIAL"),"_")))))</f>
        <v> </v>
      </c>
      <c r="H1974" s="24" t="str">
        <f>IF(J1974&lt;&gt;1,"",IF(I1974="SBJ","CB","?"))</f>
        <v> </v>
      </c>
      <c r="I1974" s="25" t="str">
        <f>IF(OR(E1974="",E1974="!!!",F1974="NEW"),"",INDEX(B1973:B$2,-1+SUMPRODUCT(MAX(ROW(E1973:E$2)*(E1974=E1973:E$2)))))</f>
        <v> </v>
      </c>
      <c r="J1974" s="25" t="str">
        <f>IF(OR(E1974="",E1974="!!!",F1974="NEW"),"",COUNTBLANK(OFFSET(A$1,,,SUMPRODUCT(MAX(ROW(E$2:E1974)*(E1974=E$2:E1974)))))-COUNTBLANK(OFFSET(A$1,,,SUMPRODUCT(MAX(ROW(E$1:E1973)*(E2=E$1:E1973))))))</f>
        <v> </v>
      </c>
      <c r="K1974" s="25" t="str">
        <f>IF(OR(E1974="",E1974="!!!",F1974="NEW"),"",INDEX(J$1:J1973,SUMPRODUCT(MAX(ROW(E$1:E1973)*(E1974=E$1:E1973)))))</f>
        <v> </v>
      </c>
      <c r="L1974" s="26"/>
    </row>
    <row r="1975" spans="1:12">
      <c r="A1975" s="20" t="s">
        <v>966</v>
      </c>
      <c r="E1975" s="21">
        <f>IF(D1975="?OLD","!!!","")</f>
        <v/>
      </c>
      <c r="F1975" s="22" t="str">
        <f>IF(OR(E1975="",E1975="!!!"),"",IF(NOT(ISNA(VLOOKUP(E1975,E$1:E1974,1,FALSE()))),"OLD",IF(AND(E1975&lt;&gt;"",E1975&lt;&gt;"!!!"),"NEW","")))</f>
        <v> </v>
      </c>
      <c r="G1975" s="23" t="str">
        <f>IF(OR(E1975="",E1975="!!!"),"",IF(OR(J1975=0,AND(J1975=1,K1975=1),AND(J1975=1,I1975="SBJ"),AND(J1975=1,I1975=0)),"?IN_FOCUS",IF(J1975&lt;=2,"?ACTIVATED",IF(J1975&lt;&gt;"","?FAMILIAR",IF(F1975="NEW",IF(ISNA(VLOOKUP(E1975,#REF!,1,FALSE())),"?TYPE_IDENTIFIABLE","?REFERENTIAL"),"_")))))</f>
        <v> </v>
      </c>
      <c r="H1975" s="24" t="str">
        <f>IF(J1975&lt;&gt;1,"",IF(I1975="SBJ","CB","?"))</f>
        <v> </v>
      </c>
      <c r="I1975" s="25" t="str">
        <f>IF(OR(E1975="",E1975="!!!",F1975="NEW"),"",INDEX(B1974:B$2,-1+SUMPRODUCT(MAX(ROW(E1974:E$2)*(E1975=E1974:E$2)))))</f>
        <v> </v>
      </c>
      <c r="J1975" s="25" t="str">
        <f>IF(OR(E1975="",E1975="!!!",F1975="NEW"),"",COUNTBLANK(OFFSET(A$1,,,SUMPRODUCT(MAX(ROW(E$2:E1975)*(E1975=E$2:E1975)))))-COUNTBLANK(OFFSET(A$1,,,SUMPRODUCT(MAX(ROW(E$1:E1974)*(E2=E$1:E1974))))))</f>
        <v> </v>
      </c>
      <c r="K1975" s="25" t="str">
        <f>IF(OR(E1975="",E1975="!!!",F1975="NEW"),"",INDEX(J$1:J1974,SUMPRODUCT(MAX(ROW(E$1:E1974)*(E1975=E$1:E1974)))))</f>
        <v> </v>
      </c>
      <c r="L1975" s="26"/>
    </row>
    <row r="1976" spans="1:12">
      <c r="A1976" s="20" t="s">
        <v>1357</v>
      </c>
      <c r="B1976" s="27" t="s">
        <v>606</v>
      </c>
      <c r="C1976" s="27" t="s">
        <v>631</v>
      </c>
      <c r="D1976" s="27" t="s">
        <v>608</v>
      </c>
      <c r="E1976" s="21">
        <f>IF(D1976="?OLD","!!!","")</f>
        <v/>
      </c>
      <c r="F1976" s="22" t="str">
        <f>IF(OR(E1976="",E1976="!!!"),"",IF(NOT(ISNA(VLOOKUP(E1976,E$1:E1975,1,FALSE()))),"OLD",IF(AND(E1976&lt;&gt;"",E1976&lt;&gt;"!!!"),"NEW","")))</f>
        <v> </v>
      </c>
      <c r="G1976" s="23" t="str">
        <f>IF(OR(E1976="",E1976="!!!"),"",IF(OR(J1976=0,AND(J1976=1,K1976=1),AND(J1976=1,I1976="SBJ"),AND(J1976=1,I1976=0)),"?IN_FOCUS",IF(J1976&lt;=2,"?ACTIVATED",IF(J1976&lt;&gt;"","?FAMILIAR",IF(F1976="NEW",IF(ISNA(VLOOKUP(E1976,#REF!,1,FALSE())),"?TYPE_IDENTIFIABLE","?REFERENTIAL"),"_")))))</f>
        <v> </v>
      </c>
      <c r="H1976" s="24" t="str">
        <f>IF(J1976&lt;&gt;1,"",IF(I1976="SBJ","CB","?"))</f>
        <v> </v>
      </c>
      <c r="I1976" s="25" t="str">
        <f>IF(OR(E1976="",E1976="!!!",F1976="NEW"),"",INDEX(B1975:B$2,-1+SUMPRODUCT(MAX(ROW(E1975:E$2)*(E1976=E1975:E$2)))))</f>
        <v> </v>
      </c>
      <c r="J1976" s="25" t="str">
        <f>IF(OR(E1976="",E1976="!!!",F1976="NEW"),"",COUNTBLANK(OFFSET(A$1,,,SUMPRODUCT(MAX(ROW(E$2:E1976)*(E1976=E$2:E1976)))))-COUNTBLANK(OFFSET(A$1,,,SUMPRODUCT(MAX(ROW(E$1:E1975)*(E2=E$1:E1975))))))</f>
        <v> </v>
      </c>
      <c r="K1976" s="25" t="str">
        <f>IF(OR(E1976="",E1976="!!!",F1976="NEW"),"",INDEX(J$1:J1975,SUMPRODUCT(MAX(ROW(E$1:E1975)*(E1976=E$1:E1975)))))</f>
        <v> </v>
      </c>
      <c r="L1976" s="26"/>
    </row>
    <row r="1977" spans="1:12">
      <c r="A1977" s="20" t="s">
        <v>1358</v>
      </c>
      <c r="B1977" s="27" t="s">
        <v>611</v>
      </c>
      <c r="C1977" s="27" t="s">
        <v>631</v>
      </c>
      <c r="D1977" s="27" t="s">
        <v>608</v>
      </c>
      <c r="E1977" s="21">
        <f>IF(D1977="?OLD","!!!","")</f>
        <v/>
      </c>
      <c r="F1977" s="22" t="str">
        <f>IF(OR(E1977="",E1977="!!!"),"",IF(NOT(ISNA(VLOOKUP(E1977,E$1:E1976,1,FALSE()))),"OLD",IF(AND(E1977&lt;&gt;"",E1977&lt;&gt;"!!!"),"NEW","")))</f>
        <v> </v>
      </c>
      <c r="G1977" s="23" t="str">
        <f>IF(OR(E1977="",E1977="!!!"),"",IF(OR(J1977=0,AND(J1977=1,K1977=1),AND(J1977=1,I1977="SBJ"),AND(J1977=1,I1977=0)),"?IN_FOCUS",IF(J1977&lt;=2,"?ACTIVATED",IF(J1977&lt;&gt;"","?FAMILIAR",IF(F1977="NEW",IF(ISNA(VLOOKUP(E1977,#REF!,1,FALSE())),"?TYPE_IDENTIFIABLE","?REFERENTIAL"),"_")))))</f>
        <v> </v>
      </c>
      <c r="H1977" s="24" t="str">
        <f>IF(J1977&lt;&gt;1,"",IF(I1977="SBJ","CB","?"))</f>
        <v> </v>
      </c>
      <c r="I1977" s="25" t="str">
        <f>IF(OR(E1977="",E1977="!!!",F1977="NEW"),"",INDEX(B1976:B$2,-1+SUMPRODUCT(MAX(ROW(E1976:E$2)*(E1977=E1976:E$2)))))</f>
        <v> </v>
      </c>
      <c r="J1977" s="25" t="str">
        <f>IF(OR(E1977="",E1977="!!!",F1977="NEW"),"",COUNTBLANK(OFFSET(A$1,,,SUMPRODUCT(MAX(ROW(E$2:E1977)*(E1977=E$2:E1977)))))-COUNTBLANK(OFFSET(A$1,,,SUMPRODUCT(MAX(ROW(E$1:E1976)*(E2=E$1:E1976))))))</f>
        <v> </v>
      </c>
      <c r="K1977" s="25" t="str">
        <f>IF(OR(E1977="",E1977="!!!",F1977="NEW"),"",INDEX(J$1:J1976,SUMPRODUCT(MAX(ROW(E$1:E1976)*(E1977=E$1:E1976)))))</f>
        <v> </v>
      </c>
      <c r="L1977" s="26"/>
    </row>
    <row r="1978" spans="1:12">
      <c r="A1978" s="20" t="s">
        <v>633</v>
      </c>
      <c r="E1978" s="21">
        <f>IF(D1978="?OLD","!!!","")</f>
        <v/>
      </c>
      <c r="F1978" s="22" t="str">
        <f>IF(OR(E1978="",E1978="!!!"),"",IF(NOT(ISNA(VLOOKUP(E1978,E$1:E1977,1,FALSE()))),"OLD",IF(AND(E1978&lt;&gt;"",E1978&lt;&gt;"!!!"),"NEW","")))</f>
        <v> </v>
      </c>
      <c r="G1978" s="23" t="str">
        <f>IF(OR(E1978="",E1978="!!!"),"",IF(OR(J1978=0,AND(J1978=1,K1978=1),AND(J1978=1,I1978="SBJ"),AND(J1978=1,I1978=0)),"?IN_FOCUS",IF(J1978&lt;=2,"?ACTIVATED",IF(J1978&lt;&gt;"","?FAMILIAR",IF(F1978="NEW",IF(ISNA(VLOOKUP(E1978,#REF!,1,FALSE())),"?TYPE_IDENTIFIABLE","?REFERENTIAL"),"_")))))</f>
        <v> </v>
      </c>
      <c r="H1978" s="24" t="str">
        <f>IF(J1978&lt;&gt;1,"",IF(I1978="SBJ","CB","?"))</f>
        <v> </v>
      </c>
      <c r="I1978" s="25" t="str">
        <f>IF(OR(E1978="",E1978="!!!",F1978="NEW"),"",INDEX(B1977:B$2,-1+SUMPRODUCT(MAX(ROW(E1977:E$2)*(E1978=E1977:E$2)))))</f>
        <v> </v>
      </c>
      <c r="J1978" s="25" t="str">
        <f>IF(OR(E1978="",E1978="!!!",F1978="NEW"),"",COUNTBLANK(OFFSET(A$1,,,SUMPRODUCT(MAX(ROW(E$2:E1978)*(E1978=E$2:E1978)))))-COUNTBLANK(OFFSET(A$1,,,SUMPRODUCT(MAX(ROW(E$1:E1977)*(E2=E$1:E1977))))))</f>
        <v> </v>
      </c>
      <c r="K1978" s="25" t="str">
        <f>IF(OR(E1978="",E1978="!!!",F1978="NEW"),"",INDEX(J$1:J1977,SUMPRODUCT(MAX(ROW(E$1:E1977)*(E1978=E$1:E1977)))))</f>
        <v> </v>
      </c>
      <c r="L1978" s="26"/>
    </row>
    <row r="1979" spans="1:12">
      <c r="A1979" s="20"/>
    </row>
    <row r="1980" spans="1:12">
      <c r="A1980" s="20" t="s">
        <v>1359</v>
      </c>
    </row>
    <row r="1981" spans="1:12">
      <c r="A1981" s="20" t="s">
        <v>661</v>
      </c>
      <c r="E1981" s="21">
        <f>IF(D1981="?OLD","!!!","")</f>
        <v/>
      </c>
      <c r="F1981" s="22" t="str">
        <f>IF(OR(E1981="",E1981="!!!"),"",IF(NOT(ISNA(VLOOKUP(E1981,E$1:E1980,1,FALSE()))),"OLD",IF(AND(E1981&lt;&gt;"",E1981&lt;&gt;"!!!"),"NEW","")))</f>
        <v> </v>
      </c>
      <c r="G1981" s="23" t="str">
        <f>IF(OR(E1981="",E1981="!!!"),"",IF(OR(J1981=0,AND(J1981=1,K1981=1),AND(J1981=1,I1981="SBJ"),AND(J1981=1,I1981=0)),"?IN_FOCUS",IF(J1981&lt;=2,"?ACTIVATED",IF(J1981&lt;&gt;"","?FAMILIAR",IF(F1981="NEW",IF(ISNA(VLOOKUP(E1981,#REF!,1,FALSE())),"?TYPE_IDENTIFIABLE","?REFERENTIAL"),"_")))))</f>
        <v> </v>
      </c>
      <c r="H1981" s="24" t="str">
        <f>IF(J1981&lt;&gt;1,"",IF(I1981="SBJ","CB","?"))</f>
        <v> </v>
      </c>
      <c r="I1981" s="25" t="str">
        <f>IF(OR(E1981="",E1981="!!!",F1981="NEW"),"",INDEX(B1980:B$2,-1+SUMPRODUCT(MAX(ROW(E1980:E$2)*(E1981=E1980:E$2)))))</f>
        <v> </v>
      </c>
      <c r="J1981" s="25" t="str">
        <f>IF(OR(E1981="",E1981="!!!",F1981="NEW"),"",COUNTBLANK(OFFSET(A$1,,,SUMPRODUCT(MAX(ROW(E$2:E1981)*(E1981=E$2:E1981)))))-COUNTBLANK(OFFSET(A$1,,,SUMPRODUCT(MAX(ROW(E$1:E1980)*(E2=E$1:E1980))))))</f>
        <v> </v>
      </c>
      <c r="K1981" s="25" t="str">
        <f>IF(OR(E1981="",E1981="!!!",F1981="NEW"),"",INDEX(J$1:J1980,SUMPRODUCT(MAX(ROW(E$1:E1980)*(E1981=E$1:E1980)))))</f>
        <v> </v>
      </c>
      <c r="L1981" s="26"/>
    </row>
    <row r="1982" spans="1:12">
      <c r="A1982" s="20" t="s">
        <v>1006</v>
      </c>
      <c r="B1982" s="27" t="s">
        <v>611</v>
      </c>
      <c r="C1982" s="27" t="s">
        <v>614</v>
      </c>
      <c r="D1982" s="27" t="s">
        <v>608</v>
      </c>
      <c r="E1982" s="21">
        <f>IF(D1982="?OLD","!!!","")</f>
        <v/>
      </c>
      <c r="F1982" s="22" t="str">
        <f>IF(OR(E1982="",E1982="!!!"),"",IF(NOT(ISNA(VLOOKUP(E1982,E$1:E1981,1,FALSE()))),"OLD",IF(AND(E1982&lt;&gt;"",E1982&lt;&gt;"!!!"),"NEW","")))</f>
        <v> </v>
      </c>
      <c r="G1982" s="23" t="str">
        <f>IF(OR(E1982="",E1982="!!!"),"",IF(OR(J1982=0,AND(J1982=1,K1982=1),AND(J1982=1,I1982="SBJ"),AND(J1982=1,I1982=0)),"?IN_FOCUS",IF(J1982&lt;=2,"?ACTIVATED",IF(J1982&lt;&gt;"","?FAMILIAR",IF(F1982="NEW",IF(ISNA(VLOOKUP(E1982,#REF!,1,FALSE())),"?TYPE_IDENTIFIABLE","?REFERENTIAL"),"_")))))</f>
        <v> </v>
      </c>
      <c r="H1982" s="24" t="str">
        <f>IF(J1982&lt;&gt;1,"",IF(I1982="SBJ","CB","?"))</f>
        <v> </v>
      </c>
      <c r="I1982" s="25" t="str">
        <f>IF(OR(E1982="",E1982="!!!",F1982="NEW"),"",INDEX(B1981:B$2,-1+SUMPRODUCT(MAX(ROW(E1981:E$2)*(E1982=E1981:E$2)))))</f>
        <v> </v>
      </c>
      <c r="J1982" s="25" t="str">
        <f>IF(OR(E1982="",E1982="!!!",F1982="NEW"),"",COUNTBLANK(OFFSET(A$1,,,SUMPRODUCT(MAX(ROW(E$2:E1982)*(E1982=E$2:E1982)))))-COUNTBLANK(OFFSET(A$1,,,SUMPRODUCT(MAX(ROW(E$1:E1981)*(E2=E$1:E1981))))))</f>
        <v> </v>
      </c>
      <c r="K1982" s="25" t="str">
        <f>IF(OR(E1982="",E1982="!!!",F1982="NEW"),"",INDEX(J$1:J1981,SUMPRODUCT(MAX(ROW(E$1:E1981)*(E1982=E$1:E1981)))))</f>
        <v> </v>
      </c>
      <c r="L1982" s="26"/>
    </row>
    <row r="1983" spans="1:12">
      <c r="A1983" s="20" t="s">
        <v>1360</v>
      </c>
      <c r="B1983" s="27" t="s">
        <v>636</v>
      </c>
      <c r="C1983" s="27" t="s">
        <v>616</v>
      </c>
      <c r="D1983" s="27" t="s">
        <v>608</v>
      </c>
      <c r="E1983" s="21">
        <f>IF(D1983="?OLD","!!!","")</f>
        <v/>
      </c>
      <c r="F1983" s="22" t="str">
        <f>IF(OR(E1983="",E1983="!!!"),"",IF(NOT(ISNA(VLOOKUP(E1983,E$1:E1982,1,FALSE()))),"OLD",IF(AND(E1983&lt;&gt;"",E1983&lt;&gt;"!!!"),"NEW","")))</f>
        <v> </v>
      </c>
      <c r="G1983" s="23" t="str">
        <f>IF(OR(E1983="",E1983="!!!"),"",IF(OR(J1983=0,AND(J1983=1,K1983=1),AND(J1983=1,I1983="SBJ"),AND(J1983=1,I1983=0)),"?IN_FOCUS",IF(J1983&lt;=2,"?ACTIVATED",IF(J1983&lt;&gt;"","?FAMILIAR",IF(F1983="NEW",IF(ISNA(VLOOKUP(E1983,#REF!,1,FALSE())),"?TYPE_IDENTIFIABLE","?REFERENTIAL"),"_")))))</f>
        <v> </v>
      </c>
      <c r="H1983" s="24" t="str">
        <f>IF(J1983&lt;&gt;1,"",IF(I1983="SBJ","CB","?"))</f>
        <v> </v>
      </c>
      <c r="I1983" s="25" t="str">
        <f>IF(OR(E1983="",E1983="!!!",F1983="NEW"),"",INDEX(B1982:B$2,-1+SUMPRODUCT(MAX(ROW(E1982:E$2)*(E1983=E1982:E$2)))))</f>
        <v> </v>
      </c>
      <c r="J1983" s="25" t="str">
        <f>IF(OR(E1983="",E1983="!!!",F1983="NEW"),"",COUNTBLANK(OFFSET(A$1,,,SUMPRODUCT(MAX(ROW(E$2:E1983)*(E1983=E$2:E1983)))))-COUNTBLANK(OFFSET(A$1,,,SUMPRODUCT(MAX(ROW(E$1:E1982)*(E2=E$1:E1982))))))</f>
        <v> </v>
      </c>
      <c r="K1983" s="25" t="str">
        <f>IF(OR(E1983="",E1983="!!!",F1983="NEW"),"",INDEX(J$1:J1982,SUMPRODUCT(MAX(ROW(E$1:E1982)*(E1983=E$1:E1982)))))</f>
        <v> </v>
      </c>
      <c r="L1983" s="26"/>
    </row>
    <row r="1984" spans="1:12">
      <c r="A1984" s="20" t="s">
        <v>1361</v>
      </c>
      <c r="E1984" s="21">
        <f>IF(D1984="?OLD","!!!","")</f>
        <v/>
      </c>
      <c r="F1984" s="22" t="str">
        <f>IF(OR(E1984="",E1984="!!!"),"",IF(NOT(ISNA(VLOOKUP(E1984,E$1:E1983,1,FALSE()))),"OLD",IF(AND(E1984&lt;&gt;"",E1984&lt;&gt;"!!!"),"NEW","")))</f>
        <v> </v>
      </c>
      <c r="G1984" s="23" t="str">
        <f>IF(OR(E1984="",E1984="!!!"),"",IF(OR(J1984=0,AND(J1984=1,K1984=1),AND(J1984=1,I1984="SBJ"),AND(J1984=1,I1984=0)),"?IN_FOCUS",IF(J1984&lt;=2,"?ACTIVATED",IF(J1984&lt;&gt;"","?FAMILIAR",IF(F1984="NEW",IF(ISNA(VLOOKUP(E1984,#REF!,1,FALSE())),"?TYPE_IDENTIFIABLE","?REFERENTIAL"),"_")))))</f>
        <v> </v>
      </c>
      <c r="H1984" s="24" t="str">
        <f>IF(J1984&lt;&gt;1,"",IF(I1984="SBJ","CB","?"))</f>
        <v> </v>
      </c>
      <c r="I1984" s="25" t="str">
        <f>IF(OR(E1984="",E1984="!!!",F1984="NEW"),"",INDEX(B1983:B$2,-1+SUMPRODUCT(MAX(ROW(E1983:E$2)*(E1984=E1983:E$2)))))</f>
        <v> </v>
      </c>
      <c r="J1984" s="25" t="str">
        <f>IF(OR(E1984="",E1984="!!!",F1984="NEW"),"",COUNTBLANK(OFFSET(A$1,,,SUMPRODUCT(MAX(ROW(E$2:E1984)*(E1984=E$2:E1984)))))-COUNTBLANK(OFFSET(A$1,,,SUMPRODUCT(MAX(ROW(E$1:E1983)*(E2=E$1:E1983))))))</f>
        <v> </v>
      </c>
      <c r="K1984" s="25" t="str">
        <f>IF(OR(E1984="",E1984="!!!",F1984="NEW"),"",INDEX(J$1:J1983,SUMPRODUCT(MAX(ROW(E$1:E1983)*(E1984=E$1:E1983)))))</f>
        <v> </v>
      </c>
      <c r="L1984" s="26"/>
    </row>
    <row r="1985" spans="1:12">
      <c r="A1985" s="20" t="s">
        <v>618</v>
      </c>
      <c r="E1985" s="21">
        <f>IF(D1985="?OLD","!!!","")</f>
        <v/>
      </c>
      <c r="F1985" s="22" t="str">
        <f>IF(OR(E1985="",E1985="!!!"),"",IF(NOT(ISNA(VLOOKUP(E1985,E$1:E1984,1,FALSE()))),"OLD",IF(AND(E1985&lt;&gt;"",E1985&lt;&gt;"!!!"),"NEW","")))</f>
        <v> </v>
      </c>
      <c r="G1985" s="23" t="str">
        <f>IF(OR(E1985="",E1985="!!!"),"",IF(OR(J1985=0,AND(J1985=1,K1985=1),AND(J1985=1,I1985="SBJ"),AND(J1985=1,I1985=0)),"?IN_FOCUS",IF(J1985&lt;=2,"?ACTIVATED",IF(J1985&lt;&gt;"","?FAMILIAR",IF(F1985="NEW",IF(ISNA(VLOOKUP(E1985,#REF!,1,FALSE())),"?TYPE_IDENTIFIABLE","?REFERENTIAL"),"_")))))</f>
        <v> </v>
      </c>
      <c r="H1985" s="24" t="str">
        <f>IF(J1985&lt;&gt;1,"",IF(I1985="SBJ","CB","?"))</f>
        <v> </v>
      </c>
      <c r="I1985" s="25" t="str">
        <f>IF(OR(E1985="",E1985="!!!",F1985="NEW"),"",INDEX(B1984:B$2,-1+SUMPRODUCT(MAX(ROW(E1984:E$2)*(E1985=E1984:E$2)))))</f>
        <v> </v>
      </c>
      <c r="J1985" s="25" t="str">
        <f>IF(OR(E1985="",E1985="!!!",F1985="NEW"),"",COUNTBLANK(OFFSET(A$1,,,SUMPRODUCT(MAX(ROW(E$2:E1985)*(E1985=E$2:E1985)))))-COUNTBLANK(OFFSET(A$1,,,SUMPRODUCT(MAX(ROW(E$1:E1984)*(E2=E$1:E1984))))))</f>
        <v> </v>
      </c>
      <c r="K1985" s="25" t="str">
        <f>IF(OR(E1985="",E1985="!!!",F1985="NEW"),"",INDEX(J$1:J1984,SUMPRODUCT(MAX(ROW(E$1:E1984)*(E1985=E$1:E1984)))))</f>
        <v> </v>
      </c>
      <c r="L1985" s="26"/>
    </row>
    <row r="1986" spans="1:12">
      <c r="A1986" s="20" t="s">
        <v>1062</v>
      </c>
      <c r="E1986" s="21">
        <f>IF(D1986="?OLD","!!!","")</f>
        <v/>
      </c>
      <c r="F1986" s="22" t="str">
        <f>IF(OR(E1986="",E1986="!!!"),"",IF(NOT(ISNA(VLOOKUP(E1986,E$1:E1985,1,FALSE()))),"OLD",IF(AND(E1986&lt;&gt;"",E1986&lt;&gt;"!!!"),"NEW","")))</f>
        <v> </v>
      </c>
      <c r="G1986" s="23" t="str">
        <f>IF(OR(E1986="",E1986="!!!"),"",IF(OR(J1986=0,AND(J1986=1,K1986=1),AND(J1986=1,I1986="SBJ"),AND(J1986=1,I1986=0)),"?IN_FOCUS",IF(J1986&lt;=2,"?ACTIVATED",IF(J1986&lt;&gt;"","?FAMILIAR",IF(F1986="NEW",IF(ISNA(VLOOKUP(E1986,#REF!,1,FALSE())),"?TYPE_IDENTIFIABLE","?REFERENTIAL"),"_")))))</f>
        <v> </v>
      </c>
      <c r="H1986" s="24" t="str">
        <f>IF(J1986&lt;&gt;1,"",IF(I1986="SBJ","CB","?"))</f>
        <v> </v>
      </c>
      <c r="I1986" s="25" t="str">
        <f>IF(OR(E1986="",E1986="!!!",F1986="NEW"),"",INDEX(B1985:B$2,-1+SUMPRODUCT(MAX(ROW(E1985:E$2)*(E1986=E1985:E$2)))))</f>
        <v> </v>
      </c>
      <c r="J1986" s="25" t="str">
        <f>IF(OR(E1986="",E1986="!!!",F1986="NEW"),"",COUNTBLANK(OFFSET(A$1,,,SUMPRODUCT(MAX(ROW(E$2:E1986)*(E1986=E$2:E1986)))))-COUNTBLANK(OFFSET(A$1,,,SUMPRODUCT(MAX(ROW(E$1:E1985)*(E2=E$1:E1985))))))</f>
        <v> </v>
      </c>
      <c r="K1986" s="25" t="str">
        <f>IF(OR(E1986="",E1986="!!!",F1986="NEW"),"",INDEX(J$1:J1985,SUMPRODUCT(MAX(ROW(E$1:E1985)*(E1986=E$1:E1985)))))</f>
        <v> </v>
      </c>
      <c r="L1986" s="26"/>
    </row>
    <row r="1987" spans="1:12">
      <c r="A1987" s="20" t="s">
        <v>187</v>
      </c>
      <c r="B1987" s="27" t="s">
        <v>653</v>
      </c>
      <c r="C1987" s="27" t="s">
        <v>607</v>
      </c>
      <c r="D1987" s="27" t="s">
        <v>608</v>
      </c>
      <c r="E1987" s="21">
        <f>IF(D1987="?OLD","!!!","")</f>
        <v/>
      </c>
      <c r="F1987" s="22" t="str">
        <f>IF(OR(E1987="",E1987="!!!"),"",IF(NOT(ISNA(VLOOKUP(E1987,E$1:E1986,1,FALSE()))),"OLD",IF(AND(E1987&lt;&gt;"",E1987&lt;&gt;"!!!"),"NEW","")))</f>
        <v> </v>
      </c>
      <c r="G1987" s="23" t="str">
        <f>IF(OR(E1987="",E1987="!!!"),"",IF(OR(J1987=0,AND(J1987=1,K1987=1),AND(J1987=1,I1987="SBJ"),AND(J1987=1,I1987=0)),"?IN_FOCUS",IF(J1987&lt;=2,"?ACTIVATED",IF(J1987&lt;&gt;"","?FAMILIAR",IF(F1987="NEW",IF(ISNA(VLOOKUP(E1987,#REF!,1,FALSE())),"?TYPE_IDENTIFIABLE","?REFERENTIAL"),"_")))))</f>
        <v> </v>
      </c>
      <c r="H1987" s="24" t="str">
        <f>IF(J1987&lt;&gt;1,"",IF(I1987="SBJ","CB","?"))</f>
        <v> </v>
      </c>
      <c r="I1987" s="25" t="str">
        <f>IF(OR(E1987="",E1987="!!!",F1987="NEW"),"",INDEX(B1986:B$2,-1+SUMPRODUCT(MAX(ROW(E1986:E$2)*(E1987=E1986:E$2)))))</f>
        <v> </v>
      </c>
      <c r="J1987" s="25" t="str">
        <f>IF(OR(E1987="",E1987="!!!",F1987="NEW"),"",COUNTBLANK(OFFSET(A$1,,,SUMPRODUCT(MAX(ROW(E$2:E1987)*(E1987=E$2:E1987)))))-COUNTBLANK(OFFSET(A$1,,,SUMPRODUCT(MAX(ROW(E$1:E1986)*(E2=E$1:E1986))))))</f>
        <v> </v>
      </c>
      <c r="K1987" s="25" t="str">
        <f>IF(OR(E1987="",E1987="!!!",F1987="NEW"),"",INDEX(J$1:J1986,SUMPRODUCT(MAX(ROW(E$1:E1986)*(E1987=E$1:E1986)))))</f>
        <v> </v>
      </c>
      <c r="L1987" s="26"/>
    </row>
    <row r="1988" spans="1:12">
      <c r="A1988" s="20" t="s">
        <v>823</v>
      </c>
      <c r="E1988" s="21">
        <f>IF(D1988="?OLD","!!!","")</f>
        <v/>
      </c>
      <c r="F1988" s="22" t="str">
        <f>IF(OR(E1988="",E1988="!!!"),"",IF(NOT(ISNA(VLOOKUP(E1988,E$1:E1987,1,FALSE()))),"OLD",IF(AND(E1988&lt;&gt;"",E1988&lt;&gt;"!!!"),"NEW","")))</f>
        <v> </v>
      </c>
      <c r="G1988" s="23" t="str">
        <f>IF(OR(E1988="",E1988="!!!"),"",IF(OR(J1988=0,AND(J1988=1,K1988=1),AND(J1988=1,I1988="SBJ"),AND(J1988=1,I1988=0)),"?IN_FOCUS",IF(J1988&lt;=2,"?ACTIVATED",IF(J1988&lt;&gt;"","?FAMILIAR",IF(F1988="NEW",IF(ISNA(VLOOKUP(E1988,#REF!,1,FALSE())),"?TYPE_IDENTIFIABLE","?REFERENTIAL"),"_")))))</f>
        <v> </v>
      </c>
      <c r="H1988" s="24" t="str">
        <f>IF(J1988&lt;&gt;1,"",IF(I1988="SBJ","CB","?"))</f>
        <v> </v>
      </c>
      <c r="I1988" s="25" t="str">
        <f>IF(OR(E1988="",E1988="!!!",F1988="NEW"),"",INDEX(B1987:B$2,-1+SUMPRODUCT(MAX(ROW(E1987:E$2)*(E1988=E1987:E$2)))))</f>
        <v> </v>
      </c>
      <c r="J1988" s="25" t="str">
        <f>IF(OR(E1988="",E1988="!!!",F1988="NEW"),"",COUNTBLANK(OFFSET(A$1,,,SUMPRODUCT(MAX(ROW(E$2:E1988)*(E1988=E$2:E1988)))))-COUNTBLANK(OFFSET(A$1,,,SUMPRODUCT(MAX(ROW(E$1:E1987)*(E2=E$1:E1987))))))</f>
        <v> </v>
      </c>
      <c r="K1988" s="25" t="str">
        <f>IF(OR(E1988="",E1988="!!!",F1988="NEW"),"",INDEX(J$1:J1987,SUMPRODUCT(MAX(ROW(E$1:E1987)*(E1988=E$1:E1987)))))</f>
        <v> </v>
      </c>
      <c r="L1988" s="26"/>
    </row>
    <row r="1989" spans="1:12">
      <c r="A1989" s="20" t="s">
        <v>1362</v>
      </c>
      <c r="E1989" s="21">
        <f>IF(D1989="?OLD","!!!","")</f>
        <v/>
      </c>
      <c r="F1989" s="22" t="str">
        <f>IF(OR(E1989="",E1989="!!!"),"",IF(NOT(ISNA(VLOOKUP(E1989,E$1:E1988,1,FALSE()))),"OLD",IF(AND(E1989&lt;&gt;"",E1989&lt;&gt;"!!!"),"NEW","")))</f>
        <v> </v>
      </c>
      <c r="G1989" s="23" t="str">
        <f>IF(OR(E1989="",E1989="!!!"),"",IF(OR(J1989=0,AND(J1989=1,K1989=1),AND(J1989=1,I1989="SBJ"),AND(J1989=1,I1989=0)),"?IN_FOCUS",IF(J1989&lt;=2,"?ACTIVATED",IF(J1989&lt;&gt;"","?FAMILIAR",IF(F1989="NEW",IF(ISNA(VLOOKUP(E1989,#REF!,1,FALSE())),"?TYPE_IDENTIFIABLE","?REFERENTIAL"),"_")))))</f>
        <v> </v>
      </c>
      <c r="H1989" s="24" t="str">
        <f>IF(J1989&lt;&gt;1,"",IF(I1989="SBJ","CB","?"))</f>
        <v> </v>
      </c>
      <c r="I1989" s="25" t="str">
        <f>IF(OR(E1989="",E1989="!!!",F1989="NEW"),"",INDEX(B1988:B$2,-1+SUMPRODUCT(MAX(ROW(E1988:E$2)*(E1989=E1988:E$2)))))</f>
        <v> </v>
      </c>
      <c r="J1989" s="25" t="str">
        <f>IF(OR(E1989="",E1989="!!!",F1989="NEW"),"",COUNTBLANK(OFFSET(A$1,,,SUMPRODUCT(MAX(ROW(E$2:E1989)*(E1989=E$2:E1989)))))-COUNTBLANK(OFFSET(A$1,,,SUMPRODUCT(MAX(ROW(E$1:E1988)*(E2=E$1:E1988))))))</f>
        <v> </v>
      </c>
      <c r="K1989" s="25" t="str">
        <f>IF(OR(E1989="",E1989="!!!",F1989="NEW"),"",INDEX(J$1:J1988,SUMPRODUCT(MAX(ROW(E$1:E1988)*(E1989=E$1:E1988)))))</f>
        <v> </v>
      </c>
      <c r="L1989" s="26"/>
    </row>
    <row r="1990" spans="1:12">
      <c r="A1990" s="20" t="s">
        <v>633</v>
      </c>
      <c r="E1990" s="21">
        <f>IF(D1990="?OLD","!!!","")</f>
        <v/>
      </c>
      <c r="F1990" s="22" t="str">
        <f>IF(OR(E1990="",E1990="!!!"),"",IF(NOT(ISNA(VLOOKUP(E1990,E$1:E1989,1,FALSE()))),"OLD",IF(AND(E1990&lt;&gt;"",E1990&lt;&gt;"!!!"),"NEW","")))</f>
        <v> </v>
      </c>
      <c r="G1990" s="23" t="str">
        <f>IF(OR(E1990="",E1990="!!!"),"",IF(OR(J1990=0,AND(J1990=1,K1990=1),AND(J1990=1,I1990="SBJ"),AND(J1990=1,I1990=0)),"?IN_FOCUS",IF(J1990&lt;=2,"?ACTIVATED",IF(J1990&lt;&gt;"","?FAMILIAR",IF(F1990="NEW",IF(ISNA(VLOOKUP(E1990,#REF!,1,FALSE())),"?TYPE_IDENTIFIABLE","?REFERENTIAL"),"_")))))</f>
        <v> </v>
      </c>
      <c r="H1990" s="24" t="str">
        <f>IF(J1990&lt;&gt;1,"",IF(I1990="SBJ","CB","?"))</f>
        <v> </v>
      </c>
      <c r="I1990" s="25" t="str">
        <f>IF(OR(E1990="",E1990="!!!",F1990="NEW"),"",INDEX(B1989:B$2,-1+SUMPRODUCT(MAX(ROW(E1989:E$2)*(E1990=E1989:E$2)))))</f>
        <v> </v>
      </c>
      <c r="J1990" s="25" t="str">
        <f>IF(OR(E1990="",E1990="!!!",F1990="NEW"),"",COUNTBLANK(OFFSET(A$1,,,SUMPRODUCT(MAX(ROW(E$2:E1990)*(E1990=E$2:E1990)))))-COUNTBLANK(OFFSET(A$1,,,SUMPRODUCT(MAX(ROW(E$1:E1989)*(E2=E$1:E1989))))))</f>
        <v> </v>
      </c>
      <c r="K1990" s="25" t="str">
        <f>IF(OR(E1990="",E1990="!!!",F1990="NEW"),"",INDEX(J$1:J1989,SUMPRODUCT(MAX(ROW(E$1:E1989)*(E1990=E$1:E1989)))))</f>
        <v> </v>
      </c>
      <c r="L1990" s="26"/>
    </row>
    <row r="1991" spans="1:12">
      <c r="A1991" s="20"/>
    </row>
    <row r="1992" spans="1:12">
      <c r="A1992" s="20" t="s">
        <v>1363</v>
      </c>
    </row>
    <row r="1993" spans="1:12">
      <c r="A1993" s="20" t="s">
        <v>635</v>
      </c>
      <c r="B1993" s="27" t="s">
        <v>636</v>
      </c>
      <c r="C1993" s="27" t="s">
        <v>637</v>
      </c>
      <c r="D1993" s="27" t="s">
        <v>608</v>
      </c>
      <c r="E1993" s="21">
        <f>IF(D1993="?OLD","!!!","")</f>
        <v/>
      </c>
      <c r="F1993" s="22" t="str">
        <f>IF(OR(E1993="",E1993="!!!"),"",IF(NOT(ISNA(VLOOKUP(E1993,E$1:E1992,1,FALSE()))),"OLD",IF(AND(E1993&lt;&gt;"",E1993&lt;&gt;"!!!"),"NEW","")))</f>
        <v> </v>
      </c>
      <c r="G1993" s="23" t="str">
        <f>IF(OR(E1993="",E1993="!!!"),"",IF(OR(J1993=0,AND(J1993=1,K1993=1),AND(J1993=1,I1993="SBJ"),AND(J1993=1,I1993=0)),"?IN_FOCUS",IF(J1993&lt;=2,"?ACTIVATED",IF(J1993&lt;&gt;"","?FAMILIAR",IF(F1993="NEW",IF(ISNA(VLOOKUP(E1993,#REF!,1,FALSE())),"?TYPE_IDENTIFIABLE","?REFERENTIAL"),"_")))))</f>
        <v> </v>
      </c>
      <c r="H1993" s="24" t="str">
        <f>IF(J1993&lt;&gt;1,"",IF(I1993="SBJ","CB","?"))</f>
        <v> </v>
      </c>
      <c r="I1993" s="25" t="str">
        <f>IF(OR(E1993="",E1993="!!!",F1993="NEW"),"",INDEX(B1992:B$2,-1+SUMPRODUCT(MAX(ROW(E1992:E$2)*(E1993=E1992:E$2)))))</f>
        <v> </v>
      </c>
      <c r="J1993" s="25" t="str">
        <f>IF(OR(E1993="",E1993="!!!",F1993="NEW"),"",COUNTBLANK(OFFSET(A$1,,,SUMPRODUCT(MAX(ROW(E$2:E1993)*(E1993=E$2:E1993)))))-COUNTBLANK(OFFSET(A$1,,,SUMPRODUCT(MAX(ROW(E$1:E1992)*(E2=E$1:E1992))))))</f>
        <v> </v>
      </c>
      <c r="K1993" s="25" t="str">
        <f>IF(OR(E1993="",E1993="!!!",F1993="NEW"),"",INDEX(J$1:J1992,SUMPRODUCT(MAX(ROW(E$1:E1992)*(E1993=E$1:E1992)))))</f>
        <v> </v>
      </c>
      <c r="L1993" s="26"/>
    </row>
    <row r="1994" spans="1:12">
      <c r="A1994" s="20" t="s">
        <v>1364</v>
      </c>
      <c r="E1994" s="21">
        <f>IF(D1994="?OLD","!!!","")</f>
        <v/>
      </c>
      <c r="F1994" s="22" t="str">
        <f>IF(OR(E1994="",E1994="!!!"),"",IF(NOT(ISNA(VLOOKUP(E1994,E$1:E1993,1,FALSE()))),"OLD",IF(AND(E1994&lt;&gt;"",E1994&lt;&gt;"!!!"),"NEW","")))</f>
        <v> </v>
      </c>
      <c r="G1994" s="23" t="str">
        <f>IF(OR(E1994="",E1994="!!!"),"",IF(OR(J1994=0,AND(J1994=1,K1994=1),AND(J1994=1,I1994="SBJ"),AND(J1994=1,I1994=0)),"?IN_FOCUS",IF(J1994&lt;=2,"?ACTIVATED",IF(J1994&lt;&gt;"","?FAMILIAR",IF(F1994="NEW",IF(ISNA(VLOOKUP(E1994,#REF!,1,FALSE())),"?TYPE_IDENTIFIABLE","?REFERENTIAL"),"_")))))</f>
        <v> </v>
      </c>
      <c r="H1994" s="24" t="str">
        <f>IF(J1994&lt;&gt;1,"",IF(I1994="SBJ","CB","?"))</f>
        <v> </v>
      </c>
      <c r="I1994" s="25" t="str">
        <f>IF(OR(E1994="",E1994="!!!",F1994="NEW"),"",INDEX(B1993:B$2,-1+SUMPRODUCT(MAX(ROW(E1993:E$2)*(E1994=E1993:E$2)))))</f>
        <v> </v>
      </c>
      <c r="J1994" s="25" t="str">
        <f>IF(OR(E1994="",E1994="!!!",F1994="NEW"),"",COUNTBLANK(OFFSET(A$1,,,SUMPRODUCT(MAX(ROW(E$2:E1994)*(E1994=E$2:E1994)))))-COUNTBLANK(OFFSET(A$1,,,SUMPRODUCT(MAX(ROW(E$1:E1993)*(E2=E$1:E1993))))))</f>
        <v> </v>
      </c>
      <c r="K1994" s="25" t="str">
        <f>IF(OR(E1994="",E1994="!!!",F1994="NEW"),"",INDEX(J$1:J1993,SUMPRODUCT(MAX(ROW(E$1:E1993)*(E1994=E$1:E1993)))))</f>
        <v> </v>
      </c>
      <c r="L1994" s="26"/>
    </row>
    <row r="1995" spans="1:12">
      <c r="A1995" s="20" t="s">
        <v>617</v>
      </c>
      <c r="E1995" s="21">
        <f>IF(D1995="?OLD","!!!","")</f>
        <v/>
      </c>
      <c r="F1995" s="22" t="str">
        <f>IF(OR(E1995="",E1995="!!!"),"",IF(NOT(ISNA(VLOOKUP(E1995,E$1:E1994,1,FALSE()))),"OLD",IF(AND(E1995&lt;&gt;"",E1995&lt;&gt;"!!!"),"NEW","")))</f>
        <v> </v>
      </c>
      <c r="G1995" s="23" t="str">
        <f>IF(OR(E1995="",E1995="!!!"),"",IF(OR(J1995=0,AND(J1995=1,K1995=1),AND(J1995=1,I1995="SBJ"),AND(J1995=1,I1995=0)),"?IN_FOCUS",IF(J1995&lt;=2,"?ACTIVATED",IF(J1995&lt;&gt;"","?FAMILIAR",IF(F1995="NEW",IF(ISNA(VLOOKUP(E1995,#REF!,1,FALSE())),"?TYPE_IDENTIFIABLE","?REFERENTIAL"),"_")))))</f>
        <v> </v>
      </c>
      <c r="H1995" s="24" t="str">
        <f>IF(J1995&lt;&gt;1,"",IF(I1995="SBJ","CB","?"))</f>
        <v> </v>
      </c>
      <c r="I1995" s="25" t="str">
        <f>IF(OR(E1995="",E1995="!!!",F1995="NEW"),"",INDEX(B1994:B$2,-1+SUMPRODUCT(MAX(ROW(E1994:E$2)*(E1995=E1994:E$2)))))</f>
        <v> </v>
      </c>
      <c r="J1995" s="25" t="str">
        <f>IF(OR(E1995="",E1995="!!!",F1995="NEW"),"",COUNTBLANK(OFFSET(A$1,,,SUMPRODUCT(MAX(ROW(E$2:E1995)*(E1995=E$2:E1995)))))-COUNTBLANK(OFFSET(A$1,,,SUMPRODUCT(MAX(ROW(E$1:E1994)*(E2=E$1:E1994))))))</f>
        <v> </v>
      </c>
      <c r="K1995" s="25" t="str">
        <f>IF(OR(E1995="",E1995="!!!",F1995="NEW"),"",INDEX(J$1:J1994,SUMPRODUCT(MAX(ROW(E$1:E1994)*(E1995=E$1:E1994)))))</f>
        <v> </v>
      </c>
      <c r="L1995" s="26"/>
    </row>
    <row r="1996" spans="1:12">
      <c r="A1996" s="20" t="s">
        <v>736</v>
      </c>
      <c r="E1996" s="21">
        <f>IF(D1996="?OLD","!!!","")</f>
        <v/>
      </c>
      <c r="F1996" s="22" t="str">
        <f>IF(OR(E1996="",E1996="!!!"),"",IF(NOT(ISNA(VLOOKUP(E1996,E$1:E1995,1,FALSE()))),"OLD",IF(AND(E1996&lt;&gt;"",E1996&lt;&gt;"!!!"),"NEW","")))</f>
        <v> </v>
      </c>
      <c r="G1996" s="23" t="str">
        <f>IF(OR(E1996="",E1996="!!!"),"",IF(OR(J1996=0,AND(J1996=1,K1996=1),AND(J1996=1,I1996="SBJ"),AND(J1996=1,I1996=0)),"?IN_FOCUS",IF(J1996&lt;=2,"?ACTIVATED",IF(J1996&lt;&gt;"","?FAMILIAR",IF(F1996="NEW",IF(ISNA(VLOOKUP(E1996,#REF!,1,FALSE())),"?TYPE_IDENTIFIABLE","?REFERENTIAL"),"_")))))</f>
        <v> </v>
      </c>
      <c r="H1996" s="24" t="str">
        <f>IF(J1996&lt;&gt;1,"",IF(I1996="SBJ","CB","?"))</f>
        <v> </v>
      </c>
      <c r="I1996" s="25" t="str">
        <f>IF(OR(E1996="",E1996="!!!",F1996="NEW"),"",INDEX(B1995:B$2,-1+SUMPRODUCT(MAX(ROW(E1995:E$2)*(E1996=E1995:E$2)))))</f>
        <v> </v>
      </c>
      <c r="J1996" s="25" t="str">
        <f>IF(OR(E1996="",E1996="!!!",F1996="NEW"),"",COUNTBLANK(OFFSET(A$1,,,SUMPRODUCT(MAX(ROW(E$2:E1996)*(E1996=E$2:E1996)))))-COUNTBLANK(OFFSET(A$1,,,SUMPRODUCT(MAX(ROW(E$1:E1995)*(E2=E$1:E1995))))))</f>
        <v> </v>
      </c>
      <c r="K1996" s="25" t="str">
        <f>IF(OR(E1996="",E1996="!!!",F1996="NEW"),"",INDEX(J$1:J1995,SUMPRODUCT(MAX(ROW(E$1:E1995)*(E1996=E$1:E1995)))))</f>
        <v> </v>
      </c>
      <c r="L1996" s="26"/>
    </row>
    <row r="1997" spans="1:12">
      <c r="A1997" s="20" t="s">
        <v>807</v>
      </c>
      <c r="B1997" s="27" t="s">
        <v>619</v>
      </c>
      <c r="C1997" s="27" t="s">
        <v>652</v>
      </c>
      <c r="D1997" s="27" t="s">
        <v>608</v>
      </c>
      <c r="E1997" s="21">
        <f>IF(D1997="?OLD","!!!","")</f>
        <v/>
      </c>
      <c r="F1997" s="22" t="str">
        <f>IF(OR(E1997="",E1997="!!!"),"",IF(NOT(ISNA(VLOOKUP(E1997,E$1:E1996,1,FALSE()))),"OLD",IF(AND(E1997&lt;&gt;"",E1997&lt;&gt;"!!!"),"NEW","")))</f>
        <v> </v>
      </c>
      <c r="G1997" s="23" t="str">
        <f>IF(OR(E1997="",E1997="!!!"),"",IF(OR(J1997=0,AND(J1997=1,K1997=1),AND(J1997=1,I1997="SBJ"),AND(J1997=1,I1997=0)),"?IN_FOCUS",IF(J1997&lt;=2,"?ACTIVATED",IF(J1997&lt;&gt;"","?FAMILIAR",IF(F1997="NEW",IF(ISNA(VLOOKUP(E1997,#REF!,1,FALSE())),"?TYPE_IDENTIFIABLE","?REFERENTIAL"),"_")))))</f>
        <v> </v>
      </c>
      <c r="H1997" s="24" t="str">
        <f>IF(J1997&lt;&gt;1,"",IF(I1997="SBJ","CB","?"))</f>
        <v> </v>
      </c>
      <c r="I1997" s="25" t="str">
        <f>IF(OR(E1997="",E1997="!!!",F1997="NEW"),"",INDEX(B1996:B$2,-1+SUMPRODUCT(MAX(ROW(E1996:E$2)*(E1997=E1996:E$2)))))</f>
        <v> </v>
      </c>
      <c r="J1997" s="25" t="str">
        <f>IF(OR(E1997="",E1997="!!!",F1997="NEW"),"",COUNTBLANK(OFFSET(A$1,,,SUMPRODUCT(MAX(ROW(E$2:E1997)*(E1997=E$2:E1997)))))-COUNTBLANK(OFFSET(A$1,,,SUMPRODUCT(MAX(ROW(E$1:E1996)*(E2=E$1:E1996))))))</f>
        <v> </v>
      </c>
      <c r="K1997" s="25" t="str">
        <f>IF(OR(E1997="",E1997="!!!",F1997="NEW"),"",INDEX(J$1:J1996,SUMPRODUCT(MAX(ROW(E$1:E1996)*(E1997=E$1:E1996)))))</f>
        <v> </v>
      </c>
      <c r="L1997" s="26"/>
    </row>
    <row r="1998" spans="1:12">
      <c r="A1998" s="20" t="s">
        <v>872</v>
      </c>
      <c r="B1998" s="27" t="s">
        <v>657</v>
      </c>
      <c r="E1998" s="21">
        <f>IF(D1998="?OLD","!!!","")</f>
        <v/>
      </c>
      <c r="F1998" s="22" t="str">
        <f>IF(OR(E1998="",E1998="!!!"),"",IF(NOT(ISNA(VLOOKUP(E1998,E$1:E1997,1,FALSE()))),"OLD",IF(AND(E1998&lt;&gt;"",E1998&lt;&gt;"!!!"),"NEW","")))</f>
        <v> </v>
      </c>
      <c r="G1998" s="23" t="str">
        <f>IF(OR(E1998="",E1998="!!!"),"",IF(OR(J1998=0,AND(J1998=1,K1998=1),AND(J1998=1,I1998="SBJ"),AND(J1998=1,I1998=0)),"?IN_FOCUS",IF(J1998&lt;=2,"?ACTIVATED",IF(J1998&lt;&gt;"","?FAMILIAR",IF(F1998="NEW",IF(ISNA(VLOOKUP(E1998,#REF!,1,FALSE())),"?TYPE_IDENTIFIABLE","?REFERENTIAL"),"_")))))</f>
        <v> </v>
      </c>
      <c r="H1998" s="24" t="str">
        <f>IF(J1998&lt;&gt;1,"",IF(I1998="SBJ","CB","?"))</f>
        <v> </v>
      </c>
      <c r="I1998" s="25" t="str">
        <f>IF(OR(E1998="",E1998="!!!",F1998="NEW"),"",INDEX(B1997:B$2,-1+SUMPRODUCT(MAX(ROW(E1997:E$2)*(E1998=E1997:E$2)))))</f>
        <v> </v>
      </c>
      <c r="J1998" s="25" t="str">
        <f>IF(OR(E1998="",E1998="!!!",F1998="NEW"),"",COUNTBLANK(OFFSET(A$1,,,SUMPRODUCT(MAX(ROW(E$2:E1998)*(E1998=E$2:E1998)))))-COUNTBLANK(OFFSET(A$1,,,SUMPRODUCT(MAX(ROW(E$1:E1997)*(E2=E$1:E1997))))))</f>
        <v> </v>
      </c>
      <c r="K1998" s="25" t="str">
        <f>IF(OR(E1998="",E1998="!!!",F1998="NEW"),"",INDEX(J$1:J1997,SUMPRODUCT(MAX(ROW(E$1:E1997)*(E1998=E$1:E1997)))))</f>
        <v> </v>
      </c>
      <c r="L1998" s="26"/>
    </row>
    <row r="1999" spans="1:12">
      <c r="A1999" s="20" t="s">
        <v>801</v>
      </c>
      <c r="E1999" s="21">
        <f>IF(D1999="?OLD","!!!","")</f>
        <v/>
      </c>
      <c r="F1999" s="22" t="str">
        <f>IF(OR(E1999="",E1999="!!!"),"",IF(NOT(ISNA(VLOOKUP(E1999,E$1:E1998,1,FALSE()))),"OLD",IF(AND(E1999&lt;&gt;"",E1999&lt;&gt;"!!!"),"NEW","")))</f>
        <v> </v>
      </c>
      <c r="G1999" s="23" t="str">
        <f>IF(OR(E1999="",E1999="!!!"),"",IF(OR(J1999=0,AND(J1999=1,K1999=1),AND(J1999=1,I1999="SBJ"),AND(J1999=1,I1999=0)),"?IN_FOCUS",IF(J1999&lt;=2,"?ACTIVATED",IF(J1999&lt;&gt;"","?FAMILIAR",IF(F1999="NEW",IF(ISNA(VLOOKUP(E1999,#REF!,1,FALSE())),"?TYPE_IDENTIFIABLE","?REFERENTIAL"),"_")))))</f>
        <v> </v>
      </c>
      <c r="H1999" s="24" t="str">
        <f>IF(J1999&lt;&gt;1,"",IF(I1999="SBJ","CB","?"))</f>
        <v> </v>
      </c>
      <c r="I1999" s="25" t="str">
        <f>IF(OR(E1999="",E1999="!!!",F1999="NEW"),"",INDEX(B1998:B$2,-1+SUMPRODUCT(MAX(ROW(E1998:E$2)*(E1999=E1998:E$2)))))</f>
        <v> </v>
      </c>
      <c r="J1999" s="25" t="str">
        <f>IF(OR(E1999="",E1999="!!!",F1999="NEW"),"",COUNTBLANK(OFFSET(A$1,,,SUMPRODUCT(MAX(ROW(E$2:E1999)*(E1999=E$2:E1999)))))-COUNTBLANK(OFFSET(A$1,,,SUMPRODUCT(MAX(ROW(E$1:E1998)*(E2=E$1:E1998))))))</f>
        <v> </v>
      </c>
      <c r="K1999" s="25" t="str">
        <f>IF(OR(E1999="",E1999="!!!",F1999="NEW"),"",INDEX(J$1:J1998,SUMPRODUCT(MAX(ROW(E$1:E1998)*(E1999=E$1:E1998)))))</f>
        <v> </v>
      </c>
      <c r="L1999" s="26"/>
    </row>
    <row r="2000" spans="1:12">
      <c r="A2000" s="20" t="s">
        <v>1365</v>
      </c>
      <c r="E2000" s="21">
        <f>IF(D2000="?OLD","!!!","")</f>
        <v/>
      </c>
      <c r="F2000" s="22" t="str">
        <f>IF(OR(E2000="",E2000="!!!"),"",IF(NOT(ISNA(VLOOKUP(E2000,E$1:E1999,1,FALSE()))),"OLD",IF(AND(E2000&lt;&gt;"",E2000&lt;&gt;"!!!"),"NEW","")))</f>
        <v> </v>
      </c>
      <c r="G2000" s="23" t="str">
        <f>IF(OR(E2000="",E2000="!!!"),"",IF(OR(J2000=0,AND(J2000=1,K2000=1),AND(J2000=1,I2000="SBJ"),AND(J2000=1,I2000=0)),"?IN_FOCUS",IF(J2000&lt;=2,"?ACTIVATED",IF(J2000&lt;&gt;"","?FAMILIAR",IF(F2000="NEW",IF(ISNA(VLOOKUP(E2000,#REF!,1,FALSE())),"?TYPE_IDENTIFIABLE","?REFERENTIAL"),"_")))))</f>
        <v> </v>
      </c>
      <c r="H2000" s="24" t="str">
        <f>IF(J2000&lt;&gt;1,"",IF(I2000="SBJ","CB","?"))</f>
        <v> </v>
      </c>
      <c r="I2000" s="25" t="str">
        <f>IF(OR(E2000="",E2000="!!!",F2000="NEW"),"",INDEX(B1999:B$2,-1+SUMPRODUCT(MAX(ROW(E1999:E$2)*(E2000=E1999:E$2)))))</f>
        <v> </v>
      </c>
      <c r="J2000" s="25" t="str">
        <f>IF(OR(E2000="",E2000="!!!",F2000="NEW"),"",COUNTBLANK(OFFSET(A$1,,,SUMPRODUCT(MAX(ROW(E$2:E2000)*(E2000=E$2:E2000)))))-COUNTBLANK(OFFSET(A$1,,,SUMPRODUCT(MAX(ROW(E$1:E1999)*(E2=E$1:E1999))))))</f>
        <v> </v>
      </c>
      <c r="K2000" s="25" t="str">
        <f>IF(OR(E2000="",E2000="!!!",F2000="NEW"),"",INDEX(J$1:J1999,SUMPRODUCT(MAX(ROW(E$1:E1999)*(E2000=E$1:E1999)))))</f>
        <v> </v>
      </c>
      <c r="L2000" s="26"/>
    </row>
    <row r="2001" spans="1:12">
      <c r="A2001" s="20" t="s">
        <v>617</v>
      </c>
      <c r="E2001" s="21">
        <f>IF(D2001="?OLD","!!!","")</f>
        <v/>
      </c>
      <c r="F2001" s="22" t="str">
        <f>IF(OR(E2001="",E2001="!!!"),"",IF(NOT(ISNA(VLOOKUP(E2001,E$1:E2000,1,FALSE()))),"OLD",IF(AND(E2001&lt;&gt;"",E2001&lt;&gt;"!!!"),"NEW","")))</f>
        <v> </v>
      </c>
      <c r="G2001" s="23" t="str">
        <f>IF(OR(E2001="",E2001="!!!"),"",IF(OR(J2001=0,AND(J2001=1,K2001=1),AND(J2001=1,I2001="SBJ"),AND(J2001=1,I2001=0)),"?IN_FOCUS",IF(J2001&lt;=2,"?ACTIVATED",IF(J2001&lt;&gt;"","?FAMILIAR",IF(F2001="NEW",IF(ISNA(VLOOKUP(E2001,#REF!,1,FALSE())),"?TYPE_IDENTIFIABLE","?REFERENTIAL"),"_")))))</f>
        <v> </v>
      </c>
      <c r="H2001" s="24" t="str">
        <f>IF(J2001&lt;&gt;1,"",IF(I2001="SBJ","CB","?"))</f>
        <v> </v>
      </c>
      <c r="I2001" s="25" t="str">
        <f>IF(OR(E2001="",E2001="!!!",F2001="NEW"),"",INDEX(B2000:B$2,-1+SUMPRODUCT(MAX(ROW(E2000:E$2)*(E2001=E2000:E$2)))))</f>
        <v> </v>
      </c>
      <c r="J2001" s="25" t="str">
        <f>IF(OR(E2001="",E2001="!!!",F2001="NEW"),"",COUNTBLANK(OFFSET(A$1,,,SUMPRODUCT(MAX(ROW(E$2:E2001)*(E2001=E$2:E2001)))))-COUNTBLANK(OFFSET(A$1,,,SUMPRODUCT(MAX(ROW(E$1:E2000)*(E2=E$1:E2000))))))</f>
        <v> </v>
      </c>
      <c r="K2001" s="25" t="str">
        <f>IF(OR(E2001="",E2001="!!!",F2001="NEW"),"",INDEX(J$1:J2000,SUMPRODUCT(MAX(ROW(E$1:E2000)*(E2001=E$1:E2000)))))</f>
        <v> </v>
      </c>
      <c r="L2001" s="26"/>
    </row>
    <row r="2002" spans="1:12">
      <c r="A2002" s="20" t="s">
        <v>1366</v>
      </c>
      <c r="E2002" s="21">
        <f>IF(D2002="?OLD","!!!","")</f>
        <v/>
      </c>
      <c r="F2002" s="22" t="str">
        <f>IF(OR(E2002="",E2002="!!!"),"",IF(NOT(ISNA(VLOOKUP(E2002,E$1:E2001,1,FALSE()))),"OLD",IF(AND(E2002&lt;&gt;"",E2002&lt;&gt;"!!!"),"NEW","")))</f>
        <v> </v>
      </c>
      <c r="G2002" s="23" t="str">
        <f>IF(OR(E2002="",E2002="!!!"),"",IF(OR(J2002=0,AND(J2002=1,K2002=1),AND(J2002=1,I2002="SBJ"),AND(J2002=1,I2002=0)),"?IN_FOCUS",IF(J2002&lt;=2,"?ACTIVATED",IF(J2002&lt;&gt;"","?FAMILIAR",IF(F2002="NEW",IF(ISNA(VLOOKUP(E2002,#REF!,1,FALSE())),"?TYPE_IDENTIFIABLE","?REFERENTIAL"),"_")))))</f>
        <v> </v>
      </c>
      <c r="H2002" s="24" t="str">
        <f>IF(J2002&lt;&gt;1,"",IF(I2002="SBJ","CB","?"))</f>
        <v> </v>
      </c>
      <c r="I2002" s="25" t="str">
        <f>IF(OR(E2002="",E2002="!!!",F2002="NEW"),"",INDEX(B2001:B$2,-1+SUMPRODUCT(MAX(ROW(E2001:E$2)*(E2002=E2001:E$2)))))</f>
        <v> </v>
      </c>
      <c r="J2002" s="25" t="str">
        <f>IF(OR(E2002="",E2002="!!!",F2002="NEW"),"",COUNTBLANK(OFFSET(A$1,,,SUMPRODUCT(MAX(ROW(E$2:E2002)*(E2002=E$2:E2002)))))-COUNTBLANK(OFFSET(A$1,,,SUMPRODUCT(MAX(ROW(E$1:E2001)*(E2=E$1:E2001))))))</f>
        <v> </v>
      </c>
      <c r="K2002" s="25" t="str">
        <f>IF(OR(E2002="",E2002="!!!",F2002="NEW"),"",INDEX(J$1:J2001,SUMPRODUCT(MAX(ROW(E$1:E2001)*(E2002=E$1:E2001)))))</f>
        <v> </v>
      </c>
      <c r="L2002" s="26"/>
    </row>
    <row r="2003" spans="1:12">
      <c r="A2003" s="20" t="s">
        <v>1367</v>
      </c>
      <c r="E2003" s="21">
        <f>IF(D2003="?OLD","!!!","")</f>
        <v/>
      </c>
      <c r="F2003" s="22" t="str">
        <f>IF(OR(E2003="",E2003="!!!"),"",IF(NOT(ISNA(VLOOKUP(E2003,E$1:E2002,1,FALSE()))),"OLD",IF(AND(E2003&lt;&gt;"",E2003&lt;&gt;"!!!"),"NEW","")))</f>
        <v> </v>
      </c>
      <c r="G2003" s="23" t="str">
        <f>IF(OR(E2003="",E2003="!!!"),"",IF(OR(J2003=0,AND(J2003=1,K2003=1),AND(J2003=1,I2003="SBJ"),AND(J2003=1,I2003=0)),"?IN_FOCUS",IF(J2003&lt;=2,"?ACTIVATED",IF(J2003&lt;&gt;"","?FAMILIAR",IF(F2003="NEW",IF(ISNA(VLOOKUP(E2003,#REF!,1,FALSE())),"?TYPE_IDENTIFIABLE","?REFERENTIAL"),"_")))))</f>
        <v> </v>
      </c>
      <c r="H2003" s="24" t="str">
        <f>IF(J2003&lt;&gt;1,"",IF(I2003="SBJ","CB","?"))</f>
        <v> </v>
      </c>
      <c r="I2003" s="25" t="str">
        <f>IF(OR(E2003="",E2003="!!!",F2003="NEW"),"",INDEX(B2002:B$2,-1+SUMPRODUCT(MAX(ROW(E2002:E$2)*(E2003=E2002:E$2)))))</f>
        <v> </v>
      </c>
      <c r="J2003" s="25" t="str">
        <f>IF(OR(E2003="",E2003="!!!",F2003="NEW"),"",COUNTBLANK(OFFSET(A$1,,,SUMPRODUCT(MAX(ROW(E$2:E2003)*(E2003=E$2:E2003)))))-COUNTBLANK(OFFSET(A$1,,,SUMPRODUCT(MAX(ROW(E$1:E2002)*(E2=E$1:E2002))))))</f>
        <v> </v>
      </c>
      <c r="K2003" s="25" t="str">
        <f>IF(OR(E2003="",E2003="!!!",F2003="NEW"),"",INDEX(J$1:J2002,SUMPRODUCT(MAX(ROW(E$1:E2002)*(E2003=E$1:E2002)))))</f>
        <v> </v>
      </c>
      <c r="L2003" s="26"/>
    </row>
    <row r="2004" spans="1:12">
      <c r="A2004" s="20" t="s">
        <v>1368</v>
      </c>
      <c r="B2004" s="27" t="s">
        <v>611</v>
      </c>
      <c r="C2004" s="27" t="s">
        <v>622</v>
      </c>
      <c r="E2004" s="21">
        <f>IF(D2004="?OLD","!!!","")</f>
        <v/>
      </c>
      <c r="F2004" s="22" t="str">
        <f>IF(OR(E2004="",E2004="!!!"),"",IF(NOT(ISNA(VLOOKUP(E2004,E$1:E2003,1,FALSE()))),"OLD",IF(AND(E2004&lt;&gt;"",E2004&lt;&gt;"!!!"),"NEW","")))</f>
        <v> </v>
      </c>
      <c r="G2004" s="23" t="str">
        <f>IF(OR(E2004="",E2004="!!!"),"",IF(OR(J2004=0,AND(J2004=1,K2004=1),AND(J2004=1,I2004="SBJ"),AND(J2004=1,I2004=0)),"?IN_FOCUS",IF(J2004&lt;=2,"?ACTIVATED",IF(J2004&lt;&gt;"","?FAMILIAR",IF(F2004="NEW",IF(ISNA(VLOOKUP(E2004,#REF!,1,FALSE())),"?TYPE_IDENTIFIABLE","?REFERENTIAL"),"_")))))</f>
        <v> </v>
      </c>
      <c r="H2004" s="24" t="str">
        <f>IF(J2004&lt;&gt;1,"",IF(I2004="SBJ","CB","?"))</f>
        <v> </v>
      </c>
      <c r="I2004" s="25" t="str">
        <f>IF(OR(E2004="",E2004="!!!",F2004="NEW"),"",INDEX(B2003:B$2,-1+SUMPRODUCT(MAX(ROW(E2003:E$2)*(E2004=E2003:E$2)))))</f>
        <v> </v>
      </c>
      <c r="J2004" s="25" t="str">
        <f>IF(OR(E2004="",E2004="!!!",F2004="NEW"),"",COUNTBLANK(OFFSET(A$1,,,SUMPRODUCT(MAX(ROW(E$2:E2004)*(E2004=E$2:E2004)))))-COUNTBLANK(OFFSET(A$1,,,SUMPRODUCT(MAX(ROW(E$1:E2003)*(E2=E$1:E2003))))))</f>
        <v> </v>
      </c>
      <c r="K2004" s="25" t="str">
        <f>IF(OR(E2004="",E2004="!!!",F2004="NEW"),"",INDEX(J$1:J2003,SUMPRODUCT(MAX(ROW(E$1:E2003)*(E2004=E$1:E2003)))))</f>
        <v> </v>
      </c>
      <c r="L2004" s="26"/>
    </row>
    <row r="2005" spans="1:12">
      <c r="A2005" s="20" t="s">
        <v>419</v>
      </c>
      <c r="E2005" s="21">
        <f>IF(D2005="?OLD","!!!","")</f>
        <v/>
      </c>
      <c r="F2005" s="22" t="str">
        <f>IF(OR(E2005="",E2005="!!!"),"",IF(NOT(ISNA(VLOOKUP(E2005,E$1:E2004,1,FALSE()))),"OLD",IF(AND(E2005&lt;&gt;"",E2005&lt;&gt;"!!!"),"NEW","")))</f>
        <v> </v>
      </c>
      <c r="G2005" s="23" t="str">
        <f>IF(OR(E2005="",E2005="!!!"),"",IF(OR(J2005=0,AND(J2005=1,K2005=1),AND(J2005=1,I2005="SBJ"),AND(J2005=1,I2005=0)),"?IN_FOCUS",IF(J2005&lt;=2,"?ACTIVATED",IF(J2005&lt;&gt;"","?FAMILIAR",IF(F2005="NEW",IF(ISNA(VLOOKUP(E2005,#REF!,1,FALSE())),"?TYPE_IDENTIFIABLE","?REFERENTIAL"),"_")))))</f>
        <v> </v>
      </c>
      <c r="H2005" s="24" t="str">
        <f>IF(J2005&lt;&gt;1,"",IF(I2005="SBJ","CB","?"))</f>
        <v> </v>
      </c>
      <c r="I2005" s="25" t="str">
        <f>IF(OR(E2005="",E2005="!!!",F2005="NEW"),"",INDEX(B2004:B$2,-1+SUMPRODUCT(MAX(ROW(E2004:E$2)*(E2005=E2004:E$2)))))</f>
        <v> </v>
      </c>
      <c r="J2005" s="25" t="str">
        <f>IF(OR(E2005="",E2005="!!!",F2005="NEW"),"",COUNTBLANK(OFFSET(A$1,,,SUMPRODUCT(MAX(ROW(E$2:E2005)*(E2005=E$2:E2005)))))-COUNTBLANK(OFFSET(A$1,,,SUMPRODUCT(MAX(ROW(E$1:E2004)*(E2=E$1:E2004))))))</f>
        <v> </v>
      </c>
      <c r="K2005" s="25" t="str">
        <f>IF(OR(E2005="",E2005="!!!",F2005="NEW"),"",INDEX(J$1:J2004,SUMPRODUCT(MAX(ROW(E$1:E2004)*(E2005=E$1:E2004)))))</f>
        <v> </v>
      </c>
      <c r="L2005" s="26"/>
    </row>
    <row r="2006" spans="1:12">
      <c r="A2006" s="20" t="s">
        <v>1369</v>
      </c>
      <c r="E2006" s="21">
        <f>IF(D2006="?OLD","!!!","")</f>
        <v/>
      </c>
      <c r="F2006" s="22" t="str">
        <f>IF(OR(E2006="",E2006="!!!"),"",IF(NOT(ISNA(VLOOKUP(E2006,E$1:E2005,1,FALSE()))),"OLD",IF(AND(E2006&lt;&gt;"",E2006&lt;&gt;"!!!"),"NEW","")))</f>
        <v> </v>
      </c>
      <c r="G2006" s="23" t="str">
        <f>IF(OR(E2006="",E2006="!!!"),"",IF(OR(J2006=0,AND(J2006=1,K2006=1),AND(J2006=1,I2006="SBJ"),AND(J2006=1,I2006=0)),"?IN_FOCUS",IF(J2006&lt;=2,"?ACTIVATED",IF(J2006&lt;&gt;"","?FAMILIAR",IF(F2006="NEW",IF(ISNA(VLOOKUP(E2006,#REF!,1,FALSE())),"?TYPE_IDENTIFIABLE","?REFERENTIAL"),"_")))))</f>
        <v> </v>
      </c>
      <c r="H2006" s="24" t="str">
        <f>IF(J2006&lt;&gt;1,"",IF(I2006="SBJ","CB","?"))</f>
        <v> </v>
      </c>
      <c r="I2006" s="25" t="str">
        <f>IF(OR(E2006="",E2006="!!!",F2006="NEW"),"",INDEX(B2005:B$2,-1+SUMPRODUCT(MAX(ROW(E2005:E$2)*(E2006=E2005:E$2)))))</f>
        <v> </v>
      </c>
      <c r="J2006" s="25" t="str">
        <f>IF(OR(E2006="",E2006="!!!",F2006="NEW"),"",COUNTBLANK(OFFSET(A$1,,,SUMPRODUCT(MAX(ROW(E$2:E2006)*(E2006=E$2:E2006)))))-COUNTBLANK(OFFSET(A$1,,,SUMPRODUCT(MAX(ROW(E$1:E2005)*(E2=E$1:E2005))))))</f>
        <v> </v>
      </c>
      <c r="K2006" s="25" t="str">
        <f>IF(OR(E2006="",E2006="!!!",F2006="NEW"),"",INDEX(J$1:J2005,SUMPRODUCT(MAX(ROW(E$1:E2005)*(E2006=E$1:E2005)))))</f>
        <v> </v>
      </c>
      <c r="L2006" s="26"/>
    </row>
    <row r="2007" spans="1:12">
      <c r="A2007" s="20" t="s">
        <v>644</v>
      </c>
      <c r="E2007" s="21">
        <f>IF(D2007="?OLD","!!!","")</f>
        <v/>
      </c>
      <c r="F2007" s="22" t="str">
        <f>IF(OR(E2007="",E2007="!!!"),"",IF(NOT(ISNA(VLOOKUP(E2007,E$1:E2006,1,FALSE()))),"OLD",IF(AND(E2007&lt;&gt;"",E2007&lt;&gt;"!!!"),"NEW","")))</f>
        <v> </v>
      </c>
      <c r="G2007" s="23" t="str">
        <f>IF(OR(E2007="",E2007="!!!"),"",IF(OR(J2007=0,AND(J2007=1,K2007=1),AND(J2007=1,I2007="SBJ"),AND(J2007=1,I2007=0)),"?IN_FOCUS",IF(J2007&lt;=2,"?ACTIVATED",IF(J2007&lt;&gt;"","?FAMILIAR",IF(F2007="NEW",IF(ISNA(VLOOKUP(E2007,#REF!,1,FALSE())),"?TYPE_IDENTIFIABLE","?REFERENTIAL"),"_")))))</f>
        <v> </v>
      </c>
      <c r="H2007" s="24" t="str">
        <f>IF(J2007&lt;&gt;1,"",IF(I2007="SBJ","CB","?"))</f>
        <v> </v>
      </c>
      <c r="I2007" s="25" t="str">
        <f>IF(OR(E2007="",E2007="!!!",F2007="NEW"),"",INDEX(B2006:B$2,-1+SUMPRODUCT(MAX(ROW(E2006:E$2)*(E2007=E2006:E$2)))))</f>
        <v> </v>
      </c>
      <c r="J2007" s="25" t="str">
        <f>IF(OR(E2007="",E2007="!!!",F2007="NEW"),"",COUNTBLANK(OFFSET(A$1,,,SUMPRODUCT(MAX(ROW(E$2:E2007)*(E2007=E$2:E2007)))))-COUNTBLANK(OFFSET(A$1,,,SUMPRODUCT(MAX(ROW(E$1:E2006)*(E2=E$1:E2006))))))</f>
        <v> </v>
      </c>
      <c r="K2007" s="25" t="str">
        <f>IF(OR(E2007="",E2007="!!!",F2007="NEW"),"",INDEX(J$1:J2006,SUMPRODUCT(MAX(ROW(E$1:E2006)*(E2007=E$1:E2006)))))</f>
        <v> </v>
      </c>
      <c r="L2007" s="26"/>
    </row>
    <row r="2008" spans="1:12">
      <c r="A2008" s="20" t="s">
        <v>1370</v>
      </c>
      <c r="E2008" s="21">
        <f>IF(D2008="?OLD","!!!","")</f>
        <v/>
      </c>
      <c r="F2008" s="22" t="str">
        <f>IF(OR(E2008="",E2008="!!!"),"",IF(NOT(ISNA(VLOOKUP(E2008,E$1:E2007,1,FALSE()))),"OLD",IF(AND(E2008&lt;&gt;"",E2008&lt;&gt;"!!!"),"NEW","")))</f>
        <v> </v>
      </c>
      <c r="G2008" s="23" t="str">
        <f>IF(OR(E2008="",E2008="!!!"),"",IF(OR(J2008=0,AND(J2008=1,K2008=1),AND(J2008=1,I2008="SBJ"),AND(J2008=1,I2008=0)),"?IN_FOCUS",IF(J2008&lt;=2,"?ACTIVATED",IF(J2008&lt;&gt;"","?FAMILIAR",IF(F2008="NEW",IF(ISNA(VLOOKUP(E2008,#REF!,1,FALSE())),"?TYPE_IDENTIFIABLE","?REFERENTIAL"),"_")))))</f>
        <v> </v>
      </c>
      <c r="H2008" s="24" t="str">
        <f>IF(J2008&lt;&gt;1,"",IF(I2008="SBJ","CB","?"))</f>
        <v> </v>
      </c>
      <c r="I2008" s="25" t="str">
        <f>IF(OR(E2008="",E2008="!!!",F2008="NEW"),"",INDEX(B2007:B$2,-1+SUMPRODUCT(MAX(ROW(E2007:E$2)*(E2008=E2007:E$2)))))</f>
        <v> </v>
      </c>
      <c r="J2008" s="25" t="str">
        <f>IF(OR(E2008="",E2008="!!!",F2008="NEW"),"",COUNTBLANK(OFFSET(A$1,,,SUMPRODUCT(MAX(ROW(E$2:E2008)*(E2008=E$2:E2008)))))-COUNTBLANK(OFFSET(A$1,,,SUMPRODUCT(MAX(ROW(E$1:E2007)*(E2=E$1:E2007))))))</f>
        <v> </v>
      </c>
      <c r="K2008" s="25" t="str">
        <f>IF(OR(E2008="",E2008="!!!",F2008="NEW"),"",INDEX(J$1:J2007,SUMPRODUCT(MAX(ROW(E$1:E2007)*(E2008=E$1:E2007)))))</f>
        <v> </v>
      </c>
      <c r="L2008" s="26"/>
    </row>
    <row r="2009" spans="1:12">
      <c r="A2009" s="20" t="s">
        <v>872</v>
      </c>
      <c r="B2009" s="27" t="s">
        <v>657</v>
      </c>
      <c r="E2009" s="21">
        <f>IF(D2009="?OLD","!!!","")</f>
        <v/>
      </c>
      <c r="F2009" s="22" t="str">
        <f>IF(OR(E2009="",E2009="!!!"),"",IF(NOT(ISNA(VLOOKUP(E2009,E$1:E2008,1,FALSE()))),"OLD",IF(AND(E2009&lt;&gt;"",E2009&lt;&gt;"!!!"),"NEW","")))</f>
        <v> </v>
      </c>
      <c r="G2009" s="23" t="str">
        <f>IF(OR(E2009="",E2009="!!!"),"",IF(OR(J2009=0,AND(J2009=1,K2009=1),AND(J2009=1,I2009="SBJ"),AND(J2009=1,I2009=0)),"?IN_FOCUS",IF(J2009&lt;=2,"?ACTIVATED",IF(J2009&lt;&gt;"","?FAMILIAR",IF(F2009="NEW",IF(ISNA(VLOOKUP(E2009,#REF!,1,FALSE())),"?TYPE_IDENTIFIABLE","?REFERENTIAL"),"_")))))</f>
        <v> </v>
      </c>
      <c r="H2009" s="24" t="str">
        <f>IF(J2009&lt;&gt;1,"",IF(I2009="SBJ","CB","?"))</f>
        <v> </v>
      </c>
      <c r="I2009" s="25" t="str">
        <f>IF(OR(E2009="",E2009="!!!",F2009="NEW"),"",INDEX(B2008:B$2,-1+SUMPRODUCT(MAX(ROW(E2008:E$2)*(E2009=E2008:E$2)))))</f>
        <v> </v>
      </c>
      <c r="J2009" s="25" t="str">
        <f>IF(OR(E2009="",E2009="!!!",F2009="NEW"),"",COUNTBLANK(OFFSET(A$1,,,SUMPRODUCT(MAX(ROW(E$2:E2009)*(E2009=E$2:E2009)))))-COUNTBLANK(OFFSET(A$1,,,SUMPRODUCT(MAX(ROW(E$1:E2008)*(E2=E$1:E2008))))))</f>
        <v> </v>
      </c>
      <c r="K2009" s="25" t="str">
        <f>IF(OR(E2009="",E2009="!!!",F2009="NEW"),"",INDEX(J$1:J2008,SUMPRODUCT(MAX(ROW(E$1:E2008)*(E2009=E$1:E2008)))))</f>
        <v> </v>
      </c>
      <c r="L2009" s="26"/>
    </row>
    <row r="2010" spans="1:12">
      <c r="A2010" s="20" t="s">
        <v>801</v>
      </c>
      <c r="E2010" s="21">
        <f>IF(D2010="?OLD","!!!","")</f>
        <v/>
      </c>
      <c r="F2010" s="22" t="str">
        <f>IF(OR(E2010="",E2010="!!!"),"",IF(NOT(ISNA(VLOOKUP(E2010,E$1:E2009,1,FALSE()))),"OLD",IF(AND(E2010&lt;&gt;"",E2010&lt;&gt;"!!!"),"NEW","")))</f>
        <v> </v>
      </c>
      <c r="G2010" s="23" t="str">
        <f>IF(OR(E2010="",E2010="!!!"),"",IF(OR(J2010=0,AND(J2010=1,K2010=1),AND(J2010=1,I2010="SBJ"),AND(J2010=1,I2010=0)),"?IN_FOCUS",IF(J2010&lt;=2,"?ACTIVATED",IF(J2010&lt;&gt;"","?FAMILIAR",IF(F2010="NEW",IF(ISNA(VLOOKUP(E2010,#REF!,1,FALSE())),"?TYPE_IDENTIFIABLE","?REFERENTIAL"),"_")))))</f>
        <v> </v>
      </c>
      <c r="H2010" s="24" t="str">
        <f>IF(J2010&lt;&gt;1,"",IF(I2010="SBJ","CB","?"))</f>
        <v> </v>
      </c>
      <c r="I2010" s="25" t="str">
        <f>IF(OR(E2010="",E2010="!!!",F2010="NEW"),"",INDEX(B2009:B$2,-1+SUMPRODUCT(MAX(ROW(E2009:E$2)*(E2010=E2009:E$2)))))</f>
        <v> </v>
      </c>
      <c r="J2010" s="25" t="str">
        <f>IF(OR(E2010="",E2010="!!!",F2010="NEW"),"",COUNTBLANK(OFFSET(A$1,,,SUMPRODUCT(MAX(ROW(E$2:E2010)*(E2010=E$2:E2010)))))-COUNTBLANK(OFFSET(A$1,,,SUMPRODUCT(MAX(ROW(E$1:E2009)*(E2=E$1:E2009))))))</f>
        <v> </v>
      </c>
      <c r="K2010" s="25" t="str">
        <f>IF(OR(E2010="",E2010="!!!",F2010="NEW"),"",INDEX(J$1:J2009,SUMPRODUCT(MAX(ROW(E$1:E2009)*(E2010=E$1:E2009)))))</f>
        <v> </v>
      </c>
      <c r="L2010" s="26"/>
    </row>
    <row r="2011" spans="1:12">
      <c r="A2011" s="20" t="s">
        <v>1371</v>
      </c>
      <c r="B2011" s="27" t="s">
        <v>611</v>
      </c>
      <c r="C2011" s="27" t="s">
        <v>631</v>
      </c>
      <c r="D2011" s="27" t="s">
        <v>608</v>
      </c>
      <c r="E2011" s="21">
        <f>IF(D2011="?OLD","!!!","")</f>
        <v/>
      </c>
      <c r="F2011" s="22" t="str">
        <f>IF(OR(E2011="",E2011="!!!"),"",IF(NOT(ISNA(VLOOKUP(E2011,E$1:E2010,1,FALSE()))),"OLD",IF(AND(E2011&lt;&gt;"",E2011&lt;&gt;"!!!"),"NEW","")))</f>
        <v> </v>
      </c>
      <c r="G2011" s="23" t="str">
        <f>IF(OR(E2011="",E2011="!!!"),"",IF(OR(J2011=0,AND(J2011=1,K2011=1),AND(J2011=1,I2011="SBJ"),AND(J2011=1,I2011=0)),"?IN_FOCUS",IF(J2011&lt;=2,"?ACTIVATED",IF(J2011&lt;&gt;"","?FAMILIAR",IF(F2011="NEW",IF(ISNA(VLOOKUP(E2011,#REF!,1,FALSE())),"?TYPE_IDENTIFIABLE","?REFERENTIAL"),"_")))))</f>
        <v> </v>
      </c>
      <c r="H2011" s="24" t="str">
        <f>IF(J2011&lt;&gt;1,"",IF(I2011="SBJ","CB","?"))</f>
        <v> </v>
      </c>
      <c r="I2011" s="25" t="str">
        <f>IF(OR(E2011="",E2011="!!!",F2011="NEW"),"",INDEX(B2010:B$2,-1+SUMPRODUCT(MAX(ROW(E2010:E$2)*(E2011=E2010:E$2)))))</f>
        <v> </v>
      </c>
      <c r="J2011" s="25" t="str">
        <f>IF(OR(E2011="",E2011="!!!",F2011="NEW"),"",COUNTBLANK(OFFSET(A$1,,,SUMPRODUCT(MAX(ROW(E$2:E2011)*(E2011=E$2:E2011)))))-COUNTBLANK(OFFSET(A$1,,,SUMPRODUCT(MAX(ROW(E$1:E2010)*(E2=E$1:E2010))))))</f>
        <v> </v>
      </c>
      <c r="K2011" s="25" t="str">
        <f>IF(OR(E2011="",E2011="!!!",F2011="NEW"),"",INDEX(J$1:J2010,SUMPRODUCT(MAX(ROW(E$1:E2010)*(E2011=E$1:E2010)))))</f>
        <v> </v>
      </c>
      <c r="L2011" s="26"/>
    </row>
    <row r="2012" spans="1:12">
      <c r="A2012" s="20" t="s">
        <v>633</v>
      </c>
      <c r="E2012" s="21">
        <f>IF(D2012="?OLD","!!!","")</f>
        <v/>
      </c>
      <c r="F2012" s="22" t="str">
        <f>IF(OR(E2012="",E2012="!!!"),"",IF(NOT(ISNA(VLOOKUP(E2012,E$1:E2011,1,FALSE()))),"OLD",IF(AND(E2012&lt;&gt;"",E2012&lt;&gt;"!!!"),"NEW","")))</f>
        <v> </v>
      </c>
      <c r="G2012" s="23" t="str">
        <f>IF(OR(E2012="",E2012="!!!"),"",IF(OR(J2012=0,AND(J2012=1,K2012=1),AND(J2012=1,I2012="SBJ"),AND(J2012=1,I2012=0)),"?IN_FOCUS",IF(J2012&lt;=2,"?ACTIVATED",IF(J2012&lt;&gt;"","?FAMILIAR",IF(F2012="NEW",IF(ISNA(VLOOKUP(E2012,#REF!,1,FALSE())),"?TYPE_IDENTIFIABLE","?REFERENTIAL"),"_")))))</f>
        <v> </v>
      </c>
      <c r="H2012" s="24" t="str">
        <f>IF(J2012&lt;&gt;1,"",IF(I2012="SBJ","CB","?"))</f>
        <v> </v>
      </c>
      <c r="I2012" s="25" t="str">
        <f>IF(OR(E2012="",E2012="!!!",F2012="NEW"),"",INDEX(B2011:B$2,-1+SUMPRODUCT(MAX(ROW(E2011:E$2)*(E2012=E2011:E$2)))))</f>
        <v> </v>
      </c>
      <c r="J2012" s="25" t="str">
        <f>IF(OR(E2012="",E2012="!!!",F2012="NEW"),"",COUNTBLANK(OFFSET(A$1,,,SUMPRODUCT(MAX(ROW(E$2:E2012)*(E2012=E$2:E2012)))))-COUNTBLANK(OFFSET(A$1,,,SUMPRODUCT(MAX(ROW(E$1:E2011)*(E2=E$1:E2011))))))</f>
        <v> </v>
      </c>
      <c r="K2012" s="25" t="str">
        <f>IF(OR(E2012="",E2012="!!!",F2012="NEW"),"",INDEX(J$1:J2011,SUMPRODUCT(MAX(ROW(E$1:E2011)*(E2012=E$1:E2011)))))</f>
        <v> </v>
      </c>
      <c r="L2012" s="26"/>
    </row>
    <row r="2013" spans="1:12">
      <c r="A2013" s="20"/>
    </row>
    <row r="2014" spans="1:12">
      <c r="A2014" s="20" t="s">
        <v>1372</v>
      </c>
    </row>
    <row r="2015" spans="1:12">
      <c r="A2015" s="20" t="s">
        <v>635</v>
      </c>
      <c r="B2015" s="27" t="s">
        <v>636</v>
      </c>
      <c r="C2015" s="27" t="s">
        <v>637</v>
      </c>
      <c r="D2015" s="27" t="s">
        <v>608</v>
      </c>
      <c r="E2015" s="21">
        <f>IF(D2015="?OLD","!!!","")</f>
        <v/>
      </c>
      <c r="F2015" s="22" t="str">
        <f>IF(OR(E2015="",E2015="!!!"),"",IF(NOT(ISNA(VLOOKUP(E2015,E$1:E2014,1,FALSE()))),"OLD",IF(AND(E2015&lt;&gt;"",E2015&lt;&gt;"!!!"),"NEW","")))</f>
        <v> </v>
      </c>
      <c r="G2015" s="23" t="str">
        <f>IF(OR(E2015="",E2015="!!!"),"",IF(OR(J2015=0,AND(J2015=1,K2015=1),AND(J2015=1,I2015="SBJ"),AND(J2015=1,I2015=0)),"?IN_FOCUS",IF(J2015&lt;=2,"?ACTIVATED",IF(J2015&lt;&gt;"","?FAMILIAR",IF(F2015="NEW",IF(ISNA(VLOOKUP(E2015,#REF!,1,FALSE())),"?TYPE_IDENTIFIABLE","?REFERENTIAL"),"_")))))</f>
        <v> </v>
      </c>
      <c r="H2015" s="24" t="str">
        <f>IF(J2015&lt;&gt;1,"",IF(I2015="SBJ","CB","?"))</f>
        <v> </v>
      </c>
      <c r="I2015" s="25" t="str">
        <f>IF(OR(E2015="",E2015="!!!",F2015="NEW"),"",INDEX(B2014:B$2,-1+SUMPRODUCT(MAX(ROW(E2014:E$2)*(E2015=E2014:E$2)))))</f>
        <v> </v>
      </c>
      <c r="J2015" s="25" t="str">
        <f>IF(OR(E2015="",E2015="!!!",F2015="NEW"),"",COUNTBLANK(OFFSET(A$1,,,SUMPRODUCT(MAX(ROW(E$2:E2015)*(E2015=E$2:E2015)))))-COUNTBLANK(OFFSET(A$1,,,SUMPRODUCT(MAX(ROW(E$1:E2014)*(E2=E$1:E2014))))))</f>
        <v> </v>
      </c>
      <c r="K2015" s="25" t="str">
        <f>IF(OR(E2015="",E2015="!!!",F2015="NEW"),"",INDEX(J$1:J2014,SUMPRODUCT(MAX(ROW(E$1:E2014)*(E2015=E$1:E2014)))))</f>
        <v> </v>
      </c>
      <c r="L2015" s="26"/>
    </row>
    <row r="2016" spans="1:12">
      <c r="A2016" s="20" t="s">
        <v>1361</v>
      </c>
      <c r="E2016" s="21">
        <f>IF(D2016="?OLD","!!!","")</f>
        <v/>
      </c>
      <c r="F2016" s="22" t="str">
        <f>IF(OR(E2016="",E2016="!!!"),"",IF(NOT(ISNA(VLOOKUP(E2016,E$1:E2015,1,FALSE()))),"OLD",IF(AND(E2016&lt;&gt;"",E2016&lt;&gt;"!!!"),"NEW","")))</f>
        <v> </v>
      </c>
      <c r="G2016" s="23" t="str">
        <f>IF(OR(E2016="",E2016="!!!"),"",IF(OR(J2016=0,AND(J2016=1,K2016=1),AND(J2016=1,I2016="SBJ"),AND(J2016=1,I2016=0)),"?IN_FOCUS",IF(J2016&lt;=2,"?ACTIVATED",IF(J2016&lt;&gt;"","?FAMILIAR",IF(F2016="NEW",IF(ISNA(VLOOKUP(E2016,#REF!,1,FALSE())),"?TYPE_IDENTIFIABLE","?REFERENTIAL"),"_")))))</f>
        <v> </v>
      </c>
      <c r="H2016" s="24" t="str">
        <f>IF(J2016&lt;&gt;1,"",IF(I2016="SBJ","CB","?"))</f>
        <v> </v>
      </c>
      <c r="I2016" s="25" t="str">
        <f>IF(OR(E2016="",E2016="!!!",F2016="NEW"),"",INDEX(B2015:B$2,-1+SUMPRODUCT(MAX(ROW(E2015:E$2)*(E2016=E2015:E$2)))))</f>
        <v> </v>
      </c>
      <c r="J2016" s="25" t="str">
        <f>IF(OR(E2016="",E2016="!!!",F2016="NEW"),"",COUNTBLANK(OFFSET(A$1,,,SUMPRODUCT(MAX(ROW(E$2:E2016)*(E2016=E$2:E2016)))))-COUNTBLANK(OFFSET(A$1,,,SUMPRODUCT(MAX(ROW(E$1:E2015)*(E2=E$1:E2015))))))</f>
        <v> </v>
      </c>
      <c r="K2016" s="25" t="str">
        <f>IF(OR(E2016="",E2016="!!!",F2016="NEW"),"",INDEX(J$1:J2015,SUMPRODUCT(MAX(ROW(E$1:E2015)*(E2016=E$1:E2015)))))</f>
        <v> </v>
      </c>
      <c r="L2016" s="26"/>
    </row>
    <row r="2017" spans="1:12">
      <c r="A2017" s="20" t="s">
        <v>618</v>
      </c>
      <c r="E2017" s="21">
        <f>IF(D2017="?OLD","!!!","")</f>
        <v/>
      </c>
      <c r="F2017" s="22" t="str">
        <f>IF(OR(E2017="",E2017="!!!"),"",IF(NOT(ISNA(VLOOKUP(E2017,E$1:E2016,1,FALSE()))),"OLD",IF(AND(E2017&lt;&gt;"",E2017&lt;&gt;"!!!"),"NEW","")))</f>
        <v> </v>
      </c>
      <c r="G2017" s="23" t="str">
        <f>IF(OR(E2017="",E2017="!!!"),"",IF(OR(J2017=0,AND(J2017=1,K2017=1),AND(J2017=1,I2017="SBJ"),AND(J2017=1,I2017=0)),"?IN_FOCUS",IF(J2017&lt;=2,"?ACTIVATED",IF(J2017&lt;&gt;"","?FAMILIAR",IF(F2017="NEW",IF(ISNA(VLOOKUP(E2017,#REF!,1,FALSE())),"?TYPE_IDENTIFIABLE","?REFERENTIAL"),"_")))))</f>
        <v> </v>
      </c>
      <c r="H2017" s="24" t="str">
        <f>IF(J2017&lt;&gt;1,"",IF(I2017="SBJ","CB","?"))</f>
        <v> </v>
      </c>
      <c r="I2017" s="25" t="str">
        <f>IF(OR(E2017="",E2017="!!!",F2017="NEW"),"",INDEX(B2016:B$2,-1+SUMPRODUCT(MAX(ROW(E2016:E$2)*(E2017=E2016:E$2)))))</f>
        <v> </v>
      </c>
      <c r="J2017" s="25" t="str">
        <f>IF(OR(E2017="",E2017="!!!",F2017="NEW"),"",COUNTBLANK(OFFSET(A$1,,,SUMPRODUCT(MAX(ROW(E$2:E2017)*(E2017=E$2:E2017)))))-COUNTBLANK(OFFSET(A$1,,,SUMPRODUCT(MAX(ROW(E$1:E2016)*(E2=E$1:E2016))))))</f>
        <v> </v>
      </c>
      <c r="K2017" s="25" t="str">
        <f>IF(OR(E2017="",E2017="!!!",F2017="NEW"),"",INDEX(J$1:J2016,SUMPRODUCT(MAX(ROW(E$1:E2016)*(E2017=E$1:E2016)))))</f>
        <v> </v>
      </c>
      <c r="L2017" s="26"/>
    </row>
    <row r="2018" spans="1:12">
      <c r="A2018" s="20" t="s">
        <v>1192</v>
      </c>
      <c r="E2018" s="21">
        <f>IF(D2018="?OLD","!!!","")</f>
        <v/>
      </c>
      <c r="F2018" s="22" t="str">
        <f>IF(OR(E2018="",E2018="!!!"),"",IF(NOT(ISNA(VLOOKUP(E2018,E$1:E2017,1,FALSE()))),"OLD",IF(AND(E2018&lt;&gt;"",E2018&lt;&gt;"!!!"),"NEW","")))</f>
        <v> </v>
      </c>
      <c r="G2018" s="23" t="str">
        <f>IF(OR(E2018="",E2018="!!!"),"",IF(OR(J2018=0,AND(J2018=1,K2018=1),AND(J2018=1,I2018="SBJ"),AND(J2018=1,I2018=0)),"?IN_FOCUS",IF(J2018&lt;=2,"?ACTIVATED",IF(J2018&lt;&gt;"","?FAMILIAR",IF(F2018="NEW",IF(ISNA(VLOOKUP(E2018,#REF!,1,FALSE())),"?TYPE_IDENTIFIABLE","?REFERENTIAL"),"_")))))</f>
        <v> </v>
      </c>
      <c r="H2018" s="24" t="str">
        <f>IF(J2018&lt;&gt;1,"",IF(I2018="SBJ","CB","?"))</f>
        <v> </v>
      </c>
      <c r="I2018" s="25" t="str">
        <f>IF(OR(E2018="",E2018="!!!",F2018="NEW"),"",INDEX(B2017:B$2,-1+SUMPRODUCT(MAX(ROW(E2017:E$2)*(E2018=E2017:E$2)))))</f>
        <v> </v>
      </c>
      <c r="J2018" s="25" t="str">
        <f>IF(OR(E2018="",E2018="!!!",F2018="NEW"),"",COUNTBLANK(OFFSET(A$1,,,SUMPRODUCT(MAX(ROW(E$2:E2018)*(E2018=E$2:E2018)))))-COUNTBLANK(OFFSET(A$1,,,SUMPRODUCT(MAX(ROW(E$1:E2017)*(E2=E$1:E2017))))))</f>
        <v> </v>
      </c>
      <c r="K2018" s="25" t="str">
        <f>IF(OR(E2018="",E2018="!!!",F2018="NEW"),"",INDEX(J$1:J2017,SUMPRODUCT(MAX(ROW(E$1:E2017)*(E2018=E$1:E2017)))))</f>
        <v> </v>
      </c>
      <c r="L2018" s="26"/>
    </row>
    <row r="2019" spans="1:12">
      <c r="A2019" s="20" t="s">
        <v>187</v>
      </c>
      <c r="B2019" s="27" t="s">
        <v>653</v>
      </c>
      <c r="C2019" s="27" t="s">
        <v>607</v>
      </c>
      <c r="D2019" s="27" t="s">
        <v>608</v>
      </c>
      <c r="E2019" s="21">
        <f>IF(D2019="?OLD","!!!","")</f>
        <v/>
      </c>
      <c r="F2019" s="22" t="str">
        <f>IF(OR(E2019="",E2019="!!!"),"",IF(NOT(ISNA(VLOOKUP(E2019,E$1:E2018,1,FALSE()))),"OLD",IF(AND(E2019&lt;&gt;"",E2019&lt;&gt;"!!!"),"NEW","")))</f>
        <v> </v>
      </c>
      <c r="G2019" s="23" t="str">
        <f>IF(OR(E2019="",E2019="!!!"),"",IF(OR(J2019=0,AND(J2019=1,K2019=1),AND(J2019=1,I2019="SBJ"),AND(J2019=1,I2019=0)),"?IN_FOCUS",IF(J2019&lt;=2,"?ACTIVATED",IF(J2019&lt;&gt;"","?FAMILIAR",IF(F2019="NEW",IF(ISNA(VLOOKUP(E2019,#REF!,1,FALSE())),"?TYPE_IDENTIFIABLE","?REFERENTIAL"),"_")))))</f>
        <v> </v>
      </c>
      <c r="H2019" s="24" t="str">
        <f>IF(J2019&lt;&gt;1,"",IF(I2019="SBJ","CB","?"))</f>
        <v> </v>
      </c>
      <c r="I2019" s="25" t="str">
        <f>IF(OR(E2019="",E2019="!!!",F2019="NEW"),"",INDEX(B2018:B$2,-1+SUMPRODUCT(MAX(ROW(E2018:E$2)*(E2019=E2018:E$2)))))</f>
        <v> </v>
      </c>
      <c r="J2019" s="25" t="str">
        <f>IF(OR(E2019="",E2019="!!!",F2019="NEW"),"",COUNTBLANK(OFFSET(A$1,,,SUMPRODUCT(MAX(ROW(E$2:E2019)*(E2019=E$2:E2019)))))-COUNTBLANK(OFFSET(A$1,,,SUMPRODUCT(MAX(ROW(E$1:E2018)*(E2=E$1:E2018))))))</f>
        <v> </v>
      </c>
      <c r="K2019" s="25" t="str">
        <f>IF(OR(E2019="",E2019="!!!",F2019="NEW"),"",INDEX(J$1:J2018,SUMPRODUCT(MAX(ROW(E$1:E2018)*(E2019=E$1:E2018)))))</f>
        <v> </v>
      </c>
      <c r="L2019" s="26"/>
    </row>
    <row r="2020" spans="1:12">
      <c r="A2020" s="20" t="s">
        <v>633</v>
      </c>
      <c r="E2020" s="21">
        <f>IF(D2020="?OLD","!!!","")</f>
        <v/>
      </c>
      <c r="F2020" s="22" t="str">
        <f>IF(OR(E2020="",E2020="!!!"),"",IF(NOT(ISNA(VLOOKUP(E2020,E$1:E2019,1,FALSE()))),"OLD",IF(AND(E2020&lt;&gt;"",E2020&lt;&gt;"!!!"),"NEW","")))</f>
        <v> </v>
      </c>
      <c r="G2020" s="23" t="str">
        <f>IF(OR(E2020="",E2020="!!!"),"",IF(OR(J2020=0,AND(J2020=1,K2020=1),AND(J2020=1,I2020="SBJ"),AND(J2020=1,I2020=0)),"?IN_FOCUS",IF(J2020&lt;=2,"?ACTIVATED",IF(J2020&lt;&gt;"","?FAMILIAR",IF(F2020="NEW",IF(ISNA(VLOOKUP(E2020,#REF!,1,FALSE())),"?TYPE_IDENTIFIABLE","?REFERENTIAL"),"_")))))</f>
        <v> </v>
      </c>
      <c r="H2020" s="24" t="str">
        <f>IF(J2020&lt;&gt;1,"",IF(I2020="SBJ","CB","?"))</f>
        <v> </v>
      </c>
      <c r="I2020" s="25" t="str">
        <f>IF(OR(E2020="",E2020="!!!",F2020="NEW"),"",INDEX(B2019:B$2,-1+SUMPRODUCT(MAX(ROW(E2019:E$2)*(E2020=E2019:E$2)))))</f>
        <v> </v>
      </c>
      <c r="J2020" s="25" t="str">
        <f>IF(OR(E2020="",E2020="!!!",F2020="NEW"),"",COUNTBLANK(OFFSET(A$1,,,SUMPRODUCT(MAX(ROW(E$2:E2020)*(E2020=E$2:E2020)))))-COUNTBLANK(OFFSET(A$1,,,SUMPRODUCT(MAX(ROW(E$1:E2019)*(E2=E$1:E2019))))))</f>
        <v> </v>
      </c>
      <c r="K2020" s="25" t="str">
        <f>IF(OR(E2020="",E2020="!!!",F2020="NEW"),"",INDEX(J$1:J2019,SUMPRODUCT(MAX(ROW(E$1:E2019)*(E2020=E$1:E2019)))))</f>
        <v> </v>
      </c>
      <c r="L2020" s="26"/>
    </row>
    <row r="2021" spans="1:12">
      <c r="A2021" s="20"/>
    </row>
    <row r="2022" spans="1:12">
      <c r="A2022" s="20" t="s">
        <v>1373</v>
      </c>
    </row>
    <row r="2023" spans="1:12">
      <c r="A2023" s="20" t="s">
        <v>635</v>
      </c>
      <c r="B2023" s="27" t="s">
        <v>636</v>
      </c>
      <c r="C2023" s="27" t="s">
        <v>637</v>
      </c>
      <c r="D2023" s="27" t="s">
        <v>608</v>
      </c>
      <c r="E2023" s="21">
        <f>IF(D2023="?OLD","!!!","")</f>
        <v/>
      </c>
      <c r="F2023" s="22" t="str">
        <f>IF(OR(E2023="",E2023="!!!"),"",IF(NOT(ISNA(VLOOKUP(E2023,E$1:E2022,1,FALSE()))),"OLD",IF(AND(E2023&lt;&gt;"",E2023&lt;&gt;"!!!"),"NEW","")))</f>
        <v> </v>
      </c>
      <c r="G2023" s="23" t="str">
        <f>IF(OR(E2023="",E2023="!!!"),"",IF(OR(J2023=0,AND(J2023=1,K2023=1),AND(J2023=1,I2023="SBJ"),AND(J2023=1,I2023=0)),"?IN_FOCUS",IF(J2023&lt;=2,"?ACTIVATED",IF(J2023&lt;&gt;"","?FAMILIAR",IF(F2023="NEW",IF(ISNA(VLOOKUP(E2023,#REF!,1,FALSE())),"?TYPE_IDENTIFIABLE","?REFERENTIAL"),"_")))))</f>
        <v> </v>
      </c>
      <c r="H2023" s="24" t="str">
        <f>IF(J2023&lt;&gt;1,"",IF(I2023="SBJ","CB","?"))</f>
        <v> </v>
      </c>
      <c r="I2023" s="25" t="str">
        <f>IF(OR(E2023="",E2023="!!!",F2023="NEW"),"",INDEX(B2022:B$2,-1+SUMPRODUCT(MAX(ROW(E2022:E$2)*(E2023=E2022:E$2)))))</f>
        <v> </v>
      </c>
      <c r="J2023" s="25" t="str">
        <f>IF(OR(E2023="",E2023="!!!",F2023="NEW"),"",COUNTBLANK(OFFSET(A$1,,,SUMPRODUCT(MAX(ROW(E$2:E2023)*(E2023=E$2:E2023)))))-COUNTBLANK(OFFSET(A$1,,,SUMPRODUCT(MAX(ROW(E$1:E2022)*(E2=E$1:E2022))))))</f>
        <v> </v>
      </c>
      <c r="K2023" s="25" t="str">
        <f>IF(OR(E2023="",E2023="!!!",F2023="NEW"),"",INDEX(J$1:J2022,SUMPRODUCT(MAX(ROW(E$1:E2022)*(E2023=E$1:E2022)))))</f>
        <v> </v>
      </c>
      <c r="L2023" s="26"/>
    </row>
    <row r="2024" spans="1:12">
      <c r="A2024" s="20" t="s">
        <v>809</v>
      </c>
      <c r="E2024" s="21">
        <f>IF(D2024="?OLD","!!!","")</f>
        <v/>
      </c>
      <c r="F2024" s="22" t="str">
        <f>IF(OR(E2024="",E2024="!!!"),"",IF(NOT(ISNA(VLOOKUP(E2024,E$1:E2023,1,FALSE()))),"OLD",IF(AND(E2024&lt;&gt;"",E2024&lt;&gt;"!!!"),"NEW","")))</f>
        <v> </v>
      </c>
      <c r="G2024" s="23" t="str">
        <f>IF(OR(E2024="",E2024="!!!"),"",IF(OR(J2024=0,AND(J2024=1,K2024=1),AND(J2024=1,I2024="SBJ"),AND(J2024=1,I2024=0)),"?IN_FOCUS",IF(J2024&lt;=2,"?ACTIVATED",IF(J2024&lt;&gt;"","?FAMILIAR",IF(F2024="NEW",IF(ISNA(VLOOKUP(E2024,#REF!,1,FALSE())),"?TYPE_IDENTIFIABLE","?REFERENTIAL"),"_")))))</f>
        <v> </v>
      </c>
      <c r="H2024" s="24" t="str">
        <f>IF(J2024&lt;&gt;1,"",IF(I2024="SBJ","CB","?"))</f>
        <v> </v>
      </c>
      <c r="I2024" s="25" t="str">
        <f>IF(OR(E2024="",E2024="!!!",F2024="NEW"),"",INDEX(B2023:B$2,-1+SUMPRODUCT(MAX(ROW(E2023:E$2)*(E2024=E2023:E$2)))))</f>
        <v> </v>
      </c>
      <c r="J2024" s="25" t="str">
        <f>IF(OR(E2024="",E2024="!!!",F2024="NEW"),"",COUNTBLANK(OFFSET(A$1,,,SUMPRODUCT(MAX(ROW(E$2:E2024)*(E2024=E$2:E2024)))))-COUNTBLANK(OFFSET(A$1,,,SUMPRODUCT(MAX(ROW(E$1:E2023)*(E2=E$1:E2023))))))</f>
        <v> </v>
      </c>
      <c r="K2024" s="25" t="str">
        <f>IF(OR(E2024="",E2024="!!!",F2024="NEW"),"",INDEX(J$1:J2023,SUMPRODUCT(MAX(ROW(E$1:E2023)*(E2024=E$1:E2023)))))</f>
        <v> </v>
      </c>
      <c r="L2024" s="26"/>
    </row>
    <row r="2025" spans="1:12">
      <c r="A2025" s="20" t="s">
        <v>930</v>
      </c>
      <c r="E2025" s="21">
        <f>IF(D2025="?OLD","!!!","")</f>
        <v/>
      </c>
      <c r="F2025" s="22" t="str">
        <f>IF(OR(E2025="",E2025="!!!"),"",IF(NOT(ISNA(VLOOKUP(E2025,E$1:E2024,1,FALSE()))),"OLD",IF(AND(E2025&lt;&gt;"",E2025&lt;&gt;"!!!"),"NEW","")))</f>
        <v> </v>
      </c>
      <c r="G2025" s="23" t="str">
        <f>IF(OR(E2025="",E2025="!!!"),"",IF(OR(J2025=0,AND(J2025=1,K2025=1),AND(J2025=1,I2025="SBJ"),AND(J2025=1,I2025=0)),"?IN_FOCUS",IF(J2025&lt;=2,"?ACTIVATED",IF(J2025&lt;&gt;"","?FAMILIAR",IF(F2025="NEW",IF(ISNA(VLOOKUP(E2025,#REF!,1,FALSE())),"?TYPE_IDENTIFIABLE","?REFERENTIAL"),"_")))))</f>
        <v> </v>
      </c>
      <c r="H2025" s="24" t="str">
        <f>IF(J2025&lt;&gt;1,"",IF(I2025="SBJ","CB","?"))</f>
        <v> </v>
      </c>
      <c r="I2025" s="25" t="str">
        <f>IF(OR(E2025="",E2025="!!!",F2025="NEW"),"",INDEX(B2024:B$2,-1+SUMPRODUCT(MAX(ROW(E2024:E$2)*(E2025=E2024:E$2)))))</f>
        <v> </v>
      </c>
      <c r="J2025" s="25" t="str">
        <f>IF(OR(E2025="",E2025="!!!",F2025="NEW"),"",COUNTBLANK(OFFSET(A$1,,,SUMPRODUCT(MAX(ROW(E$2:E2025)*(E2025=E$2:E2025)))))-COUNTBLANK(OFFSET(A$1,,,SUMPRODUCT(MAX(ROW(E$1:E2024)*(E2=E$1:E2024))))))</f>
        <v> </v>
      </c>
      <c r="K2025" s="25" t="str">
        <f>IF(OR(E2025="",E2025="!!!",F2025="NEW"),"",INDEX(J$1:J2024,SUMPRODUCT(MAX(ROW(E$1:E2024)*(E2025=E$1:E2024)))))</f>
        <v> </v>
      </c>
      <c r="L2025" s="26"/>
    </row>
    <row r="2026" spans="1:12">
      <c r="A2026" s="20" t="s">
        <v>618</v>
      </c>
      <c r="E2026" s="21">
        <f>IF(D2026="?OLD","!!!","")</f>
        <v/>
      </c>
      <c r="F2026" s="22" t="str">
        <f>IF(OR(E2026="",E2026="!!!"),"",IF(NOT(ISNA(VLOOKUP(E2026,E$1:E2025,1,FALSE()))),"OLD",IF(AND(E2026&lt;&gt;"",E2026&lt;&gt;"!!!"),"NEW","")))</f>
        <v> </v>
      </c>
      <c r="G2026" s="23" t="str">
        <f>IF(OR(E2026="",E2026="!!!"),"",IF(OR(J2026=0,AND(J2026=1,K2026=1),AND(J2026=1,I2026="SBJ"),AND(J2026=1,I2026=0)),"?IN_FOCUS",IF(J2026&lt;=2,"?ACTIVATED",IF(J2026&lt;&gt;"","?FAMILIAR",IF(F2026="NEW",IF(ISNA(VLOOKUP(E2026,#REF!,1,FALSE())),"?TYPE_IDENTIFIABLE","?REFERENTIAL"),"_")))))</f>
        <v> </v>
      </c>
      <c r="H2026" s="24" t="str">
        <f>IF(J2026&lt;&gt;1,"",IF(I2026="SBJ","CB","?"))</f>
        <v> </v>
      </c>
      <c r="I2026" s="25" t="str">
        <f>IF(OR(E2026="",E2026="!!!",F2026="NEW"),"",INDEX(B2025:B$2,-1+SUMPRODUCT(MAX(ROW(E2025:E$2)*(E2026=E2025:E$2)))))</f>
        <v> </v>
      </c>
      <c r="J2026" s="25" t="str">
        <f>IF(OR(E2026="",E2026="!!!",F2026="NEW"),"",COUNTBLANK(OFFSET(A$1,,,SUMPRODUCT(MAX(ROW(E$2:E2026)*(E2026=E$2:E2026)))))-COUNTBLANK(OFFSET(A$1,,,SUMPRODUCT(MAX(ROW(E$1:E2025)*(E2=E$1:E2025))))))</f>
        <v> </v>
      </c>
      <c r="K2026" s="25" t="str">
        <f>IF(OR(E2026="",E2026="!!!",F2026="NEW"),"",INDEX(J$1:J2025,SUMPRODUCT(MAX(ROW(E$1:E2025)*(E2026=E$1:E2025)))))</f>
        <v> </v>
      </c>
      <c r="L2026" s="26"/>
    </row>
    <row r="2027" spans="1:12">
      <c r="A2027" s="20" t="s">
        <v>1341</v>
      </c>
      <c r="E2027" s="21">
        <f>IF(D2027="?OLD","!!!","")</f>
        <v/>
      </c>
      <c r="F2027" s="22" t="str">
        <f>IF(OR(E2027="",E2027="!!!"),"",IF(NOT(ISNA(VLOOKUP(E2027,E$1:E2026,1,FALSE()))),"OLD",IF(AND(E2027&lt;&gt;"",E2027&lt;&gt;"!!!"),"NEW","")))</f>
        <v> </v>
      </c>
      <c r="G2027" s="23" t="str">
        <f>IF(OR(E2027="",E2027="!!!"),"",IF(OR(J2027=0,AND(J2027=1,K2027=1),AND(J2027=1,I2027="SBJ"),AND(J2027=1,I2027=0)),"?IN_FOCUS",IF(J2027&lt;=2,"?ACTIVATED",IF(J2027&lt;&gt;"","?FAMILIAR",IF(F2027="NEW",IF(ISNA(VLOOKUP(E2027,#REF!,1,FALSE())),"?TYPE_IDENTIFIABLE","?REFERENTIAL"),"_")))))</f>
        <v> </v>
      </c>
      <c r="H2027" s="24" t="str">
        <f>IF(J2027&lt;&gt;1,"",IF(I2027="SBJ","CB","?"))</f>
        <v> </v>
      </c>
      <c r="I2027" s="25" t="str">
        <f>IF(OR(E2027="",E2027="!!!",F2027="NEW"),"",INDEX(B2026:B$2,-1+SUMPRODUCT(MAX(ROW(E2026:E$2)*(E2027=E2026:E$2)))))</f>
        <v> </v>
      </c>
      <c r="J2027" s="25" t="str">
        <f>IF(OR(E2027="",E2027="!!!",F2027="NEW"),"",COUNTBLANK(OFFSET(A$1,,,SUMPRODUCT(MAX(ROW(E$2:E2027)*(E2027=E$2:E2027)))))-COUNTBLANK(OFFSET(A$1,,,SUMPRODUCT(MAX(ROW(E$1:E2026)*(E2=E$1:E2026))))))</f>
        <v> </v>
      </c>
      <c r="K2027" s="25" t="str">
        <f>IF(OR(E2027="",E2027="!!!",F2027="NEW"),"",INDEX(J$1:J2026,SUMPRODUCT(MAX(ROW(E$1:E2026)*(E2027=E$1:E2026)))))</f>
        <v> </v>
      </c>
      <c r="L2027" s="26"/>
    </row>
    <row r="2028" spans="1:12">
      <c r="A2028" s="20" t="s">
        <v>1374</v>
      </c>
      <c r="E2028" s="21">
        <f>IF(D2028="?OLD","!!!","")</f>
        <v/>
      </c>
      <c r="F2028" s="22" t="str">
        <f>IF(OR(E2028="",E2028="!!!"),"",IF(NOT(ISNA(VLOOKUP(E2028,E$1:E2027,1,FALSE()))),"OLD",IF(AND(E2028&lt;&gt;"",E2028&lt;&gt;"!!!"),"NEW","")))</f>
        <v> </v>
      </c>
      <c r="G2028" s="23" t="str">
        <f>IF(OR(E2028="",E2028="!!!"),"",IF(OR(J2028=0,AND(J2028=1,K2028=1),AND(J2028=1,I2028="SBJ"),AND(J2028=1,I2028=0)),"?IN_FOCUS",IF(J2028&lt;=2,"?ACTIVATED",IF(J2028&lt;&gt;"","?FAMILIAR",IF(F2028="NEW",IF(ISNA(VLOOKUP(E2028,#REF!,1,FALSE())),"?TYPE_IDENTIFIABLE","?REFERENTIAL"),"_")))))</f>
        <v> </v>
      </c>
      <c r="H2028" s="24" t="str">
        <f>IF(J2028&lt;&gt;1,"",IF(I2028="SBJ","CB","?"))</f>
        <v> </v>
      </c>
      <c r="I2028" s="25" t="str">
        <f>IF(OR(E2028="",E2028="!!!",F2028="NEW"),"",INDEX(B2027:B$2,-1+SUMPRODUCT(MAX(ROW(E2027:E$2)*(E2028=E2027:E$2)))))</f>
        <v> </v>
      </c>
      <c r="J2028" s="25" t="str">
        <f>IF(OR(E2028="",E2028="!!!",F2028="NEW"),"",COUNTBLANK(OFFSET(A$1,,,SUMPRODUCT(MAX(ROW(E$2:E2028)*(E2028=E$2:E2028)))))-COUNTBLANK(OFFSET(A$1,,,SUMPRODUCT(MAX(ROW(E$1:E2027)*(E2=E$1:E2027))))))</f>
        <v> </v>
      </c>
      <c r="K2028" s="25" t="str">
        <f>IF(OR(E2028="",E2028="!!!",F2028="NEW"),"",INDEX(J$1:J2027,SUMPRODUCT(MAX(ROW(E$1:E2027)*(E2028=E$1:E2027)))))</f>
        <v> </v>
      </c>
      <c r="L2028" s="26"/>
    </row>
    <row r="2029" spans="1:12">
      <c r="A2029" s="20" t="s">
        <v>378</v>
      </c>
      <c r="B2029" s="27" t="s">
        <v>606</v>
      </c>
      <c r="C2029" s="27" t="s">
        <v>607</v>
      </c>
      <c r="D2029" s="27" t="s">
        <v>608</v>
      </c>
      <c r="E2029" s="21">
        <f>IF(D2029="?OLD","!!!","")</f>
        <v/>
      </c>
      <c r="F2029" s="22" t="str">
        <f>IF(OR(E2029="",E2029="!!!"),"",IF(NOT(ISNA(VLOOKUP(E2029,E$1:E2028,1,FALSE()))),"OLD",IF(AND(E2029&lt;&gt;"",E2029&lt;&gt;"!!!"),"NEW","")))</f>
        <v> </v>
      </c>
      <c r="G2029" s="23" t="str">
        <f>IF(OR(E2029="",E2029="!!!"),"",IF(OR(J2029=0,AND(J2029=1,K2029=1),AND(J2029=1,I2029="SBJ"),AND(J2029=1,I2029=0)),"?IN_FOCUS",IF(J2029&lt;=2,"?ACTIVATED",IF(J2029&lt;&gt;"","?FAMILIAR",IF(F2029="NEW",IF(ISNA(VLOOKUP(E2029,#REF!,1,FALSE())),"?TYPE_IDENTIFIABLE","?REFERENTIAL"),"_")))))</f>
        <v> </v>
      </c>
      <c r="H2029" s="24" t="str">
        <f>IF(J2029&lt;&gt;1,"",IF(I2029="SBJ","CB","?"))</f>
        <v> </v>
      </c>
      <c r="I2029" s="25" t="str">
        <f>IF(OR(E2029="",E2029="!!!",F2029="NEW"),"",INDEX(B2028:B$2,-1+SUMPRODUCT(MAX(ROW(E2028:E$2)*(E2029=E2028:E$2)))))</f>
        <v> </v>
      </c>
      <c r="J2029" s="25" t="str">
        <f>IF(OR(E2029="",E2029="!!!",F2029="NEW"),"",COUNTBLANK(OFFSET(A$1,,,SUMPRODUCT(MAX(ROW(E$2:E2029)*(E2029=E$2:E2029)))))-COUNTBLANK(OFFSET(A$1,,,SUMPRODUCT(MAX(ROW(E$1:E2028)*(E2=E$1:E2028))))))</f>
        <v> </v>
      </c>
      <c r="K2029" s="25" t="str">
        <f>IF(OR(E2029="",E2029="!!!",F2029="NEW"),"",INDEX(J$1:J2028,SUMPRODUCT(MAX(ROW(E$1:E2028)*(E2029=E$1:E2028)))))</f>
        <v> </v>
      </c>
      <c r="L2029" s="26"/>
    </row>
    <row r="2030" spans="1:12">
      <c r="A2030" s="20" t="s">
        <v>617</v>
      </c>
      <c r="E2030" s="21">
        <f>IF(D2030="?OLD","!!!","")</f>
        <v/>
      </c>
      <c r="F2030" s="22" t="str">
        <f>IF(OR(E2030="",E2030="!!!"),"",IF(NOT(ISNA(VLOOKUP(E2030,E$1:E2029,1,FALSE()))),"OLD",IF(AND(E2030&lt;&gt;"",E2030&lt;&gt;"!!!"),"NEW","")))</f>
        <v> </v>
      </c>
      <c r="G2030" s="23" t="str">
        <f>IF(OR(E2030="",E2030="!!!"),"",IF(OR(J2030=0,AND(J2030=1,K2030=1),AND(J2030=1,I2030="SBJ"),AND(J2030=1,I2030=0)),"?IN_FOCUS",IF(J2030&lt;=2,"?ACTIVATED",IF(J2030&lt;&gt;"","?FAMILIAR",IF(F2030="NEW",IF(ISNA(VLOOKUP(E2030,#REF!,1,FALSE())),"?TYPE_IDENTIFIABLE","?REFERENTIAL"),"_")))))</f>
        <v> </v>
      </c>
      <c r="H2030" s="24" t="str">
        <f>IF(J2030&lt;&gt;1,"",IF(I2030="SBJ","CB","?"))</f>
        <v> </v>
      </c>
      <c r="I2030" s="25" t="str">
        <f>IF(OR(E2030="",E2030="!!!",F2030="NEW"),"",INDEX(B2029:B$2,-1+SUMPRODUCT(MAX(ROW(E2029:E$2)*(E2030=E2029:E$2)))))</f>
        <v> </v>
      </c>
      <c r="J2030" s="25" t="str">
        <f>IF(OR(E2030="",E2030="!!!",F2030="NEW"),"",COUNTBLANK(OFFSET(A$1,,,SUMPRODUCT(MAX(ROW(E$2:E2030)*(E2030=E$2:E2030)))))-COUNTBLANK(OFFSET(A$1,,,SUMPRODUCT(MAX(ROW(E$1:E2029)*(E2=E$1:E2029))))))</f>
        <v> </v>
      </c>
      <c r="K2030" s="25" t="str">
        <f>IF(OR(E2030="",E2030="!!!",F2030="NEW"),"",INDEX(J$1:J2029,SUMPRODUCT(MAX(ROW(E$1:E2029)*(E2030=E$1:E2029)))))</f>
        <v> </v>
      </c>
      <c r="L2030" s="26"/>
    </row>
    <row r="2031" spans="1:12">
      <c r="A2031" s="20" t="s">
        <v>736</v>
      </c>
      <c r="E2031" s="21">
        <f>IF(D2031="?OLD","!!!","")</f>
        <v/>
      </c>
      <c r="F2031" s="22" t="str">
        <f>IF(OR(E2031="",E2031="!!!"),"",IF(NOT(ISNA(VLOOKUP(E2031,E$1:E2030,1,FALSE()))),"OLD",IF(AND(E2031&lt;&gt;"",E2031&lt;&gt;"!!!"),"NEW","")))</f>
        <v> </v>
      </c>
      <c r="G2031" s="23" t="str">
        <f>IF(OR(E2031="",E2031="!!!"),"",IF(OR(J2031=0,AND(J2031=1,K2031=1),AND(J2031=1,I2031="SBJ"),AND(J2031=1,I2031=0)),"?IN_FOCUS",IF(J2031&lt;=2,"?ACTIVATED",IF(J2031&lt;&gt;"","?FAMILIAR",IF(F2031="NEW",IF(ISNA(VLOOKUP(E2031,#REF!,1,FALSE())),"?TYPE_IDENTIFIABLE","?REFERENTIAL"),"_")))))</f>
        <v> </v>
      </c>
      <c r="H2031" s="24" t="str">
        <f>IF(J2031&lt;&gt;1,"",IF(I2031="SBJ","CB","?"))</f>
        <v> </v>
      </c>
      <c r="I2031" s="25" t="str">
        <f>IF(OR(E2031="",E2031="!!!",F2031="NEW"),"",INDEX(B2030:B$2,-1+SUMPRODUCT(MAX(ROW(E2030:E$2)*(E2031=E2030:E$2)))))</f>
        <v> </v>
      </c>
      <c r="J2031" s="25" t="str">
        <f>IF(OR(E2031="",E2031="!!!",F2031="NEW"),"",COUNTBLANK(OFFSET(A$1,,,SUMPRODUCT(MAX(ROW(E$2:E2031)*(E2031=E$2:E2031)))))-COUNTBLANK(OFFSET(A$1,,,SUMPRODUCT(MAX(ROW(E$1:E2030)*(E2=E$1:E2030))))))</f>
        <v> </v>
      </c>
      <c r="K2031" s="25" t="str">
        <f>IF(OR(E2031="",E2031="!!!",F2031="NEW"),"",INDEX(J$1:J2030,SUMPRODUCT(MAX(ROW(E$1:E2030)*(E2031=E$1:E2030)))))</f>
        <v> </v>
      </c>
      <c r="L2031" s="26"/>
    </row>
    <row r="2032" spans="1:12">
      <c r="A2032" s="20" t="s">
        <v>618</v>
      </c>
      <c r="E2032" s="21">
        <f>IF(D2032="?OLD","!!!","")</f>
        <v/>
      </c>
      <c r="F2032" s="22" t="str">
        <f>IF(OR(E2032="",E2032="!!!"),"",IF(NOT(ISNA(VLOOKUP(E2032,E$1:E2031,1,FALSE()))),"OLD",IF(AND(E2032&lt;&gt;"",E2032&lt;&gt;"!!!"),"NEW","")))</f>
        <v> </v>
      </c>
      <c r="G2032" s="23" t="str">
        <f>IF(OR(E2032="",E2032="!!!"),"",IF(OR(J2032=0,AND(J2032=1,K2032=1),AND(J2032=1,I2032="SBJ"),AND(J2032=1,I2032=0)),"?IN_FOCUS",IF(J2032&lt;=2,"?ACTIVATED",IF(J2032&lt;&gt;"","?FAMILIAR",IF(F2032="NEW",IF(ISNA(VLOOKUP(E2032,#REF!,1,FALSE())),"?TYPE_IDENTIFIABLE","?REFERENTIAL"),"_")))))</f>
        <v> </v>
      </c>
      <c r="H2032" s="24" t="str">
        <f>IF(J2032&lt;&gt;1,"",IF(I2032="SBJ","CB","?"))</f>
        <v> </v>
      </c>
      <c r="I2032" s="25" t="str">
        <f>IF(OR(E2032="",E2032="!!!",F2032="NEW"),"",INDEX(B2031:B$2,-1+SUMPRODUCT(MAX(ROW(E2031:E$2)*(E2032=E2031:E$2)))))</f>
        <v> </v>
      </c>
      <c r="J2032" s="25" t="str">
        <f>IF(OR(E2032="",E2032="!!!",F2032="NEW"),"",COUNTBLANK(OFFSET(A$1,,,SUMPRODUCT(MAX(ROW(E$2:E2032)*(E2032=E$2:E2032)))))-COUNTBLANK(OFFSET(A$1,,,SUMPRODUCT(MAX(ROW(E$1:E2031)*(E2=E$1:E2031))))))</f>
        <v> </v>
      </c>
      <c r="K2032" s="25" t="str">
        <f>IF(OR(E2032="",E2032="!!!",F2032="NEW"),"",INDEX(J$1:J2031,SUMPRODUCT(MAX(ROW(E$1:E2031)*(E2032=E$1:E2031)))))</f>
        <v> </v>
      </c>
      <c r="L2032" s="26"/>
    </row>
    <row r="2033" spans="1:12">
      <c r="A2033" s="20" t="s">
        <v>621</v>
      </c>
      <c r="B2033" s="27" t="s">
        <v>619</v>
      </c>
      <c r="C2033" s="27" t="s">
        <v>607</v>
      </c>
      <c r="D2033" s="27" t="s">
        <v>608</v>
      </c>
      <c r="E2033" s="21">
        <f>IF(D2033="?OLD","!!!","")</f>
        <v/>
      </c>
      <c r="F2033" s="22" t="str">
        <f>IF(OR(E2033="",E2033="!!!"),"",IF(NOT(ISNA(VLOOKUP(E2033,E$1:E2032,1,FALSE()))),"OLD",IF(AND(E2033&lt;&gt;"",E2033&lt;&gt;"!!!"),"NEW","")))</f>
        <v> </v>
      </c>
      <c r="G2033" s="23" t="str">
        <f>IF(OR(E2033="",E2033="!!!"),"",IF(OR(J2033=0,AND(J2033=1,K2033=1),AND(J2033=1,I2033="SBJ"),AND(J2033=1,I2033=0)),"?IN_FOCUS",IF(J2033&lt;=2,"?ACTIVATED",IF(J2033&lt;&gt;"","?FAMILIAR",IF(F2033="NEW",IF(ISNA(VLOOKUP(E2033,#REF!,1,FALSE())),"?TYPE_IDENTIFIABLE","?REFERENTIAL"),"_")))))</f>
        <v> </v>
      </c>
      <c r="H2033" s="24" t="str">
        <f>IF(J2033&lt;&gt;1,"",IF(I2033="SBJ","CB","?"))</f>
        <v> </v>
      </c>
      <c r="I2033" s="25" t="str">
        <f>IF(OR(E2033="",E2033="!!!",F2033="NEW"),"",INDEX(B2032:B$2,-1+SUMPRODUCT(MAX(ROW(E2032:E$2)*(E2033=E2032:E$2)))))</f>
        <v> </v>
      </c>
      <c r="J2033" s="25" t="str">
        <f>IF(OR(E2033="",E2033="!!!",F2033="NEW"),"",COUNTBLANK(OFFSET(A$1,,,SUMPRODUCT(MAX(ROW(E$2:E2033)*(E2033=E$2:E2033)))))-COUNTBLANK(OFFSET(A$1,,,SUMPRODUCT(MAX(ROW(E$1:E2032)*(E2=E$1:E2032))))))</f>
        <v> </v>
      </c>
      <c r="K2033" s="25" t="str">
        <f>IF(OR(E2033="",E2033="!!!",F2033="NEW"),"",INDEX(J$1:J2032,SUMPRODUCT(MAX(ROW(E$1:E2032)*(E2033=E$1:E2032)))))</f>
        <v> </v>
      </c>
      <c r="L2033" s="26"/>
    </row>
    <row r="2034" spans="1:12">
      <c r="A2034" s="20" t="s">
        <v>822</v>
      </c>
      <c r="E2034" s="21">
        <f>IF(D2034="?OLD","!!!","")</f>
        <v/>
      </c>
      <c r="F2034" s="22" t="str">
        <f>IF(OR(E2034="",E2034="!!!"),"",IF(NOT(ISNA(VLOOKUP(E2034,E$1:E2033,1,FALSE()))),"OLD",IF(AND(E2034&lt;&gt;"",E2034&lt;&gt;"!!!"),"NEW","")))</f>
        <v> </v>
      </c>
      <c r="G2034" s="23" t="str">
        <f>IF(OR(E2034="",E2034="!!!"),"",IF(OR(J2034=0,AND(J2034=1,K2034=1),AND(J2034=1,I2034="SBJ"),AND(J2034=1,I2034=0)),"?IN_FOCUS",IF(J2034&lt;=2,"?ACTIVATED",IF(J2034&lt;&gt;"","?FAMILIAR",IF(F2034="NEW",IF(ISNA(VLOOKUP(E2034,#REF!,1,FALSE())),"?TYPE_IDENTIFIABLE","?REFERENTIAL"),"_")))))</f>
        <v> </v>
      </c>
      <c r="H2034" s="24" t="str">
        <f>IF(J2034&lt;&gt;1,"",IF(I2034="SBJ","CB","?"))</f>
        <v> </v>
      </c>
      <c r="I2034" s="25" t="str">
        <f>IF(OR(E2034="",E2034="!!!",F2034="NEW"),"",INDEX(B2033:B$2,-1+SUMPRODUCT(MAX(ROW(E2033:E$2)*(E2034=E2033:E$2)))))</f>
        <v> </v>
      </c>
      <c r="J2034" s="25" t="str">
        <f>IF(OR(E2034="",E2034="!!!",F2034="NEW"),"",COUNTBLANK(OFFSET(A$1,,,SUMPRODUCT(MAX(ROW(E$2:E2034)*(E2034=E$2:E2034)))))-COUNTBLANK(OFFSET(A$1,,,SUMPRODUCT(MAX(ROW(E$1:E2033)*(E2=E$1:E2033))))))</f>
        <v> </v>
      </c>
      <c r="K2034" s="25" t="str">
        <f>IF(OR(E2034="",E2034="!!!",F2034="NEW"),"",INDEX(J$1:J2033,SUMPRODUCT(MAX(ROW(E$1:E2033)*(E2034=E$1:E2033)))))</f>
        <v> </v>
      </c>
      <c r="L2034" s="26"/>
    </row>
    <row r="2035" spans="1:12">
      <c r="A2035" s="20" t="s">
        <v>1375</v>
      </c>
      <c r="B2035" s="27" t="s">
        <v>625</v>
      </c>
      <c r="C2035" s="27" t="s">
        <v>631</v>
      </c>
      <c r="D2035" s="27" t="s">
        <v>608</v>
      </c>
      <c r="E2035" s="21">
        <f>IF(D2035="?OLD","!!!","")</f>
        <v/>
      </c>
      <c r="F2035" s="22" t="str">
        <f>IF(OR(E2035="",E2035="!!!"),"",IF(NOT(ISNA(VLOOKUP(E2035,E$1:E2034,1,FALSE()))),"OLD",IF(AND(E2035&lt;&gt;"",E2035&lt;&gt;"!!!"),"NEW","")))</f>
        <v> </v>
      </c>
      <c r="G2035" s="23" t="str">
        <f>IF(OR(E2035="",E2035="!!!"),"",IF(OR(J2035=0,AND(J2035=1,K2035=1),AND(J2035=1,I2035="SBJ"),AND(J2035=1,I2035=0)),"?IN_FOCUS",IF(J2035&lt;=2,"?ACTIVATED",IF(J2035&lt;&gt;"","?FAMILIAR",IF(F2035="NEW",IF(ISNA(VLOOKUP(E2035,#REF!,1,FALSE())),"?TYPE_IDENTIFIABLE","?REFERENTIAL"),"_")))))</f>
        <v> </v>
      </c>
      <c r="H2035" s="24" t="str">
        <f>IF(J2035&lt;&gt;1,"",IF(I2035="SBJ","CB","?"))</f>
        <v> </v>
      </c>
      <c r="I2035" s="25" t="str">
        <f>IF(OR(E2035="",E2035="!!!",F2035="NEW"),"",INDEX(B2034:B$2,-1+SUMPRODUCT(MAX(ROW(E2034:E$2)*(E2035=E2034:E$2)))))</f>
        <v> </v>
      </c>
      <c r="J2035" s="25" t="str">
        <f>IF(OR(E2035="",E2035="!!!",F2035="NEW"),"",COUNTBLANK(OFFSET(A$1,,,SUMPRODUCT(MAX(ROW(E$2:E2035)*(E2035=E$2:E2035)))))-COUNTBLANK(OFFSET(A$1,,,SUMPRODUCT(MAX(ROW(E$1:E2034)*(E2=E$1:E2034))))))</f>
        <v> </v>
      </c>
      <c r="K2035" s="25" t="str">
        <f>IF(OR(E2035="",E2035="!!!",F2035="NEW"),"",INDEX(J$1:J2034,SUMPRODUCT(MAX(ROW(E$1:E2034)*(E2035=E$1:E2034)))))</f>
        <v> </v>
      </c>
      <c r="L2035" s="26"/>
    </row>
    <row r="2036" spans="1:12">
      <c r="A2036" s="20" t="s">
        <v>692</v>
      </c>
      <c r="E2036" s="21">
        <f>IF(D2036="?OLD","!!!","")</f>
        <v/>
      </c>
      <c r="F2036" s="22" t="str">
        <f>IF(OR(E2036="",E2036="!!!"),"",IF(NOT(ISNA(VLOOKUP(E2036,E$1:E2035,1,FALSE()))),"OLD",IF(AND(E2036&lt;&gt;"",E2036&lt;&gt;"!!!"),"NEW","")))</f>
        <v> </v>
      </c>
      <c r="G2036" s="23" t="str">
        <f>IF(OR(E2036="",E2036="!!!"),"",IF(OR(J2036=0,AND(J2036=1,K2036=1),AND(J2036=1,I2036="SBJ"),AND(J2036=1,I2036=0)),"?IN_FOCUS",IF(J2036&lt;=2,"?ACTIVATED",IF(J2036&lt;&gt;"","?FAMILIAR",IF(F2036="NEW",IF(ISNA(VLOOKUP(E2036,#REF!,1,FALSE())),"?TYPE_IDENTIFIABLE","?REFERENTIAL"),"_")))))</f>
        <v> </v>
      </c>
      <c r="H2036" s="24" t="str">
        <f>IF(J2036&lt;&gt;1,"",IF(I2036="SBJ","CB","?"))</f>
        <v> </v>
      </c>
      <c r="I2036" s="25" t="str">
        <f>IF(OR(E2036="",E2036="!!!",F2036="NEW"),"",INDEX(B2035:B$2,-1+SUMPRODUCT(MAX(ROW(E2035:E$2)*(E2036=E2035:E$2)))))</f>
        <v> </v>
      </c>
      <c r="J2036" s="25" t="str">
        <f>IF(OR(E2036="",E2036="!!!",F2036="NEW"),"",COUNTBLANK(OFFSET(A$1,,,SUMPRODUCT(MAX(ROW(E$2:E2036)*(E2036=E$2:E2036)))))-COUNTBLANK(OFFSET(A$1,,,SUMPRODUCT(MAX(ROW(E$1:E2035)*(E2=E$1:E2035))))))</f>
        <v> </v>
      </c>
      <c r="K2036" s="25" t="str">
        <f>IF(OR(E2036="",E2036="!!!",F2036="NEW"),"",INDEX(J$1:J2035,SUMPRODUCT(MAX(ROW(E$1:E2035)*(E2036=E$1:E2035)))))</f>
        <v> </v>
      </c>
      <c r="L2036" s="26"/>
    </row>
    <row r="2037" spans="1:12">
      <c r="A2037" s="20" t="s">
        <v>737</v>
      </c>
      <c r="E2037" s="21">
        <f>IF(D2037="?OLD","!!!","")</f>
        <v/>
      </c>
      <c r="F2037" s="22" t="str">
        <f>IF(OR(E2037="",E2037="!!!"),"",IF(NOT(ISNA(VLOOKUP(E2037,E$1:E2036,1,FALSE()))),"OLD",IF(AND(E2037&lt;&gt;"",E2037&lt;&gt;"!!!"),"NEW","")))</f>
        <v> </v>
      </c>
      <c r="G2037" s="23" t="str">
        <f>IF(OR(E2037="",E2037="!!!"),"",IF(OR(J2037=0,AND(J2037=1,K2037=1),AND(J2037=1,I2037="SBJ"),AND(J2037=1,I2037=0)),"?IN_FOCUS",IF(J2037&lt;=2,"?ACTIVATED",IF(J2037&lt;&gt;"","?FAMILIAR",IF(F2037="NEW",IF(ISNA(VLOOKUP(E2037,#REF!,1,FALSE())),"?TYPE_IDENTIFIABLE","?REFERENTIAL"),"_")))))</f>
        <v> </v>
      </c>
      <c r="H2037" s="24" t="str">
        <f>IF(J2037&lt;&gt;1,"",IF(I2037="SBJ","CB","?"))</f>
        <v> </v>
      </c>
      <c r="I2037" s="25" t="str">
        <f>IF(OR(E2037="",E2037="!!!",F2037="NEW"),"",INDEX(B2036:B$2,-1+SUMPRODUCT(MAX(ROW(E2036:E$2)*(E2037=E2036:E$2)))))</f>
        <v> </v>
      </c>
      <c r="J2037" s="25" t="str">
        <f>IF(OR(E2037="",E2037="!!!",F2037="NEW"),"",COUNTBLANK(OFFSET(A$1,,,SUMPRODUCT(MAX(ROW(E$2:E2037)*(E2037=E$2:E2037)))))-COUNTBLANK(OFFSET(A$1,,,SUMPRODUCT(MAX(ROW(E$1:E2036)*(E2=E$1:E2036))))))</f>
        <v> </v>
      </c>
      <c r="K2037" s="25" t="str">
        <f>IF(OR(E2037="",E2037="!!!",F2037="NEW"),"",INDEX(J$1:J2036,SUMPRODUCT(MAX(ROW(E$1:E2036)*(E2037=E$1:E2036)))))</f>
        <v> </v>
      </c>
      <c r="L2037" s="26"/>
    </row>
    <row r="2038" spans="1:12">
      <c r="A2038" s="20" t="s">
        <v>1376</v>
      </c>
      <c r="E2038" s="21">
        <f>IF(D2038="?OLD","!!!","")</f>
        <v/>
      </c>
      <c r="F2038" s="22" t="str">
        <f>IF(OR(E2038="",E2038="!!!"),"",IF(NOT(ISNA(VLOOKUP(E2038,E$1:E2037,1,FALSE()))),"OLD",IF(AND(E2038&lt;&gt;"",E2038&lt;&gt;"!!!"),"NEW","")))</f>
        <v> </v>
      </c>
      <c r="G2038" s="23" t="str">
        <f>IF(OR(E2038="",E2038="!!!"),"",IF(OR(J2038=0,AND(J2038=1,K2038=1),AND(J2038=1,I2038="SBJ"),AND(J2038=1,I2038=0)),"?IN_FOCUS",IF(J2038&lt;=2,"?ACTIVATED",IF(J2038&lt;&gt;"","?FAMILIAR",IF(F2038="NEW",IF(ISNA(VLOOKUP(E2038,#REF!,1,FALSE())),"?TYPE_IDENTIFIABLE","?REFERENTIAL"),"_")))))</f>
        <v> </v>
      </c>
      <c r="H2038" s="24" t="str">
        <f>IF(J2038&lt;&gt;1,"",IF(I2038="SBJ","CB","?"))</f>
        <v> </v>
      </c>
      <c r="I2038" s="25" t="str">
        <f>IF(OR(E2038="",E2038="!!!",F2038="NEW"),"",INDEX(B2037:B$2,-1+SUMPRODUCT(MAX(ROW(E2037:E$2)*(E2038=E2037:E$2)))))</f>
        <v> </v>
      </c>
      <c r="J2038" s="25" t="str">
        <f>IF(OR(E2038="",E2038="!!!",F2038="NEW"),"",COUNTBLANK(OFFSET(A$1,,,SUMPRODUCT(MAX(ROW(E$2:E2038)*(E2038=E$2:E2038)))))-COUNTBLANK(OFFSET(A$1,,,SUMPRODUCT(MAX(ROW(E$1:E2037)*(E2=E$1:E2037))))))</f>
        <v> </v>
      </c>
      <c r="K2038" s="25" t="str">
        <f>IF(OR(E2038="",E2038="!!!",F2038="NEW"),"",INDEX(J$1:J2037,SUMPRODUCT(MAX(ROW(E$1:E2037)*(E2038=E$1:E2037)))))</f>
        <v> </v>
      </c>
      <c r="L2038" s="26"/>
    </row>
    <row r="2039" spans="1:12">
      <c r="A2039" s="20" t="s">
        <v>1377</v>
      </c>
      <c r="E2039" s="21">
        <f>IF(D2039="?OLD","!!!","")</f>
        <v/>
      </c>
      <c r="F2039" s="22" t="str">
        <f>IF(OR(E2039="",E2039="!!!"),"",IF(NOT(ISNA(VLOOKUP(E2039,E$1:E2038,1,FALSE()))),"OLD",IF(AND(E2039&lt;&gt;"",E2039&lt;&gt;"!!!"),"NEW","")))</f>
        <v> </v>
      </c>
      <c r="G2039" s="23" t="str">
        <f>IF(OR(E2039="",E2039="!!!"),"",IF(OR(J2039=0,AND(J2039=1,K2039=1),AND(J2039=1,I2039="SBJ"),AND(J2039=1,I2039=0)),"?IN_FOCUS",IF(J2039&lt;=2,"?ACTIVATED",IF(J2039&lt;&gt;"","?FAMILIAR",IF(F2039="NEW",IF(ISNA(VLOOKUP(E2039,#REF!,1,FALSE())),"?TYPE_IDENTIFIABLE","?REFERENTIAL"),"_")))))</f>
        <v> </v>
      </c>
      <c r="H2039" s="24" t="str">
        <f>IF(J2039&lt;&gt;1,"",IF(I2039="SBJ","CB","?"))</f>
        <v> </v>
      </c>
      <c r="I2039" s="25" t="str">
        <f>IF(OR(E2039="",E2039="!!!",F2039="NEW"),"",INDEX(B2038:B$2,-1+SUMPRODUCT(MAX(ROW(E2038:E$2)*(E2039=E2038:E$2)))))</f>
        <v> </v>
      </c>
      <c r="J2039" s="25" t="str">
        <f>IF(OR(E2039="",E2039="!!!",F2039="NEW"),"",COUNTBLANK(OFFSET(A$1,,,SUMPRODUCT(MAX(ROW(E$2:E2039)*(E2039=E$2:E2039)))))-COUNTBLANK(OFFSET(A$1,,,SUMPRODUCT(MAX(ROW(E$1:E2038)*(E2=E$1:E2038))))))</f>
        <v> </v>
      </c>
      <c r="K2039" s="25" t="str">
        <f>IF(OR(E2039="",E2039="!!!",F2039="NEW"),"",INDEX(J$1:J2038,SUMPRODUCT(MAX(ROW(E$1:E2038)*(E2039=E$1:E2038)))))</f>
        <v> </v>
      </c>
      <c r="L2039" s="26"/>
    </row>
    <row r="2040" spans="1:12">
      <c r="A2040" s="20" t="s">
        <v>755</v>
      </c>
      <c r="E2040" s="21">
        <f>IF(D2040="?OLD","!!!","")</f>
        <v/>
      </c>
      <c r="F2040" s="22" t="str">
        <f>IF(OR(E2040="",E2040="!!!"),"",IF(NOT(ISNA(VLOOKUP(E2040,E$1:E2039,1,FALSE()))),"OLD",IF(AND(E2040&lt;&gt;"",E2040&lt;&gt;"!!!"),"NEW","")))</f>
        <v> </v>
      </c>
      <c r="G2040" s="23" t="str">
        <f>IF(OR(E2040="",E2040="!!!"),"",IF(OR(J2040=0,AND(J2040=1,K2040=1),AND(J2040=1,I2040="SBJ"),AND(J2040=1,I2040=0)),"?IN_FOCUS",IF(J2040&lt;=2,"?ACTIVATED",IF(J2040&lt;&gt;"","?FAMILIAR",IF(F2040="NEW",IF(ISNA(VLOOKUP(E2040,#REF!,1,FALSE())),"?TYPE_IDENTIFIABLE","?REFERENTIAL"),"_")))))</f>
        <v> </v>
      </c>
      <c r="H2040" s="24" t="str">
        <f>IF(J2040&lt;&gt;1,"",IF(I2040="SBJ","CB","?"))</f>
        <v> </v>
      </c>
      <c r="I2040" s="25" t="str">
        <f>IF(OR(E2040="",E2040="!!!",F2040="NEW"),"",INDEX(B2039:B$2,-1+SUMPRODUCT(MAX(ROW(E2039:E$2)*(E2040=E2039:E$2)))))</f>
        <v> </v>
      </c>
      <c r="J2040" s="25" t="str">
        <f>IF(OR(E2040="",E2040="!!!",F2040="NEW"),"",COUNTBLANK(OFFSET(A$1,,,SUMPRODUCT(MAX(ROW(E$2:E2040)*(E2040=E$2:E2040)))))-COUNTBLANK(OFFSET(A$1,,,SUMPRODUCT(MAX(ROW(E$1:E2039)*(E2=E$1:E2039))))))</f>
        <v> </v>
      </c>
      <c r="K2040" s="25" t="str">
        <f>IF(OR(E2040="",E2040="!!!",F2040="NEW"),"",INDEX(J$1:J2039,SUMPRODUCT(MAX(ROW(E$1:E2039)*(E2040=E$1:E2039)))))</f>
        <v> </v>
      </c>
      <c r="L2040" s="26"/>
    </row>
    <row r="2041" spans="1:12">
      <c r="A2041" s="20" t="s">
        <v>1378</v>
      </c>
      <c r="E2041" s="21">
        <f>IF(D2041="?OLD","!!!","")</f>
        <v/>
      </c>
      <c r="F2041" s="22" t="str">
        <f>IF(OR(E2041="",E2041="!!!"),"",IF(NOT(ISNA(VLOOKUP(E2041,E$1:E2040,1,FALSE()))),"OLD",IF(AND(E2041&lt;&gt;"",E2041&lt;&gt;"!!!"),"NEW","")))</f>
        <v> </v>
      </c>
      <c r="G2041" s="23" t="str">
        <f>IF(OR(E2041="",E2041="!!!"),"",IF(OR(J2041=0,AND(J2041=1,K2041=1),AND(J2041=1,I2041="SBJ"),AND(J2041=1,I2041=0)),"?IN_FOCUS",IF(J2041&lt;=2,"?ACTIVATED",IF(J2041&lt;&gt;"","?FAMILIAR",IF(F2041="NEW",IF(ISNA(VLOOKUP(E2041,#REF!,1,FALSE())),"?TYPE_IDENTIFIABLE","?REFERENTIAL"),"_")))))</f>
        <v> </v>
      </c>
      <c r="H2041" s="24" t="str">
        <f>IF(J2041&lt;&gt;1,"",IF(I2041="SBJ","CB","?"))</f>
        <v> </v>
      </c>
      <c r="I2041" s="25" t="str">
        <f>IF(OR(E2041="",E2041="!!!",F2041="NEW"),"",INDEX(B2040:B$2,-1+SUMPRODUCT(MAX(ROW(E2040:E$2)*(E2041=E2040:E$2)))))</f>
        <v> </v>
      </c>
      <c r="J2041" s="25" t="str">
        <f>IF(OR(E2041="",E2041="!!!",F2041="NEW"),"",COUNTBLANK(OFFSET(A$1,,,SUMPRODUCT(MAX(ROW(E$2:E2041)*(E2041=E$2:E2041)))))-COUNTBLANK(OFFSET(A$1,,,SUMPRODUCT(MAX(ROW(E$1:E2040)*(E2=E$1:E2040))))))</f>
        <v> </v>
      </c>
      <c r="K2041" s="25" t="str">
        <f>IF(OR(E2041="",E2041="!!!",F2041="NEW"),"",INDEX(J$1:J2040,SUMPRODUCT(MAX(ROW(E$1:E2040)*(E2041=E$1:E2040)))))</f>
        <v> </v>
      </c>
      <c r="L2041" s="26"/>
    </row>
    <row r="2042" spans="1:12">
      <c r="A2042" s="20" t="s">
        <v>633</v>
      </c>
      <c r="E2042" s="21">
        <f>IF(D2042="?OLD","!!!","")</f>
        <v/>
      </c>
      <c r="F2042" s="22" t="str">
        <f>IF(OR(E2042="",E2042="!!!"),"",IF(NOT(ISNA(VLOOKUP(E2042,E$1:E2041,1,FALSE()))),"OLD",IF(AND(E2042&lt;&gt;"",E2042&lt;&gt;"!!!"),"NEW","")))</f>
        <v> </v>
      </c>
      <c r="G2042" s="23" t="str">
        <f>IF(OR(E2042="",E2042="!!!"),"",IF(OR(J2042=0,AND(J2042=1,K2042=1),AND(J2042=1,I2042="SBJ"),AND(J2042=1,I2042=0)),"?IN_FOCUS",IF(J2042&lt;=2,"?ACTIVATED",IF(J2042&lt;&gt;"","?FAMILIAR",IF(F2042="NEW",IF(ISNA(VLOOKUP(E2042,#REF!,1,FALSE())),"?TYPE_IDENTIFIABLE","?REFERENTIAL"),"_")))))</f>
        <v> </v>
      </c>
      <c r="H2042" s="24" t="str">
        <f>IF(J2042&lt;&gt;1,"",IF(I2042="SBJ","CB","?"))</f>
        <v> </v>
      </c>
      <c r="I2042" s="25" t="str">
        <f>IF(OR(E2042="",E2042="!!!",F2042="NEW"),"",INDEX(B2041:B$2,-1+SUMPRODUCT(MAX(ROW(E2041:E$2)*(E2042=E2041:E$2)))))</f>
        <v> </v>
      </c>
      <c r="J2042" s="25" t="str">
        <f>IF(OR(E2042="",E2042="!!!",F2042="NEW"),"",COUNTBLANK(OFFSET(A$1,,,SUMPRODUCT(MAX(ROW(E$2:E2042)*(E2042=E$2:E2042)))))-COUNTBLANK(OFFSET(A$1,,,SUMPRODUCT(MAX(ROW(E$1:E2041)*(E2=E$1:E2041))))))</f>
        <v> </v>
      </c>
      <c r="K2042" s="25" t="str">
        <f>IF(OR(E2042="",E2042="!!!",F2042="NEW"),"",INDEX(J$1:J2041,SUMPRODUCT(MAX(ROW(E$1:E2041)*(E2042=E$1:E2041)))))</f>
        <v> </v>
      </c>
      <c r="L2042" s="26"/>
    </row>
    <row r="2043" spans="1:12">
      <c r="A2043" s="20"/>
    </row>
    <row r="2044" spans="1:12">
      <c r="A2044" s="20" t="s">
        <v>1379</v>
      </c>
    </row>
    <row r="2045" spans="1:12">
      <c r="A2045" s="20" t="s">
        <v>1127</v>
      </c>
      <c r="B2045" s="27" t="s">
        <v>636</v>
      </c>
      <c r="C2045" s="27" t="s">
        <v>626</v>
      </c>
      <c r="E2045" s="21">
        <f>IF(D2045="?OLD","!!!","")</f>
        <v/>
      </c>
      <c r="F2045" s="22" t="str">
        <f>IF(OR(E2045="",E2045="!!!"),"",IF(NOT(ISNA(VLOOKUP(E2045,E$1:E2044,1,FALSE()))),"OLD",IF(AND(E2045&lt;&gt;"",E2045&lt;&gt;"!!!"),"NEW","")))</f>
        <v> </v>
      </c>
      <c r="G2045" s="23" t="str">
        <f>IF(OR(E2045="",E2045="!!!"),"",IF(OR(J2045=0,AND(J2045=1,K2045=1),AND(J2045=1,I2045="SBJ"),AND(J2045=1,I2045=0)),"?IN_FOCUS",IF(J2045&lt;=2,"?ACTIVATED",IF(J2045&lt;&gt;"","?FAMILIAR",IF(F2045="NEW",IF(ISNA(VLOOKUP(E2045,#REF!,1,FALSE())),"?TYPE_IDENTIFIABLE","?REFERENTIAL"),"_")))))</f>
        <v> </v>
      </c>
      <c r="H2045" s="24" t="str">
        <f>IF(J2045&lt;&gt;1,"",IF(I2045="SBJ","CB","?"))</f>
        <v> </v>
      </c>
      <c r="I2045" s="25" t="str">
        <f>IF(OR(E2045="",E2045="!!!",F2045="NEW"),"",INDEX(B2044:B$2,-1+SUMPRODUCT(MAX(ROW(E2044:E$2)*(E2045=E2044:E$2)))))</f>
        <v> </v>
      </c>
      <c r="J2045" s="25" t="str">
        <f>IF(OR(E2045="",E2045="!!!",F2045="NEW"),"",COUNTBLANK(OFFSET(A$1,,,SUMPRODUCT(MAX(ROW(E$2:E2045)*(E2045=E$2:E2045)))))-COUNTBLANK(OFFSET(A$1,,,SUMPRODUCT(MAX(ROW(E$1:E2044)*(E2=E$1:E2044))))))</f>
        <v> </v>
      </c>
      <c r="K2045" s="25" t="str">
        <f>IF(OR(E2045="",E2045="!!!",F2045="NEW"),"",INDEX(J$1:J2044,SUMPRODUCT(MAX(ROW(E$1:E2044)*(E2045=E$1:E2044)))))</f>
        <v> </v>
      </c>
      <c r="L2045" s="26"/>
    </row>
    <row r="2046" spans="1:12">
      <c r="A2046" s="20" t="s">
        <v>748</v>
      </c>
      <c r="E2046" s="21">
        <f>IF(D2046="?OLD","!!!","")</f>
        <v/>
      </c>
      <c r="F2046" s="22" t="str">
        <f>IF(OR(E2046="",E2046="!!!"),"",IF(NOT(ISNA(VLOOKUP(E2046,E$1:E2045,1,FALSE()))),"OLD",IF(AND(E2046&lt;&gt;"",E2046&lt;&gt;"!!!"),"NEW","")))</f>
        <v> </v>
      </c>
      <c r="G2046" s="23" t="str">
        <f>IF(OR(E2046="",E2046="!!!"),"",IF(OR(J2046=0,AND(J2046=1,K2046=1),AND(J2046=1,I2046="SBJ"),AND(J2046=1,I2046=0)),"?IN_FOCUS",IF(J2046&lt;=2,"?ACTIVATED",IF(J2046&lt;&gt;"","?FAMILIAR",IF(F2046="NEW",IF(ISNA(VLOOKUP(E2046,#REF!,1,FALSE())),"?TYPE_IDENTIFIABLE","?REFERENTIAL"),"_")))))</f>
        <v> </v>
      </c>
      <c r="H2046" s="24" t="str">
        <f>IF(J2046&lt;&gt;1,"",IF(I2046="SBJ","CB","?"))</f>
        <v> </v>
      </c>
      <c r="I2046" s="25" t="str">
        <f>IF(OR(E2046="",E2046="!!!",F2046="NEW"),"",INDEX(B2045:B$2,-1+SUMPRODUCT(MAX(ROW(E2045:E$2)*(E2046=E2045:E$2)))))</f>
        <v> </v>
      </c>
      <c r="J2046" s="25" t="str">
        <f>IF(OR(E2046="",E2046="!!!",F2046="NEW"),"",COUNTBLANK(OFFSET(A$1,,,SUMPRODUCT(MAX(ROW(E$2:E2046)*(E2046=E$2:E2046)))))-COUNTBLANK(OFFSET(A$1,,,SUMPRODUCT(MAX(ROW(E$1:E2045)*(E2=E$1:E2045))))))</f>
        <v> </v>
      </c>
      <c r="K2046" s="25" t="str">
        <f>IF(OR(E2046="",E2046="!!!",F2046="NEW"),"",INDEX(J$1:J2045,SUMPRODUCT(MAX(ROW(E$1:E2045)*(E2046=E$1:E2045)))))</f>
        <v> </v>
      </c>
      <c r="L2046" s="26"/>
    </row>
    <row r="2047" spans="1:12">
      <c r="A2047" s="20" t="s">
        <v>1380</v>
      </c>
      <c r="B2047" s="27" t="s">
        <v>653</v>
      </c>
      <c r="C2047" s="27" t="s">
        <v>637</v>
      </c>
      <c r="D2047" s="27" t="s">
        <v>608</v>
      </c>
      <c r="E2047" s="21">
        <f>IF(D2047="?OLD","!!!","")</f>
        <v/>
      </c>
      <c r="F2047" s="22" t="str">
        <f>IF(OR(E2047="",E2047="!!!"),"",IF(NOT(ISNA(VLOOKUP(E2047,E$1:E2046,1,FALSE()))),"OLD",IF(AND(E2047&lt;&gt;"",E2047&lt;&gt;"!!!"),"NEW","")))</f>
        <v> </v>
      </c>
      <c r="G2047" s="23" t="str">
        <f>IF(OR(E2047="",E2047="!!!"),"",IF(OR(J2047=0,AND(J2047=1,K2047=1),AND(J2047=1,I2047="SBJ"),AND(J2047=1,I2047=0)),"?IN_FOCUS",IF(J2047&lt;=2,"?ACTIVATED",IF(J2047&lt;&gt;"","?FAMILIAR",IF(F2047="NEW",IF(ISNA(VLOOKUP(E2047,#REF!,1,FALSE())),"?TYPE_IDENTIFIABLE","?REFERENTIAL"),"_")))))</f>
        <v> </v>
      </c>
      <c r="H2047" s="24" t="str">
        <f>IF(J2047&lt;&gt;1,"",IF(I2047="SBJ","CB","?"))</f>
        <v> </v>
      </c>
      <c r="I2047" s="25" t="str">
        <f>IF(OR(E2047="",E2047="!!!",F2047="NEW"),"",INDEX(B2046:B$2,-1+SUMPRODUCT(MAX(ROW(E2046:E$2)*(E2047=E2046:E$2)))))</f>
        <v> </v>
      </c>
      <c r="J2047" s="25" t="str">
        <f>IF(OR(E2047="",E2047="!!!",F2047="NEW"),"",COUNTBLANK(OFFSET(A$1,,,SUMPRODUCT(MAX(ROW(E$2:E2047)*(E2047=E$2:E2047)))))-COUNTBLANK(OFFSET(A$1,,,SUMPRODUCT(MAX(ROW(E$1:E2046)*(E2=E$1:E2046))))))</f>
        <v> </v>
      </c>
      <c r="K2047" s="25" t="str">
        <f>IF(OR(E2047="",E2047="!!!",F2047="NEW"),"",INDEX(J$1:J2046,SUMPRODUCT(MAX(ROW(E$1:E2046)*(E2047=E$1:E2046)))))</f>
        <v> </v>
      </c>
      <c r="L2047" s="26"/>
    </row>
    <row r="2048" spans="1:12">
      <c r="A2048" s="20" t="s">
        <v>1381</v>
      </c>
      <c r="E2048" s="21">
        <f>IF(D2048="?OLD","!!!","")</f>
        <v/>
      </c>
      <c r="F2048" s="22" t="str">
        <f>IF(OR(E2048="",E2048="!!!"),"",IF(NOT(ISNA(VLOOKUP(E2048,E$1:E2047,1,FALSE()))),"OLD",IF(AND(E2048&lt;&gt;"",E2048&lt;&gt;"!!!"),"NEW","")))</f>
        <v> </v>
      </c>
      <c r="G2048" s="23" t="str">
        <f>IF(OR(E2048="",E2048="!!!"),"",IF(OR(J2048=0,AND(J2048=1,K2048=1),AND(J2048=1,I2048="SBJ"),AND(J2048=1,I2048=0)),"?IN_FOCUS",IF(J2048&lt;=2,"?ACTIVATED",IF(J2048&lt;&gt;"","?FAMILIAR",IF(F2048="NEW",IF(ISNA(VLOOKUP(E2048,#REF!,1,FALSE())),"?TYPE_IDENTIFIABLE","?REFERENTIAL"),"_")))))</f>
        <v> </v>
      </c>
      <c r="H2048" s="24" t="str">
        <f>IF(J2048&lt;&gt;1,"",IF(I2048="SBJ","CB","?"))</f>
        <v> </v>
      </c>
      <c r="I2048" s="25" t="str">
        <f>IF(OR(E2048="",E2048="!!!",F2048="NEW"),"",INDEX(B2047:B$2,-1+SUMPRODUCT(MAX(ROW(E2047:E$2)*(E2048=E2047:E$2)))))</f>
        <v> </v>
      </c>
      <c r="J2048" s="25" t="str">
        <f>IF(OR(E2048="",E2048="!!!",F2048="NEW"),"",COUNTBLANK(OFFSET(A$1,,,SUMPRODUCT(MAX(ROW(E$2:E2048)*(E2048=E$2:E2048)))))-COUNTBLANK(OFFSET(A$1,,,SUMPRODUCT(MAX(ROW(E$1:E2047)*(E2=E$1:E2047))))))</f>
        <v> </v>
      </c>
      <c r="K2048" s="25" t="str">
        <f>IF(OR(E2048="",E2048="!!!",F2048="NEW"),"",INDEX(J$1:J2047,SUMPRODUCT(MAX(ROW(E$1:E2047)*(E2048=E$1:E2047)))))</f>
        <v> </v>
      </c>
      <c r="L2048" s="26"/>
    </row>
    <row r="2049" spans="1:12">
      <c r="A2049" s="20" t="s">
        <v>644</v>
      </c>
      <c r="E2049" s="21">
        <f>IF(D2049="?OLD","!!!","")</f>
        <v/>
      </c>
      <c r="F2049" s="22" t="str">
        <f>IF(OR(E2049="",E2049="!!!"),"",IF(NOT(ISNA(VLOOKUP(E2049,E$1:E2048,1,FALSE()))),"OLD",IF(AND(E2049&lt;&gt;"",E2049&lt;&gt;"!!!"),"NEW","")))</f>
        <v> </v>
      </c>
      <c r="G2049" s="23" t="str">
        <f>IF(OR(E2049="",E2049="!!!"),"",IF(OR(J2049=0,AND(J2049=1,K2049=1),AND(J2049=1,I2049="SBJ"),AND(J2049=1,I2049=0)),"?IN_FOCUS",IF(J2049&lt;=2,"?ACTIVATED",IF(J2049&lt;&gt;"","?FAMILIAR",IF(F2049="NEW",IF(ISNA(VLOOKUP(E2049,#REF!,1,FALSE())),"?TYPE_IDENTIFIABLE","?REFERENTIAL"),"_")))))</f>
        <v> </v>
      </c>
      <c r="H2049" s="24" t="str">
        <f>IF(J2049&lt;&gt;1,"",IF(I2049="SBJ","CB","?"))</f>
        <v> </v>
      </c>
      <c r="I2049" s="25" t="str">
        <f>IF(OR(E2049="",E2049="!!!",F2049="NEW"),"",INDEX(B2048:B$2,-1+SUMPRODUCT(MAX(ROW(E2048:E$2)*(E2049=E2048:E$2)))))</f>
        <v> </v>
      </c>
      <c r="J2049" s="25" t="str">
        <f>IF(OR(E2049="",E2049="!!!",F2049="NEW"),"",COUNTBLANK(OFFSET(A$1,,,SUMPRODUCT(MAX(ROW(E$2:E2049)*(E2049=E$2:E2049)))))-COUNTBLANK(OFFSET(A$1,,,SUMPRODUCT(MAX(ROW(E$1:E2048)*(E2=E$1:E2048))))))</f>
        <v> </v>
      </c>
      <c r="K2049" s="25" t="str">
        <f>IF(OR(E2049="",E2049="!!!",F2049="NEW"),"",INDEX(J$1:J2048,SUMPRODUCT(MAX(ROW(E$1:E2048)*(E2049=E$1:E2048)))))</f>
        <v> </v>
      </c>
      <c r="L2049" s="26"/>
    </row>
    <row r="2050" spans="1:12">
      <c r="A2050" s="20" t="s">
        <v>720</v>
      </c>
      <c r="E2050" s="21">
        <f>IF(D2050="?OLD","!!!","")</f>
        <v/>
      </c>
      <c r="F2050" s="22" t="str">
        <f>IF(OR(E2050="",E2050="!!!"),"",IF(NOT(ISNA(VLOOKUP(E2050,E$1:E2049,1,FALSE()))),"OLD",IF(AND(E2050&lt;&gt;"",E2050&lt;&gt;"!!!"),"NEW","")))</f>
        <v> </v>
      </c>
      <c r="G2050" s="23" t="str">
        <f>IF(OR(E2050="",E2050="!!!"),"",IF(OR(J2050=0,AND(J2050=1,K2050=1),AND(J2050=1,I2050="SBJ"),AND(J2050=1,I2050=0)),"?IN_FOCUS",IF(J2050&lt;=2,"?ACTIVATED",IF(J2050&lt;&gt;"","?FAMILIAR",IF(F2050="NEW",IF(ISNA(VLOOKUP(E2050,#REF!,1,FALSE())),"?TYPE_IDENTIFIABLE","?REFERENTIAL"),"_")))))</f>
        <v> </v>
      </c>
      <c r="H2050" s="24" t="str">
        <f>IF(J2050&lt;&gt;1,"",IF(I2050="SBJ","CB","?"))</f>
        <v> </v>
      </c>
      <c r="I2050" s="25" t="str">
        <f>IF(OR(E2050="",E2050="!!!",F2050="NEW"),"",INDEX(B2049:B$2,-1+SUMPRODUCT(MAX(ROW(E2049:E$2)*(E2050=E2049:E$2)))))</f>
        <v> </v>
      </c>
      <c r="J2050" s="25" t="str">
        <f>IF(OR(E2050="",E2050="!!!",F2050="NEW"),"",COUNTBLANK(OFFSET(A$1,,,SUMPRODUCT(MAX(ROW(E$2:E2050)*(E2050=E$2:E2050)))))-COUNTBLANK(OFFSET(A$1,,,SUMPRODUCT(MAX(ROW(E$1:E2049)*(E2=E$1:E2049))))))</f>
        <v> </v>
      </c>
      <c r="K2050" s="25" t="str">
        <f>IF(OR(E2050="",E2050="!!!",F2050="NEW"),"",INDEX(J$1:J2049,SUMPRODUCT(MAX(ROW(E$1:E2049)*(E2050=E$1:E2049)))))</f>
        <v> </v>
      </c>
      <c r="L2050" s="26"/>
    </row>
    <row r="2051" spans="1:12">
      <c r="A2051" s="20" t="s">
        <v>807</v>
      </c>
      <c r="B2051" s="27" t="s">
        <v>611</v>
      </c>
      <c r="C2051" s="27" t="s">
        <v>652</v>
      </c>
      <c r="D2051" s="27" t="s">
        <v>608</v>
      </c>
      <c r="E2051" s="21">
        <f>IF(D2051="?OLD","!!!","")</f>
        <v/>
      </c>
      <c r="F2051" s="22" t="str">
        <f>IF(OR(E2051="",E2051="!!!"),"",IF(NOT(ISNA(VLOOKUP(E2051,E$1:E2050,1,FALSE()))),"OLD",IF(AND(E2051&lt;&gt;"",E2051&lt;&gt;"!!!"),"NEW","")))</f>
        <v> </v>
      </c>
      <c r="G2051" s="23" t="str">
        <f>IF(OR(E2051="",E2051="!!!"),"",IF(OR(J2051=0,AND(J2051=1,K2051=1),AND(J2051=1,I2051="SBJ"),AND(J2051=1,I2051=0)),"?IN_FOCUS",IF(J2051&lt;=2,"?ACTIVATED",IF(J2051&lt;&gt;"","?FAMILIAR",IF(F2051="NEW",IF(ISNA(VLOOKUP(E2051,#REF!,1,FALSE())),"?TYPE_IDENTIFIABLE","?REFERENTIAL"),"_")))))</f>
        <v> </v>
      </c>
      <c r="H2051" s="24" t="str">
        <f>IF(J2051&lt;&gt;1,"",IF(I2051="SBJ","CB","?"))</f>
        <v> </v>
      </c>
      <c r="I2051" s="25" t="str">
        <f>IF(OR(E2051="",E2051="!!!",F2051="NEW"),"",INDEX(B2050:B$2,-1+SUMPRODUCT(MAX(ROW(E2050:E$2)*(E2051=E2050:E$2)))))</f>
        <v> </v>
      </c>
      <c r="J2051" s="25" t="str">
        <f>IF(OR(E2051="",E2051="!!!",F2051="NEW"),"",COUNTBLANK(OFFSET(A$1,,,SUMPRODUCT(MAX(ROW(E$2:E2051)*(E2051=E$2:E2051)))))-COUNTBLANK(OFFSET(A$1,,,SUMPRODUCT(MAX(ROW(E$1:E2050)*(E2=E$1:E2050))))))</f>
        <v> </v>
      </c>
      <c r="K2051" s="25" t="str">
        <f>IF(OR(E2051="",E2051="!!!",F2051="NEW"),"",INDEX(J$1:J2050,SUMPRODUCT(MAX(ROW(E$1:E2050)*(E2051=E$1:E2050)))))</f>
        <v> </v>
      </c>
      <c r="L2051" s="26"/>
    </row>
    <row r="2052" spans="1:12">
      <c r="A2052" s="20" t="s">
        <v>1382</v>
      </c>
      <c r="E2052" s="21">
        <f>IF(D2052="?OLD","!!!","")</f>
        <v/>
      </c>
      <c r="F2052" s="22" t="str">
        <f>IF(OR(E2052="",E2052="!!!"),"",IF(NOT(ISNA(VLOOKUP(E2052,E$1:E2051,1,FALSE()))),"OLD",IF(AND(E2052&lt;&gt;"",E2052&lt;&gt;"!!!"),"NEW","")))</f>
        <v> </v>
      </c>
      <c r="G2052" s="23" t="str">
        <f>IF(OR(E2052="",E2052="!!!"),"",IF(OR(J2052=0,AND(J2052=1,K2052=1),AND(J2052=1,I2052="SBJ"),AND(J2052=1,I2052=0)),"?IN_FOCUS",IF(J2052&lt;=2,"?ACTIVATED",IF(J2052&lt;&gt;"","?FAMILIAR",IF(F2052="NEW",IF(ISNA(VLOOKUP(E2052,#REF!,1,FALSE())),"?TYPE_IDENTIFIABLE","?REFERENTIAL"),"_")))))</f>
        <v> </v>
      </c>
      <c r="H2052" s="24" t="str">
        <f>IF(J2052&lt;&gt;1,"",IF(I2052="SBJ","CB","?"))</f>
        <v> </v>
      </c>
      <c r="I2052" s="25" t="str">
        <f>IF(OR(E2052="",E2052="!!!",F2052="NEW"),"",INDEX(B2051:B$2,-1+SUMPRODUCT(MAX(ROW(E2051:E$2)*(E2052=E2051:E$2)))))</f>
        <v> </v>
      </c>
      <c r="J2052" s="25" t="str">
        <f>IF(OR(E2052="",E2052="!!!",F2052="NEW"),"",COUNTBLANK(OFFSET(A$1,,,SUMPRODUCT(MAX(ROW(E$2:E2052)*(E2052=E$2:E2052)))))-COUNTBLANK(OFFSET(A$1,,,SUMPRODUCT(MAX(ROW(E$1:E2051)*(E2=E$1:E2051))))))</f>
        <v> </v>
      </c>
      <c r="K2052" s="25" t="str">
        <f>IF(OR(E2052="",E2052="!!!",F2052="NEW"),"",INDEX(J$1:J2051,SUMPRODUCT(MAX(ROW(E$1:E2051)*(E2052=E$1:E2051)))))</f>
        <v> </v>
      </c>
      <c r="L2052" s="26"/>
    </row>
    <row r="2053" spans="1:12">
      <c r="A2053" s="20" t="s">
        <v>755</v>
      </c>
      <c r="E2053" s="21">
        <f>IF(D2053="?OLD","!!!","")</f>
        <v/>
      </c>
      <c r="F2053" s="22" t="str">
        <f>IF(OR(E2053="",E2053="!!!"),"",IF(NOT(ISNA(VLOOKUP(E2053,E$1:E2052,1,FALSE()))),"OLD",IF(AND(E2053&lt;&gt;"",E2053&lt;&gt;"!!!"),"NEW","")))</f>
        <v> </v>
      </c>
      <c r="G2053" s="23" t="str">
        <f>IF(OR(E2053="",E2053="!!!"),"",IF(OR(J2053=0,AND(J2053=1,K2053=1),AND(J2053=1,I2053="SBJ"),AND(J2053=1,I2053=0)),"?IN_FOCUS",IF(J2053&lt;=2,"?ACTIVATED",IF(J2053&lt;&gt;"","?FAMILIAR",IF(F2053="NEW",IF(ISNA(VLOOKUP(E2053,#REF!,1,FALSE())),"?TYPE_IDENTIFIABLE","?REFERENTIAL"),"_")))))</f>
        <v> </v>
      </c>
      <c r="H2053" s="24" t="str">
        <f>IF(J2053&lt;&gt;1,"",IF(I2053="SBJ","CB","?"))</f>
        <v> </v>
      </c>
      <c r="I2053" s="25" t="str">
        <f>IF(OR(E2053="",E2053="!!!",F2053="NEW"),"",INDEX(B2052:B$2,-1+SUMPRODUCT(MAX(ROW(E2052:E$2)*(E2053=E2052:E$2)))))</f>
        <v> </v>
      </c>
      <c r="J2053" s="25" t="str">
        <f>IF(OR(E2053="",E2053="!!!",F2053="NEW"),"",COUNTBLANK(OFFSET(A$1,,,SUMPRODUCT(MAX(ROW(E$2:E2053)*(E2053=E$2:E2053)))))-COUNTBLANK(OFFSET(A$1,,,SUMPRODUCT(MAX(ROW(E$1:E2052)*(E2=E$1:E2052))))))</f>
        <v> </v>
      </c>
      <c r="K2053" s="25" t="str">
        <f>IF(OR(E2053="",E2053="!!!",F2053="NEW"),"",INDEX(J$1:J2052,SUMPRODUCT(MAX(ROW(E$1:E2052)*(E2053=E$1:E2052)))))</f>
        <v> </v>
      </c>
      <c r="L2053" s="26"/>
    </row>
    <row r="2054" spans="1:12">
      <c r="A2054" s="20" t="s">
        <v>633</v>
      </c>
      <c r="E2054" s="21">
        <f>IF(D2054="?OLD","!!!","")</f>
        <v/>
      </c>
      <c r="F2054" s="22" t="str">
        <f>IF(OR(E2054="",E2054="!!!"),"",IF(NOT(ISNA(VLOOKUP(E2054,E$1:E2053,1,FALSE()))),"OLD",IF(AND(E2054&lt;&gt;"",E2054&lt;&gt;"!!!"),"NEW","")))</f>
        <v> </v>
      </c>
      <c r="G2054" s="23" t="str">
        <f>IF(OR(E2054="",E2054="!!!"),"",IF(OR(J2054=0,AND(J2054=1,K2054=1),AND(J2054=1,I2054="SBJ"),AND(J2054=1,I2054=0)),"?IN_FOCUS",IF(J2054&lt;=2,"?ACTIVATED",IF(J2054&lt;&gt;"","?FAMILIAR",IF(F2054="NEW",IF(ISNA(VLOOKUP(E2054,#REF!,1,FALSE())),"?TYPE_IDENTIFIABLE","?REFERENTIAL"),"_")))))</f>
        <v> </v>
      </c>
      <c r="H2054" s="24" t="str">
        <f>IF(J2054&lt;&gt;1,"",IF(I2054="SBJ","CB","?"))</f>
        <v> </v>
      </c>
      <c r="I2054" s="25" t="str">
        <f>IF(OR(E2054="",E2054="!!!",F2054="NEW"),"",INDEX(B2053:B$2,-1+SUMPRODUCT(MAX(ROW(E2053:E$2)*(E2054=E2053:E$2)))))</f>
        <v> </v>
      </c>
      <c r="J2054" s="25" t="str">
        <f>IF(OR(E2054="",E2054="!!!",F2054="NEW"),"",COUNTBLANK(OFFSET(A$1,,,SUMPRODUCT(MAX(ROW(E$2:E2054)*(E2054=E$2:E2054)))))-COUNTBLANK(OFFSET(A$1,,,SUMPRODUCT(MAX(ROW(E$1:E2053)*(E2=E$1:E2053))))))</f>
        <v> </v>
      </c>
      <c r="K2054" s="25" t="str">
        <f>IF(OR(E2054="",E2054="!!!",F2054="NEW"),"",INDEX(J$1:J2053,SUMPRODUCT(MAX(ROW(E$1:E2053)*(E2054=E$1:E2053)))))</f>
        <v> </v>
      </c>
      <c r="L2054" s="26"/>
    </row>
    <row r="2055" spans="1:12">
      <c r="A2055" s="20"/>
    </row>
    <row r="2056" spans="1:12">
      <c r="A2056" s="20" t="s">
        <v>1383</v>
      </c>
    </row>
    <row r="2057" spans="1:12">
      <c r="A2057" s="20" t="s">
        <v>814</v>
      </c>
      <c r="E2057" s="21">
        <f>IF(D2057="?OLD","!!!","")</f>
        <v/>
      </c>
      <c r="F2057" s="22" t="str">
        <f>IF(OR(E2057="",E2057="!!!"),"",IF(NOT(ISNA(VLOOKUP(E2057,E$1:E2056,1,FALSE()))),"OLD",IF(AND(E2057&lt;&gt;"",E2057&lt;&gt;"!!!"),"NEW","")))</f>
        <v> </v>
      </c>
      <c r="G2057" s="23" t="str">
        <f>IF(OR(E2057="",E2057="!!!"),"",IF(OR(J2057=0,AND(J2057=1,K2057=1),AND(J2057=1,I2057="SBJ"),AND(J2057=1,I2057=0)),"?IN_FOCUS",IF(J2057&lt;=2,"?ACTIVATED",IF(J2057&lt;&gt;"","?FAMILIAR",IF(F2057="NEW",IF(ISNA(VLOOKUP(E2057,#REF!,1,FALSE())),"?TYPE_IDENTIFIABLE","?REFERENTIAL"),"_")))))</f>
        <v> </v>
      </c>
      <c r="H2057" s="24" t="str">
        <f>IF(J2057&lt;&gt;1,"",IF(I2057="SBJ","CB","?"))</f>
        <v> </v>
      </c>
      <c r="I2057" s="25" t="str">
        <f>IF(OR(E2057="",E2057="!!!",F2057="NEW"),"",INDEX(B2056:B$2,-1+SUMPRODUCT(MAX(ROW(E2056:E$2)*(E2057=E2056:E$2)))))</f>
        <v> </v>
      </c>
      <c r="J2057" s="25" t="str">
        <f>IF(OR(E2057="",E2057="!!!",F2057="NEW"),"",COUNTBLANK(OFFSET(A$1,,,SUMPRODUCT(MAX(ROW(E$2:E2057)*(E2057=E$2:E2057)))))-COUNTBLANK(OFFSET(A$1,,,SUMPRODUCT(MAX(ROW(E$1:E2056)*(E2=E$1:E2056))))))</f>
        <v> </v>
      </c>
      <c r="K2057" s="25" t="str">
        <f>IF(OR(E2057="",E2057="!!!",F2057="NEW"),"",INDEX(J$1:J2056,SUMPRODUCT(MAX(ROW(E$1:E2056)*(E2057=E$1:E2056)))))</f>
        <v> </v>
      </c>
      <c r="L2057" s="26"/>
    </row>
    <row r="2058" spans="1:12">
      <c r="A2058" s="20" t="s">
        <v>807</v>
      </c>
      <c r="B2058" s="27" t="s">
        <v>636</v>
      </c>
      <c r="C2058" s="27" t="s">
        <v>652</v>
      </c>
      <c r="D2058" s="27" t="s">
        <v>608</v>
      </c>
      <c r="E2058" s="21">
        <f>IF(D2058="?OLD","!!!","")</f>
        <v/>
      </c>
      <c r="F2058" s="22" t="str">
        <f>IF(OR(E2058="",E2058="!!!"),"",IF(NOT(ISNA(VLOOKUP(E2058,E$1:E2057,1,FALSE()))),"OLD",IF(AND(E2058&lt;&gt;"",E2058&lt;&gt;"!!!"),"NEW","")))</f>
        <v> </v>
      </c>
      <c r="G2058" s="23" t="str">
        <f>IF(OR(E2058="",E2058="!!!"),"",IF(OR(J2058=0,AND(J2058=1,K2058=1),AND(J2058=1,I2058="SBJ"),AND(J2058=1,I2058=0)),"?IN_FOCUS",IF(J2058&lt;=2,"?ACTIVATED",IF(J2058&lt;&gt;"","?FAMILIAR",IF(F2058="NEW",IF(ISNA(VLOOKUP(E2058,#REF!,1,FALSE())),"?TYPE_IDENTIFIABLE","?REFERENTIAL"),"_")))))</f>
        <v> </v>
      </c>
      <c r="H2058" s="24" t="str">
        <f>IF(J2058&lt;&gt;1,"",IF(I2058="SBJ","CB","?"))</f>
        <v> </v>
      </c>
      <c r="I2058" s="25" t="str">
        <f>IF(OR(E2058="",E2058="!!!",F2058="NEW"),"",INDEX(B2057:B$2,-1+SUMPRODUCT(MAX(ROW(E2057:E$2)*(E2058=E2057:E$2)))))</f>
        <v> </v>
      </c>
      <c r="J2058" s="25" t="str">
        <f>IF(OR(E2058="",E2058="!!!",F2058="NEW"),"",COUNTBLANK(OFFSET(A$1,,,SUMPRODUCT(MAX(ROW(E$2:E2058)*(E2058=E$2:E2058)))))-COUNTBLANK(OFFSET(A$1,,,SUMPRODUCT(MAX(ROW(E$1:E2057)*(E2=E$1:E2057))))))</f>
        <v> </v>
      </c>
      <c r="K2058" s="25" t="str">
        <f>IF(OR(E2058="",E2058="!!!",F2058="NEW"),"",INDEX(J$1:J2057,SUMPRODUCT(MAX(ROW(E$1:E2057)*(E2058=E$1:E2057)))))</f>
        <v> </v>
      </c>
      <c r="L2058" s="26"/>
    </row>
    <row r="2059" spans="1:12">
      <c r="A2059" s="20" t="s">
        <v>1384</v>
      </c>
      <c r="E2059" s="21">
        <f>IF(D2059="?OLD","!!!","")</f>
        <v/>
      </c>
      <c r="F2059" s="22" t="str">
        <f>IF(OR(E2059="",E2059="!!!"),"",IF(NOT(ISNA(VLOOKUP(E2059,E$1:E2058,1,FALSE()))),"OLD",IF(AND(E2059&lt;&gt;"",E2059&lt;&gt;"!!!"),"NEW","")))</f>
        <v> </v>
      </c>
      <c r="G2059" s="23" t="str">
        <f>IF(OR(E2059="",E2059="!!!"),"",IF(OR(J2059=0,AND(J2059=1,K2059=1),AND(J2059=1,I2059="SBJ"),AND(J2059=1,I2059=0)),"?IN_FOCUS",IF(J2059&lt;=2,"?ACTIVATED",IF(J2059&lt;&gt;"","?FAMILIAR",IF(F2059="NEW",IF(ISNA(VLOOKUP(E2059,#REF!,1,FALSE())),"?TYPE_IDENTIFIABLE","?REFERENTIAL"),"_")))))</f>
        <v> </v>
      </c>
      <c r="H2059" s="24" t="str">
        <f>IF(J2059&lt;&gt;1,"",IF(I2059="SBJ","CB","?"))</f>
        <v> </v>
      </c>
      <c r="I2059" s="25" t="str">
        <f>IF(OR(E2059="",E2059="!!!",F2059="NEW"),"",INDEX(B2058:B$2,-1+SUMPRODUCT(MAX(ROW(E2058:E$2)*(E2059=E2058:E$2)))))</f>
        <v> </v>
      </c>
      <c r="J2059" s="25" t="str">
        <f>IF(OR(E2059="",E2059="!!!",F2059="NEW"),"",COUNTBLANK(OFFSET(A$1,,,SUMPRODUCT(MAX(ROW(E$2:E2059)*(E2059=E$2:E2059)))))-COUNTBLANK(OFFSET(A$1,,,SUMPRODUCT(MAX(ROW(E$1:E2058)*(E2=E$1:E2058))))))</f>
        <v> </v>
      </c>
      <c r="K2059" s="25" t="str">
        <f>IF(OR(E2059="",E2059="!!!",F2059="NEW"),"",INDEX(J$1:J2058,SUMPRODUCT(MAX(ROW(E$1:E2058)*(E2059=E$1:E2058)))))</f>
        <v> </v>
      </c>
      <c r="L2059" s="26"/>
    </row>
    <row r="2060" spans="1:12">
      <c r="A2060" s="20" t="s">
        <v>618</v>
      </c>
      <c r="E2060" s="21">
        <f>IF(D2060="?OLD","!!!","")</f>
        <v/>
      </c>
      <c r="F2060" s="22" t="str">
        <f>IF(OR(E2060="",E2060="!!!"),"",IF(NOT(ISNA(VLOOKUP(E2060,E$1:E2059,1,FALSE()))),"OLD",IF(AND(E2060&lt;&gt;"",E2060&lt;&gt;"!!!"),"NEW","")))</f>
        <v> </v>
      </c>
      <c r="G2060" s="23" t="str">
        <f>IF(OR(E2060="",E2060="!!!"),"",IF(OR(J2060=0,AND(J2060=1,K2060=1),AND(J2060=1,I2060="SBJ"),AND(J2060=1,I2060=0)),"?IN_FOCUS",IF(J2060&lt;=2,"?ACTIVATED",IF(J2060&lt;&gt;"","?FAMILIAR",IF(F2060="NEW",IF(ISNA(VLOOKUP(E2060,#REF!,1,FALSE())),"?TYPE_IDENTIFIABLE","?REFERENTIAL"),"_")))))</f>
        <v> </v>
      </c>
      <c r="H2060" s="24" t="str">
        <f>IF(J2060&lt;&gt;1,"",IF(I2060="SBJ","CB","?"))</f>
        <v> </v>
      </c>
      <c r="I2060" s="25" t="str">
        <f>IF(OR(E2060="",E2060="!!!",F2060="NEW"),"",INDEX(B2059:B$2,-1+SUMPRODUCT(MAX(ROW(E2059:E$2)*(E2060=E2059:E$2)))))</f>
        <v> </v>
      </c>
      <c r="J2060" s="25" t="str">
        <f>IF(OR(E2060="",E2060="!!!",F2060="NEW"),"",COUNTBLANK(OFFSET(A$1,,,SUMPRODUCT(MAX(ROW(E$2:E2060)*(E2060=E$2:E2060)))))-COUNTBLANK(OFFSET(A$1,,,SUMPRODUCT(MAX(ROW(E$1:E2059)*(E2=E$1:E2059))))))</f>
        <v> </v>
      </c>
      <c r="K2060" s="25" t="str">
        <f>IF(OR(E2060="",E2060="!!!",F2060="NEW"),"",INDEX(J$1:J2059,SUMPRODUCT(MAX(ROW(E$1:E2059)*(E2060=E$1:E2059)))))</f>
        <v> </v>
      </c>
      <c r="L2060" s="26"/>
    </row>
    <row r="2061" spans="1:12">
      <c r="A2061" s="20" t="s">
        <v>989</v>
      </c>
      <c r="E2061" s="21">
        <f>IF(D2061="?OLD","!!!","")</f>
        <v/>
      </c>
      <c r="F2061" s="22" t="str">
        <f>IF(OR(E2061="",E2061="!!!"),"",IF(NOT(ISNA(VLOOKUP(E2061,E$1:E2060,1,FALSE()))),"OLD",IF(AND(E2061&lt;&gt;"",E2061&lt;&gt;"!!!"),"NEW","")))</f>
        <v> </v>
      </c>
      <c r="G2061" s="23" t="str">
        <f>IF(OR(E2061="",E2061="!!!"),"",IF(OR(J2061=0,AND(J2061=1,K2061=1),AND(J2061=1,I2061="SBJ"),AND(J2061=1,I2061=0)),"?IN_FOCUS",IF(J2061&lt;=2,"?ACTIVATED",IF(J2061&lt;&gt;"","?FAMILIAR",IF(F2061="NEW",IF(ISNA(VLOOKUP(E2061,#REF!,1,FALSE())),"?TYPE_IDENTIFIABLE","?REFERENTIAL"),"_")))))</f>
        <v> </v>
      </c>
      <c r="H2061" s="24" t="str">
        <f>IF(J2061&lt;&gt;1,"",IF(I2061="SBJ","CB","?"))</f>
        <v> </v>
      </c>
      <c r="I2061" s="25" t="str">
        <f>IF(OR(E2061="",E2061="!!!",F2061="NEW"),"",INDEX(B2060:B$2,-1+SUMPRODUCT(MAX(ROW(E2060:E$2)*(E2061=E2060:E$2)))))</f>
        <v> </v>
      </c>
      <c r="J2061" s="25" t="str">
        <f>IF(OR(E2061="",E2061="!!!",F2061="NEW"),"",COUNTBLANK(OFFSET(A$1,,,SUMPRODUCT(MAX(ROW(E$2:E2061)*(E2061=E$2:E2061)))))-COUNTBLANK(OFFSET(A$1,,,SUMPRODUCT(MAX(ROW(E$1:E2060)*(E2=E$1:E2060))))))</f>
        <v> </v>
      </c>
      <c r="K2061" s="25" t="str">
        <f>IF(OR(E2061="",E2061="!!!",F2061="NEW"),"",INDEX(J$1:J2060,SUMPRODUCT(MAX(ROW(E$1:E2060)*(E2061=E$1:E2060)))))</f>
        <v> </v>
      </c>
      <c r="L2061" s="26"/>
    </row>
    <row r="2062" spans="1:12">
      <c r="A2062" s="20" t="s">
        <v>187</v>
      </c>
      <c r="B2062" s="27" t="s">
        <v>653</v>
      </c>
      <c r="C2062" s="27" t="s">
        <v>607</v>
      </c>
      <c r="D2062" s="27" t="s">
        <v>608</v>
      </c>
      <c r="E2062" s="21">
        <f>IF(D2062="?OLD","!!!","")</f>
        <v/>
      </c>
      <c r="F2062" s="22" t="str">
        <f>IF(OR(E2062="",E2062="!!!"),"",IF(NOT(ISNA(VLOOKUP(E2062,E$1:E2061,1,FALSE()))),"OLD",IF(AND(E2062&lt;&gt;"",E2062&lt;&gt;"!!!"),"NEW","")))</f>
        <v> </v>
      </c>
      <c r="G2062" s="23" t="str">
        <f>IF(OR(E2062="",E2062="!!!"),"",IF(OR(J2062=0,AND(J2062=1,K2062=1),AND(J2062=1,I2062="SBJ"),AND(J2062=1,I2062=0)),"?IN_FOCUS",IF(J2062&lt;=2,"?ACTIVATED",IF(J2062&lt;&gt;"","?FAMILIAR",IF(F2062="NEW",IF(ISNA(VLOOKUP(E2062,#REF!,1,FALSE())),"?TYPE_IDENTIFIABLE","?REFERENTIAL"),"_")))))</f>
        <v> </v>
      </c>
      <c r="H2062" s="24" t="str">
        <f>IF(J2062&lt;&gt;1,"",IF(I2062="SBJ","CB","?"))</f>
        <v> </v>
      </c>
      <c r="I2062" s="25" t="str">
        <f>IF(OR(E2062="",E2062="!!!",F2062="NEW"),"",INDEX(B2061:B$2,-1+SUMPRODUCT(MAX(ROW(E2061:E$2)*(E2062=E2061:E$2)))))</f>
        <v> </v>
      </c>
      <c r="J2062" s="25" t="str">
        <f>IF(OR(E2062="",E2062="!!!",F2062="NEW"),"",COUNTBLANK(OFFSET(A$1,,,SUMPRODUCT(MAX(ROW(E$2:E2062)*(E2062=E$2:E2062)))))-COUNTBLANK(OFFSET(A$1,,,SUMPRODUCT(MAX(ROW(E$1:E2061)*(E2=E$1:E2061))))))</f>
        <v> </v>
      </c>
      <c r="K2062" s="25" t="str">
        <f>IF(OR(E2062="",E2062="!!!",F2062="NEW"),"",INDEX(J$1:J2061,SUMPRODUCT(MAX(ROW(E$1:E2061)*(E2062=E$1:E2061)))))</f>
        <v> </v>
      </c>
      <c r="L2062" s="26"/>
    </row>
    <row r="2063" spans="1:12">
      <c r="A2063" s="20" t="s">
        <v>1025</v>
      </c>
      <c r="E2063" s="21">
        <f>IF(D2063="?OLD","!!!","")</f>
        <v/>
      </c>
      <c r="F2063" s="22" t="str">
        <f>IF(OR(E2063="",E2063="!!!"),"",IF(NOT(ISNA(VLOOKUP(E2063,E$1:E2062,1,FALSE()))),"OLD",IF(AND(E2063&lt;&gt;"",E2063&lt;&gt;"!!!"),"NEW","")))</f>
        <v> </v>
      </c>
      <c r="G2063" s="23" t="str">
        <f>IF(OR(E2063="",E2063="!!!"),"",IF(OR(J2063=0,AND(J2063=1,K2063=1),AND(J2063=1,I2063="SBJ"),AND(J2063=1,I2063=0)),"?IN_FOCUS",IF(J2063&lt;=2,"?ACTIVATED",IF(J2063&lt;&gt;"","?FAMILIAR",IF(F2063="NEW",IF(ISNA(VLOOKUP(E2063,#REF!,1,FALSE())),"?TYPE_IDENTIFIABLE","?REFERENTIAL"),"_")))))</f>
        <v> </v>
      </c>
      <c r="H2063" s="24" t="str">
        <f>IF(J2063&lt;&gt;1,"",IF(I2063="SBJ","CB","?"))</f>
        <v> </v>
      </c>
      <c r="I2063" s="25" t="str">
        <f>IF(OR(E2063="",E2063="!!!",F2063="NEW"),"",INDEX(B2062:B$2,-1+SUMPRODUCT(MAX(ROW(E2062:E$2)*(E2063=E2062:E$2)))))</f>
        <v> </v>
      </c>
      <c r="J2063" s="25" t="str">
        <f>IF(OR(E2063="",E2063="!!!",F2063="NEW"),"",COUNTBLANK(OFFSET(A$1,,,SUMPRODUCT(MAX(ROW(E$2:E2063)*(E2063=E$2:E2063)))))-COUNTBLANK(OFFSET(A$1,,,SUMPRODUCT(MAX(ROW(E$1:E2062)*(E2=E$1:E2062))))))</f>
        <v> </v>
      </c>
      <c r="K2063" s="25" t="str">
        <f>IF(OR(E2063="",E2063="!!!",F2063="NEW"),"",INDEX(J$1:J2062,SUMPRODUCT(MAX(ROW(E$1:E2062)*(E2063=E$1:E2062)))))</f>
        <v> </v>
      </c>
      <c r="L2063" s="26"/>
    </row>
    <row r="2064" spans="1:12">
      <c r="A2064" s="20" t="s">
        <v>997</v>
      </c>
      <c r="B2064" s="27" t="s">
        <v>606</v>
      </c>
      <c r="C2064" s="27" t="s">
        <v>626</v>
      </c>
      <c r="E2064" s="21">
        <f>IF(D2064="?OLD","!!!","")</f>
        <v/>
      </c>
      <c r="F2064" s="22" t="str">
        <f>IF(OR(E2064="",E2064="!!!"),"",IF(NOT(ISNA(VLOOKUP(E2064,E$1:E2063,1,FALSE()))),"OLD",IF(AND(E2064&lt;&gt;"",E2064&lt;&gt;"!!!"),"NEW","")))</f>
        <v> </v>
      </c>
      <c r="G2064" s="23" t="str">
        <f>IF(OR(E2064="",E2064="!!!"),"",IF(OR(J2064=0,AND(J2064=1,K2064=1),AND(J2064=1,I2064="SBJ"),AND(J2064=1,I2064=0)),"?IN_FOCUS",IF(J2064&lt;=2,"?ACTIVATED",IF(J2064&lt;&gt;"","?FAMILIAR",IF(F2064="NEW",IF(ISNA(VLOOKUP(E2064,#REF!,1,FALSE())),"?TYPE_IDENTIFIABLE","?REFERENTIAL"),"_")))))</f>
        <v> </v>
      </c>
      <c r="H2064" s="24" t="str">
        <f>IF(J2064&lt;&gt;1,"",IF(I2064="SBJ","CB","?"))</f>
        <v> </v>
      </c>
      <c r="I2064" s="25" t="str">
        <f>IF(OR(E2064="",E2064="!!!",F2064="NEW"),"",INDEX(B2063:B$2,-1+SUMPRODUCT(MAX(ROW(E2063:E$2)*(E2064=E2063:E$2)))))</f>
        <v> </v>
      </c>
      <c r="J2064" s="25" t="str">
        <f>IF(OR(E2064="",E2064="!!!",F2064="NEW"),"",COUNTBLANK(OFFSET(A$1,,,SUMPRODUCT(MAX(ROW(E$2:E2064)*(E2064=E$2:E2064)))))-COUNTBLANK(OFFSET(A$1,,,SUMPRODUCT(MAX(ROW(E$1:E2063)*(E2=E$1:E2063))))))</f>
        <v> </v>
      </c>
      <c r="K2064" s="25" t="str">
        <f>IF(OR(E2064="",E2064="!!!",F2064="NEW"),"",INDEX(J$1:J2063,SUMPRODUCT(MAX(ROW(E$1:E2063)*(E2064=E$1:E2063)))))</f>
        <v> </v>
      </c>
      <c r="L2064" s="26"/>
    </row>
    <row r="2065" spans="1:12">
      <c r="A2065" s="20" t="s">
        <v>633</v>
      </c>
      <c r="E2065" s="21">
        <f>IF(D2065="?OLD","!!!","")</f>
        <v/>
      </c>
      <c r="F2065" s="22" t="str">
        <f>IF(OR(E2065="",E2065="!!!"),"",IF(NOT(ISNA(VLOOKUP(E2065,E$1:E2064,1,FALSE()))),"OLD",IF(AND(E2065&lt;&gt;"",E2065&lt;&gt;"!!!"),"NEW","")))</f>
        <v> </v>
      </c>
      <c r="G2065" s="23" t="str">
        <f>IF(OR(E2065="",E2065="!!!"),"",IF(OR(J2065=0,AND(J2065=1,K2065=1),AND(J2065=1,I2065="SBJ"),AND(J2065=1,I2065=0)),"?IN_FOCUS",IF(J2065&lt;=2,"?ACTIVATED",IF(J2065&lt;&gt;"","?FAMILIAR",IF(F2065="NEW",IF(ISNA(VLOOKUP(E2065,#REF!,1,FALSE())),"?TYPE_IDENTIFIABLE","?REFERENTIAL"),"_")))))</f>
        <v> </v>
      </c>
      <c r="H2065" s="24" t="str">
        <f>IF(J2065&lt;&gt;1,"",IF(I2065="SBJ","CB","?"))</f>
        <v> </v>
      </c>
      <c r="I2065" s="25" t="str">
        <f>IF(OR(E2065="",E2065="!!!",F2065="NEW"),"",INDEX(B2064:B$2,-1+SUMPRODUCT(MAX(ROW(E2064:E$2)*(E2065=E2064:E$2)))))</f>
        <v> </v>
      </c>
      <c r="J2065" s="25" t="str">
        <f>IF(OR(E2065="",E2065="!!!",F2065="NEW"),"",COUNTBLANK(OFFSET(A$1,,,SUMPRODUCT(MAX(ROW(E$2:E2065)*(E2065=E$2:E2065)))))-COUNTBLANK(OFFSET(A$1,,,SUMPRODUCT(MAX(ROW(E$1:E2064)*(E2=E$1:E2064))))))</f>
        <v> </v>
      </c>
      <c r="K2065" s="25" t="str">
        <f>IF(OR(E2065="",E2065="!!!",F2065="NEW"),"",INDEX(J$1:J2064,SUMPRODUCT(MAX(ROW(E$1:E2064)*(E2065=E$1:E2064)))))</f>
        <v> </v>
      </c>
      <c r="L2065" s="26"/>
    </row>
    <row r="2066" spans="1:12">
      <c r="A2066" s="20"/>
    </row>
    <row r="2067" spans="1:12">
      <c r="A2067" s="20" t="s">
        <v>1385</v>
      </c>
    </row>
    <row r="2068" spans="1:12">
      <c r="A2068" s="20" t="s">
        <v>635</v>
      </c>
      <c r="B2068" s="27" t="s">
        <v>636</v>
      </c>
      <c r="C2068" s="27" t="s">
        <v>637</v>
      </c>
      <c r="D2068" s="27" t="s">
        <v>608</v>
      </c>
      <c r="E2068" s="21">
        <f>IF(D2068="?OLD","!!!","")</f>
        <v/>
      </c>
      <c r="F2068" s="22" t="str">
        <f>IF(OR(E2068="",E2068="!!!"),"",IF(NOT(ISNA(VLOOKUP(E2068,E$1:E2067,1,FALSE()))),"OLD",IF(AND(E2068&lt;&gt;"",E2068&lt;&gt;"!!!"),"NEW","")))</f>
        <v> </v>
      </c>
      <c r="G2068" s="23" t="str">
        <f>IF(OR(E2068="",E2068="!!!"),"",IF(OR(J2068=0,AND(J2068=1,K2068=1),AND(J2068=1,I2068="SBJ"),AND(J2068=1,I2068=0)),"?IN_FOCUS",IF(J2068&lt;=2,"?ACTIVATED",IF(J2068&lt;&gt;"","?FAMILIAR",IF(F2068="NEW",IF(ISNA(VLOOKUP(E2068,#REF!,1,FALSE())),"?TYPE_IDENTIFIABLE","?REFERENTIAL"),"_")))))</f>
        <v> </v>
      </c>
      <c r="H2068" s="24" t="str">
        <f>IF(J2068&lt;&gt;1,"",IF(I2068="SBJ","CB","?"))</f>
        <v> </v>
      </c>
      <c r="I2068" s="25" t="str">
        <f>IF(OR(E2068="",E2068="!!!",F2068="NEW"),"",INDEX(B2067:B$2,-1+SUMPRODUCT(MAX(ROW(E2067:E$2)*(E2068=E2067:E$2)))))</f>
        <v> </v>
      </c>
      <c r="J2068" s="25" t="str">
        <f>IF(OR(E2068="",E2068="!!!",F2068="NEW"),"",COUNTBLANK(OFFSET(A$1,,,SUMPRODUCT(MAX(ROW(E$2:E2068)*(E2068=E$2:E2068)))))-COUNTBLANK(OFFSET(A$1,,,SUMPRODUCT(MAX(ROW(E$1:E2067)*(E2=E$1:E2067))))))</f>
        <v> </v>
      </c>
      <c r="K2068" s="25" t="str">
        <f>IF(OR(E2068="",E2068="!!!",F2068="NEW"),"",INDEX(J$1:J2067,SUMPRODUCT(MAX(ROW(E$1:E2067)*(E2068=E$1:E2067)))))</f>
        <v> </v>
      </c>
      <c r="L2068" s="26"/>
    </row>
    <row r="2069" spans="1:12">
      <c r="A2069" s="20" t="s">
        <v>809</v>
      </c>
      <c r="E2069" s="21">
        <f>IF(D2069="?OLD","!!!","")</f>
        <v/>
      </c>
      <c r="F2069" s="22" t="str">
        <f>IF(OR(E2069="",E2069="!!!"),"",IF(NOT(ISNA(VLOOKUP(E2069,E$1:E2068,1,FALSE()))),"OLD",IF(AND(E2069&lt;&gt;"",E2069&lt;&gt;"!!!"),"NEW","")))</f>
        <v> </v>
      </c>
      <c r="G2069" s="23" t="str">
        <f>IF(OR(E2069="",E2069="!!!"),"",IF(OR(J2069=0,AND(J2069=1,K2069=1),AND(J2069=1,I2069="SBJ"),AND(J2069=1,I2069=0)),"?IN_FOCUS",IF(J2069&lt;=2,"?ACTIVATED",IF(J2069&lt;&gt;"","?FAMILIAR",IF(F2069="NEW",IF(ISNA(VLOOKUP(E2069,#REF!,1,FALSE())),"?TYPE_IDENTIFIABLE","?REFERENTIAL"),"_")))))</f>
        <v> </v>
      </c>
      <c r="H2069" s="24" t="str">
        <f>IF(J2069&lt;&gt;1,"",IF(I2069="SBJ","CB","?"))</f>
        <v> </v>
      </c>
      <c r="I2069" s="25" t="str">
        <f>IF(OR(E2069="",E2069="!!!",F2069="NEW"),"",INDEX(B2068:B$2,-1+SUMPRODUCT(MAX(ROW(E2068:E$2)*(E2069=E2068:E$2)))))</f>
        <v> </v>
      </c>
      <c r="J2069" s="25" t="str">
        <f>IF(OR(E2069="",E2069="!!!",F2069="NEW"),"",COUNTBLANK(OFFSET(A$1,,,SUMPRODUCT(MAX(ROW(E$2:E2069)*(E2069=E$2:E2069)))))-COUNTBLANK(OFFSET(A$1,,,SUMPRODUCT(MAX(ROW(E$1:E2068)*(E2=E$1:E2068))))))</f>
        <v> </v>
      </c>
      <c r="K2069" s="25" t="str">
        <f>IF(OR(E2069="",E2069="!!!",F2069="NEW"),"",INDEX(J$1:J2068,SUMPRODUCT(MAX(ROW(E$1:E2068)*(E2069=E$1:E2068)))))</f>
        <v> </v>
      </c>
      <c r="L2069" s="26"/>
    </row>
    <row r="2070" spans="1:12">
      <c r="A2070" s="20" t="s">
        <v>766</v>
      </c>
      <c r="E2070" s="21">
        <f>IF(D2070="?OLD","!!!","")</f>
        <v/>
      </c>
      <c r="F2070" s="22" t="str">
        <f>IF(OR(E2070="",E2070="!!!"),"",IF(NOT(ISNA(VLOOKUP(E2070,E$1:E2069,1,FALSE()))),"OLD",IF(AND(E2070&lt;&gt;"",E2070&lt;&gt;"!!!"),"NEW","")))</f>
        <v> </v>
      </c>
      <c r="G2070" s="23" t="str">
        <f>IF(OR(E2070="",E2070="!!!"),"",IF(OR(J2070=0,AND(J2070=1,K2070=1),AND(J2070=1,I2070="SBJ"),AND(J2070=1,I2070=0)),"?IN_FOCUS",IF(J2070&lt;=2,"?ACTIVATED",IF(J2070&lt;&gt;"","?FAMILIAR",IF(F2070="NEW",IF(ISNA(VLOOKUP(E2070,#REF!,1,FALSE())),"?TYPE_IDENTIFIABLE","?REFERENTIAL"),"_")))))</f>
        <v> </v>
      </c>
      <c r="H2070" s="24" t="str">
        <f>IF(J2070&lt;&gt;1,"",IF(I2070="SBJ","CB","?"))</f>
        <v> </v>
      </c>
      <c r="I2070" s="25" t="str">
        <f>IF(OR(E2070="",E2070="!!!",F2070="NEW"),"",INDEX(B2069:B$2,-1+SUMPRODUCT(MAX(ROW(E2069:E$2)*(E2070=E2069:E$2)))))</f>
        <v> </v>
      </c>
      <c r="J2070" s="25" t="str">
        <f>IF(OR(E2070="",E2070="!!!",F2070="NEW"),"",COUNTBLANK(OFFSET(A$1,,,SUMPRODUCT(MAX(ROW(E$2:E2070)*(E2070=E$2:E2070)))))-COUNTBLANK(OFFSET(A$1,,,SUMPRODUCT(MAX(ROW(E$1:E2069)*(E2=E$1:E2069))))))</f>
        <v> </v>
      </c>
      <c r="K2070" s="25" t="str">
        <f>IF(OR(E2070="",E2070="!!!",F2070="NEW"),"",INDEX(J$1:J2069,SUMPRODUCT(MAX(ROW(E$1:E2069)*(E2070=E$1:E2069)))))</f>
        <v> </v>
      </c>
      <c r="L2070" s="26"/>
    </row>
    <row r="2071" spans="1:12">
      <c r="A2071" s="20" t="s">
        <v>1259</v>
      </c>
      <c r="B2071" s="27" t="s">
        <v>611</v>
      </c>
      <c r="C2071" s="27" t="s">
        <v>626</v>
      </c>
      <c r="E2071" s="21">
        <f>IF(D2071="?OLD","!!!","")</f>
        <v/>
      </c>
      <c r="F2071" s="22" t="str">
        <f>IF(OR(E2071="",E2071="!!!"),"",IF(NOT(ISNA(VLOOKUP(E2071,E$1:E2070,1,FALSE()))),"OLD",IF(AND(E2071&lt;&gt;"",E2071&lt;&gt;"!!!"),"NEW","")))</f>
        <v> </v>
      </c>
      <c r="G2071" s="23" t="str">
        <f>IF(OR(E2071="",E2071="!!!"),"",IF(OR(J2071=0,AND(J2071=1,K2071=1),AND(J2071=1,I2071="SBJ"),AND(J2071=1,I2071=0)),"?IN_FOCUS",IF(J2071&lt;=2,"?ACTIVATED",IF(J2071&lt;&gt;"","?FAMILIAR",IF(F2071="NEW",IF(ISNA(VLOOKUP(E2071,#REF!,1,FALSE())),"?TYPE_IDENTIFIABLE","?REFERENTIAL"),"_")))))</f>
        <v> </v>
      </c>
      <c r="H2071" s="24" t="str">
        <f>IF(J2071&lt;&gt;1,"",IF(I2071="SBJ","CB","?"))</f>
        <v> </v>
      </c>
      <c r="I2071" s="25" t="str">
        <f>IF(OR(E2071="",E2071="!!!",F2071="NEW"),"",INDEX(B2070:B$2,-1+SUMPRODUCT(MAX(ROW(E2070:E$2)*(E2071=E2070:E$2)))))</f>
        <v> </v>
      </c>
      <c r="J2071" s="25" t="str">
        <f>IF(OR(E2071="",E2071="!!!",F2071="NEW"),"",COUNTBLANK(OFFSET(A$1,,,SUMPRODUCT(MAX(ROW(E$2:E2071)*(E2071=E$2:E2071)))))-COUNTBLANK(OFFSET(A$1,,,SUMPRODUCT(MAX(ROW(E$1:E2070)*(E2=E$1:E2070))))))</f>
        <v> </v>
      </c>
      <c r="K2071" s="25" t="str">
        <f>IF(OR(E2071="",E2071="!!!",F2071="NEW"),"",INDEX(J$1:J2070,SUMPRODUCT(MAX(ROW(E$1:E2070)*(E2071=E$1:E2070)))))</f>
        <v> </v>
      </c>
      <c r="L2071" s="26"/>
    </row>
    <row r="2072" spans="1:12">
      <c r="A2072" s="20" t="s">
        <v>1386</v>
      </c>
      <c r="B2072" s="27" t="s">
        <v>653</v>
      </c>
      <c r="C2072" s="27" t="s">
        <v>678</v>
      </c>
      <c r="E2072" s="21">
        <f>IF(D2072="?OLD","!!!","")</f>
        <v/>
      </c>
      <c r="F2072" s="22" t="str">
        <f>IF(OR(E2072="",E2072="!!!"),"",IF(NOT(ISNA(VLOOKUP(E2072,E$1:E2071,1,FALSE()))),"OLD",IF(AND(E2072&lt;&gt;"",E2072&lt;&gt;"!!!"),"NEW","")))</f>
        <v> </v>
      </c>
      <c r="G2072" s="23" t="str">
        <f>IF(OR(E2072="",E2072="!!!"),"",IF(OR(J2072=0,AND(J2072=1,K2072=1),AND(J2072=1,I2072="SBJ"),AND(J2072=1,I2072=0)),"?IN_FOCUS",IF(J2072&lt;=2,"?ACTIVATED",IF(J2072&lt;&gt;"","?FAMILIAR",IF(F2072="NEW",IF(ISNA(VLOOKUP(E2072,#REF!,1,FALSE())),"?TYPE_IDENTIFIABLE","?REFERENTIAL"),"_")))))</f>
        <v> </v>
      </c>
      <c r="H2072" s="24" t="str">
        <f>IF(J2072&lt;&gt;1,"",IF(I2072="SBJ","CB","?"))</f>
        <v> </v>
      </c>
      <c r="I2072" s="25" t="str">
        <f>IF(OR(E2072="",E2072="!!!",F2072="NEW"),"",INDEX(B2071:B$2,-1+SUMPRODUCT(MAX(ROW(E2071:E$2)*(E2072=E2071:E$2)))))</f>
        <v> </v>
      </c>
      <c r="J2072" s="25" t="str">
        <f>IF(OR(E2072="",E2072="!!!",F2072="NEW"),"",COUNTBLANK(OFFSET(A$1,,,SUMPRODUCT(MAX(ROW(E$2:E2072)*(E2072=E$2:E2072)))))-COUNTBLANK(OFFSET(A$1,,,SUMPRODUCT(MAX(ROW(E$1:E2071)*(E2=E$1:E2071))))))</f>
        <v> </v>
      </c>
      <c r="K2072" s="25" t="str">
        <f>IF(OR(E2072="",E2072="!!!",F2072="NEW"),"",INDEX(J$1:J2071,SUMPRODUCT(MAX(ROW(E$1:E2071)*(E2072=E$1:E2071)))))</f>
        <v> </v>
      </c>
      <c r="L2072" s="26"/>
    </row>
    <row r="2073" spans="1:12">
      <c r="A2073" s="20" t="s">
        <v>707</v>
      </c>
      <c r="E2073" s="21">
        <f>IF(D2073="?OLD","!!!","")</f>
        <v/>
      </c>
      <c r="F2073" s="22" t="str">
        <f>IF(OR(E2073="",E2073="!!!"),"",IF(NOT(ISNA(VLOOKUP(E2073,E$1:E2072,1,FALSE()))),"OLD",IF(AND(E2073&lt;&gt;"",E2073&lt;&gt;"!!!"),"NEW","")))</f>
        <v> </v>
      </c>
      <c r="G2073" s="23" t="str">
        <f>IF(OR(E2073="",E2073="!!!"),"",IF(OR(J2073=0,AND(J2073=1,K2073=1),AND(J2073=1,I2073="SBJ"),AND(J2073=1,I2073=0)),"?IN_FOCUS",IF(J2073&lt;=2,"?ACTIVATED",IF(J2073&lt;&gt;"","?FAMILIAR",IF(F2073="NEW",IF(ISNA(VLOOKUP(E2073,#REF!,1,FALSE())),"?TYPE_IDENTIFIABLE","?REFERENTIAL"),"_")))))</f>
        <v> </v>
      </c>
      <c r="H2073" s="24" t="str">
        <f>IF(J2073&lt;&gt;1,"",IF(I2073="SBJ","CB","?"))</f>
        <v> </v>
      </c>
      <c r="I2073" s="25" t="str">
        <f>IF(OR(E2073="",E2073="!!!",F2073="NEW"),"",INDEX(B2072:B$2,-1+SUMPRODUCT(MAX(ROW(E2072:E$2)*(E2073=E2072:E$2)))))</f>
        <v> </v>
      </c>
      <c r="J2073" s="25" t="str">
        <f>IF(OR(E2073="",E2073="!!!",F2073="NEW"),"",COUNTBLANK(OFFSET(A$1,,,SUMPRODUCT(MAX(ROW(E$2:E2073)*(E2073=E$2:E2073)))))-COUNTBLANK(OFFSET(A$1,,,SUMPRODUCT(MAX(ROW(E$1:E2072)*(E2=E$1:E2072))))))</f>
        <v> </v>
      </c>
      <c r="K2073" s="25" t="str">
        <f>IF(OR(E2073="",E2073="!!!",F2073="NEW"),"",INDEX(J$1:J2072,SUMPRODUCT(MAX(ROW(E$1:E2072)*(E2073=E$1:E2072)))))</f>
        <v> </v>
      </c>
      <c r="L2073" s="26"/>
    </row>
    <row r="2074" spans="1:12">
      <c r="A2074" s="20" t="s">
        <v>1308</v>
      </c>
      <c r="E2074" s="21">
        <f>IF(D2074="?OLD","!!!","")</f>
        <v/>
      </c>
      <c r="F2074" s="22" t="str">
        <f>IF(OR(E2074="",E2074="!!!"),"",IF(NOT(ISNA(VLOOKUP(E2074,E$1:E2073,1,FALSE()))),"OLD",IF(AND(E2074&lt;&gt;"",E2074&lt;&gt;"!!!"),"NEW","")))</f>
        <v> </v>
      </c>
      <c r="G2074" s="23" t="str">
        <f>IF(OR(E2074="",E2074="!!!"),"",IF(OR(J2074=0,AND(J2074=1,K2074=1),AND(J2074=1,I2074="SBJ"),AND(J2074=1,I2074=0)),"?IN_FOCUS",IF(J2074&lt;=2,"?ACTIVATED",IF(J2074&lt;&gt;"","?FAMILIAR",IF(F2074="NEW",IF(ISNA(VLOOKUP(E2074,#REF!,1,FALSE())),"?TYPE_IDENTIFIABLE","?REFERENTIAL"),"_")))))</f>
        <v> </v>
      </c>
      <c r="H2074" s="24" t="str">
        <f>IF(J2074&lt;&gt;1,"",IF(I2074="SBJ","CB","?"))</f>
        <v> </v>
      </c>
      <c r="I2074" s="25" t="str">
        <f>IF(OR(E2074="",E2074="!!!",F2074="NEW"),"",INDEX(B2073:B$2,-1+SUMPRODUCT(MAX(ROW(E2073:E$2)*(E2074=E2073:E$2)))))</f>
        <v> </v>
      </c>
      <c r="J2074" s="25" t="str">
        <f>IF(OR(E2074="",E2074="!!!",F2074="NEW"),"",COUNTBLANK(OFFSET(A$1,,,SUMPRODUCT(MAX(ROW(E$2:E2074)*(E2074=E$2:E2074)))))-COUNTBLANK(OFFSET(A$1,,,SUMPRODUCT(MAX(ROW(E$1:E2073)*(E2=E$1:E2073))))))</f>
        <v> </v>
      </c>
      <c r="K2074" s="25" t="str">
        <f>IF(OR(E2074="",E2074="!!!",F2074="NEW"),"",INDEX(J$1:J2073,SUMPRODUCT(MAX(ROW(E$1:E2073)*(E2074=E$1:E2073)))))</f>
        <v> </v>
      </c>
      <c r="L2074" s="26"/>
    </row>
    <row r="2075" spans="1:12">
      <c r="A2075" s="20" t="s">
        <v>1387</v>
      </c>
      <c r="B2075" s="27" t="s">
        <v>611</v>
      </c>
      <c r="C2075" s="27" t="s">
        <v>894</v>
      </c>
      <c r="E2075" s="21">
        <f>IF(D2075="?OLD","!!!","")</f>
        <v/>
      </c>
      <c r="F2075" s="22" t="str">
        <f>IF(OR(E2075="",E2075="!!!"),"",IF(NOT(ISNA(VLOOKUP(E2075,E$1:E2074,1,FALSE()))),"OLD",IF(AND(E2075&lt;&gt;"",E2075&lt;&gt;"!!!"),"NEW","")))</f>
        <v> </v>
      </c>
      <c r="G2075" s="23" t="str">
        <f>IF(OR(E2075="",E2075="!!!"),"",IF(OR(J2075=0,AND(J2075=1,K2075=1),AND(J2075=1,I2075="SBJ"),AND(J2075=1,I2075=0)),"?IN_FOCUS",IF(J2075&lt;=2,"?ACTIVATED",IF(J2075&lt;&gt;"","?FAMILIAR",IF(F2075="NEW",IF(ISNA(VLOOKUP(E2075,#REF!,1,FALSE())),"?TYPE_IDENTIFIABLE","?REFERENTIAL"),"_")))))</f>
        <v> </v>
      </c>
      <c r="H2075" s="24" t="str">
        <f>IF(J2075&lt;&gt;1,"",IF(I2075="SBJ","CB","?"))</f>
        <v> </v>
      </c>
      <c r="I2075" s="25" t="str">
        <f>IF(OR(E2075="",E2075="!!!",F2075="NEW"),"",INDEX(B2074:B$2,-1+SUMPRODUCT(MAX(ROW(E2074:E$2)*(E2075=E2074:E$2)))))</f>
        <v> </v>
      </c>
      <c r="J2075" s="25" t="str">
        <f>IF(OR(E2075="",E2075="!!!",F2075="NEW"),"",COUNTBLANK(OFFSET(A$1,,,SUMPRODUCT(MAX(ROW(E$2:E2075)*(E2075=E$2:E2075)))))-COUNTBLANK(OFFSET(A$1,,,SUMPRODUCT(MAX(ROW(E$1:E2074)*(E2=E$1:E2074))))))</f>
        <v> </v>
      </c>
      <c r="K2075" s="25" t="str">
        <f>IF(OR(E2075="",E2075="!!!",F2075="NEW"),"",INDEX(J$1:J2074,SUMPRODUCT(MAX(ROW(E$1:E2074)*(E2075=E$1:E2074)))))</f>
        <v> </v>
      </c>
      <c r="L2075" s="26"/>
    </row>
    <row r="2076" spans="1:12">
      <c r="A2076" s="20" t="s">
        <v>617</v>
      </c>
      <c r="E2076" s="21">
        <f>IF(D2076="?OLD","!!!","")</f>
        <v/>
      </c>
      <c r="F2076" s="22" t="str">
        <f>IF(OR(E2076="",E2076="!!!"),"",IF(NOT(ISNA(VLOOKUP(E2076,E$1:E2075,1,FALSE()))),"OLD",IF(AND(E2076&lt;&gt;"",E2076&lt;&gt;"!!!"),"NEW","")))</f>
        <v> </v>
      </c>
      <c r="G2076" s="23" t="str">
        <f>IF(OR(E2076="",E2076="!!!"),"",IF(OR(J2076=0,AND(J2076=1,K2076=1),AND(J2076=1,I2076="SBJ"),AND(J2076=1,I2076=0)),"?IN_FOCUS",IF(J2076&lt;=2,"?ACTIVATED",IF(J2076&lt;&gt;"","?FAMILIAR",IF(F2076="NEW",IF(ISNA(VLOOKUP(E2076,#REF!,1,FALSE())),"?TYPE_IDENTIFIABLE","?REFERENTIAL"),"_")))))</f>
        <v> </v>
      </c>
      <c r="H2076" s="24" t="str">
        <f>IF(J2076&lt;&gt;1,"",IF(I2076="SBJ","CB","?"))</f>
        <v> </v>
      </c>
      <c r="I2076" s="25" t="str">
        <f>IF(OR(E2076="",E2076="!!!",F2076="NEW"),"",INDEX(B2075:B$2,-1+SUMPRODUCT(MAX(ROW(E2075:E$2)*(E2076=E2075:E$2)))))</f>
        <v> </v>
      </c>
      <c r="J2076" s="25" t="str">
        <f>IF(OR(E2076="",E2076="!!!",F2076="NEW"),"",COUNTBLANK(OFFSET(A$1,,,SUMPRODUCT(MAX(ROW(E$2:E2076)*(E2076=E$2:E2076)))))-COUNTBLANK(OFFSET(A$1,,,SUMPRODUCT(MAX(ROW(E$1:E2075)*(E2=E$1:E2075))))))</f>
        <v> </v>
      </c>
      <c r="K2076" s="25" t="str">
        <f>IF(OR(E2076="",E2076="!!!",F2076="NEW"),"",INDEX(J$1:J2075,SUMPRODUCT(MAX(ROW(E$1:E2075)*(E2076=E$1:E2075)))))</f>
        <v> </v>
      </c>
      <c r="L2076" s="26"/>
    </row>
    <row r="2077" spans="1:12">
      <c r="A2077" s="20" t="s">
        <v>736</v>
      </c>
      <c r="E2077" s="21">
        <f>IF(D2077="?OLD","!!!","")</f>
        <v/>
      </c>
      <c r="F2077" s="22" t="str">
        <f>IF(OR(E2077="",E2077="!!!"),"",IF(NOT(ISNA(VLOOKUP(E2077,E$1:E2076,1,FALSE()))),"OLD",IF(AND(E2077&lt;&gt;"",E2077&lt;&gt;"!!!"),"NEW","")))</f>
        <v> </v>
      </c>
      <c r="G2077" s="23" t="str">
        <f>IF(OR(E2077="",E2077="!!!"),"",IF(OR(J2077=0,AND(J2077=1,K2077=1),AND(J2077=1,I2077="SBJ"),AND(J2077=1,I2077=0)),"?IN_FOCUS",IF(J2077&lt;=2,"?ACTIVATED",IF(J2077&lt;&gt;"","?FAMILIAR",IF(F2077="NEW",IF(ISNA(VLOOKUP(E2077,#REF!,1,FALSE())),"?TYPE_IDENTIFIABLE","?REFERENTIAL"),"_")))))</f>
        <v> </v>
      </c>
      <c r="H2077" s="24" t="str">
        <f>IF(J2077&lt;&gt;1,"",IF(I2077="SBJ","CB","?"))</f>
        <v> </v>
      </c>
      <c r="I2077" s="25" t="str">
        <f>IF(OR(E2077="",E2077="!!!",F2077="NEW"),"",INDEX(B2076:B$2,-1+SUMPRODUCT(MAX(ROW(E2076:E$2)*(E2077=E2076:E$2)))))</f>
        <v> </v>
      </c>
      <c r="J2077" s="25" t="str">
        <f>IF(OR(E2077="",E2077="!!!",F2077="NEW"),"",COUNTBLANK(OFFSET(A$1,,,SUMPRODUCT(MAX(ROW(E$2:E2077)*(E2077=E$2:E2077)))))-COUNTBLANK(OFFSET(A$1,,,SUMPRODUCT(MAX(ROW(E$1:E2076)*(E2=E$1:E2076))))))</f>
        <v> </v>
      </c>
      <c r="K2077" s="25" t="str">
        <f>IF(OR(E2077="",E2077="!!!",F2077="NEW"),"",INDEX(J$1:J2076,SUMPRODUCT(MAX(ROW(E$1:E2076)*(E2077=E$1:E2076)))))</f>
        <v> </v>
      </c>
      <c r="L2077" s="26"/>
    </row>
    <row r="2078" spans="1:12">
      <c r="A2078" s="20" t="s">
        <v>807</v>
      </c>
      <c r="B2078" s="27" t="s">
        <v>619</v>
      </c>
      <c r="C2078" s="27" t="s">
        <v>652</v>
      </c>
      <c r="D2078" s="27" t="s">
        <v>608</v>
      </c>
      <c r="E2078" s="21">
        <f>IF(D2078="?OLD","!!!","")</f>
        <v/>
      </c>
      <c r="F2078" s="22" t="str">
        <f>IF(OR(E2078="",E2078="!!!"),"",IF(NOT(ISNA(VLOOKUP(E2078,E$1:E2077,1,FALSE()))),"OLD",IF(AND(E2078&lt;&gt;"",E2078&lt;&gt;"!!!"),"NEW","")))</f>
        <v> </v>
      </c>
      <c r="G2078" s="23" t="str">
        <f>IF(OR(E2078="",E2078="!!!"),"",IF(OR(J2078=0,AND(J2078=1,K2078=1),AND(J2078=1,I2078="SBJ"),AND(J2078=1,I2078=0)),"?IN_FOCUS",IF(J2078&lt;=2,"?ACTIVATED",IF(J2078&lt;&gt;"","?FAMILIAR",IF(F2078="NEW",IF(ISNA(VLOOKUP(E2078,#REF!,1,FALSE())),"?TYPE_IDENTIFIABLE","?REFERENTIAL"),"_")))))</f>
        <v> </v>
      </c>
      <c r="H2078" s="24" t="str">
        <f>IF(J2078&lt;&gt;1,"",IF(I2078="SBJ","CB","?"))</f>
        <v> </v>
      </c>
      <c r="I2078" s="25" t="str">
        <f>IF(OR(E2078="",E2078="!!!",F2078="NEW"),"",INDEX(B2077:B$2,-1+SUMPRODUCT(MAX(ROW(E2077:E$2)*(E2078=E2077:E$2)))))</f>
        <v> </v>
      </c>
      <c r="J2078" s="25" t="str">
        <f>IF(OR(E2078="",E2078="!!!",F2078="NEW"),"",COUNTBLANK(OFFSET(A$1,,,SUMPRODUCT(MAX(ROW(E$2:E2078)*(E2078=E$2:E2078)))))-COUNTBLANK(OFFSET(A$1,,,SUMPRODUCT(MAX(ROW(E$1:E2077)*(E2=E$1:E2077))))))</f>
        <v> </v>
      </c>
      <c r="K2078" s="25" t="str">
        <f>IF(OR(E2078="",E2078="!!!",F2078="NEW"),"",INDEX(J$1:J2077,SUMPRODUCT(MAX(ROW(E$1:E2077)*(E2078=E$1:E2077)))))</f>
        <v> </v>
      </c>
      <c r="L2078" s="26"/>
    </row>
    <row r="2079" spans="1:12">
      <c r="A2079" s="20" t="s">
        <v>822</v>
      </c>
      <c r="E2079" s="21">
        <f>IF(D2079="?OLD","!!!","")</f>
        <v/>
      </c>
      <c r="F2079" s="22" t="str">
        <f>IF(OR(E2079="",E2079="!!!"),"",IF(NOT(ISNA(VLOOKUP(E2079,E$1:E2078,1,FALSE()))),"OLD",IF(AND(E2079&lt;&gt;"",E2079&lt;&gt;"!!!"),"NEW","")))</f>
        <v> </v>
      </c>
      <c r="G2079" s="23" t="str">
        <f>IF(OR(E2079="",E2079="!!!"),"",IF(OR(J2079=0,AND(J2079=1,K2079=1),AND(J2079=1,I2079="SBJ"),AND(J2079=1,I2079=0)),"?IN_FOCUS",IF(J2079&lt;=2,"?ACTIVATED",IF(J2079&lt;&gt;"","?FAMILIAR",IF(F2079="NEW",IF(ISNA(VLOOKUP(E2079,#REF!,1,FALSE())),"?TYPE_IDENTIFIABLE","?REFERENTIAL"),"_")))))</f>
        <v> </v>
      </c>
      <c r="H2079" s="24" t="str">
        <f>IF(J2079&lt;&gt;1,"",IF(I2079="SBJ","CB","?"))</f>
        <v> </v>
      </c>
      <c r="I2079" s="25" t="str">
        <f>IF(OR(E2079="",E2079="!!!",F2079="NEW"),"",INDEX(B2078:B$2,-1+SUMPRODUCT(MAX(ROW(E2078:E$2)*(E2079=E2078:E$2)))))</f>
        <v> </v>
      </c>
      <c r="J2079" s="25" t="str">
        <f>IF(OR(E2079="",E2079="!!!",F2079="NEW"),"",COUNTBLANK(OFFSET(A$1,,,SUMPRODUCT(MAX(ROW(E$2:E2079)*(E2079=E$2:E2079)))))-COUNTBLANK(OFFSET(A$1,,,SUMPRODUCT(MAX(ROW(E$1:E2078)*(E2=E$1:E2078))))))</f>
        <v> </v>
      </c>
      <c r="K2079" s="25" t="str">
        <f>IF(OR(E2079="",E2079="!!!",F2079="NEW"),"",INDEX(J$1:J2078,SUMPRODUCT(MAX(ROW(E$1:E2078)*(E2079=E$1:E2078)))))</f>
        <v> </v>
      </c>
      <c r="L2079" s="26"/>
    </row>
    <row r="2080" spans="1:12">
      <c r="A2080" s="20" t="s">
        <v>609</v>
      </c>
      <c r="E2080" s="21">
        <f>IF(D2080="?OLD","!!!","")</f>
        <v/>
      </c>
      <c r="F2080" s="22" t="str">
        <f>IF(OR(E2080="",E2080="!!!"),"",IF(NOT(ISNA(VLOOKUP(E2080,E$1:E2079,1,FALSE()))),"OLD",IF(AND(E2080&lt;&gt;"",E2080&lt;&gt;"!!!"),"NEW","")))</f>
        <v> </v>
      </c>
      <c r="G2080" s="23" t="str">
        <f>IF(OR(E2080="",E2080="!!!"),"",IF(OR(J2080=0,AND(J2080=1,K2080=1),AND(J2080=1,I2080="SBJ"),AND(J2080=1,I2080=0)),"?IN_FOCUS",IF(J2080&lt;=2,"?ACTIVATED",IF(J2080&lt;&gt;"","?FAMILIAR",IF(F2080="NEW",IF(ISNA(VLOOKUP(E2080,#REF!,1,FALSE())),"?TYPE_IDENTIFIABLE","?REFERENTIAL"),"_")))))</f>
        <v> </v>
      </c>
      <c r="H2080" s="24" t="str">
        <f>IF(J2080&lt;&gt;1,"",IF(I2080="SBJ","CB","?"))</f>
        <v> </v>
      </c>
      <c r="I2080" s="25" t="str">
        <f>IF(OR(E2080="",E2080="!!!",F2080="NEW"),"",INDEX(B2079:B$2,-1+SUMPRODUCT(MAX(ROW(E2079:E$2)*(E2080=E2079:E$2)))))</f>
        <v> </v>
      </c>
      <c r="J2080" s="25" t="str">
        <f>IF(OR(E2080="",E2080="!!!",F2080="NEW"),"",COUNTBLANK(OFFSET(A$1,,,SUMPRODUCT(MAX(ROW(E$2:E2080)*(E2080=E$2:E2080)))))-COUNTBLANK(OFFSET(A$1,,,SUMPRODUCT(MAX(ROW(E$1:E2079)*(E2=E$1:E2079))))))</f>
        <v> </v>
      </c>
      <c r="K2080" s="25" t="str">
        <f>IF(OR(E2080="",E2080="!!!",F2080="NEW"),"",INDEX(J$1:J2079,SUMPRODUCT(MAX(ROW(E$1:E2079)*(E2080=E$1:E2079)))))</f>
        <v> </v>
      </c>
      <c r="L2080" s="26"/>
    </row>
    <row r="2081" spans="1:12">
      <c r="A2081" s="20" t="s">
        <v>1388</v>
      </c>
      <c r="B2081" s="27" t="s">
        <v>611</v>
      </c>
      <c r="C2081" s="27" t="s">
        <v>607</v>
      </c>
      <c r="D2081" s="27" t="s">
        <v>608</v>
      </c>
      <c r="E2081" s="21">
        <f>IF(D2081="?OLD","!!!","")</f>
        <v/>
      </c>
      <c r="F2081" s="22" t="str">
        <f>IF(OR(E2081="",E2081="!!!"),"",IF(NOT(ISNA(VLOOKUP(E2081,E$1:E2080,1,FALSE()))),"OLD",IF(AND(E2081&lt;&gt;"",E2081&lt;&gt;"!!!"),"NEW","")))</f>
        <v> </v>
      </c>
      <c r="G2081" s="23" t="str">
        <f>IF(OR(E2081="",E2081="!!!"),"",IF(OR(J2081=0,AND(J2081=1,K2081=1),AND(J2081=1,I2081="SBJ"),AND(J2081=1,I2081=0)),"?IN_FOCUS",IF(J2081&lt;=2,"?ACTIVATED",IF(J2081&lt;&gt;"","?FAMILIAR",IF(F2081="NEW",IF(ISNA(VLOOKUP(E2081,#REF!,1,FALSE())),"?TYPE_IDENTIFIABLE","?REFERENTIAL"),"_")))))</f>
        <v> </v>
      </c>
      <c r="H2081" s="24" t="str">
        <f>IF(J2081&lt;&gt;1,"",IF(I2081="SBJ","CB","?"))</f>
        <v> </v>
      </c>
      <c r="I2081" s="25" t="str">
        <f>IF(OR(E2081="",E2081="!!!",F2081="NEW"),"",INDEX(B2080:B$2,-1+SUMPRODUCT(MAX(ROW(E2080:E$2)*(E2081=E2080:E$2)))))</f>
        <v> </v>
      </c>
      <c r="J2081" s="25" t="str">
        <f>IF(OR(E2081="",E2081="!!!",F2081="NEW"),"",COUNTBLANK(OFFSET(A$1,,,SUMPRODUCT(MAX(ROW(E$2:E2081)*(E2081=E$2:E2081)))))-COUNTBLANK(OFFSET(A$1,,,SUMPRODUCT(MAX(ROW(E$1:E2080)*(E2=E$1:E2080))))))</f>
        <v> </v>
      </c>
      <c r="K2081" s="25" t="str">
        <f>IF(OR(E2081="",E2081="!!!",F2081="NEW"),"",INDEX(J$1:J2080,SUMPRODUCT(MAX(ROW(E$1:E2080)*(E2081=E$1:E2080)))))</f>
        <v> </v>
      </c>
      <c r="L2081" s="26"/>
    </row>
    <row r="2082" spans="1:12">
      <c r="A2082" s="20" t="s">
        <v>1389</v>
      </c>
      <c r="E2082" s="21">
        <f>IF(D2082="?OLD","!!!","")</f>
        <v/>
      </c>
      <c r="F2082" s="22" t="str">
        <f>IF(OR(E2082="",E2082="!!!"),"",IF(NOT(ISNA(VLOOKUP(E2082,E$1:E2081,1,FALSE()))),"OLD",IF(AND(E2082&lt;&gt;"",E2082&lt;&gt;"!!!"),"NEW","")))</f>
        <v> </v>
      </c>
      <c r="G2082" s="23" t="str">
        <f>IF(OR(E2082="",E2082="!!!"),"",IF(OR(J2082=0,AND(J2082=1,K2082=1),AND(J2082=1,I2082="SBJ"),AND(J2082=1,I2082=0)),"?IN_FOCUS",IF(J2082&lt;=2,"?ACTIVATED",IF(J2082&lt;&gt;"","?FAMILIAR",IF(F2082="NEW",IF(ISNA(VLOOKUP(E2082,#REF!,1,FALSE())),"?TYPE_IDENTIFIABLE","?REFERENTIAL"),"_")))))</f>
        <v> </v>
      </c>
      <c r="H2082" s="24" t="str">
        <f>IF(J2082&lt;&gt;1,"",IF(I2082="SBJ","CB","?"))</f>
        <v> </v>
      </c>
      <c r="I2082" s="25" t="str">
        <f>IF(OR(E2082="",E2082="!!!",F2082="NEW"),"",INDEX(B2081:B$2,-1+SUMPRODUCT(MAX(ROW(E2081:E$2)*(E2082=E2081:E$2)))))</f>
        <v> </v>
      </c>
      <c r="J2082" s="25" t="str">
        <f>IF(OR(E2082="",E2082="!!!",F2082="NEW"),"",COUNTBLANK(OFFSET(A$1,,,SUMPRODUCT(MAX(ROW(E$2:E2082)*(E2082=E$2:E2082)))))-COUNTBLANK(OFFSET(A$1,,,SUMPRODUCT(MAX(ROW(E$1:E2081)*(E2=E$1:E2081))))))</f>
        <v> </v>
      </c>
      <c r="K2082" s="25" t="str">
        <f>IF(OR(E2082="",E2082="!!!",F2082="NEW"),"",INDEX(J$1:J2081,SUMPRODUCT(MAX(ROW(E$1:E2081)*(E2082=E$1:E2081)))))</f>
        <v> </v>
      </c>
      <c r="L2082" s="26"/>
    </row>
    <row r="2083" spans="1:12">
      <c r="A2083" s="20" t="s">
        <v>633</v>
      </c>
      <c r="E2083" s="21">
        <f>IF(D2083="?OLD","!!!","")</f>
        <v/>
      </c>
      <c r="F2083" s="22" t="str">
        <f>IF(OR(E2083="",E2083="!!!"),"",IF(NOT(ISNA(VLOOKUP(E2083,E$1:E2082,1,FALSE()))),"OLD",IF(AND(E2083&lt;&gt;"",E2083&lt;&gt;"!!!"),"NEW","")))</f>
        <v> </v>
      </c>
      <c r="G2083" s="23" t="str">
        <f>IF(OR(E2083="",E2083="!!!"),"",IF(OR(J2083=0,AND(J2083=1,K2083=1),AND(J2083=1,I2083="SBJ"),AND(J2083=1,I2083=0)),"?IN_FOCUS",IF(J2083&lt;=2,"?ACTIVATED",IF(J2083&lt;&gt;"","?FAMILIAR",IF(F2083="NEW",IF(ISNA(VLOOKUP(E2083,#REF!,1,FALSE())),"?TYPE_IDENTIFIABLE","?REFERENTIAL"),"_")))))</f>
        <v> </v>
      </c>
      <c r="H2083" s="24" t="str">
        <f>IF(J2083&lt;&gt;1,"",IF(I2083="SBJ","CB","?"))</f>
        <v> </v>
      </c>
      <c r="I2083" s="25" t="str">
        <f>IF(OR(E2083="",E2083="!!!",F2083="NEW"),"",INDEX(B2082:B$2,-1+SUMPRODUCT(MAX(ROW(E2082:E$2)*(E2083=E2082:E$2)))))</f>
        <v> </v>
      </c>
      <c r="J2083" s="25" t="str">
        <f>IF(OR(E2083="",E2083="!!!",F2083="NEW"),"",COUNTBLANK(OFFSET(A$1,,,SUMPRODUCT(MAX(ROW(E$2:E2083)*(E2083=E$2:E2083)))))-COUNTBLANK(OFFSET(A$1,,,SUMPRODUCT(MAX(ROW(E$1:E2082)*(E2=E$1:E2082))))))</f>
        <v> </v>
      </c>
      <c r="K2083" s="25" t="str">
        <f>IF(OR(E2083="",E2083="!!!",F2083="NEW"),"",INDEX(J$1:J2082,SUMPRODUCT(MAX(ROW(E$1:E2082)*(E2083=E$1:E2082)))))</f>
        <v> </v>
      </c>
      <c r="L2083" s="26"/>
    </row>
    <row r="2084" spans="1:12">
      <c r="A2084" s="20"/>
    </row>
    <row r="2085" spans="1:12">
      <c r="A2085" s="20" t="s">
        <v>1390</v>
      </c>
    </row>
    <row r="2086" spans="1:12">
      <c r="A2086" s="20" t="s">
        <v>661</v>
      </c>
      <c r="E2086" s="21">
        <f>IF(D2086="?OLD","!!!","")</f>
        <v/>
      </c>
      <c r="F2086" s="22" t="str">
        <f>IF(OR(E2086="",E2086="!!!"),"",IF(NOT(ISNA(VLOOKUP(E2086,E$1:E2085,1,FALSE()))),"OLD",IF(AND(E2086&lt;&gt;"",E2086&lt;&gt;"!!!"),"NEW","")))</f>
        <v> </v>
      </c>
      <c r="G2086" s="23" t="str">
        <f>IF(OR(E2086="",E2086="!!!"),"",IF(OR(J2086=0,AND(J2086=1,K2086=1),AND(J2086=1,I2086="SBJ"),AND(J2086=1,I2086=0)),"?IN_FOCUS",IF(J2086&lt;=2,"?ACTIVATED",IF(J2086&lt;&gt;"","?FAMILIAR",IF(F2086="NEW",IF(ISNA(VLOOKUP(E2086,#REF!,1,FALSE())),"?TYPE_IDENTIFIABLE","?REFERENTIAL"),"_")))))</f>
        <v> </v>
      </c>
      <c r="H2086" s="24" t="str">
        <f>IF(J2086&lt;&gt;1,"",IF(I2086="SBJ","CB","?"))</f>
        <v> </v>
      </c>
      <c r="I2086" s="25" t="str">
        <f>IF(OR(E2086="",E2086="!!!",F2086="NEW"),"",INDEX(B2085:B$2,-1+SUMPRODUCT(MAX(ROW(E2085:E$2)*(E2086=E2085:E$2)))))</f>
        <v> </v>
      </c>
      <c r="J2086" s="25" t="str">
        <f>IF(OR(E2086="",E2086="!!!",F2086="NEW"),"",COUNTBLANK(OFFSET(A$1,,,SUMPRODUCT(MAX(ROW(E$2:E2086)*(E2086=E$2:E2086)))))-COUNTBLANK(OFFSET(A$1,,,SUMPRODUCT(MAX(ROW(E$1:E2085)*(E2=E$1:E2085))))))</f>
        <v> </v>
      </c>
      <c r="K2086" s="25" t="str">
        <f>IF(OR(E2086="",E2086="!!!",F2086="NEW"),"",INDEX(J$1:J2085,SUMPRODUCT(MAX(ROW(E$1:E2085)*(E2086=E$1:E2085)))))</f>
        <v> </v>
      </c>
      <c r="L2086" s="26"/>
    </row>
    <row r="2087" spans="1:12">
      <c r="A2087" s="20" t="s">
        <v>623</v>
      </c>
      <c r="E2087" s="21">
        <f>IF(D2087="?OLD","!!!","")</f>
        <v/>
      </c>
      <c r="F2087" s="22" t="str">
        <f>IF(OR(E2087="",E2087="!!!"),"",IF(NOT(ISNA(VLOOKUP(E2087,E$1:E2086,1,FALSE()))),"OLD",IF(AND(E2087&lt;&gt;"",E2087&lt;&gt;"!!!"),"NEW","")))</f>
        <v> </v>
      </c>
      <c r="G2087" s="23" t="str">
        <f>IF(OR(E2087="",E2087="!!!"),"",IF(OR(J2087=0,AND(J2087=1,K2087=1),AND(J2087=1,I2087="SBJ"),AND(J2087=1,I2087=0)),"?IN_FOCUS",IF(J2087&lt;=2,"?ACTIVATED",IF(J2087&lt;&gt;"","?FAMILIAR",IF(F2087="NEW",IF(ISNA(VLOOKUP(E2087,#REF!,1,FALSE())),"?TYPE_IDENTIFIABLE","?REFERENTIAL"),"_")))))</f>
        <v> </v>
      </c>
      <c r="H2087" s="24" t="str">
        <f>IF(J2087&lt;&gt;1,"",IF(I2087="SBJ","CB","?"))</f>
        <v> </v>
      </c>
      <c r="I2087" s="25" t="str">
        <f>IF(OR(E2087="",E2087="!!!",F2087="NEW"),"",INDEX(B2086:B$2,-1+SUMPRODUCT(MAX(ROW(E2086:E$2)*(E2087=E2086:E$2)))))</f>
        <v> </v>
      </c>
      <c r="J2087" s="25" t="str">
        <f>IF(OR(E2087="",E2087="!!!",F2087="NEW"),"",COUNTBLANK(OFFSET(A$1,,,SUMPRODUCT(MAX(ROW(E$2:E2087)*(E2087=E$2:E2087)))))-COUNTBLANK(OFFSET(A$1,,,SUMPRODUCT(MAX(ROW(E$1:E2086)*(E2=E$1:E2086))))))</f>
        <v> </v>
      </c>
      <c r="K2087" s="25" t="str">
        <f>IF(OR(E2087="",E2087="!!!",F2087="NEW"),"",INDEX(J$1:J2086,SUMPRODUCT(MAX(ROW(E$1:E2086)*(E2087=E$1:E2086)))))</f>
        <v> </v>
      </c>
      <c r="L2087" s="26"/>
    </row>
    <row r="2088" spans="1:12">
      <c r="A2088" s="20" t="s">
        <v>1006</v>
      </c>
      <c r="B2088" s="27" t="s">
        <v>625</v>
      </c>
      <c r="C2088" s="27" t="s">
        <v>614</v>
      </c>
      <c r="D2088" s="27" t="s">
        <v>608</v>
      </c>
      <c r="E2088" s="21">
        <f>IF(D2088="?OLD","!!!","")</f>
        <v/>
      </c>
      <c r="F2088" s="22" t="str">
        <f>IF(OR(E2088="",E2088="!!!"),"",IF(NOT(ISNA(VLOOKUP(E2088,E$1:E2087,1,FALSE()))),"OLD",IF(AND(E2088&lt;&gt;"",E2088&lt;&gt;"!!!"),"NEW","")))</f>
        <v> </v>
      </c>
      <c r="G2088" s="23" t="str">
        <f>IF(OR(E2088="",E2088="!!!"),"",IF(OR(J2088=0,AND(J2088=1,K2088=1),AND(J2088=1,I2088="SBJ"),AND(J2088=1,I2088=0)),"?IN_FOCUS",IF(J2088&lt;=2,"?ACTIVATED",IF(J2088&lt;&gt;"","?FAMILIAR",IF(F2088="NEW",IF(ISNA(VLOOKUP(E2088,#REF!,1,FALSE())),"?TYPE_IDENTIFIABLE","?REFERENTIAL"),"_")))))</f>
        <v> </v>
      </c>
      <c r="H2088" s="24" t="str">
        <f>IF(J2088&lt;&gt;1,"",IF(I2088="SBJ","CB","?"))</f>
        <v> </v>
      </c>
      <c r="I2088" s="25" t="str">
        <f>IF(OR(E2088="",E2088="!!!",F2088="NEW"),"",INDEX(B2087:B$2,-1+SUMPRODUCT(MAX(ROW(E2087:E$2)*(E2088=E2087:E$2)))))</f>
        <v> </v>
      </c>
      <c r="J2088" s="25" t="str">
        <f>IF(OR(E2088="",E2088="!!!",F2088="NEW"),"",COUNTBLANK(OFFSET(A$1,,,SUMPRODUCT(MAX(ROW(E$2:E2088)*(E2088=E$2:E2088)))))-COUNTBLANK(OFFSET(A$1,,,SUMPRODUCT(MAX(ROW(E$1:E2087)*(E2=E$1:E2087))))))</f>
        <v> </v>
      </c>
      <c r="K2088" s="25" t="str">
        <f>IF(OR(E2088="",E2088="!!!",F2088="NEW"),"",INDEX(J$1:J2087,SUMPRODUCT(MAX(ROW(E$1:E2087)*(E2088=E$1:E2087)))))</f>
        <v> </v>
      </c>
      <c r="L2088" s="26"/>
    </row>
    <row r="2089" spans="1:12">
      <c r="A2089" s="20" t="s">
        <v>1387</v>
      </c>
      <c r="B2089" s="27" t="s">
        <v>619</v>
      </c>
      <c r="C2089" s="27" t="s">
        <v>616</v>
      </c>
      <c r="D2089" s="27" t="s">
        <v>608</v>
      </c>
      <c r="E2089" s="21">
        <f>IF(D2089="?OLD","!!!","")</f>
        <v/>
      </c>
      <c r="F2089" s="22" t="str">
        <f>IF(OR(E2089="",E2089="!!!"),"",IF(NOT(ISNA(VLOOKUP(E2089,E$1:E2088,1,FALSE()))),"OLD",IF(AND(E2089&lt;&gt;"",E2089&lt;&gt;"!!!"),"NEW","")))</f>
        <v> </v>
      </c>
      <c r="G2089" s="23" t="str">
        <f>IF(OR(E2089="",E2089="!!!"),"",IF(OR(J2089=0,AND(J2089=1,K2089=1),AND(J2089=1,I2089="SBJ"),AND(J2089=1,I2089=0)),"?IN_FOCUS",IF(J2089&lt;=2,"?ACTIVATED",IF(J2089&lt;&gt;"","?FAMILIAR",IF(F2089="NEW",IF(ISNA(VLOOKUP(E2089,#REF!,1,FALSE())),"?TYPE_IDENTIFIABLE","?REFERENTIAL"),"_")))))</f>
        <v> </v>
      </c>
      <c r="H2089" s="24" t="str">
        <f>IF(J2089&lt;&gt;1,"",IF(I2089="SBJ","CB","?"))</f>
        <v> </v>
      </c>
      <c r="I2089" s="25" t="str">
        <f>IF(OR(E2089="",E2089="!!!",F2089="NEW"),"",INDEX(B2088:B$2,-1+SUMPRODUCT(MAX(ROW(E2088:E$2)*(E2089=E2088:E$2)))))</f>
        <v> </v>
      </c>
      <c r="J2089" s="25" t="str">
        <f>IF(OR(E2089="",E2089="!!!",F2089="NEW"),"",COUNTBLANK(OFFSET(A$1,,,SUMPRODUCT(MAX(ROW(E$2:E2089)*(E2089=E$2:E2089)))))-COUNTBLANK(OFFSET(A$1,,,SUMPRODUCT(MAX(ROW(E$1:E2088)*(E2=E$1:E2088))))))</f>
        <v> </v>
      </c>
      <c r="K2089" s="25" t="str">
        <f>IF(OR(E2089="",E2089="!!!",F2089="NEW"),"",INDEX(J$1:J2088,SUMPRODUCT(MAX(ROW(E$1:E2088)*(E2089=E$1:E2088)))))</f>
        <v> </v>
      </c>
      <c r="L2089" s="26"/>
    </row>
    <row r="2090" spans="1:12">
      <c r="A2090" s="20" t="s">
        <v>1391</v>
      </c>
      <c r="E2090" s="21">
        <f>IF(D2090="?OLD","!!!","")</f>
        <v/>
      </c>
      <c r="F2090" s="22" t="str">
        <f>IF(OR(E2090="",E2090="!!!"),"",IF(NOT(ISNA(VLOOKUP(E2090,E$1:E2089,1,FALSE()))),"OLD",IF(AND(E2090&lt;&gt;"",E2090&lt;&gt;"!!!"),"NEW","")))</f>
        <v> </v>
      </c>
      <c r="G2090" s="23" t="str">
        <f>IF(OR(E2090="",E2090="!!!"),"",IF(OR(J2090=0,AND(J2090=1,K2090=1),AND(J2090=1,I2090="SBJ"),AND(J2090=1,I2090=0)),"?IN_FOCUS",IF(J2090&lt;=2,"?ACTIVATED",IF(J2090&lt;&gt;"","?FAMILIAR",IF(F2090="NEW",IF(ISNA(VLOOKUP(E2090,#REF!,1,FALSE())),"?TYPE_IDENTIFIABLE","?REFERENTIAL"),"_")))))</f>
        <v> </v>
      </c>
      <c r="H2090" s="24" t="str">
        <f>IF(J2090&lt;&gt;1,"",IF(I2090="SBJ","CB","?"))</f>
        <v> </v>
      </c>
      <c r="I2090" s="25" t="str">
        <f>IF(OR(E2090="",E2090="!!!",F2090="NEW"),"",INDEX(B2089:B$2,-1+SUMPRODUCT(MAX(ROW(E2089:E$2)*(E2090=E2089:E$2)))))</f>
        <v> </v>
      </c>
      <c r="J2090" s="25" t="str">
        <f>IF(OR(E2090="",E2090="!!!",F2090="NEW"),"",COUNTBLANK(OFFSET(A$1,,,SUMPRODUCT(MAX(ROW(E$2:E2090)*(E2090=E$2:E2090)))))-COUNTBLANK(OFFSET(A$1,,,SUMPRODUCT(MAX(ROW(E$1:E2089)*(E2=E$1:E2089))))))</f>
        <v> </v>
      </c>
      <c r="K2090" s="25" t="str">
        <f>IF(OR(E2090="",E2090="!!!",F2090="NEW"),"",INDEX(J$1:J2089,SUMPRODUCT(MAX(ROW(E$1:E2089)*(E2090=E$1:E2089)))))</f>
        <v> </v>
      </c>
      <c r="L2090" s="26"/>
    </row>
    <row r="2091" spans="1:12">
      <c r="A2091" s="20" t="s">
        <v>663</v>
      </c>
      <c r="E2091" s="21">
        <f>IF(D2091="?OLD","!!!","")</f>
        <v/>
      </c>
      <c r="F2091" s="22" t="str">
        <f>IF(OR(E2091="",E2091="!!!"),"",IF(NOT(ISNA(VLOOKUP(E2091,E$1:E2090,1,FALSE()))),"OLD",IF(AND(E2091&lt;&gt;"",E2091&lt;&gt;"!!!"),"NEW","")))</f>
        <v> </v>
      </c>
      <c r="G2091" s="23" t="str">
        <f>IF(OR(E2091="",E2091="!!!"),"",IF(OR(J2091=0,AND(J2091=1,K2091=1),AND(J2091=1,I2091="SBJ"),AND(J2091=1,I2091=0)),"?IN_FOCUS",IF(J2091&lt;=2,"?ACTIVATED",IF(J2091&lt;&gt;"","?FAMILIAR",IF(F2091="NEW",IF(ISNA(VLOOKUP(E2091,#REF!,1,FALSE())),"?TYPE_IDENTIFIABLE","?REFERENTIAL"),"_")))))</f>
        <v> </v>
      </c>
      <c r="H2091" s="24" t="str">
        <f>IF(J2091&lt;&gt;1,"",IF(I2091="SBJ","CB","?"))</f>
        <v> </v>
      </c>
      <c r="I2091" s="25" t="str">
        <f>IF(OR(E2091="",E2091="!!!",F2091="NEW"),"",INDEX(B2090:B$2,-1+SUMPRODUCT(MAX(ROW(E2090:E$2)*(E2091=E2090:E$2)))))</f>
        <v> </v>
      </c>
      <c r="J2091" s="25" t="str">
        <f>IF(OR(E2091="",E2091="!!!",F2091="NEW"),"",COUNTBLANK(OFFSET(A$1,,,SUMPRODUCT(MAX(ROW(E$2:E2091)*(E2091=E$2:E2091)))))-COUNTBLANK(OFFSET(A$1,,,SUMPRODUCT(MAX(ROW(E$1:E2090)*(E2=E$1:E2090))))))</f>
        <v> </v>
      </c>
      <c r="K2091" s="25" t="str">
        <f>IF(OR(E2091="",E2091="!!!",F2091="NEW"),"",INDEX(J$1:J2090,SUMPRODUCT(MAX(ROW(E$1:E2090)*(E2091=E$1:E2090)))))</f>
        <v> </v>
      </c>
      <c r="L2091" s="26"/>
    </row>
    <row r="2092" spans="1:12">
      <c r="A2092" s="20" t="s">
        <v>1392</v>
      </c>
      <c r="E2092" s="21">
        <f>IF(D2092="?OLD","!!!","")</f>
        <v/>
      </c>
      <c r="F2092" s="22" t="str">
        <f>IF(OR(E2092="",E2092="!!!"),"",IF(NOT(ISNA(VLOOKUP(E2092,E$1:E2091,1,FALSE()))),"OLD",IF(AND(E2092&lt;&gt;"",E2092&lt;&gt;"!!!"),"NEW","")))</f>
        <v> </v>
      </c>
      <c r="G2092" s="23" t="str">
        <f>IF(OR(E2092="",E2092="!!!"),"",IF(OR(J2092=0,AND(J2092=1,K2092=1),AND(J2092=1,I2092="SBJ"),AND(J2092=1,I2092=0)),"?IN_FOCUS",IF(J2092&lt;=2,"?ACTIVATED",IF(J2092&lt;&gt;"","?FAMILIAR",IF(F2092="NEW",IF(ISNA(VLOOKUP(E2092,#REF!,1,FALSE())),"?TYPE_IDENTIFIABLE","?REFERENTIAL"),"_")))))</f>
        <v> </v>
      </c>
      <c r="H2092" s="24" t="str">
        <f>IF(J2092&lt;&gt;1,"",IF(I2092="SBJ","CB","?"))</f>
        <v> </v>
      </c>
      <c r="I2092" s="25" t="str">
        <f>IF(OR(E2092="",E2092="!!!",F2092="NEW"),"",INDEX(B2091:B$2,-1+SUMPRODUCT(MAX(ROW(E2091:E$2)*(E2092=E2091:E$2)))))</f>
        <v> </v>
      </c>
      <c r="J2092" s="25" t="str">
        <f>IF(OR(E2092="",E2092="!!!",F2092="NEW"),"",COUNTBLANK(OFFSET(A$1,,,SUMPRODUCT(MAX(ROW(E$2:E2092)*(E2092=E$2:E2092)))))-COUNTBLANK(OFFSET(A$1,,,SUMPRODUCT(MAX(ROW(E$1:E2091)*(E2=E$1:E2091))))))</f>
        <v> </v>
      </c>
      <c r="K2092" s="25" t="str">
        <f>IF(OR(E2092="",E2092="!!!",F2092="NEW"),"",INDEX(J$1:J2091,SUMPRODUCT(MAX(ROW(E$1:E2091)*(E2092=E$1:E2091)))))</f>
        <v> </v>
      </c>
      <c r="L2092" s="26"/>
    </row>
    <row r="2093" spans="1:12">
      <c r="A2093" s="20" t="s">
        <v>644</v>
      </c>
      <c r="E2093" s="21">
        <f>IF(D2093="?OLD","!!!","")</f>
        <v/>
      </c>
      <c r="F2093" s="22" t="str">
        <f>IF(OR(E2093="",E2093="!!!"),"",IF(NOT(ISNA(VLOOKUP(E2093,E$1:E2092,1,FALSE()))),"OLD",IF(AND(E2093&lt;&gt;"",E2093&lt;&gt;"!!!"),"NEW","")))</f>
        <v> </v>
      </c>
      <c r="G2093" s="23" t="str">
        <f>IF(OR(E2093="",E2093="!!!"),"",IF(OR(J2093=0,AND(J2093=1,K2093=1),AND(J2093=1,I2093="SBJ"),AND(J2093=1,I2093=0)),"?IN_FOCUS",IF(J2093&lt;=2,"?ACTIVATED",IF(J2093&lt;&gt;"","?FAMILIAR",IF(F2093="NEW",IF(ISNA(VLOOKUP(E2093,#REF!,1,FALSE())),"?TYPE_IDENTIFIABLE","?REFERENTIAL"),"_")))))</f>
        <v> </v>
      </c>
      <c r="H2093" s="24" t="str">
        <f>IF(J2093&lt;&gt;1,"",IF(I2093="SBJ","CB","?"))</f>
        <v> </v>
      </c>
      <c r="I2093" s="25" t="str">
        <f>IF(OR(E2093="",E2093="!!!",F2093="NEW"),"",INDEX(B2092:B$2,-1+SUMPRODUCT(MAX(ROW(E2092:E$2)*(E2093=E2092:E$2)))))</f>
        <v> </v>
      </c>
      <c r="J2093" s="25" t="str">
        <f>IF(OR(E2093="",E2093="!!!",F2093="NEW"),"",COUNTBLANK(OFFSET(A$1,,,SUMPRODUCT(MAX(ROW(E$2:E2093)*(E2093=E$2:E2093)))))-COUNTBLANK(OFFSET(A$1,,,SUMPRODUCT(MAX(ROW(E$1:E2092)*(E2=E$1:E2092))))))</f>
        <v> </v>
      </c>
      <c r="K2093" s="25" t="str">
        <f>IF(OR(E2093="",E2093="!!!",F2093="NEW"),"",INDEX(J$1:J2092,SUMPRODUCT(MAX(ROW(E$1:E2092)*(E2093=E$1:E2092)))))</f>
        <v> </v>
      </c>
      <c r="L2093" s="26"/>
    </row>
    <row r="2094" spans="1:12">
      <c r="A2094" s="20" t="s">
        <v>618</v>
      </c>
      <c r="E2094" s="21">
        <f>IF(D2094="?OLD","!!!","")</f>
        <v/>
      </c>
      <c r="F2094" s="22" t="str">
        <f>IF(OR(E2094="",E2094="!!!"),"",IF(NOT(ISNA(VLOOKUP(E2094,E$1:E2093,1,FALSE()))),"OLD",IF(AND(E2094&lt;&gt;"",E2094&lt;&gt;"!!!"),"NEW","")))</f>
        <v> </v>
      </c>
      <c r="G2094" s="23" t="str">
        <f>IF(OR(E2094="",E2094="!!!"),"",IF(OR(J2094=0,AND(J2094=1,K2094=1),AND(J2094=1,I2094="SBJ"),AND(J2094=1,I2094=0)),"?IN_FOCUS",IF(J2094&lt;=2,"?ACTIVATED",IF(J2094&lt;&gt;"","?FAMILIAR",IF(F2094="NEW",IF(ISNA(VLOOKUP(E2094,#REF!,1,FALSE())),"?TYPE_IDENTIFIABLE","?REFERENTIAL"),"_")))))</f>
        <v> </v>
      </c>
      <c r="H2094" s="24" t="str">
        <f>IF(J2094&lt;&gt;1,"",IF(I2094="SBJ","CB","?"))</f>
        <v> </v>
      </c>
      <c r="I2094" s="25" t="str">
        <f>IF(OR(E2094="",E2094="!!!",F2094="NEW"),"",INDEX(B2093:B$2,-1+SUMPRODUCT(MAX(ROW(E2093:E$2)*(E2094=E2093:E$2)))))</f>
        <v> </v>
      </c>
      <c r="J2094" s="25" t="str">
        <f>IF(OR(E2094="",E2094="!!!",F2094="NEW"),"",COUNTBLANK(OFFSET(A$1,,,SUMPRODUCT(MAX(ROW(E$2:E2094)*(E2094=E$2:E2094)))))-COUNTBLANK(OFFSET(A$1,,,SUMPRODUCT(MAX(ROW(E$1:E2093)*(E2=E$1:E2093))))))</f>
        <v> </v>
      </c>
      <c r="K2094" s="25" t="str">
        <f>IF(OR(E2094="",E2094="!!!",F2094="NEW"),"",INDEX(J$1:J2093,SUMPRODUCT(MAX(ROW(E$1:E2093)*(E2094=E$1:E2093)))))</f>
        <v> </v>
      </c>
      <c r="L2094" s="26"/>
    </row>
    <row r="2095" spans="1:12">
      <c r="A2095" s="20" t="s">
        <v>1393</v>
      </c>
      <c r="E2095" s="21">
        <f>IF(D2095="?OLD","!!!","")</f>
        <v/>
      </c>
      <c r="F2095" s="22" t="str">
        <f>IF(OR(E2095="",E2095="!!!"),"",IF(NOT(ISNA(VLOOKUP(E2095,E$1:E2094,1,FALSE()))),"OLD",IF(AND(E2095&lt;&gt;"",E2095&lt;&gt;"!!!"),"NEW","")))</f>
        <v> </v>
      </c>
      <c r="G2095" s="23" t="str">
        <f>IF(OR(E2095="",E2095="!!!"),"",IF(OR(J2095=0,AND(J2095=1,K2095=1),AND(J2095=1,I2095="SBJ"),AND(J2095=1,I2095=0)),"?IN_FOCUS",IF(J2095&lt;=2,"?ACTIVATED",IF(J2095&lt;&gt;"","?FAMILIAR",IF(F2095="NEW",IF(ISNA(VLOOKUP(E2095,#REF!,1,FALSE())),"?TYPE_IDENTIFIABLE","?REFERENTIAL"),"_")))))</f>
        <v> </v>
      </c>
      <c r="H2095" s="24" t="str">
        <f>IF(J2095&lt;&gt;1,"",IF(I2095="SBJ","CB","?"))</f>
        <v> </v>
      </c>
      <c r="I2095" s="25" t="str">
        <f>IF(OR(E2095="",E2095="!!!",F2095="NEW"),"",INDEX(B2094:B$2,-1+SUMPRODUCT(MAX(ROW(E2094:E$2)*(E2095=E2094:E$2)))))</f>
        <v> </v>
      </c>
      <c r="J2095" s="25" t="str">
        <f>IF(OR(E2095="",E2095="!!!",F2095="NEW"),"",COUNTBLANK(OFFSET(A$1,,,SUMPRODUCT(MAX(ROW(E$2:E2095)*(E2095=E$2:E2095)))))-COUNTBLANK(OFFSET(A$1,,,SUMPRODUCT(MAX(ROW(E$1:E2094)*(E2=E$1:E2094))))))</f>
        <v> </v>
      </c>
      <c r="K2095" s="25" t="str">
        <f>IF(OR(E2095="",E2095="!!!",F2095="NEW"),"",INDEX(J$1:J2094,SUMPRODUCT(MAX(ROW(E$1:E2094)*(E2095=E$1:E2094)))))</f>
        <v> </v>
      </c>
      <c r="L2095" s="26"/>
    </row>
    <row r="2096" spans="1:12">
      <c r="A2096" s="20" t="s">
        <v>1394</v>
      </c>
      <c r="B2096" s="27" t="s">
        <v>725</v>
      </c>
      <c r="C2096" s="27" t="s">
        <v>607</v>
      </c>
      <c r="D2096" s="27" t="s">
        <v>608</v>
      </c>
      <c r="E2096" s="21">
        <f>IF(D2096="?OLD","!!!","")</f>
        <v/>
      </c>
      <c r="F2096" s="22" t="str">
        <f>IF(OR(E2096="",E2096="!!!"),"",IF(NOT(ISNA(VLOOKUP(E2096,E$1:E2095,1,FALSE()))),"OLD",IF(AND(E2096&lt;&gt;"",E2096&lt;&gt;"!!!"),"NEW","")))</f>
        <v> </v>
      </c>
      <c r="G2096" s="23" t="str">
        <f>IF(OR(E2096="",E2096="!!!"),"",IF(OR(J2096=0,AND(J2096=1,K2096=1),AND(J2096=1,I2096="SBJ"),AND(J2096=1,I2096=0)),"?IN_FOCUS",IF(J2096&lt;=2,"?ACTIVATED",IF(J2096&lt;&gt;"","?FAMILIAR",IF(F2096="NEW",IF(ISNA(VLOOKUP(E2096,#REF!,1,FALSE())),"?TYPE_IDENTIFIABLE","?REFERENTIAL"),"_")))))</f>
        <v> </v>
      </c>
      <c r="H2096" s="24" t="str">
        <f>IF(J2096&lt;&gt;1,"",IF(I2096="SBJ","CB","?"))</f>
        <v> </v>
      </c>
      <c r="I2096" s="25" t="str">
        <f>IF(OR(E2096="",E2096="!!!",F2096="NEW"),"",INDEX(B2095:B$2,-1+SUMPRODUCT(MAX(ROW(E2095:E$2)*(E2096=E2095:E$2)))))</f>
        <v> </v>
      </c>
      <c r="J2096" s="25" t="str">
        <f>IF(OR(E2096="",E2096="!!!",F2096="NEW"),"",COUNTBLANK(OFFSET(A$1,,,SUMPRODUCT(MAX(ROW(E$2:E2096)*(E2096=E$2:E2096)))))-COUNTBLANK(OFFSET(A$1,,,SUMPRODUCT(MAX(ROW(E$1:E2095)*(E2=E$1:E2095))))))</f>
        <v> </v>
      </c>
      <c r="K2096" s="25" t="str">
        <f>IF(OR(E2096="",E2096="!!!",F2096="NEW"),"",INDEX(J$1:J2095,SUMPRODUCT(MAX(ROW(E$1:E2095)*(E2096=E$1:E2095)))))</f>
        <v> </v>
      </c>
      <c r="L2096" s="26"/>
    </row>
    <row r="2097" spans="1:12">
      <c r="A2097" s="20" t="s">
        <v>1395</v>
      </c>
      <c r="E2097" s="21">
        <f>IF(D2097="?OLD","!!!","")</f>
        <v/>
      </c>
      <c r="F2097" s="22" t="str">
        <f>IF(OR(E2097="",E2097="!!!"),"",IF(NOT(ISNA(VLOOKUP(E2097,E$1:E2096,1,FALSE()))),"OLD",IF(AND(E2097&lt;&gt;"",E2097&lt;&gt;"!!!"),"NEW","")))</f>
        <v> </v>
      </c>
      <c r="G2097" s="23" t="str">
        <f>IF(OR(E2097="",E2097="!!!"),"",IF(OR(J2097=0,AND(J2097=1,K2097=1),AND(J2097=1,I2097="SBJ"),AND(J2097=1,I2097=0)),"?IN_FOCUS",IF(J2097&lt;=2,"?ACTIVATED",IF(J2097&lt;&gt;"","?FAMILIAR",IF(F2097="NEW",IF(ISNA(VLOOKUP(E2097,#REF!,1,FALSE())),"?TYPE_IDENTIFIABLE","?REFERENTIAL"),"_")))))</f>
        <v> </v>
      </c>
      <c r="H2097" s="24" t="str">
        <f>IF(J2097&lt;&gt;1,"",IF(I2097="SBJ","CB","?"))</f>
        <v> </v>
      </c>
      <c r="I2097" s="25" t="str">
        <f>IF(OR(E2097="",E2097="!!!",F2097="NEW"),"",INDEX(B2096:B$2,-1+SUMPRODUCT(MAX(ROW(E2096:E$2)*(E2097=E2096:E$2)))))</f>
        <v> </v>
      </c>
      <c r="J2097" s="25" t="str">
        <f>IF(OR(E2097="",E2097="!!!",F2097="NEW"),"",COUNTBLANK(OFFSET(A$1,,,SUMPRODUCT(MAX(ROW(E$2:E2097)*(E2097=E$2:E2097)))))-COUNTBLANK(OFFSET(A$1,,,SUMPRODUCT(MAX(ROW(E$1:E2096)*(E2=E$1:E2096))))))</f>
        <v> </v>
      </c>
      <c r="K2097" s="25" t="str">
        <f>IF(OR(E2097="",E2097="!!!",F2097="NEW"),"",INDEX(J$1:J2096,SUMPRODUCT(MAX(ROW(E$1:E2096)*(E2097=E$1:E2096)))))</f>
        <v> </v>
      </c>
      <c r="L2097" s="26"/>
    </row>
    <row r="2098" spans="1:12">
      <c r="A2098" s="20" t="s">
        <v>617</v>
      </c>
      <c r="E2098" s="21">
        <f>IF(D2098="?OLD","!!!","")</f>
        <v/>
      </c>
      <c r="F2098" s="22" t="str">
        <f>IF(OR(E2098="",E2098="!!!"),"",IF(NOT(ISNA(VLOOKUP(E2098,E$1:E2097,1,FALSE()))),"OLD",IF(AND(E2098&lt;&gt;"",E2098&lt;&gt;"!!!"),"NEW","")))</f>
        <v> </v>
      </c>
      <c r="G2098" s="23" t="str">
        <f>IF(OR(E2098="",E2098="!!!"),"",IF(OR(J2098=0,AND(J2098=1,K2098=1),AND(J2098=1,I2098="SBJ"),AND(J2098=1,I2098=0)),"?IN_FOCUS",IF(J2098&lt;=2,"?ACTIVATED",IF(J2098&lt;&gt;"","?FAMILIAR",IF(F2098="NEW",IF(ISNA(VLOOKUP(E2098,#REF!,1,FALSE())),"?TYPE_IDENTIFIABLE","?REFERENTIAL"),"_")))))</f>
        <v> </v>
      </c>
      <c r="H2098" s="24" t="str">
        <f>IF(J2098&lt;&gt;1,"",IF(I2098="SBJ","CB","?"))</f>
        <v> </v>
      </c>
      <c r="I2098" s="25" t="str">
        <f>IF(OR(E2098="",E2098="!!!",F2098="NEW"),"",INDEX(B2097:B$2,-1+SUMPRODUCT(MAX(ROW(E2097:E$2)*(E2098=E2097:E$2)))))</f>
        <v> </v>
      </c>
      <c r="J2098" s="25" t="str">
        <f>IF(OR(E2098="",E2098="!!!",F2098="NEW"),"",COUNTBLANK(OFFSET(A$1,,,SUMPRODUCT(MAX(ROW(E$2:E2098)*(E2098=E$2:E2098)))))-COUNTBLANK(OFFSET(A$1,,,SUMPRODUCT(MAX(ROW(E$1:E2097)*(E2=E$1:E2097))))))</f>
        <v> </v>
      </c>
      <c r="K2098" s="25" t="str">
        <f>IF(OR(E2098="",E2098="!!!",F2098="NEW"),"",INDEX(J$1:J2097,SUMPRODUCT(MAX(ROW(E$1:E2097)*(E2098=E$1:E2097)))))</f>
        <v> </v>
      </c>
      <c r="L2098" s="26"/>
    </row>
    <row r="2099" spans="1:12">
      <c r="A2099" s="20" t="s">
        <v>872</v>
      </c>
      <c r="B2099" s="27" t="s">
        <v>725</v>
      </c>
      <c r="E2099" s="21">
        <f>IF(D2099="?OLD","!!!","")</f>
        <v/>
      </c>
      <c r="F2099" s="22" t="str">
        <f>IF(OR(E2099="",E2099="!!!"),"",IF(NOT(ISNA(VLOOKUP(E2099,E$1:E2098,1,FALSE()))),"OLD",IF(AND(E2099&lt;&gt;"",E2099&lt;&gt;"!!!"),"NEW","")))</f>
        <v> </v>
      </c>
      <c r="G2099" s="23" t="str">
        <f>IF(OR(E2099="",E2099="!!!"),"",IF(OR(J2099=0,AND(J2099=1,K2099=1),AND(J2099=1,I2099="SBJ"),AND(J2099=1,I2099=0)),"?IN_FOCUS",IF(J2099&lt;=2,"?ACTIVATED",IF(J2099&lt;&gt;"","?FAMILIAR",IF(F2099="NEW",IF(ISNA(VLOOKUP(E2099,#REF!,1,FALSE())),"?TYPE_IDENTIFIABLE","?REFERENTIAL"),"_")))))</f>
        <v> </v>
      </c>
      <c r="H2099" s="24" t="str">
        <f>IF(J2099&lt;&gt;1,"",IF(I2099="SBJ","CB","?"))</f>
        <v> </v>
      </c>
      <c r="I2099" s="25" t="str">
        <f>IF(OR(E2099="",E2099="!!!",F2099="NEW"),"",INDEX(B2098:B$2,-1+SUMPRODUCT(MAX(ROW(E2098:E$2)*(E2099=E2098:E$2)))))</f>
        <v> </v>
      </c>
      <c r="J2099" s="25" t="str">
        <f>IF(OR(E2099="",E2099="!!!",F2099="NEW"),"",COUNTBLANK(OFFSET(A$1,,,SUMPRODUCT(MAX(ROW(E$2:E2099)*(E2099=E$2:E2099)))))-COUNTBLANK(OFFSET(A$1,,,SUMPRODUCT(MAX(ROW(E$1:E2098)*(E2=E$1:E2098))))))</f>
        <v> </v>
      </c>
      <c r="K2099" s="25" t="str">
        <f>IF(OR(E2099="",E2099="!!!",F2099="NEW"),"",INDEX(J$1:J2098,SUMPRODUCT(MAX(ROW(E$1:E2098)*(E2099=E$1:E2098)))))</f>
        <v> </v>
      </c>
      <c r="L2099" s="26"/>
    </row>
    <row r="2100" spans="1:12">
      <c r="A2100" s="20" t="s">
        <v>791</v>
      </c>
      <c r="E2100" s="21">
        <f>IF(D2100="?OLD","!!!","")</f>
        <v/>
      </c>
      <c r="F2100" s="22" t="str">
        <f>IF(OR(E2100="",E2100="!!!"),"",IF(NOT(ISNA(VLOOKUP(E2100,E$1:E2099,1,FALSE()))),"OLD",IF(AND(E2100&lt;&gt;"",E2100&lt;&gt;"!!!"),"NEW","")))</f>
        <v> </v>
      </c>
      <c r="G2100" s="23" t="str">
        <f>IF(OR(E2100="",E2100="!!!"),"",IF(OR(J2100=0,AND(J2100=1,K2100=1),AND(J2100=1,I2100="SBJ"),AND(J2100=1,I2100=0)),"?IN_FOCUS",IF(J2100&lt;=2,"?ACTIVATED",IF(J2100&lt;&gt;"","?FAMILIAR",IF(F2100="NEW",IF(ISNA(VLOOKUP(E2100,#REF!,1,FALSE())),"?TYPE_IDENTIFIABLE","?REFERENTIAL"),"_")))))</f>
        <v> </v>
      </c>
      <c r="H2100" s="24" t="str">
        <f>IF(J2100&lt;&gt;1,"",IF(I2100="SBJ","CB","?"))</f>
        <v> </v>
      </c>
      <c r="I2100" s="25" t="str">
        <f>IF(OR(E2100="",E2100="!!!",F2100="NEW"),"",INDEX(B2099:B$2,-1+SUMPRODUCT(MAX(ROW(E2099:E$2)*(E2100=E2099:E$2)))))</f>
        <v> </v>
      </c>
      <c r="J2100" s="25" t="str">
        <f>IF(OR(E2100="",E2100="!!!",F2100="NEW"),"",COUNTBLANK(OFFSET(A$1,,,SUMPRODUCT(MAX(ROW(E$2:E2100)*(E2100=E$2:E2100)))))-COUNTBLANK(OFFSET(A$1,,,SUMPRODUCT(MAX(ROW(E$1:E2099)*(E2=E$1:E2099))))))</f>
        <v> </v>
      </c>
      <c r="K2100" s="25" t="str">
        <f>IF(OR(E2100="",E2100="!!!",F2100="NEW"),"",INDEX(J$1:J2099,SUMPRODUCT(MAX(ROW(E$1:E2099)*(E2100=E$1:E2099)))))</f>
        <v> </v>
      </c>
      <c r="L2100" s="26"/>
    </row>
    <row r="2101" spans="1:12">
      <c r="A2101" s="20" t="s">
        <v>1006</v>
      </c>
      <c r="B2101" s="27" t="s">
        <v>664</v>
      </c>
      <c r="C2101" s="27" t="s">
        <v>614</v>
      </c>
      <c r="D2101" s="27" t="s">
        <v>608</v>
      </c>
      <c r="E2101" s="21">
        <f>IF(D2101="?OLD","!!!","")</f>
        <v/>
      </c>
      <c r="F2101" s="22" t="str">
        <f>IF(OR(E2101="",E2101="!!!"),"",IF(NOT(ISNA(VLOOKUP(E2101,E$1:E2100,1,FALSE()))),"OLD",IF(AND(E2101&lt;&gt;"",E2101&lt;&gt;"!!!"),"NEW","")))</f>
        <v> </v>
      </c>
      <c r="G2101" s="23" t="str">
        <f>IF(OR(E2101="",E2101="!!!"),"",IF(OR(J2101=0,AND(J2101=1,K2101=1),AND(J2101=1,I2101="SBJ"),AND(J2101=1,I2101=0)),"?IN_FOCUS",IF(J2101&lt;=2,"?ACTIVATED",IF(J2101&lt;&gt;"","?FAMILIAR",IF(F2101="NEW",IF(ISNA(VLOOKUP(E2101,#REF!,1,FALSE())),"?TYPE_IDENTIFIABLE","?REFERENTIAL"),"_")))))</f>
        <v> </v>
      </c>
      <c r="H2101" s="24" t="str">
        <f>IF(J2101&lt;&gt;1,"",IF(I2101="SBJ","CB","?"))</f>
        <v> </v>
      </c>
      <c r="I2101" s="25" t="str">
        <f>IF(OR(E2101="",E2101="!!!",F2101="NEW"),"",INDEX(B2100:B$2,-1+SUMPRODUCT(MAX(ROW(E2100:E$2)*(E2101=E2100:E$2)))))</f>
        <v> </v>
      </c>
      <c r="J2101" s="25" t="str">
        <f>IF(OR(E2101="",E2101="!!!",F2101="NEW"),"",COUNTBLANK(OFFSET(A$1,,,SUMPRODUCT(MAX(ROW(E$2:E2101)*(E2101=E$2:E2101)))))-COUNTBLANK(OFFSET(A$1,,,SUMPRODUCT(MAX(ROW(E$1:E2100)*(E2=E$1:E2100))))))</f>
        <v> </v>
      </c>
      <c r="K2101" s="25" t="str">
        <f>IF(OR(E2101="",E2101="!!!",F2101="NEW"),"",INDEX(J$1:J2100,SUMPRODUCT(MAX(ROW(E$1:E2100)*(E2101=E$1:E2100)))))</f>
        <v> </v>
      </c>
      <c r="L2101" s="26"/>
    </row>
    <row r="2102" spans="1:12">
      <c r="A2102" s="20" t="s">
        <v>1387</v>
      </c>
      <c r="B2102" s="27" t="s">
        <v>625</v>
      </c>
      <c r="C2102" s="27" t="s">
        <v>616</v>
      </c>
      <c r="D2102" s="27" t="s">
        <v>608</v>
      </c>
      <c r="E2102" s="21">
        <f>IF(D2102="?OLD","!!!","")</f>
        <v/>
      </c>
      <c r="F2102" s="22" t="str">
        <f>IF(OR(E2102="",E2102="!!!"),"",IF(NOT(ISNA(VLOOKUP(E2102,E$1:E2101,1,FALSE()))),"OLD",IF(AND(E2102&lt;&gt;"",E2102&lt;&gt;"!!!"),"NEW","")))</f>
        <v> </v>
      </c>
      <c r="G2102" s="23" t="str">
        <f>IF(OR(E2102="",E2102="!!!"),"",IF(OR(J2102=0,AND(J2102=1,K2102=1),AND(J2102=1,I2102="SBJ"),AND(J2102=1,I2102=0)),"?IN_FOCUS",IF(J2102&lt;=2,"?ACTIVATED",IF(J2102&lt;&gt;"","?FAMILIAR",IF(F2102="NEW",IF(ISNA(VLOOKUP(E2102,#REF!,1,FALSE())),"?TYPE_IDENTIFIABLE","?REFERENTIAL"),"_")))))</f>
        <v> </v>
      </c>
      <c r="H2102" s="24" t="str">
        <f>IF(J2102&lt;&gt;1,"",IF(I2102="SBJ","CB","?"))</f>
        <v> </v>
      </c>
      <c r="I2102" s="25" t="str">
        <f>IF(OR(E2102="",E2102="!!!",F2102="NEW"),"",INDEX(B2101:B$2,-1+SUMPRODUCT(MAX(ROW(E2101:E$2)*(E2102=E2101:E$2)))))</f>
        <v> </v>
      </c>
      <c r="J2102" s="25" t="str">
        <f>IF(OR(E2102="",E2102="!!!",F2102="NEW"),"",COUNTBLANK(OFFSET(A$1,,,SUMPRODUCT(MAX(ROW(E$2:E2102)*(E2102=E$2:E2102)))))-COUNTBLANK(OFFSET(A$1,,,SUMPRODUCT(MAX(ROW(E$1:E2101)*(E2=E$1:E2101))))))</f>
        <v> </v>
      </c>
      <c r="K2102" s="25" t="str">
        <f>IF(OR(E2102="",E2102="!!!",F2102="NEW"),"",INDEX(J$1:J2101,SUMPRODUCT(MAX(ROW(E$1:E2101)*(E2102=E$1:E2101)))))</f>
        <v> </v>
      </c>
      <c r="L2102" s="26"/>
    </row>
    <row r="2103" spans="1:12">
      <c r="A2103" s="20" t="s">
        <v>663</v>
      </c>
      <c r="E2103" s="21">
        <f>IF(D2103="?OLD","!!!","")</f>
        <v/>
      </c>
      <c r="F2103" s="22" t="str">
        <f>IF(OR(E2103="",E2103="!!!"),"",IF(NOT(ISNA(VLOOKUP(E2103,E$1:E2102,1,FALSE()))),"OLD",IF(AND(E2103&lt;&gt;"",E2103&lt;&gt;"!!!"),"NEW","")))</f>
        <v> </v>
      </c>
      <c r="G2103" s="23" t="str">
        <f>IF(OR(E2103="",E2103="!!!"),"",IF(OR(J2103=0,AND(J2103=1,K2103=1),AND(J2103=1,I2103="SBJ"),AND(J2103=1,I2103=0)),"?IN_FOCUS",IF(J2103&lt;=2,"?ACTIVATED",IF(J2103&lt;&gt;"","?FAMILIAR",IF(F2103="NEW",IF(ISNA(VLOOKUP(E2103,#REF!,1,FALSE())),"?TYPE_IDENTIFIABLE","?REFERENTIAL"),"_")))))</f>
        <v> </v>
      </c>
      <c r="H2103" s="24" t="str">
        <f>IF(J2103&lt;&gt;1,"",IF(I2103="SBJ","CB","?"))</f>
        <v> </v>
      </c>
      <c r="I2103" s="25" t="str">
        <f>IF(OR(E2103="",E2103="!!!",F2103="NEW"),"",INDEX(B2102:B$2,-1+SUMPRODUCT(MAX(ROW(E2102:E$2)*(E2103=E2102:E$2)))))</f>
        <v> </v>
      </c>
      <c r="J2103" s="25" t="str">
        <f>IF(OR(E2103="",E2103="!!!",F2103="NEW"),"",COUNTBLANK(OFFSET(A$1,,,SUMPRODUCT(MAX(ROW(E$2:E2103)*(E2103=E$2:E2103)))))-COUNTBLANK(OFFSET(A$1,,,SUMPRODUCT(MAX(ROW(E$1:E2102)*(E2=E$1:E2102))))))</f>
        <v> </v>
      </c>
      <c r="K2103" s="25" t="str">
        <f>IF(OR(E2103="",E2103="!!!",F2103="NEW"),"",INDEX(J$1:J2102,SUMPRODUCT(MAX(ROW(E$1:E2102)*(E2103=E$1:E2102)))))</f>
        <v> </v>
      </c>
      <c r="L2103" s="26"/>
    </row>
    <row r="2104" spans="1:12">
      <c r="A2104" s="20" t="s">
        <v>1396</v>
      </c>
      <c r="E2104" s="21">
        <f>IF(D2104="?OLD","!!!","")</f>
        <v/>
      </c>
      <c r="F2104" s="22" t="str">
        <f>IF(OR(E2104="",E2104="!!!"),"",IF(NOT(ISNA(VLOOKUP(E2104,E$1:E2103,1,FALSE()))),"OLD",IF(AND(E2104&lt;&gt;"",E2104&lt;&gt;"!!!"),"NEW","")))</f>
        <v> </v>
      </c>
      <c r="G2104" s="23" t="str">
        <f>IF(OR(E2104="",E2104="!!!"),"",IF(OR(J2104=0,AND(J2104=1,K2104=1),AND(J2104=1,I2104="SBJ"),AND(J2104=1,I2104=0)),"?IN_FOCUS",IF(J2104&lt;=2,"?ACTIVATED",IF(J2104&lt;&gt;"","?FAMILIAR",IF(F2104="NEW",IF(ISNA(VLOOKUP(E2104,#REF!,1,FALSE())),"?TYPE_IDENTIFIABLE","?REFERENTIAL"),"_")))))</f>
        <v> </v>
      </c>
      <c r="H2104" s="24" t="str">
        <f>IF(J2104&lt;&gt;1,"",IF(I2104="SBJ","CB","?"))</f>
        <v> </v>
      </c>
      <c r="I2104" s="25" t="str">
        <f>IF(OR(E2104="",E2104="!!!",F2104="NEW"),"",INDEX(B2103:B$2,-1+SUMPRODUCT(MAX(ROW(E2103:E$2)*(E2104=E2103:E$2)))))</f>
        <v> </v>
      </c>
      <c r="J2104" s="25" t="str">
        <f>IF(OR(E2104="",E2104="!!!",F2104="NEW"),"",COUNTBLANK(OFFSET(A$1,,,SUMPRODUCT(MAX(ROW(E$2:E2104)*(E2104=E$2:E2104)))))-COUNTBLANK(OFFSET(A$1,,,SUMPRODUCT(MAX(ROW(E$1:E2103)*(E2=E$1:E2103))))))</f>
        <v> </v>
      </c>
      <c r="K2104" s="25" t="str">
        <f>IF(OR(E2104="",E2104="!!!",F2104="NEW"),"",INDEX(J$1:J2103,SUMPRODUCT(MAX(ROW(E$1:E2103)*(E2104=E$1:E2103)))))</f>
        <v> </v>
      </c>
      <c r="L2104" s="26"/>
    </row>
    <row r="2105" spans="1:12">
      <c r="A2105" s="20" t="s">
        <v>617</v>
      </c>
      <c r="E2105" s="21">
        <f>IF(D2105="?OLD","!!!","")</f>
        <v/>
      </c>
      <c r="F2105" s="22" t="str">
        <f>IF(OR(E2105="",E2105="!!!"),"",IF(NOT(ISNA(VLOOKUP(E2105,E$1:E2104,1,FALSE()))),"OLD",IF(AND(E2105&lt;&gt;"",E2105&lt;&gt;"!!!"),"NEW","")))</f>
        <v> </v>
      </c>
      <c r="G2105" s="23" t="str">
        <f>IF(OR(E2105="",E2105="!!!"),"",IF(OR(J2105=0,AND(J2105=1,K2105=1),AND(J2105=1,I2105="SBJ"),AND(J2105=1,I2105=0)),"?IN_FOCUS",IF(J2105&lt;=2,"?ACTIVATED",IF(J2105&lt;&gt;"","?FAMILIAR",IF(F2105="NEW",IF(ISNA(VLOOKUP(E2105,#REF!,1,FALSE())),"?TYPE_IDENTIFIABLE","?REFERENTIAL"),"_")))))</f>
        <v> </v>
      </c>
      <c r="H2105" s="24" t="str">
        <f>IF(J2105&lt;&gt;1,"",IF(I2105="SBJ","CB","?"))</f>
        <v> </v>
      </c>
      <c r="I2105" s="25" t="str">
        <f>IF(OR(E2105="",E2105="!!!",F2105="NEW"),"",INDEX(B2104:B$2,-1+SUMPRODUCT(MAX(ROW(E2104:E$2)*(E2105=E2104:E$2)))))</f>
        <v> </v>
      </c>
      <c r="J2105" s="25" t="str">
        <f>IF(OR(E2105="",E2105="!!!",F2105="NEW"),"",COUNTBLANK(OFFSET(A$1,,,SUMPRODUCT(MAX(ROW(E$2:E2105)*(E2105=E$2:E2105)))))-COUNTBLANK(OFFSET(A$1,,,SUMPRODUCT(MAX(ROW(E$1:E2104)*(E2=E$1:E2104))))))</f>
        <v> </v>
      </c>
      <c r="K2105" s="25" t="str">
        <f>IF(OR(E2105="",E2105="!!!",F2105="NEW"),"",INDEX(J$1:J2104,SUMPRODUCT(MAX(ROW(E$1:E2104)*(E2105=E$1:E2104)))))</f>
        <v> </v>
      </c>
      <c r="L2105" s="26"/>
    </row>
    <row r="2106" spans="1:12">
      <c r="A2106" s="20" t="s">
        <v>809</v>
      </c>
      <c r="E2106" s="21">
        <f>IF(D2106="?OLD","!!!","")</f>
        <v/>
      </c>
      <c r="F2106" s="22" t="str">
        <f>IF(OR(E2106="",E2106="!!!"),"",IF(NOT(ISNA(VLOOKUP(E2106,E$1:E2105,1,FALSE()))),"OLD",IF(AND(E2106&lt;&gt;"",E2106&lt;&gt;"!!!"),"NEW","")))</f>
        <v> </v>
      </c>
      <c r="G2106" s="23" t="str">
        <f>IF(OR(E2106="",E2106="!!!"),"",IF(OR(J2106=0,AND(J2106=1,K2106=1),AND(J2106=1,I2106="SBJ"),AND(J2106=1,I2106=0)),"?IN_FOCUS",IF(J2106&lt;=2,"?ACTIVATED",IF(J2106&lt;&gt;"","?FAMILIAR",IF(F2106="NEW",IF(ISNA(VLOOKUP(E2106,#REF!,1,FALSE())),"?TYPE_IDENTIFIABLE","?REFERENTIAL"),"_")))))</f>
        <v> </v>
      </c>
      <c r="H2106" s="24" t="str">
        <f>IF(J2106&lt;&gt;1,"",IF(I2106="SBJ","CB","?"))</f>
        <v> </v>
      </c>
      <c r="I2106" s="25" t="str">
        <f>IF(OR(E2106="",E2106="!!!",F2106="NEW"),"",INDEX(B2105:B$2,-1+SUMPRODUCT(MAX(ROW(E2105:E$2)*(E2106=E2105:E$2)))))</f>
        <v> </v>
      </c>
      <c r="J2106" s="25" t="str">
        <f>IF(OR(E2106="",E2106="!!!",F2106="NEW"),"",COUNTBLANK(OFFSET(A$1,,,SUMPRODUCT(MAX(ROW(E$2:E2106)*(E2106=E$2:E2106)))))-COUNTBLANK(OFFSET(A$1,,,SUMPRODUCT(MAX(ROW(E$1:E2105)*(E2=E$1:E2105))))))</f>
        <v> </v>
      </c>
      <c r="K2106" s="25" t="str">
        <f>IF(OR(E2106="",E2106="!!!",F2106="NEW"),"",INDEX(J$1:J2105,SUMPRODUCT(MAX(ROW(E$1:E2105)*(E2106=E$1:E2105)))))</f>
        <v> </v>
      </c>
      <c r="L2106" s="26"/>
    </row>
    <row r="2107" spans="1:12">
      <c r="A2107" s="20" t="s">
        <v>807</v>
      </c>
      <c r="B2107" s="27" t="s">
        <v>619</v>
      </c>
      <c r="C2107" s="27" t="s">
        <v>652</v>
      </c>
      <c r="D2107" s="27" t="s">
        <v>608</v>
      </c>
      <c r="E2107" s="21">
        <f>IF(D2107="?OLD","!!!","")</f>
        <v/>
      </c>
      <c r="F2107" s="22" t="str">
        <f>IF(OR(E2107="",E2107="!!!"),"",IF(NOT(ISNA(VLOOKUP(E2107,E$1:E2106,1,FALSE()))),"OLD",IF(AND(E2107&lt;&gt;"",E2107&lt;&gt;"!!!"),"NEW","")))</f>
        <v> </v>
      </c>
      <c r="G2107" s="23" t="str">
        <f>IF(OR(E2107="",E2107="!!!"),"",IF(OR(J2107=0,AND(J2107=1,K2107=1),AND(J2107=1,I2107="SBJ"),AND(J2107=1,I2107=0)),"?IN_FOCUS",IF(J2107&lt;=2,"?ACTIVATED",IF(J2107&lt;&gt;"","?FAMILIAR",IF(F2107="NEW",IF(ISNA(VLOOKUP(E2107,#REF!,1,FALSE())),"?TYPE_IDENTIFIABLE","?REFERENTIAL"),"_")))))</f>
        <v> </v>
      </c>
      <c r="H2107" s="24" t="str">
        <f>IF(J2107&lt;&gt;1,"",IF(I2107="SBJ","CB","?"))</f>
        <v> </v>
      </c>
      <c r="I2107" s="25" t="str">
        <f>IF(OR(E2107="",E2107="!!!",F2107="NEW"),"",INDEX(B2106:B$2,-1+SUMPRODUCT(MAX(ROW(E2106:E$2)*(E2107=E2106:E$2)))))</f>
        <v> </v>
      </c>
      <c r="J2107" s="25" t="str">
        <f>IF(OR(E2107="",E2107="!!!",F2107="NEW"),"",COUNTBLANK(OFFSET(A$1,,,SUMPRODUCT(MAX(ROW(E$2:E2107)*(E2107=E$2:E2107)))))-COUNTBLANK(OFFSET(A$1,,,SUMPRODUCT(MAX(ROW(E$1:E2106)*(E2=E$1:E2106))))))</f>
        <v> </v>
      </c>
      <c r="K2107" s="25" t="str">
        <f>IF(OR(E2107="",E2107="!!!",F2107="NEW"),"",INDEX(J$1:J2106,SUMPRODUCT(MAX(ROW(E$1:E2106)*(E2107=E$1:E2106)))))</f>
        <v> </v>
      </c>
      <c r="L2107" s="26"/>
    </row>
    <row r="2108" spans="1:12">
      <c r="A2108" s="20" t="s">
        <v>1176</v>
      </c>
      <c r="B2108" s="27" t="s">
        <v>611</v>
      </c>
      <c r="C2108" s="27" t="s">
        <v>652</v>
      </c>
      <c r="D2108" s="27" t="s">
        <v>608</v>
      </c>
      <c r="E2108" s="21">
        <f>IF(D2108="?OLD","!!!","")</f>
        <v/>
      </c>
      <c r="F2108" s="22" t="str">
        <f>IF(OR(E2108="",E2108="!!!"),"",IF(NOT(ISNA(VLOOKUP(E2108,E$1:E2107,1,FALSE()))),"OLD",IF(AND(E2108&lt;&gt;"",E2108&lt;&gt;"!!!"),"NEW","")))</f>
        <v> </v>
      </c>
      <c r="G2108" s="23" t="str">
        <f>IF(OR(E2108="",E2108="!!!"),"",IF(OR(J2108=0,AND(J2108=1,K2108=1),AND(J2108=1,I2108="SBJ"),AND(J2108=1,I2108=0)),"?IN_FOCUS",IF(J2108&lt;=2,"?ACTIVATED",IF(J2108&lt;&gt;"","?FAMILIAR",IF(F2108="NEW",IF(ISNA(VLOOKUP(E2108,#REF!,1,FALSE())),"?TYPE_IDENTIFIABLE","?REFERENTIAL"),"_")))))</f>
        <v> </v>
      </c>
      <c r="H2108" s="24" t="str">
        <f>IF(J2108&lt;&gt;1,"",IF(I2108="SBJ","CB","?"))</f>
        <v> </v>
      </c>
      <c r="I2108" s="25" t="str">
        <f>IF(OR(E2108="",E2108="!!!",F2108="NEW"),"",INDEX(B2107:B$2,-1+SUMPRODUCT(MAX(ROW(E2107:E$2)*(E2108=E2107:E$2)))))</f>
        <v> </v>
      </c>
      <c r="J2108" s="25" t="str">
        <f>IF(OR(E2108="",E2108="!!!",F2108="NEW"),"",COUNTBLANK(OFFSET(A$1,,,SUMPRODUCT(MAX(ROW(E$2:E2108)*(E2108=E$2:E2108)))))-COUNTBLANK(OFFSET(A$1,,,SUMPRODUCT(MAX(ROW(E$1:E2107)*(E2=E$1:E2107))))))</f>
        <v> </v>
      </c>
      <c r="K2108" s="25" t="str">
        <f>IF(OR(E2108="",E2108="!!!",F2108="NEW"),"",INDEX(J$1:J2107,SUMPRODUCT(MAX(ROW(E$1:E2107)*(E2108=E$1:E2107)))))</f>
        <v> </v>
      </c>
      <c r="L2108" s="26"/>
    </row>
    <row r="2109" spans="1:12">
      <c r="A2109" s="20" t="s">
        <v>989</v>
      </c>
      <c r="E2109" s="21">
        <f>IF(D2109="?OLD","!!!","")</f>
        <v/>
      </c>
      <c r="F2109" s="22" t="str">
        <f>IF(OR(E2109="",E2109="!!!"),"",IF(NOT(ISNA(VLOOKUP(E2109,E$1:E2108,1,FALSE()))),"OLD",IF(AND(E2109&lt;&gt;"",E2109&lt;&gt;"!!!"),"NEW","")))</f>
        <v> </v>
      </c>
      <c r="G2109" s="23" t="str">
        <f>IF(OR(E2109="",E2109="!!!"),"",IF(OR(J2109=0,AND(J2109=1,K2109=1),AND(J2109=1,I2109="SBJ"),AND(J2109=1,I2109=0)),"?IN_FOCUS",IF(J2109&lt;=2,"?ACTIVATED",IF(J2109&lt;&gt;"","?FAMILIAR",IF(F2109="NEW",IF(ISNA(VLOOKUP(E2109,#REF!,1,FALSE())),"?TYPE_IDENTIFIABLE","?REFERENTIAL"),"_")))))</f>
        <v> </v>
      </c>
      <c r="H2109" s="24" t="str">
        <f>IF(J2109&lt;&gt;1,"",IF(I2109="SBJ","CB","?"))</f>
        <v> </v>
      </c>
      <c r="I2109" s="25" t="str">
        <f>IF(OR(E2109="",E2109="!!!",F2109="NEW"),"",INDEX(B2108:B$2,-1+SUMPRODUCT(MAX(ROW(E2108:E$2)*(E2109=E2108:E$2)))))</f>
        <v> </v>
      </c>
      <c r="J2109" s="25" t="str">
        <f>IF(OR(E2109="",E2109="!!!",F2109="NEW"),"",COUNTBLANK(OFFSET(A$1,,,SUMPRODUCT(MAX(ROW(E$2:E2109)*(E2109=E$2:E2109)))))-COUNTBLANK(OFFSET(A$1,,,SUMPRODUCT(MAX(ROW(E$1:E2108)*(E2=E$1:E2108))))))</f>
        <v> </v>
      </c>
      <c r="K2109" s="25" t="str">
        <f>IF(OR(E2109="",E2109="!!!",F2109="NEW"),"",INDEX(J$1:J2108,SUMPRODUCT(MAX(ROW(E$1:E2108)*(E2109=E$1:E2108)))))</f>
        <v> </v>
      </c>
      <c r="L2109" s="26"/>
    </row>
    <row r="2110" spans="1:12">
      <c r="A2110" s="20" t="s">
        <v>1397</v>
      </c>
      <c r="B2110" s="27" t="s">
        <v>653</v>
      </c>
      <c r="C2110" s="27" t="s">
        <v>678</v>
      </c>
      <c r="E2110" s="21">
        <f>IF(D2110="?OLD","!!!","")</f>
        <v/>
      </c>
      <c r="F2110" s="22" t="str">
        <f>IF(OR(E2110="",E2110="!!!"),"",IF(NOT(ISNA(VLOOKUP(E2110,E$1:E2109,1,FALSE()))),"OLD",IF(AND(E2110&lt;&gt;"",E2110&lt;&gt;"!!!"),"NEW","")))</f>
        <v> </v>
      </c>
      <c r="G2110" s="23" t="str">
        <f>IF(OR(E2110="",E2110="!!!"),"",IF(OR(J2110=0,AND(J2110=1,K2110=1),AND(J2110=1,I2110="SBJ"),AND(J2110=1,I2110=0)),"?IN_FOCUS",IF(J2110&lt;=2,"?ACTIVATED",IF(J2110&lt;&gt;"","?FAMILIAR",IF(F2110="NEW",IF(ISNA(VLOOKUP(E2110,#REF!,1,FALSE())),"?TYPE_IDENTIFIABLE","?REFERENTIAL"),"_")))))</f>
        <v> </v>
      </c>
      <c r="H2110" s="24" t="str">
        <f>IF(J2110&lt;&gt;1,"",IF(I2110="SBJ","CB","?"))</f>
        <v> </v>
      </c>
      <c r="I2110" s="25" t="str">
        <f>IF(OR(E2110="",E2110="!!!",F2110="NEW"),"",INDEX(B2109:B$2,-1+SUMPRODUCT(MAX(ROW(E2109:E$2)*(E2110=E2109:E$2)))))</f>
        <v> </v>
      </c>
      <c r="J2110" s="25" t="str">
        <f>IF(OR(E2110="",E2110="!!!",F2110="NEW"),"",COUNTBLANK(OFFSET(A$1,,,SUMPRODUCT(MAX(ROW(E$2:E2110)*(E2110=E$2:E2110)))))-COUNTBLANK(OFFSET(A$1,,,SUMPRODUCT(MAX(ROW(E$1:E2109)*(E2=E$1:E2109))))))</f>
        <v> </v>
      </c>
      <c r="K2110" s="25" t="str">
        <f>IF(OR(E2110="",E2110="!!!",F2110="NEW"),"",INDEX(J$1:J2109,SUMPRODUCT(MAX(ROW(E$1:E2109)*(E2110=E$1:E2109)))))</f>
        <v> </v>
      </c>
      <c r="L2110" s="26"/>
    </row>
    <row r="2111" spans="1:12">
      <c r="A2111" s="20" t="s">
        <v>617</v>
      </c>
      <c r="E2111" s="21">
        <f>IF(D2111="?OLD","!!!","")</f>
        <v/>
      </c>
      <c r="F2111" s="22" t="str">
        <f>IF(OR(E2111="",E2111="!!!"),"",IF(NOT(ISNA(VLOOKUP(E2111,E$1:E2110,1,FALSE()))),"OLD",IF(AND(E2111&lt;&gt;"",E2111&lt;&gt;"!!!"),"NEW","")))</f>
        <v> </v>
      </c>
      <c r="G2111" s="23" t="str">
        <f>IF(OR(E2111="",E2111="!!!"),"",IF(OR(J2111=0,AND(J2111=1,K2111=1),AND(J2111=1,I2111="SBJ"),AND(J2111=1,I2111=0)),"?IN_FOCUS",IF(J2111&lt;=2,"?ACTIVATED",IF(J2111&lt;&gt;"","?FAMILIAR",IF(F2111="NEW",IF(ISNA(VLOOKUP(E2111,#REF!,1,FALSE())),"?TYPE_IDENTIFIABLE","?REFERENTIAL"),"_")))))</f>
        <v> </v>
      </c>
      <c r="H2111" s="24" t="str">
        <f>IF(J2111&lt;&gt;1,"",IF(I2111="SBJ","CB","?"))</f>
        <v> </v>
      </c>
      <c r="I2111" s="25" t="str">
        <f>IF(OR(E2111="",E2111="!!!",F2111="NEW"),"",INDEX(B2110:B$2,-1+SUMPRODUCT(MAX(ROW(E2110:E$2)*(E2111=E2110:E$2)))))</f>
        <v> </v>
      </c>
      <c r="J2111" s="25" t="str">
        <f>IF(OR(E2111="",E2111="!!!",F2111="NEW"),"",COUNTBLANK(OFFSET(A$1,,,SUMPRODUCT(MAX(ROW(E$2:E2111)*(E2111=E$2:E2111)))))-COUNTBLANK(OFFSET(A$1,,,SUMPRODUCT(MAX(ROW(E$1:E2110)*(E2=E$1:E2110))))))</f>
        <v> </v>
      </c>
      <c r="K2111" s="25" t="str">
        <f>IF(OR(E2111="",E2111="!!!",F2111="NEW"),"",INDEX(J$1:J2110,SUMPRODUCT(MAX(ROW(E$1:E2110)*(E2111=E$1:E2110)))))</f>
        <v> </v>
      </c>
      <c r="L2111" s="26"/>
    </row>
    <row r="2112" spans="1:12">
      <c r="A2112" s="20" t="s">
        <v>1025</v>
      </c>
      <c r="E2112" s="21">
        <f>IF(D2112="?OLD","!!!","")</f>
        <v/>
      </c>
      <c r="F2112" s="22" t="str">
        <f>IF(OR(E2112="",E2112="!!!"),"",IF(NOT(ISNA(VLOOKUP(E2112,E$1:E2111,1,FALSE()))),"OLD",IF(AND(E2112&lt;&gt;"",E2112&lt;&gt;"!!!"),"NEW","")))</f>
        <v> </v>
      </c>
      <c r="G2112" s="23" t="str">
        <f>IF(OR(E2112="",E2112="!!!"),"",IF(OR(J2112=0,AND(J2112=1,K2112=1),AND(J2112=1,I2112="SBJ"),AND(J2112=1,I2112=0)),"?IN_FOCUS",IF(J2112&lt;=2,"?ACTIVATED",IF(J2112&lt;&gt;"","?FAMILIAR",IF(F2112="NEW",IF(ISNA(VLOOKUP(E2112,#REF!,1,FALSE())),"?TYPE_IDENTIFIABLE","?REFERENTIAL"),"_")))))</f>
        <v> </v>
      </c>
      <c r="H2112" s="24" t="str">
        <f>IF(J2112&lt;&gt;1,"",IF(I2112="SBJ","CB","?"))</f>
        <v> </v>
      </c>
      <c r="I2112" s="25" t="str">
        <f>IF(OR(E2112="",E2112="!!!",F2112="NEW"),"",INDEX(B2111:B$2,-1+SUMPRODUCT(MAX(ROW(E2111:E$2)*(E2112=E2111:E$2)))))</f>
        <v> </v>
      </c>
      <c r="J2112" s="25" t="str">
        <f>IF(OR(E2112="",E2112="!!!",F2112="NEW"),"",COUNTBLANK(OFFSET(A$1,,,SUMPRODUCT(MAX(ROW(E$2:E2112)*(E2112=E$2:E2112)))))-COUNTBLANK(OFFSET(A$1,,,SUMPRODUCT(MAX(ROW(E$1:E2111)*(E2=E$1:E2111))))))</f>
        <v> </v>
      </c>
      <c r="K2112" s="25" t="str">
        <f>IF(OR(E2112="",E2112="!!!",F2112="NEW"),"",INDEX(J$1:J2111,SUMPRODUCT(MAX(ROW(E$1:E2111)*(E2112=E$1:E2111)))))</f>
        <v> </v>
      </c>
      <c r="L2112" s="26"/>
    </row>
    <row r="2113" spans="1:12">
      <c r="A2113" s="20" t="s">
        <v>1398</v>
      </c>
      <c r="E2113" s="21">
        <f>IF(D2113="?OLD","!!!","")</f>
        <v/>
      </c>
      <c r="F2113" s="22" t="str">
        <f>IF(OR(E2113="",E2113="!!!"),"",IF(NOT(ISNA(VLOOKUP(E2113,E$1:E2112,1,FALSE()))),"OLD",IF(AND(E2113&lt;&gt;"",E2113&lt;&gt;"!!!"),"NEW","")))</f>
        <v> </v>
      </c>
      <c r="G2113" s="23" t="str">
        <f>IF(OR(E2113="",E2113="!!!"),"",IF(OR(J2113=0,AND(J2113=1,K2113=1),AND(J2113=1,I2113="SBJ"),AND(J2113=1,I2113=0)),"?IN_FOCUS",IF(J2113&lt;=2,"?ACTIVATED",IF(J2113&lt;&gt;"","?FAMILIAR",IF(F2113="NEW",IF(ISNA(VLOOKUP(E2113,#REF!,1,FALSE())),"?TYPE_IDENTIFIABLE","?REFERENTIAL"),"_")))))</f>
        <v> </v>
      </c>
      <c r="H2113" s="24" t="str">
        <f>IF(J2113&lt;&gt;1,"",IF(I2113="SBJ","CB","?"))</f>
        <v> </v>
      </c>
      <c r="I2113" s="25" t="str">
        <f>IF(OR(E2113="",E2113="!!!",F2113="NEW"),"",INDEX(B2112:B$2,-1+SUMPRODUCT(MAX(ROW(E2112:E$2)*(E2113=E2112:E$2)))))</f>
        <v> </v>
      </c>
      <c r="J2113" s="25" t="str">
        <f>IF(OR(E2113="",E2113="!!!",F2113="NEW"),"",COUNTBLANK(OFFSET(A$1,,,SUMPRODUCT(MAX(ROW(E$2:E2113)*(E2113=E$2:E2113)))))-COUNTBLANK(OFFSET(A$1,,,SUMPRODUCT(MAX(ROW(E$1:E2112)*(E2=E$1:E2112))))))</f>
        <v> </v>
      </c>
      <c r="K2113" s="25" t="str">
        <f>IF(OR(E2113="",E2113="!!!",F2113="NEW"),"",INDEX(J$1:J2112,SUMPRODUCT(MAX(ROW(E$1:E2112)*(E2113=E$1:E2112)))))</f>
        <v> </v>
      </c>
      <c r="L2113" s="26"/>
    </row>
    <row r="2114" spans="1:12">
      <c r="A2114" s="20" t="s">
        <v>617</v>
      </c>
      <c r="E2114" s="21">
        <f>IF(D2114="?OLD","!!!","")</f>
        <v/>
      </c>
      <c r="F2114" s="22" t="str">
        <f>IF(OR(E2114="",E2114="!!!"),"",IF(NOT(ISNA(VLOOKUP(E2114,E$1:E2113,1,FALSE()))),"OLD",IF(AND(E2114&lt;&gt;"",E2114&lt;&gt;"!!!"),"NEW","")))</f>
        <v> </v>
      </c>
      <c r="G2114" s="23" t="str">
        <f>IF(OR(E2114="",E2114="!!!"),"",IF(OR(J2114=0,AND(J2114=1,K2114=1),AND(J2114=1,I2114="SBJ"),AND(J2114=1,I2114=0)),"?IN_FOCUS",IF(J2114&lt;=2,"?ACTIVATED",IF(J2114&lt;&gt;"","?FAMILIAR",IF(F2114="NEW",IF(ISNA(VLOOKUP(E2114,#REF!,1,FALSE())),"?TYPE_IDENTIFIABLE","?REFERENTIAL"),"_")))))</f>
        <v> </v>
      </c>
      <c r="H2114" s="24" t="str">
        <f>IF(J2114&lt;&gt;1,"",IF(I2114="SBJ","CB","?"))</f>
        <v> </v>
      </c>
      <c r="I2114" s="25" t="str">
        <f>IF(OR(E2114="",E2114="!!!",F2114="NEW"),"",INDEX(B2113:B$2,-1+SUMPRODUCT(MAX(ROW(E2113:E$2)*(E2114=E2113:E$2)))))</f>
        <v> </v>
      </c>
      <c r="J2114" s="25" t="str">
        <f>IF(OR(E2114="",E2114="!!!",F2114="NEW"),"",COUNTBLANK(OFFSET(A$1,,,SUMPRODUCT(MAX(ROW(E$2:E2114)*(E2114=E$2:E2114)))))-COUNTBLANK(OFFSET(A$1,,,SUMPRODUCT(MAX(ROW(E$1:E2113)*(E2=E$1:E2113))))))</f>
        <v> </v>
      </c>
      <c r="K2114" s="25" t="str">
        <f>IF(OR(E2114="",E2114="!!!",F2114="NEW"),"",INDEX(J$1:J2113,SUMPRODUCT(MAX(ROW(E$1:E2113)*(E2114=E$1:E2113)))))</f>
        <v> </v>
      </c>
      <c r="L2114" s="26"/>
    </row>
    <row r="2115" spans="1:12">
      <c r="A2115" s="20" t="s">
        <v>715</v>
      </c>
      <c r="B2115" s="27" t="s">
        <v>742</v>
      </c>
      <c r="C2115" s="27" t="s">
        <v>652</v>
      </c>
      <c r="D2115" s="27" t="s">
        <v>608</v>
      </c>
      <c r="E2115" s="21">
        <f>IF(D2115="?OLD","!!!","")</f>
        <v/>
      </c>
      <c r="F2115" s="22" t="str">
        <f>IF(OR(E2115="",E2115="!!!"),"",IF(NOT(ISNA(VLOOKUP(E2115,E$1:E2114,1,FALSE()))),"OLD",IF(AND(E2115&lt;&gt;"",E2115&lt;&gt;"!!!"),"NEW","")))</f>
        <v> </v>
      </c>
      <c r="G2115" s="23" t="str">
        <f>IF(OR(E2115="",E2115="!!!"),"",IF(OR(J2115=0,AND(J2115=1,K2115=1),AND(J2115=1,I2115="SBJ"),AND(J2115=1,I2115=0)),"?IN_FOCUS",IF(J2115&lt;=2,"?ACTIVATED",IF(J2115&lt;&gt;"","?FAMILIAR",IF(F2115="NEW",IF(ISNA(VLOOKUP(E2115,#REF!,1,FALSE())),"?TYPE_IDENTIFIABLE","?REFERENTIAL"),"_")))))</f>
        <v> </v>
      </c>
      <c r="H2115" s="24" t="str">
        <f>IF(J2115&lt;&gt;1,"",IF(I2115="SBJ","CB","?"))</f>
        <v> </v>
      </c>
      <c r="I2115" s="25" t="str">
        <f>IF(OR(E2115="",E2115="!!!",F2115="NEW"),"",INDEX(B2114:B$2,-1+SUMPRODUCT(MAX(ROW(E2114:E$2)*(E2115=E2114:E$2)))))</f>
        <v> </v>
      </c>
      <c r="J2115" s="25" t="str">
        <f>IF(OR(E2115="",E2115="!!!",F2115="NEW"),"",COUNTBLANK(OFFSET(A$1,,,SUMPRODUCT(MAX(ROW(E$2:E2115)*(E2115=E$2:E2115)))))-COUNTBLANK(OFFSET(A$1,,,SUMPRODUCT(MAX(ROW(E$1:E2114)*(E2=E$1:E2114))))))</f>
        <v> </v>
      </c>
      <c r="K2115" s="25" t="str">
        <f>IF(OR(E2115="",E2115="!!!",F2115="NEW"),"",INDEX(J$1:J2114,SUMPRODUCT(MAX(ROW(E$1:E2114)*(E2115=E$1:E2114)))))</f>
        <v> </v>
      </c>
      <c r="L2115" s="26"/>
    </row>
    <row r="2116" spans="1:12">
      <c r="A2116" s="20" t="s">
        <v>663</v>
      </c>
      <c r="E2116" s="21">
        <f>IF(D2116="?OLD","!!!","")</f>
        <v/>
      </c>
      <c r="F2116" s="22" t="str">
        <f>IF(OR(E2116="",E2116="!!!"),"",IF(NOT(ISNA(VLOOKUP(E2116,E$1:E2115,1,FALSE()))),"OLD",IF(AND(E2116&lt;&gt;"",E2116&lt;&gt;"!!!"),"NEW","")))</f>
        <v> </v>
      </c>
      <c r="G2116" s="23" t="str">
        <f>IF(OR(E2116="",E2116="!!!"),"",IF(OR(J2116=0,AND(J2116=1,K2116=1),AND(J2116=1,I2116="SBJ"),AND(J2116=1,I2116=0)),"?IN_FOCUS",IF(J2116&lt;=2,"?ACTIVATED",IF(J2116&lt;&gt;"","?FAMILIAR",IF(F2116="NEW",IF(ISNA(VLOOKUP(E2116,#REF!,1,FALSE())),"?TYPE_IDENTIFIABLE","?REFERENTIAL"),"_")))))</f>
        <v> </v>
      </c>
      <c r="H2116" s="24" t="str">
        <f>IF(J2116&lt;&gt;1,"",IF(I2116="SBJ","CB","?"))</f>
        <v> </v>
      </c>
      <c r="I2116" s="25" t="str">
        <f>IF(OR(E2116="",E2116="!!!",F2116="NEW"),"",INDEX(B2115:B$2,-1+SUMPRODUCT(MAX(ROW(E2115:E$2)*(E2116=E2115:E$2)))))</f>
        <v> </v>
      </c>
      <c r="J2116" s="25" t="str">
        <f>IF(OR(E2116="",E2116="!!!",F2116="NEW"),"",COUNTBLANK(OFFSET(A$1,,,SUMPRODUCT(MAX(ROW(E$2:E2116)*(E2116=E$2:E2116)))))-COUNTBLANK(OFFSET(A$1,,,SUMPRODUCT(MAX(ROW(E$1:E2115)*(E2=E$1:E2115))))))</f>
        <v> </v>
      </c>
      <c r="K2116" s="25" t="str">
        <f>IF(OR(E2116="",E2116="!!!",F2116="NEW"),"",INDEX(J$1:J2115,SUMPRODUCT(MAX(ROW(E$1:E2115)*(E2116=E$1:E2115)))))</f>
        <v> </v>
      </c>
      <c r="L2116" s="26"/>
    </row>
    <row r="2117" spans="1:12">
      <c r="A2117" s="20" t="s">
        <v>224</v>
      </c>
      <c r="E2117" s="21">
        <f>IF(D2117="?OLD","!!!","")</f>
        <v/>
      </c>
      <c r="F2117" s="22" t="str">
        <f>IF(OR(E2117="",E2117="!!!"),"",IF(NOT(ISNA(VLOOKUP(E2117,E$1:E2116,1,FALSE()))),"OLD",IF(AND(E2117&lt;&gt;"",E2117&lt;&gt;"!!!"),"NEW","")))</f>
        <v> </v>
      </c>
      <c r="G2117" s="23" t="str">
        <f>IF(OR(E2117="",E2117="!!!"),"",IF(OR(J2117=0,AND(J2117=1,K2117=1),AND(J2117=1,I2117="SBJ"),AND(J2117=1,I2117=0)),"?IN_FOCUS",IF(J2117&lt;=2,"?ACTIVATED",IF(J2117&lt;&gt;"","?FAMILIAR",IF(F2117="NEW",IF(ISNA(VLOOKUP(E2117,#REF!,1,FALSE())),"?TYPE_IDENTIFIABLE","?REFERENTIAL"),"_")))))</f>
        <v> </v>
      </c>
      <c r="H2117" s="24" t="str">
        <f>IF(J2117&lt;&gt;1,"",IF(I2117="SBJ","CB","?"))</f>
        <v> </v>
      </c>
      <c r="I2117" s="25" t="str">
        <f>IF(OR(E2117="",E2117="!!!",F2117="NEW"),"",INDEX(B2116:B$2,-1+SUMPRODUCT(MAX(ROW(E2116:E$2)*(E2117=E2116:E$2)))))</f>
        <v> </v>
      </c>
      <c r="J2117" s="25" t="str">
        <f>IF(OR(E2117="",E2117="!!!",F2117="NEW"),"",COUNTBLANK(OFFSET(A$1,,,SUMPRODUCT(MAX(ROW(E$2:E2117)*(E2117=E$2:E2117)))))-COUNTBLANK(OFFSET(A$1,,,SUMPRODUCT(MAX(ROW(E$1:E2116)*(E2=E$1:E2116))))))</f>
        <v> </v>
      </c>
      <c r="K2117" s="25" t="str">
        <f>IF(OR(E2117="",E2117="!!!",F2117="NEW"),"",INDEX(J$1:J2116,SUMPRODUCT(MAX(ROW(E$1:E2116)*(E2117=E$1:E2116)))))</f>
        <v> </v>
      </c>
      <c r="L2117" s="26"/>
    </row>
    <row r="2118" spans="1:12">
      <c r="A2118" s="20" t="s">
        <v>1399</v>
      </c>
      <c r="E2118" s="21">
        <f>IF(D2118="?OLD","!!!","")</f>
        <v/>
      </c>
      <c r="F2118" s="22" t="str">
        <f>IF(OR(E2118="",E2118="!!!"),"",IF(NOT(ISNA(VLOOKUP(E2118,E$1:E2117,1,FALSE()))),"OLD",IF(AND(E2118&lt;&gt;"",E2118&lt;&gt;"!!!"),"NEW","")))</f>
        <v> </v>
      </c>
      <c r="G2118" s="23" t="str">
        <f>IF(OR(E2118="",E2118="!!!"),"",IF(OR(J2118=0,AND(J2118=1,K2118=1),AND(J2118=1,I2118="SBJ"),AND(J2118=1,I2118=0)),"?IN_FOCUS",IF(J2118&lt;=2,"?ACTIVATED",IF(J2118&lt;&gt;"","?FAMILIAR",IF(F2118="NEW",IF(ISNA(VLOOKUP(E2118,#REF!,1,FALSE())),"?TYPE_IDENTIFIABLE","?REFERENTIAL"),"_")))))</f>
        <v> </v>
      </c>
      <c r="H2118" s="24" t="str">
        <f>IF(J2118&lt;&gt;1,"",IF(I2118="SBJ","CB","?"))</f>
        <v> </v>
      </c>
      <c r="I2118" s="25" t="str">
        <f>IF(OR(E2118="",E2118="!!!",F2118="NEW"),"",INDEX(B2117:B$2,-1+SUMPRODUCT(MAX(ROW(E2117:E$2)*(E2118=E2117:E$2)))))</f>
        <v> </v>
      </c>
      <c r="J2118" s="25" t="str">
        <f>IF(OR(E2118="",E2118="!!!",F2118="NEW"),"",COUNTBLANK(OFFSET(A$1,,,SUMPRODUCT(MAX(ROW(E$2:E2118)*(E2118=E$2:E2118)))))-COUNTBLANK(OFFSET(A$1,,,SUMPRODUCT(MAX(ROW(E$1:E2117)*(E2=E$1:E2117))))))</f>
        <v> </v>
      </c>
      <c r="K2118" s="25" t="str">
        <f>IF(OR(E2118="",E2118="!!!",F2118="NEW"),"",INDEX(J$1:J2117,SUMPRODUCT(MAX(ROW(E$1:E2117)*(E2118=E$1:E2117)))))</f>
        <v> </v>
      </c>
      <c r="L2118" s="26"/>
    </row>
    <row r="2119" spans="1:12">
      <c r="A2119" s="20" t="s">
        <v>633</v>
      </c>
      <c r="E2119" s="21">
        <f>IF(D2119="?OLD","!!!","")</f>
        <v/>
      </c>
      <c r="F2119" s="22" t="str">
        <f>IF(OR(E2119="",E2119="!!!"),"",IF(NOT(ISNA(VLOOKUP(E2119,E$1:E2118,1,FALSE()))),"OLD",IF(AND(E2119&lt;&gt;"",E2119&lt;&gt;"!!!"),"NEW","")))</f>
        <v> </v>
      </c>
      <c r="G2119" s="23" t="str">
        <f>IF(OR(E2119="",E2119="!!!"),"",IF(OR(J2119=0,AND(J2119=1,K2119=1),AND(J2119=1,I2119="SBJ"),AND(J2119=1,I2119=0)),"?IN_FOCUS",IF(J2119&lt;=2,"?ACTIVATED",IF(J2119&lt;&gt;"","?FAMILIAR",IF(F2119="NEW",IF(ISNA(VLOOKUP(E2119,#REF!,1,FALSE())),"?TYPE_IDENTIFIABLE","?REFERENTIAL"),"_")))))</f>
        <v> </v>
      </c>
      <c r="H2119" s="24" t="str">
        <f>IF(J2119&lt;&gt;1,"",IF(I2119="SBJ","CB","?"))</f>
        <v> </v>
      </c>
      <c r="I2119" s="25" t="str">
        <f>IF(OR(E2119="",E2119="!!!",F2119="NEW"),"",INDEX(B2118:B$2,-1+SUMPRODUCT(MAX(ROW(E2118:E$2)*(E2119=E2118:E$2)))))</f>
        <v> </v>
      </c>
      <c r="J2119" s="25" t="str">
        <f>IF(OR(E2119="",E2119="!!!",F2119="NEW"),"",COUNTBLANK(OFFSET(A$1,,,SUMPRODUCT(MAX(ROW(E$2:E2119)*(E2119=E$2:E2119)))))-COUNTBLANK(OFFSET(A$1,,,SUMPRODUCT(MAX(ROW(E$1:E2118)*(E2=E$1:E2118))))))</f>
        <v> </v>
      </c>
      <c r="K2119" s="25" t="str">
        <f>IF(OR(E2119="",E2119="!!!",F2119="NEW"),"",INDEX(J$1:J2118,SUMPRODUCT(MAX(ROW(E$1:E2118)*(E2119=E$1:E2118)))))</f>
        <v> </v>
      </c>
      <c r="L2119" s="26"/>
    </row>
    <row r="2120" spans="1:12">
      <c r="A2120" s="20"/>
    </row>
    <row r="2121" spans="1:12">
      <c r="A2121" s="20" t="s">
        <v>1400</v>
      </c>
    </row>
    <row r="2122" spans="1:12">
      <c r="A2122" s="20" t="s">
        <v>1334</v>
      </c>
      <c r="E2122" s="21">
        <f>IF(D2122="?OLD","!!!","")</f>
        <v/>
      </c>
      <c r="F2122" s="22" t="str">
        <f>IF(OR(E2122="",E2122="!!!"),"",IF(NOT(ISNA(VLOOKUP(E2122,E$1:E2121,1,FALSE()))),"OLD",IF(AND(E2122&lt;&gt;"",E2122&lt;&gt;"!!!"),"NEW","")))</f>
        <v> </v>
      </c>
      <c r="G2122" s="23" t="str">
        <f>IF(OR(E2122="",E2122="!!!"),"",IF(OR(J2122=0,AND(J2122=1,K2122=1),AND(J2122=1,I2122="SBJ"),AND(J2122=1,I2122=0)),"?IN_FOCUS",IF(J2122&lt;=2,"?ACTIVATED",IF(J2122&lt;&gt;"","?FAMILIAR",IF(F2122="NEW",IF(ISNA(VLOOKUP(E2122,#REF!,1,FALSE())),"?TYPE_IDENTIFIABLE","?REFERENTIAL"),"_")))))</f>
        <v> </v>
      </c>
      <c r="H2122" s="24" t="str">
        <f>IF(J2122&lt;&gt;1,"",IF(I2122="SBJ","CB","?"))</f>
        <v> </v>
      </c>
      <c r="I2122" s="25" t="str">
        <f>IF(OR(E2122="",E2122="!!!",F2122="NEW"),"",INDEX(B2121:B$2,-1+SUMPRODUCT(MAX(ROW(E2121:E$2)*(E2122=E2121:E$2)))))</f>
        <v> </v>
      </c>
      <c r="J2122" s="25" t="str">
        <f>IF(OR(E2122="",E2122="!!!",F2122="NEW"),"",COUNTBLANK(OFFSET(A$1,,,SUMPRODUCT(MAX(ROW(E$2:E2122)*(E2122=E$2:E2122)))))-COUNTBLANK(OFFSET(A$1,,,SUMPRODUCT(MAX(ROW(E$1:E2121)*(E2=E$1:E2121))))))</f>
        <v> </v>
      </c>
      <c r="K2122" s="25" t="str">
        <f>IF(OR(E2122="",E2122="!!!",F2122="NEW"),"",INDEX(J$1:J2121,SUMPRODUCT(MAX(ROW(E$1:E2121)*(E2122=E$1:E2121)))))</f>
        <v> </v>
      </c>
      <c r="L2122" s="26"/>
    </row>
    <row r="2123" spans="1:12">
      <c r="A2123" s="20" t="s">
        <v>1401</v>
      </c>
      <c r="B2123" s="27" t="s">
        <v>636</v>
      </c>
      <c r="C2123" s="27" t="s">
        <v>607</v>
      </c>
      <c r="D2123" s="27" t="s">
        <v>608</v>
      </c>
      <c r="E2123" s="21">
        <f>IF(D2123="?OLD","!!!","")</f>
        <v/>
      </c>
      <c r="F2123" s="22" t="str">
        <f>IF(OR(E2123="",E2123="!!!"),"",IF(NOT(ISNA(VLOOKUP(E2123,E$1:E2122,1,FALSE()))),"OLD",IF(AND(E2123&lt;&gt;"",E2123&lt;&gt;"!!!"),"NEW","")))</f>
        <v> </v>
      </c>
      <c r="G2123" s="23" t="str">
        <f>IF(OR(E2123="",E2123="!!!"),"",IF(OR(J2123=0,AND(J2123=1,K2123=1),AND(J2123=1,I2123="SBJ"),AND(J2123=1,I2123=0)),"?IN_FOCUS",IF(J2123&lt;=2,"?ACTIVATED",IF(J2123&lt;&gt;"","?FAMILIAR",IF(F2123="NEW",IF(ISNA(VLOOKUP(E2123,#REF!,1,FALSE())),"?TYPE_IDENTIFIABLE","?REFERENTIAL"),"_")))))</f>
        <v> </v>
      </c>
      <c r="H2123" s="24" t="str">
        <f>IF(J2123&lt;&gt;1,"",IF(I2123="SBJ","CB","?"))</f>
        <v> </v>
      </c>
      <c r="I2123" s="25" t="str">
        <f>IF(OR(E2123="",E2123="!!!",F2123="NEW"),"",INDEX(B2122:B$2,-1+SUMPRODUCT(MAX(ROW(E2122:E$2)*(E2123=E2122:E$2)))))</f>
        <v> </v>
      </c>
      <c r="J2123" s="25" t="str">
        <f>IF(OR(E2123="",E2123="!!!",F2123="NEW"),"",COUNTBLANK(OFFSET(A$1,,,SUMPRODUCT(MAX(ROW(E$2:E2123)*(E2123=E$2:E2123)))))-COUNTBLANK(OFFSET(A$1,,,SUMPRODUCT(MAX(ROW(E$1:E2122)*(E2=E$1:E2122))))))</f>
        <v> </v>
      </c>
      <c r="K2123" s="25" t="str">
        <f>IF(OR(E2123="",E2123="!!!",F2123="NEW"),"",INDEX(J$1:J2122,SUMPRODUCT(MAX(ROW(E$1:E2122)*(E2123=E$1:E2122)))))</f>
        <v> </v>
      </c>
      <c r="L2123" s="26"/>
    </row>
    <row r="2124" spans="1:12">
      <c r="A2124" s="20" t="s">
        <v>1402</v>
      </c>
      <c r="E2124" s="21">
        <f>IF(D2124="?OLD","!!!","")</f>
        <v/>
      </c>
      <c r="F2124" s="22" t="str">
        <f>IF(OR(E2124="",E2124="!!!"),"",IF(NOT(ISNA(VLOOKUP(E2124,E$1:E2123,1,FALSE()))),"OLD",IF(AND(E2124&lt;&gt;"",E2124&lt;&gt;"!!!"),"NEW","")))</f>
        <v> </v>
      </c>
      <c r="G2124" s="23" t="str">
        <f>IF(OR(E2124="",E2124="!!!"),"",IF(OR(J2124=0,AND(J2124=1,K2124=1),AND(J2124=1,I2124="SBJ"),AND(J2124=1,I2124=0)),"?IN_FOCUS",IF(J2124&lt;=2,"?ACTIVATED",IF(J2124&lt;&gt;"","?FAMILIAR",IF(F2124="NEW",IF(ISNA(VLOOKUP(E2124,#REF!,1,FALSE())),"?TYPE_IDENTIFIABLE","?REFERENTIAL"),"_")))))</f>
        <v> </v>
      </c>
      <c r="H2124" s="24" t="str">
        <f>IF(J2124&lt;&gt;1,"",IF(I2124="SBJ","CB","?"))</f>
        <v> </v>
      </c>
      <c r="I2124" s="25" t="str">
        <f>IF(OR(E2124="",E2124="!!!",F2124="NEW"),"",INDEX(B2123:B$2,-1+SUMPRODUCT(MAX(ROW(E2123:E$2)*(E2124=E2123:E$2)))))</f>
        <v> </v>
      </c>
      <c r="J2124" s="25" t="str">
        <f>IF(OR(E2124="",E2124="!!!",F2124="NEW"),"",COUNTBLANK(OFFSET(A$1,,,SUMPRODUCT(MAX(ROW(E$2:E2124)*(E2124=E$2:E2124)))))-COUNTBLANK(OFFSET(A$1,,,SUMPRODUCT(MAX(ROW(E$1:E2123)*(E2=E$1:E2123))))))</f>
        <v> </v>
      </c>
      <c r="K2124" s="25" t="str">
        <f>IF(OR(E2124="",E2124="!!!",F2124="NEW"),"",INDEX(J$1:J2123,SUMPRODUCT(MAX(ROW(E$1:E2123)*(E2124=E$1:E2123)))))</f>
        <v> </v>
      </c>
      <c r="L2124" s="26"/>
    </row>
    <row r="2125" spans="1:12">
      <c r="A2125" s="20" t="s">
        <v>1313</v>
      </c>
      <c r="E2125" s="21">
        <f>IF(D2125="?OLD","!!!","")</f>
        <v/>
      </c>
      <c r="F2125" s="22" t="str">
        <f>IF(OR(E2125="",E2125="!!!"),"",IF(NOT(ISNA(VLOOKUP(E2125,E$1:E2124,1,FALSE()))),"OLD",IF(AND(E2125&lt;&gt;"",E2125&lt;&gt;"!!!"),"NEW","")))</f>
        <v> </v>
      </c>
      <c r="G2125" s="23" t="str">
        <f>IF(OR(E2125="",E2125="!!!"),"",IF(OR(J2125=0,AND(J2125=1,K2125=1),AND(J2125=1,I2125="SBJ"),AND(J2125=1,I2125=0)),"?IN_FOCUS",IF(J2125&lt;=2,"?ACTIVATED",IF(J2125&lt;&gt;"","?FAMILIAR",IF(F2125="NEW",IF(ISNA(VLOOKUP(E2125,#REF!,1,FALSE())),"?TYPE_IDENTIFIABLE","?REFERENTIAL"),"_")))))</f>
        <v> </v>
      </c>
      <c r="H2125" s="24" t="str">
        <f>IF(J2125&lt;&gt;1,"",IF(I2125="SBJ","CB","?"))</f>
        <v> </v>
      </c>
      <c r="I2125" s="25" t="str">
        <f>IF(OR(E2125="",E2125="!!!",F2125="NEW"),"",INDEX(B2124:B$2,-1+SUMPRODUCT(MAX(ROW(E2124:E$2)*(E2125=E2124:E$2)))))</f>
        <v> </v>
      </c>
      <c r="J2125" s="25" t="str">
        <f>IF(OR(E2125="",E2125="!!!",F2125="NEW"),"",COUNTBLANK(OFFSET(A$1,,,SUMPRODUCT(MAX(ROW(E$2:E2125)*(E2125=E$2:E2125)))))-COUNTBLANK(OFFSET(A$1,,,SUMPRODUCT(MAX(ROW(E$1:E2124)*(E2=E$1:E2124))))))</f>
        <v> </v>
      </c>
      <c r="K2125" s="25" t="str">
        <f>IF(OR(E2125="",E2125="!!!",F2125="NEW"),"",INDEX(J$1:J2124,SUMPRODUCT(MAX(ROW(E$1:E2124)*(E2125=E$1:E2124)))))</f>
        <v> </v>
      </c>
      <c r="L2125" s="26"/>
    </row>
    <row r="2126" spans="1:12">
      <c r="A2126" s="20" t="s">
        <v>617</v>
      </c>
      <c r="E2126" s="21">
        <f>IF(D2126="?OLD","!!!","")</f>
        <v/>
      </c>
      <c r="F2126" s="22" t="str">
        <f>IF(OR(E2126="",E2126="!!!"),"",IF(NOT(ISNA(VLOOKUP(E2126,E$1:E2125,1,FALSE()))),"OLD",IF(AND(E2126&lt;&gt;"",E2126&lt;&gt;"!!!"),"NEW","")))</f>
        <v> </v>
      </c>
      <c r="G2126" s="23" t="str">
        <f>IF(OR(E2126="",E2126="!!!"),"",IF(OR(J2126=0,AND(J2126=1,K2126=1),AND(J2126=1,I2126="SBJ"),AND(J2126=1,I2126=0)),"?IN_FOCUS",IF(J2126&lt;=2,"?ACTIVATED",IF(J2126&lt;&gt;"","?FAMILIAR",IF(F2126="NEW",IF(ISNA(VLOOKUP(E2126,#REF!,1,FALSE())),"?TYPE_IDENTIFIABLE","?REFERENTIAL"),"_")))))</f>
        <v> </v>
      </c>
      <c r="H2126" s="24" t="str">
        <f>IF(J2126&lt;&gt;1,"",IF(I2126="SBJ","CB","?"))</f>
        <v> </v>
      </c>
      <c r="I2126" s="25" t="str">
        <f>IF(OR(E2126="",E2126="!!!",F2126="NEW"),"",INDEX(B2125:B$2,-1+SUMPRODUCT(MAX(ROW(E2125:E$2)*(E2126=E2125:E$2)))))</f>
        <v> </v>
      </c>
      <c r="J2126" s="25" t="str">
        <f>IF(OR(E2126="",E2126="!!!",F2126="NEW"),"",COUNTBLANK(OFFSET(A$1,,,SUMPRODUCT(MAX(ROW(E$2:E2126)*(E2126=E$2:E2126)))))-COUNTBLANK(OFFSET(A$1,,,SUMPRODUCT(MAX(ROW(E$1:E2125)*(E2=E$1:E2125))))))</f>
        <v> </v>
      </c>
      <c r="K2126" s="25" t="str">
        <f>IF(OR(E2126="",E2126="!!!",F2126="NEW"),"",INDEX(J$1:J2125,SUMPRODUCT(MAX(ROW(E$1:E2125)*(E2126=E$1:E2125)))))</f>
        <v> </v>
      </c>
      <c r="L2126" s="26"/>
    </row>
    <row r="2127" spans="1:12">
      <c r="A2127" s="20" t="s">
        <v>630</v>
      </c>
      <c r="B2127" s="27" t="s">
        <v>619</v>
      </c>
      <c r="C2127" s="27" t="s">
        <v>631</v>
      </c>
      <c r="D2127" s="27" t="s">
        <v>608</v>
      </c>
      <c r="E2127" s="21">
        <f>IF(D2127="?OLD","!!!","")</f>
        <v/>
      </c>
      <c r="F2127" s="22" t="str">
        <f>IF(OR(E2127="",E2127="!!!"),"",IF(NOT(ISNA(VLOOKUP(E2127,E$1:E2126,1,FALSE()))),"OLD",IF(AND(E2127&lt;&gt;"",E2127&lt;&gt;"!!!"),"NEW","")))</f>
        <v> </v>
      </c>
      <c r="G2127" s="23" t="str">
        <f>IF(OR(E2127="",E2127="!!!"),"",IF(OR(J2127=0,AND(J2127=1,K2127=1),AND(J2127=1,I2127="SBJ"),AND(J2127=1,I2127=0)),"?IN_FOCUS",IF(J2127&lt;=2,"?ACTIVATED",IF(J2127&lt;&gt;"","?FAMILIAR",IF(F2127="NEW",IF(ISNA(VLOOKUP(E2127,#REF!,1,FALSE())),"?TYPE_IDENTIFIABLE","?REFERENTIAL"),"_")))))</f>
        <v> </v>
      </c>
      <c r="H2127" s="24" t="str">
        <f>IF(J2127&lt;&gt;1,"",IF(I2127="SBJ","CB","?"))</f>
        <v> </v>
      </c>
      <c r="I2127" s="25" t="str">
        <f>IF(OR(E2127="",E2127="!!!",F2127="NEW"),"",INDEX(B2126:B$2,-1+SUMPRODUCT(MAX(ROW(E2126:E$2)*(E2127=E2126:E$2)))))</f>
        <v> </v>
      </c>
      <c r="J2127" s="25" t="str">
        <f>IF(OR(E2127="",E2127="!!!",F2127="NEW"),"",COUNTBLANK(OFFSET(A$1,,,SUMPRODUCT(MAX(ROW(E$2:E2127)*(E2127=E$2:E2127)))))-COUNTBLANK(OFFSET(A$1,,,SUMPRODUCT(MAX(ROW(E$1:E2126)*(E2=E$1:E2126))))))</f>
        <v> </v>
      </c>
      <c r="K2127" s="25" t="str">
        <f>IF(OR(E2127="",E2127="!!!",F2127="NEW"),"",INDEX(J$1:J2126,SUMPRODUCT(MAX(ROW(E$1:E2126)*(E2127=E$1:E2126)))))</f>
        <v> </v>
      </c>
      <c r="L2127" s="26"/>
    </row>
    <row r="2128" spans="1:12">
      <c r="A2128" s="20" t="s">
        <v>1403</v>
      </c>
      <c r="E2128" s="21">
        <f>IF(D2128="?OLD","!!!","")</f>
        <v/>
      </c>
      <c r="F2128" s="22" t="str">
        <f>IF(OR(E2128="",E2128="!!!"),"",IF(NOT(ISNA(VLOOKUP(E2128,E$1:E2127,1,FALSE()))),"OLD",IF(AND(E2128&lt;&gt;"",E2128&lt;&gt;"!!!"),"NEW","")))</f>
        <v> </v>
      </c>
      <c r="G2128" s="23" t="str">
        <f>IF(OR(E2128="",E2128="!!!"),"",IF(OR(J2128=0,AND(J2128=1,K2128=1),AND(J2128=1,I2128="SBJ"),AND(J2128=1,I2128=0)),"?IN_FOCUS",IF(J2128&lt;=2,"?ACTIVATED",IF(J2128&lt;&gt;"","?FAMILIAR",IF(F2128="NEW",IF(ISNA(VLOOKUP(E2128,#REF!,1,FALSE())),"?TYPE_IDENTIFIABLE","?REFERENTIAL"),"_")))))</f>
        <v> </v>
      </c>
      <c r="H2128" s="24" t="str">
        <f>IF(J2128&lt;&gt;1,"",IF(I2128="SBJ","CB","?"))</f>
        <v> </v>
      </c>
      <c r="I2128" s="25" t="str">
        <f>IF(OR(E2128="",E2128="!!!",F2128="NEW"),"",INDEX(B2127:B$2,-1+SUMPRODUCT(MAX(ROW(E2127:E$2)*(E2128=E2127:E$2)))))</f>
        <v> </v>
      </c>
      <c r="J2128" s="25" t="str">
        <f>IF(OR(E2128="",E2128="!!!",F2128="NEW"),"",COUNTBLANK(OFFSET(A$1,,,SUMPRODUCT(MAX(ROW(E$2:E2128)*(E2128=E$2:E2128)))))-COUNTBLANK(OFFSET(A$1,,,SUMPRODUCT(MAX(ROW(E$1:E2127)*(E2=E$1:E2127))))))</f>
        <v> </v>
      </c>
      <c r="K2128" s="25" t="str">
        <f>IF(OR(E2128="",E2128="!!!",F2128="NEW"),"",INDEX(J$1:J2127,SUMPRODUCT(MAX(ROW(E$1:E2127)*(E2128=E$1:E2127)))))</f>
        <v> </v>
      </c>
      <c r="L2128" s="26"/>
    </row>
    <row r="2129" spans="1:12">
      <c r="A2129" s="20" t="s">
        <v>1404</v>
      </c>
      <c r="E2129" s="21">
        <f>IF(D2129="?OLD","!!!","")</f>
        <v/>
      </c>
      <c r="F2129" s="22" t="str">
        <f>IF(OR(E2129="",E2129="!!!"),"",IF(NOT(ISNA(VLOOKUP(E2129,E$1:E2128,1,FALSE()))),"OLD",IF(AND(E2129&lt;&gt;"",E2129&lt;&gt;"!!!"),"NEW","")))</f>
        <v> </v>
      </c>
      <c r="G2129" s="23" t="str">
        <f>IF(OR(E2129="",E2129="!!!"),"",IF(OR(J2129=0,AND(J2129=1,K2129=1),AND(J2129=1,I2129="SBJ"),AND(J2129=1,I2129=0)),"?IN_FOCUS",IF(J2129&lt;=2,"?ACTIVATED",IF(J2129&lt;&gt;"","?FAMILIAR",IF(F2129="NEW",IF(ISNA(VLOOKUP(E2129,#REF!,1,FALSE())),"?TYPE_IDENTIFIABLE","?REFERENTIAL"),"_")))))</f>
        <v> </v>
      </c>
      <c r="H2129" s="24" t="str">
        <f>IF(J2129&lt;&gt;1,"",IF(I2129="SBJ","CB","?"))</f>
        <v> </v>
      </c>
      <c r="I2129" s="25" t="str">
        <f>IF(OR(E2129="",E2129="!!!",F2129="NEW"),"",INDEX(B2128:B$2,-1+SUMPRODUCT(MAX(ROW(E2128:E$2)*(E2129=E2128:E$2)))))</f>
        <v> </v>
      </c>
      <c r="J2129" s="25" t="str">
        <f>IF(OR(E2129="",E2129="!!!",F2129="NEW"),"",COUNTBLANK(OFFSET(A$1,,,SUMPRODUCT(MAX(ROW(E$2:E2129)*(E2129=E$2:E2129)))))-COUNTBLANK(OFFSET(A$1,,,SUMPRODUCT(MAX(ROW(E$1:E2128)*(E2=E$1:E2128))))))</f>
        <v> </v>
      </c>
      <c r="K2129" s="25" t="str">
        <f>IF(OR(E2129="",E2129="!!!",F2129="NEW"),"",INDEX(J$1:J2128,SUMPRODUCT(MAX(ROW(E$1:E2128)*(E2129=E$1:E2128)))))</f>
        <v> </v>
      </c>
      <c r="L2129" s="26"/>
    </row>
    <row r="2130" spans="1:12">
      <c r="A2130" s="20" t="s">
        <v>617</v>
      </c>
      <c r="E2130" s="21">
        <f>IF(D2130="?OLD","!!!","")</f>
        <v/>
      </c>
      <c r="F2130" s="22" t="str">
        <f>IF(OR(E2130="",E2130="!!!"),"",IF(NOT(ISNA(VLOOKUP(E2130,E$1:E2129,1,FALSE()))),"OLD",IF(AND(E2130&lt;&gt;"",E2130&lt;&gt;"!!!"),"NEW","")))</f>
        <v> </v>
      </c>
      <c r="G2130" s="23" t="str">
        <f>IF(OR(E2130="",E2130="!!!"),"",IF(OR(J2130=0,AND(J2130=1,K2130=1),AND(J2130=1,I2130="SBJ"),AND(J2130=1,I2130=0)),"?IN_FOCUS",IF(J2130&lt;=2,"?ACTIVATED",IF(J2130&lt;&gt;"","?FAMILIAR",IF(F2130="NEW",IF(ISNA(VLOOKUP(E2130,#REF!,1,FALSE())),"?TYPE_IDENTIFIABLE","?REFERENTIAL"),"_")))))</f>
        <v> </v>
      </c>
      <c r="H2130" s="24" t="str">
        <f>IF(J2130&lt;&gt;1,"",IF(I2130="SBJ","CB","?"))</f>
        <v> </v>
      </c>
      <c r="I2130" s="25" t="str">
        <f>IF(OR(E2130="",E2130="!!!",F2130="NEW"),"",INDEX(B2129:B$2,-1+SUMPRODUCT(MAX(ROW(E2129:E$2)*(E2130=E2129:E$2)))))</f>
        <v> </v>
      </c>
      <c r="J2130" s="25" t="str">
        <f>IF(OR(E2130="",E2130="!!!",F2130="NEW"),"",COUNTBLANK(OFFSET(A$1,,,SUMPRODUCT(MAX(ROW(E$2:E2130)*(E2130=E$2:E2130)))))-COUNTBLANK(OFFSET(A$1,,,SUMPRODUCT(MAX(ROW(E$1:E2129)*(E2=E$1:E2129))))))</f>
        <v> </v>
      </c>
      <c r="K2130" s="25" t="str">
        <f>IF(OR(E2130="",E2130="!!!",F2130="NEW"),"",INDEX(J$1:J2129,SUMPRODUCT(MAX(ROW(E$1:E2129)*(E2130=E$1:E2129)))))</f>
        <v> </v>
      </c>
      <c r="L2130" s="26"/>
    </row>
    <row r="2131" spans="1:12">
      <c r="A2131" s="20" t="s">
        <v>970</v>
      </c>
      <c r="E2131" s="21">
        <f>IF(D2131="?OLD","!!!","")</f>
        <v/>
      </c>
      <c r="F2131" s="22" t="str">
        <f>IF(OR(E2131="",E2131="!!!"),"",IF(NOT(ISNA(VLOOKUP(E2131,E$1:E2130,1,FALSE()))),"OLD",IF(AND(E2131&lt;&gt;"",E2131&lt;&gt;"!!!"),"NEW","")))</f>
        <v> </v>
      </c>
      <c r="G2131" s="23" t="str">
        <f>IF(OR(E2131="",E2131="!!!"),"",IF(OR(J2131=0,AND(J2131=1,K2131=1),AND(J2131=1,I2131="SBJ"),AND(J2131=1,I2131=0)),"?IN_FOCUS",IF(J2131&lt;=2,"?ACTIVATED",IF(J2131&lt;&gt;"","?FAMILIAR",IF(F2131="NEW",IF(ISNA(VLOOKUP(E2131,#REF!,1,FALSE())),"?TYPE_IDENTIFIABLE","?REFERENTIAL"),"_")))))</f>
        <v> </v>
      </c>
      <c r="H2131" s="24" t="str">
        <f>IF(J2131&lt;&gt;1,"",IF(I2131="SBJ","CB","?"))</f>
        <v> </v>
      </c>
      <c r="I2131" s="25" t="str">
        <f>IF(OR(E2131="",E2131="!!!",F2131="NEW"),"",INDEX(B2130:B$2,-1+SUMPRODUCT(MAX(ROW(E2130:E$2)*(E2131=E2130:E$2)))))</f>
        <v> </v>
      </c>
      <c r="J2131" s="25" t="str">
        <f>IF(OR(E2131="",E2131="!!!",F2131="NEW"),"",COUNTBLANK(OFFSET(A$1,,,SUMPRODUCT(MAX(ROW(E$2:E2131)*(E2131=E$2:E2131)))))-COUNTBLANK(OFFSET(A$1,,,SUMPRODUCT(MAX(ROW(E$1:E2130)*(E2=E$1:E2130))))))</f>
        <v> </v>
      </c>
      <c r="K2131" s="25" t="str">
        <f>IF(OR(E2131="",E2131="!!!",F2131="NEW"),"",INDEX(J$1:J2130,SUMPRODUCT(MAX(ROW(E$1:E2130)*(E2131=E$1:E2130)))))</f>
        <v> </v>
      </c>
      <c r="L2131" s="26"/>
    </row>
    <row r="2132" spans="1:12">
      <c r="A2132" s="20" t="s">
        <v>850</v>
      </c>
      <c r="B2132" s="27" t="s">
        <v>625</v>
      </c>
      <c r="C2132" s="27" t="s">
        <v>614</v>
      </c>
      <c r="D2132" s="27" t="s">
        <v>608</v>
      </c>
      <c r="E2132" s="21">
        <f>IF(D2132="?OLD","!!!","")</f>
        <v/>
      </c>
      <c r="F2132" s="22" t="str">
        <f>IF(OR(E2132="",E2132="!!!"),"",IF(NOT(ISNA(VLOOKUP(E2132,E$1:E2131,1,FALSE()))),"OLD",IF(AND(E2132&lt;&gt;"",E2132&lt;&gt;"!!!"),"NEW","")))</f>
        <v> </v>
      </c>
      <c r="G2132" s="23" t="str">
        <f>IF(OR(E2132="",E2132="!!!"),"",IF(OR(J2132=0,AND(J2132=1,K2132=1),AND(J2132=1,I2132="SBJ"),AND(J2132=1,I2132=0)),"?IN_FOCUS",IF(J2132&lt;=2,"?ACTIVATED",IF(J2132&lt;&gt;"","?FAMILIAR",IF(F2132="NEW",IF(ISNA(VLOOKUP(E2132,#REF!,1,FALSE())),"?TYPE_IDENTIFIABLE","?REFERENTIAL"),"_")))))</f>
        <v> </v>
      </c>
      <c r="H2132" s="24" t="str">
        <f>IF(J2132&lt;&gt;1,"",IF(I2132="SBJ","CB","?"))</f>
        <v> </v>
      </c>
      <c r="I2132" s="25" t="str">
        <f>IF(OR(E2132="",E2132="!!!",F2132="NEW"),"",INDEX(B2131:B$2,-1+SUMPRODUCT(MAX(ROW(E2131:E$2)*(E2132=E2131:E$2)))))</f>
        <v> </v>
      </c>
      <c r="J2132" s="25" t="str">
        <f>IF(OR(E2132="",E2132="!!!",F2132="NEW"),"",COUNTBLANK(OFFSET(A$1,,,SUMPRODUCT(MAX(ROW(E$2:E2132)*(E2132=E$2:E2132)))))-COUNTBLANK(OFFSET(A$1,,,SUMPRODUCT(MAX(ROW(E$1:E2131)*(E2=E$1:E2131))))))</f>
        <v> </v>
      </c>
      <c r="K2132" s="25" t="str">
        <f>IF(OR(E2132="",E2132="!!!",F2132="NEW"),"",INDEX(J$1:J2131,SUMPRODUCT(MAX(ROW(E$1:E2131)*(E2132=E$1:E2131)))))</f>
        <v> </v>
      </c>
      <c r="L2132" s="26"/>
    </row>
    <row r="2133" spans="1:12">
      <c r="A2133" s="20" t="s">
        <v>949</v>
      </c>
      <c r="B2133" s="27" t="s">
        <v>611</v>
      </c>
      <c r="C2133" s="27" t="s">
        <v>616</v>
      </c>
      <c r="D2133" s="27" t="s">
        <v>608</v>
      </c>
      <c r="E2133" s="21">
        <f>IF(D2133="?OLD","!!!","")</f>
        <v/>
      </c>
      <c r="F2133" s="22" t="str">
        <f>IF(OR(E2133="",E2133="!!!"),"",IF(NOT(ISNA(VLOOKUP(E2133,E$1:E2132,1,FALSE()))),"OLD",IF(AND(E2133&lt;&gt;"",E2133&lt;&gt;"!!!"),"NEW","")))</f>
        <v> </v>
      </c>
      <c r="G2133" s="23" t="str">
        <f>IF(OR(E2133="",E2133="!!!"),"",IF(OR(J2133=0,AND(J2133=1,K2133=1),AND(J2133=1,I2133="SBJ"),AND(J2133=1,I2133=0)),"?IN_FOCUS",IF(J2133&lt;=2,"?ACTIVATED",IF(J2133&lt;&gt;"","?FAMILIAR",IF(F2133="NEW",IF(ISNA(VLOOKUP(E2133,#REF!,1,FALSE())),"?TYPE_IDENTIFIABLE","?REFERENTIAL"),"_")))))</f>
        <v> </v>
      </c>
      <c r="H2133" s="24" t="str">
        <f>IF(J2133&lt;&gt;1,"",IF(I2133="SBJ","CB","?"))</f>
        <v> </v>
      </c>
      <c r="I2133" s="25" t="str">
        <f>IF(OR(E2133="",E2133="!!!",F2133="NEW"),"",INDEX(B2132:B$2,-1+SUMPRODUCT(MAX(ROW(E2132:E$2)*(E2133=E2132:E$2)))))</f>
        <v> </v>
      </c>
      <c r="J2133" s="25" t="str">
        <f>IF(OR(E2133="",E2133="!!!",F2133="NEW"),"",COUNTBLANK(OFFSET(A$1,,,SUMPRODUCT(MAX(ROW(E$2:E2133)*(E2133=E$2:E2133)))))-COUNTBLANK(OFFSET(A$1,,,SUMPRODUCT(MAX(ROW(E$1:E2132)*(E2=E$1:E2132))))))</f>
        <v> </v>
      </c>
      <c r="K2133" s="25" t="str">
        <f>IF(OR(E2133="",E2133="!!!",F2133="NEW"),"",INDEX(J$1:J2132,SUMPRODUCT(MAX(ROW(E$1:E2132)*(E2133=E$1:E2132)))))</f>
        <v> </v>
      </c>
      <c r="L2133" s="26"/>
    </row>
    <row r="2134" spans="1:12">
      <c r="A2134" s="20" t="s">
        <v>712</v>
      </c>
      <c r="E2134" s="21">
        <f>IF(D2134="?OLD","!!!","")</f>
        <v/>
      </c>
      <c r="F2134" s="22" t="str">
        <f>IF(OR(E2134="",E2134="!!!"),"",IF(NOT(ISNA(VLOOKUP(E2134,E$1:E2133,1,FALSE()))),"OLD",IF(AND(E2134&lt;&gt;"",E2134&lt;&gt;"!!!"),"NEW","")))</f>
        <v> </v>
      </c>
      <c r="G2134" s="23" t="str">
        <f>IF(OR(E2134="",E2134="!!!"),"",IF(OR(J2134=0,AND(J2134=1,K2134=1),AND(J2134=1,I2134="SBJ"),AND(J2134=1,I2134=0)),"?IN_FOCUS",IF(J2134&lt;=2,"?ACTIVATED",IF(J2134&lt;&gt;"","?FAMILIAR",IF(F2134="NEW",IF(ISNA(VLOOKUP(E2134,#REF!,1,FALSE())),"?TYPE_IDENTIFIABLE","?REFERENTIAL"),"_")))))</f>
        <v> </v>
      </c>
      <c r="H2134" s="24" t="str">
        <f>IF(J2134&lt;&gt;1,"",IF(I2134="SBJ","CB","?"))</f>
        <v> </v>
      </c>
      <c r="I2134" s="25" t="str">
        <f>IF(OR(E2134="",E2134="!!!",F2134="NEW"),"",INDEX(B2133:B$2,-1+SUMPRODUCT(MAX(ROW(E2133:E$2)*(E2134=E2133:E$2)))))</f>
        <v> </v>
      </c>
      <c r="J2134" s="25" t="str">
        <f>IF(OR(E2134="",E2134="!!!",F2134="NEW"),"",COUNTBLANK(OFFSET(A$1,,,SUMPRODUCT(MAX(ROW(E$2:E2134)*(E2134=E$2:E2134)))))-COUNTBLANK(OFFSET(A$1,,,SUMPRODUCT(MAX(ROW(E$1:E2133)*(E2=E$1:E2133))))))</f>
        <v> </v>
      </c>
      <c r="K2134" s="25" t="str">
        <f>IF(OR(E2134="",E2134="!!!",F2134="NEW"),"",INDEX(J$1:J2133,SUMPRODUCT(MAX(ROW(E$1:E2133)*(E2134=E$1:E2133)))))</f>
        <v> </v>
      </c>
      <c r="L2134" s="26"/>
    </row>
    <row r="2135" spans="1:12">
      <c r="A2135" s="20" t="s">
        <v>807</v>
      </c>
      <c r="B2135" s="27" t="s">
        <v>619</v>
      </c>
      <c r="C2135" s="27" t="s">
        <v>652</v>
      </c>
      <c r="D2135" s="27" t="s">
        <v>608</v>
      </c>
      <c r="E2135" s="21">
        <f>IF(D2135="?OLD","!!!","")</f>
        <v/>
      </c>
      <c r="F2135" s="22" t="str">
        <f>IF(OR(E2135="",E2135="!!!"),"",IF(NOT(ISNA(VLOOKUP(E2135,E$1:E2134,1,FALSE()))),"OLD",IF(AND(E2135&lt;&gt;"",E2135&lt;&gt;"!!!"),"NEW","")))</f>
        <v> </v>
      </c>
      <c r="G2135" s="23" t="str">
        <f>IF(OR(E2135="",E2135="!!!"),"",IF(OR(J2135=0,AND(J2135=1,K2135=1),AND(J2135=1,I2135="SBJ"),AND(J2135=1,I2135=0)),"?IN_FOCUS",IF(J2135&lt;=2,"?ACTIVATED",IF(J2135&lt;&gt;"","?FAMILIAR",IF(F2135="NEW",IF(ISNA(VLOOKUP(E2135,#REF!,1,FALSE())),"?TYPE_IDENTIFIABLE","?REFERENTIAL"),"_")))))</f>
        <v> </v>
      </c>
      <c r="H2135" s="24" t="str">
        <f>IF(J2135&lt;&gt;1,"",IF(I2135="SBJ","CB","?"))</f>
        <v> </v>
      </c>
      <c r="I2135" s="25" t="str">
        <f>IF(OR(E2135="",E2135="!!!",F2135="NEW"),"",INDEX(B2134:B$2,-1+SUMPRODUCT(MAX(ROW(E2134:E$2)*(E2135=E2134:E$2)))))</f>
        <v> </v>
      </c>
      <c r="J2135" s="25" t="str">
        <f>IF(OR(E2135="",E2135="!!!",F2135="NEW"),"",COUNTBLANK(OFFSET(A$1,,,SUMPRODUCT(MAX(ROW(E$2:E2135)*(E2135=E$2:E2135)))))-COUNTBLANK(OFFSET(A$1,,,SUMPRODUCT(MAX(ROW(E$1:E2134)*(E2=E$1:E2134))))))</f>
        <v> </v>
      </c>
      <c r="K2135" s="25" t="str">
        <f>IF(OR(E2135="",E2135="!!!",F2135="NEW"),"",INDEX(J$1:J2134,SUMPRODUCT(MAX(ROW(E$1:E2134)*(E2135=E$1:E2134)))))</f>
        <v> </v>
      </c>
      <c r="L2135" s="26"/>
    </row>
    <row r="2136" spans="1:12">
      <c r="A2136" s="20" t="s">
        <v>1405</v>
      </c>
      <c r="E2136" s="21">
        <f>IF(D2136="?OLD","!!!","")</f>
        <v/>
      </c>
      <c r="F2136" s="22" t="str">
        <f>IF(OR(E2136="",E2136="!!!"),"",IF(NOT(ISNA(VLOOKUP(E2136,E$1:E2135,1,FALSE()))),"OLD",IF(AND(E2136&lt;&gt;"",E2136&lt;&gt;"!!!"),"NEW","")))</f>
        <v> </v>
      </c>
      <c r="G2136" s="23" t="str">
        <f>IF(OR(E2136="",E2136="!!!"),"",IF(OR(J2136=0,AND(J2136=1,K2136=1),AND(J2136=1,I2136="SBJ"),AND(J2136=1,I2136=0)),"?IN_FOCUS",IF(J2136&lt;=2,"?ACTIVATED",IF(J2136&lt;&gt;"","?FAMILIAR",IF(F2136="NEW",IF(ISNA(VLOOKUP(E2136,#REF!,1,FALSE())),"?TYPE_IDENTIFIABLE","?REFERENTIAL"),"_")))))</f>
        <v> </v>
      </c>
      <c r="H2136" s="24" t="str">
        <f>IF(J2136&lt;&gt;1,"",IF(I2136="SBJ","CB","?"))</f>
        <v> </v>
      </c>
      <c r="I2136" s="25" t="str">
        <f>IF(OR(E2136="",E2136="!!!",F2136="NEW"),"",INDEX(B2135:B$2,-1+SUMPRODUCT(MAX(ROW(E2135:E$2)*(E2136=E2135:E$2)))))</f>
        <v> </v>
      </c>
      <c r="J2136" s="25" t="str">
        <f>IF(OR(E2136="",E2136="!!!",F2136="NEW"),"",COUNTBLANK(OFFSET(A$1,,,SUMPRODUCT(MAX(ROW(E$2:E2136)*(E2136=E$2:E2136)))))-COUNTBLANK(OFFSET(A$1,,,SUMPRODUCT(MAX(ROW(E$1:E2135)*(E2=E$1:E2135))))))</f>
        <v> </v>
      </c>
      <c r="K2136" s="25" t="str">
        <f>IF(OR(E2136="",E2136="!!!",F2136="NEW"),"",INDEX(J$1:J2135,SUMPRODUCT(MAX(ROW(E$1:E2135)*(E2136=E$1:E2135)))))</f>
        <v> </v>
      </c>
      <c r="L2136" s="26"/>
    </row>
    <row r="2137" spans="1:12">
      <c r="A2137" s="20" t="s">
        <v>623</v>
      </c>
      <c r="E2137" s="21">
        <f>IF(D2137="?OLD","!!!","")</f>
        <v/>
      </c>
      <c r="F2137" s="22" t="str">
        <f>IF(OR(E2137="",E2137="!!!"),"",IF(NOT(ISNA(VLOOKUP(E2137,E$1:E2136,1,FALSE()))),"OLD",IF(AND(E2137&lt;&gt;"",E2137&lt;&gt;"!!!"),"NEW","")))</f>
        <v> </v>
      </c>
      <c r="G2137" s="23" t="str">
        <f>IF(OR(E2137="",E2137="!!!"),"",IF(OR(J2137=0,AND(J2137=1,K2137=1),AND(J2137=1,I2137="SBJ"),AND(J2137=1,I2137=0)),"?IN_FOCUS",IF(J2137&lt;=2,"?ACTIVATED",IF(J2137&lt;&gt;"","?FAMILIAR",IF(F2137="NEW",IF(ISNA(VLOOKUP(E2137,#REF!,1,FALSE())),"?TYPE_IDENTIFIABLE","?REFERENTIAL"),"_")))))</f>
        <v> </v>
      </c>
      <c r="H2137" s="24" t="str">
        <f>IF(J2137&lt;&gt;1,"",IF(I2137="SBJ","CB","?"))</f>
        <v> </v>
      </c>
      <c r="I2137" s="25" t="str">
        <f>IF(OR(E2137="",E2137="!!!",F2137="NEW"),"",INDEX(B2136:B$2,-1+SUMPRODUCT(MAX(ROW(E2136:E$2)*(E2137=E2136:E$2)))))</f>
        <v> </v>
      </c>
      <c r="J2137" s="25" t="str">
        <f>IF(OR(E2137="",E2137="!!!",F2137="NEW"),"",COUNTBLANK(OFFSET(A$1,,,SUMPRODUCT(MAX(ROW(E$2:E2137)*(E2137=E$2:E2137)))))-COUNTBLANK(OFFSET(A$1,,,SUMPRODUCT(MAX(ROW(E$1:E2136)*(E2=E$1:E2136))))))</f>
        <v> </v>
      </c>
      <c r="K2137" s="25" t="str">
        <f>IF(OR(E2137="",E2137="!!!",F2137="NEW"),"",INDEX(J$1:J2136,SUMPRODUCT(MAX(ROW(E$1:E2136)*(E2137=E$1:E2136)))))</f>
        <v> </v>
      </c>
      <c r="L2137" s="26"/>
    </row>
    <row r="2138" spans="1:12">
      <c r="A2138" s="20" t="s">
        <v>1406</v>
      </c>
      <c r="E2138" s="21">
        <f>IF(D2138="?OLD","!!!","")</f>
        <v/>
      </c>
      <c r="F2138" s="22" t="str">
        <f>IF(OR(E2138="",E2138="!!!"),"",IF(NOT(ISNA(VLOOKUP(E2138,E$1:E2137,1,FALSE()))),"OLD",IF(AND(E2138&lt;&gt;"",E2138&lt;&gt;"!!!"),"NEW","")))</f>
        <v> </v>
      </c>
      <c r="G2138" s="23" t="str">
        <f>IF(OR(E2138="",E2138="!!!"),"",IF(OR(J2138=0,AND(J2138=1,K2138=1),AND(J2138=1,I2138="SBJ"),AND(J2138=1,I2138=0)),"?IN_FOCUS",IF(J2138&lt;=2,"?ACTIVATED",IF(J2138&lt;&gt;"","?FAMILIAR",IF(F2138="NEW",IF(ISNA(VLOOKUP(E2138,#REF!,1,FALSE())),"?TYPE_IDENTIFIABLE","?REFERENTIAL"),"_")))))</f>
        <v> </v>
      </c>
      <c r="H2138" s="24" t="str">
        <f>IF(J2138&lt;&gt;1,"",IF(I2138="SBJ","CB","?"))</f>
        <v> </v>
      </c>
      <c r="I2138" s="25" t="str">
        <f>IF(OR(E2138="",E2138="!!!",F2138="NEW"),"",INDEX(B2137:B$2,-1+SUMPRODUCT(MAX(ROW(E2137:E$2)*(E2138=E2137:E$2)))))</f>
        <v> </v>
      </c>
      <c r="J2138" s="25" t="str">
        <f>IF(OR(E2138="",E2138="!!!",F2138="NEW"),"",COUNTBLANK(OFFSET(A$1,,,SUMPRODUCT(MAX(ROW(E$2:E2138)*(E2138=E$2:E2138)))))-COUNTBLANK(OFFSET(A$1,,,SUMPRODUCT(MAX(ROW(E$1:E2137)*(E2=E$1:E2137))))))</f>
        <v> </v>
      </c>
      <c r="K2138" s="25" t="str">
        <f>IF(OR(E2138="",E2138="!!!",F2138="NEW"),"",INDEX(J$1:J2137,SUMPRODUCT(MAX(ROW(E$1:E2137)*(E2138=E$1:E2137)))))</f>
        <v> </v>
      </c>
      <c r="L2138" s="26"/>
    </row>
    <row r="2139" spans="1:12">
      <c r="A2139" s="20" t="s">
        <v>743</v>
      </c>
      <c r="E2139" s="21">
        <f>IF(D2139="?OLD","!!!","")</f>
        <v/>
      </c>
      <c r="F2139" s="22" t="str">
        <f>IF(OR(E2139="",E2139="!!!"),"",IF(NOT(ISNA(VLOOKUP(E2139,E$1:E2138,1,FALSE()))),"OLD",IF(AND(E2139&lt;&gt;"",E2139&lt;&gt;"!!!"),"NEW","")))</f>
        <v> </v>
      </c>
      <c r="G2139" s="23" t="str">
        <f>IF(OR(E2139="",E2139="!!!"),"",IF(OR(J2139=0,AND(J2139=1,K2139=1),AND(J2139=1,I2139="SBJ"),AND(J2139=1,I2139=0)),"?IN_FOCUS",IF(J2139&lt;=2,"?ACTIVATED",IF(J2139&lt;&gt;"","?FAMILIAR",IF(F2139="NEW",IF(ISNA(VLOOKUP(E2139,#REF!,1,FALSE())),"?TYPE_IDENTIFIABLE","?REFERENTIAL"),"_")))))</f>
        <v> </v>
      </c>
      <c r="H2139" s="24" t="str">
        <f>IF(J2139&lt;&gt;1,"",IF(I2139="SBJ","CB","?"))</f>
        <v> </v>
      </c>
      <c r="I2139" s="25" t="str">
        <f>IF(OR(E2139="",E2139="!!!",F2139="NEW"),"",INDEX(B2138:B$2,-1+SUMPRODUCT(MAX(ROW(E2138:E$2)*(E2139=E2138:E$2)))))</f>
        <v> </v>
      </c>
      <c r="J2139" s="25" t="str">
        <f>IF(OR(E2139="",E2139="!!!",F2139="NEW"),"",COUNTBLANK(OFFSET(A$1,,,SUMPRODUCT(MAX(ROW(E$2:E2139)*(E2139=E$2:E2139)))))-COUNTBLANK(OFFSET(A$1,,,SUMPRODUCT(MAX(ROW(E$1:E2138)*(E2=E$1:E2138))))))</f>
        <v> </v>
      </c>
      <c r="K2139" s="25" t="str">
        <f>IF(OR(E2139="",E2139="!!!",F2139="NEW"),"",INDEX(J$1:J2138,SUMPRODUCT(MAX(ROW(E$1:E2138)*(E2139=E$1:E2138)))))</f>
        <v> </v>
      </c>
      <c r="L2139" s="26"/>
    </row>
    <row r="2140" spans="1:12">
      <c r="A2140" s="20" t="s">
        <v>617</v>
      </c>
      <c r="E2140" s="21">
        <f>IF(D2140="?OLD","!!!","")</f>
        <v/>
      </c>
      <c r="F2140" s="22" t="str">
        <f>IF(OR(E2140="",E2140="!!!"),"",IF(NOT(ISNA(VLOOKUP(E2140,E$1:E2139,1,FALSE()))),"OLD",IF(AND(E2140&lt;&gt;"",E2140&lt;&gt;"!!!"),"NEW","")))</f>
        <v> </v>
      </c>
      <c r="G2140" s="23" t="str">
        <f>IF(OR(E2140="",E2140="!!!"),"",IF(OR(J2140=0,AND(J2140=1,K2140=1),AND(J2140=1,I2140="SBJ"),AND(J2140=1,I2140=0)),"?IN_FOCUS",IF(J2140&lt;=2,"?ACTIVATED",IF(J2140&lt;&gt;"","?FAMILIAR",IF(F2140="NEW",IF(ISNA(VLOOKUP(E2140,#REF!,1,FALSE())),"?TYPE_IDENTIFIABLE","?REFERENTIAL"),"_")))))</f>
        <v> </v>
      </c>
      <c r="H2140" s="24" t="str">
        <f>IF(J2140&lt;&gt;1,"",IF(I2140="SBJ","CB","?"))</f>
        <v> </v>
      </c>
      <c r="I2140" s="25" t="str">
        <f>IF(OR(E2140="",E2140="!!!",F2140="NEW"),"",INDEX(B2139:B$2,-1+SUMPRODUCT(MAX(ROW(E2139:E$2)*(E2140=E2139:E$2)))))</f>
        <v> </v>
      </c>
      <c r="J2140" s="25" t="str">
        <f>IF(OR(E2140="",E2140="!!!",F2140="NEW"),"",COUNTBLANK(OFFSET(A$1,,,SUMPRODUCT(MAX(ROW(E$2:E2140)*(E2140=E$2:E2140)))))-COUNTBLANK(OFFSET(A$1,,,SUMPRODUCT(MAX(ROW(E$1:E2139)*(E2=E$1:E2139))))))</f>
        <v> </v>
      </c>
      <c r="K2140" s="25" t="str">
        <f>IF(OR(E2140="",E2140="!!!",F2140="NEW"),"",INDEX(J$1:J2139,SUMPRODUCT(MAX(ROW(E$1:E2139)*(E2140=E$1:E2139)))))</f>
        <v> </v>
      </c>
      <c r="L2140" s="26"/>
    </row>
    <row r="2141" spans="1:12">
      <c r="A2141" s="20" t="s">
        <v>835</v>
      </c>
      <c r="E2141" s="21">
        <f>IF(D2141="?OLD","!!!","")</f>
        <v/>
      </c>
      <c r="F2141" s="22" t="str">
        <f>IF(OR(E2141="",E2141="!!!"),"",IF(NOT(ISNA(VLOOKUP(E2141,E$1:E2140,1,FALSE()))),"OLD",IF(AND(E2141&lt;&gt;"",E2141&lt;&gt;"!!!"),"NEW","")))</f>
        <v> </v>
      </c>
      <c r="G2141" s="23" t="str">
        <f>IF(OR(E2141="",E2141="!!!"),"",IF(OR(J2141=0,AND(J2141=1,K2141=1),AND(J2141=1,I2141="SBJ"),AND(J2141=1,I2141=0)),"?IN_FOCUS",IF(J2141&lt;=2,"?ACTIVATED",IF(J2141&lt;&gt;"","?FAMILIAR",IF(F2141="NEW",IF(ISNA(VLOOKUP(E2141,#REF!,1,FALSE())),"?TYPE_IDENTIFIABLE","?REFERENTIAL"),"_")))))</f>
        <v> </v>
      </c>
      <c r="H2141" s="24" t="str">
        <f>IF(J2141&lt;&gt;1,"",IF(I2141="SBJ","CB","?"))</f>
        <v> </v>
      </c>
      <c r="I2141" s="25" t="str">
        <f>IF(OR(E2141="",E2141="!!!",F2141="NEW"),"",INDEX(B2140:B$2,-1+SUMPRODUCT(MAX(ROW(E2140:E$2)*(E2141=E2140:E$2)))))</f>
        <v> </v>
      </c>
      <c r="J2141" s="25" t="str">
        <f>IF(OR(E2141="",E2141="!!!",F2141="NEW"),"",COUNTBLANK(OFFSET(A$1,,,SUMPRODUCT(MAX(ROW(E$2:E2141)*(E2141=E$2:E2141)))))-COUNTBLANK(OFFSET(A$1,,,SUMPRODUCT(MAX(ROW(E$1:E2140)*(E2=E$1:E2140))))))</f>
        <v> </v>
      </c>
      <c r="K2141" s="25" t="str">
        <f>IF(OR(E2141="",E2141="!!!",F2141="NEW"),"",INDEX(J$1:J2140,SUMPRODUCT(MAX(ROW(E$1:E2140)*(E2141=E$1:E2140)))))</f>
        <v> </v>
      </c>
      <c r="L2141" s="26"/>
    </row>
    <row r="2142" spans="1:12">
      <c r="A2142" s="20" t="s">
        <v>807</v>
      </c>
      <c r="B2142" s="27" t="s">
        <v>619</v>
      </c>
      <c r="C2142" s="27" t="s">
        <v>652</v>
      </c>
      <c r="D2142" s="27" t="s">
        <v>608</v>
      </c>
      <c r="E2142" s="21">
        <f>IF(D2142="?OLD","!!!","")</f>
        <v/>
      </c>
      <c r="F2142" s="22" t="str">
        <f>IF(OR(E2142="",E2142="!!!"),"",IF(NOT(ISNA(VLOOKUP(E2142,E$1:E2141,1,FALSE()))),"OLD",IF(AND(E2142&lt;&gt;"",E2142&lt;&gt;"!!!"),"NEW","")))</f>
        <v> </v>
      </c>
      <c r="G2142" s="23" t="str">
        <f>IF(OR(E2142="",E2142="!!!"),"",IF(OR(J2142=0,AND(J2142=1,K2142=1),AND(J2142=1,I2142="SBJ"),AND(J2142=1,I2142=0)),"?IN_FOCUS",IF(J2142&lt;=2,"?ACTIVATED",IF(J2142&lt;&gt;"","?FAMILIAR",IF(F2142="NEW",IF(ISNA(VLOOKUP(E2142,#REF!,1,FALSE())),"?TYPE_IDENTIFIABLE","?REFERENTIAL"),"_")))))</f>
        <v> </v>
      </c>
      <c r="H2142" s="24" t="str">
        <f>IF(J2142&lt;&gt;1,"",IF(I2142="SBJ","CB","?"))</f>
        <v> </v>
      </c>
      <c r="I2142" s="25" t="str">
        <f>IF(OR(E2142="",E2142="!!!",F2142="NEW"),"",INDEX(B2141:B$2,-1+SUMPRODUCT(MAX(ROW(E2141:E$2)*(E2142=E2141:E$2)))))</f>
        <v> </v>
      </c>
      <c r="J2142" s="25" t="str">
        <f>IF(OR(E2142="",E2142="!!!",F2142="NEW"),"",COUNTBLANK(OFFSET(A$1,,,SUMPRODUCT(MAX(ROW(E$2:E2142)*(E2142=E$2:E2142)))))-COUNTBLANK(OFFSET(A$1,,,SUMPRODUCT(MAX(ROW(E$1:E2141)*(E2=E$1:E2141))))))</f>
        <v> </v>
      </c>
      <c r="K2142" s="25" t="str">
        <f>IF(OR(E2142="",E2142="!!!",F2142="NEW"),"",INDEX(J$1:J2141,SUMPRODUCT(MAX(ROW(E$1:E2141)*(E2142=E$1:E2141)))))</f>
        <v> </v>
      </c>
      <c r="L2142" s="26"/>
    </row>
    <row r="2143" spans="1:12">
      <c r="A2143" s="20" t="s">
        <v>759</v>
      </c>
      <c r="E2143" s="21">
        <f>IF(D2143="?OLD","!!!","")</f>
        <v/>
      </c>
      <c r="F2143" s="22" t="str">
        <f>IF(OR(E2143="",E2143="!!!"),"",IF(NOT(ISNA(VLOOKUP(E2143,E$1:E2142,1,FALSE()))),"OLD",IF(AND(E2143&lt;&gt;"",E2143&lt;&gt;"!!!"),"NEW","")))</f>
        <v> </v>
      </c>
      <c r="G2143" s="23" t="str">
        <f>IF(OR(E2143="",E2143="!!!"),"",IF(OR(J2143=0,AND(J2143=1,K2143=1),AND(J2143=1,I2143="SBJ"),AND(J2143=1,I2143=0)),"?IN_FOCUS",IF(J2143&lt;=2,"?ACTIVATED",IF(J2143&lt;&gt;"","?FAMILIAR",IF(F2143="NEW",IF(ISNA(VLOOKUP(E2143,#REF!,1,FALSE())),"?TYPE_IDENTIFIABLE","?REFERENTIAL"),"_")))))</f>
        <v> </v>
      </c>
      <c r="H2143" s="24" t="str">
        <f>IF(J2143&lt;&gt;1,"",IF(I2143="SBJ","CB","?"))</f>
        <v> </v>
      </c>
      <c r="I2143" s="25" t="str">
        <f>IF(OR(E2143="",E2143="!!!",F2143="NEW"),"",INDEX(B2142:B$2,-1+SUMPRODUCT(MAX(ROW(E2142:E$2)*(E2143=E2142:E$2)))))</f>
        <v> </v>
      </c>
      <c r="J2143" s="25" t="str">
        <f>IF(OR(E2143="",E2143="!!!",F2143="NEW"),"",COUNTBLANK(OFFSET(A$1,,,SUMPRODUCT(MAX(ROW(E$2:E2143)*(E2143=E$2:E2143)))))-COUNTBLANK(OFFSET(A$1,,,SUMPRODUCT(MAX(ROW(E$1:E2142)*(E2=E$1:E2142))))))</f>
        <v> </v>
      </c>
      <c r="K2143" s="25" t="str">
        <f>IF(OR(E2143="",E2143="!!!",F2143="NEW"),"",INDEX(J$1:J2142,SUMPRODUCT(MAX(ROW(E$1:E2142)*(E2143=E$1:E2142)))))</f>
        <v> </v>
      </c>
      <c r="L2143" s="26"/>
    </row>
    <row r="2144" spans="1:12">
      <c r="A2144" s="20" t="s">
        <v>658</v>
      </c>
      <c r="E2144" s="21">
        <f>IF(D2144="?OLD","!!!","")</f>
        <v/>
      </c>
      <c r="F2144" s="22" t="str">
        <f>IF(OR(E2144="",E2144="!!!"),"",IF(NOT(ISNA(VLOOKUP(E2144,E$1:E2143,1,FALSE()))),"OLD",IF(AND(E2144&lt;&gt;"",E2144&lt;&gt;"!!!"),"NEW","")))</f>
        <v> </v>
      </c>
      <c r="G2144" s="23" t="str">
        <f>IF(OR(E2144="",E2144="!!!"),"",IF(OR(J2144=0,AND(J2144=1,K2144=1),AND(J2144=1,I2144="SBJ"),AND(J2144=1,I2144=0)),"?IN_FOCUS",IF(J2144&lt;=2,"?ACTIVATED",IF(J2144&lt;&gt;"","?FAMILIAR",IF(F2144="NEW",IF(ISNA(VLOOKUP(E2144,#REF!,1,FALSE())),"?TYPE_IDENTIFIABLE","?REFERENTIAL"),"_")))))</f>
        <v> </v>
      </c>
      <c r="H2144" s="24" t="str">
        <f>IF(J2144&lt;&gt;1,"",IF(I2144="SBJ","CB","?"))</f>
        <v> </v>
      </c>
      <c r="I2144" s="25" t="str">
        <f>IF(OR(E2144="",E2144="!!!",F2144="NEW"),"",INDEX(B2143:B$2,-1+SUMPRODUCT(MAX(ROW(E2143:E$2)*(E2144=E2143:E$2)))))</f>
        <v> </v>
      </c>
      <c r="J2144" s="25" t="str">
        <f>IF(OR(E2144="",E2144="!!!",F2144="NEW"),"",COUNTBLANK(OFFSET(A$1,,,SUMPRODUCT(MAX(ROW(E$2:E2144)*(E2144=E$2:E2144)))))-COUNTBLANK(OFFSET(A$1,,,SUMPRODUCT(MAX(ROW(E$1:E2143)*(E2=E$1:E2143))))))</f>
        <v> </v>
      </c>
      <c r="K2144" s="25" t="str">
        <f>IF(OR(E2144="",E2144="!!!",F2144="NEW"),"",INDEX(J$1:J2143,SUMPRODUCT(MAX(ROW(E$1:E2143)*(E2144=E$1:E2143)))))</f>
        <v> </v>
      </c>
      <c r="L2144" s="26"/>
    </row>
    <row r="2145" spans="1:12">
      <c r="A2145" s="20" t="s">
        <v>1407</v>
      </c>
      <c r="E2145" s="21">
        <f>IF(D2145="?OLD","!!!","")</f>
        <v/>
      </c>
      <c r="F2145" s="22" t="str">
        <f>IF(OR(E2145="",E2145="!!!"),"",IF(NOT(ISNA(VLOOKUP(E2145,E$1:E2144,1,FALSE()))),"OLD",IF(AND(E2145&lt;&gt;"",E2145&lt;&gt;"!!!"),"NEW","")))</f>
        <v> </v>
      </c>
      <c r="G2145" s="23" t="str">
        <f>IF(OR(E2145="",E2145="!!!"),"",IF(OR(J2145=0,AND(J2145=1,K2145=1),AND(J2145=1,I2145="SBJ"),AND(J2145=1,I2145=0)),"?IN_FOCUS",IF(J2145&lt;=2,"?ACTIVATED",IF(J2145&lt;&gt;"","?FAMILIAR",IF(F2145="NEW",IF(ISNA(VLOOKUP(E2145,#REF!,1,FALSE())),"?TYPE_IDENTIFIABLE","?REFERENTIAL"),"_")))))</f>
        <v> </v>
      </c>
      <c r="H2145" s="24" t="str">
        <f>IF(J2145&lt;&gt;1,"",IF(I2145="SBJ","CB","?"))</f>
        <v> </v>
      </c>
      <c r="I2145" s="25" t="str">
        <f>IF(OR(E2145="",E2145="!!!",F2145="NEW"),"",INDEX(B2144:B$2,-1+SUMPRODUCT(MAX(ROW(E2144:E$2)*(E2145=E2144:E$2)))))</f>
        <v> </v>
      </c>
      <c r="J2145" s="25" t="str">
        <f>IF(OR(E2145="",E2145="!!!",F2145="NEW"),"",COUNTBLANK(OFFSET(A$1,,,SUMPRODUCT(MAX(ROW(E$2:E2145)*(E2145=E$2:E2145)))))-COUNTBLANK(OFFSET(A$1,,,SUMPRODUCT(MAX(ROW(E$1:E2144)*(E2=E$1:E2144))))))</f>
        <v> </v>
      </c>
      <c r="K2145" s="25" t="str">
        <f>IF(OR(E2145="",E2145="!!!",F2145="NEW"),"",INDEX(J$1:J2144,SUMPRODUCT(MAX(ROW(E$1:E2144)*(E2145=E$1:E2144)))))</f>
        <v> </v>
      </c>
      <c r="L2145" s="26"/>
    </row>
    <row r="2146" spans="1:12">
      <c r="A2146" s="20" t="s">
        <v>1408</v>
      </c>
      <c r="B2146" s="27" t="s">
        <v>611</v>
      </c>
      <c r="C2146" s="27" t="s">
        <v>607</v>
      </c>
      <c r="D2146" s="27" t="s">
        <v>608</v>
      </c>
      <c r="E2146" s="21">
        <f>IF(D2146="?OLD","!!!","")</f>
        <v/>
      </c>
      <c r="F2146" s="22" t="str">
        <f>IF(OR(E2146="",E2146="!!!"),"",IF(NOT(ISNA(VLOOKUP(E2146,E$1:E2145,1,FALSE()))),"OLD",IF(AND(E2146&lt;&gt;"",E2146&lt;&gt;"!!!"),"NEW","")))</f>
        <v> </v>
      </c>
      <c r="G2146" s="23" t="str">
        <f>IF(OR(E2146="",E2146="!!!"),"",IF(OR(J2146=0,AND(J2146=1,K2146=1),AND(J2146=1,I2146="SBJ"),AND(J2146=1,I2146=0)),"?IN_FOCUS",IF(J2146&lt;=2,"?ACTIVATED",IF(J2146&lt;&gt;"","?FAMILIAR",IF(F2146="NEW",IF(ISNA(VLOOKUP(E2146,#REF!,1,FALSE())),"?TYPE_IDENTIFIABLE","?REFERENTIAL"),"_")))))</f>
        <v> </v>
      </c>
      <c r="H2146" s="24" t="str">
        <f>IF(J2146&lt;&gt;1,"",IF(I2146="SBJ","CB","?"))</f>
        <v> </v>
      </c>
      <c r="I2146" s="25" t="str">
        <f>IF(OR(E2146="",E2146="!!!",F2146="NEW"),"",INDEX(B2145:B$2,-1+SUMPRODUCT(MAX(ROW(E2145:E$2)*(E2146=E2145:E$2)))))</f>
        <v> </v>
      </c>
      <c r="J2146" s="25" t="str">
        <f>IF(OR(E2146="",E2146="!!!",F2146="NEW"),"",COUNTBLANK(OFFSET(A$1,,,SUMPRODUCT(MAX(ROW(E$2:E2146)*(E2146=E$2:E2146)))))-COUNTBLANK(OFFSET(A$1,,,SUMPRODUCT(MAX(ROW(E$1:E2145)*(E2=E$1:E2145))))))</f>
        <v> </v>
      </c>
      <c r="K2146" s="25" t="str">
        <f>IF(OR(E2146="",E2146="!!!",F2146="NEW"),"",INDEX(J$1:J2145,SUMPRODUCT(MAX(ROW(E$1:E2145)*(E2146=E$1:E2145)))))</f>
        <v> </v>
      </c>
      <c r="L2146" s="26"/>
    </row>
    <row r="2147" spans="1:12">
      <c r="A2147" s="20" t="s">
        <v>1409</v>
      </c>
      <c r="E2147" s="21">
        <f>IF(D2147="?OLD","!!!","")</f>
        <v/>
      </c>
      <c r="F2147" s="22" t="str">
        <f>IF(OR(E2147="",E2147="!!!"),"",IF(NOT(ISNA(VLOOKUP(E2147,E$1:E2146,1,FALSE()))),"OLD",IF(AND(E2147&lt;&gt;"",E2147&lt;&gt;"!!!"),"NEW","")))</f>
        <v> </v>
      </c>
      <c r="G2147" s="23" t="str">
        <f>IF(OR(E2147="",E2147="!!!"),"",IF(OR(J2147=0,AND(J2147=1,K2147=1),AND(J2147=1,I2147="SBJ"),AND(J2147=1,I2147=0)),"?IN_FOCUS",IF(J2147&lt;=2,"?ACTIVATED",IF(J2147&lt;&gt;"","?FAMILIAR",IF(F2147="NEW",IF(ISNA(VLOOKUP(E2147,#REF!,1,FALSE())),"?TYPE_IDENTIFIABLE","?REFERENTIAL"),"_")))))</f>
        <v> </v>
      </c>
      <c r="H2147" s="24" t="str">
        <f>IF(J2147&lt;&gt;1,"",IF(I2147="SBJ","CB","?"))</f>
        <v> </v>
      </c>
      <c r="I2147" s="25" t="str">
        <f>IF(OR(E2147="",E2147="!!!",F2147="NEW"),"",INDEX(B2146:B$2,-1+SUMPRODUCT(MAX(ROW(E2146:E$2)*(E2147=E2146:E$2)))))</f>
        <v> </v>
      </c>
      <c r="J2147" s="25" t="str">
        <f>IF(OR(E2147="",E2147="!!!",F2147="NEW"),"",COUNTBLANK(OFFSET(A$1,,,SUMPRODUCT(MAX(ROW(E$2:E2147)*(E2147=E$2:E2147)))))-COUNTBLANK(OFFSET(A$1,,,SUMPRODUCT(MAX(ROW(E$1:E2146)*(E2=E$1:E2146))))))</f>
        <v> </v>
      </c>
      <c r="K2147" s="25" t="str">
        <f>IF(OR(E2147="",E2147="!!!",F2147="NEW"),"",INDEX(J$1:J2146,SUMPRODUCT(MAX(ROW(E$1:E2146)*(E2147=E$1:E2146)))))</f>
        <v> </v>
      </c>
      <c r="L2147" s="26"/>
    </row>
    <row r="2148" spans="1:12">
      <c r="A2148" s="20" t="s">
        <v>745</v>
      </c>
      <c r="E2148" s="21">
        <f>IF(D2148="?OLD","!!!","")</f>
        <v/>
      </c>
      <c r="F2148" s="22" t="str">
        <f>IF(OR(E2148="",E2148="!!!"),"",IF(NOT(ISNA(VLOOKUP(E2148,E$1:E2147,1,FALSE()))),"OLD",IF(AND(E2148&lt;&gt;"",E2148&lt;&gt;"!!!"),"NEW","")))</f>
        <v> </v>
      </c>
      <c r="G2148" s="23" t="str">
        <f>IF(OR(E2148="",E2148="!!!"),"",IF(OR(J2148=0,AND(J2148=1,K2148=1),AND(J2148=1,I2148="SBJ"),AND(J2148=1,I2148=0)),"?IN_FOCUS",IF(J2148&lt;=2,"?ACTIVATED",IF(J2148&lt;&gt;"","?FAMILIAR",IF(F2148="NEW",IF(ISNA(VLOOKUP(E2148,#REF!,1,FALSE())),"?TYPE_IDENTIFIABLE","?REFERENTIAL"),"_")))))</f>
        <v> </v>
      </c>
      <c r="H2148" s="24" t="str">
        <f>IF(J2148&lt;&gt;1,"",IF(I2148="SBJ","CB","?"))</f>
        <v> </v>
      </c>
      <c r="I2148" s="25" t="str">
        <f>IF(OR(E2148="",E2148="!!!",F2148="NEW"),"",INDEX(B2147:B$2,-1+SUMPRODUCT(MAX(ROW(E2147:E$2)*(E2148=E2147:E$2)))))</f>
        <v> </v>
      </c>
      <c r="J2148" s="25" t="str">
        <f>IF(OR(E2148="",E2148="!!!",F2148="NEW"),"",COUNTBLANK(OFFSET(A$1,,,SUMPRODUCT(MAX(ROW(E$2:E2148)*(E2148=E$2:E2148)))))-COUNTBLANK(OFFSET(A$1,,,SUMPRODUCT(MAX(ROW(E$1:E2147)*(E2=E$1:E2147))))))</f>
        <v> </v>
      </c>
      <c r="K2148" s="25" t="str">
        <f>IF(OR(E2148="",E2148="!!!",F2148="NEW"),"",INDEX(J$1:J2147,SUMPRODUCT(MAX(ROW(E$1:E2147)*(E2148=E$1:E2147)))))</f>
        <v> </v>
      </c>
      <c r="L2148" s="26"/>
    </row>
    <row r="2149" spans="1:12">
      <c r="A2149" s="20" t="s">
        <v>707</v>
      </c>
      <c r="E2149" s="21">
        <f>IF(D2149="?OLD","!!!","")</f>
        <v/>
      </c>
      <c r="F2149" s="22" t="str">
        <f>IF(OR(E2149="",E2149="!!!"),"",IF(NOT(ISNA(VLOOKUP(E2149,E$1:E2148,1,FALSE()))),"OLD",IF(AND(E2149&lt;&gt;"",E2149&lt;&gt;"!!!"),"NEW","")))</f>
        <v> </v>
      </c>
      <c r="G2149" s="23" t="str">
        <f>IF(OR(E2149="",E2149="!!!"),"",IF(OR(J2149=0,AND(J2149=1,K2149=1),AND(J2149=1,I2149="SBJ"),AND(J2149=1,I2149=0)),"?IN_FOCUS",IF(J2149&lt;=2,"?ACTIVATED",IF(J2149&lt;&gt;"","?FAMILIAR",IF(F2149="NEW",IF(ISNA(VLOOKUP(E2149,#REF!,1,FALSE())),"?TYPE_IDENTIFIABLE","?REFERENTIAL"),"_")))))</f>
        <v> </v>
      </c>
      <c r="H2149" s="24" t="str">
        <f>IF(J2149&lt;&gt;1,"",IF(I2149="SBJ","CB","?"))</f>
        <v> </v>
      </c>
      <c r="I2149" s="25" t="str">
        <f>IF(OR(E2149="",E2149="!!!",F2149="NEW"),"",INDEX(B2148:B$2,-1+SUMPRODUCT(MAX(ROW(E2148:E$2)*(E2149=E2148:E$2)))))</f>
        <v> </v>
      </c>
      <c r="J2149" s="25" t="str">
        <f>IF(OR(E2149="",E2149="!!!",F2149="NEW"),"",COUNTBLANK(OFFSET(A$1,,,SUMPRODUCT(MAX(ROW(E$2:E2149)*(E2149=E$2:E2149)))))-COUNTBLANK(OFFSET(A$1,,,SUMPRODUCT(MAX(ROW(E$1:E2148)*(E2=E$1:E2148))))))</f>
        <v> </v>
      </c>
      <c r="K2149" s="25" t="str">
        <f>IF(OR(E2149="",E2149="!!!",F2149="NEW"),"",INDEX(J$1:J2148,SUMPRODUCT(MAX(ROW(E$1:E2148)*(E2149=E$1:E2148)))))</f>
        <v> </v>
      </c>
      <c r="L2149" s="26"/>
    </row>
    <row r="2150" spans="1:12">
      <c r="A2150" s="20" t="s">
        <v>658</v>
      </c>
      <c r="E2150" s="21">
        <f>IF(D2150="?OLD","!!!","")</f>
        <v/>
      </c>
      <c r="F2150" s="22" t="str">
        <f>IF(OR(E2150="",E2150="!!!"),"",IF(NOT(ISNA(VLOOKUP(E2150,E$1:E2149,1,FALSE()))),"OLD",IF(AND(E2150&lt;&gt;"",E2150&lt;&gt;"!!!"),"NEW","")))</f>
        <v> </v>
      </c>
      <c r="G2150" s="23" t="str">
        <f>IF(OR(E2150="",E2150="!!!"),"",IF(OR(J2150=0,AND(J2150=1,K2150=1),AND(J2150=1,I2150="SBJ"),AND(J2150=1,I2150=0)),"?IN_FOCUS",IF(J2150&lt;=2,"?ACTIVATED",IF(J2150&lt;&gt;"","?FAMILIAR",IF(F2150="NEW",IF(ISNA(VLOOKUP(E2150,#REF!,1,FALSE())),"?TYPE_IDENTIFIABLE","?REFERENTIAL"),"_")))))</f>
        <v> </v>
      </c>
      <c r="H2150" s="24" t="str">
        <f>IF(J2150&lt;&gt;1,"",IF(I2150="SBJ","CB","?"))</f>
        <v> </v>
      </c>
      <c r="I2150" s="25" t="str">
        <f>IF(OR(E2150="",E2150="!!!",F2150="NEW"),"",INDEX(B2149:B$2,-1+SUMPRODUCT(MAX(ROW(E2149:E$2)*(E2150=E2149:E$2)))))</f>
        <v> </v>
      </c>
      <c r="J2150" s="25" t="str">
        <f>IF(OR(E2150="",E2150="!!!",F2150="NEW"),"",COUNTBLANK(OFFSET(A$1,,,SUMPRODUCT(MAX(ROW(E$2:E2150)*(E2150=E$2:E2150)))))-COUNTBLANK(OFFSET(A$1,,,SUMPRODUCT(MAX(ROW(E$1:E2149)*(E2=E$1:E2149))))))</f>
        <v> </v>
      </c>
      <c r="K2150" s="25" t="str">
        <f>IF(OR(E2150="",E2150="!!!",F2150="NEW"),"",INDEX(J$1:J2149,SUMPRODUCT(MAX(ROW(E$1:E2149)*(E2150=E$1:E2149)))))</f>
        <v> </v>
      </c>
      <c r="L2150" s="26"/>
    </row>
    <row r="2151" spans="1:12">
      <c r="A2151" s="20" t="s">
        <v>759</v>
      </c>
      <c r="E2151" s="21">
        <f>IF(D2151="?OLD","!!!","")</f>
        <v/>
      </c>
      <c r="F2151" s="22" t="str">
        <f>IF(OR(E2151="",E2151="!!!"),"",IF(NOT(ISNA(VLOOKUP(E2151,E$1:E2150,1,FALSE()))),"OLD",IF(AND(E2151&lt;&gt;"",E2151&lt;&gt;"!!!"),"NEW","")))</f>
        <v> </v>
      </c>
      <c r="G2151" s="23" t="str">
        <f>IF(OR(E2151="",E2151="!!!"),"",IF(OR(J2151=0,AND(J2151=1,K2151=1),AND(J2151=1,I2151="SBJ"),AND(J2151=1,I2151=0)),"?IN_FOCUS",IF(J2151&lt;=2,"?ACTIVATED",IF(J2151&lt;&gt;"","?FAMILIAR",IF(F2151="NEW",IF(ISNA(VLOOKUP(E2151,#REF!,1,FALSE())),"?TYPE_IDENTIFIABLE","?REFERENTIAL"),"_")))))</f>
        <v> </v>
      </c>
      <c r="H2151" s="24" t="str">
        <f>IF(J2151&lt;&gt;1,"",IF(I2151="SBJ","CB","?"))</f>
        <v> </v>
      </c>
      <c r="I2151" s="25" t="str">
        <f>IF(OR(E2151="",E2151="!!!",F2151="NEW"),"",INDEX(B2150:B$2,-1+SUMPRODUCT(MAX(ROW(E2150:E$2)*(E2151=E2150:E$2)))))</f>
        <v> </v>
      </c>
      <c r="J2151" s="25" t="str">
        <f>IF(OR(E2151="",E2151="!!!",F2151="NEW"),"",COUNTBLANK(OFFSET(A$1,,,SUMPRODUCT(MAX(ROW(E$2:E2151)*(E2151=E$2:E2151)))))-COUNTBLANK(OFFSET(A$1,,,SUMPRODUCT(MAX(ROW(E$1:E2150)*(E2=E$1:E2150))))))</f>
        <v> </v>
      </c>
      <c r="K2151" s="25" t="str">
        <f>IF(OR(E2151="",E2151="!!!",F2151="NEW"),"",INDEX(J$1:J2150,SUMPRODUCT(MAX(ROW(E$1:E2150)*(E2151=E$1:E2150)))))</f>
        <v> </v>
      </c>
      <c r="L2151" s="26"/>
    </row>
    <row r="2152" spans="1:12">
      <c r="A2152" s="20" t="s">
        <v>603</v>
      </c>
      <c r="E2152" s="21">
        <f>IF(D2152="?OLD","!!!","")</f>
        <v/>
      </c>
      <c r="F2152" s="22" t="str">
        <f>IF(OR(E2152="",E2152="!!!"),"",IF(NOT(ISNA(VLOOKUP(E2152,E$1:E2151,1,FALSE()))),"OLD",IF(AND(E2152&lt;&gt;"",E2152&lt;&gt;"!!!"),"NEW","")))</f>
        <v> </v>
      </c>
      <c r="G2152" s="23" t="str">
        <f>IF(OR(E2152="",E2152="!!!"),"",IF(OR(J2152=0,AND(J2152=1,K2152=1),AND(J2152=1,I2152="SBJ"),AND(J2152=1,I2152=0)),"?IN_FOCUS",IF(J2152&lt;=2,"?ACTIVATED",IF(J2152&lt;&gt;"","?FAMILIAR",IF(F2152="NEW",IF(ISNA(VLOOKUP(E2152,#REF!,1,FALSE())),"?TYPE_IDENTIFIABLE","?REFERENTIAL"),"_")))))</f>
        <v> </v>
      </c>
      <c r="H2152" s="24" t="str">
        <f>IF(J2152&lt;&gt;1,"",IF(I2152="SBJ","CB","?"))</f>
        <v> </v>
      </c>
      <c r="I2152" s="25" t="str">
        <f>IF(OR(E2152="",E2152="!!!",F2152="NEW"),"",INDEX(B2151:B$2,-1+SUMPRODUCT(MAX(ROW(E2151:E$2)*(E2152=E2151:E$2)))))</f>
        <v> </v>
      </c>
      <c r="J2152" s="25" t="str">
        <f>IF(OR(E2152="",E2152="!!!",F2152="NEW"),"",COUNTBLANK(OFFSET(A$1,,,SUMPRODUCT(MAX(ROW(E$2:E2152)*(E2152=E$2:E2152)))))-COUNTBLANK(OFFSET(A$1,,,SUMPRODUCT(MAX(ROW(E$1:E2151)*(E2=E$1:E2151))))))</f>
        <v> </v>
      </c>
      <c r="K2152" s="25" t="str">
        <f>IF(OR(E2152="",E2152="!!!",F2152="NEW"),"",INDEX(J$1:J2151,SUMPRODUCT(MAX(ROW(E$1:E2151)*(E2152=E$1:E2151)))))</f>
        <v> </v>
      </c>
      <c r="L2152" s="26"/>
    </row>
    <row r="2153" spans="1:12">
      <c r="A2153" s="20" t="s">
        <v>1410</v>
      </c>
      <c r="E2153" s="21">
        <f>IF(D2153="?OLD","!!!","")</f>
        <v/>
      </c>
      <c r="F2153" s="22" t="str">
        <f>IF(OR(E2153="",E2153="!!!"),"",IF(NOT(ISNA(VLOOKUP(E2153,E$1:E2152,1,FALSE()))),"OLD",IF(AND(E2153&lt;&gt;"",E2153&lt;&gt;"!!!"),"NEW","")))</f>
        <v> </v>
      </c>
      <c r="G2153" s="23" t="str">
        <f>IF(OR(E2153="",E2153="!!!"),"",IF(OR(J2153=0,AND(J2153=1,K2153=1),AND(J2153=1,I2153="SBJ"),AND(J2153=1,I2153=0)),"?IN_FOCUS",IF(J2153&lt;=2,"?ACTIVATED",IF(J2153&lt;&gt;"","?FAMILIAR",IF(F2153="NEW",IF(ISNA(VLOOKUP(E2153,#REF!,1,FALSE())),"?TYPE_IDENTIFIABLE","?REFERENTIAL"),"_")))))</f>
        <v> </v>
      </c>
      <c r="H2153" s="24" t="str">
        <f>IF(J2153&lt;&gt;1,"",IF(I2153="SBJ","CB","?"))</f>
        <v> </v>
      </c>
      <c r="I2153" s="25" t="str">
        <f>IF(OR(E2153="",E2153="!!!",F2153="NEW"),"",INDEX(B2152:B$2,-1+SUMPRODUCT(MAX(ROW(E2152:E$2)*(E2153=E2152:E$2)))))</f>
        <v> </v>
      </c>
      <c r="J2153" s="25" t="str">
        <f>IF(OR(E2153="",E2153="!!!",F2153="NEW"),"",COUNTBLANK(OFFSET(A$1,,,SUMPRODUCT(MAX(ROW(E$2:E2153)*(E2153=E$2:E2153)))))-COUNTBLANK(OFFSET(A$1,,,SUMPRODUCT(MAX(ROW(E$1:E2152)*(E2=E$1:E2152))))))</f>
        <v> </v>
      </c>
      <c r="K2153" s="25" t="str">
        <f>IF(OR(E2153="",E2153="!!!",F2153="NEW"),"",INDEX(J$1:J2152,SUMPRODUCT(MAX(ROW(E$1:E2152)*(E2153=E$1:E2152)))))</f>
        <v> </v>
      </c>
      <c r="L2153" s="26"/>
    </row>
    <row r="2154" spans="1:12">
      <c r="A2154" s="20" t="s">
        <v>1411</v>
      </c>
      <c r="E2154" s="21">
        <f>IF(D2154="?OLD","!!!","")</f>
        <v/>
      </c>
      <c r="F2154" s="22" t="str">
        <f>IF(OR(E2154="",E2154="!!!"),"",IF(NOT(ISNA(VLOOKUP(E2154,E$1:E2153,1,FALSE()))),"OLD",IF(AND(E2154&lt;&gt;"",E2154&lt;&gt;"!!!"),"NEW","")))</f>
        <v> </v>
      </c>
      <c r="G2154" s="23" t="str">
        <f>IF(OR(E2154="",E2154="!!!"),"",IF(OR(J2154=0,AND(J2154=1,K2154=1),AND(J2154=1,I2154="SBJ"),AND(J2154=1,I2154=0)),"?IN_FOCUS",IF(J2154&lt;=2,"?ACTIVATED",IF(J2154&lt;&gt;"","?FAMILIAR",IF(F2154="NEW",IF(ISNA(VLOOKUP(E2154,#REF!,1,FALSE())),"?TYPE_IDENTIFIABLE","?REFERENTIAL"),"_")))))</f>
        <v> </v>
      </c>
      <c r="H2154" s="24" t="str">
        <f>IF(J2154&lt;&gt;1,"",IF(I2154="SBJ","CB","?"))</f>
        <v> </v>
      </c>
      <c r="I2154" s="25" t="str">
        <f>IF(OR(E2154="",E2154="!!!",F2154="NEW"),"",INDEX(B2153:B$2,-1+SUMPRODUCT(MAX(ROW(E2153:E$2)*(E2154=E2153:E$2)))))</f>
        <v> </v>
      </c>
      <c r="J2154" s="25" t="str">
        <f>IF(OR(E2154="",E2154="!!!",F2154="NEW"),"",COUNTBLANK(OFFSET(A$1,,,SUMPRODUCT(MAX(ROW(E$2:E2154)*(E2154=E$2:E2154)))))-COUNTBLANK(OFFSET(A$1,,,SUMPRODUCT(MAX(ROW(E$1:E2153)*(E2=E$1:E2153))))))</f>
        <v> </v>
      </c>
      <c r="K2154" s="25" t="str">
        <f>IF(OR(E2154="",E2154="!!!",F2154="NEW"),"",INDEX(J$1:J2153,SUMPRODUCT(MAX(ROW(E$1:E2153)*(E2154=E$1:E2153)))))</f>
        <v> </v>
      </c>
      <c r="L2154" s="26"/>
    </row>
    <row r="2155" spans="1:12">
      <c r="A2155" s="20" t="s">
        <v>1412</v>
      </c>
      <c r="B2155" s="27" t="s">
        <v>606</v>
      </c>
      <c r="C2155" s="27" t="s">
        <v>607</v>
      </c>
      <c r="D2155" s="27" t="s">
        <v>608</v>
      </c>
      <c r="E2155" s="21">
        <f>IF(D2155="?OLD","!!!","")</f>
        <v/>
      </c>
      <c r="F2155" s="22" t="str">
        <f>IF(OR(E2155="",E2155="!!!"),"",IF(NOT(ISNA(VLOOKUP(E2155,E$1:E2154,1,FALSE()))),"OLD",IF(AND(E2155&lt;&gt;"",E2155&lt;&gt;"!!!"),"NEW","")))</f>
        <v> </v>
      </c>
      <c r="G2155" s="23" t="str">
        <f>IF(OR(E2155="",E2155="!!!"),"",IF(OR(J2155=0,AND(J2155=1,K2155=1),AND(J2155=1,I2155="SBJ"),AND(J2155=1,I2155=0)),"?IN_FOCUS",IF(J2155&lt;=2,"?ACTIVATED",IF(J2155&lt;&gt;"","?FAMILIAR",IF(F2155="NEW",IF(ISNA(VLOOKUP(E2155,#REF!,1,FALSE())),"?TYPE_IDENTIFIABLE","?REFERENTIAL"),"_")))))</f>
        <v> </v>
      </c>
      <c r="H2155" s="24" t="str">
        <f>IF(J2155&lt;&gt;1,"",IF(I2155="SBJ","CB","?"))</f>
        <v> </v>
      </c>
      <c r="I2155" s="25" t="str">
        <f>IF(OR(E2155="",E2155="!!!",F2155="NEW"),"",INDEX(B2154:B$2,-1+SUMPRODUCT(MAX(ROW(E2154:E$2)*(E2155=E2154:E$2)))))</f>
        <v> </v>
      </c>
      <c r="J2155" s="25" t="str">
        <f>IF(OR(E2155="",E2155="!!!",F2155="NEW"),"",COUNTBLANK(OFFSET(A$1,,,SUMPRODUCT(MAX(ROW(E$2:E2155)*(E2155=E$2:E2155)))))-COUNTBLANK(OFFSET(A$1,,,SUMPRODUCT(MAX(ROW(E$1:E2154)*(E2=E$1:E2154))))))</f>
        <v> </v>
      </c>
      <c r="K2155" s="25" t="str">
        <f>IF(OR(E2155="",E2155="!!!",F2155="NEW"),"",INDEX(J$1:J2154,SUMPRODUCT(MAX(ROW(E$1:E2154)*(E2155=E$1:E2154)))))</f>
        <v> </v>
      </c>
      <c r="L2155" s="26"/>
    </row>
    <row r="2156" spans="1:12">
      <c r="A2156" s="20" t="s">
        <v>633</v>
      </c>
      <c r="E2156" s="21">
        <f>IF(D2156="?OLD","!!!","")</f>
        <v/>
      </c>
      <c r="F2156" s="22" t="str">
        <f>IF(OR(E2156="",E2156="!!!"),"",IF(NOT(ISNA(VLOOKUP(E2156,E$1:E2155,1,FALSE()))),"OLD",IF(AND(E2156&lt;&gt;"",E2156&lt;&gt;"!!!"),"NEW","")))</f>
        <v> </v>
      </c>
      <c r="G2156" s="23" t="str">
        <f>IF(OR(E2156="",E2156="!!!"),"",IF(OR(J2156=0,AND(J2156=1,K2156=1),AND(J2156=1,I2156="SBJ"),AND(J2156=1,I2156=0)),"?IN_FOCUS",IF(J2156&lt;=2,"?ACTIVATED",IF(J2156&lt;&gt;"","?FAMILIAR",IF(F2156="NEW",IF(ISNA(VLOOKUP(E2156,#REF!,1,FALSE())),"?TYPE_IDENTIFIABLE","?REFERENTIAL"),"_")))))</f>
        <v> </v>
      </c>
      <c r="H2156" s="24" t="str">
        <f>IF(J2156&lt;&gt;1,"",IF(I2156="SBJ","CB","?"))</f>
        <v> </v>
      </c>
      <c r="I2156" s="25" t="str">
        <f>IF(OR(E2156="",E2156="!!!",F2156="NEW"),"",INDEX(B2155:B$2,-1+SUMPRODUCT(MAX(ROW(E2155:E$2)*(E2156=E2155:E$2)))))</f>
        <v> </v>
      </c>
      <c r="J2156" s="25" t="str">
        <f>IF(OR(E2156="",E2156="!!!",F2156="NEW"),"",COUNTBLANK(OFFSET(A$1,,,SUMPRODUCT(MAX(ROW(E$2:E2156)*(E2156=E$2:E2156)))))-COUNTBLANK(OFFSET(A$1,,,SUMPRODUCT(MAX(ROW(E$1:E2155)*(E2=E$1:E2155))))))</f>
        <v> </v>
      </c>
      <c r="K2156" s="25" t="str">
        <f>IF(OR(E2156="",E2156="!!!",F2156="NEW"),"",INDEX(J$1:J2155,SUMPRODUCT(MAX(ROW(E$1:E2155)*(E2156=E$1:E2155)))))</f>
        <v> </v>
      </c>
      <c r="L2156" s="26"/>
    </row>
    <row r="2157" spans="1:12">
      <c r="A2157" s="20"/>
    </row>
    <row r="2158" spans="1:12">
      <c r="A2158" s="20" t="s">
        <v>1212</v>
      </c>
      <c r="E2158" s="21">
        <f>IF(D2158="?OLD","!!!","")</f>
        <v/>
      </c>
      <c r="F2158" s="22" t="str">
        <f>IF(OR(E2158="",E2158="!!!"),"",IF(NOT(ISNA(VLOOKUP(E2158,E$1:E2157,1,FALSE()))),"OLD",IF(AND(E2158&lt;&gt;"",E2158&lt;&gt;"!!!"),"NEW","")))</f>
        <v> </v>
      </c>
      <c r="G2158" s="23" t="str">
        <f>IF(OR(E2158="",E2158="!!!"),"",IF(OR(J2158=0,AND(J2158=1,K2158=1),AND(J2158=1,I2158="SBJ"),AND(J2158=1,I2158=0)),"?IN_FOCUS",IF(J2158&lt;=2,"?ACTIVATED",IF(J2158&lt;&gt;"","?FAMILIAR",IF(F2158="NEW",IF(ISNA(VLOOKUP(E2158,#REF!,1,FALSE())),"?TYPE_IDENTIFIABLE","?REFERENTIAL"),"_")))))</f>
        <v> </v>
      </c>
      <c r="H2158" s="24" t="str">
        <f>IF(J2158&lt;&gt;1,"",IF(I2158="SBJ","CB","?"))</f>
        <v> </v>
      </c>
      <c r="I2158" s="25" t="str">
        <f>IF(OR(E2158="",E2158="!!!",F2158="NEW"),"",INDEX(B2157:B$2,-1+SUMPRODUCT(MAX(ROW(E2157:E$2)*(E2158=E2157:E$2)))))</f>
        <v> </v>
      </c>
      <c r="J2158" s="25" t="str">
        <f>IF(OR(E2158="",E2158="!!!",F2158="NEW"),"",COUNTBLANK(OFFSET(A$1,,,SUMPRODUCT(MAX(ROW(E$2:E2158)*(E2158=E$2:E2158)))))-COUNTBLANK(OFFSET(A$1,,,SUMPRODUCT(MAX(ROW(E$1:E2157)*(E2=E$1:E2157))))))</f>
        <v> </v>
      </c>
      <c r="K2158" s="25" t="str">
        <f>IF(OR(E2158="",E2158="!!!",F2158="NEW"),"",INDEX(J$1:J2157,SUMPRODUCT(MAX(ROW(E$1:E2157)*(E2158=E$1:E2157)))))</f>
        <v> </v>
      </c>
      <c r="L2158" s="26"/>
    </row>
    <row r="2159" spans="1:12">
      <c r="A2159" s="20" t="s">
        <v>1413</v>
      </c>
    </row>
    <row r="2160" spans="1:12">
      <c r="A2160" s="20" t="s">
        <v>1250</v>
      </c>
      <c r="E2160" s="21">
        <f>IF(D2160="?OLD","!!!","")</f>
        <v/>
      </c>
      <c r="F2160" s="22" t="str">
        <f>IF(OR(E2160="",E2160="!!!"),"",IF(NOT(ISNA(VLOOKUP(E2160,E$1:E2159,1,FALSE()))),"OLD",IF(AND(E2160&lt;&gt;"",E2160&lt;&gt;"!!!"),"NEW","")))</f>
        <v> </v>
      </c>
      <c r="G2160" s="23" t="str">
        <f>IF(OR(E2160="",E2160="!!!"),"",IF(OR(J2160=0,AND(J2160=1,K2160=1),AND(J2160=1,I2160="SBJ"),AND(J2160=1,I2160=0)),"?IN_FOCUS",IF(J2160&lt;=2,"?ACTIVATED",IF(J2160&lt;&gt;"","?FAMILIAR",IF(F2160="NEW",IF(ISNA(VLOOKUP(E2160,#REF!,1,FALSE())),"?TYPE_IDENTIFIABLE","?REFERENTIAL"),"_")))))</f>
        <v> </v>
      </c>
      <c r="H2160" s="24" t="str">
        <f>IF(J2160&lt;&gt;1,"",IF(I2160="SBJ","CB","?"))</f>
        <v> </v>
      </c>
      <c r="I2160" s="25" t="str">
        <f>IF(OR(E2160="",E2160="!!!",F2160="NEW"),"",INDEX(B2159:B$2,-1+SUMPRODUCT(MAX(ROW(E2159:E$2)*(E2160=E2159:E$2)))))</f>
        <v> </v>
      </c>
      <c r="J2160" s="25" t="str">
        <f>IF(OR(E2160="",E2160="!!!",F2160="NEW"),"",COUNTBLANK(OFFSET(A$1,,,SUMPRODUCT(MAX(ROW(E$2:E2160)*(E2160=E$2:E2160)))))-COUNTBLANK(OFFSET(A$1,,,SUMPRODUCT(MAX(ROW(E$1:E2159)*(E2=E$1:E2159))))))</f>
        <v> </v>
      </c>
      <c r="K2160" s="25" t="str">
        <f>IF(OR(E2160="",E2160="!!!",F2160="NEW"),"",INDEX(J$1:J2159,SUMPRODUCT(MAX(ROW(E$1:E2159)*(E2160=E$1:E2159)))))</f>
        <v> </v>
      </c>
      <c r="L2160" s="26"/>
    </row>
    <row r="2161" spans="1:12">
      <c r="A2161" s="20" t="s">
        <v>1414</v>
      </c>
      <c r="B2161" s="27" t="s">
        <v>636</v>
      </c>
      <c r="C2161" s="27" t="s">
        <v>631</v>
      </c>
      <c r="D2161" s="27" t="s">
        <v>608</v>
      </c>
      <c r="E2161" s="21">
        <f>IF(D2161="?OLD","!!!","")</f>
        <v/>
      </c>
      <c r="F2161" s="22" t="str">
        <f>IF(OR(E2161="",E2161="!!!"),"",IF(NOT(ISNA(VLOOKUP(E2161,E$1:E2160,1,FALSE()))),"OLD",IF(AND(E2161&lt;&gt;"",E2161&lt;&gt;"!!!"),"NEW","")))</f>
        <v> </v>
      </c>
      <c r="G2161" s="23" t="str">
        <f>IF(OR(E2161="",E2161="!!!"),"",IF(OR(J2161=0,AND(J2161=1,K2161=1),AND(J2161=1,I2161="SBJ"),AND(J2161=1,I2161=0)),"?IN_FOCUS",IF(J2161&lt;=2,"?ACTIVATED",IF(J2161&lt;&gt;"","?FAMILIAR",IF(F2161="NEW",IF(ISNA(VLOOKUP(E2161,#REF!,1,FALSE())),"?TYPE_IDENTIFIABLE","?REFERENTIAL"),"_")))))</f>
        <v> </v>
      </c>
      <c r="H2161" s="24" t="str">
        <f>IF(J2161&lt;&gt;1,"",IF(I2161="SBJ","CB","?"))</f>
        <v> </v>
      </c>
      <c r="I2161" s="25" t="str">
        <f>IF(OR(E2161="",E2161="!!!",F2161="NEW"),"",INDEX(B2160:B$2,-1+SUMPRODUCT(MAX(ROW(E2160:E$2)*(E2161=E2160:E$2)))))</f>
        <v> </v>
      </c>
      <c r="J2161" s="25" t="str">
        <f>IF(OR(E2161="",E2161="!!!",F2161="NEW"),"",COUNTBLANK(OFFSET(A$1,,,SUMPRODUCT(MAX(ROW(E$2:E2161)*(E2161=E$2:E2161)))))-COUNTBLANK(OFFSET(A$1,,,SUMPRODUCT(MAX(ROW(E$1:E2160)*(E2=E$1:E2160))))))</f>
        <v> </v>
      </c>
      <c r="K2161" s="25" t="str">
        <f>IF(OR(E2161="",E2161="!!!",F2161="NEW"),"",INDEX(J$1:J2160,SUMPRODUCT(MAX(ROW(E$1:E2160)*(E2161=E$1:E2160)))))</f>
        <v> </v>
      </c>
      <c r="L2161" s="26"/>
    </row>
    <row r="2162" spans="1:12">
      <c r="A2162" s="20" t="s">
        <v>12</v>
      </c>
      <c r="E2162" s="21">
        <f>IF(D2162="?OLD","!!!","")</f>
        <v/>
      </c>
      <c r="F2162" s="22" t="str">
        <f>IF(OR(E2162="",E2162="!!!"),"",IF(NOT(ISNA(VLOOKUP(E2162,E$1:E2161,1,FALSE()))),"OLD",IF(AND(E2162&lt;&gt;"",E2162&lt;&gt;"!!!"),"NEW","")))</f>
        <v> </v>
      </c>
      <c r="G2162" s="23" t="str">
        <f>IF(OR(E2162="",E2162="!!!"),"",IF(OR(J2162=0,AND(J2162=1,K2162=1),AND(J2162=1,I2162="SBJ"),AND(J2162=1,I2162=0)),"?IN_FOCUS",IF(J2162&lt;=2,"?ACTIVATED",IF(J2162&lt;&gt;"","?FAMILIAR",IF(F2162="NEW",IF(ISNA(VLOOKUP(E2162,#REF!,1,FALSE())),"?TYPE_IDENTIFIABLE","?REFERENTIAL"),"_")))))</f>
        <v> </v>
      </c>
      <c r="H2162" s="24" t="str">
        <f>IF(J2162&lt;&gt;1,"",IF(I2162="SBJ","CB","?"))</f>
        <v> </v>
      </c>
      <c r="I2162" s="25" t="str">
        <f>IF(OR(E2162="",E2162="!!!",F2162="NEW"),"",INDEX(B2161:B$2,-1+SUMPRODUCT(MAX(ROW(E2161:E$2)*(E2162=E2161:E$2)))))</f>
        <v> </v>
      </c>
      <c r="J2162" s="25" t="str">
        <f>IF(OR(E2162="",E2162="!!!",F2162="NEW"),"",COUNTBLANK(OFFSET(A$1,,,SUMPRODUCT(MAX(ROW(E$2:E2162)*(E2162=E$2:E2162)))))-COUNTBLANK(OFFSET(A$1,,,SUMPRODUCT(MAX(ROW(E$1:E2161)*(E2=E$1:E2161))))))</f>
        <v> </v>
      </c>
      <c r="K2162" s="25" t="str">
        <f>IF(OR(E2162="",E2162="!!!",F2162="NEW"),"",INDEX(J$1:J2161,SUMPRODUCT(MAX(ROW(E$1:E2161)*(E2162=E$1:E2161)))))</f>
        <v> </v>
      </c>
      <c r="L2162" s="26"/>
    </row>
    <row r="2163" spans="1:12">
      <c r="A2163" s="20" t="s">
        <v>1415</v>
      </c>
      <c r="E2163" s="21">
        <f>IF(D2163="?OLD","!!!","")</f>
        <v/>
      </c>
      <c r="F2163" s="22" t="str">
        <f>IF(OR(E2163="",E2163="!!!"),"",IF(NOT(ISNA(VLOOKUP(E2163,E$1:E2162,1,FALSE()))),"OLD",IF(AND(E2163&lt;&gt;"",E2163&lt;&gt;"!!!"),"NEW","")))</f>
        <v> </v>
      </c>
      <c r="G2163" s="23" t="str">
        <f>IF(OR(E2163="",E2163="!!!"),"",IF(OR(J2163=0,AND(J2163=1,K2163=1),AND(J2163=1,I2163="SBJ"),AND(J2163=1,I2163=0)),"?IN_FOCUS",IF(J2163&lt;=2,"?ACTIVATED",IF(J2163&lt;&gt;"","?FAMILIAR",IF(F2163="NEW",IF(ISNA(VLOOKUP(E2163,#REF!,1,FALSE())),"?TYPE_IDENTIFIABLE","?REFERENTIAL"),"_")))))</f>
        <v> </v>
      </c>
      <c r="H2163" s="24" t="str">
        <f>IF(J2163&lt;&gt;1,"",IF(I2163="SBJ","CB","?"))</f>
        <v> </v>
      </c>
      <c r="I2163" s="25" t="str">
        <f>IF(OR(E2163="",E2163="!!!",F2163="NEW"),"",INDEX(B2162:B$2,-1+SUMPRODUCT(MAX(ROW(E2162:E$2)*(E2163=E2162:E$2)))))</f>
        <v> </v>
      </c>
      <c r="J2163" s="25" t="str">
        <f>IF(OR(E2163="",E2163="!!!",F2163="NEW"),"",COUNTBLANK(OFFSET(A$1,,,SUMPRODUCT(MAX(ROW(E$2:E2163)*(E2163=E$2:E2163)))))-COUNTBLANK(OFFSET(A$1,,,SUMPRODUCT(MAX(ROW(E$1:E2162)*(E2=E$1:E2162))))))</f>
        <v> </v>
      </c>
      <c r="K2163" s="25" t="str">
        <f>IF(OR(E2163="",E2163="!!!",F2163="NEW"),"",INDEX(J$1:J2162,SUMPRODUCT(MAX(ROW(E$1:E2162)*(E2163=E$1:E2162)))))</f>
        <v> </v>
      </c>
      <c r="L2163" s="26"/>
    </row>
    <row r="2164" spans="1:12">
      <c r="A2164" s="20" t="s">
        <v>1416</v>
      </c>
      <c r="E2164" s="21">
        <f>IF(D2164="?OLD","!!!","")</f>
        <v/>
      </c>
      <c r="F2164" s="22" t="str">
        <f>IF(OR(E2164="",E2164="!!!"),"",IF(NOT(ISNA(VLOOKUP(E2164,E$1:E2163,1,FALSE()))),"OLD",IF(AND(E2164&lt;&gt;"",E2164&lt;&gt;"!!!"),"NEW","")))</f>
        <v> </v>
      </c>
      <c r="G2164" s="23" t="str">
        <f>IF(OR(E2164="",E2164="!!!"),"",IF(OR(J2164=0,AND(J2164=1,K2164=1),AND(J2164=1,I2164="SBJ"),AND(J2164=1,I2164=0)),"?IN_FOCUS",IF(J2164&lt;=2,"?ACTIVATED",IF(J2164&lt;&gt;"","?FAMILIAR",IF(F2164="NEW",IF(ISNA(VLOOKUP(E2164,#REF!,1,FALSE())),"?TYPE_IDENTIFIABLE","?REFERENTIAL"),"_")))))</f>
        <v> </v>
      </c>
      <c r="H2164" s="24" t="str">
        <f>IF(J2164&lt;&gt;1,"",IF(I2164="SBJ","CB","?"))</f>
        <v> </v>
      </c>
      <c r="I2164" s="25" t="str">
        <f>IF(OR(E2164="",E2164="!!!",F2164="NEW"),"",INDEX(B2163:B$2,-1+SUMPRODUCT(MAX(ROW(E2163:E$2)*(E2164=E2163:E$2)))))</f>
        <v> </v>
      </c>
      <c r="J2164" s="25" t="str">
        <f>IF(OR(E2164="",E2164="!!!",F2164="NEW"),"",COUNTBLANK(OFFSET(A$1,,,SUMPRODUCT(MAX(ROW(E$2:E2164)*(E2164=E$2:E2164)))))-COUNTBLANK(OFFSET(A$1,,,SUMPRODUCT(MAX(ROW(E$1:E2163)*(E2=E$1:E2163))))))</f>
        <v> </v>
      </c>
      <c r="K2164" s="25" t="str">
        <f>IF(OR(E2164="",E2164="!!!",F2164="NEW"),"",INDEX(J$1:J2163,SUMPRODUCT(MAX(ROW(E$1:E2163)*(E2164=E$1:E2163)))))</f>
        <v> </v>
      </c>
      <c r="L2164" s="26"/>
    </row>
    <row r="2165" spans="1:12">
      <c r="A2165" s="20" t="s">
        <v>1417</v>
      </c>
      <c r="B2165" s="27" t="s">
        <v>611</v>
      </c>
      <c r="C2165" s="27" t="s">
        <v>616</v>
      </c>
      <c r="D2165" s="27" t="s">
        <v>608</v>
      </c>
      <c r="E2165" s="21">
        <f>IF(D2165="?OLD","!!!","")</f>
        <v/>
      </c>
      <c r="F2165" s="22" t="str">
        <f>IF(OR(E2165="",E2165="!!!"),"",IF(NOT(ISNA(VLOOKUP(E2165,E$1:E2164,1,FALSE()))),"OLD",IF(AND(E2165&lt;&gt;"",E2165&lt;&gt;"!!!"),"NEW","")))</f>
        <v> </v>
      </c>
      <c r="G2165" s="23" t="str">
        <f>IF(OR(E2165="",E2165="!!!"),"",IF(OR(J2165=0,AND(J2165=1,K2165=1),AND(J2165=1,I2165="SBJ"),AND(J2165=1,I2165=0)),"?IN_FOCUS",IF(J2165&lt;=2,"?ACTIVATED",IF(J2165&lt;&gt;"","?FAMILIAR",IF(F2165="NEW",IF(ISNA(VLOOKUP(E2165,#REF!,1,FALSE())),"?TYPE_IDENTIFIABLE","?REFERENTIAL"),"_")))))</f>
        <v> </v>
      </c>
      <c r="H2165" s="24" t="str">
        <f>IF(J2165&lt;&gt;1,"",IF(I2165="SBJ","CB","?"))</f>
        <v> </v>
      </c>
      <c r="I2165" s="25" t="str">
        <f>IF(OR(E2165="",E2165="!!!",F2165="NEW"),"",INDEX(B2164:B$2,-1+SUMPRODUCT(MAX(ROW(E2164:E$2)*(E2165=E2164:E$2)))))</f>
        <v> </v>
      </c>
      <c r="J2165" s="25" t="str">
        <f>IF(OR(E2165="",E2165="!!!",F2165="NEW"),"",COUNTBLANK(OFFSET(A$1,,,SUMPRODUCT(MAX(ROW(E$2:E2165)*(E2165=E$2:E2165)))))-COUNTBLANK(OFFSET(A$1,,,SUMPRODUCT(MAX(ROW(E$1:E2164)*(E2=E$1:E2164))))))</f>
        <v> </v>
      </c>
      <c r="K2165" s="25" t="str">
        <f>IF(OR(E2165="",E2165="!!!",F2165="NEW"),"",INDEX(J$1:J2164,SUMPRODUCT(MAX(ROW(E$1:E2164)*(E2165=E$1:E2164)))))</f>
        <v> </v>
      </c>
      <c r="L2165" s="26"/>
    </row>
    <row r="2166" spans="1:12">
      <c r="A2166" s="20" t="s">
        <v>1418</v>
      </c>
      <c r="E2166" s="21">
        <f>IF(D2166="?OLD","!!!","")</f>
        <v/>
      </c>
      <c r="F2166" s="22" t="str">
        <f>IF(OR(E2166="",E2166="!!!"),"",IF(NOT(ISNA(VLOOKUP(E2166,E$1:E2165,1,FALSE()))),"OLD",IF(AND(E2166&lt;&gt;"",E2166&lt;&gt;"!!!"),"NEW","")))</f>
        <v> </v>
      </c>
      <c r="G2166" s="23" t="str">
        <f>IF(OR(E2166="",E2166="!!!"),"",IF(OR(J2166=0,AND(J2166=1,K2166=1),AND(J2166=1,I2166="SBJ"),AND(J2166=1,I2166=0)),"?IN_FOCUS",IF(J2166&lt;=2,"?ACTIVATED",IF(J2166&lt;&gt;"","?FAMILIAR",IF(F2166="NEW",IF(ISNA(VLOOKUP(E2166,#REF!,1,FALSE())),"?TYPE_IDENTIFIABLE","?REFERENTIAL"),"_")))))</f>
        <v> </v>
      </c>
      <c r="H2166" s="24" t="str">
        <f>IF(J2166&lt;&gt;1,"",IF(I2166="SBJ","CB","?"))</f>
        <v> </v>
      </c>
      <c r="I2166" s="25" t="str">
        <f>IF(OR(E2166="",E2166="!!!",F2166="NEW"),"",INDEX(B2165:B$2,-1+SUMPRODUCT(MAX(ROW(E2165:E$2)*(E2166=E2165:E$2)))))</f>
        <v> </v>
      </c>
      <c r="J2166" s="25" t="str">
        <f>IF(OR(E2166="",E2166="!!!",F2166="NEW"),"",COUNTBLANK(OFFSET(A$1,,,SUMPRODUCT(MAX(ROW(E$2:E2166)*(E2166=E$2:E2166)))))-COUNTBLANK(OFFSET(A$1,,,SUMPRODUCT(MAX(ROW(E$1:E2165)*(E2=E$1:E2165))))))</f>
        <v> </v>
      </c>
      <c r="K2166" s="25" t="str">
        <f>IF(OR(E2166="",E2166="!!!",F2166="NEW"),"",INDEX(J$1:J2165,SUMPRODUCT(MAX(ROW(E$1:E2165)*(E2166=E$1:E2165)))))</f>
        <v> </v>
      </c>
      <c r="L2166" s="26"/>
    </row>
    <row r="2167" spans="1:12">
      <c r="A2167" s="20" t="s">
        <v>1006</v>
      </c>
      <c r="B2167" s="27" t="s">
        <v>611</v>
      </c>
      <c r="C2167" s="27" t="s">
        <v>614</v>
      </c>
      <c r="D2167" s="27" t="s">
        <v>608</v>
      </c>
      <c r="E2167" s="21">
        <f>IF(D2167="?OLD","!!!","")</f>
        <v/>
      </c>
      <c r="F2167" s="22" t="str">
        <f>IF(OR(E2167="",E2167="!!!"),"",IF(NOT(ISNA(VLOOKUP(E2167,E$1:E2166,1,FALSE()))),"OLD",IF(AND(E2167&lt;&gt;"",E2167&lt;&gt;"!!!"),"NEW","")))</f>
        <v> </v>
      </c>
      <c r="G2167" s="23" t="str">
        <f>IF(OR(E2167="",E2167="!!!"),"",IF(OR(J2167=0,AND(J2167=1,K2167=1),AND(J2167=1,I2167="SBJ"),AND(J2167=1,I2167=0)),"?IN_FOCUS",IF(J2167&lt;=2,"?ACTIVATED",IF(J2167&lt;&gt;"","?FAMILIAR",IF(F2167="NEW",IF(ISNA(VLOOKUP(E2167,#REF!,1,FALSE())),"?TYPE_IDENTIFIABLE","?REFERENTIAL"),"_")))))</f>
        <v> </v>
      </c>
      <c r="H2167" s="24" t="str">
        <f>IF(J2167&lt;&gt;1,"",IF(I2167="SBJ","CB","?"))</f>
        <v> </v>
      </c>
      <c r="I2167" s="25" t="str">
        <f>IF(OR(E2167="",E2167="!!!",F2167="NEW"),"",INDEX(B2166:B$2,-1+SUMPRODUCT(MAX(ROW(E2166:E$2)*(E2167=E2166:E$2)))))</f>
        <v> </v>
      </c>
      <c r="J2167" s="25" t="str">
        <f>IF(OR(E2167="",E2167="!!!",F2167="NEW"),"",COUNTBLANK(OFFSET(A$1,,,SUMPRODUCT(MAX(ROW(E$2:E2167)*(E2167=E$2:E2167)))))-COUNTBLANK(OFFSET(A$1,,,SUMPRODUCT(MAX(ROW(E$1:E2166)*(E2=E$1:E2166))))))</f>
        <v> </v>
      </c>
      <c r="K2167" s="25" t="str">
        <f>IF(OR(E2167="",E2167="!!!",F2167="NEW"),"",INDEX(J$1:J2166,SUMPRODUCT(MAX(ROW(E$1:E2166)*(E2167=E$1:E2166)))))</f>
        <v> </v>
      </c>
      <c r="L2167" s="26"/>
    </row>
    <row r="2168" spans="1:12">
      <c r="A2168" s="20" t="s">
        <v>1401</v>
      </c>
      <c r="B2168" s="27" t="s">
        <v>636</v>
      </c>
      <c r="C2168" s="27" t="s">
        <v>616</v>
      </c>
      <c r="D2168" s="27" t="s">
        <v>608</v>
      </c>
      <c r="E2168" s="21">
        <f>IF(D2168="?OLD","!!!","")</f>
        <v/>
      </c>
      <c r="F2168" s="22" t="str">
        <f>IF(OR(E2168="",E2168="!!!"),"",IF(NOT(ISNA(VLOOKUP(E2168,E$1:E2167,1,FALSE()))),"OLD",IF(AND(E2168&lt;&gt;"",E2168&lt;&gt;"!!!"),"NEW","")))</f>
        <v> </v>
      </c>
      <c r="G2168" s="23" t="str">
        <f>IF(OR(E2168="",E2168="!!!"),"",IF(OR(J2168=0,AND(J2168=1,K2168=1),AND(J2168=1,I2168="SBJ"),AND(J2168=1,I2168=0)),"?IN_FOCUS",IF(J2168&lt;=2,"?ACTIVATED",IF(J2168&lt;&gt;"","?FAMILIAR",IF(F2168="NEW",IF(ISNA(VLOOKUP(E2168,#REF!,1,FALSE())),"?TYPE_IDENTIFIABLE","?REFERENTIAL"),"_")))))</f>
        <v> </v>
      </c>
      <c r="H2168" s="24" t="str">
        <f>IF(J2168&lt;&gt;1,"",IF(I2168="SBJ","CB","?"))</f>
        <v> </v>
      </c>
      <c r="I2168" s="25" t="str">
        <f>IF(OR(E2168="",E2168="!!!",F2168="NEW"),"",INDEX(B2167:B$2,-1+SUMPRODUCT(MAX(ROW(E2167:E$2)*(E2168=E2167:E$2)))))</f>
        <v> </v>
      </c>
      <c r="J2168" s="25" t="str">
        <f>IF(OR(E2168="",E2168="!!!",F2168="NEW"),"",COUNTBLANK(OFFSET(A$1,,,SUMPRODUCT(MAX(ROW(E$2:E2168)*(E2168=E$2:E2168)))))-COUNTBLANK(OFFSET(A$1,,,SUMPRODUCT(MAX(ROW(E$1:E2167)*(E2=E$1:E2167))))))</f>
        <v> </v>
      </c>
      <c r="K2168" s="25" t="str">
        <f>IF(OR(E2168="",E2168="!!!",F2168="NEW"),"",INDEX(J$1:J2167,SUMPRODUCT(MAX(ROW(E$1:E2167)*(E2168=E$1:E2167)))))</f>
        <v> </v>
      </c>
      <c r="L2168" s="26"/>
    </row>
    <row r="2169" spans="1:12">
      <c r="A2169" s="20" t="s">
        <v>930</v>
      </c>
      <c r="E2169" s="21">
        <f>IF(D2169="?OLD","!!!","")</f>
        <v/>
      </c>
      <c r="F2169" s="22" t="str">
        <f>IF(OR(E2169="",E2169="!!!"),"",IF(NOT(ISNA(VLOOKUP(E2169,E$1:E2168,1,FALSE()))),"OLD",IF(AND(E2169&lt;&gt;"",E2169&lt;&gt;"!!!"),"NEW","")))</f>
        <v> </v>
      </c>
      <c r="G2169" s="23" t="str">
        <f>IF(OR(E2169="",E2169="!!!"),"",IF(OR(J2169=0,AND(J2169=1,K2169=1),AND(J2169=1,I2169="SBJ"),AND(J2169=1,I2169=0)),"?IN_FOCUS",IF(J2169&lt;=2,"?ACTIVATED",IF(J2169&lt;&gt;"","?FAMILIAR",IF(F2169="NEW",IF(ISNA(VLOOKUP(E2169,#REF!,1,FALSE())),"?TYPE_IDENTIFIABLE","?REFERENTIAL"),"_")))))</f>
        <v> </v>
      </c>
      <c r="H2169" s="24" t="str">
        <f>IF(J2169&lt;&gt;1,"",IF(I2169="SBJ","CB","?"))</f>
        <v> </v>
      </c>
      <c r="I2169" s="25" t="str">
        <f>IF(OR(E2169="",E2169="!!!",F2169="NEW"),"",INDEX(B2168:B$2,-1+SUMPRODUCT(MAX(ROW(E2168:E$2)*(E2169=E2168:E$2)))))</f>
        <v> </v>
      </c>
      <c r="J2169" s="25" t="str">
        <f>IF(OR(E2169="",E2169="!!!",F2169="NEW"),"",COUNTBLANK(OFFSET(A$1,,,SUMPRODUCT(MAX(ROW(E$2:E2169)*(E2169=E$2:E2169)))))-COUNTBLANK(OFFSET(A$1,,,SUMPRODUCT(MAX(ROW(E$1:E2168)*(E2=E$1:E2168))))))</f>
        <v> </v>
      </c>
      <c r="K2169" s="25" t="str">
        <f>IF(OR(E2169="",E2169="!!!",F2169="NEW"),"",INDEX(J$1:J2168,SUMPRODUCT(MAX(ROW(E$1:E2168)*(E2169=E$1:E2168)))))</f>
        <v> </v>
      </c>
      <c r="L2169" s="26"/>
    </row>
    <row r="2170" spans="1:12">
      <c r="A2170" s="20" t="s">
        <v>1216</v>
      </c>
      <c r="E2170" s="21">
        <f>IF(D2170="?OLD","!!!","")</f>
        <v/>
      </c>
      <c r="F2170" s="22" t="str">
        <f>IF(OR(E2170="",E2170="!!!"),"",IF(NOT(ISNA(VLOOKUP(E2170,E$1:E2169,1,FALSE()))),"OLD",IF(AND(E2170&lt;&gt;"",E2170&lt;&gt;"!!!"),"NEW","")))</f>
        <v> </v>
      </c>
      <c r="G2170" s="23" t="str">
        <f>IF(OR(E2170="",E2170="!!!"),"",IF(OR(J2170=0,AND(J2170=1,K2170=1),AND(J2170=1,I2170="SBJ"),AND(J2170=1,I2170=0)),"?IN_FOCUS",IF(J2170&lt;=2,"?ACTIVATED",IF(J2170&lt;&gt;"","?FAMILIAR",IF(F2170="NEW",IF(ISNA(VLOOKUP(E2170,#REF!,1,FALSE())),"?TYPE_IDENTIFIABLE","?REFERENTIAL"),"_")))))</f>
        <v> </v>
      </c>
      <c r="H2170" s="24" t="str">
        <f>IF(J2170&lt;&gt;1,"",IF(I2170="SBJ","CB","?"))</f>
        <v> </v>
      </c>
      <c r="I2170" s="25" t="str">
        <f>IF(OR(E2170="",E2170="!!!",F2170="NEW"),"",INDEX(B2169:B$2,-1+SUMPRODUCT(MAX(ROW(E2169:E$2)*(E2170=E2169:E$2)))))</f>
        <v> </v>
      </c>
      <c r="J2170" s="25" t="str">
        <f>IF(OR(E2170="",E2170="!!!",F2170="NEW"),"",COUNTBLANK(OFFSET(A$1,,,SUMPRODUCT(MAX(ROW(E$2:E2170)*(E2170=E$2:E2170)))))-COUNTBLANK(OFFSET(A$1,,,SUMPRODUCT(MAX(ROW(E$1:E2169)*(E2=E$1:E2169))))))</f>
        <v> </v>
      </c>
      <c r="K2170" s="25" t="str">
        <f>IF(OR(E2170="",E2170="!!!",F2170="NEW"),"",INDEX(J$1:J2169,SUMPRODUCT(MAX(ROW(E$1:E2169)*(E2170=E$1:E2169)))))</f>
        <v> </v>
      </c>
      <c r="L2170" s="26"/>
    </row>
    <row r="2171" spans="1:12">
      <c r="A2171" s="20" t="s">
        <v>938</v>
      </c>
      <c r="B2171" s="27" t="s">
        <v>619</v>
      </c>
      <c r="C2171" s="27" t="s">
        <v>626</v>
      </c>
      <c r="E2171" s="21">
        <f>IF(D2171="?OLD","!!!","")</f>
        <v/>
      </c>
      <c r="F2171" s="22" t="str">
        <f>IF(OR(E2171="",E2171="!!!"),"",IF(NOT(ISNA(VLOOKUP(E2171,E$1:E2170,1,FALSE()))),"OLD",IF(AND(E2171&lt;&gt;"",E2171&lt;&gt;"!!!"),"NEW","")))</f>
        <v> </v>
      </c>
      <c r="G2171" s="23" t="str">
        <f>IF(OR(E2171="",E2171="!!!"),"",IF(OR(J2171=0,AND(J2171=1,K2171=1),AND(J2171=1,I2171="SBJ"),AND(J2171=1,I2171=0)),"?IN_FOCUS",IF(J2171&lt;=2,"?ACTIVATED",IF(J2171&lt;&gt;"","?FAMILIAR",IF(F2171="NEW",IF(ISNA(VLOOKUP(E2171,#REF!,1,FALSE())),"?TYPE_IDENTIFIABLE","?REFERENTIAL"),"_")))))</f>
        <v> </v>
      </c>
      <c r="H2171" s="24" t="str">
        <f>IF(J2171&lt;&gt;1,"",IF(I2171="SBJ","CB","?"))</f>
        <v> </v>
      </c>
      <c r="I2171" s="25" t="str">
        <f>IF(OR(E2171="",E2171="!!!",F2171="NEW"),"",INDEX(B2170:B$2,-1+SUMPRODUCT(MAX(ROW(E2170:E$2)*(E2171=E2170:E$2)))))</f>
        <v> </v>
      </c>
      <c r="J2171" s="25" t="str">
        <f>IF(OR(E2171="",E2171="!!!",F2171="NEW"),"",COUNTBLANK(OFFSET(A$1,,,SUMPRODUCT(MAX(ROW(E$2:E2171)*(E2171=E$2:E2171)))))-COUNTBLANK(OFFSET(A$1,,,SUMPRODUCT(MAX(ROW(E$1:E2170)*(E2=E$1:E2170))))))</f>
        <v> </v>
      </c>
      <c r="K2171" s="25" t="str">
        <f>IF(OR(E2171="",E2171="!!!",F2171="NEW"),"",INDEX(J$1:J2170,SUMPRODUCT(MAX(ROW(E$1:E2170)*(E2171=E$1:E2170)))))</f>
        <v> </v>
      </c>
      <c r="L2171" s="26"/>
    </row>
    <row r="2172" spans="1:12">
      <c r="A2172" s="20" t="s">
        <v>609</v>
      </c>
      <c r="E2172" s="21">
        <f>IF(D2172="?OLD","!!!","")</f>
        <v/>
      </c>
      <c r="F2172" s="22" t="str">
        <f>IF(OR(E2172="",E2172="!!!"),"",IF(NOT(ISNA(VLOOKUP(E2172,E$1:E2171,1,FALSE()))),"OLD",IF(AND(E2172&lt;&gt;"",E2172&lt;&gt;"!!!"),"NEW","")))</f>
        <v> </v>
      </c>
      <c r="G2172" s="23" t="str">
        <f>IF(OR(E2172="",E2172="!!!"),"",IF(OR(J2172=0,AND(J2172=1,K2172=1),AND(J2172=1,I2172="SBJ"),AND(J2172=1,I2172=0)),"?IN_FOCUS",IF(J2172&lt;=2,"?ACTIVATED",IF(J2172&lt;&gt;"","?FAMILIAR",IF(F2172="NEW",IF(ISNA(VLOOKUP(E2172,#REF!,1,FALSE())),"?TYPE_IDENTIFIABLE","?REFERENTIAL"),"_")))))</f>
        <v> </v>
      </c>
      <c r="H2172" s="24" t="str">
        <f>IF(J2172&lt;&gt;1,"",IF(I2172="SBJ","CB","?"))</f>
        <v> </v>
      </c>
      <c r="I2172" s="25" t="str">
        <f>IF(OR(E2172="",E2172="!!!",F2172="NEW"),"",INDEX(B2171:B$2,-1+SUMPRODUCT(MAX(ROW(E2171:E$2)*(E2172=E2171:E$2)))))</f>
        <v> </v>
      </c>
      <c r="J2172" s="25" t="str">
        <f>IF(OR(E2172="",E2172="!!!",F2172="NEW"),"",COUNTBLANK(OFFSET(A$1,,,SUMPRODUCT(MAX(ROW(E$2:E2172)*(E2172=E$2:E2172)))))-COUNTBLANK(OFFSET(A$1,,,SUMPRODUCT(MAX(ROW(E$1:E2171)*(E2=E$1:E2171))))))</f>
        <v> </v>
      </c>
      <c r="K2172" s="25" t="str">
        <f>IF(OR(E2172="",E2172="!!!",F2172="NEW"),"",INDEX(J$1:J2171,SUMPRODUCT(MAX(ROW(E$1:E2171)*(E2172=E$1:E2171)))))</f>
        <v> </v>
      </c>
      <c r="L2172" s="26"/>
    </row>
    <row r="2173" spans="1:12">
      <c r="A2173" s="20" t="s">
        <v>1318</v>
      </c>
      <c r="E2173" s="21">
        <f>IF(D2173="?OLD","!!!","")</f>
        <v/>
      </c>
      <c r="F2173" s="22" t="str">
        <f>IF(OR(E2173="",E2173="!!!"),"",IF(NOT(ISNA(VLOOKUP(E2173,E$1:E2172,1,FALSE()))),"OLD",IF(AND(E2173&lt;&gt;"",E2173&lt;&gt;"!!!"),"NEW","")))</f>
        <v> </v>
      </c>
      <c r="G2173" s="23" t="str">
        <f>IF(OR(E2173="",E2173="!!!"),"",IF(OR(J2173=0,AND(J2173=1,K2173=1),AND(J2173=1,I2173="SBJ"),AND(J2173=1,I2173=0)),"?IN_FOCUS",IF(J2173&lt;=2,"?ACTIVATED",IF(J2173&lt;&gt;"","?FAMILIAR",IF(F2173="NEW",IF(ISNA(VLOOKUP(E2173,#REF!,1,FALSE())),"?TYPE_IDENTIFIABLE","?REFERENTIAL"),"_")))))</f>
        <v> </v>
      </c>
      <c r="H2173" s="24" t="str">
        <f>IF(J2173&lt;&gt;1,"",IF(I2173="SBJ","CB","?"))</f>
        <v> </v>
      </c>
      <c r="I2173" s="25" t="str">
        <f>IF(OR(E2173="",E2173="!!!",F2173="NEW"),"",INDEX(B2172:B$2,-1+SUMPRODUCT(MAX(ROW(E2172:E$2)*(E2173=E2172:E$2)))))</f>
        <v> </v>
      </c>
      <c r="J2173" s="25" t="str">
        <f>IF(OR(E2173="",E2173="!!!",F2173="NEW"),"",COUNTBLANK(OFFSET(A$1,,,SUMPRODUCT(MAX(ROW(E$2:E2173)*(E2173=E$2:E2173)))))-COUNTBLANK(OFFSET(A$1,,,SUMPRODUCT(MAX(ROW(E$1:E2172)*(E2=E$1:E2172))))))</f>
        <v> </v>
      </c>
      <c r="K2173" s="25" t="str">
        <f>IF(OR(E2173="",E2173="!!!",F2173="NEW"),"",INDEX(J$1:J2172,SUMPRODUCT(MAX(ROW(E$1:E2172)*(E2173=E$1:E2172)))))</f>
        <v> </v>
      </c>
      <c r="L2173" s="26"/>
    </row>
    <row r="2174" spans="1:12">
      <c r="A2174" s="20" t="s">
        <v>1419</v>
      </c>
      <c r="B2174" s="27" t="s">
        <v>606</v>
      </c>
      <c r="C2174" s="27" t="s">
        <v>607</v>
      </c>
      <c r="D2174" s="27" t="s">
        <v>608</v>
      </c>
      <c r="E2174" s="21">
        <f>IF(D2174="?OLD","!!!","")</f>
        <v/>
      </c>
      <c r="F2174" s="22" t="str">
        <f>IF(OR(E2174="",E2174="!!!"),"",IF(NOT(ISNA(VLOOKUP(E2174,E$1:E2173,1,FALSE()))),"OLD",IF(AND(E2174&lt;&gt;"",E2174&lt;&gt;"!!!"),"NEW","")))</f>
        <v> </v>
      </c>
      <c r="G2174" s="23" t="str">
        <f>IF(OR(E2174="",E2174="!!!"),"",IF(OR(J2174=0,AND(J2174=1,K2174=1),AND(J2174=1,I2174="SBJ"),AND(J2174=1,I2174=0)),"?IN_FOCUS",IF(J2174&lt;=2,"?ACTIVATED",IF(J2174&lt;&gt;"","?FAMILIAR",IF(F2174="NEW",IF(ISNA(VLOOKUP(E2174,#REF!,1,FALSE())),"?TYPE_IDENTIFIABLE","?REFERENTIAL"),"_")))))</f>
        <v> </v>
      </c>
      <c r="H2174" s="24" t="str">
        <f>IF(J2174&lt;&gt;1,"",IF(I2174="SBJ","CB","?"))</f>
        <v> </v>
      </c>
      <c r="I2174" s="25" t="str">
        <f>IF(OR(E2174="",E2174="!!!",F2174="NEW"),"",INDEX(B2173:B$2,-1+SUMPRODUCT(MAX(ROW(E2173:E$2)*(E2174=E2173:E$2)))))</f>
        <v> </v>
      </c>
      <c r="J2174" s="25" t="str">
        <f>IF(OR(E2174="",E2174="!!!",F2174="NEW"),"",COUNTBLANK(OFFSET(A$1,,,SUMPRODUCT(MAX(ROW(E$2:E2174)*(E2174=E$2:E2174)))))-COUNTBLANK(OFFSET(A$1,,,SUMPRODUCT(MAX(ROW(E$1:E2173)*(E2=E$1:E2173))))))</f>
        <v> </v>
      </c>
      <c r="K2174" s="25" t="str">
        <f>IF(OR(E2174="",E2174="!!!",F2174="NEW"),"",INDEX(J$1:J2173,SUMPRODUCT(MAX(ROW(E$1:E2173)*(E2174=E$1:E2173)))))</f>
        <v> </v>
      </c>
      <c r="L2174" s="26"/>
    </row>
    <row r="2175" spans="1:12">
      <c r="A2175" s="20" t="s">
        <v>1420</v>
      </c>
      <c r="B2175" s="27" t="s">
        <v>625</v>
      </c>
      <c r="C2175" s="27" t="s">
        <v>626</v>
      </c>
      <c r="E2175" s="21">
        <f>IF(D2175="?OLD","!!!","")</f>
        <v/>
      </c>
      <c r="F2175" s="22" t="str">
        <f>IF(OR(E2175="",E2175="!!!"),"",IF(NOT(ISNA(VLOOKUP(E2175,E$1:E2174,1,FALSE()))),"OLD",IF(AND(E2175&lt;&gt;"",E2175&lt;&gt;"!!!"),"NEW","")))</f>
        <v> </v>
      </c>
      <c r="G2175" s="23" t="str">
        <f>IF(OR(E2175="",E2175="!!!"),"",IF(OR(J2175=0,AND(J2175=1,K2175=1),AND(J2175=1,I2175="SBJ"),AND(J2175=1,I2175=0)),"?IN_FOCUS",IF(J2175&lt;=2,"?ACTIVATED",IF(J2175&lt;&gt;"","?FAMILIAR",IF(F2175="NEW",IF(ISNA(VLOOKUP(E2175,#REF!,1,FALSE())),"?TYPE_IDENTIFIABLE","?REFERENTIAL"),"_")))))</f>
        <v> </v>
      </c>
      <c r="H2175" s="24" t="str">
        <f>IF(J2175&lt;&gt;1,"",IF(I2175="SBJ","CB","?"))</f>
        <v> </v>
      </c>
      <c r="I2175" s="25" t="str">
        <f>IF(OR(E2175="",E2175="!!!",F2175="NEW"),"",INDEX(B2174:B$2,-1+SUMPRODUCT(MAX(ROW(E2174:E$2)*(E2175=E2174:E$2)))))</f>
        <v> </v>
      </c>
      <c r="J2175" s="25" t="str">
        <f>IF(OR(E2175="",E2175="!!!",F2175="NEW"),"",COUNTBLANK(OFFSET(A$1,,,SUMPRODUCT(MAX(ROW(E$2:E2175)*(E2175=E$2:E2175)))))-COUNTBLANK(OFFSET(A$1,,,SUMPRODUCT(MAX(ROW(E$1:E2174)*(E2=E$1:E2174))))))</f>
        <v> </v>
      </c>
      <c r="K2175" s="25" t="str">
        <f>IF(OR(E2175="",E2175="!!!",F2175="NEW"),"",INDEX(J$1:J2174,SUMPRODUCT(MAX(ROW(E$1:E2174)*(E2175=E$1:E2174)))))</f>
        <v> </v>
      </c>
      <c r="L2175" s="26"/>
    </row>
    <row r="2176" spans="1:12">
      <c r="A2176" s="20" t="s">
        <v>1421</v>
      </c>
      <c r="B2176" s="27" t="s">
        <v>611</v>
      </c>
      <c r="C2176" s="27" t="s">
        <v>678</v>
      </c>
      <c r="E2176" s="21">
        <f>IF(D2176="?OLD","!!!","")</f>
        <v/>
      </c>
      <c r="F2176" s="22" t="str">
        <f>IF(OR(E2176="",E2176="!!!"),"",IF(NOT(ISNA(VLOOKUP(E2176,E$1:E2175,1,FALSE()))),"OLD",IF(AND(E2176&lt;&gt;"",E2176&lt;&gt;"!!!"),"NEW","")))</f>
        <v> </v>
      </c>
      <c r="G2176" s="23" t="str">
        <f>IF(OR(E2176="",E2176="!!!"),"",IF(OR(J2176=0,AND(J2176=1,K2176=1),AND(J2176=1,I2176="SBJ"),AND(J2176=1,I2176=0)),"?IN_FOCUS",IF(J2176&lt;=2,"?ACTIVATED",IF(J2176&lt;&gt;"","?FAMILIAR",IF(F2176="NEW",IF(ISNA(VLOOKUP(E2176,#REF!,1,FALSE())),"?TYPE_IDENTIFIABLE","?REFERENTIAL"),"_")))))</f>
        <v> </v>
      </c>
      <c r="H2176" s="24" t="str">
        <f>IF(J2176&lt;&gt;1,"",IF(I2176="SBJ","CB","?"))</f>
        <v> </v>
      </c>
      <c r="I2176" s="25" t="str">
        <f>IF(OR(E2176="",E2176="!!!",F2176="NEW"),"",INDEX(B2175:B$2,-1+SUMPRODUCT(MAX(ROW(E2175:E$2)*(E2176=E2175:E$2)))))</f>
        <v> </v>
      </c>
      <c r="J2176" s="25" t="str">
        <f>IF(OR(E2176="",E2176="!!!",F2176="NEW"),"",COUNTBLANK(OFFSET(A$1,,,SUMPRODUCT(MAX(ROW(E$2:E2176)*(E2176=E$2:E2176)))))-COUNTBLANK(OFFSET(A$1,,,SUMPRODUCT(MAX(ROW(E$1:E2175)*(E2=E$1:E2175))))))</f>
        <v> </v>
      </c>
      <c r="K2176" s="25" t="str">
        <f>IF(OR(E2176="",E2176="!!!",F2176="NEW"),"",INDEX(J$1:J2175,SUMPRODUCT(MAX(ROW(E$1:E2175)*(E2176=E$1:E2175)))))</f>
        <v> </v>
      </c>
      <c r="L2176" s="26"/>
    </row>
    <row r="2177" spans="1:12">
      <c r="A2177" s="20" t="s">
        <v>707</v>
      </c>
      <c r="E2177" s="21">
        <f>IF(D2177="?OLD","!!!","")</f>
        <v/>
      </c>
      <c r="F2177" s="22" t="str">
        <f>IF(OR(E2177="",E2177="!!!"),"",IF(NOT(ISNA(VLOOKUP(E2177,E$1:E2176,1,FALSE()))),"OLD",IF(AND(E2177&lt;&gt;"",E2177&lt;&gt;"!!!"),"NEW","")))</f>
        <v> </v>
      </c>
      <c r="G2177" s="23" t="str">
        <f>IF(OR(E2177="",E2177="!!!"),"",IF(OR(J2177=0,AND(J2177=1,K2177=1),AND(J2177=1,I2177="SBJ"),AND(J2177=1,I2177=0)),"?IN_FOCUS",IF(J2177&lt;=2,"?ACTIVATED",IF(J2177&lt;&gt;"","?FAMILIAR",IF(F2177="NEW",IF(ISNA(VLOOKUP(E2177,#REF!,1,FALSE())),"?TYPE_IDENTIFIABLE","?REFERENTIAL"),"_")))))</f>
        <v> </v>
      </c>
      <c r="H2177" s="24" t="str">
        <f>IF(J2177&lt;&gt;1,"",IF(I2177="SBJ","CB","?"))</f>
        <v> </v>
      </c>
      <c r="I2177" s="25" t="str">
        <f>IF(OR(E2177="",E2177="!!!",F2177="NEW"),"",INDEX(B2176:B$2,-1+SUMPRODUCT(MAX(ROW(E2176:E$2)*(E2177=E2176:E$2)))))</f>
        <v> </v>
      </c>
      <c r="J2177" s="25" t="str">
        <f>IF(OR(E2177="",E2177="!!!",F2177="NEW"),"",COUNTBLANK(OFFSET(A$1,,,SUMPRODUCT(MAX(ROW(E$2:E2177)*(E2177=E$2:E2177)))))-COUNTBLANK(OFFSET(A$1,,,SUMPRODUCT(MAX(ROW(E$1:E2176)*(E2=E$1:E2176))))))</f>
        <v> </v>
      </c>
      <c r="K2177" s="25" t="str">
        <f>IF(OR(E2177="",E2177="!!!",F2177="NEW"),"",INDEX(J$1:J2176,SUMPRODUCT(MAX(ROW(E$1:E2176)*(E2177=E$1:E2176)))))</f>
        <v> </v>
      </c>
      <c r="L2177" s="26"/>
    </row>
    <row r="2178" spans="1:12">
      <c r="A2178" s="20" t="s">
        <v>609</v>
      </c>
      <c r="E2178" s="21">
        <f>IF(D2178="?OLD","!!!","")</f>
        <v/>
      </c>
      <c r="F2178" s="22" t="str">
        <f>IF(OR(E2178="",E2178="!!!"),"",IF(NOT(ISNA(VLOOKUP(E2178,E$1:E2177,1,FALSE()))),"OLD",IF(AND(E2178&lt;&gt;"",E2178&lt;&gt;"!!!"),"NEW","")))</f>
        <v> </v>
      </c>
      <c r="G2178" s="23" t="str">
        <f>IF(OR(E2178="",E2178="!!!"),"",IF(OR(J2178=0,AND(J2178=1,K2178=1),AND(J2178=1,I2178="SBJ"),AND(J2178=1,I2178=0)),"?IN_FOCUS",IF(J2178&lt;=2,"?ACTIVATED",IF(J2178&lt;&gt;"","?FAMILIAR",IF(F2178="NEW",IF(ISNA(VLOOKUP(E2178,#REF!,1,FALSE())),"?TYPE_IDENTIFIABLE","?REFERENTIAL"),"_")))))</f>
        <v> </v>
      </c>
      <c r="H2178" s="24" t="str">
        <f>IF(J2178&lt;&gt;1,"",IF(I2178="SBJ","CB","?"))</f>
        <v> </v>
      </c>
      <c r="I2178" s="25" t="str">
        <f>IF(OR(E2178="",E2178="!!!",F2178="NEW"),"",INDEX(B2177:B$2,-1+SUMPRODUCT(MAX(ROW(E2177:E$2)*(E2178=E2177:E$2)))))</f>
        <v> </v>
      </c>
      <c r="J2178" s="25" t="str">
        <f>IF(OR(E2178="",E2178="!!!",F2178="NEW"),"",COUNTBLANK(OFFSET(A$1,,,SUMPRODUCT(MAX(ROW(E$2:E2178)*(E2178=E$2:E2178)))))-COUNTBLANK(OFFSET(A$1,,,SUMPRODUCT(MAX(ROW(E$1:E2177)*(E2=E$1:E2177))))))</f>
        <v> </v>
      </c>
      <c r="K2178" s="25" t="str">
        <f>IF(OR(E2178="",E2178="!!!",F2178="NEW"),"",INDEX(J$1:J2177,SUMPRODUCT(MAX(ROW(E$1:E2177)*(E2178=E$1:E2177)))))</f>
        <v> </v>
      </c>
      <c r="L2178" s="26"/>
    </row>
    <row r="2179" spans="1:12">
      <c r="A2179" s="20" t="s">
        <v>1422</v>
      </c>
      <c r="E2179" s="21">
        <f>IF(D2179="?OLD","!!!","")</f>
        <v/>
      </c>
      <c r="F2179" s="22" t="str">
        <f>IF(OR(E2179="",E2179="!!!"),"",IF(NOT(ISNA(VLOOKUP(E2179,E$1:E2178,1,FALSE()))),"OLD",IF(AND(E2179&lt;&gt;"",E2179&lt;&gt;"!!!"),"NEW","")))</f>
        <v> </v>
      </c>
      <c r="G2179" s="23" t="str">
        <f>IF(OR(E2179="",E2179="!!!"),"",IF(OR(J2179=0,AND(J2179=1,K2179=1),AND(J2179=1,I2179="SBJ"),AND(J2179=1,I2179=0)),"?IN_FOCUS",IF(J2179&lt;=2,"?ACTIVATED",IF(J2179&lt;&gt;"","?FAMILIAR",IF(F2179="NEW",IF(ISNA(VLOOKUP(E2179,#REF!,1,FALSE())),"?TYPE_IDENTIFIABLE","?REFERENTIAL"),"_")))))</f>
        <v> </v>
      </c>
      <c r="H2179" s="24" t="str">
        <f>IF(J2179&lt;&gt;1,"",IF(I2179="SBJ","CB","?"))</f>
        <v> </v>
      </c>
      <c r="I2179" s="25" t="str">
        <f>IF(OR(E2179="",E2179="!!!",F2179="NEW"),"",INDEX(B2178:B$2,-1+SUMPRODUCT(MAX(ROW(E2178:E$2)*(E2179=E2178:E$2)))))</f>
        <v> </v>
      </c>
      <c r="J2179" s="25" t="str">
        <f>IF(OR(E2179="",E2179="!!!",F2179="NEW"),"",COUNTBLANK(OFFSET(A$1,,,SUMPRODUCT(MAX(ROW(E$2:E2179)*(E2179=E$2:E2179)))))-COUNTBLANK(OFFSET(A$1,,,SUMPRODUCT(MAX(ROW(E$1:E2178)*(E2=E$1:E2178))))))</f>
        <v> </v>
      </c>
      <c r="K2179" s="25" t="str">
        <f>IF(OR(E2179="",E2179="!!!",F2179="NEW"),"",INDEX(J$1:J2178,SUMPRODUCT(MAX(ROW(E$1:E2178)*(E2179=E$1:E2178)))))</f>
        <v> </v>
      </c>
      <c r="L2179" s="26"/>
    </row>
    <row r="2180" spans="1:12">
      <c r="A2180" s="20" t="s">
        <v>1423</v>
      </c>
      <c r="B2180" s="27" t="s">
        <v>606</v>
      </c>
      <c r="C2180" s="27" t="s">
        <v>607</v>
      </c>
      <c r="D2180" s="27" t="s">
        <v>608</v>
      </c>
      <c r="E2180" s="21">
        <f>IF(D2180="?OLD","!!!","")</f>
        <v/>
      </c>
      <c r="F2180" s="22" t="str">
        <f>IF(OR(E2180="",E2180="!!!"),"",IF(NOT(ISNA(VLOOKUP(E2180,E$1:E2179,1,FALSE()))),"OLD",IF(AND(E2180&lt;&gt;"",E2180&lt;&gt;"!!!"),"NEW","")))</f>
        <v> </v>
      </c>
      <c r="G2180" s="23" t="str">
        <f>IF(OR(E2180="",E2180="!!!"),"",IF(OR(J2180=0,AND(J2180=1,K2180=1),AND(J2180=1,I2180="SBJ"),AND(J2180=1,I2180=0)),"?IN_FOCUS",IF(J2180&lt;=2,"?ACTIVATED",IF(J2180&lt;&gt;"","?FAMILIAR",IF(F2180="NEW",IF(ISNA(VLOOKUP(E2180,#REF!,1,FALSE())),"?TYPE_IDENTIFIABLE","?REFERENTIAL"),"_")))))</f>
        <v> </v>
      </c>
      <c r="H2180" s="24" t="str">
        <f>IF(J2180&lt;&gt;1,"",IF(I2180="SBJ","CB","?"))</f>
        <v> </v>
      </c>
      <c r="I2180" s="25" t="str">
        <f>IF(OR(E2180="",E2180="!!!",F2180="NEW"),"",INDEX(B2179:B$2,-1+SUMPRODUCT(MAX(ROW(E2179:E$2)*(E2180=E2179:E$2)))))</f>
        <v> </v>
      </c>
      <c r="J2180" s="25" t="str">
        <f>IF(OR(E2180="",E2180="!!!",F2180="NEW"),"",COUNTBLANK(OFFSET(A$1,,,SUMPRODUCT(MAX(ROW(E$2:E2180)*(E2180=E$2:E2180)))))-COUNTBLANK(OFFSET(A$1,,,SUMPRODUCT(MAX(ROW(E$1:E2179)*(E2=E$1:E2179))))))</f>
        <v> </v>
      </c>
      <c r="K2180" s="25" t="str">
        <f>IF(OR(E2180="",E2180="!!!",F2180="NEW"),"",INDEX(J$1:J2179,SUMPRODUCT(MAX(ROW(E$1:E2179)*(E2180=E$1:E2179)))))</f>
        <v> </v>
      </c>
      <c r="L2180" s="26"/>
    </row>
    <row r="2181" spans="1:12">
      <c r="A2181" s="20" t="s">
        <v>633</v>
      </c>
      <c r="E2181" s="21">
        <f>IF(D2181="?OLD","!!!","")</f>
        <v/>
      </c>
      <c r="F2181" s="22" t="str">
        <f>IF(OR(E2181="",E2181="!!!"),"",IF(NOT(ISNA(VLOOKUP(E2181,E$1:E2180,1,FALSE()))),"OLD",IF(AND(E2181&lt;&gt;"",E2181&lt;&gt;"!!!"),"NEW","")))</f>
        <v> </v>
      </c>
      <c r="G2181" s="23" t="str">
        <f>IF(OR(E2181="",E2181="!!!"),"",IF(OR(J2181=0,AND(J2181=1,K2181=1),AND(J2181=1,I2181="SBJ"),AND(J2181=1,I2181=0)),"?IN_FOCUS",IF(J2181&lt;=2,"?ACTIVATED",IF(J2181&lt;&gt;"","?FAMILIAR",IF(F2181="NEW",IF(ISNA(VLOOKUP(E2181,#REF!,1,FALSE())),"?TYPE_IDENTIFIABLE","?REFERENTIAL"),"_")))))</f>
        <v> </v>
      </c>
      <c r="H2181" s="24" t="str">
        <f>IF(J2181&lt;&gt;1,"",IF(I2181="SBJ","CB","?"))</f>
        <v> </v>
      </c>
      <c r="I2181" s="25" t="str">
        <f>IF(OR(E2181="",E2181="!!!",F2181="NEW"),"",INDEX(B2180:B$2,-1+SUMPRODUCT(MAX(ROW(E2180:E$2)*(E2181=E2180:E$2)))))</f>
        <v> </v>
      </c>
      <c r="J2181" s="25" t="str">
        <f>IF(OR(E2181="",E2181="!!!",F2181="NEW"),"",COUNTBLANK(OFFSET(A$1,,,SUMPRODUCT(MAX(ROW(E$2:E2181)*(E2181=E$2:E2181)))))-COUNTBLANK(OFFSET(A$1,,,SUMPRODUCT(MAX(ROW(E$1:E2180)*(E2=E$1:E2180))))))</f>
        <v> </v>
      </c>
      <c r="K2181" s="25" t="str">
        <f>IF(OR(E2181="",E2181="!!!",F2181="NEW"),"",INDEX(J$1:J2180,SUMPRODUCT(MAX(ROW(E$1:E2180)*(E2181=E$1:E2180)))))</f>
        <v> </v>
      </c>
      <c r="L2181" s="26"/>
    </row>
    <row r="2182" spans="1:12">
      <c r="A2182" s="20" t="s">
        <v>1216</v>
      </c>
      <c r="E2182" s="21">
        <f>IF(D2182="?OLD","!!!","")</f>
        <v/>
      </c>
      <c r="F2182" s="22" t="str">
        <f>IF(OR(E2182="",E2182="!!!"),"",IF(NOT(ISNA(VLOOKUP(E2182,E$1:E2181,1,FALSE()))),"OLD",IF(AND(E2182&lt;&gt;"",E2182&lt;&gt;"!!!"),"NEW","")))</f>
        <v> </v>
      </c>
      <c r="G2182" s="23" t="str">
        <f>IF(OR(E2182="",E2182="!!!"),"",IF(OR(J2182=0,AND(J2182=1,K2182=1),AND(J2182=1,I2182="SBJ"),AND(J2182=1,I2182=0)),"?IN_FOCUS",IF(J2182&lt;=2,"?ACTIVATED",IF(J2182&lt;&gt;"","?FAMILIAR",IF(F2182="NEW",IF(ISNA(VLOOKUP(E2182,#REF!,1,FALSE())),"?TYPE_IDENTIFIABLE","?REFERENTIAL"),"_")))))</f>
        <v> </v>
      </c>
      <c r="H2182" s="24" t="str">
        <f>IF(J2182&lt;&gt;1,"",IF(I2182="SBJ","CB","?"))</f>
        <v> </v>
      </c>
      <c r="I2182" s="25" t="str">
        <f>IF(OR(E2182="",E2182="!!!",F2182="NEW"),"",INDEX(B2181:B$2,-1+SUMPRODUCT(MAX(ROW(E2181:E$2)*(E2182=E2181:E$2)))))</f>
        <v> </v>
      </c>
      <c r="J2182" s="25" t="str">
        <f>IF(OR(E2182="",E2182="!!!",F2182="NEW"),"",COUNTBLANK(OFFSET(A$1,,,SUMPRODUCT(MAX(ROW(E$2:E2182)*(E2182=E$2:E2182)))))-COUNTBLANK(OFFSET(A$1,,,SUMPRODUCT(MAX(ROW(E$1:E2181)*(E2=E$1:E2181))))))</f>
        <v> </v>
      </c>
      <c r="K2182" s="25" t="str">
        <f>IF(OR(E2182="",E2182="!!!",F2182="NEW"),"",INDEX(J$1:J2181,SUMPRODUCT(MAX(ROW(E$1:E2181)*(E2182=E$1:E2181)))))</f>
        <v> </v>
      </c>
      <c r="L2182" s="26"/>
    </row>
    <row r="2183" spans="1:12">
      <c r="A2183" s="20"/>
    </row>
    <row r="2184" spans="1:12">
      <c r="A2184" s="20" t="s">
        <v>1424</v>
      </c>
    </row>
    <row r="2185" spans="1:12">
      <c r="A2185" s="20" t="s">
        <v>877</v>
      </c>
      <c r="E2185" s="21">
        <f>IF(D2185="?OLD","!!!","")</f>
        <v/>
      </c>
      <c r="F2185" s="22" t="str">
        <f>IF(OR(E2185="",E2185="!!!"),"",IF(NOT(ISNA(VLOOKUP(E2185,E$1:E2184,1,FALSE()))),"OLD",IF(AND(E2185&lt;&gt;"",E2185&lt;&gt;"!!!"),"NEW","")))</f>
        <v> </v>
      </c>
      <c r="G2185" s="23" t="str">
        <f>IF(OR(E2185="",E2185="!!!"),"",IF(OR(J2185=0,AND(J2185=1,K2185=1),AND(J2185=1,I2185="SBJ"),AND(J2185=1,I2185=0)),"?IN_FOCUS",IF(J2185&lt;=2,"?ACTIVATED",IF(J2185&lt;&gt;"","?FAMILIAR",IF(F2185="NEW",IF(ISNA(VLOOKUP(E2185,#REF!,1,FALSE())),"?TYPE_IDENTIFIABLE","?REFERENTIAL"),"_")))))</f>
        <v> </v>
      </c>
      <c r="H2185" s="24" t="str">
        <f>IF(J2185&lt;&gt;1,"",IF(I2185="SBJ","CB","?"))</f>
        <v> </v>
      </c>
      <c r="I2185" s="25" t="str">
        <f>IF(OR(E2185="",E2185="!!!",F2185="NEW"),"",INDEX(B2184:B$2,-1+SUMPRODUCT(MAX(ROW(E2184:E$2)*(E2185=E2184:E$2)))))</f>
        <v> </v>
      </c>
      <c r="J2185" s="25" t="str">
        <f>IF(OR(E2185="",E2185="!!!",F2185="NEW"),"",COUNTBLANK(OFFSET(A$1,,,SUMPRODUCT(MAX(ROW(E$2:E2185)*(E2185=E$2:E2185)))))-COUNTBLANK(OFFSET(A$1,,,SUMPRODUCT(MAX(ROW(E$1:E2184)*(E2=E$1:E2184))))))</f>
        <v> </v>
      </c>
      <c r="K2185" s="25" t="str">
        <f>IF(OR(E2185="",E2185="!!!",F2185="NEW"),"",INDEX(J$1:J2184,SUMPRODUCT(MAX(ROW(E$1:E2184)*(E2185=E$1:E2184)))))</f>
        <v> </v>
      </c>
      <c r="L2185" s="26"/>
    </row>
    <row r="2186" spans="1:12">
      <c r="A2186" s="20" t="s">
        <v>1425</v>
      </c>
      <c r="E2186" s="21">
        <f>IF(D2186="?OLD","!!!","")</f>
        <v/>
      </c>
      <c r="F2186" s="22" t="str">
        <f>IF(OR(E2186="",E2186="!!!"),"",IF(NOT(ISNA(VLOOKUP(E2186,E$1:E2185,1,FALSE()))),"OLD",IF(AND(E2186&lt;&gt;"",E2186&lt;&gt;"!!!"),"NEW","")))</f>
        <v> </v>
      </c>
      <c r="G2186" s="23" t="str">
        <f>IF(OR(E2186="",E2186="!!!"),"",IF(OR(J2186=0,AND(J2186=1,K2186=1),AND(J2186=1,I2186="SBJ"),AND(J2186=1,I2186=0)),"?IN_FOCUS",IF(J2186&lt;=2,"?ACTIVATED",IF(J2186&lt;&gt;"","?FAMILIAR",IF(F2186="NEW",IF(ISNA(VLOOKUP(E2186,#REF!,1,FALSE())),"?TYPE_IDENTIFIABLE","?REFERENTIAL"),"_")))))</f>
        <v> </v>
      </c>
      <c r="H2186" s="24" t="str">
        <f>IF(J2186&lt;&gt;1,"",IF(I2186="SBJ","CB","?"))</f>
        <v> </v>
      </c>
      <c r="I2186" s="25" t="str">
        <f>IF(OR(E2186="",E2186="!!!",F2186="NEW"),"",INDEX(B2185:B$2,-1+SUMPRODUCT(MAX(ROW(E2185:E$2)*(E2186=E2185:E$2)))))</f>
        <v> </v>
      </c>
      <c r="J2186" s="25" t="str">
        <f>IF(OR(E2186="",E2186="!!!",F2186="NEW"),"",COUNTBLANK(OFFSET(A$1,,,SUMPRODUCT(MAX(ROW(E$2:E2186)*(E2186=E$2:E2186)))))-COUNTBLANK(OFFSET(A$1,,,SUMPRODUCT(MAX(ROW(E$1:E2185)*(E2=E$1:E2185))))))</f>
        <v> </v>
      </c>
      <c r="K2186" s="25" t="str">
        <f>IF(OR(E2186="",E2186="!!!",F2186="NEW"),"",INDEX(J$1:J2185,SUMPRODUCT(MAX(ROW(E$1:E2185)*(E2186=E$1:E2185)))))</f>
        <v> </v>
      </c>
      <c r="L2186" s="26"/>
    </row>
    <row r="2187" spans="1:12">
      <c r="A2187" s="20" t="s">
        <v>1426</v>
      </c>
      <c r="B2187" s="27" t="s">
        <v>636</v>
      </c>
      <c r="C2187" s="27" t="s">
        <v>607</v>
      </c>
      <c r="D2187" s="27" t="s">
        <v>608</v>
      </c>
      <c r="E2187" s="21">
        <f>IF(D2187="?OLD","!!!","")</f>
        <v/>
      </c>
      <c r="F2187" s="22" t="str">
        <f>IF(OR(E2187="",E2187="!!!"),"",IF(NOT(ISNA(VLOOKUP(E2187,E$1:E2186,1,FALSE()))),"OLD",IF(AND(E2187&lt;&gt;"",E2187&lt;&gt;"!!!"),"NEW","")))</f>
        <v> </v>
      </c>
      <c r="G2187" s="23" t="str">
        <f>IF(OR(E2187="",E2187="!!!"),"",IF(OR(J2187=0,AND(J2187=1,K2187=1),AND(J2187=1,I2187="SBJ"),AND(J2187=1,I2187=0)),"?IN_FOCUS",IF(J2187&lt;=2,"?ACTIVATED",IF(J2187&lt;&gt;"","?FAMILIAR",IF(F2187="NEW",IF(ISNA(VLOOKUP(E2187,#REF!,1,FALSE())),"?TYPE_IDENTIFIABLE","?REFERENTIAL"),"_")))))</f>
        <v> </v>
      </c>
      <c r="H2187" s="24" t="str">
        <f>IF(J2187&lt;&gt;1,"",IF(I2187="SBJ","CB","?"))</f>
        <v> </v>
      </c>
      <c r="I2187" s="25" t="str">
        <f>IF(OR(E2187="",E2187="!!!",F2187="NEW"),"",INDEX(B2186:B$2,-1+SUMPRODUCT(MAX(ROW(E2186:E$2)*(E2187=E2186:E$2)))))</f>
        <v> </v>
      </c>
      <c r="J2187" s="25" t="str">
        <f>IF(OR(E2187="",E2187="!!!",F2187="NEW"),"",COUNTBLANK(OFFSET(A$1,,,SUMPRODUCT(MAX(ROW(E$2:E2187)*(E2187=E$2:E2187)))))-COUNTBLANK(OFFSET(A$1,,,SUMPRODUCT(MAX(ROW(E$1:E2186)*(E2=E$1:E2186))))))</f>
        <v> </v>
      </c>
      <c r="K2187" s="25" t="str">
        <f>IF(OR(E2187="",E2187="!!!",F2187="NEW"),"",INDEX(J$1:J2186,SUMPRODUCT(MAX(ROW(E$1:E2186)*(E2187=E$1:E2186)))))</f>
        <v> </v>
      </c>
      <c r="L2187" s="26"/>
    </row>
    <row r="2188" spans="1:12">
      <c r="A2188" s="20" t="s">
        <v>617</v>
      </c>
      <c r="E2188" s="21">
        <f>IF(D2188="?OLD","!!!","")</f>
        <v/>
      </c>
      <c r="F2188" s="22" t="str">
        <f>IF(OR(E2188="",E2188="!!!"),"",IF(NOT(ISNA(VLOOKUP(E2188,E$1:E2187,1,FALSE()))),"OLD",IF(AND(E2188&lt;&gt;"",E2188&lt;&gt;"!!!"),"NEW","")))</f>
        <v> </v>
      </c>
      <c r="G2188" s="23" t="str">
        <f>IF(OR(E2188="",E2188="!!!"),"",IF(OR(J2188=0,AND(J2188=1,K2188=1),AND(J2188=1,I2188="SBJ"),AND(J2188=1,I2188=0)),"?IN_FOCUS",IF(J2188&lt;=2,"?ACTIVATED",IF(J2188&lt;&gt;"","?FAMILIAR",IF(F2188="NEW",IF(ISNA(VLOOKUP(E2188,#REF!,1,FALSE())),"?TYPE_IDENTIFIABLE","?REFERENTIAL"),"_")))))</f>
        <v> </v>
      </c>
      <c r="H2188" s="24" t="str">
        <f>IF(J2188&lt;&gt;1,"",IF(I2188="SBJ","CB","?"))</f>
        <v> </v>
      </c>
      <c r="I2188" s="25" t="str">
        <f>IF(OR(E2188="",E2188="!!!",F2188="NEW"),"",INDEX(B2187:B$2,-1+SUMPRODUCT(MAX(ROW(E2187:E$2)*(E2188=E2187:E$2)))))</f>
        <v> </v>
      </c>
      <c r="J2188" s="25" t="str">
        <f>IF(OR(E2188="",E2188="!!!",F2188="NEW"),"",COUNTBLANK(OFFSET(A$1,,,SUMPRODUCT(MAX(ROW(E$2:E2188)*(E2188=E$2:E2188)))))-COUNTBLANK(OFFSET(A$1,,,SUMPRODUCT(MAX(ROW(E$1:E2187)*(E2=E$1:E2187))))))</f>
        <v> </v>
      </c>
      <c r="K2188" s="25" t="str">
        <f>IF(OR(E2188="",E2188="!!!",F2188="NEW"),"",INDEX(J$1:J2187,SUMPRODUCT(MAX(ROW(E$1:E2187)*(E2188=E$1:E2187)))))</f>
        <v> </v>
      </c>
      <c r="L2188" s="26"/>
    </row>
    <row r="2189" spans="1:12">
      <c r="A2189" s="20" t="s">
        <v>630</v>
      </c>
      <c r="B2189" s="27" t="s">
        <v>725</v>
      </c>
      <c r="C2189" s="27" t="s">
        <v>631</v>
      </c>
      <c r="D2189" s="27" t="s">
        <v>608</v>
      </c>
      <c r="E2189" s="21">
        <f>IF(D2189="?OLD","!!!","")</f>
        <v/>
      </c>
      <c r="F2189" s="22" t="str">
        <f>IF(OR(E2189="",E2189="!!!"),"",IF(NOT(ISNA(VLOOKUP(E2189,E$1:E2188,1,FALSE()))),"OLD",IF(AND(E2189&lt;&gt;"",E2189&lt;&gt;"!!!"),"NEW","")))</f>
        <v> </v>
      </c>
      <c r="G2189" s="23" t="str">
        <f>IF(OR(E2189="",E2189="!!!"),"",IF(OR(J2189=0,AND(J2189=1,K2189=1),AND(J2189=1,I2189="SBJ"),AND(J2189=1,I2189=0)),"?IN_FOCUS",IF(J2189&lt;=2,"?ACTIVATED",IF(J2189&lt;&gt;"","?FAMILIAR",IF(F2189="NEW",IF(ISNA(VLOOKUP(E2189,#REF!,1,FALSE())),"?TYPE_IDENTIFIABLE","?REFERENTIAL"),"_")))))</f>
        <v> </v>
      </c>
      <c r="H2189" s="24" t="str">
        <f>IF(J2189&lt;&gt;1,"",IF(I2189="SBJ","CB","?"))</f>
        <v> </v>
      </c>
      <c r="I2189" s="25" t="str">
        <f>IF(OR(E2189="",E2189="!!!",F2189="NEW"),"",INDEX(B2188:B$2,-1+SUMPRODUCT(MAX(ROW(E2188:E$2)*(E2189=E2188:E$2)))))</f>
        <v> </v>
      </c>
      <c r="J2189" s="25" t="str">
        <f>IF(OR(E2189="",E2189="!!!",F2189="NEW"),"",COUNTBLANK(OFFSET(A$1,,,SUMPRODUCT(MAX(ROW(E$2:E2189)*(E2189=E$2:E2189)))))-COUNTBLANK(OFFSET(A$1,,,SUMPRODUCT(MAX(ROW(E$1:E2188)*(E2=E$1:E2188))))))</f>
        <v> </v>
      </c>
      <c r="K2189" s="25" t="str">
        <f>IF(OR(E2189="",E2189="!!!",F2189="NEW"),"",INDEX(J$1:J2188,SUMPRODUCT(MAX(ROW(E$1:E2188)*(E2189=E$1:E2188)))))</f>
        <v> </v>
      </c>
      <c r="L2189" s="26"/>
    </row>
    <row r="2190" spans="1:12">
      <c r="A2190" s="20" t="s">
        <v>663</v>
      </c>
      <c r="E2190" s="21">
        <f>IF(D2190="?OLD","!!!","")</f>
        <v/>
      </c>
      <c r="F2190" s="22" t="str">
        <f>IF(OR(E2190="",E2190="!!!"),"",IF(NOT(ISNA(VLOOKUP(E2190,E$1:E2189,1,FALSE()))),"OLD",IF(AND(E2190&lt;&gt;"",E2190&lt;&gt;"!!!"),"NEW","")))</f>
        <v> </v>
      </c>
      <c r="G2190" s="23" t="str">
        <f>IF(OR(E2190="",E2190="!!!"),"",IF(OR(J2190=0,AND(J2190=1,K2190=1),AND(J2190=1,I2190="SBJ"),AND(J2190=1,I2190=0)),"?IN_FOCUS",IF(J2190&lt;=2,"?ACTIVATED",IF(J2190&lt;&gt;"","?FAMILIAR",IF(F2190="NEW",IF(ISNA(VLOOKUP(E2190,#REF!,1,FALSE())),"?TYPE_IDENTIFIABLE","?REFERENTIAL"),"_")))))</f>
        <v> </v>
      </c>
      <c r="H2190" s="24" t="str">
        <f>IF(J2190&lt;&gt;1,"",IF(I2190="SBJ","CB","?"))</f>
        <v> </v>
      </c>
      <c r="I2190" s="25" t="str">
        <f>IF(OR(E2190="",E2190="!!!",F2190="NEW"),"",INDEX(B2189:B$2,-1+SUMPRODUCT(MAX(ROW(E2189:E$2)*(E2190=E2189:E$2)))))</f>
        <v> </v>
      </c>
      <c r="J2190" s="25" t="str">
        <f>IF(OR(E2190="",E2190="!!!",F2190="NEW"),"",COUNTBLANK(OFFSET(A$1,,,SUMPRODUCT(MAX(ROW(E$2:E2190)*(E2190=E$2:E2190)))))-COUNTBLANK(OFFSET(A$1,,,SUMPRODUCT(MAX(ROW(E$1:E2189)*(E2=E$1:E2189))))))</f>
        <v> </v>
      </c>
      <c r="K2190" s="25" t="str">
        <f>IF(OR(E2190="",E2190="!!!",F2190="NEW"),"",INDEX(J$1:J2189,SUMPRODUCT(MAX(ROW(E$1:E2189)*(E2190=E$1:E2189)))))</f>
        <v> </v>
      </c>
      <c r="L2190" s="26"/>
    </row>
    <row r="2191" spans="1:12">
      <c r="A2191" s="20" t="s">
        <v>1188</v>
      </c>
      <c r="E2191" s="21">
        <f>IF(D2191="?OLD","!!!","")</f>
        <v/>
      </c>
      <c r="F2191" s="22" t="str">
        <f>IF(OR(E2191="",E2191="!!!"),"",IF(NOT(ISNA(VLOOKUP(E2191,E$1:E2190,1,FALSE()))),"OLD",IF(AND(E2191&lt;&gt;"",E2191&lt;&gt;"!!!"),"NEW","")))</f>
        <v> </v>
      </c>
      <c r="G2191" s="23" t="str">
        <f>IF(OR(E2191="",E2191="!!!"),"",IF(OR(J2191=0,AND(J2191=1,K2191=1),AND(J2191=1,I2191="SBJ"),AND(J2191=1,I2191=0)),"?IN_FOCUS",IF(J2191&lt;=2,"?ACTIVATED",IF(J2191&lt;&gt;"","?FAMILIAR",IF(F2191="NEW",IF(ISNA(VLOOKUP(E2191,#REF!,1,FALSE())),"?TYPE_IDENTIFIABLE","?REFERENTIAL"),"_")))))</f>
        <v> </v>
      </c>
      <c r="H2191" s="24" t="str">
        <f>IF(J2191&lt;&gt;1,"",IF(I2191="SBJ","CB","?"))</f>
        <v> </v>
      </c>
      <c r="I2191" s="25" t="str">
        <f>IF(OR(E2191="",E2191="!!!",F2191="NEW"),"",INDEX(B2190:B$2,-1+SUMPRODUCT(MAX(ROW(E2190:E$2)*(E2191=E2190:E$2)))))</f>
        <v> </v>
      </c>
      <c r="J2191" s="25" t="str">
        <f>IF(OR(E2191="",E2191="!!!",F2191="NEW"),"",COUNTBLANK(OFFSET(A$1,,,SUMPRODUCT(MAX(ROW(E$2:E2191)*(E2191=E$2:E2191)))))-COUNTBLANK(OFFSET(A$1,,,SUMPRODUCT(MAX(ROW(E$1:E2190)*(E2=E$1:E2190))))))</f>
        <v> </v>
      </c>
      <c r="K2191" s="25" t="str">
        <f>IF(OR(E2191="",E2191="!!!",F2191="NEW"),"",INDEX(J$1:J2190,SUMPRODUCT(MAX(ROW(E$1:E2190)*(E2191=E$1:E2190)))))</f>
        <v> </v>
      </c>
      <c r="L2191" s="26"/>
    </row>
    <row r="2192" spans="1:12">
      <c r="A2192" s="20" t="s">
        <v>617</v>
      </c>
      <c r="E2192" s="21">
        <f>IF(D2192="?OLD","!!!","")</f>
        <v/>
      </c>
      <c r="F2192" s="22" t="str">
        <f>IF(OR(E2192="",E2192="!!!"),"",IF(NOT(ISNA(VLOOKUP(E2192,E$1:E2191,1,FALSE()))),"OLD",IF(AND(E2192&lt;&gt;"",E2192&lt;&gt;"!!!"),"NEW","")))</f>
        <v> </v>
      </c>
      <c r="G2192" s="23" t="str">
        <f>IF(OR(E2192="",E2192="!!!"),"",IF(OR(J2192=0,AND(J2192=1,K2192=1),AND(J2192=1,I2192="SBJ"),AND(J2192=1,I2192=0)),"?IN_FOCUS",IF(J2192&lt;=2,"?ACTIVATED",IF(J2192&lt;&gt;"","?FAMILIAR",IF(F2192="NEW",IF(ISNA(VLOOKUP(E2192,#REF!,1,FALSE())),"?TYPE_IDENTIFIABLE","?REFERENTIAL"),"_")))))</f>
        <v> </v>
      </c>
      <c r="H2192" s="24" t="str">
        <f>IF(J2192&lt;&gt;1,"",IF(I2192="SBJ","CB","?"))</f>
        <v> </v>
      </c>
      <c r="I2192" s="25" t="str">
        <f>IF(OR(E2192="",E2192="!!!",F2192="NEW"),"",INDEX(B2191:B$2,-1+SUMPRODUCT(MAX(ROW(E2191:E$2)*(E2192=E2191:E$2)))))</f>
        <v> </v>
      </c>
      <c r="J2192" s="25" t="str">
        <f>IF(OR(E2192="",E2192="!!!",F2192="NEW"),"",COUNTBLANK(OFFSET(A$1,,,SUMPRODUCT(MAX(ROW(E$2:E2192)*(E2192=E$2:E2192)))))-COUNTBLANK(OFFSET(A$1,,,SUMPRODUCT(MAX(ROW(E$1:E2191)*(E2=E$1:E2191))))))</f>
        <v> </v>
      </c>
      <c r="K2192" s="25" t="str">
        <f>IF(OR(E2192="",E2192="!!!",F2192="NEW"),"",INDEX(J$1:J2191,SUMPRODUCT(MAX(ROW(E$1:E2191)*(E2192=E$1:E2191)))))</f>
        <v> </v>
      </c>
      <c r="L2192" s="26"/>
    </row>
    <row r="2193" spans="1:12">
      <c r="A2193" s="20" t="s">
        <v>745</v>
      </c>
      <c r="E2193" s="21">
        <f>IF(D2193="?OLD","!!!","")</f>
        <v/>
      </c>
      <c r="F2193" s="22" t="str">
        <f>IF(OR(E2193="",E2193="!!!"),"",IF(NOT(ISNA(VLOOKUP(E2193,E$1:E2192,1,FALSE()))),"OLD",IF(AND(E2193&lt;&gt;"",E2193&lt;&gt;"!!!"),"NEW","")))</f>
        <v> </v>
      </c>
      <c r="G2193" s="23" t="str">
        <f>IF(OR(E2193="",E2193="!!!"),"",IF(OR(J2193=0,AND(J2193=1,K2193=1),AND(J2193=1,I2193="SBJ"),AND(J2193=1,I2193=0)),"?IN_FOCUS",IF(J2193&lt;=2,"?ACTIVATED",IF(J2193&lt;&gt;"","?FAMILIAR",IF(F2193="NEW",IF(ISNA(VLOOKUP(E2193,#REF!,1,FALSE())),"?TYPE_IDENTIFIABLE","?REFERENTIAL"),"_")))))</f>
        <v> </v>
      </c>
      <c r="H2193" s="24" t="str">
        <f>IF(J2193&lt;&gt;1,"",IF(I2193="SBJ","CB","?"))</f>
        <v> </v>
      </c>
      <c r="I2193" s="25" t="str">
        <f>IF(OR(E2193="",E2193="!!!",F2193="NEW"),"",INDEX(B2192:B$2,-1+SUMPRODUCT(MAX(ROW(E2192:E$2)*(E2193=E2192:E$2)))))</f>
        <v> </v>
      </c>
      <c r="J2193" s="25" t="str">
        <f>IF(OR(E2193="",E2193="!!!",F2193="NEW"),"",COUNTBLANK(OFFSET(A$1,,,SUMPRODUCT(MAX(ROW(E$2:E2193)*(E2193=E$2:E2193)))))-COUNTBLANK(OFFSET(A$1,,,SUMPRODUCT(MAX(ROW(E$1:E2192)*(E2=E$1:E2192))))))</f>
        <v> </v>
      </c>
      <c r="K2193" s="25" t="str">
        <f>IF(OR(E2193="",E2193="!!!",F2193="NEW"),"",INDEX(J$1:J2192,SUMPRODUCT(MAX(ROW(E$1:E2192)*(E2193=E$1:E2192)))))</f>
        <v> </v>
      </c>
      <c r="L2193" s="26"/>
    </row>
    <row r="2194" spans="1:12">
      <c r="A2194" s="20" t="s">
        <v>707</v>
      </c>
      <c r="E2194" s="21">
        <f>IF(D2194="?OLD","!!!","")</f>
        <v/>
      </c>
      <c r="F2194" s="22" t="str">
        <f>IF(OR(E2194="",E2194="!!!"),"",IF(NOT(ISNA(VLOOKUP(E2194,E$1:E2193,1,FALSE()))),"OLD",IF(AND(E2194&lt;&gt;"",E2194&lt;&gt;"!!!"),"NEW","")))</f>
        <v> </v>
      </c>
      <c r="G2194" s="23" t="str">
        <f>IF(OR(E2194="",E2194="!!!"),"",IF(OR(J2194=0,AND(J2194=1,K2194=1),AND(J2194=1,I2194="SBJ"),AND(J2194=1,I2194=0)),"?IN_FOCUS",IF(J2194&lt;=2,"?ACTIVATED",IF(J2194&lt;&gt;"","?FAMILIAR",IF(F2194="NEW",IF(ISNA(VLOOKUP(E2194,#REF!,1,FALSE())),"?TYPE_IDENTIFIABLE","?REFERENTIAL"),"_")))))</f>
        <v> </v>
      </c>
      <c r="H2194" s="24" t="str">
        <f>IF(J2194&lt;&gt;1,"",IF(I2194="SBJ","CB","?"))</f>
        <v> </v>
      </c>
      <c r="I2194" s="25" t="str">
        <f>IF(OR(E2194="",E2194="!!!",F2194="NEW"),"",INDEX(B2193:B$2,-1+SUMPRODUCT(MAX(ROW(E2193:E$2)*(E2194=E2193:E$2)))))</f>
        <v> </v>
      </c>
      <c r="J2194" s="25" t="str">
        <f>IF(OR(E2194="",E2194="!!!",F2194="NEW"),"",COUNTBLANK(OFFSET(A$1,,,SUMPRODUCT(MAX(ROW(E$2:E2194)*(E2194=E$2:E2194)))))-COUNTBLANK(OFFSET(A$1,,,SUMPRODUCT(MAX(ROW(E$1:E2193)*(E2=E$1:E2193))))))</f>
        <v> </v>
      </c>
      <c r="K2194" s="25" t="str">
        <f>IF(OR(E2194="",E2194="!!!",F2194="NEW"),"",INDEX(J$1:J2193,SUMPRODUCT(MAX(ROW(E$1:E2193)*(E2194=E$1:E2193)))))</f>
        <v> </v>
      </c>
      <c r="L2194" s="26"/>
    </row>
    <row r="2195" spans="1:12">
      <c r="A2195" s="20" t="s">
        <v>658</v>
      </c>
      <c r="E2195" s="21">
        <f>IF(D2195="?OLD","!!!","")</f>
        <v/>
      </c>
      <c r="F2195" s="22" t="str">
        <f>IF(OR(E2195="",E2195="!!!"),"",IF(NOT(ISNA(VLOOKUP(E2195,E$1:E2194,1,FALSE()))),"OLD",IF(AND(E2195&lt;&gt;"",E2195&lt;&gt;"!!!"),"NEW","")))</f>
        <v> </v>
      </c>
      <c r="G2195" s="23" t="str">
        <f>IF(OR(E2195="",E2195="!!!"),"",IF(OR(J2195=0,AND(J2195=1,K2195=1),AND(J2195=1,I2195="SBJ"),AND(J2195=1,I2195=0)),"?IN_FOCUS",IF(J2195&lt;=2,"?ACTIVATED",IF(J2195&lt;&gt;"","?FAMILIAR",IF(F2195="NEW",IF(ISNA(VLOOKUP(E2195,#REF!,1,FALSE())),"?TYPE_IDENTIFIABLE","?REFERENTIAL"),"_")))))</f>
        <v> </v>
      </c>
      <c r="H2195" s="24" t="str">
        <f>IF(J2195&lt;&gt;1,"",IF(I2195="SBJ","CB","?"))</f>
        <v> </v>
      </c>
      <c r="I2195" s="25" t="str">
        <f>IF(OR(E2195="",E2195="!!!",F2195="NEW"),"",INDEX(B2194:B$2,-1+SUMPRODUCT(MAX(ROW(E2194:E$2)*(E2195=E2194:E$2)))))</f>
        <v> </v>
      </c>
      <c r="J2195" s="25" t="str">
        <f>IF(OR(E2195="",E2195="!!!",F2195="NEW"),"",COUNTBLANK(OFFSET(A$1,,,SUMPRODUCT(MAX(ROW(E$2:E2195)*(E2195=E$2:E2195)))))-COUNTBLANK(OFFSET(A$1,,,SUMPRODUCT(MAX(ROW(E$1:E2194)*(E2=E$1:E2194))))))</f>
        <v> </v>
      </c>
      <c r="K2195" s="25" t="str">
        <f>IF(OR(E2195="",E2195="!!!",F2195="NEW"),"",INDEX(J$1:J2194,SUMPRODUCT(MAX(ROW(E$1:E2194)*(E2195=E$1:E2194)))))</f>
        <v> </v>
      </c>
      <c r="L2195" s="26"/>
    </row>
    <row r="2196" spans="1:12">
      <c r="A2196" s="20" t="s">
        <v>1427</v>
      </c>
      <c r="E2196" s="21">
        <f>IF(D2196="?OLD","!!!","")</f>
        <v/>
      </c>
      <c r="F2196" s="22" t="str">
        <f>IF(OR(E2196="",E2196="!!!"),"",IF(NOT(ISNA(VLOOKUP(E2196,E$1:E2195,1,FALSE()))),"OLD",IF(AND(E2196&lt;&gt;"",E2196&lt;&gt;"!!!"),"NEW","")))</f>
        <v> </v>
      </c>
      <c r="G2196" s="23" t="str">
        <f>IF(OR(E2196="",E2196="!!!"),"",IF(OR(J2196=0,AND(J2196=1,K2196=1),AND(J2196=1,I2196="SBJ"),AND(J2196=1,I2196=0)),"?IN_FOCUS",IF(J2196&lt;=2,"?ACTIVATED",IF(J2196&lt;&gt;"","?FAMILIAR",IF(F2196="NEW",IF(ISNA(VLOOKUP(E2196,#REF!,1,FALSE())),"?TYPE_IDENTIFIABLE","?REFERENTIAL"),"_")))))</f>
        <v> </v>
      </c>
      <c r="H2196" s="24" t="str">
        <f>IF(J2196&lt;&gt;1,"",IF(I2196="SBJ","CB","?"))</f>
        <v> </v>
      </c>
      <c r="I2196" s="25" t="str">
        <f>IF(OR(E2196="",E2196="!!!",F2196="NEW"),"",INDEX(B2195:B$2,-1+SUMPRODUCT(MAX(ROW(E2195:E$2)*(E2196=E2195:E$2)))))</f>
        <v> </v>
      </c>
      <c r="J2196" s="25" t="str">
        <f>IF(OR(E2196="",E2196="!!!",F2196="NEW"),"",COUNTBLANK(OFFSET(A$1,,,SUMPRODUCT(MAX(ROW(E$2:E2196)*(E2196=E$2:E2196)))))-COUNTBLANK(OFFSET(A$1,,,SUMPRODUCT(MAX(ROW(E$1:E2195)*(E2=E$1:E2195))))))</f>
        <v> </v>
      </c>
      <c r="K2196" s="25" t="str">
        <f>IF(OR(E2196="",E2196="!!!",F2196="NEW"),"",INDEX(J$1:J2195,SUMPRODUCT(MAX(ROW(E$1:E2195)*(E2196=E$1:E2195)))))</f>
        <v> </v>
      </c>
      <c r="L2196" s="26"/>
    </row>
    <row r="2197" spans="1:12">
      <c r="A2197" s="20" t="s">
        <v>1428</v>
      </c>
      <c r="B2197" s="27" t="s">
        <v>606</v>
      </c>
      <c r="C2197" s="27" t="s">
        <v>607</v>
      </c>
      <c r="D2197" s="27" t="s">
        <v>608</v>
      </c>
      <c r="E2197" s="21">
        <f>IF(D2197="?OLD","!!!","")</f>
        <v/>
      </c>
      <c r="F2197" s="22" t="str">
        <f>IF(OR(E2197="",E2197="!!!"),"",IF(NOT(ISNA(VLOOKUP(E2197,E$1:E2196,1,FALSE()))),"OLD",IF(AND(E2197&lt;&gt;"",E2197&lt;&gt;"!!!"),"NEW","")))</f>
        <v> </v>
      </c>
      <c r="G2197" s="23" t="str">
        <f>IF(OR(E2197="",E2197="!!!"),"",IF(OR(J2197=0,AND(J2197=1,K2197=1),AND(J2197=1,I2197="SBJ"),AND(J2197=1,I2197=0)),"?IN_FOCUS",IF(J2197&lt;=2,"?ACTIVATED",IF(J2197&lt;&gt;"","?FAMILIAR",IF(F2197="NEW",IF(ISNA(VLOOKUP(E2197,#REF!,1,FALSE())),"?TYPE_IDENTIFIABLE","?REFERENTIAL"),"_")))))</f>
        <v> </v>
      </c>
      <c r="H2197" s="24" t="str">
        <f>IF(J2197&lt;&gt;1,"",IF(I2197="SBJ","CB","?"))</f>
        <v> </v>
      </c>
      <c r="I2197" s="25" t="str">
        <f>IF(OR(E2197="",E2197="!!!",F2197="NEW"),"",INDEX(B2196:B$2,-1+SUMPRODUCT(MAX(ROW(E2196:E$2)*(E2197=E2196:E$2)))))</f>
        <v> </v>
      </c>
      <c r="J2197" s="25" t="str">
        <f>IF(OR(E2197="",E2197="!!!",F2197="NEW"),"",COUNTBLANK(OFFSET(A$1,,,SUMPRODUCT(MAX(ROW(E$2:E2197)*(E2197=E$2:E2197)))))-COUNTBLANK(OFFSET(A$1,,,SUMPRODUCT(MAX(ROW(E$1:E2196)*(E2=E$1:E2196))))))</f>
        <v> </v>
      </c>
      <c r="K2197" s="25" t="str">
        <f>IF(OR(E2197="",E2197="!!!",F2197="NEW"),"",INDEX(J$1:J2196,SUMPRODUCT(MAX(ROW(E$1:E2196)*(E2197=E$1:E2196)))))</f>
        <v> </v>
      </c>
      <c r="L2197" s="26"/>
    </row>
    <row r="2198" spans="1:12">
      <c r="A2198" s="20" t="s">
        <v>404</v>
      </c>
      <c r="E2198" s="21">
        <f>IF(D2198="?OLD","!!!","")</f>
        <v/>
      </c>
      <c r="F2198" s="22" t="str">
        <f>IF(OR(E2198="",E2198="!!!"),"",IF(NOT(ISNA(VLOOKUP(E2198,E$1:E2197,1,FALSE()))),"OLD",IF(AND(E2198&lt;&gt;"",E2198&lt;&gt;"!!!"),"NEW","")))</f>
        <v> </v>
      </c>
      <c r="G2198" s="23" t="str">
        <f>IF(OR(E2198="",E2198="!!!"),"",IF(OR(J2198=0,AND(J2198=1,K2198=1),AND(J2198=1,I2198="SBJ"),AND(J2198=1,I2198=0)),"?IN_FOCUS",IF(J2198&lt;=2,"?ACTIVATED",IF(J2198&lt;&gt;"","?FAMILIAR",IF(F2198="NEW",IF(ISNA(VLOOKUP(E2198,#REF!,1,FALSE())),"?TYPE_IDENTIFIABLE","?REFERENTIAL"),"_")))))</f>
        <v> </v>
      </c>
      <c r="H2198" s="24" t="str">
        <f>IF(J2198&lt;&gt;1,"",IF(I2198="SBJ","CB","?"))</f>
        <v> </v>
      </c>
      <c r="I2198" s="25" t="str">
        <f>IF(OR(E2198="",E2198="!!!",F2198="NEW"),"",INDEX(B2197:B$2,-1+SUMPRODUCT(MAX(ROW(E2197:E$2)*(E2198=E2197:E$2)))))</f>
        <v> </v>
      </c>
      <c r="J2198" s="25" t="str">
        <f>IF(OR(E2198="",E2198="!!!",F2198="NEW"),"",COUNTBLANK(OFFSET(A$1,,,SUMPRODUCT(MAX(ROW(E$2:E2198)*(E2198=E$2:E2198)))))-COUNTBLANK(OFFSET(A$1,,,SUMPRODUCT(MAX(ROW(E$1:E2197)*(E2=E$1:E2197))))))</f>
        <v> </v>
      </c>
      <c r="K2198" s="25" t="str">
        <f>IF(OR(E2198="",E2198="!!!",F2198="NEW"),"",INDEX(J$1:J2197,SUMPRODUCT(MAX(ROW(E$1:E2197)*(E2198=E$1:E2197)))))</f>
        <v> </v>
      </c>
      <c r="L2198" s="26"/>
    </row>
    <row r="2199" spans="1:12">
      <c r="A2199" s="20" t="s">
        <v>633</v>
      </c>
      <c r="E2199" s="21">
        <f>IF(D2199="?OLD","!!!","")</f>
        <v/>
      </c>
      <c r="F2199" s="22" t="str">
        <f>IF(OR(E2199="",E2199="!!!"),"",IF(NOT(ISNA(VLOOKUP(E2199,E$1:E2198,1,FALSE()))),"OLD",IF(AND(E2199&lt;&gt;"",E2199&lt;&gt;"!!!"),"NEW","")))</f>
        <v> </v>
      </c>
      <c r="G2199" s="23" t="str">
        <f>IF(OR(E2199="",E2199="!!!"),"",IF(OR(J2199=0,AND(J2199=1,K2199=1),AND(J2199=1,I2199="SBJ"),AND(J2199=1,I2199=0)),"?IN_FOCUS",IF(J2199&lt;=2,"?ACTIVATED",IF(J2199&lt;&gt;"","?FAMILIAR",IF(F2199="NEW",IF(ISNA(VLOOKUP(E2199,#REF!,1,FALSE())),"?TYPE_IDENTIFIABLE","?REFERENTIAL"),"_")))))</f>
        <v> </v>
      </c>
      <c r="H2199" s="24" t="str">
        <f>IF(J2199&lt;&gt;1,"",IF(I2199="SBJ","CB","?"))</f>
        <v> </v>
      </c>
      <c r="I2199" s="25" t="str">
        <f>IF(OR(E2199="",E2199="!!!",F2199="NEW"),"",INDEX(B2198:B$2,-1+SUMPRODUCT(MAX(ROW(E2198:E$2)*(E2199=E2198:E$2)))))</f>
        <v> </v>
      </c>
      <c r="J2199" s="25" t="str">
        <f>IF(OR(E2199="",E2199="!!!",F2199="NEW"),"",COUNTBLANK(OFFSET(A$1,,,SUMPRODUCT(MAX(ROW(E$2:E2199)*(E2199=E$2:E2199)))))-COUNTBLANK(OFFSET(A$1,,,SUMPRODUCT(MAX(ROW(E$1:E2198)*(E2=E$1:E2198))))))</f>
        <v> </v>
      </c>
      <c r="K2199" s="25" t="str">
        <f>IF(OR(E2199="",E2199="!!!",F2199="NEW"),"",INDEX(J$1:J2198,SUMPRODUCT(MAX(ROW(E$1:E2198)*(E2199=E$1:E2198)))))</f>
        <v> </v>
      </c>
      <c r="L2199" s="26"/>
    </row>
    <row r="2200" spans="1:12">
      <c r="A2200" s="20"/>
    </row>
    <row r="2201" spans="1:12">
      <c r="A2201" s="20" t="s">
        <v>1429</v>
      </c>
    </row>
    <row r="2202" spans="1:12">
      <c r="A2202" s="20" t="s">
        <v>890</v>
      </c>
      <c r="B2202" s="27" t="s">
        <v>636</v>
      </c>
      <c r="C2202" s="27" t="s">
        <v>637</v>
      </c>
      <c r="D2202" s="27" t="s">
        <v>608</v>
      </c>
      <c r="E2202" s="21">
        <f>IF(D2202="?OLD","!!!","")</f>
        <v/>
      </c>
      <c r="F2202" s="22" t="str">
        <f>IF(OR(E2202="",E2202="!!!"),"",IF(NOT(ISNA(VLOOKUP(E2202,E$1:E2201,1,FALSE()))),"OLD",IF(AND(E2202&lt;&gt;"",E2202&lt;&gt;"!!!"),"NEW","")))</f>
        <v> </v>
      </c>
      <c r="G2202" s="23" t="str">
        <f>IF(OR(E2202="",E2202="!!!"),"",IF(OR(J2202=0,AND(J2202=1,K2202=1),AND(J2202=1,I2202="SBJ"),AND(J2202=1,I2202=0)),"?IN_FOCUS",IF(J2202&lt;=2,"?ACTIVATED",IF(J2202&lt;&gt;"","?FAMILIAR",IF(F2202="NEW",IF(ISNA(VLOOKUP(E2202,#REF!,1,FALSE())),"?TYPE_IDENTIFIABLE","?REFERENTIAL"),"_")))))</f>
        <v> </v>
      </c>
      <c r="H2202" s="24" t="str">
        <f>IF(J2202&lt;&gt;1,"",IF(I2202="SBJ","CB","?"))</f>
        <v> </v>
      </c>
      <c r="I2202" s="25" t="str">
        <f>IF(OR(E2202="",E2202="!!!",F2202="NEW"),"",INDEX(B2201:B$2,-1+SUMPRODUCT(MAX(ROW(E2201:E$2)*(E2202=E2201:E$2)))))</f>
        <v> </v>
      </c>
      <c r="J2202" s="25" t="str">
        <f>IF(OR(E2202="",E2202="!!!",F2202="NEW"),"",COUNTBLANK(OFFSET(A$1,,,SUMPRODUCT(MAX(ROW(E$2:E2202)*(E2202=E$2:E2202)))))-COUNTBLANK(OFFSET(A$1,,,SUMPRODUCT(MAX(ROW(E$1:E2201)*(E2=E$1:E2201))))))</f>
        <v> </v>
      </c>
      <c r="K2202" s="25" t="str">
        <f>IF(OR(E2202="",E2202="!!!",F2202="NEW"),"",INDEX(J$1:J2201,SUMPRODUCT(MAX(ROW(E$1:E2201)*(E2202=E$1:E2201)))))</f>
        <v> </v>
      </c>
      <c r="L2202" s="26"/>
    </row>
    <row r="2203" spans="1:12">
      <c r="A2203" s="20" t="s">
        <v>638</v>
      </c>
      <c r="E2203" s="21">
        <f>IF(D2203="?OLD","!!!","")</f>
        <v/>
      </c>
      <c r="F2203" s="22" t="str">
        <f>IF(OR(E2203="",E2203="!!!"),"",IF(NOT(ISNA(VLOOKUP(E2203,E$1:E2202,1,FALSE()))),"OLD",IF(AND(E2203&lt;&gt;"",E2203&lt;&gt;"!!!"),"NEW","")))</f>
        <v> </v>
      </c>
      <c r="G2203" s="23" t="str">
        <f>IF(OR(E2203="",E2203="!!!"),"",IF(OR(J2203=0,AND(J2203=1,K2203=1),AND(J2203=1,I2203="SBJ"),AND(J2203=1,I2203=0)),"?IN_FOCUS",IF(J2203&lt;=2,"?ACTIVATED",IF(J2203&lt;&gt;"","?FAMILIAR",IF(F2203="NEW",IF(ISNA(VLOOKUP(E2203,#REF!,1,FALSE())),"?TYPE_IDENTIFIABLE","?REFERENTIAL"),"_")))))</f>
        <v> </v>
      </c>
      <c r="H2203" s="24" t="str">
        <f>IF(J2203&lt;&gt;1,"",IF(I2203="SBJ","CB","?"))</f>
        <v> </v>
      </c>
      <c r="I2203" s="25" t="str">
        <f>IF(OR(E2203="",E2203="!!!",F2203="NEW"),"",INDEX(B2202:B$2,-1+SUMPRODUCT(MAX(ROW(E2202:E$2)*(E2203=E2202:E$2)))))</f>
        <v> </v>
      </c>
      <c r="J2203" s="25" t="str">
        <f>IF(OR(E2203="",E2203="!!!",F2203="NEW"),"",COUNTBLANK(OFFSET(A$1,,,SUMPRODUCT(MAX(ROW(E$2:E2203)*(E2203=E$2:E2203)))))-COUNTBLANK(OFFSET(A$1,,,SUMPRODUCT(MAX(ROW(E$1:E2202)*(E2=E$1:E2202))))))</f>
        <v> </v>
      </c>
      <c r="K2203" s="25" t="str">
        <f>IF(OR(E2203="",E2203="!!!",F2203="NEW"),"",INDEX(J$1:J2202,SUMPRODUCT(MAX(ROW(E$1:E2202)*(E2203=E$1:E2202)))))</f>
        <v> </v>
      </c>
      <c r="L2203" s="26"/>
    </row>
    <row r="2204" spans="1:12">
      <c r="A2204" s="20" t="s">
        <v>801</v>
      </c>
      <c r="E2204" s="21">
        <f>IF(D2204="?OLD","!!!","")</f>
        <v/>
      </c>
      <c r="F2204" s="22" t="str">
        <f>IF(OR(E2204="",E2204="!!!"),"",IF(NOT(ISNA(VLOOKUP(E2204,E$1:E2203,1,FALSE()))),"OLD",IF(AND(E2204&lt;&gt;"",E2204&lt;&gt;"!!!"),"NEW","")))</f>
        <v> </v>
      </c>
      <c r="G2204" s="23" t="str">
        <f>IF(OR(E2204="",E2204="!!!"),"",IF(OR(J2204=0,AND(J2204=1,K2204=1),AND(J2204=1,I2204="SBJ"),AND(J2204=1,I2204=0)),"?IN_FOCUS",IF(J2204&lt;=2,"?ACTIVATED",IF(J2204&lt;&gt;"","?FAMILIAR",IF(F2204="NEW",IF(ISNA(VLOOKUP(E2204,#REF!,1,FALSE())),"?TYPE_IDENTIFIABLE","?REFERENTIAL"),"_")))))</f>
        <v> </v>
      </c>
      <c r="H2204" s="24" t="str">
        <f>IF(J2204&lt;&gt;1,"",IF(I2204="SBJ","CB","?"))</f>
        <v> </v>
      </c>
      <c r="I2204" s="25" t="str">
        <f>IF(OR(E2204="",E2204="!!!",F2204="NEW"),"",INDEX(B2203:B$2,-1+SUMPRODUCT(MAX(ROW(E2203:E$2)*(E2204=E2203:E$2)))))</f>
        <v> </v>
      </c>
      <c r="J2204" s="25" t="str">
        <f>IF(OR(E2204="",E2204="!!!",F2204="NEW"),"",COUNTBLANK(OFFSET(A$1,,,SUMPRODUCT(MAX(ROW(E$2:E2204)*(E2204=E$2:E2204)))))-COUNTBLANK(OFFSET(A$1,,,SUMPRODUCT(MAX(ROW(E$1:E2203)*(E2=E$1:E2203))))))</f>
        <v> </v>
      </c>
      <c r="K2204" s="25" t="str">
        <f>IF(OR(E2204="",E2204="!!!",F2204="NEW"),"",INDEX(J$1:J2203,SUMPRODUCT(MAX(ROW(E$1:E2203)*(E2204=E$1:E2203)))))</f>
        <v> </v>
      </c>
      <c r="L2204" s="26"/>
    </row>
    <row r="2205" spans="1:12">
      <c r="A2205" s="20" t="s">
        <v>1430</v>
      </c>
      <c r="E2205" s="21">
        <f>IF(D2205="?OLD","!!!","")</f>
        <v/>
      </c>
      <c r="F2205" s="22" t="str">
        <f>IF(OR(E2205="",E2205="!!!"),"",IF(NOT(ISNA(VLOOKUP(E2205,E$1:E2204,1,FALSE()))),"OLD",IF(AND(E2205&lt;&gt;"",E2205&lt;&gt;"!!!"),"NEW","")))</f>
        <v> </v>
      </c>
      <c r="G2205" s="23" t="str">
        <f>IF(OR(E2205="",E2205="!!!"),"",IF(OR(J2205=0,AND(J2205=1,K2205=1),AND(J2205=1,I2205="SBJ"),AND(J2205=1,I2205=0)),"?IN_FOCUS",IF(J2205&lt;=2,"?ACTIVATED",IF(J2205&lt;&gt;"","?FAMILIAR",IF(F2205="NEW",IF(ISNA(VLOOKUP(E2205,#REF!,1,FALSE())),"?TYPE_IDENTIFIABLE","?REFERENTIAL"),"_")))))</f>
        <v> </v>
      </c>
      <c r="H2205" s="24" t="str">
        <f>IF(J2205&lt;&gt;1,"",IF(I2205="SBJ","CB","?"))</f>
        <v> </v>
      </c>
      <c r="I2205" s="25" t="str">
        <f>IF(OR(E2205="",E2205="!!!",F2205="NEW"),"",INDEX(B2204:B$2,-1+SUMPRODUCT(MAX(ROW(E2204:E$2)*(E2205=E2204:E$2)))))</f>
        <v> </v>
      </c>
      <c r="J2205" s="25" t="str">
        <f>IF(OR(E2205="",E2205="!!!",F2205="NEW"),"",COUNTBLANK(OFFSET(A$1,,,SUMPRODUCT(MAX(ROW(E$2:E2205)*(E2205=E$2:E2205)))))-COUNTBLANK(OFFSET(A$1,,,SUMPRODUCT(MAX(ROW(E$1:E2204)*(E2=E$1:E2204))))))</f>
        <v> </v>
      </c>
      <c r="K2205" s="25" t="str">
        <f>IF(OR(E2205="",E2205="!!!",F2205="NEW"),"",INDEX(J$1:J2204,SUMPRODUCT(MAX(ROW(E$1:E2204)*(E2205=E$1:E2204)))))</f>
        <v> </v>
      </c>
      <c r="L2205" s="26"/>
    </row>
    <row r="2206" spans="1:12">
      <c r="A2206" s="20" t="s">
        <v>972</v>
      </c>
      <c r="B2206" s="27" t="s">
        <v>606</v>
      </c>
      <c r="C2206" s="27" t="s">
        <v>622</v>
      </c>
      <c r="E2206" s="21">
        <f>IF(D2206="?OLD","!!!","")</f>
        <v/>
      </c>
      <c r="F2206" s="22" t="str">
        <f>IF(OR(E2206="",E2206="!!!"),"",IF(NOT(ISNA(VLOOKUP(E2206,E$1:E2205,1,FALSE()))),"OLD",IF(AND(E2206&lt;&gt;"",E2206&lt;&gt;"!!!"),"NEW","")))</f>
        <v> </v>
      </c>
      <c r="G2206" s="23" t="str">
        <f>IF(OR(E2206="",E2206="!!!"),"",IF(OR(J2206=0,AND(J2206=1,K2206=1),AND(J2206=1,I2206="SBJ"),AND(J2206=1,I2206=0)),"?IN_FOCUS",IF(J2206&lt;=2,"?ACTIVATED",IF(J2206&lt;&gt;"","?FAMILIAR",IF(F2206="NEW",IF(ISNA(VLOOKUP(E2206,#REF!,1,FALSE())),"?TYPE_IDENTIFIABLE","?REFERENTIAL"),"_")))))</f>
        <v> </v>
      </c>
      <c r="H2206" s="24" t="str">
        <f>IF(J2206&lt;&gt;1,"",IF(I2206="SBJ","CB","?"))</f>
        <v> </v>
      </c>
      <c r="I2206" s="25" t="str">
        <f>IF(OR(E2206="",E2206="!!!",F2206="NEW"),"",INDEX(B2205:B$2,-1+SUMPRODUCT(MAX(ROW(E2205:E$2)*(E2206=E2205:E$2)))))</f>
        <v> </v>
      </c>
      <c r="J2206" s="25" t="str">
        <f>IF(OR(E2206="",E2206="!!!",F2206="NEW"),"",COUNTBLANK(OFFSET(A$1,,,SUMPRODUCT(MAX(ROW(E$2:E2206)*(E2206=E$2:E2206)))))-COUNTBLANK(OFFSET(A$1,,,SUMPRODUCT(MAX(ROW(E$1:E2205)*(E2=E$1:E2205))))))</f>
        <v> </v>
      </c>
      <c r="K2206" s="25" t="str">
        <f>IF(OR(E2206="",E2206="!!!",F2206="NEW"),"",INDEX(J$1:J2205,SUMPRODUCT(MAX(ROW(E$1:E2205)*(E2206=E$1:E2205)))))</f>
        <v> </v>
      </c>
      <c r="L2206" s="26"/>
    </row>
    <row r="2207" spans="1:12">
      <c r="A2207" s="20" t="s">
        <v>641</v>
      </c>
      <c r="E2207" s="21">
        <f>IF(D2207="?OLD","!!!","")</f>
        <v/>
      </c>
      <c r="F2207" s="22" t="str">
        <f>IF(OR(E2207="",E2207="!!!"),"",IF(NOT(ISNA(VLOOKUP(E2207,E$1:E2206,1,FALSE()))),"OLD",IF(AND(E2207&lt;&gt;"",E2207&lt;&gt;"!!!"),"NEW","")))</f>
        <v> </v>
      </c>
      <c r="G2207" s="23" t="str">
        <f>IF(OR(E2207="",E2207="!!!"),"",IF(OR(J2207=0,AND(J2207=1,K2207=1),AND(J2207=1,I2207="SBJ"),AND(J2207=1,I2207=0)),"?IN_FOCUS",IF(J2207&lt;=2,"?ACTIVATED",IF(J2207&lt;&gt;"","?FAMILIAR",IF(F2207="NEW",IF(ISNA(VLOOKUP(E2207,#REF!,1,FALSE())),"?TYPE_IDENTIFIABLE","?REFERENTIAL"),"_")))))</f>
        <v> </v>
      </c>
      <c r="H2207" s="24" t="str">
        <f>IF(J2207&lt;&gt;1,"",IF(I2207="SBJ","CB","?"))</f>
        <v> </v>
      </c>
      <c r="I2207" s="25" t="str">
        <f>IF(OR(E2207="",E2207="!!!",F2207="NEW"),"",INDEX(B2206:B$2,-1+SUMPRODUCT(MAX(ROW(E2206:E$2)*(E2207=E2206:E$2)))))</f>
        <v> </v>
      </c>
      <c r="J2207" s="25" t="str">
        <f>IF(OR(E2207="",E2207="!!!",F2207="NEW"),"",COUNTBLANK(OFFSET(A$1,,,SUMPRODUCT(MAX(ROW(E$2:E2207)*(E2207=E$2:E2207)))))-COUNTBLANK(OFFSET(A$1,,,SUMPRODUCT(MAX(ROW(E$1:E2206)*(E2=E$1:E2206))))))</f>
        <v> </v>
      </c>
      <c r="K2207" s="25" t="str">
        <f>IF(OR(E2207="",E2207="!!!",F2207="NEW"),"",INDEX(J$1:J2206,SUMPRODUCT(MAX(ROW(E$1:E2206)*(E2207=E$1:E2206)))))</f>
        <v> </v>
      </c>
      <c r="L2207" s="26"/>
    </row>
    <row r="2208" spans="1:12">
      <c r="A2208" s="20" t="s">
        <v>1016</v>
      </c>
      <c r="E2208" s="21">
        <f>IF(D2208="?OLD","!!!","")</f>
        <v/>
      </c>
      <c r="F2208" s="22" t="str">
        <f>IF(OR(E2208="",E2208="!!!"),"",IF(NOT(ISNA(VLOOKUP(E2208,E$1:E2207,1,FALSE()))),"OLD",IF(AND(E2208&lt;&gt;"",E2208&lt;&gt;"!!!"),"NEW","")))</f>
        <v> </v>
      </c>
      <c r="G2208" s="23" t="str">
        <f>IF(OR(E2208="",E2208="!!!"),"",IF(OR(J2208=0,AND(J2208=1,K2208=1),AND(J2208=1,I2208="SBJ"),AND(J2208=1,I2208=0)),"?IN_FOCUS",IF(J2208&lt;=2,"?ACTIVATED",IF(J2208&lt;&gt;"","?FAMILIAR",IF(F2208="NEW",IF(ISNA(VLOOKUP(E2208,#REF!,1,FALSE())),"?TYPE_IDENTIFIABLE","?REFERENTIAL"),"_")))))</f>
        <v> </v>
      </c>
      <c r="H2208" s="24" t="str">
        <f>IF(J2208&lt;&gt;1,"",IF(I2208="SBJ","CB","?"))</f>
        <v> </v>
      </c>
      <c r="I2208" s="25" t="str">
        <f>IF(OR(E2208="",E2208="!!!",F2208="NEW"),"",INDEX(B2207:B$2,-1+SUMPRODUCT(MAX(ROW(E2207:E$2)*(E2208=E2207:E$2)))))</f>
        <v> </v>
      </c>
      <c r="J2208" s="25" t="str">
        <f>IF(OR(E2208="",E2208="!!!",F2208="NEW"),"",COUNTBLANK(OFFSET(A$1,,,SUMPRODUCT(MAX(ROW(E$2:E2208)*(E2208=E$2:E2208)))))-COUNTBLANK(OFFSET(A$1,,,SUMPRODUCT(MAX(ROW(E$1:E2207)*(E2=E$1:E2207))))))</f>
        <v> </v>
      </c>
      <c r="K2208" s="25" t="str">
        <f>IF(OR(E2208="",E2208="!!!",F2208="NEW"),"",INDEX(J$1:J2207,SUMPRODUCT(MAX(ROW(E$1:E2207)*(E2208=E$1:E2207)))))</f>
        <v> </v>
      </c>
      <c r="L2208" s="26"/>
    </row>
    <row r="2209" spans="1:12">
      <c r="A2209" s="20" t="s">
        <v>609</v>
      </c>
      <c r="E2209" s="21">
        <f>IF(D2209="?OLD","!!!","")</f>
        <v/>
      </c>
      <c r="F2209" s="22" t="str">
        <f>IF(OR(E2209="",E2209="!!!"),"",IF(NOT(ISNA(VLOOKUP(E2209,E$1:E2208,1,FALSE()))),"OLD",IF(AND(E2209&lt;&gt;"",E2209&lt;&gt;"!!!"),"NEW","")))</f>
        <v> </v>
      </c>
      <c r="G2209" s="23" t="str">
        <f>IF(OR(E2209="",E2209="!!!"),"",IF(OR(J2209=0,AND(J2209=1,K2209=1),AND(J2209=1,I2209="SBJ"),AND(J2209=1,I2209=0)),"?IN_FOCUS",IF(J2209&lt;=2,"?ACTIVATED",IF(J2209&lt;&gt;"","?FAMILIAR",IF(F2209="NEW",IF(ISNA(VLOOKUP(E2209,#REF!,1,FALSE())),"?TYPE_IDENTIFIABLE","?REFERENTIAL"),"_")))))</f>
        <v> </v>
      </c>
      <c r="H2209" s="24" t="str">
        <f>IF(J2209&lt;&gt;1,"",IF(I2209="SBJ","CB","?"))</f>
        <v> </v>
      </c>
      <c r="I2209" s="25" t="str">
        <f>IF(OR(E2209="",E2209="!!!",F2209="NEW"),"",INDEX(B2208:B$2,-1+SUMPRODUCT(MAX(ROW(E2208:E$2)*(E2209=E2208:E$2)))))</f>
        <v> </v>
      </c>
      <c r="J2209" s="25" t="str">
        <f>IF(OR(E2209="",E2209="!!!",F2209="NEW"),"",COUNTBLANK(OFFSET(A$1,,,SUMPRODUCT(MAX(ROW(E$2:E2209)*(E2209=E$2:E2209)))))-COUNTBLANK(OFFSET(A$1,,,SUMPRODUCT(MAX(ROW(E$1:E2208)*(E2=E$1:E2208))))))</f>
        <v> </v>
      </c>
      <c r="K2209" s="25" t="str">
        <f>IF(OR(E2209="",E2209="!!!",F2209="NEW"),"",INDEX(J$1:J2208,SUMPRODUCT(MAX(ROW(E$1:E2208)*(E2209=E$1:E2208)))))</f>
        <v> </v>
      </c>
      <c r="L2209" s="26"/>
    </row>
    <row r="2210" spans="1:12">
      <c r="A2210" s="20" t="s">
        <v>1431</v>
      </c>
      <c r="B2210" s="27" t="s">
        <v>606</v>
      </c>
      <c r="C2210" s="27" t="s">
        <v>607</v>
      </c>
      <c r="D2210" s="27" t="s">
        <v>608</v>
      </c>
      <c r="E2210" s="21">
        <f>IF(D2210="?OLD","!!!","")</f>
        <v/>
      </c>
      <c r="F2210" s="22" t="str">
        <f>IF(OR(E2210="",E2210="!!!"),"",IF(NOT(ISNA(VLOOKUP(E2210,E$1:E2209,1,FALSE()))),"OLD",IF(AND(E2210&lt;&gt;"",E2210&lt;&gt;"!!!"),"NEW","")))</f>
        <v> </v>
      </c>
      <c r="G2210" s="23" t="str">
        <f>IF(OR(E2210="",E2210="!!!"),"",IF(OR(J2210=0,AND(J2210=1,K2210=1),AND(J2210=1,I2210="SBJ"),AND(J2210=1,I2210=0)),"?IN_FOCUS",IF(J2210&lt;=2,"?ACTIVATED",IF(J2210&lt;&gt;"","?FAMILIAR",IF(F2210="NEW",IF(ISNA(VLOOKUP(E2210,#REF!,1,FALSE())),"?TYPE_IDENTIFIABLE","?REFERENTIAL"),"_")))))</f>
        <v> </v>
      </c>
      <c r="H2210" s="24" t="str">
        <f>IF(J2210&lt;&gt;1,"",IF(I2210="SBJ","CB","?"))</f>
        <v> </v>
      </c>
      <c r="I2210" s="25" t="str">
        <f>IF(OR(E2210="",E2210="!!!",F2210="NEW"),"",INDEX(B2209:B$2,-1+SUMPRODUCT(MAX(ROW(E2209:E$2)*(E2210=E2209:E$2)))))</f>
        <v> </v>
      </c>
      <c r="J2210" s="25" t="str">
        <f>IF(OR(E2210="",E2210="!!!",F2210="NEW"),"",COUNTBLANK(OFFSET(A$1,,,SUMPRODUCT(MAX(ROW(E$2:E2210)*(E2210=E$2:E2210)))))-COUNTBLANK(OFFSET(A$1,,,SUMPRODUCT(MAX(ROW(E$1:E2209)*(E2=E$1:E2209))))))</f>
        <v> </v>
      </c>
      <c r="K2210" s="25" t="str">
        <f>IF(OR(E2210="",E2210="!!!",F2210="NEW"),"",INDEX(J$1:J2209,SUMPRODUCT(MAX(ROW(E$1:E2209)*(E2210=E$1:E2209)))))</f>
        <v> </v>
      </c>
      <c r="L2210" s="26"/>
    </row>
    <row r="2211" spans="1:12">
      <c r="A2211" s="20" t="s">
        <v>1432</v>
      </c>
      <c r="E2211" s="21">
        <f>IF(D2211="?OLD","!!!","")</f>
        <v/>
      </c>
      <c r="F2211" s="22" t="str">
        <f>IF(OR(E2211="",E2211="!!!"),"",IF(NOT(ISNA(VLOOKUP(E2211,E$1:E2210,1,FALSE()))),"OLD",IF(AND(E2211&lt;&gt;"",E2211&lt;&gt;"!!!"),"NEW","")))</f>
        <v> </v>
      </c>
      <c r="G2211" s="23" t="str">
        <f>IF(OR(E2211="",E2211="!!!"),"",IF(OR(J2211=0,AND(J2211=1,K2211=1),AND(J2211=1,I2211="SBJ"),AND(J2211=1,I2211=0)),"?IN_FOCUS",IF(J2211&lt;=2,"?ACTIVATED",IF(J2211&lt;&gt;"","?FAMILIAR",IF(F2211="NEW",IF(ISNA(VLOOKUP(E2211,#REF!,1,FALSE())),"?TYPE_IDENTIFIABLE","?REFERENTIAL"),"_")))))</f>
        <v> </v>
      </c>
      <c r="H2211" s="24" t="str">
        <f>IF(J2211&lt;&gt;1,"",IF(I2211="SBJ","CB","?"))</f>
        <v> </v>
      </c>
      <c r="I2211" s="25" t="str">
        <f>IF(OR(E2211="",E2211="!!!",F2211="NEW"),"",INDEX(B2210:B$2,-1+SUMPRODUCT(MAX(ROW(E2210:E$2)*(E2211=E2210:E$2)))))</f>
        <v> </v>
      </c>
      <c r="J2211" s="25" t="str">
        <f>IF(OR(E2211="",E2211="!!!",F2211="NEW"),"",COUNTBLANK(OFFSET(A$1,,,SUMPRODUCT(MAX(ROW(E$2:E2211)*(E2211=E$2:E2211)))))-COUNTBLANK(OFFSET(A$1,,,SUMPRODUCT(MAX(ROW(E$1:E2210)*(E2=E$1:E2210))))))</f>
        <v> </v>
      </c>
      <c r="K2211" s="25" t="str">
        <f>IF(OR(E2211="",E2211="!!!",F2211="NEW"),"",INDEX(J$1:J2210,SUMPRODUCT(MAX(ROW(E$1:E2210)*(E2211=E$1:E2210)))))</f>
        <v> </v>
      </c>
      <c r="L2211" s="26"/>
    </row>
    <row r="2212" spans="1:12">
      <c r="A2212" s="20" t="s">
        <v>644</v>
      </c>
      <c r="E2212" s="21">
        <f>IF(D2212="?OLD","!!!","")</f>
        <v/>
      </c>
      <c r="F2212" s="22" t="str">
        <f>IF(OR(E2212="",E2212="!!!"),"",IF(NOT(ISNA(VLOOKUP(E2212,E$1:E2211,1,FALSE()))),"OLD",IF(AND(E2212&lt;&gt;"",E2212&lt;&gt;"!!!"),"NEW","")))</f>
        <v> </v>
      </c>
      <c r="G2212" s="23" t="str">
        <f>IF(OR(E2212="",E2212="!!!"),"",IF(OR(J2212=0,AND(J2212=1,K2212=1),AND(J2212=1,I2212="SBJ"),AND(J2212=1,I2212=0)),"?IN_FOCUS",IF(J2212&lt;=2,"?ACTIVATED",IF(J2212&lt;&gt;"","?FAMILIAR",IF(F2212="NEW",IF(ISNA(VLOOKUP(E2212,#REF!,1,FALSE())),"?TYPE_IDENTIFIABLE","?REFERENTIAL"),"_")))))</f>
        <v> </v>
      </c>
      <c r="H2212" s="24" t="str">
        <f>IF(J2212&lt;&gt;1,"",IF(I2212="SBJ","CB","?"))</f>
        <v> </v>
      </c>
      <c r="I2212" s="25" t="str">
        <f>IF(OR(E2212="",E2212="!!!",F2212="NEW"),"",INDEX(B2211:B$2,-1+SUMPRODUCT(MAX(ROW(E2211:E$2)*(E2212=E2211:E$2)))))</f>
        <v> </v>
      </c>
      <c r="J2212" s="25" t="str">
        <f>IF(OR(E2212="",E2212="!!!",F2212="NEW"),"",COUNTBLANK(OFFSET(A$1,,,SUMPRODUCT(MAX(ROW(E$2:E2212)*(E2212=E$2:E2212)))))-COUNTBLANK(OFFSET(A$1,,,SUMPRODUCT(MAX(ROW(E$1:E2211)*(E2=E$1:E2211))))))</f>
        <v> </v>
      </c>
      <c r="K2212" s="25" t="str">
        <f>IF(OR(E2212="",E2212="!!!",F2212="NEW"),"",INDEX(J$1:J2211,SUMPRODUCT(MAX(ROW(E$1:E2211)*(E2212=E$1:E2211)))))</f>
        <v> </v>
      </c>
      <c r="L2212" s="26"/>
    </row>
    <row r="2213" spans="1:12">
      <c r="A2213" s="20" t="s">
        <v>1433</v>
      </c>
      <c r="E2213" s="21">
        <f>IF(D2213="?OLD","!!!","")</f>
        <v/>
      </c>
      <c r="F2213" s="22" t="str">
        <f>IF(OR(E2213="",E2213="!!!"),"",IF(NOT(ISNA(VLOOKUP(E2213,E$1:E2212,1,FALSE()))),"OLD",IF(AND(E2213&lt;&gt;"",E2213&lt;&gt;"!!!"),"NEW","")))</f>
        <v> </v>
      </c>
      <c r="G2213" s="23" t="str">
        <f>IF(OR(E2213="",E2213="!!!"),"",IF(OR(J2213=0,AND(J2213=1,K2213=1),AND(J2213=1,I2213="SBJ"),AND(J2213=1,I2213=0)),"?IN_FOCUS",IF(J2213&lt;=2,"?ACTIVATED",IF(J2213&lt;&gt;"","?FAMILIAR",IF(F2213="NEW",IF(ISNA(VLOOKUP(E2213,#REF!,1,FALSE())),"?TYPE_IDENTIFIABLE","?REFERENTIAL"),"_")))))</f>
        <v> </v>
      </c>
      <c r="H2213" s="24" t="str">
        <f>IF(J2213&lt;&gt;1,"",IF(I2213="SBJ","CB","?"))</f>
        <v> </v>
      </c>
      <c r="I2213" s="25" t="str">
        <f>IF(OR(E2213="",E2213="!!!",F2213="NEW"),"",INDEX(B2212:B$2,-1+SUMPRODUCT(MAX(ROW(E2212:E$2)*(E2213=E2212:E$2)))))</f>
        <v> </v>
      </c>
      <c r="J2213" s="25" t="str">
        <f>IF(OR(E2213="",E2213="!!!",F2213="NEW"),"",COUNTBLANK(OFFSET(A$1,,,SUMPRODUCT(MAX(ROW(E$2:E2213)*(E2213=E$2:E2213)))))-COUNTBLANK(OFFSET(A$1,,,SUMPRODUCT(MAX(ROW(E$1:E2212)*(E2=E$1:E2212))))))</f>
        <v> </v>
      </c>
      <c r="K2213" s="25" t="str">
        <f>IF(OR(E2213="",E2213="!!!",F2213="NEW"),"",INDEX(J$1:J2212,SUMPRODUCT(MAX(ROW(E$1:E2212)*(E2213=E$1:E2212)))))</f>
        <v> </v>
      </c>
      <c r="L2213" s="26"/>
    </row>
    <row r="2214" spans="1:12">
      <c r="A2214" s="20" t="s">
        <v>633</v>
      </c>
      <c r="E2214" s="21">
        <f>IF(D2214="?OLD","!!!","")</f>
        <v/>
      </c>
      <c r="F2214" s="22" t="str">
        <f>IF(OR(E2214="",E2214="!!!"),"",IF(NOT(ISNA(VLOOKUP(E2214,E$1:E2213,1,FALSE()))),"OLD",IF(AND(E2214&lt;&gt;"",E2214&lt;&gt;"!!!"),"NEW","")))</f>
        <v> </v>
      </c>
      <c r="G2214" s="23" t="str">
        <f>IF(OR(E2214="",E2214="!!!"),"",IF(OR(J2214=0,AND(J2214=1,K2214=1),AND(J2214=1,I2214="SBJ"),AND(J2214=1,I2214=0)),"?IN_FOCUS",IF(J2214&lt;=2,"?ACTIVATED",IF(J2214&lt;&gt;"","?FAMILIAR",IF(F2214="NEW",IF(ISNA(VLOOKUP(E2214,#REF!,1,FALSE())),"?TYPE_IDENTIFIABLE","?REFERENTIAL"),"_")))))</f>
        <v> </v>
      </c>
      <c r="H2214" s="24" t="str">
        <f>IF(J2214&lt;&gt;1,"",IF(I2214="SBJ","CB","?"))</f>
        <v> </v>
      </c>
      <c r="I2214" s="25" t="str">
        <f>IF(OR(E2214="",E2214="!!!",F2214="NEW"),"",INDEX(B2213:B$2,-1+SUMPRODUCT(MAX(ROW(E2213:E$2)*(E2214=E2213:E$2)))))</f>
        <v> </v>
      </c>
      <c r="J2214" s="25" t="str">
        <f>IF(OR(E2214="",E2214="!!!",F2214="NEW"),"",COUNTBLANK(OFFSET(A$1,,,SUMPRODUCT(MAX(ROW(E$2:E2214)*(E2214=E$2:E2214)))))-COUNTBLANK(OFFSET(A$1,,,SUMPRODUCT(MAX(ROW(E$1:E2213)*(E2=E$1:E2213))))))</f>
        <v> </v>
      </c>
      <c r="K2214" s="25" t="str">
        <f>IF(OR(E2214="",E2214="!!!",F2214="NEW"),"",INDEX(J$1:J2213,SUMPRODUCT(MAX(ROW(E$1:E2213)*(E2214=E$1:E2213)))))</f>
        <v> </v>
      </c>
      <c r="L2214" s="26"/>
    </row>
    <row r="2215" spans="1:12">
      <c r="A2215" s="20"/>
    </row>
    <row r="2216" spans="1:12">
      <c r="A2216" s="20" t="s">
        <v>1434</v>
      </c>
    </row>
    <row r="2217" spans="1:12">
      <c r="A2217" s="20" t="s">
        <v>881</v>
      </c>
      <c r="B2217" s="27" t="s">
        <v>611</v>
      </c>
      <c r="C2217" s="27" t="s">
        <v>614</v>
      </c>
      <c r="D2217" s="27" t="s">
        <v>608</v>
      </c>
      <c r="E2217" s="21">
        <f>IF(D2217="?OLD","!!!","")</f>
        <v/>
      </c>
      <c r="F2217" s="22" t="str">
        <f>IF(OR(E2217="",E2217="!!!"),"",IF(NOT(ISNA(VLOOKUP(E2217,E$1:E2216,1,FALSE()))),"OLD",IF(AND(E2217&lt;&gt;"",E2217&lt;&gt;"!!!"),"NEW","")))</f>
        <v> </v>
      </c>
      <c r="G2217" s="23" t="str">
        <f>IF(OR(E2217="",E2217="!!!"),"",IF(OR(J2217=0,AND(J2217=1,K2217=1),AND(J2217=1,I2217="SBJ"),AND(J2217=1,I2217=0)),"?IN_FOCUS",IF(J2217&lt;=2,"?ACTIVATED",IF(J2217&lt;&gt;"","?FAMILIAR",IF(F2217="NEW",IF(ISNA(VLOOKUP(E2217,#REF!,1,FALSE())),"?TYPE_IDENTIFIABLE","?REFERENTIAL"),"_")))))</f>
        <v> </v>
      </c>
      <c r="H2217" s="24" t="str">
        <f>IF(J2217&lt;&gt;1,"",IF(I2217="SBJ","CB","?"))</f>
        <v> </v>
      </c>
      <c r="I2217" s="25" t="str">
        <f>IF(OR(E2217="",E2217="!!!",F2217="NEW"),"",INDEX(B2216:B$2,-1+SUMPRODUCT(MAX(ROW(E2216:E$2)*(E2217=E2216:E$2)))))</f>
        <v> </v>
      </c>
      <c r="J2217" s="25" t="str">
        <f>IF(OR(E2217="",E2217="!!!",F2217="NEW"),"",COUNTBLANK(OFFSET(A$1,,,SUMPRODUCT(MAX(ROW(E$2:E2217)*(E2217=E$2:E2217)))))-COUNTBLANK(OFFSET(A$1,,,SUMPRODUCT(MAX(ROW(E$1:E2216)*(E2=E$1:E2216))))))</f>
        <v> </v>
      </c>
      <c r="K2217" s="25" t="str">
        <f>IF(OR(E2217="",E2217="!!!",F2217="NEW"),"",INDEX(J$1:J2216,SUMPRODUCT(MAX(ROW(E$1:E2216)*(E2217=E$1:E2216)))))</f>
        <v> </v>
      </c>
      <c r="L2217" s="26"/>
    </row>
    <row r="2218" spans="1:12">
      <c r="A2218" s="20" t="s">
        <v>1426</v>
      </c>
      <c r="B2218" s="27" t="s">
        <v>636</v>
      </c>
      <c r="C2218" s="27" t="s">
        <v>616</v>
      </c>
      <c r="D2218" s="27" t="s">
        <v>608</v>
      </c>
      <c r="E2218" s="21">
        <f>IF(D2218="?OLD","!!!","")</f>
        <v/>
      </c>
      <c r="F2218" s="22" t="str">
        <f>IF(OR(E2218="",E2218="!!!"),"",IF(NOT(ISNA(VLOOKUP(E2218,E$1:E2217,1,FALSE()))),"OLD",IF(AND(E2218&lt;&gt;"",E2218&lt;&gt;"!!!"),"NEW","")))</f>
        <v> </v>
      </c>
      <c r="G2218" s="23" t="str">
        <f>IF(OR(E2218="",E2218="!!!"),"",IF(OR(J2218=0,AND(J2218=1,K2218=1),AND(J2218=1,I2218="SBJ"),AND(J2218=1,I2218=0)),"?IN_FOCUS",IF(J2218&lt;=2,"?ACTIVATED",IF(J2218&lt;&gt;"","?FAMILIAR",IF(F2218="NEW",IF(ISNA(VLOOKUP(E2218,#REF!,1,FALSE())),"?TYPE_IDENTIFIABLE","?REFERENTIAL"),"_")))))</f>
        <v> </v>
      </c>
      <c r="H2218" s="24" t="str">
        <f>IF(J2218&lt;&gt;1,"",IF(I2218="SBJ","CB","?"))</f>
        <v> </v>
      </c>
      <c r="I2218" s="25" t="str">
        <f>IF(OR(E2218="",E2218="!!!",F2218="NEW"),"",INDEX(B2217:B$2,-1+SUMPRODUCT(MAX(ROW(E2217:E$2)*(E2218=E2217:E$2)))))</f>
        <v> </v>
      </c>
      <c r="J2218" s="25" t="str">
        <f>IF(OR(E2218="",E2218="!!!",F2218="NEW"),"",COUNTBLANK(OFFSET(A$1,,,SUMPRODUCT(MAX(ROW(E$2:E2218)*(E2218=E$2:E2218)))))-COUNTBLANK(OFFSET(A$1,,,SUMPRODUCT(MAX(ROW(E$1:E2217)*(E2=E$1:E2217))))))</f>
        <v> </v>
      </c>
      <c r="K2218" s="25" t="str">
        <f>IF(OR(E2218="",E2218="!!!",F2218="NEW"),"",INDEX(J$1:J2217,SUMPRODUCT(MAX(ROW(E$1:E2217)*(E2218=E$1:E2217)))))</f>
        <v> </v>
      </c>
      <c r="L2218" s="26"/>
    </row>
    <row r="2219" spans="1:12">
      <c r="A2219" s="20" t="s">
        <v>1435</v>
      </c>
      <c r="E2219" s="21">
        <f>IF(D2219="?OLD","!!!","")</f>
        <v/>
      </c>
      <c r="F2219" s="22" t="str">
        <f>IF(OR(E2219="",E2219="!!!"),"",IF(NOT(ISNA(VLOOKUP(E2219,E$1:E2218,1,FALSE()))),"OLD",IF(AND(E2219&lt;&gt;"",E2219&lt;&gt;"!!!"),"NEW","")))</f>
        <v> </v>
      </c>
      <c r="G2219" s="23" t="str">
        <f>IF(OR(E2219="",E2219="!!!"),"",IF(OR(J2219=0,AND(J2219=1,K2219=1),AND(J2219=1,I2219="SBJ"),AND(J2219=1,I2219=0)),"?IN_FOCUS",IF(J2219&lt;=2,"?ACTIVATED",IF(J2219&lt;&gt;"","?FAMILIAR",IF(F2219="NEW",IF(ISNA(VLOOKUP(E2219,#REF!,1,FALSE())),"?TYPE_IDENTIFIABLE","?REFERENTIAL"),"_")))))</f>
        <v> </v>
      </c>
      <c r="H2219" s="24" t="str">
        <f>IF(J2219&lt;&gt;1,"",IF(I2219="SBJ","CB","?"))</f>
        <v> </v>
      </c>
      <c r="I2219" s="25" t="str">
        <f>IF(OR(E2219="",E2219="!!!",F2219="NEW"),"",INDEX(B2218:B$2,-1+SUMPRODUCT(MAX(ROW(E2218:E$2)*(E2219=E2218:E$2)))))</f>
        <v> </v>
      </c>
      <c r="J2219" s="25" t="str">
        <f>IF(OR(E2219="",E2219="!!!",F2219="NEW"),"",COUNTBLANK(OFFSET(A$1,,,SUMPRODUCT(MAX(ROW(E$2:E2219)*(E2219=E$2:E2219)))))-COUNTBLANK(OFFSET(A$1,,,SUMPRODUCT(MAX(ROW(E$1:E2218)*(E2=E$1:E2218))))))</f>
        <v> </v>
      </c>
      <c r="K2219" s="25" t="str">
        <f>IF(OR(E2219="",E2219="!!!",F2219="NEW"),"",INDEX(J$1:J2218,SUMPRODUCT(MAX(ROW(E$1:E2218)*(E2219=E$1:E2218)))))</f>
        <v> </v>
      </c>
      <c r="L2219" s="26"/>
    </row>
    <row r="2220" spans="1:12">
      <c r="A2220" s="20" t="s">
        <v>618</v>
      </c>
      <c r="E2220" s="21">
        <f>IF(D2220="?OLD","!!!","")</f>
        <v/>
      </c>
      <c r="F2220" s="22" t="str">
        <f>IF(OR(E2220="",E2220="!!!"),"",IF(NOT(ISNA(VLOOKUP(E2220,E$1:E2219,1,FALSE()))),"OLD",IF(AND(E2220&lt;&gt;"",E2220&lt;&gt;"!!!"),"NEW","")))</f>
        <v> </v>
      </c>
      <c r="G2220" s="23" t="str">
        <f>IF(OR(E2220="",E2220="!!!"),"",IF(OR(J2220=0,AND(J2220=1,K2220=1),AND(J2220=1,I2220="SBJ"),AND(J2220=1,I2220=0)),"?IN_FOCUS",IF(J2220&lt;=2,"?ACTIVATED",IF(J2220&lt;&gt;"","?FAMILIAR",IF(F2220="NEW",IF(ISNA(VLOOKUP(E2220,#REF!,1,FALSE())),"?TYPE_IDENTIFIABLE","?REFERENTIAL"),"_")))))</f>
        <v> </v>
      </c>
      <c r="H2220" s="24" t="str">
        <f>IF(J2220&lt;&gt;1,"",IF(I2220="SBJ","CB","?"))</f>
        <v> </v>
      </c>
      <c r="I2220" s="25" t="str">
        <f>IF(OR(E2220="",E2220="!!!",F2220="NEW"),"",INDEX(B2219:B$2,-1+SUMPRODUCT(MAX(ROW(E2219:E$2)*(E2220=E2219:E$2)))))</f>
        <v> </v>
      </c>
      <c r="J2220" s="25" t="str">
        <f>IF(OR(E2220="",E2220="!!!",F2220="NEW"),"",COUNTBLANK(OFFSET(A$1,,,SUMPRODUCT(MAX(ROW(E$2:E2220)*(E2220=E$2:E2220)))))-COUNTBLANK(OFFSET(A$1,,,SUMPRODUCT(MAX(ROW(E$1:E2219)*(E2=E$1:E2219))))))</f>
        <v> </v>
      </c>
      <c r="K2220" s="25" t="str">
        <f>IF(OR(E2220="",E2220="!!!",F2220="NEW"),"",INDEX(J$1:J2219,SUMPRODUCT(MAX(ROW(E$1:E2219)*(E2220=E$1:E2219)))))</f>
        <v> </v>
      </c>
      <c r="L2220" s="26"/>
    </row>
    <row r="2221" spans="1:12">
      <c r="A2221" s="20" t="s">
        <v>989</v>
      </c>
      <c r="E2221" s="21">
        <f>IF(D2221="?OLD","!!!","")</f>
        <v/>
      </c>
      <c r="F2221" s="22" t="str">
        <f>IF(OR(E2221="",E2221="!!!"),"",IF(NOT(ISNA(VLOOKUP(E2221,E$1:E2220,1,FALSE()))),"OLD",IF(AND(E2221&lt;&gt;"",E2221&lt;&gt;"!!!"),"NEW","")))</f>
        <v> </v>
      </c>
      <c r="G2221" s="23" t="str">
        <f>IF(OR(E2221="",E2221="!!!"),"",IF(OR(J2221=0,AND(J2221=1,K2221=1),AND(J2221=1,I2221="SBJ"),AND(J2221=1,I2221=0)),"?IN_FOCUS",IF(J2221&lt;=2,"?ACTIVATED",IF(J2221&lt;&gt;"","?FAMILIAR",IF(F2221="NEW",IF(ISNA(VLOOKUP(E2221,#REF!,1,FALSE())),"?TYPE_IDENTIFIABLE","?REFERENTIAL"),"_")))))</f>
        <v> </v>
      </c>
      <c r="H2221" s="24" t="str">
        <f>IF(J2221&lt;&gt;1,"",IF(I2221="SBJ","CB","?"))</f>
        <v> </v>
      </c>
      <c r="I2221" s="25" t="str">
        <f>IF(OR(E2221="",E2221="!!!",F2221="NEW"),"",INDEX(B2220:B$2,-1+SUMPRODUCT(MAX(ROW(E2220:E$2)*(E2221=E2220:E$2)))))</f>
        <v> </v>
      </c>
      <c r="J2221" s="25" t="str">
        <f>IF(OR(E2221="",E2221="!!!",F2221="NEW"),"",COUNTBLANK(OFFSET(A$1,,,SUMPRODUCT(MAX(ROW(E$2:E2221)*(E2221=E$2:E2221)))))-COUNTBLANK(OFFSET(A$1,,,SUMPRODUCT(MAX(ROW(E$1:E2220)*(E2=E$1:E2220))))))</f>
        <v> </v>
      </c>
      <c r="K2221" s="25" t="str">
        <f>IF(OR(E2221="",E2221="!!!",F2221="NEW"),"",INDEX(J$1:J2220,SUMPRODUCT(MAX(ROW(E$1:E2220)*(E2221=E$1:E2220)))))</f>
        <v> </v>
      </c>
      <c r="L2221" s="26"/>
    </row>
    <row r="2222" spans="1:12">
      <c r="A2222" s="20" t="s">
        <v>187</v>
      </c>
      <c r="B2222" s="27" t="s">
        <v>619</v>
      </c>
      <c r="C2222" s="27" t="s">
        <v>607</v>
      </c>
      <c r="D2222" s="27" t="s">
        <v>608</v>
      </c>
      <c r="E2222" s="21">
        <f>IF(D2222="?OLD","!!!","")</f>
        <v/>
      </c>
      <c r="F2222" s="22" t="str">
        <f>IF(OR(E2222="",E2222="!!!"),"",IF(NOT(ISNA(VLOOKUP(E2222,E$1:E2221,1,FALSE()))),"OLD",IF(AND(E2222&lt;&gt;"",E2222&lt;&gt;"!!!"),"NEW","")))</f>
        <v> </v>
      </c>
      <c r="G2222" s="23" t="str">
        <f>IF(OR(E2222="",E2222="!!!"),"",IF(OR(J2222=0,AND(J2222=1,K2222=1),AND(J2222=1,I2222="SBJ"),AND(J2222=1,I2222=0)),"?IN_FOCUS",IF(J2222&lt;=2,"?ACTIVATED",IF(J2222&lt;&gt;"","?FAMILIAR",IF(F2222="NEW",IF(ISNA(VLOOKUP(E2222,#REF!,1,FALSE())),"?TYPE_IDENTIFIABLE","?REFERENTIAL"),"_")))))</f>
        <v> </v>
      </c>
      <c r="H2222" s="24" t="str">
        <f>IF(J2222&lt;&gt;1,"",IF(I2222="SBJ","CB","?"))</f>
        <v> </v>
      </c>
      <c r="I2222" s="25" t="str">
        <f>IF(OR(E2222="",E2222="!!!",F2222="NEW"),"",INDEX(B2221:B$2,-1+SUMPRODUCT(MAX(ROW(E2221:E$2)*(E2222=E2221:E$2)))))</f>
        <v> </v>
      </c>
      <c r="J2222" s="25" t="str">
        <f>IF(OR(E2222="",E2222="!!!",F2222="NEW"),"",COUNTBLANK(OFFSET(A$1,,,SUMPRODUCT(MAX(ROW(E$2:E2222)*(E2222=E$2:E2222)))))-COUNTBLANK(OFFSET(A$1,,,SUMPRODUCT(MAX(ROW(E$1:E2221)*(E2=E$1:E2221))))))</f>
        <v> </v>
      </c>
      <c r="K2222" s="25" t="str">
        <f>IF(OR(E2222="",E2222="!!!",F2222="NEW"),"",INDEX(J$1:J2221,SUMPRODUCT(MAX(ROW(E$1:E2221)*(E2222=E$1:E2221)))))</f>
        <v> </v>
      </c>
      <c r="L2222" s="26"/>
    </row>
    <row r="2223" spans="1:12">
      <c r="A2223" s="20" t="s">
        <v>1362</v>
      </c>
      <c r="E2223" s="21">
        <f>IF(D2223="?OLD","!!!","")</f>
        <v/>
      </c>
      <c r="F2223" s="22" t="str">
        <f>IF(OR(E2223="",E2223="!!!"),"",IF(NOT(ISNA(VLOOKUP(E2223,E$1:E2222,1,FALSE()))),"OLD",IF(AND(E2223&lt;&gt;"",E2223&lt;&gt;"!!!"),"NEW","")))</f>
        <v> </v>
      </c>
      <c r="G2223" s="23" t="str">
        <f>IF(OR(E2223="",E2223="!!!"),"",IF(OR(J2223=0,AND(J2223=1,K2223=1),AND(J2223=1,I2223="SBJ"),AND(J2223=1,I2223=0)),"?IN_FOCUS",IF(J2223&lt;=2,"?ACTIVATED",IF(J2223&lt;&gt;"","?FAMILIAR",IF(F2223="NEW",IF(ISNA(VLOOKUP(E2223,#REF!,1,FALSE())),"?TYPE_IDENTIFIABLE","?REFERENTIAL"),"_")))))</f>
        <v> </v>
      </c>
      <c r="H2223" s="24" t="str">
        <f>IF(J2223&lt;&gt;1,"",IF(I2223="SBJ","CB","?"))</f>
        <v> </v>
      </c>
      <c r="I2223" s="25" t="str">
        <f>IF(OR(E2223="",E2223="!!!",F2223="NEW"),"",INDEX(B2222:B$2,-1+SUMPRODUCT(MAX(ROW(E2222:E$2)*(E2223=E2222:E$2)))))</f>
        <v> </v>
      </c>
      <c r="J2223" s="25" t="str">
        <f>IF(OR(E2223="",E2223="!!!",F2223="NEW"),"",COUNTBLANK(OFFSET(A$1,,,SUMPRODUCT(MAX(ROW(E$2:E2223)*(E2223=E$2:E2223)))))-COUNTBLANK(OFFSET(A$1,,,SUMPRODUCT(MAX(ROW(E$1:E2222)*(E2=E$1:E2222))))))</f>
        <v> </v>
      </c>
      <c r="K2223" s="25" t="str">
        <f>IF(OR(E2223="",E2223="!!!",F2223="NEW"),"",INDEX(J$1:J2222,SUMPRODUCT(MAX(ROW(E$1:E2222)*(E2223=E$1:E2222)))))</f>
        <v> </v>
      </c>
      <c r="L2223" s="26"/>
    </row>
    <row r="2224" spans="1:12">
      <c r="A2224" s="20" t="s">
        <v>633</v>
      </c>
      <c r="E2224" s="21">
        <f>IF(D2224="?OLD","!!!","")</f>
        <v/>
      </c>
      <c r="F2224" s="22" t="str">
        <f>IF(OR(E2224="",E2224="!!!"),"",IF(NOT(ISNA(VLOOKUP(E2224,E$1:E2223,1,FALSE()))),"OLD",IF(AND(E2224&lt;&gt;"",E2224&lt;&gt;"!!!"),"NEW","")))</f>
        <v> </v>
      </c>
      <c r="G2224" s="23" t="str">
        <f>IF(OR(E2224="",E2224="!!!"),"",IF(OR(J2224=0,AND(J2224=1,K2224=1),AND(J2224=1,I2224="SBJ"),AND(J2224=1,I2224=0)),"?IN_FOCUS",IF(J2224&lt;=2,"?ACTIVATED",IF(J2224&lt;&gt;"","?FAMILIAR",IF(F2224="NEW",IF(ISNA(VLOOKUP(E2224,#REF!,1,FALSE())),"?TYPE_IDENTIFIABLE","?REFERENTIAL"),"_")))))</f>
        <v> </v>
      </c>
      <c r="H2224" s="24" t="str">
        <f>IF(J2224&lt;&gt;1,"",IF(I2224="SBJ","CB","?"))</f>
        <v> </v>
      </c>
      <c r="I2224" s="25" t="str">
        <f>IF(OR(E2224="",E2224="!!!",F2224="NEW"),"",INDEX(B2223:B$2,-1+SUMPRODUCT(MAX(ROW(E2223:E$2)*(E2224=E2223:E$2)))))</f>
        <v> </v>
      </c>
      <c r="J2224" s="25" t="str">
        <f>IF(OR(E2224="",E2224="!!!",F2224="NEW"),"",COUNTBLANK(OFFSET(A$1,,,SUMPRODUCT(MAX(ROW(E$2:E2224)*(E2224=E$2:E2224)))))-COUNTBLANK(OFFSET(A$1,,,SUMPRODUCT(MAX(ROW(E$1:E2223)*(E2=E$1:E2223))))))</f>
        <v> </v>
      </c>
      <c r="K2224" s="25" t="str">
        <f>IF(OR(E2224="",E2224="!!!",F2224="NEW"),"",INDEX(J$1:J2223,SUMPRODUCT(MAX(ROW(E$1:E2223)*(E2224=E$1:E2223)))))</f>
        <v> </v>
      </c>
      <c r="L2224" s="26"/>
    </row>
    <row r="2225" spans="1:12">
      <c r="A2225" s="20"/>
    </row>
    <row r="2226" spans="1:12">
      <c r="A2226" s="20" t="s">
        <v>1436</v>
      </c>
    </row>
    <row r="2227" spans="1:12">
      <c r="A2227" s="20" t="s">
        <v>870</v>
      </c>
      <c r="B2227" s="27" t="s">
        <v>611</v>
      </c>
      <c r="C2227" s="27" t="s">
        <v>614</v>
      </c>
      <c r="D2227" s="27" t="s">
        <v>608</v>
      </c>
      <c r="E2227" s="21">
        <f>IF(D2227="?OLD","!!!","")</f>
        <v/>
      </c>
      <c r="F2227" s="22" t="str">
        <f>IF(OR(E2227="",E2227="!!!"),"",IF(NOT(ISNA(VLOOKUP(E2227,E$1:E2226,1,FALSE()))),"OLD",IF(AND(E2227&lt;&gt;"",E2227&lt;&gt;"!!!"),"NEW","")))</f>
        <v> </v>
      </c>
      <c r="G2227" s="23" t="str">
        <f>IF(OR(E2227="",E2227="!!!"),"",IF(OR(J2227=0,AND(J2227=1,K2227=1),AND(J2227=1,I2227="SBJ"),AND(J2227=1,I2227=0)),"?IN_FOCUS",IF(J2227&lt;=2,"?ACTIVATED",IF(J2227&lt;&gt;"","?FAMILIAR",IF(F2227="NEW",IF(ISNA(VLOOKUP(E2227,#REF!,1,FALSE())),"?TYPE_IDENTIFIABLE","?REFERENTIAL"),"_")))))</f>
        <v> </v>
      </c>
      <c r="H2227" s="24" t="str">
        <f>IF(J2227&lt;&gt;1,"",IF(I2227="SBJ","CB","?"))</f>
        <v> </v>
      </c>
      <c r="I2227" s="25" t="str">
        <f>IF(OR(E2227="",E2227="!!!",F2227="NEW"),"",INDEX(B2226:B$2,-1+SUMPRODUCT(MAX(ROW(E2226:E$2)*(E2227=E2226:E$2)))))</f>
        <v> </v>
      </c>
      <c r="J2227" s="25" t="str">
        <f>IF(OR(E2227="",E2227="!!!",F2227="NEW"),"",COUNTBLANK(OFFSET(A$1,,,SUMPRODUCT(MAX(ROW(E$2:E2227)*(E2227=E$2:E2227)))))-COUNTBLANK(OFFSET(A$1,,,SUMPRODUCT(MAX(ROW(E$1:E2226)*(E2=E$1:E2226))))))</f>
        <v> </v>
      </c>
      <c r="K2227" s="25" t="str">
        <f>IF(OR(E2227="",E2227="!!!",F2227="NEW"),"",INDEX(J$1:J2226,SUMPRODUCT(MAX(ROW(E$1:E2226)*(E2227=E$1:E2226)))))</f>
        <v> </v>
      </c>
      <c r="L2227" s="26"/>
    </row>
    <row r="2228" spans="1:12">
      <c r="A2228" s="20" t="s">
        <v>621</v>
      </c>
      <c r="B2228" s="27" t="s">
        <v>636</v>
      </c>
      <c r="C2228" s="27" t="s">
        <v>616</v>
      </c>
      <c r="D2228" s="27" t="s">
        <v>608</v>
      </c>
      <c r="E2228" s="21">
        <f>IF(D2228="?OLD","!!!","")</f>
        <v/>
      </c>
      <c r="F2228" s="22" t="str">
        <f>IF(OR(E2228="",E2228="!!!"),"",IF(NOT(ISNA(VLOOKUP(E2228,E$1:E2227,1,FALSE()))),"OLD",IF(AND(E2228&lt;&gt;"",E2228&lt;&gt;"!!!"),"NEW","")))</f>
        <v> </v>
      </c>
      <c r="G2228" s="23" t="str">
        <f>IF(OR(E2228="",E2228="!!!"),"",IF(OR(J2228=0,AND(J2228=1,K2228=1),AND(J2228=1,I2228="SBJ"),AND(J2228=1,I2228=0)),"?IN_FOCUS",IF(J2228&lt;=2,"?ACTIVATED",IF(J2228&lt;&gt;"","?FAMILIAR",IF(F2228="NEW",IF(ISNA(VLOOKUP(E2228,#REF!,1,FALSE())),"?TYPE_IDENTIFIABLE","?REFERENTIAL"),"_")))))</f>
        <v> </v>
      </c>
      <c r="H2228" s="24" t="str">
        <f>IF(J2228&lt;&gt;1,"",IF(I2228="SBJ","CB","?"))</f>
        <v> </v>
      </c>
      <c r="I2228" s="25" t="str">
        <f>IF(OR(E2228="",E2228="!!!",F2228="NEW"),"",INDEX(B2227:B$2,-1+SUMPRODUCT(MAX(ROW(E2227:E$2)*(E2228=E2227:E$2)))))</f>
        <v> </v>
      </c>
      <c r="J2228" s="25" t="str">
        <f>IF(OR(E2228="",E2228="!!!",F2228="NEW"),"",COUNTBLANK(OFFSET(A$1,,,SUMPRODUCT(MAX(ROW(E$2:E2228)*(E2228=E$2:E2228)))))-COUNTBLANK(OFFSET(A$1,,,SUMPRODUCT(MAX(ROW(E$1:E2227)*(E2=E$1:E2227))))))</f>
        <v> </v>
      </c>
      <c r="K2228" s="25" t="str">
        <f>IF(OR(E2228="",E2228="!!!",F2228="NEW"),"",INDEX(J$1:J2227,SUMPRODUCT(MAX(ROW(E$1:E2227)*(E2228=E$1:E2227)))))</f>
        <v> </v>
      </c>
      <c r="L2228" s="26"/>
    </row>
    <row r="2229" spans="1:12">
      <c r="A2229" s="20" t="s">
        <v>415</v>
      </c>
      <c r="E2229" s="21">
        <f>IF(D2229="?OLD","!!!","")</f>
        <v/>
      </c>
      <c r="F2229" s="22" t="str">
        <f>IF(OR(E2229="",E2229="!!!"),"",IF(NOT(ISNA(VLOOKUP(E2229,E$1:E2228,1,FALSE()))),"OLD",IF(AND(E2229&lt;&gt;"",E2229&lt;&gt;"!!!"),"NEW","")))</f>
        <v> </v>
      </c>
      <c r="G2229" s="23" t="str">
        <f>IF(OR(E2229="",E2229="!!!"),"",IF(OR(J2229=0,AND(J2229=1,K2229=1),AND(J2229=1,I2229="SBJ"),AND(J2229=1,I2229=0)),"?IN_FOCUS",IF(J2229&lt;=2,"?ACTIVATED",IF(J2229&lt;&gt;"","?FAMILIAR",IF(F2229="NEW",IF(ISNA(VLOOKUP(E2229,#REF!,1,FALSE())),"?TYPE_IDENTIFIABLE","?REFERENTIAL"),"_")))))</f>
        <v> </v>
      </c>
      <c r="H2229" s="24" t="str">
        <f>IF(J2229&lt;&gt;1,"",IF(I2229="SBJ","CB","?"))</f>
        <v> </v>
      </c>
      <c r="I2229" s="25" t="str">
        <f>IF(OR(E2229="",E2229="!!!",F2229="NEW"),"",INDEX(B2228:B$2,-1+SUMPRODUCT(MAX(ROW(E2228:E$2)*(E2229=E2228:E$2)))))</f>
        <v> </v>
      </c>
      <c r="J2229" s="25" t="str">
        <f>IF(OR(E2229="",E2229="!!!",F2229="NEW"),"",COUNTBLANK(OFFSET(A$1,,,SUMPRODUCT(MAX(ROW(E$2:E2229)*(E2229=E$2:E2229)))))-COUNTBLANK(OFFSET(A$1,,,SUMPRODUCT(MAX(ROW(E$1:E2228)*(E2=E$1:E2228))))))</f>
        <v> </v>
      </c>
      <c r="K2229" s="25" t="str">
        <f>IF(OR(E2229="",E2229="!!!",F2229="NEW"),"",INDEX(J$1:J2228,SUMPRODUCT(MAX(ROW(E$1:E2228)*(E2229=E$1:E2228)))))</f>
        <v> </v>
      </c>
      <c r="L2229" s="26"/>
    </row>
    <row r="2230" spans="1:12">
      <c r="A2230" s="20" t="s">
        <v>624</v>
      </c>
      <c r="B2230" s="27" t="s">
        <v>625</v>
      </c>
      <c r="C2230" s="27" t="s">
        <v>626</v>
      </c>
      <c r="E2230" s="21">
        <f>IF(D2230="?OLD","!!!","")</f>
        <v/>
      </c>
      <c r="F2230" s="22" t="str">
        <f>IF(OR(E2230="",E2230="!!!"),"",IF(NOT(ISNA(VLOOKUP(E2230,E$1:E2229,1,FALSE()))),"OLD",IF(AND(E2230&lt;&gt;"",E2230&lt;&gt;"!!!"),"NEW","")))</f>
        <v> </v>
      </c>
      <c r="G2230" s="23" t="str">
        <f>IF(OR(E2230="",E2230="!!!"),"",IF(OR(J2230=0,AND(J2230=1,K2230=1),AND(J2230=1,I2230="SBJ"),AND(J2230=1,I2230=0)),"?IN_FOCUS",IF(J2230&lt;=2,"?ACTIVATED",IF(J2230&lt;&gt;"","?FAMILIAR",IF(F2230="NEW",IF(ISNA(VLOOKUP(E2230,#REF!,1,FALSE())),"?TYPE_IDENTIFIABLE","?REFERENTIAL"),"_")))))</f>
        <v> </v>
      </c>
      <c r="H2230" s="24" t="str">
        <f>IF(J2230&lt;&gt;1,"",IF(I2230="SBJ","CB","?"))</f>
        <v> </v>
      </c>
      <c r="I2230" s="25" t="str">
        <f>IF(OR(E2230="",E2230="!!!",F2230="NEW"),"",INDEX(B2229:B$2,-1+SUMPRODUCT(MAX(ROW(E2229:E$2)*(E2230=E2229:E$2)))))</f>
        <v> </v>
      </c>
      <c r="J2230" s="25" t="str">
        <f>IF(OR(E2230="",E2230="!!!",F2230="NEW"),"",COUNTBLANK(OFFSET(A$1,,,SUMPRODUCT(MAX(ROW(E$2:E2230)*(E2230=E$2:E2230)))))-COUNTBLANK(OFFSET(A$1,,,SUMPRODUCT(MAX(ROW(E$1:E2229)*(E2=E$1:E2229))))))</f>
        <v> </v>
      </c>
      <c r="K2230" s="25" t="str">
        <f>IF(OR(E2230="",E2230="!!!",F2230="NEW"),"",INDEX(J$1:J2229,SUMPRODUCT(MAX(ROW(E$1:E2229)*(E2230=E$1:E2229)))))</f>
        <v> </v>
      </c>
      <c r="L2230" s="26"/>
    </row>
    <row r="2231" spans="1:12">
      <c r="A2231" s="20" t="s">
        <v>1437</v>
      </c>
      <c r="E2231" s="21">
        <f>IF(D2231="?OLD","!!!","")</f>
        <v/>
      </c>
      <c r="F2231" s="22" t="str">
        <f>IF(OR(E2231="",E2231="!!!"),"",IF(NOT(ISNA(VLOOKUP(E2231,E$1:E2230,1,FALSE()))),"OLD",IF(AND(E2231&lt;&gt;"",E2231&lt;&gt;"!!!"),"NEW","")))</f>
        <v> </v>
      </c>
      <c r="G2231" s="23" t="str">
        <f>IF(OR(E2231="",E2231="!!!"),"",IF(OR(J2231=0,AND(J2231=1,K2231=1),AND(J2231=1,I2231="SBJ"),AND(J2231=1,I2231=0)),"?IN_FOCUS",IF(J2231&lt;=2,"?ACTIVATED",IF(J2231&lt;&gt;"","?FAMILIAR",IF(F2231="NEW",IF(ISNA(VLOOKUP(E2231,#REF!,1,FALSE())),"?TYPE_IDENTIFIABLE","?REFERENTIAL"),"_")))))</f>
        <v> </v>
      </c>
      <c r="H2231" s="24" t="str">
        <f>IF(J2231&lt;&gt;1,"",IF(I2231="SBJ","CB","?"))</f>
        <v> </v>
      </c>
      <c r="I2231" s="25" t="str">
        <f>IF(OR(E2231="",E2231="!!!",F2231="NEW"),"",INDEX(B2230:B$2,-1+SUMPRODUCT(MAX(ROW(E2230:E$2)*(E2231=E2230:E$2)))))</f>
        <v> </v>
      </c>
      <c r="J2231" s="25" t="str">
        <f>IF(OR(E2231="",E2231="!!!",F2231="NEW"),"",COUNTBLANK(OFFSET(A$1,,,SUMPRODUCT(MAX(ROW(E$2:E2231)*(E2231=E$2:E2231)))))-COUNTBLANK(OFFSET(A$1,,,SUMPRODUCT(MAX(ROW(E$1:E2230)*(E2=E$1:E2230))))))</f>
        <v> </v>
      </c>
      <c r="K2231" s="25" t="str">
        <f>IF(OR(E2231="",E2231="!!!",F2231="NEW"),"",INDEX(J$1:J2230,SUMPRODUCT(MAX(ROW(E$1:E2230)*(E2231=E$1:E2230)))))</f>
        <v> </v>
      </c>
      <c r="L2231" s="26"/>
    </row>
    <row r="2232" spans="1:12">
      <c r="A2232" s="20" t="s">
        <v>1388</v>
      </c>
      <c r="B2232" s="27" t="s">
        <v>653</v>
      </c>
      <c r="C2232" s="27" t="s">
        <v>622</v>
      </c>
      <c r="E2232" s="21">
        <f>IF(D2232="?OLD","!!!","")</f>
        <v/>
      </c>
      <c r="F2232" s="22" t="str">
        <f>IF(OR(E2232="",E2232="!!!"),"",IF(NOT(ISNA(VLOOKUP(E2232,E$1:E2231,1,FALSE()))),"OLD",IF(AND(E2232&lt;&gt;"",E2232&lt;&gt;"!!!"),"NEW","")))</f>
        <v> </v>
      </c>
      <c r="G2232" s="23" t="str">
        <f>IF(OR(E2232="",E2232="!!!"),"",IF(OR(J2232=0,AND(J2232=1,K2232=1),AND(J2232=1,I2232="SBJ"),AND(J2232=1,I2232=0)),"?IN_FOCUS",IF(J2232&lt;=2,"?ACTIVATED",IF(J2232&lt;&gt;"","?FAMILIAR",IF(F2232="NEW",IF(ISNA(VLOOKUP(E2232,#REF!,1,FALSE())),"?TYPE_IDENTIFIABLE","?REFERENTIAL"),"_")))))</f>
        <v> </v>
      </c>
      <c r="H2232" s="24" t="str">
        <f>IF(J2232&lt;&gt;1,"",IF(I2232="SBJ","CB","?"))</f>
        <v> </v>
      </c>
      <c r="I2232" s="25" t="str">
        <f>IF(OR(E2232="",E2232="!!!",F2232="NEW"),"",INDEX(B2231:B$2,-1+SUMPRODUCT(MAX(ROW(E2231:E$2)*(E2232=E2231:E$2)))))</f>
        <v> </v>
      </c>
      <c r="J2232" s="25" t="str">
        <f>IF(OR(E2232="",E2232="!!!",F2232="NEW"),"",COUNTBLANK(OFFSET(A$1,,,SUMPRODUCT(MAX(ROW(E$2:E2232)*(E2232=E$2:E2232)))))-COUNTBLANK(OFFSET(A$1,,,SUMPRODUCT(MAX(ROW(E$1:E2231)*(E2=E$1:E2231))))))</f>
        <v> </v>
      </c>
      <c r="K2232" s="25" t="str">
        <f>IF(OR(E2232="",E2232="!!!",F2232="NEW"),"",INDEX(J$1:J2231,SUMPRODUCT(MAX(ROW(E$1:E2231)*(E2232=E$1:E2231)))))</f>
        <v> </v>
      </c>
      <c r="L2232" s="26"/>
    </row>
    <row r="2233" spans="1:12">
      <c r="A2233" s="20" t="s">
        <v>644</v>
      </c>
      <c r="E2233" s="21">
        <f>IF(D2233="?OLD","!!!","")</f>
        <v/>
      </c>
      <c r="F2233" s="22" t="str">
        <f>IF(OR(E2233="",E2233="!!!"),"",IF(NOT(ISNA(VLOOKUP(E2233,E$1:E2232,1,FALSE()))),"OLD",IF(AND(E2233&lt;&gt;"",E2233&lt;&gt;"!!!"),"NEW","")))</f>
        <v> </v>
      </c>
      <c r="G2233" s="23" t="str">
        <f>IF(OR(E2233="",E2233="!!!"),"",IF(OR(J2233=0,AND(J2233=1,K2233=1),AND(J2233=1,I2233="SBJ"),AND(J2233=1,I2233=0)),"?IN_FOCUS",IF(J2233&lt;=2,"?ACTIVATED",IF(J2233&lt;&gt;"","?FAMILIAR",IF(F2233="NEW",IF(ISNA(VLOOKUP(E2233,#REF!,1,FALSE())),"?TYPE_IDENTIFIABLE","?REFERENTIAL"),"_")))))</f>
        <v> </v>
      </c>
      <c r="H2233" s="24" t="str">
        <f>IF(J2233&lt;&gt;1,"",IF(I2233="SBJ","CB","?"))</f>
        <v> </v>
      </c>
      <c r="I2233" s="25" t="str">
        <f>IF(OR(E2233="",E2233="!!!",F2233="NEW"),"",INDEX(B2232:B$2,-1+SUMPRODUCT(MAX(ROW(E2232:E$2)*(E2233=E2232:E$2)))))</f>
        <v> </v>
      </c>
      <c r="J2233" s="25" t="str">
        <f>IF(OR(E2233="",E2233="!!!",F2233="NEW"),"",COUNTBLANK(OFFSET(A$1,,,SUMPRODUCT(MAX(ROW(E$2:E2233)*(E2233=E$2:E2233)))))-COUNTBLANK(OFFSET(A$1,,,SUMPRODUCT(MAX(ROW(E$1:E2232)*(E2=E$1:E2232))))))</f>
        <v> </v>
      </c>
      <c r="K2233" s="25" t="str">
        <f>IF(OR(E2233="",E2233="!!!",F2233="NEW"),"",INDEX(J$1:J2232,SUMPRODUCT(MAX(ROW(E$1:E2232)*(E2233=E$1:E2232)))))</f>
        <v> </v>
      </c>
      <c r="L2233" s="26"/>
    </row>
    <row r="2234" spans="1:12">
      <c r="A2234" s="20" t="s">
        <v>807</v>
      </c>
      <c r="B2234" s="27" t="s">
        <v>619</v>
      </c>
      <c r="C2234" s="27" t="s">
        <v>652</v>
      </c>
      <c r="D2234" s="27" t="s">
        <v>608</v>
      </c>
      <c r="E2234" s="21">
        <f>IF(D2234="?OLD","!!!","")</f>
        <v/>
      </c>
      <c r="F2234" s="22" t="str">
        <f>IF(OR(E2234="",E2234="!!!"),"",IF(NOT(ISNA(VLOOKUP(E2234,E$1:E2233,1,FALSE()))),"OLD",IF(AND(E2234&lt;&gt;"",E2234&lt;&gt;"!!!"),"NEW","")))</f>
        <v> </v>
      </c>
      <c r="G2234" s="23" t="str">
        <f>IF(OR(E2234="",E2234="!!!"),"",IF(OR(J2234=0,AND(J2234=1,K2234=1),AND(J2234=1,I2234="SBJ"),AND(J2234=1,I2234=0)),"?IN_FOCUS",IF(J2234&lt;=2,"?ACTIVATED",IF(J2234&lt;&gt;"","?FAMILIAR",IF(F2234="NEW",IF(ISNA(VLOOKUP(E2234,#REF!,1,FALSE())),"?TYPE_IDENTIFIABLE","?REFERENTIAL"),"_")))))</f>
        <v> </v>
      </c>
      <c r="H2234" s="24" t="str">
        <f>IF(J2234&lt;&gt;1,"",IF(I2234="SBJ","CB","?"))</f>
        <v> </v>
      </c>
      <c r="I2234" s="25" t="str">
        <f>IF(OR(E2234="",E2234="!!!",F2234="NEW"),"",INDEX(B2233:B$2,-1+SUMPRODUCT(MAX(ROW(E2233:E$2)*(E2234=E2233:E$2)))))</f>
        <v> </v>
      </c>
      <c r="J2234" s="25" t="str">
        <f>IF(OR(E2234="",E2234="!!!",F2234="NEW"),"",COUNTBLANK(OFFSET(A$1,,,SUMPRODUCT(MAX(ROW(E$2:E2234)*(E2234=E$2:E2234)))))-COUNTBLANK(OFFSET(A$1,,,SUMPRODUCT(MAX(ROW(E$1:E2233)*(E2=E$1:E2233))))))</f>
        <v> </v>
      </c>
      <c r="K2234" s="25" t="str">
        <f>IF(OR(E2234="",E2234="!!!",F2234="NEW"),"",INDEX(J$1:J2233,SUMPRODUCT(MAX(ROW(E$1:E2233)*(E2234=E$1:E2233)))))</f>
        <v> </v>
      </c>
      <c r="L2234" s="26"/>
    </row>
    <row r="2235" spans="1:12">
      <c r="A2235" s="20" t="s">
        <v>368</v>
      </c>
      <c r="E2235" s="21">
        <f>IF(D2235="?OLD","!!!","")</f>
        <v/>
      </c>
      <c r="F2235" s="22" t="str">
        <f>IF(OR(E2235="",E2235="!!!"),"",IF(NOT(ISNA(VLOOKUP(E2235,E$1:E2234,1,FALSE()))),"OLD",IF(AND(E2235&lt;&gt;"",E2235&lt;&gt;"!!!"),"NEW","")))</f>
        <v> </v>
      </c>
      <c r="G2235" s="23" t="str">
        <f>IF(OR(E2235="",E2235="!!!"),"",IF(OR(J2235=0,AND(J2235=1,K2235=1),AND(J2235=1,I2235="SBJ"),AND(J2235=1,I2235=0)),"?IN_FOCUS",IF(J2235&lt;=2,"?ACTIVATED",IF(J2235&lt;&gt;"","?FAMILIAR",IF(F2235="NEW",IF(ISNA(VLOOKUP(E2235,#REF!,1,FALSE())),"?TYPE_IDENTIFIABLE","?REFERENTIAL"),"_")))))</f>
        <v> </v>
      </c>
      <c r="H2235" s="24" t="str">
        <f>IF(J2235&lt;&gt;1,"",IF(I2235="SBJ","CB","?"))</f>
        <v> </v>
      </c>
      <c r="I2235" s="25" t="str">
        <f>IF(OR(E2235="",E2235="!!!",F2235="NEW"),"",INDEX(B2234:B$2,-1+SUMPRODUCT(MAX(ROW(E2234:E$2)*(E2235=E2234:E$2)))))</f>
        <v> </v>
      </c>
      <c r="J2235" s="25" t="str">
        <f>IF(OR(E2235="",E2235="!!!",F2235="NEW"),"",COUNTBLANK(OFFSET(A$1,,,SUMPRODUCT(MAX(ROW(E$2:E2235)*(E2235=E$2:E2235)))))-COUNTBLANK(OFFSET(A$1,,,SUMPRODUCT(MAX(ROW(E$1:E2234)*(E2=E$1:E2234))))))</f>
        <v> </v>
      </c>
      <c r="K2235" s="25" t="str">
        <f>IF(OR(E2235="",E2235="!!!",F2235="NEW"),"",INDEX(J$1:J2234,SUMPRODUCT(MAX(ROW(E$1:E2234)*(E2235=E$1:E2234)))))</f>
        <v> </v>
      </c>
      <c r="L2235" s="26"/>
    </row>
    <row r="2236" spans="1:12">
      <c r="A2236" s="20" t="s">
        <v>756</v>
      </c>
      <c r="E2236" s="21">
        <f>IF(D2236="?OLD","!!!","")</f>
        <v/>
      </c>
      <c r="F2236" s="22" t="str">
        <f>IF(OR(E2236="",E2236="!!!"),"",IF(NOT(ISNA(VLOOKUP(E2236,E$1:E2235,1,FALSE()))),"OLD",IF(AND(E2236&lt;&gt;"",E2236&lt;&gt;"!!!"),"NEW","")))</f>
        <v> </v>
      </c>
      <c r="G2236" s="23" t="str">
        <f>IF(OR(E2236="",E2236="!!!"),"",IF(OR(J2236=0,AND(J2236=1,K2236=1),AND(J2236=1,I2236="SBJ"),AND(J2236=1,I2236=0)),"?IN_FOCUS",IF(J2236&lt;=2,"?ACTIVATED",IF(J2236&lt;&gt;"","?FAMILIAR",IF(F2236="NEW",IF(ISNA(VLOOKUP(E2236,#REF!,1,FALSE())),"?TYPE_IDENTIFIABLE","?REFERENTIAL"),"_")))))</f>
        <v> </v>
      </c>
      <c r="H2236" s="24" t="str">
        <f>IF(J2236&lt;&gt;1,"",IF(I2236="SBJ","CB","?"))</f>
        <v> </v>
      </c>
      <c r="I2236" s="25" t="str">
        <f>IF(OR(E2236="",E2236="!!!",F2236="NEW"),"",INDEX(B2235:B$2,-1+SUMPRODUCT(MAX(ROW(E2235:E$2)*(E2236=E2235:E$2)))))</f>
        <v> </v>
      </c>
      <c r="J2236" s="25" t="str">
        <f>IF(OR(E2236="",E2236="!!!",F2236="NEW"),"",COUNTBLANK(OFFSET(A$1,,,SUMPRODUCT(MAX(ROW(E$2:E2236)*(E2236=E$2:E2236)))))-COUNTBLANK(OFFSET(A$1,,,SUMPRODUCT(MAX(ROW(E$1:E2235)*(E2=E$1:E2235))))))</f>
        <v> </v>
      </c>
      <c r="K2236" s="25" t="str">
        <f>IF(OR(E2236="",E2236="!!!",F2236="NEW"),"",INDEX(J$1:J2235,SUMPRODUCT(MAX(ROW(E$1:E2235)*(E2236=E$1:E2235)))))</f>
        <v> </v>
      </c>
      <c r="L2236" s="26"/>
    </row>
    <row r="2237" spans="1:12">
      <c r="A2237" s="20" t="s">
        <v>618</v>
      </c>
      <c r="E2237" s="21">
        <f>IF(D2237="?OLD","!!!","")</f>
        <v/>
      </c>
      <c r="F2237" s="22" t="str">
        <f>IF(OR(E2237="",E2237="!!!"),"",IF(NOT(ISNA(VLOOKUP(E2237,E$1:E2236,1,FALSE()))),"OLD",IF(AND(E2237&lt;&gt;"",E2237&lt;&gt;"!!!"),"NEW","")))</f>
        <v> </v>
      </c>
      <c r="G2237" s="23" t="str">
        <f>IF(OR(E2237="",E2237="!!!"),"",IF(OR(J2237=0,AND(J2237=1,K2237=1),AND(J2237=1,I2237="SBJ"),AND(J2237=1,I2237=0)),"?IN_FOCUS",IF(J2237&lt;=2,"?ACTIVATED",IF(J2237&lt;&gt;"","?FAMILIAR",IF(F2237="NEW",IF(ISNA(VLOOKUP(E2237,#REF!,1,FALSE())),"?TYPE_IDENTIFIABLE","?REFERENTIAL"),"_")))))</f>
        <v> </v>
      </c>
      <c r="H2237" s="24" t="str">
        <f>IF(J2237&lt;&gt;1,"",IF(I2237="SBJ","CB","?"))</f>
        <v> </v>
      </c>
      <c r="I2237" s="25" t="str">
        <f>IF(OR(E2237="",E2237="!!!",F2237="NEW"),"",INDEX(B2236:B$2,-1+SUMPRODUCT(MAX(ROW(E2236:E$2)*(E2237=E2236:E$2)))))</f>
        <v> </v>
      </c>
      <c r="J2237" s="25" t="str">
        <f>IF(OR(E2237="",E2237="!!!",F2237="NEW"),"",COUNTBLANK(OFFSET(A$1,,,SUMPRODUCT(MAX(ROW(E$2:E2237)*(E2237=E$2:E2237)))))-COUNTBLANK(OFFSET(A$1,,,SUMPRODUCT(MAX(ROW(E$1:E2236)*(E2=E$1:E2236))))))</f>
        <v> </v>
      </c>
      <c r="K2237" s="25" t="str">
        <f>IF(OR(E2237="",E2237="!!!",F2237="NEW"),"",INDEX(J$1:J2236,SUMPRODUCT(MAX(ROW(E$1:E2236)*(E2237=E$1:E2236)))))</f>
        <v> </v>
      </c>
      <c r="L2237" s="26"/>
    </row>
    <row r="2238" spans="1:12">
      <c r="A2238" s="20" t="s">
        <v>1062</v>
      </c>
      <c r="E2238" s="21">
        <f>IF(D2238="?OLD","!!!","")</f>
        <v/>
      </c>
      <c r="F2238" s="22" t="str">
        <f>IF(OR(E2238="",E2238="!!!"),"",IF(NOT(ISNA(VLOOKUP(E2238,E$1:E2237,1,FALSE()))),"OLD",IF(AND(E2238&lt;&gt;"",E2238&lt;&gt;"!!!"),"NEW","")))</f>
        <v> </v>
      </c>
      <c r="G2238" s="23" t="str">
        <f>IF(OR(E2238="",E2238="!!!"),"",IF(OR(J2238=0,AND(J2238=1,K2238=1),AND(J2238=1,I2238="SBJ"),AND(J2238=1,I2238=0)),"?IN_FOCUS",IF(J2238&lt;=2,"?ACTIVATED",IF(J2238&lt;&gt;"","?FAMILIAR",IF(F2238="NEW",IF(ISNA(VLOOKUP(E2238,#REF!,1,FALSE())),"?TYPE_IDENTIFIABLE","?REFERENTIAL"),"_")))))</f>
        <v> </v>
      </c>
      <c r="H2238" s="24" t="str">
        <f>IF(J2238&lt;&gt;1,"",IF(I2238="SBJ","CB","?"))</f>
        <v> </v>
      </c>
      <c r="I2238" s="25" t="str">
        <f>IF(OR(E2238="",E2238="!!!",F2238="NEW"),"",INDEX(B2237:B$2,-1+SUMPRODUCT(MAX(ROW(E2237:E$2)*(E2238=E2237:E$2)))))</f>
        <v> </v>
      </c>
      <c r="J2238" s="25" t="str">
        <f>IF(OR(E2238="",E2238="!!!",F2238="NEW"),"",COUNTBLANK(OFFSET(A$1,,,SUMPRODUCT(MAX(ROW(E$2:E2238)*(E2238=E$2:E2238)))))-COUNTBLANK(OFFSET(A$1,,,SUMPRODUCT(MAX(ROW(E$1:E2237)*(E2=E$1:E2237))))))</f>
        <v> </v>
      </c>
      <c r="K2238" s="25" t="str">
        <f>IF(OR(E2238="",E2238="!!!",F2238="NEW"),"",INDEX(J$1:J2237,SUMPRODUCT(MAX(ROW(E$1:E2237)*(E2238=E$1:E2237)))))</f>
        <v> </v>
      </c>
      <c r="L2238" s="26"/>
    </row>
    <row r="2239" spans="1:12">
      <c r="A2239" s="20" t="s">
        <v>187</v>
      </c>
      <c r="B2239" s="27" t="s">
        <v>657</v>
      </c>
      <c r="C2239" s="27" t="s">
        <v>607</v>
      </c>
      <c r="D2239" s="27" t="s">
        <v>608</v>
      </c>
      <c r="E2239" s="21">
        <f>IF(D2239="?OLD","!!!","")</f>
        <v/>
      </c>
      <c r="F2239" s="22" t="str">
        <f>IF(OR(E2239="",E2239="!!!"),"",IF(NOT(ISNA(VLOOKUP(E2239,E$1:E2238,1,FALSE()))),"OLD",IF(AND(E2239&lt;&gt;"",E2239&lt;&gt;"!!!"),"NEW","")))</f>
        <v> </v>
      </c>
      <c r="G2239" s="23" t="str">
        <f>IF(OR(E2239="",E2239="!!!"),"",IF(OR(J2239=0,AND(J2239=1,K2239=1),AND(J2239=1,I2239="SBJ"),AND(J2239=1,I2239=0)),"?IN_FOCUS",IF(J2239&lt;=2,"?ACTIVATED",IF(J2239&lt;&gt;"","?FAMILIAR",IF(F2239="NEW",IF(ISNA(VLOOKUP(E2239,#REF!,1,FALSE())),"?TYPE_IDENTIFIABLE","?REFERENTIAL"),"_")))))</f>
        <v> </v>
      </c>
      <c r="H2239" s="24" t="str">
        <f>IF(J2239&lt;&gt;1,"",IF(I2239="SBJ","CB","?"))</f>
        <v> </v>
      </c>
      <c r="I2239" s="25" t="str">
        <f>IF(OR(E2239="",E2239="!!!",F2239="NEW"),"",INDEX(B2238:B$2,-1+SUMPRODUCT(MAX(ROW(E2238:E$2)*(E2239=E2238:E$2)))))</f>
        <v> </v>
      </c>
      <c r="J2239" s="25" t="str">
        <f>IF(OR(E2239="",E2239="!!!",F2239="NEW"),"",COUNTBLANK(OFFSET(A$1,,,SUMPRODUCT(MAX(ROW(E$2:E2239)*(E2239=E$2:E2239)))))-COUNTBLANK(OFFSET(A$1,,,SUMPRODUCT(MAX(ROW(E$1:E2238)*(E2=E$1:E2238))))))</f>
        <v> </v>
      </c>
      <c r="K2239" s="25" t="str">
        <f>IF(OR(E2239="",E2239="!!!",F2239="NEW"),"",INDEX(J$1:J2238,SUMPRODUCT(MAX(ROW(E$1:E2238)*(E2239=E$1:E2238)))))</f>
        <v> </v>
      </c>
      <c r="L2239" s="26"/>
    </row>
    <row r="2240" spans="1:12">
      <c r="A2240" s="20" t="s">
        <v>633</v>
      </c>
      <c r="E2240" s="21">
        <f>IF(D2240="?OLD","!!!","")</f>
        <v/>
      </c>
      <c r="F2240" s="22" t="str">
        <f>IF(OR(E2240="",E2240="!!!"),"",IF(NOT(ISNA(VLOOKUP(E2240,E$1:E2239,1,FALSE()))),"OLD",IF(AND(E2240&lt;&gt;"",E2240&lt;&gt;"!!!"),"NEW","")))</f>
        <v> </v>
      </c>
      <c r="G2240" s="23" t="str">
        <f>IF(OR(E2240="",E2240="!!!"),"",IF(OR(J2240=0,AND(J2240=1,K2240=1),AND(J2240=1,I2240="SBJ"),AND(J2240=1,I2240=0)),"?IN_FOCUS",IF(J2240&lt;=2,"?ACTIVATED",IF(J2240&lt;&gt;"","?FAMILIAR",IF(F2240="NEW",IF(ISNA(VLOOKUP(E2240,#REF!,1,FALSE())),"?TYPE_IDENTIFIABLE","?REFERENTIAL"),"_")))))</f>
        <v> </v>
      </c>
      <c r="H2240" s="24" t="str">
        <f>IF(J2240&lt;&gt;1,"",IF(I2240="SBJ","CB","?"))</f>
        <v> </v>
      </c>
      <c r="I2240" s="25" t="str">
        <f>IF(OR(E2240="",E2240="!!!",F2240="NEW"),"",INDEX(B2239:B$2,-1+SUMPRODUCT(MAX(ROW(E2239:E$2)*(E2240=E2239:E$2)))))</f>
        <v> </v>
      </c>
      <c r="J2240" s="25" t="str">
        <f>IF(OR(E2240="",E2240="!!!",F2240="NEW"),"",COUNTBLANK(OFFSET(A$1,,,SUMPRODUCT(MAX(ROW(E$2:E2240)*(E2240=E$2:E2240)))))-COUNTBLANK(OFFSET(A$1,,,SUMPRODUCT(MAX(ROW(E$1:E2239)*(E2=E$1:E2239))))))</f>
        <v> </v>
      </c>
      <c r="K2240" s="25" t="str">
        <f>IF(OR(E2240="",E2240="!!!",F2240="NEW"),"",INDEX(J$1:J2239,SUMPRODUCT(MAX(ROW(E$1:E2239)*(E2240=E$1:E2239)))))</f>
        <v> </v>
      </c>
      <c r="L2240" s="26"/>
    </row>
    <row r="2241" spans="1:12">
      <c r="A2241" s="20"/>
    </row>
    <row r="2242" spans="1:12">
      <c r="A2242" s="20" t="s">
        <v>1438</v>
      </c>
    </row>
    <row r="2243" spans="1:12">
      <c r="A2243" s="20" t="s">
        <v>635</v>
      </c>
      <c r="B2243" s="27" t="s">
        <v>636</v>
      </c>
      <c r="C2243" s="27" t="s">
        <v>637</v>
      </c>
      <c r="D2243" s="27" t="s">
        <v>608</v>
      </c>
      <c r="E2243" s="21">
        <f>IF(D2243="?OLD","!!!","")</f>
        <v/>
      </c>
      <c r="F2243" s="22" t="str">
        <f>IF(OR(E2243="",E2243="!!!"),"",IF(NOT(ISNA(VLOOKUP(E2243,E$1:E2242,1,FALSE()))),"OLD",IF(AND(E2243&lt;&gt;"",E2243&lt;&gt;"!!!"),"NEW","")))</f>
        <v> </v>
      </c>
      <c r="G2243" s="23" t="str">
        <f>IF(OR(E2243="",E2243="!!!"),"",IF(OR(J2243=0,AND(J2243=1,K2243=1),AND(J2243=1,I2243="SBJ"),AND(J2243=1,I2243=0)),"?IN_FOCUS",IF(J2243&lt;=2,"?ACTIVATED",IF(J2243&lt;&gt;"","?FAMILIAR",IF(F2243="NEW",IF(ISNA(VLOOKUP(E2243,#REF!,1,FALSE())),"?TYPE_IDENTIFIABLE","?REFERENTIAL"),"_")))))</f>
        <v> </v>
      </c>
      <c r="H2243" s="24" t="str">
        <f>IF(J2243&lt;&gt;1,"",IF(I2243="SBJ","CB","?"))</f>
        <v> </v>
      </c>
      <c r="I2243" s="25" t="str">
        <f>IF(OR(E2243="",E2243="!!!",F2243="NEW"),"",INDEX(B2242:B$2,-1+SUMPRODUCT(MAX(ROW(E2242:E$2)*(E2243=E2242:E$2)))))</f>
        <v> </v>
      </c>
      <c r="J2243" s="25" t="str">
        <f>IF(OR(E2243="",E2243="!!!",F2243="NEW"),"",COUNTBLANK(OFFSET(A$1,,,SUMPRODUCT(MAX(ROW(E$2:E2243)*(E2243=E$2:E2243)))))-COUNTBLANK(OFFSET(A$1,,,SUMPRODUCT(MAX(ROW(E$1:E2242)*(E2=E$1:E2242))))))</f>
        <v> </v>
      </c>
      <c r="K2243" s="25" t="str">
        <f>IF(OR(E2243="",E2243="!!!",F2243="NEW"),"",INDEX(J$1:J2242,SUMPRODUCT(MAX(ROW(E$1:E2242)*(E2243=E$1:E2242)))))</f>
        <v> </v>
      </c>
      <c r="L2243" s="26"/>
    </row>
    <row r="2244" spans="1:12">
      <c r="A2244" s="20" t="s">
        <v>419</v>
      </c>
      <c r="E2244" s="21">
        <f>IF(D2244="?OLD","!!!","")</f>
        <v/>
      </c>
      <c r="F2244" s="22" t="str">
        <f>IF(OR(E2244="",E2244="!!!"),"",IF(NOT(ISNA(VLOOKUP(E2244,E$1:E2243,1,FALSE()))),"OLD",IF(AND(E2244&lt;&gt;"",E2244&lt;&gt;"!!!"),"NEW","")))</f>
        <v> </v>
      </c>
      <c r="G2244" s="23" t="str">
        <f>IF(OR(E2244="",E2244="!!!"),"",IF(OR(J2244=0,AND(J2244=1,K2244=1),AND(J2244=1,I2244="SBJ"),AND(J2244=1,I2244=0)),"?IN_FOCUS",IF(J2244&lt;=2,"?ACTIVATED",IF(J2244&lt;&gt;"","?FAMILIAR",IF(F2244="NEW",IF(ISNA(VLOOKUP(E2244,#REF!,1,FALSE())),"?TYPE_IDENTIFIABLE","?REFERENTIAL"),"_")))))</f>
        <v> </v>
      </c>
      <c r="H2244" s="24" t="str">
        <f>IF(J2244&lt;&gt;1,"",IF(I2244="SBJ","CB","?"))</f>
        <v> </v>
      </c>
      <c r="I2244" s="25" t="str">
        <f>IF(OR(E2244="",E2244="!!!",F2244="NEW"),"",INDEX(B2243:B$2,-1+SUMPRODUCT(MAX(ROW(E2243:E$2)*(E2244=E2243:E$2)))))</f>
        <v> </v>
      </c>
      <c r="J2244" s="25" t="str">
        <f>IF(OR(E2244="",E2244="!!!",F2244="NEW"),"",COUNTBLANK(OFFSET(A$1,,,SUMPRODUCT(MAX(ROW(E$2:E2244)*(E2244=E$2:E2244)))))-COUNTBLANK(OFFSET(A$1,,,SUMPRODUCT(MAX(ROW(E$1:E2243)*(E2=E$1:E2243))))))</f>
        <v> </v>
      </c>
      <c r="K2244" s="25" t="str">
        <f>IF(OR(E2244="",E2244="!!!",F2244="NEW"),"",INDEX(J$1:J2243,SUMPRODUCT(MAX(ROW(E$1:E2243)*(E2244=E$1:E2243)))))</f>
        <v> </v>
      </c>
      <c r="L2244" s="26"/>
    </row>
    <row r="2245" spans="1:12">
      <c r="A2245" s="20" t="s">
        <v>872</v>
      </c>
      <c r="B2245" s="27" t="s">
        <v>653</v>
      </c>
      <c r="E2245" s="21">
        <f>IF(D2245="?OLD","!!!","")</f>
        <v/>
      </c>
      <c r="F2245" s="22" t="str">
        <f>IF(OR(E2245="",E2245="!!!"),"",IF(NOT(ISNA(VLOOKUP(E2245,E$1:E2244,1,FALSE()))),"OLD",IF(AND(E2245&lt;&gt;"",E2245&lt;&gt;"!!!"),"NEW","")))</f>
        <v> </v>
      </c>
      <c r="G2245" s="23" t="str">
        <f>IF(OR(E2245="",E2245="!!!"),"",IF(OR(J2245=0,AND(J2245=1,K2245=1),AND(J2245=1,I2245="SBJ"),AND(J2245=1,I2245=0)),"?IN_FOCUS",IF(J2245&lt;=2,"?ACTIVATED",IF(J2245&lt;&gt;"","?FAMILIAR",IF(F2245="NEW",IF(ISNA(VLOOKUP(E2245,#REF!,1,FALSE())),"?TYPE_IDENTIFIABLE","?REFERENTIAL"),"_")))))</f>
        <v> </v>
      </c>
      <c r="H2245" s="24" t="str">
        <f>IF(J2245&lt;&gt;1,"",IF(I2245="SBJ","CB","?"))</f>
        <v> </v>
      </c>
      <c r="I2245" s="25" t="str">
        <f>IF(OR(E2245="",E2245="!!!",F2245="NEW"),"",INDEX(B2244:B$2,-1+SUMPRODUCT(MAX(ROW(E2244:E$2)*(E2245=E2244:E$2)))))</f>
        <v> </v>
      </c>
      <c r="J2245" s="25" t="str">
        <f>IF(OR(E2245="",E2245="!!!",F2245="NEW"),"",COUNTBLANK(OFFSET(A$1,,,SUMPRODUCT(MAX(ROW(E$2:E2245)*(E2245=E$2:E2245)))))-COUNTBLANK(OFFSET(A$1,,,SUMPRODUCT(MAX(ROW(E$1:E2244)*(E2=E$1:E2244))))))</f>
        <v> </v>
      </c>
      <c r="K2245" s="25" t="str">
        <f>IF(OR(E2245="",E2245="!!!",F2245="NEW"),"",INDEX(J$1:J2244,SUMPRODUCT(MAX(ROW(E$1:E2244)*(E2245=E$1:E2244)))))</f>
        <v> </v>
      </c>
      <c r="L2245" s="26"/>
    </row>
    <row r="2246" spans="1:12">
      <c r="A2246" s="20" t="s">
        <v>801</v>
      </c>
      <c r="E2246" s="21">
        <f>IF(D2246="?OLD","!!!","")</f>
        <v/>
      </c>
      <c r="F2246" s="22" t="str">
        <f>IF(OR(E2246="",E2246="!!!"),"",IF(NOT(ISNA(VLOOKUP(E2246,E$1:E2245,1,FALSE()))),"OLD",IF(AND(E2246&lt;&gt;"",E2246&lt;&gt;"!!!"),"NEW","")))</f>
        <v> </v>
      </c>
      <c r="G2246" s="23" t="str">
        <f>IF(OR(E2246="",E2246="!!!"),"",IF(OR(J2246=0,AND(J2246=1,K2246=1),AND(J2246=1,I2246="SBJ"),AND(J2246=1,I2246=0)),"?IN_FOCUS",IF(J2246&lt;=2,"?ACTIVATED",IF(J2246&lt;&gt;"","?FAMILIAR",IF(F2246="NEW",IF(ISNA(VLOOKUP(E2246,#REF!,1,FALSE())),"?TYPE_IDENTIFIABLE","?REFERENTIAL"),"_")))))</f>
        <v> </v>
      </c>
      <c r="H2246" s="24" t="str">
        <f>IF(J2246&lt;&gt;1,"",IF(I2246="SBJ","CB","?"))</f>
        <v> </v>
      </c>
      <c r="I2246" s="25" t="str">
        <f>IF(OR(E2246="",E2246="!!!",F2246="NEW"),"",INDEX(B2245:B$2,-1+SUMPRODUCT(MAX(ROW(E2245:E$2)*(E2246=E2245:E$2)))))</f>
        <v> </v>
      </c>
      <c r="J2246" s="25" t="str">
        <f>IF(OR(E2246="",E2246="!!!",F2246="NEW"),"",COUNTBLANK(OFFSET(A$1,,,SUMPRODUCT(MAX(ROW(E$2:E2246)*(E2246=E$2:E2246)))))-COUNTBLANK(OFFSET(A$1,,,SUMPRODUCT(MAX(ROW(E$1:E2245)*(E2=E$1:E2245))))))</f>
        <v> </v>
      </c>
      <c r="K2246" s="25" t="str">
        <f>IF(OR(E2246="",E2246="!!!",F2246="NEW"),"",INDEX(J$1:J2245,SUMPRODUCT(MAX(ROW(E$1:E2245)*(E2246=E$1:E2245)))))</f>
        <v> </v>
      </c>
      <c r="L2246" s="26"/>
    </row>
    <row r="2247" spans="1:12">
      <c r="A2247" s="20" t="s">
        <v>823</v>
      </c>
      <c r="E2247" s="21">
        <f>IF(D2247="?OLD","!!!","")</f>
        <v/>
      </c>
      <c r="F2247" s="22" t="str">
        <f>IF(OR(E2247="",E2247="!!!"),"",IF(NOT(ISNA(VLOOKUP(E2247,E$1:E2246,1,FALSE()))),"OLD",IF(AND(E2247&lt;&gt;"",E2247&lt;&gt;"!!!"),"NEW","")))</f>
        <v> </v>
      </c>
      <c r="G2247" s="23" t="str">
        <f>IF(OR(E2247="",E2247="!!!"),"",IF(OR(J2247=0,AND(J2247=1,K2247=1),AND(J2247=1,I2247="SBJ"),AND(J2247=1,I2247=0)),"?IN_FOCUS",IF(J2247&lt;=2,"?ACTIVATED",IF(J2247&lt;&gt;"","?FAMILIAR",IF(F2247="NEW",IF(ISNA(VLOOKUP(E2247,#REF!,1,FALSE())),"?TYPE_IDENTIFIABLE","?REFERENTIAL"),"_")))))</f>
        <v> </v>
      </c>
      <c r="H2247" s="24" t="str">
        <f>IF(J2247&lt;&gt;1,"",IF(I2247="SBJ","CB","?"))</f>
        <v> </v>
      </c>
      <c r="I2247" s="25" t="str">
        <f>IF(OR(E2247="",E2247="!!!",F2247="NEW"),"",INDEX(B2246:B$2,-1+SUMPRODUCT(MAX(ROW(E2246:E$2)*(E2247=E2246:E$2)))))</f>
        <v> </v>
      </c>
      <c r="J2247" s="25" t="str">
        <f>IF(OR(E2247="",E2247="!!!",F2247="NEW"),"",COUNTBLANK(OFFSET(A$1,,,SUMPRODUCT(MAX(ROW(E$2:E2247)*(E2247=E$2:E2247)))))-COUNTBLANK(OFFSET(A$1,,,SUMPRODUCT(MAX(ROW(E$1:E2246)*(E2=E$1:E2246))))))</f>
        <v> </v>
      </c>
      <c r="K2247" s="25" t="str">
        <f>IF(OR(E2247="",E2247="!!!",F2247="NEW"),"",INDEX(J$1:J2246,SUMPRODUCT(MAX(ROW(E$1:E2246)*(E2247=E$1:E2246)))))</f>
        <v> </v>
      </c>
      <c r="L2247" s="26"/>
    </row>
    <row r="2248" spans="1:12">
      <c r="A2248" s="20" t="s">
        <v>1365</v>
      </c>
      <c r="E2248" s="21">
        <f>IF(D2248="?OLD","!!!","")</f>
        <v/>
      </c>
      <c r="F2248" s="22" t="str">
        <f>IF(OR(E2248="",E2248="!!!"),"",IF(NOT(ISNA(VLOOKUP(E2248,E$1:E2247,1,FALSE()))),"OLD",IF(AND(E2248&lt;&gt;"",E2248&lt;&gt;"!!!"),"NEW","")))</f>
        <v> </v>
      </c>
      <c r="G2248" s="23" t="str">
        <f>IF(OR(E2248="",E2248="!!!"),"",IF(OR(J2248=0,AND(J2248=1,K2248=1),AND(J2248=1,I2248="SBJ"),AND(J2248=1,I2248=0)),"?IN_FOCUS",IF(J2248&lt;=2,"?ACTIVATED",IF(J2248&lt;&gt;"","?FAMILIAR",IF(F2248="NEW",IF(ISNA(VLOOKUP(E2248,#REF!,1,FALSE())),"?TYPE_IDENTIFIABLE","?REFERENTIAL"),"_")))))</f>
        <v> </v>
      </c>
      <c r="H2248" s="24" t="str">
        <f>IF(J2248&lt;&gt;1,"",IF(I2248="SBJ","CB","?"))</f>
        <v> </v>
      </c>
      <c r="I2248" s="25" t="str">
        <f>IF(OR(E2248="",E2248="!!!",F2248="NEW"),"",INDEX(B2247:B$2,-1+SUMPRODUCT(MAX(ROW(E2247:E$2)*(E2248=E2247:E$2)))))</f>
        <v> </v>
      </c>
      <c r="J2248" s="25" t="str">
        <f>IF(OR(E2248="",E2248="!!!",F2248="NEW"),"",COUNTBLANK(OFFSET(A$1,,,SUMPRODUCT(MAX(ROW(E$2:E2248)*(E2248=E$2:E2248)))))-COUNTBLANK(OFFSET(A$1,,,SUMPRODUCT(MAX(ROW(E$1:E2247)*(E2=E$1:E2247))))))</f>
        <v> </v>
      </c>
      <c r="K2248" s="25" t="str">
        <f>IF(OR(E2248="",E2248="!!!",F2248="NEW"),"",INDEX(J$1:J2247,SUMPRODUCT(MAX(ROW(E$1:E2247)*(E2248=E$1:E2247)))))</f>
        <v> </v>
      </c>
      <c r="L2248" s="26"/>
    </row>
    <row r="2249" spans="1:12">
      <c r="A2249" s="20" t="s">
        <v>617</v>
      </c>
      <c r="E2249" s="21">
        <f>IF(D2249="?OLD","!!!","")</f>
        <v/>
      </c>
      <c r="F2249" s="22" t="str">
        <f>IF(OR(E2249="",E2249="!!!"),"",IF(NOT(ISNA(VLOOKUP(E2249,E$1:E2248,1,FALSE()))),"OLD",IF(AND(E2249&lt;&gt;"",E2249&lt;&gt;"!!!"),"NEW","")))</f>
        <v> </v>
      </c>
      <c r="G2249" s="23" t="str">
        <f>IF(OR(E2249="",E2249="!!!"),"",IF(OR(J2249=0,AND(J2249=1,K2249=1),AND(J2249=1,I2249="SBJ"),AND(J2249=1,I2249=0)),"?IN_FOCUS",IF(J2249&lt;=2,"?ACTIVATED",IF(J2249&lt;&gt;"","?FAMILIAR",IF(F2249="NEW",IF(ISNA(VLOOKUP(E2249,#REF!,1,FALSE())),"?TYPE_IDENTIFIABLE","?REFERENTIAL"),"_")))))</f>
        <v> </v>
      </c>
      <c r="H2249" s="24" t="str">
        <f>IF(J2249&lt;&gt;1,"",IF(I2249="SBJ","CB","?"))</f>
        <v> </v>
      </c>
      <c r="I2249" s="25" t="str">
        <f>IF(OR(E2249="",E2249="!!!",F2249="NEW"),"",INDEX(B2248:B$2,-1+SUMPRODUCT(MAX(ROW(E2248:E$2)*(E2249=E2248:E$2)))))</f>
        <v> </v>
      </c>
      <c r="J2249" s="25" t="str">
        <f>IF(OR(E2249="",E2249="!!!",F2249="NEW"),"",COUNTBLANK(OFFSET(A$1,,,SUMPRODUCT(MAX(ROW(E$2:E2249)*(E2249=E$2:E2249)))))-COUNTBLANK(OFFSET(A$1,,,SUMPRODUCT(MAX(ROW(E$1:E2248)*(E2=E$1:E2248))))))</f>
        <v> </v>
      </c>
      <c r="K2249" s="25" t="str">
        <f>IF(OR(E2249="",E2249="!!!",F2249="NEW"),"",INDEX(J$1:J2248,SUMPRODUCT(MAX(ROW(E$1:E2248)*(E2249=E$1:E2248)))))</f>
        <v> </v>
      </c>
      <c r="L2249" s="26"/>
    </row>
    <row r="2250" spans="1:12">
      <c r="A2250" s="20" t="s">
        <v>1366</v>
      </c>
      <c r="E2250" s="21">
        <f>IF(D2250="?OLD","!!!","")</f>
        <v/>
      </c>
      <c r="F2250" s="22" t="str">
        <f>IF(OR(E2250="",E2250="!!!"),"",IF(NOT(ISNA(VLOOKUP(E2250,E$1:E2249,1,FALSE()))),"OLD",IF(AND(E2250&lt;&gt;"",E2250&lt;&gt;"!!!"),"NEW","")))</f>
        <v> </v>
      </c>
      <c r="G2250" s="23" t="str">
        <f>IF(OR(E2250="",E2250="!!!"),"",IF(OR(J2250=0,AND(J2250=1,K2250=1),AND(J2250=1,I2250="SBJ"),AND(J2250=1,I2250=0)),"?IN_FOCUS",IF(J2250&lt;=2,"?ACTIVATED",IF(J2250&lt;&gt;"","?FAMILIAR",IF(F2250="NEW",IF(ISNA(VLOOKUP(E2250,#REF!,1,FALSE())),"?TYPE_IDENTIFIABLE","?REFERENTIAL"),"_")))))</f>
        <v> </v>
      </c>
      <c r="H2250" s="24" t="str">
        <f>IF(J2250&lt;&gt;1,"",IF(I2250="SBJ","CB","?"))</f>
        <v> </v>
      </c>
      <c r="I2250" s="25" t="str">
        <f>IF(OR(E2250="",E2250="!!!",F2250="NEW"),"",INDEX(B2249:B$2,-1+SUMPRODUCT(MAX(ROW(E2249:E$2)*(E2250=E2249:E$2)))))</f>
        <v> </v>
      </c>
      <c r="J2250" s="25" t="str">
        <f>IF(OR(E2250="",E2250="!!!",F2250="NEW"),"",COUNTBLANK(OFFSET(A$1,,,SUMPRODUCT(MAX(ROW(E$2:E2250)*(E2250=E$2:E2250)))))-COUNTBLANK(OFFSET(A$1,,,SUMPRODUCT(MAX(ROW(E$1:E2249)*(E2=E$1:E2249))))))</f>
        <v> </v>
      </c>
      <c r="K2250" s="25" t="str">
        <f>IF(OR(E2250="",E2250="!!!",F2250="NEW"),"",INDEX(J$1:J2249,SUMPRODUCT(MAX(ROW(E$1:E2249)*(E2250=E$1:E2249)))))</f>
        <v> </v>
      </c>
      <c r="L2250" s="26"/>
    </row>
    <row r="2251" spans="1:12">
      <c r="A2251" s="20" t="s">
        <v>1367</v>
      </c>
      <c r="E2251" s="21">
        <f>IF(D2251="?OLD","!!!","")</f>
        <v/>
      </c>
      <c r="F2251" s="22" t="str">
        <f>IF(OR(E2251="",E2251="!!!"),"",IF(NOT(ISNA(VLOOKUP(E2251,E$1:E2250,1,FALSE()))),"OLD",IF(AND(E2251&lt;&gt;"",E2251&lt;&gt;"!!!"),"NEW","")))</f>
        <v> </v>
      </c>
      <c r="G2251" s="23" t="str">
        <f>IF(OR(E2251="",E2251="!!!"),"",IF(OR(J2251=0,AND(J2251=1,K2251=1),AND(J2251=1,I2251="SBJ"),AND(J2251=1,I2251=0)),"?IN_FOCUS",IF(J2251&lt;=2,"?ACTIVATED",IF(J2251&lt;&gt;"","?FAMILIAR",IF(F2251="NEW",IF(ISNA(VLOOKUP(E2251,#REF!,1,FALSE())),"?TYPE_IDENTIFIABLE","?REFERENTIAL"),"_")))))</f>
        <v> </v>
      </c>
      <c r="H2251" s="24" t="str">
        <f>IF(J2251&lt;&gt;1,"",IF(I2251="SBJ","CB","?"))</f>
        <v> </v>
      </c>
      <c r="I2251" s="25" t="str">
        <f>IF(OR(E2251="",E2251="!!!",F2251="NEW"),"",INDEX(B2250:B$2,-1+SUMPRODUCT(MAX(ROW(E2250:E$2)*(E2251=E2250:E$2)))))</f>
        <v> </v>
      </c>
      <c r="J2251" s="25" t="str">
        <f>IF(OR(E2251="",E2251="!!!",F2251="NEW"),"",COUNTBLANK(OFFSET(A$1,,,SUMPRODUCT(MAX(ROW(E$2:E2251)*(E2251=E$2:E2251)))))-COUNTBLANK(OFFSET(A$1,,,SUMPRODUCT(MAX(ROW(E$1:E2250)*(E2=E$1:E2250))))))</f>
        <v> </v>
      </c>
      <c r="K2251" s="25" t="str">
        <f>IF(OR(E2251="",E2251="!!!",F2251="NEW"),"",INDEX(J$1:J2250,SUMPRODUCT(MAX(ROW(E$1:E2250)*(E2251=E$1:E2250)))))</f>
        <v> </v>
      </c>
      <c r="L2251" s="26"/>
    </row>
    <row r="2252" spans="1:12">
      <c r="A2252" s="20" t="s">
        <v>1387</v>
      </c>
      <c r="B2252" s="27" t="s">
        <v>606</v>
      </c>
      <c r="C2252" s="27" t="s">
        <v>622</v>
      </c>
      <c r="E2252" s="21">
        <f>IF(D2252="?OLD","!!!","")</f>
        <v/>
      </c>
      <c r="F2252" s="22" t="str">
        <f>IF(OR(E2252="",E2252="!!!"),"",IF(NOT(ISNA(VLOOKUP(E2252,E$1:E2251,1,FALSE()))),"OLD",IF(AND(E2252&lt;&gt;"",E2252&lt;&gt;"!!!"),"NEW","")))</f>
        <v> </v>
      </c>
      <c r="G2252" s="23" t="str">
        <f>IF(OR(E2252="",E2252="!!!"),"",IF(OR(J2252=0,AND(J2252=1,K2252=1),AND(J2252=1,I2252="SBJ"),AND(J2252=1,I2252=0)),"?IN_FOCUS",IF(J2252&lt;=2,"?ACTIVATED",IF(J2252&lt;&gt;"","?FAMILIAR",IF(F2252="NEW",IF(ISNA(VLOOKUP(E2252,#REF!,1,FALSE())),"?TYPE_IDENTIFIABLE","?REFERENTIAL"),"_")))))</f>
        <v> </v>
      </c>
      <c r="H2252" s="24" t="str">
        <f>IF(J2252&lt;&gt;1,"",IF(I2252="SBJ","CB","?"))</f>
        <v> </v>
      </c>
      <c r="I2252" s="25" t="str">
        <f>IF(OR(E2252="",E2252="!!!",F2252="NEW"),"",INDEX(B2251:B$2,-1+SUMPRODUCT(MAX(ROW(E2251:E$2)*(E2252=E2251:E$2)))))</f>
        <v> </v>
      </c>
      <c r="J2252" s="25" t="str">
        <f>IF(OR(E2252="",E2252="!!!",F2252="NEW"),"",COUNTBLANK(OFFSET(A$1,,,SUMPRODUCT(MAX(ROW(E$2:E2252)*(E2252=E$2:E2252)))))-COUNTBLANK(OFFSET(A$1,,,SUMPRODUCT(MAX(ROW(E$1:E2251)*(E2=E$1:E2251))))))</f>
        <v> </v>
      </c>
      <c r="K2252" s="25" t="str">
        <f>IF(OR(E2252="",E2252="!!!",F2252="NEW"),"",INDEX(J$1:J2251,SUMPRODUCT(MAX(ROW(E$1:E2251)*(E2252=E$1:E2251)))))</f>
        <v> </v>
      </c>
      <c r="L2252" s="26"/>
    </row>
    <row r="2253" spans="1:12">
      <c r="A2253" s="20" t="s">
        <v>633</v>
      </c>
      <c r="E2253" s="21">
        <f>IF(D2253="?OLD","!!!","")</f>
        <v/>
      </c>
      <c r="F2253" s="22" t="str">
        <f>IF(OR(E2253="",E2253="!!!"),"",IF(NOT(ISNA(VLOOKUP(E2253,E$1:E2252,1,FALSE()))),"OLD",IF(AND(E2253&lt;&gt;"",E2253&lt;&gt;"!!!"),"NEW","")))</f>
        <v> </v>
      </c>
      <c r="G2253" s="23" t="str">
        <f>IF(OR(E2253="",E2253="!!!"),"",IF(OR(J2253=0,AND(J2253=1,K2253=1),AND(J2253=1,I2253="SBJ"),AND(J2253=1,I2253=0)),"?IN_FOCUS",IF(J2253&lt;=2,"?ACTIVATED",IF(J2253&lt;&gt;"","?FAMILIAR",IF(F2253="NEW",IF(ISNA(VLOOKUP(E2253,#REF!,1,FALSE())),"?TYPE_IDENTIFIABLE","?REFERENTIAL"),"_")))))</f>
        <v> </v>
      </c>
      <c r="H2253" s="24" t="str">
        <f>IF(J2253&lt;&gt;1,"",IF(I2253="SBJ","CB","?"))</f>
        <v> </v>
      </c>
      <c r="I2253" s="25" t="str">
        <f>IF(OR(E2253="",E2253="!!!",F2253="NEW"),"",INDEX(B2252:B$2,-1+SUMPRODUCT(MAX(ROW(E2252:E$2)*(E2253=E2252:E$2)))))</f>
        <v> </v>
      </c>
      <c r="J2253" s="25" t="str">
        <f>IF(OR(E2253="",E2253="!!!",F2253="NEW"),"",COUNTBLANK(OFFSET(A$1,,,SUMPRODUCT(MAX(ROW(E$2:E2253)*(E2253=E$2:E2253)))))-COUNTBLANK(OFFSET(A$1,,,SUMPRODUCT(MAX(ROW(E$1:E2252)*(E2=E$1:E2252))))))</f>
        <v> </v>
      </c>
      <c r="K2253" s="25" t="str">
        <f>IF(OR(E2253="",E2253="!!!",F2253="NEW"),"",INDEX(J$1:J2252,SUMPRODUCT(MAX(ROW(E$1:E2252)*(E2253=E$1:E2252)))))</f>
        <v> </v>
      </c>
      <c r="L2253" s="26"/>
    </row>
    <row r="2254" spans="1:12">
      <c r="A2254" s="20"/>
    </row>
    <row r="2255" spans="1:12">
      <c r="A2255" s="20" t="s">
        <v>1439</v>
      </c>
    </row>
    <row r="2256" spans="1:12">
      <c r="A2256" s="20" t="s">
        <v>814</v>
      </c>
      <c r="E2256" s="21">
        <f>IF(D2256="?OLD","!!!","")</f>
        <v/>
      </c>
      <c r="F2256" s="22" t="str">
        <f>IF(OR(E2256="",E2256="!!!"),"",IF(NOT(ISNA(VLOOKUP(E2256,E$1:E2255,1,FALSE()))),"OLD",IF(AND(E2256&lt;&gt;"",E2256&lt;&gt;"!!!"),"NEW","")))</f>
        <v> </v>
      </c>
      <c r="G2256" s="23" t="str">
        <f>IF(OR(E2256="",E2256="!!!"),"",IF(OR(J2256=0,AND(J2256=1,K2256=1),AND(J2256=1,I2256="SBJ"),AND(J2256=1,I2256=0)),"?IN_FOCUS",IF(J2256&lt;=2,"?ACTIVATED",IF(J2256&lt;&gt;"","?FAMILIAR",IF(F2256="NEW",IF(ISNA(VLOOKUP(E2256,#REF!,1,FALSE())),"?TYPE_IDENTIFIABLE","?REFERENTIAL"),"_")))))</f>
        <v> </v>
      </c>
      <c r="H2256" s="24" t="str">
        <f>IF(J2256&lt;&gt;1,"",IF(I2256="SBJ","CB","?"))</f>
        <v> </v>
      </c>
      <c r="I2256" s="25" t="str">
        <f>IF(OR(E2256="",E2256="!!!",F2256="NEW"),"",INDEX(B2255:B$2,-1+SUMPRODUCT(MAX(ROW(E2255:E$2)*(E2256=E2255:E$2)))))</f>
        <v> </v>
      </c>
      <c r="J2256" s="25" t="str">
        <f>IF(OR(E2256="",E2256="!!!",F2256="NEW"),"",COUNTBLANK(OFFSET(A$1,,,SUMPRODUCT(MAX(ROW(E$2:E2256)*(E2256=E$2:E2256)))))-COUNTBLANK(OFFSET(A$1,,,SUMPRODUCT(MAX(ROW(E$1:E2255)*(E2=E$1:E2255))))))</f>
        <v> </v>
      </c>
      <c r="K2256" s="25" t="str">
        <f>IF(OR(E2256="",E2256="!!!",F2256="NEW"),"",INDEX(J$1:J2255,SUMPRODUCT(MAX(ROW(E$1:E2255)*(E2256=E$1:E2255)))))</f>
        <v> </v>
      </c>
      <c r="L2256" s="26"/>
    </row>
    <row r="2257" spans="1:12">
      <c r="A2257" s="20" t="s">
        <v>1440</v>
      </c>
      <c r="E2257" s="21">
        <f>IF(D2257="?OLD","!!!","")</f>
        <v/>
      </c>
      <c r="F2257" s="22" t="str">
        <f>IF(OR(E2257="",E2257="!!!"),"",IF(NOT(ISNA(VLOOKUP(E2257,E$1:E2256,1,FALSE()))),"OLD",IF(AND(E2257&lt;&gt;"",E2257&lt;&gt;"!!!"),"NEW","")))</f>
        <v> </v>
      </c>
      <c r="G2257" s="23" t="str">
        <f>IF(OR(E2257="",E2257="!!!"),"",IF(OR(J2257=0,AND(J2257=1,K2257=1),AND(J2257=1,I2257="SBJ"),AND(J2257=1,I2257=0)),"?IN_FOCUS",IF(J2257&lt;=2,"?ACTIVATED",IF(J2257&lt;&gt;"","?FAMILIAR",IF(F2257="NEW",IF(ISNA(VLOOKUP(E2257,#REF!,1,FALSE())),"?TYPE_IDENTIFIABLE","?REFERENTIAL"),"_")))))</f>
        <v> </v>
      </c>
      <c r="H2257" s="24" t="str">
        <f>IF(J2257&lt;&gt;1,"",IF(I2257="SBJ","CB","?"))</f>
        <v> </v>
      </c>
      <c r="I2257" s="25" t="str">
        <f>IF(OR(E2257="",E2257="!!!",F2257="NEW"),"",INDEX(B2256:B$2,-1+SUMPRODUCT(MAX(ROW(E2256:E$2)*(E2257=E2256:E$2)))))</f>
        <v> </v>
      </c>
      <c r="J2257" s="25" t="str">
        <f>IF(OR(E2257="",E2257="!!!",F2257="NEW"),"",COUNTBLANK(OFFSET(A$1,,,SUMPRODUCT(MAX(ROW(E$2:E2257)*(E2257=E$2:E2257)))))-COUNTBLANK(OFFSET(A$1,,,SUMPRODUCT(MAX(ROW(E$1:E2256)*(E2=E$1:E2256))))))</f>
        <v> </v>
      </c>
      <c r="K2257" s="25" t="str">
        <f>IF(OR(E2257="",E2257="!!!",F2257="NEW"),"",INDEX(J$1:J2256,SUMPRODUCT(MAX(ROW(E$1:E2256)*(E2257=E$1:E2256)))))</f>
        <v> </v>
      </c>
      <c r="L2257" s="26"/>
    </row>
    <row r="2258" spans="1:12">
      <c r="A2258" s="20" t="s">
        <v>1441</v>
      </c>
      <c r="E2258" s="21">
        <f>IF(D2258="?OLD","!!!","")</f>
        <v/>
      </c>
      <c r="F2258" s="22" t="str">
        <f>IF(OR(E2258="",E2258="!!!"),"",IF(NOT(ISNA(VLOOKUP(E2258,E$1:E2257,1,FALSE()))),"OLD",IF(AND(E2258&lt;&gt;"",E2258&lt;&gt;"!!!"),"NEW","")))</f>
        <v> </v>
      </c>
      <c r="G2258" s="23" t="str">
        <f>IF(OR(E2258="",E2258="!!!"),"",IF(OR(J2258=0,AND(J2258=1,K2258=1),AND(J2258=1,I2258="SBJ"),AND(J2258=1,I2258=0)),"?IN_FOCUS",IF(J2258&lt;=2,"?ACTIVATED",IF(J2258&lt;&gt;"","?FAMILIAR",IF(F2258="NEW",IF(ISNA(VLOOKUP(E2258,#REF!,1,FALSE())),"?TYPE_IDENTIFIABLE","?REFERENTIAL"),"_")))))</f>
        <v> </v>
      </c>
      <c r="H2258" s="24" t="str">
        <f>IF(J2258&lt;&gt;1,"",IF(I2258="SBJ","CB","?"))</f>
        <v> </v>
      </c>
      <c r="I2258" s="25" t="str">
        <f>IF(OR(E2258="",E2258="!!!",F2258="NEW"),"",INDEX(B2257:B$2,-1+SUMPRODUCT(MAX(ROW(E2257:E$2)*(E2258=E2257:E$2)))))</f>
        <v> </v>
      </c>
      <c r="J2258" s="25" t="str">
        <f>IF(OR(E2258="",E2258="!!!",F2258="NEW"),"",COUNTBLANK(OFFSET(A$1,,,SUMPRODUCT(MAX(ROW(E$2:E2258)*(E2258=E$2:E2258)))))-COUNTBLANK(OFFSET(A$1,,,SUMPRODUCT(MAX(ROW(E$1:E2257)*(E2=E$1:E2257))))))</f>
        <v> </v>
      </c>
      <c r="K2258" s="25" t="str">
        <f>IF(OR(E2258="",E2258="!!!",F2258="NEW"),"",INDEX(J$1:J2257,SUMPRODUCT(MAX(ROW(E$1:E2257)*(E2258=E$1:E2257)))))</f>
        <v> </v>
      </c>
      <c r="L2258" s="26"/>
    </row>
    <row r="2259" spans="1:12">
      <c r="A2259" s="20" t="s">
        <v>790</v>
      </c>
      <c r="B2259" s="27" t="s">
        <v>636</v>
      </c>
      <c r="C2259" s="27" t="s">
        <v>637</v>
      </c>
      <c r="D2259" s="27" t="s">
        <v>608</v>
      </c>
      <c r="E2259" s="21">
        <f>IF(D2259="?OLD","!!!","")</f>
        <v/>
      </c>
      <c r="F2259" s="22" t="str">
        <f>IF(OR(E2259="",E2259="!!!"),"",IF(NOT(ISNA(VLOOKUP(E2259,E$1:E2258,1,FALSE()))),"OLD",IF(AND(E2259&lt;&gt;"",E2259&lt;&gt;"!!!"),"NEW","")))</f>
        <v> </v>
      </c>
      <c r="G2259" s="23" t="str">
        <f>IF(OR(E2259="",E2259="!!!"),"",IF(OR(J2259=0,AND(J2259=1,K2259=1),AND(J2259=1,I2259="SBJ"),AND(J2259=1,I2259=0)),"?IN_FOCUS",IF(J2259&lt;=2,"?ACTIVATED",IF(J2259&lt;&gt;"","?FAMILIAR",IF(F2259="NEW",IF(ISNA(VLOOKUP(E2259,#REF!,1,FALSE())),"?TYPE_IDENTIFIABLE","?REFERENTIAL"),"_")))))</f>
        <v> </v>
      </c>
      <c r="H2259" s="24" t="str">
        <f>IF(J2259&lt;&gt;1,"",IF(I2259="SBJ","CB","?"))</f>
        <v> </v>
      </c>
      <c r="I2259" s="25" t="str">
        <f>IF(OR(E2259="",E2259="!!!",F2259="NEW"),"",INDEX(B2258:B$2,-1+SUMPRODUCT(MAX(ROW(E2258:E$2)*(E2259=E2258:E$2)))))</f>
        <v> </v>
      </c>
      <c r="J2259" s="25" t="str">
        <f>IF(OR(E2259="",E2259="!!!",F2259="NEW"),"",COUNTBLANK(OFFSET(A$1,,,SUMPRODUCT(MAX(ROW(E$2:E2259)*(E2259=E$2:E2259)))))-COUNTBLANK(OFFSET(A$1,,,SUMPRODUCT(MAX(ROW(E$1:E2258)*(E2=E$1:E2258))))))</f>
        <v> </v>
      </c>
      <c r="K2259" s="25" t="str">
        <f>IF(OR(E2259="",E2259="!!!",F2259="NEW"),"",INDEX(J$1:J2258,SUMPRODUCT(MAX(ROW(E$1:E2258)*(E2259=E$1:E2258)))))</f>
        <v> </v>
      </c>
      <c r="L2259" s="26"/>
    </row>
    <row r="2260" spans="1:12">
      <c r="A2260" s="20" t="s">
        <v>617</v>
      </c>
      <c r="E2260" s="21">
        <f>IF(D2260="?OLD","!!!","")</f>
        <v/>
      </c>
      <c r="F2260" s="22" t="str">
        <f>IF(OR(E2260="",E2260="!!!"),"",IF(NOT(ISNA(VLOOKUP(E2260,E$1:E2259,1,FALSE()))),"OLD",IF(AND(E2260&lt;&gt;"",E2260&lt;&gt;"!!!"),"NEW","")))</f>
        <v> </v>
      </c>
      <c r="G2260" s="23" t="str">
        <f>IF(OR(E2260="",E2260="!!!"),"",IF(OR(J2260=0,AND(J2260=1,K2260=1),AND(J2260=1,I2260="SBJ"),AND(J2260=1,I2260=0)),"?IN_FOCUS",IF(J2260&lt;=2,"?ACTIVATED",IF(J2260&lt;&gt;"","?FAMILIAR",IF(F2260="NEW",IF(ISNA(VLOOKUP(E2260,#REF!,1,FALSE())),"?TYPE_IDENTIFIABLE","?REFERENTIAL"),"_")))))</f>
        <v> </v>
      </c>
      <c r="H2260" s="24" t="str">
        <f>IF(J2260&lt;&gt;1,"",IF(I2260="SBJ","CB","?"))</f>
        <v> </v>
      </c>
      <c r="I2260" s="25" t="str">
        <f>IF(OR(E2260="",E2260="!!!",F2260="NEW"),"",INDEX(B2259:B$2,-1+SUMPRODUCT(MAX(ROW(E2259:E$2)*(E2260=E2259:E$2)))))</f>
        <v> </v>
      </c>
      <c r="J2260" s="25" t="str">
        <f>IF(OR(E2260="",E2260="!!!",F2260="NEW"),"",COUNTBLANK(OFFSET(A$1,,,SUMPRODUCT(MAX(ROW(E$2:E2260)*(E2260=E$2:E2260)))))-COUNTBLANK(OFFSET(A$1,,,SUMPRODUCT(MAX(ROW(E$1:E2259)*(E2=E$1:E2259))))))</f>
        <v> </v>
      </c>
      <c r="K2260" s="25" t="str">
        <f>IF(OR(E2260="",E2260="!!!",F2260="NEW"),"",INDEX(J$1:J2259,SUMPRODUCT(MAX(ROW(E$1:E2259)*(E2260=E$1:E2259)))))</f>
        <v> </v>
      </c>
      <c r="L2260" s="26"/>
    </row>
    <row r="2261" spans="1:12">
      <c r="A2261" s="20" t="s">
        <v>690</v>
      </c>
      <c r="E2261" s="21">
        <f>IF(D2261="?OLD","!!!","")</f>
        <v/>
      </c>
      <c r="F2261" s="22" t="str">
        <f>IF(OR(E2261="",E2261="!!!"),"",IF(NOT(ISNA(VLOOKUP(E2261,E$1:E2260,1,FALSE()))),"OLD",IF(AND(E2261&lt;&gt;"",E2261&lt;&gt;"!!!"),"NEW","")))</f>
        <v> </v>
      </c>
      <c r="G2261" s="23" t="str">
        <f>IF(OR(E2261="",E2261="!!!"),"",IF(OR(J2261=0,AND(J2261=1,K2261=1),AND(J2261=1,I2261="SBJ"),AND(J2261=1,I2261=0)),"?IN_FOCUS",IF(J2261&lt;=2,"?ACTIVATED",IF(J2261&lt;&gt;"","?FAMILIAR",IF(F2261="NEW",IF(ISNA(VLOOKUP(E2261,#REF!,1,FALSE())),"?TYPE_IDENTIFIABLE","?REFERENTIAL"),"_")))))</f>
        <v> </v>
      </c>
      <c r="H2261" s="24" t="str">
        <f>IF(J2261&lt;&gt;1,"",IF(I2261="SBJ","CB","?"))</f>
        <v> </v>
      </c>
      <c r="I2261" s="25" t="str">
        <f>IF(OR(E2261="",E2261="!!!",F2261="NEW"),"",INDEX(B2260:B$2,-1+SUMPRODUCT(MAX(ROW(E2260:E$2)*(E2261=E2260:E$2)))))</f>
        <v> </v>
      </c>
      <c r="J2261" s="25" t="str">
        <f>IF(OR(E2261="",E2261="!!!",F2261="NEW"),"",COUNTBLANK(OFFSET(A$1,,,SUMPRODUCT(MAX(ROW(E$2:E2261)*(E2261=E$2:E2261)))))-COUNTBLANK(OFFSET(A$1,,,SUMPRODUCT(MAX(ROW(E$1:E2260)*(E2=E$1:E2260))))))</f>
        <v> </v>
      </c>
      <c r="K2261" s="25" t="str">
        <f>IF(OR(E2261="",E2261="!!!",F2261="NEW"),"",INDEX(J$1:J2260,SUMPRODUCT(MAX(ROW(E$1:E2260)*(E2261=E$1:E2260)))))</f>
        <v> </v>
      </c>
      <c r="L2261" s="26"/>
    </row>
    <row r="2262" spans="1:12">
      <c r="A2262" s="20" t="s">
        <v>749</v>
      </c>
      <c r="B2262" s="27" t="s">
        <v>619</v>
      </c>
      <c r="C2262" s="27" t="s">
        <v>607</v>
      </c>
      <c r="D2262" s="27" t="s">
        <v>608</v>
      </c>
      <c r="E2262" s="21">
        <f>IF(D2262="?OLD","!!!","")</f>
        <v/>
      </c>
      <c r="F2262" s="22" t="str">
        <f>IF(OR(E2262="",E2262="!!!"),"",IF(NOT(ISNA(VLOOKUP(E2262,E$1:E2261,1,FALSE()))),"OLD",IF(AND(E2262&lt;&gt;"",E2262&lt;&gt;"!!!"),"NEW","")))</f>
        <v> </v>
      </c>
      <c r="G2262" s="23" t="str">
        <f>IF(OR(E2262="",E2262="!!!"),"",IF(OR(J2262=0,AND(J2262=1,K2262=1),AND(J2262=1,I2262="SBJ"),AND(J2262=1,I2262=0)),"?IN_FOCUS",IF(J2262&lt;=2,"?ACTIVATED",IF(J2262&lt;&gt;"","?FAMILIAR",IF(F2262="NEW",IF(ISNA(VLOOKUP(E2262,#REF!,1,FALSE())),"?TYPE_IDENTIFIABLE","?REFERENTIAL"),"_")))))</f>
        <v> </v>
      </c>
      <c r="H2262" s="24" t="str">
        <f>IF(J2262&lt;&gt;1,"",IF(I2262="SBJ","CB","?"))</f>
        <v> </v>
      </c>
      <c r="I2262" s="25" t="str">
        <f>IF(OR(E2262="",E2262="!!!",F2262="NEW"),"",INDEX(B2261:B$2,-1+SUMPRODUCT(MAX(ROW(E2261:E$2)*(E2262=E2261:E$2)))))</f>
        <v> </v>
      </c>
      <c r="J2262" s="25" t="str">
        <f>IF(OR(E2262="",E2262="!!!",F2262="NEW"),"",COUNTBLANK(OFFSET(A$1,,,SUMPRODUCT(MAX(ROW(E$2:E2262)*(E2262=E$2:E2262)))))-COUNTBLANK(OFFSET(A$1,,,SUMPRODUCT(MAX(ROW(E$1:E2261)*(E2=E$1:E2261))))))</f>
        <v> </v>
      </c>
      <c r="K2262" s="25" t="str">
        <f>IF(OR(E2262="",E2262="!!!",F2262="NEW"),"",INDEX(J$1:J2261,SUMPRODUCT(MAX(ROW(E$1:E2261)*(E2262=E$1:E2261)))))</f>
        <v> </v>
      </c>
      <c r="L2262" s="26"/>
    </row>
    <row r="2263" spans="1:12">
      <c r="A2263" s="20" t="s">
        <v>612</v>
      </c>
      <c r="E2263" s="21">
        <f>IF(D2263="?OLD","!!!","")</f>
        <v/>
      </c>
      <c r="F2263" s="22" t="str">
        <f>IF(OR(E2263="",E2263="!!!"),"",IF(NOT(ISNA(VLOOKUP(E2263,E$1:E2262,1,FALSE()))),"OLD",IF(AND(E2263&lt;&gt;"",E2263&lt;&gt;"!!!"),"NEW","")))</f>
        <v> </v>
      </c>
      <c r="G2263" s="23" t="str">
        <f>IF(OR(E2263="",E2263="!!!"),"",IF(OR(J2263=0,AND(J2263=1,K2263=1),AND(J2263=1,I2263="SBJ"),AND(J2263=1,I2263=0)),"?IN_FOCUS",IF(J2263&lt;=2,"?ACTIVATED",IF(J2263&lt;&gt;"","?FAMILIAR",IF(F2263="NEW",IF(ISNA(VLOOKUP(E2263,#REF!,1,FALSE())),"?TYPE_IDENTIFIABLE","?REFERENTIAL"),"_")))))</f>
        <v> </v>
      </c>
      <c r="H2263" s="24" t="str">
        <f>IF(J2263&lt;&gt;1,"",IF(I2263="SBJ","CB","?"))</f>
        <v> </v>
      </c>
      <c r="I2263" s="25" t="str">
        <f>IF(OR(E2263="",E2263="!!!",F2263="NEW"),"",INDEX(B2262:B$2,-1+SUMPRODUCT(MAX(ROW(E2262:E$2)*(E2263=E2262:E$2)))))</f>
        <v> </v>
      </c>
      <c r="J2263" s="25" t="str">
        <f>IF(OR(E2263="",E2263="!!!",F2263="NEW"),"",COUNTBLANK(OFFSET(A$1,,,SUMPRODUCT(MAX(ROW(E$2:E2263)*(E2263=E$2:E2263)))))-COUNTBLANK(OFFSET(A$1,,,SUMPRODUCT(MAX(ROW(E$1:E2262)*(E2=E$1:E2262))))))</f>
        <v> </v>
      </c>
      <c r="K2263" s="25" t="str">
        <f>IF(OR(E2263="",E2263="!!!",F2263="NEW"),"",INDEX(J$1:J2262,SUMPRODUCT(MAX(ROW(E$1:E2262)*(E2263=E$1:E2262)))))</f>
        <v> </v>
      </c>
      <c r="L2263" s="26"/>
    </row>
    <row r="2264" spans="1:12">
      <c r="A2264" s="20" t="s">
        <v>618</v>
      </c>
      <c r="E2264" s="21">
        <f>IF(D2264="?OLD","!!!","")</f>
        <v/>
      </c>
      <c r="F2264" s="22" t="str">
        <f>IF(OR(E2264="",E2264="!!!"),"",IF(NOT(ISNA(VLOOKUP(E2264,E$1:E2263,1,FALSE()))),"OLD",IF(AND(E2264&lt;&gt;"",E2264&lt;&gt;"!!!"),"NEW","")))</f>
        <v> </v>
      </c>
      <c r="G2264" s="23" t="str">
        <f>IF(OR(E2264="",E2264="!!!"),"",IF(OR(J2264=0,AND(J2264=1,K2264=1),AND(J2264=1,I2264="SBJ"),AND(J2264=1,I2264=0)),"?IN_FOCUS",IF(J2264&lt;=2,"?ACTIVATED",IF(J2264&lt;&gt;"","?FAMILIAR",IF(F2264="NEW",IF(ISNA(VLOOKUP(E2264,#REF!,1,FALSE())),"?TYPE_IDENTIFIABLE","?REFERENTIAL"),"_")))))</f>
        <v> </v>
      </c>
      <c r="H2264" s="24" t="str">
        <f>IF(J2264&lt;&gt;1,"",IF(I2264="SBJ","CB","?"))</f>
        <v> </v>
      </c>
      <c r="I2264" s="25" t="str">
        <f>IF(OR(E2264="",E2264="!!!",F2264="NEW"),"",INDEX(B2263:B$2,-1+SUMPRODUCT(MAX(ROW(E2263:E$2)*(E2264=E2263:E$2)))))</f>
        <v> </v>
      </c>
      <c r="J2264" s="25" t="str">
        <f>IF(OR(E2264="",E2264="!!!",F2264="NEW"),"",COUNTBLANK(OFFSET(A$1,,,SUMPRODUCT(MAX(ROW(E$2:E2264)*(E2264=E$2:E2264)))))-COUNTBLANK(OFFSET(A$1,,,SUMPRODUCT(MAX(ROW(E$1:E2263)*(E2=E$1:E2263))))))</f>
        <v> </v>
      </c>
      <c r="K2264" s="25" t="str">
        <f>IF(OR(E2264="",E2264="!!!",F2264="NEW"),"",INDEX(J$1:J2263,SUMPRODUCT(MAX(ROW(E$1:E2263)*(E2264=E$1:E2263)))))</f>
        <v> </v>
      </c>
      <c r="L2264" s="26"/>
    </row>
    <row r="2265" spans="1:12">
      <c r="A2265" s="20" t="s">
        <v>1192</v>
      </c>
      <c r="E2265" s="21">
        <f>IF(D2265="?OLD","!!!","")</f>
        <v/>
      </c>
      <c r="F2265" s="22" t="str">
        <f>IF(OR(E2265="",E2265="!!!"),"",IF(NOT(ISNA(VLOOKUP(E2265,E$1:E2264,1,FALSE()))),"OLD",IF(AND(E2265&lt;&gt;"",E2265&lt;&gt;"!!!"),"NEW","")))</f>
        <v> </v>
      </c>
      <c r="G2265" s="23" t="str">
        <f>IF(OR(E2265="",E2265="!!!"),"",IF(OR(J2265=0,AND(J2265=1,K2265=1),AND(J2265=1,I2265="SBJ"),AND(J2265=1,I2265=0)),"?IN_FOCUS",IF(J2265&lt;=2,"?ACTIVATED",IF(J2265&lt;&gt;"","?FAMILIAR",IF(F2265="NEW",IF(ISNA(VLOOKUP(E2265,#REF!,1,FALSE())),"?TYPE_IDENTIFIABLE","?REFERENTIAL"),"_")))))</f>
        <v> </v>
      </c>
      <c r="H2265" s="24" t="str">
        <f>IF(J2265&lt;&gt;1,"",IF(I2265="SBJ","CB","?"))</f>
        <v> </v>
      </c>
      <c r="I2265" s="25" t="str">
        <f>IF(OR(E2265="",E2265="!!!",F2265="NEW"),"",INDEX(B2264:B$2,-1+SUMPRODUCT(MAX(ROW(E2264:E$2)*(E2265=E2264:E$2)))))</f>
        <v> </v>
      </c>
      <c r="J2265" s="25" t="str">
        <f>IF(OR(E2265="",E2265="!!!",F2265="NEW"),"",COUNTBLANK(OFFSET(A$1,,,SUMPRODUCT(MAX(ROW(E$2:E2265)*(E2265=E$2:E2265)))))-COUNTBLANK(OFFSET(A$1,,,SUMPRODUCT(MAX(ROW(E$1:E2264)*(E2=E$1:E2264))))))</f>
        <v> </v>
      </c>
      <c r="K2265" s="25" t="str">
        <f>IF(OR(E2265="",E2265="!!!",F2265="NEW"),"",INDEX(J$1:J2264,SUMPRODUCT(MAX(ROW(E$1:E2264)*(E2265=E$1:E2264)))))</f>
        <v> </v>
      </c>
      <c r="L2265" s="26"/>
    </row>
    <row r="2266" spans="1:12">
      <c r="A2266" s="20" t="s">
        <v>187</v>
      </c>
      <c r="B2266" s="27" t="s">
        <v>653</v>
      </c>
      <c r="C2266" s="27" t="s">
        <v>607</v>
      </c>
      <c r="D2266" s="27" t="s">
        <v>608</v>
      </c>
      <c r="E2266" s="21">
        <f>IF(D2266="?OLD","!!!","")</f>
        <v/>
      </c>
      <c r="F2266" s="22" t="str">
        <f>IF(OR(E2266="",E2266="!!!"),"",IF(NOT(ISNA(VLOOKUP(E2266,E$1:E2265,1,FALSE()))),"OLD",IF(AND(E2266&lt;&gt;"",E2266&lt;&gt;"!!!"),"NEW","")))</f>
        <v> </v>
      </c>
      <c r="G2266" s="23" t="str">
        <f>IF(OR(E2266="",E2266="!!!"),"",IF(OR(J2266=0,AND(J2266=1,K2266=1),AND(J2266=1,I2266="SBJ"),AND(J2266=1,I2266=0)),"?IN_FOCUS",IF(J2266&lt;=2,"?ACTIVATED",IF(J2266&lt;&gt;"","?FAMILIAR",IF(F2266="NEW",IF(ISNA(VLOOKUP(E2266,#REF!,1,FALSE())),"?TYPE_IDENTIFIABLE","?REFERENTIAL"),"_")))))</f>
        <v> </v>
      </c>
      <c r="H2266" s="24" t="str">
        <f>IF(J2266&lt;&gt;1,"",IF(I2266="SBJ","CB","?"))</f>
        <v> </v>
      </c>
      <c r="I2266" s="25" t="str">
        <f>IF(OR(E2266="",E2266="!!!",F2266="NEW"),"",INDEX(B2265:B$2,-1+SUMPRODUCT(MAX(ROW(E2265:E$2)*(E2266=E2265:E$2)))))</f>
        <v> </v>
      </c>
      <c r="J2266" s="25" t="str">
        <f>IF(OR(E2266="",E2266="!!!",F2266="NEW"),"",COUNTBLANK(OFFSET(A$1,,,SUMPRODUCT(MAX(ROW(E$2:E2266)*(E2266=E$2:E2266)))))-COUNTBLANK(OFFSET(A$1,,,SUMPRODUCT(MAX(ROW(E$1:E2265)*(E2=E$1:E2265))))))</f>
        <v> </v>
      </c>
      <c r="K2266" s="25" t="str">
        <f>IF(OR(E2266="",E2266="!!!",F2266="NEW"),"",INDEX(J$1:J2265,SUMPRODUCT(MAX(ROW(E$1:E2265)*(E2266=E$1:E2265)))))</f>
        <v> </v>
      </c>
      <c r="L2266" s="26"/>
    </row>
    <row r="2267" spans="1:12">
      <c r="A2267" s="20" t="s">
        <v>633</v>
      </c>
      <c r="E2267" s="21">
        <f>IF(D2267="?OLD","!!!","")</f>
        <v/>
      </c>
      <c r="F2267" s="22" t="str">
        <f>IF(OR(E2267="",E2267="!!!"),"",IF(NOT(ISNA(VLOOKUP(E2267,E$1:E2266,1,FALSE()))),"OLD",IF(AND(E2267&lt;&gt;"",E2267&lt;&gt;"!!!"),"NEW","")))</f>
        <v> </v>
      </c>
      <c r="G2267" s="23" t="str">
        <f>IF(OR(E2267="",E2267="!!!"),"",IF(OR(J2267=0,AND(J2267=1,K2267=1),AND(J2267=1,I2267="SBJ"),AND(J2267=1,I2267=0)),"?IN_FOCUS",IF(J2267&lt;=2,"?ACTIVATED",IF(J2267&lt;&gt;"","?FAMILIAR",IF(F2267="NEW",IF(ISNA(VLOOKUP(E2267,#REF!,1,FALSE())),"?TYPE_IDENTIFIABLE","?REFERENTIAL"),"_")))))</f>
        <v> </v>
      </c>
      <c r="H2267" s="24" t="str">
        <f>IF(J2267&lt;&gt;1,"",IF(I2267="SBJ","CB","?"))</f>
        <v> </v>
      </c>
      <c r="I2267" s="25" t="str">
        <f>IF(OR(E2267="",E2267="!!!",F2267="NEW"),"",INDEX(B2266:B$2,-1+SUMPRODUCT(MAX(ROW(E2266:E$2)*(E2267=E2266:E$2)))))</f>
        <v> </v>
      </c>
      <c r="J2267" s="25" t="str">
        <f>IF(OR(E2267="",E2267="!!!",F2267="NEW"),"",COUNTBLANK(OFFSET(A$1,,,SUMPRODUCT(MAX(ROW(E$2:E2267)*(E2267=E$2:E2267)))))-COUNTBLANK(OFFSET(A$1,,,SUMPRODUCT(MAX(ROW(E$1:E2266)*(E2=E$1:E2266))))))</f>
        <v> </v>
      </c>
      <c r="K2267" s="25" t="str">
        <f>IF(OR(E2267="",E2267="!!!",F2267="NEW"),"",INDEX(J$1:J2266,SUMPRODUCT(MAX(ROW(E$1:E2266)*(E2267=E$1:E2266)))))</f>
        <v> </v>
      </c>
      <c r="L2267" s="26"/>
    </row>
    <row r="2268" spans="1:12">
      <c r="A2268" s="20"/>
    </row>
    <row r="2269" spans="1:12">
      <c r="A2269" s="20" t="s">
        <v>1442</v>
      </c>
    </row>
    <row r="2270" spans="1:12">
      <c r="A2270" s="20" t="s">
        <v>769</v>
      </c>
      <c r="E2270" s="21">
        <f>IF(D2270="?OLD","!!!","")</f>
        <v/>
      </c>
      <c r="F2270" s="22" t="str">
        <f>IF(OR(E2270="",E2270="!!!"),"",IF(NOT(ISNA(VLOOKUP(E2270,E$1:E2269,1,FALSE()))),"OLD",IF(AND(E2270&lt;&gt;"",E2270&lt;&gt;"!!!"),"NEW","")))</f>
        <v> </v>
      </c>
      <c r="G2270" s="23" t="str">
        <f>IF(OR(E2270="",E2270="!!!"),"",IF(OR(J2270=0,AND(J2270=1,K2270=1),AND(J2270=1,I2270="SBJ"),AND(J2270=1,I2270=0)),"?IN_FOCUS",IF(J2270&lt;=2,"?ACTIVATED",IF(J2270&lt;&gt;"","?FAMILIAR",IF(F2270="NEW",IF(ISNA(VLOOKUP(E2270,#REF!,1,FALSE())),"?TYPE_IDENTIFIABLE","?REFERENTIAL"),"_")))))</f>
        <v> </v>
      </c>
      <c r="H2270" s="24" t="str">
        <f>IF(J2270&lt;&gt;1,"",IF(I2270="SBJ","CB","?"))</f>
        <v> </v>
      </c>
      <c r="I2270" s="25" t="str">
        <f>IF(OR(E2270="",E2270="!!!",F2270="NEW"),"",INDEX(B2269:B$2,-1+SUMPRODUCT(MAX(ROW(E2269:E$2)*(E2270=E2269:E$2)))))</f>
        <v> </v>
      </c>
      <c r="J2270" s="25" t="str">
        <f>IF(OR(E2270="",E2270="!!!",F2270="NEW"),"",COUNTBLANK(OFFSET(A$1,,,SUMPRODUCT(MAX(ROW(E$2:E2270)*(E2270=E$2:E2270)))))-COUNTBLANK(OFFSET(A$1,,,SUMPRODUCT(MAX(ROW(E$1:E2269)*(E2=E$1:E2269))))))</f>
        <v> </v>
      </c>
      <c r="K2270" s="25" t="str">
        <f>IF(OR(E2270="",E2270="!!!",F2270="NEW"),"",INDEX(J$1:J2269,SUMPRODUCT(MAX(ROW(E$1:E2269)*(E2270=E$1:E2269)))))</f>
        <v> </v>
      </c>
      <c r="L2270" s="26"/>
    </row>
    <row r="2271" spans="1:12">
      <c r="A2271" s="20" t="s">
        <v>1443</v>
      </c>
      <c r="B2271" s="27" t="s">
        <v>636</v>
      </c>
      <c r="C2271" s="27" t="s">
        <v>607</v>
      </c>
      <c r="D2271" s="27" t="s">
        <v>608</v>
      </c>
      <c r="E2271" s="21">
        <f>IF(D2271="?OLD","!!!","")</f>
        <v/>
      </c>
      <c r="F2271" s="22" t="str">
        <f>IF(OR(E2271="",E2271="!!!"),"",IF(NOT(ISNA(VLOOKUP(E2271,E$1:E2270,1,FALSE()))),"OLD",IF(AND(E2271&lt;&gt;"",E2271&lt;&gt;"!!!"),"NEW","")))</f>
        <v> </v>
      </c>
      <c r="G2271" s="23" t="str">
        <f>IF(OR(E2271="",E2271="!!!"),"",IF(OR(J2271=0,AND(J2271=1,K2271=1),AND(J2271=1,I2271="SBJ"),AND(J2271=1,I2271=0)),"?IN_FOCUS",IF(J2271&lt;=2,"?ACTIVATED",IF(J2271&lt;&gt;"","?FAMILIAR",IF(F2271="NEW",IF(ISNA(VLOOKUP(E2271,#REF!,1,FALSE())),"?TYPE_IDENTIFIABLE","?REFERENTIAL"),"_")))))</f>
        <v> </v>
      </c>
      <c r="H2271" s="24" t="str">
        <f>IF(J2271&lt;&gt;1,"",IF(I2271="SBJ","CB","?"))</f>
        <v> </v>
      </c>
      <c r="I2271" s="25" t="str">
        <f>IF(OR(E2271="",E2271="!!!",F2271="NEW"),"",INDEX(B2270:B$2,-1+SUMPRODUCT(MAX(ROW(E2270:E$2)*(E2271=E2270:E$2)))))</f>
        <v> </v>
      </c>
      <c r="J2271" s="25" t="str">
        <f>IF(OR(E2271="",E2271="!!!",F2271="NEW"),"",COUNTBLANK(OFFSET(A$1,,,SUMPRODUCT(MAX(ROW(E$2:E2271)*(E2271=E$2:E2271)))))-COUNTBLANK(OFFSET(A$1,,,SUMPRODUCT(MAX(ROW(E$1:E2270)*(E2=E$1:E2270))))))</f>
        <v> </v>
      </c>
      <c r="K2271" s="25" t="str">
        <f>IF(OR(E2271="",E2271="!!!",F2271="NEW"),"",INDEX(J$1:J2270,SUMPRODUCT(MAX(ROW(E$1:E2270)*(E2271=E$1:E2270)))))</f>
        <v> </v>
      </c>
      <c r="L2271" s="26"/>
    </row>
    <row r="2272" spans="1:12">
      <c r="A2272" s="20" t="s">
        <v>966</v>
      </c>
      <c r="E2272" s="21">
        <f>IF(D2272="?OLD","!!!","")</f>
        <v/>
      </c>
      <c r="F2272" s="22" t="str">
        <f>IF(OR(E2272="",E2272="!!!"),"",IF(NOT(ISNA(VLOOKUP(E2272,E$1:E2271,1,FALSE()))),"OLD",IF(AND(E2272&lt;&gt;"",E2272&lt;&gt;"!!!"),"NEW","")))</f>
        <v> </v>
      </c>
      <c r="G2272" s="23" t="str">
        <f>IF(OR(E2272="",E2272="!!!"),"",IF(OR(J2272=0,AND(J2272=1,K2272=1),AND(J2272=1,I2272="SBJ"),AND(J2272=1,I2272=0)),"?IN_FOCUS",IF(J2272&lt;=2,"?ACTIVATED",IF(J2272&lt;&gt;"","?FAMILIAR",IF(F2272="NEW",IF(ISNA(VLOOKUP(E2272,#REF!,1,FALSE())),"?TYPE_IDENTIFIABLE","?REFERENTIAL"),"_")))))</f>
        <v> </v>
      </c>
      <c r="H2272" s="24" t="str">
        <f>IF(J2272&lt;&gt;1,"",IF(I2272="SBJ","CB","?"))</f>
        <v> </v>
      </c>
      <c r="I2272" s="25" t="str">
        <f>IF(OR(E2272="",E2272="!!!",F2272="NEW"),"",INDEX(B2271:B$2,-1+SUMPRODUCT(MAX(ROW(E2271:E$2)*(E2272=E2271:E$2)))))</f>
        <v> </v>
      </c>
      <c r="J2272" s="25" t="str">
        <f>IF(OR(E2272="",E2272="!!!",F2272="NEW"),"",COUNTBLANK(OFFSET(A$1,,,SUMPRODUCT(MAX(ROW(E$2:E2272)*(E2272=E$2:E2272)))))-COUNTBLANK(OFFSET(A$1,,,SUMPRODUCT(MAX(ROW(E$1:E2271)*(E2=E$1:E2271))))))</f>
        <v> </v>
      </c>
      <c r="K2272" s="25" t="str">
        <f>IF(OR(E2272="",E2272="!!!",F2272="NEW"),"",INDEX(J$1:J2271,SUMPRODUCT(MAX(ROW(E$1:E2271)*(E2272=E$1:E2271)))))</f>
        <v> </v>
      </c>
      <c r="L2272" s="26"/>
    </row>
    <row r="2273" spans="1:12">
      <c r="A2273" s="20" t="s">
        <v>1444</v>
      </c>
      <c r="E2273" s="21">
        <f>IF(D2273="?OLD","!!!","")</f>
        <v/>
      </c>
      <c r="F2273" s="22" t="str">
        <f>IF(OR(E2273="",E2273="!!!"),"",IF(NOT(ISNA(VLOOKUP(E2273,E$1:E2272,1,FALSE()))),"OLD",IF(AND(E2273&lt;&gt;"",E2273&lt;&gt;"!!!"),"NEW","")))</f>
        <v> </v>
      </c>
      <c r="G2273" s="23" t="str">
        <f>IF(OR(E2273="",E2273="!!!"),"",IF(OR(J2273=0,AND(J2273=1,K2273=1),AND(J2273=1,I2273="SBJ"),AND(J2273=1,I2273=0)),"?IN_FOCUS",IF(J2273&lt;=2,"?ACTIVATED",IF(J2273&lt;&gt;"","?FAMILIAR",IF(F2273="NEW",IF(ISNA(VLOOKUP(E2273,#REF!,1,FALSE())),"?TYPE_IDENTIFIABLE","?REFERENTIAL"),"_")))))</f>
        <v> </v>
      </c>
      <c r="H2273" s="24" t="str">
        <f>IF(J2273&lt;&gt;1,"",IF(I2273="SBJ","CB","?"))</f>
        <v> </v>
      </c>
      <c r="I2273" s="25" t="str">
        <f>IF(OR(E2273="",E2273="!!!",F2273="NEW"),"",INDEX(B2272:B$2,-1+SUMPRODUCT(MAX(ROW(E2272:E$2)*(E2273=E2272:E$2)))))</f>
        <v> </v>
      </c>
      <c r="J2273" s="25" t="str">
        <f>IF(OR(E2273="",E2273="!!!",F2273="NEW"),"",COUNTBLANK(OFFSET(A$1,,,SUMPRODUCT(MAX(ROW(E$2:E2273)*(E2273=E$2:E2273)))))-COUNTBLANK(OFFSET(A$1,,,SUMPRODUCT(MAX(ROW(E$1:E2272)*(E2=E$1:E2272))))))</f>
        <v> </v>
      </c>
      <c r="K2273" s="25" t="str">
        <f>IF(OR(E2273="",E2273="!!!",F2273="NEW"),"",INDEX(J$1:J2272,SUMPRODUCT(MAX(ROW(E$1:E2272)*(E2273=E$1:E2272)))))</f>
        <v> </v>
      </c>
      <c r="L2273" s="26"/>
    </row>
    <row r="2274" spans="1:12">
      <c r="A2274" s="20" t="s">
        <v>1445</v>
      </c>
      <c r="B2274" s="27" t="s">
        <v>611</v>
      </c>
      <c r="C2274" s="27" t="s">
        <v>607</v>
      </c>
      <c r="D2274" s="27" t="s">
        <v>608</v>
      </c>
      <c r="E2274" s="21">
        <f>IF(D2274="?OLD","!!!","")</f>
        <v/>
      </c>
      <c r="F2274" s="22" t="str">
        <f>IF(OR(E2274="",E2274="!!!"),"",IF(NOT(ISNA(VLOOKUP(E2274,E$1:E2273,1,FALSE()))),"OLD",IF(AND(E2274&lt;&gt;"",E2274&lt;&gt;"!!!"),"NEW","")))</f>
        <v> </v>
      </c>
      <c r="G2274" s="23" t="str">
        <f>IF(OR(E2274="",E2274="!!!"),"",IF(OR(J2274=0,AND(J2274=1,K2274=1),AND(J2274=1,I2274="SBJ"),AND(J2274=1,I2274=0)),"?IN_FOCUS",IF(J2274&lt;=2,"?ACTIVATED",IF(J2274&lt;&gt;"","?FAMILIAR",IF(F2274="NEW",IF(ISNA(VLOOKUP(E2274,#REF!,1,FALSE())),"?TYPE_IDENTIFIABLE","?REFERENTIAL"),"_")))))</f>
        <v> </v>
      </c>
      <c r="H2274" s="24" t="str">
        <f>IF(J2274&lt;&gt;1,"",IF(I2274="SBJ","CB","?"))</f>
        <v> </v>
      </c>
      <c r="I2274" s="25" t="str">
        <f>IF(OR(E2274="",E2274="!!!",F2274="NEW"),"",INDEX(B2273:B$2,-1+SUMPRODUCT(MAX(ROW(E2273:E$2)*(E2274=E2273:E$2)))))</f>
        <v> </v>
      </c>
      <c r="J2274" s="25" t="str">
        <f>IF(OR(E2274="",E2274="!!!",F2274="NEW"),"",COUNTBLANK(OFFSET(A$1,,,SUMPRODUCT(MAX(ROW(E$2:E2274)*(E2274=E$2:E2274)))))-COUNTBLANK(OFFSET(A$1,,,SUMPRODUCT(MAX(ROW(E$1:E2273)*(E2=E$1:E2273))))))</f>
        <v> </v>
      </c>
      <c r="K2274" s="25" t="str">
        <f>IF(OR(E2274="",E2274="!!!",F2274="NEW"),"",INDEX(J$1:J2273,SUMPRODUCT(MAX(ROW(E$1:E2273)*(E2274=E$1:E2273)))))</f>
        <v> </v>
      </c>
      <c r="L2274" s="26"/>
    </row>
    <row r="2275" spans="1:12">
      <c r="A2275" s="20" t="s">
        <v>612</v>
      </c>
      <c r="E2275" s="21">
        <f>IF(D2275="?OLD","!!!","")</f>
        <v/>
      </c>
      <c r="F2275" s="22" t="str">
        <f>IF(OR(E2275="",E2275="!!!"),"",IF(NOT(ISNA(VLOOKUP(E2275,E$1:E2274,1,FALSE()))),"OLD",IF(AND(E2275&lt;&gt;"",E2275&lt;&gt;"!!!"),"NEW","")))</f>
        <v> </v>
      </c>
      <c r="G2275" s="23" t="str">
        <f>IF(OR(E2275="",E2275="!!!"),"",IF(OR(J2275=0,AND(J2275=1,K2275=1),AND(J2275=1,I2275="SBJ"),AND(J2275=1,I2275=0)),"?IN_FOCUS",IF(J2275&lt;=2,"?ACTIVATED",IF(J2275&lt;&gt;"","?FAMILIAR",IF(F2275="NEW",IF(ISNA(VLOOKUP(E2275,#REF!,1,FALSE())),"?TYPE_IDENTIFIABLE","?REFERENTIAL"),"_")))))</f>
        <v> </v>
      </c>
      <c r="H2275" s="24" t="str">
        <f>IF(J2275&lt;&gt;1,"",IF(I2275="SBJ","CB","?"))</f>
        <v> </v>
      </c>
      <c r="I2275" s="25" t="str">
        <f>IF(OR(E2275="",E2275="!!!",F2275="NEW"),"",INDEX(B2274:B$2,-1+SUMPRODUCT(MAX(ROW(E2274:E$2)*(E2275=E2274:E$2)))))</f>
        <v> </v>
      </c>
      <c r="J2275" s="25" t="str">
        <f>IF(OR(E2275="",E2275="!!!",F2275="NEW"),"",COUNTBLANK(OFFSET(A$1,,,SUMPRODUCT(MAX(ROW(E$2:E2275)*(E2275=E$2:E2275)))))-COUNTBLANK(OFFSET(A$1,,,SUMPRODUCT(MAX(ROW(E$1:E2274)*(E2=E$1:E2274))))))</f>
        <v> </v>
      </c>
      <c r="K2275" s="25" t="str">
        <f>IF(OR(E2275="",E2275="!!!",F2275="NEW"),"",INDEX(J$1:J2274,SUMPRODUCT(MAX(ROW(E$1:E2274)*(E2275=E$1:E2274)))))</f>
        <v> </v>
      </c>
      <c r="L2275" s="26"/>
    </row>
    <row r="2276" spans="1:12">
      <c r="A2276" s="20" t="s">
        <v>690</v>
      </c>
      <c r="E2276" s="21">
        <f>IF(D2276="?OLD","!!!","")</f>
        <v/>
      </c>
      <c r="F2276" s="22" t="str">
        <f>IF(OR(E2276="",E2276="!!!"),"",IF(NOT(ISNA(VLOOKUP(E2276,E$1:E2275,1,FALSE()))),"OLD",IF(AND(E2276&lt;&gt;"",E2276&lt;&gt;"!!!"),"NEW","")))</f>
        <v> </v>
      </c>
      <c r="G2276" s="23" t="str">
        <f>IF(OR(E2276="",E2276="!!!"),"",IF(OR(J2276=0,AND(J2276=1,K2276=1),AND(J2276=1,I2276="SBJ"),AND(J2276=1,I2276=0)),"?IN_FOCUS",IF(J2276&lt;=2,"?ACTIVATED",IF(J2276&lt;&gt;"","?FAMILIAR",IF(F2276="NEW",IF(ISNA(VLOOKUP(E2276,#REF!,1,FALSE())),"?TYPE_IDENTIFIABLE","?REFERENTIAL"),"_")))))</f>
        <v> </v>
      </c>
      <c r="H2276" s="24" t="str">
        <f>IF(J2276&lt;&gt;1,"",IF(I2276="SBJ","CB","?"))</f>
        <v> </v>
      </c>
      <c r="I2276" s="25" t="str">
        <f>IF(OR(E2276="",E2276="!!!",F2276="NEW"),"",INDEX(B2275:B$2,-1+SUMPRODUCT(MAX(ROW(E2275:E$2)*(E2276=E2275:E$2)))))</f>
        <v> </v>
      </c>
      <c r="J2276" s="25" t="str">
        <f>IF(OR(E2276="",E2276="!!!",F2276="NEW"),"",COUNTBLANK(OFFSET(A$1,,,SUMPRODUCT(MAX(ROW(E$2:E2276)*(E2276=E$2:E2276)))))-COUNTBLANK(OFFSET(A$1,,,SUMPRODUCT(MAX(ROW(E$1:E2275)*(E2=E$1:E2275))))))</f>
        <v> </v>
      </c>
      <c r="K2276" s="25" t="str">
        <f>IF(OR(E2276="",E2276="!!!",F2276="NEW"),"",INDEX(J$1:J2275,SUMPRODUCT(MAX(ROW(E$1:E2275)*(E2276=E$1:E2275)))))</f>
        <v> </v>
      </c>
      <c r="L2276" s="26"/>
    </row>
    <row r="2277" spans="1:12">
      <c r="A2277" s="20" t="s">
        <v>798</v>
      </c>
      <c r="B2277" s="27" t="s">
        <v>606</v>
      </c>
      <c r="C2277" s="27" t="s">
        <v>607</v>
      </c>
      <c r="D2277" s="27" t="s">
        <v>608</v>
      </c>
      <c r="E2277" s="21">
        <f>IF(D2277="?OLD","!!!","")</f>
        <v/>
      </c>
      <c r="F2277" s="22" t="str">
        <f>IF(OR(E2277="",E2277="!!!"),"",IF(NOT(ISNA(VLOOKUP(E2277,E$1:E2276,1,FALSE()))),"OLD",IF(AND(E2277&lt;&gt;"",E2277&lt;&gt;"!!!"),"NEW","")))</f>
        <v> </v>
      </c>
      <c r="G2277" s="23" t="str">
        <f>IF(OR(E2277="",E2277="!!!"),"",IF(OR(J2277=0,AND(J2277=1,K2277=1),AND(J2277=1,I2277="SBJ"),AND(J2277=1,I2277=0)),"?IN_FOCUS",IF(J2277&lt;=2,"?ACTIVATED",IF(J2277&lt;&gt;"","?FAMILIAR",IF(F2277="NEW",IF(ISNA(VLOOKUP(E2277,#REF!,1,FALSE())),"?TYPE_IDENTIFIABLE","?REFERENTIAL"),"_")))))</f>
        <v> </v>
      </c>
      <c r="H2277" s="24" t="str">
        <f>IF(J2277&lt;&gt;1,"",IF(I2277="SBJ","CB","?"))</f>
        <v> </v>
      </c>
      <c r="I2277" s="25" t="str">
        <f>IF(OR(E2277="",E2277="!!!",F2277="NEW"),"",INDEX(B2276:B$2,-1+SUMPRODUCT(MAX(ROW(E2276:E$2)*(E2277=E2276:E$2)))))</f>
        <v> </v>
      </c>
      <c r="J2277" s="25" t="str">
        <f>IF(OR(E2277="",E2277="!!!",F2277="NEW"),"",COUNTBLANK(OFFSET(A$1,,,SUMPRODUCT(MAX(ROW(E$2:E2277)*(E2277=E$2:E2277)))))-COUNTBLANK(OFFSET(A$1,,,SUMPRODUCT(MAX(ROW(E$1:E2276)*(E2=E$1:E2276))))))</f>
        <v> </v>
      </c>
      <c r="K2277" s="25" t="str">
        <f>IF(OR(E2277="",E2277="!!!",F2277="NEW"),"",INDEX(J$1:J2276,SUMPRODUCT(MAX(ROW(E$1:E2276)*(E2277=E$1:E2276)))))</f>
        <v> </v>
      </c>
      <c r="L2277" s="26"/>
    </row>
    <row r="2278" spans="1:12">
      <c r="A2278" s="20" t="s">
        <v>633</v>
      </c>
      <c r="E2278" s="21">
        <f>IF(D2278="?OLD","!!!","")</f>
        <v/>
      </c>
      <c r="F2278" s="22" t="str">
        <f>IF(OR(E2278="",E2278="!!!"),"",IF(NOT(ISNA(VLOOKUP(E2278,E$1:E2277,1,FALSE()))),"OLD",IF(AND(E2278&lt;&gt;"",E2278&lt;&gt;"!!!"),"NEW","")))</f>
        <v> </v>
      </c>
      <c r="G2278" s="23" t="str">
        <f>IF(OR(E2278="",E2278="!!!"),"",IF(OR(J2278=0,AND(J2278=1,K2278=1),AND(J2278=1,I2278="SBJ"),AND(J2278=1,I2278=0)),"?IN_FOCUS",IF(J2278&lt;=2,"?ACTIVATED",IF(J2278&lt;&gt;"","?FAMILIAR",IF(F2278="NEW",IF(ISNA(VLOOKUP(E2278,#REF!,1,FALSE())),"?TYPE_IDENTIFIABLE","?REFERENTIAL"),"_")))))</f>
        <v> </v>
      </c>
      <c r="H2278" s="24" t="str">
        <f>IF(J2278&lt;&gt;1,"",IF(I2278="SBJ","CB","?"))</f>
        <v> </v>
      </c>
      <c r="I2278" s="25" t="str">
        <f>IF(OR(E2278="",E2278="!!!",F2278="NEW"),"",INDEX(B2277:B$2,-1+SUMPRODUCT(MAX(ROW(E2277:E$2)*(E2278=E2277:E$2)))))</f>
        <v> </v>
      </c>
      <c r="J2278" s="25" t="str">
        <f>IF(OR(E2278="",E2278="!!!",F2278="NEW"),"",COUNTBLANK(OFFSET(A$1,,,SUMPRODUCT(MAX(ROW(E$2:E2278)*(E2278=E$2:E2278)))))-COUNTBLANK(OFFSET(A$1,,,SUMPRODUCT(MAX(ROW(E$1:E2277)*(E2=E$1:E2277))))))</f>
        <v> </v>
      </c>
      <c r="K2278" s="25" t="str">
        <f>IF(OR(E2278="",E2278="!!!",F2278="NEW"),"",INDEX(J$1:J2277,SUMPRODUCT(MAX(ROW(E$1:E2277)*(E2278=E$1:E2277)))))</f>
        <v> </v>
      </c>
      <c r="L2278" s="26"/>
    </row>
    <row r="2279" spans="1:12">
      <c r="A2279" s="20"/>
    </row>
    <row r="2280" spans="1:12">
      <c r="A2280" s="20" t="s">
        <v>1446</v>
      </c>
    </row>
    <row r="2281" spans="1:12">
      <c r="A2281" s="20" t="s">
        <v>933</v>
      </c>
      <c r="B2281" s="27" t="s">
        <v>636</v>
      </c>
      <c r="C2281" s="27" t="s">
        <v>637</v>
      </c>
      <c r="D2281" s="27" t="s">
        <v>608</v>
      </c>
      <c r="E2281" s="21">
        <f>IF(D2281="?OLD","!!!","")</f>
        <v/>
      </c>
      <c r="F2281" s="22" t="str">
        <f>IF(OR(E2281="",E2281="!!!"),"",IF(NOT(ISNA(VLOOKUP(E2281,E$1:E2280,1,FALSE()))),"OLD",IF(AND(E2281&lt;&gt;"",E2281&lt;&gt;"!!!"),"NEW","")))</f>
        <v> </v>
      </c>
      <c r="G2281" s="23" t="str">
        <f>IF(OR(E2281="",E2281="!!!"),"",IF(OR(J2281=0,AND(J2281=1,K2281=1),AND(J2281=1,I2281="SBJ"),AND(J2281=1,I2281=0)),"?IN_FOCUS",IF(J2281&lt;=2,"?ACTIVATED",IF(J2281&lt;&gt;"","?FAMILIAR",IF(F2281="NEW",IF(ISNA(VLOOKUP(E2281,#REF!,1,FALSE())),"?TYPE_IDENTIFIABLE","?REFERENTIAL"),"_")))))</f>
        <v> </v>
      </c>
      <c r="H2281" s="24" t="str">
        <f>IF(J2281&lt;&gt;1,"",IF(I2281="SBJ","CB","?"))</f>
        <v> </v>
      </c>
      <c r="I2281" s="25" t="str">
        <f>IF(OR(E2281="",E2281="!!!",F2281="NEW"),"",INDEX(B2280:B$2,-1+SUMPRODUCT(MAX(ROW(E2280:E$2)*(E2281=E2280:E$2)))))</f>
        <v> </v>
      </c>
      <c r="J2281" s="25" t="str">
        <f>IF(OR(E2281="",E2281="!!!",F2281="NEW"),"",COUNTBLANK(OFFSET(A$1,,,SUMPRODUCT(MAX(ROW(E$2:E2281)*(E2281=E$2:E2281)))))-COUNTBLANK(OFFSET(A$1,,,SUMPRODUCT(MAX(ROW(E$1:E2280)*(E2=E$1:E2280))))))</f>
        <v> </v>
      </c>
      <c r="K2281" s="25" t="str">
        <f>IF(OR(E2281="",E2281="!!!",F2281="NEW"),"",INDEX(J$1:J2280,SUMPRODUCT(MAX(ROW(E$1:E2280)*(E2281=E$1:E2280)))))</f>
        <v> </v>
      </c>
      <c r="L2281" s="26"/>
    </row>
    <row r="2282" spans="1:12">
      <c r="A2282" s="20" t="s">
        <v>638</v>
      </c>
      <c r="E2282" s="21">
        <f>IF(D2282="?OLD","!!!","")</f>
        <v/>
      </c>
      <c r="F2282" s="22" t="str">
        <f>IF(OR(E2282="",E2282="!!!"),"",IF(NOT(ISNA(VLOOKUP(E2282,E$1:E2281,1,FALSE()))),"OLD",IF(AND(E2282&lt;&gt;"",E2282&lt;&gt;"!!!"),"NEW","")))</f>
        <v> </v>
      </c>
      <c r="G2282" s="23" t="str">
        <f>IF(OR(E2282="",E2282="!!!"),"",IF(OR(J2282=0,AND(J2282=1,K2282=1),AND(J2282=1,I2282="SBJ"),AND(J2282=1,I2282=0)),"?IN_FOCUS",IF(J2282&lt;=2,"?ACTIVATED",IF(J2282&lt;&gt;"","?FAMILIAR",IF(F2282="NEW",IF(ISNA(VLOOKUP(E2282,#REF!,1,FALSE())),"?TYPE_IDENTIFIABLE","?REFERENTIAL"),"_")))))</f>
        <v> </v>
      </c>
      <c r="H2282" s="24" t="str">
        <f>IF(J2282&lt;&gt;1,"",IF(I2282="SBJ","CB","?"))</f>
        <v> </v>
      </c>
      <c r="I2282" s="25" t="str">
        <f>IF(OR(E2282="",E2282="!!!",F2282="NEW"),"",INDEX(B2281:B$2,-1+SUMPRODUCT(MAX(ROW(E2281:E$2)*(E2282=E2281:E$2)))))</f>
        <v> </v>
      </c>
      <c r="J2282" s="25" t="str">
        <f>IF(OR(E2282="",E2282="!!!",F2282="NEW"),"",COUNTBLANK(OFFSET(A$1,,,SUMPRODUCT(MAX(ROW(E$2:E2282)*(E2282=E$2:E2282)))))-COUNTBLANK(OFFSET(A$1,,,SUMPRODUCT(MAX(ROW(E$1:E2281)*(E2=E$1:E2281))))))</f>
        <v> </v>
      </c>
      <c r="K2282" s="25" t="str">
        <f>IF(OR(E2282="",E2282="!!!",F2282="NEW"),"",INDEX(J$1:J2281,SUMPRODUCT(MAX(ROW(E$1:E2281)*(E2282=E$1:E2281)))))</f>
        <v> </v>
      </c>
      <c r="L2282" s="26"/>
    </row>
    <row r="2283" spans="1:12">
      <c r="A2283" s="20" t="s">
        <v>822</v>
      </c>
      <c r="E2283" s="21">
        <f>IF(D2283="?OLD","!!!","")</f>
        <v/>
      </c>
      <c r="F2283" s="22" t="str">
        <f>IF(OR(E2283="",E2283="!!!"),"",IF(NOT(ISNA(VLOOKUP(E2283,E$1:E2282,1,FALSE()))),"OLD",IF(AND(E2283&lt;&gt;"",E2283&lt;&gt;"!!!"),"NEW","")))</f>
        <v> </v>
      </c>
      <c r="G2283" s="23" t="str">
        <f>IF(OR(E2283="",E2283="!!!"),"",IF(OR(J2283=0,AND(J2283=1,K2283=1),AND(J2283=1,I2283="SBJ"),AND(J2283=1,I2283=0)),"?IN_FOCUS",IF(J2283&lt;=2,"?ACTIVATED",IF(J2283&lt;&gt;"","?FAMILIAR",IF(F2283="NEW",IF(ISNA(VLOOKUP(E2283,#REF!,1,FALSE())),"?TYPE_IDENTIFIABLE","?REFERENTIAL"),"_")))))</f>
        <v> </v>
      </c>
      <c r="H2283" s="24" t="str">
        <f>IF(J2283&lt;&gt;1,"",IF(I2283="SBJ","CB","?"))</f>
        <v> </v>
      </c>
      <c r="I2283" s="25" t="str">
        <f>IF(OR(E2283="",E2283="!!!",F2283="NEW"),"",INDEX(B2282:B$2,-1+SUMPRODUCT(MAX(ROW(E2282:E$2)*(E2283=E2282:E$2)))))</f>
        <v> </v>
      </c>
      <c r="J2283" s="25" t="str">
        <f>IF(OR(E2283="",E2283="!!!",F2283="NEW"),"",COUNTBLANK(OFFSET(A$1,,,SUMPRODUCT(MAX(ROW(E$2:E2283)*(E2283=E$2:E2283)))))-COUNTBLANK(OFFSET(A$1,,,SUMPRODUCT(MAX(ROW(E$1:E2282)*(E2=E$1:E2282))))))</f>
        <v> </v>
      </c>
      <c r="K2283" s="25" t="str">
        <f>IF(OR(E2283="",E2283="!!!",F2283="NEW"),"",INDEX(J$1:J2282,SUMPRODUCT(MAX(ROW(E$1:E2282)*(E2283=E$1:E2282)))))</f>
        <v> </v>
      </c>
      <c r="L2283" s="26"/>
    </row>
    <row r="2284" spans="1:12">
      <c r="A2284" s="20" t="s">
        <v>1447</v>
      </c>
      <c r="B2284" s="27" t="s">
        <v>606</v>
      </c>
      <c r="C2284" s="27" t="s">
        <v>622</v>
      </c>
      <c r="E2284" s="21">
        <f>IF(D2284="?OLD","!!!","")</f>
        <v/>
      </c>
      <c r="F2284" s="22" t="str">
        <f>IF(OR(E2284="",E2284="!!!"),"",IF(NOT(ISNA(VLOOKUP(E2284,E$1:E2283,1,FALSE()))),"OLD",IF(AND(E2284&lt;&gt;"",E2284&lt;&gt;"!!!"),"NEW","")))</f>
        <v> </v>
      </c>
      <c r="G2284" s="23" t="str">
        <f>IF(OR(E2284="",E2284="!!!"),"",IF(OR(J2284=0,AND(J2284=1,K2284=1),AND(J2284=1,I2284="SBJ"),AND(J2284=1,I2284=0)),"?IN_FOCUS",IF(J2284&lt;=2,"?ACTIVATED",IF(J2284&lt;&gt;"","?FAMILIAR",IF(F2284="NEW",IF(ISNA(VLOOKUP(E2284,#REF!,1,FALSE())),"?TYPE_IDENTIFIABLE","?REFERENTIAL"),"_")))))</f>
        <v> </v>
      </c>
      <c r="H2284" s="24" t="str">
        <f>IF(J2284&lt;&gt;1,"",IF(I2284="SBJ","CB","?"))</f>
        <v> </v>
      </c>
      <c r="I2284" s="25" t="str">
        <f>IF(OR(E2284="",E2284="!!!",F2284="NEW"),"",INDEX(B2283:B$2,-1+SUMPRODUCT(MAX(ROW(E2283:E$2)*(E2284=E2283:E$2)))))</f>
        <v> </v>
      </c>
      <c r="J2284" s="25" t="str">
        <f>IF(OR(E2284="",E2284="!!!",F2284="NEW"),"",COUNTBLANK(OFFSET(A$1,,,SUMPRODUCT(MAX(ROW(E$2:E2284)*(E2284=E$2:E2284)))))-COUNTBLANK(OFFSET(A$1,,,SUMPRODUCT(MAX(ROW(E$1:E2283)*(E2=E$1:E2283))))))</f>
        <v> </v>
      </c>
      <c r="K2284" s="25" t="str">
        <f>IF(OR(E2284="",E2284="!!!",F2284="NEW"),"",INDEX(J$1:J2283,SUMPRODUCT(MAX(ROW(E$1:E2283)*(E2284=E$1:E2283)))))</f>
        <v> </v>
      </c>
      <c r="L2284" s="26"/>
    </row>
    <row r="2285" spans="1:12">
      <c r="A2285" s="20" t="s">
        <v>1448</v>
      </c>
      <c r="E2285" s="21">
        <f>IF(D2285="?OLD","!!!","")</f>
        <v/>
      </c>
      <c r="F2285" s="22" t="str">
        <f>IF(OR(E2285="",E2285="!!!"),"",IF(NOT(ISNA(VLOOKUP(E2285,E$1:E2284,1,FALSE()))),"OLD",IF(AND(E2285&lt;&gt;"",E2285&lt;&gt;"!!!"),"NEW","")))</f>
        <v> </v>
      </c>
      <c r="G2285" s="23" t="str">
        <f>IF(OR(E2285="",E2285="!!!"),"",IF(OR(J2285=0,AND(J2285=1,K2285=1),AND(J2285=1,I2285="SBJ"),AND(J2285=1,I2285=0)),"?IN_FOCUS",IF(J2285&lt;=2,"?ACTIVATED",IF(J2285&lt;&gt;"","?FAMILIAR",IF(F2285="NEW",IF(ISNA(VLOOKUP(E2285,#REF!,1,FALSE())),"?TYPE_IDENTIFIABLE","?REFERENTIAL"),"_")))))</f>
        <v> </v>
      </c>
      <c r="H2285" s="24" t="str">
        <f>IF(J2285&lt;&gt;1,"",IF(I2285="SBJ","CB","?"))</f>
        <v> </v>
      </c>
      <c r="I2285" s="25" t="str">
        <f>IF(OR(E2285="",E2285="!!!",F2285="NEW"),"",INDEX(B2284:B$2,-1+SUMPRODUCT(MAX(ROW(E2284:E$2)*(E2285=E2284:E$2)))))</f>
        <v> </v>
      </c>
      <c r="J2285" s="25" t="str">
        <f>IF(OR(E2285="",E2285="!!!",F2285="NEW"),"",COUNTBLANK(OFFSET(A$1,,,SUMPRODUCT(MAX(ROW(E$2:E2285)*(E2285=E$2:E2285)))))-COUNTBLANK(OFFSET(A$1,,,SUMPRODUCT(MAX(ROW(E$1:E2284)*(E2=E$1:E2284))))))</f>
        <v> </v>
      </c>
      <c r="K2285" s="25" t="str">
        <f>IF(OR(E2285="",E2285="!!!",F2285="NEW"),"",INDEX(J$1:J2284,SUMPRODUCT(MAX(ROW(E$1:E2284)*(E2285=E$1:E2284)))))</f>
        <v> </v>
      </c>
      <c r="L2285" s="26"/>
    </row>
    <row r="2286" spans="1:12">
      <c r="A2286" s="20" t="s">
        <v>633</v>
      </c>
      <c r="E2286" s="21">
        <f>IF(D2286="?OLD","!!!","")</f>
        <v/>
      </c>
      <c r="F2286" s="22" t="str">
        <f>IF(OR(E2286="",E2286="!!!"),"",IF(NOT(ISNA(VLOOKUP(E2286,E$1:E2285,1,FALSE()))),"OLD",IF(AND(E2286&lt;&gt;"",E2286&lt;&gt;"!!!"),"NEW","")))</f>
        <v> </v>
      </c>
      <c r="G2286" s="23" t="str">
        <f>IF(OR(E2286="",E2286="!!!"),"",IF(OR(J2286=0,AND(J2286=1,K2286=1),AND(J2286=1,I2286="SBJ"),AND(J2286=1,I2286=0)),"?IN_FOCUS",IF(J2286&lt;=2,"?ACTIVATED",IF(J2286&lt;&gt;"","?FAMILIAR",IF(F2286="NEW",IF(ISNA(VLOOKUP(E2286,#REF!,1,FALSE())),"?TYPE_IDENTIFIABLE","?REFERENTIAL"),"_")))))</f>
        <v> </v>
      </c>
      <c r="H2286" s="24" t="str">
        <f>IF(J2286&lt;&gt;1,"",IF(I2286="SBJ","CB","?"))</f>
        <v> </v>
      </c>
      <c r="I2286" s="25" t="str">
        <f>IF(OR(E2286="",E2286="!!!",F2286="NEW"),"",INDEX(B2285:B$2,-1+SUMPRODUCT(MAX(ROW(E2285:E$2)*(E2286=E2285:E$2)))))</f>
        <v> </v>
      </c>
      <c r="J2286" s="25" t="str">
        <f>IF(OR(E2286="",E2286="!!!",F2286="NEW"),"",COUNTBLANK(OFFSET(A$1,,,SUMPRODUCT(MAX(ROW(E$2:E2286)*(E2286=E$2:E2286)))))-COUNTBLANK(OFFSET(A$1,,,SUMPRODUCT(MAX(ROW(E$1:E2285)*(E2=E$1:E2285))))))</f>
        <v> </v>
      </c>
      <c r="K2286" s="25" t="str">
        <f>IF(OR(E2286="",E2286="!!!",F2286="NEW"),"",INDEX(J$1:J2285,SUMPRODUCT(MAX(ROW(E$1:E2285)*(E2286=E$1:E2285)))))</f>
        <v> </v>
      </c>
      <c r="L2286" s="26"/>
    </row>
    <row r="2287" spans="1:12">
      <c r="A2287" s="20"/>
    </row>
    <row r="2288" spans="1:12">
      <c r="A2288" s="20" t="s">
        <v>1449</v>
      </c>
    </row>
    <row r="2289" spans="1:12">
      <c r="A2289" s="20" t="s">
        <v>933</v>
      </c>
      <c r="B2289" s="27" t="s">
        <v>636</v>
      </c>
      <c r="C2289" s="27" t="s">
        <v>637</v>
      </c>
      <c r="D2289" s="27" t="s">
        <v>608</v>
      </c>
      <c r="E2289" s="21">
        <f>IF(D2289="?OLD","!!!","")</f>
        <v/>
      </c>
      <c r="F2289" s="22" t="str">
        <f>IF(OR(E2289="",E2289="!!!"),"",IF(NOT(ISNA(VLOOKUP(E2289,E$1:E2288,1,FALSE()))),"OLD",IF(AND(E2289&lt;&gt;"",E2289&lt;&gt;"!!!"),"NEW","")))</f>
        <v> </v>
      </c>
      <c r="G2289" s="23" t="str">
        <f>IF(OR(E2289="",E2289="!!!"),"",IF(OR(J2289=0,AND(J2289=1,K2289=1),AND(J2289=1,I2289="SBJ"),AND(J2289=1,I2289=0)),"?IN_FOCUS",IF(J2289&lt;=2,"?ACTIVATED",IF(J2289&lt;&gt;"","?FAMILIAR",IF(F2289="NEW",IF(ISNA(VLOOKUP(E2289,#REF!,1,FALSE())),"?TYPE_IDENTIFIABLE","?REFERENTIAL"),"_")))))</f>
        <v> </v>
      </c>
      <c r="H2289" s="24" t="str">
        <f>IF(J2289&lt;&gt;1,"",IF(I2289="SBJ","CB","?"))</f>
        <v> </v>
      </c>
      <c r="I2289" s="25" t="str">
        <f>IF(OR(E2289="",E2289="!!!",F2289="NEW"),"",INDEX(B2288:B$2,-1+SUMPRODUCT(MAX(ROW(E2288:E$2)*(E2289=E2288:E$2)))))</f>
        <v> </v>
      </c>
      <c r="J2289" s="25" t="str">
        <f>IF(OR(E2289="",E2289="!!!",F2289="NEW"),"",COUNTBLANK(OFFSET(A$1,,,SUMPRODUCT(MAX(ROW(E$2:E2289)*(E2289=E$2:E2289)))))-COUNTBLANK(OFFSET(A$1,,,SUMPRODUCT(MAX(ROW(E$1:E2288)*(E2=E$1:E2288))))))</f>
        <v> </v>
      </c>
      <c r="K2289" s="25" t="str">
        <f>IF(OR(E2289="",E2289="!!!",F2289="NEW"),"",INDEX(J$1:J2288,SUMPRODUCT(MAX(ROW(E$1:E2288)*(E2289=E$1:E2288)))))</f>
        <v> </v>
      </c>
      <c r="L2289" s="26"/>
    </row>
    <row r="2290" spans="1:12">
      <c r="A2290" s="20" t="s">
        <v>745</v>
      </c>
      <c r="E2290" s="21">
        <f>IF(D2290="?OLD","!!!","")</f>
        <v/>
      </c>
      <c r="F2290" s="22" t="str">
        <f>IF(OR(E2290="",E2290="!!!"),"",IF(NOT(ISNA(VLOOKUP(E2290,E$1:E2289,1,FALSE()))),"OLD",IF(AND(E2290&lt;&gt;"",E2290&lt;&gt;"!!!"),"NEW","")))</f>
        <v> </v>
      </c>
      <c r="G2290" s="23" t="str">
        <f>IF(OR(E2290="",E2290="!!!"),"",IF(OR(J2290=0,AND(J2290=1,K2290=1),AND(J2290=1,I2290="SBJ"),AND(J2290=1,I2290=0)),"?IN_FOCUS",IF(J2290&lt;=2,"?ACTIVATED",IF(J2290&lt;&gt;"","?FAMILIAR",IF(F2290="NEW",IF(ISNA(VLOOKUP(E2290,#REF!,1,FALSE())),"?TYPE_IDENTIFIABLE","?REFERENTIAL"),"_")))))</f>
        <v> </v>
      </c>
      <c r="H2290" s="24" t="str">
        <f>IF(J2290&lt;&gt;1,"",IF(I2290="SBJ","CB","?"))</f>
        <v> </v>
      </c>
      <c r="I2290" s="25" t="str">
        <f>IF(OR(E2290="",E2290="!!!",F2290="NEW"),"",INDEX(B2289:B$2,-1+SUMPRODUCT(MAX(ROW(E2289:E$2)*(E2290=E2289:E$2)))))</f>
        <v> </v>
      </c>
      <c r="J2290" s="25" t="str">
        <f>IF(OR(E2290="",E2290="!!!",F2290="NEW"),"",COUNTBLANK(OFFSET(A$1,,,SUMPRODUCT(MAX(ROW(E$2:E2290)*(E2290=E$2:E2290)))))-COUNTBLANK(OFFSET(A$1,,,SUMPRODUCT(MAX(ROW(E$1:E2289)*(E2=E$1:E2289))))))</f>
        <v> </v>
      </c>
      <c r="K2290" s="25" t="str">
        <f>IF(OR(E2290="",E2290="!!!",F2290="NEW"),"",INDEX(J$1:J2289,SUMPRODUCT(MAX(ROW(E$1:E2289)*(E2290=E$1:E2289)))))</f>
        <v> </v>
      </c>
      <c r="L2290" s="26"/>
    </row>
    <row r="2291" spans="1:12">
      <c r="A2291" s="20" t="s">
        <v>1450</v>
      </c>
      <c r="E2291" s="21">
        <f>IF(D2291="?OLD","!!!","")</f>
        <v/>
      </c>
      <c r="F2291" s="22" t="str">
        <f>IF(OR(E2291="",E2291="!!!"),"",IF(NOT(ISNA(VLOOKUP(E2291,E$1:E2290,1,FALSE()))),"OLD",IF(AND(E2291&lt;&gt;"",E2291&lt;&gt;"!!!"),"NEW","")))</f>
        <v> </v>
      </c>
      <c r="G2291" s="23" t="str">
        <f>IF(OR(E2291="",E2291="!!!"),"",IF(OR(J2291=0,AND(J2291=1,K2291=1),AND(J2291=1,I2291="SBJ"),AND(J2291=1,I2291=0)),"?IN_FOCUS",IF(J2291&lt;=2,"?ACTIVATED",IF(J2291&lt;&gt;"","?FAMILIAR",IF(F2291="NEW",IF(ISNA(VLOOKUP(E2291,#REF!,1,FALSE())),"?TYPE_IDENTIFIABLE","?REFERENTIAL"),"_")))))</f>
        <v> </v>
      </c>
      <c r="H2291" s="24" t="str">
        <f>IF(J2291&lt;&gt;1,"",IF(I2291="SBJ","CB","?"))</f>
        <v> </v>
      </c>
      <c r="I2291" s="25" t="str">
        <f>IF(OR(E2291="",E2291="!!!",F2291="NEW"),"",INDEX(B2290:B$2,-1+SUMPRODUCT(MAX(ROW(E2290:E$2)*(E2291=E2290:E$2)))))</f>
        <v> </v>
      </c>
      <c r="J2291" s="25" t="str">
        <f>IF(OR(E2291="",E2291="!!!",F2291="NEW"),"",COUNTBLANK(OFFSET(A$1,,,SUMPRODUCT(MAX(ROW(E$2:E2291)*(E2291=E$2:E2291)))))-COUNTBLANK(OFFSET(A$1,,,SUMPRODUCT(MAX(ROW(E$1:E2290)*(E2=E$1:E2290))))))</f>
        <v> </v>
      </c>
      <c r="K2291" s="25" t="str">
        <f>IF(OR(E2291="",E2291="!!!",F2291="NEW"),"",INDEX(J$1:J2290,SUMPRODUCT(MAX(ROW(E$1:E2290)*(E2291=E$1:E2290)))))</f>
        <v> </v>
      </c>
      <c r="L2291" s="26"/>
    </row>
    <row r="2292" spans="1:12">
      <c r="A2292" s="20" t="s">
        <v>707</v>
      </c>
      <c r="E2292" s="21">
        <f>IF(D2292="?OLD","!!!","")</f>
        <v/>
      </c>
      <c r="F2292" s="22" t="str">
        <f>IF(OR(E2292="",E2292="!!!"),"",IF(NOT(ISNA(VLOOKUP(E2292,E$1:E2291,1,FALSE()))),"OLD",IF(AND(E2292&lt;&gt;"",E2292&lt;&gt;"!!!"),"NEW","")))</f>
        <v> </v>
      </c>
      <c r="G2292" s="23" t="str">
        <f>IF(OR(E2292="",E2292="!!!"),"",IF(OR(J2292=0,AND(J2292=1,K2292=1),AND(J2292=1,I2292="SBJ"),AND(J2292=1,I2292=0)),"?IN_FOCUS",IF(J2292&lt;=2,"?ACTIVATED",IF(J2292&lt;&gt;"","?FAMILIAR",IF(F2292="NEW",IF(ISNA(VLOOKUP(E2292,#REF!,1,FALSE())),"?TYPE_IDENTIFIABLE","?REFERENTIAL"),"_")))))</f>
        <v> </v>
      </c>
      <c r="H2292" s="24" t="str">
        <f>IF(J2292&lt;&gt;1,"",IF(I2292="SBJ","CB","?"))</f>
        <v> </v>
      </c>
      <c r="I2292" s="25" t="str">
        <f>IF(OR(E2292="",E2292="!!!",F2292="NEW"),"",INDEX(B2291:B$2,-1+SUMPRODUCT(MAX(ROW(E2291:E$2)*(E2292=E2291:E$2)))))</f>
        <v> </v>
      </c>
      <c r="J2292" s="25" t="str">
        <f>IF(OR(E2292="",E2292="!!!",F2292="NEW"),"",COUNTBLANK(OFFSET(A$1,,,SUMPRODUCT(MAX(ROW(E$2:E2292)*(E2292=E$2:E2292)))))-COUNTBLANK(OFFSET(A$1,,,SUMPRODUCT(MAX(ROW(E$1:E2291)*(E2=E$1:E2291))))))</f>
        <v> </v>
      </c>
      <c r="K2292" s="25" t="str">
        <f>IF(OR(E2292="",E2292="!!!",F2292="NEW"),"",INDEX(J$1:J2291,SUMPRODUCT(MAX(ROW(E$1:E2291)*(E2292=E$1:E2291)))))</f>
        <v> </v>
      </c>
      <c r="L2292" s="26"/>
    </row>
    <row r="2293" spans="1:12">
      <c r="A2293" s="20" t="s">
        <v>875</v>
      </c>
      <c r="B2293" s="27" t="s">
        <v>611</v>
      </c>
      <c r="C2293" s="27" t="s">
        <v>626</v>
      </c>
      <c r="E2293" s="21">
        <f>IF(D2293="?OLD","!!!","")</f>
        <v/>
      </c>
      <c r="F2293" s="22" t="str">
        <f>IF(OR(E2293="",E2293="!!!"),"",IF(NOT(ISNA(VLOOKUP(E2293,E$1:E2292,1,FALSE()))),"OLD",IF(AND(E2293&lt;&gt;"",E2293&lt;&gt;"!!!"),"NEW","")))</f>
        <v> </v>
      </c>
      <c r="G2293" s="23" t="str">
        <f>IF(OR(E2293="",E2293="!!!"),"",IF(OR(J2293=0,AND(J2293=1,K2293=1),AND(J2293=1,I2293="SBJ"),AND(J2293=1,I2293=0)),"?IN_FOCUS",IF(J2293&lt;=2,"?ACTIVATED",IF(J2293&lt;&gt;"","?FAMILIAR",IF(F2293="NEW",IF(ISNA(VLOOKUP(E2293,#REF!,1,FALSE())),"?TYPE_IDENTIFIABLE","?REFERENTIAL"),"_")))))</f>
        <v> </v>
      </c>
      <c r="H2293" s="24" t="str">
        <f>IF(J2293&lt;&gt;1,"",IF(I2293="SBJ","CB","?"))</f>
        <v> </v>
      </c>
      <c r="I2293" s="25" t="str">
        <f>IF(OR(E2293="",E2293="!!!",F2293="NEW"),"",INDEX(B2292:B$2,-1+SUMPRODUCT(MAX(ROW(E2292:E$2)*(E2293=E2292:E$2)))))</f>
        <v> </v>
      </c>
      <c r="J2293" s="25" t="str">
        <f>IF(OR(E2293="",E2293="!!!",F2293="NEW"),"",COUNTBLANK(OFFSET(A$1,,,SUMPRODUCT(MAX(ROW(E$2:E2293)*(E2293=E$2:E2293)))))-COUNTBLANK(OFFSET(A$1,,,SUMPRODUCT(MAX(ROW(E$1:E2292)*(E2=E$1:E2292))))))</f>
        <v> </v>
      </c>
      <c r="K2293" s="25" t="str">
        <f>IF(OR(E2293="",E2293="!!!",F2293="NEW"),"",INDEX(J$1:J2292,SUMPRODUCT(MAX(ROW(E$1:E2292)*(E2293=E$1:E2292)))))</f>
        <v> </v>
      </c>
      <c r="L2293" s="26"/>
    </row>
    <row r="2294" spans="1:12">
      <c r="A2294" s="20" t="s">
        <v>1279</v>
      </c>
      <c r="B2294" s="27" t="s">
        <v>606</v>
      </c>
      <c r="C2294" s="27" t="s">
        <v>678</v>
      </c>
      <c r="E2294" s="21">
        <f>IF(D2294="?OLD","!!!","")</f>
        <v/>
      </c>
      <c r="F2294" s="22" t="str">
        <f>IF(OR(E2294="",E2294="!!!"),"",IF(NOT(ISNA(VLOOKUP(E2294,E$1:E2293,1,FALSE()))),"OLD",IF(AND(E2294&lt;&gt;"",E2294&lt;&gt;"!!!"),"NEW","")))</f>
        <v> </v>
      </c>
      <c r="G2294" s="23" t="str">
        <f>IF(OR(E2294="",E2294="!!!"),"",IF(OR(J2294=0,AND(J2294=1,K2294=1),AND(J2294=1,I2294="SBJ"),AND(J2294=1,I2294=0)),"?IN_FOCUS",IF(J2294&lt;=2,"?ACTIVATED",IF(J2294&lt;&gt;"","?FAMILIAR",IF(F2294="NEW",IF(ISNA(VLOOKUP(E2294,#REF!,1,FALSE())),"?TYPE_IDENTIFIABLE","?REFERENTIAL"),"_")))))</f>
        <v> </v>
      </c>
      <c r="H2294" s="24" t="str">
        <f>IF(J2294&lt;&gt;1,"",IF(I2294="SBJ","CB","?"))</f>
        <v> </v>
      </c>
      <c r="I2294" s="25" t="str">
        <f>IF(OR(E2294="",E2294="!!!",F2294="NEW"),"",INDEX(B2293:B$2,-1+SUMPRODUCT(MAX(ROW(E2293:E$2)*(E2294=E2293:E$2)))))</f>
        <v> </v>
      </c>
      <c r="J2294" s="25" t="str">
        <f>IF(OR(E2294="",E2294="!!!",F2294="NEW"),"",COUNTBLANK(OFFSET(A$1,,,SUMPRODUCT(MAX(ROW(E$2:E2294)*(E2294=E$2:E2294)))))-COUNTBLANK(OFFSET(A$1,,,SUMPRODUCT(MAX(ROW(E$1:E2293)*(E2=E$1:E2293))))))</f>
        <v> </v>
      </c>
      <c r="K2294" s="25" t="str">
        <f>IF(OR(E2294="",E2294="!!!",F2294="NEW"),"",INDEX(J$1:J2293,SUMPRODUCT(MAX(ROW(E$1:E2293)*(E2294=E$1:E2293)))))</f>
        <v> </v>
      </c>
      <c r="L2294" s="26"/>
    </row>
    <row r="2295" spans="1:12">
      <c r="A2295" s="20" t="s">
        <v>1451</v>
      </c>
      <c r="E2295" s="21">
        <f>IF(D2295="?OLD","!!!","")</f>
        <v/>
      </c>
      <c r="F2295" s="22" t="str">
        <f>IF(OR(E2295="",E2295="!!!"),"",IF(NOT(ISNA(VLOOKUP(E2295,E$1:E2294,1,FALSE()))),"OLD",IF(AND(E2295&lt;&gt;"",E2295&lt;&gt;"!!!"),"NEW","")))</f>
        <v> </v>
      </c>
      <c r="G2295" s="23" t="str">
        <f>IF(OR(E2295="",E2295="!!!"),"",IF(OR(J2295=0,AND(J2295=1,K2295=1),AND(J2295=1,I2295="SBJ"),AND(J2295=1,I2295=0)),"?IN_FOCUS",IF(J2295&lt;=2,"?ACTIVATED",IF(J2295&lt;&gt;"","?FAMILIAR",IF(F2295="NEW",IF(ISNA(VLOOKUP(E2295,#REF!,1,FALSE())),"?TYPE_IDENTIFIABLE","?REFERENTIAL"),"_")))))</f>
        <v> </v>
      </c>
      <c r="H2295" s="24" t="str">
        <f>IF(J2295&lt;&gt;1,"",IF(I2295="SBJ","CB","?"))</f>
        <v> </v>
      </c>
      <c r="I2295" s="25" t="str">
        <f>IF(OR(E2295="",E2295="!!!",F2295="NEW"),"",INDEX(B2294:B$2,-1+SUMPRODUCT(MAX(ROW(E2294:E$2)*(E2295=E2294:E$2)))))</f>
        <v> </v>
      </c>
      <c r="J2295" s="25" t="str">
        <f>IF(OR(E2295="",E2295="!!!",F2295="NEW"),"",COUNTBLANK(OFFSET(A$1,,,SUMPRODUCT(MAX(ROW(E$2:E2295)*(E2295=E$2:E2295)))))-COUNTBLANK(OFFSET(A$1,,,SUMPRODUCT(MAX(ROW(E$1:E2294)*(E2=E$1:E2294))))))</f>
        <v> </v>
      </c>
      <c r="K2295" s="25" t="str">
        <f>IF(OR(E2295="",E2295="!!!",F2295="NEW"),"",INDEX(J$1:J2294,SUMPRODUCT(MAX(ROW(E$1:E2294)*(E2295=E$1:E2294)))))</f>
        <v> </v>
      </c>
      <c r="L2295" s="26"/>
    </row>
    <row r="2296" spans="1:12">
      <c r="A2296" s="20" t="s">
        <v>633</v>
      </c>
      <c r="E2296" s="21">
        <f>IF(D2296="?OLD","!!!","")</f>
        <v/>
      </c>
      <c r="F2296" s="22" t="str">
        <f>IF(OR(E2296="",E2296="!!!"),"",IF(NOT(ISNA(VLOOKUP(E2296,E$1:E2295,1,FALSE()))),"OLD",IF(AND(E2296&lt;&gt;"",E2296&lt;&gt;"!!!"),"NEW","")))</f>
        <v> </v>
      </c>
      <c r="G2296" s="23" t="str">
        <f>IF(OR(E2296="",E2296="!!!"),"",IF(OR(J2296=0,AND(J2296=1,K2296=1),AND(J2296=1,I2296="SBJ"),AND(J2296=1,I2296=0)),"?IN_FOCUS",IF(J2296&lt;=2,"?ACTIVATED",IF(J2296&lt;&gt;"","?FAMILIAR",IF(F2296="NEW",IF(ISNA(VLOOKUP(E2296,#REF!,1,FALSE())),"?TYPE_IDENTIFIABLE","?REFERENTIAL"),"_")))))</f>
        <v> </v>
      </c>
      <c r="H2296" s="24" t="str">
        <f>IF(J2296&lt;&gt;1,"",IF(I2296="SBJ","CB","?"))</f>
        <v> </v>
      </c>
      <c r="I2296" s="25" t="str">
        <f>IF(OR(E2296="",E2296="!!!",F2296="NEW"),"",INDEX(B2295:B$2,-1+SUMPRODUCT(MAX(ROW(E2295:E$2)*(E2296=E2295:E$2)))))</f>
        <v> </v>
      </c>
      <c r="J2296" s="25" t="str">
        <f>IF(OR(E2296="",E2296="!!!",F2296="NEW"),"",COUNTBLANK(OFFSET(A$1,,,SUMPRODUCT(MAX(ROW(E$2:E2296)*(E2296=E$2:E2296)))))-COUNTBLANK(OFFSET(A$1,,,SUMPRODUCT(MAX(ROW(E$1:E2295)*(E2=E$1:E2295))))))</f>
        <v> </v>
      </c>
      <c r="K2296" s="25" t="str">
        <f>IF(OR(E2296="",E2296="!!!",F2296="NEW"),"",INDEX(J$1:J2295,SUMPRODUCT(MAX(ROW(E$1:E2295)*(E2296=E$1:E2295)))))</f>
        <v> </v>
      </c>
      <c r="L2296" s="26"/>
    </row>
    <row r="2297" spans="1:12">
      <c r="A2297" s="20"/>
    </row>
    <row r="2298" spans="1:12">
      <c r="A2298" s="20" t="s">
        <v>1452</v>
      </c>
    </row>
    <row r="2299" spans="1:12">
      <c r="A2299" s="20" t="s">
        <v>661</v>
      </c>
      <c r="E2299" s="21">
        <f>IF(D2299="?OLD","!!!","")</f>
        <v/>
      </c>
      <c r="F2299" s="22" t="str">
        <f>IF(OR(E2299="",E2299="!!!"),"",IF(NOT(ISNA(VLOOKUP(E2299,E$1:E2298,1,FALSE()))),"OLD",IF(AND(E2299&lt;&gt;"",E2299&lt;&gt;"!!!"),"NEW","")))</f>
        <v> </v>
      </c>
      <c r="G2299" s="23" t="str">
        <f>IF(OR(E2299="",E2299="!!!"),"",IF(OR(J2299=0,AND(J2299=1,K2299=1),AND(J2299=1,I2299="SBJ"),AND(J2299=1,I2299=0)),"?IN_FOCUS",IF(J2299&lt;=2,"?ACTIVATED",IF(J2299&lt;&gt;"","?FAMILIAR",IF(F2299="NEW",IF(ISNA(VLOOKUP(E2299,#REF!,1,FALSE())),"?TYPE_IDENTIFIABLE","?REFERENTIAL"),"_")))))</f>
        <v> </v>
      </c>
      <c r="H2299" s="24" t="str">
        <f>IF(J2299&lt;&gt;1,"",IF(I2299="SBJ","CB","?"))</f>
        <v> </v>
      </c>
      <c r="I2299" s="25" t="str">
        <f>IF(OR(E2299="",E2299="!!!",F2299="NEW"),"",INDEX(B2298:B$2,-1+SUMPRODUCT(MAX(ROW(E2298:E$2)*(E2299=E2298:E$2)))))</f>
        <v> </v>
      </c>
      <c r="J2299" s="25" t="str">
        <f>IF(OR(E2299="",E2299="!!!",F2299="NEW"),"",COUNTBLANK(OFFSET(A$1,,,SUMPRODUCT(MAX(ROW(E$2:E2299)*(E2299=E$2:E2299)))))-COUNTBLANK(OFFSET(A$1,,,SUMPRODUCT(MAX(ROW(E$1:E2298)*(E2=E$1:E2298))))))</f>
        <v> </v>
      </c>
      <c r="K2299" s="25" t="str">
        <f>IF(OR(E2299="",E2299="!!!",F2299="NEW"),"",INDEX(J$1:J2298,SUMPRODUCT(MAX(ROW(E$1:E2298)*(E2299=E$1:E2298)))))</f>
        <v> </v>
      </c>
      <c r="L2299" s="26"/>
    </row>
    <row r="2300" spans="1:12">
      <c r="A2300" s="20" t="s">
        <v>1109</v>
      </c>
      <c r="E2300" s="21">
        <f>IF(D2300="?OLD","!!!","")</f>
        <v/>
      </c>
      <c r="F2300" s="22" t="str">
        <f>IF(OR(E2300="",E2300="!!!"),"",IF(NOT(ISNA(VLOOKUP(E2300,E$1:E2299,1,FALSE()))),"OLD",IF(AND(E2300&lt;&gt;"",E2300&lt;&gt;"!!!"),"NEW","")))</f>
        <v> </v>
      </c>
      <c r="G2300" s="23" t="str">
        <f>IF(OR(E2300="",E2300="!!!"),"",IF(OR(J2300=0,AND(J2300=1,K2300=1),AND(J2300=1,I2300="SBJ"),AND(J2300=1,I2300=0)),"?IN_FOCUS",IF(J2300&lt;=2,"?ACTIVATED",IF(J2300&lt;&gt;"","?FAMILIAR",IF(F2300="NEW",IF(ISNA(VLOOKUP(E2300,#REF!,1,FALSE())),"?TYPE_IDENTIFIABLE","?REFERENTIAL"),"_")))))</f>
        <v> </v>
      </c>
      <c r="H2300" s="24" t="str">
        <f>IF(J2300&lt;&gt;1,"",IF(I2300="SBJ","CB","?"))</f>
        <v> </v>
      </c>
      <c r="I2300" s="25" t="str">
        <f>IF(OR(E2300="",E2300="!!!",F2300="NEW"),"",INDEX(B2299:B$2,-1+SUMPRODUCT(MAX(ROW(E2299:E$2)*(E2300=E2299:E$2)))))</f>
        <v> </v>
      </c>
      <c r="J2300" s="25" t="str">
        <f>IF(OR(E2300="",E2300="!!!",F2300="NEW"),"",COUNTBLANK(OFFSET(A$1,,,SUMPRODUCT(MAX(ROW(E$2:E2300)*(E2300=E$2:E2300)))))-COUNTBLANK(OFFSET(A$1,,,SUMPRODUCT(MAX(ROW(E$1:E2299)*(E2=E$1:E2299))))))</f>
        <v> </v>
      </c>
      <c r="K2300" s="25" t="str">
        <f>IF(OR(E2300="",E2300="!!!",F2300="NEW"),"",INDEX(J$1:J2299,SUMPRODUCT(MAX(ROW(E$1:E2299)*(E2300=E$1:E2299)))))</f>
        <v> </v>
      </c>
      <c r="L2300" s="26"/>
    </row>
    <row r="2301" spans="1:12">
      <c r="A2301" s="20" t="s">
        <v>700</v>
      </c>
      <c r="B2301" s="27" t="s">
        <v>619</v>
      </c>
      <c r="C2301" s="27" t="s">
        <v>626</v>
      </c>
      <c r="E2301" s="21">
        <f>IF(D2301="?OLD","!!!","")</f>
        <v/>
      </c>
      <c r="F2301" s="22" t="str">
        <f>IF(OR(E2301="",E2301="!!!"),"",IF(NOT(ISNA(VLOOKUP(E2301,E$1:E2300,1,FALSE()))),"OLD",IF(AND(E2301&lt;&gt;"",E2301&lt;&gt;"!!!"),"NEW","")))</f>
        <v> </v>
      </c>
      <c r="G2301" s="23" t="str">
        <f>IF(OR(E2301="",E2301="!!!"),"",IF(OR(J2301=0,AND(J2301=1,K2301=1),AND(J2301=1,I2301="SBJ"),AND(J2301=1,I2301=0)),"?IN_FOCUS",IF(J2301&lt;=2,"?ACTIVATED",IF(J2301&lt;&gt;"","?FAMILIAR",IF(F2301="NEW",IF(ISNA(VLOOKUP(E2301,#REF!,1,FALSE())),"?TYPE_IDENTIFIABLE","?REFERENTIAL"),"_")))))</f>
        <v> </v>
      </c>
      <c r="H2301" s="24" t="str">
        <f>IF(J2301&lt;&gt;1,"",IF(I2301="SBJ","CB","?"))</f>
        <v> </v>
      </c>
      <c r="I2301" s="25" t="str">
        <f>IF(OR(E2301="",E2301="!!!",F2301="NEW"),"",INDEX(B2300:B$2,-1+SUMPRODUCT(MAX(ROW(E2300:E$2)*(E2301=E2300:E$2)))))</f>
        <v> </v>
      </c>
      <c r="J2301" s="25" t="str">
        <f>IF(OR(E2301="",E2301="!!!",F2301="NEW"),"",COUNTBLANK(OFFSET(A$1,,,SUMPRODUCT(MAX(ROW(E$2:E2301)*(E2301=E$2:E2301)))))-COUNTBLANK(OFFSET(A$1,,,SUMPRODUCT(MAX(ROW(E$1:E2300)*(E2=E$1:E2300))))))</f>
        <v> </v>
      </c>
      <c r="K2301" s="25" t="str">
        <f>IF(OR(E2301="",E2301="!!!",F2301="NEW"),"",INDEX(J$1:J2300,SUMPRODUCT(MAX(ROW(E$1:E2300)*(E2301=E$1:E2300)))))</f>
        <v> </v>
      </c>
      <c r="L2301" s="26"/>
    </row>
    <row r="2302" spans="1:12">
      <c r="A2302" s="20" t="s">
        <v>1453</v>
      </c>
      <c r="E2302" s="21">
        <f>IF(D2302="?OLD","!!!","")</f>
        <v/>
      </c>
      <c r="F2302" s="22" t="str">
        <f>IF(OR(E2302="",E2302="!!!"),"",IF(NOT(ISNA(VLOOKUP(E2302,E$1:E2301,1,FALSE()))),"OLD",IF(AND(E2302&lt;&gt;"",E2302&lt;&gt;"!!!"),"NEW","")))</f>
        <v> </v>
      </c>
      <c r="G2302" s="23" t="str">
        <f>IF(OR(E2302="",E2302="!!!"),"",IF(OR(J2302=0,AND(J2302=1,K2302=1),AND(J2302=1,I2302="SBJ"),AND(J2302=1,I2302=0)),"?IN_FOCUS",IF(J2302&lt;=2,"?ACTIVATED",IF(J2302&lt;&gt;"","?FAMILIAR",IF(F2302="NEW",IF(ISNA(VLOOKUP(E2302,#REF!,1,FALSE())),"?TYPE_IDENTIFIABLE","?REFERENTIAL"),"_")))))</f>
        <v> </v>
      </c>
      <c r="H2302" s="24" t="str">
        <f>IF(J2302&lt;&gt;1,"",IF(I2302="SBJ","CB","?"))</f>
        <v> </v>
      </c>
      <c r="I2302" s="25" t="str">
        <f>IF(OR(E2302="",E2302="!!!",F2302="NEW"),"",INDEX(B2301:B$2,-1+SUMPRODUCT(MAX(ROW(E2301:E$2)*(E2302=E2301:E$2)))))</f>
        <v> </v>
      </c>
      <c r="J2302" s="25" t="str">
        <f>IF(OR(E2302="",E2302="!!!",F2302="NEW"),"",COUNTBLANK(OFFSET(A$1,,,SUMPRODUCT(MAX(ROW(E$2:E2302)*(E2302=E$2:E2302)))))-COUNTBLANK(OFFSET(A$1,,,SUMPRODUCT(MAX(ROW(E$1:E2301)*(E2=E$1:E2301))))))</f>
        <v> </v>
      </c>
      <c r="K2302" s="25" t="str">
        <f>IF(OR(E2302="",E2302="!!!",F2302="NEW"),"",INDEX(J$1:J2301,SUMPRODUCT(MAX(ROW(E$1:E2301)*(E2302=E$1:E2301)))))</f>
        <v> </v>
      </c>
      <c r="L2302" s="26"/>
    </row>
    <row r="2303" spans="1:12">
      <c r="A2303" s="20" t="s">
        <v>1454</v>
      </c>
      <c r="E2303" s="21">
        <f>IF(D2303="?OLD","!!!","")</f>
        <v/>
      </c>
      <c r="F2303" s="22" t="str">
        <f>IF(OR(E2303="",E2303="!!!"),"",IF(NOT(ISNA(VLOOKUP(E2303,E$1:E2302,1,FALSE()))),"OLD",IF(AND(E2303&lt;&gt;"",E2303&lt;&gt;"!!!"),"NEW","")))</f>
        <v> </v>
      </c>
      <c r="G2303" s="23" t="str">
        <f>IF(OR(E2303="",E2303="!!!"),"",IF(OR(J2303=0,AND(J2303=1,K2303=1),AND(J2303=1,I2303="SBJ"),AND(J2303=1,I2303=0)),"?IN_FOCUS",IF(J2303&lt;=2,"?ACTIVATED",IF(J2303&lt;&gt;"","?FAMILIAR",IF(F2303="NEW",IF(ISNA(VLOOKUP(E2303,#REF!,1,FALSE())),"?TYPE_IDENTIFIABLE","?REFERENTIAL"),"_")))))</f>
        <v> </v>
      </c>
      <c r="H2303" s="24" t="str">
        <f>IF(J2303&lt;&gt;1,"",IF(I2303="SBJ","CB","?"))</f>
        <v> </v>
      </c>
      <c r="I2303" s="25" t="str">
        <f>IF(OR(E2303="",E2303="!!!",F2303="NEW"),"",INDEX(B2302:B$2,-1+SUMPRODUCT(MAX(ROW(E2302:E$2)*(E2303=E2302:E$2)))))</f>
        <v> </v>
      </c>
      <c r="J2303" s="25" t="str">
        <f>IF(OR(E2303="",E2303="!!!",F2303="NEW"),"",COUNTBLANK(OFFSET(A$1,,,SUMPRODUCT(MAX(ROW(E$2:E2303)*(E2303=E$2:E2303)))))-COUNTBLANK(OFFSET(A$1,,,SUMPRODUCT(MAX(ROW(E$1:E2302)*(E2=E$1:E2302))))))</f>
        <v> </v>
      </c>
      <c r="K2303" s="25" t="str">
        <f>IF(OR(E2303="",E2303="!!!",F2303="NEW"),"",INDEX(J$1:J2302,SUMPRODUCT(MAX(ROW(E$1:E2302)*(E2303=E$1:E2302)))))</f>
        <v> </v>
      </c>
      <c r="L2303" s="26"/>
    </row>
    <row r="2304" spans="1:12">
      <c r="A2304" s="20" t="s">
        <v>617</v>
      </c>
      <c r="E2304" s="21">
        <f>IF(D2304="?OLD","!!!","")</f>
        <v/>
      </c>
      <c r="F2304" s="22" t="str">
        <f>IF(OR(E2304="",E2304="!!!"),"",IF(NOT(ISNA(VLOOKUP(E2304,E$1:E2303,1,FALSE()))),"OLD",IF(AND(E2304&lt;&gt;"",E2304&lt;&gt;"!!!"),"NEW","")))</f>
        <v> </v>
      </c>
      <c r="G2304" s="23" t="str">
        <f>IF(OR(E2304="",E2304="!!!"),"",IF(OR(J2304=0,AND(J2304=1,K2304=1),AND(J2304=1,I2304="SBJ"),AND(J2304=1,I2304=0)),"?IN_FOCUS",IF(J2304&lt;=2,"?ACTIVATED",IF(J2304&lt;&gt;"","?FAMILIAR",IF(F2304="NEW",IF(ISNA(VLOOKUP(E2304,#REF!,1,FALSE())),"?TYPE_IDENTIFIABLE","?REFERENTIAL"),"_")))))</f>
        <v> </v>
      </c>
      <c r="H2304" s="24" t="str">
        <f>IF(J2304&lt;&gt;1,"",IF(I2304="SBJ","CB","?"))</f>
        <v> </v>
      </c>
      <c r="I2304" s="25" t="str">
        <f>IF(OR(E2304="",E2304="!!!",F2304="NEW"),"",INDEX(B2303:B$2,-1+SUMPRODUCT(MAX(ROW(E2303:E$2)*(E2304=E2303:E$2)))))</f>
        <v> </v>
      </c>
      <c r="J2304" s="25" t="str">
        <f>IF(OR(E2304="",E2304="!!!",F2304="NEW"),"",COUNTBLANK(OFFSET(A$1,,,SUMPRODUCT(MAX(ROW(E$2:E2304)*(E2304=E$2:E2304)))))-COUNTBLANK(OFFSET(A$1,,,SUMPRODUCT(MAX(ROW(E$1:E2303)*(E2=E$1:E2303))))))</f>
        <v> </v>
      </c>
      <c r="K2304" s="25" t="str">
        <f>IF(OR(E2304="",E2304="!!!",F2304="NEW"),"",INDEX(J$1:J2303,SUMPRODUCT(MAX(ROW(E$1:E2303)*(E2304=E$1:E2303)))))</f>
        <v> </v>
      </c>
      <c r="L2304" s="26"/>
    </row>
    <row r="2305" spans="1:12">
      <c r="A2305" s="20" t="s">
        <v>612</v>
      </c>
      <c r="E2305" s="21">
        <f>IF(D2305="?OLD","!!!","")</f>
        <v/>
      </c>
      <c r="F2305" s="22" t="str">
        <f>IF(OR(E2305="",E2305="!!!"),"",IF(NOT(ISNA(VLOOKUP(E2305,E$1:E2304,1,FALSE()))),"OLD",IF(AND(E2305&lt;&gt;"",E2305&lt;&gt;"!!!"),"NEW","")))</f>
        <v> </v>
      </c>
      <c r="G2305" s="23" t="str">
        <f>IF(OR(E2305="",E2305="!!!"),"",IF(OR(J2305=0,AND(J2305=1,K2305=1),AND(J2305=1,I2305="SBJ"),AND(J2305=1,I2305=0)),"?IN_FOCUS",IF(J2305&lt;=2,"?ACTIVATED",IF(J2305&lt;&gt;"","?FAMILIAR",IF(F2305="NEW",IF(ISNA(VLOOKUP(E2305,#REF!,1,FALSE())),"?TYPE_IDENTIFIABLE","?REFERENTIAL"),"_")))))</f>
        <v> </v>
      </c>
      <c r="H2305" s="24" t="str">
        <f>IF(J2305&lt;&gt;1,"",IF(I2305="SBJ","CB","?"))</f>
        <v> </v>
      </c>
      <c r="I2305" s="25" t="str">
        <f>IF(OR(E2305="",E2305="!!!",F2305="NEW"),"",INDEX(B2304:B$2,-1+SUMPRODUCT(MAX(ROW(E2304:E$2)*(E2305=E2304:E$2)))))</f>
        <v> </v>
      </c>
      <c r="J2305" s="25" t="str">
        <f>IF(OR(E2305="",E2305="!!!",F2305="NEW"),"",COUNTBLANK(OFFSET(A$1,,,SUMPRODUCT(MAX(ROW(E$2:E2305)*(E2305=E$2:E2305)))))-COUNTBLANK(OFFSET(A$1,,,SUMPRODUCT(MAX(ROW(E$1:E2304)*(E2=E$1:E2304))))))</f>
        <v> </v>
      </c>
      <c r="K2305" s="25" t="str">
        <f>IF(OR(E2305="",E2305="!!!",F2305="NEW"),"",INDEX(J$1:J2304,SUMPRODUCT(MAX(ROW(E$1:E2304)*(E2305=E$1:E2304)))))</f>
        <v> </v>
      </c>
      <c r="L2305" s="26"/>
    </row>
    <row r="2306" spans="1:12">
      <c r="A2306" s="20" t="s">
        <v>690</v>
      </c>
      <c r="E2306" s="21">
        <f>IF(D2306="?OLD","!!!","")</f>
        <v/>
      </c>
      <c r="F2306" s="22" t="str">
        <f>IF(OR(E2306="",E2306="!!!"),"",IF(NOT(ISNA(VLOOKUP(E2306,E$1:E2305,1,FALSE()))),"OLD",IF(AND(E2306&lt;&gt;"",E2306&lt;&gt;"!!!"),"NEW","")))</f>
        <v> </v>
      </c>
      <c r="G2306" s="23" t="str">
        <f>IF(OR(E2306="",E2306="!!!"),"",IF(OR(J2306=0,AND(J2306=1,K2306=1),AND(J2306=1,I2306="SBJ"),AND(J2306=1,I2306=0)),"?IN_FOCUS",IF(J2306&lt;=2,"?ACTIVATED",IF(J2306&lt;&gt;"","?FAMILIAR",IF(F2306="NEW",IF(ISNA(VLOOKUP(E2306,#REF!,1,FALSE())),"?TYPE_IDENTIFIABLE","?REFERENTIAL"),"_")))))</f>
        <v> </v>
      </c>
      <c r="H2306" s="24" t="str">
        <f>IF(J2306&lt;&gt;1,"",IF(I2306="SBJ","CB","?"))</f>
        <v> </v>
      </c>
      <c r="I2306" s="25" t="str">
        <f>IF(OR(E2306="",E2306="!!!",F2306="NEW"),"",INDEX(B2305:B$2,-1+SUMPRODUCT(MAX(ROW(E2305:E$2)*(E2306=E2305:E$2)))))</f>
        <v> </v>
      </c>
      <c r="J2306" s="25" t="str">
        <f>IF(OR(E2306="",E2306="!!!",F2306="NEW"),"",COUNTBLANK(OFFSET(A$1,,,SUMPRODUCT(MAX(ROW(E$2:E2306)*(E2306=E$2:E2306)))))-COUNTBLANK(OFFSET(A$1,,,SUMPRODUCT(MAX(ROW(E$1:E2305)*(E2=E$1:E2305))))))</f>
        <v> </v>
      </c>
      <c r="K2306" s="25" t="str">
        <f>IF(OR(E2306="",E2306="!!!",F2306="NEW"),"",INDEX(J$1:J2305,SUMPRODUCT(MAX(ROW(E$1:E2305)*(E2306=E$1:E2305)))))</f>
        <v> </v>
      </c>
      <c r="L2306" s="26"/>
    </row>
    <row r="2307" spans="1:12">
      <c r="A2307" s="20" t="s">
        <v>798</v>
      </c>
      <c r="B2307" s="27" t="s">
        <v>636</v>
      </c>
      <c r="C2307" s="27" t="s">
        <v>607</v>
      </c>
      <c r="D2307" s="27" t="s">
        <v>608</v>
      </c>
      <c r="E2307" s="21">
        <f>IF(D2307="?OLD","!!!","")</f>
        <v/>
      </c>
      <c r="F2307" s="22" t="str">
        <f>IF(OR(E2307="",E2307="!!!"),"",IF(NOT(ISNA(VLOOKUP(E2307,E$1:E2306,1,FALSE()))),"OLD",IF(AND(E2307&lt;&gt;"",E2307&lt;&gt;"!!!"),"NEW","")))</f>
        <v> </v>
      </c>
      <c r="G2307" s="23" t="str">
        <f>IF(OR(E2307="",E2307="!!!"),"",IF(OR(J2307=0,AND(J2307=1,K2307=1),AND(J2307=1,I2307="SBJ"),AND(J2307=1,I2307=0)),"?IN_FOCUS",IF(J2307&lt;=2,"?ACTIVATED",IF(J2307&lt;&gt;"","?FAMILIAR",IF(F2307="NEW",IF(ISNA(VLOOKUP(E2307,#REF!,1,FALSE())),"?TYPE_IDENTIFIABLE","?REFERENTIAL"),"_")))))</f>
        <v> </v>
      </c>
      <c r="H2307" s="24" t="str">
        <f>IF(J2307&lt;&gt;1,"",IF(I2307="SBJ","CB","?"))</f>
        <v> </v>
      </c>
      <c r="I2307" s="25" t="str">
        <f>IF(OR(E2307="",E2307="!!!",F2307="NEW"),"",INDEX(B2306:B$2,-1+SUMPRODUCT(MAX(ROW(E2306:E$2)*(E2307=E2306:E$2)))))</f>
        <v> </v>
      </c>
      <c r="J2307" s="25" t="str">
        <f>IF(OR(E2307="",E2307="!!!",F2307="NEW"),"",COUNTBLANK(OFFSET(A$1,,,SUMPRODUCT(MAX(ROW(E$2:E2307)*(E2307=E$2:E2307)))))-COUNTBLANK(OFFSET(A$1,,,SUMPRODUCT(MAX(ROW(E$1:E2306)*(E2=E$1:E2306))))))</f>
        <v> </v>
      </c>
      <c r="K2307" s="25" t="str">
        <f>IF(OR(E2307="",E2307="!!!",F2307="NEW"),"",INDEX(J$1:J2306,SUMPRODUCT(MAX(ROW(E$1:E2306)*(E2307=E$1:E2306)))))</f>
        <v> </v>
      </c>
      <c r="L2307" s="26"/>
    </row>
    <row r="2308" spans="1:12">
      <c r="A2308" s="20" t="s">
        <v>682</v>
      </c>
      <c r="E2308" s="21">
        <f>IF(D2308="?OLD","!!!","")</f>
        <v/>
      </c>
      <c r="F2308" s="22" t="str">
        <f>IF(OR(E2308="",E2308="!!!"),"",IF(NOT(ISNA(VLOOKUP(E2308,E$1:E2307,1,FALSE()))),"OLD",IF(AND(E2308&lt;&gt;"",E2308&lt;&gt;"!!!"),"NEW","")))</f>
        <v> </v>
      </c>
      <c r="G2308" s="23" t="str">
        <f>IF(OR(E2308="",E2308="!!!"),"",IF(OR(J2308=0,AND(J2308=1,K2308=1),AND(J2308=1,I2308="SBJ"),AND(J2308=1,I2308=0)),"?IN_FOCUS",IF(J2308&lt;=2,"?ACTIVATED",IF(J2308&lt;&gt;"","?FAMILIAR",IF(F2308="NEW",IF(ISNA(VLOOKUP(E2308,#REF!,1,FALSE())),"?TYPE_IDENTIFIABLE","?REFERENTIAL"),"_")))))</f>
        <v> </v>
      </c>
      <c r="H2308" s="24" t="str">
        <f>IF(J2308&lt;&gt;1,"",IF(I2308="SBJ","CB","?"))</f>
        <v> </v>
      </c>
      <c r="I2308" s="25" t="str">
        <f>IF(OR(E2308="",E2308="!!!",F2308="NEW"),"",INDEX(B2307:B$2,-1+SUMPRODUCT(MAX(ROW(E2307:E$2)*(E2308=E2307:E$2)))))</f>
        <v> </v>
      </c>
      <c r="J2308" s="25" t="str">
        <f>IF(OR(E2308="",E2308="!!!",F2308="NEW"),"",COUNTBLANK(OFFSET(A$1,,,SUMPRODUCT(MAX(ROW(E$2:E2308)*(E2308=E$2:E2308)))))-COUNTBLANK(OFFSET(A$1,,,SUMPRODUCT(MAX(ROW(E$1:E2307)*(E2=E$1:E2307))))))</f>
        <v> </v>
      </c>
      <c r="K2308" s="25" t="str">
        <f>IF(OR(E2308="",E2308="!!!",F2308="NEW"),"",INDEX(J$1:J2307,SUMPRODUCT(MAX(ROW(E$1:E2307)*(E2308=E$1:E2307)))))</f>
        <v> </v>
      </c>
      <c r="L2308" s="26"/>
    </row>
    <row r="2309" spans="1:12">
      <c r="A2309" s="20" t="s">
        <v>1455</v>
      </c>
      <c r="B2309" s="27" t="s">
        <v>653</v>
      </c>
      <c r="C2309" s="27" t="s">
        <v>685</v>
      </c>
      <c r="E2309" s="21">
        <f>IF(D2309="?OLD","!!!","")</f>
        <v/>
      </c>
      <c r="F2309" s="22" t="str">
        <f>IF(OR(E2309="",E2309="!!!"),"",IF(NOT(ISNA(VLOOKUP(E2309,E$1:E2308,1,FALSE()))),"OLD",IF(AND(E2309&lt;&gt;"",E2309&lt;&gt;"!!!"),"NEW","")))</f>
        <v> </v>
      </c>
      <c r="G2309" s="23" t="str">
        <f>IF(OR(E2309="",E2309="!!!"),"",IF(OR(J2309=0,AND(J2309=1,K2309=1),AND(J2309=1,I2309="SBJ"),AND(J2309=1,I2309=0)),"?IN_FOCUS",IF(J2309&lt;=2,"?ACTIVATED",IF(J2309&lt;&gt;"","?FAMILIAR",IF(F2309="NEW",IF(ISNA(VLOOKUP(E2309,#REF!,1,FALSE())),"?TYPE_IDENTIFIABLE","?REFERENTIAL"),"_")))))</f>
        <v> </v>
      </c>
      <c r="H2309" s="24" t="str">
        <f>IF(J2309&lt;&gt;1,"",IF(I2309="SBJ","CB","?"))</f>
        <v> </v>
      </c>
      <c r="I2309" s="25" t="str">
        <f>IF(OR(E2309="",E2309="!!!",F2309="NEW"),"",INDEX(B2308:B$2,-1+SUMPRODUCT(MAX(ROW(E2308:E$2)*(E2309=E2308:E$2)))))</f>
        <v> </v>
      </c>
      <c r="J2309" s="25" t="str">
        <f>IF(OR(E2309="",E2309="!!!",F2309="NEW"),"",COUNTBLANK(OFFSET(A$1,,,SUMPRODUCT(MAX(ROW(E$2:E2309)*(E2309=E$2:E2309)))))-COUNTBLANK(OFFSET(A$1,,,SUMPRODUCT(MAX(ROW(E$1:E2308)*(E2=E$1:E2308))))))</f>
        <v> </v>
      </c>
      <c r="K2309" s="25" t="str">
        <f>IF(OR(E2309="",E2309="!!!",F2309="NEW"),"",INDEX(J$1:J2308,SUMPRODUCT(MAX(ROW(E$1:E2308)*(E2309=E$1:E2308)))))</f>
        <v> </v>
      </c>
      <c r="L2309" s="26"/>
    </row>
    <row r="2310" spans="1:12">
      <c r="A2310" s="20" t="s">
        <v>1456</v>
      </c>
      <c r="E2310" s="21">
        <f>IF(D2310="?OLD","!!!","")</f>
        <v/>
      </c>
      <c r="F2310" s="22" t="str">
        <f>IF(OR(E2310="",E2310="!!!"),"",IF(NOT(ISNA(VLOOKUP(E2310,E$1:E2309,1,FALSE()))),"OLD",IF(AND(E2310&lt;&gt;"",E2310&lt;&gt;"!!!"),"NEW","")))</f>
        <v> </v>
      </c>
      <c r="G2310" s="23" t="str">
        <f>IF(OR(E2310="",E2310="!!!"),"",IF(OR(J2310=0,AND(J2310=1,K2310=1),AND(J2310=1,I2310="SBJ"),AND(J2310=1,I2310=0)),"?IN_FOCUS",IF(J2310&lt;=2,"?ACTIVATED",IF(J2310&lt;&gt;"","?FAMILIAR",IF(F2310="NEW",IF(ISNA(VLOOKUP(E2310,#REF!,1,FALSE())),"?TYPE_IDENTIFIABLE","?REFERENTIAL"),"_")))))</f>
        <v> </v>
      </c>
      <c r="H2310" s="24" t="str">
        <f>IF(J2310&lt;&gt;1,"",IF(I2310="SBJ","CB","?"))</f>
        <v> </v>
      </c>
      <c r="I2310" s="25" t="str">
        <f>IF(OR(E2310="",E2310="!!!",F2310="NEW"),"",INDEX(B2309:B$2,-1+SUMPRODUCT(MAX(ROW(E2309:E$2)*(E2310=E2309:E$2)))))</f>
        <v> </v>
      </c>
      <c r="J2310" s="25" t="str">
        <f>IF(OR(E2310="",E2310="!!!",F2310="NEW"),"",COUNTBLANK(OFFSET(A$1,,,SUMPRODUCT(MAX(ROW(E$2:E2310)*(E2310=E$2:E2310)))))-COUNTBLANK(OFFSET(A$1,,,SUMPRODUCT(MAX(ROW(E$1:E2309)*(E2=E$1:E2309))))))</f>
        <v> </v>
      </c>
      <c r="K2310" s="25" t="str">
        <f>IF(OR(E2310="",E2310="!!!",F2310="NEW"),"",INDEX(J$1:J2309,SUMPRODUCT(MAX(ROW(E$1:E2309)*(E2310=E$1:E2309)))))</f>
        <v> </v>
      </c>
      <c r="L2310" s="26"/>
    </row>
    <row r="2311" spans="1:12">
      <c r="A2311" s="20" t="s">
        <v>1457</v>
      </c>
      <c r="B2311" s="27" t="s">
        <v>606</v>
      </c>
      <c r="C2311" s="27" t="s">
        <v>622</v>
      </c>
      <c r="E2311" s="21">
        <f>IF(D2311="?OLD","!!!","")</f>
        <v/>
      </c>
      <c r="F2311" s="22" t="str">
        <f>IF(OR(E2311="",E2311="!!!"),"",IF(NOT(ISNA(VLOOKUP(E2311,E$1:E2310,1,FALSE()))),"OLD",IF(AND(E2311&lt;&gt;"",E2311&lt;&gt;"!!!"),"NEW","")))</f>
        <v> </v>
      </c>
      <c r="G2311" s="23" t="str">
        <f>IF(OR(E2311="",E2311="!!!"),"",IF(OR(J2311=0,AND(J2311=1,K2311=1),AND(J2311=1,I2311="SBJ"),AND(J2311=1,I2311=0)),"?IN_FOCUS",IF(J2311&lt;=2,"?ACTIVATED",IF(J2311&lt;&gt;"","?FAMILIAR",IF(F2311="NEW",IF(ISNA(VLOOKUP(E2311,#REF!,1,FALSE())),"?TYPE_IDENTIFIABLE","?REFERENTIAL"),"_")))))</f>
        <v> </v>
      </c>
      <c r="H2311" s="24" t="str">
        <f>IF(J2311&lt;&gt;1,"",IF(I2311="SBJ","CB","?"))</f>
        <v> </v>
      </c>
      <c r="I2311" s="25" t="str">
        <f>IF(OR(E2311="",E2311="!!!",F2311="NEW"),"",INDEX(B2310:B$2,-1+SUMPRODUCT(MAX(ROW(E2310:E$2)*(E2311=E2310:E$2)))))</f>
        <v> </v>
      </c>
      <c r="J2311" s="25" t="str">
        <f>IF(OR(E2311="",E2311="!!!",F2311="NEW"),"",COUNTBLANK(OFFSET(A$1,,,SUMPRODUCT(MAX(ROW(E$2:E2311)*(E2311=E$2:E2311)))))-COUNTBLANK(OFFSET(A$1,,,SUMPRODUCT(MAX(ROW(E$1:E2310)*(E2=E$1:E2310))))))</f>
        <v> </v>
      </c>
      <c r="K2311" s="25" t="str">
        <f>IF(OR(E2311="",E2311="!!!",F2311="NEW"),"",INDEX(J$1:J2310,SUMPRODUCT(MAX(ROW(E$1:E2310)*(E2311=E$1:E2310)))))</f>
        <v> </v>
      </c>
      <c r="L2311" s="26"/>
    </row>
    <row r="2312" spans="1:12">
      <c r="A2312" s="20" t="s">
        <v>633</v>
      </c>
      <c r="E2312" s="21">
        <f>IF(D2312="?OLD","!!!","")</f>
        <v/>
      </c>
      <c r="F2312" s="22" t="str">
        <f>IF(OR(E2312="",E2312="!!!"),"",IF(NOT(ISNA(VLOOKUP(E2312,E$1:E2311,1,FALSE()))),"OLD",IF(AND(E2312&lt;&gt;"",E2312&lt;&gt;"!!!"),"NEW","")))</f>
        <v> </v>
      </c>
      <c r="G2312" s="23" t="str">
        <f>IF(OR(E2312="",E2312="!!!"),"",IF(OR(J2312=0,AND(J2312=1,K2312=1),AND(J2312=1,I2312="SBJ"),AND(J2312=1,I2312=0)),"?IN_FOCUS",IF(J2312&lt;=2,"?ACTIVATED",IF(J2312&lt;&gt;"","?FAMILIAR",IF(F2312="NEW",IF(ISNA(VLOOKUP(E2312,#REF!,1,FALSE())),"?TYPE_IDENTIFIABLE","?REFERENTIAL"),"_")))))</f>
        <v> </v>
      </c>
      <c r="H2312" s="24" t="str">
        <f>IF(J2312&lt;&gt;1,"",IF(I2312="SBJ","CB","?"))</f>
        <v> </v>
      </c>
      <c r="I2312" s="25" t="str">
        <f>IF(OR(E2312="",E2312="!!!",F2312="NEW"),"",INDEX(B2311:B$2,-1+SUMPRODUCT(MAX(ROW(E2311:E$2)*(E2312=E2311:E$2)))))</f>
        <v> </v>
      </c>
      <c r="J2312" s="25" t="str">
        <f>IF(OR(E2312="",E2312="!!!",F2312="NEW"),"",COUNTBLANK(OFFSET(A$1,,,SUMPRODUCT(MAX(ROW(E$2:E2312)*(E2312=E$2:E2312)))))-COUNTBLANK(OFFSET(A$1,,,SUMPRODUCT(MAX(ROW(E$1:E2311)*(E2=E$1:E2311))))))</f>
        <v> </v>
      </c>
      <c r="K2312" s="25" t="str">
        <f>IF(OR(E2312="",E2312="!!!",F2312="NEW"),"",INDEX(J$1:J2311,SUMPRODUCT(MAX(ROW(E$1:E2311)*(E2312=E$1:E2311)))))</f>
        <v> </v>
      </c>
      <c r="L2312" s="26"/>
    </row>
    <row r="2313" spans="1:12">
      <c r="A2313" s="20"/>
    </row>
    <row r="2314" spans="1:12">
      <c r="A2314" s="20" t="s">
        <v>1458</v>
      </c>
    </row>
    <row r="2315" spans="1:12">
      <c r="A2315" s="20" t="s">
        <v>933</v>
      </c>
      <c r="B2315" s="27" t="s">
        <v>636</v>
      </c>
      <c r="C2315" s="27" t="s">
        <v>637</v>
      </c>
      <c r="D2315" s="27" t="s">
        <v>608</v>
      </c>
      <c r="E2315" s="21">
        <f>IF(D2315="?OLD","!!!","")</f>
        <v/>
      </c>
      <c r="F2315" s="22" t="str">
        <f>IF(OR(E2315="",E2315="!!!"),"",IF(NOT(ISNA(VLOOKUP(E2315,E$1:E2314,1,FALSE()))),"OLD",IF(AND(E2315&lt;&gt;"",E2315&lt;&gt;"!!!"),"NEW","")))</f>
        <v> </v>
      </c>
      <c r="G2315" s="23" t="str">
        <f>IF(OR(E2315="",E2315="!!!"),"",IF(OR(J2315=0,AND(J2315=1,K2315=1),AND(J2315=1,I2315="SBJ"),AND(J2315=1,I2315=0)),"?IN_FOCUS",IF(J2315&lt;=2,"?ACTIVATED",IF(J2315&lt;&gt;"","?FAMILIAR",IF(F2315="NEW",IF(ISNA(VLOOKUP(E2315,#REF!,1,FALSE())),"?TYPE_IDENTIFIABLE","?REFERENTIAL"),"_")))))</f>
        <v> </v>
      </c>
      <c r="H2315" s="24" t="str">
        <f>IF(J2315&lt;&gt;1,"",IF(I2315="SBJ","CB","?"))</f>
        <v> </v>
      </c>
      <c r="I2315" s="25" t="str">
        <f>IF(OR(E2315="",E2315="!!!",F2315="NEW"),"",INDEX(B2314:B$2,-1+SUMPRODUCT(MAX(ROW(E2314:E$2)*(E2315=E2314:E$2)))))</f>
        <v> </v>
      </c>
      <c r="J2315" s="25" t="str">
        <f>IF(OR(E2315="",E2315="!!!",F2315="NEW"),"",COUNTBLANK(OFFSET(A$1,,,SUMPRODUCT(MAX(ROW(E$2:E2315)*(E2315=E$2:E2315)))))-COUNTBLANK(OFFSET(A$1,,,SUMPRODUCT(MAX(ROW(E$1:E2314)*(E2=E$1:E2314))))))</f>
        <v> </v>
      </c>
      <c r="K2315" s="25" t="str">
        <f>IF(OR(E2315="",E2315="!!!",F2315="NEW"),"",INDEX(J$1:J2314,SUMPRODUCT(MAX(ROW(E$1:E2314)*(E2315=E$1:E2314)))))</f>
        <v> </v>
      </c>
      <c r="L2315" s="26"/>
    </row>
    <row r="2316" spans="1:12">
      <c r="A2316" s="20" t="s">
        <v>629</v>
      </c>
      <c r="E2316" s="21">
        <f>IF(D2316="?OLD","!!!","")</f>
        <v/>
      </c>
      <c r="F2316" s="22" t="str">
        <f>IF(OR(E2316="",E2316="!!!"),"",IF(NOT(ISNA(VLOOKUP(E2316,E$1:E2315,1,FALSE()))),"OLD",IF(AND(E2316&lt;&gt;"",E2316&lt;&gt;"!!!"),"NEW","")))</f>
        <v> </v>
      </c>
      <c r="G2316" s="23" t="str">
        <f>IF(OR(E2316="",E2316="!!!"),"",IF(OR(J2316=0,AND(J2316=1,K2316=1),AND(J2316=1,I2316="SBJ"),AND(J2316=1,I2316=0)),"?IN_FOCUS",IF(J2316&lt;=2,"?ACTIVATED",IF(J2316&lt;&gt;"","?FAMILIAR",IF(F2316="NEW",IF(ISNA(VLOOKUP(E2316,#REF!,1,FALSE())),"?TYPE_IDENTIFIABLE","?REFERENTIAL"),"_")))))</f>
        <v> </v>
      </c>
      <c r="H2316" s="24" t="str">
        <f>IF(J2316&lt;&gt;1,"",IF(I2316="SBJ","CB","?"))</f>
        <v> </v>
      </c>
      <c r="I2316" s="25" t="str">
        <f>IF(OR(E2316="",E2316="!!!",F2316="NEW"),"",INDEX(B2315:B$2,-1+SUMPRODUCT(MAX(ROW(E2315:E$2)*(E2316=E2315:E$2)))))</f>
        <v> </v>
      </c>
      <c r="J2316" s="25" t="str">
        <f>IF(OR(E2316="",E2316="!!!",F2316="NEW"),"",COUNTBLANK(OFFSET(A$1,,,SUMPRODUCT(MAX(ROW(E$2:E2316)*(E2316=E$2:E2316)))))-COUNTBLANK(OFFSET(A$1,,,SUMPRODUCT(MAX(ROW(E$1:E2315)*(E2=E$1:E2315))))))</f>
        <v> </v>
      </c>
      <c r="K2316" s="25" t="str">
        <f>IF(OR(E2316="",E2316="!!!",F2316="NEW"),"",INDEX(J$1:J2315,SUMPRODUCT(MAX(ROW(E$1:E2315)*(E2316=E$1:E2315)))))</f>
        <v> </v>
      </c>
      <c r="L2316" s="26"/>
    </row>
    <row r="2317" spans="1:12">
      <c r="A2317" s="20" t="s">
        <v>693</v>
      </c>
      <c r="B2317" s="27" t="s">
        <v>611</v>
      </c>
      <c r="C2317" s="27" t="s">
        <v>652</v>
      </c>
      <c r="D2317" s="27" t="s">
        <v>608</v>
      </c>
      <c r="E2317" s="21">
        <f>IF(D2317="?OLD","!!!","")</f>
        <v/>
      </c>
      <c r="F2317" s="22" t="str">
        <f>IF(OR(E2317="",E2317="!!!"),"",IF(NOT(ISNA(VLOOKUP(E2317,E$1:E2316,1,FALSE()))),"OLD",IF(AND(E2317&lt;&gt;"",E2317&lt;&gt;"!!!"),"NEW","")))</f>
        <v> </v>
      </c>
      <c r="G2317" s="23" t="str">
        <f>IF(OR(E2317="",E2317="!!!"),"",IF(OR(J2317=0,AND(J2317=1,K2317=1),AND(J2317=1,I2317="SBJ"),AND(J2317=1,I2317=0)),"?IN_FOCUS",IF(J2317&lt;=2,"?ACTIVATED",IF(J2317&lt;&gt;"","?FAMILIAR",IF(F2317="NEW",IF(ISNA(VLOOKUP(E2317,#REF!,1,FALSE())),"?TYPE_IDENTIFIABLE","?REFERENTIAL"),"_")))))</f>
        <v> </v>
      </c>
      <c r="H2317" s="24" t="str">
        <f>IF(J2317&lt;&gt;1,"",IF(I2317="SBJ","CB","?"))</f>
        <v> </v>
      </c>
      <c r="I2317" s="25" t="str">
        <f>IF(OR(E2317="",E2317="!!!",F2317="NEW"),"",INDEX(B2316:B$2,-1+SUMPRODUCT(MAX(ROW(E2316:E$2)*(E2317=E2316:E$2)))))</f>
        <v> </v>
      </c>
      <c r="J2317" s="25" t="str">
        <f>IF(OR(E2317="",E2317="!!!",F2317="NEW"),"",COUNTBLANK(OFFSET(A$1,,,SUMPRODUCT(MAX(ROW(E$2:E2317)*(E2317=E$2:E2317)))))-COUNTBLANK(OFFSET(A$1,,,SUMPRODUCT(MAX(ROW(E$1:E2316)*(E2=E$1:E2316))))))</f>
        <v> </v>
      </c>
      <c r="K2317" s="25" t="str">
        <f>IF(OR(E2317="",E2317="!!!",F2317="NEW"),"",INDEX(J$1:J2316,SUMPRODUCT(MAX(ROW(E$1:E2316)*(E2317=E$1:E2316)))))</f>
        <v> </v>
      </c>
      <c r="L2317" s="26"/>
    </row>
    <row r="2318" spans="1:12">
      <c r="A2318" s="20" t="s">
        <v>1459</v>
      </c>
      <c r="E2318" s="21">
        <f>IF(D2318="?OLD","!!!","")</f>
        <v/>
      </c>
      <c r="F2318" s="22" t="str">
        <f>IF(OR(E2318="",E2318="!!!"),"",IF(NOT(ISNA(VLOOKUP(E2318,E$1:E2317,1,FALSE()))),"OLD",IF(AND(E2318&lt;&gt;"",E2318&lt;&gt;"!!!"),"NEW","")))</f>
        <v> </v>
      </c>
      <c r="G2318" s="23" t="str">
        <f>IF(OR(E2318="",E2318="!!!"),"",IF(OR(J2318=0,AND(J2318=1,K2318=1),AND(J2318=1,I2318="SBJ"),AND(J2318=1,I2318=0)),"?IN_FOCUS",IF(J2318&lt;=2,"?ACTIVATED",IF(J2318&lt;&gt;"","?FAMILIAR",IF(F2318="NEW",IF(ISNA(VLOOKUP(E2318,#REF!,1,FALSE())),"?TYPE_IDENTIFIABLE","?REFERENTIAL"),"_")))))</f>
        <v> </v>
      </c>
      <c r="H2318" s="24" t="str">
        <f>IF(J2318&lt;&gt;1,"",IF(I2318="SBJ","CB","?"))</f>
        <v> </v>
      </c>
      <c r="I2318" s="25" t="str">
        <f>IF(OR(E2318="",E2318="!!!",F2318="NEW"),"",INDEX(B2317:B$2,-1+SUMPRODUCT(MAX(ROW(E2317:E$2)*(E2318=E2317:E$2)))))</f>
        <v> </v>
      </c>
      <c r="J2318" s="25" t="str">
        <f>IF(OR(E2318="",E2318="!!!",F2318="NEW"),"",COUNTBLANK(OFFSET(A$1,,,SUMPRODUCT(MAX(ROW(E$2:E2318)*(E2318=E$2:E2318)))))-COUNTBLANK(OFFSET(A$1,,,SUMPRODUCT(MAX(ROW(E$1:E2317)*(E2=E$1:E2317))))))</f>
        <v> </v>
      </c>
      <c r="K2318" s="25" t="str">
        <f>IF(OR(E2318="",E2318="!!!",F2318="NEW"),"",INDEX(J$1:J2317,SUMPRODUCT(MAX(ROW(E$1:E2317)*(E2318=E$1:E2317)))))</f>
        <v> </v>
      </c>
      <c r="L2318" s="26"/>
    </row>
    <row r="2319" spans="1:12">
      <c r="A2319" s="20" t="s">
        <v>1460</v>
      </c>
      <c r="B2319" s="27" t="s">
        <v>653</v>
      </c>
      <c r="C2319" s="27" t="s">
        <v>678</v>
      </c>
      <c r="E2319" s="21">
        <f>IF(D2319="?OLD","!!!","")</f>
        <v/>
      </c>
      <c r="F2319" s="22" t="str">
        <f>IF(OR(E2319="",E2319="!!!"),"",IF(NOT(ISNA(VLOOKUP(E2319,E$1:E2318,1,FALSE()))),"OLD",IF(AND(E2319&lt;&gt;"",E2319&lt;&gt;"!!!"),"NEW","")))</f>
        <v> </v>
      </c>
      <c r="G2319" s="23" t="str">
        <f>IF(OR(E2319="",E2319="!!!"),"",IF(OR(J2319=0,AND(J2319=1,K2319=1),AND(J2319=1,I2319="SBJ"),AND(J2319=1,I2319=0)),"?IN_FOCUS",IF(J2319&lt;=2,"?ACTIVATED",IF(J2319&lt;&gt;"","?FAMILIAR",IF(F2319="NEW",IF(ISNA(VLOOKUP(E2319,#REF!,1,FALSE())),"?TYPE_IDENTIFIABLE","?REFERENTIAL"),"_")))))</f>
        <v> </v>
      </c>
      <c r="H2319" s="24" t="str">
        <f>IF(J2319&lt;&gt;1,"",IF(I2319="SBJ","CB","?"))</f>
        <v> </v>
      </c>
      <c r="I2319" s="25" t="str">
        <f>IF(OR(E2319="",E2319="!!!",F2319="NEW"),"",INDEX(B2318:B$2,-1+SUMPRODUCT(MAX(ROW(E2318:E$2)*(E2319=E2318:E$2)))))</f>
        <v> </v>
      </c>
      <c r="J2319" s="25" t="str">
        <f>IF(OR(E2319="",E2319="!!!",F2319="NEW"),"",COUNTBLANK(OFFSET(A$1,,,SUMPRODUCT(MAX(ROW(E$2:E2319)*(E2319=E$2:E2319)))))-COUNTBLANK(OFFSET(A$1,,,SUMPRODUCT(MAX(ROW(E$1:E2318)*(E2=E$1:E2318))))))</f>
        <v> </v>
      </c>
      <c r="K2319" s="25" t="str">
        <f>IF(OR(E2319="",E2319="!!!",F2319="NEW"),"",INDEX(J$1:J2318,SUMPRODUCT(MAX(ROW(E$1:E2318)*(E2319=E$1:E2318)))))</f>
        <v> </v>
      </c>
      <c r="L2319" s="26"/>
    </row>
    <row r="2320" spans="1:12">
      <c r="A2320" s="20" t="s">
        <v>720</v>
      </c>
      <c r="E2320" s="21">
        <f>IF(D2320="?OLD","!!!","")</f>
        <v/>
      </c>
      <c r="F2320" s="22" t="str">
        <f>IF(OR(E2320="",E2320="!!!"),"",IF(NOT(ISNA(VLOOKUP(E2320,E$1:E2319,1,FALSE()))),"OLD",IF(AND(E2320&lt;&gt;"",E2320&lt;&gt;"!!!"),"NEW","")))</f>
        <v> </v>
      </c>
      <c r="G2320" s="23" t="str">
        <f>IF(OR(E2320="",E2320="!!!"),"",IF(OR(J2320=0,AND(J2320=1,K2320=1),AND(J2320=1,I2320="SBJ"),AND(J2320=1,I2320=0)),"?IN_FOCUS",IF(J2320&lt;=2,"?ACTIVATED",IF(J2320&lt;&gt;"","?FAMILIAR",IF(F2320="NEW",IF(ISNA(VLOOKUP(E2320,#REF!,1,FALSE())),"?TYPE_IDENTIFIABLE","?REFERENTIAL"),"_")))))</f>
        <v> </v>
      </c>
      <c r="H2320" s="24" t="str">
        <f>IF(J2320&lt;&gt;1,"",IF(I2320="SBJ","CB","?"))</f>
        <v> </v>
      </c>
      <c r="I2320" s="25" t="str">
        <f>IF(OR(E2320="",E2320="!!!",F2320="NEW"),"",INDEX(B2319:B$2,-1+SUMPRODUCT(MAX(ROW(E2319:E$2)*(E2320=E2319:E$2)))))</f>
        <v> </v>
      </c>
      <c r="J2320" s="25" t="str">
        <f>IF(OR(E2320="",E2320="!!!",F2320="NEW"),"",COUNTBLANK(OFFSET(A$1,,,SUMPRODUCT(MAX(ROW(E$2:E2320)*(E2320=E$2:E2320)))))-COUNTBLANK(OFFSET(A$1,,,SUMPRODUCT(MAX(ROW(E$1:E2319)*(E2=E$1:E2319))))))</f>
        <v> </v>
      </c>
      <c r="K2320" s="25" t="str">
        <f>IF(OR(E2320="",E2320="!!!",F2320="NEW"),"",INDEX(J$1:J2319,SUMPRODUCT(MAX(ROW(E$1:E2319)*(E2320=E$1:E2319)))))</f>
        <v> </v>
      </c>
      <c r="L2320" s="26"/>
    </row>
    <row r="2321" spans="1:12">
      <c r="A2321" s="20" t="s">
        <v>682</v>
      </c>
      <c r="E2321" s="21">
        <f>IF(D2321="?OLD","!!!","")</f>
        <v/>
      </c>
      <c r="F2321" s="22" t="str">
        <f>IF(OR(E2321="",E2321="!!!"),"",IF(NOT(ISNA(VLOOKUP(E2321,E$1:E2320,1,FALSE()))),"OLD",IF(AND(E2321&lt;&gt;"",E2321&lt;&gt;"!!!"),"NEW","")))</f>
        <v> </v>
      </c>
      <c r="G2321" s="23" t="str">
        <f>IF(OR(E2321="",E2321="!!!"),"",IF(OR(J2321=0,AND(J2321=1,K2321=1),AND(J2321=1,I2321="SBJ"),AND(J2321=1,I2321=0)),"?IN_FOCUS",IF(J2321&lt;=2,"?ACTIVATED",IF(J2321&lt;&gt;"","?FAMILIAR",IF(F2321="NEW",IF(ISNA(VLOOKUP(E2321,#REF!,1,FALSE())),"?TYPE_IDENTIFIABLE","?REFERENTIAL"),"_")))))</f>
        <v> </v>
      </c>
      <c r="H2321" s="24" t="str">
        <f>IF(J2321&lt;&gt;1,"",IF(I2321="SBJ","CB","?"))</f>
        <v> </v>
      </c>
      <c r="I2321" s="25" t="str">
        <f>IF(OR(E2321="",E2321="!!!",F2321="NEW"),"",INDEX(B2320:B$2,-1+SUMPRODUCT(MAX(ROW(E2320:E$2)*(E2321=E2320:E$2)))))</f>
        <v> </v>
      </c>
      <c r="J2321" s="25" t="str">
        <f>IF(OR(E2321="",E2321="!!!",F2321="NEW"),"",COUNTBLANK(OFFSET(A$1,,,SUMPRODUCT(MAX(ROW(E$2:E2321)*(E2321=E$2:E2321)))))-COUNTBLANK(OFFSET(A$1,,,SUMPRODUCT(MAX(ROW(E$1:E2320)*(E2=E$1:E2320))))))</f>
        <v> </v>
      </c>
      <c r="K2321" s="25" t="str">
        <f>IF(OR(E2321="",E2321="!!!",F2321="NEW"),"",INDEX(J$1:J2320,SUMPRODUCT(MAX(ROW(E$1:E2320)*(E2321=E$1:E2320)))))</f>
        <v> </v>
      </c>
      <c r="L2321" s="26"/>
    </row>
    <row r="2322" spans="1:12">
      <c r="A2322" s="20" t="s">
        <v>819</v>
      </c>
      <c r="B2322" s="27" t="s">
        <v>611</v>
      </c>
      <c r="C2322" s="27" t="s">
        <v>685</v>
      </c>
      <c r="E2322" s="21">
        <f>IF(D2322="?OLD","!!!","")</f>
        <v/>
      </c>
      <c r="F2322" s="22" t="str">
        <f>IF(OR(E2322="",E2322="!!!"),"",IF(NOT(ISNA(VLOOKUP(E2322,E$1:E2321,1,FALSE()))),"OLD",IF(AND(E2322&lt;&gt;"",E2322&lt;&gt;"!!!"),"NEW","")))</f>
        <v> </v>
      </c>
      <c r="G2322" s="23" t="str">
        <f>IF(OR(E2322="",E2322="!!!"),"",IF(OR(J2322=0,AND(J2322=1,K2322=1),AND(J2322=1,I2322="SBJ"),AND(J2322=1,I2322=0)),"?IN_FOCUS",IF(J2322&lt;=2,"?ACTIVATED",IF(J2322&lt;&gt;"","?FAMILIAR",IF(F2322="NEW",IF(ISNA(VLOOKUP(E2322,#REF!,1,FALSE())),"?TYPE_IDENTIFIABLE","?REFERENTIAL"),"_")))))</f>
        <v> </v>
      </c>
      <c r="H2322" s="24" t="str">
        <f>IF(J2322&lt;&gt;1,"",IF(I2322="SBJ","CB","?"))</f>
        <v> </v>
      </c>
      <c r="I2322" s="25" t="str">
        <f>IF(OR(E2322="",E2322="!!!",F2322="NEW"),"",INDEX(B2321:B$2,-1+SUMPRODUCT(MAX(ROW(E2321:E$2)*(E2322=E2321:E$2)))))</f>
        <v> </v>
      </c>
      <c r="J2322" s="25" t="str">
        <f>IF(OR(E2322="",E2322="!!!",F2322="NEW"),"",COUNTBLANK(OFFSET(A$1,,,SUMPRODUCT(MAX(ROW(E$2:E2322)*(E2322=E$2:E2322)))))-COUNTBLANK(OFFSET(A$1,,,SUMPRODUCT(MAX(ROW(E$1:E2321)*(E2=E$1:E2321))))))</f>
        <v> </v>
      </c>
      <c r="K2322" s="25" t="str">
        <f>IF(OR(E2322="",E2322="!!!",F2322="NEW"),"",INDEX(J$1:J2321,SUMPRODUCT(MAX(ROW(E$1:E2321)*(E2322=E$1:E2321)))))</f>
        <v> </v>
      </c>
      <c r="L2322" s="26"/>
    </row>
    <row r="2323" spans="1:12">
      <c r="A2323" s="20" t="s">
        <v>617</v>
      </c>
      <c r="E2323" s="21">
        <f>IF(D2323="?OLD","!!!","")</f>
        <v/>
      </c>
      <c r="F2323" s="22" t="str">
        <f>IF(OR(E2323="",E2323="!!!"),"",IF(NOT(ISNA(VLOOKUP(E2323,E$1:E2322,1,FALSE()))),"OLD",IF(AND(E2323&lt;&gt;"",E2323&lt;&gt;"!!!"),"NEW","")))</f>
        <v> </v>
      </c>
      <c r="G2323" s="23" t="str">
        <f>IF(OR(E2323="",E2323="!!!"),"",IF(OR(J2323=0,AND(J2323=1,K2323=1),AND(J2323=1,I2323="SBJ"),AND(J2323=1,I2323=0)),"?IN_FOCUS",IF(J2323&lt;=2,"?ACTIVATED",IF(J2323&lt;&gt;"","?FAMILIAR",IF(F2323="NEW",IF(ISNA(VLOOKUP(E2323,#REF!,1,FALSE())),"?TYPE_IDENTIFIABLE","?REFERENTIAL"),"_")))))</f>
        <v> </v>
      </c>
      <c r="H2323" s="24" t="str">
        <f>IF(J2323&lt;&gt;1,"",IF(I2323="SBJ","CB","?"))</f>
        <v> </v>
      </c>
      <c r="I2323" s="25" t="str">
        <f>IF(OR(E2323="",E2323="!!!",F2323="NEW"),"",INDEX(B2322:B$2,-1+SUMPRODUCT(MAX(ROW(E2322:E$2)*(E2323=E2322:E$2)))))</f>
        <v> </v>
      </c>
      <c r="J2323" s="25" t="str">
        <f>IF(OR(E2323="",E2323="!!!",F2323="NEW"),"",COUNTBLANK(OFFSET(A$1,,,SUMPRODUCT(MAX(ROW(E$2:E2323)*(E2323=E$2:E2323)))))-COUNTBLANK(OFFSET(A$1,,,SUMPRODUCT(MAX(ROW(E$1:E2322)*(E2=E$1:E2322))))))</f>
        <v> </v>
      </c>
      <c r="K2323" s="25" t="str">
        <f>IF(OR(E2323="",E2323="!!!",F2323="NEW"),"",INDEX(J$1:J2322,SUMPRODUCT(MAX(ROW(E$1:E2322)*(E2323=E$1:E2322)))))</f>
        <v> </v>
      </c>
      <c r="L2323" s="26"/>
    </row>
    <row r="2324" spans="1:12">
      <c r="A2324" s="20" t="s">
        <v>1461</v>
      </c>
      <c r="E2324" s="21">
        <f>IF(D2324="?OLD","!!!","")</f>
        <v/>
      </c>
      <c r="F2324" s="22" t="str">
        <f>IF(OR(E2324="",E2324="!!!"),"",IF(NOT(ISNA(VLOOKUP(E2324,E$1:E2323,1,FALSE()))),"OLD",IF(AND(E2324&lt;&gt;"",E2324&lt;&gt;"!!!"),"NEW","")))</f>
        <v> </v>
      </c>
      <c r="G2324" s="23" t="str">
        <f>IF(OR(E2324="",E2324="!!!"),"",IF(OR(J2324=0,AND(J2324=1,K2324=1),AND(J2324=1,I2324="SBJ"),AND(J2324=1,I2324=0)),"?IN_FOCUS",IF(J2324&lt;=2,"?ACTIVATED",IF(J2324&lt;&gt;"","?FAMILIAR",IF(F2324="NEW",IF(ISNA(VLOOKUP(E2324,#REF!,1,FALSE())),"?TYPE_IDENTIFIABLE","?REFERENTIAL"),"_")))))</f>
        <v> </v>
      </c>
      <c r="H2324" s="24" t="str">
        <f>IF(J2324&lt;&gt;1,"",IF(I2324="SBJ","CB","?"))</f>
        <v> </v>
      </c>
      <c r="I2324" s="25" t="str">
        <f>IF(OR(E2324="",E2324="!!!",F2324="NEW"),"",INDEX(B2323:B$2,-1+SUMPRODUCT(MAX(ROW(E2323:E$2)*(E2324=E2323:E$2)))))</f>
        <v> </v>
      </c>
      <c r="J2324" s="25" t="str">
        <f>IF(OR(E2324="",E2324="!!!",F2324="NEW"),"",COUNTBLANK(OFFSET(A$1,,,SUMPRODUCT(MAX(ROW(E$2:E2324)*(E2324=E$2:E2324)))))-COUNTBLANK(OFFSET(A$1,,,SUMPRODUCT(MAX(ROW(E$1:E2323)*(E2=E$1:E2323))))))</f>
        <v> </v>
      </c>
      <c r="K2324" s="25" t="str">
        <f>IF(OR(E2324="",E2324="!!!",F2324="NEW"),"",INDEX(J$1:J2323,SUMPRODUCT(MAX(ROW(E$1:E2323)*(E2324=E$1:E2323)))))</f>
        <v> </v>
      </c>
      <c r="L2324" s="26"/>
    </row>
    <row r="2325" spans="1:12">
      <c r="A2325" s="20" t="s">
        <v>736</v>
      </c>
      <c r="E2325" s="21">
        <f>IF(D2325="?OLD","!!!","")</f>
        <v/>
      </c>
      <c r="F2325" s="22" t="str">
        <f>IF(OR(E2325="",E2325="!!!"),"",IF(NOT(ISNA(VLOOKUP(E2325,E$1:E2324,1,FALSE()))),"OLD",IF(AND(E2325&lt;&gt;"",E2325&lt;&gt;"!!!"),"NEW","")))</f>
        <v> </v>
      </c>
      <c r="G2325" s="23" t="str">
        <f>IF(OR(E2325="",E2325="!!!"),"",IF(OR(J2325=0,AND(J2325=1,K2325=1),AND(J2325=1,I2325="SBJ"),AND(J2325=1,I2325=0)),"?IN_FOCUS",IF(J2325&lt;=2,"?ACTIVATED",IF(J2325&lt;&gt;"","?FAMILIAR",IF(F2325="NEW",IF(ISNA(VLOOKUP(E2325,#REF!,1,FALSE())),"?TYPE_IDENTIFIABLE","?REFERENTIAL"),"_")))))</f>
        <v> </v>
      </c>
      <c r="H2325" s="24" t="str">
        <f>IF(J2325&lt;&gt;1,"",IF(I2325="SBJ","CB","?"))</f>
        <v> </v>
      </c>
      <c r="I2325" s="25" t="str">
        <f>IF(OR(E2325="",E2325="!!!",F2325="NEW"),"",INDEX(B2324:B$2,-1+SUMPRODUCT(MAX(ROW(E2324:E$2)*(E2325=E2324:E$2)))))</f>
        <v> </v>
      </c>
      <c r="J2325" s="25" t="str">
        <f>IF(OR(E2325="",E2325="!!!",F2325="NEW"),"",COUNTBLANK(OFFSET(A$1,,,SUMPRODUCT(MAX(ROW(E$2:E2325)*(E2325=E$2:E2325)))))-COUNTBLANK(OFFSET(A$1,,,SUMPRODUCT(MAX(ROW(E$1:E2324)*(E2=E$1:E2324))))))</f>
        <v> </v>
      </c>
      <c r="K2325" s="25" t="str">
        <f>IF(OR(E2325="",E2325="!!!",F2325="NEW"),"",INDEX(J$1:J2324,SUMPRODUCT(MAX(ROW(E$1:E2324)*(E2325=E$1:E2324)))))</f>
        <v> </v>
      </c>
      <c r="L2325" s="26"/>
    </row>
    <row r="2326" spans="1:12">
      <c r="A2326" s="20" t="s">
        <v>856</v>
      </c>
      <c r="B2326" s="27" t="s">
        <v>619</v>
      </c>
      <c r="C2326" s="27" t="s">
        <v>637</v>
      </c>
      <c r="D2326" s="27" t="s">
        <v>608</v>
      </c>
      <c r="E2326" s="21">
        <f>IF(D2326="?OLD","!!!","")</f>
        <v/>
      </c>
      <c r="F2326" s="22" t="str">
        <f>IF(OR(E2326="",E2326="!!!"),"",IF(NOT(ISNA(VLOOKUP(E2326,E$1:E2325,1,FALSE()))),"OLD",IF(AND(E2326&lt;&gt;"",E2326&lt;&gt;"!!!"),"NEW","")))</f>
        <v> </v>
      </c>
      <c r="G2326" s="23" t="str">
        <f>IF(OR(E2326="",E2326="!!!"),"",IF(OR(J2326=0,AND(J2326=1,K2326=1),AND(J2326=1,I2326="SBJ"),AND(J2326=1,I2326=0)),"?IN_FOCUS",IF(J2326&lt;=2,"?ACTIVATED",IF(J2326&lt;&gt;"","?FAMILIAR",IF(F2326="NEW",IF(ISNA(VLOOKUP(E2326,#REF!,1,FALSE())),"?TYPE_IDENTIFIABLE","?REFERENTIAL"),"_")))))</f>
        <v> </v>
      </c>
      <c r="H2326" s="24" t="str">
        <f>IF(J2326&lt;&gt;1,"",IF(I2326="SBJ","CB","?"))</f>
        <v> </v>
      </c>
      <c r="I2326" s="25" t="str">
        <f>IF(OR(E2326="",E2326="!!!",F2326="NEW"),"",INDEX(B2325:B$2,-1+SUMPRODUCT(MAX(ROW(E2325:E$2)*(E2326=E2325:E$2)))))</f>
        <v> </v>
      </c>
      <c r="J2326" s="25" t="str">
        <f>IF(OR(E2326="",E2326="!!!",F2326="NEW"),"",COUNTBLANK(OFFSET(A$1,,,SUMPRODUCT(MAX(ROW(E$2:E2326)*(E2326=E$2:E2326)))))-COUNTBLANK(OFFSET(A$1,,,SUMPRODUCT(MAX(ROW(E$1:E2325)*(E2=E$1:E2325))))))</f>
        <v> </v>
      </c>
      <c r="K2326" s="25" t="str">
        <f>IF(OR(E2326="",E2326="!!!",F2326="NEW"),"",INDEX(J$1:J2325,SUMPRODUCT(MAX(ROW(E$1:E2325)*(E2326=E$1:E2325)))))</f>
        <v> </v>
      </c>
      <c r="L2326" s="26"/>
    </row>
    <row r="2327" spans="1:12">
      <c r="A2327" s="20" t="s">
        <v>1462</v>
      </c>
      <c r="B2327" s="27" t="s">
        <v>606</v>
      </c>
      <c r="C2327" s="27" t="s">
        <v>622</v>
      </c>
      <c r="E2327" s="21">
        <f>IF(D2327="?OLD","!!!","")</f>
        <v/>
      </c>
      <c r="F2327" s="22" t="str">
        <f>IF(OR(E2327="",E2327="!!!"),"",IF(NOT(ISNA(VLOOKUP(E2327,E$1:E2326,1,FALSE()))),"OLD",IF(AND(E2327&lt;&gt;"",E2327&lt;&gt;"!!!"),"NEW","")))</f>
        <v> </v>
      </c>
      <c r="G2327" s="23" t="str">
        <f>IF(OR(E2327="",E2327="!!!"),"",IF(OR(J2327=0,AND(J2327=1,K2327=1),AND(J2327=1,I2327="SBJ"),AND(J2327=1,I2327=0)),"?IN_FOCUS",IF(J2327&lt;=2,"?ACTIVATED",IF(J2327&lt;&gt;"","?FAMILIAR",IF(F2327="NEW",IF(ISNA(VLOOKUP(E2327,#REF!,1,FALSE())),"?TYPE_IDENTIFIABLE","?REFERENTIAL"),"_")))))</f>
        <v> </v>
      </c>
      <c r="H2327" s="24" t="str">
        <f>IF(J2327&lt;&gt;1,"",IF(I2327="SBJ","CB","?"))</f>
        <v> </v>
      </c>
      <c r="I2327" s="25" t="str">
        <f>IF(OR(E2327="",E2327="!!!",F2327="NEW"),"",INDEX(B2326:B$2,-1+SUMPRODUCT(MAX(ROW(E2326:E$2)*(E2327=E2326:E$2)))))</f>
        <v> </v>
      </c>
      <c r="J2327" s="25" t="str">
        <f>IF(OR(E2327="",E2327="!!!",F2327="NEW"),"",COUNTBLANK(OFFSET(A$1,,,SUMPRODUCT(MAX(ROW(E$2:E2327)*(E2327=E$2:E2327)))))-COUNTBLANK(OFFSET(A$1,,,SUMPRODUCT(MAX(ROW(E$1:E2326)*(E2=E$1:E2326))))))</f>
        <v> </v>
      </c>
      <c r="K2327" s="25" t="str">
        <f>IF(OR(E2327="",E2327="!!!",F2327="NEW"),"",INDEX(J$1:J2326,SUMPRODUCT(MAX(ROW(E$1:E2326)*(E2327=E$1:E2326)))))</f>
        <v> </v>
      </c>
      <c r="L2327" s="26"/>
    </row>
    <row r="2328" spans="1:12">
      <c r="A2328" s="20" t="s">
        <v>617</v>
      </c>
      <c r="E2328" s="21">
        <f>IF(D2328="?OLD","!!!","")</f>
        <v/>
      </c>
      <c r="F2328" s="22" t="str">
        <f>IF(OR(E2328="",E2328="!!!"),"",IF(NOT(ISNA(VLOOKUP(E2328,E$1:E2327,1,FALSE()))),"OLD",IF(AND(E2328&lt;&gt;"",E2328&lt;&gt;"!!!"),"NEW","")))</f>
        <v> </v>
      </c>
      <c r="G2328" s="23" t="str">
        <f>IF(OR(E2328="",E2328="!!!"),"",IF(OR(J2328=0,AND(J2328=1,K2328=1),AND(J2328=1,I2328="SBJ"),AND(J2328=1,I2328=0)),"?IN_FOCUS",IF(J2328&lt;=2,"?ACTIVATED",IF(J2328&lt;&gt;"","?FAMILIAR",IF(F2328="NEW",IF(ISNA(VLOOKUP(E2328,#REF!,1,FALSE())),"?TYPE_IDENTIFIABLE","?REFERENTIAL"),"_")))))</f>
        <v> </v>
      </c>
      <c r="H2328" s="24" t="str">
        <f>IF(J2328&lt;&gt;1,"",IF(I2328="SBJ","CB","?"))</f>
        <v> </v>
      </c>
      <c r="I2328" s="25" t="str">
        <f>IF(OR(E2328="",E2328="!!!",F2328="NEW"),"",INDEX(B2327:B$2,-1+SUMPRODUCT(MAX(ROW(E2327:E$2)*(E2328=E2327:E$2)))))</f>
        <v> </v>
      </c>
      <c r="J2328" s="25" t="str">
        <f>IF(OR(E2328="",E2328="!!!",F2328="NEW"),"",COUNTBLANK(OFFSET(A$1,,,SUMPRODUCT(MAX(ROW(E$2:E2328)*(E2328=E$2:E2328)))))-COUNTBLANK(OFFSET(A$1,,,SUMPRODUCT(MAX(ROW(E$1:E2327)*(E2=E$1:E2327))))))</f>
        <v> </v>
      </c>
      <c r="K2328" s="25" t="str">
        <f>IF(OR(E2328="",E2328="!!!",F2328="NEW"),"",INDEX(J$1:J2327,SUMPRODUCT(MAX(ROW(E$1:E2327)*(E2328=E$1:E2327)))))</f>
        <v> </v>
      </c>
      <c r="L2328" s="26"/>
    </row>
    <row r="2329" spans="1:12">
      <c r="A2329" s="20" t="s">
        <v>630</v>
      </c>
      <c r="B2329" s="27" t="s">
        <v>611</v>
      </c>
      <c r="C2329" s="27" t="s">
        <v>631</v>
      </c>
      <c r="D2329" s="27" t="s">
        <v>608</v>
      </c>
      <c r="E2329" s="21">
        <f>IF(D2329="?OLD","!!!","")</f>
        <v/>
      </c>
      <c r="F2329" s="22" t="str">
        <f>IF(OR(E2329="",E2329="!!!"),"",IF(NOT(ISNA(VLOOKUP(E2329,E$1:E2328,1,FALSE()))),"OLD",IF(AND(E2329&lt;&gt;"",E2329&lt;&gt;"!!!"),"NEW","")))</f>
        <v> </v>
      </c>
      <c r="G2329" s="23" t="str">
        <f>IF(OR(E2329="",E2329="!!!"),"",IF(OR(J2329=0,AND(J2329=1,K2329=1),AND(J2329=1,I2329="SBJ"),AND(J2329=1,I2329=0)),"?IN_FOCUS",IF(J2329&lt;=2,"?ACTIVATED",IF(J2329&lt;&gt;"","?FAMILIAR",IF(F2329="NEW",IF(ISNA(VLOOKUP(E2329,#REF!,1,FALSE())),"?TYPE_IDENTIFIABLE","?REFERENTIAL"),"_")))))</f>
        <v> </v>
      </c>
      <c r="H2329" s="24" t="str">
        <f>IF(J2329&lt;&gt;1,"",IF(I2329="SBJ","CB","?"))</f>
        <v> </v>
      </c>
      <c r="I2329" s="25" t="str">
        <f>IF(OR(E2329="",E2329="!!!",F2329="NEW"),"",INDEX(B2328:B$2,-1+SUMPRODUCT(MAX(ROW(E2328:E$2)*(E2329=E2328:E$2)))))</f>
        <v> </v>
      </c>
      <c r="J2329" s="25" t="str">
        <f>IF(OR(E2329="",E2329="!!!",F2329="NEW"),"",COUNTBLANK(OFFSET(A$1,,,SUMPRODUCT(MAX(ROW(E$2:E2329)*(E2329=E$2:E2329)))))-COUNTBLANK(OFFSET(A$1,,,SUMPRODUCT(MAX(ROW(E$1:E2328)*(E2=E$1:E2328))))))</f>
        <v> </v>
      </c>
      <c r="K2329" s="25" t="str">
        <f>IF(OR(E2329="",E2329="!!!",F2329="NEW"),"",INDEX(J$1:J2328,SUMPRODUCT(MAX(ROW(E$1:E2328)*(E2329=E$1:E2328)))))</f>
        <v> </v>
      </c>
      <c r="L2329" s="26"/>
    </row>
    <row r="2330" spans="1:12">
      <c r="A2330" s="20" t="s">
        <v>1463</v>
      </c>
      <c r="E2330" s="21">
        <f>IF(D2330="?OLD","!!!","")</f>
        <v/>
      </c>
      <c r="F2330" s="22" t="str">
        <f>IF(OR(E2330="",E2330="!!!"),"",IF(NOT(ISNA(VLOOKUP(E2330,E$1:E2329,1,FALSE()))),"OLD",IF(AND(E2330&lt;&gt;"",E2330&lt;&gt;"!!!"),"NEW","")))</f>
        <v> </v>
      </c>
      <c r="G2330" s="23" t="str">
        <f>IF(OR(E2330="",E2330="!!!"),"",IF(OR(J2330=0,AND(J2330=1,K2330=1),AND(J2330=1,I2330="SBJ"),AND(J2330=1,I2330=0)),"?IN_FOCUS",IF(J2330&lt;=2,"?ACTIVATED",IF(J2330&lt;&gt;"","?FAMILIAR",IF(F2330="NEW",IF(ISNA(VLOOKUP(E2330,#REF!,1,FALSE())),"?TYPE_IDENTIFIABLE","?REFERENTIAL"),"_")))))</f>
        <v> </v>
      </c>
      <c r="H2330" s="24" t="str">
        <f>IF(J2330&lt;&gt;1,"",IF(I2330="SBJ","CB","?"))</f>
        <v> </v>
      </c>
      <c r="I2330" s="25" t="str">
        <f>IF(OR(E2330="",E2330="!!!",F2330="NEW"),"",INDEX(B2329:B$2,-1+SUMPRODUCT(MAX(ROW(E2329:E$2)*(E2330=E2329:E$2)))))</f>
        <v> </v>
      </c>
      <c r="J2330" s="25" t="str">
        <f>IF(OR(E2330="",E2330="!!!",F2330="NEW"),"",COUNTBLANK(OFFSET(A$1,,,SUMPRODUCT(MAX(ROW(E$2:E2330)*(E2330=E$2:E2330)))))-COUNTBLANK(OFFSET(A$1,,,SUMPRODUCT(MAX(ROW(E$1:E2329)*(E2=E$1:E2329))))))</f>
        <v> </v>
      </c>
      <c r="K2330" s="25" t="str">
        <f>IF(OR(E2330="",E2330="!!!",F2330="NEW"),"",INDEX(J$1:J2329,SUMPRODUCT(MAX(ROW(E$1:E2329)*(E2330=E$1:E2329)))))</f>
        <v> </v>
      </c>
      <c r="L2330" s="26"/>
    </row>
    <row r="2331" spans="1:12">
      <c r="A2331" s="20" t="s">
        <v>633</v>
      </c>
      <c r="E2331" s="21">
        <f>IF(D2331="?OLD","!!!","")</f>
        <v/>
      </c>
      <c r="F2331" s="22" t="str">
        <f>IF(OR(E2331="",E2331="!!!"),"",IF(NOT(ISNA(VLOOKUP(E2331,E$1:E2330,1,FALSE()))),"OLD",IF(AND(E2331&lt;&gt;"",E2331&lt;&gt;"!!!"),"NEW","")))</f>
        <v> </v>
      </c>
      <c r="G2331" s="23" t="str">
        <f>IF(OR(E2331="",E2331="!!!"),"",IF(OR(J2331=0,AND(J2331=1,K2331=1),AND(J2331=1,I2331="SBJ"),AND(J2331=1,I2331=0)),"?IN_FOCUS",IF(J2331&lt;=2,"?ACTIVATED",IF(J2331&lt;&gt;"","?FAMILIAR",IF(F2331="NEW",IF(ISNA(VLOOKUP(E2331,#REF!,1,FALSE())),"?TYPE_IDENTIFIABLE","?REFERENTIAL"),"_")))))</f>
        <v> </v>
      </c>
      <c r="H2331" s="24" t="str">
        <f>IF(J2331&lt;&gt;1,"",IF(I2331="SBJ","CB","?"))</f>
        <v> </v>
      </c>
      <c r="I2331" s="25" t="str">
        <f>IF(OR(E2331="",E2331="!!!",F2331="NEW"),"",INDEX(B2330:B$2,-1+SUMPRODUCT(MAX(ROW(E2330:E$2)*(E2331=E2330:E$2)))))</f>
        <v> </v>
      </c>
      <c r="J2331" s="25" t="str">
        <f>IF(OR(E2331="",E2331="!!!",F2331="NEW"),"",COUNTBLANK(OFFSET(A$1,,,SUMPRODUCT(MAX(ROW(E$2:E2331)*(E2331=E$2:E2331)))))-COUNTBLANK(OFFSET(A$1,,,SUMPRODUCT(MAX(ROW(E$1:E2330)*(E2=E$1:E2330))))))</f>
        <v> </v>
      </c>
      <c r="K2331" s="25" t="str">
        <f>IF(OR(E2331="",E2331="!!!",F2331="NEW"),"",INDEX(J$1:J2330,SUMPRODUCT(MAX(ROW(E$1:E2330)*(E2331=E$1:E2330)))))</f>
        <v> </v>
      </c>
      <c r="L2331" s="26"/>
    </row>
    <row r="2332" spans="1:12">
      <c r="A2332" s="20"/>
    </row>
    <row r="2333" spans="1:12">
      <c r="A2333" s="20" t="s">
        <v>1464</v>
      </c>
    </row>
    <row r="2334" spans="1:12">
      <c r="A2334" s="20" t="s">
        <v>661</v>
      </c>
      <c r="E2334" s="21">
        <f>IF(D2334="?OLD","!!!","")</f>
        <v/>
      </c>
      <c r="F2334" s="22" t="str">
        <f>IF(OR(E2334="",E2334="!!!"),"",IF(NOT(ISNA(VLOOKUP(E2334,E$1:E2333,1,FALSE()))),"OLD",IF(AND(E2334&lt;&gt;"",E2334&lt;&gt;"!!!"),"NEW","")))</f>
        <v> </v>
      </c>
      <c r="G2334" s="23" t="str">
        <f>IF(OR(E2334="",E2334="!!!"),"",IF(OR(J2334=0,AND(J2334=1,K2334=1),AND(J2334=1,I2334="SBJ"),AND(J2334=1,I2334=0)),"?IN_FOCUS",IF(J2334&lt;=2,"?ACTIVATED",IF(J2334&lt;&gt;"","?FAMILIAR",IF(F2334="NEW",IF(ISNA(VLOOKUP(E2334,#REF!,1,FALSE())),"?TYPE_IDENTIFIABLE","?REFERENTIAL"),"_")))))</f>
        <v> </v>
      </c>
      <c r="H2334" s="24" t="str">
        <f>IF(J2334&lt;&gt;1,"",IF(I2334="SBJ","CB","?"))</f>
        <v> </v>
      </c>
      <c r="I2334" s="25" t="str">
        <f>IF(OR(E2334="",E2334="!!!",F2334="NEW"),"",INDEX(B2333:B$2,-1+SUMPRODUCT(MAX(ROW(E2333:E$2)*(E2334=E2333:E$2)))))</f>
        <v> </v>
      </c>
      <c r="J2334" s="25" t="str">
        <f>IF(OR(E2334="",E2334="!!!",F2334="NEW"),"",COUNTBLANK(OFFSET(A$1,,,SUMPRODUCT(MAX(ROW(E$2:E2334)*(E2334=E$2:E2334)))))-COUNTBLANK(OFFSET(A$1,,,SUMPRODUCT(MAX(ROW(E$1:E2333)*(E2=E$1:E2333))))))</f>
        <v> </v>
      </c>
      <c r="K2334" s="25" t="str">
        <f>IF(OR(E2334="",E2334="!!!",F2334="NEW"),"",INDEX(J$1:J2333,SUMPRODUCT(MAX(ROW(E$1:E2333)*(E2334=E$1:E2333)))))</f>
        <v> </v>
      </c>
      <c r="L2334" s="26"/>
    </row>
    <row r="2335" spans="1:12">
      <c r="A2335" s="20" t="s">
        <v>754</v>
      </c>
      <c r="E2335" s="21">
        <f>IF(D2335="?OLD","!!!","")</f>
        <v/>
      </c>
      <c r="F2335" s="22" t="str">
        <f>IF(OR(E2335="",E2335="!!!"),"",IF(NOT(ISNA(VLOOKUP(E2335,E$1:E2334,1,FALSE()))),"OLD",IF(AND(E2335&lt;&gt;"",E2335&lt;&gt;"!!!"),"NEW","")))</f>
        <v> </v>
      </c>
      <c r="G2335" s="23" t="str">
        <f>IF(OR(E2335="",E2335="!!!"),"",IF(OR(J2335=0,AND(J2335=1,K2335=1),AND(J2335=1,I2335="SBJ"),AND(J2335=1,I2335=0)),"?IN_FOCUS",IF(J2335&lt;=2,"?ACTIVATED",IF(J2335&lt;&gt;"","?FAMILIAR",IF(F2335="NEW",IF(ISNA(VLOOKUP(E2335,#REF!,1,FALSE())),"?TYPE_IDENTIFIABLE","?REFERENTIAL"),"_")))))</f>
        <v> </v>
      </c>
      <c r="H2335" s="24" t="str">
        <f>IF(J2335&lt;&gt;1,"",IF(I2335="SBJ","CB","?"))</f>
        <v> </v>
      </c>
      <c r="I2335" s="25" t="str">
        <f>IF(OR(E2335="",E2335="!!!",F2335="NEW"),"",INDEX(B2334:B$2,-1+SUMPRODUCT(MAX(ROW(E2334:E$2)*(E2335=E2334:E$2)))))</f>
        <v> </v>
      </c>
      <c r="J2335" s="25" t="str">
        <f>IF(OR(E2335="",E2335="!!!",F2335="NEW"),"",COUNTBLANK(OFFSET(A$1,,,SUMPRODUCT(MAX(ROW(E$2:E2335)*(E2335=E$2:E2335)))))-COUNTBLANK(OFFSET(A$1,,,SUMPRODUCT(MAX(ROW(E$1:E2334)*(E2=E$1:E2334))))))</f>
        <v> </v>
      </c>
      <c r="K2335" s="25" t="str">
        <f>IF(OR(E2335="",E2335="!!!",F2335="NEW"),"",INDEX(J$1:J2334,SUMPRODUCT(MAX(ROW(E$1:E2334)*(E2335=E$1:E2334)))))</f>
        <v> </v>
      </c>
      <c r="L2335" s="26"/>
    </row>
    <row r="2336" spans="1:12">
      <c r="A2336" s="20" t="s">
        <v>445</v>
      </c>
      <c r="E2336" s="21">
        <f>IF(D2336="?OLD","!!!","")</f>
        <v/>
      </c>
      <c r="F2336" s="22" t="str">
        <f>IF(OR(E2336="",E2336="!!!"),"",IF(NOT(ISNA(VLOOKUP(E2336,E$1:E2335,1,FALSE()))),"OLD",IF(AND(E2336&lt;&gt;"",E2336&lt;&gt;"!!!"),"NEW","")))</f>
        <v> </v>
      </c>
      <c r="G2336" s="23" t="str">
        <f>IF(OR(E2336="",E2336="!!!"),"",IF(OR(J2336=0,AND(J2336=1,K2336=1),AND(J2336=1,I2336="SBJ"),AND(J2336=1,I2336=0)),"?IN_FOCUS",IF(J2336&lt;=2,"?ACTIVATED",IF(J2336&lt;&gt;"","?FAMILIAR",IF(F2336="NEW",IF(ISNA(VLOOKUP(E2336,#REF!,1,FALSE())),"?TYPE_IDENTIFIABLE","?REFERENTIAL"),"_")))))</f>
        <v> </v>
      </c>
      <c r="H2336" s="24" t="str">
        <f>IF(J2336&lt;&gt;1,"",IF(I2336="SBJ","CB","?"))</f>
        <v> </v>
      </c>
      <c r="I2336" s="25" t="str">
        <f>IF(OR(E2336="",E2336="!!!",F2336="NEW"),"",INDEX(B2335:B$2,-1+SUMPRODUCT(MAX(ROW(E2335:E$2)*(E2336=E2335:E$2)))))</f>
        <v> </v>
      </c>
      <c r="J2336" s="25" t="str">
        <f>IF(OR(E2336="",E2336="!!!",F2336="NEW"),"",COUNTBLANK(OFFSET(A$1,,,SUMPRODUCT(MAX(ROW(E$2:E2336)*(E2336=E$2:E2336)))))-COUNTBLANK(OFFSET(A$1,,,SUMPRODUCT(MAX(ROW(E$1:E2335)*(E2=E$1:E2335))))))</f>
        <v> </v>
      </c>
      <c r="K2336" s="25" t="str">
        <f>IF(OR(E2336="",E2336="!!!",F2336="NEW"),"",INDEX(J$1:J2335,SUMPRODUCT(MAX(ROW(E$1:E2335)*(E2336=E$1:E2335)))))</f>
        <v> </v>
      </c>
      <c r="L2336" s="26"/>
    </row>
    <row r="2337" spans="1:12">
      <c r="A2337" s="20" t="s">
        <v>651</v>
      </c>
      <c r="B2337" s="27" t="s">
        <v>636</v>
      </c>
      <c r="C2337" s="27" t="s">
        <v>652</v>
      </c>
      <c r="D2337" s="27" t="s">
        <v>608</v>
      </c>
      <c r="E2337" s="21">
        <f>IF(D2337="?OLD","!!!","")</f>
        <v/>
      </c>
      <c r="F2337" s="22" t="str">
        <f>IF(OR(E2337="",E2337="!!!"),"",IF(NOT(ISNA(VLOOKUP(E2337,E$1:E2336,1,FALSE()))),"OLD",IF(AND(E2337&lt;&gt;"",E2337&lt;&gt;"!!!"),"NEW","")))</f>
        <v> </v>
      </c>
      <c r="G2337" s="23" t="str">
        <f>IF(OR(E2337="",E2337="!!!"),"",IF(OR(J2337=0,AND(J2337=1,K2337=1),AND(J2337=1,I2337="SBJ"),AND(J2337=1,I2337=0)),"?IN_FOCUS",IF(J2337&lt;=2,"?ACTIVATED",IF(J2337&lt;&gt;"","?FAMILIAR",IF(F2337="NEW",IF(ISNA(VLOOKUP(E2337,#REF!,1,FALSE())),"?TYPE_IDENTIFIABLE","?REFERENTIAL"),"_")))))</f>
        <v> </v>
      </c>
      <c r="H2337" s="24" t="str">
        <f>IF(J2337&lt;&gt;1,"",IF(I2337="SBJ","CB","?"))</f>
        <v> </v>
      </c>
      <c r="I2337" s="25" t="str">
        <f>IF(OR(E2337="",E2337="!!!",F2337="NEW"),"",INDEX(B2336:B$2,-1+SUMPRODUCT(MAX(ROW(E2336:E$2)*(E2337=E2336:E$2)))))</f>
        <v> </v>
      </c>
      <c r="J2337" s="25" t="str">
        <f>IF(OR(E2337="",E2337="!!!",F2337="NEW"),"",COUNTBLANK(OFFSET(A$1,,,SUMPRODUCT(MAX(ROW(E$2:E2337)*(E2337=E$2:E2337)))))-COUNTBLANK(OFFSET(A$1,,,SUMPRODUCT(MAX(ROW(E$1:E2336)*(E2=E$1:E2336))))))</f>
        <v> </v>
      </c>
      <c r="K2337" s="25" t="str">
        <f>IF(OR(E2337="",E2337="!!!",F2337="NEW"),"",INDEX(J$1:J2336,SUMPRODUCT(MAX(ROW(E$1:E2336)*(E2337=E$1:E2336)))))</f>
        <v> </v>
      </c>
      <c r="L2337" s="26"/>
    </row>
    <row r="2338" spans="1:12">
      <c r="A2338" s="20" t="s">
        <v>618</v>
      </c>
      <c r="E2338" s="21">
        <f>IF(D2338="?OLD","!!!","")</f>
        <v/>
      </c>
      <c r="F2338" s="22" t="str">
        <f>IF(OR(E2338="",E2338="!!!"),"",IF(NOT(ISNA(VLOOKUP(E2338,E$1:E2337,1,FALSE()))),"OLD",IF(AND(E2338&lt;&gt;"",E2338&lt;&gt;"!!!"),"NEW","")))</f>
        <v> </v>
      </c>
      <c r="G2338" s="23" t="str">
        <f>IF(OR(E2338="",E2338="!!!"),"",IF(OR(J2338=0,AND(J2338=1,K2338=1),AND(J2338=1,I2338="SBJ"),AND(J2338=1,I2338=0)),"?IN_FOCUS",IF(J2338&lt;=2,"?ACTIVATED",IF(J2338&lt;&gt;"","?FAMILIAR",IF(F2338="NEW",IF(ISNA(VLOOKUP(E2338,#REF!,1,FALSE())),"?TYPE_IDENTIFIABLE","?REFERENTIAL"),"_")))))</f>
        <v> </v>
      </c>
      <c r="H2338" s="24" t="str">
        <f>IF(J2338&lt;&gt;1,"",IF(I2338="SBJ","CB","?"))</f>
        <v> </v>
      </c>
      <c r="I2338" s="25" t="str">
        <f>IF(OR(E2338="",E2338="!!!",F2338="NEW"),"",INDEX(B2337:B$2,-1+SUMPRODUCT(MAX(ROW(E2337:E$2)*(E2338=E2337:E$2)))))</f>
        <v> </v>
      </c>
      <c r="J2338" s="25" t="str">
        <f>IF(OR(E2338="",E2338="!!!",F2338="NEW"),"",COUNTBLANK(OFFSET(A$1,,,SUMPRODUCT(MAX(ROW(E$2:E2338)*(E2338=E$2:E2338)))))-COUNTBLANK(OFFSET(A$1,,,SUMPRODUCT(MAX(ROW(E$1:E2337)*(E2=E$1:E2337))))))</f>
        <v> </v>
      </c>
      <c r="K2338" s="25" t="str">
        <f>IF(OR(E2338="",E2338="!!!",F2338="NEW"),"",INDEX(J$1:J2337,SUMPRODUCT(MAX(ROW(E$1:E2337)*(E2338=E$1:E2337)))))</f>
        <v> </v>
      </c>
      <c r="L2338" s="26"/>
    </row>
    <row r="2339" spans="1:12">
      <c r="A2339" s="20" t="s">
        <v>621</v>
      </c>
      <c r="B2339" s="27" t="s">
        <v>636</v>
      </c>
      <c r="C2339" s="27" t="s">
        <v>607</v>
      </c>
      <c r="D2339" s="27" t="s">
        <v>608</v>
      </c>
      <c r="E2339" s="21">
        <f>IF(D2339="?OLD","!!!","")</f>
        <v/>
      </c>
      <c r="F2339" s="22" t="str">
        <f>IF(OR(E2339="",E2339="!!!"),"",IF(NOT(ISNA(VLOOKUP(E2339,E$1:E2338,1,FALSE()))),"OLD",IF(AND(E2339&lt;&gt;"",E2339&lt;&gt;"!!!"),"NEW","")))</f>
        <v> </v>
      </c>
      <c r="G2339" s="23" t="str">
        <f>IF(OR(E2339="",E2339="!!!"),"",IF(OR(J2339=0,AND(J2339=1,K2339=1),AND(J2339=1,I2339="SBJ"),AND(J2339=1,I2339=0)),"?IN_FOCUS",IF(J2339&lt;=2,"?ACTIVATED",IF(J2339&lt;&gt;"","?FAMILIAR",IF(F2339="NEW",IF(ISNA(VLOOKUP(E2339,#REF!,1,FALSE())),"?TYPE_IDENTIFIABLE","?REFERENTIAL"),"_")))))</f>
        <v> </v>
      </c>
      <c r="H2339" s="24" t="str">
        <f>IF(J2339&lt;&gt;1,"",IF(I2339="SBJ","CB","?"))</f>
        <v> </v>
      </c>
      <c r="I2339" s="25" t="str">
        <f>IF(OR(E2339="",E2339="!!!",F2339="NEW"),"",INDEX(B2338:B$2,-1+SUMPRODUCT(MAX(ROW(E2338:E$2)*(E2339=E2338:E$2)))))</f>
        <v> </v>
      </c>
      <c r="J2339" s="25" t="str">
        <f>IF(OR(E2339="",E2339="!!!",F2339="NEW"),"",COUNTBLANK(OFFSET(A$1,,,SUMPRODUCT(MAX(ROW(E$2:E2339)*(E2339=E$2:E2339)))))-COUNTBLANK(OFFSET(A$1,,,SUMPRODUCT(MAX(ROW(E$1:E2338)*(E2=E$1:E2338))))))</f>
        <v> </v>
      </c>
      <c r="K2339" s="25" t="str">
        <f>IF(OR(E2339="",E2339="!!!",F2339="NEW"),"",INDEX(J$1:J2338,SUMPRODUCT(MAX(ROW(E$1:E2338)*(E2339=E$1:E2338)))))</f>
        <v> </v>
      </c>
      <c r="L2339" s="26"/>
    </row>
    <row r="2340" spans="1:12">
      <c r="A2340" s="20" t="s">
        <v>1204</v>
      </c>
      <c r="E2340" s="21">
        <f>IF(D2340="?OLD","!!!","")</f>
        <v/>
      </c>
      <c r="F2340" s="22" t="str">
        <f>IF(OR(E2340="",E2340="!!!"),"",IF(NOT(ISNA(VLOOKUP(E2340,E$1:E2339,1,FALSE()))),"OLD",IF(AND(E2340&lt;&gt;"",E2340&lt;&gt;"!!!"),"NEW","")))</f>
        <v> </v>
      </c>
      <c r="G2340" s="23" t="str">
        <f>IF(OR(E2340="",E2340="!!!"),"",IF(OR(J2340=0,AND(J2340=1,K2340=1),AND(J2340=1,I2340="SBJ"),AND(J2340=1,I2340=0)),"?IN_FOCUS",IF(J2340&lt;=2,"?ACTIVATED",IF(J2340&lt;&gt;"","?FAMILIAR",IF(F2340="NEW",IF(ISNA(VLOOKUP(E2340,#REF!,1,FALSE())),"?TYPE_IDENTIFIABLE","?REFERENTIAL"),"_")))))</f>
        <v> </v>
      </c>
      <c r="H2340" s="24" t="str">
        <f>IF(J2340&lt;&gt;1,"",IF(I2340="SBJ","CB","?"))</f>
        <v> </v>
      </c>
      <c r="I2340" s="25" t="str">
        <f>IF(OR(E2340="",E2340="!!!",F2340="NEW"),"",INDEX(B2339:B$2,-1+SUMPRODUCT(MAX(ROW(E2339:E$2)*(E2340=E2339:E$2)))))</f>
        <v> </v>
      </c>
      <c r="J2340" s="25" t="str">
        <f>IF(OR(E2340="",E2340="!!!",F2340="NEW"),"",COUNTBLANK(OFFSET(A$1,,,SUMPRODUCT(MAX(ROW(E$2:E2340)*(E2340=E$2:E2340)))))-COUNTBLANK(OFFSET(A$1,,,SUMPRODUCT(MAX(ROW(E$1:E2339)*(E2=E$1:E2339))))))</f>
        <v> </v>
      </c>
      <c r="K2340" s="25" t="str">
        <f>IF(OR(E2340="",E2340="!!!",F2340="NEW"),"",INDEX(J$1:J2339,SUMPRODUCT(MAX(ROW(E$1:E2339)*(E2340=E$1:E2339)))))</f>
        <v> </v>
      </c>
      <c r="L2340" s="26"/>
    </row>
    <row r="2341" spans="1:12">
      <c r="A2341" s="20" t="s">
        <v>617</v>
      </c>
      <c r="E2341" s="21">
        <f>IF(D2341="?OLD","!!!","")</f>
        <v/>
      </c>
      <c r="F2341" s="22" t="str">
        <f>IF(OR(E2341="",E2341="!!!"),"",IF(NOT(ISNA(VLOOKUP(E2341,E$1:E2340,1,FALSE()))),"OLD",IF(AND(E2341&lt;&gt;"",E2341&lt;&gt;"!!!"),"NEW","")))</f>
        <v> </v>
      </c>
      <c r="G2341" s="23" t="str">
        <f>IF(OR(E2341="",E2341="!!!"),"",IF(OR(J2341=0,AND(J2341=1,K2341=1),AND(J2341=1,I2341="SBJ"),AND(J2341=1,I2341=0)),"?IN_FOCUS",IF(J2341&lt;=2,"?ACTIVATED",IF(J2341&lt;&gt;"","?FAMILIAR",IF(F2341="NEW",IF(ISNA(VLOOKUP(E2341,#REF!,1,FALSE())),"?TYPE_IDENTIFIABLE","?REFERENTIAL"),"_")))))</f>
        <v> </v>
      </c>
      <c r="H2341" s="24" t="str">
        <f>IF(J2341&lt;&gt;1,"",IF(I2341="SBJ","CB","?"))</f>
        <v> </v>
      </c>
      <c r="I2341" s="25" t="str">
        <f>IF(OR(E2341="",E2341="!!!",F2341="NEW"),"",INDEX(B2340:B$2,-1+SUMPRODUCT(MAX(ROW(E2340:E$2)*(E2341=E2340:E$2)))))</f>
        <v> </v>
      </c>
      <c r="J2341" s="25" t="str">
        <f>IF(OR(E2341="",E2341="!!!",F2341="NEW"),"",COUNTBLANK(OFFSET(A$1,,,SUMPRODUCT(MAX(ROW(E$2:E2341)*(E2341=E$2:E2341)))))-COUNTBLANK(OFFSET(A$1,,,SUMPRODUCT(MAX(ROW(E$1:E2340)*(E2=E$1:E2340))))))</f>
        <v> </v>
      </c>
      <c r="K2341" s="25" t="str">
        <f>IF(OR(E2341="",E2341="!!!",F2341="NEW"),"",INDEX(J$1:J2340,SUMPRODUCT(MAX(ROW(E$1:E2340)*(E2341=E$1:E2340)))))</f>
        <v> </v>
      </c>
      <c r="L2341" s="26"/>
    </row>
    <row r="2342" spans="1:12">
      <c r="A2342" s="20" t="s">
        <v>624</v>
      </c>
      <c r="B2342" s="27" t="s">
        <v>625</v>
      </c>
      <c r="C2342" s="27" t="s">
        <v>626</v>
      </c>
      <c r="E2342" s="21">
        <f>IF(D2342="?OLD","!!!","")</f>
        <v/>
      </c>
      <c r="F2342" s="22" t="str">
        <f>IF(OR(E2342="",E2342="!!!"),"",IF(NOT(ISNA(VLOOKUP(E2342,E$1:E2341,1,FALSE()))),"OLD",IF(AND(E2342&lt;&gt;"",E2342&lt;&gt;"!!!"),"NEW","")))</f>
        <v> </v>
      </c>
      <c r="G2342" s="23" t="str">
        <f>IF(OR(E2342="",E2342="!!!"),"",IF(OR(J2342=0,AND(J2342=1,K2342=1),AND(J2342=1,I2342="SBJ"),AND(J2342=1,I2342=0)),"?IN_FOCUS",IF(J2342&lt;=2,"?ACTIVATED",IF(J2342&lt;&gt;"","?FAMILIAR",IF(F2342="NEW",IF(ISNA(VLOOKUP(E2342,#REF!,1,FALSE())),"?TYPE_IDENTIFIABLE","?REFERENTIAL"),"_")))))</f>
        <v> </v>
      </c>
      <c r="H2342" s="24" t="str">
        <f>IF(J2342&lt;&gt;1,"",IF(I2342="SBJ","CB","?"))</f>
        <v> </v>
      </c>
      <c r="I2342" s="25" t="str">
        <f>IF(OR(E2342="",E2342="!!!",F2342="NEW"),"",INDEX(B2341:B$2,-1+SUMPRODUCT(MAX(ROW(E2341:E$2)*(E2342=E2341:E$2)))))</f>
        <v> </v>
      </c>
      <c r="J2342" s="25" t="str">
        <f>IF(OR(E2342="",E2342="!!!",F2342="NEW"),"",COUNTBLANK(OFFSET(A$1,,,SUMPRODUCT(MAX(ROW(E$2:E2342)*(E2342=E$2:E2342)))))-COUNTBLANK(OFFSET(A$1,,,SUMPRODUCT(MAX(ROW(E$1:E2341)*(E2=E$1:E2341))))))</f>
        <v> </v>
      </c>
      <c r="K2342" s="25" t="str">
        <f>IF(OR(E2342="",E2342="!!!",F2342="NEW"),"",INDEX(J$1:J2341,SUMPRODUCT(MAX(ROW(E$1:E2341)*(E2342=E$1:E2341)))))</f>
        <v> </v>
      </c>
      <c r="L2342" s="26"/>
    </row>
    <row r="2343" spans="1:12">
      <c r="A2343" s="20" t="s">
        <v>795</v>
      </c>
      <c r="B2343" s="27" t="s">
        <v>657</v>
      </c>
      <c r="C2343" s="27" t="s">
        <v>622</v>
      </c>
      <c r="E2343" s="21">
        <f>IF(D2343="?OLD","!!!","")</f>
        <v/>
      </c>
      <c r="F2343" s="22" t="str">
        <f>IF(OR(E2343="",E2343="!!!"),"",IF(NOT(ISNA(VLOOKUP(E2343,E$1:E2342,1,FALSE()))),"OLD",IF(AND(E2343&lt;&gt;"",E2343&lt;&gt;"!!!"),"NEW","")))</f>
        <v> </v>
      </c>
      <c r="G2343" s="23" t="str">
        <f>IF(OR(E2343="",E2343="!!!"),"",IF(OR(J2343=0,AND(J2343=1,K2343=1),AND(J2343=1,I2343="SBJ"),AND(J2343=1,I2343=0)),"?IN_FOCUS",IF(J2343&lt;=2,"?ACTIVATED",IF(J2343&lt;&gt;"","?FAMILIAR",IF(F2343="NEW",IF(ISNA(VLOOKUP(E2343,#REF!,1,FALSE())),"?TYPE_IDENTIFIABLE","?REFERENTIAL"),"_")))))</f>
        <v> </v>
      </c>
      <c r="H2343" s="24" t="str">
        <f>IF(J2343&lt;&gt;1,"",IF(I2343="SBJ","CB","?"))</f>
        <v> </v>
      </c>
      <c r="I2343" s="25" t="str">
        <f>IF(OR(E2343="",E2343="!!!",F2343="NEW"),"",INDEX(B2342:B$2,-1+SUMPRODUCT(MAX(ROW(E2342:E$2)*(E2343=E2342:E$2)))))</f>
        <v> </v>
      </c>
      <c r="J2343" s="25" t="str">
        <f>IF(OR(E2343="",E2343="!!!",F2343="NEW"),"",COUNTBLANK(OFFSET(A$1,,,SUMPRODUCT(MAX(ROW(E$2:E2343)*(E2343=E$2:E2343)))))-COUNTBLANK(OFFSET(A$1,,,SUMPRODUCT(MAX(ROW(E$1:E2342)*(E2=E$1:E2342))))))</f>
        <v> </v>
      </c>
      <c r="K2343" s="25" t="str">
        <f>IF(OR(E2343="",E2343="!!!",F2343="NEW"),"",INDEX(J$1:J2342,SUMPRODUCT(MAX(ROW(E$1:E2342)*(E2343=E$1:E2342)))))</f>
        <v> </v>
      </c>
      <c r="L2343" s="26"/>
    </row>
    <row r="2344" spans="1:12">
      <c r="A2344" s="20" t="s">
        <v>796</v>
      </c>
      <c r="E2344" s="21">
        <f>IF(D2344="?OLD","!!!","")</f>
        <v/>
      </c>
      <c r="F2344" s="22" t="str">
        <f>IF(OR(E2344="",E2344="!!!"),"",IF(NOT(ISNA(VLOOKUP(E2344,E$1:E2343,1,FALSE()))),"OLD",IF(AND(E2344&lt;&gt;"",E2344&lt;&gt;"!!!"),"NEW","")))</f>
        <v> </v>
      </c>
      <c r="G2344" s="23" t="str">
        <f>IF(OR(E2344="",E2344="!!!"),"",IF(OR(J2344=0,AND(J2344=1,K2344=1),AND(J2344=1,I2344="SBJ"),AND(J2344=1,I2344=0)),"?IN_FOCUS",IF(J2344&lt;=2,"?ACTIVATED",IF(J2344&lt;&gt;"","?FAMILIAR",IF(F2344="NEW",IF(ISNA(VLOOKUP(E2344,#REF!,1,FALSE())),"?TYPE_IDENTIFIABLE","?REFERENTIAL"),"_")))))</f>
        <v> </v>
      </c>
      <c r="H2344" s="24" t="str">
        <f>IF(J2344&lt;&gt;1,"",IF(I2344="SBJ","CB","?"))</f>
        <v> </v>
      </c>
      <c r="I2344" s="25" t="str">
        <f>IF(OR(E2344="",E2344="!!!",F2344="NEW"),"",INDEX(B2343:B$2,-1+SUMPRODUCT(MAX(ROW(E2343:E$2)*(E2344=E2343:E$2)))))</f>
        <v> </v>
      </c>
      <c r="J2344" s="25" t="str">
        <f>IF(OR(E2344="",E2344="!!!",F2344="NEW"),"",COUNTBLANK(OFFSET(A$1,,,SUMPRODUCT(MAX(ROW(E$2:E2344)*(E2344=E$2:E2344)))))-COUNTBLANK(OFFSET(A$1,,,SUMPRODUCT(MAX(ROW(E$1:E2343)*(E2=E$1:E2343))))))</f>
        <v> </v>
      </c>
      <c r="K2344" s="25" t="str">
        <f>IF(OR(E2344="",E2344="!!!",F2344="NEW"),"",INDEX(J$1:J2343,SUMPRODUCT(MAX(ROW(E$1:E2343)*(E2344=E$1:E2343)))))</f>
        <v> </v>
      </c>
      <c r="L2344" s="26"/>
    </row>
    <row r="2345" spans="1:12">
      <c r="A2345" s="20" t="s">
        <v>1465</v>
      </c>
      <c r="B2345" s="27" t="s">
        <v>625</v>
      </c>
      <c r="C2345" s="27" t="s">
        <v>614</v>
      </c>
      <c r="D2345" s="27" t="s">
        <v>608</v>
      </c>
      <c r="E2345" s="21">
        <f>IF(D2345="?OLD","!!!","")</f>
        <v/>
      </c>
      <c r="F2345" s="22" t="str">
        <f>IF(OR(E2345="",E2345="!!!"),"",IF(NOT(ISNA(VLOOKUP(E2345,E$1:E2344,1,FALSE()))),"OLD",IF(AND(E2345&lt;&gt;"",E2345&lt;&gt;"!!!"),"NEW","")))</f>
        <v> </v>
      </c>
      <c r="G2345" s="23" t="str">
        <f>IF(OR(E2345="",E2345="!!!"),"",IF(OR(J2345=0,AND(J2345=1,K2345=1),AND(J2345=1,I2345="SBJ"),AND(J2345=1,I2345=0)),"?IN_FOCUS",IF(J2345&lt;=2,"?ACTIVATED",IF(J2345&lt;&gt;"","?FAMILIAR",IF(F2345="NEW",IF(ISNA(VLOOKUP(E2345,#REF!,1,FALSE())),"?TYPE_IDENTIFIABLE","?REFERENTIAL"),"_")))))</f>
        <v> </v>
      </c>
      <c r="H2345" s="24" t="str">
        <f>IF(J2345&lt;&gt;1,"",IF(I2345="SBJ","CB","?"))</f>
        <v> </v>
      </c>
      <c r="I2345" s="25" t="str">
        <f>IF(OR(E2345="",E2345="!!!",F2345="NEW"),"",INDEX(B2344:B$2,-1+SUMPRODUCT(MAX(ROW(E2344:E$2)*(E2345=E2344:E$2)))))</f>
        <v> </v>
      </c>
      <c r="J2345" s="25" t="str">
        <f>IF(OR(E2345="",E2345="!!!",F2345="NEW"),"",COUNTBLANK(OFFSET(A$1,,,SUMPRODUCT(MAX(ROW(E$2:E2345)*(E2345=E$2:E2345)))))-COUNTBLANK(OFFSET(A$1,,,SUMPRODUCT(MAX(ROW(E$1:E2344)*(E2=E$1:E2344))))))</f>
        <v> </v>
      </c>
      <c r="K2345" s="25" t="str">
        <f>IF(OR(E2345="",E2345="!!!",F2345="NEW"),"",INDEX(J$1:J2344,SUMPRODUCT(MAX(ROW(E$1:E2344)*(E2345=E$1:E2344)))))</f>
        <v> </v>
      </c>
      <c r="L2345" s="26"/>
    </row>
    <row r="2346" spans="1:12">
      <c r="A2346" s="20" t="s">
        <v>1466</v>
      </c>
      <c r="B2346" s="27" t="s">
        <v>611</v>
      </c>
      <c r="C2346" s="27" t="s">
        <v>616</v>
      </c>
      <c r="D2346" s="27" t="s">
        <v>608</v>
      </c>
      <c r="E2346" s="21">
        <f>IF(D2346="?OLD","!!!","")</f>
        <v/>
      </c>
      <c r="F2346" s="22" t="str">
        <f>IF(OR(E2346="",E2346="!!!"),"",IF(NOT(ISNA(VLOOKUP(E2346,E$1:E2345,1,FALSE()))),"OLD",IF(AND(E2346&lt;&gt;"",E2346&lt;&gt;"!!!"),"NEW","")))</f>
        <v> </v>
      </c>
      <c r="G2346" s="23" t="str">
        <f>IF(OR(E2346="",E2346="!!!"),"",IF(OR(J2346=0,AND(J2346=1,K2346=1),AND(J2346=1,I2346="SBJ"),AND(J2346=1,I2346=0)),"?IN_FOCUS",IF(J2346&lt;=2,"?ACTIVATED",IF(J2346&lt;&gt;"","?FAMILIAR",IF(F2346="NEW",IF(ISNA(VLOOKUP(E2346,#REF!,1,FALSE())),"?TYPE_IDENTIFIABLE","?REFERENTIAL"),"_")))))</f>
        <v> </v>
      </c>
      <c r="H2346" s="24" t="str">
        <f>IF(J2346&lt;&gt;1,"",IF(I2346="SBJ","CB","?"))</f>
        <v> </v>
      </c>
      <c r="I2346" s="25" t="str">
        <f>IF(OR(E2346="",E2346="!!!",F2346="NEW"),"",INDEX(B2345:B$2,-1+SUMPRODUCT(MAX(ROW(E2345:E$2)*(E2346=E2345:E$2)))))</f>
        <v> </v>
      </c>
      <c r="J2346" s="25" t="str">
        <f>IF(OR(E2346="",E2346="!!!",F2346="NEW"),"",COUNTBLANK(OFFSET(A$1,,,SUMPRODUCT(MAX(ROW(E$2:E2346)*(E2346=E$2:E2346)))))-COUNTBLANK(OFFSET(A$1,,,SUMPRODUCT(MAX(ROW(E$1:E2345)*(E2=E$1:E2345))))))</f>
        <v> </v>
      </c>
      <c r="K2346" s="25" t="str">
        <f>IF(OR(E2346="",E2346="!!!",F2346="NEW"),"",INDEX(J$1:J2345,SUMPRODUCT(MAX(ROW(E$1:E2345)*(E2346=E$1:E2345)))))</f>
        <v> </v>
      </c>
      <c r="L2346" s="26"/>
    </row>
    <row r="2347" spans="1:12">
      <c r="A2347" s="20" t="s">
        <v>663</v>
      </c>
      <c r="E2347" s="21">
        <f>IF(D2347="?OLD","!!!","")</f>
        <v/>
      </c>
      <c r="F2347" s="22" t="str">
        <f>IF(OR(E2347="",E2347="!!!"),"",IF(NOT(ISNA(VLOOKUP(E2347,E$1:E2346,1,FALSE()))),"OLD",IF(AND(E2347&lt;&gt;"",E2347&lt;&gt;"!!!"),"NEW","")))</f>
        <v> </v>
      </c>
      <c r="G2347" s="23" t="str">
        <f>IF(OR(E2347="",E2347="!!!"),"",IF(OR(J2347=0,AND(J2347=1,K2347=1),AND(J2347=1,I2347="SBJ"),AND(J2347=1,I2347=0)),"?IN_FOCUS",IF(J2347&lt;=2,"?ACTIVATED",IF(J2347&lt;&gt;"","?FAMILIAR",IF(F2347="NEW",IF(ISNA(VLOOKUP(E2347,#REF!,1,FALSE())),"?TYPE_IDENTIFIABLE","?REFERENTIAL"),"_")))))</f>
        <v> </v>
      </c>
      <c r="H2347" s="24" t="str">
        <f>IF(J2347&lt;&gt;1,"",IF(I2347="SBJ","CB","?"))</f>
        <v> </v>
      </c>
      <c r="I2347" s="25" t="str">
        <f>IF(OR(E2347="",E2347="!!!",F2347="NEW"),"",INDEX(B2346:B$2,-1+SUMPRODUCT(MAX(ROW(E2346:E$2)*(E2347=E2346:E$2)))))</f>
        <v> </v>
      </c>
      <c r="J2347" s="25" t="str">
        <f>IF(OR(E2347="",E2347="!!!",F2347="NEW"),"",COUNTBLANK(OFFSET(A$1,,,SUMPRODUCT(MAX(ROW(E$2:E2347)*(E2347=E$2:E2347)))))-COUNTBLANK(OFFSET(A$1,,,SUMPRODUCT(MAX(ROW(E$1:E2346)*(E2=E$1:E2346))))))</f>
        <v> </v>
      </c>
      <c r="K2347" s="25" t="str">
        <f>IF(OR(E2347="",E2347="!!!",F2347="NEW"),"",INDEX(J$1:J2346,SUMPRODUCT(MAX(ROW(E$1:E2346)*(E2347=E$1:E2346)))))</f>
        <v> </v>
      </c>
      <c r="L2347" s="26"/>
    </row>
    <row r="2348" spans="1:12">
      <c r="A2348" s="20" t="s">
        <v>61</v>
      </c>
      <c r="E2348" s="21">
        <f>IF(D2348="?OLD","!!!","")</f>
        <v/>
      </c>
      <c r="F2348" s="22" t="str">
        <f>IF(OR(E2348="",E2348="!!!"),"",IF(NOT(ISNA(VLOOKUP(E2348,E$1:E2347,1,FALSE()))),"OLD",IF(AND(E2348&lt;&gt;"",E2348&lt;&gt;"!!!"),"NEW","")))</f>
        <v> </v>
      </c>
      <c r="G2348" s="23" t="str">
        <f>IF(OR(E2348="",E2348="!!!"),"",IF(OR(J2348=0,AND(J2348=1,K2348=1),AND(J2348=1,I2348="SBJ"),AND(J2348=1,I2348=0)),"?IN_FOCUS",IF(J2348&lt;=2,"?ACTIVATED",IF(J2348&lt;&gt;"","?FAMILIAR",IF(F2348="NEW",IF(ISNA(VLOOKUP(E2348,#REF!,1,FALSE())),"?TYPE_IDENTIFIABLE","?REFERENTIAL"),"_")))))</f>
        <v> </v>
      </c>
      <c r="H2348" s="24" t="str">
        <f>IF(J2348&lt;&gt;1,"",IF(I2348="SBJ","CB","?"))</f>
        <v> </v>
      </c>
      <c r="I2348" s="25" t="str">
        <f>IF(OR(E2348="",E2348="!!!",F2348="NEW"),"",INDEX(B2347:B$2,-1+SUMPRODUCT(MAX(ROW(E2347:E$2)*(E2348=E2347:E$2)))))</f>
        <v> </v>
      </c>
      <c r="J2348" s="25" t="str">
        <f>IF(OR(E2348="",E2348="!!!",F2348="NEW"),"",COUNTBLANK(OFFSET(A$1,,,SUMPRODUCT(MAX(ROW(E$2:E2348)*(E2348=E$2:E2348)))))-COUNTBLANK(OFFSET(A$1,,,SUMPRODUCT(MAX(ROW(E$1:E2347)*(E2=E$1:E2347))))))</f>
        <v> </v>
      </c>
      <c r="K2348" s="25" t="str">
        <f>IF(OR(E2348="",E2348="!!!",F2348="NEW"),"",INDEX(J$1:J2347,SUMPRODUCT(MAX(ROW(E$1:E2347)*(E2348=E$1:E2347)))))</f>
        <v> </v>
      </c>
      <c r="L2348" s="26"/>
    </row>
    <row r="2349" spans="1:12">
      <c r="A2349" s="20" t="s">
        <v>633</v>
      </c>
      <c r="E2349" s="21">
        <f>IF(D2349="?OLD","!!!","")</f>
        <v/>
      </c>
      <c r="F2349" s="22" t="str">
        <f>IF(OR(E2349="",E2349="!!!"),"",IF(NOT(ISNA(VLOOKUP(E2349,E$1:E2348,1,FALSE()))),"OLD",IF(AND(E2349&lt;&gt;"",E2349&lt;&gt;"!!!"),"NEW","")))</f>
        <v> </v>
      </c>
      <c r="G2349" s="23" t="str">
        <f>IF(OR(E2349="",E2349="!!!"),"",IF(OR(J2349=0,AND(J2349=1,K2349=1),AND(J2349=1,I2349="SBJ"),AND(J2349=1,I2349=0)),"?IN_FOCUS",IF(J2349&lt;=2,"?ACTIVATED",IF(J2349&lt;&gt;"","?FAMILIAR",IF(F2349="NEW",IF(ISNA(VLOOKUP(E2349,#REF!,1,FALSE())),"?TYPE_IDENTIFIABLE","?REFERENTIAL"),"_")))))</f>
        <v> </v>
      </c>
      <c r="H2349" s="24" t="str">
        <f>IF(J2349&lt;&gt;1,"",IF(I2349="SBJ","CB","?"))</f>
        <v> </v>
      </c>
      <c r="I2349" s="25" t="str">
        <f>IF(OR(E2349="",E2349="!!!",F2349="NEW"),"",INDEX(B2348:B$2,-1+SUMPRODUCT(MAX(ROW(E2348:E$2)*(E2349=E2348:E$2)))))</f>
        <v> </v>
      </c>
      <c r="J2349" s="25" t="str">
        <f>IF(OR(E2349="",E2349="!!!",F2349="NEW"),"",COUNTBLANK(OFFSET(A$1,,,SUMPRODUCT(MAX(ROW(E$2:E2349)*(E2349=E$2:E2349)))))-COUNTBLANK(OFFSET(A$1,,,SUMPRODUCT(MAX(ROW(E$1:E2348)*(E2=E$1:E2348))))))</f>
        <v> </v>
      </c>
      <c r="K2349" s="25" t="str">
        <f>IF(OR(E2349="",E2349="!!!",F2349="NEW"),"",INDEX(J$1:J2348,SUMPRODUCT(MAX(ROW(E$1:E2348)*(E2349=E$1:E2348)))))</f>
        <v> </v>
      </c>
      <c r="L2349" s="26"/>
    </row>
    <row r="2350" spans="1:12">
      <c r="A2350" s="20"/>
    </row>
    <row r="2351" spans="1:12">
      <c r="A2351" s="20" t="s">
        <v>1467</v>
      </c>
    </row>
    <row r="2352" spans="1:12">
      <c r="A2352" s="20" t="s">
        <v>992</v>
      </c>
      <c r="E2352" s="21">
        <f>IF(D2352="?OLD","!!!","")</f>
        <v/>
      </c>
      <c r="F2352" s="22" t="str">
        <f>IF(OR(E2352="",E2352="!!!"),"",IF(NOT(ISNA(VLOOKUP(E2352,E$1:E2351,1,FALSE()))),"OLD",IF(AND(E2352&lt;&gt;"",E2352&lt;&gt;"!!!"),"NEW","")))</f>
        <v> </v>
      </c>
      <c r="G2352" s="23" t="str">
        <f>IF(OR(E2352="",E2352="!!!"),"",IF(OR(J2352=0,AND(J2352=1,K2352=1),AND(J2352=1,I2352="SBJ"),AND(J2352=1,I2352=0)),"?IN_FOCUS",IF(J2352&lt;=2,"?ACTIVATED",IF(J2352&lt;&gt;"","?FAMILIAR",IF(F2352="NEW",IF(ISNA(VLOOKUP(E2352,#REF!,1,FALSE())),"?TYPE_IDENTIFIABLE","?REFERENTIAL"),"_")))))</f>
        <v> </v>
      </c>
      <c r="H2352" s="24" t="str">
        <f>IF(J2352&lt;&gt;1,"",IF(I2352="SBJ","CB","?"))</f>
        <v> </v>
      </c>
      <c r="I2352" s="25" t="str">
        <f>IF(OR(E2352="",E2352="!!!",F2352="NEW"),"",INDEX(B2351:B$2,-1+SUMPRODUCT(MAX(ROW(E2351:E$2)*(E2352=E2351:E$2)))))</f>
        <v> </v>
      </c>
      <c r="J2352" s="25" t="str">
        <f>IF(OR(E2352="",E2352="!!!",F2352="NEW"),"",COUNTBLANK(OFFSET(A$1,,,SUMPRODUCT(MAX(ROW(E$2:E2352)*(E2352=E$2:E2352)))))-COUNTBLANK(OFFSET(A$1,,,SUMPRODUCT(MAX(ROW(E$1:E2351)*(E2=E$1:E2351))))))</f>
        <v> </v>
      </c>
      <c r="K2352" s="25" t="str">
        <f>IF(OR(E2352="",E2352="!!!",F2352="NEW"),"",INDEX(J$1:J2351,SUMPRODUCT(MAX(ROW(E$1:E2351)*(E2352=E$1:E2351)))))</f>
        <v> </v>
      </c>
      <c r="L2352" s="26"/>
    </row>
    <row r="2353" spans="1:12">
      <c r="A2353" s="20" t="s">
        <v>766</v>
      </c>
      <c r="E2353" s="21">
        <f>IF(D2353="?OLD","!!!","")</f>
        <v/>
      </c>
      <c r="F2353" s="22" t="str">
        <f>IF(OR(E2353="",E2353="!!!"),"",IF(NOT(ISNA(VLOOKUP(E2353,E$1:E2352,1,FALSE()))),"OLD",IF(AND(E2353&lt;&gt;"",E2353&lt;&gt;"!!!"),"NEW","")))</f>
        <v> </v>
      </c>
      <c r="G2353" s="23" t="str">
        <f>IF(OR(E2353="",E2353="!!!"),"",IF(OR(J2353=0,AND(J2353=1,K2353=1),AND(J2353=1,I2353="SBJ"),AND(J2353=1,I2353=0)),"?IN_FOCUS",IF(J2353&lt;=2,"?ACTIVATED",IF(J2353&lt;&gt;"","?FAMILIAR",IF(F2353="NEW",IF(ISNA(VLOOKUP(E2353,#REF!,1,FALSE())),"?TYPE_IDENTIFIABLE","?REFERENTIAL"),"_")))))</f>
        <v> </v>
      </c>
      <c r="H2353" s="24" t="str">
        <f>IF(J2353&lt;&gt;1,"",IF(I2353="SBJ","CB","?"))</f>
        <v> </v>
      </c>
      <c r="I2353" s="25" t="str">
        <f>IF(OR(E2353="",E2353="!!!",F2353="NEW"),"",INDEX(B2352:B$2,-1+SUMPRODUCT(MAX(ROW(E2352:E$2)*(E2353=E2352:E$2)))))</f>
        <v> </v>
      </c>
      <c r="J2353" s="25" t="str">
        <f>IF(OR(E2353="",E2353="!!!",F2353="NEW"),"",COUNTBLANK(OFFSET(A$1,,,SUMPRODUCT(MAX(ROW(E$2:E2353)*(E2353=E$2:E2353)))))-COUNTBLANK(OFFSET(A$1,,,SUMPRODUCT(MAX(ROW(E$1:E2352)*(E2=E$1:E2352))))))</f>
        <v> </v>
      </c>
      <c r="K2353" s="25" t="str">
        <f>IF(OR(E2353="",E2353="!!!",F2353="NEW"),"",INDEX(J$1:J2352,SUMPRODUCT(MAX(ROW(E$1:E2352)*(E2353=E$1:E2352)))))</f>
        <v> </v>
      </c>
      <c r="L2353" s="26"/>
    </row>
    <row r="2354" spans="1:12">
      <c r="A2354" s="20" t="s">
        <v>753</v>
      </c>
      <c r="E2354" s="21">
        <f>IF(D2354="?OLD","!!!","")</f>
        <v/>
      </c>
      <c r="F2354" s="22" t="str">
        <f>IF(OR(E2354="",E2354="!!!"),"",IF(NOT(ISNA(VLOOKUP(E2354,E$1:E2353,1,FALSE()))),"OLD",IF(AND(E2354&lt;&gt;"",E2354&lt;&gt;"!!!"),"NEW","")))</f>
        <v> </v>
      </c>
      <c r="G2354" s="23" t="str">
        <f>IF(OR(E2354="",E2354="!!!"),"",IF(OR(J2354=0,AND(J2354=1,K2354=1),AND(J2354=1,I2354="SBJ"),AND(J2354=1,I2354=0)),"?IN_FOCUS",IF(J2354&lt;=2,"?ACTIVATED",IF(J2354&lt;&gt;"","?FAMILIAR",IF(F2354="NEW",IF(ISNA(VLOOKUP(E2354,#REF!,1,FALSE())),"?TYPE_IDENTIFIABLE","?REFERENTIAL"),"_")))))</f>
        <v> </v>
      </c>
      <c r="H2354" s="24" t="str">
        <f>IF(J2354&lt;&gt;1,"",IF(I2354="SBJ","CB","?"))</f>
        <v> </v>
      </c>
      <c r="I2354" s="25" t="str">
        <f>IF(OR(E2354="",E2354="!!!",F2354="NEW"),"",INDEX(B2353:B$2,-1+SUMPRODUCT(MAX(ROW(E2353:E$2)*(E2354=E2353:E$2)))))</f>
        <v> </v>
      </c>
      <c r="J2354" s="25" t="str">
        <f>IF(OR(E2354="",E2354="!!!",F2354="NEW"),"",COUNTBLANK(OFFSET(A$1,,,SUMPRODUCT(MAX(ROW(E$2:E2354)*(E2354=E$2:E2354)))))-COUNTBLANK(OFFSET(A$1,,,SUMPRODUCT(MAX(ROW(E$1:E2353)*(E2=E$1:E2353))))))</f>
        <v> </v>
      </c>
      <c r="K2354" s="25" t="str">
        <f>IF(OR(E2354="",E2354="!!!",F2354="NEW"),"",INDEX(J$1:J2353,SUMPRODUCT(MAX(ROW(E$1:E2353)*(E2354=E$1:E2353)))))</f>
        <v> </v>
      </c>
      <c r="L2354" s="26"/>
    </row>
    <row r="2355" spans="1:12">
      <c r="A2355" s="20" t="s">
        <v>807</v>
      </c>
      <c r="B2355" s="27" t="s">
        <v>636</v>
      </c>
      <c r="C2355" s="27" t="s">
        <v>652</v>
      </c>
      <c r="D2355" s="27" t="s">
        <v>608</v>
      </c>
      <c r="E2355" s="21">
        <f>IF(D2355="?OLD","!!!","")</f>
        <v/>
      </c>
      <c r="F2355" s="22" t="str">
        <f>IF(OR(E2355="",E2355="!!!"),"",IF(NOT(ISNA(VLOOKUP(E2355,E$1:E2354,1,FALSE()))),"OLD",IF(AND(E2355&lt;&gt;"",E2355&lt;&gt;"!!!"),"NEW","")))</f>
        <v> </v>
      </c>
      <c r="G2355" s="23" t="str">
        <f>IF(OR(E2355="",E2355="!!!"),"",IF(OR(J2355=0,AND(J2355=1,K2355=1),AND(J2355=1,I2355="SBJ"),AND(J2355=1,I2355=0)),"?IN_FOCUS",IF(J2355&lt;=2,"?ACTIVATED",IF(J2355&lt;&gt;"","?FAMILIAR",IF(F2355="NEW",IF(ISNA(VLOOKUP(E2355,#REF!,1,FALSE())),"?TYPE_IDENTIFIABLE","?REFERENTIAL"),"_")))))</f>
        <v> </v>
      </c>
      <c r="H2355" s="24" t="str">
        <f>IF(J2355&lt;&gt;1,"",IF(I2355="SBJ","CB","?"))</f>
        <v> </v>
      </c>
      <c r="I2355" s="25" t="str">
        <f>IF(OR(E2355="",E2355="!!!",F2355="NEW"),"",INDEX(B2354:B$2,-1+SUMPRODUCT(MAX(ROW(E2354:E$2)*(E2355=E2354:E$2)))))</f>
        <v> </v>
      </c>
      <c r="J2355" s="25" t="str">
        <f>IF(OR(E2355="",E2355="!!!",F2355="NEW"),"",COUNTBLANK(OFFSET(A$1,,,SUMPRODUCT(MAX(ROW(E$2:E2355)*(E2355=E$2:E2355)))))-COUNTBLANK(OFFSET(A$1,,,SUMPRODUCT(MAX(ROW(E$1:E2354)*(E2=E$1:E2354))))))</f>
        <v> </v>
      </c>
      <c r="K2355" s="25" t="str">
        <f>IF(OR(E2355="",E2355="!!!",F2355="NEW"),"",INDEX(J$1:J2354,SUMPRODUCT(MAX(ROW(E$1:E2354)*(E2355=E$1:E2354)))))</f>
        <v> </v>
      </c>
      <c r="L2355" s="26"/>
    </row>
    <row r="2356" spans="1:12">
      <c r="A2356" s="20" t="s">
        <v>1468</v>
      </c>
      <c r="E2356" s="21">
        <f>IF(D2356="?OLD","!!!","")</f>
        <v/>
      </c>
      <c r="F2356" s="22" t="str">
        <f>IF(OR(E2356="",E2356="!!!"),"",IF(NOT(ISNA(VLOOKUP(E2356,E$1:E2355,1,FALSE()))),"OLD",IF(AND(E2356&lt;&gt;"",E2356&lt;&gt;"!!!"),"NEW","")))</f>
        <v> </v>
      </c>
      <c r="G2356" s="23" t="str">
        <f>IF(OR(E2356="",E2356="!!!"),"",IF(OR(J2356=0,AND(J2356=1,K2356=1),AND(J2356=1,I2356="SBJ"),AND(J2356=1,I2356=0)),"?IN_FOCUS",IF(J2356&lt;=2,"?ACTIVATED",IF(J2356&lt;&gt;"","?FAMILIAR",IF(F2356="NEW",IF(ISNA(VLOOKUP(E2356,#REF!,1,FALSE())),"?TYPE_IDENTIFIABLE","?REFERENTIAL"),"_")))))</f>
        <v> </v>
      </c>
      <c r="H2356" s="24" t="str">
        <f>IF(J2356&lt;&gt;1,"",IF(I2356="SBJ","CB","?"))</f>
        <v> </v>
      </c>
      <c r="I2356" s="25" t="str">
        <f>IF(OR(E2356="",E2356="!!!",F2356="NEW"),"",INDEX(B2355:B$2,-1+SUMPRODUCT(MAX(ROW(E2355:E$2)*(E2356=E2355:E$2)))))</f>
        <v> </v>
      </c>
      <c r="J2356" s="25" t="str">
        <f>IF(OR(E2356="",E2356="!!!",F2356="NEW"),"",COUNTBLANK(OFFSET(A$1,,,SUMPRODUCT(MAX(ROW(E$2:E2356)*(E2356=E$2:E2356)))))-COUNTBLANK(OFFSET(A$1,,,SUMPRODUCT(MAX(ROW(E$1:E2355)*(E2=E$1:E2355))))))</f>
        <v> </v>
      </c>
      <c r="K2356" s="25" t="str">
        <f>IF(OR(E2356="",E2356="!!!",F2356="NEW"),"",INDEX(J$1:J2355,SUMPRODUCT(MAX(ROW(E$1:E2355)*(E2356=E$1:E2355)))))</f>
        <v> </v>
      </c>
      <c r="L2356" s="26"/>
    </row>
    <row r="2357" spans="1:12">
      <c r="A2357" s="20" t="s">
        <v>127</v>
      </c>
      <c r="E2357" s="21">
        <f>IF(D2357="?OLD","!!!","")</f>
        <v/>
      </c>
      <c r="F2357" s="22" t="str">
        <f>IF(OR(E2357="",E2357="!!!"),"",IF(NOT(ISNA(VLOOKUP(E2357,E$1:E2356,1,FALSE()))),"OLD",IF(AND(E2357&lt;&gt;"",E2357&lt;&gt;"!!!"),"NEW","")))</f>
        <v> </v>
      </c>
      <c r="G2357" s="23" t="str">
        <f>IF(OR(E2357="",E2357="!!!"),"",IF(OR(J2357=0,AND(J2357=1,K2357=1),AND(J2357=1,I2357="SBJ"),AND(J2357=1,I2357=0)),"?IN_FOCUS",IF(J2357&lt;=2,"?ACTIVATED",IF(J2357&lt;&gt;"","?FAMILIAR",IF(F2357="NEW",IF(ISNA(VLOOKUP(E2357,#REF!,1,FALSE())),"?TYPE_IDENTIFIABLE","?REFERENTIAL"),"_")))))</f>
        <v> </v>
      </c>
      <c r="H2357" s="24" t="str">
        <f>IF(J2357&lt;&gt;1,"",IF(I2357="SBJ","CB","?"))</f>
        <v> </v>
      </c>
      <c r="I2357" s="25" t="str">
        <f>IF(OR(E2357="",E2357="!!!",F2357="NEW"),"",INDEX(B2356:B$2,-1+SUMPRODUCT(MAX(ROW(E2356:E$2)*(E2357=E2356:E$2)))))</f>
        <v> </v>
      </c>
      <c r="J2357" s="25" t="str">
        <f>IF(OR(E2357="",E2357="!!!",F2357="NEW"),"",COUNTBLANK(OFFSET(A$1,,,SUMPRODUCT(MAX(ROW(E$2:E2357)*(E2357=E$2:E2357)))))-COUNTBLANK(OFFSET(A$1,,,SUMPRODUCT(MAX(ROW(E$1:E2356)*(E2=E$1:E2356))))))</f>
        <v> </v>
      </c>
      <c r="K2357" s="25" t="str">
        <f>IF(OR(E2357="",E2357="!!!",F2357="NEW"),"",INDEX(J$1:J2356,SUMPRODUCT(MAX(ROW(E$1:E2356)*(E2357=E$1:E2356)))))</f>
        <v> </v>
      </c>
      <c r="L2357" s="26"/>
    </row>
    <row r="2358" spans="1:12">
      <c r="A2358" s="20" t="s">
        <v>633</v>
      </c>
      <c r="E2358" s="21">
        <f>IF(D2358="?OLD","!!!","")</f>
        <v/>
      </c>
      <c r="F2358" s="22" t="str">
        <f>IF(OR(E2358="",E2358="!!!"),"",IF(NOT(ISNA(VLOOKUP(E2358,E$1:E2357,1,FALSE()))),"OLD",IF(AND(E2358&lt;&gt;"",E2358&lt;&gt;"!!!"),"NEW","")))</f>
        <v> </v>
      </c>
      <c r="G2358" s="23" t="str">
        <f>IF(OR(E2358="",E2358="!!!"),"",IF(OR(J2358=0,AND(J2358=1,K2358=1),AND(J2358=1,I2358="SBJ"),AND(J2358=1,I2358=0)),"?IN_FOCUS",IF(J2358&lt;=2,"?ACTIVATED",IF(J2358&lt;&gt;"","?FAMILIAR",IF(F2358="NEW",IF(ISNA(VLOOKUP(E2358,#REF!,1,FALSE())),"?TYPE_IDENTIFIABLE","?REFERENTIAL"),"_")))))</f>
        <v> </v>
      </c>
      <c r="H2358" s="24" t="str">
        <f>IF(J2358&lt;&gt;1,"",IF(I2358="SBJ","CB","?"))</f>
        <v> </v>
      </c>
      <c r="I2358" s="25" t="str">
        <f>IF(OR(E2358="",E2358="!!!",F2358="NEW"),"",INDEX(B2357:B$2,-1+SUMPRODUCT(MAX(ROW(E2357:E$2)*(E2358=E2357:E$2)))))</f>
        <v> </v>
      </c>
      <c r="J2358" s="25" t="str">
        <f>IF(OR(E2358="",E2358="!!!",F2358="NEW"),"",COUNTBLANK(OFFSET(A$1,,,SUMPRODUCT(MAX(ROW(E$2:E2358)*(E2358=E$2:E2358)))))-COUNTBLANK(OFFSET(A$1,,,SUMPRODUCT(MAX(ROW(E$1:E2357)*(E2=E$1:E2357))))))</f>
        <v> </v>
      </c>
      <c r="K2358" s="25" t="str">
        <f>IF(OR(E2358="",E2358="!!!",F2358="NEW"),"",INDEX(J$1:J2357,SUMPRODUCT(MAX(ROW(E$1:E2357)*(E2358=E$1:E2357)))))</f>
        <v> </v>
      </c>
      <c r="L2358" s="26"/>
    </row>
    <row r="2359" spans="1:12">
      <c r="A2359" s="20"/>
    </row>
    <row r="2360" spans="1:12">
      <c r="A2360" s="20" t="s">
        <v>1469</v>
      </c>
    </row>
    <row r="2361" spans="1:12">
      <c r="A2361" s="20" t="s">
        <v>661</v>
      </c>
      <c r="E2361" s="21">
        <f>IF(D2361="?OLD","!!!","")</f>
        <v/>
      </c>
      <c r="F2361" s="22" t="str">
        <f>IF(OR(E2361="",E2361="!!!"),"",IF(NOT(ISNA(VLOOKUP(E2361,E$1:E2360,1,FALSE()))),"OLD",IF(AND(E2361&lt;&gt;"",E2361&lt;&gt;"!!!"),"NEW","")))</f>
        <v> </v>
      </c>
      <c r="G2361" s="23" t="str">
        <f>IF(OR(E2361="",E2361="!!!"),"",IF(OR(J2361=0,AND(J2361=1,K2361=1),AND(J2361=1,I2361="SBJ"),AND(J2361=1,I2361=0)),"?IN_FOCUS",IF(J2361&lt;=2,"?ACTIVATED",IF(J2361&lt;&gt;"","?FAMILIAR",IF(F2361="NEW",IF(ISNA(VLOOKUP(E2361,#REF!,1,FALSE())),"?TYPE_IDENTIFIABLE","?REFERENTIAL"),"_")))))</f>
        <v> </v>
      </c>
      <c r="H2361" s="24" t="str">
        <f>IF(J2361&lt;&gt;1,"",IF(I2361="SBJ","CB","?"))</f>
        <v> </v>
      </c>
      <c r="I2361" s="25" t="str">
        <f>IF(OR(E2361="",E2361="!!!",F2361="NEW"),"",INDEX(B2360:B$2,-1+SUMPRODUCT(MAX(ROW(E2360:E$2)*(E2361=E2360:E$2)))))</f>
        <v> </v>
      </c>
      <c r="J2361" s="25" t="str">
        <f>IF(OR(E2361="",E2361="!!!",F2361="NEW"),"",COUNTBLANK(OFFSET(A$1,,,SUMPRODUCT(MAX(ROW(E$2:E2361)*(E2361=E$2:E2361)))))-COUNTBLANK(OFFSET(A$1,,,SUMPRODUCT(MAX(ROW(E$1:E2360)*(E2=E$1:E2360))))))</f>
        <v> </v>
      </c>
      <c r="K2361" s="25" t="str">
        <f>IF(OR(E2361="",E2361="!!!",F2361="NEW"),"",INDEX(J$1:J2360,SUMPRODUCT(MAX(ROW(E$1:E2360)*(E2361=E$1:E2360)))))</f>
        <v> </v>
      </c>
      <c r="L2361" s="26"/>
    </row>
    <row r="2362" spans="1:12">
      <c r="A2362" s="20" t="s">
        <v>807</v>
      </c>
      <c r="B2362" s="27" t="s">
        <v>636</v>
      </c>
      <c r="C2362" s="27" t="s">
        <v>652</v>
      </c>
      <c r="D2362" s="27" t="s">
        <v>608</v>
      </c>
      <c r="E2362" s="21">
        <f>IF(D2362="?OLD","!!!","")</f>
        <v/>
      </c>
      <c r="F2362" s="22" t="str">
        <f>IF(OR(E2362="",E2362="!!!"),"",IF(NOT(ISNA(VLOOKUP(E2362,E$1:E2361,1,FALSE()))),"OLD",IF(AND(E2362&lt;&gt;"",E2362&lt;&gt;"!!!"),"NEW","")))</f>
        <v> </v>
      </c>
      <c r="G2362" s="23" t="str">
        <f>IF(OR(E2362="",E2362="!!!"),"",IF(OR(J2362=0,AND(J2362=1,K2362=1),AND(J2362=1,I2362="SBJ"),AND(J2362=1,I2362=0)),"?IN_FOCUS",IF(J2362&lt;=2,"?ACTIVATED",IF(J2362&lt;&gt;"","?FAMILIAR",IF(F2362="NEW",IF(ISNA(VLOOKUP(E2362,#REF!,1,FALSE())),"?TYPE_IDENTIFIABLE","?REFERENTIAL"),"_")))))</f>
        <v> </v>
      </c>
      <c r="H2362" s="24" t="str">
        <f>IF(J2362&lt;&gt;1,"",IF(I2362="SBJ","CB","?"))</f>
        <v> </v>
      </c>
      <c r="I2362" s="25" t="str">
        <f>IF(OR(E2362="",E2362="!!!",F2362="NEW"),"",INDEX(B2361:B$2,-1+SUMPRODUCT(MAX(ROW(E2361:E$2)*(E2362=E2361:E$2)))))</f>
        <v> </v>
      </c>
      <c r="J2362" s="25" t="str">
        <f>IF(OR(E2362="",E2362="!!!",F2362="NEW"),"",COUNTBLANK(OFFSET(A$1,,,SUMPRODUCT(MAX(ROW(E$2:E2362)*(E2362=E$2:E2362)))))-COUNTBLANK(OFFSET(A$1,,,SUMPRODUCT(MAX(ROW(E$1:E2361)*(E2=E$1:E2361))))))</f>
        <v> </v>
      </c>
      <c r="K2362" s="25" t="str">
        <f>IF(OR(E2362="",E2362="!!!",F2362="NEW"),"",INDEX(J$1:J2361,SUMPRODUCT(MAX(ROW(E$1:E2361)*(E2362=E$1:E2361)))))</f>
        <v> </v>
      </c>
      <c r="L2362" s="26"/>
    </row>
    <row r="2363" spans="1:12">
      <c r="A2363" s="20" t="s">
        <v>829</v>
      </c>
      <c r="E2363" s="21">
        <f>IF(D2363="?OLD","!!!","")</f>
        <v/>
      </c>
      <c r="F2363" s="22" t="str">
        <f>IF(OR(E2363="",E2363="!!!"),"",IF(NOT(ISNA(VLOOKUP(E2363,E$1:E2362,1,FALSE()))),"OLD",IF(AND(E2363&lt;&gt;"",E2363&lt;&gt;"!!!"),"NEW","")))</f>
        <v> </v>
      </c>
      <c r="G2363" s="23" t="str">
        <f>IF(OR(E2363="",E2363="!!!"),"",IF(OR(J2363=0,AND(J2363=1,K2363=1),AND(J2363=1,I2363="SBJ"),AND(J2363=1,I2363=0)),"?IN_FOCUS",IF(J2363&lt;=2,"?ACTIVATED",IF(J2363&lt;&gt;"","?FAMILIAR",IF(F2363="NEW",IF(ISNA(VLOOKUP(E2363,#REF!,1,FALSE())),"?TYPE_IDENTIFIABLE","?REFERENTIAL"),"_")))))</f>
        <v> </v>
      </c>
      <c r="H2363" s="24" t="str">
        <f>IF(J2363&lt;&gt;1,"",IF(I2363="SBJ","CB","?"))</f>
        <v> </v>
      </c>
      <c r="I2363" s="25" t="str">
        <f>IF(OR(E2363="",E2363="!!!",F2363="NEW"),"",INDEX(B2362:B$2,-1+SUMPRODUCT(MAX(ROW(E2362:E$2)*(E2363=E2362:E$2)))))</f>
        <v> </v>
      </c>
      <c r="J2363" s="25" t="str">
        <f>IF(OR(E2363="",E2363="!!!",F2363="NEW"),"",COUNTBLANK(OFFSET(A$1,,,SUMPRODUCT(MAX(ROW(E$2:E2363)*(E2363=E$2:E2363)))))-COUNTBLANK(OFFSET(A$1,,,SUMPRODUCT(MAX(ROW(E$1:E2362)*(E2=E$1:E2362))))))</f>
        <v> </v>
      </c>
      <c r="K2363" s="25" t="str">
        <f>IF(OR(E2363="",E2363="!!!",F2363="NEW"),"",INDEX(J$1:J2362,SUMPRODUCT(MAX(ROW(E$1:E2362)*(E2363=E$1:E2362)))))</f>
        <v> </v>
      </c>
      <c r="L2363" s="26"/>
    </row>
    <row r="2364" spans="1:12">
      <c r="A2364" s="20" t="s">
        <v>1193</v>
      </c>
      <c r="B2364" s="27" t="s">
        <v>636</v>
      </c>
      <c r="C2364" s="27" t="s">
        <v>614</v>
      </c>
      <c r="D2364" s="27" t="s">
        <v>608</v>
      </c>
      <c r="E2364" s="21">
        <f>IF(D2364="?OLD","!!!","")</f>
        <v/>
      </c>
      <c r="F2364" s="22" t="str">
        <f>IF(OR(E2364="",E2364="!!!"),"",IF(NOT(ISNA(VLOOKUP(E2364,E$1:E2363,1,FALSE()))),"OLD",IF(AND(E2364&lt;&gt;"",E2364&lt;&gt;"!!!"),"NEW","")))</f>
        <v> </v>
      </c>
      <c r="G2364" s="23" t="str">
        <f>IF(OR(E2364="",E2364="!!!"),"",IF(OR(J2364=0,AND(J2364=1,K2364=1),AND(J2364=1,I2364="SBJ"),AND(J2364=1,I2364=0)),"?IN_FOCUS",IF(J2364&lt;=2,"?ACTIVATED",IF(J2364&lt;&gt;"","?FAMILIAR",IF(F2364="NEW",IF(ISNA(VLOOKUP(E2364,#REF!,1,FALSE())),"?TYPE_IDENTIFIABLE","?REFERENTIAL"),"_")))))</f>
        <v> </v>
      </c>
      <c r="H2364" s="24" t="str">
        <f>IF(J2364&lt;&gt;1,"",IF(I2364="SBJ","CB","?"))</f>
        <v> </v>
      </c>
      <c r="I2364" s="25" t="str">
        <f>IF(OR(E2364="",E2364="!!!",F2364="NEW"),"",INDEX(B2363:B$2,-1+SUMPRODUCT(MAX(ROW(E2363:E$2)*(E2364=E2363:E$2)))))</f>
        <v> </v>
      </c>
      <c r="J2364" s="25" t="str">
        <f>IF(OR(E2364="",E2364="!!!",F2364="NEW"),"",COUNTBLANK(OFFSET(A$1,,,SUMPRODUCT(MAX(ROW(E$2:E2364)*(E2364=E$2:E2364)))))-COUNTBLANK(OFFSET(A$1,,,SUMPRODUCT(MAX(ROW(E$1:E2363)*(E2=E$1:E2363))))))</f>
        <v> </v>
      </c>
      <c r="K2364" s="25" t="str">
        <f>IF(OR(E2364="",E2364="!!!",F2364="NEW"),"",INDEX(J$1:J2363,SUMPRODUCT(MAX(ROW(E$1:E2363)*(E2364=E$1:E2363)))))</f>
        <v> </v>
      </c>
      <c r="L2364" s="26"/>
    </row>
    <row r="2365" spans="1:12">
      <c r="A2365" s="20" t="s">
        <v>1101</v>
      </c>
      <c r="E2365" s="21">
        <f>IF(D2365="?OLD","!!!","")</f>
        <v/>
      </c>
      <c r="F2365" s="22" t="str">
        <f>IF(OR(E2365="",E2365="!!!"),"",IF(NOT(ISNA(VLOOKUP(E2365,E$1:E2364,1,FALSE()))),"OLD",IF(AND(E2365&lt;&gt;"",E2365&lt;&gt;"!!!"),"NEW","")))</f>
        <v> </v>
      </c>
      <c r="G2365" s="23" t="str">
        <f>IF(OR(E2365="",E2365="!!!"),"",IF(OR(J2365=0,AND(J2365=1,K2365=1),AND(J2365=1,I2365="SBJ"),AND(J2365=1,I2365=0)),"?IN_FOCUS",IF(J2365&lt;=2,"?ACTIVATED",IF(J2365&lt;&gt;"","?FAMILIAR",IF(F2365="NEW",IF(ISNA(VLOOKUP(E2365,#REF!,1,FALSE())),"?TYPE_IDENTIFIABLE","?REFERENTIAL"),"_")))))</f>
        <v> </v>
      </c>
      <c r="H2365" s="24" t="str">
        <f>IF(J2365&lt;&gt;1,"",IF(I2365="SBJ","CB","?"))</f>
        <v> </v>
      </c>
      <c r="I2365" s="25" t="str">
        <f>IF(OR(E2365="",E2365="!!!",F2365="NEW"),"",INDEX(B2364:B$2,-1+SUMPRODUCT(MAX(ROW(E2364:E$2)*(E2365=E2364:E$2)))))</f>
        <v> </v>
      </c>
      <c r="J2365" s="25" t="str">
        <f>IF(OR(E2365="",E2365="!!!",F2365="NEW"),"",COUNTBLANK(OFFSET(A$1,,,SUMPRODUCT(MAX(ROW(E$2:E2365)*(E2365=E$2:E2365)))))-COUNTBLANK(OFFSET(A$1,,,SUMPRODUCT(MAX(ROW(E$1:E2364)*(E2=E$1:E2364))))))</f>
        <v> </v>
      </c>
      <c r="K2365" s="25" t="str">
        <f>IF(OR(E2365="",E2365="!!!",F2365="NEW"),"",INDEX(J$1:J2364,SUMPRODUCT(MAX(ROW(E$1:E2364)*(E2365=E$1:E2364)))))</f>
        <v> </v>
      </c>
      <c r="L2365" s="26"/>
    </row>
    <row r="2366" spans="1:12">
      <c r="A2366" s="20" t="s">
        <v>1035</v>
      </c>
      <c r="E2366" s="21">
        <f>IF(D2366="?OLD","!!!","")</f>
        <v/>
      </c>
      <c r="F2366" s="22" t="str">
        <f>IF(OR(E2366="",E2366="!!!"),"",IF(NOT(ISNA(VLOOKUP(E2366,E$1:E2365,1,FALSE()))),"OLD",IF(AND(E2366&lt;&gt;"",E2366&lt;&gt;"!!!"),"NEW","")))</f>
        <v> </v>
      </c>
      <c r="G2366" s="23" t="str">
        <f>IF(OR(E2366="",E2366="!!!"),"",IF(OR(J2366=0,AND(J2366=1,K2366=1),AND(J2366=1,I2366="SBJ"),AND(J2366=1,I2366=0)),"?IN_FOCUS",IF(J2366&lt;=2,"?ACTIVATED",IF(J2366&lt;&gt;"","?FAMILIAR",IF(F2366="NEW",IF(ISNA(VLOOKUP(E2366,#REF!,1,FALSE())),"?TYPE_IDENTIFIABLE","?REFERENTIAL"),"_")))))</f>
        <v> </v>
      </c>
      <c r="H2366" s="24" t="str">
        <f>IF(J2366&lt;&gt;1,"",IF(I2366="SBJ","CB","?"))</f>
        <v> </v>
      </c>
      <c r="I2366" s="25" t="str">
        <f>IF(OR(E2366="",E2366="!!!",F2366="NEW"),"",INDEX(B2365:B$2,-1+SUMPRODUCT(MAX(ROW(E2365:E$2)*(E2366=E2365:E$2)))))</f>
        <v> </v>
      </c>
      <c r="J2366" s="25" t="str">
        <f>IF(OR(E2366="",E2366="!!!",F2366="NEW"),"",COUNTBLANK(OFFSET(A$1,,,SUMPRODUCT(MAX(ROW(E$2:E2366)*(E2366=E$2:E2366)))))-COUNTBLANK(OFFSET(A$1,,,SUMPRODUCT(MAX(ROW(E$1:E2365)*(E2=E$1:E2365))))))</f>
        <v> </v>
      </c>
      <c r="K2366" s="25" t="str">
        <f>IF(OR(E2366="",E2366="!!!",F2366="NEW"),"",INDEX(J$1:J2365,SUMPRODUCT(MAX(ROW(E$1:E2365)*(E2366=E$1:E2365)))))</f>
        <v> </v>
      </c>
      <c r="L2366" s="26"/>
    </row>
    <row r="2367" spans="1:12">
      <c r="A2367" s="20" t="s">
        <v>453</v>
      </c>
      <c r="E2367" s="21">
        <f>IF(D2367="?OLD","!!!","")</f>
        <v/>
      </c>
      <c r="F2367" s="22" t="str">
        <f>IF(OR(E2367="",E2367="!!!"),"",IF(NOT(ISNA(VLOOKUP(E2367,E$1:E2366,1,FALSE()))),"OLD",IF(AND(E2367&lt;&gt;"",E2367&lt;&gt;"!!!"),"NEW","")))</f>
        <v> </v>
      </c>
      <c r="G2367" s="23" t="str">
        <f>IF(OR(E2367="",E2367="!!!"),"",IF(OR(J2367=0,AND(J2367=1,K2367=1),AND(J2367=1,I2367="SBJ"),AND(J2367=1,I2367=0)),"?IN_FOCUS",IF(J2367&lt;=2,"?ACTIVATED",IF(J2367&lt;&gt;"","?FAMILIAR",IF(F2367="NEW",IF(ISNA(VLOOKUP(E2367,#REF!,1,FALSE())),"?TYPE_IDENTIFIABLE","?REFERENTIAL"),"_")))))</f>
        <v> </v>
      </c>
      <c r="H2367" s="24" t="str">
        <f>IF(J2367&lt;&gt;1,"",IF(I2367="SBJ","CB","?"))</f>
        <v> </v>
      </c>
      <c r="I2367" s="25" t="str">
        <f>IF(OR(E2367="",E2367="!!!",F2367="NEW"),"",INDEX(B2366:B$2,-1+SUMPRODUCT(MAX(ROW(E2366:E$2)*(E2367=E2366:E$2)))))</f>
        <v> </v>
      </c>
      <c r="J2367" s="25" t="str">
        <f>IF(OR(E2367="",E2367="!!!",F2367="NEW"),"",COUNTBLANK(OFFSET(A$1,,,SUMPRODUCT(MAX(ROW(E$2:E2367)*(E2367=E$2:E2367)))))-COUNTBLANK(OFFSET(A$1,,,SUMPRODUCT(MAX(ROW(E$1:E2366)*(E2=E$1:E2366))))))</f>
        <v> </v>
      </c>
      <c r="K2367" s="25" t="str">
        <f>IF(OR(E2367="",E2367="!!!",F2367="NEW"),"",INDEX(J$1:J2366,SUMPRODUCT(MAX(ROW(E$1:E2366)*(E2367=E$1:E2366)))))</f>
        <v> </v>
      </c>
      <c r="L2367" s="26"/>
    </row>
    <row r="2368" spans="1:12">
      <c r="A2368" s="20" t="s">
        <v>617</v>
      </c>
      <c r="E2368" s="21">
        <f>IF(D2368="?OLD","!!!","")</f>
        <v/>
      </c>
      <c r="F2368" s="22" t="str">
        <f>IF(OR(E2368="",E2368="!!!"),"",IF(NOT(ISNA(VLOOKUP(E2368,E$1:E2367,1,FALSE()))),"OLD",IF(AND(E2368&lt;&gt;"",E2368&lt;&gt;"!!!"),"NEW","")))</f>
        <v> </v>
      </c>
      <c r="G2368" s="23" t="str">
        <f>IF(OR(E2368="",E2368="!!!"),"",IF(OR(J2368=0,AND(J2368=1,K2368=1),AND(J2368=1,I2368="SBJ"),AND(J2368=1,I2368=0)),"?IN_FOCUS",IF(J2368&lt;=2,"?ACTIVATED",IF(J2368&lt;&gt;"","?FAMILIAR",IF(F2368="NEW",IF(ISNA(VLOOKUP(E2368,#REF!,1,FALSE())),"?TYPE_IDENTIFIABLE","?REFERENTIAL"),"_")))))</f>
        <v> </v>
      </c>
      <c r="H2368" s="24" t="str">
        <f>IF(J2368&lt;&gt;1,"",IF(I2368="SBJ","CB","?"))</f>
        <v> </v>
      </c>
      <c r="I2368" s="25" t="str">
        <f>IF(OR(E2368="",E2368="!!!",F2368="NEW"),"",INDEX(B2367:B$2,-1+SUMPRODUCT(MAX(ROW(E2367:E$2)*(E2368=E2367:E$2)))))</f>
        <v> </v>
      </c>
      <c r="J2368" s="25" t="str">
        <f>IF(OR(E2368="",E2368="!!!",F2368="NEW"),"",COUNTBLANK(OFFSET(A$1,,,SUMPRODUCT(MAX(ROW(E$2:E2368)*(E2368=E$2:E2368)))))-COUNTBLANK(OFFSET(A$1,,,SUMPRODUCT(MAX(ROW(E$1:E2367)*(E2=E$1:E2367))))))</f>
        <v> </v>
      </c>
      <c r="K2368" s="25" t="str">
        <f>IF(OR(E2368="",E2368="!!!",F2368="NEW"),"",INDEX(J$1:J2367,SUMPRODUCT(MAX(ROW(E$1:E2367)*(E2368=E$1:E2367)))))</f>
        <v> </v>
      </c>
      <c r="L2368" s="26"/>
    </row>
    <row r="2369" spans="1:12">
      <c r="A2369" s="20" t="s">
        <v>1109</v>
      </c>
      <c r="E2369" s="21">
        <f>IF(D2369="?OLD","!!!","")</f>
        <v/>
      </c>
      <c r="F2369" s="22" t="str">
        <f>IF(OR(E2369="",E2369="!!!"),"",IF(NOT(ISNA(VLOOKUP(E2369,E$1:E2368,1,FALSE()))),"OLD",IF(AND(E2369&lt;&gt;"",E2369&lt;&gt;"!!!"),"NEW","")))</f>
        <v> </v>
      </c>
      <c r="G2369" s="23" t="str">
        <f>IF(OR(E2369="",E2369="!!!"),"",IF(OR(J2369=0,AND(J2369=1,K2369=1),AND(J2369=1,I2369="SBJ"),AND(J2369=1,I2369=0)),"?IN_FOCUS",IF(J2369&lt;=2,"?ACTIVATED",IF(J2369&lt;&gt;"","?FAMILIAR",IF(F2369="NEW",IF(ISNA(VLOOKUP(E2369,#REF!,1,FALSE())),"?TYPE_IDENTIFIABLE","?REFERENTIAL"),"_")))))</f>
        <v> </v>
      </c>
      <c r="H2369" s="24" t="str">
        <f>IF(J2369&lt;&gt;1,"",IF(I2369="SBJ","CB","?"))</f>
        <v> </v>
      </c>
      <c r="I2369" s="25" t="str">
        <f>IF(OR(E2369="",E2369="!!!",F2369="NEW"),"",INDEX(B2368:B$2,-1+SUMPRODUCT(MAX(ROW(E2368:E$2)*(E2369=E2368:E$2)))))</f>
        <v> </v>
      </c>
      <c r="J2369" s="25" t="str">
        <f>IF(OR(E2369="",E2369="!!!",F2369="NEW"),"",COUNTBLANK(OFFSET(A$1,,,SUMPRODUCT(MAX(ROW(E$2:E2369)*(E2369=E$2:E2369)))))-COUNTBLANK(OFFSET(A$1,,,SUMPRODUCT(MAX(ROW(E$1:E2368)*(E2=E$1:E2368))))))</f>
        <v> </v>
      </c>
      <c r="K2369" s="25" t="str">
        <f>IF(OR(E2369="",E2369="!!!",F2369="NEW"),"",INDEX(J$1:J2368,SUMPRODUCT(MAX(ROW(E$1:E2368)*(E2369=E$1:E2368)))))</f>
        <v> </v>
      </c>
      <c r="L2369" s="26"/>
    </row>
    <row r="2370" spans="1:12">
      <c r="A2370" s="20" t="s">
        <v>690</v>
      </c>
      <c r="E2370" s="21">
        <f>IF(D2370="?OLD","!!!","")</f>
        <v/>
      </c>
      <c r="F2370" s="22" t="str">
        <f>IF(OR(E2370="",E2370="!!!"),"",IF(NOT(ISNA(VLOOKUP(E2370,E$1:E2369,1,FALSE()))),"OLD",IF(AND(E2370&lt;&gt;"",E2370&lt;&gt;"!!!"),"NEW","")))</f>
        <v> </v>
      </c>
      <c r="G2370" s="23" t="str">
        <f>IF(OR(E2370="",E2370="!!!"),"",IF(OR(J2370=0,AND(J2370=1,K2370=1),AND(J2370=1,I2370="SBJ"),AND(J2370=1,I2370=0)),"?IN_FOCUS",IF(J2370&lt;=2,"?ACTIVATED",IF(J2370&lt;&gt;"","?FAMILIAR",IF(F2370="NEW",IF(ISNA(VLOOKUP(E2370,#REF!,1,FALSE())),"?TYPE_IDENTIFIABLE","?REFERENTIAL"),"_")))))</f>
        <v> </v>
      </c>
      <c r="H2370" s="24" t="str">
        <f>IF(J2370&lt;&gt;1,"",IF(I2370="SBJ","CB","?"))</f>
        <v> </v>
      </c>
      <c r="I2370" s="25" t="str">
        <f>IF(OR(E2370="",E2370="!!!",F2370="NEW"),"",INDEX(B2369:B$2,-1+SUMPRODUCT(MAX(ROW(E2369:E$2)*(E2370=E2369:E$2)))))</f>
        <v> </v>
      </c>
      <c r="J2370" s="25" t="str">
        <f>IF(OR(E2370="",E2370="!!!",F2370="NEW"),"",COUNTBLANK(OFFSET(A$1,,,SUMPRODUCT(MAX(ROW(E$2:E2370)*(E2370=E$2:E2370)))))-COUNTBLANK(OFFSET(A$1,,,SUMPRODUCT(MAX(ROW(E$1:E2369)*(E2=E$1:E2369))))))</f>
        <v> </v>
      </c>
      <c r="K2370" s="25" t="str">
        <f>IF(OR(E2370="",E2370="!!!",F2370="NEW"),"",INDEX(J$1:J2369,SUMPRODUCT(MAX(ROW(E$1:E2369)*(E2370=E$1:E2369)))))</f>
        <v> </v>
      </c>
      <c r="L2370" s="26"/>
    </row>
    <row r="2371" spans="1:12">
      <c r="A2371" s="20" t="s">
        <v>1466</v>
      </c>
      <c r="B2371" s="27" t="s">
        <v>619</v>
      </c>
      <c r="C2371" s="27" t="s">
        <v>607</v>
      </c>
      <c r="D2371" s="27" t="s">
        <v>608</v>
      </c>
      <c r="E2371" s="21">
        <f>IF(D2371="?OLD","!!!","")</f>
        <v/>
      </c>
      <c r="F2371" s="22" t="str">
        <f>IF(OR(E2371="",E2371="!!!"),"",IF(NOT(ISNA(VLOOKUP(E2371,E$1:E2370,1,FALSE()))),"OLD",IF(AND(E2371&lt;&gt;"",E2371&lt;&gt;"!!!"),"NEW","")))</f>
        <v> </v>
      </c>
      <c r="G2371" s="23" t="str">
        <f>IF(OR(E2371="",E2371="!!!"),"",IF(OR(J2371=0,AND(J2371=1,K2371=1),AND(J2371=1,I2371="SBJ"),AND(J2371=1,I2371=0)),"?IN_FOCUS",IF(J2371&lt;=2,"?ACTIVATED",IF(J2371&lt;&gt;"","?FAMILIAR",IF(F2371="NEW",IF(ISNA(VLOOKUP(E2371,#REF!,1,FALSE())),"?TYPE_IDENTIFIABLE","?REFERENTIAL"),"_")))))</f>
        <v> </v>
      </c>
      <c r="H2371" s="24" t="str">
        <f>IF(J2371&lt;&gt;1,"",IF(I2371="SBJ","CB","?"))</f>
        <v> </v>
      </c>
      <c r="I2371" s="25" t="str">
        <f>IF(OR(E2371="",E2371="!!!",F2371="NEW"),"",INDEX(B2370:B$2,-1+SUMPRODUCT(MAX(ROW(E2370:E$2)*(E2371=E2370:E$2)))))</f>
        <v> </v>
      </c>
      <c r="J2371" s="25" t="str">
        <f>IF(OR(E2371="",E2371="!!!",F2371="NEW"),"",COUNTBLANK(OFFSET(A$1,,,SUMPRODUCT(MAX(ROW(E$2:E2371)*(E2371=E$2:E2371)))))-COUNTBLANK(OFFSET(A$1,,,SUMPRODUCT(MAX(ROW(E$1:E2370)*(E2=E$1:E2370))))))</f>
        <v> </v>
      </c>
      <c r="K2371" s="25" t="str">
        <f>IF(OR(E2371="",E2371="!!!",F2371="NEW"),"",INDEX(J$1:J2370,SUMPRODUCT(MAX(ROW(E$1:E2370)*(E2371=E$1:E2370)))))</f>
        <v> </v>
      </c>
      <c r="L2371" s="26"/>
    </row>
    <row r="2372" spans="1:12">
      <c r="A2372" s="20" t="s">
        <v>618</v>
      </c>
      <c r="E2372" s="21">
        <f>IF(D2372="?OLD","!!!","")</f>
        <v/>
      </c>
      <c r="F2372" s="22" t="str">
        <f>IF(OR(E2372="",E2372="!!!"),"",IF(NOT(ISNA(VLOOKUP(E2372,E$1:E2371,1,FALSE()))),"OLD",IF(AND(E2372&lt;&gt;"",E2372&lt;&gt;"!!!"),"NEW","")))</f>
        <v> </v>
      </c>
      <c r="G2372" s="23" t="str">
        <f>IF(OR(E2372="",E2372="!!!"),"",IF(OR(J2372=0,AND(J2372=1,K2372=1),AND(J2372=1,I2372="SBJ"),AND(J2372=1,I2372=0)),"?IN_FOCUS",IF(J2372&lt;=2,"?ACTIVATED",IF(J2372&lt;&gt;"","?FAMILIAR",IF(F2372="NEW",IF(ISNA(VLOOKUP(E2372,#REF!,1,FALSE())),"?TYPE_IDENTIFIABLE","?REFERENTIAL"),"_")))))</f>
        <v> </v>
      </c>
      <c r="H2372" s="24" t="str">
        <f>IF(J2372&lt;&gt;1,"",IF(I2372="SBJ","CB","?"))</f>
        <v> </v>
      </c>
      <c r="I2372" s="25" t="str">
        <f>IF(OR(E2372="",E2372="!!!",F2372="NEW"),"",INDEX(B2371:B$2,-1+SUMPRODUCT(MAX(ROW(E2371:E$2)*(E2372=E2371:E$2)))))</f>
        <v> </v>
      </c>
      <c r="J2372" s="25" t="str">
        <f>IF(OR(E2372="",E2372="!!!",F2372="NEW"),"",COUNTBLANK(OFFSET(A$1,,,SUMPRODUCT(MAX(ROW(E$2:E2372)*(E2372=E$2:E2372)))))-COUNTBLANK(OFFSET(A$1,,,SUMPRODUCT(MAX(ROW(E$1:E2371)*(E2=E$1:E2371))))))</f>
        <v> </v>
      </c>
      <c r="K2372" s="25" t="str">
        <f>IF(OR(E2372="",E2372="!!!",F2372="NEW"),"",INDEX(J$1:J2371,SUMPRODUCT(MAX(ROW(E$1:E2371)*(E2372=E$1:E2371)))))</f>
        <v> </v>
      </c>
      <c r="L2372" s="26"/>
    </row>
    <row r="2373" spans="1:12">
      <c r="A2373" s="20" t="s">
        <v>1470</v>
      </c>
      <c r="B2373" s="27" t="s">
        <v>657</v>
      </c>
      <c r="C2373" s="27" t="s">
        <v>607</v>
      </c>
      <c r="D2373" s="27" t="s">
        <v>608</v>
      </c>
      <c r="E2373" s="21">
        <f>IF(D2373="?OLD","!!!","")</f>
        <v/>
      </c>
      <c r="F2373" s="22" t="str">
        <f>IF(OR(E2373="",E2373="!!!"),"",IF(NOT(ISNA(VLOOKUP(E2373,E$1:E2372,1,FALSE()))),"OLD",IF(AND(E2373&lt;&gt;"",E2373&lt;&gt;"!!!"),"NEW","")))</f>
        <v> </v>
      </c>
      <c r="G2373" s="23" t="str">
        <f>IF(OR(E2373="",E2373="!!!"),"",IF(OR(J2373=0,AND(J2373=1,K2373=1),AND(J2373=1,I2373="SBJ"),AND(J2373=1,I2373=0)),"?IN_FOCUS",IF(J2373&lt;=2,"?ACTIVATED",IF(J2373&lt;&gt;"","?FAMILIAR",IF(F2373="NEW",IF(ISNA(VLOOKUP(E2373,#REF!,1,FALSE())),"?TYPE_IDENTIFIABLE","?REFERENTIAL"),"_")))))</f>
        <v> </v>
      </c>
      <c r="H2373" s="24" t="str">
        <f>IF(J2373&lt;&gt;1,"",IF(I2373="SBJ","CB","?"))</f>
        <v> </v>
      </c>
      <c r="I2373" s="25" t="str">
        <f>IF(OR(E2373="",E2373="!!!",F2373="NEW"),"",INDEX(B2372:B$2,-1+SUMPRODUCT(MAX(ROW(E2372:E$2)*(E2373=E2372:E$2)))))</f>
        <v> </v>
      </c>
      <c r="J2373" s="25" t="str">
        <f>IF(OR(E2373="",E2373="!!!",F2373="NEW"),"",COUNTBLANK(OFFSET(A$1,,,SUMPRODUCT(MAX(ROW(E$2:E2373)*(E2373=E$2:E2373)))))-COUNTBLANK(OFFSET(A$1,,,SUMPRODUCT(MAX(ROW(E$1:E2372)*(E2=E$1:E2372))))))</f>
        <v> </v>
      </c>
      <c r="K2373" s="25" t="str">
        <f>IF(OR(E2373="",E2373="!!!",F2373="NEW"),"",INDEX(J$1:J2372,SUMPRODUCT(MAX(ROW(E$1:E2372)*(E2373=E$1:E2372)))))</f>
        <v> </v>
      </c>
      <c r="L2373" s="26"/>
    </row>
    <row r="2374" spans="1:12">
      <c r="A2374" s="20" t="s">
        <v>1471</v>
      </c>
      <c r="E2374" s="21">
        <f>IF(D2374="?OLD","!!!","")</f>
        <v/>
      </c>
      <c r="F2374" s="22" t="str">
        <f>IF(OR(E2374="",E2374="!!!"),"",IF(NOT(ISNA(VLOOKUP(E2374,E$1:E2373,1,FALSE()))),"OLD",IF(AND(E2374&lt;&gt;"",E2374&lt;&gt;"!!!"),"NEW","")))</f>
        <v> </v>
      </c>
      <c r="G2374" s="23" t="str">
        <f>IF(OR(E2374="",E2374="!!!"),"",IF(OR(J2374=0,AND(J2374=1,K2374=1),AND(J2374=1,I2374="SBJ"),AND(J2374=1,I2374=0)),"?IN_FOCUS",IF(J2374&lt;=2,"?ACTIVATED",IF(J2374&lt;&gt;"","?FAMILIAR",IF(F2374="NEW",IF(ISNA(VLOOKUP(E2374,#REF!,1,FALSE())),"?TYPE_IDENTIFIABLE","?REFERENTIAL"),"_")))))</f>
        <v> </v>
      </c>
      <c r="H2374" s="24" t="str">
        <f>IF(J2374&lt;&gt;1,"",IF(I2374="SBJ","CB","?"))</f>
        <v> </v>
      </c>
      <c r="I2374" s="25" t="str">
        <f>IF(OR(E2374="",E2374="!!!",F2374="NEW"),"",INDEX(B2373:B$2,-1+SUMPRODUCT(MAX(ROW(E2373:E$2)*(E2374=E2373:E$2)))))</f>
        <v> </v>
      </c>
      <c r="J2374" s="25" t="str">
        <f>IF(OR(E2374="",E2374="!!!",F2374="NEW"),"",COUNTBLANK(OFFSET(A$1,,,SUMPRODUCT(MAX(ROW(E$2:E2374)*(E2374=E$2:E2374)))))-COUNTBLANK(OFFSET(A$1,,,SUMPRODUCT(MAX(ROW(E$1:E2373)*(E2=E$1:E2373))))))</f>
        <v> </v>
      </c>
      <c r="K2374" s="25" t="str">
        <f>IF(OR(E2374="",E2374="!!!",F2374="NEW"),"",INDEX(J$1:J2373,SUMPRODUCT(MAX(ROW(E$1:E2373)*(E2374=E$1:E2373)))))</f>
        <v> </v>
      </c>
      <c r="L2374" s="26"/>
    </row>
    <row r="2375" spans="1:12">
      <c r="A2375" s="20" t="s">
        <v>617</v>
      </c>
      <c r="E2375" s="21">
        <f>IF(D2375="?OLD","!!!","")</f>
        <v/>
      </c>
      <c r="F2375" s="22" t="str">
        <f>IF(OR(E2375="",E2375="!!!"),"",IF(NOT(ISNA(VLOOKUP(E2375,E$1:E2374,1,FALSE()))),"OLD",IF(AND(E2375&lt;&gt;"",E2375&lt;&gt;"!!!"),"NEW","")))</f>
        <v> </v>
      </c>
      <c r="G2375" s="23" t="str">
        <f>IF(OR(E2375="",E2375="!!!"),"",IF(OR(J2375=0,AND(J2375=1,K2375=1),AND(J2375=1,I2375="SBJ"),AND(J2375=1,I2375=0)),"?IN_FOCUS",IF(J2375&lt;=2,"?ACTIVATED",IF(J2375&lt;&gt;"","?FAMILIAR",IF(F2375="NEW",IF(ISNA(VLOOKUP(E2375,#REF!,1,FALSE())),"?TYPE_IDENTIFIABLE","?REFERENTIAL"),"_")))))</f>
        <v> </v>
      </c>
      <c r="H2375" s="24" t="str">
        <f>IF(J2375&lt;&gt;1,"",IF(I2375="SBJ","CB","?"))</f>
        <v> </v>
      </c>
      <c r="I2375" s="25" t="str">
        <f>IF(OR(E2375="",E2375="!!!",F2375="NEW"),"",INDEX(B2374:B$2,-1+SUMPRODUCT(MAX(ROW(E2374:E$2)*(E2375=E2374:E$2)))))</f>
        <v> </v>
      </c>
      <c r="J2375" s="25" t="str">
        <f>IF(OR(E2375="",E2375="!!!",F2375="NEW"),"",COUNTBLANK(OFFSET(A$1,,,SUMPRODUCT(MAX(ROW(E$2:E2375)*(E2375=E$2:E2375)))))-COUNTBLANK(OFFSET(A$1,,,SUMPRODUCT(MAX(ROW(E$1:E2374)*(E2=E$1:E2374))))))</f>
        <v> </v>
      </c>
      <c r="K2375" s="25" t="str">
        <f>IF(OR(E2375="",E2375="!!!",F2375="NEW"),"",INDEX(J$1:J2374,SUMPRODUCT(MAX(ROW(E$1:E2374)*(E2375=E$1:E2374)))))</f>
        <v> </v>
      </c>
      <c r="L2375" s="26"/>
    </row>
    <row r="2376" spans="1:12">
      <c r="A2376" s="20" t="s">
        <v>740</v>
      </c>
      <c r="E2376" s="21">
        <f>IF(D2376="?OLD","!!!","")</f>
        <v/>
      </c>
      <c r="F2376" s="22" t="str">
        <f>IF(OR(E2376="",E2376="!!!"),"",IF(NOT(ISNA(VLOOKUP(E2376,E$1:E2375,1,FALSE()))),"OLD",IF(AND(E2376&lt;&gt;"",E2376&lt;&gt;"!!!"),"NEW","")))</f>
        <v> </v>
      </c>
      <c r="G2376" s="23" t="str">
        <f>IF(OR(E2376="",E2376="!!!"),"",IF(OR(J2376=0,AND(J2376=1,K2376=1),AND(J2376=1,I2376="SBJ"),AND(J2376=1,I2376=0)),"?IN_FOCUS",IF(J2376&lt;=2,"?ACTIVATED",IF(J2376&lt;&gt;"","?FAMILIAR",IF(F2376="NEW",IF(ISNA(VLOOKUP(E2376,#REF!,1,FALSE())),"?TYPE_IDENTIFIABLE","?REFERENTIAL"),"_")))))</f>
        <v> </v>
      </c>
      <c r="H2376" s="24" t="str">
        <f>IF(J2376&lt;&gt;1,"",IF(I2376="SBJ","CB","?"))</f>
        <v> </v>
      </c>
      <c r="I2376" s="25" t="str">
        <f>IF(OR(E2376="",E2376="!!!",F2376="NEW"),"",INDEX(B2375:B$2,-1+SUMPRODUCT(MAX(ROW(E2375:E$2)*(E2376=E2375:E$2)))))</f>
        <v> </v>
      </c>
      <c r="J2376" s="25" t="str">
        <f>IF(OR(E2376="",E2376="!!!",F2376="NEW"),"",COUNTBLANK(OFFSET(A$1,,,SUMPRODUCT(MAX(ROW(E$2:E2376)*(E2376=E$2:E2376)))))-COUNTBLANK(OFFSET(A$1,,,SUMPRODUCT(MAX(ROW(E$1:E2375)*(E2=E$1:E2375))))))</f>
        <v> </v>
      </c>
      <c r="K2376" s="25" t="str">
        <f>IF(OR(E2376="",E2376="!!!",F2376="NEW"),"",INDEX(J$1:J2375,SUMPRODUCT(MAX(ROW(E$1:E2375)*(E2376=E$1:E2375)))))</f>
        <v> </v>
      </c>
      <c r="L2376" s="26"/>
    </row>
    <row r="2377" spans="1:12">
      <c r="A2377" s="20" t="s">
        <v>1109</v>
      </c>
      <c r="E2377" s="21">
        <f>IF(D2377="?OLD","!!!","")</f>
        <v/>
      </c>
      <c r="F2377" s="22" t="str">
        <f>IF(OR(E2377="",E2377="!!!"),"",IF(NOT(ISNA(VLOOKUP(E2377,E$1:E2376,1,FALSE()))),"OLD",IF(AND(E2377&lt;&gt;"",E2377&lt;&gt;"!!!"),"NEW","")))</f>
        <v> </v>
      </c>
      <c r="G2377" s="23" t="str">
        <f>IF(OR(E2377="",E2377="!!!"),"",IF(OR(J2377=0,AND(J2377=1,K2377=1),AND(J2377=1,I2377="SBJ"),AND(J2377=1,I2377=0)),"?IN_FOCUS",IF(J2377&lt;=2,"?ACTIVATED",IF(J2377&lt;&gt;"","?FAMILIAR",IF(F2377="NEW",IF(ISNA(VLOOKUP(E2377,#REF!,1,FALSE())),"?TYPE_IDENTIFIABLE","?REFERENTIAL"),"_")))))</f>
        <v> </v>
      </c>
      <c r="H2377" s="24" t="str">
        <f>IF(J2377&lt;&gt;1,"",IF(I2377="SBJ","CB","?"))</f>
        <v> </v>
      </c>
      <c r="I2377" s="25" t="str">
        <f>IF(OR(E2377="",E2377="!!!",F2377="NEW"),"",INDEX(B2376:B$2,-1+SUMPRODUCT(MAX(ROW(E2376:E$2)*(E2377=E2376:E$2)))))</f>
        <v> </v>
      </c>
      <c r="J2377" s="25" t="str">
        <f>IF(OR(E2377="",E2377="!!!",F2377="NEW"),"",COUNTBLANK(OFFSET(A$1,,,SUMPRODUCT(MAX(ROW(E$2:E2377)*(E2377=E$2:E2377)))))-COUNTBLANK(OFFSET(A$1,,,SUMPRODUCT(MAX(ROW(E$1:E2376)*(E2=E$1:E2376))))))</f>
        <v> </v>
      </c>
      <c r="K2377" s="25" t="str">
        <f>IF(OR(E2377="",E2377="!!!",F2377="NEW"),"",INDEX(J$1:J2376,SUMPRODUCT(MAX(ROW(E$1:E2376)*(E2377=E$1:E2376)))))</f>
        <v> </v>
      </c>
      <c r="L2377" s="26"/>
    </row>
    <row r="2378" spans="1:12">
      <c r="A2378" s="20" t="s">
        <v>807</v>
      </c>
      <c r="B2378" s="27" t="s">
        <v>668</v>
      </c>
      <c r="C2378" s="27" t="s">
        <v>652</v>
      </c>
      <c r="D2378" s="27" t="s">
        <v>608</v>
      </c>
      <c r="E2378" s="21">
        <f>IF(D2378="?OLD","!!!","")</f>
        <v/>
      </c>
      <c r="F2378" s="22" t="str">
        <f>IF(OR(E2378="",E2378="!!!"),"",IF(NOT(ISNA(VLOOKUP(E2378,E$1:E2377,1,FALSE()))),"OLD",IF(AND(E2378&lt;&gt;"",E2378&lt;&gt;"!!!"),"NEW","")))</f>
        <v> </v>
      </c>
      <c r="G2378" s="23" t="str">
        <f>IF(OR(E2378="",E2378="!!!"),"",IF(OR(J2378=0,AND(J2378=1,K2378=1),AND(J2378=1,I2378="SBJ"),AND(J2378=1,I2378=0)),"?IN_FOCUS",IF(J2378&lt;=2,"?ACTIVATED",IF(J2378&lt;&gt;"","?FAMILIAR",IF(F2378="NEW",IF(ISNA(VLOOKUP(E2378,#REF!,1,FALSE())),"?TYPE_IDENTIFIABLE","?REFERENTIAL"),"_")))))</f>
        <v> </v>
      </c>
      <c r="H2378" s="24" t="str">
        <f>IF(J2378&lt;&gt;1,"",IF(I2378="SBJ","CB","?"))</f>
        <v> </v>
      </c>
      <c r="I2378" s="25" t="str">
        <f>IF(OR(E2378="",E2378="!!!",F2378="NEW"),"",INDEX(B2377:B$2,-1+SUMPRODUCT(MAX(ROW(E2377:E$2)*(E2378=E2377:E$2)))))</f>
        <v> </v>
      </c>
      <c r="J2378" s="25" t="str">
        <f>IF(OR(E2378="",E2378="!!!",F2378="NEW"),"",COUNTBLANK(OFFSET(A$1,,,SUMPRODUCT(MAX(ROW(E$2:E2378)*(E2378=E$2:E2378)))))-COUNTBLANK(OFFSET(A$1,,,SUMPRODUCT(MAX(ROW(E$1:E2377)*(E2=E$1:E2377))))))</f>
        <v> </v>
      </c>
      <c r="K2378" s="25" t="str">
        <f>IF(OR(E2378="",E2378="!!!",F2378="NEW"),"",INDEX(J$1:J2377,SUMPRODUCT(MAX(ROW(E$1:E2377)*(E2378=E$1:E2377)))))</f>
        <v> </v>
      </c>
      <c r="L2378" s="26"/>
    </row>
    <row r="2379" spans="1:12">
      <c r="A2379" s="20" t="s">
        <v>1472</v>
      </c>
      <c r="E2379" s="21">
        <f>IF(D2379="?OLD","!!!","")</f>
        <v/>
      </c>
      <c r="F2379" s="22" t="str">
        <f>IF(OR(E2379="",E2379="!!!"),"",IF(NOT(ISNA(VLOOKUP(E2379,E$1:E2378,1,FALSE()))),"OLD",IF(AND(E2379&lt;&gt;"",E2379&lt;&gt;"!!!"),"NEW","")))</f>
        <v> </v>
      </c>
      <c r="G2379" s="23" t="str">
        <f>IF(OR(E2379="",E2379="!!!"),"",IF(OR(J2379=0,AND(J2379=1,K2379=1),AND(J2379=1,I2379="SBJ"),AND(J2379=1,I2379=0)),"?IN_FOCUS",IF(J2379&lt;=2,"?ACTIVATED",IF(J2379&lt;&gt;"","?FAMILIAR",IF(F2379="NEW",IF(ISNA(VLOOKUP(E2379,#REF!,1,FALSE())),"?TYPE_IDENTIFIABLE","?REFERENTIAL"),"_")))))</f>
        <v> </v>
      </c>
      <c r="H2379" s="24" t="str">
        <f>IF(J2379&lt;&gt;1,"",IF(I2379="SBJ","CB","?"))</f>
        <v> </v>
      </c>
      <c r="I2379" s="25" t="str">
        <f>IF(OR(E2379="",E2379="!!!",F2379="NEW"),"",INDEX(B2378:B$2,-1+SUMPRODUCT(MAX(ROW(E2378:E$2)*(E2379=E2378:E$2)))))</f>
        <v> </v>
      </c>
      <c r="J2379" s="25" t="str">
        <f>IF(OR(E2379="",E2379="!!!",F2379="NEW"),"",COUNTBLANK(OFFSET(A$1,,,SUMPRODUCT(MAX(ROW(E$2:E2379)*(E2379=E$2:E2379)))))-COUNTBLANK(OFFSET(A$1,,,SUMPRODUCT(MAX(ROW(E$1:E2378)*(E2=E$1:E2378))))))</f>
        <v> </v>
      </c>
      <c r="K2379" s="25" t="str">
        <f>IF(OR(E2379="",E2379="!!!",F2379="NEW"),"",INDEX(J$1:J2378,SUMPRODUCT(MAX(ROW(E$1:E2378)*(E2379=E$1:E2378)))))</f>
        <v> </v>
      </c>
      <c r="L2379" s="26"/>
    </row>
    <row r="2380" spans="1:12">
      <c r="A2380" s="20" t="s">
        <v>707</v>
      </c>
      <c r="E2380" s="21">
        <f>IF(D2380="?OLD","!!!","")</f>
        <v/>
      </c>
      <c r="F2380" s="22" t="str">
        <f>IF(OR(E2380="",E2380="!!!"),"",IF(NOT(ISNA(VLOOKUP(E2380,E$1:E2379,1,FALSE()))),"OLD",IF(AND(E2380&lt;&gt;"",E2380&lt;&gt;"!!!"),"NEW","")))</f>
        <v> </v>
      </c>
      <c r="G2380" s="23" t="str">
        <f>IF(OR(E2380="",E2380="!!!"),"",IF(OR(J2380=0,AND(J2380=1,K2380=1),AND(J2380=1,I2380="SBJ"),AND(J2380=1,I2380=0)),"?IN_FOCUS",IF(J2380&lt;=2,"?ACTIVATED",IF(J2380&lt;&gt;"","?FAMILIAR",IF(F2380="NEW",IF(ISNA(VLOOKUP(E2380,#REF!,1,FALSE())),"?TYPE_IDENTIFIABLE","?REFERENTIAL"),"_")))))</f>
        <v> </v>
      </c>
      <c r="H2380" s="24" t="str">
        <f>IF(J2380&lt;&gt;1,"",IF(I2380="SBJ","CB","?"))</f>
        <v> </v>
      </c>
      <c r="I2380" s="25" t="str">
        <f>IF(OR(E2380="",E2380="!!!",F2380="NEW"),"",INDEX(B2379:B$2,-1+SUMPRODUCT(MAX(ROW(E2379:E$2)*(E2380=E2379:E$2)))))</f>
        <v> </v>
      </c>
      <c r="J2380" s="25" t="str">
        <f>IF(OR(E2380="",E2380="!!!",F2380="NEW"),"",COUNTBLANK(OFFSET(A$1,,,SUMPRODUCT(MAX(ROW(E$2:E2380)*(E2380=E$2:E2380)))))-COUNTBLANK(OFFSET(A$1,,,SUMPRODUCT(MAX(ROW(E$1:E2379)*(E2=E$1:E2379))))))</f>
        <v> </v>
      </c>
      <c r="K2380" s="25" t="str">
        <f>IF(OR(E2380="",E2380="!!!",F2380="NEW"),"",INDEX(J$1:J2379,SUMPRODUCT(MAX(ROW(E$1:E2379)*(E2380=E$1:E2379)))))</f>
        <v> </v>
      </c>
      <c r="L2380" s="26"/>
    </row>
    <row r="2381" spans="1:12">
      <c r="A2381" s="20" t="s">
        <v>609</v>
      </c>
      <c r="E2381" s="21">
        <f>IF(D2381="?OLD","!!!","")</f>
        <v/>
      </c>
      <c r="F2381" s="22" t="str">
        <f>IF(OR(E2381="",E2381="!!!"),"",IF(NOT(ISNA(VLOOKUP(E2381,E$1:E2380,1,FALSE()))),"OLD",IF(AND(E2381&lt;&gt;"",E2381&lt;&gt;"!!!"),"NEW","")))</f>
        <v> </v>
      </c>
      <c r="G2381" s="23" t="str">
        <f>IF(OR(E2381="",E2381="!!!"),"",IF(OR(J2381=0,AND(J2381=1,K2381=1),AND(J2381=1,I2381="SBJ"),AND(J2381=1,I2381=0)),"?IN_FOCUS",IF(J2381&lt;=2,"?ACTIVATED",IF(J2381&lt;&gt;"","?FAMILIAR",IF(F2381="NEW",IF(ISNA(VLOOKUP(E2381,#REF!,1,FALSE())),"?TYPE_IDENTIFIABLE","?REFERENTIAL"),"_")))))</f>
        <v> </v>
      </c>
      <c r="H2381" s="24" t="str">
        <f>IF(J2381&lt;&gt;1,"",IF(I2381="SBJ","CB","?"))</f>
        <v> </v>
      </c>
      <c r="I2381" s="25" t="str">
        <f>IF(OR(E2381="",E2381="!!!",F2381="NEW"),"",INDEX(B2380:B$2,-1+SUMPRODUCT(MAX(ROW(E2380:E$2)*(E2381=E2380:E$2)))))</f>
        <v> </v>
      </c>
      <c r="J2381" s="25" t="str">
        <f>IF(OR(E2381="",E2381="!!!",F2381="NEW"),"",COUNTBLANK(OFFSET(A$1,,,SUMPRODUCT(MAX(ROW(E$2:E2381)*(E2381=E$2:E2381)))))-COUNTBLANK(OFFSET(A$1,,,SUMPRODUCT(MAX(ROW(E$1:E2380)*(E2=E$1:E2380))))))</f>
        <v> </v>
      </c>
      <c r="K2381" s="25" t="str">
        <f>IF(OR(E2381="",E2381="!!!",F2381="NEW"),"",INDEX(J$1:J2380,SUMPRODUCT(MAX(ROW(E$1:E2380)*(E2381=E$1:E2380)))))</f>
        <v> </v>
      </c>
      <c r="L2381" s="26"/>
    </row>
    <row r="2382" spans="1:12">
      <c r="A2382" s="20" t="s">
        <v>795</v>
      </c>
      <c r="B2382" s="27" t="s">
        <v>625</v>
      </c>
      <c r="C2382" s="27" t="s">
        <v>607</v>
      </c>
      <c r="D2382" s="27" t="s">
        <v>608</v>
      </c>
      <c r="E2382" s="21">
        <f>IF(D2382="?OLD","!!!","")</f>
        <v/>
      </c>
      <c r="F2382" s="22" t="str">
        <f>IF(OR(E2382="",E2382="!!!"),"",IF(NOT(ISNA(VLOOKUP(E2382,E$1:E2381,1,FALSE()))),"OLD",IF(AND(E2382&lt;&gt;"",E2382&lt;&gt;"!!!"),"NEW","")))</f>
        <v> </v>
      </c>
      <c r="G2382" s="23" t="str">
        <f>IF(OR(E2382="",E2382="!!!"),"",IF(OR(J2382=0,AND(J2382=1,K2382=1),AND(J2382=1,I2382="SBJ"),AND(J2382=1,I2382=0)),"?IN_FOCUS",IF(J2382&lt;=2,"?ACTIVATED",IF(J2382&lt;&gt;"","?FAMILIAR",IF(F2382="NEW",IF(ISNA(VLOOKUP(E2382,#REF!,1,FALSE())),"?TYPE_IDENTIFIABLE","?REFERENTIAL"),"_")))))</f>
        <v> </v>
      </c>
      <c r="H2382" s="24" t="str">
        <f>IF(J2382&lt;&gt;1,"",IF(I2382="SBJ","CB","?"))</f>
        <v> </v>
      </c>
      <c r="I2382" s="25" t="str">
        <f>IF(OR(E2382="",E2382="!!!",F2382="NEW"),"",INDEX(B2381:B$2,-1+SUMPRODUCT(MAX(ROW(E2381:E$2)*(E2382=E2381:E$2)))))</f>
        <v> </v>
      </c>
      <c r="J2382" s="25" t="str">
        <f>IF(OR(E2382="",E2382="!!!",F2382="NEW"),"",COUNTBLANK(OFFSET(A$1,,,SUMPRODUCT(MAX(ROW(E$2:E2382)*(E2382=E$2:E2382)))))-COUNTBLANK(OFFSET(A$1,,,SUMPRODUCT(MAX(ROW(E$1:E2381)*(E2=E$1:E2381))))))</f>
        <v> </v>
      </c>
      <c r="K2382" s="25" t="str">
        <f>IF(OR(E2382="",E2382="!!!",F2382="NEW"),"",INDEX(J$1:J2381,SUMPRODUCT(MAX(ROW(E$1:E2381)*(E2382=E$1:E2381)))))</f>
        <v> </v>
      </c>
      <c r="L2382" s="26"/>
    </row>
    <row r="2383" spans="1:12">
      <c r="A2383" s="20" t="s">
        <v>801</v>
      </c>
      <c r="E2383" s="21">
        <f>IF(D2383="?OLD","!!!","")</f>
        <v/>
      </c>
      <c r="F2383" s="22" t="str">
        <f>IF(OR(E2383="",E2383="!!!"),"",IF(NOT(ISNA(VLOOKUP(E2383,E$1:E2382,1,FALSE()))),"OLD",IF(AND(E2383&lt;&gt;"",E2383&lt;&gt;"!!!"),"NEW","")))</f>
        <v> </v>
      </c>
      <c r="G2383" s="23" t="str">
        <f>IF(OR(E2383="",E2383="!!!"),"",IF(OR(J2383=0,AND(J2383=1,K2383=1),AND(J2383=1,I2383="SBJ"),AND(J2383=1,I2383=0)),"?IN_FOCUS",IF(J2383&lt;=2,"?ACTIVATED",IF(J2383&lt;&gt;"","?FAMILIAR",IF(F2383="NEW",IF(ISNA(VLOOKUP(E2383,#REF!,1,FALSE())),"?TYPE_IDENTIFIABLE","?REFERENTIAL"),"_")))))</f>
        <v> </v>
      </c>
      <c r="H2383" s="24" t="str">
        <f>IF(J2383&lt;&gt;1,"",IF(I2383="SBJ","CB","?"))</f>
        <v> </v>
      </c>
      <c r="I2383" s="25" t="str">
        <f>IF(OR(E2383="",E2383="!!!",F2383="NEW"),"",INDEX(B2382:B$2,-1+SUMPRODUCT(MAX(ROW(E2382:E$2)*(E2383=E2382:E$2)))))</f>
        <v> </v>
      </c>
      <c r="J2383" s="25" t="str">
        <f>IF(OR(E2383="",E2383="!!!",F2383="NEW"),"",COUNTBLANK(OFFSET(A$1,,,SUMPRODUCT(MAX(ROW(E$2:E2383)*(E2383=E$2:E2383)))))-COUNTBLANK(OFFSET(A$1,,,SUMPRODUCT(MAX(ROW(E$1:E2382)*(E2=E$1:E2382))))))</f>
        <v> </v>
      </c>
      <c r="K2383" s="25" t="str">
        <f>IF(OR(E2383="",E2383="!!!",F2383="NEW"),"",INDEX(J$1:J2382,SUMPRODUCT(MAX(ROW(E$1:E2382)*(E2383=E$1:E2382)))))</f>
        <v> </v>
      </c>
      <c r="L2383" s="26"/>
    </row>
    <row r="2384" spans="1:12">
      <c r="A2384" s="20" t="s">
        <v>618</v>
      </c>
      <c r="E2384" s="21">
        <f>IF(D2384="?OLD","!!!","")</f>
        <v/>
      </c>
      <c r="F2384" s="22" t="str">
        <f>IF(OR(E2384="",E2384="!!!"),"",IF(NOT(ISNA(VLOOKUP(E2384,E$1:E2383,1,FALSE()))),"OLD",IF(AND(E2384&lt;&gt;"",E2384&lt;&gt;"!!!"),"NEW","")))</f>
        <v> </v>
      </c>
      <c r="G2384" s="23" t="str">
        <f>IF(OR(E2384="",E2384="!!!"),"",IF(OR(J2384=0,AND(J2384=1,K2384=1),AND(J2384=1,I2384="SBJ"),AND(J2384=1,I2384=0)),"?IN_FOCUS",IF(J2384&lt;=2,"?ACTIVATED",IF(J2384&lt;&gt;"","?FAMILIAR",IF(F2384="NEW",IF(ISNA(VLOOKUP(E2384,#REF!,1,FALSE())),"?TYPE_IDENTIFIABLE","?REFERENTIAL"),"_")))))</f>
        <v> </v>
      </c>
      <c r="H2384" s="24" t="str">
        <f>IF(J2384&lt;&gt;1,"",IF(I2384="SBJ","CB","?"))</f>
        <v> </v>
      </c>
      <c r="I2384" s="25" t="str">
        <f>IF(OR(E2384="",E2384="!!!",F2384="NEW"),"",INDEX(B2383:B$2,-1+SUMPRODUCT(MAX(ROW(E2383:E$2)*(E2384=E2383:E$2)))))</f>
        <v> </v>
      </c>
      <c r="J2384" s="25" t="str">
        <f>IF(OR(E2384="",E2384="!!!",F2384="NEW"),"",COUNTBLANK(OFFSET(A$1,,,SUMPRODUCT(MAX(ROW(E$2:E2384)*(E2384=E$2:E2384)))))-COUNTBLANK(OFFSET(A$1,,,SUMPRODUCT(MAX(ROW(E$1:E2383)*(E2=E$1:E2383))))))</f>
        <v> </v>
      </c>
      <c r="K2384" s="25" t="str">
        <f>IF(OR(E2384="",E2384="!!!",F2384="NEW"),"",INDEX(J$1:J2383,SUMPRODUCT(MAX(ROW(E$1:E2383)*(E2384=E$1:E2383)))))</f>
        <v> </v>
      </c>
      <c r="L2384" s="26"/>
    </row>
    <row r="2385" spans="1:12">
      <c r="A2385" s="20" t="s">
        <v>1473</v>
      </c>
      <c r="B2385" s="27" t="s">
        <v>611</v>
      </c>
      <c r="C2385" s="27" t="s">
        <v>607</v>
      </c>
      <c r="D2385" s="27" t="s">
        <v>608</v>
      </c>
      <c r="E2385" s="21">
        <f>IF(D2385="?OLD","!!!","")</f>
        <v/>
      </c>
      <c r="F2385" s="22" t="str">
        <f>IF(OR(E2385="",E2385="!!!"),"",IF(NOT(ISNA(VLOOKUP(E2385,E$1:E2384,1,FALSE()))),"OLD",IF(AND(E2385&lt;&gt;"",E2385&lt;&gt;"!!!"),"NEW","")))</f>
        <v> </v>
      </c>
      <c r="G2385" s="23" t="str">
        <f>IF(OR(E2385="",E2385="!!!"),"",IF(OR(J2385=0,AND(J2385=1,K2385=1),AND(J2385=1,I2385="SBJ"),AND(J2385=1,I2385=0)),"?IN_FOCUS",IF(J2385&lt;=2,"?ACTIVATED",IF(J2385&lt;&gt;"","?FAMILIAR",IF(F2385="NEW",IF(ISNA(VLOOKUP(E2385,#REF!,1,FALSE())),"?TYPE_IDENTIFIABLE","?REFERENTIAL"),"_")))))</f>
        <v> </v>
      </c>
      <c r="H2385" s="24" t="str">
        <f>IF(J2385&lt;&gt;1,"",IF(I2385="SBJ","CB","?"))</f>
        <v> </v>
      </c>
      <c r="I2385" s="25" t="str">
        <f>IF(OR(E2385="",E2385="!!!",F2385="NEW"),"",INDEX(B2384:B$2,-1+SUMPRODUCT(MAX(ROW(E2384:E$2)*(E2385=E2384:E$2)))))</f>
        <v> </v>
      </c>
      <c r="J2385" s="25" t="str">
        <f>IF(OR(E2385="",E2385="!!!",F2385="NEW"),"",COUNTBLANK(OFFSET(A$1,,,SUMPRODUCT(MAX(ROW(E$2:E2385)*(E2385=E$2:E2385)))))-COUNTBLANK(OFFSET(A$1,,,SUMPRODUCT(MAX(ROW(E$1:E2384)*(E2=E$1:E2384))))))</f>
        <v> </v>
      </c>
      <c r="K2385" s="25" t="str">
        <f>IF(OR(E2385="",E2385="!!!",F2385="NEW"),"",INDEX(J$1:J2384,SUMPRODUCT(MAX(ROW(E$1:E2384)*(E2385=E$1:E2384)))))</f>
        <v> </v>
      </c>
      <c r="L2385" s="26"/>
    </row>
    <row r="2386" spans="1:12">
      <c r="A2386" s="20" t="s">
        <v>1113</v>
      </c>
      <c r="E2386" s="21">
        <f>IF(D2386="?OLD","!!!","")</f>
        <v/>
      </c>
      <c r="F2386" s="22" t="str">
        <f>IF(OR(E2386="",E2386="!!!"),"",IF(NOT(ISNA(VLOOKUP(E2386,E$1:E2385,1,FALSE()))),"OLD",IF(AND(E2386&lt;&gt;"",E2386&lt;&gt;"!!!"),"NEW","")))</f>
        <v> </v>
      </c>
      <c r="G2386" s="23" t="str">
        <f>IF(OR(E2386="",E2386="!!!"),"",IF(OR(J2386=0,AND(J2386=1,K2386=1),AND(J2386=1,I2386="SBJ"),AND(J2386=1,I2386=0)),"?IN_FOCUS",IF(J2386&lt;=2,"?ACTIVATED",IF(J2386&lt;&gt;"","?FAMILIAR",IF(F2386="NEW",IF(ISNA(VLOOKUP(E2386,#REF!,1,FALSE())),"?TYPE_IDENTIFIABLE","?REFERENTIAL"),"_")))))</f>
        <v> </v>
      </c>
      <c r="H2386" s="24" t="str">
        <f>IF(J2386&lt;&gt;1,"",IF(I2386="SBJ","CB","?"))</f>
        <v> </v>
      </c>
      <c r="I2386" s="25" t="str">
        <f>IF(OR(E2386="",E2386="!!!",F2386="NEW"),"",INDEX(B2385:B$2,-1+SUMPRODUCT(MAX(ROW(E2385:E$2)*(E2386=E2385:E$2)))))</f>
        <v> </v>
      </c>
      <c r="J2386" s="25" t="str">
        <f>IF(OR(E2386="",E2386="!!!",F2386="NEW"),"",COUNTBLANK(OFFSET(A$1,,,SUMPRODUCT(MAX(ROW(E$2:E2386)*(E2386=E$2:E2386)))))-COUNTBLANK(OFFSET(A$1,,,SUMPRODUCT(MAX(ROW(E$1:E2385)*(E2=E$1:E2385))))))</f>
        <v> </v>
      </c>
      <c r="K2386" s="25" t="str">
        <f>IF(OR(E2386="",E2386="!!!",F2386="NEW"),"",INDEX(J$1:J2385,SUMPRODUCT(MAX(ROW(E$1:E2385)*(E2386=E$1:E2385)))))</f>
        <v> </v>
      </c>
      <c r="L2386" s="26"/>
    </row>
    <row r="2387" spans="1:12">
      <c r="A2387" s="20" t="s">
        <v>617</v>
      </c>
      <c r="E2387" s="21">
        <f>IF(D2387="?OLD","!!!","")</f>
        <v/>
      </c>
      <c r="F2387" s="22" t="str">
        <f>IF(OR(E2387="",E2387="!!!"),"",IF(NOT(ISNA(VLOOKUP(E2387,E$1:E2386,1,FALSE()))),"OLD",IF(AND(E2387&lt;&gt;"",E2387&lt;&gt;"!!!"),"NEW","")))</f>
        <v> </v>
      </c>
      <c r="G2387" s="23" t="str">
        <f>IF(OR(E2387="",E2387="!!!"),"",IF(OR(J2387=0,AND(J2387=1,K2387=1),AND(J2387=1,I2387="SBJ"),AND(J2387=1,I2387=0)),"?IN_FOCUS",IF(J2387&lt;=2,"?ACTIVATED",IF(J2387&lt;&gt;"","?FAMILIAR",IF(F2387="NEW",IF(ISNA(VLOOKUP(E2387,#REF!,1,FALSE())),"?TYPE_IDENTIFIABLE","?REFERENTIAL"),"_")))))</f>
        <v> </v>
      </c>
      <c r="H2387" s="24" t="str">
        <f>IF(J2387&lt;&gt;1,"",IF(I2387="SBJ","CB","?"))</f>
        <v> </v>
      </c>
      <c r="I2387" s="25" t="str">
        <f>IF(OR(E2387="",E2387="!!!",F2387="NEW"),"",INDEX(B2386:B$2,-1+SUMPRODUCT(MAX(ROW(E2386:E$2)*(E2387=E2386:E$2)))))</f>
        <v> </v>
      </c>
      <c r="J2387" s="25" t="str">
        <f>IF(OR(E2387="",E2387="!!!",F2387="NEW"),"",COUNTBLANK(OFFSET(A$1,,,SUMPRODUCT(MAX(ROW(E$2:E2387)*(E2387=E$2:E2387)))))-COUNTBLANK(OFFSET(A$1,,,SUMPRODUCT(MAX(ROW(E$1:E2386)*(E2=E$1:E2386))))))</f>
        <v> </v>
      </c>
      <c r="K2387" s="25" t="str">
        <f>IF(OR(E2387="",E2387="!!!",F2387="NEW"),"",INDEX(J$1:J2386,SUMPRODUCT(MAX(ROW(E$1:E2386)*(E2387=E$1:E2386)))))</f>
        <v> </v>
      </c>
      <c r="L2387" s="26"/>
    </row>
    <row r="2388" spans="1:12">
      <c r="A2388" s="20" t="s">
        <v>740</v>
      </c>
      <c r="E2388" s="21">
        <f>IF(D2388="?OLD","!!!","")</f>
        <v/>
      </c>
      <c r="F2388" s="22" t="str">
        <f>IF(OR(E2388="",E2388="!!!"),"",IF(NOT(ISNA(VLOOKUP(E2388,E$1:E2387,1,FALSE()))),"OLD",IF(AND(E2388&lt;&gt;"",E2388&lt;&gt;"!!!"),"NEW","")))</f>
        <v> </v>
      </c>
      <c r="G2388" s="23" t="str">
        <f>IF(OR(E2388="",E2388="!!!"),"",IF(OR(J2388=0,AND(J2388=1,K2388=1),AND(J2388=1,I2388="SBJ"),AND(J2388=1,I2388=0)),"?IN_FOCUS",IF(J2388&lt;=2,"?ACTIVATED",IF(J2388&lt;&gt;"","?FAMILIAR",IF(F2388="NEW",IF(ISNA(VLOOKUP(E2388,#REF!,1,FALSE())),"?TYPE_IDENTIFIABLE","?REFERENTIAL"),"_")))))</f>
        <v> </v>
      </c>
      <c r="H2388" s="24" t="str">
        <f>IF(J2388&lt;&gt;1,"",IF(I2388="SBJ","CB","?"))</f>
        <v> </v>
      </c>
      <c r="I2388" s="25" t="str">
        <f>IF(OR(E2388="",E2388="!!!",F2388="NEW"),"",INDEX(B2387:B$2,-1+SUMPRODUCT(MAX(ROW(E2387:E$2)*(E2388=E2387:E$2)))))</f>
        <v> </v>
      </c>
      <c r="J2388" s="25" t="str">
        <f>IF(OR(E2388="",E2388="!!!",F2388="NEW"),"",COUNTBLANK(OFFSET(A$1,,,SUMPRODUCT(MAX(ROW(E$2:E2388)*(E2388=E$2:E2388)))))-COUNTBLANK(OFFSET(A$1,,,SUMPRODUCT(MAX(ROW(E$1:E2387)*(E2=E$1:E2387))))))</f>
        <v> </v>
      </c>
      <c r="K2388" s="25" t="str">
        <f>IF(OR(E2388="",E2388="!!!",F2388="NEW"),"",INDEX(J$1:J2387,SUMPRODUCT(MAX(ROW(E$1:E2387)*(E2388=E$1:E2387)))))</f>
        <v> </v>
      </c>
      <c r="L2388" s="26"/>
    </row>
    <row r="2389" spans="1:12">
      <c r="A2389" s="20" t="s">
        <v>1109</v>
      </c>
      <c r="E2389" s="21">
        <f>IF(D2389="?OLD","!!!","")</f>
        <v/>
      </c>
      <c r="F2389" s="22" t="str">
        <f>IF(OR(E2389="",E2389="!!!"),"",IF(NOT(ISNA(VLOOKUP(E2389,E$1:E2388,1,FALSE()))),"OLD",IF(AND(E2389&lt;&gt;"",E2389&lt;&gt;"!!!"),"NEW","")))</f>
        <v> </v>
      </c>
      <c r="G2389" s="23" t="str">
        <f>IF(OR(E2389="",E2389="!!!"),"",IF(OR(J2389=0,AND(J2389=1,K2389=1),AND(J2389=1,I2389="SBJ"),AND(J2389=1,I2389=0)),"?IN_FOCUS",IF(J2389&lt;=2,"?ACTIVATED",IF(J2389&lt;&gt;"","?FAMILIAR",IF(F2389="NEW",IF(ISNA(VLOOKUP(E2389,#REF!,1,FALSE())),"?TYPE_IDENTIFIABLE","?REFERENTIAL"),"_")))))</f>
        <v> </v>
      </c>
      <c r="H2389" s="24" t="str">
        <f>IF(J2389&lt;&gt;1,"",IF(I2389="SBJ","CB","?"))</f>
        <v> </v>
      </c>
      <c r="I2389" s="25" t="str">
        <f>IF(OR(E2389="",E2389="!!!",F2389="NEW"),"",INDEX(B2388:B$2,-1+SUMPRODUCT(MAX(ROW(E2388:E$2)*(E2389=E2388:E$2)))))</f>
        <v> </v>
      </c>
      <c r="J2389" s="25" t="str">
        <f>IF(OR(E2389="",E2389="!!!",F2389="NEW"),"",COUNTBLANK(OFFSET(A$1,,,SUMPRODUCT(MAX(ROW(E$2:E2389)*(E2389=E$2:E2389)))))-COUNTBLANK(OFFSET(A$1,,,SUMPRODUCT(MAX(ROW(E$1:E2388)*(E2=E$1:E2388))))))</f>
        <v> </v>
      </c>
      <c r="K2389" s="25" t="str">
        <f>IF(OR(E2389="",E2389="!!!",F2389="NEW"),"",INDEX(J$1:J2388,SUMPRODUCT(MAX(ROW(E$1:E2388)*(E2389=E$1:E2388)))))</f>
        <v> </v>
      </c>
      <c r="L2389" s="26"/>
    </row>
    <row r="2390" spans="1:12">
      <c r="A2390" s="20" t="s">
        <v>807</v>
      </c>
      <c r="B2390" s="27" t="s">
        <v>742</v>
      </c>
      <c r="C2390" s="27" t="s">
        <v>652</v>
      </c>
      <c r="D2390" s="27" t="s">
        <v>608</v>
      </c>
      <c r="E2390" s="21">
        <f>IF(D2390="?OLD","!!!","")</f>
        <v/>
      </c>
      <c r="F2390" s="22" t="str">
        <f>IF(OR(E2390="",E2390="!!!"),"",IF(NOT(ISNA(VLOOKUP(E2390,E$1:E2389,1,FALSE()))),"OLD",IF(AND(E2390&lt;&gt;"",E2390&lt;&gt;"!!!"),"NEW","")))</f>
        <v> </v>
      </c>
      <c r="G2390" s="23" t="str">
        <f>IF(OR(E2390="",E2390="!!!"),"",IF(OR(J2390=0,AND(J2390=1,K2390=1),AND(J2390=1,I2390="SBJ"),AND(J2390=1,I2390=0)),"?IN_FOCUS",IF(J2390&lt;=2,"?ACTIVATED",IF(J2390&lt;&gt;"","?FAMILIAR",IF(F2390="NEW",IF(ISNA(VLOOKUP(E2390,#REF!,1,FALSE())),"?TYPE_IDENTIFIABLE","?REFERENTIAL"),"_")))))</f>
        <v> </v>
      </c>
      <c r="H2390" s="24" t="str">
        <f>IF(J2390&lt;&gt;1,"",IF(I2390="SBJ","CB","?"))</f>
        <v> </v>
      </c>
      <c r="I2390" s="25" t="str">
        <f>IF(OR(E2390="",E2390="!!!",F2390="NEW"),"",INDEX(B2389:B$2,-1+SUMPRODUCT(MAX(ROW(E2389:E$2)*(E2390=E2389:E$2)))))</f>
        <v> </v>
      </c>
      <c r="J2390" s="25" t="str">
        <f>IF(OR(E2390="",E2390="!!!",F2390="NEW"),"",COUNTBLANK(OFFSET(A$1,,,SUMPRODUCT(MAX(ROW(E$2:E2390)*(E2390=E$2:E2390)))))-COUNTBLANK(OFFSET(A$1,,,SUMPRODUCT(MAX(ROW(E$1:E2389)*(E2=E$1:E2389))))))</f>
        <v> </v>
      </c>
      <c r="K2390" s="25" t="str">
        <f>IF(OR(E2390="",E2390="!!!",F2390="NEW"),"",INDEX(J$1:J2389,SUMPRODUCT(MAX(ROW(E$1:E2389)*(E2390=E$1:E2389)))))</f>
        <v> </v>
      </c>
      <c r="L2390" s="26"/>
    </row>
    <row r="2391" spans="1:12">
      <c r="A2391" s="20" t="s">
        <v>1302</v>
      </c>
      <c r="E2391" s="21">
        <f>IF(D2391="?OLD","!!!","")</f>
        <v/>
      </c>
      <c r="F2391" s="22" t="str">
        <f>IF(OR(E2391="",E2391="!!!"),"",IF(NOT(ISNA(VLOOKUP(E2391,E$1:E2390,1,FALSE()))),"OLD",IF(AND(E2391&lt;&gt;"",E2391&lt;&gt;"!!!"),"NEW","")))</f>
        <v> </v>
      </c>
      <c r="G2391" s="23" t="str">
        <f>IF(OR(E2391="",E2391="!!!"),"",IF(OR(J2391=0,AND(J2391=1,K2391=1),AND(J2391=1,I2391="SBJ"),AND(J2391=1,I2391=0)),"?IN_FOCUS",IF(J2391&lt;=2,"?ACTIVATED",IF(J2391&lt;&gt;"","?FAMILIAR",IF(F2391="NEW",IF(ISNA(VLOOKUP(E2391,#REF!,1,FALSE())),"?TYPE_IDENTIFIABLE","?REFERENTIAL"),"_")))))</f>
        <v> </v>
      </c>
      <c r="H2391" s="24" t="str">
        <f>IF(J2391&lt;&gt;1,"",IF(I2391="SBJ","CB","?"))</f>
        <v> </v>
      </c>
      <c r="I2391" s="25" t="str">
        <f>IF(OR(E2391="",E2391="!!!",F2391="NEW"),"",INDEX(B2390:B$2,-1+SUMPRODUCT(MAX(ROW(E2390:E$2)*(E2391=E2390:E$2)))))</f>
        <v> </v>
      </c>
      <c r="J2391" s="25" t="str">
        <f>IF(OR(E2391="",E2391="!!!",F2391="NEW"),"",COUNTBLANK(OFFSET(A$1,,,SUMPRODUCT(MAX(ROW(E$2:E2391)*(E2391=E$2:E2391)))))-COUNTBLANK(OFFSET(A$1,,,SUMPRODUCT(MAX(ROW(E$1:E2390)*(E2=E$1:E2390))))))</f>
        <v> </v>
      </c>
      <c r="K2391" s="25" t="str">
        <f>IF(OR(E2391="",E2391="!!!",F2391="NEW"),"",INDEX(J$1:J2390,SUMPRODUCT(MAX(ROW(E$1:E2390)*(E2391=E$1:E2390)))))</f>
        <v> </v>
      </c>
      <c r="L2391" s="26"/>
    </row>
    <row r="2392" spans="1:12">
      <c r="A2392" s="20" t="s">
        <v>1474</v>
      </c>
      <c r="B2392" s="27" t="s">
        <v>1022</v>
      </c>
      <c r="C2392" s="27" t="s">
        <v>894</v>
      </c>
      <c r="E2392" s="21">
        <f>IF(D2392="?OLD","!!!","")</f>
        <v/>
      </c>
      <c r="F2392" s="22" t="str">
        <f>IF(OR(E2392="",E2392="!!!"),"",IF(NOT(ISNA(VLOOKUP(E2392,E$1:E2391,1,FALSE()))),"OLD",IF(AND(E2392&lt;&gt;"",E2392&lt;&gt;"!!!"),"NEW","")))</f>
        <v> </v>
      </c>
      <c r="G2392" s="23" t="str">
        <f>IF(OR(E2392="",E2392="!!!"),"",IF(OR(J2392=0,AND(J2392=1,K2392=1),AND(J2392=1,I2392="SBJ"),AND(J2392=1,I2392=0)),"?IN_FOCUS",IF(J2392&lt;=2,"?ACTIVATED",IF(J2392&lt;&gt;"","?FAMILIAR",IF(F2392="NEW",IF(ISNA(VLOOKUP(E2392,#REF!,1,FALSE())),"?TYPE_IDENTIFIABLE","?REFERENTIAL"),"_")))))</f>
        <v> </v>
      </c>
      <c r="H2392" s="24" t="str">
        <f>IF(J2392&lt;&gt;1,"",IF(I2392="SBJ","CB","?"))</f>
        <v> </v>
      </c>
      <c r="I2392" s="25" t="str">
        <f>IF(OR(E2392="",E2392="!!!",F2392="NEW"),"",INDEX(B2391:B$2,-1+SUMPRODUCT(MAX(ROW(E2391:E$2)*(E2392=E2391:E$2)))))</f>
        <v> </v>
      </c>
      <c r="J2392" s="25" t="str">
        <f>IF(OR(E2392="",E2392="!!!",F2392="NEW"),"",COUNTBLANK(OFFSET(A$1,,,SUMPRODUCT(MAX(ROW(E$2:E2392)*(E2392=E$2:E2392)))))-COUNTBLANK(OFFSET(A$1,,,SUMPRODUCT(MAX(ROW(E$1:E2391)*(E2=E$1:E2391))))))</f>
        <v> </v>
      </c>
      <c r="K2392" s="25" t="str">
        <f>IF(OR(E2392="",E2392="!!!",F2392="NEW"),"",INDEX(J$1:J2391,SUMPRODUCT(MAX(ROW(E$1:E2391)*(E2392=E$1:E2391)))))</f>
        <v> </v>
      </c>
      <c r="L2392" s="26"/>
    </row>
    <row r="2393" spans="1:12">
      <c r="A2393" s="20" t="s">
        <v>1475</v>
      </c>
      <c r="E2393" s="21">
        <f>IF(D2393="?OLD","!!!","")</f>
        <v/>
      </c>
      <c r="F2393" s="22" t="str">
        <f>IF(OR(E2393="",E2393="!!!"),"",IF(NOT(ISNA(VLOOKUP(E2393,E$1:E2392,1,FALSE()))),"OLD",IF(AND(E2393&lt;&gt;"",E2393&lt;&gt;"!!!"),"NEW","")))</f>
        <v> </v>
      </c>
      <c r="G2393" s="23" t="str">
        <f>IF(OR(E2393="",E2393="!!!"),"",IF(OR(J2393=0,AND(J2393=1,K2393=1),AND(J2393=1,I2393="SBJ"),AND(J2393=1,I2393=0)),"?IN_FOCUS",IF(J2393&lt;=2,"?ACTIVATED",IF(J2393&lt;&gt;"","?FAMILIAR",IF(F2393="NEW",IF(ISNA(VLOOKUP(E2393,#REF!,1,FALSE())),"?TYPE_IDENTIFIABLE","?REFERENTIAL"),"_")))))</f>
        <v> </v>
      </c>
      <c r="H2393" s="24" t="str">
        <f>IF(J2393&lt;&gt;1,"",IF(I2393="SBJ","CB","?"))</f>
        <v> </v>
      </c>
      <c r="I2393" s="25" t="str">
        <f>IF(OR(E2393="",E2393="!!!",F2393="NEW"),"",INDEX(B2392:B$2,-1+SUMPRODUCT(MAX(ROW(E2392:E$2)*(E2393=E2392:E$2)))))</f>
        <v> </v>
      </c>
      <c r="J2393" s="25" t="str">
        <f>IF(OR(E2393="",E2393="!!!",F2393="NEW"),"",COUNTBLANK(OFFSET(A$1,,,SUMPRODUCT(MAX(ROW(E$2:E2393)*(E2393=E$2:E2393)))))-COUNTBLANK(OFFSET(A$1,,,SUMPRODUCT(MAX(ROW(E$1:E2392)*(E2=E$1:E2392))))))</f>
        <v> </v>
      </c>
      <c r="K2393" s="25" t="str">
        <f>IF(OR(E2393="",E2393="!!!",F2393="NEW"),"",INDEX(J$1:J2392,SUMPRODUCT(MAX(ROW(E$1:E2392)*(E2393=E$1:E2392)))))</f>
        <v> </v>
      </c>
      <c r="L2393" s="26"/>
    </row>
    <row r="2394" spans="1:12">
      <c r="A2394" s="20" t="s">
        <v>1113</v>
      </c>
      <c r="E2394" s="21">
        <f>IF(D2394="?OLD","!!!","")</f>
        <v/>
      </c>
      <c r="F2394" s="22" t="str">
        <f>IF(OR(E2394="",E2394="!!!"),"",IF(NOT(ISNA(VLOOKUP(E2394,E$1:E2393,1,FALSE()))),"OLD",IF(AND(E2394&lt;&gt;"",E2394&lt;&gt;"!!!"),"NEW","")))</f>
        <v> </v>
      </c>
      <c r="G2394" s="23" t="str">
        <f>IF(OR(E2394="",E2394="!!!"),"",IF(OR(J2394=0,AND(J2394=1,K2394=1),AND(J2394=1,I2394="SBJ"),AND(J2394=1,I2394=0)),"?IN_FOCUS",IF(J2394&lt;=2,"?ACTIVATED",IF(J2394&lt;&gt;"","?FAMILIAR",IF(F2394="NEW",IF(ISNA(VLOOKUP(E2394,#REF!,1,FALSE())),"?TYPE_IDENTIFIABLE","?REFERENTIAL"),"_")))))</f>
        <v> </v>
      </c>
      <c r="H2394" s="24" t="str">
        <f>IF(J2394&lt;&gt;1,"",IF(I2394="SBJ","CB","?"))</f>
        <v> </v>
      </c>
      <c r="I2394" s="25" t="str">
        <f>IF(OR(E2394="",E2394="!!!",F2394="NEW"),"",INDEX(B2393:B$2,-1+SUMPRODUCT(MAX(ROW(E2393:E$2)*(E2394=E2393:E$2)))))</f>
        <v> </v>
      </c>
      <c r="J2394" s="25" t="str">
        <f>IF(OR(E2394="",E2394="!!!",F2394="NEW"),"",COUNTBLANK(OFFSET(A$1,,,SUMPRODUCT(MAX(ROW(E$2:E2394)*(E2394=E$2:E2394)))))-COUNTBLANK(OFFSET(A$1,,,SUMPRODUCT(MAX(ROW(E$1:E2393)*(E2=E$1:E2393))))))</f>
        <v> </v>
      </c>
      <c r="K2394" s="25" t="str">
        <f>IF(OR(E2394="",E2394="!!!",F2394="NEW"),"",INDEX(J$1:J2393,SUMPRODUCT(MAX(ROW(E$1:E2393)*(E2394=E$1:E2393)))))</f>
        <v> </v>
      </c>
      <c r="L2394" s="26"/>
    </row>
    <row r="2395" spans="1:12">
      <c r="A2395" s="20" t="s">
        <v>617</v>
      </c>
      <c r="E2395" s="21">
        <f>IF(D2395="?OLD","!!!","")</f>
        <v/>
      </c>
      <c r="F2395" s="22" t="str">
        <f>IF(OR(E2395="",E2395="!!!"),"",IF(NOT(ISNA(VLOOKUP(E2395,E$1:E2394,1,FALSE()))),"OLD",IF(AND(E2395&lt;&gt;"",E2395&lt;&gt;"!!!"),"NEW","")))</f>
        <v> </v>
      </c>
      <c r="G2395" s="23" t="str">
        <f>IF(OR(E2395="",E2395="!!!"),"",IF(OR(J2395=0,AND(J2395=1,K2395=1),AND(J2395=1,I2395="SBJ"),AND(J2395=1,I2395=0)),"?IN_FOCUS",IF(J2395&lt;=2,"?ACTIVATED",IF(J2395&lt;&gt;"","?FAMILIAR",IF(F2395="NEW",IF(ISNA(VLOOKUP(E2395,#REF!,1,FALSE())),"?TYPE_IDENTIFIABLE","?REFERENTIAL"),"_")))))</f>
        <v> </v>
      </c>
      <c r="H2395" s="24" t="str">
        <f>IF(J2395&lt;&gt;1,"",IF(I2395="SBJ","CB","?"))</f>
        <v> </v>
      </c>
      <c r="I2395" s="25" t="str">
        <f>IF(OR(E2395="",E2395="!!!",F2395="NEW"),"",INDEX(B2394:B$2,-1+SUMPRODUCT(MAX(ROW(E2394:E$2)*(E2395=E2394:E$2)))))</f>
        <v> </v>
      </c>
      <c r="J2395" s="25" t="str">
        <f>IF(OR(E2395="",E2395="!!!",F2395="NEW"),"",COUNTBLANK(OFFSET(A$1,,,SUMPRODUCT(MAX(ROW(E$2:E2395)*(E2395=E$2:E2395)))))-COUNTBLANK(OFFSET(A$1,,,SUMPRODUCT(MAX(ROW(E$1:E2394)*(E2=E$1:E2394))))))</f>
        <v> </v>
      </c>
      <c r="K2395" s="25" t="str">
        <f>IF(OR(E2395="",E2395="!!!",F2395="NEW"),"",INDEX(J$1:J2394,SUMPRODUCT(MAX(ROW(E$1:E2394)*(E2395=E$1:E2394)))))</f>
        <v> </v>
      </c>
      <c r="L2395" s="26"/>
    </row>
    <row r="2396" spans="1:12">
      <c r="A2396" s="20" t="s">
        <v>1025</v>
      </c>
      <c r="E2396" s="21">
        <f>IF(D2396="?OLD","!!!","")</f>
        <v/>
      </c>
      <c r="F2396" s="22" t="str">
        <f>IF(OR(E2396="",E2396="!!!"),"",IF(NOT(ISNA(VLOOKUP(E2396,E$1:E2395,1,FALSE()))),"OLD",IF(AND(E2396&lt;&gt;"",E2396&lt;&gt;"!!!"),"NEW","")))</f>
        <v> </v>
      </c>
      <c r="G2396" s="23" t="str">
        <f>IF(OR(E2396="",E2396="!!!"),"",IF(OR(J2396=0,AND(J2396=1,K2396=1),AND(J2396=1,I2396="SBJ"),AND(J2396=1,I2396=0)),"?IN_FOCUS",IF(J2396&lt;=2,"?ACTIVATED",IF(J2396&lt;&gt;"","?FAMILIAR",IF(F2396="NEW",IF(ISNA(VLOOKUP(E2396,#REF!,1,FALSE())),"?TYPE_IDENTIFIABLE","?REFERENTIAL"),"_")))))</f>
        <v> </v>
      </c>
      <c r="H2396" s="24" t="str">
        <f>IF(J2396&lt;&gt;1,"",IF(I2396="SBJ","CB","?"))</f>
        <v> </v>
      </c>
      <c r="I2396" s="25" t="str">
        <f>IF(OR(E2396="",E2396="!!!",F2396="NEW"),"",INDEX(B2395:B$2,-1+SUMPRODUCT(MAX(ROW(E2395:E$2)*(E2396=E2395:E$2)))))</f>
        <v> </v>
      </c>
      <c r="J2396" s="25" t="str">
        <f>IF(OR(E2396="",E2396="!!!",F2396="NEW"),"",COUNTBLANK(OFFSET(A$1,,,SUMPRODUCT(MAX(ROW(E$2:E2396)*(E2396=E$2:E2396)))))-COUNTBLANK(OFFSET(A$1,,,SUMPRODUCT(MAX(ROW(E$1:E2395)*(E2=E$1:E2395))))))</f>
        <v> </v>
      </c>
      <c r="K2396" s="25" t="str">
        <f>IF(OR(E2396="",E2396="!!!",F2396="NEW"),"",INDEX(J$1:J2395,SUMPRODUCT(MAX(ROW(E$1:E2395)*(E2396=E$1:E2395)))))</f>
        <v> </v>
      </c>
      <c r="L2396" s="26"/>
    </row>
    <row r="2397" spans="1:12">
      <c r="A2397" s="20" t="s">
        <v>690</v>
      </c>
      <c r="E2397" s="21">
        <f>IF(D2397="?OLD","!!!","")</f>
        <v/>
      </c>
      <c r="F2397" s="22" t="str">
        <f>IF(OR(E2397="",E2397="!!!"),"",IF(NOT(ISNA(VLOOKUP(E2397,E$1:E2396,1,FALSE()))),"OLD",IF(AND(E2397&lt;&gt;"",E2397&lt;&gt;"!!!"),"NEW","")))</f>
        <v> </v>
      </c>
      <c r="G2397" s="23" t="str">
        <f>IF(OR(E2397="",E2397="!!!"),"",IF(OR(J2397=0,AND(J2397=1,K2397=1),AND(J2397=1,I2397="SBJ"),AND(J2397=1,I2397=0)),"?IN_FOCUS",IF(J2397&lt;=2,"?ACTIVATED",IF(J2397&lt;&gt;"","?FAMILIAR",IF(F2397="NEW",IF(ISNA(VLOOKUP(E2397,#REF!,1,FALSE())),"?TYPE_IDENTIFIABLE","?REFERENTIAL"),"_")))))</f>
        <v> </v>
      </c>
      <c r="H2397" s="24" t="str">
        <f>IF(J2397&lt;&gt;1,"",IF(I2397="SBJ","CB","?"))</f>
        <v> </v>
      </c>
      <c r="I2397" s="25" t="str">
        <f>IF(OR(E2397="",E2397="!!!",F2397="NEW"),"",INDEX(B2396:B$2,-1+SUMPRODUCT(MAX(ROW(E2396:E$2)*(E2397=E2396:E$2)))))</f>
        <v> </v>
      </c>
      <c r="J2397" s="25" t="str">
        <f>IF(OR(E2397="",E2397="!!!",F2397="NEW"),"",COUNTBLANK(OFFSET(A$1,,,SUMPRODUCT(MAX(ROW(E$2:E2397)*(E2397=E$2:E2397)))))-COUNTBLANK(OFFSET(A$1,,,SUMPRODUCT(MAX(ROW(E$1:E2396)*(E2=E$1:E2396))))))</f>
        <v> </v>
      </c>
      <c r="K2397" s="25" t="str">
        <f>IF(OR(E2397="",E2397="!!!",F2397="NEW"),"",INDEX(J$1:J2396,SUMPRODUCT(MAX(ROW(E$1:E2396)*(E2397=E$1:E2396)))))</f>
        <v> </v>
      </c>
      <c r="L2397" s="26"/>
    </row>
    <row r="2398" spans="1:12">
      <c r="A2398" s="20" t="s">
        <v>1466</v>
      </c>
      <c r="B2398" s="27" t="s">
        <v>1174</v>
      </c>
      <c r="C2398" s="27" t="s">
        <v>607</v>
      </c>
      <c r="D2398" s="27" t="s">
        <v>608</v>
      </c>
      <c r="E2398" s="21">
        <f>IF(D2398="?OLD","!!!","")</f>
        <v/>
      </c>
      <c r="F2398" s="22" t="str">
        <f>IF(OR(E2398="",E2398="!!!"),"",IF(NOT(ISNA(VLOOKUP(E2398,E$1:E2397,1,FALSE()))),"OLD",IF(AND(E2398&lt;&gt;"",E2398&lt;&gt;"!!!"),"NEW","")))</f>
        <v> </v>
      </c>
      <c r="G2398" s="23" t="str">
        <f>IF(OR(E2398="",E2398="!!!"),"",IF(OR(J2398=0,AND(J2398=1,K2398=1),AND(J2398=1,I2398="SBJ"),AND(J2398=1,I2398=0)),"?IN_FOCUS",IF(J2398&lt;=2,"?ACTIVATED",IF(J2398&lt;&gt;"","?FAMILIAR",IF(F2398="NEW",IF(ISNA(VLOOKUP(E2398,#REF!,1,FALSE())),"?TYPE_IDENTIFIABLE","?REFERENTIAL"),"_")))))</f>
        <v> </v>
      </c>
      <c r="H2398" s="24" t="str">
        <f>IF(J2398&lt;&gt;1,"",IF(I2398="SBJ","CB","?"))</f>
        <v> </v>
      </c>
      <c r="I2398" s="25" t="str">
        <f>IF(OR(E2398="",E2398="!!!",F2398="NEW"),"",INDEX(B2397:B$2,-1+SUMPRODUCT(MAX(ROW(E2397:E$2)*(E2398=E2397:E$2)))))</f>
        <v> </v>
      </c>
      <c r="J2398" s="25" t="str">
        <f>IF(OR(E2398="",E2398="!!!",F2398="NEW"),"",COUNTBLANK(OFFSET(A$1,,,SUMPRODUCT(MAX(ROW(E$2:E2398)*(E2398=E$2:E2398)))))-COUNTBLANK(OFFSET(A$1,,,SUMPRODUCT(MAX(ROW(E$1:E2397)*(E2=E$1:E2397))))))</f>
        <v> </v>
      </c>
      <c r="K2398" s="25" t="str">
        <f>IF(OR(E2398="",E2398="!!!",F2398="NEW"),"",INDEX(J$1:J2397,SUMPRODUCT(MAX(ROW(E$1:E2397)*(E2398=E$1:E2397)))))</f>
        <v> </v>
      </c>
      <c r="L2398" s="26"/>
    </row>
    <row r="2399" spans="1:12">
      <c r="A2399" s="20" t="s">
        <v>1476</v>
      </c>
      <c r="E2399" s="21">
        <f>IF(D2399="?OLD","!!!","")</f>
        <v/>
      </c>
      <c r="F2399" s="22" t="str">
        <f>IF(OR(E2399="",E2399="!!!"),"",IF(NOT(ISNA(VLOOKUP(E2399,E$1:E2398,1,FALSE()))),"OLD",IF(AND(E2399&lt;&gt;"",E2399&lt;&gt;"!!!"),"NEW","")))</f>
        <v> </v>
      </c>
      <c r="G2399" s="23" t="str">
        <f>IF(OR(E2399="",E2399="!!!"),"",IF(OR(J2399=0,AND(J2399=1,K2399=1),AND(J2399=1,I2399="SBJ"),AND(J2399=1,I2399=0)),"?IN_FOCUS",IF(J2399&lt;=2,"?ACTIVATED",IF(J2399&lt;&gt;"","?FAMILIAR",IF(F2399="NEW",IF(ISNA(VLOOKUP(E2399,#REF!,1,FALSE())),"?TYPE_IDENTIFIABLE","?REFERENTIAL"),"_")))))</f>
        <v> </v>
      </c>
      <c r="H2399" s="24" t="str">
        <f>IF(J2399&lt;&gt;1,"",IF(I2399="SBJ","CB","?"))</f>
        <v> </v>
      </c>
      <c r="I2399" s="25" t="str">
        <f>IF(OR(E2399="",E2399="!!!",F2399="NEW"),"",INDEX(B2398:B$2,-1+SUMPRODUCT(MAX(ROW(E2398:E$2)*(E2399=E2398:E$2)))))</f>
        <v> </v>
      </c>
      <c r="J2399" s="25" t="str">
        <f>IF(OR(E2399="",E2399="!!!",F2399="NEW"),"",COUNTBLANK(OFFSET(A$1,,,SUMPRODUCT(MAX(ROW(E$2:E2399)*(E2399=E$2:E2399)))))-COUNTBLANK(OFFSET(A$1,,,SUMPRODUCT(MAX(ROW(E$1:E2398)*(E2=E$1:E2398))))))</f>
        <v> </v>
      </c>
      <c r="K2399" s="25" t="str">
        <f>IF(OR(E2399="",E2399="!!!",F2399="NEW"),"",INDEX(J$1:J2398,SUMPRODUCT(MAX(ROW(E$1:E2398)*(E2399=E$1:E2398)))))</f>
        <v> </v>
      </c>
      <c r="L2399" s="26"/>
    </row>
    <row r="2400" spans="1:12">
      <c r="A2400" s="20" t="s">
        <v>617</v>
      </c>
      <c r="E2400" s="21">
        <f>IF(D2400="?OLD","!!!","")</f>
        <v/>
      </c>
      <c r="F2400" s="22" t="str">
        <f>IF(OR(E2400="",E2400="!!!"),"",IF(NOT(ISNA(VLOOKUP(E2400,E$1:E2399,1,FALSE()))),"OLD",IF(AND(E2400&lt;&gt;"",E2400&lt;&gt;"!!!"),"NEW","")))</f>
        <v> </v>
      </c>
      <c r="G2400" s="23" t="str">
        <f>IF(OR(E2400="",E2400="!!!"),"",IF(OR(J2400=0,AND(J2400=1,K2400=1),AND(J2400=1,I2400="SBJ"),AND(J2400=1,I2400=0)),"?IN_FOCUS",IF(J2400&lt;=2,"?ACTIVATED",IF(J2400&lt;&gt;"","?FAMILIAR",IF(F2400="NEW",IF(ISNA(VLOOKUP(E2400,#REF!,1,FALSE())),"?TYPE_IDENTIFIABLE","?REFERENTIAL"),"_")))))</f>
        <v> </v>
      </c>
      <c r="H2400" s="24" t="str">
        <f>IF(J2400&lt;&gt;1,"",IF(I2400="SBJ","CB","?"))</f>
        <v> </v>
      </c>
      <c r="I2400" s="25" t="str">
        <f>IF(OR(E2400="",E2400="!!!",F2400="NEW"),"",INDEX(B2399:B$2,-1+SUMPRODUCT(MAX(ROW(E2399:E$2)*(E2400=E2399:E$2)))))</f>
        <v> </v>
      </c>
      <c r="J2400" s="25" t="str">
        <f>IF(OR(E2400="",E2400="!!!",F2400="NEW"),"",COUNTBLANK(OFFSET(A$1,,,SUMPRODUCT(MAX(ROW(E$2:E2400)*(E2400=E$2:E2400)))))-COUNTBLANK(OFFSET(A$1,,,SUMPRODUCT(MAX(ROW(E$1:E2399)*(E2=E$1:E2399))))))</f>
        <v> </v>
      </c>
      <c r="K2400" s="25" t="str">
        <f>IF(OR(E2400="",E2400="!!!",F2400="NEW"),"",INDEX(J$1:J2399,SUMPRODUCT(MAX(ROW(E$1:E2399)*(E2400=E$1:E2399)))))</f>
        <v> </v>
      </c>
      <c r="L2400" s="26"/>
    </row>
    <row r="2401" spans="1:12">
      <c r="A2401" s="20" t="s">
        <v>756</v>
      </c>
      <c r="E2401" s="21">
        <f>IF(D2401="?OLD","!!!","")</f>
        <v/>
      </c>
      <c r="F2401" s="22" t="str">
        <f>IF(OR(E2401="",E2401="!!!"),"",IF(NOT(ISNA(VLOOKUP(E2401,E$1:E2400,1,FALSE()))),"OLD",IF(AND(E2401&lt;&gt;"",E2401&lt;&gt;"!!!"),"NEW","")))</f>
        <v> </v>
      </c>
      <c r="G2401" s="23" t="str">
        <f>IF(OR(E2401="",E2401="!!!"),"",IF(OR(J2401=0,AND(J2401=1,K2401=1),AND(J2401=1,I2401="SBJ"),AND(J2401=1,I2401=0)),"?IN_FOCUS",IF(J2401&lt;=2,"?ACTIVATED",IF(J2401&lt;&gt;"","?FAMILIAR",IF(F2401="NEW",IF(ISNA(VLOOKUP(E2401,#REF!,1,FALSE())),"?TYPE_IDENTIFIABLE","?REFERENTIAL"),"_")))))</f>
        <v> </v>
      </c>
      <c r="H2401" s="24" t="str">
        <f>IF(J2401&lt;&gt;1,"",IF(I2401="SBJ","CB","?"))</f>
        <v> </v>
      </c>
      <c r="I2401" s="25" t="str">
        <f>IF(OR(E2401="",E2401="!!!",F2401="NEW"),"",INDEX(B2400:B$2,-1+SUMPRODUCT(MAX(ROW(E2400:E$2)*(E2401=E2400:E$2)))))</f>
        <v> </v>
      </c>
      <c r="J2401" s="25" t="str">
        <f>IF(OR(E2401="",E2401="!!!",F2401="NEW"),"",COUNTBLANK(OFFSET(A$1,,,SUMPRODUCT(MAX(ROW(E$2:E2401)*(E2401=E$2:E2401)))))-COUNTBLANK(OFFSET(A$1,,,SUMPRODUCT(MAX(ROW(E$1:E2400)*(E2=E$1:E2400))))))</f>
        <v> </v>
      </c>
      <c r="K2401" s="25" t="str">
        <f>IF(OR(E2401="",E2401="!!!",F2401="NEW"),"",INDEX(J$1:J2400,SUMPRODUCT(MAX(ROW(E$1:E2400)*(E2401=E$1:E2400)))))</f>
        <v> </v>
      </c>
      <c r="L2401" s="26"/>
    </row>
    <row r="2402" spans="1:12">
      <c r="A2402" s="20" t="s">
        <v>1109</v>
      </c>
      <c r="E2402" s="21">
        <f>IF(D2402="?OLD","!!!","")</f>
        <v/>
      </c>
      <c r="F2402" s="22" t="str">
        <f>IF(OR(E2402="",E2402="!!!"),"",IF(NOT(ISNA(VLOOKUP(E2402,E$1:E2401,1,FALSE()))),"OLD",IF(AND(E2402&lt;&gt;"",E2402&lt;&gt;"!!!"),"NEW","")))</f>
        <v> </v>
      </c>
      <c r="G2402" s="23" t="str">
        <f>IF(OR(E2402="",E2402="!!!"),"",IF(OR(J2402=0,AND(J2402=1,K2402=1),AND(J2402=1,I2402="SBJ"),AND(J2402=1,I2402=0)),"?IN_FOCUS",IF(J2402&lt;=2,"?ACTIVATED",IF(J2402&lt;&gt;"","?FAMILIAR",IF(F2402="NEW",IF(ISNA(VLOOKUP(E2402,#REF!,1,FALSE())),"?TYPE_IDENTIFIABLE","?REFERENTIAL"),"_")))))</f>
        <v> </v>
      </c>
      <c r="H2402" s="24" t="str">
        <f>IF(J2402&lt;&gt;1,"",IF(I2402="SBJ","CB","?"))</f>
        <v> </v>
      </c>
      <c r="I2402" s="25" t="str">
        <f>IF(OR(E2402="",E2402="!!!",F2402="NEW"),"",INDEX(B2401:B$2,-1+SUMPRODUCT(MAX(ROW(E2401:E$2)*(E2402=E2401:E$2)))))</f>
        <v> </v>
      </c>
      <c r="J2402" s="25" t="str">
        <f>IF(OR(E2402="",E2402="!!!",F2402="NEW"),"",COUNTBLANK(OFFSET(A$1,,,SUMPRODUCT(MAX(ROW(E$2:E2402)*(E2402=E$2:E2402)))))-COUNTBLANK(OFFSET(A$1,,,SUMPRODUCT(MAX(ROW(E$1:E2401)*(E2=E$1:E2401))))))</f>
        <v> </v>
      </c>
      <c r="K2402" s="25" t="str">
        <f>IF(OR(E2402="",E2402="!!!",F2402="NEW"),"",INDEX(J$1:J2401,SUMPRODUCT(MAX(ROW(E$1:E2401)*(E2402=E$1:E2401)))))</f>
        <v> </v>
      </c>
      <c r="L2402" s="26"/>
    </row>
    <row r="2403" spans="1:12">
      <c r="A2403" s="20" t="s">
        <v>807</v>
      </c>
      <c r="B2403" s="27" t="s">
        <v>619</v>
      </c>
      <c r="C2403" s="27" t="s">
        <v>652</v>
      </c>
      <c r="D2403" s="27" t="s">
        <v>608</v>
      </c>
      <c r="E2403" s="21">
        <f>IF(D2403="?OLD","!!!","")</f>
        <v/>
      </c>
      <c r="F2403" s="22" t="str">
        <f>IF(OR(E2403="",E2403="!!!"),"",IF(NOT(ISNA(VLOOKUP(E2403,E$1:E2402,1,FALSE()))),"OLD",IF(AND(E2403&lt;&gt;"",E2403&lt;&gt;"!!!"),"NEW","")))</f>
        <v> </v>
      </c>
      <c r="G2403" s="23" t="str">
        <f>IF(OR(E2403="",E2403="!!!"),"",IF(OR(J2403=0,AND(J2403=1,K2403=1),AND(J2403=1,I2403="SBJ"),AND(J2403=1,I2403=0)),"?IN_FOCUS",IF(J2403&lt;=2,"?ACTIVATED",IF(J2403&lt;&gt;"","?FAMILIAR",IF(F2403="NEW",IF(ISNA(VLOOKUP(E2403,#REF!,1,FALSE())),"?TYPE_IDENTIFIABLE","?REFERENTIAL"),"_")))))</f>
        <v> </v>
      </c>
      <c r="H2403" s="24" t="str">
        <f>IF(J2403&lt;&gt;1,"",IF(I2403="SBJ","CB","?"))</f>
        <v> </v>
      </c>
      <c r="I2403" s="25" t="str">
        <f>IF(OR(E2403="",E2403="!!!",F2403="NEW"),"",INDEX(B2402:B$2,-1+SUMPRODUCT(MAX(ROW(E2402:E$2)*(E2403=E2402:E$2)))))</f>
        <v> </v>
      </c>
      <c r="J2403" s="25" t="str">
        <f>IF(OR(E2403="",E2403="!!!",F2403="NEW"),"",COUNTBLANK(OFFSET(A$1,,,SUMPRODUCT(MAX(ROW(E$2:E2403)*(E2403=E$2:E2403)))))-COUNTBLANK(OFFSET(A$1,,,SUMPRODUCT(MAX(ROW(E$1:E2402)*(E2=E$1:E2402))))))</f>
        <v> </v>
      </c>
      <c r="K2403" s="25" t="str">
        <f>IF(OR(E2403="",E2403="!!!",F2403="NEW"),"",INDEX(J$1:J2402,SUMPRODUCT(MAX(ROW(E$1:E2402)*(E2403=E$1:E2402)))))</f>
        <v> </v>
      </c>
      <c r="L2403" s="26"/>
    </row>
    <row r="2404" spans="1:12">
      <c r="A2404" s="20" t="s">
        <v>1477</v>
      </c>
      <c r="E2404" s="21">
        <f>IF(D2404="?OLD","!!!","")</f>
        <v/>
      </c>
      <c r="F2404" s="22" t="str">
        <f>IF(OR(E2404="",E2404="!!!"),"",IF(NOT(ISNA(VLOOKUP(E2404,E$1:E2403,1,FALSE()))),"OLD",IF(AND(E2404&lt;&gt;"",E2404&lt;&gt;"!!!"),"NEW","")))</f>
        <v> </v>
      </c>
      <c r="G2404" s="23" t="str">
        <f>IF(OR(E2404="",E2404="!!!"),"",IF(OR(J2404=0,AND(J2404=1,K2404=1),AND(J2404=1,I2404="SBJ"),AND(J2404=1,I2404=0)),"?IN_FOCUS",IF(J2404&lt;=2,"?ACTIVATED",IF(J2404&lt;&gt;"","?FAMILIAR",IF(F2404="NEW",IF(ISNA(VLOOKUP(E2404,#REF!,1,FALSE())),"?TYPE_IDENTIFIABLE","?REFERENTIAL"),"_")))))</f>
        <v> </v>
      </c>
      <c r="H2404" s="24" t="str">
        <f>IF(J2404&lt;&gt;1,"",IF(I2404="SBJ","CB","?"))</f>
        <v> </v>
      </c>
      <c r="I2404" s="25" t="str">
        <f>IF(OR(E2404="",E2404="!!!",F2404="NEW"),"",INDEX(B2403:B$2,-1+SUMPRODUCT(MAX(ROW(E2403:E$2)*(E2404=E2403:E$2)))))</f>
        <v> </v>
      </c>
      <c r="J2404" s="25" t="str">
        <f>IF(OR(E2404="",E2404="!!!",F2404="NEW"),"",COUNTBLANK(OFFSET(A$1,,,SUMPRODUCT(MAX(ROW(E$2:E2404)*(E2404=E$2:E2404)))))-COUNTBLANK(OFFSET(A$1,,,SUMPRODUCT(MAX(ROW(E$1:E2403)*(E2=E$1:E2403))))))</f>
        <v> </v>
      </c>
      <c r="K2404" s="25" t="str">
        <f>IF(OR(E2404="",E2404="!!!",F2404="NEW"),"",INDEX(J$1:J2403,SUMPRODUCT(MAX(ROW(E$1:E2403)*(E2404=E$1:E2403)))))</f>
        <v> </v>
      </c>
      <c r="L2404" s="26"/>
    </row>
    <row r="2405" spans="1:12">
      <c r="A2405" s="20" t="s">
        <v>707</v>
      </c>
      <c r="E2405" s="21">
        <f>IF(D2405="?OLD","!!!","")</f>
        <v/>
      </c>
      <c r="F2405" s="22" t="str">
        <f>IF(OR(E2405="",E2405="!!!"),"",IF(NOT(ISNA(VLOOKUP(E2405,E$1:E2404,1,FALSE()))),"OLD",IF(AND(E2405&lt;&gt;"",E2405&lt;&gt;"!!!"),"NEW","")))</f>
        <v> </v>
      </c>
      <c r="G2405" s="23" t="str">
        <f>IF(OR(E2405="",E2405="!!!"),"",IF(OR(J2405=0,AND(J2405=1,K2405=1),AND(J2405=1,I2405="SBJ"),AND(J2405=1,I2405=0)),"?IN_FOCUS",IF(J2405&lt;=2,"?ACTIVATED",IF(J2405&lt;&gt;"","?FAMILIAR",IF(F2405="NEW",IF(ISNA(VLOOKUP(E2405,#REF!,1,FALSE())),"?TYPE_IDENTIFIABLE","?REFERENTIAL"),"_")))))</f>
        <v> </v>
      </c>
      <c r="H2405" s="24" t="str">
        <f>IF(J2405&lt;&gt;1,"",IF(I2405="SBJ","CB","?"))</f>
        <v> </v>
      </c>
      <c r="I2405" s="25" t="str">
        <f>IF(OR(E2405="",E2405="!!!",F2405="NEW"),"",INDEX(B2404:B$2,-1+SUMPRODUCT(MAX(ROW(E2404:E$2)*(E2405=E2404:E$2)))))</f>
        <v> </v>
      </c>
      <c r="J2405" s="25" t="str">
        <f>IF(OR(E2405="",E2405="!!!",F2405="NEW"),"",COUNTBLANK(OFFSET(A$1,,,SUMPRODUCT(MAX(ROW(E$2:E2405)*(E2405=E$2:E2405)))))-COUNTBLANK(OFFSET(A$1,,,SUMPRODUCT(MAX(ROW(E$1:E2404)*(E2=E$1:E2404))))))</f>
        <v> </v>
      </c>
      <c r="K2405" s="25" t="str">
        <f>IF(OR(E2405="",E2405="!!!",F2405="NEW"),"",INDEX(J$1:J2404,SUMPRODUCT(MAX(ROW(E$1:E2404)*(E2405=E$1:E2404)))))</f>
        <v> </v>
      </c>
      <c r="L2405" s="26"/>
    </row>
    <row r="2406" spans="1:12">
      <c r="A2406" s="20" t="s">
        <v>817</v>
      </c>
      <c r="E2406" s="21">
        <f>IF(D2406="?OLD","!!!","")</f>
        <v/>
      </c>
      <c r="F2406" s="22" t="str">
        <f>IF(OR(E2406="",E2406="!!!"),"",IF(NOT(ISNA(VLOOKUP(E2406,E$1:E2405,1,FALSE()))),"OLD",IF(AND(E2406&lt;&gt;"",E2406&lt;&gt;"!!!"),"NEW","")))</f>
        <v> </v>
      </c>
      <c r="G2406" s="23" t="str">
        <f>IF(OR(E2406="",E2406="!!!"),"",IF(OR(J2406=0,AND(J2406=1,K2406=1),AND(J2406=1,I2406="SBJ"),AND(J2406=1,I2406=0)),"?IN_FOCUS",IF(J2406&lt;=2,"?ACTIVATED",IF(J2406&lt;&gt;"","?FAMILIAR",IF(F2406="NEW",IF(ISNA(VLOOKUP(E2406,#REF!,1,FALSE())),"?TYPE_IDENTIFIABLE","?REFERENTIAL"),"_")))))</f>
        <v> </v>
      </c>
      <c r="H2406" s="24" t="str">
        <f>IF(J2406&lt;&gt;1,"",IF(I2406="SBJ","CB","?"))</f>
        <v> </v>
      </c>
      <c r="I2406" s="25" t="str">
        <f>IF(OR(E2406="",E2406="!!!",F2406="NEW"),"",INDEX(B2405:B$2,-1+SUMPRODUCT(MAX(ROW(E2405:E$2)*(E2406=E2405:E$2)))))</f>
        <v> </v>
      </c>
      <c r="J2406" s="25" t="str">
        <f>IF(OR(E2406="",E2406="!!!",F2406="NEW"),"",COUNTBLANK(OFFSET(A$1,,,SUMPRODUCT(MAX(ROW(E$2:E2406)*(E2406=E$2:E2406)))))-COUNTBLANK(OFFSET(A$1,,,SUMPRODUCT(MAX(ROW(E$1:E2405)*(E2=E$1:E2405))))))</f>
        <v> </v>
      </c>
      <c r="K2406" s="25" t="str">
        <f>IF(OR(E2406="",E2406="!!!",F2406="NEW"),"",INDEX(J$1:J2405,SUMPRODUCT(MAX(ROW(E$1:E2405)*(E2406=E$1:E2405)))))</f>
        <v> </v>
      </c>
      <c r="L2406" s="26"/>
    </row>
    <row r="2407" spans="1:12">
      <c r="A2407" s="20" t="s">
        <v>1478</v>
      </c>
      <c r="E2407" s="21">
        <f>IF(D2407="?OLD","!!!","")</f>
        <v/>
      </c>
      <c r="F2407" s="22" t="str">
        <f>IF(OR(E2407="",E2407="!!!"),"",IF(NOT(ISNA(VLOOKUP(E2407,E$1:E2406,1,FALSE()))),"OLD",IF(AND(E2407&lt;&gt;"",E2407&lt;&gt;"!!!"),"NEW","")))</f>
        <v> </v>
      </c>
      <c r="G2407" s="23" t="str">
        <f>IF(OR(E2407="",E2407="!!!"),"",IF(OR(J2407=0,AND(J2407=1,K2407=1),AND(J2407=1,I2407="SBJ"),AND(J2407=1,I2407=0)),"?IN_FOCUS",IF(J2407&lt;=2,"?ACTIVATED",IF(J2407&lt;&gt;"","?FAMILIAR",IF(F2407="NEW",IF(ISNA(VLOOKUP(E2407,#REF!,1,FALSE())),"?TYPE_IDENTIFIABLE","?REFERENTIAL"),"_")))))</f>
        <v> </v>
      </c>
      <c r="H2407" s="24" t="str">
        <f>IF(J2407&lt;&gt;1,"",IF(I2407="SBJ","CB","?"))</f>
        <v> </v>
      </c>
      <c r="I2407" s="25" t="str">
        <f>IF(OR(E2407="",E2407="!!!",F2407="NEW"),"",INDEX(B2406:B$2,-1+SUMPRODUCT(MAX(ROW(E2406:E$2)*(E2407=E2406:E$2)))))</f>
        <v> </v>
      </c>
      <c r="J2407" s="25" t="str">
        <f>IF(OR(E2407="",E2407="!!!",F2407="NEW"),"",COUNTBLANK(OFFSET(A$1,,,SUMPRODUCT(MAX(ROW(E$2:E2407)*(E2407=E$2:E2407)))))-COUNTBLANK(OFFSET(A$1,,,SUMPRODUCT(MAX(ROW(E$1:E2406)*(E2=E$1:E2406))))))</f>
        <v> </v>
      </c>
      <c r="K2407" s="25" t="str">
        <f>IF(OR(E2407="",E2407="!!!",F2407="NEW"),"",INDEX(J$1:J2406,SUMPRODUCT(MAX(ROW(E$1:E2406)*(E2407=E$1:E2406)))))</f>
        <v> </v>
      </c>
      <c r="L2407" s="26"/>
    </row>
    <row r="2408" spans="1:12">
      <c r="A2408" s="20" t="s">
        <v>1018</v>
      </c>
      <c r="B2408" s="27" t="s">
        <v>611</v>
      </c>
      <c r="C2408" s="27" t="s">
        <v>685</v>
      </c>
      <c r="E2408" s="21">
        <f>IF(D2408="?OLD","!!!","")</f>
        <v/>
      </c>
      <c r="F2408" s="22" t="str">
        <f>IF(OR(E2408="",E2408="!!!"),"",IF(NOT(ISNA(VLOOKUP(E2408,E$1:E2407,1,FALSE()))),"OLD",IF(AND(E2408&lt;&gt;"",E2408&lt;&gt;"!!!"),"NEW","")))</f>
        <v> </v>
      </c>
      <c r="G2408" s="23" t="str">
        <f>IF(OR(E2408="",E2408="!!!"),"",IF(OR(J2408=0,AND(J2408=1,K2408=1),AND(J2408=1,I2408="SBJ"),AND(J2408=1,I2408=0)),"?IN_FOCUS",IF(J2408&lt;=2,"?ACTIVATED",IF(J2408&lt;&gt;"","?FAMILIAR",IF(F2408="NEW",IF(ISNA(VLOOKUP(E2408,#REF!,1,FALSE())),"?TYPE_IDENTIFIABLE","?REFERENTIAL"),"_")))))</f>
        <v> </v>
      </c>
      <c r="H2408" s="24" t="str">
        <f>IF(J2408&lt;&gt;1,"",IF(I2408="SBJ","CB","?"))</f>
        <v> </v>
      </c>
      <c r="I2408" s="25" t="str">
        <f>IF(OR(E2408="",E2408="!!!",F2408="NEW"),"",INDEX(B2407:B$2,-1+SUMPRODUCT(MAX(ROW(E2407:E$2)*(E2408=E2407:E$2)))))</f>
        <v> </v>
      </c>
      <c r="J2408" s="25" t="str">
        <f>IF(OR(E2408="",E2408="!!!",F2408="NEW"),"",COUNTBLANK(OFFSET(A$1,,,SUMPRODUCT(MAX(ROW(E$2:E2408)*(E2408=E$2:E2408)))))-COUNTBLANK(OFFSET(A$1,,,SUMPRODUCT(MAX(ROW(E$1:E2407)*(E2=E$1:E2407))))))</f>
        <v> </v>
      </c>
      <c r="K2408" s="25" t="str">
        <f>IF(OR(E2408="",E2408="!!!",F2408="NEW"),"",INDEX(J$1:J2407,SUMPRODUCT(MAX(ROW(E$1:E2407)*(E2408=E$1:E2407)))))</f>
        <v> </v>
      </c>
      <c r="L2408" s="26"/>
    </row>
    <row r="2409" spans="1:12">
      <c r="A2409" s="20" t="s">
        <v>349</v>
      </c>
      <c r="E2409" s="21">
        <f>IF(D2409="?OLD","!!!","")</f>
        <v/>
      </c>
      <c r="F2409" s="22" t="str">
        <f>IF(OR(E2409="",E2409="!!!"),"",IF(NOT(ISNA(VLOOKUP(E2409,E$1:E2408,1,FALSE()))),"OLD",IF(AND(E2409&lt;&gt;"",E2409&lt;&gt;"!!!"),"NEW","")))</f>
        <v> </v>
      </c>
      <c r="G2409" s="23" t="str">
        <f>IF(OR(E2409="",E2409="!!!"),"",IF(OR(J2409=0,AND(J2409=1,K2409=1),AND(J2409=1,I2409="SBJ"),AND(J2409=1,I2409=0)),"?IN_FOCUS",IF(J2409&lt;=2,"?ACTIVATED",IF(J2409&lt;&gt;"","?FAMILIAR",IF(F2409="NEW",IF(ISNA(VLOOKUP(E2409,#REF!,1,FALSE())),"?TYPE_IDENTIFIABLE","?REFERENTIAL"),"_")))))</f>
        <v> </v>
      </c>
      <c r="H2409" s="24" t="str">
        <f>IF(J2409&lt;&gt;1,"",IF(I2409="SBJ","CB","?"))</f>
        <v> </v>
      </c>
      <c r="I2409" s="25" t="str">
        <f>IF(OR(E2409="",E2409="!!!",F2409="NEW"),"",INDEX(B2408:B$2,-1+SUMPRODUCT(MAX(ROW(E2408:E$2)*(E2409=E2408:E$2)))))</f>
        <v> </v>
      </c>
      <c r="J2409" s="25" t="str">
        <f>IF(OR(E2409="",E2409="!!!",F2409="NEW"),"",COUNTBLANK(OFFSET(A$1,,,SUMPRODUCT(MAX(ROW(E$2:E2409)*(E2409=E$2:E2409)))))-COUNTBLANK(OFFSET(A$1,,,SUMPRODUCT(MAX(ROW(E$1:E2408)*(E2=E$1:E2408))))))</f>
        <v> </v>
      </c>
      <c r="K2409" s="25" t="str">
        <f>IF(OR(E2409="",E2409="!!!",F2409="NEW"),"",INDEX(J$1:J2408,SUMPRODUCT(MAX(ROW(E$1:E2408)*(E2409=E$1:E2408)))))</f>
        <v> </v>
      </c>
      <c r="L2409" s="26"/>
    </row>
    <row r="2410" spans="1:12">
      <c r="A2410" s="20" t="s">
        <v>617</v>
      </c>
      <c r="E2410" s="21">
        <f>IF(D2410="?OLD","!!!","")</f>
        <v/>
      </c>
      <c r="F2410" s="22" t="str">
        <f>IF(OR(E2410="",E2410="!!!"),"",IF(NOT(ISNA(VLOOKUP(E2410,E$1:E2409,1,FALSE()))),"OLD",IF(AND(E2410&lt;&gt;"",E2410&lt;&gt;"!!!"),"NEW","")))</f>
        <v> </v>
      </c>
      <c r="G2410" s="23" t="str">
        <f>IF(OR(E2410="",E2410="!!!"),"",IF(OR(J2410=0,AND(J2410=1,K2410=1),AND(J2410=1,I2410="SBJ"),AND(J2410=1,I2410=0)),"?IN_FOCUS",IF(J2410&lt;=2,"?ACTIVATED",IF(J2410&lt;&gt;"","?FAMILIAR",IF(F2410="NEW",IF(ISNA(VLOOKUP(E2410,#REF!,1,FALSE())),"?TYPE_IDENTIFIABLE","?REFERENTIAL"),"_")))))</f>
        <v> </v>
      </c>
      <c r="H2410" s="24" t="str">
        <f>IF(J2410&lt;&gt;1,"",IF(I2410="SBJ","CB","?"))</f>
        <v> </v>
      </c>
      <c r="I2410" s="25" t="str">
        <f>IF(OR(E2410="",E2410="!!!",F2410="NEW"),"",INDEX(B2409:B$2,-1+SUMPRODUCT(MAX(ROW(E2409:E$2)*(E2410=E2409:E$2)))))</f>
        <v> </v>
      </c>
      <c r="J2410" s="25" t="str">
        <f>IF(OR(E2410="",E2410="!!!",F2410="NEW"),"",COUNTBLANK(OFFSET(A$1,,,SUMPRODUCT(MAX(ROW(E$2:E2410)*(E2410=E$2:E2410)))))-COUNTBLANK(OFFSET(A$1,,,SUMPRODUCT(MAX(ROW(E$1:E2409)*(E2=E$1:E2409))))))</f>
        <v> </v>
      </c>
      <c r="K2410" s="25" t="str">
        <f>IF(OR(E2410="",E2410="!!!",F2410="NEW"),"",INDEX(J$1:J2409,SUMPRODUCT(MAX(ROW(E$1:E2409)*(E2410=E$1:E2409)))))</f>
        <v> </v>
      </c>
      <c r="L2410" s="26"/>
    </row>
    <row r="2411" spans="1:12">
      <c r="A2411" s="20" t="s">
        <v>707</v>
      </c>
      <c r="E2411" s="21">
        <f>IF(D2411="?OLD","!!!","")</f>
        <v/>
      </c>
      <c r="F2411" s="22" t="str">
        <f>IF(OR(E2411="",E2411="!!!"),"",IF(NOT(ISNA(VLOOKUP(E2411,E$1:E2410,1,FALSE()))),"OLD",IF(AND(E2411&lt;&gt;"",E2411&lt;&gt;"!!!"),"NEW","")))</f>
        <v> </v>
      </c>
      <c r="G2411" s="23" t="str">
        <f>IF(OR(E2411="",E2411="!!!"),"",IF(OR(J2411=0,AND(J2411=1,K2411=1),AND(J2411=1,I2411="SBJ"),AND(J2411=1,I2411=0)),"?IN_FOCUS",IF(J2411&lt;=2,"?ACTIVATED",IF(J2411&lt;&gt;"","?FAMILIAR",IF(F2411="NEW",IF(ISNA(VLOOKUP(E2411,#REF!,1,FALSE())),"?TYPE_IDENTIFIABLE","?REFERENTIAL"),"_")))))</f>
        <v> </v>
      </c>
      <c r="H2411" s="24" t="str">
        <f>IF(J2411&lt;&gt;1,"",IF(I2411="SBJ","CB","?"))</f>
        <v> </v>
      </c>
      <c r="I2411" s="25" t="str">
        <f>IF(OR(E2411="",E2411="!!!",F2411="NEW"),"",INDEX(B2410:B$2,-1+SUMPRODUCT(MAX(ROW(E2410:E$2)*(E2411=E2410:E$2)))))</f>
        <v> </v>
      </c>
      <c r="J2411" s="25" t="str">
        <f>IF(OR(E2411="",E2411="!!!",F2411="NEW"),"",COUNTBLANK(OFFSET(A$1,,,SUMPRODUCT(MAX(ROW(E$2:E2411)*(E2411=E$2:E2411)))))-COUNTBLANK(OFFSET(A$1,,,SUMPRODUCT(MAX(ROW(E$1:E2410)*(E2=E$1:E2410))))))</f>
        <v> </v>
      </c>
      <c r="K2411" s="25" t="str">
        <f>IF(OR(E2411="",E2411="!!!",F2411="NEW"),"",INDEX(J$1:J2410,SUMPRODUCT(MAX(ROW(E$1:E2410)*(E2411=E$1:E2410)))))</f>
        <v> </v>
      </c>
      <c r="L2411" s="26"/>
    </row>
    <row r="2412" spans="1:12">
      <c r="A2412" s="20" t="s">
        <v>609</v>
      </c>
      <c r="E2412" s="21">
        <f>IF(D2412="?OLD","!!!","")</f>
        <v/>
      </c>
      <c r="F2412" s="22" t="str">
        <f>IF(OR(E2412="",E2412="!!!"),"",IF(NOT(ISNA(VLOOKUP(E2412,E$1:E2411,1,FALSE()))),"OLD",IF(AND(E2412&lt;&gt;"",E2412&lt;&gt;"!!!"),"NEW","")))</f>
        <v> </v>
      </c>
      <c r="G2412" s="23" t="str">
        <f>IF(OR(E2412="",E2412="!!!"),"",IF(OR(J2412=0,AND(J2412=1,K2412=1),AND(J2412=1,I2412="SBJ"),AND(J2412=1,I2412=0)),"?IN_FOCUS",IF(J2412&lt;=2,"?ACTIVATED",IF(J2412&lt;&gt;"","?FAMILIAR",IF(F2412="NEW",IF(ISNA(VLOOKUP(E2412,#REF!,1,FALSE())),"?TYPE_IDENTIFIABLE","?REFERENTIAL"),"_")))))</f>
        <v> </v>
      </c>
      <c r="H2412" s="24" t="str">
        <f>IF(J2412&lt;&gt;1,"",IF(I2412="SBJ","CB","?"))</f>
        <v> </v>
      </c>
      <c r="I2412" s="25" t="str">
        <f>IF(OR(E2412="",E2412="!!!",F2412="NEW"),"",INDEX(B2411:B$2,-1+SUMPRODUCT(MAX(ROW(E2411:E$2)*(E2412=E2411:E$2)))))</f>
        <v> </v>
      </c>
      <c r="J2412" s="25" t="str">
        <f>IF(OR(E2412="",E2412="!!!",F2412="NEW"),"",COUNTBLANK(OFFSET(A$1,,,SUMPRODUCT(MAX(ROW(E$2:E2412)*(E2412=E$2:E2412)))))-COUNTBLANK(OFFSET(A$1,,,SUMPRODUCT(MAX(ROW(E$1:E2411)*(E2=E$1:E2411))))))</f>
        <v> </v>
      </c>
      <c r="K2412" s="25" t="str">
        <f>IF(OR(E2412="",E2412="!!!",F2412="NEW"),"",INDEX(J$1:J2411,SUMPRODUCT(MAX(ROW(E$1:E2411)*(E2412=E$1:E2411)))))</f>
        <v> </v>
      </c>
      <c r="L2412" s="26"/>
    </row>
    <row r="2413" spans="1:12">
      <c r="A2413" s="20" t="s">
        <v>856</v>
      </c>
      <c r="B2413" s="27" t="s">
        <v>619</v>
      </c>
      <c r="C2413" s="27" t="s">
        <v>637</v>
      </c>
      <c r="D2413" s="27" t="s">
        <v>608</v>
      </c>
      <c r="E2413" s="21">
        <f>IF(D2413="?OLD","!!!","")</f>
        <v/>
      </c>
      <c r="F2413" s="22" t="str">
        <f>IF(OR(E2413="",E2413="!!!"),"",IF(NOT(ISNA(VLOOKUP(E2413,E$1:E2412,1,FALSE()))),"OLD",IF(AND(E2413&lt;&gt;"",E2413&lt;&gt;"!!!"),"NEW","")))</f>
        <v> </v>
      </c>
      <c r="G2413" s="23" t="str">
        <f>IF(OR(E2413="",E2413="!!!"),"",IF(OR(J2413=0,AND(J2413=1,K2413=1),AND(J2413=1,I2413="SBJ"),AND(J2413=1,I2413=0)),"?IN_FOCUS",IF(J2413&lt;=2,"?ACTIVATED",IF(J2413&lt;&gt;"","?FAMILIAR",IF(F2413="NEW",IF(ISNA(VLOOKUP(E2413,#REF!,1,FALSE())),"?TYPE_IDENTIFIABLE","?REFERENTIAL"),"_")))))</f>
        <v> </v>
      </c>
      <c r="H2413" s="24" t="str">
        <f>IF(J2413&lt;&gt;1,"",IF(I2413="SBJ","CB","?"))</f>
        <v> </v>
      </c>
      <c r="I2413" s="25" t="str">
        <f>IF(OR(E2413="",E2413="!!!",F2413="NEW"),"",INDEX(B2412:B$2,-1+SUMPRODUCT(MAX(ROW(E2412:E$2)*(E2413=E2412:E$2)))))</f>
        <v> </v>
      </c>
      <c r="J2413" s="25" t="str">
        <f>IF(OR(E2413="",E2413="!!!",F2413="NEW"),"",COUNTBLANK(OFFSET(A$1,,,SUMPRODUCT(MAX(ROW(E$2:E2413)*(E2413=E$2:E2413)))))-COUNTBLANK(OFFSET(A$1,,,SUMPRODUCT(MAX(ROW(E$1:E2412)*(E2=E$1:E2412))))))</f>
        <v> </v>
      </c>
      <c r="K2413" s="25" t="str">
        <f>IF(OR(E2413="",E2413="!!!",F2413="NEW"),"",INDEX(J$1:J2412,SUMPRODUCT(MAX(ROW(E$1:E2412)*(E2413=E$1:E2412)))))</f>
        <v> </v>
      </c>
      <c r="L2413" s="26"/>
    </row>
    <row r="2414" spans="1:12">
      <c r="A2414" s="20" t="s">
        <v>1479</v>
      </c>
      <c r="E2414" s="21">
        <f>IF(D2414="?OLD","!!!","")</f>
        <v/>
      </c>
      <c r="F2414" s="22" t="str">
        <f>IF(OR(E2414="",E2414="!!!"),"",IF(NOT(ISNA(VLOOKUP(E2414,E$1:E2413,1,FALSE()))),"OLD",IF(AND(E2414&lt;&gt;"",E2414&lt;&gt;"!!!"),"NEW","")))</f>
        <v> </v>
      </c>
      <c r="G2414" s="23" t="str">
        <f>IF(OR(E2414="",E2414="!!!"),"",IF(OR(J2414=0,AND(J2414=1,K2414=1),AND(J2414=1,I2414="SBJ"),AND(J2414=1,I2414=0)),"?IN_FOCUS",IF(J2414&lt;=2,"?ACTIVATED",IF(J2414&lt;&gt;"","?FAMILIAR",IF(F2414="NEW",IF(ISNA(VLOOKUP(E2414,#REF!,1,FALSE())),"?TYPE_IDENTIFIABLE","?REFERENTIAL"),"_")))))</f>
        <v> </v>
      </c>
      <c r="H2414" s="24" t="str">
        <f>IF(J2414&lt;&gt;1,"",IF(I2414="SBJ","CB","?"))</f>
        <v> </v>
      </c>
      <c r="I2414" s="25" t="str">
        <f>IF(OR(E2414="",E2414="!!!",F2414="NEW"),"",INDEX(B2413:B$2,-1+SUMPRODUCT(MAX(ROW(E2413:E$2)*(E2414=E2413:E$2)))))</f>
        <v> </v>
      </c>
      <c r="J2414" s="25" t="str">
        <f>IF(OR(E2414="",E2414="!!!",F2414="NEW"),"",COUNTBLANK(OFFSET(A$1,,,SUMPRODUCT(MAX(ROW(E$2:E2414)*(E2414=E$2:E2414)))))-COUNTBLANK(OFFSET(A$1,,,SUMPRODUCT(MAX(ROW(E$1:E2413)*(E2=E$1:E2413))))))</f>
        <v> </v>
      </c>
      <c r="K2414" s="25" t="str">
        <f>IF(OR(E2414="",E2414="!!!",F2414="NEW"),"",INDEX(J$1:J2413,SUMPRODUCT(MAX(ROW(E$1:E2413)*(E2414=E$1:E2413)))))</f>
        <v> </v>
      </c>
      <c r="L2414" s="26"/>
    </row>
    <row r="2415" spans="1:12">
      <c r="A2415" s="20" t="s">
        <v>612</v>
      </c>
      <c r="E2415" s="21">
        <f>IF(D2415="?OLD","!!!","")</f>
        <v/>
      </c>
      <c r="F2415" s="22" t="str">
        <f>IF(OR(E2415="",E2415="!!!"),"",IF(NOT(ISNA(VLOOKUP(E2415,E$1:E2414,1,FALSE()))),"OLD",IF(AND(E2415&lt;&gt;"",E2415&lt;&gt;"!!!"),"NEW","")))</f>
        <v> </v>
      </c>
      <c r="G2415" s="23" t="str">
        <f>IF(OR(E2415="",E2415="!!!"),"",IF(OR(J2415=0,AND(J2415=1,K2415=1),AND(J2415=1,I2415="SBJ"),AND(J2415=1,I2415=0)),"?IN_FOCUS",IF(J2415&lt;=2,"?ACTIVATED",IF(J2415&lt;&gt;"","?FAMILIAR",IF(F2415="NEW",IF(ISNA(VLOOKUP(E2415,#REF!,1,FALSE())),"?TYPE_IDENTIFIABLE","?REFERENTIAL"),"_")))))</f>
        <v> </v>
      </c>
      <c r="H2415" s="24" t="str">
        <f>IF(J2415&lt;&gt;1,"",IF(I2415="SBJ","CB","?"))</f>
        <v> </v>
      </c>
      <c r="I2415" s="25" t="str">
        <f>IF(OR(E2415="",E2415="!!!",F2415="NEW"),"",INDEX(B2414:B$2,-1+SUMPRODUCT(MAX(ROW(E2414:E$2)*(E2415=E2414:E$2)))))</f>
        <v> </v>
      </c>
      <c r="J2415" s="25" t="str">
        <f>IF(OR(E2415="",E2415="!!!",F2415="NEW"),"",COUNTBLANK(OFFSET(A$1,,,SUMPRODUCT(MAX(ROW(E$2:E2415)*(E2415=E$2:E2415)))))-COUNTBLANK(OFFSET(A$1,,,SUMPRODUCT(MAX(ROW(E$1:E2414)*(E2=E$1:E2414))))))</f>
        <v> </v>
      </c>
      <c r="K2415" s="25" t="str">
        <f>IF(OR(E2415="",E2415="!!!",F2415="NEW"),"",INDEX(J$1:J2414,SUMPRODUCT(MAX(ROW(E$1:E2414)*(E2415=E$1:E2414)))))</f>
        <v> </v>
      </c>
      <c r="L2415" s="26"/>
    </row>
    <row r="2416" spans="1:12">
      <c r="A2416" s="20" t="s">
        <v>617</v>
      </c>
      <c r="E2416" s="21">
        <f>IF(D2416="?OLD","!!!","")</f>
        <v/>
      </c>
      <c r="F2416" s="22" t="str">
        <f>IF(OR(E2416="",E2416="!!!"),"",IF(NOT(ISNA(VLOOKUP(E2416,E$1:E2415,1,FALSE()))),"OLD",IF(AND(E2416&lt;&gt;"",E2416&lt;&gt;"!!!"),"NEW","")))</f>
        <v> </v>
      </c>
      <c r="G2416" s="23" t="str">
        <f>IF(OR(E2416="",E2416="!!!"),"",IF(OR(J2416=0,AND(J2416=1,K2416=1),AND(J2416=1,I2416="SBJ"),AND(J2416=1,I2416=0)),"?IN_FOCUS",IF(J2416&lt;=2,"?ACTIVATED",IF(J2416&lt;&gt;"","?FAMILIAR",IF(F2416="NEW",IF(ISNA(VLOOKUP(E2416,#REF!,1,FALSE())),"?TYPE_IDENTIFIABLE","?REFERENTIAL"),"_")))))</f>
        <v> </v>
      </c>
      <c r="H2416" s="24" t="str">
        <f>IF(J2416&lt;&gt;1,"",IF(I2416="SBJ","CB","?"))</f>
        <v> </v>
      </c>
      <c r="I2416" s="25" t="str">
        <f>IF(OR(E2416="",E2416="!!!",F2416="NEW"),"",INDEX(B2415:B$2,-1+SUMPRODUCT(MAX(ROW(E2415:E$2)*(E2416=E2415:E$2)))))</f>
        <v> </v>
      </c>
      <c r="J2416" s="25" t="str">
        <f>IF(OR(E2416="",E2416="!!!",F2416="NEW"),"",COUNTBLANK(OFFSET(A$1,,,SUMPRODUCT(MAX(ROW(E$2:E2416)*(E2416=E$2:E2416)))))-COUNTBLANK(OFFSET(A$1,,,SUMPRODUCT(MAX(ROW(E$1:E2415)*(E2=E$1:E2415))))))</f>
        <v> </v>
      </c>
      <c r="K2416" s="25" t="str">
        <f>IF(OR(E2416="",E2416="!!!",F2416="NEW"),"",INDEX(J$1:J2415,SUMPRODUCT(MAX(ROW(E$1:E2415)*(E2416=E$1:E2415)))))</f>
        <v> </v>
      </c>
      <c r="L2416" s="26"/>
    </row>
    <row r="2417" spans="1:12">
      <c r="A2417" s="20" t="s">
        <v>717</v>
      </c>
      <c r="E2417" s="21">
        <f>IF(D2417="?OLD","!!!","")</f>
        <v/>
      </c>
      <c r="F2417" s="22" t="str">
        <f>IF(OR(E2417="",E2417="!!!"),"",IF(NOT(ISNA(VLOOKUP(E2417,E$1:E2416,1,FALSE()))),"OLD",IF(AND(E2417&lt;&gt;"",E2417&lt;&gt;"!!!"),"NEW","")))</f>
        <v> </v>
      </c>
      <c r="G2417" s="23" t="str">
        <f>IF(OR(E2417="",E2417="!!!"),"",IF(OR(J2417=0,AND(J2417=1,K2417=1),AND(J2417=1,I2417="SBJ"),AND(J2417=1,I2417=0)),"?IN_FOCUS",IF(J2417&lt;=2,"?ACTIVATED",IF(J2417&lt;&gt;"","?FAMILIAR",IF(F2417="NEW",IF(ISNA(VLOOKUP(E2417,#REF!,1,FALSE())),"?TYPE_IDENTIFIABLE","?REFERENTIAL"),"_")))))</f>
        <v> </v>
      </c>
      <c r="H2417" s="24" t="str">
        <f>IF(J2417&lt;&gt;1,"",IF(I2417="SBJ","CB","?"))</f>
        <v> </v>
      </c>
      <c r="I2417" s="25" t="str">
        <f>IF(OR(E2417="",E2417="!!!",F2417="NEW"),"",INDEX(B2416:B$2,-1+SUMPRODUCT(MAX(ROW(E2416:E$2)*(E2417=E2416:E$2)))))</f>
        <v> </v>
      </c>
      <c r="J2417" s="25" t="str">
        <f>IF(OR(E2417="",E2417="!!!",F2417="NEW"),"",COUNTBLANK(OFFSET(A$1,,,SUMPRODUCT(MAX(ROW(E$2:E2417)*(E2417=E$2:E2417)))))-COUNTBLANK(OFFSET(A$1,,,SUMPRODUCT(MAX(ROW(E$1:E2416)*(E2=E$1:E2416))))))</f>
        <v> </v>
      </c>
      <c r="K2417" s="25" t="str">
        <f>IF(OR(E2417="",E2417="!!!",F2417="NEW"),"",INDEX(J$1:J2416,SUMPRODUCT(MAX(ROW(E$1:E2416)*(E2417=E$1:E2416)))))</f>
        <v> </v>
      </c>
      <c r="L2417" s="26"/>
    </row>
    <row r="2418" spans="1:12">
      <c r="A2418" s="20" t="s">
        <v>1480</v>
      </c>
      <c r="E2418" s="21">
        <f>IF(D2418="?OLD","!!!","")</f>
        <v/>
      </c>
      <c r="F2418" s="22" t="str">
        <f>IF(OR(E2418="",E2418="!!!"),"",IF(NOT(ISNA(VLOOKUP(E2418,E$1:E2417,1,FALSE()))),"OLD",IF(AND(E2418&lt;&gt;"",E2418&lt;&gt;"!!!"),"NEW","")))</f>
        <v> </v>
      </c>
      <c r="G2418" s="23" t="str">
        <f>IF(OR(E2418="",E2418="!!!"),"",IF(OR(J2418=0,AND(J2418=1,K2418=1),AND(J2418=1,I2418="SBJ"),AND(J2418=1,I2418=0)),"?IN_FOCUS",IF(J2418&lt;=2,"?ACTIVATED",IF(J2418&lt;&gt;"","?FAMILIAR",IF(F2418="NEW",IF(ISNA(VLOOKUP(E2418,#REF!,1,FALSE())),"?TYPE_IDENTIFIABLE","?REFERENTIAL"),"_")))))</f>
        <v> </v>
      </c>
      <c r="H2418" s="24" t="str">
        <f>IF(J2418&lt;&gt;1,"",IF(I2418="SBJ","CB","?"))</f>
        <v> </v>
      </c>
      <c r="I2418" s="25" t="str">
        <f>IF(OR(E2418="",E2418="!!!",F2418="NEW"),"",INDEX(B2417:B$2,-1+SUMPRODUCT(MAX(ROW(E2417:E$2)*(E2418=E2417:E$2)))))</f>
        <v> </v>
      </c>
      <c r="J2418" s="25" t="str">
        <f>IF(OR(E2418="",E2418="!!!",F2418="NEW"),"",COUNTBLANK(OFFSET(A$1,,,SUMPRODUCT(MAX(ROW(E$2:E2418)*(E2418=E$2:E2418)))))-COUNTBLANK(OFFSET(A$1,,,SUMPRODUCT(MAX(ROW(E$1:E2417)*(E2=E$1:E2417))))))</f>
        <v> </v>
      </c>
      <c r="K2418" s="25" t="str">
        <f>IF(OR(E2418="",E2418="!!!",F2418="NEW"),"",INDEX(J$1:J2417,SUMPRODUCT(MAX(ROW(E$1:E2417)*(E2418=E$1:E2417)))))</f>
        <v> </v>
      </c>
      <c r="L2418" s="26"/>
    </row>
    <row r="2419" spans="1:12">
      <c r="A2419" s="20" t="s">
        <v>1466</v>
      </c>
      <c r="B2419" s="27" t="s">
        <v>725</v>
      </c>
      <c r="C2419" s="27" t="s">
        <v>685</v>
      </c>
      <c r="E2419" s="21">
        <f>IF(D2419="?OLD","!!!","")</f>
        <v/>
      </c>
      <c r="F2419" s="22" t="str">
        <f>IF(OR(E2419="",E2419="!!!"),"",IF(NOT(ISNA(VLOOKUP(E2419,E$1:E2418,1,FALSE()))),"OLD",IF(AND(E2419&lt;&gt;"",E2419&lt;&gt;"!!!"),"NEW","")))</f>
        <v> </v>
      </c>
      <c r="G2419" s="23" t="str">
        <f>IF(OR(E2419="",E2419="!!!"),"",IF(OR(J2419=0,AND(J2419=1,K2419=1),AND(J2419=1,I2419="SBJ"),AND(J2419=1,I2419=0)),"?IN_FOCUS",IF(J2419&lt;=2,"?ACTIVATED",IF(J2419&lt;&gt;"","?FAMILIAR",IF(F2419="NEW",IF(ISNA(VLOOKUP(E2419,#REF!,1,FALSE())),"?TYPE_IDENTIFIABLE","?REFERENTIAL"),"_")))))</f>
        <v> </v>
      </c>
      <c r="H2419" s="24" t="str">
        <f>IF(J2419&lt;&gt;1,"",IF(I2419="SBJ","CB","?"))</f>
        <v> </v>
      </c>
      <c r="I2419" s="25" t="str">
        <f>IF(OR(E2419="",E2419="!!!",F2419="NEW"),"",INDEX(B2418:B$2,-1+SUMPRODUCT(MAX(ROW(E2418:E$2)*(E2419=E2418:E$2)))))</f>
        <v> </v>
      </c>
      <c r="J2419" s="25" t="str">
        <f>IF(OR(E2419="",E2419="!!!",F2419="NEW"),"",COUNTBLANK(OFFSET(A$1,,,SUMPRODUCT(MAX(ROW(E$2:E2419)*(E2419=E$2:E2419)))))-COUNTBLANK(OFFSET(A$1,,,SUMPRODUCT(MAX(ROW(E$1:E2418)*(E2=E$1:E2418))))))</f>
        <v> </v>
      </c>
      <c r="K2419" s="25" t="str">
        <f>IF(OR(E2419="",E2419="!!!",F2419="NEW"),"",INDEX(J$1:J2418,SUMPRODUCT(MAX(ROW(E$1:E2418)*(E2419=E$1:E2418)))))</f>
        <v> </v>
      </c>
      <c r="L2419" s="26"/>
    </row>
    <row r="2420" spans="1:12">
      <c r="A2420" s="20" t="s">
        <v>663</v>
      </c>
      <c r="E2420" s="21">
        <f>IF(D2420="?OLD","!!!","")</f>
        <v/>
      </c>
      <c r="F2420" s="22" t="str">
        <f>IF(OR(E2420="",E2420="!!!"),"",IF(NOT(ISNA(VLOOKUP(E2420,E$1:E2419,1,FALSE()))),"OLD",IF(AND(E2420&lt;&gt;"",E2420&lt;&gt;"!!!"),"NEW","")))</f>
        <v> </v>
      </c>
      <c r="G2420" s="23" t="str">
        <f>IF(OR(E2420="",E2420="!!!"),"",IF(OR(J2420=0,AND(J2420=1,K2420=1),AND(J2420=1,I2420="SBJ"),AND(J2420=1,I2420=0)),"?IN_FOCUS",IF(J2420&lt;=2,"?ACTIVATED",IF(J2420&lt;&gt;"","?FAMILIAR",IF(F2420="NEW",IF(ISNA(VLOOKUP(E2420,#REF!,1,FALSE())),"?TYPE_IDENTIFIABLE","?REFERENTIAL"),"_")))))</f>
        <v> </v>
      </c>
      <c r="H2420" s="24" t="str">
        <f>IF(J2420&lt;&gt;1,"",IF(I2420="SBJ","CB","?"))</f>
        <v> </v>
      </c>
      <c r="I2420" s="25" t="str">
        <f>IF(OR(E2420="",E2420="!!!",F2420="NEW"),"",INDEX(B2419:B$2,-1+SUMPRODUCT(MAX(ROW(E2419:E$2)*(E2420=E2419:E$2)))))</f>
        <v> </v>
      </c>
      <c r="J2420" s="25" t="str">
        <f>IF(OR(E2420="",E2420="!!!",F2420="NEW"),"",COUNTBLANK(OFFSET(A$1,,,SUMPRODUCT(MAX(ROW(E$2:E2420)*(E2420=E$2:E2420)))))-COUNTBLANK(OFFSET(A$1,,,SUMPRODUCT(MAX(ROW(E$1:E2419)*(E2=E$1:E2419))))))</f>
        <v> </v>
      </c>
      <c r="K2420" s="25" t="str">
        <f>IF(OR(E2420="",E2420="!!!",F2420="NEW"),"",INDEX(J$1:J2419,SUMPRODUCT(MAX(ROW(E$1:E2419)*(E2420=E$1:E2419)))))</f>
        <v> </v>
      </c>
      <c r="L2420" s="26"/>
    </row>
    <row r="2421" spans="1:12">
      <c r="A2421" s="20" t="s">
        <v>1481</v>
      </c>
      <c r="E2421" s="21">
        <f>IF(D2421="?OLD","!!!","")</f>
        <v/>
      </c>
      <c r="F2421" s="22" t="str">
        <f>IF(OR(E2421="",E2421="!!!"),"",IF(NOT(ISNA(VLOOKUP(E2421,E$1:E2420,1,FALSE()))),"OLD",IF(AND(E2421&lt;&gt;"",E2421&lt;&gt;"!!!"),"NEW","")))</f>
        <v> </v>
      </c>
      <c r="G2421" s="23" t="str">
        <f>IF(OR(E2421="",E2421="!!!"),"",IF(OR(J2421=0,AND(J2421=1,K2421=1),AND(J2421=1,I2421="SBJ"),AND(J2421=1,I2421=0)),"?IN_FOCUS",IF(J2421&lt;=2,"?ACTIVATED",IF(J2421&lt;&gt;"","?FAMILIAR",IF(F2421="NEW",IF(ISNA(VLOOKUP(E2421,#REF!,1,FALSE())),"?TYPE_IDENTIFIABLE","?REFERENTIAL"),"_")))))</f>
        <v> </v>
      </c>
      <c r="H2421" s="24" t="str">
        <f>IF(J2421&lt;&gt;1,"",IF(I2421="SBJ","CB","?"))</f>
        <v> </v>
      </c>
      <c r="I2421" s="25" t="str">
        <f>IF(OR(E2421="",E2421="!!!",F2421="NEW"),"",INDEX(B2420:B$2,-1+SUMPRODUCT(MAX(ROW(E2420:E$2)*(E2421=E2420:E$2)))))</f>
        <v> </v>
      </c>
      <c r="J2421" s="25" t="str">
        <f>IF(OR(E2421="",E2421="!!!",F2421="NEW"),"",COUNTBLANK(OFFSET(A$1,,,SUMPRODUCT(MAX(ROW(E$2:E2421)*(E2421=E$2:E2421)))))-COUNTBLANK(OFFSET(A$1,,,SUMPRODUCT(MAX(ROW(E$1:E2420)*(E2=E$1:E2420))))))</f>
        <v> </v>
      </c>
      <c r="K2421" s="25" t="str">
        <f>IF(OR(E2421="",E2421="!!!",F2421="NEW"),"",INDEX(J$1:J2420,SUMPRODUCT(MAX(ROW(E$1:E2420)*(E2421=E$1:E2420)))))</f>
        <v> </v>
      </c>
      <c r="L2421" s="26"/>
    </row>
    <row r="2422" spans="1:12">
      <c r="A2422" s="20" t="s">
        <v>633</v>
      </c>
      <c r="E2422" s="21">
        <f>IF(D2422="?OLD","!!!","")</f>
        <v/>
      </c>
      <c r="F2422" s="22" t="str">
        <f>IF(OR(E2422="",E2422="!!!"),"",IF(NOT(ISNA(VLOOKUP(E2422,E$1:E2421,1,FALSE()))),"OLD",IF(AND(E2422&lt;&gt;"",E2422&lt;&gt;"!!!"),"NEW","")))</f>
        <v> </v>
      </c>
      <c r="G2422" s="23" t="str">
        <f>IF(OR(E2422="",E2422="!!!"),"",IF(OR(J2422=0,AND(J2422=1,K2422=1),AND(J2422=1,I2422="SBJ"),AND(J2422=1,I2422=0)),"?IN_FOCUS",IF(J2422&lt;=2,"?ACTIVATED",IF(J2422&lt;&gt;"","?FAMILIAR",IF(F2422="NEW",IF(ISNA(VLOOKUP(E2422,#REF!,1,FALSE())),"?TYPE_IDENTIFIABLE","?REFERENTIAL"),"_")))))</f>
        <v> </v>
      </c>
      <c r="H2422" s="24" t="str">
        <f>IF(J2422&lt;&gt;1,"",IF(I2422="SBJ","CB","?"))</f>
        <v> </v>
      </c>
      <c r="I2422" s="25" t="str">
        <f>IF(OR(E2422="",E2422="!!!",F2422="NEW"),"",INDEX(B2421:B$2,-1+SUMPRODUCT(MAX(ROW(E2421:E$2)*(E2422=E2421:E$2)))))</f>
        <v> </v>
      </c>
      <c r="J2422" s="25" t="str">
        <f>IF(OR(E2422="",E2422="!!!",F2422="NEW"),"",COUNTBLANK(OFFSET(A$1,,,SUMPRODUCT(MAX(ROW(E$2:E2422)*(E2422=E$2:E2422)))))-COUNTBLANK(OFFSET(A$1,,,SUMPRODUCT(MAX(ROW(E$1:E2421)*(E2=E$1:E2421))))))</f>
        <v> </v>
      </c>
      <c r="K2422" s="25" t="str">
        <f>IF(OR(E2422="",E2422="!!!",F2422="NEW"),"",INDEX(J$1:J2421,SUMPRODUCT(MAX(ROW(E$1:E2421)*(E2422=E$1:E2421)))))</f>
        <v> </v>
      </c>
      <c r="L2422" s="26"/>
    </row>
    <row r="2423" spans="1:12">
      <c r="A2423" s="20"/>
    </row>
    <row r="2424" spans="1:12">
      <c r="A2424" s="20" t="s">
        <v>1482</v>
      </c>
    </row>
    <row r="2425" spans="1:12">
      <c r="A2425" s="20" t="s">
        <v>688</v>
      </c>
      <c r="E2425" s="21">
        <f>IF(D2425="?OLD","!!!","")</f>
        <v/>
      </c>
      <c r="F2425" s="22" t="str">
        <f>IF(OR(E2425="",E2425="!!!"),"",IF(NOT(ISNA(VLOOKUP(E2425,E$1:E2424,1,FALSE()))),"OLD",IF(AND(E2425&lt;&gt;"",E2425&lt;&gt;"!!!"),"NEW","")))</f>
        <v> </v>
      </c>
      <c r="G2425" s="23" t="str">
        <f>IF(OR(E2425="",E2425="!!!"),"",IF(OR(J2425=0,AND(J2425=1,K2425=1),AND(J2425=1,I2425="SBJ"),AND(J2425=1,I2425=0)),"?IN_FOCUS",IF(J2425&lt;=2,"?ACTIVATED",IF(J2425&lt;&gt;"","?FAMILIAR",IF(F2425="NEW",IF(ISNA(VLOOKUP(E2425,#REF!,1,FALSE())),"?TYPE_IDENTIFIABLE","?REFERENTIAL"),"_")))))</f>
        <v> </v>
      </c>
      <c r="H2425" s="24" t="str">
        <f>IF(J2425&lt;&gt;1,"",IF(I2425="SBJ","CB","?"))</f>
        <v> </v>
      </c>
      <c r="I2425" s="25" t="str">
        <f>IF(OR(E2425="",E2425="!!!",F2425="NEW"),"",INDEX(B2424:B$2,-1+SUMPRODUCT(MAX(ROW(E2424:E$2)*(E2425=E2424:E$2)))))</f>
        <v> </v>
      </c>
      <c r="J2425" s="25" t="str">
        <f>IF(OR(E2425="",E2425="!!!",F2425="NEW"),"",COUNTBLANK(OFFSET(A$1,,,SUMPRODUCT(MAX(ROW(E$2:E2425)*(E2425=E$2:E2425)))))-COUNTBLANK(OFFSET(A$1,,,SUMPRODUCT(MAX(ROW(E$1:E2424)*(E2=E$1:E2424))))))</f>
        <v> </v>
      </c>
      <c r="K2425" s="25" t="str">
        <f>IF(OR(E2425="",E2425="!!!",F2425="NEW"),"",INDEX(J$1:J2424,SUMPRODUCT(MAX(ROW(E$1:E2424)*(E2425=E$1:E2424)))))</f>
        <v> </v>
      </c>
      <c r="L2425" s="26"/>
    </row>
    <row r="2426" spans="1:12">
      <c r="A2426" s="20" t="s">
        <v>612</v>
      </c>
      <c r="E2426" s="21">
        <f>IF(D2426="?OLD","!!!","")</f>
        <v/>
      </c>
      <c r="F2426" s="22" t="str">
        <f>IF(OR(E2426="",E2426="!!!"),"",IF(NOT(ISNA(VLOOKUP(E2426,E$1:E2425,1,FALSE()))),"OLD",IF(AND(E2426&lt;&gt;"",E2426&lt;&gt;"!!!"),"NEW","")))</f>
        <v> </v>
      </c>
      <c r="G2426" s="23" t="str">
        <f>IF(OR(E2426="",E2426="!!!"),"",IF(OR(J2426=0,AND(J2426=1,K2426=1),AND(J2426=1,I2426="SBJ"),AND(J2426=1,I2426=0)),"?IN_FOCUS",IF(J2426&lt;=2,"?ACTIVATED",IF(J2426&lt;&gt;"","?FAMILIAR",IF(F2426="NEW",IF(ISNA(VLOOKUP(E2426,#REF!,1,FALSE())),"?TYPE_IDENTIFIABLE","?REFERENTIAL"),"_")))))</f>
        <v> </v>
      </c>
      <c r="H2426" s="24" t="str">
        <f>IF(J2426&lt;&gt;1,"",IF(I2426="SBJ","CB","?"))</f>
        <v> </v>
      </c>
      <c r="I2426" s="25" t="str">
        <f>IF(OR(E2426="",E2426="!!!",F2426="NEW"),"",INDEX(B2425:B$2,-1+SUMPRODUCT(MAX(ROW(E2425:E$2)*(E2426=E2425:E$2)))))</f>
        <v> </v>
      </c>
      <c r="J2426" s="25" t="str">
        <f>IF(OR(E2426="",E2426="!!!",F2426="NEW"),"",COUNTBLANK(OFFSET(A$1,,,SUMPRODUCT(MAX(ROW(E$2:E2426)*(E2426=E$2:E2426)))))-COUNTBLANK(OFFSET(A$1,,,SUMPRODUCT(MAX(ROW(E$1:E2425)*(E2=E$1:E2425))))))</f>
        <v> </v>
      </c>
      <c r="K2426" s="25" t="str">
        <f>IF(OR(E2426="",E2426="!!!",F2426="NEW"),"",INDEX(J$1:J2425,SUMPRODUCT(MAX(ROW(E$1:E2425)*(E2426=E$1:E2425)))))</f>
        <v> </v>
      </c>
      <c r="L2426" s="26"/>
    </row>
    <row r="2427" spans="1:12">
      <c r="A2427" s="20" t="s">
        <v>690</v>
      </c>
      <c r="B2427" s="27" t="s">
        <v>636</v>
      </c>
      <c r="E2427" s="21">
        <f>IF(D2427="?OLD","!!!","")</f>
        <v/>
      </c>
      <c r="F2427" s="22" t="str">
        <f>IF(OR(E2427="",E2427="!!!"),"",IF(NOT(ISNA(VLOOKUP(E2427,E$1:E2426,1,FALSE()))),"OLD",IF(AND(E2427&lt;&gt;"",E2427&lt;&gt;"!!!"),"NEW","")))</f>
        <v> </v>
      </c>
      <c r="G2427" s="23" t="str">
        <f>IF(OR(E2427="",E2427="!!!"),"",IF(OR(J2427=0,AND(J2427=1,K2427=1),AND(J2427=1,I2427="SBJ"),AND(J2427=1,I2427=0)),"?IN_FOCUS",IF(J2427&lt;=2,"?ACTIVATED",IF(J2427&lt;&gt;"","?FAMILIAR",IF(F2427="NEW",IF(ISNA(VLOOKUP(E2427,#REF!,1,FALSE())),"?TYPE_IDENTIFIABLE","?REFERENTIAL"),"_")))))</f>
        <v> </v>
      </c>
      <c r="H2427" s="24" t="str">
        <f>IF(J2427&lt;&gt;1,"",IF(I2427="SBJ","CB","?"))</f>
        <v> </v>
      </c>
      <c r="I2427" s="25" t="str">
        <f>IF(OR(E2427="",E2427="!!!",F2427="NEW"),"",INDEX(B2426:B$2,-1+SUMPRODUCT(MAX(ROW(E2426:E$2)*(E2427=E2426:E$2)))))</f>
        <v> </v>
      </c>
      <c r="J2427" s="25" t="str">
        <f>IF(OR(E2427="",E2427="!!!",F2427="NEW"),"",COUNTBLANK(OFFSET(A$1,,,SUMPRODUCT(MAX(ROW(E$2:E2427)*(E2427=E$2:E2427)))))-COUNTBLANK(OFFSET(A$1,,,SUMPRODUCT(MAX(ROW(E$1:E2426)*(E2=E$1:E2426))))))</f>
        <v> </v>
      </c>
      <c r="K2427" s="25" t="str">
        <f>IF(OR(E2427="",E2427="!!!",F2427="NEW"),"",INDEX(J$1:J2426,SUMPRODUCT(MAX(ROW(E$1:E2426)*(E2427=E$1:E2426)))))</f>
        <v> </v>
      </c>
      <c r="L2427" s="26"/>
    </row>
    <row r="2428" spans="1:12">
      <c r="A2428" s="20" t="s">
        <v>691</v>
      </c>
      <c r="E2428" s="21">
        <f>IF(D2428="?OLD","!!!","")</f>
        <v/>
      </c>
      <c r="F2428" s="22" t="str">
        <f>IF(OR(E2428="",E2428="!!!"),"",IF(NOT(ISNA(VLOOKUP(E2428,E$1:E2427,1,FALSE()))),"OLD",IF(AND(E2428&lt;&gt;"",E2428&lt;&gt;"!!!"),"NEW","")))</f>
        <v> </v>
      </c>
      <c r="G2428" s="23" t="str">
        <f>IF(OR(E2428="",E2428="!!!"),"",IF(OR(J2428=0,AND(J2428=1,K2428=1),AND(J2428=1,I2428="SBJ"),AND(J2428=1,I2428=0)),"?IN_FOCUS",IF(J2428&lt;=2,"?ACTIVATED",IF(J2428&lt;&gt;"","?FAMILIAR",IF(F2428="NEW",IF(ISNA(VLOOKUP(E2428,#REF!,1,FALSE())),"?TYPE_IDENTIFIABLE","?REFERENTIAL"),"_")))))</f>
        <v> </v>
      </c>
      <c r="H2428" s="24" t="str">
        <f>IF(J2428&lt;&gt;1,"",IF(I2428="SBJ","CB","?"))</f>
        <v> </v>
      </c>
      <c r="I2428" s="25" t="str">
        <f>IF(OR(E2428="",E2428="!!!",F2428="NEW"),"",INDEX(B2427:B$2,-1+SUMPRODUCT(MAX(ROW(E2427:E$2)*(E2428=E2427:E$2)))))</f>
        <v> </v>
      </c>
      <c r="J2428" s="25" t="str">
        <f>IF(OR(E2428="",E2428="!!!",F2428="NEW"),"",COUNTBLANK(OFFSET(A$1,,,SUMPRODUCT(MAX(ROW(E$2:E2428)*(E2428=E$2:E2428)))))-COUNTBLANK(OFFSET(A$1,,,SUMPRODUCT(MAX(ROW(E$1:E2427)*(E2=E$1:E2427))))))</f>
        <v> </v>
      </c>
      <c r="K2428" s="25" t="str">
        <f>IF(OR(E2428="",E2428="!!!",F2428="NEW"),"",INDEX(J$1:J2427,SUMPRODUCT(MAX(ROW(E$1:E2427)*(E2428=E$1:E2427)))))</f>
        <v> </v>
      </c>
      <c r="L2428" s="26"/>
    </row>
    <row r="2429" spans="1:12">
      <c r="A2429" s="20" t="s">
        <v>831</v>
      </c>
      <c r="B2429" s="27" t="s">
        <v>611</v>
      </c>
      <c r="C2429" s="27" t="s">
        <v>652</v>
      </c>
      <c r="D2429" s="27" t="s">
        <v>608</v>
      </c>
      <c r="E2429" s="21">
        <f>IF(D2429="?OLD","!!!","")</f>
        <v/>
      </c>
      <c r="F2429" s="22" t="str">
        <f>IF(OR(E2429="",E2429="!!!"),"",IF(NOT(ISNA(VLOOKUP(E2429,E$1:E2428,1,FALSE()))),"OLD",IF(AND(E2429&lt;&gt;"",E2429&lt;&gt;"!!!"),"NEW","")))</f>
        <v> </v>
      </c>
      <c r="G2429" s="23" t="str">
        <f>IF(OR(E2429="",E2429="!!!"),"",IF(OR(J2429=0,AND(J2429=1,K2429=1),AND(J2429=1,I2429="SBJ"),AND(J2429=1,I2429=0)),"?IN_FOCUS",IF(J2429&lt;=2,"?ACTIVATED",IF(J2429&lt;&gt;"","?FAMILIAR",IF(F2429="NEW",IF(ISNA(VLOOKUP(E2429,#REF!,1,FALSE())),"?TYPE_IDENTIFIABLE","?REFERENTIAL"),"_")))))</f>
        <v> </v>
      </c>
      <c r="H2429" s="24" t="str">
        <f>IF(J2429&lt;&gt;1,"",IF(I2429="SBJ","CB","?"))</f>
        <v> </v>
      </c>
      <c r="I2429" s="25" t="str">
        <f>IF(OR(E2429="",E2429="!!!",F2429="NEW"),"",INDEX(B2428:B$2,-1+SUMPRODUCT(MAX(ROW(E2428:E$2)*(E2429=E2428:E$2)))))</f>
        <v> </v>
      </c>
      <c r="J2429" s="25" t="str">
        <f>IF(OR(E2429="",E2429="!!!",F2429="NEW"),"",COUNTBLANK(OFFSET(A$1,,,SUMPRODUCT(MAX(ROW(E$2:E2429)*(E2429=E$2:E2429)))))-COUNTBLANK(OFFSET(A$1,,,SUMPRODUCT(MAX(ROW(E$1:E2428)*(E2=E$1:E2428))))))</f>
        <v> </v>
      </c>
      <c r="K2429" s="25" t="str">
        <f>IF(OR(E2429="",E2429="!!!",F2429="NEW"),"",INDEX(J$1:J2428,SUMPRODUCT(MAX(ROW(E$1:E2428)*(E2429=E$1:E2428)))))</f>
        <v> </v>
      </c>
      <c r="L2429" s="26"/>
    </row>
    <row r="2430" spans="1:12">
      <c r="A2430" s="20" t="s">
        <v>1483</v>
      </c>
      <c r="E2430" s="21">
        <f>IF(D2430="?OLD","!!!","")</f>
        <v/>
      </c>
      <c r="F2430" s="22" t="str">
        <f>IF(OR(E2430="",E2430="!!!"),"",IF(NOT(ISNA(VLOOKUP(E2430,E$1:E2429,1,FALSE()))),"OLD",IF(AND(E2430&lt;&gt;"",E2430&lt;&gt;"!!!"),"NEW","")))</f>
        <v> </v>
      </c>
      <c r="G2430" s="23" t="str">
        <f>IF(OR(E2430="",E2430="!!!"),"",IF(OR(J2430=0,AND(J2430=1,K2430=1),AND(J2430=1,I2430="SBJ"),AND(J2430=1,I2430=0)),"?IN_FOCUS",IF(J2430&lt;=2,"?ACTIVATED",IF(J2430&lt;&gt;"","?FAMILIAR",IF(F2430="NEW",IF(ISNA(VLOOKUP(E2430,#REF!,1,FALSE())),"?TYPE_IDENTIFIABLE","?REFERENTIAL"),"_")))))</f>
        <v> </v>
      </c>
      <c r="H2430" s="24" t="str">
        <f>IF(J2430&lt;&gt;1,"",IF(I2430="SBJ","CB","?"))</f>
        <v> </v>
      </c>
      <c r="I2430" s="25" t="str">
        <f>IF(OR(E2430="",E2430="!!!",F2430="NEW"),"",INDEX(B2429:B$2,-1+SUMPRODUCT(MAX(ROW(E2429:E$2)*(E2430=E2429:E$2)))))</f>
        <v> </v>
      </c>
      <c r="J2430" s="25" t="str">
        <f>IF(OR(E2430="",E2430="!!!",F2430="NEW"),"",COUNTBLANK(OFFSET(A$1,,,SUMPRODUCT(MAX(ROW(E$2:E2430)*(E2430=E$2:E2430)))))-COUNTBLANK(OFFSET(A$1,,,SUMPRODUCT(MAX(ROW(E$1:E2429)*(E2=E$1:E2429))))))</f>
        <v> </v>
      </c>
      <c r="K2430" s="25" t="str">
        <f>IF(OR(E2430="",E2430="!!!",F2430="NEW"),"",INDEX(J$1:J2429,SUMPRODUCT(MAX(ROW(E$1:E2429)*(E2430=E$1:E2429)))))</f>
        <v> </v>
      </c>
      <c r="L2430" s="26"/>
    </row>
    <row r="2431" spans="1:12">
      <c r="A2431" s="20" t="s">
        <v>538</v>
      </c>
      <c r="B2431" s="27" t="s">
        <v>606</v>
      </c>
      <c r="C2431" s="27" t="s">
        <v>894</v>
      </c>
      <c r="E2431" s="21">
        <f>IF(D2431="?OLD","!!!","")</f>
        <v/>
      </c>
      <c r="F2431" s="22" t="str">
        <f>IF(OR(E2431="",E2431="!!!"),"",IF(NOT(ISNA(VLOOKUP(E2431,E$1:E2430,1,FALSE()))),"OLD",IF(AND(E2431&lt;&gt;"",E2431&lt;&gt;"!!!"),"NEW","")))</f>
        <v> </v>
      </c>
      <c r="G2431" s="23" t="str">
        <f>IF(OR(E2431="",E2431="!!!"),"",IF(OR(J2431=0,AND(J2431=1,K2431=1),AND(J2431=1,I2431="SBJ"),AND(J2431=1,I2431=0)),"?IN_FOCUS",IF(J2431&lt;=2,"?ACTIVATED",IF(J2431&lt;&gt;"","?FAMILIAR",IF(F2431="NEW",IF(ISNA(VLOOKUP(E2431,#REF!,1,FALSE())),"?TYPE_IDENTIFIABLE","?REFERENTIAL"),"_")))))</f>
        <v> </v>
      </c>
      <c r="H2431" s="24" t="str">
        <f>IF(J2431&lt;&gt;1,"",IF(I2431="SBJ","CB","?"))</f>
        <v> </v>
      </c>
      <c r="I2431" s="25" t="str">
        <f>IF(OR(E2431="",E2431="!!!",F2431="NEW"),"",INDEX(B2430:B$2,-1+SUMPRODUCT(MAX(ROW(E2430:E$2)*(E2431=E2430:E$2)))))</f>
        <v> </v>
      </c>
      <c r="J2431" s="25" t="str">
        <f>IF(OR(E2431="",E2431="!!!",F2431="NEW"),"",COUNTBLANK(OFFSET(A$1,,,SUMPRODUCT(MAX(ROW(E$2:E2431)*(E2431=E$2:E2431)))))-COUNTBLANK(OFFSET(A$1,,,SUMPRODUCT(MAX(ROW(E$1:E2430)*(E2=E$1:E2430))))))</f>
        <v> </v>
      </c>
      <c r="K2431" s="25" t="str">
        <f>IF(OR(E2431="",E2431="!!!",F2431="NEW"),"",INDEX(J$1:J2430,SUMPRODUCT(MAX(ROW(E$1:E2430)*(E2431=E$1:E2430)))))</f>
        <v> </v>
      </c>
      <c r="L2431" s="26"/>
    </row>
    <row r="2432" spans="1:12">
      <c r="A2432" s="20" t="s">
        <v>617</v>
      </c>
      <c r="E2432" s="21">
        <f>IF(D2432="?OLD","!!!","")</f>
        <v/>
      </c>
      <c r="F2432" s="22" t="str">
        <f>IF(OR(E2432="",E2432="!!!"),"",IF(NOT(ISNA(VLOOKUP(E2432,E$1:E2431,1,FALSE()))),"OLD",IF(AND(E2432&lt;&gt;"",E2432&lt;&gt;"!!!"),"NEW","")))</f>
        <v> </v>
      </c>
      <c r="G2432" s="23" t="str">
        <f>IF(OR(E2432="",E2432="!!!"),"",IF(OR(J2432=0,AND(J2432=1,K2432=1),AND(J2432=1,I2432="SBJ"),AND(J2432=1,I2432=0)),"?IN_FOCUS",IF(J2432&lt;=2,"?ACTIVATED",IF(J2432&lt;&gt;"","?FAMILIAR",IF(F2432="NEW",IF(ISNA(VLOOKUP(E2432,#REF!,1,FALSE())),"?TYPE_IDENTIFIABLE","?REFERENTIAL"),"_")))))</f>
        <v> </v>
      </c>
      <c r="H2432" s="24" t="str">
        <f>IF(J2432&lt;&gt;1,"",IF(I2432="SBJ","CB","?"))</f>
        <v> </v>
      </c>
      <c r="I2432" s="25" t="str">
        <f>IF(OR(E2432="",E2432="!!!",F2432="NEW"),"",INDEX(B2431:B$2,-1+SUMPRODUCT(MAX(ROW(E2431:E$2)*(E2432=E2431:E$2)))))</f>
        <v> </v>
      </c>
      <c r="J2432" s="25" t="str">
        <f>IF(OR(E2432="",E2432="!!!",F2432="NEW"),"",COUNTBLANK(OFFSET(A$1,,,SUMPRODUCT(MAX(ROW(E$2:E2432)*(E2432=E$2:E2432)))))-COUNTBLANK(OFFSET(A$1,,,SUMPRODUCT(MAX(ROW(E$1:E2431)*(E2=E$1:E2431))))))</f>
        <v> </v>
      </c>
      <c r="K2432" s="25" t="str">
        <f>IF(OR(E2432="",E2432="!!!",F2432="NEW"),"",INDEX(J$1:J2431,SUMPRODUCT(MAX(ROW(E$1:E2431)*(E2432=E$1:E2431)))))</f>
        <v> </v>
      </c>
      <c r="L2432" s="26"/>
    </row>
    <row r="2433" spans="1:12">
      <c r="A2433" s="20" t="s">
        <v>1109</v>
      </c>
      <c r="E2433" s="21">
        <f>IF(D2433="?OLD","!!!","")</f>
        <v/>
      </c>
      <c r="F2433" s="22" t="str">
        <f>IF(OR(E2433="",E2433="!!!"),"",IF(NOT(ISNA(VLOOKUP(E2433,E$1:E2432,1,FALSE()))),"OLD",IF(AND(E2433&lt;&gt;"",E2433&lt;&gt;"!!!"),"NEW","")))</f>
        <v> </v>
      </c>
      <c r="G2433" s="23" t="str">
        <f>IF(OR(E2433="",E2433="!!!"),"",IF(OR(J2433=0,AND(J2433=1,K2433=1),AND(J2433=1,I2433="SBJ"),AND(J2433=1,I2433=0)),"?IN_FOCUS",IF(J2433&lt;=2,"?ACTIVATED",IF(J2433&lt;&gt;"","?FAMILIAR",IF(F2433="NEW",IF(ISNA(VLOOKUP(E2433,#REF!,1,FALSE())),"?TYPE_IDENTIFIABLE","?REFERENTIAL"),"_")))))</f>
        <v> </v>
      </c>
      <c r="H2433" s="24" t="str">
        <f>IF(J2433&lt;&gt;1,"",IF(I2433="SBJ","CB","?"))</f>
        <v> </v>
      </c>
      <c r="I2433" s="25" t="str">
        <f>IF(OR(E2433="",E2433="!!!",F2433="NEW"),"",INDEX(B2432:B$2,-1+SUMPRODUCT(MAX(ROW(E2432:E$2)*(E2433=E2432:E$2)))))</f>
        <v> </v>
      </c>
      <c r="J2433" s="25" t="str">
        <f>IF(OR(E2433="",E2433="!!!",F2433="NEW"),"",COUNTBLANK(OFFSET(A$1,,,SUMPRODUCT(MAX(ROW(E$2:E2433)*(E2433=E$2:E2433)))))-COUNTBLANK(OFFSET(A$1,,,SUMPRODUCT(MAX(ROW(E$1:E2432)*(E2=E$1:E2432))))))</f>
        <v> </v>
      </c>
      <c r="K2433" s="25" t="str">
        <f>IF(OR(E2433="",E2433="!!!",F2433="NEW"),"",INDEX(J$1:J2432,SUMPRODUCT(MAX(ROW(E$1:E2432)*(E2433=E$1:E2432)))))</f>
        <v> </v>
      </c>
      <c r="L2433" s="26"/>
    </row>
    <row r="2434" spans="1:12">
      <c r="A2434" s="20" t="s">
        <v>700</v>
      </c>
      <c r="B2434" s="27" t="s">
        <v>619</v>
      </c>
      <c r="C2434" s="27" t="s">
        <v>626</v>
      </c>
      <c r="E2434" s="21">
        <f>IF(D2434="?OLD","!!!","")</f>
        <v/>
      </c>
      <c r="F2434" s="22" t="str">
        <f>IF(OR(E2434="",E2434="!!!"),"",IF(NOT(ISNA(VLOOKUP(E2434,E$1:E2433,1,FALSE()))),"OLD",IF(AND(E2434&lt;&gt;"",E2434&lt;&gt;"!!!"),"NEW","")))</f>
        <v> </v>
      </c>
      <c r="G2434" s="23" t="str">
        <f>IF(OR(E2434="",E2434="!!!"),"",IF(OR(J2434=0,AND(J2434=1,K2434=1),AND(J2434=1,I2434="SBJ"),AND(J2434=1,I2434=0)),"?IN_FOCUS",IF(J2434&lt;=2,"?ACTIVATED",IF(J2434&lt;&gt;"","?FAMILIAR",IF(F2434="NEW",IF(ISNA(VLOOKUP(E2434,#REF!,1,FALSE())),"?TYPE_IDENTIFIABLE","?REFERENTIAL"),"_")))))</f>
        <v> </v>
      </c>
      <c r="H2434" s="24" t="str">
        <f>IF(J2434&lt;&gt;1,"",IF(I2434="SBJ","CB","?"))</f>
        <v> </v>
      </c>
      <c r="I2434" s="25" t="str">
        <f>IF(OR(E2434="",E2434="!!!",F2434="NEW"),"",INDEX(B2433:B$2,-1+SUMPRODUCT(MAX(ROW(E2433:E$2)*(E2434=E2433:E$2)))))</f>
        <v> </v>
      </c>
      <c r="J2434" s="25" t="str">
        <f>IF(OR(E2434="",E2434="!!!",F2434="NEW"),"",COUNTBLANK(OFFSET(A$1,,,SUMPRODUCT(MAX(ROW(E$2:E2434)*(E2434=E$2:E2434)))))-COUNTBLANK(OFFSET(A$1,,,SUMPRODUCT(MAX(ROW(E$1:E2433)*(E2=E$1:E2433))))))</f>
        <v> </v>
      </c>
      <c r="K2434" s="25" t="str">
        <f>IF(OR(E2434="",E2434="!!!",F2434="NEW"),"",INDEX(J$1:J2433,SUMPRODUCT(MAX(ROW(E$1:E2433)*(E2434=E$1:E2433)))))</f>
        <v> </v>
      </c>
      <c r="L2434" s="26"/>
    </row>
    <row r="2435" spans="1:12">
      <c r="A2435" s="20" t="s">
        <v>682</v>
      </c>
      <c r="E2435" s="21">
        <f>IF(D2435="?OLD","!!!","")</f>
        <v/>
      </c>
      <c r="F2435" s="22" t="str">
        <f>IF(OR(E2435="",E2435="!!!"),"",IF(NOT(ISNA(VLOOKUP(E2435,E$1:E2434,1,FALSE()))),"OLD",IF(AND(E2435&lt;&gt;"",E2435&lt;&gt;"!!!"),"NEW","")))</f>
        <v> </v>
      </c>
      <c r="G2435" s="23" t="str">
        <f>IF(OR(E2435="",E2435="!!!"),"",IF(OR(J2435=0,AND(J2435=1,K2435=1),AND(J2435=1,I2435="SBJ"),AND(J2435=1,I2435=0)),"?IN_FOCUS",IF(J2435&lt;=2,"?ACTIVATED",IF(J2435&lt;&gt;"","?FAMILIAR",IF(F2435="NEW",IF(ISNA(VLOOKUP(E2435,#REF!,1,FALSE())),"?TYPE_IDENTIFIABLE","?REFERENTIAL"),"_")))))</f>
        <v> </v>
      </c>
      <c r="H2435" s="24" t="str">
        <f>IF(J2435&lt;&gt;1,"",IF(I2435="SBJ","CB","?"))</f>
        <v> </v>
      </c>
      <c r="I2435" s="25" t="str">
        <f>IF(OR(E2435="",E2435="!!!",F2435="NEW"),"",INDEX(B2434:B$2,-1+SUMPRODUCT(MAX(ROW(E2434:E$2)*(E2435=E2434:E$2)))))</f>
        <v> </v>
      </c>
      <c r="J2435" s="25" t="str">
        <f>IF(OR(E2435="",E2435="!!!",F2435="NEW"),"",COUNTBLANK(OFFSET(A$1,,,SUMPRODUCT(MAX(ROW(E$2:E2435)*(E2435=E$2:E2435)))))-COUNTBLANK(OFFSET(A$1,,,SUMPRODUCT(MAX(ROW(E$1:E2434)*(E2=E$1:E2434))))))</f>
        <v> </v>
      </c>
      <c r="K2435" s="25" t="str">
        <f>IF(OR(E2435="",E2435="!!!",F2435="NEW"),"",INDEX(J$1:J2434,SUMPRODUCT(MAX(ROW(E$1:E2434)*(E2435=E$1:E2434)))))</f>
        <v> </v>
      </c>
      <c r="L2435" s="26"/>
    </row>
    <row r="2436" spans="1:12">
      <c r="A2436" s="20" t="s">
        <v>1220</v>
      </c>
      <c r="E2436" s="21">
        <f>IF(D2436="?OLD","!!!","")</f>
        <v/>
      </c>
      <c r="F2436" s="22" t="str">
        <f>IF(OR(E2436="",E2436="!!!"),"",IF(NOT(ISNA(VLOOKUP(E2436,E$1:E2435,1,FALSE()))),"OLD",IF(AND(E2436&lt;&gt;"",E2436&lt;&gt;"!!!"),"NEW","")))</f>
        <v> </v>
      </c>
      <c r="G2436" s="23" t="str">
        <f>IF(OR(E2436="",E2436="!!!"),"",IF(OR(J2436=0,AND(J2436=1,K2436=1),AND(J2436=1,I2436="SBJ"),AND(J2436=1,I2436=0)),"?IN_FOCUS",IF(J2436&lt;=2,"?ACTIVATED",IF(J2436&lt;&gt;"","?FAMILIAR",IF(F2436="NEW",IF(ISNA(VLOOKUP(E2436,#REF!,1,FALSE())),"?TYPE_IDENTIFIABLE","?REFERENTIAL"),"_")))))</f>
        <v> </v>
      </c>
      <c r="H2436" s="24" t="str">
        <f>IF(J2436&lt;&gt;1,"",IF(I2436="SBJ","CB","?"))</f>
        <v> </v>
      </c>
      <c r="I2436" s="25" t="str">
        <f>IF(OR(E2436="",E2436="!!!",F2436="NEW"),"",INDEX(B2435:B$2,-1+SUMPRODUCT(MAX(ROW(E2435:E$2)*(E2436=E2435:E$2)))))</f>
        <v> </v>
      </c>
      <c r="J2436" s="25" t="str">
        <f>IF(OR(E2436="",E2436="!!!",F2436="NEW"),"",COUNTBLANK(OFFSET(A$1,,,SUMPRODUCT(MAX(ROW(E$2:E2436)*(E2436=E$2:E2436)))))-COUNTBLANK(OFFSET(A$1,,,SUMPRODUCT(MAX(ROW(E$1:E2435)*(E2=E$1:E2435))))))</f>
        <v> </v>
      </c>
      <c r="K2436" s="25" t="str">
        <f>IF(OR(E2436="",E2436="!!!",F2436="NEW"),"",INDEX(J$1:J2435,SUMPRODUCT(MAX(ROW(E$1:E2435)*(E2436=E$1:E2435)))))</f>
        <v> </v>
      </c>
      <c r="L2436" s="26"/>
    </row>
    <row r="2437" spans="1:12">
      <c r="A2437" s="20" t="s">
        <v>615</v>
      </c>
      <c r="B2437" s="27" t="s">
        <v>657</v>
      </c>
      <c r="C2437" s="27" t="s">
        <v>685</v>
      </c>
      <c r="E2437" s="21">
        <f>IF(D2437="?OLD","!!!","")</f>
        <v/>
      </c>
      <c r="F2437" s="22" t="str">
        <f>IF(OR(E2437="",E2437="!!!"),"",IF(NOT(ISNA(VLOOKUP(E2437,E$1:E2436,1,FALSE()))),"OLD",IF(AND(E2437&lt;&gt;"",E2437&lt;&gt;"!!!"),"NEW","")))</f>
        <v> </v>
      </c>
      <c r="G2437" s="23" t="str">
        <f>IF(OR(E2437="",E2437="!!!"),"",IF(OR(J2437=0,AND(J2437=1,K2437=1),AND(J2437=1,I2437="SBJ"),AND(J2437=1,I2437=0)),"?IN_FOCUS",IF(J2437&lt;=2,"?ACTIVATED",IF(J2437&lt;&gt;"","?FAMILIAR",IF(F2437="NEW",IF(ISNA(VLOOKUP(E2437,#REF!,1,FALSE())),"?TYPE_IDENTIFIABLE","?REFERENTIAL"),"_")))))</f>
        <v> </v>
      </c>
      <c r="H2437" s="24" t="str">
        <f>IF(J2437&lt;&gt;1,"",IF(I2437="SBJ","CB","?"))</f>
        <v> </v>
      </c>
      <c r="I2437" s="25" t="str">
        <f>IF(OR(E2437="",E2437="!!!",F2437="NEW"),"",INDEX(B2436:B$2,-1+SUMPRODUCT(MAX(ROW(E2436:E$2)*(E2437=E2436:E$2)))))</f>
        <v> </v>
      </c>
      <c r="J2437" s="25" t="str">
        <f>IF(OR(E2437="",E2437="!!!",F2437="NEW"),"",COUNTBLANK(OFFSET(A$1,,,SUMPRODUCT(MAX(ROW(E$2:E2437)*(E2437=E$2:E2437)))))-COUNTBLANK(OFFSET(A$1,,,SUMPRODUCT(MAX(ROW(E$1:E2436)*(E2=E$1:E2436))))))</f>
        <v> </v>
      </c>
      <c r="K2437" s="25" t="str">
        <f>IF(OR(E2437="",E2437="!!!",F2437="NEW"),"",INDEX(J$1:J2436,SUMPRODUCT(MAX(ROW(E$1:E2436)*(E2437=E$1:E2436)))))</f>
        <v> </v>
      </c>
      <c r="L2437" s="26"/>
    </row>
    <row r="2438" spans="1:12">
      <c r="A2438" s="20" t="s">
        <v>1484</v>
      </c>
      <c r="E2438" s="21">
        <f>IF(D2438="?OLD","!!!","")</f>
        <v/>
      </c>
      <c r="F2438" s="22" t="str">
        <f>IF(OR(E2438="",E2438="!!!"),"",IF(NOT(ISNA(VLOOKUP(E2438,E$1:E2437,1,FALSE()))),"OLD",IF(AND(E2438&lt;&gt;"",E2438&lt;&gt;"!!!"),"NEW","")))</f>
        <v> </v>
      </c>
      <c r="G2438" s="23" t="str">
        <f>IF(OR(E2438="",E2438="!!!"),"",IF(OR(J2438=0,AND(J2438=1,K2438=1),AND(J2438=1,I2438="SBJ"),AND(J2438=1,I2438=0)),"?IN_FOCUS",IF(J2438&lt;=2,"?ACTIVATED",IF(J2438&lt;&gt;"","?FAMILIAR",IF(F2438="NEW",IF(ISNA(VLOOKUP(E2438,#REF!,1,FALSE())),"?TYPE_IDENTIFIABLE","?REFERENTIAL"),"_")))))</f>
        <v> </v>
      </c>
      <c r="H2438" s="24" t="str">
        <f>IF(J2438&lt;&gt;1,"",IF(I2438="SBJ","CB","?"))</f>
        <v> </v>
      </c>
      <c r="I2438" s="25" t="str">
        <f>IF(OR(E2438="",E2438="!!!",F2438="NEW"),"",INDEX(B2437:B$2,-1+SUMPRODUCT(MAX(ROW(E2437:E$2)*(E2438=E2437:E$2)))))</f>
        <v> </v>
      </c>
      <c r="J2438" s="25" t="str">
        <f>IF(OR(E2438="",E2438="!!!",F2438="NEW"),"",COUNTBLANK(OFFSET(A$1,,,SUMPRODUCT(MAX(ROW(E$2:E2438)*(E2438=E$2:E2438)))))-COUNTBLANK(OFFSET(A$1,,,SUMPRODUCT(MAX(ROW(E$1:E2437)*(E2=E$1:E2437))))))</f>
        <v> </v>
      </c>
      <c r="K2438" s="25" t="str">
        <f>IF(OR(E2438="",E2438="!!!",F2438="NEW"),"",INDEX(J$1:J2437,SUMPRODUCT(MAX(ROW(E$1:E2437)*(E2438=E$1:E2437)))))</f>
        <v> </v>
      </c>
      <c r="L2438" s="26"/>
    </row>
    <row r="2439" spans="1:12">
      <c r="A2439" s="20" t="s">
        <v>633</v>
      </c>
      <c r="E2439" s="21">
        <f>IF(D2439="?OLD","!!!","")</f>
        <v/>
      </c>
      <c r="F2439" s="22" t="str">
        <f>IF(OR(E2439="",E2439="!!!"),"",IF(NOT(ISNA(VLOOKUP(E2439,E$1:E2438,1,FALSE()))),"OLD",IF(AND(E2439&lt;&gt;"",E2439&lt;&gt;"!!!"),"NEW","")))</f>
        <v> </v>
      </c>
      <c r="G2439" s="23" t="str">
        <f>IF(OR(E2439="",E2439="!!!"),"",IF(OR(J2439=0,AND(J2439=1,K2439=1),AND(J2439=1,I2439="SBJ"),AND(J2439=1,I2439=0)),"?IN_FOCUS",IF(J2439&lt;=2,"?ACTIVATED",IF(J2439&lt;&gt;"","?FAMILIAR",IF(F2439="NEW",IF(ISNA(VLOOKUP(E2439,#REF!,1,FALSE())),"?TYPE_IDENTIFIABLE","?REFERENTIAL"),"_")))))</f>
        <v> </v>
      </c>
      <c r="H2439" s="24" t="str">
        <f>IF(J2439&lt;&gt;1,"",IF(I2439="SBJ","CB","?"))</f>
        <v> </v>
      </c>
      <c r="I2439" s="25" t="str">
        <f>IF(OR(E2439="",E2439="!!!",F2439="NEW"),"",INDEX(B2438:B$2,-1+SUMPRODUCT(MAX(ROW(E2438:E$2)*(E2439=E2438:E$2)))))</f>
        <v> </v>
      </c>
      <c r="J2439" s="25" t="str">
        <f>IF(OR(E2439="",E2439="!!!",F2439="NEW"),"",COUNTBLANK(OFFSET(A$1,,,SUMPRODUCT(MAX(ROW(E$2:E2439)*(E2439=E$2:E2439)))))-COUNTBLANK(OFFSET(A$1,,,SUMPRODUCT(MAX(ROW(E$1:E2438)*(E2=E$1:E2438))))))</f>
        <v> </v>
      </c>
      <c r="K2439" s="25" t="str">
        <f>IF(OR(E2439="",E2439="!!!",F2439="NEW"),"",INDEX(J$1:J2438,SUMPRODUCT(MAX(ROW(E$1:E2438)*(E2439=E$1:E2438)))))</f>
        <v> </v>
      </c>
      <c r="L2439" s="26"/>
    </row>
    <row r="2440" spans="1:12">
      <c r="A2440" s="20"/>
    </row>
    <row r="2441" spans="1:12">
      <c r="A2441" s="20" t="s">
        <v>1485</v>
      </c>
    </row>
    <row r="2442" spans="1:12">
      <c r="A2442" s="20" t="s">
        <v>769</v>
      </c>
      <c r="B2442" s="27" t="s">
        <v>636</v>
      </c>
      <c r="C2442" s="27" t="s">
        <v>614</v>
      </c>
      <c r="D2442" s="27" t="s">
        <v>608</v>
      </c>
      <c r="E2442" s="21">
        <f>IF(D2442="?OLD","!!!","")</f>
        <v/>
      </c>
      <c r="F2442" s="22" t="str">
        <f>IF(OR(E2442="",E2442="!!!"),"",IF(NOT(ISNA(VLOOKUP(E2442,E$1:E2441,1,FALSE()))),"OLD",IF(AND(E2442&lt;&gt;"",E2442&lt;&gt;"!!!"),"NEW","")))</f>
        <v> </v>
      </c>
      <c r="G2442" s="23" t="str">
        <f>IF(OR(E2442="",E2442="!!!"),"",IF(OR(J2442=0,AND(J2442=1,K2442=1),AND(J2442=1,I2442="SBJ"),AND(J2442=1,I2442=0)),"?IN_FOCUS",IF(J2442&lt;=2,"?ACTIVATED",IF(J2442&lt;&gt;"","?FAMILIAR",IF(F2442="NEW",IF(ISNA(VLOOKUP(E2442,#REF!,1,FALSE())),"?TYPE_IDENTIFIABLE","?REFERENTIAL"),"_")))))</f>
        <v> </v>
      </c>
      <c r="H2442" s="24" t="str">
        <f>IF(J2442&lt;&gt;1,"",IF(I2442="SBJ","CB","?"))</f>
        <v> </v>
      </c>
      <c r="I2442" s="25" t="str">
        <f>IF(OR(E2442="",E2442="!!!",F2442="NEW"),"",INDEX(B2441:B$2,-1+SUMPRODUCT(MAX(ROW(E2441:E$2)*(E2442=E2441:E$2)))))</f>
        <v> </v>
      </c>
      <c r="J2442" s="25" t="str">
        <f>IF(OR(E2442="",E2442="!!!",F2442="NEW"),"",COUNTBLANK(OFFSET(A$1,,,SUMPRODUCT(MAX(ROW(E$2:E2442)*(E2442=E$2:E2442)))))-COUNTBLANK(OFFSET(A$1,,,SUMPRODUCT(MAX(ROW(E$1:E2441)*(E2=E$1:E2441))))))</f>
        <v> </v>
      </c>
      <c r="K2442" s="25" t="str">
        <f>IF(OR(E2442="",E2442="!!!",F2442="NEW"),"",INDEX(J$1:J2441,SUMPRODUCT(MAX(ROW(E$1:E2441)*(E2442=E$1:E2441)))))</f>
        <v> </v>
      </c>
      <c r="L2442" s="26"/>
    </row>
    <row r="2443" spans="1:12">
      <c r="A2443" s="20" t="s">
        <v>904</v>
      </c>
      <c r="E2443" s="21">
        <f>IF(D2443="?OLD","!!!","")</f>
        <v/>
      </c>
      <c r="F2443" s="22" t="str">
        <f>IF(OR(E2443="",E2443="!!!"),"",IF(NOT(ISNA(VLOOKUP(E2443,E$1:E2442,1,FALSE()))),"OLD",IF(AND(E2443&lt;&gt;"",E2443&lt;&gt;"!!!"),"NEW","")))</f>
        <v> </v>
      </c>
      <c r="G2443" s="23" t="str">
        <f>IF(OR(E2443="",E2443="!!!"),"",IF(OR(J2443=0,AND(J2443=1,K2443=1),AND(J2443=1,I2443="SBJ"),AND(J2443=1,I2443=0)),"?IN_FOCUS",IF(J2443&lt;=2,"?ACTIVATED",IF(J2443&lt;&gt;"","?FAMILIAR",IF(F2443="NEW",IF(ISNA(VLOOKUP(E2443,#REF!,1,FALSE())),"?TYPE_IDENTIFIABLE","?REFERENTIAL"),"_")))))</f>
        <v> </v>
      </c>
      <c r="H2443" s="24" t="str">
        <f>IF(J2443&lt;&gt;1,"",IF(I2443="SBJ","CB","?"))</f>
        <v> </v>
      </c>
      <c r="I2443" s="25" t="str">
        <f>IF(OR(E2443="",E2443="!!!",F2443="NEW"),"",INDEX(B2442:B$2,-1+SUMPRODUCT(MAX(ROW(E2442:E$2)*(E2443=E2442:E$2)))))</f>
        <v> </v>
      </c>
      <c r="J2443" s="25" t="str">
        <f>IF(OR(E2443="",E2443="!!!",F2443="NEW"),"",COUNTBLANK(OFFSET(A$1,,,SUMPRODUCT(MAX(ROW(E$2:E2443)*(E2443=E$2:E2443)))))-COUNTBLANK(OFFSET(A$1,,,SUMPRODUCT(MAX(ROW(E$1:E2442)*(E2=E$1:E2442))))))</f>
        <v> </v>
      </c>
      <c r="K2443" s="25" t="str">
        <f>IF(OR(E2443="",E2443="!!!",F2443="NEW"),"",INDEX(J$1:J2442,SUMPRODUCT(MAX(ROW(E$1:E2442)*(E2443=E$1:E2442)))))</f>
        <v> </v>
      </c>
      <c r="L2443" s="26"/>
    </row>
    <row r="2444" spans="1:12">
      <c r="A2444" s="20" t="s">
        <v>1486</v>
      </c>
      <c r="E2444" s="21">
        <f>IF(D2444="?OLD","!!!","")</f>
        <v/>
      </c>
      <c r="F2444" s="22" t="str">
        <f>IF(OR(E2444="",E2444="!!!"),"",IF(NOT(ISNA(VLOOKUP(E2444,E$1:E2443,1,FALSE()))),"OLD",IF(AND(E2444&lt;&gt;"",E2444&lt;&gt;"!!!"),"NEW","")))</f>
        <v> </v>
      </c>
      <c r="G2444" s="23" t="str">
        <f>IF(OR(E2444="",E2444="!!!"),"",IF(OR(J2444=0,AND(J2444=1,K2444=1),AND(J2444=1,I2444="SBJ"),AND(J2444=1,I2444=0)),"?IN_FOCUS",IF(J2444&lt;=2,"?ACTIVATED",IF(J2444&lt;&gt;"","?FAMILIAR",IF(F2444="NEW",IF(ISNA(VLOOKUP(E2444,#REF!,1,FALSE())),"?TYPE_IDENTIFIABLE","?REFERENTIAL"),"_")))))</f>
        <v> </v>
      </c>
      <c r="H2444" s="24" t="str">
        <f>IF(J2444&lt;&gt;1,"",IF(I2444="SBJ","CB","?"))</f>
        <v> </v>
      </c>
      <c r="I2444" s="25" t="str">
        <f>IF(OR(E2444="",E2444="!!!",F2444="NEW"),"",INDEX(B2443:B$2,-1+SUMPRODUCT(MAX(ROW(E2443:E$2)*(E2444=E2443:E$2)))))</f>
        <v> </v>
      </c>
      <c r="J2444" s="25" t="str">
        <f>IF(OR(E2444="",E2444="!!!",F2444="NEW"),"",COUNTBLANK(OFFSET(A$1,,,SUMPRODUCT(MAX(ROW(E$2:E2444)*(E2444=E$2:E2444)))))-COUNTBLANK(OFFSET(A$1,,,SUMPRODUCT(MAX(ROW(E$1:E2443)*(E2=E$1:E2443))))))</f>
        <v> </v>
      </c>
      <c r="K2444" s="25" t="str">
        <f>IF(OR(E2444="",E2444="!!!",F2444="NEW"),"",INDEX(J$1:J2443,SUMPRODUCT(MAX(ROW(E$1:E2443)*(E2444=E$1:E2443)))))</f>
        <v> </v>
      </c>
      <c r="L2444" s="26"/>
    </row>
    <row r="2445" spans="1:12">
      <c r="A2445" s="20" t="s">
        <v>882</v>
      </c>
      <c r="E2445" s="21">
        <f>IF(D2445="?OLD","!!!","")</f>
        <v/>
      </c>
      <c r="F2445" s="22" t="str">
        <f>IF(OR(E2445="",E2445="!!!"),"",IF(NOT(ISNA(VLOOKUP(E2445,E$1:E2444,1,FALSE()))),"OLD",IF(AND(E2445&lt;&gt;"",E2445&lt;&gt;"!!!"),"NEW","")))</f>
        <v> </v>
      </c>
      <c r="G2445" s="23" t="str">
        <f>IF(OR(E2445="",E2445="!!!"),"",IF(OR(J2445=0,AND(J2445=1,K2445=1),AND(J2445=1,I2445="SBJ"),AND(J2445=1,I2445=0)),"?IN_FOCUS",IF(J2445&lt;=2,"?ACTIVATED",IF(J2445&lt;&gt;"","?FAMILIAR",IF(F2445="NEW",IF(ISNA(VLOOKUP(E2445,#REF!,1,FALSE())),"?TYPE_IDENTIFIABLE","?REFERENTIAL"),"_")))))</f>
        <v> </v>
      </c>
      <c r="H2445" s="24" t="str">
        <f>IF(J2445&lt;&gt;1,"",IF(I2445="SBJ","CB","?"))</f>
        <v> </v>
      </c>
      <c r="I2445" s="25" t="str">
        <f>IF(OR(E2445="",E2445="!!!",F2445="NEW"),"",INDEX(B2444:B$2,-1+SUMPRODUCT(MAX(ROW(E2444:E$2)*(E2445=E2444:E$2)))))</f>
        <v> </v>
      </c>
      <c r="J2445" s="25" t="str">
        <f>IF(OR(E2445="",E2445="!!!",F2445="NEW"),"",COUNTBLANK(OFFSET(A$1,,,SUMPRODUCT(MAX(ROW(E$2:E2445)*(E2445=E$2:E2445)))))-COUNTBLANK(OFFSET(A$1,,,SUMPRODUCT(MAX(ROW(E$1:E2444)*(E2=E$1:E2444))))))</f>
        <v> </v>
      </c>
      <c r="K2445" s="25" t="str">
        <f>IF(OR(E2445="",E2445="!!!",F2445="NEW"),"",INDEX(J$1:J2444,SUMPRODUCT(MAX(ROW(E$1:E2444)*(E2445=E$1:E2444)))))</f>
        <v> </v>
      </c>
      <c r="L2445" s="26"/>
    </row>
    <row r="2446" spans="1:12">
      <c r="A2446" s="20" t="s">
        <v>1487</v>
      </c>
      <c r="B2446" s="27" t="s">
        <v>606</v>
      </c>
      <c r="C2446" s="27" t="s">
        <v>622</v>
      </c>
      <c r="E2446" s="21">
        <f>IF(D2446="?OLD","!!!","")</f>
        <v/>
      </c>
      <c r="F2446" s="22" t="str">
        <f>IF(OR(E2446="",E2446="!!!"),"",IF(NOT(ISNA(VLOOKUP(E2446,E$1:E2445,1,FALSE()))),"OLD",IF(AND(E2446&lt;&gt;"",E2446&lt;&gt;"!!!"),"NEW","")))</f>
        <v> </v>
      </c>
      <c r="G2446" s="23" t="str">
        <f>IF(OR(E2446="",E2446="!!!"),"",IF(OR(J2446=0,AND(J2446=1,K2446=1),AND(J2446=1,I2446="SBJ"),AND(J2446=1,I2446=0)),"?IN_FOCUS",IF(J2446&lt;=2,"?ACTIVATED",IF(J2446&lt;&gt;"","?FAMILIAR",IF(F2446="NEW",IF(ISNA(VLOOKUP(E2446,#REF!,1,FALSE())),"?TYPE_IDENTIFIABLE","?REFERENTIAL"),"_")))))</f>
        <v> </v>
      </c>
      <c r="H2446" s="24" t="str">
        <f>IF(J2446&lt;&gt;1,"",IF(I2446="SBJ","CB","?"))</f>
        <v> </v>
      </c>
      <c r="I2446" s="25" t="str">
        <f>IF(OR(E2446="",E2446="!!!",F2446="NEW"),"",INDEX(B2445:B$2,-1+SUMPRODUCT(MAX(ROW(E2445:E$2)*(E2446=E2445:E$2)))))</f>
        <v> </v>
      </c>
      <c r="J2446" s="25" t="str">
        <f>IF(OR(E2446="",E2446="!!!",F2446="NEW"),"",COUNTBLANK(OFFSET(A$1,,,SUMPRODUCT(MAX(ROW(E$2:E2446)*(E2446=E$2:E2446)))))-COUNTBLANK(OFFSET(A$1,,,SUMPRODUCT(MAX(ROW(E$1:E2445)*(E2=E$1:E2445))))))</f>
        <v> </v>
      </c>
      <c r="K2446" s="25" t="str">
        <f>IF(OR(E2446="",E2446="!!!",F2446="NEW"),"",INDEX(J$1:J2445,SUMPRODUCT(MAX(ROW(E$1:E2445)*(E2446=E$1:E2445)))))</f>
        <v> </v>
      </c>
      <c r="L2446" s="26"/>
    </row>
    <row r="2447" spans="1:12">
      <c r="A2447" s="20" t="s">
        <v>633</v>
      </c>
      <c r="E2447" s="21">
        <f>IF(D2447="?OLD","!!!","")</f>
        <v/>
      </c>
      <c r="F2447" s="22" t="str">
        <f>IF(OR(E2447="",E2447="!!!"),"",IF(NOT(ISNA(VLOOKUP(E2447,E$1:E2446,1,FALSE()))),"OLD",IF(AND(E2447&lt;&gt;"",E2447&lt;&gt;"!!!"),"NEW","")))</f>
        <v> </v>
      </c>
      <c r="G2447" s="23" t="str">
        <f>IF(OR(E2447="",E2447="!!!"),"",IF(OR(J2447=0,AND(J2447=1,K2447=1),AND(J2447=1,I2447="SBJ"),AND(J2447=1,I2447=0)),"?IN_FOCUS",IF(J2447&lt;=2,"?ACTIVATED",IF(J2447&lt;&gt;"","?FAMILIAR",IF(F2447="NEW",IF(ISNA(VLOOKUP(E2447,#REF!,1,FALSE())),"?TYPE_IDENTIFIABLE","?REFERENTIAL"),"_")))))</f>
        <v> </v>
      </c>
      <c r="H2447" s="24" t="str">
        <f>IF(J2447&lt;&gt;1,"",IF(I2447="SBJ","CB","?"))</f>
        <v> </v>
      </c>
      <c r="I2447" s="25" t="str">
        <f>IF(OR(E2447="",E2447="!!!",F2447="NEW"),"",INDEX(B2446:B$2,-1+SUMPRODUCT(MAX(ROW(E2446:E$2)*(E2447=E2446:E$2)))))</f>
        <v> </v>
      </c>
      <c r="J2447" s="25" t="str">
        <f>IF(OR(E2447="",E2447="!!!",F2447="NEW"),"",COUNTBLANK(OFFSET(A$1,,,SUMPRODUCT(MAX(ROW(E$2:E2447)*(E2447=E$2:E2447)))))-COUNTBLANK(OFFSET(A$1,,,SUMPRODUCT(MAX(ROW(E$1:E2446)*(E2=E$1:E2446))))))</f>
        <v> </v>
      </c>
      <c r="K2447" s="25" t="str">
        <f>IF(OR(E2447="",E2447="!!!",F2447="NEW"),"",INDEX(J$1:J2446,SUMPRODUCT(MAX(ROW(E$1:E2446)*(E2447=E$1:E2446)))))</f>
        <v> </v>
      </c>
      <c r="L2447" s="26"/>
    </row>
    <row r="2448" spans="1:12">
      <c r="A2448" s="20"/>
    </row>
    <row r="2449" spans="1:12">
      <c r="A2449" s="20" t="s">
        <v>1488</v>
      </c>
    </row>
    <row r="2450" spans="1:12">
      <c r="A2450" s="20" t="s">
        <v>814</v>
      </c>
      <c r="E2450" s="21">
        <f>IF(D2450="?OLD","!!!","")</f>
        <v/>
      </c>
      <c r="F2450" s="22" t="str">
        <f>IF(OR(E2450="",E2450="!!!"),"",IF(NOT(ISNA(VLOOKUP(E2450,E$1:E2449,1,FALSE()))),"OLD",IF(AND(E2450&lt;&gt;"",E2450&lt;&gt;"!!!"),"NEW","")))</f>
        <v> </v>
      </c>
      <c r="G2450" s="23" t="str">
        <f>IF(OR(E2450="",E2450="!!!"),"",IF(OR(J2450=0,AND(J2450=1,K2450=1),AND(J2450=1,I2450="SBJ"),AND(J2450=1,I2450=0)),"?IN_FOCUS",IF(J2450&lt;=2,"?ACTIVATED",IF(J2450&lt;&gt;"","?FAMILIAR",IF(F2450="NEW",IF(ISNA(VLOOKUP(E2450,#REF!,1,FALSE())),"?TYPE_IDENTIFIABLE","?REFERENTIAL"),"_")))))</f>
        <v> </v>
      </c>
      <c r="H2450" s="24" t="str">
        <f>IF(J2450&lt;&gt;1,"",IF(I2450="SBJ","CB","?"))</f>
        <v> </v>
      </c>
      <c r="I2450" s="25" t="str">
        <f>IF(OR(E2450="",E2450="!!!",F2450="NEW"),"",INDEX(B2449:B$2,-1+SUMPRODUCT(MAX(ROW(E2449:E$2)*(E2450=E2449:E$2)))))</f>
        <v> </v>
      </c>
      <c r="J2450" s="25" t="str">
        <f>IF(OR(E2450="",E2450="!!!",F2450="NEW"),"",COUNTBLANK(OFFSET(A$1,,,SUMPRODUCT(MAX(ROW(E$2:E2450)*(E2450=E$2:E2450)))))-COUNTBLANK(OFFSET(A$1,,,SUMPRODUCT(MAX(ROW(E$1:E2449)*(E2=E$1:E2449))))))</f>
        <v> </v>
      </c>
      <c r="K2450" s="25" t="str">
        <f>IF(OR(E2450="",E2450="!!!",F2450="NEW"),"",INDEX(J$1:J2449,SUMPRODUCT(MAX(ROW(E$1:E2449)*(E2450=E$1:E2449)))))</f>
        <v> </v>
      </c>
      <c r="L2450" s="26"/>
    </row>
    <row r="2451" spans="1:12">
      <c r="A2451" s="20" t="s">
        <v>766</v>
      </c>
      <c r="E2451" s="21">
        <f>IF(D2451="?OLD","!!!","")</f>
        <v/>
      </c>
      <c r="F2451" s="22" t="str">
        <f>IF(OR(E2451="",E2451="!!!"),"",IF(NOT(ISNA(VLOOKUP(E2451,E$1:E2450,1,FALSE()))),"OLD",IF(AND(E2451&lt;&gt;"",E2451&lt;&gt;"!!!"),"NEW","")))</f>
        <v> </v>
      </c>
      <c r="G2451" s="23" t="str">
        <f>IF(OR(E2451="",E2451="!!!"),"",IF(OR(J2451=0,AND(J2451=1,K2451=1),AND(J2451=1,I2451="SBJ"),AND(J2451=1,I2451=0)),"?IN_FOCUS",IF(J2451&lt;=2,"?ACTIVATED",IF(J2451&lt;&gt;"","?FAMILIAR",IF(F2451="NEW",IF(ISNA(VLOOKUP(E2451,#REF!,1,FALSE())),"?TYPE_IDENTIFIABLE","?REFERENTIAL"),"_")))))</f>
        <v> </v>
      </c>
      <c r="H2451" s="24" t="str">
        <f>IF(J2451&lt;&gt;1,"",IF(I2451="SBJ","CB","?"))</f>
        <v> </v>
      </c>
      <c r="I2451" s="25" t="str">
        <f>IF(OR(E2451="",E2451="!!!",F2451="NEW"),"",INDEX(B2450:B$2,-1+SUMPRODUCT(MAX(ROW(E2450:E$2)*(E2451=E2450:E$2)))))</f>
        <v> </v>
      </c>
      <c r="J2451" s="25" t="str">
        <f>IF(OR(E2451="",E2451="!!!",F2451="NEW"),"",COUNTBLANK(OFFSET(A$1,,,SUMPRODUCT(MAX(ROW(E$2:E2451)*(E2451=E$2:E2451)))))-COUNTBLANK(OFFSET(A$1,,,SUMPRODUCT(MAX(ROW(E$1:E2450)*(E2=E$1:E2450))))))</f>
        <v> </v>
      </c>
      <c r="K2451" s="25" t="str">
        <f>IF(OR(E2451="",E2451="!!!",F2451="NEW"),"",INDEX(J$1:J2450,SUMPRODUCT(MAX(ROW(E$1:E2450)*(E2451=E$1:E2450)))))</f>
        <v> </v>
      </c>
      <c r="L2451" s="26"/>
    </row>
    <row r="2452" spans="1:12">
      <c r="A2452" s="20" t="s">
        <v>158</v>
      </c>
      <c r="E2452" s="21">
        <f>IF(D2452="?OLD","!!!","")</f>
        <v/>
      </c>
      <c r="F2452" s="22" t="str">
        <f>IF(OR(E2452="",E2452="!!!"),"",IF(NOT(ISNA(VLOOKUP(E2452,E$1:E2451,1,FALSE()))),"OLD",IF(AND(E2452&lt;&gt;"",E2452&lt;&gt;"!!!"),"NEW","")))</f>
        <v> </v>
      </c>
      <c r="G2452" s="23" t="str">
        <f>IF(OR(E2452="",E2452="!!!"),"",IF(OR(J2452=0,AND(J2452=1,K2452=1),AND(J2452=1,I2452="SBJ"),AND(J2452=1,I2452=0)),"?IN_FOCUS",IF(J2452&lt;=2,"?ACTIVATED",IF(J2452&lt;&gt;"","?FAMILIAR",IF(F2452="NEW",IF(ISNA(VLOOKUP(E2452,#REF!,1,FALSE())),"?TYPE_IDENTIFIABLE","?REFERENTIAL"),"_")))))</f>
        <v> </v>
      </c>
      <c r="H2452" s="24" t="str">
        <f>IF(J2452&lt;&gt;1,"",IF(I2452="SBJ","CB","?"))</f>
        <v> </v>
      </c>
      <c r="I2452" s="25" t="str">
        <f>IF(OR(E2452="",E2452="!!!",F2452="NEW"),"",INDEX(B2451:B$2,-1+SUMPRODUCT(MAX(ROW(E2451:E$2)*(E2452=E2451:E$2)))))</f>
        <v> </v>
      </c>
      <c r="J2452" s="25" t="str">
        <f>IF(OR(E2452="",E2452="!!!",F2452="NEW"),"",COUNTBLANK(OFFSET(A$1,,,SUMPRODUCT(MAX(ROW(E$2:E2452)*(E2452=E$2:E2452)))))-COUNTBLANK(OFFSET(A$1,,,SUMPRODUCT(MAX(ROW(E$1:E2451)*(E2=E$1:E2451))))))</f>
        <v> </v>
      </c>
      <c r="K2452" s="25" t="str">
        <f>IF(OR(E2452="",E2452="!!!",F2452="NEW"),"",INDEX(J$1:J2451,SUMPRODUCT(MAX(ROW(E$1:E2451)*(E2452=E$1:E2451)))))</f>
        <v> </v>
      </c>
      <c r="L2452" s="26"/>
    </row>
    <row r="2453" spans="1:12">
      <c r="A2453" s="20" t="s">
        <v>621</v>
      </c>
      <c r="B2453" s="27" t="s">
        <v>636</v>
      </c>
      <c r="C2453" s="27" t="s">
        <v>631</v>
      </c>
      <c r="D2453" s="27" t="s">
        <v>608</v>
      </c>
      <c r="E2453" s="21">
        <f>IF(D2453="?OLD","!!!","")</f>
        <v/>
      </c>
      <c r="F2453" s="22" t="str">
        <f>IF(OR(E2453="",E2453="!!!"),"",IF(NOT(ISNA(VLOOKUP(E2453,E$1:E2452,1,FALSE()))),"OLD",IF(AND(E2453&lt;&gt;"",E2453&lt;&gt;"!!!"),"NEW","")))</f>
        <v> </v>
      </c>
      <c r="G2453" s="23" t="str">
        <f>IF(OR(E2453="",E2453="!!!"),"",IF(OR(J2453=0,AND(J2453=1,K2453=1),AND(J2453=1,I2453="SBJ"),AND(J2453=1,I2453=0)),"?IN_FOCUS",IF(J2453&lt;=2,"?ACTIVATED",IF(J2453&lt;&gt;"","?FAMILIAR",IF(F2453="NEW",IF(ISNA(VLOOKUP(E2453,#REF!,1,FALSE())),"?TYPE_IDENTIFIABLE","?REFERENTIAL"),"_")))))</f>
        <v> </v>
      </c>
      <c r="H2453" s="24" t="str">
        <f>IF(J2453&lt;&gt;1,"",IF(I2453="SBJ","CB","?"))</f>
        <v> </v>
      </c>
      <c r="I2453" s="25" t="str">
        <f>IF(OR(E2453="",E2453="!!!",F2453="NEW"),"",INDEX(B2452:B$2,-1+SUMPRODUCT(MAX(ROW(E2452:E$2)*(E2453=E2452:E$2)))))</f>
        <v> </v>
      </c>
      <c r="J2453" s="25" t="str">
        <f>IF(OR(E2453="",E2453="!!!",F2453="NEW"),"",COUNTBLANK(OFFSET(A$1,,,SUMPRODUCT(MAX(ROW(E$2:E2453)*(E2453=E$2:E2453)))))-COUNTBLANK(OFFSET(A$1,,,SUMPRODUCT(MAX(ROW(E$1:E2452)*(E2=E$1:E2452))))))</f>
        <v> </v>
      </c>
      <c r="K2453" s="25" t="str">
        <f>IF(OR(E2453="",E2453="!!!",F2453="NEW"),"",INDEX(J$1:J2452,SUMPRODUCT(MAX(ROW(E$1:E2452)*(E2453=E$1:E2452)))))</f>
        <v> </v>
      </c>
      <c r="L2453" s="26"/>
    </row>
    <row r="2454" spans="1:12">
      <c r="A2454" s="20" t="s">
        <v>1489</v>
      </c>
      <c r="E2454" s="21">
        <f>IF(D2454="?OLD","!!!","")</f>
        <v/>
      </c>
      <c r="F2454" s="22" t="str">
        <f>IF(OR(E2454="",E2454="!!!"),"",IF(NOT(ISNA(VLOOKUP(E2454,E$1:E2453,1,FALSE()))),"OLD",IF(AND(E2454&lt;&gt;"",E2454&lt;&gt;"!!!"),"NEW","")))</f>
        <v> </v>
      </c>
      <c r="G2454" s="23" t="str">
        <f>IF(OR(E2454="",E2454="!!!"),"",IF(OR(J2454=0,AND(J2454=1,K2454=1),AND(J2454=1,I2454="SBJ"),AND(J2454=1,I2454=0)),"?IN_FOCUS",IF(J2454&lt;=2,"?ACTIVATED",IF(J2454&lt;&gt;"","?FAMILIAR",IF(F2454="NEW",IF(ISNA(VLOOKUP(E2454,#REF!,1,FALSE())),"?TYPE_IDENTIFIABLE","?REFERENTIAL"),"_")))))</f>
        <v> </v>
      </c>
      <c r="H2454" s="24" t="str">
        <f>IF(J2454&lt;&gt;1,"",IF(I2454="SBJ","CB","?"))</f>
        <v> </v>
      </c>
      <c r="I2454" s="25" t="str">
        <f>IF(OR(E2454="",E2454="!!!",F2454="NEW"),"",INDEX(B2453:B$2,-1+SUMPRODUCT(MAX(ROW(E2453:E$2)*(E2454=E2453:E$2)))))</f>
        <v> </v>
      </c>
      <c r="J2454" s="25" t="str">
        <f>IF(OR(E2454="",E2454="!!!",F2454="NEW"),"",COUNTBLANK(OFFSET(A$1,,,SUMPRODUCT(MAX(ROW(E$2:E2454)*(E2454=E$2:E2454)))))-COUNTBLANK(OFFSET(A$1,,,SUMPRODUCT(MAX(ROW(E$1:E2453)*(E2=E$1:E2453))))))</f>
        <v> </v>
      </c>
      <c r="K2454" s="25" t="str">
        <f>IF(OR(E2454="",E2454="!!!",F2454="NEW"),"",INDEX(J$1:J2453,SUMPRODUCT(MAX(ROW(E$1:E2453)*(E2454=E$1:E2453)))))</f>
        <v> </v>
      </c>
      <c r="L2454" s="26"/>
    </row>
    <row r="2455" spans="1:12">
      <c r="A2455" s="20" t="s">
        <v>961</v>
      </c>
      <c r="E2455" s="21">
        <f>IF(D2455="?OLD","!!!","")</f>
        <v/>
      </c>
      <c r="F2455" s="22" t="str">
        <f>IF(OR(E2455="",E2455="!!!"),"",IF(NOT(ISNA(VLOOKUP(E2455,E$1:E2454,1,FALSE()))),"OLD",IF(AND(E2455&lt;&gt;"",E2455&lt;&gt;"!!!"),"NEW","")))</f>
        <v> </v>
      </c>
      <c r="G2455" s="23" t="str">
        <f>IF(OR(E2455="",E2455="!!!"),"",IF(OR(J2455=0,AND(J2455=1,K2455=1),AND(J2455=1,I2455="SBJ"),AND(J2455=1,I2455=0)),"?IN_FOCUS",IF(J2455&lt;=2,"?ACTIVATED",IF(J2455&lt;&gt;"","?FAMILIAR",IF(F2455="NEW",IF(ISNA(VLOOKUP(E2455,#REF!,1,FALSE())),"?TYPE_IDENTIFIABLE","?REFERENTIAL"),"_")))))</f>
        <v> </v>
      </c>
      <c r="H2455" s="24" t="str">
        <f>IF(J2455&lt;&gt;1,"",IF(I2455="SBJ","CB","?"))</f>
        <v> </v>
      </c>
      <c r="I2455" s="25" t="str">
        <f>IF(OR(E2455="",E2455="!!!",F2455="NEW"),"",INDEX(B2454:B$2,-1+SUMPRODUCT(MAX(ROW(E2454:E$2)*(E2455=E2454:E$2)))))</f>
        <v> </v>
      </c>
      <c r="J2455" s="25" t="str">
        <f>IF(OR(E2455="",E2455="!!!",F2455="NEW"),"",COUNTBLANK(OFFSET(A$1,,,SUMPRODUCT(MAX(ROW(E$2:E2455)*(E2455=E$2:E2455)))))-COUNTBLANK(OFFSET(A$1,,,SUMPRODUCT(MAX(ROW(E$1:E2454)*(E2=E$1:E2454))))))</f>
        <v> </v>
      </c>
      <c r="K2455" s="25" t="str">
        <f>IF(OR(E2455="",E2455="!!!",F2455="NEW"),"",INDEX(J$1:J2454,SUMPRODUCT(MAX(ROW(E$1:E2454)*(E2455=E$1:E2454)))))</f>
        <v> </v>
      </c>
      <c r="L2455" s="26"/>
    </row>
    <row r="2456" spans="1:12">
      <c r="A2456" s="20" t="s">
        <v>737</v>
      </c>
      <c r="E2456" s="21">
        <f>IF(D2456="?OLD","!!!","")</f>
        <v/>
      </c>
      <c r="F2456" s="22" t="str">
        <f>IF(OR(E2456="",E2456="!!!"),"",IF(NOT(ISNA(VLOOKUP(E2456,E$1:E2455,1,FALSE()))),"OLD",IF(AND(E2456&lt;&gt;"",E2456&lt;&gt;"!!!"),"NEW","")))</f>
        <v> </v>
      </c>
      <c r="G2456" s="23" t="str">
        <f>IF(OR(E2456="",E2456="!!!"),"",IF(OR(J2456=0,AND(J2456=1,K2456=1),AND(J2456=1,I2456="SBJ"),AND(J2456=1,I2456=0)),"?IN_FOCUS",IF(J2456&lt;=2,"?ACTIVATED",IF(J2456&lt;&gt;"","?FAMILIAR",IF(F2456="NEW",IF(ISNA(VLOOKUP(E2456,#REF!,1,FALSE())),"?TYPE_IDENTIFIABLE","?REFERENTIAL"),"_")))))</f>
        <v> </v>
      </c>
      <c r="H2456" s="24" t="str">
        <f>IF(J2456&lt;&gt;1,"",IF(I2456="SBJ","CB","?"))</f>
        <v> </v>
      </c>
      <c r="I2456" s="25" t="str">
        <f>IF(OR(E2456="",E2456="!!!",F2456="NEW"),"",INDEX(B2455:B$2,-1+SUMPRODUCT(MAX(ROW(E2455:E$2)*(E2456=E2455:E$2)))))</f>
        <v> </v>
      </c>
      <c r="J2456" s="25" t="str">
        <f>IF(OR(E2456="",E2456="!!!",F2456="NEW"),"",COUNTBLANK(OFFSET(A$1,,,SUMPRODUCT(MAX(ROW(E$2:E2456)*(E2456=E$2:E2456)))))-COUNTBLANK(OFFSET(A$1,,,SUMPRODUCT(MAX(ROW(E$1:E2455)*(E2=E$1:E2455))))))</f>
        <v> </v>
      </c>
      <c r="K2456" s="25" t="str">
        <f>IF(OR(E2456="",E2456="!!!",F2456="NEW"),"",INDEX(J$1:J2455,SUMPRODUCT(MAX(ROW(E$1:E2455)*(E2456=E$1:E2455)))))</f>
        <v> </v>
      </c>
      <c r="L2456" s="26"/>
    </row>
    <row r="2457" spans="1:12">
      <c r="A2457" s="20" t="s">
        <v>639</v>
      </c>
      <c r="E2457" s="21">
        <f>IF(D2457="?OLD","!!!","")</f>
        <v/>
      </c>
      <c r="F2457" s="22" t="str">
        <f>IF(OR(E2457="",E2457="!!!"),"",IF(NOT(ISNA(VLOOKUP(E2457,E$1:E2456,1,FALSE()))),"OLD",IF(AND(E2457&lt;&gt;"",E2457&lt;&gt;"!!!"),"NEW","")))</f>
        <v> </v>
      </c>
      <c r="G2457" s="23" t="str">
        <f>IF(OR(E2457="",E2457="!!!"),"",IF(OR(J2457=0,AND(J2457=1,K2457=1),AND(J2457=1,I2457="SBJ"),AND(J2457=1,I2457=0)),"?IN_FOCUS",IF(J2457&lt;=2,"?ACTIVATED",IF(J2457&lt;&gt;"","?FAMILIAR",IF(F2457="NEW",IF(ISNA(VLOOKUP(E2457,#REF!,1,FALSE())),"?TYPE_IDENTIFIABLE","?REFERENTIAL"),"_")))))</f>
        <v> </v>
      </c>
      <c r="H2457" s="24" t="str">
        <f>IF(J2457&lt;&gt;1,"",IF(I2457="SBJ","CB","?"))</f>
        <v> </v>
      </c>
      <c r="I2457" s="25" t="str">
        <f>IF(OR(E2457="",E2457="!!!",F2457="NEW"),"",INDEX(B2456:B$2,-1+SUMPRODUCT(MAX(ROW(E2456:E$2)*(E2457=E2456:E$2)))))</f>
        <v> </v>
      </c>
      <c r="J2457" s="25" t="str">
        <f>IF(OR(E2457="",E2457="!!!",F2457="NEW"),"",COUNTBLANK(OFFSET(A$1,,,SUMPRODUCT(MAX(ROW(E$2:E2457)*(E2457=E$2:E2457)))))-COUNTBLANK(OFFSET(A$1,,,SUMPRODUCT(MAX(ROW(E$1:E2456)*(E2=E$1:E2456))))))</f>
        <v> </v>
      </c>
      <c r="K2457" s="25" t="str">
        <f>IF(OR(E2457="",E2457="!!!",F2457="NEW"),"",INDEX(J$1:J2456,SUMPRODUCT(MAX(ROW(E$1:E2456)*(E2457=E$1:E2456)))))</f>
        <v> </v>
      </c>
      <c r="L2457" s="26"/>
    </row>
    <row r="2458" spans="1:12">
      <c r="A2458" s="20" t="s">
        <v>630</v>
      </c>
      <c r="B2458" s="27" t="s">
        <v>606</v>
      </c>
      <c r="C2458" s="27" t="s">
        <v>631</v>
      </c>
      <c r="D2458" s="27" t="s">
        <v>608</v>
      </c>
      <c r="E2458" s="21">
        <f>IF(D2458="?OLD","!!!","")</f>
        <v/>
      </c>
      <c r="F2458" s="22" t="str">
        <f>IF(OR(E2458="",E2458="!!!"),"",IF(NOT(ISNA(VLOOKUP(E2458,E$1:E2457,1,FALSE()))),"OLD",IF(AND(E2458&lt;&gt;"",E2458&lt;&gt;"!!!"),"NEW","")))</f>
        <v> </v>
      </c>
      <c r="G2458" s="23" t="str">
        <f>IF(OR(E2458="",E2458="!!!"),"",IF(OR(J2458=0,AND(J2458=1,K2458=1),AND(J2458=1,I2458="SBJ"),AND(J2458=1,I2458=0)),"?IN_FOCUS",IF(J2458&lt;=2,"?ACTIVATED",IF(J2458&lt;&gt;"","?FAMILIAR",IF(F2458="NEW",IF(ISNA(VLOOKUP(E2458,#REF!,1,FALSE())),"?TYPE_IDENTIFIABLE","?REFERENTIAL"),"_")))))</f>
        <v> </v>
      </c>
      <c r="H2458" s="24" t="str">
        <f>IF(J2458&lt;&gt;1,"",IF(I2458="SBJ","CB","?"))</f>
        <v> </v>
      </c>
      <c r="I2458" s="25" t="str">
        <f>IF(OR(E2458="",E2458="!!!",F2458="NEW"),"",INDEX(B2457:B$2,-1+SUMPRODUCT(MAX(ROW(E2457:E$2)*(E2458=E2457:E$2)))))</f>
        <v> </v>
      </c>
      <c r="J2458" s="25" t="str">
        <f>IF(OR(E2458="",E2458="!!!",F2458="NEW"),"",COUNTBLANK(OFFSET(A$1,,,SUMPRODUCT(MAX(ROW(E$2:E2458)*(E2458=E$2:E2458)))))-COUNTBLANK(OFFSET(A$1,,,SUMPRODUCT(MAX(ROW(E$1:E2457)*(E2=E$1:E2457))))))</f>
        <v> </v>
      </c>
      <c r="K2458" s="25" t="str">
        <f>IF(OR(E2458="",E2458="!!!",F2458="NEW"),"",INDEX(J$1:J2457,SUMPRODUCT(MAX(ROW(E$1:E2457)*(E2458=E$1:E2457)))))</f>
        <v> </v>
      </c>
      <c r="L2458" s="26"/>
    </row>
    <row r="2459" spans="1:12">
      <c r="A2459" s="20" t="s">
        <v>633</v>
      </c>
      <c r="E2459" s="21">
        <f>IF(D2459="?OLD","!!!","")</f>
        <v/>
      </c>
      <c r="F2459" s="22" t="str">
        <f>IF(OR(E2459="",E2459="!!!"),"",IF(NOT(ISNA(VLOOKUP(E2459,E$1:E2458,1,FALSE()))),"OLD",IF(AND(E2459&lt;&gt;"",E2459&lt;&gt;"!!!"),"NEW","")))</f>
        <v> </v>
      </c>
      <c r="G2459" s="23" t="str">
        <f>IF(OR(E2459="",E2459="!!!"),"",IF(OR(J2459=0,AND(J2459=1,K2459=1),AND(J2459=1,I2459="SBJ"),AND(J2459=1,I2459=0)),"?IN_FOCUS",IF(J2459&lt;=2,"?ACTIVATED",IF(J2459&lt;&gt;"","?FAMILIAR",IF(F2459="NEW",IF(ISNA(VLOOKUP(E2459,#REF!,1,FALSE())),"?TYPE_IDENTIFIABLE","?REFERENTIAL"),"_")))))</f>
        <v> </v>
      </c>
      <c r="H2459" s="24" t="str">
        <f>IF(J2459&lt;&gt;1,"",IF(I2459="SBJ","CB","?"))</f>
        <v> </v>
      </c>
      <c r="I2459" s="25" t="str">
        <f>IF(OR(E2459="",E2459="!!!",F2459="NEW"),"",INDEX(B2458:B$2,-1+SUMPRODUCT(MAX(ROW(E2458:E$2)*(E2459=E2458:E$2)))))</f>
        <v> </v>
      </c>
      <c r="J2459" s="25" t="str">
        <f>IF(OR(E2459="",E2459="!!!",F2459="NEW"),"",COUNTBLANK(OFFSET(A$1,,,SUMPRODUCT(MAX(ROW(E$2:E2459)*(E2459=E$2:E2459)))))-COUNTBLANK(OFFSET(A$1,,,SUMPRODUCT(MAX(ROW(E$1:E2458)*(E2=E$1:E2458))))))</f>
        <v> </v>
      </c>
      <c r="K2459" s="25" t="str">
        <f>IF(OR(E2459="",E2459="!!!",F2459="NEW"),"",INDEX(J$1:J2458,SUMPRODUCT(MAX(ROW(E$1:E2458)*(E2459=E$1:E2458)))))</f>
        <v> </v>
      </c>
      <c r="L2459" s="26"/>
    </row>
    <row r="2460" spans="1:12">
      <c r="A2460" s="20"/>
    </row>
    <row r="2461" spans="1:12">
      <c r="A2461" s="20" t="s">
        <v>1490</v>
      </c>
    </row>
    <row r="2462" spans="1:12">
      <c r="A2462" s="20" t="s">
        <v>747</v>
      </c>
      <c r="E2462" s="21">
        <f>IF(D2462="?OLD","!!!","")</f>
        <v/>
      </c>
      <c r="F2462" s="22" t="str">
        <f>IF(OR(E2462="",E2462="!!!"),"",IF(NOT(ISNA(VLOOKUP(E2462,E$1:E2461,1,FALSE()))),"OLD",IF(AND(E2462&lt;&gt;"",E2462&lt;&gt;"!!!"),"NEW","")))</f>
        <v> </v>
      </c>
      <c r="G2462" s="23" t="str">
        <f>IF(OR(E2462="",E2462="!!!"),"",IF(OR(J2462=0,AND(J2462=1,K2462=1),AND(J2462=1,I2462="SBJ"),AND(J2462=1,I2462=0)),"?IN_FOCUS",IF(J2462&lt;=2,"?ACTIVATED",IF(J2462&lt;&gt;"","?FAMILIAR",IF(F2462="NEW",IF(ISNA(VLOOKUP(E2462,#REF!,1,FALSE())),"?TYPE_IDENTIFIABLE","?REFERENTIAL"),"_")))))</f>
        <v> </v>
      </c>
      <c r="H2462" s="24" t="str">
        <f>IF(J2462&lt;&gt;1,"",IF(I2462="SBJ","CB","?"))</f>
        <v> </v>
      </c>
      <c r="I2462" s="25" t="str">
        <f>IF(OR(E2462="",E2462="!!!",F2462="NEW"),"",INDEX(B2461:B$2,-1+SUMPRODUCT(MAX(ROW(E2461:E$2)*(E2462=E2461:E$2)))))</f>
        <v> </v>
      </c>
      <c r="J2462" s="25" t="str">
        <f>IF(OR(E2462="",E2462="!!!",F2462="NEW"),"",COUNTBLANK(OFFSET(A$1,,,SUMPRODUCT(MAX(ROW(E$2:E2462)*(E2462=E$2:E2462)))))-COUNTBLANK(OFFSET(A$1,,,SUMPRODUCT(MAX(ROW(E$1:E2461)*(E2=E$1:E2461))))))</f>
        <v> </v>
      </c>
      <c r="K2462" s="25" t="str">
        <f>IF(OR(E2462="",E2462="!!!",F2462="NEW"),"",INDEX(J$1:J2461,SUMPRODUCT(MAX(ROW(E$1:E2461)*(E2462=E$1:E2461)))))</f>
        <v> </v>
      </c>
      <c r="L2462" s="26"/>
    </row>
    <row r="2463" spans="1:12">
      <c r="A2463" s="20" t="s">
        <v>1491</v>
      </c>
      <c r="E2463" s="21">
        <f>IF(D2463="?OLD","!!!","")</f>
        <v/>
      </c>
      <c r="F2463" s="22" t="str">
        <f>IF(OR(E2463="",E2463="!!!"),"",IF(NOT(ISNA(VLOOKUP(E2463,E$1:E2462,1,FALSE()))),"OLD",IF(AND(E2463&lt;&gt;"",E2463&lt;&gt;"!!!"),"NEW","")))</f>
        <v> </v>
      </c>
      <c r="G2463" s="23" t="str">
        <f>IF(OR(E2463="",E2463="!!!"),"",IF(OR(J2463=0,AND(J2463=1,K2463=1),AND(J2463=1,I2463="SBJ"),AND(J2463=1,I2463=0)),"?IN_FOCUS",IF(J2463&lt;=2,"?ACTIVATED",IF(J2463&lt;&gt;"","?FAMILIAR",IF(F2463="NEW",IF(ISNA(VLOOKUP(E2463,#REF!,1,FALSE())),"?TYPE_IDENTIFIABLE","?REFERENTIAL"),"_")))))</f>
        <v> </v>
      </c>
      <c r="H2463" s="24" t="str">
        <f>IF(J2463&lt;&gt;1,"",IF(I2463="SBJ","CB","?"))</f>
        <v> </v>
      </c>
      <c r="I2463" s="25" t="str">
        <f>IF(OR(E2463="",E2463="!!!",F2463="NEW"),"",INDEX(B2462:B$2,-1+SUMPRODUCT(MAX(ROW(E2462:E$2)*(E2463=E2462:E$2)))))</f>
        <v> </v>
      </c>
      <c r="J2463" s="25" t="str">
        <f>IF(OR(E2463="",E2463="!!!",F2463="NEW"),"",COUNTBLANK(OFFSET(A$1,,,SUMPRODUCT(MAX(ROW(E$2:E2463)*(E2463=E$2:E2463)))))-COUNTBLANK(OFFSET(A$1,,,SUMPRODUCT(MAX(ROW(E$1:E2462)*(E2=E$1:E2462))))))</f>
        <v> </v>
      </c>
      <c r="K2463" s="25" t="str">
        <f>IF(OR(E2463="",E2463="!!!",F2463="NEW"),"",INDEX(J$1:J2462,SUMPRODUCT(MAX(ROW(E$1:E2462)*(E2463=E$1:E2462)))))</f>
        <v> </v>
      </c>
      <c r="L2463" s="26"/>
    </row>
    <row r="2464" spans="1:12">
      <c r="A2464" s="20" t="s">
        <v>720</v>
      </c>
      <c r="E2464" s="21">
        <f>IF(D2464="?OLD","!!!","")</f>
        <v/>
      </c>
      <c r="F2464" s="22" t="str">
        <f>IF(OR(E2464="",E2464="!!!"),"",IF(NOT(ISNA(VLOOKUP(E2464,E$1:E2463,1,FALSE()))),"OLD",IF(AND(E2464&lt;&gt;"",E2464&lt;&gt;"!!!"),"NEW","")))</f>
        <v> </v>
      </c>
      <c r="G2464" s="23" t="str">
        <f>IF(OR(E2464="",E2464="!!!"),"",IF(OR(J2464=0,AND(J2464=1,K2464=1),AND(J2464=1,I2464="SBJ"),AND(J2464=1,I2464=0)),"?IN_FOCUS",IF(J2464&lt;=2,"?ACTIVATED",IF(J2464&lt;&gt;"","?FAMILIAR",IF(F2464="NEW",IF(ISNA(VLOOKUP(E2464,#REF!,1,FALSE())),"?TYPE_IDENTIFIABLE","?REFERENTIAL"),"_")))))</f>
        <v> </v>
      </c>
      <c r="H2464" s="24" t="str">
        <f>IF(J2464&lt;&gt;1,"",IF(I2464="SBJ","CB","?"))</f>
        <v> </v>
      </c>
      <c r="I2464" s="25" t="str">
        <f>IF(OR(E2464="",E2464="!!!",F2464="NEW"),"",INDEX(B2463:B$2,-1+SUMPRODUCT(MAX(ROW(E2463:E$2)*(E2464=E2463:E$2)))))</f>
        <v> </v>
      </c>
      <c r="J2464" s="25" t="str">
        <f>IF(OR(E2464="",E2464="!!!",F2464="NEW"),"",COUNTBLANK(OFFSET(A$1,,,SUMPRODUCT(MAX(ROW(E$2:E2464)*(E2464=E$2:E2464)))))-COUNTBLANK(OFFSET(A$1,,,SUMPRODUCT(MAX(ROW(E$1:E2463)*(E2=E$1:E2463))))))</f>
        <v> </v>
      </c>
      <c r="K2464" s="25" t="str">
        <f>IF(OR(E2464="",E2464="!!!",F2464="NEW"),"",INDEX(J$1:J2463,SUMPRODUCT(MAX(ROW(E$1:E2463)*(E2464=E$1:E2463)))))</f>
        <v> </v>
      </c>
      <c r="L2464" s="26"/>
    </row>
    <row r="2465" spans="1:12">
      <c r="A2465" s="20" t="s">
        <v>807</v>
      </c>
      <c r="B2465" s="27" t="s">
        <v>606</v>
      </c>
      <c r="C2465" s="27" t="s">
        <v>652</v>
      </c>
      <c r="D2465" s="27" t="s">
        <v>608</v>
      </c>
      <c r="E2465" s="21">
        <f>IF(D2465="?OLD","!!!","")</f>
        <v/>
      </c>
      <c r="F2465" s="22" t="str">
        <f>IF(OR(E2465="",E2465="!!!"),"",IF(NOT(ISNA(VLOOKUP(E2465,E$1:E2464,1,FALSE()))),"OLD",IF(AND(E2465&lt;&gt;"",E2465&lt;&gt;"!!!"),"NEW","")))</f>
        <v> </v>
      </c>
      <c r="G2465" s="23" t="str">
        <f>IF(OR(E2465="",E2465="!!!"),"",IF(OR(J2465=0,AND(J2465=1,K2465=1),AND(J2465=1,I2465="SBJ"),AND(J2465=1,I2465=0)),"?IN_FOCUS",IF(J2465&lt;=2,"?ACTIVATED",IF(J2465&lt;&gt;"","?FAMILIAR",IF(F2465="NEW",IF(ISNA(VLOOKUP(E2465,#REF!,1,FALSE())),"?TYPE_IDENTIFIABLE","?REFERENTIAL"),"_")))))</f>
        <v> </v>
      </c>
      <c r="H2465" s="24" t="str">
        <f>IF(J2465&lt;&gt;1,"",IF(I2465="SBJ","CB","?"))</f>
        <v> </v>
      </c>
      <c r="I2465" s="25" t="str">
        <f>IF(OR(E2465="",E2465="!!!",F2465="NEW"),"",INDEX(B2464:B$2,-1+SUMPRODUCT(MAX(ROW(E2464:E$2)*(E2465=E2464:E$2)))))</f>
        <v> </v>
      </c>
      <c r="J2465" s="25" t="str">
        <f>IF(OR(E2465="",E2465="!!!",F2465="NEW"),"",COUNTBLANK(OFFSET(A$1,,,SUMPRODUCT(MAX(ROW(E$2:E2465)*(E2465=E$2:E2465)))))-COUNTBLANK(OFFSET(A$1,,,SUMPRODUCT(MAX(ROW(E$1:E2464)*(E2=E$1:E2464))))))</f>
        <v> </v>
      </c>
      <c r="K2465" s="25" t="str">
        <f>IF(OR(E2465="",E2465="!!!",F2465="NEW"),"",INDEX(J$1:J2464,SUMPRODUCT(MAX(ROW(E$1:E2464)*(E2465=E$1:E2464)))))</f>
        <v> </v>
      </c>
      <c r="L2465" s="26"/>
    </row>
    <row r="2466" spans="1:12">
      <c r="A2466" s="20" t="s">
        <v>618</v>
      </c>
      <c r="E2466" s="21">
        <f>IF(D2466="?OLD","!!!","")</f>
        <v/>
      </c>
      <c r="F2466" s="22" t="str">
        <f>IF(OR(E2466="",E2466="!!!"),"",IF(NOT(ISNA(VLOOKUP(E2466,E$1:E2465,1,FALSE()))),"OLD",IF(AND(E2466&lt;&gt;"",E2466&lt;&gt;"!!!"),"NEW","")))</f>
        <v> </v>
      </c>
      <c r="G2466" s="23" t="str">
        <f>IF(OR(E2466="",E2466="!!!"),"",IF(OR(J2466=0,AND(J2466=1,K2466=1),AND(J2466=1,I2466="SBJ"),AND(J2466=1,I2466=0)),"?IN_FOCUS",IF(J2466&lt;=2,"?ACTIVATED",IF(J2466&lt;&gt;"","?FAMILIAR",IF(F2466="NEW",IF(ISNA(VLOOKUP(E2466,#REF!,1,FALSE())),"?TYPE_IDENTIFIABLE","?REFERENTIAL"),"_")))))</f>
        <v> </v>
      </c>
      <c r="H2466" s="24" t="str">
        <f>IF(J2466&lt;&gt;1,"",IF(I2466="SBJ","CB","?"))</f>
        <v> </v>
      </c>
      <c r="I2466" s="25" t="str">
        <f>IF(OR(E2466="",E2466="!!!",F2466="NEW"),"",INDEX(B2465:B$2,-1+SUMPRODUCT(MAX(ROW(E2465:E$2)*(E2466=E2465:E$2)))))</f>
        <v> </v>
      </c>
      <c r="J2466" s="25" t="str">
        <f>IF(OR(E2466="",E2466="!!!",F2466="NEW"),"",COUNTBLANK(OFFSET(A$1,,,SUMPRODUCT(MAX(ROW(E$2:E2466)*(E2466=E$2:E2466)))))-COUNTBLANK(OFFSET(A$1,,,SUMPRODUCT(MAX(ROW(E$1:E2465)*(E2=E$1:E2465))))))</f>
        <v> </v>
      </c>
      <c r="K2466" s="25" t="str">
        <f>IF(OR(E2466="",E2466="!!!",F2466="NEW"),"",INDEX(J$1:J2465,SUMPRODUCT(MAX(ROW(E$1:E2465)*(E2466=E$1:E2465)))))</f>
        <v> </v>
      </c>
      <c r="L2466" s="26"/>
    </row>
    <row r="2467" spans="1:12">
      <c r="A2467" s="20" t="s">
        <v>1492</v>
      </c>
      <c r="B2467" s="27" t="s">
        <v>653</v>
      </c>
      <c r="C2467" s="27" t="s">
        <v>607</v>
      </c>
      <c r="D2467" s="27" t="s">
        <v>608</v>
      </c>
      <c r="E2467" s="21">
        <f>IF(D2467="?OLD","!!!","")</f>
        <v/>
      </c>
      <c r="F2467" s="22" t="str">
        <f>IF(OR(E2467="",E2467="!!!"),"",IF(NOT(ISNA(VLOOKUP(E2467,E$1:E2466,1,FALSE()))),"OLD",IF(AND(E2467&lt;&gt;"",E2467&lt;&gt;"!!!"),"NEW","")))</f>
        <v> </v>
      </c>
      <c r="G2467" s="23" t="str">
        <f>IF(OR(E2467="",E2467="!!!"),"",IF(OR(J2467=0,AND(J2467=1,K2467=1),AND(J2467=1,I2467="SBJ"),AND(J2467=1,I2467=0)),"?IN_FOCUS",IF(J2467&lt;=2,"?ACTIVATED",IF(J2467&lt;&gt;"","?FAMILIAR",IF(F2467="NEW",IF(ISNA(VLOOKUP(E2467,#REF!,1,FALSE())),"?TYPE_IDENTIFIABLE","?REFERENTIAL"),"_")))))</f>
        <v> </v>
      </c>
      <c r="H2467" s="24" t="str">
        <f>IF(J2467&lt;&gt;1,"",IF(I2467="SBJ","CB","?"))</f>
        <v> </v>
      </c>
      <c r="I2467" s="25" t="str">
        <f>IF(OR(E2467="",E2467="!!!",F2467="NEW"),"",INDEX(B2466:B$2,-1+SUMPRODUCT(MAX(ROW(E2466:E$2)*(E2467=E2466:E$2)))))</f>
        <v> </v>
      </c>
      <c r="J2467" s="25" t="str">
        <f>IF(OR(E2467="",E2467="!!!",F2467="NEW"),"",COUNTBLANK(OFFSET(A$1,,,SUMPRODUCT(MAX(ROW(E$2:E2467)*(E2467=E$2:E2467)))))-COUNTBLANK(OFFSET(A$1,,,SUMPRODUCT(MAX(ROW(E$1:E2466)*(E2=E$1:E2466))))))</f>
        <v> </v>
      </c>
      <c r="K2467" s="25" t="str">
        <f>IF(OR(E2467="",E2467="!!!",F2467="NEW"),"",INDEX(J$1:J2466,SUMPRODUCT(MAX(ROW(E$1:E2466)*(E2467=E$1:E2466)))))</f>
        <v> </v>
      </c>
      <c r="L2467" s="26"/>
    </row>
    <row r="2468" spans="1:12">
      <c r="A2468" s="20" t="s">
        <v>1493</v>
      </c>
      <c r="E2468" s="21">
        <f>IF(D2468="?OLD","!!!","")</f>
        <v/>
      </c>
      <c r="F2468" s="22" t="str">
        <f>IF(OR(E2468="",E2468="!!!"),"",IF(NOT(ISNA(VLOOKUP(E2468,E$1:E2467,1,FALSE()))),"OLD",IF(AND(E2468&lt;&gt;"",E2468&lt;&gt;"!!!"),"NEW","")))</f>
        <v> </v>
      </c>
      <c r="G2468" s="23" t="str">
        <f>IF(OR(E2468="",E2468="!!!"),"",IF(OR(J2468=0,AND(J2468=1,K2468=1),AND(J2468=1,I2468="SBJ"),AND(J2468=1,I2468=0)),"?IN_FOCUS",IF(J2468&lt;=2,"?ACTIVATED",IF(J2468&lt;&gt;"","?FAMILIAR",IF(F2468="NEW",IF(ISNA(VLOOKUP(E2468,#REF!,1,FALSE())),"?TYPE_IDENTIFIABLE","?REFERENTIAL"),"_")))))</f>
        <v> </v>
      </c>
      <c r="H2468" s="24" t="str">
        <f>IF(J2468&lt;&gt;1,"",IF(I2468="SBJ","CB","?"))</f>
        <v> </v>
      </c>
      <c r="I2468" s="25" t="str">
        <f>IF(OR(E2468="",E2468="!!!",F2468="NEW"),"",INDEX(B2467:B$2,-1+SUMPRODUCT(MAX(ROW(E2467:E$2)*(E2468=E2467:E$2)))))</f>
        <v> </v>
      </c>
      <c r="J2468" s="25" t="str">
        <f>IF(OR(E2468="",E2468="!!!",F2468="NEW"),"",COUNTBLANK(OFFSET(A$1,,,SUMPRODUCT(MAX(ROW(E$2:E2468)*(E2468=E$2:E2468)))))-COUNTBLANK(OFFSET(A$1,,,SUMPRODUCT(MAX(ROW(E$1:E2467)*(E2=E$1:E2467))))))</f>
        <v> </v>
      </c>
      <c r="K2468" s="25" t="str">
        <f>IF(OR(E2468="",E2468="!!!",F2468="NEW"),"",INDEX(J$1:J2467,SUMPRODUCT(MAX(ROW(E$1:E2467)*(E2468=E$1:E2467)))))</f>
        <v> </v>
      </c>
      <c r="L2468" s="26"/>
    </row>
    <row r="2469" spans="1:12">
      <c r="A2469" s="20" t="s">
        <v>956</v>
      </c>
      <c r="E2469" s="21">
        <f>IF(D2469="?OLD","!!!","")</f>
        <v/>
      </c>
      <c r="F2469" s="22" t="str">
        <f>IF(OR(E2469="",E2469="!!!"),"",IF(NOT(ISNA(VLOOKUP(E2469,E$1:E2468,1,FALSE()))),"OLD",IF(AND(E2469&lt;&gt;"",E2469&lt;&gt;"!!!"),"NEW","")))</f>
        <v> </v>
      </c>
      <c r="G2469" s="23" t="str">
        <f>IF(OR(E2469="",E2469="!!!"),"",IF(OR(J2469=0,AND(J2469=1,K2469=1),AND(J2469=1,I2469="SBJ"),AND(J2469=1,I2469=0)),"?IN_FOCUS",IF(J2469&lt;=2,"?ACTIVATED",IF(J2469&lt;&gt;"","?FAMILIAR",IF(F2469="NEW",IF(ISNA(VLOOKUP(E2469,#REF!,1,FALSE())),"?TYPE_IDENTIFIABLE","?REFERENTIAL"),"_")))))</f>
        <v> </v>
      </c>
      <c r="H2469" s="24" t="str">
        <f>IF(J2469&lt;&gt;1,"",IF(I2469="SBJ","CB","?"))</f>
        <v> </v>
      </c>
      <c r="I2469" s="25" t="str">
        <f>IF(OR(E2469="",E2469="!!!",F2469="NEW"),"",INDEX(B2468:B$2,-1+SUMPRODUCT(MAX(ROW(E2468:E$2)*(E2469=E2468:E$2)))))</f>
        <v> </v>
      </c>
      <c r="J2469" s="25" t="str">
        <f>IF(OR(E2469="",E2469="!!!",F2469="NEW"),"",COUNTBLANK(OFFSET(A$1,,,SUMPRODUCT(MAX(ROW(E$2:E2469)*(E2469=E$2:E2469)))))-COUNTBLANK(OFFSET(A$1,,,SUMPRODUCT(MAX(ROW(E$1:E2468)*(E2=E$1:E2468))))))</f>
        <v> </v>
      </c>
      <c r="K2469" s="25" t="str">
        <f>IF(OR(E2469="",E2469="!!!",F2469="NEW"),"",INDEX(J$1:J2468,SUMPRODUCT(MAX(ROW(E$1:E2468)*(E2469=E$1:E2468)))))</f>
        <v> </v>
      </c>
      <c r="L2469" s="26"/>
    </row>
    <row r="2470" spans="1:12">
      <c r="A2470" s="20" t="s">
        <v>468</v>
      </c>
      <c r="E2470" s="21">
        <f>IF(D2470="?OLD","!!!","")</f>
        <v/>
      </c>
      <c r="F2470" s="22" t="str">
        <f>IF(OR(E2470="",E2470="!!!"),"",IF(NOT(ISNA(VLOOKUP(E2470,E$1:E2469,1,FALSE()))),"OLD",IF(AND(E2470&lt;&gt;"",E2470&lt;&gt;"!!!"),"NEW","")))</f>
        <v> </v>
      </c>
      <c r="G2470" s="23" t="str">
        <f>IF(OR(E2470="",E2470="!!!"),"",IF(OR(J2470=0,AND(J2470=1,K2470=1),AND(J2470=1,I2470="SBJ"),AND(J2470=1,I2470=0)),"?IN_FOCUS",IF(J2470&lt;=2,"?ACTIVATED",IF(J2470&lt;&gt;"","?FAMILIAR",IF(F2470="NEW",IF(ISNA(VLOOKUP(E2470,#REF!,1,FALSE())),"?TYPE_IDENTIFIABLE","?REFERENTIAL"),"_")))))</f>
        <v> </v>
      </c>
      <c r="H2470" s="24" t="str">
        <f>IF(J2470&lt;&gt;1,"",IF(I2470="SBJ","CB","?"))</f>
        <v> </v>
      </c>
      <c r="I2470" s="25" t="str">
        <f>IF(OR(E2470="",E2470="!!!",F2470="NEW"),"",INDEX(B2469:B$2,-1+SUMPRODUCT(MAX(ROW(E2469:E$2)*(E2470=E2469:E$2)))))</f>
        <v> </v>
      </c>
      <c r="J2470" s="25" t="str">
        <f>IF(OR(E2470="",E2470="!!!",F2470="NEW"),"",COUNTBLANK(OFFSET(A$1,,,SUMPRODUCT(MAX(ROW(E$2:E2470)*(E2470=E$2:E2470)))))-COUNTBLANK(OFFSET(A$1,,,SUMPRODUCT(MAX(ROW(E$1:E2469)*(E2=E$1:E2469))))))</f>
        <v> </v>
      </c>
      <c r="K2470" s="25" t="str">
        <f>IF(OR(E2470="",E2470="!!!",F2470="NEW"),"",INDEX(J$1:J2469,SUMPRODUCT(MAX(ROW(E$1:E2469)*(E2470=E$1:E2469)))))</f>
        <v> </v>
      </c>
      <c r="L2470" s="26"/>
    </row>
    <row r="2471" spans="1:12">
      <c r="A2471" s="20" t="s">
        <v>633</v>
      </c>
      <c r="E2471" s="21">
        <f>IF(D2471="?OLD","!!!","")</f>
        <v/>
      </c>
      <c r="F2471" s="22" t="str">
        <f>IF(OR(E2471="",E2471="!!!"),"",IF(NOT(ISNA(VLOOKUP(E2471,E$1:E2470,1,FALSE()))),"OLD",IF(AND(E2471&lt;&gt;"",E2471&lt;&gt;"!!!"),"NEW","")))</f>
        <v> </v>
      </c>
      <c r="G2471" s="23" t="str">
        <f>IF(OR(E2471="",E2471="!!!"),"",IF(OR(J2471=0,AND(J2471=1,K2471=1),AND(J2471=1,I2471="SBJ"),AND(J2471=1,I2471=0)),"?IN_FOCUS",IF(J2471&lt;=2,"?ACTIVATED",IF(J2471&lt;&gt;"","?FAMILIAR",IF(F2471="NEW",IF(ISNA(VLOOKUP(E2471,#REF!,1,FALSE())),"?TYPE_IDENTIFIABLE","?REFERENTIAL"),"_")))))</f>
        <v> </v>
      </c>
      <c r="H2471" s="24" t="str">
        <f>IF(J2471&lt;&gt;1,"",IF(I2471="SBJ","CB","?"))</f>
        <v> </v>
      </c>
      <c r="I2471" s="25" t="str">
        <f>IF(OR(E2471="",E2471="!!!",F2471="NEW"),"",INDEX(B2470:B$2,-1+SUMPRODUCT(MAX(ROW(E2470:E$2)*(E2471=E2470:E$2)))))</f>
        <v> </v>
      </c>
      <c r="J2471" s="25" t="str">
        <f>IF(OR(E2471="",E2471="!!!",F2471="NEW"),"",COUNTBLANK(OFFSET(A$1,,,SUMPRODUCT(MAX(ROW(E$2:E2471)*(E2471=E$2:E2471)))))-COUNTBLANK(OFFSET(A$1,,,SUMPRODUCT(MAX(ROW(E$1:E2470)*(E2=E$1:E2470))))))</f>
        <v> </v>
      </c>
      <c r="K2471" s="25" t="str">
        <f>IF(OR(E2471="",E2471="!!!",F2471="NEW"),"",INDEX(J$1:J2470,SUMPRODUCT(MAX(ROW(E$1:E2470)*(E2471=E$1:E2470)))))</f>
        <v> </v>
      </c>
      <c r="L2471" s="26"/>
    </row>
    <row r="2472" spans="1:12">
      <c r="A2472" s="20"/>
    </row>
    <row r="2473" spans="1:12">
      <c r="A2473" s="20" t="s">
        <v>1212</v>
      </c>
      <c r="E2473" s="21">
        <f>IF(D2473="?OLD","!!!","")</f>
        <v/>
      </c>
      <c r="F2473" s="22" t="str">
        <f>IF(OR(E2473="",E2473="!!!"),"",IF(NOT(ISNA(VLOOKUP(E2473,E$1:E2472,1,FALSE()))),"OLD",IF(AND(E2473&lt;&gt;"",E2473&lt;&gt;"!!!"),"NEW","")))</f>
        <v> </v>
      </c>
      <c r="G2473" s="23" t="str">
        <f>IF(OR(E2473="",E2473="!!!"),"",IF(OR(J2473=0,AND(J2473=1,K2473=1),AND(J2473=1,I2473="SBJ"),AND(J2473=1,I2473=0)),"?IN_FOCUS",IF(J2473&lt;=2,"?ACTIVATED",IF(J2473&lt;&gt;"","?FAMILIAR",IF(F2473="NEW",IF(ISNA(VLOOKUP(E2473,#REF!,1,FALSE())),"?TYPE_IDENTIFIABLE","?REFERENTIAL"),"_")))))</f>
        <v> </v>
      </c>
      <c r="H2473" s="24" t="str">
        <f>IF(J2473&lt;&gt;1,"",IF(I2473="SBJ","CB","?"))</f>
        <v> </v>
      </c>
      <c r="I2473" s="25" t="str">
        <f>IF(OR(E2473="",E2473="!!!",F2473="NEW"),"",INDEX(B2472:B$2,-1+SUMPRODUCT(MAX(ROW(E2472:E$2)*(E2473=E2472:E$2)))))</f>
        <v> </v>
      </c>
      <c r="J2473" s="25" t="str">
        <f>IF(OR(E2473="",E2473="!!!",F2473="NEW"),"",COUNTBLANK(OFFSET(A$1,,,SUMPRODUCT(MAX(ROW(E$2:E2473)*(E2473=E$2:E2473)))))-COUNTBLANK(OFFSET(A$1,,,SUMPRODUCT(MAX(ROW(E$1:E2472)*(E2=E$1:E2472))))))</f>
        <v> </v>
      </c>
      <c r="K2473" s="25" t="str">
        <f>IF(OR(E2473="",E2473="!!!",F2473="NEW"),"",INDEX(J$1:J2472,SUMPRODUCT(MAX(ROW(E$1:E2472)*(E2473=E$1:E2472)))))</f>
        <v> </v>
      </c>
      <c r="L2473" s="26"/>
    </row>
    <row r="2474" spans="1:12">
      <c r="A2474" s="20" t="s">
        <v>1494</v>
      </c>
    </row>
    <row r="2475" spans="1:12">
      <c r="A2475" s="20" t="s">
        <v>1495</v>
      </c>
      <c r="B2475" s="27" t="s">
        <v>606</v>
      </c>
      <c r="C2475" s="27" t="s">
        <v>622</v>
      </c>
      <c r="E2475" s="21">
        <f>IF(D2475="?OLD","!!!","")</f>
        <v/>
      </c>
      <c r="F2475" s="22" t="str">
        <f>IF(OR(E2475="",E2475="!!!"),"",IF(NOT(ISNA(VLOOKUP(E2475,E$1:E2474,1,FALSE()))),"OLD",IF(AND(E2475&lt;&gt;"",E2475&lt;&gt;"!!!"),"NEW","")))</f>
        <v> </v>
      </c>
      <c r="G2475" s="23" t="str">
        <f>IF(OR(E2475="",E2475="!!!"),"",IF(OR(J2475=0,AND(J2475=1,K2475=1),AND(J2475=1,I2475="SBJ"),AND(J2475=1,I2475=0)),"?IN_FOCUS",IF(J2475&lt;=2,"?ACTIVATED",IF(J2475&lt;&gt;"","?FAMILIAR",IF(F2475="NEW",IF(ISNA(VLOOKUP(E2475,#REF!,1,FALSE())),"?TYPE_IDENTIFIABLE","?REFERENTIAL"),"_")))))</f>
        <v> </v>
      </c>
      <c r="H2475" s="24" t="str">
        <f>IF(J2475&lt;&gt;1,"",IF(I2475="SBJ","CB","?"))</f>
        <v> </v>
      </c>
      <c r="I2475" s="25" t="str">
        <f>IF(OR(E2475="",E2475="!!!",F2475="NEW"),"",INDEX(B2474:B$2,-1+SUMPRODUCT(MAX(ROW(E2474:E$2)*(E2475=E2474:E$2)))))</f>
        <v> </v>
      </c>
      <c r="J2475" s="25" t="str">
        <f>IF(OR(E2475="",E2475="!!!",F2475="NEW"),"",COUNTBLANK(OFFSET(A$1,,,SUMPRODUCT(MAX(ROW(E$2:E2475)*(E2475=E$2:E2475)))))-COUNTBLANK(OFFSET(A$1,,,SUMPRODUCT(MAX(ROW(E$1:E2474)*(E2=E$1:E2474))))))</f>
        <v> </v>
      </c>
      <c r="K2475" s="25" t="str">
        <f>IF(OR(E2475="",E2475="!!!",F2475="NEW"),"",INDEX(J$1:J2474,SUMPRODUCT(MAX(ROW(E$1:E2474)*(E2475=E$1:E2474)))))</f>
        <v> </v>
      </c>
      <c r="L2475" s="26"/>
    </row>
    <row r="2476" spans="1:12">
      <c r="A2476" s="20" t="s">
        <v>635</v>
      </c>
      <c r="B2476" s="27" t="s">
        <v>636</v>
      </c>
      <c r="C2476" s="27" t="s">
        <v>637</v>
      </c>
      <c r="D2476" s="27" t="s">
        <v>608</v>
      </c>
      <c r="E2476" s="21">
        <f>IF(D2476="?OLD","!!!","")</f>
        <v/>
      </c>
      <c r="F2476" s="22" t="str">
        <f>IF(OR(E2476="",E2476="!!!"),"",IF(NOT(ISNA(VLOOKUP(E2476,E$1:E2475,1,FALSE()))),"OLD",IF(AND(E2476&lt;&gt;"",E2476&lt;&gt;"!!!"),"NEW","")))</f>
        <v> </v>
      </c>
      <c r="G2476" s="23" t="str">
        <f>IF(OR(E2476="",E2476="!!!"),"",IF(OR(J2476=0,AND(J2476=1,K2476=1),AND(J2476=1,I2476="SBJ"),AND(J2476=1,I2476=0)),"?IN_FOCUS",IF(J2476&lt;=2,"?ACTIVATED",IF(J2476&lt;&gt;"","?FAMILIAR",IF(F2476="NEW",IF(ISNA(VLOOKUP(E2476,#REF!,1,FALSE())),"?TYPE_IDENTIFIABLE","?REFERENTIAL"),"_")))))</f>
        <v> </v>
      </c>
      <c r="H2476" s="24" t="str">
        <f>IF(J2476&lt;&gt;1,"",IF(I2476="SBJ","CB","?"))</f>
        <v> </v>
      </c>
      <c r="I2476" s="25" t="str">
        <f>IF(OR(E2476="",E2476="!!!",F2476="NEW"),"",INDEX(B2475:B$2,-1+SUMPRODUCT(MAX(ROW(E2475:E$2)*(E2476=E2475:E$2)))))</f>
        <v> </v>
      </c>
      <c r="J2476" s="25" t="str">
        <f>IF(OR(E2476="",E2476="!!!",F2476="NEW"),"",COUNTBLANK(OFFSET(A$1,,,SUMPRODUCT(MAX(ROW(E$2:E2476)*(E2476=E$2:E2476)))))-COUNTBLANK(OFFSET(A$1,,,SUMPRODUCT(MAX(ROW(E$1:E2475)*(E2=E$1:E2475))))))</f>
        <v> </v>
      </c>
      <c r="K2476" s="25" t="str">
        <f>IF(OR(E2476="",E2476="!!!",F2476="NEW"),"",INDEX(J$1:J2475,SUMPRODUCT(MAX(ROW(E$1:E2475)*(E2476=E$1:E2475)))))</f>
        <v> </v>
      </c>
      <c r="L2476" s="26"/>
    </row>
    <row r="2477" spans="1:12">
      <c r="A2477" s="20" t="s">
        <v>872</v>
      </c>
      <c r="B2477" s="27" t="s">
        <v>653</v>
      </c>
      <c r="E2477" s="21">
        <f>IF(D2477="?OLD","!!!","")</f>
        <v/>
      </c>
      <c r="F2477" s="22" t="str">
        <f>IF(OR(E2477="",E2477="!!!"),"",IF(NOT(ISNA(VLOOKUP(E2477,E$1:E2476,1,FALSE()))),"OLD",IF(AND(E2477&lt;&gt;"",E2477&lt;&gt;"!!!"),"NEW","")))</f>
        <v> </v>
      </c>
      <c r="G2477" s="23" t="str">
        <f>IF(OR(E2477="",E2477="!!!"),"",IF(OR(J2477=0,AND(J2477=1,K2477=1),AND(J2477=1,I2477="SBJ"),AND(J2477=1,I2477=0)),"?IN_FOCUS",IF(J2477&lt;=2,"?ACTIVATED",IF(J2477&lt;&gt;"","?FAMILIAR",IF(F2477="NEW",IF(ISNA(VLOOKUP(E2477,#REF!,1,FALSE())),"?TYPE_IDENTIFIABLE","?REFERENTIAL"),"_")))))</f>
        <v> </v>
      </c>
      <c r="H2477" s="24" t="str">
        <f>IF(J2477&lt;&gt;1,"",IF(I2477="SBJ","CB","?"))</f>
        <v> </v>
      </c>
      <c r="I2477" s="25" t="str">
        <f>IF(OR(E2477="",E2477="!!!",F2477="NEW"),"",INDEX(B2476:B$2,-1+SUMPRODUCT(MAX(ROW(E2476:E$2)*(E2477=E2476:E$2)))))</f>
        <v> </v>
      </c>
      <c r="J2477" s="25" t="str">
        <f>IF(OR(E2477="",E2477="!!!",F2477="NEW"),"",COUNTBLANK(OFFSET(A$1,,,SUMPRODUCT(MAX(ROW(E$2:E2477)*(E2477=E$2:E2477)))))-COUNTBLANK(OFFSET(A$1,,,SUMPRODUCT(MAX(ROW(E$1:E2476)*(E2=E$1:E2476))))))</f>
        <v> </v>
      </c>
      <c r="K2477" s="25" t="str">
        <f>IF(OR(E2477="",E2477="!!!",F2477="NEW"),"",INDEX(J$1:J2476,SUMPRODUCT(MAX(ROW(E$1:E2476)*(E2477=E$1:E2476)))))</f>
        <v> </v>
      </c>
      <c r="L2477" s="26"/>
    </row>
    <row r="2478" spans="1:12">
      <c r="A2478" s="20" t="s">
        <v>1049</v>
      </c>
      <c r="E2478" s="21">
        <f>IF(D2478="?OLD","!!!","")</f>
        <v/>
      </c>
      <c r="F2478" s="22" t="str">
        <f>IF(OR(E2478="",E2478="!!!"),"",IF(NOT(ISNA(VLOOKUP(E2478,E$1:E2477,1,FALSE()))),"OLD",IF(AND(E2478&lt;&gt;"",E2478&lt;&gt;"!!!"),"NEW","")))</f>
        <v> </v>
      </c>
      <c r="G2478" s="23" t="str">
        <f>IF(OR(E2478="",E2478="!!!"),"",IF(OR(J2478=0,AND(J2478=1,K2478=1),AND(J2478=1,I2478="SBJ"),AND(J2478=1,I2478=0)),"?IN_FOCUS",IF(J2478&lt;=2,"?ACTIVATED",IF(J2478&lt;&gt;"","?FAMILIAR",IF(F2478="NEW",IF(ISNA(VLOOKUP(E2478,#REF!,1,FALSE())),"?TYPE_IDENTIFIABLE","?REFERENTIAL"),"_")))))</f>
        <v> </v>
      </c>
      <c r="H2478" s="24" t="str">
        <f>IF(J2478&lt;&gt;1,"",IF(I2478="SBJ","CB","?"))</f>
        <v> </v>
      </c>
      <c r="I2478" s="25" t="str">
        <f>IF(OR(E2478="",E2478="!!!",F2478="NEW"),"",INDEX(B2477:B$2,-1+SUMPRODUCT(MAX(ROW(E2477:E$2)*(E2478=E2477:E$2)))))</f>
        <v> </v>
      </c>
      <c r="J2478" s="25" t="str">
        <f>IF(OR(E2478="",E2478="!!!",F2478="NEW"),"",COUNTBLANK(OFFSET(A$1,,,SUMPRODUCT(MAX(ROW(E$2:E2478)*(E2478=E$2:E2478)))))-COUNTBLANK(OFFSET(A$1,,,SUMPRODUCT(MAX(ROW(E$1:E2477)*(E2=E$1:E2477))))))</f>
        <v> </v>
      </c>
      <c r="K2478" s="25" t="str">
        <f>IF(OR(E2478="",E2478="!!!",F2478="NEW"),"",INDEX(J$1:J2477,SUMPRODUCT(MAX(ROW(E$1:E2477)*(E2478=E$1:E2477)))))</f>
        <v> </v>
      </c>
      <c r="L2478" s="26"/>
    </row>
    <row r="2479" spans="1:12">
      <c r="A2479" s="20" t="s">
        <v>617</v>
      </c>
      <c r="E2479" s="21">
        <f>IF(D2479="?OLD","!!!","")</f>
        <v/>
      </c>
      <c r="F2479" s="22" t="str">
        <f>IF(OR(E2479="",E2479="!!!"),"",IF(NOT(ISNA(VLOOKUP(E2479,E$1:E2478,1,FALSE()))),"OLD",IF(AND(E2479&lt;&gt;"",E2479&lt;&gt;"!!!"),"NEW","")))</f>
        <v> </v>
      </c>
      <c r="G2479" s="23" t="str">
        <f>IF(OR(E2479="",E2479="!!!"),"",IF(OR(J2479=0,AND(J2479=1,K2479=1),AND(J2479=1,I2479="SBJ"),AND(J2479=1,I2479=0)),"?IN_FOCUS",IF(J2479&lt;=2,"?ACTIVATED",IF(J2479&lt;&gt;"","?FAMILIAR",IF(F2479="NEW",IF(ISNA(VLOOKUP(E2479,#REF!,1,FALSE())),"?TYPE_IDENTIFIABLE","?REFERENTIAL"),"_")))))</f>
        <v> </v>
      </c>
      <c r="H2479" s="24" t="str">
        <f>IF(J2479&lt;&gt;1,"",IF(I2479="SBJ","CB","?"))</f>
        <v> </v>
      </c>
      <c r="I2479" s="25" t="str">
        <f>IF(OR(E2479="",E2479="!!!",F2479="NEW"),"",INDEX(B2478:B$2,-1+SUMPRODUCT(MAX(ROW(E2478:E$2)*(E2479=E2478:E$2)))))</f>
        <v> </v>
      </c>
      <c r="J2479" s="25" t="str">
        <f>IF(OR(E2479="",E2479="!!!",F2479="NEW"),"",COUNTBLANK(OFFSET(A$1,,,SUMPRODUCT(MAX(ROW(E$2:E2479)*(E2479=E$2:E2479)))))-COUNTBLANK(OFFSET(A$1,,,SUMPRODUCT(MAX(ROW(E$1:E2478)*(E2=E$1:E2478))))))</f>
        <v> </v>
      </c>
      <c r="K2479" s="25" t="str">
        <f>IF(OR(E2479="",E2479="!!!",F2479="NEW"),"",INDEX(J$1:J2478,SUMPRODUCT(MAX(ROW(E$1:E2478)*(E2479=E$1:E2478)))))</f>
        <v> </v>
      </c>
      <c r="L2479" s="26"/>
    </row>
    <row r="2480" spans="1:12">
      <c r="A2480" s="20" t="s">
        <v>717</v>
      </c>
      <c r="E2480" s="21">
        <f>IF(D2480="?OLD","!!!","")</f>
        <v/>
      </c>
      <c r="F2480" s="22" t="str">
        <f>IF(OR(E2480="",E2480="!!!"),"",IF(NOT(ISNA(VLOOKUP(E2480,E$1:E2479,1,FALSE()))),"OLD",IF(AND(E2480&lt;&gt;"",E2480&lt;&gt;"!!!"),"NEW","")))</f>
        <v> </v>
      </c>
      <c r="G2480" s="23" t="str">
        <f>IF(OR(E2480="",E2480="!!!"),"",IF(OR(J2480=0,AND(J2480=1,K2480=1),AND(J2480=1,I2480="SBJ"),AND(J2480=1,I2480=0)),"?IN_FOCUS",IF(J2480&lt;=2,"?ACTIVATED",IF(J2480&lt;&gt;"","?FAMILIAR",IF(F2480="NEW",IF(ISNA(VLOOKUP(E2480,#REF!,1,FALSE())),"?TYPE_IDENTIFIABLE","?REFERENTIAL"),"_")))))</f>
        <v> </v>
      </c>
      <c r="H2480" s="24" t="str">
        <f>IF(J2480&lt;&gt;1,"",IF(I2480="SBJ","CB","?"))</f>
        <v> </v>
      </c>
      <c r="I2480" s="25" t="str">
        <f>IF(OR(E2480="",E2480="!!!",F2480="NEW"),"",INDEX(B2479:B$2,-1+SUMPRODUCT(MAX(ROW(E2479:E$2)*(E2480=E2479:E$2)))))</f>
        <v> </v>
      </c>
      <c r="J2480" s="25" t="str">
        <f>IF(OR(E2480="",E2480="!!!",F2480="NEW"),"",COUNTBLANK(OFFSET(A$1,,,SUMPRODUCT(MAX(ROW(E$2:E2480)*(E2480=E$2:E2480)))))-COUNTBLANK(OFFSET(A$1,,,SUMPRODUCT(MAX(ROW(E$1:E2479)*(E2=E$1:E2479))))))</f>
        <v> </v>
      </c>
      <c r="K2480" s="25" t="str">
        <f>IF(OR(E2480="",E2480="!!!",F2480="NEW"),"",INDEX(J$1:J2479,SUMPRODUCT(MAX(ROW(E$1:E2479)*(E2480=E$1:E2479)))))</f>
        <v> </v>
      </c>
      <c r="L2480" s="26"/>
    </row>
    <row r="2481" spans="1:12">
      <c r="A2481" s="20" t="s">
        <v>1496</v>
      </c>
      <c r="B2481" s="27" t="s">
        <v>619</v>
      </c>
      <c r="C2481" s="27" t="s">
        <v>685</v>
      </c>
      <c r="E2481" s="21">
        <f>IF(D2481="?OLD","!!!","")</f>
        <v/>
      </c>
      <c r="F2481" s="22" t="str">
        <f>IF(OR(E2481="",E2481="!!!"),"",IF(NOT(ISNA(VLOOKUP(E2481,E$1:E2480,1,FALSE()))),"OLD",IF(AND(E2481&lt;&gt;"",E2481&lt;&gt;"!!!"),"NEW","")))</f>
        <v> </v>
      </c>
      <c r="G2481" s="23" t="str">
        <f>IF(OR(E2481="",E2481="!!!"),"",IF(OR(J2481=0,AND(J2481=1,K2481=1),AND(J2481=1,I2481="SBJ"),AND(J2481=1,I2481=0)),"?IN_FOCUS",IF(J2481&lt;=2,"?ACTIVATED",IF(J2481&lt;&gt;"","?FAMILIAR",IF(F2481="NEW",IF(ISNA(VLOOKUP(E2481,#REF!,1,FALSE())),"?TYPE_IDENTIFIABLE","?REFERENTIAL"),"_")))))</f>
        <v> </v>
      </c>
      <c r="H2481" s="24" t="str">
        <f>IF(J2481&lt;&gt;1,"",IF(I2481="SBJ","CB","?"))</f>
        <v> </v>
      </c>
      <c r="I2481" s="25" t="str">
        <f>IF(OR(E2481="",E2481="!!!",F2481="NEW"),"",INDEX(B2480:B$2,-1+SUMPRODUCT(MAX(ROW(E2480:E$2)*(E2481=E2480:E$2)))))</f>
        <v> </v>
      </c>
      <c r="J2481" s="25" t="str">
        <f>IF(OR(E2481="",E2481="!!!",F2481="NEW"),"",COUNTBLANK(OFFSET(A$1,,,SUMPRODUCT(MAX(ROW(E$2:E2481)*(E2481=E$2:E2481)))))-COUNTBLANK(OFFSET(A$1,,,SUMPRODUCT(MAX(ROW(E$1:E2480)*(E2=E$1:E2480))))))</f>
        <v> </v>
      </c>
      <c r="K2481" s="25" t="str">
        <f>IF(OR(E2481="",E2481="!!!",F2481="NEW"),"",INDEX(J$1:J2480,SUMPRODUCT(MAX(ROW(E$1:E2480)*(E2481=E$1:E2480)))))</f>
        <v> </v>
      </c>
      <c r="L2481" s="26"/>
    </row>
    <row r="2482" spans="1:12">
      <c r="A2482" s="20" t="s">
        <v>1497</v>
      </c>
      <c r="E2482" s="21">
        <f>IF(D2482="?OLD","!!!","")</f>
        <v/>
      </c>
      <c r="F2482" s="22" t="str">
        <f>IF(OR(E2482="",E2482="!!!"),"",IF(NOT(ISNA(VLOOKUP(E2482,E$1:E2481,1,FALSE()))),"OLD",IF(AND(E2482&lt;&gt;"",E2482&lt;&gt;"!!!"),"NEW","")))</f>
        <v> </v>
      </c>
      <c r="G2482" s="23" t="str">
        <f>IF(OR(E2482="",E2482="!!!"),"",IF(OR(J2482=0,AND(J2482=1,K2482=1),AND(J2482=1,I2482="SBJ"),AND(J2482=1,I2482=0)),"?IN_FOCUS",IF(J2482&lt;=2,"?ACTIVATED",IF(J2482&lt;&gt;"","?FAMILIAR",IF(F2482="NEW",IF(ISNA(VLOOKUP(E2482,#REF!,1,FALSE())),"?TYPE_IDENTIFIABLE","?REFERENTIAL"),"_")))))</f>
        <v> </v>
      </c>
      <c r="H2482" s="24" t="str">
        <f>IF(J2482&lt;&gt;1,"",IF(I2482="SBJ","CB","?"))</f>
        <v> </v>
      </c>
      <c r="I2482" s="25" t="str">
        <f>IF(OR(E2482="",E2482="!!!",F2482="NEW"),"",INDEX(B2481:B$2,-1+SUMPRODUCT(MAX(ROW(E2481:E$2)*(E2482=E2481:E$2)))))</f>
        <v> </v>
      </c>
      <c r="J2482" s="25" t="str">
        <f>IF(OR(E2482="",E2482="!!!",F2482="NEW"),"",COUNTBLANK(OFFSET(A$1,,,SUMPRODUCT(MAX(ROW(E$2:E2482)*(E2482=E$2:E2482)))))-COUNTBLANK(OFFSET(A$1,,,SUMPRODUCT(MAX(ROW(E$1:E2481)*(E2=E$1:E2481))))))</f>
        <v> </v>
      </c>
      <c r="K2482" s="25" t="str">
        <f>IF(OR(E2482="",E2482="!!!",F2482="NEW"),"",INDEX(J$1:J2481,SUMPRODUCT(MAX(ROW(E$1:E2481)*(E2482=E$1:E2481)))))</f>
        <v> </v>
      </c>
      <c r="L2482" s="26"/>
    </row>
    <row r="2483" spans="1:12">
      <c r="A2483" s="20" t="s">
        <v>1498</v>
      </c>
      <c r="B2483" s="27" t="s">
        <v>619</v>
      </c>
      <c r="C2483" s="27" t="s">
        <v>622</v>
      </c>
      <c r="E2483" s="21">
        <f>IF(D2483="?OLD","!!!","")</f>
        <v/>
      </c>
      <c r="F2483" s="22" t="str">
        <f>IF(OR(E2483="",E2483="!!!"),"",IF(NOT(ISNA(VLOOKUP(E2483,E$1:E2482,1,FALSE()))),"OLD",IF(AND(E2483&lt;&gt;"",E2483&lt;&gt;"!!!"),"NEW","")))</f>
        <v> </v>
      </c>
      <c r="G2483" s="23" t="str">
        <f>IF(OR(E2483="",E2483="!!!"),"",IF(OR(J2483=0,AND(J2483=1,K2483=1),AND(J2483=1,I2483="SBJ"),AND(J2483=1,I2483=0)),"?IN_FOCUS",IF(J2483&lt;=2,"?ACTIVATED",IF(J2483&lt;&gt;"","?FAMILIAR",IF(F2483="NEW",IF(ISNA(VLOOKUP(E2483,#REF!,1,FALSE())),"?TYPE_IDENTIFIABLE","?REFERENTIAL"),"_")))))</f>
        <v> </v>
      </c>
      <c r="H2483" s="24" t="str">
        <f>IF(J2483&lt;&gt;1,"",IF(I2483="SBJ","CB","?"))</f>
        <v> </v>
      </c>
      <c r="I2483" s="25" t="str">
        <f>IF(OR(E2483="",E2483="!!!",F2483="NEW"),"",INDEX(B2482:B$2,-1+SUMPRODUCT(MAX(ROW(E2482:E$2)*(E2483=E2482:E$2)))))</f>
        <v> </v>
      </c>
      <c r="J2483" s="25" t="str">
        <f>IF(OR(E2483="",E2483="!!!",F2483="NEW"),"",COUNTBLANK(OFFSET(A$1,,,SUMPRODUCT(MAX(ROW(E$2:E2483)*(E2483=E$2:E2483)))))-COUNTBLANK(OFFSET(A$1,,,SUMPRODUCT(MAX(ROW(E$1:E2482)*(E2=E$1:E2482))))))</f>
        <v> </v>
      </c>
      <c r="K2483" s="25" t="str">
        <f>IF(OR(E2483="",E2483="!!!",F2483="NEW"),"",INDEX(J$1:J2482,SUMPRODUCT(MAX(ROW(E$1:E2482)*(E2483=E$1:E2482)))))</f>
        <v> </v>
      </c>
      <c r="L2483" s="26"/>
    </row>
    <row r="2484" spans="1:12">
      <c r="A2484" s="20" t="s">
        <v>1499</v>
      </c>
      <c r="E2484" s="21">
        <f>IF(D2484="?OLD","!!!","")</f>
        <v/>
      </c>
      <c r="F2484" s="22" t="str">
        <f>IF(OR(E2484="",E2484="!!!"),"",IF(NOT(ISNA(VLOOKUP(E2484,E$1:E2483,1,FALSE()))),"OLD",IF(AND(E2484&lt;&gt;"",E2484&lt;&gt;"!!!"),"NEW","")))</f>
        <v> </v>
      </c>
      <c r="G2484" s="23" t="str">
        <f>IF(OR(E2484="",E2484="!!!"),"",IF(OR(J2484=0,AND(J2484=1,K2484=1),AND(J2484=1,I2484="SBJ"),AND(J2484=1,I2484=0)),"?IN_FOCUS",IF(J2484&lt;=2,"?ACTIVATED",IF(J2484&lt;&gt;"","?FAMILIAR",IF(F2484="NEW",IF(ISNA(VLOOKUP(E2484,#REF!,1,FALSE())),"?TYPE_IDENTIFIABLE","?REFERENTIAL"),"_")))))</f>
        <v> </v>
      </c>
      <c r="H2484" s="24" t="str">
        <f>IF(J2484&lt;&gt;1,"",IF(I2484="SBJ","CB","?"))</f>
        <v> </v>
      </c>
      <c r="I2484" s="25" t="str">
        <f>IF(OR(E2484="",E2484="!!!",F2484="NEW"),"",INDEX(B2483:B$2,-1+SUMPRODUCT(MAX(ROW(E2483:E$2)*(E2484=E2483:E$2)))))</f>
        <v> </v>
      </c>
      <c r="J2484" s="25" t="str">
        <f>IF(OR(E2484="",E2484="!!!",F2484="NEW"),"",COUNTBLANK(OFFSET(A$1,,,SUMPRODUCT(MAX(ROW(E$2:E2484)*(E2484=E$2:E2484)))))-COUNTBLANK(OFFSET(A$1,,,SUMPRODUCT(MAX(ROW(E$1:E2483)*(E2=E$1:E2483))))))</f>
        <v> </v>
      </c>
      <c r="K2484" s="25" t="str">
        <f>IF(OR(E2484="",E2484="!!!",F2484="NEW"),"",INDEX(J$1:J2483,SUMPRODUCT(MAX(ROW(E$1:E2483)*(E2484=E$1:E2483)))))</f>
        <v> </v>
      </c>
      <c r="L2484" s="26"/>
    </row>
    <row r="2485" spans="1:12">
      <c r="A2485" s="20" t="s">
        <v>801</v>
      </c>
      <c r="E2485" s="21">
        <f>IF(D2485="?OLD","!!!","")</f>
        <v/>
      </c>
      <c r="F2485" s="22" t="str">
        <f>IF(OR(E2485="",E2485="!!!"),"",IF(NOT(ISNA(VLOOKUP(E2485,E$1:E2484,1,FALSE()))),"OLD",IF(AND(E2485&lt;&gt;"",E2485&lt;&gt;"!!!"),"NEW","")))</f>
        <v> </v>
      </c>
      <c r="G2485" s="23" t="str">
        <f>IF(OR(E2485="",E2485="!!!"),"",IF(OR(J2485=0,AND(J2485=1,K2485=1),AND(J2485=1,I2485="SBJ"),AND(J2485=1,I2485=0)),"?IN_FOCUS",IF(J2485&lt;=2,"?ACTIVATED",IF(J2485&lt;&gt;"","?FAMILIAR",IF(F2485="NEW",IF(ISNA(VLOOKUP(E2485,#REF!,1,FALSE())),"?TYPE_IDENTIFIABLE","?REFERENTIAL"),"_")))))</f>
        <v> </v>
      </c>
      <c r="H2485" s="24" t="str">
        <f>IF(J2485&lt;&gt;1,"",IF(I2485="SBJ","CB","?"))</f>
        <v> </v>
      </c>
      <c r="I2485" s="25" t="str">
        <f>IF(OR(E2485="",E2485="!!!",F2485="NEW"),"",INDEX(B2484:B$2,-1+SUMPRODUCT(MAX(ROW(E2484:E$2)*(E2485=E2484:E$2)))))</f>
        <v> </v>
      </c>
      <c r="J2485" s="25" t="str">
        <f>IF(OR(E2485="",E2485="!!!",F2485="NEW"),"",COUNTBLANK(OFFSET(A$1,,,SUMPRODUCT(MAX(ROW(E$2:E2485)*(E2485=E$2:E2485)))))-COUNTBLANK(OFFSET(A$1,,,SUMPRODUCT(MAX(ROW(E$1:E2484)*(E2=E$1:E2484))))))</f>
        <v> </v>
      </c>
      <c r="K2485" s="25" t="str">
        <f>IF(OR(E2485="",E2485="!!!",F2485="NEW"),"",INDEX(J$1:J2484,SUMPRODUCT(MAX(ROW(E$1:E2484)*(E2485=E$1:E2484)))))</f>
        <v> </v>
      </c>
      <c r="L2485" s="26"/>
    </row>
    <row r="2486" spans="1:12">
      <c r="A2486" s="20" t="s">
        <v>656</v>
      </c>
      <c r="B2486" s="27" t="s">
        <v>611</v>
      </c>
      <c r="C2486" s="27" t="s">
        <v>652</v>
      </c>
      <c r="D2486" s="27" t="s">
        <v>608</v>
      </c>
      <c r="E2486" s="21">
        <f>IF(D2486="?OLD","!!!","")</f>
        <v/>
      </c>
      <c r="F2486" s="22" t="str">
        <f>IF(OR(E2486="",E2486="!!!"),"",IF(NOT(ISNA(VLOOKUP(E2486,E$1:E2485,1,FALSE()))),"OLD",IF(AND(E2486&lt;&gt;"",E2486&lt;&gt;"!!!"),"NEW","")))</f>
        <v> </v>
      </c>
      <c r="G2486" s="23" t="str">
        <f>IF(OR(E2486="",E2486="!!!"),"",IF(OR(J2486=0,AND(J2486=1,K2486=1),AND(J2486=1,I2486="SBJ"),AND(J2486=1,I2486=0)),"?IN_FOCUS",IF(J2486&lt;=2,"?ACTIVATED",IF(J2486&lt;&gt;"","?FAMILIAR",IF(F2486="NEW",IF(ISNA(VLOOKUP(E2486,#REF!,1,FALSE())),"?TYPE_IDENTIFIABLE","?REFERENTIAL"),"_")))))</f>
        <v> </v>
      </c>
      <c r="H2486" s="24" t="str">
        <f>IF(J2486&lt;&gt;1,"",IF(I2486="SBJ","CB","?"))</f>
        <v> </v>
      </c>
      <c r="I2486" s="25" t="str">
        <f>IF(OR(E2486="",E2486="!!!",F2486="NEW"),"",INDEX(B2485:B$2,-1+SUMPRODUCT(MAX(ROW(E2485:E$2)*(E2486=E2485:E$2)))))</f>
        <v> </v>
      </c>
      <c r="J2486" s="25" t="str">
        <f>IF(OR(E2486="",E2486="!!!",F2486="NEW"),"",COUNTBLANK(OFFSET(A$1,,,SUMPRODUCT(MAX(ROW(E$2:E2486)*(E2486=E$2:E2486)))))-COUNTBLANK(OFFSET(A$1,,,SUMPRODUCT(MAX(ROW(E$1:E2485)*(E2=E$1:E2485))))))</f>
        <v> </v>
      </c>
      <c r="K2486" s="25" t="str">
        <f>IF(OR(E2486="",E2486="!!!",F2486="NEW"),"",INDEX(J$1:J2485,SUMPRODUCT(MAX(ROW(E$1:E2485)*(E2486=E$1:E2485)))))</f>
        <v> </v>
      </c>
      <c r="L2486" s="26"/>
    </row>
    <row r="2487" spans="1:12">
      <c r="A2487" s="20" t="s">
        <v>707</v>
      </c>
      <c r="E2487" s="21">
        <f>IF(D2487="?OLD","!!!","")</f>
        <v/>
      </c>
      <c r="F2487" s="22" t="str">
        <f>IF(OR(E2487="",E2487="!!!"),"",IF(NOT(ISNA(VLOOKUP(E2487,E$1:E2486,1,FALSE()))),"OLD",IF(AND(E2487&lt;&gt;"",E2487&lt;&gt;"!!!"),"NEW","")))</f>
        <v> </v>
      </c>
      <c r="G2487" s="23" t="str">
        <f>IF(OR(E2487="",E2487="!!!"),"",IF(OR(J2487=0,AND(J2487=1,K2487=1),AND(J2487=1,I2487="SBJ"),AND(J2487=1,I2487=0)),"?IN_FOCUS",IF(J2487&lt;=2,"?ACTIVATED",IF(J2487&lt;&gt;"","?FAMILIAR",IF(F2487="NEW",IF(ISNA(VLOOKUP(E2487,#REF!,1,FALSE())),"?TYPE_IDENTIFIABLE","?REFERENTIAL"),"_")))))</f>
        <v> </v>
      </c>
      <c r="H2487" s="24" t="str">
        <f>IF(J2487&lt;&gt;1,"",IF(I2487="SBJ","CB","?"))</f>
        <v> </v>
      </c>
      <c r="I2487" s="25" t="str">
        <f>IF(OR(E2487="",E2487="!!!",F2487="NEW"),"",INDEX(B2486:B$2,-1+SUMPRODUCT(MAX(ROW(E2486:E$2)*(E2487=E2486:E$2)))))</f>
        <v> </v>
      </c>
      <c r="J2487" s="25" t="str">
        <f>IF(OR(E2487="",E2487="!!!",F2487="NEW"),"",COUNTBLANK(OFFSET(A$1,,,SUMPRODUCT(MAX(ROW(E$2:E2487)*(E2487=E$2:E2487)))))-COUNTBLANK(OFFSET(A$1,,,SUMPRODUCT(MAX(ROW(E$1:E2486)*(E2=E$1:E2486))))))</f>
        <v> </v>
      </c>
      <c r="K2487" s="25" t="str">
        <f>IF(OR(E2487="",E2487="!!!",F2487="NEW"),"",INDEX(J$1:J2486,SUMPRODUCT(MAX(ROW(E$1:E2486)*(E2487=E$1:E2486)))))</f>
        <v> </v>
      </c>
      <c r="L2487" s="26"/>
    </row>
    <row r="2488" spans="1:12">
      <c r="A2488" s="20" t="s">
        <v>658</v>
      </c>
      <c r="E2488" s="21">
        <f>IF(D2488="?OLD","!!!","")</f>
        <v/>
      </c>
      <c r="F2488" s="22" t="str">
        <f>IF(OR(E2488="",E2488="!!!"),"",IF(NOT(ISNA(VLOOKUP(E2488,E$1:E2487,1,FALSE()))),"OLD",IF(AND(E2488&lt;&gt;"",E2488&lt;&gt;"!!!"),"NEW","")))</f>
        <v> </v>
      </c>
      <c r="G2488" s="23" t="str">
        <f>IF(OR(E2488="",E2488="!!!"),"",IF(OR(J2488=0,AND(J2488=1,K2488=1),AND(J2488=1,I2488="SBJ"),AND(J2488=1,I2488=0)),"?IN_FOCUS",IF(J2488&lt;=2,"?ACTIVATED",IF(J2488&lt;&gt;"","?FAMILIAR",IF(F2488="NEW",IF(ISNA(VLOOKUP(E2488,#REF!,1,FALSE())),"?TYPE_IDENTIFIABLE","?REFERENTIAL"),"_")))))</f>
        <v> </v>
      </c>
      <c r="H2488" s="24" t="str">
        <f>IF(J2488&lt;&gt;1,"",IF(I2488="SBJ","CB","?"))</f>
        <v> </v>
      </c>
      <c r="I2488" s="25" t="str">
        <f>IF(OR(E2488="",E2488="!!!",F2488="NEW"),"",INDEX(B2487:B$2,-1+SUMPRODUCT(MAX(ROW(E2487:E$2)*(E2488=E2487:E$2)))))</f>
        <v> </v>
      </c>
      <c r="J2488" s="25" t="str">
        <f>IF(OR(E2488="",E2488="!!!",F2488="NEW"),"",COUNTBLANK(OFFSET(A$1,,,SUMPRODUCT(MAX(ROW(E$2:E2488)*(E2488=E$2:E2488)))))-COUNTBLANK(OFFSET(A$1,,,SUMPRODUCT(MAX(ROW(E$1:E2487)*(E2=E$1:E2487))))))</f>
        <v> </v>
      </c>
      <c r="K2488" s="25" t="str">
        <f>IF(OR(E2488="",E2488="!!!",F2488="NEW"),"",INDEX(J$1:J2487,SUMPRODUCT(MAX(ROW(E$1:E2487)*(E2488=E$1:E2487)))))</f>
        <v> </v>
      </c>
      <c r="L2488" s="26"/>
    </row>
    <row r="2489" spans="1:12">
      <c r="A2489" s="20" t="s">
        <v>1281</v>
      </c>
      <c r="E2489" s="21">
        <f>IF(D2489="?OLD","!!!","")</f>
        <v/>
      </c>
      <c r="F2489" s="22" t="str">
        <f>IF(OR(E2489="",E2489="!!!"),"",IF(NOT(ISNA(VLOOKUP(E2489,E$1:E2488,1,FALSE()))),"OLD",IF(AND(E2489&lt;&gt;"",E2489&lt;&gt;"!!!"),"NEW","")))</f>
        <v> </v>
      </c>
      <c r="G2489" s="23" t="str">
        <f>IF(OR(E2489="",E2489="!!!"),"",IF(OR(J2489=0,AND(J2489=1,K2489=1),AND(J2489=1,I2489="SBJ"),AND(J2489=1,I2489=0)),"?IN_FOCUS",IF(J2489&lt;=2,"?ACTIVATED",IF(J2489&lt;&gt;"","?FAMILIAR",IF(F2489="NEW",IF(ISNA(VLOOKUP(E2489,#REF!,1,FALSE())),"?TYPE_IDENTIFIABLE","?REFERENTIAL"),"_")))))</f>
        <v> </v>
      </c>
      <c r="H2489" s="24" t="str">
        <f>IF(J2489&lt;&gt;1,"",IF(I2489="SBJ","CB","?"))</f>
        <v> </v>
      </c>
      <c r="I2489" s="25" t="str">
        <f>IF(OR(E2489="",E2489="!!!",F2489="NEW"),"",INDEX(B2488:B$2,-1+SUMPRODUCT(MAX(ROW(E2488:E$2)*(E2489=E2488:E$2)))))</f>
        <v> </v>
      </c>
      <c r="J2489" s="25" t="str">
        <f>IF(OR(E2489="",E2489="!!!",F2489="NEW"),"",COUNTBLANK(OFFSET(A$1,,,SUMPRODUCT(MAX(ROW(E$2:E2489)*(E2489=E$2:E2489)))))-COUNTBLANK(OFFSET(A$1,,,SUMPRODUCT(MAX(ROW(E$1:E2488)*(E2=E$1:E2488))))))</f>
        <v> </v>
      </c>
      <c r="K2489" s="25" t="str">
        <f>IF(OR(E2489="",E2489="!!!",F2489="NEW"),"",INDEX(J$1:J2488,SUMPRODUCT(MAX(ROW(E$1:E2488)*(E2489=E$1:E2488)))))</f>
        <v> </v>
      </c>
      <c r="L2489" s="26"/>
    </row>
    <row r="2490" spans="1:12">
      <c r="A2490" s="20" t="s">
        <v>1282</v>
      </c>
      <c r="B2490" s="27" t="s">
        <v>611</v>
      </c>
      <c r="C2490" s="27" t="s">
        <v>607</v>
      </c>
      <c r="D2490" s="27" t="s">
        <v>608</v>
      </c>
      <c r="E2490" s="21">
        <f>IF(D2490="?OLD","!!!","")</f>
        <v/>
      </c>
      <c r="F2490" s="22" t="str">
        <f>IF(OR(E2490="",E2490="!!!"),"",IF(NOT(ISNA(VLOOKUP(E2490,E$1:E2489,1,FALSE()))),"OLD",IF(AND(E2490&lt;&gt;"",E2490&lt;&gt;"!!!"),"NEW","")))</f>
        <v> </v>
      </c>
      <c r="G2490" s="23" t="str">
        <f>IF(OR(E2490="",E2490="!!!"),"",IF(OR(J2490=0,AND(J2490=1,K2490=1),AND(J2490=1,I2490="SBJ"),AND(J2490=1,I2490=0)),"?IN_FOCUS",IF(J2490&lt;=2,"?ACTIVATED",IF(J2490&lt;&gt;"","?FAMILIAR",IF(F2490="NEW",IF(ISNA(VLOOKUP(E2490,#REF!,1,FALSE())),"?TYPE_IDENTIFIABLE","?REFERENTIAL"),"_")))))</f>
        <v> </v>
      </c>
      <c r="H2490" s="24" t="str">
        <f>IF(J2490&lt;&gt;1,"",IF(I2490="SBJ","CB","?"))</f>
        <v> </v>
      </c>
      <c r="I2490" s="25" t="str">
        <f>IF(OR(E2490="",E2490="!!!",F2490="NEW"),"",INDEX(B2489:B$2,-1+SUMPRODUCT(MAX(ROW(E2489:E$2)*(E2490=E2489:E$2)))))</f>
        <v> </v>
      </c>
      <c r="J2490" s="25" t="str">
        <f>IF(OR(E2490="",E2490="!!!",F2490="NEW"),"",COUNTBLANK(OFFSET(A$1,,,SUMPRODUCT(MAX(ROW(E$2:E2490)*(E2490=E$2:E2490)))))-COUNTBLANK(OFFSET(A$1,,,SUMPRODUCT(MAX(ROW(E$1:E2489)*(E2=E$1:E2489))))))</f>
        <v> </v>
      </c>
      <c r="K2490" s="25" t="str">
        <f>IF(OR(E2490="",E2490="!!!",F2490="NEW"),"",INDEX(J$1:J2489,SUMPRODUCT(MAX(ROW(E$1:E2489)*(E2490=E$1:E2489)))))</f>
        <v> </v>
      </c>
      <c r="L2490" s="26"/>
    </row>
    <row r="2491" spans="1:12">
      <c r="A2491" s="20" t="s">
        <v>663</v>
      </c>
      <c r="B2491" s="27" t="s">
        <v>611</v>
      </c>
      <c r="C2491" s="27" t="s">
        <v>626</v>
      </c>
      <c r="E2491" s="21">
        <f>IF(D2491="?OLD","!!!","")</f>
        <v/>
      </c>
      <c r="F2491" s="22" t="str">
        <f>IF(OR(E2491="",E2491="!!!"),"",IF(NOT(ISNA(VLOOKUP(E2491,E$1:E2490,1,FALSE()))),"OLD",IF(AND(E2491&lt;&gt;"",E2491&lt;&gt;"!!!"),"NEW","")))</f>
        <v> </v>
      </c>
      <c r="G2491" s="23" t="str">
        <f>IF(OR(E2491="",E2491="!!!"),"",IF(OR(J2491=0,AND(J2491=1,K2491=1),AND(J2491=1,I2491="SBJ"),AND(J2491=1,I2491=0)),"?IN_FOCUS",IF(J2491&lt;=2,"?ACTIVATED",IF(J2491&lt;&gt;"","?FAMILIAR",IF(F2491="NEW",IF(ISNA(VLOOKUP(E2491,#REF!,1,FALSE())),"?TYPE_IDENTIFIABLE","?REFERENTIAL"),"_")))))</f>
        <v> </v>
      </c>
      <c r="H2491" s="24" t="str">
        <f>IF(J2491&lt;&gt;1,"",IF(I2491="SBJ","CB","?"))</f>
        <v> </v>
      </c>
      <c r="I2491" s="25" t="str">
        <f>IF(OR(E2491="",E2491="!!!",F2491="NEW"),"",INDEX(B2490:B$2,-1+SUMPRODUCT(MAX(ROW(E2490:E$2)*(E2491=E2490:E$2)))))</f>
        <v> </v>
      </c>
      <c r="J2491" s="25" t="str">
        <f>IF(OR(E2491="",E2491="!!!",F2491="NEW"),"",COUNTBLANK(OFFSET(A$1,,,SUMPRODUCT(MAX(ROW(E$2:E2491)*(E2491=E$2:E2491)))))-COUNTBLANK(OFFSET(A$1,,,SUMPRODUCT(MAX(ROW(E$1:E2490)*(E2=E$1:E2490))))))</f>
        <v> </v>
      </c>
      <c r="K2491" s="25" t="str">
        <f>IF(OR(E2491="",E2491="!!!",F2491="NEW"),"",INDEX(J$1:J2490,SUMPRODUCT(MAX(ROW(E$1:E2490)*(E2491=E$1:E2490)))))</f>
        <v> </v>
      </c>
      <c r="L2491" s="26"/>
    </row>
    <row r="2492" spans="1:12">
      <c r="A2492" s="20" t="s">
        <v>1150</v>
      </c>
      <c r="E2492" s="21">
        <f>IF(D2492="?OLD","!!!","")</f>
        <v/>
      </c>
      <c r="F2492" s="22" t="str">
        <f>IF(OR(E2492="",E2492="!!!"),"",IF(NOT(ISNA(VLOOKUP(E2492,E$1:E2491,1,FALSE()))),"OLD",IF(AND(E2492&lt;&gt;"",E2492&lt;&gt;"!!!"),"NEW","")))</f>
        <v> </v>
      </c>
      <c r="G2492" s="23" t="str">
        <f>IF(OR(E2492="",E2492="!!!"),"",IF(OR(J2492=0,AND(J2492=1,K2492=1),AND(J2492=1,I2492="SBJ"),AND(J2492=1,I2492=0)),"?IN_FOCUS",IF(J2492&lt;=2,"?ACTIVATED",IF(J2492&lt;&gt;"","?FAMILIAR",IF(F2492="NEW",IF(ISNA(VLOOKUP(E2492,#REF!,1,FALSE())),"?TYPE_IDENTIFIABLE","?REFERENTIAL"),"_")))))</f>
        <v> </v>
      </c>
      <c r="H2492" s="24" t="str">
        <f>IF(J2492&lt;&gt;1,"",IF(I2492="SBJ","CB","?"))</f>
        <v> </v>
      </c>
      <c r="I2492" s="25" t="str">
        <f>IF(OR(E2492="",E2492="!!!",F2492="NEW"),"",INDEX(B2491:B$2,-1+SUMPRODUCT(MAX(ROW(E2491:E$2)*(E2492=E2491:E$2)))))</f>
        <v> </v>
      </c>
      <c r="J2492" s="25" t="str">
        <f>IF(OR(E2492="",E2492="!!!",F2492="NEW"),"",COUNTBLANK(OFFSET(A$1,,,SUMPRODUCT(MAX(ROW(E$2:E2492)*(E2492=E$2:E2492)))))-COUNTBLANK(OFFSET(A$1,,,SUMPRODUCT(MAX(ROW(E$1:E2491)*(E2=E$1:E2491))))))</f>
        <v> </v>
      </c>
      <c r="K2492" s="25" t="str">
        <f>IF(OR(E2492="",E2492="!!!",F2492="NEW"),"",INDEX(J$1:J2491,SUMPRODUCT(MAX(ROW(E$1:E2491)*(E2492=E$1:E2491)))))</f>
        <v> </v>
      </c>
      <c r="L2492" s="26"/>
    </row>
    <row r="2493" spans="1:12">
      <c r="A2493" s="20" t="s">
        <v>1216</v>
      </c>
      <c r="E2493" s="21">
        <f>IF(D2493="?OLD","!!!","")</f>
        <v/>
      </c>
      <c r="F2493" s="22" t="str">
        <f>IF(OR(E2493="",E2493="!!!"),"",IF(NOT(ISNA(VLOOKUP(E2493,E$1:E2492,1,FALSE()))),"OLD",IF(AND(E2493&lt;&gt;"",E2493&lt;&gt;"!!!"),"NEW","")))</f>
        <v> </v>
      </c>
      <c r="G2493" s="23" t="str">
        <f>IF(OR(E2493="",E2493="!!!"),"",IF(OR(J2493=0,AND(J2493=1,K2493=1),AND(J2493=1,I2493="SBJ"),AND(J2493=1,I2493=0)),"?IN_FOCUS",IF(J2493&lt;=2,"?ACTIVATED",IF(J2493&lt;&gt;"","?FAMILIAR",IF(F2493="NEW",IF(ISNA(VLOOKUP(E2493,#REF!,1,FALSE())),"?TYPE_IDENTIFIABLE","?REFERENTIAL"),"_")))))</f>
        <v> </v>
      </c>
      <c r="H2493" s="24" t="str">
        <f>IF(J2493&lt;&gt;1,"",IF(I2493="SBJ","CB","?"))</f>
        <v> </v>
      </c>
      <c r="I2493" s="25" t="str">
        <f>IF(OR(E2493="",E2493="!!!",F2493="NEW"),"",INDEX(B2492:B$2,-1+SUMPRODUCT(MAX(ROW(E2492:E$2)*(E2493=E2492:E$2)))))</f>
        <v> </v>
      </c>
      <c r="J2493" s="25" t="str">
        <f>IF(OR(E2493="",E2493="!!!",F2493="NEW"),"",COUNTBLANK(OFFSET(A$1,,,SUMPRODUCT(MAX(ROW(E$2:E2493)*(E2493=E$2:E2493)))))-COUNTBLANK(OFFSET(A$1,,,SUMPRODUCT(MAX(ROW(E$1:E2492)*(E2=E$1:E2492))))))</f>
        <v> </v>
      </c>
      <c r="K2493" s="25" t="str">
        <f>IF(OR(E2493="",E2493="!!!",F2493="NEW"),"",INDEX(J$1:J2492,SUMPRODUCT(MAX(ROW(E$1:E2492)*(E2493=E$1:E2492)))))</f>
        <v> </v>
      </c>
      <c r="L2493" s="26"/>
    </row>
    <row r="2494" spans="1:12">
      <c r="A2494" s="20" t="s">
        <v>1500</v>
      </c>
      <c r="E2494" s="21">
        <f>IF(D2494="?OLD","!!!","")</f>
        <v/>
      </c>
      <c r="F2494" s="22" t="str">
        <f>IF(OR(E2494="",E2494="!!!"),"",IF(NOT(ISNA(VLOOKUP(E2494,E$1:E2493,1,FALSE()))),"OLD",IF(AND(E2494&lt;&gt;"",E2494&lt;&gt;"!!!"),"NEW","")))</f>
        <v> </v>
      </c>
      <c r="G2494" s="23" t="str">
        <f>IF(OR(E2494="",E2494="!!!"),"",IF(OR(J2494=0,AND(J2494=1,K2494=1),AND(J2494=1,I2494="SBJ"),AND(J2494=1,I2494=0)),"?IN_FOCUS",IF(J2494&lt;=2,"?ACTIVATED",IF(J2494&lt;&gt;"","?FAMILIAR",IF(F2494="NEW",IF(ISNA(VLOOKUP(E2494,#REF!,1,FALSE())),"?TYPE_IDENTIFIABLE","?REFERENTIAL"),"_")))))</f>
        <v> </v>
      </c>
      <c r="H2494" s="24" t="str">
        <f>IF(J2494&lt;&gt;1,"",IF(I2494="SBJ","CB","?"))</f>
        <v> </v>
      </c>
      <c r="I2494" s="25" t="str">
        <f>IF(OR(E2494="",E2494="!!!",F2494="NEW"),"",INDEX(B2493:B$2,-1+SUMPRODUCT(MAX(ROW(E2493:E$2)*(E2494=E2493:E$2)))))</f>
        <v> </v>
      </c>
      <c r="J2494" s="25" t="str">
        <f>IF(OR(E2494="",E2494="!!!",F2494="NEW"),"",COUNTBLANK(OFFSET(A$1,,,SUMPRODUCT(MAX(ROW(E$2:E2494)*(E2494=E$2:E2494)))))-COUNTBLANK(OFFSET(A$1,,,SUMPRODUCT(MAX(ROW(E$1:E2493)*(E2=E$1:E2493))))))</f>
        <v> </v>
      </c>
      <c r="K2494" s="25" t="str">
        <f>IF(OR(E2494="",E2494="!!!",F2494="NEW"),"",INDEX(J$1:J2493,SUMPRODUCT(MAX(ROW(E$1:E2493)*(E2494=E$1:E2493)))))</f>
        <v> </v>
      </c>
      <c r="L2494" s="26"/>
    </row>
    <row r="2495" spans="1:12">
      <c r="A2495" s="20" t="s">
        <v>1501</v>
      </c>
      <c r="B2495" s="27" t="s">
        <v>625</v>
      </c>
      <c r="C2495" s="27" t="s">
        <v>637</v>
      </c>
      <c r="D2495" s="27" t="s">
        <v>608</v>
      </c>
      <c r="E2495" s="21">
        <f>IF(D2495="?OLD","!!!","")</f>
        <v/>
      </c>
      <c r="F2495" s="22" t="str">
        <f>IF(OR(E2495="",E2495="!!!"),"",IF(NOT(ISNA(VLOOKUP(E2495,E$1:E2494,1,FALSE()))),"OLD",IF(AND(E2495&lt;&gt;"",E2495&lt;&gt;"!!!"),"NEW","")))</f>
        <v> </v>
      </c>
      <c r="G2495" s="23" t="str">
        <f>IF(OR(E2495="",E2495="!!!"),"",IF(OR(J2495=0,AND(J2495=1,K2495=1),AND(J2495=1,I2495="SBJ"),AND(J2495=1,I2495=0)),"?IN_FOCUS",IF(J2495&lt;=2,"?ACTIVATED",IF(J2495&lt;&gt;"","?FAMILIAR",IF(F2495="NEW",IF(ISNA(VLOOKUP(E2495,#REF!,1,FALSE())),"?TYPE_IDENTIFIABLE","?REFERENTIAL"),"_")))))</f>
        <v> </v>
      </c>
      <c r="H2495" s="24" t="str">
        <f>IF(J2495&lt;&gt;1,"",IF(I2495="SBJ","CB","?"))</f>
        <v> </v>
      </c>
      <c r="I2495" s="25" t="str">
        <f>IF(OR(E2495="",E2495="!!!",F2495="NEW"),"",INDEX(B2494:B$2,-1+SUMPRODUCT(MAX(ROW(E2494:E$2)*(E2495=E2494:E$2)))))</f>
        <v> </v>
      </c>
      <c r="J2495" s="25" t="str">
        <f>IF(OR(E2495="",E2495="!!!",F2495="NEW"),"",COUNTBLANK(OFFSET(A$1,,,SUMPRODUCT(MAX(ROW(E$2:E2495)*(E2495=E$2:E2495)))))-COUNTBLANK(OFFSET(A$1,,,SUMPRODUCT(MAX(ROW(E$1:E2494)*(E2=E$1:E2494))))))</f>
        <v> </v>
      </c>
      <c r="K2495" s="25" t="str">
        <f>IF(OR(E2495="",E2495="!!!",F2495="NEW"),"",INDEX(J$1:J2494,SUMPRODUCT(MAX(ROW(E$1:E2494)*(E2495=E$1:E2494)))))</f>
        <v> </v>
      </c>
      <c r="L2495" s="26"/>
    </row>
    <row r="2496" spans="1:12">
      <c r="A2496" s="20" t="s">
        <v>667</v>
      </c>
      <c r="E2496" s="21">
        <f>IF(D2496="?OLD","!!!","")</f>
        <v/>
      </c>
      <c r="F2496" s="22" t="str">
        <f>IF(OR(E2496="",E2496="!!!"),"",IF(NOT(ISNA(VLOOKUP(E2496,E$1:E2495,1,FALSE()))),"OLD",IF(AND(E2496&lt;&gt;"",E2496&lt;&gt;"!!!"),"NEW","")))</f>
        <v> </v>
      </c>
      <c r="G2496" s="23" t="str">
        <f>IF(OR(E2496="",E2496="!!!"),"",IF(OR(J2496=0,AND(J2496=1,K2496=1),AND(J2496=1,I2496="SBJ"),AND(J2496=1,I2496=0)),"?IN_FOCUS",IF(J2496&lt;=2,"?ACTIVATED",IF(J2496&lt;&gt;"","?FAMILIAR",IF(F2496="NEW",IF(ISNA(VLOOKUP(E2496,#REF!,1,FALSE())),"?TYPE_IDENTIFIABLE","?REFERENTIAL"),"_")))))</f>
        <v> </v>
      </c>
      <c r="H2496" s="24" t="str">
        <f>IF(J2496&lt;&gt;1,"",IF(I2496="SBJ","CB","?"))</f>
        <v> </v>
      </c>
      <c r="I2496" s="25" t="str">
        <f>IF(OR(E2496="",E2496="!!!",F2496="NEW"),"",INDEX(B2495:B$2,-1+SUMPRODUCT(MAX(ROW(E2495:E$2)*(E2496=E2495:E$2)))))</f>
        <v> </v>
      </c>
      <c r="J2496" s="25" t="str">
        <f>IF(OR(E2496="",E2496="!!!",F2496="NEW"),"",COUNTBLANK(OFFSET(A$1,,,SUMPRODUCT(MAX(ROW(E$2:E2496)*(E2496=E$2:E2496)))))-COUNTBLANK(OFFSET(A$1,,,SUMPRODUCT(MAX(ROW(E$1:E2495)*(E2=E$1:E2495))))))</f>
        <v> </v>
      </c>
      <c r="K2496" s="25" t="str">
        <f>IF(OR(E2496="",E2496="!!!",F2496="NEW"),"",INDEX(J$1:J2495,SUMPRODUCT(MAX(ROW(E$1:E2495)*(E2496=E$1:E2495)))))</f>
        <v> </v>
      </c>
      <c r="L2496" s="26"/>
    </row>
    <row r="2497" spans="1:12">
      <c r="A2497" s="20" t="s">
        <v>856</v>
      </c>
      <c r="B2497" s="27" t="s">
        <v>668</v>
      </c>
      <c r="C2497" s="27" t="s">
        <v>637</v>
      </c>
      <c r="D2497" s="27" t="s">
        <v>608</v>
      </c>
      <c r="E2497" s="21">
        <f>IF(D2497="?OLD","!!!","")</f>
        <v/>
      </c>
      <c r="F2497" s="22" t="str">
        <f>IF(OR(E2497="",E2497="!!!"),"",IF(NOT(ISNA(VLOOKUP(E2497,E$1:E2496,1,FALSE()))),"OLD",IF(AND(E2497&lt;&gt;"",E2497&lt;&gt;"!!!"),"NEW","")))</f>
        <v> </v>
      </c>
      <c r="G2497" s="23" t="str">
        <f>IF(OR(E2497="",E2497="!!!"),"",IF(OR(J2497=0,AND(J2497=1,K2497=1),AND(J2497=1,I2497="SBJ"),AND(J2497=1,I2497=0)),"?IN_FOCUS",IF(J2497&lt;=2,"?ACTIVATED",IF(J2497&lt;&gt;"","?FAMILIAR",IF(F2497="NEW",IF(ISNA(VLOOKUP(E2497,#REF!,1,FALSE())),"?TYPE_IDENTIFIABLE","?REFERENTIAL"),"_")))))</f>
        <v> </v>
      </c>
      <c r="H2497" s="24" t="str">
        <f>IF(J2497&lt;&gt;1,"",IF(I2497="SBJ","CB","?"))</f>
        <v> </v>
      </c>
      <c r="I2497" s="25" t="str">
        <f>IF(OR(E2497="",E2497="!!!",F2497="NEW"),"",INDEX(B2496:B$2,-1+SUMPRODUCT(MAX(ROW(E2496:E$2)*(E2497=E2496:E$2)))))</f>
        <v> </v>
      </c>
      <c r="J2497" s="25" t="str">
        <f>IF(OR(E2497="",E2497="!!!",F2497="NEW"),"",COUNTBLANK(OFFSET(A$1,,,SUMPRODUCT(MAX(ROW(E$2:E2497)*(E2497=E$2:E2497)))))-COUNTBLANK(OFFSET(A$1,,,SUMPRODUCT(MAX(ROW(E$1:E2496)*(E2=E$1:E2496))))))</f>
        <v> </v>
      </c>
      <c r="K2497" s="25" t="str">
        <f>IF(OR(E2497="",E2497="!!!",F2497="NEW"),"",INDEX(J$1:J2496,SUMPRODUCT(MAX(ROW(E$1:E2496)*(E2497=E$1:E2496)))))</f>
        <v> </v>
      </c>
      <c r="L2497" s="26"/>
    </row>
    <row r="2498" spans="1:12">
      <c r="A2498" s="20" t="s">
        <v>837</v>
      </c>
      <c r="E2498" s="21">
        <f>IF(D2498="?OLD","!!!","")</f>
        <v/>
      </c>
      <c r="F2498" s="22" t="str">
        <f>IF(OR(E2498="",E2498="!!!"),"",IF(NOT(ISNA(VLOOKUP(E2498,E$1:E2497,1,FALSE()))),"OLD",IF(AND(E2498&lt;&gt;"",E2498&lt;&gt;"!!!"),"NEW","")))</f>
        <v> </v>
      </c>
      <c r="G2498" s="23" t="str">
        <f>IF(OR(E2498="",E2498="!!!"),"",IF(OR(J2498=0,AND(J2498=1,K2498=1),AND(J2498=1,I2498="SBJ"),AND(J2498=1,I2498=0)),"?IN_FOCUS",IF(J2498&lt;=2,"?ACTIVATED",IF(J2498&lt;&gt;"","?FAMILIAR",IF(F2498="NEW",IF(ISNA(VLOOKUP(E2498,#REF!,1,FALSE())),"?TYPE_IDENTIFIABLE","?REFERENTIAL"),"_")))))</f>
        <v> </v>
      </c>
      <c r="H2498" s="24" t="str">
        <f>IF(J2498&lt;&gt;1,"",IF(I2498="SBJ","CB","?"))</f>
        <v> </v>
      </c>
      <c r="I2498" s="25" t="str">
        <f>IF(OR(E2498="",E2498="!!!",F2498="NEW"),"",INDEX(B2497:B$2,-1+SUMPRODUCT(MAX(ROW(E2497:E$2)*(E2498=E2497:E$2)))))</f>
        <v> </v>
      </c>
      <c r="J2498" s="25" t="str">
        <f>IF(OR(E2498="",E2498="!!!",F2498="NEW"),"",COUNTBLANK(OFFSET(A$1,,,SUMPRODUCT(MAX(ROW(E$2:E2498)*(E2498=E$2:E2498)))))-COUNTBLANK(OFFSET(A$1,,,SUMPRODUCT(MAX(ROW(E$1:E2497)*(E2=E$1:E2497))))))</f>
        <v> </v>
      </c>
      <c r="K2498" s="25" t="str">
        <f>IF(OR(E2498="",E2498="!!!",F2498="NEW"),"",INDEX(J$1:J2497,SUMPRODUCT(MAX(ROW(E$1:E2497)*(E2498=E$1:E2497)))))</f>
        <v> </v>
      </c>
      <c r="L2498" s="26"/>
    </row>
    <row r="2499" spans="1:12">
      <c r="A2499" s="20" t="s">
        <v>823</v>
      </c>
      <c r="E2499" s="21">
        <f>IF(D2499="?OLD","!!!","")</f>
        <v/>
      </c>
      <c r="F2499" s="22" t="str">
        <f>IF(OR(E2499="",E2499="!!!"),"",IF(NOT(ISNA(VLOOKUP(E2499,E$1:E2498,1,FALSE()))),"OLD",IF(AND(E2499&lt;&gt;"",E2499&lt;&gt;"!!!"),"NEW","")))</f>
        <v> </v>
      </c>
      <c r="G2499" s="23" t="str">
        <f>IF(OR(E2499="",E2499="!!!"),"",IF(OR(J2499=0,AND(J2499=1,K2499=1),AND(J2499=1,I2499="SBJ"),AND(J2499=1,I2499=0)),"?IN_FOCUS",IF(J2499&lt;=2,"?ACTIVATED",IF(J2499&lt;&gt;"","?FAMILIAR",IF(F2499="NEW",IF(ISNA(VLOOKUP(E2499,#REF!,1,FALSE())),"?TYPE_IDENTIFIABLE","?REFERENTIAL"),"_")))))</f>
        <v> </v>
      </c>
      <c r="H2499" s="24" t="str">
        <f>IF(J2499&lt;&gt;1,"",IF(I2499="SBJ","CB","?"))</f>
        <v> </v>
      </c>
      <c r="I2499" s="25" t="str">
        <f>IF(OR(E2499="",E2499="!!!",F2499="NEW"),"",INDEX(B2498:B$2,-1+SUMPRODUCT(MAX(ROW(E2498:E$2)*(E2499=E2498:E$2)))))</f>
        <v> </v>
      </c>
      <c r="J2499" s="25" t="str">
        <f>IF(OR(E2499="",E2499="!!!",F2499="NEW"),"",COUNTBLANK(OFFSET(A$1,,,SUMPRODUCT(MAX(ROW(E$2:E2499)*(E2499=E$2:E2499)))))-COUNTBLANK(OFFSET(A$1,,,SUMPRODUCT(MAX(ROW(E$1:E2498)*(E2=E$1:E2498))))))</f>
        <v> </v>
      </c>
      <c r="K2499" s="25" t="str">
        <f>IF(OR(E2499="",E2499="!!!",F2499="NEW"),"",INDEX(J$1:J2498,SUMPRODUCT(MAX(ROW(E$1:E2498)*(E2499=E$1:E2498)))))</f>
        <v> </v>
      </c>
      <c r="L2499" s="26"/>
    </row>
    <row r="2500" spans="1:12">
      <c r="A2500" s="20" t="s">
        <v>1089</v>
      </c>
      <c r="E2500" s="21">
        <f>IF(D2500="?OLD","!!!","")</f>
        <v/>
      </c>
      <c r="F2500" s="22" t="str">
        <f>IF(OR(E2500="",E2500="!!!"),"",IF(NOT(ISNA(VLOOKUP(E2500,E$1:E2499,1,FALSE()))),"OLD",IF(AND(E2500&lt;&gt;"",E2500&lt;&gt;"!!!"),"NEW","")))</f>
        <v> </v>
      </c>
      <c r="G2500" s="23" t="str">
        <f>IF(OR(E2500="",E2500="!!!"),"",IF(OR(J2500=0,AND(J2500=1,K2500=1),AND(J2500=1,I2500="SBJ"),AND(J2500=1,I2500=0)),"?IN_FOCUS",IF(J2500&lt;=2,"?ACTIVATED",IF(J2500&lt;&gt;"","?FAMILIAR",IF(F2500="NEW",IF(ISNA(VLOOKUP(E2500,#REF!,1,FALSE())),"?TYPE_IDENTIFIABLE","?REFERENTIAL"),"_")))))</f>
        <v> </v>
      </c>
      <c r="H2500" s="24" t="str">
        <f>IF(J2500&lt;&gt;1,"",IF(I2500="SBJ","CB","?"))</f>
        <v> </v>
      </c>
      <c r="I2500" s="25" t="str">
        <f>IF(OR(E2500="",E2500="!!!",F2500="NEW"),"",INDEX(B2499:B$2,-1+SUMPRODUCT(MAX(ROW(E2499:E$2)*(E2500=E2499:E$2)))))</f>
        <v> </v>
      </c>
      <c r="J2500" s="25" t="str">
        <f>IF(OR(E2500="",E2500="!!!",F2500="NEW"),"",COUNTBLANK(OFFSET(A$1,,,SUMPRODUCT(MAX(ROW(E$2:E2500)*(E2500=E$2:E2500)))))-COUNTBLANK(OFFSET(A$1,,,SUMPRODUCT(MAX(ROW(E$1:E2499)*(E2=E$1:E2499))))))</f>
        <v> </v>
      </c>
      <c r="K2500" s="25" t="str">
        <f>IF(OR(E2500="",E2500="!!!",F2500="NEW"),"",INDEX(J$1:J2499,SUMPRODUCT(MAX(ROW(E$1:E2499)*(E2500=E$1:E2499)))))</f>
        <v> </v>
      </c>
      <c r="L2500" s="26"/>
    </row>
    <row r="2501" spans="1:12">
      <c r="A2501" s="20" t="s">
        <v>1502</v>
      </c>
      <c r="B2501" s="27" t="s">
        <v>725</v>
      </c>
      <c r="C2501" s="27" t="s">
        <v>678</v>
      </c>
      <c r="E2501" s="21">
        <f>IF(D2501="?OLD","!!!","")</f>
        <v/>
      </c>
      <c r="F2501" s="22" t="str">
        <f>IF(OR(E2501="",E2501="!!!"),"",IF(NOT(ISNA(VLOOKUP(E2501,E$1:E2500,1,FALSE()))),"OLD",IF(AND(E2501&lt;&gt;"",E2501&lt;&gt;"!!!"),"NEW","")))</f>
        <v> </v>
      </c>
      <c r="G2501" s="23" t="str">
        <f>IF(OR(E2501="",E2501="!!!"),"",IF(OR(J2501=0,AND(J2501=1,K2501=1),AND(J2501=1,I2501="SBJ"),AND(J2501=1,I2501=0)),"?IN_FOCUS",IF(J2501&lt;=2,"?ACTIVATED",IF(J2501&lt;&gt;"","?FAMILIAR",IF(F2501="NEW",IF(ISNA(VLOOKUP(E2501,#REF!,1,FALSE())),"?TYPE_IDENTIFIABLE","?REFERENTIAL"),"_")))))</f>
        <v> </v>
      </c>
      <c r="H2501" s="24" t="str">
        <f>IF(J2501&lt;&gt;1,"",IF(I2501="SBJ","CB","?"))</f>
        <v> </v>
      </c>
      <c r="I2501" s="25" t="str">
        <f>IF(OR(E2501="",E2501="!!!",F2501="NEW"),"",INDEX(B2500:B$2,-1+SUMPRODUCT(MAX(ROW(E2500:E$2)*(E2501=E2500:E$2)))))</f>
        <v> </v>
      </c>
      <c r="J2501" s="25" t="str">
        <f>IF(OR(E2501="",E2501="!!!",F2501="NEW"),"",COUNTBLANK(OFFSET(A$1,,,SUMPRODUCT(MAX(ROW(E$2:E2501)*(E2501=E$2:E2501)))))-COUNTBLANK(OFFSET(A$1,,,SUMPRODUCT(MAX(ROW(E$1:E2500)*(E2=E$1:E2500))))))</f>
        <v> </v>
      </c>
      <c r="K2501" s="25" t="str">
        <f>IF(OR(E2501="",E2501="!!!",F2501="NEW"),"",INDEX(J$1:J2500,SUMPRODUCT(MAX(ROW(E$1:E2500)*(E2501=E$1:E2500)))))</f>
        <v> </v>
      </c>
      <c r="L2501" s="26"/>
    </row>
    <row r="2502" spans="1:12">
      <c r="A2502" s="20" t="s">
        <v>12</v>
      </c>
      <c r="E2502" s="21">
        <f>IF(D2502="?OLD","!!!","")</f>
        <v/>
      </c>
      <c r="F2502" s="22" t="str">
        <f>IF(OR(E2502="",E2502="!!!"),"",IF(NOT(ISNA(VLOOKUP(E2502,E$1:E2501,1,FALSE()))),"OLD",IF(AND(E2502&lt;&gt;"",E2502&lt;&gt;"!!!"),"NEW","")))</f>
        <v> </v>
      </c>
      <c r="G2502" s="23" t="str">
        <f>IF(OR(E2502="",E2502="!!!"),"",IF(OR(J2502=0,AND(J2502=1,K2502=1),AND(J2502=1,I2502="SBJ"),AND(J2502=1,I2502=0)),"?IN_FOCUS",IF(J2502&lt;=2,"?ACTIVATED",IF(J2502&lt;&gt;"","?FAMILIAR",IF(F2502="NEW",IF(ISNA(VLOOKUP(E2502,#REF!,1,FALSE())),"?TYPE_IDENTIFIABLE","?REFERENTIAL"),"_")))))</f>
        <v> </v>
      </c>
      <c r="H2502" s="24" t="str">
        <f>IF(J2502&lt;&gt;1,"",IF(I2502="SBJ","CB","?"))</f>
        <v> </v>
      </c>
      <c r="I2502" s="25" t="str">
        <f>IF(OR(E2502="",E2502="!!!",F2502="NEW"),"",INDEX(B2501:B$2,-1+SUMPRODUCT(MAX(ROW(E2501:E$2)*(E2502=E2501:E$2)))))</f>
        <v> </v>
      </c>
      <c r="J2502" s="25" t="str">
        <f>IF(OR(E2502="",E2502="!!!",F2502="NEW"),"",COUNTBLANK(OFFSET(A$1,,,SUMPRODUCT(MAX(ROW(E$2:E2502)*(E2502=E$2:E2502)))))-COUNTBLANK(OFFSET(A$1,,,SUMPRODUCT(MAX(ROW(E$1:E2501)*(E2=E$1:E2501))))))</f>
        <v> </v>
      </c>
      <c r="K2502" s="25" t="str">
        <f>IF(OR(E2502="",E2502="!!!",F2502="NEW"),"",INDEX(J$1:J2501,SUMPRODUCT(MAX(ROW(E$1:E2501)*(E2502=E$1:E2501)))))</f>
        <v> </v>
      </c>
      <c r="L2502" s="26"/>
    </row>
    <row r="2503" spans="1:12">
      <c r="A2503" s="20" t="s">
        <v>644</v>
      </c>
      <c r="E2503" s="21">
        <f>IF(D2503="?OLD","!!!","")</f>
        <v/>
      </c>
      <c r="F2503" s="22" t="str">
        <f>IF(OR(E2503="",E2503="!!!"),"",IF(NOT(ISNA(VLOOKUP(E2503,E$1:E2502,1,FALSE()))),"OLD",IF(AND(E2503&lt;&gt;"",E2503&lt;&gt;"!!!"),"NEW","")))</f>
        <v> </v>
      </c>
      <c r="G2503" s="23" t="str">
        <f>IF(OR(E2503="",E2503="!!!"),"",IF(OR(J2503=0,AND(J2503=1,K2503=1),AND(J2503=1,I2503="SBJ"),AND(J2503=1,I2503=0)),"?IN_FOCUS",IF(J2503&lt;=2,"?ACTIVATED",IF(J2503&lt;&gt;"","?FAMILIAR",IF(F2503="NEW",IF(ISNA(VLOOKUP(E2503,#REF!,1,FALSE())),"?TYPE_IDENTIFIABLE","?REFERENTIAL"),"_")))))</f>
        <v> </v>
      </c>
      <c r="H2503" s="24" t="str">
        <f>IF(J2503&lt;&gt;1,"",IF(I2503="SBJ","CB","?"))</f>
        <v> </v>
      </c>
      <c r="I2503" s="25" t="str">
        <f>IF(OR(E2503="",E2503="!!!",F2503="NEW"),"",INDEX(B2502:B$2,-1+SUMPRODUCT(MAX(ROW(E2502:E$2)*(E2503=E2502:E$2)))))</f>
        <v> </v>
      </c>
      <c r="J2503" s="25" t="str">
        <f>IF(OR(E2503="",E2503="!!!",F2503="NEW"),"",COUNTBLANK(OFFSET(A$1,,,SUMPRODUCT(MAX(ROW(E$2:E2503)*(E2503=E$2:E2503)))))-COUNTBLANK(OFFSET(A$1,,,SUMPRODUCT(MAX(ROW(E$1:E2502)*(E2=E$1:E2502))))))</f>
        <v> </v>
      </c>
      <c r="K2503" s="25" t="str">
        <f>IF(OR(E2503="",E2503="!!!",F2503="NEW"),"",INDEX(J$1:J2502,SUMPRODUCT(MAX(ROW(E$1:E2502)*(E2503=E$1:E2502)))))</f>
        <v> </v>
      </c>
      <c r="L2503" s="26"/>
    </row>
    <row r="2504" spans="1:12">
      <c r="A2504" s="20" t="s">
        <v>1503</v>
      </c>
      <c r="B2504" s="27" t="s">
        <v>664</v>
      </c>
      <c r="C2504" s="27" t="s">
        <v>622</v>
      </c>
      <c r="E2504" s="21">
        <f>IF(D2504="?OLD","!!!","")</f>
        <v/>
      </c>
      <c r="F2504" s="22" t="str">
        <f>IF(OR(E2504="",E2504="!!!"),"",IF(NOT(ISNA(VLOOKUP(E2504,E$1:E2503,1,FALSE()))),"OLD",IF(AND(E2504&lt;&gt;"",E2504&lt;&gt;"!!!"),"NEW","")))</f>
        <v> </v>
      </c>
      <c r="G2504" s="23" t="str">
        <f>IF(OR(E2504="",E2504="!!!"),"",IF(OR(J2504=0,AND(J2504=1,K2504=1),AND(J2504=1,I2504="SBJ"),AND(J2504=1,I2504=0)),"?IN_FOCUS",IF(J2504&lt;=2,"?ACTIVATED",IF(J2504&lt;&gt;"","?FAMILIAR",IF(F2504="NEW",IF(ISNA(VLOOKUP(E2504,#REF!,1,FALSE())),"?TYPE_IDENTIFIABLE","?REFERENTIAL"),"_")))))</f>
        <v> </v>
      </c>
      <c r="H2504" s="24" t="str">
        <f>IF(J2504&lt;&gt;1,"",IF(I2504="SBJ","CB","?"))</f>
        <v> </v>
      </c>
      <c r="I2504" s="25" t="str">
        <f>IF(OR(E2504="",E2504="!!!",F2504="NEW"),"",INDEX(B2503:B$2,-1+SUMPRODUCT(MAX(ROW(E2503:E$2)*(E2504=E2503:E$2)))))</f>
        <v> </v>
      </c>
      <c r="J2504" s="25" t="str">
        <f>IF(OR(E2504="",E2504="!!!",F2504="NEW"),"",COUNTBLANK(OFFSET(A$1,,,SUMPRODUCT(MAX(ROW(E$2:E2504)*(E2504=E$2:E2504)))))-COUNTBLANK(OFFSET(A$1,,,SUMPRODUCT(MAX(ROW(E$1:E2503)*(E2=E$1:E2503))))))</f>
        <v> </v>
      </c>
      <c r="K2504" s="25" t="str">
        <f>IF(OR(E2504="",E2504="!!!",F2504="NEW"),"",INDEX(J$1:J2503,SUMPRODUCT(MAX(ROW(E$1:E2503)*(E2504=E$1:E2503)))))</f>
        <v> </v>
      </c>
      <c r="L2504" s="26"/>
    </row>
    <row r="2505" spans="1:12">
      <c r="A2505" s="20" t="s">
        <v>633</v>
      </c>
      <c r="E2505" s="21">
        <f>IF(D2505="?OLD","!!!","")</f>
        <v/>
      </c>
      <c r="F2505" s="22" t="str">
        <f>IF(OR(E2505="",E2505="!!!"),"",IF(NOT(ISNA(VLOOKUP(E2505,E$1:E2504,1,FALSE()))),"OLD",IF(AND(E2505&lt;&gt;"",E2505&lt;&gt;"!!!"),"NEW","")))</f>
        <v> </v>
      </c>
      <c r="G2505" s="23" t="str">
        <f>IF(OR(E2505="",E2505="!!!"),"",IF(OR(J2505=0,AND(J2505=1,K2505=1),AND(J2505=1,I2505="SBJ"),AND(J2505=1,I2505=0)),"?IN_FOCUS",IF(J2505&lt;=2,"?ACTIVATED",IF(J2505&lt;&gt;"","?FAMILIAR",IF(F2505="NEW",IF(ISNA(VLOOKUP(E2505,#REF!,1,FALSE())),"?TYPE_IDENTIFIABLE","?REFERENTIAL"),"_")))))</f>
        <v> </v>
      </c>
      <c r="H2505" s="24" t="str">
        <f>IF(J2505&lt;&gt;1,"",IF(I2505="SBJ","CB","?"))</f>
        <v> </v>
      </c>
      <c r="I2505" s="25" t="str">
        <f>IF(OR(E2505="",E2505="!!!",F2505="NEW"),"",INDEX(B2504:B$2,-1+SUMPRODUCT(MAX(ROW(E2504:E$2)*(E2505=E2504:E$2)))))</f>
        <v> </v>
      </c>
      <c r="J2505" s="25" t="str">
        <f>IF(OR(E2505="",E2505="!!!",F2505="NEW"),"",COUNTBLANK(OFFSET(A$1,,,SUMPRODUCT(MAX(ROW(E$2:E2505)*(E2505=E$2:E2505)))))-COUNTBLANK(OFFSET(A$1,,,SUMPRODUCT(MAX(ROW(E$1:E2504)*(E2=E$1:E2504))))))</f>
        <v> </v>
      </c>
      <c r="K2505" s="25" t="str">
        <f>IF(OR(E2505="",E2505="!!!",F2505="NEW"),"",INDEX(J$1:J2504,SUMPRODUCT(MAX(ROW(E$1:E2504)*(E2505=E$1:E2504)))))</f>
        <v> </v>
      </c>
      <c r="L2505" s="26"/>
    </row>
    <row r="2506" spans="1:12">
      <c r="A2506" s="20"/>
    </row>
    <row r="2507" spans="1:12">
      <c r="A2507" s="20" t="s">
        <v>1504</v>
      </c>
    </row>
    <row r="2508" spans="1:12">
      <c r="A2508" s="20" t="s">
        <v>675</v>
      </c>
      <c r="B2508" s="27" t="s">
        <v>619</v>
      </c>
      <c r="C2508" s="27" t="s">
        <v>652</v>
      </c>
      <c r="D2508" s="27" t="s">
        <v>608</v>
      </c>
      <c r="E2508" s="21">
        <f>IF(D2508="?OLD","!!!","")</f>
        <v/>
      </c>
      <c r="F2508" s="22" t="str">
        <f>IF(OR(E2508="",E2508="!!!"),"",IF(NOT(ISNA(VLOOKUP(E2508,E$1:E2507,1,FALSE()))),"OLD",IF(AND(E2508&lt;&gt;"",E2508&lt;&gt;"!!!"),"NEW","")))</f>
        <v> </v>
      </c>
      <c r="G2508" s="23" t="str">
        <f>IF(OR(E2508="",E2508="!!!"),"",IF(OR(J2508=0,AND(J2508=1,K2508=1),AND(J2508=1,I2508="SBJ"),AND(J2508=1,I2508=0)),"?IN_FOCUS",IF(J2508&lt;=2,"?ACTIVATED",IF(J2508&lt;&gt;"","?FAMILIAR",IF(F2508="NEW",IF(ISNA(VLOOKUP(E2508,#REF!,1,FALSE())),"?TYPE_IDENTIFIABLE","?REFERENTIAL"),"_")))))</f>
        <v> </v>
      </c>
      <c r="H2508" s="24" t="str">
        <f>IF(J2508&lt;&gt;1,"",IF(I2508="SBJ","CB","?"))</f>
        <v> </v>
      </c>
      <c r="I2508" s="25" t="str">
        <f>IF(OR(E2508="",E2508="!!!",F2508="NEW"),"",INDEX(B2507:B$2,-1+SUMPRODUCT(MAX(ROW(E2507:E$2)*(E2508=E2507:E$2)))))</f>
        <v> </v>
      </c>
      <c r="J2508" s="25" t="str">
        <f>IF(OR(E2508="",E2508="!!!",F2508="NEW"),"",COUNTBLANK(OFFSET(A$1,,,SUMPRODUCT(MAX(ROW(E$2:E2508)*(E2508=E$2:E2508)))))-COUNTBLANK(OFFSET(A$1,,,SUMPRODUCT(MAX(ROW(E$1:E2507)*(E2=E$1:E2507))))))</f>
        <v> </v>
      </c>
      <c r="K2508" s="25" t="str">
        <f>IF(OR(E2508="",E2508="!!!",F2508="NEW"),"",INDEX(J$1:J2507,SUMPRODUCT(MAX(ROW(E$1:E2507)*(E2508=E$1:E2507)))))</f>
        <v> </v>
      </c>
      <c r="L2508" s="26"/>
    </row>
    <row r="2509" spans="1:12">
      <c r="A2509" s="20" t="s">
        <v>18</v>
      </c>
      <c r="E2509" s="21">
        <f>IF(D2509="?OLD","!!!","")</f>
        <v/>
      </c>
      <c r="F2509" s="22" t="str">
        <f>IF(OR(E2509="",E2509="!!!"),"",IF(NOT(ISNA(VLOOKUP(E2509,E$1:E2508,1,FALSE()))),"OLD",IF(AND(E2509&lt;&gt;"",E2509&lt;&gt;"!!!"),"NEW","")))</f>
        <v> </v>
      </c>
      <c r="G2509" s="23" t="str">
        <f>IF(OR(E2509="",E2509="!!!"),"",IF(OR(J2509=0,AND(J2509=1,K2509=1),AND(J2509=1,I2509="SBJ"),AND(J2509=1,I2509=0)),"?IN_FOCUS",IF(J2509&lt;=2,"?ACTIVATED",IF(J2509&lt;&gt;"","?FAMILIAR",IF(F2509="NEW",IF(ISNA(VLOOKUP(E2509,#REF!,1,FALSE())),"?TYPE_IDENTIFIABLE","?REFERENTIAL"),"_")))))</f>
        <v> </v>
      </c>
      <c r="H2509" s="24" t="str">
        <f>IF(J2509&lt;&gt;1,"",IF(I2509="SBJ","CB","?"))</f>
        <v> </v>
      </c>
      <c r="I2509" s="25" t="str">
        <f>IF(OR(E2509="",E2509="!!!",F2509="NEW"),"",INDEX(B2508:B$2,-1+SUMPRODUCT(MAX(ROW(E2508:E$2)*(E2509=E2508:E$2)))))</f>
        <v> </v>
      </c>
      <c r="J2509" s="25" t="str">
        <f>IF(OR(E2509="",E2509="!!!",F2509="NEW"),"",COUNTBLANK(OFFSET(A$1,,,SUMPRODUCT(MAX(ROW(E$2:E2509)*(E2509=E$2:E2509)))))-COUNTBLANK(OFFSET(A$1,,,SUMPRODUCT(MAX(ROW(E$1:E2508)*(E2=E$1:E2508))))))</f>
        <v> </v>
      </c>
      <c r="K2509" s="25" t="str">
        <f>IF(OR(E2509="",E2509="!!!",F2509="NEW"),"",INDEX(J$1:J2508,SUMPRODUCT(MAX(ROW(E$1:E2508)*(E2509=E$1:E2508)))))</f>
        <v> </v>
      </c>
      <c r="L2509" s="26"/>
    </row>
    <row r="2510" spans="1:12">
      <c r="A2510" s="20" t="s">
        <v>850</v>
      </c>
      <c r="B2510" s="27" t="s">
        <v>611</v>
      </c>
      <c r="C2510" s="27" t="s">
        <v>614</v>
      </c>
      <c r="D2510" s="27" t="s">
        <v>608</v>
      </c>
      <c r="E2510" s="21">
        <f>IF(D2510="?OLD","!!!","")</f>
        <v/>
      </c>
      <c r="F2510" s="22" t="str">
        <f>IF(OR(E2510="",E2510="!!!"),"",IF(NOT(ISNA(VLOOKUP(E2510,E$1:E2509,1,FALSE()))),"OLD",IF(AND(E2510&lt;&gt;"",E2510&lt;&gt;"!!!"),"NEW","")))</f>
        <v> </v>
      </c>
      <c r="G2510" s="23" t="str">
        <f>IF(OR(E2510="",E2510="!!!"),"",IF(OR(J2510=0,AND(J2510=1,K2510=1),AND(J2510=1,I2510="SBJ"),AND(J2510=1,I2510=0)),"?IN_FOCUS",IF(J2510&lt;=2,"?ACTIVATED",IF(J2510&lt;&gt;"","?FAMILIAR",IF(F2510="NEW",IF(ISNA(VLOOKUP(E2510,#REF!,1,FALSE())),"?TYPE_IDENTIFIABLE","?REFERENTIAL"),"_")))))</f>
        <v> </v>
      </c>
      <c r="H2510" s="24" t="str">
        <f>IF(J2510&lt;&gt;1,"",IF(I2510="SBJ","CB","?"))</f>
        <v> </v>
      </c>
      <c r="I2510" s="25" t="str">
        <f>IF(OR(E2510="",E2510="!!!",F2510="NEW"),"",INDEX(B2509:B$2,-1+SUMPRODUCT(MAX(ROW(E2509:E$2)*(E2510=E2509:E$2)))))</f>
        <v> </v>
      </c>
      <c r="J2510" s="25" t="str">
        <f>IF(OR(E2510="",E2510="!!!",F2510="NEW"),"",COUNTBLANK(OFFSET(A$1,,,SUMPRODUCT(MAX(ROW(E$2:E2510)*(E2510=E$2:E2510)))))-COUNTBLANK(OFFSET(A$1,,,SUMPRODUCT(MAX(ROW(E$1:E2509)*(E2=E$1:E2509))))))</f>
        <v> </v>
      </c>
      <c r="K2510" s="25" t="str">
        <f>IF(OR(E2510="",E2510="!!!",F2510="NEW"),"",INDEX(J$1:J2509,SUMPRODUCT(MAX(ROW(E$1:E2509)*(E2510=E$1:E2509)))))</f>
        <v> </v>
      </c>
      <c r="L2510" s="26"/>
    </row>
    <row r="2511" spans="1:12">
      <c r="A2511" s="20" t="s">
        <v>1163</v>
      </c>
      <c r="E2511" s="21">
        <f>IF(D2511="?OLD","!!!","")</f>
        <v/>
      </c>
      <c r="F2511" s="22" t="str">
        <f>IF(OR(E2511="",E2511="!!!"),"",IF(NOT(ISNA(VLOOKUP(E2511,E$1:E2510,1,FALSE()))),"OLD",IF(AND(E2511&lt;&gt;"",E2511&lt;&gt;"!!!"),"NEW","")))</f>
        <v> </v>
      </c>
      <c r="G2511" s="23" t="str">
        <f>IF(OR(E2511="",E2511="!!!"),"",IF(OR(J2511=0,AND(J2511=1,K2511=1),AND(J2511=1,I2511="SBJ"),AND(J2511=1,I2511=0)),"?IN_FOCUS",IF(J2511&lt;=2,"?ACTIVATED",IF(J2511&lt;&gt;"","?FAMILIAR",IF(F2511="NEW",IF(ISNA(VLOOKUP(E2511,#REF!,1,FALSE())),"?TYPE_IDENTIFIABLE","?REFERENTIAL"),"_")))))</f>
        <v> </v>
      </c>
      <c r="H2511" s="24" t="str">
        <f>IF(J2511&lt;&gt;1,"",IF(I2511="SBJ","CB","?"))</f>
        <v> </v>
      </c>
      <c r="I2511" s="25" t="str">
        <f>IF(OR(E2511="",E2511="!!!",F2511="NEW"),"",INDEX(B2510:B$2,-1+SUMPRODUCT(MAX(ROW(E2510:E$2)*(E2511=E2510:E$2)))))</f>
        <v> </v>
      </c>
      <c r="J2511" s="25" t="str">
        <f>IF(OR(E2511="",E2511="!!!",F2511="NEW"),"",COUNTBLANK(OFFSET(A$1,,,SUMPRODUCT(MAX(ROW(E$2:E2511)*(E2511=E$2:E2511)))))-COUNTBLANK(OFFSET(A$1,,,SUMPRODUCT(MAX(ROW(E$1:E2510)*(E2=E$1:E2510))))))</f>
        <v> </v>
      </c>
      <c r="K2511" s="25" t="str">
        <f>IF(OR(E2511="",E2511="!!!",F2511="NEW"),"",INDEX(J$1:J2510,SUMPRODUCT(MAX(ROW(E$1:E2510)*(E2511=E$1:E2510)))))</f>
        <v> </v>
      </c>
      <c r="L2511" s="26"/>
    </row>
    <row r="2512" spans="1:12">
      <c r="A2512" s="20" t="s">
        <v>617</v>
      </c>
      <c r="E2512" s="21">
        <f>IF(D2512="?OLD","!!!","")</f>
        <v/>
      </c>
      <c r="F2512" s="22" t="str">
        <f>IF(OR(E2512="",E2512="!!!"),"",IF(NOT(ISNA(VLOOKUP(E2512,E$1:E2511,1,FALSE()))),"OLD",IF(AND(E2512&lt;&gt;"",E2512&lt;&gt;"!!!"),"NEW","")))</f>
        <v> </v>
      </c>
      <c r="G2512" s="23" t="str">
        <f>IF(OR(E2512="",E2512="!!!"),"",IF(OR(J2512=0,AND(J2512=1,K2512=1),AND(J2512=1,I2512="SBJ"),AND(J2512=1,I2512=0)),"?IN_FOCUS",IF(J2512&lt;=2,"?ACTIVATED",IF(J2512&lt;&gt;"","?FAMILIAR",IF(F2512="NEW",IF(ISNA(VLOOKUP(E2512,#REF!,1,FALSE())),"?TYPE_IDENTIFIABLE","?REFERENTIAL"),"_")))))</f>
        <v> </v>
      </c>
      <c r="H2512" s="24" t="str">
        <f>IF(J2512&lt;&gt;1,"",IF(I2512="SBJ","CB","?"))</f>
        <v> </v>
      </c>
      <c r="I2512" s="25" t="str">
        <f>IF(OR(E2512="",E2512="!!!",F2512="NEW"),"",INDEX(B2511:B$2,-1+SUMPRODUCT(MAX(ROW(E2511:E$2)*(E2512=E2511:E$2)))))</f>
        <v> </v>
      </c>
      <c r="J2512" s="25" t="str">
        <f>IF(OR(E2512="",E2512="!!!",F2512="NEW"),"",COUNTBLANK(OFFSET(A$1,,,SUMPRODUCT(MAX(ROW(E$2:E2512)*(E2512=E$2:E2512)))))-COUNTBLANK(OFFSET(A$1,,,SUMPRODUCT(MAX(ROW(E$1:E2511)*(E2=E$1:E2511))))))</f>
        <v> </v>
      </c>
      <c r="K2512" s="25" t="str">
        <f>IF(OR(E2512="",E2512="!!!",F2512="NEW"),"",INDEX(J$1:J2511,SUMPRODUCT(MAX(ROW(E$1:E2511)*(E2512=E$1:E2511)))))</f>
        <v> </v>
      </c>
      <c r="L2512" s="26"/>
    </row>
    <row r="2513" spans="1:12">
      <c r="A2513" s="20" t="s">
        <v>1366</v>
      </c>
      <c r="E2513" s="21">
        <f>IF(D2513="?OLD","!!!","")</f>
        <v/>
      </c>
      <c r="F2513" s="22" t="str">
        <f>IF(OR(E2513="",E2513="!!!"),"",IF(NOT(ISNA(VLOOKUP(E2513,E$1:E2512,1,FALSE()))),"OLD",IF(AND(E2513&lt;&gt;"",E2513&lt;&gt;"!!!"),"NEW","")))</f>
        <v> </v>
      </c>
      <c r="G2513" s="23" t="str">
        <f>IF(OR(E2513="",E2513="!!!"),"",IF(OR(J2513=0,AND(J2513=1,K2513=1),AND(J2513=1,I2513="SBJ"),AND(J2513=1,I2513=0)),"?IN_FOCUS",IF(J2513&lt;=2,"?ACTIVATED",IF(J2513&lt;&gt;"","?FAMILIAR",IF(F2513="NEW",IF(ISNA(VLOOKUP(E2513,#REF!,1,FALSE())),"?TYPE_IDENTIFIABLE","?REFERENTIAL"),"_")))))</f>
        <v> </v>
      </c>
      <c r="H2513" s="24" t="str">
        <f>IF(J2513&lt;&gt;1,"",IF(I2513="SBJ","CB","?"))</f>
        <v> </v>
      </c>
      <c r="I2513" s="25" t="str">
        <f>IF(OR(E2513="",E2513="!!!",F2513="NEW"),"",INDEX(B2512:B$2,-1+SUMPRODUCT(MAX(ROW(E2512:E$2)*(E2513=E2512:E$2)))))</f>
        <v> </v>
      </c>
      <c r="J2513" s="25" t="str">
        <f>IF(OR(E2513="",E2513="!!!",F2513="NEW"),"",COUNTBLANK(OFFSET(A$1,,,SUMPRODUCT(MAX(ROW(E$2:E2513)*(E2513=E$2:E2513)))))-COUNTBLANK(OFFSET(A$1,,,SUMPRODUCT(MAX(ROW(E$1:E2512)*(E2=E$1:E2512))))))</f>
        <v> </v>
      </c>
      <c r="K2513" s="25" t="str">
        <f>IF(OR(E2513="",E2513="!!!",F2513="NEW"),"",INDEX(J$1:J2512,SUMPRODUCT(MAX(ROW(E$1:E2512)*(E2513=E$1:E2512)))))</f>
        <v> </v>
      </c>
      <c r="L2513" s="26"/>
    </row>
    <row r="2514" spans="1:12">
      <c r="A2514" s="20" t="s">
        <v>1367</v>
      </c>
      <c r="E2514" s="21">
        <f>IF(D2514="?OLD","!!!","")</f>
        <v/>
      </c>
      <c r="F2514" s="22" t="str">
        <f>IF(OR(E2514="",E2514="!!!"),"",IF(NOT(ISNA(VLOOKUP(E2514,E$1:E2513,1,FALSE()))),"OLD",IF(AND(E2514&lt;&gt;"",E2514&lt;&gt;"!!!"),"NEW","")))</f>
        <v> </v>
      </c>
      <c r="G2514" s="23" t="str">
        <f>IF(OR(E2514="",E2514="!!!"),"",IF(OR(J2514=0,AND(J2514=1,K2514=1),AND(J2514=1,I2514="SBJ"),AND(J2514=1,I2514=0)),"?IN_FOCUS",IF(J2514&lt;=2,"?ACTIVATED",IF(J2514&lt;&gt;"","?FAMILIAR",IF(F2514="NEW",IF(ISNA(VLOOKUP(E2514,#REF!,1,FALSE())),"?TYPE_IDENTIFIABLE","?REFERENTIAL"),"_")))))</f>
        <v> </v>
      </c>
      <c r="H2514" s="24" t="str">
        <f>IF(J2514&lt;&gt;1,"",IF(I2514="SBJ","CB","?"))</f>
        <v> </v>
      </c>
      <c r="I2514" s="25" t="str">
        <f>IF(OR(E2514="",E2514="!!!",F2514="NEW"),"",INDEX(B2513:B$2,-1+SUMPRODUCT(MAX(ROW(E2513:E$2)*(E2514=E2513:E$2)))))</f>
        <v> </v>
      </c>
      <c r="J2514" s="25" t="str">
        <f>IF(OR(E2514="",E2514="!!!",F2514="NEW"),"",COUNTBLANK(OFFSET(A$1,,,SUMPRODUCT(MAX(ROW(E$2:E2514)*(E2514=E$2:E2514)))))-COUNTBLANK(OFFSET(A$1,,,SUMPRODUCT(MAX(ROW(E$1:E2513)*(E2=E$1:E2513))))))</f>
        <v> </v>
      </c>
      <c r="K2514" s="25" t="str">
        <f>IF(OR(E2514="",E2514="!!!",F2514="NEW"),"",INDEX(J$1:J2513,SUMPRODUCT(MAX(ROW(E$1:E2513)*(E2514=E$1:E2513)))))</f>
        <v> </v>
      </c>
      <c r="L2514" s="26"/>
    </row>
    <row r="2515" spans="1:12">
      <c r="A2515" s="20" t="s">
        <v>617</v>
      </c>
      <c r="E2515" s="21">
        <f>IF(D2515="?OLD","!!!","")</f>
        <v/>
      </c>
      <c r="F2515" s="22" t="str">
        <f>IF(OR(E2515="",E2515="!!!"),"",IF(NOT(ISNA(VLOOKUP(E2515,E$1:E2514,1,FALSE()))),"OLD",IF(AND(E2515&lt;&gt;"",E2515&lt;&gt;"!!!"),"NEW","")))</f>
        <v> </v>
      </c>
      <c r="G2515" s="23" t="str">
        <f>IF(OR(E2515="",E2515="!!!"),"",IF(OR(J2515=0,AND(J2515=1,K2515=1),AND(J2515=1,I2515="SBJ"),AND(J2515=1,I2515=0)),"?IN_FOCUS",IF(J2515&lt;=2,"?ACTIVATED",IF(J2515&lt;&gt;"","?FAMILIAR",IF(F2515="NEW",IF(ISNA(VLOOKUP(E2515,#REF!,1,FALSE())),"?TYPE_IDENTIFIABLE","?REFERENTIAL"),"_")))))</f>
        <v> </v>
      </c>
      <c r="H2515" s="24" t="str">
        <f>IF(J2515&lt;&gt;1,"",IF(I2515="SBJ","CB","?"))</f>
        <v> </v>
      </c>
      <c r="I2515" s="25" t="str">
        <f>IF(OR(E2515="",E2515="!!!",F2515="NEW"),"",INDEX(B2514:B$2,-1+SUMPRODUCT(MAX(ROW(E2514:E$2)*(E2515=E2514:E$2)))))</f>
        <v> </v>
      </c>
      <c r="J2515" s="25" t="str">
        <f>IF(OR(E2515="",E2515="!!!",F2515="NEW"),"",COUNTBLANK(OFFSET(A$1,,,SUMPRODUCT(MAX(ROW(E$2:E2515)*(E2515=E$2:E2515)))))-COUNTBLANK(OFFSET(A$1,,,SUMPRODUCT(MAX(ROW(E$1:E2514)*(E2=E$1:E2514))))))</f>
        <v> </v>
      </c>
      <c r="K2515" s="25" t="str">
        <f>IF(OR(E2515="",E2515="!!!",F2515="NEW"),"",INDEX(J$1:J2514,SUMPRODUCT(MAX(ROW(E$1:E2514)*(E2515=E$1:E2514)))))</f>
        <v> </v>
      </c>
      <c r="L2515" s="26"/>
    </row>
    <row r="2516" spans="1:12">
      <c r="A2516" s="20" t="s">
        <v>1365</v>
      </c>
      <c r="E2516" s="21">
        <f>IF(D2516="?OLD","!!!","")</f>
        <v/>
      </c>
      <c r="F2516" s="22" t="str">
        <f>IF(OR(E2516="",E2516="!!!"),"",IF(NOT(ISNA(VLOOKUP(E2516,E$1:E2515,1,FALSE()))),"OLD",IF(AND(E2516&lt;&gt;"",E2516&lt;&gt;"!!!"),"NEW","")))</f>
        <v> </v>
      </c>
      <c r="G2516" s="23" t="str">
        <f>IF(OR(E2516="",E2516="!!!"),"",IF(OR(J2516=0,AND(J2516=1,K2516=1),AND(J2516=1,I2516="SBJ"),AND(J2516=1,I2516=0)),"?IN_FOCUS",IF(J2516&lt;=2,"?ACTIVATED",IF(J2516&lt;&gt;"","?FAMILIAR",IF(F2516="NEW",IF(ISNA(VLOOKUP(E2516,#REF!,1,FALSE())),"?TYPE_IDENTIFIABLE","?REFERENTIAL"),"_")))))</f>
        <v> </v>
      </c>
      <c r="H2516" s="24" t="str">
        <f>IF(J2516&lt;&gt;1,"",IF(I2516="SBJ","CB","?"))</f>
        <v> </v>
      </c>
      <c r="I2516" s="25" t="str">
        <f>IF(OR(E2516="",E2516="!!!",F2516="NEW"),"",INDEX(B2515:B$2,-1+SUMPRODUCT(MAX(ROW(E2515:E$2)*(E2516=E2515:E$2)))))</f>
        <v> </v>
      </c>
      <c r="J2516" s="25" t="str">
        <f>IF(OR(E2516="",E2516="!!!",F2516="NEW"),"",COUNTBLANK(OFFSET(A$1,,,SUMPRODUCT(MAX(ROW(E$2:E2516)*(E2516=E$2:E2516)))))-COUNTBLANK(OFFSET(A$1,,,SUMPRODUCT(MAX(ROW(E$1:E2515)*(E2=E$1:E2515))))))</f>
        <v> </v>
      </c>
      <c r="K2516" s="25" t="str">
        <f>IF(OR(E2516="",E2516="!!!",F2516="NEW"),"",INDEX(J$1:J2515,SUMPRODUCT(MAX(ROW(E$1:E2515)*(E2516=E$1:E2515)))))</f>
        <v> </v>
      </c>
      <c r="L2516" s="26"/>
    </row>
    <row r="2517" spans="1:12">
      <c r="A2517" s="20" t="s">
        <v>538</v>
      </c>
      <c r="B2517" s="27" t="s">
        <v>653</v>
      </c>
      <c r="C2517" s="27" t="s">
        <v>616</v>
      </c>
      <c r="D2517" s="27" t="s">
        <v>608</v>
      </c>
      <c r="E2517" s="21">
        <f>IF(D2517="?OLD","!!!","")</f>
        <v/>
      </c>
      <c r="F2517" s="22" t="str">
        <f>IF(OR(E2517="",E2517="!!!"),"",IF(NOT(ISNA(VLOOKUP(E2517,E$1:E2516,1,FALSE()))),"OLD",IF(AND(E2517&lt;&gt;"",E2517&lt;&gt;"!!!"),"NEW","")))</f>
        <v> </v>
      </c>
      <c r="G2517" s="23" t="str">
        <f>IF(OR(E2517="",E2517="!!!"),"",IF(OR(J2517=0,AND(J2517=1,K2517=1),AND(J2517=1,I2517="SBJ"),AND(J2517=1,I2517=0)),"?IN_FOCUS",IF(J2517&lt;=2,"?ACTIVATED",IF(J2517&lt;&gt;"","?FAMILIAR",IF(F2517="NEW",IF(ISNA(VLOOKUP(E2517,#REF!,1,FALSE())),"?TYPE_IDENTIFIABLE","?REFERENTIAL"),"_")))))</f>
        <v> </v>
      </c>
      <c r="H2517" s="24" t="str">
        <f>IF(J2517&lt;&gt;1,"",IF(I2517="SBJ","CB","?"))</f>
        <v> </v>
      </c>
      <c r="I2517" s="25" t="str">
        <f>IF(OR(E2517="",E2517="!!!",F2517="NEW"),"",INDEX(B2516:B$2,-1+SUMPRODUCT(MAX(ROW(E2516:E$2)*(E2517=E2516:E$2)))))</f>
        <v> </v>
      </c>
      <c r="J2517" s="25" t="str">
        <f>IF(OR(E2517="",E2517="!!!",F2517="NEW"),"",COUNTBLANK(OFFSET(A$1,,,SUMPRODUCT(MAX(ROW(E$2:E2517)*(E2517=E$2:E2517)))))-COUNTBLANK(OFFSET(A$1,,,SUMPRODUCT(MAX(ROW(E$1:E2516)*(E2=E$1:E2516))))))</f>
        <v> </v>
      </c>
      <c r="K2517" s="25" t="str">
        <f>IF(OR(E2517="",E2517="!!!",F2517="NEW"),"",INDEX(J$1:J2516,SUMPRODUCT(MAX(ROW(E$1:E2516)*(E2517=E$1:E2516)))))</f>
        <v> </v>
      </c>
      <c r="L2517" s="26"/>
    </row>
    <row r="2518" spans="1:12">
      <c r="A2518" s="20" t="s">
        <v>1505</v>
      </c>
      <c r="E2518" s="21">
        <f>IF(D2518="?OLD","!!!","")</f>
        <v/>
      </c>
      <c r="F2518" s="22" t="str">
        <f>IF(OR(E2518="",E2518="!!!"),"",IF(NOT(ISNA(VLOOKUP(E2518,E$1:E2517,1,FALSE()))),"OLD",IF(AND(E2518&lt;&gt;"",E2518&lt;&gt;"!!!"),"NEW","")))</f>
        <v> </v>
      </c>
      <c r="G2518" s="23" t="str">
        <f>IF(OR(E2518="",E2518="!!!"),"",IF(OR(J2518=0,AND(J2518=1,K2518=1),AND(J2518=1,I2518="SBJ"),AND(J2518=1,I2518=0)),"?IN_FOCUS",IF(J2518&lt;=2,"?ACTIVATED",IF(J2518&lt;&gt;"","?FAMILIAR",IF(F2518="NEW",IF(ISNA(VLOOKUP(E2518,#REF!,1,FALSE())),"?TYPE_IDENTIFIABLE","?REFERENTIAL"),"_")))))</f>
        <v> </v>
      </c>
      <c r="H2518" s="24" t="str">
        <f>IF(J2518&lt;&gt;1,"",IF(I2518="SBJ","CB","?"))</f>
        <v> </v>
      </c>
      <c r="I2518" s="25" t="str">
        <f>IF(OR(E2518="",E2518="!!!",F2518="NEW"),"",INDEX(B2517:B$2,-1+SUMPRODUCT(MAX(ROW(E2517:E$2)*(E2518=E2517:E$2)))))</f>
        <v> </v>
      </c>
      <c r="J2518" s="25" t="str">
        <f>IF(OR(E2518="",E2518="!!!",F2518="NEW"),"",COUNTBLANK(OFFSET(A$1,,,SUMPRODUCT(MAX(ROW(E$2:E2518)*(E2518=E$2:E2518)))))-COUNTBLANK(OFFSET(A$1,,,SUMPRODUCT(MAX(ROW(E$1:E2517)*(E2=E$1:E2517))))))</f>
        <v> </v>
      </c>
      <c r="K2518" s="25" t="str">
        <f>IF(OR(E2518="",E2518="!!!",F2518="NEW"),"",INDEX(J$1:J2517,SUMPRODUCT(MAX(ROW(E$1:E2517)*(E2518=E$1:E2517)))))</f>
        <v> </v>
      </c>
      <c r="L2518" s="26"/>
    </row>
    <row r="2519" spans="1:12">
      <c r="A2519" s="20" t="s">
        <v>617</v>
      </c>
      <c r="E2519" s="21">
        <f>IF(D2519="?OLD","!!!","")</f>
        <v/>
      </c>
      <c r="F2519" s="22" t="str">
        <f>IF(OR(E2519="",E2519="!!!"),"",IF(NOT(ISNA(VLOOKUP(E2519,E$1:E2518,1,FALSE()))),"OLD",IF(AND(E2519&lt;&gt;"",E2519&lt;&gt;"!!!"),"NEW","")))</f>
        <v> </v>
      </c>
      <c r="G2519" s="23" t="str">
        <f>IF(OR(E2519="",E2519="!!!"),"",IF(OR(J2519=0,AND(J2519=1,K2519=1),AND(J2519=1,I2519="SBJ"),AND(J2519=1,I2519=0)),"?IN_FOCUS",IF(J2519&lt;=2,"?ACTIVATED",IF(J2519&lt;&gt;"","?FAMILIAR",IF(F2519="NEW",IF(ISNA(VLOOKUP(E2519,#REF!,1,FALSE())),"?TYPE_IDENTIFIABLE","?REFERENTIAL"),"_")))))</f>
        <v> </v>
      </c>
      <c r="H2519" s="24" t="str">
        <f>IF(J2519&lt;&gt;1,"",IF(I2519="SBJ","CB","?"))</f>
        <v> </v>
      </c>
      <c r="I2519" s="25" t="str">
        <f>IF(OR(E2519="",E2519="!!!",F2519="NEW"),"",INDEX(B2518:B$2,-1+SUMPRODUCT(MAX(ROW(E2518:E$2)*(E2519=E2518:E$2)))))</f>
        <v> </v>
      </c>
      <c r="J2519" s="25" t="str">
        <f>IF(OR(E2519="",E2519="!!!",F2519="NEW"),"",COUNTBLANK(OFFSET(A$1,,,SUMPRODUCT(MAX(ROW(E$2:E2519)*(E2519=E$2:E2519)))))-COUNTBLANK(OFFSET(A$1,,,SUMPRODUCT(MAX(ROW(E$1:E2518)*(E2=E$1:E2518))))))</f>
        <v> </v>
      </c>
      <c r="K2519" s="25" t="str">
        <f>IF(OR(E2519="",E2519="!!!",F2519="NEW"),"",INDEX(J$1:J2518,SUMPRODUCT(MAX(ROW(E$1:E2518)*(E2519=E$1:E2518)))))</f>
        <v> </v>
      </c>
      <c r="L2519" s="26"/>
    </row>
    <row r="2520" spans="1:12">
      <c r="A2520" s="20" t="s">
        <v>1302</v>
      </c>
      <c r="B2520" s="27" t="s">
        <v>657</v>
      </c>
      <c r="C2520" s="27" t="s">
        <v>637</v>
      </c>
      <c r="D2520" s="27" t="s">
        <v>608</v>
      </c>
      <c r="E2520" s="21">
        <f>IF(D2520="?OLD","!!!","")</f>
        <v/>
      </c>
      <c r="F2520" s="22" t="str">
        <f>IF(OR(E2520="",E2520="!!!"),"",IF(NOT(ISNA(VLOOKUP(E2520,E$1:E2519,1,FALSE()))),"OLD",IF(AND(E2520&lt;&gt;"",E2520&lt;&gt;"!!!"),"NEW","")))</f>
        <v> </v>
      </c>
      <c r="G2520" s="23" t="str">
        <f>IF(OR(E2520="",E2520="!!!"),"",IF(OR(J2520=0,AND(J2520=1,K2520=1),AND(J2520=1,I2520="SBJ"),AND(J2520=1,I2520=0)),"?IN_FOCUS",IF(J2520&lt;=2,"?ACTIVATED",IF(J2520&lt;&gt;"","?FAMILIAR",IF(F2520="NEW",IF(ISNA(VLOOKUP(E2520,#REF!,1,FALSE())),"?TYPE_IDENTIFIABLE","?REFERENTIAL"),"_")))))</f>
        <v> </v>
      </c>
      <c r="H2520" s="24" t="str">
        <f>IF(J2520&lt;&gt;1,"",IF(I2520="SBJ","CB","?"))</f>
        <v> </v>
      </c>
      <c r="I2520" s="25" t="str">
        <f>IF(OR(E2520="",E2520="!!!",F2520="NEW"),"",INDEX(B2519:B$2,-1+SUMPRODUCT(MAX(ROW(E2519:E$2)*(E2520=E2519:E$2)))))</f>
        <v> </v>
      </c>
      <c r="J2520" s="25" t="str">
        <f>IF(OR(E2520="",E2520="!!!",F2520="NEW"),"",COUNTBLANK(OFFSET(A$1,,,SUMPRODUCT(MAX(ROW(E$2:E2520)*(E2520=E$2:E2520)))))-COUNTBLANK(OFFSET(A$1,,,SUMPRODUCT(MAX(ROW(E$1:E2519)*(E2=E$1:E2519))))))</f>
        <v> </v>
      </c>
      <c r="K2520" s="25" t="str">
        <f>IF(OR(E2520="",E2520="!!!",F2520="NEW"),"",INDEX(J$1:J2519,SUMPRODUCT(MAX(ROW(E$1:E2519)*(E2520=E$1:E2519)))))</f>
        <v> </v>
      </c>
      <c r="L2520" s="26"/>
    </row>
    <row r="2521" spans="1:12">
      <c r="A2521" s="20" t="s">
        <v>1506</v>
      </c>
      <c r="E2521" s="21">
        <f>IF(D2521="?OLD","!!!","")</f>
        <v/>
      </c>
      <c r="F2521" s="22" t="str">
        <f>IF(OR(E2521="",E2521="!!!"),"",IF(NOT(ISNA(VLOOKUP(E2521,E$1:E2520,1,FALSE()))),"OLD",IF(AND(E2521&lt;&gt;"",E2521&lt;&gt;"!!!"),"NEW","")))</f>
        <v> </v>
      </c>
      <c r="G2521" s="23" t="str">
        <f>IF(OR(E2521="",E2521="!!!"),"",IF(OR(J2521=0,AND(J2521=1,K2521=1),AND(J2521=1,I2521="SBJ"),AND(J2521=1,I2521=0)),"?IN_FOCUS",IF(J2521&lt;=2,"?ACTIVATED",IF(J2521&lt;&gt;"","?FAMILIAR",IF(F2521="NEW",IF(ISNA(VLOOKUP(E2521,#REF!,1,FALSE())),"?TYPE_IDENTIFIABLE","?REFERENTIAL"),"_")))))</f>
        <v> </v>
      </c>
      <c r="H2521" s="24" t="str">
        <f>IF(J2521&lt;&gt;1,"",IF(I2521="SBJ","CB","?"))</f>
        <v> </v>
      </c>
      <c r="I2521" s="25" t="str">
        <f>IF(OR(E2521="",E2521="!!!",F2521="NEW"),"",INDEX(B2520:B$2,-1+SUMPRODUCT(MAX(ROW(E2520:E$2)*(E2521=E2520:E$2)))))</f>
        <v> </v>
      </c>
      <c r="J2521" s="25" t="str">
        <f>IF(OR(E2521="",E2521="!!!",F2521="NEW"),"",COUNTBLANK(OFFSET(A$1,,,SUMPRODUCT(MAX(ROW(E$2:E2521)*(E2521=E$2:E2521)))))-COUNTBLANK(OFFSET(A$1,,,SUMPRODUCT(MAX(ROW(E$1:E2520)*(E2=E$1:E2520))))))</f>
        <v> </v>
      </c>
      <c r="K2521" s="25" t="str">
        <f>IF(OR(E2521="",E2521="!!!",F2521="NEW"),"",INDEX(J$1:J2520,SUMPRODUCT(MAX(ROW(E$1:E2520)*(E2521=E$1:E2520)))))</f>
        <v> </v>
      </c>
      <c r="L2521" s="26"/>
    </row>
    <row r="2522" spans="1:12">
      <c r="A2522" s="20" t="s">
        <v>856</v>
      </c>
      <c r="B2522" s="27" t="s">
        <v>657</v>
      </c>
      <c r="C2522" s="27" t="s">
        <v>637</v>
      </c>
      <c r="D2522" s="27" t="s">
        <v>608</v>
      </c>
      <c r="E2522" s="21">
        <f>IF(D2522="?OLD","!!!","")</f>
        <v/>
      </c>
      <c r="F2522" s="22" t="str">
        <f>IF(OR(E2522="",E2522="!!!"),"",IF(NOT(ISNA(VLOOKUP(E2522,E$1:E2521,1,FALSE()))),"OLD",IF(AND(E2522&lt;&gt;"",E2522&lt;&gt;"!!!"),"NEW","")))</f>
        <v> </v>
      </c>
      <c r="G2522" s="23" t="str">
        <f>IF(OR(E2522="",E2522="!!!"),"",IF(OR(J2522=0,AND(J2522=1,K2522=1),AND(J2522=1,I2522="SBJ"),AND(J2522=1,I2522=0)),"?IN_FOCUS",IF(J2522&lt;=2,"?ACTIVATED",IF(J2522&lt;&gt;"","?FAMILIAR",IF(F2522="NEW",IF(ISNA(VLOOKUP(E2522,#REF!,1,FALSE())),"?TYPE_IDENTIFIABLE","?REFERENTIAL"),"_")))))</f>
        <v> </v>
      </c>
      <c r="H2522" s="24" t="str">
        <f>IF(J2522&lt;&gt;1,"",IF(I2522="SBJ","CB","?"))</f>
        <v> </v>
      </c>
      <c r="I2522" s="25" t="str">
        <f>IF(OR(E2522="",E2522="!!!",F2522="NEW"),"",INDEX(B2521:B$2,-1+SUMPRODUCT(MAX(ROW(E2521:E$2)*(E2522=E2521:E$2)))))</f>
        <v> </v>
      </c>
      <c r="J2522" s="25" t="str">
        <f>IF(OR(E2522="",E2522="!!!",F2522="NEW"),"",COUNTBLANK(OFFSET(A$1,,,SUMPRODUCT(MAX(ROW(E$2:E2522)*(E2522=E$2:E2522)))))-COUNTBLANK(OFFSET(A$1,,,SUMPRODUCT(MAX(ROW(E$1:E2521)*(E2=E$1:E2521))))))</f>
        <v> </v>
      </c>
      <c r="K2522" s="25" t="str">
        <f>IF(OR(E2522="",E2522="!!!",F2522="NEW"),"",INDEX(J$1:J2521,SUMPRODUCT(MAX(ROW(E$1:E2521)*(E2522=E$1:E2521)))))</f>
        <v> </v>
      </c>
      <c r="L2522" s="26"/>
    </row>
    <row r="2523" spans="1:12">
      <c r="A2523" s="20" t="s">
        <v>1507</v>
      </c>
      <c r="E2523" s="21">
        <f>IF(D2523="?OLD","!!!","")</f>
        <v/>
      </c>
      <c r="F2523" s="22" t="str">
        <f>IF(OR(E2523="",E2523="!!!"),"",IF(NOT(ISNA(VLOOKUP(E2523,E$1:E2522,1,FALSE()))),"OLD",IF(AND(E2523&lt;&gt;"",E2523&lt;&gt;"!!!"),"NEW","")))</f>
        <v> </v>
      </c>
      <c r="G2523" s="23" t="str">
        <f>IF(OR(E2523="",E2523="!!!"),"",IF(OR(J2523=0,AND(J2523=1,K2523=1),AND(J2523=1,I2523="SBJ"),AND(J2523=1,I2523=0)),"?IN_FOCUS",IF(J2523&lt;=2,"?ACTIVATED",IF(J2523&lt;&gt;"","?FAMILIAR",IF(F2523="NEW",IF(ISNA(VLOOKUP(E2523,#REF!,1,FALSE())),"?TYPE_IDENTIFIABLE","?REFERENTIAL"),"_")))))</f>
        <v> </v>
      </c>
      <c r="H2523" s="24" t="str">
        <f>IF(J2523&lt;&gt;1,"",IF(I2523="SBJ","CB","?"))</f>
        <v> </v>
      </c>
      <c r="I2523" s="25" t="str">
        <f>IF(OR(E2523="",E2523="!!!",F2523="NEW"),"",INDEX(B2522:B$2,-1+SUMPRODUCT(MAX(ROW(E2522:E$2)*(E2523=E2522:E$2)))))</f>
        <v> </v>
      </c>
      <c r="J2523" s="25" t="str">
        <f>IF(OR(E2523="",E2523="!!!",F2523="NEW"),"",COUNTBLANK(OFFSET(A$1,,,SUMPRODUCT(MAX(ROW(E$2:E2523)*(E2523=E$2:E2523)))))-COUNTBLANK(OFFSET(A$1,,,SUMPRODUCT(MAX(ROW(E$1:E2522)*(E2=E$1:E2522))))))</f>
        <v> </v>
      </c>
      <c r="K2523" s="25" t="str">
        <f>IF(OR(E2523="",E2523="!!!",F2523="NEW"),"",INDEX(J$1:J2522,SUMPRODUCT(MAX(ROW(E$1:E2522)*(E2523=E$1:E2522)))))</f>
        <v> </v>
      </c>
      <c r="L2523" s="26"/>
    </row>
    <row r="2524" spans="1:12">
      <c r="A2524" s="20" t="s">
        <v>633</v>
      </c>
      <c r="E2524" s="21">
        <f>IF(D2524="?OLD","!!!","")</f>
        <v/>
      </c>
      <c r="F2524" s="22" t="str">
        <f>IF(OR(E2524="",E2524="!!!"),"",IF(NOT(ISNA(VLOOKUP(E2524,E$1:E2523,1,FALSE()))),"OLD",IF(AND(E2524&lt;&gt;"",E2524&lt;&gt;"!!!"),"NEW","")))</f>
        <v> </v>
      </c>
      <c r="G2524" s="23" t="str">
        <f>IF(OR(E2524="",E2524="!!!"),"",IF(OR(J2524=0,AND(J2524=1,K2524=1),AND(J2524=1,I2524="SBJ"),AND(J2524=1,I2524=0)),"?IN_FOCUS",IF(J2524&lt;=2,"?ACTIVATED",IF(J2524&lt;&gt;"","?FAMILIAR",IF(F2524="NEW",IF(ISNA(VLOOKUP(E2524,#REF!,1,FALSE())),"?TYPE_IDENTIFIABLE","?REFERENTIAL"),"_")))))</f>
        <v> </v>
      </c>
      <c r="H2524" s="24" t="str">
        <f>IF(J2524&lt;&gt;1,"",IF(I2524="SBJ","CB","?"))</f>
        <v> </v>
      </c>
      <c r="I2524" s="25" t="str">
        <f>IF(OR(E2524="",E2524="!!!",F2524="NEW"),"",INDEX(B2523:B$2,-1+SUMPRODUCT(MAX(ROW(E2523:E$2)*(E2524=E2523:E$2)))))</f>
        <v> </v>
      </c>
      <c r="J2524" s="25" t="str">
        <f>IF(OR(E2524="",E2524="!!!",F2524="NEW"),"",COUNTBLANK(OFFSET(A$1,,,SUMPRODUCT(MAX(ROW(E$2:E2524)*(E2524=E$2:E2524)))))-COUNTBLANK(OFFSET(A$1,,,SUMPRODUCT(MAX(ROW(E$1:E2523)*(E2=E$1:E2523))))))</f>
        <v> </v>
      </c>
      <c r="K2524" s="25" t="str">
        <f>IF(OR(E2524="",E2524="!!!",F2524="NEW"),"",INDEX(J$1:J2523,SUMPRODUCT(MAX(ROW(E$1:E2523)*(E2524=E$1:E2523)))))</f>
        <v> </v>
      </c>
      <c r="L2524" s="26"/>
    </row>
    <row r="2525" spans="1:12">
      <c r="A2525" s="20"/>
    </row>
    <row r="2526" spans="1:12">
      <c r="A2526" s="20" t="s">
        <v>1212</v>
      </c>
      <c r="E2526" s="21">
        <f>IF(D2526="?OLD","!!!","")</f>
        <v/>
      </c>
      <c r="F2526" s="22" t="str">
        <f>IF(OR(E2526="",E2526="!!!"),"",IF(NOT(ISNA(VLOOKUP(E2526,E$1:E2525,1,FALSE()))),"OLD",IF(AND(E2526&lt;&gt;"",E2526&lt;&gt;"!!!"),"NEW","")))</f>
        <v> </v>
      </c>
      <c r="G2526" s="23" t="str">
        <f>IF(OR(E2526="",E2526="!!!"),"",IF(OR(J2526=0,AND(J2526=1,K2526=1),AND(J2526=1,I2526="SBJ"),AND(J2526=1,I2526=0)),"?IN_FOCUS",IF(J2526&lt;=2,"?ACTIVATED",IF(J2526&lt;&gt;"","?FAMILIAR",IF(F2526="NEW",IF(ISNA(VLOOKUP(E2526,#REF!,1,FALSE())),"?TYPE_IDENTIFIABLE","?REFERENTIAL"),"_")))))</f>
        <v> </v>
      </c>
      <c r="H2526" s="24" t="str">
        <f>IF(J2526&lt;&gt;1,"",IF(I2526="SBJ","CB","?"))</f>
        <v> </v>
      </c>
      <c r="I2526" s="25" t="str">
        <f>IF(OR(E2526="",E2526="!!!",F2526="NEW"),"",INDEX(B2525:B$2,-1+SUMPRODUCT(MAX(ROW(E2525:E$2)*(E2526=E2525:E$2)))))</f>
        <v> </v>
      </c>
      <c r="J2526" s="25" t="str">
        <f>IF(OR(E2526="",E2526="!!!",F2526="NEW"),"",COUNTBLANK(OFFSET(A$1,,,SUMPRODUCT(MAX(ROW(E$2:E2526)*(E2526=E$2:E2526)))))-COUNTBLANK(OFFSET(A$1,,,SUMPRODUCT(MAX(ROW(E$1:E2525)*(E2=E$1:E2525))))))</f>
        <v> </v>
      </c>
      <c r="K2526" s="25" t="str">
        <f>IF(OR(E2526="",E2526="!!!",F2526="NEW"),"",INDEX(J$1:J2525,SUMPRODUCT(MAX(ROW(E$1:E2525)*(E2526=E$1:E2525)))))</f>
        <v> </v>
      </c>
      <c r="L2526" s="26"/>
    </row>
    <row r="2527" spans="1:12">
      <c r="A2527" s="20" t="s">
        <v>1508</v>
      </c>
    </row>
    <row r="2528" spans="1:12">
      <c r="A2528" s="20" t="s">
        <v>933</v>
      </c>
      <c r="B2528" s="27" t="s">
        <v>636</v>
      </c>
      <c r="C2528" s="27" t="s">
        <v>637</v>
      </c>
      <c r="D2528" s="27" t="s">
        <v>608</v>
      </c>
      <c r="E2528" s="21">
        <f>IF(D2528="?OLD","!!!","")</f>
        <v/>
      </c>
      <c r="F2528" s="22" t="str">
        <f>IF(OR(E2528="",E2528="!!!"),"",IF(NOT(ISNA(VLOOKUP(E2528,E$1:E2527,1,FALSE()))),"OLD",IF(AND(E2528&lt;&gt;"",E2528&lt;&gt;"!!!"),"NEW","")))</f>
        <v> </v>
      </c>
      <c r="G2528" s="23" t="str">
        <f>IF(OR(E2528="",E2528="!!!"),"",IF(OR(J2528=0,AND(J2528=1,K2528=1),AND(J2528=1,I2528="SBJ"),AND(J2528=1,I2528=0)),"?IN_FOCUS",IF(J2528&lt;=2,"?ACTIVATED",IF(J2528&lt;&gt;"","?FAMILIAR",IF(F2528="NEW",IF(ISNA(VLOOKUP(E2528,#REF!,1,FALSE())),"?TYPE_IDENTIFIABLE","?REFERENTIAL"),"_")))))</f>
        <v> </v>
      </c>
      <c r="H2528" s="24" t="str">
        <f>IF(J2528&lt;&gt;1,"",IF(I2528="SBJ","CB","?"))</f>
        <v> </v>
      </c>
      <c r="I2528" s="25" t="str">
        <f>IF(OR(E2528="",E2528="!!!",F2528="NEW"),"",INDEX(B2527:B$2,-1+SUMPRODUCT(MAX(ROW(E2527:E$2)*(E2528=E2527:E$2)))))</f>
        <v> </v>
      </c>
      <c r="J2528" s="25" t="str">
        <f>IF(OR(E2528="",E2528="!!!",F2528="NEW"),"",COUNTBLANK(OFFSET(A$1,,,SUMPRODUCT(MAX(ROW(E$2:E2528)*(E2528=E$2:E2528)))))-COUNTBLANK(OFFSET(A$1,,,SUMPRODUCT(MAX(ROW(E$1:E2527)*(E2=E$1:E2527))))))</f>
        <v> </v>
      </c>
      <c r="K2528" s="25" t="str">
        <f>IF(OR(E2528="",E2528="!!!",F2528="NEW"),"",INDEX(J$1:J2527,SUMPRODUCT(MAX(ROW(E$1:E2527)*(E2528=E$1:E2527)))))</f>
        <v> </v>
      </c>
      <c r="L2528" s="26"/>
    </row>
    <row r="2529" spans="1:12">
      <c r="A2529" s="20" t="s">
        <v>1509</v>
      </c>
      <c r="E2529" s="21">
        <f>IF(D2529="?OLD","!!!","")</f>
        <v/>
      </c>
      <c r="F2529" s="22" t="str">
        <f>IF(OR(E2529="",E2529="!!!"),"",IF(NOT(ISNA(VLOOKUP(E2529,E$1:E2528,1,FALSE()))),"OLD",IF(AND(E2529&lt;&gt;"",E2529&lt;&gt;"!!!"),"NEW","")))</f>
        <v> </v>
      </c>
      <c r="G2529" s="23" t="str">
        <f>IF(OR(E2529="",E2529="!!!"),"",IF(OR(J2529=0,AND(J2529=1,K2529=1),AND(J2529=1,I2529="SBJ"),AND(J2529=1,I2529=0)),"?IN_FOCUS",IF(J2529&lt;=2,"?ACTIVATED",IF(J2529&lt;&gt;"","?FAMILIAR",IF(F2529="NEW",IF(ISNA(VLOOKUP(E2529,#REF!,1,FALSE())),"?TYPE_IDENTIFIABLE","?REFERENTIAL"),"_")))))</f>
        <v> </v>
      </c>
      <c r="H2529" s="24" t="str">
        <f>IF(J2529&lt;&gt;1,"",IF(I2529="SBJ","CB","?"))</f>
        <v> </v>
      </c>
      <c r="I2529" s="25" t="str">
        <f>IF(OR(E2529="",E2529="!!!",F2529="NEW"),"",INDEX(B2528:B$2,-1+SUMPRODUCT(MAX(ROW(E2528:E$2)*(E2529=E2528:E$2)))))</f>
        <v> </v>
      </c>
      <c r="J2529" s="25" t="str">
        <f>IF(OR(E2529="",E2529="!!!",F2529="NEW"),"",COUNTBLANK(OFFSET(A$1,,,SUMPRODUCT(MAX(ROW(E$2:E2529)*(E2529=E$2:E2529)))))-COUNTBLANK(OFFSET(A$1,,,SUMPRODUCT(MAX(ROW(E$1:E2528)*(E2=E$1:E2528))))))</f>
        <v> </v>
      </c>
      <c r="K2529" s="25" t="str">
        <f>IF(OR(E2529="",E2529="!!!",F2529="NEW"),"",INDEX(J$1:J2528,SUMPRODUCT(MAX(ROW(E$1:E2528)*(E2529=E$1:E2528)))))</f>
        <v> </v>
      </c>
      <c r="L2529" s="26"/>
    </row>
    <row r="2530" spans="1:12">
      <c r="A2530" s="20" t="s">
        <v>872</v>
      </c>
      <c r="B2530" s="27" t="s">
        <v>653</v>
      </c>
      <c r="E2530" s="21">
        <f>IF(D2530="?OLD","!!!","")</f>
        <v/>
      </c>
      <c r="F2530" s="22" t="str">
        <f>IF(OR(E2530="",E2530="!!!"),"",IF(NOT(ISNA(VLOOKUP(E2530,E$1:E2529,1,FALSE()))),"OLD",IF(AND(E2530&lt;&gt;"",E2530&lt;&gt;"!!!"),"NEW","")))</f>
        <v> </v>
      </c>
      <c r="G2530" s="23" t="str">
        <f>IF(OR(E2530="",E2530="!!!"),"",IF(OR(J2530=0,AND(J2530=1,K2530=1),AND(J2530=1,I2530="SBJ"),AND(J2530=1,I2530=0)),"?IN_FOCUS",IF(J2530&lt;=2,"?ACTIVATED",IF(J2530&lt;&gt;"","?FAMILIAR",IF(F2530="NEW",IF(ISNA(VLOOKUP(E2530,#REF!,1,FALSE())),"?TYPE_IDENTIFIABLE","?REFERENTIAL"),"_")))))</f>
        <v> </v>
      </c>
      <c r="H2530" s="24" t="str">
        <f>IF(J2530&lt;&gt;1,"",IF(I2530="SBJ","CB","?"))</f>
        <v> </v>
      </c>
      <c r="I2530" s="25" t="str">
        <f>IF(OR(E2530="",E2530="!!!",F2530="NEW"),"",INDEX(B2529:B$2,-1+SUMPRODUCT(MAX(ROW(E2529:E$2)*(E2530=E2529:E$2)))))</f>
        <v> </v>
      </c>
      <c r="J2530" s="25" t="str">
        <f>IF(OR(E2530="",E2530="!!!",F2530="NEW"),"",COUNTBLANK(OFFSET(A$1,,,SUMPRODUCT(MAX(ROW(E$2:E2530)*(E2530=E$2:E2530)))))-COUNTBLANK(OFFSET(A$1,,,SUMPRODUCT(MAX(ROW(E$1:E2529)*(E2=E$1:E2529))))))</f>
        <v> </v>
      </c>
      <c r="K2530" s="25" t="str">
        <f>IF(OR(E2530="",E2530="!!!",F2530="NEW"),"",INDEX(J$1:J2529,SUMPRODUCT(MAX(ROW(E$1:E2529)*(E2530=E$1:E2529)))))</f>
        <v> </v>
      </c>
      <c r="L2530" s="26"/>
    </row>
    <row r="2531" spans="1:12">
      <c r="A2531" s="20" t="s">
        <v>1510</v>
      </c>
      <c r="B2531" s="27" t="s">
        <v>606</v>
      </c>
      <c r="C2531" s="27" t="s">
        <v>622</v>
      </c>
      <c r="E2531" s="21">
        <f>IF(D2531="?OLD","!!!","")</f>
        <v/>
      </c>
      <c r="F2531" s="22" t="str">
        <f>IF(OR(E2531="",E2531="!!!"),"",IF(NOT(ISNA(VLOOKUP(E2531,E$1:E2530,1,FALSE()))),"OLD",IF(AND(E2531&lt;&gt;"",E2531&lt;&gt;"!!!"),"NEW","")))</f>
        <v> </v>
      </c>
      <c r="G2531" s="23" t="str">
        <f>IF(OR(E2531="",E2531="!!!"),"",IF(OR(J2531=0,AND(J2531=1,K2531=1),AND(J2531=1,I2531="SBJ"),AND(J2531=1,I2531=0)),"?IN_FOCUS",IF(J2531&lt;=2,"?ACTIVATED",IF(J2531&lt;&gt;"","?FAMILIAR",IF(F2531="NEW",IF(ISNA(VLOOKUP(E2531,#REF!,1,FALSE())),"?TYPE_IDENTIFIABLE","?REFERENTIAL"),"_")))))</f>
        <v> </v>
      </c>
      <c r="H2531" s="24" t="str">
        <f>IF(J2531&lt;&gt;1,"",IF(I2531="SBJ","CB","?"))</f>
        <v> </v>
      </c>
      <c r="I2531" s="25" t="str">
        <f>IF(OR(E2531="",E2531="!!!",F2531="NEW"),"",INDEX(B2530:B$2,-1+SUMPRODUCT(MAX(ROW(E2530:E$2)*(E2531=E2530:E$2)))))</f>
        <v> </v>
      </c>
      <c r="J2531" s="25" t="str">
        <f>IF(OR(E2531="",E2531="!!!",F2531="NEW"),"",COUNTBLANK(OFFSET(A$1,,,SUMPRODUCT(MAX(ROW(E$2:E2531)*(E2531=E$2:E2531)))))-COUNTBLANK(OFFSET(A$1,,,SUMPRODUCT(MAX(ROW(E$1:E2530)*(E2=E$1:E2530))))))</f>
        <v> </v>
      </c>
      <c r="K2531" s="25" t="str">
        <f>IF(OR(E2531="",E2531="!!!",F2531="NEW"),"",INDEX(J$1:J2530,SUMPRODUCT(MAX(ROW(E$1:E2530)*(E2531=E$1:E2530)))))</f>
        <v> </v>
      </c>
      <c r="L2531" s="26"/>
    </row>
    <row r="2532" spans="1:12">
      <c r="A2532" s="20" t="s">
        <v>617</v>
      </c>
      <c r="E2532" s="21">
        <f>IF(D2532="?OLD","!!!","")</f>
        <v/>
      </c>
      <c r="F2532" s="22" t="str">
        <f>IF(OR(E2532="",E2532="!!!"),"",IF(NOT(ISNA(VLOOKUP(E2532,E$1:E2531,1,FALSE()))),"OLD",IF(AND(E2532&lt;&gt;"",E2532&lt;&gt;"!!!"),"NEW","")))</f>
        <v> </v>
      </c>
      <c r="G2532" s="23" t="str">
        <f>IF(OR(E2532="",E2532="!!!"),"",IF(OR(J2532=0,AND(J2532=1,K2532=1),AND(J2532=1,I2532="SBJ"),AND(J2532=1,I2532=0)),"?IN_FOCUS",IF(J2532&lt;=2,"?ACTIVATED",IF(J2532&lt;&gt;"","?FAMILIAR",IF(F2532="NEW",IF(ISNA(VLOOKUP(E2532,#REF!,1,FALSE())),"?TYPE_IDENTIFIABLE","?REFERENTIAL"),"_")))))</f>
        <v> </v>
      </c>
      <c r="H2532" s="24" t="str">
        <f>IF(J2532&lt;&gt;1,"",IF(I2532="SBJ","CB","?"))</f>
        <v> </v>
      </c>
      <c r="I2532" s="25" t="str">
        <f>IF(OR(E2532="",E2532="!!!",F2532="NEW"),"",INDEX(B2531:B$2,-1+SUMPRODUCT(MAX(ROW(E2531:E$2)*(E2532=E2531:E$2)))))</f>
        <v> </v>
      </c>
      <c r="J2532" s="25" t="str">
        <f>IF(OR(E2532="",E2532="!!!",F2532="NEW"),"",COUNTBLANK(OFFSET(A$1,,,SUMPRODUCT(MAX(ROW(E$2:E2532)*(E2532=E$2:E2532)))))-COUNTBLANK(OFFSET(A$1,,,SUMPRODUCT(MAX(ROW(E$1:E2531)*(E2=E$1:E2531))))))</f>
        <v> </v>
      </c>
      <c r="K2532" s="25" t="str">
        <f>IF(OR(E2532="",E2532="!!!",F2532="NEW"),"",INDEX(J$1:J2531,SUMPRODUCT(MAX(ROW(E$1:E2531)*(E2532=E$1:E2531)))))</f>
        <v> </v>
      </c>
      <c r="L2532" s="26"/>
    </row>
    <row r="2533" spans="1:12">
      <c r="A2533" s="20" t="s">
        <v>644</v>
      </c>
      <c r="E2533" s="21">
        <f>IF(D2533="?OLD","!!!","")</f>
        <v/>
      </c>
      <c r="F2533" s="22" t="str">
        <f>IF(OR(E2533="",E2533="!!!"),"",IF(NOT(ISNA(VLOOKUP(E2533,E$1:E2532,1,FALSE()))),"OLD",IF(AND(E2533&lt;&gt;"",E2533&lt;&gt;"!!!"),"NEW","")))</f>
        <v> </v>
      </c>
      <c r="G2533" s="23" t="str">
        <f>IF(OR(E2533="",E2533="!!!"),"",IF(OR(J2533=0,AND(J2533=1,K2533=1),AND(J2533=1,I2533="SBJ"),AND(J2533=1,I2533=0)),"?IN_FOCUS",IF(J2533&lt;=2,"?ACTIVATED",IF(J2533&lt;&gt;"","?FAMILIAR",IF(F2533="NEW",IF(ISNA(VLOOKUP(E2533,#REF!,1,FALSE())),"?TYPE_IDENTIFIABLE","?REFERENTIAL"),"_")))))</f>
        <v> </v>
      </c>
      <c r="H2533" s="24" t="str">
        <f>IF(J2533&lt;&gt;1,"",IF(I2533="SBJ","CB","?"))</f>
        <v> </v>
      </c>
      <c r="I2533" s="25" t="str">
        <f>IF(OR(E2533="",E2533="!!!",F2533="NEW"),"",INDEX(B2532:B$2,-1+SUMPRODUCT(MAX(ROW(E2532:E$2)*(E2533=E2532:E$2)))))</f>
        <v> </v>
      </c>
      <c r="J2533" s="25" t="str">
        <f>IF(OR(E2533="",E2533="!!!",F2533="NEW"),"",COUNTBLANK(OFFSET(A$1,,,SUMPRODUCT(MAX(ROW(E$2:E2533)*(E2533=E$2:E2533)))))-COUNTBLANK(OFFSET(A$1,,,SUMPRODUCT(MAX(ROW(E$1:E2532)*(E2=E$1:E2532))))))</f>
        <v> </v>
      </c>
      <c r="K2533" s="25" t="str">
        <f>IF(OR(E2533="",E2533="!!!",F2533="NEW"),"",INDEX(J$1:J2532,SUMPRODUCT(MAX(ROW(E$1:E2532)*(E2533=E$1:E2532)))))</f>
        <v> </v>
      </c>
      <c r="L2533" s="26"/>
    </row>
    <row r="2534" spans="1:12">
      <c r="A2534" s="20" t="s">
        <v>1302</v>
      </c>
      <c r="B2534" s="27" t="s">
        <v>619</v>
      </c>
      <c r="C2534" s="27" t="s">
        <v>652</v>
      </c>
      <c r="D2534" s="27" t="s">
        <v>608</v>
      </c>
      <c r="E2534" s="21">
        <f>IF(D2534="?OLD","!!!","")</f>
        <v/>
      </c>
      <c r="F2534" s="22" t="str">
        <f>IF(OR(E2534="",E2534="!!!"),"",IF(NOT(ISNA(VLOOKUP(E2534,E$1:E2533,1,FALSE()))),"OLD",IF(AND(E2534&lt;&gt;"",E2534&lt;&gt;"!!!"),"NEW","")))</f>
        <v> </v>
      </c>
      <c r="G2534" s="23" t="str">
        <f>IF(OR(E2534="",E2534="!!!"),"",IF(OR(J2534=0,AND(J2534=1,K2534=1),AND(J2534=1,I2534="SBJ"),AND(J2534=1,I2534=0)),"?IN_FOCUS",IF(J2534&lt;=2,"?ACTIVATED",IF(J2534&lt;&gt;"","?FAMILIAR",IF(F2534="NEW",IF(ISNA(VLOOKUP(E2534,#REF!,1,FALSE())),"?TYPE_IDENTIFIABLE","?REFERENTIAL"),"_")))))</f>
        <v> </v>
      </c>
      <c r="H2534" s="24" t="str">
        <f>IF(J2534&lt;&gt;1,"",IF(I2534="SBJ","CB","?"))</f>
        <v> </v>
      </c>
      <c r="I2534" s="25" t="str">
        <f>IF(OR(E2534="",E2534="!!!",F2534="NEW"),"",INDEX(B2533:B$2,-1+SUMPRODUCT(MAX(ROW(E2533:E$2)*(E2534=E2533:E$2)))))</f>
        <v> </v>
      </c>
      <c r="J2534" s="25" t="str">
        <f>IF(OR(E2534="",E2534="!!!",F2534="NEW"),"",COUNTBLANK(OFFSET(A$1,,,SUMPRODUCT(MAX(ROW(E$2:E2534)*(E2534=E$2:E2534)))))-COUNTBLANK(OFFSET(A$1,,,SUMPRODUCT(MAX(ROW(E$1:E2533)*(E2=E$1:E2533))))))</f>
        <v> </v>
      </c>
      <c r="K2534" s="25" t="str">
        <f>IF(OR(E2534="",E2534="!!!",F2534="NEW"),"",INDEX(J$1:J2533,SUMPRODUCT(MAX(ROW(E$1:E2533)*(E2534=E$1:E2533)))))</f>
        <v> </v>
      </c>
      <c r="L2534" s="26"/>
    </row>
    <row r="2535" spans="1:12">
      <c r="A2535" s="20" t="s">
        <v>1511</v>
      </c>
      <c r="E2535" s="21">
        <f>IF(D2535="?OLD","!!!","")</f>
        <v/>
      </c>
      <c r="F2535" s="22" t="str">
        <f>IF(OR(E2535="",E2535="!!!"),"",IF(NOT(ISNA(VLOOKUP(E2535,E$1:E2534,1,FALSE()))),"OLD",IF(AND(E2535&lt;&gt;"",E2535&lt;&gt;"!!!"),"NEW","")))</f>
        <v> </v>
      </c>
      <c r="G2535" s="23" t="str">
        <f>IF(OR(E2535="",E2535="!!!"),"",IF(OR(J2535=0,AND(J2535=1,K2535=1),AND(J2535=1,I2535="SBJ"),AND(J2535=1,I2535=0)),"?IN_FOCUS",IF(J2535&lt;=2,"?ACTIVATED",IF(J2535&lt;&gt;"","?FAMILIAR",IF(F2535="NEW",IF(ISNA(VLOOKUP(E2535,#REF!,1,FALSE())),"?TYPE_IDENTIFIABLE","?REFERENTIAL"),"_")))))</f>
        <v> </v>
      </c>
      <c r="H2535" s="24" t="str">
        <f>IF(J2535&lt;&gt;1,"",IF(I2535="SBJ","CB","?"))</f>
        <v> </v>
      </c>
      <c r="I2535" s="25" t="str">
        <f>IF(OR(E2535="",E2535="!!!",F2535="NEW"),"",INDEX(B2534:B$2,-1+SUMPRODUCT(MAX(ROW(E2534:E$2)*(E2535=E2534:E$2)))))</f>
        <v> </v>
      </c>
      <c r="J2535" s="25" t="str">
        <f>IF(OR(E2535="",E2535="!!!",F2535="NEW"),"",COUNTBLANK(OFFSET(A$1,,,SUMPRODUCT(MAX(ROW(E$2:E2535)*(E2535=E$2:E2535)))))-COUNTBLANK(OFFSET(A$1,,,SUMPRODUCT(MAX(ROW(E$1:E2534)*(E2=E$1:E2534))))))</f>
        <v> </v>
      </c>
      <c r="K2535" s="25" t="str">
        <f>IF(OR(E2535="",E2535="!!!",F2535="NEW"),"",INDEX(J$1:J2534,SUMPRODUCT(MAX(ROW(E$1:E2534)*(E2535=E$1:E2534)))))</f>
        <v> </v>
      </c>
      <c r="L2535" s="26"/>
    </row>
    <row r="2536" spans="1:12">
      <c r="A2536" s="20" t="s">
        <v>856</v>
      </c>
      <c r="B2536" s="27" t="s">
        <v>619</v>
      </c>
      <c r="C2536" s="27" t="s">
        <v>637</v>
      </c>
      <c r="D2536" s="27" t="s">
        <v>608</v>
      </c>
      <c r="E2536" s="21">
        <f>IF(D2536="?OLD","!!!","")</f>
        <v/>
      </c>
      <c r="F2536" s="22" t="str">
        <f>IF(OR(E2536="",E2536="!!!"),"",IF(NOT(ISNA(VLOOKUP(E2536,E$1:E2535,1,FALSE()))),"OLD",IF(AND(E2536&lt;&gt;"",E2536&lt;&gt;"!!!"),"NEW","")))</f>
        <v> </v>
      </c>
      <c r="G2536" s="23" t="str">
        <f>IF(OR(E2536="",E2536="!!!"),"",IF(OR(J2536=0,AND(J2536=1,K2536=1),AND(J2536=1,I2536="SBJ"),AND(J2536=1,I2536=0)),"?IN_FOCUS",IF(J2536&lt;=2,"?ACTIVATED",IF(J2536&lt;&gt;"","?FAMILIAR",IF(F2536="NEW",IF(ISNA(VLOOKUP(E2536,#REF!,1,FALSE())),"?TYPE_IDENTIFIABLE","?REFERENTIAL"),"_")))))</f>
        <v> </v>
      </c>
      <c r="H2536" s="24" t="str">
        <f>IF(J2536&lt;&gt;1,"",IF(I2536="SBJ","CB","?"))</f>
        <v> </v>
      </c>
      <c r="I2536" s="25" t="str">
        <f>IF(OR(E2536="",E2536="!!!",F2536="NEW"),"",INDEX(B2535:B$2,-1+SUMPRODUCT(MAX(ROW(E2535:E$2)*(E2536=E2535:E$2)))))</f>
        <v> </v>
      </c>
      <c r="J2536" s="25" t="str">
        <f>IF(OR(E2536="",E2536="!!!",F2536="NEW"),"",COUNTBLANK(OFFSET(A$1,,,SUMPRODUCT(MAX(ROW(E$2:E2536)*(E2536=E$2:E2536)))))-COUNTBLANK(OFFSET(A$1,,,SUMPRODUCT(MAX(ROW(E$1:E2535)*(E2=E$1:E2535))))))</f>
        <v> </v>
      </c>
      <c r="K2536" s="25" t="str">
        <f>IF(OR(E2536="",E2536="!!!",F2536="NEW"),"",INDEX(J$1:J2535,SUMPRODUCT(MAX(ROW(E$1:E2535)*(E2536=E$1:E2535)))))</f>
        <v> </v>
      </c>
      <c r="L2536" s="26"/>
    </row>
    <row r="2537" spans="1:12">
      <c r="A2537" s="20" t="s">
        <v>926</v>
      </c>
      <c r="E2537" s="21">
        <f>IF(D2537="?OLD","!!!","")</f>
        <v/>
      </c>
      <c r="F2537" s="22" t="str">
        <f>IF(OR(E2537="",E2537="!!!"),"",IF(NOT(ISNA(VLOOKUP(E2537,E$1:E2536,1,FALSE()))),"OLD",IF(AND(E2537&lt;&gt;"",E2537&lt;&gt;"!!!"),"NEW","")))</f>
        <v> </v>
      </c>
      <c r="G2537" s="23" t="str">
        <f>IF(OR(E2537="",E2537="!!!"),"",IF(OR(J2537=0,AND(J2537=1,K2537=1),AND(J2537=1,I2537="SBJ"),AND(J2537=1,I2537=0)),"?IN_FOCUS",IF(J2537&lt;=2,"?ACTIVATED",IF(J2537&lt;&gt;"","?FAMILIAR",IF(F2537="NEW",IF(ISNA(VLOOKUP(E2537,#REF!,1,FALSE())),"?TYPE_IDENTIFIABLE","?REFERENTIAL"),"_")))))</f>
        <v> </v>
      </c>
      <c r="H2537" s="24" t="str">
        <f>IF(J2537&lt;&gt;1,"",IF(I2537="SBJ","CB","?"))</f>
        <v> </v>
      </c>
      <c r="I2537" s="25" t="str">
        <f>IF(OR(E2537="",E2537="!!!",F2537="NEW"),"",INDEX(B2536:B$2,-1+SUMPRODUCT(MAX(ROW(E2536:E$2)*(E2537=E2536:E$2)))))</f>
        <v> </v>
      </c>
      <c r="J2537" s="25" t="str">
        <f>IF(OR(E2537="",E2537="!!!",F2537="NEW"),"",COUNTBLANK(OFFSET(A$1,,,SUMPRODUCT(MAX(ROW(E$2:E2537)*(E2537=E$2:E2537)))))-COUNTBLANK(OFFSET(A$1,,,SUMPRODUCT(MAX(ROW(E$1:E2536)*(E2=E$1:E2536))))))</f>
        <v> </v>
      </c>
      <c r="K2537" s="25" t="str">
        <f>IF(OR(E2537="",E2537="!!!",F2537="NEW"),"",INDEX(J$1:J2536,SUMPRODUCT(MAX(ROW(E$1:E2536)*(E2537=E$1:E2536)))))</f>
        <v> </v>
      </c>
      <c r="L2537" s="26"/>
    </row>
    <row r="2538" spans="1:12">
      <c r="A2538" s="20" t="s">
        <v>783</v>
      </c>
      <c r="B2538" s="27" t="s">
        <v>625</v>
      </c>
      <c r="C2538" s="27" t="s">
        <v>626</v>
      </c>
      <c r="E2538" s="21">
        <f>IF(D2538="?OLD","!!!","")</f>
        <v/>
      </c>
      <c r="F2538" s="22" t="str">
        <f>IF(OR(E2538="",E2538="!!!"),"",IF(NOT(ISNA(VLOOKUP(E2538,E$1:E2537,1,FALSE()))),"OLD",IF(AND(E2538&lt;&gt;"",E2538&lt;&gt;"!!!"),"NEW","")))</f>
        <v> </v>
      </c>
      <c r="G2538" s="23" t="str">
        <f>IF(OR(E2538="",E2538="!!!"),"",IF(OR(J2538=0,AND(J2538=1,K2538=1),AND(J2538=1,I2538="SBJ"),AND(J2538=1,I2538=0)),"?IN_FOCUS",IF(J2538&lt;=2,"?ACTIVATED",IF(J2538&lt;&gt;"","?FAMILIAR",IF(F2538="NEW",IF(ISNA(VLOOKUP(E2538,#REF!,1,FALSE())),"?TYPE_IDENTIFIABLE","?REFERENTIAL"),"_")))))</f>
        <v> </v>
      </c>
      <c r="H2538" s="24" t="str">
        <f>IF(J2538&lt;&gt;1,"",IF(I2538="SBJ","CB","?"))</f>
        <v> </v>
      </c>
      <c r="I2538" s="25" t="str">
        <f>IF(OR(E2538="",E2538="!!!",F2538="NEW"),"",INDEX(B2537:B$2,-1+SUMPRODUCT(MAX(ROW(E2537:E$2)*(E2538=E2537:E$2)))))</f>
        <v> </v>
      </c>
      <c r="J2538" s="25" t="str">
        <f>IF(OR(E2538="",E2538="!!!",F2538="NEW"),"",COUNTBLANK(OFFSET(A$1,,,SUMPRODUCT(MAX(ROW(E$2:E2538)*(E2538=E$2:E2538)))))-COUNTBLANK(OFFSET(A$1,,,SUMPRODUCT(MAX(ROW(E$1:E2537)*(E2=E$1:E2537))))))</f>
        <v> </v>
      </c>
      <c r="K2538" s="25" t="str">
        <f>IF(OR(E2538="",E2538="!!!",F2538="NEW"),"",INDEX(J$1:J2537,SUMPRODUCT(MAX(ROW(E$1:E2537)*(E2538=E$1:E2537)))))</f>
        <v> </v>
      </c>
      <c r="L2538" s="26"/>
    </row>
    <row r="2539" spans="1:12">
      <c r="A2539" s="20" t="s">
        <v>1512</v>
      </c>
      <c r="B2539" s="27" t="s">
        <v>611</v>
      </c>
      <c r="C2539" s="27" t="s">
        <v>622</v>
      </c>
      <c r="E2539" s="21">
        <f>IF(D2539="?OLD","!!!","")</f>
        <v/>
      </c>
      <c r="F2539" s="22" t="str">
        <f>IF(OR(E2539="",E2539="!!!"),"",IF(NOT(ISNA(VLOOKUP(E2539,E$1:E2538,1,FALSE()))),"OLD",IF(AND(E2539&lt;&gt;"",E2539&lt;&gt;"!!!"),"NEW","")))</f>
        <v> </v>
      </c>
      <c r="G2539" s="23" t="str">
        <f>IF(OR(E2539="",E2539="!!!"),"",IF(OR(J2539=0,AND(J2539=1,K2539=1),AND(J2539=1,I2539="SBJ"),AND(J2539=1,I2539=0)),"?IN_FOCUS",IF(J2539&lt;=2,"?ACTIVATED",IF(J2539&lt;&gt;"","?FAMILIAR",IF(F2539="NEW",IF(ISNA(VLOOKUP(E2539,#REF!,1,FALSE())),"?TYPE_IDENTIFIABLE","?REFERENTIAL"),"_")))))</f>
        <v> </v>
      </c>
      <c r="H2539" s="24" t="str">
        <f>IF(J2539&lt;&gt;1,"",IF(I2539="SBJ","CB","?"))</f>
        <v> </v>
      </c>
      <c r="I2539" s="25" t="str">
        <f>IF(OR(E2539="",E2539="!!!",F2539="NEW"),"",INDEX(B2538:B$2,-1+SUMPRODUCT(MAX(ROW(E2538:E$2)*(E2539=E2538:E$2)))))</f>
        <v> </v>
      </c>
      <c r="J2539" s="25" t="str">
        <f>IF(OR(E2539="",E2539="!!!",F2539="NEW"),"",COUNTBLANK(OFFSET(A$1,,,SUMPRODUCT(MAX(ROW(E$2:E2539)*(E2539=E$2:E2539)))))-COUNTBLANK(OFFSET(A$1,,,SUMPRODUCT(MAX(ROW(E$1:E2538)*(E2=E$1:E2538))))))</f>
        <v> </v>
      </c>
      <c r="K2539" s="25" t="str">
        <f>IF(OR(E2539="",E2539="!!!",F2539="NEW"),"",INDEX(J$1:J2538,SUMPRODUCT(MAX(ROW(E$1:E2538)*(E2539=E$1:E2538)))))</f>
        <v> </v>
      </c>
      <c r="L2539" s="26"/>
    </row>
    <row r="2540" spans="1:12">
      <c r="A2540" s="20" t="s">
        <v>799</v>
      </c>
      <c r="E2540" s="21">
        <f>IF(D2540="?OLD","!!!","")</f>
        <v/>
      </c>
      <c r="F2540" s="22" t="str">
        <f>IF(OR(E2540="",E2540="!!!"),"",IF(NOT(ISNA(VLOOKUP(E2540,E$1:E2539,1,FALSE()))),"OLD",IF(AND(E2540&lt;&gt;"",E2540&lt;&gt;"!!!"),"NEW","")))</f>
        <v> </v>
      </c>
      <c r="G2540" s="23" t="str">
        <f>IF(OR(E2540="",E2540="!!!"),"",IF(OR(J2540=0,AND(J2540=1,K2540=1),AND(J2540=1,I2540="SBJ"),AND(J2540=1,I2540=0)),"?IN_FOCUS",IF(J2540&lt;=2,"?ACTIVATED",IF(J2540&lt;&gt;"","?FAMILIAR",IF(F2540="NEW",IF(ISNA(VLOOKUP(E2540,#REF!,1,FALSE())),"?TYPE_IDENTIFIABLE","?REFERENTIAL"),"_")))))</f>
        <v> </v>
      </c>
      <c r="H2540" s="24" t="str">
        <f>IF(J2540&lt;&gt;1,"",IF(I2540="SBJ","CB","?"))</f>
        <v> </v>
      </c>
      <c r="I2540" s="25" t="str">
        <f>IF(OR(E2540="",E2540="!!!",F2540="NEW"),"",INDEX(B2539:B$2,-1+SUMPRODUCT(MAX(ROW(E2539:E$2)*(E2540=E2539:E$2)))))</f>
        <v> </v>
      </c>
      <c r="J2540" s="25" t="str">
        <f>IF(OR(E2540="",E2540="!!!",F2540="NEW"),"",COUNTBLANK(OFFSET(A$1,,,SUMPRODUCT(MAX(ROW(E$2:E2540)*(E2540=E$2:E2540)))))-COUNTBLANK(OFFSET(A$1,,,SUMPRODUCT(MAX(ROW(E$1:E2539)*(E2=E$1:E2539))))))</f>
        <v> </v>
      </c>
      <c r="K2540" s="25" t="str">
        <f>IF(OR(E2540="",E2540="!!!",F2540="NEW"),"",INDEX(J$1:J2539,SUMPRODUCT(MAX(ROW(E$1:E2539)*(E2540=E$1:E2539)))))</f>
        <v> </v>
      </c>
      <c r="L2540" s="26"/>
    </row>
    <row r="2541" spans="1:12">
      <c r="A2541" s="20" t="s">
        <v>609</v>
      </c>
      <c r="E2541" s="21">
        <f>IF(D2541="?OLD","!!!","")</f>
        <v/>
      </c>
      <c r="F2541" s="22" t="str">
        <f>IF(OR(E2541="",E2541="!!!"),"",IF(NOT(ISNA(VLOOKUP(E2541,E$1:E2540,1,FALSE()))),"OLD",IF(AND(E2541&lt;&gt;"",E2541&lt;&gt;"!!!"),"NEW","")))</f>
        <v> </v>
      </c>
      <c r="G2541" s="23" t="str">
        <f>IF(OR(E2541="",E2541="!!!"),"",IF(OR(J2541=0,AND(J2541=1,K2541=1),AND(J2541=1,I2541="SBJ"),AND(J2541=1,I2541=0)),"?IN_FOCUS",IF(J2541&lt;=2,"?ACTIVATED",IF(J2541&lt;&gt;"","?FAMILIAR",IF(F2541="NEW",IF(ISNA(VLOOKUP(E2541,#REF!,1,FALSE())),"?TYPE_IDENTIFIABLE","?REFERENTIAL"),"_")))))</f>
        <v> </v>
      </c>
      <c r="H2541" s="24" t="str">
        <f>IF(J2541&lt;&gt;1,"",IF(I2541="SBJ","CB","?"))</f>
        <v> </v>
      </c>
      <c r="I2541" s="25" t="str">
        <f>IF(OR(E2541="",E2541="!!!",F2541="NEW"),"",INDEX(B2540:B$2,-1+SUMPRODUCT(MAX(ROW(E2540:E$2)*(E2541=E2540:E$2)))))</f>
        <v> </v>
      </c>
      <c r="J2541" s="25" t="str">
        <f>IF(OR(E2541="",E2541="!!!",F2541="NEW"),"",COUNTBLANK(OFFSET(A$1,,,SUMPRODUCT(MAX(ROW(E$2:E2541)*(E2541=E$2:E2541)))))-COUNTBLANK(OFFSET(A$1,,,SUMPRODUCT(MAX(ROW(E$1:E2540)*(E2=E$1:E2540))))))</f>
        <v> </v>
      </c>
      <c r="K2541" s="25" t="str">
        <f>IF(OR(E2541="",E2541="!!!",F2541="NEW"),"",INDEX(J$1:J2540,SUMPRODUCT(MAX(ROW(E$1:E2540)*(E2541=E$1:E2540)))))</f>
        <v> </v>
      </c>
      <c r="L2541" s="26"/>
    </row>
    <row r="2542" spans="1:12">
      <c r="A2542" s="20" t="s">
        <v>1513</v>
      </c>
      <c r="B2542" s="27" t="s">
        <v>611</v>
      </c>
      <c r="C2542" s="27" t="s">
        <v>607</v>
      </c>
      <c r="D2542" s="27" t="s">
        <v>608</v>
      </c>
      <c r="E2542" s="21">
        <f>IF(D2542="?OLD","!!!","")</f>
        <v/>
      </c>
      <c r="F2542" s="22" t="str">
        <f>IF(OR(E2542="",E2542="!!!"),"",IF(NOT(ISNA(VLOOKUP(E2542,E$1:E2541,1,FALSE()))),"OLD",IF(AND(E2542&lt;&gt;"",E2542&lt;&gt;"!!!"),"NEW","")))</f>
        <v> </v>
      </c>
      <c r="G2542" s="23" t="str">
        <f>IF(OR(E2542="",E2542="!!!"),"",IF(OR(J2542=0,AND(J2542=1,K2542=1),AND(J2542=1,I2542="SBJ"),AND(J2542=1,I2542=0)),"?IN_FOCUS",IF(J2542&lt;=2,"?ACTIVATED",IF(J2542&lt;&gt;"","?FAMILIAR",IF(F2542="NEW",IF(ISNA(VLOOKUP(E2542,#REF!,1,FALSE())),"?TYPE_IDENTIFIABLE","?REFERENTIAL"),"_")))))</f>
        <v> </v>
      </c>
      <c r="H2542" s="24" t="str">
        <f>IF(J2542&lt;&gt;1,"",IF(I2542="SBJ","CB","?"))</f>
        <v> </v>
      </c>
      <c r="I2542" s="25" t="str">
        <f>IF(OR(E2542="",E2542="!!!",F2542="NEW"),"",INDEX(B2541:B$2,-1+SUMPRODUCT(MAX(ROW(E2541:E$2)*(E2542=E2541:E$2)))))</f>
        <v> </v>
      </c>
      <c r="J2542" s="25" t="str">
        <f>IF(OR(E2542="",E2542="!!!",F2542="NEW"),"",COUNTBLANK(OFFSET(A$1,,,SUMPRODUCT(MAX(ROW(E$2:E2542)*(E2542=E$2:E2542)))))-COUNTBLANK(OFFSET(A$1,,,SUMPRODUCT(MAX(ROW(E$1:E2541)*(E2=E$1:E2541))))))</f>
        <v> </v>
      </c>
      <c r="K2542" s="25" t="str">
        <f>IF(OR(E2542="",E2542="!!!",F2542="NEW"),"",INDEX(J$1:J2541,SUMPRODUCT(MAX(ROW(E$1:E2541)*(E2542=E$1:E2541)))))</f>
        <v> </v>
      </c>
      <c r="L2542" s="26"/>
    </row>
    <row r="2543" spans="1:12">
      <c r="A2543" s="20" t="s">
        <v>1514</v>
      </c>
      <c r="E2543" s="21">
        <f>IF(D2543="?OLD","!!!","")</f>
        <v/>
      </c>
      <c r="F2543" s="22" t="str">
        <f>IF(OR(E2543="",E2543="!!!"),"",IF(NOT(ISNA(VLOOKUP(E2543,E$1:E2542,1,FALSE()))),"OLD",IF(AND(E2543&lt;&gt;"",E2543&lt;&gt;"!!!"),"NEW","")))</f>
        <v> </v>
      </c>
      <c r="G2543" s="23" t="str">
        <f>IF(OR(E2543="",E2543="!!!"),"",IF(OR(J2543=0,AND(J2543=1,K2543=1),AND(J2543=1,I2543="SBJ"),AND(J2543=1,I2543=0)),"?IN_FOCUS",IF(J2543&lt;=2,"?ACTIVATED",IF(J2543&lt;&gt;"","?FAMILIAR",IF(F2543="NEW",IF(ISNA(VLOOKUP(E2543,#REF!,1,FALSE())),"?TYPE_IDENTIFIABLE","?REFERENTIAL"),"_")))))</f>
        <v> </v>
      </c>
      <c r="H2543" s="24" t="str">
        <f>IF(J2543&lt;&gt;1,"",IF(I2543="SBJ","CB","?"))</f>
        <v> </v>
      </c>
      <c r="I2543" s="25" t="str">
        <f>IF(OR(E2543="",E2543="!!!",F2543="NEW"),"",INDEX(B2542:B$2,-1+SUMPRODUCT(MAX(ROW(E2542:E$2)*(E2543=E2542:E$2)))))</f>
        <v> </v>
      </c>
      <c r="J2543" s="25" t="str">
        <f>IF(OR(E2543="",E2543="!!!",F2543="NEW"),"",COUNTBLANK(OFFSET(A$1,,,SUMPRODUCT(MAX(ROW(E$2:E2543)*(E2543=E$2:E2543)))))-COUNTBLANK(OFFSET(A$1,,,SUMPRODUCT(MAX(ROW(E$1:E2542)*(E2=E$1:E2542))))))</f>
        <v> </v>
      </c>
      <c r="K2543" s="25" t="str">
        <f>IF(OR(E2543="",E2543="!!!",F2543="NEW"),"",INDEX(J$1:J2542,SUMPRODUCT(MAX(ROW(E$1:E2542)*(E2543=E$1:E2542)))))</f>
        <v> </v>
      </c>
      <c r="L2543" s="26"/>
    </row>
    <row r="2544" spans="1:12">
      <c r="A2544" s="20" t="s">
        <v>617</v>
      </c>
      <c r="E2544" s="21">
        <f>IF(D2544="?OLD","!!!","")</f>
        <v/>
      </c>
      <c r="F2544" s="22" t="str">
        <f>IF(OR(E2544="",E2544="!!!"),"",IF(NOT(ISNA(VLOOKUP(E2544,E$1:E2543,1,FALSE()))),"OLD",IF(AND(E2544&lt;&gt;"",E2544&lt;&gt;"!!!"),"NEW","")))</f>
        <v> </v>
      </c>
      <c r="G2544" s="23" t="str">
        <f>IF(OR(E2544="",E2544="!!!"),"",IF(OR(J2544=0,AND(J2544=1,K2544=1),AND(J2544=1,I2544="SBJ"),AND(J2544=1,I2544=0)),"?IN_FOCUS",IF(J2544&lt;=2,"?ACTIVATED",IF(J2544&lt;&gt;"","?FAMILIAR",IF(F2544="NEW",IF(ISNA(VLOOKUP(E2544,#REF!,1,FALSE())),"?TYPE_IDENTIFIABLE","?REFERENTIAL"),"_")))))</f>
        <v> </v>
      </c>
      <c r="H2544" s="24" t="str">
        <f>IF(J2544&lt;&gt;1,"",IF(I2544="SBJ","CB","?"))</f>
        <v> </v>
      </c>
      <c r="I2544" s="25" t="str">
        <f>IF(OR(E2544="",E2544="!!!",F2544="NEW"),"",INDEX(B2543:B$2,-1+SUMPRODUCT(MAX(ROW(E2543:E$2)*(E2544=E2543:E$2)))))</f>
        <v> </v>
      </c>
      <c r="J2544" s="25" t="str">
        <f>IF(OR(E2544="",E2544="!!!",F2544="NEW"),"",COUNTBLANK(OFFSET(A$1,,,SUMPRODUCT(MAX(ROW(E$2:E2544)*(E2544=E$2:E2544)))))-COUNTBLANK(OFFSET(A$1,,,SUMPRODUCT(MAX(ROW(E$1:E2543)*(E2=E$1:E2543))))))</f>
        <v> </v>
      </c>
      <c r="K2544" s="25" t="str">
        <f>IF(OR(E2544="",E2544="!!!",F2544="NEW"),"",INDEX(J$1:J2543,SUMPRODUCT(MAX(ROW(E$1:E2543)*(E2544=E$1:E2543)))))</f>
        <v> </v>
      </c>
      <c r="L2544" s="26"/>
    </row>
    <row r="2545" spans="1:12">
      <c r="A2545" s="20" t="s">
        <v>756</v>
      </c>
      <c r="E2545" s="21">
        <f>IF(D2545="?OLD","!!!","")</f>
        <v/>
      </c>
      <c r="F2545" s="22" t="str">
        <f>IF(OR(E2545="",E2545="!!!"),"",IF(NOT(ISNA(VLOOKUP(E2545,E$1:E2544,1,FALSE()))),"OLD",IF(AND(E2545&lt;&gt;"",E2545&lt;&gt;"!!!"),"NEW","")))</f>
        <v> </v>
      </c>
      <c r="G2545" s="23" t="str">
        <f>IF(OR(E2545="",E2545="!!!"),"",IF(OR(J2545=0,AND(J2545=1,K2545=1),AND(J2545=1,I2545="SBJ"),AND(J2545=1,I2545=0)),"?IN_FOCUS",IF(J2545&lt;=2,"?ACTIVATED",IF(J2545&lt;&gt;"","?FAMILIAR",IF(F2545="NEW",IF(ISNA(VLOOKUP(E2545,#REF!,1,FALSE())),"?TYPE_IDENTIFIABLE","?REFERENTIAL"),"_")))))</f>
        <v> </v>
      </c>
      <c r="H2545" s="24" t="str">
        <f>IF(J2545&lt;&gt;1,"",IF(I2545="SBJ","CB","?"))</f>
        <v> </v>
      </c>
      <c r="I2545" s="25" t="str">
        <f>IF(OR(E2545="",E2545="!!!",F2545="NEW"),"",INDEX(B2544:B$2,-1+SUMPRODUCT(MAX(ROW(E2544:E$2)*(E2545=E2544:E$2)))))</f>
        <v> </v>
      </c>
      <c r="J2545" s="25" t="str">
        <f>IF(OR(E2545="",E2545="!!!",F2545="NEW"),"",COUNTBLANK(OFFSET(A$1,,,SUMPRODUCT(MAX(ROW(E$2:E2545)*(E2545=E$2:E2545)))))-COUNTBLANK(OFFSET(A$1,,,SUMPRODUCT(MAX(ROW(E$1:E2544)*(E2=E$1:E2544))))))</f>
        <v> </v>
      </c>
      <c r="K2545" s="25" t="str">
        <f>IF(OR(E2545="",E2545="!!!",F2545="NEW"),"",INDEX(J$1:J2544,SUMPRODUCT(MAX(ROW(E$1:E2544)*(E2545=E$1:E2544)))))</f>
        <v> </v>
      </c>
      <c r="L2545" s="26"/>
    </row>
    <row r="2546" spans="1:12">
      <c r="A2546" s="20" t="s">
        <v>1109</v>
      </c>
      <c r="E2546" s="21">
        <f>IF(D2546="?OLD","!!!","")</f>
        <v/>
      </c>
      <c r="F2546" s="22" t="str">
        <f>IF(OR(E2546="",E2546="!!!"),"",IF(NOT(ISNA(VLOOKUP(E2546,E$1:E2545,1,FALSE()))),"OLD",IF(AND(E2546&lt;&gt;"",E2546&lt;&gt;"!!!"),"NEW","")))</f>
        <v> </v>
      </c>
      <c r="G2546" s="23" t="str">
        <f>IF(OR(E2546="",E2546="!!!"),"",IF(OR(J2546=0,AND(J2546=1,K2546=1),AND(J2546=1,I2546="SBJ"),AND(J2546=1,I2546=0)),"?IN_FOCUS",IF(J2546&lt;=2,"?ACTIVATED",IF(J2546&lt;&gt;"","?FAMILIAR",IF(F2546="NEW",IF(ISNA(VLOOKUP(E2546,#REF!,1,FALSE())),"?TYPE_IDENTIFIABLE","?REFERENTIAL"),"_")))))</f>
        <v> </v>
      </c>
      <c r="H2546" s="24" t="str">
        <f>IF(J2546&lt;&gt;1,"",IF(I2546="SBJ","CB","?"))</f>
        <v> </v>
      </c>
      <c r="I2546" s="25" t="str">
        <f>IF(OR(E2546="",E2546="!!!",F2546="NEW"),"",INDEX(B2545:B$2,-1+SUMPRODUCT(MAX(ROW(E2545:E$2)*(E2546=E2545:E$2)))))</f>
        <v> </v>
      </c>
      <c r="J2546" s="25" t="str">
        <f>IF(OR(E2546="",E2546="!!!",F2546="NEW"),"",COUNTBLANK(OFFSET(A$1,,,SUMPRODUCT(MAX(ROW(E$2:E2546)*(E2546=E$2:E2546)))))-COUNTBLANK(OFFSET(A$1,,,SUMPRODUCT(MAX(ROW(E$1:E2545)*(E2=E$1:E2545))))))</f>
        <v> </v>
      </c>
      <c r="K2546" s="25" t="str">
        <f>IF(OR(E2546="",E2546="!!!",F2546="NEW"),"",INDEX(J$1:J2545,SUMPRODUCT(MAX(ROW(E$1:E2545)*(E2546=E$1:E2545)))))</f>
        <v> </v>
      </c>
      <c r="L2546" s="26"/>
    </row>
    <row r="2547" spans="1:12">
      <c r="A2547" s="20" t="s">
        <v>1302</v>
      </c>
      <c r="B2547" s="27" t="s">
        <v>611</v>
      </c>
      <c r="C2547" s="27" t="s">
        <v>671</v>
      </c>
      <c r="D2547" s="27" t="s">
        <v>608</v>
      </c>
      <c r="E2547" s="21">
        <f>IF(D2547="?OLD","!!!","")</f>
        <v/>
      </c>
      <c r="F2547" s="22" t="str">
        <f>IF(OR(E2547="",E2547="!!!"),"",IF(NOT(ISNA(VLOOKUP(E2547,E$1:E2546,1,FALSE()))),"OLD",IF(AND(E2547&lt;&gt;"",E2547&lt;&gt;"!!!"),"NEW","")))</f>
        <v> </v>
      </c>
      <c r="G2547" s="23" t="str">
        <f>IF(OR(E2547="",E2547="!!!"),"",IF(OR(J2547=0,AND(J2547=1,K2547=1),AND(J2547=1,I2547="SBJ"),AND(J2547=1,I2547=0)),"?IN_FOCUS",IF(J2547&lt;=2,"?ACTIVATED",IF(J2547&lt;&gt;"","?FAMILIAR",IF(F2547="NEW",IF(ISNA(VLOOKUP(E2547,#REF!,1,FALSE())),"?TYPE_IDENTIFIABLE","?REFERENTIAL"),"_")))))</f>
        <v> </v>
      </c>
      <c r="H2547" s="24" t="str">
        <f>IF(J2547&lt;&gt;1,"",IF(I2547="SBJ","CB","?"))</f>
        <v> </v>
      </c>
      <c r="I2547" s="25" t="str">
        <f>IF(OR(E2547="",E2547="!!!",F2547="NEW"),"",INDEX(B2546:B$2,-1+SUMPRODUCT(MAX(ROW(E2546:E$2)*(E2547=E2546:E$2)))))</f>
        <v> </v>
      </c>
      <c r="J2547" s="25" t="str">
        <f>IF(OR(E2547="",E2547="!!!",F2547="NEW"),"",COUNTBLANK(OFFSET(A$1,,,SUMPRODUCT(MAX(ROW(E$2:E2547)*(E2547=E$2:E2547)))))-COUNTBLANK(OFFSET(A$1,,,SUMPRODUCT(MAX(ROW(E$1:E2546)*(E2=E$1:E2546))))))</f>
        <v> </v>
      </c>
      <c r="K2547" s="25" t="str">
        <f>IF(OR(E2547="",E2547="!!!",F2547="NEW"),"",INDEX(J$1:J2546,SUMPRODUCT(MAX(ROW(E$1:E2546)*(E2547=E$1:E2546)))))</f>
        <v> </v>
      </c>
      <c r="L2547" s="26"/>
    </row>
    <row r="2548" spans="1:12">
      <c r="A2548" s="20" t="s">
        <v>663</v>
      </c>
      <c r="B2548" s="27" t="s">
        <v>611</v>
      </c>
      <c r="C2548" s="27" t="s">
        <v>626</v>
      </c>
      <c r="E2548" s="21">
        <f>IF(D2548="?OLD","!!!","")</f>
        <v/>
      </c>
      <c r="F2548" s="22" t="str">
        <f>IF(OR(E2548="",E2548="!!!"),"",IF(NOT(ISNA(VLOOKUP(E2548,E$1:E2547,1,FALSE()))),"OLD",IF(AND(E2548&lt;&gt;"",E2548&lt;&gt;"!!!"),"NEW","")))</f>
        <v> </v>
      </c>
      <c r="G2548" s="23" t="str">
        <f>IF(OR(E2548="",E2548="!!!"),"",IF(OR(J2548=0,AND(J2548=1,K2548=1),AND(J2548=1,I2548="SBJ"),AND(J2548=1,I2548=0)),"?IN_FOCUS",IF(J2548&lt;=2,"?ACTIVATED",IF(J2548&lt;&gt;"","?FAMILIAR",IF(F2548="NEW",IF(ISNA(VLOOKUP(E2548,#REF!,1,FALSE())),"?TYPE_IDENTIFIABLE","?REFERENTIAL"),"_")))))</f>
        <v> </v>
      </c>
      <c r="H2548" s="24" t="str">
        <f>IF(J2548&lt;&gt;1,"",IF(I2548="SBJ","CB","?"))</f>
        <v> </v>
      </c>
      <c r="I2548" s="25" t="str">
        <f>IF(OR(E2548="",E2548="!!!",F2548="NEW"),"",INDEX(B2547:B$2,-1+SUMPRODUCT(MAX(ROW(E2547:E$2)*(E2548=E2547:E$2)))))</f>
        <v> </v>
      </c>
      <c r="J2548" s="25" t="str">
        <f>IF(OR(E2548="",E2548="!!!",F2548="NEW"),"",COUNTBLANK(OFFSET(A$1,,,SUMPRODUCT(MAX(ROW(E$2:E2548)*(E2548=E$2:E2548)))))-COUNTBLANK(OFFSET(A$1,,,SUMPRODUCT(MAX(ROW(E$1:E2547)*(E2=E$1:E2547))))))</f>
        <v> </v>
      </c>
      <c r="K2548" s="25" t="str">
        <f>IF(OR(E2548="",E2548="!!!",F2548="NEW"),"",INDEX(J$1:J2547,SUMPRODUCT(MAX(ROW(E$1:E2547)*(E2548=E$1:E2547)))))</f>
        <v> </v>
      </c>
      <c r="L2548" s="26"/>
    </row>
    <row r="2549" spans="1:12">
      <c r="A2549" s="20" t="s">
        <v>609</v>
      </c>
      <c r="E2549" s="21">
        <f>IF(D2549="?OLD","!!!","")</f>
        <v/>
      </c>
      <c r="F2549" s="22" t="str">
        <f>IF(OR(E2549="",E2549="!!!"),"",IF(NOT(ISNA(VLOOKUP(E2549,E$1:E2548,1,FALSE()))),"OLD",IF(AND(E2549&lt;&gt;"",E2549&lt;&gt;"!!!"),"NEW","")))</f>
        <v> </v>
      </c>
      <c r="G2549" s="23" t="str">
        <f>IF(OR(E2549="",E2549="!!!"),"",IF(OR(J2549=0,AND(J2549=1,K2549=1),AND(J2549=1,I2549="SBJ"),AND(J2549=1,I2549=0)),"?IN_FOCUS",IF(J2549&lt;=2,"?ACTIVATED",IF(J2549&lt;&gt;"","?FAMILIAR",IF(F2549="NEW",IF(ISNA(VLOOKUP(E2549,#REF!,1,FALSE())),"?TYPE_IDENTIFIABLE","?REFERENTIAL"),"_")))))</f>
        <v> </v>
      </c>
      <c r="H2549" s="24" t="str">
        <f>IF(J2549&lt;&gt;1,"",IF(I2549="SBJ","CB","?"))</f>
        <v> </v>
      </c>
      <c r="I2549" s="25" t="str">
        <f>IF(OR(E2549="",E2549="!!!",F2549="NEW"),"",INDEX(B2548:B$2,-1+SUMPRODUCT(MAX(ROW(E2548:E$2)*(E2549=E2548:E$2)))))</f>
        <v> </v>
      </c>
      <c r="J2549" s="25" t="str">
        <f>IF(OR(E2549="",E2549="!!!",F2549="NEW"),"",COUNTBLANK(OFFSET(A$1,,,SUMPRODUCT(MAX(ROW(E$2:E2549)*(E2549=E$2:E2549)))))-COUNTBLANK(OFFSET(A$1,,,SUMPRODUCT(MAX(ROW(E$1:E2548)*(E2=E$1:E2548))))))</f>
        <v> </v>
      </c>
      <c r="K2549" s="25" t="str">
        <f>IF(OR(E2549="",E2549="!!!",F2549="NEW"),"",INDEX(J$1:J2548,SUMPRODUCT(MAX(ROW(E$1:E2548)*(E2549=E$1:E2548)))))</f>
        <v> </v>
      </c>
      <c r="L2549" s="26"/>
    </row>
    <row r="2550" spans="1:12">
      <c r="A2550" s="20" t="s">
        <v>1515</v>
      </c>
      <c r="B2550" s="27" t="s">
        <v>606</v>
      </c>
      <c r="C2550" s="27" t="s">
        <v>607</v>
      </c>
      <c r="D2550" s="27" t="s">
        <v>608</v>
      </c>
      <c r="E2550" s="21">
        <f>IF(D2550="?OLD","!!!","")</f>
        <v/>
      </c>
      <c r="F2550" s="22" t="str">
        <f>IF(OR(E2550="",E2550="!!!"),"",IF(NOT(ISNA(VLOOKUP(E2550,E$1:E2549,1,FALSE()))),"OLD",IF(AND(E2550&lt;&gt;"",E2550&lt;&gt;"!!!"),"NEW","")))</f>
        <v> </v>
      </c>
      <c r="G2550" s="23" t="str">
        <f>IF(OR(E2550="",E2550="!!!"),"",IF(OR(J2550=0,AND(J2550=1,K2550=1),AND(J2550=1,I2550="SBJ"),AND(J2550=1,I2550=0)),"?IN_FOCUS",IF(J2550&lt;=2,"?ACTIVATED",IF(J2550&lt;&gt;"","?FAMILIAR",IF(F2550="NEW",IF(ISNA(VLOOKUP(E2550,#REF!,1,FALSE())),"?TYPE_IDENTIFIABLE","?REFERENTIAL"),"_")))))</f>
        <v> </v>
      </c>
      <c r="H2550" s="24" t="str">
        <f>IF(J2550&lt;&gt;1,"",IF(I2550="SBJ","CB","?"))</f>
        <v> </v>
      </c>
      <c r="I2550" s="25" t="str">
        <f>IF(OR(E2550="",E2550="!!!",F2550="NEW"),"",INDEX(B2549:B$2,-1+SUMPRODUCT(MAX(ROW(E2549:E$2)*(E2550=E2549:E$2)))))</f>
        <v> </v>
      </c>
      <c r="J2550" s="25" t="str">
        <f>IF(OR(E2550="",E2550="!!!",F2550="NEW"),"",COUNTBLANK(OFFSET(A$1,,,SUMPRODUCT(MAX(ROW(E$2:E2550)*(E2550=E$2:E2550)))))-COUNTBLANK(OFFSET(A$1,,,SUMPRODUCT(MAX(ROW(E$1:E2549)*(E2=E$1:E2549))))))</f>
        <v> </v>
      </c>
      <c r="K2550" s="25" t="str">
        <f>IF(OR(E2550="",E2550="!!!",F2550="NEW"),"",INDEX(J$1:J2549,SUMPRODUCT(MAX(ROW(E$1:E2549)*(E2550=E$1:E2549)))))</f>
        <v> </v>
      </c>
      <c r="L2550" s="26"/>
    </row>
    <row r="2551" spans="1:12">
      <c r="A2551" s="20" t="s">
        <v>644</v>
      </c>
      <c r="E2551" s="21">
        <f>IF(D2551="?OLD","!!!","")</f>
        <v/>
      </c>
      <c r="F2551" s="22" t="str">
        <f>IF(OR(E2551="",E2551="!!!"),"",IF(NOT(ISNA(VLOOKUP(E2551,E$1:E2550,1,FALSE()))),"OLD",IF(AND(E2551&lt;&gt;"",E2551&lt;&gt;"!!!"),"NEW","")))</f>
        <v> </v>
      </c>
      <c r="G2551" s="23" t="str">
        <f>IF(OR(E2551="",E2551="!!!"),"",IF(OR(J2551=0,AND(J2551=1,K2551=1),AND(J2551=1,I2551="SBJ"),AND(J2551=1,I2551=0)),"?IN_FOCUS",IF(J2551&lt;=2,"?ACTIVATED",IF(J2551&lt;&gt;"","?FAMILIAR",IF(F2551="NEW",IF(ISNA(VLOOKUP(E2551,#REF!,1,FALSE())),"?TYPE_IDENTIFIABLE","?REFERENTIAL"),"_")))))</f>
        <v> </v>
      </c>
      <c r="H2551" s="24" t="str">
        <f>IF(J2551&lt;&gt;1,"",IF(I2551="SBJ","CB","?"))</f>
        <v> </v>
      </c>
      <c r="I2551" s="25" t="str">
        <f>IF(OR(E2551="",E2551="!!!",F2551="NEW"),"",INDEX(B2550:B$2,-1+SUMPRODUCT(MAX(ROW(E2550:E$2)*(E2551=E2550:E$2)))))</f>
        <v> </v>
      </c>
      <c r="J2551" s="25" t="str">
        <f>IF(OR(E2551="",E2551="!!!",F2551="NEW"),"",COUNTBLANK(OFFSET(A$1,,,SUMPRODUCT(MAX(ROW(E$2:E2551)*(E2551=E$2:E2551)))))-COUNTBLANK(OFFSET(A$1,,,SUMPRODUCT(MAX(ROW(E$1:E2550)*(E2=E$1:E2550))))))</f>
        <v> </v>
      </c>
      <c r="K2551" s="25" t="str">
        <f>IF(OR(E2551="",E2551="!!!",F2551="NEW"),"",INDEX(J$1:J2550,SUMPRODUCT(MAX(ROW(E$1:E2550)*(E2551=E$1:E2550)))))</f>
        <v> </v>
      </c>
      <c r="L2551" s="26"/>
    </row>
    <row r="2552" spans="1:12">
      <c r="A2552" s="20" t="s">
        <v>663</v>
      </c>
      <c r="B2552" s="27" t="s">
        <v>664</v>
      </c>
      <c r="C2552" s="27" t="s">
        <v>626</v>
      </c>
      <c r="E2552" s="21">
        <f>IF(D2552="?OLD","!!!","")</f>
        <v/>
      </c>
      <c r="F2552" s="22" t="str">
        <f>IF(OR(E2552="",E2552="!!!"),"",IF(NOT(ISNA(VLOOKUP(E2552,E$1:E2551,1,FALSE()))),"OLD",IF(AND(E2552&lt;&gt;"",E2552&lt;&gt;"!!!"),"NEW","")))</f>
        <v> </v>
      </c>
      <c r="G2552" s="23" t="str">
        <f>IF(OR(E2552="",E2552="!!!"),"",IF(OR(J2552=0,AND(J2552=1,K2552=1),AND(J2552=1,I2552="SBJ"),AND(J2552=1,I2552=0)),"?IN_FOCUS",IF(J2552&lt;=2,"?ACTIVATED",IF(J2552&lt;&gt;"","?FAMILIAR",IF(F2552="NEW",IF(ISNA(VLOOKUP(E2552,#REF!,1,FALSE())),"?TYPE_IDENTIFIABLE","?REFERENTIAL"),"_")))))</f>
        <v> </v>
      </c>
      <c r="H2552" s="24" t="str">
        <f>IF(J2552&lt;&gt;1,"",IF(I2552="SBJ","CB","?"))</f>
        <v> </v>
      </c>
      <c r="I2552" s="25" t="str">
        <f>IF(OR(E2552="",E2552="!!!",F2552="NEW"),"",INDEX(B2551:B$2,-1+SUMPRODUCT(MAX(ROW(E2551:E$2)*(E2552=E2551:E$2)))))</f>
        <v> </v>
      </c>
      <c r="J2552" s="25" t="str">
        <f>IF(OR(E2552="",E2552="!!!",F2552="NEW"),"",COUNTBLANK(OFFSET(A$1,,,SUMPRODUCT(MAX(ROW(E$2:E2552)*(E2552=E$2:E2552)))))-COUNTBLANK(OFFSET(A$1,,,SUMPRODUCT(MAX(ROW(E$1:E2551)*(E2=E$1:E2551))))))</f>
        <v> </v>
      </c>
      <c r="K2552" s="25" t="str">
        <f>IF(OR(E2552="",E2552="!!!",F2552="NEW"),"",INDEX(J$1:J2551,SUMPRODUCT(MAX(ROW(E$1:E2551)*(E2552=E$1:E2551)))))</f>
        <v> </v>
      </c>
      <c r="L2552" s="26"/>
    </row>
    <row r="2553" spans="1:12">
      <c r="A2553" s="20" t="s">
        <v>609</v>
      </c>
      <c r="E2553" s="21">
        <f>IF(D2553="?OLD","!!!","")</f>
        <v/>
      </c>
      <c r="F2553" s="22" t="str">
        <f>IF(OR(E2553="",E2553="!!!"),"",IF(NOT(ISNA(VLOOKUP(E2553,E$1:E2552,1,FALSE()))),"OLD",IF(AND(E2553&lt;&gt;"",E2553&lt;&gt;"!!!"),"NEW","")))</f>
        <v> </v>
      </c>
      <c r="G2553" s="23" t="str">
        <f>IF(OR(E2553="",E2553="!!!"),"",IF(OR(J2553=0,AND(J2553=1,K2553=1),AND(J2553=1,I2553="SBJ"),AND(J2553=1,I2553=0)),"?IN_FOCUS",IF(J2553&lt;=2,"?ACTIVATED",IF(J2553&lt;&gt;"","?FAMILIAR",IF(F2553="NEW",IF(ISNA(VLOOKUP(E2553,#REF!,1,FALSE())),"?TYPE_IDENTIFIABLE","?REFERENTIAL"),"_")))))</f>
        <v> </v>
      </c>
      <c r="H2553" s="24" t="str">
        <f>IF(J2553&lt;&gt;1,"",IF(I2553="SBJ","CB","?"))</f>
        <v> </v>
      </c>
      <c r="I2553" s="25" t="str">
        <f>IF(OR(E2553="",E2553="!!!",F2553="NEW"),"",INDEX(B2552:B$2,-1+SUMPRODUCT(MAX(ROW(E2552:E$2)*(E2553=E2552:E$2)))))</f>
        <v> </v>
      </c>
      <c r="J2553" s="25" t="str">
        <f>IF(OR(E2553="",E2553="!!!",F2553="NEW"),"",COUNTBLANK(OFFSET(A$1,,,SUMPRODUCT(MAX(ROW(E$2:E2553)*(E2553=E$2:E2553)))))-COUNTBLANK(OFFSET(A$1,,,SUMPRODUCT(MAX(ROW(E$1:E2552)*(E2=E$1:E2552))))))</f>
        <v> </v>
      </c>
      <c r="K2553" s="25" t="str">
        <f>IF(OR(E2553="",E2553="!!!",F2553="NEW"),"",INDEX(J$1:J2552,SUMPRODUCT(MAX(ROW(E$1:E2552)*(E2553=E$1:E2552)))))</f>
        <v> </v>
      </c>
      <c r="L2553" s="26"/>
    </row>
    <row r="2554" spans="1:12">
      <c r="A2554" s="20" t="s">
        <v>1516</v>
      </c>
      <c r="B2554" s="27" t="s">
        <v>625</v>
      </c>
      <c r="C2554" s="27" t="s">
        <v>607</v>
      </c>
      <c r="D2554" s="27" t="s">
        <v>608</v>
      </c>
      <c r="E2554" s="21">
        <f>IF(D2554="?OLD","!!!","")</f>
        <v/>
      </c>
      <c r="F2554" s="22" t="str">
        <f>IF(OR(E2554="",E2554="!!!"),"",IF(NOT(ISNA(VLOOKUP(E2554,E$1:E2553,1,FALSE()))),"OLD",IF(AND(E2554&lt;&gt;"",E2554&lt;&gt;"!!!"),"NEW","")))</f>
        <v> </v>
      </c>
      <c r="G2554" s="23" t="str">
        <f>IF(OR(E2554="",E2554="!!!"),"",IF(OR(J2554=0,AND(J2554=1,K2554=1),AND(J2554=1,I2554="SBJ"),AND(J2554=1,I2554=0)),"?IN_FOCUS",IF(J2554&lt;=2,"?ACTIVATED",IF(J2554&lt;&gt;"","?FAMILIAR",IF(F2554="NEW",IF(ISNA(VLOOKUP(E2554,#REF!,1,FALSE())),"?TYPE_IDENTIFIABLE","?REFERENTIAL"),"_")))))</f>
        <v> </v>
      </c>
      <c r="H2554" s="24" t="str">
        <f>IF(J2554&lt;&gt;1,"",IF(I2554="SBJ","CB","?"))</f>
        <v> </v>
      </c>
      <c r="I2554" s="25" t="str">
        <f>IF(OR(E2554="",E2554="!!!",F2554="NEW"),"",INDEX(B2553:B$2,-1+SUMPRODUCT(MAX(ROW(E2553:E$2)*(E2554=E2553:E$2)))))</f>
        <v> </v>
      </c>
      <c r="J2554" s="25" t="str">
        <f>IF(OR(E2554="",E2554="!!!",F2554="NEW"),"",COUNTBLANK(OFFSET(A$1,,,SUMPRODUCT(MAX(ROW(E$2:E2554)*(E2554=E$2:E2554)))))-COUNTBLANK(OFFSET(A$1,,,SUMPRODUCT(MAX(ROW(E$1:E2553)*(E2=E$1:E2553))))))</f>
        <v> </v>
      </c>
      <c r="K2554" s="25" t="str">
        <f>IF(OR(E2554="",E2554="!!!",F2554="NEW"),"",INDEX(J$1:J2553,SUMPRODUCT(MAX(ROW(E$1:E2553)*(E2554=E$1:E2553)))))</f>
        <v> </v>
      </c>
      <c r="L2554" s="26"/>
    </row>
    <row r="2555" spans="1:12">
      <c r="A2555" s="20" t="s">
        <v>1265</v>
      </c>
      <c r="E2555" s="21">
        <f>IF(D2555="?OLD","!!!","")</f>
        <v/>
      </c>
      <c r="F2555" s="22" t="str">
        <f>IF(OR(E2555="",E2555="!!!"),"",IF(NOT(ISNA(VLOOKUP(E2555,E$1:E2554,1,FALSE()))),"OLD",IF(AND(E2555&lt;&gt;"",E2555&lt;&gt;"!!!"),"NEW","")))</f>
        <v> </v>
      </c>
      <c r="G2555" s="23" t="str">
        <f>IF(OR(E2555="",E2555="!!!"),"",IF(OR(J2555=0,AND(J2555=1,K2555=1),AND(J2555=1,I2555="SBJ"),AND(J2555=1,I2555=0)),"?IN_FOCUS",IF(J2555&lt;=2,"?ACTIVATED",IF(J2555&lt;&gt;"","?FAMILIAR",IF(F2555="NEW",IF(ISNA(VLOOKUP(E2555,#REF!,1,FALSE())),"?TYPE_IDENTIFIABLE","?REFERENTIAL"),"_")))))</f>
        <v> </v>
      </c>
      <c r="H2555" s="24" t="str">
        <f>IF(J2555&lt;&gt;1,"",IF(I2555="SBJ","CB","?"))</f>
        <v> </v>
      </c>
      <c r="I2555" s="25" t="str">
        <f>IF(OR(E2555="",E2555="!!!",F2555="NEW"),"",INDEX(B2554:B$2,-1+SUMPRODUCT(MAX(ROW(E2554:E$2)*(E2555=E2554:E$2)))))</f>
        <v> </v>
      </c>
      <c r="J2555" s="25" t="str">
        <f>IF(OR(E2555="",E2555="!!!",F2555="NEW"),"",COUNTBLANK(OFFSET(A$1,,,SUMPRODUCT(MAX(ROW(E$2:E2555)*(E2555=E$2:E2555)))))-COUNTBLANK(OFFSET(A$1,,,SUMPRODUCT(MAX(ROW(E$1:E2554)*(E2=E$1:E2554))))))</f>
        <v> </v>
      </c>
      <c r="K2555" s="25" t="str">
        <f>IF(OR(E2555="",E2555="!!!",F2555="NEW"),"",INDEX(J$1:J2554,SUMPRODUCT(MAX(ROW(E$1:E2554)*(E2555=E$1:E2554)))))</f>
        <v> </v>
      </c>
      <c r="L2555" s="26"/>
    </row>
    <row r="2556" spans="1:12">
      <c r="A2556" s="20" t="s">
        <v>633</v>
      </c>
      <c r="E2556" s="21">
        <f>IF(D2556="?OLD","!!!","")</f>
        <v/>
      </c>
      <c r="F2556" s="22" t="str">
        <f>IF(OR(E2556="",E2556="!!!"),"",IF(NOT(ISNA(VLOOKUP(E2556,E$1:E2555,1,FALSE()))),"OLD",IF(AND(E2556&lt;&gt;"",E2556&lt;&gt;"!!!"),"NEW","")))</f>
        <v> </v>
      </c>
      <c r="G2556" s="23" t="str">
        <f>IF(OR(E2556="",E2556="!!!"),"",IF(OR(J2556=0,AND(J2556=1,K2556=1),AND(J2556=1,I2556="SBJ"),AND(J2556=1,I2556=0)),"?IN_FOCUS",IF(J2556&lt;=2,"?ACTIVATED",IF(J2556&lt;&gt;"","?FAMILIAR",IF(F2556="NEW",IF(ISNA(VLOOKUP(E2556,#REF!,1,FALSE())),"?TYPE_IDENTIFIABLE","?REFERENTIAL"),"_")))))</f>
        <v> </v>
      </c>
      <c r="H2556" s="24" t="str">
        <f>IF(J2556&lt;&gt;1,"",IF(I2556="SBJ","CB","?"))</f>
        <v> </v>
      </c>
      <c r="I2556" s="25" t="str">
        <f>IF(OR(E2556="",E2556="!!!",F2556="NEW"),"",INDEX(B2555:B$2,-1+SUMPRODUCT(MAX(ROW(E2555:E$2)*(E2556=E2555:E$2)))))</f>
        <v> </v>
      </c>
      <c r="J2556" s="25" t="str">
        <f>IF(OR(E2556="",E2556="!!!",F2556="NEW"),"",COUNTBLANK(OFFSET(A$1,,,SUMPRODUCT(MAX(ROW(E$2:E2556)*(E2556=E$2:E2556)))))-COUNTBLANK(OFFSET(A$1,,,SUMPRODUCT(MAX(ROW(E$1:E2555)*(E2=E$1:E2555))))))</f>
        <v> </v>
      </c>
      <c r="K2556" s="25" t="str">
        <f>IF(OR(E2556="",E2556="!!!",F2556="NEW"),"",INDEX(J$1:J2555,SUMPRODUCT(MAX(ROW(E$1:E2555)*(E2556=E$1:E2555)))))</f>
        <v> </v>
      </c>
      <c r="L2556" s="26"/>
    </row>
    <row r="2557" spans="1:12">
      <c r="A2557" s="20" t="s">
        <v>1216</v>
      </c>
      <c r="E2557" s="21">
        <f>IF(D2557="?OLD","!!!","")</f>
        <v/>
      </c>
      <c r="F2557" s="22" t="str">
        <f>IF(OR(E2557="",E2557="!!!"),"",IF(NOT(ISNA(VLOOKUP(E2557,E$1:E2556,1,FALSE()))),"OLD",IF(AND(E2557&lt;&gt;"",E2557&lt;&gt;"!!!"),"NEW","")))</f>
        <v> </v>
      </c>
      <c r="G2557" s="23" t="str">
        <f>IF(OR(E2557="",E2557="!!!"),"",IF(OR(J2557=0,AND(J2557=1,K2557=1),AND(J2557=1,I2557="SBJ"),AND(J2557=1,I2557=0)),"?IN_FOCUS",IF(J2557&lt;=2,"?ACTIVATED",IF(J2557&lt;&gt;"","?FAMILIAR",IF(F2557="NEW",IF(ISNA(VLOOKUP(E2557,#REF!,1,FALSE())),"?TYPE_IDENTIFIABLE","?REFERENTIAL"),"_")))))</f>
        <v> </v>
      </c>
      <c r="H2557" s="24" t="str">
        <f>IF(J2557&lt;&gt;1,"",IF(I2557="SBJ","CB","?"))</f>
        <v> </v>
      </c>
      <c r="I2557" s="25" t="str">
        <f>IF(OR(E2557="",E2557="!!!",F2557="NEW"),"",INDEX(B2556:B$2,-1+SUMPRODUCT(MAX(ROW(E2556:E$2)*(E2557=E2556:E$2)))))</f>
        <v> </v>
      </c>
      <c r="J2557" s="25" t="str">
        <f>IF(OR(E2557="",E2557="!!!",F2557="NEW"),"",COUNTBLANK(OFFSET(A$1,,,SUMPRODUCT(MAX(ROW(E$2:E2557)*(E2557=E$2:E2557)))))-COUNTBLANK(OFFSET(A$1,,,SUMPRODUCT(MAX(ROW(E$1:E2556)*(E2=E$1:E2556))))))</f>
        <v> </v>
      </c>
      <c r="K2557" s="25" t="str">
        <f>IF(OR(E2557="",E2557="!!!",F2557="NEW"),"",INDEX(J$1:J2556,SUMPRODUCT(MAX(ROW(E$1:E2556)*(E2557=E$1:E2556)))))</f>
        <v> </v>
      </c>
      <c r="L2557" s="26"/>
    </row>
    <row r="2558" spans="1:12">
      <c r="A2558" s="20"/>
    </row>
    <row r="2559" spans="1:12">
      <c r="A2559" s="20" t="s">
        <v>1517</v>
      </c>
    </row>
    <row r="2560" spans="1:12">
      <c r="A2560" s="20" t="s">
        <v>1518</v>
      </c>
      <c r="E2560" s="21">
        <f>IF(D2560="?OLD","!!!","")</f>
        <v/>
      </c>
      <c r="F2560" s="22" t="str">
        <f>IF(OR(E2560="",E2560="!!!"),"",IF(NOT(ISNA(VLOOKUP(E2560,E$1:E2559,1,FALSE()))),"OLD",IF(AND(E2560&lt;&gt;"",E2560&lt;&gt;"!!!"),"NEW","")))</f>
        <v> </v>
      </c>
      <c r="G2560" s="23" t="str">
        <f>IF(OR(E2560="",E2560="!!!"),"",IF(OR(J2560=0,AND(J2560=1,K2560=1),AND(J2560=1,I2560="SBJ"),AND(J2560=1,I2560=0)),"?IN_FOCUS",IF(J2560&lt;=2,"?ACTIVATED",IF(J2560&lt;&gt;"","?FAMILIAR",IF(F2560="NEW",IF(ISNA(VLOOKUP(E2560,#REF!,1,FALSE())),"?TYPE_IDENTIFIABLE","?REFERENTIAL"),"_")))))</f>
        <v> </v>
      </c>
      <c r="H2560" s="24" t="str">
        <f>IF(J2560&lt;&gt;1,"",IF(I2560="SBJ","CB","?"))</f>
        <v> </v>
      </c>
      <c r="I2560" s="25" t="str">
        <f>IF(OR(E2560="",E2560="!!!",F2560="NEW"),"",INDEX(B2559:B$2,-1+SUMPRODUCT(MAX(ROW(E2559:E$2)*(E2560=E2559:E$2)))))</f>
        <v> </v>
      </c>
      <c r="J2560" s="25" t="str">
        <f>IF(OR(E2560="",E2560="!!!",F2560="NEW"),"",COUNTBLANK(OFFSET(A$1,,,SUMPRODUCT(MAX(ROW(E$2:E2560)*(E2560=E$2:E2560)))))-COUNTBLANK(OFFSET(A$1,,,SUMPRODUCT(MAX(ROW(E$1:E2559)*(E2=E$1:E2559))))))</f>
        <v> </v>
      </c>
      <c r="K2560" s="25" t="str">
        <f>IF(OR(E2560="",E2560="!!!",F2560="NEW"),"",INDEX(J$1:J2559,SUMPRODUCT(MAX(ROW(E$1:E2559)*(E2560=E$1:E2559)))))</f>
        <v> </v>
      </c>
      <c r="L2560" s="26"/>
    </row>
    <row r="2561" spans="1:12">
      <c r="A2561" s="20" t="s">
        <v>651</v>
      </c>
      <c r="B2561" s="27" t="s">
        <v>636</v>
      </c>
      <c r="C2561" s="27" t="s">
        <v>652</v>
      </c>
      <c r="D2561" s="27" t="s">
        <v>608</v>
      </c>
      <c r="E2561" s="21">
        <f>IF(D2561="?OLD","!!!","")</f>
        <v/>
      </c>
      <c r="F2561" s="22" t="str">
        <f>IF(OR(E2561="",E2561="!!!"),"",IF(NOT(ISNA(VLOOKUP(E2561,E$1:E2560,1,FALSE()))),"OLD",IF(AND(E2561&lt;&gt;"",E2561&lt;&gt;"!!!"),"NEW","")))</f>
        <v> </v>
      </c>
      <c r="G2561" s="23" t="str">
        <f>IF(OR(E2561="",E2561="!!!"),"",IF(OR(J2561=0,AND(J2561=1,K2561=1),AND(J2561=1,I2561="SBJ"),AND(J2561=1,I2561=0)),"?IN_FOCUS",IF(J2561&lt;=2,"?ACTIVATED",IF(J2561&lt;&gt;"","?FAMILIAR",IF(F2561="NEW",IF(ISNA(VLOOKUP(E2561,#REF!,1,FALSE())),"?TYPE_IDENTIFIABLE","?REFERENTIAL"),"_")))))</f>
        <v> </v>
      </c>
      <c r="H2561" s="24" t="str">
        <f>IF(J2561&lt;&gt;1,"",IF(I2561="SBJ","CB","?"))</f>
        <v> </v>
      </c>
      <c r="I2561" s="25" t="str">
        <f>IF(OR(E2561="",E2561="!!!",F2561="NEW"),"",INDEX(B2560:B$2,-1+SUMPRODUCT(MAX(ROW(E2560:E$2)*(E2561=E2560:E$2)))))</f>
        <v> </v>
      </c>
      <c r="J2561" s="25" t="str">
        <f>IF(OR(E2561="",E2561="!!!",F2561="NEW"),"",COUNTBLANK(OFFSET(A$1,,,SUMPRODUCT(MAX(ROW(E$2:E2561)*(E2561=E$2:E2561)))))-COUNTBLANK(OFFSET(A$1,,,SUMPRODUCT(MAX(ROW(E$1:E2560)*(E2=E$1:E2560))))))</f>
        <v> </v>
      </c>
      <c r="K2561" s="25" t="str">
        <f>IF(OR(E2561="",E2561="!!!",F2561="NEW"),"",INDEX(J$1:J2560,SUMPRODUCT(MAX(ROW(E$1:E2560)*(E2561=E$1:E2560)))))</f>
        <v> </v>
      </c>
      <c r="L2561" s="26"/>
    </row>
    <row r="2562" spans="1:12">
      <c r="A2562" s="20" t="s">
        <v>690</v>
      </c>
      <c r="B2562" s="27" t="s">
        <v>653</v>
      </c>
      <c r="C2562" s="27" t="s">
        <v>614</v>
      </c>
      <c r="D2562" s="27" t="s">
        <v>608</v>
      </c>
      <c r="E2562" s="21">
        <f>IF(D2562="?OLD","!!!","")</f>
        <v/>
      </c>
      <c r="F2562" s="22" t="str">
        <f>IF(OR(E2562="",E2562="!!!"),"",IF(NOT(ISNA(VLOOKUP(E2562,E$1:E2561,1,FALSE()))),"OLD",IF(AND(E2562&lt;&gt;"",E2562&lt;&gt;"!!!"),"NEW","")))</f>
        <v> </v>
      </c>
      <c r="G2562" s="23" t="str">
        <f>IF(OR(E2562="",E2562="!!!"),"",IF(OR(J2562=0,AND(J2562=1,K2562=1),AND(J2562=1,I2562="SBJ"),AND(J2562=1,I2562=0)),"?IN_FOCUS",IF(J2562&lt;=2,"?ACTIVATED",IF(J2562&lt;&gt;"","?FAMILIAR",IF(F2562="NEW",IF(ISNA(VLOOKUP(E2562,#REF!,1,FALSE())),"?TYPE_IDENTIFIABLE","?REFERENTIAL"),"_")))))</f>
        <v> </v>
      </c>
      <c r="H2562" s="24" t="str">
        <f>IF(J2562&lt;&gt;1,"",IF(I2562="SBJ","CB","?"))</f>
        <v> </v>
      </c>
      <c r="I2562" s="25" t="str">
        <f>IF(OR(E2562="",E2562="!!!",F2562="NEW"),"",INDEX(B2561:B$2,-1+SUMPRODUCT(MAX(ROW(E2561:E$2)*(E2562=E2561:E$2)))))</f>
        <v> </v>
      </c>
      <c r="J2562" s="25" t="str">
        <f>IF(OR(E2562="",E2562="!!!",F2562="NEW"),"",COUNTBLANK(OFFSET(A$1,,,SUMPRODUCT(MAX(ROW(E$2:E2562)*(E2562=E$2:E2562)))))-COUNTBLANK(OFFSET(A$1,,,SUMPRODUCT(MAX(ROW(E$1:E2561)*(E2=E$1:E2561))))))</f>
        <v> </v>
      </c>
      <c r="K2562" s="25" t="str">
        <f>IF(OR(E2562="",E2562="!!!",F2562="NEW"),"",INDEX(J$1:J2561,SUMPRODUCT(MAX(ROW(E$1:E2561)*(E2562=E$1:E2561)))))</f>
        <v> </v>
      </c>
      <c r="L2562" s="26"/>
    </row>
    <row r="2563" spans="1:12">
      <c r="A2563" s="20" t="s">
        <v>453</v>
      </c>
      <c r="E2563" s="21">
        <f>IF(D2563="?OLD","!!!","")</f>
        <v/>
      </c>
      <c r="F2563" s="22" t="str">
        <f>IF(OR(E2563="",E2563="!!!"),"",IF(NOT(ISNA(VLOOKUP(E2563,E$1:E2562,1,FALSE()))),"OLD",IF(AND(E2563&lt;&gt;"",E2563&lt;&gt;"!!!"),"NEW","")))</f>
        <v> </v>
      </c>
      <c r="G2563" s="23" t="str">
        <f>IF(OR(E2563="",E2563="!!!"),"",IF(OR(J2563=0,AND(J2563=1,K2563=1),AND(J2563=1,I2563="SBJ"),AND(J2563=1,I2563=0)),"?IN_FOCUS",IF(J2563&lt;=2,"?ACTIVATED",IF(J2563&lt;&gt;"","?FAMILIAR",IF(F2563="NEW",IF(ISNA(VLOOKUP(E2563,#REF!,1,FALSE())),"?TYPE_IDENTIFIABLE","?REFERENTIAL"),"_")))))</f>
        <v> </v>
      </c>
      <c r="H2563" s="24" t="str">
        <f>IF(J2563&lt;&gt;1,"",IF(I2563="SBJ","CB","?"))</f>
        <v> </v>
      </c>
      <c r="I2563" s="25" t="str">
        <f>IF(OR(E2563="",E2563="!!!",F2563="NEW"),"",INDEX(B2562:B$2,-1+SUMPRODUCT(MAX(ROW(E2562:E$2)*(E2563=E2562:E$2)))))</f>
        <v> </v>
      </c>
      <c r="J2563" s="25" t="str">
        <f>IF(OR(E2563="",E2563="!!!",F2563="NEW"),"",COUNTBLANK(OFFSET(A$1,,,SUMPRODUCT(MAX(ROW(E$2:E2563)*(E2563=E$2:E2563)))))-COUNTBLANK(OFFSET(A$1,,,SUMPRODUCT(MAX(ROW(E$1:E2562)*(E2=E$1:E2562))))))</f>
        <v> </v>
      </c>
      <c r="K2563" s="25" t="str">
        <f>IF(OR(E2563="",E2563="!!!",F2563="NEW"),"",INDEX(J$1:J2562,SUMPRODUCT(MAX(ROW(E$1:E2562)*(E2563=E$1:E2562)))))</f>
        <v> </v>
      </c>
      <c r="L2563" s="26"/>
    </row>
    <row r="2564" spans="1:12">
      <c r="A2564" s="20" t="s">
        <v>767</v>
      </c>
      <c r="E2564" s="21">
        <f>IF(D2564="?OLD","!!!","")</f>
        <v/>
      </c>
      <c r="F2564" s="22" t="str">
        <f>IF(OR(E2564="",E2564="!!!"),"",IF(NOT(ISNA(VLOOKUP(E2564,E$1:E2563,1,FALSE()))),"OLD",IF(AND(E2564&lt;&gt;"",E2564&lt;&gt;"!!!"),"NEW","")))</f>
        <v> </v>
      </c>
      <c r="G2564" s="23" t="str">
        <f>IF(OR(E2564="",E2564="!!!"),"",IF(OR(J2564=0,AND(J2564=1,K2564=1),AND(J2564=1,I2564="SBJ"),AND(J2564=1,I2564=0)),"?IN_FOCUS",IF(J2564&lt;=2,"?ACTIVATED",IF(J2564&lt;&gt;"","?FAMILIAR",IF(F2564="NEW",IF(ISNA(VLOOKUP(E2564,#REF!,1,FALSE())),"?TYPE_IDENTIFIABLE","?REFERENTIAL"),"_")))))</f>
        <v> </v>
      </c>
      <c r="H2564" s="24" t="str">
        <f>IF(J2564&lt;&gt;1,"",IF(I2564="SBJ","CB","?"))</f>
        <v> </v>
      </c>
      <c r="I2564" s="25" t="str">
        <f>IF(OR(E2564="",E2564="!!!",F2564="NEW"),"",INDEX(B2563:B$2,-1+SUMPRODUCT(MAX(ROW(E2563:E$2)*(E2564=E2563:E$2)))))</f>
        <v> </v>
      </c>
      <c r="J2564" s="25" t="str">
        <f>IF(OR(E2564="",E2564="!!!",F2564="NEW"),"",COUNTBLANK(OFFSET(A$1,,,SUMPRODUCT(MAX(ROW(E$2:E2564)*(E2564=E$2:E2564)))))-COUNTBLANK(OFFSET(A$1,,,SUMPRODUCT(MAX(ROW(E$1:E2563)*(E2=E$1:E2563))))))</f>
        <v> </v>
      </c>
      <c r="K2564" s="25" t="str">
        <f>IF(OR(E2564="",E2564="!!!",F2564="NEW"),"",INDEX(J$1:J2563,SUMPRODUCT(MAX(ROW(E$1:E2563)*(E2564=E$1:E2563)))))</f>
        <v> </v>
      </c>
      <c r="L2564" s="26"/>
    </row>
    <row r="2565" spans="1:12">
      <c r="A2565" s="20"/>
    </row>
    <row r="2566" spans="1:12">
      <c r="A2566" s="20" t="s">
        <v>1519</v>
      </c>
    </row>
    <row r="2567" spans="1:12">
      <c r="A2567" s="20" t="s">
        <v>661</v>
      </c>
      <c r="E2567" s="21">
        <f>IF(D2567="?OLD","!!!","")</f>
        <v/>
      </c>
      <c r="F2567" s="22" t="str">
        <f>IF(OR(E2567="",E2567="!!!"),"",IF(NOT(ISNA(VLOOKUP(E2567,E$1:E2566,1,FALSE()))),"OLD",IF(AND(E2567&lt;&gt;"",E2567&lt;&gt;"!!!"),"NEW","")))</f>
        <v> </v>
      </c>
      <c r="G2567" s="23" t="str">
        <f>IF(OR(E2567="",E2567="!!!"),"",IF(OR(J2567=0,AND(J2567=1,K2567=1),AND(J2567=1,I2567="SBJ"),AND(J2567=1,I2567=0)),"?IN_FOCUS",IF(J2567&lt;=2,"?ACTIVATED",IF(J2567&lt;&gt;"","?FAMILIAR",IF(F2567="NEW",IF(ISNA(VLOOKUP(E2567,#REF!,1,FALSE())),"?TYPE_IDENTIFIABLE","?REFERENTIAL"),"_")))))</f>
        <v> </v>
      </c>
      <c r="H2567" s="24" t="str">
        <f>IF(J2567&lt;&gt;1,"",IF(I2567="SBJ","CB","?"))</f>
        <v> </v>
      </c>
      <c r="I2567" s="25" t="str">
        <f>IF(OR(E2567="",E2567="!!!",F2567="NEW"),"",INDEX(B2566:B$2,-1+SUMPRODUCT(MAX(ROW(E2566:E$2)*(E2567=E2566:E$2)))))</f>
        <v> </v>
      </c>
      <c r="J2567" s="25" t="str">
        <f>IF(OR(E2567="",E2567="!!!",F2567="NEW"),"",COUNTBLANK(OFFSET(A$1,,,SUMPRODUCT(MAX(ROW(E$2:E2567)*(E2567=E$2:E2567)))))-COUNTBLANK(OFFSET(A$1,,,SUMPRODUCT(MAX(ROW(E$1:E2566)*(E2=E$1:E2566))))))</f>
        <v> </v>
      </c>
      <c r="K2567" s="25" t="str">
        <f>IF(OR(E2567="",E2567="!!!",F2567="NEW"),"",INDEX(J$1:J2566,SUMPRODUCT(MAX(ROW(E$1:E2566)*(E2567=E$1:E2566)))))</f>
        <v> </v>
      </c>
      <c r="L2567" s="26"/>
    </row>
    <row r="2568" spans="1:12">
      <c r="A2568" s="20" t="s">
        <v>790</v>
      </c>
      <c r="B2568" s="27" t="s">
        <v>636</v>
      </c>
      <c r="C2568" s="27" t="s">
        <v>637</v>
      </c>
      <c r="D2568" s="27" t="s">
        <v>608</v>
      </c>
      <c r="E2568" s="21">
        <f>IF(D2568="?OLD","!!!","")</f>
        <v/>
      </c>
      <c r="F2568" s="22" t="str">
        <f>IF(OR(E2568="",E2568="!!!"),"",IF(NOT(ISNA(VLOOKUP(E2568,E$1:E2567,1,FALSE()))),"OLD",IF(AND(E2568&lt;&gt;"",E2568&lt;&gt;"!!!"),"NEW","")))</f>
        <v> </v>
      </c>
      <c r="G2568" s="23" t="str">
        <f>IF(OR(E2568="",E2568="!!!"),"",IF(OR(J2568=0,AND(J2568=1,K2568=1),AND(J2568=1,I2568="SBJ"),AND(J2568=1,I2568=0)),"?IN_FOCUS",IF(J2568&lt;=2,"?ACTIVATED",IF(J2568&lt;&gt;"","?FAMILIAR",IF(F2568="NEW",IF(ISNA(VLOOKUP(E2568,#REF!,1,FALSE())),"?TYPE_IDENTIFIABLE","?REFERENTIAL"),"_")))))</f>
        <v> </v>
      </c>
      <c r="H2568" s="24" t="str">
        <f>IF(J2568&lt;&gt;1,"",IF(I2568="SBJ","CB","?"))</f>
        <v> </v>
      </c>
      <c r="I2568" s="25" t="str">
        <f>IF(OR(E2568="",E2568="!!!",F2568="NEW"),"",INDEX(B2567:B$2,-1+SUMPRODUCT(MAX(ROW(E2567:E$2)*(E2568=E2567:E$2)))))</f>
        <v> </v>
      </c>
      <c r="J2568" s="25" t="str">
        <f>IF(OR(E2568="",E2568="!!!",F2568="NEW"),"",COUNTBLANK(OFFSET(A$1,,,SUMPRODUCT(MAX(ROW(E$2:E2568)*(E2568=E$2:E2568)))))-COUNTBLANK(OFFSET(A$1,,,SUMPRODUCT(MAX(ROW(E$1:E2567)*(E2=E$1:E2567))))))</f>
        <v> </v>
      </c>
      <c r="K2568" s="25" t="str">
        <f>IF(OR(E2568="",E2568="!!!",F2568="NEW"),"",INDEX(J$1:J2567,SUMPRODUCT(MAX(ROW(E$1:E2567)*(E2568=E$1:E2567)))))</f>
        <v> </v>
      </c>
      <c r="L2568" s="26"/>
    </row>
    <row r="2569" spans="1:12">
      <c r="A2569" s="20" t="s">
        <v>1520</v>
      </c>
      <c r="E2569" s="21">
        <f>IF(D2569="?OLD","!!!","")</f>
        <v/>
      </c>
      <c r="F2569" s="22" t="str">
        <f>IF(OR(E2569="",E2569="!!!"),"",IF(NOT(ISNA(VLOOKUP(E2569,E$1:E2568,1,FALSE()))),"OLD",IF(AND(E2569&lt;&gt;"",E2569&lt;&gt;"!!!"),"NEW","")))</f>
        <v> </v>
      </c>
      <c r="G2569" s="23" t="str">
        <f>IF(OR(E2569="",E2569="!!!"),"",IF(OR(J2569=0,AND(J2569=1,K2569=1),AND(J2569=1,I2569="SBJ"),AND(J2569=1,I2569=0)),"?IN_FOCUS",IF(J2569&lt;=2,"?ACTIVATED",IF(J2569&lt;&gt;"","?FAMILIAR",IF(F2569="NEW",IF(ISNA(VLOOKUP(E2569,#REF!,1,FALSE())),"?TYPE_IDENTIFIABLE","?REFERENTIAL"),"_")))))</f>
        <v> </v>
      </c>
      <c r="H2569" s="24" t="str">
        <f>IF(J2569&lt;&gt;1,"",IF(I2569="SBJ","CB","?"))</f>
        <v> </v>
      </c>
      <c r="I2569" s="25" t="str">
        <f>IF(OR(E2569="",E2569="!!!",F2569="NEW"),"",INDEX(B2568:B$2,-1+SUMPRODUCT(MAX(ROW(E2568:E$2)*(E2569=E2568:E$2)))))</f>
        <v> </v>
      </c>
      <c r="J2569" s="25" t="str">
        <f>IF(OR(E2569="",E2569="!!!",F2569="NEW"),"",COUNTBLANK(OFFSET(A$1,,,SUMPRODUCT(MAX(ROW(E$2:E2569)*(E2569=E$2:E2569)))))-COUNTBLANK(OFFSET(A$1,,,SUMPRODUCT(MAX(ROW(E$1:E2568)*(E2=E$1:E2568))))))</f>
        <v> </v>
      </c>
      <c r="K2569" s="25" t="str">
        <f>IF(OR(E2569="",E2569="!!!",F2569="NEW"),"",INDEX(J$1:J2568,SUMPRODUCT(MAX(ROW(E$1:E2568)*(E2569=E$1:E2568)))))</f>
        <v> </v>
      </c>
      <c r="L2569" s="26"/>
    </row>
    <row r="2570" spans="1:12">
      <c r="A2570" s="20" t="s">
        <v>771</v>
      </c>
      <c r="B2570" s="27" t="s">
        <v>653</v>
      </c>
      <c r="E2570" s="21">
        <f>IF(D2570="?OLD","!!!","")</f>
        <v/>
      </c>
      <c r="F2570" s="22" t="str">
        <f>IF(OR(E2570="",E2570="!!!"),"",IF(NOT(ISNA(VLOOKUP(E2570,E$1:E2569,1,FALSE()))),"OLD",IF(AND(E2570&lt;&gt;"",E2570&lt;&gt;"!!!"),"NEW","")))</f>
        <v> </v>
      </c>
      <c r="G2570" s="23" t="str">
        <f>IF(OR(E2570="",E2570="!!!"),"",IF(OR(J2570=0,AND(J2570=1,K2570=1),AND(J2570=1,I2570="SBJ"),AND(J2570=1,I2570=0)),"?IN_FOCUS",IF(J2570&lt;=2,"?ACTIVATED",IF(J2570&lt;&gt;"","?FAMILIAR",IF(F2570="NEW",IF(ISNA(VLOOKUP(E2570,#REF!,1,FALSE())),"?TYPE_IDENTIFIABLE","?REFERENTIAL"),"_")))))</f>
        <v> </v>
      </c>
      <c r="H2570" s="24" t="str">
        <f>IF(J2570&lt;&gt;1,"",IF(I2570="SBJ","CB","?"))</f>
        <v> </v>
      </c>
      <c r="I2570" s="25" t="str">
        <f>IF(OR(E2570="",E2570="!!!",F2570="NEW"),"",INDEX(B2569:B$2,-1+SUMPRODUCT(MAX(ROW(E2569:E$2)*(E2570=E2569:E$2)))))</f>
        <v> </v>
      </c>
      <c r="J2570" s="25" t="str">
        <f>IF(OR(E2570="",E2570="!!!",F2570="NEW"),"",COUNTBLANK(OFFSET(A$1,,,SUMPRODUCT(MAX(ROW(E$2:E2570)*(E2570=E$2:E2570)))))-COUNTBLANK(OFFSET(A$1,,,SUMPRODUCT(MAX(ROW(E$1:E2569)*(E2=E$1:E2569))))))</f>
        <v> </v>
      </c>
      <c r="K2570" s="25" t="str">
        <f>IF(OR(E2570="",E2570="!!!",F2570="NEW"),"",INDEX(J$1:J2569,SUMPRODUCT(MAX(ROW(E$1:E2569)*(E2570=E$1:E2569)))))</f>
        <v> </v>
      </c>
      <c r="L2570" s="26"/>
    </row>
    <row r="2571" spans="1:12">
      <c r="A2571" s="20" t="s">
        <v>617</v>
      </c>
      <c r="E2571" s="21">
        <f>IF(D2571="?OLD","!!!","")</f>
        <v/>
      </c>
      <c r="F2571" s="22" t="str">
        <f>IF(OR(E2571="",E2571="!!!"),"",IF(NOT(ISNA(VLOOKUP(E2571,E$1:E2570,1,FALSE()))),"OLD",IF(AND(E2571&lt;&gt;"",E2571&lt;&gt;"!!!"),"NEW","")))</f>
        <v> </v>
      </c>
      <c r="G2571" s="23" t="str">
        <f>IF(OR(E2571="",E2571="!!!"),"",IF(OR(J2571=0,AND(J2571=1,K2571=1),AND(J2571=1,I2571="SBJ"),AND(J2571=1,I2571=0)),"?IN_FOCUS",IF(J2571&lt;=2,"?ACTIVATED",IF(J2571&lt;&gt;"","?FAMILIAR",IF(F2571="NEW",IF(ISNA(VLOOKUP(E2571,#REF!,1,FALSE())),"?TYPE_IDENTIFIABLE","?REFERENTIAL"),"_")))))</f>
        <v> </v>
      </c>
      <c r="H2571" s="24" t="str">
        <f>IF(J2571&lt;&gt;1,"",IF(I2571="SBJ","CB","?"))</f>
        <v> </v>
      </c>
      <c r="I2571" s="25" t="str">
        <f>IF(OR(E2571="",E2571="!!!",F2571="NEW"),"",INDEX(B2570:B$2,-1+SUMPRODUCT(MAX(ROW(E2570:E$2)*(E2571=E2570:E$2)))))</f>
        <v> </v>
      </c>
      <c r="J2571" s="25" t="str">
        <f>IF(OR(E2571="",E2571="!!!",F2571="NEW"),"",COUNTBLANK(OFFSET(A$1,,,SUMPRODUCT(MAX(ROW(E$2:E2571)*(E2571=E$2:E2571)))))-COUNTBLANK(OFFSET(A$1,,,SUMPRODUCT(MAX(ROW(E$1:E2570)*(E2=E$1:E2570))))))</f>
        <v> </v>
      </c>
      <c r="K2571" s="25" t="str">
        <f>IF(OR(E2571="",E2571="!!!",F2571="NEW"),"",INDEX(J$1:J2570,SUMPRODUCT(MAX(ROW(E$1:E2570)*(E2571=E$1:E2570)))))</f>
        <v> </v>
      </c>
      <c r="L2571" s="26"/>
    </row>
    <row r="2572" spans="1:12">
      <c r="A2572" s="20" t="s">
        <v>1237</v>
      </c>
      <c r="E2572" s="21">
        <f>IF(D2572="?OLD","!!!","")</f>
        <v/>
      </c>
      <c r="F2572" s="22" t="str">
        <f>IF(OR(E2572="",E2572="!!!"),"",IF(NOT(ISNA(VLOOKUP(E2572,E$1:E2571,1,FALSE()))),"OLD",IF(AND(E2572&lt;&gt;"",E2572&lt;&gt;"!!!"),"NEW","")))</f>
        <v> </v>
      </c>
      <c r="G2572" s="23" t="str">
        <f>IF(OR(E2572="",E2572="!!!"),"",IF(OR(J2572=0,AND(J2572=1,K2572=1),AND(J2572=1,I2572="SBJ"),AND(J2572=1,I2572=0)),"?IN_FOCUS",IF(J2572&lt;=2,"?ACTIVATED",IF(J2572&lt;&gt;"","?FAMILIAR",IF(F2572="NEW",IF(ISNA(VLOOKUP(E2572,#REF!,1,FALSE())),"?TYPE_IDENTIFIABLE","?REFERENTIAL"),"_")))))</f>
        <v> </v>
      </c>
      <c r="H2572" s="24" t="str">
        <f>IF(J2572&lt;&gt;1,"",IF(I2572="SBJ","CB","?"))</f>
        <v> </v>
      </c>
      <c r="I2572" s="25" t="str">
        <f>IF(OR(E2572="",E2572="!!!",F2572="NEW"),"",INDEX(B2571:B$2,-1+SUMPRODUCT(MAX(ROW(E2571:E$2)*(E2572=E2571:E$2)))))</f>
        <v> </v>
      </c>
      <c r="J2572" s="25" t="str">
        <f>IF(OR(E2572="",E2572="!!!",F2572="NEW"),"",COUNTBLANK(OFFSET(A$1,,,SUMPRODUCT(MAX(ROW(E$2:E2572)*(E2572=E$2:E2572)))))-COUNTBLANK(OFFSET(A$1,,,SUMPRODUCT(MAX(ROW(E$1:E2571)*(E2=E$1:E2571))))))</f>
        <v> </v>
      </c>
      <c r="K2572" s="25" t="str">
        <f>IF(OR(E2572="",E2572="!!!",F2572="NEW"),"",INDEX(J$1:J2571,SUMPRODUCT(MAX(ROW(E$1:E2571)*(E2572=E$1:E2571)))))</f>
        <v> </v>
      </c>
      <c r="L2572" s="26"/>
    </row>
    <row r="2573" spans="1:12">
      <c r="A2573" s="20" t="s">
        <v>766</v>
      </c>
      <c r="E2573" s="21">
        <f>IF(D2573="?OLD","!!!","")</f>
        <v/>
      </c>
      <c r="F2573" s="22" t="str">
        <f>IF(OR(E2573="",E2573="!!!"),"",IF(NOT(ISNA(VLOOKUP(E2573,E$1:E2572,1,FALSE()))),"OLD",IF(AND(E2573&lt;&gt;"",E2573&lt;&gt;"!!!"),"NEW","")))</f>
        <v> </v>
      </c>
      <c r="G2573" s="23" t="str">
        <f>IF(OR(E2573="",E2573="!!!"),"",IF(OR(J2573=0,AND(J2573=1,K2573=1),AND(J2573=1,I2573="SBJ"),AND(J2573=1,I2573=0)),"?IN_FOCUS",IF(J2573&lt;=2,"?ACTIVATED",IF(J2573&lt;&gt;"","?FAMILIAR",IF(F2573="NEW",IF(ISNA(VLOOKUP(E2573,#REF!,1,FALSE())),"?TYPE_IDENTIFIABLE","?REFERENTIAL"),"_")))))</f>
        <v> </v>
      </c>
      <c r="H2573" s="24" t="str">
        <f>IF(J2573&lt;&gt;1,"",IF(I2573="SBJ","CB","?"))</f>
        <v> </v>
      </c>
      <c r="I2573" s="25" t="str">
        <f>IF(OR(E2573="",E2573="!!!",F2573="NEW"),"",INDEX(B2572:B$2,-1+SUMPRODUCT(MAX(ROW(E2572:E$2)*(E2573=E2572:E$2)))))</f>
        <v> </v>
      </c>
      <c r="J2573" s="25" t="str">
        <f>IF(OR(E2573="",E2573="!!!",F2573="NEW"),"",COUNTBLANK(OFFSET(A$1,,,SUMPRODUCT(MAX(ROW(E$2:E2573)*(E2573=E$2:E2573)))))-COUNTBLANK(OFFSET(A$1,,,SUMPRODUCT(MAX(ROW(E$1:E2572)*(E2=E$1:E2572))))))</f>
        <v> </v>
      </c>
      <c r="K2573" s="25" t="str">
        <f>IF(OR(E2573="",E2573="!!!",F2573="NEW"),"",INDEX(J$1:J2572,SUMPRODUCT(MAX(ROW(E$1:E2572)*(E2573=E$1:E2572)))))</f>
        <v> </v>
      </c>
      <c r="L2573" s="26"/>
    </row>
    <row r="2574" spans="1:12">
      <c r="A2574" s="20" t="s">
        <v>618</v>
      </c>
      <c r="E2574" s="21">
        <f>IF(D2574="?OLD","!!!","")</f>
        <v/>
      </c>
      <c r="F2574" s="22" t="str">
        <f>IF(OR(E2574="",E2574="!!!"),"",IF(NOT(ISNA(VLOOKUP(E2574,E$1:E2573,1,FALSE()))),"OLD",IF(AND(E2574&lt;&gt;"",E2574&lt;&gt;"!!!"),"NEW","")))</f>
        <v> </v>
      </c>
      <c r="G2574" s="23" t="str">
        <f>IF(OR(E2574="",E2574="!!!"),"",IF(OR(J2574=0,AND(J2574=1,K2574=1),AND(J2574=1,I2574="SBJ"),AND(J2574=1,I2574=0)),"?IN_FOCUS",IF(J2574&lt;=2,"?ACTIVATED",IF(J2574&lt;&gt;"","?FAMILIAR",IF(F2574="NEW",IF(ISNA(VLOOKUP(E2574,#REF!,1,FALSE())),"?TYPE_IDENTIFIABLE","?REFERENTIAL"),"_")))))</f>
        <v> </v>
      </c>
      <c r="H2574" s="24" t="str">
        <f>IF(J2574&lt;&gt;1,"",IF(I2574="SBJ","CB","?"))</f>
        <v> </v>
      </c>
      <c r="I2574" s="25" t="str">
        <f>IF(OR(E2574="",E2574="!!!",F2574="NEW"),"",INDEX(B2573:B$2,-1+SUMPRODUCT(MAX(ROW(E2573:E$2)*(E2574=E2573:E$2)))))</f>
        <v> </v>
      </c>
      <c r="J2574" s="25" t="str">
        <f>IF(OR(E2574="",E2574="!!!",F2574="NEW"),"",COUNTBLANK(OFFSET(A$1,,,SUMPRODUCT(MAX(ROW(E$2:E2574)*(E2574=E$2:E2574)))))-COUNTBLANK(OFFSET(A$1,,,SUMPRODUCT(MAX(ROW(E$1:E2573)*(E2=E$1:E2573))))))</f>
        <v> </v>
      </c>
      <c r="K2574" s="25" t="str">
        <f>IF(OR(E2574="",E2574="!!!",F2574="NEW"),"",INDEX(J$1:J2573,SUMPRODUCT(MAX(ROW(E$1:E2573)*(E2574=E$1:E2573)))))</f>
        <v> </v>
      </c>
      <c r="L2574" s="26"/>
    </row>
    <row r="2575" spans="1:12">
      <c r="A2575" s="20" t="s">
        <v>621</v>
      </c>
      <c r="B2575" s="27" t="s">
        <v>619</v>
      </c>
      <c r="C2575" s="27" t="s">
        <v>607</v>
      </c>
      <c r="D2575" s="27" t="s">
        <v>608</v>
      </c>
      <c r="E2575" s="21">
        <f>IF(D2575="?OLD","!!!","")</f>
        <v/>
      </c>
      <c r="F2575" s="22" t="str">
        <f>IF(OR(E2575="",E2575="!!!"),"",IF(NOT(ISNA(VLOOKUP(E2575,E$1:E2574,1,FALSE()))),"OLD",IF(AND(E2575&lt;&gt;"",E2575&lt;&gt;"!!!"),"NEW","")))</f>
        <v> </v>
      </c>
      <c r="G2575" s="23" t="str">
        <f>IF(OR(E2575="",E2575="!!!"),"",IF(OR(J2575=0,AND(J2575=1,K2575=1),AND(J2575=1,I2575="SBJ"),AND(J2575=1,I2575=0)),"?IN_FOCUS",IF(J2575&lt;=2,"?ACTIVATED",IF(J2575&lt;&gt;"","?FAMILIAR",IF(F2575="NEW",IF(ISNA(VLOOKUP(E2575,#REF!,1,FALSE())),"?TYPE_IDENTIFIABLE","?REFERENTIAL"),"_")))))</f>
        <v> </v>
      </c>
      <c r="H2575" s="24" t="str">
        <f>IF(J2575&lt;&gt;1,"",IF(I2575="SBJ","CB","?"))</f>
        <v> </v>
      </c>
      <c r="I2575" s="25" t="str">
        <f>IF(OR(E2575="",E2575="!!!",F2575="NEW"),"",INDEX(B2574:B$2,-1+SUMPRODUCT(MAX(ROW(E2574:E$2)*(E2575=E2574:E$2)))))</f>
        <v> </v>
      </c>
      <c r="J2575" s="25" t="str">
        <f>IF(OR(E2575="",E2575="!!!",F2575="NEW"),"",COUNTBLANK(OFFSET(A$1,,,SUMPRODUCT(MAX(ROW(E$2:E2575)*(E2575=E$2:E2575)))))-COUNTBLANK(OFFSET(A$1,,,SUMPRODUCT(MAX(ROW(E$1:E2574)*(E2=E$1:E2574))))))</f>
        <v> </v>
      </c>
      <c r="K2575" s="25" t="str">
        <f>IF(OR(E2575="",E2575="!!!",F2575="NEW"),"",INDEX(J$1:J2574,SUMPRODUCT(MAX(ROW(E$1:E2574)*(E2575=E$1:E2574)))))</f>
        <v> </v>
      </c>
      <c r="L2575" s="26"/>
    </row>
    <row r="2576" spans="1:12">
      <c r="A2576" s="20" t="s">
        <v>707</v>
      </c>
      <c r="E2576" s="21">
        <f>IF(D2576="?OLD","!!!","")</f>
        <v/>
      </c>
      <c r="F2576" s="22" t="str">
        <f>IF(OR(E2576="",E2576="!!!"),"",IF(NOT(ISNA(VLOOKUP(E2576,E$1:E2575,1,FALSE()))),"OLD",IF(AND(E2576&lt;&gt;"",E2576&lt;&gt;"!!!"),"NEW","")))</f>
        <v> </v>
      </c>
      <c r="G2576" s="23" t="str">
        <f>IF(OR(E2576="",E2576="!!!"),"",IF(OR(J2576=0,AND(J2576=1,K2576=1),AND(J2576=1,I2576="SBJ"),AND(J2576=1,I2576=0)),"?IN_FOCUS",IF(J2576&lt;=2,"?ACTIVATED",IF(J2576&lt;&gt;"","?FAMILIAR",IF(F2576="NEW",IF(ISNA(VLOOKUP(E2576,#REF!,1,FALSE())),"?TYPE_IDENTIFIABLE","?REFERENTIAL"),"_")))))</f>
        <v> </v>
      </c>
      <c r="H2576" s="24" t="str">
        <f>IF(J2576&lt;&gt;1,"",IF(I2576="SBJ","CB","?"))</f>
        <v> </v>
      </c>
      <c r="I2576" s="25" t="str">
        <f>IF(OR(E2576="",E2576="!!!",F2576="NEW"),"",INDEX(B2575:B$2,-1+SUMPRODUCT(MAX(ROW(E2575:E$2)*(E2576=E2575:E$2)))))</f>
        <v> </v>
      </c>
      <c r="J2576" s="25" t="str">
        <f>IF(OR(E2576="",E2576="!!!",F2576="NEW"),"",COUNTBLANK(OFFSET(A$1,,,SUMPRODUCT(MAX(ROW(E$2:E2576)*(E2576=E$2:E2576)))))-COUNTBLANK(OFFSET(A$1,,,SUMPRODUCT(MAX(ROW(E$1:E2575)*(E2=E$1:E2575))))))</f>
        <v> </v>
      </c>
      <c r="K2576" s="25" t="str">
        <f>IF(OR(E2576="",E2576="!!!",F2576="NEW"),"",INDEX(J$1:J2575,SUMPRODUCT(MAX(ROW(E$1:E2575)*(E2576=E$1:E2575)))))</f>
        <v> </v>
      </c>
      <c r="L2576" s="26"/>
    </row>
    <row r="2577" spans="1:12">
      <c r="A2577" s="20" t="s">
        <v>658</v>
      </c>
      <c r="E2577" s="21">
        <f>IF(D2577="?OLD","!!!","")</f>
        <v/>
      </c>
      <c r="F2577" s="22" t="str">
        <f>IF(OR(E2577="",E2577="!!!"),"",IF(NOT(ISNA(VLOOKUP(E2577,E$1:E2576,1,FALSE()))),"OLD",IF(AND(E2577&lt;&gt;"",E2577&lt;&gt;"!!!"),"NEW","")))</f>
        <v> </v>
      </c>
      <c r="G2577" s="23" t="str">
        <f>IF(OR(E2577="",E2577="!!!"),"",IF(OR(J2577=0,AND(J2577=1,K2577=1),AND(J2577=1,I2577="SBJ"),AND(J2577=1,I2577=0)),"?IN_FOCUS",IF(J2577&lt;=2,"?ACTIVATED",IF(J2577&lt;&gt;"","?FAMILIAR",IF(F2577="NEW",IF(ISNA(VLOOKUP(E2577,#REF!,1,FALSE())),"?TYPE_IDENTIFIABLE","?REFERENTIAL"),"_")))))</f>
        <v> </v>
      </c>
      <c r="H2577" s="24" t="str">
        <f>IF(J2577&lt;&gt;1,"",IF(I2577="SBJ","CB","?"))</f>
        <v> </v>
      </c>
      <c r="I2577" s="25" t="str">
        <f>IF(OR(E2577="",E2577="!!!",F2577="NEW"),"",INDEX(B2576:B$2,-1+SUMPRODUCT(MAX(ROW(E2576:E$2)*(E2577=E2576:E$2)))))</f>
        <v> </v>
      </c>
      <c r="J2577" s="25" t="str">
        <f>IF(OR(E2577="",E2577="!!!",F2577="NEW"),"",COUNTBLANK(OFFSET(A$1,,,SUMPRODUCT(MAX(ROW(E$2:E2577)*(E2577=E$2:E2577)))))-COUNTBLANK(OFFSET(A$1,,,SUMPRODUCT(MAX(ROW(E$1:E2576)*(E2=E$1:E2576))))))</f>
        <v> </v>
      </c>
      <c r="K2577" s="25" t="str">
        <f>IF(OR(E2577="",E2577="!!!",F2577="NEW"),"",INDEX(J$1:J2576,SUMPRODUCT(MAX(ROW(E$1:E2576)*(E2577=E$1:E2576)))))</f>
        <v> </v>
      </c>
      <c r="L2577" s="26"/>
    </row>
    <row r="2578" spans="1:12">
      <c r="A2578" s="20" t="s">
        <v>1279</v>
      </c>
      <c r="B2578" s="27" t="s">
        <v>611</v>
      </c>
      <c r="C2578" s="27" t="s">
        <v>607</v>
      </c>
      <c r="D2578" s="27" t="s">
        <v>608</v>
      </c>
      <c r="E2578" s="21">
        <f>IF(D2578="?OLD","!!!","")</f>
        <v/>
      </c>
      <c r="F2578" s="22" t="str">
        <f>IF(OR(E2578="",E2578="!!!"),"",IF(NOT(ISNA(VLOOKUP(E2578,E$1:E2577,1,FALSE()))),"OLD",IF(AND(E2578&lt;&gt;"",E2578&lt;&gt;"!!!"),"NEW","")))</f>
        <v> </v>
      </c>
      <c r="G2578" s="23" t="str">
        <f>IF(OR(E2578="",E2578="!!!"),"",IF(OR(J2578=0,AND(J2578=1,K2578=1),AND(J2578=1,I2578="SBJ"),AND(J2578=1,I2578=0)),"?IN_FOCUS",IF(J2578&lt;=2,"?ACTIVATED",IF(J2578&lt;&gt;"","?FAMILIAR",IF(F2578="NEW",IF(ISNA(VLOOKUP(E2578,#REF!,1,FALSE())),"?TYPE_IDENTIFIABLE","?REFERENTIAL"),"_")))))</f>
        <v> </v>
      </c>
      <c r="H2578" s="24" t="str">
        <f>IF(J2578&lt;&gt;1,"",IF(I2578="SBJ","CB","?"))</f>
        <v> </v>
      </c>
      <c r="I2578" s="25" t="str">
        <f>IF(OR(E2578="",E2578="!!!",F2578="NEW"),"",INDEX(B2577:B$2,-1+SUMPRODUCT(MAX(ROW(E2577:E$2)*(E2578=E2577:E$2)))))</f>
        <v> </v>
      </c>
      <c r="J2578" s="25" t="str">
        <f>IF(OR(E2578="",E2578="!!!",F2578="NEW"),"",COUNTBLANK(OFFSET(A$1,,,SUMPRODUCT(MAX(ROW(E$2:E2578)*(E2578=E$2:E2578)))))-COUNTBLANK(OFFSET(A$1,,,SUMPRODUCT(MAX(ROW(E$1:E2577)*(E2=E$1:E2577))))))</f>
        <v> </v>
      </c>
      <c r="K2578" s="25" t="str">
        <f>IF(OR(E2578="",E2578="!!!",F2578="NEW"),"",INDEX(J$1:J2577,SUMPRODUCT(MAX(ROW(E$1:E2577)*(E2578=E$1:E2577)))))</f>
        <v> </v>
      </c>
      <c r="L2578" s="26"/>
    </row>
    <row r="2579" spans="1:12">
      <c r="A2579" s="20" t="s">
        <v>639</v>
      </c>
      <c r="E2579" s="21">
        <f>IF(D2579="?OLD","!!!","")</f>
        <v/>
      </c>
      <c r="F2579" s="22" t="str">
        <f>IF(OR(E2579="",E2579="!!!"),"",IF(NOT(ISNA(VLOOKUP(E2579,E$1:E2578,1,FALSE()))),"OLD",IF(AND(E2579&lt;&gt;"",E2579&lt;&gt;"!!!"),"NEW","")))</f>
        <v> </v>
      </c>
      <c r="G2579" s="23" t="str">
        <f>IF(OR(E2579="",E2579="!!!"),"",IF(OR(J2579=0,AND(J2579=1,K2579=1),AND(J2579=1,I2579="SBJ"),AND(J2579=1,I2579=0)),"?IN_FOCUS",IF(J2579&lt;=2,"?ACTIVATED",IF(J2579&lt;&gt;"","?FAMILIAR",IF(F2579="NEW",IF(ISNA(VLOOKUP(E2579,#REF!,1,FALSE())),"?TYPE_IDENTIFIABLE","?REFERENTIAL"),"_")))))</f>
        <v> </v>
      </c>
      <c r="H2579" s="24" t="str">
        <f>IF(J2579&lt;&gt;1,"",IF(I2579="SBJ","CB","?"))</f>
        <v> </v>
      </c>
      <c r="I2579" s="25" t="str">
        <f>IF(OR(E2579="",E2579="!!!",F2579="NEW"),"",INDEX(B2578:B$2,-1+SUMPRODUCT(MAX(ROW(E2578:E$2)*(E2579=E2578:E$2)))))</f>
        <v> </v>
      </c>
      <c r="J2579" s="25" t="str">
        <f>IF(OR(E2579="",E2579="!!!",F2579="NEW"),"",COUNTBLANK(OFFSET(A$1,,,SUMPRODUCT(MAX(ROW(E$2:E2579)*(E2579=E$2:E2579)))))-COUNTBLANK(OFFSET(A$1,,,SUMPRODUCT(MAX(ROW(E$1:E2578)*(E2=E$1:E2578))))))</f>
        <v> </v>
      </c>
      <c r="K2579" s="25" t="str">
        <f>IF(OR(E2579="",E2579="!!!",F2579="NEW"),"",INDEX(J$1:J2578,SUMPRODUCT(MAX(ROW(E$1:E2578)*(E2579=E$1:E2578)))))</f>
        <v> </v>
      </c>
      <c r="L2579" s="26"/>
    </row>
    <row r="2580" spans="1:12">
      <c r="A2580" s="20" t="s">
        <v>1006</v>
      </c>
      <c r="B2580" s="27" t="s">
        <v>664</v>
      </c>
      <c r="C2580" s="27" t="s">
        <v>614</v>
      </c>
      <c r="D2580" s="27" t="s">
        <v>608</v>
      </c>
      <c r="E2580" s="21">
        <f>IF(D2580="?OLD","!!!","")</f>
        <v/>
      </c>
      <c r="F2580" s="22" t="str">
        <f>IF(OR(E2580="",E2580="!!!"),"",IF(NOT(ISNA(VLOOKUP(E2580,E$1:E2579,1,FALSE()))),"OLD",IF(AND(E2580&lt;&gt;"",E2580&lt;&gt;"!!!"),"NEW","")))</f>
        <v> </v>
      </c>
      <c r="G2580" s="23" t="str">
        <f>IF(OR(E2580="",E2580="!!!"),"",IF(OR(J2580=0,AND(J2580=1,K2580=1),AND(J2580=1,I2580="SBJ"),AND(J2580=1,I2580=0)),"?IN_FOCUS",IF(J2580&lt;=2,"?ACTIVATED",IF(J2580&lt;&gt;"","?FAMILIAR",IF(F2580="NEW",IF(ISNA(VLOOKUP(E2580,#REF!,1,FALSE())),"?TYPE_IDENTIFIABLE","?REFERENTIAL"),"_")))))</f>
        <v> </v>
      </c>
      <c r="H2580" s="24" t="str">
        <f>IF(J2580&lt;&gt;1,"",IF(I2580="SBJ","CB","?"))</f>
        <v> </v>
      </c>
      <c r="I2580" s="25" t="str">
        <f>IF(OR(E2580="",E2580="!!!",F2580="NEW"),"",INDEX(B2579:B$2,-1+SUMPRODUCT(MAX(ROW(E2579:E$2)*(E2580=E2579:E$2)))))</f>
        <v> </v>
      </c>
      <c r="J2580" s="25" t="str">
        <f>IF(OR(E2580="",E2580="!!!",F2580="NEW"),"",COUNTBLANK(OFFSET(A$1,,,SUMPRODUCT(MAX(ROW(E$2:E2580)*(E2580=E$2:E2580)))))-COUNTBLANK(OFFSET(A$1,,,SUMPRODUCT(MAX(ROW(E$1:E2579)*(E2=E$1:E2579))))))</f>
        <v> </v>
      </c>
      <c r="K2580" s="25" t="str">
        <f>IF(OR(E2580="",E2580="!!!",F2580="NEW"),"",INDEX(J$1:J2579,SUMPRODUCT(MAX(ROW(E$1:E2579)*(E2580=E$1:E2579)))))</f>
        <v> </v>
      </c>
      <c r="L2580" s="26"/>
    </row>
    <row r="2581" spans="1:12">
      <c r="A2581" s="20" t="s">
        <v>1521</v>
      </c>
      <c r="B2581" s="27" t="s">
        <v>625</v>
      </c>
      <c r="C2581" s="27" t="s">
        <v>616</v>
      </c>
      <c r="D2581" s="27" t="s">
        <v>608</v>
      </c>
      <c r="E2581" s="21">
        <f>IF(D2581="?OLD","!!!","")</f>
        <v/>
      </c>
      <c r="F2581" s="22" t="str">
        <f>IF(OR(E2581="",E2581="!!!"),"",IF(NOT(ISNA(VLOOKUP(E2581,E$1:E2580,1,FALSE()))),"OLD",IF(AND(E2581&lt;&gt;"",E2581&lt;&gt;"!!!"),"NEW","")))</f>
        <v> </v>
      </c>
      <c r="G2581" s="23" t="str">
        <f>IF(OR(E2581="",E2581="!!!"),"",IF(OR(J2581=0,AND(J2581=1,K2581=1),AND(J2581=1,I2581="SBJ"),AND(J2581=1,I2581=0)),"?IN_FOCUS",IF(J2581&lt;=2,"?ACTIVATED",IF(J2581&lt;&gt;"","?FAMILIAR",IF(F2581="NEW",IF(ISNA(VLOOKUP(E2581,#REF!,1,FALSE())),"?TYPE_IDENTIFIABLE","?REFERENTIAL"),"_")))))</f>
        <v> </v>
      </c>
      <c r="H2581" s="24" t="str">
        <f>IF(J2581&lt;&gt;1,"",IF(I2581="SBJ","CB","?"))</f>
        <v> </v>
      </c>
      <c r="I2581" s="25" t="str">
        <f>IF(OR(E2581="",E2581="!!!",F2581="NEW"),"",INDEX(B2580:B$2,-1+SUMPRODUCT(MAX(ROW(E2580:E$2)*(E2581=E2580:E$2)))))</f>
        <v> </v>
      </c>
      <c r="J2581" s="25" t="str">
        <f>IF(OR(E2581="",E2581="!!!",F2581="NEW"),"",COUNTBLANK(OFFSET(A$1,,,SUMPRODUCT(MAX(ROW(E$2:E2581)*(E2581=E$2:E2581)))))-COUNTBLANK(OFFSET(A$1,,,SUMPRODUCT(MAX(ROW(E$1:E2580)*(E2=E$1:E2580))))))</f>
        <v> </v>
      </c>
      <c r="K2581" s="25" t="str">
        <f>IF(OR(E2581="",E2581="!!!",F2581="NEW"),"",INDEX(J$1:J2580,SUMPRODUCT(MAX(ROW(E$1:E2580)*(E2581=E$1:E2580)))))</f>
        <v> </v>
      </c>
      <c r="L2581" s="26"/>
    </row>
    <row r="2582" spans="1:12">
      <c r="A2582" s="20" t="s">
        <v>744</v>
      </c>
      <c r="E2582" s="21">
        <f>IF(D2582="?OLD","!!!","")</f>
        <v/>
      </c>
      <c r="F2582" s="22" t="str">
        <f>IF(OR(E2582="",E2582="!!!"),"",IF(NOT(ISNA(VLOOKUP(E2582,E$1:E2581,1,FALSE()))),"OLD",IF(AND(E2582&lt;&gt;"",E2582&lt;&gt;"!!!"),"NEW","")))</f>
        <v> </v>
      </c>
      <c r="G2582" s="23" t="str">
        <f>IF(OR(E2582="",E2582="!!!"),"",IF(OR(J2582=0,AND(J2582=1,K2582=1),AND(J2582=1,I2582="SBJ"),AND(J2582=1,I2582=0)),"?IN_FOCUS",IF(J2582&lt;=2,"?ACTIVATED",IF(J2582&lt;&gt;"","?FAMILIAR",IF(F2582="NEW",IF(ISNA(VLOOKUP(E2582,#REF!,1,FALSE())),"?TYPE_IDENTIFIABLE","?REFERENTIAL"),"_")))))</f>
        <v> </v>
      </c>
      <c r="H2582" s="24" t="str">
        <f>IF(J2582&lt;&gt;1,"",IF(I2582="SBJ","CB","?"))</f>
        <v> </v>
      </c>
      <c r="I2582" s="25" t="str">
        <f>IF(OR(E2582="",E2582="!!!",F2582="NEW"),"",INDEX(B2581:B$2,-1+SUMPRODUCT(MAX(ROW(E2581:E$2)*(E2582=E2581:E$2)))))</f>
        <v> </v>
      </c>
      <c r="J2582" s="25" t="str">
        <f>IF(OR(E2582="",E2582="!!!",F2582="NEW"),"",COUNTBLANK(OFFSET(A$1,,,SUMPRODUCT(MAX(ROW(E$2:E2582)*(E2582=E$2:E2582)))))-COUNTBLANK(OFFSET(A$1,,,SUMPRODUCT(MAX(ROW(E$1:E2581)*(E2=E$1:E2581))))))</f>
        <v> </v>
      </c>
      <c r="K2582" s="25" t="str">
        <f>IF(OR(E2582="",E2582="!!!",F2582="NEW"),"",INDEX(J$1:J2581,SUMPRODUCT(MAX(ROW(E$1:E2581)*(E2582=E$1:E2581)))))</f>
        <v> </v>
      </c>
      <c r="L2582" s="26"/>
    </row>
    <row r="2583" spans="1:12">
      <c r="A2583" s="20" t="s">
        <v>18</v>
      </c>
      <c r="E2583" s="21">
        <f>IF(D2583="?OLD","!!!","")</f>
        <v/>
      </c>
      <c r="F2583" s="22" t="str">
        <f>IF(OR(E2583="",E2583="!!!"),"",IF(NOT(ISNA(VLOOKUP(E2583,E$1:E2582,1,FALSE()))),"OLD",IF(AND(E2583&lt;&gt;"",E2583&lt;&gt;"!!!"),"NEW","")))</f>
        <v> </v>
      </c>
      <c r="G2583" s="23" t="str">
        <f>IF(OR(E2583="",E2583="!!!"),"",IF(OR(J2583=0,AND(J2583=1,K2583=1),AND(J2583=1,I2583="SBJ"),AND(J2583=1,I2583=0)),"?IN_FOCUS",IF(J2583&lt;=2,"?ACTIVATED",IF(J2583&lt;&gt;"","?FAMILIAR",IF(F2583="NEW",IF(ISNA(VLOOKUP(E2583,#REF!,1,FALSE())),"?TYPE_IDENTIFIABLE","?REFERENTIAL"),"_")))))</f>
        <v> </v>
      </c>
      <c r="H2583" s="24" t="str">
        <f>IF(J2583&lt;&gt;1,"",IF(I2583="SBJ","CB","?"))</f>
        <v> </v>
      </c>
      <c r="I2583" s="25" t="str">
        <f>IF(OR(E2583="",E2583="!!!",F2583="NEW"),"",INDEX(B2582:B$2,-1+SUMPRODUCT(MAX(ROW(E2582:E$2)*(E2583=E2582:E$2)))))</f>
        <v> </v>
      </c>
      <c r="J2583" s="25" t="str">
        <f>IF(OR(E2583="",E2583="!!!",F2583="NEW"),"",COUNTBLANK(OFFSET(A$1,,,SUMPRODUCT(MAX(ROW(E$2:E2583)*(E2583=E$2:E2583)))))-COUNTBLANK(OFFSET(A$1,,,SUMPRODUCT(MAX(ROW(E$1:E2582)*(E2=E$1:E2582))))))</f>
        <v> </v>
      </c>
      <c r="K2583" s="25" t="str">
        <f>IF(OR(E2583="",E2583="!!!",F2583="NEW"),"",INDEX(J$1:J2582,SUMPRODUCT(MAX(ROW(E$1:E2582)*(E2583=E$1:E2582)))))</f>
        <v> </v>
      </c>
      <c r="L2583" s="26"/>
    </row>
    <row r="2584" spans="1:12">
      <c r="A2584" s="20" t="s">
        <v>617</v>
      </c>
      <c r="E2584" s="21">
        <f>IF(D2584="?OLD","!!!","")</f>
        <v/>
      </c>
      <c r="F2584" s="22" t="str">
        <f>IF(OR(E2584="",E2584="!!!"),"",IF(NOT(ISNA(VLOOKUP(E2584,E$1:E2583,1,FALSE()))),"OLD",IF(AND(E2584&lt;&gt;"",E2584&lt;&gt;"!!!"),"NEW","")))</f>
        <v> </v>
      </c>
      <c r="G2584" s="23" t="str">
        <f>IF(OR(E2584="",E2584="!!!"),"",IF(OR(J2584=0,AND(J2584=1,K2584=1),AND(J2584=1,I2584="SBJ"),AND(J2584=1,I2584=0)),"?IN_FOCUS",IF(J2584&lt;=2,"?ACTIVATED",IF(J2584&lt;&gt;"","?FAMILIAR",IF(F2584="NEW",IF(ISNA(VLOOKUP(E2584,#REF!,1,FALSE())),"?TYPE_IDENTIFIABLE","?REFERENTIAL"),"_")))))</f>
        <v> </v>
      </c>
      <c r="H2584" s="24" t="str">
        <f>IF(J2584&lt;&gt;1,"",IF(I2584="SBJ","CB","?"))</f>
        <v> </v>
      </c>
      <c r="I2584" s="25" t="str">
        <f>IF(OR(E2584="",E2584="!!!",F2584="NEW"),"",INDEX(B2583:B$2,-1+SUMPRODUCT(MAX(ROW(E2583:E$2)*(E2584=E2583:E$2)))))</f>
        <v> </v>
      </c>
      <c r="J2584" s="25" t="str">
        <f>IF(OR(E2584="",E2584="!!!",F2584="NEW"),"",COUNTBLANK(OFFSET(A$1,,,SUMPRODUCT(MAX(ROW(E$2:E2584)*(E2584=E$2:E2584)))))-COUNTBLANK(OFFSET(A$1,,,SUMPRODUCT(MAX(ROW(E$1:E2583)*(E2=E$1:E2583))))))</f>
        <v> </v>
      </c>
      <c r="K2584" s="25" t="str">
        <f>IF(OR(E2584="",E2584="!!!",F2584="NEW"),"",INDEX(J$1:J2583,SUMPRODUCT(MAX(ROW(E$1:E2583)*(E2584=E$1:E2583)))))</f>
        <v> </v>
      </c>
      <c r="L2584" s="26"/>
    </row>
    <row r="2585" spans="1:12">
      <c r="A2585" s="20" t="s">
        <v>623</v>
      </c>
      <c r="E2585" s="21">
        <f>IF(D2585="?OLD","!!!","")</f>
        <v/>
      </c>
      <c r="F2585" s="22" t="str">
        <f>IF(OR(E2585="",E2585="!!!"),"",IF(NOT(ISNA(VLOOKUP(E2585,E$1:E2584,1,FALSE()))),"OLD",IF(AND(E2585&lt;&gt;"",E2585&lt;&gt;"!!!"),"NEW","")))</f>
        <v> </v>
      </c>
      <c r="G2585" s="23" t="str">
        <f>IF(OR(E2585="",E2585="!!!"),"",IF(OR(J2585=0,AND(J2585=1,K2585=1),AND(J2585=1,I2585="SBJ"),AND(J2585=1,I2585=0)),"?IN_FOCUS",IF(J2585&lt;=2,"?ACTIVATED",IF(J2585&lt;&gt;"","?FAMILIAR",IF(F2585="NEW",IF(ISNA(VLOOKUP(E2585,#REF!,1,FALSE())),"?TYPE_IDENTIFIABLE","?REFERENTIAL"),"_")))))</f>
        <v> </v>
      </c>
      <c r="H2585" s="24" t="str">
        <f>IF(J2585&lt;&gt;1,"",IF(I2585="SBJ","CB","?"))</f>
        <v> </v>
      </c>
      <c r="I2585" s="25" t="str">
        <f>IF(OR(E2585="",E2585="!!!",F2585="NEW"),"",INDEX(B2584:B$2,-1+SUMPRODUCT(MAX(ROW(E2584:E$2)*(E2585=E2584:E$2)))))</f>
        <v> </v>
      </c>
      <c r="J2585" s="25" t="str">
        <f>IF(OR(E2585="",E2585="!!!",F2585="NEW"),"",COUNTBLANK(OFFSET(A$1,,,SUMPRODUCT(MAX(ROW(E$2:E2585)*(E2585=E$2:E2585)))))-COUNTBLANK(OFFSET(A$1,,,SUMPRODUCT(MAX(ROW(E$1:E2584)*(E2=E$1:E2584))))))</f>
        <v> </v>
      </c>
      <c r="K2585" s="25" t="str">
        <f>IF(OR(E2585="",E2585="!!!",F2585="NEW"),"",INDEX(J$1:J2584,SUMPRODUCT(MAX(ROW(E$1:E2584)*(E2585=E$1:E2584)))))</f>
        <v> </v>
      </c>
      <c r="L2585" s="26"/>
    </row>
    <row r="2586" spans="1:12">
      <c r="A2586" s="20" t="s">
        <v>807</v>
      </c>
      <c r="B2586" s="27" t="s">
        <v>619</v>
      </c>
      <c r="C2586" s="27" t="s">
        <v>652</v>
      </c>
      <c r="D2586" s="27" t="s">
        <v>608</v>
      </c>
      <c r="E2586" s="21">
        <f>IF(D2586="?OLD","!!!","")</f>
        <v/>
      </c>
      <c r="F2586" s="22" t="str">
        <f>IF(OR(E2586="",E2586="!!!"),"",IF(NOT(ISNA(VLOOKUP(E2586,E$1:E2585,1,FALSE()))),"OLD",IF(AND(E2586&lt;&gt;"",E2586&lt;&gt;"!!!"),"NEW","")))</f>
        <v> </v>
      </c>
      <c r="G2586" s="23" t="str">
        <f>IF(OR(E2586="",E2586="!!!"),"",IF(OR(J2586=0,AND(J2586=1,K2586=1),AND(J2586=1,I2586="SBJ"),AND(J2586=1,I2586=0)),"?IN_FOCUS",IF(J2586&lt;=2,"?ACTIVATED",IF(J2586&lt;&gt;"","?FAMILIAR",IF(F2586="NEW",IF(ISNA(VLOOKUP(E2586,#REF!,1,FALSE())),"?TYPE_IDENTIFIABLE","?REFERENTIAL"),"_")))))</f>
        <v> </v>
      </c>
      <c r="H2586" s="24" t="str">
        <f>IF(J2586&lt;&gt;1,"",IF(I2586="SBJ","CB","?"))</f>
        <v> </v>
      </c>
      <c r="I2586" s="25" t="str">
        <f>IF(OR(E2586="",E2586="!!!",F2586="NEW"),"",INDEX(B2585:B$2,-1+SUMPRODUCT(MAX(ROW(E2585:E$2)*(E2586=E2585:E$2)))))</f>
        <v> </v>
      </c>
      <c r="J2586" s="25" t="str">
        <f>IF(OR(E2586="",E2586="!!!",F2586="NEW"),"",COUNTBLANK(OFFSET(A$1,,,SUMPRODUCT(MAX(ROW(E$2:E2586)*(E2586=E$2:E2586)))))-COUNTBLANK(OFFSET(A$1,,,SUMPRODUCT(MAX(ROW(E$1:E2585)*(E2=E$1:E2585))))))</f>
        <v> </v>
      </c>
      <c r="K2586" s="25" t="str">
        <f>IF(OR(E2586="",E2586="!!!",F2586="NEW"),"",INDEX(J$1:J2585,SUMPRODUCT(MAX(ROW(E$1:E2585)*(E2586=E$1:E2585)))))</f>
        <v> </v>
      </c>
      <c r="L2586" s="26"/>
    </row>
    <row r="2587" spans="1:12">
      <c r="A2587" s="20" t="s">
        <v>807</v>
      </c>
      <c r="B2587" s="27" t="s">
        <v>657</v>
      </c>
      <c r="C2587" s="27" t="s">
        <v>652</v>
      </c>
      <c r="D2587" s="27" t="s">
        <v>608</v>
      </c>
      <c r="E2587" s="21">
        <f>IF(D2587="?OLD","!!!","")</f>
        <v/>
      </c>
      <c r="F2587" s="22" t="str">
        <f>IF(OR(E2587="",E2587="!!!"),"",IF(NOT(ISNA(VLOOKUP(E2587,E$1:E2586,1,FALSE()))),"OLD",IF(AND(E2587&lt;&gt;"",E2587&lt;&gt;"!!!"),"NEW","")))</f>
        <v> </v>
      </c>
      <c r="G2587" s="23" t="str">
        <f>IF(OR(E2587="",E2587="!!!"),"",IF(OR(J2587=0,AND(J2587=1,K2587=1),AND(J2587=1,I2587="SBJ"),AND(J2587=1,I2587=0)),"?IN_FOCUS",IF(J2587&lt;=2,"?ACTIVATED",IF(J2587&lt;&gt;"","?FAMILIAR",IF(F2587="NEW",IF(ISNA(VLOOKUP(E2587,#REF!,1,FALSE())),"?TYPE_IDENTIFIABLE","?REFERENTIAL"),"_")))))</f>
        <v> </v>
      </c>
      <c r="H2587" s="24" t="str">
        <f>IF(J2587&lt;&gt;1,"",IF(I2587="SBJ","CB","?"))</f>
        <v> </v>
      </c>
      <c r="I2587" s="25" t="str">
        <f>IF(OR(E2587="",E2587="!!!",F2587="NEW"),"",INDEX(B2586:B$2,-1+SUMPRODUCT(MAX(ROW(E2586:E$2)*(E2587=E2586:E$2)))))</f>
        <v> </v>
      </c>
      <c r="J2587" s="25" t="str">
        <f>IF(OR(E2587="",E2587="!!!",F2587="NEW"),"",COUNTBLANK(OFFSET(A$1,,,SUMPRODUCT(MAX(ROW(E$2:E2587)*(E2587=E$2:E2587)))))-COUNTBLANK(OFFSET(A$1,,,SUMPRODUCT(MAX(ROW(E$1:E2586)*(E2=E$1:E2586))))))</f>
        <v> </v>
      </c>
      <c r="K2587" s="25" t="str">
        <f>IF(OR(E2587="",E2587="!!!",F2587="NEW"),"",INDEX(J$1:J2586,SUMPRODUCT(MAX(ROW(E$1:E2586)*(E2587=E$1:E2586)))))</f>
        <v> </v>
      </c>
      <c r="L2587" s="26"/>
    </row>
    <row r="2588" spans="1:12">
      <c r="A2588" s="20" t="s">
        <v>663</v>
      </c>
      <c r="E2588" s="21">
        <f>IF(D2588="?OLD","!!!","")</f>
        <v/>
      </c>
      <c r="F2588" s="22" t="str">
        <f>IF(OR(E2588="",E2588="!!!"),"",IF(NOT(ISNA(VLOOKUP(E2588,E$1:E2587,1,FALSE()))),"OLD",IF(AND(E2588&lt;&gt;"",E2588&lt;&gt;"!!!"),"NEW","")))</f>
        <v> </v>
      </c>
      <c r="G2588" s="23" t="str">
        <f>IF(OR(E2588="",E2588="!!!"),"",IF(OR(J2588=0,AND(J2588=1,K2588=1),AND(J2588=1,I2588="SBJ"),AND(J2588=1,I2588=0)),"?IN_FOCUS",IF(J2588&lt;=2,"?ACTIVATED",IF(J2588&lt;&gt;"","?FAMILIAR",IF(F2588="NEW",IF(ISNA(VLOOKUP(E2588,#REF!,1,FALSE())),"?TYPE_IDENTIFIABLE","?REFERENTIAL"),"_")))))</f>
        <v> </v>
      </c>
      <c r="H2588" s="24" t="str">
        <f>IF(J2588&lt;&gt;1,"",IF(I2588="SBJ","CB","?"))</f>
        <v> </v>
      </c>
      <c r="I2588" s="25" t="str">
        <f>IF(OR(E2588="",E2588="!!!",F2588="NEW"),"",INDEX(B2587:B$2,-1+SUMPRODUCT(MAX(ROW(E2587:E$2)*(E2588=E2587:E$2)))))</f>
        <v> </v>
      </c>
      <c r="J2588" s="25" t="str">
        <f>IF(OR(E2588="",E2588="!!!",F2588="NEW"),"",COUNTBLANK(OFFSET(A$1,,,SUMPRODUCT(MAX(ROW(E$2:E2588)*(E2588=E$2:E2588)))))-COUNTBLANK(OFFSET(A$1,,,SUMPRODUCT(MAX(ROW(E$1:E2587)*(E2=E$1:E2587))))))</f>
        <v> </v>
      </c>
      <c r="K2588" s="25" t="str">
        <f>IF(OR(E2588="",E2588="!!!",F2588="NEW"),"",INDEX(J$1:J2587,SUMPRODUCT(MAX(ROW(E$1:E2587)*(E2588=E$1:E2587)))))</f>
        <v> </v>
      </c>
      <c r="L2588" s="26"/>
    </row>
    <row r="2589" spans="1:12">
      <c r="A2589" s="20" t="s">
        <v>603</v>
      </c>
      <c r="E2589" s="21">
        <f>IF(D2589="?OLD","!!!","")</f>
        <v/>
      </c>
      <c r="F2589" s="22" t="str">
        <f>IF(OR(E2589="",E2589="!!!"),"",IF(NOT(ISNA(VLOOKUP(E2589,E$1:E2588,1,FALSE()))),"OLD",IF(AND(E2589&lt;&gt;"",E2589&lt;&gt;"!!!"),"NEW","")))</f>
        <v> </v>
      </c>
      <c r="G2589" s="23" t="str">
        <f>IF(OR(E2589="",E2589="!!!"),"",IF(OR(J2589=0,AND(J2589=1,K2589=1),AND(J2589=1,I2589="SBJ"),AND(J2589=1,I2589=0)),"?IN_FOCUS",IF(J2589&lt;=2,"?ACTIVATED",IF(J2589&lt;&gt;"","?FAMILIAR",IF(F2589="NEW",IF(ISNA(VLOOKUP(E2589,#REF!,1,FALSE())),"?TYPE_IDENTIFIABLE","?REFERENTIAL"),"_")))))</f>
        <v> </v>
      </c>
      <c r="H2589" s="24" t="str">
        <f>IF(J2589&lt;&gt;1,"",IF(I2589="SBJ","CB","?"))</f>
        <v> </v>
      </c>
      <c r="I2589" s="25" t="str">
        <f>IF(OR(E2589="",E2589="!!!",F2589="NEW"),"",INDEX(B2588:B$2,-1+SUMPRODUCT(MAX(ROW(E2588:E$2)*(E2589=E2588:E$2)))))</f>
        <v> </v>
      </c>
      <c r="J2589" s="25" t="str">
        <f>IF(OR(E2589="",E2589="!!!",F2589="NEW"),"",COUNTBLANK(OFFSET(A$1,,,SUMPRODUCT(MAX(ROW(E$2:E2589)*(E2589=E$2:E2589)))))-COUNTBLANK(OFFSET(A$1,,,SUMPRODUCT(MAX(ROW(E$1:E2588)*(E2=E$1:E2588))))))</f>
        <v> </v>
      </c>
      <c r="K2589" s="25" t="str">
        <f>IF(OR(E2589="",E2589="!!!",F2589="NEW"),"",INDEX(J$1:J2588,SUMPRODUCT(MAX(ROW(E$1:E2588)*(E2589=E$1:E2588)))))</f>
        <v> </v>
      </c>
      <c r="L2589" s="26"/>
    </row>
    <row r="2590" spans="1:12">
      <c r="A2590" s="20" t="s">
        <v>1522</v>
      </c>
      <c r="E2590" s="21">
        <f>IF(D2590="?OLD","!!!","")</f>
        <v/>
      </c>
      <c r="F2590" s="22" t="str">
        <f>IF(OR(E2590="",E2590="!!!"),"",IF(NOT(ISNA(VLOOKUP(E2590,E$1:E2589,1,FALSE()))),"OLD",IF(AND(E2590&lt;&gt;"",E2590&lt;&gt;"!!!"),"NEW","")))</f>
        <v> </v>
      </c>
      <c r="G2590" s="23" t="str">
        <f>IF(OR(E2590="",E2590="!!!"),"",IF(OR(J2590=0,AND(J2590=1,K2590=1),AND(J2590=1,I2590="SBJ"),AND(J2590=1,I2590=0)),"?IN_FOCUS",IF(J2590&lt;=2,"?ACTIVATED",IF(J2590&lt;&gt;"","?FAMILIAR",IF(F2590="NEW",IF(ISNA(VLOOKUP(E2590,#REF!,1,FALSE())),"?TYPE_IDENTIFIABLE","?REFERENTIAL"),"_")))))</f>
        <v> </v>
      </c>
      <c r="H2590" s="24" t="str">
        <f>IF(J2590&lt;&gt;1,"",IF(I2590="SBJ","CB","?"))</f>
        <v> </v>
      </c>
      <c r="I2590" s="25" t="str">
        <f>IF(OR(E2590="",E2590="!!!",F2590="NEW"),"",INDEX(B2589:B$2,-1+SUMPRODUCT(MAX(ROW(E2589:E$2)*(E2590=E2589:E$2)))))</f>
        <v> </v>
      </c>
      <c r="J2590" s="25" t="str">
        <f>IF(OR(E2590="",E2590="!!!",F2590="NEW"),"",COUNTBLANK(OFFSET(A$1,,,SUMPRODUCT(MAX(ROW(E$2:E2590)*(E2590=E$2:E2590)))))-COUNTBLANK(OFFSET(A$1,,,SUMPRODUCT(MAX(ROW(E$1:E2589)*(E2=E$1:E2589))))))</f>
        <v> </v>
      </c>
      <c r="K2590" s="25" t="str">
        <f>IF(OR(E2590="",E2590="!!!",F2590="NEW"),"",INDEX(J$1:J2589,SUMPRODUCT(MAX(ROW(E$1:E2589)*(E2590=E$1:E2589)))))</f>
        <v> </v>
      </c>
      <c r="L2590" s="26"/>
    </row>
    <row r="2591" spans="1:12">
      <c r="A2591" s="20" t="s">
        <v>949</v>
      </c>
      <c r="B2591" s="27" t="s">
        <v>611</v>
      </c>
      <c r="C2591" s="27" t="s">
        <v>607</v>
      </c>
      <c r="D2591" s="27" t="s">
        <v>608</v>
      </c>
      <c r="E2591" s="21">
        <f>IF(D2591="?OLD","!!!","")</f>
        <v/>
      </c>
      <c r="F2591" s="22" t="str">
        <f>IF(OR(E2591="",E2591="!!!"),"",IF(NOT(ISNA(VLOOKUP(E2591,E$1:E2590,1,FALSE()))),"OLD",IF(AND(E2591&lt;&gt;"",E2591&lt;&gt;"!!!"),"NEW","")))</f>
        <v> </v>
      </c>
      <c r="G2591" s="23" t="str">
        <f>IF(OR(E2591="",E2591="!!!"),"",IF(OR(J2591=0,AND(J2591=1,K2591=1),AND(J2591=1,I2591="SBJ"),AND(J2591=1,I2591=0)),"?IN_FOCUS",IF(J2591&lt;=2,"?ACTIVATED",IF(J2591&lt;&gt;"","?FAMILIAR",IF(F2591="NEW",IF(ISNA(VLOOKUP(E2591,#REF!,1,FALSE())),"?TYPE_IDENTIFIABLE","?REFERENTIAL"),"_")))))</f>
        <v> </v>
      </c>
      <c r="H2591" s="24" t="str">
        <f>IF(J2591&lt;&gt;1,"",IF(I2591="SBJ","CB","?"))</f>
        <v> </v>
      </c>
      <c r="I2591" s="25" t="str">
        <f>IF(OR(E2591="",E2591="!!!",F2591="NEW"),"",INDEX(B2590:B$2,-1+SUMPRODUCT(MAX(ROW(E2590:E$2)*(E2591=E2590:E$2)))))</f>
        <v> </v>
      </c>
      <c r="J2591" s="25" t="str">
        <f>IF(OR(E2591="",E2591="!!!",F2591="NEW"),"",COUNTBLANK(OFFSET(A$1,,,SUMPRODUCT(MAX(ROW(E$2:E2591)*(E2591=E$2:E2591)))))-COUNTBLANK(OFFSET(A$1,,,SUMPRODUCT(MAX(ROW(E$1:E2590)*(E2=E$1:E2590))))))</f>
        <v> </v>
      </c>
      <c r="K2591" s="25" t="str">
        <f>IF(OR(E2591="",E2591="!!!",F2591="NEW"),"",INDEX(J$1:J2590,SUMPRODUCT(MAX(ROW(E$1:E2590)*(E2591=E$1:E2590)))))</f>
        <v> </v>
      </c>
      <c r="L2591" s="26"/>
    </row>
    <row r="2592" spans="1:12">
      <c r="A2592" s="20" t="s">
        <v>1523</v>
      </c>
      <c r="E2592" s="21">
        <f>IF(D2592="?OLD","!!!","")</f>
        <v/>
      </c>
      <c r="F2592" s="22" t="str">
        <f>IF(OR(E2592="",E2592="!!!"),"",IF(NOT(ISNA(VLOOKUP(E2592,E$1:E2591,1,FALSE()))),"OLD",IF(AND(E2592&lt;&gt;"",E2592&lt;&gt;"!!!"),"NEW","")))</f>
        <v> </v>
      </c>
      <c r="G2592" s="23" t="str">
        <f>IF(OR(E2592="",E2592="!!!"),"",IF(OR(J2592=0,AND(J2592=1,K2592=1),AND(J2592=1,I2592="SBJ"),AND(J2592=1,I2592=0)),"?IN_FOCUS",IF(J2592&lt;=2,"?ACTIVATED",IF(J2592&lt;&gt;"","?FAMILIAR",IF(F2592="NEW",IF(ISNA(VLOOKUP(E2592,#REF!,1,FALSE())),"?TYPE_IDENTIFIABLE","?REFERENTIAL"),"_")))))</f>
        <v> </v>
      </c>
      <c r="H2592" s="24" t="str">
        <f>IF(J2592&lt;&gt;1,"",IF(I2592="SBJ","CB","?"))</f>
        <v> </v>
      </c>
      <c r="I2592" s="25" t="str">
        <f>IF(OR(E2592="",E2592="!!!",F2592="NEW"),"",INDEX(B2591:B$2,-1+SUMPRODUCT(MAX(ROW(E2591:E$2)*(E2592=E2591:E$2)))))</f>
        <v> </v>
      </c>
      <c r="J2592" s="25" t="str">
        <f>IF(OR(E2592="",E2592="!!!",F2592="NEW"),"",COUNTBLANK(OFFSET(A$1,,,SUMPRODUCT(MAX(ROW(E$2:E2592)*(E2592=E$2:E2592)))))-COUNTBLANK(OFFSET(A$1,,,SUMPRODUCT(MAX(ROW(E$1:E2591)*(E2=E$1:E2591))))))</f>
        <v> </v>
      </c>
      <c r="K2592" s="25" t="str">
        <f>IF(OR(E2592="",E2592="!!!",F2592="NEW"),"",INDEX(J$1:J2591,SUMPRODUCT(MAX(ROW(E$1:E2591)*(E2592=E$1:E2591)))))</f>
        <v> </v>
      </c>
      <c r="L2592" s="26"/>
    </row>
    <row r="2593" spans="1:12">
      <c r="A2593" s="20" t="s">
        <v>633</v>
      </c>
      <c r="E2593" s="21">
        <f>IF(D2593="?OLD","!!!","")</f>
        <v/>
      </c>
      <c r="F2593" s="22" t="str">
        <f>IF(OR(E2593="",E2593="!!!"),"",IF(NOT(ISNA(VLOOKUP(E2593,E$1:E2592,1,FALSE()))),"OLD",IF(AND(E2593&lt;&gt;"",E2593&lt;&gt;"!!!"),"NEW","")))</f>
        <v> </v>
      </c>
      <c r="G2593" s="23" t="str">
        <f>IF(OR(E2593="",E2593="!!!"),"",IF(OR(J2593=0,AND(J2593=1,K2593=1),AND(J2593=1,I2593="SBJ"),AND(J2593=1,I2593=0)),"?IN_FOCUS",IF(J2593&lt;=2,"?ACTIVATED",IF(J2593&lt;&gt;"","?FAMILIAR",IF(F2593="NEW",IF(ISNA(VLOOKUP(E2593,#REF!,1,FALSE())),"?TYPE_IDENTIFIABLE","?REFERENTIAL"),"_")))))</f>
        <v> </v>
      </c>
      <c r="H2593" s="24" t="str">
        <f>IF(J2593&lt;&gt;1,"",IF(I2593="SBJ","CB","?"))</f>
        <v> </v>
      </c>
      <c r="I2593" s="25" t="str">
        <f>IF(OR(E2593="",E2593="!!!",F2593="NEW"),"",INDEX(B2592:B$2,-1+SUMPRODUCT(MAX(ROW(E2592:E$2)*(E2593=E2592:E$2)))))</f>
        <v> </v>
      </c>
      <c r="J2593" s="25" t="str">
        <f>IF(OR(E2593="",E2593="!!!",F2593="NEW"),"",COUNTBLANK(OFFSET(A$1,,,SUMPRODUCT(MAX(ROW(E$2:E2593)*(E2593=E$2:E2593)))))-COUNTBLANK(OFFSET(A$1,,,SUMPRODUCT(MAX(ROW(E$1:E2592)*(E2=E$1:E2592))))))</f>
        <v> </v>
      </c>
      <c r="K2593" s="25" t="str">
        <f>IF(OR(E2593="",E2593="!!!",F2593="NEW"),"",INDEX(J$1:J2592,SUMPRODUCT(MAX(ROW(E$1:E2592)*(E2593=E$1:E2592)))))</f>
        <v> </v>
      </c>
      <c r="L2593" s="26"/>
    </row>
    <row r="2594" spans="1:12">
      <c r="A2594" s="20"/>
    </row>
    <row r="2595" spans="1:12">
      <c r="A2595" s="20" t="s">
        <v>1524</v>
      </c>
    </row>
    <row r="2596" spans="1:12">
      <c r="A2596" s="20" t="s">
        <v>1525</v>
      </c>
      <c r="E2596" s="21">
        <f>IF(D2596="?OLD","!!!","")</f>
        <v/>
      </c>
      <c r="F2596" s="22" t="str">
        <f>IF(OR(E2596="",E2596="!!!"),"",IF(NOT(ISNA(VLOOKUP(E2596,E$1:E2595,1,FALSE()))),"OLD",IF(AND(E2596&lt;&gt;"",E2596&lt;&gt;"!!!"),"NEW","")))</f>
        <v> </v>
      </c>
      <c r="G2596" s="23" t="str">
        <f>IF(OR(E2596="",E2596="!!!"),"",IF(OR(J2596=0,AND(J2596=1,K2596=1),AND(J2596=1,I2596="SBJ"),AND(J2596=1,I2596=0)),"?IN_FOCUS",IF(J2596&lt;=2,"?ACTIVATED",IF(J2596&lt;&gt;"","?FAMILIAR",IF(F2596="NEW",IF(ISNA(VLOOKUP(E2596,#REF!,1,FALSE())),"?TYPE_IDENTIFIABLE","?REFERENTIAL"),"_")))))</f>
        <v> </v>
      </c>
      <c r="H2596" s="24" t="str">
        <f>IF(J2596&lt;&gt;1,"",IF(I2596="SBJ","CB","?"))</f>
        <v> </v>
      </c>
      <c r="I2596" s="25" t="str">
        <f>IF(OR(E2596="",E2596="!!!",F2596="NEW"),"",INDEX(B2595:B$2,-1+SUMPRODUCT(MAX(ROW(E2595:E$2)*(E2596=E2595:E$2)))))</f>
        <v> </v>
      </c>
      <c r="J2596" s="25" t="str">
        <f>IF(OR(E2596="",E2596="!!!",F2596="NEW"),"",COUNTBLANK(OFFSET(A$1,,,SUMPRODUCT(MAX(ROW(E$2:E2596)*(E2596=E$2:E2596)))))-COUNTBLANK(OFFSET(A$1,,,SUMPRODUCT(MAX(ROW(E$1:E2595)*(E2=E$1:E2595))))))</f>
        <v> </v>
      </c>
      <c r="K2596" s="25" t="str">
        <f>IF(OR(E2596="",E2596="!!!",F2596="NEW"),"",INDEX(J$1:J2595,SUMPRODUCT(MAX(ROW(E$1:E2595)*(E2596=E$1:E2595)))))</f>
        <v> </v>
      </c>
      <c r="L2596" s="26"/>
    </row>
    <row r="2597" spans="1:12">
      <c r="A2597" s="20" t="s">
        <v>28</v>
      </c>
      <c r="E2597" s="21">
        <f>IF(D2597="?OLD","!!!","")</f>
        <v/>
      </c>
      <c r="F2597" s="22" t="str">
        <f>IF(OR(E2597="",E2597="!!!"),"",IF(NOT(ISNA(VLOOKUP(E2597,E$1:E2596,1,FALSE()))),"OLD",IF(AND(E2597&lt;&gt;"",E2597&lt;&gt;"!!!"),"NEW","")))</f>
        <v> </v>
      </c>
      <c r="G2597" s="23" t="str">
        <f>IF(OR(E2597="",E2597="!!!"),"",IF(OR(J2597=0,AND(J2597=1,K2597=1),AND(J2597=1,I2597="SBJ"),AND(J2597=1,I2597=0)),"?IN_FOCUS",IF(J2597&lt;=2,"?ACTIVATED",IF(J2597&lt;&gt;"","?FAMILIAR",IF(F2597="NEW",IF(ISNA(VLOOKUP(E2597,#REF!,1,FALSE())),"?TYPE_IDENTIFIABLE","?REFERENTIAL"),"_")))))</f>
        <v> </v>
      </c>
      <c r="H2597" s="24" t="str">
        <f>IF(J2597&lt;&gt;1,"",IF(I2597="SBJ","CB","?"))</f>
        <v> </v>
      </c>
      <c r="I2597" s="25" t="str">
        <f>IF(OR(E2597="",E2597="!!!",F2597="NEW"),"",INDEX(B2596:B$2,-1+SUMPRODUCT(MAX(ROW(E2596:E$2)*(E2597=E2596:E$2)))))</f>
        <v> </v>
      </c>
      <c r="J2597" s="25" t="str">
        <f>IF(OR(E2597="",E2597="!!!",F2597="NEW"),"",COUNTBLANK(OFFSET(A$1,,,SUMPRODUCT(MAX(ROW(E$2:E2597)*(E2597=E$2:E2597)))))-COUNTBLANK(OFFSET(A$1,,,SUMPRODUCT(MAX(ROW(E$1:E2596)*(E2=E$1:E2596))))))</f>
        <v> </v>
      </c>
      <c r="K2597" s="25" t="str">
        <f>IF(OR(E2597="",E2597="!!!",F2597="NEW"),"",INDEX(J$1:J2596,SUMPRODUCT(MAX(ROW(E$1:E2596)*(E2597=E$1:E2596)))))</f>
        <v> </v>
      </c>
      <c r="L2597" s="26"/>
    </row>
    <row r="2598" spans="1:12">
      <c r="A2598" s="20" t="s">
        <v>651</v>
      </c>
      <c r="B2598" s="27" t="s">
        <v>636</v>
      </c>
      <c r="C2598" s="27" t="s">
        <v>652</v>
      </c>
      <c r="D2598" s="27" t="s">
        <v>608</v>
      </c>
      <c r="E2598" s="21">
        <f>IF(D2598="?OLD","!!!","")</f>
        <v/>
      </c>
      <c r="F2598" s="22" t="str">
        <f>IF(OR(E2598="",E2598="!!!"),"",IF(NOT(ISNA(VLOOKUP(E2598,E$1:E2597,1,FALSE()))),"OLD",IF(AND(E2598&lt;&gt;"",E2598&lt;&gt;"!!!"),"NEW","")))</f>
        <v> </v>
      </c>
      <c r="G2598" s="23" t="str">
        <f>IF(OR(E2598="",E2598="!!!"),"",IF(OR(J2598=0,AND(J2598=1,K2598=1),AND(J2598=1,I2598="SBJ"),AND(J2598=1,I2598=0)),"?IN_FOCUS",IF(J2598&lt;=2,"?ACTIVATED",IF(J2598&lt;&gt;"","?FAMILIAR",IF(F2598="NEW",IF(ISNA(VLOOKUP(E2598,#REF!,1,FALSE())),"?TYPE_IDENTIFIABLE","?REFERENTIAL"),"_")))))</f>
        <v> </v>
      </c>
      <c r="H2598" s="24" t="str">
        <f>IF(J2598&lt;&gt;1,"",IF(I2598="SBJ","CB","?"))</f>
        <v> </v>
      </c>
      <c r="I2598" s="25" t="str">
        <f>IF(OR(E2598="",E2598="!!!",F2598="NEW"),"",INDEX(B2597:B$2,-1+SUMPRODUCT(MAX(ROW(E2597:E$2)*(E2598=E2597:E$2)))))</f>
        <v> </v>
      </c>
      <c r="J2598" s="25" t="str">
        <f>IF(OR(E2598="",E2598="!!!",F2598="NEW"),"",COUNTBLANK(OFFSET(A$1,,,SUMPRODUCT(MAX(ROW(E$2:E2598)*(E2598=E$2:E2598)))))-COUNTBLANK(OFFSET(A$1,,,SUMPRODUCT(MAX(ROW(E$1:E2597)*(E2=E$1:E2597))))))</f>
        <v> </v>
      </c>
      <c r="K2598" s="25" t="str">
        <f>IF(OR(E2598="",E2598="!!!",F2598="NEW"),"",INDEX(J$1:J2597,SUMPRODUCT(MAX(ROW(E$1:E2597)*(E2598=E$1:E2597)))))</f>
        <v> </v>
      </c>
      <c r="L2598" s="26"/>
    </row>
    <row r="2599" spans="1:12">
      <c r="A2599" s="20" t="s">
        <v>816</v>
      </c>
      <c r="E2599" s="21">
        <f>IF(D2599="?OLD","!!!","")</f>
        <v/>
      </c>
      <c r="F2599" s="22" t="str">
        <f>IF(OR(E2599="",E2599="!!!"),"",IF(NOT(ISNA(VLOOKUP(E2599,E$1:E2598,1,FALSE()))),"OLD",IF(AND(E2599&lt;&gt;"",E2599&lt;&gt;"!!!"),"NEW","")))</f>
        <v> </v>
      </c>
      <c r="G2599" s="23" t="str">
        <f>IF(OR(E2599="",E2599="!!!"),"",IF(OR(J2599=0,AND(J2599=1,K2599=1),AND(J2599=1,I2599="SBJ"),AND(J2599=1,I2599=0)),"?IN_FOCUS",IF(J2599&lt;=2,"?ACTIVATED",IF(J2599&lt;&gt;"","?FAMILIAR",IF(F2599="NEW",IF(ISNA(VLOOKUP(E2599,#REF!,1,FALSE())),"?TYPE_IDENTIFIABLE","?REFERENTIAL"),"_")))))</f>
        <v> </v>
      </c>
      <c r="H2599" s="24" t="str">
        <f>IF(J2599&lt;&gt;1,"",IF(I2599="SBJ","CB","?"))</f>
        <v> </v>
      </c>
      <c r="I2599" s="25" t="str">
        <f>IF(OR(E2599="",E2599="!!!",F2599="NEW"),"",INDEX(B2598:B$2,-1+SUMPRODUCT(MAX(ROW(E2598:E$2)*(E2599=E2598:E$2)))))</f>
        <v> </v>
      </c>
      <c r="J2599" s="25" t="str">
        <f>IF(OR(E2599="",E2599="!!!",F2599="NEW"),"",COUNTBLANK(OFFSET(A$1,,,SUMPRODUCT(MAX(ROW(E$2:E2599)*(E2599=E$2:E2599)))))-COUNTBLANK(OFFSET(A$1,,,SUMPRODUCT(MAX(ROW(E$1:E2598)*(E2=E$1:E2598))))))</f>
        <v> </v>
      </c>
      <c r="K2599" s="25" t="str">
        <f>IF(OR(E2599="",E2599="!!!",F2599="NEW"),"",INDEX(J$1:J2598,SUMPRODUCT(MAX(ROW(E$1:E2598)*(E2599=E$1:E2598)))))</f>
        <v> </v>
      </c>
      <c r="L2599" s="26"/>
    </row>
    <row r="2600" spans="1:12">
      <c r="A2600" s="20" t="s">
        <v>1526</v>
      </c>
      <c r="B2600" s="27" t="s">
        <v>606</v>
      </c>
      <c r="C2600" s="27" t="s">
        <v>622</v>
      </c>
      <c r="E2600" s="21">
        <f>IF(D2600="?OLD","!!!","")</f>
        <v/>
      </c>
      <c r="F2600" s="22" t="str">
        <f>IF(OR(E2600="",E2600="!!!"),"",IF(NOT(ISNA(VLOOKUP(E2600,E$1:E2599,1,FALSE()))),"OLD",IF(AND(E2600&lt;&gt;"",E2600&lt;&gt;"!!!"),"NEW","")))</f>
        <v> </v>
      </c>
      <c r="G2600" s="23" t="str">
        <f>IF(OR(E2600="",E2600="!!!"),"",IF(OR(J2600=0,AND(J2600=1,K2600=1),AND(J2600=1,I2600="SBJ"),AND(J2600=1,I2600=0)),"?IN_FOCUS",IF(J2600&lt;=2,"?ACTIVATED",IF(J2600&lt;&gt;"","?FAMILIAR",IF(F2600="NEW",IF(ISNA(VLOOKUP(E2600,#REF!,1,FALSE())),"?TYPE_IDENTIFIABLE","?REFERENTIAL"),"_")))))</f>
        <v> </v>
      </c>
      <c r="H2600" s="24" t="str">
        <f>IF(J2600&lt;&gt;1,"",IF(I2600="SBJ","CB","?"))</f>
        <v> </v>
      </c>
      <c r="I2600" s="25" t="str">
        <f>IF(OR(E2600="",E2600="!!!",F2600="NEW"),"",INDEX(B2599:B$2,-1+SUMPRODUCT(MAX(ROW(E2599:E$2)*(E2600=E2599:E$2)))))</f>
        <v> </v>
      </c>
      <c r="J2600" s="25" t="str">
        <f>IF(OR(E2600="",E2600="!!!",F2600="NEW"),"",COUNTBLANK(OFFSET(A$1,,,SUMPRODUCT(MAX(ROW(E$2:E2600)*(E2600=E$2:E2600)))))-COUNTBLANK(OFFSET(A$1,,,SUMPRODUCT(MAX(ROW(E$1:E2599)*(E2=E$1:E2599))))))</f>
        <v> </v>
      </c>
      <c r="K2600" s="25" t="str">
        <f>IF(OR(E2600="",E2600="!!!",F2600="NEW"),"",INDEX(J$1:J2599,SUMPRODUCT(MAX(ROW(E$1:E2599)*(E2600=E$1:E2599)))))</f>
        <v> </v>
      </c>
      <c r="L2600" s="26"/>
    </row>
    <row r="2601" spans="1:12">
      <c r="A2601" s="20" t="s">
        <v>617</v>
      </c>
      <c r="E2601" s="21">
        <f>IF(D2601="?OLD","!!!","")</f>
        <v/>
      </c>
      <c r="F2601" s="22" t="str">
        <f>IF(OR(E2601="",E2601="!!!"),"",IF(NOT(ISNA(VLOOKUP(E2601,E$1:E2600,1,FALSE()))),"OLD",IF(AND(E2601&lt;&gt;"",E2601&lt;&gt;"!!!"),"NEW","")))</f>
        <v> </v>
      </c>
      <c r="G2601" s="23" t="str">
        <f>IF(OR(E2601="",E2601="!!!"),"",IF(OR(J2601=0,AND(J2601=1,K2601=1),AND(J2601=1,I2601="SBJ"),AND(J2601=1,I2601=0)),"?IN_FOCUS",IF(J2601&lt;=2,"?ACTIVATED",IF(J2601&lt;&gt;"","?FAMILIAR",IF(F2601="NEW",IF(ISNA(VLOOKUP(E2601,#REF!,1,FALSE())),"?TYPE_IDENTIFIABLE","?REFERENTIAL"),"_")))))</f>
        <v> </v>
      </c>
      <c r="H2601" s="24" t="str">
        <f>IF(J2601&lt;&gt;1,"",IF(I2601="SBJ","CB","?"))</f>
        <v> </v>
      </c>
      <c r="I2601" s="25" t="str">
        <f>IF(OR(E2601="",E2601="!!!",F2601="NEW"),"",INDEX(B2600:B$2,-1+SUMPRODUCT(MAX(ROW(E2600:E$2)*(E2601=E2600:E$2)))))</f>
        <v> </v>
      </c>
      <c r="J2601" s="25" t="str">
        <f>IF(OR(E2601="",E2601="!!!",F2601="NEW"),"",COUNTBLANK(OFFSET(A$1,,,SUMPRODUCT(MAX(ROW(E$2:E2601)*(E2601=E$2:E2601)))))-COUNTBLANK(OFFSET(A$1,,,SUMPRODUCT(MAX(ROW(E$1:E2600)*(E2=E$1:E2600))))))</f>
        <v> </v>
      </c>
      <c r="K2601" s="25" t="str">
        <f>IF(OR(E2601="",E2601="!!!",F2601="NEW"),"",INDEX(J$1:J2600,SUMPRODUCT(MAX(ROW(E$1:E2600)*(E2601=E$1:E2600)))))</f>
        <v> </v>
      </c>
      <c r="L2601" s="26"/>
    </row>
    <row r="2602" spans="1:12">
      <c r="A2602" s="20" t="s">
        <v>736</v>
      </c>
      <c r="E2602" s="21">
        <f>IF(D2602="?OLD","!!!","")</f>
        <v/>
      </c>
      <c r="F2602" s="22" t="str">
        <f>IF(OR(E2602="",E2602="!!!"),"",IF(NOT(ISNA(VLOOKUP(E2602,E$1:E2601,1,FALSE()))),"OLD",IF(AND(E2602&lt;&gt;"",E2602&lt;&gt;"!!!"),"NEW","")))</f>
        <v> </v>
      </c>
      <c r="G2602" s="23" t="str">
        <f>IF(OR(E2602="",E2602="!!!"),"",IF(OR(J2602=0,AND(J2602=1,K2602=1),AND(J2602=1,I2602="SBJ"),AND(J2602=1,I2602=0)),"?IN_FOCUS",IF(J2602&lt;=2,"?ACTIVATED",IF(J2602&lt;&gt;"","?FAMILIAR",IF(F2602="NEW",IF(ISNA(VLOOKUP(E2602,#REF!,1,FALSE())),"?TYPE_IDENTIFIABLE","?REFERENTIAL"),"_")))))</f>
        <v> </v>
      </c>
      <c r="H2602" s="24" t="str">
        <f>IF(J2602&lt;&gt;1,"",IF(I2602="SBJ","CB","?"))</f>
        <v> </v>
      </c>
      <c r="I2602" s="25" t="str">
        <f>IF(OR(E2602="",E2602="!!!",F2602="NEW"),"",INDEX(B2601:B$2,-1+SUMPRODUCT(MAX(ROW(E2601:E$2)*(E2602=E2601:E$2)))))</f>
        <v> </v>
      </c>
      <c r="J2602" s="25" t="str">
        <f>IF(OR(E2602="",E2602="!!!",F2602="NEW"),"",COUNTBLANK(OFFSET(A$1,,,SUMPRODUCT(MAX(ROW(E$2:E2602)*(E2602=E$2:E2602)))))-COUNTBLANK(OFFSET(A$1,,,SUMPRODUCT(MAX(ROW(E$1:E2601)*(E2=E$1:E2601))))))</f>
        <v> </v>
      </c>
      <c r="K2602" s="25" t="str">
        <f>IF(OR(E2602="",E2602="!!!",F2602="NEW"),"",INDEX(J$1:J2601,SUMPRODUCT(MAX(ROW(E$1:E2601)*(E2602=E$1:E2601)))))</f>
        <v> </v>
      </c>
      <c r="L2602" s="26"/>
    </row>
    <row r="2603" spans="1:12">
      <c r="A2603" s="20" t="s">
        <v>926</v>
      </c>
      <c r="E2603" s="21">
        <f>IF(D2603="?OLD","!!!","")</f>
        <v/>
      </c>
      <c r="F2603" s="22" t="str">
        <f>IF(OR(E2603="",E2603="!!!"),"",IF(NOT(ISNA(VLOOKUP(E2603,E$1:E2602,1,FALSE()))),"OLD",IF(AND(E2603&lt;&gt;"",E2603&lt;&gt;"!!!"),"NEW","")))</f>
        <v> </v>
      </c>
      <c r="G2603" s="23" t="str">
        <f>IF(OR(E2603="",E2603="!!!"),"",IF(OR(J2603=0,AND(J2603=1,K2603=1),AND(J2603=1,I2603="SBJ"),AND(J2603=1,I2603=0)),"?IN_FOCUS",IF(J2603&lt;=2,"?ACTIVATED",IF(J2603&lt;&gt;"","?FAMILIAR",IF(F2603="NEW",IF(ISNA(VLOOKUP(E2603,#REF!,1,FALSE())),"?TYPE_IDENTIFIABLE","?REFERENTIAL"),"_")))))</f>
        <v> </v>
      </c>
      <c r="H2603" s="24" t="str">
        <f>IF(J2603&lt;&gt;1,"",IF(I2603="SBJ","CB","?"))</f>
        <v> </v>
      </c>
      <c r="I2603" s="25" t="str">
        <f>IF(OR(E2603="",E2603="!!!",F2603="NEW"),"",INDEX(B2602:B$2,-1+SUMPRODUCT(MAX(ROW(E2602:E$2)*(E2603=E2602:E$2)))))</f>
        <v> </v>
      </c>
      <c r="J2603" s="25" t="str">
        <f>IF(OR(E2603="",E2603="!!!",F2603="NEW"),"",COUNTBLANK(OFFSET(A$1,,,SUMPRODUCT(MAX(ROW(E$2:E2603)*(E2603=E$2:E2603)))))-COUNTBLANK(OFFSET(A$1,,,SUMPRODUCT(MAX(ROW(E$1:E2602)*(E2=E$1:E2602))))))</f>
        <v> </v>
      </c>
      <c r="K2603" s="25" t="str">
        <f>IF(OR(E2603="",E2603="!!!",F2603="NEW"),"",INDEX(J$1:J2602,SUMPRODUCT(MAX(ROW(E$1:E2602)*(E2603=E$1:E2602)))))</f>
        <v> </v>
      </c>
      <c r="L2603" s="26"/>
    </row>
    <row r="2604" spans="1:12">
      <c r="A2604" s="20" t="s">
        <v>84</v>
      </c>
      <c r="E2604" s="21">
        <f>IF(D2604="?OLD","!!!","")</f>
        <v/>
      </c>
      <c r="F2604" s="22" t="str">
        <f>IF(OR(E2604="",E2604="!!!"),"",IF(NOT(ISNA(VLOOKUP(E2604,E$1:E2603,1,FALSE()))),"OLD",IF(AND(E2604&lt;&gt;"",E2604&lt;&gt;"!!!"),"NEW","")))</f>
        <v> </v>
      </c>
      <c r="G2604" s="23" t="str">
        <f>IF(OR(E2604="",E2604="!!!"),"",IF(OR(J2604=0,AND(J2604=1,K2604=1),AND(J2604=1,I2604="SBJ"),AND(J2604=1,I2604=0)),"?IN_FOCUS",IF(J2604&lt;=2,"?ACTIVATED",IF(J2604&lt;&gt;"","?FAMILIAR",IF(F2604="NEW",IF(ISNA(VLOOKUP(E2604,#REF!,1,FALSE())),"?TYPE_IDENTIFIABLE","?REFERENTIAL"),"_")))))</f>
        <v> </v>
      </c>
      <c r="H2604" s="24" t="str">
        <f>IF(J2604&lt;&gt;1,"",IF(I2604="SBJ","CB","?"))</f>
        <v> </v>
      </c>
      <c r="I2604" s="25" t="str">
        <f>IF(OR(E2604="",E2604="!!!",F2604="NEW"),"",INDEX(B2603:B$2,-1+SUMPRODUCT(MAX(ROW(E2603:E$2)*(E2604=E2603:E$2)))))</f>
        <v> </v>
      </c>
      <c r="J2604" s="25" t="str">
        <f>IF(OR(E2604="",E2604="!!!",F2604="NEW"),"",COUNTBLANK(OFFSET(A$1,,,SUMPRODUCT(MAX(ROW(E$2:E2604)*(E2604=E$2:E2604)))))-COUNTBLANK(OFFSET(A$1,,,SUMPRODUCT(MAX(ROW(E$1:E2603)*(E2=E$1:E2603))))))</f>
        <v> </v>
      </c>
      <c r="K2604" s="25" t="str">
        <f>IF(OR(E2604="",E2604="!!!",F2604="NEW"),"",INDEX(J$1:J2603,SUMPRODUCT(MAX(ROW(E$1:E2603)*(E2604=E$1:E2603)))))</f>
        <v> </v>
      </c>
      <c r="L2604" s="26"/>
    </row>
    <row r="2605" spans="1:12">
      <c r="A2605" s="20" t="s">
        <v>1527</v>
      </c>
      <c r="B2605" s="27" t="s">
        <v>619</v>
      </c>
      <c r="C2605" s="27" t="s">
        <v>678</v>
      </c>
      <c r="E2605" s="21">
        <f>IF(D2605="?OLD","!!!","")</f>
        <v/>
      </c>
      <c r="F2605" s="22" t="str">
        <f>IF(OR(E2605="",E2605="!!!"),"",IF(NOT(ISNA(VLOOKUP(E2605,E$1:E2604,1,FALSE()))),"OLD",IF(AND(E2605&lt;&gt;"",E2605&lt;&gt;"!!!"),"NEW","")))</f>
        <v> </v>
      </c>
      <c r="G2605" s="23" t="str">
        <f>IF(OR(E2605="",E2605="!!!"),"",IF(OR(J2605=0,AND(J2605=1,K2605=1),AND(J2605=1,I2605="SBJ"),AND(J2605=1,I2605=0)),"?IN_FOCUS",IF(J2605&lt;=2,"?ACTIVATED",IF(J2605&lt;&gt;"","?FAMILIAR",IF(F2605="NEW",IF(ISNA(VLOOKUP(E2605,#REF!,1,FALSE())),"?TYPE_IDENTIFIABLE","?REFERENTIAL"),"_")))))</f>
        <v> </v>
      </c>
      <c r="H2605" s="24" t="str">
        <f>IF(J2605&lt;&gt;1,"",IF(I2605="SBJ","CB","?"))</f>
        <v> </v>
      </c>
      <c r="I2605" s="25" t="str">
        <f>IF(OR(E2605="",E2605="!!!",F2605="NEW"),"",INDEX(B2604:B$2,-1+SUMPRODUCT(MAX(ROW(E2604:E$2)*(E2605=E2604:E$2)))))</f>
        <v> </v>
      </c>
      <c r="J2605" s="25" t="str">
        <f>IF(OR(E2605="",E2605="!!!",F2605="NEW"),"",COUNTBLANK(OFFSET(A$1,,,SUMPRODUCT(MAX(ROW(E$2:E2605)*(E2605=E$2:E2605)))))-COUNTBLANK(OFFSET(A$1,,,SUMPRODUCT(MAX(ROW(E$1:E2604)*(E2=E$1:E2604))))))</f>
        <v> </v>
      </c>
      <c r="K2605" s="25" t="str">
        <f>IF(OR(E2605="",E2605="!!!",F2605="NEW"),"",INDEX(J$1:J2604,SUMPRODUCT(MAX(ROW(E$1:E2604)*(E2605=E$1:E2604)))))</f>
        <v> </v>
      </c>
      <c r="L2605" s="26"/>
    </row>
    <row r="2606" spans="1:12">
      <c r="A2606" s="20" t="s">
        <v>609</v>
      </c>
      <c r="E2606" s="21">
        <f>IF(D2606="?OLD","!!!","")</f>
        <v/>
      </c>
      <c r="F2606" s="22" t="str">
        <f>IF(OR(E2606="",E2606="!!!"),"",IF(NOT(ISNA(VLOOKUP(E2606,E$1:E2605,1,FALSE()))),"OLD",IF(AND(E2606&lt;&gt;"",E2606&lt;&gt;"!!!"),"NEW","")))</f>
        <v> </v>
      </c>
      <c r="G2606" s="23" t="str">
        <f>IF(OR(E2606="",E2606="!!!"),"",IF(OR(J2606=0,AND(J2606=1,K2606=1),AND(J2606=1,I2606="SBJ"),AND(J2606=1,I2606=0)),"?IN_FOCUS",IF(J2606&lt;=2,"?ACTIVATED",IF(J2606&lt;&gt;"","?FAMILIAR",IF(F2606="NEW",IF(ISNA(VLOOKUP(E2606,#REF!,1,FALSE())),"?TYPE_IDENTIFIABLE","?REFERENTIAL"),"_")))))</f>
        <v> </v>
      </c>
      <c r="H2606" s="24" t="str">
        <f>IF(J2606&lt;&gt;1,"",IF(I2606="SBJ","CB","?"))</f>
        <v> </v>
      </c>
      <c r="I2606" s="25" t="str">
        <f>IF(OR(E2606="",E2606="!!!",F2606="NEW"),"",INDEX(B2605:B$2,-1+SUMPRODUCT(MAX(ROW(E2605:E$2)*(E2606=E2605:E$2)))))</f>
        <v> </v>
      </c>
      <c r="J2606" s="25" t="str">
        <f>IF(OR(E2606="",E2606="!!!",F2606="NEW"),"",COUNTBLANK(OFFSET(A$1,,,SUMPRODUCT(MAX(ROW(E$2:E2606)*(E2606=E$2:E2606)))))-COUNTBLANK(OFFSET(A$1,,,SUMPRODUCT(MAX(ROW(E$1:E2605)*(E2=E$1:E2605))))))</f>
        <v> </v>
      </c>
      <c r="K2606" s="25" t="str">
        <f>IF(OR(E2606="",E2606="!!!",F2606="NEW"),"",INDEX(J$1:J2605,SUMPRODUCT(MAX(ROW(E$1:E2605)*(E2606=E$1:E2605)))))</f>
        <v> </v>
      </c>
      <c r="L2606" s="26"/>
    </row>
    <row r="2607" spans="1:12">
      <c r="A2607" s="20" t="s">
        <v>1309</v>
      </c>
      <c r="B2607" s="27" t="s">
        <v>606</v>
      </c>
      <c r="C2607" s="27" t="s">
        <v>607</v>
      </c>
      <c r="D2607" s="27" t="s">
        <v>608</v>
      </c>
      <c r="E2607" s="21">
        <f>IF(D2607="?OLD","!!!","")</f>
        <v/>
      </c>
      <c r="F2607" s="22" t="str">
        <f>IF(OR(E2607="",E2607="!!!"),"",IF(NOT(ISNA(VLOOKUP(E2607,E$1:E2606,1,FALSE()))),"OLD",IF(AND(E2607&lt;&gt;"",E2607&lt;&gt;"!!!"),"NEW","")))</f>
        <v> </v>
      </c>
      <c r="G2607" s="23" t="str">
        <f>IF(OR(E2607="",E2607="!!!"),"",IF(OR(J2607=0,AND(J2607=1,K2607=1),AND(J2607=1,I2607="SBJ"),AND(J2607=1,I2607=0)),"?IN_FOCUS",IF(J2607&lt;=2,"?ACTIVATED",IF(J2607&lt;&gt;"","?FAMILIAR",IF(F2607="NEW",IF(ISNA(VLOOKUP(E2607,#REF!,1,FALSE())),"?TYPE_IDENTIFIABLE","?REFERENTIAL"),"_")))))</f>
        <v> </v>
      </c>
      <c r="H2607" s="24" t="str">
        <f>IF(J2607&lt;&gt;1,"",IF(I2607="SBJ","CB","?"))</f>
        <v> </v>
      </c>
      <c r="I2607" s="25" t="str">
        <f>IF(OR(E2607="",E2607="!!!",F2607="NEW"),"",INDEX(B2606:B$2,-1+SUMPRODUCT(MAX(ROW(E2606:E$2)*(E2607=E2606:E$2)))))</f>
        <v> </v>
      </c>
      <c r="J2607" s="25" t="str">
        <f>IF(OR(E2607="",E2607="!!!",F2607="NEW"),"",COUNTBLANK(OFFSET(A$1,,,SUMPRODUCT(MAX(ROW(E$2:E2607)*(E2607=E$2:E2607)))))-COUNTBLANK(OFFSET(A$1,,,SUMPRODUCT(MAX(ROW(E$1:E2606)*(E2=E$1:E2606))))))</f>
        <v> </v>
      </c>
      <c r="K2607" s="25" t="str">
        <f>IF(OR(E2607="",E2607="!!!",F2607="NEW"),"",INDEX(J$1:J2606,SUMPRODUCT(MAX(ROW(E$1:E2606)*(E2607=E$1:E2606)))))</f>
        <v> </v>
      </c>
      <c r="L2607" s="26"/>
    </row>
    <row r="2608" spans="1:12">
      <c r="A2608" s="20" t="s">
        <v>617</v>
      </c>
      <c r="E2608" s="21">
        <f>IF(D2608="?OLD","!!!","")</f>
        <v/>
      </c>
      <c r="F2608" s="22" t="str">
        <f>IF(OR(E2608="",E2608="!!!"),"",IF(NOT(ISNA(VLOOKUP(E2608,E$1:E2607,1,FALSE()))),"OLD",IF(AND(E2608&lt;&gt;"",E2608&lt;&gt;"!!!"),"NEW","")))</f>
        <v> </v>
      </c>
      <c r="G2608" s="23" t="str">
        <f>IF(OR(E2608="",E2608="!!!"),"",IF(OR(J2608=0,AND(J2608=1,K2608=1),AND(J2608=1,I2608="SBJ"),AND(J2608=1,I2608=0)),"?IN_FOCUS",IF(J2608&lt;=2,"?ACTIVATED",IF(J2608&lt;&gt;"","?FAMILIAR",IF(F2608="NEW",IF(ISNA(VLOOKUP(E2608,#REF!,1,FALSE())),"?TYPE_IDENTIFIABLE","?REFERENTIAL"),"_")))))</f>
        <v> </v>
      </c>
      <c r="H2608" s="24" t="str">
        <f>IF(J2608&lt;&gt;1,"",IF(I2608="SBJ","CB","?"))</f>
        <v> </v>
      </c>
      <c r="I2608" s="25" t="str">
        <f>IF(OR(E2608="",E2608="!!!",F2608="NEW"),"",INDEX(B2607:B$2,-1+SUMPRODUCT(MAX(ROW(E2607:E$2)*(E2608=E2607:E$2)))))</f>
        <v> </v>
      </c>
      <c r="J2608" s="25" t="str">
        <f>IF(OR(E2608="",E2608="!!!",F2608="NEW"),"",COUNTBLANK(OFFSET(A$1,,,SUMPRODUCT(MAX(ROW(E$2:E2608)*(E2608=E$2:E2608)))))-COUNTBLANK(OFFSET(A$1,,,SUMPRODUCT(MAX(ROW(E$1:E2607)*(E2=E$1:E2607))))))</f>
        <v> </v>
      </c>
      <c r="K2608" s="25" t="str">
        <f>IF(OR(E2608="",E2608="!!!",F2608="NEW"),"",INDEX(J$1:J2607,SUMPRODUCT(MAX(ROW(E$1:E2607)*(E2608=E$1:E2607)))))</f>
        <v> </v>
      </c>
      <c r="L2608" s="26"/>
    </row>
    <row r="2609" spans="1:12">
      <c r="A2609" s="20" t="s">
        <v>618</v>
      </c>
      <c r="B2609" s="27" t="s">
        <v>668</v>
      </c>
      <c r="E2609" s="21">
        <f>IF(D2609="?OLD","!!!","")</f>
        <v/>
      </c>
      <c r="F2609" s="22" t="str">
        <f>IF(OR(E2609="",E2609="!!!"),"",IF(NOT(ISNA(VLOOKUP(E2609,E$1:E2608,1,FALSE()))),"OLD",IF(AND(E2609&lt;&gt;"",E2609&lt;&gt;"!!!"),"NEW","")))</f>
        <v> </v>
      </c>
      <c r="G2609" s="23" t="str">
        <f>IF(OR(E2609="",E2609="!!!"),"",IF(OR(J2609=0,AND(J2609=1,K2609=1),AND(J2609=1,I2609="SBJ"),AND(J2609=1,I2609=0)),"?IN_FOCUS",IF(J2609&lt;=2,"?ACTIVATED",IF(J2609&lt;&gt;"","?FAMILIAR",IF(F2609="NEW",IF(ISNA(VLOOKUP(E2609,#REF!,1,FALSE())),"?TYPE_IDENTIFIABLE","?REFERENTIAL"),"_")))))</f>
        <v> </v>
      </c>
      <c r="H2609" s="24" t="str">
        <f>IF(J2609&lt;&gt;1,"",IF(I2609="SBJ","CB","?"))</f>
        <v> </v>
      </c>
      <c r="I2609" s="25" t="str">
        <f>IF(OR(E2609="",E2609="!!!",F2609="NEW"),"",INDEX(B2608:B$2,-1+SUMPRODUCT(MAX(ROW(E2608:E$2)*(E2609=E2608:E$2)))))</f>
        <v> </v>
      </c>
      <c r="J2609" s="25" t="str">
        <f>IF(OR(E2609="",E2609="!!!",F2609="NEW"),"",COUNTBLANK(OFFSET(A$1,,,SUMPRODUCT(MAX(ROW(E$2:E2609)*(E2609=E$2:E2609)))))-COUNTBLANK(OFFSET(A$1,,,SUMPRODUCT(MAX(ROW(E$1:E2608)*(E2=E$1:E2608))))))</f>
        <v> </v>
      </c>
      <c r="K2609" s="25" t="str">
        <f>IF(OR(E2609="",E2609="!!!",F2609="NEW"),"",INDEX(J$1:J2608,SUMPRODUCT(MAX(ROW(E$1:E2608)*(E2609=E$1:E2608)))))</f>
        <v> </v>
      </c>
      <c r="L2609" s="26"/>
    </row>
    <row r="2610" spans="1:12">
      <c r="A2610" s="20" t="s">
        <v>663</v>
      </c>
      <c r="B2610" s="27" t="s">
        <v>664</v>
      </c>
      <c r="C2610" s="27" t="s">
        <v>626</v>
      </c>
      <c r="E2610" s="21">
        <f>IF(D2610="?OLD","!!!","")</f>
        <v/>
      </c>
      <c r="F2610" s="22" t="str">
        <f>IF(OR(E2610="",E2610="!!!"),"",IF(NOT(ISNA(VLOOKUP(E2610,E$1:E2609,1,FALSE()))),"OLD",IF(AND(E2610&lt;&gt;"",E2610&lt;&gt;"!!!"),"NEW","")))</f>
        <v> </v>
      </c>
      <c r="G2610" s="23" t="str">
        <f>IF(OR(E2610="",E2610="!!!"),"",IF(OR(J2610=0,AND(J2610=1,K2610=1),AND(J2610=1,I2610="SBJ"),AND(J2610=1,I2610=0)),"?IN_FOCUS",IF(J2610&lt;=2,"?ACTIVATED",IF(J2610&lt;&gt;"","?FAMILIAR",IF(F2610="NEW",IF(ISNA(VLOOKUP(E2610,#REF!,1,FALSE())),"?TYPE_IDENTIFIABLE","?REFERENTIAL"),"_")))))</f>
        <v> </v>
      </c>
      <c r="H2610" s="24" t="str">
        <f>IF(J2610&lt;&gt;1,"",IF(I2610="SBJ","CB","?"))</f>
        <v> </v>
      </c>
      <c r="I2610" s="25" t="str">
        <f>IF(OR(E2610="",E2610="!!!",F2610="NEW"),"",INDEX(B2609:B$2,-1+SUMPRODUCT(MAX(ROW(E2609:E$2)*(E2610=E2609:E$2)))))</f>
        <v> </v>
      </c>
      <c r="J2610" s="25" t="str">
        <f>IF(OR(E2610="",E2610="!!!",F2610="NEW"),"",COUNTBLANK(OFFSET(A$1,,,SUMPRODUCT(MAX(ROW(E$2:E2610)*(E2610=E$2:E2610)))))-COUNTBLANK(OFFSET(A$1,,,SUMPRODUCT(MAX(ROW(E$1:E2609)*(E2=E$1:E2609))))))</f>
        <v> </v>
      </c>
      <c r="K2610" s="25" t="str">
        <f>IF(OR(E2610="",E2610="!!!",F2610="NEW"),"",INDEX(J$1:J2609,SUMPRODUCT(MAX(ROW(E$1:E2609)*(E2610=E$1:E2609)))))</f>
        <v> </v>
      </c>
      <c r="L2610" s="26"/>
    </row>
    <row r="2611" spans="1:12">
      <c r="A2611" s="20" t="s">
        <v>1528</v>
      </c>
      <c r="B2611" s="27" t="s">
        <v>625</v>
      </c>
      <c r="C2611" s="27" t="s">
        <v>622</v>
      </c>
      <c r="E2611" s="21">
        <f>IF(D2611="?OLD","!!!","")</f>
        <v/>
      </c>
      <c r="F2611" s="22" t="str">
        <f>IF(OR(E2611="",E2611="!!!"),"",IF(NOT(ISNA(VLOOKUP(E2611,E$1:E2610,1,FALSE()))),"OLD",IF(AND(E2611&lt;&gt;"",E2611&lt;&gt;"!!!"),"NEW","")))</f>
        <v> </v>
      </c>
      <c r="G2611" s="23" t="str">
        <f>IF(OR(E2611="",E2611="!!!"),"",IF(OR(J2611=0,AND(J2611=1,K2611=1),AND(J2611=1,I2611="SBJ"),AND(J2611=1,I2611=0)),"?IN_FOCUS",IF(J2611&lt;=2,"?ACTIVATED",IF(J2611&lt;&gt;"","?FAMILIAR",IF(F2611="NEW",IF(ISNA(VLOOKUP(E2611,#REF!,1,FALSE())),"?TYPE_IDENTIFIABLE","?REFERENTIAL"),"_")))))</f>
        <v> </v>
      </c>
      <c r="H2611" s="24" t="str">
        <f>IF(J2611&lt;&gt;1,"",IF(I2611="SBJ","CB","?"))</f>
        <v> </v>
      </c>
      <c r="I2611" s="25" t="str">
        <f>IF(OR(E2611="",E2611="!!!",F2611="NEW"),"",INDEX(B2610:B$2,-1+SUMPRODUCT(MAX(ROW(E2610:E$2)*(E2611=E2610:E$2)))))</f>
        <v> </v>
      </c>
      <c r="J2611" s="25" t="str">
        <f>IF(OR(E2611="",E2611="!!!",F2611="NEW"),"",COUNTBLANK(OFFSET(A$1,,,SUMPRODUCT(MAX(ROW(E$2:E2611)*(E2611=E$2:E2611)))))-COUNTBLANK(OFFSET(A$1,,,SUMPRODUCT(MAX(ROW(E$1:E2610)*(E2=E$1:E2610))))))</f>
        <v> </v>
      </c>
      <c r="K2611" s="25" t="str">
        <f>IF(OR(E2611="",E2611="!!!",F2611="NEW"),"",INDEX(J$1:J2610,SUMPRODUCT(MAX(ROW(E$1:E2610)*(E2611=E$1:E2610)))))</f>
        <v> </v>
      </c>
      <c r="L2611" s="26"/>
    </row>
    <row r="2612" spans="1:12">
      <c r="A2612" s="20" t="s">
        <v>1451</v>
      </c>
      <c r="E2612" s="21">
        <f>IF(D2612="?OLD","!!!","")</f>
        <v/>
      </c>
      <c r="F2612" s="22" t="str">
        <f>IF(OR(E2612="",E2612="!!!"),"",IF(NOT(ISNA(VLOOKUP(E2612,E$1:E2611,1,FALSE()))),"OLD",IF(AND(E2612&lt;&gt;"",E2612&lt;&gt;"!!!"),"NEW","")))</f>
        <v> </v>
      </c>
      <c r="G2612" s="23" t="str">
        <f>IF(OR(E2612="",E2612="!!!"),"",IF(OR(J2612=0,AND(J2612=1,K2612=1),AND(J2612=1,I2612="SBJ"),AND(J2612=1,I2612=0)),"?IN_FOCUS",IF(J2612&lt;=2,"?ACTIVATED",IF(J2612&lt;&gt;"","?FAMILIAR",IF(F2612="NEW",IF(ISNA(VLOOKUP(E2612,#REF!,1,FALSE())),"?TYPE_IDENTIFIABLE","?REFERENTIAL"),"_")))))</f>
        <v> </v>
      </c>
      <c r="H2612" s="24" t="str">
        <f>IF(J2612&lt;&gt;1,"",IF(I2612="SBJ","CB","?"))</f>
        <v> </v>
      </c>
      <c r="I2612" s="25" t="str">
        <f>IF(OR(E2612="",E2612="!!!",F2612="NEW"),"",INDEX(B2611:B$2,-1+SUMPRODUCT(MAX(ROW(E2611:E$2)*(E2612=E2611:E$2)))))</f>
        <v> </v>
      </c>
      <c r="J2612" s="25" t="str">
        <f>IF(OR(E2612="",E2612="!!!",F2612="NEW"),"",COUNTBLANK(OFFSET(A$1,,,SUMPRODUCT(MAX(ROW(E$2:E2612)*(E2612=E$2:E2612)))))-COUNTBLANK(OFFSET(A$1,,,SUMPRODUCT(MAX(ROW(E$1:E2611)*(E2=E$1:E2611))))))</f>
        <v> </v>
      </c>
      <c r="K2612" s="25" t="str">
        <f>IF(OR(E2612="",E2612="!!!",F2612="NEW"),"",INDEX(J$1:J2611,SUMPRODUCT(MAX(ROW(E$1:E2611)*(E2612=E$1:E2611)))))</f>
        <v> </v>
      </c>
      <c r="L2612" s="26"/>
    </row>
    <row r="2613" spans="1:12">
      <c r="A2613" s="20" t="s">
        <v>1529</v>
      </c>
      <c r="E2613" s="21">
        <f>IF(D2613="?OLD","!!!","")</f>
        <v/>
      </c>
      <c r="F2613" s="22" t="str">
        <f>IF(OR(E2613="",E2613="!!!"),"",IF(NOT(ISNA(VLOOKUP(E2613,E$1:E2612,1,FALSE()))),"OLD",IF(AND(E2613&lt;&gt;"",E2613&lt;&gt;"!!!"),"NEW","")))</f>
        <v> </v>
      </c>
      <c r="G2613" s="23" t="str">
        <f>IF(OR(E2613="",E2613="!!!"),"",IF(OR(J2613=0,AND(J2613=1,K2613=1),AND(J2613=1,I2613="SBJ"),AND(J2613=1,I2613=0)),"?IN_FOCUS",IF(J2613&lt;=2,"?ACTIVATED",IF(J2613&lt;&gt;"","?FAMILIAR",IF(F2613="NEW",IF(ISNA(VLOOKUP(E2613,#REF!,1,FALSE())),"?TYPE_IDENTIFIABLE","?REFERENTIAL"),"_")))))</f>
        <v> </v>
      </c>
      <c r="H2613" s="24" t="str">
        <f>IF(J2613&lt;&gt;1,"",IF(I2613="SBJ","CB","?"))</f>
        <v> </v>
      </c>
      <c r="I2613" s="25" t="str">
        <f>IF(OR(E2613="",E2613="!!!",F2613="NEW"),"",INDEX(B2612:B$2,-1+SUMPRODUCT(MAX(ROW(E2612:E$2)*(E2613=E2612:E$2)))))</f>
        <v> </v>
      </c>
      <c r="J2613" s="25" t="str">
        <f>IF(OR(E2613="",E2613="!!!",F2613="NEW"),"",COUNTBLANK(OFFSET(A$1,,,SUMPRODUCT(MAX(ROW(E$2:E2613)*(E2613=E$2:E2613)))))-COUNTBLANK(OFFSET(A$1,,,SUMPRODUCT(MAX(ROW(E$1:E2612)*(E2=E$1:E2612))))))</f>
        <v> </v>
      </c>
      <c r="K2613" s="25" t="str">
        <f>IF(OR(E2613="",E2613="!!!",F2613="NEW"),"",INDEX(J$1:J2612,SUMPRODUCT(MAX(ROW(E$1:E2612)*(E2613=E$1:E2612)))))</f>
        <v> </v>
      </c>
      <c r="L2613" s="26"/>
    </row>
    <row r="2614" spans="1:12">
      <c r="A2614" s="20" t="s">
        <v>617</v>
      </c>
      <c r="E2614" s="21">
        <f>IF(D2614="?OLD","!!!","")</f>
        <v/>
      </c>
      <c r="F2614" s="22" t="str">
        <f>IF(OR(E2614="",E2614="!!!"),"",IF(NOT(ISNA(VLOOKUP(E2614,E$1:E2613,1,FALSE()))),"OLD",IF(AND(E2614&lt;&gt;"",E2614&lt;&gt;"!!!"),"NEW","")))</f>
        <v> </v>
      </c>
      <c r="G2614" s="23" t="str">
        <f>IF(OR(E2614="",E2614="!!!"),"",IF(OR(J2614=0,AND(J2614=1,K2614=1),AND(J2614=1,I2614="SBJ"),AND(J2614=1,I2614=0)),"?IN_FOCUS",IF(J2614&lt;=2,"?ACTIVATED",IF(J2614&lt;&gt;"","?FAMILIAR",IF(F2614="NEW",IF(ISNA(VLOOKUP(E2614,#REF!,1,FALSE())),"?TYPE_IDENTIFIABLE","?REFERENTIAL"),"_")))))</f>
        <v> </v>
      </c>
      <c r="H2614" s="24" t="str">
        <f>IF(J2614&lt;&gt;1,"",IF(I2614="SBJ","CB","?"))</f>
        <v> </v>
      </c>
      <c r="I2614" s="25" t="str">
        <f>IF(OR(E2614="",E2614="!!!",F2614="NEW"),"",INDEX(B2613:B$2,-1+SUMPRODUCT(MAX(ROW(E2613:E$2)*(E2614=E2613:E$2)))))</f>
        <v> </v>
      </c>
      <c r="J2614" s="25" t="str">
        <f>IF(OR(E2614="",E2614="!!!",F2614="NEW"),"",COUNTBLANK(OFFSET(A$1,,,SUMPRODUCT(MAX(ROW(E$2:E2614)*(E2614=E$2:E2614)))))-COUNTBLANK(OFFSET(A$1,,,SUMPRODUCT(MAX(ROW(E$1:E2613)*(E2=E$1:E2613))))))</f>
        <v> </v>
      </c>
      <c r="K2614" s="25" t="str">
        <f>IF(OR(E2614="",E2614="!!!",F2614="NEW"),"",INDEX(J$1:J2613,SUMPRODUCT(MAX(ROW(E$1:E2613)*(E2614=E$1:E2613)))))</f>
        <v> </v>
      </c>
      <c r="L2614" s="26"/>
    </row>
    <row r="2615" spans="1:12">
      <c r="A2615" s="20" t="s">
        <v>1323</v>
      </c>
      <c r="E2615" s="21">
        <f>IF(D2615="?OLD","!!!","")</f>
        <v/>
      </c>
      <c r="F2615" s="22" t="str">
        <f>IF(OR(E2615="",E2615="!!!"),"",IF(NOT(ISNA(VLOOKUP(E2615,E$1:E2614,1,FALSE()))),"OLD",IF(AND(E2615&lt;&gt;"",E2615&lt;&gt;"!!!"),"NEW","")))</f>
        <v> </v>
      </c>
      <c r="G2615" s="23" t="str">
        <f>IF(OR(E2615="",E2615="!!!"),"",IF(OR(J2615=0,AND(J2615=1,K2615=1),AND(J2615=1,I2615="SBJ"),AND(J2615=1,I2615=0)),"?IN_FOCUS",IF(J2615&lt;=2,"?ACTIVATED",IF(J2615&lt;&gt;"","?FAMILIAR",IF(F2615="NEW",IF(ISNA(VLOOKUP(E2615,#REF!,1,FALSE())),"?TYPE_IDENTIFIABLE","?REFERENTIAL"),"_")))))</f>
        <v> </v>
      </c>
      <c r="H2615" s="24" t="str">
        <f>IF(J2615&lt;&gt;1,"",IF(I2615="SBJ","CB","?"))</f>
        <v> </v>
      </c>
      <c r="I2615" s="25" t="str">
        <f>IF(OR(E2615="",E2615="!!!",F2615="NEW"),"",INDEX(B2614:B$2,-1+SUMPRODUCT(MAX(ROW(E2614:E$2)*(E2615=E2614:E$2)))))</f>
        <v> </v>
      </c>
      <c r="J2615" s="25" t="str">
        <f>IF(OR(E2615="",E2615="!!!",F2615="NEW"),"",COUNTBLANK(OFFSET(A$1,,,SUMPRODUCT(MAX(ROW(E$2:E2615)*(E2615=E$2:E2615)))))-COUNTBLANK(OFFSET(A$1,,,SUMPRODUCT(MAX(ROW(E$1:E2614)*(E2=E$1:E2614))))))</f>
        <v> </v>
      </c>
      <c r="K2615" s="25" t="str">
        <f>IF(OR(E2615="",E2615="!!!",F2615="NEW"),"",INDEX(J$1:J2614,SUMPRODUCT(MAX(ROW(E$1:E2614)*(E2615=E$1:E2614)))))</f>
        <v> </v>
      </c>
      <c r="L2615" s="26"/>
    </row>
    <row r="2616" spans="1:12">
      <c r="A2616" s="20" t="s">
        <v>1530</v>
      </c>
      <c r="E2616" s="21">
        <f>IF(D2616="?OLD","!!!","")</f>
        <v/>
      </c>
      <c r="F2616" s="22" t="str">
        <f>IF(OR(E2616="",E2616="!!!"),"",IF(NOT(ISNA(VLOOKUP(E2616,E$1:E2615,1,FALSE()))),"OLD",IF(AND(E2616&lt;&gt;"",E2616&lt;&gt;"!!!"),"NEW","")))</f>
        <v> </v>
      </c>
      <c r="G2616" s="23" t="str">
        <f>IF(OR(E2616="",E2616="!!!"),"",IF(OR(J2616=0,AND(J2616=1,K2616=1),AND(J2616=1,I2616="SBJ"),AND(J2616=1,I2616=0)),"?IN_FOCUS",IF(J2616&lt;=2,"?ACTIVATED",IF(J2616&lt;&gt;"","?FAMILIAR",IF(F2616="NEW",IF(ISNA(VLOOKUP(E2616,#REF!,1,FALSE())),"?TYPE_IDENTIFIABLE","?REFERENTIAL"),"_")))))</f>
        <v> </v>
      </c>
      <c r="H2616" s="24" t="str">
        <f>IF(J2616&lt;&gt;1,"",IF(I2616="SBJ","CB","?"))</f>
        <v> </v>
      </c>
      <c r="I2616" s="25" t="str">
        <f>IF(OR(E2616="",E2616="!!!",F2616="NEW"),"",INDEX(B2615:B$2,-1+SUMPRODUCT(MAX(ROW(E2615:E$2)*(E2616=E2615:E$2)))))</f>
        <v> </v>
      </c>
      <c r="J2616" s="25" t="str">
        <f>IF(OR(E2616="",E2616="!!!",F2616="NEW"),"",COUNTBLANK(OFFSET(A$1,,,SUMPRODUCT(MAX(ROW(E$2:E2616)*(E2616=E$2:E2616)))))-COUNTBLANK(OFFSET(A$1,,,SUMPRODUCT(MAX(ROW(E$1:E2615)*(E2=E$1:E2615))))))</f>
        <v> </v>
      </c>
      <c r="K2616" s="25" t="str">
        <f>IF(OR(E2616="",E2616="!!!",F2616="NEW"),"",INDEX(J$1:J2615,SUMPRODUCT(MAX(ROW(E$1:E2615)*(E2616=E$1:E2615)))))</f>
        <v> </v>
      </c>
      <c r="L2616" s="26"/>
    </row>
    <row r="2617" spans="1:12">
      <c r="A2617" s="20" t="s">
        <v>1529</v>
      </c>
      <c r="E2617" s="21">
        <f>IF(D2617="?OLD","!!!","")</f>
        <v/>
      </c>
      <c r="F2617" s="22" t="str">
        <f>IF(OR(E2617="",E2617="!!!"),"",IF(NOT(ISNA(VLOOKUP(E2617,E$1:E2616,1,FALSE()))),"OLD",IF(AND(E2617&lt;&gt;"",E2617&lt;&gt;"!!!"),"NEW","")))</f>
        <v> </v>
      </c>
      <c r="G2617" s="23" t="str">
        <f>IF(OR(E2617="",E2617="!!!"),"",IF(OR(J2617=0,AND(J2617=1,K2617=1),AND(J2617=1,I2617="SBJ"),AND(J2617=1,I2617=0)),"?IN_FOCUS",IF(J2617&lt;=2,"?ACTIVATED",IF(J2617&lt;&gt;"","?FAMILIAR",IF(F2617="NEW",IF(ISNA(VLOOKUP(E2617,#REF!,1,FALSE())),"?TYPE_IDENTIFIABLE","?REFERENTIAL"),"_")))))</f>
        <v> </v>
      </c>
      <c r="H2617" s="24" t="str">
        <f>IF(J2617&lt;&gt;1,"",IF(I2617="SBJ","CB","?"))</f>
        <v> </v>
      </c>
      <c r="I2617" s="25" t="str">
        <f>IF(OR(E2617="",E2617="!!!",F2617="NEW"),"",INDEX(B2616:B$2,-1+SUMPRODUCT(MAX(ROW(E2616:E$2)*(E2617=E2616:E$2)))))</f>
        <v> </v>
      </c>
      <c r="J2617" s="25" t="str">
        <f>IF(OR(E2617="",E2617="!!!",F2617="NEW"),"",COUNTBLANK(OFFSET(A$1,,,SUMPRODUCT(MAX(ROW(E$2:E2617)*(E2617=E$2:E2617)))))-COUNTBLANK(OFFSET(A$1,,,SUMPRODUCT(MAX(ROW(E$1:E2616)*(E2=E$1:E2616))))))</f>
        <v> </v>
      </c>
      <c r="K2617" s="25" t="str">
        <f>IF(OR(E2617="",E2617="!!!",F2617="NEW"),"",INDEX(J$1:J2616,SUMPRODUCT(MAX(ROW(E$1:E2616)*(E2617=E$1:E2616)))))</f>
        <v> </v>
      </c>
      <c r="L2617" s="26"/>
    </row>
    <row r="2618" spans="1:12">
      <c r="A2618" s="20" t="s">
        <v>633</v>
      </c>
      <c r="E2618" s="21">
        <f>IF(D2618="?OLD","!!!","")</f>
        <v/>
      </c>
      <c r="F2618" s="22" t="str">
        <f>IF(OR(E2618="",E2618="!!!"),"",IF(NOT(ISNA(VLOOKUP(E2618,E$1:E2617,1,FALSE()))),"OLD",IF(AND(E2618&lt;&gt;"",E2618&lt;&gt;"!!!"),"NEW","")))</f>
        <v> </v>
      </c>
      <c r="G2618" s="23" t="str">
        <f>IF(OR(E2618="",E2618="!!!"),"",IF(OR(J2618=0,AND(J2618=1,K2618=1),AND(J2618=1,I2618="SBJ"),AND(J2618=1,I2618=0)),"?IN_FOCUS",IF(J2618&lt;=2,"?ACTIVATED",IF(J2618&lt;&gt;"","?FAMILIAR",IF(F2618="NEW",IF(ISNA(VLOOKUP(E2618,#REF!,1,FALSE())),"?TYPE_IDENTIFIABLE","?REFERENTIAL"),"_")))))</f>
        <v> </v>
      </c>
      <c r="H2618" s="24" t="str">
        <f>IF(J2618&lt;&gt;1,"",IF(I2618="SBJ","CB","?"))</f>
        <v> </v>
      </c>
      <c r="I2618" s="25" t="str">
        <f>IF(OR(E2618="",E2618="!!!",F2618="NEW"),"",INDEX(B2617:B$2,-1+SUMPRODUCT(MAX(ROW(E2617:E$2)*(E2618=E2617:E$2)))))</f>
        <v> </v>
      </c>
      <c r="J2618" s="25" t="str">
        <f>IF(OR(E2618="",E2618="!!!",F2618="NEW"),"",COUNTBLANK(OFFSET(A$1,,,SUMPRODUCT(MAX(ROW(E$2:E2618)*(E2618=E$2:E2618)))))-COUNTBLANK(OFFSET(A$1,,,SUMPRODUCT(MAX(ROW(E$1:E2617)*(E2=E$1:E2617))))))</f>
        <v> </v>
      </c>
      <c r="K2618" s="25" t="str">
        <f>IF(OR(E2618="",E2618="!!!",F2618="NEW"),"",INDEX(J$1:J2617,SUMPRODUCT(MAX(ROW(E$1:E2617)*(E2618=E$1:E2617)))))</f>
        <v> </v>
      </c>
      <c r="L2618" s="26"/>
    </row>
    <row r="2619" spans="1:12">
      <c r="A2619" s="20"/>
    </row>
    <row r="2620" spans="1:12">
      <c r="A2620" s="20" t="s">
        <v>1212</v>
      </c>
      <c r="E2620" s="21">
        <f>IF(D2620="?OLD","!!!","")</f>
        <v/>
      </c>
      <c r="F2620" s="22" t="str">
        <f>IF(OR(E2620="",E2620="!!!"),"",IF(NOT(ISNA(VLOOKUP(E2620,E$1:E2619,1,FALSE()))),"OLD",IF(AND(E2620&lt;&gt;"",E2620&lt;&gt;"!!!"),"NEW","")))</f>
        <v> </v>
      </c>
      <c r="G2620" s="23" t="str">
        <f>IF(OR(E2620="",E2620="!!!"),"",IF(OR(J2620=0,AND(J2620=1,K2620=1),AND(J2620=1,I2620="SBJ"),AND(J2620=1,I2620=0)),"?IN_FOCUS",IF(J2620&lt;=2,"?ACTIVATED",IF(J2620&lt;&gt;"","?FAMILIAR",IF(F2620="NEW",IF(ISNA(VLOOKUP(E2620,#REF!,1,FALSE())),"?TYPE_IDENTIFIABLE","?REFERENTIAL"),"_")))))</f>
        <v> </v>
      </c>
      <c r="H2620" s="24" t="str">
        <f>IF(J2620&lt;&gt;1,"",IF(I2620="SBJ","CB","?"))</f>
        <v> </v>
      </c>
      <c r="I2620" s="25" t="str">
        <f>IF(OR(E2620="",E2620="!!!",F2620="NEW"),"",INDEX(B2619:B$2,-1+SUMPRODUCT(MAX(ROW(E2619:E$2)*(E2620=E2619:E$2)))))</f>
        <v> </v>
      </c>
      <c r="J2620" s="25" t="str">
        <f>IF(OR(E2620="",E2620="!!!",F2620="NEW"),"",COUNTBLANK(OFFSET(A$1,,,SUMPRODUCT(MAX(ROW(E$2:E2620)*(E2620=E$2:E2620)))))-COUNTBLANK(OFFSET(A$1,,,SUMPRODUCT(MAX(ROW(E$1:E2619)*(E2=E$1:E2619))))))</f>
        <v> </v>
      </c>
      <c r="K2620" s="25" t="str">
        <f>IF(OR(E2620="",E2620="!!!",F2620="NEW"),"",INDEX(J$1:J2619,SUMPRODUCT(MAX(ROW(E$1:E2619)*(E2620=E$1:E2619)))))</f>
        <v> </v>
      </c>
      <c r="L2620" s="26"/>
    </row>
    <row r="2621" spans="1:12">
      <c r="A2621" s="20" t="s">
        <v>1531</v>
      </c>
    </row>
    <row r="2622" spans="1:12">
      <c r="A2622" s="20" t="s">
        <v>769</v>
      </c>
      <c r="B2622" s="27" t="s">
        <v>636</v>
      </c>
      <c r="C2622" s="27" t="s">
        <v>614</v>
      </c>
      <c r="D2622" s="27" t="s">
        <v>608</v>
      </c>
      <c r="E2622" s="21">
        <f>IF(D2622="?OLD","!!!","")</f>
        <v/>
      </c>
      <c r="F2622" s="22" t="str">
        <f>IF(OR(E2622="",E2622="!!!"),"",IF(NOT(ISNA(VLOOKUP(E2622,E$1:E2621,1,FALSE()))),"OLD",IF(AND(E2622&lt;&gt;"",E2622&lt;&gt;"!!!"),"NEW","")))</f>
        <v> </v>
      </c>
      <c r="G2622" s="23" t="str">
        <f>IF(OR(E2622="",E2622="!!!"),"",IF(OR(J2622=0,AND(J2622=1,K2622=1),AND(J2622=1,I2622="SBJ"),AND(J2622=1,I2622=0)),"?IN_FOCUS",IF(J2622&lt;=2,"?ACTIVATED",IF(J2622&lt;&gt;"","?FAMILIAR",IF(F2622="NEW",IF(ISNA(VLOOKUP(E2622,#REF!,1,FALSE())),"?TYPE_IDENTIFIABLE","?REFERENTIAL"),"_")))))</f>
        <v> </v>
      </c>
      <c r="H2622" s="24" t="str">
        <f>IF(J2622&lt;&gt;1,"",IF(I2622="SBJ","CB","?"))</f>
        <v> </v>
      </c>
      <c r="I2622" s="25" t="str">
        <f>IF(OR(E2622="",E2622="!!!",F2622="NEW"),"",INDEX(B2621:B$2,-1+SUMPRODUCT(MAX(ROW(E2621:E$2)*(E2622=E2621:E$2)))))</f>
        <v> </v>
      </c>
      <c r="J2622" s="25" t="str">
        <f>IF(OR(E2622="",E2622="!!!",F2622="NEW"),"",COUNTBLANK(OFFSET(A$1,,,SUMPRODUCT(MAX(ROW(E$2:E2622)*(E2622=E$2:E2622)))))-COUNTBLANK(OFFSET(A$1,,,SUMPRODUCT(MAX(ROW(E$1:E2621)*(E2=E$1:E2621))))))</f>
        <v> </v>
      </c>
      <c r="K2622" s="25" t="str">
        <f>IF(OR(E2622="",E2622="!!!",F2622="NEW"),"",INDEX(J$1:J2621,SUMPRODUCT(MAX(ROW(E$1:E2621)*(E2622=E$1:E2621)))))</f>
        <v> </v>
      </c>
      <c r="L2622" s="26"/>
    </row>
    <row r="2623" spans="1:12">
      <c r="A2623" s="20" t="s">
        <v>612</v>
      </c>
      <c r="E2623" s="21">
        <f>IF(D2623="?OLD","!!!","")</f>
        <v/>
      </c>
      <c r="F2623" s="22" t="str">
        <f>IF(OR(E2623="",E2623="!!!"),"",IF(NOT(ISNA(VLOOKUP(E2623,E$1:E2622,1,FALSE()))),"OLD",IF(AND(E2623&lt;&gt;"",E2623&lt;&gt;"!!!"),"NEW","")))</f>
        <v> </v>
      </c>
      <c r="G2623" s="23" t="str">
        <f>IF(OR(E2623="",E2623="!!!"),"",IF(OR(J2623=0,AND(J2623=1,K2623=1),AND(J2623=1,I2623="SBJ"),AND(J2623=1,I2623=0)),"?IN_FOCUS",IF(J2623&lt;=2,"?ACTIVATED",IF(J2623&lt;&gt;"","?FAMILIAR",IF(F2623="NEW",IF(ISNA(VLOOKUP(E2623,#REF!,1,FALSE())),"?TYPE_IDENTIFIABLE","?REFERENTIAL"),"_")))))</f>
        <v> </v>
      </c>
      <c r="H2623" s="24" t="str">
        <f>IF(J2623&lt;&gt;1,"",IF(I2623="SBJ","CB","?"))</f>
        <v> </v>
      </c>
      <c r="I2623" s="25" t="str">
        <f>IF(OR(E2623="",E2623="!!!",F2623="NEW"),"",INDEX(B2622:B$2,-1+SUMPRODUCT(MAX(ROW(E2622:E$2)*(E2623=E2622:E$2)))))</f>
        <v> </v>
      </c>
      <c r="J2623" s="25" t="str">
        <f>IF(OR(E2623="",E2623="!!!",F2623="NEW"),"",COUNTBLANK(OFFSET(A$1,,,SUMPRODUCT(MAX(ROW(E$2:E2623)*(E2623=E$2:E2623)))))-COUNTBLANK(OFFSET(A$1,,,SUMPRODUCT(MAX(ROW(E$1:E2622)*(E2=E$1:E2622))))))</f>
        <v> </v>
      </c>
      <c r="K2623" s="25" t="str">
        <f>IF(OR(E2623="",E2623="!!!",F2623="NEW"),"",INDEX(J$1:J2622,SUMPRODUCT(MAX(ROW(E$1:E2622)*(E2623=E$1:E2622)))))</f>
        <v> </v>
      </c>
      <c r="L2623" s="26"/>
    </row>
    <row r="2624" spans="1:12">
      <c r="A2624" s="20" t="s">
        <v>645</v>
      </c>
      <c r="E2624" s="21">
        <f>IF(D2624="?OLD","!!!","")</f>
        <v/>
      </c>
      <c r="F2624" s="22" t="str">
        <f>IF(OR(E2624="",E2624="!!!"),"",IF(NOT(ISNA(VLOOKUP(E2624,E$1:E2623,1,FALSE()))),"OLD",IF(AND(E2624&lt;&gt;"",E2624&lt;&gt;"!!!"),"NEW","")))</f>
        <v> </v>
      </c>
      <c r="G2624" s="23" t="str">
        <f>IF(OR(E2624="",E2624="!!!"),"",IF(OR(J2624=0,AND(J2624=1,K2624=1),AND(J2624=1,I2624="SBJ"),AND(J2624=1,I2624=0)),"?IN_FOCUS",IF(J2624&lt;=2,"?ACTIVATED",IF(J2624&lt;&gt;"","?FAMILIAR",IF(F2624="NEW",IF(ISNA(VLOOKUP(E2624,#REF!,1,FALSE())),"?TYPE_IDENTIFIABLE","?REFERENTIAL"),"_")))))</f>
        <v> </v>
      </c>
      <c r="H2624" s="24" t="str">
        <f>IF(J2624&lt;&gt;1,"",IF(I2624="SBJ","CB","?"))</f>
        <v> </v>
      </c>
      <c r="I2624" s="25" t="str">
        <f>IF(OR(E2624="",E2624="!!!",F2624="NEW"),"",INDEX(B2623:B$2,-1+SUMPRODUCT(MAX(ROW(E2623:E$2)*(E2624=E2623:E$2)))))</f>
        <v> </v>
      </c>
      <c r="J2624" s="25" t="str">
        <f>IF(OR(E2624="",E2624="!!!",F2624="NEW"),"",COUNTBLANK(OFFSET(A$1,,,SUMPRODUCT(MAX(ROW(E$2:E2624)*(E2624=E$2:E2624)))))-COUNTBLANK(OFFSET(A$1,,,SUMPRODUCT(MAX(ROW(E$1:E2623)*(E2=E$1:E2623))))))</f>
        <v> </v>
      </c>
      <c r="K2624" s="25" t="str">
        <f>IF(OR(E2624="",E2624="!!!",F2624="NEW"),"",INDEX(J$1:J2623,SUMPRODUCT(MAX(ROW(E$1:E2623)*(E2624=E$1:E2623)))))</f>
        <v> </v>
      </c>
      <c r="L2624" s="26"/>
    </row>
    <row r="2625" spans="1:12">
      <c r="A2625" s="20" t="s">
        <v>1532</v>
      </c>
      <c r="E2625" s="21">
        <f>IF(D2625="?OLD","!!!","")</f>
        <v/>
      </c>
      <c r="F2625" s="22" t="str">
        <f>IF(OR(E2625="",E2625="!!!"),"",IF(NOT(ISNA(VLOOKUP(E2625,E$1:E2624,1,FALSE()))),"OLD",IF(AND(E2625&lt;&gt;"",E2625&lt;&gt;"!!!"),"NEW","")))</f>
        <v> </v>
      </c>
      <c r="G2625" s="23" t="str">
        <f>IF(OR(E2625="",E2625="!!!"),"",IF(OR(J2625=0,AND(J2625=1,K2625=1),AND(J2625=1,I2625="SBJ"),AND(J2625=1,I2625=0)),"?IN_FOCUS",IF(J2625&lt;=2,"?ACTIVATED",IF(J2625&lt;&gt;"","?FAMILIAR",IF(F2625="NEW",IF(ISNA(VLOOKUP(E2625,#REF!,1,FALSE())),"?TYPE_IDENTIFIABLE","?REFERENTIAL"),"_")))))</f>
        <v> </v>
      </c>
      <c r="H2625" s="24" t="str">
        <f>IF(J2625&lt;&gt;1,"",IF(I2625="SBJ","CB","?"))</f>
        <v> </v>
      </c>
      <c r="I2625" s="25" t="str">
        <f>IF(OR(E2625="",E2625="!!!",F2625="NEW"),"",INDEX(B2624:B$2,-1+SUMPRODUCT(MAX(ROW(E2624:E$2)*(E2625=E2624:E$2)))))</f>
        <v> </v>
      </c>
      <c r="J2625" s="25" t="str">
        <f>IF(OR(E2625="",E2625="!!!",F2625="NEW"),"",COUNTBLANK(OFFSET(A$1,,,SUMPRODUCT(MAX(ROW(E$2:E2625)*(E2625=E$2:E2625)))))-COUNTBLANK(OFFSET(A$1,,,SUMPRODUCT(MAX(ROW(E$1:E2624)*(E2=E$1:E2624))))))</f>
        <v> </v>
      </c>
      <c r="K2625" s="25" t="str">
        <f>IF(OR(E2625="",E2625="!!!",F2625="NEW"),"",INDEX(J$1:J2624,SUMPRODUCT(MAX(ROW(E$1:E2624)*(E2625=E$1:E2624)))))</f>
        <v> </v>
      </c>
      <c r="L2625" s="26"/>
    </row>
    <row r="2626" spans="1:12">
      <c r="A2626" s="20" t="s">
        <v>663</v>
      </c>
      <c r="E2626" s="21">
        <f>IF(D2626="?OLD","!!!","")</f>
        <v/>
      </c>
      <c r="F2626" s="22" t="str">
        <f>IF(OR(E2626="",E2626="!!!"),"",IF(NOT(ISNA(VLOOKUP(E2626,E$1:E2625,1,FALSE()))),"OLD",IF(AND(E2626&lt;&gt;"",E2626&lt;&gt;"!!!"),"NEW","")))</f>
        <v> </v>
      </c>
      <c r="G2626" s="23" t="str">
        <f>IF(OR(E2626="",E2626="!!!"),"",IF(OR(J2626=0,AND(J2626=1,K2626=1),AND(J2626=1,I2626="SBJ"),AND(J2626=1,I2626=0)),"?IN_FOCUS",IF(J2626&lt;=2,"?ACTIVATED",IF(J2626&lt;&gt;"","?FAMILIAR",IF(F2626="NEW",IF(ISNA(VLOOKUP(E2626,#REF!,1,FALSE())),"?TYPE_IDENTIFIABLE","?REFERENTIAL"),"_")))))</f>
        <v> </v>
      </c>
      <c r="H2626" s="24" t="str">
        <f>IF(J2626&lt;&gt;1,"",IF(I2626="SBJ","CB","?"))</f>
        <v> </v>
      </c>
      <c r="I2626" s="25" t="str">
        <f>IF(OR(E2626="",E2626="!!!",F2626="NEW"),"",INDEX(B2625:B$2,-1+SUMPRODUCT(MAX(ROW(E2625:E$2)*(E2626=E2625:E$2)))))</f>
        <v> </v>
      </c>
      <c r="J2626" s="25" t="str">
        <f>IF(OR(E2626="",E2626="!!!",F2626="NEW"),"",COUNTBLANK(OFFSET(A$1,,,SUMPRODUCT(MAX(ROW(E$2:E2626)*(E2626=E$2:E2626)))))-COUNTBLANK(OFFSET(A$1,,,SUMPRODUCT(MAX(ROW(E$1:E2625)*(E2=E$1:E2625))))))</f>
        <v> </v>
      </c>
      <c r="K2626" s="25" t="str">
        <f>IF(OR(E2626="",E2626="!!!",F2626="NEW"),"",INDEX(J$1:J2625,SUMPRODUCT(MAX(ROW(E$1:E2625)*(E2626=E$1:E2625)))))</f>
        <v> </v>
      </c>
      <c r="L2626" s="26"/>
    </row>
    <row r="2627" spans="1:12">
      <c r="A2627" s="20" t="s">
        <v>1533</v>
      </c>
      <c r="E2627" s="21">
        <f>IF(D2627="?OLD","!!!","")</f>
        <v/>
      </c>
      <c r="F2627" s="22" t="str">
        <f>IF(OR(E2627="",E2627="!!!"),"",IF(NOT(ISNA(VLOOKUP(E2627,E$1:E2626,1,FALSE()))),"OLD",IF(AND(E2627&lt;&gt;"",E2627&lt;&gt;"!!!"),"NEW","")))</f>
        <v> </v>
      </c>
      <c r="G2627" s="23" t="str">
        <f>IF(OR(E2627="",E2627="!!!"),"",IF(OR(J2627=0,AND(J2627=1,K2627=1),AND(J2627=1,I2627="SBJ"),AND(J2627=1,I2627=0)),"?IN_FOCUS",IF(J2627&lt;=2,"?ACTIVATED",IF(J2627&lt;&gt;"","?FAMILIAR",IF(F2627="NEW",IF(ISNA(VLOOKUP(E2627,#REF!,1,FALSE())),"?TYPE_IDENTIFIABLE","?REFERENTIAL"),"_")))))</f>
        <v> </v>
      </c>
      <c r="H2627" s="24" t="str">
        <f>IF(J2627&lt;&gt;1,"",IF(I2627="SBJ","CB","?"))</f>
        <v> </v>
      </c>
      <c r="I2627" s="25" t="str">
        <f>IF(OR(E2627="",E2627="!!!",F2627="NEW"),"",INDEX(B2626:B$2,-1+SUMPRODUCT(MAX(ROW(E2626:E$2)*(E2627=E2626:E$2)))))</f>
        <v> </v>
      </c>
      <c r="J2627" s="25" t="str">
        <f>IF(OR(E2627="",E2627="!!!",F2627="NEW"),"",COUNTBLANK(OFFSET(A$1,,,SUMPRODUCT(MAX(ROW(E$2:E2627)*(E2627=E$2:E2627)))))-COUNTBLANK(OFFSET(A$1,,,SUMPRODUCT(MAX(ROW(E$1:E2626)*(E2=E$1:E2626))))))</f>
        <v> </v>
      </c>
      <c r="K2627" s="25" t="str">
        <f>IF(OR(E2627="",E2627="!!!",F2627="NEW"),"",INDEX(J$1:J2626,SUMPRODUCT(MAX(ROW(E$1:E2626)*(E2627=E$1:E2626)))))</f>
        <v> </v>
      </c>
      <c r="L2627" s="26"/>
    </row>
    <row r="2628" spans="1:12">
      <c r="A2628" s="20" t="s">
        <v>617</v>
      </c>
      <c r="E2628" s="21">
        <f>IF(D2628="?OLD","!!!","")</f>
        <v/>
      </c>
      <c r="F2628" s="22" t="str">
        <f>IF(OR(E2628="",E2628="!!!"),"",IF(NOT(ISNA(VLOOKUP(E2628,E$1:E2627,1,FALSE()))),"OLD",IF(AND(E2628&lt;&gt;"",E2628&lt;&gt;"!!!"),"NEW","")))</f>
        <v> </v>
      </c>
      <c r="G2628" s="23" t="str">
        <f>IF(OR(E2628="",E2628="!!!"),"",IF(OR(J2628=0,AND(J2628=1,K2628=1),AND(J2628=1,I2628="SBJ"),AND(J2628=1,I2628=0)),"?IN_FOCUS",IF(J2628&lt;=2,"?ACTIVATED",IF(J2628&lt;&gt;"","?FAMILIAR",IF(F2628="NEW",IF(ISNA(VLOOKUP(E2628,#REF!,1,FALSE())),"?TYPE_IDENTIFIABLE","?REFERENTIAL"),"_")))))</f>
        <v> </v>
      </c>
      <c r="H2628" s="24" t="str">
        <f>IF(J2628&lt;&gt;1,"",IF(I2628="SBJ","CB","?"))</f>
        <v> </v>
      </c>
      <c r="I2628" s="25" t="str">
        <f>IF(OR(E2628="",E2628="!!!",F2628="NEW"),"",INDEX(B2627:B$2,-1+SUMPRODUCT(MAX(ROW(E2627:E$2)*(E2628=E2627:E$2)))))</f>
        <v> </v>
      </c>
      <c r="J2628" s="25" t="str">
        <f>IF(OR(E2628="",E2628="!!!",F2628="NEW"),"",COUNTBLANK(OFFSET(A$1,,,SUMPRODUCT(MAX(ROW(E$2:E2628)*(E2628=E$2:E2628)))))-COUNTBLANK(OFFSET(A$1,,,SUMPRODUCT(MAX(ROW(E$1:E2627)*(E2=E$1:E2627))))))</f>
        <v> </v>
      </c>
      <c r="K2628" s="25" t="str">
        <f>IF(OR(E2628="",E2628="!!!",F2628="NEW"),"",INDEX(J$1:J2627,SUMPRODUCT(MAX(ROW(E$1:E2627)*(E2628=E$1:E2627)))))</f>
        <v> </v>
      </c>
      <c r="L2628" s="26"/>
    </row>
    <row r="2629" spans="1:12">
      <c r="A2629" s="20" t="s">
        <v>835</v>
      </c>
      <c r="E2629" s="21">
        <f>IF(D2629="?OLD","!!!","")</f>
        <v/>
      </c>
      <c r="F2629" s="22" t="str">
        <f>IF(OR(E2629="",E2629="!!!"),"",IF(NOT(ISNA(VLOOKUP(E2629,E$1:E2628,1,FALSE()))),"OLD",IF(AND(E2629&lt;&gt;"",E2629&lt;&gt;"!!!"),"NEW","")))</f>
        <v> </v>
      </c>
      <c r="G2629" s="23" t="str">
        <f>IF(OR(E2629="",E2629="!!!"),"",IF(OR(J2629=0,AND(J2629=1,K2629=1),AND(J2629=1,I2629="SBJ"),AND(J2629=1,I2629=0)),"?IN_FOCUS",IF(J2629&lt;=2,"?ACTIVATED",IF(J2629&lt;&gt;"","?FAMILIAR",IF(F2629="NEW",IF(ISNA(VLOOKUP(E2629,#REF!,1,FALSE())),"?TYPE_IDENTIFIABLE","?REFERENTIAL"),"_")))))</f>
        <v> </v>
      </c>
      <c r="H2629" s="24" t="str">
        <f>IF(J2629&lt;&gt;1,"",IF(I2629="SBJ","CB","?"))</f>
        <v> </v>
      </c>
      <c r="I2629" s="25" t="str">
        <f>IF(OR(E2629="",E2629="!!!",F2629="NEW"),"",INDEX(B2628:B$2,-1+SUMPRODUCT(MAX(ROW(E2628:E$2)*(E2629=E2628:E$2)))))</f>
        <v> </v>
      </c>
      <c r="J2629" s="25" t="str">
        <f>IF(OR(E2629="",E2629="!!!",F2629="NEW"),"",COUNTBLANK(OFFSET(A$1,,,SUMPRODUCT(MAX(ROW(E$2:E2629)*(E2629=E$2:E2629)))))-COUNTBLANK(OFFSET(A$1,,,SUMPRODUCT(MAX(ROW(E$1:E2628)*(E2=E$1:E2628))))))</f>
        <v> </v>
      </c>
      <c r="K2629" s="25" t="str">
        <f>IF(OR(E2629="",E2629="!!!",F2629="NEW"),"",INDEX(J$1:J2628,SUMPRODUCT(MAX(ROW(E$1:E2628)*(E2629=E$1:E2628)))))</f>
        <v> </v>
      </c>
      <c r="L2629" s="26"/>
    </row>
    <row r="2630" spans="1:12">
      <c r="A2630" s="20" t="s">
        <v>618</v>
      </c>
      <c r="E2630" s="21">
        <f>IF(D2630="?OLD","!!!","")</f>
        <v/>
      </c>
      <c r="F2630" s="22" t="str">
        <f>IF(OR(E2630="",E2630="!!!"),"",IF(NOT(ISNA(VLOOKUP(E2630,E$1:E2629,1,FALSE()))),"OLD",IF(AND(E2630&lt;&gt;"",E2630&lt;&gt;"!!!"),"NEW","")))</f>
        <v> </v>
      </c>
      <c r="G2630" s="23" t="str">
        <f>IF(OR(E2630="",E2630="!!!"),"",IF(OR(J2630=0,AND(J2630=1,K2630=1),AND(J2630=1,I2630="SBJ"),AND(J2630=1,I2630=0)),"?IN_FOCUS",IF(J2630&lt;=2,"?ACTIVATED",IF(J2630&lt;&gt;"","?FAMILIAR",IF(F2630="NEW",IF(ISNA(VLOOKUP(E2630,#REF!,1,FALSE())),"?TYPE_IDENTIFIABLE","?REFERENTIAL"),"_")))))</f>
        <v> </v>
      </c>
      <c r="H2630" s="24" t="str">
        <f>IF(J2630&lt;&gt;1,"",IF(I2630="SBJ","CB","?"))</f>
        <v> </v>
      </c>
      <c r="I2630" s="25" t="str">
        <f>IF(OR(E2630="",E2630="!!!",F2630="NEW"),"",INDEX(B2629:B$2,-1+SUMPRODUCT(MAX(ROW(E2629:E$2)*(E2630=E2629:E$2)))))</f>
        <v> </v>
      </c>
      <c r="J2630" s="25" t="str">
        <f>IF(OR(E2630="",E2630="!!!",F2630="NEW"),"",COUNTBLANK(OFFSET(A$1,,,SUMPRODUCT(MAX(ROW(E$2:E2630)*(E2630=E$2:E2630)))))-COUNTBLANK(OFFSET(A$1,,,SUMPRODUCT(MAX(ROW(E$1:E2629)*(E2=E$1:E2629))))))</f>
        <v> </v>
      </c>
      <c r="K2630" s="25" t="str">
        <f>IF(OR(E2630="",E2630="!!!",F2630="NEW"),"",INDEX(J$1:J2629,SUMPRODUCT(MAX(ROW(E$1:E2629)*(E2630=E$1:E2629)))))</f>
        <v> </v>
      </c>
      <c r="L2630" s="26"/>
    </row>
    <row r="2631" spans="1:12">
      <c r="A2631" s="20" t="s">
        <v>1534</v>
      </c>
      <c r="E2631" s="21">
        <f>IF(D2631="?OLD","!!!","")</f>
        <v/>
      </c>
      <c r="F2631" s="22" t="str">
        <f>IF(OR(E2631="",E2631="!!!"),"",IF(NOT(ISNA(VLOOKUP(E2631,E$1:E2630,1,FALSE()))),"OLD",IF(AND(E2631&lt;&gt;"",E2631&lt;&gt;"!!!"),"NEW","")))</f>
        <v> </v>
      </c>
      <c r="G2631" s="23" t="str">
        <f>IF(OR(E2631="",E2631="!!!"),"",IF(OR(J2631=0,AND(J2631=1,K2631=1),AND(J2631=1,I2631="SBJ"),AND(J2631=1,I2631=0)),"?IN_FOCUS",IF(J2631&lt;=2,"?ACTIVATED",IF(J2631&lt;&gt;"","?FAMILIAR",IF(F2631="NEW",IF(ISNA(VLOOKUP(E2631,#REF!,1,FALSE())),"?TYPE_IDENTIFIABLE","?REFERENTIAL"),"_")))))</f>
        <v> </v>
      </c>
      <c r="H2631" s="24" t="str">
        <f>IF(J2631&lt;&gt;1,"",IF(I2631="SBJ","CB","?"))</f>
        <v> </v>
      </c>
      <c r="I2631" s="25" t="str">
        <f>IF(OR(E2631="",E2631="!!!",F2631="NEW"),"",INDEX(B2630:B$2,-1+SUMPRODUCT(MAX(ROW(E2630:E$2)*(E2631=E2630:E$2)))))</f>
        <v> </v>
      </c>
      <c r="J2631" s="25" t="str">
        <f>IF(OR(E2631="",E2631="!!!",F2631="NEW"),"",COUNTBLANK(OFFSET(A$1,,,SUMPRODUCT(MAX(ROW(E$2:E2631)*(E2631=E$2:E2631)))))-COUNTBLANK(OFFSET(A$1,,,SUMPRODUCT(MAX(ROW(E$1:E2630)*(E2=E$1:E2630))))))</f>
        <v> </v>
      </c>
      <c r="K2631" s="25" t="str">
        <f>IF(OR(E2631="",E2631="!!!",F2631="NEW"),"",INDEX(J$1:J2630,SUMPRODUCT(MAX(ROW(E$1:E2630)*(E2631=E$1:E2630)))))</f>
        <v> </v>
      </c>
      <c r="L2631" s="26"/>
    </row>
    <row r="2632" spans="1:12">
      <c r="A2632" s="20" t="s">
        <v>621</v>
      </c>
      <c r="B2632" s="27" t="s">
        <v>619</v>
      </c>
      <c r="C2632" s="27" t="s">
        <v>607</v>
      </c>
      <c r="D2632" s="27" t="s">
        <v>608</v>
      </c>
      <c r="E2632" s="21">
        <f>IF(D2632="?OLD","!!!","")</f>
        <v/>
      </c>
      <c r="F2632" s="22" t="str">
        <f>IF(OR(E2632="",E2632="!!!"),"",IF(NOT(ISNA(VLOOKUP(E2632,E$1:E2631,1,FALSE()))),"OLD",IF(AND(E2632&lt;&gt;"",E2632&lt;&gt;"!!!"),"NEW","")))</f>
        <v> </v>
      </c>
      <c r="G2632" s="23" t="str">
        <f>IF(OR(E2632="",E2632="!!!"),"",IF(OR(J2632=0,AND(J2632=1,K2632=1),AND(J2632=1,I2632="SBJ"),AND(J2632=1,I2632=0)),"?IN_FOCUS",IF(J2632&lt;=2,"?ACTIVATED",IF(J2632&lt;&gt;"","?FAMILIAR",IF(F2632="NEW",IF(ISNA(VLOOKUP(E2632,#REF!,1,FALSE())),"?TYPE_IDENTIFIABLE","?REFERENTIAL"),"_")))))</f>
        <v> </v>
      </c>
      <c r="H2632" s="24" t="str">
        <f>IF(J2632&lt;&gt;1,"",IF(I2632="SBJ","CB","?"))</f>
        <v> </v>
      </c>
      <c r="I2632" s="25" t="str">
        <f>IF(OR(E2632="",E2632="!!!",F2632="NEW"),"",INDEX(B2631:B$2,-1+SUMPRODUCT(MAX(ROW(E2631:E$2)*(E2632=E2631:E$2)))))</f>
        <v> </v>
      </c>
      <c r="J2632" s="25" t="str">
        <f>IF(OR(E2632="",E2632="!!!",F2632="NEW"),"",COUNTBLANK(OFFSET(A$1,,,SUMPRODUCT(MAX(ROW(E$2:E2632)*(E2632=E$2:E2632)))))-COUNTBLANK(OFFSET(A$1,,,SUMPRODUCT(MAX(ROW(E$1:E2631)*(E2=E$1:E2631))))))</f>
        <v> </v>
      </c>
      <c r="K2632" s="25" t="str">
        <f>IF(OR(E2632="",E2632="!!!",F2632="NEW"),"",INDEX(J$1:J2631,SUMPRODUCT(MAX(ROW(E$1:E2631)*(E2632=E$1:E2631)))))</f>
        <v> </v>
      </c>
      <c r="L2632" s="26"/>
    </row>
    <row r="2633" spans="1:12">
      <c r="A2633" s="20" t="s">
        <v>617</v>
      </c>
      <c r="E2633" s="21">
        <f>IF(D2633="?OLD","!!!","")</f>
        <v/>
      </c>
      <c r="F2633" s="22" t="str">
        <f>IF(OR(E2633="",E2633="!!!"),"",IF(NOT(ISNA(VLOOKUP(E2633,E$1:E2632,1,FALSE()))),"OLD",IF(AND(E2633&lt;&gt;"",E2633&lt;&gt;"!!!"),"NEW","")))</f>
        <v> </v>
      </c>
      <c r="G2633" s="23" t="str">
        <f>IF(OR(E2633="",E2633="!!!"),"",IF(OR(J2633=0,AND(J2633=1,K2633=1),AND(J2633=1,I2633="SBJ"),AND(J2633=1,I2633=0)),"?IN_FOCUS",IF(J2633&lt;=2,"?ACTIVATED",IF(J2633&lt;&gt;"","?FAMILIAR",IF(F2633="NEW",IF(ISNA(VLOOKUP(E2633,#REF!,1,FALSE())),"?TYPE_IDENTIFIABLE","?REFERENTIAL"),"_")))))</f>
        <v> </v>
      </c>
      <c r="H2633" s="24" t="str">
        <f>IF(J2633&lt;&gt;1,"",IF(I2633="SBJ","CB","?"))</f>
        <v> </v>
      </c>
      <c r="I2633" s="25" t="str">
        <f>IF(OR(E2633="",E2633="!!!",F2633="NEW"),"",INDEX(B2632:B$2,-1+SUMPRODUCT(MAX(ROW(E2632:E$2)*(E2633=E2632:E$2)))))</f>
        <v> </v>
      </c>
      <c r="J2633" s="25" t="str">
        <f>IF(OR(E2633="",E2633="!!!",F2633="NEW"),"",COUNTBLANK(OFFSET(A$1,,,SUMPRODUCT(MAX(ROW(E$2:E2633)*(E2633=E$2:E2633)))))-COUNTBLANK(OFFSET(A$1,,,SUMPRODUCT(MAX(ROW(E$1:E2632)*(E2=E$1:E2632))))))</f>
        <v> </v>
      </c>
      <c r="K2633" s="25" t="str">
        <f>IF(OR(E2633="",E2633="!!!",F2633="NEW"),"",INDEX(J$1:J2632,SUMPRODUCT(MAX(ROW(E$1:E2632)*(E2633=E$1:E2632)))))</f>
        <v> </v>
      </c>
      <c r="L2633" s="26"/>
    </row>
    <row r="2634" spans="1:12">
      <c r="A2634" s="20" t="s">
        <v>618</v>
      </c>
      <c r="B2634" s="27" t="s">
        <v>742</v>
      </c>
      <c r="E2634" s="21">
        <f>IF(D2634="?OLD","!!!","")</f>
        <v/>
      </c>
      <c r="F2634" s="22" t="str">
        <f>IF(OR(E2634="",E2634="!!!"),"",IF(NOT(ISNA(VLOOKUP(E2634,E$1:E2633,1,FALSE()))),"OLD",IF(AND(E2634&lt;&gt;"",E2634&lt;&gt;"!!!"),"NEW","")))</f>
        <v> </v>
      </c>
      <c r="G2634" s="23" t="str">
        <f>IF(OR(E2634="",E2634="!!!"),"",IF(OR(J2634=0,AND(J2634=1,K2634=1),AND(J2634=1,I2634="SBJ"),AND(J2634=1,I2634=0)),"?IN_FOCUS",IF(J2634&lt;=2,"?ACTIVATED",IF(J2634&lt;&gt;"","?FAMILIAR",IF(F2634="NEW",IF(ISNA(VLOOKUP(E2634,#REF!,1,FALSE())),"?TYPE_IDENTIFIABLE","?REFERENTIAL"),"_")))))</f>
        <v> </v>
      </c>
      <c r="H2634" s="24" t="str">
        <f>IF(J2634&lt;&gt;1,"",IF(I2634="SBJ","CB","?"))</f>
        <v> </v>
      </c>
      <c r="I2634" s="25" t="str">
        <f>IF(OR(E2634="",E2634="!!!",F2634="NEW"),"",INDEX(B2633:B$2,-1+SUMPRODUCT(MAX(ROW(E2633:E$2)*(E2634=E2633:E$2)))))</f>
        <v> </v>
      </c>
      <c r="J2634" s="25" t="str">
        <f>IF(OR(E2634="",E2634="!!!",F2634="NEW"),"",COUNTBLANK(OFFSET(A$1,,,SUMPRODUCT(MAX(ROW(E$2:E2634)*(E2634=E$2:E2634)))))-COUNTBLANK(OFFSET(A$1,,,SUMPRODUCT(MAX(ROW(E$1:E2633)*(E2=E$1:E2633))))))</f>
        <v> </v>
      </c>
      <c r="K2634" s="25" t="str">
        <f>IF(OR(E2634="",E2634="!!!",F2634="NEW"),"",INDEX(J$1:J2633,SUMPRODUCT(MAX(ROW(E$1:E2633)*(E2634=E$1:E2633)))))</f>
        <v> </v>
      </c>
      <c r="L2634" s="26"/>
    </row>
    <row r="2635" spans="1:12">
      <c r="A2635" s="20" t="s">
        <v>618</v>
      </c>
      <c r="E2635" s="21">
        <f>IF(D2635="?OLD","!!!","")</f>
        <v/>
      </c>
      <c r="F2635" s="22" t="str">
        <f>IF(OR(E2635="",E2635="!!!"),"",IF(NOT(ISNA(VLOOKUP(E2635,E$1:E2634,1,FALSE()))),"OLD",IF(AND(E2635&lt;&gt;"",E2635&lt;&gt;"!!!"),"NEW","")))</f>
        <v> </v>
      </c>
      <c r="G2635" s="23" t="str">
        <f>IF(OR(E2635="",E2635="!!!"),"",IF(OR(J2635=0,AND(J2635=1,K2635=1),AND(J2635=1,I2635="SBJ"),AND(J2635=1,I2635=0)),"?IN_FOCUS",IF(J2635&lt;=2,"?ACTIVATED",IF(J2635&lt;&gt;"","?FAMILIAR",IF(F2635="NEW",IF(ISNA(VLOOKUP(E2635,#REF!,1,FALSE())),"?TYPE_IDENTIFIABLE","?REFERENTIAL"),"_")))))</f>
        <v> </v>
      </c>
      <c r="H2635" s="24" t="str">
        <f>IF(J2635&lt;&gt;1,"",IF(I2635="SBJ","CB","?"))</f>
        <v> </v>
      </c>
      <c r="I2635" s="25" t="str">
        <f>IF(OR(E2635="",E2635="!!!",F2635="NEW"),"",INDEX(B2634:B$2,-1+SUMPRODUCT(MAX(ROW(E2634:E$2)*(E2635=E2634:E$2)))))</f>
        <v> </v>
      </c>
      <c r="J2635" s="25" t="str">
        <f>IF(OR(E2635="",E2635="!!!",F2635="NEW"),"",COUNTBLANK(OFFSET(A$1,,,SUMPRODUCT(MAX(ROW(E$2:E2635)*(E2635=E$2:E2635)))))-COUNTBLANK(OFFSET(A$1,,,SUMPRODUCT(MAX(ROW(E$1:E2634)*(E2=E$1:E2634))))))</f>
        <v> </v>
      </c>
      <c r="K2635" s="25" t="str">
        <f>IF(OR(E2635="",E2635="!!!",F2635="NEW"),"",INDEX(J$1:J2634,SUMPRODUCT(MAX(ROW(E$1:E2634)*(E2635=E$1:E2634)))))</f>
        <v> </v>
      </c>
      <c r="L2635" s="26"/>
    </row>
    <row r="2636" spans="1:12">
      <c r="A2636" s="20" t="s">
        <v>1521</v>
      </c>
      <c r="B2636" s="27" t="s">
        <v>1022</v>
      </c>
      <c r="C2636" s="27" t="s">
        <v>607</v>
      </c>
      <c r="D2636" s="27" t="s">
        <v>608</v>
      </c>
      <c r="E2636" s="21">
        <f>IF(D2636="?OLD","!!!","")</f>
        <v/>
      </c>
      <c r="F2636" s="22" t="str">
        <f>IF(OR(E2636="",E2636="!!!"),"",IF(NOT(ISNA(VLOOKUP(E2636,E$1:E2635,1,FALSE()))),"OLD",IF(AND(E2636&lt;&gt;"",E2636&lt;&gt;"!!!"),"NEW","")))</f>
        <v> </v>
      </c>
      <c r="G2636" s="23" t="str">
        <f>IF(OR(E2636="",E2636="!!!"),"",IF(OR(J2636=0,AND(J2636=1,K2636=1),AND(J2636=1,I2636="SBJ"),AND(J2636=1,I2636=0)),"?IN_FOCUS",IF(J2636&lt;=2,"?ACTIVATED",IF(J2636&lt;&gt;"","?FAMILIAR",IF(F2636="NEW",IF(ISNA(VLOOKUP(E2636,#REF!,1,FALSE())),"?TYPE_IDENTIFIABLE","?REFERENTIAL"),"_")))))</f>
        <v> </v>
      </c>
      <c r="H2636" s="24" t="str">
        <f>IF(J2636&lt;&gt;1,"",IF(I2636="SBJ","CB","?"))</f>
        <v> </v>
      </c>
      <c r="I2636" s="25" t="str">
        <f>IF(OR(E2636="",E2636="!!!",F2636="NEW"),"",INDEX(B2635:B$2,-1+SUMPRODUCT(MAX(ROW(E2635:E$2)*(E2636=E2635:E$2)))))</f>
        <v> </v>
      </c>
      <c r="J2636" s="25" t="str">
        <f>IF(OR(E2636="",E2636="!!!",F2636="NEW"),"",COUNTBLANK(OFFSET(A$1,,,SUMPRODUCT(MAX(ROW(E$2:E2636)*(E2636=E$2:E2636)))))-COUNTBLANK(OFFSET(A$1,,,SUMPRODUCT(MAX(ROW(E$1:E2635)*(E2=E$1:E2635))))))</f>
        <v> </v>
      </c>
      <c r="K2636" s="25" t="str">
        <f>IF(OR(E2636="",E2636="!!!",F2636="NEW"),"",INDEX(J$1:J2635,SUMPRODUCT(MAX(ROW(E$1:E2635)*(E2636=E$1:E2635)))))</f>
        <v> </v>
      </c>
      <c r="L2636" s="26"/>
    </row>
    <row r="2637" spans="1:12">
      <c r="A2637" s="20" t="s">
        <v>1451</v>
      </c>
      <c r="E2637" s="21">
        <f>IF(D2637="?OLD","!!!","")</f>
        <v/>
      </c>
      <c r="F2637" s="22" t="str">
        <f>IF(OR(E2637="",E2637="!!!"),"",IF(NOT(ISNA(VLOOKUP(E2637,E$1:E2636,1,FALSE()))),"OLD",IF(AND(E2637&lt;&gt;"",E2637&lt;&gt;"!!!"),"NEW","")))</f>
        <v> </v>
      </c>
      <c r="G2637" s="23" t="str">
        <f>IF(OR(E2637="",E2637="!!!"),"",IF(OR(J2637=0,AND(J2637=1,K2637=1),AND(J2637=1,I2637="SBJ"),AND(J2637=1,I2637=0)),"?IN_FOCUS",IF(J2637&lt;=2,"?ACTIVATED",IF(J2637&lt;&gt;"","?FAMILIAR",IF(F2637="NEW",IF(ISNA(VLOOKUP(E2637,#REF!,1,FALSE())),"?TYPE_IDENTIFIABLE","?REFERENTIAL"),"_")))))</f>
        <v> </v>
      </c>
      <c r="H2637" s="24" t="str">
        <f>IF(J2637&lt;&gt;1,"",IF(I2637="SBJ","CB","?"))</f>
        <v> </v>
      </c>
      <c r="I2637" s="25" t="str">
        <f>IF(OR(E2637="",E2637="!!!",F2637="NEW"),"",INDEX(B2636:B$2,-1+SUMPRODUCT(MAX(ROW(E2636:E$2)*(E2637=E2636:E$2)))))</f>
        <v> </v>
      </c>
      <c r="J2637" s="25" t="str">
        <f>IF(OR(E2637="",E2637="!!!",F2637="NEW"),"",COUNTBLANK(OFFSET(A$1,,,SUMPRODUCT(MAX(ROW(E$2:E2637)*(E2637=E$2:E2637)))))-COUNTBLANK(OFFSET(A$1,,,SUMPRODUCT(MAX(ROW(E$1:E2636)*(E2=E$1:E2636))))))</f>
        <v> </v>
      </c>
      <c r="K2637" s="25" t="str">
        <f>IF(OR(E2637="",E2637="!!!",F2637="NEW"),"",INDEX(J$1:J2636,SUMPRODUCT(MAX(ROW(E$1:E2636)*(E2637=E$1:E2636)))))</f>
        <v> </v>
      </c>
      <c r="L2637" s="26"/>
    </row>
    <row r="2638" spans="1:12">
      <c r="A2638" s="20" t="s">
        <v>18</v>
      </c>
      <c r="E2638" s="21">
        <f>IF(D2638="?OLD","!!!","")</f>
        <v/>
      </c>
      <c r="F2638" s="22" t="str">
        <f>IF(OR(E2638="",E2638="!!!"),"",IF(NOT(ISNA(VLOOKUP(E2638,E$1:E2637,1,FALSE()))),"OLD",IF(AND(E2638&lt;&gt;"",E2638&lt;&gt;"!!!"),"NEW","")))</f>
        <v> </v>
      </c>
      <c r="G2638" s="23" t="str">
        <f>IF(OR(E2638="",E2638="!!!"),"",IF(OR(J2638=0,AND(J2638=1,K2638=1),AND(J2638=1,I2638="SBJ"),AND(J2638=1,I2638=0)),"?IN_FOCUS",IF(J2638&lt;=2,"?ACTIVATED",IF(J2638&lt;&gt;"","?FAMILIAR",IF(F2638="NEW",IF(ISNA(VLOOKUP(E2638,#REF!,1,FALSE())),"?TYPE_IDENTIFIABLE","?REFERENTIAL"),"_")))))</f>
        <v> </v>
      </c>
      <c r="H2638" s="24" t="str">
        <f>IF(J2638&lt;&gt;1,"",IF(I2638="SBJ","CB","?"))</f>
        <v> </v>
      </c>
      <c r="I2638" s="25" t="str">
        <f>IF(OR(E2638="",E2638="!!!",F2638="NEW"),"",INDEX(B2637:B$2,-1+SUMPRODUCT(MAX(ROW(E2637:E$2)*(E2638=E2637:E$2)))))</f>
        <v> </v>
      </c>
      <c r="J2638" s="25" t="str">
        <f>IF(OR(E2638="",E2638="!!!",F2638="NEW"),"",COUNTBLANK(OFFSET(A$1,,,SUMPRODUCT(MAX(ROW(E$2:E2638)*(E2638=E$2:E2638)))))-COUNTBLANK(OFFSET(A$1,,,SUMPRODUCT(MAX(ROW(E$1:E2637)*(E2=E$1:E2637))))))</f>
        <v> </v>
      </c>
      <c r="K2638" s="25" t="str">
        <f>IF(OR(E2638="",E2638="!!!",F2638="NEW"),"",INDEX(J$1:J2637,SUMPRODUCT(MAX(ROW(E$1:E2637)*(E2638=E$1:E2637)))))</f>
        <v> </v>
      </c>
      <c r="L2638" s="26"/>
    </row>
    <row r="2639" spans="1:12">
      <c r="A2639" s="20" t="s">
        <v>617</v>
      </c>
      <c r="E2639" s="21">
        <f>IF(D2639="?OLD","!!!","")</f>
        <v/>
      </c>
      <c r="F2639" s="22" t="str">
        <f>IF(OR(E2639="",E2639="!!!"),"",IF(NOT(ISNA(VLOOKUP(E2639,E$1:E2638,1,FALSE()))),"OLD",IF(AND(E2639&lt;&gt;"",E2639&lt;&gt;"!!!"),"NEW","")))</f>
        <v> </v>
      </c>
      <c r="G2639" s="23" t="str">
        <f>IF(OR(E2639="",E2639="!!!"),"",IF(OR(J2639=0,AND(J2639=1,K2639=1),AND(J2639=1,I2639="SBJ"),AND(J2639=1,I2639=0)),"?IN_FOCUS",IF(J2639&lt;=2,"?ACTIVATED",IF(J2639&lt;&gt;"","?FAMILIAR",IF(F2639="NEW",IF(ISNA(VLOOKUP(E2639,#REF!,1,FALSE())),"?TYPE_IDENTIFIABLE","?REFERENTIAL"),"_")))))</f>
        <v> </v>
      </c>
      <c r="H2639" s="24" t="str">
        <f>IF(J2639&lt;&gt;1,"",IF(I2639="SBJ","CB","?"))</f>
        <v> </v>
      </c>
      <c r="I2639" s="25" t="str">
        <f>IF(OR(E2639="",E2639="!!!",F2639="NEW"),"",INDEX(B2638:B$2,-1+SUMPRODUCT(MAX(ROW(E2638:E$2)*(E2639=E2638:E$2)))))</f>
        <v> </v>
      </c>
      <c r="J2639" s="25" t="str">
        <f>IF(OR(E2639="",E2639="!!!",F2639="NEW"),"",COUNTBLANK(OFFSET(A$1,,,SUMPRODUCT(MAX(ROW(E$2:E2639)*(E2639=E$2:E2639)))))-COUNTBLANK(OFFSET(A$1,,,SUMPRODUCT(MAX(ROW(E$1:E2638)*(E2=E$1:E2638))))))</f>
        <v> </v>
      </c>
      <c r="K2639" s="25" t="str">
        <f>IF(OR(E2639="",E2639="!!!",F2639="NEW"),"",INDEX(J$1:J2638,SUMPRODUCT(MAX(ROW(E$1:E2638)*(E2639=E$1:E2638)))))</f>
        <v> </v>
      </c>
      <c r="L2639" s="26"/>
    </row>
    <row r="2640" spans="1:12">
      <c r="A2640" s="20" t="s">
        <v>1404</v>
      </c>
      <c r="E2640" s="21">
        <f>IF(D2640="?OLD","!!!","")</f>
        <v/>
      </c>
      <c r="F2640" s="22" t="str">
        <f>IF(OR(E2640="",E2640="!!!"),"",IF(NOT(ISNA(VLOOKUP(E2640,E$1:E2639,1,FALSE()))),"OLD",IF(AND(E2640&lt;&gt;"",E2640&lt;&gt;"!!!"),"NEW","")))</f>
        <v> </v>
      </c>
      <c r="G2640" s="23" t="str">
        <f>IF(OR(E2640="",E2640="!!!"),"",IF(OR(J2640=0,AND(J2640=1,K2640=1),AND(J2640=1,I2640="SBJ"),AND(J2640=1,I2640=0)),"?IN_FOCUS",IF(J2640&lt;=2,"?ACTIVATED",IF(J2640&lt;&gt;"","?FAMILIAR",IF(F2640="NEW",IF(ISNA(VLOOKUP(E2640,#REF!,1,FALSE())),"?TYPE_IDENTIFIABLE","?REFERENTIAL"),"_")))))</f>
        <v> </v>
      </c>
      <c r="H2640" s="24" t="str">
        <f>IF(J2640&lt;&gt;1,"",IF(I2640="SBJ","CB","?"))</f>
        <v> </v>
      </c>
      <c r="I2640" s="25" t="str">
        <f>IF(OR(E2640="",E2640="!!!",F2640="NEW"),"",INDEX(B2639:B$2,-1+SUMPRODUCT(MAX(ROW(E2639:E$2)*(E2640=E2639:E$2)))))</f>
        <v> </v>
      </c>
      <c r="J2640" s="25" t="str">
        <f>IF(OR(E2640="",E2640="!!!",F2640="NEW"),"",COUNTBLANK(OFFSET(A$1,,,SUMPRODUCT(MAX(ROW(E$2:E2640)*(E2640=E$2:E2640)))))-COUNTBLANK(OFFSET(A$1,,,SUMPRODUCT(MAX(ROW(E$1:E2639)*(E2=E$1:E2639))))))</f>
        <v> </v>
      </c>
      <c r="K2640" s="25" t="str">
        <f>IF(OR(E2640="",E2640="!!!",F2640="NEW"),"",INDEX(J$1:J2639,SUMPRODUCT(MAX(ROW(E$1:E2639)*(E2640=E$1:E2639)))))</f>
        <v> </v>
      </c>
      <c r="L2640" s="26"/>
    </row>
    <row r="2641" spans="1:12">
      <c r="A2641" s="20" t="s">
        <v>1535</v>
      </c>
      <c r="E2641" s="21">
        <f>IF(D2641="?OLD","!!!","")</f>
        <v/>
      </c>
      <c r="F2641" s="22" t="str">
        <f>IF(OR(E2641="",E2641="!!!"),"",IF(NOT(ISNA(VLOOKUP(E2641,E$1:E2640,1,FALSE()))),"OLD",IF(AND(E2641&lt;&gt;"",E2641&lt;&gt;"!!!"),"NEW","")))</f>
        <v> </v>
      </c>
      <c r="G2641" s="23" t="str">
        <f>IF(OR(E2641="",E2641="!!!"),"",IF(OR(J2641=0,AND(J2641=1,K2641=1),AND(J2641=1,I2641="SBJ"),AND(J2641=1,I2641=0)),"?IN_FOCUS",IF(J2641&lt;=2,"?ACTIVATED",IF(J2641&lt;&gt;"","?FAMILIAR",IF(F2641="NEW",IF(ISNA(VLOOKUP(E2641,#REF!,1,FALSE())),"?TYPE_IDENTIFIABLE","?REFERENTIAL"),"_")))))</f>
        <v> </v>
      </c>
      <c r="H2641" s="24" t="str">
        <f>IF(J2641&lt;&gt;1,"",IF(I2641="SBJ","CB","?"))</f>
        <v> </v>
      </c>
      <c r="I2641" s="25" t="str">
        <f>IF(OR(E2641="",E2641="!!!",F2641="NEW"),"",INDEX(B2640:B$2,-1+SUMPRODUCT(MAX(ROW(E2640:E$2)*(E2641=E2640:E$2)))))</f>
        <v> </v>
      </c>
      <c r="J2641" s="25" t="str">
        <f>IF(OR(E2641="",E2641="!!!",F2641="NEW"),"",COUNTBLANK(OFFSET(A$1,,,SUMPRODUCT(MAX(ROW(E$2:E2641)*(E2641=E$2:E2641)))))-COUNTBLANK(OFFSET(A$1,,,SUMPRODUCT(MAX(ROW(E$1:E2640)*(E2=E$1:E2640))))))</f>
        <v> </v>
      </c>
      <c r="K2641" s="25" t="str">
        <f>IF(OR(E2641="",E2641="!!!",F2641="NEW"),"",INDEX(J$1:J2640,SUMPRODUCT(MAX(ROW(E$1:E2640)*(E2641=E$1:E2640)))))</f>
        <v> </v>
      </c>
      <c r="L2641" s="26"/>
    </row>
    <row r="2642" spans="1:12">
      <c r="A2642" s="20" t="s">
        <v>904</v>
      </c>
      <c r="E2642" s="21">
        <f>IF(D2642="?OLD","!!!","")</f>
        <v/>
      </c>
      <c r="F2642" s="22" t="str">
        <f>IF(OR(E2642="",E2642="!!!"),"",IF(NOT(ISNA(VLOOKUP(E2642,E$1:E2641,1,FALSE()))),"OLD",IF(AND(E2642&lt;&gt;"",E2642&lt;&gt;"!!!"),"NEW","")))</f>
        <v> </v>
      </c>
      <c r="G2642" s="23" t="str">
        <f>IF(OR(E2642="",E2642="!!!"),"",IF(OR(J2642=0,AND(J2642=1,K2642=1),AND(J2642=1,I2642="SBJ"),AND(J2642=1,I2642=0)),"?IN_FOCUS",IF(J2642&lt;=2,"?ACTIVATED",IF(J2642&lt;&gt;"","?FAMILIAR",IF(F2642="NEW",IF(ISNA(VLOOKUP(E2642,#REF!,1,FALSE())),"?TYPE_IDENTIFIABLE","?REFERENTIAL"),"_")))))</f>
        <v> </v>
      </c>
      <c r="H2642" s="24" t="str">
        <f>IF(J2642&lt;&gt;1,"",IF(I2642="SBJ","CB","?"))</f>
        <v> </v>
      </c>
      <c r="I2642" s="25" t="str">
        <f>IF(OR(E2642="",E2642="!!!",F2642="NEW"),"",INDEX(B2641:B$2,-1+SUMPRODUCT(MAX(ROW(E2641:E$2)*(E2642=E2641:E$2)))))</f>
        <v> </v>
      </c>
      <c r="J2642" s="25" t="str">
        <f>IF(OR(E2642="",E2642="!!!",F2642="NEW"),"",COUNTBLANK(OFFSET(A$1,,,SUMPRODUCT(MAX(ROW(E$2:E2642)*(E2642=E$2:E2642)))))-COUNTBLANK(OFFSET(A$1,,,SUMPRODUCT(MAX(ROW(E$1:E2641)*(E2=E$1:E2641))))))</f>
        <v> </v>
      </c>
      <c r="K2642" s="25" t="str">
        <f>IF(OR(E2642="",E2642="!!!",F2642="NEW"),"",INDEX(J$1:J2641,SUMPRODUCT(MAX(ROW(E$1:E2641)*(E2642=E$1:E2641)))))</f>
        <v> </v>
      </c>
      <c r="L2642" s="26"/>
    </row>
    <row r="2643" spans="1:12">
      <c r="A2643" s="20" t="s">
        <v>644</v>
      </c>
      <c r="E2643" s="21">
        <f>IF(D2643="?OLD","!!!","")</f>
        <v/>
      </c>
      <c r="F2643" s="22" t="str">
        <f>IF(OR(E2643="",E2643="!!!"),"",IF(NOT(ISNA(VLOOKUP(E2643,E$1:E2642,1,FALSE()))),"OLD",IF(AND(E2643&lt;&gt;"",E2643&lt;&gt;"!!!"),"NEW","")))</f>
        <v> </v>
      </c>
      <c r="G2643" s="23" t="str">
        <f>IF(OR(E2643="",E2643="!!!"),"",IF(OR(J2643=0,AND(J2643=1,K2643=1),AND(J2643=1,I2643="SBJ"),AND(J2643=1,I2643=0)),"?IN_FOCUS",IF(J2643&lt;=2,"?ACTIVATED",IF(J2643&lt;&gt;"","?FAMILIAR",IF(F2643="NEW",IF(ISNA(VLOOKUP(E2643,#REF!,1,FALSE())),"?TYPE_IDENTIFIABLE","?REFERENTIAL"),"_")))))</f>
        <v> </v>
      </c>
      <c r="H2643" s="24" t="str">
        <f>IF(J2643&lt;&gt;1,"",IF(I2643="SBJ","CB","?"))</f>
        <v> </v>
      </c>
      <c r="I2643" s="25" t="str">
        <f>IF(OR(E2643="",E2643="!!!",F2643="NEW"),"",INDEX(B2642:B$2,-1+SUMPRODUCT(MAX(ROW(E2642:E$2)*(E2643=E2642:E$2)))))</f>
        <v> </v>
      </c>
      <c r="J2643" s="25" t="str">
        <f>IF(OR(E2643="",E2643="!!!",F2643="NEW"),"",COUNTBLANK(OFFSET(A$1,,,SUMPRODUCT(MAX(ROW(E$2:E2643)*(E2643=E$2:E2643)))))-COUNTBLANK(OFFSET(A$1,,,SUMPRODUCT(MAX(ROW(E$1:E2642)*(E2=E$1:E2642))))))</f>
        <v> </v>
      </c>
      <c r="K2643" s="25" t="str">
        <f>IF(OR(E2643="",E2643="!!!",F2643="NEW"),"",INDEX(J$1:J2642,SUMPRODUCT(MAX(ROW(E$1:E2642)*(E2643=E$1:E2642)))))</f>
        <v> </v>
      </c>
      <c r="L2643" s="26"/>
    </row>
    <row r="2644" spans="1:12">
      <c r="A2644" s="20" t="s">
        <v>618</v>
      </c>
      <c r="E2644" s="21">
        <f>IF(D2644="?OLD","!!!","")</f>
        <v/>
      </c>
      <c r="F2644" s="22" t="str">
        <f>IF(OR(E2644="",E2644="!!!"),"",IF(NOT(ISNA(VLOOKUP(E2644,E$1:E2643,1,FALSE()))),"OLD",IF(AND(E2644&lt;&gt;"",E2644&lt;&gt;"!!!"),"NEW","")))</f>
        <v> </v>
      </c>
      <c r="G2644" s="23" t="str">
        <f>IF(OR(E2644="",E2644="!!!"),"",IF(OR(J2644=0,AND(J2644=1,K2644=1),AND(J2644=1,I2644="SBJ"),AND(J2644=1,I2644=0)),"?IN_FOCUS",IF(J2644&lt;=2,"?ACTIVATED",IF(J2644&lt;&gt;"","?FAMILIAR",IF(F2644="NEW",IF(ISNA(VLOOKUP(E2644,#REF!,1,FALSE())),"?TYPE_IDENTIFIABLE","?REFERENTIAL"),"_")))))</f>
        <v> </v>
      </c>
      <c r="H2644" s="24" t="str">
        <f>IF(J2644&lt;&gt;1,"",IF(I2644="SBJ","CB","?"))</f>
        <v> </v>
      </c>
      <c r="I2644" s="25" t="str">
        <f>IF(OR(E2644="",E2644="!!!",F2644="NEW"),"",INDEX(B2643:B$2,-1+SUMPRODUCT(MAX(ROW(E2643:E$2)*(E2644=E2643:E$2)))))</f>
        <v> </v>
      </c>
      <c r="J2644" s="25" t="str">
        <f>IF(OR(E2644="",E2644="!!!",F2644="NEW"),"",COUNTBLANK(OFFSET(A$1,,,SUMPRODUCT(MAX(ROW(E$2:E2644)*(E2644=E$2:E2644)))))-COUNTBLANK(OFFSET(A$1,,,SUMPRODUCT(MAX(ROW(E$1:E2643)*(E2=E$1:E2643))))))</f>
        <v> </v>
      </c>
      <c r="K2644" s="25" t="str">
        <f>IF(OR(E2644="",E2644="!!!",F2644="NEW"),"",INDEX(J$1:J2643,SUMPRODUCT(MAX(ROW(E$1:E2643)*(E2644=E$1:E2643)))))</f>
        <v> </v>
      </c>
      <c r="L2644" s="26"/>
    </row>
    <row r="2645" spans="1:12">
      <c r="A2645" s="20" t="s">
        <v>1536</v>
      </c>
      <c r="B2645" s="27" t="s">
        <v>725</v>
      </c>
      <c r="C2645" s="27" t="s">
        <v>607</v>
      </c>
      <c r="D2645" s="27" t="s">
        <v>608</v>
      </c>
      <c r="E2645" s="21">
        <f>IF(D2645="?OLD","!!!","")</f>
        <v/>
      </c>
      <c r="F2645" s="22" t="str">
        <f>IF(OR(E2645="",E2645="!!!"),"",IF(NOT(ISNA(VLOOKUP(E2645,E$1:E2644,1,FALSE()))),"OLD",IF(AND(E2645&lt;&gt;"",E2645&lt;&gt;"!!!"),"NEW","")))</f>
        <v> </v>
      </c>
      <c r="G2645" s="23" t="str">
        <f>IF(OR(E2645="",E2645="!!!"),"",IF(OR(J2645=0,AND(J2645=1,K2645=1),AND(J2645=1,I2645="SBJ"),AND(J2645=1,I2645=0)),"?IN_FOCUS",IF(J2645&lt;=2,"?ACTIVATED",IF(J2645&lt;&gt;"","?FAMILIAR",IF(F2645="NEW",IF(ISNA(VLOOKUP(E2645,#REF!,1,FALSE())),"?TYPE_IDENTIFIABLE","?REFERENTIAL"),"_")))))</f>
        <v> </v>
      </c>
      <c r="H2645" s="24" t="str">
        <f>IF(J2645&lt;&gt;1,"",IF(I2645="SBJ","CB","?"))</f>
        <v> </v>
      </c>
      <c r="I2645" s="25" t="str">
        <f>IF(OR(E2645="",E2645="!!!",F2645="NEW"),"",INDEX(B2644:B$2,-1+SUMPRODUCT(MAX(ROW(E2644:E$2)*(E2645=E2644:E$2)))))</f>
        <v> </v>
      </c>
      <c r="J2645" s="25" t="str">
        <f>IF(OR(E2645="",E2645="!!!",F2645="NEW"),"",COUNTBLANK(OFFSET(A$1,,,SUMPRODUCT(MAX(ROW(E$2:E2645)*(E2645=E$2:E2645)))))-COUNTBLANK(OFFSET(A$1,,,SUMPRODUCT(MAX(ROW(E$1:E2644)*(E2=E$1:E2644))))))</f>
        <v> </v>
      </c>
      <c r="K2645" s="25" t="str">
        <f>IF(OR(E2645="",E2645="!!!",F2645="NEW"),"",INDEX(J$1:J2644,SUMPRODUCT(MAX(ROW(E$1:E2644)*(E2645=E$1:E2644)))))</f>
        <v> </v>
      </c>
      <c r="L2645" s="26"/>
    </row>
    <row r="2646" spans="1:12">
      <c r="A2646" s="20" t="s">
        <v>1377</v>
      </c>
      <c r="E2646" s="21">
        <f>IF(D2646="?OLD","!!!","")</f>
        <v/>
      </c>
      <c r="F2646" s="22" t="str">
        <f>IF(OR(E2646="",E2646="!!!"),"",IF(NOT(ISNA(VLOOKUP(E2646,E$1:E2645,1,FALSE()))),"OLD",IF(AND(E2646&lt;&gt;"",E2646&lt;&gt;"!!!"),"NEW","")))</f>
        <v> </v>
      </c>
      <c r="G2646" s="23" t="str">
        <f>IF(OR(E2646="",E2646="!!!"),"",IF(OR(J2646=0,AND(J2646=1,K2646=1),AND(J2646=1,I2646="SBJ"),AND(J2646=1,I2646=0)),"?IN_FOCUS",IF(J2646&lt;=2,"?ACTIVATED",IF(J2646&lt;&gt;"","?FAMILIAR",IF(F2646="NEW",IF(ISNA(VLOOKUP(E2646,#REF!,1,FALSE())),"?TYPE_IDENTIFIABLE","?REFERENTIAL"),"_")))))</f>
        <v> </v>
      </c>
      <c r="H2646" s="24" t="str">
        <f>IF(J2646&lt;&gt;1,"",IF(I2646="SBJ","CB","?"))</f>
        <v> </v>
      </c>
      <c r="I2646" s="25" t="str">
        <f>IF(OR(E2646="",E2646="!!!",F2646="NEW"),"",INDEX(B2645:B$2,-1+SUMPRODUCT(MAX(ROW(E2645:E$2)*(E2646=E2645:E$2)))))</f>
        <v> </v>
      </c>
      <c r="J2646" s="25" t="str">
        <f>IF(OR(E2646="",E2646="!!!",F2646="NEW"),"",COUNTBLANK(OFFSET(A$1,,,SUMPRODUCT(MAX(ROW(E$2:E2646)*(E2646=E$2:E2646)))))-COUNTBLANK(OFFSET(A$1,,,SUMPRODUCT(MAX(ROW(E$1:E2645)*(E2=E$1:E2645))))))</f>
        <v> </v>
      </c>
      <c r="K2646" s="25" t="str">
        <f>IF(OR(E2646="",E2646="!!!",F2646="NEW"),"",INDEX(J$1:J2645,SUMPRODUCT(MAX(ROW(E$1:E2645)*(E2646=E$1:E2645)))))</f>
        <v> </v>
      </c>
      <c r="L2646" s="26"/>
    </row>
    <row r="2647" spans="1:12">
      <c r="A2647" s="20" t="s">
        <v>18</v>
      </c>
      <c r="E2647" s="21">
        <f>IF(D2647="?OLD","!!!","")</f>
        <v/>
      </c>
      <c r="F2647" s="22" t="str">
        <f>IF(OR(E2647="",E2647="!!!"),"",IF(NOT(ISNA(VLOOKUP(E2647,E$1:E2646,1,FALSE()))),"OLD",IF(AND(E2647&lt;&gt;"",E2647&lt;&gt;"!!!"),"NEW","")))</f>
        <v> </v>
      </c>
      <c r="G2647" s="23" t="str">
        <f>IF(OR(E2647="",E2647="!!!"),"",IF(OR(J2647=0,AND(J2647=1,K2647=1),AND(J2647=1,I2647="SBJ"),AND(J2647=1,I2647=0)),"?IN_FOCUS",IF(J2647&lt;=2,"?ACTIVATED",IF(J2647&lt;&gt;"","?FAMILIAR",IF(F2647="NEW",IF(ISNA(VLOOKUP(E2647,#REF!,1,FALSE())),"?TYPE_IDENTIFIABLE","?REFERENTIAL"),"_")))))</f>
        <v> </v>
      </c>
      <c r="H2647" s="24" t="str">
        <f>IF(J2647&lt;&gt;1,"",IF(I2647="SBJ","CB","?"))</f>
        <v> </v>
      </c>
      <c r="I2647" s="25" t="str">
        <f>IF(OR(E2647="",E2647="!!!",F2647="NEW"),"",INDEX(B2646:B$2,-1+SUMPRODUCT(MAX(ROW(E2646:E$2)*(E2647=E2646:E$2)))))</f>
        <v> </v>
      </c>
      <c r="J2647" s="25" t="str">
        <f>IF(OR(E2647="",E2647="!!!",F2647="NEW"),"",COUNTBLANK(OFFSET(A$1,,,SUMPRODUCT(MAX(ROW(E$2:E2647)*(E2647=E$2:E2647)))))-COUNTBLANK(OFFSET(A$1,,,SUMPRODUCT(MAX(ROW(E$1:E2646)*(E2=E$1:E2646))))))</f>
        <v> </v>
      </c>
      <c r="K2647" s="25" t="str">
        <f>IF(OR(E2647="",E2647="!!!",F2647="NEW"),"",INDEX(J$1:J2646,SUMPRODUCT(MAX(ROW(E$1:E2646)*(E2647=E$1:E2646)))))</f>
        <v> </v>
      </c>
      <c r="L2647" s="26"/>
    </row>
    <row r="2648" spans="1:12">
      <c r="A2648" s="20" t="s">
        <v>1150</v>
      </c>
      <c r="E2648" s="21">
        <f>IF(D2648="?OLD","!!!","")</f>
        <v/>
      </c>
      <c r="F2648" s="22" t="str">
        <f>IF(OR(E2648="",E2648="!!!"),"",IF(NOT(ISNA(VLOOKUP(E2648,E$1:E2647,1,FALSE()))),"OLD",IF(AND(E2648&lt;&gt;"",E2648&lt;&gt;"!!!"),"NEW","")))</f>
        <v> </v>
      </c>
      <c r="G2648" s="23" t="str">
        <f>IF(OR(E2648="",E2648="!!!"),"",IF(OR(J2648=0,AND(J2648=1,K2648=1),AND(J2648=1,I2648="SBJ"),AND(J2648=1,I2648=0)),"?IN_FOCUS",IF(J2648&lt;=2,"?ACTIVATED",IF(J2648&lt;&gt;"","?FAMILIAR",IF(F2648="NEW",IF(ISNA(VLOOKUP(E2648,#REF!,1,FALSE())),"?TYPE_IDENTIFIABLE","?REFERENTIAL"),"_")))))</f>
        <v> </v>
      </c>
      <c r="H2648" s="24" t="str">
        <f>IF(J2648&lt;&gt;1,"",IF(I2648="SBJ","CB","?"))</f>
        <v> </v>
      </c>
      <c r="I2648" s="25" t="str">
        <f>IF(OR(E2648="",E2648="!!!",F2648="NEW"),"",INDEX(B2647:B$2,-1+SUMPRODUCT(MAX(ROW(E2647:E$2)*(E2648=E2647:E$2)))))</f>
        <v> </v>
      </c>
      <c r="J2648" s="25" t="str">
        <f>IF(OR(E2648="",E2648="!!!",F2648="NEW"),"",COUNTBLANK(OFFSET(A$1,,,SUMPRODUCT(MAX(ROW(E$2:E2648)*(E2648=E$2:E2648)))))-COUNTBLANK(OFFSET(A$1,,,SUMPRODUCT(MAX(ROW(E$1:E2647)*(E2=E$1:E2647))))))</f>
        <v> </v>
      </c>
      <c r="K2648" s="25" t="str">
        <f>IF(OR(E2648="",E2648="!!!",F2648="NEW"),"",INDEX(J$1:J2647,SUMPRODUCT(MAX(ROW(E$1:E2647)*(E2648=E$1:E2647)))))</f>
        <v> </v>
      </c>
      <c r="L2648" s="26"/>
    </row>
    <row r="2649" spans="1:12">
      <c r="A2649" s="20" t="s">
        <v>1216</v>
      </c>
      <c r="E2649" s="21">
        <f>IF(D2649="?OLD","!!!","")</f>
        <v/>
      </c>
      <c r="F2649" s="22" t="str">
        <f>IF(OR(E2649="",E2649="!!!"),"",IF(NOT(ISNA(VLOOKUP(E2649,E$1:E2648,1,FALSE()))),"OLD",IF(AND(E2649&lt;&gt;"",E2649&lt;&gt;"!!!"),"NEW","")))</f>
        <v> </v>
      </c>
      <c r="G2649" s="23" t="str">
        <f>IF(OR(E2649="",E2649="!!!"),"",IF(OR(J2649=0,AND(J2649=1,K2649=1),AND(J2649=1,I2649="SBJ"),AND(J2649=1,I2649=0)),"?IN_FOCUS",IF(J2649&lt;=2,"?ACTIVATED",IF(J2649&lt;&gt;"","?FAMILIAR",IF(F2649="NEW",IF(ISNA(VLOOKUP(E2649,#REF!,1,FALSE())),"?TYPE_IDENTIFIABLE","?REFERENTIAL"),"_")))))</f>
        <v> </v>
      </c>
      <c r="H2649" s="24" t="str">
        <f>IF(J2649&lt;&gt;1,"",IF(I2649="SBJ","CB","?"))</f>
        <v> </v>
      </c>
      <c r="I2649" s="25" t="str">
        <f>IF(OR(E2649="",E2649="!!!",F2649="NEW"),"",INDEX(B2648:B$2,-1+SUMPRODUCT(MAX(ROW(E2648:E$2)*(E2649=E2648:E$2)))))</f>
        <v> </v>
      </c>
      <c r="J2649" s="25" t="str">
        <f>IF(OR(E2649="",E2649="!!!",F2649="NEW"),"",COUNTBLANK(OFFSET(A$1,,,SUMPRODUCT(MAX(ROW(E$2:E2649)*(E2649=E$2:E2649)))))-COUNTBLANK(OFFSET(A$1,,,SUMPRODUCT(MAX(ROW(E$1:E2648)*(E2=E$1:E2648))))))</f>
        <v> </v>
      </c>
      <c r="K2649" s="25" t="str">
        <f>IF(OR(E2649="",E2649="!!!",F2649="NEW"),"",INDEX(J$1:J2648,SUMPRODUCT(MAX(ROW(E$1:E2648)*(E2649=E$1:E2648)))))</f>
        <v> </v>
      </c>
      <c r="L2649" s="26"/>
    </row>
    <row r="2650" spans="1:12">
      <c r="A2650" s="20" t="s">
        <v>1537</v>
      </c>
      <c r="E2650" s="21">
        <f>IF(D2650="?OLD","!!!","")</f>
        <v/>
      </c>
      <c r="F2650" s="22" t="str">
        <f>IF(OR(E2650="",E2650="!!!"),"",IF(NOT(ISNA(VLOOKUP(E2650,E$1:E2649,1,FALSE()))),"OLD",IF(AND(E2650&lt;&gt;"",E2650&lt;&gt;"!!!"),"NEW","")))</f>
        <v> </v>
      </c>
      <c r="G2650" s="23" t="str">
        <f>IF(OR(E2650="",E2650="!!!"),"",IF(OR(J2650=0,AND(J2650=1,K2650=1),AND(J2650=1,I2650="SBJ"),AND(J2650=1,I2650=0)),"?IN_FOCUS",IF(J2650&lt;=2,"?ACTIVATED",IF(J2650&lt;&gt;"","?FAMILIAR",IF(F2650="NEW",IF(ISNA(VLOOKUP(E2650,#REF!,1,FALSE())),"?TYPE_IDENTIFIABLE","?REFERENTIAL"),"_")))))</f>
        <v> </v>
      </c>
      <c r="H2650" s="24" t="str">
        <f>IF(J2650&lt;&gt;1,"",IF(I2650="SBJ","CB","?"))</f>
        <v> </v>
      </c>
      <c r="I2650" s="25" t="str">
        <f>IF(OR(E2650="",E2650="!!!",F2650="NEW"),"",INDEX(B2649:B$2,-1+SUMPRODUCT(MAX(ROW(E2649:E$2)*(E2650=E2649:E$2)))))</f>
        <v> </v>
      </c>
      <c r="J2650" s="25" t="str">
        <f>IF(OR(E2650="",E2650="!!!",F2650="NEW"),"",COUNTBLANK(OFFSET(A$1,,,SUMPRODUCT(MAX(ROW(E$2:E2650)*(E2650=E$2:E2650)))))-COUNTBLANK(OFFSET(A$1,,,SUMPRODUCT(MAX(ROW(E$1:E2649)*(E2=E$1:E2649))))))</f>
        <v> </v>
      </c>
      <c r="K2650" s="25" t="str">
        <f>IF(OR(E2650="",E2650="!!!",F2650="NEW"),"",INDEX(J$1:J2649,SUMPRODUCT(MAX(ROW(E$1:E2649)*(E2650=E$1:E2649)))))</f>
        <v> </v>
      </c>
      <c r="L2650" s="26"/>
    </row>
    <row r="2651" spans="1:12">
      <c r="A2651" s="20" t="s">
        <v>635</v>
      </c>
      <c r="B2651" s="27" t="s">
        <v>742</v>
      </c>
      <c r="C2651" s="27" t="s">
        <v>637</v>
      </c>
      <c r="D2651" s="27" t="s">
        <v>608</v>
      </c>
      <c r="E2651" s="21">
        <f>IF(D2651="?OLD","!!!","")</f>
        <v/>
      </c>
      <c r="F2651" s="22" t="str">
        <f>IF(OR(E2651="",E2651="!!!"),"",IF(NOT(ISNA(VLOOKUP(E2651,E$1:E2650,1,FALSE()))),"OLD",IF(AND(E2651&lt;&gt;"",E2651&lt;&gt;"!!!"),"NEW","")))</f>
        <v> </v>
      </c>
      <c r="G2651" s="23" t="str">
        <f>IF(OR(E2651="",E2651="!!!"),"",IF(OR(J2651=0,AND(J2651=1,K2651=1),AND(J2651=1,I2651="SBJ"),AND(J2651=1,I2651=0)),"?IN_FOCUS",IF(J2651&lt;=2,"?ACTIVATED",IF(J2651&lt;&gt;"","?FAMILIAR",IF(F2651="NEW",IF(ISNA(VLOOKUP(E2651,#REF!,1,FALSE())),"?TYPE_IDENTIFIABLE","?REFERENTIAL"),"_")))))</f>
        <v> </v>
      </c>
      <c r="H2651" s="24" t="str">
        <f>IF(J2651&lt;&gt;1,"",IF(I2651="SBJ","CB","?"))</f>
        <v> </v>
      </c>
      <c r="I2651" s="25" t="str">
        <f>IF(OR(E2651="",E2651="!!!",F2651="NEW"),"",INDEX(B2650:B$2,-1+SUMPRODUCT(MAX(ROW(E2650:E$2)*(E2651=E2650:E$2)))))</f>
        <v> </v>
      </c>
      <c r="J2651" s="25" t="str">
        <f>IF(OR(E2651="",E2651="!!!",F2651="NEW"),"",COUNTBLANK(OFFSET(A$1,,,SUMPRODUCT(MAX(ROW(E$2:E2651)*(E2651=E$2:E2651)))))-COUNTBLANK(OFFSET(A$1,,,SUMPRODUCT(MAX(ROW(E$1:E2650)*(E2=E$1:E2650))))))</f>
        <v> </v>
      </c>
      <c r="K2651" s="25" t="str">
        <f>IF(OR(E2651="",E2651="!!!",F2651="NEW"),"",INDEX(J$1:J2650,SUMPRODUCT(MAX(ROW(E$1:E2650)*(E2651=E$1:E2650)))))</f>
        <v> </v>
      </c>
      <c r="L2651" s="26"/>
    </row>
    <row r="2652" spans="1:12">
      <c r="A2652" s="20" t="s">
        <v>1161</v>
      </c>
      <c r="E2652" s="21">
        <f>IF(D2652="?OLD","!!!","")</f>
        <v/>
      </c>
      <c r="F2652" s="22" t="str">
        <f>IF(OR(E2652="",E2652="!!!"),"",IF(NOT(ISNA(VLOOKUP(E2652,E$1:E2651,1,FALSE()))),"OLD",IF(AND(E2652&lt;&gt;"",E2652&lt;&gt;"!!!"),"NEW","")))</f>
        <v> </v>
      </c>
      <c r="G2652" s="23" t="str">
        <f>IF(OR(E2652="",E2652="!!!"),"",IF(OR(J2652=0,AND(J2652=1,K2652=1),AND(J2652=1,I2652="SBJ"),AND(J2652=1,I2652=0)),"?IN_FOCUS",IF(J2652&lt;=2,"?ACTIVATED",IF(J2652&lt;&gt;"","?FAMILIAR",IF(F2652="NEW",IF(ISNA(VLOOKUP(E2652,#REF!,1,FALSE())),"?TYPE_IDENTIFIABLE","?REFERENTIAL"),"_")))))</f>
        <v> </v>
      </c>
      <c r="H2652" s="24" t="str">
        <f>IF(J2652&lt;&gt;1,"",IF(I2652="SBJ","CB","?"))</f>
        <v> </v>
      </c>
      <c r="I2652" s="25" t="str">
        <f>IF(OR(E2652="",E2652="!!!",F2652="NEW"),"",INDEX(B2651:B$2,-1+SUMPRODUCT(MAX(ROW(E2651:E$2)*(E2652=E2651:E$2)))))</f>
        <v> </v>
      </c>
      <c r="J2652" s="25" t="str">
        <f>IF(OR(E2652="",E2652="!!!",F2652="NEW"),"",COUNTBLANK(OFFSET(A$1,,,SUMPRODUCT(MAX(ROW(E$2:E2652)*(E2652=E$2:E2652)))))-COUNTBLANK(OFFSET(A$1,,,SUMPRODUCT(MAX(ROW(E$1:E2651)*(E2=E$1:E2651))))))</f>
        <v> </v>
      </c>
      <c r="K2652" s="25" t="str">
        <f>IF(OR(E2652="",E2652="!!!",F2652="NEW"),"",INDEX(J$1:J2651,SUMPRODUCT(MAX(ROW(E$1:E2651)*(E2652=E$1:E2651)))))</f>
        <v> </v>
      </c>
      <c r="L2652" s="26"/>
    </row>
    <row r="2653" spans="1:12">
      <c r="A2653" s="20" t="s">
        <v>690</v>
      </c>
      <c r="E2653" s="21">
        <f>IF(D2653="?OLD","!!!","")</f>
        <v/>
      </c>
      <c r="F2653" s="22" t="str">
        <f>IF(OR(E2653="",E2653="!!!"),"",IF(NOT(ISNA(VLOOKUP(E2653,E$1:E2652,1,FALSE()))),"OLD",IF(AND(E2653&lt;&gt;"",E2653&lt;&gt;"!!!"),"NEW","")))</f>
        <v> </v>
      </c>
      <c r="G2653" s="23" t="str">
        <f>IF(OR(E2653="",E2653="!!!"),"",IF(OR(J2653=0,AND(J2653=1,K2653=1),AND(J2653=1,I2653="SBJ"),AND(J2653=1,I2653=0)),"?IN_FOCUS",IF(J2653&lt;=2,"?ACTIVATED",IF(J2653&lt;&gt;"","?FAMILIAR",IF(F2653="NEW",IF(ISNA(VLOOKUP(E2653,#REF!,1,FALSE())),"?TYPE_IDENTIFIABLE","?REFERENTIAL"),"_")))))</f>
        <v> </v>
      </c>
      <c r="H2653" s="24" t="str">
        <f>IF(J2653&lt;&gt;1,"",IF(I2653="SBJ","CB","?"))</f>
        <v> </v>
      </c>
      <c r="I2653" s="25" t="str">
        <f>IF(OR(E2653="",E2653="!!!",F2653="NEW"),"",INDEX(B2652:B$2,-1+SUMPRODUCT(MAX(ROW(E2652:E$2)*(E2653=E2652:E$2)))))</f>
        <v> </v>
      </c>
      <c r="J2653" s="25" t="str">
        <f>IF(OR(E2653="",E2653="!!!",F2653="NEW"),"",COUNTBLANK(OFFSET(A$1,,,SUMPRODUCT(MAX(ROW(E$2:E2653)*(E2653=E$2:E2653)))))-COUNTBLANK(OFFSET(A$1,,,SUMPRODUCT(MAX(ROW(E$1:E2652)*(E2=E$1:E2652))))))</f>
        <v> </v>
      </c>
      <c r="K2653" s="25" t="str">
        <f>IF(OR(E2653="",E2653="!!!",F2653="NEW"),"",INDEX(J$1:J2652,SUMPRODUCT(MAX(ROW(E$1:E2652)*(E2653=E$1:E2652)))))</f>
        <v> </v>
      </c>
      <c r="L2653" s="26"/>
    </row>
    <row r="2654" spans="1:12">
      <c r="A2654" s="20" t="s">
        <v>1466</v>
      </c>
      <c r="B2654" s="27" t="s">
        <v>1022</v>
      </c>
      <c r="C2654" s="27" t="s">
        <v>607</v>
      </c>
      <c r="D2654" s="27" t="s">
        <v>608</v>
      </c>
      <c r="E2654" s="21">
        <f>IF(D2654="?OLD","!!!","")</f>
        <v/>
      </c>
      <c r="F2654" s="22" t="str">
        <f>IF(OR(E2654="",E2654="!!!"),"",IF(NOT(ISNA(VLOOKUP(E2654,E$1:E2653,1,FALSE()))),"OLD",IF(AND(E2654&lt;&gt;"",E2654&lt;&gt;"!!!"),"NEW","")))</f>
        <v> </v>
      </c>
      <c r="G2654" s="23" t="str">
        <f>IF(OR(E2654="",E2654="!!!"),"",IF(OR(J2654=0,AND(J2654=1,K2654=1),AND(J2654=1,I2654="SBJ"),AND(J2654=1,I2654=0)),"?IN_FOCUS",IF(J2654&lt;=2,"?ACTIVATED",IF(J2654&lt;&gt;"","?FAMILIAR",IF(F2654="NEW",IF(ISNA(VLOOKUP(E2654,#REF!,1,FALSE())),"?TYPE_IDENTIFIABLE","?REFERENTIAL"),"_")))))</f>
        <v> </v>
      </c>
      <c r="H2654" s="24" t="str">
        <f>IF(J2654&lt;&gt;1,"",IF(I2654="SBJ","CB","?"))</f>
        <v> </v>
      </c>
      <c r="I2654" s="25" t="str">
        <f>IF(OR(E2654="",E2654="!!!",F2654="NEW"),"",INDEX(B2653:B$2,-1+SUMPRODUCT(MAX(ROW(E2653:E$2)*(E2654=E2653:E$2)))))</f>
        <v> </v>
      </c>
      <c r="J2654" s="25" t="str">
        <f>IF(OR(E2654="",E2654="!!!",F2654="NEW"),"",COUNTBLANK(OFFSET(A$1,,,SUMPRODUCT(MAX(ROW(E$2:E2654)*(E2654=E$2:E2654)))))-COUNTBLANK(OFFSET(A$1,,,SUMPRODUCT(MAX(ROW(E$1:E2653)*(E2=E$1:E2653))))))</f>
        <v> </v>
      </c>
      <c r="K2654" s="25" t="str">
        <f>IF(OR(E2654="",E2654="!!!",F2654="NEW"),"",INDEX(J$1:J2653,SUMPRODUCT(MAX(ROW(E$1:E2653)*(E2654=E$1:E2653)))))</f>
        <v> </v>
      </c>
      <c r="L2654" s="26"/>
    </row>
    <row r="2655" spans="1:12">
      <c r="A2655" s="20" t="s">
        <v>1530</v>
      </c>
      <c r="E2655" s="21">
        <f>IF(D2655="?OLD","!!!","")</f>
        <v/>
      </c>
      <c r="F2655" s="22" t="str">
        <f>IF(OR(E2655="",E2655="!!!"),"",IF(NOT(ISNA(VLOOKUP(E2655,E$1:E2654,1,FALSE()))),"OLD",IF(AND(E2655&lt;&gt;"",E2655&lt;&gt;"!!!"),"NEW","")))</f>
        <v> </v>
      </c>
      <c r="G2655" s="23" t="str">
        <f>IF(OR(E2655="",E2655="!!!"),"",IF(OR(J2655=0,AND(J2655=1,K2655=1),AND(J2655=1,I2655="SBJ"),AND(J2655=1,I2655=0)),"?IN_FOCUS",IF(J2655&lt;=2,"?ACTIVATED",IF(J2655&lt;&gt;"","?FAMILIAR",IF(F2655="NEW",IF(ISNA(VLOOKUP(E2655,#REF!,1,FALSE())),"?TYPE_IDENTIFIABLE","?REFERENTIAL"),"_")))))</f>
        <v> </v>
      </c>
      <c r="H2655" s="24" t="str">
        <f>IF(J2655&lt;&gt;1,"",IF(I2655="SBJ","CB","?"))</f>
        <v> </v>
      </c>
      <c r="I2655" s="25" t="str">
        <f>IF(OR(E2655="",E2655="!!!",F2655="NEW"),"",INDEX(B2654:B$2,-1+SUMPRODUCT(MAX(ROW(E2654:E$2)*(E2655=E2654:E$2)))))</f>
        <v> </v>
      </c>
      <c r="J2655" s="25" t="str">
        <f>IF(OR(E2655="",E2655="!!!",F2655="NEW"),"",COUNTBLANK(OFFSET(A$1,,,SUMPRODUCT(MAX(ROW(E$2:E2655)*(E2655=E$2:E2655)))))-COUNTBLANK(OFFSET(A$1,,,SUMPRODUCT(MAX(ROW(E$1:E2654)*(E2=E$1:E2654))))))</f>
        <v> </v>
      </c>
      <c r="K2655" s="25" t="str">
        <f>IF(OR(E2655="",E2655="!!!",F2655="NEW"),"",INDEX(J$1:J2654,SUMPRODUCT(MAX(ROW(E$1:E2654)*(E2655=E$1:E2654)))))</f>
        <v> </v>
      </c>
      <c r="L2655" s="26"/>
    </row>
    <row r="2656" spans="1:12">
      <c r="A2656" s="20" t="s">
        <v>617</v>
      </c>
      <c r="E2656" s="21">
        <f>IF(D2656="?OLD","!!!","")</f>
        <v/>
      </c>
      <c r="F2656" s="22" t="str">
        <f>IF(OR(E2656="",E2656="!!!"),"",IF(NOT(ISNA(VLOOKUP(E2656,E$1:E2655,1,FALSE()))),"OLD",IF(AND(E2656&lt;&gt;"",E2656&lt;&gt;"!!!"),"NEW","")))</f>
        <v> </v>
      </c>
      <c r="G2656" s="23" t="str">
        <f>IF(OR(E2656="",E2656="!!!"),"",IF(OR(J2656=0,AND(J2656=1,K2656=1),AND(J2656=1,I2656="SBJ"),AND(J2656=1,I2656=0)),"?IN_FOCUS",IF(J2656&lt;=2,"?ACTIVATED",IF(J2656&lt;&gt;"","?FAMILIAR",IF(F2656="NEW",IF(ISNA(VLOOKUP(E2656,#REF!,1,FALSE())),"?TYPE_IDENTIFIABLE","?REFERENTIAL"),"_")))))</f>
        <v> </v>
      </c>
      <c r="H2656" s="24" t="str">
        <f>IF(J2656&lt;&gt;1,"",IF(I2656="SBJ","CB","?"))</f>
        <v> </v>
      </c>
      <c r="I2656" s="25" t="str">
        <f>IF(OR(E2656="",E2656="!!!",F2656="NEW"),"",INDEX(B2655:B$2,-1+SUMPRODUCT(MAX(ROW(E2655:E$2)*(E2656=E2655:E$2)))))</f>
        <v> </v>
      </c>
      <c r="J2656" s="25" t="str">
        <f>IF(OR(E2656="",E2656="!!!",F2656="NEW"),"",COUNTBLANK(OFFSET(A$1,,,SUMPRODUCT(MAX(ROW(E$2:E2656)*(E2656=E$2:E2656)))))-COUNTBLANK(OFFSET(A$1,,,SUMPRODUCT(MAX(ROW(E$1:E2655)*(E2=E$1:E2655))))))</f>
        <v> </v>
      </c>
      <c r="K2656" s="25" t="str">
        <f>IF(OR(E2656="",E2656="!!!",F2656="NEW"),"",INDEX(J$1:J2655,SUMPRODUCT(MAX(ROW(E$1:E2655)*(E2656=E$1:E2655)))))</f>
        <v> </v>
      </c>
      <c r="L2656" s="26"/>
    </row>
    <row r="2657" spans="1:12">
      <c r="A2657" s="20" t="s">
        <v>690</v>
      </c>
      <c r="E2657" s="21">
        <f>IF(D2657="?OLD","!!!","")</f>
        <v/>
      </c>
      <c r="F2657" s="22" t="str">
        <f>IF(OR(E2657="",E2657="!!!"),"",IF(NOT(ISNA(VLOOKUP(E2657,E$1:E2656,1,FALSE()))),"OLD",IF(AND(E2657&lt;&gt;"",E2657&lt;&gt;"!!!"),"NEW","")))</f>
        <v> </v>
      </c>
      <c r="G2657" s="23" t="str">
        <f>IF(OR(E2657="",E2657="!!!"),"",IF(OR(J2657=0,AND(J2657=1,K2657=1),AND(J2657=1,I2657="SBJ"),AND(J2657=1,I2657=0)),"?IN_FOCUS",IF(J2657&lt;=2,"?ACTIVATED",IF(J2657&lt;&gt;"","?FAMILIAR",IF(F2657="NEW",IF(ISNA(VLOOKUP(E2657,#REF!,1,FALSE())),"?TYPE_IDENTIFIABLE","?REFERENTIAL"),"_")))))</f>
        <v> </v>
      </c>
      <c r="H2657" s="24" t="str">
        <f>IF(J2657&lt;&gt;1,"",IF(I2657="SBJ","CB","?"))</f>
        <v> </v>
      </c>
      <c r="I2657" s="25" t="str">
        <f>IF(OR(E2657="",E2657="!!!",F2657="NEW"),"",INDEX(B2656:B$2,-1+SUMPRODUCT(MAX(ROW(E2656:E$2)*(E2657=E2656:E$2)))))</f>
        <v> </v>
      </c>
      <c r="J2657" s="25" t="str">
        <f>IF(OR(E2657="",E2657="!!!",F2657="NEW"),"",COUNTBLANK(OFFSET(A$1,,,SUMPRODUCT(MAX(ROW(E$2:E2657)*(E2657=E$2:E2657)))))-COUNTBLANK(OFFSET(A$1,,,SUMPRODUCT(MAX(ROW(E$1:E2656)*(E2=E$1:E2656))))))</f>
        <v> </v>
      </c>
      <c r="K2657" s="25" t="str">
        <f>IF(OR(E2657="",E2657="!!!",F2657="NEW"),"",INDEX(J$1:J2656,SUMPRODUCT(MAX(ROW(E$1:E2656)*(E2657=E$1:E2656)))))</f>
        <v> </v>
      </c>
      <c r="L2657" s="26"/>
    </row>
    <row r="2658" spans="1:12">
      <c r="A2658" s="20" t="s">
        <v>790</v>
      </c>
      <c r="B2658" s="27" t="s">
        <v>999</v>
      </c>
      <c r="C2658" s="27" t="s">
        <v>637</v>
      </c>
      <c r="D2658" s="27" t="s">
        <v>608</v>
      </c>
      <c r="E2658" s="21">
        <f>IF(D2658="?OLD","!!!","")</f>
        <v/>
      </c>
      <c r="F2658" s="22" t="str">
        <f>IF(OR(E2658="",E2658="!!!"),"",IF(NOT(ISNA(VLOOKUP(E2658,E$1:E2657,1,FALSE()))),"OLD",IF(AND(E2658&lt;&gt;"",E2658&lt;&gt;"!!!"),"NEW","")))</f>
        <v> </v>
      </c>
      <c r="G2658" s="23" t="str">
        <f>IF(OR(E2658="",E2658="!!!"),"",IF(OR(J2658=0,AND(J2658=1,K2658=1),AND(J2658=1,I2658="SBJ"),AND(J2658=1,I2658=0)),"?IN_FOCUS",IF(J2658&lt;=2,"?ACTIVATED",IF(J2658&lt;&gt;"","?FAMILIAR",IF(F2658="NEW",IF(ISNA(VLOOKUP(E2658,#REF!,1,FALSE())),"?TYPE_IDENTIFIABLE","?REFERENTIAL"),"_")))))</f>
        <v> </v>
      </c>
      <c r="H2658" s="24" t="str">
        <f>IF(J2658&lt;&gt;1,"",IF(I2658="SBJ","CB","?"))</f>
        <v> </v>
      </c>
      <c r="I2658" s="25" t="str">
        <f>IF(OR(E2658="",E2658="!!!",F2658="NEW"),"",INDEX(B2657:B$2,-1+SUMPRODUCT(MAX(ROW(E2657:E$2)*(E2658=E2657:E$2)))))</f>
        <v> </v>
      </c>
      <c r="J2658" s="25" t="str">
        <f>IF(OR(E2658="",E2658="!!!",F2658="NEW"),"",COUNTBLANK(OFFSET(A$1,,,SUMPRODUCT(MAX(ROW(E$2:E2658)*(E2658=E$2:E2658)))))-COUNTBLANK(OFFSET(A$1,,,SUMPRODUCT(MAX(ROW(E$1:E2657)*(E2=E$1:E2657))))))</f>
        <v> </v>
      </c>
      <c r="K2658" s="25" t="str">
        <f>IF(OR(E2658="",E2658="!!!",F2658="NEW"),"",INDEX(J$1:J2657,SUMPRODUCT(MAX(ROW(E$1:E2657)*(E2658=E$1:E2657)))))</f>
        <v> </v>
      </c>
      <c r="L2658" s="26"/>
    </row>
    <row r="2659" spans="1:12">
      <c r="A2659" s="20" t="s">
        <v>1538</v>
      </c>
      <c r="B2659" s="27" t="s">
        <v>1174</v>
      </c>
      <c r="C2659" s="27" t="s">
        <v>637</v>
      </c>
      <c r="D2659" s="27" t="s">
        <v>608</v>
      </c>
      <c r="E2659" s="21">
        <f>IF(D2659="?OLD","!!!","")</f>
        <v/>
      </c>
      <c r="F2659" s="22" t="str">
        <f>IF(OR(E2659="",E2659="!!!"),"",IF(NOT(ISNA(VLOOKUP(E2659,E$1:E2658,1,FALSE()))),"OLD",IF(AND(E2659&lt;&gt;"",E2659&lt;&gt;"!!!"),"NEW","")))</f>
        <v> </v>
      </c>
      <c r="G2659" s="23" t="str">
        <f>IF(OR(E2659="",E2659="!!!"),"",IF(OR(J2659=0,AND(J2659=1,K2659=1),AND(J2659=1,I2659="SBJ"),AND(J2659=1,I2659=0)),"?IN_FOCUS",IF(J2659&lt;=2,"?ACTIVATED",IF(J2659&lt;&gt;"","?FAMILIAR",IF(F2659="NEW",IF(ISNA(VLOOKUP(E2659,#REF!,1,FALSE())),"?TYPE_IDENTIFIABLE","?REFERENTIAL"),"_")))))</f>
        <v> </v>
      </c>
      <c r="H2659" s="24" t="str">
        <f>IF(J2659&lt;&gt;1,"",IF(I2659="SBJ","CB","?"))</f>
        <v> </v>
      </c>
      <c r="I2659" s="25" t="str">
        <f>IF(OR(E2659="",E2659="!!!",F2659="NEW"),"",INDEX(B2658:B$2,-1+SUMPRODUCT(MAX(ROW(E2658:E$2)*(E2659=E2658:E$2)))))</f>
        <v> </v>
      </c>
      <c r="J2659" s="25" t="str">
        <f>IF(OR(E2659="",E2659="!!!",F2659="NEW"),"",COUNTBLANK(OFFSET(A$1,,,SUMPRODUCT(MAX(ROW(E$2:E2659)*(E2659=E$2:E2659)))))-COUNTBLANK(OFFSET(A$1,,,SUMPRODUCT(MAX(ROW(E$1:E2658)*(E2=E$1:E2658))))))</f>
        <v> </v>
      </c>
      <c r="K2659" s="25" t="str">
        <f>IF(OR(E2659="",E2659="!!!",F2659="NEW"),"",INDEX(J$1:J2658,SUMPRODUCT(MAX(ROW(E$1:E2658)*(E2659=E$1:E2658)))))</f>
        <v> </v>
      </c>
      <c r="L2659" s="26"/>
    </row>
    <row r="2660" spans="1:12">
      <c r="A2660" s="20" t="s">
        <v>1539</v>
      </c>
      <c r="E2660" s="21">
        <f>IF(D2660="?OLD","!!!","")</f>
        <v/>
      </c>
      <c r="F2660" s="22" t="str">
        <f>IF(OR(E2660="",E2660="!!!"),"",IF(NOT(ISNA(VLOOKUP(E2660,E$1:E2659,1,FALSE()))),"OLD",IF(AND(E2660&lt;&gt;"",E2660&lt;&gt;"!!!"),"NEW","")))</f>
        <v> </v>
      </c>
      <c r="G2660" s="23" t="str">
        <f>IF(OR(E2660="",E2660="!!!"),"",IF(OR(J2660=0,AND(J2660=1,K2660=1),AND(J2660=1,I2660="SBJ"),AND(J2660=1,I2660=0)),"?IN_FOCUS",IF(J2660&lt;=2,"?ACTIVATED",IF(J2660&lt;&gt;"","?FAMILIAR",IF(F2660="NEW",IF(ISNA(VLOOKUP(E2660,#REF!,1,FALSE())),"?TYPE_IDENTIFIABLE","?REFERENTIAL"),"_")))))</f>
        <v> </v>
      </c>
      <c r="H2660" s="24" t="str">
        <f>IF(J2660&lt;&gt;1,"",IF(I2660="SBJ","CB","?"))</f>
        <v> </v>
      </c>
      <c r="I2660" s="25" t="str">
        <f>IF(OR(E2660="",E2660="!!!",F2660="NEW"),"",INDEX(B2659:B$2,-1+SUMPRODUCT(MAX(ROW(E2659:E$2)*(E2660=E2659:E$2)))))</f>
        <v> </v>
      </c>
      <c r="J2660" s="25" t="str">
        <f>IF(OR(E2660="",E2660="!!!",F2660="NEW"),"",COUNTBLANK(OFFSET(A$1,,,SUMPRODUCT(MAX(ROW(E$2:E2660)*(E2660=E$2:E2660)))))-COUNTBLANK(OFFSET(A$1,,,SUMPRODUCT(MAX(ROW(E$1:E2659)*(E2=E$1:E2659))))))</f>
        <v> </v>
      </c>
      <c r="K2660" s="25" t="str">
        <f>IF(OR(E2660="",E2660="!!!",F2660="NEW"),"",INDEX(J$1:J2659,SUMPRODUCT(MAX(ROW(E$1:E2659)*(E2660=E$1:E2659)))))</f>
        <v> </v>
      </c>
      <c r="L2660" s="26"/>
    </row>
    <row r="2661" spans="1:12">
      <c r="A2661" s="20" t="s">
        <v>782</v>
      </c>
      <c r="E2661" s="21">
        <f>IF(D2661="?OLD","!!!","")</f>
        <v/>
      </c>
      <c r="F2661" s="22" t="str">
        <f>IF(OR(E2661="",E2661="!!!"),"",IF(NOT(ISNA(VLOOKUP(E2661,E$1:E2660,1,FALSE()))),"OLD",IF(AND(E2661&lt;&gt;"",E2661&lt;&gt;"!!!"),"NEW","")))</f>
        <v> </v>
      </c>
      <c r="G2661" s="23" t="str">
        <f>IF(OR(E2661="",E2661="!!!"),"",IF(OR(J2661=0,AND(J2661=1,K2661=1),AND(J2661=1,I2661="SBJ"),AND(J2661=1,I2661=0)),"?IN_FOCUS",IF(J2661&lt;=2,"?ACTIVATED",IF(J2661&lt;&gt;"","?FAMILIAR",IF(F2661="NEW",IF(ISNA(VLOOKUP(E2661,#REF!,1,FALSE())),"?TYPE_IDENTIFIABLE","?REFERENTIAL"),"_")))))</f>
        <v> </v>
      </c>
      <c r="H2661" s="24" t="str">
        <f>IF(J2661&lt;&gt;1,"",IF(I2661="SBJ","CB","?"))</f>
        <v> </v>
      </c>
      <c r="I2661" s="25" t="str">
        <f>IF(OR(E2661="",E2661="!!!",F2661="NEW"),"",INDEX(B2660:B$2,-1+SUMPRODUCT(MAX(ROW(E2660:E$2)*(E2661=E2660:E$2)))))</f>
        <v> </v>
      </c>
      <c r="J2661" s="25" t="str">
        <f>IF(OR(E2661="",E2661="!!!",F2661="NEW"),"",COUNTBLANK(OFFSET(A$1,,,SUMPRODUCT(MAX(ROW(E$2:E2661)*(E2661=E$2:E2661)))))-COUNTBLANK(OFFSET(A$1,,,SUMPRODUCT(MAX(ROW(E$1:E2660)*(E2=E$1:E2660))))))</f>
        <v> </v>
      </c>
      <c r="K2661" s="25" t="str">
        <f>IF(OR(E2661="",E2661="!!!",F2661="NEW"),"",INDEX(J$1:J2660,SUMPRODUCT(MAX(ROW(E$1:E2660)*(E2661=E$1:E2660)))))</f>
        <v> </v>
      </c>
      <c r="L2661" s="26"/>
    </row>
    <row r="2662" spans="1:12">
      <c r="A2662" s="20" t="s">
        <v>767</v>
      </c>
      <c r="E2662" s="21">
        <f>IF(D2662="?OLD","!!!","")</f>
        <v/>
      </c>
      <c r="F2662" s="22" t="str">
        <f>IF(OR(E2662="",E2662="!!!"),"",IF(NOT(ISNA(VLOOKUP(E2662,E$1:E2661,1,FALSE()))),"OLD",IF(AND(E2662&lt;&gt;"",E2662&lt;&gt;"!!!"),"NEW","")))</f>
        <v> </v>
      </c>
      <c r="G2662" s="23" t="str">
        <f>IF(OR(E2662="",E2662="!!!"),"",IF(OR(J2662=0,AND(J2662=1,K2662=1),AND(J2662=1,I2662="SBJ"),AND(J2662=1,I2662=0)),"?IN_FOCUS",IF(J2662&lt;=2,"?ACTIVATED",IF(J2662&lt;&gt;"","?FAMILIAR",IF(F2662="NEW",IF(ISNA(VLOOKUP(E2662,#REF!,1,FALSE())),"?TYPE_IDENTIFIABLE","?REFERENTIAL"),"_")))))</f>
        <v> </v>
      </c>
      <c r="H2662" s="24" t="str">
        <f>IF(J2662&lt;&gt;1,"",IF(I2662="SBJ","CB","?"))</f>
        <v> </v>
      </c>
      <c r="I2662" s="25" t="str">
        <f>IF(OR(E2662="",E2662="!!!",F2662="NEW"),"",INDEX(B2661:B$2,-1+SUMPRODUCT(MAX(ROW(E2661:E$2)*(E2662=E2661:E$2)))))</f>
        <v> </v>
      </c>
      <c r="J2662" s="25" t="str">
        <f>IF(OR(E2662="",E2662="!!!",F2662="NEW"),"",COUNTBLANK(OFFSET(A$1,,,SUMPRODUCT(MAX(ROW(E$2:E2662)*(E2662=E$2:E2662)))))-COUNTBLANK(OFFSET(A$1,,,SUMPRODUCT(MAX(ROW(E$1:E2661)*(E2=E$1:E2661))))))</f>
        <v> </v>
      </c>
      <c r="K2662" s="25" t="str">
        <f>IF(OR(E2662="",E2662="!!!",F2662="NEW"),"",INDEX(J$1:J2661,SUMPRODUCT(MAX(ROW(E$1:E2661)*(E2662=E$1:E2661)))))</f>
        <v> </v>
      </c>
      <c r="L2662" s="26"/>
    </row>
    <row r="2663" spans="1:12">
      <c r="A2663" s="20" t="s">
        <v>1216</v>
      </c>
      <c r="E2663" s="21">
        <f>IF(D2663="?OLD","!!!","")</f>
        <v/>
      </c>
      <c r="F2663" s="22" t="str">
        <f>IF(OR(E2663="",E2663="!!!"),"",IF(NOT(ISNA(VLOOKUP(E2663,E$1:E2662,1,FALSE()))),"OLD",IF(AND(E2663&lt;&gt;"",E2663&lt;&gt;"!!!"),"NEW","")))</f>
        <v> </v>
      </c>
      <c r="G2663" s="23" t="str">
        <f>IF(OR(E2663="",E2663="!!!"),"",IF(OR(J2663=0,AND(J2663=1,K2663=1),AND(J2663=1,I2663="SBJ"),AND(J2663=1,I2663=0)),"?IN_FOCUS",IF(J2663&lt;=2,"?ACTIVATED",IF(J2663&lt;&gt;"","?FAMILIAR",IF(F2663="NEW",IF(ISNA(VLOOKUP(E2663,#REF!,1,FALSE())),"?TYPE_IDENTIFIABLE","?REFERENTIAL"),"_")))))</f>
        <v> </v>
      </c>
      <c r="H2663" s="24" t="str">
        <f>IF(J2663&lt;&gt;1,"",IF(I2663="SBJ","CB","?"))</f>
        <v> </v>
      </c>
      <c r="I2663" s="25" t="str">
        <f>IF(OR(E2663="",E2663="!!!",F2663="NEW"),"",INDEX(B2662:B$2,-1+SUMPRODUCT(MAX(ROW(E2662:E$2)*(E2663=E2662:E$2)))))</f>
        <v> </v>
      </c>
      <c r="J2663" s="25" t="str">
        <f>IF(OR(E2663="",E2663="!!!",F2663="NEW"),"",COUNTBLANK(OFFSET(A$1,,,SUMPRODUCT(MAX(ROW(E$2:E2663)*(E2663=E$2:E2663)))))-COUNTBLANK(OFFSET(A$1,,,SUMPRODUCT(MAX(ROW(E$1:E2662)*(E2=E$1:E2662))))))</f>
        <v> </v>
      </c>
      <c r="K2663" s="25" t="str">
        <f>IF(OR(E2663="",E2663="!!!",F2663="NEW"),"",INDEX(J$1:J2662,SUMPRODUCT(MAX(ROW(E$1:E2662)*(E2663=E$1:E2662)))))</f>
        <v> </v>
      </c>
      <c r="L2663" s="26"/>
    </row>
    <row r="2664" spans="1:12">
      <c r="A2664" s="20"/>
    </row>
    <row r="2665" spans="1:12">
      <c r="A2665" s="20" t="s">
        <v>1212</v>
      </c>
      <c r="E2665" s="21">
        <f>IF(D2665="?OLD","!!!","")</f>
        <v/>
      </c>
      <c r="F2665" s="22" t="str">
        <f>IF(OR(E2665="",E2665="!!!"),"",IF(NOT(ISNA(VLOOKUP(E2665,E$1:E2664,1,FALSE()))),"OLD",IF(AND(E2665&lt;&gt;"",E2665&lt;&gt;"!!!"),"NEW","")))</f>
        <v> </v>
      </c>
      <c r="G2665" s="23" t="str">
        <f>IF(OR(E2665="",E2665="!!!"),"",IF(OR(J2665=0,AND(J2665=1,K2665=1),AND(J2665=1,I2665="SBJ"),AND(J2665=1,I2665=0)),"?IN_FOCUS",IF(J2665&lt;=2,"?ACTIVATED",IF(J2665&lt;&gt;"","?FAMILIAR",IF(F2665="NEW",IF(ISNA(VLOOKUP(E2665,#REF!,1,FALSE())),"?TYPE_IDENTIFIABLE","?REFERENTIAL"),"_")))))</f>
        <v> </v>
      </c>
      <c r="H2665" s="24" t="str">
        <f>IF(J2665&lt;&gt;1,"",IF(I2665="SBJ","CB","?"))</f>
        <v> </v>
      </c>
      <c r="I2665" s="25" t="str">
        <f>IF(OR(E2665="",E2665="!!!",F2665="NEW"),"",INDEX(B2664:B$2,-1+SUMPRODUCT(MAX(ROW(E2664:E$2)*(E2665=E2664:E$2)))))</f>
        <v> </v>
      </c>
      <c r="J2665" s="25" t="str">
        <f>IF(OR(E2665="",E2665="!!!",F2665="NEW"),"",COUNTBLANK(OFFSET(A$1,,,SUMPRODUCT(MAX(ROW(E$2:E2665)*(E2665=E$2:E2665)))))-COUNTBLANK(OFFSET(A$1,,,SUMPRODUCT(MAX(ROW(E$1:E2664)*(E2=E$1:E2664))))))</f>
        <v> </v>
      </c>
      <c r="K2665" s="25" t="str">
        <f>IF(OR(E2665="",E2665="!!!",F2665="NEW"),"",INDEX(J$1:J2664,SUMPRODUCT(MAX(ROW(E$1:E2664)*(E2665=E$1:E2664)))))</f>
        <v> </v>
      </c>
      <c r="L2665" s="26"/>
    </row>
    <row r="2666" spans="1:12">
      <c r="A2666" s="20" t="s">
        <v>1540</v>
      </c>
    </row>
    <row r="2667" spans="1:12">
      <c r="A2667" s="20" t="s">
        <v>1217</v>
      </c>
      <c r="B2667" s="27" t="s">
        <v>636</v>
      </c>
      <c r="C2667" s="27" t="s">
        <v>652</v>
      </c>
      <c r="D2667" s="27" t="s">
        <v>608</v>
      </c>
      <c r="E2667" s="21">
        <f>IF(D2667="?OLD","!!!","")</f>
        <v/>
      </c>
      <c r="F2667" s="22" t="str">
        <f>IF(OR(E2667="",E2667="!!!"),"",IF(NOT(ISNA(VLOOKUP(E2667,E$1:E2666,1,FALSE()))),"OLD",IF(AND(E2667&lt;&gt;"",E2667&lt;&gt;"!!!"),"NEW","")))</f>
        <v> </v>
      </c>
      <c r="G2667" s="23" t="str">
        <f>IF(OR(E2667="",E2667="!!!"),"",IF(OR(J2667=0,AND(J2667=1,K2667=1),AND(J2667=1,I2667="SBJ"),AND(J2667=1,I2667=0)),"?IN_FOCUS",IF(J2667&lt;=2,"?ACTIVATED",IF(J2667&lt;&gt;"","?FAMILIAR",IF(F2667="NEW",IF(ISNA(VLOOKUP(E2667,#REF!,1,FALSE())),"?TYPE_IDENTIFIABLE","?REFERENTIAL"),"_")))))</f>
        <v> </v>
      </c>
      <c r="H2667" s="24" t="str">
        <f>IF(J2667&lt;&gt;1,"",IF(I2667="SBJ","CB","?"))</f>
        <v> </v>
      </c>
      <c r="I2667" s="25" t="str">
        <f>IF(OR(E2667="",E2667="!!!",F2667="NEW"),"",INDEX(B2666:B$2,-1+SUMPRODUCT(MAX(ROW(E2666:E$2)*(E2667=E2666:E$2)))))</f>
        <v> </v>
      </c>
      <c r="J2667" s="25" t="str">
        <f>IF(OR(E2667="",E2667="!!!",F2667="NEW"),"",COUNTBLANK(OFFSET(A$1,,,SUMPRODUCT(MAX(ROW(E$2:E2667)*(E2667=E$2:E2667)))))-COUNTBLANK(OFFSET(A$1,,,SUMPRODUCT(MAX(ROW(E$1:E2666)*(E2=E$1:E2666))))))</f>
        <v> </v>
      </c>
      <c r="K2667" s="25" t="str">
        <f>IF(OR(E2667="",E2667="!!!",F2667="NEW"),"",INDEX(J$1:J2666,SUMPRODUCT(MAX(ROW(E$1:E2666)*(E2667=E$1:E2666)))))</f>
        <v> </v>
      </c>
      <c r="L2667" s="26"/>
    </row>
    <row r="2668" spans="1:12">
      <c r="A2668" s="20" t="s">
        <v>766</v>
      </c>
      <c r="E2668" s="21">
        <f>IF(D2668="?OLD","!!!","")</f>
        <v/>
      </c>
      <c r="F2668" s="22" t="str">
        <f>IF(OR(E2668="",E2668="!!!"),"",IF(NOT(ISNA(VLOOKUP(E2668,E$1:E2667,1,FALSE()))),"OLD",IF(AND(E2668&lt;&gt;"",E2668&lt;&gt;"!!!"),"NEW","")))</f>
        <v> </v>
      </c>
      <c r="G2668" s="23" t="str">
        <f>IF(OR(E2668="",E2668="!!!"),"",IF(OR(J2668=0,AND(J2668=1,K2668=1),AND(J2668=1,I2668="SBJ"),AND(J2668=1,I2668=0)),"?IN_FOCUS",IF(J2668&lt;=2,"?ACTIVATED",IF(J2668&lt;&gt;"","?FAMILIAR",IF(F2668="NEW",IF(ISNA(VLOOKUP(E2668,#REF!,1,FALSE())),"?TYPE_IDENTIFIABLE","?REFERENTIAL"),"_")))))</f>
        <v> </v>
      </c>
      <c r="H2668" s="24" t="str">
        <f>IF(J2668&lt;&gt;1,"",IF(I2668="SBJ","CB","?"))</f>
        <v> </v>
      </c>
      <c r="I2668" s="25" t="str">
        <f>IF(OR(E2668="",E2668="!!!",F2668="NEW"),"",INDEX(B2667:B$2,-1+SUMPRODUCT(MAX(ROW(E2667:E$2)*(E2668=E2667:E$2)))))</f>
        <v> </v>
      </c>
      <c r="J2668" s="25" t="str">
        <f>IF(OR(E2668="",E2668="!!!",F2668="NEW"),"",COUNTBLANK(OFFSET(A$1,,,SUMPRODUCT(MAX(ROW(E$2:E2668)*(E2668=E$2:E2668)))))-COUNTBLANK(OFFSET(A$1,,,SUMPRODUCT(MAX(ROW(E$1:E2667)*(E2=E$1:E2667))))))</f>
        <v> </v>
      </c>
      <c r="K2668" s="25" t="str">
        <f>IF(OR(E2668="",E2668="!!!",F2668="NEW"),"",INDEX(J$1:J2667,SUMPRODUCT(MAX(ROW(E$1:E2667)*(E2668=E$1:E2667)))))</f>
        <v> </v>
      </c>
      <c r="L2668" s="26"/>
    </row>
    <row r="2669" spans="1:12">
      <c r="A2669" s="20" t="s">
        <v>1541</v>
      </c>
      <c r="E2669" s="21">
        <f>IF(D2669="?OLD","!!!","")</f>
        <v/>
      </c>
      <c r="F2669" s="22" t="str">
        <f>IF(OR(E2669="",E2669="!!!"),"",IF(NOT(ISNA(VLOOKUP(E2669,E$1:E2668,1,FALSE()))),"OLD",IF(AND(E2669&lt;&gt;"",E2669&lt;&gt;"!!!"),"NEW","")))</f>
        <v> </v>
      </c>
      <c r="G2669" s="23" t="str">
        <f>IF(OR(E2669="",E2669="!!!"),"",IF(OR(J2669=0,AND(J2669=1,K2669=1),AND(J2669=1,I2669="SBJ"),AND(J2669=1,I2669=0)),"?IN_FOCUS",IF(J2669&lt;=2,"?ACTIVATED",IF(J2669&lt;&gt;"","?FAMILIAR",IF(F2669="NEW",IF(ISNA(VLOOKUP(E2669,#REF!,1,FALSE())),"?TYPE_IDENTIFIABLE","?REFERENTIAL"),"_")))))</f>
        <v> </v>
      </c>
      <c r="H2669" s="24" t="str">
        <f>IF(J2669&lt;&gt;1,"",IF(I2669="SBJ","CB","?"))</f>
        <v> </v>
      </c>
      <c r="I2669" s="25" t="str">
        <f>IF(OR(E2669="",E2669="!!!",F2669="NEW"),"",INDEX(B2668:B$2,-1+SUMPRODUCT(MAX(ROW(E2668:E$2)*(E2669=E2668:E$2)))))</f>
        <v> </v>
      </c>
      <c r="J2669" s="25" t="str">
        <f>IF(OR(E2669="",E2669="!!!",F2669="NEW"),"",COUNTBLANK(OFFSET(A$1,,,SUMPRODUCT(MAX(ROW(E$2:E2669)*(E2669=E$2:E2669)))))-COUNTBLANK(OFFSET(A$1,,,SUMPRODUCT(MAX(ROW(E$1:E2668)*(E2=E$1:E2668))))))</f>
        <v> </v>
      </c>
      <c r="K2669" s="25" t="str">
        <f>IF(OR(E2669="",E2669="!!!",F2669="NEW"),"",INDEX(J$1:J2668,SUMPRODUCT(MAX(ROW(E$1:E2668)*(E2669=E$1:E2668)))))</f>
        <v> </v>
      </c>
      <c r="L2669" s="26"/>
    </row>
    <row r="2670" spans="1:12">
      <c r="A2670" s="20" t="s">
        <v>612</v>
      </c>
      <c r="E2670" s="21">
        <f>IF(D2670="?OLD","!!!","")</f>
        <v/>
      </c>
      <c r="F2670" s="22" t="str">
        <f>IF(OR(E2670="",E2670="!!!"),"",IF(NOT(ISNA(VLOOKUP(E2670,E$1:E2669,1,FALSE()))),"OLD",IF(AND(E2670&lt;&gt;"",E2670&lt;&gt;"!!!"),"NEW","")))</f>
        <v> </v>
      </c>
      <c r="G2670" s="23" t="str">
        <f>IF(OR(E2670="",E2670="!!!"),"",IF(OR(J2670=0,AND(J2670=1,K2670=1),AND(J2670=1,I2670="SBJ"),AND(J2670=1,I2670=0)),"?IN_FOCUS",IF(J2670&lt;=2,"?ACTIVATED",IF(J2670&lt;&gt;"","?FAMILIAR",IF(F2670="NEW",IF(ISNA(VLOOKUP(E2670,#REF!,1,FALSE())),"?TYPE_IDENTIFIABLE","?REFERENTIAL"),"_")))))</f>
        <v> </v>
      </c>
      <c r="H2670" s="24" t="str">
        <f>IF(J2670&lt;&gt;1,"",IF(I2670="SBJ","CB","?"))</f>
        <v> </v>
      </c>
      <c r="I2670" s="25" t="str">
        <f>IF(OR(E2670="",E2670="!!!",F2670="NEW"),"",INDEX(B2669:B$2,-1+SUMPRODUCT(MAX(ROW(E2669:E$2)*(E2670=E2669:E$2)))))</f>
        <v> </v>
      </c>
      <c r="J2670" s="25" t="str">
        <f>IF(OR(E2670="",E2670="!!!",F2670="NEW"),"",COUNTBLANK(OFFSET(A$1,,,SUMPRODUCT(MAX(ROW(E$2:E2670)*(E2670=E$2:E2670)))))-COUNTBLANK(OFFSET(A$1,,,SUMPRODUCT(MAX(ROW(E$1:E2669)*(E2=E$1:E2669))))))</f>
        <v> </v>
      </c>
      <c r="K2670" s="25" t="str">
        <f>IF(OR(E2670="",E2670="!!!",F2670="NEW"),"",INDEX(J$1:J2669,SUMPRODUCT(MAX(ROW(E$1:E2669)*(E2670=E$1:E2669)))))</f>
        <v> </v>
      </c>
      <c r="L2670" s="26"/>
    </row>
    <row r="2671" spans="1:12">
      <c r="A2671" s="20" t="s">
        <v>617</v>
      </c>
      <c r="E2671" s="21">
        <f>IF(D2671="?OLD","!!!","")</f>
        <v/>
      </c>
      <c r="F2671" s="22" t="str">
        <f>IF(OR(E2671="",E2671="!!!"),"",IF(NOT(ISNA(VLOOKUP(E2671,E$1:E2670,1,FALSE()))),"OLD",IF(AND(E2671&lt;&gt;"",E2671&lt;&gt;"!!!"),"NEW","")))</f>
        <v> </v>
      </c>
      <c r="G2671" s="23" t="str">
        <f>IF(OR(E2671="",E2671="!!!"),"",IF(OR(J2671=0,AND(J2671=1,K2671=1),AND(J2671=1,I2671="SBJ"),AND(J2671=1,I2671=0)),"?IN_FOCUS",IF(J2671&lt;=2,"?ACTIVATED",IF(J2671&lt;&gt;"","?FAMILIAR",IF(F2671="NEW",IF(ISNA(VLOOKUP(E2671,#REF!,1,FALSE())),"?TYPE_IDENTIFIABLE","?REFERENTIAL"),"_")))))</f>
        <v> </v>
      </c>
      <c r="H2671" s="24" t="str">
        <f>IF(J2671&lt;&gt;1,"",IF(I2671="SBJ","CB","?"))</f>
        <v> </v>
      </c>
      <c r="I2671" s="25" t="str">
        <f>IF(OR(E2671="",E2671="!!!",F2671="NEW"),"",INDEX(B2670:B$2,-1+SUMPRODUCT(MAX(ROW(E2670:E$2)*(E2671=E2670:E$2)))))</f>
        <v> </v>
      </c>
      <c r="J2671" s="25" t="str">
        <f>IF(OR(E2671="",E2671="!!!",F2671="NEW"),"",COUNTBLANK(OFFSET(A$1,,,SUMPRODUCT(MAX(ROW(E$2:E2671)*(E2671=E$2:E2671)))))-COUNTBLANK(OFFSET(A$1,,,SUMPRODUCT(MAX(ROW(E$1:E2670)*(E2=E$1:E2670))))))</f>
        <v> </v>
      </c>
      <c r="K2671" s="25" t="str">
        <f>IF(OR(E2671="",E2671="!!!",F2671="NEW"),"",INDEX(J$1:J2670,SUMPRODUCT(MAX(ROW(E$1:E2670)*(E2671=E$1:E2670)))))</f>
        <v> </v>
      </c>
      <c r="L2671" s="26"/>
    </row>
    <row r="2672" spans="1:12">
      <c r="A2672" s="20" t="s">
        <v>699</v>
      </c>
      <c r="E2672" s="21">
        <f>IF(D2672="?OLD","!!!","")</f>
        <v/>
      </c>
      <c r="F2672" s="22" t="str">
        <f>IF(OR(E2672="",E2672="!!!"),"",IF(NOT(ISNA(VLOOKUP(E2672,E$1:E2671,1,FALSE()))),"OLD",IF(AND(E2672&lt;&gt;"",E2672&lt;&gt;"!!!"),"NEW","")))</f>
        <v> </v>
      </c>
      <c r="G2672" s="23" t="str">
        <f>IF(OR(E2672="",E2672="!!!"),"",IF(OR(J2672=0,AND(J2672=1,K2672=1),AND(J2672=1,I2672="SBJ"),AND(J2672=1,I2672=0)),"?IN_FOCUS",IF(J2672&lt;=2,"?ACTIVATED",IF(J2672&lt;&gt;"","?FAMILIAR",IF(F2672="NEW",IF(ISNA(VLOOKUP(E2672,#REF!,1,FALSE())),"?TYPE_IDENTIFIABLE","?REFERENTIAL"),"_")))))</f>
        <v> </v>
      </c>
      <c r="H2672" s="24" t="str">
        <f>IF(J2672&lt;&gt;1,"",IF(I2672="SBJ","CB","?"))</f>
        <v> </v>
      </c>
      <c r="I2672" s="25" t="str">
        <f>IF(OR(E2672="",E2672="!!!",F2672="NEW"),"",INDEX(B2671:B$2,-1+SUMPRODUCT(MAX(ROW(E2671:E$2)*(E2672=E2671:E$2)))))</f>
        <v> </v>
      </c>
      <c r="J2672" s="25" t="str">
        <f>IF(OR(E2672="",E2672="!!!",F2672="NEW"),"",COUNTBLANK(OFFSET(A$1,,,SUMPRODUCT(MAX(ROW(E$2:E2672)*(E2672=E$2:E2672)))))-COUNTBLANK(OFFSET(A$1,,,SUMPRODUCT(MAX(ROW(E$1:E2671)*(E2=E$1:E2671))))))</f>
        <v> </v>
      </c>
      <c r="K2672" s="25" t="str">
        <f>IF(OR(E2672="",E2672="!!!",F2672="NEW"),"",INDEX(J$1:J2671,SUMPRODUCT(MAX(ROW(E$1:E2671)*(E2672=E$1:E2671)))))</f>
        <v> </v>
      </c>
      <c r="L2672" s="26"/>
    </row>
    <row r="2673" spans="1:12">
      <c r="A2673" s="20" t="s">
        <v>1109</v>
      </c>
      <c r="E2673" s="21">
        <f>IF(D2673="?OLD","!!!","")</f>
        <v/>
      </c>
      <c r="F2673" s="22" t="str">
        <f>IF(OR(E2673="",E2673="!!!"),"",IF(NOT(ISNA(VLOOKUP(E2673,E$1:E2672,1,FALSE()))),"OLD",IF(AND(E2673&lt;&gt;"",E2673&lt;&gt;"!!!"),"NEW","")))</f>
        <v> </v>
      </c>
      <c r="G2673" s="23" t="str">
        <f>IF(OR(E2673="",E2673="!!!"),"",IF(OR(J2673=0,AND(J2673=1,K2673=1),AND(J2673=1,I2673="SBJ"),AND(J2673=1,I2673=0)),"?IN_FOCUS",IF(J2673&lt;=2,"?ACTIVATED",IF(J2673&lt;&gt;"","?FAMILIAR",IF(F2673="NEW",IF(ISNA(VLOOKUP(E2673,#REF!,1,FALSE())),"?TYPE_IDENTIFIABLE","?REFERENTIAL"),"_")))))</f>
        <v> </v>
      </c>
      <c r="H2673" s="24" t="str">
        <f>IF(J2673&lt;&gt;1,"",IF(I2673="SBJ","CB","?"))</f>
        <v> </v>
      </c>
      <c r="I2673" s="25" t="str">
        <f>IF(OR(E2673="",E2673="!!!",F2673="NEW"),"",INDEX(B2672:B$2,-1+SUMPRODUCT(MAX(ROW(E2672:E$2)*(E2673=E2672:E$2)))))</f>
        <v> </v>
      </c>
      <c r="J2673" s="25" t="str">
        <f>IF(OR(E2673="",E2673="!!!",F2673="NEW"),"",COUNTBLANK(OFFSET(A$1,,,SUMPRODUCT(MAX(ROW(E$2:E2673)*(E2673=E$2:E2673)))))-COUNTBLANK(OFFSET(A$1,,,SUMPRODUCT(MAX(ROW(E$1:E2672)*(E2=E$1:E2672))))))</f>
        <v> </v>
      </c>
      <c r="K2673" s="25" t="str">
        <f>IF(OR(E2673="",E2673="!!!",F2673="NEW"),"",INDEX(J$1:J2672,SUMPRODUCT(MAX(ROW(E$1:E2672)*(E2673=E$1:E2672)))))</f>
        <v> </v>
      </c>
      <c r="L2673" s="26"/>
    </row>
    <row r="2674" spans="1:12">
      <c r="A2674" s="20" t="s">
        <v>1542</v>
      </c>
      <c r="B2674" s="27" t="s">
        <v>619</v>
      </c>
      <c r="C2674" s="27" t="s">
        <v>631</v>
      </c>
      <c r="D2674" s="27" t="s">
        <v>608</v>
      </c>
      <c r="E2674" s="21">
        <f>IF(D2674="?OLD","!!!","")</f>
        <v/>
      </c>
      <c r="F2674" s="22" t="str">
        <f>IF(OR(E2674="",E2674="!!!"),"",IF(NOT(ISNA(VLOOKUP(E2674,E$1:E2673,1,FALSE()))),"OLD",IF(AND(E2674&lt;&gt;"",E2674&lt;&gt;"!!!"),"NEW","")))</f>
        <v> </v>
      </c>
      <c r="G2674" s="23" t="str">
        <f>IF(OR(E2674="",E2674="!!!"),"",IF(OR(J2674=0,AND(J2674=1,K2674=1),AND(J2674=1,I2674="SBJ"),AND(J2674=1,I2674=0)),"?IN_FOCUS",IF(J2674&lt;=2,"?ACTIVATED",IF(J2674&lt;&gt;"","?FAMILIAR",IF(F2674="NEW",IF(ISNA(VLOOKUP(E2674,#REF!,1,FALSE())),"?TYPE_IDENTIFIABLE","?REFERENTIAL"),"_")))))</f>
        <v> </v>
      </c>
      <c r="H2674" s="24" t="str">
        <f>IF(J2674&lt;&gt;1,"",IF(I2674="SBJ","CB","?"))</f>
        <v> </v>
      </c>
      <c r="I2674" s="25" t="str">
        <f>IF(OR(E2674="",E2674="!!!",F2674="NEW"),"",INDEX(B2673:B$2,-1+SUMPRODUCT(MAX(ROW(E2673:E$2)*(E2674=E2673:E$2)))))</f>
        <v> </v>
      </c>
      <c r="J2674" s="25" t="str">
        <f>IF(OR(E2674="",E2674="!!!",F2674="NEW"),"",COUNTBLANK(OFFSET(A$1,,,SUMPRODUCT(MAX(ROW(E$2:E2674)*(E2674=E$2:E2674)))))-COUNTBLANK(OFFSET(A$1,,,SUMPRODUCT(MAX(ROW(E$1:E2673)*(E2=E$1:E2673))))))</f>
        <v> </v>
      </c>
      <c r="K2674" s="25" t="str">
        <f>IF(OR(E2674="",E2674="!!!",F2674="NEW"),"",INDEX(J$1:J2673,SUMPRODUCT(MAX(ROW(E$1:E2673)*(E2674=E$1:E2673)))))</f>
        <v> </v>
      </c>
      <c r="L2674" s="26"/>
    </row>
    <row r="2675" spans="1:12">
      <c r="A2675" s="20" t="s">
        <v>1543</v>
      </c>
      <c r="E2675" s="21">
        <f>IF(D2675="?OLD","!!!","")</f>
        <v/>
      </c>
      <c r="F2675" s="22" t="str">
        <f>IF(OR(E2675="",E2675="!!!"),"",IF(NOT(ISNA(VLOOKUP(E2675,E$1:E2674,1,FALSE()))),"OLD",IF(AND(E2675&lt;&gt;"",E2675&lt;&gt;"!!!"),"NEW","")))</f>
        <v> </v>
      </c>
      <c r="G2675" s="23" t="str">
        <f>IF(OR(E2675="",E2675="!!!"),"",IF(OR(J2675=0,AND(J2675=1,K2675=1),AND(J2675=1,I2675="SBJ"),AND(J2675=1,I2675=0)),"?IN_FOCUS",IF(J2675&lt;=2,"?ACTIVATED",IF(J2675&lt;&gt;"","?FAMILIAR",IF(F2675="NEW",IF(ISNA(VLOOKUP(E2675,#REF!,1,FALSE())),"?TYPE_IDENTIFIABLE","?REFERENTIAL"),"_")))))</f>
        <v> </v>
      </c>
      <c r="H2675" s="24" t="str">
        <f>IF(J2675&lt;&gt;1,"",IF(I2675="SBJ","CB","?"))</f>
        <v> </v>
      </c>
      <c r="I2675" s="25" t="str">
        <f>IF(OR(E2675="",E2675="!!!",F2675="NEW"),"",INDEX(B2674:B$2,-1+SUMPRODUCT(MAX(ROW(E2674:E$2)*(E2675=E2674:E$2)))))</f>
        <v> </v>
      </c>
      <c r="J2675" s="25" t="str">
        <f>IF(OR(E2675="",E2675="!!!",F2675="NEW"),"",COUNTBLANK(OFFSET(A$1,,,SUMPRODUCT(MAX(ROW(E$2:E2675)*(E2675=E$2:E2675)))))-COUNTBLANK(OFFSET(A$1,,,SUMPRODUCT(MAX(ROW(E$1:E2674)*(E2=E$1:E2674))))))</f>
        <v> </v>
      </c>
      <c r="K2675" s="25" t="str">
        <f>IF(OR(E2675="",E2675="!!!",F2675="NEW"),"",INDEX(J$1:J2674,SUMPRODUCT(MAX(ROW(E$1:E2674)*(E2675=E$1:E2674)))))</f>
        <v> </v>
      </c>
      <c r="L2675" s="26"/>
    </row>
    <row r="2676" spans="1:12">
      <c r="A2676" s="20" t="s">
        <v>1544</v>
      </c>
      <c r="B2676" s="27" t="s">
        <v>657</v>
      </c>
      <c r="E2676" s="21">
        <f>IF(D2676="?OLD","!!!","")</f>
        <v/>
      </c>
      <c r="F2676" s="22" t="str">
        <f>IF(OR(E2676="",E2676="!!!"),"",IF(NOT(ISNA(VLOOKUP(E2676,E$1:E2675,1,FALSE()))),"OLD",IF(AND(E2676&lt;&gt;"",E2676&lt;&gt;"!!!"),"NEW","")))</f>
        <v> </v>
      </c>
      <c r="G2676" s="23" t="str">
        <f>IF(OR(E2676="",E2676="!!!"),"",IF(OR(J2676=0,AND(J2676=1,K2676=1),AND(J2676=1,I2676="SBJ"),AND(J2676=1,I2676=0)),"?IN_FOCUS",IF(J2676&lt;=2,"?ACTIVATED",IF(J2676&lt;&gt;"","?FAMILIAR",IF(F2676="NEW",IF(ISNA(VLOOKUP(E2676,#REF!,1,FALSE())),"?TYPE_IDENTIFIABLE","?REFERENTIAL"),"_")))))</f>
        <v> </v>
      </c>
      <c r="H2676" s="24" t="str">
        <f>IF(J2676&lt;&gt;1,"",IF(I2676="SBJ","CB","?"))</f>
        <v> </v>
      </c>
      <c r="I2676" s="25" t="str">
        <f>IF(OR(E2676="",E2676="!!!",F2676="NEW"),"",INDEX(B2675:B$2,-1+SUMPRODUCT(MAX(ROW(E2675:E$2)*(E2676=E2675:E$2)))))</f>
        <v> </v>
      </c>
      <c r="J2676" s="25" t="str">
        <f>IF(OR(E2676="",E2676="!!!",F2676="NEW"),"",COUNTBLANK(OFFSET(A$1,,,SUMPRODUCT(MAX(ROW(E$2:E2676)*(E2676=E$2:E2676)))))-COUNTBLANK(OFFSET(A$1,,,SUMPRODUCT(MAX(ROW(E$1:E2675)*(E2=E$1:E2675))))))</f>
        <v> </v>
      </c>
      <c r="K2676" s="25" t="str">
        <f>IF(OR(E2676="",E2676="!!!",F2676="NEW"),"",INDEX(J$1:J2675,SUMPRODUCT(MAX(ROW(E$1:E2675)*(E2676=E$1:E2675)))))</f>
        <v> </v>
      </c>
      <c r="L2676" s="26"/>
    </row>
    <row r="2677" spans="1:12">
      <c r="A2677" s="20" t="s">
        <v>1545</v>
      </c>
      <c r="E2677" s="21">
        <f>IF(D2677="?OLD","!!!","")</f>
        <v/>
      </c>
      <c r="F2677" s="22" t="str">
        <f>IF(OR(E2677="",E2677="!!!"),"",IF(NOT(ISNA(VLOOKUP(E2677,E$1:E2676,1,FALSE()))),"OLD",IF(AND(E2677&lt;&gt;"",E2677&lt;&gt;"!!!"),"NEW","")))</f>
        <v> </v>
      </c>
      <c r="G2677" s="23" t="str">
        <f>IF(OR(E2677="",E2677="!!!"),"",IF(OR(J2677=0,AND(J2677=1,K2677=1),AND(J2677=1,I2677="SBJ"),AND(J2677=1,I2677=0)),"?IN_FOCUS",IF(J2677&lt;=2,"?ACTIVATED",IF(J2677&lt;&gt;"","?FAMILIAR",IF(F2677="NEW",IF(ISNA(VLOOKUP(E2677,#REF!,1,FALSE())),"?TYPE_IDENTIFIABLE","?REFERENTIAL"),"_")))))</f>
        <v> </v>
      </c>
      <c r="H2677" s="24" t="str">
        <f>IF(J2677&lt;&gt;1,"",IF(I2677="SBJ","CB","?"))</f>
        <v> </v>
      </c>
      <c r="I2677" s="25" t="str">
        <f>IF(OR(E2677="",E2677="!!!",F2677="NEW"),"",INDEX(B2676:B$2,-1+SUMPRODUCT(MAX(ROW(E2676:E$2)*(E2677=E2676:E$2)))))</f>
        <v> </v>
      </c>
      <c r="J2677" s="25" t="str">
        <f>IF(OR(E2677="",E2677="!!!",F2677="NEW"),"",COUNTBLANK(OFFSET(A$1,,,SUMPRODUCT(MAX(ROW(E$2:E2677)*(E2677=E$2:E2677)))))-COUNTBLANK(OFFSET(A$1,,,SUMPRODUCT(MAX(ROW(E$1:E2676)*(E2=E$1:E2676))))))</f>
        <v> </v>
      </c>
      <c r="K2677" s="25" t="str">
        <f>IF(OR(E2677="",E2677="!!!",F2677="NEW"),"",INDEX(J$1:J2676,SUMPRODUCT(MAX(ROW(E$1:E2676)*(E2677=E$1:E2676)))))</f>
        <v> </v>
      </c>
      <c r="L2677" s="26"/>
    </row>
    <row r="2678" spans="1:12">
      <c r="A2678" s="20" t="s">
        <v>1150</v>
      </c>
      <c r="E2678" s="21">
        <f>IF(D2678="?OLD","!!!","")</f>
        <v/>
      </c>
      <c r="F2678" s="22" t="str">
        <f>IF(OR(E2678="",E2678="!!!"),"",IF(NOT(ISNA(VLOOKUP(E2678,E$1:E2677,1,FALSE()))),"OLD",IF(AND(E2678&lt;&gt;"",E2678&lt;&gt;"!!!"),"NEW","")))</f>
        <v> </v>
      </c>
      <c r="G2678" s="23" t="str">
        <f>IF(OR(E2678="",E2678="!!!"),"",IF(OR(J2678=0,AND(J2678=1,K2678=1),AND(J2678=1,I2678="SBJ"),AND(J2678=1,I2678=0)),"?IN_FOCUS",IF(J2678&lt;=2,"?ACTIVATED",IF(J2678&lt;&gt;"","?FAMILIAR",IF(F2678="NEW",IF(ISNA(VLOOKUP(E2678,#REF!,1,FALSE())),"?TYPE_IDENTIFIABLE","?REFERENTIAL"),"_")))))</f>
        <v> </v>
      </c>
      <c r="H2678" s="24" t="str">
        <f>IF(J2678&lt;&gt;1,"",IF(I2678="SBJ","CB","?"))</f>
        <v> </v>
      </c>
      <c r="I2678" s="25" t="str">
        <f>IF(OR(E2678="",E2678="!!!",F2678="NEW"),"",INDEX(B2677:B$2,-1+SUMPRODUCT(MAX(ROW(E2677:E$2)*(E2678=E2677:E$2)))))</f>
        <v> </v>
      </c>
      <c r="J2678" s="25" t="str">
        <f>IF(OR(E2678="",E2678="!!!",F2678="NEW"),"",COUNTBLANK(OFFSET(A$1,,,SUMPRODUCT(MAX(ROW(E$2:E2678)*(E2678=E$2:E2678)))))-COUNTBLANK(OFFSET(A$1,,,SUMPRODUCT(MAX(ROW(E$1:E2677)*(E2=E$1:E2677))))))</f>
        <v> </v>
      </c>
      <c r="K2678" s="25" t="str">
        <f>IF(OR(E2678="",E2678="!!!",F2678="NEW"),"",INDEX(J$1:J2677,SUMPRODUCT(MAX(ROW(E$1:E2677)*(E2678=E$1:E2677)))))</f>
        <v> </v>
      </c>
      <c r="L2678" s="26"/>
    </row>
    <row r="2679" spans="1:12">
      <c r="A2679" s="20" t="s">
        <v>1216</v>
      </c>
      <c r="E2679" s="21">
        <f>IF(D2679="?OLD","!!!","")</f>
        <v/>
      </c>
      <c r="F2679" s="22" t="str">
        <f>IF(OR(E2679="",E2679="!!!"),"",IF(NOT(ISNA(VLOOKUP(E2679,E$1:E2678,1,FALSE()))),"OLD",IF(AND(E2679&lt;&gt;"",E2679&lt;&gt;"!!!"),"NEW","")))</f>
        <v> </v>
      </c>
      <c r="G2679" s="23" t="str">
        <f>IF(OR(E2679="",E2679="!!!"),"",IF(OR(J2679=0,AND(J2679=1,K2679=1),AND(J2679=1,I2679="SBJ"),AND(J2679=1,I2679=0)),"?IN_FOCUS",IF(J2679&lt;=2,"?ACTIVATED",IF(J2679&lt;&gt;"","?FAMILIAR",IF(F2679="NEW",IF(ISNA(VLOOKUP(E2679,#REF!,1,FALSE())),"?TYPE_IDENTIFIABLE","?REFERENTIAL"),"_")))))</f>
        <v> </v>
      </c>
      <c r="H2679" s="24" t="str">
        <f>IF(J2679&lt;&gt;1,"",IF(I2679="SBJ","CB","?"))</f>
        <v> </v>
      </c>
      <c r="I2679" s="25" t="str">
        <f>IF(OR(E2679="",E2679="!!!",F2679="NEW"),"",INDEX(B2678:B$2,-1+SUMPRODUCT(MAX(ROW(E2678:E$2)*(E2679=E2678:E$2)))))</f>
        <v> </v>
      </c>
      <c r="J2679" s="25" t="str">
        <f>IF(OR(E2679="",E2679="!!!",F2679="NEW"),"",COUNTBLANK(OFFSET(A$1,,,SUMPRODUCT(MAX(ROW(E$2:E2679)*(E2679=E$2:E2679)))))-COUNTBLANK(OFFSET(A$1,,,SUMPRODUCT(MAX(ROW(E$1:E2678)*(E2=E$1:E2678))))))</f>
        <v> </v>
      </c>
      <c r="K2679" s="25" t="str">
        <f>IF(OR(E2679="",E2679="!!!",F2679="NEW"),"",INDEX(J$1:J2678,SUMPRODUCT(MAX(ROW(E$1:E2678)*(E2679=E$1:E2678)))))</f>
        <v> </v>
      </c>
      <c r="L2679" s="26"/>
    </row>
    <row r="2680" spans="1:12">
      <c r="A2680" s="20" t="s">
        <v>1546</v>
      </c>
      <c r="B2680" s="27" t="s">
        <v>657</v>
      </c>
      <c r="C2680" s="27" t="s">
        <v>631</v>
      </c>
      <c r="D2680" s="27" t="s">
        <v>608</v>
      </c>
      <c r="E2680" s="21">
        <f>IF(D2680="?OLD","!!!","")</f>
        <v/>
      </c>
      <c r="F2680" s="22" t="str">
        <f>IF(OR(E2680="",E2680="!!!"),"",IF(NOT(ISNA(VLOOKUP(E2680,E$1:E2679,1,FALSE()))),"OLD",IF(AND(E2680&lt;&gt;"",E2680&lt;&gt;"!!!"),"NEW","")))</f>
        <v> </v>
      </c>
      <c r="G2680" s="23" t="str">
        <f>IF(OR(E2680="",E2680="!!!"),"",IF(OR(J2680=0,AND(J2680=1,K2680=1),AND(J2680=1,I2680="SBJ"),AND(J2680=1,I2680=0)),"?IN_FOCUS",IF(J2680&lt;=2,"?ACTIVATED",IF(J2680&lt;&gt;"","?FAMILIAR",IF(F2680="NEW",IF(ISNA(VLOOKUP(E2680,#REF!,1,FALSE())),"?TYPE_IDENTIFIABLE","?REFERENTIAL"),"_")))))</f>
        <v> </v>
      </c>
      <c r="H2680" s="24" t="str">
        <f>IF(J2680&lt;&gt;1,"",IF(I2680="SBJ","CB","?"))</f>
        <v> </v>
      </c>
      <c r="I2680" s="25" t="str">
        <f>IF(OR(E2680="",E2680="!!!",F2680="NEW"),"",INDEX(B2679:B$2,-1+SUMPRODUCT(MAX(ROW(E2679:E$2)*(E2680=E2679:E$2)))))</f>
        <v> </v>
      </c>
      <c r="J2680" s="25" t="str">
        <f>IF(OR(E2680="",E2680="!!!",F2680="NEW"),"",COUNTBLANK(OFFSET(A$1,,,SUMPRODUCT(MAX(ROW(E$2:E2680)*(E2680=E$2:E2680)))))-COUNTBLANK(OFFSET(A$1,,,SUMPRODUCT(MAX(ROW(E$1:E2679)*(E2=E$1:E2679))))))</f>
        <v> </v>
      </c>
      <c r="K2680" s="25" t="str">
        <f>IF(OR(E2680="",E2680="!!!",F2680="NEW"),"",INDEX(J$1:J2679,SUMPRODUCT(MAX(ROW(E$1:E2679)*(E2680=E$1:E2679)))))</f>
        <v> </v>
      </c>
      <c r="L2680" s="26"/>
    </row>
    <row r="2681" spans="1:12">
      <c r="A2681" s="20" t="s">
        <v>1547</v>
      </c>
      <c r="E2681" s="21">
        <f>IF(D2681="?OLD","!!!","")</f>
        <v/>
      </c>
      <c r="F2681" s="22" t="str">
        <f>IF(OR(E2681="",E2681="!!!"),"",IF(NOT(ISNA(VLOOKUP(E2681,E$1:E2680,1,FALSE()))),"OLD",IF(AND(E2681&lt;&gt;"",E2681&lt;&gt;"!!!"),"NEW","")))</f>
        <v> </v>
      </c>
      <c r="G2681" s="23" t="str">
        <f>IF(OR(E2681="",E2681="!!!"),"",IF(OR(J2681=0,AND(J2681=1,K2681=1),AND(J2681=1,I2681="SBJ"),AND(J2681=1,I2681=0)),"?IN_FOCUS",IF(J2681&lt;=2,"?ACTIVATED",IF(J2681&lt;&gt;"","?FAMILIAR",IF(F2681="NEW",IF(ISNA(VLOOKUP(E2681,#REF!,1,FALSE())),"?TYPE_IDENTIFIABLE","?REFERENTIAL"),"_")))))</f>
        <v> </v>
      </c>
      <c r="H2681" s="24" t="str">
        <f>IF(J2681&lt;&gt;1,"",IF(I2681="SBJ","CB","?"))</f>
        <v> </v>
      </c>
      <c r="I2681" s="25" t="str">
        <f>IF(OR(E2681="",E2681="!!!",F2681="NEW"),"",INDEX(B2680:B$2,-1+SUMPRODUCT(MAX(ROW(E2680:E$2)*(E2681=E2680:E$2)))))</f>
        <v> </v>
      </c>
      <c r="J2681" s="25" t="str">
        <f>IF(OR(E2681="",E2681="!!!",F2681="NEW"),"",COUNTBLANK(OFFSET(A$1,,,SUMPRODUCT(MAX(ROW(E$2:E2681)*(E2681=E$2:E2681)))))-COUNTBLANK(OFFSET(A$1,,,SUMPRODUCT(MAX(ROW(E$1:E2680)*(E2=E$1:E2680))))))</f>
        <v> </v>
      </c>
      <c r="K2681" s="25" t="str">
        <f>IF(OR(E2681="",E2681="!!!",F2681="NEW"),"",INDEX(J$1:J2680,SUMPRODUCT(MAX(ROW(E$1:E2680)*(E2681=E$1:E2680)))))</f>
        <v> </v>
      </c>
      <c r="L2681" s="26"/>
    </row>
    <row r="2682" spans="1:12">
      <c r="A2682" s="20" t="s">
        <v>1161</v>
      </c>
      <c r="E2682" s="21">
        <f>IF(D2682="?OLD","!!!","")</f>
        <v/>
      </c>
      <c r="F2682" s="22" t="str">
        <f>IF(OR(E2682="",E2682="!!!"),"",IF(NOT(ISNA(VLOOKUP(E2682,E$1:E2681,1,FALSE()))),"OLD",IF(AND(E2682&lt;&gt;"",E2682&lt;&gt;"!!!"),"NEW","")))</f>
        <v> </v>
      </c>
      <c r="G2682" s="23" t="str">
        <f>IF(OR(E2682="",E2682="!!!"),"",IF(OR(J2682=0,AND(J2682=1,K2682=1),AND(J2682=1,I2682="SBJ"),AND(J2682=1,I2682=0)),"?IN_FOCUS",IF(J2682&lt;=2,"?ACTIVATED",IF(J2682&lt;&gt;"","?FAMILIAR",IF(F2682="NEW",IF(ISNA(VLOOKUP(E2682,#REF!,1,FALSE())),"?TYPE_IDENTIFIABLE","?REFERENTIAL"),"_")))))</f>
        <v> </v>
      </c>
      <c r="H2682" s="24" t="str">
        <f>IF(J2682&lt;&gt;1,"",IF(I2682="SBJ","CB","?"))</f>
        <v> </v>
      </c>
      <c r="I2682" s="25" t="str">
        <f>IF(OR(E2682="",E2682="!!!",F2682="NEW"),"",INDEX(B2681:B$2,-1+SUMPRODUCT(MAX(ROW(E2681:E$2)*(E2682=E2681:E$2)))))</f>
        <v> </v>
      </c>
      <c r="J2682" s="25" t="str">
        <f>IF(OR(E2682="",E2682="!!!",F2682="NEW"),"",COUNTBLANK(OFFSET(A$1,,,SUMPRODUCT(MAX(ROW(E$2:E2682)*(E2682=E$2:E2682)))))-COUNTBLANK(OFFSET(A$1,,,SUMPRODUCT(MAX(ROW(E$1:E2681)*(E2=E$1:E2681))))))</f>
        <v> </v>
      </c>
      <c r="K2682" s="25" t="str">
        <f>IF(OR(E2682="",E2682="!!!",F2682="NEW"),"",INDEX(J$1:J2681,SUMPRODUCT(MAX(ROW(E$1:E2681)*(E2682=E$1:E2681)))))</f>
        <v> </v>
      </c>
      <c r="L2682" s="26"/>
    </row>
    <row r="2683" spans="1:12">
      <c r="A2683" s="20" t="s">
        <v>618</v>
      </c>
      <c r="E2683" s="21">
        <f>IF(D2683="?OLD","!!!","")</f>
        <v/>
      </c>
      <c r="F2683" s="22" t="str">
        <f>IF(OR(E2683="",E2683="!!!"),"",IF(NOT(ISNA(VLOOKUP(E2683,E$1:E2682,1,FALSE()))),"OLD",IF(AND(E2683&lt;&gt;"",E2683&lt;&gt;"!!!"),"NEW","")))</f>
        <v> </v>
      </c>
      <c r="G2683" s="23" t="str">
        <f>IF(OR(E2683="",E2683="!!!"),"",IF(OR(J2683=0,AND(J2683=1,K2683=1),AND(J2683=1,I2683="SBJ"),AND(J2683=1,I2683=0)),"?IN_FOCUS",IF(J2683&lt;=2,"?ACTIVATED",IF(J2683&lt;&gt;"","?FAMILIAR",IF(F2683="NEW",IF(ISNA(VLOOKUP(E2683,#REF!,1,FALSE())),"?TYPE_IDENTIFIABLE","?REFERENTIAL"),"_")))))</f>
        <v> </v>
      </c>
      <c r="H2683" s="24" t="str">
        <f>IF(J2683&lt;&gt;1,"",IF(I2683="SBJ","CB","?"))</f>
        <v> </v>
      </c>
      <c r="I2683" s="25" t="str">
        <f>IF(OR(E2683="",E2683="!!!",F2683="NEW"),"",INDEX(B2682:B$2,-1+SUMPRODUCT(MAX(ROW(E2682:E$2)*(E2683=E2682:E$2)))))</f>
        <v> </v>
      </c>
      <c r="J2683" s="25" t="str">
        <f>IF(OR(E2683="",E2683="!!!",F2683="NEW"),"",COUNTBLANK(OFFSET(A$1,,,SUMPRODUCT(MAX(ROW(E$2:E2683)*(E2683=E$2:E2683)))))-COUNTBLANK(OFFSET(A$1,,,SUMPRODUCT(MAX(ROW(E$1:E2682)*(E2=E$1:E2682))))))</f>
        <v> </v>
      </c>
      <c r="K2683" s="25" t="str">
        <f>IF(OR(E2683="",E2683="!!!",F2683="NEW"),"",INDEX(J$1:J2682,SUMPRODUCT(MAX(ROW(E$1:E2682)*(E2683=E$1:E2682)))))</f>
        <v> </v>
      </c>
      <c r="L2683" s="26"/>
    </row>
    <row r="2684" spans="1:12">
      <c r="A2684" s="20" t="s">
        <v>1548</v>
      </c>
      <c r="B2684" s="27" t="s">
        <v>657</v>
      </c>
      <c r="C2684" s="27" t="s">
        <v>607</v>
      </c>
      <c r="D2684" s="27" t="s">
        <v>608</v>
      </c>
      <c r="E2684" s="21">
        <f>IF(D2684="?OLD","!!!","")</f>
        <v/>
      </c>
      <c r="F2684" s="22" t="str">
        <f>IF(OR(E2684="",E2684="!!!"),"",IF(NOT(ISNA(VLOOKUP(E2684,E$1:E2683,1,FALSE()))),"OLD",IF(AND(E2684&lt;&gt;"",E2684&lt;&gt;"!!!"),"NEW","")))</f>
        <v> </v>
      </c>
      <c r="G2684" s="23" t="str">
        <f>IF(OR(E2684="",E2684="!!!"),"",IF(OR(J2684=0,AND(J2684=1,K2684=1),AND(J2684=1,I2684="SBJ"),AND(J2684=1,I2684=0)),"?IN_FOCUS",IF(J2684&lt;=2,"?ACTIVATED",IF(J2684&lt;&gt;"","?FAMILIAR",IF(F2684="NEW",IF(ISNA(VLOOKUP(E2684,#REF!,1,FALSE())),"?TYPE_IDENTIFIABLE","?REFERENTIAL"),"_")))))</f>
        <v> </v>
      </c>
      <c r="H2684" s="24" t="str">
        <f>IF(J2684&lt;&gt;1,"",IF(I2684="SBJ","CB","?"))</f>
        <v> </v>
      </c>
      <c r="I2684" s="25" t="str">
        <f>IF(OR(E2684="",E2684="!!!",F2684="NEW"),"",INDEX(B2683:B$2,-1+SUMPRODUCT(MAX(ROW(E2683:E$2)*(E2684=E2683:E$2)))))</f>
        <v> </v>
      </c>
      <c r="J2684" s="25" t="str">
        <f>IF(OR(E2684="",E2684="!!!",F2684="NEW"),"",COUNTBLANK(OFFSET(A$1,,,SUMPRODUCT(MAX(ROW(E$2:E2684)*(E2684=E$2:E2684)))))-COUNTBLANK(OFFSET(A$1,,,SUMPRODUCT(MAX(ROW(E$1:E2683)*(E2=E$1:E2683))))))</f>
        <v> </v>
      </c>
      <c r="K2684" s="25" t="str">
        <f>IF(OR(E2684="",E2684="!!!",F2684="NEW"),"",INDEX(J$1:J2683,SUMPRODUCT(MAX(ROW(E$1:E2683)*(E2684=E$1:E2683)))))</f>
        <v> </v>
      </c>
      <c r="L2684" s="26"/>
    </row>
    <row r="2685" spans="1:12">
      <c r="A2685" s="20" t="s">
        <v>1530</v>
      </c>
      <c r="E2685" s="21">
        <f>IF(D2685="?OLD","!!!","")</f>
        <v/>
      </c>
      <c r="F2685" s="22" t="str">
        <f>IF(OR(E2685="",E2685="!!!"),"",IF(NOT(ISNA(VLOOKUP(E2685,E$1:E2684,1,FALSE()))),"OLD",IF(AND(E2685&lt;&gt;"",E2685&lt;&gt;"!!!"),"NEW","")))</f>
        <v> </v>
      </c>
      <c r="G2685" s="23" t="str">
        <f>IF(OR(E2685="",E2685="!!!"),"",IF(OR(J2685=0,AND(J2685=1,K2685=1),AND(J2685=1,I2685="SBJ"),AND(J2685=1,I2685=0)),"?IN_FOCUS",IF(J2685&lt;=2,"?ACTIVATED",IF(J2685&lt;&gt;"","?FAMILIAR",IF(F2685="NEW",IF(ISNA(VLOOKUP(E2685,#REF!,1,FALSE())),"?TYPE_IDENTIFIABLE","?REFERENTIAL"),"_")))))</f>
        <v> </v>
      </c>
      <c r="H2685" s="24" t="str">
        <f>IF(J2685&lt;&gt;1,"",IF(I2685="SBJ","CB","?"))</f>
        <v> </v>
      </c>
      <c r="I2685" s="25" t="str">
        <f>IF(OR(E2685="",E2685="!!!",F2685="NEW"),"",INDEX(B2684:B$2,-1+SUMPRODUCT(MAX(ROW(E2684:E$2)*(E2685=E2684:E$2)))))</f>
        <v> </v>
      </c>
      <c r="J2685" s="25" t="str">
        <f>IF(OR(E2685="",E2685="!!!",F2685="NEW"),"",COUNTBLANK(OFFSET(A$1,,,SUMPRODUCT(MAX(ROW(E$2:E2685)*(E2685=E$2:E2685)))))-COUNTBLANK(OFFSET(A$1,,,SUMPRODUCT(MAX(ROW(E$1:E2684)*(E2=E$1:E2684))))))</f>
        <v> </v>
      </c>
      <c r="K2685" s="25" t="str">
        <f>IF(OR(E2685="",E2685="!!!",F2685="NEW"),"",INDEX(J$1:J2684,SUMPRODUCT(MAX(ROW(E$1:E2684)*(E2685=E$1:E2684)))))</f>
        <v> </v>
      </c>
      <c r="L2685" s="26"/>
    </row>
    <row r="2686" spans="1:12">
      <c r="A2686" s="20" t="s">
        <v>617</v>
      </c>
      <c r="E2686" s="21">
        <f>IF(D2686="?OLD","!!!","")</f>
        <v/>
      </c>
      <c r="F2686" s="22" t="str">
        <f>IF(OR(E2686="",E2686="!!!"),"",IF(NOT(ISNA(VLOOKUP(E2686,E$1:E2685,1,FALSE()))),"OLD",IF(AND(E2686&lt;&gt;"",E2686&lt;&gt;"!!!"),"NEW","")))</f>
        <v> </v>
      </c>
      <c r="G2686" s="23" t="str">
        <f>IF(OR(E2686="",E2686="!!!"),"",IF(OR(J2686=0,AND(J2686=1,K2686=1),AND(J2686=1,I2686="SBJ"),AND(J2686=1,I2686=0)),"?IN_FOCUS",IF(J2686&lt;=2,"?ACTIVATED",IF(J2686&lt;&gt;"","?FAMILIAR",IF(F2686="NEW",IF(ISNA(VLOOKUP(E2686,#REF!,1,FALSE())),"?TYPE_IDENTIFIABLE","?REFERENTIAL"),"_")))))</f>
        <v> </v>
      </c>
      <c r="H2686" s="24" t="str">
        <f>IF(J2686&lt;&gt;1,"",IF(I2686="SBJ","CB","?"))</f>
        <v> </v>
      </c>
      <c r="I2686" s="25" t="str">
        <f>IF(OR(E2686="",E2686="!!!",F2686="NEW"),"",INDEX(B2685:B$2,-1+SUMPRODUCT(MAX(ROW(E2685:E$2)*(E2686=E2685:E$2)))))</f>
        <v> </v>
      </c>
      <c r="J2686" s="25" t="str">
        <f>IF(OR(E2686="",E2686="!!!",F2686="NEW"),"",COUNTBLANK(OFFSET(A$1,,,SUMPRODUCT(MAX(ROW(E$2:E2686)*(E2686=E$2:E2686)))))-COUNTBLANK(OFFSET(A$1,,,SUMPRODUCT(MAX(ROW(E$1:E2685)*(E2=E$1:E2685))))))</f>
        <v> </v>
      </c>
      <c r="K2686" s="25" t="str">
        <f>IF(OR(E2686="",E2686="!!!",F2686="NEW"),"",INDEX(J$1:J2685,SUMPRODUCT(MAX(ROW(E$1:E2685)*(E2686=E$1:E2685)))))</f>
        <v> </v>
      </c>
      <c r="L2686" s="26"/>
    </row>
    <row r="2687" spans="1:12">
      <c r="A2687" s="20" t="s">
        <v>618</v>
      </c>
      <c r="B2687" s="27" t="s">
        <v>725</v>
      </c>
      <c r="E2687" s="21">
        <f>IF(D2687="?OLD","!!!","")</f>
        <v/>
      </c>
      <c r="F2687" s="22" t="str">
        <f>IF(OR(E2687="",E2687="!!!"),"",IF(NOT(ISNA(VLOOKUP(E2687,E$1:E2686,1,FALSE()))),"OLD",IF(AND(E2687&lt;&gt;"",E2687&lt;&gt;"!!!"),"NEW","")))</f>
        <v> </v>
      </c>
      <c r="G2687" s="23" t="str">
        <f>IF(OR(E2687="",E2687="!!!"),"",IF(OR(J2687=0,AND(J2687=1,K2687=1),AND(J2687=1,I2687="SBJ"),AND(J2687=1,I2687=0)),"?IN_FOCUS",IF(J2687&lt;=2,"?ACTIVATED",IF(J2687&lt;&gt;"","?FAMILIAR",IF(F2687="NEW",IF(ISNA(VLOOKUP(E2687,#REF!,1,FALSE())),"?TYPE_IDENTIFIABLE","?REFERENTIAL"),"_")))))</f>
        <v> </v>
      </c>
      <c r="H2687" s="24" t="str">
        <f>IF(J2687&lt;&gt;1,"",IF(I2687="SBJ","CB","?"))</f>
        <v> </v>
      </c>
      <c r="I2687" s="25" t="str">
        <f>IF(OR(E2687="",E2687="!!!",F2687="NEW"),"",INDEX(B2686:B$2,-1+SUMPRODUCT(MAX(ROW(E2686:E$2)*(E2687=E2686:E$2)))))</f>
        <v> </v>
      </c>
      <c r="J2687" s="25" t="str">
        <f>IF(OR(E2687="",E2687="!!!",F2687="NEW"),"",COUNTBLANK(OFFSET(A$1,,,SUMPRODUCT(MAX(ROW(E$2:E2687)*(E2687=E$2:E2687)))))-COUNTBLANK(OFFSET(A$1,,,SUMPRODUCT(MAX(ROW(E$1:E2686)*(E2=E$1:E2686))))))</f>
        <v> </v>
      </c>
      <c r="K2687" s="25" t="str">
        <f>IF(OR(E2687="",E2687="!!!",F2687="NEW"),"",INDEX(J$1:J2686,SUMPRODUCT(MAX(ROW(E$1:E2686)*(E2687=E$1:E2686)))))</f>
        <v> </v>
      </c>
      <c r="L2687" s="26"/>
    </row>
    <row r="2688" spans="1:12">
      <c r="A2688" s="20" t="s">
        <v>790</v>
      </c>
      <c r="B2688" s="27" t="s">
        <v>668</v>
      </c>
      <c r="C2688" s="27" t="s">
        <v>637</v>
      </c>
      <c r="D2688" s="27" t="s">
        <v>608</v>
      </c>
      <c r="E2688" s="21">
        <f>IF(D2688="?OLD","!!!","")</f>
        <v/>
      </c>
      <c r="F2688" s="22" t="str">
        <f>IF(OR(E2688="",E2688="!!!"),"",IF(NOT(ISNA(VLOOKUP(E2688,E$1:E2687,1,FALSE()))),"OLD",IF(AND(E2688&lt;&gt;"",E2688&lt;&gt;"!!!"),"NEW","")))</f>
        <v> </v>
      </c>
      <c r="G2688" s="23" t="str">
        <f>IF(OR(E2688="",E2688="!!!"),"",IF(OR(J2688=0,AND(J2688=1,K2688=1),AND(J2688=1,I2688="SBJ"),AND(J2688=1,I2688=0)),"?IN_FOCUS",IF(J2688&lt;=2,"?ACTIVATED",IF(J2688&lt;&gt;"","?FAMILIAR",IF(F2688="NEW",IF(ISNA(VLOOKUP(E2688,#REF!,1,FALSE())),"?TYPE_IDENTIFIABLE","?REFERENTIAL"),"_")))))</f>
        <v> </v>
      </c>
      <c r="H2688" s="24" t="str">
        <f>IF(J2688&lt;&gt;1,"",IF(I2688="SBJ","CB","?"))</f>
        <v> </v>
      </c>
      <c r="I2688" s="25" t="str">
        <f>IF(OR(E2688="",E2688="!!!",F2688="NEW"),"",INDEX(B2687:B$2,-1+SUMPRODUCT(MAX(ROW(E2687:E$2)*(E2688=E2687:E$2)))))</f>
        <v> </v>
      </c>
      <c r="J2688" s="25" t="str">
        <f>IF(OR(E2688="",E2688="!!!",F2688="NEW"),"",COUNTBLANK(OFFSET(A$1,,,SUMPRODUCT(MAX(ROW(E$2:E2688)*(E2688=E$2:E2688)))))-COUNTBLANK(OFFSET(A$1,,,SUMPRODUCT(MAX(ROW(E$1:E2687)*(E2=E$1:E2687))))))</f>
        <v> </v>
      </c>
      <c r="K2688" s="25" t="str">
        <f>IF(OR(E2688="",E2688="!!!",F2688="NEW"),"",INDEX(J$1:J2687,SUMPRODUCT(MAX(ROW(E$1:E2687)*(E2688=E$1:E2687)))))</f>
        <v> </v>
      </c>
      <c r="L2688" s="26"/>
    </row>
    <row r="2689" spans="1:12">
      <c r="A2689" s="20" t="s">
        <v>1549</v>
      </c>
      <c r="B2689" s="27" t="s">
        <v>725</v>
      </c>
      <c r="C2689" s="27" t="s">
        <v>637</v>
      </c>
      <c r="D2689" s="27" t="s">
        <v>608</v>
      </c>
      <c r="E2689" s="21">
        <f>IF(D2689="?OLD","!!!","")</f>
        <v/>
      </c>
      <c r="F2689" s="22" t="str">
        <f>IF(OR(E2689="",E2689="!!!"),"",IF(NOT(ISNA(VLOOKUP(E2689,E$1:E2688,1,FALSE()))),"OLD",IF(AND(E2689&lt;&gt;"",E2689&lt;&gt;"!!!"),"NEW","")))</f>
        <v> </v>
      </c>
      <c r="G2689" s="23" t="str">
        <f>IF(OR(E2689="",E2689="!!!"),"",IF(OR(J2689=0,AND(J2689=1,K2689=1),AND(J2689=1,I2689="SBJ"),AND(J2689=1,I2689=0)),"?IN_FOCUS",IF(J2689&lt;=2,"?ACTIVATED",IF(J2689&lt;&gt;"","?FAMILIAR",IF(F2689="NEW",IF(ISNA(VLOOKUP(E2689,#REF!,1,FALSE())),"?TYPE_IDENTIFIABLE","?REFERENTIAL"),"_")))))</f>
        <v> </v>
      </c>
      <c r="H2689" s="24" t="str">
        <f>IF(J2689&lt;&gt;1,"",IF(I2689="SBJ","CB","?"))</f>
        <v> </v>
      </c>
      <c r="I2689" s="25" t="str">
        <f>IF(OR(E2689="",E2689="!!!",F2689="NEW"),"",INDEX(B2688:B$2,-1+SUMPRODUCT(MAX(ROW(E2688:E$2)*(E2689=E2688:E$2)))))</f>
        <v> </v>
      </c>
      <c r="J2689" s="25" t="str">
        <f>IF(OR(E2689="",E2689="!!!",F2689="NEW"),"",COUNTBLANK(OFFSET(A$1,,,SUMPRODUCT(MAX(ROW(E$2:E2689)*(E2689=E$2:E2689)))))-COUNTBLANK(OFFSET(A$1,,,SUMPRODUCT(MAX(ROW(E$1:E2688)*(E2=E$1:E2688))))))</f>
        <v> </v>
      </c>
      <c r="K2689" s="25" t="str">
        <f>IF(OR(E2689="",E2689="!!!",F2689="NEW"),"",INDEX(J$1:J2688,SUMPRODUCT(MAX(ROW(E$1:E2688)*(E2689=E$1:E2688)))))</f>
        <v> </v>
      </c>
      <c r="L2689" s="26"/>
    </row>
    <row r="2690" spans="1:12">
      <c r="A2690" s="20" t="s">
        <v>663</v>
      </c>
      <c r="B2690" s="27" t="s">
        <v>664</v>
      </c>
      <c r="C2690" s="27" t="s">
        <v>626</v>
      </c>
      <c r="E2690" s="21">
        <f>IF(D2690="?OLD","!!!","")</f>
        <v/>
      </c>
      <c r="F2690" s="22" t="str">
        <f>IF(OR(E2690="",E2690="!!!"),"",IF(NOT(ISNA(VLOOKUP(E2690,E$1:E2689,1,FALSE()))),"OLD",IF(AND(E2690&lt;&gt;"",E2690&lt;&gt;"!!!"),"NEW","")))</f>
        <v> </v>
      </c>
      <c r="G2690" s="23" t="str">
        <f>IF(OR(E2690="",E2690="!!!"),"",IF(OR(J2690=0,AND(J2690=1,K2690=1),AND(J2690=1,I2690="SBJ"),AND(J2690=1,I2690=0)),"?IN_FOCUS",IF(J2690&lt;=2,"?ACTIVATED",IF(J2690&lt;&gt;"","?FAMILIAR",IF(F2690="NEW",IF(ISNA(VLOOKUP(E2690,#REF!,1,FALSE())),"?TYPE_IDENTIFIABLE","?REFERENTIAL"),"_")))))</f>
        <v> </v>
      </c>
      <c r="H2690" s="24" t="str">
        <f>IF(J2690&lt;&gt;1,"",IF(I2690="SBJ","CB","?"))</f>
        <v> </v>
      </c>
      <c r="I2690" s="25" t="str">
        <f>IF(OR(E2690="",E2690="!!!",F2690="NEW"),"",INDEX(B2689:B$2,-1+SUMPRODUCT(MAX(ROW(E2689:E$2)*(E2690=E2689:E$2)))))</f>
        <v> </v>
      </c>
      <c r="J2690" s="25" t="str">
        <f>IF(OR(E2690="",E2690="!!!",F2690="NEW"),"",COUNTBLANK(OFFSET(A$1,,,SUMPRODUCT(MAX(ROW(E$2:E2690)*(E2690=E$2:E2690)))))-COUNTBLANK(OFFSET(A$1,,,SUMPRODUCT(MAX(ROW(E$1:E2689)*(E2=E$1:E2689))))))</f>
        <v> </v>
      </c>
      <c r="K2690" s="25" t="str">
        <f>IF(OR(E2690="",E2690="!!!",F2690="NEW"),"",INDEX(J$1:J2689,SUMPRODUCT(MAX(ROW(E$1:E2689)*(E2690=E$1:E2689)))))</f>
        <v> </v>
      </c>
      <c r="L2690" s="26"/>
    </row>
    <row r="2691" spans="1:12">
      <c r="A2691" s="20" t="s">
        <v>1550</v>
      </c>
      <c r="B2691" s="27" t="s">
        <v>625</v>
      </c>
      <c r="C2691" s="27" t="s">
        <v>622</v>
      </c>
      <c r="E2691" s="21">
        <f>IF(D2691="?OLD","!!!","")</f>
        <v/>
      </c>
      <c r="F2691" s="22" t="str">
        <f>IF(OR(E2691="",E2691="!!!"),"",IF(NOT(ISNA(VLOOKUP(E2691,E$1:E2690,1,FALSE()))),"OLD",IF(AND(E2691&lt;&gt;"",E2691&lt;&gt;"!!!"),"NEW","")))</f>
        <v> </v>
      </c>
      <c r="G2691" s="23" t="str">
        <f>IF(OR(E2691="",E2691="!!!"),"",IF(OR(J2691=0,AND(J2691=1,K2691=1),AND(J2691=1,I2691="SBJ"),AND(J2691=1,I2691=0)),"?IN_FOCUS",IF(J2691&lt;=2,"?ACTIVATED",IF(J2691&lt;&gt;"","?FAMILIAR",IF(F2691="NEW",IF(ISNA(VLOOKUP(E2691,#REF!,1,FALSE())),"?TYPE_IDENTIFIABLE","?REFERENTIAL"),"_")))))</f>
        <v> </v>
      </c>
      <c r="H2691" s="24" t="str">
        <f>IF(J2691&lt;&gt;1,"",IF(I2691="SBJ","CB","?"))</f>
        <v> </v>
      </c>
      <c r="I2691" s="25" t="str">
        <f>IF(OR(E2691="",E2691="!!!",F2691="NEW"),"",INDEX(B2690:B$2,-1+SUMPRODUCT(MAX(ROW(E2690:E$2)*(E2691=E2690:E$2)))))</f>
        <v> </v>
      </c>
      <c r="J2691" s="25" t="str">
        <f>IF(OR(E2691="",E2691="!!!",F2691="NEW"),"",COUNTBLANK(OFFSET(A$1,,,SUMPRODUCT(MAX(ROW(E$2:E2691)*(E2691=E$2:E2691)))))-COUNTBLANK(OFFSET(A$1,,,SUMPRODUCT(MAX(ROW(E$1:E2690)*(E2=E$1:E2690))))))</f>
        <v> </v>
      </c>
      <c r="K2691" s="25" t="str">
        <f>IF(OR(E2691="",E2691="!!!",F2691="NEW"),"",INDEX(J$1:J2690,SUMPRODUCT(MAX(ROW(E$1:E2690)*(E2691=E$1:E2690)))))</f>
        <v> </v>
      </c>
      <c r="L2691" s="26"/>
    </row>
    <row r="2692" spans="1:12">
      <c r="A2692" s="20" t="s">
        <v>1551</v>
      </c>
      <c r="E2692" s="21">
        <f>IF(D2692="?OLD","!!!","")</f>
        <v/>
      </c>
      <c r="F2692" s="22" t="str">
        <f>IF(OR(E2692="",E2692="!!!"),"",IF(NOT(ISNA(VLOOKUP(E2692,E$1:E2691,1,FALSE()))),"OLD",IF(AND(E2692&lt;&gt;"",E2692&lt;&gt;"!!!"),"NEW","")))</f>
        <v> </v>
      </c>
      <c r="G2692" s="23" t="str">
        <f>IF(OR(E2692="",E2692="!!!"),"",IF(OR(J2692=0,AND(J2692=1,K2692=1),AND(J2692=1,I2692="SBJ"),AND(J2692=1,I2692=0)),"?IN_FOCUS",IF(J2692&lt;=2,"?ACTIVATED",IF(J2692&lt;&gt;"","?FAMILIAR",IF(F2692="NEW",IF(ISNA(VLOOKUP(E2692,#REF!,1,FALSE())),"?TYPE_IDENTIFIABLE","?REFERENTIAL"),"_")))))</f>
        <v> </v>
      </c>
      <c r="H2692" s="24" t="str">
        <f>IF(J2692&lt;&gt;1,"",IF(I2692="SBJ","CB","?"))</f>
        <v> </v>
      </c>
      <c r="I2692" s="25" t="str">
        <f>IF(OR(E2692="",E2692="!!!",F2692="NEW"),"",INDEX(B2691:B$2,-1+SUMPRODUCT(MAX(ROW(E2691:E$2)*(E2692=E2691:E$2)))))</f>
        <v> </v>
      </c>
      <c r="J2692" s="25" t="str">
        <f>IF(OR(E2692="",E2692="!!!",F2692="NEW"),"",COUNTBLANK(OFFSET(A$1,,,SUMPRODUCT(MAX(ROW(E$2:E2692)*(E2692=E$2:E2692)))))-COUNTBLANK(OFFSET(A$1,,,SUMPRODUCT(MAX(ROW(E$1:E2691)*(E2=E$1:E2691))))))</f>
        <v> </v>
      </c>
      <c r="K2692" s="25" t="str">
        <f>IF(OR(E2692="",E2692="!!!",F2692="NEW"),"",INDEX(J$1:J2691,SUMPRODUCT(MAX(ROW(E$1:E2691)*(E2692=E$1:E2691)))))</f>
        <v> </v>
      </c>
      <c r="L2692" s="26"/>
    </row>
    <row r="2693" spans="1:12">
      <c r="A2693" s="20" t="s">
        <v>782</v>
      </c>
      <c r="E2693" s="21">
        <f>IF(D2693="?OLD","!!!","")</f>
        <v/>
      </c>
      <c r="F2693" s="22" t="str">
        <f>IF(OR(E2693="",E2693="!!!"),"",IF(NOT(ISNA(VLOOKUP(E2693,E$1:E2692,1,FALSE()))),"OLD",IF(AND(E2693&lt;&gt;"",E2693&lt;&gt;"!!!"),"NEW","")))</f>
        <v> </v>
      </c>
      <c r="G2693" s="23" t="str">
        <f>IF(OR(E2693="",E2693="!!!"),"",IF(OR(J2693=0,AND(J2693=1,K2693=1),AND(J2693=1,I2693="SBJ"),AND(J2693=1,I2693=0)),"?IN_FOCUS",IF(J2693&lt;=2,"?ACTIVATED",IF(J2693&lt;&gt;"","?FAMILIAR",IF(F2693="NEW",IF(ISNA(VLOOKUP(E2693,#REF!,1,FALSE())),"?TYPE_IDENTIFIABLE","?REFERENTIAL"),"_")))))</f>
        <v> </v>
      </c>
      <c r="H2693" s="24" t="str">
        <f>IF(J2693&lt;&gt;1,"",IF(I2693="SBJ","CB","?"))</f>
        <v> </v>
      </c>
      <c r="I2693" s="25" t="str">
        <f>IF(OR(E2693="",E2693="!!!",F2693="NEW"),"",INDEX(B2692:B$2,-1+SUMPRODUCT(MAX(ROW(E2692:E$2)*(E2693=E2692:E$2)))))</f>
        <v> </v>
      </c>
      <c r="J2693" s="25" t="str">
        <f>IF(OR(E2693="",E2693="!!!",F2693="NEW"),"",COUNTBLANK(OFFSET(A$1,,,SUMPRODUCT(MAX(ROW(E$2:E2693)*(E2693=E$2:E2693)))))-COUNTBLANK(OFFSET(A$1,,,SUMPRODUCT(MAX(ROW(E$1:E2692)*(E2=E$1:E2692))))))</f>
        <v> </v>
      </c>
      <c r="K2693" s="25" t="str">
        <f>IF(OR(E2693="",E2693="!!!",F2693="NEW"),"",INDEX(J$1:J2692,SUMPRODUCT(MAX(ROW(E$1:E2692)*(E2693=E$1:E2692)))))</f>
        <v> </v>
      </c>
      <c r="L2693" s="26"/>
    </row>
    <row r="2694" spans="1:12">
      <c r="A2694" s="20" t="s">
        <v>767</v>
      </c>
      <c r="E2694" s="21">
        <f>IF(D2694="?OLD","!!!","")</f>
        <v/>
      </c>
      <c r="F2694" s="22" t="str">
        <f>IF(OR(E2694="",E2694="!!!"),"",IF(NOT(ISNA(VLOOKUP(E2694,E$1:E2693,1,FALSE()))),"OLD",IF(AND(E2694&lt;&gt;"",E2694&lt;&gt;"!!!"),"NEW","")))</f>
        <v> </v>
      </c>
      <c r="G2694" s="23" t="str">
        <f>IF(OR(E2694="",E2694="!!!"),"",IF(OR(J2694=0,AND(J2694=1,K2694=1),AND(J2694=1,I2694="SBJ"),AND(J2694=1,I2694=0)),"?IN_FOCUS",IF(J2694&lt;=2,"?ACTIVATED",IF(J2694&lt;&gt;"","?FAMILIAR",IF(F2694="NEW",IF(ISNA(VLOOKUP(E2694,#REF!,1,FALSE())),"?TYPE_IDENTIFIABLE","?REFERENTIAL"),"_")))))</f>
        <v> </v>
      </c>
      <c r="H2694" s="24" t="str">
        <f>IF(J2694&lt;&gt;1,"",IF(I2694="SBJ","CB","?"))</f>
        <v> </v>
      </c>
      <c r="I2694" s="25" t="str">
        <f>IF(OR(E2694="",E2694="!!!",F2694="NEW"),"",INDEX(B2693:B$2,-1+SUMPRODUCT(MAX(ROW(E2693:E$2)*(E2694=E2693:E$2)))))</f>
        <v> </v>
      </c>
      <c r="J2694" s="25" t="str">
        <f>IF(OR(E2694="",E2694="!!!",F2694="NEW"),"",COUNTBLANK(OFFSET(A$1,,,SUMPRODUCT(MAX(ROW(E$2:E2694)*(E2694=E$2:E2694)))))-COUNTBLANK(OFFSET(A$1,,,SUMPRODUCT(MAX(ROW(E$1:E2693)*(E2=E$1:E2693))))))</f>
        <v> </v>
      </c>
      <c r="K2694" s="25" t="str">
        <f>IF(OR(E2694="",E2694="!!!",F2694="NEW"),"",INDEX(J$1:J2693,SUMPRODUCT(MAX(ROW(E$1:E2693)*(E2694=E$1:E2693)))))</f>
        <v> </v>
      </c>
      <c r="L2694" s="26"/>
    </row>
    <row r="2695" spans="1:12">
      <c r="A2695" s="20" t="s">
        <v>1216</v>
      </c>
      <c r="E2695" s="21">
        <f>IF(D2695="?OLD","!!!","")</f>
        <v/>
      </c>
      <c r="F2695" s="22" t="str">
        <f>IF(OR(E2695="",E2695="!!!"),"",IF(NOT(ISNA(VLOOKUP(E2695,E$1:E2694,1,FALSE()))),"OLD",IF(AND(E2695&lt;&gt;"",E2695&lt;&gt;"!!!"),"NEW","")))</f>
        <v> </v>
      </c>
      <c r="G2695" s="23" t="str">
        <f>IF(OR(E2695="",E2695="!!!"),"",IF(OR(J2695=0,AND(J2695=1,K2695=1),AND(J2695=1,I2695="SBJ"),AND(J2695=1,I2695=0)),"?IN_FOCUS",IF(J2695&lt;=2,"?ACTIVATED",IF(J2695&lt;&gt;"","?FAMILIAR",IF(F2695="NEW",IF(ISNA(VLOOKUP(E2695,#REF!,1,FALSE())),"?TYPE_IDENTIFIABLE","?REFERENTIAL"),"_")))))</f>
        <v> </v>
      </c>
      <c r="H2695" s="24" t="str">
        <f>IF(J2695&lt;&gt;1,"",IF(I2695="SBJ","CB","?"))</f>
        <v> </v>
      </c>
      <c r="I2695" s="25" t="str">
        <f>IF(OR(E2695="",E2695="!!!",F2695="NEW"),"",INDEX(B2694:B$2,-1+SUMPRODUCT(MAX(ROW(E2694:E$2)*(E2695=E2694:E$2)))))</f>
        <v> </v>
      </c>
      <c r="J2695" s="25" t="str">
        <f>IF(OR(E2695="",E2695="!!!",F2695="NEW"),"",COUNTBLANK(OFFSET(A$1,,,SUMPRODUCT(MAX(ROW(E$2:E2695)*(E2695=E$2:E2695)))))-COUNTBLANK(OFFSET(A$1,,,SUMPRODUCT(MAX(ROW(E$1:E2694)*(E2=E$1:E2694))))))</f>
        <v> </v>
      </c>
      <c r="K2695" s="25" t="str">
        <f>IF(OR(E2695="",E2695="!!!",F2695="NEW"),"",INDEX(J$1:J2694,SUMPRODUCT(MAX(ROW(E$1:E2694)*(E2695=E$1:E2694)))))</f>
        <v> </v>
      </c>
      <c r="L2695" s="26"/>
    </row>
    <row r="2696" spans="1:12">
      <c r="A2696" s="20"/>
    </row>
    <row r="2697" spans="1:12">
      <c r="A2697" s="20" t="s">
        <v>1552</v>
      </c>
    </row>
    <row r="2698" spans="1:12">
      <c r="A2698" s="20" t="s">
        <v>747</v>
      </c>
      <c r="E2698" s="21">
        <f>IF(D2698="?OLD","!!!","")</f>
        <v/>
      </c>
      <c r="F2698" s="22" t="str">
        <f>IF(OR(E2698="",E2698="!!!"),"",IF(NOT(ISNA(VLOOKUP(E2698,E$1:E2697,1,FALSE()))),"OLD",IF(AND(E2698&lt;&gt;"",E2698&lt;&gt;"!!!"),"NEW","")))</f>
        <v> </v>
      </c>
      <c r="G2698" s="23" t="str">
        <f>IF(OR(E2698="",E2698="!!!"),"",IF(OR(J2698=0,AND(J2698=1,K2698=1),AND(J2698=1,I2698="SBJ"),AND(J2698=1,I2698=0)),"?IN_FOCUS",IF(J2698&lt;=2,"?ACTIVATED",IF(J2698&lt;&gt;"","?FAMILIAR",IF(F2698="NEW",IF(ISNA(VLOOKUP(E2698,#REF!,1,FALSE())),"?TYPE_IDENTIFIABLE","?REFERENTIAL"),"_")))))</f>
        <v> </v>
      </c>
      <c r="H2698" s="24" t="str">
        <f>IF(J2698&lt;&gt;1,"",IF(I2698="SBJ","CB","?"))</f>
        <v> </v>
      </c>
      <c r="I2698" s="25" t="str">
        <f>IF(OR(E2698="",E2698="!!!",F2698="NEW"),"",INDEX(B2697:B$2,-1+SUMPRODUCT(MAX(ROW(E2697:E$2)*(E2698=E2697:E$2)))))</f>
        <v> </v>
      </c>
      <c r="J2698" s="25" t="str">
        <f>IF(OR(E2698="",E2698="!!!",F2698="NEW"),"",COUNTBLANK(OFFSET(A$1,,,SUMPRODUCT(MAX(ROW(E$2:E2698)*(E2698=E$2:E2698)))))-COUNTBLANK(OFFSET(A$1,,,SUMPRODUCT(MAX(ROW(E$1:E2697)*(E2=E$1:E2697))))))</f>
        <v> </v>
      </c>
      <c r="K2698" s="25" t="str">
        <f>IF(OR(E2698="",E2698="!!!",F2698="NEW"),"",INDEX(J$1:J2697,SUMPRODUCT(MAX(ROW(E$1:E2697)*(E2698=E$1:E2697)))))</f>
        <v> </v>
      </c>
      <c r="L2698" s="26"/>
    </row>
    <row r="2699" spans="1:12">
      <c r="A2699" s="20" t="s">
        <v>612</v>
      </c>
      <c r="E2699" s="21">
        <f>IF(D2699="?OLD","!!!","")</f>
        <v/>
      </c>
      <c r="F2699" s="22" t="str">
        <f>IF(OR(E2699="",E2699="!!!"),"",IF(NOT(ISNA(VLOOKUP(E2699,E$1:E2698,1,FALSE()))),"OLD",IF(AND(E2699&lt;&gt;"",E2699&lt;&gt;"!!!"),"NEW","")))</f>
        <v> </v>
      </c>
      <c r="G2699" s="23" t="str">
        <f>IF(OR(E2699="",E2699="!!!"),"",IF(OR(J2699=0,AND(J2699=1,K2699=1),AND(J2699=1,I2699="SBJ"),AND(J2699=1,I2699=0)),"?IN_FOCUS",IF(J2699&lt;=2,"?ACTIVATED",IF(J2699&lt;&gt;"","?FAMILIAR",IF(F2699="NEW",IF(ISNA(VLOOKUP(E2699,#REF!,1,FALSE())),"?TYPE_IDENTIFIABLE","?REFERENTIAL"),"_")))))</f>
        <v> </v>
      </c>
      <c r="H2699" s="24" t="str">
        <f>IF(J2699&lt;&gt;1,"",IF(I2699="SBJ","CB","?"))</f>
        <v> </v>
      </c>
      <c r="I2699" s="25" t="str">
        <f>IF(OR(E2699="",E2699="!!!",F2699="NEW"),"",INDEX(B2698:B$2,-1+SUMPRODUCT(MAX(ROW(E2698:E$2)*(E2699=E2698:E$2)))))</f>
        <v> </v>
      </c>
      <c r="J2699" s="25" t="str">
        <f>IF(OR(E2699="",E2699="!!!",F2699="NEW"),"",COUNTBLANK(OFFSET(A$1,,,SUMPRODUCT(MAX(ROW(E$2:E2699)*(E2699=E$2:E2699)))))-COUNTBLANK(OFFSET(A$1,,,SUMPRODUCT(MAX(ROW(E$1:E2698)*(E2=E$1:E2698))))))</f>
        <v> </v>
      </c>
      <c r="K2699" s="25" t="str">
        <f>IF(OR(E2699="",E2699="!!!",F2699="NEW"),"",INDEX(J$1:J2698,SUMPRODUCT(MAX(ROW(E$1:E2698)*(E2699=E$1:E2698)))))</f>
        <v> </v>
      </c>
      <c r="L2699" s="26"/>
    </row>
    <row r="2700" spans="1:12">
      <c r="A2700" s="20" t="s">
        <v>618</v>
      </c>
      <c r="E2700" s="21">
        <f>IF(D2700="?OLD","!!!","")</f>
        <v/>
      </c>
      <c r="F2700" s="22" t="str">
        <f>IF(OR(E2700="",E2700="!!!"),"",IF(NOT(ISNA(VLOOKUP(E2700,E$1:E2699,1,FALSE()))),"OLD",IF(AND(E2700&lt;&gt;"",E2700&lt;&gt;"!!!"),"NEW","")))</f>
        <v> </v>
      </c>
      <c r="G2700" s="23" t="str">
        <f>IF(OR(E2700="",E2700="!!!"),"",IF(OR(J2700=0,AND(J2700=1,K2700=1),AND(J2700=1,I2700="SBJ"),AND(J2700=1,I2700=0)),"?IN_FOCUS",IF(J2700&lt;=2,"?ACTIVATED",IF(J2700&lt;&gt;"","?FAMILIAR",IF(F2700="NEW",IF(ISNA(VLOOKUP(E2700,#REF!,1,FALSE())),"?TYPE_IDENTIFIABLE","?REFERENTIAL"),"_")))))</f>
        <v> </v>
      </c>
      <c r="H2700" s="24" t="str">
        <f>IF(J2700&lt;&gt;1,"",IF(I2700="SBJ","CB","?"))</f>
        <v> </v>
      </c>
      <c r="I2700" s="25" t="str">
        <f>IF(OR(E2700="",E2700="!!!",F2700="NEW"),"",INDEX(B2699:B$2,-1+SUMPRODUCT(MAX(ROW(E2699:E$2)*(E2700=E2699:E$2)))))</f>
        <v> </v>
      </c>
      <c r="J2700" s="25" t="str">
        <f>IF(OR(E2700="",E2700="!!!",F2700="NEW"),"",COUNTBLANK(OFFSET(A$1,,,SUMPRODUCT(MAX(ROW(E$2:E2700)*(E2700=E$2:E2700)))))-COUNTBLANK(OFFSET(A$1,,,SUMPRODUCT(MAX(ROW(E$1:E2699)*(E2=E$1:E2699))))))</f>
        <v> </v>
      </c>
      <c r="K2700" s="25" t="str">
        <f>IF(OR(E2700="",E2700="!!!",F2700="NEW"),"",INDEX(J$1:J2699,SUMPRODUCT(MAX(ROW(E$1:E2699)*(E2700=E$1:E2699)))))</f>
        <v> </v>
      </c>
      <c r="L2700" s="26"/>
    </row>
    <row r="2701" spans="1:12">
      <c r="A2701" s="20" t="s">
        <v>1276</v>
      </c>
      <c r="B2701" s="27" t="s">
        <v>636</v>
      </c>
      <c r="C2701" s="27" t="s">
        <v>607</v>
      </c>
      <c r="D2701" s="27" t="s">
        <v>608</v>
      </c>
      <c r="E2701" s="21">
        <f>IF(D2701="?OLD","!!!","")</f>
        <v/>
      </c>
      <c r="F2701" s="22" t="str">
        <f>IF(OR(E2701="",E2701="!!!"),"",IF(NOT(ISNA(VLOOKUP(E2701,E$1:E2700,1,FALSE()))),"OLD",IF(AND(E2701&lt;&gt;"",E2701&lt;&gt;"!!!"),"NEW","")))</f>
        <v> </v>
      </c>
      <c r="G2701" s="23" t="str">
        <f>IF(OR(E2701="",E2701="!!!"),"",IF(OR(J2701=0,AND(J2701=1,K2701=1),AND(J2701=1,I2701="SBJ"),AND(J2701=1,I2701=0)),"?IN_FOCUS",IF(J2701&lt;=2,"?ACTIVATED",IF(J2701&lt;&gt;"","?FAMILIAR",IF(F2701="NEW",IF(ISNA(VLOOKUP(E2701,#REF!,1,FALSE())),"?TYPE_IDENTIFIABLE","?REFERENTIAL"),"_")))))</f>
        <v> </v>
      </c>
      <c r="H2701" s="24" t="str">
        <f>IF(J2701&lt;&gt;1,"",IF(I2701="SBJ","CB","?"))</f>
        <v> </v>
      </c>
      <c r="I2701" s="25" t="str">
        <f>IF(OR(E2701="",E2701="!!!",F2701="NEW"),"",INDEX(B2700:B$2,-1+SUMPRODUCT(MAX(ROW(E2700:E$2)*(E2701=E2700:E$2)))))</f>
        <v> </v>
      </c>
      <c r="J2701" s="25" t="str">
        <f>IF(OR(E2701="",E2701="!!!",F2701="NEW"),"",COUNTBLANK(OFFSET(A$1,,,SUMPRODUCT(MAX(ROW(E$2:E2701)*(E2701=E$2:E2701)))))-COUNTBLANK(OFFSET(A$1,,,SUMPRODUCT(MAX(ROW(E$1:E2700)*(E2=E$1:E2700))))))</f>
        <v> </v>
      </c>
      <c r="K2701" s="25" t="str">
        <f>IF(OR(E2701="",E2701="!!!",F2701="NEW"),"",INDEX(J$1:J2700,SUMPRODUCT(MAX(ROW(E$1:E2700)*(E2701=E$1:E2700)))))</f>
        <v> </v>
      </c>
      <c r="L2701" s="26"/>
    </row>
    <row r="2702" spans="1:12">
      <c r="A2702" s="20" t="s">
        <v>645</v>
      </c>
      <c r="E2702" s="21">
        <f>IF(D2702="?OLD","!!!","")</f>
        <v/>
      </c>
      <c r="F2702" s="22" t="str">
        <f>IF(OR(E2702="",E2702="!!!"),"",IF(NOT(ISNA(VLOOKUP(E2702,E$1:E2701,1,FALSE()))),"OLD",IF(AND(E2702&lt;&gt;"",E2702&lt;&gt;"!!!"),"NEW","")))</f>
        <v> </v>
      </c>
      <c r="G2702" s="23" t="str">
        <f>IF(OR(E2702="",E2702="!!!"),"",IF(OR(J2702=0,AND(J2702=1,K2702=1),AND(J2702=1,I2702="SBJ"),AND(J2702=1,I2702=0)),"?IN_FOCUS",IF(J2702&lt;=2,"?ACTIVATED",IF(J2702&lt;&gt;"","?FAMILIAR",IF(F2702="NEW",IF(ISNA(VLOOKUP(E2702,#REF!,1,FALSE())),"?TYPE_IDENTIFIABLE","?REFERENTIAL"),"_")))))</f>
        <v> </v>
      </c>
      <c r="H2702" s="24" t="str">
        <f>IF(J2702&lt;&gt;1,"",IF(I2702="SBJ","CB","?"))</f>
        <v> </v>
      </c>
      <c r="I2702" s="25" t="str">
        <f>IF(OR(E2702="",E2702="!!!",F2702="NEW"),"",INDEX(B2701:B$2,-1+SUMPRODUCT(MAX(ROW(E2701:E$2)*(E2702=E2701:E$2)))))</f>
        <v> </v>
      </c>
      <c r="J2702" s="25" t="str">
        <f>IF(OR(E2702="",E2702="!!!",F2702="NEW"),"",COUNTBLANK(OFFSET(A$1,,,SUMPRODUCT(MAX(ROW(E$2:E2702)*(E2702=E$2:E2702)))))-COUNTBLANK(OFFSET(A$1,,,SUMPRODUCT(MAX(ROW(E$1:E2701)*(E2=E$1:E2701))))))</f>
        <v> </v>
      </c>
      <c r="K2702" s="25" t="str">
        <f>IF(OR(E2702="",E2702="!!!",F2702="NEW"),"",INDEX(J$1:J2701,SUMPRODUCT(MAX(ROW(E$1:E2701)*(E2702=E$1:E2701)))))</f>
        <v> </v>
      </c>
      <c r="L2702" s="26"/>
    </row>
    <row r="2703" spans="1:12">
      <c r="A2703" s="20" t="s">
        <v>663</v>
      </c>
      <c r="E2703" s="21">
        <f>IF(D2703="?OLD","!!!","")</f>
        <v/>
      </c>
      <c r="F2703" s="22" t="str">
        <f>IF(OR(E2703="",E2703="!!!"),"",IF(NOT(ISNA(VLOOKUP(E2703,E$1:E2702,1,FALSE()))),"OLD",IF(AND(E2703&lt;&gt;"",E2703&lt;&gt;"!!!"),"NEW","")))</f>
        <v> </v>
      </c>
      <c r="G2703" s="23" t="str">
        <f>IF(OR(E2703="",E2703="!!!"),"",IF(OR(J2703=0,AND(J2703=1,K2703=1),AND(J2703=1,I2703="SBJ"),AND(J2703=1,I2703=0)),"?IN_FOCUS",IF(J2703&lt;=2,"?ACTIVATED",IF(J2703&lt;&gt;"","?FAMILIAR",IF(F2703="NEW",IF(ISNA(VLOOKUP(E2703,#REF!,1,FALSE())),"?TYPE_IDENTIFIABLE","?REFERENTIAL"),"_")))))</f>
        <v> </v>
      </c>
      <c r="H2703" s="24" t="str">
        <f>IF(J2703&lt;&gt;1,"",IF(I2703="SBJ","CB","?"))</f>
        <v> </v>
      </c>
      <c r="I2703" s="25" t="str">
        <f>IF(OR(E2703="",E2703="!!!",F2703="NEW"),"",INDEX(B2702:B$2,-1+SUMPRODUCT(MAX(ROW(E2702:E$2)*(E2703=E2702:E$2)))))</f>
        <v> </v>
      </c>
      <c r="J2703" s="25" t="str">
        <f>IF(OR(E2703="",E2703="!!!",F2703="NEW"),"",COUNTBLANK(OFFSET(A$1,,,SUMPRODUCT(MAX(ROW(E$2:E2703)*(E2703=E$2:E2703)))))-COUNTBLANK(OFFSET(A$1,,,SUMPRODUCT(MAX(ROW(E$1:E2702)*(E2=E$1:E2702))))))</f>
        <v> </v>
      </c>
      <c r="K2703" s="25" t="str">
        <f>IF(OR(E2703="",E2703="!!!",F2703="NEW"),"",INDEX(J$1:J2702,SUMPRODUCT(MAX(ROW(E$1:E2702)*(E2703=E$1:E2702)))))</f>
        <v> </v>
      </c>
      <c r="L2703" s="26"/>
    </row>
    <row r="2704" spans="1:12">
      <c r="A2704" s="20" t="s">
        <v>1553</v>
      </c>
      <c r="E2704" s="21">
        <f>IF(D2704="?OLD","!!!","")</f>
        <v/>
      </c>
      <c r="F2704" s="22" t="str">
        <f>IF(OR(E2704="",E2704="!!!"),"",IF(NOT(ISNA(VLOOKUP(E2704,E$1:E2703,1,FALSE()))),"OLD",IF(AND(E2704&lt;&gt;"",E2704&lt;&gt;"!!!"),"NEW","")))</f>
        <v> </v>
      </c>
      <c r="G2704" s="23" t="str">
        <f>IF(OR(E2704="",E2704="!!!"),"",IF(OR(J2704=0,AND(J2704=1,K2704=1),AND(J2704=1,I2704="SBJ"),AND(J2704=1,I2704=0)),"?IN_FOCUS",IF(J2704&lt;=2,"?ACTIVATED",IF(J2704&lt;&gt;"","?FAMILIAR",IF(F2704="NEW",IF(ISNA(VLOOKUP(E2704,#REF!,1,FALSE())),"?TYPE_IDENTIFIABLE","?REFERENTIAL"),"_")))))</f>
        <v> </v>
      </c>
      <c r="H2704" s="24" t="str">
        <f>IF(J2704&lt;&gt;1,"",IF(I2704="SBJ","CB","?"))</f>
        <v> </v>
      </c>
      <c r="I2704" s="25" t="str">
        <f>IF(OR(E2704="",E2704="!!!",F2704="NEW"),"",INDEX(B2703:B$2,-1+SUMPRODUCT(MAX(ROW(E2703:E$2)*(E2704=E2703:E$2)))))</f>
        <v> </v>
      </c>
      <c r="J2704" s="25" t="str">
        <f>IF(OR(E2704="",E2704="!!!",F2704="NEW"),"",COUNTBLANK(OFFSET(A$1,,,SUMPRODUCT(MAX(ROW(E$2:E2704)*(E2704=E$2:E2704)))))-COUNTBLANK(OFFSET(A$1,,,SUMPRODUCT(MAX(ROW(E$1:E2703)*(E2=E$1:E2703))))))</f>
        <v> </v>
      </c>
      <c r="K2704" s="25" t="str">
        <f>IF(OR(E2704="",E2704="!!!",F2704="NEW"),"",INDEX(J$1:J2703,SUMPRODUCT(MAX(ROW(E$1:E2703)*(E2704=E$1:E2703)))))</f>
        <v> </v>
      </c>
      <c r="L2704" s="26"/>
    </row>
    <row r="2705" spans="1:12">
      <c r="A2705" s="20" t="s">
        <v>633</v>
      </c>
      <c r="E2705" s="21">
        <f>IF(D2705="?OLD","!!!","")</f>
        <v/>
      </c>
      <c r="F2705" s="22" t="str">
        <f>IF(OR(E2705="",E2705="!!!"),"",IF(NOT(ISNA(VLOOKUP(E2705,E$1:E2704,1,FALSE()))),"OLD",IF(AND(E2705&lt;&gt;"",E2705&lt;&gt;"!!!"),"NEW","")))</f>
        <v> </v>
      </c>
      <c r="G2705" s="23" t="str">
        <f>IF(OR(E2705="",E2705="!!!"),"",IF(OR(J2705=0,AND(J2705=1,K2705=1),AND(J2705=1,I2705="SBJ"),AND(J2705=1,I2705=0)),"?IN_FOCUS",IF(J2705&lt;=2,"?ACTIVATED",IF(J2705&lt;&gt;"","?FAMILIAR",IF(F2705="NEW",IF(ISNA(VLOOKUP(E2705,#REF!,1,FALSE())),"?TYPE_IDENTIFIABLE","?REFERENTIAL"),"_")))))</f>
        <v> </v>
      </c>
      <c r="H2705" s="24" t="str">
        <f>IF(J2705&lt;&gt;1,"",IF(I2705="SBJ","CB","?"))</f>
        <v> </v>
      </c>
      <c r="I2705" s="25" t="str">
        <f>IF(OR(E2705="",E2705="!!!",F2705="NEW"),"",INDEX(B2704:B$2,-1+SUMPRODUCT(MAX(ROW(E2704:E$2)*(E2705=E2704:E$2)))))</f>
        <v> </v>
      </c>
      <c r="J2705" s="25" t="str">
        <f>IF(OR(E2705="",E2705="!!!",F2705="NEW"),"",COUNTBLANK(OFFSET(A$1,,,SUMPRODUCT(MAX(ROW(E$2:E2705)*(E2705=E$2:E2705)))))-COUNTBLANK(OFFSET(A$1,,,SUMPRODUCT(MAX(ROW(E$1:E2704)*(E2=E$1:E2704))))))</f>
        <v> </v>
      </c>
      <c r="K2705" s="25" t="str">
        <f>IF(OR(E2705="",E2705="!!!",F2705="NEW"),"",INDEX(J$1:J2704,SUMPRODUCT(MAX(ROW(E$1:E2704)*(E2705=E$1:E2704)))))</f>
        <v> </v>
      </c>
      <c r="L2705" s="26"/>
    </row>
    <row r="2706" spans="1:12">
      <c r="A2706" s="20"/>
    </row>
    <row r="2707" spans="1:12">
      <c r="A2707" s="20" t="s">
        <v>1554</v>
      </c>
    </row>
    <row r="2708" spans="1:12">
      <c r="A2708" s="20" t="s">
        <v>814</v>
      </c>
      <c r="E2708" s="21">
        <f>IF(D2708="?OLD","!!!","")</f>
        <v/>
      </c>
      <c r="F2708" s="22" t="str">
        <f>IF(OR(E2708="",E2708="!!!"),"",IF(NOT(ISNA(VLOOKUP(E2708,E$1:E2707,1,FALSE()))),"OLD",IF(AND(E2708&lt;&gt;"",E2708&lt;&gt;"!!!"),"NEW","")))</f>
        <v> </v>
      </c>
      <c r="G2708" s="23" t="str">
        <f>IF(OR(E2708="",E2708="!!!"),"",IF(OR(J2708=0,AND(J2708=1,K2708=1),AND(J2708=1,I2708="SBJ"),AND(J2708=1,I2708=0)),"?IN_FOCUS",IF(J2708&lt;=2,"?ACTIVATED",IF(J2708&lt;&gt;"","?FAMILIAR",IF(F2708="NEW",IF(ISNA(VLOOKUP(E2708,#REF!,1,FALSE())),"?TYPE_IDENTIFIABLE","?REFERENTIAL"),"_")))))</f>
        <v> </v>
      </c>
      <c r="H2708" s="24" t="str">
        <f>IF(J2708&lt;&gt;1,"",IF(I2708="SBJ","CB","?"))</f>
        <v> </v>
      </c>
      <c r="I2708" s="25" t="str">
        <f>IF(OR(E2708="",E2708="!!!",F2708="NEW"),"",INDEX(B2707:B$2,-1+SUMPRODUCT(MAX(ROW(E2707:E$2)*(E2708=E2707:E$2)))))</f>
        <v> </v>
      </c>
      <c r="J2708" s="25" t="str">
        <f>IF(OR(E2708="",E2708="!!!",F2708="NEW"),"",COUNTBLANK(OFFSET(A$1,,,SUMPRODUCT(MAX(ROW(E$2:E2708)*(E2708=E$2:E2708)))))-COUNTBLANK(OFFSET(A$1,,,SUMPRODUCT(MAX(ROW(E$1:E2707)*(E2=E$1:E2707))))))</f>
        <v> </v>
      </c>
      <c r="K2708" s="25" t="str">
        <f>IF(OR(E2708="",E2708="!!!",F2708="NEW"),"",INDEX(J$1:J2707,SUMPRODUCT(MAX(ROW(E$1:E2707)*(E2708=E$1:E2707)))))</f>
        <v> </v>
      </c>
      <c r="L2708" s="26"/>
    </row>
    <row r="2709" spans="1:12">
      <c r="A2709" s="20" t="s">
        <v>690</v>
      </c>
      <c r="B2709" s="27" t="s">
        <v>636</v>
      </c>
      <c r="C2709" s="27" t="s">
        <v>614</v>
      </c>
      <c r="D2709" s="27" t="s">
        <v>608</v>
      </c>
      <c r="E2709" s="21">
        <f>IF(D2709="?OLD","!!!","")</f>
        <v/>
      </c>
      <c r="F2709" s="22" t="str">
        <f>IF(OR(E2709="",E2709="!!!"),"",IF(NOT(ISNA(VLOOKUP(E2709,E$1:E2708,1,FALSE()))),"OLD",IF(AND(E2709&lt;&gt;"",E2709&lt;&gt;"!!!"),"NEW","")))</f>
        <v> </v>
      </c>
      <c r="G2709" s="23" t="str">
        <f>IF(OR(E2709="",E2709="!!!"),"",IF(OR(J2709=0,AND(J2709=1,K2709=1),AND(J2709=1,I2709="SBJ"),AND(J2709=1,I2709=0)),"?IN_FOCUS",IF(J2709&lt;=2,"?ACTIVATED",IF(J2709&lt;&gt;"","?FAMILIAR",IF(F2709="NEW",IF(ISNA(VLOOKUP(E2709,#REF!,1,FALSE())),"?TYPE_IDENTIFIABLE","?REFERENTIAL"),"_")))))</f>
        <v> </v>
      </c>
      <c r="H2709" s="24" t="str">
        <f>IF(J2709&lt;&gt;1,"",IF(I2709="SBJ","CB","?"))</f>
        <v> </v>
      </c>
      <c r="I2709" s="25" t="str">
        <f>IF(OR(E2709="",E2709="!!!",F2709="NEW"),"",INDEX(B2708:B$2,-1+SUMPRODUCT(MAX(ROW(E2708:E$2)*(E2709=E2708:E$2)))))</f>
        <v> </v>
      </c>
      <c r="J2709" s="25" t="str">
        <f>IF(OR(E2709="",E2709="!!!",F2709="NEW"),"",COUNTBLANK(OFFSET(A$1,,,SUMPRODUCT(MAX(ROW(E$2:E2709)*(E2709=E$2:E2709)))))-COUNTBLANK(OFFSET(A$1,,,SUMPRODUCT(MAX(ROW(E$1:E2708)*(E2=E$1:E2708))))))</f>
        <v> </v>
      </c>
      <c r="K2709" s="25" t="str">
        <f>IF(OR(E2709="",E2709="!!!",F2709="NEW"),"",INDEX(J$1:J2708,SUMPRODUCT(MAX(ROW(E$1:E2708)*(E2709=E$1:E2708)))))</f>
        <v> </v>
      </c>
      <c r="L2709" s="26"/>
    </row>
    <row r="2710" spans="1:12">
      <c r="A2710" s="20" t="s">
        <v>612</v>
      </c>
      <c r="E2710" s="21">
        <f>IF(D2710="?OLD","!!!","")</f>
        <v/>
      </c>
      <c r="F2710" s="22" t="str">
        <f>IF(OR(E2710="",E2710="!!!"),"",IF(NOT(ISNA(VLOOKUP(E2710,E$1:E2709,1,FALSE()))),"OLD",IF(AND(E2710&lt;&gt;"",E2710&lt;&gt;"!!!"),"NEW","")))</f>
        <v> </v>
      </c>
      <c r="G2710" s="23" t="str">
        <f>IF(OR(E2710="",E2710="!!!"),"",IF(OR(J2710=0,AND(J2710=1,K2710=1),AND(J2710=1,I2710="SBJ"),AND(J2710=1,I2710=0)),"?IN_FOCUS",IF(J2710&lt;=2,"?ACTIVATED",IF(J2710&lt;&gt;"","?FAMILIAR",IF(F2710="NEW",IF(ISNA(VLOOKUP(E2710,#REF!,1,FALSE())),"?TYPE_IDENTIFIABLE","?REFERENTIAL"),"_")))))</f>
        <v> </v>
      </c>
      <c r="H2710" s="24" t="str">
        <f>IF(J2710&lt;&gt;1,"",IF(I2710="SBJ","CB","?"))</f>
        <v> </v>
      </c>
      <c r="I2710" s="25" t="str">
        <f>IF(OR(E2710="",E2710="!!!",F2710="NEW"),"",INDEX(B2709:B$2,-1+SUMPRODUCT(MAX(ROW(E2709:E$2)*(E2710=E2709:E$2)))))</f>
        <v> </v>
      </c>
      <c r="J2710" s="25" t="str">
        <f>IF(OR(E2710="",E2710="!!!",F2710="NEW"),"",COUNTBLANK(OFFSET(A$1,,,SUMPRODUCT(MAX(ROW(E$2:E2710)*(E2710=E$2:E2710)))))-COUNTBLANK(OFFSET(A$1,,,SUMPRODUCT(MAX(ROW(E$1:E2709)*(E2=E$1:E2709))))))</f>
        <v> </v>
      </c>
      <c r="K2710" s="25" t="str">
        <f>IF(OR(E2710="",E2710="!!!",F2710="NEW"),"",INDEX(J$1:J2709,SUMPRODUCT(MAX(ROW(E$1:E2709)*(E2710=E$1:E2709)))))</f>
        <v> </v>
      </c>
      <c r="L2710" s="26"/>
    </row>
    <row r="2711" spans="1:12">
      <c r="A2711" s="20" t="s">
        <v>831</v>
      </c>
      <c r="B2711" s="27" t="s">
        <v>606</v>
      </c>
      <c r="C2711" s="27" t="s">
        <v>652</v>
      </c>
      <c r="D2711" s="27" t="s">
        <v>608</v>
      </c>
      <c r="E2711" s="21">
        <f>IF(D2711="?OLD","!!!","")</f>
        <v/>
      </c>
      <c r="F2711" s="22" t="str">
        <f>IF(OR(E2711="",E2711="!!!"),"",IF(NOT(ISNA(VLOOKUP(E2711,E$1:E2710,1,FALSE()))),"OLD",IF(AND(E2711&lt;&gt;"",E2711&lt;&gt;"!!!"),"NEW","")))</f>
        <v> </v>
      </c>
      <c r="G2711" s="23" t="str">
        <f>IF(OR(E2711="",E2711="!!!"),"",IF(OR(J2711=0,AND(J2711=1,K2711=1),AND(J2711=1,I2711="SBJ"),AND(J2711=1,I2711=0)),"?IN_FOCUS",IF(J2711&lt;=2,"?ACTIVATED",IF(J2711&lt;&gt;"","?FAMILIAR",IF(F2711="NEW",IF(ISNA(VLOOKUP(E2711,#REF!,1,FALSE())),"?TYPE_IDENTIFIABLE","?REFERENTIAL"),"_")))))</f>
        <v> </v>
      </c>
      <c r="H2711" s="24" t="str">
        <f>IF(J2711&lt;&gt;1,"",IF(I2711="SBJ","CB","?"))</f>
        <v> </v>
      </c>
      <c r="I2711" s="25" t="str">
        <f>IF(OR(E2711="",E2711="!!!",F2711="NEW"),"",INDEX(B2710:B$2,-1+SUMPRODUCT(MAX(ROW(E2710:E$2)*(E2711=E2710:E$2)))))</f>
        <v> </v>
      </c>
      <c r="J2711" s="25" t="str">
        <f>IF(OR(E2711="",E2711="!!!",F2711="NEW"),"",COUNTBLANK(OFFSET(A$1,,,SUMPRODUCT(MAX(ROW(E$2:E2711)*(E2711=E$2:E2711)))))-COUNTBLANK(OFFSET(A$1,,,SUMPRODUCT(MAX(ROW(E$1:E2710)*(E2=E$1:E2710))))))</f>
        <v> </v>
      </c>
      <c r="K2711" s="25" t="str">
        <f>IF(OR(E2711="",E2711="!!!",F2711="NEW"),"",INDEX(J$1:J2710,SUMPRODUCT(MAX(ROW(E$1:E2710)*(E2711=E$1:E2710)))))</f>
        <v> </v>
      </c>
      <c r="L2711" s="26"/>
    </row>
    <row r="2712" spans="1:12">
      <c r="A2712" s="20" t="s">
        <v>1555</v>
      </c>
      <c r="E2712" s="21">
        <f>IF(D2712="?OLD","!!!","")</f>
        <v/>
      </c>
      <c r="F2712" s="22" t="str">
        <f>IF(OR(E2712="",E2712="!!!"),"",IF(NOT(ISNA(VLOOKUP(E2712,E$1:E2711,1,FALSE()))),"OLD",IF(AND(E2712&lt;&gt;"",E2712&lt;&gt;"!!!"),"NEW","")))</f>
        <v> </v>
      </c>
      <c r="G2712" s="23" t="str">
        <f>IF(OR(E2712="",E2712="!!!"),"",IF(OR(J2712=0,AND(J2712=1,K2712=1),AND(J2712=1,I2712="SBJ"),AND(J2712=1,I2712=0)),"?IN_FOCUS",IF(J2712&lt;=2,"?ACTIVATED",IF(J2712&lt;&gt;"","?FAMILIAR",IF(F2712="NEW",IF(ISNA(VLOOKUP(E2712,#REF!,1,FALSE())),"?TYPE_IDENTIFIABLE","?REFERENTIAL"),"_")))))</f>
        <v> </v>
      </c>
      <c r="H2712" s="24" t="str">
        <f>IF(J2712&lt;&gt;1,"",IF(I2712="SBJ","CB","?"))</f>
        <v> </v>
      </c>
      <c r="I2712" s="25" t="str">
        <f>IF(OR(E2712="",E2712="!!!",F2712="NEW"),"",INDEX(B2711:B$2,-1+SUMPRODUCT(MAX(ROW(E2711:E$2)*(E2712=E2711:E$2)))))</f>
        <v> </v>
      </c>
      <c r="J2712" s="25" t="str">
        <f>IF(OR(E2712="",E2712="!!!",F2712="NEW"),"",COUNTBLANK(OFFSET(A$1,,,SUMPRODUCT(MAX(ROW(E$2:E2712)*(E2712=E$2:E2712)))))-COUNTBLANK(OFFSET(A$1,,,SUMPRODUCT(MAX(ROW(E$1:E2711)*(E2=E$1:E2711))))))</f>
        <v> </v>
      </c>
      <c r="K2712" s="25" t="str">
        <f>IF(OR(E2712="",E2712="!!!",F2712="NEW"),"",INDEX(J$1:J2711,SUMPRODUCT(MAX(ROW(E$1:E2711)*(E2712=E$1:E2711)))))</f>
        <v> </v>
      </c>
      <c r="L2712" s="26"/>
    </row>
    <row r="2713" spans="1:12">
      <c r="A2713" s="20" t="s">
        <v>749</v>
      </c>
      <c r="B2713" s="27" t="s">
        <v>606</v>
      </c>
      <c r="C2713" s="27" t="s">
        <v>678</v>
      </c>
      <c r="E2713" s="21">
        <f>IF(D2713="?OLD","!!!","")</f>
        <v/>
      </c>
      <c r="F2713" s="22" t="str">
        <f>IF(OR(E2713="",E2713="!!!"),"",IF(NOT(ISNA(VLOOKUP(E2713,E$1:E2712,1,FALSE()))),"OLD",IF(AND(E2713&lt;&gt;"",E2713&lt;&gt;"!!!"),"NEW","")))</f>
        <v> </v>
      </c>
      <c r="G2713" s="23" t="str">
        <f>IF(OR(E2713="",E2713="!!!"),"",IF(OR(J2713=0,AND(J2713=1,K2713=1),AND(J2713=1,I2713="SBJ"),AND(J2713=1,I2713=0)),"?IN_FOCUS",IF(J2713&lt;=2,"?ACTIVATED",IF(J2713&lt;&gt;"","?FAMILIAR",IF(F2713="NEW",IF(ISNA(VLOOKUP(E2713,#REF!,1,FALSE())),"?TYPE_IDENTIFIABLE","?REFERENTIAL"),"_")))))</f>
        <v> </v>
      </c>
      <c r="H2713" s="24" t="str">
        <f>IF(J2713&lt;&gt;1,"",IF(I2713="SBJ","CB","?"))</f>
        <v> </v>
      </c>
      <c r="I2713" s="25" t="str">
        <f>IF(OR(E2713="",E2713="!!!",F2713="NEW"),"",INDEX(B2712:B$2,-1+SUMPRODUCT(MAX(ROW(E2712:E$2)*(E2713=E2712:E$2)))))</f>
        <v> </v>
      </c>
      <c r="J2713" s="25" t="str">
        <f>IF(OR(E2713="",E2713="!!!",F2713="NEW"),"",COUNTBLANK(OFFSET(A$1,,,SUMPRODUCT(MAX(ROW(E$2:E2713)*(E2713=E$2:E2713)))))-COUNTBLANK(OFFSET(A$1,,,SUMPRODUCT(MAX(ROW(E$1:E2712)*(E2=E$1:E2712))))))</f>
        <v> </v>
      </c>
      <c r="K2713" s="25" t="str">
        <f>IF(OR(E2713="",E2713="!!!",F2713="NEW"),"",INDEX(J$1:J2712,SUMPRODUCT(MAX(ROW(E$1:E2712)*(E2713=E$1:E2712)))))</f>
        <v> </v>
      </c>
      <c r="L2713" s="26"/>
    </row>
    <row r="2714" spans="1:12">
      <c r="A2714" s="20" t="s">
        <v>633</v>
      </c>
      <c r="E2714" s="21">
        <f>IF(D2714="?OLD","!!!","")</f>
        <v/>
      </c>
      <c r="F2714" s="22" t="str">
        <f>IF(OR(E2714="",E2714="!!!"),"",IF(NOT(ISNA(VLOOKUP(E2714,E$1:E2713,1,FALSE()))),"OLD",IF(AND(E2714&lt;&gt;"",E2714&lt;&gt;"!!!"),"NEW","")))</f>
        <v> </v>
      </c>
      <c r="G2714" s="23" t="str">
        <f>IF(OR(E2714="",E2714="!!!"),"",IF(OR(J2714=0,AND(J2714=1,K2714=1),AND(J2714=1,I2714="SBJ"),AND(J2714=1,I2714=0)),"?IN_FOCUS",IF(J2714&lt;=2,"?ACTIVATED",IF(J2714&lt;&gt;"","?FAMILIAR",IF(F2714="NEW",IF(ISNA(VLOOKUP(E2714,#REF!,1,FALSE())),"?TYPE_IDENTIFIABLE","?REFERENTIAL"),"_")))))</f>
        <v> </v>
      </c>
      <c r="H2714" s="24" t="str">
        <f>IF(J2714&lt;&gt;1,"",IF(I2714="SBJ","CB","?"))</f>
        <v> </v>
      </c>
      <c r="I2714" s="25" t="str">
        <f>IF(OR(E2714="",E2714="!!!",F2714="NEW"),"",INDEX(B2713:B$2,-1+SUMPRODUCT(MAX(ROW(E2713:E$2)*(E2714=E2713:E$2)))))</f>
        <v> </v>
      </c>
      <c r="J2714" s="25" t="str">
        <f>IF(OR(E2714="",E2714="!!!",F2714="NEW"),"",COUNTBLANK(OFFSET(A$1,,,SUMPRODUCT(MAX(ROW(E$2:E2714)*(E2714=E$2:E2714)))))-COUNTBLANK(OFFSET(A$1,,,SUMPRODUCT(MAX(ROW(E$1:E2713)*(E2=E$1:E2713))))))</f>
        <v> </v>
      </c>
      <c r="K2714" s="25" t="str">
        <f>IF(OR(E2714="",E2714="!!!",F2714="NEW"),"",INDEX(J$1:J2713,SUMPRODUCT(MAX(ROW(E$1:E2713)*(E2714=E$1:E2713)))))</f>
        <v> </v>
      </c>
      <c r="L2714" s="26"/>
    </row>
    <row r="2715" spans="1:12">
      <c r="A2715" s="20"/>
    </row>
    <row r="2716" spans="1:12">
      <c r="A2716" s="20" t="s">
        <v>1556</v>
      </c>
    </row>
    <row r="2717" spans="1:12">
      <c r="A2717" s="20" t="s">
        <v>675</v>
      </c>
      <c r="B2717" s="27" t="s">
        <v>636</v>
      </c>
      <c r="C2717" s="27" t="s">
        <v>652</v>
      </c>
      <c r="D2717" s="27" t="s">
        <v>608</v>
      </c>
      <c r="E2717" s="21">
        <f>IF(D2717="?OLD","!!!","")</f>
        <v/>
      </c>
      <c r="F2717" s="22" t="str">
        <f>IF(OR(E2717="",E2717="!!!"),"",IF(NOT(ISNA(VLOOKUP(E2717,E$1:E2716,1,FALSE()))),"OLD",IF(AND(E2717&lt;&gt;"",E2717&lt;&gt;"!!!"),"NEW","")))</f>
        <v> </v>
      </c>
      <c r="G2717" s="23" t="str">
        <f>IF(OR(E2717="",E2717="!!!"),"",IF(OR(J2717=0,AND(J2717=1,K2717=1),AND(J2717=1,I2717="SBJ"),AND(J2717=1,I2717=0)),"?IN_FOCUS",IF(J2717&lt;=2,"?ACTIVATED",IF(J2717&lt;&gt;"","?FAMILIAR",IF(F2717="NEW",IF(ISNA(VLOOKUP(E2717,#REF!,1,FALSE())),"?TYPE_IDENTIFIABLE","?REFERENTIAL"),"_")))))</f>
        <v> </v>
      </c>
      <c r="H2717" s="24" t="str">
        <f>IF(J2717&lt;&gt;1,"",IF(I2717="SBJ","CB","?"))</f>
        <v> </v>
      </c>
      <c r="I2717" s="25" t="str">
        <f>IF(OR(E2717="",E2717="!!!",F2717="NEW"),"",INDEX(B2716:B$2,-1+SUMPRODUCT(MAX(ROW(E2716:E$2)*(E2717=E2716:E$2)))))</f>
        <v> </v>
      </c>
      <c r="J2717" s="25" t="str">
        <f>IF(OR(E2717="",E2717="!!!",F2717="NEW"),"",COUNTBLANK(OFFSET(A$1,,,SUMPRODUCT(MAX(ROW(E$2:E2717)*(E2717=E$2:E2717)))))-COUNTBLANK(OFFSET(A$1,,,SUMPRODUCT(MAX(ROW(E$1:E2716)*(E2=E$1:E2716))))))</f>
        <v> </v>
      </c>
      <c r="K2717" s="25" t="str">
        <f>IF(OR(E2717="",E2717="!!!",F2717="NEW"),"",INDEX(J$1:J2716,SUMPRODUCT(MAX(ROW(E$1:E2716)*(E2717=E$1:E2716)))))</f>
        <v> </v>
      </c>
      <c r="L2717" s="26"/>
    </row>
    <row r="2718" spans="1:12">
      <c r="A2718" s="20" t="s">
        <v>753</v>
      </c>
      <c r="E2718" s="21">
        <f>IF(D2718="?OLD","!!!","")</f>
        <v/>
      </c>
      <c r="F2718" s="22" t="str">
        <f>IF(OR(E2718="",E2718="!!!"),"",IF(NOT(ISNA(VLOOKUP(E2718,E$1:E2717,1,FALSE()))),"OLD",IF(AND(E2718&lt;&gt;"",E2718&lt;&gt;"!!!"),"NEW","")))</f>
        <v> </v>
      </c>
      <c r="G2718" s="23" t="str">
        <f>IF(OR(E2718="",E2718="!!!"),"",IF(OR(J2718=0,AND(J2718=1,K2718=1),AND(J2718=1,I2718="SBJ"),AND(J2718=1,I2718=0)),"?IN_FOCUS",IF(J2718&lt;=2,"?ACTIVATED",IF(J2718&lt;&gt;"","?FAMILIAR",IF(F2718="NEW",IF(ISNA(VLOOKUP(E2718,#REF!,1,FALSE())),"?TYPE_IDENTIFIABLE","?REFERENTIAL"),"_")))))</f>
        <v> </v>
      </c>
      <c r="H2718" s="24" t="str">
        <f>IF(J2718&lt;&gt;1,"",IF(I2718="SBJ","CB","?"))</f>
        <v> </v>
      </c>
      <c r="I2718" s="25" t="str">
        <f>IF(OR(E2718="",E2718="!!!",F2718="NEW"),"",INDEX(B2717:B$2,-1+SUMPRODUCT(MAX(ROW(E2717:E$2)*(E2718=E2717:E$2)))))</f>
        <v> </v>
      </c>
      <c r="J2718" s="25" t="str">
        <f>IF(OR(E2718="",E2718="!!!",F2718="NEW"),"",COUNTBLANK(OFFSET(A$1,,,SUMPRODUCT(MAX(ROW(E$2:E2718)*(E2718=E$2:E2718)))))-COUNTBLANK(OFFSET(A$1,,,SUMPRODUCT(MAX(ROW(E$1:E2717)*(E2=E$1:E2717))))))</f>
        <v> </v>
      </c>
      <c r="K2718" s="25" t="str">
        <f>IF(OR(E2718="",E2718="!!!",F2718="NEW"),"",INDEX(J$1:J2717,SUMPRODUCT(MAX(ROW(E$1:E2717)*(E2718=E$1:E2717)))))</f>
        <v> </v>
      </c>
      <c r="L2718" s="26"/>
    </row>
    <row r="2719" spans="1:12">
      <c r="A2719" s="20" t="s">
        <v>1557</v>
      </c>
      <c r="E2719" s="21">
        <f>IF(D2719="?OLD","!!!","")</f>
        <v/>
      </c>
      <c r="F2719" s="22" t="str">
        <f>IF(OR(E2719="",E2719="!!!"),"",IF(NOT(ISNA(VLOOKUP(E2719,E$1:E2718,1,FALSE()))),"OLD",IF(AND(E2719&lt;&gt;"",E2719&lt;&gt;"!!!"),"NEW","")))</f>
        <v> </v>
      </c>
      <c r="G2719" s="23" t="str">
        <f>IF(OR(E2719="",E2719="!!!"),"",IF(OR(J2719=0,AND(J2719=1,K2719=1),AND(J2719=1,I2719="SBJ"),AND(J2719=1,I2719=0)),"?IN_FOCUS",IF(J2719&lt;=2,"?ACTIVATED",IF(J2719&lt;&gt;"","?FAMILIAR",IF(F2719="NEW",IF(ISNA(VLOOKUP(E2719,#REF!,1,FALSE())),"?TYPE_IDENTIFIABLE","?REFERENTIAL"),"_")))))</f>
        <v> </v>
      </c>
      <c r="H2719" s="24" t="str">
        <f>IF(J2719&lt;&gt;1,"",IF(I2719="SBJ","CB","?"))</f>
        <v> </v>
      </c>
      <c r="I2719" s="25" t="str">
        <f>IF(OR(E2719="",E2719="!!!",F2719="NEW"),"",INDEX(B2718:B$2,-1+SUMPRODUCT(MAX(ROW(E2718:E$2)*(E2719=E2718:E$2)))))</f>
        <v> </v>
      </c>
      <c r="J2719" s="25" t="str">
        <f>IF(OR(E2719="",E2719="!!!",F2719="NEW"),"",COUNTBLANK(OFFSET(A$1,,,SUMPRODUCT(MAX(ROW(E$2:E2719)*(E2719=E$2:E2719)))))-COUNTBLANK(OFFSET(A$1,,,SUMPRODUCT(MAX(ROW(E$1:E2718)*(E2=E$1:E2718))))))</f>
        <v> </v>
      </c>
      <c r="K2719" s="25" t="str">
        <f>IF(OR(E2719="",E2719="!!!",F2719="NEW"),"",INDEX(J$1:J2718,SUMPRODUCT(MAX(ROW(E$1:E2718)*(E2719=E$1:E2718)))))</f>
        <v> </v>
      </c>
      <c r="L2719" s="26"/>
    </row>
    <row r="2720" spans="1:12">
      <c r="A2720" s="20" t="s">
        <v>509</v>
      </c>
      <c r="E2720" s="21">
        <f>IF(D2720="?OLD","!!!","")</f>
        <v/>
      </c>
      <c r="F2720" s="22" t="str">
        <f>IF(OR(E2720="",E2720="!!!"),"",IF(NOT(ISNA(VLOOKUP(E2720,E$1:E2719,1,FALSE()))),"OLD",IF(AND(E2720&lt;&gt;"",E2720&lt;&gt;"!!!"),"NEW","")))</f>
        <v> </v>
      </c>
      <c r="G2720" s="23" t="str">
        <f>IF(OR(E2720="",E2720="!!!"),"",IF(OR(J2720=0,AND(J2720=1,K2720=1),AND(J2720=1,I2720="SBJ"),AND(J2720=1,I2720=0)),"?IN_FOCUS",IF(J2720&lt;=2,"?ACTIVATED",IF(J2720&lt;&gt;"","?FAMILIAR",IF(F2720="NEW",IF(ISNA(VLOOKUP(E2720,#REF!,1,FALSE())),"?TYPE_IDENTIFIABLE","?REFERENTIAL"),"_")))))</f>
        <v> </v>
      </c>
      <c r="H2720" s="24" t="str">
        <f>IF(J2720&lt;&gt;1,"",IF(I2720="SBJ","CB","?"))</f>
        <v> </v>
      </c>
      <c r="I2720" s="25" t="str">
        <f>IF(OR(E2720="",E2720="!!!",F2720="NEW"),"",INDEX(B2719:B$2,-1+SUMPRODUCT(MAX(ROW(E2719:E$2)*(E2720=E2719:E$2)))))</f>
        <v> </v>
      </c>
      <c r="J2720" s="25" t="str">
        <f>IF(OR(E2720="",E2720="!!!",F2720="NEW"),"",COUNTBLANK(OFFSET(A$1,,,SUMPRODUCT(MAX(ROW(E$2:E2720)*(E2720=E$2:E2720)))))-COUNTBLANK(OFFSET(A$1,,,SUMPRODUCT(MAX(ROW(E$1:E2719)*(E2=E$1:E2719))))))</f>
        <v> </v>
      </c>
      <c r="K2720" s="25" t="str">
        <f>IF(OR(E2720="",E2720="!!!",F2720="NEW"),"",INDEX(J$1:J2719,SUMPRODUCT(MAX(ROW(E$1:E2719)*(E2720=E$1:E2719)))))</f>
        <v> </v>
      </c>
      <c r="L2720" s="26"/>
    </row>
    <row r="2721" spans="1:12">
      <c r="A2721" s="20" t="s">
        <v>644</v>
      </c>
      <c r="E2721" s="21">
        <f>IF(D2721="?OLD","!!!","")</f>
        <v/>
      </c>
      <c r="F2721" s="22" t="str">
        <f>IF(OR(E2721="",E2721="!!!"),"",IF(NOT(ISNA(VLOOKUP(E2721,E$1:E2720,1,FALSE()))),"OLD",IF(AND(E2721&lt;&gt;"",E2721&lt;&gt;"!!!"),"NEW","")))</f>
        <v> </v>
      </c>
      <c r="G2721" s="23" t="str">
        <f>IF(OR(E2721="",E2721="!!!"),"",IF(OR(J2721=0,AND(J2721=1,K2721=1),AND(J2721=1,I2721="SBJ"),AND(J2721=1,I2721=0)),"?IN_FOCUS",IF(J2721&lt;=2,"?ACTIVATED",IF(J2721&lt;&gt;"","?FAMILIAR",IF(F2721="NEW",IF(ISNA(VLOOKUP(E2721,#REF!,1,FALSE())),"?TYPE_IDENTIFIABLE","?REFERENTIAL"),"_")))))</f>
        <v> </v>
      </c>
      <c r="H2721" s="24" t="str">
        <f>IF(J2721&lt;&gt;1,"",IF(I2721="SBJ","CB","?"))</f>
        <v> </v>
      </c>
      <c r="I2721" s="25" t="str">
        <f>IF(OR(E2721="",E2721="!!!",F2721="NEW"),"",INDEX(B2720:B$2,-1+SUMPRODUCT(MAX(ROW(E2720:E$2)*(E2721=E2720:E$2)))))</f>
        <v> </v>
      </c>
      <c r="J2721" s="25" t="str">
        <f>IF(OR(E2721="",E2721="!!!",F2721="NEW"),"",COUNTBLANK(OFFSET(A$1,,,SUMPRODUCT(MAX(ROW(E$2:E2721)*(E2721=E$2:E2721)))))-COUNTBLANK(OFFSET(A$1,,,SUMPRODUCT(MAX(ROW(E$1:E2720)*(E2=E$1:E2720))))))</f>
        <v> </v>
      </c>
      <c r="K2721" s="25" t="str">
        <f>IF(OR(E2721="",E2721="!!!",F2721="NEW"),"",INDEX(J$1:J2720,SUMPRODUCT(MAX(ROW(E$1:E2720)*(E2721=E$1:E2720)))))</f>
        <v> </v>
      </c>
      <c r="L2721" s="26"/>
    </row>
    <row r="2722" spans="1:12">
      <c r="A2722" s="20" t="s">
        <v>621</v>
      </c>
      <c r="B2722" s="27" t="s">
        <v>657</v>
      </c>
      <c r="C2722" s="27" t="s">
        <v>622</v>
      </c>
      <c r="E2722" s="21">
        <f>IF(D2722="?OLD","!!!","")</f>
        <v/>
      </c>
      <c r="F2722" s="22" t="str">
        <f>IF(OR(E2722="",E2722="!!!"),"",IF(NOT(ISNA(VLOOKUP(E2722,E$1:E2721,1,FALSE()))),"OLD",IF(AND(E2722&lt;&gt;"",E2722&lt;&gt;"!!!"),"NEW","")))</f>
        <v> </v>
      </c>
      <c r="G2722" s="23" t="str">
        <f>IF(OR(E2722="",E2722="!!!"),"",IF(OR(J2722=0,AND(J2722=1,K2722=1),AND(J2722=1,I2722="SBJ"),AND(J2722=1,I2722=0)),"?IN_FOCUS",IF(J2722&lt;=2,"?ACTIVATED",IF(J2722&lt;&gt;"","?FAMILIAR",IF(F2722="NEW",IF(ISNA(VLOOKUP(E2722,#REF!,1,FALSE())),"?TYPE_IDENTIFIABLE","?REFERENTIAL"),"_")))))</f>
        <v> </v>
      </c>
      <c r="H2722" s="24" t="str">
        <f>IF(J2722&lt;&gt;1,"",IF(I2722="SBJ","CB","?"))</f>
        <v> </v>
      </c>
      <c r="I2722" s="25" t="str">
        <f>IF(OR(E2722="",E2722="!!!",F2722="NEW"),"",INDEX(B2721:B$2,-1+SUMPRODUCT(MAX(ROW(E2721:E$2)*(E2722=E2721:E$2)))))</f>
        <v> </v>
      </c>
      <c r="J2722" s="25" t="str">
        <f>IF(OR(E2722="",E2722="!!!",F2722="NEW"),"",COUNTBLANK(OFFSET(A$1,,,SUMPRODUCT(MAX(ROW(E$2:E2722)*(E2722=E$2:E2722)))))-COUNTBLANK(OFFSET(A$1,,,SUMPRODUCT(MAX(ROW(E$1:E2721)*(E2=E$1:E2721))))))</f>
        <v> </v>
      </c>
      <c r="K2722" s="25" t="str">
        <f>IF(OR(E2722="",E2722="!!!",F2722="NEW"),"",INDEX(J$1:J2721,SUMPRODUCT(MAX(ROW(E$1:E2721)*(E2722=E$1:E2721)))))</f>
        <v> </v>
      </c>
      <c r="L2722" s="26"/>
    </row>
    <row r="2723" spans="1:12">
      <c r="A2723" s="20" t="s">
        <v>342</v>
      </c>
      <c r="E2723" s="21">
        <f>IF(D2723="?OLD","!!!","")</f>
        <v/>
      </c>
      <c r="F2723" s="22" t="str">
        <f>IF(OR(E2723="",E2723="!!!"),"",IF(NOT(ISNA(VLOOKUP(E2723,E$1:E2722,1,FALSE()))),"OLD",IF(AND(E2723&lt;&gt;"",E2723&lt;&gt;"!!!"),"NEW","")))</f>
        <v> </v>
      </c>
      <c r="G2723" s="23" t="str">
        <f>IF(OR(E2723="",E2723="!!!"),"",IF(OR(J2723=0,AND(J2723=1,K2723=1),AND(J2723=1,I2723="SBJ"),AND(J2723=1,I2723=0)),"?IN_FOCUS",IF(J2723&lt;=2,"?ACTIVATED",IF(J2723&lt;&gt;"","?FAMILIAR",IF(F2723="NEW",IF(ISNA(VLOOKUP(E2723,#REF!,1,FALSE())),"?TYPE_IDENTIFIABLE","?REFERENTIAL"),"_")))))</f>
        <v> </v>
      </c>
      <c r="H2723" s="24" t="str">
        <f>IF(J2723&lt;&gt;1,"",IF(I2723="SBJ","CB","?"))</f>
        <v> </v>
      </c>
      <c r="I2723" s="25" t="str">
        <f>IF(OR(E2723="",E2723="!!!",F2723="NEW"),"",INDEX(B2722:B$2,-1+SUMPRODUCT(MAX(ROW(E2722:E$2)*(E2723=E2722:E$2)))))</f>
        <v> </v>
      </c>
      <c r="J2723" s="25" t="str">
        <f>IF(OR(E2723="",E2723="!!!",F2723="NEW"),"",COUNTBLANK(OFFSET(A$1,,,SUMPRODUCT(MAX(ROW(E$2:E2723)*(E2723=E$2:E2723)))))-COUNTBLANK(OFFSET(A$1,,,SUMPRODUCT(MAX(ROW(E$1:E2722)*(E2=E$1:E2722))))))</f>
        <v> </v>
      </c>
      <c r="K2723" s="25" t="str">
        <f>IF(OR(E2723="",E2723="!!!",F2723="NEW"),"",INDEX(J$1:J2722,SUMPRODUCT(MAX(ROW(E$1:E2722)*(E2723=E$1:E2722)))))</f>
        <v> </v>
      </c>
      <c r="L2723" s="26"/>
    </row>
    <row r="2724" spans="1:12">
      <c r="A2724" s="20" t="s">
        <v>617</v>
      </c>
      <c r="E2724" s="21">
        <f>IF(D2724="?OLD","!!!","")</f>
        <v/>
      </c>
      <c r="F2724" s="22" t="str">
        <f>IF(OR(E2724="",E2724="!!!"),"",IF(NOT(ISNA(VLOOKUP(E2724,E$1:E2723,1,FALSE()))),"OLD",IF(AND(E2724&lt;&gt;"",E2724&lt;&gt;"!!!"),"NEW","")))</f>
        <v> </v>
      </c>
      <c r="G2724" s="23" t="str">
        <f>IF(OR(E2724="",E2724="!!!"),"",IF(OR(J2724=0,AND(J2724=1,K2724=1),AND(J2724=1,I2724="SBJ"),AND(J2724=1,I2724=0)),"?IN_FOCUS",IF(J2724&lt;=2,"?ACTIVATED",IF(J2724&lt;&gt;"","?FAMILIAR",IF(F2724="NEW",IF(ISNA(VLOOKUP(E2724,#REF!,1,FALSE())),"?TYPE_IDENTIFIABLE","?REFERENTIAL"),"_")))))</f>
        <v> </v>
      </c>
      <c r="H2724" s="24" t="str">
        <f>IF(J2724&lt;&gt;1,"",IF(I2724="SBJ","CB","?"))</f>
        <v> </v>
      </c>
      <c r="I2724" s="25" t="str">
        <f>IF(OR(E2724="",E2724="!!!",F2724="NEW"),"",INDEX(B2723:B$2,-1+SUMPRODUCT(MAX(ROW(E2723:E$2)*(E2724=E2723:E$2)))))</f>
        <v> </v>
      </c>
      <c r="J2724" s="25" t="str">
        <f>IF(OR(E2724="",E2724="!!!",F2724="NEW"),"",COUNTBLANK(OFFSET(A$1,,,SUMPRODUCT(MAX(ROW(E$2:E2724)*(E2724=E$2:E2724)))))-COUNTBLANK(OFFSET(A$1,,,SUMPRODUCT(MAX(ROW(E$1:E2723)*(E2=E$1:E2723))))))</f>
        <v> </v>
      </c>
      <c r="K2724" s="25" t="str">
        <f>IF(OR(E2724="",E2724="!!!",F2724="NEW"),"",INDEX(J$1:J2723,SUMPRODUCT(MAX(ROW(E$1:E2723)*(E2724=E$1:E2723)))))</f>
        <v> </v>
      </c>
      <c r="L2724" s="26"/>
    </row>
    <row r="2725" spans="1:12">
      <c r="A2725" s="20" t="s">
        <v>1308</v>
      </c>
      <c r="E2725" s="21">
        <f>IF(D2725="?OLD","!!!","")</f>
        <v/>
      </c>
      <c r="F2725" s="22" t="str">
        <f>IF(OR(E2725="",E2725="!!!"),"",IF(NOT(ISNA(VLOOKUP(E2725,E$1:E2724,1,FALSE()))),"OLD",IF(AND(E2725&lt;&gt;"",E2725&lt;&gt;"!!!"),"NEW","")))</f>
        <v> </v>
      </c>
      <c r="G2725" s="23" t="str">
        <f>IF(OR(E2725="",E2725="!!!"),"",IF(OR(J2725=0,AND(J2725=1,K2725=1),AND(J2725=1,I2725="SBJ"),AND(J2725=1,I2725=0)),"?IN_FOCUS",IF(J2725&lt;=2,"?ACTIVATED",IF(J2725&lt;&gt;"","?FAMILIAR",IF(F2725="NEW",IF(ISNA(VLOOKUP(E2725,#REF!,1,FALSE())),"?TYPE_IDENTIFIABLE","?REFERENTIAL"),"_")))))</f>
        <v> </v>
      </c>
      <c r="H2725" s="24" t="str">
        <f>IF(J2725&lt;&gt;1,"",IF(I2725="SBJ","CB","?"))</f>
        <v> </v>
      </c>
      <c r="I2725" s="25" t="str">
        <f>IF(OR(E2725="",E2725="!!!",F2725="NEW"),"",INDEX(B2724:B$2,-1+SUMPRODUCT(MAX(ROW(E2724:E$2)*(E2725=E2724:E$2)))))</f>
        <v> </v>
      </c>
      <c r="J2725" s="25" t="str">
        <f>IF(OR(E2725="",E2725="!!!",F2725="NEW"),"",COUNTBLANK(OFFSET(A$1,,,SUMPRODUCT(MAX(ROW(E$2:E2725)*(E2725=E$2:E2725)))))-COUNTBLANK(OFFSET(A$1,,,SUMPRODUCT(MAX(ROW(E$1:E2724)*(E2=E$1:E2724))))))</f>
        <v> </v>
      </c>
      <c r="K2725" s="25" t="str">
        <f>IF(OR(E2725="",E2725="!!!",F2725="NEW"),"",INDEX(J$1:J2724,SUMPRODUCT(MAX(ROW(E$1:E2724)*(E2725=E$1:E2724)))))</f>
        <v> </v>
      </c>
      <c r="L2725" s="26"/>
    </row>
    <row r="2726" spans="1:12">
      <c r="A2726" s="20" t="s">
        <v>1521</v>
      </c>
      <c r="B2726" s="27" t="s">
        <v>657</v>
      </c>
      <c r="C2726" s="27" t="s">
        <v>894</v>
      </c>
      <c r="E2726" s="21">
        <f>IF(D2726="?OLD","!!!","")</f>
        <v/>
      </c>
      <c r="F2726" s="22" t="str">
        <f>IF(OR(E2726="",E2726="!!!"),"",IF(NOT(ISNA(VLOOKUP(E2726,E$1:E2725,1,FALSE()))),"OLD",IF(AND(E2726&lt;&gt;"",E2726&lt;&gt;"!!!"),"NEW","")))</f>
        <v> </v>
      </c>
      <c r="G2726" s="23" t="str">
        <f>IF(OR(E2726="",E2726="!!!"),"",IF(OR(J2726=0,AND(J2726=1,K2726=1),AND(J2726=1,I2726="SBJ"),AND(J2726=1,I2726=0)),"?IN_FOCUS",IF(J2726&lt;=2,"?ACTIVATED",IF(J2726&lt;&gt;"","?FAMILIAR",IF(F2726="NEW",IF(ISNA(VLOOKUP(E2726,#REF!,1,FALSE())),"?TYPE_IDENTIFIABLE","?REFERENTIAL"),"_")))))</f>
        <v> </v>
      </c>
      <c r="H2726" s="24" t="str">
        <f>IF(J2726&lt;&gt;1,"",IF(I2726="SBJ","CB","?"))</f>
        <v> </v>
      </c>
      <c r="I2726" s="25" t="str">
        <f>IF(OR(E2726="",E2726="!!!",F2726="NEW"),"",INDEX(B2725:B$2,-1+SUMPRODUCT(MAX(ROW(E2725:E$2)*(E2726=E2725:E$2)))))</f>
        <v> </v>
      </c>
      <c r="J2726" s="25" t="str">
        <f>IF(OR(E2726="",E2726="!!!",F2726="NEW"),"",COUNTBLANK(OFFSET(A$1,,,SUMPRODUCT(MAX(ROW(E$2:E2726)*(E2726=E$2:E2726)))))-COUNTBLANK(OFFSET(A$1,,,SUMPRODUCT(MAX(ROW(E$1:E2725)*(E2=E$1:E2725))))))</f>
        <v> </v>
      </c>
      <c r="K2726" s="25" t="str">
        <f>IF(OR(E2726="",E2726="!!!",F2726="NEW"),"",INDEX(J$1:J2725,SUMPRODUCT(MAX(ROW(E$1:E2725)*(E2726=E$1:E2725)))))</f>
        <v> </v>
      </c>
      <c r="L2726" s="26"/>
    </row>
    <row r="2727" spans="1:12">
      <c r="A2727" s="20" t="s">
        <v>663</v>
      </c>
      <c r="E2727" s="21">
        <f>IF(D2727="?OLD","!!!","")</f>
        <v/>
      </c>
      <c r="F2727" s="22" t="str">
        <f>IF(OR(E2727="",E2727="!!!"),"",IF(NOT(ISNA(VLOOKUP(E2727,E$1:E2726,1,FALSE()))),"OLD",IF(AND(E2727&lt;&gt;"",E2727&lt;&gt;"!!!"),"NEW","")))</f>
        <v> </v>
      </c>
      <c r="G2727" s="23" t="str">
        <f>IF(OR(E2727="",E2727="!!!"),"",IF(OR(J2727=0,AND(J2727=1,K2727=1),AND(J2727=1,I2727="SBJ"),AND(J2727=1,I2727=0)),"?IN_FOCUS",IF(J2727&lt;=2,"?ACTIVATED",IF(J2727&lt;&gt;"","?FAMILIAR",IF(F2727="NEW",IF(ISNA(VLOOKUP(E2727,#REF!,1,FALSE())),"?TYPE_IDENTIFIABLE","?REFERENTIAL"),"_")))))</f>
        <v> </v>
      </c>
      <c r="H2727" s="24" t="str">
        <f>IF(J2727&lt;&gt;1,"",IF(I2727="SBJ","CB","?"))</f>
        <v> </v>
      </c>
      <c r="I2727" s="25" t="str">
        <f>IF(OR(E2727="",E2727="!!!",F2727="NEW"),"",INDEX(B2726:B$2,-1+SUMPRODUCT(MAX(ROW(E2726:E$2)*(E2727=E2726:E$2)))))</f>
        <v> </v>
      </c>
      <c r="J2727" s="25" t="str">
        <f>IF(OR(E2727="",E2727="!!!",F2727="NEW"),"",COUNTBLANK(OFFSET(A$1,,,SUMPRODUCT(MAX(ROW(E$2:E2727)*(E2727=E$2:E2727)))))-COUNTBLANK(OFFSET(A$1,,,SUMPRODUCT(MAX(ROW(E$1:E2726)*(E2=E$1:E2726))))))</f>
        <v> </v>
      </c>
      <c r="K2727" s="25" t="str">
        <f>IF(OR(E2727="",E2727="!!!",F2727="NEW"),"",INDEX(J$1:J2726,SUMPRODUCT(MAX(ROW(E$1:E2726)*(E2727=E$1:E2726)))))</f>
        <v> </v>
      </c>
      <c r="L2727" s="26"/>
    </row>
    <row r="2728" spans="1:12">
      <c r="A2728" s="20" t="s">
        <v>1310</v>
      </c>
      <c r="E2728" s="21">
        <f>IF(D2728="?OLD","!!!","")</f>
        <v/>
      </c>
      <c r="F2728" s="22" t="str">
        <f>IF(OR(E2728="",E2728="!!!"),"",IF(NOT(ISNA(VLOOKUP(E2728,E$1:E2727,1,FALSE()))),"OLD",IF(AND(E2728&lt;&gt;"",E2728&lt;&gt;"!!!"),"NEW","")))</f>
        <v> </v>
      </c>
      <c r="G2728" s="23" t="str">
        <f>IF(OR(E2728="",E2728="!!!"),"",IF(OR(J2728=0,AND(J2728=1,K2728=1),AND(J2728=1,I2728="SBJ"),AND(J2728=1,I2728=0)),"?IN_FOCUS",IF(J2728&lt;=2,"?ACTIVATED",IF(J2728&lt;&gt;"","?FAMILIAR",IF(F2728="NEW",IF(ISNA(VLOOKUP(E2728,#REF!,1,FALSE())),"?TYPE_IDENTIFIABLE","?REFERENTIAL"),"_")))))</f>
        <v> </v>
      </c>
      <c r="H2728" s="24" t="str">
        <f>IF(J2728&lt;&gt;1,"",IF(I2728="SBJ","CB","?"))</f>
        <v> </v>
      </c>
      <c r="I2728" s="25" t="str">
        <f>IF(OR(E2728="",E2728="!!!",F2728="NEW"),"",INDEX(B2727:B$2,-1+SUMPRODUCT(MAX(ROW(E2727:E$2)*(E2728=E2727:E$2)))))</f>
        <v> </v>
      </c>
      <c r="J2728" s="25" t="str">
        <f>IF(OR(E2728="",E2728="!!!",F2728="NEW"),"",COUNTBLANK(OFFSET(A$1,,,SUMPRODUCT(MAX(ROW(E$2:E2728)*(E2728=E$2:E2728)))))-COUNTBLANK(OFFSET(A$1,,,SUMPRODUCT(MAX(ROW(E$1:E2727)*(E2=E$1:E2727))))))</f>
        <v> </v>
      </c>
      <c r="K2728" s="25" t="str">
        <f>IF(OR(E2728="",E2728="!!!",F2728="NEW"),"",INDEX(J$1:J2727,SUMPRODUCT(MAX(ROW(E$1:E2727)*(E2728=E$1:E2727)))))</f>
        <v> </v>
      </c>
      <c r="L2728" s="26"/>
    </row>
    <row r="2729" spans="1:12">
      <c r="A2729" s="20" t="s">
        <v>633</v>
      </c>
      <c r="E2729" s="21">
        <f>IF(D2729="?OLD","!!!","")</f>
        <v/>
      </c>
      <c r="F2729" s="22" t="str">
        <f>IF(OR(E2729="",E2729="!!!"),"",IF(NOT(ISNA(VLOOKUP(E2729,E$1:E2728,1,FALSE()))),"OLD",IF(AND(E2729&lt;&gt;"",E2729&lt;&gt;"!!!"),"NEW","")))</f>
        <v> </v>
      </c>
      <c r="G2729" s="23" t="str">
        <f>IF(OR(E2729="",E2729="!!!"),"",IF(OR(J2729=0,AND(J2729=1,K2729=1),AND(J2729=1,I2729="SBJ"),AND(J2729=1,I2729=0)),"?IN_FOCUS",IF(J2729&lt;=2,"?ACTIVATED",IF(J2729&lt;&gt;"","?FAMILIAR",IF(F2729="NEW",IF(ISNA(VLOOKUP(E2729,#REF!,1,FALSE())),"?TYPE_IDENTIFIABLE","?REFERENTIAL"),"_")))))</f>
        <v> </v>
      </c>
      <c r="H2729" s="24" t="str">
        <f>IF(J2729&lt;&gt;1,"",IF(I2729="SBJ","CB","?"))</f>
        <v> </v>
      </c>
      <c r="I2729" s="25" t="str">
        <f>IF(OR(E2729="",E2729="!!!",F2729="NEW"),"",INDEX(B2728:B$2,-1+SUMPRODUCT(MAX(ROW(E2728:E$2)*(E2729=E2728:E$2)))))</f>
        <v> </v>
      </c>
      <c r="J2729" s="25" t="str">
        <f>IF(OR(E2729="",E2729="!!!",F2729="NEW"),"",COUNTBLANK(OFFSET(A$1,,,SUMPRODUCT(MAX(ROW(E$2:E2729)*(E2729=E$2:E2729)))))-COUNTBLANK(OFFSET(A$1,,,SUMPRODUCT(MAX(ROW(E$1:E2728)*(E2=E$1:E2728))))))</f>
        <v> </v>
      </c>
      <c r="K2729" s="25" t="str">
        <f>IF(OR(E2729="",E2729="!!!",F2729="NEW"),"",INDEX(J$1:J2728,SUMPRODUCT(MAX(ROW(E$1:E2728)*(E2729=E$1:E2728)))))</f>
        <v> </v>
      </c>
      <c r="L2729" s="26"/>
    </row>
    <row r="2730" spans="1:12">
      <c r="A2730" s="20"/>
    </row>
    <row r="2731" spans="1:12">
      <c r="A2731" s="20" t="s">
        <v>1558</v>
      </c>
    </row>
    <row r="2732" spans="1:12">
      <c r="A2732" s="20" t="s">
        <v>1559</v>
      </c>
      <c r="E2732" s="21">
        <f>IF(D2732="?OLD","!!!","")</f>
        <v/>
      </c>
      <c r="F2732" s="22" t="str">
        <f>IF(OR(E2732="",E2732="!!!"),"",IF(NOT(ISNA(VLOOKUP(E2732,E$1:E2731,1,FALSE()))),"OLD",IF(AND(E2732&lt;&gt;"",E2732&lt;&gt;"!!!"),"NEW","")))</f>
        <v> </v>
      </c>
      <c r="G2732" s="23" t="str">
        <f>IF(OR(E2732="",E2732="!!!"),"",IF(OR(J2732=0,AND(J2732=1,K2732=1),AND(J2732=1,I2732="SBJ"),AND(J2732=1,I2732=0)),"?IN_FOCUS",IF(J2732&lt;=2,"?ACTIVATED",IF(J2732&lt;&gt;"","?FAMILIAR",IF(F2732="NEW",IF(ISNA(VLOOKUP(E2732,#REF!,1,FALSE())),"?TYPE_IDENTIFIABLE","?REFERENTIAL"),"_")))))</f>
        <v> </v>
      </c>
      <c r="H2732" s="24" t="str">
        <f>IF(J2732&lt;&gt;1,"",IF(I2732="SBJ","CB","?"))</f>
        <v> </v>
      </c>
      <c r="I2732" s="25" t="str">
        <f>IF(OR(E2732="",E2732="!!!",F2732="NEW"),"",INDEX(B2731:B$2,-1+SUMPRODUCT(MAX(ROW(E2731:E$2)*(E2732=E2731:E$2)))))</f>
        <v> </v>
      </c>
      <c r="J2732" s="25" t="str">
        <f>IF(OR(E2732="",E2732="!!!",F2732="NEW"),"",COUNTBLANK(OFFSET(A$1,,,SUMPRODUCT(MAX(ROW(E$2:E2732)*(E2732=E$2:E2732)))))-COUNTBLANK(OFFSET(A$1,,,SUMPRODUCT(MAX(ROW(E$1:E2731)*(E2=E$1:E2731))))))</f>
        <v> </v>
      </c>
      <c r="K2732" s="25" t="str">
        <f>IF(OR(E2732="",E2732="!!!",F2732="NEW"),"",INDEX(J$1:J2731,SUMPRODUCT(MAX(ROW(E$1:E2731)*(E2732=E$1:E2731)))))</f>
        <v> </v>
      </c>
      <c r="L2732" s="26"/>
    </row>
    <row r="2733" spans="1:12">
      <c r="A2733" s="20" t="s">
        <v>690</v>
      </c>
      <c r="B2733" s="27" t="s">
        <v>636</v>
      </c>
      <c r="E2733" s="21">
        <f>IF(D2733="?OLD","!!!","")</f>
        <v/>
      </c>
      <c r="F2733" s="22" t="str">
        <f>IF(OR(E2733="",E2733="!!!"),"",IF(NOT(ISNA(VLOOKUP(E2733,E$1:E2732,1,FALSE()))),"OLD",IF(AND(E2733&lt;&gt;"",E2733&lt;&gt;"!!!"),"NEW","")))</f>
        <v> </v>
      </c>
      <c r="G2733" s="23" t="str">
        <f>IF(OR(E2733="",E2733="!!!"),"",IF(OR(J2733=0,AND(J2733=1,K2733=1),AND(J2733=1,I2733="SBJ"),AND(J2733=1,I2733=0)),"?IN_FOCUS",IF(J2733&lt;=2,"?ACTIVATED",IF(J2733&lt;&gt;"","?FAMILIAR",IF(F2733="NEW",IF(ISNA(VLOOKUP(E2733,#REF!,1,FALSE())),"?TYPE_IDENTIFIABLE","?REFERENTIAL"),"_")))))</f>
        <v> </v>
      </c>
      <c r="H2733" s="24" t="str">
        <f>IF(J2733&lt;&gt;1,"",IF(I2733="SBJ","CB","?"))</f>
        <v> </v>
      </c>
      <c r="I2733" s="25" t="str">
        <f>IF(OR(E2733="",E2733="!!!",F2733="NEW"),"",INDEX(B2732:B$2,-1+SUMPRODUCT(MAX(ROW(E2732:E$2)*(E2733=E2732:E$2)))))</f>
        <v> </v>
      </c>
      <c r="J2733" s="25" t="str">
        <f>IF(OR(E2733="",E2733="!!!",F2733="NEW"),"",COUNTBLANK(OFFSET(A$1,,,SUMPRODUCT(MAX(ROW(E$2:E2733)*(E2733=E$2:E2733)))))-COUNTBLANK(OFFSET(A$1,,,SUMPRODUCT(MAX(ROW(E$1:E2732)*(E2=E$1:E2732))))))</f>
        <v> </v>
      </c>
      <c r="K2733" s="25" t="str">
        <f>IF(OR(E2733="",E2733="!!!",F2733="NEW"),"",INDEX(J$1:J2732,SUMPRODUCT(MAX(ROW(E$1:E2732)*(E2733=E$1:E2732)))))</f>
        <v> </v>
      </c>
      <c r="L2733" s="26"/>
    </row>
    <row r="2734" spans="1:12">
      <c r="A2734" s="20" t="s">
        <v>1121</v>
      </c>
      <c r="E2734" s="21">
        <f>IF(D2734="?OLD","!!!","")</f>
        <v/>
      </c>
      <c r="F2734" s="22" t="str">
        <f>IF(OR(E2734="",E2734="!!!"),"",IF(NOT(ISNA(VLOOKUP(E2734,E$1:E2733,1,FALSE()))),"OLD",IF(AND(E2734&lt;&gt;"",E2734&lt;&gt;"!!!"),"NEW","")))</f>
        <v> </v>
      </c>
      <c r="G2734" s="23" t="str">
        <f>IF(OR(E2734="",E2734="!!!"),"",IF(OR(J2734=0,AND(J2734=1,K2734=1),AND(J2734=1,I2734="SBJ"),AND(J2734=1,I2734=0)),"?IN_FOCUS",IF(J2734&lt;=2,"?ACTIVATED",IF(J2734&lt;&gt;"","?FAMILIAR",IF(F2734="NEW",IF(ISNA(VLOOKUP(E2734,#REF!,1,FALSE())),"?TYPE_IDENTIFIABLE","?REFERENTIAL"),"_")))))</f>
        <v> </v>
      </c>
      <c r="H2734" s="24" t="str">
        <f>IF(J2734&lt;&gt;1,"",IF(I2734="SBJ","CB","?"))</f>
        <v> </v>
      </c>
      <c r="I2734" s="25" t="str">
        <f>IF(OR(E2734="",E2734="!!!",F2734="NEW"),"",INDEX(B2733:B$2,-1+SUMPRODUCT(MAX(ROW(E2733:E$2)*(E2734=E2733:E$2)))))</f>
        <v> </v>
      </c>
      <c r="J2734" s="25" t="str">
        <f>IF(OR(E2734="",E2734="!!!",F2734="NEW"),"",COUNTBLANK(OFFSET(A$1,,,SUMPRODUCT(MAX(ROW(E$2:E2734)*(E2734=E$2:E2734)))))-COUNTBLANK(OFFSET(A$1,,,SUMPRODUCT(MAX(ROW(E$1:E2733)*(E2=E$1:E2733))))))</f>
        <v> </v>
      </c>
      <c r="K2734" s="25" t="str">
        <f>IF(OR(E2734="",E2734="!!!",F2734="NEW"),"",INDEX(J$1:J2733,SUMPRODUCT(MAX(ROW(E$1:E2733)*(E2734=E$1:E2733)))))</f>
        <v> </v>
      </c>
      <c r="L2734" s="26"/>
    </row>
    <row r="2735" spans="1:12">
      <c r="A2735" s="20" t="s">
        <v>1560</v>
      </c>
      <c r="E2735" s="21">
        <f>IF(D2735="?OLD","!!!","")</f>
        <v/>
      </c>
      <c r="F2735" s="22" t="str">
        <f>IF(OR(E2735="",E2735="!!!"),"",IF(NOT(ISNA(VLOOKUP(E2735,E$1:E2734,1,FALSE()))),"OLD",IF(AND(E2735&lt;&gt;"",E2735&lt;&gt;"!!!"),"NEW","")))</f>
        <v> </v>
      </c>
      <c r="G2735" s="23" t="str">
        <f>IF(OR(E2735="",E2735="!!!"),"",IF(OR(J2735=0,AND(J2735=1,K2735=1),AND(J2735=1,I2735="SBJ"),AND(J2735=1,I2735=0)),"?IN_FOCUS",IF(J2735&lt;=2,"?ACTIVATED",IF(J2735&lt;&gt;"","?FAMILIAR",IF(F2735="NEW",IF(ISNA(VLOOKUP(E2735,#REF!,1,FALSE())),"?TYPE_IDENTIFIABLE","?REFERENTIAL"),"_")))))</f>
        <v> </v>
      </c>
      <c r="H2735" s="24" t="str">
        <f>IF(J2735&lt;&gt;1,"",IF(I2735="SBJ","CB","?"))</f>
        <v> </v>
      </c>
      <c r="I2735" s="25" t="str">
        <f>IF(OR(E2735="",E2735="!!!",F2735="NEW"),"",INDEX(B2734:B$2,-1+SUMPRODUCT(MAX(ROW(E2734:E$2)*(E2735=E2734:E$2)))))</f>
        <v> </v>
      </c>
      <c r="J2735" s="25" t="str">
        <f>IF(OR(E2735="",E2735="!!!",F2735="NEW"),"",COUNTBLANK(OFFSET(A$1,,,SUMPRODUCT(MAX(ROW(E$2:E2735)*(E2735=E$2:E2735)))))-COUNTBLANK(OFFSET(A$1,,,SUMPRODUCT(MAX(ROW(E$1:E2734)*(E2=E$1:E2734))))))</f>
        <v> </v>
      </c>
      <c r="K2735" s="25" t="str">
        <f>IF(OR(E2735="",E2735="!!!",F2735="NEW"),"",INDEX(J$1:J2734,SUMPRODUCT(MAX(ROW(E$1:E2734)*(E2735=E$1:E2734)))))</f>
        <v> </v>
      </c>
      <c r="L2735" s="26"/>
    </row>
    <row r="2736" spans="1:12">
      <c r="A2736" s="20" t="s">
        <v>756</v>
      </c>
      <c r="E2736" s="21">
        <f>IF(D2736="?OLD","!!!","")</f>
        <v/>
      </c>
      <c r="F2736" s="22" t="str">
        <f>IF(OR(E2736="",E2736="!!!"),"",IF(NOT(ISNA(VLOOKUP(E2736,E$1:E2735,1,FALSE()))),"OLD",IF(AND(E2736&lt;&gt;"",E2736&lt;&gt;"!!!"),"NEW","")))</f>
        <v> </v>
      </c>
      <c r="G2736" s="23" t="str">
        <f>IF(OR(E2736="",E2736="!!!"),"",IF(OR(J2736=0,AND(J2736=1,K2736=1),AND(J2736=1,I2736="SBJ"),AND(J2736=1,I2736=0)),"?IN_FOCUS",IF(J2736&lt;=2,"?ACTIVATED",IF(J2736&lt;&gt;"","?FAMILIAR",IF(F2736="NEW",IF(ISNA(VLOOKUP(E2736,#REF!,1,FALSE())),"?TYPE_IDENTIFIABLE","?REFERENTIAL"),"_")))))</f>
        <v> </v>
      </c>
      <c r="H2736" s="24" t="str">
        <f>IF(J2736&lt;&gt;1,"",IF(I2736="SBJ","CB","?"))</f>
        <v> </v>
      </c>
      <c r="I2736" s="25" t="str">
        <f>IF(OR(E2736="",E2736="!!!",F2736="NEW"),"",INDEX(B2735:B$2,-1+SUMPRODUCT(MAX(ROW(E2735:E$2)*(E2736=E2735:E$2)))))</f>
        <v> </v>
      </c>
      <c r="J2736" s="25" t="str">
        <f>IF(OR(E2736="",E2736="!!!",F2736="NEW"),"",COUNTBLANK(OFFSET(A$1,,,SUMPRODUCT(MAX(ROW(E$2:E2736)*(E2736=E$2:E2736)))))-COUNTBLANK(OFFSET(A$1,,,SUMPRODUCT(MAX(ROW(E$1:E2735)*(E2=E$1:E2735))))))</f>
        <v> </v>
      </c>
      <c r="K2736" s="25" t="str">
        <f>IF(OR(E2736="",E2736="!!!",F2736="NEW"),"",INDEX(J$1:J2735,SUMPRODUCT(MAX(ROW(E$1:E2735)*(E2736=E$1:E2735)))))</f>
        <v> </v>
      </c>
      <c r="L2736" s="26"/>
    </row>
    <row r="2737" spans="1:12">
      <c r="A2737" s="20" t="s">
        <v>633</v>
      </c>
      <c r="E2737" s="21">
        <f>IF(D2737="?OLD","!!!","")</f>
        <v/>
      </c>
      <c r="F2737" s="22" t="str">
        <f>IF(OR(E2737="",E2737="!!!"),"",IF(NOT(ISNA(VLOOKUP(E2737,E$1:E2736,1,FALSE()))),"OLD",IF(AND(E2737&lt;&gt;"",E2737&lt;&gt;"!!!"),"NEW","")))</f>
        <v> </v>
      </c>
      <c r="G2737" s="23" t="str">
        <f>IF(OR(E2737="",E2737="!!!"),"",IF(OR(J2737=0,AND(J2737=1,K2737=1),AND(J2737=1,I2737="SBJ"),AND(J2737=1,I2737=0)),"?IN_FOCUS",IF(J2737&lt;=2,"?ACTIVATED",IF(J2737&lt;&gt;"","?FAMILIAR",IF(F2737="NEW",IF(ISNA(VLOOKUP(E2737,#REF!,1,FALSE())),"?TYPE_IDENTIFIABLE","?REFERENTIAL"),"_")))))</f>
        <v> </v>
      </c>
      <c r="H2737" s="24" t="str">
        <f>IF(J2737&lt;&gt;1,"",IF(I2737="SBJ","CB","?"))</f>
        <v> </v>
      </c>
      <c r="I2737" s="25" t="str">
        <f>IF(OR(E2737="",E2737="!!!",F2737="NEW"),"",INDEX(B2736:B$2,-1+SUMPRODUCT(MAX(ROW(E2736:E$2)*(E2737=E2736:E$2)))))</f>
        <v> </v>
      </c>
      <c r="J2737" s="25" t="str">
        <f>IF(OR(E2737="",E2737="!!!",F2737="NEW"),"",COUNTBLANK(OFFSET(A$1,,,SUMPRODUCT(MAX(ROW(E$2:E2737)*(E2737=E$2:E2737)))))-COUNTBLANK(OFFSET(A$1,,,SUMPRODUCT(MAX(ROW(E$1:E2736)*(E2=E$1:E2736))))))</f>
        <v> </v>
      </c>
      <c r="K2737" s="25" t="str">
        <f>IF(OR(E2737="",E2737="!!!",F2737="NEW"),"",INDEX(J$1:J2736,SUMPRODUCT(MAX(ROW(E$1:E2736)*(E2737=E$1:E2736)))))</f>
        <v> </v>
      </c>
      <c r="L2737" s="26"/>
    </row>
    <row r="2738" spans="1:12">
      <c r="A2738" s="20"/>
    </row>
    <row r="2739" spans="1:12">
      <c r="A2739" s="20" t="s">
        <v>1561</v>
      </c>
    </row>
    <row r="2740" spans="1:12">
      <c r="A2740" s="20" t="s">
        <v>675</v>
      </c>
      <c r="B2740" s="27" t="s">
        <v>636</v>
      </c>
      <c r="C2740" s="27" t="s">
        <v>652</v>
      </c>
      <c r="D2740" s="27" t="s">
        <v>608</v>
      </c>
      <c r="E2740" s="21">
        <f>IF(D2740="?OLD","!!!","")</f>
        <v/>
      </c>
      <c r="F2740" s="22" t="str">
        <f>IF(OR(E2740="",E2740="!!!"),"",IF(NOT(ISNA(VLOOKUP(E2740,E$1:E2739,1,FALSE()))),"OLD",IF(AND(E2740&lt;&gt;"",E2740&lt;&gt;"!!!"),"NEW","")))</f>
        <v> </v>
      </c>
      <c r="G2740" s="23" t="str">
        <f>IF(OR(E2740="",E2740="!!!"),"",IF(OR(J2740=0,AND(J2740=1,K2740=1),AND(J2740=1,I2740="SBJ"),AND(J2740=1,I2740=0)),"?IN_FOCUS",IF(J2740&lt;=2,"?ACTIVATED",IF(J2740&lt;&gt;"","?FAMILIAR",IF(F2740="NEW",IF(ISNA(VLOOKUP(E2740,#REF!,1,FALSE())),"?TYPE_IDENTIFIABLE","?REFERENTIAL"),"_")))))</f>
        <v> </v>
      </c>
      <c r="H2740" s="24" t="str">
        <f>IF(J2740&lt;&gt;1,"",IF(I2740="SBJ","CB","?"))</f>
        <v> </v>
      </c>
      <c r="I2740" s="25" t="str">
        <f>IF(OR(E2740="",E2740="!!!",F2740="NEW"),"",INDEX(B2739:B$2,-1+SUMPRODUCT(MAX(ROW(E2739:E$2)*(E2740=E2739:E$2)))))</f>
        <v> </v>
      </c>
      <c r="J2740" s="25" t="str">
        <f>IF(OR(E2740="",E2740="!!!",F2740="NEW"),"",COUNTBLANK(OFFSET(A$1,,,SUMPRODUCT(MAX(ROW(E$2:E2740)*(E2740=E$2:E2740)))))-COUNTBLANK(OFFSET(A$1,,,SUMPRODUCT(MAX(ROW(E$1:E2739)*(E2=E$1:E2739))))))</f>
        <v> </v>
      </c>
      <c r="K2740" s="25" t="str">
        <f>IF(OR(E2740="",E2740="!!!",F2740="NEW"),"",INDEX(J$1:J2739,SUMPRODUCT(MAX(ROW(E$1:E2739)*(E2740=E$1:E2739)))))</f>
        <v> </v>
      </c>
      <c r="L2740" s="26"/>
    </row>
    <row r="2741" spans="1:12">
      <c r="A2741" s="20" t="s">
        <v>517</v>
      </c>
      <c r="E2741" s="21">
        <f>IF(D2741="?OLD","!!!","")</f>
        <v/>
      </c>
      <c r="F2741" s="22" t="str">
        <f>IF(OR(E2741="",E2741="!!!"),"",IF(NOT(ISNA(VLOOKUP(E2741,E$1:E2740,1,FALSE()))),"OLD",IF(AND(E2741&lt;&gt;"",E2741&lt;&gt;"!!!"),"NEW","")))</f>
        <v> </v>
      </c>
      <c r="G2741" s="23" t="str">
        <f>IF(OR(E2741="",E2741="!!!"),"",IF(OR(J2741=0,AND(J2741=1,K2741=1),AND(J2741=1,I2741="SBJ"),AND(J2741=1,I2741=0)),"?IN_FOCUS",IF(J2741&lt;=2,"?ACTIVATED",IF(J2741&lt;&gt;"","?FAMILIAR",IF(F2741="NEW",IF(ISNA(VLOOKUP(E2741,#REF!,1,FALSE())),"?TYPE_IDENTIFIABLE","?REFERENTIAL"),"_")))))</f>
        <v> </v>
      </c>
      <c r="H2741" s="24" t="str">
        <f>IF(J2741&lt;&gt;1,"",IF(I2741="SBJ","CB","?"))</f>
        <v> </v>
      </c>
      <c r="I2741" s="25" t="str">
        <f>IF(OR(E2741="",E2741="!!!",F2741="NEW"),"",INDEX(B2740:B$2,-1+SUMPRODUCT(MAX(ROW(E2740:E$2)*(E2741=E2740:E$2)))))</f>
        <v> </v>
      </c>
      <c r="J2741" s="25" t="str">
        <f>IF(OR(E2741="",E2741="!!!",F2741="NEW"),"",COUNTBLANK(OFFSET(A$1,,,SUMPRODUCT(MAX(ROW(E$2:E2741)*(E2741=E$2:E2741)))))-COUNTBLANK(OFFSET(A$1,,,SUMPRODUCT(MAX(ROW(E$1:E2740)*(E2=E$1:E2740))))))</f>
        <v> </v>
      </c>
      <c r="K2741" s="25" t="str">
        <f>IF(OR(E2741="",E2741="!!!",F2741="NEW"),"",INDEX(J$1:J2740,SUMPRODUCT(MAX(ROW(E$1:E2740)*(E2741=E$1:E2740)))))</f>
        <v> </v>
      </c>
      <c r="L2741" s="26"/>
    </row>
    <row r="2742" spans="1:12">
      <c r="A2742" s="20" t="s">
        <v>1562</v>
      </c>
      <c r="E2742" s="21">
        <f>IF(D2742="?OLD","!!!","")</f>
        <v/>
      </c>
      <c r="F2742" s="22" t="str">
        <f>IF(OR(E2742="",E2742="!!!"),"",IF(NOT(ISNA(VLOOKUP(E2742,E$1:E2741,1,FALSE()))),"OLD",IF(AND(E2742&lt;&gt;"",E2742&lt;&gt;"!!!"),"NEW","")))</f>
        <v> </v>
      </c>
      <c r="G2742" s="23" t="str">
        <f>IF(OR(E2742="",E2742="!!!"),"",IF(OR(J2742=0,AND(J2742=1,K2742=1),AND(J2742=1,I2742="SBJ"),AND(J2742=1,I2742=0)),"?IN_FOCUS",IF(J2742&lt;=2,"?ACTIVATED",IF(J2742&lt;&gt;"","?FAMILIAR",IF(F2742="NEW",IF(ISNA(VLOOKUP(E2742,#REF!,1,FALSE())),"?TYPE_IDENTIFIABLE","?REFERENTIAL"),"_")))))</f>
        <v> </v>
      </c>
      <c r="H2742" s="24" t="str">
        <f>IF(J2742&lt;&gt;1,"",IF(I2742="SBJ","CB","?"))</f>
        <v> </v>
      </c>
      <c r="I2742" s="25" t="str">
        <f>IF(OR(E2742="",E2742="!!!",F2742="NEW"),"",INDEX(B2741:B$2,-1+SUMPRODUCT(MAX(ROW(E2741:E$2)*(E2742=E2741:E$2)))))</f>
        <v> </v>
      </c>
      <c r="J2742" s="25" t="str">
        <f>IF(OR(E2742="",E2742="!!!",F2742="NEW"),"",COUNTBLANK(OFFSET(A$1,,,SUMPRODUCT(MAX(ROW(E$2:E2742)*(E2742=E$2:E2742)))))-COUNTBLANK(OFFSET(A$1,,,SUMPRODUCT(MAX(ROW(E$1:E2741)*(E2=E$1:E2741))))))</f>
        <v> </v>
      </c>
      <c r="K2742" s="25" t="str">
        <f>IF(OR(E2742="",E2742="!!!",F2742="NEW"),"",INDEX(J$1:J2741,SUMPRODUCT(MAX(ROW(E$1:E2741)*(E2742=E$1:E2741)))))</f>
        <v> </v>
      </c>
      <c r="L2742" s="26"/>
    </row>
    <row r="2743" spans="1:12">
      <c r="A2743" s="20" t="s">
        <v>1259</v>
      </c>
      <c r="B2743" s="27" t="s">
        <v>653</v>
      </c>
      <c r="C2743" s="27" t="s">
        <v>626</v>
      </c>
      <c r="E2743" s="21">
        <f>IF(D2743="?OLD","!!!","")</f>
        <v/>
      </c>
      <c r="F2743" s="22" t="str">
        <f>IF(OR(E2743="",E2743="!!!"),"",IF(NOT(ISNA(VLOOKUP(E2743,E$1:E2742,1,FALSE()))),"OLD",IF(AND(E2743&lt;&gt;"",E2743&lt;&gt;"!!!"),"NEW","")))</f>
        <v> </v>
      </c>
      <c r="G2743" s="23" t="str">
        <f>IF(OR(E2743="",E2743="!!!"),"",IF(OR(J2743=0,AND(J2743=1,K2743=1),AND(J2743=1,I2743="SBJ"),AND(J2743=1,I2743=0)),"?IN_FOCUS",IF(J2743&lt;=2,"?ACTIVATED",IF(J2743&lt;&gt;"","?FAMILIAR",IF(F2743="NEW",IF(ISNA(VLOOKUP(E2743,#REF!,1,FALSE())),"?TYPE_IDENTIFIABLE","?REFERENTIAL"),"_")))))</f>
        <v> </v>
      </c>
      <c r="H2743" s="24" t="str">
        <f>IF(J2743&lt;&gt;1,"",IF(I2743="SBJ","CB","?"))</f>
        <v> </v>
      </c>
      <c r="I2743" s="25" t="str">
        <f>IF(OR(E2743="",E2743="!!!",F2743="NEW"),"",INDEX(B2742:B$2,-1+SUMPRODUCT(MAX(ROW(E2742:E$2)*(E2743=E2742:E$2)))))</f>
        <v> </v>
      </c>
      <c r="J2743" s="25" t="str">
        <f>IF(OR(E2743="",E2743="!!!",F2743="NEW"),"",COUNTBLANK(OFFSET(A$1,,,SUMPRODUCT(MAX(ROW(E$2:E2743)*(E2743=E$2:E2743)))))-COUNTBLANK(OFFSET(A$1,,,SUMPRODUCT(MAX(ROW(E$1:E2742)*(E2=E$1:E2742))))))</f>
        <v> </v>
      </c>
      <c r="K2743" s="25" t="str">
        <f>IF(OR(E2743="",E2743="!!!",F2743="NEW"),"",INDEX(J$1:J2742,SUMPRODUCT(MAX(ROW(E$1:E2742)*(E2743=E$1:E2742)))))</f>
        <v> </v>
      </c>
      <c r="L2743" s="26"/>
    </row>
    <row r="2744" spans="1:12">
      <c r="A2744" s="20" t="s">
        <v>620</v>
      </c>
      <c r="E2744" s="21">
        <f>IF(D2744="?OLD","!!!","")</f>
        <v/>
      </c>
      <c r="F2744" s="22" t="str">
        <f>IF(OR(E2744="",E2744="!!!"),"",IF(NOT(ISNA(VLOOKUP(E2744,E$1:E2743,1,FALSE()))),"OLD",IF(AND(E2744&lt;&gt;"",E2744&lt;&gt;"!!!"),"NEW","")))</f>
        <v> </v>
      </c>
      <c r="G2744" s="23" t="str">
        <f>IF(OR(E2744="",E2744="!!!"),"",IF(OR(J2744=0,AND(J2744=1,K2744=1),AND(J2744=1,I2744="SBJ"),AND(J2744=1,I2744=0)),"?IN_FOCUS",IF(J2744&lt;=2,"?ACTIVATED",IF(J2744&lt;&gt;"","?FAMILIAR",IF(F2744="NEW",IF(ISNA(VLOOKUP(E2744,#REF!,1,FALSE())),"?TYPE_IDENTIFIABLE","?REFERENTIAL"),"_")))))</f>
        <v> </v>
      </c>
      <c r="H2744" s="24" t="str">
        <f>IF(J2744&lt;&gt;1,"",IF(I2744="SBJ","CB","?"))</f>
        <v> </v>
      </c>
      <c r="I2744" s="25" t="str">
        <f>IF(OR(E2744="",E2744="!!!",F2744="NEW"),"",INDEX(B2743:B$2,-1+SUMPRODUCT(MAX(ROW(E2743:E$2)*(E2744=E2743:E$2)))))</f>
        <v> </v>
      </c>
      <c r="J2744" s="25" t="str">
        <f>IF(OR(E2744="",E2744="!!!",F2744="NEW"),"",COUNTBLANK(OFFSET(A$1,,,SUMPRODUCT(MAX(ROW(E$2:E2744)*(E2744=E$2:E2744)))))-COUNTBLANK(OFFSET(A$1,,,SUMPRODUCT(MAX(ROW(E$1:E2743)*(E2=E$1:E2743))))))</f>
        <v> </v>
      </c>
      <c r="K2744" s="25" t="str">
        <f>IF(OR(E2744="",E2744="!!!",F2744="NEW"),"",INDEX(J$1:J2743,SUMPRODUCT(MAX(ROW(E$1:E2743)*(E2744=E$1:E2743)))))</f>
        <v> </v>
      </c>
      <c r="L2744" s="26"/>
    </row>
    <row r="2745" spans="1:12">
      <c r="A2745" s="20" t="s">
        <v>1563</v>
      </c>
      <c r="B2745" s="27" t="s">
        <v>653</v>
      </c>
      <c r="C2745" s="27" t="s">
        <v>622</v>
      </c>
      <c r="E2745" s="21">
        <f>IF(D2745="?OLD","!!!","")</f>
        <v/>
      </c>
      <c r="F2745" s="22" t="str">
        <f>IF(OR(E2745="",E2745="!!!"),"",IF(NOT(ISNA(VLOOKUP(E2745,E$1:E2744,1,FALSE()))),"OLD",IF(AND(E2745&lt;&gt;"",E2745&lt;&gt;"!!!"),"NEW","")))</f>
        <v> </v>
      </c>
      <c r="G2745" s="23" t="str">
        <f>IF(OR(E2745="",E2745="!!!"),"",IF(OR(J2745=0,AND(J2745=1,K2745=1),AND(J2745=1,I2745="SBJ"),AND(J2745=1,I2745=0)),"?IN_FOCUS",IF(J2745&lt;=2,"?ACTIVATED",IF(J2745&lt;&gt;"","?FAMILIAR",IF(F2745="NEW",IF(ISNA(VLOOKUP(E2745,#REF!,1,FALSE())),"?TYPE_IDENTIFIABLE","?REFERENTIAL"),"_")))))</f>
        <v> </v>
      </c>
      <c r="H2745" s="24" t="str">
        <f>IF(J2745&lt;&gt;1,"",IF(I2745="SBJ","CB","?"))</f>
        <v> </v>
      </c>
      <c r="I2745" s="25" t="str">
        <f>IF(OR(E2745="",E2745="!!!",F2745="NEW"),"",INDEX(B2744:B$2,-1+SUMPRODUCT(MAX(ROW(E2744:E$2)*(E2745=E2744:E$2)))))</f>
        <v> </v>
      </c>
      <c r="J2745" s="25" t="str">
        <f>IF(OR(E2745="",E2745="!!!",F2745="NEW"),"",COUNTBLANK(OFFSET(A$1,,,SUMPRODUCT(MAX(ROW(E$2:E2745)*(E2745=E$2:E2745)))))-COUNTBLANK(OFFSET(A$1,,,SUMPRODUCT(MAX(ROW(E$1:E2744)*(E2=E$1:E2744))))))</f>
        <v> </v>
      </c>
      <c r="K2745" s="25" t="str">
        <f>IF(OR(E2745="",E2745="!!!",F2745="NEW"),"",INDEX(J$1:J2744,SUMPRODUCT(MAX(ROW(E$1:E2744)*(E2745=E$1:E2744)))))</f>
        <v> </v>
      </c>
      <c r="L2745" s="26"/>
    </row>
    <row r="2746" spans="1:12">
      <c r="A2746" s="20" t="s">
        <v>644</v>
      </c>
      <c r="E2746" s="21">
        <f>IF(D2746="?OLD","!!!","")</f>
        <v/>
      </c>
      <c r="F2746" s="22" t="str">
        <f>IF(OR(E2746="",E2746="!!!"),"",IF(NOT(ISNA(VLOOKUP(E2746,E$1:E2745,1,FALSE()))),"OLD",IF(AND(E2746&lt;&gt;"",E2746&lt;&gt;"!!!"),"NEW","")))</f>
        <v> </v>
      </c>
      <c r="G2746" s="23" t="str">
        <f>IF(OR(E2746="",E2746="!!!"),"",IF(OR(J2746=0,AND(J2746=1,K2746=1),AND(J2746=1,I2746="SBJ"),AND(J2746=1,I2746=0)),"?IN_FOCUS",IF(J2746&lt;=2,"?ACTIVATED",IF(J2746&lt;&gt;"","?FAMILIAR",IF(F2746="NEW",IF(ISNA(VLOOKUP(E2746,#REF!,1,FALSE())),"?TYPE_IDENTIFIABLE","?REFERENTIAL"),"_")))))</f>
        <v> </v>
      </c>
      <c r="H2746" s="24" t="str">
        <f>IF(J2746&lt;&gt;1,"",IF(I2746="SBJ","CB","?"))</f>
        <v> </v>
      </c>
      <c r="I2746" s="25" t="str">
        <f>IF(OR(E2746="",E2746="!!!",F2746="NEW"),"",INDEX(B2745:B$2,-1+SUMPRODUCT(MAX(ROW(E2745:E$2)*(E2746=E2745:E$2)))))</f>
        <v> </v>
      </c>
      <c r="J2746" s="25" t="str">
        <f>IF(OR(E2746="",E2746="!!!",F2746="NEW"),"",COUNTBLANK(OFFSET(A$1,,,SUMPRODUCT(MAX(ROW(E$2:E2746)*(E2746=E$2:E2746)))))-COUNTBLANK(OFFSET(A$1,,,SUMPRODUCT(MAX(ROW(E$1:E2745)*(E2=E$1:E2745))))))</f>
        <v> </v>
      </c>
      <c r="K2746" s="25" t="str">
        <f>IF(OR(E2746="",E2746="!!!",F2746="NEW"),"",INDEX(J$1:J2745,SUMPRODUCT(MAX(ROW(E$1:E2745)*(E2746=E$1:E2745)))))</f>
        <v> </v>
      </c>
      <c r="L2746" s="26"/>
    </row>
    <row r="2747" spans="1:12">
      <c r="A2747" s="20" t="s">
        <v>1417</v>
      </c>
      <c r="B2747" s="27" t="s">
        <v>611</v>
      </c>
      <c r="C2747" s="27" t="s">
        <v>622</v>
      </c>
      <c r="E2747" s="21">
        <f>IF(D2747="?OLD","!!!","")</f>
        <v/>
      </c>
      <c r="F2747" s="22" t="str">
        <f>IF(OR(E2747="",E2747="!!!"),"",IF(NOT(ISNA(VLOOKUP(E2747,E$1:E2746,1,FALSE()))),"OLD",IF(AND(E2747&lt;&gt;"",E2747&lt;&gt;"!!!"),"NEW","")))</f>
        <v> </v>
      </c>
      <c r="G2747" s="23" t="str">
        <f>IF(OR(E2747="",E2747="!!!"),"",IF(OR(J2747=0,AND(J2747=1,K2747=1),AND(J2747=1,I2747="SBJ"),AND(J2747=1,I2747=0)),"?IN_FOCUS",IF(J2747&lt;=2,"?ACTIVATED",IF(J2747&lt;&gt;"","?FAMILIAR",IF(F2747="NEW",IF(ISNA(VLOOKUP(E2747,#REF!,1,FALSE())),"?TYPE_IDENTIFIABLE","?REFERENTIAL"),"_")))))</f>
        <v> </v>
      </c>
      <c r="H2747" s="24" t="str">
        <f>IF(J2747&lt;&gt;1,"",IF(I2747="SBJ","CB","?"))</f>
        <v> </v>
      </c>
      <c r="I2747" s="25" t="str">
        <f>IF(OR(E2747="",E2747="!!!",F2747="NEW"),"",INDEX(B2746:B$2,-1+SUMPRODUCT(MAX(ROW(E2746:E$2)*(E2747=E2746:E$2)))))</f>
        <v> </v>
      </c>
      <c r="J2747" s="25" t="str">
        <f>IF(OR(E2747="",E2747="!!!",F2747="NEW"),"",COUNTBLANK(OFFSET(A$1,,,SUMPRODUCT(MAX(ROW(E$2:E2747)*(E2747=E$2:E2747)))))-COUNTBLANK(OFFSET(A$1,,,SUMPRODUCT(MAX(ROW(E$1:E2746)*(E2=E$1:E2746))))))</f>
        <v> </v>
      </c>
      <c r="K2747" s="25" t="str">
        <f>IF(OR(E2747="",E2747="!!!",F2747="NEW"),"",INDEX(J$1:J2746,SUMPRODUCT(MAX(ROW(E$1:E2746)*(E2747=E$1:E2746)))))</f>
        <v> </v>
      </c>
      <c r="L2747" s="26"/>
    </row>
    <row r="2748" spans="1:12">
      <c r="A2748" s="20" t="s">
        <v>707</v>
      </c>
      <c r="E2748" s="21">
        <f>IF(D2748="?OLD","!!!","")</f>
        <v/>
      </c>
      <c r="F2748" s="22" t="str">
        <f>IF(OR(E2748="",E2748="!!!"),"",IF(NOT(ISNA(VLOOKUP(E2748,E$1:E2747,1,FALSE()))),"OLD",IF(AND(E2748&lt;&gt;"",E2748&lt;&gt;"!!!"),"NEW","")))</f>
        <v> </v>
      </c>
      <c r="G2748" s="23" t="str">
        <f>IF(OR(E2748="",E2748="!!!"),"",IF(OR(J2748=0,AND(J2748=1,K2748=1),AND(J2748=1,I2748="SBJ"),AND(J2748=1,I2748=0)),"?IN_FOCUS",IF(J2748&lt;=2,"?ACTIVATED",IF(J2748&lt;&gt;"","?FAMILIAR",IF(F2748="NEW",IF(ISNA(VLOOKUP(E2748,#REF!,1,FALSE())),"?TYPE_IDENTIFIABLE","?REFERENTIAL"),"_")))))</f>
        <v> </v>
      </c>
      <c r="H2748" s="24" t="str">
        <f>IF(J2748&lt;&gt;1,"",IF(I2748="SBJ","CB","?"))</f>
        <v> </v>
      </c>
      <c r="I2748" s="25" t="str">
        <f>IF(OR(E2748="",E2748="!!!",F2748="NEW"),"",INDEX(B2747:B$2,-1+SUMPRODUCT(MAX(ROW(E2747:E$2)*(E2748=E2747:E$2)))))</f>
        <v> </v>
      </c>
      <c r="J2748" s="25" t="str">
        <f>IF(OR(E2748="",E2748="!!!",F2748="NEW"),"",COUNTBLANK(OFFSET(A$1,,,SUMPRODUCT(MAX(ROW(E$2:E2748)*(E2748=E$2:E2748)))))-COUNTBLANK(OFFSET(A$1,,,SUMPRODUCT(MAX(ROW(E$1:E2747)*(E2=E$1:E2747))))))</f>
        <v> </v>
      </c>
      <c r="K2748" s="25" t="str">
        <f>IF(OR(E2748="",E2748="!!!",F2748="NEW"),"",INDEX(J$1:J2747,SUMPRODUCT(MAX(ROW(E$1:E2747)*(E2748=E$1:E2747)))))</f>
        <v> </v>
      </c>
      <c r="L2748" s="26"/>
    </row>
    <row r="2749" spans="1:12">
      <c r="A2749" s="20" t="s">
        <v>1564</v>
      </c>
      <c r="B2749" s="27" t="s">
        <v>606</v>
      </c>
      <c r="C2749" s="27" t="s">
        <v>622</v>
      </c>
      <c r="E2749" s="21">
        <f>IF(D2749="?OLD","!!!","")</f>
        <v/>
      </c>
      <c r="F2749" s="22" t="str">
        <f>IF(OR(E2749="",E2749="!!!"),"",IF(NOT(ISNA(VLOOKUP(E2749,E$1:E2748,1,FALSE()))),"OLD",IF(AND(E2749&lt;&gt;"",E2749&lt;&gt;"!!!"),"NEW","")))</f>
        <v> </v>
      </c>
      <c r="G2749" s="23" t="str">
        <f>IF(OR(E2749="",E2749="!!!"),"",IF(OR(J2749=0,AND(J2749=1,K2749=1),AND(J2749=1,I2749="SBJ"),AND(J2749=1,I2749=0)),"?IN_FOCUS",IF(J2749&lt;=2,"?ACTIVATED",IF(J2749&lt;&gt;"","?FAMILIAR",IF(F2749="NEW",IF(ISNA(VLOOKUP(E2749,#REF!,1,FALSE())),"?TYPE_IDENTIFIABLE","?REFERENTIAL"),"_")))))</f>
        <v> </v>
      </c>
      <c r="H2749" s="24" t="str">
        <f>IF(J2749&lt;&gt;1,"",IF(I2749="SBJ","CB","?"))</f>
        <v> </v>
      </c>
      <c r="I2749" s="25" t="str">
        <f>IF(OR(E2749="",E2749="!!!",F2749="NEW"),"",INDEX(B2748:B$2,-1+SUMPRODUCT(MAX(ROW(E2748:E$2)*(E2749=E2748:E$2)))))</f>
        <v> </v>
      </c>
      <c r="J2749" s="25" t="str">
        <f>IF(OR(E2749="",E2749="!!!",F2749="NEW"),"",COUNTBLANK(OFFSET(A$1,,,SUMPRODUCT(MAX(ROW(E$2:E2749)*(E2749=E$2:E2749)))))-COUNTBLANK(OFFSET(A$1,,,SUMPRODUCT(MAX(ROW(E$1:E2748)*(E2=E$1:E2748))))))</f>
        <v> </v>
      </c>
      <c r="K2749" s="25" t="str">
        <f>IF(OR(E2749="",E2749="!!!",F2749="NEW"),"",INDEX(J$1:J2748,SUMPRODUCT(MAX(ROW(E$1:E2748)*(E2749=E$1:E2748)))))</f>
        <v> </v>
      </c>
      <c r="L2749" s="26"/>
    </row>
    <row r="2750" spans="1:12">
      <c r="A2750" s="20" t="s">
        <v>617</v>
      </c>
      <c r="E2750" s="21">
        <f>IF(D2750="?OLD","!!!","")</f>
        <v/>
      </c>
      <c r="F2750" s="22" t="str">
        <f>IF(OR(E2750="",E2750="!!!"),"",IF(NOT(ISNA(VLOOKUP(E2750,E$1:E2749,1,FALSE()))),"OLD",IF(AND(E2750&lt;&gt;"",E2750&lt;&gt;"!!!"),"NEW","")))</f>
        <v> </v>
      </c>
      <c r="G2750" s="23" t="str">
        <f>IF(OR(E2750="",E2750="!!!"),"",IF(OR(J2750=0,AND(J2750=1,K2750=1),AND(J2750=1,I2750="SBJ"),AND(J2750=1,I2750=0)),"?IN_FOCUS",IF(J2750&lt;=2,"?ACTIVATED",IF(J2750&lt;&gt;"","?FAMILIAR",IF(F2750="NEW",IF(ISNA(VLOOKUP(E2750,#REF!,1,FALSE())),"?TYPE_IDENTIFIABLE","?REFERENTIAL"),"_")))))</f>
        <v> </v>
      </c>
      <c r="H2750" s="24" t="str">
        <f>IF(J2750&lt;&gt;1,"",IF(I2750="SBJ","CB","?"))</f>
        <v> </v>
      </c>
      <c r="I2750" s="25" t="str">
        <f>IF(OR(E2750="",E2750="!!!",F2750="NEW"),"",INDEX(B2749:B$2,-1+SUMPRODUCT(MAX(ROW(E2749:E$2)*(E2750=E2749:E$2)))))</f>
        <v> </v>
      </c>
      <c r="J2750" s="25" t="str">
        <f>IF(OR(E2750="",E2750="!!!",F2750="NEW"),"",COUNTBLANK(OFFSET(A$1,,,SUMPRODUCT(MAX(ROW(E$2:E2750)*(E2750=E$2:E2750)))))-COUNTBLANK(OFFSET(A$1,,,SUMPRODUCT(MAX(ROW(E$1:E2749)*(E2=E$1:E2749))))))</f>
        <v> </v>
      </c>
      <c r="K2750" s="25" t="str">
        <f>IF(OR(E2750="",E2750="!!!",F2750="NEW"),"",INDEX(J$1:J2749,SUMPRODUCT(MAX(ROW(E$1:E2749)*(E2750=E$1:E2749)))))</f>
        <v> </v>
      </c>
      <c r="L2750" s="26"/>
    </row>
    <row r="2751" spans="1:12">
      <c r="A2751" s="20" t="s">
        <v>1565</v>
      </c>
      <c r="B2751" s="27" t="s">
        <v>611</v>
      </c>
      <c r="C2751" s="27" t="s">
        <v>622</v>
      </c>
      <c r="E2751" s="21">
        <f>IF(D2751="?OLD","!!!","")</f>
        <v/>
      </c>
      <c r="F2751" s="22" t="str">
        <f>IF(OR(E2751="",E2751="!!!"),"",IF(NOT(ISNA(VLOOKUP(E2751,E$1:E2750,1,FALSE()))),"OLD",IF(AND(E2751&lt;&gt;"",E2751&lt;&gt;"!!!"),"NEW","")))</f>
        <v> </v>
      </c>
      <c r="G2751" s="23" t="str">
        <f>IF(OR(E2751="",E2751="!!!"),"",IF(OR(J2751=0,AND(J2751=1,K2751=1),AND(J2751=1,I2751="SBJ"),AND(J2751=1,I2751=0)),"?IN_FOCUS",IF(J2751&lt;=2,"?ACTIVATED",IF(J2751&lt;&gt;"","?FAMILIAR",IF(F2751="NEW",IF(ISNA(VLOOKUP(E2751,#REF!,1,FALSE())),"?TYPE_IDENTIFIABLE","?REFERENTIAL"),"_")))))</f>
        <v> </v>
      </c>
      <c r="H2751" s="24" t="str">
        <f>IF(J2751&lt;&gt;1,"",IF(I2751="SBJ","CB","?"))</f>
        <v> </v>
      </c>
      <c r="I2751" s="25" t="str">
        <f>IF(OR(E2751="",E2751="!!!",F2751="NEW"),"",INDEX(B2750:B$2,-1+SUMPRODUCT(MAX(ROW(E2750:E$2)*(E2751=E2750:E$2)))))</f>
        <v> </v>
      </c>
      <c r="J2751" s="25" t="str">
        <f>IF(OR(E2751="",E2751="!!!",F2751="NEW"),"",COUNTBLANK(OFFSET(A$1,,,SUMPRODUCT(MAX(ROW(E$2:E2751)*(E2751=E$2:E2751)))))-COUNTBLANK(OFFSET(A$1,,,SUMPRODUCT(MAX(ROW(E$1:E2750)*(E2=E$1:E2750))))))</f>
        <v> </v>
      </c>
      <c r="K2751" s="25" t="str">
        <f>IF(OR(E2751="",E2751="!!!",F2751="NEW"),"",INDEX(J$1:J2750,SUMPRODUCT(MAX(ROW(E$1:E2750)*(E2751=E$1:E2750)))))</f>
        <v> </v>
      </c>
      <c r="L2751" s="26"/>
    </row>
    <row r="2752" spans="1:12">
      <c r="A2752" s="20" t="s">
        <v>617</v>
      </c>
      <c r="E2752" s="21">
        <f>IF(D2752="?OLD","!!!","")</f>
        <v/>
      </c>
      <c r="F2752" s="22" t="str">
        <f>IF(OR(E2752="",E2752="!!!"),"",IF(NOT(ISNA(VLOOKUP(E2752,E$1:E2751,1,FALSE()))),"OLD",IF(AND(E2752&lt;&gt;"",E2752&lt;&gt;"!!!"),"NEW","")))</f>
        <v> </v>
      </c>
      <c r="G2752" s="23" t="str">
        <f>IF(OR(E2752="",E2752="!!!"),"",IF(OR(J2752=0,AND(J2752=1,K2752=1),AND(J2752=1,I2752="SBJ"),AND(J2752=1,I2752=0)),"?IN_FOCUS",IF(J2752&lt;=2,"?ACTIVATED",IF(J2752&lt;&gt;"","?FAMILIAR",IF(F2752="NEW",IF(ISNA(VLOOKUP(E2752,#REF!,1,FALSE())),"?TYPE_IDENTIFIABLE","?REFERENTIAL"),"_")))))</f>
        <v> </v>
      </c>
      <c r="H2752" s="24" t="str">
        <f>IF(J2752&lt;&gt;1,"",IF(I2752="SBJ","CB","?"))</f>
        <v> </v>
      </c>
      <c r="I2752" s="25" t="str">
        <f>IF(OR(E2752="",E2752="!!!",F2752="NEW"),"",INDEX(B2751:B$2,-1+SUMPRODUCT(MAX(ROW(E2751:E$2)*(E2752=E2751:E$2)))))</f>
        <v> </v>
      </c>
      <c r="J2752" s="25" t="str">
        <f>IF(OR(E2752="",E2752="!!!",F2752="NEW"),"",COUNTBLANK(OFFSET(A$1,,,SUMPRODUCT(MAX(ROW(E$2:E2752)*(E2752=E$2:E2752)))))-COUNTBLANK(OFFSET(A$1,,,SUMPRODUCT(MAX(ROW(E$1:E2751)*(E2=E$1:E2751))))))</f>
        <v> </v>
      </c>
      <c r="K2752" s="25" t="str">
        <f>IF(OR(E2752="",E2752="!!!",F2752="NEW"),"",INDEX(J$1:J2751,SUMPRODUCT(MAX(ROW(E$1:E2751)*(E2752=E$1:E2751)))))</f>
        <v> </v>
      </c>
      <c r="L2752" s="26"/>
    </row>
    <row r="2753" spans="1:12">
      <c r="A2753" s="20" t="s">
        <v>1566</v>
      </c>
      <c r="B2753" s="27" t="s">
        <v>611</v>
      </c>
      <c r="C2753" s="27" t="s">
        <v>622</v>
      </c>
      <c r="E2753" s="21">
        <f>IF(D2753="?OLD","!!!","")</f>
        <v/>
      </c>
      <c r="F2753" s="22" t="str">
        <f>IF(OR(E2753="",E2753="!!!"),"",IF(NOT(ISNA(VLOOKUP(E2753,E$1:E2752,1,FALSE()))),"OLD",IF(AND(E2753&lt;&gt;"",E2753&lt;&gt;"!!!"),"NEW","")))</f>
        <v> </v>
      </c>
      <c r="G2753" s="23" t="str">
        <f>IF(OR(E2753="",E2753="!!!"),"",IF(OR(J2753=0,AND(J2753=1,K2753=1),AND(J2753=1,I2753="SBJ"),AND(J2753=1,I2753=0)),"?IN_FOCUS",IF(J2753&lt;=2,"?ACTIVATED",IF(J2753&lt;&gt;"","?FAMILIAR",IF(F2753="NEW",IF(ISNA(VLOOKUP(E2753,#REF!,1,FALSE())),"?TYPE_IDENTIFIABLE","?REFERENTIAL"),"_")))))</f>
        <v> </v>
      </c>
      <c r="H2753" s="24" t="str">
        <f>IF(J2753&lt;&gt;1,"",IF(I2753="SBJ","CB","?"))</f>
        <v> </v>
      </c>
      <c r="I2753" s="25" t="str">
        <f>IF(OR(E2753="",E2753="!!!",F2753="NEW"),"",INDEX(B2752:B$2,-1+SUMPRODUCT(MAX(ROW(E2752:E$2)*(E2753=E2752:E$2)))))</f>
        <v> </v>
      </c>
      <c r="J2753" s="25" t="str">
        <f>IF(OR(E2753="",E2753="!!!",F2753="NEW"),"",COUNTBLANK(OFFSET(A$1,,,SUMPRODUCT(MAX(ROW(E$2:E2753)*(E2753=E$2:E2753)))))-COUNTBLANK(OFFSET(A$1,,,SUMPRODUCT(MAX(ROW(E$1:E2752)*(E2=E$1:E2752))))))</f>
        <v> </v>
      </c>
      <c r="K2753" s="25" t="str">
        <f>IF(OR(E2753="",E2753="!!!",F2753="NEW"),"",INDEX(J$1:J2752,SUMPRODUCT(MAX(ROW(E$1:E2752)*(E2753=E$1:E2752)))))</f>
        <v> </v>
      </c>
      <c r="L2753" s="26"/>
    </row>
    <row r="2754" spans="1:12">
      <c r="A2754" s="20" t="s">
        <v>617</v>
      </c>
      <c r="E2754" s="21">
        <f>IF(D2754="?OLD","!!!","")</f>
        <v/>
      </c>
      <c r="F2754" s="22" t="str">
        <f>IF(OR(E2754="",E2754="!!!"),"",IF(NOT(ISNA(VLOOKUP(E2754,E$1:E2753,1,FALSE()))),"OLD",IF(AND(E2754&lt;&gt;"",E2754&lt;&gt;"!!!"),"NEW","")))</f>
        <v> </v>
      </c>
      <c r="G2754" s="23" t="str">
        <f>IF(OR(E2754="",E2754="!!!"),"",IF(OR(J2754=0,AND(J2754=1,K2754=1),AND(J2754=1,I2754="SBJ"),AND(J2754=1,I2754=0)),"?IN_FOCUS",IF(J2754&lt;=2,"?ACTIVATED",IF(J2754&lt;&gt;"","?FAMILIAR",IF(F2754="NEW",IF(ISNA(VLOOKUP(E2754,#REF!,1,FALSE())),"?TYPE_IDENTIFIABLE","?REFERENTIAL"),"_")))))</f>
        <v> </v>
      </c>
      <c r="H2754" s="24" t="str">
        <f>IF(J2754&lt;&gt;1,"",IF(I2754="SBJ","CB","?"))</f>
        <v> </v>
      </c>
      <c r="I2754" s="25" t="str">
        <f>IF(OR(E2754="",E2754="!!!",F2754="NEW"),"",INDEX(B2753:B$2,-1+SUMPRODUCT(MAX(ROW(E2753:E$2)*(E2754=E2753:E$2)))))</f>
        <v> </v>
      </c>
      <c r="J2754" s="25" t="str">
        <f>IF(OR(E2754="",E2754="!!!",F2754="NEW"),"",COUNTBLANK(OFFSET(A$1,,,SUMPRODUCT(MAX(ROW(E$2:E2754)*(E2754=E$2:E2754)))))-COUNTBLANK(OFFSET(A$1,,,SUMPRODUCT(MAX(ROW(E$1:E2753)*(E2=E$1:E2753))))))</f>
        <v> </v>
      </c>
      <c r="K2754" s="25" t="str">
        <f>IF(OR(E2754="",E2754="!!!",F2754="NEW"),"",INDEX(J$1:J2753,SUMPRODUCT(MAX(ROW(E$1:E2753)*(E2754=E$1:E2753)))))</f>
        <v> </v>
      </c>
      <c r="L2754" s="26"/>
    </row>
    <row r="2755" spans="1:12">
      <c r="A2755" s="20" t="s">
        <v>1567</v>
      </c>
      <c r="B2755" s="27" t="s">
        <v>611</v>
      </c>
      <c r="C2755" s="27" t="s">
        <v>622</v>
      </c>
      <c r="E2755" s="21">
        <f>IF(D2755="?OLD","!!!","")</f>
        <v/>
      </c>
      <c r="F2755" s="22" t="str">
        <f>IF(OR(E2755="",E2755="!!!"),"",IF(NOT(ISNA(VLOOKUP(E2755,E$1:E2754,1,FALSE()))),"OLD",IF(AND(E2755&lt;&gt;"",E2755&lt;&gt;"!!!"),"NEW","")))</f>
        <v> </v>
      </c>
      <c r="G2755" s="23" t="str">
        <f>IF(OR(E2755="",E2755="!!!"),"",IF(OR(J2755=0,AND(J2755=1,K2755=1),AND(J2755=1,I2755="SBJ"),AND(J2755=1,I2755=0)),"?IN_FOCUS",IF(J2755&lt;=2,"?ACTIVATED",IF(J2755&lt;&gt;"","?FAMILIAR",IF(F2755="NEW",IF(ISNA(VLOOKUP(E2755,#REF!,1,FALSE())),"?TYPE_IDENTIFIABLE","?REFERENTIAL"),"_")))))</f>
        <v> </v>
      </c>
      <c r="H2755" s="24" t="str">
        <f>IF(J2755&lt;&gt;1,"",IF(I2755="SBJ","CB","?"))</f>
        <v> </v>
      </c>
      <c r="I2755" s="25" t="str">
        <f>IF(OR(E2755="",E2755="!!!",F2755="NEW"),"",INDEX(B2754:B$2,-1+SUMPRODUCT(MAX(ROW(E2754:E$2)*(E2755=E2754:E$2)))))</f>
        <v> </v>
      </c>
      <c r="J2755" s="25" t="str">
        <f>IF(OR(E2755="",E2755="!!!",F2755="NEW"),"",COUNTBLANK(OFFSET(A$1,,,SUMPRODUCT(MAX(ROW(E$2:E2755)*(E2755=E$2:E2755)))))-COUNTBLANK(OFFSET(A$1,,,SUMPRODUCT(MAX(ROW(E$1:E2754)*(E2=E$1:E2754))))))</f>
        <v> </v>
      </c>
      <c r="K2755" s="25" t="str">
        <f>IF(OR(E2755="",E2755="!!!",F2755="NEW"),"",INDEX(J$1:J2754,SUMPRODUCT(MAX(ROW(E$1:E2754)*(E2755=E$1:E2754)))))</f>
        <v> </v>
      </c>
      <c r="L2755" s="26"/>
    </row>
    <row r="2756" spans="1:12">
      <c r="A2756" s="20" t="s">
        <v>617</v>
      </c>
      <c r="E2756" s="21">
        <f>IF(D2756="?OLD","!!!","")</f>
        <v/>
      </c>
      <c r="F2756" s="22" t="str">
        <f>IF(OR(E2756="",E2756="!!!"),"",IF(NOT(ISNA(VLOOKUP(E2756,E$1:E2755,1,FALSE()))),"OLD",IF(AND(E2756&lt;&gt;"",E2756&lt;&gt;"!!!"),"NEW","")))</f>
        <v> </v>
      </c>
      <c r="G2756" s="23" t="str">
        <f>IF(OR(E2756="",E2756="!!!"),"",IF(OR(J2756=0,AND(J2756=1,K2756=1),AND(J2756=1,I2756="SBJ"),AND(J2756=1,I2756=0)),"?IN_FOCUS",IF(J2756&lt;=2,"?ACTIVATED",IF(J2756&lt;&gt;"","?FAMILIAR",IF(F2756="NEW",IF(ISNA(VLOOKUP(E2756,#REF!,1,FALSE())),"?TYPE_IDENTIFIABLE","?REFERENTIAL"),"_")))))</f>
        <v> </v>
      </c>
      <c r="H2756" s="24" t="str">
        <f>IF(J2756&lt;&gt;1,"",IF(I2756="SBJ","CB","?"))</f>
        <v> </v>
      </c>
      <c r="I2756" s="25" t="str">
        <f>IF(OR(E2756="",E2756="!!!",F2756="NEW"),"",INDEX(B2755:B$2,-1+SUMPRODUCT(MAX(ROW(E2755:E$2)*(E2756=E2755:E$2)))))</f>
        <v> </v>
      </c>
      <c r="J2756" s="25" t="str">
        <f>IF(OR(E2756="",E2756="!!!",F2756="NEW"),"",COUNTBLANK(OFFSET(A$1,,,SUMPRODUCT(MAX(ROW(E$2:E2756)*(E2756=E$2:E2756)))))-COUNTBLANK(OFFSET(A$1,,,SUMPRODUCT(MAX(ROW(E$1:E2755)*(E2=E$1:E2755))))))</f>
        <v> </v>
      </c>
      <c r="K2756" s="25" t="str">
        <f>IF(OR(E2756="",E2756="!!!",F2756="NEW"),"",INDEX(J$1:J2755,SUMPRODUCT(MAX(ROW(E$1:E2755)*(E2756=E$1:E2755)))))</f>
        <v> </v>
      </c>
      <c r="L2756" s="26"/>
    </row>
    <row r="2757" spans="1:12">
      <c r="A2757" s="20" t="s">
        <v>1568</v>
      </c>
      <c r="B2757" s="27" t="s">
        <v>611</v>
      </c>
      <c r="C2757" s="27" t="s">
        <v>622</v>
      </c>
      <c r="E2757" s="21">
        <f>IF(D2757="?OLD","!!!","")</f>
        <v/>
      </c>
      <c r="F2757" s="22" t="str">
        <f>IF(OR(E2757="",E2757="!!!"),"",IF(NOT(ISNA(VLOOKUP(E2757,E$1:E2756,1,FALSE()))),"OLD",IF(AND(E2757&lt;&gt;"",E2757&lt;&gt;"!!!"),"NEW","")))</f>
        <v> </v>
      </c>
      <c r="G2757" s="23" t="str">
        <f>IF(OR(E2757="",E2757="!!!"),"",IF(OR(J2757=0,AND(J2757=1,K2757=1),AND(J2757=1,I2757="SBJ"),AND(J2757=1,I2757=0)),"?IN_FOCUS",IF(J2757&lt;=2,"?ACTIVATED",IF(J2757&lt;&gt;"","?FAMILIAR",IF(F2757="NEW",IF(ISNA(VLOOKUP(E2757,#REF!,1,FALSE())),"?TYPE_IDENTIFIABLE","?REFERENTIAL"),"_")))))</f>
        <v> </v>
      </c>
      <c r="H2757" s="24" t="str">
        <f>IF(J2757&lt;&gt;1,"",IF(I2757="SBJ","CB","?"))</f>
        <v> </v>
      </c>
      <c r="I2757" s="25" t="str">
        <f>IF(OR(E2757="",E2757="!!!",F2757="NEW"),"",INDEX(B2756:B$2,-1+SUMPRODUCT(MAX(ROW(E2756:E$2)*(E2757=E2756:E$2)))))</f>
        <v> </v>
      </c>
      <c r="J2757" s="25" t="str">
        <f>IF(OR(E2757="",E2757="!!!",F2757="NEW"),"",COUNTBLANK(OFFSET(A$1,,,SUMPRODUCT(MAX(ROW(E$2:E2757)*(E2757=E$2:E2757)))))-COUNTBLANK(OFFSET(A$1,,,SUMPRODUCT(MAX(ROW(E$1:E2756)*(E2=E$1:E2756))))))</f>
        <v> </v>
      </c>
      <c r="K2757" s="25" t="str">
        <f>IF(OR(E2757="",E2757="!!!",F2757="NEW"),"",INDEX(J$1:J2756,SUMPRODUCT(MAX(ROW(E$1:E2756)*(E2757=E$1:E2756)))))</f>
        <v> </v>
      </c>
      <c r="L2757" s="26"/>
    </row>
    <row r="2758" spans="1:12">
      <c r="A2758" s="20" t="s">
        <v>644</v>
      </c>
      <c r="E2758" s="21">
        <f>IF(D2758="?OLD","!!!","")</f>
        <v/>
      </c>
      <c r="F2758" s="22" t="str">
        <f>IF(OR(E2758="",E2758="!!!"),"",IF(NOT(ISNA(VLOOKUP(E2758,E$1:E2757,1,FALSE()))),"OLD",IF(AND(E2758&lt;&gt;"",E2758&lt;&gt;"!!!"),"NEW","")))</f>
        <v> </v>
      </c>
      <c r="G2758" s="23" t="str">
        <f>IF(OR(E2758="",E2758="!!!"),"",IF(OR(J2758=0,AND(J2758=1,K2758=1),AND(J2758=1,I2758="SBJ"),AND(J2758=1,I2758=0)),"?IN_FOCUS",IF(J2758&lt;=2,"?ACTIVATED",IF(J2758&lt;&gt;"","?FAMILIAR",IF(F2758="NEW",IF(ISNA(VLOOKUP(E2758,#REF!,1,FALSE())),"?TYPE_IDENTIFIABLE","?REFERENTIAL"),"_")))))</f>
        <v> </v>
      </c>
      <c r="H2758" s="24" t="str">
        <f>IF(J2758&lt;&gt;1,"",IF(I2758="SBJ","CB","?"))</f>
        <v> </v>
      </c>
      <c r="I2758" s="25" t="str">
        <f>IF(OR(E2758="",E2758="!!!",F2758="NEW"),"",INDEX(B2757:B$2,-1+SUMPRODUCT(MAX(ROW(E2757:E$2)*(E2758=E2757:E$2)))))</f>
        <v> </v>
      </c>
      <c r="J2758" s="25" t="str">
        <f>IF(OR(E2758="",E2758="!!!",F2758="NEW"),"",COUNTBLANK(OFFSET(A$1,,,SUMPRODUCT(MAX(ROW(E$2:E2758)*(E2758=E$2:E2758)))))-COUNTBLANK(OFFSET(A$1,,,SUMPRODUCT(MAX(ROW(E$1:E2757)*(E2=E$1:E2757))))))</f>
        <v> </v>
      </c>
      <c r="K2758" s="25" t="str">
        <f>IF(OR(E2758="",E2758="!!!",F2758="NEW"),"",INDEX(J$1:J2757,SUMPRODUCT(MAX(ROW(E$1:E2757)*(E2758=E$1:E2757)))))</f>
        <v> </v>
      </c>
      <c r="L2758" s="26"/>
    </row>
    <row r="2759" spans="1:12">
      <c r="A2759" s="20" t="s">
        <v>1569</v>
      </c>
      <c r="B2759" s="27" t="s">
        <v>611</v>
      </c>
      <c r="C2759" s="27" t="s">
        <v>622</v>
      </c>
      <c r="E2759" s="21">
        <f>IF(D2759="?OLD","!!!","")</f>
        <v/>
      </c>
      <c r="F2759" s="22" t="str">
        <f>IF(OR(E2759="",E2759="!!!"),"",IF(NOT(ISNA(VLOOKUP(E2759,E$1:E2758,1,FALSE()))),"OLD",IF(AND(E2759&lt;&gt;"",E2759&lt;&gt;"!!!"),"NEW","")))</f>
        <v> </v>
      </c>
      <c r="G2759" s="23" t="str">
        <f>IF(OR(E2759="",E2759="!!!"),"",IF(OR(J2759=0,AND(J2759=1,K2759=1),AND(J2759=1,I2759="SBJ"),AND(J2759=1,I2759=0)),"?IN_FOCUS",IF(J2759&lt;=2,"?ACTIVATED",IF(J2759&lt;&gt;"","?FAMILIAR",IF(F2759="NEW",IF(ISNA(VLOOKUP(E2759,#REF!,1,FALSE())),"?TYPE_IDENTIFIABLE","?REFERENTIAL"),"_")))))</f>
        <v> </v>
      </c>
      <c r="H2759" s="24" t="str">
        <f>IF(J2759&lt;&gt;1,"",IF(I2759="SBJ","CB","?"))</f>
        <v> </v>
      </c>
      <c r="I2759" s="25" t="str">
        <f>IF(OR(E2759="",E2759="!!!",F2759="NEW"),"",INDEX(B2758:B$2,-1+SUMPRODUCT(MAX(ROW(E2758:E$2)*(E2759=E2758:E$2)))))</f>
        <v> </v>
      </c>
      <c r="J2759" s="25" t="str">
        <f>IF(OR(E2759="",E2759="!!!",F2759="NEW"),"",COUNTBLANK(OFFSET(A$1,,,SUMPRODUCT(MAX(ROW(E$2:E2759)*(E2759=E$2:E2759)))))-COUNTBLANK(OFFSET(A$1,,,SUMPRODUCT(MAX(ROW(E$1:E2758)*(E2=E$1:E2758))))))</f>
        <v> </v>
      </c>
      <c r="K2759" s="25" t="str">
        <f>IF(OR(E2759="",E2759="!!!",F2759="NEW"),"",INDEX(J$1:J2758,SUMPRODUCT(MAX(ROW(E$1:E2758)*(E2759=E$1:E2758)))))</f>
        <v> </v>
      </c>
      <c r="L2759" s="26"/>
    </row>
    <row r="2760" spans="1:12">
      <c r="A2760" s="20" t="s">
        <v>644</v>
      </c>
      <c r="E2760" s="21">
        <f>IF(D2760="?OLD","!!!","")</f>
        <v/>
      </c>
      <c r="F2760" s="22" t="str">
        <f>IF(OR(E2760="",E2760="!!!"),"",IF(NOT(ISNA(VLOOKUP(E2760,E$1:E2759,1,FALSE()))),"OLD",IF(AND(E2760&lt;&gt;"",E2760&lt;&gt;"!!!"),"NEW","")))</f>
        <v> </v>
      </c>
      <c r="G2760" s="23" t="str">
        <f>IF(OR(E2760="",E2760="!!!"),"",IF(OR(J2760=0,AND(J2760=1,K2760=1),AND(J2760=1,I2760="SBJ"),AND(J2760=1,I2760=0)),"?IN_FOCUS",IF(J2760&lt;=2,"?ACTIVATED",IF(J2760&lt;&gt;"","?FAMILIAR",IF(F2760="NEW",IF(ISNA(VLOOKUP(E2760,#REF!,1,FALSE())),"?TYPE_IDENTIFIABLE","?REFERENTIAL"),"_")))))</f>
        <v> </v>
      </c>
      <c r="H2760" s="24" t="str">
        <f>IF(J2760&lt;&gt;1,"",IF(I2760="SBJ","CB","?"))</f>
        <v> </v>
      </c>
      <c r="I2760" s="25" t="str">
        <f>IF(OR(E2760="",E2760="!!!",F2760="NEW"),"",INDEX(B2759:B$2,-1+SUMPRODUCT(MAX(ROW(E2759:E$2)*(E2760=E2759:E$2)))))</f>
        <v> </v>
      </c>
      <c r="J2760" s="25" t="str">
        <f>IF(OR(E2760="",E2760="!!!",F2760="NEW"),"",COUNTBLANK(OFFSET(A$1,,,SUMPRODUCT(MAX(ROW(E$2:E2760)*(E2760=E$2:E2760)))))-COUNTBLANK(OFFSET(A$1,,,SUMPRODUCT(MAX(ROW(E$1:E2759)*(E2=E$1:E2759))))))</f>
        <v> </v>
      </c>
      <c r="K2760" s="25" t="str">
        <f>IF(OR(E2760="",E2760="!!!",F2760="NEW"),"",INDEX(J$1:J2759,SUMPRODUCT(MAX(ROW(E$1:E2759)*(E2760=E$1:E2759)))))</f>
        <v> </v>
      </c>
      <c r="L2760" s="26"/>
    </row>
    <row r="2761" spans="1:12">
      <c r="A2761" s="20" t="s">
        <v>453</v>
      </c>
      <c r="E2761" s="21">
        <f>IF(D2761="?OLD","!!!","")</f>
        <v/>
      </c>
      <c r="F2761" s="22" t="str">
        <f>IF(OR(E2761="",E2761="!!!"),"",IF(NOT(ISNA(VLOOKUP(E2761,E$1:E2760,1,FALSE()))),"OLD",IF(AND(E2761&lt;&gt;"",E2761&lt;&gt;"!!!"),"NEW","")))</f>
        <v> </v>
      </c>
      <c r="G2761" s="23" t="str">
        <f>IF(OR(E2761="",E2761="!!!"),"",IF(OR(J2761=0,AND(J2761=1,K2761=1),AND(J2761=1,I2761="SBJ"),AND(J2761=1,I2761=0)),"?IN_FOCUS",IF(J2761&lt;=2,"?ACTIVATED",IF(J2761&lt;&gt;"","?FAMILIAR",IF(F2761="NEW",IF(ISNA(VLOOKUP(E2761,#REF!,1,FALSE())),"?TYPE_IDENTIFIABLE","?REFERENTIAL"),"_")))))</f>
        <v> </v>
      </c>
      <c r="H2761" s="24" t="str">
        <f>IF(J2761&lt;&gt;1,"",IF(I2761="SBJ","CB","?"))</f>
        <v> </v>
      </c>
      <c r="I2761" s="25" t="str">
        <f>IF(OR(E2761="",E2761="!!!",F2761="NEW"),"",INDEX(B2760:B$2,-1+SUMPRODUCT(MAX(ROW(E2760:E$2)*(E2761=E2760:E$2)))))</f>
        <v> </v>
      </c>
      <c r="J2761" s="25" t="str">
        <f>IF(OR(E2761="",E2761="!!!",F2761="NEW"),"",COUNTBLANK(OFFSET(A$1,,,SUMPRODUCT(MAX(ROW(E$2:E2761)*(E2761=E$2:E2761)))))-COUNTBLANK(OFFSET(A$1,,,SUMPRODUCT(MAX(ROW(E$1:E2760)*(E2=E$1:E2760))))))</f>
        <v> </v>
      </c>
      <c r="K2761" s="25" t="str">
        <f>IF(OR(E2761="",E2761="!!!",F2761="NEW"),"",INDEX(J$1:J2760,SUMPRODUCT(MAX(ROW(E$1:E2760)*(E2761=E$1:E2760)))))</f>
        <v> </v>
      </c>
      <c r="L2761" s="26"/>
    </row>
    <row r="2762" spans="1:12">
      <c r="A2762" s="20" t="s">
        <v>1570</v>
      </c>
      <c r="B2762" s="27" t="s">
        <v>625</v>
      </c>
      <c r="C2762" s="27" t="s">
        <v>626</v>
      </c>
      <c r="E2762" s="21">
        <f>IF(D2762="?OLD","!!!","")</f>
        <v/>
      </c>
      <c r="F2762" s="22" t="str">
        <f>IF(OR(E2762="",E2762="!!!"),"",IF(NOT(ISNA(VLOOKUP(E2762,E$1:E2761,1,FALSE()))),"OLD",IF(AND(E2762&lt;&gt;"",E2762&lt;&gt;"!!!"),"NEW","")))</f>
        <v> </v>
      </c>
      <c r="G2762" s="23" t="str">
        <f>IF(OR(E2762="",E2762="!!!"),"",IF(OR(J2762=0,AND(J2762=1,K2762=1),AND(J2762=1,I2762="SBJ"),AND(J2762=1,I2762=0)),"?IN_FOCUS",IF(J2762&lt;=2,"?ACTIVATED",IF(J2762&lt;&gt;"","?FAMILIAR",IF(F2762="NEW",IF(ISNA(VLOOKUP(E2762,#REF!,1,FALSE())),"?TYPE_IDENTIFIABLE","?REFERENTIAL"),"_")))))</f>
        <v> </v>
      </c>
      <c r="H2762" s="24" t="str">
        <f>IF(J2762&lt;&gt;1,"",IF(I2762="SBJ","CB","?"))</f>
        <v> </v>
      </c>
      <c r="I2762" s="25" t="str">
        <f>IF(OR(E2762="",E2762="!!!",F2762="NEW"),"",INDEX(B2761:B$2,-1+SUMPRODUCT(MAX(ROW(E2761:E$2)*(E2762=E2761:E$2)))))</f>
        <v> </v>
      </c>
      <c r="J2762" s="25" t="str">
        <f>IF(OR(E2762="",E2762="!!!",F2762="NEW"),"",COUNTBLANK(OFFSET(A$1,,,SUMPRODUCT(MAX(ROW(E$2:E2762)*(E2762=E$2:E2762)))))-COUNTBLANK(OFFSET(A$1,,,SUMPRODUCT(MAX(ROW(E$1:E2761)*(E2=E$1:E2761))))))</f>
        <v> </v>
      </c>
      <c r="K2762" s="25" t="str">
        <f>IF(OR(E2762="",E2762="!!!",F2762="NEW"),"",INDEX(J$1:J2761,SUMPRODUCT(MAX(ROW(E$1:E2761)*(E2762=E$1:E2761)))))</f>
        <v> </v>
      </c>
      <c r="L2762" s="26"/>
    </row>
    <row r="2763" spans="1:12">
      <c r="A2763" s="20" t="s">
        <v>1006</v>
      </c>
      <c r="B2763" s="27" t="s">
        <v>625</v>
      </c>
      <c r="C2763" s="27" t="s">
        <v>614</v>
      </c>
      <c r="D2763" s="27" t="s">
        <v>608</v>
      </c>
      <c r="E2763" s="21">
        <f>IF(D2763="?OLD","!!!","")</f>
        <v/>
      </c>
      <c r="F2763" s="22" t="str">
        <f>IF(OR(E2763="",E2763="!!!"),"",IF(NOT(ISNA(VLOOKUP(E2763,E$1:E2762,1,FALSE()))),"OLD",IF(AND(E2763&lt;&gt;"",E2763&lt;&gt;"!!!"),"NEW","")))</f>
        <v> </v>
      </c>
      <c r="G2763" s="23" t="str">
        <f>IF(OR(E2763="",E2763="!!!"),"",IF(OR(J2763=0,AND(J2763=1,K2763=1),AND(J2763=1,I2763="SBJ"),AND(J2763=1,I2763=0)),"?IN_FOCUS",IF(J2763&lt;=2,"?ACTIVATED",IF(J2763&lt;&gt;"","?FAMILIAR",IF(F2763="NEW",IF(ISNA(VLOOKUP(E2763,#REF!,1,FALSE())),"?TYPE_IDENTIFIABLE","?REFERENTIAL"),"_")))))</f>
        <v> </v>
      </c>
      <c r="H2763" s="24" t="str">
        <f>IF(J2763&lt;&gt;1,"",IF(I2763="SBJ","CB","?"))</f>
        <v> </v>
      </c>
      <c r="I2763" s="25" t="str">
        <f>IF(OR(E2763="",E2763="!!!",F2763="NEW"),"",INDEX(B2762:B$2,-1+SUMPRODUCT(MAX(ROW(E2762:E$2)*(E2763=E2762:E$2)))))</f>
        <v> </v>
      </c>
      <c r="J2763" s="25" t="str">
        <f>IF(OR(E2763="",E2763="!!!",F2763="NEW"),"",COUNTBLANK(OFFSET(A$1,,,SUMPRODUCT(MAX(ROW(E$2:E2763)*(E2763=E$2:E2763)))))-COUNTBLANK(OFFSET(A$1,,,SUMPRODUCT(MAX(ROW(E$1:E2762)*(E2=E$1:E2762))))))</f>
        <v> </v>
      </c>
      <c r="K2763" s="25" t="str">
        <f>IF(OR(E2763="",E2763="!!!",F2763="NEW"),"",INDEX(J$1:J2762,SUMPRODUCT(MAX(ROW(E$1:E2762)*(E2763=E$1:E2762)))))</f>
        <v> </v>
      </c>
      <c r="L2763" s="26"/>
    </row>
    <row r="2764" spans="1:12">
      <c r="A2764" s="20" t="s">
        <v>1173</v>
      </c>
      <c r="B2764" s="27" t="s">
        <v>657</v>
      </c>
      <c r="C2764" s="27" t="s">
        <v>616</v>
      </c>
      <c r="D2764" s="27" t="s">
        <v>608</v>
      </c>
      <c r="E2764" s="21">
        <f>IF(D2764="?OLD","!!!","")</f>
        <v/>
      </c>
      <c r="F2764" s="22" t="str">
        <f>IF(OR(E2764="",E2764="!!!"),"",IF(NOT(ISNA(VLOOKUP(E2764,E$1:E2763,1,FALSE()))),"OLD",IF(AND(E2764&lt;&gt;"",E2764&lt;&gt;"!!!"),"NEW","")))</f>
        <v> </v>
      </c>
      <c r="G2764" s="23" t="str">
        <f>IF(OR(E2764="",E2764="!!!"),"",IF(OR(J2764=0,AND(J2764=1,K2764=1),AND(J2764=1,I2764="SBJ"),AND(J2764=1,I2764=0)),"?IN_FOCUS",IF(J2764&lt;=2,"?ACTIVATED",IF(J2764&lt;&gt;"","?FAMILIAR",IF(F2764="NEW",IF(ISNA(VLOOKUP(E2764,#REF!,1,FALSE())),"?TYPE_IDENTIFIABLE","?REFERENTIAL"),"_")))))</f>
        <v> </v>
      </c>
      <c r="H2764" s="24" t="str">
        <f>IF(J2764&lt;&gt;1,"",IF(I2764="SBJ","CB","?"))</f>
        <v> </v>
      </c>
      <c r="I2764" s="25" t="str">
        <f>IF(OR(E2764="",E2764="!!!",F2764="NEW"),"",INDEX(B2763:B$2,-1+SUMPRODUCT(MAX(ROW(E2763:E$2)*(E2764=E2763:E$2)))))</f>
        <v> </v>
      </c>
      <c r="J2764" s="25" t="str">
        <f>IF(OR(E2764="",E2764="!!!",F2764="NEW"),"",COUNTBLANK(OFFSET(A$1,,,SUMPRODUCT(MAX(ROW(E$2:E2764)*(E2764=E$2:E2764)))))-COUNTBLANK(OFFSET(A$1,,,SUMPRODUCT(MAX(ROW(E$1:E2763)*(E2=E$1:E2763))))))</f>
        <v> </v>
      </c>
      <c r="K2764" s="25" t="str">
        <f>IF(OR(E2764="",E2764="!!!",F2764="NEW"),"",INDEX(J$1:J2763,SUMPRODUCT(MAX(ROW(E$1:E2763)*(E2764=E$1:E2763)))))</f>
        <v> </v>
      </c>
      <c r="L2764" s="26"/>
    </row>
    <row r="2765" spans="1:12">
      <c r="A2765" s="20" t="s">
        <v>617</v>
      </c>
      <c r="E2765" s="21">
        <f>IF(D2765="?OLD","!!!","")</f>
        <v/>
      </c>
      <c r="F2765" s="22" t="str">
        <f>IF(OR(E2765="",E2765="!!!"),"",IF(NOT(ISNA(VLOOKUP(E2765,E$1:E2764,1,FALSE()))),"OLD",IF(AND(E2765&lt;&gt;"",E2765&lt;&gt;"!!!"),"NEW","")))</f>
        <v> </v>
      </c>
      <c r="G2765" s="23" t="str">
        <f>IF(OR(E2765="",E2765="!!!"),"",IF(OR(J2765=0,AND(J2765=1,K2765=1),AND(J2765=1,I2765="SBJ"),AND(J2765=1,I2765=0)),"?IN_FOCUS",IF(J2765&lt;=2,"?ACTIVATED",IF(J2765&lt;&gt;"","?FAMILIAR",IF(F2765="NEW",IF(ISNA(VLOOKUP(E2765,#REF!,1,FALSE())),"?TYPE_IDENTIFIABLE","?REFERENTIAL"),"_")))))</f>
        <v> </v>
      </c>
      <c r="H2765" s="24" t="str">
        <f>IF(J2765&lt;&gt;1,"",IF(I2765="SBJ","CB","?"))</f>
        <v> </v>
      </c>
      <c r="I2765" s="25" t="str">
        <f>IF(OR(E2765="",E2765="!!!",F2765="NEW"),"",INDEX(B2764:B$2,-1+SUMPRODUCT(MAX(ROW(E2764:E$2)*(E2765=E2764:E$2)))))</f>
        <v> </v>
      </c>
      <c r="J2765" s="25" t="str">
        <f>IF(OR(E2765="",E2765="!!!",F2765="NEW"),"",COUNTBLANK(OFFSET(A$1,,,SUMPRODUCT(MAX(ROW(E$2:E2765)*(E2765=E$2:E2765)))))-COUNTBLANK(OFFSET(A$1,,,SUMPRODUCT(MAX(ROW(E$1:E2764)*(E2=E$1:E2764))))))</f>
        <v> </v>
      </c>
      <c r="K2765" s="25" t="str">
        <f>IF(OR(E2765="",E2765="!!!",F2765="NEW"),"",INDEX(J$1:J2764,SUMPRODUCT(MAX(ROW(E$1:E2764)*(E2765=E$1:E2764)))))</f>
        <v> </v>
      </c>
      <c r="L2765" s="26"/>
    </row>
    <row r="2766" spans="1:12">
      <c r="A2766" s="20" t="s">
        <v>1025</v>
      </c>
      <c r="E2766" s="21">
        <f>IF(D2766="?OLD","!!!","")</f>
        <v/>
      </c>
      <c r="F2766" s="22" t="str">
        <f>IF(OR(E2766="",E2766="!!!"),"",IF(NOT(ISNA(VLOOKUP(E2766,E$1:E2765,1,FALSE()))),"OLD",IF(AND(E2766&lt;&gt;"",E2766&lt;&gt;"!!!"),"NEW","")))</f>
        <v> </v>
      </c>
      <c r="G2766" s="23" t="str">
        <f>IF(OR(E2766="",E2766="!!!"),"",IF(OR(J2766=0,AND(J2766=1,K2766=1),AND(J2766=1,I2766="SBJ"),AND(J2766=1,I2766=0)),"?IN_FOCUS",IF(J2766&lt;=2,"?ACTIVATED",IF(J2766&lt;&gt;"","?FAMILIAR",IF(F2766="NEW",IF(ISNA(VLOOKUP(E2766,#REF!,1,FALSE())),"?TYPE_IDENTIFIABLE","?REFERENTIAL"),"_")))))</f>
        <v> </v>
      </c>
      <c r="H2766" s="24" t="str">
        <f>IF(J2766&lt;&gt;1,"",IF(I2766="SBJ","CB","?"))</f>
        <v> </v>
      </c>
      <c r="I2766" s="25" t="str">
        <f>IF(OR(E2766="",E2766="!!!",F2766="NEW"),"",INDEX(B2765:B$2,-1+SUMPRODUCT(MAX(ROW(E2765:E$2)*(E2766=E2765:E$2)))))</f>
        <v> </v>
      </c>
      <c r="J2766" s="25" t="str">
        <f>IF(OR(E2766="",E2766="!!!",F2766="NEW"),"",COUNTBLANK(OFFSET(A$1,,,SUMPRODUCT(MAX(ROW(E$2:E2766)*(E2766=E$2:E2766)))))-COUNTBLANK(OFFSET(A$1,,,SUMPRODUCT(MAX(ROW(E$1:E2765)*(E2=E$1:E2765))))))</f>
        <v> </v>
      </c>
      <c r="K2766" s="25" t="str">
        <f>IF(OR(E2766="",E2766="!!!",F2766="NEW"),"",INDEX(J$1:J2765,SUMPRODUCT(MAX(ROW(E$1:E2765)*(E2766=E$1:E2765)))))</f>
        <v> </v>
      </c>
      <c r="L2766" s="26"/>
    </row>
    <row r="2767" spans="1:12">
      <c r="A2767" s="20" t="s">
        <v>621</v>
      </c>
      <c r="B2767" s="27" t="s">
        <v>725</v>
      </c>
      <c r="C2767" s="27" t="s">
        <v>622</v>
      </c>
      <c r="E2767" s="21">
        <f>IF(D2767="?OLD","!!!","")</f>
        <v/>
      </c>
      <c r="F2767" s="22" t="str">
        <f>IF(OR(E2767="",E2767="!!!"),"",IF(NOT(ISNA(VLOOKUP(E2767,E$1:E2766,1,FALSE()))),"OLD",IF(AND(E2767&lt;&gt;"",E2767&lt;&gt;"!!!"),"NEW","")))</f>
        <v> </v>
      </c>
      <c r="G2767" s="23" t="str">
        <f>IF(OR(E2767="",E2767="!!!"),"",IF(OR(J2767=0,AND(J2767=1,K2767=1),AND(J2767=1,I2767="SBJ"),AND(J2767=1,I2767=0)),"?IN_FOCUS",IF(J2767&lt;=2,"?ACTIVATED",IF(J2767&lt;&gt;"","?FAMILIAR",IF(F2767="NEW",IF(ISNA(VLOOKUP(E2767,#REF!,1,FALSE())),"?TYPE_IDENTIFIABLE","?REFERENTIAL"),"_")))))</f>
        <v> </v>
      </c>
      <c r="H2767" s="24" t="str">
        <f>IF(J2767&lt;&gt;1,"",IF(I2767="SBJ","CB","?"))</f>
        <v> </v>
      </c>
      <c r="I2767" s="25" t="str">
        <f>IF(OR(E2767="",E2767="!!!",F2767="NEW"),"",INDEX(B2766:B$2,-1+SUMPRODUCT(MAX(ROW(E2766:E$2)*(E2767=E2766:E$2)))))</f>
        <v> </v>
      </c>
      <c r="J2767" s="25" t="str">
        <f>IF(OR(E2767="",E2767="!!!",F2767="NEW"),"",COUNTBLANK(OFFSET(A$1,,,SUMPRODUCT(MAX(ROW(E$2:E2767)*(E2767=E$2:E2767)))))-COUNTBLANK(OFFSET(A$1,,,SUMPRODUCT(MAX(ROW(E$1:E2766)*(E2=E$1:E2766))))))</f>
        <v> </v>
      </c>
      <c r="K2767" s="25" t="str">
        <f>IF(OR(E2767="",E2767="!!!",F2767="NEW"),"",INDEX(J$1:J2766,SUMPRODUCT(MAX(ROW(E$1:E2766)*(E2767=E$1:E2766)))))</f>
        <v> </v>
      </c>
      <c r="L2767" s="26"/>
    </row>
    <row r="2768" spans="1:12">
      <c r="A2768" s="20" t="s">
        <v>663</v>
      </c>
      <c r="E2768" s="21">
        <f>IF(D2768="?OLD","!!!","")</f>
        <v/>
      </c>
      <c r="F2768" s="22" t="str">
        <f>IF(OR(E2768="",E2768="!!!"),"",IF(NOT(ISNA(VLOOKUP(E2768,E$1:E2767,1,FALSE()))),"OLD",IF(AND(E2768&lt;&gt;"",E2768&lt;&gt;"!!!"),"NEW","")))</f>
        <v> </v>
      </c>
      <c r="G2768" s="23" t="str">
        <f>IF(OR(E2768="",E2768="!!!"),"",IF(OR(J2768=0,AND(J2768=1,K2768=1),AND(J2768=1,I2768="SBJ"),AND(J2768=1,I2768=0)),"?IN_FOCUS",IF(J2768&lt;=2,"?ACTIVATED",IF(J2768&lt;&gt;"","?FAMILIAR",IF(F2768="NEW",IF(ISNA(VLOOKUP(E2768,#REF!,1,FALSE())),"?TYPE_IDENTIFIABLE","?REFERENTIAL"),"_")))))</f>
        <v> </v>
      </c>
      <c r="H2768" s="24" t="str">
        <f>IF(J2768&lt;&gt;1,"",IF(I2768="SBJ","CB","?"))</f>
        <v> </v>
      </c>
      <c r="I2768" s="25" t="str">
        <f>IF(OR(E2768="",E2768="!!!",F2768="NEW"),"",INDEX(B2767:B$2,-1+SUMPRODUCT(MAX(ROW(E2767:E$2)*(E2768=E2767:E$2)))))</f>
        <v> </v>
      </c>
      <c r="J2768" s="25" t="str">
        <f>IF(OR(E2768="",E2768="!!!",F2768="NEW"),"",COUNTBLANK(OFFSET(A$1,,,SUMPRODUCT(MAX(ROW(E$2:E2768)*(E2768=E$2:E2768)))))-COUNTBLANK(OFFSET(A$1,,,SUMPRODUCT(MAX(ROW(E$1:E2767)*(E2=E$1:E2767))))))</f>
        <v> </v>
      </c>
      <c r="K2768" s="25" t="str">
        <f>IF(OR(E2768="",E2768="!!!",F2768="NEW"),"",INDEX(J$1:J2767,SUMPRODUCT(MAX(ROW(E$1:E2767)*(E2768=E$1:E2767)))))</f>
        <v> </v>
      </c>
      <c r="L2768" s="26"/>
    </row>
    <row r="2769" spans="1:12">
      <c r="A2769" s="20" t="s">
        <v>342</v>
      </c>
      <c r="E2769" s="21">
        <f>IF(D2769="?OLD","!!!","")</f>
        <v/>
      </c>
      <c r="F2769" s="22" t="str">
        <f>IF(OR(E2769="",E2769="!!!"),"",IF(NOT(ISNA(VLOOKUP(E2769,E$1:E2768,1,FALSE()))),"OLD",IF(AND(E2769&lt;&gt;"",E2769&lt;&gt;"!!!"),"NEW","")))</f>
        <v> </v>
      </c>
      <c r="G2769" s="23" t="str">
        <f>IF(OR(E2769="",E2769="!!!"),"",IF(OR(J2769=0,AND(J2769=1,K2769=1),AND(J2769=1,I2769="SBJ"),AND(J2769=1,I2769=0)),"?IN_FOCUS",IF(J2769&lt;=2,"?ACTIVATED",IF(J2769&lt;&gt;"","?FAMILIAR",IF(F2769="NEW",IF(ISNA(VLOOKUP(E2769,#REF!,1,FALSE())),"?TYPE_IDENTIFIABLE","?REFERENTIAL"),"_")))))</f>
        <v> </v>
      </c>
      <c r="H2769" s="24" t="str">
        <f>IF(J2769&lt;&gt;1,"",IF(I2769="SBJ","CB","?"))</f>
        <v> </v>
      </c>
      <c r="I2769" s="25" t="str">
        <f>IF(OR(E2769="",E2769="!!!",F2769="NEW"),"",INDEX(B2768:B$2,-1+SUMPRODUCT(MAX(ROW(E2768:E$2)*(E2769=E2768:E$2)))))</f>
        <v> </v>
      </c>
      <c r="J2769" s="25" t="str">
        <f>IF(OR(E2769="",E2769="!!!",F2769="NEW"),"",COUNTBLANK(OFFSET(A$1,,,SUMPRODUCT(MAX(ROW(E$2:E2769)*(E2769=E$2:E2769)))))-COUNTBLANK(OFFSET(A$1,,,SUMPRODUCT(MAX(ROW(E$1:E2768)*(E2=E$1:E2768))))))</f>
        <v> </v>
      </c>
      <c r="K2769" s="25" t="str">
        <f>IF(OR(E2769="",E2769="!!!",F2769="NEW"),"",INDEX(J$1:J2768,SUMPRODUCT(MAX(ROW(E$1:E2768)*(E2769=E$1:E2768)))))</f>
        <v> </v>
      </c>
      <c r="L2769" s="26"/>
    </row>
    <row r="2770" spans="1:12">
      <c r="A2770" s="20" t="s">
        <v>617</v>
      </c>
      <c r="E2770" s="21">
        <f>IF(D2770="?OLD","!!!","")</f>
        <v/>
      </c>
      <c r="F2770" s="22" t="str">
        <f>IF(OR(E2770="",E2770="!!!"),"",IF(NOT(ISNA(VLOOKUP(E2770,E$1:E2769,1,FALSE()))),"OLD",IF(AND(E2770&lt;&gt;"",E2770&lt;&gt;"!!!"),"NEW","")))</f>
        <v> </v>
      </c>
      <c r="G2770" s="23" t="str">
        <f>IF(OR(E2770="",E2770="!!!"),"",IF(OR(J2770=0,AND(J2770=1,K2770=1),AND(J2770=1,I2770="SBJ"),AND(J2770=1,I2770=0)),"?IN_FOCUS",IF(J2770&lt;=2,"?ACTIVATED",IF(J2770&lt;&gt;"","?FAMILIAR",IF(F2770="NEW",IF(ISNA(VLOOKUP(E2770,#REF!,1,FALSE())),"?TYPE_IDENTIFIABLE","?REFERENTIAL"),"_")))))</f>
        <v> </v>
      </c>
      <c r="H2770" s="24" t="str">
        <f>IF(J2770&lt;&gt;1,"",IF(I2770="SBJ","CB","?"))</f>
        <v> </v>
      </c>
      <c r="I2770" s="25" t="str">
        <f>IF(OR(E2770="",E2770="!!!",F2770="NEW"),"",INDEX(B2769:B$2,-1+SUMPRODUCT(MAX(ROW(E2769:E$2)*(E2770=E2769:E$2)))))</f>
        <v> </v>
      </c>
      <c r="J2770" s="25" t="str">
        <f>IF(OR(E2770="",E2770="!!!",F2770="NEW"),"",COUNTBLANK(OFFSET(A$1,,,SUMPRODUCT(MAX(ROW(E$2:E2770)*(E2770=E$2:E2770)))))-COUNTBLANK(OFFSET(A$1,,,SUMPRODUCT(MAX(ROW(E$1:E2769)*(E2=E$1:E2769))))))</f>
        <v> </v>
      </c>
      <c r="K2770" s="25" t="str">
        <f>IF(OR(E2770="",E2770="!!!",F2770="NEW"),"",INDEX(J$1:J2769,SUMPRODUCT(MAX(ROW(E$1:E2769)*(E2770=E$1:E2769)))))</f>
        <v> </v>
      </c>
      <c r="L2770" s="26"/>
    </row>
    <row r="2771" spans="1:12">
      <c r="A2771" s="20" t="s">
        <v>618</v>
      </c>
      <c r="E2771" s="21">
        <f>IF(D2771="?OLD","!!!","")</f>
        <v/>
      </c>
      <c r="F2771" s="22" t="str">
        <f>IF(OR(E2771="",E2771="!!!"),"",IF(NOT(ISNA(VLOOKUP(E2771,E$1:E2770,1,FALSE()))),"OLD",IF(AND(E2771&lt;&gt;"",E2771&lt;&gt;"!!!"),"NEW","")))</f>
        <v> </v>
      </c>
      <c r="G2771" s="23" t="str">
        <f>IF(OR(E2771="",E2771="!!!"),"",IF(OR(J2771=0,AND(J2771=1,K2771=1),AND(J2771=1,I2771="SBJ"),AND(J2771=1,I2771=0)),"?IN_FOCUS",IF(J2771&lt;=2,"?ACTIVATED",IF(J2771&lt;&gt;"","?FAMILIAR",IF(F2771="NEW",IF(ISNA(VLOOKUP(E2771,#REF!,1,FALSE())),"?TYPE_IDENTIFIABLE","?REFERENTIAL"),"_")))))</f>
        <v> </v>
      </c>
      <c r="H2771" s="24" t="str">
        <f>IF(J2771&lt;&gt;1,"",IF(I2771="SBJ","CB","?"))</f>
        <v> </v>
      </c>
      <c r="I2771" s="25" t="str">
        <f>IF(OR(E2771="",E2771="!!!",F2771="NEW"),"",INDEX(B2770:B$2,-1+SUMPRODUCT(MAX(ROW(E2770:E$2)*(E2771=E2770:E$2)))))</f>
        <v> </v>
      </c>
      <c r="J2771" s="25" t="str">
        <f>IF(OR(E2771="",E2771="!!!",F2771="NEW"),"",COUNTBLANK(OFFSET(A$1,,,SUMPRODUCT(MAX(ROW(E$2:E2771)*(E2771=E$2:E2771)))))-COUNTBLANK(OFFSET(A$1,,,SUMPRODUCT(MAX(ROW(E$1:E2770)*(E2=E$1:E2770))))))</f>
        <v> </v>
      </c>
      <c r="K2771" s="25" t="str">
        <f>IF(OR(E2771="",E2771="!!!",F2771="NEW"),"",INDEX(J$1:J2770,SUMPRODUCT(MAX(ROW(E$1:E2770)*(E2771=E$1:E2770)))))</f>
        <v> </v>
      </c>
      <c r="L2771" s="26"/>
    </row>
    <row r="2772" spans="1:12">
      <c r="A2772" s="20" t="s">
        <v>1521</v>
      </c>
      <c r="B2772" s="27" t="s">
        <v>657</v>
      </c>
      <c r="C2772" s="27" t="s">
        <v>607</v>
      </c>
      <c r="D2772" s="27" t="s">
        <v>608</v>
      </c>
      <c r="E2772" s="21">
        <f>IF(D2772="?OLD","!!!","")</f>
        <v/>
      </c>
      <c r="F2772" s="22" t="str">
        <f>IF(OR(E2772="",E2772="!!!"),"",IF(NOT(ISNA(VLOOKUP(E2772,E$1:E2771,1,FALSE()))),"OLD",IF(AND(E2772&lt;&gt;"",E2772&lt;&gt;"!!!"),"NEW","")))</f>
        <v> </v>
      </c>
      <c r="G2772" s="23" t="str">
        <f>IF(OR(E2772="",E2772="!!!"),"",IF(OR(J2772=0,AND(J2772=1,K2772=1),AND(J2772=1,I2772="SBJ"),AND(J2772=1,I2772=0)),"?IN_FOCUS",IF(J2772&lt;=2,"?ACTIVATED",IF(J2772&lt;&gt;"","?FAMILIAR",IF(F2772="NEW",IF(ISNA(VLOOKUP(E2772,#REF!,1,FALSE())),"?TYPE_IDENTIFIABLE","?REFERENTIAL"),"_")))))</f>
        <v> </v>
      </c>
      <c r="H2772" s="24" t="str">
        <f>IF(J2772&lt;&gt;1,"",IF(I2772="SBJ","CB","?"))</f>
        <v> </v>
      </c>
      <c r="I2772" s="25" t="str">
        <f>IF(OR(E2772="",E2772="!!!",F2772="NEW"),"",INDEX(B2771:B$2,-1+SUMPRODUCT(MAX(ROW(E2771:E$2)*(E2772=E2771:E$2)))))</f>
        <v> </v>
      </c>
      <c r="J2772" s="25" t="str">
        <f>IF(OR(E2772="",E2772="!!!",F2772="NEW"),"",COUNTBLANK(OFFSET(A$1,,,SUMPRODUCT(MAX(ROW(E$2:E2772)*(E2772=E$2:E2772)))))-COUNTBLANK(OFFSET(A$1,,,SUMPRODUCT(MAX(ROW(E$1:E2771)*(E2=E$1:E2771))))))</f>
        <v> </v>
      </c>
      <c r="K2772" s="25" t="str">
        <f>IF(OR(E2772="",E2772="!!!",F2772="NEW"),"",INDEX(J$1:J2771,SUMPRODUCT(MAX(ROW(E$1:E2771)*(E2772=E$1:E2771)))))</f>
        <v> </v>
      </c>
      <c r="L2772" s="26"/>
    </row>
    <row r="2773" spans="1:12">
      <c r="A2773" s="20" t="s">
        <v>663</v>
      </c>
      <c r="E2773" s="21">
        <f>IF(D2773="?OLD","!!!","")</f>
        <v/>
      </c>
      <c r="F2773" s="22" t="str">
        <f>IF(OR(E2773="",E2773="!!!"),"",IF(NOT(ISNA(VLOOKUP(E2773,E$1:E2772,1,FALSE()))),"OLD",IF(AND(E2773&lt;&gt;"",E2773&lt;&gt;"!!!"),"NEW","")))</f>
        <v> </v>
      </c>
      <c r="G2773" s="23" t="str">
        <f>IF(OR(E2773="",E2773="!!!"),"",IF(OR(J2773=0,AND(J2773=1,K2773=1),AND(J2773=1,I2773="SBJ"),AND(J2773=1,I2773=0)),"?IN_FOCUS",IF(J2773&lt;=2,"?ACTIVATED",IF(J2773&lt;&gt;"","?FAMILIAR",IF(F2773="NEW",IF(ISNA(VLOOKUP(E2773,#REF!,1,FALSE())),"?TYPE_IDENTIFIABLE","?REFERENTIAL"),"_")))))</f>
        <v> </v>
      </c>
      <c r="H2773" s="24" t="str">
        <f>IF(J2773&lt;&gt;1,"",IF(I2773="SBJ","CB","?"))</f>
        <v> </v>
      </c>
      <c r="I2773" s="25" t="str">
        <f>IF(OR(E2773="",E2773="!!!",F2773="NEW"),"",INDEX(B2772:B$2,-1+SUMPRODUCT(MAX(ROW(E2772:E$2)*(E2773=E2772:E$2)))))</f>
        <v> </v>
      </c>
      <c r="J2773" s="25" t="str">
        <f>IF(OR(E2773="",E2773="!!!",F2773="NEW"),"",COUNTBLANK(OFFSET(A$1,,,SUMPRODUCT(MAX(ROW(E$2:E2773)*(E2773=E$2:E2773)))))-COUNTBLANK(OFFSET(A$1,,,SUMPRODUCT(MAX(ROW(E$1:E2772)*(E2=E$1:E2772))))))</f>
        <v> </v>
      </c>
      <c r="K2773" s="25" t="str">
        <f>IF(OR(E2773="",E2773="!!!",F2773="NEW"),"",INDEX(J$1:J2772,SUMPRODUCT(MAX(ROW(E$1:E2772)*(E2773=E$1:E2772)))))</f>
        <v> </v>
      </c>
      <c r="L2773" s="26"/>
    </row>
    <row r="2774" spans="1:12">
      <c r="A2774" s="20" t="s">
        <v>1571</v>
      </c>
      <c r="E2774" s="21">
        <f>IF(D2774="?OLD","!!!","")</f>
        <v/>
      </c>
      <c r="F2774" s="22" t="str">
        <f>IF(OR(E2774="",E2774="!!!"),"",IF(NOT(ISNA(VLOOKUP(E2774,E$1:E2773,1,FALSE()))),"OLD",IF(AND(E2774&lt;&gt;"",E2774&lt;&gt;"!!!"),"NEW","")))</f>
        <v> </v>
      </c>
      <c r="G2774" s="23" t="str">
        <f>IF(OR(E2774="",E2774="!!!"),"",IF(OR(J2774=0,AND(J2774=1,K2774=1),AND(J2774=1,I2774="SBJ"),AND(J2774=1,I2774=0)),"?IN_FOCUS",IF(J2774&lt;=2,"?ACTIVATED",IF(J2774&lt;&gt;"","?FAMILIAR",IF(F2774="NEW",IF(ISNA(VLOOKUP(E2774,#REF!,1,FALSE())),"?TYPE_IDENTIFIABLE","?REFERENTIAL"),"_")))))</f>
        <v> </v>
      </c>
      <c r="H2774" s="24" t="str">
        <f>IF(J2774&lt;&gt;1,"",IF(I2774="SBJ","CB","?"))</f>
        <v> </v>
      </c>
      <c r="I2774" s="25" t="str">
        <f>IF(OR(E2774="",E2774="!!!",F2774="NEW"),"",INDEX(B2773:B$2,-1+SUMPRODUCT(MAX(ROW(E2773:E$2)*(E2774=E2773:E$2)))))</f>
        <v> </v>
      </c>
      <c r="J2774" s="25" t="str">
        <f>IF(OR(E2774="",E2774="!!!",F2774="NEW"),"",COUNTBLANK(OFFSET(A$1,,,SUMPRODUCT(MAX(ROW(E$2:E2774)*(E2774=E$2:E2774)))))-COUNTBLANK(OFFSET(A$1,,,SUMPRODUCT(MAX(ROW(E$1:E2773)*(E2=E$1:E2773))))))</f>
        <v> </v>
      </c>
      <c r="K2774" s="25" t="str">
        <f>IF(OR(E2774="",E2774="!!!",F2774="NEW"),"",INDEX(J$1:J2773,SUMPRODUCT(MAX(ROW(E$1:E2773)*(E2774=E$1:E2773)))))</f>
        <v> </v>
      </c>
      <c r="L2774" s="26"/>
    </row>
    <row r="2775" spans="1:12">
      <c r="A2775" s="20" t="s">
        <v>617</v>
      </c>
      <c r="E2775" s="21">
        <f>IF(D2775="?OLD","!!!","")</f>
        <v/>
      </c>
      <c r="F2775" s="22" t="str">
        <f>IF(OR(E2775="",E2775="!!!"),"",IF(NOT(ISNA(VLOOKUP(E2775,E$1:E2774,1,FALSE()))),"OLD",IF(AND(E2775&lt;&gt;"",E2775&lt;&gt;"!!!"),"NEW","")))</f>
        <v> </v>
      </c>
      <c r="G2775" s="23" t="str">
        <f>IF(OR(E2775="",E2775="!!!"),"",IF(OR(J2775=0,AND(J2775=1,K2775=1),AND(J2775=1,I2775="SBJ"),AND(J2775=1,I2775=0)),"?IN_FOCUS",IF(J2775&lt;=2,"?ACTIVATED",IF(J2775&lt;&gt;"","?FAMILIAR",IF(F2775="NEW",IF(ISNA(VLOOKUP(E2775,#REF!,1,FALSE())),"?TYPE_IDENTIFIABLE","?REFERENTIAL"),"_")))))</f>
        <v> </v>
      </c>
      <c r="H2775" s="24" t="str">
        <f>IF(J2775&lt;&gt;1,"",IF(I2775="SBJ","CB","?"))</f>
        <v> </v>
      </c>
      <c r="I2775" s="25" t="str">
        <f>IF(OR(E2775="",E2775="!!!",F2775="NEW"),"",INDEX(B2774:B$2,-1+SUMPRODUCT(MAX(ROW(E2774:E$2)*(E2775=E2774:E$2)))))</f>
        <v> </v>
      </c>
      <c r="J2775" s="25" t="str">
        <f>IF(OR(E2775="",E2775="!!!",F2775="NEW"),"",COUNTBLANK(OFFSET(A$1,,,SUMPRODUCT(MAX(ROW(E$2:E2775)*(E2775=E$2:E2775)))))-COUNTBLANK(OFFSET(A$1,,,SUMPRODUCT(MAX(ROW(E$1:E2774)*(E2=E$1:E2774))))))</f>
        <v> </v>
      </c>
      <c r="K2775" s="25" t="str">
        <f>IF(OR(E2775="",E2775="!!!",F2775="NEW"),"",INDEX(J$1:J2774,SUMPRODUCT(MAX(ROW(E$1:E2774)*(E2775=E$1:E2774)))))</f>
        <v> </v>
      </c>
      <c r="L2775" s="26"/>
    </row>
    <row r="2776" spans="1:12">
      <c r="A2776" s="20" t="s">
        <v>618</v>
      </c>
      <c r="B2776" s="27" t="s">
        <v>657</v>
      </c>
      <c r="E2776" s="21">
        <f>IF(D2776="?OLD","!!!","")</f>
        <v/>
      </c>
      <c r="F2776" s="22" t="str">
        <f>IF(OR(E2776="",E2776="!!!"),"",IF(NOT(ISNA(VLOOKUP(E2776,E$1:E2775,1,FALSE()))),"OLD",IF(AND(E2776&lt;&gt;"",E2776&lt;&gt;"!!!"),"NEW","")))</f>
        <v> </v>
      </c>
      <c r="G2776" s="23" t="str">
        <f>IF(OR(E2776="",E2776="!!!"),"",IF(OR(J2776=0,AND(J2776=1,K2776=1),AND(J2776=1,I2776="SBJ"),AND(J2776=1,I2776=0)),"?IN_FOCUS",IF(J2776&lt;=2,"?ACTIVATED",IF(J2776&lt;&gt;"","?FAMILIAR",IF(F2776="NEW",IF(ISNA(VLOOKUP(E2776,#REF!,1,FALSE())),"?TYPE_IDENTIFIABLE","?REFERENTIAL"),"_")))))</f>
        <v> </v>
      </c>
      <c r="H2776" s="24" t="str">
        <f>IF(J2776&lt;&gt;1,"",IF(I2776="SBJ","CB","?"))</f>
        <v> </v>
      </c>
      <c r="I2776" s="25" t="str">
        <f>IF(OR(E2776="",E2776="!!!",F2776="NEW"),"",INDEX(B2775:B$2,-1+SUMPRODUCT(MAX(ROW(E2775:E$2)*(E2776=E2775:E$2)))))</f>
        <v> </v>
      </c>
      <c r="J2776" s="25" t="str">
        <f>IF(OR(E2776="",E2776="!!!",F2776="NEW"),"",COUNTBLANK(OFFSET(A$1,,,SUMPRODUCT(MAX(ROW(E$2:E2776)*(E2776=E$2:E2776)))))-COUNTBLANK(OFFSET(A$1,,,SUMPRODUCT(MAX(ROW(E$1:E2775)*(E2=E$1:E2775))))))</f>
        <v> </v>
      </c>
      <c r="K2776" s="25" t="str">
        <f>IF(OR(E2776="",E2776="!!!",F2776="NEW"),"",INDEX(J$1:J2775,SUMPRODUCT(MAX(ROW(E$1:E2775)*(E2776=E$1:E2775)))))</f>
        <v> </v>
      </c>
      <c r="L2776" s="26"/>
    </row>
    <row r="2777" spans="1:12">
      <c r="A2777" s="20" t="s">
        <v>651</v>
      </c>
      <c r="B2777" s="27" t="s">
        <v>619</v>
      </c>
      <c r="C2777" s="27" t="s">
        <v>652</v>
      </c>
      <c r="D2777" s="27" t="s">
        <v>608</v>
      </c>
      <c r="E2777" s="21">
        <f>IF(D2777="?OLD","!!!","")</f>
        <v/>
      </c>
      <c r="F2777" s="22" t="str">
        <f>IF(OR(E2777="",E2777="!!!"),"",IF(NOT(ISNA(VLOOKUP(E2777,E$1:E2776,1,FALSE()))),"OLD",IF(AND(E2777&lt;&gt;"",E2777&lt;&gt;"!!!"),"NEW","")))</f>
        <v> </v>
      </c>
      <c r="G2777" s="23" t="str">
        <f>IF(OR(E2777="",E2777="!!!"),"",IF(OR(J2777=0,AND(J2777=1,K2777=1),AND(J2777=1,I2777="SBJ"),AND(J2777=1,I2777=0)),"?IN_FOCUS",IF(J2777&lt;=2,"?ACTIVATED",IF(J2777&lt;&gt;"","?FAMILIAR",IF(F2777="NEW",IF(ISNA(VLOOKUP(E2777,#REF!,1,FALSE())),"?TYPE_IDENTIFIABLE","?REFERENTIAL"),"_")))))</f>
        <v> </v>
      </c>
      <c r="H2777" s="24" t="str">
        <f>IF(J2777&lt;&gt;1,"",IF(I2777="SBJ","CB","?"))</f>
        <v> </v>
      </c>
      <c r="I2777" s="25" t="str">
        <f>IF(OR(E2777="",E2777="!!!",F2777="NEW"),"",INDEX(B2776:B$2,-1+SUMPRODUCT(MAX(ROW(E2776:E$2)*(E2777=E2776:E$2)))))</f>
        <v> </v>
      </c>
      <c r="J2777" s="25" t="str">
        <f>IF(OR(E2777="",E2777="!!!",F2777="NEW"),"",COUNTBLANK(OFFSET(A$1,,,SUMPRODUCT(MAX(ROW(E$2:E2777)*(E2777=E$2:E2777)))))-COUNTBLANK(OFFSET(A$1,,,SUMPRODUCT(MAX(ROW(E$1:E2776)*(E2=E$1:E2776))))))</f>
        <v> </v>
      </c>
      <c r="K2777" s="25" t="str">
        <f>IF(OR(E2777="",E2777="!!!",F2777="NEW"),"",INDEX(J$1:J2776,SUMPRODUCT(MAX(ROW(E$1:E2776)*(E2777=E$1:E2776)))))</f>
        <v> </v>
      </c>
      <c r="L2777" s="26"/>
    </row>
    <row r="2778" spans="1:12">
      <c r="A2778" s="20" t="s">
        <v>1380</v>
      </c>
      <c r="B2778" s="27" t="s">
        <v>657</v>
      </c>
      <c r="C2778" s="27" t="s">
        <v>637</v>
      </c>
      <c r="D2778" s="27" t="s">
        <v>608</v>
      </c>
      <c r="E2778" s="21">
        <f>IF(D2778="?OLD","!!!","")</f>
        <v/>
      </c>
      <c r="F2778" s="22" t="str">
        <f>IF(OR(E2778="",E2778="!!!"),"",IF(NOT(ISNA(VLOOKUP(E2778,E$1:E2777,1,FALSE()))),"OLD",IF(AND(E2778&lt;&gt;"",E2778&lt;&gt;"!!!"),"NEW","")))</f>
        <v> </v>
      </c>
      <c r="G2778" s="23" t="str">
        <f>IF(OR(E2778="",E2778="!!!"),"",IF(OR(J2778=0,AND(J2778=1,K2778=1),AND(J2778=1,I2778="SBJ"),AND(J2778=1,I2778=0)),"?IN_FOCUS",IF(J2778&lt;=2,"?ACTIVATED",IF(J2778&lt;&gt;"","?FAMILIAR",IF(F2778="NEW",IF(ISNA(VLOOKUP(E2778,#REF!,1,FALSE())),"?TYPE_IDENTIFIABLE","?REFERENTIAL"),"_")))))</f>
        <v> </v>
      </c>
      <c r="H2778" s="24" t="str">
        <f>IF(J2778&lt;&gt;1,"",IF(I2778="SBJ","CB","?"))</f>
        <v> </v>
      </c>
      <c r="I2778" s="25" t="str">
        <f>IF(OR(E2778="",E2778="!!!",F2778="NEW"),"",INDEX(B2777:B$2,-1+SUMPRODUCT(MAX(ROW(E2777:E$2)*(E2778=E2777:E$2)))))</f>
        <v> </v>
      </c>
      <c r="J2778" s="25" t="str">
        <f>IF(OR(E2778="",E2778="!!!",F2778="NEW"),"",COUNTBLANK(OFFSET(A$1,,,SUMPRODUCT(MAX(ROW(E$2:E2778)*(E2778=E$2:E2778)))))-COUNTBLANK(OFFSET(A$1,,,SUMPRODUCT(MAX(ROW(E$1:E2777)*(E2=E$1:E2777))))))</f>
        <v> </v>
      </c>
      <c r="K2778" s="25" t="str">
        <f>IF(OR(E2778="",E2778="!!!",F2778="NEW"),"",INDEX(J$1:J2777,SUMPRODUCT(MAX(ROW(E$1:E2777)*(E2778=E$1:E2777)))))</f>
        <v> </v>
      </c>
      <c r="L2778" s="26"/>
    </row>
    <row r="2779" spans="1:12">
      <c r="A2779" s="20" t="s">
        <v>1539</v>
      </c>
      <c r="E2779" s="21">
        <f>IF(D2779="?OLD","!!!","")</f>
        <v/>
      </c>
      <c r="F2779" s="22" t="str">
        <f>IF(OR(E2779="",E2779="!!!"),"",IF(NOT(ISNA(VLOOKUP(E2779,E$1:E2778,1,FALSE()))),"OLD",IF(AND(E2779&lt;&gt;"",E2779&lt;&gt;"!!!"),"NEW","")))</f>
        <v> </v>
      </c>
      <c r="G2779" s="23" t="str">
        <f>IF(OR(E2779="",E2779="!!!"),"",IF(OR(J2779=0,AND(J2779=1,K2779=1),AND(J2779=1,I2779="SBJ"),AND(J2779=1,I2779=0)),"?IN_FOCUS",IF(J2779&lt;=2,"?ACTIVATED",IF(J2779&lt;&gt;"","?FAMILIAR",IF(F2779="NEW",IF(ISNA(VLOOKUP(E2779,#REF!,1,FALSE())),"?TYPE_IDENTIFIABLE","?REFERENTIAL"),"_")))))</f>
        <v> </v>
      </c>
      <c r="H2779" s="24" t="str">
        <f>IF(J2779&lt;&gt;1,"",IF(I2779="SBJ","CB","?"))</f>
        <v> </v>
      </c>
      <c r="I2779" s="25" t="str">
        <f>IF(OR(E2779="",E2779="!!!",F2779="NEW"),"",INDEX(B2778:B$2,-1+SUMPRODUCT(MAX(ROW(E2778:E$2)*(E2779=E2778:E$2)))))</f>
        <v> </v>
      </c>
      <c r="J2779" s="25" t="str">
        <f>IF(OR(E2779="",E2779="!!!",F2779="NEW"),"",COUNTBLANK(OFFSET(A$1,,,SUMPRODUCT(MAX(ROW(E$2:E2779)*(E2779=E$2:E2779)))))-COUNTBLANK(OFFSET(A$1,,,SUMPRODUCT(MAX(ROW(E$1:E2778)*(E2=E$1:E2778))))))</f>
        <v> </v>
      </c>
      <c r="K2779" s="25" t="str">
        <f>IF(OR(E2779="",E2779="!!!",F2779="NEW"),"",INDEX(J$1:J2778,SUMPRODUCT(MAX(ROW(E$1:E2778)*(E2779=E$1:E2778)))))</f>
        <v> </v>
      </c>
      <c r="L2779" s="26"/>
    </row>
    <row r="2780" spans="1:12">
      <c r="A2780" s="20" t="s">
        <v>18</v>
      </c>
      <c r="E2780" s="21">
        <f>IF(D2780="?OLD","!!!","")</f>
        <v/>
      </c>
      <c r="F2780" s="22" t="str">
        <f>IF(OR(E2780="",E2780="!!!"),"",IF(NOT(ISNA(VLOOKUP(E2780,E$1:E2779,1,FALSE()))),"OLD",IF(AND(E2780&lt;&gt;"",E2780&lt;&gt;"!!!"),"NEW","")))</f>
        <v> </v>
      </c>
      <c r="G2780" s="23" t="str">
        <f>IF(OR(E2780="",E2780="!!!"),"",IF(OR(J2780=0,AND(J2780=1,K2780=1),AND(J2780=1,I2780="SBJ"),AND(J2780=1,I2780=0)),"?IN_FOCUS",IF(J2780&lt;=2,"?ACTIVATED",IF(J2780&lt;&gt;"","?FAMILIAR",IF(F2780="NEW",IF(ISNA(VLOOKUP(E2780,#REF!,1,FALSE())),"?TYPE_IDENTIFIABLE","?REFERENTIAL"),"_")))))</f>
        <v> </v>
      </c>
      <c r="H2780" s="24" t="str">
        <f>IF(J2780&lt;&gt;1,"",IF(I2780="SBJ","CB","?"))</f>
        <v> </v>
      </c>
      <c r="I2780" s="25" t="str">
        <f>IF(OR(E2780="",E2780="!!!",F2780="NEW"),"",INDEX(B2779:B$2,-1+SUMPRODUCT(MAX(ROW(E2779:E$2)*(E2780=E2779:E$2)))))</f>
        <v> </v>
      </c>
      <c r="J2780" s="25" t="str">
        <f>IF(OR(E2780="",E2780="!!!",F2780="NEW"),"",COUNTBLANK(OFFSET(A$1,,,SUMPRODUCT(MAX(ROW(E$2:E2780)*(E2780=E$2:E2780)))))-COUNTBLANK(OFFSET(A$1,,,SUMPRODUCT(MAX(ROW(E$1:E2779)*(E2=E$1:E2779))))))</f>
        <v> </v>
      </c>
      <c r="K2780" s="25" t="str">
        <f>IF(OR(E2780="",E2780="!!!",F2780="NEW"),"",INDEX(J$1:J2779,SUMPRODUCT(MAX(ROW(E$1:E2779)*(E2780=E$1:E2779)))))</f>
        <v> </v>
      </c>
      <c r="L2780" s="26"/>
    </row>
    <row r="2781" spans="1:12">
      <c r="A2781" s="20" t="s">
        <v>633</v>
      </c>
      <c r="E2781" s="21">
        <f>IF(D2781="?OLD","!!!","")</f>
        <v/>
      </c>
      <c r="F2781" s="22" t="str">
        <f>IF(OR(E2781="",E2781="!!!"),"",IF(NOT(ISNA(VLOOKUP(E2781,E$1:E2780,1,FALSE()))),"OLD",IF(AND(E2781&lt;&gt;"",E2781&lt;&gt;"!!!"),"NEW","")))</f>
        <v> </v>
      </c>
      <c r="G2781" s="23" t="str">
        <f>IF(OR(E2781="",E2781="!!!"),"",IF(OR(J2781=0,AND(J2781=1,K2781=1),AND(J2781=1,I2781="SBJ"),AND(J2781=1,I2781=0)),"?IN_FOCUS",IF(J2781&lt;=2,"?ACTIVATED",IF(J2781&lt;&gt;"","?FAMILIAR",IF(F2781="NEW",IF(ISNA(VLOOKUP(E2781,#REF!,1,FALSE())),"?TYPE_IDENTIFIABLE","?REFERENTIAL"),"_")))))</f>
        <v> </v>
      </c>
      <c r="H2781" s="24" t="str">
        <f>IF(J2781&lt;&gt;1,"",IF(I2781="SBJ","CB","?"))</f>
        <v> </v>
      </c>
      <c r="I2781" s="25" t="str">
        <f>IF(OR(E2781="",E2781="!!!",F2781="NEW"),"",INDEX(B2780:B$2,-1+SUMPRODUCT(MAX(ROW(E2780:E$2)*(E2781=E2780:E$2)))))</f>
        <v> </v>
      </c>
      <c r="J2781" s="25" t="str">
        <f>IF(OR(E2781="",E2781="!!!",F2781="NEW"),"",COUNTBLANK(OFFSET(A$1,,,SUMPRODUCT(MAX(ROW(E$2:E2781)*(E2781=E$2:E2781)))))-COUNTBLANK(OFFSET(A$1,,,SUMPRODUCT(MAX(ROW(E$1:E2780)*(E2=E$1:E2780))))))</f>
        <v> </v>
      </c>
      <c r="K2781" s="25" t="str">
        <f>IF(OR(E2781="",E2781="!!!",F2781="NEW"),"",INDEX(J$1:J2780,SUMPRODUCT(MAX(ROW(E$1:E2780)*(E2781=E$1:E2780)))))</f>
        <v> </v>
      </c>
      <c r="L2781" s="26"/>
    </row>
    <row r="2782" spans="1:12">
      <c r="A2782" s="20"/>
    </row>
    <row r="2783" spans="1:12">
      <c r="A2783" s="20" t="s">
        <v>1572</v>
      </c>
    </row>
    <row r="2784" spans="1:12">
      <c r="A2784" s="20" t="s">
        <v>661</v>
      </c>
      <c r="E2784" s="21">
        <f>IF(D2784="?OLD","!!!","")</f>
        <v/>
      </c>
      <c r="F2784" s="22" t="str">
        <f>IF(OR(E2784="",E2784="!!!"),"",IF(NOT(ISNA(VLOOKUP(E2784,E$1:E2783,1,FALSE()))),"OLD",IF(AND(E2784&lt;&gt;"",E2784&lt;&gt;"!!!"),"NEW","")))</f>
        <v> </v>
      </c>
      <c r="G2784" s="23" t="str">
        <f>IF(OR(E2784="",E2784="!!!"),"",IF(OR(J2784=0,AND(J2784=1,K2784=1),AND(J2784=1,I2784="SBJ"),AND(J2784=1,I2784=0)),"?IN_FOCUS",IF(J2784&lt;=2,"?ACTIVATED",IF(J2784&lt;&gt;"","?FAMILIAR",IF(F2784="NEW",IF(ISNA(VLOOKUP(E2784,#REF!,1,FALSE())),"?TYPE_IDENTIFIABLE","?REFERENTIAL"),"_")))))</f>
        <v> </v>
      </c>
      <c r="H2784" s="24" t="str">
        <f>IF(J2784&lt;&gt;1,"",IF(I2784="SBJ","CB","?"))</f>
        <v> </v>
      </c>
      <c r="I2784" s="25" t="str">
        <f>IF(OR(E2784="",E2784="!!!",F2784="NEW"),"",INDEX(B2783:B$2,-1+SUMPRODUCT(MAX(ROW(E2783:E$2)*(E2784=E2783:E$2)))))</f>
        <v> </v>
      </c>
      <c r="J2784" s="25" t="str">
        <f>IF(OR(E2784="",E2784="!!!",F2784="NEW"),"",COUNTBLANK(OFFSET(A$1,,,SUMPRODUCT(MAX(ROW(E$2:E2784)*(E2784=E$2:E2784)))))-COUNTBLANK(OFFSET(A$1,,,SUMPRODUCT(MAX(ROW(E$1:E2783)*(E2=E$1:E2783))))))</f>
        <v> </v>
      </c>
      <c r="K2784" s="25" t="str">
        <f>IF(OR(E2784="",E2784="!!!",F2784="NEW"),"",INDEX(J$1:J2783,SUMPRODUCT(MAX(ROW(E$1:E2783)*(E2784=E$1:E2783)))))</f>
        <v> </v>
      </c>
      <c r="L2784" s="26"/>
    </row>
    <row r="2785" spans="1:12">
      <c r="A2785" s="20" t="s">
        <v>690</v>
      </c>
      <c r="B2785" s="27" t="s">
        <v>636</v>
      </c>
      <c r="C2785" s="27" t="s">
        <v>614</v>
      </c>
      <c r="D2785" s="27" t="s">
        <v>608</v>
      </c>
      <c r="E2785" s="21">
        <f>IF(D2785="?OLD","!!!","")</f>
        <v/>
      </c>
      <c r="F2785" s="22" t="str">
        <f>IF(OR(E2785="",E2785="!!!"),"",IF(NOT(ISNA(VLOOKUP(E2785,E$1:E2784,1,FALSE()))),"OLD",IF(AND(E2785&lt;&gt;"",E2785&lt;&gt;"!!!"),"NEW","")))</f>
        <v> </v>
      </c>
      <c r="G2785" s="23" t="str">
        <f>IF(OR(E2785="",E2785="!!!"),"",IF(OR(J2785=0,AND(J2785=1,K2785=1),AND(J2785=1,I2785="SBJ"),AND(J2785=1,I2785=0)),"?IN_FOCUS",IF(J2785&lt;=2,"?ACTIVATED",IF(J2785&lt;&gt;"","?FAMILIAR",IF(F2785="NEW",IF(ISNA(VLOOKUP(E2785,#REF!,1,FALSE())),"?TYPE_IDENTIFIABLE","?REFERENTIAL"),"_")))))</f>
        <v> </v>
      </c>
      <c r="H2785" s="24" t="str">
        <f>IF(J2785&lt;&gt;1,"",IF(I2785="SBJ","CB","?"))</f>
        <v> </v>
      </c>
      <c r="I2785" s="25" t="str">
        <f>IF(OR(E2785="",E2785="!!!",F2785="NEW"),"",INDEX(B2784:B$2,-1+SUMPRODUCT(MAX(ROW(E2784:E$2)*(E2785=E2784:E$2)))))</f>
        <v> </v>
      </c>
      <c r="J2785" s="25" t="str">
        <f>IF(OR(E2785="",E2785="!!!",F2785="NEW"),"",COUNTBLANK(OFFSET(A$1,,,SUMPRODUCT(MAX(ROW(E$2:E2785)*(E2785=E$2:E2785)))))-COUNTBLANK(OFFSET(A$1,,,SUMPRODUCT(MAX(ROW(E$1:E2784)*(E2=E$1:E2784))))))</f>
        <v> </v>
      </c>
      <c r="K2785" s="25" t="str">
        <f>IF(OR(E2785="",E2785="!!!",F2785="NEW"),"",INDEX(J$1:J2784,SUMPRODUCT(MAX(ROW(E$1:E2784)*(E2785=E$1:E2784)))))</f>
        <v> </v>
      </c>
      <c r="L2785" s="26"/>
    </row>
    <row r="2786" spans="1:12">
      <c r="A2786" s="20" t="s">
        <v>843</v>
      </c>
      <c r="E2786" s="21">
        <f>IF(D2786="?OLD","!!!","")</f>
        <v/>
      </c>
      <c r="F2786" s="22" t="str">
        <f>IF(OR(E2786="",E2786="!!!"),"",IF(NOT(ISNA(VLOOKUP(E2786,E$1:E2785,1,FALSE()))),"OLD",IF(AND(E2786&lt;&gt;"",E2786&lt;&gt;"!!!"),"NEW","")))</f>
        <v> </v>
      </c>
      <c r="G2786" s="23" t="str">
        <f>IF(OR(E2786="",E2786="!!!"),"",IF(OR(J2786=0,AND(J2786=1,K2786=1),AND(J2786=1,I2786="SBJ"),AND(J2786=1,I2786=0)),"?IN_FOCUS",IF(J2786&lt;=2,"?ACTIVATED",IF(J2786&lt;&gt;"","?FAMILIAR",IF(F2786="NEW",IF(ISNA(VLOOKUP(E2786,#REF!,1,FALSE())),"?TYPE_IDENTIFIABLE","?REFERENTIAL"),"_")))))</f>
        <v> </v>
      </c>
      <c r="H2786" s="24" t="str">
        <f>IF(J2786&lt;&gt;1,"",IF(I2786="SBJ","CB","?"))</f>
        <v> </v>
      </c>
      <c r="I2786" s="25" t="str">
        <f>IF(OR(E2786="",E2786="!!!",F2786="NEW"),"",INDEX(B2785:B$2,-1+SUMPRODUCT(MAX(ROW(E2785:E$2)*(E2786=E2785:E$2)))))</f>
        <v> </v>
      </c>
      <c r="J2786" s="25" t="str">
        <f>IF(OR(E2786="",E2786="!!!",F2786="NEW"),"",COUNTBLANK(OFFSET(A$1,,,SUMPRODUCT(MAX(ROW(E$2:E2786)*(E2786=E$2:E2786)))))-COUNTBLANK(OFFSET(A$1,,,SUMPRODUCT(MAX(ROW(E$1:E2785)*(E2=E$1:E2785))))))</f>
        <v> </v>
      </c>
      <c r="K2786" s="25" t="str">
        <f>IF(OR(E2786="",E2786="!!!",F2786="NEW"),"",INDEX(J$1:J2785,SUMPRODUCT(MAX(ROW(E$1:E2785)*(E2786=E$1:E2785)))))</f>
        <v> </v>
      </c>
      <c r="L2786" s="26"/>
    </row>
    <row r="2787" spans="1:12">
      <c r="A2787" s="20" t="s">
        <v>521</v>
      </c>
      <c r="E2787" s="21">
        <f>IF(D2787="?OLD","!!!","")</f>
        <v/>
      </c>
      <c r="F2787" s="22" t="str">
        <f>IF(OR(E2787="",E2787="!!!"),"",IF(NOT(ISNA(VLOOKUP(E2787,E$1:E2786,1,FALSE()))),"OLD",IF(AND(E2787&lt;&gt;"",E2787&lt;&gt;"!!!"),"NEW","")))</f>
        <v> </v>
      </c>
      <c r="G2787" s="23" t="str">
        <f>IF(OR(E2787="",E2787="!!!"),"",IF(OR(J2787=0,AND(J2787=1,K2787=1),AND(J2787=1,I2787="SBJ"),AND(J2787=1,I2787=0)),"?IN_FOCUS",IF(J2787&lt;=2,"?ACTIVATED",IF(J2787&lt;&gt;"","?FAMILIAR",IF(F2787="NEW",IF(ISNA(VLOOKUP(E2787,#REF!,1,FALSE())),"?TYPE_IDENTIFIABLE","?REFERENTIAL"),"_")))))</f>
        <v> </v>
      </c>
      <c r="H2787" s="24" t="str">
        <f>IF(J2787&lt;&gt;1,"",IF(I2787="SBJ","CB","?"))</f>
        <v> </v>
      </c>
      <c r="I2787" s="25" t="str">
        <f>IF(OR(E2787="",E2787="!!!",F2787="NEW"),"",INDEX(B2786:B$2,-1+SUMPRODUCT(MAX(ROW(E2786:E$2)*(E2787=E2786:E$2)))))</f>
        <v> </v>
      </c>
      <c r="J2787" s="25" t="str">
        <f>IF(OR(E2787="",E2787="!!!",F2787="NEW"),"",COUNTBLANK(OFFSET(A$1,,,SUMPRODUCT(MAX(ROW(E$2:E2787)*(E2787=E$2:E2787)))))-COUNTBLANK(OFFSET(A$1,,,SUMPRODUCT(MAX(ROW(E$1:E2786)*(E2=E$1:E2786))))))</f>
        <v> </v>
      </c>
      <c r="K2787" s="25" t="str">
        <f>IF(OR(E2787="",E2787="!!!",F2787="NEW"),"",INDEX(J$1:J2786,SUMPRODUCT(MAX(ROW(E$1:E2786)*(E2787=E$1:E2786)))))</f>
        <v> </v>
      </c>
      <c r="L2787" s="26"/>
    </row>
    <row r="2788" spans="1:12">
      <c r="A2788" s="20" t="s">
        <v>633</v>
      </c>
      <c r="E2788" s="21">
        <f>IF(D2788="?OLD","!!!","")</f>
        <v/>
      </c>
      <c r="F2788" s="22" t="str">
        <f>IF(OR(E2788="",E2788="!!!"),"",IF(NOT(ISNA(VLOOKUP(E2788,E$1:E2787,1,FALSE()))),"OLD",IF(AND(E2788&lt;&gt;"",E2788&lt;&gt;"!!!"),"NEW","")))</f>
        <v> </v>
      </c>
      <c r="G2788" s="23" t="str">
        <f>IF(OR(E2788="",E2788="!!!"),"",IF(OR(J2788=0,AND(J2788=1,K2788=1),AND(J2788=1,I2788="SBJ"),AND(J2788=1,I2788=0)),"?IN_FOCUS",IF(J2788&lt;=2,"?ACTIVATED",IF(J2788&lt;&gt;"","?FAMILIAR",IF(F2788="NEW",IF(ISNA(VLOOKUP(E2788,#REF!,1,FALSE())),"?TYPE_IDENTIFIABLE","?REFERENTIAL"),"_")))))</f>
        <v> </v>
      </c>
      <c r="H2788" s="24" t="str">
        <f>IF(J2788&lt;&gt;1,"",IF(I2788="SBJ","CB","?"))</f>
        <v> </v>
      </c>
      <c r="I2788" s="25" t="str">
        <f>IF(OR(E2788="",E2788="!!!",F2788="NEW"),"",INDEX(B2787:B$2,-1+SUMPRODUCT(MAX(ROW(E2787:E$2)*(E2788=E2787:E$2)))))</f>
        <v> </v>
      </c>
      <c r="J2788" s="25" t="str">
        <f>IF(OR(E2788="",E2788="!!!",F2788="NEW"),"",COUNTBLANK(OFFSET(A$1,,,SUMPRODUCT(MAX(ROW(E$2:E2788)*(E2788=E$2:E2788)))))-COUNTBLANK(OFFSET(A$1,,,SUMPRODUCT(MAX(ROW(E$1:E2787)*(E2=E$1:E2787))))))</f>
        <v> </v>
      </c>
      <c r="K2788" s="25" t="str">
        <f>IF(OR(E2788="",E2788="!!!",F2788="NEW"),"",INDEX(J$1:J2787,SUMPRODUCT(MAX(ROW(E$1:E2787)*(E2788=E$1:E2787)))))</f>
        <v> </v>
      </c>
      <c r="L2788" s="26"/>
    </row>
    <row r="2789" spans="1:12">
      <c r="A2789" s="20"/>
    </row>
    <row r="2790" spans="1:12">
      <c r="A2790" s="20" t="s">
        <v>1573</v>
      </c>
    </row>
    <row r="2791" spans="1:12">
      <c r="A2791" s="20" t="s">
        <v>814</v>
      </c>
      <c r="E2791" s="21">
        <f>IF(D2791="?OLD","!!!","")</f>
        <v/>
      </c>
      <c r="F2791" s="22" t="str">
        <f>IF(OR(E2791="",E2791="!!!"),"",IF(NOT(ISNA(VLOOKUP(E2791,E$1:E2790,1,FALSE()))),"OLD",IF(AND(E2791&lt;&gt;"",E2791&lt;&gt;"!!!"),"NEW","")))</f>
        <v> </v>
      </c>
      <c r="G2791" s="23" t="str">
        <f>IF(OR(E2791="",E2791="!!!"),"",IF(OR(J2791=0,AND(J2791=1,K2791=1),AND(J2791=1,I2791="SBJ"),AND(J2791=1,I2791=0)),"?IN_FOCUS",IF(J2791&lt;=2,"?ACTIVATED",IF(J2791&lt;&gt;"","?FAMILIAR",IF(F2791="NEW",IF(ISNA(VLOOKUP(E2791,#REF!,1,FALSE())),"?TYPE_IDENTIFIABLE","?REFERENTIAL"),"_")))))</f>
        <v> </v>
      </c>
      <c r="H2791" s="24" t="str">
        <f>IF(J2791&lt;&gt;1,"",IF(I2791="SBJ","CB","?"))</f>
        <v> </v>
      </c>
      <c r="I2791" s="25" t="str">
        <f>IF(OR(E2791="",E2791="!!!",F2791="NEW"),"",INDEX(B2790:B$2,-1+SUMPRODUCT(MAX(ROW(E2790:E$2)*(E2791=E2790:E$2)))))</f>
        <v> </v>
      </c>
      <c r="J2791" s="25" t="str">
        <f>IF(OR(E2791="",E2791="!!!",F2791="NEW"),"",COUNTBLANK(OFFSET(A$1,,,SUMPRODUCT(MAX(ROW(E$2:E2791)*(E2791=E$2:E2791)))))-COUNTBLANK(OFFSET(A$1,,,SUMPRODUCT(MAX(ROW(E$1:E2790)*(E2=E$1:E2790))))))</f>
        <v> </v>
      </c>
      <c r="K2791" s="25" t="str">
        <f>IF(OR(E2791="",E2791="!!!",F2791="NEW"),"",INDEX(J$1:J2790,SUMPRODUCT(MAX(ROW(E$1:E2790)*(E2791=E$1:E2790)))))</f>
        <v> </v>
      </c>
      <c r="L2791" s="26"/>
    </row>
    <row r="2792" spans="1:12">
      <c r="A2792" s="20" t="s">
        <v>856</v>
      </c>
      <c r="B2792" s="27" t="s">
        <v>636</v>
      </c>
      <c r="C2792" s="27" t="s">
        <v>637</v>
      </c>
      <c r="D2792" s="27" t="s">
        <v>608</v>
      </c>
      <c r="E2792" s="21">
        <f>IF(D2792="?OLD","!!!","")</f>
        <v/>
      </c>
      <c r="F2792" s="22" t="str">
        <f>IF(OR(E2792="",E2792="!!!"),"",IF(NOT(ISNA(VLOOKUP(E2792,E$1:E2791,1,FALSE()))),"OLD",IF(AND(E2792&lt;&gt;"",E2792&lt;&gt;"!!!"),"NEW","")))</f>
        <v> </v>
      </c>
      <c r="G2792" s="23" t="str">
        <f>IF(OR(E2792="",E2792="!!!"),"",IF(OR(J2792=0,AND(J2792=1,K2792=1),AND(J2792=1,I2792="SBJ"),AND(J2792=1,I2792=0)),"?IN_FOCUS",IF(J2792&lt;=2,"?ACTIVATED",IF(J2792&lt;&gt;"","?FAMILIAR",IF(F2792="NEW",IF(ISNA(VLOOKUP(E2792,#REF!,1,FALSE())),"?TYPE_IDENTIFIABLE","?REFERENTIAL"),"_")))))</f>
        <v> </v>
      </c>
      <c r="H2792" s="24" t="str">
        <f>IF(J2792&lt;&gt;1,"",IF(I2792="SBJ","CB","?"))</f>
        <v> </v>
      </c>
      <c r="I2792" s="25" t="str">
        <f>IF(OR(E2792="",E2792="!!!",F2792="NEW"),"",INDEX(B2791:B$2,-1+SUMPRODUCT(MAX(ROW(E2791:E$2)*(E2792=E2791:E$2)))))</f>
        <v> </v>
      </c>
      <c r="J2792" s="25" t="str">
        <f>IF(OR(E2792="",E2792="!!!",F2792="NEW"),"",COUNTBLANK(OFFSET(A$1,,,SUMPRODUCT(MAX(ROW(E$2:E2792)*(E2792=E$2:E2792)))))-COUNTBLANK(OFFSET(A$1,,,SUMPRODUCT(MAX(ROW(E$1:E2791)*(E2=E$1:E2791))))))</f>
        <v> </v>
      </c>
      <c r="K2792" s="25" t="str">
        <f>IF(OR(E2792="",E2792="!!!",F2792="NEW"),"",INDEX(J$1:J2791,SUMPRODUCT(MAX(ROW(E$1:E2791)*(E2792=E$1:E2791)))))</f>
        <v> </v>
      </c>
      <c r="L2792" s="26"/>
    </row>
    <row r="2793" spans="1:12">
      <c r="A2793" s="20" t="s">
        <v>1574</v>
      </c>
      <c r="E2793" s="21">
        <f>IF(D2793="?OLD","!!!","")</f>
        <v/>
      </c>
      <c r="F2793" s="22" t="str">
        <f>IF(OR(E2793="",E2793="!!!"),"",IF(NOT(ISNA(VLOOKUP(E2793,E$1:E2792,1,FALSE()))),"OLD",IF(AND(E2793&lt;&gt;"",E2793&lt;&gt;"!!!"),"NEW","")))</f>
        <v> </v>
      </c>
      <c r="G2793" s="23" t="str">
        <f>IF(OR(E2793="",E2793="!!!"),"",IF(OR(J2793=0,AND(J2793=1,K2793=1),AND(J2793=1,I2793="SBJ"),AND(J2793=1,I2793=0)),"?IN_FOCUS",IF(J2793&lt;=2,"?ACTIVATED",IF(J2793&lt;&gt;"","?FAMILIAR",IF(F2793="NEW",IF(ISNA(VLOOKUP(E2793,#REF!,1,FALSE())),"?TYPE_IDENTIFIABLE","?REFERENTIAL"),"_")))))</f>
        <v> </v>
      </c>
      <c r="H2793" s="24" t="str">
        <f>IF(J2793&lt;&gt;1,"",IF(I2793="SBJ","CB","?"))</f>
        <v> </v>
      </c>
      <c r="I2793" s="25" t="str">
        <f>IF(OR(E2793="",E2793="!!!",F2793="NEW"),"",INDEX(B2792:B$2,-1+SUMPRODUCT(MAX(ROW(E2792:E$2)*(E2793=E2792:E$2)))))</f>
        <v> </v>
      </c>
      <c r="J2793" s="25" t="str">
        <f>IF(OR(E2793="",E2793="!!!",F2793="NEW"),"",COUNTBLANK(OFFSET(A$1,,,SUMPRODUCT(MAX(ROW(E$2:E2793)*(E2793=E$2:E2793)))))-COUNTBLANK(OFFSET(A$1,,,SUMPRODUCT(MAX(ROW(E$1:E2792)*(E2=E$1:E2792))))))</f>
        <v> </v>
      </c>
      <c r="K2793" s="25" t="str">
        <f>IF(OR(E2793="",E2793="!!!",F2793="NEW"),"",INDEX(J$1:J2792,SUMPRODUCT(MAX(ROW(E$1:E2792)*(E2793=E$1:E2792)))))</f>
        <v> </v>
      </c>
      <c r="L2793" s="26"/>
    </row>
    <row r="2794" spans="1:12">
      <c r="A2794" s="20" t="s">
        <v>1417</v>
      </c>
      <c r="B2794" s="27" t="s">
        <v>653</v>
      </c>
      <c r="C2794" s="27" t="s">
        <v>622</v>
      </c>
      <c r="E2794" s="21">
        <f>IF(D2794="?OLD","!!!","")</f>
        <v/>
      </c>
      <c r="F2794" s="22" t="str">
        <f>IF(OR(E2794="",E2794="!!!"),"",IF(NOT(ISNA(VLOOKUP(E2794,E$1:E2793,1,FALSE()))),"OLD",IF(AND(E2794&lt;&gt;"",E2794&lt;&gt;"!!!"),"NEW","")))</f>
        <v> </v>
      </c>
      <c r="G2794" s="23" t="str">
        <f>IF(OR(E2794="",E2794="!!!"),"",IF(OR(J2794=0,AND(J2794=1,K2794=1),AND(J2794=1,I2794="SBJ"),AND(J2794=1,I2794=0)),"?IN_FOCUS",IF(J2794&lt;=2,"?ACTIVATED",IF(J2794&lt;&gt;"","?FAMILIAR",IF(F2794="NEW",IF(ISNA(VLOOKUP(E2794,#REF!,1,FALSE())),"?TYPE_IDENTIFIABLE","?REFERENTIAL"),"_")))))</f>
        <v> </v>
      </c>
      <c r="H2794" s="24" t="str">
        <f>IF(J2794&lt;&gt;1,"",IF(I2794="SBJ","CB","?"))</f>
        <v> </v>
      </c>
      <c r="I2794" s="25" t="str">
        <f>IF(OR(E2794="",E2794="!!!",F2794="NEW"),"",INDEX(B2793:B$2,-1+SUMPRODUCT(MAX(ROW(E2793:E$2)*(E2794=E2793:E$2)))))</f>
        <v> </v>
      </c>
      <c r="J2794" s="25" t="str">
        <f>IF(OR(E2794="",E2794="!!!",F2794="NEW"),"",COUNTBLANK(OFFSET(A$1,,,SUMPRODUCT(MAX(ROW(E$2:E2794)*(E2794=E$2:E2794)))))-COUNTBLANK(OFFSET(A$1,,,SUMPRODUCT(MAX(ROW(E$1:E2793)*(E2=E$1:E2793))))))</f>
        <v> </v>
      </c>
      <c r="K2794" s="25" t="str">
        <f>IF(OR(E2794="",E2794="!!!",F2794="NEW"),"",INDEX(J$1:J2793,SUMPRODUCT(MAX(ROW(E$1:E2793)*(E2794=E$1:E2793)))))</f>
        <v> </v>
      </c>
      <c r="L2794" s="26"/>
    </row>
    <row r="2795" spans="1:12">
      <c r="A2795" s="20" t="s">
        <v>633</v>
      </c>
      <c r="E2795" s="21">
        <f>IF(D2795="?OLD","!!!","")</f>
        <v/>
      </c>
      <c r="F2795" s="22" t="str">
        <f>IF(OR(E2795="",E2795="!!!"),"",IF(NOT(ISNA(VLOOKUP(E2795,E$1:E2794,1,FALSE()))),"OLD",IF(AND(E2795&lt;&gt;"",E2795&lt;&gt;"!!!"),"NEW","")))</f>
        <v> </v>
      </c>
      <c r="G2795" s="23" t="str">
        <f>IF(OR(E2795="",E2795="!!!"),"",IF(OR(J2795=0,AND(J2795=1,K2795=1),AND(J2795=1,I2795="SBJ"),AND(J2795=1,I2795=0)),"?IN_FOCUS",IF(J2795&lt;=2,"?ACTIVATED",IF(J2795&lt;&gt;"","?FAMILIAR",IF(F2795="NEW",IF(ISNA(VLOOKUP(E2795,#REF!,1,FALSE())),"?TYPE_IDENTIFIABLE","?REFERENTIAL"),"_")))))</f>
        <v> </v>
      </c>
      <c r="H2795" s="24" t="str">
        <f>IF(J2795&lt;&gt;1,"",IF(I2795="SBJ","CB","?"))</f>
        <v> </v>
      </c>
      <c r="I2795" s="25" t="str">
        <f>IF(OR(E2795="",E2795="!!!",F2795="NEW"),"",INDEX(B2794:B$2,-1+SUMPRODUCT(MAX(ROW(E2794:E$2)*(E2795=E2794:E$2)))))</f>
        <v> </v>
      </c>
      <c r="J2795" s="25" t="str">
        <f>IF(OR(E2795="",E2795="!!!",F2795="NEW"),"",COUNTBLANK(OFFSET(A$1,,,SUMPRODUCT(MAX(ROW(E$2:E2795)*(E2795=E$2:E2795)))))-COUNTBLANK(OFFSET(A$1,,,SUMPRODUCT(MAX(ROW(E$1:E2794)*(E2=E$1:E2794))))))</f>
        <v> </v>
      </c>
      <c r="K2795" s="25" t="str">
        <f>IF(OR(E2795="",E2795="!!!",F2795="NEW"),"",INDEX(J$1:J2794,SUMPRODUCT(MAX(ROW(E$1:E2794)*(E2795=E$1:E2794)))))</f>
        <v> </v>
      </c>
      <c r="L2795" s="26"/>
    </row>
    <row r="2796" spans="1:12">
      <c r="A2796" s="20"/>
    </row>
    <row r="2797" spans="1:12">
      <c r="A2797" s="20" t="s">
        <v>1575</v>
      </c>
    </row>
    <row r="2798" spans="1:12">
      <c r="A2798" s="20" t="s">
        <v>933</v>
      </c>
      <c r="B2798" s="27" t="s">
        <v>636</v>
      </c>
      <c r="C2798" s="27" t="s">
        <v>637</v>
      </c>
      <c r="D2798" s="27" t="s">
        <v>608</v>
      </c>
      <c r="E2798" s="21">
        <f>IF(D2798="?OLD","!!!","")</f>
        <v/>
      </c>
      <c r="F2798" s="22" t="str">
        <f>IF(OR(E2798="",E2798="!!!"),"",IF(NOT(ISNA(VLOOKUP(E2798,E$1:E2797,1,FALSE()))),"OLD",IF(AND(E2798&lt;&gt;"",E2798&lt;&gt;"!!!"),"NEW","")))</f>
        <v> </v>
      </c>
      <c r="G2798" s="23" t="str">
        <f>IF(OR(E2798="",E2798="!!!"),"",IF(OR(J2798=0,AND(J2798=1,K2798=1),AND(J2798=1,I2798="SBJ"),AND(J2798=1,I2798=0)),"?IN_FOCUS",IF(J2798&lt;=2,"?ACTIVATED",IF(J2798&lt;&gt;"","?FAMILIAR",IF(F2798="NEW",IF(ISNA(VLOOKUP(E2798,#REF!,1,FALSE())),"?TYPE_IDENTIFIABLE","?REFERENTIAL"),"_")))))</f>
        <v> </v>
      </c>
      <c r="H2798" s="24" t="str">
        <f>IF(J2798&lt;&gt;1,"",IF(I2798="SBJ","CB","?"))</f>
        <v> </v>
      </c>
      <c r="I2798" s="25" t="str">
        <f>IF(OR(E2798="",E2798="!!!",F2798="NEW"),"",INDEX(B2797:B$2,-1+SUMPRODUCT(MAX(ROW(E2797:E$2)*(E2798=E2797:E$2)))))</f>
        <v> </v>
      </c>
      <c r="J2798" s="25" t="str">
        <f>IF(OR(E2798="",E2798="!!!",F2798="NEW"),"",COUNTBLANK(OFFSET(A$1,,,SUMPRODUCT(MAX(ROW(E$2:E2798)*(E2798=E$2:E2798)))))-COUNTBLANK(OFFSET(A$1,,,SUMPRODUCT(MAX(ROW(E$1:E2797)*(E2=E$1:E2797))))))</f>
        <v> </v>
      </c>
      <c r="K2798" s="25" t="str">
        <f>IF(OR(E2798="",E2798="!!!",F2798="NEW"),"",INDEX(J$1:J2797,SUMPRODUCT(MAX(ROW(E$1:E2797)*(E2798=E$1:E2797)))))</f>
        <v> </v>
      </c>
      <c r="L2798" s="26"/>
    </row>
    <row r="2799" spans="1:12">
      <c r="A2799" s="20" t="s">
        <v>1574</v>
      </c>
      <c r="E2799" s="21">
        <f>IF(D2799="?OLD","!!!","")</f>
        <v/>
      </c>
      <c r="F2799" s="22" t="str">
        <f>IF(OR(E2799="",E2799="!!!"),"",IF(NOT(ISNA(VLOOKUP(E2799,E$1:E2798,1,FALSE()))),"OLD",IF(AND(E2799&lt;&gt;"",E2799&lt;&gt;"!!!"),"NEW","")))</f>
        <v> </v>
      </c>
      <c r="G2799" s="23" t="str">
        <f>IF(OR(E2799="",E2799="!!!"),"",IF(OR(J2799=0,AND(J2799=1,K2799=1),AND(J2799=1,I2799="SBJ"),AND(J2799=1,I2799=0)),"?IN_FOCUS",IF(J2799&lt;=2,"?ACTIVATED",IF(J2799&lt;&gt;"","?FAMILIAR",IF(F2799="NEW",IF(ISNA(VLOOKUP(E2799,#REF!,1,FALSE())),"?TYPE_IDENTIFIABLE","?REFERENTIAL"),"_")))))</f>
        <v> </v>
      </c>
      <c r="H2799" s="24" t="str">
        <f>IF(J2799&lt;&gt;1,"",IF(I2799="SBJ","CB","?"))</f>
        <v> </v>
      </c>
      <c r="I2799" s="25" t="str">
        <f>IF(OR(E2799="",E2799="!!!",F2799="NEW"),"",INDEX(B2798:B$2,-1+SUMPRODUCT(MAX(ROW(E2798:E$2)*(E2799=E2798:E$2)))))</f>
        <v> </v>
      </c>
      <c r="J2799" s="25" t="str">
        <f>IF(OR(E2799="",E2799="!!!",F2799="NEW"),"",COUNTBLANK(OFFSET(A$1,,,SUMPRODUCT(MAX(ROW(E$2:E2799)*(E2799=E$2:E2799)))))-COUNTBLANK(OFFSET(A$1,,,SUMPRODUCT(MAX(ROW(E$1:E2798)*(E2=E$1:E2798))))))</f>
        <v> </v>
      </c>
      <c r="K2799" s="25" t="str">
        <f>IF(OR(E2799="",E2799="!!!",F2799="NEW"),"",INDEX(J$1:J2798,SUMPRODUCT(MAX(ROW(E$1:E2798)*(E2799=E$1:E2798)))))</f>
        <v> </v>
      </c>
      <c r="L2799" s="26"/>
    </row>
    <row r="2800" spans="1:12">
      <c r="A2800" s="20" t="s">
        <v>1563</v>
      </c>
      <c r="B2800" s="27" t="s">
        <v>653</v>
      </c>
      <c r="C2800" s="27" t="s">
        <v>622</v>
      </c>
      <c r="E2800" s="21">
        <f>IF(D2800="?OLD","!!!","")</f>
        <v/>
      </c>
      <c r="F2800" s="22" t="str">
        <f>IF(OR(E2800="",E2800="!!!"),"",IF(NOT(ISNA(VLOOKUP(E2800,E$1:E2799,1,FALSE()))),"OLD",IF(AND(E2800&lt;&gt;"",E2800&lt;&gt;"!!!"),"NEW","")))</f>
        <v> </v>
      </c>
      <c r="G2800" s="23" t="str">
        <f>IF(OR(E2800="",E2800="!!!"),"",IF(OR(J2800=0,AND(J2800=1,K2800=1),AND(J2800=1,I2800="SBJ"),AND(J2800=1,I2800=0)),"?IN_FOCUS",IF(J2800&lt;=2,"?ACTIVATED",IF(J2800&lt;&gt;"","?FAMILIAR",IF(F2800="NEW",IF(ISNA(VLOOKUP(E2800,#REF!,1,FALSE())),"?TYPE_IDENTIFIABLE","?REFERENTIAL"),"_")))))</f>
        <v> </v>
      </c>
      <c r="H2800" s="24" t="str">
        <f>IF(J2800&lt;&gt;1,"",IF(I2800="SBJ","CB","?"))</f>
        <v> </v>
      </c>
      <c r="I2800" s="25" t="str">
        <f>IF(OR(E2800="",E2800="!!!",F2800="NEW"),"",INDEX(B2799:B$2,-1+SUMPRODUCT(MAX(ROW(E2799:E$2)*(E2800=E2799:E$2)))))</f>
        <v> </v>
      </c>
      <c r="J2800" s="25" t="str">
        <f>IF(OR(E2800="",E2800="!!!",F2800="NEW"),"",COUNTBLANK(OFFSET(A$1,,,SUMPRODUCT(MAX(ROW(E$2:E2800)*(E2800=E$2:E2800)))))-COUNTBLANK(OFFSET(A$1,,,SUMPRODUCT(MAX(ROW(E$1:E2799)*(E2=E$1:E2799))))))</f>
        <v> </v>
      </c>
      <c r="K2800" s="25" t="str">
        <f>IF(OR(E2800="",E2800="!!!",F2800="NEW"),"",INDEX(J$1:J2799,SUMPRODUCT(MAX(ROW(E$1:E2799)*(E2800=E$1:E2799)))))</f>
        <v> </v>
      </c>
      <c r="L2800" s="26"/>
    </row>
    <row r="2801" spans="1:12">
      <c r="A2801" s="20" t="s">
        <v>633</v>
      </c>
      <c r="E2801" s="21">
        <f>IF(D2801="?OLD","!!!","")</f>
        <v/>
      </c>
      <c r="F2801" s="22" t="str">
        <f>IF(OR(E2801="",E2801="!!!"),"",IF(NOT(ISNA(VLOOKUP(E2801,E$1:E2800,1,FALSE()))),"OLD",IF(AND(E2801&lt;&gt;"",E2801&lt;&gt;"!!!"),"NEW","")))</f>
        <v> </v>
      </c>
      <c r="G2801" s="23" t="str">
        <f>IF(OR(E2801="",E2801="!!!"),"",IF(OR(J2801=0,AND(J2801=1,K2801=1),AND(J2801=1,I2801="SBJ"),AND(J2801=1,I2801=0)),"?IN_FOCUS",IF(J2801&lt;=2,"?ACTIVATED",IF(J2801&lt;&gt;"","?FAMILIAR",IF(F2801="NEW",IF(ISNA(VLOOKUP(E2801,#REF!,1,FALSE())),"?TYPE_IDENTIFIABLE","?REFERENTIAL"),"_")))))</f>
        <v> </v>
      </c>
      <c r="H2801" s="24" t="str">
        <f>IF(J2801&lt;&gt;1,"",IF(I2801="SBJ","CB","?"))</f>
        <v> </v>
      </c>
      <c r="I2801" s="25" t="str">
        <f>IF(OR(E2801="",E2801="!!!",F2801="NEW"),"",INDEX(B2800:B$2,-1+SUMPRODUCT(MAX(ROW(E2800:E$2)*(E2801=E2800:E$2)))))</f>
        <v> </v>
      </c>
      <c r="J2801" s="25" t="str">
        <f>IF(OR(E2801="",E2801="!!!",F2801="NEW"),"",COUNTBLANK(OFFSET(A$1,,,SUMPRODUCT(MAX(ROW(E$2:E2801)*(E2801=E$2:E2801)))))-COUNTBLANK(OFFSET(A$1,,,SUMPRODUCT(MAX(ROW(E$1:E2800)*(E2=E$1:E2800))))))</f>
        <v> </v>
      </c>
      <c r="K2801" s="25" t="str">
        <f>IF(OR(E2801="",E2801="!!!",F2801="NEW"),"",INDEX(J$1:J2800,SUMPRODUCT(MAX(ROW(E$1:E2800)*(E2801=E$1:E2800)))))</f>
        <v> </v>
      </c>
      <c r="L2801" s="26"/>
    </row>
    <row r="2802" spans="1:12">
      <c r="A2802" s="20"/>
    </row>
    <row r="2803" spans="1:12">
      <c r="A2803" s="20" t="s">
        <v>1576</v>
      </c>
    </row>
    <row r="2804" spans="1:12">
      <c r="A2804" s="20" t="s">
        <v>933</v>
      </c>
      <c r="E2804" s="21">
        <f>IF(D2804="?OLD","!!!","")</f>
        <v/>
      </c>
      <c r="F2804" s="22" t="str">
        <f>IF(OR(E2804="",E2804="!!!"),"",IF(NOT(ISNA(VLOOKUP(E2804,E$1:E2803,1,FALSE()))),"OLD",IF(AND(E2804&lt;&gt;"",E2804&lt;&gt;"!!!"),"NEW","")))</f>
        <v> </v>
      </c>
      <c r="G2804" s="23" t="str">
        <f>IF(OR(E2804="",E2804="!!!"),"",IF(OR(J2804=0,AND(J2804=1,K2804=1),AND(J2804=1,I2804="SBJ"),AND(J2804=1,I2804=0)),"?IN_FOCUS",IF(J2804&lt;=2,"?ACTIVATED",IF(J2804&lt;&gt;"","?FAMILIAR",IF(F2804="NEW",IF(ISNA(VLOOKUP(E2804,#REF!,1,FALSE())),"?TYPE_IDENTIFIABLE","?REFERENTIAL"),"_")))))</f>
        <v> </v>
      </c>
      <c r="H2804" s="24" t="str">
        <f>IF(J2804&lt;&gt;1,"",IF(I2804="SBJ","CB","?"))</f>
        <v> </v>
      </c>
      <c r="I2804" s="25" t="str">
        <f>IF(OR(E2804="",E2804="!!!",F2804="NEW"),"",INDEX(B2803:B$2,-1+SUMPRODUCT(MAX(ROW(E2803:E$2)*(E2804=E2803:E$2)))))</f>
        <v> </v>
      </c>
      <c r="J2804" s="25" t="str">
        <f>IF(OR(E2804="",E2804="!!!",F2804="NEW"),"",COUNTBLANK(OFFSET(A$1,,,SUMPRODUCT(MAX(ROW(E$2:E2804)*(E2804=E$2:E2804)))))-COUNTBLANK(OFFSET(A$1,,,SUMPRODUCT(MAX(ROW(E$1:E2803)*(E2=E$1:E2803))))))</f>
        <v> </v>
      </c>
      <c r="K2804" s="25" t="str">
        <f>IF(OR(E2804="",E2804="!!!",F2804="NEW"),"",INDEX(J$1:J2803,SUMPRODUCT(MAX(ROW(E$1:E2803)*(E2804=E$1:E2803)))))</f>
        <v> </v>
      </c>
      <c r="L2804" s="26"/>
    </row>
    <row r="2805" spans="1:12">
      <c r="A2805" s="20" t="s">
        <v>1574</v>
      </c>
      <c r="E2805" s="21">
        <f>IF(D2805="?OLD","!!!","")</f>
        <v/>
      </c>
      <c r="F2805" s="22" t="str">
        <f>IF(OR(E2805="",E2805="!!!"),"",IF(NOT(ISNA(VLOOKUP(E2805,E$1:E2804,1,FALSE()))),"OLD",IF(AND(E2805&lt;&gt;"",E2805&lt;&gt;"!!!"),"NEW","")))</f>
        <v> </v>
      </c>
      <c r="G2805" s="23" t="str">
        <f>IF(OR(E2805="",E2805="!!!"),"",IF(OR(J2805=0,AND(J2805=1,K2805=1),AND(J2805=1,I2805="SBJ"),AND(J2805=1,I2805=0)),"?IN_FOCUS",IF(J2805&lt;=2,"?ACTIVATED",IF(J2805&lt;&gt;"","?FAMILIAR",IF(F2805="NEW",IF(ISNA(VLOOKUP(E2805,#REF!,1,FALSE())),"?TYPE_IDENTIFIABLE","?REFERENTIAL"),"_")))))</f>
        <v> </v>
      </c>
      <c r="H2805" s="24" t="str">
        <f>IF(J2805&lt;&gt;1,"",IF(I2805="SBJ","CB","?"))</f>
        <v> </v>
      </c>
      <c r="I2805" s="25" t="str">
        <f>IF(OR(E2805="",E2805="!!!",F2805="NEW"),"",INDEX(B2804:B$2,-1+SUMPRODUCT(MAX(ROW(E2804:E$2)*(E2805=E2804:E$2)))))</f>
        <v> </v>
      </c>
      <c r="J2805" s="25" t="str">
        <f>IF(OR(E2805="",E2805="!!!",F2805="NEW"),"",COUNTBLANK(OFFSET(A$1,,,SUMPRODUCT(MAX(ROW(E$2:E2805)*(E2805=E$2:E2805)))))-COUNTBLANK(OFFSET(A$1,,,SUMPRODUCT(MAX(ROW(E$1:E2804)*(E2=E$1:E2804))))))</f>
        <v> </v>
      </c>
      <c r="K2805" s="25" t="str">
        <f>IF(OR(E2805="",E2805="!!!",F2805="NEW"),"",INDEX(J$1:J2804,SUMPRODUCT(MAX(ROW(E$1:E2804)*(E2805=E$1:E2804)))))</f>
        <v> </v>
      </c>
      <c r="L2805" s="26"/>
    </row>
    <row r="2806" spans="1:12">
      <c r="A2806" s="20" t="s">
        <v>1577</v>
      </c>
      <c r="B2806" s="27" t="s">
        <v>636</v>
      </c>
      <c r="C2806" s="27" t="s">
        <v>622</v>
      </c>
      <c r="E2806" s="21">
        <f>IF(D2806="?OLD","!!!","")</f>
        <v/>
      </c>
      <c r="F2806" s="22" t="str">
        <f>IF(OR(E2806="",E2806="!!!"),"",IF(NOT(ISNA(VLOOKUP(E2806,E$1:E2805,1,FALSE()))),"OLD",IF(AND(E2806&lt;&gt;"",E2806&lt;&gt;"!!!"),"NEW","")))</f>
        <v> </v>
      </c>
      <c r="G2806" s="23" t="str">
        <f>IF(OR(E2806="",E2806="!!!"),"",IF(OR(J2806=0,AND(J2806=1,K2806=1),AND(J2806=1,I2806="SBJ"),AND(J2806=1,I2806=0)),"?IN_FOCUS",IF(J2806&lt;=2,"?ACTIVATED",IF(J2806&lt;&gt;"","?FAMILIAR",IF(F2806="NEW",IF(ISNA(VLOOKUP(E2806,#REF!,1,FALSE())),"?TYPE_IDENTIFIABLE","?REFERENTIAL"),"_")))))</f>
        <v> </v>
      </c>
      <c r="H2806" s="24" t="str">
        <f>IF(J2806&lt;&gt;1,"",IF(I2806="SBJ","CB","?"))</f>
        <v> </v>
      </c>
      <c r="I2806" s="25" t="str">
        <f>IF(OR(E2806="",E2806="!!!",F2806="NEW"),"",INDEX(B2805:B$2,-1+SUMPRODUCT(MAX(ROW(E2805:E$2)*(E2806=E2805:E$2)))))</f>
        <v> </v>
      </c>
      <c r="J2806" s="25" t="str">
        <f>IF(OR(E2806="",E2806="!!!",F2806="NEW"),"",COUNTBLANK(OFFSET(A$1,,,SUMPRODUCT(MAX(ROW(E$2:E2806)*(E2806=E$2:E2806)))))-COUNTBLANK(OFFSET(A$1,,,SUMPRODUCT(MAX(ROW(E$1:E2805)*(E2=E$1:E2805))))))</f>
        <v> </v>
      </c>
      <c r="K2806" s="25" t="str">
        <f>IF(OR(E2806="",E2806="!!!",F2806="NEW"),"",INDEX(J$1:J2805,SUMPRODUCT(MAX(ROW(E$1:E2805)*(E2806=E$1:E2805)))))</f>
        <v> </v>
      </c>
      <c r="L2806" s="26"/>
    </row>
    <row r="2807" spans="1:12">
      <c r="A2807" s="20" t="s">
        <v>633</v>
      </c>
      <c r="E2807" s="21">
        <f>IF(D2807="?OLD","!!!","")</f>
        <v/>
      </c>
      <c r="F2807" s="22" t="str">
        <f>IF(OR(E2807="",E2807="!!!"),"",IF(NOT(ISNA(VLOOKUP(E2807,E$1:E2806,1,FALSE()))),"OLD",IF(AND(E2807&lt;&gt;"",E2807&lt;&gt;"!!!"),"NEW","")))</f>
        <v> </v>
      </c>
      <c r="G2807" s="23" t="str">
        <f>IF(OR(E2807="",E2807="!!!"),"",IF(OR(J2807=0,AND(J2807=1,K2807=1),AND(J2807=1,I2807="SBJ"),AND(J2807=1,I2807=0)),"?IN_FOCUS",IF(J2807&lt;=2,"?ACTIVATED",IF(J2807&lt;&gt;"","?FAMILIAR",IF(F2807="NEW",IF(ISNA(VLOOKUP(E2807,#REF!,1,FALSE())),"?TYPE_IDENTIFIABLE","?REFERENTIAL"),"_")))))</f>
        <v> </v>
      </c>
      <c r="H2807" s="24" t="str">
        <f>IF(J2807&lt;&gt;1,"",IF(I2807="SBJ","CB","?"))</f>
        <v> </v>
      </c>
      <c r="I2807" s="25" t="str">
        <f>IF(OR(E2807="",E2807="!!!",F2807="NEW"),"",INDEX(B2806:B$2,-1+SUMPRODUCT(MAX(ROW(E2806:E$2)*(E2807=E2806:E$2)))))</f>
        <v> </v>
      </c>
      <c r="J2807" s="25" t="str">
        <f>IF(OR(E2807="",E2807="!!!",F2807="NEW"),"",COUNTBLANK(OFFSET(A$1,,,SUMPRODUCT(MAX(ROW(E$2:E2807)*(E2807=E$2:E2807)))))-COUNTBLANK(OFFSET(A$1,,,SUMPRODUCT(MAX(ROW(E$1:E2806)*(E2=E$1:E2806))))))</f>
        <v> </v>
      </c>
      <c r="K2807" s="25" t="str">
        <f>IF(OR(E2807="",E2807="!!!",F2807="NEW"),"",INDEX(J$1:J2806,SUMPRODUCT(MAX(ROW(E$1:E2806)*(E2807=E$1:E2806)))))</f>
        <v> </v>
      </c>
      <c r="L2807" s="26"/>
    </row>
    <row r="2808" spans="1:12">
      <c r="A2808" s="20"/>
    </row>
    <row r="2809" spans="1:12">
      <c r="A2809" s="20" t="s">
        <v>1578</v>
      </c>
    </row>
    <row r="2810" spans="1:12">
      <c r="A2810" s="20" t="s">
        <v>933</v>
      </c>
      <c r="E2810" s="21">
        <f>IF(D2810="?OLD","!!!","")</f>
        <v/>
      </c>
      <c r="F2810" s="22" t="str">
        <f>IF(OR(E2810="",E2810="!!!"),"",IF(NOT(ISNA(VLOOKUP(E2810,E$1:E2809,1,FALSE()))),"OLD",IF(AND(E2810&lt;&gt;"",E2810&lt;&gt;"!!!"),"NEW","")))</f>
        <v> </v>
      </c>
      <c r="G2810" s="23" t="str">
        <f>IF(OR(E2810="",E2810="!!!"),"",IF(OR(J2810=0,AND(J2810=1,K2810=1),AND(J2810=1,I2810="SBJ"),AND(J2810=1,I2810=0)),"?IN_FOCUS",IF(J2810&lt;=2,"?ACTIVATED",IF(J2810&lt;&gt;"","?FAMILIAR",IF(F2810="NEW",IF(ISNA(VLOOKUP(E2810,#REF!,1,FALSE())),"?TYPE_IDENTIFIABLE","?REFERENTIAL"),"_")))))</f>
        <v> </v>
      </c>
      <c r="H2810" s="24" t="str">
        <f>IF(J2810&lt;&gt;1,"",IF(I2810="SBJ","CB","?"))</f>
        <v> </v>
      </c>
      <c r="I2810" s="25" t="str">
        <f>IF(OR(E2810="",E2810="!!!",F2810="NEW"),"",INDEX(B2809:B$2,-1+SUMPRODUCT(MAX(ROW(E2809:E$2)*(E2810=E2809:E$2)))))</f>
        <v> </v>
      </c>
      <c r="J2810" s="25" t="str">
        <f>IF(OR(E2810="",E2810="!!!",F2810="NEW"),"",COUNTBLANK(OFFSET(A$1,,,SUMPRODUCT(MAX(ROW(E$2:E2810)*(E2810=E$2:E2810)))))-COUNTBLANK(OFFSET(A$1,,,SUMPRODUCT(MAX(ROW(E$1:E2809)*(E2=E$1:E2809))))))</f>
        <v> </v>
      </c>
      <c r="K2810" s="25" t="str">
        <f>IF(OR(E2810="",E2810="!!!",F2810="NEW"),"",INDEX(J$1:J2809,SUMPRODUCT(MAX(ROW(E$1:E2809)*(E2810=E$1:E2809)))))</f>
        <v> </v>
      </c>
      <c r="L2810" s="26"/>
    </row>
    <row r="2811" spans="1:12">
      <c r="A2811" s="20" t="s">
        <v>1574</v>
      </c>
      <c r="E2811" s="21">
        <f>IF(D2811="?OLD","!!!","")</f>
        <v/>
      </c>
      <c r="F2811" s="22" t="str">
        <f>IF(OR(E2811="",E2811="!!!"),"",IF(NOT(ISNA(VLOOKUP(E2811,E$1:E2810,1,FALSE()))),"OLD",IF(AND(E2811&lt;&gt;"",E2811&lt;&gt;"!!!"),"NEW","")))</f>
        <v> </v>
      </c>
      <c r="G2811" s="23" t="str">
        <f>IF(OR(E2811="",E2811="!!!"),"",IF(OR(J2811=0,AND(J2811=1,K2811=1),AND(J2811=1,I2811="SBJ"),AND(J2811=1,I2811=0)),"?IN_FOCUS",IF(J2811&lt;=2,"?ACTIVATED",IF(J2811&lt;&gt;"","?FAMILIAR",IF(F2811="NEW",IF(ISNA(VLOOKUP(E2811,#REF!,1,FALSE())),"?TYPE_IDENTIFIABLE","?REFERENTIAL"),"_")))))</f>
        <v> </v>
      </c>
      <c r="H2811" s="24" t="str">
        <f>IF(J2811&lt;&gt;1,"",IF(I2811="SBJ","CB","?"))</f>
        <v> </v>
      </c>
      <c r="I2811" s="25" t="str">
        <f>IF(OR(E2811="",E2811="!!!",F2811="NEW"),"",INDEX(B2810:B$2,-1+SUMPRODUCT(MAX(ROW(E2810:E$2)*(E2811=E2810:E$2)))))</f>
        <v> </v>
      </c>
      <c r="J2811" s="25" t="str">
        <f>IF(OR(E2811="",E2811="!!!",F2811="NEW"),"",COUNTBLANK(OFFSET(A$1,,,SUMPRODUCT(MAX(ROW(E$2:E2811)*(E2811=E$2:E2811)))))-COUNTBLANK(OFFSET(A$1,,,SUMPRODUCT(MAX(ROW(E$1:E2810)*(E2=E$1:E2810))))))</f>
        <v> </v>
      </c>
      <c r="K2811" s="25" t="str">
        <f>IF(OR(E2811="",E2811="!!!",F2811="NEW"),"",INDEX(J$1:J2810,SUMPRODUCT(MAX(ROW(E$1:E2810)*(E2811=E$1:E2810)))))</f>
        <v> </v>
      </c>
      <c r="L2811" s="26"/>
    </row>
    <row r="2812" spans="1:12">
      <c r="A2812" s="20" t="s">
        <v>682</v>
      </c>
      <c r="E2812" s="21">
        <f>IF(D2812="?OLD","!!!","")</f>
        <v/>
      </c>
      <c r="F2812" s="22" t="str">
        <f>IF(OR(E2812="",E2812="!!!"),"",IF(NOT(ISNA(VLOOKUP(E2812,E$1:E2811,1,FALSE()))),"OLD",IF(AND(E2812&lt;&gt;"",E2812&lt;&gt;"!!!"),"NEW","")))</f>
        <v> </v>
      </c>
      <c r="G2812" s="23" t="str">
        <f>IF(OR(E2812="",E2812="!!!"),"",IF(OR(J2812=0,AND(J2812=1,K2812=1),AND(J2812=1,I2812="SBJ"),AND(J2812=1,I2812=0)),"?IN_FOCUS",IF(J2812&lt;=2,"?ACTIVATED",IF(J2812&lt;&gt;"","?FAMILIAR",IF(F2812="NEW",IF(ISNA(VLOOKUP(E2812,#REF!,1,FALSE())),"?TYPE_IDENTIFIABLE","?REFERENTIAL"),"_")))))</f>
        <v> </v>
      </c>
      <c r="H2812" s="24" t="str">
        <f>IF(J2812&lt;&gt;1,"",IF(I2812="SBJ","CB","?"))</f>
        <v> </v>
      </c>
      <c r="I2812" s="25" t="str">
        <f>IF(OR(E2812="",E2812="!!!",F2812="NEW"),"",INDEX(B2811:B$2,-1+SUMPRODUCT(MAX(ROW(E2811:E$2)*(E2812=E2811:E$2)))))</f>
        <v> </v>
      </c>
      <c r="J2812" s="25" t="str">
        <f>IF(OR(E2812="",E2812="!!!",F2812="NEW"),"",COUNTBLANK(OFFSET(A$1,,,SUMPRODUCT(MAX(ROW(E$2:E2812)*(E2812=E$2:E2812)))))-COUNTBLANK(OFFSET(A$1,,,SUMPRODUCT(MAX(ROW(E$1:E2811)*(E2=E$1:E2811))))))</f>
        <v> </v>
      </c>
      <c r="K2812" s="25" t="str">
        <f>IF(OR(E2812="",E2812="!!!",F2812="NEW"),"",INDEX(J$1:J2811,SUMPRODUCT(MAX(ROW(E$1:E2811)*(E2812=E$1:E2811)))))</f>
        <v> </v>
      </c>
      <c r="L2812" s="26"/>
    </row>
    <row r="2813" spans="1:12">
      <c r="A2813" s="20" t="s">
        <v>1171</v>
      </c>
      <c r="B2813" s="27" t="s">
        <v>636</v>
      </c>
      <c r="C2813" s="27" t="s">
        <v>685</v>
      </c>
      <c r="E2813" s="21">
        <f>IF(D2813="?OLD","!!!","")</f>
        <v/>
      </c>
      <c r="F2813" s="22" t="str">
        <f>IF(OR(E2813="",E2813="!!!"),"",IF(NOT(ISNA(VLOOKUP(E2813,E$1:E2812,1,FALSE()))),"OLD",IF(AND(E2813&lt;&gt;"",E2813&lt;&gt;"!!!"),"NEW","")))</f>
        <v> </v>
      </c>
      <c r="G2813" s="23" t="str">
        <f>IF(OR(E2813="",E2813="!!!"),"",IF(OR(J2813=0,AND(J2813=1,K2813=1),AND(J2813=1,I2813="SBJ"),AND(J2813=1,I2813=0)),"?IN_FOCUS",IF(J2813&lt;=2,"?ACTIVATED",IF(J2813&lt;&gt;"","?FAMILIAR",IF(F2813="NEW",IF(ISNA(VLOOKUP(E2813,#REF!,1,FALSE())),"?TYPE_IDENTIFIABLE","?REFERENTIAL"),"_")))))</f>
        <v> </v>
      </c>
      <c r="H2813" s="24" t="str">
        <f>IF(J2813&lt;&gt;1,"",IF(I2813="SBJ","CB","?"))</f>
        <v> </v>
      </c>
      <c r="I2813" s="25" t="str">
        <f>IF(OR(E2813="",E2813="!!!",F2813="NEW"),"",INDEX(B2812:B$2,-1+SUMPRODUCT(MAX(ROW(E2812:E$2)*(E2813=E2812:E$2)))))</f>
        <v> </v>
      </c>
      <c r="J2813" s="25" t="str">
        <f>IF(OR(E2813="",E2813="!!!",F2813="NEW"),"",COUNTBLANK(OFFSET(A$1,,,SUMPRODUCT(MAX(ROW(E$2:E2813)*(E2813=E$2:E2813)))))-COUNTBLANK(OFFSET(A$1,,,SUMPRODUCT(MAX(ROW(E$1:E2812)*(E2=E$1:E2812))))))</f>
        <v> </v>
      </c>
      <c r="K2813" s="25" t="str">
        <f>IF(OR(E2813="",E2813="!!!",F2813="NEW"),"",INDEX(J$1:J2812,SUMPRODUCT(MAX(ROW(E$1:E2812)*(E2813=E$1:E2812)))))</f>
        <v> </v>
      </c>
      <c r="L2813" s="26"/>
    </row>
    <row r="2814" spans="1:12">
      <c r="A2814" s="20" t="s">
        <v>633</v>
      </c>
      <c r="E2814" s="21">
        <f>IF(D2814="?OLD","!!!","")</f>
        <v/>
      </c>
      <c r="F2814" s="22" t="str">
        <f>IF(OR(E2814="",E2814="!!!"),"",IF(NOT(ISNA(VLOOKUP(E2814,E$1:E2813,1,FALSE()))),"OLD",IF(AND(E2814&lt;&gt;"",E2814&lt;&gt;"!!!"),"NEW","")))</f>
        <v> </v>
      </c>
      <c r="G2814" s="23" t="str">
        <f>IF(OR(E2814="",E2814="!!!"),"",IF(OR(J2814=0,AND(J2814=1,K2814=1),AND(J2814=1,I2814="SBJ"),AND(J2814=1,I2814=0)),"?IN_FOCUS",IF(J2814&lt;=2,"?ACTIVATED",IF(J2814&lt;&gt;"","?FAMILIAR",IF(F2814="NEW",IF(ISNA(VLOOKUP(E2814,#REF!,1,FALSE())),"?TYPE_IDENTIFIABLE","?REFERENTIAL"),"_")))))</f>
        <v> </v>
      </c>
      <c r="H2814" s="24" t="str">
        <f>IF(J2814&lt;&gt;1,"",IF(I2814="SBJ","CB","?"))</f>
        <v> </v>
      </c>
      <c r="I2814" s="25" t="str">
        <f>IF(OR(E2814="",E2814="!!!",F2814="NEW"),"",INDEX(B2813:B$2,-1+SUMPRODUCT(MAX(ROW(E2813:E$2)*(E2814=E2813:E$2)))))</f>
        <v> </v>
      </c>
      <c r="J2814" s="25" t="str">
        <f>IF(OR(E2814="",E2814="!!!",F2814="NEW"),"",COUNTBLANK(OFFSET(A$1,,,SUMPRODUCT(MAX(ROW(E$2:E2814)*(E2814=E$2:E2814)))))-COUNTBLANK(OFFSET(A$1,,,SUMPRODUCT(MAX(ROW(E$1:E2813)*(E2=E$1:E2813))))))</f>
        <v> </v>
      </c>
      <c r="K2814" s="25" t="str">
        <f>IF(OR(E2814="",E2814="!!!",F2814="NEW"),"",INDEX(J$1:J2813,SUMPRODUCT(MAX(ROW(E$1:E2813)*(E2814=E$1:E2813)))))</f>
        <v> </v>
      </c>
      <c r="L2814" s="26"/>
    </row>
    <row r="2815" spans="1:12">
      <c r="A2815" s="20"/>
    </row>
    <row r="2816" spans="1:12">
      <c r="A2816" s="20" t="s">
        <v>1579</v>
      </c>
    </row>
    <row r="2817" spans="1:12">
      <c r="A2817" s="20" t="s">
        <v>1127</v>
      </c>
      <c r="B2817" s="27" t="s">
        <v>606</v>
      </c>
      <c r="C2817" s="27" t="s">
        <v>626</v>
      </c>
      <c r="E2817" s="21">
        <f>IF(D2817="?OLD","!!!","")</f>
        <v/>
      </c>
      <c r="F2817" s="22" t="str">
        <f>IF(OR(E2817="",E2817="!!!"),"",IF(NOT(ISNA(VLOOKUP(E2817,E$1:E2816,1,FALSE()))),"OLD",IF(AND(E2817&lt;&gt;"",E2817&lt;&gt;"!!!"),"NEW","")))</f>
        <v> </v>
      </c>
      <c r="G2817" s="23" t="str">
        <f>IF(OR(E2817="",E2817="!!!"),"",IF(OR(J2817=0,AND(J2817=1,K2817=1),AND(J2817=1,I2817="SBJ"),AND(J2817=1,I2817=0)),"?IN_FOCUS",IF(J2817&lt;=2,"?ACTIVATED",IF(J2817&lt;&gt;"","?FAMILIAR",IF(F2817="NEW",IF(ISNA(VLOOKUP(E2817,#REF!,1,FALSE())),"?TYPE_IDENTIFIABLE","?REFERENTIAL"),"_")))))</f>
        <v> </v>
      </c>
      <c r="H2817" s="24" t="str">
        <f>IF(J2817&lt;&gt;1,"",IF(I2817="SBJ","CB","?"))</f>
        <v> </v>
      </c>
      <c r="I2817" s="25" t="str">
        <f>IF(OR(E2817="",E2817="!!!",F2817="NEW"),"",INDEX(B2816:B$2,-1+SUMPRODUCT(MAX(ROW(E2816:E$2)*(E2817=E2816:E$2)))))</f>
        <v> </v>
      </c>
      <c r="J2817" s="25" t="str">
        <f>IF(OR(E2817="",E2817="!!!",F2817="NEW"),"",COUNTBLANK(OFFSET(A$1,,,SUMPRODUCT(MAX(ROW(E$2:E2817)*(E2817=E$2:E2817)))))-COUNTBLANK(OFFSET(A$1,,,SUMPRODUCT(MAX(ROW(E$1:E2816)*(E2=E$1:E2816))))))</f>
        <v> </v>
      </c>
      <c r="K2817" s="25" t="str">
        <f>IF(OR(E2817="",E2817="!!!",F2817="NEW"),"",INDEX(J$1:J2816,SUMPRODUCT(MAX(ROW(E$1:E2816)*(E2817=E$1:E2816)))))</f>
        <v> </v>
      </c>
      <c r="L2817" s="26"/>
    </row>
    <row r="2818" spans="1:12">
      <c r="A2818" s="20" t="s">
        <v>1173</v>
      </c>
      <c r="B2818" s="27" t="s">
        <v>606</v>
      </c>
      <c r="C2818" s="27" t="s">
        <v>678</v>
      </c>
      <c r="E2818" s="21">
        <f>IF(D2818="?OLD","!!!","")</f>
        <v/>
      </c>
      <c r="F2818" s="22" t="str">
        <f>IF(OR(E2818="",E2818="!!!"),"",IF(NOT(ISNA(VLOOKUP(E2818,E$1:E2817,1,FALSE()))),"OLD",IF(AND(E2818&lt;&gt;"",E2818&lt;&gt;"!!!"),"NEW","")))</f>
        <v> </v>
      </c>
      <c r="G2818" s="23" t="str">
        <f>IF(OR(E2818="",E2818="!!!"),"",IF(OR(J2818=0,AND(J2818=1,K2818=1),AND(J2818=1,I2818="SBJ"),AND(J2818=1,I2818=0)),"?IN_FOCUS",IF(J2818&lt;=2,"?ACTIVATED",IF(J2818&lt;&gt;"","?FAMILIAR",IF(F2818="NEW",IF(ISNA(VLOOKUP(E2818,#REF!,1,FALSE())),"?TYPE_IDENTIFIABLE","?REFERENTIAL"),"_")))))</f>
        <v> </v>
      </c>
      <c r="H2818" s="24" t="str">
        <f>IF(J2818&lt;&gt;1,"",IF(I2818="SBJ","CB","?"))</f>
        <v> </v>
      </c>
      <c r="I2818" s="25" t="str">
        <f>IF(OR(E2818="",E2818="!!!",F2818="NEW"),"",INDEX(B2817:B$2,-1+SUMPRODUCT(MAX(ROW(E2817:E$2)*(E2818=E2817:E$2)))))</f>
        <v> </v>
      </c>
      <c r="J2818" s="25" t="str">
        <f>IF(OR(E2818="",E2818="!!!",F2818="NEW"),"",COUNTBLANK(OFFSET(A$1,,,SUMPRODUCT(MAX(ROW(E$2:E2818)*(E2818=E$2:E2818)))))-COUNTBLANK(OFFSET(A$1,,,SUMPRODUCT(MAX(ROW(E$1:E2817)*(E2=E$1:E2817))))))</f>
        <v> </v>
      </c>
      <c r="K2818" s="25" t="str">
        <f>IF(OR(E2818="",E2818="!!!",F2818="NEW"),"",INDEX(J$1:J2817,SUMPRODUCT(MAX(ROW(E$1:E2817)*(E2818=E$1:E2817)))))</f>
        <v> </v>
      </c>
      <c r="L2818" s="26"/>
    </row>
    <row r="2819" spans="1:12">
      <c r="A2819" s="20" t="s">
        <v>617</v>
      </c>
      <c r="E2819" s="21">
        <f>IF(D2819="?OLD","!!!","")</f>
        <v/>
      </c>
      <c r="F2819" s="22" t="str">
        <f>IF(OR(E2819="",E2819="!!!"),"",IF(NOT(ISNA(VLOOKUP(E2819,E$1:E2818,1,FALSE()))),"OLD",IF(AND(E2819&lt;&gt;"",E2819&lt;&gt;"!!!"),"NEW","")))</f>
        <v> </v>
      </c>
      <c r="G2819" s="23" t="str">
        <f>IF(OR(E2819="",E2819="!!!"),"",IF(OR(J2819=0,AND(J2819=1,K2819=1),AND(J2819=1,I2819="SBJ"),AND(J2819=1,I2819=0)),"?IN_FOCUS",IF(J2819&lt;=2,"?ACTIVATED",IF(J2819&lt;&gt;"","?FAMILIAR",IF(F2819="NEW",IF(ISNA(VLOOKUP(E2819,#REF!,1,FALSE())),"?TYPE_IDENTIFIABLE","?REFERENTIAL"),"_")))))</f>
        <v> </v>
      </c>
      <c r="H2819" s="24" t="str">
        <f>IF(J2819&lt;&gt;1,"",IF(I2819="SBJ","CB","?"))</f>
        <v> </v>
      </c>
      <c r="I2819" s="25" t="str">
        <f>IF(OR(E2819="",E2819="!!!",F2819="NEW"),"",INDEX(B2818:B$2,-1+SUMPRODUCT(MAX(ROW(E2818:E$2)*(E2819=E2818:E$2)))))</f>
        <v> </v>
      </c>
      <c r="J2819" s="25" t="str">
        <f>IF(OR(E2819="",E2819="!!!",F2819="NEW"),"",COUNTBLANK(OFFSET(A$1,,,SUMPRODUCT(MAX(ROW(E$2:E2819)*(E2819=E$2:E2819)))))-COUNTBLANK(OFFSET(A$1,,,SUMPRODUCT(MAX(ROW(E$1:E2818)*(E2=E$1:E2818))))))</f>
        <v> </v>
      </c>
      <c r="K2819" s="25" t="str">
        <f>IF(OR(E2819="",E2819="!!!",F2819="NEW"),"",INDEX(J$1:J2818,SUMPRODUCT(MAX(ROW(E$1:E2818)*(E2819=E$1:E2818)))))</f>
        <v> </v>
      </c>
      <c r="L2819" s="26"/>
    </row>
    <row r="2820" spans="1:12">
      <c r="A2820" s="20" t="s">
        <v>618</v>
      </c>
      <c r="B2820" s="27" t="s">
        <v>619</v>
      </c>
      <c r="C2820" s="27" t="s">
        <v>652</v>
      </c>
      <c r="D2820" s="27" t="s">
        <v>608</v>
      </c>
      <c r="E2820" s="21">
        <f>IF(D2820="?OLD","!!!","")</f>
        <v/>
      </c>
      <c r="F2820" s="22" t="str">
        <f>IF(OR(E2820="",E2820="!!!"),"",IF(NOT(ISNA(VLOOKUP(E2820,E$1:E2819,1,FALSE()))),"OLD",IF(AND(E2820&lt;&gt;"",E2820&lt;&gt;"!!!"),"NEW","")))</f>
        <v> </v>
      </c>
      <c r="G2820" s="23" t="str">
        <f>IF(OR(E2820="",E2820="!!!"),"",IF(OR(J2820=0,AND(J2820=1,K2820=1),AND(J2820=1,I2820="SBJ"),AND(J2820=1,I2820=0)),"?IN_FOCUS",IF(J2820&lt;=2,"?ACTIVATED",IF(J2820&lt;&gt;"","?FAMILIAR",IF(F2820="NEW",IF(ISNA(VLOOKUP(E2820,#REF!,1,FALSE())),"?TYPE_IDENTIFIABLE","?REFERENTIAL"),"_")))))</f>
        <v> </v>
      </c>
      <c r="H2820" s="24" t="str">
        <f>IF(J2820&lt;&gt;1,"",IF(I2820="SBJ","CB","?"))</f>
        <v> </v>
      </c>
      <c r="I2820" s="25" t="str">
        <f>IF(OR(E2820="",E2820="!!!",F2820="NEW"),"",INDEX(B2819:B$2,-1+SUMPRODUCT(MAX(ROW(E2819:E$2)*(E2820=E2819:E$2)))))</f>
        <v> </v>
      </c>
      <c r="J2820" s="25" t="str">
        <f>IF(OR(E2820="",E2820="!!!",F2820="NEW"),"",COUNTBLANK(OFFSET(A$1,,,SUMPRODUCT(MAX(ROW(E$2:E2820)*(E2820=E$2:E2820)))))-COUNTBLANK(OFFSET(A$1,,,SUMPRODUCT(MAX(ROW(E$1:E2819)*(E2=E$1:E2819))))))</f>
        <v> </v>
      </c>
      <c r="K2820" s="25" t="str">
        <f>IF(OR(E2820="",E2820="!!!",F2820="NEW"),"",INDEX(J$1:J2819,SUMPRODUCT(MAX(ROW(E$1:E2819)*(E2820=E$1:E2819)))))</f>
        <v> </v>
      </c>
      <c r="L2820" s="26"/>
    </row>
    <row r="2821" spans="1:12">
      <c r="A2821" s="20" t="s">
        <v>850</v>
      </c>
      <c r="B2821" s="27" t="s">
        <v>625</v>
      </c>
      <c r="C2821" s="27" t="s">
        <v>614</v>
      </c>
      <c r="D2821" s="27" t="s">
        <v>608</v>
      </c>
      <c r="E2821" s="21">
        <f>IF(D2821="?OLD","!!!","")</f>
        <v/>
      </c>
      <c r="F2821" s="22" t="str">
        <f>IF(OR(E2821="",E2821="!!!"),"",IF(NOT(ISNA(VLOOKUP(E2821,E$1:E2820,1,FALSE()))),"OLD",IF(AND(E2821&lt;&gt;"",E2821&lt;&gt;"!!!"),"NEW","")))</f>
        <v> </v>
      </c>
      <c r="G2821" s="23" t="str">
        <f>IF(OR(E2821="",E2821="!!!"),"",IF(OR(J2821=0,AND(J2821=1,K2821=1),AND(J2821=1,I2821="SBJ"),AND(J2821=1,I2821=0)),"?IN_FOCUS",IF(J2821&lt;=2,"?ACTIVATED",IF(J2821&lt;&gt;"","?FAMILIAR",IF(F2821="NEW",IF(ISNA(VLOOKUP(E2821,#REF!,1,FALSE())),"?TYPE_IDENTIFIABLE","?REFERENTIAL"),"_")))))</f>
        <v> </v>
      </c>
      <c r="H2821" s="24" t="str">
        <f>IF(J2821&lt;&gt;1,"",IF(I2821="SBJ","CB","?"))</f>
        <v> </v>
      </c>
      <c r="I2821" s="25" t="str">
        <f>IF(OR(E2821="",E2821="!!!",F2821="NEW"),"",INDEX(B2820:B$2,-1+SUMPRODUCT(MAX(ROW(E2820:E$2)*(E2821=E2820:E$2)))))</f>
        <v> </v>
      </c>
      <c r="J2821" s="25" t="str">
        <f>IF(OR(E2821="",E2821="!!!",F2821="NEW"),"",COUNTBLANK(OFFSET(A$1,,,SUMPRODUCT(MAX(ROW(E$2:E2821)*(E2821=E$2:E2821)))))-COUNTBLANK(OFFSET(A$1,,,SUMPRODUCT(MAX(ROW(E$1:E2820)*(E2=E$1:E2820))))))</f>
        <v> </v>
      </c>
      <c r="K2821" s="25" t="str">
        <f>IF(OR(E2821="",E2821="!!!",F2821="NEW"),"",INDEX(J$1:J2820,SUMPRODUCT(MAX(ROW(E$1:E2820)*(E2821=E$1:E2820)))))</f>
        <v> </v>
      </c>
      <c r="L2821" s="26"/>
    </row>
    <row r="2822" spans="1:12">
      <c r="A2822" s="20" t="s">
        <v>1365</v>
      </c>
      <c r="E2822" s="21">
        <f>IF(D2822="?OLD","!!!","")</f>
        <v/>
      </c>
      <c r="F2822" s="22" t="str">
        <f>IF(OR(E2822="",E2822="!!!"),"",IF(NOT(ISNA(VLOOKUP(E2822,E$1:E2821,1,FALSE()))),"OLD",IF(AND(E2822&lt;&gt;"",E2822&lt;&gt;"!!!"),"NEW","")))</f>
        <v> </v>
      </c>
      <c r="G2822" s="23" t="str">
        <f>IF(OR(E2822="",E2822="!!!"),"",IF(OR(J2822=0,AND(J2822=1,K2822=1),AND(J2822=1,I2822="SBJ"),AND(J2822=1,I2822=0)),"?IN_FOCUS",IF(J2822&lt;=2,"?ACTIVATED",IF(J2822&lt;&gt;"","?FAMILIAR",IF(F2822="NEW",IF(ISNA(VLOOKUP(E2822,#REF!,1,FALSE())),"?TYPE_IDENTIFIABLE","?REFERENTIAL"),"_")))))</f>
        <v> </v>
      </c>
      <c r="H2822" s="24" t="str">
        <f>IF(J2822&lt;&gt;1,"",IF(I2822="SBJ","CB","?"))</f>
        <v> </v>
      </c>
      <c r="I2822" s="25" t="str">
        <f>IF(OR(E2822="",E2822="!!!",F2822="NEW"),"",INDEX(B2821:B$2,-1+SUMPRODUCT(MAX(ROW(E2821:E$2)*(E2822=E2821:E$2)))))</f>
        <v> </v>
      </c>
      <c r="J2822" s="25" t="str">
        <f>IF(OR(E2822="",E2822="!!!",F2822="NEW"),"",COUNTBLANK(OFFSET(A$1,,,SUMPRODUCT(MAX(ROW(E$2:E2822)*(E2822=E$2:E2822)))))-COUNTBLANK(OFFSET(A$1,,,SUMPRODUCT(MAX(ROW(E$1:E2821)*(E2=E$1:E2821))))))</f>
        <v> </v>
      </c>
      <c r="K2822" s="25" t="str">
        <f>IF(OR(E2822="",E2822="!!!",F2822="NEW"),"",INDEX(J$1:J2821,SUMPRODUCT(MAX(ROW(E$1:E2821)*(E2822=E$1:E2821)))))</f>
        <v> </v>
      </c>
      <c r="L2822" s="26"/>
    </row>
    <row r="2823" spans="1:12">
      <c r="A2823" s="20" t="s">
        <v>617</v>
      </c>
      <c r="E2823" s="21">
        <f>IF(D2823="?OLD","!!!","")</f>
        <v/>
      </c>
      <c r="F2823" s="22" t="str">
        <f>IF(OR(E2823="",E2823="!!!"),"",IF(NOT(ISNA(VLOOKUP(E2823,E$1:E2822,1,FALSE()))),"OLD",IF(AND(E2823&lt;&gt;"",E2823&lt;&gt;"!!!"),"NEW","")))</f>
        <v> </v>
      </c>
      <c r="G2823" s="23" t="str">
        <f>IF(OR(E2823="",E2823="!!!"),"",IF(OR(J2823=0,AND(J2823=1,K2823=1),AND(J2823=1,I2823="SBJ"),AND(J2823=1,I2823=0)),"?IN_FOCUS",IF(J2823&lt;=2,"?ACTIVATED",IF(J2823&lt;&gt;"","?FAMILIAR",IF(F2823="NEW",IF(ISNA(VLOOKUP(E2823,#REF!,1,FALSE())),"?TYPE_IDENTIFIABLE","?REFERENTIAL"),"_")))))</f>
        <v> </v>
      </c>
      <c r="H2823" s="24" t="str">
        <f>IF(J2823&lt;&gt;1,"",IF(I2823="SBJ","CB","?"))</f>
        <v> </v>
      </c>
      <c r="I2823" s="25" t="str">
        <f>IF(OR(E2823="",E2823="!!!",F2823="NEW"),"",INDEX(B2822:B$2,-1+SUMPRODUCT(MAX(ROW(E2822:E$2)*(E2823=E2822:E$2)))))</f>
        <v> </v>
      </c>
      <c r="J2823" s="25" t="str">
        <f>IF(OR(E2823="",E2823="!!!",F2823="NEW"),"",COUNTBLANK(OFFSET(A$1,,,SUMPRODUCT(MAX(ROW(E$2:E2823)*(E2823=E$2:E2823)))))-COUNTBLANK(OFFSET(A$1,,,SUMPRODUCT(MAX(ROW(E$1:E2822)*(E2=E$1:E2822))))))</f>
        <v> </v>
      </c>
      <c r="K2823" s="25" t="str">
        <f>IF(OR(E2823="",E2823="!!!",F2823="NEW"),"",INDEX(J$1:J2822,SUMPRODUCT(MAX(ROW(E$1:E2822)*(E2823=E$1:E2822)))))</f>
        <v> </v>
      </c>
      <c r="L2823" s="26"/>
    </row>
    <row r="2824" spans="1:12">
      <c r="A2824" s="20" t="s">
        <v>1366</v>
      </c>
      <c r="E2824" s="21">
        <f>IF(D2824="?OLD","!!!","")</f>
        <v/>
      </c>
      <c r="F2824" s="22" t="str">
        <f>IF(OR(E2824="",E2824="!!!"),"",IF(NOT(ISNA(VLOOKUP(E2824,E$1:E2823,1,FALSE()))),"OLD",IF(AND(E2824&lt;&gt;"",E2824&lt;&gt;"!!!"),"NEW","")))</f>
        <v> </v>
      </c>
      <c r="G2824" s="23" t="str">
        <f>IF(OR(E2824="",E2824="!!!"),"",IF(OR(J2824=0,AND(J2824=1,K2824=1),AND(J2824=1,I2824="SBJ"),AND(J2824=1,I2824=0)),"?IN_FOCUS",IF(J2824&lt;=2,"?ACTIVATED",IF(J2824&lt;&gt;"","?FAMILIAR",IF(F2824="NEW",IF(ISNA(VLOOKUP(E2824,#REF!,1,FALSE())),"?TYPE_IDENTIFIABLE","?REFERENTIAL"),"_")))))</f>
        <v> </v>
      </c>
      <c r="H2824" s="24" t="str">
        <f>IF(J2824&lt;&gt;1,"",IF(I2824="SBJ","CB","?"))</f>
        <v> </v>
      </c>
      <c r="I2824" s="25" t="str">
        <f>IF(OR(E2824="",E2824="!!!",F2824="NEW"),"",INDEX(B2823:B$2,-1+SUMPRODUCT(MAX(ROW(E2823:E$2)*(E2824=E2823:E$2)))))</f>
        <v> </v>
      </c>
      <c r="J2824" s="25" t="str">
        <f>IF(OR(E2824="",E2824="!!!",F2824="NEW"),"",COUNTBLANK(OFFSET(A$1,,,SUMPRODUCT(MAX(ROW(E$2:E2824)*(E2824=E$2:E2824)))))-COUNTBLANK(OFFSET(A$1,,,SUMPRODUCT(MAX(ROW(E$1:E2823)*(E2=E$1:E2823))))))</f>
        <v> </v>
      </c>
      <c r="K2824" s="25" t="str">
        <f>IF(OR(E2824="",E2824="!!!",F2824="NEW"),"",INDEX(J$1:J2823,SUMPRODUCT(MAX(ROW(E$1:E2823)*(E2824=E$1:E2823)))))</f>
        <v> </v>
      </c>
      <c r="L2824" s="26"/>
    </row>
    <row r="2825" spans="1:12">
      <c r="A2825" s="20" t="s">
        <v>1580</v>
      </c>
      <c r="E2825" s="21">
        <f>IF(D2825="?OLD","!!!","")</f>
        <v/>
      </c>
      <c r="F2825" s="22" t="str">
        <f>IF(OR(E2825="",E2825="!!!"),"",IF(NOT(ISNA(VLOOKUP(E2825,E$1:E2824,1,FALSE()))),"OLD",IF(AND(E2825&lt;&gt;"",E2825&lt;&gt;"!!!"),"NEW","")))</f>
        <v> </v>
      </c>
      <c r="G2825" s="23" t="str">
        <f>IF(OR(E2825="",E2825="!!!"),"",IF(OR(J2825=0,AND(J2825=1,K2825=1),AND(J2825=1,I2825="SBJ"),AND(J2825=1,I2825=0)),"?IN_FOCUS",IF(J2825&lt;=2,"?ACTIVATED",IF(J2825&lt;&gt;"","?FAMILIAR",IF(F2825="NEW",IF(ISNA(VLOOKUP(E2825,#REF!,1,FALSE())),"?TYPE_IDENTIFIABLE","?REFERENTIAL"),"_")))))</f>
        <v> </v>
      </c>
      <c r="H2825" s="24" t="str">
        <f>IF(J2825&lt;&gt;1,"",IF(I2825="SBJ","CB","?"))</f>
        <v> </v>
      </c>
      <c r="I2825" s="25" t="str">
        <f>IF(OR(E2825="",E2825="!!!",F2825="NEW"),"",INDEX(B2824:B$2,-1+SUMPRODUCT(MAX(ROW(E2824:E$2)*(E2825=E2824:E$2)))))</f>
        <v> </v>
      </c>
      <c r="J2825" s="25" t="str">
        <f>IF(OR(E2825="",E2825="!!!",F2825="NEW"),"",COUNTBLANK(OFFSET(A$1,,,SUMPRODUCT(MAX(ROW(E$2:E2825)*(E2825=E$2:E2825)))))-COUNTBLANK(OFFSET(A$1,,,SUMPRODUCT(MAX(ROW(E$1:E2824)*(E2=E$1:E2824))))))</f>
        <v> </v>
      </c>
      <c r="K2825" s="25" t="str">
        <f>IF(OR(E2825="",E2825="!!!",F2825="NEW"),"",INDEX(J$1:J2824,SUMPRODUCT(MAX(ROW(E$1:E2824)*(E2825=E$1:E2824)))))</f>
        <v> </v>
      </c>
      <c r="L2825" s="26"/>
    </row>
    <row r="2826" spans="1:12">
      <c r="A2826" s="20" t="s">
        <v>798</v>
      </c>
      <c r="B2826" s="27" t="s">
        <v>619</v>
      </c>
      <c r="C2826" s="27" t="s">
        <v>616</v>
      </c>
      <c r="D2826" s="27" t="s">
        <v>608</v>
      </c>
      <c r="E2826" s="21">
        <f>IF(D2826="?OLD","!!!","")</f>
        <v/>
      </c>
      <c r="F2826" s="22" t="str">
        <f>IF(OR(E2826="",E2826="!!!"),"",IF(NOT(ISNA(VLOOKUP(E2826,E$1:E2825,1,FALSE()))),"OLD",IF(AND(E2826&lt;&gt;"",E2826&lt;&gt;"!!!"),"NEW","")))</f>
        <v> </v>
      </c>
      <c r="G2826" s="23" t="str">
        <f>IF(OR(E2826="",E2826="!!!"),"",IF(OR(J2826=0,AND(J2826=1,K2826=1),AND(J2826=1,I2826="SBJ"),AND(J2826=1,I2826=0)),"?IN_FOCUS",IF(J2826&lt;=2,"?ACTIVATED",IF(J2826&lt;&gt;"","?FAMILIAR",IF(F2826="NEW",IF(ISNA(VLOOKUP(E2826,#REF!,1,FALSE())),"?TYPE_IDENTIFIABLE","?REFERENTIAL"),"_")))))</f>
        <v> </v>
      </c>
      <c r="H2826" s="24" t="str">
        <f>IF(J2826&lt;&gt;1,"",IF(I2826="SBJ","CB","?"))</f>
        <v> </v>
      </c>
      <c r="I2826" s="25" t="str">
        <f>IF(OR(E2826="",E2826="!!!",F2826="NEW"),"",INDEX(B2825:B$2,-1+SUMPRODUCT(MAX(ROW(E2825:E$2)*(E2826=E2825:E$2)))))</f>
        <v> </v>
      </c>
      <c r="J2826" s="25" t="str">
        <f>IF(OR(E2826="",E2826="!!!",F2826="NEW"),"",COUNTBLANK(OFFSET(A$1,,,SUMPRODUCT(MAX(ROW(E$2:E2826)*(E2826=E$2:E2826)))))-COUNTBLANK(OFFSET(A$1,,,SUMPRODUCT(MAX(ROW(E$1:E2825)*(E2=E$1:E2825))))))</f>
        <v> </v>
      </c>
      <c r="K2826" s="25" t="str">
        <f>IF(OR(E2826="",E2826="!!!",F2826="NEW"),"",INDEX(J$1:J2825,SUMPRODUCT(MAX(ROW(E$1:E2825)*(E2826=E$1:E2825)))))</f>
        <v> </v>
      </c>
      <c r="L2826" s="26"/>
    </row>
    <row r="2827" spans="1:12">
      <c r="A2827" s="20" t="s">
        <v>737</v>
      </c>
      <c r="E2827" s="21">
        <f>IF(D2827="?OLD","!!!","")</f>
        <v/>
      </c>
      <c r="F2827" s="22" t="str">
        <f>IF(OR(E2827="",E2827="!!!"),"",IF(NOT(ISNA(VLOOKUP(E2827,E$1:E2826,1,FALSE()))),"OLD",IF(AND(E2827&lt;&gt;"",E2827&lt;&gt;"!!!"),"NEW","")))</f>
        <v> </v>
      </c>
      <c r="G2827" s="23" t="str">
        <f>IF(OR(E2827="",E2827="!!!"),"",IF(OR(J2827=0,AND(J2827=1,K2827=1),AND(J2827=1,I2827="SBJ"),AND(J2827=1,I2827=0)),"?IN_FOCUS",IF(J2827&lt;=2,"?ACTIVATED",IF(J2827&lt;&gt;"","?FAMILIAR",IF(F2827="NEW",IF(ISNA(VLOOKUP(E2827,#REF!,1,FALSE())),"?TYPE_IDENTIFIABLE","?REFERENTIAL"),"_")))))</f>
        <v> </v>
      </c>
      <c r="H2827" s="24" t="str">
        <f>IF(J2827&lt;&gt;1,"",IF(I2827="SBJ","CB","?"))</f>
        <v> </v>
      </c>
      <c r="I2827" s="25" t="str">
        <f>IF(OR(E2827="",E2827="!!!",F2827="NEW"),"",INDEX(B2826:B$2,-1+SUMPRODUCT(MAX(ROW(E2826:E$2)*(E2827=E2826:E$2)))))</f>
        <v> </v>
      </c>
      <c r="J2827" s="25" t="str">
        <f>IF(OR(E2827="",E2827="!!!",F2827="NEW"),"",COUNTBLANK(OFFSET(A$1,,,SUMPRODUCT(MAX(ROW(E$2:E2827)*(E2827=E$2:E2827)))))-COUNTBLANK(OFFSET(A$1,,,SUMPRODUCT(MAX(ROW(E$1:E2826)*(E2=E$1:E2826))))))</f>
        <v> </v>
      </c>
      <c r="K2827" s="25" t="str">
        <f>IF(OR(E2827="",E2827="!!!",F2827="NEW"),"",INDEX(J$1:J2826,SUMPRODUCT(MAX(ROW(E$1:E2826)*(E2827=E$1:E2826)))))</f>
        <v> </v>
      </c>
      <c r="L2827" s="26"/>
    </row>
    <row r="2828" spans="1:12">
      <c r="A2828" s="20" t="s">
        <v>1238</v>
      </c>
      <c r="E2828" s="21">
        <f>IF(D2828="?OLD","!!!","")</f>
        <v/>
      </c>
      <c r="F2828" s="22" t="str">
        <f>IF(OR(E2828="",E2828="!!!"),"",IF(NOT(ISNA(VLOOKUP(E2828,E$1:E2827,1,FALSE()))),"OLD",IF(AND(E2828&lt;&gt;"",E2828&lt;&gt;"!!!"),"NEW","")))</f>
        <v> </v>
      </c>
      <c r="G2828" s="23" t="str">
        <f>IF(OR(E2828="",E2828="!!!"),"",IF(OR(J2828=0,AND(J2828=1,K2828=1),AND(J2828=1,I2828="SBJ"),AND(J2828=1,I2828=0)),"?IN_FOCUS",IF(J2828&lt;=2,"?ACTIVATED",IF(J2828&lt;&gt;"","?FAMILIAR",IF(F2828="NEW",IF(ISNA(VLOOKUP(E2828,#REF!,1,FALSE())),"?TYPE_IDENTIFIABLE","?REFERENTIAL"),"_")))))</f>
        <v> </v>
      </c>
      <c r="H2828" s="24" t="str">
        <f>IF(J2828&lt;&gt;1,"",IF(I2828="SBJ","CB","?"))</f>
        <v> </v>
      </c>
      <c r="I2828" s="25" t="str">
        <f>IF(OR(E2828="",E2828="!!!",F2828="NEW"),"",INDEX(B2827:B$2,-1+SUMPRODUCT(MAX(ROW(E2827:E$2)*(E2828=E2827:E$2)))))</f>
        <v> </v>
      </c>
      <c r="J2828" s="25" t="str">
        <f>IF(OR(E2828="",E2828="!!!",F2828="NEW"),"",COUNTBLANK(OFFSET(A$1,,,SUMPRODUCT(MAX(ROW(E$2:E2828)*(E2828=E$2:E2828)))))-COUNTBLANK(OFFSET(A$1,,,SUMPRODUCT(MAX(ROW(E$1:E2827)*(E2=E$1:E2827))))))</f>
        <v> </v>
      </c>
      <c r="K2828" s="25" t="str">
        <f>IF(OR(E2828="",E2828="!!!",F2828="NEW"),"",INDEX(J$1:J2827,SUMPRODUCT(MAX(ROW(E$1:E2827)*(E2828=E$1:E2827)))))</f>
        <v> </v>
      </c>
      <c r="L2828" s="26"/>
    </row>
    <row r="2829" spans="1:12">
      <c r="A2829" s="20" t="s">
        <v>525</v>
      </c>
      <c r="E2829" s="21">
        <f>IF(D2829="?OLD","!!!","")</f>
        <v/>
      </c>
      <c r="F2829" s="22" t="str">
        <f>IF(OR(E2829="",E2829="!!!"),"",IF(NOT(ISNA(VLOOKUP(E2829,E$1:E2828,1,FALSE()))),"OLD",IF(AND(E2829&lt;&gt;"",E2829&lt;&gt;"!!!"),"NEW","")))</f>
        <v> </v>
      </c>
      <c r="G2829" s="23" t="str">
        <f>IF(OR(E2829="",E2829="!!!"),"",IF(OR(J2829=0,AND(J2829=1,K2829=1),AND(J2829=1,I2829="SBJ"),AND(J2829=1,I2829=0)),"?IN_FOCUS",IF(J2829&lt;=2,"?ACTIVATED",IF(J2829&lt;&gt;"","?FAMILIAR",IF(F2829="NEW",IF(ISNA(VLOOKUP(E2829,#REF!,1,FALSE())),"?TYPE_IDENTIFIABLE","?REFERENTIAL"),"_")))))</f>
        <v> </v>
      </c>
      <c r="H2829" s="24" t="str">
        <f>IF(J2829&lt;&gt;1,"",IF(I2829="SBJ","CB","?"))</f>
        <v> </v>
      </c>
      <c r="I2829" s="25" t="str">
        <f>IF(OR(E2829="",E2829="!!!",F2829="NEW"),"",INDEX(B2828:B$2,-1+SUMPRODUCT(MAX(ROW(E2828:E$2)*(E2829=E2828:E$2)))))</f>
        <v> </v>
      </c>
      <c r="J2829" s="25" t="str">
        <f>IF(OR(E2829="",E2829="!!!",F2829="NEW"),"",COUNTBLANK(OFFSET(A$1,,,SUMPRODUCT(MAX(ROW(E$2:E2829)*(E2829=E$2:E2829)))))-COUNTBLANK(OFFSET(A$1,,,SUMPRODUCT(MAX(ROW(E$1:E2828)*(E2=E$1:E2828))))))</f>
        <v> </v>
      </c>
      <c r="K2829" s="25" t="str">
        <f>IF(OR(E2829="",E2829="!!!",F2829="NEW"),"",INDEX(J$1:J2828,SUMPRODUCT(MAX(ROW(E$1:E2828)*(E2829=E$1:E2828)))))</f>
        <v> </v>
      </c>
      <c r="L2829" s="26"/>
    </row>
    <row r="2830" spans="1:12">
      <c r="A2830" s="20" t="s">
        <v>829</v>
      </c>
      <c r="E2830" s="21">
        <f>IF(D2830="?OLD","!!!","")</f>
        <v/>
      </c>
      <c r="F2830" s="22" t="str">
        <f>IF(OR(E2830="",E2830="!!!"),"",IF(NOT(ISNA(VLOOKUP(E2830,E$1:E2829,1,FALSE()))),"OLD",IF(AND(E2830&lt;&gt;"",E2830&lt;&gt;"!!!"),"NEW","")))</f>
        <v> </v>
      </c>
      <c r="G2830" s="23" t="str">
        <f>IF(OR(E2830="",E2830="!!!"),"",IF(OR(J2830=0,AND(J2830=1,K2830=1),AND(J2830=1,I2830="SBJ"),AND(J2830=1,I2830=0)),"?IN_FOCUS",IF(J2830&lt;=2,"?ACTIVATED",IF(J2830&lt;&gt;"","?FAMILIAR",IF(F2830="NEW",IF(ISNA(VLOOKUP(E2830,#REF!,1,FALSE())),"?TYPE_IDENTIFIABLE","?REFERENTIAL"),"_")))))</f>
        <v> </v>
      </c>
      <c r="H2830" s="24" t="str">
        <f>IF(J2830&lt;&gt;1,"",IF(I2830="SBJ","CB","?"))</f>
        <v> </v>
      </c>
      <c r="I2830" s="25" t="str">
        <f>IF(OR(E2830="",E2830="!!!",F2830="NEW"),"",INDEX(B2829:B$2,-1+SUMPRODUCT(MAX(ROW(E2829:E$2)*(E2830=E2829:E$2)))))</f>
        <v> </v>
      </c>
      <c r="J2830" s="25" t="str">
        <f>IF(OR(E2830="",E2830="!!!",F2830="NEW"),"",COUNTBLANK(OFFSET(A$1,,,SUMPRODUCT(MAX(ROW(E$2:E2830)*(E2830=E$2:E2830)))))-COUNTBLANK(OFFSET(A$1,,,SUMPRODUCT(MAX(ROW(E$1:E2829)*(E2=E$1:E2829))))))</f>
        <v> </v>
      </c>
      <c r="K2830" s="25" t="str">
        <f>IF(OR(E2830="",E2830="!!!",F2830="NEW"),"",INDEX(J$1:J2829,SUMPRODUCT(MAX(ROW(E$1:E2829)*(E2830=E$1:E2829)))))</f>
        <v> </v>
      </c>
      <c r="L2830" s="26"/>
    </row>
    <row r="2831" spans="1:12">
      <c r="A2831" s="20" t="s">
        <v>633</v>
      </c>
      <c r="E2831" s="21">
        <f>IF(D2831="?OLD","!!!","")</f>
        <v/>
      </c>
      <c r="F2831" s="22" t="str">
        <f>IF(OR(E2831="",E2831="!!!"),"",IF(NOT(ISNA(VLOOKUP(E2831,E$1:E2830,1,FALSE()))),"OLD",IF(AND(E2831&lt;&gt;"",E2831&lt;&gt;"!!!"),"NEW","")))</f>
        <v> </v>
      </c>
      <c r="G2831" s="23" t="str">
        <f>IF(OR(E2831="",E2831="!!!"),"",IF(OR(J2831=0,AND(J2831=1,K2831=1),AND(J2831=1,I2831="SBJ"),AND(J2831=1,I2831=0)),"?IN_FOCUS",IF(J2831&lt;=2,"?ACTIVATED",IF(J2831&lt;&gt;"","?FAMILIAR",IF(F2831="NEW",IF(ISNA(VLOOKUP(E2831,#REF!,1,FALSE())),"?TYPE_IDENTIFIABLE","?REFERENTIAL"),"_")))))</f>
        <v> </v>
      </c>
      <c r="H2831" s="24" t="str">
        <f>IF(J2831&lt;&gt;1,"",IF(I2831="SBJ","CB","?"))</f>
        <v> </v>
      </c>
      <c r="I2831" s="25" t="str">
        <f>IF(OR(E2831="",E2831="!!!",F2831="NEW"),"",INDEX(B2830:B$2,-1+SUMPRODUCT(MAX(ROW(E2830:E$2)*(E2831=E2830:E$2)))))</f>
        <v> </v>
      </c>
      <c r="J2831" s="25" t="str">
        <f>IF(OR(E2831="",E2831="!!!",F2831="NEW"),"",COUNTBLANK(OFFSET(A$1,,,SUMPRODUCT(MAX(ROW(E$2:E2831)*(E2831=E$2:E2831)))))-COUNTBLANK(OFFSET(A$1,,,SUMPRODUCT(MAX(ROW(E$1:E2830)*(E2=E$1:E2830))))))</f>
        <v> </v>
      </c>
      <c r="K2831" s="25" t="str">
        <f>IF(OR(E2831="",E2831="!!!",F2831="NEW"),"",INDEX(J$1:J2830,SUMPRODUCT(MAX(ROW(E$1:E2830)*(E2831=E$1:E2830)))))</f>
        <v> </v>
      </c>
      <c r="L2831" s="26"/>
    </row>
    <row r="2832" spans="1:12">
      <c r="A2832" s="20"/>
    </row>
    <row r="2833" spans="1:12">
      <c r="A2833" s="20" t="s">
        <v>1581</v>
      </c>
    </row>
    <row r="2834" spans="1:12">
      <c r="A2834" s="20" t="s">
        <v>933</v>
      </c>
      <c r="B2834" s="27" t="s">
        <v>636</v>
      </c>
      <c r="C2834" s="27" t="s">
        <v>637</v>
      </c>
      <c r="D2834" s="27" t="s">
        <v>608</v>
      </c>
      <c r="E2834" s="21">
        <f>IF(D2834="?OLD","!!!","")</f>
        <v/>
      </c>
      <c r="F2834" s="22" t="str">
        <f>IF(OR(E2834="",E2834="!!!"),"",IF(NOT(ISNA(VLOOKUP(E2834,E$1:E2833,1,FALSE()))),"OLD",IF(AND(E2834&lt;&gt;"",E2834&lt;&gt;"!!!"),"NEW","")))</f>
        <v> </v>
      </c>
      <c r="G2834" s="23" t="str">
        <f>IF(OR(E2834="",E2834="!!!"),"",IF(OR(J2834=0,AND(J2834=1,K2834=1),AND(J2834=1,I2834="SBJ"),AND(J2834=1,I2834=0)),"?IN_FOCUS",IF(J2834&lt;=2,"?ACTIVATED",IF(J2834&lt;&gt;"","?FAMILIAR",IF(F2834="NEW",IF(ISNA(VLOOKUP(E2834,#REF!,1,FALSE())),"?TYPE_IDENTIFIABLE","?REFERENTIAL"),"_")))))</f>
        <v> </v>
      </c>
      <c r="H2834" s="24" t="str">
        <f>IF(J2834&lt;&gt;1,"",IF(I2834="SBJ","CB","?"))</f>
        <v> </v>
      </c>
      <c r="I2834" s="25" t="str">
        <f>IF(OR(E2834="",E2834="!!!",F2834="NEW"),"",INDEX(B2833:B$2,-1+SUMPRODUCT(MAX(ROW(E2833:E$2)*(E2834=E2833:E$2)))))</f>
        <v> </v>
      </c>
      <c r="J2834" s="25" t="str">
        <f>IF(OR(E2834="",E2834="!!!",F2834="NEW"),"",COUNTBLANK(OFFSET(A$1,,,SUMPRODUCT(MAX(ROW(E$2:E2834)*(E2834=E$2:E2834)))))-COUNTBLANK(OFFSET(A$1,,,SUMPRODUCT(MAX(ROW(E$1:E2833)*(E2=E$1:E2833))))))</f>
        <v> </v>
      </c>
      <c r="K2834" s="25" t="str">
        <f>IF(OR(E2834="",E2834="!!!",F2834="NEW"),"",INDEX(J$1:J2833,SUMPRODUCT(MAX(ROW(E$1:E2833)*(E2834=E$1:E2833)))))</f>
        <v> </v>
      </c>
      <c r="L2834" s="26"/>
    </row>
    <row r="2835" spans="1:12">
      <c r="A2835" s="20" t="s">
        <v>612</v>
      </c>
      <c r="E2835" s="21">
        <f>IF(D2835="?OLD","!!!","")</f>
        <v/>
      </c>
      <c r="F2835" s="22" t="str">
        <f>IF(OR(E2835="",E2835="!!!"),"",IF(NOT(ISNA(VLOOKUP(E2835,E$1:E2834,1,FALSE()))),"OLD",IF(AND(E2835&lt;&gt;"",E2835&lt;&gt;"!!!"),"NEW","")))</f>
        <v> </v>
      </c>
      <c r="G2835" s="23" t="str">
        <f>IF(OR(E2835="",E2835="!!!"),"",IF(OR(J2835=0,AND(J2835=1,K2835=1),AND(J2835=1,I2835="SBJ"),AND(J2835=1,I2835=0)),"?IN_FOCUS",IF(J2835&lt;=2,"?ACTIVATED",IF(J2835&lt;&gt;"","?FAMILIAR",IF(F2835="NEW",IF(ISNA(VLOOKUP(E2835,#REF!,1,FALSE())),"?TYPE_IDENTIFIABLE","?REFERENTIAL"),"_")))))</f>
        <v> </v>
      </c>
      <c r="H2835" s="24" t="str">
        <f>IF(J2835&lt;&gt;1,"",IF(I2835="SBJ","CB","?"))</f>
        <v> </v>
      </c>
      <c r="I2835" s="25" t="str">
        <f>IF(OR(E2835="",E2835="!!!",F2835="NEW"),"",INDEX(B2834:B$2,-1+SUMPRODUCT(MAX(ROW(E2834:E$2)*(E2835=E2834:E$2)))))</f>
        <v> </v>
      </c>
      <c r="J2835" s="25" t="str">
        <f>IF(OR(E2835="",E2835="!!!",F2835="NEW"),"",COUNTBLANK(OFFSET(A$1,,,SUMPRODUCT(MAX(ROW(E$2:E2835)*(E2835=E$2:E2835)))))-COUNTBLANK(OFFSET(A$1,,,SUMPRODUCT(MAX(ROW(E$1:E2834)*(E2=E$1:E2834))))))</f>
        <v> </v>
      </c>
      <c r="K2835" s="25" t="str">
        <f>IF(OR(E2835="",E2835="!!!",F2835="NEW"),"",INDEX(J$1:J2834,SUMPRODUCT(MAX(ROW(E$1:E2834)*(E2835=E$1:E2834)))))</f>
        <v> </v>
      </c>
      <c r="L2835" s="26"/>
    </row>
    <row r="2836" spans="1:12">
      <c r="A2836" s="20" t="s">
        <v>1002</v>
      </c>
      <c r="E2836" s="21">
        <f>IF(D2836="?OLD","!!!","")</f>
        <v/>
      </c>
      <c r="F2836" s="22" t="str">
        <f>IF(OR(E2836="",E2836="!!!"),"",IF(NOT(ISNA(VLOOKUP(E2836,E$1:E2835,1,FALSE()))),"OLD",IF(AND(E2836&lt;&gt;"",E2836&lt;&gt;"!!!"),"NEW","")))</f>
        <v> </v>
      </c>
      <c r="G2836" s="23" t="str">
        <f>IF(OR(E2836="",E2836="!!!"),"",IF(OR(J2836=0,AND(J2836=1,K2836=1),AND(J2836=1,I2836="SBJ"),AND(J2836=1,I2836=0)),"?IN_FOCUS",IF(J2836&lt;=2,"?ACTIVATED",IF(J2836&lt;&gt;"","?FAMILIAR",IF(F2836="NEW",IF(ISNA(VLOOKUP(E2836,#REF!,1,FALSE())),"?TYPE_IDENTIFIABLE","?REFERENTIAL"),"_")))))</f>
        <v> </v>
      </c>
      <c r="H2836" s="24" t="str">
        <f>IF(J2836&lt;&gt;1,"",IF(I2836="SBJ","CB","?"))</f>
        <v> </v>
      </c>
      <c r="I2836" s="25" t="str">
        <f>IF(OR(E2836="",E2836="!!!",F2836="NEW"),"",INDEX(B2835:B$2,-1+SUMPRODUCT(MAX(ROW(E2835:E$2)*(E2836=E2835:E$2)))))</f>
        <v> </v>
      </c>
      <c r="J2836" s="25" t="str">
        <f>IF(OR(E2836="",E2836="!!!",F2836="NEW"),"",COUNTBLANK(OFFSET(A$1,,,SUMPRODUCT(MAX(ROW(E$2:E2836)*(E2836=E$2:E2836)))))-COUNTBLANK(OFFSET(A$1,,,SUMPRODUCT(MAX(ROW(E$1:E2835)*(E2=E$1:E2835))))))</f>
        <v> </v>
      </c>
      <c r="K2836" s="25" t="str">
        <f>IF(OR(E2836="",E2836="!!!",F2836="NEW"),"",INDEX(J$1:J2835,SUMPRODUCT(MAX(ROW(E$1:E2835)*(E2836=E$1:E2835)))))</f>
        <v> </v>
      </c>
      <c r="L2836" s="26"/>
    </row>
    <row r="2837" spans="1:12">
      <c r="A2837" s="20" t="s">
        <v>1479</v>
      </c>
      <c r="E2837" s="21">
        <f>IF(D2837="?OLD","!!!","")</f>
        <v/>
      </c>
      <c r="F2837" s="22" t="str">
        <f>IF(OR(E2837="",E2837="!!!"),"",IF(NOT(ISNA(VLOOKUP(E2837,E$1:E2836,1,FALSE()))),"OLD",IF(AND(E2837&lt;&gt;"",E2837&lt;&gt;"!!!"),"NEW","")))</f>
        <v> </v>
      </c>
      <c r="G2837" s="23" t="str">
        <f>IF(OR(E2837="",E2837="!!!"),"",IF(OR(J2837=0,AND(J2837=1,K2837=1),AND(J2837=1,I2837="SBJ"),AND(J2837=1,I2837=0)),"?IN_FOCUS",IF(J2837&lt;=2,"?ACTIVATED",IF(J2837&lt;&gt;"","?FAMILIAR",IF(F2837="NEW",IF(ISNA(VLOOKUP(E2837,#REF!,1,FALSE())),"?TYPE_IDENTIFIABLE","?REFERENTIAL"),"_")))))</f>
        <v> </v>
      </c>
      <c r="H2837" s="24" t="str">
        <f>IF(J2837&lt;&gt;1,"",IF(I2837="SBJ","CB","?"))</f>
        <v> </v>
      </c>
      <c r="I2837" s="25" t="str">
        <f>IF(OR(E2837="",E2837="!!!",F2837="NEW"),"",INDEX(B2836:B$2,-1+SUMPRODUCT(MAX(ROW(E2836:E$2)*(E2837=E2836:E$2)))))</f>
        <v> </v>
      </c>
      <c r="J2837" s="25" t="str">
        <f>IF(OR(E2837="",E2837="!!!",F2837="NEW"),"",COUNTBLANK(OFFSET(A$1,,,SUMPRODUCT(MAX(ROW(E$2:E2837)*(E2837=E$2:E2837)))))-COUNTBLANK(OFFSET(A$1,,,SUMPRODUCT(MAX(ROW(E$1:E2836)*(E2=E$1:E2836))))))</f>
        <v> </v>
      </c>
      <c r="K2837" s="25" t="str">
        <f>IF(OR(E2837="",E2837="!!!",F2837="NEW"),"",INDEX(J$1:J2836,SUMPRODUCT(MAX(ROW(E$1:E2836)*(E2837=E$1:E2836)))))</f>
        <v> </v>
      </c>
      <c r="L2837" s="26"/>
    </row>
    <row r="2838" spans="1:12">
      <c r="A2838" s="20" t="s">
        <v>617</v>
      </c>
      <c r="E2838" s="21">
        <f>IF(D2838="?OLD","!!!","")</f>
        <v/>
      </c>
      <c r="F2838" s="22" t="str">
        <f>IF(OR(E2838="",E2838="!!!"),"",IF(NOT(ISNA(VLOOKUP(E2838,E$1:E2837,1,FALSE()))),"OLD",IF(AND(E2838&lt;&gt;"",E2838&lt;&gt;"!!!"),"NEW","")))</f>
        <v> </v>
      </c>
      <c r="G2838" s="23" t="str">
        <f>IF(OR(E2838="",E2838="!!!"),"",IF(OR(J2838=0,AND(J2838=1,K2838=1),AND(J2838=1,I2838="SBJ"),AND(J2838=1,I2838=0)),"?IN_FOCUS",IF(J2838&lt;=2,"?ACTIVATED",IF(J2838&lt;&gt;"","?FAMILIAR",IF(F2838="NEW",IF(ISNA(VLOOKUP(E2838,#REF!,1,FALSE())),"?TYPE_IDENTIFIABLE","?REFERENTIAL"),"_")))))</f>
        <v> </v>
      </c>
      <c r="H2838" s="24" t="str">
        <f>IF(J2838&lt;&gt;1,"",IF(I2838="SBJ","CB","?"))</f>
        <v> </v>
      </c>
      <c r="I2838" s="25" t="str">
        <f>IF(OR(E2838="",E2838="!!!",F2838="NEW"),"",INDEX(B2837:B$2,-1+SUMPRODUCT(MAX(ROW(E2837:E$2)*(E2838=E2837:E$2)))))</f>
        <v> </v>
      </c>
      <c r="J2838" s="25" t="str">
        <f>IF(OR(E2838="",E2838="!!!",F2838="NEW"),"",COUNTBLANK(OFFSET(A$1,,,SUMPRODUCT(MAX(ROW(E$2:E2838)*(E2838=E$2:E2838)))))-COUNTBLANK(OFFSET(A$1,,,SUMPRODUCT(MAX(ROW(E$1:E2837)*(E2=E$1:E2837))))))</f>
        <v> </v>
      </c>
      <c r="K2838" s="25" t="str">
        <f>IF(OR(E2838="",E2838="!!!",F2838="NEW"),"",INDEX(J$1:J2837,SUMPRODUCT(MAX(ROW(E$1:E2837)*(E2838=E$1:E2837)))))</f>
        <v> </v>
      </c>
      <c r="L2838" s="26"/>
    </row>
    <row r="2839" spans="1:12">
      <c r="A2839" s="20" t="s">
        <v>630</v>
      </c>
      <c r="B2839" s="27" t="s">
        <v>657</v>
      </c>
      <c r="C2839" s="27" t="s">
        <v>631</v>
      </c>
      <c r="D2839" s="27" t="s">
        <v>608</v>
      </c>
      <c r="E2839" s="21">
        <f>IF(D2839="?OLD","!!!","")</f>
        <v/>
      </c>
      <c r="F2839" s="22" t="str">
        <f>IF(OR(E2839="",E2839="!!!"),"",IF(NOT(ISNA(VLOOKUP(E2839,E$1:E2838,1,FALSE()))),"OLD",IF(AND(E2839&lt;&gt;"",E2839&lt;&gt;"!!!"),"NEW","")))</f>
        <v> </v>
      </c>
      <c r="G2839" s="23" t="str">
        <f>IF(OR(E2839="",E2839="!!!"),"",IF(OR(J2839=0,AND(J2839=1,K2839=1),AND(J2839=1,I2839="SBJ"),AND(J2839=1,I2839=0)),"?IN_FOCUS",IF(J2839&lt;=2,"?ACTIVATED",IF(J2839&lt;&gt;"","?FAMILIAR",IF(F2839="NEW",IF(ISNA(VLOOKUP(E2839,#REF!,1,FALSE())),"?TYPE_IDENTIFIABLE","?REFERENTIAL"),"_")))))</f>
        <v> </v>
      </c>
      <c r="H2839" s="24" t="str">
        <f>IF(J2839&lt;&gt;1,"",IF(I2839="SBJ","CB","?"))</f>
        <v> </v>
      </c>
      <c r="I2839" s="25" t="str">
        <f>IF(OR(E2839="",E2839="!!!",F2839="NEW"),"",INDEX(B2838:B$2,-1+SUMPRODUCT(MAX(ROW(E2838:E$2)*(E2839=E2838:E$2)))))</f>
        <v> </v>
      </c>
      <c r="J2839" s="25" t="str">
        <f>IF(OR(E2839="",E2839="!!!",F2839="NEW"),"",COUNTBLANK(OFFSET(A$1,,,SUMPRODUCT(MAX(ROW(E$2:E2839)*(E2839=E$2:E2839)))))-COUNTBLANK(OFFSET(A$1,,,SUMPRODUCT(MAX(ROW(E$1:E2838)*(E2=E$1:E2838))))))</f>
        <v> </v>
      </c>
      <c r="K2839" s="25" t="str">
        <f>IF(OR(E2839="",E2839="!!!",F2839="NEW"),"",INDEX(J$1:J2838,SUMPRODUCT(MAX(ROW(E$1:E2838)*(E2839=E$1:E2838)))))</f>
        <v> </v>
      </c>
      <c r="L2839" s="26"/>
    </row>
    <row r="2840" spans="1:12">
      <c r="A2840" s="20" t="s">
        <v>641</v>
      </c>
      <c r="E2840" s="21">
        <f>IF(D2840="?OLD","!!!","")</f>
        <v/>
      </c>
      <c r="F2840" s="22" t="str">
        <f>IF(OR(E2840="",E2840="!!!"),"",IF(NOT(ISNA(VLOOKUP(E2840,E$1:E2839,1,FALSE()))),"OLD",IF(AND(E2840&lt;&gt;"",E2840&lt;&gt;"!!!"),"NEW","")))</f>
        <v> </v>
      </c>
      <c r="G2840" s="23" t="str">
        <f>IF(OR(E2840="",E2840="!!!"),"",IF(OR(J2840=0,AND(J2840=1,K2840=1),AND(J2840=1,I2840="SBJ"),AND(J2840=1,I2840=0)),"?IN_FOCUS",IF(J2840&lt;=2,"?ACTIVATED",IF(J2840&lt;&gt;"","?FAMILIAR",IF(F2840="NEW",IF(ISNA(VLOOKUP(E2840,#REF!,1,FALSE())),"?TYPE_IDENTIFIABLE","?REFERENTIAL"),"_")))))</f>
        <v> </v>
      </c>
      <c r="H2840" s="24" t="str">
        <f>IF(J2840&lt;&gt;1,"",IF(I2840="SBJ","CB","?"))</f>
        <v> </v>
      </c>
      <c r="I2840" s="25" t="str">
        <f>IF(OR(E2840="",E2840="!!!",F2840="NEW"),"",INDEX(B2839:B$2,-1+SUMPRODUCT(MAX(ROW(E2839:E$2)*(E2840=E2839:E$2)))))</f>
        <v> </v>
      </c>
      <c r="J2840" s="25" t="str">
        <f>IF(OR(E2840="",E2840="!!!",F2840="NEW"),"",COUNTBLANK(OFFSET(A$1,,,SUMPRODUCT(MAX(ROW(E$2:E2840)*(E2840=E$2:E2840)))))-COUNTBLANK(OFFSET(A$1,,,SUMPRODUCT(MAX(ROW(E$1:E2839)*(E2=E$1:E2839))))))</f>
        <v> </v>
      </c>
      <c r="K2840" s="25" t="str">
        <f>IF(OR(E2840="",E2840="!!!",F2840="NEW"),"",INDEX(J$1:J2839,SUMPRODUCT(MAX(ROW(E$1:E2839)*(E2840=E$1:E2839)))))</f>
        <v> </v>
      </c>
      <c r="L2840" s="26"/>
    </row>
    <row r="2841" spans="1:12">
      <c r="A2841" s="20" t="s">
        <v>1582</v>
      </c>
      <c r="E2841" s="21">
        <f>IF(D2841="?OLD","!!!","")</f>
        <v/>
      </c>
      <c r="F2841" s="22" t="str">
        <f>IF(OR(E2841="",E2841="!!!"),"",IF(NOT(ISNA(VLOOKUP(E2841,E$1:E2840,1,FALSE()))),"OLD",IF(AND(E2841&lt;&gt;"",E2841&lt;&gt;"!!!"),"NEW","")))</f>
        <v> </v>
      </c>
      <c r="G2841" s="23" t="str">
        <f>IF(OR(E2841="",E2841="!!!"),"",IF(OR(J2841=0,AND(J2841=1,K2841=1),AND(J2841=1,I2841="SBJ"),AND(J2841=1,I2841=0)),"?IN_FOCUS",IF(J2841&lt;=2,"?ACTIVATED",IF(J2841&lt;&gt;"","?FAMILIAR",IF(F2841="NEW",IF(ISNA(VLOOKUP(E2841,#REF!,1,FALSE())),"?TYPE_IDENTIFIABLE","?REFERENTIAL"),"_")))))</f>
        <v> </v>
      </c>
      <c r="H2841" s="24" t="str">
        <f>IF(J2841&lt;&gt;1,"",IF(I2841="SBJ","CB","?"))</f>
        <v> </v>
      </c>
      <c r="I2841" s="25" t="str">
        <f>IF(OR(E2841="",E2841="!!!",F2841="NEW"),"",INDEX(B2840:B$2,-1+SUMPRODUCT(MAX(ROW(E2840:E$2)*(E2841=E2840:E$2)))))</f>
        <v> </v>
      </c>
      <c r="J2841" s="25" t="str">
        <f>IF(OR(E2841="",E2841="!!!",F2841="NEW"),"",COUNTBLANK(OFFSET(A$1,,,SUMPRODUCT(MAX(ROW(E$2:E2841)*(E2841=E$2:E2841)))))-COUNTBLANK(OFFSET(A$1,,,SUMPRODUCT(MAX(ROW(E$1:E2840)*(E2=E$1:E2840))))))</f>
        <v> </v>
      </c>
      <c r="K2841" s="25" t="str">
        <f>IF(OR(E2841="",E2841="!!!",F2841="NEW"),"",INDEX(J$1:J2840,SUMPRODUCT(MAX(ROW(E$1:E2840)*(E2841=E$1:E2840)))))</f>
        <v> </v>
      </c>
      <c r="L2841" s="26"/>
    </row>
    <row r="2842" spans="1:12">
      <c r="A2842" s="20" t="s">
        <v>609</v>
      </c>
      <c r="E2842" s="21">
        <f>IF(D2842="?OLD","!!!","")</f>
        <v/>
      </c>
      <c r="F2842" s="22" t="str">
        <f>IF(OR(E2842="",E2842="!!!"),"",IF(NOT(ISNA(VLOOKUP(E2842,E$1:E2841,1,FALSE()))),"OLD",IF(AND(E2842&lt;&gt;"",E2842&lt;&gt;"!!!"),"NEW","")))</f>
        <v> </v>
      </c>
      <c r="G2842" s="23" t="str">
        <f>IF(OR(E2842="",E2842="!!!"),"",IF(OR(J2842=0,AND(J2842=1,K2842=1),AND(J2842=1,I2842="SBJ"),AND(J2842=1,I2842=0)),"?IN_FOCUS",IF(J2842&lt;=2,"?ACTIVATED",IF(J2842&lt;&gt;"","?FAMILIAR",IF(F2842="NEW",IF(ISNA(VLOOKUP(E2842,#REF!,1,FALSE())),"?TYPE_IDENTIFIABLE","?REFERENTIAL"),"_")))))</f>
        <v> </v>
      </c>
      <c r="H2842" s="24" t="str">
        <f>IF(J2842&lt;&gt;1,"",IF(I2842="SBJ","CB","?"))</f>
        <v> </v>
      </c>
      <c r="I2842" s="25" t="str">
        <f>IF(OR(E2842="",E2842="!!!",F2842="NEW"),"",INDEX(B2841:B$2,-1+SUMPRODUCT(MAX(ROW(E2841:E$2)*(E2842=E2841:E$2)))))</f>
        <v> </v>
      </c>
      <c r="J2842" s="25" t="str">
        <f>IF(OR(E2842="",E2842="!!!",F2842="NEW"),"",COUNTBLANK(OFFSET(A$1,,,SUMPRODUCT(MAX(ROW(E$2:E2842)*(E2842=E$2:E2842)))))-COUNTBLANK(OFFSET(A$1,,,SUMPRODUCT(MAX(ROW(E$1:E2841)*(E2=E$1:E2841))))))</f>
        <v> </v>
      </c>
      <c r="K2842" s="25" t="str">
        <f>IF(OR(E2842="",E2842="!!!",F2842="NEW"),"",INDEX(J$1:J2841,SUMPRODUCT(MAX(ROW(E$1:E2841)*(E2842=E$1:E2841)))))</f>
        <v> </v>
      </c>
      <c r="L2842" s="26"/>
    </row>
    <row r="2843" spans="1:12">
      <c r="A2843" s="20" t="s">
        <v>1583</v>
      </c>
      <c r="B2843" s="27" t="s">
        <v>611</v>
      </c>
      <c r="C2843" s="27" t="s">
        <v>607</v>
      </c>
      <c r="D2843" s="27" t="s">
        <v>608</v>
      </c>
      <c r="E2843" s="21">
        <f>IF(D2843="?OLD","!!!","")</f>
        <v/>
      </c>
      <c r="F2843" s="22" t="str">
        <f>IF(OR(E2843="",E2843="!!!"),"",IF(NOT(ISNA(VLOOKUP(E2843,E$1:E2842,1,FALSE()))),"OLD",IF(AND(E2843&lt;&gt;"",E2843&lt;&gt;"!!!"),"NEW","")))</f>
        <v> </v>
      </c>
      <c r="G2843" s="23" t="str">
        <f>IF(OR(E2843="",E2843="!!!"),"",IF(OR(J2843=0,AND(J2843=1,K2843=1),AND(J2843=1,I2843="SBJ"),AND(J2843=1,I2843=0)),"?IN_FOCUS",IF(J2843&lt;=2,"?ACTIVATED",IF(J2843&lt;&gt;"","?FAMILIAR",IF(F2843="NEW",IF(ISNA(VLOOKUP(E2843,#REF!,1,FALSE())),"?TYPE_IDENTIFIABLE","?REFERENTIAL"),"_")))))</f>
        <v> </v>
      </c>
      <c r="H2843" s="24" t="str">
        <f>IF(J2843&lt;&gt;1,"",IF(I2843="SBJ","CB","?"))</f>
        <v> </v>
      </c>
      <c r="I2843" s="25" t="str">
        <f>IF(OR(E2843="",E2843="!!!",F2843="NEW"),"",INDEX(B2842:B$2,-1+SUMPRODUCT(MAX(ROW(E2842:E$2)*(E2843=E2842:E$2)))))</f>
        <v> </v>
      </c>
      <c r="J2843" s="25" t="str">
        <f>IF(OR(E2843="",E2843="!!!",F2843="NEW"),"",COUNTBLANK(OFFSET(A$1,,,SUMPRODUCT(MAX(ROW(E$2:E2843)*(E2843=E$2:E2843)))))-COUNTBLANK(OFFSET(A$1,,,SUMPRODUCT(MAX(ROW(E$1:E2842)*(E2=E$1:E2842))))))</f>
        <v> </v>
      </c>
      <c r="K2843" s="25" t="str">
        <f>IF(OR(E2843="",E2843="!!!",F2843="NEW"),"",INDEX(J$1:J2842,SUMPRODUCT(MAX(ROW(E$1:E2842)*(E2843=E$1:E2842)))))</f>
        <v> </v>
      </c>
      <c r="L2843" s="26"/>
    </row>
    <row r="2844" spans="1:12">
      <c r="A2844" s="20" t="s">
        <v>1584</v>
      </c>
      <c r="E2844" s="21">
        <f>IF(D2844="?OLD","!!!","")</f>
        <v/>
      </c>
      <c r="F2844" s="22" t="str">
        <f>IF(OR(E2844="",E2844="!!!"),"",IF(NOT(ISNA(VLOOKUP(E2844,E$1:E2843,1,FALSE()))),"OLD",IF(AND(E2844&lt;&gt;"",E2844&lt;&gt;"!!!"),"NEW","")))</f>
        <v> </v>
      </c>
      <c r="G2844" s="23" t="str">
        <f>IF(OR(E2844="",E2844="!!!"),"",IF(OR(J2844=0,AND(J2844=1,K2844=1),AND(J2844=1,I2844="SBJ"),AND(J2844=1,I2844=0)),"?IN_FOCUS",IF(J2844&lt;=2,"?ACTIVATED",IF(J2844&lt;&gt;"","?FAMILIAR",IF(F2844="NEW",IF(ISNA(VLOOKUP(E2844,#REF!,1,FALSE())),"?TYPE_IDENTIFIABLE","?REFERENTIAL"),"_")))))</f>
        <v> </v>
      </c>
      <c r="H2844" s="24" t="str">
        <f>IF(J2844&lt;&gt;1,"",IF(I2844="SBJ","CB","?"))</f>
        <v> </v>
      </c>
      <c r="I2844" s="25" t="str">
        <f>IF(OR(E2844="",E2844="!!!",F2844="NEW"),"",INDEX(B2843:B$2,-1+SUMPRODUCT(MAX(ROW(E2843:E$2)*(E2844=E2843:E$2)))))</f>
        <v> </v>
      </c>
      <c r="J2844" s="25" t="str">
        <f>IF(OR(E2844="",E2844="!!!",F2844="NEW"),"",COUNTBLANK(OFFSET(A$1,,,SUMPRODUCT(MAX(ROW(E$2:E2844)*(E2844=E$2:E2844)))))-COUNTBLANK(OFFSET(A$1,,,SUMPRODUCT(MAX(ROW(E$1:E2843)*(E2=E$1:E2843))))))</f>
        <v> </v>
      </c>
      <c r="K2844" s="25" t="str">
        <f>IF(OR(E2844="",E2844="!!!",F2844="NEW"),"",INDEX(J$1:J2843,SUMPRODUCT(MAX(ROW(E$1:E2843)*(E2844=E$1:E2843)))))</f>
        <v> </v>
      </c>
      <c r="L2844" s="26"/>
    </row>
    <row r="2845" spans="1:12">
      <c r="A2845" s="20" t="s">
        <v>617</v>
      </c>
      <c r="E2845" s="21">
        <f>IF(D2845="?OLD","!!!","")</f>
        <v/>
      </c>
      <c r="F2845" s="22" t="str">
        <f>IF(OR(E2845="",E2845="!!!"),"",IF(NOT(ISNA(VLOOKUP(E2845,E$1:E2844,1,FALSE()))),"OLD",IF(AND(E2845&lt;&gt;"",E2845&lt;&gt;"!!!"),"NEW","")))</f>
        <v> </v>
      </c>
      <c r="G2845" s="23" t="str">
        <f>IF(OR(E2845="",E2845="!!!"),"",IF(OR(J2845=0,AND(J2845=1,K2845=1),AND(J2845=1,I2845="SBJ"),AND(J2845=1,I2845=0)),"?IN_FOCUS",IF(J2845&lt;=2,"?ACTIVATED",IF(J2845&lt;&gt;"","?FAMILIAR",IF(F2845="NEW",IF(ISNA(VLOOKUP(E2845,#REF!,1,FALSE())),"?TYPE_IDENTIFIABLE","?REFERENTIAL"),"_")))))</f>
        <v> </v>
      </c>
      <c r="H2845" s="24" t="str">
        <f>IF(J2845&lt;&gt;1,"",IF(I2845="SBJ","CB","?"))</f>
        <v> </v>
      </c>
      <c r="I2845" s="25" t="str">
        <f>IF(OR(E2845="",E2845="!!!",F2845="NEW"),"",INDEX(B2844:B$2,-1+SUMPRODUCT(MAX(ROW(E2844:E$2)*(E2845=E2844:E$2)))))</f>
        <v> </v>
      </c>
      <c r="J2845" s="25" t="str">
        <f>IF(OR(E2845="",E2845="!!!",F2845="NEW"),"",COUNTBLANK(OFFSET(A$1,,,SUMPRODUCT(MAX(ROW(E$2:E2845)*(E2845=E$2:E2845)))))-COUNTBLANK(OFFSET(A$1,,,SUMPRODUCT(MAX(ROW(E$1:E2844)*(E2=E$1:E2844))))))</f>
        <v> </v>
      </c>
      <c r="K2845" s="25" t="str">
        <f>IF(OR(E2845="",E2845="!!!",F2845="NEW"),"",INDEX(J$1:J2844,SUMPRODUCT(MAX(ROW(E$1:E2844)*(E2845=E$1:E2844)))))</f>
        <v> </v>
      </c>
      <c r="L2845" s="26"/>
    </row>
    <row r="2846" spans="1:12">
      <c r="A2846" s="20" t="s">
        <v>970</v>
      </c>
      <c r="E2846" s="21">
        <f>IF(D2846="?OLD","!!!","")</f>
        <v/>
      </c>
      <c r="F2846" s="22" t="str">
        <f>IF(OR(E2846="",E2846="!!!"),"",IF(NOT(ISNA(VLOOKUP(E2846,E$1:E2845,1,FALSE()))),"OLD",IF(AND(E2846&lt;&gt;"",E2846&lt;&gt;"!!!"),"NEW","")))</f>
        <v> </v>
      </c>
      <c r="G2846" s="23" t="str">
        <f>IF(OR(E2846="",E2846="!!!"),"",IF(OR(J2846=0,AND(J2846=1,K2846=1),AND(J2846=1,I2846="SBJ"),AND(J2846=1,I2846=0)),"?IN_FOCUS",IF(J2846&lt;=2,"?ACTIVATED",IF(J2846&lt;&gt;"","?FAMILIAR",IF(F2846="NEW",IF(ISNA(VLOOKUP(E2846,#REF!,1,FALSE())),"?TYPE_IDENTIFIABLE","?REFERENTIAL"),"_")))))</f>
        <v> </v>
      </c>
      <c r="H2846" s="24" t="str">
        <f>IF(J2846&lt;&gt;1,"",IF(I2846="SBJ","CB","?"))</f>
        <v> </v>
      </c>
      <c r="I2846" s="25" t="str">
        <f>IF(OR(E2846="",E2846="!!!",F2846="NEW"),"",INDEX(B2845:B$2,-1+SUMPRODUCT(MAX(ROW(E2845:E$2)*(E2846=E2845:E$2)))))</f>
        <v> </v>
      </c>
      <c r="J2846" s="25" t="str">
        <f>IF(OR(E2846="",E2846="!!!",F2846="NEW"),"",COUNTBLANK(OFFSET(A$1,,,SUMPRODUCT(MAX(ROW(E$2:E2846)*(E2846=E$2:E2846)))))-COUNTBLANK(OFFSET(A$1,,,SUMPRODUCT(MAX(ROW(E$1:E2845)*(E2=E$1:E2845))))))</f>
        <v> </v>
      </c>
      <c r="K2846" s="25" t="str">
        <f>IF(OR(E2846="",E2846="!!!",F2846="NEW"),"",INDEX(J$1:J2845,SUMPRODUCT(MAX(ROW(E$1:E2845)*(E2846=E$1:E2845)))))</f>
        <v> </v>
      </c>
      <c r="L2846" s="26"/>
    </row>
    <row r="2847" spans="1:12">
      <c r="A2847" s="20" t="s">
        <v>917</v>
      </c>
      <c r="E2847" s="21">
        <f>IF(D2847="?OLD","!!!","")</f>
        <v/>
      </c>
      <c r="F2847" s="22" t="str">
        <f>IF(OR(E2847="",E2847="!!!"),"",IF(NOT(ISNA(VLOOKUP(E2847,E$1:E2846,1,FALSE()))),"OLD",IF(AND(E2847&lt;&gt;"",E2847&lt;&gt;"!!!"),"NEW","")))</f>
        <v> </v>
      </c>
      <c r="G2847" s="23" t="str">
        <f>IF(OR(E2847="",E2847="!!!"),"",IF(OR(J2847=0,AND(J2847=1,K2847=1),AND(J2847=1,I2847="SBJ"),AND(J2847=1,I2847=0)),"?IN_FOCUS",IF(J2847&lt;=2,"?ACTIVATED",IF(J2847&lt;&gt;"","?FAMILIAR",IF(F2847="NEW",IF(ISNA(VLOOKUP(E2847,#REF!,1,FALSE())),"?TYPE_IDENTIFIABLE","?REFERENTIAL"),"_")))))</f>
        <v> </v>
      </c>
      <c r="H2847" s="24" t="str">
        <f>IF(J2847&lt;&gt;1,"",IF(I2847="SBJ","CB","?"))</f>
        <v> </v>
      </c>
      <c r="I2847" s="25" t="str">
        <f>IF(OR(E2847="",E2847="!!!",F2847="NEW"),"",INDEX(B2846:B$2,-1+SUMPRODUCT(MAX(ROW(E2846:E$2)*(E2847=E2846:E$2)))))</f>
        <v> </v>
      </c>
      <c r="J2847" s="25" t="str">
        <f>IF(OR(E2847="",E2847="!!!",F2847="NEW"),"",COUNTBLANK(OFFSET(A$1,,,SUMPRODUCT(MAX(ROW(E$2:E2847)*(E2847=E$2:E2847)))))-COUNTBLANK(OFFSET(A$1,,,SUMPRODUCT(MAX(ROW(E$1:E2846)*(E2=E$1:E2846))))))</f>
        <v> </v>
      </c>
      <c r="K2847" s="25" t="str">
        <f>IF(OR(E2847="",E2847="!!!",F2847="NEW"),"",INDEX(J$1:J2846,SUMPRODUCT(MAX(ROW(E$1:E2846)*(E2847=E$1:E2846)))))</f>
        <v> </v>
      </c>
      <c r="L2847" s="26"/>
    </row>
    <row r="2848" spans="1:12">
      <c r="A2848" s="20" t="s">
        <v>1479</v>
      </c>
      <c r="E2848" s="21">
        <f>IF(D2848="?OLD","!!!","")</f>
        <v/>
      </c>
      <c r="F2848" s="22" t="str">
        <f>IF(OR(E2848="",E2848="!!!"),"",IF(NOT(ISNA(VLOOKUP(E2848,E$1:E2847,1,FALSE()))),"OLD",IF(AND(E2848&lt;&gt;"",E2848&lt;&gt;"!!!"),"NEW","")))</f>
        <v> </v>
      </c>
      <c r="G2848" s="23" t="str">
        <f>IF(OR(E2848="",E2848="!!!"),"",IF(OR(J2848=0,AND(J2848=1,K2848=1),AND(J2848=1,I2848="SBJ"),AND(J2848=1,I2848=0)),"?IN_FOCUS",IF(J2848&lt;=2,"?ACTIVATED",IF(J2848&lt;&gt;"","?FAMILIAR",IF(F2848="NEW",IF(ISNA(VLOOKUP(E2848,#REF!,1,FALSE())),"?TYPE_IDENTIFIABLE","?REFERENTIAL"),"_")))))</f>
        <v> </v>
      </c>
      <c r="H2848" s="24" t="str">
        <f>IF(J2848&lt;&gt;1,"",IF(I2848="SBJ","CB","?"))</f>
        <v> </v>
      </c>
      <c r="I2848" s="25" t="str">
        <f>IF(OR(E2848="",E2848="!!!",F2848="NEW"),"",INDEX(B2847:B$2,-1+SUMPRODUCT(MAX(ROW(E2847:E$2)*(E2848=E2847:E$2)))))</f>
        <v> </v>
      </c>
      <c r="J2848" s="25" t="str">
        <f>IF(OR(E2848="",E2848="!!!",F2848="NEW"),"",COUNTBLANK(OFFSET(A$1,,,SUMPRODUCT(MAX(ROW(E$2:E2848)*(E2848=E$2:E2848)))))-COUNTBLANK(OFFSET(A$1,,,SUMPRODUCT(MAX(ROW(E$1:E2847)*(E2=E$1:E2847))))))</f>
        <v> </v>
      </c>
      <c r="K2848" s="25" t="str">
        <f>IF(OR(E2848="",E2848="!!!",F2848="NEW"),"",INDEX(J$1:J2847,SUMPRODUCT(MAX(ROW(E$1:E2847)*(E2848=E$1:E2847)))))</f>
        <v> </v>
      </c>
      <c r="L2848" s="26"/>
    </row>
    <row r="2849" spans="1:12">
      <c r="A2849" s="20" t="s">
        <v>617</v>
      </c>
      <c r="E2849" s="21">
        <f>IF(D2849="?OLD","!!!","")</f>
        <v/>
      </c>
      <c r="F2849" s="22" t="str">
        <f>IF(OR(E2849="",E2849="!!!"),"",IF(NOT(ISNA(VLOOKUP(E2849,E$1:E2848,1,FALSE()))),"OLD",IF(AND(E2849&lt;&gt;"",E2849&lt;&gt;"!!!"),"NEW","")))</f>
        <v> </v>
      </c>
      <c r="G2849" s="23" t="str">
        <f>IF(OR(E2849="",E2849="!!!"),"",IF(OR(J2849=0,AND(J2849=1,K2849=1),AND(J2849=1,I2849="SBJ"),AND(J2849=1,I2849=0)),"?IN_FOCUS",IF(J2849&lt;=2,"?ACTIVATED",IF(J2849&lt;&gt;"","?FAMILIAR",IF(F2849="NEW",IF(ISNA(VLOOKUP(E2849,#REF!,1,FALSE())),"?TYPE_IDENTIFIABLE","?REFERENTIAL"),"_")))))</f>
        <v> </v>
      </c>
      <c r="H2849" s="24" t="str">
        <f>IF(J2849&lt;&gt;1,"",IF(I2849="SBJ","CB","?"))</f>
        <v> </v>
      </c>
      <c r="I2849" s="25" t="str">
        <f>IF(OR(E2849="",E2849="!!!",F2849="NEW"),"",INDEX(B2848:B$2,-1+SUMPRODUCT(MAX(ROW(E2848:E$2)*(E2849=E2848:E$2)))))</f>
        <v> </v>
      </c>
      <c r="J2849" s="25" t="str">
        <f>IF(OR(E2849="",E2849="!!!",F2849="NEW"),"",COUNTBLANK(OFFSET(A$1,,,SUMPRODUCT(MAX(ROW(E$2:E2849)*(E2849=E$2:E2849)))))-COUNTBLANK(OFFSET(A$1,,,SUMPRODUCT(MAX(ROW(E$1:E2848)*(E2=E$1:E2848))))))</f>
        <v> </v>
      </c>
      <c r="K2849" s="25" t="str">
        <f>IF(OR(E2849="",E2849="!!!",F2849="NEW"),"",INDEX(J$1:J2848,SUMPRODUCT(MAX(ROW(E$1:E2848)*(E2849=E$1:E2848)))))</f>
        <v> </v>
      </c>
      <c r="L2849" s="26"/>
    </row>
    <row r="2850" spans="1:12">
      <c r="A2850" s="20" t="s">
        <v>1109</v>
      </c>
      <c r="E2850" s="21">
        <f>IF(D2850="?OLD","!!!","")</f>
        <v/>
      </c>
      <c r="F2850" s="22" t="str">
        <f>IF(OR(E2850="",E2850="!!!"),"",IF(NOT(ISNA(VLOOKUP(E2850,E$1:E2849,1,FALSE()))),"OLD",IF(AND(E2850&lt;&gt;"",E2850&lt;&gt;"!!!"),"NEW","")))</f>
        <v> </v>
      </c>
      <c r="G2850" s="23" t="str">
        <f>IF(OR(E2850="",E2850="!!!"),"",IF(OR(J2850=0,AND(J2850=1,K2850=1),AND(J2850=1,I2850="SBJ"),AND(J2850=1,I2850=0)),"?IN_FOCUS",IF(J2850&lt;=2,"?ACTIVATED",IF(J2850&lt;&gt;"","?FAMILIAR",IF(F2850="NEW",IF(ISNA(VLOOKUP(E2850,#REF!,1,FALSE())),"?TYPE_IDENTIFIABLE","?REFERENTIAL"),"_")))))</f>
        <v> </v>
      </c>
      <c r="H2850" s="24" t="str">
        <f>IF(J2850&lt;&gt;1,"",IF(I2850="SBJ","CB","?"))</f>
        <v> </v>
      </c>
      <c r="I2850" s="25" t="str">
        <f>IF(OR(E2850="",E2850="!!!",F2850="NEW"),"",INDEX(B2849:B$2,-1+SUMPRODUCT(MAX(ROW(E2849:E$2)*(E2850=E2849:E$2)))))</f>
        <v> </v>
      </c>
      <c r="J2850" s="25" t="str">
        <f>IF(OR(E2850="",E2850="!!!",F2850="NEW"),"",COUNTBLANK(OFFSET(A$1,,,SUMPRODUCT(MAX(ROW(E$2:E2850)*(E2850=E$2:E2850)))))-COUNTBLANK(OFFSET(A$1,,,SUMPRODUCT(MAX(ROW(E$1:E2849)*(E2=E$1:E2849))))))</f>
        <v> </v>
      </c>
      <c r="K2850" s="25" t="str">
        <f>IF(OR(E2850="",E2850="!!!",F2850="NEW"),"",INDEX(J$1:J2849,SUMPRODUCT(MAX(ROW(E$1:E2849)*(E2850=E$1:E2849)))))</f>
        <v> </v>
      </c>
      <c r="L2850" s="26"/>
    </row>
    <row r="2851" spans="1:12">
      <c r="A2851" s="20" t="s">
        <v>651</v>
      </c>
      <c r="B2851" s="27" t="s">
        <v>619</v>
      </c>
      <c r="C2851" s="27" t="s">
        <v>652</v>
      </c>
      <c r="D2851" s="27" t="s">
        <v>608</v>
      </c>
      <c r="E2851" s="21">
        <f>IF(D2851="?OLD","!!!","")</f>
        <v/>
      </c>
      <c r="F2851" s="22" t="str">
        <f>IF(OR(E2851="",E2851="!!!"),"",IF(NOT(ISNA(VLOOKUP(E2851,E$1:E2850,1,FALSE()))),"OLD",IF(AND(E2851&lt;&gt;"",E2851&lt;&gt;"!!!"),"NEW","")))</f>
        <v> </v>
      </c>
      <c r="G2851" s="23" t="str">
        <f>IF(OR(E2851="",E2851="!!!"),"",IF(OR(J2851=0,AND(J2851=1,K2851=1),AND(J2851=1,I2851="SBJ"),AND(J2851=1,I2851=0)),"?IN_FOCUS",IF(J2851&lt;=2,"?ACTIVATED",IF(J2851&lt;&gt;"","?FAMILIAR",IF(F2851="NEW",IF(ISNA(VLOOKUP(E2851,#REF!,1,FALSE())),"?TYPE_IDENTIFIABLE","?REFERENTIAL"),"_")))))</f>
        <v> </v>
      </c>
      <c r="H2851" s="24" t="str">
        <f>IF(J2851&lt;&gt;1,"",IF(I2851="SBJ","CB","?"))</f>
        <v> </v>
      </c>
      <c r="I2851" s="25" t="str">
        <f>IF(OR(E2851="",E2851="!!!",F2851="NEW"),"",INDEX(B2850:B$2,-1+SUMPRODUCT(MAX(ROW(E2850:E$2)*(E2851=E2850:E$2)))))</f>
        <v> </v>
      </c>
      <c r="J2851" s="25" t="str">
        <f>IF(OR(E2851="",E2851="!!!",F2851="NEW"),"",COUNTBLANK(OFFSET(A$1,,,SUMPRODUCT(MAX(ROW(E$2:E2851)*(E2851=E$2:E2851)))))-COUNTBLANK(OFFSET(A$1,,,SUMPRODUCT(MAX(ROW(E$1:E2850)*(E2=E$1:E2850))))))</f>
        <v> </v>
      </c>
      <c r="K2851" s="25" t="str">
        <f>IF(OR(E2851="",E2851="!!!",F2851="NEW"),"",INDEX(J$1:J2850,SUMPRODUCT(MAX(ROW(E$1:E2850)*(E2851=E$1:E2850)))))</f>
        <v> </v>
      </c>
      <c r="L2851" s="26"/>
    </row>
    <row r="2852" spans="1:12">
      <c r="A2852" s="20" t="s">
        <v>807</v>
      </c>
      <c r="B2852" s="27" t="s">
        <v>657</v>
      </c>
      <c r="C2852" s="27" t="s">
        <v>652</v>
      </c>
      <c r="D2852" s="27" t="s">
        <v>608</v>
      </c>
      <c r="E2852" s="21">
        <f>IF(D2852="?OLD","!!!","")</f>
        <v/>
      </c>
      <c r="F2852" s="22" t="str">
        <f>IF(OR(E2852="",E2852="!!!"),"",IF(NOT(ISNA(VLOOKUP(E2852,E$1:E2851,1,FALSE()))),"OLD",IF(AND(E2852&lt;&gt;"",E2852&lt;&gt;"!!!"),"NEW","")))</f>
        <v> </v>
      </c>
      <c r="G2852" s="23" t="str">
        <f>IF(OR(E2852="",E2852="!!!"),"",IF(OR(J2852=0,AND(J2852=1,K2852=1),AND(J2852=1,I2852="SBJ"),AND(J2852=1,I2852=0)),"?IN_FOCUS",IF(J2852&lt;=2,"?ACTIVATED",IF(J2852&lt;&gt;"","?FAMILIAR",IF(F2852="NEW",IF(ISNA(VLOOKUP(E2852,#REF!,1,FALSE())),"?TYPE_IDENTIFIABLE","?REFERENTIAL"),"_")))))</f>
        <v> </v>
      </c>
      <c r="H2852" s="24" t="str">
        <f>IF(J2852&lt;&gt;1,"",IF(I2852="SBJ","CB","?"))</f>
        <v> </v>
      </c>
      <c r="I2852" s="25" t="str">
        <f>IF(OR(E2852="",E2852="!!!",F2852="NEW"),"",INDEX(B2851:B$2,-1+SUMPRODUCT(MAX(ROW(E2851:E$2)*(E2852=E2851:E$2)))))</f>
        <v> </v>
      </c>
      <c r="J2852" s="25" t="str">
        <f>IF(OR(E2852="",E2852="!!!",F2852="NEW"),"",COUNTBLANK(OFFSET(A$1,,,SUMPRODUCT(MAX(ROW(E$2:E2852)*(E2852=E$2:E2852)))))-COUNTBLANK(OFFSET(A$1,,,SUMPRODUCT(MAX(ROW(E$1:E2851)*(E2=E$1:E2851))))))</f>
        <v> </v>
      </c>
      <c r="K2852" s="25" t="str">
        <f>IF(OR(E2852="",E2852="!!!",F2852="NEW"),"",INDEX(J$1:J2851,SUMPRODUCT(MAX(ROW(E$1:E2851)*(E2852=E$1:E2851)))))</f>
        <v> </v>
      </c>
      <c r="L2852" s="26"/>
    </row>
    <row r="2853" spans="1:12">
      <c r="A2853" s="20" t="s">
        <v>641</v>
      </c>
      <c r="E2853" s="21">
        <f>IF(D2853="?OLD","!!!","")</f>
        <v/>
      </c>
      <c r="F2853" s="22" t="str">
        <f>IF(OR(E2853="",E2853="!!!"),"",IF(NOT(ISNA(VLOOKUP(E2853,E$1:E2852,1,FALSE()))),"OLD",IF(AND(E2853&lt;&gt;"",E2853&lt;&gt;"!!!"),"NEW","")))</f>
        <v> </v>
      </c>
      <c r="G2853" s="23" t="str">
        <f>IF(OR(E2853="",E2853="!!!"),"",IF(OR(J2853=0,AND(J2853=1,K2853=1),AND(J2853=1,I2853="SBJ"),AND(J2853=1,I2853=0)),"?IN_FOCUS",IF(J2853&lt;=2,"?ACTIVATED",IF(J2853&lt;&gt;"","?FAMILIAR",IF(F2853="NEW",IF(ISNA(VLOOKUP(E2853,#REF!,1,FALSE())),"?TYPE_IDENTIFIABLE","?REFERENTIAL"),"_")))))</f>
        <v> </v>
      </c>
      <c r="H2853" s="24" t="str">
        <f>IF(J2853&lt;&gt;1,"",IF(I2853="SBJ","CB","?"))</f>
        <v> </v>
      </c>
      <c r="I2853" s="25" t="str">
        <f>IF(OR(E2853="",E2853="!!!",F2853="NEW"),"",INDEX(B2852:B$2,-1+SUMPRODUCT(MAX(ROW(E2852:E$2)*(E2853=E2852:E$2)))))</f>
        <v> </v>
      </c>
      <c r="J2853" s="25" t="str">
        <f>IF(OR(E2853="",E2853="!!!",F2853="NEW"),"",COUNTBLANK(OFFSET(A$1,,,SUMPRODUCT(MAX(ROW(E$2:E2853)*(E2853=E$2:E2853)))))-COUNTBLANK(OFFSET(A$1,,,SUMPRODUCT(MAX(ROW(E$1:E2852)*(E2=E$1:E2852))))))</f>
        <v> </v>
      </c>
      <c r="K2853" s="25" t="str">
        <f>IF(OR(E2853="",E2853="!!!",F2853="NEW"),"",INDEX(J$1:J2852,SUMPRODUCT(MAX(ROW(E$1:E2852)*(E2853=E$1:E2852)))))</f>
        <v> </v>
      </c>
      <c r="L2853" s="26"/>
    </row>
    <row r="2854" spans="1:12">
      <c r="A2854" s="20" t="s">
        <v>1016</v>
      </c>
      <c r="E2854" s="21">
        <f>IF(D2854="?OLD","!!!","")</f>
        <v/>
      </c>
      <c r="F2854" s="22" t="str">
        <f>IF(OR(E2854="",E2854="!!!"),"",IF(NOT(ISNA(VLOOKUP(E2854,E$1:E2853,1,FALSE()))),"OLD",IF(AND(E2854&lt;&gt;"",E2854&lt;&gt;"!!!"),"NEW","")))</f>
        <v> </v>
      </c>
      <c r="G2854" s="23" t="str">
        <f>IF(OR(E2854="",E2854="!!!"),"",IF(OR(J2854=0,AND(J2854=1,K2854=1),AND(J2854=1,I2854="SBJ"),AND(J2854=1,I2854=0)),"?IN_FOCUS",IF(J2854&lt;=2,"?ACTIVATED",IF(J2854&lt;&gt;"","?FAMILIAR",IF(F2854="NEW",IF(ISNA(VLOOKUP(E2854,#REF!,1,FALSE())),"?TYPE_IDENTIFIABLE","?REFERENTIAL"),"_")))))</f>
        <v> </v>
      </c>
      <c r="H2854" s="24" t="str">
        <f>IF(J2854&lt;&gt;1,"",IF(I2854="SBJ","CB","?"))</f>
        <v> </v>
      </c>
      <c r="I2854" s="25" t="str">
        <f>IF(OR(E2854="",E2854="!!!",F2854="NEW"),"",INDEX(B2853:B$2,-1+SUMPRODUCT(MAX(ROW(E2853:E$2)*(E2854=E2853:E$2)))))</f>
        <v> </v>
      </c>
      <c r="J2854" s="25" t="str">
        <f>IF(OR(E2854="",E2854="!!!",F2854="NEW"),"",COUNTBLANK(OFFSET(A$1,,,SUMPRODUCT(MAX(ROW(E$2:E2854)*(E2854=E$2:E2854)))))-COUNTBLANK(OFFSET(A$1,,,SUMPRODUCT(MAX(ROW(E$1:E2853)*(E2=E$1:E2853))))))</f>
        <v> </v>
      </c>
      <c r="K2854" s="25" t="str">
        <f>IF(OR(E2854="",E2854="!!!",F2854="NEW"),"",INDEX(J$1:J2853,SUMPRODUCT(MAX(ROW(E$1:E2853)*(E2854=E$1:E2853)))))</f>
        <v> </v>
      </c>
      <c r="L2854" s="26"/>
    </row>
    <row r="2855" spans="1:12">
      <c r="A2855" s="20" t="s">
        <v>710</v>
      </c>
      <c r="B2855" s="27" t="s">
        <v>625</v>
      </c>
      <c r="C2855" s="27" t="s">
        <v>614</v>
      </c>
      <c r="D2855" s="27" t="s">
        <v>608</v>
      </c>
      <c r="E2855" s="21">
        <f>IF(D2855="?OLD","!!!","")</f>
        <v/>
      </c>
      <c r="F2855" s="22" t="str">
        <f>IF(OR(E2855="",E2855="!!!"),"",IF(NOT(ISNA(VLOOKUP(E2855,E$1:E2854,1,FALSE()))),"OLD",IF(AND(E2855&lt;&gt;"",E2855&lt;&gt;"!!!"),"NEW","")))</f>
        <v> </v>
      </c>
      <c r="G2855" s="23" t="str">
        <f>IF(OR(E2855="",E2855="!!!"),"",IF(OR(J2855=0,AND(J2855=1,K2855=1),AND(J2855=1,I2855="SBJ"),AND(J2855=1,I2855=0)),"?IN_FOCUS",IF(J2855&lt;=2,"?ACTIVATED",IF(J2855&lt;&gt;"","?FAMILIAR",IF(F2855="NEW",IF(ISNA(VLOOKUP(E2855,#REF!,1,FALSE())),"?TYPE_IDENTIFIABLE","?REFERENTIAL"),"_")))))</f>
        <v> </v>
      </c>
      <c r="H2855" s="24" t="str">
        <f>IF(J2855&lt;&gt;1,"",IF(I2855="SBJ","CB","?"))</f>
        <v> </v>
      </c>
      <c r="I2855" s="25" t="str">
        <f>IF(OR(E2855="",E2855="!!!",F2855="NEW"),"",INDEX(B2854:B$2,-1+SUMPRODUCT(MAX(ROW(E2854:E$2)*(E2855=E2854:E$2)))))</f>
        <v> </v>
      </c>
      <c r="J2855" s="25" t="str">
        <f>IF(OR(E2855="",E2855="!!!",F2855="NEW"),"",COUNTBLANK(OFFSET(A$1,,,SUMPRODUCT(MAX(ROW(E$2:E2855)*(E2855=E$2:E2855)))))-COUNTBLANK(OFFSET(A$1,,,SUMPRODUCT(MAX(ROW(E$1:E2854)*(E2=E$1:E2854))))))</f>
        <v> </v>
      </c>
      <c r="K2855" s="25" t="str">
        <f>IF(OR(E2855="",E2855="!!!",F2855="NEW"),"",INDEX(J$1:J2854,SUMPRODUCT(MAX(ROW(E$1:E2854)*(E2855=E$1:E2854)))))</f>
        <v> </v>
      </c>
      <c r="L2855" s="26"/>
    </row>
    <row r="2856" spans="1:12">
      <c r="A2856" s="20" t="s">
        <v>1287</v>
      </c>
      <c r="B2856" s="27" t="s">
        <v>611</v>
      </c>
      <c r="C2856" s="27" t="s">
        <v>616</v>
      </c>
      <c r="D2856" s="27" t="s">
        <v>608</v>
      </c>
      <c r="E2856" s="21">
        <f>IF(D2856="?OLD","!!!","")</f>
        <v/>
      </c>
      <c r="F2856" s="22" t="str">
        <f>IF(OR(E2856="",E2856="!!!"),"",IF(NOT(ISNA(VLOOKUP(E2856,E$1:E2855,1,FALSE()))),"OLD",IF(AND(E2856&lt;&gt;"",E2856&lt;&gt;"!!!"),"NEW","")))</f>
        <v> </v>
      </c>
      <c r="G2856" s="23" t="str">
        <f>IF(OR(E2856="",E2856="!!!"),"",IF(OR(J2856=0,AND(J2856=1,K2856=1),AND(J2856=1,I2856="SBJ"),AND(J2856=1,I2856=0)),"?IN_FOCUS",IF(J2856&lt;=2,"?ACTIVATED",IF(J2856&lt;&gt;"","?FAMILIAR",IF(F2856="NEW",IF(ISNA(VLOOKUP(E2856,#REF!,1,FALSE())),"?TYPE_IDENTIFIABLE","?REFERENTIAL"),"_")))))</f>
        <v> </v>
      </c>
      <c r="H2856" s="24" t="str">
        <f>IF(J2856&lt;&gt;1,"",IF(I2856="SBJ","CB","?"))</f>
        <v> </v>
      </c>
      <c r="I2856" s="25" t="str">
        <f>IF(OR(E2856="",E2856="!!!",F2856="NEW"),"",INDEX(B2855:B$2,-1+SUMPRODUCT(MAX(ROW(E2855:E$2)*(E2856=E2855:E$2)))))</f>
        <v> </v>
      </c>
      <c r="J2856" s="25" t="str">
        <f>IF(OR(E2856="",E2856="!!!",F2856="NEW"),"",COUNTBLANK(OFFSET(A$1,,,SUMPRODUCT(MAX(ROW(E$2:E2856)*(E2856=E$2:E2856)))))-COUNTBLANK(OFFSET(A$1,,,SUMPRODUCT(MAX(ROW(E$1:E2855)*(E2=E$1:E2855))))))</f>
        <v> </v>
      </c>
      <c r="K2856" s="25" t="str">
        <f>IF(OR(E2856="",E2856="!!!",F2856="NEW"),"",INDEX(J$1:J2855,SUMPRODUCT(MAX(ROW(E$1:E2855)*(E2856=E$1:E2855)))))</f>
        <v> </v>
      </c>
      <c r="L2856" s="26"/>
    </row>
    <row r="2857" spans="1:12">
      <c r="A2857" s="20" t="s">
        <v>576</v>
      </c>
      <c r="E2857" s="21">
        <f>IF(D2857="?OLD","!!!","")</f>
        <v/>
      </c>
      <c r="F2857" s="22" t="str">
        <f>IF(OR(E2857="",E2857="!!!"),"",IF(NOT(ISNA(VLOOKUP(E2857,E$1:E2856,1,FALSE()))),"OLD",IF(AND(E2857&lt;&gt;"",E2857&lt;&gt;"!!!"),"NEW","")))</f>
        <v> </v>
      </c>
      <c r="G2857" s="23" t="str">
        <f>IF(OR(E2857="",E2857="!!!"),"",IF(OR(J2857=0,AND(J2857=1,K2857=1),AND(J2857=1,I2857="SBJ"),AND(J2857=1,I2857=0)),"?IN_FOCUS",IF(J2857&lt;=2,"?ACTIVATED",IF(J2857&lt;&gt;"","?FAMILIAR",IF(F2857="NEW",IF(ISNA(VLOOKUP(E2857,#REF!,1,FALSE())),"?TYPE_IDENTIFIABLE","?REFERENTIAL"),"_")))))</f>
        <v> </v>
      </c>
      <c r="H2857" s="24" t="str">
        <f>IF(J2857&lt;&gt;1,"",IF(I2857="SBJ","CB","?"))</f>
        <v> </v>
      </c>
      <c r="I2857" s="25" t="str">
        <f>IF(OR(E2857="",E2857="!!!",F2857="NEW"),"",INDEX(B2856:B$2,-1+SUMPRODUCT(MAX(ROW(E2856:E$2)*(E2857=E2856:E$2)))))</f>
        <v> </v>
      </c>
      <c r="J2857" s="25" t="str">
        <f>IF(OR(E2857="",E2857="!!!",F2857="NEW"),"",COUNTBLANK(OFFSET(A$1,,,SUMPRODUCT(MAX(ROW(E$2:E2857)*(E2857=E$2:E2857)))))-COUNTBLANK(OFFSET(A$1,,,SUMPRODUCT(MAX(ROW(E$1:E2856)*(E2=E$1:E2856))))))</f>
        <v> </v>
      </c>
      <c r="K2857" s="25" t="str">
        <f>IF(OR(E2857="",E2857="!!!",F2857="NEW"),"",INDEX(J$1:J2856,SUMPRODUCT(MAX(ROW(E$1:E2856)*(E2857=E$1:E2856)))))</f>
        <v> </v>
      </c>
      <c r="L2857" s="26"/>
    </row>
    <row r="2858" spans="1:12">
      <c r="A2858" s="20" t="s">
        <v>1585</v>
      </c>
      <c r="E2858" s="21">
        <f>IF(D2858="?OLD","!!!","")</f>
        <v/>
      </c>
      <c r="F2858" s="22" t="str">
        <f>IF(OR(E2858="",E2858="!!!"),"",IF(NOT(ISNA(VLOOKUP(E2858,E$1:E2857,1,FALSE()))),"OLD",IF(AND(E2858&lt;&gt;"",E2858&lt;&gt;"!!!"),"NEW","")))</f>
        <v> </v>
      </c>
      <c r="G2858" s="23" t="str">
        <f>IF(OR(E2858="",E2858="!!!"),"",IF(OR(J2858=0,AND(J2858=1,K2858=1),AND(J2858=1,I2858="SBJ"),AND(J2858=1,I2858=0)),"?IN_FOCUS",IF(J2858&lt;=2,"?ACTIVATED",IF(J2858&lt;&gt;"","?FAMILIAR",IF(F2858="NEW",IF(ISNA(VLOOKUP(E2858,#REF!,1,FALSE())),"?TYPE_IDENTIFIABLE","?REFERENTIAL"),"_")))))</f>
        <v> </v>
      </c>
      <c r="H2858" s="24" t="str">
        <f>IF(J2858&lt;&gt;1,"",IF(I2858="SBJ","CB","?"))</f>
        <v> </v>
      </c>
      <c r="I2858" s="25" t="str">
        <f>IF(OR(E2858="",E2858="!!!",F2858="NEW"),"",INDEX(B2857:B$2,-1+SUMPRODUCT(MAX(ROW(E2857:E$2)*(E2858=E2857:E$2)))))</f>
        <v> </v>
      </c>
      <c r="J2858" s="25" t="str">
        <f>IF(OR(E2858="",E2858="!!!",F2858="NEW"),"",COUNTBLANK(OFFSET(A$1,,,SUMPRODUCT(MAX(ROW(E$2:E2858)*(E2858=E$2:E2858)))))-COUNTBLANK(OFFSET(A$1,,,SUMPRODUCT(MAX(ROW(E$1:E2857)*(E2=E$1:E2857))))))</f>
        <v> </v>
      </c>
      <c r="K2858" s="25" t="str">
        <f>IF(OR(E2858="",E2858="!!!",F2858="NEW"),"",INDEX(J$1:J2857,SUMPRODUCT(MAX(ROW(E$1:E2857)*(E2858=E$1:E2857)))))</f>
        <v> </v>
      </c>
      <c r="L2858" s="26"/>
    </row>
    <row r="2859" spans="1:12">
      <c r="A2859" s="20" t="s">
        <v>633</v>
      </c>
      <c r="E2859" s="21">
        <f>IF(D2859="?OLD","!!!","")</f>
        <v/>
      </c>
      <c r="F2859" s="22" t="str">
        <f>IF(OR(E2859="",E2859="!!!"),"",IF(NOT(ISNA(VLOOKUP(E2859,E$1:E2858,1,FALSE()))),"OLD",IF(AND(E2859&lt;&gt;"",E2859&lt;&gt;"!!!"),"NEW","")))</f>
        <v> </v>
      </c>
      <c r="G2859" s="23" t="str">
        <f>IF(OR(E2859="",E2859="!!!"),"",IF(OR(J2859=0,AND(J2859=1,K2859=1),AND(J2859=1,I2859="SBJ"),AND(J2859=1,I2859=0)),"?IN_FOCUS",IF(J2859&lt;=2,"?ACTIVATED",IF(J2859&lt;&gt;"","?FAMILIAR",IF(F2859="NEW",IF(ISNA(VLOOKUP(E2859,#REF!,1,FALSE())),"?TYPE_IDENTIFIABLE","?REFERENTIAL"),"_")))))</f>
        <v> </v>
      </c>
      <c r="H2859" s="24" t="str">
        <f>IF(J2859&lt;&gt;1,"",IF(I2859="SBJ","CB","?"))</f>
        <v> </v>
      </c>
      <c r="I2859" s="25" t="str">
        <f>IF(OR(E2859="",E2859="!!!",F2859="NEW"),"",INDEX(B2858:B$2,-1+SUMPRODUCT(MAX(ROW(E2858:E$2)*(E2859=E2858:E$2)))))</f>
        <v> </v>
      </c>
      <c r="J2859" s="25" t="str">
        <f>IF(OR(E2859="",E2859="!!!",F2859="NEW"),"",COUNTBLANK(OFFSET(A$1,,,SUMPRODUCT(MAX(ROW(E$2:E2859)*(E2859=E$2:E2859)))))-COUNTBLANK(OFFSET(A$1,,,SUMPRODUCT(MAX(ROW(E$1:E2858)*(E2=E$1:E2858))))))</f>
        <v> </v>
      </c>
      <c r="K2859" s="25" t="str">
        <f>IF(OR(E2859="",E2859="!!!",F2859="NEW"),"",INDEX(J$1:J2858,SUMPRODUCT(MAX(ROW(E$1:E2858)*(E2859=E$1:E2858)))))</f>
        <v> </v>
      </c>
      <c r="L2859" s="26"/>
    </row>
    <row r="2860" spans="1:12">
      <c r="A2860" s="20"/>
    </row>
    <row r="2861" spans="1:12">
      <c r="A2861" s="20" t="s">
        <v>1586</v>
      </c>
    </row>
    <row r="2862" spans="1:12">
      <c r="A2862" s="20" t="s">
        <v>1587</v>
      </c>
      <c r="E2862" s="21">
        <f>IF(D2862="?OLD","!!!","")</f>
        <v/>
      </c>
      <c r="F2862" s="22" t="str">
        <f>IF(OR(E2862="",E2862="!!!"),"",IF(NOT(ISNA(VLOOKUP(E2862,E$1:E2861,1,FALSE()))),"OLD",IF(AND(E2862&lt;&gt;"",E2862&lt;&gt;"!!!"),"NEW","")))</f>
        <v> </v>
      </c>
      <c r="G2862" s="23" t="str">
        <f>IF(OR(E2862="",E2862="!!!"),"",IF(OR(J2862=0,AND(J2862=1,K2862=1),AND(J2862=1,I2862="SBJ"),AND(J2862=1,I2862=0)),"?IN_FOCUS",IF(J2862&lt;=2,"?ACTIVATED",IF(J2862&lt;&gt;"","?FAMILIAR",IF(F2862="NEW",IF(ISNA(VLOOKUP(E2862,#REF!,1,FALSE())),"?TYPE_IDENTIFIABLE","?REFERENTIAL"),"_")))))</f>
        <v> </v>
      </c>
      <c r="H2862" s="24" t="str">
        <f>IF(J2862&lt;&gt;1,"",IF(I2862="SBJ","CB","?"))</f>
        <v> </v>
      </c>
      <c r="I2862" s="25" t="str">
        <f>IF(OR(E2862="",E2862="!!!",F2862="NEW"),"",INDEX(B2861:B$2,-1+SUMPRODUCT(MAX(ROW(E2861:E$2)*(E2862=E2861:E$2)))))</f>
        <v> </v>
      </c>
      <c r="J2862" s="25" t="str">
        <f>IF(OR(E2862="",E2862="!!!",F2862="NEW"),"",COUNTBLANK(OFFSET(A$1,,,SUMPRODUCT(MAX(ROW(E$2:E2862)*(E2862=E$2:E2862)))))-COUNTBLANK(OFFSET(A$1,,,SUMPRODUCT(MAX(ROW(E$1:E2861)*(E2=E$1:E2861))))))</f>
        <v> </v>
      </c>
      <c r="K2862" s="25" t="str">
        <f>IF(OR(E2862="",E2862="!!!",F2862="NEW"),"",INDEX(J$1:J2861,SUMPRODUCT(MAX(ROW(E$1:E2861)*(E2862=E$1:E2861)))))</f>
        <v> </v>
      </c>
      <c r="L2862" s="26"/>
    </row>
    <row r="2863" spans="1:12">
      <c r="A2863" s="20" t="s">
        <v>603</v>
      </c>
      <c r="E2863" s="21">
        <f>IF(D2863="?OLD","!!!","")</f>
        <v/>
      </c>
      <c r="F2863" s="22" t="str">
        <f>IF(OR(E2863="",E2863="!!!"),"",IF(NOT(ISNA(VLOOKUP(E2863,E$1:E2862,1,FALSE()))),"OLD",IF(AND(E2863&lt;&gt;"",E2863&lt;&gt;"!!!"),"NEW","")))</f>
        <v> </v>
      </c>
      <c r="G2863" s="23" t="str">
        <f>IF(OR(E2863="",E2863="!!!"),"",IF(OR(J2863=0,AND(J2863=1,K2863=1),AND(J2863=1,I2863="SBJ"),AND(J2863=1,I2863=0)),"?IN_FOCUS",IF(J2863&lt;=2,"?ACTIVATED",IF(J2863&lt;&gt;"","?FAMILIAR",IF(F2863="NEW",IF(ISNA(VLOOKUP(E2863,#REF!,1,FALSE())),"?TYPE_IDENTIFIABLE","?REFERENTIAL"),"_")))))</f>
        <v> </v>
      </c>
      <c r="H2863" s="24" t="str">
        <f>IF(J2863&lt;&gt;1,"",IF(I2863="SBJ","CB","?"))</f>
        <v> </v>
      </c>
      <c r="I2863" s="25" t="str">
        <f>IF(OR(E2863="",E2863="!!!",F2863="NEW"),"",INDEX(B2862:B$2,-1+SUMPRODUCT(MAX(ROW(E2862:E$2)*(E2863=E2862:E$2)))))</f>
        <v> </v>
      </c>
      <c r="J2863" s="25" t="str">
        <f>IF(OR(E2863="",E2863="!!!",F2863="NEW"),"",COUNTBLANK(OFFSET(A$1,,,SUMPRODUCT(MAX(ROW(E$2:E2863)*(E2863=E$2:E2863)))))-COUNTBLANK(OFFSET(A$1,,,SUMPRODUCT(MAX(ROW(E$1:E2862)*(E2=E$1:E2862))))))</f>
        <v> </v>
      </c>
      <c r="K2863" s="25" t="str">
        <f>IF(OR(E2863="",E2863="!!!",F2863="NEW"),"",INDEX(J$1:J2862,SUMPRODUCT(MAX(ROW(E$1:E2862)*(E2863=E$1:E2862)))))</f>
        <v> </v>
      </c>
      <c r="L2863" s="26"/>
    </row>
    <row r="2864" spans="1:12">
      <c r="A2864" s="20" t="s">
        <v>1588</v>
      </c>
      <c r="B2864" s="27" t="s">
        <v>606</v>
      </c>
      <c r="C2864" s="27" t="s">
        <v>607</v>
      </c>
      <c r="D2864" s="27" t="s">
        <v>608</v>
      </c>
      <c r="E2864" s="21">
        <f>IF(D2864="?OLD","!!!","")</f>
        <v/>
      </c>
      <c r="F2864" s="22" t="str">
        <f>IF(OR(E2864="",E2864="!!!"),"",IF(NOT(ISNA(VLOOKUP(E2864,E$1:E2863,1,FALSE()))),"OLD",IF(AND(E2864&lt;&gt;"",E2864&lt;&gt;"!!!"),"NEW","")))</f>
        <v> </v>
      </c>
      <c r="G2864" s="23" t="str">
        <f>IF(OR(E2864="",E2864="!!!"),"",IF(OR(J2864=0,AND(J2864=1,K2864=1),AND(J2864=1,I2864="SBJ"),AND(J2864=1,I2864=0)),"?IN_FOCUS",IF(J2864&lt;=2,"?ACTIVATED",IF(J2864&lt;&gt;"","?FAMILIAR",IF(F2864="NEW",IF(ISNA(VLOOKUP(E2864,#REF!,1,FALSE())),"?TYPE_IDENTIFIABLE","?REFERENTIAL"),"_")))))</f>
        <v> </v>
      </c>
      <c r="H2864" s="24" t="str">
        <f>IF(J2864&lt;&gt;1,"",IF(I2864="SBJ","CB","?"))</f>
        <v> </v>
      </c>
      <c r="I2864" s="25" t="str">
        <f>IF(OR(E2864="",E2864="!!!",F2864="NEW"),"",INDEX(B2863:B$2,-1+SUMPRODUCT(MAX(ROW(E2863:E$2)*(E2864=E2863:E$2)))))</f>
        <v> </v>
      </c>
      <c r="J2864" s="25" t="str">
        <f>IF(OR(E2864="",E2864="!!!",F2864="NEW"),"",COUNTBLANK(OFFSET(A$1,,,SUMPRODUCT(MAX(ROW(E$2:E2864)*(E2864=E$2:E2864)))))-COUNTBLANK(OFFSET(A$1,,,SUMPRODUCT(MAX(ROW(E$1:E2863)*(E2=E$1:E2863))))))</f>
        <v> </v>
      </c>
      <c r="K2864" s="25" t="str">
        <f>IF(OR(E2864="",E2864="!!!",F2864="NEW"),"",INDEX(J$1:J2863,SUMPRODUCT(MAX(ROW(E$1:E2863)*(E2864=E$1:E2863)))))</f>
        <v> </v>
      </c>
      <c r="L2864" s="26"/>
    </row>
    <row r="2865" spans="1:12">
      <c r="A2865" s="20" t="s">
        <v>1589</v>
      </c>
      <c r="E2865" s="21">
        <f>IF(D2865="?OLD","!!!","")</f>
        <v/>
      </c>
      <c r="F2865" s="22" t="str">
        <f>IF(OR(E2865="",E2865="!!!"),"",IF(NOT(ISNA(VLOOKUP(E2865,E$1:E2864,1,FALSE()))),"OLD",IF(AND(E2865&lt;&gt;"",E2865&lt;&gt;"!!!"),"NEW","")))</f>
        <v> </v>
      </c>
      <c r="G2865" s="23" t="str">
        <f>IF(OR(E2865="",E2865="!!!"),"",IF(OR(J2865=0,AND(J2865=1,K2865=1),AND(J2865=1,I2865="SBJ"),AND(J2865=1,I2865=0)),"?IN_FOCUS",IF(J2865&lt;=2,"?ACTIVATED",IF(J2865&lt;&gt;"","?FAMILIAR",IF(F2865="NEW",IF(ISNA(VLOOKUP(E2865,#REF!,1,FALSE())),"?TYPE_IDENTIFIABLE","?REFERENTIAL"),"_")))))</f>
        <v> </v>
      </c>
      <c r="H2865" s="24" t="str">
        <f>IF(J2865&lt;&gt;1,"",IF(I2865="SBJ","CB","?"))</f>
        <v> </v>
      </c>
      <c r="I2865" s="25" t="str">
        <f>IF(OR(E2865="",E2865="!!!",F2865="NEW"),"",INDEX(B2864:B$2,-1+SUMPRODUCT(MAX(ROW(E2864:E$2)*(E2865=E2864:E$2)))))</f>
        <v> </v>
      </c>
      <c r="J2865" s="25" t="str">
        <f>IF(OR(E2865="",E2865="!!!",F2865="NEW"),"",COUNTBLANK(OFFSET(A$1,,,SUMPRODUCT(MAX(ROW(E$2:E2865)*(E2865=E$2:E2865)))))-COUNTBLANK(OFFSET(A$1,,,SUMPRODUCT(MAX(ROW(E$1:E2864)*(E2=E$1:E2864))))))</f>
        <v> </v>
      </c>
      <c r="K2865" s="25" t="str">
        <f>IF(OR(E2865="",E2865="!!!",F2865="NEW"),"",INDEX(J$1:J2864,SUMPRODUCT(MAX(ROW(E$1:E2864)*(E2865=E$1:E2864)))))</f>
        <v> </v>
      </c>
      <c r="L2865" s="26"/>
    </row>
    <row r="2866" spans="1:12">
      <c r="A2866" s="20" t="s">
        <v>651</v>
      </c>
      <c r="B2866" s="27" t="s">
        <v>636</v>
      </c>
      <c r="C2866" s="27" t="s">
        <v>652</v>
      </c>
      <c r="D2866" s="27" t="s">
        <v>608</v>
      </c>
      <c r="E2866" s="21">
        <f>IF(D2866="?OLD","!!!","")</f>
        <v/>
      </c>
      <c r="F2866" s="22" t="str">
        <f>IF(OR(E2866="",E2866="!!!"),"",IF(NOT(ISNA(VLOOKUP(E2866,E$1:E2865,1,FALSE()))),"OLD",IF(AND(E2866&lt;&gt;"",E2866&lt;&gt;"!!!"),"NEW","")))</f>
        <v> </v>
      </c>
      <c r="G2866" s="23" t="str">
        <f>IF(OR(E2866="",E2866="!!!"),"",IF(OR(J2866=0,AND(J2866=1,K2866=1),AND(J2866=1,I2866="SBJ"),AND(J2866=1,I2866=0)),"?IN_FOCUS",IF(J2866&lt;=2,"?ACTIVATED",IF(J2866&lt;&gt;"","?FAMILIAR",IF(F2866="NEW",IF(ISNA(VLOOKUP(E2866,#REF!,1,FALSE())),"?TYPE_IDENTIFIABLE","?REFERENTIAL"),"_")))))</f>
        <v> </v>
      </c>
      <c r="H2866" s="24" t="str">
        <f>IF(J2866&lt;&gt;1,"",IF(I2866="SBJ","CB","?"))</f>
        <v> </v>
      </c>
      <c r="I2866" s="25" t="str">
        <f>IF(OR(E2866="",E2866="!!!",F2866="NEW"),"",INDEX(B2865:B$2,-1+SUMPRODUCT(MAX(ROW(E2865:E$2)*(E2866=E2865:E$2)))))</f>
        <v> </v>
      </c>
      <c r="J2866" s="25" t="str">
        <f>IF(OR(E2866="",E2866="!!!",F2866="NEW"),"",COUNTBLANK(OFFSET(A$1,,,SUMPRODUCT(MAX(ROW(E$2:E2866)*(E2866=E$2:E2866)))))-COUNTBLANK(OFFSET(A$1,,,SUMPRODUCT(MAX(ROW(E$1:E2865)*(E2=E$1:E2865))))))</f>
        <v> </v>
      </c>
      <c r="K2866" s="25" t="str">
        <f>IF(OR(E2866="",E2866="!!!",F2866="NEW"),"",INDEX(J$1:J2865,SUMPRODUCT(MAX(ROW(E$1:E2865)*(E2866=E$1:E2865)))))</f>
        <v> </v>
      </c>
      <c r="L2866" s="26"/>
    </row>
    <row r="2867" spans="1:12">
      <c r="A2867" s="20" t="s">
        <v>646</v>
      </c>
      <c r="B2867" s="27" t="s">
        <v>611</v>
      </c>
      <c r="C2867" s="27" t="s">
        <v>671</v>
      </c>
      <c r="D2867" s="27" t="s">
        <v>608</v>
      </c>
      <c r="E2867" s="21">
        <f>IF(D2867="?OLD","!!!","")</f>
        <v/>
      </c>
      <c r="F2867" s="22" t="str">
        <f>IF(OR(E2867="",E2867="!!!"),"",IF(NOT(ISNA(VLOOKUP(E2867,E$1:E2866,1,FALSE()))),"OLD",IF(AND(E2867&lt;&gt;"",E2867&lt;&gt;"!!!"),"NEW","")))</f>
        <v> </v>
      </c>
      <c r="G2867" s="23" t="str">
        <f>IF(OR(E2867="",E2867="!!!"),"",IF(OR(J2867=0,AND(J2867=1,K2867=1),AND(J2867=1,I2867="SBJ"),AND(J2867=1,I2867=0)),"?IN_FOCUS",IF(J2867&lt;=2,"?ACTIVATED",IF(J2867&lt;&gt;"","?FAMILIAR",IF(F2867="NEW",IF(ISNA(VLOOKUP(E2867,#REF!,1,FALSE())),"?TYPE_IDENTIFIABLE","?REFERENTIAL"),"_")))))</f>
        <v> </v>
      </c>
      <c r="H2867" s="24" t="str">
        <f>IF(J2867&lt;&gt;1,"",IF(I2867="SBJ","CB","?"))</f>
        <v> </v>
      </c>
      <c r="I2867" s="25" t="str">
        <f>IF(OR(E2867="",E2867="!!!",F2867="NEW"),"",INDEX(B2866:B$2,-1+SUMPRODUCT(MAX(ROW(E2866:E$2)*(E2867=E2866:E$2)))))</f>
        <v> </v>
      </c>
      <c r="J2867" s="25" t="str">
        <f>IF(OR(E2867="",E2867="!!!",F2867="NEW"),"",COUNTBLANK(OFFSET(A$1,,,SUMPRODUCT(MAX(ROW(E$2:E2867)*(E2867=E$2:E2867)))))-COUNTBLANK(OFFSET(A$1,,,SUMPRODUCT(MAX(ROW(E$1:E2866)*(E2=E$1:E2866))))))</f>
        <v> </v>
      </c>
      <c r="K2867" s="25" t="str">
        <f>IF(OR(E2867="",E2867="!!!",F2867="NEW"),"",INDEX(J$1:J2866,SUMPRODUCT(MAX(ROW(E$1:E2866)*(E2867=E$1:E2866)))))</f>
        <v> </v>
      </c>
      <c r="L2867" s="26"/>
    </row>
    <row r="2868" spans="1:12">
      <c r="A2868" s="20" t="s">
        <v>1590</v>
      </c>
      <c r="B2868" s="27" t="s">
        <v>653</v>
      </c>
      <c r="C2868" s="27" t="s">
        <v>622</v>
      </c>
      <c r="E2868" s="21">
        <f>IF(D2868="?OLD","!!!","")</f>
        <v/>
      </c>
      <c r="F2868" s="22" t="str">
        <f>IF(OR(E2868="",E2868="!!!"),"",IF(NOT(ISNA(VLOOKUP(E2868,E$1:E2867,1,FALSE()))),"OLD",IF(AND(E2868&lt;&gt;"",E2868&lt;&gt;"!!!"),"NEW","")))</f>
        <v> </v>
      </c>
      <c r="G2868" s="23" t="str">
        <f>IF(OR(E2868="",E2868="!!!"),"",IF(OR(J2868=0,AND(J2868=1,K2868=1),AND(J2868=1,I2868="SBJ"),AND(J2868=1,I2868=0)),"?IN_FOCUS",IF(J2868&lt;=2,"?ACTIVATED",IF(J2868&lt;&gt;"","?FAMILIAR",IF(F2868="NEW",IF(ISNA(VLOOKUP(E2868,#REF!,1,FALSE())),"?TYPE_IDENTIFIABLE","?REFERENTIAL"),"_")))))</f>
        <v> </v>
      </c>
      <c r="H2868" s="24" t="str">
        <f>IF(J2868&lt;&gt;1,"",IF(I2868="SBJ","CB","?"))</f>
        <v> </v>
      </c>
      <c r="I2868" s="25" t="str">
        <f>IF(OR(E2868="",E2868="!!!",F2868="NEW"),"",INDEX(B2867:B$2,-1+SUMPRODUCT(MAX(ROW(E2867:E$2)*(E2868=E2867:E$2)))))</f>
        <v> </v>
      </c>
      <c r="J2868" s="25" t="str">
        <f>IF(OR(E2868="",E2868="!!!",F2868="NEW"),"",COUNTBLANK(OFFSET(A$1,,,SUMPRODUCT(MAX(ROW(E$2:E2868)*(E2868=E$2:E2868)))))-COUNTBLANK(OFFSET(A$1,,,SUMPRODUCT(MAX(ROW(E$1:E2867)*(E2=E$1:E2867))))))</f>
        <v> </v>
      </c>
      <c r="K2868" s="25" t="str">
        <f>IF(OR(E2868="",E2868="!!!",F2868="NEW"),"",INDEX(J$1:J2867,SUMPRODUCT(MAX(ROW(E$1:E2867)*(E2868=E$1:E2867)))))</f>
        <v> </v>
      </c>
      <c r="L2868" s="26"/>
    </row>
    <row r="2869" spans="1:12">
      <c r="A2869" s="20" t="s">
        <v>658</v>
      </c>
      <c r="E2869" s="21">
        <f>IF(D2869="?OLD","!!!","")</f>
        <v/>
      </c>
      <c r="F2869" s="22" t="str">
        <f>IF(OR(E2869="",E2869="!!!"),"",IF(NOT(ISNA(VLOOKUP(E2869,E$1:E2868,1,FALSE()))),"OLD",IF(AND(E2869&lt;&gt;"",E2869&lt;&gt;"!!!"),"NEW","")))</f>
        <v> </v>
      </c>
      <c r="G2869" s="23" t="str">
        <f>IF(OR(E2869="",E2869="!!!"),"",IF(OR(J2869=0,AND(J2869=1,K2869=1),AND(J2869=1,I2869="SBJ"),AND(J2869=1,I2869=0)),"?IN_FOCUS",IF(J2869&lt;=2,"?ACTIVATED",IF(J2869&lt;&gt;"","?FAMILIAR",IF(F2869="NEW",IF(ISNA(VLOOKUP(E2869,#REF!,1,FALSE())),"?TYPE_IDENTIFIABLE","?REFERENTIAL"),"_")))))</f>
        <v> </v>
      </c>
      <c r="H2869" s="24" t="str">
        <f>IF(J2869&lt;&gt;1,"",IF(I2869="SBJ","CB","?"))</f>
        <v> </v>
      </c>
      <c r="I2869" s="25" t="str">
        <f>IF(OR(E2869="",E2869="!!!",F2869="NEW"),"",INDEX(B2868:B$2,-1+SUMPRODUCT(MAX(ROW(E2868:E$2)*(E2869=E2868:E$2)))))</f>
        <v> </v>
      </c>
      <c r="J2869" s="25" t="str">
        <f>IF(OR(E2869="",E2869="!!!",F2869="NEW"),"",COUNTBLANK(OFFSET(A$1,,,SUMPRODUCT(MAX(ROW(E$2:E2869)*(E2869=E$2:E2869)))))-COUNTBLANK(OFFSET(A$1,,,SUMPRODUCT(MAX(ROW(E$1:E2868)*(E2=E$1:E2868))))))</f>
        <v> </v>
      </c>
      <c r="K2869" s="25" t="str">
        <f>IF(OR(E2869="",E2869="!!!",F2869="NEW"),"",INDEX(J$1:J2868,SUMPRODUCT(MAX(ROW(E$1:E2868)*(E2869=E$1:E2868)))))</f>
        <v> </v>
      </c>
      <c r="L2869" s="26"/>
    </row>
    <row r="2870" spans="1:12">
      <c r="A2870" s="20" t="s">
        <v>758</v>
      </c>
      <c r="B2870" s="27" t="s">
        <v>653</v>
      </c>
      <c r="C2870" s="27" t="s">
        <v>607</v>
      </c>
      <c r="D2870" s="27" t="s">
        <v>608</v>
      </c>
      <c r="E2870" s="21">
        <f>IF(D2870="?OLD","!!!","")</f>
        <v/>
      </c>
      <c r="F2870" s="22" t="str">
        <f>IF(OR(E2870="",E2870="!!!"),"",IF(NOT(ISNA(VLOOKUP(E2870,E$1:E2869,1,FALSE()))),"OLD",IF(AND(E2870&lt;&gt;"",E2870&lt;&gt;"!!!"),"NEW","")))</f>
        <v> </v>
      </c>
      <c r="G2870" s="23" t="str">
        <f>IF(OR(E2870="",E2870="!!!"),"",IF(OR(J2870=0,AND(J2870=1,K2870=1),AND(J2870=1,I2870="SBJ"),AND(J2870=1,I2870=0)),"?IN_FOCUS",IF(J2870&lt;=2,"?ACTIVATED",IF(J2870&lt;&gt;"","?FAMILIAR",IF(F2870="NEW",IF(ISNA(VLOOKUP(E2870,#REF!,1,FALSE())),"?TYPE_IDENTIFIABLE","?REFERENTIAL"),"_")))))</f>
        <v> </v>
      </c>
      <c r="H2870" s="24" t="str">
        <f>IF(J2870&lt;&gt;1,"",IF(I2870="SBJ","CB","?"))</f>
        <v> </v>
      </c>
      <c r="I2870" s="25" t="str">
        <f>IF(OR(E2870="",E2870="!!!",F2870="NEW"),"",INDEX(B2869:B$2,-1+SUMPRODUCT(MAX(ROW(E2869:E$2)*(E2870=E2869:E$2)))))</f>
        <v> </v>
      </c>
      <c r="J2870" s="25" t="str">
        <f>IF(OR(E2870="",E2870="!!!",F2870="NEW"),"",COUNTBLANK(OFFSET(A$1,,,SUMPRODUCT(MAX(ROW(E$2:E2870)*(E2870=E$2:E2870)))))-COUNTBLANK(OFFSET(A$1,,,SUMPRODUCT(MAX(ROW(E$1:E2869)*(E2=E$1:E2869))))))</f>
        <v> </v>
      </c>
      <c r="K2870" s="25" t="str">
        <f>IF(OR(E2870="",E2870="!!!",F2870="NEW"),"",INDEX(J$1:J2869,SUMPRODUCT(MAX(ROW(E$1:E2869)*(E2870=E$1:E2869)))))</f>
        <v> </v>
      </c>
      <c r="L2870" s="26"/>
    </row>
    <row r="2871" spans="1:12">
      <c r="A2871" s="20" t="s">
        <v>707</v>
      </c>
      <c r="E2871" s="21">
        <f>IF(D2871="?OLD","!!!","")</f>
        <v/>
      </c>
      <c r="F2871" s="22" t="str">
        <f>IF(OR(E2871="",E2871="!!!"),"",IF(NOT(ISNA(VLOOKUP(E2871,E$1:E2870,1,FALSE()))),"OLD",IF(AND(E2871&lt;&gt;"",E2871&lt;&gt;"!!!"),"NEW","")))</f>
        <v> </v>
      </c>
      <c r="G2871" s="23" t="str">
        <f>IF(OR(E2871="",E2871="!!!"),"",IF(OR(J2871=0,AND(J2871=1,K2871=1),AND(J2871=1,I2871="SBJ"),AND(J2871=1,I2871=0)),"?IN_FOCUS",IF(J2871&lt;=2,"?ACTIVATED",IF(J2871&lt;&gt;"","?FAMILIAR",IF(F2871="NEW",IF(ISNA(VLOOKUP(E2871,#REF!,1,FALSE())),"?TYPE_IDENTIFIABLE","?REFERENTIAL"),"_")))))</f>
        <v> </v>
      </c>
      <c r="H2871" s="24" t="str">
        <f>IF(J2871&lt;&gt;1,"",IF(I2871="SBJ","CB","?"))</f>
        <v> </v>
      </c>
      <c r="I2871" s="25" t="str">
        <f>IF(OR(E2871="",E2871="!!!",F2871="NEW"),"",INDEX(B2870:B$2,-1+SUMPRODUCT(MAX(ROW(E2870:E$2)*(E2871=E2870:E$2)))))</f>
        <v> </v>
      </c>
      <c r="J2871" s="25" t="str">
        <f>IF(OR(E2871="",E2871="!!!",F2871="NEW"),"",COUNTBLANK(OFFSET(A$1,,,SUMPRODUCT(MAX(ROW(E$2:E2871)*(E2871=E$2:E2871)))))-COUNTBLANK(OFFSET(A$1,,,SUMPRODUCT(MAX(ROW(E$1:E2870)*(E2=E$1:E2870))))))</f>
        <v> </v>
      </c>
      <c r="K2871" s="25" t="str">
        <f>IF(OR(E2871="",E2871="!!!",F2871="NEW"),"",INDEX(J$1:J2870,SUMPRODUCT(MAX(ROW(E$1:E2870)*(E2871=E$1:E2870)))))</f>
        <v> </v>
      </c>
      <c r="L2871" s="26"/>
    </row>
    <row r="2872" spans="1:12">
      <c r="A2872" s="20" t="s">
        <v>658</v>
      </c>
      <c r="E2872" s="21">
        <f>IF(D2872="?OLD","!!!","")</f>
        <v/>
      </c>
      <c r="F2872" s="22" t="str">
        <f>IF(OR(E2872="",E2872="!!!"),"",IF(NOT(ISNA(VLOOKUP(E2872,E$1:E2871,1,FALSE()))),"OLD",IF(AND(E2872&lt;&gt;"",E2872&lt;&gt;"!!!"),"NEW","")))</f>
        <v> </v>
      </c>
      <c r="G2872" s="23" t="str">
        <f>IF(OR(E2872="",E2872="!!!"),"",IF(OR(J2872=0,AND(J2872=1,K2872=1),AND(J2872=1,I2872="SBJ"),AND(J2872=1,I2872=0)),"?IN_FOCUS",IF(J2872&lt;=2,"?ACTIVATED",IF(J2872&lt;&gt;"","?FAMILIAR",IF(F2872="NEW",IF(ISNA(VLOOKUP(E2872,#REF!,1,FALSE())),"?TYPE_IDENTIFIABLE","?REFERENTIAL"),"_")))))</f>
        <v> </v>
      </c>
      <c r="H2872" s="24" t="str">
        <f>IF(J2872&lt;&gt;1,"",IF(I2872="SBJ","CB","?"))</f>
        <v> </v>
      </c>
      <c r="I2872" s="25" t="str">
        <f>IF(OR(E2872="",E2872="!!!",F2872="NEW"),"",INDEX(B2871:B$2,-1+SUMPRODUCT(MAX(ROW(E2871:E$2)*(E2872=E2871:E$2)))))</f>
        <v> </v>
      </c>
      <c r="J2872" s="25" t="str">
        <f>IF(OR(E2872="",E2872="!!!",F2872="NEW"),"",COUNTBLANK(OFFSET(A$1,,,SUMPRODUCT(MAX(ROW(E$2:E2872)*(E2872=E$2:E2872)))))-COUNTBLANK(OFFSET(A$1,,,SUMPRODUCT(MAX(ROW(E$1:E2871)*(E2=E$1:E2871))))))</f>
        <v> </v>
      </c>
      <c r="K2872" s="25" t="str">
        <f>IF(OR(E2872="",E2872="!!!",F2872="NEW"),"",INDEX(J$1:J2871,SUMPRODUCT(MAX(ROW(E$1:E2871)*(E2872=E$1:E2871)))))</f>
        <v> </v>
      </c>
      <c r="L2872" s="26"/>
    </row>
    <row r="2873" spans="1:12">
      <c r="A2873" s="20" t="s">
        <v>1279</v>
      </c>
      <c r="B2873" s="27" t="s">
        <v>606</v>
      </c>
      <c r="C2873" s="27" t="s">
        <v>607</v>
      </c>
      <c r="D2873" s="27" t="s">
        <v>608</v>
      </c>
      <c r="E2873" s="21">
        <f>IF(D2873="?OLD","!!!","")</f>
        <v/>
      </c>
      <c r="F2873" s="22" t="str">
        <f>IF(OR(E2873="",E2873="!!!"),"",IF(NOT(ISNA(VLOOKUP(E2873,E$1:E2872,1,FALSE()))),"OLD",IF(AND(E2873&lt;&gt;"",E2873&lt;&gt;"!!!"),"NEW","")))</f>
        <v> </v>
      </c>
      <c r="G2873" s="23" t="str">
        <f>IF(OR(E2873="",E2873="!!!"),"",IF(OR(J2873=0,AND(J2873=1,K2873=1),AND(J2873=1,I2873="SBJ"),AND(J2873=1,I2873=0)),"?IN_FOCUS",IF(J2873&lt;=2,"?ACTIVATED",IF(J2873&lt;&gt;"","?FAMILIAR",IF(F2873="NEW",IF(ISNA(VLOOKUP(E2873,#REF!,1,FALSE())),"?TYPE_IDENTIFIABLE","?REFERENTIAL"),"_")))))</f>
        <v> </v>
      </c>
      <c r="H2873" s="24" t="str">
        <f>IF(J2873&lt;&gt;1,"",IF(I2873="SBJ","CB","?"))</f>
        <v> </v>
      </c>
      <c r="I2873" s="25" t="str">
        <f>IF(OR(E2873="",E2873="!!!",F2873="NEW"),"",INDEX(B2872:B$2,-1+SUMPRODUCT(MAX(ROW(E2872:E$2)*(E2873=E2872:E$2)))))</f>
        <v> </v>
      </c>
      <c r="J2873" s="25" t="str">
        <f>IF(OR(E2873="",E2873="!!!",F2873="NEW"),"",COUNTBLANK(OFFSET(A$1,,,SUMPRODUCT(MAX(ROW(E$2:E2873)*(E2873=E$2:E2873)))))-COUNTBLANK(OFFSET(A$1,,,SUMPRODUCT(MAX(ROW(E$1:E2872)*(E2=E$1:E2872))))))</f>
        <v> </v>
      </c>
      <c r="K2873" s="25" t="str">
        <f>IF(OR(E2873="",E2873="!!!",F2873="NEW"),"",INDEX(J$1:J2872,SUMPRODUCT(MAX(ROW(E$1:E2872)*(E2873=E$1:E2872)))))</f>
        <v> </v>
      </c>
      <c r="L2873" s="26"/>
    </row>
    <row r="2874" spans="1:12">
      <c r="A2874" s="20" t="s">
        <v>639</v>
      </c>
      <c r="E2874" s="21">
        <f>IF(D2874="?OLD","!!!","")</f>
        <v/>
      </c>
      <c r="F2874" s="22" t="str">
        <f>IF(OR(E2874="",E2874="!!!"),"",IF(NOT(ISNA(VLOOKUP(E2874,E$1:E2873,1,FALSE()))),"OLD",IF(AND(E2874&lt;&gt;"",E2874&lt;&gt;"!!!"),"NEW","")))</f>
        <v> </v>
      </c>
      <c r="G2874" s="23" t="str">
        <f>IF(OR(E2874="",E2874="!!!"),"",IF(OR(J2874=0,AND(J2874=1,K2874=1),AND(J2874=1,I2874="SBJ"),AND(J2874=1,I2874=0)),"?IN_FOCUS",IF(J2874&lt;=2,"?ACTIVATED",IF(J2874&lt;&gt;"","?FAMILIAR",IF(F2874="NEW",IF(ISNA(VLOOKUP(E2874,#REF!,1,FALSE())),"?TYPE_IDENTIFIABLE","?REFERENTIAL"),"_")))))</f>
        <v> </v>
      </c>
      <c r="H2874" s="24" t="str">
        <f>IF(J2874&lt;&gt;1,"",IF(I2874="SBJ","CB","?"))</f>
        <v> </v>
      </c>
      <c r="I2874" s="25" t="str">
        <f>IF(OR(E2874="",E2874="!!!",F2874="NEW"),"",INDEX(B2873:B$2,-1+SUMPRODUCT(MAX(ROW(E2873:E$2)*(E2874=E2873:E$2)))))</f>
        <v> </v>
      </c>
      <c r="J2874" s="25" t="str">
        <f>IF(OR(E2874="",E2874="!!!",F2874="NEW"),"",COUNTBLANK(OFFSET(A$1,,,SUMPRODUCT(MAX(ROW(E$2:E2874)*(E2874=E$2:E2874)))))-COUNTBLANK(OFFSET(A$1,,,SUMPRODUCT(MAX(ROW(E$1:E2873)*(E2=E$1:E2873))))))</f>
        <v> </v>
      </c>
      <c r="K2874" s="25" t="str">
        <f>IF(OR(E2874="",E2874="!!!",F2874="NEW"),"",INDEX(J$1:J2873,SUMPRODUCT(MAX(ROW(E$1:E2873)*(E2874=E$1:E2873)))))</f>
        <v> </v>
      </c>
      <c r="L2874" s="26"/>
    </row>
    <row r="2875" spans="1:12">
      <c r="A2875" s="20" t="s">
        <v>633</v>
      </c>
      <c r="E2875" s="21">
        <f>IF(D2875="?OLD","!!!","")</f>
        <v/>
      </c>
      <c r="F2875" s="22" t="str">
        <f>IF(OR(E2875="",E2875="!!!"),"",IF(NOT(ISNA(VLOOKUP(E2875,E$1:E2874,1,FALSE()))),"OLD",IF(AND(E2875&lt;&gt;"",E2875&lt;&gt;"!!!"),"NEW","")))</f>
        <v> </v>
      </c>
      <c r="G2875" s="23" t="str">
        <f>IF(OR(E2875="",E2875="!!!"),"",IF(OR(J2875=0,AND(J2875=1,K2875=1),AND(J2875=1,I2875="SBJ"),AND(J2875=1,I2875=0)),"?IN_FOCUS",IF(J2875&lt;=2,"?ACTIVATED",IF(J2875&lt;&gt;"","?FAMILIAR",IF(F2875="NEW",IF(ISNA(VLOOKUP(E2875,#REF!,1,FALSE())),"?TYPE_IDENTIFIABLE","?REFERENTIAL"),"_")))))</f>
        <v> </v>
      </c>
      <c r="H2875" s="24" t="str">
        <f>IF(J2875&lt;&gt;1,"",IF(I2875="SBJ","CB","?"))</f>
        <v> </v>
      </c>
      <c r="I2875" s="25" t="str">
        <f>IF(OR(E2875="",E2875="!!!",F2875="NEW"),"",INDEX(B2874:B$2,-1+SUMPRODUCT(MAX(ROW(E2874:E$2)*(E2875=E2874:E$2)))))</f>
        <v> </v>
      </c>
      <c r="J2875" s="25" t="str">
        <f>IF(OR(E2875="",E2875="!!!",F2875="NEW"),"",COUNTBLANK(OFFSET(A$1,,,SUMPRODUCT(MAX(ROW(E$2:E2875)*(E2875=E$2:E2875)))))-COUNTBLANK(OFFSET(A$1,,,SUMPRODUCT(MAX(ROW(E$1:E2874)*(E2=E$1:E2874))))))</f>
        <v> </v>
      </c>
      <c r="K2875" s="25" t="str">
        <f>IF(OR(E2875="",E2875="!!!",F2875="NEW"),"",INDEX(J$1:J2874,SUMPRODUCT(MAX(ROW(E$1:E2874)*(E2875=E$1:E2874)))))</f>
        <v> </v>
      </c>
      <c r="L2875" s="26"/>
    </row>
    <row r="2876" spans="1:12">
      <c r="A2876" s="20"/>
    </row>
    <row r="2877" spans="1:12">
      <c r="A2877" s="20" t="s">
        <v>1591</v>
      </c>
    </row>
    <row r="2878" spans="1:12">
      <c r="A2878" s="20" t="s">
        <v>1559</v>
      </c>
      <c r="E2878" s="21">
        <f>IF(D2878="?OLD","!!!","")</f>
        <v/>
      </c>
      <c r="F2878" s="22" t="str">
        <f>IF(OR(E2878="",E2878="!!!"),"",IF(NOT(ISNA(VLOOKUP(E2878,E$1:E2877,1,FALSE()))),"OLD",IF(AND(E2878&lt;&gt;"",E2878&lt;&gt;"!!!"),"NEW","")))</f>
        <v> </v>
      </c>
      <c r="G2878" s="23" t="str">
        <f>IF(OR(E2878="",E2878="!!!"),"",IF(OR(J2878=0,AND(J2878=1,K2878=1),AND(J2878=1,I2878="SBJ"),AND(J2878=1,I2878=0)),"?IN_FOCUS",IF(J2878&lt;=2,"?ACTIVATED",IF(J2878&lt;&gt;"","?FAMILIAR",IF(F2878="NEW",IF(ISNA(VLOOKUP(E2878,#REF!,1,FALSE())),"?TYPE_IDENTIFIABLE","?REFERENTIAL"),"_")))))</f>
        <v> </v>
      </c>
      <c r="H2878" s="24" t="str">
        <f>IF(J2878&lt;&gt;1,"",IF(I2878="SBJ","CB","?"))</f>
        <v> </v>
      </c>
      <c r="I2878" s="25" t="str">
        <f>IF(OR(E2878="",E2878="!!!",F2878="NEW"),"",INDEX(B2877:B$2,-1+SUMPRODUCT(MAX(ROW(E2877:E$2)*(E2878=E2877:E$2)))))</f>
        <v> </v>
      </c>
      <c r="J2878" s="25" t="str">
        <f>IF(OR(E2878="",E2878="!!!",F2878="NEW"),"",COUNTBLANK(OFFSET(A$1,,,SUMPRODUCT(MAX(ROW(E$2:E2878)*(E2878=E$2:E2878)))))-COUNTBLANK(OFFSET(A$1,,,SUMPRODUCT(MAX(ROW(E$1:E2877)*(E2=E$1:E2877))))))</f>
        <v> </v>
      </c>
      <c r="K2878" s="25" t="str">
        <f>IF(OR(E2878="",E2878="!!!",F2878="NEW"),"",INDEX(J$1:J2877,SUMPRODUCT(MAX(ROW(E$1:E2877)*(E2878=E$1:E2877)))))</f>
        <v> </v>
      </c>
      <c r="L2878" s="26"/>
    </row>
    <row r="2879" spans="1:12">
      <c r="A2879" s="20" t="s">
        <v>690</v>
      </c>
      <c r="B2879" s="27" t="s">
        <v>653</v>
      </c>
      <c r="C2879" s="27" t="s">
        <v>614</v>
      </c>
      <c r="D2879" s="27" t="s">
        <v>608</v>
      </c>
      <c r="E2879" s="21">
        <f>IF(D2879="?OLD","!!!","")</f>
        <v/>
      </c>
      <c r="F2879" s="22" t="str">
        <f>IF(OR(E2879="",E2879="!!!"),"",IF(NOT(ISNA(VLOOKUP(E2879,E$1:E2878,1,FALSE()))),"OLD",IF(AND(E2879&lt;&gt;"",E2879&lt;&gt;"!!!"),"NEW","")))</f>
        <v> </v>
      </c>
      <c r="G2879" s="23" t="str">
        <f>IF(OR(E2879="",E2879="!!!"),"",IF(OR(J2879=0,AND(J2879=1,K2879=1),AND(J2879=1,I2879="SBJ"),AND(J2879=1,I2879=0)),"?IN_FOCUS",IF(J2879&lt;=2,"?ACTIVATED",IF(J2879&lt;&gt;"","?FAMILIAR",IF(F2879="NEW",IF(ISNA(VLOOKUP(E2879,#REF!,1,FALSE())),"?TYPE_IDENTIFIABLE","?REFERENTIAL"),"_")))))</f>
        <v> </v>
      </c>
      <c r="H2879" s="24" t="str">
        <f>IF(J2879&lt;&gt;1,"",IF(I2879="SBJ","CB","?"))</f>
        <v> </v>
      </c>
      <c r="I2879" s="25" t="str">
        <f>IF(OR(E2879="",E2879="!!!",F2879="NEW"),"",INDEX(B2878:B$2,-1+SUMPRODUCT(MAX(ROW(E2878:E$2)*(E2879=E2878:E$2)))))</f>
        <v> </v>
      </c>
      <c r="J2879" s="25" t="str">
        <f>IF(OR(E2879="",E2879="!!!",F2879="NEW"),"",COUNTBLANK(OFFSET(A$1,,,SUMPRODUCT(MAX(ROW(E$2:E2879)*(E2879=E$2:E2879)))))-COUNTBLANK(OFFSET(A$1,,,SUMPRODUCT(MAX(ROW(E$1:E2878)*(E2=E$1:E2878))))))</f>
        <v> </v>
      </c>
      <c r="K2879" s="25" t="str">
        <f>IF(OR(E2879="",E2879="!!!",F2879="NEW"),"",INDEX(J$1:J2878,SUMPRODUCT(MAX(ROW(E$1:E2878)*(E2879=E$1:E2878)))))</f>
        <v> </v>
      </c>
      <c r="L2879" s="26"/>
    </row>
    <row r="2880" spans="1:12">
      <c r="A2880" s="20" t="s">
        <v>18</v>
      </c>
      <c r="E2880" s="21">
        <f>IF(D2880="?OLD","!!!","")</f>
        <v/>
      </c>
      <c r="F2880" s="22" t="str">
        <f>IF(OR(E2880="",E2880="!!!"),"",IF(NOT(ISNA(VLOOKUP(E2880,E$1:E2879,1,FALSE()))),"OLD",IF(AND(E2880&lt;&gt;"",E2880&lt;&gt;"!!!"),"NEW","")))</f>
        <v> </v>
      </c>
      <c r="G2880" s="23" t="str">
        <f>IF(OR(E2880="",E2880="!!!"),"",IF(OR(J2880=0,AND(J2880=1,K2880=1),AND(J2880=1,I2880="SBJ"),AND(J2880=1,I2880=0)),"?IN_FOCUS",IF(J2880&lt;=2,"?ACTIVATED",IF(J2880&lt;&gt;"","?FAMILIAR",IF(F2880="NEW",IF(ISNA(VLOOKUP(E2880,#REF!,1,FALSE())),"?TYPE_IDENTIFIABLE","?REFERENTIAL"),"_")))))</f>
        <v> </v>
      </c>
      <c r="H2880" s="24" t="str">
        <f>IF(J2880&lt;&gt;1,"",IF(I2880="SBJ","CB","?"))</f>
        <v> </v>
      </c>
      <c r="I2880" s="25" t="str">
        <f>IF(OR(E2880="",E2880="!!!",F2880="NEW"),"",INDEX(B2879:B$2,-1+SUMPRODUCT(MAX(ROW(E2879:E$2)*(E2880=E2879:E$2)))))</f>
        <v> </v>
      </c>
      <c r="J2880" s="25" t="str">
        <f>IF(OR(E2880="",E2880="!!!",F2880="NEW"),"",COUNTBLANK(OFFSET(A$1,,,SUMPRODUCT(MAX(ROW(E$2:E2880)*(E2880=E$2:E2880)))))-COUNTBLANK(OFFSET(A$1,,,SUMPRODUCT(MAX(ROW(E$1:E2879)*(E2=E$1:E2879))))))</f>
        <v> </v>
      </c>
      <c r="K2880" s="25" t="str">
        <f>IF(OR(E2880="",E2880="!!!",F2880="NEW"),"",INDEX(J$1:J2879,SUMPRODUCT(MAX(ROW(E$1:E2879)*(E2880=E$1:E2879)))))</f>
        <v> </v>
      </c>
      <c r="L2880" s="26"/>
    </row>
    <row r="2881" spans="1:12">
      <c r="A2881" s="20" t="s">
        <v>651</v>
      </c>
      <c r="B2881" s="27" t="s">
        <v>636</v>
      </c>
      <c r="C2881" s="27" t="s">
        <v>652</v>
      </c>
      <c r="D2881" s="27" t="s">
        <v>608</v>
      </c>
      <c r="E2881" s="21">
        <f>IF(D2881="?OLD","!!!","")</f>
        <v/>
      </c>
      <c r="F2881" s="22" t="str">
        <f>IF(OR(E2881="",E2881="!!!"),"",IF(NOT(ISNA(VLOOKUP(E2881,E$1:E2880,1,FALSE()))),"OLD",IF(AND(E2881&lt;&gt;"",E2881&lt;&gt;"!!!"),"NEW","")))</f>
        <v> </v>
      </c>
      <c r="G2881" s="23" t="str">
        <f>IF(OR(E2881="",E2881="!!!"),"",IF(OR(J2881=0,AND(J2881=1,K2881=1),AND(J2881=1,I2881="SBJ"),AND(J2881=1,I2881=0)),"?IN_FOCUS",IF(J2881&lt;=2,"?ACTIVATED",IF(J2881&lt;&gt;"","?FAMILIAR",IF(F2881="NEW",IF(ISNA(VLOOKUP(E2881,#REF!,1,FALSE())),"?TYPE_IDENTIFIABLE","?REFERENTIAL"),"_")))))</f>
        <v> </v>
      </c>
      <c r="H2881" s="24" t="str">
        <f>IF(J2881&lt;&gt;1,"",IF(I2881="SBJ","CB","?"))</f>
        <v> </v>
      </c>
      <c r="I2881" s="25" t="str">
        <f>IF(OR(E2881="",E2881="!!!",F2881="NEW"),"",INDEX(B2880:B$2,-1+SUMPRODUCT(MAX(ROW(E2880:E$2)*(E2881=E2880:E$2)))))</f>
        <v> </v>
      </c>
      <c r="J2881" s="25" t="str">
        <f>IF(OR(E2881="",E2881="!!!",F2881="NEW"),"",COUNTBLANK(OFFSET(A$1,,,SUMPRODUCT(MAX(ROW(E$2:E2881)*(E2881=E$2:E2881)))))-COUNTBLANK(OFFSET(A$1,,,SUMPRODUCT(MAX(ROW(E$1:E2880)*(E2=E$1:E2880))))))</f>
        <v> </v>
      </c>
      <c r="K2881" s="25" t="str">
        <f>IF(OR(E2881="",E2881="!!!",F2881="NEW"),"",INDEX(J$1:J2880,SUMPRODUCT(MAX(ROW(E$1:E2880)*(E2881=E$1:E2880)))))</f>
        <v> </v>
      </c>
      <c r="L2881" s="26"/>
    </row>
    <row r="2882" spans="1:12">
      <c r="A2882" s="20" t="s">
        <v>707</v>
      </c>
      <c r="E2882" s="21">
        <f>IF(D2882="?OLD","!!!","")</f>
        <v/>
      </c>
      <c r="F2882" s="22" t="str">
        <f>IF(OR(E2882="",E2882="!!!"),"",IF(NOT(ISNA(VLOOKUP(E2882,E$1:E2881,1,FALSE()))),"OLD",IF(AND(E2882&lt;&gt;"",E2882&lt;&gt;"!!!"),"NEW","")))</f>
        <v> </v>
      </c>
      <c r="G2882" s="23" t="str">
        <f>IF(OR(E2882="",E2882="!!!"),"",IF(OR(J2882=0,AND(J2882=1,K2882=1),AND(J2882=1,I2882="SBJ"),AND(J2882=1,I2882=0)),"?IN_FOCUS",IF(J2882&lt;=2,"?ACTIVATED",IF(J2882&lt;&gt;"","?FAMILIAR",IF(F2882="NEW",IF(ISNA(VLOOKUP(E2882,#REF!,1,FALSE())),"?TYPE_IDENTIFIABLE","?REFERENTIAL"),"_")))))</f>
        <v> </v>
      </c>
      <c r="H2882" s="24" t="str">
        <f>IF(J2882&lt;&gt;1,"",IF(I2882="SBJ","CB","?"))</f>
        <v> </v>
      </c>
      <c r="I2882" s="25" t="str">
        <f>IF(OR(E2882="",E2882="!!!",F2882="NEW"),"",INDEX(B2881:B$2,-1+SUMPRODUCT(MAX(ROW(E2881:E$2)*(E2882=E2881:E$2)))))</f>
        <v> </v>
      </c>
      <c r="J2882" s="25" t="str">
        <f>IF(OR(E2882="",E2882="!!!",F2882="NEW"),"",COUNTBLANK(OFFSET(A$1,,,SUMPRODUCT(MAX(ROW(E$2:E2882)*(E2882=E$2:E2882)))))-COUNTBLANK(OFFSET(A$1,,,SUMPRODUCT(MAX(ROW(E$1:E2881)*(E2=E$1:E2881))))))</f>
        <v> </v>
      </c>
      <c r="K2882" s="25" t="str">
        <f>IF(OR(E2882="",E2882="!!!",F2882="NEW"),"",INDEX(J$1:J2881,SUMPRODUCT(MAX(ROW(E$1:E2881)*(E2882=E$1:E2881)))))</f>
        <v> </v>
      </c>
      <c r="L2882" s="26"/>
    </row>
    <row r="2883" spans="1:12">
      <c r="A2883" s="20" t="s">
        <v>658</v>
      </c>
      <c r="E2883" s="21">
        <f>IF(D2883="?OLD","!!!","")</f>
        <v/>
      </c>
      <c r="F2883" s="22" t="str">
        <f>IF(OR(E2883="",E2883="!!!"),"",IF(NOT(ISNA(VLOOKUP(E2883,E$1:E2882,1,FALSE()))),"OLD",IF(AND(E2883&lt;&gt;"",E2883&lt;&gt;"!!!"),"NEW","")))</f>
        <v> </v>
      </c>
      <c r="G2883" s="23" t="str">
        <f>IF(OR(E2883="",E2883="!!!"),"",IF(OR(J2883=0,AND(J2883=1,K2883=1),AND(J2883=1,I2883="SBJ"),AND(J2883=1,I2883=0)),"?IN_FOCUS",IF(J2883&lt;=2,"?ACTIVATED",IF(J2883&lt;&gt;"","?FAMILIAR",IF(F2883="NEW",IF(ISNA(VLOOKUP(E2883,#REF!,1,FALSE())),"?TYPE_IDENTIFIABLE","?REFERENTIAL"),"_")))))</f>
        <v> </v>
      </c>
      <c r="H2883" s="24" t="str">
        <f>IF(J2883&lt;&gt;1,"",IF(I2883="SBJ","CB","?"))</f>
        <v> </v>
      </c>
      <c r="I2883" s="25" t="str">
        <f>IF(OR(E2883="",E2883="!!!",F2883="NEW"),"",INDEX(B2882:B$2,-1+SUMPRODUCT(MAX(ROW(E2882:E$2)*(E2883=E2882:E$2)))))</f>
        <v> </v>
      </c>
      <c r="J2883" s="25" t="str">
        <f>IF(OR(E2883="",E2883="!!!",F2883="NEW"),"",COUNTBLANK(OFFSET(A$1,,,SUMPRODUCT(MAX(ROW(E$2:E2883)*(E2883=E$2:E2883)))))-COUNTBLANK(OFFSET(A$1,,,SUMPRODUCT(MAX(ROW(E$1:E2882)*(E2=E$1:E2882))))))</f>
        <v> </v>
      </c>
      <c r="K2883" s="25" t="str">
        <f>IF(OR(E2883="",E2883="!!!",F2883="NEW"),"",INDEX(J$1:J2882,SUMPRODUCT(MAX(ROW(E$1:E2882)*(E2883=E$1:E2882)))))</f>
        <v> </v>
      </c>
      <c r="L2883" s="26"/>
    </row>
    <row r="2884" spans="1:12">
      <c r="A2884" s="20" t="s">
        <v>1592</v>
      </c>
      <c r="B2884" s="27" t="s">
        <v>606</v>
      </c>
      <c r="C2884" s="27" t="s">
        <v>607</v>
      </c>
      <c r="D2884" s="27" t="s">
        <v>608</v>
      </c>
      <c r="E2884" s="21">
        <f>IF(D2884="?OLD","!!!","")</f>
        <v/>
      </c>
      <c r="F2884" s="22" t="str">
        <f>IF(OR(E2884="",E2884="!!!"),"",IF(NOT(ISNA(VLOOKUP(E2884,E$1:E2883,1,FALSE()))),"OLD",IF(AND(E2884&lt;&gt;"",E2884&lt;&gt;"!!!"),"NEW","")))</f>
        <v> </v>
      </c>
      <c r="G2884" s="23" t="str">
        <f>IF(OR(E2884="",E2884="!!!"),"",IF(OR(J2884=0,AND(J2884=1,K2884=1),AND(J2884=1,I2884="SBJ"),AND(J2884=1,I2884=0)),"?IN_FOCUS",IF(J2884&lt;=2,"?ACTIVATED",IF(J2884&lt;&gt;"","?FAMILIAR",IF(F2884="NEW",IF(ISNA(VLOOKUP(E2884,#REF!,1,FALSE())),"?TYPE_IDENTIFIABLE","?REFERENTIAL"),"_")))))</f>
        <v> </v>
      </c>
      <c r="H2884" s="24" t="str">
        <f>IF(J2884&lt;&gt;1,"",IF(I2884="SBJ","CB","?"))</f>
        <v> </v>
      </c>
      <c r="I2884" s="25" t="str">
        <f>IF(OR(E2884="",E2884="!!!",F2884="NEW"),"",INDEX(B2883:B$2,-1+SUMPRODUCT(MAX(ROW(E2883:E$2)*(E2884=E2883:E$2)))))</f>
        <v> </v>
      </c>
      <c r="J2884" s="25" t="str">
        <f>IF(OR(E2884="",E2884="!!!",F2884="NEW"),"",COUNTBLANK(OFFSET(A$1,,,SUMPRODUCT(MAX(ROW(E$2:E2884)*(E2884=E$2:E2884)))))-COUNTBLANK(OFFSET(A$1,,,SUMPRODUCT(MAX(ROW(E$1:E2883)*(E2=E$1:E2883))))))</f>
        <v> </v>
      </c>
      <c r="K2884" s="25" t="str">
        <f>IF(OR(E2884="",E2884="!!!",F2884="NEW"),"",INDEX(J$1:J2883,SUMPRODUCT(MAX(ROW(E$1:E2883)*(E2884=E$1:E2883)))))</f>
        <v> </v>
      </c>
      <c r="L2884" s="26"/>
    </row>
    <row r="2885" spans="1:12">
      <c r="A2885" s="20" t="s">
        <v>1593</v>
      </c>
      <c r="E2885" s="21">
        <f>IF(D2885="?OLD","!!!","")</f>
        <v/>
      </c>
      <c r="F2885" s="22" t="str">
        <f>IF(OR(E2885="",E2885="!!!"),"",IF(NOT(ISNA(VLOOKUP(E2885,E$1:E2884,1,FALSE()))),"OLD",IF(AND(E2885&lt;&gt;"",E2885&lt;&gt;"!!!"),"NEW","")))</f>
        <v> </v>
      </c>
      <c r="G2885" s="23" t="str">
        <f>IF(OR(E2885="",E2885="!!!"),"",IF(OR(J2885=0,AND(J2885=1,K2885=1),AND(J2885=1,I2885="SBJ"),AND(J2885=1,I2885=0)),"?IN_FOCUS",IF(J2885&lt;=2,"?ACTIVATED",IF(J2885&lt;&gt;"","?FAMILIAR",IF(F2885="NEW",IF(ISNA(VLOOKUP(E2885,#REF!,1,FALSE())),"?TYPE_IDENTIFIABLE","?REFERENTIAL"),"_")))))</f>
        <v> </v>
      </c>
      <c r="H2885" s="24" t="str">
        <f>IF(J2885&lt;&gt;1,"",IF(I2885="SBJ","CB","?"))</f>
        <v> </v>
      </c>
      <c r="I2885" s="25" t="str">
        <f>IF(OR(E2885="",E2885="!!!",F2885="NEW"),"",INDEX(B2884:B$2,-1+SUMPRODUCT(MAX(ROW(E2884:E$2)*(E2885=E2884:E$2)))))</f>
        <v> </v>
      </c>
      <c r="J2885" s="25" t="str">
        <f>IF(OR(E2885="",E2885="!!!",F2885="NEW"),"",COUNTBLANK(OFFSET(A$1,,,SUMPRODUCT(MAX(ROW(E$2:E2885)*(E2885=E$2:E2885)))))-COUNTBLANK(OFFSET(A$1,,,SUMPRODUCT(MAX(ROW(E$1:E2884)*(E2=E$1:E2884))))))</f>
        <v> </v>
      </c>
      <c r="K2885" s="25" t="str">
        <f>IF(OR(E2885="",E2885="!!!",F2885="NEW"),"",INDEX(J$1:J2884,SUMPRODUCT(MAX(ROW(E$1:E2884)*(E2885=E$1:E2884)))))</f>
        <v> </v>
      </c>
      <c r="L2885" s="26"/>
    </row>
    <row r="2886" spans="1:12">
      <c r="A2886" s="20" t="s">
        <v>644</v>
      </c>
      <c r="E2886" s="21">
        <f>IF(D2886="?OLD","!!!","")</f>
        <v/>
      </c>
      <c r="F2886" s="22" t="str">
        <f>IF(OR(E2886="",E2886="!!!"),"",IF(NOT(ISNA(VLOOKUP(E2886,E$1:E2885,1,FALSE()))),"OLD",IF(AND(E2886&lt;&gt;"",E2886&lt;&gt;"!!!"),"NEW","")))</f>
        <v> </v>
      </c>
      <c r="G2886" s="23" t="str">
        <f>IF(OR(E2886="",E2886="!!!"),"",IF(OR(J2886=0,AND(J2886=1,K2886=1),AND(J2886=1,I2886="SBJ"),AND(J2886=1,I2886=0)),"?IN_FOCUS",IF(J2886&lt;=2,"?ACTIVATED",IF(J2886&lt;&gt;"","?FAMILIAR",IF(F2886="NEW",IF(ISNA(VLOOKUP(E2886,#REF!,1,FALSE())),"?TYPE_IDENTIFIABLE","?REFERENTIAL"),"_")))))</f>
        <v> </v>
      </c>
      <c r="H2886" s="24" t="str">
        <f>IF(J2886&lt;&gt;1,"",IF(I2886="SBJ","CB","?"))</f>
        <v> </v>
      </c>
      <c r="I2886" s="25" t="str">
        <f>IF(OR(E2886="",E2886="!!!",F2886="NEW"),"",INDEX(B2885:B$2,-1+SUMPRODUCT(MAX(ROW(E2885:E$2)*(E2886=E2885:E$2)))))</f>
        <v> </v>
      </c>
      <c r="J2886" s="25" t="str">
        <f>IF(OR(E2886="",E2886="!!!",F2886="NEW"),"",COUNTBLANK(OFFSET(A$1,,,SUMPRODUCT(MAX(ROW(E$2:E2886)*(E2886=E$2:E2886)))))-COUNTBLANK(OFFSET(A$1,,,SUMPRODUCT(MAX(ROW(E$1:E2885)*(E2=E$1:E2885))))))</f>
        <v> </v>
      </c>
      <c r="K2886" s="25" t="str">
        <f>IF(OR(E2886="",E2886="!!!",F2886="NEW"),"",INDEX(J$1:J2885,SUMPRODUCT(MAX(ROW(E$1:E2885)*(E2886=E$1:E2885)))))</f>
        <v> </v>
      </c>
      <c r="L2886" s="26"/>
    </row>
    <row r="2887" spans="1:12">
      <c r="A2887" s="20" t="s">
        <v>1006</v>
      </c>
      <c r="B2887" s="27" t="s">
        <v>625</v>
      </c>
      <c r="C2887" s="27" t="s">
        <v>614</v>
      </c>
      <c r="D2887" s="27" t="s">
        <v>608</v>
      </c>
      <c r="E2887" s="21">
        <f>IF(D2887="?OLD","!!!","")</f>
        <v/>
      </c>
      <c r="F2887" s="22" t="str">
        <f>IF(OR(E2887="",E2887="!!!"),"",IF(NOT(ISNA(VLOOKUP(E2887,E$1:E2886,1,FALSE()))),"OLD",IF(AND(E2887&lt;&gt;"",E2887&lt;&gt;"!!!"),"NEW","")))</f>
        <v> </v>
      </c>
      <c r="G2887" s="23" t="str">
        <f>IF(OR(E2887="",E2887="!!!"),"",IF(OR(J2887=0,AND(J2887=1,K2887=1),AND(J2887=1,I2887="SBJ"),AND(J2887=1,I2887=0)),"?IN_FOCUS",IF(J2887&lt;=2,"?ACTIVATED",IF(J2887&lt;&gt;"","?FAMILIAR",IF(F2887="NEW",IF(ISNA(VLOOKUP(E2887,#REF!,1,FALSE())),"?TYPE_IDENTIFIABLE","?REFERENTIAL"),"_")))))</f>
        <v> </v>
      </c>
      <c r="H2887" s="24" t="str">
        <f>IF(J2887&lt;&gt;1,"",IF(I2887="SBJ","CB","?"))</f>
        <v> </v>
      </c>
      <c r="I2887" s="25" t="str">
        <f>IF(OR(E2887="",E2887="!!!",F2887="NEW"),"",INDEX(B2886:B$2,-1+SUMPRODUCT(MAX(ROW(E2886:E$2)*(E2887=E2886:E$2)))))</f>
        <v> </v>
      </c>
      <c r="J2887" s="25" t="str">
        <f>IF(OR(E2887="",E2887="!!!",F2887="NEW"),"",COUNTBLANK(OFFSET(A$1,,,SUMPRODUCT(MAX(ROW(E$2:E2887)*(E2887=E$2:E2887)))))-COUNTBLANK(OFFSET(A$1,,,SUMPRODUCT(MAX(ROW(E$1:E2886)*(E2=E$1:E2886))))))</f>
        <v> </v>
      </c>
      <c r="K2887" s="25" t="str">
        <f>IF(OR(E2887="",E2887="!!!",F2887="NEW"),"",INDEX(J$1:J2886,SUMPRODUCT(MAX(ROW(E$1:E2886)*(E2887=E$1:E2886)))))</f>
        <v> </v>
      </c>
      <c r="L2887" s="26"/>
    </row>
    <row r="2888" spans="1:12">
      <c r="A2888" s="20" t="s">
        <v>1360</v>
      </c>
      <c r="B2888" s="27" t="s">
        <v>619</v>
      </c>
      <c r="C2888" s="27" t="s">
        <v>616</v>
      </c>
      <c r="D2888" s="27" t="s">
        <v>608</v>
      </c>
      <c r="E2888" s="21">
        <f>IF(D2888="?OLD","!!!","")</f>
        <v/>
      </c>
      <c r="F2888" s="22" t="str">
        <f>IF(OR(E2888="",E2888="!!!"),"",IF(NOT(ISNA(VLOOKUP(E2888,E$1:E2887,1,FALSE()))),"OLD",IF(AND(E2888&lt;&gt;"",E2888&lt;&gt;"!!!"),"NEW","")))</f>
        <v> </v>
      </c>
      <c r="G2888" s="23" t="str">
        <f>IF(OR(E2888="",E2888="!!!"),"",IF(OR(J2888=0,AND(J2888=1,K2888=1),AND(J2888=1,I2888="SBJ"),AND(J2888=1,I2888=0)),"?IN_FOCUS",IF(J2888&lt;=2,"?ACTIVATED",IF(J2888&lt;&gt;"","?FAMILIAR",IF(F2888="NEW",IF(ISNA(VLOOKUP(E2888,#REF!,1,FALSE())),"?TYPE_IDENTIFIABLE","?REFERENTIAL"),"_")))))</f>
        <v> </v>
      </c>
      <c r="H2888" s="24" t="str">
        <f>IF(J2888&lt;&gt;1,"",IF(I2888="SBJ","CB","?"))</f>
        <v> </v>
      </c>
      <c r="I2888" s="25" t="str">
        <f>IF(OR(E2888="",E2888="!!!",F2888="NEW"),"",INDEX(B2887:B$2,-1+SUMPRODUCT(MAX(ROW(E2887:E$2)*(E2888=E2887:E$2)))))</f>
        <v> </v>
      </c>
      <c r="J2888" s="25" t="str">
        <f>IF(OR(E2888="",E2888="!!!",F2888="NEW"),"",COUNTBLANK(OFFSET(A$1,,,SUMPRODUCT(MAX(ROW(E$2:E2888)*(E2888=E$2:E2888)))))-COUNTBLANK(OFFSET(A$1,,,SUMPRODUCT(MAX(ROW(E$1:E2887)*(E2=E$1:E2887))))))</f>
        <v> </v>
      </c>
      <c r="K2888" s="25" t="str">
        <f>IF(OR(E2888="",E2888="!!!",F2888="NEW"),"",INDEX(J$1:J2887,SUMPRODUCT(MAX(ROW(E$1:E2887)*(E2888=E$1:E2887)))))</f>
        <v> </v>
      </c>
      <c r="L2888" s="26"/>
    </row>
    <row r="2889" spans="1:12">
      <c r="A2889" s="20" t="s">
        <v>904</v>
      </c>
      <c r="E2889" s="21">
        <f>IF(D2889="?OLD","!!!","")</f>
        <v/>
      </c>
      <c r="F2889" s="22" t="str">
        <f>IF(OR(E2889="",E2889="!!!"),"",IF(NOT(ISNA(VLOOKUP(E2889,E$1:E2888,1,FALSE()))),"OLD",IF(AND(E2889&lt;&gt;"",E2889&lt;&gt;"!!!"),"NEW","")))</f>
        <v> </v>
      </c>
      <c r="G2889" s="23" t="str">
        <f>IF(OR(E2889="",E2889="!!!"),"",IF(OR(J2889=0,AND(J2889=1,K2889=1),AND(J2889=1,I2889="SBJ"),AND(J2889=1,I2889=0)),"?IN_FOCUS",IF(J2889&lt;=2,"?ACTIVATED",IF(J2889&lt;&gt;"","?FAMILIAR",IF(F2889="NEW",IF(ISNA(VLOOKUP(E2889,#REF!,1,FALSE())),"?TYPE_IDENTIFIABLE","?REFERENTIAL"),"_")))))</f>
        <v> </v>
      </c>
      <c r="H2889" s="24" t="str">
        <f>IF(J2889&lt;&gt;1,"",IF(I2889="SBJ","CB","?"))</f>
        <v> </v>
      </c>
      <c r="I2889" s="25" t="str">
        <f>IF(OR(E2889="",E2889="!!!",F2889="NEW"),"",INDEX(B2888:B$2,-1+SUMPRODUCT(MAX(ROW(E2888:E$2)*(E2889=E2888:E$2)))))</f>
        <v> </v>
      </c>
      <c r="J2889" s="25" t="str">
        <f>IF(OR(E2889="",E2889="!!!",F2889="NEW"),"",COUNTBLANK(OFFSET(A$1,,,SUMPRODUCT(MAX(ROW(E$2:E2889)*(E2889=E$2:E2889)))))-COUNTBLANK(OFFSET(A$1,,,SUMPRODUCT(MAX(ROW(E$1:E2888)*(E2=E$1:E2888))))))</f>
        <v> </v>
      </c>
      <c r="K2889" s="25" t="str">
        <f>IF(OR(E2889="",E2889="!!!",F2889="NEW"),"",INDEX(J$1:J2888,SUMPRODUCT(MAX(ROW(E$1:E2888)*(E2889=E$1:E2888)))))</f>
        <v> </v>
      </c>
      <c r="L2889" s="26"/>
    </row>
    <row r="2890" spans="1:12">
      <c r="A2890" s="20" t="s">
        <v>1594</v>
      </c>
      <c r="E2890" s="21">
        <f>IF(D2890="?OLD","!!!","")</f>
        <v/>
      </c>
      <c r="F2890" s="22" t="str">
        <f>IF(OR(E2890="",E2890="!!!"),"",IF(NOT(ISNA(VLOOKUP(E2890,E$1:E2889,1,FALSE()))),"OLD",IF(AND(E2890&lt;&gt;"",E2890&lt;&gt;"!!!"),"NEW","")))</f>
        <v> </v>
      </c>
      <c r="G2890" s="23" t="str">
        <f>IF(OR(E2890="",E2890="!!!"),"",IF(OR(J2890=0,AND(J2890=1,K2890=1),AND(J2890=1,I2890="SBJ"),AND(J2890=1,I2890=0)),"?IN_FOCUS",IF(J2890&lt;=2,"?ACTIVATED",IF(J2890&lt;&gt;"","?FAMILIAR",IF(F2890="NEW",IF(ISNA(VLOOKUP(E2890,#REF!,1,FALSE())),"?TYPE_IDENTIFIABLE","?REFERENTIAL"),"_")))))</f>
        <v> </v>
      </c>
      <c r="H2890" s="24" t="str">
        <f>IF(J2890&lt;&gt;1,"",IF(I2890="SBJ","CB","?"))</f>
        <v> </v>
      </c>
      <c r="I2890" s="25" t="str">
        <f>IF(OR(E2890="",E2890="!!!",F2890="NEW"),"",INDEX(B2889:B$2,-1+SUMPRODUCT(MAX(ROW(E2889:E$2)*(E2890=E2889:E$2)))))</f>
        <v> </v>
      </c>
      <c r="J2890" s="25" t="str">
        <f>IF(OR(E2890="",E2890="!!!",F2890="NEW"),"",COUNTBLANK(OFFSET(A$1,,,SUMPRODUCT(MAX(ROW(E$2:E2890)*(E2890=E$2:E2890)))))-COUNTBLANK(OFFSET(A$1,,,SUMPRODUCT(MAX(ROW(E$1:E2889)*(E2=E$1:E2889))))))</f>
        <v> </v>
      </c>
      <c r="K2890" s="25" t="str">
        <f>IF(OR(E2890="",E2890="!!!",F2890="NEW"),"",INDEX(J$1:J2889,SUMPRODUCT(MAX(ROW(E$1:E2889)*(E2890=E$1:E2889)))))</f>
        <v> </v>
      </c>
      <c r="L2890" s="26"/>
    </row>
    <row r="2891" spans="1:12">
      <c r="A2891" s="20" t="s">
        <v>633</v>
      </c>
      <c r="E2891" s="21">
        <f>IF(D2891="?OLD","!!!","")</f>
        <v/>
      </c>
      <c r="F2891" s="22" t="str">
        <f>IF(OR(E2891="",E2891="!!!"),"",IF(NOT(ISNA(VLOOKUP(E2891,E$1:E2890,1,FALSE()))),"OLD",IF(AND(E2891&lt;&gt;"",E2891&lt;&gt;"!!!"),"NEW","")))</f>
        <v> </v>
      </c>
      <c r="G2891" s="23" t="str">
        <f>IF(OR(E2891="",E2891="!!!"),"",IF(OR(J2891=0,AND(J2891=1,K2891=1),AND(J2891=1,I2891="SBJ"),AND(J2891=1,I2891=0)),"?IN_FOCUS",IF(J2891&lt;=2,"?ACTIVATED",IF(J2891&lt;&gt;"","?FAMILIAR",IF(F2891="NEW",IF(ISNA(VLOOKUP(E2891,#REF!,1,FALSE())),"?TYPE_IDENTIFIABLE","?REFERENTIAL"),"_")))))</f>
        <v> </v>
      </c>
      <c r="H2891" s="24" t="str">
        <f>IF(J2891&lt;&gt;1,"",IF(I2891="SBJ","CB","?"))</f>
        <v> </v>
      </c>
      <c r="I2891" s="25" t="str">
        <f>IF(OR(E2891="",E2891="!!!",F2891="NEW"),"",INDEX(B2890:B$2,-1+SUMPRODUCT(MAX(ROW(E2890:E$2)*(E2891=E2890:E$2)))))</f>
        <v> </v>
      </c>
      <c r="J2891" s="25" t="str">
        <f>IF(OR(E2891="",E2891="!!!",F2891="NEW"),"",COUNTBLANK(OFFSET(A$1,,,SUMPRODUCT(MAX(ROW(E$2:E2891)*(E2891=E$2:E2891)))))-COUNTBLANK(OFFSET(A$1,,,SUMPRODUCT(MAX(ROW(E$1:E2890)*(E2=E$1:E2890))))))</f>
        <v> </v>
      </c>
      <c r="K2891" s="25" t="str">
        <f>IF(OR(E2891="",E2891="!!!",F2891="NEW"),"",INDEX(J$1:J2890,SUMPRODUCT(MAX(ROW(E$1:E2890)*(E2891=E$1:E2890)))))</f>
        <v> </v>
      </c>
      <c r="L2891" s="26"/>
    </row>
    <row r="2892" spans="1:12">
      <c r="A2892" s="20"/>
    </row>
    <row r="2893" spans="1:12">
      <c r="A2893" s="20" t="s">
        <v>1595</v>
      </c>
    </row>
    <row r="2894" spans="1:12">
      <c r="A2894" s="20" t="s">
        <v>776</v>
      </c>
      <c r="B2894" s="27" t="s">
        <v>636</v>
      </c>
      <c r="C2894" s="27" t="s">
        <v>637</v>
      </c>
      <c r="D2894" s="27" t="s">
        <v>608</v>
      </c>
      <c r="E2894" s="21">
        <f>IF(D2894="?OLD","!!!","")</f>
        <v/>
      </c>
      <c r="F2894" s="22" t="str">
        <f>IF(OR(E2894="",E2894="!!!"),"",IF(NOT(ISNA(VLOOKUP(E2894,E$1:E2893,1,FALSE()))),"OLD",IF(AND(E2894&lt;&gt;"",E2894&lt;&gt;"!!!"),"NEW","")))</f>
        <v> </v>
      </c>
      <c r="G2894" s="23" t="str">
        <f>IF(OR(E2894="",E2894="!!!"),"",IF(OR(J2894=0,AND(J2894=1,K2894=1),AND(J2894=1,I2894="SBJ"),AND(J2894=1,I2894=0)),"?IN_FOCUS",IF(J2894&lt;=2,"?ACTIVATED",IF(J2894&lt;&gt;"","?FAMILIAR",IF(F2894="NEW",IF(ISNA(VLOOKUP(E2894,#REF!,1,FALSE())),"?TYPE_IDENTIFIABLE","?REFERENTIAL"),"_")))))</f>
        <v> </v>
      </c>
      <c r="H2894" s="24" t="str">
        <f>IF(J2894&lt;&gt;1,"",IF(I2894="SBJ","CB","?"))</f>
        <v> </v>
      </c>
      <c r="I2894" s="25" t="str">
        <f>IF(OR(E2894="",E2894="!!!",F2894="NEW"),"",INDEX(B2893:B$2,-1+SUMPRODUCT(MAX(ROW(E2893:E$2)*(E2894=E2893:E$2)))))</f>
        <v> </v>
      </c>
      <c r="J2894" s="25" t="str">
        <f>IF(OR(E2894="",E2894="!!!",F2894="NEW"),"",COUNTBLANK(OFFSET(A$1,,,SUMPRODUCT(MAX(ROW(E$2:E2894)*(E2894=E$2:E2894)))))-COUNTBLANK(OFFSET(A$1,,,SUMPRODUCT(MAX(ROW(E$1:E2893)*(E2=E$1:E2893))))))</f>
        <v> </v>
      </c>
      <c r="K2894" s="25" t="str">
        <f>IF(OR(E2894="",E2894="!!!",F2894="NEW"),"",INDEX(J$1:J2893,SUMPRODUCT(MAX(ROW(E$1:E2893)*(E2894=E$1:E2893)))))</f>
        <v> </v>
      </c>
      <c r="L2894" s="26"/>
    </row>
    <row r="2895" spans="1:12">
      <c r="A2895" s="20" t="s">
        <v>969</v>
      </c>
      <c r="E2895" s="21">
        <f>IF(D2895="?OLD","!!!","")</f>
        <v/>
      </c>
      <c r="F2895" s="22" t="str">
        <f>IF(OR(E2895="",E2895="!!!"),"",IF(NOT(ISNA(VLOOKUP(E2895,E$1:E2894,1,FALSE()))),"OLD",IF(AND(E2895&lt;&gt;"",E2895&lt;&gt;"!!!"),"NEW","")))</f>
        <v> </v>
      </c>
      <c r="G2895" s="23" t="str">
        <f>IF(OR(E2895="",E2895="!!!"),"",IF(OR(J2895=0,AND(J2895=1,K2895=1),AND(J2895=1,I2895="SBJ"),AND(J2895=1,I2895=0)),"?IN_FOCUS",IF(J2895&lt;=2,"?ACTIVATED",IF(J2895&lt;&gt;"","?FAMILIAR",IF(F2895="NEW",IF(ISNA(VLOOKUP(E2895,#REF!,1,FALSE())),"?TYPE_IDENTIFIABLE","?REFERENTIAL"),"_")))))</f>
        <v> </v>
      </c>
      <c r="H2895" s="24" t="str">
        <f>IF(J2895&lt;&gt;1,"",IF(I2895="SBJ","CB","?"))</f>
        <v> </v>
      </c>
      <c r="I2895" s="25" t="str">
        <f>IF(OR(E2895="",E2895="!!!",F2895="NEW"),"",INDEX(B2894:B$2,-1+SUMPRODUCT(MAX(ROW(E2894:E$2)*(E2895=E2894:E$2)))))</f>
        <v> </v>
      </c>
      <c r="J2895" s="25" t="str">
        <f>IF(OR(E2895="",E2895="!!!",F2895="NEW"),"",COUNTBLANK(OFFSET(A$1,,,SUMPRODUCT(MAX(ROW(E$2:E2895)*(E2895=E$2:E2895)))))-COUNTBLANK(OFFSET(A$1,,,SUMPRODUCT(MAX(ROW(E$1:E2894)*(E2=E$1:E2894))))))</f>
        <v> </v>
      </c>
      <c r="K2895" s="25" t="str">
        <f>IF(OR(E2895="",E2895="!!!",F2895="NEW"),"",INDEX(J$1:J2894,SUMPRODUCT(MAX(ROW(E$1:E2894)*(E2895=E$1:E2894)))))</f>
        <v> </v>
      </c>
      <c r="L2895" s="26"/>
    </row>
    <row r="2896" spans="1:12">
      <c r="A2896" s="20" t="s">
        <v>716</v>
      </c>
      <c r="E2896" s="21">
        <f>IF(D2896="?OLD","!!!","")</f>
        <v/>
      </c>
      <c r="F2896" s="22" t="str">
        <f>IF(OR(E2896="",E2896="!!!"),"",IF(NOT(ISNA(VLOOKUP(E2896,E$1:E2895,1,FALSE()))),"OLD",IF(AND(E2896&lt;&gt;"",E2896&lt;&gt;"!!!"),"NEW","")))</f>
        <v> </v>
      </c>
      <c r="G2896" s="23" t="str">
        <f>IF(OR(E2896="",E2896="!!!"),"",IF(OR(J2896=0,AND(J2896=1,K2896=1),AND(J2896=1,I2896="SBJ"),AND(J2896=1,I2896=0)),"?IN_FOCUS",IF(J2896&lt;=2,"?ACTIVATED",IF(J2896&lt;&gt;"","?FAMILIAR",IF(F2896="NEW",IF(ISNA(VLOOKUP(E2896,#REF!,1,FALSE())),"?TYPE_IDENTIFIABLE","?REFERENTIAL"),"_")))))</f>
        <v> </v>
      </c>
      <c r="H2896" s="24" t="str">
        <f>IF(J2896&lt;&gt;1,"",IF(I2896="SBJ","CB","?"))</f>
        <v> </v>
      </c>
      <c r="I2896" s="25" t="str">
        <f>IF(OR(E2896="",E2896="!!!",F2896="NEW"),"",INDEX(B2895:B$2,-1+SUMPRODUCT(MAX(ROW(E2895:E$2)*(E2896=E2895:E$2)))))</f>
        <v> </v>
      </c>
      <c r="J2896" s="25" t="str">
        <f>IF(OR(E2896="",E2896="!!!",F2896="NEW"),"",COUNTBLANK(OFFSET(A$1,,,SUMPRODUCT(MAX(ROW(E$2:E2896)*(E2896=E$2:E2896)))))-COUNTBLANK(OFFSET(A$1,,,SUMPRODUCT(MAX(ROW(E$1:E2895)*(E2=E$1:E2895))))))</f>
        <v> </v>
      </c>
      <c r="K2896" s="25" t="str">
        <f>IF(OR(E2896="",E2896="!!!",F2896="NEW"),"",INDEX(J$1:J2895,SUMPRODUCT(MAX(ROW(E$1:E2895)*(E2896=E$1:E2895)))))</f>
        <v> </v>
      </c>
      <c r="L2896" s="26"/>
    </row>
    <row r="2897" spans="1:12">
      <c r="A2897" s="20" t="s">
        <v>166</v>
      </c>
      <c r="E2897" s="21">
        <f>IF(D2897="?OLD","!!!","")</f>
        <v/>
      </c>
      <c r="F2897" s="22" t="str">
        <f>IF(OR(E2897="",E2897="!!!"),"",IF(NOT(ISNA(VLOOKUP(E2897,E$1:E2896,1,FALSE()))),"OLD",IF(AND(E2897&lt;&gt;"",E2897&lt;&gt;"!!!"),"NEW","")))</f>
        <v> </v>
      </c>
      <c r="G2897" s="23" t="str">
        <f>IF(OR(E2897="",E2897="!!!"),"",IF(OR(J2897=0,AND(J2897=1,K2897=1),AND(J2897=1,I2897="SBJ"),AND(J2897=1,I2897=0)),"?IN_FOCUS",IF(J2897&lt;=2,"?ACTIVATED",IF(J2897&lt;&gt;"","?FAMILIAR",IF(F2897="NEW",IF(ISNA(VLOOKUP(E2897,#REF!,1,FALSE())),"?TYPE_IDENTIFIABLE","?REFERENTIAL"),"_")))))</f>
        <v> </v>
      </c>
      <c r="H2897" s="24" t="str">
        <f>IF(J2897&lt;&gt;1,"",IF(I2897="SBJ","CB","?"))</f>
        <v> </v>
      </c>
      <c r="I2897" s="25" t="str">
        <f>IF(OR(E2897="",E2897="!!!",F2897="NEW"),"",INDEX(B2896:B$2,-1+SUMPRODUCT(MAX(ROW(E2896:E$2)*(E2897=E2896:E$2)))))</f>
        <v> </v>
      </c>
      <c r="J2897" s="25" t="str">
        <f>IF(OR(E2897="",E2897="!!!",F2897="NEW"),"",COUNTBLANK(OFFSET(A$1,,,SUMPRODUCT(MAX(ROW(E$2:E2897)*(E2897=E$2:E2897)))))-COUNTBLANK(OFFSET(A$1,,,SUMPRODUCT(MAX(ROW(E$1:E2896)*(E2=E$1:E2896))))))</f>
        <v> </v>
      </c>
      <c r="K2897" s="25" t="str">
        <f>IF(OR(E2897="",E2897="!!!",F2897="NEW"),"",INDEX(J$1:J2896,SUMPRODUCT(MAX(ROW(E$1:E2896)*(E2897=E$1:E2896)))))</f>
        <v> </v>
      </c>
      <c r="L2897" s="26"/>
    </row>
    <row r="2898" spans="1:12">
      <c r="A2898" s="20" t="s">
        <v>617</v>
      </c>
      <c r="E2898" s="21">
        <f>IF(D2898="?OLD","!!!","")</f>
        <v/>
      </c>
      <c r="F2898" s="22" t="str">
        <f>IF(OR(E2898="",E2898="!!!"),"",IF(NOT(ISNA(VLOOKUP(E2898,E$1:E2897,1,FALSE()))),"OLD",IF(AND(E2898&lt;&gt;"",E2898&lt;&gt;"!!!"),"NEW","")))</f>
        <v> </v>
      </c>
      <c r="G2898" s="23" t="str">
        <f>IF(OR(E2898="",E2898="!!!"),"",IF(OR(J2898=0,AND(J2898=1,K2898=1),AND(J2898=1,I2898="SBJ"),AND(J2898=1,I2898=0)),"?IN_FOCUS",IF(J2898&lt;=2,"?ACTIVATED",IF(J2898&lt;&gt;"","?FAMILIAR",IF(F2898="NEW",IF(ISNA(VLOOKUP(E2898,#REF!,1,FALSE())),"?TYPE_IDENTIFIABLE","?REFERENTIAL"),"_")))))</f>
        <v> </v>
      </c>
      <c r="H2898" s="24" t="str">
        <f>IF(J2898&lt;&gt;1,"",IF(I2898="SBJ","CB","?"))</f>
        <v> </v>
      </c>
      <c r="I2898" s="25" t="str">
        <f>IF(OR(E2898="",E2898="!!!",F2898="NEW"),"",INDEX(B2897:B$2,-1+SUMPRODUCT(MAX(ROW(E2897:E$2)*(E2898=E2897:E$2)))))</f>
        <v> </v>
      </c>
      <c r="J2898" s="25" t="str">
        <f>IF(OR(E2898="",E2898="!!!",F2898="NEW"),"",COUNTBLANK(OFFSET(A$1,,,SUMPRODUCT(MAX(ROW(E$2:E2898)*(E2898=E$2:E2898)))))-COUNTBLANK(OFFSET(A$1,,,SUMPRODUCT(MAX(ROW(E$1:E2897)*(E2=E$1:E2897))))))</f>
        <v> </v>
      </c>
      <c r="K2898" s="25" t="str">
        <f>IF(OR(E2898="",E2898="!!!",F2898="NEW"),"",INDEX(J$1:J2897,SUMPRODUCT(MAX(ROW(E$1:E2897)*(E2898=E$1:E2897)))))</f>
        <v> </v>
      </c>
      <c r="L2898" s="26"/>
    </row>
    <row r="2899" spans="1:12">
      <c r="A2899" s="20" t="s">
        <v>1109</v>
      </c>
      <c r="E2899" s="21">
        <f>IF(D2899="?OLD","!!!","")</f>
        <v/>
      </c>
      <c r="F2899" s="22" t="str">
        <f>IF(OR(E2899="",E2899="!!!"),"",IF(NOT(ISNA(VLOOKUP(E2899,E$1:E2898,1,FALSE()))),"OLD",IF(AND(E2899&lt;&gt;"",E2899&lt;&gt;"!!!"),"NEW","")))</f>
        <v> </v>
      </c>
      <c r="G2899" s="23" t="str">
        <f>IF(OR(E2899="",E2899="!!!"),"",IF(OR(J2899=0,AND(J2899=1,K2899=1),AND(J2899=1,I2899="SBJ"),AND(J2899=1,I2899=0)),"?IN_FOCUS",IF(J2899&lt;=2,"?ACTIVATED",IF(J2899&lt;&gt;"","?FAMILIAR",IF(F2899="NEW",IF(ISNA(VLOOKUP(E2899,#REF!,1,FALSE())),"?TYPE_IDENTIFIABLE","?REFERENTIAL"),"_")))))</f>
        <v> </v>
      </c>
      <c r="H2899" s="24" t="str">
        <f>IF(J2899&lt;&gt;1,"",IF(I2899="SBJ","CB","?"))</f>
        <v> </v>
      </c>
      <c r="I2899" s="25" t="str">
        <f>IF(OR(E2899="",E2899="!!!",F2899="NEW"),"",INDEX(B2898:B$2,-1+SUMPRODUCT(MAX(ROW(E2898:E$2)*(E2899=E2898:E$2)))))</f>
        <v> </v>
      </c>
      <c r="J2899" s="25" t="str">
        <f>IF(OR(E2899="",E2899="!!!",F2899="NEW"),"",COUNTBLANK(OFFSET(A$1,,,SUMPRODUCT(MAX(ROW(E$2:E2899)*(E2899=E$2:E2899)))))-COUNTBLANK(OFFSET(A$1,,,SUMPRODUCT(MAX(ROW(E$1:E2898)*(E2=E$1:E2898))))))</f>
        <v> </v>
      </c>
      <c r="K2899" s="25" t="str">
        <f>IF(OR(E2899="",E2899="!!!",F2899="NEW"),"",INDEX(J$1:J2898,SUMPRODUCT(MAX(ROW(E$1:E2898)*(E2899=E$1:E2898)))))</f>
        <v> </v>
      </c>
      <c r="L2899" s="26"/>
    </row>
    <row r="2900" spans="1:12">
      <c r="A2900" s="20" t="s">
        <v>651</v>
      </c>
      <c r="B2900" s="27" t="s">
        <v>619</v>
      </c>
      <c r="C2900" s="27" t="s">
        <v>652</v>
      </c>
      <c r="D2900" s="27" t="s">
        <v>608</v>
      </c>
      <c r="E2900" s="21">
        <f>IF(D2900="?OLD","!!!","")</f>
        <v/>
      </c>
      <c r="F2900" s="22" t="str">
        <f>IF(OR(E2900="",E2900="!!!"),"",IF(NOT(ISNA(VLOOKUP(E2900,E$1:E2899,1,FALSE()))),"OLD",IF(AND(E2900&lt;&gt;"",E2900&lt;&gt;"!!!"),"NEW","")))</f>
        <v> </v>
      </c>
      <c r="G2900" s="23" t="str">
        <f>IF(OR(E2900="",E2900="!!!"),"",IF(OR(J2900=0,AND(J2900=1,K2900=1),AND(J2900=1,I2900="SBJ"),AND(J2900=1,I2900=0)),"?IN_FOCUS",IF(J2900&lt;=2,"?ACTIVATED",IF(J2900&lt;&gt;"","?FAMILIAR",IF(F2900="NEW",IF(ISNA(VLOOKUP(E2900,#REF!,1,FALSE())),"?TYPE_IDENTIFIABLE","?REFERENTIAL"),"_")))))</f>
        <v> </v>
      </c>
      <c r="H2900" s="24" t="str">
        <f>IF(J2900&lt;&gt;1,"",IF(I2900="SBJ","CB","?"))</f>
        <v> </v>
      </c>
      <c r="I2900" s="25" t="str">
        <f>IF(OR(E2900="",E2900="!!!",F2900="NEW"),"",INDEX(B2899:B$2,-1+SUMPRODUCT(MAX(ROW(E2899:E$2)*(E2900=E2899:E$2)))))</f>
        <v> </v>
      </c>
      <c r="J2900" s="25" t="str">
        <f>IF(OR(E2900="",E2900="!!!",F2900="NEW"),"",COUNTBLANK(OFFSET(A$1,,,SUMPRODUCT(MAX(ROW(E$2:E2900)*(E2900=E$2:E2900)))))-COUNTBLANK(OFFSET(A$1,,,SUMPRODUCT(MAX(ROW(E$1:E2899)*(E2=E$1:E2899))))))</f>
        <v> </v>
      </c>
      <c r="K2900" s="25" t="str">
        <f>IF(OR(E2900="",E2900="!!!",F2900="NEW"),"",INDEX(J$1:J2899,SUMPRODUCT(MAX(ROW(E$1:E2899)*(E2900=E$1:E2899)))))</f>
        <v> </v>
      </c>
      <c r="L2900" s="26"/>
    </row>
    <row r="2901" spans="1:12">
      <c r="A2901" s="20" t="s">
        <v>1368</v>
      </c>
      <c r="B2901" s="27" t="s">
        <v>657</v>
      </c>
      <c r="C2901" s="27" t="s">
        <v>622</v>
      </c>
      <c r="E2901" s="21">
        <f>IF(D2901="?OLD","!!!","")</f>
        <v/>
      </c>
      <c r="F2901" s="22" t="str">
        <f>IF(OR(E2901="",E2901="!!!"),"",IF(NOT(ISNA(VLOOKUP(E2901,E$1:E2900,1,FALSE()))),"OLD",IF(AND(E2901&lt;&gt;"",E2901&lt;&gt;"!!!"),"NEW","")))</f>
        <v> </v>
      </c>
      <c r="G2901" s="23" t="str">
        <f>IF(OR(E2901="",E2901="!!!"),"",IF(OR(J2901=0,AND(J2901=1,K2901=1),AND(J2901=1,I2901="SBJ"),AND(J2901=1,I2901=0)),"?IN_FOCUS",IF(J2901&lt;=2,"?ACTIVATED",IF(J2901&lt;&gt;"","?FAMILIAR",IF(F2901="NEW",IF(ISNA(VLOOKUP(E2901,#REF!,1,FALSE())),"?TYPE_IDENTIFIABLE","?REFERENTIAL"),"_")))))</f>
        <v> </v>
      </c>
      <c r="H2901" s="24" t="str">
        <f>IF(J2901&lt;&gt;1,"",IF(I2901="SBJ","CB","?"))</f>
        <v> </v>
      </c>
      <c r="I2901" s="25" t="str">
        <f>IF(OR(E2901="",E2901="!!!",F2901="NEW"),"",INDEX(B2900:B$2,-1+SUMPRODUCT(MAX(ROW(E2900:E$2)*(E2901=E2900:E$2)))))</f>
        <v> </v>
      </c>
      <c r="J2901" s="25" t="str">
        <f>IF(OR(E2901="",E2901="!!!",F2901="NEW"),"",COUNTBLANK(OFFSET(A$1,,,SUMPRODUCT(MAX(ROW(E$2:E2901)*(E2901=E$2:E2901)))))-COUNTBLANK(OFFSET(A$1,,,SUMPRODUCT(MAX(ROW(E$1:E2900)*(E2=E$1:E2900))))))</f>
        <v> </v>
      </c>
      <c r="K2901" s="25" t="str">
        <f>IF(OR(E2901="",E2901="!!!",F2901="NEW"),"",INDEX(J$1:J2900,SUMPRODUCT(MAX(ROW(E$1:E2900)*(E2901=E$1:E2900)))))</f>
        <v> </v>
      </c>
      <c r="L2901" s="26"/>
    </row>
    <row r="2902" spans="1:12">
      <c r="A2902" s="20" t="s">
        <v>434</v>
      </c>
      <c r="E2902" s="21">
        <f>IF(D2902="?OLD","!!!","")</f>
        <v/>
      </c>
      <c r="F2902" s="22" t="str">
        <f>IF(OR(E2902="",E2902="!!!"),"",IF(NOT(ISNA(VLOOKUP(E2902,E$1:E2901,1,FALSE()))),"OLD",IF(AND(E2902&lt;&gt;"",E2902&lt;&gt;"!!!"),"NEW","")))</f>
        <v> </v>
      </c>
      <c r="G2902" s="23" t="str">
        <f>IF(OR(E2902="",E2902="!!!"),"",IF(OR(J2902=0,AND(J2902=1,K2902=1),AND(J2902=1,I2902="SBJ"),AND(J2902=1,I2902=0)),"?IN_FOCUS",IF(J2902&lt;=2,"?ACTIVATED",IF(J2902&lt;&gt;"","?FAMILIAR",IF(F2902="NEW",IF(ISNA(VLOOKUP(E2902,#REF!,1,FALSE())),"?TYPE_IDENTIFIABLE","?REFERENTIAL"),"_")))))</f>
        <v> </v>
      </c>
      <c r="H2902" s="24" t="str">
        <f>IF(J2902&lt;&gt;1,"",IF(I2902="SBJ","CB","?"))</f>
        <v> </v>
      </c>
      <c r="I2902" s="25" t="str">
        <f>IF(OR(E2902="",E2902="!!!",F2902="NEW"),"",INDEX(B2901:B$2,-1+SUMPRODUCT(MAX(ROW(E2901:E$2)*(E2902=E2901:E$2)))))</f>
        <v> </v>
      </c>
      <c r="J2902" s="25" t="str">
        <f>IF(OR(E2902="",E2902="!!!",F2902="NEW"),"",COUNTBLANK(OFFSET(A$1,,,SUMPRODUCT(MAX(ROW(E$2:E2902)*(E2902=E$2:E2902)))))-COUNTBLANK(OFFSET(A$1,,,SUMPRODUCT(MAX(ROW(E$1:E2901)*(E2=E$1:E2901))))))</f>
        <v> </v>
      </c>
      <c r="K2902" s="25" t="str">
        <f>IF(OR(E2902="",E2902="!!!",F2902="NEW"),"",INDEX(J$1:J2901,SUMPRODUCT(MAX(ROW(E$1:E2901)*(E2902=E$1:E2901)))))</f>
        <v> </v>
      </c>
      <c r="L2902" s="26"/>
    </row>
    <row r="2903" spans="1:12">
      <c r="A2903" s="20" t="s">
        <v>617</v>
      </c>
      <c r="E2903" s="21">
        <f>IF(D2903="?OLD","!!!","")</f>
        <v/>
      </c>
      <c r="F2903" s="22" t="str">
        <f>IF(OR(E2903="",E2903="!!!"),"",IF(NOT(ISNA(VLOOKUP(E2903,E$1:E2902,1,FALSE()))),"OLD",IF(AND(E2903&lt;&gt;"",E2903&lt;&gt;"!!!"),"NEW","")))</f>
        <v> </v>
      </c>
      <c r="G2903" s="23" t="str">
        <f>IF(OR(E2903="",E2903="!!!"),"",IF(OR(J2903=0,AND(J2903=1,K2903=1),AND(J2903=1,I2903="SBJ"),AND(J2903=1,I2903=0)),"?IN_FOCUS",IF(J2903&lt;=2,"?ACTIVATED",IF(J2903&lt;&gt;"","?FAMILIAR",IF(F2903="NEW",IF(ISNA(VLOOKUP(E2903,#REF!,1,FALSE())),"?TYPE_IDENTIFIABLE","?REFERENTIAL"),"_")))))</f>
        <v> </v>
      </c>
      <c r="H2903" s="24" t="str">
        <f>IF(J2903&lt;&gt;1,"",IF(I2903="SBJ","CB","?"))</f>
        <v> </v>
      </c>
      <c r="I2903" s="25" t="str">
        <f>IF(OR(E2903="",E2903="!!!",F2903="NEW"),"",INDEX(B2902:B$2,-1+SUMPRODUCT(MAX(ROW(E2902:E$2)*(E2903=E2902:E$2)))))</f>
        <v> </v>
      </c>
      <c r="J2903" s="25" t="str">
        <f>IF(OR(E2903="",E2903="!!!",F2903="NEW"),"",COUNTBLANK(OFFSET(A$1,,,SUMPRODUCT(MAX(ROW(E$2:E2903)*(E2903=E$2:E2903)))))-COUNTBLANK(OFFSET(A$1,,,SUMPRODUCT(MAX(ROW(E$1:E2902)*(E2=E$1:E2902))))))</f>
        <v> </v>
      </c>
      <c r="K2903" s="25" t="str">
        <f>IF(OR(E2903="",E2903="!!!",F2903="NEW"),"",INDEX(J$1:J2902,SUMPRODUCT(MAX(ROW(E$1:E2902)*(E2903=E$1:E2902)))))</f>
        <v> </v>
      </c>
      <c r="L2903" s="26"/>
    </row>
    <row r="2904" spans="1:12">
      <c r="A2904" s="20" t="s">
        <v>618</v>
      </c>
      <c r="B2904" s="27" t="s">
        <v>657</v>
      </c>
      <c r="E2904" s="21">
        <f>IF(D2904="?OLD","!!!","")</f>
        <v/>
      </c>
      <c r="F2904" s="22" t="str">
        <f>IF(OR(E2904="",E2904="!!!"),"",IF(NOT(ISNA(VLOOKUP(E2904,E$1:E2903,1,FALSE()))),"OLD",IF(AND(E2904&lt;&gt;"",E2904&lt;&gt;"!!!"),"NEW","")))</f>
        <v> </v>
      </c>
      <c r="G2904" s="23" t="str">
        <f>IF(OR(E2904="",E2904="!!!"),"",IF(OR(J2904=0,AND(J2904=1,K2904=1),AND(J2904=1,I2904="SBJ"),AND(J2904=1,I2904=0)),"?IN_FOCUS",IF(J2904&lt;=2,"?ACTIVATED",IF(J2904&lt;&gt;"","?FAMILIAR",IF(F2904="NEW",IF(ISNA(VLOOKUP(E2904,#REF!,1,FALSE())),"?TYPE_IDENTIFIABLE","?REFERENTIAL"),"_")))))</f>
        <v> </v>
      </c>
      <c r="H2904" s="24" t="str">
        <f>IF(J2904&lt;&gt;1,"",IF(I2904="SBJ","CB","?"))</f>
        <v> </v>
      </c>
      <c r="I2904" s="25" t="str">
        <f>IF(OR(E2904="",E2904="!!!",F2904="NEW"),"",INDEX(B2903:B$2,-1+SUMPRODUCT(MAX(ROW(E2903:E$2)*(E2904=E2903:E$2)))))</f>
        <v> </v>
      </c>
      <c r="J2904" s="25" t="str">
        <f>IF(OR(E2904="",E2904="!!!",F2904="NEW"),"",COUNTBLANK(OFFSET(A$1,,,SUMPRODUCT(MAX(ROW(E$2:E2904)*(E2904=E$2:E2904)))))-COUNTBLANK(OFFSET(A$1,,,SUMPRODUCT(MAX(ROW(E$1:E2903)*(E2=E$1:E2903))))))</f>
        <v> </v>
      </c>
      <c r="K2904" s="25" t="str">
        <f>IF(OR(E2904="",E2904="!!!",F2904="NEW"),"",INDEX(J$1:J2903,SUMPRODUCT(MAX(ROW(E$1:E2903)*(E2904=E$1:E2903)))))</f>
        <v> </v>
      </c>
      <c r="L2904" s="26"/>
    </row>
    <row r="2905" spans="1:12">
      <c r="A2905" s="20" t="s">
        <v>651</v>
      </c>
      <c r="B2905" s="27" t="s">
        <v>619</v>
      </c>
      <c r="C2905" s="27" t="s">
        <v>652</v>
      </c>
      <c r="D2905" s="27" t="s">
        <v>608</v>
      </c>
      <c r="E2905" s="21">
        <f>IF(D2905="?OLD","!!!","")</f>
        <v/>
      </c>
      <c r="F2905" s="22" t="str">
        <f>IF(OR(E2905="",E2905="!!!"),"",IF(NOT(ISNA(VLOOKUP(E2905,E$1:E2904,1,FALSE()))),"OLD",IF(AND(E2905&lt;&gt;"",E2905&lt;&gt;"!!!"),"NEW","")))</f>
        <v> </v>
      </c>
      <c r="G2905" s="23" t="str">
        <f>IF(OR(E2905="",E2905="!!!"),"",IF(OR(J2905=0,AND(J2905=1,K2905=1),AND(J2905=1,I2905="SBJ"),AND(J2905=1,I2905=0)),"?IN_FOCUS",IF(J2905&lt;=2,"?ACTIVATED",IF(J2905&lt;&gt;"","?FAMILIAR",IF(F2905="NEW",IF(ISNA(VLOOKUP(E2905,#REF!,1,FALSE())),"?TYPE_IDENTIFIABLE","?REFERENTIAL"),"_")))))</f>
        <v> </v>
      </c>
      <c r="H2905" s="24" t="str">
        <f>IF(J2905&lt;&gt;1,"",IF(I2905="SBJ","CB","?"))</f>
        <v> </v>
      </c>
      <c r="I2905" s="25" t="str">
        <f>IF(OR(E2905="",E2905="!!!",F2905="NEW"),"",INDEX(B2904:B$2,-1+SUMPRODUCT(MAX(ROW(E2904:E$2)*(E2905=E2904:E$2)))))</f>
        <v> </v>
      </c>
      <c r="J2905" s="25" t="str">
        <f>IF(OR(E2905="",E2905="!!!",F2905="NEW"),"",COUNTBLANK(OFFSET(A$1,,,SUMPRODUCT(MAX(ROW(E$2:E2905)*(E2905=E$2:E2905)))))-COUNTBLANK(OFFSET(A$1,,,SUMPRODUCT(MAX(ROW(E$1:E2904)*(E2=E$1:E2904))))))</f>
        <v> </v>
      </c>
      <c r="K2905" s="25" t="str">
        <f>IF(OR(E2905="",E2905="!!!",F2905="NEW"),"",INDEX(J$1:J2904,SUMPRODUCT(MAX(ROW(E$1:E2904)*(E2905=E$1:E2904)))))</f>
        <v> </v>
      </c>
      <c r="L2905" s="26"/>
    </row>
    <row r="2906" spans="1:12">
      <c r="A2906" s="20" t="s">
        <v>1596</v>
      </c>
      <c r="E2906" s="21">
        <f>IF(D2906="?OLD","!!!","")</f>
        <v/>
      </c>
      <c r="F2906" s="22" t="str">
        <f>IF(OR(E2906="",E2906="!!!"),"",IF(NOT(ISNA(VLOOKUP(E2906,E$1:E2905,1,FALSE()))),"OLD",IF(AND(E2906&lt;&gt;"",E2906&lt;&gt;"!!!"),"NEW","")))</f>
        <v> </v>
      </c>
      <c r="G2906" s="23" t="str">
        <f>IF(OR(E2906="",E2906="!!!"),"",IF(OR(J2906=0,AND(J2906=1,K2906=1),AND(J2906=1,I2906="SBJ"),AND(J2906=1,I2906=0)),"?IN_FOCUS",IF(J2906&lt;=2,"?ACTIVATED",IF(J2906&lt;&gt;"","?FAMILIAR",IF(F2906="NEW",IF(ISNA(VLOOKUP(E2906,#REF!,1,FALSE())),"?TYPE_IDENTIFIABLE","?REFERENTIAL"),"_")))))</f>
        <v> </v>
      </c>
      <c r="H2906" s="24" t="str">
        <f>IF(J2906&lt;&gt;1,"",IF(I2906="SBJ","CB","?"))</f>
        <v> </v>
      </c>
      <c r="I2906" s="25" t="str">
        <f>IF(OR(E2906="",E2906="!!!",F2906="NEW"),"",INDEX(B2905:B$2,-1+SUMPRODUCT(MAX(ROW(E2905:E$2)*(E2906=E2905:E$2)))))</f>
        <v> </v>
      </c>
      <c r="J2906" s="25" t="str">
        <f>IF(OR(E2906="",E2906="!!!",F2906="NEW"),"",COUNTBLANK(OFFSET(A$1,,,SUMPRODUCT(MAX(ROW(E$2:E2906)*(E2906=E$2:E2906)))))-COUNTBLANK(OFFSET(A$1,,,SUMPRODUCT(MAX(ROW(E$1:E2905)*(E2=E$1:E2905))))))</f>
        <v> </v>
      </c>
      <c r="K2906" s="25" t="str">
        <f>IF(OR(E2906="",E2906="!!!",F2906="NEW"),"",INDEX(J$1:J2905,SUMPRODUCT(MAX(ROW(E$1:E2905)*(E2906=E$1:E2905)))))</f>
        <v> </v>
      </c>
      <c r="L2906" s="26"/>
    </row>
    <row r="2907" spans="1:12">
      <c r="A2907" s="20" t="s">
        <v>18</v>
      </c>
      <c r="E2907" s="21">
        <f>IF(D2907="?OLD","!!!","")</f>
        <v/>
      </c>
      <c r="F2907" s="22" t="str">
        <f>IF(OR(E2907="",E2907="!!!"),"",IF(NOT(ISNA(VLOOKUP(E2907,E$1:E2906,1,FALSE()))),"OLD",IF(AND(E2907&lt;&gt;"",E2907&lt;&gt;"!!!"),"NEW","")))</f>
        <v> </v>
      </c>
      <c r="G2907" s="23" t="str">
        <f>IF(OR(E2907="",E2907="!!!"),"",IF(OR(J2907=0,AND(J2907=1,K2907=1),AND(J2907=1,I2907="SBJ"),AND(J2907=1,I2907=0)),"?IN_FOCUS",IF(J2907&lt;=2,"?ACTIVATED",IF(J2907&lt;&gt;"","?FAMILIAR",IF(F2907="NEW",IF(ISNA(VLOOKUP(E2907,#REF!,1,FALSE())),"?TYPE_IDENTIFIABLE","?REFERENTIAL"),"_")))))</f>
        <v> </v>
      </c>
      <c r="H2907" s="24" t="str">
        <f>IF(J2907&lt;&gt;1,"",IF(I2907="SBJ","CB","?"))</f>
        <v> </v>
      </c>
      <c r="I2907" s="25" t="str">
        <f>IF(OR(E2907="",E2907="!!!",F2907="NEW"),"",INDEX(B2906:B$2,-1+SUMPRODUCT(MAX(ROW(E2906:E$2)*(E2907=E2906:E$2)))))</f>
        <v> </v>
      </c>
      <c r="J2907" s="25" t="str">
        <f>IF(OR(E2907="",E2907="!!!",F2907="NEW"),"",COUNTBLANK(OFFSET(A$1,,,SUMPRODUCT(MAX(ROW(E$2:E2907)*(E2907=E$2:E2907)))))-COUNTBLANK(OFFSET(A$1,,,SUMPRODUCT(MAX(ROW(E$1:E2906)*(E2=E$1:E2906))))))</f>
        <v> </v>
      </c>
      <c r="K2907" s="25" t="str">
        <f>IF(OR(E2907="",E2907="!!!",F2907="NEW"),"",INDEX(J$1:J2906,SUMPRODUCT(MAX(ROW(E$1:E2906)*(E2907=E$1:E2906)))))</f>
        <v> </v>
      </c>
      <c r="L2907" s="26"/>
    </row>
    <row r="2908" spans="1:12">
      <c r="A2908" s="20" t="s">
        <v>617</v>
      </c>
      <c r="E2908" s="21">
        <f>IF(D2908="?OLD","!!!","")</f>
        <v/>
      </c>
      <c r="F2908" s="22" t="str">
        <f>IF(OR(E2908="",E2908="!!!"),"",IF(NOT(ISNA(VLOOKUP(E2908,E$1:E2907,1,FALSE()))),"OLD",IF(AND(E2908&lt;&gt;"",E2908&lt;&gt;"!!!"),"NEW","")))</f>
        <v> </v>
      </c>
      <c r="G2908" s="23" t="str">
        <f>IF(OR(E2908="",E2908="!!!"),"",IF(OR(J2908=0,AND(J2908=1,K2908=1),AND(J2908=1,I2908="SBJ"),AND(J2908=1,I2908=0)),"?IN_FOCUS",IF(J2908&lt;=2,"?ACTIVATED",IF(J2908&lt;&gt;"","?FAMILIAR",IF(F2908="NEW",IF(ISNA(VLOOKUP(E2908,#REF!,1,FALSE())),"?TYPE_IDENTIFIABLE","?REFERENTIAL"),"_")))))</f>
        <v> </v>
      </c>
      <c r="H2908" s="24" t="str">
        <f>IF(J2908&lt;&gt;1,"",IF(I2908="SBJ","CB","?"))</f>
        <v> </v>
      </c>
      <c r="I2908" s="25" t="str">
        <f>IF(OR(E2908="",E2908="!!!",F2908="NEW"),"",INDEX(B2907:B$2,-1+SUMPRODUCT(MAX(ROW(E2907:E$2)*(E2908=E2907:E$2)))))</f>
        <v> </v>
      </c>
      <c r="J2908" s="25" t="str">
        <f>IF(OR(E2908="",E2908="!!!",F2908="NEW"),"",COUNTBLANK(OFFSET(A$1,,,SUMPRODUCT(MAX(ROW(E$2:E2908)*(E2908=E$2:E2908)))))-COUNTBLANK(OFFSET(A$1,,,SUMPRODUCT(MAX(ROW(E$1:E2907)*(E2=E$1:E2907))))))</f>
        <v> </v>
      </c>
      <c r="K2908" s="25" t="str">
        <f>IF(OR(E2908="",E2908="!!!",F2908="NEW"),"",INDEX(J$1:J2907,SUMPRODUCT(MAX(ROW(E$1:E2907)*(E2908=E$1:E2907)))))</f>
        <v> </v>
      </c>
      <c r="L2908" s="26"/>
    </row>
    <row r="2909" spans="1:12">
      <c r="A2909" s="20" t="s">
        <v>644</v>
      </c>
      <c r="E2909" s="21">
        <f>IF(D2909="?OLD","!!!","")</f>
        <v/>
      </c>
      <c r="F2909" s="22" t="str">
        <f>IF(OR(E2909="",E2909="!!!"),"",IF(NOT(ISNA(VLOOKUP(E2909,E$1:E2908,1,FALSE()))),"OLD",IF(AND(E2909&lt;&gt;"",E2909&lt;&gt;"!!!"),"NEW","")))</f>
        <v> </v>
      </c>
      <c r="G2909" s="23" t="str">
        <f>IF(OR(E2909="",E2909="!!!"),"",IF(OR(J2909=0,AND(J2909=1,K2909=1),AND(J2909=1,I2909="SBJ"),AND(J2909=1,I2909=0)),"?IN_FOCUS",IF(J2909&lt;=2,"?ACTIVATED",IF(J2909&lt;&gt;"","?FAMILIAR",IF(F2909="NEW",IF(ISNA(VLOOKUP(E2909,#REF!,1,FALSE())),"?TYPE_IDENTIFIABLE","?REFERENTIAL"),"_")))))</f>
        <v> </v>
      </c>
      <c r="H2909" s="24" t="str">
        <f>IF(J2909&lt;&gt;1,"",IF(I2909="SBJ","CB","?"))</f>
        <v> </v>
      </c>
      <c r="I2909" s="25" t="str">
        <f>IF(OR(E2909="",E2909="!!!",F2909="NEW"),"",INDEX(B2908:B$2,-1+SUMPRODUCT(MAX(ROW(E2908:E$2)*(E2909=E2908:E$2)))))</f>
        <v> </v>
      </c>
      <c r="J2909" s="25" t="str">
        <f>IF(OR(E2909="",E2909="!!!",F2909="NEW"),"",COUNTBLANK(OFFSET(A$1,,,SUMPRODUCT(MAX(ROW(E$2:E2909)*(E2909=E$2:E2909)))))-COUNTBLANK(OFFSET(A$1,,,SUMPRODUCT(MAX(ROW(E$1:E2908)*(E2=E$1:E2908))))))</f>
        <v> </v>
      </c>
      <c r="K2909" s="25" t="str">
        <f>IF(OR(E2909="",E2909="!!!",F2909="NEW"),"",INDEX(J$1:J2908,SUMPRODUCT(MAX(ROW(E$1:E2908)*(E2909=E$1:E2908)))))</f>
        <v> </v>
      </c>
      <c r="L2909" s="26"/>
    </row>
    <row r="2910" spans="1:12">
      <c r="A2910" s="20" t="s">
        <v>1006</v>
      </c>
      <c r="B2910" s="27" t="s">
        <v>668</v>
      </c>
      <c r="C2910" s="27" t="s">
        <v>614</v>
      </c>
      <c r="D2910" s="27" t="s">
        <v>608</v>
      </c>
      <c r="E2910" s="21">
        <f>IF(D2910="?OLD","!!!","")</f>
        <v/>
      </c>
      <c r="F2910" s="22" t="str">
        <f>IF(OR(E2910="",E2910="!!!"),"",IF(NOT(ISNA(VLOOKUP(E2910,E$1:E2909,1,FALSE()))),"OLD",IF(AND(E2910&lt;&gt;"",E2910&lt;&gt;"!!!"),"NEW","")))</f>
        <v> </v>
      </c>
      <c r="G2910" s="23" t="str">
        <f>IF(OR(E2910="",E2910="!!!"),"",IF(OR(J2910=0,AND(J2910=1,K2910=1),AND(J2910=1,I2910="SBJ"),AND(J2910=1,I2910=0)),"?IN_FOCUS",IF(J2910&lt;=2,"?ACTIVATED",IF(J2910&lt;&gt;"","?FAMILIAR",IF(F2910="NEW",IF(ISNA(VLOOKUP(E2910,#REF!,1,FALSE())),"?TYPE_IDENTIFIABLE","?REFERENTIAL"),"_")))))</f>
        <v> </v>
      </c>
      <c r="H2910" s="24" t="str">
        <f>IF(J2910&lt;&gt;1,"",IF(I2910="SBJ","CB","?"))</f>
        <v> </v>
      </c>
      <c r="I2910" s="25" t="str">
        <f>IF(OR(E2910="",E2910="!!!",F2910="NEW"),"",INDEX(B2909:B$2,-1+SUMPRODUCT(MAX(ROW(E2909:E$2)*(E2910=E2909:E$2)))))</f>
        <v> </v>
      </c>
      <c r="J2910" s="25" t="str">
        <f>IF(OR(E2910="",E2910="!!!",F2910="NEW"),"",COUNTBLANK(OFFSET(A$1,,,SUMPRODUCT(MAX(ROW(E$2:E2910)*(E2910=E$2:E2910)))))-COUNTBLANK(OFFSET(A$1,,,SUMPRODUCT(MAX(ROW(E$1:E2909)*(E2=E$1:E2909))))))</f>
        <v> </v>
      </c>
      <c r="K2910" s="25" t="str">
        <f>IF(OR(E2910="",E2910="!!!",F2910="NEW"),"",INDEX(J$1:J2909,SUMPRODUCT(MAX(ROW(E$1:E2909)*(E2910=E$1:E2909)))))</f>
        <v> </v>
      </c>
      <c r="L2910" s="26"/>
    </row>
    <row r="2911" spans="1:12">
      <c r="A2911" s="20" t="s">
        <v>737</v>
      </c>
      <c r="E2911" s="21">
        <f>IF(D2911="?OLD","!!!","")</f>
        <v/>
      </c>
      <c r="F2911" s="22" t="str">
        <f>IF(OR(E2911="",E2911="!!!"),"",IF(NOT(ISNA(VLOOKUP(E2911,E$1:E2910,1,FALSE()))),"OLD",IF(AND(E2911&lt;&gt;"",E2911&lt;&gt;"!!!"),"NEW","")))</f>
        <v> </v>
      </c>
      <c r="G2911" s="23" t="str">
        <f>IF(OR(E2911="",E2911="!!!"),"",IF(OR(J2911=0,AND(J2911=1,K2911=1),AND(J2911=1,I2911="SBJ"),AND(J2911=1,I2911=0)),"?IN_FOCUS",IF(J2911&lt;=2,"?ACTIVATED",IF(J2911&lt;&gt;"","?FAMILIAR",IF(F2911="NEW",IF(ISNA(VLOOKUP(E2911,#REF!,1,FALSE())),"?TYPE_IDENTIFIABLE","?REFERENTIAL"),"_")))))</f>
        <v> </v>
      </c>
      <c r="H2911" s="24" t="str">
        <f>IF(J2911&lt;&gt;1,"",IF(I2911="SBJ","CB","?"))</f>
        <v> </v>
      </c>
      <c r="I2911" s="25" t="str">
        <f>IF(OR(E2911="",E2911="!!!",F2911="NEW"),"",INDEX(B2910:B$2,-1+SUMPRODUCT(MAX(ROW(E2910:E$2)*(E2911=E2910:E$2)))))</f>
        <v> </v>
      </c>
      <c r="J2911" s="25" t="str">
        <f>IF(OR(E2911="",E2911="!!!",F2911="NEW"),"",COUNTBLANK(OFFSET(A$1,,,SUMPRODUCT(MAX(ROW(E$2:E2911)*(E2911=E$2:E2911)))))-COUNTBLANK(OFFSET(A$1,,,SUMPRODUCT(MAX(ROW(E$1:E2910)*(E2=E$1:E2910))))))</f>
        <v> </v>
      </c>
      <c r="K2911" s="25" t="str">
        <f>IF(OR(E2911="",E2911="!!!",F2911="NEW"),"",INDEX(J$1:J2910,SUMPRODUCT(MAX(ROW(E$1:E2910)*(E2911=E$1:E2910)))))</f>
        <v> </v>
      </c>
      <c r="L2911" s="26"/>
    </row>
    <row r="2912" spans="1:12">
      <c r="A2912" s="20" t="s">
        <v>1597</v>
      </c>
      <c r="E2912" s="21">
        <f>IF(D2912="?OLD","!!!","")</f>
        <v/>
      </c>
      <c r="F2912" s="22" t="str">
        <f>IF(OR(E2912="",E2912="!!!"),"",IF(NOT(ISNA(VLOOKUP(E2912,E$1:E2911,1,FALSE()))),"OLD",IF(AND(E2912&lt;&gt;"",E2912&lt;&gt;"!!!"),"NEW","")))</f>
        <v> </v>
      </c>
      <c r="G2912" s="23" t="str">
        <f>IF(OR(E2912="",E2912="!!!"),"",IF(OR(J2912=0,AND(J2912=1,K2912=1),AND(J2912=1,I2912="SBJ"),AND(J2912=1,I2912=0)),"?IN_FOCUS",IF(J2912&lt;=2,"?ACTIVATED",IF(J2912&lt;&gt;"","?FAMILIAR",IF(F2912="NEW",IF(ISNA(VLOOKUP(E2912,#REF!,1,FALSE())),"?TYPE_IDENTIFIABLE","?REFERENTIAL"),"_")))))</f>
        <v> </v>
      </c>
      <c r="H2912" s="24" t="str">
        <f>IF(J2912&lt;&gt;1,"",IF(I2912="SBJ","CB","?"))</f>
        <v> </v>
      </c>
      <c r="I2912" s="25" t="str">
        <f>IF(OR(E2912="",E2912="!!!",F2912="NEW"),"",INDEX(B2911:B$2,-1+SUMPRODUCT(MAX(ROW(E2911:E$2)*(E2912=E2911:E$2)))))</f>
        <v> </v>
      </c>
      <c r="J2912" s="25" t="str">
        <f>IF(OR(E2912="",E2912="!!!",F2912="NEW"),"",COUNTBLANK(OFFSET(A$1,,,SUMPRODUCT(MAX(ROW(E$2:E2912)*(E2912=E$2:E2912)))))-COUNTBLANK(OFFSET(A$1,,,SUMPRODUCT(MAX(ROW(E$1:E2911)*(E2=E$1:E2911))))))</f>
        <v> </v>
      </c>
      <c r="K2912" s="25" t="str">
        <f>IF(OR(E2912="",E2912="!!!",F2912="NEW"),"",INDEX(J$1:J2911,SUMPRODUCT(MAX(ROW(E$1:E2911)*(E2912=E$1:E2911)))))</f>
        <v> </v>
      </c>
      <c r="L2912" s="26"/>
    </row>
    <row r="2913" spans="1:12">
      <c r="A2913" s="20" t="s">
        <v>707</v>
      </c>
      <c r="E2913" s="21">
        <f>IF(D2913="?OLD","!!!","")</f>
        <v/>
      </c>
      <c r="F2913" s="22" t="str">
        <f>IF(OR(E2913="",E2913="!!!"),"",IF(NOT(ISNA(VLOOKUP(E2913,E$1:E2912,1,FALSE()))),"OLD",IF(AND(E2913&lt;&gt;"",E2913&lt;&gt;"!!!"),"NEW","")))</f>
        <v> </v>
      </c>
      <c r="G2913" s="23" t="str">
        <f>IF(OR(E2913="",E2913="!!!"),"",IF(OR(J2913=0,AND(J2913=1,K2913=1),AND(J2913=1,I2913="SBJ"),AND(J2913=1,I2913=0)),"?IN_FOCUS",IF(J2913&lt;=2,"?ACTIVATED",IF(J2913&lt;&gt;"","?FAMILIAR",IF(F2913="NEW",IF(ISNA(VLOOKUP(E2913,#REF!,1,FALSE())),"?TYPE_IDENTIFIABLE","?REFERENTIAL"),"_")))))</f>
        <v> </v>
      </c>
      <c r="H2913" s="24" t="str">
        <f>IF(J2913&lt;&gt;1,"",IF(I2913="SBJ","CB","?"))</f>
        <v> </v>
      </c>
      <c r="I2913" s="25" t="str">
        <f>IF(OR(E2913="",E2913="!!!",F2913="NEW"),"",INDEX(B2912:B$2,-1+SUMPRODUCT(MAX(ROW(E2912:E$2)*(E2913=E2912:E$2)))))</f>
        <v> </v>
      </c>
      <c r="J2913" s="25" t="str">
        <f>IF(OR(E2913="",E2913="!!!",F2913="NEW"),"",COUNTBLANK(OFFSET(A$1,,,SUMPRODUCT(MAX(ROW(E$2:E2913)*(E2913=E$2:E2913)))))-COUNTBLANK(OFFSET(A$1,,,SUMPRODUCT(MAX(ROW(E$1:E2912)*(E2=E$1:E2912))))))</f>
        <v> </v>
      </c>
      <c r="K2913" s="25" t="str">
        <f>IF(OR(E2913="",E2913="!!!",F2913="NEW"),"",INDEX(J$1:J2912,SUMPRODUCT(MAX(ROW(E$1:E2912)*(E2913=E$1:E2912)))))</f>
        <v> </v>
      </c>
      <c r="L2913" s="26"/>
    </row>
    <row r="2914" spans="1:12">
      <c r="A2914" s="20" t="s">
        <v>603</v>
      </c>
      <c r="E2914" s="21">
        <f>IF(D2914="?OLD","!!!","")</f>
        <v/>
      </c>
      <c r="F2914" s="22" t="str">
        <f>IF(OR(E2914="",E2914="!!!"),"",IF(NOT(ISNA(VLOOKUP(E2914,E$1:E2913,1,FALSE()))),"OLD",IF(AND(E2914&lt;&gt;"",E2914&lt;&gt;"!!!"),"NEW","")))</f>
        <v> </v>
      </c>
      <c r="G2914" s="23" t="str">
        <f>IF(OR(E2914="",E2914="!!!"),"",IF(OR(J2914=0,AND(J2914=1,K2914=1),AND(J2914=1,I2914="SBJ"),AND(J2914=1,I2914=0)),"?IN_FOCUS",IF(J2914&lt;=2,"?ACTIVATED",IF(J2914&lt;&gt;"","?FAMILIAR",IF(F2914="NEW",IF(ISNA(VLOOKUP(E2914,#REF!,1,FALSE())),"?TYPE_IDENTIFIABLE","?REFERENTIAL"),"_")))))</f>
        <v> </v>
      </c>
      <c r="H2914" s="24" t="str">
        <f>IF(J2914&lt;&gt;1,"",IF(I2914="SBJ","CB","?"))</f>
        <v> </v>
      </c>
      <c r="I2914" s="25" t="str">
        <f>IF(OR(E2914="",E2914="!!!",F2914="NEW"),"",INDEX(B2913:B$2,-1+SUMPRODUCT(MAX(ROW(E2913:E$2)*(E2914=E2913:E$2)))))</f>
        <v> </v>
      </c>
      <c r="J2914" s="25" t="str">
        <f>IF(OR(E2914="",E2914="!!!",F2914="NEW"),"",COUNTBLANK(OFFSET(A$1,,,SUMPRODUCT(MAX(ROW(E$2:E2914)*(E2914=E$2:E2914)))))-COUNTBLANK(OFFSET(A$1,,,SUMPRODUCT(MAX(ROW(E$1:E2913)*(E2=E$1:E2913))))))</f>
        <v> </v>
      </c>
      <c r="K2914" s="25" t="str">
        <f>IF(OR(E2914="",E2914="!!!",F2914="NEW"),"",INDEX(J$1:J2913,SUMPRODUCT(MAX(ROW(E$1:E2913)*(E2914=E$1:E2913)))))</f>
        <v> </v>
      </c>
      <c r="L2914" s="26"/>
    </row>
    <row r="2915" spans="1:12">
      <c r="A2915" s="20" t="s">
        <v>893</v>
      </c>
      <c r="B2915" s="27" t="s">
        <v>625</v>
      </c>
      <c r="C2915" s="27" t="s">
        <v>607</v>
      </c>
      <c r="D2915" s="27" t="s">
        <v>608</v>
      </c>
      <c r="E2915" s="21">
        <f>IF(D2915="?OLD","!!!","")</f>
        <v/>
      </c>
      <c r="F2915" s="22" t="str">
        <f>IF(OR(E2915="",E2915="!!!"),"",IF(NOT(ISNA(VLOOKUP(E2915,E$1:E2914,1,FALSE()))),"OLD",IF(AND(E2915&lt;&gt;"",E2915&lt;&gt;"!!!"),"NEW","")))</f>
        <v> </v>
      </c>
      <c r="G2915" s="23" t="str">
        <f>IF(OR(E2915="",E2915="!!!"),"",IF(OR(J2915=0,AND(J2915=1,K2915=1),AND(J2915=1,I2915="SBJ"),AND(J2915=1,I2915=0)),"?IN_FOCUS",IF(J2915&lt;=2,"?ACTIVATED",IF(J2915&lt;&gt;"","?FAMILIAR",IF(F2915="NEW",IF(ISNA(VLOOKUP(E2915,#REF!,1,FALSE())),"?TYPE_IDENTIFIABLE","?REFERENTIAL"),"_")))))</f>
        <v> </v>
      </c>
      <c r="H2915" s="24" t="str">
        <f>IF(J2915&lt;&gt;1,"",IF(I2915="SBJ","CB","?"))</f>
        <v> </v>
      </c>
      <c r="I2915" s="25" t="str">
        <f>IF(OR(E2915="",E2915="!!!",F2915="NEW"),"",INDEX(B2914:B$2,-1+SUMPRODUCT(MAX(ROW(E2914:E$2)*(E2915=E2914:E$2)))))</f>
        <v> </v>
      </c>
      <c r="J2915" s="25" t="str">
        <f>IF(OR(E2915="",E2915="!!!",F2915="NEW"),"",COUNTBLANK(OFFSET(A$1,,,SUMPRODUCT(MAX(ROW(E$2:E2915)*(E2915=E$2:E2915)))))-COUNTBLANK(OFFSET(A$1,,,SUMPRODUCT(MAX(ROW(E$1:E2914)*(E2=E$1:E2914))))))</f>
        <v> </v>
      </c>
      <c r="K2915" s="25" t="str">
        <f>IF(OR(E2915="",E2915="!!!",F2915="NEW"),"",INDEX(J$1:J2914,SUMPRODUCT(MAX(ROW(E$1:E2914)*(E2915=E$1:E2914)))))</f>
        <v> </v>
      </c>
      <c r="L2915" s="26"/>
    </row>
    <row r="2916" spans="1:12">
      <c r="A2916" s="20" t="s">
        <v>609</v>
      </c>
      <c r="E2916" s="21">
        <f>IF(D2916="?OLD","!!!","")</f>
        <v/>
      </c>
      <c r="F2916" s="22" t="str">
        <f>IF(OR(E2916="",E2916="!!!"),"",IF(NOT(ISNA(VLOOKUP(E2916,E$1:E2915,1,FALSE()))),"OLD",IF(AND(E2916&lt;&gt;"",E2916&lt;&gt;"!!!"),"NEW","")))</f>
        <v> </v>
      </c>
      <c r="G2916" s="23" t="str">
        <f>IF(OR(E2916="",E2916="!!!"),"",IF(OR(J2916=0,AND(J2916=1,K2916=1),AND(J2916=1,I2916="SBJ"),AND(J2916=1,I2916=0)),"?IN_FOCUS",IF(J2916&lt;=2,"?ACTIVATED",IF(J2916&lt;&gt;"","?FAMILIAR",IF(F2916="NEW",IF(ISNA(VLOOKUP(E2916,#REF!,1,FALSE())),"?TYPE_IDENTIFIABLE","?REFERENTIAL"),"_")))))</f>
        <v> </v>
      </c>
      <c r="H2916" s="24" t="str">
        <f>IF(J2916&lt;&gt;1,"",IF(I2916="SBJ","CB","?"))</f>
        <v> </v>
      </c>
      <c r="I2916" s="25" t="str">
        <f>IF(OR(E2916="",E2916="!!!",F2916="NEW"),"",INDEX(B2915:B$2,-1+SUMPRODUCT(MAX(ROW(E2915:E$2)*(E2916=E2915:E$2)))))</f>
        <v> </v>
      </c>
      <c r="J2916" s="25" t="str">
        <f>IF(OR(E2916="",E2916="!!!",F2916="NEW"),"",COUNTBLANK(OFFSET(A$1,,,SUMPRODUCT(MAX(ROW(E$2:E2916)*(E2916=E$2:E2916)))))-COUNTBLANK(OFFSET(A$1,,,SUMPRODUCT(MAX(ROW(E$1:E2915)*(E2=E$1:E2915))))))</f>
        <v> </v>
      </c>
      <c r="K2916" s="25" t="str">
        <f>IF(OR(E2916="",E2916="!!!",F2916="NEW"),"",INDEX(J$1:J2915,SUMPRODUCT(MAX(ROW(E$1:E2915)*(E2916=E$1:E2915)))))</f>
        <v> </v>
      </c>
      <c r="L2916" s="26"/>
    </row>
    <row r="2917" spans="1:12">
      <c r="A2917" s="20" t="s">
        <v>621</v>
      </c>
      <c r="E2917" s="21">
        <f>IF(D2917="?OLD","!!!","")</f>
        <v/>
      </c>
      <c r="F2917" s="22" t="str">
        <f>IF(OR(E2917="",E2917="!!!"),"",IF(NOT(ISNA(VLOOKUP(E2917,E$1:E2916,1,FALSE()))),"OLD",IF(AND(E2917&lt;&gt;"",E2917&lt;&gt;"!!!"),"NEW","")))</f>
        <v> </v>
      </c>
      <c r="G2917" s="23" t="str">
        <f>IF(OR(E2917="",E2917="!!!"),"",IF(OR(J2917=0,AND(J2917=1,K2917=1),AND(J2917=1,I2917="SBJ"),AND(J2917=1,I2917=0)),"?IN_FOCUS",IF(J2917&lt;=2,"?ACTIVATED",IF(J2917&lt;&gt;"","?FAMILIAR",IF(F2917="NEW",IF(ISNA(VLOOKUP(E2917,#REF!,1,FALSE())),"?TYPE_IDENTIFIABLE","?REFERENTIAL"),"_")))))</f>
        <v> </v>
      </c>
      <c r="H2917" s="24" t="str">
        <f>IF(J2917&lt;&gt;1,"",IF(I2917="SBJ","CB","?"))</f>
        <v> </v>
      </c>
      <c r="I2917" s="25" t="str">
        <f>IF(OR(E2917="",E2917="!!!",F2917="NEW"),"",INDEX(B2916:B$2,-1+SUMPRODUCT(MAX(ROW(E2916:E$2)*(E2917=E2916:E$2)))))</f>
        <v> </v>
      </c>
      <c r="J2917" s="25" t="str">
        <f>IF(OR(E2917="",E2917="!!!",F2917="NEW"),"",COUNTBLANK(OFFSET(A$1,,,SUMPRODUCT(MAX(ROW(E$2:E2917)*(E2917=E$2:E2917)))))-COUNTBLANK(OFFSET(A$1,,,SUMPRODUCT(MAX(ROW(E$1:E2916)*(E2=E$1:E2916))))))</f>
        <v> </v>
      </c>
      <c r="K2917" s="25" t="str">
        <f>IF(OR(E2917="",E2917="!!!",F2917="NEW"),"",INDEX(J$1:J2916,SUMPRODUCT(MAX(ROW(E$1:E2916)*(E2917=E$1:E2916)))))</f>
        <v> </v>
      </c>
      <c r="L2917" s="26"/>
    </row>
    <row r="2918" spans="1:12">
      <c r="A2918" s="20" t="s">
        <v>694</v>
      </c>
      <c r="B2918" s="27" t="s">
        <v>664</v>
      </c>
      <c r="C2918" s="27" t="s">
        <v>631</v>
      </c>
      <c r="D2918" s="27" t="s">
        <v>608</v>
      </c>
      <c r="E2918" s="21">
        <f>IF(D2918="?OLD","!!!","")</f>
        <v/>
      </c>
      <c r="F2918" s="22" t="str">
        <f>IF(OR(E2918="",E2918="!!!"),"",IF(NOT(ISNA(VLOOKUP(E2918,E$1:E2917,1,FALSE()))),"OLD",IF(AND(E2918&lt;&gt;"",E2918&lt;&gt;"!!!"),"NEW","")))</f>
        <v> </v>
      </c>
      <c r="G2918" s="23" t="str">
        <f>IF(OR(E2918="",E2918="!!!"),"",IF(OR(J2918=0,AND(J2918=1,K2918=1),AND(J2918=1,I2918="SBJ"),AND(J2918=1,I2918=0)),"?IN_FOCUS",IF(J2918&lt;=2,"?ACTIVATED",IF(J2918&lt;&gt;"","?FAMILIAR",IF(F2918="NEW",IF(ISNA(VLOOKUP(E2918,#REF!,1,FALSE())),"?TYPE_IDENTIFIABLE","?REFERENTIAL"),"_")))))</f>
        <v> </v>
      </c>
      <c r="H2918" s="24" t="str">
        <f>IF(J2918&lt;&gt;1,"",IF(I2918="SBJ","CB","?"))</f>
        <v> </v>
      </c>
      <c r="I2918" s="25" t="str">
        <f>IF(OR(E2918="",E2918="!!!",F2918="NEW"),"",INDEX(B2917:B$2,-1+SUMPRODUCT(MAX(ROW(E2917:E$2)*(E2918=E2917:E$2)))))</f>
        <v> </v>
      </c>
      <c r="J2918" s="25" t="str">
        <f>IF(OR(E2918="",E2918="!!!",F2918="NEW"),"",COUNTBLANK(OFFSET(A$1,,,SUMPRODUCT(MAX(ROW(E$2:E2918)*(E2918=E$2:E2918)))))-COUNTBLANK(OFFSET(A$1,,,SUMPRODUCT(MAX(ROW(E$1:E2917)*(E2=E$1:E2917))))))</f>
        <v> </v>
      </c>
      <c r="K2918" s="25" t="str">
        <f>IF(OR(E2918="",E2918="!!!",F2918="NEW"),"",INDEX(J$1:J2917,SUMPRODUCT(MAX(ROW(E$1:E2917)*(E2918=E$1:E2917)))))</f>
        <v> </v>
      </c>
      <c r="L2918" s="26"/>
    </row>
    <row r="2919" spans="1:12">
      <c r="A2919" s="20" t="s">
        <v>24</v>
      </c>
      <c r="E2919" s="21">
        <f>IF(D2919="?OLD","!!!","")</f>
        <v/>
      </c>
      <c r="F2919" s="22" t="str">
        <f>IF(OR(E2919="",E2919="!!!"),"",IF(NOT(ISNA(VLOOKUP(E2919,E$1:E2918,1,FALSE()))),"OLD",IF(AND(E2919&lt;&gt;"",E2919&lt;&gt;"!!!"),"NEW","")))</f>
        <v> </v>
      </c>
      <c r="G2919" s="23" t="str">
        <f>IF(OR(E2919="",E2919="!!!"),"",IF(OR(J2919=0,AND(J2919=1,K2919=1),AND(J2919=1,I2919="SBJ"),AND(J2919=1,I2919=0)),"?IN_FOCUS",IF(J2919&lt;=2,"?ACTIVATED",IF(J2919&lt;&gt;"","?FAMILIAR",IF(F2919="NEW",IF(ISNA(VLOOKUP(E2919,#REF!,1,FALSE())),"?TYPE_IDENTIFIABLE","?REFERENTIAL"),"_")))))</f>
        <v> </v>
      </c>
      <c r="H2919" s="24" t="str">
        <f>IF(J2919&lt;&gt;1,"",IF(I2919="SBJ","CB","?"))</f>
        <v> </v>
      </c>
      <c r="I2919" s="25" t="str">
        <f>IF(OR(E2919="",E2919="!!!",F2919="NEW"),"",INDEX(B2918:B$2,-1+SUMPRODUCT(MAX(ROW(E2918:E$2)*(E2919=E2918:E$2)))))</f>
        <v> </v>
      </c>
      <c r="J2919" s="25" t="str">
        <f>IF(OR(E2919="",E2919="!!!",F2919="NEW"),"",COUNTBLANK(OFFSET(A$1,,,SUMPRODUCT(MAX(ROW(E$2:E2919)*(E2919=E$2:E2919)))))-COUNTBLANK(OFFSET(A$1,,,SUMPRODUCT(MAX(ROW(E$1:E2918)*(E2=E$1:E2918))))))</f>
        <v> </v>
      </c>
      <c r="K2919" s="25" t="str">
        <f>IF(OR(E2919="",E2919="!!!",F2919="NEW"),"",INDEX(J$1:J2918,SUMPRODUCT(MAX(ROW(E$1:E2918)*(E2919=E$1:E2918)))))</f>
        <v> </v>
      </c>
      <c r="L2919" s="26"/>
    </row>
    <row r="2920" spans="1:12">
      <c r="A2920" s="20" t="s">
        <v>617</v>
      </c>
      <c r="E2920" s="21">
        <f>IF(D2920="?OLD","!!!","")</f>
        <v/>
      </c>
      <c r="F2920" s="22" t="str">
        <f>IF(OR(E2920="",E2920="!!!"),"",IF(NOT(ISNA(VLOOKUP(E2920,E$1:E2919,1,FALSE()))),"OLD",IF(AND(E2920&lt;&gt;"",E2920&lt;&gt;"!!!"),"NEW","")))</f>
        <v> </v>
      </c>
      <c r="G2920" s="23" t="str">
        <f>IF(OR(E2920="",E2920="!!!"),"",IF(OR(J2920=0,AND(J2920=1,K2920=1),AND(J2920=1,I2920="SBJ"),AND(J2920=1,I2920=0)),"?IN_FOCUS",IF(J2920&lt;=2,"?ACTIVATED",IF(J2920&lt;&gt;"","?FAMILIAR",IF(F2920="NEW",IF(ISNA(VLOOKUP(E2920,#REF!,1,FALSE())),"?TYPE_IDENTIFIABLE","?REFERENTIAL"),"_")))))</f>
        <v> </v>
      </c>
      <c r="H2920" s="24" t="str">
        <f>IF(J2920&lt;&gt;1,"",IF(I2920="SBJ","CB","?"))</f>
        <v> </v>
      </c>
      <c r="I2920" s="25" t="str">
        <f>IF(OR(E2920="",E2920="!!!",F2920="NEW"),"",INDEX(B2919:B$2,-1+SUMPRODUCT(MAX(ROW(E2919:E$2)*(E2920=E2919:E$2)))))</f>
        <v> </v>
      </c>
      <c r="J2920" s="25" t="str">
        <f>IF(OR(E2920="",E2920="!!!",F2920="NEW"),"",COUNTBLANK(OFFSET(A$1,,,SUMPRODUCT(MAX(ROW(E$2:E2920)*(E2920=E$2:E2920)))))-COUNTBLANK(OFFSET(A$1,,,SUMPRODUCT(MAX(ROW(E$1:E2919)*(E2=E$1:E2919))))))</f>
        <v> </v>
      </c>
      <c r="K2920" s="25" t="str">
        <f>IF(OR(E2920="",E2920="!!!",F2920="NEW"),"",INDEX(J$1:J2919,SUMPRODUCT(MAX(ROW(E$1:E2919)*(E2920=E$1:E2919)))))</f>
        <v> </v>
      </c>
      <c r="L2920" s="26"/>
    </row>
    <row r="2921" spans="1:12">
      <c r="A2921" s="20" t="s">
        <v>77</v>
      </c>
      <c r="E2921" s="21">
        <f>IF(D2921="?OLD","!!!","")</f>
        <v/>
      </c>
      <c r="F2921" s="22" t="str">
        <f>IF(OR(E2921="",E2921="!!!"),"",IF(NOT(ISNA(VLOOKUP(E2921,E$1:E2920,1,FALSE()))),"OLD",IF(AND(E2921&lt;&gt;"",E2921&lt;&gt;"!!!"),"NEW","")))</f>
        <v> </v>
      </c>
      <c r="G2921" s="23" t="str">
        <f>IF(OR(E2921="",E2921="!!!"),"",IF(OR(J2921=0,AND(J2921=1,K2921=1),AND(J2921=1,I2921="SBJ"),AND(J2921=1,I2921=0)),"?IN_FOCUS",IF(J2921&lt;=2,"?ACTIVATED",IF(J2921&lt;&gt;"","?FAMILIAR",IF(F2921="NEW",IF(ISNA(VLOOKUP(E2921,#REF!,1,FALSE())),"?TYPE_IDENTIFIABLE","?REFERENTIAL"),"_")))))</f>
        <v> </v>
      </c>
      <c r="H2921" s="24" t="str">
        <f>IF(J2921&lt;&gt;1,"",IF(I2921="SBJ","CB","?"))</f>
        <v> </v>
      </c>
      <c r="I2921" s="25" t="str">
        <f>IF(OR(E2921="",E2921="!!!",F2921="NEW"),"",INDEX(B2920:B$2,-1+SUMPRODUCT(MAX(ROW(E2920:E$2)*(E2921=E2920:E$2)))))</f>
        <v> </v>
      </c>
      <c r="J2921" s="25" t="str">
        <f>IF(OR(E2921="",E2921="!!!",F2921="NEW"),"",COUNTBLANK(OFFSET(A$1,,,SUMPRODUCT(MAX(ROW(E$2:E2921)*(E2921=E$2:E2921)))))-COUNTBLANK(OFFSET(A$1,,,SUMPRODUCT(MAX(ROW(E$1:E2920)*(E2=E$1:E2920))))))</f>
        <v> </v>
      </c>
      <c r="K2921" s="25" t="str">
        <f>IF(OR(E2921="",E2921="!!!",F2921="NEW"),"",INDEX(J$1:J2920,SUMPRODUCT(MAX(ROW(E$1:E2920)*(E2921=E$1:E2920)))))</f>
        <v> </v>
      </c>
      <c r="L2921" s="26"/>
    </row>
    <row r="2922" spans="1:12">
      <c r="A2922" s="20" t="s">
        <v>651</v>
      </c>
      <c r="B2922" s="27" t="s">
        <v>619</v>
      </c>
      <c r="C2922" s="27" t="s">
        <v>652</v>
      </c>
      <c r="D2922" s="27" t="s">
        <v>608</v>
      </c>
      <c r="E2922" s="21">
        <f>IF(D2922="?OLD","!!!","")</f>
        <v/>
      </c>
      <c r="F2922" s="22" t="str">
        <f>IF(OR(E2922="",E2922="!!!"),"",IF(NOT(ISNA(VLOOKUP(E2922,E$1:E2921,1,FALSE()))),"OLD",IF(AND(E2922&lt;&gt;"",E2922&lt;&gt;"!!!"),"NEW","")))</f>
        <v> </v>
      </c>
      <c r="G2922" s="23" t="str">
        <f>IF(OR(E2922="",E2922="!!!"),"",IF(OR(J2922=0,AND(J2922=1,K2922=1),AND(J2922=1,I2922="SBJ"),AND(J2922=1,I2922=0)),"?IN_FOCUS",IF(J2922&lt;=2,"?ACTIVATED",IF(J2922&lt;&gt;"","?FAMILIAR",IF(F2922="NEW",IF(ISNA(VLOOKUP(E2922,#REF!,1,FALSE())),"?TYPE_IDENTIFIABLE","?REFERENTIAL"),"_")))))</f>
        <v> </v>
      </c>
      <c r="H2922" s="24" t="str">
        <f>IF(J2922&lt;&gt;1,"",IF(I2922="SBJ","CB","?"))</f>
        <v> </v>
      </c>
      <c r="I2922" s="25" t="str">
        <f>IF(OR(E2922="",E2922="!!!",F2922="NEW"),"",INDEX(B2921:B$2,-1+SUMPRODUCT(MAX(ROW(E2921:E$2)*(E2922=E2921:E$2)))))</f>
        <v> </v>
      </c>
      <c r="J2922" s="25" t="str">
        <f>IF(OR(E2922="",E2922="!!!",F2922="NEW"),"",COUNTBLANK(OFFSET(A$1,,,SUMPRODUCT(MAX(ROW(E$2:E2922)*(E2922=E$2:E2922)))))-COUNTBLANK(OFFSET(A$1,,,SUMPRODUCT(MAX(ROW(E$1:E2921)*(E2=E$1:E2921))))))</f>
        <v> </v>
      </c>
      <c r="K2922" s="25" t="str">
        <f>IF(OR(E2922="",E2922="!!!",F2922="NEW"),"",INDEX(J$1:J2921,SUMPRODUCT(MAX(ROW(E$1:E2921)*(E2922=E$1:E2921)))))</f>
        <v> </v>
      </c>
      <c r="L2922" s="26"/>
    </row>
    <row r="2923" spans="1:12">
      <c r="A2923" s="20" t="s">
        <v>1598</v>
      </c>
      <c r="B2923" s="27" t="s">
        <v>657</v>
      </c>
      <c r="C2923" s="27" t="s">
        <v>622</v>
      </c>
      <c r="E2923" s="21">
        <f>IF(D2923="?OLD","!!!","")</f>
        <v/>
      </c>
      <c r="F2923" s="22" t="str">
        <f>IF(OR(E2923="",E2923="!!!"),"",IF(NOT(ISNA(VLOOKUP(E2923,E$1:E2922,1,FALSE()))),"OLD",IF(AND(E2923&lt;&gt;"",E2923&lt;&gt;"!!!"),"NEW","")))</f>
        <v> </v>
      </c>
      <c r="G2923" s="23" t="str">
        <f>IF(OR(E2923="",E2923="!!!"),"",IF(OR(J2923=0,AND(J2923=1,K2923=1),AND(J2923=1,I2923="SBJ"),AND(J2923=1,I2923=0)),"?IN_FOCUS",IF(J2923&lt;=2,"?ACTIVATED",IF(J2923&lt;&gt;"","?FAMILIAR",IF(F2923="NEW",IF(ISNA(VLOOKUP(E2923,#REF!,1,FALSE())),"?TYPE_IDENTIFIABLE","?REFERENTIAL"),"_")))))</f>
        <v> </v>
      </c>
      <c r="H2923" s="24" t="str">
        <f>IF(J2923&lt;&gt;1,"",IF(I2923="SBJ","CB","?"))</f>
        <v> </v>
      </c>
      <c r="I2923" s="25" t="str">
        <f>IF(OR(E2923="",E2923="!!!",F2923="NEW"),"",INDEX(B2922:B$2,-1+SUMPRODUCT(MAX(ROW(E2922:E$2)*(E2923=E2922:E$2)))))</f>
        <v> </v>
      </c>
      <c r="J2923" s="25" t="str">
        <f>IF(OR(E2923="",E2923="!!!",F2923="NEW"),"",COUNTBLANK(OFFSET(A$1,,,SUMPRODUCT(MAX(ROW(E$2:E2923)*(E2923=E$2:E2923)))))-COUNTBLANK(OFFSET(A$1,,,SUMPRODUCT(MAX(ROW(E$1:E2922)*(E2=E$1:E2922))))))</f>
        <v> </v>
      </c>
      <c r="K2923" s="25" t="str">
        <f>IF(OR(E2923="",E2923="!!!",F2923="NEW"),"",INDEX(J$1:J2922,SUMPRODUCT(MAX(ROW(E$1:E2922)*(E2923=E$1:E2922)))))</f>
        <v> </v>
      </c>
      <c r="L2923" s="26"/>
    </row>
    <row r="2924" spans="1:12">
      <c r="A2924" s="20" t="s">
        <v>617</v>
      </c>
      <c r="E2924" s="21">
        <f>IF(D2924="?OLD","!!!","")</f>
        <v/>
      </c>
      <c r="F2924" s="22" t="str">
        <f>IF(OR(E2924="",E2924="!!!"),"",IF(NOT(ISNA(VLOOKUP(E2924,E$1:E2923,1,FALSE()))),"OLD",IF(AND(E2924&lt;&gt;"",E2924&lt;&gt;"!!!"),"NEW","")))</f>
        <v> </v>
      </c>
      <c r="G2924" s="23" t="str">
        <f>IF(OR(E2924="",E2924="!!!"),"",IF(OR(J2924=0,AND(J2924=1,K2924=1),AND(J2924=1,I2924="SBJ"),AND(J2924=1,I2924=0)),"?IN_FOCUS",IF(J2924&lt;=2,"?ACTIVATED",IF(J2924&lt;&gt;"","?FAMILIAR",IF(F2924="NEW",IF(ISNA(VLOOKUP(E2924,#REF!,1,FALSE())),"?TYPE_IDENTIFIABLE","?REFERENTIAL"),"_")))))</f>
        <v> </v>
      </c>
      <c r="H2924" s="24" t="str">
        <f>IF(J2924&lt;&gt;1,"",IF(I2924="SBJ","CB","?"))</f>
        <v> </v>
      </c>
      <c r="I2924" s="25" t="str">
        <f>IF(OR(E2924="",E2924="!!!",F2924="NEW"),"",INDEX(B2923:B$2,-1+SUMPRODUCT(MAX(ROW(E2923:E$2)*(E2924=E2923:E$2)))))</f>
        <v> </v>
      </c>
      <c r="J2924" s="25" t="str">
        <f>IF(OR(E2924="",E2924="!!!",F2924="NEW"),"",COUNTBLANK(OFFSET(A$1,,,SUMPRODUCT(MAX(ROW(E$2:E2924)*(E2924=E$2:E2924)))))-COUNTBLANK(OFFSET(A$1,,,SUMPRODUCT(MAX(ROW(E$1:E2923)*(E2=E$1:E2923))))))</f>
        <v> </v>
      </c>
      <c r="K2924" s="25" t="str">
        <f>IF(OR(E2924="",E2924="!!!",F2924="NEW"),"",INDEX(J$1:J2923,SUMPRODUCT(MAX(ROW(E$1:E2923)*(E2924=E$1:E2923)))))</f>
        <v> </v>
      </c>
      <c r="L2924" s="26"/>
    </row>
    <row r="2925" spans="1:12">
      <c r="A2925" s="20" t="s">
        <v>658</v>
      </c>
      <c r="E2925" s="21">
        <f>IF(D2925="?OLD","!!!","")</f>
        <v/>
      </c>
      <c r="F2925" s="22" t="str">
        <f>IF(OR(E2925="",E2925="!!!"),"",IF(NOT(ISNA(VLOOKUP(E2925,E$1:E2924,1,FALSE()))),"OLD",IF(AND(E2925&lt;&gt;"",E2925&lt;&gt;"!!!"),"NEW","")))</f>
        <v> </v>
      </c>
      <c r="G2925" s="23" t="str">
        <f>IF(OR(E2925="",E2925="!!!"),"",IF(OR(J2925=0,AND(J2925=1,K2925=1),AND(J2925=1,I2925="SBJ"),AND(J2925=1,I2925=0)),"?IN_FOCUS",IF(J2925&lt;=2,"?ACTIVATED",IF(J2925&lt;&gt;"","?FAMILIAR",IF(F2925="NEW",IF(ISNA(VLOOKUP(E2925,#REF!,1,FALSE())),"?TYPE_IDENTIFIABLE","?REFERENTIAL"),"_")))))</f>
        <v> </v>
      </c>
      <c r="H2925" s="24" t="str">
        <f>IF(J2925&lt;&gt;1,"",IF(I2925="SBJ","CB","?"))</f>
        <v> </v>
      </c>
      <c r="I2925" s="25" t="str">
        <f>IF(OR(E2925="",E2925="!!!",F2925="NEW"),"",INDEX(B2924:B$2,-1+SUMPRODUCT(MAX(ROW(E2924:E$2)*(E2925=E2924:E$2)))))</f>
        <v> </v>
      </c>
      <c r="J2925" s="25" t="str">
        <f>IF(OR(E2925="",E2925="!!!",F2925="NEW"),"",COUNTBLANK(OFFSET(A$1,,,SUMPRODUCT(MAX(ROW(E$2:E2925)*(E2925=E$2:E2925)))))-COUNTBLANK(OFFSET(A$1,,,SUMPRODUCT(MAX(ROW(E$1:E2924)*(E2=E$1:E2924))))))</f>
        <v> </v>
      </c>
      <c r="K2925" s="25" t="str">
        <f>IF(OR(E2925="",E2925="!!!",F2925="NEW"),"",INDEX(J$1:J2924,SUMPRODUCT(MAX(ROW(E$1:E2924)*(E2925=E$1:E2924)))))</f>
        <v> </v>
      </c>
      <c r="L2925" s="26"/>
    </row>
    <row r="2926" spans="1:12">
      <c r="A2926" s="20" t="s">
        <v>1599</v>
      </c>
      <c r="E2926" s="21">
        <f>IF(D2926="?OLD","!!!","")</f>
        <v/>
      </c>
      <c r="F2926" s="22" t="str">
        <f>IF(OR(E2926="",E2926="!!!"),"",IF(NOT(ISNA(VLOOKUP(E2926,E$1:E2925,1,FALSE()))),"OLD",IF(AND(E2926&lt;&gt;"",E2926&lt;&gt;"!!!"),"NEW","")))</f>
        <v> </v>
      </c>
      <c r="G2926" s="23" t="str">
        <f>IF(OR(E2926="",E2926="!!!"),"",IF(OR(J2926=0,AND(J2926=1,K2926=1),AND(J2926=1,I2926="SBJ"),AND(J2926=1,I2926=0)),"?IN_FOCUS",IF(J2926&lt;=2,"?ACTIVATED",IF(J2926&lt;&gt;"","?FAMILIAR",IF(F2926="NEW",IF(ISNA(VLOOKUP(E2926,#REF!,1,FALSE())),"?TYPE_IDENTIFIABLE","?REFERENTIAL"),"_")))))</f>
        <v> </v>
      </c>
      <c r="H2926" s="24" t="str">
        <f>IF(J2926&lt;&gt;1,"",IF(I2926="SBJ","CB","?"))</f>
        <v> </v>
      </c>
      <c r="I2926" s="25" t="str">
        <f>IF(OR(E2926="",E2926="!!!",F2926="NEW"),"",INDEX(B2925:B$2,-1+SUMPRODUCT(MAX(ROW(E2925:E$2)*(E2926=E2925:E$2)))))</f>
        <v> </v>
      </c>
      <c r="J2926" s="25" t="str">
        <f>IF(OR(E2926="",E2926="!!!",F2926="NEW"),"",COUNTBLANK(OFFSET(A$1,,,SUMPRODUCT(MAX(ROW(E$2:E2926)*(E2926=E$2:E2926)))))-COUNTBLANK(OFFSET(A$1,,,SUMPRODUCT(MAX(ROW(E$1:E2925)*(E2=E$1:E2925))))))</f>
        <v> </v>
      </c>
      <c r="K2926" s="25" t="str">
        <f>IF(OR(E2926="",E2926="!!!",F2926="NEW"),"",INDEX(J$1:J2925,SUMPRODUCT(MAX(ROW(E$1:E2925)*(E2926=E$1:E2925)))))</f>
        <v> </v>
      </c>
      <c r="L2926" s="26"/>
    </row>
    <row r="2927" spans="1:12">
      <c r="A2927" s="20" t="s">
        <v>1419</v>
      </c>
      <c r="B2927" s="27" t="s">
        <v>1022</v>
      </c>
      <c r="C2927" s="27" t="s">
        <v>607</v>
      </c>
      <c r="D2927" s="27" t="s">
        <v>608</v>
      </c>
      <c r="E2927" s="21">
        <f>IF(D2927="?OLD","!!!","")</f>
        <v/>
      </c>
      <c r="F2927" s="22" t="str">
        <f>IF(OR(E2927="",E2927="!!!"),"",IF(NOT(ISNA(VLOOKUP(E2927,E$1:E2926,1,FALSE()))),"OLD",IF(AND(E2927&lt;&gt;"",E2927&lt;&gt;"!!!"),"NEW","")))</f>
        <v> </v>
      </c>
      <c r="G2927" s="23" t="str">
        <f>IF(OR(E2927="",E2927="!!!"),"",IF(OR(J2927=0,AND(J2927=1,K2927=1),AND(J2927=1,I2927="SBJ"),AND(J2927=1,I2927=0)),"?IN_FOCUS",IF(J2927&lt;=2,"?ACTIVATED",IF(J2927&lt;&gt;"","?FAMILIAR",IF(F2927="NEW",IF(ISNA(VLOOKUP(E2927,#REF!,1,FALSE())),"?TYPE_IDENTIFIABLE","?REFERENTIAL"),"_")))))</f>
        <v> </v>
      </c>
      <c r="H2927" s="24" t="str">
        <f>IF(J2927&lt;&gt;1,"",IF(I2927="SBJ","CB","?"))</f>
        <v> </v>
      </c>
      <c r="I2927" s="25" t="str">
        <f>IF(OR(E2927="",E2927="!!!",F2927="NEW"),"",INDEX(B2926:B$2,-1+SUMPRODUCT(MAX(ROW(E2926:E$2)*(E2927=E2926:E$2)))))</f>
        <v> </v>
      </c>
      <c r="J2927" s="25" t="str">
        <f>IF(OR(E2927="",E2927="!!!",F2927="NEW"),"",COUNTBLANK(OFFSET(A$1,,,SUMPRODUCT(MAX(ROW(E$2:E2927)*(E2927=E$2:E2927)))))-COUNTBLANK(OFFSET(A$1,,,SUMPRODUCT(MAX(ROW(E$1:E2926)*(E2=E$1:E2926))))))</f>
        <v> </v>
      </c>
      <c r="K2927" s="25" t="str">
        <f>IF(OR(E2927="",E2927="!!!",F2927="NEW"),"",INDEX(J$1:J2926,SUMPRODUCT(MAX(ROW(E$1:E2926)*(E2927=E$1:E2926)))))</f>
        <v> </v>
      </c>
      <c r="L2927" s="26"/>
    </row>
    <row r="2928" spans="1:12">
      <c r="A2928" s="20" t="s">
        <v>663</v>
      </c>
      <c r="E2928" s="21">
        <f>IF(D2928="?OLD","!!!","")</f>
        <v/>
      </c>
      <c r="F2928" s="22" t="str">
        <f>IF(OR(E2928="",E2928="!!!"),"",IF(NOT(ISNA(VLOOKUP(E2928,E$1:E2927,1,FALSE()))),"OLD",IF(AND(E2928&lt;&gt;"",E2928&lt;&gt;"!!!"),"NEW","")))</f>
        <v> </v>
      </c>
      <c r="G2928" s="23" t="str">
        <f>IF(OR(E2928="",E2928="!!!"),"",IF(OR(J2928=0,AND(J2928=1,K2928=1),AND(J2928=1,I2928="SBJ"),AND(J2928=1,I2928=0)),"?IN_FOCUS",IF(J2928&lt;=2,"?ACTIVATED",IF(J2928&lt;&gt;"","?FAMILIAR",IF(F2928="NEW",IF(ISNA(VLOOKUP(E2928,#REF!,1,FALSE())),"?TYPE_IDENTIFIABLE","?REFERENTIAL"),"_")))))</f>
        <v> </v>
      </c>
      <c r="H2928" s="24" t="str">
        <f>IF(J2928&lt;&gt;1,"",IF(I2928="SBJ","CB","?"))</f>
        <v> </v>
      </c>
      <c r="I2928" s="25" t="str">
        <f>IF(OR(E2928="",E2928="!!!",F2928="NEW"),"",INDEX(B2927:B$2,-1+SUMPRODUCT(MAX(ROW(E2927:E$2)*(E2928=E2927:E$2)))))</f>
        <v> </v>
      </c>
      <c r="J2928" s="25" t="str">
        <f>IF(OR(E2928="",E2928="!!!",F2928="NEW"),"",COUNTBLANK(OFFSET(A$1,,,SUMPRODUCT(MAX(ROW(E$2:E2928)*(E2928=E$2:E2928)))))-COUNTBLANK(OFFSET(A$1,,,SUMPRODUCT(MAX(ROW(E$1:E2927)*(E2=E$1:E2927))))))</f>
        <v> </v>
      </c>
      <c r="K2928" s="25" t="str">
        <f>IF(OR(E2928="",E2928="!!!",F2928="NEW"),"",INDEX(J$1:J2927,SUMPRODUCT(MAX(ROW(E$1:E2927)*(E2928=E$1:E2927)))))</f>
        <v> </v>
      </c>
      <c r="L2928" s="26"/>
    </row>
    <row r="2929" spans="1:12">
      <c r="A2929" s="20" t="s">
        <v>1600</v>
      </c>
      <c r="E2929" s="21">
        <f>IF(D2929="?OLD","!!!","")</f>
        <v/>
      </c>
      <c r="F2929" s="22" t="str">
        <f>IF(OR(E2929="",E2929="!!!"),"",IF(NOT(ISNA(VLOOKUP(E2929,E$1:E2928,1,FALSE()))),"OLD",IF(AND(E2929&lt;&gt;"",E2929&lt;&gt;"!!!"),"NEW","")))</f>
        <v> </v>
      </c>
      <c r="G2929" s="23" t="str">
        <f>IF(OR(E2929="",E2929="!!!"),"",IF(OR(J2929=0,AND(J2929=1,K2929=1),AND(J2929=1,I2929="SBJ"),AND(J2929=1,I2929=0)),"?IN_FOCUS",IF(J2929&lt;=2,"?ACTIVATED",IF(J2929&lt;&gt;"","?FAMILIAR",IF(F2929="NEW",IF(ISNA(VLOOKUP(E2929,#REF!,1,FALSE())),"?TYPE_IDENTIFIABLE","?REFERENTIAL"),"_")))))</f>
        <v> </v>
      </c>
      <c r="H2929" s="24" t="str">
        <f>IF(J2929&lt;&gt;1,"",IF(I2929="SBJ","CB","?"))</f>
        <v> </v>
      </c>
      <c r="I2929" s="25" t="str">
        <f>IF(OR(E2929="",E2929="!!!",F2929="NEW"),"",INDEX(B2928:B$2,-1+SUMPRODUCT(MAX(ROW(E2928:E$2)*(E2929=E2928:E$2)))))</f>
        <v> </v>
      </c>
      <c r="J2929" s="25" t="str">
        <f>IF(OR(E2929="",E2929="!!!",F2929="NEW"),"",COUNTBLANK(OFFSET(A$1,,,SUMPRODUCT(MAX(ROW(E$2:E2929)*(E2929=E$2:E2929)))))-COUNTBLANK(OFFSET(A$1,,,SUMPRODUCT(MAX(ROW(E$1:E2928)*(E2=E$1:E2928))))))</f>
        <v> </v>
      </c>
      <c r="K2929" s="25" t="str">
        <f>IF(OR(E2929="",E2929="!!!",F2929="NEW"),"",INDEX(J$1:J2928,SUMPRODUCT(MAX(ROW(E$1:E2928)*(E2929=E$1:E2928)))))</f>
        <v> </v>
      </c>
      <c r="L2929" s="26"/>
    </row>
    <row r="2930" spans="1:12">
      <c r="A2930" s="20" t="s">
        <v>633</v>
      </c>
      <c r="E2930" s="21">
        <f>IF(D2930="?OLD","!!!","")</f>
        <v/>
      </c>
      <c r="F2930" s="22" t="str">
        <f>IF(OR(E2930="",E2930="!!!"),"",IF(NOT(ISNA(VLOOKUP(E2930,E$1:E2929,1,FALSE()))),"OLD",IF(AND(E2930&lt;&gt;"",E2930&lt;&gt;"!!!"),"NEW","")))</f>
        <v> </v>
      </c>
      <c r="G2930" s="23" t="str">
        <f>IF(OR(E2930="",E2930="!!!"),"",IF(OR(J2930=0,AND(J2930=1,K2930=1),AND(J2930=1,I2930="SBJ"),AND(J2930=1,I2930=0)),"?IN_FOCUS",IF(J2930&lt;=2,"?ACTIVATED",IF(J2930&lt;&gt;"","?FAMILIAR",IF(F2930="NEW",IF(ISNA(VLOOKUP(E2930,#REF!,1,FALSE())),"?TYPE_IDENTIFIABLE","?REFERENTIAL"),"_")))))</f>
        <v> </v>
      </c>
      <c r="H2930" s="24" t="str">
        <f>IF(J2930&lt;&gt;1,"",IF(I2930="SBJ","CB","?"))</f>
        <v> </v>
      </c>
      <c r="I2930" s="25" t="str">
        <f>IF(OR(E2930="",E2930="!!!",F2930="NEW"),"",INDEX(B2929:B$2,-1+SUMPRODUCT(MAX(ROW(E2929:E$2)*(E2930=E2929:E$2)))))</f>
        <v> </v>
      </c>
      <c r="J2930" s="25" t="str">
        <f>IF(OR(E2930="",E2930="!!!",F2930="NEW"),"",COUNTBLANK(OFFSET(A$1,,,SUMPRODUCT(MAX(ROW(E$2:E2930)*(E2930=E$2:E2930)))))-COUNTBLANK(OFFSET(A$1,,,SUMPRODUCT(MAX(ROW(E$1:E2929)*(E2=E$1:E2929))))))</f>
        <v> </v>
      </c>
      <c r="K2930" s="25" t="str">
        <f>IF(OR(E2930="",E2930="!!!",F2930="NEW"),"",INDEX(J$1:J2929,SUMPRODUCT(MAX(ROW(E$1:E2929)*(E2930=E$1:E2929)))))</f>
        <v> </v>
      </c>
      <c r="L2930" s="26"/>
    </row>
    <row r="2931" spans="1:12">
      <c r="A2931" s="20"/>
    </row>
    <row r="2932" spans="1:12">
      <c r="A2932" s="20" t="s">
        <v>1601</v>
      </c>
    </row>
    <row r="2933" spans="1:12">
      <c r="A2933" s="20" t="s">
        <v>769</v>
      </c>
      <c r="B2933" s="27" t="s">
        <v>636</v>
      </c>
      <c r="C2933" s="27" t="s">
        <v>652</v>
      </c>
      <c r="D2933" s="27" t="s">
        <v>608</v>
      </c>
      <c r="E2933" s="21">
        <f>IF(D2933="?OLD","!!!","")</f>
        <v/>
      </c>
      <c r="F2933" s="22" t="str">
        <f>IF(OR(E2933="",E2933="!!!"),"",IF(NOT(ISNA(VLOOKUP(E2933,E$1:E2932,1,FALSE()))),"OLD",IF(AND(E2933&lt;&gt;"",E2933&lt;&gt;"!!!"),"NEW","")))</f>
        <v> </v>
      </c>
      <c r="G2933" s="23" t="str">
        <f>IF(OR(E2933="",E2933="!!!"),"",IF(OR(J2933=0,AND(J2933=1,K2933=1),AND(J2933=1,I2933="SBJ"),AND(J2933=1,I2933=0)),"?IN_FOCUS",IF(J2933&lt;=2,"?ACTIVATED",IF(J2933&lt;&gt;"","?FAMILIAR",IF(F2933="NEW",IF(ISNA(VLOOKUP(E2933,#REF!,1,FALSE())),"?TYPE_IDENTIFIABLE","?REFERENTIAL"),"_")))))</f>
        <v> </v>
      </c>
      <c r="H2933" s="24" t="str">
        <f>IF(J2933&lt;&gt;1,"",IF(I2933="SBJ","CB","?"))</f>
        <v> </v>
      </c>
      <c r="I2933" s="25" t="str">
        <f>IF(OR(E2933="",E2933="!!!",F2933="NEW"),"",INDEX(B2932:B$2,-1+SUMPRODUCT(MAX(ROW(E2932:E$2)*(E2933=E2932:E$2)))))</f>
        <v> </v>
      </c>
      <c r="J2933" s="25" t="str">
        <f>IF(OR(E2933="",E2933="!!!",F2933="NEW"),"",COUNTBLANK(OFFSET(A$1,,,SUMPRODUCT(MAX(ROW(E$2:E2933)*(E2933=E$2:E2933)))))-COUNTBLANK(OFFSET(A$1,,,SUMPRODUCT(MAX(ROW(E$1:E2932)*(E2=E$1:E2932))))))</f>
        <v> </v>
      </c>
      <c r="K2933" s="25" t="str">
        <f>IF(OR(E2933="",E2933="!!!",F2933="NEW"),"",INDEX(J$1:J2932,SUMPRODUCT(MAX(ROW(E$1:E2932)*(E2933=E$1:E2932)))))</f>
        <v> </v>
      </c>
      <c r="L2933" s="26"/>
    </row>
    <row r="2934" spans="1:12">
      <c r="A2934" s="20" t="s">
        <v>1602</v>
      </c>
      <c r="E2934" s="21">
        <f>IF(D2934="?OLD","!!!","")</f>
        <v/>
      </c>
      <c r="F2934" s="22" t="str">
        <f>IF(OR(E2934="",E2934="!!!"),"",IF(NOT(ISNA(VLOOKUP(E2934,E$1:E2933,1,FALSE()))),"OLD",IF(AND(E2934&lt;&gt;"",E2934&lt;&gt;"!!!"),"NEW","")))</f>
        <v> </v>
      </c>
      <c r="G2934" s="23" t="str">
        <f>IF(OR(E2934="",E2934="!!!"),"",IF(OR(J2934=0,AND(J2934=1,K2934=1),AND(J2934=1,I2934="SBJ"),AND(J2934=1,I2934=0)),"?IN_FOCUS",IF(J2934&lt;=2,"?ACTIVATED",IF(J2934&lt;&gt;"","?FAMILIAR",IF(F2934="NEW",IF(ISNA(VLOOKUP(E2934,#REF!,1,FALSE())),"?TYPE_IDENTIFIABLE","?REFERENTIAL"),"_")))))</f>
        <v> </v>
      </c>
      <c r="H2934" s="24" t="str">
        <f>IF(J2934&lt;&gt;1,"",IF(I2934="SBJ","CB","?"))</f>
        <v> </v>
      </c>
      <c r="I2934" s="25" t="str">
        <f>IF(OR(E2934="",E2934="!!!",F2934="NEW"),"",INDEX(B2933:B$2,-1+SUMPRODUCT(MAX(ROW(E2933:E$2)*(E2934=E2933:E$2)))))</f>
        <v> </v>
      </c>
      <c r="J2934" s="25" t="str">
        <f>IF(OR(E2934="",E2934="!!!",F2934="NEW"),"",COUNTBLANK(OFFSET(A$1,,,SUMPRODUCT(MAX(ROW(E$2:E2934)*(E2934=E$2:E2934)))))-COUNTBLANK(OFFSET(A$1,,,SUMPRODUCT(MAX(ROW(E$1:E2933)*(E2=E$1:E2933))))))</f>
        <v> </v>
      </c>
      <c r="K2934" s="25" t="str">
        <f>IF(OR(E2934="",E2934="!!!",F2934="NEW"),"",INDEX(J$1:J2933,SUMPRODUCT(MAX(ROW(E$1:E2933)*(E2934=E$1:E2933)))))</f>
        <v> </v>
      </c>
      <c r="L2934" s="26"/>
    </row>
    <row r="2935" spans="1:12">
      <c r="A2935" s="20" t="s">
        <v>737</v>
      </c>
      <c r="E2935" s="21">
        <f>IF(D2935="?OLD","!!!","")</f>
        <v/>
      </c>
      <c r="F2935" s="22" t="str">
        <f>IF(OR(E2935="",E2935="!!!"),"",IF(NOT(ISNA(VLOOKUP(E2935,E$1:E2934,1,FALSE()))),"OLD",IF(AND(E2935&lt;&gt;"",E2935&lt;&gt;"!!!"),"NEW","")))</f>
        <v> </v>
      </c>
      <c r="G2935" s="23" t="str">
        <f>IF(OR(E2935="",E2935="!!!"),"",IF(OR(J2935=0,AND(J2935=1,K2935=1),AND(J2935=1,I2935="SBJ"),AND(J2935=1,I2935=0)),"?IN_FOCUS",IF(J2935&lt;=2,"?ACTIVATED",IF(J2935&lt;&gt;"","?FAMILIAR",IF(F2935="NEW",IF(ISNA(VLOOKUP(E2935,#REF!,1,FALSE())),"?TYPE_IDENTIFIABLE","?REFERENTIAL"),"_")))))</f>
        <v> </v>
      </c>
      <c r="H2935" s="24" t="str">
        <f>IF(J2935&lt;&gt;1,"",IF(I2935="SBJ","CB","?"))</f>
        <v> </v>
      </c>
      <c r="I2935" s="25" t="str">
        <f>IF(OR(E2935="",E2935="!!!",F2935="NEW"),"",INDEX(B2934:B$2,-1+SUMPRODUCT(MAX(ROW(E2934:E$2)*(E2935=E2934:E$2)))))</f>
        <v> </v>
      </c>
      <c r="J2935" s="25" t="str">
        <f>IF(OR(E2935="",E2935="!!!",F2935="NEW"),"",COUNTBLANK(OFFSET(A$1,,,SUMPRODUCT(MAX(ROW(E$2:E2935)*(E2935=E$2:E2935)))))-COUNTBLANK(OFFSET(A$1,,,SUMPRODUCT(MAX(ROW(E$1:E2934)*(E2=E$1:E2934))))))</f>
        <v> </v>
      </c>
      <c r="K2935" s="25" t="str">
        <f>IF(OR(E2935="",E2935="!!!",F2935="NEW"),"",INDEX(J$1:J2934,SUMPRODUCT(MAX(ROW(E$1:E2934)*(E2935=E$1:E2934)))))</f>
        <v> </v>
      </c>
      <c r="L2935" s="26"/>
    </row>
    <row r="2936" spans="1:12">
      <c r="A2936" s="20" t="s">
        <v>552</v>
      </c>
      <c r="E2936" s="21">
        <f>IF(D2936="?OLD","!!!","")</f>
        <v/>
      </c>
      <c r="F2936" s="22" t="str">
        <f>IF(OR(E2936="",E2936="!!!"),"",IF(NOT(ISNA(VLOOKUP(E2936,E$1:E2935,1,FALSE()))),"OLD",IF(AND(E2936&lt;&gt;"",E2936&lt;&gt;"!!!"),"NEW","")))</f>
        <v> </v>
      </c>
      <c r="G2936" s="23" t="str">
        <f>IF(OR(E2936="",E2936="!!!"),"",IF(OR(J2936=0,AND(J2936=1,K2936=1),AND(J2936=1,I2936="SBJ"),AND(J2936=1,I2936=0)),"?IN_FOCUS",IF(J2936&lt;=2,"?ACTIVATED",IF(J2936&lt;&gt;"","?FAMILIAR",IF(F2936="NEW",IF(ISNA(VLOOKUP(E2936,#REF!,1,FALSE())),"?TYPE_IDENTIFIABLE","?REFERENTIAL"),"_")))))</f>
        <v> </v>
      </c>
      <c r="H2936" s="24" t="str">
        <f>IF(J2936&lt;&gt;1,"",IF(I2936="SBJ","CB","?"))</f>
        <v> </v>
      </c>
      <c r="I2936" s="25" t="str">
        <f>IF(OR(E2936="",E2936="!!!",F2936="NEW"),"",INDEX(B2935:B$2,-1+SUMPRODUCT(MAX(ROW(E2935:E$2)*(E2936=E2935:E$2)))))</f>
        <v> </v>
      </c>
      <c r="J2936" s="25" t="str">
        <f>IF(OR(E2936="",E2936="!!!",F2936="NEW"),"",COUNTBLANK(OFFSET(A$1,,,SUMPRODUCT(MAX(ROW(E$2:E2936)*(E2936=E$2:E2936)))))-COUNTBLANK(OFFSET(A$1,,,SUMPRODUCT(MAX(ROW(E$1:E2935)*(E2=E$1:E2935))))))</f>
        <v> </v>
      </c>
      <c r="K2936" s="25" t="str">
        <f>IF(OR(E2936="",E2936="!!!",F2936="NEW"),"",INDEX(J$1:J2935,SUMPRODUCT(MAX(ROW(E$1:E2935)*(E2936=E$1:E2935)))))</f>
        <v> </v>
      </c>
      <c r="L2936" s="26"/>
    </row>
    <row r="2937" spans="1:12">
      <c r="A2937" s="20" t="s">
        <v>617</v>
      </c>
      <c r="E2937" s="21">
        <f>IF(D2937="?OLD","!!!","")</f>
        <v/>
      </c>
      <c r="F2937" s="22" t="str">
        <f>IF(OR(E2937="",E2937="!!!"),"",IF(NOT(ISNA(VLOOKUP(E2937,E$1:E2936,1,FALSE()))),"OLD",IF(AND(E2937&lt;&gt;"",E2937&lt;&gt;"!!!"),"NEW","")))</f>
        <v> </v>
      </c>
      <c r="G2937" s="23" t="str">
        <f>IF(OR(E2937="",E2937="!!!"),"",IF(OR(J2937=0,AND(J2937=1,K2937=1),AND(J2937=1,I2937="SBJ"),AND(J2937=1,I2937=0)),"?IN_FOCUS",IF(J2937&lt;=2,"?ACTIVATED",IF(J2937&lt;&gt;"","?FAMILIAR",IF(F2937="NEW",IF(ISNA(VLOOKUP(E2937,#REF!,1,FALSE())),"?TYPE_IDENTIFIABLE","?REFERENTIAL"),"_")))))</f>
        <v> </v>
      </c>
      <c r="H2937" s="24" t="str">
        <f>IF(J2937&lt;&gt;1,"",IF(I2937="SBJ","CB","?"))</f>
        <v> </v>
      </c>
      <c r="I2937" s="25" t="str">
        <f>IF(OR(E2937="",E2937="!!!",F2937="NEW"),"",INDEX(B2936:B$2,-1+SUMPRODUCT(MAX(ROW(E2936:E$2)*(E2937=E2936:E$2)))))</f>
        <v> </v>
      </c>
      <c r="J2937" s="25" t="str">
        <f>IF(OR(E2937="",E2937="!!!",F2937="NEW"),"",COUNTBLANK(OFFSET(A$1,,,SUMPRODUCT(MAX(ROW(E$2:E2937)*(E2937=E$2:E2937)))))-COUNTBLANK(OFFSET(A$1,,,SUMPRODUCT(MAX(ROW(E$1:E2936)*(E2=E$1:E2936))))))</f>
        <v> </v>
      </c>
      <c r="K2937" s="25" t="str">
        <f>IF(OR(E2937="",E2937="!!!",F2937="NEW"),"",INDEX(J$1:J2936,SUMPRODUCT(MAX(ROW(E$1:E2936)*(E2937=E$1:E2936)))))</f>
        <v> </v>
      </c>
      <c r="L2937" s="26"/>
    </row>
    <row r="2938" spans="1:12">
      <c r="A2938" s="20" t="s">
        <v>736</v>
      </c>
      <c r="E2938" s="21">
        <f>IF(D2938="?OLD","!!!","")</f>
        <v/>
      </c>
      <c r="F2938" s="22" t="str">
        <f>IF(OR(E2938="",E2938="!!!"),"",IF(NOT(ISNA(VLOOKUP(E2938,E$1:E2937,1,FALSE()))),"OLD",IF(AND(E2938&lt;&gt;"",E2938&lt;&gt;"!!!"),"NEW","")))</f>
        <v> </v>
      </c>
      <c r="G2938" s="23" t="str">
        <f>IF(OR(E2938="",E2938="!!!"),"",IF(OR(J2938=0,AND(J2938=1,K2938=1),AND(J2938=1,I2938="SBJ"),AND(J2938=1,I2938=0)),"?IN_FOCUS",IF(J2938&lt;=2,"?ACTIVATED",IF(J2938&lt;&gt;"","?FAMILIAR",IF(F2938="NEW",IF(ISNA(VLOOKUP(E2938,#REF!,1,FALSE())),"?TYPE_IDENTIFIABLE","?REFERENTIAL"),"_")))))</f>
        <v> </v>
      </c>
      <c r="H2938" s="24" t="str">
        <f>IF(J2938&lt;&gt;1,"",IF(I2938="SBJ","CB","?"))</f>
        <v> </v>
      </c>
      <c r="I2938" s="25" t="str">
        <f>IF(OR(E2938="",E2938="!!!",F2938="NEW"),"",INDEX(B2937:B$2,-1+SUMPRODUCT(MAX(ROW(E2937:E$2)*(E2938=E2937:E$2)))))</f>
        <v> </v>
      </c>
      <c r="J2938" s="25" t="str">
        <f>IF(OR(E2938="",E2938="!!!",F2938="NEW"),"",COUNTBLANK(OFFSET(A$1,,,SUMPRODUCT(MAX(ROW(E$2:E2938)*(E2938=E$2:E2938)))))-COUNTBLANK(OFFSET(A$1,,,SUMPRODUCT(MAX(ROW(E$1:E2937)*(E2=E$1:E2937))))))</f>
        <v> </v>
      </c>
      <c r="K2938" s="25" t="str">
        <f>IF(OR(E2938="",E2938="!!!",F2938="NEW"),"",INDEX(J$1:J2937,SUMPRODUCT(MAX(ROW(E$1:E2937)*(E2938=E$1:E2937)))))</f>
        <v> </v>
      </c>
      <c r="L2938" s="26"/>
    </row>
    <row r="2939" spans="1:12">
      <c r="A2939" s="20" t="s">
        <v>630</v>
      </c>
      <c r="B2939" s="27" t="s">
        <v>619</v>
      </c>
      <c r="C2939" s="27" t="s">
        <v>631</v>
      </c>
      <c r="D2939" s="27" t="s">
        <v>608</v>
      </c>
      <c r="E2939" s="21">
        <f>IF(D2939="?OLD","!!!","")</f>
        <v/>
      </c>
      <c r="F2939" s="22" t="str">
        <f>IF(OR(E2939="",E2939="!!!"),"",IF(NOT(ISNA(VLOOKUP(E2939,E$1:E2938,1,FALSE()))),"OLD",IF(AND(E2939&lt;&gt;"",E2939&lt;&gt;"!!!"),"NEW","")))</f>
        <v> </v>
      </c>
      <c r="G2939" s="23" t="str">
        <f>IF(OR(E2939="",E2939="!!!"),"",IF(OR(J2939=0,AND(J2939=1,K2939=1),AND(J2939=1,I2939="SBJ"),AND(J2939=1,I2939=0)),"?IN_FOCUS",IF(J2939&lt;=2,"?ACTIVATED",IF(J2939&lt;&gt;"","?FAMILIAR",IF(F2939="NEW",IF(ISNA(VLOOKUP(E2939,#REF!,1,FALSE())),"?TYPE_IDENTIFIABLE","?REFERENTIAL"),"_")))))</f>
        <v> </v>
      </c>
      <c r="H2939" s="24" t="str">
        <f>IF(J2939&lt;&gt;1,"",IF(I2939="SBJ","CB","?"))</f>
        <v> </v>
      </c>
      <c r="I2939" s="25" t="str">
        <f>IF(OR(E2939="",E2939="!!!",F2939="NEW"),"",INDEX(B2938:B$2,-1+SUMPRODUCT(MAX(ROW(E2938:E$2)*(E2939=E2938:E$2)))))</f>
        <v> </v>
      </c>
      <c r="J2939" s="25" t="str">
        <f>IF(OR(E2939="",E2939="!!!",F2939="NEW"),"",COUNTBLANK(OFFSET(A$1,,,SUMPRODUCT(MAX(ROW(E$2:E2939)*(E2939=E$2:E2939)))))-COUNTBLANK(OFFSET(A$1,,,SUMPRODUCT(MAX(ROW(E$1:E2938)*(E2=E$1:E2938))))))</f>
        <v> </v>
      </c>
      <c r="K2939" s="25" t="str">
        <f>IF(OR(E2939="",E2939="!!!",F2939="NEW"),"",INDEX(J$1:J2938,SUMPRODUCT(MAX(ROW(E$1:E2938)*(E2939=E$1:E2938)))))</f>
        <v> </v>
      </c>
      <c r="L2939" s="26"/>
    </row>
    <row r="2940" spans="1:12">
      <c r="A2940" s="20" t="s">
        <v>1603</v>
      </c>
      <c r="E2940" s="21">
        <f>IF(D2940="?OLD","!!!","")</f>
        <v/>
      </c>
      <c r="F2940" s="22" t="str">
        <f>IF(OR(E2940="",E2940="!!!"),"",IF(NOT(ISNA(VLOOKUP(E2940,E$1:E2939,1,FALSE()))),"OLD",IF(AND(E2940&lt;&gt;"",E2940&lt;&gt;"!!!"),"NEW","")))</f>
        <v> </v>
      </c>
      <c r="G2940" s="23" t="str">
        <f>IF(OR(E2940="",E2940="!!!"),"",IF(OR(J2940=0,AND(J2940=1,K2940=1),AND(J2940=1,I2940="SBJ"),AND(J2940=1,I2940=0)),"?IN_FOCUS",IF(J2940&lt;=2,"?ACTIVATED",IF(J2940&lt;&gt;"","?FAMILIAR",IF(F2940="NEW",IF(ISNA(VLOOKUP(E2940,#REF!,1,FALSE())),"?TYPE_IDENTIFIABLE","?REFERENTIAL"),"_")))))</f>
        <v> </v>
      </c>
      <c r="H2940" s="24" t="str">
        <f>IF(J2940&lt;&gt;1,"",IF(I2940="SBJ","CB","?"))</f>
        <v> </v>
      </c>
      <c r="I2940" s="25" t="str">
        <f>IF(OR(E2940="",E2940="!!!",F2940="NEW"),"",INDEX(B2939:B$2,-1+SUMPRODUCT(MAX(ROW(E2939:E$2)*(E2940=E2939:E$2)))))</f>
        <v> </v>
      </c>
      <c r="J2940" s="25" t="str">
        <f>IF(OR(E2940="",E2940="!!!",F2940="NEW"),"",COUNTBLANK(OFFSET(A$1,,,SUMPRODUCT(MAX(ROW(E$2:E2940)*(E2940=E$2:E2940)))))-COUNTBLANK(OFFSET(A$1,,,SUMPRODUCT(MAX(ROW(E$1:E2939)*(E2=E$1:E2939))))))</f>
        <v> </v>
      </c>
      <c r="K2940" s="25" t="str">
        <f>IF(OR(E2940="",E2940="!!!",F2940="NEW"),"",INDEX(J$1:J2939,SUMPRODUCT(MAX(ROW(E$1:E2939)*(E2940=E$1:E2939)))))</f>
        <v> </v>
      </c>
      <c r="L2940" s="26"/>
    </row>
    <row r="2941" spans="1:12">
      <c r="A2941" s="20" t="s">
        <v>612</v>
      </c>
      <c r="E2941" s="21">
        <f>IF(D2941="?OLD","!!!","")</f>
        <v/>
      </c>
      <c r="F2941" s="22" t="str">
        <f>IF(OR(E2941="",E2941="!!!"),"",IF(NOT(ISNA(VLOOKUP(E2941,E$1:E2940,1,FALSE()))),"OLD",IF(AND(E2941&lt;&gt;"",E2941&lt;&gt;"!!!"),"NEW","")))</f>
        <v> </v>
      </c>
      <c r="G2941" s="23" t="str">
        <f>IF(OR(E2941="",E2941="!!!"),"",IF(OR(J2941=0,AND(J2941=1,K2941=1),AND(J2941=1,I2941="SBJ"),AND(J2941=1,I2941=0)),"?IN_FOCUS",IF(J2941&lt;=2,"?ACTIVATED",IF(J2941&lt;&gt;"","?FAMILIAR",IF(F2941="NEW",IF(ISNA(VLOOKUP(E2941,#REF!,1,FALSE())),"?TYPE_IDENTIFIABLE","?REFERENTIAL"),"_")))))</f>
        <v> </v>
      </c>
      <c r="H2941" s="24" t="str">
        <f>IF(J2941&lt;&gt;1,"",IF(I2941="SBJ","CB","?"))</f>
        <v> </v>
      </c>
      <c r="I2941" s="25" t="str">
        <f>IF(OR(E2941="",E2941="!!!",F2941="NEW"),"",INDEX(B2940:B$2,-1+SUMPRODUCT(MAX(ROW(E2940:E$2)*(E2941=E2940:E$2)))))</f>
        <v> </v>
      </c>
      <c r="J2941" s="25" t="str">
        <f>IF(OR(E2941="",E2941="!!!",F2941="NEW"),"",COUNTBLANK(OFFSET(A$1,,,SUMPRODUCT(MAX(ROW(E$2:E2941)*(E2941=E$2:E2941)))))-COUNTBLANK(OFFSET(A$1,,,SUMPRODUCT(MAX(ROW(E$1:E2940)*(E2=E$1:E2940))))))</f>
        <v> </v>
      </c>
      <c r="K2941" s="25" t="str">
        <f>IF(OR(E2941="",E2941="!!!",F2941="NEW"),"",INDEX(J$1:J2940,SUMPRODUCT(MAX(ROW(E$1:E2940)*(E2941=E$1:E2940)))))</f>
        <v> </v>
      </c>
      <c r="L2941" s="26"/>
    </row>
    <row r="2942" spans="1:12">
      <c r="A2942" s="20" t="s">
        <v>617</v>
      </c>
      <c r="E2942" s="21">
        <f>IF(D2942="?OLD","!!!","")</f>
        <v/>
      </c>
      <c r="F2942" s="22" t="str">
        <f>IF(OR(E2942="",E2942="!!!"),"",IF(NOT(ISNA(VLOOKUP(E2942,E$1:E2941,1,FALSE()))),"OLD",IF(AND(E2942&lt;&gt;"",E2942&lt;&gt;"!!!"),"NEW","")))</f>
        <v> </v>
      </c>
      <c r="G2942" s="23" t="str">
        <f>IF(OR(E2942="",E2942="!!!"),"",IF(OR(J2942=0,AND(J2942=1,K2942=1),AND(J2942=1,I2942="SBJ"),AND(J2942=1,I2942=0)),"?IN_FOCUS",IF(J2942&lt;=2,"?ACTIVATED",IF(J2942&lt;&gt;"","?FAMILIAR",IF(F2942="NEW",IF(ISNA(VLOOKUP(E2942,#REF!,1,FALSE())),"?TYPE_IDENTIFIABLE","?REFERENTIAL"),"_")))))</f>
        <v> </v>
      </c>
      <c r="H2942" s="24" t="str">
        <f>IF(J2942&lt;&gt;1,"",IF(I2942="SBJ","CB","?"))</f>
        <v> </v>
      </c>
      <c r="I2942" s="25" t="str">
        <f>IF(OR(E2942="",E2942="!!!",F2942="NEW"),"",INDEX(B2941:B$2,-1+SUMPRODUCT(MAX(ROW(E2941:E$2)*(E2942=E2941:E$2)))))</f>
        <v> </v>
      </c>
      <c r="J2942" s="25" t="str">
        <f>IF(OR(E2942="",E2942="!!!",F2942="NEW"),"",COUNTBLANK(OFFSET(A$1,,,SUMPRODUCT(MAX(ROW(E$2:E2942)*(E2942=E$2:E2942)))))-COUNTBLANK(OFFSET(A$1,,,SUMPRODUCT(MAX(ROW(E$1:E2941)*(E2=E$1:E2941))))))</f>
        <v> </v>
      </c>
      <c r="K2942" s="25" t="str">
        <f>IF(OR(E2942="",E2942="!!!",F2942="NEW"),"",INDEX(J$1:J2941,SUMPRODUCT(MAX(ROW(E$1:E2941)*(E2942=E$1:E2941)))))</f>
        <v> </v>
      </c>
      <c r="L2942" s="26"/>
    </row>
    <row r="2943" spans="1:12">
      <c r="A2943" s="20" t="s">
        <v>1161</v>
      </c>
      <c r="E2943" s="21">
        <f>IF(D2943="?OLD","!!!","")</f>
        <v/>
      </c>
      <c r="F2943" s="22" t="str">
        <f>IF(OR(E2943="",E2943="!!!"),"",IF(NOT(ISNA(VLOOKUP(E2943,E$1:E2942,1,FALSE()))),"OLD",IF(AND(E2943&lt;&gt;"",E2943&lt;&gt;"!!!"),"NEW","")))</f>
        <v> </v>
      </c>
      <c r="G2943" s="23" t="str">
        <f>IF(OR(E2943="",E2943="!!!"),"",IF(OR(J2943=0,AND(J2943=1,K2943=1),AND(J2943=1,I2943="SBJ"),AND(J2943=1,I2943=0)),"?IN_FOCUS",IF(J2943&lt;=2,"?ACTIVATED",IF(J2943&lt;&gt;"","?FAMILIAR",IF(F2943="NEW",IF(ISNA(VLOOKUP(E2943,#REF!,1,FALSE())),"?TYPE_IDENTIFIABLE","?REFERENTIAL"),"_")))))</f>
        <v> </v>
      </c>
      <c r="H2943" s="24" t="str">
        <f>IF(J2943&lt;&gt;1,"",IF(I2943="SBJ","CB","?"))</f>
        <v> </v>
      </c>
      <c r="I2943" s="25" t="str">
        <f>IF(OR(E2943="",E2943="!!!",F2943="NEW"),"",INDEX(B2942:B$2,-1+SUMPRODUCT(MAX(ROW(E2942:E$2)*(E2943=E2942:E$2)))))</f>
        <v> </v>
      </c>
      <c r="J2943" s="25" t="str">
        <f>IF(OR(E2943="",E2943="!!!",F2943="NEW"),"",COUNTBLANK(OFFSET(A$1,,,SUMPRODUCT(MAX(ROW(E$2:E2943)*(E2943=E$2:E2943)))))-COUNTBLANK(OFFSET(A$1,,,SUMPRODUCT(MAX(ROW(E$1:E2942)*(E2=E$1:E2942))))))</f>
        <v> </v>
      </c>
      <c r="K2943" s="25" t="str">
        <f>IF(OR(E2943="",E2943="!!!",F2943="NEW"),"",INDEX(J$1:J2942,SUMPRODUCT(MAX(ROW(E$1:E2942)*(E2943=E$1:E2942)))))</f>
        <v> </v>
      </c>
      <c r="L2943" s="26"/>
    </row>
    <row r="2944" spans="1:12">
      <c r="A2944" s="20" t="s">
        <v>790</v>
      </c>
      <c r="B2944" s="27" t="s">
        <v>742</v>
      </c>
      <c r="C2944" s="27" t="s">
        <v>637</v>
      </c>
      <c r="D2944" s="27" t="s">
        <v>608</v>
      </c>
      <c r="E2944" s="21">
        <f>IF(D2944="?OLD","!!!","")</f>
        <v/>
      </c>
      <c r="F2944" s="22" t="str">
        <f>IF(OR(E2944="",E2944="!!!"),"",IF(NOT(ISNA(VLOOKUP(E2944,E$1:E2943,1,FALSE()))),"OLD",IF(AND(E2944&lt;&gt;"",E2944&lt;&gt;"!!!"),"NEW","")))</f>
        <v> </v>
      </c>
      <c r="G2944" s="23" t="str">
        <f>IF(OR(E2944="",E2944="!!!"),"",IF(OR(J2944=0,AND(J2944=1,K2944=1),AND(J2944=1,I2944="SBJ"),AND(J2944=1,I2944=0)),"?IN_FOCUS",IF(J2944&lt;=2,"?ACTIVATED",IF(J2944&lt;&gt;"","?FAMILIAR",IF(F2944="NEW",IF(ISNA(VLOOKUP(E2944,#REF!,1,FALSE())),"?TYPE_IDENTIFIABLE","?REFERENTIAL"),"_")))))</f>
        <v> </v>
      </c>
      <c r="H2944" s="24" t="str">
        <f>IF(J2944&lt;&gt;1,"",IF(I2944="SBJ","CB","?"))</f>
        <v> </v>
      </c>
      <c r="I2944" s="25" t="str">
        <f>IF(OR(E2944="",E2944="!!!",F2944="NEW"),"",INDEX(B2943:B$2,-1+SUMPRODUCT(MAX(ROW(E2943:E$2)*(E2944=E2943:E$2)))))</f>
        <v> </v>
      </c>
      <c r="J2944" s="25" t="str">
        <f>IF(OR(E2944="",E2944="!!!",F2944="NEW"),"",COUNTBLANK(OFFSET(A$1,,,SUMPRODUCT(MAX(ROW(E$2:E2944)*(E2944=E$2:E2944)))))-COUNTBLANK(OFFSET(A$1,,,SUMPRODUCT(MAX(ROW(E$1:E2943)*(E2=E$1:E2943))))))</f>
        <v> </v>
      </c>
      <c r="K2944" s="25" t="str">
        <f>IF(OR(E2944="",E2944="!!!",F2944="NEW"),"",INDEX(J$1:J2943,SUMPRODUCT(MAX(ROW(E$1:E2943)*(E2944=E$1:E2943)))))</f>
        <v> </v>
      </c>
      <c r="L2944" s="26"/>
    </row>
    <row r="2945" spans="1:12">
      <c r="A2945" s="20" t="s">
        <v>785</v>
      </c>
      <c r="B2945" s="27" t="s">
        <v>664</v>
      </c>
      <c r="C2945" s="27" t="s">
        <v>671</v>
      </c>
      <c r="D2945" s="27" t="s">
        <v>608</v>
      </c>
      <c r="E2945" s="21">
        <f>IF(D2945="?OLD","!!!","")</f>
        <v/>
      </c>
      <c r="F2945" s="22" t="str">
        <f>IF(OR(E2945="",E2945="!!!"),"",IF(NOT(ISNA(VLOOKUP(E2945,E$1:E2944,1,FALSE()))),"OLD",IF(AND(E2945&lt;&gt;"",E2945&lt;&gt;"!!!"),"NEW","")))</f>
        <v> </v>
      </c>
      <c r="G2945" s="23" t="str">
        <f>IF(OR(E2945="",E2945="!!!"),"",IF(OR(J2945=0,AND(J2945=1,K2945=1),AND(J2945=1,I2945="SBJ"),AND(J2945=1,I2945=0)),"?IN_FOCUS",IF(J2945&lt;=2,"?ACTIVATED",IF(J2945&lt;&gt;"","?FAMILIAR",IF(F2945="NEW",IF(ISNA(VLOOKUP(E2945,#REF!,1,FALSE())),"?TYPE_IDENTIFIABLE","?REFERENTIAL"),"_")))))</f>
        <v> </v>
      </c>
      <c r="H2945" s="24" t="str">
        <f>IF(J2945&lt;&gt;1,"",IF(I2945="SBJ","CB","?"))</f>
        <v> </v>
      </c>
      <c r="I2945" s="25" t="str">
        <f>IF(OR(E2945="",E2945="!!!",F2945="NEW"),"",INDEX(B2944:B$2,-1+SUMPRODUCT(MAX(ROW(E2944:E$2)*(E2945=E2944:E$2)))))</f>
        <v> </v>
      </c>
      <c r="J2945" s="25" t="str">
        <f>IF(OR(E2945="",E2945="!!!",F2945="NEW"),"",COUNTBLANK(OFFSET(A$1,,,SUMPRODUCT(MAX(ROW(E$2:E2945)*(E2945=E$2:E2945)))))-COUNTBLANK(OFFSET(A$1,,,SUMPRODUCT(MAX(ROW(E$1:E2944)*(E2=E$1:E2944))))))</f>
        <v> </v>
      </c>
      <c r="K2945" s="25" t="str">
        <f>IF(OR(E2945="",E2945="!!!",F2945="NEW"),"",INDEX(J$1:J2944,SUMPRODUCT(MAX(ROW(E$1:E2944)*(E2945=E$1:E2944)))))</f>
        <v> </v>
      </c>
      <c r="L2945" s="26"/>
    </row>
    <row r="2946" spans="1:12">
      <c r="A2946" s="20" t="s">
        <v>617</v>
      </c>
      <c r="E2946" s="21">
        <f>IF(D2946="?OLD","!!!","")</f>
        <v/>
      </c>
      <c r="F2946" s="22" t="str">
        <f>IF(OR(E2946="",E2946="!!!"),"",IF(NOT(ISNA(VLOOKUP(E2946,E$1:E2945,1,FALSE()))),"OLD",IF(AND(E2946&lt;&gt;"",E2946&lt;&gt;"!!!"),"NEW","")))</f>
        <v> </v>
      </c>
      <c r="G2946" s="23" t="str">
        <f>IF(OR(E2946="",E2946="!!!"),"",IF(OR(J2946=0,AND(J2946=1,K2946=1),AND(J2946=1,I2946="SBJ"),AND(J2946=1,I2946=0)),"?IN_FOCUS",IF(J2946&lt;=2,"?ACTIVATED",IF(J2946&lt;&gt;"","?FAMILIAR",IF(F2946="NEW",IF(ISNA(VLOOKUP(E2946,#REF!,1,FALSE())),"?TYPE_IDENTIFIABLE","?REFERENTIAL"),"_")))))</f>
        <v> </v>
      </c>
      <c r="H2946" s="24" t="str">
        <f>IF(J2946&lt;&gt;1,"",IF(I2946="SBJ","CB","?"))</f>
        <v> </v>
      </c>
      <c r="I2946" s="25" t="str">
        <f>IF(OR(E2946="",E2946="!!!",F2946="NEW"),"",INDEX(B2945:B$2,-1+SUMPRODUCT(MAX(ROW(E2945:E$2)*(E2946=E2945:E$2)))))</f>
        <v> </v>
      </c>
      <c r="J2946" s="25" t="str">
        <f>IF(OR(E2946="",E2946="!!!",F2946="NEW"),"",COUNTBLANK(OFFSET(A$1,,,SUMPRODUCT(MAX(ROW(E$2:E2946)*(E2946=E$2:E2946)))))-COUNTBLANK(OFFSET(A$1,,,SUMPRODUCT(MAX(ROW(E$1:E2945)*(E2=E$1:E2945))))))</f>
        <v> </v>
      </c>
      <c r="K2946" s="25" t="str">
        <f>IF(OR(E2946="",E2946="!!!",F2946="NEW"),"",INDEX(J$1:J2945,SUMPRODUCT(MAX(ROW(E$1:E2945)*(E2946=E$1:E2945)))))</f>
        <v> </v>
      </c>
      <c r="L2946" s="26"/>
    </row>
    <row r="2947" spans="1:12">
      <c r="A2947" s="20" t="s">
        <v>807</v>
      </c>
      <c r="B2947" s="27" t="s">
        <v>668</v>
      </c>
      <c r="C2947" s="27" t="s">
        <v>652</v>
      </c>
      <c r="D2947" s="27" t="s">
        <v>608</v>
      </c>
      <c r="E2947" s="21">
        <f>IF(D2947="?OLD","!!!","")</f>
        <v/>
      </c>
      <c r="F2947" s="22" t="str">
        <f>IF(OR(E2947="",E2947="!!!"),"",IF(NOT(ISNA(VLOOKUP(E2947,E$1:E2946,1,FALSE()))),"OLD",IF(AND(E2947&lt;&gt;"",E2947&lt;&gt;"!!!"),"NEW","")))</f>
        <v> </v>
      </c>
      <c r="G2947" s="23" t="str">
        <f>IF(OR(E2947="",E2947="!!!"),"",IF(OR(J2947=0,AND(J2947=1,K2947=1),AND(J2947=1,I2947="SBJ"),AND(J2947=1,I2947=0)),"?IN_FOCUS",IF(J2947&lt;=2,"?ACTIVATED",IF(J2947&lt;&gt;"","?FAMILIAR",IF(F2947="NEW",IF(ISNA(VLOOKUP(E2947,#REF!,1,FALSE())),"?TYPE_IDENTIFIABLE","?REFERENTIAL"),"_")))))</f>
        <v> </v>
      </c>
      <c r="H2947" s="24" t="str">
        <f>IF(J2947&lt;&gt;1,"",IF(I2947="SBJ","CB","?"))</f>
        <v> </v>
      </c>
      <c r="I2947" s="25" t="str">
        <f>IF(OR(E2947="",E2947="!!!",F2947="NEW"),"",INDEX(B2946:B$2,-1+SUMPRODUCT(MAX(ROW(E2946:E$2)*(E2947=E2946:E$2)))))</f>
        <v> </v>
      </c>
      <c r="J2947" s="25" t="str">
        <f>IF(OR(E2947="",E2947="!!!",F2947="NEW"),"",COUNTBLANK(OFFSET(A$1,,,SUMPRODUCT(MAX(ROW(E$2:E2947)*(E2947=E$2:E2947)))))-COUNTBLANK(OFFSET(A$1,,,SUMPRODUCT(MAX(ROW(E$1:E2946)*(E2=E$1:E2946))))))</f>
        <v> </v>
      </c>
      <c r="K2947" s="25" t="str">
        <f>IF(OR(E2947="",E2947="!!!",F2947="NEW"),"",INDEX(J$1:J2946,SUMPRODUCT(MAX(ROW(E$1:E2946)*(E2947=E$1:E2946)))))</f>
        <v> </v>
      </c>
      <c r="L2947" s="26"/>
    </row>
    <row r="2948" spans="1:12">
      <c r="A2948" s="20" t="s">
        <v>612</v>
      </c>
      <c r="E2948" s="21">
        <f>IF(D2948="?OLD","!!!","")</f>
        <v/>
      </c>
      <c r="F2948" s="22" t="str">
        <f>IF(OR(E2948="",E2948="!!!"),"",IF(NOT(ISNA(VLOOKUP(E2948,E$1:E2947,1,FALSE()))),"OLD",IF(AND(E2948&lt;&gt;"",E2948&lt;&gt;"!!!"),"NEW","")))</f>
        <v> </v>
      </c>
      <c r="G2948" s="23" t="str">
        <f>IF(OR(E2948="",E2948="!!!"),"",IF(OR(J2948=0,AND(J2948=1,K2948=1),AND(J2948=1,I2948="SBJ"),AND(J2948=1,I2948=0)),"?IN_FOCUS",IF(J2948&lt;=2,"?ACTIVATED",IF(J2948&lt;&gt;"","?FAMILIAR",IF(F2948="NEW",IF(ISNA(VLOOKUP(E2948,#REF!,1,FALSE())),"?TYPE_IDENTIFIABLE","?REFERENTIAL"),"_")))))</f>
        <v> </v>
      </c>
      <c r="H2948" s="24" t="str">
        <f>IF(J2948&lt;&gt;1,"",IF(I2948="SBJ","CB","?"))</f>
        <v> </v>
      </c>
      <c r="I2948" s="25" t="str">
        <f>IF(OR(E2948="",E2948="!!!",F2948="NEW"),"",INDEX(B2947:B$2,-1+SUMPRODUCT(MAX(ROW(E2947:E$2)*(E2948=E2947:E$2)))))</f>
        <v> </v>
      </c>
      <c r="J2948" s="25" t="str">
        <f>IF(OR(E2948="",E2948="!!!",F2948="NEW"),"",COUNTBLANK(OFFSET(A$1,,,SUMPRODUCT(MAX(ROW(E$2:E2948)*(E2948=E$2:E2948)))))-COUNTBLANK(OFFSET(A$1,,,SUMPRODUCT(MAX(ROW(E$1:E2947)*(E2=E$1:E2947))))))</f>
        <v> </v>
      </c>
      <c r="K2948" s="25" t="str">
        <f>IF(OR(E2948="",E2948="!!!",F2948="NEW"),"",INDEX(J$1:J2947,SUMPRODUCT(MAX(ROW(E$1:E2947)*(E2948=E$1:E2947)))))</f>
        <v> </v>
      </c>
      <c r="L2948" s="26"/>
    </row>
    <row r="2949" spans="1:12">
      <c r="A2949" s="20" t="s">
        <v>856</v>
      </c>
      <c r="B2949" s="27" t="s">
        <v>611</v>
      </c>
      <c r="C2949" s="27" t="s">
        <v>637</v>
      </c>
      <c r="D2949" s="27" t="s">
        <v>608</v>
      </c>
      <c r="E2949" s="21">
        <f>IF(D2949="?OLD","!!!","")</f>
        <v/>
      </c>
      <c r="F2949" s="22" t="str">
        <f>IF(OR(E2949="",E2949="!!!"),"",IF(NOT(ISNA(VLOOKUP(E2949,E$1:E2948,1,FALSE()))),"OLD",IF(AND(E2949&lt;&gt;"",E2949&lt;&gt;"!!!"),"NEW","")))</f>
        <v> </v>
      </c>
      <c r="G2949" s="23" t="str">
        <f>IF(OR(E2949="",E2949="!!!"),"",IF(OR(J2949=0,AND(J2949=1,K2949=1),AND(J2949=1,I2949="SBJ"),AND(J2949=1,I2949=0)),"?IN_FOCUS",IF(J2949&lt;=2,"?ACTIVATED",IF(J2949&lt;&gt;"","?FAMILIAR",IF(F2949="NEW",IF(ISNA(VLOOKUP(E2949,#REF!,1,FALSE())),"?TYPE_IDENTIFIABLE","?REFERENTIAL"),"_")))))</f>
        <v> </v>
      </c>
      <c r="H2949" s="24" t="str">
        <f>IF(J2949&lt;&gt;1,"",IF(I2949="SBJ","CB","?"))</f>
        <v> </v>
      </c>
      <c r="I2949" s="25" t="str">
        <f>IF(OR(E2949="",E2949="!!!",F2949="NEW"),"",INDEX(B2948:B$2,-1+SUMPRODUCT(MAX(ROW(E2948:E$2)*(E2949=E2948:E$2)))))</f>
        <v> </v>
      </c>
      <c r="J2949" s="25" t="str">
        <f>IF(OR(E2949="",E2949="!!!",F2949="NEW"),"",COUNTBLANK(OFFSET(A$1,,,SUMPRODUCT(MAX(ROW(E$2:E2949)*(E2949=E$2:E2949)))))-COUNTBLANK(OFFSET(A$1,,,SUMPRODUCT(MAX(ROW(E$1:E2948)*(E2=E$1:E2948))))))</f>
        <v> </v>
      </c>
      <c r="K2949" s="25" t="str">
        <f>IF(OR(E2949="",E2949="!!!",F2949="NEW"),"",INDEX(J$1:J2948,SUMPRODUCT(MAX(ROW(E$1:E2948)*(E2949=E$1:E2948)))))</f>
        <v> </v>
      </c>
      <c r="L2949" s="26"/>
    </row>
    <row r="2950" spans="1:12">
      <c r="A2950" s="20" t="s">
        <v>633</v>
      </c>
      <c r="E2950" s="21">
        <f>IF(D2950="?OLD","!!!","")</f>
        <v/>
      </c>
      <c r="F2950" s="22" t="str">
        <f>IF(OR(E2950="",E2950="!!!"),"",IF(NOT(ISNA(VLOOKUP(E2950,E$1:E2949,1,FALSE()))),"OLD",IF(AND(E2950&lt;&gt;"",E2950&lt;&gt;"!!!"),"NEW","")))</f>
        <v> </v>
      </c>
      <c r="G2950" s="23" t="str">
        <f>IF(OR(E2950="",E2950="!!!"),"",IF(OR(J2950=0,AND(J2950=1,K2950=1),AND(J2950=1,I2950="SBJ"),AND(J2950=1,I2950=0)),"?IN_FOCUS",IF(J2950&lt;=2,"?ACTIVATED",IF(J2950&lt;&gt;"","?FAMILIAR",IF(F2950="NEW",IF(ISNA(VLOOKUP(E2950,#REF!,1,FALSE())),"?TYPE_IDENTIFIABLE","?REFERENTIAL"),"_")))))</f>
        <v> </v>
      </c>
      <c r="H2950" s="24" t="str">
        <f>IF(J2950&lt;&gt;1,"",IF(I2950="SBJ","CB","?"))</f>
        <v> </v>
      </c>
      <c r="I2950" s="25" t="str">
        <f>IF(OR(E2950="",E2950="!!!",F2950="NEW"),"",INDEX(B2949:B$2,-1+SUMPRODUCT(MAX(ROW(E2949:E$2)*(E2950=E2949:E$2)))))</f>
        <v> </v>
      </c>
      <c r="J2950" s="25" t="str">
        <f>IF(OR(E2950="",E2950="!!!",F2950="NEW"),"",COUNTBLANK(OFFSET(A$1,,,SUMPRODUCT(MAX(ROW(E$2:E2950)*(E2950=E$2:E2950)))))-COUNTBLANK(OFFSET(A$1,,,SUMPRODUCT(MAX(ROW(E$1:E2949)*(E2=E$1:E2949))))))</f>
        <v> </v>
      </c>
      <c r="K2950" s="25" t="str">
        <f>IF(OR(E2950="",E2950="!!!",F2950="NEW"),"",INDEX(J$1:J2949,SUMPRODUCT(MAX(ROW(E$1:E2949)*(E2950=E$1:E2949)))))</f>
        <v> </v>
      </c>
      <c r="L2950" s="26"/>
    </row>
    <row r="2951" spans="1:12">
      <c r="A2951" s="20"/>
    </row>
    <row r="2952" spans="1:12">
      <c r="A2952" s="20" t="s">
        <v>1604</v>
      </c>
    </row>
    <row r="2953" spans="1:12">
      <c r="A2953" s="20" t="s">
        <v>814</v>
      </c>
      <c r="E2953" s="21">
        <f>IF(D2953="?OLD","!!!","")</f>
        <v/>
      </c>
      <c r="F2953" s="22" t="str">
        <f>IF(OR(E2953="",E2953="!!!"),"",IF(NOT(ISNA(VLOOKUP(E2953,E$1:E2952,1,FALSE()))),"OLD",IF(AND(E2953&lt;&gt;"",E2953&lt;&gt;"!!!"),"NEW","")))</f>
        <v> </v>
      </c>
      <c r="G2953" s="23" t="str">
        <f>IF(OR(E2953="",E2953="!!!"),"",IF(OR(J2953=0,AND(J2953=1,K2953=1),AND(J2953=1,I2953="SBJ"),AND(J2953=1,I2953=0)),"?IN_FOCUS",IF(J2953&lt;=2,"?ACTIVATED",IF(J2953&lt;&gt;"","?FAMILIAR",IF(F2953="NEW",IF(ISNA(VLOOKUP(E2953,#REF!,1,FALSE())),"?TYPE_IDENTIFIABLE","?REFERENTIAL"),"_")))))</f>
        <v> </v>
      </c>
      <c r="H2953" s="24" t="str">
        <f>IF(J2953&lt;&gt;1,"",IF(I2953="SBJ","CB","?"))</f>
        <v> </v>
      </c>
      <c r="I2953" s="25" t="str">
        <f>IF(OR(E2953="",E2953="!!!",F2953="NEW"),"",INDEX(B2952:B$2,-1+SUMPRODUCT(MAX(ROW(E2952:E$2)*(E2953=E2952:E$2)))))</f>
        <v> </v>
      </c>
      <c r="J2953" s="25" t="str">
        <f>IF(OR(E2953="",E2953="!!!",F2953="NEW"),"",COUNTBLANK(OFFSET(A$1,,,SUMPRODUCT(MAX(ROW(E$2:E2953)*(E2953=E$2:E2953)))))-COUNTBLANK(OFFSET(A$1,,,SUMPRODUCT(MAX(ROW(E$1:E2952)*(E2=E$1:E2952))))))</f>
        <v> </v>
      </c>
      <c r="K2953" s="25" t="str">
        <f>IF(OR(E2953="",E2953="!!!",F2953="NEW"),"",INDEX(J$1:J2952,SUMPRODUCT(MAX(ROW(E$1:E2952)*(E2953=E$1:E2952)))))</f>
        <v> </v>
      </c>
      <c r="L2953" s="26"/>
    </row>
    <row r="2954" spans="1:12">
      <c r="A2954" s="20" t="s">
        <v>699</v>
      </c>
      <c r="E2954" s="21">
        <f>IF(D2954="?OLD","!!!","")</f>
        <v/>
      </c>
      <c r="F2954" s="22" t="str">
        <f>IF(OR(E2954="",E2954="!!!"),"",IF(NOT(ISNA(VLOOKUP(E2954,E$1:E2953,1,FALSE()))),"OLD",IF(AND(E2954&lt;&gt;"",E2954&lt;&gt;"!!!"),"NEW","")))</f>
        <v> </v>
      </c>
      <c r="G2954" s="23" t="str">
        <f>IF(OR(E2954="",E2954="!!!"),"",IF(OR(J2954=0,AND(J2954=1,K2954=1),AND(J2954=1,I2954="SBJ"),AND(J2954=1,I2954=0)),"?IN_FOCUS",IF(J2954&lt;=2,"?ACTIVATED",IF(J2954&lt;&gt;"","?FAMILIAR",IF(F2954="NEW",IF(ISNA(VLOOKUP(E2954,#REF!,1,FALSE())),"?TYPE_IDENTIFIABLE","?REFERENTIAL"),"_")))))</f>
        <v> </v>
      </c>
      <c r="H2954" s="24" t="str">
        <f>IF(J2954&lt;&gt;1,"",IF(I2954="SBJ","CB","?"))</f>
        <v> </v>
      </c>
      <c r="I2954" s="25" t="str">
        <f>IF(OR(E2954="",E2954="!!!",F2954="NEW"),"",INDEX(B2953:B$2,-1+SUMPRODUCT(MAX(ROW(E2953:E$2)*(E2954=E2953:E$2)))))</f>
        <v> </v>
      </c>
      <c r="J2954" s="25" t="str">
        <f>IF(OR(E2954="",E2954="!!!",F2954="NEW"),"",COUNTBLANK(OFFSET(A$1,,,SUMPRODUCT(MAX(ROW(E$2:E2954)*(E2954=E$2:E2954)))))-COUNTBLANK(OFFSET(A$1,,,SUMPRODUCT(MAX(ROW(E$1:E2953)*(E2=E$1:E2953))))))</f>
        <v> </v>
      </c>
      <c r="K2954" s="25" t="str">
        <f>IF(OR(E2954="",E2954="!!!",F2954="NEW"),"",INDEX(J$1:J2953,SUMPRODUCT(MAX(ROW(E$1:E2953)*(E2954=E$1:E2953)))))</f>
        <v> </v>
      </c>
      <c r="L2954" s="26"/>
    </row>
    <row r="2955" spans="1:12">
      <c r="A2955" s="20" t="s">
        <v>1605</v>
      </c>
      <c r="E2955" s="21">
        <f>IF(D2955="?OLD","!!!","")</f>
        <v/>
      </c>
      <c r="F2955" s="22" t="str">
        <f>IF(OR(E2955="",E2955="!!!"),"",IF(NOT(ISNA(VLOOKUP(E2955,E$1:E2954,1,FALSE()))),"OLD",IF(AND(E2955&lt;&gt;"",E2955&lt;&gt;"!!!"),"NEW","")))</f>
        <v> </v>
      </c>
      <c r="G2955" s="23" t="str">
        <f>IF(OR(E2955="",E2955="!!!"),"",IF(OR(J2955=0,AND(J2955=1,K2955=1),AND(J2955=1,I2955="SBJ"),AND(J2955=1,I2955=0)),"?IN_FOCUS",IF(J2955&lt;=2,"?ACTIVATED",IF(J2955&lt;&gt;"","?FAMILIAR",IF(F2955="NEW",IF(ISNA(VLOOKUP(E2955,#REF!,1,FALSE())),"?TYPE_IDENTIFIABLE","?REFERENTIAL"),"_")))))</f>
        <v> </v>
      </c>
      <c r="H2955" s="24" t="str">
        <f>IF(J2955&lt;&gt;1,"",IF(I2955="SBJ","CB","?"))</f>
        <v> </v>
      </c>
      <c r="I2955" s="25" t="str">
        <f>IF(OR(E2955="",E2955="!!!",F2955="NEW"),"",INDEX(B2954:B$2,-1+SUMPRODUCT(MAX(ROW(E2954:E$2)*(E2955=E2954:E$2)))))</f>
        <v> </v>
      </c>
      <c r="J2955" s="25" t="str">
        <f>IF(OR(E2955="",E2955="!!!",F2955="NEW"),"",COUNTBLANK(OFFSET(A$1,,,SUMPRODUCT(MAX(ROW(E$2:E2955)*(E2955=E$2:E2955)))))-COUNTBLANK(OFFSET(A$1,,,SUMPRODUCT(MAX(ROW(E$1:E2954)*(E2=E$1:E2954))))))</f>
        <v> </v>
      </c>
      <c r="K2955" s="25" t="str">
        <f>IF(OR(E2955="",E2955="!!!",F2955="NEW"),"",INDEX(J$1:J2954,SUMPRODUCT(MAX(ROW(E$1:E2954)*(E2955=E$1:E2954)))))</f>
        <v> </v>
      </c>
      <c r="L2955" s="26"/>
    </row>
    <row r="2956" spans="1:12">
      <c r="A2956" s="20" t="s">
        <v>856</v>
      </c>
      <c r="B2956" s="27" t="s">
        <v>636</v>
      </c>
      <c r="C2956" s="27" t="s">
        <v>637</v>
      </c>
      <c r="D2956" s="27" t="s">
        <v>608</v>
      </c>
      <c r="E2956" s="21">
        <f>IF(D2956="?OLD","!!!","")</f>
        <v/>
      </c>
      <c r="F2956" s="22" t="str">
        <f>IF(OR(E2956="",E2956="!!!"),"",IF(NOT(ISNA(VLOOKUP(E2956,E$1:E2955,1,FALSE()))),"OLD",IF(AND(E2956&lt;&gt;"",E2956&lt;&gt;"!!!"),"NEW","")))</f>
        <v> </v>
      </c>
      <c r="G2956" s="23" t="str">
        <f>IF(OR(E2956="",E2956="!!!"),"",IF(OR(J2956=0,AND(J2956=1,K2956=1),AND(J2956=1,I2956="SBJ"),AND(J2956=1,I2956=0)),"?IN_FOCUS",IF(J2956&lt;=2,"?ACTIVATED",IF(J2956&lt;&gt;"","?FAMILIAR",IF(F2956="NEW",IF(ISNA(VLOOKUP(E2956,#REF!,1,FALSE())),"?TYPE_IDENTIFIABLE","?REFERENTIAL"),"_")))))</f>
        <v> </v>
      </c>
      <c r="H2956" s="24" t="str">
        <f>IF(J2956&lt;&gt;1,"",IF(I2956="SBJ","CB","?"))</f>
        <v> </v>
      </c>
      <c r="I2956" s="25" t="str">
        <f>IF(OR(E2956="",E2956="!!!",F2956="NEW"),"",INDEX(B2955:B$2,-1+SUMPRODUCT(MAX(ROW(E2955:E$2)*(E2956=E2955:E$2)))))</f>
        <v> </v>
      </c>
      <c r="J2956" s="25" t="str">
        <f>IF(OR(E2956="",E2956="!!!",F2956="NEW"),"",COUNTBLANK(OFFSET(A$1,,,SUMPRODUCT(MAX(ROW(E$2:E2956)*(E2956=E$2:E2956)))))-COUNTBLANK(OFFSET(A$1,,,SUMPRODUCT(MAX(ROW(E$1:E2955)*(E2=E$1:E2955))))))</f>
        <v> </v>
      </c>
      <c r="K2956" s="25" t="str">
        <f>IF(OR(E2956="",E2956="!!!",F2956="NEW"),"",INDEX(J$1:J2955,SUMPRODUCT(MAX(ROW(E$1:E2955)*(E2956=E$1:E2955)))))</f>
        <v> </v>
      </c>
      <c r="L2956" s="26"/>
    </row>
    <row r="2957" spans="1:12">
      <c r="A2957" s="20" t="s">
        <v>617</v>
      </c>
      <c r="E2957" s="21">
        <f>IF(D2957="?OLD","!!!","")</f>
        <v/>
      </c>
      <c r="F2957" s="22" t="str">
        <f>IF(OR(E2957="",E2957="!!!"),"",IF(NOT(ISNA(VLOOKUP(E2957,E$1:E2956,1,FALSE()))),"OLD",IF(AND(E2957&lt;&gt;"",E2957&lt;&gt;"!!!"),"NEW","")))</f>
        <v> </v>
      </c>
      <c r="G2957" s="23" t="str">
        <f>IF(OR(E2957="",E2957="!!!"),"",IF(OR(J2957=0,AND(J2957=1,K2957=1),AND(J2957=1,I2957="SBJ"),AND(J2957=1,I2957=0)),"?IN_FOCUS",IF(J2957&lt;=2,"?ACTIVATED",IF(J2957&lt;&gt;"","?FAMILIAR",IF(F2957="NEW",IF(ISNA(VLOOKUP(E2957,#REF!,1,FALSE())),"?TYPE_IDENTIFIABLE","?REFERENTIAL"),"_")))))</f>
        <v> </v>
      </c>
      <c r="H2957" s="24" t="str">
        <f>IF(J2957&lt;&gt;1,"",IF(I2957="SBJ","CB","?"))</f>
        <v> </v>
      </c>
      <c r="I2957" s="25" t="str">
        <f>IF(OR(E2957="",E2957="!!!",F2957="NEW"),"",INDEX(B2956:B$2,-1+SUMPRODUCT(MAX(ROW(E2956:E$2)*(E2957=E2956:E$2)))))</f>
        <v> </v>
      </c>
      <c r="J2957" s="25" t="str">
        <f>IF(OR(E2957="",E2957="!!!",F2957="NEW"),"",COUNTBLANK(OFFSET(A$1,,,SUMPRODUCT(MAX(ROW(E$2:E2957)*(E2957=E$2:E2957)))))-COUNTBLANK(OFFSET(A$1,,,SUMPRODUCT(MAX(ROW(E$1:E2956)*(E2=E$1:E2956))))))</f>
        <v> </v>
      </c>
      <c r="K2957" s="25" t="str">
        <f>IF(OR(E2957="",E2957="!!!",F2957="NEW"),"",INDEX(J$1:J2956,SUMPRODUCT(MAX(ROW(E$1:E2956)*(E2957=E$1:E2956)))))</f>
        <v> </v>
      </c>
      <c r="L2957" s="26"/>
    </row>
    <row r="2958" spans="1:12">
      <c r="A2958" s="20" t="s">
        <v>1109</v>
      </c>
      <c r="E2958" s="21">
        <f>IF(D2958="?OLD","!!!","")</f>
        <v/>
      </c>
      <c r="F2958" s="22" t="str">
        <f>IF(OR(E2958="",E2958="!!!"),"",IF(NOT(ISNA(VLOOKUP(E2958,E$1:E2957,1,FALSE()))),"OLD",IF(AND(E2958&lt;&gt;"",E2958&lt;&gt;"!!!"),"NEW","")))</f>
        <v> </v>
      </c>
      <c r="G2958" s="23" t="str">
        <f>IF(OR(E2958="",E2958="!!!"),"",IF(OR(J2958=0,AND(J2958=1,K2958=1),AND(J2958=1,I2958="SBJ"),AND(J2958=1,I2958=0)),"?IN_FOCUS",IF(J2958&lt;=2,"?ACTIVATED",IF(J2958&lt;&gt;"","?FAMILIAR",IF(F2958="NEW",IF(ISNA(VLOOKUP(E2958,#REF!,1,FALSE())),"?TYPE_IDENTIFIABLE","?REFERENTIAL"),"_")))))</f>
        <v> </v>
      </c>
      <c r="H2958" s="24" t="str">
        <f>IF(J2958&lt;&gt;1,"",IF(I2958="SBJ","CB","?"))</f>
        <v> </v>
      </c>
      <c r="I2958" s="25" t="str">
        <f>IF(OR(E2958="",E2958="!!!",F2958="NEW"),"",INDEX(B2957:B$2,-1+SUMPRODUCT(MAX(ROW(E2957:E$2)*(E2958=E2957:E$2)))))</f>
        <v> </v>
      </c>
      <c r="J2958" s="25" t="str">
        <f>IF(OR(E2958="",E2958="!!!",F2958="NEW"),"",COUNTBLANK(OFFSET(A$1,,,SUMPRODUCT(MAX(ROW(E$2:E2958)*(E2958=E$2:E2958)))))-COUNTBLANK(OFFSET(A$1,,,SUMPRODUCT(MAX(ROW(E$1:E2957)*(E2=E$1:E2957))))))</f>
        <v> </v>
      </c>
      <c r="K2958" s="25" t="str">
        <f>IF(OR(E2958="",E2958="!!!",F2958="NEW"),"",INDEX(J$1:J2957,SUMPRODUCT(MAX(ROW(E$1:E2957)*(E2958=E$1:E2957)))))</f>
        <v> </v>
      </c>
      <c r="L2958" s="26"/>
    </row>
    <row r="2959" spans="1:12">
      <c r="A2959" s="20" t="s">
        <v>651</v>
      </c>
      <c r="B2959" s="27" t="s">
        <v>619</v>
      </c>
      <c r="C2959" s="27" t="s">
        <v>652</v>
      </c>
      <c r="D2959" s="27" t="s">
        <v>608</v>
      </c>
      <c r="E2959" s="21">
        <f>IF(D2959="?OLD","!!!","")</f>
        <v/>
      </c>
      <c r="F2959" s="22" t="str">
        <f>IF(OR(E2959="",E2959="!!!"),"",IF(NOT(ISNA(VLOOKUP(E2959,E$1:E2958,1,FALSE()))),"OLD",IF(AND(E2959&lt;&gt;"",E2959&lt;&gt;"!!!"),"NEW","")))</f>
        <v> </v>
      </c>
      <c r="G2959" s="23" t="str">
        <f>IF(OR(E2959="",E2959="!!!"),"",IF(OR(J2959=0,AND(J2959=1,K2959=1),AND(J2959=1,I2959="SBJ"),AND(J2959=1,I2959=0)),"?IN_FOCUS",IF(J2959&lt;=2,"?ACTIVATED",IF(J2959&lt;&gt;"","?FAMILIAR",IF(F2959="NEW",IF(ISNA(VLOOKUP(E2959,#REF!,1,FALSE())),"?TYPE_IDENTIFIABLE","?REFERENTIAL"),"_")))))</f>
        <v> </v>
      </c>
      <c r="H2959" s="24" t="str">
        <f>IF(J2959&lt;&gt;1,"",IF(I2959="SBJ","CB","?"))</f>
        <v> </v>
      </c>
      <c r="I2959" s="25" t="str">
        <f>IF(OR(E2959="",E2959="!!!",F2959="NEW"),"",INDEX(B2958:B$2,-1+SUMPRODUCT(MAX(ROW(E2958:E$2)*(E2959=E2958:E$2)))))</f>
        <v> </v>
      </c>
      <c r="J2959" s="25" t="str">
        <f>IF(OR(E2959="",E2959="!!!",F2959="NEW"),"",COUNTBLANK(OFFSET(A$1,,,SUMPRODUCT(MAX(ROW(E$2:E2959)*(E2959=E$2:E2959)))))-COUNTBLANK(OFFSET(A$1,,,SUMPRODUCT(MAX(ROW(E$1:E2958)*(E2=E$1:E2958))))))</f>
        <v> </v>
      </c>
      <c r="K2959" s="25" t="str">
        <f>IF(OR(E2959="",E2959="!!!",F2959="NEW"),"",INDEX(J$1:J2958,SUMPRODUCT(MAX(ROW(E$1:E2958)*(E2959=E$1:E2958)))))</f>
        <v> </v>
      </c>
      <c r="L2959" s="26"/>
    </row>
    <row r="2960" spans="1:12">
      <c r="A2960" s="20" t="s">
        <v>1006</v>
      </c>
      <c r="B2960" s="27" t="s">
        <v>625</v>
      </c>
      <c r="C2960" s="27" t="s">
        <v>614</v>
      </c>
      <c r="D2960" s="27" t="s">
        <v>608</v>
      </c>
      <c r="E2960" s="21">
        <f>IF(D2960="?OLD","!!!","")</f>
        <v/>
      </c>
      <c r="F2960" s="22" t="str">
        <f>IF(OR(E2960="",E2960="!!!"),"",IF(NOT(ISNA(VLOOKUP(E2960,E$1:E2959,1,FALSE()))),"OLD",IF(AND(E2960&lt;&gt;"",E2960&lt;&gt;"!!!"),"NEW","")))</f>
        <v> </v>
      </c>
      <c r="G2960" s="23" t="str">
        <f>IF(OR(E2960="",E2960="!!!"),"",IF(OR(J2960=0,AND(J2960=1,K2960=1),AND(J2960=1,I2960="SBJ"),AND(J2960=1,I2960=0)),"?IN_FOCUS",IF(J2960&lt;=2,"?ACTIVATED",IF(J2960&lt;&gt;"","?FAMILIAR",IF(F2960="NEW",IF(ISNA(VLOOKUP(E2960,#REF!,1,FALSE())),"?TYPE_IDENTIFIABLE","?REFERENTIAL"),"_")))))</f>
        <v> </v>
      </c>
      <c r="H2960" s="24" t="str">
        <f>IF(J2960&lt;&gt;1,"",IF(I2960="SBJ","CB","?"))</f>
        <v> </v>
      </c>
      <c r="I2960" s="25" t="str">
        <f>IF(OR(E2960="",E2960="!!!",F2960="NEW"),"",INDEX(B2959:B$2,-1+SUMPRODUCT(MAX(ROW(E2959:E$2)*(E2960=E2959:E$2)))))</f>
        <v> </v>
      </c>
      <c r="J2960" s="25" t="str">
        <f>IF(OR(E2960="",E2960="!!!",F2960="NEW"),"",COUNTBLANK(OFFSET(A$1,,,SUMPRODUCT(MAX(ROW(E$2:E2960)*(E2960=E$2:E2960)))))-COUNTBLANK(OFFSET(A$1,,,SUMPRODUCT(MAX(ROW(E$1:E2959)*(E2=E$1:E2959))))))</f>
        <v> </v>
      </c>
      <c r="K2960" s="25" t="str">
        <f>IF(OR(E2960="",E2960="!!!",F2960="NEW"),"",INDEX(J$1:J2959,SUMPRODUCT(MAX(ROW(E$1:E2959)*(E2960=E$1:E2959)))))</f>
        <v> </v>
      </c>
      <c r="L2960" s="26"/>
    </row>
    <row r="2961" spans="1:12">
      <c r="A2961" s="20" t="s">
        <v>615</v>
      </c>
      <c r="B2961" s="27" t="s">
        <v>657</v>
      </c>
      <c r="C2961" s="27" t="s">
        <v>616</v>
      </c>
      <c r="D2961" s="27" t="s">
        <v>608</v>
      </c>
      <c r="E2961" s="21">
        <f>IF(D2961="?OLD","!!!","")</f>
        <v/>
      </c>
      <c r="F2961" s="22" t="str">
        <f>IF(OR(E2961="",E2961="!!!"),"",IF(NOT(ISNA(VLOOKUP(E2961,E$1:E2960,1,FALSE()))),"OLD",IF(AND(E2961&lt;&gt;"",E2961&lt;&gt;"!!!"),"NEW","")))</f>
        <v> </v>
      </c>
      <c r="G2961" s="23" t="str">
        <f>IF(OR(E2961="",E2961="!!!"),"",IF(OR(J2961=0,AND(J2961=1,K2961=1),AND(J2961=1,I2961="SBJ"),AND(J2961=1,I2961=0)),"?IN_FOCUS",IF(J2961&lt;=2,"?ACTIVATED",IF(J2961&lt;&gt;"","?FAMILIAR",IF(F2961="NEW",IF(ISNA(VLOOKUP(E2961,#REF!,1,FALSE())),"?TYPE_IDENTIFIABLE","?REFERENTIAL"),"_")))))</f>
        <v> </v>
      </c>
      <c r="H2961" s="24" t="str">
        <f>IF(J2961&lt;&gt;1,"",IF(I2961="SBJ","CB","?"))</f>
        <v> </v>
      </c>
      <c r="I2961" s="25" t="str">
        <f>IF(OR(E2961="",E2961="!!!",F2961="NEW"),"",INDEX(B2960:B$2,-1+SUMPRODUCT(MAX(ROW(E2960:E$2)*(E2961=E2960:E$2)))))</f>
        <v> </v>
      </c>
      <c r="J2961" s="25" t="str">
        <f>IF(OR(E2961="",E2961="!!!",F2961="NEW"),"",COUNTBLANK(OFFSET(A$1,,,SUMPRODUCT(MAX(ROW(E$2:E2961)*(E2961=E$2:E2961)))))-COUNTBLANK(OFFSET(A$1,,,SUMPRODUCT(MAX(ROW(E$1:E2960)*(E2=E$1:E2960))))))</f>
        <v> </v>
      </c>
      <c r="K2961" s="25" t="str">
        <f>IF(OR(E2961="",E2961="!!!",F2961="NEW"),"",INDEX(J$1:J2960,SUMPRODUCT(MAX(ROW(E$1:E2960)*(E2961=E$1:E2960)))))</f>
        <v> </v>
      </c>
      <c r="L2961" s="26"/>
    </row>
    <row r="2962" spans="1:12">
      <c r="A2962" s="20" t="s">
        <v>707</v>
      </c>
      <c r="E2962" s="21">
        <f>IF(D2962="?OLD","!!!","")</f>
        <v/>
      </c>
      <c r="F2962" s="22" t="str">
        <f>IF(OR(E2962="",E2962="!!!"),"",IF(NOT(ISNA(VLOOKUP(E2962,E$1:E2961,1,FALSE()))),"OLD",IF(AND(E2962&lt;&gt;"",E2962&lt;&gt;"!!!"),"NEW","")))</f>
        <v> </v>
      </c>
      <c r="G2962" s="23" t="str">
        <f>IF(OR(E2962="",E2962="!!!"),"",IF(OR(J2962=0,AND(J2962=1,K2962=1),AND(J2962=1,I2962="SBJ"),AND(J2962=1,I2962=0)),"?IN_FOCUS",IF(J2962&lt;=2,"?ACTIVATED",IF(J2962&lt;&gt;"","?FAMILIAR",IF(F2962="NEW",IF(ISNA(VLOOKUP(E2962,#REF!,1,FALSE())),"?TYPE_IDENTIFIABLE","?REFERENTIAL"),"_")))))</f>
        <v> </v>
      </c>
      <c r="H2962" s="24" t="str">
        <f>IF(J2962&lt;&gt;1,"",IF(I2962="SBJ","CB","?"))</f>
        <v> </v>
      </c>
      <c r="I2962" s="25" t="str">
        <f>IF(OR(E2962="",E2962="!!!",F2962="NEW"),"",INDEX(B2961:B$2,-1+SUMPRODUCT(MAX(ROW(E2961:E$2)*(E2962=E2961:E$2)))))</f>
        <v> </v>
      </c>
      <c r="J2962" s="25" t="str">
        <f>IF(OR(E2962="",E2962="!!!",F2962="NEW"),"",COUNTBLANK(OFFSET(A$1,,,SUMPRODUCT(MAX(ROW(E$2:E2962)*(E2962=E$2:E2962)))))-COUNTBLANK(OFFSET(A$1,,,SUMPRODUCT(MAX(ROW(E$1:E2961)*(E2=E$1:E2961))))))</f>
        <v> </v>
      </c>
      <c r="K2962" s="25" t="str">
        <f>IF(OR(E2962="",E2962="!!!",F2962="NEW"),"",INDEX(J$1:J2961,SUMPRODUCT(MAX(ROW(E$1:E2961)*(E2962=E$1:E2961)))))</f>
        <v> </v>
      </c>
      <c r="L2962" s="26"/>
    </row>
    <row r="2963" spans="1:12">
      <c r="A2963" s="20" t="s">
        <v>603</v>
      </c>
      <c r="E2963" s="21">
        <f>IF(D2963="?OLD","!!!","")</f>
        <v/>
      </c>
      <c r="F2963" s="22" t="str">
        <f>IF(OR(E2963="",E2963="!!!"),"",IF(NOT(ISNA(VLOOKUP(E2963,E$1:E2962,1,FALSE()))),"OLD",IF(AND(E2963&lt;&gt;"",E2963&lt;&gt;"!!!"),"NEW","")))</f>
        <v> </v>
      </c>
      <c r="G2963" s="23" t="str">
        <f>IF(OR(E2963="",E2963="!!!"),"",IF(OR(J2963=0,AND(J2963=1,K2963=1),AND(J2963=1,I2963="SBJ"),AND(J2963=1,I2963=0)),"?IN_FOCUS",IF(J2963&lt;=2,"?ACTIVATED",IF(J2963&lt;&gt;"","?FAMILIAR",IF(F2963="NEW",IF(ISNA(VLOOKUP(E2963,#REF!,1,FALSE())),"?TYPE_IDENTIFIABLE","?REFERENTIAL"),"_")))))</f>
        <v> </v>
      </c>
      <c r="H2963" s="24" t="str">
        <f>IF(J2963&lt;&gt;1,"",IF(I2963="SBJ","CB","?"))</f>
        <v> </v>
      </c>
      <c r="I2963" s="25" t="str">
        <f>IF(OR(E2963="",E2963="!!!",F2963="NEW"),"",INDEX(B2962:B$2,-1+SUMPRODUCT(MAX(ROW(E2962:E$2)*(E2963=E2962:E$2)))))</f>
        <v> </v>
      </c>
      <c r="J2963" s="25" t="str">
        <f>IF(OR(E2963="",E2963="!!!",F2963="NEW"),"",COUNTBLANK(OFFSET(A$1,,,SUMPRODUCT(MAX(ROW(E$2:E2963)*(E2963=E$2:E2963)))))-COUNTBLANK(OFFSET(A$1,,,SUMPRODUCT(MAX(ROW(E$1:E2962)*(E2=E$1:E2962))))))</f>
        <v> </v>
      </c>
      <c r="K2963" s="25" t="str">
        <f>IF(OR(E2963="",E2963="!!!",F2963="NEW"),"",INDEX(J$1:J2962,SUMPRODUCT(MAX(ROW(E$1:E2962)*(E2963=E$1:E2962)))))</f>
        <v> </v>
      </c>
      <c r="L2963" s="26"/>
    </row>
    <row r="2964" spans="1:12">
      <c r="A2964" s="20" t="s">
        <v>1606</v>
      </c>
      <c r="B2964" s="27" t="s">
        <v>611</v>
      </c>
      <c r="C2964" s="27" t="s">
        <v>607</v>
      </c>
      <c r="D2964" s="27" t="s">
        <v>608</v>
      </c>
      <c r="E2964" s="21">
        <f>IF(D2964="?OLD","!!!","")</f>
        <v/>
      </c>
      <c r="F2964" s="22" t="str">
        <f>IF(OR(E2964="",E2964="!!!"),"",IF(NOT(ISNA(VLOOKUP(E2964,E$1:E2963,1,FALSE()))),"OLD",IF(AND(E2964&lt;&gt;"",E2964&lt;&gt;"!!!"),"NEW","")))</f>
        <v> </v>
      </c>
      <c r="G2964" s="23" t="str">
        <f>IF(OR(E2964="",E2964="!!!"),"",IF(OR(J2964=0,AND(J2964=1,K2964=1),AND(J2964=1,I2964="SBJ"),AND(J2964=1,I2964=0)),"?IN_FOCUS",IF(J2964&lt;=2,"?ACTIVATED",IF(J2964&lt;&gt;"","?FAMILIAR",IF(F2964="NEW",IF(ISNA(VLOOKUP(E2964,#REF!,1,FALSE())),"?TYPE_IDENTIFIABLE","?REFERENTIAL"),"_")))))</f>
        <v> </v>
      </c>
      <c r="H2964" s="24" t="str">
        <f>IF(J2964&lt;&gt;1,"",IF(I2964="SBJ","CB","?"))</f>
        <v> </v>
      </c>
      <c r="I2964" s="25" t="str">
        <f>IF(OR(E2964="",E2964="!!!",F2964="NEW"),"",INDEX(B2963:B$2,-1+SUMPRODUCT(MAX(ROW(E2963:E$2)*(E2964=E2963:E$2)))))</f>
        <v> </v>
      </c>
      <c r="J2964" s="25" t="str">
        <f>IF(OR(E2964="",E2964="!!!",F2964="NEW"),"",COUNTBLANK(OFFSET(A$1,,,SUMPRODUCT(MAX(ROW(E$2:E2964)*(E2964=E$2:E2964)))))-COUNTBLANK(OFFSET(A$1,,,SUMPRODUCT(MAX(ROW(E$1:E2963)*(E2=E$1:E2963))))))</f>
        <v> </v>
      </c>
      <c r="K2964" s="25" t="str">
        <f>IF(OR(E2964="",E2964="!!!",F2964="NEW"),"",INDEX(J$1:J2963,SUMPRODUCT(MAX(ROW(E$1:E2963)*(E2964=E$1:E2963)))))</f>
        <v> </v>
      </c>
      <c r="L2964" s="26"/>
    </row>
    <row r="2965" spans="1:12">
      <c r="A2965" s="20" t="s">
        <v>822</v>
      </c>
      <c r="E2965" s="21">
        <f>IF(D2965="?OLD","!!!","")</f>
        <v/>
      </c>
      <c r="F2965" s="22" t="str">
        <f>IF(OR(E2965="",E2965="!!!"),"",IF(NOT(ISNA(VLOOKUP(E2965,E$1:E2964,1,FALSE()))),"OLD",IF(AND(E2965&lt;&gt;"",E2965&lt;&gt;"!!!"),"NEW","")))</f>
        <v> </v>
      </c>
      <c r="G2965" s="23" t="str">
        <f>IF(OR(E2965="",E2965="!!!"),"",IF(OR(J2965=0,AND(J2965=1,K2965=1),AND(J2965=1,I2965="SBJ"),AND(J2965=1,I2965=0)),"?IN_FOCUS",IF(J2965&lt;=2,"?ACTIVATED",IF(J2965&lt;&gt;"","?FAMILIAR",IF(F2965="NEW",IF(ISNA(VLOOKUP(E2965,#REF!,1,FALSE())),"?TYPE_IDENTIFIABLE","?REFERENTIAL"),"_")))))</f>
        <v> </v>
      </c>
      <c r="H2965" s="24" t="str">
        <f>IF(J2965&lt;&gt;1,"",IF(I2965="SBJ","CB","?"))</f>
        <v> </v>
      </c>
      <c r="I2965" s="25" t="str">
        <f>IF(OR(E2965="",E2965="!!!",F2965="NEW"),"",INDEX(B2964:B$2,-1+SUMPRODUCT(MAX(ROW(E2964:E$2)*(E2965=E2964:E$2)))))</f>
        <v> </v>
      </c>
      <c r="J2965" s="25" t="str">
        <f>IF(OR(E2965="",E2965="!!!",F2965="NEW"),"",COUNTBLANK(OFFSET(A$1,,,SUMPRODUCT(MAX(ROW(E$2:E2965)*(E2965=E$2:E2965)))))-COUNTBLANK(OFFSET(A$1,,,SUMPRODUCT(MAX(ROW(E$1:E2964)*(E2=E$1:E2964))))))</f>
        <v> </v>
      </c>
      <c r="K2965" s="25" t="str">
        <f>IF(OR(E2965="",E2965="!!!",F2965="NEW"),"",INDEX(J$1:J2964,SUMPRODUCT(MAX(ROW(E$1:E2964)*(E2965=E$1:E2964)))))</f>
        <v> </v>
      </c>
      <c r="L2965" s="26"/>
    </row>
    <row r="2966" spans="1:12">
      <c r="A2966" s="20" t="s">
        <v>658</v>
      </c>
      <c r="E2966" s="21">
        <f>IF(D2966="?OLD","!!!","")</f>
        <v/>
      </c>
      <c r="F2966" s="22" t="str">
        <f>IF(OR(E2966="",E2966="!!!"),"",IF(NOT(ISNA(VLOOKUP(E2966,E$1:E2965,1,FALSE()))),"OLD",IF(AND(E2966&lt;&gt;"",E2966&lt;&gt;"!!!"),"NEW","")))</f>
        <v> </v>
      </c>
      <c r="G2966" s="23" t="str">
        <f>IF(OR(E2966="",E2966="!!!"),"",IF(OR(J2966=0,AND(J2966=1,K2966=1),AND(J2966=1,I2966="SBJ"),AND(J2966=1,I2966=0)),"?IN_FOCUS",IF(J2966&lt;=2,"?ACTIVATED",IF(J2966&lt;&gt;"","?FAMILIAR",IF(F2966="NEW",IF(ISNA(VLOOKUP(E2966,#REF!,1,FALSE())),"?TYPE_IDENTIFIABLE","?REFERENTIAL"),"_")))))</f>
        <v> </v>
      </c>
      <c r="H2966" s="24" t="str">
        <f>IF(J2966&lt;&gt;1,"",IF(I2966="SBJ","CB","?"))</f>
        <v> </v>
      </c>
      <c r="I2966" s="25" t="str">
        <f>IF(OR(E2966="",E2966="!!!",F2966="NEW"),"",INDEX(B2965:B$2,-1+SUMPRODUCT(MAX(ROW(E2965:E$2)*(E2966=E2965:E$2)))))</f>
        <v> </v>
      </c>
      <c r="J2966" s="25" t="str">
        <f>IF(OR(E2966="",E2966="!!!",F2966="NEW"),"",COUNTBLANK(OFFSET(A$1,,,SUMPRODUCT(MAX(ROW(E$2:E2966)*(E2966=E$2:E2966)))))-COUNTBLANK(OFFSET(A$1,,,SUMPRODUCT(MAX(ROW(E$1:E2965)*(E2=E$1:E2965))))))</f>
        <v> </v>
      </c>
      <c r="K2966" s="25" t="str">
        <f>IF(OR(E2966="",E2966="!!!",F2966="NEW"),"",INDEX(J$1:J2965,SUMPRODUCT(MAX(ROW(E$1:E2965)*(E2966=E$1:E2965)))))</f>
        <v> </v>
      </c>
      <c r="L2966" s="26"/>
    </row>
    <row r="2967" spans="1:12">
      <c r="A2967" s="20" t="s">
        <v>1590</v>
      </c>
      <c r="B2967" s="27" t="s">
        <v>625</v>
      </c>
      <c r="C2967" s="27" t="s">
        <v>607</v>
      </c>
      <c r="D2967" s="27" t="s">
        <v>608</v>
      </c>
      <c r="E2967" s="21">
        <f>IF(D2967="?OLD","!!!","")</f>
        <v/>
      </c>
      <c r="F2967" s="22" t="str">
        <f>IF(OR(E2967="",E2967="!!!"),"",IF(NOT(ISNA(VLOOKUP(E2967,E$1:E2966,1,FALSE()))),"OLD",IF(AND(E2967&lt;&gt;"",E2967&lt;&gt;"!!!"),"NEW","")))</f>
        <v> </v>
      </c>
      <c r="G2967" s="23" t="str">
        <f>IF(OR(E2967="",E2967="!!!"),"",IF(OR(J2967=0,AND(J2967=1,K2967=1),AND(J2967=1,I2967="SBJ"),AND(J2967=1,I2967=0)),"?IN_FOCUS",IF(J2967&lt;=2,"?ACTIVATED",IF(J2967&lt;&gt;"","?FAMILIAR",IF(F2967="NEW",IF(ISNA(VLOOKUP(E2967,#REF!,1,FALSE())),"?TYPE_IDENTIFIABLE","?REFERENTIAL"),"_")))))</f>
        <v> </v>
      </c>
      <c r="H2967" s="24" t="str">
        <f>IF(J2967&lt;&gt;1,"",IF(I2967="SBJ","CB","?"))</f>
        <v> </v>
      </c>
      <c r="I2967" s="25" t="str">
        <f>IF(OR(E2967="",E2967="!!!",F2967="NEW"),"",INDEX(B2966:B$2,-1+SUMPRODUCT(MAX(ROW(E2966:E$2)*(E2967=E2966:E$2)))))</f>
        <v> </v>
      </c>
      <c r="J2967" s="25" t="str">
        <f>IF(OR(E2967="",E2967="!!!",F2967="NEW"),"",COUNTBLANK(OFFSET(A$1,,,SUMPRODUCT(MAX(ROW(E$2:E2967)*(E2967=E$2:E2967)))))-COUNTBLANK(OFFSET(A$1,,,SUMPRODUCT(MAX(ROW(E$1:E2966)*(E2=E$1:E2966))))))</f>
        <v> </v>
      </c>
      <c r="K2967" s="25" t="str">
        <f>IF(OR(E2967="",E2967="!!!",F2967="NEW"),"",INDEX(J$1:J2966,SUMPRODUCT(MAX(ROW(E$1:E2966)*(E2967=E$1:E2966)))))</f>
        <v> </v>
      </c>
      <c r="L2967" s="26"/>
    </row>
    <row r="2968" spans="1:12">
      <c r="A2968" s="20" t="s">
        <v>609</v>
      </c>
      <c r="E2968" s="21">
        <f>IF(D2968="?OLD","!!!","")</f>
        <v/>
      </c>
      <c r="F2968" s="22" t="str">
        <f>IF(OR(E2968="",E2968="!!!"),"",IF(NOT(ISNA(VLOOKUP(E2968,E$1:E2967,1,FALSE()))),"OLD",IF(AND(E2968&lt;&gt;"",E2968&lt;&gt;"!!!"),"NEW","")))</f>
        <v> </v>
      </c>
      <c r="G2968" s="23" t="str">
        <f>IF(OR(E2968="",E2968="!!!"),"",IF(OR(J2968=0,AND(J2968=1,K2968=1),AND(J2968=1,I2968="SBJ"),AND(J2968=1,I2968=0)),"?IN_FOCUS",IF(J2968&lt;=2,"?ACTIVATED",IF(J2968&lt;&gt;"","?FAMILIAR",IF(F2968="NEW",IF(ISNA(VLOOKUP(E2968,#REF!,1,FALSE())),"?TYPE_IDENTIFIABLE","?REFERENTIAL"),"_")))))</f>
        <v> </v>
      </c>
      <c r="H2968" s="24" t="str">
        <f>IF(J2968&lt;&gt;1,"",IF(I2968="SBJ","CB","?"))</f>
        <v> </v>
      </c>
      <c r="I2968" s="25" t="str">
        <f>IF(OR(E2968="",E2968="!!!",F2968="NEW"),"",INDEX(B2967:B$2,-1+SUMPRODUCT(MAX(ROW(E2967:E$2)*(E2968=E2967:E$2)))))</f>
        <v> </v>
      </c>
      <c r="J2968" s="25" t="str">
        <f>IF(OR(E2968="",E2968="!!!",F2968="NEW"),"",COUNTBLANK(OFFSET(A$1,,,SUMPRODUCT(MAX(ROW(E$2:E2968)*(E2968=E$2:E2968)))))-COUNTBLANK(OFFSET(A$1,,,SUMPRODUCT(MAX(ROW(E$1:E2967)*(E2=E$1:E2967))))))</f>
        <v> </v>
      </c>
      <c r="K2968" s="25" t="str">
        <f>IF(OR(E2968="",E2968="!!!",F2968="NEW"),"",INDEX(J$1:J2967,SUMPRODUCT(MAX(ROW(E$1:E2967)*(E2968=E$1:E2967)))))</f>
        <v> </v>
      </c>
      <c r="L2968" s="26"/>
    </row>
    <row r="2969" spans="1:12">
      <c r="A2969" s="20" t="s">
        <v>621</v>
      </c>
      <c r="B2969" s="27" t="s">
        <v>664</v>
      </c>
      <c r="C2969" s="27" t="s">
        <v>607</v>
      </c>
      <c r="D2969" s="27" t="s">
        <v>608</v>
      </c>
      <c r="E2969" s="21">
        <f>IF(D2969="?OLD","!!!","")</f>
        <v/>
      </c>
      <c r="F2969" s="22" t="str">
        <f>IF(OR(E2969="",E2969="!!!"),"",IF(NOT(ISNA(VLOOKUP(E2969,E$1:E2968,1,FALSE()))),"OLD",IF(AND(E2969&lt;&gt;"",E2969&lt;&gt;"!!!"),"NEW","")))</f>
        <v> </v>
      </c>
      <c r="G2969" s="23" t="str">
        <f>IF(OR(E2969="",E2969="!!!"),"",IF(OR(J2969=0,AND(J2969=1,K2969=1),AND(J2969=1,I2969="SBJ"),AND(J2969=1,I2969=0)),"?IN_FOCUS",IF(J2969&lt;=2,"?ACTIVATED",IF(J2969&lt;&gt;"","?FAMILIAR",IF(F2969="NEW",IF(ISNA(VLOOKUP(E2969,#REF!,1,FALSE())),"?TYPE_IDENTIFIABLE","?REFERENTIAL"),"_")))))</f>
        <v> </v>
      </c>
      <c r="H2969" s="24" t="str">
        <f>IF(J2969&lt;&gt;1,"",IF(I2969="SBJ","CB","?"))</f>
        <v> </v>
      </c>
      <c r="I2969" s="25" t="str">
        <f>IF(OR(E2969="",E2969="!!!",F2969="NEW"),"",INDEX(B2968:B$2,-1+SUMPRODUCT(MAX(ROW(E2968:E$2)*(E2969=E2968:E$2)))))</f>
        <v> </v>
      </c>
      <c r="J2969" s="25" t="str">
        <f>IF(OR(E2969="",E2969="!!!",F2969="NEW"),"",COUNTBLANK(OFFSET(A$1,,,SUMPRODUCT(MAX(ROW(E$2:E2969)*(E2969=E$2:E2969)))))-COUNTBLANK(OFFSET(A$1,,,SUMPRODUCT(MAX(ROW(E$1:E2968)*(E2=E$1:E2968))))))</f>
        <v> </v>
      </c>
      <c r="K2969" s="25" t="str">
        <f>IF(OR(E2969="",E2969="!!!",F2969="NEW"),"",INDEX(J$1:J2968,SUMPRODUCT(MAX(ROW(E$1:E2968)*(E2969=E$1:E2968)))))</f>
        <v> </v>
      </c>
      <c r="L2969" s="26"/>
    </row>
    <row r="2970" spans="1:12">
      <c r="A2970" s="20" t="s">
        <v>617</v>
      </c>
      <c r="E2970" s="21">
        <f>IF(D2970="?OLD","!!!","")</f>
        <v/>
      </c>
      <c r="F2970" s="22" t="str">
        <f>IF(OR(E2970="",E2970="!!!"),"",IF(NOT(ISNA(VLOOKUP(E2970,E$1:E2969,1,FALSE()))),"OLD",IF(AND(E2970&lt;&gt;"",E2970&lt;&gt;"!!!"),"NEW","")))</f>
        <v> </v>
      </c>
      <c r="G2970" s="23" t="str">
        <f>IF(OR(E2970="",E2970="!!!"),"",IF(OR(J2970=0,AND(J2970=1,K2970=1),AND(J2970=1,I2970="SBJ"),AND(J2970=1,I2970=0)),"?IN_FOCUS",IF(J2970&lt;=2,"?ACTIVATED",IF(J2970&lt;&gt;"","?FAMILIAR",IF(F2970="NEW",IF(ISNA(VLOOKUP(E2970,#REF!,1,FALSE())),"?TYPE_IDENTIFIABLE","?REFERENTIAL"),"_")))))</f>
        <v> </v>
      </c>
      <c r="H2970" s="24" t="str">
        <f>IF(J2970&lt;&gt;1,"",IF(I2970="SBJ","CB","?"))</f>
        <v> </v>
      </c>
      <c r="I2970" s="25" t="str">
        <f>IF(OR(E2970="",E2970="!!!",F2970="NEW"),"",INDEX(B2969:B$2,-1+SUMPRODUCT(MAX(ROW(E2969:E$2)*(E2970=E2969:E$2)))))</f>
        <v> </v>
      </c>
      <c r="J2970" s="25" t="str">
        <f>IF(OR(E2970="",E2970="!!!",F2970="NEW"),"",COUNTBLANK(OFFSET(A$1,,,SUMPRODUCT(MAX(ROW(E$2:E2970)*(E2970=E$2:E2970)))))-COUNTBLANK(OFFSET(A$1,,,SUMPRODUCT(MAX(ROW(E$1:E2969)*(E2=E$1:E2969))))))</f>
        <v> </v>
      </c>
      <c r="K2970" s="25" t="str">
        <f>IF(OR(E2970="",E2970="!!!",F2970="NEW"),"",INDEX(J$1:J2969,SUMPRODUCT(MAX(ROW(E$1:E2969)*(E2970=E$1:E2969)))))</f>
        <v> </v>
      </c>
      <c r="L2970" s="26"/>
    </row>
    <row r="2971" spans="1:12">
      <c r="A2971" s="20" t="s">
        <v>618</v>
      </c>
      <c r="B2971" s="27" t="s">
        <v>999</v>
      </c>
      <c r="E2971" s="21">
        <f>IF(D2971="?OLD","!!!","")</f>
        <v/>
      </c>
      <c r="F2971" s="22" t="str">
        <f>IF(OR(E2971="",E2971="!!!"),"",IF(NOT(ISNA(VLOOKUP(E2971,E$1:E2970,1,FALSE()))),"OLD",IF(AND(E2971&lt;&gt;"",E2971&lt;&gt;"!!!"),"NEW","")))</f>
        <v> </v>
      </c>
      <c r="G2971" s="23" t="str">
        <f>IF(OR(E2971="",E2971="!!!"),"",IF(OR(J2971=0,AND(J2971=1,K2971=1),AND(J2971=1,I2971="SBJ"),AND(J2971=1,I2971=0)),"?IN_FOCUS",IF(J2971&lt;=2,"?ACTIVATED",IF(J2971&lt;&gt;"","?FAMILIAR",IF(F2971="NEW",IF(ISNA(VLOOKUP(E2971,#REF!,1,FALSE())),"?TYPE_IDENTIFIABLE","?REFERENTIAL"),"_")))))</f>
        <v> </v>
      </c>
      <c r="H2971" s="24" t="str">
        <f>IF(J2971&lt;&gt;1,"",IF(I2971="SBJ","CB","?"))</f>
        <v> </v>
      </c>
      <c r="I2971" s="25" t="str">
        <f>IF(OR(E2971="",E2971="!!!",F2971="NEW"),"",INDEX(B2970:B$2,-1+SUMPRODUCT(MAX(ROW(E2970:E$2)*(E2971=E2970:E$2)))))</f>
        <v> </v>
      </c>
      <c r="J2971" s="25" t="str">
        <f>IF(OR(E2971="",E2971="!!!",F2971="NEW"),"",COUNTBLANK(OFFSET(A$1,,,SUMPRODUCT(MAX(ROW(E$2:E2971)*(E2971=E$2:E2971)))))-COUNTBLANK(OFFSET(A$1,,,SUMPRODUCT(MAX(ROW(E$1:E2970)*(E2=E$1:E2970))))))</f>
        <v> </v>
      </c>
      <c r="K2971" s="25" t="str">
        <f>IF(OR(E2971="",E2971="!!!",F2971="NEW"),"",INDEX(J$1:J2970,SUMPRODUCT(MAX(ROW(E$1:E2970)*(E2971=E$1:E2970)))))</f>
        <v> </v>
      </c>
      <c r="L2971" s="26"/>
    </row>
    <row r="2972" spans="1:12">
      <c r="A2972" s="20" t="s">
        <v>822</v>
      </c>
      <c r="E2972" s="21">
        <f>IF(D2972="?OLD","!!!","")</f>
        <v/>
      </c>
      <c r="F2972" s="22" t="str">
        <f>IF(OR(E2972="",E2972="!!!"),"",IF(NOT(ISNA(VLOOKUP(E2972,E$1:E2971,1,FALSE()))),"OLD",IF(AND(E2972&lt;&gt;"",E2972&lt;&gt;"!!!"),"NEW","")))</f>
        <v> </v>
      </c>
      <c r="G2972" s="23" t="str">
        <f>IF(OR(E2972="",E2972="!!!"),"",IF(OR(J2972=0,AND(J2972=1,K2972=1),AND(J2972=1,I2972="SBJ"),AND(J2972=1,I2972=0)),"?IN_FOCUS",IF(J2972&lt;=2,"?ACTIVATED",IF(J2972&lt;&gt;"","?FAMILIAR",IF(F2972="NEW",IF(ISNA(VLOOKUP(E2972,#REF!,1,FALSE())),"?TYPE_IDENTIFIABLE","?REFERENTIAL"),"_")))))</f>
        <v> </v>
      </c>
      <c r="H2972" s="24" t="str">
        <f>IF(J2972&lt;&gt;1,"",IF(I2972="SBJ","CB","?"))</f>
        <v> </v>
      </c>
      <c r="I2972" s="25" t="str">
        <f>IF(OR(E2972="",E2972="!!!",F2972="NEW"),"",INDEX(B2971:B$2,-1+SUMPRODUCT(MAX(ROW(E2971:E$2)*(E2972=E2971:E$2)))))</f>
        <v> </v>
      </c>
      <c r="J2972" s="25" t="str">
        <f>IF(OR(E2972="",E2972="!!!",F2972="NEW"),"",COUNTBLANK(OFFSET(A$1,,,SUMPRODUCT(MAX(ROW(E$2:E2972)*(E2972=E$2:E2972)))))-COUNTBLANK(OFFSET(A$1,,,SUMPRODUCT(MAX(ROW(E$1:E2971)*(E2=E$1:E2971))))))</f>
        <v> </v>
      </c>
      <c r="K2972" s="25" t="str">
        <f>IF(OR(E2972="",E2972="!!!",F2972="NEW"),"",INDEX(J$1:J2971,SUMPRODUCT(MAX(ROW(E$1:E2971)*(E2972=E$1:E2971)))))</f>
        <v> </v>
      </c>
      <c r="L2972" s="26"/>
    </row>
    <row r="2973" spans="1:12">
      <c r="A2973" s="20" t="s">
        <v>1302</v>
      </c>
      <c r="B2973" s="27" t="s">
        <v>670</v>
      </c>
      <c r="C2973" s="27" t="s">
        <v>637</v>
      </c>
      <c r="D2973" s="27" t="s">
        <v>608</v>
      </c>
      <c r="E2973" s="21">
        <f>IF(D2973="?OLD","!!!","")</f>
        <v/>
      </c>
      <c r="F2973" s="22" t="str">
        <f>IF(OR(E2973="",E2973="!!!"),"",IF(NOT(ISNA(VLOOKUP(E2973,E$1:E2972,1,FALSE()))),"OLD",IF(AND(E2973&lt;&gt;"",E2973&lt;&gt;"!!!"),"NEW","")))</f>
        <v> </v>
      </c>
      <c r="G2973" s="23" t="str">
        <f>IF(OR(E2973="",E2973="!!!"),"",IF(OR(J2973=0,AND(J2973=1,K2973=1),AND(J2973=1,I2973="SBJ"),AND(J2973=1,I2973=0)),"?IN_FOCUS",IF(J2973&lt;=2,"?ACTIVATED",IF(J2973&lt;&gt;"","?FAMILIAR",IF(F2973="NEW",IF(ISNA(VLOOKUP(E2973,#REF!,1,FALSE())),"?TYPE_IDENTIFIABLE","?REFERENTIAL"),"_")))))</f>
        <v> </v>
      </c>
      <c r="H2973" s="24" t="str">
        <f>IF(J2973&lt;&gt;1,"",IF(I2973="SBJ","CB","?"))</f>
        <v> </v>
      </c>
      <c r="I2973" s="25" t="str">
        <f>IF(OR(E2973="",E2973="!!!",F2973="NEW"),"",INDEX(B2972:B$2,-1+SUMPRODUCT(MAX(ROW(E2972:E$2)*(E2973=E2972:E$2)))))</f>
        <v> </v>
      </c>
      <c r="J2973" s="25" t="str">
        <f>IF(OR(E2973="",E2973="!!!",F2973="NEW"),"",COUNTBLANK(OFFSET(A$1,,,SUMPRODUCT(MAX(ROW(E$2:E2973)*(E2973=E$2:E2973)))))-COUNTBLANK(OFFSET(A$1,,,SUMPRODUCT(MAX(ROW(E$1:E2972)*(E2=E$1:E2972))))))</f>
        <v> </v>
      </c>
      <c r="K2973" s="25" t="str">
        <f>IF(OR(E2973="",E2973="!!!",F2973="NEW"),"",INDEX(J$1:J2972,SUMPRODUCT(MAX(ROW(E$1:E2972)*(E2973=E$1:E2972)))))</f>
        <v> </v>
      </c>
      <c r="L2973" s="26"/>
    </row>
    <row r="2974" spans="1:12">
      <c r="A2974" s="20" t="s">
        <v>349</v>
      </c>
      <c r="E2974" s="21">
        <f>IF(D2974="?OLD","!!!","")</f>
        <v/>
      </c>
      <c r="F2974" s="22" t="str">
        <f>IF(OR(E2974="",E2974="!!!"),"",IF(NOT(ISNA(VLOOKUP(E2974,E$1:E2973,1,FALSE()))),"OLD",IF(AND(E2974&lt;&gt;"",E2974&lt;&gt;"!!!"),"NEW","")))</f>
        <v> </v>
      </c>
      <c r="G2974" s="23" t="str">
        <f>IF(OR(E2974="",E2974="!!!"),"",IF(OR(J2974=0,AND(J2974=1,K2974=1),AND(J2974=1,I2974="SBJ"),AND(J2974=1,I2974=0)),"?IN_FOCUS",IF(J2974&lt;=2,"?ACTIVATED",IF(J2974&lt;&gt;"","?FAMILIAR",IF(F2974="NEW",IF(ISNA(VLOOKUP(E2974,#REF!,1,FALSE())),"?TYPE_IDENTIFIABLE","?REFERENTIAL"),"_")))))</f>
        <v> </v>
      </c>
      <c r="H2974" s="24" t="str">
        <f>IF(J2974&lt;&gt;1,"",IF(I2974="SBJ","CB","?"))</f>
        <v> </v>
      </c>
      <c r="I2974" s="25" t="str">
        <f>IF(OR(E2974="",E2974="!!!",F2974="NEW"),"",INDEX(B2973:B$2,-1+SUMPRODUCT(MAX(ROW(E2973:E$2)*(E2974=E2973:E$2)))))</f>
        <v> </v>
      </c>
      <c r="J2974" s="25" t="str">
        <f>IF(OR(E2974="",E2974="!!!",F2974="NEW"),"",COUNTBLANK(OFFSET(A$1,,,SUMPRODUCT(MAX(ROW(E$2:E2974)*(E2974=E$2:E2974)))))-COUNTBLANK(OFFSET(A$1,,,SUMPRODUCT(MAX(ROW(E$1:E2973)*(E2=E$1:E2973))))))</f>
        <v> </v>
      </c>
      <c r="K2974" s="25" t="str">
        <f>IF(OR(E2974="",E2974="!!!",F2974="NEW"),"",INDEX(J$1:J2973,SUMPRODUCT(MAX(ROW(E$1:E2973)*(E2974=E$1:E2973)))))</f>
        <v> </v>
      </c>
      <c r="L2974" s="26"/>
    </row>
    <row r="2975" spans="1:12">
      <c r="A2975" s="20" t="s">
        <v>617</v>
      </c>
      <c r="E2975" s="21">
        <f>IF(D2975="?OLD","!!!","")</f>
        <v/>
      </c>
      <c r="F2975" s="22" t="str">
        <f>IF(OR(E2975="",E2975="!!!"),"",IF(NOT(ISNA(VLOOKUP(E2975,E$1:E2974,1,FALSE()))),"OLD",IF(AND(E2975&lt;&gt;"",E2975&lt;&gt;"!!!"),"NEW","")))</f>
        <v> </v>
      </c>
      <c r="G2975" s="23" t="str">
        <f>IF(OR(E2975="",E2975="!!!"),"",IF(OR(J2975=0,AND(J2975=1,K2975=1),AND(J2975=1,I2975="SBJ"),AND(J2975=1,I2975=0)),"?IN_FOCUS",IF(J2975&lt;=2,"?ACTIVATED",IF(J2975&lt;&gt;"","?FAMILIAR",IF(F2975="NEW",IF(ISNA(VLOOKUP(E2975,#REF!,1,FALSE())),"?TYPE_IDENTIFIABLE","?REFERENTIAL"),"_")))))</f>
        <v> </v>
      </c>
      <c r="H2975" s="24" t="str">
        <f>IF(J2975&lt;&gt;1,"",IF(I2975="SBJ","CB","?"))</f>
        <v> </v>
      </c>
      <c r="I2975" s="25" t="str">
        <f>IF(OR(E2975="",E2975="!!!",F2975="NEW"),"",INDEX(B2974:B$2,-1+SUMPRODUCT(MAX(ROW(E2974:E$2)*(E2975=E2974:E$2)))))</f>
        <v> </v>
      </c>
      <c r="J2975" s="25" t="str">
        <f>IF(OR(E2975="",E2975="!!!",F2975="NEW"),"",COUNTBLANK(OFFSET(A$1,,,SUMPRODUCT(MAX(ROW(E$2:E2975)*(E2975=E$2:E2975)))))-COUNTBLANK(OFFSET(A$1,,,SUMPRODUCT(MAX(ROW(E$1:E2974)*(E2=E$1:E2974))))))</f>
        <v> </v>
      </c>
      <c r="K2975" s="25" t="str">
        <f>IF(OR(E2975="",E2975="!!!",F2975="NEW"),"",INDEX(J$1:J2974,SUMPRODUCT(MAX(ROW(E$1:E2974)*(E2975=E$1:E2974)))))</f>
        <v> </v>
      </c>
      <c r="L2975" s="26"/>
    </row>
    <row r="2976" spans="1:12">
      <c r="A2976" s="20" t="s">
        <v>1607</v>
      </c>
      <c r="E2976" s="21">
        <f>IF(D2976="?OLD","!!!","")</f>
        <v/>
      </c>
      <c r="F2976" s="22" t="str">
        <f>IF(OR(E2976="",E2976="!!!"),"",IF(NOT(ISNA(VLOOKUP(E2976,E$1:E2975,1,FALSE()))),"OLD",IF(AND(E2976&lt;&gt;"",E2976&lt;&gt;"!!!"),"NEW","")))</f>
        <v> </v>
      </c>
      <c r="G2976" s="23" t="str">
        <f>IF(OR(E2976="",E2976="!!!"),"",IF(OR(J2976=0,AND(J2976=1,K2976=1),AND(J2976=1,I2976="SBJ"),AND(J2976=1,I2976=0)),"?IN_FOCUS",IF(J2976&lt;=2,"?ACTIVATED",IF(J2976&lt;&gt;"","?FAMILIAR",IF(F2976="NEW",IF(ISNA(VLOOKUP(E2976,#REF!,1,FALSE())),"?TYPE_IDENTIFIABLE","?REFERENTIAL"),"_")))))</f>
        <v> </v>
      </c>
      <c r="H2976" s="24" t="str">
        <f>IF(J2976&lt;&gt;1,"",IF(I2976="SBJ","CB","?"))</f>
        <v> </v>
      </c>
      <c r="I2976" s="25" t="str">
        <f>IF(OR(E2976="",E2976="!!!",F2976="NEW"),"",INDEX(B2975:B$2,-1+SUMPRODUCT(MAX(ROW(E2975:E$2)*(E2976=E2975:E$2)))))</f>
        <v> </v>
      </c>
      <c r="J2976" s="25" t="str">
        <f>IF(OR(E2976="",E2976="!!!",F2976="NEW"),"",COUNTBLANK(OFFSET(A$1,,,SUMPRODUCT(MAX(ROW(E$2:E2976)*(E2976=E$2:E2976)))))-COUNTBLANK(OFFSET(A$1,,,SUMPRODUCT(MAX(ROW(E$1:E2975)*(E2=E$1:E2975))))))</f>
        <v> </v>
      </c>
      <c r="K2976" s="25" t="str">
        <f>IF(OR(E2976="",E2976="!!!",F2976="NEW"),"",INDEX(J$1:J2975,SUMPRODUCT(MAX(ROW(E$1:E2975)*(E2976=E$1:E2975)))))</f>
        <v> </v>
      </c>
      <c r="L2976" s="26"/>
    </row>
    <row r="2977" spans="1:12">
      <c r="A2977" s="20" t="s">
        <v>1608</v>
      </c>
      <c r="E2977" s="21">
        <f>IF(D2977="?OLD","!!!","")</f>
        <v/>
      </c>
      <c r="F2977" s="22" t="str">
        <f>IF(OR(E2977="",E2977="!!!"),"",IF(NOT(ISNA(VLOOKUP(E2977,E$1:E2976,1,FALSE()))),"OLD",IF(AND(E2977&lt;&gt;"",E2977&lt;&gt;"!!!"),"NEW","")))</f>
        <v> </v>
      </c>
      <c r="G2977" s="23" t="str">
        <f>IF(OR(E2977="",E2977="!!!"),"",IF(OR(J2977=0,AND(J2977=1,K2977=1),AND(J2977=1,I2977="SBJ"),AND(J2977=1,I2977=0)),"?IN_FOCUS",IF(J2977&lt;=2,"?ACTIVATED",IF(J2977&lt;&gt;"","?FAMILIAR",IF(F2977="NEW",IF(ISNA(VLOOKUP(E2977,#REF!,1,FALSE())),"?TYPE_IDENTIFIABLE","?REFERENTIAL"),"_")))))</f>
        <v> </v>
      </c>
      <c r="H2977" s="24" t="str">
        <f>IF(J2977&lt;&gt;1,"",IF(I2977="SBJ","CB","?"))</f>
        <v> </v>
      </c>
      <c r="I2977" s="25" t="str">
        <f>IF(OR(E2977="",E2977="!!!",F2977="NEW"),"",INDEX(B2976:B$2,-1+SUMPRODUCT(MAX(ROW(E2976:E$2)*(E2977=E2976:E$2)))))</f>
        <v> </v>
      </c>
      <c r="J2977" s="25" t="str">
        <f>IF(OR(E2977="",E2977="!!!",F2977="NEW"),"",COUNTBLANK(OFFSET(A$1,,,SUMPRODUCT(MAX(ROW(E$2:E2977)*(E2977=E$2:E2977)))))-COUNTBLANK(OFFSET(A$1,,,SUMPRODUCT(MAX(ROW(E$1:E2976)*(E2=E$1:E2976))))))</f>
        <v> </v>
      </c>
      <c r="K2977" s="25" t="str">
        <f>IF(OR(E2977="",E2977="!!!",F2977="NEW"),"",INDEX(J$1:J2976,SUMPRODUCT(MAX(ROW(E$1:E2976)*(E2977=E$1:E2976)))))</f>
        <v> </v>
      </c>
      <c r="L2977" s="26"/>
    </row>
    <row r="2978" spans="1:12">
      <c r="A2978" s="20" t="s">
        <v>767</v>
      </c>
      <c r="E2978" s="21">
        <f>IF(D2978="?OLD","!!!","")</f>
        <v/>
      </c>
      <c r="F2978" s="22" t="str">
        <f>IF(OR(E2978="",E2978="!!!"),"",IF(NOT(ISNA(VLOOKUP(E2978,E$1:E2977,1,FALSE()))),"OLD",IF(AND(E2978&lt;&gt;"",E2978&lt;&gt;"!!!"),"NEW","")))</f>
        <v> </v>
      </c>
      <c r="G2978" s="23" t="str">
        <f>IF(OR(E2978="",E2978="!!!"),"",IF(OR(J2978=0,AND(J2978=1,K2978=1),AND(J2978=1,I2978="SBJ"),AND(J2978=1,I2978=0)),"?IN_FOCUS",IF(J2978&lt;=2,"?ACTIVATED",IF(J2978&lt;&gt;"","?FAMILIAR",IF(F2978="NEW",IF(ISNA(VLOOKUP(E2978,#REF!,1,FALSE())),"?TYPE_IDENTIFIABLE","?REFERENTIAL"),"_")))))</f>
        <v> </v>
      </c>
      <c r="H2978" s="24" t="str">
        <f>IF(J2978&lt;&gt;1,"",IF(I2978="SBJ","CB","?"))</f>
        <v> </v>
      </c>
      <c r="I2978" s="25" t="str">
        <f>IF(OR(E2978="",E2978="!!!",F2978="NEW"),"",INDEX(B2977:B$2,-1+SUMPRODUCT(MAX(ROW(E2977:E$2)*(E2978=E2977:E$2)))))</f>
        <v> </v>
      </c>
      <c r="J2978" s="25" t="str">
        <f>IF(OR(E2978="",E2978="!!!",F2978="NEW"),"",COUNTBLANK(OFFSET(A$1,,,SUMPRODUCT(MAX(ROW(E$2:E2978)*(E2978=E$2:E2978)))))-COUNTBLANK(OFFSET(A$1,,,SUMPRODUCT(MAX(ROW(E$1:E2977)*(E2=E$1:E2977))))))</f>
        <v> </v>
      </c>
      <c r="K2978" s="25" t="str">
        <f>IF(OR(E2978="",E2978="!!!",F2978="NEW"),"",INDEX(J$1:J2977,SUMPRODUCT(MAX(ROW(E$1:E2977)*(E2978=E$1:E2977)))))</f>
        <v> </v>
      </c>
      <c r="L2978" s="26"/>
    </row>
    <row r="2979" spans="1:12">
      <c r="A2979" s="20"/>
    </row>
    <row r="2980" spans="1:12">
      <c r="A2980" s="20" t="s">
        <v>1609</v>
      </c>
    </row>
    <row r="2981" spans="1:12">
      <c r="A2981" s="20" t="s">
        <v>1610</v>
      </c>
      <c r="E2981" s="21">
        <f>IF(D2981="?OLD","!!!","")</f>
        <v/>
      </c>
      <c r="F2981" s="22" t="str">
        <f>IF(OR(E2981="",E2981="!!!"),"",IF(NOT(ISNA(VLOOKUP(E2981,E$1:E2980,1,FALSE()))),"OLD",IF(AND(E2981&lt;&gt;"",E2981&lt;&gt;"!!!"),"NEW","")))</f>
        <v> </v>
      </c>
      <c r="G2981" s="23" t="str">
        <f>IF(OR(E2981="",E2981="!!!"),"",IF(OR(J2981=0,AND(J2981=1,K2981=1),AND(J2981=1,I2981="SBJ"),AND(J2981=1,I2981=0)),"?IN_FOCUS",IF(J2981&lt;=2,"?ACTIVATED",IF(J2981&lt;&gt;"","?FAMILIAR",IF(F2981="NEW",IF(ISNA(VLOOKUP(E2981,#REF!,1,FALSE())),"?TYPE_IDENTIFIABLE","?REFERENTIAL"),"_")))))</f>
        <v> </v>
      </c>
      <c r="H2981" s="24" t="str">
        <f>IF(J2981&lt;&gt;1,"",IF(I2981="SBJ","CB","?"))</f>
        <v> </v>
      </c>
      <c r="I2981" s="25" t="str">
        <f>IF(OR(E2981="",E2981="!!!",F2981="NEW"),"",INDEX(B2980:B$2,-1+SUMPRODUCT(MAX(ROW(E2980:E$2)*(E2981=E2980:E$2)))))</f>
        <v> </v>
      </c>
      <c r="J2981" s="25" t="str">
        <f>IF(OR(E2981="",E2981="!!!",F2981="NEW"),"",COUNTBLANK(OFFSET(A$1,,,SUMPRODUCT(MAX(ROW(E$2:E2981)*(E2981=E$2:E2981)))))-COUNTBLANK(OFFSET(A$1,,,SUMPRODUCT(MAX(ROW(E$1:E2980)*(E2=E$1:E2980))))))</f>
        <v> </v>
      </c>
      <c r="K2981" s="25" t="str">
        <f>IF(OR(E2981="",E2981="!!!",F2981="NEW"),"",INDEX(J$1:J2980,SUMPRODUCT(MAX(ROW(E$1:E2980)*(E2981=E$1:E2980)))))</f>
        <v> </v>
      </c>
      <c r="L2981" s="26"/>
    </row>
    <row r="2982" spans="1:12">
      <c r="A2982" s="20" t="s">
        <v>651</v>
      </c>
      <c r="B2982" s="27" t="s">
        <v>636</v>
      </c>
      <c r="C2982" s="27" t="s">
        <v>652</v>
      </c>
      <c r="D2982" s="27" t="s">
        <v>608</v>
      </c>
      <c r="E2982" s="21">
        <f>IF(D2982="?OLD","!!!","")</f>
        <v/>
      </c>
      <c r="F2982" s="22" t="str">
        <f>IF(OR(E2982="",E2982="!!!"),"",IF(NOT(ISNA(VLOOKUP(E2982,E$1:E2981,1,FALSE()))),"OLD",IF(AND(E2982&lt;&gt;"",E2982&lt;&gt;"!!!"),"NEW","")))</f>
        <v> </v>
      </c>
      <c r="G2982" s="23" t="str">
        <f>IF(OR(E2982="",E2982="!!!"),"",IF(OR(J2982=0,AND(J2982=1,K2982=1),AND(J2982=1,I2982="SBJ"),AND(J2982=1,I2982=0)),"?IN_FOCUS",IF(J2982&lt;=2,"?ACTIVATED",IF(J2982&lt;&gt;"","?FAMILIAR",IF(F2982="NEW",IF(ISNA(VLOOKUP(E2982,#REF!,1,FALSE())),"?TYPE_IDENTIFIABLE","?REFERENTIAL"),"_")))))</f>
        <v> </v>
      </c>
      <c r="H2982" s="24" t="str">
        <f>IF(J2982&lt;&gt;1,"",IF(I2982="SBJ","CB","?"))</f>
        <v> </v>
      </c>
      <c r="I2982" s="25" t="str">
        <f>IF(OR(E2982="",E2982="!!!",F2982="NEW"),"",INDEX(B2981:B$2,-1+SUMPRODUCT(MAX(ROW(E2981:E$2)*(E2982=E2981:E$2)))))</f>
        <v> </v>
      </c>
      <c r="J2982" s="25" t="str">
        <f>IF(OR(E2982="",E2982="!!!",F2982="NEW"),"",COUNTBLANK(OFFSET(A$1,,,SUMPRODUCT(MAX(ROW(E$2:E2982)*(E2982=E$2:E2982)))))-COUNTBLANK(OFFSET(A$1,,,SUMPRODUCT(MAX(ROW(E$1:E2981)*(E2=E$1:E2981))))))</f>
        <v> </v>
      </c>
      <c r="K2982" s="25" t="str">
        <f>IF(OR(E2982="",E2982="!!!",F2982="NEW"),"",INDEX(J$1:J2981,SUMPRODUCT(MAX(ROW(E$1:E2981)*(E2982=E$1:E2981)))))</f>
        <v> </v>
      </c>
      <c r="L2982" s="26"/>
    </row>
    <row r="2983" spans="1:12">
      <c r="A2983" s="20" t="s">
        <v>690</v>
      </c>
      <c r="E2983" s="21">
        <f>IF(D2983="?OLD","!!!","")</f>
        <v/>
      </c>
      <c r="F2983" s="22" t="str">
        <f>IF(OR(E2983="",E2983="!!!"),"",IF(NOT(ISNA(VLOOKUP(E2983,E$1:E2982,1,FALSE()))),"OLD",IF(AND(E2983&lt;&gt;"",E2983&lt;&gt;"!!!"),"NEW","")))</f>
        <v> </v>
      </c>
      <c r="G2983" s="23" t="str">
        <f>IF(OR(E2983="",E2983="!!!"),"",IF(OR(J2983=0,AND(J2983=1,K2983=1),AND(J2983=1,I2983="SBJ"),AND(J2983=1,I2983=0)),"?IN_FOCUS",IF(J2983&lt;=2,"?ACTIVATED",IF(J2983&lt;&gt;"","?FAMILIAR",IF(F2983="NEW",IF(ISNA(VLOOKUP(E2983,#REF!,1,FALSE())),"?TYPE_IDENTIFIABLE","?REFERENTIAL"),"_")))))</f>
        <v> </v>
      </c>
      <c r="H2983" s="24" t="str">
        <f>IF(J2983&lt;&gt;1,"",IF(I2983="SBJ","CB","?"))</f>
        <v> </v>
      </c>
      <c r="I2983" s="25" t="str">
        <f>IF(OR(E2983="",E2983="!!!",F2983="NEW"),"",INDEX(B2982:B$2,-1+SUMPRODUCT(MAX(ROW(E2982:E$2)*(E2983=E2982:E$2)))))</f>
        <v> </v>
      </c>
      <c r="J2983" s="25" t="str">
        <f>IF(OR(E2983="",E2983="!!!",F2983="NEW"),"",COUNTBLANK(OFFSET(A$1,,,SUMPRODUCT(MAX(ROW(E$2:E2983)*(E2983=E$2:E2983)))))-COUNTBLANK(OFFSET(A$1,,,SUMPRODUCT(MAX(ROW(E$1:E2982)*(E2=E$1:E2982))))))</f>
        <v> </v>
      </c>
      <c r="K2983" s="25" t="str">
        <f>IF(OR(E2983="",E2983="!!!",F2983="NEW"),"",INDEX(J$1:J2982,SUMPRODUCT(MAX(ROW(E$1:E2982)*(E2983=E$1:E2982)))))</f>
        <v> </v>
      </c>
      <c r="L2983" s="26"/>
    </row>
    <row r="2984" spans="1:12">
      <c r="A2984" s="20" t="s">
        <v>1253</v>
      </c>
      <c r="B2984" s="27" t="s">
        <v>653</v>
      </c>
      <c r="C2984" s="27" t="s">
        <v>607</v>
      </c>
      <c r="D2984" s="27" t="s">
        <v>608</v>
      </c>
      <c r="E2984" s="21">
        <f>IF(D2984="?OLD","!!!","")</f>
        <v/>
      </c>
      <c r="F2984" s="22" t="str">
        <f>IF(OR(E2984="",E2984="!!!"),"",IF(NOT(ISNA(VLOOKUP(E2984,E$1:E2983,1,FALSE()))),"OLD",IF(AND(E2984&lt;&gt;"",E2984&lt;&gt;"!!!"),"NEW","")))</f>
        <v> </v>
      </c>
      <c r="G2984" s="23" t="str">
        <f>IF(OR(E2984="",E2984="!!!"),"",IF(OR(J2984=0,AND(J2984=1,K2984=1),AND(J2984=1,I2984="SBJ"),AND(J2984=1,I2984=0)),"?IN_FOCUS",IF(J2984&lt;=2,"?ACTIVATED",IF(J2984&lt;&gt;"","?FAMILIAR",IF(F2984="NEW",IF(ISNA(VLOOKUP(E2984,#REF!,1,FALSE())),"?TYPE_IDENTIFIABLE","?REFERENTIAL"),"_")))))</f>
        <v> </v>
      </c>
      <c r="H2984" s="24" t="str">
        <f>IF(J2984&lt;&gt;1,"",IF(I2984="SBJ","CB","?"))</f>
        <v> </v>
      </c>
      <c r="I2984" s="25" t="str">
        <f>IF(OR(E2984="",E2984="!!!",F2984="NEW"),"",INDEX(B2983:B$2,-1+SUMPRODUCT(MAX(ROW(E2983:E$2)*(E2984=E2983:E$2)))))</f>
        <v> </v>
      </c>
      <c r="J2984" s="25" t="str">
        <f>IF(OR(E2984="",E2984="!!!",F2984="NEW"),"",COUNTBLANK(OFFSET(A$1,,,SUMPRODUCT(MAX(ROW(E$2:E2984)*(E2984=E$2:E2984)))))-COUNTBLANK(OFFSET(A$1,,,SUMPRODUCT(MAX(ROW(E$1:E2983)*(E2=E$1:E2983))))))</f>
        <v> </v>
      </c>
      <c r="K2984" s="25" t="str">
        <f>IF(OR(E2984="",E2984="!!!",F2984="NEW"),"",INDEX(J$1:J2983,SUMPRODUCT(MAX(ROW(E$1:E2983)*(E2984=E$1:E2983)))))</f>
        <v> </v>
      </c>
      <c r="L2984" s="26"/>
    </row>
    <row r="2985" spans="1:12">
      <c r="A2985" s="20" t="s">
        <v>641</v>
      </c>
      <c r="E2985" s="21">
        <f>IF(D2985="?OLD","!!!","")</f>
        <v/>
      </c>
      <c r="F2985" s="22" t="str">
        <f>IF(OR(E2985="",E2985="!!!"),"",IF(NOT(ISNA(VLOOKUP(E2985,E$1:E2984,1,FALSE()))),"OLD",IF(AND(E2985&lt;&gt;"",E2985&lt;&gt;"!!!"),"NEW","")))</f>
        <v> </v>
      </c>
      <c r="G2985" s="23" t="str">
        <f>IF(OR(E2985="",E2985="!!!"),"",IF(OR(J2985=0,AND(J2985=1,K2985=1),AND(J2985=1,I2985="SBJ"),AND(J2985=1,I2985=0)),"?IN_FOCUS",IF(J2985&lt;=2,"?ACTIVATED",IF(J2985&lt;&gt;"","?FAMILIAR",IF(F2985="NEW",IF(ISNA(VLOOKUP(E2985,#REF!,1,FALSE())),"?TYPE_IDENTIFIABLE","?REFERENTIAL"),"_")))))</f>
        <v> </v>
      </c>
      <c r="H2985" s="24" t="str">
        <f>IF(J2985&lt;&gt;1,"",IF(I2985="SBJ","CB","?"))</f>
        <v> </v>
      </c>
      <c r="I2985" s="25" t="str">
        <f>IF(OR(E2985="",E2985="!!!",F2985="NEW"),"",INDEX(B2984:B$2,-1+SUMPRODUCT(MAX(ROW(E2984:E$2)*(E2985=E2984:E$2)))))</f>
        <v> </v>
      </c>
      <c r="J2985" s="25" t="str">
        <f>IF(OR(E2985="",E2985="!!!",F2985="NEW"),"",COUNTBLANK(OFFSET(A$1,,,SUMPRODUCT(MAX(ROW(E$2:E2985)*(E2985=E$2:E2985)))))-COUNTBLANK(OFFSET(A$1,,,SUMPRODUCT(MAX(ROW(E$1:E2984)*(E2=E$1:E2984))))))</f>
        <v> </v>
      </c>
      <c r="K2985" s="25" t="str">
        <f>IF(OR(E2985="",E2985="!!!",F2985="NEW"),"",INDEX(J$1:J2984,SUMPRODUCT(MAX(ROW(E$1:E2984)*(E2985=E$1:E2984)))))</f>
        <v> </v>
      </c>
      <c r="L2985" s="26"/>
    </row>
    <row r="2986" spans="1:12">
      <c r="A2986" s="20" t="s">
        <v>1611</v>
      </c>
      <c r="B2986" s="27" t="s">
        <v>611</v>
      </c>
      <c r="C2986" s="27" t="s">
        <v>631</v>
      </c>
      <c r="D2986" s="27" t="s">
        <v>608</v>
      </c>
      <c r="E2986" s="21">
        <f>IF(D2986="?OLD","!!!","")</f>
        <v/>
      </c>
      <c r="F2986" s="22" t="str">
        <f>IF(OR(E2986="",E2986="!!!"),"",IF(NOT(ISNA(VLOOKUP(E2986,E$1:E2985,1,FALSE()))),"OLD",IF(AND(E2986&lt;&gt;"",E2986&lt;&gt;"!!!"),"NEW","")))</f>
        <v> </v>
      </c>
      <c r="G2986" s="23" t="str">
        <f>IF(OR(E2986="",E2986="!!!"),"",IF(OR(J2986=0,AND(J2986=1,K2986=1),AND(J2986=1,I2986="SBJ"),AND(J2986=1,I2986=0)),"?IN_FOCUS",IF(J2986&lt;=2,"?ACTIVATED",IF(J2986&lt;&gt;"","?FAMILIAR",IF(F2986="NEW",IF(ISNA(VLOOKUP(E2986,#REF!,1,FALSE())),"?TYPE_IDENTIFIABLE","?REFERENTIAL"),"_")))))</f>
        <v> </v>
      </c>
      <c r="H2986" s="24" t="str">
        <f>IF(J2986&lt;&gt;1,"",IF(I2986="SBJ","CB","?"))</f>
        <v> </v>
      </c>
      <c r="I2986" s="25" t="str">
        <f>IF(OR(E2986="",E2986="!!!",F2986="NEW"),"",INDEX(B2985:B$2,-1+SUMPRODUCT(MAX(ROW(E2985:E$2)*(E2986=E2985:E$2)))))</f>
        <v> </v>
      </c>
      <c r="J2986" s="25" t="str">
        <f>IF(OR(E2986="",E2986="!!!",F2986="NEW"),"",COUNTBLANK(OFFSET(A$1,,,SUMPRODUCT(MAX(ROW(E$2:E2986)*(E2986=E$2:E2986)))))-COUNTBLANK(OFFSET(A$1,,,SUMPRODUCT(MAX(ROW(E$1:E2985)*(E2=E$1:E2985))))))</f>
        <v> </v>
      </c>
      <c r="K2986" s="25" t="str">
        <f>IF(OR(E2986="",E2986="!!!",F2986="NEW"),"",INDEX(J$1:J2985,SUMPRODUCT(MAX(ROW(E$1:E2985)*(E2986=E$1:E2985)))))</f>
        <v> </v>
      </c>
      <c r="L2986" s="26"/>
    </row>
    <row r="2987" spans="1:12">
      <c r="A2987" s="20" t="s">
        <v>644</v>
      </c>
      <c r="E2987" s="21">
        <f>IF(D2987="?OLD","!!!","")</f>
        <v/>
      </c>
      <c r="F2987" s="22" t="str">
        <f>IF(OR(E2987="",E2987="!!!"),"",IF(NOT(ISNA(VLOOKUP(E2987,E$1:E2986,1,FALSE()))),"OLD",IF(AND(E2987&lt;&gt;"",E2987&lt;&gt;"!!!"),"NEW","")))</f>
        <v> </v>
      </c>
      <c r="G2987" s="23" t="str">
        <f>IF(OR(E2987="",E2987="!!!"),"",IF(OR(J2987=0,AND(J2987=1,K2987=1),AND(J2987=1,I2987="SBJ"),AND(J2987=1,I2987=0)),"?IN_FOCUS",IF(J2987&lt;=2,"?ACTIVATED",IF(J2987&lt;&gt;"","?FAMILIAR",IF(F2987="NEW",IF(ISNA(VLOOKUP(E2987,#REF!,1,FALSE())),"?TYPE_IDENTIFIABLE","?REFERENTIAL"),"_")))))</f>
        <v> </v>
      </c>
      <c r="H2987" s="24" t="str">
        <f>IF(J2987&lt;&gt;1,"",IF(I2987="SBJ","CB","?"))</f>
        <v> </v>
      </c>
      <c r="I2987" s="25" t="str">
        <f>IF(OR(E2987="",E2987="!!!",F2987="NEW"),"",INDEX(B2986:B$2,-1+SUMPRODUCT(MAX(ROW(E2986:E$2)*(E2987=E2986:E$2)))))</f>
        <v> </v>
      </c>
      <c r="J2987" s="25" t="str">
        <f>IF(OR(E2987="",E2987="!!!",F2987="NEW"),"",COUNTBLANK(OFFSET(A$1,,,SUMPRODUCT(MAX(ROW(E$2:E2987)*(E2987=E$2:E2987)))))-COUNTBLANK(OFFSET(A$1,,,SUMPRODUCT(MAX(ROW(E$1:E2986)*(E2=E$1:E2986))))))</f>
        <v> </v>
      </c>
      <c r="K2987" s="25" t="str">
        <f>IF(OR(E2987="",E2987="!!!",F2987="NEW"),"",INDEX(J$1:J2986,SUMPRODUCT(MAX(ROW(E$1:E2986)*(E2987=E$1:E2986)))))</f>
        <v> </v>
      </c>
      <c r="L2987" s="26"/>
    </row>
    <row r="2988" spans="1:12">
      <c r="A2988" s="20" t="s">
        <v>658</v>
      </c>
      <c r="E2988" s="21">
        <f>IF(D2988="?OLD","!!!","")</f>
        <v/>
      </c>
      <c r="F2988" s="22" t="str">
        <f>IF(OR(E2988="",E2988="!!!"),"",IF(NOT(ISNA(VLOOKUP(E2988,E$1:E2987,1,FALSE()))),"OLD",IF(AND(E2988&lt;&gt;"",E2988&lt;&gt;"!!!"),"NEW","")))</f>
        <v> </v>
      </c>
      <c r="G2988" s="23" t="str">
        <f>IF(OR(E2988="",E2988="!!!"),"",IF(OR(J2988=0,AND(J2988=1,K2988=1),AND(J2988=1,I2988="SBJ"),AND(J2988=1,I2988=0)),"?IN_FOCUS",IF(J2988&lt;=2,"?ACTIVATED",IF(J2988&lt;&gt;"","?FAMILIAR",IF(F2988="NEW",IF(ISNA(VLOOKUP(E2988,#REF!,1,FALSE())),"?TYPE_IDENTIFIABLE","?REFERENTIAL"),"_")))))</f>
        <v> </v>
      </c>
      <c r="H2988" s="24" t="str">
        <f>IF(J2988&lt;&gt;1,"",IF(I2988="SBJ","CB","?"))</f>
        <v> </v>
      </c>
      <c r="I2988" s="25" t="str">
        <f>IF(OR(E2988="",E2988="!!!",F2988="NEW"),"",INDEX(B2987:B$2,-1+SUMPRODUCT(MAX(ROW(E2987:E$2)*(E2988=E2987:E$2)))))</f>
        <v> </v>
      </c>
      <c r="J2988" s="25" t="str">
        <f>IF(OR(E2988="",E2988="!!!",F2988="NEW"),"",COUNTBLANK(OFFSET(A$1,,,SUMPRODUCT(MAX(ROW(E$2:E2988)*(E2988=E$2:E2988)))))-COUNTBLANK(OFFSET(A$1,,,SUMPRODUCT(MAX(ROW(E$1:E2987)*(E2=E$1:E2987))))))</f>
        <v> </v>
      </c>
      <c r="K2988" s="25" t="str">
        <f>IF(OR(E2988="",E2988="!!!",F2988="NEW"),"",INDEX(J$1:J2987,SUMPRODUCT(MAX(ROW(E$1:E2987)*(E2988=E$1:E2987)))))</f>
        <v> </v>
      </c>
      <c r="L2988" s="26"/>
    </row>
    <row r="2989" spans="1:12">
      <c r="A2989" s="20" t="s">
        <v>1612</v>
      </c>
      <c r="B2989" s="27" t="s">
        <v>625</v>
      </c>
      <c r="C2989" s="27" t="s">
        <v>631</v>
      </c>
      <c r="D2989" s="27" t="s">
        <v>608</v>
      </c>
      <c r="E2989" s="21">
        <f>IF(D2989="?OLD","!!!","")</f>
        <v/>
      </c>
      <c r="F2989" s="22" t="str">
        <f>IF(OR(E2989="",E2989="!!!"),"",IF(NOT(ISNA(VLOOKUP(E2989,E$1:E2988,1,FALSE()))),"OLD",IF(AND(E2989&lt;&gt;"",E2989&lt;&gt;"!!!"),"NEW","")))</f>
        <v> </v>
      </c>
      <c r="G2989" s="23" t="str">
        <f>IF(OR(E2989="",E2989="!!!"),"",IF(OR(J2989=0,AND(J2989=1,K2989=1),AND(J2989=1,I2989="SBJ"),AND(J2989=1,I2989=0)),"?IN_FOCUS",IF(J2989&lt;=2,"?ACTIVATED",IF(J2989&lt;&gt;"","?FAMILIAR",IF(F2989="NEW",IF(ISNA(VLOOKUP(E2989,#REF!,1,FALSE())),"?TYPE_IDENTIFIABLE","?REFERENTIAL"),"_")))))</f>
        <v> </v>
      </c>
      <c r="H2989" s="24" t="str">
        <f>IF(J2989&lt;&gt;1,"",IF(I2989="SBJ","CB","?"))</f>
        <v> </v>
      </c>
      <c r="I2989" s="25" t="str">
        <f>IF(OR(E2989="",E2989="!!!",F2989="NEW"),"",INDEX(B2988:B$2,-1+SUMPRODUCT(MAX(ROW(E2988:E$2)*(E2989=E2988:E$2)))))</f>
        <v> </v>
      </c>
      <c r="J2989" s="25" t="str">
        <f>IF(OR(E2989="",E2989="!!!",F2989="NEW"),"",COUNTBLANK(OFFSET(A$1,,,SUMPRODUCT(MAX(ROW(E$2:E2989)*(E2989=E$2:E2989)))))-COUNTBLANK(OFFSET(A$1,,,SUMPRODUCT(MAX(ROW(E$1:E2988)*(E2=E$1:E2988))))))</f>
        <v> </v>
      </c>
      <c r="K2989" s="25" t="str">
        <f>IF(OR(E2989="",E2989="!!!",F2989="NEW"),"",INDEX(J$1:J2988,SUMPRODUCT(MAX(ROW(E$1:E2988)*(E2989=E$1:E2988)))))</f>
        <v> </v>
      </c>
      <c r="L2989" s="26"/>
    </row>
    <row r="2990" spans="1:12">
      <c r="A2990" s="20" t="s">
        <v>633</v>
      </c>
      <c r="E2990" s="21">
        <f>IF(D2990="?OLD","!!!","")</f>
        <v/>
      </c>
      <c r="F2990" s="22" t="str">
        <f>IF(OR(E2990="",E2990="!!!"),"",IF(NOT(ISNA(VLOOKUP(E2990,E$1:E2989,1,FALSE()))),"OLD",IF(AND(E2990&lt;&gt;"",E2990&lt;&gt;"!!!"),"NEW","")))</f>
        <v> </v>
      </c>
      <c r="G2990" s="23" t="str">
        <f>IF(OR(E2990="",E2990="!!!"),"",IF(OR(J2990=0,AND(J2990=1,K2990=1),AND(J2990=1,I2990="SBJ"),AND(J2990=1,I2990=0)),"?IN_FOCUS",IF(J2990&lt;=2,"?ACTIVATED",IF(J2990&lt;&gt;"","?FAMILIAR",IF(F2990="NEW",IF(ISNA(VLOOKUP(E2990,#REF!,1,FALSE())),"?TYPE_IDENTIFIABLE","?REFERENTIAL"),"_")))))</f>
        <v> </v>
      </c>
      <c r="H2990" s="24" t="str">
        <f>IF(J2990&lt;&gt;1,"",IF(I2990="SBJ","CB","?"))</f>
        <v> </v>
      </c>
      <c r="I2990" s="25" t="str">
        <f>IF(OR(E2990="",E2990="!!!",F2990="NEW"),"",INDEX(B2989:B$2,-1+SUMPRODUCT(MAX(ROW(E2989:E$2)*(E2990=E2989:E$2)))))</f>
        <v> </v>
      </c>
      <c r="J2990" s="25" t="str">
        <f>IF(OR(E2990="",E2990="!!!",F2990="NEW"),"",COUNTBLANK(OFFSET(A$1,,,SUMPRODUCT(MAX(ROW(E$2:E2990)*(E2990=E$2:E2990)))))-COUNTBLANK(OFFSET(A$1,,,SUMPRODUCT(MAX(ROW(E$1:E2989)*(E2=E$1:E2989))))))</f>
        <v> </v>
      </c>
      <c r="K2990" s="25" t="str">
        <f>IF(OR(E2990="",E2990="!!!",F2990="NEW"),"",INDEX(J$1:J2989,SUMPRODUCT(MAX(ROW(E$1:E2989)*(E2990=E$1:E2989)))))</f>
        <v> </v>
      </c>
      <c r="L2990" s="26"/>
    </row>
    <row r="2991" spans="1:12">
      <c r="A2991" s="20"/>
    </row>
    <row r="2992" spans="1:12">
      <c r="A2992" s="20" t="s">
        <v>1613</v>
      </c>
    </row>
    <row r="2993" spans="1:12">
      <c r="A2993" s="20" t="s">
        <v>757</v>
      </c>
      <c r="B2993" s="27" t="s">
        <v>636</v>
      </c>
      <c r="C2993" s="27" t="s">
        <v>622</v>
      </c>
      <c r="E2993" s="21">
        <f>IF(D2993="?OLD","!!!","")</f>
        <v/>
      </c>
      <c r="F2993" s="22" t="str">
        <f>IF(OR(E2993="",E2993="!!!"),"",IF(NOT(ISNA(VLOOKUP(E2993,E$1:E2992,1,FALSE()))),"OLD",IF(AND(E2993&lt;&gt;"",E2993&lt;&gt;"!!!"),"NEW","")))</f>
        <v> </v>
      </c>
      <c r="G2993" s="23" t="str">
        <f>IF(OR(E2993="",E2993="!!!"),"",IF(OR(J2993=0,AND(J2993=1,K2993=1),AND(J2993=1,I2993="SBJ"),AND(J2993=1,I2993=0)),"?IN_FOCUS",IF(J2993&lt;=2,"?ACTIVATED",IF(J2993&lt;&gt;"","?FAMILIAR",IF(F2993="NEW",IF(ISNA(VLOOKUP(E2993,#REF!,1,FALSE())),"?TYPE_IDENTIFIABLE","?REFERENTIAL"),"_")))))</f>
        <v> </v>
      </c>
      <c r="H2993" s="24" t="str">
        <f>IF(J2993&lt;&gt;1,"",IF(I2993="SBJ","CB","?"))</f>
        <v> </v>
      </c>
      <c r="I2993" s="25" t="str">
        <f>IF(OR(E2993="",E2993="!!!",F2993="NEW"),"",INDEX(B2992:B$2,-1+SUMPRODUCT(MAX(ROW(E2992:E$2)*(E2993=E2992:E$2)))))</f>
        <v> </v>
      </c>
      <c r="J2993" s="25" t="str">
        <f>IF(OR(E2993="",E2993="!!!",F2993="NEW"),"",COUNTBLANK(OFFSET(A$1,,,SUMPRODUCT(MAX(ROW(E$2:E2993)*(E2993=E$2:E2993)))))-COUNTBLANK(OFFSET(A$1,,,SUMPRODUCT(MAX(ROW(E$1:E2992)*(E2=E$1:E2992))))))</f>
        <v> </v>
      </c>
      <c r="K2993" s="25" t="str">
        <f>IF(OR(E2993="",E2993="!!!",F2993="NEW"),"",INDEX(J$1:J2992,SUMPRODUCT(MAX(ROW(E$1:E2992)*(E2993=E$1:E2992)))))</f>
        <v> </v>
      </c>
      <c r="L2993" s="26"/>
    </row>
    <row r="2994" spans="1:12">
      <c r="A2994" s="20" t="s">
        <v>641</v>
      </c>
      <c r="E2994" s="21">
        <f>IF(D2994="?OLD","!!!","")</f>
        <v/>
      </c>
      <c r="F2994" s="22" t="str">
        <f>IF(OR(E2994="",E2994="!!!"),"",IF(NOT(ISNA(VLOOKUP(E2994,E$1:E2993,1,FALSE()))),"OLD",IF(AND(E2994&lt;&gt;"",E2994&lt;&gt;"!!!"),"NEW","")))</f>
        <v> </v>
      </c>
      <c r="G2994" s="23" t="str">
        <f>IF(OR(E2994="",E2994="!!!"),"",IF(OR(J2994=0,AND(J2994=1,K2994=1),AND(J2994=1,I2994="SBJ"),AND(J2994=1,I2994=0)),"?IN_FOCUS",IF(J2994&lt;=2,"?ACTIVATED",IF(J2994&lt;&gt;"","?FAMILIAR",IF(F2994="NEW",IF(ISNA(VLOOKUP(E2994,#REF!,1,FALSE())),"?TYPE_IDENTIFIABLE","?REFERENTIAL"),"_")))))</f>
        <v> </v>
      </c>
      <c r="H2994" s="24" t="str">
        <f>IF(J2994&lt;&gt;1,"",IF(I2994="SBJ","CB","?"))</f>
        <v> </v>
      </c>
      <c r="I2994" s="25" t="str">
        <f>IF(OR(E2994="",E2994="!!!",F2994="NEW"),"",INDEX(B2993:B$2,-1+SUMPRODUCT(MAX(ROW(E2993:E$2)*(E2994=E2993:E$2)))))</f>
        <v> </v>
      </c>
      <c r="J2994" s="25" t="str">
        <f>IF(OR(E2994="",E2994="!!!",F2994="NEW"),"",COUNTBLANK(OFFSET(A$1,,,SUMPRODUCT(MAX(ROW(E$2:E2994)*(E2994=E$2:E2994)))))-COUNTBLANK(OFFSET(A$1,,,SUMPRODUCT(MAX(ROW(E$1:E2993)*(E2=E$1:E2993))))))</f>
        <v> </v>
      </c>
      <c r="K2994" s="25" t="str">
        <f>IF(OR(E2994="",E2994="!!!",F2994="NEW"),"",INDEX(J$1:J2993,SUMPRODUCT(MAX(ROW(E$1:E2993)*(E2994=E$1:E2993)))))</f>
        <v> </v>
      </c>
      <c r="L2994" s="26"/>
    </row>
    <row r="2995" spans="1:12">
      <c r="A2995" s="20" t="s">
        <v>1354</v>
      </c>
      <c r="B2995" s="27" t="s">
        <v>611</v>
      </c>
      <c r="C2995" s="27" t="s">
        <v>622</v>
      </c>
      <c r="E2995" s="21">
        <f>IF(D2995="?OLD","!!!","")</f>
        <v/>
      </c>
      <c r="F2995" s="22" t="str">
        <f>IF(OR(E2995="",E2995="!!!"),"",IF(NOT(ISNA(VLOOKUP(E2995,E$1:E2994,1,FALSE()))),"OLD",IF(AND(E2995&lt;&gt;"",E2995&lt;&gt;"!!!"),"NEW","")))</f>
        <v> </v>
      </c>
      <c r="G2995" s="23" t="str">
        <f>IF(OR(E2995="",E2995="!!!"),"",IF(OR(J2995=0,AND(J2995=1,K2995=1),AND(J2995=1,I2995="SBJ"),AND(J2995=1,I2995=0)),"?IN_FOCUS",IF(J2995&lt;=2,"?ACTIVATED",IF(J2995&lt;&gt;"","?FAMILIAR",IF(F2995="NEW",IF(ISNA(VLOOKUP(E2995,#REF!,1,FALSE())),"?TYPE_IDENTIFIABLE","?REFERENTIAL"),"_")))))</f>
        <v> </v>
      </c>
      <c r="H2995" s="24" t="str">
        <f>IF(J2995&lt;&gt;1,"",IF(I2995="SBJ","CB","?"))</f>
        <v> </v>
      </c>
      <c r="I2995" s="25" t="str">
        <f>IF(OR(E2995="",E2995="!!!",F2995="NEW"),"",INDEX(B2994:B$2,-1+SUMPRODUCT(MAX(ROW(E2994:E$2)*(E2995=E2994:E$2)))))</f>
        <v> </v>
      </c>
      <c r="J2995" s="25" t="str">
        <f>IF(OR(E2995="",E2995="!!!",F2995="NEW"),"",COUNTBLANK(OFFSET(A$1,,,SUMPRODUCT(MAX(ROW(E$2:E2995)*(E2995=E$2:E2995)))))-COUNTBLANK(OFFSET(A$1,,,SUMPRODUCT(MAX(ROW(E$1:E2994)*(E2=E$1:E2994))))))</f>
        <v> </v>
      </c>
      <c r="K2995" s="25" t="str">
        <f>IF(OR(E2995="",E2995="!!!",F2995="NEW"),"",INDEX(J$1:J2994,SUMPRODUCT(MAX(ROW(E$1:E2994)*(E2995=E$1:E2994)))))</f>
        <v> </v>
      </c>
      <c r="L2995" s="26"/>
    </row>
    <row r="2996" spans="1:12">
      <c r="A2996" s="20" t="s">
        <v>1614</v>
      </c>
      <c r="E2996" s="21">
        <f>IF(D2996="?OLD","!!!","")</f>
        <v/>
      </c>
      <c r="F2996" s="22" t="str">
        <f>IF(OR(E2996="",E2996="!!!"),"",IF(NOT(ISNA(VLOOKUP(E2996,E$1:E2995,1,FALSE()))),"OLD",IF(AND(E2996&lt;&gt;"",E2996&lt;&gt;"!!!"),"NEW","")))</f>
        <v> </v>
      </c>
      <c r="G2996" s="23" t="str">
        <f>IF(OR(E2996="",E2996="!!!"),"",IF(OR(J2996=0,AND(J2996=1,K2996=1),AND(J2996=1,I2996="SBJ"),AND(J2996=1,I2996=0)),"?IN_FOCUS",IF(J2996&lt;=2,"?ACTIVATED",IF(J2996&lt;&gt;"","?FAMILIAR",IF(F2996="NEW",IF(ISNA(VLOOKUP(E2996,#REF!,1,FALSE())),"?TYPE_IDENTIFIABLE","?REFERENTIAL"),"_")))))</f>
        <v> </v>
      </c>
      <c r="H2996" s="24" t="str">
        <f>IF(J2996&lt;&gt;1,"",IF(I2996="SBJ","CB","?"))</f>
        <v> </v>
      </c>
      <c r="I2996" s="25" t="str">
        <f>IF(OR(E2996="",E2996="!!!",F2996="NEW"),"",INDEX(B2995:B$2,-1+SUMPRODUCT(MAX(ROW(E2995:E$2)*(E2996=E2995:E$2)))))</f>
        <v> </v>
      </c>
      <c r="J2996" s="25" t="str">
        <f>IF(OR(E2996="",E2996="!!!",F2996="NEW"),"",COUNTBLANK(OFFSET(A$1,,,SUMPRODUCT(MAX(ROW(E$2:E2996)*(E2996=E$2:E2996)))))-COUNTBLANK(OFFSET(A$1,,,SUMPRODUCT(MAX(ROW(E$1:E2995)*(E2=E$1:E2995))))))</f>
        <v> </v>
      </c>
      <c r="K2996" s="25" t="str">
        <f>IF(OR(E2996="",E2996="!!!",F2996="NEW"),"",INDEX(J$1:J2995,SUMPRODUCT(MAX(ROW(E$1:E2995)*(E2996=E$1:E2995)))))</f>
        <v> </v>
      </c>
      <c r="L2996" s="26"/>
    </row>
    <row r="2997" spans="1:12">
      <c r="A2997" s="20" t="s">
        <v>856</v>
      </c>
      <c r="E2997" s="21">
        <f>IF(D2997="?OLD","!!!","")</f>
        <v/>
      </c>
      <c r="F2997" s="22" t="str">
        <f>IF(OR(E2997="",E2997="!!!"),"",IF(NOT(ISNA(VLOOKUP(E2997,E$1:E2996,1,FALSE()))),"OLD",IF(AND(E2997&lt;&gt;"",E2997&lt;&gt;"!!!"),"NEW","")))</f>
        <v> </v>
      </c>
      <c r="G2997" s="23" t="str">
        <f>IF(OR(E2997="",E2997="!!!"),"",IF(OR(J2997=0,AND(J2997=1,K2997=1),AND(J2997=1,I2997="SBJ"),AND(J2997=1,I2997=0)),"?IN_FOCUS",IF(J2997&lt;=2,"?ACTIVATED",IF(J2997&lt;&gt;"","?FAMILIAR",IF(F2997="NEW",IF(ISNA(VLOOKUP(E2997,#REF!,1,FALSE())),"?TYPE_IDENTIFIABLE","?REFERENTIAL"),"_")))))</f>
        <v> </v>
      </c>
      <c r="H2997" s="24" t="str">
        <f>IF(J2997&lt;&gt;1,"",IF(I2997="SBJ","CB","?"))</f>
        <v> </v>
      </c>
      <c r="I2997" s="25" t="str">
        <f>IF(OR(E2997="",E2997="!!!",F2997="NEW"),"",INDEX(B2996:B$2,-1+SUMPRODUCT(MAX(ROW(E2996:E$2)*(E2997=E2996:E$2)))))</f>
        <v> </v>
      </c>
      <c r="J2997" s="25" t="str">
        <f>IF(OR(E2997="",E2997="!!!",F2997="NEW"),"",COUNTBLANK(OFFSET(A$1,,,SUMPRODUCT(MAX(ROW(E$2:E2997)*(E2997=E$2:E2997)))))-COUNTBLANK(OFFSET(A$1,,,SUMPRODUCT(MAX(ROW(E$1:E2996)*(E2=E$1:E2996))))))</f>
        <v> </v>
      </c>
      <c r="K2997" s="25" t="str">
        <f>IF(OR(E2997="",E2997="!!!",F2997="NEW"),"",INDEX(J$1:J2996,SUMPRODUCT(MAX(ROW(E$1:E2996)*(E2997=E$1:E2996)))))</f>
        <v> </v>
      </c>
      <c r="L2997" s="26"/>
    </row>
    <row r="2998" spans="1:12">
      <c r="A2998" s="20" t="s">
        <v>1615</v>
      </c>
      <c r="E2998" s="21">
        <f>IF(D2998="?OLD","!!!","")</f>
        <v/>
      </c>
      <c r="F2998" s="22" t="str">
        <f>IF(OR(E2998="",E2998="!!!"),"",IF(NOT(ISNA(VLOOKUP(E2998,E$1:E2997,1,FALSE()))),"OLD",IF(AND(E2998&lt;&gt;"",E2998&lt;&gt;"!!!"),"NEW","")))</f>
        <v> </v>
      </c>
      <c r="G2998" s="23" t="str">
        <f>IF(OR(E2998="",E2998="!!!"),"",IF(OR(J2998=0,AND(J2998=1,K2998=1),AND(J2998=1,I2998="SBJ"),AND(J2998=1,I2998=0)),"?IN_FOCUS",IF(J2998&lt;=2,"?ACTIVATED",IF(J2998&lt;&gt;"","?FAMILIAR",IF(F2998="NEW",IF(ISNA(VLOOKUP(E2998,#REF!,1,FALSE())),"?TYPE_IDENTIFIABLE","?REFERENTIAL"),"_")))))</f>
        <v> </v>
      </c>
      <c r="H2998" s="24" t="str">
        <f>IF(J2998&lt;&gt;1,"",IF(I2998="SBJ","CB","?"))</f>
        <v> </v>
      </c>
      <c r="I2998" s="25" t="str">
        <f>IF(OR(E2998="",E2998="!!!",F2998="NEW"),"",INDEX(B2997:B$2,-1+SUMPRODUCT(MAX(ROW(E2997:E$2)*(E2998=E2997:E$2)))))</f>
        <v> </v>
      </c>
      <c r="J2998" s="25" t="str">
        <f>IF(OR(E2998="",E2998="!!!",F2998="NEW"),"",COUNTBLANK(OFFSET(A$1,,,SUMPRODUCT(MAX(ROW(E$2:E2998)*(E2998=E$2:E2998)))))-COUNTBLANK(OFFSET(A$1,,,SUMPRODUCT(MAX(ROW(E$1:E2997)*(E2=E$1:E2997))))))</f>
        <v> </v>
      </c>
      <c r="K2998" s="25" t="str">
        <f>IF(OR(E2998="",E2998="!!!",F2998="NEW"),"",INDEX(J$1:J2997,SUMPRODUCT(MAX(ROW(E$1:E2997)*(E2998=E$1:E2997)))))</f>
        <v> </v>
      </c>
      <c r="L2998" s="26"/>
    </row>
    <row r="2999" spans="1:12">
      <c r="A2999" s="20" t="s">
        <v>630</v>
      </c>
      <c r="B2999" s="27" t="s">
        <v>636</v>
      </c>
      <c r="C2999" s="27" t="s">
        <v>631</v>
      </c>
      <c r="D2999" s="27" t="s">
        <v>608</v>
      </c>
      <c r="E2999" s="21">
        <f>IF(D2999="?OLD","!!!","")</f>
        <v/>
      </c>
      <c r="F2999" s="22" t="str">
        <f>IF(OR(E2999="",E2999="!!!"),"",IF(NOT(ISNA(VLOOKUP(E2999,E$1:E2998,1,FALSE()))),"OLD",IF(AND(E2999&lt;&gt;"",E2999&lt;&gt;"!!!"),"NEW","")))</f>
        <v> </v>
      </c>
      <c r="G2999" s="23" t="str">
        <f>IF(OR(E2999="",E2999="!!!"),"",IF(OR(J2999=0,AND(J2999=1,K2999=1),AND(J2999=1,I2999="SBJ"),AND(J2999=1,I2999=0)),"?IN_FOCUS",IF(J2999&lt;=2,"?ACTIVATED",IF(J2999&lt;&gt;"","?FAMILIAR",IF(F2999="NEW",IF(ISNA(VLOOKUP(E2999,#REF!,1,FALSE())),"?TYPE_IDENTIFIABLE","?REFERENTIAL"),"_")))))</f>
        <v> </v>
      </c>
      <c r="H2999" s="24" t="str">
        <f>IF(J2999&lt;&gt;1,"",IF(I2999="SBJ","CB","?"))</f>
        <v> </v>
      </c>
      <c r="I2999" s="25" t="str">
        <f>IF(OR(E2999="",E2999="!!!",F2999="NEW"),"",INDEX(B2998:B$2,-1+SUMPRODUCT(MAX(ROW(E2998:E$2)*(E2999=E2998:E$2)))))</f>
        <v> </v>
      </c>
      <c r="J2999" s="25" t="str">
        <f>IF(OR(E2999="",E2999="!!!",F2999="NEW"),"",COUNTBLANK(OFFSET(A$1,,,SUMPRODUCT(MAX(ROW(E$2:E2999)*(E2999=E$2:E2999)))))-COUNTBLANK(OFFSET(A$1,,,SUMPRODUCT(MAX(ROW(E$1:E2998)*(E2=E$1:E2998))))))</f>
        <v> </v>
      </c>
      <c r="K2999" s="25" t="str">
        <f>IF(OR(E2999="",E2999="!!!",F2999="NEW"),"",INDEX(J$1:J2998,SUMPRODUCT(MAX(ROW(E$1:E2998)*(E2999=E$1:E2998)))))</f>
        <v> </v>
      </c>
      <c r="L2999" s="26"/>
    </row>
    <row r="3000" spans="1:12">
      <c r="A3000" s="20" t="s">
        <v>644</v>
      </c>
      <c r="E3000" s="21">
        <f>IF(D3000="?OLD","!!!","")</f>
        <v/>
      </c>
      <c r="F3000" s="22" t="str">
        <f>IF(OR(E3000="",E3000="!!!"),"",IF(NOT(ISNA(VLOOKUP(E3000,E$1:E2999,1,FALSE()))),"OLD",IF(AND(E3000&lt;&gt;"",E3000&lt;&gt;"!!!"),"NEW","")))</f>
        <v> </v>
      </c>
      <c r="G3000" s="23" t="str">
        <f>IF(OR(E3000="",E3000="!!!"),"",IF(OR(J3000=0,AND(J3000=1,K3000=1),AND(J3000=1,I3000="SBJ"),AND(J3000=1,I3000=0)),"?IN_FOCUS",IF(J3000&lt;=2,"?ACTIVATED",IF(J3000&lt;&gt;"","?FAMILIAR",IF(F3000="NEW",IF(ISNA(VLOOKUP(E3000,#REF!,1,FALSE())),"?TYPE_IDENTIFIABLE","?REFERENTIAL"),"_")))))</f>
        <v> </v>
      </c>
      <c r="H3000" s="24" t="str">
        <f>IF(J3000&lt;&gt;1,"",IF(I3000="SBJ","CB","?"))</f>
        <v> </v>
      </c>
      <c r="I3000" s="25" t="str">
        <f>IF(OR(E3000="",E3000="!!!",F3000="NEW"),"",INDEX(B2999:B$2,-1+SUMPRODUCT(MAX(ROW(E2999:E$2)*(E3000=E2999:E$2)))))</f>
        <v> </v>
      </c>
      <c r="J3000" s="25" t="str">
        <f>IF(OR(E3000="",E3000="!!!",F3000="NEW"),"",COUNTBLANK(OFFSET(A$1,,,SUMPRODUCT(MAX(ROW(E$2:E3000)*(E3000=E$2:E3000)))))-COUNTBLANK(OFFSET(A$1,,,SUMPRODUCT(MAX(ROW(E$1:E2999)*(E2=E$1:E2999))))))</f>
        <v> </v>
      </c>
      <c r="K3000" s="25" t="str">
        <f>IF(OR(E3000="",E3000="!!!",F3000="NEW"),"",INDEX(J$1:J2999,SUMPRODUCT(MAX(ROW(E$1:E2999)*(E3000=E$1:E2999)))))</f>
        <v> </v>
      </c>
      <c r="L3000" s="26"/>
    </row>
    <row r="3001" spans="1:12">
      <c r="A3001" s="20" t="s">
        <v>651</v>
      </c>
      <c r="B3001" s="27" t="s">
        <v>619</v>
      </c>
      <c r="C3001" s="27" t="s">
        <v>652</v>
      </c>
      <c r="D3001" s="27" t="s">
        <v>608</v>
      </c>
      <c r="E3001" s="21">
        <f>IF(D3001="?OLD","!!!","")</f>
        <v/>
      </c>
      <c r="F3001" s="22" t="str">
        <f>IF(OR(E3001="",E3001="!!!"),"",IF(NOT(ISNA(VLOOKUP(E3001,E$1:E3000,1,FALSE()))),"OLD",IF(AND(E3001&lt;&gt;"",E3001&lt;&gt;"!!!"),"NEW","")))</f>
        <v> </v>
      </c>
      <c r="G3001" s="23" t="str">
        <f>IF(OR(E3001="",E3001="!!!"),"",IF(OR(J3001=0,AND(J3001=1,K3001=1),AND(J3001=1,I3001="SBJ"),AND(J3001=1,I3001=0)),"?IN_FOCUS",IF(J3001&lt;=2,"?ACTIVATED",IF(J3001&lt;&gt;"","?FAMILIAR",IF(F3001="NEW",IF(ISNA(VLOOKUP(E3001,#REF!,1,FALSE())),"?TYPE_IDENTIFIABLE","?REFERENTIAL"),"_")))))</f>
        <v> </v>
      </c>
      <c r="H3001" s="24" t="str">
        <f>IF(J3001&lt;&gt;1,"",IF(I3001="SBJ","CB","?"))</f>
        <v> </v>
      </c>
      <c r="I3001" s="25" t="str">
        <f>IF(OR(E3001="",E3001="!!!",F3001="NEW"),"",INDEX(B3000:B$2,-1+SUMPRODUCT(MAX(ROW(E3000:E$2)*(E3001=E3000:E$2)))))</f>
        <v> </v>
      </c>
      <c r="J3001" s="25" t="str">
        <f>IF(OR(E3001="",E3001="!!!",F3001="NEW"),"",COUNTBLANK(OFFSET(A$1,,,SUMPRODUCT(MAX(ROW(E$2:E3001)*(E3001=E$2:E3001)))))-COUNTBLANK(OFFSET(A$1,,,SUMPRODUCT(MAX(ROW(E$1:E3000)*(E2=E$1:E3000))))))</f>
        <v> </v>
      </c>
      <c r="K3001" s="25" t="str">
        <f>IF(OR(E3001="",E3001="!!!",F3001="NEW"),"",INDEX(J$1:J3000,SUMPRODUCT(MAX(ROW(E$1:E3000)*(E3001=E$1:E3000)))))</f>
        <v> </v>
      </c>
      <c r="L3001" s="26"/>
    </row>
    <row r="3002" spans="1:12">
      <c r="A3002" s="20" t="s">
        <v>904</v>
      </c>
      <c r="E3002" s="21">
        <f>IF(D3002="?OLD","!!!","")</f>
        <v/>
      </c>
      <c r="F3002" s="22" t="str">
        <f>IF(OR(E3002="",E3002="!!!"),"",IF(NOT(ISNA(VLOOKUP(E3002,E$1:E3001,1,FALSE()))),"OLD",IF(AND(E3002&lt;&gt;"",E3002&lt;&gt;"!!!"),"NEW","")))</f>
        <v> </v>
      </c>
      <c r="G3002" s="23" t="str">
        <f>IF(OR(E3002="",E3002="!!!"),"",IF(OR(J3002=0,AND(J3002=1,K3002=1),AND(J3002=1,I3002="SBJ"),AND(J3002=1,I3002=0)),"?IN_FOCUS",IF(J3002&lt;=2,"?ACTIVATED",IF(J3002&lt;&gt;"","?FAMILIAR",IF(F3002="NEW",IF(ISNA(VLOOKUP(E3002,#REF!,1,FALSE())),"?TYPE_IDENTIFIABLE","?REFERENTIAL"),"_")))))</f>
        <v> </v>
      </c>
      <c r="H3002" s="24" t="str">
        <f>IF(J3002&lt;&gt;1,"",IF(I3002="SBJ","CB","?"))</f>
        <v> </v>
      </c>
      <c r="I3002" s="25" t="str">
        <f>IF(OR(E3002="",E3002="!!!",F3002="NEW"),"",INDEX(B3001:B$2,-1+SUMPRODUCT(MAX(ROW(E3001:E$2)*(E3002=E3001:E$2)))))</f>
        <v> </v>
      </c>
      <c r="J3002" s="25" t="str">
        <f>IF(OR(E3002="",E3002="!!!",F3002="NEW"),"",COUNTBLANK(OFFSET(A$1,,,SUMPRODUCT(MAX(ROW(E$2:E3002)*(E3002=E$2:E3002)))))-COUNTBLANK(OFFSET(A$1,,,SUMPRODUCT(MAX(ROW(E$1:E3001)*(E2=E$1:E3001))))))</f>
        <v> </v>
      </c>
      <c r="K3002" s="25" t="str">
        <f>IF(OR(E3002="",E3002="!!!",F3002="NEW"),"",INDEX(J$1:J3001,SUMPRODUCT(MAX(ROW(E$1:E3001)*(E3002=E$1:E3001)))))</f>
        <v> </v>
      </c>
      <c r="L3002" s="26"/>
    </row>
    <row r="3003" spans="1:12">
      <c r="A3003" s="20" t="s">
        <v>807</v>
      </c>
      <c r="B3003" s="27" t="s">
        <v>619</v>
      </c>
      <c r="C3003" s="27" t="s">
        <v>652</v>
      </c>
      <c r="D3003" s="27" t="s">
        <v>608</v>
      </c>
      <c r="E3003" s="21">
        <f>IF(D3003="?OLD","!!!","")</f>
        <v/>
      </c>
      <c r="F3003" s="22" t="str">
        <f>IF(OR(E3003="",E3003="!!!"),"",IF(NOT(ISNA(VLOOKUP(E3003,E$1:E3002,1,FALSE()))),"OLD",IF(AND(E3003&lt;&gt;"",E3003&lt;&gt;"!!!"),"NEW","")))</f>
        <v> </v>
      </c>
      <c r="G3003" s="23" t="str">
        <f>IF(OR(E3003="",E3003="!!!"),"",IF(OR(J3003=0,AND(J3003=1,K3003=1),AND(J3003=1,I3003="SBJ"),AND(J3003=1,I3003=0)),"?IN_FOCUS",IF(J3003&lt;=2,"?ACTIVATED",IF(J3003&lt;&gt;"","?FAMILIAR",IF(F3003="NEW",IF(ISNA(VLOOKUP(E3003,#REF!,1,FALSE())),"?TYPE_IDENTIFIABLE","?REFERENTIAL"),"_")))))</f>
        <v> </v>
      </c>
      <c r="H3003" s="24" t="str">
        <f>IF(J3003&lt;&gt;1,"",IF(I3003="SBJ","CB","?"))</f>
        <v> </v>
      </c>
      <c r="I3003" s="25" t="str">
        <f>IF(OR(E3003="",E3003="!!!",F3003="NEW"),"",INDEX(B3002:B$2,-1+SUMPRODUCT(MAX(ROW(E3002:E$2)*(E3003=E3002:E$2)))))</f>
        <v> </v>
      </c>
      <c r="J3003" s="25" t="str">
        <f>IF(OR(E3003="",E3003="!!!",F3003="NEW"),"",COUNTBLANK(OFFSET(A$1,,,SUMPRODUCT(MAX(ROW(E$2:E3003)*(E3003=E$2:E3003)))))-COUNTBLANK(OFFSET(A$1,,,SUMPRODUCT(MAX(ROW(E$1:E3002)*(E2=E$1:E3002))))))</f>
        <v> </v>
      </c>
      <c r="K3003" s="25" t="str">
        <f>IF(OR(E3003="",E3003="!!!",F3003="NEW"),"",INDEX(J$1:J3002,SUMPRODUCT(MAX(ROW(E$1:E3002)*(E3003=E$1:E3002)))))</f>
        <v> </v>
      </c>
      <c r="L3003" s="26"/>
    </row>
    <row r="3004" spans="1:12">
      <c r="A3004" s="20" t="s">
        <v>1616</v>
      </c>
      <c r="E3004" s="21">
        <f>IF(D3004="?OLD","!!!","")</f>
        <v/>
      </c>
      <c r="F3004" s="22" t="str">
        <f>IF(OR(E3004="",E3004="!!!"),"",IF(NOT(ISNA(VLOOKUP(E3004,E$1:E3003,1,FALSE()))),"OLD",IF(AND(E3004&lt;&gt;"",E3004&lt;&gt;"!!!"),"NEW","")))</f>
        <v> </v>
      </c>
      <c r="G3004" s="23" t="str">
        <f>IF(OR(E3004="",E3004="!!!"),"",IF(OR(J3004=0,AND(J3004=1,K3004=1),AND(J3004=1,I3004="SBJ"),AND(J3004=1,I3004=0)),"?IN_FOCUS",IF(J3004&lt;=2,"?ACTIVATED",IF(J3004&lt;&gt;"","?FAMILIAR",IF(F3004="NEW",IF(ISNA(VLOOKUP(E3004,#REF!,1,FALSE())),"?TYPE_IDENTIFIABLE","?REFERENTIAL"),"_")))))</f>
        <v> </v>
      </c>
      <c r="H3004" s="24" t="str">
        <f>IF(J3004&lt;&gt;1,"",IF(I3004="SBJ","CB","?"))</f>
        <v> </v>
      </c>
      <c r="I3004" s="25" t="str">
        <f>IF(OR(E3004="",E3004="!!!",F3004="NEW"),"",INDEX(B3003:B$2,-1+SUMPRODUCT(MAX(ROW(E3003:E$2)*(E3004=E3003:E$2)))))</f>
        <v> </v>
      </c>
      <c r="J3004" s="25" t="str">
        <f>IF(OR(E3004="",E3004="!!!",F3004="NEW"),"",COUNTBLANK(OFFSET(A$1,,,SUMPRODUCT(MAX(ROW(E$2:E3004)*(E3004=E$2:E3004)))))-COUNTBLANK(OFFSET(A$1,,,SUMPRODUCT(MAX(ROW(E$1:E3003)*(E2=E$1:E3003))))))</f>
        <v> </v>
      </c>
      <c r="K3004" s="25" t="str">
        <f>IF(OR(E3004="",E3004="!!!",F3004="NEW"),"",INDEX(J$1:J3003,SUMPRODUCT(MAX(ROW(E$1:E3003)*(E3004=E$1:E3003)))))</f>
        <v> </v>
      </c>
      <c r="L3004" s="26"/>
    </row>
    <row r="3005" spans="1:12">
      <c r="A3005" s="20" t="s">
        <v>1617</v>
      </c>
      <c r="E3005" s="21">
        <f>IF(D3005="?OLD","!!!","")</f>
        <v/>
      </c>
      <c r="F3005" s="22" t="str">
        <f>IF(OR(E3005="",E3005="!!!"),"",IF(NOT(ISNA(VLOOKUP(E3005,E$1:E3004,1,FALSE()))),"OLD",IF(AND(E3005&lt;&gt;"",E3005&lt;&gt;"!!!"),"NEW","")))</f>
        <v> </v>
      </c>
      <c r="G3005" s="23" t="str">
        <f>IF(OR(E3005="",E3005="!!!"),"",IF(OR(J3005=0,AND(J3005=1,K3005=1),AND(J3005=1,I3005="SBJ"),AND(J3005=1,I3005=0)),"?IN_FOCUS",IF(J3005&lt;=2,"?ACTIVATED",IF(J3005&lt;&gt;"","?FAMILIAR",IF(F3005="NEW",IF(ISNA(VLOOKUP(E3005,#REF!,1,FALSE())),"?TYPE_IDENTIFIABLE","?REFERENTIAL"),"_")))))</f>
        <v> </v>
      </c>
      <c r="H3005" s="24" t="str">
        <f>IF(J3005&lt;&gt;1,"",IF(I3005="SBJ","CB","?"))</f>
        <v> </v>
      </c>
      <c r="I3005" s="25" t="str">
        <f>IF(OR(E3005="",E3005="!!!",F3005="NEW"),"",INDEX(B3004:B$2,-1+SUMPRODUCT(MAX(ROW(E3004:E$2)*(E3005=E3004:E$2)))))</f>
        <v> </v>
      </c>
      <c r="J3005" s="25" t="str">
        <f>IF(OR(E3005="",E3005="!!!",F3005="NEW"),"",COUNTBLANK(OFFSET(A$1,,,SUMPRODUCT(MAX(ROW(E$2:E3005)*(E3005=E$2:E3005)))))-COUNTBLANK(OFFSET(A$1,,,SUMPRODUCT(MAX(ROW(E$1:E3004)*(E2=E$1:E3004))))))</f>
        <v> </v>
      </c>
      <c r="K3005" s="25" t="str">
        <f>IF(OR(E3005="",E3005="!!!",F3005="NEW"),"",INDEX(J$1:J3004,SUMPRODUCT(MAX(ROW(E$1:E3004)*(E3005=E$1:E3004)))))</f>
        <v> </v>
      </c>
      <c r="L3005" s="26"/>
    </row>
    <row r="3006" spans="1:12">
      <c r="A3006" s="20" t="s">
        <v>617</v>
      </c>
      <c r="E3006" s="21">
        <f>IF(D3006="?OLD","!!!","")</f>
        <v/>
      </c>
      <c r="F3006" s="22" t="str">
        <f>IF(OR(E3006="",E3006="!!!"),"",IF(NOT(ISNA(VLOOKUP(E3006,E$1:E3005,1,FALSE()))),"OLD",IF(AND(E3006&lt;&gt;"",E3006&lt;&gt;"!!!"),"NEW","")))</f>
        <v> </v>
      </c>
      <c r="G3006" s="23" t="str">
        <f>IF(OR(E3006="",E3006="!!!"),"",IF(OR(J3006=0,AND(J3006=1,K3006=1),AND(J3006=1,I3006="SBJ"),AND(J3006=1,I3006=0)),"?IN_FOCUS",IF(J3006&lt;=2,"?ACTIVATED",IF(J3006&lt;&gt;"","?FAMILIAR",IF(F3006="NEW",IF(ISNA(VLOOKUP(E3006,#REF!,1,FALSE())),"?TYPE_IDENTIFIABLE","?REFERENTIAL"),"_")))))</f>
        <v> </v>
      </c>
      <c r="H3006" s="24" t="str">
        <f>IF(J3006&lt;&gt;1,"",IF(I3006="SBJ","CB","?"))</f>
        <v> </v>
      </c>
      <c r="I3006" s="25" t="str">
        <f>IF(OR(E3006="",E3006="!!!",F3006="NEW"),"",INDEX(B3005:B$2,-1+SUMPRODUCT(MAX(ROW(E3005:E$2)*(E3006=E3005:E$2)))))</f>
        <v> </v>
      </c>
      <c r="J3006" s="25" t="str">
        <f>IF(OR(E3006="",E3006="!!!",F3006="NEW"),"",COUNTBLANK(OFFSET(A$1,,,SUMPRODUCT(MAX(ROW(E$2:E3006)*(E3006=E$2:E3006)))))-COUNTBLANK(OFFSET(A$1,,,SUMPRODUCT(MAX(ROW(E$1:E3005)*(E2=E$1:E3005))))))</f>
        <v> </v>
      </c>
      <c r="K3006" s="25" t="str">
        <f>IF(OR(E3006="",E3006="!!!",F3006="NEW"),"",INDEX(J$1:J3005,SUMPRODUCT(MAX(ROW(E$1:E3005)*(E3006=E$1:E3005)))))</f>
        <v> </v>
      </c>
      <c r="L3006" s="26"/>
    </row>
    <row r="3007" spans="1:12">
      <c r="A3007" s="20" t="s">
        <v>737</v>
      </c>
      <c r="E3007" s="21">
        <f>IF(D3007="?OLD","!!!","")</f>
        <v/>
      </c>
      <c r="F3007" s="22" t="str">
        <f>IF(OR(E3007="",E3007="!!!"),"",IF(NOT(ISNA(VLOOKUP(E3007,E$1:E3006,1,FALSE()))),"OLD",IF(AND(E3007&lt;&gt;"",E3007&lt;&gt;"!!!"),"NEW","")))</f>
        <v> </v>
      </c>
      <c r="G3007" s="23" t="str">
        <f>IF(OR(E3007="",E3007="!!!"),"",IF(OR(J3007=0,AND(J3007=1,K3007=1),AND(J3007=1,I3007="SBJ"),AND(J3007=1,I3007=0)),"?IN_FOCUS",IF(J3007&lt;=2,"?ACTIVATED",IF(J3007&lt;&gt;"","?FAMILIAR",IF(F3007="NEW",IF(ISNA(VLOOKUP(E3007,#REF!,1,FALSE())),"?TYPE_IDENTIFIABLE","?REFERENTIAL"),"_")))))</f>
        <v> </v>
      </c>
      <c r="H3007" s="24" t="str">
        <f>IF(J3007&lt;&gt;1,"",IF(I3007="SBJ","CB","?"))</f>
        <v> </v>
      </c>
      <c r="I3007" s="25" t="str">
        <f>IF(OR(E3007="",E3007="!!!",F3007="NEW"),"",INDEX(B3006:B$2,-1+SUMPRODUCT(MAX(ROW(E3006:E$2)*(E3007=E3006:E$2)))))</f>
        <v> </v>
      </c>
      <c r="J3007" s="25" t="str">
        <f>IF(OR(E3007="",E3007="!!!",F3007="NEW"),"",COUNTBLANK(OFFSET(A$1,,,SUMPRODUCT(MAX(ROW(E$2:E3007)*(E3007=E$2:E3007)))))-COUNTBLANK(OFFSET(A$1,,,SUMPRODUCT(MAX(ROW(E$1:E3006)*(E2=E$1:E3006))))))</f>
        <v> </v>
      </c>
      <c r="K3007" s="25" t="str">
        <f>IF(OR(E3007="",E3007="!!!",F3007="NEW"),"",INDEX(J$1:J3006,SUMPRODUCT(MAX(ROW(E$1:E3006)*(E3007=E$1:E3006)))))</f>
        <v> </v>
      </c>
      <c r="L3007" s="26"/>
    </row>
    <row r="3008" spans="1:12">
      <c r="A3008" s="20" t="s">
        <v>617</v>
      </c>
      <c r="E3008" s="21">
        <f>IF(D3008="?OLD","!!!","")</f>
        <v/>
      </c>
      <c r="F3008" s="22" t="str">
        <f>IF(OR(E3008="",E3008="!!!"),"",IF(NOT(ISNA(VLOOKUP(E3008,E$1:E3007,1,FALSE()))),"OLD",IF(AND(E3008&lt;&gt;"",E3008&lt;&gt;"!!!"),"NEW","")))</f>
        <v> </v>
      </c>
      <c r="G3008" s="23" t="str">
        <f>IF(OR(E3008="",E3008="!!!"),"",IF(OR(J3008=0,AND(J3008=1,K3008=1),AND(J3008=1,I3008="SBJ"),AND(J3008=1,I3008=0)),"?IN_FOCUS",IF(J3008&lt;=2,"?ACTIVATED",IF(J3008&lt;&gt;"","?FAMILIAR",IF(F3008="NEW",IF(ISNA(VLOOKUP(E3008,#REF!,1,FALSE())),"?TYPE_IDENTIFIABLE","?REFERENTIAL"),"_")))))</f>
        <v> </v>
      </c>
      <c r="H3008" s="24" t="str">
        <f>IF(J3008&lt;&gt;1,"",IF(I3008="SBJ","CB","?"))</f>
        <v> </v>
      </c>
      <c r="I3008" s="25" t="str">
        <f>IF(OR(E3008="",E3008="!!!",F3008="NEW"),"",INDEX(B3007:B$2,-1+SUMPRODUCT(MAX(ROW(E3007:E$2)*(E3008=E3007:E$2)))))</f>
        <v> </v>
      </c>
      <c r="J3008" s="25" t="str">
        <f>IF(OR(E3008="",E3008="!!!",F3008="NEW"),"",COUNTBLANK(OFFSET(A$1,,,SUMPRODUCT(MAX(ROW(E$2:E3008)*(E3008=E$2:E3008)))))-COUNTBLANK(OFFSET(A$1,,,SUMPRODUCT(MAX(ROW(E$1:E3007)*(E2=E$1:E3007))))))</f>
        <v> </v>
      </c>
      <c r="K3008" s="25" t="str">
        <f>IF(OR(E3008="",E3008="!!!",F3008="NEW"),"",INDEX(J$1:J3007,SUMPRODUCT(MAX(ROW(E$1:E3007)*(E3008=E$1:E3007)))))</f>
        <v> </v>
      </c>
      <c r="L3008" s="26"/>
    </row>
    <row r="3009" spans="1:12">
      <c r="A3009" s="20" t="s">
        <v>835</v>
      </c>
      <c r="E3009" s="21">
        <f>IF(D3009="?OLD","!!!","")</f>
        <v/>
      </c>
      <c r="F3009" s="22" t="str">
        <f>IF(OR(E3009="",E3009="!!!"),"",IF(NOT(ISNA(VLOOKUP(E3009,E$1:E3008,1,FALSE()))),"OLD",IF(AND(E3009&lt;&gt;"",E3009&lt;&gt;"!!!"),"NEW","")))</f>
        <v> </v>
      </c>
      <c r="G3009" s="23" t="str">
        <f>IF(OR(E3009="",E3009="!!!"),"",IF(OR(J3009=0,AND(J3009=1,K3009=1),AND(J3009=1,I3009="SBJ"),AND(J3009=1,I3009=0)),"?IN_FOCUS",IF(J3009&lt;=2,"?ACTIVATED",IF(J3009&lt;&gt;"","?FAMILIAR",IF(F3009="NEW",IF(ISNA(VLOOKUP(E3009,#REF!,1,FALSE())),"?TYPE_IDENTIFIABLE","?REFERENTIAL"),"_")))))</f>
        <v> </v>
      </c>
      <c r="H3009" s="24" t="str">
        <f>IF(J3009&lt;&gt;1,"",IF(I3009="SBJ","CB","?"))</f>
        <v> </v>
      </c>
      <c r="I3009" s="25" t="str">
        <f>IF(OR(E3009="",E3009="!!!",F3009="NEW"),"",INDEX(B3008:B$2,-1+SUMPRODUCT(MAX(ROW(E3008:E$2)*(E3009=E3008:E$2)))))</f>
        <v> </v>
      </c>
      <c r="J3009" s="25" t="str">
        <f>IF(OR(E3009="",E3009="!!!",F3009="NEW"),"",COUNTBLANK(OFFSET(A$1,,,SUMPRODUCT(MAX(ROW(E$2:E3009)*(E3009=E$2:E3009)))))-COUNTBLANK(OFFSET(A$1,,,SUMPRODUCT(MAX(ROW(E$1:E3008)*(E2=E$1:E3008))))))</f>
        <v> </v>
      </c>
      <c r="K3009" s="25" t="str">
        <f>IF(OR(E3009="",E3009="!!!",F3009="NEW"),"",INDEX(J$1:J3008,SUMPRODUCT(MAX(ROW(E$1:E3008)*(E3009=E$1:E3008)))))</f>
        <v> </v>
      </c>
      <c r="L3009" s="26"/>
    </row>
    <row r="3010" spans="1:12">
      <c r="A3010" s="20" t="s">
        <v>651</v>
      </c>
      <c r="B3010" s="27" t="s">
        <v>619</v>
      </c>
      <c r="C3010" s="27" t="s">
        <v>652</v>
      </c>
      <c r="D3010" s="27" t="s">
        <v>608</v>
      </c>
      <c r="E3010" s="21">
        <f>IF(D3010="?OLD","!!!","")</f>
        <v/>
      </c>
      <c r="F3010" s="22" t="str">
        <f>IF(OR(E3010="",E3010="!!!"),"",IF(NOT(ISNA(VLOOKUP(E3010,E$1:E3009,1,FALSE()))),"OLD",IF(AND(E3010&lt;&gt;"",E3010&lt;&gt;"!!!"),"NEW","")))</f>
        <v> </v>
      </c>
      <c r="G3010" s="23" t="str">
        <f>IF(OR(E3010="",E3010="!!!"),"",IF(OR(J3010=0,AND(J3010=1,K3010=1),AND(J3010=1,I3010="SBJ"),AND(J3010=1,I3010=0)),"?IN_FOCUS",IF(J3010&lt;=2,"?ACTIVATED",IF(J3010&lt;&gt;"","?FAMILIAR",IF(F3010="NEW",IF(ISNA(VLOOKUP(E3010,#REF!,1,FALSE())),"?TYPE_IDENTIFIABLE","?REFERENTIAL"),"_")))))</f>
        <v> </v>
      </c>
      <c r="H3010" s="24" t="str">
        <f>IF(J3010&lt;&gt;1,"",IF(I3010="SBJ","CB","?"))</f>
        <v> </v>
      </c>
      <c r="I3010" s="25" t="str">
        <f>IF(OR(E3010="",E3010="!!!",F3010="NEW"),"",INDEX(B3009:B$2,-1+SUMPRODUCT(MAX(ROW(E3009:E$2)*(E3010=E3009:E$2)))))</f>
        <v> </v>
      </c>
      <c r="J3010" s="25" t="str">
        <f>IF(OR(E3010="",E3010="!!!",F3010="NEW"),"",COUNTBLANK(OFFSET(A$1,,,SUMPRODUCT(MAX(ROW(E$2:E3010)*(E3010=E$2:E3010)))))-COUNTBLANK(OFFSET(A$1,,,SUMPRODUCT(MAX(ROW(E$1:E3009)*(E2=E$1:E3009))))))</f>
        <v> </v>
      </c>
      <c r="K3010" s="25" t="str">
        <f>IF(OR(E3010="",E3010="!!!",F3010="NEW"),"",INDEX(J$1:J3009,SUMPRODUCT(MAX(ROW(E$1:E3009)*(E3010=E$1:E3009)))))</f>
        <v> </v>
      </c>
      <c r="L3010" s="26"/>
    </row>
    <row r="3011" spans="1:12">
      <c r="A3011" s="20" t="s">
        <v>807</v>
      </c>
      <c r="B3011" s="27" t="s">
        <v>657</v>
      </c>
      <c r="C3011" s="27" t="s">
        <v>652</v>
      </c>
      <c r="D3011" s="27" t="s">
        <v>608</v>
      </c>
      <c r="E3011" s="21">
        <f>IF(D3011="?OLD","!!!","")</f>
        <v/>
      </c>
      <c r="F3011" s="22" t="str">
        <f>IF(OR(E3011="",E3011="!!!"),"",IF(NOT(ISNA(VLOOKUP(E3011,E$1:E3010,1,FALSE()))),"OLD",IF(AND(E3011&lt;&gt;"",E3011&lt;&gt;"!!!"),"NEW","")))</f>
        <v> </v>
      </c>
      <c r="G3011" s="23" t="str">
        <f>IF(OR(E3011="",E3011="!!!"),"",IF(OR(J3011=0,AND(J3011=1,K3011=1),AND(J3011=1,I3011="SBJ"),AND(J3011=1,I3011=0)),"?IN_FOCUS",IF(J3011&lt;=2,"?ACTIVATED",IF(J3011&lt;&gt;"","?FAMILIAR",IF(F3011="NEW",IF(ISNA(VLOOKUP(E3011,#REF!,1,FALSE())),"?TYPE_IDENTIFIABLE","?REFERENTIAL"),"_")))))</f>
        <v> </v>
      </c>
      <c r="H3011" s="24" t="str">
        <f>IF(J3011&lt;&gt;1,"",IF(I3011="SBJ","CB","?"))</f>
        <v> </v>
      </c>
      <c r="I3011" s="25" t="str">
        <f>IF(OR(E3011="",E3011="!!!",F3011="NEW"),"",INDEX(B3010:B$2,-1+SUMPRODUCT(MAX(ROW(E3010:E$2)*(E3011=E3010:E$2)))))</f>
        <v> </v>
      </c>
      <c r="J3011" s="25" t="str">
        <f>IF(OR(E3011="",E3011="!!!",F3011="NEW"),"",COUNTBLANK(OFFSET(A$1,,,SUMPRODUCT(MAX(ROW(E$2:E3011)*(E3011=E$2:E3011)))))-COUNTBLANK(OFFSET(A$1,,,SUMPRODUCT(MAX(ROW(E$1:E3010)*(E2=E$1:E3010))))))</f>
        <v> </v>
      </c>
      <c r="K3011" s="25" t="str">
        <f>IF(OR(E3011="",E3011="!!!",F3011="NEW"),"",INDEX(J$1:J3010,SUMPRODUCT(MAX(ROW(E$1:E3010)*(E3011=E$1:E3010)))))</f>
        <v> </v>
      </c>
      <c r="L3011" s="26"/>
    </row>
    <row r="3012" spans="1:12">
      <c r="A3012" s="20" t="s">
        <v>1618</v>
      </c>
      <c r="E3012" s="21">
        <f>IF(D3012="?OLD","!!!","")</f>
        <v/>
      </c>
      <c r="F3012" s="22" t="str">
        <f>IF(OR(E3012="",E3012="!!!"),"",IF(NOT(ISNA(VLOOKUP(E3012,E$1:E3011,1,FALSE()))),"OLD",IF(AND(E3012&lt;&gt;"",E3012&lt;&gt;"!!!"),"NEW","")))</f>
        <v> </v>
      </c>
      <c r="G3012" s="23" t="str">
        <f>IF(OR(E3012="",E3012="!!!"),"",IF(OR(J3012=0,AND(J3012=1,K3012=1),AND(J3012=1,I3012="SBJ"),AND(J3012=1,I3012=0)),"?IN_FOCUS",IF(J3012&lt;=2,"?ACTIVATED",IF(J3012&lt;&gt;"","?FAMILIAR",IF(F3012="NEW",IF(ISNA(VLOOKUP(E3012,#REF!,1,FALSE())),"?TYPE_IDENTIFIABLE","?REFERENTIAL"),"_")))))</f>
        <v> </v>
      </c>
      <c r="H3012" s="24" t="str">
        <f>IF(J3012&lt;&gt;1,"",IF(I3012="SBJ","CB","?"))</f>
        <v> </v>
      </c>
      <c r="I3012" s="25" t="str">
        <f>IF(OR(E3012="",E3012="!!!",F3012="NEW"),"",INDEX(B3011:B$2,-1+SUMPRODUCT(MAX(ROW(E3011:E$2)*(E3012=E3011:E$2)))))</f>
        <v> </v>
      </c>
      <c r="J3012" s="25" t="str">
        <f>IF(OR(E3012="",E3012="!!!",F3012="NEW"),"",COUNTBLANK(OFFSET(A$1,,,SUMPRODUCT(MAX(ROW(E$2:E3012)*(E3012=E$2:E3012)))))-COUNTBLANK(OFFSET(A$1,,,SUMPRODUCT(MAX(ROW(E$1:E3011)*(E2=E$1:E3011))))))</f>
        <v> </v>
      </c>
      <c r="K3012" s="25" t="str">
        <f>IF(OR(E3012="",E3012="!!!",F3012="NEW"),"",INDEX(J$1:J3011,SUMPRODUCT(MAX(ROW(E$1:E3011)*(E3012=E$1:E3011)))))</f>
        <v> </v>
      </c>
      <c r="L3012" s="26"/>
    </row>
    <row r="3013" spans="1:12">
      <c r="A3013" s="20" t="s">
        <v>18</v>
      </c>
      <c r="E3013" s="21">
        <f>IF(D3013="?OLD","!!!","")</f>
        <v/>
      </c>
      <c r="F3013" s="22" t="str">
        <f>IF(OR(E3013="",E3013="!!!"),"",IF(NOT(ISNA(VLOOKUP(E3013,E$1:E3012,1,FALSE()))),"OLD",IF(AND(E3013&lt;&gt;"",E3013&lt;&gt;"!!!"),"NEW","")))</f>
        <v> </v>
      </c>
      <c r="G3013" s="23" t="str">
        <f>IF(OR(E3013="",E3013="!!!"),"",IF(OR(J3013=0,AND(J3013=1,K3013=1),AND(J3013=1,I3013="SBJ"),AND(J3013=1,I3013=0)),"?IN_FOCUS",IF(J3013&lt;=2,"?ACTIVATED",IF(J3013&lt;&gt;"","?FAMILIAR",IF(F3013="NEW",IF(ISNA(VLOOKUP(E3013,#REF!,1,FALSE())),"?TYPE_IDENTIFIABLE","?REFERENTIAL"),"_")))))</f>
        <v> </v>
      </c>
      <c r="H3013" s="24" t="str">
        <f>IF(J3013&lt;&gt;1,"",IF(I3013="SBJ","CB","?"))</f>
        <v> </v>
      </c>
      <c r="I3013" s="25" t="str">
        <f>IF(OR(E3013="",E3013="!!!",F3013="NEW"),"",INDEX(B3012:B$2,-1+SUMPRODUCT(MAX(ROW(E3012:E$2)*(E3013=E3012:E$2)))))</f>
        <v> </v>
      </c>
      <c r="J3013" s="25" t="str">
        <f>IF(OR(E3013="",E3013="!!!",F3013="NEW"),"",COUNTBLANK(OFFSET(A$1,,,SUMPRODUCT(MAX(ROW(E$2:E3013)*(E3013=E$2:E3013)))))-COUNTBLANK(OFFSET(A$1,,,SUMPRODUCT(MAX(ROW(E$1:E3012)*(E2=E$1:E3012))))))</f>
        <v> </v>
      </c>
      <c r="K3013" s="25" t="str">
        <f>IF(OR(E3013="",E3013="!!!",F3013="NEW"),"",INDEX(J$1:J3012,SUMPRODUCT(MAX(ROW(E$1:E3012)*(E3013=E$1:E3012)))))</f>
        <v> </v>
      </c>
      <c r="L3013" s="26"/>
    </row>
    <row r="3014" spans="1:12">
      <c r="A3014" s="20" t="s">
        <v>633</v>
      </c>
      <c r="E3014" s="21">
        <f>IF(D3014="?OLD","!!!","")</f>
        <v/>
      </c>
      <c r="F3014" s="22" t="str">
        <f>IF(OR(E3014="",E3014="!!!"),"",IF(NOT(ISNA(VLOOKUP(E3014,E$1:E3013,1,FALSE()))),"OLD",IF(AND(E3014&lt;&gt;"",E3014&lt;&gt;"!!!"),"NEW","")))</f>
        <v> </v>
      </c>
      <c r="G3014" s="23" t="str">
        <f>IF(OR(E3014="",E3014="!!!"),"",IF(OR(J3014=0,AND(J3014=1,K3014=1),AND(J3014=1,I3014="SBJ"),AND(J3014=1,I3014=0)),"?IN_FOCUS",IF(J3014&lt;=2,"?ACTIVATED",IF(J3014&lt;&gt;"","?FAMILIAR",IF(F3014="NEW",IF(ISNA(VLOOKUP(E3014,#REF!,1,FALSE())),"?TYPE_IDENTIFIABLE","?REFERENTIAL"),"_")))))</f>
        <v> </v>
      </c>
      <c r="H3014" s="24" t="str">
        <f>IF(J3014&lt;&gt;1,"",IF(I3014="SBJ","CB","?"))</f>
        <v> </v>
      </c>
      <c r="I3014" s="25" t="str">
        <f>IF(OR(E3014="",E3014="!!!",F3014="NEW"),"",INDEX(B3013:B$2,-1+SUMPRODUCT(MAX(ROW(E3013:E$2)*(E3014=E3013:E$2)))))</f>
        <v> </v>
      </c>
      <c r="J3014" s="25" t="str">
        <f>IF(OR(E3014="",E3014="!!!",F3014="NEW"),"",COUNTBLANK(OFFSET(A$1,,,SUMPRODUCT(MAX(ROW(E$2:E3014)*(E3014=E$2:E3014)))))-COUNTBLANK(OFFSET(A$1,,,SUMPRODUCT(MAX(ROW(E$1:E3013)*(E2=E$1:E3013))))))</f>
        <v> </v>
      </c>
      <c r="K3014" s="25" t="str">
        <f>IF(OR(E3014="",E3014="!!!",F3014="NEW"),"",INDEX(J$1:J3013,SUMPRODUCT(MAX(ROW(E$1:E3013)*(E3014=E$1:E3013)))))</f>
        <v> </v>
      </c>
      <c r="L3014" s="26"/>
    </row>
    <row r="3015" spans="1:12">
      <c r="A3015" s="20"/>
    </row>
    <row r="3016" spans="1:12">
      <c r="A3016" s="20" t="s">
        <v>1619</v>
      </c>
    </row>
    <row r="3017" spans="1:12">
      <c r="A3017" s="20" t="s">
        <v>1537</v>
      </c>
      <c r="E3017" s="21">
        <f>IF(D3017="?OLD","!!!","")</f>
        <v/>
      </c>
      <c r="F3017" s="22" t="str">
        <f>IF(OR(E3017="",E3017="!!!"),"",IF(NOT(ISNA(VLOOKUP(E3017,E$1:E3016,1,FALSE()))),"OLD",IF(AND(E3017&lt;&gt;"",E3017&lt;&gt;"!!!"),"NEW","")))</f>
        <v> </v>
      </c>
      <c r="G3017" s="23" t="str">
        <f>IF(OR(E3017="",E3017="!!!"),"",IF(OR(J3017=0,AND(J3017=1,K3017=1),AND(J3017=1,I3017="SBJ"),AND(J3017=1,I3017=0)),"?IN_FOCUS",IF(J3017&lt;=2,"?ACTIVATED",IF(J3017&lt;&gt;"","?FAMILIAR",IF(F3017="NEW",IF(ISNA(VLOOKUP(E3017,#REF!,1,FALSE())),"?TYPE_IDENTIFIABLE","?REFERENTIAL"),"_")))))</f>
        <v> </v>
      </c>
      <c r="H3017" s="24" t="str">
        <f>IF(J3017&lt;&gt;1,"",IF(I3017="SBJ","CB","?"))</f>
        <v> </v>
      </c>
      <c r="I3017" s="25" t="str">
        <f>IF(OR(E3017="",E3017="!!!",F3017="NEW"),"",INDEX(B3016:B$2,-1+SUMPRODUCT(MAX(ROW(E3016:E$2)*(E3017=E3016:E$2)))))</f>
        <v> </v>
      </c>
      <c r="J3017" s="25" t="str">
        <f>IF(OR(E3017="",E3017="!!!",F3017="NEW"),"",COUNTBLANK(OFFSET(A$1,,,SUMPRODUCT(MAX(ROW(E$2:E3017)*(E3017=E$2:E3017)))))-COUNTBLANK(OFFSET(A$1,,,SUMPRODUCT(MAX(ROW(E$1:E3016)*(E2=E$1:E3016))))))</f>
        <v> </v>
      </c>
      <c r="K3017" s="25" t="str">
        <f>IF(OR(E3017="",E3017="!!!",F3017="NEW"),"",INDEX(J$1:J3016,SUMPRODUCT(MAX(ROW(E$1:E3016)*(E3017=E$1:E3016)))))</f>
        <v> </v>
      </c>
      <c r="L3017" s="26"/>
    </row>
    <row r="3018" spans="1:12">
      <c r="A3018" s="20" t="s">
        <v>651</v>
      </c>
      <c r="B3018" s="27" t="s">
        <v>619</v>
      </c>
      <c r="C3018" s="27" t="s">
        <v>652</v>
      </c>
      <c r="D3018" s="27" t="s">
        <v>608</v>
      </c>
      <c r="E3018" s="21">
        <f>IF(D3018="?OLD","!!!","")</f>
        <v/>
      </c>
      <c r="F3018" s="22" t="str">
        <f>IF(OR(E3018="",E3018="!!!"),"",IF(NOT(ISNA(VLOOKUP(E3018,E$1:E3017,1,FALSE()))),"OLD",IF(AND(E3018&lt;&gt;"",E3018&lt;&gt;"!!!"),"NEW","")))</f>
        <v> </v>
      </c>
      <c r="G3018" s="23" t="str">
        <f>IF(OR(E3018="",E3018="!!!"),"",IF(OR(J3018=0,AND(J3018=1,K3018=1),AND(J3018=1,I3018="SBJ"),AND(J3018=1,I3018=0)),"?IN_FOCUS",IF(J3018&lt;=2,"?ACTIVATED",IF(J3018&lt;&gt;"","?FAMILIAR",IF(F3018="NEW",IF(ISNA(VLOOKUP(E3018,#REF!,1,FALSE())),"?TYPE_IDENTIFIABLE","?REFERENTIAL"),"_")))))</f>
        <v> </v>
      </c>
      <c r="H3018" s="24" t="str">
        <f>IF(J3018&lt;&gt;1,"",IF(I3018="SBJ","CB","?"))</f>
        <v> </v>
      </c>
      <c r="I3018" s="25" t="str">
        <f>IF(OR(E3018="",E3018="!!!",F3018="NEW"),"",INDEX(B3017:B$2,-1+SUMPRODUCT(MAX(ROW(E3017:E$2)*(E3018=E3017:E$2)))))</f>
        <v> </v>
      </c>
      <c r="J3018" s="25" t="str">
        <f>IF(OR(E3018="",E3018="!!!",F3018="NEW"),"",COUNTBLANK(OFFSET(A$1,,,SUMPRODUCT(MAX(ROW(E$2:E3018)*(E3018=E$2:E3018)))))-COUNTBLANK(OFFSET(A$1,,,SUMPRODUCT(MAX(ROW(E$1:E3017)*(E2=E$1:E3017))))))</f>
        <v> </v>
      </c>
      <c r="K3018" s="25" t="str">
        <f>IF(OR(E3018="",E3018="!!!",F3018="NEW"),"",INDEX(J$1:J3017,SUMPRODUCT(MAX(ROW(E$1:E3017)*(E3018=E$1:E3017)))))</f>
        <v> </v>
      </c>
      <c r="L3018" s="26"/>
    </row>
    <row r="3019" spans="1:12">
      <c r="A3019" s="20" t="s">
        <v>737</v>
      </c>
      <c r="E3019" s="21">
        <f>IF(D3019="?OLD","!!!","")</f>
        <v/>
      </c>
      <c r="F3019" s="22" t="str">
        <f>IF(OR(E3019="",E3019="!!!"),"",IF(NOT(ISNA(VLOOKUP(E3019,E$1:E3018,1,FALSE()))),"OLD",IF(AND(E3019&lt;&gt;"",E3019&lt;&gt;"!!!"),"NEW","")))</f>
        <v> </v>
      </c>
      <c r="G3019" s="23" t="str">
        <f>IF(OR(E3019="",E3019="!!!"),"",IF(OR(J3019=0,AND(J3019=1,K3019=1),AND(J3019=1,I3019="SBJ"),AND(J3019=1,I3019=0)),"?IN_FOCUS",IF(J3019&lt;=2,"?ACTIVATED",IF(J3019&lt;&gt;"","?FAMILIAR",IF(F3019="NEW",IF(ISNA(VLOOKUP(E3019,#REF!,1,FALSE())),"?TYPE_IDENTIFIABLE","?REFERENTIAL"),"_")))))</f>
        <v> </v>
      </c>
      <c r="H3019" s="24" t="str">
        <f>IF(J3019&lt;&gt;1,"",IF(I3019="SBJ","CB","?"))</f>
        <v> </v>
      </c>
      <c r="I3019" s="25" t="str">
        <f>IF(OR(E3019="",E3019="!!!",F3019="NEW"),"",INDEX(B3018:B$2,-1+SUMPRODUCT(MAX(ROW(E3018:E$2)*(E3019=E3018:E$2)))))</f>
        <v> </v>
      </c>
      <c r="J3019" s="25" t="str">
        <f>IF(OR(E3019="",E3019="!!!",F3019="NEW"),"",COUNTBLANK(OFFSET(A$1,,,SUMPRODUCT(MAX(ROW(E$2:E3019)*(E3019=E$2:E3019)))))-COUNTBLANK(OFFSET(A$1,,,SUMPRODUCT(MAX(ROW(E$1:E3018)*(E2=E$1:E3018))))))</f>
        <v> </v>
      </c>
      <c r="K3019" s="25" t="str">
        <f>IF(OR(E3019="",E3019="!!!",F3019="NEW"),"",INDEX(J$1:J3018,SUMPRODUCT(MAX(ROW(E$1:E3018)*(E3019=E$1:E3018)))))</f>
        <v> </v>
      </c>
      <c r="L3019" s="26"/>
    </row>
    <row r="3020" spans="1:12">
      <c r="A3020" s="20" t="s">
        <v>633</v>
      </c>
      <c r="E3020" s="21">
        <f>IF(D3020="?OLD","!!!","")</f>
        <v/>
      </c>
      <c r="F3020" s="22" t="str">
        <f>IF(OR(E3020="",E3020="!!!"),"",IF(NOT(ISNA(VLOOKUP(E3020,E$1:E3019,1,FALSE()))),"OLD",IF(AND(E3020&lt;&gt;"",E3020&lt;&gt;"!!!"),"NEW","")))</f>
        <v> </v>
      </c>
      <c r="G3020" s="23" t="str">
        <f>IF(OR(E3020="",E3020="!!!"),"",IF(OR(J3020=0,AND(J3020=1,K3020=1),AND(J3020=1,I3020="SBJ"),AND(J3020=1,I3020=0)),"?IN_FOCUS",IF(J3020&lt;=2,"?ACTIVATED",IF(J3020&lt;&gt;"","?FAMILIAR",IF(F3020="NEW",IF(ISNA(VLOOKUP(E3020,#REF!,1,FALSE())),"?TYPE_IDENTIFIABLE","?REFERENTIAL"),"_")))))</f>
        <v> </v>
      </c>
      <c r="H3020" s="24" t="str">
        <f>IF(J3020&lt;&gt;1,"",IF(I3020="SBJ","CB","?"))</f>
        <v> </v>
      </c>
      <c r="I3020" s="25" t="str">
        <f>IF(OR(E3020="",E3020="!!!",F3020="NEW"),"",INDEX(B3019:B$2,-1+SUMPRODUCT(MAX(ROW(E3019:E$2)*(E3020=E3019:E$2)))))</f>
        <v> </v>
      </c>
      <c r="J3020" s="25" t="str">
        <f>IF(OR(E3020="",E3020="!!!",F3020="NEW"),"",COUNTBLANK(OFFSET(A$1,,,SUMPRODUCT(MAX(ROW(E$2:E3020)*(E3020=E$2:E3020)))))-COUNTBLANK(OFFSET(A$1,,,SUMPRODUCT(MAX(ROW(E$1:E3019)*(E2=E$1:E3019))))))</f>
        <v> </v>
      </c>
      <c r="K3020" s="25" t="str">
        <f>IF(OR(E3020="",E3020="!!!",F3020="NEW"),"",INDEX(J$1:J3019,SUMPRODUCT(MAX(ROW(E$1:E3019)*(E3020=E$1:E3019)))))</f>
        <v> </v>
      </c>
      <c r="L3020" s="26"/>
    </row>
    <row r="3021" spans="1:12">
      <c r="A3021" s="20"/>
    </row>
    <row r="3022" spans="1:12">
      <c r="A3022" s="20" t="s">
        <v>1620</v>
      </c>
    </row>
    <row r="3023" spans="1:12">
      <c r="A3023" s="20" t="s">
        <v>675</v>
      </c>
      <c r="B3023" s="27" t="s">
        <v>636</v>
      </c>
      <c r="C3023" s="27" t="s">
        <v>652</v>
      </c>
      <c r="D3023" s="27" t="s">
        <v>608</v>
      </c>
      <c r="E3023" s="21">
        <f>IF(D3023="?OLD","!!!","")</f>
        <v/>
      </c>
      <c r="F3023" s="22" t="str">
        <f>IF(OR(E3023="",E3023="!!!"),"",IF(NOT(ISNA(VLOOKUP(E3023,E$1:E3022,1,FALSE()))),"OLD",IF(AND(E3023&lt;&gt;"",E3023&lt;&gt;"!!!"),"NEW","")))</f>
        <v> </v>
      </c>
      <c r="G3023" s="23" t="str">
        <f>IF(OR(E3023="",E3023="!!!"),"",IF(OR(J3023=0,AND(J3023=1,K3023=1),AND(J3023=1,I3023="SBJ"),AND(J3023=1,I3023=0)),"?IN_FOCUS",IF(J3023&lt;=2,"?ACTIVATED",IF(J3023&lt;&gt;"","?FAMILIAR",IF(F3023="NEW",IF(ISNA(VLOOKUP(E3023,#REF!,1,FALSE())),"?TYPE_IDENTIFIABLE","?REFERENTIAL"),"_")))))</f>
        <v> </v>
      </c>
      <c r="H3023" s="24" t="str">
        <f>IF(J3023&lt;&gt;1,"",IF(I3023="SBJ","CB","?"))</f>
        <v> </v>
      </c>
      <c r="I3023" s="25" t="str">
        <f>IF(OR(E3023="",E3023="!!!",F3023="NEW"),"",INDEX(B3022:B$2,-1+SUMPRODUCT(MAX(ROW(E3022:E$2)*(E3023=E3022:E$2)))))</f>
        <v> </v>
      </c>
      <c r="J3023" s="25" t="str">
        <f>IF(OR(E3023="",E3023="!!!",F3023="NEW"),"",COUNTBLANK(OFFSET(A$1,,,SUMPRODUCT(MAX(ROW(E$2:E3023)*(E3023=E$2:E3023)))))-COUNTBLANK(OFFSET(A$1,,,SUMPRODUCT(MAX(ROW(E$1:E3022)*(E2=E$1:E3022))))))</f>
        <v> </v>
      </c>
      <c r="K3023" s="25" t="str">
        <f>IF(OR(E3023="",E3023="!!!",F3023="NEW"),"",INDEX(J$1:J3022,SUMPRODUCT(MAX(ROW(E$1:E3022)*(E3023=E$1:E3022)))))</f>
        <v> </v>
      </c>
      <c r="L3023" s="26"/>
    </row>
    <row r="3024" spans="1:12">
      <c r="A3024" s="20" t="s">
        <v>18</v>
      </c>
      <c r="E3024" s="21">
        <f>IF(D3024="?OLD","!!!","")</f>
        <v/>
      </c>
      <c r="F3024" s="22" t="str">
        <f>IF(OR(E3024="",E3024="!!!"),"",IF(NOT(ISNA(VLOOKUP(E3024,E$1:E3023,1,FALSE()))),"OLD",IF(AND(E3024&lt;&gt;"",E3024&lt;&gt;"!!!"),"NEW","")))</f>
        <v> </v>
      </c>
      <c r="G3024" s="23" t="str">
        <f>IF(OR(E3024="",E3024="!!!"),"",IF(OR(J3024=0,AND(J3024=1,K3024=1),AND(J3024=1,I3024="SBJ"),AND(J3024=1,I3024=0)),"?IN_FOCUS",IF(J3024&lt;=2,"?ACTIVATED",IF(J3024&lt;&gt;"","?FAMILIAR",IF(F3024="NEW",IF(ISNA(VLOOKUP(E3024,#REF!,1,FALSE())),"?TYPE_IDENTIFIABLE","?REFERENTIAL"),"_")))))</f>
        <v> </v>
      </c>
      <c r="H3024" s="24" t="str">
        <f>IF(J3024&lt;&gt;1,"",IF(I3024="SBJ","CB","?"))</f>
        <v> </v>
      </c>
      <c r="I3024" s="25" t="str">
        <f>IF(OR(E3024="",E3024="!!!",F3024="NEW"),"",INDEX(B3023:B$2,-1+SUMPRODUCT(MAX(ROW(E3023:E$2)*(E3024=E3023:E$2)))))</f>
        <v> </v>
      </c>
      <c r="J3024" s="25" t="str">
        <f>IF(OR(E3024="",E3024="!!!",F3024="NEW"),"",COUNTBLANK(OFFSET(A$1,,,SUMPRODUCT(MAX(ROW(E$2:E3024)*(E3024=E$2:E3024)))))-COUNTBLANK(OFFSET(A$1,,,SUMPRODUCT(MAX(ROW(E$1:E3023)*(E2=E$1:E3023))))))</f>
        <v> </v>
      </c>
      <c r="K3024" s="25" t="str">
        <f>IF(OR(E3024="",E3024="!!!",F3024="NEW"),"",INDEX(J$1:J3023,SUMPRODUCT(MAX(ROW(E$1:E3023)*(E3024=E$1:E3023)))))</f>
        <v> </v>
      </c>
      <c r="L3024" s="26"/>
    </row>
    <row r="3025" spans="1:12">
      <c r="A3025" s="20" t="s">
        <v>738</v>
      </c>
      <c r="E3025" s="21">
        <f>IF(D3025="?OLD","!!!","")</f>
        <v/>
      </c>
      <c r="F3025" s="22" t="str">
        <f>IF(OR(E3025="",E3025="!!!"),"",IF(NOT(ISNA(VLOOKUP(E3025,E$1:E3024,1,FALSE()))),"OLD",IF(AND(E3025&lt;&gt;"",E3025&lt;&gt;"!!!"),"NEW","")))</f>
        <v> </v>
      </c>
      <c r="G3025" s="23" t="str">
        <f>IF(OR(E3025="",E3025="!!!"),"",IF(OR(J3025=0,AND(J3025=1,K3025=1),AND(J3025=1,I3025="SBJ"),AND(J3025=1,I3025=0)),"?IN_FOCUS",IF(J3025&lt;=2,"?ACTIVATED",IF(J3025&lt;&gt;"","?FAMILIAR",IF(F3025="NEW",IF(ISNA(VLOOKUP(E3025,#REF!,1,FALSE())),"?TYPE_IDENTIFIABLE","?REFERENTIAL"),"_")))))</f>
        <v> </v>
      </c>
      <c r="H3025" s="24" t="str">
        <f>IF(J3025&lt;&gt;1,"",IF(I3025="SBJ","CB","?"))</f>
        <v> </v>
      </c>
      <c r="I3025" s="25" t="str">
        <f>IF(OR(E3025="",E3025="!!!",F3025="NEW"),"",INDEX(B3024:B$2,-1+SUMPRODUCT(MAX(ROW(E3024:E$2)*(E3025=E3024:E$2)))))</f>
        <v> </v>
      </c>
      <c r="J3025" s="25" t="str">
        <f>IF(OR(E3025="",E3025="!!!",F3025="NEW"),"",COUNTBLANK(OFFSET(A$1,,,SUMPRODUCT(MAX(ROW(E$2:E3025)*(E3025=E$2:E3025)))))-COUNTBLANK(OFFSET(A$1,,,SUMPRODUCT(MAX(ROW(E$1:E3024)*(E2=E$1:E3024))))))</f>
        <v> </v>
      </c>
      <c r="K3025" s="25" t="str">
        <f>IF(OR(E3025="",E3025="!!!",F3025="NEW"),"",INDEX(J$1:J3024,SUMPRODUCT(MAX(ROW(E$1:E3024)*(E3025=E$1:E3024)))))</f>
        <v> </v>
      </c>
      <c r="L3025" s="26"/>
    </row>
    <row r="3026" spans="1:12">
      <c r="A3026" s="20" t="s">
        <v>1170</v>
      </c>
      <c r="B3026" s="27" t="s">
        <v>653</v>
      </c>
      <c r="C3026" s="27" t="s">
        <v>622</v>
      </c>
      <c r="E3026" s="21">
        <f>IF(D3026="?OLD","!!!","")</f>
        <v/>
      </c>
      <c r="F3026" s="22" t="str">
        <f>IF(OR(E3026="",E3026="!!!"),"",IF(NOT(ISNA(VLOOKUP(E3026,E$1:E3025,1,FALSE()))),"OLD",IF(AND(E3026&lt;&gt;"",E3026&lt;&gt;"!!!"),"NEW","")))</f>
        <v> </v>
      </c>
      <c r="G3026" s="23" t="str">
        <f>IF(OR(E3026="",E3026="!!!"),"",IF(OR(J3026=0,AND(J3026=1,K3026=1),AND(J3026=1,I3026="SBJ"),AND(J3026=1,I3026=0)),"?IN_FOCUS",IF(J3026&lt;=2,"?ACTIVATED",IF(J3026&lt;&gt;"","?FAMILIAR",IF(F3026="NEW",IF(ISNA(VLOOKUP(E3026,#REF!,1,FALSE())),"?TYPE_IDENTIFIABLE","?REFERENTIAL"),"_")))))</f>
        <v> </v>
      </c>
      <c r="H3026" s="24" t="str">
        <f>IF(J3026&lt;&gt;1,"",IF(I3026="SBJ","CB","?"))</f>
        <v> </v>
      </c>
      <c r="I3026" s="25" t="str">
        <f>IF(OR(E3026="",E3026="!!!",F3026="NEW"),"",INDEX(B3025:B$2,-1+SUMPRODUCT(MAX(ROW(E3025:E$2)*(E3026=E3025:E$2)))))</f>
        <v> </v>
      </c>
      <c r="J3026" s="25" t="str">
        <f>IF(OR(E3026="",E3026="!!!",F3026="NEW"),"",COUNTBLANK(OFFSET(A$1,,,SUMPRODUCT(MAX(ROW(E$2:E3026)*(E3026=E$2:E3026)))))-COUNTBLANK(OFFSET(A$1,,,SUMPRODUCT(MAX(ROW(E$1:E3025)*(E2=E$1:E3025))))))</f>
        <v> </v>
      </c>
      <c r="K3026" s="25" t="str">
        <f>IF(OR(E3026="",E3026="!!!",F3026="NEW"),"",INDEX(J$1:J3025,SUMPRODUCT(MAX(ROW(E$1:E3025)*(E3026=E$1:E3025)))))</f>
        <v> </v>
      </c>
      <c r="L3026" s="26"/>
    </row>
    <row r="3027" spans="1:12">
      <c r="A3027" s="20" t="s">
        <v>644</v>
      </c>
      <c r="E3027" s="21">
        <f>IF(D3027="?OLD","!!!","")</f>
        <v/>
      </c>
      <c r="F3027" s="22" t="str">
        <f>IF(OR(E3027="",E3027="!!!"),"",IF(NOT(ISNA(VLOOKUP(E3027,E$1:E3026,1,FALSE()))),"OLD",IF(AND(E3027&lt;&gt;"",E3027&lt;&gt;"!!!"),"NEW","")))</f>
        <v> </v>
      </c>
      <c r="G3027" s="23" t="str">
        <f>IF(OR(E3027="",E3027="!!!"),"",IF(OR(J3027=0,AND(J3027=1,K3027=1),AND(J3027=1,I3027="SBJ"),AND(J3027=1,I3027=0)),"?IN_FOCUS",IF(J3027&lt;=2,"?ACTIVATED",IF(J3027&lt;&gt;"","?FAMILIAR",IF(F3027="NEW",IF(ISNA(VLOOKUP(E3027,#REF!,1,FALSE())),"?TYPE_IDENTIFIABLE","?REFERENTIAL"),"_")))))</f>
        <v> </v>
      </c>
      <c r="H3027" s="24" t="str">
        <f>IF(J3027&lt;&gt;1,"",IF(I3027="SBJ","CB","?"))</f>
        <v> </v>
      </c>
      <c r="I3027" s="25" t="str">
        <f>IF(OR(E3027="",E3027="!!!",F3027="NEW"),"",INDEX(B3026:B$2,-1+SUMPRODUCT(MAX(ROW(E3026:E$2)*(E3027=E3026:E$2)))))</f>
        <v> </v>
      </c>
      <c r="J3027" s="25" t="str">
        <f>IF(OR(E3027="",E3027="!!!",F3027="NEW"),"",COUNTBLANK(OFFSET(A$1,,,SUMPRODUCT(MAX(ROW(E$2:E3027)*(E3027=E$2:E3027)))))-COUNTBLANK(OFFSET(A$1,,,SUMPRODUCT(MAX(ROW(E$1:E3026)*(E2=E$1:E3026))))))</f>
        <v> </v>
      </c>
      <c r="K3027" s="25" t="str">
        <f>IF(OR(E3027="",E3027="!!!",F3027="NEW"),"",INDEX(J$1:J3026,SUMPRODUCT(MAX(ROW(E$1:E3026)*(E3027=E$1:E3026)))))</f>
        <v> </v>
      </c>
      <c r="L3027" s="26"/>
    </row>
    <row r="3028" spans="1:12">
      <c r="A3028" s="20" t="s">
        <v>738</v>
      </c>
      <c r="E3028" s="21">
        <f>IF(D3028="?OLD","!!!","")</f>
        <v/>
      </c>
      <c r="F3028" s="22" t="str">
        <f>IF(OR(E3028="",E3028="!!!"),"",IF(NOT(ISNA(VLOOKUP(E3028,E$1:E3027,1,FALSE()))),"OLD",IF(AND(E3028&lt;&gt;"",E3028&lt;&gt;"!!!"),"NEW","")))</f>
        <v> </v>
      </c>
      <c r="G3028" s="23" t="str">
        <f>IF(OR(E3028="",E3028="!!!"),"",IF(OR(J3028=0,AND(J3028=1,K3028=1),AND(J3028=1,I3028="SBJ"),AND(J3028=1,I3028=0)),"?IN_FOCUS",IF(J3028&lt;=2,"?ACTIVATED",IF(J3028&lt;&gt;"","?FAMILIAR",IF(F3028="NEW",IF(ISNA(VLOOKUP(E3028,#REF!,1,FALSE())),"?TYPE_IDENTIFIABLE","?REFERENTIAL"),"_")))))</f>
        <v> </v>
      </c>
      <c r="H3028" s="24" t="str">
        <f>IF(J3028&lt;&gt;1,"",IF(I3028="SBJ","CB","?"))</f>
        <v> </v>
      </c>
      <c r="I3028" s="25" t="str">
        <f>IF(OR(E3028="",E3028="!!!",F3028="NEW"),"",INDEX(B3027:B$2,-1+SUMPRODUCT(MAX(ROW(E3027:E$2)*(E3028=E3027:E$2)))))</f>
        <v> </v>
      </c>
      <c r="J3028" s="25" t="str">
        <f>IF(OR(E3028="",E3028="!!!",F3028="NEW"),"",COUNTBLANK(OFFSET(A$1,,,SUMPRODUCT(MAX(ROW(E$2:E3028)*(E3028=E$2:E3028)))))-COUNTBLANK(OFFSET(A$1,,,SUMPRODUCT(MAX(ROW(E$1:E3027)*(E2=E$1:E3027))))))</f>
        <v> </v>
      </c>
      <c r="K3028" s="25" t="str">
        <f>IF(OR(E3028="",E3028="!!!",F3028="NEW"),"",INDEX(J$1:J3027,SUMPRODUCT(MAX(ROW(E$1:E3027)*(E3028=E$1:E3027)))))</f>
        <v> </v>
      </c>
      <c r="L3028" s="26"/>
    </row>
    <row r="3029" spans="1:12">
      <c r="A3029" s="20" t="s">
        <v>1621</v>
      </c>
      <c r="B3029" s="27" t="s">
        <v>611</v>
      </c>
      <c r="C3029" s="27" t="s">
        <v>622</v>
      </c>
      <c r="E3029" s="21">
        <f>IF(D3029="?OLD","!!!","")</f>
        <v/>
      </c>
      <c r="F3029" s="22" t="str">
        <f>IF(OR(E3029="",E3029="!!!"),"",IF(NOT(ISNA(VLOOKUP(E3029,E$1:E3028,1,FALSE()))),"OLD",IF(AND(E3029&lt;&gt;"",E3029&lt;&gt;"!!!"),"NEW","")))</f>
        <v> </v>
      </c>
      <c r="G3029" s="23" t="str">
        <f>IF(OR(E3029="",E3029="!!!"),"",IF(OR(J3029=0,AND(J3029=1,K3029=1),AND(J3029=1,I3029="SBJ"),AND(J3029=1,I3029=0)),"?IN_FOCUS",IF(J3029&lt;=2,"?ACTIVATED",IF(J3029&lt;&gt;"","?FAMILIAR",IF(F3029="NEW",IF(ISNA(VLOOKUP(E3029,#REF!,1,FALSE())),"?TYPE_IDENTIFIABLE","?REFERENTIAL"),"_")))))</f>
        <v> </v>
      </c>
      <c r="H3029" s="24" t="str">
        <f>IF(J3029&lt;&gt;1,"",IF(I3029="SBJ","CB","?"))</f>
        <v> </v>
      </c>
      <c r="I3029" s="25" t="str">
        <f>IF(OR(E3029="",E3029="!!!",F3029="NEW"),"",INDEX(B3028:B$2,-1+SUMPRODUCT(MAX(ROW(E3028:E$2)*(E3029=E3028:E$2)))))</f>
        <v> </v>
      </c>
      <c r="J3029" s="25" t="str">
        <f>IF(OR(E3029="",E3029="!!!",F3029="NEW"),"",COUNTBLANK(OFFSET(A$1,,,SUMPRODUCT(MAX(ROW(E$2:E3029)*(E3029=E$2:E3029)))))-COUNTBLANK(OFFSET(A$1,,,SUMPRODUCT(MAX(ROW(E$1:E3028)*(E2=E$1:E3028))))))</f>
        <v> </v>
      </c>
      <c r="K3029" s="25" t="str">
        <f>IF(OR(E3029="",E3029="!!!",F3029="NEW"),"",INDEX(J$1:J3028,SUMPRODUCT(MAX(ROW(E$1:E3028)*(E3029=E$1:E3028)))))</f>
        <v> </v>
      </c>
      <c r="L3029" s="26"/>
    </row>
    <row r="3030" spans="1:12">
      <c r="A3030" s="20" t="s">
        <v>617</v>
      </c>
      <c r="E3030" s="21">
        <f>IF(D3030="?OLD","!!!","")</f>
        <v/>
      </c>
      <c r="F3030" s="22" t="str">
        <f>IF(OR(E3030="",E3030="!!!"),"",IF(NOT(ISNA(VLOOKUP(E3030,E$1:E3029,1,FALSE()))),"OLD",IF(AND(E3030&lt;&gt;"",E3030&lt;&gt;"!!!"),"NEW","")))</f>
        <v> </v>
      </c>
      <c r="G3030" s="23" t="str">
        <f>IF(OR(E3030="",E3030="!!!"),"",IF(OR(J3030=0,AND(J3030=1,K3030=1),AND(J3030=1,I3030="SBJ"),AND(J3030=1,I3030=0)),"?IN_FOCUS",IF(J3030&lt;=2,"?ACTIVATED",IF(J3030&lt;&gt;"","?FAMILIAR",IF(F3030="NEW",IF(ISNA(VLOOKUP(E3030,#REF!,1,FALSE())),"?TYPE_IDENTIFIABLE","?REFERENTIAL"),"_")))))</f>
        <v> </v>
      </c>
      <c r="H3030" s="24" t="str">
        <f>IF(J3030&lt;&gt;1,"",IF(I3030="SBJ","CB","?"))</f>
        <v> </v>
      </c>
      <c r="I3030" s="25" t="str">
        <f>IF(OR(E3030="",E3030="!!!",F3030="NEW"),"",INDEX(B3029:B$2,-1+SUMPRODUCT(MAX(ROW(E3029:E$2)*(E3030=E3029:E$2)))))</f>
        <v> </v>
      </c>
      <c r="J3030" s="25" t="str">
        <f>IF(OR(E3030="",E3030="!!!",F3030="NEW"),"",COUNTBLANK(OFFSET(A$1,,,SUMPRODUCT(MAX(ROW(E$2:E3030)*(E3030=E$2:E3030)))))-COUNTBLANK(OFFSET(A$1,,,SUMPRODUCT(MAX(ROW(E$1:E3029)*(E2=E$1:E3029))))))</f>
        <v> </v>
      </c>
      <c r="K3030" s="25" t="str">
        <f>IF(OR(E3030="",E3030="!!!",F3030="NEW"),"",INDEX(J$1:J3029,SUMPRODUCT(MAX(ROW(E$1:E3029)*(E3030=E$1:E3029)))))</f>
        <v> </v>
      </c>
      <c r="L3030" s="26"/>
    </row>
    <row r="3031" spans="1:12">
      <c r="A3031" s="20" t="s">
        <v>738</v>
      </c>
      <c r="E3031" s="21">
        <f>IF(D3031="?OLD","!!!","")</f>
        <v/>
      </c>
      <c r="F3031" s="22" t="str">
        <f>IF(OR(E3031="",E3031="!!!"),"",IF(NOT(ISNA(VLOOKUP(E3031,E$1:E3030,1,FALSE()))),"OLD",IF(AND(E3031&lt;&gt;"",E3031&lt;&gt;"!!!"),"NEW","")))</f>
        <v> </v>
      </c>
      <c r="G3031" s="23" t="str">
        <f>IF(OR(E3031="",E3031="!!!"),"",IF(OR(J3031=0,AND(J3031=1,K3031=1),AND(J3031=1,I3031="SBJ"),AND(J3031=1,I3031=0)),"?IN_FOCUS",IF(J3031&lt;=2,"?ACTIVATED",IF(J3031&lt;&gt;"","?FAMILIAR",IF(F3031="NEW",IF(ISNA(VLOOKUP(E3031,#REF!,1,FALSE())),"?TYPE_IDENTIFIABLE","?REFERENTIAL"),"_")))))</f>
        <v> </v>
      </c>
      <c r="H3031" s="24" t="str">
        <f>IF(J3031&lt;&gt;1,"",IF(I3031="SBJ","CB","?"))</f>
        <v> </v>
      </c>
      <c r="I3031" s="25" t="str">
        <f>IF(OR(E3031="",E3031="!!!",F3031="NEW"),"",INDEX(B3030:B$2,-1+SUMPRODUCT(MAX(ROW(E3030:E$2)*(E3031=E3030:E$2)))))</f>
        <v> </v>
      </c>
      <c r="J3031" s="25" t="str">
        <f>IF(OR(E3031="",E3031="!!!",F3031="NEW"),"",COUNTBLANK(OFFSET(A$1,,,SUMPRODUCT(MAX(ROW(E$2:E3031)*(E3031=E$2:E3031)))))-COUNTBLANK(OFFSET(A$1,,,SUMPRODUCT(MAX(ROW(E$1:E3030)*(E2=E$1:E3030))))))</f>
        <v> </v>
      </c>
      <c r="K3031" s="25" t="str">
        <f>IF(OR(E3031="",E3031="!!!",F3031="NEW"),"",INDEX(J$1:J3030,SUMPRODUCT(MAX(ROW(E$1:E3030)*(E3031=E$1:E3030)))))</f>
        <v> </v>
      </c>
      <c r="L3031" s="26"/>
    </row>
    <row r="3032" spans="1:12">
      <c r="A3032" s="20" t="s">
        <v>1622</v>
      </c>
      <c r="B3032" s="27" t="s">
        <v>625</v>
      </c>
      <c r="C3032" s="27" t="s">
        <v>622</v>
      </c>
      <c r="E3032" s="21">
        <f>IF(D3032="?OLD","!!!","")</f>
        <v/>
      </c>
      <c r="F3032" s="22" t="str">
        <f>IF(OR(E3032="",E3032="!!!"),"",IF(NOT(ISNA(VLOOKUP(E3032,E$1:E3031,1,FALSE()))),"OLD",IF(AND(E3032&lt;&gt;"",E3032&lt;&gt;"!!!"),"NEW","")))</f>
        <v> </v>
      </c>
      <c r="G3032" s="23" t="str">
        <f>IF(OR(E3032="",E3032="!!!"),"",IF(OR(J3032=0,AND(J3032=1,K3032=1),AND(J3032=1,I3032="SBJ"),AND(J3032=1,I3032=0)),"?IN_FOCUS",IF(J3032&lt;=2,"?ACTIVATED",IF(J3032&lt;&gt;"","?FAMILIAR",IF(F3032="NEW",IF(ISNA(VLOOKUP(E3032,#REF!,1,FALSE())),"?TYPE_IDENTIFIABLE","?REFERENTIAL"),"_")))))</f>
        <v> </v>
      </c>
      <c r="H3032" s="24" t="str">
        <f>IF(J3032&lt;&gt;1,"",IF(I3032="SBJ","CB","?"))</f>
        <v> </v>
      </c>
      <c r="I3032" s="25" t="str">
        <f>IF(OR(E3032="",E3032="!!!",F3032="NEW"),"",INDEX(B3031:B$2,-1+SUMPRODUCT(MAX(ROW(E3031:E$2)*(E3032=E3031:E$2)))))</f>
        <v> </v>
      </c>
      <c r="J3032" s="25" t="str">
        <f>IF(OR(E3032="",E3032="!!!",F3032="NEW"),"",COUNTBLANK(OFFSET(A$1,,,SUMPRODUCT(MAX(ROW(E$2:E3032)*(E3032=E$2:E3032)))))-COUNTBLANK(OFFSET(A$1,,,SUMPRODUCT(MAX(ROW(E$1:E3031)*(E2=E$1:E3031))))))</f>
        <v> </v>
      </c>
      <c r="K3032" s="25" t="str">
        <f>IF(OR(E3032="",E3032="!!!",F3032="NEW"),"",INDEX(J$1:J3031,SUMPRODUCT(MAX(ROW(E$1:E3031)*(E3032=E$1:E3031)))))</f>
        <v> </v>
      </c>
      <c r="L3032" s="26"/>
    </row>
    <row r="3033" spans="1:12">
      <c r="A3033" s="20" t="s">
        <v>617</v>
      </c>
      <c r="E3033" s="21">
        <f>IF(D3033="?OLD","!!!","")</f>
        <v/>
      </c>
      <c r="F3033" s="22" t="str">
        <f>IF(OR(E3033="",E3033="!!!"),"",IF(NOT(ISNA(VLOOKUP(E3033,E$1:E3032,1,FALSE()))),"OLD",IF(AND(E3033&lt;&gt;"",E3033&lt;&gt;"!!!"),"NEW","")))</f>
        <v> </v>
      </c>
      <c r="G3033" s="23" t="str">
        <f>IF(OR(E3033="",E3033="!!!"),"",IF(OR(J3033=0,AND(J3033=1,K3033=1),AND(J3033=1,I3033="SBJ"),AND(J3033=1,I3033=0)),"?IN_FOCUS",IF(J3033&lt;=2,"?ACTIVATED",IF(J3033&lt;&gt;"","?FAMILIAR",IF(F3033="NEW",IF(ISNA(VLOOKUP(E3033,#REF!,1,FALSE())),"?TYPE_IDENTIFIABLE","?REFERENTIAL"),"_")))))</f>
        <v> </v>
      </c>
      <c r="H3033" s="24" t="str">
        <f>IF(J3033&lt;&gt;1,"",IF(I3033="SBJ","CB","?"))</f>
        <v> </v>
      </c>
      <c r="I3033" s="25" t="str">
        <f>IF(OR(E3033="",E3033="!!!",F3033="NEW"),"",INDEX(B3032:B$2,-1+SUMPRODUCT(MAX(ROW(E3032:E$2)*(E3033=E3032:E$2)))))</f>
        <v> </v>
      </c>
      <c r="J3033" s="25" t="str">
        <f>IF(OR(E3033="",E3033="!!!",F3033="NEW"),"",COUNTBLANK(OFFSET(A$1,,,SUMPRODUCT(MAX(ROW(E$2:E3033)*(E3033=E$2:E3033)))))-COUNTBLANK(OFFSET(A$1,,,SUMPRODUCT(MAX(ROW(E$1:E3032)*(E2=E$1:E3032))))))</f>
        <v> </v>
      </c>
      <c r="K3033" s="25" t="str">
        <f>IF(OR(E3033="",E3033="!!!",F3033="NEW"),"",INDEX(J$1:J3032,SUMPRODUCT(MAX(ROW(E$1:E3032)*(E3033=E$1:E3032)))))</f>
        <v> </v>
      </c>
      <c r="L3033" s="26"/>
    </row>
    <row r="3034" spans="1:12">
      <c r="A3034" s="20" t="s">
        <v>1623</v>
      </c>
      <c r="B3034" s="27" t="s">
        <v>625</v>
      </c>
      <c r="C3034" s="27" t="s">
        <v>622</v>
      </c>
      <c r="E3034" s="21">
        <f>IF(D3034="?OLD","!!!","")</f>
        <v/>
      </c>
      <c r="F3034" s="22" t="str">
        <f>IF(OR(E3034="",E3034="!!!"),"",IF(NOT(ISNA(VLOOKUP(E3034,E$1:E3033,1,FALSE()))),"OLD",IF(AND(E3034&lt;&gt;"",E3034&lt;&gt;"!!!"),"NEW","")))</f>
        <v> </v>
      </c>
      <c r="G3034" s="23" t="str">
        <f>IF(OR(E3034="",E3034="!!!"),"",IF(OR(J3034=0,AND(J3034=1,K3034=1),AND(J3034=1,I3034="SBJ"),AND(J3034=1,I3034=0)),"?IN_FOCUS",IF(J3034&lt;=2,"?ACTIVATED",IF(J3034&lt;&gt;"","?FAMILIAR",IF(F3034="NEW",IF(ISNA(VLOOKUP(E3034,#REF!,1,FALSE())),"?TYPE_IDENTIFIABLE","?REFERENTIAL"),"_")))))</f>
        <v> </v>
      </c>
      <c r="H3034" s="24" t="str">
        <f>IF(J3034&lt;&gt;1,"",IF(I3034="SBJ","CB","?"))</f>
        <v> </v>
      </c>
      <c r="I3034" s="25" t="str">
        <f>IF(OR(E3034="",E3034="!!!",F3034="NEW"),"",INDEX(B3033:B$2,-1+SUMPRODUCT(MAX(ROW(E3033:E$2)*(E3034=E3033:E$2)))))</f>
        <v> </v>
      </c>
      <c r="J3034" s="25" t="str">
        <f>IF(OR(E3034="",E3034="!!!",F3034="NEW"),"",COUNTBLANK(OFFSET(A$1,,,SUMPRODUCT(MAX(ROW(E$2:E3034)*(E3034=E$2:E3034)))))-COUNTBLANK(OFFSET(A$1,,,SUMPRODUCT(MAX(ROW(E$1:E3033)*(E2=E$1:E3033))))))</f>
        <v> </v>
      </c>
      <c r="K3034" s="25" t="str">
        <f>IF(OR(E3034="",E3034="!!!",F3034="NEW"),"",INDEX(J$1:J3033,SUMPRODUCT(MAX(ROW(E$1:E3033)*(E3034=E$1:E3033)))))</f>
        <v> </v>
      </c>
      <c r="L3034" s="26"/>
    </row>
    <row r="3035" spans="1:12">
      <c r="A3035" s="20" t="s">
        <v>644</v>
      </c>
      <c r="E3035" s="21">
        <f>IF(D3035="?OLD","!!!","")</f>
        <v/>
      </c>
      <c r="F3035" s="22" t="str">
        <f>IF(OR(E3035="",E3035="!!!"),"",IF(NOT(ISNA(VLOOKUP(E3035,E$1:E3034,1,FALSE()))),"OLD",IF(AND(E3035&lt;&gt;"",E3035&lt;&gt;"!!!"),"NEW","")))</f>
        <v> </v>
      </c>
      <c r="G3035" s="23" t="str">
        <f>IF(OR(E3035="",E3035="!!!"),"",IF(OR(J3035=0,AND(J3035=1,K3035=1),AND(J3035=1,I3035="SBJ"),AND(J3035=1,I3035=0)),"?IN_FOCUS",IF(J3035&lt;=2,"?ACTIVATED",IF(J3035&lt;&gt;"","?FAMILIAR",IF(F3035="NEW",IF(ISNA(VLOOKUP(E3035,#REF!,1,FALSE())),"?TYPE_IDENTIFIABLE","?REFERENTIAL"),"_")))))</f>
        <v> </v>
      </c>
      <c r="H3035" s="24" t="str">
        <f>IF(J3035&lt;&gt;1,"",IF(I3035="SBJ","CB","?"))</f>
        <v> </v>
      </c>
      <c r="I3035" s="25" t="str">
        <f>IF(OR(E3035="",E3035="!!!",F3035="NEW"),"",INDEX(B3034:B$2,-1+SUMPRODUCT(MAX(ROW(E3034:E$2)*(E3035=E3034:E$2)))))</f>
        <v> </v>
      </c>
      <c r="J3035" s="25" t="str">
        <f>IF(OR(E3035="",E3035="!!!",F3035="NEW"),"",COUNTBLANK(OFFSET(A$1,,,SUMPRODUCT(MAX(ROW(E$2:E3035)*(E3035=E$2:E3035)))))-COUNTBLANK(OFFSET(A$1,,,SUMPRODUCT(MAX(ROW(E$1:E3034)*(E2=E$1:E3034))))))</f>
        <v> </v>
      </c>
      <c r="K3035" s="25" t="str">
        <f>IF(OR(E3035="",E3035="!!!",F3035="NEW"),"",INDEX(J$1:J3034,SUMPRODUCT(MAX(ROW(E$1:E3034)*(E3035=E$1:E3034)))))</f>
        <v> </v>
      </c>
      <c r="L3035" s="26"/>
    </row>
    <row r="3036" spans="1:12">
      <c r="A3036" s="20" t="s">
        <v>1624</v>
      </c>
      <c r="B3036" s="27" t="s">
        <v>625</v>
      </c>
      <c r="C3036" s="27" t="s">
        <v>622</v>
      </c>
      <c r="E3036" s="21">
        <f>IF(D3036="?OLD","!!!","")</f>
        <v/>
      </c>
      <c r="F3036" s="22" t="str">
        <f>IF(OR(E3036="",E3036="!!!"),"",IF(NOT(ISNA(VLOOKUP(E3036,E$1:E3035,1,FALSE()))),"OLD",IF(AND(E3036&lt;&gt;"",E3036&lt;&gt;"!!!"),"NEW","")))</f>
        <v> </v>
      </c>
      <c r="G3036" s="23" t="str">
        <f>IF(OR(E3036="",E3036="!!!"),"",IF(OR(J3036=0,AND(J3036=1,K3036=1),AND(J3036=1,I3036="SBJ"),AND(J3036=1,I3036=0)),"?IN_FOCUS",IF(J3036&lt;=2,"?ACTIVATED",IF(J3036&lt;&gt;"","?FAMILIAR",IF(F3036="NEW",IF(ISNA(VLOOKUP(E3036,#REF!,1,FALSE())),"?TYPE_IDENTIFIABLE","?REFERENTIAL"),"_")))))</f>
        <v> </v>
      </c>
      <c r="H3036" s="24" t="str">
        <f>IF(J3036&lt;&gt;1,"",IF(I3036="SBJ","CB","?"))</f>
        <v> </v>
      </c>
      <c r="I3036" s="25" t="str">
        <f>IF(OR(E3036="",E3036="!!!",F3036="NEW"),"",INDEX(B3035:B$2,-1+SUMPRODUCT(MAX(ROW(E3035:E$2)*(E3036=E3035:E$2)))))</f>
        <v> </v>
      </c>
      <c r="J3036" s="25" t="str">
        <f>IF(OR(E3036="",E3036="!!!",F3036="NEW"),"",COUNTBLANK(OFFSET(A$1,,,SUMPRODUCT(MAX(ROW(E$2:E3036)*(E3036=E$2:E3036)))))-COUNTBLANK(OFFSET(A$1,,,SUMPRODUCT(MAX(ROW(E$1:E3035)*(E2=E$1:E3035))))))</f>
        <v> </v>
      </c>
      <c r="K3036" s="25" t="str">
        <f>IF(OR(E3036="",E3036="!!!",F3036="NEW"),"",INDEX(J$1:J3035,SUMPRODUCT(MAX(ROW(E$1:E3035)*(E3036=E$1:E3035)))))</f>
        <v> </v>
      </c>
      <c r="L3036" s="26"/>
    </row>
    <row r="3037" spans="1:12">
      <c r="A3037" s="20" t="s">
        <v>707</v>
      </c>
      <c r="E3037" s="21">
        <f>IF(D3037="?OLD","!!!","")</f>
        <v/>
      </c>
      <c r="F3037" s="22" t="str">
        <f>IF(OR(E3037="",E3037="!!!"),"",IF(NOT(ISNA(VLOOKUP(E3037,E$1:E3036,1,FALSE()))),"OLD",IF(AND(E3037&lt;&gt;"",E3037&lt;&gt;"!!!"),"NEW","")))</f>
        <v> </v>
      </c>
      <c r="G3037" s="23" t="str">
        <f>IF(OR(E3037="",E3037="!!!"),"",IF(OR(J3037=0,AND(J3037=1,K3037=1),AND(J3037=1,I3037="SBJ"),AND(J3037=1,I3037=0)),"?IN_FOCUS",IF(J3037&lt;=2,"?ACTIVATED",IF(J3037&lt;&gt;"","?FAMILIAR",IF(F3037="NEW",IF(ISNA(VLOOKUP(E3037,#REF!,1,FALSE())),"?TYPE_IDENTIFIABLE","?REFERENTIAL"),"_")))))</f>
        <v> </v>
      </c>
      <c r="H3037" s="24" t="str">
        <f>IF(J3037&lt;&gt;1,"",IF(I3037="SBJ","CB","?"))</f>
        <v> </v>
      </c>
      <c r="I3037" s="25" t="str">
        <f>IF(OR(E3037="",E3037="!!!",F3037="NEW"),"",INDEX(B3036:B$2,-1+SUMPRODUCT(MAX(ROW(E3036:E$2)*(E3037=E3036:E$2)))))</f>
        <v> </v>
      </c>
      <c r="J3037" s="25" t="str">
        <f>IF(OR(E3037="",E3037="!!!",F3037="NEW"),"",COUNTBLANK(OFFSET(A$1,,,SUMPRODUCT(MAX(ROW(E$2:E3037)*(E3037=E$2:E3037)))))-COUNTBLANK(OFFSET(A$1,,,SUMPRODUCT(MAX(ROW(E$1:E3036)*(E2=E$1:E3036))))))</f>
        <v> </v>
      </c>
      <c r="K3037" s="25" t="str">
        <f>IF(OR(E3037="",E3037="!!!",F3037="NEW"),"",INDEX(J$1:J3036,SUMPRODUCT(MAX(ROW(E$1:E3036)*(E3037=E$1:E3036)))))</f>
        <v> </v>
      </c>
      <c r="L3037" s="26"/>
    </row>
    <row r="3038" spans="1:12">
      <c r="A3038" s="20" t="s">
        <v>939</v>
      </c>
      <c r="B3038" s="27" t="s">
        <v>606</v>
      </c>
      <c r="C3038" s="27" t="s">
        <v>622</v>
      </c>
      <c r="E3038" s="21">
        <f>IF(D3038="?OLD","!!!","")</f>
        <v/>
      </c>
      <c r="F3038" s="22" t="str">
        <f>IF(OR(E3038="",E3038="!!!"),"",IF(NOT(ISNA(VLOOKUP(E3038,E$1:E3037,1,FALSE()))),"OLD",IF(AND(E3038&lt;&gt;"",E3038&lt;&gt;"!!!"),"NEW","")))</f>
        <v> </v>
      </c>
      <c r="G3038" s="23" t="str">
        <f>IF(OR(E3038="",E3038="!!!"),"",IF(OR(J3038=0,AND(J3038=1,K3038=1),AND(J3038=1,I3038="SBJ"),AND(J3038=1,I3038=0)),"?IN_FOCUS",IF(J3038&lt;=2,"?ACTIVATED",IF(J3038&lt;&gt;"","?FAMILIAR",IF(F3038="NEW",IF(ISNA(VLOOKUP(E3038,#REF!,1,FALSE())),"?TYPE_IDENTIFIABLE","?REFERENTIAL"),"_")))))</f>
        <v> </v>
      </c>
      <c r="H3038" s="24" t="str">
        <f>IF(J3038&lt;&gt;1,"",IF(I3038="SBJ","CB","?"))</f>
        <v> </v>
      </c>
      <c r="I3038" s="25" t="str">
        <f>IF(OR(E3038="",E3038="!!!",F3038="NEW"),"",INDEX(B3037:B$2,-1+SUMPRODUCT(MAX(ROW(E3037:E$2)*(E3038=E3037:E$2)))))</f>
        <v> </v>
      </c>
      <c r="J3038" s="25" t="str">
        <f>IF(OR(E3038="",E3038="!!!",F3038="NEW"),"",COUNTBLANK(OFFSET(A$1,,,SUMPRODUCT(MAX(ROW(E$2:E3038)*(E3038=E$2:E3038)))))-COUNTBLANK(OFFSET(A$1,,,SUMPRODUCT(MAX(ROW(E$1:E3037)*(E2=E$1:E3037))))))</f>
        <v> </v>
      </c>
      <c r="K3038" s="25" t="str">
        <f>IF(OR(E3038="",E3038="!!!",F3038="NEW"),"",INDEX(J$1:J3037,SUMPRODUCT(MAX(ROW(E$1:E3037)*(E3038=E$1:E3037)))))</f>
        <v> </v>
      </c>
      <c r="L3038" s="26"/>
    </row>
    <row r="3039" spans="1:12">
      <c r="A3039" s="20" t="s">
        <v>1625</v>
      </c>
      <c r="E3039" s="21">
        <f>IF(D3039="?OLD","!!!","")</f>
        <v/>
      </c>
      <c r="F3039" s="22" t="str">
        <f>IF(OR(E3039="",E3039="!!!"),"",IF(NOT(ISNA(VLOOKUP(E3039,E$1:E3038,1,FALSE()))),"OLD",IF(AND(E3039&lt;&gt;"",E3039&lt;&gt;"!!!"),"NEW","")))</f>
        <v> </v>
      </c>
      <c r="G3039" s="23" t="str">
        <f>IF(OR(E3039="",E3039="!!!"),"",IF(OR(J3039=0,AND(J3039=1,K3039=1),AND(J3039=1,I3039="SBJ"),AND(J3039=1,I3039=0)),"?IN_FOCUS",IF(J3039&lt;=2,"?ACTIVATED",IF(J3039&lt;&gt;"","?FAMILIAR",IF(F3039="NEW",IF(ISNA(VLOOKUP(E3039,#REF!,1,FALSE())),"?TYPE_IDENTIFIABLE","?REFERENTIAL"),"_")))))</f>
        <v> </v>
      </c>
      <c r="H3039" s="24" t="str">
        <f>IF(J3039&lt;&gt;1,"",IF(I3039="SBJ","CB","?"))</f>
        <v> </v>
      </c>
      <c r="I3039" s="25" t="str">
        <f>IF(OR(E3039="",E3039="!!!",F3039="NEW"),"",INDEX(B3038:B$2,-1+SUMPRODUCT(MAX(ROW(E3038:E$2)*(E3039=E3038:E$2)))))</f>
        <v> </v>
      </c>
      <c r="J3039" s="25" t="str">
        <f>IF(OR(E3039="",E3039="!!!",F3039="NEW"),"",COUNTBLANK(OFFSET(A$1,,,SUMPRODUCT(MAX(ROW(E$2:E3039)*(E3039=E$2:E3039)))))-COUNTBLANK(OFFSET(A$1,,,SUMPRODUCT(MAX(ROW(E$1:E3038)*(E2=E$1:E3038))))))</f>
        <v> </v>
      </c>
      <c r="K3039" s="25" t="str">
        <f>IF(OR(E3039="",E3039="!!!",F3039="NEW"),"",INDEX(J$1:J3038,SUMPRODUCT(MAX(ROW(E$1:E3038)*(E3039=E$1:E3038)))))</f>
        <v> </v>
      </c>
      <c r="L3039" s="26"/>
    </row>
    <row r="3040" spans="1:12">
      <c r="A3040" s="20" t="s">
        <v>633</v>
      </c>
      <c r="E3040" s="21">
        <f>IF(D3040="?OLD","!!!","")</f>
        <v/>
      </c>
      <c r="F3040" s="22" t="str">
        <f>IF(OR(E3040="",E3040="!!!"),"",IF(NOT(ISNA(VLOOKUP(E3040,E$1:E3039,1,FALSE()))),"OLD",IF(AND(E3040&lt;&gt;"",E3040&lt;&gt;"!!!"),"NEW","")))</f>
        <v> </v>
      </c>
      <c r="G3040" s="23" t="str">
        <f>IF(OR(E3040="",E3040="!!!"),"",IF(OR(J3040=0,AND(J3040=1,K3040=1),AND(J3040=1,I3040="SBJ"),AND(J3040=1,I3040=0)),"?IN_FOCUS",IF(J3040&lt;=2,"?ACTIVATED",IF(J3040&lt;&gt;"","?FAMILIAR",IF(F3040="NEW",IF(ISNA(VLOOKUP(E3040,#REF!,1,FALSE())),"?TYPE_IDENTIFIABLE","?REFERENTIAL"),"_")))))</f>
        <v> </v>
      </c>
      <c r="H3040" s="24" t="str">
        <f>IF(J3040&lt;&gt;1,"",IF(I3040="SBJ","CB","?"))</f>
        <v> </v>
      </c>
      <c r="I3040" s="25" t="str">
        <f>IF(OR(E3040="",E3040="!!!",F3040="NEW"),"",INDEX(B3039:B$2,-1+SUMPRODUCT(MAX(ROW(E3039:E$2)*(E3040=E3039:E$2)))))</f>
        <v> </v>
      </c>
      <c r="J3040" s="25" t="str">
        <f>IF(OR(E3040="",E3040="!!!",F3040="NEW"),"",COUNTBLANK(OFFSET(A$1,,,SUMPRODUCT(MAX(ROW(E$2:E3040)*(E3040=E$2:E3040)))))-COUNTBLANK(OFFSET(A$1,,,SUMPRODUCT(MAX(ROW(E$1:E3039)*(E2=E$1:E3039))))))</f>
        <v> </v>
      </c>
      <c r="K3040" s="25" t="str">
        <f>IF(OR(E3040="",E3040="!!!",F3040="NEW"),"",INDEX(J$1:J3039,SUMPRODUCT(MAX(ROW(E$1:E3039)*(E3040=E$1:E3039)))))</f>
        <v> </v>
      </c>
      <c r="L3040" s="26"/>
    </row>
    <row r="3041" spans="1:12">
      <c r="A3041" s="20"/>
    </row>
    <row r="3042" spans="1:12">
      <c r="A3042" s="20" t="s">
        <v>1626</v>
      </c>
    </row>
    <row r="3043" spans="1:12">
      <c r="A3043" s="20" t="s">
        <v>675</v>
      </c>
      <c r="B3043" s="27" t="s">
        <v>636</v>
      </c>
      <c r="C3043" s="27" t="s">
        <v>652</v>
      </c>
      <c r="D3043" s="27" t="s">
        <v>608</v>
      </c>
      <c r="E3043" s="21">
        <f>IF(D3043="?OLD","!!!","")</f>
        <v/>
      </c>
      <c r="F3043" s="22" t="str">
        <f>IF(OR(E3043="",E3043="!!!"),"",IF(NOT(ISNA(VLOOKUP(E3043,E$1:E3042,1,FALSE()))),"OLD",IF(AND(E3043&lt;&gt;"",E3043&lt;&gt;"!!!"),"NEW","")))</f>
        <v> </v>
      </c>
      <c r="G3043" s="23" t="str">
        <f>IF(OR(E3043="",E3043="!!!"),"",IF(OR(J3043=0,AND(J3043=1,K3043=1),AND(J3043=1,I3043="SBJ"),AND(J3043=1,I3043=0)),"?IN_FOCUS",IF(J3043&lt;=2,"?ACTIVATED",IF(J3043&lt;&gt;"","?FAMILIAR",IF(F3043="NEW",IF(ISNA(VLOOKUP(E3043,#REF!,1,FALSE())),"?TYPE_IDENTIFIABLE","?REFERENTIAL"),"_")))))</f>
        <v> </v>
      </c>
      <c r="H3043" s="24" t="str">
        <f>IF(J3043&lt;&gt;1,"",IF(I3043="SBJ","CB","?"))</f>
        <v> </v>
      </c>
      <c r="I3043" s="25" t="str">
        <f>IF(OR(E3043="",E3043="!!!",F3043="NEW"),"",INDEX(B3042:B$2,-1+SUMPRODUCT(MAX(ROW(E3042:E$2)*(E3043=E3042:E$2)))))</f>
        <v> </v>
      </c>
      <c r="J3043" s="25" t="str">
        <f>IF(OR(E3043="",E3043="!!!",F3043="NEW"),"",COUNTBLANK(OFFSET(A$1,,,SUMPRODUCT(MAX(ROW(E$2:E3043)*(E3043=E$2:E3043)))))-COUNTBLANK(OFFSET(A$1,,,SUMPRODUCT(MAX(ROW(E$1:E3042)*(E2=E$1:E3042))))))</f>
        <v> </v>
      </c>
      <c r="K3043" s="25" t="str">
        <f>IF(OR(E3043="",E3043="!!!",F3043="NEW"),"",INDEX(J$1:J3042,SUMPRODUCT(MAX(ROW(E$1:E3042)*(E3043=E$1:E3042)))))</f>
        <v> </v>
      </c>
      <c r="L3043" s="26"/>
    </row>
    <row r="3044" spans="1:12">
      <c r="A3044" s="20" t="s">
        <v>1627</v>
      </c>
      <c r="E3044" s="21">
        <f>IF(D3044="?OLD","!!!","")</f>
        <v/>
      </c>
      <c r="F3044" s="22" t="str">
        <f>IF(OR(E3044="",E3044="!!!"),"",IF(NOT(ISNA(VLOOKUP(E3044,E$1:E3043,1,FALSE()))),"OLD",IF(AND(E3044&lt;&gt;"",E3044&lt;&gt;"!!!"),"NEW","")))</f>
        <v> </v>
      </c>
      <c r="G3044" s="23" t="str">
        <f>IF(OR(E3044="",E3044="!!!"),"",IF(OR(J3044=0,AND(J3044=1,K3044=1),AND(J3044=1,I3044="SBJ"),AND(J3044=1,I3044=0)),"?IN_FOCUS",IF(J3044&lt;=2,"?ACTIVATED",IF(J3044&lt;&gt;"","?FAMILIAR",IF(F3044="NEW",IF(ISNA(VLOOKUP(E3044,#REF!,1,FALSE())),"?TYPE_IDENTIFIABLE","?REFERENTIAL"),"_")))))</f>
        <v> </v>
      </c>
      <c r="H3044" s="24" t="str">
        <f>IF(J3044&lt;&gt;1,"",IF(I3044="SBJ","CB","?"))</f>
        <v> </v>
      </c>
      <c r="I3044" s="25" t="str">
        <f>IF(OR(E3044="",E3044="!!!",F3044="NEW"),"",INDEX(B3043:B$2,-1+SUMPRODUCT(MAX(ROW(E3043:E$2)*(E3044=E3043:E$2)))))</f>
        <v> </v>
      </c>
      <c r="J3044" s="25" t="str">
        <f>IF(OR(E3044="",E3044="!!!",F3044="NEW"),"",COUNTBLANK(OFFSET(A$1,,,SUMPRODUCT(MAX(ROW(E$2:E3044)*(E3044=E$2:E3044)))))-COUNTBLANK(OFFSET(A$1,,,SUMPRODUCT(MAX(ROW(E$1:E3043)*(E2=E$1:E3043))))))</f>
        <v> </v>
      </c>
      <c r="K3044" s="25" t="str">
        <f>IF(OR(E3044="",E3044="!!!",F3044="NEW"),"",INDEX(J$1:J3043,SUMPRODUCT(MAX(ROW(E$1:E3043)*(E3044=E$1:E3043)))))</f>
        <v> </v>
      </c>
      <c r="L3044" s="26"/>
    </row>
    <row r="3045" spans="1:12">
      <c r="A3045" s="20" t="s">
        <v>618</v>
      </c>
      <c r="E3045" s="21">
        <f>IF(D3045="?OLD","!!!","")</f>
        <v/>
      </c>
      <c r="F3045" s="22" t="str">
        <f>IF(OR(E3045="",E3045="!!!"),"",IF(NOT(ISNA(VLOOKUP(E3045,E$1:E3044,1,FALSE()))),"OLD",IF(AND(E3045&lt;&gt;"",E3045&lt;&gt;"!!!"),"NEW","")))</f>
        <v> </v>
      </c>
      <c r="G3045" s="23" t="str">
        <f>IF(OR(E3045="",E3045="!!!"),"",IF(OR(J3045=0,AND(J3045=1,K3045=1),AND(J3045=1,I3045="SBJ"),AND(J3045=1,I3045=0)),"?IN_FOCUS",IF(J3045&lt;=2,"?ACTIVATED",IF(J3045&lt;&gt;"","?FAMILIAR",IF(F3045="NEW",IF(ISNA(VLOOKUP(E3045,#REF!,1,FALSE())),"?TYPE_IDENTIFIABLE","?REFERENTIAL"),"_")))))</f>
        <v> </v>
      </c>
      <c r="H3045" s="24" t="str">
        <f>IF(J3045&lt;&gt;1,"",IF(I3045="SBJ","CB","?"))</f>
        <v> </v>
      </c>
      <c r="I3045" s="25" t="str">
        <f>IF(OR(E3045="",E3045="!!!",F3045="NEW"),"",INDEX(B3044:B$2,-1+SUMPRODUCT(MAX(ROW(E3044:E$2)*(E3045=E3044:E$2)))))</f>
        <v> </v>
      </c>
      <c r="J3045" s="25" t="str">
        <f>IF(OR(E3045="",E3045="!!!",F3045="NEW"),"",COUNTBLANK(OFFSET(A$1,,,SUMPRODUCT(MAX(ROW(E$2:E3045)*(E3045=E$2:E3045)))))-COUNTBLANK(OFFSET(A$1,,,SUMPRODUCT(MAX(ROW(E$1:E3044)*(E2=E$1:E3044))))))</f>
        <v> </v>
      </c>
      <c r="K3045" s="25" t="str">
        <f>IF(OR(E3045="",E3045="!!!",F3045="NEW"),"",INDEX(J$1:J3044,SUMPRODUCT(MAX(ROW(E$1:E3044)*(E3045=E$1:E3044)))))</f>
        <v> </v>
      </c>
      <c r="L3045" s="26"/>
    </row>
    <row r="3046" spans="1:12">
      <c r="A3046" s="20" t="s">
        <v>630</v>
      </c>
      <c r="B3046" s="27" t="s">
        <v>653</v>
      </c>
      <c r="C3046" s="27" t="s">
        <v>631</v>
      </c>
      <c r="D3046" s="27" t="s">
        <v>608</v>
      </c>
      <c r="E3046" s="21">
        <f>IF(D3046="?OLD","!!!","")</f>
        <v/>
      </c>
      <c r="F3046" s="22" t="str">
        <f>IF(OR(E3046="",E3046="!!!"),"",IF(NOT(ISNA(VLOOKUP(E3046,E$1:E3045,1,FALSE()))),"OLD",IF(AND(E3046&lt;&gt;"",E3046&lt;&gt;"!!!"),"NEW","")))</f>
        <v> </v>
      </c>
      <c r="G3046" s="23" t="str">
        <f>IF(OR(E3046="",E3046="!!!"),"",IF(OR(J3046=0,AND(J3046=1,K3046=1),AND(J3046=1,I3046="SBJ"),AND(J3046=1,I3046=0)),"?IN_FOCUS",IF(J3046&lt;=2,"?ACTIVATED",IF(J3046&lt;&gt;"","?FAMILIAR",IF(F3046="NEW",IF(ISNA(VLOOKUP(E3046,#REF!,1,FALSE())),"?TYPE_IDENTIFIABLE","?REFERENTIAL"),"_")))))</f>
        <v> </v>
      </c>
      <c r="H3046" s="24" t="str">
        <f>IF(J3046&lt;&gt;1,"",IF(I3046="SBJ","CB","?"))</f>
        <v> </v>
      </c>
      <c r="I3046" s="25" t="str">
        <f>IF(OR(E3046="",E3046="!!!",F3046="NEW"),"",INDEX(B3045:B$2,-1+SUMPRODUCT(MAX(ROW(E3045:E$2)*(E3046=E3045:E$2)))))</f>
        <v> </v>
      </c>
      <c r="J3046" s="25" t="str">
        <f>IF(OR(E3046="",E3046="!!!",F3046="NEW"),"",COUNTBLANK(OFFSET(A$1,,,SUMPRODUCT(MAX(ROW(E$2:E3046)*(E3046=E$2:E3046)))))-COUNTBLANK(OFFSET(A$1,,,SUMPRODUCT(MAX(ROW(E$1:E3045)*(E2=E$1:E3045))))))</f>
        <v> </v>
      </c>
      <c r="K3046" s="25" t="str">
        <f>IF(OR(E3046="",E3046="!!!",F3046="NEW"),"",INDEX(J$1:J3045,SUMPRODUCT(MAX(ROW(E$1:E3045)*(E3046=E$1:E3045)))))</f>
        <v> </v>
      </c>
      <c r="L3046" s="26"/>
    </row>
    <row r="3047" spans="1:12">
      <c r="A3047" s="20" t="s">
        <v>12</v>
      </c>
      <c r="E3047" s="21">
        <f>IF(D3047="?OLD","!!!","")</f>
        <v/>
      </c>
      <c r="F3047" s="22" t="str">
        <f>IF(OR(E3047="",E3047="!!!"),"",IF(NOT(ISNA(VLOOKUP(E3047,E$1:E3046,1,FALSE()))),"OLD",IF(AND(E3047&lt;&gt;"",E3047&lt;&gt;"!!!"),"NEW","")))</f>
        <v> </v>
      </c>
      <c r="G3047" s="23" t="str">
        <f>IF(OR(E3047="",E3047="!!!"),"",IF(OR(J3047=0,AND(J3047=1,K3047=1),AND(J3047=1,I3047="SBJ"),AND(J3047=1,I3047=0)),"?IN_FOCUS",IF(J3047&lt;=2,"?ACTIVATED",IF(J3047&lt;&gt;"","?FAMILIAR",IF(F3047="NEW",IF(ISNA(VLOOKUP(E3047,#REF!,1,FALSE())),"?TYPE_IDENTIFIABLE","?REFERENTIAL"),"_")))))</f>
        <v> </v>
      </c>
      <c r="H3047" s="24" t="str">
        <f>IF(J3047&lt;&gt;1,"",IF(I3047="SBJ","CB","?"))</f>
        <v> </v>
      </c>
      <c r="I3047" s="25" t="str">
        <f>IF(OR(E3047="",E3047="!!!",F3047="NEW"),"",INDEX(B3046:B$2,-1+SUMPRODUCT(MAX(ROW(E3046:E$2)*(E3047=E3046:E$2)))))</f>
        <v> </v>
      </c>
      <c r="J3047" s="25" t="str">
        <f>IF(OR(E3047="",E3047="!!!",F3047="NEW"),"",COUNTBLANK(OFFSET(A$1,,,SUMPRODUCT(MAX(ROW(E$2:E3047)*(E3047=E$2:E3047)))))-COUNTBLANK(OFFSET(A$1,,,SUMPRODUCT(MAX(ROW(E$1:E3046)*(E2=E$1:E3046))))))</f>
        <v> </v>
      </c>
      <c r="K3047" s="25" t="str">
        <f>IF(OR(E3047="",E3047="!!!",F3047="NEW"),"",INDEX(J$1:J3046,SUMPRODUCT(MAX(ROW(E$1:E3046)*(E3047=E$1:E3046)))))</f>
        <v> </v>
      </c>
      <c r="L3047" s="26"/>
    </row>
    <row r="3048" spans="1:12">
      <c r="A3048" s="20" t="s">
        <v>1628</v>
      </c>
      <c r="E3048" s="21">
        <f>IF(D3048="?OLD","!!!","")</f>
        <v/>
      </c>
      <c r="F3048" s="22" t="str">
        <f>IF(OR(E3048="",E3048="!!!"),"",IF(NOT(ISNA(VLOOKUP(E3048,E$1:E3047,1,FALSE()))),"OLD",IF(AND(E3048&lt;&gt;"",E3048&lt;&gt;"!!!"),"NEW","")))</f>
        <v> </v>
      </c>
      <c r="G3048" s="23" t="str">
        <f>IF(OR(E3048="",E3048="!!!"),"",IF(OR(J3048=0,AND(J3048=1,K3048=1),AND(J3048=1,I3048="SBJ"),AND(J3048=1,I3048=0)),"?IN_FOCUS",IF(J3048&lt;=2,"?ACTIVATED",IF(J3048&lt;&gt;"","?FAMILIAR",IF(F3048="NEW",IF(ISNA(VLOOKUP(E3048,#REF!,1,FALSE())),"?TYPE_IDENTIFIABLE","?REFERENTIAL"),"_")))))</f>
        <v> </v>
      </c>
      <c r="H3048" s="24" t="str">
        <f>IF(J3048&lt;&gt;1,"",IF(I3048="SBJ","CB","?"))</f>
        <v> </v>
      </c>
      <c r="I3048" s="25" t="str">
        <f>IF(OR(E3048="",E3048="!!!",F3048="NEW"),"",INDEX(B3047:B$2,-1+SUMPRODUCT(MAX(ROW(E3047:E$2)*(E3048=E3047:E$2)))))</f>
        <v> </v>
      </c>
      <c r="J3048" s="25" t="str">
        <f>IF(OR(E3048="",E3048="!!!",F3048="NEW"),"",COUNTBLANK(OFFSET(A$1,,,SUMPRODUCT(MAX(ROW(E$2:E3048)*(E3048=E$2:E3048)))))-COUNTBLANK(OFFSET(A$1,,,SUMPRODUCT(MAX(ROW(E$1:E3047)*(E2=E$1:E3047))))))</f>
        <v> </v>
      </c>
      <c r="K3048" s="25" t="str">
        <f>IF(OR(E3048="",E3048="!!!",F3048="NEW"),"",INDEX(J$1:J3047,SUMPRODUCT(MAX(ROW(E$1:E3047)*(E3048=E$1:E3047)))))</f>
        <v> </v>
      </c>
      <c r="L3048" s="26"/>
    </row>
    <row r="3049" spans="1:12">
      <c r="A3049" s="20" t="s">
        <v>759</v>
      </c>
      <c r="E3049" s="21">
        <f>IF(D3049="?OLD","!!!","")</f>
        <v/>
      </c>
      <c r="F3049" s="22" t="str">
        <f>IF(OR(E3049="",E3049="!!!"),"",IF(NOT(ISNA(VLOOKUP(E3049,E$1:E3048,1,FALSE()))),"OLD",IF(AND(E3049&lt;&gt;"",E3049&lt;&gt;"!!!"),"NEW","")))</f>
        <v> </v>
      </c>
      <c r="G3049" s="23" t="str">
        <f>IF(OR(E3049="",E3049="!!!"),"",IF(OR(J3049=0,AND(J3049=1,K3049=1),AND(J3049=1,I3049="SBJ"),AND(J3049=1,I3049=0)),"?IN_FOCUS",IF(J3049&lt;=2,"?ACTIVATED",IF(J3049&lt;&gt;"","?FAMILIAR",IF(F3049="NEW",IF(ISNA(VLOOKUP(E3049,#REF!,1,FALSE())),"?TYPE_IDENTIFIABLE","?REFERENTIAL"),"_")))))</f>
        <v> </v>
      </c>
      <c r="H3049" s="24" t="str">
        <f>IF(J3049&lt;&gt;1,"",IF(I3049="SBJ","CB","?"))</f>
        <v> </v>
      </c>
      <c r="I3049" s="25" t="str">
        <f>IF(OR(E3049="",E3049="!!!",F3049="NEW"),"",INDEX(B3048:B$2,-1+SUMPRODUCT(MAX(ROW(E3048:E$2)*(E3049=E3048:E$2)))))</f>
        <v> </v>
      </c>
      <c r="J3049" s="25" t="str">
        <f>IF(OR(E3049="",E3049="!!!",F3049="NEW"),"",COUNTBLANK(OFFSET(A$1,,,SUMPRODUCT(MAX(ROW(E$2:E3049)*(E3049=E$2:E3049)))))-COUNTBLANK(OFFSET(A$1,,,SUMPRODUCT(MAX(ROW(E$1:E3048)*(E2=E$1:E3048))))))</f>
        <v> </v>
      </c>
      <c r="K3049" s="25" t="str">
        <f>IF(OR(E3049="",E3049="!!!",F3049="NEW"),"",INDEX(J$1:J3048,SUMPRODUCT(MAX(ROW(E$1:E3048)*(E3049=E$1:E3048)))))</f>
        <v> </v>
      </c>
      <c r="L3049" s="26"/>
    </row>
    <row r="3050" spans="1:12">
      <c r="A3050" s="20" t="s">
        <v>644</v>
      </c>
      <c r="E3050" s="21">
        <f>IF(D3050="?OLD","!!!","")</f>
        <v/>
      </c>
      <c r="F3050" s="22" t="str">
        <f>IF(OR(E3050="",E3050="!!!"),"",IF(NOT(ISNA(VLOOKUP(E3050,E$1:E3049,1,FALSE()))),"OLD",IF(AND(E3050&lt;&gt;"",E3050&lt;&gt;"!!!"),"NEW","")))</f>
        <v> </v>
      </c>
      <c r="G3050" s="23" t="str">
        <f>IF(OR(E3050="",E3050="!!!"),"",IF(OR(J3050=0,AND(J3050=1,K3050=1),AND(J3050=1,I3050="SBJ"),AND(J3050=1,I3050=0)),"?IN_FOCUS",IF(J3050&lt;=2,"?ACTIVATED",IF(J3050&lt;&gt;"","?FAMILIAR",IF(F3050="NEW",IF(ISNA(VLOOKUP(E3050,#REF!,1,FALSE())),"?TYPE_IDENTIFIABLE","?REFERENTIAL"),"_")))))</f>
        <v> </v>
      </c>
      <c r="H3050" s="24" t="str">
        <f>IF(J3050&lt;&gt;1,"",IF(I3050="SBJ","CB","?"))</f>
        <v> </v>
      </c>
      <c r="I3050" s="25" t="str">
        <f>IF(OR(E3050="",E3050="!!!",F3050="NEW"),"",INDEX(B3049:B$2,-1+SUMPRODUCT(MAX(ROW(E3049:E$2)*(E3050=E3049:E$2)))))</f>
        <v> </v>
      </c>
      <c r="J3050" s="25" t="str">
        <f>IF(OR(E3050="",E3050="!!!",F3050="NEW"),"",COUNTBLANK(OFFSET(A$1,,,SUMPRODUCT(MAX(ROW(E$2:E3050)*(E3050=E$2:E3050)))))-COUNTBLANK(OFFSET(A$1,,,SUMPRODUCT(MAX(ROW(E$1:E3049)*(E2=E$1:E3049))))))</f>
        <v> </v>
      </c>
      <c r="K3050" s="25" t="str">
        <f>IF(OR(E3050="",E3050="!!!",F3050="NEW"),"",INDEX(J$1:J3049,SUMPRODUCT(MAX(ROW(E$1:E3049)*(E3050=E$1:E3049)))))</f>
        <v> </v>
      </c>
      <c r="L3050" s="26"/>
    </row>
    <row r="3051" spans="1:12">
      <c r="A3051" s="20" t="s">
        <v>1629</v>
      </c>
      <c r="E3051" s="21">
        <f>IF(D3051="?OLD","!!!","")</f>
        <v/>
      </c>
      <c r="F3051" s="22" t="str">
        <f>IF(OR(E3051="",E3051="!!!"),"",IF(NOT(ISNA(VLOOKUP(E3051,E$1:E3050,1,FALSE()))),"OLD",IF(AND(E3051&lt;&gt;"",E3051&lt;&gt;"!!!"),"NEW","")))</f>
        <v> </v>
      </c>
      <c r="G3051" s="23" t="str">
        <f>IF(OR(E3051="",E3051="!!!"),"",IF(OR(J3051=0,AND(J3051=1,K3051=1),AND(J3051=1,I3051="SBJ"),AND(J3051=1,I3051=0)),"?IN_FOCUS",IF(J3051&lt;=2,"?ACTIVATED",IF(J3051&lt;&gt;"","?FAMILIAR",IF(F3051="NEW",IF(ISNA(VLOOKUP(E3051,#REF!,1,FALSE())),"?TYPE_IDENTIFIABLE","?REFERENTIAL"),"_")))))</f>
        <v> </v>
      </c>
      <c r="H3051" s="24" t="str">
        <f>IF(J3051&lt;&gt;1,"",IF(I3051="SBJ","CB","?"))</f>
        <v> </v>
      </c>
      <c r="I3051" s="25" t="str">
        <f>IF(OR(E3051="",E3051="!!!",F3051="NEW"),"",INDEX(B3050:B$2,-1+SUMPRODUCT(MAX(ROW(E3050:E$2)*(E3051=E3050:E$2)))))</f>
        <v> </v>
      </c>
      <c r="J3051" s="25" t="str">
        <f>IF(OR(E3051="",E3051="!!!",F3051="NEW"),"",COUNTBLANK(OFFSET(A$1,,,SUMPRODUCT(MAX(ROW(E$2:E3051)*(E3051=E$2:E3051)))))-COUNTBLANK(OFFSET(A$1,,,SUMPRODUCT(MAX(ROW(E$1:E3050)*(E2=E$1:E3050))))))</f>
        <v> </v>
      </c>
      <c r="K3051" s="25" t="str">
        <f>IF(OR(E3051="",E3051="!!!",F3051="NEW"),"",INDEX(J$1:J3050,SUMPRODUCT(MAX(ROW(E$1:E3050)*(E3051=E$1:E3050)))))</f>
        <v> </v>
      </c>
      <c r="L3051" s="26"/>
    </row>
    <row r="3052" spans="1:12">
      <c r="A3052" s="20" t="s">
        <v>18</v>
      </c>
      <c r="E3052" s="21">
        <f>IF(D3052="?OLD","!!!","")</f>
        <v/>
      </c>
      <c r="F3052" s="22" t="str">
        <f>IF(OR(E3052="",E3052="!!!"),"",IF(NOT(ISNA(VLOOKUP(E3052,E$1:E3051,1,FALSE()))),"OLD",IF(AND(E3052&lt;&gt;"",E3052&lt;&gt;"!!!"),"NEW","")))</f>
        <v> </v>
      </c>
      <c r="G3052" s="23" t="str">
        <f>IF(OR(E3052="",E3052="!!!"),"",IF(OR(J3052=0,AND(J3052=1,K3052=1),AND(J3052=1,I3052="SBJ"),AND(J3052=1,I3052=0)),"?IN_FOCUS",IF(J3052&lt;=2,"?ACTIVATED",IF(J3052&lt;&gt;"","?FAMILIAR",IF(F3052="NEW",IF(ISNA(VLOOKUP(E3052,#REF!,1,FALSE())),"?TYPE_IDENTIFIABLE","?REFERENTIAL"),"_")))))</f>
        <v> </v>
      </c>
      <c r="H3052" s="24" t="str">
        <f>IF(J3052&lt;&gt;1,"",IF(I3052="SBJ","CB","?"))</f>
        <v> </v>
      </c>
      <c r="I3052" s="25" t="str">
        <f>IF(OR(E3052="",E3052="!!!",F3052="NEW"),"",INDEX(B3051:B$2,-1+SUMPRODUCT(MAX(ROW(E3051:E$2)*(E3052=E3051:E$2)))))</f>
        <v> </v>
      </c>
      <c r="J3052" s="25" t="str">
        <f>IF(OR(E3052="",E3052="!!!",F3052="NEW"),"",COUNTBLANK(OFFSET(A$1,,,SUMPRODUCT(MAX(ROW(E$2:E3052)*(E3052=E$2:E3052)))))-COUNTBLANK(OFFSET(A$1,,,SUMPRODUCT(MAX(ROW(E$1:E3051)*(E2=E$1:E3051))))))</f>
        <v> </v>
      </c>
      <c r="K3052" s="25" t="str">
        <f>IF(OR(E3052="",E3052="!!!",F3052="NEW"),"",INDEX(J$1:J3051,SUMPRODUCT(MAX(ROW(E$1:E3051)*(E3052=E$1:E3051)))))</f>
        <v> </v>
      </c>
      <c r="L3052" s="26"/>
    </row>
    <row r="3053" spans="1:12">
      <c r="A3053" s="20" t="s">
        <v>651</v>
      </c>
      <c r="B3053" s="27" t="s">
        <v>668</v>
      </c>
      <c r="C3053" s="27" t="s">
        <v>652</v>
      </c>
      <c r="D3053" s="27" t="s">
        <v>608</v>
      </c>
      <c r="E3053" s="21">
        <f>IF(D3053="?OLD","!!!","")</f>
        <v/>
      </c>
      <c r="F3053" s="22" t="str">
        <f>IF(OR(E3053="",E3053="!!!"),"",IF(NOT(ISNA(VLOOKUP(E3053,E$1:E3052,1,FALSE()))),"OLD",IF(AND(E3053&lt;&gt;"",E3053&lt;&gt;"!!!"),"NEW","")))</f>
        <v> </v>
      </c>
      <c r="G3053" s="23" t="str">
        <f>IF(OR(E3053="",E3053="!!!"),"",IF(OR(J3053=0,AND(J3053=1,K3053=1),AND(J3053=1,I3053="SBJ"),AND(J3053=1,I3053=0)),"?IN_FOCUS",IF(J3053&lt;=2,"?ACTIVATED",IF(J3053&lt;&gt;"","?FAMILIAR",IF(F3053="NEW",IF(ISNA(VLOOKUP(E3053,#REF!,1,FALSE())),"?TYPE_IDENTIFIABLE","?REFERENTIAL"),"_")))))</f>
        <v> </v>
      </c>
      <c r="H3053" s="24" t="str">
        <f>IF(J3053&lt;&gt;1,"",IF(I3053="SBJ","CB","?"))</f>
        <v> </v>
      </c>
      <c r="I3053" s="25" t="str">
        <f>IF(OR(E3053="",E3053="!!!",F3053="NEW"),"",INDEX(B3052:B$2,-1+SUMPRODUCT(MAX(ROW(E3052:E$2)*(E3053=E3052:E$2)))))</f>
        <v> </v>
      </c>
      <c r="J3053" s="25" t="str">
        <f>IF(OR(E3053="",E3053="!!!",F3053="NEW"),"",COUNTBLANK(OFFSET(A$1,,,SUMPRODUCT(MAX(ROW(E$2:E3053)*(E3053=E$2:E3053)))))-COUNTBLANK(OFFSET(A$1,,,SUMPRODUCT(MAX(ROW(E$1:E3052)*(E2=E$1:E3052))))))</f>
        <v> </v>
      </c>
      <c r="K3053" s="25" t="str">
        <f>IF(OR(E3053="",E3053="!!!",F3053="NEW"),"",INDEX(J$1:J3052,SUMPRODUCT(MAX(ROW(E$1:E3052)*(E3053=E$1:E3052)))))</f>
        <v> </v>
      </c>
      <c r="L3053" s="26"/>
    </row>
    <row r="3054" spans="1:12">
      <c r="A3054" s="20" t="s">
        <v>1630</v>
      </c>
      <c r="E3054" s="21">
        <f>IF(D3054="?OLD","!!!","")</f>
        <v/>
      </c>
      <c r="F3054" s="22" t="str">
        <f>IF(OR(E3054="",E3054="!!!"),"",IF(NOT(ISNA(VLOOKUP(E3054,E$1:E3053,1,FALSE()))),"OLD",IF(AND(E3054&lt;&gt;"",E3054&lt;&gt;"!!!"),"NEW","")))</f>
        <v> </v>
      </c>
      <c r="G3054" s="23" t="str">
        <f>IF(OR(E3054="",E3054="!!!"),"",IF(OR(J3054=0,AND(J3054=1,K3054=1),AND(J3054=1,I3054="SBJ"),AND(J3054=1,I3054=0)),"?IN_FOCUS",IF(J3054&lt;=2,"?ACTIVATED",IF(J3054&lt;&gt;"","?FAMILIAR",IF(F3054="NEW",IF(ISNA(VLOOKUP(E3054,#REF!,1,FALSE())),"?TYPE_IDENTIFIABLE","?REFERENTIAL"),"_")))))</f>
        <v> </v>
      </c>
      <c r="H3054" s="24" t="str">
        <f>IF(J3054&lt;&gt;1,"",IF(I3054="SBJ","CB","?"))</f>
        <v> </v>
      </c>
      <c r="I3054" s="25" t="str">
        <f>IF(OR(E3054="",E3054="!!!",F3054="NEW"),"",INDEX(B3053:B$2,-1+SUMPRODUCT(MAX(ROW(E3053:E$2)*(E3054=E3053:E$2)))))</f>
        <v> </v>
      </c>
      <c r="J3054" s="25" t="str">
        <f>IF(OR(E3054="",E3054="!!!",F3054="NEW"),"",COUNTBLANK(OFFSET(A$1,,,SUMPRODUCT(MAX(ROW(E$2:E3054)*(E3054=E$2:E3054)))))-COUNTBLANK(OFFSET(A$1,,,SUMPRODUCT(MAX(ROW(E$1:E3053)*(E2=E$1:E3053))))))</f>
        <v> </v>
      </c>
      <c r="K3054" s="25" t="str">
        <f>IF(OR(E3054="",E3054="!!!",F3054="NEW"),"",INDEX(J$1:J3053,SUMPRODUCT(MAX(ROW(E$1:E3053)*(E3054=E$1:E3053)))))</f>
        <v> </v>
      </c>
      <c r="L3054" s="26"/>
    </row>
    <row r="3055" spans="1:12">
      <c r="A3055" s="20" t="s">
        <v>630</v>
      </c>
      <c r="B3055" s="27" t="s">
        <v>668</v>
      </c>
      <c r="C3055" s="27" t="s">
        <v>622</v>
      </c>
      <c r="E3055" s="21">
        <f>IF(D3055="?OLD","!!!","")</f>
        <v/>
      </c>
      <c r="F3055" s="22" t="str">
        <f>IF(OR(E3055="",E3055="!!!"),"",IF(NOT(ISNA(VLOOKUP(E3055,E$1:E3054,1,FALSE()))),"OLD",IF(AND(E3055&lt;&gt;"",E3055&lt;&gt;"!!!"),"NEW","")))</f>
        <v> </v>
      </c>
      <c r="G3055" s="23" t="str">
        <f>IF(OR(E3055="",E3055="!!!"),"",IF(OR(J3055=0,AND(J3055=1,K3055=1),AND(J3055=1,I3055="SBJ"),AND(J3055=1,I3055=0)),"?IN_FOCUS",IF(J3055&lt;=2,"?ACTIVATED",IF(J3055&lt;&gt;"","?FAMILIAR",IF(F3055="NEW",IF(ISNA(VLOOKUP(E3055,#REF!,1,FALSE())),"?TYPE_IDENTIFIABLE","?REFERENTIAL"),"_")))))</f>
        <v> </v>
      </c>
      <c r="H3055" s="24" t="str">
        <f>IF(J3055&lt;&gt;1,"",IF(I3055="SBJ","CB","?"))</f>
        <v> </v>
      </c>
      <c r="I3055" s="25" t="str">
        <f>IF(OR(E3055="",E3055="!!!",F3055="NEW"),"",INDEX(B3054:B$2,-1+SUMPRODUCT(MAX(ROW(E3054:E$2)*(E3055=E3054:E$2)))))</f>
        <v> </v>
      </c>
      <c r="J3055" s="25" t="str">
        <f>IF(OR(E3055="",E3055="!!!",F3055="NEW"),"",COUNTBLANK(OFFSET(A$1,,,SUMPRODUCT(MAX(ROW(E$2:E3055)*(E3055=E$2:E3055)))))-COUNTBLANK(OFFSET(A$1,,,SUMPRODUCT(MAX(ROW(E$1:E3054)*(E2=E$1:E3054))))))</f>
        <v> </v>
      </c>
      <c r="K3055" s="25" t="str">
        <f>IF(OR(E3055="",E3055="!!!",F3055="NEW"),"",INDEX(J$1:J3054,SUMPRODUCT(MAX(ROW(E$1:E3054)*(E3055=E$1:E3054)))))</f>
        <v> </v>
      </c>
      <c r="L3055" s="26"/>
    </row>
    <row r="3056" spans="1:12">
      <c r="A3056" s="20" t="s">
        <v>1631</v>
      </c>
      <c r="E3056" s="21">
        <f>IF(D3056="?OLD","!!!","")</f>
        <v/>
      </c>
      <c r="F3056" s="22" t="str">
        <f>IF(OR(E3056="",E3056="!!!"),"",IF(NOT(ISNA(VLOOKUP(E3056,E$1:E3055,1,FALSE()))),"OLD",IF(AND(E3056&lt;&gt;"",E3056&lt;&gt;"!!!"),"NEW","")))</f>
        <v> </v>
      </c>
      <c r="G3056" s="23" t="str">
        <f>IF(OR(E3056="",E3056="!!!"),"",IF(OR(J3056=0,AND(J3056=1,K3056=1),AND(J3056=1,I3056="SBJ"),AND(J3056=1,I3056=0)),"?IN_FOCUS",IF(J3056&lt;=2,"?ACTIVATED",IF(J3056&lt;&gt;"","?FAMILIAR",IF(F3056="NEW",IF(ISNA(VLOOKUP(E3056,#REF!,1,FALSE())),"?TYPE_IDENTIFIABLE","?REFERENTIAL"),"_")))))</f>
        <v> </v>
      </c>
      <c r="H3056" s="24" t="str">
        <f>IF(J3056&lt;&gt;1,"",IF(I3056="SBJ","CB","?"))</f>
        <v> </v>
      </c>
      <c r="I3056" s="25" t="str">
        <f>IF(OR(E3056="",E3056="!!!",F3056="NEW"),"",INDEX(B3055:B$2,-1+SUMPRODUCT(MAX(ROW(E3055:E$2)*(E3056=E3055:E$2)))))</f>
        <v> </v>
      </c>
      <c r="J3056" s="25" t="str">
        <f>IF(OR(E3056="",E3056="!!!",F3056="NEW"),"",COUNTBLANK(OFFSET(A$1,,,SUMPRODUCT(MAX(ROW(E$2:E3056)*(E3056=E$2:E3056)))))-COUNTBLANK(OFFSET(A$1,,,SUMPRODUCT(MAX(ROW(E$1:E3055)*(E2=E$1:E3055))))))</f>
        <v> </v>
      </c>
      <c r="K3056" s="25" t="str">
        <f>IF(OR(E3056="",E3056="!!!",F3056="NEW"),"",INDEX(J$1:J3055,SUMPRODUCT(MAX(ROW(E$1:E3055)*(E3056=E$1:E3055)))))</f>
        <v> </v>
      </c>
      <c r="L3056" s="26"/>
    </row>
    <row r="3057" spans="1:12">
      <c r="A3057" s="20" t="s">
        <v>633</v>
      </c>
      <c r="E3057" s="21">
        <f>IF(D3057="?OLD","!!!","")</f>
        <v/>
      </c>
      <c r="F3057" s="22" t="str">
        <f>IF(OR(E3057="",E3057="!!!"),"",IF(NOT(ISNA(VLOOKUP(E3057,E$1:E3056,1,FALSE()))),"OLD",IF(AND(E3057&lt;&gt;"",E3057&lt;&gt;"!!!"),"NEW","")))</f>
        <v> </v>
      </c>
      <c r="G3057" s="23" t="str">
        <f>IF(OR(E3057="",E3057="!!!"),"",IF(OR(J3057=0,AND(J3057=1,K3057=1),AND(J3057=1,I3057="SBJ"),AND(J3057=1,I3057=0)),"?IN_FOCUS",IF(J3057&lt;=2,"?ACTIVATED",IF(J3057&lt;&gt;"","?FAMILIAR",IF(F3057="NEW",IF(ISNA(VLOOKUP(E3057,#REF!,1,FALSE())),"?TYPE_IDENTIFIABLE","?REFERENTIAL"),"_")))))</f>
        <v> </v>
      </c>
      <c r="H3057" s="24" t="str">
        <f>IF(J3057&lt;&gt;1,"",IF(I3057="SBJ","CB","?"))</f>
        <v> </v>
      </c>
      <c r="I3057" s="25" t="str">
        <f>IF(OR(E3057="",E3057="!!!",F3057="NEW"),"",INDEX(B3056:B$2,-1+SUMPRODUCT(MAX(ROW(E3056:E$2)*(E3057=E3056:E$2)))))</f>
        <v> </v>
      </c>
      <c r="J3057" s="25" t="str">
        <f>IF(OR(E3057="",E3057="!!!",F3057="NEW"),"",COUNTBLANK(OFFSET(A$1,,,SUMPRODUCT(MAX(ROW(E$2:E3057)*(E3057=E$2:E3057)))))-COUNTBLANK(OFFSET(A$1,,,SUMPRODUCT(MAX(ROW(E$1:E3056)*(E2=E$1:E3056))))))</f>
        <v> </v>
      </c>
      <c r="K3057" s="25" t="str">
        <f>IF(OR(E3057="",E3057="!!!",F3057="NEW"),"",INDEX(J$1:J3056,SUMPRODUCT(MAX(ROW(E$1:E3056)*(E3057=E$1:E3056)))))</f>
        <v> </v>
      </c>
      <c r="L3057" s="26"/>
    </row>
    <row r="3058" spans="1:12">
      <c r="A3058" s="20"/>
    </row>
    <row r="3059" spans="1:12">
      <c r="A3059" s="20" t="s">
        <v>1632</v>
      </c>
    </row>
    <row r="3060" spans="1:12">
      <c r="A3060" s="20" t="s">
        <v>1334</v>
      </c>
      <c r="E3060" s="21">
        <f>IF(D3060="?OLD","!!!","")</f>
        <v/>
      </c>
      <c r="F3060" s="22" t="str">
        <f>IF(OR(E3060="",E3060="!!!"),"",IF(NOT(ISNA(VLOOKUP(E3060,E$1:E3059,1,FALSE()))),"OLD",IF(AND(E3060&lt;&gt;"",E3060&lt;&gt;"!!!"),"NEW","")))</f>
        <v> </v>
      </c>
      <c r="G3060" s="23" t="str">
        <f>IF(OR(E3060="",E3060="!!!"),"",IF(OR(J3060=0,AND(J3060=1,K3060=1),AND(J3060=1,I3060="SBJ"),AND(J3060=1,I3060=0)),"?IN_FOCUS",IF(J3060&lt;=2,"?ACTIVATED",IF(J3060&lt;&gt;"","?FAMILIAR",IF(F3060="NEW",IF(ISNA(VLOOKUP(E3060,#REF!,1,FALSE())),"?TYPE_IDENTIFIABLE","?REFERENTIAL"),"_")))))</f>
        <v> </v>
      </c>
      <c r="H3060" s="24" t="str">
        <f>IF(J3060&lt;&gt;1,"",IF(I3060="SBJ","CB","?"))</f>
        <v> </v>
      </c>
      <c r="I3060" s="25" t="str">
        <f>IF(OR(E3060="",E3060="!!!",F3060="NEW"),"",INDEX(B3059:B$2,-1+SUMPRODUCT(MAX(ROW(E3059:E$2)*(E3060=E3059:E$2)))))</f>
        <v> </v>
      </c>
      <c r="J3060" s="25" t="str">
        <f>IF(OR(E3060="",E3060="!!!",F3060="NEW"),"",COUNTBLANK(OFFSET(A$1,,,SUMPRODUCT(MAX(ROW(E$2:E3060)*(E3060=E$2:E3060)))))-COUNTBLANK(OFFSET(A$1,,,SUMPRODUCT(MAX(ROW(E$1:E3059)*(E2=E$1:E3059))))))</f>
        <v> </v>
      </c>
      <c r="K3060" s="25" t="str">
        <f>IF(OR(E3060="",E3060="!!!",F3060="NEW"),"",INDEX(J$1:J3059,SUMPRODUCT(MAX(ROW(E$1:E3059)*(E3060=E$1:E3059)))))</f>
        <v> </v>
      </c>
      <c r="L3060" s="26"/>
    </row>
    <row r="3061" spans="1:12">
      <c r="A3061" s="20" t="s">
        <v>630</v>
      </c>
      <c r="B3061" s="27" t="s">
        <v>636</v>
      </c>
      <c r="C3061" s="27" t="s">
        <v>631</v>
      </c>
      <c r="D3061" s="27" t="s">
        <v>608</v>
      </c>
      <c r="E3061" s="21">
        <f>IF(D3061="?OLD","!!!","")</f>
        <v/>
      </c>
      <c r="F3061" s="22" t="str">
        <f>IF(OR(E3061="",E3061="!!!"),"",IF(NOT(ISNA(VLOOKUP(E3061,E$1:E3060,1,FALSE()))),"OLD",IF(AND(E3061&lt;&gt;"",E3061&lt;&gt;"!!!"),"NEW","")))</f>
        <v> </v>
      </c>
      <c r="G3061" s="23" t="str">
        <f>IF(OR(E3061="",E3061="!!!"),"",IF(OR(J3061=0,AND(J3061=1,K3061=1),AND(J3061=1,I3061="SBJ"),AND(J3061=1,I3061=0)),"?IN_FOCUS",IF(J3061&lt;=2,"?ACTIVATED",IF(J3061&lt;&gt;"","?FAMILIAR",IF(F3061="NEW",IF(ISNA(VLOOKUP(E3061,#REF!,1,FALSE())),"?TYPE_IDENTIFIABLE","?REFERENTIAL"),"_")))))</f>
        <v> </v>
      </c>
      <c r="H3061" s="24" t="str">
        <f>IF(J3061&lt;&gt;1,"",IF(I3061="SBJ","CB","?"))</f>
        <v> </v>
      </c>
      <c r="I3061" s="25" t="str">
        <f>IF(OR(E3061="",E3061="!!!",F3061="NEW"),"",INDEX(B3060:B$2,-1+SUMPRODUCT(MAX(ROW(E3060:E$2)*(E3061=E3060:E$2)))))</f>
        <v> </v>
      </c>
      <c r="J3061" s="25" t="str">
        <f>IF(OR(E3061="",E3061="!!!",F3061="NEW"),"",COUNTBLANK(OFFSET(A$1,,,SUMPRODUCT(MAX(ROW(E$2:E3061)*(E3061=E$2:E3061)))))-COUNTBLANK(OFFSET(A$1,,,SUMPRODUCT(MAX(ROW(E$1:E3060)*(E2=E$1:E3060))))))</f>
        <v> </v>
      </c>
      <c r="K3061" s="25" t="str">
        <f>IF(OR(E3061="",E3061="!!!",F3061="NEW"),"",INDEX(J$1:J3060,SUMPRODUCT(MAX(ROW(E$1:E3060)*(E3061=E$1:E3060)))))</f>
        <v> </v>
      </c>
      <c r="L3061" s="26"/>
    </row>
    <row r="3062" spans="1:12">
      <c r="A3062" s="20" t="s">
        <v>12</v>
      </c>
      <c r="E3062" s="21">
        <f>IF(D3062="?OLD","!!!","")</f>
        <v/>
      </c>
      <c r="F3062" s="22" t="str">
        <f>IF(OR(E3062="",E3062="!!!"),"",IF(NOT(ISNA(VLOOKUP(E3062,E$1:E3061,1,FALSE()))),"OLD",IF(AND(E3062&lt;&gt;"",E3062&lt;&gt;"!!!"),"NEW","")))</f>
        <v> </v>
      </c>
      <c r="G3062" s="23" t="str">
        <f>IF(OR(E3062="",E3062="!!!"),"",IF(OR(J3062=0,AND(J3062=1,K3062=1),AND(J3062=1,I3062="SBJ"),AND(J3062=1,I3062=0)),"?IN_FOCUS",IF(J3062&lt;=2,"?ACTIVATED",IF(J3062&lt;&gt;"","?FAMILIAR",IF(F3062="NEW",IF(ISNA(VLOOKUP(E3062,#REF!,1,FALSE())),"?TYPE_IDENTIFIABLE","?REFERENTIAL"),"_")))))</f>
        <v> </v>
      </c>
      <c r="H3062" s="24" t="str">
        <f>IF(J3062&lt;&gt;1,"",IF(I3062="SBJ","CB","?"))</f>
        <v> </v>
      </c>
      <c r="I3062" s="25" t="str">
        <f>IF(OR(E3062="",E3062="!!!",F3062="NEW"),"",INDEX(B3061:B$2,-1+SUMPRODUCT(MAX(ROW(E3061:E$2)*(E3062=E3061:E$2)))))</f>
        <v> </v>
      </c>
      <c r="J3062" s="25" t="str">
        <f>IF(OR(E3062="",E3062="!!!",F3062="NEW"),"",COUNTBLANK(OFFSET(A$1,,,SUMPRODUCT(MAX(ROW(E$2:E3062)*(E3062=E$2:E3062)))))-COUNTBLANK(OFFSET(A$1,,,SUMPRODUCT(MAX(ROW(E$1:E3061)*(E2=E$1:E3061))))))</f>
        <v> </v>
      </c>
      <c r="K3062" s="25" t="str">
        <f>IF(OR(E3062="",E3062="!!!",F3062="NEW"),"",INDEX(J$1:J3061,SUMPRODUCT(MAX(ROW(E$1:E3061)*(E3062=E$1:E3061)))))</f>
        <v> </v>
      </c>
      <c r="L3062" s="26"/>
    </row>
    <row r="3063" spans="1:12">
      <c r="A3063" s="20" t="s">
        <v>1628</v>
      </c>
      <c r="E3063" s="21">
        <f>IF(D3063="?OLD","!!!","")</f>
        <v/>
      </c>
      <c r="F3063" s="22" t="str">
        <f>IF(OR(E3063="",E3063="!!!"),"",IF(NOT(ISNA(VLOOKUP(E3063,E$1:E3062,1,FALSE()))),"OLD",IF(AND(E3063&lt;&gt;"",E3063&lt;&gt;"!!!"),"NEW","")))</f>
        <v> </v>
      </c>
      <c r="G3063" s="23" t="str">
        <f>IF(OR(E3063="",E3063="!!!"),"",IF(OR(J3063=0,AND(J3063=1,K3063=1),AND(J3063=1,I3063="SBJ"),AND(J3063=1,I3063=0)),"?IN_FOCUS",IF(J3063&lt;=2,"?ACTIVATED",IF(J3063&lt;&gt;"","?FAMILIAR",IF(F3063="NEW",IF(ISNA(VLOOKUP(E3063,#REF!,1,FALSE())),"?TYPE_IDENTIFIABLE","?REFERENTIAL"),"_")))))</f>
        <v> </v>
      </c>
      <c r="H3063" s="24" t="str">
        <f>IF(J3063&lt;&gt;1,"",IF(I3063="SBJ","CB","?"))</f>
        <v> </v>
      </c>
      <c r="I3063" s="25" t="str">
        <f>IF(OR(E3063="",E3063="!!!",F3063="NEW"),"",INDEX(B3062:B$2,-1+SUMPRODUCT(MAX(ROW(E3062:E$2)*(E3063=E3062:E$2)))))</f>
        <v> </v>
      </c>
      <c r="J3063" s="25" t="str">
        <f>IF(OR(E3063="",E3063="!!!",F3063="NEW"),"",COUNTBLANK(OFFSET(A$1,,,SUMPRODUCT(MAX(ROW(E$2:E3063)*(E3063=E$2:E3063)))))-COUNTBLANK(OFFSET(A$1,,,SUMPRODUCT(MAX(ROW(E$1:E3062)*(E2=E$1:E3062))))))</f>
        <v> </v>
      </c>
      <c r="K3063" s="25" t="str">
        <f>IF(OR(E3063="",E3063="!!!",F3063="NEW"),"",INDEX(J$1:J3062,SUMPRODUCT(MAX(ROW(E$1:E3062)*(E3063=E$1:E3062)))))</f>
        <v> </v>
      </c>
      <c r="L3063" s="26"/>
    </row>
    <row r="3064" spans="1:12">
      <c r="A3064" s="20" t="s">
        <v>576</v>
      </c>
      <c r="E3064" s="21">
        <f>IF(D3064="?OLD","!!!","")</f>
        <v/>
      </c>
      <c r="F3064" s="22" t="str">
        <f>IF(OR(E3064="",E3064="!!!"),"",IF(NOT(ISNA(VLOOKUP(E3064,E$1:E3063,1,FALSE()))),"OLD",IF(AND(E3064&lt;&gt;"",E3064&lt;&gt;"!!!"),"NEW","")))</f>
        <v> </v>
      </c>
      <c r="G3064" s="23" t="str">
        <f>IF(OR(E3064="",E3064="!!!"),"",IF(OR(J3064=0,AND(J3064=1,K3064=1),AND(J3064=1,I3064="SBJ"),AND(J3064=1,I3064=0)),"?IN_FOCUS",IF(J3064&lt;=2,"?ACTIVATED",IF(J3064&lt;&gt;"","?FAMILIAR",IF(F3064="NEW",IF(ISNA(VLOOKUP(E3064,#REF!,1,FALSE())),"?TYPE_IDENTIFIABLE","?REFERENTIAL"),"_")))))</f>
        <v> </v>
      </c>
      <c r="H3064" s="24" t="str">
        <f>IF(J3064&lt;&gt;1,"",IF(I3064="SBJ","CB","?"))</f>
        <v> </v>
      </c>
      <c r="I3064" s="25" t="str">
        <f>IF(OR(E3064="",E3064="!!!",F3064="NEW"),"",INDEX(B3063:B$2,-1+SUMPRODUCT(MAX(ROW(E3063:E$2)*(E3064=E3063:E$2)))))</f>
        <v> </v>
      </c>
      <c r="J3064" s="25" t="str">
        <f>IF(OR(E3064="",E3064="!!!",F3064="NEW"),"",COUNTBLANK(OFFSET(A$1,,,SUMPRODUCT(MAX(ROW(E$2:E3064)*(E3064=E$2:E3064)))))-COUNTBLANK(OFFSET(A$1,,,SUMPRODUCT(MAX(ROW(E$1:E3063)*(E2=E$1:E3063))))))</f>
        <v> </v>
      </c>
      <c r="K3064" s="25" t="str">
        <f>IF(OR(E3064="",E3064="!!!",F3064="NEW"),"",INDEX(J$1:J3063,SUMPRODUCT(MAX(ROW(E$1:E3063)*(E3064=E$1:E3063)))))</f>
        <v> </v>
      </c>
      <c r="L3064" s="26"/>
    </row>
    <row r="3065" spans="1:12">
      <c r="A3065" s="20" t="s">
        <v>1107</v>
      </c>
      <c r="E3065" s="21">
        <f>IF(D3065="?OLD","!!!","")</f>
        <v/>
      </c>
      <c r="F3065" s="22" t="str">
        <f>IF(OR(E3065="",E3065="!!!"),"",IF(NOT(ISNA(VLOOKUP(E3065,E$1:E3064,1,FALSE()))),"OLD",IF(AND(E3065&lt;&gt;"",E3065&lt;&gt;"!!!"),"NEW","")))</f>
        <v> </v>
      </c>
      <c r="G3065" s="23" t="str">
        <f>IF(OR(E3065="",E3065="!!!"),"",IF(OR(J3065=0,AND(J3065=1,K3065=1),AND(J3065=1,I3065="SBJ"),AND(J3065=1,I3065=0)),"?IN_FOCUS",IF(J3065&lt;=2,"?ACTIVATED",IF(J3065&lt;&gt;"","?FAMILIAR",IF(F3065="NEW",IF(ISNA(VLOOKUP(E3065,#REF!,1,FALSE())),"?TYPE_IDENTIFIABLE","?REFERENTIAL"),"_")))))</f>
        <v> </v>
      </c>
      <c r="H3065" s="24" t="str">
        <f>IF(J3065&lt;&gt;1,"",IF(I3065="SBJ","CB","?"))</f>
        <v> </v>
      </c>
      <c r="I3065" s="25" t="str">
        <f>IF(OR(E3065="",E3065="!!!",F3065="NEW"),"",INDEX(B3064:B$2,-1+SUMPRODUCT(MAX(ROW(E3064:E$2)*(E3065=E3064:E$2)))))</f>
        <v> </v>
      </c>
      <c r="J3065" s="25" t="str">
        <f>IF(OR(E3065="",E3065="!!!",F3065="NEW"),"",COUNTBLANK(OFFSET(A$1,,,SUMPRODUCT(MAX(ROW(E$2:E3065)*(E3065=E$2:E3065)))))-COUNTBLANK(OFFSET(A$1,,,SUMPRODUCT(MAX(ROW(E$1:E3064)*(E2=E$1:E3064))))))</f>
        <v> </v>
      </c>
      <c r="K3065" s="25" t="str">
        <f>IF(OR(E3065="",E3065="!!!",F3065="NEW"),"",INDEX(J$1:J3064,SUMPRODUCT(MAX(ROW(E$1:E3064)*(E3065=E$1:E3064)))))</f>
        <v> </v>
      </c>
      <c r="L3065" s="26"/>
    </row>
    <row r="3066" spans="1:12">
      <c r="A3066" s="20" t="s">
        <v>811</v>
      </c>
      <c r="E3066" s="21">
        <f>IF(D3066="?OLD","!!!","")</f>
        <v/>
      </c>
      <c r="F3066" s="22" t="str">
        <f>IF(OR(E3066="",E3066="!!!"),"",IF(NOT(ISNA(VLOOKUP(E3066,E$1:E3065,1,FALSE()))),"OLD",IF(AND(E3066&lt;&gt;"",E3066&lt;&gt;"!!!"),"NEW","")))</f>
        <v> </v>
      </c>
      <c r="G3066" s="23" t="str">
        <f>IF(OR(E3066="",E3066="!!!"),"",IF(OR(J3066=0,AND(J3066=1,K3066=1),AND(J3066=1,I3066="SBJ"),AND(J3066=1,I3066=0)),"?IN_FOCUS",IF(J3066&lt;=2,"?ACTIVATED",IF(J3066&lt;&gt;"","?FAMILIAR",IF(F3066="NEW",IF(ISNA(VLOOKUP(E3066,#REF!,1,FALSE())),"?TYPE_IDENTIFIABLE","?REFERENTIAL"),"_")))))</f>
        <v> </v>
      </c>
      <c r="H3066" s="24" t="str">
        <f>IF(J3066&lt;&gt;1,"",IF(I3066="SBJ","CB","?"))</f>
        <v> </v>
      </c>
      <c r="I3066" s="25" t="str">
        <f>IF(OR(E3066="",E3066="!!!",F3066="NEW"),"",INDEX(B3065:B$2,-1+SUMPRODUCT(MAX(ROW(E3065:E$2)*(E3066=E3065:E$2)))))</f>
        <v> </v>
      </c>
      <c r="J3066" s="25" t="str">
        <f>IF(OR(E3066="",E3066="!!!",F3066="NEW"),"",COUNTBLANK(OFFSET(A$1,,,SUMPRODUCT(MAX(ROW(E$2:E3066)*(E3066=E$2:E3066)))))-COUNTBLANK(OFFSET(A$1,,,SUMPRODUCT(MAX(ROW(E$1:E3065)*(E2=E$1:E3065))))))</f>
        <v> </v>
      </c>
      <c r="K3066" s="25" t="str">
        <f>IF(OR(E3066="",E3066="!!!",F3066="NEW"),"",INDEX(J$1:J3065,SUMPRODUCT(MAX(ROW(E$1:E3065)*(E3066=E$1:E3065)))))</f>
        <v> </v>
      </c>
      <c r="L3066" s="26"/>
    </row>
    <row r="3067" spans="1:12">
      <c r="A3067" s="20" t="s">
        <v>843</v>
      </c>
      <c r="E3067" s="21">
        <f>IF(D3067="?OLD","!!!","")</f>
        <v/>
      </c>
      <c r="F3067" s="22" t="str">
        <f>IF(OR(E3067="",E3067="!!!"),"",IF(NOT(ISNA(VLOOKUP(E3067,E$1:E3066,1,FALSE()))),"OLD",IF(AND(E3067&lt;&gt;"",E3067&lt;&gt;"!!!"),"NEW","")))</f>
        <v> </v>
      </c>
      <c r="G3067" s="23" t="str">
        <f>IF(OR(E3067="",E3067="!!!"),"",IF(OR(J3067=0,AND(J3067=1,K3067=1),AND(J3067=1,I3067="SBJ"),AND(J3067=1,I3067=0)),"?IN_FOCUS",IF(J3067&lt;=2,"?ACTIVATED",IF(J3067&lt;&gt;"","?FAMILIAR",IF(F3067="NEW",IF(ISNA(VLOOKUP(E3067,#REF!,1,FALSE())),"?TYPE_IDENTIFIABLE","?REFERENTIAL"),"_")))))</f>
        <v> </v>
      </c>
      <c r="H3067" s="24" t="str">
        <f>IF(J3067&lt;&gt;1,"",IF(I3067="SBJ","CB","?"))</f>
        <v> </v>
      </c>
      <c r="I3067" s="25" t="str">
        <f>IF(OR(E3067="",E3067="!!!",F3067="NEW"),"",INDEX(B3066:B$2,-1+SUMPRODUCT(MAX(ROW(E3066:E$2)*(E3067=E3066:E$2)))))</f>
        <v> </v>
      </c>
      <c r="J3067" s="25" t="str">
        <f>IF(OR(E3067="",E3067="!!!",F3067="NEW"),"",COUNTBLANK(OFFSET(A$1,,,SUMPRODUCT(MAX(ROW(E$2:E3067)*(E3067=E$2:E3067)))))-COUNTBLANK(OFFSET(A$1,,,SUMPRODUCT(MAX(ROW(E$1:E3066)*(E2=E$1:E3066))))))</f>
        <v> </v>
      </c>
      <c r="K3067" s="25" t="str">
        <f>IF(OR(E3067="",E3067="!!!",F3067="NEW"),"",INDEX(J$1:J3066,SUMPRODUCT(MAX(ROW(E$1:E3066)*(E3067=E$1:E3066)))))</f>
        <v> </v>
      </c>
      <c r="L3067" s="26"/>
    </row>
    <row r="3068" spans="1:12">
      <c r="A3068" s="20" t="s">
        <v>700</v>
      </c>
      <c r="B3068" s="27" t="s">
        <v>619</v>
      </c>
      <c r="C3068" s="27" t="s">
        <v>626</v>
      </c>
      <c r="E3068" s="21">
        <f>IF(D3068="?OLD","!!!","")</f>
        <v/>
      </c>
      <c r="F3068" s="22" t="str">
        <f>IF(OR(E3068="",E3068="!!!"),"",IF(NOT(ISNA(VLOOKUP(E3068,E$1:E3067,1,FALSE()))),"OLD",IF(AND(E3068&lt;&gt;"",E3068&lt;&gt;"!!!"),"NEW","")))</f>
        <v> </v>
      </c>
      <c r="G3068" s="23" t="str">
        <f>IF(OR(E3068="",E3068="!!!"),"",IF(OR(J3068=0,AND(J3068=1,K3068=1),AND(J3068=1,I3068="SBJ"),AND(J3068=1,I3068=0)),"?IN_FOCUS",IF(J3068&lt;=2,"?ACTIVATED",IF(J3068&lt;&gt;"","?FAMILIAR",IF(F3068="NEW",IF(ISNA(VLOOKUP(E3068,#REF!,1,FALSE())),"?TYPE_IDENTIFIABLE","?REFERENTIAL"),"_")))))</f>
        <v> </v>
      </c>
      <c r="H3068" s="24" t="str">
        <f>IF(J3068&lt;&gt;1,"",IF(I3068="SBJ","CB","?"))</f>
        <v> </v>
      </c>
      <c r="I3068" s="25" t="str">
        <f>IF(OR(E3068="",E3068="!!!",F3068="NEW"),"",INDEX(B3067:B$2,-1+SUMPRODUCT(MAX(ROW(E3067:E$2)*(E3068=E3067:E$2)))))</f>
        <v> </v>
      </c>
      <c r="J3068" s="25" t="str">
        <f>IF(OR(E3068="",E3068="!!!",F3068="NEW"),"",COUNTBLANK(OFFSET(A$1,,,SUMPRODUCT(MAX(ROW(E$2:E3068)*(E3068=E$2:E3068)))))-COUNTBLANK(OFFSET(A$1,,,SUMPRODUCT(MAX(ROW(E$1:E3067)*(E2=E$1:E3067))))))</f>
        <v> </v>
      </c>
      <c r="K3068" s="25" t="str">
        <f>IF(OR(E3068="",E3068="!!!",F3068="NEW"),"",INDEX(J$1:J3067,SUMPRODUCT(MAX(ROW(E$1:E3067)*(E3068=E$1:E3067)))))</f>
        <v> </v>
      </c>
      <c r="L3068" s="26"/>
    </row>
    <row r="3069" spans="1:12">
      <c r="A3069" s="20" t="s">
        <v>621</v>
      </c>
      <c r="B3069" s="27" t="s">
        <v>657</v>
      </c>
      <c r="C3069" s="27" t="s">
        <v>622</v>
      </c>
      <c r="E3069" s="21">
        <f>IF(D3069="?OLD","!!!","")</f>
        <v/>
      </c>
      <c r="F3069" s="22" t="str">
        <f>IF(OR(E3069="",E3069="!!!"),"",IF(NOT(ISNA(VLOOKUP(E3069,E$1:E3068,1,FALSE()))),"OLD",IF(AND(E3069&lt;&gt;"",E3069&lt;&gt;"!!!"),"NEW","")))</f>
        <v> </v>
      </c>
      <c r="G3069" s="23" t="str">
        <f>IF(OR(E3069="",E3069="!!!"),"",IF(OR(J3069=0,AND(J3069=1,K3069=1),AND(J3069=1,I3069="SBJ"),AND(J3069=1,I3069=0)),"?IN_FOCUS",IF(J3069&lt;=2,"?ACTIVATED",IF(J3069&lt;&gt;"","?FAMILIAR",IF(F3069="NEW",IF(ISNA(VLOOKUP(E3069,#REF!,1,FALSE())),"?TYPE_IDENTIFIABLE","?REFERENTIAL"),"_")))))</f>
        <v> </v>
      </c>
      <c r="H3069" s="24" t="str">
        <f>IF(J3069&lt;&gt;1,"",IF(I3069="SBJ","CB","?"))</f>
        <v> </v>
      </c>
      <c r="I3069" s="25" t="str">
        <f>IF(OR(E3069="",E3069="!!!",F3069="NEW"),"",INDEX(B3068:B$2,-1+SUMPRODUCT(MAX(ROW(E3068:E$2)*(E3069=E3068:E$2)))))</f>
        <v> </v>
      </c>
      <c r="J3069" s="25" t="str">
        <f>IF(OR(E3069="",E3069="!!!",F3069="NEW"),"",COUNTBLANK(OFFSET(A$1,,,SUMPRODUCT(MAX(ROW(E$2:E3069)*(E3069=E$2:E3069)))))-COUNTBLANK(OFFSET(A$1,,,SUMPRODUCT(MAX(ROW(E$1:E3068)*(E2=E$1:E3068))))))</f>
        <v> </v>
      </c>
      <c r="K3069" s="25" t="str">
        <f>IF(OR(E3069="",E3069="!!!",F3069="NEW"),"",INDEX(J$1:J3068,SUMPRODUCT(MAX(ROW(E$1:E3068)*(E3069=E$1:E3068)))))</f>
        <v> </v>
      </c>
      <c r="L3069" s="26"/>
    </row>
    <row r="3070" spans="1:12">
      <c r="A3070" s="20" t="s">
        <v>716</v>
      </c>
      <c r="E3070" s="21">
        <f>IF(D3070="?OLD","!!!","")</f>
        <v/>
      </c>
      <c r="F3070" s="22" t="str">
        <f>IF(OR(E3070="",E3070="!!!"),"",IF(NOT(ISNA(VLOOKUP(E3070,E$1:E3069,1,FALSE()))),"OLD",IF(AND(E3070&lt;&gt;"",E3070&lt;&gt;"!!!"),"NEW","")))</f>
        <v> </v>
      </c>
      <c r="G3070" s="23" t="str">
        <f>IF(OR(E3070="",E3070="!!!"),"",IF(OR(J3070=0,AND(J3070=1,K3070=1),AND(J3070=1,I3070="SBJ"),AND(J3070=1,I3070=0)),"?IN_FOCUS",IF(J3070&lt;=2,"?ACTIVATED",IF(J3070&lt;&gt;"","?FAMILIAR",IF(F3070="NEW",IF(ISNA(VLOOKUP(E3070,#REF!,1,FALSE())),"?TYPE_IDENTIFIABLE","?REFERENTIAL"),"_")))))</f>
        <v> </v>
      </c>
      <c r="H3070" s="24" t="str">
        <f>IF(J3070&lt;&gt;1,"",IF(I3070="SBJ","CB","?"))</f>
        <v> </v>
      </c>
      <c r="I3070" s="25" t="str">
        <f>IF(OR(E3070="",E3070="!!!",F3070="NEW"),"",INDEX(B3069:B$2,-1+SUMPRODUCT(MAX(ROW(E3069:E$2)*(E3070=E3069:E$2)))))</f>
        <v> </v>
      </c>
      <c r="J3070" s="25" t="str">
        <f>IF(OR(E3070="",E3070="!!!",F3070="NEW"),"",COUNTBLANK(OFFSET(A$1,,,SUMPRODUCT(MAX(ROW(E$2:E3070)*(E3070=E$2:E3070)))))-COUNTBLANK(OFFSET(A$1,,,SUMPRODUCT(MAX(ROW(E$1:E3069)*(E2=E$1:E3069))))))</f>
        <v> </v>
      </c>
      <c r="K3070" s="25" t="str">
        <f>IF(OR(E3070="",E3070="!!!",F3070="NEW"),"",INDEX(J$1:J3069,SUMPRODUCT(MAX(ROW(E$1:E3069)*(E3070=E$1:E3069)))))</f>
        <v> </v>
      </c>
      <c r="L3070" s="26"/>
    </row>
    <row r="3071" spans="1:12">
      <c r="A3071" s="20" t="s">
        <v>1633</v>
      </c>
      <c r="E3071" s="21">
        <f>IF(D3071="?OLD","!!!","")</f>
        <v/>
      </c>
      <c r="F3071" s="22" t="str">
        <f>IF(OR(E3071="",E3071="!!!"),"",IF(NOT(ISNA(VLOOKUP(E3071,E$1:E3070,1,FALSE()))),"OLD",IF(AND(E3071&lt;&gt;"",E3071&lt;&gt;"!!!"),"NEW","")))</f>
        <v> </v>
      </c>
      <c r="G3071" s="23" t="str">
        <f>IF(OR(E3071="",E3071="!!!"),"",IF(OR(J3071=0,AND(J3071=1,K3071=1),AND(J3071=1,I3071="SBJ"),AND(J3071=1,I3071=0)),"?IN_FOCUS",IF(J3071&lt;=2,"?ACTIVATED",IF(J3071&lt;&gt;"","?FAMILIAR",IF(F3071="NEW",IF(ISNA(VLOOKUP(E3071,#REF!,1,FALSE())),"?TYPE_IDENTIFIABLE","?REFERENTIAL"),"_")))))</f>
        <v> </v>
      </c>
      <c r="H3071" s="24" t="str">
        <f>IF(J3071&lt;&gt;1,"",IF(I3071="SBJ","CB","?"))</f>
        <v> </v>
      </c>
      <c r="I3071" s="25" t="str">
        <f>IF(OR(E3071="",E3071="!!!",F3071="NEW"),"",INDEX(B3070:B$2,-1+SUMPRODUCT(MAX(ROW(E3070:E$2)*(E3071=E3070:E$2)))))</f>
        <v> </v>
      </c>
      <c r="J3071" s="25" t="str">
        <f>IF(OR(E3071="",E3071="!!!",F3071="NEW"),"",COUNTBLANK(OFFSET(A$1,,,SUMPRODUCT(MAX(ROW(E$2:E3071)*(E3071=E$2:E3071)))))-COUNTBLANK(OFFSET(A$1,,,SUMPRODUCT(MAX(ROW(E$1:E3070)*(E2=E$1:E3070))))))</f>
        <v> </v>
      </c>
      <c r="K3071" s="25" t="str">
        <f>IF(OR(E3071="",E3071="!!!",F3071="NEW"),"",INDEX(J$1:J3070,SUMPRODUCT(MAX(ROW(E$1:E3070)*(E3071=E$1:E3070)))))</f>
        <v> </v>
      </c>
      <c r="L3071" s="26"/>
    </row>
    <row r="3072" spans="1:12">
      <c r="A3072" s="20" t="s">
        <v>633</v>
      </c>
      <c r="E3072" s="21">
        <f>IF(D3072="?OLD","!!!","")</f>
        <v/>
      </c>
      <c r="F3072" s="22" t="str">
        <f>IF(OR(E3072="",E3072="!!!"),"",IF(NOT(ISNA(VLOOKUP(E3072,E$1:E3071,1,FALSE()))),"OLD",IF(AND(E3072&lt;&gt;"",E3072&lt;&gt;"!!!"),"NEW","")))</f>
        <v> </v>
      </c>
      <c r="G3072" s="23" t="str">
        <f>IF(OR(E3072="",E3072="!!!"),"",IF(OR(J3072=0,AND(J3072=1,K3072=1),AND(J3072=1,I3072="SBJ"),AND(J3072=1,I3072=0)),"?IN_FOCUS",IF(J3072&lt;=2,"?ACTIVATED",IF(J3072&lt;&gt;"","?FAMILIAR",IF(F3072="NEW",IF(ISNA(VLOOKUP(E3072,#REF!,1,FALSE())),"?TYPE_IDENTIFIABLE","?REFERENTIAL"),"_")))))</f>
        <v> </v>
      </c>
      <c r="H3072" s="24" t="str">
        <f>IF(J3072&lt;&gt;1,"",IF(I3072="SBJ","CB","?"))</f>
        <v> </v>
      </c>
      <c r="I3072" s="25" t="str">
        <f>IF(OR(E3072="",E3072="!!!",F3072="NEW"),"",INDEX(B3071:B$2,-1+SUMPRODUCT(MAX(ROW(E3071:E$2)*(E3072=E3071:E$2)))))</f>
        <v> </v>
      </c>
      <c r="J3072" s="25" t="str">
        <f>IF(OR(E3072="",E3072="!!!",F3072="NEW"),"",COUNTBLANK(OFFSET(A$1,,,SUMPRODUCT(MAX(ROW(E$2:E3072)*(E3072=E$2:E3072)))))-COUNTBLANK(OFFSET(A$1,,,SUMPRODUCT(MAX(ROW(E$1:E3071)*(E2=E$1:E3071))))))</f>
        <v> </v>
      </c>
      <c r="K3072" s="25" t="str">
        <f>IF(OR(E3072="",E3072="!!!",F3072="NEW"),"",INDEX(J$1:J3071,SUMPRODUCT(MAX(ROW(E$1:E3071)*(E3072=E$1:E3071)))))</f>
        <v> </v>
      </c>
      <c r="L3072" s="26"/>
    </row>
    <row r="3073" spans="1:12">
      <c r="A3073" s="20"/>
    </row>
    <row r="3074" spans="1:12">
      <c r="A3074" s="20" t="s">
        <v>1634</v>
      </c>
    </row>
    <row r="3075" spans="1:12">
      <c r="A3075" s="20" t="s">
        <v>661</v>
      </c>
      <c r="E3075" s="21">
        <f>IF(D3075="?OLD","!!!","")</f>
        <v/>
      </c>
      <c r="F3075" s="22" t="str">
        <f>IF(OR(E3075="",E3075="!!!"),"",IF(NOT(ISNA(VLOOKUP(E3075,E$1:E3074,1,FALSE()))),"OLD",IF(AND(E3075&lt;&gt;"",E3075&lt;&gt;"!!!"),"NEW","")))</f>
        <v> </v>
      </c>
      <c r="G3075" s="23" t="str">
        <f>IF(OR(E3075="",E3075="!!!"),"",IF(OR(J3075=0,AND(J3075=1,K3075=1),AND(J3075=1,I3075="SBJ"),AND(J3075=1,I3075=0)),"?IN_FOCUS",IF(J3075&lt;=2,"?ACTIVATED",IF(J3075&lt;&gt;"","?FAMILIAR",IF(F3075="NEW",IF(ISNA(VLOOKUP(E3075,#REF!,1,FALSE())),"?TYPE_IDENTIFIABLE","?REFERENTIAL"),"_")))))</f>
        <v> </v>
      </c>
      <c r="H3075" s="24" t="str">
        <f>IF(J3075&lt;&gt;1,"",IF(I3075="SBJ","CB","?"))</f>
        <v> </v>
      </c>
      <c r="I3075" s="25" t="str">
        <f>IF(OR(E3075="",E3075="!!!",F3075="NEW"),"",INDEX(B3074:B$2,-1+SUMPRODUCT(MAX(ROW(E3074:E$2)*(E3075=E3074:E$2)))))</f>
        <v> </v>
      </c>
      <c r="J3075" s="25" t="str">
        <f>IF(OR(E3075="",E3075="!!!",F3075="NEW"),"",COUNTBLANK(OFFSET(A$1,,,SUMPRODUCT(MAX(ROW(E$2:E3075)*(E3075=E$2:E3075)))))-COUNTBLANK(OFFSET(A$1,,,SUMPRODUCT(MAX(ROW(E$1:E3074)*(E2=E$1:E3074))))))</f>
        <v> </v>
      </c>
      <c r="K3075" s="25" t="str">
        <f>IF(OR(E3075="",E3075="!!!",F3075="NEW"),"",INDEX(J$1:J3074,SUMPRODUCT(MAX(ROW(E$1:E3074)*(E3075=E$1:E3074)))))</f>
        <v> </v>
      </c>
      <c r="L3075" s="26"/>
    </row>
    <row r="3076" spans="1:12">
      <c r="A3076" s="20" t="s">
        <v>618</v>
      </c>
      <c r="E3076" s="21">
        <f>IF(D3076="?OLD","!!!","")</f>
        <v/>
      </c>
      <c r="F3076" s="22" t="str">
        <f>IF(OR(E3076="",E3076="!!!"),"",IF(NOT(ISNA(VLOOKUP(E3076,E$1:E3075,1,FALSE()))),"OLD",IF(AND(E3076&lt;&gt;"",E3076&lt;&gt;"!!!"),"NEW","")))</f>
        <v> </v>
      </c>
      <c r="G3076" s="23" t="str">
        <f>IF(OR(E3076="",E3076="!!!"),"",IF(OR(J3076=0,AND(J3076=1,K3076=1),AND(J3076=1,I3076="SBJ"),AND(J3076=1,I3076=0)),"?IN_FOCUS",IF(J3076&lt;=2,"?ACTIVATED",IF(J3076&lt;&gt;"","?FAMILIAR",IF(F3076="NEW",IF(ISNA(VLOOKUP(E3076,#REF!,1,FALSE())),"?TYPE_IDENTIFIABLE","?REFERENTIAL"),"_")))))</f>
        <v> </v>
      </c>
      <c r="H3076" s="24" t="str">
        <f>IF(J3076&lt;&gt;1,"",IF(I3076="SBJ","CB","?"))</f>
        <v> </v>
      </c>
      <c r="I3076" s="25" t="str">
        <f>IF(OR(E3076="",E3076="!!!",F3076="NEW"),"",INDEX(B3075:B$2,-1+SUMPRODUCT(MAX(ROW(E3075:E$2)*(E3076=E3075:E$2)))))</f>
        <v> </v>
      </c>
      <c r="J3076" s="25" t="str">
        <f>IF(OR(E3076="",E3076="!!!",F3076="NEW"),"",COUNTBLANK(OFFSET(A$1,,,SUMPRODUCT(MAX(ROW(E$2:E3076)*(E3076=E$2:E3076)))))-COUNTBLANK(OFFSET(A$1,,,SUMPRODUCT(MAX(ROW(E$1:E3075)*(E2=E$1:E3075))))))</f>
        <v> </v>
      </c>
      <c r="K3076" s="25" t="str">
        <f>IF(OR(E3076="",E3076="!!!",F3076="NEW"),"",INDEX(J$1:J3075,SUMPRODUCT(MAX(ROW(E$1:E3075)*(E3076=E$1:E3075)))))</f>
        <v> </v>
      </c>
      <c r="L3076" s="26"/>
    </row>
    <row r="3077" spans="1:12">
      <c r="A3077" s="20" t="s">
        <v>630</v>
      </c>
      <c r="B3077" s="27" t="s">
        <v>636</v>
      </c>
      <c r="C3077" s="27" t="s">
        <v>631</v>
      </c>
      <c r="D3077" s="27" t="s">
        <v>608</v>
      </c>
      <c r="E3077" s="21">
        <f>IF(D3077="?OLD","!!!","")</f>
        <v/>
      </c>
      <c r="F3077" s="22" t="str">
        <f>IF(OR(E3077="",E3077="!!!"),"",IF(NOT(ISNA(VLOOKUP(E3077,E$1:E3076,1,FALSE()))),"OLD",IF(AND(E3077&lt;&gt;"",E3077&lt;&gt;"!!!"),"NEW","")))</f>
        <v> </v>
      </c>
      <c r="G3077" s="23" t="str">
        <f>IF(OR(E3077="",E3077="!!!"),"",IF(OR(J3077=0,AND(J3077=1,K3077=1),AND(J3077=1,I3077="SBJ"),AND(J3077=1,I3077=0)),"?IN_FOCUS",IF(J3077&lt;=2,"?ACTIVATED",IF(J3077&lt;&gt;"","?FAMILIAR",IF(F3077="NEW",IF(ISNA(VLOOKUP(E3077,#REF!,1,FALSE())),"?TYPE_IDENTIFIABLE","?REFERENTIAL"),"_")))))</f>
        <v> </v>
      </c>
      <c r="H3077" s="24" t="str">
        <f>IF(J3077&lt;&gt;1,"",IF(I3077="SBJ","CB","?"))</f>
        <v> </v>
      </c>
      <c r="I3077" s="25" t="str">
        <f>IF(OR(E3077="",E3077="!!!",F3077="NEW"),"",INDEX(B3076:B$2,-1+SUMPRODUCT(MAX(ROW(E3076:E$2)*(E3077=E3076:E$2)))))</f>
        <v> </v>
      </c>
      <c r="J3077" s="25" t="str">
        <f>IF(OR(E3077="",E3077="!!!",F3077="NEW"),"",COUNTBLANK(OFFSET(A$1,,,SUMPRODUCT(MAX(ROW(E$2:E3077)*(E3077=E$2:E3077)))))-COUNTBLANK(OFFSET(A$1,,,SUMPRODUCT(MAX(ROW(E$1:E3076)*(E2=E$1:E3076))))))</f>
        <v> </v>
      </c>
      <c r="K3077" s="25" t="str">
        <f>IF(OR(E3077="",E3077="!!!",F3077="NEW"),"",INDEX(J$1:J3076,SUMPRODUCT(MAX(ROW(E$1:E3076)*(E3077=E$1:E3076)))))</f>
        <v> </v>
      </c>
      <c r="L3077" s="26"/>
    </row>
    <row r="3078" spans="1:12">
      <c r="A3078" s="20" t="s">
        <v>12</v>
      </c>
      <c r="E3078" s="21">
        <f>IF(D3078="?OLD","!!!","")</f>
        <v/>
      </c>
      <c r="F3078" s="22" t="str">
        <f>IF(OR(E3078="",E3078="!!!"),"",IF(NOT(ISNA(VLOOKUP(E3078,E$1:E3077,1,FALSE()))),"OLD",IF(AND(E3078&lt;&gt;"",E3078&lt;&gt;"!!!"),"NEW","")))</f>
        <v> </v>
      </c>
      <c r="G3078" s="23" t="str">
        <f>IF(OR(E3078="",E3078="!!!"),"",IF(OR(J3078=0,AND(J3078=1,K3078=1),AND(J3078=1,I3078="SBJ"),AND(J3078=1,I3078=0)),"?IN_FOCUS",IF(J3078&lt;=2,"?ACTIVATED",IF(J3078&lt;&gt;"","?FAMILIAR",IF(F3078="NEW",IF(ISNA(VLOOKUP(E3078,#REF!,1,FALSE())),"?TYPE_IDENTIFIABLE","?REFERENTIAL"),"_")))))</f>
        <v> </v>
      </c>
      <c r="H3078" s="24" t="str">
        <f>IF(J3078&lt;&gt;1,"",IF(I3078="SBJ","CB","?"))</f>
        <v> </v>
      </c>
      <c r="I3078" s="25" t="str">
        <f>IF(OR(E3078="",E3078="!!!",F3078="NEW"),"",INDEX(B3077:B$2,-1+SUMPRODUCT(MAX(ROW(E3077:E$2)*(E3078=E3077:E$2)))))</f>
        <v> </v>
      </c>
      <c r="J3078" s="25" t="str">
        <f>IF(OR(E3078="",E3078="!!!",F3078="NEW"),"",COUNTBLANK(OFFSET(A$1,,,SUMPRODUCT(MAX(ROW(E$2:E3078)*(E3078=E$2:E3078)))))-COUNTBLANK(OFFSET(A$1,,,SUMPRODUCT(MAX(ROW(E$1:E3077)*(E2=E$1:E3077))))))</f>
        <v> </v>
      </c>
      <c r="K3078" s="25" t="str">
        <f>IF(OR(E3078="",E3078="!!!",F3078="NEW"),"",INDEX(J$1:J3077,SUMPRODUCT(MAX(ROW(E$1:E3077)*(E3078=E$1:E3077)))))</f>
        <v> </v>
      </c>
      <c r="L3078" s="26"/>
    </row>
    <row r="3079" spans="1:12">
      <c r="A3079" s="20" t="s">
        <v>1628</v>
      </c>
      <c r="E3079" s="21">
        <f>IF(D3079="?OLD","!!!","")</f>
        <v/>
      </c>
      <c r="F3079" s="22" t="str">
        <f>IF(OR(E3079="",E3079="!!!"),"",IF(NOT(ISNA(VLOOKUP(E3079,E$1:E3078,1,FALSE()))),"OLD",IF(AND(E3079&lt;&gt;"",E3079&lt;&gt;"!!!"),"NEW","")))</f>
        <v> </v>
      </c>
      <c r="G3079" s="23" t="str">
        <f>IF(OR(E3079="",E3079="!!!"),"",IF(OR(J3079=0,AND(J3079=1,K3079=1),AND(J3079=1,I3079="SBJ"),AND(J3079=1,I3079=0)),"?IN_FOCUS",IF(J3079&lt;=2,"?ACTIVATED",IF(J3079&lt;&gt;"","?FAMILIAR",IF(F3079="NEW",IF(ISNA(VLOOKUP(E3079,#REF!,1,FALSE())),"?TYPE_IDENTIFIABLE","?REFERENTIAL"),"_")))))</f>
        <v> </v>
      </c>
      <c r="H3079" s="24" t="str">
        <f>IF(J3079&lt;&gt;1,"",IF(I3079="SBJ","CB","?"))</f>
        <v> </v>
      </c>
      <c r="I3079" s="25" t="str">
        <f>IF(OR(E3079="",E3079="!!!",F3079="NEW"),"",INDEX(B3078:B$2,-1+SUMPRODUCT(MAX(ROW(E3078:E$2)*(E3079=E3078:E$2)))))</f>
        <v> </v>
      </c>
      <c r="J3079" s="25" t="str">
        <f>IF(OR(E3079="",E3079="!!!",F3079="NEW"),"",COUNTBLANK(OFFSET(A$1,,,SUMPRODUCT(MAX(ROW(E$2:E3079)*(E3079=E$2:E3079)))))-COUNTBLANK(OFFSET(A$1,,,SUMPRODUCT(MAX(ROW(E$1:E3078)*(E2=E$1:E3078))))))</f>
        <v> </v>
      </c>
      <c r="K3079" s="25" t="str">
        <f>IF(OR(E3079="",E3079="!!!",F3079="NEW"),"",INDEX(J$1:J3078,SUMPRODUCT(MAX(ROW(E$1:E3078)*(E3079=E$1:E3078)))))</f>
        <v> </v>
      </c>
      <c r="L3079" s="26"/>
    </row>
    <row r="3080" spans="1:12">
      <c r="A3080" s="20" t="s">
        <v>1584</v>
      </c>
      <c r="E3080" s="21">
        <f>IF(D3080="?OLD","!!!","")</f>
        <v/>
      </c>
      <c r="F3080" s="22" t="str">
        <f>IF(OR(E3080="",E3080="!!!"),"",IF(NOT(ISNA(VLOOKUP(E3080,E$1:E3079,1,FALSE()))),"OLD",IF(AND(E3080&lt;&gt;"",E3080&lt;&gt;"!!!"),"NEW","")))</f>
        <v> </v>
      </c>
      <c r="G3080" s="23" t="str">
        <f>IF(OR(E3080="",E3080="!!!"),"",IF(OR(J3080=0,AND(J3080=1,K3080=1),AND(J3080=1,I3080="SBJ"),AND(J3080=1,I3080=0)),"?IN_FOCUS",IF(J3080&lt;=2,"?ACTIVATED",IF(J3080&lt;&gt;"","?FAMILIAR",IF(F3080="NEW",IF(ISNA(VLOOKUP(E3080,#REF!,1,FALSE())),"?TYPE_IDENTIFIABLE","?REFERENTIAL"),"_")))))</f>
        <v> </v>
      </c>
      <c r="H3080" s="24" t="str">
        <f>IF(J3080&lt;&gt;1,"",IF(I3080="SBJ","CB","?"))</f>
        <v> </v>
      </c>
      <c r="I3080" s="25" t="str">
        <f>IF(OR(E3080="",E3080="!!!",F3080="NEW"),"",INDEX(B3079:B$2,-1+SUMPRODUCT(MAX(ROW(E3079:E$2)*(E3080=E3079:E$2)))))</f>
        <v> </v>
      </c>
      <c r="J3080" s="25" t="str">
        <f>IF(OR(E3080="",E3080="!!!",F3080="NEW"),"",COUNTBLANK(OFFSET(A$1,,,SUMPRODUCT(MAX(ROW(E$2:E3080)*(E3080=E$2:E3080)))))-COUNTBLANK(OFFSET(A$1,,,SUMPRODUCT(MAX(ROW(E$1:E3079)*(E2=E$1:E3079))))))</f>
        <v> </v>
      </c>
      <c r="K3080" s="25" t="str">
        <f>IF(OR(E3080="",E3080="!!!",F3080="NEW"),"",INDEX(J$1:J3079,SUMPRODUCT(MAX(ROW(E$1:E3079)*(E3080=E$1:E3079)))))</f>
        <v> </v>
      </c>
      <c r="L3080" s="26"/>
    </row>
    <row r="3081" spans="1:12">
      <c r="A3081" s="20" t="s">
        <v>612</v>
      </c>
      <c r="E3081" s="21">
        <f>IF(D3081="?OLD","!!!","")</f>
        <v/>
      </c>
      <c r="F3081" s="22" t="str">
        <f>IF(OR(E3081="",E3081="!!!"),"",IF(NOT(ISNA(VLOOKUP(E3081,E$1:E3080,1,FALSE()))),"OLD",IF(AND(E3081&lt;&gt;"",E3081&lt;&gt;"!!!"),"NEW","")))</f>
        <v> </v>
      </c>
      <c r="G3081" s="23" t="str">
        <f>IF(OR(E3081="",E3081="!!!"),"",IF(OR(J3081=0,AND(J3081=1,K3081=1),AND(J3081=1,I3081="SBJ"),AND(J3081=1,I3081=0)),"?IN_FOCUS",IF(J3081&lt;=2,"?ACTIVATED",IF(J3081&lt;&gt;"","?FAMILIAR",IF(F3081="NEW",IF(ISNA(VLOOKUP(E3081,#REF!,1,FALSE())),"?TYPE_IDENTIFIABLE","?REFERENTIAL"),"_")))))</f>
        <v> </v>
      </c>
      <c r="H3081" s="24" t="str">
        <f>IF(J3081&lt;&gt;1,"",IF(I3081="SBJ","CB","?"))</f>
        <v> </v>
      </c>
      <c r="I3081" s="25" t="str">
        <f>IF(OR(E3081="",E3081="!!!",F3081="NEW"),"",INDEX(B3080:B$2,-1+SUMPRODUCT(MAX(ROW(E3080:E$2)*(E3081=E3080:E$2)))))</f>
        <v> </v>
      </c>
      <c r="J3081" s="25" t="str">
        <f>IF(OR(E3081="",E3081="!!!",F3081="NEW"),"",COUNTBLANK(OFFSET(A$1,,,SUMPRODUCT(MAX(ROW(E$2:E3081)*(E3081=E$2:E3081)))))-COUNTBLANK(OFFSET(A$1,,,SUMPRODUCT(MAX(ROW(E$1:E3080)*(E2=E$1:E3080))))))</f>
        <v> </v>
      </c>
      <c r="K3081" s="25" t="str">
        <f>IF(OR(E3081="",E3081="!!!",F3081="NEW"),"",INDEX(J$1:J3080,SUMPRODUCT(MAX(ROW(E$1:E3080)*(E3081=E$1:E3080)))))</f>
        <v> </v>
      </c>
      <c r="L3081" s="26"/>
    </row>
    <row r="3082" spans="1:12">
      <c r="A3082" s="20" t="s">
        <v>1635</v>
      </c>
      <c r="E3082" s="21">
        <f>IF(D3082="?OLD","!!!","")</f>
        <v/>
      </c>
      <c r="F3082" s="22" t="str">
        <f>IF(OR(E3082="",E3082="!!!"),"",IF(NOT(ISNA(VLOOKUP(E3082,E$1:E3081,1,FALSE()))),"OLD",IF(AND(E3082&lt;&gt;"",E3082&lt;&gt;"!!!"),"NEW","")))</f>
        <v> </v>
      </c>
      <c r="G3082" s="23" t="str">
        <f>IF(OR(E3082="",E3082="!!!"),"",IF(OR(J3082=0,AND(J3082=1,K3082=1),AND(J3082=1,I3082="SBJ"),AND(J3082=1,I3082=0)),"?IN_FOCUS",IF(J3082&lt;=2,"?ACTIVATED",IF(J3082&lt;&gt;"","?FAMILIAR",IF(F3082="NEW",IF(ISNA(VLOOKUP(E3082,#REF!,1,FALSE())),"?TYPE_IDENTIFIABLE","?REFERENTIAL"),"_")))))</f>
        <v> </v>
      </c>
      <c r="H3082" s="24" t="str">
        <f>IF(J3082&lt;&gt;1,"",IF(I3082="SBJ","CB","?"))</f>
        <v> </v>
      </c>
      <c r="I3082" s="25" t="str">
        <f>IF(OR(E3082="",E3082="!!!",F3082="NEW"),"",INDEX(B3081:B$2,-1+SUMPRODUCT(MAX(ROW(E3081:E$2)*(E3082=E3081:E$2)))))</f>
        <v> </v>
      </c>
      <c r="J3082" s="25" t="str">
        <f>IF(OR(E3082="",E3082="!!!",F3082="NEW"),"",COUNTBLANK(OFFSET(A$1,,,SUMPRODUCT(MAX(ROW(E$2:E3082)*(E3082=E$2:E3082)))))-COUNTBLANK(OFFSET(A$1,,,SUMPRODUCT(MAX(ROW(E$1:E3081)*(E2=E$1:E3081))))))</f>
        <v> </v>
      </c>
      <c r="K3082" s="25" t="str">
        <f>IF(OR(E3082="",E3082="!!!",F3082="NEW"),"",INDEX(J$1:J3081,SUMPRODUCT(MAX(ROW(E$1:E3081)*(E3082=E$1:E3081)))))</f>
        <v> </v>
      </c>
      <c r="L3082" s="26"/>
    </row>
    <row r="3083" spans="1:12">
      <c r="A3083" s="20" t="s">
        <v>1636</v>
      </c>
      <c r="E3083" s="21">
        <f>IF(D3083="?OLD","!!!","")</f>
        <v/>
      </c>
      <c r="F3083" s="22" t="str">
        <f>IF(OR(E3083="",E3083="!!!"),"",IF(NOT(ISNA(VLOOKUP(E3083,E$1:E3082,1,FALSE()))),"OLD",IF(AND(E3083&lt;&gt;"",E3083&lt;&gt;"!!!"),"NEW","")))</f>
        <v> </v>
      </c>
      <c r="G3083" s="23" t="str">
        <f>IF(OR(E3083="",E3083="!!!"),"",IF(OR(J3083=0,AND(J3083=1,K3083=1),AND(J3083=1,I3083="SBJ"),AND(J3083=1,I3083=0)),"?IN_FOCUS",IF(J3083&lt;=2,"?ACTIVATED",IF(J3083&lt;&gt;"","?FAMILIAR",IF(F3083="NEW",IF(ISNA(VLOOKUP(E3083,#REF!,1,FALSE())),"?TYPE_IDENTIFIABLE","?REFERENTIAL"),"_")))))</f>
        <v> </v>
      </c>
      <c r="H3083" s="24" t="str">
        <f>IF(J3083&lt;&gt;1,"",IF(I3083="SBJ","CB","?"))</f>
        <v> </v>
      </c>
      <c r="I3083" s="25" t="str">
        <f>IF(OR(E3083="",E3083="!!!",F3083="NEW"),"",INDEX(B3082:B$2,-1+SUMPRODUCT(MAX(ROW(E3082:E$2)*(E3083=E3082:E$2)))))</f>
        <v> </v>
      </c>
      <c r="J3083" s="25" t="str">
        <f>IF(OR(E3083="",E3083="!!!",F3083="NEW"),"",COUNTBLANK(OFFSET(A$1,,,SUMPRODUCT(MAX(ROW(E$2:E3083)*(E3083=E$2:E3083)))))-COUNTBLANK(OFFSET(A$1,,,SUMPRODUCT(MAX(ROW(E$1:E3082)*(E2=E$1:E3082))))))</f>
        <v> </v>
      </c>
      <c r="K3083" s="25" t="str">
        <f>IF(OR(E3083="",E3083="!!!",F3083="NEW"),"",INDEX(J$1:J3082,SUMPRODUCT(MAX(ROW(E$1:E3082)*(E3083=E$1:E3082)))))</f>
        <v> </v>
      </c>
      <c r="L3083" s="26"/>
    </row>
    <row r="3084" spans="1:12">
      <c r="A3084" s="20" t="s">
        <v>617</v>
      </c>
      <c r="E3084" s="21">
        <f>IF(D3084="?OLD","!!!","")</f>
        <v/>
      </c>
      <c r="F3084" s="22" t="str">
        <f>IF(OR(E3084="",E3084="!!!"),"",IF(NOT(ISNA(VLOOKUP(E3084,E$1:E3083,1,FALSE()))),"OLD",IF(AND(E3084&lt;&gt;"",E3084&lt;&gt;"!!!"),"NEW","")))</f>
        <v> </v>
      </c>
      <c r="G3084" s="23" t="str">
        <f>IF(OR(E3084="",E3084="!!!"),"",IF(OR(J3084=0,AND(J3084=1,K3084=1),AND(J3084=1,I3084="SBJ"),AND(J3084=1,I3084=0)),"?IN_FOCUS",IF(J3084&lt;=2,"?ACTIVATED",IF(J3084&lt;&gt;"","?FAMILIAR",IF(F3084="NEW",IF(ISNA(VLOOKUP(E3084,#REF!,1,FALSE())),"?TYPE_IDENTIFIABLE","?REFERENTIAL"),"_")))))</f>
        <v> </v>
      </c>
      <c r="H3084" s="24" t="str">
        <f>IF(J3084&lt;&gt;1,"",IF(I3084="SBJ","CB","?"))</f>
        <v> </v>
      </c>
      <c r="I3084" s="25" t="str">
        <f>IF(OR(E3084="",E3084="!!!",F3084="NEW"),"",INDEX(B3083:B$2,-1+SUMPRODUCT(MAX(ROW(E3083:E$2)*(E3084=E3083:E$2)))))</f>
        <v> </v>
      </c>
      <c r="J3084" s="25" t="str">
        <f>IF(OR(E3084="",E3084="!!!",F3084="NEW"),"",COUNTBLANK(OFFSET(A$1,,,SUMPRODUCT(MAX(ROW(E$2:E3084)*(E3084=E$2:E3084)))))-COUNTBLANK(OFFSET(A$1,,,SUMPRODUCT(MAX(ROW(E$1:E3083)*(E2=E$1:E3083))))))</f>
        <v> </v>
      </c>
      <c r="K3084" s="25" t="str">
        <f>IF(OR(E3084="",E3084="!!!",F3084="NEW"),"",INDEX(J$1:J3083,SUMPRODUCT(MAX(ROW(E$1:E3083)*(E3084=E$1:E3083)))))</f>
        <v> </v>
      </c>
      <c r="L3084" s="26"/>
    </row>
    <row r="3085" spans="1:12">
      <c r="A3085" s="20" t="s">
        <v>1532</v>
      </c>
      <c r="E3085" s="21">
        <f>IF(D3085="?OLD","!!!","")</f>
        <v/>
      </c>
      <c r="F3085" s="22" t="str">
        <f>IF(OR(E3085="",E3085="!!!"),"",IF(NOT(ISNA(VLOOKUP(E3085,E$1:E3084,1,FALSE()))),"OLD",IF(AND(E3085&lt;&gt;"",E3085&lt;&gt;"!!!"),"NEW","")))</f>
        <v> </v>
      </c>
      <c r="G3085" s="23" t="str">
        <f>IF(OR(E3085="",E3085="!!!"),"",IF(OR(J3085=0,AND(J3085=1,K3085=1),AND(J3085=1,I3085="SBJ"),AND(J3085=1,I3085=0)),"?IN_FOCUS",IF(J3085&lt;=2,"?ACTIVATED",IF(J3085&lt;&gt;"","?FAMILIAR",IF(F3085="NEW",IF(ISNA(VLOOKUP(E3085,#REF!,1,FALSE())),"?TYPE_IDENTIFIABLE","?REFERENTIAL"),"_")))))</f>
        <v> </v>
      </c>
      <c r="H3085" s="24" t="str">
        <f>IF(J3085&lt;&gt;1,"",IF(I3085="SBJ","CB","?"))</f>
        <v> </v>
      </c>
      <c r="I3085" s="25" t="str">
        <f>IF(OR(E3085="",E3085="!!!",F3085="NEW"),"",INDEX(B3084:B$2,-1+SUMPRODUCT(MAX(ROW(E3084:E$2)*(E3085=E3084:E$2)))))</f>
        <v> </v>
      </c>
      <c r="J3085" s="25" t="str">
        <f>IF(OR(E3085="",E3085="!!!",F3085="NEW"),"",COUNTBLANK(OFFSET(A$1,,,SUMPRODUCT(MAX(ROW(E$2:E3085)*(E3085=E$2:E3085)))))-COUNTBLANK(OFFSET(A$1,,,SUMPRODUCT(MAX(ROW(E$1:E3084)*(E2=E$1:E3084))))))</f>
        <v> </v>
      </c>
      <c r="K3085" s="25" t="str">
        <f>IF(OR(E3085="",E3085="!!!",F3085="NEW"),"",INDEX(J$1:J3084,SUMPRODUCT(MAX(ROW(E$1:E3084)*(E3085=E$1:E3084)))))</f>
        <v> </v>
      </c>
      <c r="L3085" s="26"/>
    </row>
    <row r="3086" spans="1:12">
      <c r="A3086" s="20" t="s">
        <v>1637</v>
      </c>
      <c r="E3086" s="21">
        <f>IF(D3086="?OLD","!!!","")</f>
        <v/>
      </c>
      <c r="F3086" s="22" t="str">
        <f>IF(OR(E3086="",E3086="!!!"),"",IF(NOT(ISNA(VLOOKUP(E3086,E$1:E3085,1,FALSE()))),"OLD",IF(AND(E3086&lt;&gt;"",E3086&lt;&gt;"!!!"),"NEW","")))</f>
        <v> </v>
      </c>
      <c r="G3086" s="23" t="str">
        <f>IF(OR(E3086="",E3086="!!!"),"",IF(OR(J3086=0,AND(J3086=1,K3086=1),AND(J3086=1,I3086="SBJ"),AND(J3086=1,I3086=0)),"?IN_FOCUS",IF(J3086&lt;=2,"?ACTIVATED",IF(J3086&lt;&gt;"","?FAMILIAR",IF(F3086="NEW",IF(ISNA(VLOOKUP(E3086,#REF!,1,FALSE())),"?TYPE_IDENTIFIABLE","?REFERENTIAL"),"_")))))</f>
        <v> </v>
      </c>
      <c r="H3086" s="24" t="str">
        <f>IF(J3086&lt;&gt;1,"",IF(I3086="SBJ","CB","?"))</f>
        <v> </v>
      </c>
      <c r="I3086" s="25" t="str">
        <f>IF(OR(E3086="",E3086="!!!",F3086="NEW"),"",INDEX(B3085:B$2,-1+SUMPRODUCT(MAX(ROW(E3085:E$2)*(E3086=E3085:E$2)))))</f>
        <v> </v>
      </c>
      <c r="J3086" s="25" t="str">
        <f>IF(OR(E3086="",E3086="!!!",F3086="NEW"),"",COUNTBLANK(OFFSET(A$1,,,SUMPRODUCT(MAX(ROW(E$2:E3086)*(E3086=E$2:E3086)))))-COUNTBLANK(OFFSET(A$1,,,SUMPRODUCT(MAX(ROW(E$1:E3085)*(E2=E$1:E3085))))))</f>
        <v> </v>
      </c>
      <c r="K3086" s="25" t="str">
        <f>IF(OR(E3086="",E3086="!!!",F3086="NEW"),"",INDEX(J$1:J3085,SUMPRODUCT(MAX(ROW(E$1:E3085)*(E3086=E$1:E3085)))))</f>
        <v> </v>
      </c>
      <c r="L3086" s="26"/>
    </row>
    <row r="3087" spans="1:12">
      <c r="A3087" s="20" t="s">
        <v>617</v>
      </c>
      <c r="E3087" s="21">
        <f>IF(D3087="?OLD","!!!","")</f>
        <v/>
      </c>
      <c r="F3087" s="22" t="str">
        <f>IF(OR(E3087="",E3087="!!!"),"",IF(NOT(ISNA(VLOOKUP(E3087,E$1:E3086,1,FALSE()))),"OLD",IF(AND(E3087&lt;&gt;"",E3087&lt;&gt;"!!!"),"NEW","")))</f>
        <v> </v>
      </c>
      <c r="G3087" s="23" t="str">
        <f>IF(OR(E3087="",E3087="!!!"),"",IF(OR(J3087=0,AND(J3087=1,K3087=1),AND(J3087=1,I3087="SBJ"),AND(J3087=1,I3087=0)),"?IN_FOCUS",IF(J3087&lt;=2,"?ACTIVATED",IF(J3087&lt;&gt;"","?FAMILIAR",IF(F3087="NEW",IF(ISNA(VLOOKUP(E3087,#REF!,1,FALSE())),"?TYPE_IDENTIFIABLE","?REFERENTIAL"),"_")))))</f>
        <v> </v>
      </c>
      <c r="H3087" s="24" t="str">
        <f>IF(J3087&lt;&gt;1,"",IF(I3087="SBJ","CB","?"))</f>
        <v> </v>
      </c>
      <c r="I3087" s="25" t="str">
        <f>IF(OR(E3087="",E3087="!!!",F3087="NEW"),"",INDEX(B3086:B$2,-1+SUMPRODUCT(MAX(ROW(E3086:E$2)*(E3087=E3086:E$2)))))</f>
        <v> </v>
      </c>
      <c r="J3087" s="25" t="str">
        <f>IF(OR(E3087="",E3087="!!!",F3087="NEW"),"",COUNTBLANK(OFFSET(A$1,,,SUMPRODUCT(MAX(ROW(E$2:E3087)*(E3087=E$2:E3087)))))-COUNTBLANK(OFFSET(A$1,,,SUMPRODUCT(MAX(ROW(E$1:E3086)*(E2=E$1:E3086))))))</f>
        <v> </v>
      </c>
      <c r="K3087" s="25" t="str">
        <f>IF(OR(E3087="",E3087="!!!",F3087="NEW"),"",INDEX(J$1:J3086,SUMPRODUCT(MAX(ROW(E$1:E3086)*(E3087=E$1:E3086)))))</f>
        <v> </v>
      </c>
      <c r="L3087" s="26"/>
    </row>
    <row r="3088" spans="1:12">
      <c r="A3088" s="20" t="s">
        <v>1532</v>
      </c>
      <c r="E3088" s="21">
        <f>IF(D3088="?OLD","!!!","")</f>
        <v/>
      </c>
      <c r="F3088" s="22" t="str">
        <f>IF(OR(E3088="",E3088="!!!"),"",IF(NOT(ISNA(VLOOKUP(E3088,E$1:E3087,1,FALSE()))),"OLD",IF(AND(E3088&lt;&gt;"",E3088&lt;&gt;"!!!"),"NEW","")))</f>
        <v> </v>
      </c>
      <c r="G3088" s="23" t="str">
        <f>IF(OR(E3088="",E3088="!!!"),"",IF(OR(J3088=0,AND(J3088=1,K3088=1),AND(J3088=1,I3088="SBJ"),AND(J3088=1,I3088=0)),"?IN_FOCUS",IF(J3088&lt;=2,"?ACTIVATED",IF(J3088&lt;&gt;"","?FAMILIAR",IF(F3088="NEW",IF(ISNA(VLOOKUP(E3088,#REF!,1,FALSE())),"?TYPE_IDENTIFIABLE","?REFERENTIAL"),"_")))))</f>
        <v> </v>
      </c>
      <c r="H3088" s="24" t="str">
        <f>IF(J3088&lt;&gt;1,"",IF(I3088="SBJ","CB","?"))</f>
        <v> </v>
      </c>
      <c r="I3088" s="25" t="str">
        <f>IF(OR(E3088="",E3088="!!!",F3088="NEW"),"",INDEX(B3087:B$2,-1+SUMPRODUCT(MAX(ROW(E3087:E$2)*(E3088=E3087:E$2)))))</f>
        <v> </v>
      </c>
      <c r="J3088" s="25" t="str">
        <f>IF(OR(E3088="",E3088="!!!",F3088="NEW"),"",COUNTBLANK(OFFSET(A$1,,,SUMPRODUCT(MAX(ROW(E$2:E3088)*(E3088=E$2:E3088)))))-COUNTBLANK(OFFSET(A$1,,,SUMPRODUCT(MAX(ROW(E$1:E3087)*(E2=E$1:E3087))))))</f>
        <v> </v>
      </c>
      <c r="K3088" s="25" t="str">
        <f>IF(OR(E3088="",E3088="!!!",F3088="NEW"),"",INDEX(J$1:J3087,SUMPRODUCT(MAX(ROW(E$1:E3087)*(E3088=E$1:E3087)))))</f>
        <v> </v>
      </c>
      <c r="L3088" s="26"/>
    </row>
    <row r="3089" spans="1:12">
      <c r="A3089" s="20" t="s">
        <v>1366</v>
      </c>
      <c r="E3089" s="21">
        <f>IF(D3089="?OLD","!!!","")</f>
        <v/>
      </c>
      <c r="F3089" s="22" t="str">
        <f>IF(OR(E3089="",E3089="!!!"),"",IF(NOT(ISNA(VLOOKUP(E3089,E$1:E3088,1,FALSE()))),"OLD",IF(AND(E3089&lt;&gt;"",E3089&lt;&gt;"!!!"),"NEW","")))</f>
        <v> </v>
      </c>
      <c r="G3089" s="23" t="str">
        <f>IF(OR(E3089="",E3089="!!!"),"",IF(OR(J3089=0,AND(J3089=1,K3089=1),AND(J3089=1,I3089="SBJ"),AND(J3089=1,I3089=0)),"?IN_FOCUS",IF(J3089&lt;=2,"?ACTIVATED",IF(J3089&lt;&gt;"","?FAMILIAR",IF(F3089="NEW",IF(ISNA(VLOOKUP(E3089,#REF!,1,FALSE())),"?TYPE_IDENTIFIABLE","?REFERENTIAL"),"_")))))</f>
        <v> </v>
      </c>
      <c r="H3089" s="24" t="str">
        <f>IF(J3089&lt;&gt;1,"",IF(I3089="SBJ","CB","?"))</f>
        <v> </v>
      </c>
      <c r="I3089" s="25" t="str">
        <f>IF(OR(E3089="",E3089="!!!",F3089="NEW"),"",INDEX(B3088:B$2,-1+SUMPRODUCT(MAX(ROW(E3088:E$2)*(E3089=E3088:E$2)))))</f>
        <v> </v>
      </c>
      <c r="J3089" s="25" t="str">
        <f>IF(OR(E3089="",E3089="!!!",F3089="NEW"),"",COUNTBLANK(OFFSET(A$1,,,SUMPRODUCT(MAX(ROW(E$2:E3089)*(E3089=E$2:E3089)))))-COUNTBLANK(OFFSET(A$1,,,SUMPRODUCT(MAX(ROW(E$1:E3088)*(E2=E$1:E3088))))))</f>
        <v> </v>
      </c>
      <c r="K3089" s="25" t="str">
        <f>IF(OR(E3089="",E3089="!!!",F3089="NEW"),"",INDEX(J$1:J3088,SUMPRODUCT(MAX(ROW(E$1:E3088)*(E3089=E$1:E3088)))))</f>
        <v> </v>
      </c>
      <c r="L3089" s="26"/>
    </row>
    <row r="3090" spans="1:12">
      <c r="A3090" s="20" t="s">
        <v>617</v>
      </c>
      <c r="E3090" s="21">
        <f>IF(D3090="?OLD","!!!","")</f>
        <v/>
      </c>
      <c r="F3090" s="22" t="str">
        <f>IF(OR(E3090="",E3090="!!!"),"",IF(NOT(ISNA(VLOOKUP(E3090,E$1:E3089,1,FALSE()))),"OLD",IF(AND(E3090&lt;&gt;"",E3090&lt;&gt;"!!!"),"NEW","")))</f>
        <v> </v>
      </c>
      <c r="G3090" s="23" t="str">
        <f>IF(OR(E3090="",E3090="!!!"),"",IF(OR(J3090=0,AND(J3090=1,K3090=1),AND(J3090=1,I3090="SBJ"),AND(J3090=1,I3090=0)),"?IN_FOCUS",IF(J3090&lt;=2,"?ACTIVATED",IF(J3090&lt;&gt;"","?FAMILIAR",IF(F3090="NEW",IF(ISNA(VLOOKUP(E3090,#REF!,1,FALSE())),"?TYPE_IDENTIFIABLE","?REFERENTIAL"),"_")))))</f>
        <v> </v>
      </c>
      <c r="H3090" s="24" t="str">
        <f>IF(J3090&lt;&gt;1,"",IF(I3090="SBJ","CB","?"))</f>
        <v> </v>
      </c>
      <c r="I3090" s="25" t="str">
        <f>IF(OR(E3090="",E3090="!!!",F3090="NEW"),"",INDEX(B3089:B$2,-1+SUMPRODUCT(MAX(ROW(E3089:E$2)*(E3090=E3089:E$2)))))</f>
        <v> </v>
      </c>
      <c r="J3090" s="25" t="str">
        <f>IF(OR(E3090="",E3090="!!!",F3090="NEW"),"",COUNTBLANK(OFFSET(A$1,,,SUMPRODUCT(MAX(ROW(E$2:E3090)*(E3090=E$2:E3090)))))-COUNTBLANK(OFFSET(A$1,,,SUMPRODUCT(MAX(ROW(E$1:E3089)*(E2=E$1:E3089))))))</f>
        <v> </v>
      </c>
      <c r="K3090" s="25" t="str">
        <f>IF(OR(E3090="",E3090="!!!",F3090="NEW"),"",INDEX(J$1:J3089,SUMPRODUCT(MAX(ROW(E$1:E3089)*(E3090=E$1:E3089)))))</f>
        <v> </v>
      </c>
      <c r="L3090" s="26"/>
    </row>
    <row r="3091" spans="1:12">
      <c r="A3091" s="20" t="s">
        <v>970</v>
      </c>
      <c r="E3091" s="21">
        <f>IF(D3091="?OLD","!!!","")</f>
        <v/>
      </c>
      <c r="F3091" s="22" t="str">
        <f>IF(OR(E3091="",E3091="!!!"),"",IF(NOT(ISNA(VLOOKUP(E3091,E$1:E3090,1,FALSE()))),"OLD",IF(AND(E3091&lt;&gt;"",E3091&lt;&gt;"!!!"),"NEW","")))</f>
        <v> </v>
      </c>
      <c r="G3091" s="23" t="str">
        <f>IF(OR(E3091="",E3091="!!!"),"",IF(OR(J3091=0,AND(J3091=1,K3091=1),AND(J3091=1,I3091="SBJ"),AND(J3091=1,I3091=0)),"?IN_FOCUS",IF(J3091&lt;=2,"?ACTIVATED",IF(J3091&lt;&gt;"","?FAMILIAR",IF(F3091="NEW",IF(ISNA(VLOOKUP(E3091,#REF!,1,FALSE())),"?TYPE_IDENTIFIABLE","?REFERENTIAL"),"_")))))</f>
        <v> </v>
      </c>
      <c r="H3091" s="24" t="str">
        <f>IF(J3091&lt;&gt;1,"",IF(I3091="SBJ","CB","?"))</f>
        <v> </v>
      </c>
      <c r="I3091" s="25" t="str">
        <f>IF(OR(E3091="",E3091="!!!",F3091="NEW"),"",INDEX(B3090:B$2,-1+SUMPRODUCT(MAX(ROW(E3090:E$2)*(E3091=E3090:E$2)))))</f>
        <v> </v>
      </c>
      <c r="J3091" s="25" t="str">
        <f>IF(OR(E3091="",E3091="!!!",F3091="NEW"),"",COUNTBLANK(OFFSET(A$1,,,SUMPRODUCT(MAX(ROW(E$2:E3091)*(E3091=E$2:E3091)))))-COUNTBLANK(OFFSET(A$1,,,SUMPRODUCT(MAX(ROW(E$1:E3090)*(E2=E$1:E3090))))))</f>
        <v> </v>
      </c>
      <c r="K3091" s="25" t="str">
        <f>IF(OR(E3091="",E3091="!!!",F3091="NEW"),"",INDEX(J$1:J3090,SUMPRODUCT(MAX(ROW(E$1:E3090)*(E3091=E$1:E3090)))))</f>
        <v> </v>
      </c>
      <c r="L3091" s="26"/>
    </row>
    <row r="3092" spans="1:12">
      <c r="A3092" s="20" t="s">
        <v>790</v>
      </c>
      <c r="B3092" s="27" t="s">
        <v>619</v>
      </c>
      <c r="C3092" s="27" t="s">
        <v>637</v>
      </c>
      <c r="D3092" s="27" t="s">
        <v>608</v>
      </c>
      <c r="E3092" s="21">
        <f>IF(D3092="?OLD","!!!","")</f>
        <v/>
      </c>
      <c r="F3092" s="22" t="str">
        <f>IF(OR(E3092="",E3092="!!!"),"",IF(NOT(ISNA(VLOOKUP(E3092,E$1:E3091,1,FALSE()))),"OLD",IF(AND(E3092&lt;&gt;"",E3092&lt;&gt;"!!!"),"NEW","")))</f>
        <v> </v>
      </c>
      <c r="G3092" s="23" t="str">
        <f>IF(OR(E3092="",E3092="!!!"),"",IF(OR(J3092=0,AND(J3092=1,K3092=1),AND(J3092=1,I3092="SBJ"),AND(J3092=1,I3092=0)),"?IN_FOCUS",IF(J3092&lt;=2,"?ACTIVATED",IF(J3092&lt;&gt;"","?FAMILIAR",IF(F3092="NEW",IF(ISNA(VLOOKUP(E3092,#REF!,1,FALSE())),"?TYPE_IDENTIFIABLE","?REFERENTIAL"),"_")))))</f>
        <v> </v>
      </c>
      <c r="H3092" s="24" t="str">
        <f>IF(J3092&lt;&gt;1,"",IF(I3092="SBJ","CB","?"))</f>
        <v> </v>
      </c>
      <c r="I3092" s="25" t="str">
        <f>IF(OR(E3092="",E3092="!!!",F3092="NEW"),"",INDEX(B3091:B$2,-1+SUMPRODUCT(MAX(ROW(E3091:E$2)*(E3092=E3091:E$2)))))</f>
        <v> </v>
      </c>
      <c r="J3092" s="25" t="str">
        <f>IF(OR(E3092="",E3092="!!!",F3092="NEW"),"",COUNTBLANK(OFFSET(A$1,,,SUMPRODUCT(MAX(ROW(E$2:E3092)*(E3092=E$2:E3092)))))-COUNTBLANK(OFFSET(A$1,,,SUMPRODUCT(MAX(ROW(E$1:E3091)*(E2=E$1:E3091))))))</f>
        <v> </v>
      </c>
      <c r="K3092" s="25" t="str">
        <f>IF(OR(E3092="",E3092="!!!",F3092="NEW"),"",INDEX(J$1:J3091,SUMPRODUCT(MAX(ROW(E$1:E3091)*(E3092=E$1:E3091)))))</f>
        <v> </v>
      </c>
      <c r="L3092" s="26"/>
    </row>
    <row r="3093" spans="1:12">
      <c r="A3093" s="20" t="s">
        <v>1441</v>
      </c>
      <c r="E3093" s="21">
        <f>IF(D3093="?OLD","!!!","")</f>
        <v/>
      </c>
      <c r="F3093" s="22" t="str">
        <f>IF(OR(E3093="",E3093="!!!"),"",IF(NOT(ISNA(VLOOKUP(E3093,E$1:E3092,1,FALSE()))),"OLD",IF(AND(E3093&lt;&gt;"",E3093&lt;&gt;"!!!"),"NEW","")))</f>
        <v> </v>
      </c>
      <c r="G3093" s="23" t="str">
        <f>IF(OR(E3093="",E3093="!!!"),"",IF(OR(J3093=0,AND(J3093=1,K3093=1),AND(J3093=1,I3093="SBJ"),AND(J3093=1,I3093=0)),"?IN_FOCUS",IF(J3093&lt;=2,"?ACTIVATED",IF(J3093&lt;&gt;"","?FAMILIAR",IF(F3093="NEW",IF(ISNA(VLOOKUP(E3093,#REF!,1,FALSE())),"?TYPE_IDENTIFIABLE","?REFERENTIAL"),"_")))))</f>
        <v> </v>
      </c>
      <c r="H3093" s="24" t="str">
        <f>IF(J3093&lt;&gt;1,"",IF(I3093="SBJ","CB","?"))</f>
        <v> </v>
      </c>
      <c r="I3093" s="25" t="str">
        <f>IF(OR(E3093="",E3093="!!!",F3093="NEW"),"",INDEX(B3092:B$2,-1+SUMPRODUCT(MAX(ROW(E3092:E$2)*(E3093=E3092:E$2)))))</f>
        <v> </v>
      </c>
      <c r="J3093" s="25" t="str">
        <f>IF(OR(E3093="",E3093="!!!",F3093="NEW"),"",COUNTBLANK(OFFSET(A$1,,,SUMPRODUCT(MAX(ROW(E$2:E3093)*(E3093=E$2:E3093)))))-COUNTBLANK(OFFSET(A$1,,,SUMPRODUCT(MAX(ROW(E$1:E3092)*(E2=E$1:E3092))))))</f>
        <v> </v>
      </c>
      <c r="K3093" s="25" t="str">
        <f>IF(OR(E3093="",E3093="!!!",F3093="NEW"),"",INDEX(J$1:J3092,SUMPRODUCT(MAX(ROW(E$1:E3092)*(E3093=E$1:E3092)))))</f>
        <v> </v>
      </c>
      <c r="L3093" s="26"/>
    </row>
    <row r="3094" spans="1:12">
      <c r="A3094" s="20" t="s">
        <v>617</v>
      </c>
      <c r="E3094" s="21">
        <f>IF(D3094="?OLD","!!!","")</f>
        <v/>
      </c>
      <c r="F3094" s="22" t="str">
        <f>IF(OR(E3094="",E3094="!!!"),"",IF(NOT(ISNA(VLOOKUP(E3094,E$1:E3093,1,FALSE()))),"OLD",IF(AND(E3094&lt;&gt;"",E3094&lt;&gt;"!!!"),"NEW","")))</f>
        <v> </v>
      </c>
      <c r="G3094" s="23" t="str">
        <f>IF(OR(E3094="",E3094="!!!"),"",IF(OR(J3094=0,AND(J3094=1,K3094=1),AND(J3094=1,I3094="SBJ"),AND(J3094=1,I3094=0)),"?IN_FOCUS",IF(J3094&lt;=2,"?ACTIVATED",IF(J3094&lt;&gt;"","?FAMILIAR",IF(F3094="NEW",IF(ISNA(VLOOKUP(E3094,#REF!,1,FALSE())),"?TYPE_IDENTIFIABLE","?REFERENTIAL"),"_")))))</f>
        <v> </v>
      </c>
      <c r="H3094" s="24" t="str">
        <f>IF(J3094&lt;&gt;1,"",IF(I3094="SBJ","CB","?"))</f>
        <v> </v>
      </c>
      <c r="I3094" s="25" t="str">
        <f>IF(OR(E3094="",E3094="!!!",F3094="NEW"),"",INDEX(B3093:B$2,-1+SUMPRODUCT(MAX(ROW(E3093:E$2)*(E3094=E3093:E$2)))))</f>
        <v> </v>
      </c>
      <c r="J3094" s="25" t="str">
        <f>IF(OR(E3094="",E3094="!!!",F3094="NEW"),"",COUNTBLANK(OFFSET(A$1,,,SUMPRODUCT(MAX(ROW(E$2:E3094)*(E3094=E$2:E3094)))))-COUNTBLANK(OFFSET(A$1,,,SUMPRODUCT(MAX(ROW(E$1:E3093)*(E2=E$1:E3093))))))</f>
        <v> </v>
      </c>
      <c r="K3094" s="25" t="str">
        <f>IF(OR(E3094="",E3094="!!!",F3094="NEW"),"",INDEX(J$1:J3093,SUMPRODUCT(MAX(ROW(E$1:E3093)*(E3094=E$1:E3093)))))</f>
        <v> </v>
      </c>
      <c r="L3094" s="26"/>
    </row>
    <row r="3095" spans="1:12">
      <c r="A3095" s="20" t="s">
        <v>856</v>
      </c>
      <c r="B3095" s="27" t="s">
        <v>668</v>
      </c>
      <c r="C3095" s="27" t="s">
        <v>637</v>
      </c>
      <c r="D3095" s="27" t="s">
        <v>608</v>
      </c>
      <c r="E3095" s="21">
        <f>IF(D3095="?OLD","!!!","")</f>
        <v/>
      </c>
      <c r="F3095" s="22" t="str">
        <f>IF(OR(E3095="",E3095="!!!"),"",IF(NOT(ISNA(VLOOKUP(E3095,E$1:E3094,1,FALSE()))),"OLD",IF(AND(E3095&lt;&gt;"",E3095&lt;&gt;"!!!"),"NEW","")))</f>
        <v> </v>
      </c>
      <c r="G3095" s="23" t="str">
        <f>IF(OR(E3095="",E3095="!!!"),"",IF(OR(J3095=0,AND(J3095=1,K3095=1),AND(J3095=1,I3095="SBJ"),AND(J3095=1,I3095=0)),"?IN_FOCUS",IF(J3095&lt;=2,"?ACTIVATED",IF(J3095&lt;&gt;"","?FAMILIAR",IF(F3095="NEW",IF(ISNA(VLOOKUP(E3095,#REF!,1,FALSE())),"?TYPE_IDENTIFIABLE","?REFERENTIAL"),"_")))))</f>
        <v> </v>
      </c>
      <c r="H3095" s="24" t="str">
        <f>IF(J3095&lt;&gt;1,"",IF(I3095="SBJ","CB","?"))</f>
        <v> </v>
      </c>
      <c r="I3095" s="25" t="str">
        <f>IF(OR(E3095="",E3095="!!!",F3095="NEW"),"",INDEX(B3094:B$2,-1+SUMPRODUCT(MAX(ROW(E3094:E$2)*(E3095=E3094:E$2)))))</f>
        <v> </v>
      </c>
      <c r="J3095" s="25" t="str">
        <f>IF(OR(E3095="",E3095="!!!",F3095="NEW"),"",COUNTBLANK(OFFSET(A$1,,,SUMPRODUCT(MAX(ROW(E$2:E3095)*(E3095=E$2:E3095)))))-COUNTBLANK(OFFSET(A$1,,,SUMPRODUCT(MAX(ROW(E$1:E3094)*(E2=E$1:E3094))))))</f>
        <v> </v>
      </c>
      <c r="K3095" s="25" t="str">
        <f>IF(OR(E3095="",E3095="!!!",F3095="NEW"),"",INDEX(J$1:J3094,SUMPRODUCT(MAX(ROW(E$1:E3094)*(E3095=E$1:E3094)))))</f>
        <v> </v>
      </c>
      <c r="L3095" s="26"/>
    </row>
    <row r="3096" spans="1:12">
      <c r="A3096" s="20" t="s">
        <v>612</v>
      </c>
      <c r="E3096" s="21">
        <f>IF(D3096="?OLD","!!!","")</f>
        <v/>
      </c>
      <c r="F3096" s="22" t="str">
        <f>IF(OR(E3096="",E3096="!!!"),"",IF(NOT(ISNA(VLOOKUP(E3096,E$1:E3095,1,FALSE()))),"OLD",IF(AND(E3096&lt;&gt;"",E3096&lt;&gt;"!!!"),"NEW","")))</f>
        <v> </v>
      </c>
      <c r="G3096" s="23" t="str">
        <f>IF(OR(E3096="",E3096="!!!"),"",IF(OR(J3096=0,AND(J3096=1,K3096=1),AND(J3096=1,I3096="SBJ"),AND(J3096=1,I3096=0)),"?IN_FOCUS",IF(J3096&lt;=2,"?ACTIVATED",IF(J3096&lt;&gt;"","?FAMILIAR",IF(F3096="NEW",IF(ISNA(VLOOKUP(E3096,#REF!,1,FALSE())),"?TYPE_IDENTIFIABLE","?REFERENTIAL"),"_")))))</f>
        <v> </v>
      </c>
      <c r="H3096" s="24" t="str">
        <f>IF(J3096&lt;&gt;1,"",IF(I3096="SBJ","CB","?"))</f>
        <v> </v>
      </c>
      <c r="I3096" s="25" t="str">
        <f>IF(OR(E3096="",E3096="!!!",F3096="NEW"),"",INDEX(B3095:B$2,-1+SUMPRODUCT(MAX(ROW(E3095:E$2)*(E3096=E3095:E$2)))))</f>
        <v> </v>
      </c>
      <c r="J3096" s="25" t="str">
        <f>IF(OR(E3096="",E3096="!!!",F3096="NEW"),"",COUNTBLANK(OFFSET(A$1,,,SUMPRODUCT(MAX(ROW(E$2:E3096)*(E3096=E$2:E3096)))))-COUNTBLANK(OFFSET(A$1,,,SUMPRODUCT(MAX(ROW(E$1:E3095)*(E2=E$1:E3095))))))</f>
        <v> </v>
      </c>
      <c r="K3096" s="25" t="str">
        <f>IF(OR(E3096="",E3096="!!!",F3096="NEW"),"",INDEX(J$1:J3095,SUMPRODUCT(MAX(ROW(E$1:E3095)*(E3096=E$1:E3095)))))</f>
        <v> </v>
      </c>
      <c r="L3096" s="26"/>
    </row>
    <row r="3097" spans="1:12">
      <c r="A3097" s="20" t="s">
        <v>609</v>
      </c>
      <c r="E3097" s="21">
        <f>IF(D3097="?OLD","!!!","")</f>
        <v/>
      </c>
      <c r="F3097" s="22" t="str">
        <f>IF(OR(E3097="",E3097="!!!"),"",IF(NOT(ISNA(VLOOKUP(E3097,E$1:E3096,1,FALSE()))),"OLD",IF(AND(E3097&lt;&gt;"",E3097&lt;&gt;"!!!"),"NEW","")))</f>
        <v> </v>
      </c>
      <c r="G3097" s="23" t="str">
        <f>IF(OR(E3097="",E3097="!!!"),"",IF(OR(J3097=0,AND(J3097=1,K3097=1),AND(J3097=1,I3097="SBJ"),AND(J3097=1,I3097=0)),"?IN_FOCUS",IF(J3097&lt;=2,"?ACTIVATED",IF(J3097&lt;&gt;"","?FAMILIAR",IF(F3097="NEW",IF(ISNA(VLOOKUP(E3097,#REF!,1,FALSE())),"?TYPE_IDENTIFIABLE","?REFERENTIAL"),"_")))))</f>
        <v> </v>
      </c>
      <c r="H3097" s="24" t="str">
        <f>IF(J3097&lt;&gt;1,"",IF(I3097="SBJ","CB","?"))</f>
        <v> </v>
      </c>
      <c r="I3097" s="25" t="str">
        <f>IF(OR(E3097="",E3097="!!!",F3097="NEW"),"",INDEX(B3096:B$2,-1+SUMPRODUCT(MAX(ROW(E3096:E$2)*(E3097=E3096:E$2)))))</f>
        <v> </v>
      </c>
      <c r="J3097" s="25" t="str">
        <f>IF(OR(E3097="",E3097="!!!",F3097="NEW"),"",COUNTBLANK(OFFSET(A$1,,,SUMPRODUCT(MAX(ROW(E$2:E3097)*(E3097=E$2:E3097)))))-COUNTBLANK(OFFSET(A$1,,,SUMPRODUCT(MAX(ROW(E$1:E3096)*(E2=E$1:E3096))))))</f>
        <v> </v>
      </c>
      <c r="K3097" s="25" t="str">
        <f>IF(OR(E3097="",E3097="!!!",F3097="NEW"),"",INDEX(J$1:J3096,SUMPRODUCT(MAX(ROW(E$1:E3096)*(E3097=E$1:E3096)))))</f>
        <v> </v>
      </c>
      <c r="L3097" s="26"/>
    </row>
    <row r="3098" spans="1:12">
      <c r="A3098" s="20" t="s">
        <v>1638</v>
      </c>
      <c r="E3098" s="21">
        <f>IF(D3098="?OLD","!!!","")</f>
        <v/>
      </c>
      <c r="F3098" s="22" t="str">
        <f>IF(OR(E3098="",E3098="!!!"),"",IF(NOT(ISNA(VLOOKUP(E3098,E$1:E3097,1,FALSE()))),"OLD",IF(AND(E3098&lt;&gt;"",E3098&lt;&gt;"!!!"),"NEW","")))</f>
        <v> </v>
      </c>
      <c r="G3098" s="23" t="str">
        <f>IF(OR(E3098="",E3098="!!!"),"",IF(OR(J3098=0,AND(J3098=1,K3098=1),AND(J3098=1,I3098="SBJ"),AND(J3098=1,I3098=0)),"?IN_FOCUS",IF(J3098&lt;=2,"?ACTIVATED",IF(J3098&lt;&gt;"","?FAMILIAR",IF(F3098="NEW",IF(ISNA(VLOOKUP(E3098,#REF!,1,FALSE())),"?TYPE_IDENTIFIABLE","?REFERENTIAL"),"_")))))</f>
        <v> </v>
      </c>
      <c r="H3098" s="24" t="str">
        <f>IF(J3098&lt;&gt;1,"",IF(I3098="SBJ","CB","?"))</f>
        <v> </v>
      </c>
      <c r="I3098" s="25" t="str">
        <f>IF(OR(E3098="",E3098="!!!",F3098="NEW"),"",INDEX(B3097:B$2,-1+SUMPRODUCT(MAX(ROW(E3097:E$2)*(E3098=E3097:E$2)))))</f>
        <v> </v>
      </c>
      <c r="J3098" s="25" t="str">
        <f>IF(OR(E3098="",E3098="!!!",F3098="NEW"),"",COUNTBLANK(OFFSET(A$1,,,SUMPRODUCT(MAX(ROW(E$2:E3098)*(E3098=E$2:E3098)))))-COUNTBLANK(OFFSET(A$1,,,SUMPRODUCT(MAX(ROW(E$1:E3097)*(E2=E$1:E3097))))))</f>
        <v> </v>
      </c>
      <c r="K3098" s="25" t="str">
        <f>IF(OR(E3098="",E3098="!!!",F3098="NEW"),"",INDEX(J$1:J3097,SUMPRODUCT(MAX(ROW(E$1:E3097)*(E3098=E$1:E3097)))))</f>
        <v> </v>
      </c>
      <c r="L3098" s="26"/>
    </row>
    <row r="3099" spans="1:12">
      <c r="A3099" s="20" t="s">
        <v>1639</v>
      </c>
      <c r="E3099" s="21">
        <f>IF(D3099="?OLD","!!!","")</f>
        <v/>
      </c>
      <c r="F3099" s="22" t="str">
        <f>IF(OR(E3099="",E3099="!!!"),"",IF(NOT(ISNA(VLOOKUP(E3099,E$1:E3098,1,FALSE()))),"OLD",IF(AND(E3099&lt;&gt;"",E3099&lt;&gt;"!!!"),"NEW","")))</f>
        <v> </v>
      </c>
      <c r="G3099" s="23" t="str">
        <f>IF(OR(E3099="",E3099="!!!"),"",IF(OR(J3099=0,AND(J3099=1,K3099=1),AND(J3099=1,I3099="SBJ"),AND(J3099=1,I3099=0)),"?IN_FOCUS",IF(J3099&lt;=2,"?ACTIVATED",IF(J3099&lt;&gt;"","?FAMILIAR",IF(F3099="NEW",IF(ISNA(VLOOKUP(E3099,#REF!,1,FALSE())),"?TYPE_IDENTIFIABLE","?REFERENTIAL"),"_")))))</f>
        <v> </v>
      </c>
      <c r="H3099" s="24" t="str">
        <f>IF(J3099&lt;&gt;1,"",IF(I3099="SBJ","CB","?"))</f>
        <v> </v>
      </c>
      <c r="I3099" s="25" t="str">
        <f>IF(OR(E3099="",E3099="!!!",F3099="NEW"),"",INDEX(B3098:B$2,-1+SUMPRODUCT(MAX(ROW(E3098:E$2)*(E3099=E3098:E$2)))))</f>
        <v> </v>
      </c>
      <c r="J3099" s="25" t="str">
        <f>IF(OR(E3099="",E3099="!!!",F3099="NEW"),"",COUNTBLANK(OFFSET(A$1,,,SUMPRODUCT(MAX(ROW(E$2:E3099)*(E3099=E$2:E3099)))))-COUNTBLANK(OFFSET(A$1,,,SUMPRODUCT(MAX(ROW(E$1:E3098)*(E2=E$1:E3098))))))</f>
        <v> </v>
      </c>
      <c r="K3099" s="25" t="str">
        <f>IF(OR(E3099="",E3099="!!!",F3099="NEW"),"",INDEX(J$1:J3098,SUMPRODUCT(MAX(ROW(E$1:E3098)*(E3099=E$1:E3098)))))</f>
        <v> </v>
      </c>
      <c r="L3099" s="26"/>
    </row>
    <row r="3100" spans="1:12">
      <c r="A3100" s="20" t="s">
        <v>1640</v>
      </c>
      <c r="B3100" s="27" t="s">
        <v>611</v>
      </c>
      <c r="C3100" s="27" t="s">
        <v>607</v>
      </c>
      <c r="D3100" s="27" t="s">
        <v>608</v>
      </c>
      <c r="E3100" s="21">
        <f>IF(D3100="?OLD","!!!","")</f>
        <v/>
      </c>
      <c r="F3100" s="22" t="str">
        <f>IF(OR(E3100="",E3100="!!!"),"",IF(NOT(ISNA(VLOOKUP(E3100,E$1:E3099,1,FALSE()))),"OLD",IF(AND(E3100&lt;&gt;"",E3100&lt;&gt;"!!!"),"NEW","")))</f>
        <v> </v>
      </c>
      <c r="G3100" s="23" t="str">
        <f>IF(OR(E3100="",E3100="!!!"),"",IF(OR(J3100=0,AND(J3100=1,K3100=1),AND(J3100=1,I3100="SBJ"),AND(J3100=1,I3100=0)),"?IN_FOCUS",IF(J3100&lt;=2,"?ACTIVATED",IF(J3100&lt;&gt;"","?FAMILIAR",IF(F3100="NEW",IF(ISNA(VLOOKUP(E3100,#REF!,1,FALSE())),"?TYPE_IDENTIFIABLE","?REFERENTIAL"),"_")))))</f>
        <v> </v>
      </c>
      <c r="H3100" s="24" t="str">
        <f>IF(J3100&lt;&gt;1,"",IF(I3100="SBJ","CB","?"))</f>
        <v> </v>
      </c>
      <c r="I3100" s="25" t="str">
        <f>IF(OR(E3100="",E3100="!!!",F3100="NEW"),"",INDEX(B3099:B$2,-1+SUMPRODUCT(MAX(ROW(E3099:E$2)*(E3100=E3099:E$2)))))</f>
        <v> </v>
      </c>
      <c r="J3100" s="25" t="str">
        <f>IF(OR(E3100="",E3100="!!!",F3100="NEW"),"",COUNTBLANK(OFFSET(A$1,,,SUMPRODUCT(MAX(ROW(E$2:E3100)*(E3100=E$2:E3100)))))-COUNTBLANK(OFFSET(A$1,,,SUMPRODUCT(MAX(ROW(E$1:E3099)*(E2=E$1:E3099))))))</f>
        <v> </v>
      </c>
      <c r="K3100" s="25" t="str">
        <f>IF(OR(E3100="",E3100="!!!",F3100="NEW"),"",INDEX(J$1:J3099,SUMPRODUCT(MAX(ROW(E$1:E3099)*(E3100=E$1:E3099)))))</f>
        <v> </v>
      </c>
      <c r="L3100" s="26"/>
    </row>
    <row r="3101" spans="1:12">
      <c r="A3101" s="20" t="s">
        <v>1264</v>
      </c>
      <c r="E3101" s="21">
        <f>IF(D3101="?OLD","!!!","")</f>
        <v/>
      </c>
      <c r="F3101" s="22" t="str">
        <f>IF(OR(E3101="",E3101="!!!"),"",IF(NOT(ISNA(VLOOKUP(E3101,E$1:E3100,1,FALSE()))),"OLD",IF(AND(E3101&lt;&gt;"",E3101&lt;&gt;"!!!"),"NEW","")))</f>
        <v> </v>
      </c>
      <c r="G3101" s="23" t="str">
        <f>IF(OR(E3101="",E3101="!!!"),"",IF(OR(J3101=0,AND(J3101=1,K3101=1),AND(J3101=1,I3101="SBJ"),AND(J3101=1,I3101=0)),"?IN_FOCUS",IF(J3101&lt;=2,"?ACTIVATED",IF(J3101&lt;&gt;"","?FAMILIAR",IF(F3101="NEW",IF(ISNA(VLOOKUP(E3101,#REF!,1,FALSE())),"?TYPE_IDENTIFIABLE","?REFERENTIAL"),"_")))))</f>
        <v> </v>
      </c>
      <c r="H3101" s="24" t="str">
        <f>IF(J3101&lt;&gt;1,"",IF(I3101="SBJ","CB","?"))</f>
        <v> </v>
      </c>
      <c r="I3101" s="25" t="str">
        <f>IF(OR(E3101="",E3101="!!!",F3101="NEW"),"",INDEX(B3100:B$2,-1+SUMPRODUCT(MAX(ROW(E3100:E$2)*(E3101=E3100:E$2)))))</f>
        <v> </v>
      </c>
      <c r="J3101" s="25" t="str">
        <f>IF(OR(E3101="",E3101="!!!",F3101="NEW"),"",COUNTBLANK(OFFSET(A$1,,,SUMPRODUCT(MAX(ROW(E$2:E3101)*(E3101=E$2:E3101)))))-COUNTBLANK(OFFSET(A$1,,,SUMPRODUCT(MAX(ROW(E$1:E3100)*(E2=E$1:E3100))))))</f>
        <v> </v>
      </c>
      <c r="K3101" s="25" t="str">
        <f>IF(OR(E3101="",E3101="!!!",F3101="NEW"),"",INDEX(J$1:J3100,SUMPRODUCT(MAX(ROW(E$1:E3100)*(E3101=E$1:E3100)))))</f>
        <v> </v>
      </c>
      <c r="L3101" s="26"/>
    </row>
    <row r="3102" spans="1:12">
      <c r="A3102" s="20" t="s">
        <v>1641</v>
      </c>
      <c r="E3102" s="21">
        <f>IF(D3102="?OLD","!!!","")</f>
        <v/>
      </c>
      <c r="F3102" s="22" t="str">
        <f>IF(OR(E3102="",E3102="!!!"),"",IF(NOT(ISNA(VLOOKUP(E3102,E$1:E3101,1,FALSE()))),"OLD",IF(AND(E3102&lt;&gt;"",E3102&lt;&gt;"!!!"),"NEW","")))</f>
        <v> </v>
      </c>
      <c r="G3102" s="23" t="str">
        <f>IF(OR(E3102="",E3102="!!!"),"",IF(OR(J3102=0,AND(J3102=1,K3102=1),AND(J3102=1,I3102="SBJ"),AND(J3102=1,I3102=0)),"?IN_FOCUS",IF(J3102&lt;=2,"?ACTIVATED",IF(J3102&lt;&gt;"","?FAMILIAR",IF(F3102="NEW",IF(ISNA(VLOOKUP(E3102,#REF!,1,FALSE())),"?TYPE_IDENTIFIABLE","?REFERENTIAL"),"_")))))</f>
        <v> </v>
      </c>
      <c r="H3102" s="24" t="str">
        <f>IF(J3102&lt;&gt;1,"",IF(I3102="SBJ","CB","?"))</f>
        <v> </v>
      </c>
      <c r="I3102" s="25" t="str">
        <f>IF(OR(E3102="",E3102="!!!",F3102="NEW"),"",INDEX(B3101:B$2,-1+SUMPRODUCT(MAX(ROW(E3101:E$2)*(E3102=E3101:E$2)))))</f>
        <v> </v>
      </c>
      <c r="J3102" s="25" t="str">
        <f>IF(OR(E3102="",E3102="!!!",F3102="NEW"),"",COUNTBLANK(OFFSET(A$1,,,SUMPRODUCT(MAX(ROW(E$2:E3102)*(E3102=E$2:E3102)))))-COUNTBLANK(OFFSET(A$1,,,SUMPRODUCT(MAX(ROW(E$1:E3101)*(E2=E$1:E3101))))))</f>
        <v> </v>
      </c>
      <c r="K3102" s="25" t="str">
        <f>IF(OR(E3102="",E3102="!!!",F3102="NEW"),"",INDEX(J$1:J3101,SUMPRODUCT(MAX(ROW(E$1:E3101)*(E3102=E$1:E3101)))))</f>
        <v> </v>
      </c>
      <c r="L3102" s="26"/>
    </row>
    <row r="3103" spans="1:12">
      <c r="A3103" s="20" t="s">
        <v>633</v>
      </c>
      <c r="E3103" s="21">
        <f>IF(D3103="?OLD","!!!","")</f>
        <v/>
      </c>
      <c r="F3103" s="22" t="str">
        <f>IF(OR(E3103="",E3103="!!!"),"",IF(NOT(ISNA(VLOOKUP(E3103,E$1:E3102,1,FALSE()))),"OLD",IF(AND(E3103&lt;&gt;"",E3103&lt;&gt;"!!!"),"NEW","")))</f>
        <v> </v>
      </c>
      <c r="G3103" s="23" t="str">
        <f>IF(OR(E3103="",E3103="!!!"),"",IF(OR(J3103=0,AND(J3103=1,K3103=1),AND(J3103=1,I3103="SBJ"),AND(J3103=1,I3103=0)),"?IN_FOCUS",IF(J3103&lt;=2,"?ACTIVATED",IF(J3103&lt;&gt;"","?FAMILIAR",IF(F3103="NEW",IF(ISNA(VLOOKUP(E3103,#REF!,1,FALSE())),"?TYPE_IDENTIFIABLE","?REFERENTIAL"),"_")))))</f>
        <v> </v>
      </c>
      <c r="H3103" s="24" t="str">
        <f>IF(J3103&lt;&gt;1,"",IF(I3103="SBJ","CB","?"))</f>
        <v> </v>
      </c>
      <c r="I3103" s="25" t="str">
        <f>IF(OR(E3103="",E3103="!!!",F3103="NEW"),"",INDEX(B3102:B$2,-1+SUMPRODUCT(MAX(ROW(E3102:E$2)*(E3103=E3102:E$2)))))</f>
        <v> </v>
      </c>
      <c r="J3103" s="25" t="str">
        <f>IF(OR(E3103="",E3103="!!!",F3103="NEW"),"",COUNTBLANK(OFFSET(A$1,,,SUMPRODUCT(MAX(ROW(E$2:E3103)*(E3103=E$2:E3103)))))-COUNTBLANK(OFFSET(A$1,,,SUMPRODUCT(MAX(ROW(E$1:E3102)*(E2=E$1:E3102))))))</f>
        <v> </v>
      </c>
      <c r="K3103" s="25" t="str">
        <f>IF(OR(E3103="",E3103="!!!",F3103="NEW"),"",INDEX(J$1:J3102,SUMPRODUCT(MAX(ROW(E$1:E3102)*(E3103=E$1:E3102)))))</f>
        <v> </v>
      </c>
      <c r="L3103" s="26"/>
    </row>
    <row r="3104" spans="1:12">
      <c r="A3104" s="20"/>
    </row>
    <row r="3105" spans="1:12">
      <c r="A3105" s="20" t="s">
        <v>1642</v>
      </c>
    </row>
    <row r="3106" spans="1:12">
      <c r="A3106" s="20" t="s">
        <v>1643</v>
      </c>
      <c r="E3106" s="21">
        <f>IF(D3106="?OLD","!!!","")</f>
        <v/>
      </c>
      <c r="F3106" s="22" t="str">
        <f>IF(OR(E3106="",E3106="!!!"),"",IF(NOT(ISNA(VLOOKUP(E3106,E$1:E3105,1,FALSE()))),"OLD",IF(AND(E3106&lt;&gt;"",E3106&lt;&gt;"!!!"),"NEW","")))</f>
        <v> </v>
      </c>
      <c r="G3106" s="23" t="str">
        <f>IF(OR(E3106="",E3106="!!!"),"",IF(OR(J3106=0,AND(J3106=1,K3106=1),AND(J3106=1,I3106="SBJ"),AND(J3106=1,I3106=0)),"?IN_FOCUS",IF(J3106&lt;=2,"?ACTIVATED",IF(J3106&lt;&gt;"","?FAMILIAR",IF(F3106="NEW",IF(ISNA(VLOOKUP(E3106,#REF!,1,FALSE())),"?TYPE_IDENTIFIABLE","?REFERENTIAL"),"_")))))</f>
        <v> </v>
      </c>
      <c r="H3106" s="24" t="str">
        <f>IF(J3106&lt;&gt;1,"",IF(I3106="SBJ","CB","?"))</f>
        <v> </v>
      </c>
      <c r="I3106" s="25" t="str">
        <f>IF(OR(E3106="",E3106="!!!",F3106="NEW"),"",INDEX(B3105:B$2,-1+SUMPRODUCT(MAX(ROW(E3105:E$2)*(E3106=E3105:E$2)))))</f>
        <v> </v>
      </c>
      <c r="J3106" s="25" t="str">
        <f>IF(OR(E3106="",E3106="!!!",F3106="NEW"),"",COUNTBLANK(OFFSET(A$1,,,SUMPRODUCT(MAX(ROW(E$2:E3106)*(E3106=E$2:E3106)))))-COUNTBLANK(OFFSET(A$1,,,SUMPRODUCT(MAX(ROW(E$1:E3105)*(E2=E$1:E3105))))))</f>
        <v> </v>
      </c>
      <c r="K3106" s="25" t="str">
        <f>IF(OR(E3106="",E3106="!!!",F3106="NEW"),"",INDEX(J$1:J3105,SUMPRODUCT(MAX(ROW(E$1:E3105)*(E3106=E$1:E3105)))))</f>
        <v> </v>
      </c>
      <c r="L3106" s="26"/>
    </row>
    <row r="3107" spans="1:12">
      <c r="A3107" s="20" t="s">
        <v>583</v>
      </c>
      <c r="B3107" s="27" t="s">
        <v>606</v>
      </c>
      <c r="C3107" s="27" t="s">
        <v>678</v>
      </c>
      <c r="E3107" s="21">
        <f>IF(D3107="?OLD","!!!","")</f>
        <v/>
      </c>
      <c r="F3107" s="22" t="str">
        <f>IF(OR(E3107="",E3107="!!!"),"",IF(NOT(ISNA(VLOOKUP(E3107,E$1:E3106,1,FALSE()))),"OLD",IF(AND(E3107&lt;&gt;"",E3107&lt;&gt;"!!!"),"NEW","")))</f>
        <v> </v>
      </c>
      <c r="G3107" s="23" t="str">
        <f>IF(OR(E3107="",E3107="!!!"),"",IF(OR(J3107=0,AND(J3107=1,K3107=1),AND(J3107=1,I3107="SBJ"),AND(J3107=1,I3107=0)),"?IN_FOCUS",IF(J3107&lt;=2,"?ACTIVATED",IF(J3107&lt;&gt;"","?FAMILIAR",IF(F3107="NEW",IF(ISNA(VLOOKUP(E3107,#REF!,1,FALSE())),"?TYPE_IDENTIFIABLE","?REFERENTIAL"),"_")))))</f>
        <v> </v>
      </c>
      <c r="H3107" s="24" t="str">
        <f>IF(J3107&lt;&gt;1,"",IF(I3107="SBJ","CB","?"))</f>
        <v> </v>
      </c>
      <c r="I3107" s="25" t="str">
        <f>IF(OR(E3107="",E3107="!!!",F3107="NEW"),"",INDEX(B3106:B$2,-1+SUMPRODUCT(MAX(ROW(E3106:E$2)*(E3107=E3106:E$2)))))</f>
        <v> </v>
      </c>
      <c r="J3107" s="25" t="str">
        <f>IF(OR(E3107="",E3107="!!!",F3107="NEW"),"",COUNTBLANK(OFFSET(A$1,,,SUMPRODUCT(MAX(ROW(E$2:E3107)*(E3107=E$2:E3107)))))-COUNTBLANK(OFFSET(A$1,,,SUMPRODUCT(MAX(ROW(E$1:E3106)*(E2=E$1:E3106))))))</f>
        <v> </v>
      </c>
      <c r="K3107" s="25" t="str">
        <f>IF(OR(E3107="",E3107="!!!",F3107="NEW"),"",INDEX(J$1:J3106,SUMPRODUCT(MAX(ROW(E$1:E3106)*(E3107=E$1:E3106)))))</f>
        <v> </v>
      </c>
      <c r="L3107" s="26"/>
    </row>
    <row r="3108" spans="1:12">
      <c r="A3108" s="20" t="s">
        <v>633</v>
      </c>
      <c r="E3108" s="21">
        <f>IF(D3108="?OLD","!!!","")</f>
        <v/>
      </c>
      <c r="F3108" s="22" t="str">
        <f>IF(OR(E3108="",E3108="!!!"),"",IF(NOT(ISNA(VLOOKUP(E3108,E$1:E3107,1,FALSE()))),"OLD",IF(AND(E3108&lt;&gt;"",E3108&lt;&gt;"!!!"),"NEW","")))</f>
        <v> </v>
      </c>
      <c r="G3108" s="23" t="str">
        <f>IF(OR(E3108="",E3108="!!!"),"",IF(OR(J3108=0,AND(J3108=1,K3108=1),AND(J3108=1,I3108="SBJ"),AND(J3108=1,I3108=0)),"?IN_FOCUS",IF(J3108&lt;=2,"?ACTIVATED",IF(J3108&lt;&gt;"","?FAMILIAR",IF(F3108="NEW",IF(ISNA(VLOOKUP(E3108,#REF!,1,FALSE())),"?TYPE_IDENTIFIABLE","?REFERENTIAL"),"_")))))</f>
        <v> </v>
      </c>
      <c r="H3108" s="24" t="str">
        <f>IF(J3108&lt;&gt;1,"",IF(I3108="SBJ","CB","?"))</f>
        <v> </v>
      </c>
      <c r="I3108" s="25" t="str">
        <f>IF(OR(E3108="",E3108="!!!",F3108="NEW"),"",INDEX(B3107:B$2,-1+SUMPRODUCT(MAX(ROW(E3107:E$2)*(E3108=E3107:E$2)))))</f>
        <v> </v>
      </c>
      <c r="J3108" s="25" t="str">
        <f>IF(OR(E3108="",E3108="!!!",F3108="NEW"),"",COUNTBLANK(OFFSET(A$1,,,SUMPRODUCT(MAX(ROW(E$2:E3108)*(E3108=E$2:E3108)))))-COUNTBLANK(OFFSET(A$1,,,SUMPRODUCT(MAX(ROW(E$1:E3107)*(E2=E$1:E3107))))))</f>
        <v> </v>
      </c>
      <c r="K3108" s="25" t="str">
        <f>IF(OR(E3108="",E3108="!!!",F3108="NEW"),"",INDEX(J$1:J3107,SUMPRODUCT(MAX(ROW(E$1:E3107)*(E3108=E$1:E3107)))))</f>
        <v> </v>
      </c>
      <c r="L3108" s="26"/>
    </row>
    <row r="3109" spans="1:12">
      <c r="A3109" s="20"/>
    </row>
    <row r="3110" spans="1:12">
      <c r="A3110" s="20" t="s">
        <v>1644</v>
      </c>
    </row>
    <row r="3111" spans="1:12">
      <c r="A3111" s="20" t="s">
        <v>1645</v>
      </c>
      <c r="E3111" s="21">
        <f>IF(D3111="?OLD","!!!","")</f>
        <v/>
      </c>
      <c r="F3111" s="22" t="str">
        <f>IF(OR(E3111="",E3111="!!!"),"",IF(NOT(ISNA(VLOOKUP(E3111,E$1:E3110,1,FALSE()))),"OLD",IF(AND(E3111&lt;&gt;"",E3111&lt;&gt;"!!!"),"NEW","")))</f>
        <v> </v>
      </c>
      <c r="G3111" s="23" t="str">
        <f>IF(OR(E3111="",E3111="!!!"),"",IF(OR(J3111=0,AND(J3111=1,K3111=1),AND(J3111=1,I3111="SBJ"),AND(J3111=1,I3111=0)),"?IN_FOCUS",IF(J3111&lt;=2,"?ACTIVATED",IF(J3111&lt;&gt;"","?FAMILIAR",IF(F3111="NEW",IF(ISNA(VLOOKUP(E3111,#REF!,1,FALSE())),"?TYPE_IDENTIFIABLE","?REFERENTIAL"),"_")))))</f>
        <v> </v>
      </c>
      <c r="H3111" s="24" t="str">
        <f>IF(J3111&lt;&gt;1,"",IF(I3111="SBJ","CB","?"))</f>
        <v> </v>
      </c>
      <c r="I3111" s="25" t="str">
        <f>IF(OR(E3111="",E3111="!!!",F3111="NEW"),"",INDEX(B3110:B$2,-1+SUMPRODUCT(MAX(ROW(E3110:E$2)*(E3111=E3110:E$2)))))</f>
        <v> </v>
      </c>
      <c r="J3111" s="25" t="str">
        <f>IF(OR(E3111="",E3111="!!!",F3111="NEW"),"",COUNTBLANK(OFFSET(A$1,,,SUMPRODUCT(MAX(ROW(E$2:E3111)*(E3111=E$2:E3111)))))-COUNTBLANK(OFFSET(A$1,,,SUMPRODUCT(MAX(ROW(E$1:E3110)*(E2=E$1:E3110))))))</f>
        <v> </v>
      </c>
      <c r="K3111" s="25" t="str">
        <f>IF(OR(E3111="",E3111="!!!",F3111="NEW"),"",INDEX(J$1:J3110,SUMPRODUCT(MAX(ROW(E$1:E3110)*(E3111=E$1:E3110)))))</f>
        <v> </v>
      </c>
      <c r="L3111" s="26"/>
    </row>
    <row r="3112" spans="1:12">
      <c r="A3112" s="20" t="s">
        <v>587</v>
      </c>
      <c r="B3112" s="27" t="s">
        <v>606</v>
      </c>
      <c r="C3112" s="27" t="s">
        <v>631</v>
      </c>
      <c r="D3112" s="27" t="s">
        <v>608</v>
      </c>
      <c r="E3112" s="21">
        <f>IF(D3112="?OLD","!!!","")</f>
        <v/>
      </c>
      <c r="F3112" s="22" t="str">
        <f>IF(OR(E3112="",E3112="!!!"),"",IF(NOT(ISNA(VLOOKUP(E3112,E$1:E3111,1,FALSE()))),"OLD",IF(AND(E3112&lt;&gt;"",E3112&lt;&gt;"!!!"),"NEW","")))</f>
        <v> </v>
      </c>
      <c r="G3112" s="23" t="str">
        <f>IF(OR(E3112="",E3112="!!!"),"",IF(OR(J3112=0,AND(J3112=1,K3112=1),AND(J3112=1,I3112="SBJ"),AND(J3112=1,I3112=0)),"?IN_FOCUS",IF(J3112&lt;=2,"?ACTIVATED",IF(J3112&lt;&gt;"","?FAMILIAR",IF(F3112="NEW",IF(ISNA(VLOOKUP(E3112,#REF!,1,FALSE())),"?TYPE_IDENTIFIABLE","?REFERENTIAL"),"_")))))</f>
        <v> </v>
      </c>
      <c r="H3112" s="24" t="str">
        <f>IF(J3112&lt;&gt;1,"",IF(I3112="SBJ","CB","?"))</f>
        <v> </v>
      </c>
      <c r="I3112" s="25" t="str">
        <f>IF(OR(E3112="",E3112="!!!",F3112="NEW"),"",INDEX(B3111:B$2,-1+SUMPRODUCT(MAX(ROW(E3111:E$2)*(E3112=E3111:E$2)))))</f>
        <v> </v>
      </c>
      <c r="J3112" s="25" t="str">
        <f>IF(OR(E3112="",E3112="!!!",F3112="NEW"),"",COUNTBLANK(OFFSET(A$1,,,SUMPRODUCT(MAX(ROW(E$2:E3112)*(E3112=E$2:E3112)))))-COUNTBLANK(OFFSET(A$1,,,SUMPRODUCT(MAX(ROW(E$1:E3111)*(E2=E$1:E3111))))))</f>
        <v> </v>
      </c>
      <c r="K3112" s="25" t="str">
        <f>IF(OR(E3112="",E3112="!!!",F3112="NEW"),"",INDEX(J$1:J3111,SUMPRODUCT(MAX(ROW(E$1:E3111)*(E3112=E$1:E3111)))))</f>
        <v> </v>
      </c>
      <c r="L3112" s="26"/>
    </row>
    <row r="3113" spans="1:12">
      <c r="A3113" s="20" t="s">
        <v>1646</v>
      </c>
      <c r="E3113" s="21">
        <f>IF(D3113="?OLD","!!!","")</f>
        <v/>
      </c>
      <c r="F3113" s="22" t="str">
        <f>IF(OR(E3113="",E3113="!!!"),"",IF(NOT(ISNA(VLOOKUP(E3113,E$1:E3112,1,FALSE()))),"OLD",IF(AND(E3113&lt;&gt;"",E3113&lt;&gt;"!!!"),"NEW","")))</f>
        <v> </v>
      </c>
      <c r="G3113" s="23" t="str">
        <f>IF(OR(E3113="",E3113="!!!"),"",IF(OR(J3113=0,AND(J3113=1,K3113=1),AND(J3113=1,I3113="SBJ"),AND(J3113=1,I3113=0)),"?IN_FOCUS",IF(J3113&lt;=2,"?ACTIVATED",IF(J3113&lt;&gt;"","?FAMILIAR",IF(F3113="NEW",IF(ISNA(VLOOKUP(E3113,#REF!,1,FALSE())),"?TYPE_IDENTIFIABLE","?REFERENTIAL"),"_")))))</f>
        <v> </v>
      </c>
      <c r="H3113" s="24" t="str">
        <f>IF(J3113&lt;&gt;1,"",IF(I3113="SBJ","CB","?"))</f>
        <v> </v>
      </c>
      <c r="I3113" s="25" t="str">
        <f>IF(OR(E3113="",E3113="!!!",F3113="NEW"),"",INDEX(B3112:B$2,-1+SUMPRODUCT(MAX(ROW(E3112:E$2)*(E3113=E3112:E$2)))))</f>
        <v> </v>
      </c>
      <c r="J3113" s="25" t="str">
        <f>IF(OR(E3113="",E3113="!!!",F3113="NEW"),"",COUNTBLANK(OFFSET(A$1,,,SUMPRODUCT(MAX(ROW(E$2:E3113)*(E3113=E$2:E3113)))))-COUNTBLANK(OFFSET(A$1,,,SUMPRODUCT(MAX(ROW(E$1:E3112)*(E2=E$1:E3112))))))</f>
        <v> </v>
      </c>
      <c r="K3113" s="25" t="str">
        <f>IF(OR(E3113="",E3113="!!!",F3113="NEW"),"",INDEX(J$1:J3112,SUMPRODUCT(MAX(ROW(E$1:E3112)*(E3113=E$1:E3112)))))</f>
        <v> </v>
      </c>
      <c r="L3113" s="26"/>
    </row>
    <row r="3114" spans="1:12">
      <c r="A3114"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2024-05-20T20:25:27Z</dcterms:created>
  <dcterms:modified xsi:type="dcterms:W3CDTF">2024-05-20T20:25:27Z</dcterms:modified>
</cp:coreProperties>
</file>