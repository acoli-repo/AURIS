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<sst xmlns="http://schemas.openxmlformats.org/spreadsheetml/2006/main" count="9670" uniqueCount="2121">
  <si>
    <t>ID</t>
  </si>
  <si>
    <t>PRED_ID</t>
  </si>
  <si>
    <t>MARKER_AUTO</t>
  </si>
  <si>
    <t>PREDICATE</t>
  </si>
  <si>
    <t>TEXT</t>
  </si>
  <si>
    <t>SENTENCE</t>
  </si>
  <si>
    <t>MARKER</t>
  </si>
  <si>
    <t>TARGET</t>
  </si>
  <si>
    <t>RELATION</t>
  </si>
  <si>
    <t>COMMENT</t>
  </si>
  <si>
    <t>1</t>
  </si>
  <si>
    <t>7</t>
  </si>
  <si>
    <t>_</t>
  </si>
  <si>
    <t>stellen</t>
  </si>
  <si>
    <t>&amp;quot; Selbst aus ganz unreligiöser Sicht stellt die Homosexualität eine sexuelle Verfehlung dar .</t>
  </si>
  <si>
    <t>file://conllu/de/teddy-1322.conllu#s1_0</t>
  </si>
  <si>
    <t>2</t>
  </si>
  <si>
    <t>sein (sein Ersatz)</t>
  </si>
  <si>
    <t>Sie ist ein armseliger , minderwertiger Ersatz für die Realität – ein kläglicher Versuch , dem Leben zu entfliehen .</t>
  </si>
  <si>
    <t>file://conllu/de/teddy-1322.conllu#s2_0</t>
  </si>
  <si>
    <t>3</t>
  </si>
  <si>
    <t>20</t>
  </si>
  <si>
    <t>betrachten</t>
  </si>
  <si>
    <t>Als solches verdient sie kein Mitleid , keine Sonderbehandlung als Märtyrium einer Minderheit , und sollte nur als das betrachtet werden , was sie wirklich ist : eine schädliche Krankheit . &amp;quot;</t>
  </si>
  <si>
    <t>file://conllu/de/teddy-1322.conllu#s3_0</t>
  </si>
  <si>
    <t>4</t>
  </si>
  <si>
    <t>schreiben</t>
  </si>
  <si>
    <t>Das schrieb Time Magazine 1966 , als ich drei Jahre alt war .</t>
  </si>
  <si>
    <t>file://conllu/de/teddy-1322.conllu#s4_0</t>
  </si>
  <si>
    <t>5</t>
  </si>
  <si>
    <t>sprechen</t>
  </si>
  <si>
    <t>Und letztes Jahr sprach sich der amerikanische Präsident für die geichgeschlechtliche Ehe aus .</t>
  </si>
  <si>
    <t>file://conllu/de/teddy-1322.conllu#s5_0</t>
  </si>
  <si>
    <t>6</t>
  </si>
  <si>
    <t>sein (sein Frage)</t>
  </si>
  <si>
    <t>( Beifall ) Und meine Frage ist , wie haben wir es so weit gebracht ?</t>
  </si>
  <si>
    <t>file://conllu/de/teddy-1322.conllu#s6_0</t>
  </si>
  <si>
    <t>werden</t>
  </si>
  <si>
    <t>Wie wurde aus einer Krankheit eine Identität ?</t>
  </si>
  <si>
    <t>file://conllu/de/teddy-1322.conllu#s7_0</t>
  </si>
  <si>
    <t>8</t>
  </si>
  <si>
    <t>9</t>
  </si>
  <si>
    <t>gehen</t>
  </si>
  <si>
    <t>Als ich etwa sechs Jahre alt war , ging ich mit meiner Mutter und meinem Bruder Schuhe kaufen .</t>
  </si>
  <si>
    <t>file://conllu/de/teddy-1322.conllu#s8_0</t>
  </si>
  <si>
    <t>10</t>
  </si>
  <si>
    <t>wollen</t>
  </si>
  <si>
    <t>Mein Bruder wollte einen roten , und ich wollte einen rosafarbenen .</t>
  </si>
  <si>
    <t>file://conllu/de/teddy-1322.conllu#s10_0</t>
  </si>
  <si>
    <t>11</t>
  </si>
  <si>
    <t>meinen</t>
  </si>
  <si>
    <t>Meine Mutter meinte , ich solte doch lieber einen blauen Luftballon haben .</t>
  </si>
  <si>
    <t>file://conllu/de/teddy-1322.conllu#s11_0</t>
  </si>
  <si>
    <t>12</t>
  </si>
  <si>
    <t>sagen</t>
  </si>
  <si>
    <t>Aber ich sagte ihr , dass ich ganz bestimmt den rosafarbenen wollte .</t>
  </si>
  <si>
    <t>file://conllu/de/teddy-1322.conllu#s12_0</t>
  </si>
  <si>
    <t>13</t>
  </si>
  <si>
    <t>erinnern</t>
  </si>
  <si>
    <t>Und sie erinnerte mich daran , dass meine Lieblingsfarbe blau sei .</t>
  </si>
  <si>
    <t>file://conllu/de/teddy-1322.conllu#s13_0</t>
  </si>
  <si>
    <t>14</t>
  </si>
  <si>
    <t>22</t>
  </si>
  <si>
    <t>zeigen</t>
  </si>
  <si>
    <t>Die Tatsache , dass meine jetzige Lieblingsfarbe blau ist , aber ich immer noch schwul bin – ( Lachen ) – zeigt sowohl den Einfluss meiner Mutter , als auch dessen Grenzen .</t>
  </si>
  <si>
    <t>file://conllu/de/teddy-1322.conllu#s14_0</t>
  </si>
  <si>
    <t>15</t>
  </si>
  <si>
    <t>( Lachen ) Als ich klein war , sagte meine Mutter immer : &amp;quot; Die Liebe , die du für deine Kinder empfindest , ist einzigartig .</t>
  </si>
  <si>
    <t>file://conllu/de/teddy-1322.conllu#s15_0</t>
  </si>
  <si>
    <t>16</t>
  </si>
  <si>
    <t>Ich meine?</t>
  </si>
  <si>
    <t>verstehen</t>
  </si>
  <si>
    <t>Und bevor du nicht selbst Kinder hast , wirst du nicht verstehen , was ich meine . &amp;quot;</t>
  </si>
  <si>
    <t>file://conllu/de/teddy-1322.conllu#s16_0</t>
  </si>
  <si>
    <t>17</t>
  </si>
  <si>
    <t>nehmen</t>
  </si>
  <si>
    <t>Als Kind nahm ich das als das größte Kompliment , dass sie so ihre Mutterrolle für mich und meinen Bruder beschreiben würde .</t>
  </si>
  <si>
    <t>file://conllu/de/teddy-1322.conllu#s17_0</t>
  </si>
  <si>
    <t>18</t>
  </si>
  <si>
    <t>denken</t>
  </si>
  <si>
    <t>Als Teenager dachte ich , dass ich schwul sei und somit wahrscheinlich keine Familie haben würde .</t>
  </si>
  <si>
    <t>file://conllu/de/teddy-1322.conllu#s18_0</t>
  </si>
  <si>
    <t>19</t>
  </si>
  <si>
    <t>verunsicheren</t>
  </si>
  <si>
    <t>Und es verunsicherte mich , wenn sie es sagte .</t>
  </si>
  <si>
    <t>file://conllu/de/teddy-1322.conllu#s19_0</t>
  </si>
  <si>
    <t>Nachdem?</t>
  </si>
  <si>
    <t>haben</t>
  </si>
  <si>
    <t>Und nachdem ich mein Coming out hatte , und sie fortfuhr , es zu sagen , machte es mich wütend .</t>
  </si>
  <si>
    <t>file://conllu/de/teddy-1322.conllu#s20_0</t>
  </si>
  <si>
    <t>21</t>
  </si>
  <si>
    <t>Ich sagte : &amp;quot; Ich bin schwul .</t>
  </si>
  <si>
    <t>file://conllu/de/teddy-1322.conllu#s21_0</t>
  </si>
  <si>
    <t>sein (sein Weg)</t>
  </si>
  <si>
    <t>Das ist nicht der Weg , auf dem ich mich befinde .</t>
  </si>
  <si>
    <t>file://conllu/de/teddy-1322.conllu#s22_0</t>
  </si>
  <si>
    <t>23</t>
  </si>
  <si>
    <t>mögen</t>
  </si>
  <si>
    <t>Und ich möchte , dass du aufhörst , das zu sagen . &amp;quot;</t>
  </si>
  <si>
    <t>file://conllu/de/teddy-1322.conllu#s23_0</t>
  </si>
  <si>
    <t>24</t>
  </si>
  <si>
    <t>bitten</t>
  </si>
  <si>
    <t>Vor etwa 20 Jahren bat mich meine Redaktion bei der New York Times , einen Artikel über die Gehörlosenkultur zu schreiben .</t>
  </si>
  <si>
    <t>file://conllu/de/teddy-1322.conllu#s24_0</t>
  </si>
  <si>
    <t>25</t>
  </si>
  <si>
    <t>sein (sein verblüffen)</t>
  </si>
  <si>
    <t>Und ich war ziemlich verblüfft .</t>
  </si>
  <si>
    <t>file://conllu/de/teddy-1322.conllu#s25_0</t>
  </si>
  <si>
    <t>26</t>
  </si>
  <si>
    <t>Ich hatte Taubheit immer als eine Krankheit betrachtet .</t>
  </si>
  <si>
    <t>file://conllu/de/teddy-1322.conllu#s26_0</t>
  </si>
  <si>
    <t>27</t>
  </si>
  <si>
    <t>Mensch</t>
  </si>
  <si>
    <t>Diese armen Menschen .</t>
  </si>
  <si>
    <t>file://conllu/de/teddy-1322.conllu#s27_0</t>
  </si>
  <si>
    <t>28</t>
  </si>
  <si>
    <t>hören</t>
  </si>
  <si>
    <t>Sie können nicht hören .</t>
  </si>
  <si>
    <t>file://conllu/de/teddy-1322.conllu#s28_0</t>
  </si>
  <si>
    <t>29</t>
  </si>
  <si>
    <t>sein (sein gehörlos)</t>
  </si>
  <si>
    <t>Sie sind gehörlos .</t>
  </si>
  <si>
    <t>file://conllu/de/teddy-1322.conllu#s29_0</t>
  </si>
  <si>
    <t>30</t>
  </si>
  <si>
    <t>Was?</t>
  </si>
  <si>
    <t>tun</t>
  </si>
  <si>
    <t>Was können wir für sie tun ?</t>
  </si>
  <si>
    <t>file://conllu/de/teddy-1322.conllu#s30_0</t>
  </si>
  <si>
    <t>31</t>
  </si>
  <si>
    <t>begeben</t>
  </si>
  <si>
    <t>Und dann begab ich mich in die Gehörlosenwelt .</t>
  </si>
  <si>
    <t>file://conllu/de/teddy-1322.conllu#s31_0</t>
  </si>
  <si>
    <t>32</t>
  </si>
  <si>
    <t>besuchen</t>
  </si>
  <si>
    <t>Ich besuchte Gehörlosenvereine .</t>
  </si>
  <si>
    <t>file://conllu/de/teddy-1322.conllu#s32_0</t>
  </si>
  <si>
    <t>33</t>
  </si>
  <si>
    <t>Ich ging zu Theateraufführungen und Gedichtvorträgen von Gehörlosen .</t>
  </si>
  <si>
    <t>file://conllu/de/teddy-1322.conllu#s33_0</t>
  </si>
  <si>
    <t>34</t>
  </si>
  <si>
    <t>fahren</t>
  </si>
  <si>
    <t>Und für die Wahl zur zu der &amp;quot; Miss Deaf America &amp;quot; fuhr ich sogar bis nach Nashville , Tennessee , wo sich die Menschen über die undeutliche Zeichensprache der Südstaatler beschwerten .</t>
  </si>
  <si>
    <t>file://conllu/de/teddy-1322.conllu#s34_0</t>
  </si>
  <si>
    <t>35</t>
  </si>
  <si>
    <t>bewussen</t>
  </si>
  <si>
    <t>Und als ich immer mehr in die Gehörlosenwelt eintauchte , wurde mir bewusst , dass Gehörlosigkeit eine Kultur war , und dass die Menschen aus dieser Kultur , die sagten : &amp;quot; Wir sind nicht ' gehör- los ' , sondern Mitglieder einer Kultur &amp;quot; , etwas sagten , das mir etwas gab .</t>
  </si>
  <si>
    <t>file://conllu/de/teddy-1322.conllu#s35_0</t>
  </si>
  <si>
    <t>36</t>
  </si>
  <si>
    <t>sein (sein Kultur)</t>
  </si>
  <si>
    <t>Es war nicht meine Kultur , und ich hatte auch nicht vor , ihr spontan beizutreten , aber ich schätzte , dass es eine Kultur war und es für die Menschen , die ihr angehörten , von so großer Bedeutung war wie die Latino , Schwulen oder jüdische Kultur .</t>
  </si>
  <si>
    <t>file://conllu/de/teddy-1322.conllu#s36_0</t>
  </si>
  <si>
    <t>37</t>
  </si>
  <si>
    <t>scheinen</t>
  </si>
  <si>
    <t>Es schien fast genauso wichtig wie die Amerikanische Kultur .</t>
  </si>
  <si>
    <t>file://conllu/de/teddy-1322.conllu#s37_0</t>
  </si>
  <si>
    <t>38</t>
  </si>
  <si>
    <t>bekommen</t>
  </si>
  <si>
    <t>Dann bekam die Freundin einer Freundin eine kleinwüchsige Tochter .</t>
  </si>
  <si>
    <t>file://conllu/de/teddy-1322.conllu#s38_0</t>
  </si>
  <si>
    <t>39</t>
  </si>
  <si>
    <t>auseinandersetzen</t>
  </si>
  <si>
    <t>Und mit der Geburt ihrer Tochter , musste sie sich plötzlich mit Fragen auseinandersetzen , die nun auch für mich anfingen von großer Bedeutung zu sein .</t>
  </si>
  <si>
    <t>file://conllu/de/teddy-1322.conllu#s39_0</t>
  </si>
  <si>
    <t>40</t>
  </si>
  <si>
    <t>stehen</t>
  </si>
  <si>
    <t>Sie stand vor der Entscheidung , was sie mit diesem Kind tun sollte .</t>
  </si>
  <si>
    <t>file://conllu/de/teddy-1322.conllu#s40_0</t>
  </si>
  <si>
    <t>41</t>
  </si>
  <si>
    <t>Sollte sie sagen : &amp;quot; Du bist genauso wie alle anderen , nur ein bisschen kleiner ? &amp;quot;</t>
  </si>
  <si>
    <t>file://conllu/de/teddy-1322.conllu#s41_0</t>
  </si>
  <si>
    <t>42</t>
  </si>
  <si>
    <t>informieren (informieren versuchen)</t>
  </si>
  <si>
    <t>Oder sollte sie versuchen , eine Art Kleinwüchsigenidentität für sie zu schaffen , sich in der Organisation &amp;quot; Little People of America &amp;quot; zu engagieren , und sich zu informieren , was es Neues in der Welt der Kleinwüchsigen gab ?</t>
  </si>
  <si>
    <t>file://conllu/de/teddy-1322.conllu#s42_0</t>
  </si>
  <si>
    <t>43</t>
  </si>
  <si>
    <t>versuchen (versuchen denken)</t>
  </si>
  <si>
    <t>Und da dachte ich plötzlich , dass die meisten tauben Kinder hörende Eltern haben , und diese in der Regel versuchen , ihre Kinder zu heilen .</t>
  </si>
  <si>
    <t>file://conllu/de/teddy-1322.conllu#s43_0</t>
  </si>
  <si>
    <t>44</t>
  </si>
  <si>
    <t>entdecken</t>
  </si>
  <si>
    <t>Diese tauben Menschen entdecken irgendwann im in dem Erwachsenenalter &amp;quot; Gemeinschaft &amp;quot; für sich .</t>
  </si>
  <si>
    <t>file://conllu/de/teddy-1322.conllu#s44_0</t>
  </si>
  <si>
    <t>45</t>
  </si>
  <si>
    <t>Eltern</t>
  </si>
  <si>
    <t>Die meisten homosexuellen Menschen haben heterosexuelle Eltern .</t>
  </si>
  <si>
    <t>file://conllu/de/teddy-1322.conllu#s45_0</t>
  </si>
  <si>
    <t>46</t>
  </si>
  <si>
    <t>Diese Eltern wollen oft , dass ihre Kinder funktonieren in der in ihrer Sicht normalen Welt , und diese homosexuellen Menschen müssen dann später eine Identität für sich finden .</t>
  </si>
  <si>
    <t>file://conllu/de/teddy-1322.conllu#s46_0</t>
  </si>
  <si>
    <t>47</t>
  </si>
  <si>
    <t>sein (sein auseinandersetzen)</t>
  </si>
  <si>
    <t>Und nun war da diese Freundin von mir , die sich mit ihrer kleinwüchsigen Tochter mit der Frage nach Identität auseinandersetzte .</t>
  </si>
  <si>
    <t>file://conllu/de/teddy-1322.conllu#s47_0</t>
  </si>
  <si>
    <t>48</t>
  </si>
  <si>
    <t>Ich dachte , da ist es wieder : Eine Familie , die sich selbst als normal wahrnimmt mit einem Kind , das außergewöhnlich erscheint .</t>
  </si>
  <si>
    <t>file://conllu/de/teddy-1322.conllu#s48_0</t>
  </si>
  <si>
    <t>49</t>
  </si>
  <si>
    <t>entwickeln</t>
  </si>
  <si>
    <t>Ich entwickelte also diesen Gedanken , dass es in Wirklichkeit zwei Arten von Identität gibt .</t>
  </si>
  <si>
    <t>file://conllu/de/teddy-1322.conllu#s49_0</t>
  </si>
  <si>
    <t>50</t>
  </si>
  <si>
    <t>geben</t>
  </si>
  <si>
    <t>Es gibt vertikale Identitäten , die generationsbedingt von Eltern an ihre Kinder weitergegeben werden .</t>
  </si>
  <si>
    <t>file://conllu/de/teddy-1322.conllu#s50_0</t>
  </si>
  <si>
    <t>51</t>
  </si>
  <si>
    <t>sein (sein Ding)</t>
  </si>
  <si>
    <t>Das sind Dinge wie ethnische Zugehörigkeit , häufig Nationalität , Sprache und oftmals Religion .</t>
  </si>
  <si>
    <t>file://conllu/de/teddy-1322.conllu#s51_0</t>
  </si>
  <si>
    <t>52</t>
  </si>
  <si>
    <t>Ding</t>
  </si>
  <si>
    <t>Dinge , die Sie mit Ihren Eltern und Kindern gemein haben .</t>
  </si>
  <si>
    <t>file://conllu/de/teddy-1322.conllu#s52_0</t>
  </si>
  <si>
    <t>53</t>
  </si>
  <si>
    <t>versuchen</t>
  </si>
  <si>
    <t>Und obwohl einige davon problematisch sein können , versucht man in der Regel nicht , sie zu heilen .</t>
  </si>
  <si>
    <t>file://conllu/de/teddy-1322.conllu#s53_0</t>
  </si>
  <si>
    <t>54</t>
  </si>
  <si>
    <t>argumentieren</t>
  </si>
  <si>
    <t>Man kann argumentieren , dass es in den Vereinigten Staaten schwieriger ist – und das ungeachtet unseres aktuellen Präsidenten – farbig zu sein .</t>
  </si>
  <si>
    <t>file://conllu/de/teddy-1322.conllu#s54_0</t>
  </si>
  <si>
    <t>55</t>
  </si>
  <si>
    <t>Und trotzdem versucht niemand alles daran zu setzen , dass die nächste Generation von Kindern afro- amerikanischer oder asiatischer Eltern mit cremefarbener Haut und blondem Haar auf die Welt kommt .</t>
  </si>
  <si>
    <t>file://conllu/de/teddy-1322.conllu#s55_0</t>
  </si>
  <si>
    <t>56</t>
  </si>
  <si>
    <t>Dann gibt es die anderen Identitäten , die man im in dem Umgang mit Gleichgesinnten erlernt .</t>
  </si>
  <si>
    <t>file://conllu/de/teddy-1322.conllu#s56_0</t>
  </si>
  <si>
    <t>57</t>
  </si>
  <si>
    <t>bezeichne</t>
  </si>
  <si>
    <t>Diese bezeichne ich als horizontale Identitäten , denn der Kontakt zu Gleichgesinnten stellt eine horizontale Erfahrung dar .</t>
  </si>
  <si>
    <t>file://conllu/de/teddy-1322.conllu#s57_0</t>
  </si>
  <si>
    <t>58</t>
  </si>
  <si>
    <t>sein (sein Identität)</t>
  </si>
  <si>
    <t>Das sind Identitäten , die Ihren Eltern fremd sind und die man dann selbst im in dem Umgang mit Gleichgesinnten entdecken muss .</t>
  </si>
  <si>
    <t>file://conllu/de/teddy-1322.conllu#s58_0</t>
  </si>
  <si>
    <t>59</t>
  </si>
  <si>
    <t>Und diese Identitäten , diese horizontalen Identitäten , haben Menschen seit jeher zu heilen versucht .</t>
  </si>
  <si>
    <t>file://conllu/de/teddy-1322.conllu#s59_0</t>
  </si>
  <si>
    <t>60</t>
  </si>
  <si>
    <t>sehen</t>
  </si>
  <si>
    <t>Ich wollte also sehen , wie der Prozess aussieht , mit dem es Leuten , die solche Identitäten besitzen , gelingt , sich mit ihnen zu arrangieren .</t>
  </si>
  <si>
    <t>file://conllu/de/teddy-1322.conllu#s60_0</t>
  </si>
  <si>
    <t>61</t>
  </si>
  <si>
    <t>Und es schien , dass es drei Stufen der Akzeptanz gibt , die alle zum zu dem Tragen kommen mussten .</t>
  </si>
  <si>
    <t>file://conllu/de/teddy-1322.conllu#s61_0</t>
  </si>
  <si>
    <t>62</t>
  </si>
  <si>
    <t>sein (sein Eigenakzeptanz)</t>
  </si>
  <si>
    <t>Da war die Eigenakzeptanz , die Akzeptanz der Familie und die gesellschaftliche Akzeptanz .</t>
  </si>
  <si>
    <t>file://conllu/de/teddy-1322.conllu#s62_0</t>
  </si>
  <si>
    <t>63</t>
  </si>
  <si>
    <t>überschneiden</t>
  </si>
  <si>
    <t>Und die drei überschneiden sich nicht immer .</t>
  </si>
  <si>
    <t>file://conllu/de/teddy-1322.conllu#s63_0</t>
  </si>
  <si>
    <t>64</t>
  </si>
  <si>
    <t>Oft ist es so , dass die Betroffenen voller Wut sind , weil sie das Gefühl haben , dass ihre Eltern sie nicht lieben , dabei ist es in Wahrheit nur so , dass ihre Eltern sie nicht akzeptieren .</t>
  </si>
  <si>
    <t>file://conllu/de/teddy-1322.conllu#s64_0</t>
  </si>
  <si>
    <t>65</t>
  </si>
  <si>
    <t>sein (sein lieb)</t>
  </si>
  <si>
    <t>Liebe ist etwas , das im in dem Idealfall bedingungslos in der Beziehung zwischen Eltern und Kind existiert .</t>
  </si>
  <si>
    <t>file://conllu/de/teddy-1322.conllu#s65_0</t>
  </si>
  <si>
    <t>66</t>
  </si>
  <si>
    <t>sein (sein Akzeptanz)</t>
  </si>
  <si>
    <t>Aber Akzeptanz ist etwas , das seine Zeit braucht .</t>
  </si>
  <si>
    <t>file://conllu/de/teddy-1322.conllu#s66_0</t>
  </si>
  <si>
    <t>67</t>
  </si>
  <si>
    <t>brauchen</t>
  </si>
  <si>
    <t>Es braucht immer Zeit .</t>
  </si>
  <si>
    <t>file://conllu/de/teddy-1322.conllu#s67_0</t>
  </si>
  <si>
    <t>68</t>
  </si>
  <si>
    <t>sein (sein Clinton)</t>
  </si>
  <si>
    <t>Einer der kleinwüchsigen Männer , die ich kennenlernte , war Clinton Brown .</t>
  </si>
  <si>
    <t>file://conllu/de/teddy-1322.conllu#s68_0</t>
  </si>
  <si>
    <t>69</t>
  </si>
  <si>
    <t>diagnostizieren</t>
  </si>
  <si>
    <t>Als er geboren wurde , wurde diastrophischer Zwergwuchs bei ihm diagnostiziert , ein sehr behindernder Zustand , und die Ärzte sagten seinen Eltern , er würde niemals gehen oder sprechen lernen , keine intellektuellen Fähigkeiten entwickeln , und sie wahrscheinlich nicht einmal erkennen .</t>
  </si>
  <si>
    <t>file://conllu/de/teddy-1322.conllu#s69_0</t>
  </si>
  <si>
    <t>70</t>
  </si>
  <si>
    <t>empfehlen</t>
  </si>
  <si>
    <t>Man empfahl ihnen , ihren Sohn im in dem Krankenhaus zurückzulassen , sodass er dort in Ruhe sterben konnte .</t>
  </si>
  <si>
    <t>file://conllu/de/teddy-1322.conllu#s70_0</t>
  </si>
  <si>
    <t>71</t>
  </si>
  <si>
    <t>Und seine Mutter sagte , dass sie das nicht tun würde .</t>
  </si>
  <si>
    <t>file://conllu/de/teddy-1322.conllu#s71_0</t>
  </si>
  <si>
    <t>72</t>
  </si>
  <si>
    <t>Sie nahm ihren Sohn mit nach Hause .</t>
  </si>
  <si>
    <t>file://conllu/de/teddy-1322.conllu#s72_0</t>
  </si>
  <si>
    <t>73</t>
  </si>
  <si>
    <t>finden</t>
  </si>
  <si>
    <t>Und obwohl sie aus erzieherischer oder finanzieller Sicht nicht sehr begünstigt war , fand sie den besten Arzt im in dem Land für die Behandlung von diastrophischem Zwergwuchs , und übergab ihn in seine medizinische Obhut .</t>
  </si>
  <si>
    <t>file://conllu/de/teddy-1322.conllu#s73_0</t>
  </si>
  <si>
    <t>75</t>
  </si>
  <si>
    <t>verbringen</t>
  </si>
  <si>
    <t>Und er verbrachte diese ganze Zeit ausschließlich im in dem Krankenhaus , während er sich diesen Behandlungen unterzog , aufgrund derer er heute gehen kann .</t>
  </si>
  <si>
    <t>file://conllu/de/teddy-1322.conllu#s75_0</t>
  </si>
  <si>
    <t>76</t>
  </si>
  <si>
    <t>schicken</t>
  </si>
  <si>
    <t>Während er dort war , schickten sie Nachhilfelehrer , um ihm bei seinen Hausaufgaben zu helfen .</t>
  </si>
  <si>
    <t>file://conllu/de/teddy-1322.conllu#s76_0</t>
  </si>
  <si>
    <t>77</t>
  </si>
  <si>
    <t>arbeiten</t>
  </si>
  <si>
    <t>Und er arbeitete sehr hart , weil es sonst nicht viel zu tun gab .</t>
  </si>
  <si>
    <t>file://conllu/de/teddy-1322.conllu#s77_0</t>
  </si>
  <si>
    <t>78</t>
  </si>
  <si>
    <t>schaffen</t>
  </si>
  <si>
    <t>Und am an dem Ende schaffte er es auf ein Bildungsniveau , das niemand in seiner Familie je zuvor in Erwägung gezogen hatte .</t>
  </si>
  <si>
    <t>file://conllu/de/teddy-1322.conllu#s78_0</t>
  </si>
  <si>
    <t>79</t>
  </si>
  <si>
    <t>sein (sein erst)</t>
  </si>
  <si>
    <t>Tatsächlich war er der Erste in seiner Familie , der an einer Universität studierte , wo er auf dem Campus lebte und ein speziell für ihn ausgestattetes Auto fuhr , das seinem ungewöhnlichen Körper angepasst war .</t>
  </si>
  <si>
    <t>file://conllu/de/teddy-1322.conllu#s79_0</t>
  </si>
  <si>
    <t>80</t>
  </si>
  <si>
    <t>sagen (sagen erzählen)</t>
  </si>
  <si>
    <t>Seine Mutter erzählte mir die Geschichte , als sie nach Hause kam – und er besuchte die örtliche Universität – Sie sagte : &amp;quot; Ich sah sein Auto , das man immer erkannte , auf dem Parkplatz vor einer Bar . &amp;quot;</t>
  </si>
  <si>
    <t>file://conllu/de/teddy-1322.conllu#s80_0</t>
  </si>
  <si>
    <t>81</t>
  </si>
  <si>
    <t>( Lachen ) &amp;quot; Und ich dachte : Die sind 1,80 Meter groß und er misst nicht einmal einen Meter .</t>
  </si>
  <si>
    <t>file://conllu/de/teddy-1322.conllu#s81_0</t>
  </si>
  <si>
    <t>82</t>
  </si>
  <si>
    <t>sein (sein Bier)</t>
  </si>
  <si>
    <t>Zwei Bier für sie , sind vier Bier für ihn . &amp;quot;</t>
  </si>
  <si>
    <t>file://conllu/de/teddy-1322.conllu#s82_0</t>
  </si>
  <si>
    <t>83</t>
  </si>
  <si>
    <t>Sie sagte : &amp;quot; Ich wusste , dass ich dort nicht reingehen konnte , um ihn zu stoppen , aber ich fuhr heim und hinterließ ihm acht Nachrichten auf seinem Handy . &amp;quot;</t>
  </si>
  <si>
    <t>file://conllu/de/teddy-1322.conllu#s83_0</t>
  </si>
  <si>
    <t>84</t>
  </si>
  <si>
    <t>fragen (fragen denken sagen)</t>
  </si>
  <si>
    <t>Sie sagte : &amp;quot; Und dann dachte ich , wenn mir jemand , als er geboren wurde , gesagt hätte , dass meine zukünftige Sorge wäre , dass er angeheitert mit seinen College Freunden rumfährt – &amp;quot; Und ich fragte sie : &amp;quot; Was denkst du hast du gemacht , das ihn zu dieser charmanten , versierten und wunderbaren Person heranwachsen ließ ? &amp;quot;</t>
  </si>
  <si>
    <t>file://conllu/de/teddy-1322.conllu#s84_0</t>
  </si>
  <si>
    <t>85</t>
  </si>
  <si>
    <t>Und sie sagte : &amp;quot; Was ich gemacht habe ?</t>
  </si>
  <si>
    <t>file://conllu/de/teddy-1322.conllu#s85_0</t>
  </si>
  <si>
    <t>86</t>
  </si>
  <si>
    <t>schenken</t>
  </si>
  <si>
    <t>Ich habe ihm all meine Liebe geschenkt , das ist alles .</t>
  </si>
  <si>
    <t>file://conllu/de/teddy-1322.conllu#s86_0</t>
  </si>
  <si>
    <t>87</t>
  </si>
  <si>
    <t>Leucht</t>
  </si>
  <si>
    <t>Clinton hatte einfach immer dieses Leuchten an sich .</t>
  </si>
  <si>
    <t>file://conllu/de/teddy-1322.conllu#s87_0</t>
  </si>
  <si>
    <t>88</t>
  </si>
  <si>
    <t>Und sein Vater und ich hatten das große Glück , die ersten zu sein , die es zu sehen bekamen . &amp;quot;</t>
  </si>
  <si>
    <t>file://conllu/de/teddy-1322.conllu#s88_0</t>
  </si>
  <si>
    <t>89</t>
  </si>
  <si>
    <t>zitieren</t>
  </si>
  <si>
    <t>Ich möchte nun etwas aus einem weiteren Magazin aus den 60ern zitieren .</t>
  </si>
  <si>
    <t>file://conllu/de/teddy-1322.conllu#s89_0</t>
  </si>
  <si>
    <t>90</t>
  </si>
  <si>
    <t>stammen</t>
  </si>
  <si>
    <t>Dieses stammt von 1968 – aus dem Atlantic Monthly , der Stimme des Liberalen Amerikas – geschrieben von einem bedeutenden Bioethiker .</t>
  </si>
  <si>
    <t>file://conllu/de/teddy-1322.conllu#s90_0</t>
  </si>
  <si>
    <t>91</t>
  </si>
  <si>
    <t>Er sagte : &amp;quot; Es gibt keinen Grund , sich schuldig zu fühlen , wenn man ein Kind mit Down Syndrom weggibt , egal , ob es sich dabei um ein &amp;quot; Weggeben &amp;quot; im in dem Sinne von &amp;quot; in einem Heim verstecken &amp;quot; handelt , oder ein &amp;quot; Weggeben &amp;quot; in einem noch verantwortungsbewussteren , todbringenden Sinne .</t>
  </si>
  <si>
    <t>file://conllu/de/teddy-1322.conllu#s91_0</t>
  </si>
  <si>
    <t>92</t>
  </si>
  <si>
    <t>sein (sein traurig)</t>
  </si>
  <si>
    <t>Es ist traurig , ja – und schrecklich .</t>
  </si>
  <si>
    <t>file://conllu/de/teddy-1322.conllu#s92_0</t>
  </si>
  <si>
    <t>93</t>
  </si>
  <si>
    <t>entbehren</t>
  </si>
  <si>
    <t>Aber es entbehrt jeder Schuld .</t>
  </si>
  <si>
    <t>file://conllu/de/teddy-1322.conllu#s93_0</t>
  </si>
  <si>
    <t>94</t>
  </si>
  <si>
    <t>ergeben</t>
  </si>
  <si>
    <t>Wahre Schuld ergibt sich nur aus einer Straftat gegen eine Person , und jemand mit Down Syndrom ist keine Person . &amp;quot;</t>
  </si>
  <si>
    <t>file://conllu/de/teddy-1322.conllu#s94_0</t>
  </si>
  <si>
    <t>95</t>
  </si>
  <si>
    <t>Es wurde schon viel über den enormen Fortschritt geschrieben , den wir gemacht haben , wenn es um die Behandlung von homosexuellen Menschen geht .</t>
  </si>
  <si>
    <t>file://conllu/de/teddy-1322.conllu#s95_0</t>
  </si>
  <si>
    <t>96</t>
  </si>
  <si>
    <t>Den Beweis , dass sich unsere Einstellung geändert hat , sehen wir täglich in den Schlagzeilen .</t>
  </si>
  <si>
    <t>file://conllu/de/teddy-1322.conllu#s96_0</t>
  </si>
  <si>
    <t>97</t>
  </si>
  <si>
    <t>vergessen</t>
  </si>
  <si>
    <t>Aber wir vergessen , wie wir Menschen betrachtet haben , die &amp;quot; anders &amp;quot; waren , wie wir Menschen mit einer Behinderung angesehen haben , und für wie unmenschlich wir sie gehalten haben .</t>
  </si>
  <si>
    <t>file://conllu/de/teddy-1322.conllu#s97_0</t>
  </si>
  <si>
    <t>98</t>
  </si>
  <si>
    <t>sein (sein ein)</t>
  </si>
  <si>
    <t>Der Wandel , den wir hier herbeigeführt haben , der in sich fast genauso radikal ist , ist einer , dem wir nicht sehr viel Aufmerksamkeit schenken .</t>
  </si>
  <si>
    <t>file://conllu/de/teddy-1322.conllu#s98_0</t>
  </si>
  <si>
    <t>99</t>
  </si>
  <si>
    <t>sein (sein erstaunt)</t>
  </si>
  <si>
    <t>Eine der Familien , die ich interviewte , Tom und Karen Robards , zwei junge und erfolgreiche New Yorker , waren zutiefst erstaunt , als ihr erstes Kind mit Down Syndrom diagnostiziert wurde .</t>
  </si>
  <si>
    <t>file://conllu/de/teddy-1322.conllu#s99_0</t>
  </si>
  <si>
    <t>100</t>
  </si>
  <si>
    <t>beschließen</t>
  </si>
  <si>
    <t>Sie waren der Meinung , die Bildungschancen für ihn waren nicht so , wie sie sein sollten , und so beschlossen sie , ein kleines Zentrum zu bauen – zwei Klassenzimmer , die sie zusammen mit ein paar Eltern gründeten , um Kinder mit Down Syndrom zu unterrichten .</t>
  </si>
  <si>
    <t>file://conllu/de/teddy-1322.conllu#s100_0</t>
  </si>
  <si>
    <t>101</t>
  </si>
  <si>
    <t>Und über die Jahre entwickelte sich dieses Zentrum zum zu dem sogenannten Cooke Center , wo heute Tausende und Abertausende von Kindern mit geistiger Behinderung unterrichtet werden .</t>
  </si>
  <si>
    <t>file://conllu/de/teddy-1322.conllu#s101_0</t>
  </si>
  <si>
    <t>102</t>
  </si>
  <si>
    <t>verdreifachen</t>
  </si>
  <si>
    <t>In der Zeit , die seit jenem Atlantic Monthly Artikel vergangen ist , hat sich die Lebenserwartung für Menschen mit Down Syndrom verdreifacht .</t>
  </si>
  <si>
    <t>file://conllu/de/teddy-1322.conllu#s102_0</t>
  </si>
  <si>
    <t>103</t>
  </si>
  <si>
    <t>Unter den Menschen mit Down Syndrom finden sich heute Schauspieler , Schriftsteller , und einige , die im in dem Erwachsenenalter ganz selbständig leben können .</t>
  </si>
  <si>
    <t>file://conllu/de/teddy-1322.conllu#s103_0</t>
  </si>
  <si>
    <t>104</t>
  </si>
  <si>
    <t>verdanken</t>
  </si>
  <si>
    <t>Vieles davon verdanken sie den Robards .</t>
  </si>
  <si>
    <t>file://conllu/de/teddy-1322.conllu#s104_0</t>
  </si>
  <si>
    <t>105</t>
  </si>
  <si>
    <t>fragen</t>
  </si>
  <si>
    <t>Und ich fragte sie : &amp;quot; Bedauert ihr etwas ?</t>
  </si>
  <si>
    <t>file://conllu/de/teddy-1322.conllu#s105_0</t>
  </si>
  <si>
    <t>106</t>
  </si>
  <si>
    <t>Wünschten</t>
  </si>
  <si>
    <t>Wünschtet ihr , euer Sohn würde nicht an Down Syndrom leiden ?</t>
  </si>
  <si>
    <t>file://conllu/de/teddy-1322.conllu#s106_0</t>
  </si>
  <si>
    <t>107</t>
  </si>
  <si>
    <t>Wünschtet ihr , ihr hättet nie davon gehört ? &amp;quot;</t>
  </si>
  <si>
    <t>file://conllu/de/teddy-1322.conllu#s107_0</t>
  </si>
  <si>
    <t>108</t>
  </si>
  <si>
    <t>Und interessanterweise sagte sein Vater : &amp;quot; Für David , unseren Sohn , bedauere ich es , denn für ihn ist es kein leichtes Dasein in dieser Welt , und ich würde ihm gerne ein leichteres Leben schenken .</t>
  </si>
  <si>
    <t>file://conllu/de/teddy-1322.conllu#s108_0</t>
  </si>
  <si>
    <t>109</t>
  </si>
  <si>
    <t>sein (sein Verlust)</t>
  </si>
  <si>
    <t>Aber , wenn wir alle Menschen mit Down Syndrom verlören , wäre das ein katastrophaler Verlust . &amp;quot;</t>
  </si>
  <si>
    <t>file://conllu/de/teddy-1322.conllu#s109_0</t>
  </si>
  <si>
    <t>110</t>
  </si>
  <si>
    <t>Und Karen Robards sagte zu mir : &amp;quot; Ich stimme Tom zu .</t>
  </si>
  <si>
    <t>file://conllu/de/teddy-1322.conllu#s110_0</t>
  </si>
  <si>
    <t>111</t>
  </si>
  <si>
    <t>heilen</t>
  </si>
  <si>
    <t>Für David , würde ich diese Krankheit sofort heilen , um ihm ein leichteres Leben zu ermöglichen .</t>
  </si>
  <si>
    <t>file://conllu/de/teddy-1322.conllu#s111_0</t>
  </si>
  <si>
    <t>112</t>
  </si>
  <si>
    <t>machen</t>
  </si>
  <si>
    <t>Aber wenn ich für mich spreche , dann hätte ich vor 23 Jahren , als er geboren wurde , nicht geglaubt , dass ich je an so weit kommen könnte – Mich persönlich hat es zu einer soviel besseren und liebenswürdigeren Person gemacht und meinem Leben so viel mehr Sinn gegeben , dass ich persönlich , es um nichts in der Welt aufgeben würde . &amp;quot;</t>
  </si>
  <si>
    <t>file://conllu/de/teddy-1322.conllu#s112_0</t>
  </si>
  <si>
    <t>113</t>
  </si>
  <si>
    <t>leben</t>
  </si>
  <si>
    <t>Wir leben in einer Zeit , in der die gesellschaftliche Akzeptanz für diese und viele andere Konditionen immer größer wird .</t>
  </si>
  <si>
    <t>file://conllu/de/teddy-1322.conllu#s113_0</t>
  </si>
  <si>
    <t>114</t>
  </si>
  <si>
    <t>angelangen</t>
  </si>
  <si>
    <t>Aber gleichzeitig sind wir an einem Punkt angelangt , an dem unsere Fähigkeit , diese Konditionen zu beseitigen ein Ausmaß erreicht hat , das einst unvorstellbar war .</t>
  </si>
  <si>
    <t>file://conllu/de/teddy-1322.conllu#s114_0</t>
  </si>
  <si>
    <t>115</t>
  </si>
  <si>
    <t>gehörlosen</t>
  </si>
  <si>
    <t>Die meisten gehörlosen Kinder , die heute in den USA geboren werden , erhalten Cochlear Implantate , die in das Gehirn eingesetzt und an einen Receiver angeschlossen werden , und deren mit Hilfe ihnen eine Form des Hörens und des Sprechens ermöglicht wird .</t>
  </si>
  <si>
    <t>file://conllu/de/teddy-1322.conllu#s115_0</t>
  </si>
  <si>
    <t>116</t>
  </si>
  <si>
    <t>helfen</t>
  </si>
  <si>
    <t>Ein Präparat , das an Mäusen getestet wurde , genannt BMN-111 , hilft dabei , die Wirkung des Achondroplasie Gens zu hemmen .</t>
  </si>
  <si>
    <t>file://conllu/de/teddy-1322.conllu#s116_0</t>
  </si>
  <si>
    <t>117</t>
  </si>
  <si>
    <t>sein (sein Form)</t>
  </si>
  <si>
    <t>Achondroplasie ist die häufigste Form des Zwergwuchses , und Mäuse , die diesen Wirkstoff erhalten haben , und das Achondroplasie Gen aufweisen , wachsen zu voller Größe heran .</t>
  </si>
  <si>
    <t>file://conllu/de/teddy-1322.conllu#s117_0</t>
  </si>
  <si>
    <t>118</t>
  </si>
  <si>
    <t>sein (sein weit)</t>
  </si>
  <si>
    <t>Zu Testreihen am an dem Menschen ist es nicht mehr weit .</t>
  </si>
  <si>
    <t>file://conllu/de/teddy-1322.conllu#s118_0</t>
  </si>
  <si>
    <t>119</t>
  </si>
  <si>
    <t>Es gibt Blut Tests , die in der Entwicklung sind , mit denen das Down Syndrom noch zuverlässiger und früher in der Schwangerschaft entdeckt werden kann , als je zuvor , und die es für die Menschen immer leichter machen , diese Schwangerschaften zu eliminieren , oder abzubrechen .</t>
  </si>
  <si>
    <t>file://conllu/de/teddy-1322.conllu#s119_0</t>
  </si>
  <si>
    <t>120</t>
  </si>
  <si>
    <t>Fortschritt</t>
  </si>
  <si>
    <t>Und somit haben wir sowohl sozialen als auch medizinischen Fortschritt .</t>
  </si>
  <si>
    <t>file://conllu/de/teddy-1322.conllu#s120_0</t>
  </si>
  <si>
    <t>121</t>
  </si>
  <si>
    <t>glauben</t>
  </si>
  <si>
    <t>Und ich glaube an beide .</t>
  </si>
  <si>
    <t>file://conllu/de/teddy-1322.conllu#s121_0</t>
  </si>
  <si>
    <t>122</t>
  </si>
  <si>
    <t>empfinden</t>
  </si>
  <si>
    <t>Ich empfinde den sozialen Fortschritt als fantastisch , bedeutungsvoll und wunderbar , und denke ebenso über den medizinischen Fortschritt .</t>
  </si>
  <si>
    <t>file://conllu/de/teddy-1322.conllu#s122_0</t>
  </si>
  <si>
    <t>123</t>
  </si>
  <si>
    <t>Aber ich denke , es ist von tragischem Ausmaß , wenn der eine den anderen ignoriert .</t>
  </si>
  <si>
    <t>file://conllu/de/teddy-1322.conllu#s123_0</t>
  </si>
  <si>
    <t>124</t>
  </si>
  <si>
    <t>sehen (sehen fühlen)</t>
  </si>
  <si>
    <t>Und wenn ich sehe , wie sie sich überschneiden unter Umständen wie den dreien , die ich gerade beschrieben habe , dann fühle ich mich an jene Momente in der Oper erinnert , In denen der Held erkennt , dass er die Heldin liebt exakt an dem Punkt , als sie sterbend auf dem Diwan liegt .</t>
  </si>
  <si>
    <t>file://conllu/de/teddy-1322.conllu#s124_0</t>
  </si>
  <si>
    <t>125</t>
  </si>
  <si>
    <t>Wir müssen uns darüber klar werden , was wir über Heilungsversuche generell denken .</t>
  </si>
  <si>
    <t>file://conllu/de/teddy-1322.conllu#s125_0</t>
  </si>
  <si>
    <t>126</t>
  </si>
  <si>
    <t>Oft ist die Frage , die wir uns als Eltern stellen müssen , was wir an unseren Kindern anerkennen , und was wir an ihnen heilen .</t>
  </si>
  <si>
    <t>file://conllu/de/teddy-1322.conllu#s126_0</t>
  </si>
  <si>
    <t>127</t>
  </si>
  <si>
    <t>sagen (sagen wünschen sagen)</t>
  </si>
  <si>
    <t>Jim Sinclair , ein berühmter Autismus Aktivist sagte einmal : &amp;quot; Wenn Eltern sagen ' Ich wünschte , mein Kind würde nicht an Autismus leiden ' sagen eigentlich , ' Ich wünschte , das Kind , das ich habe , würde nicht existieren und ich hätte ein anderes , nicht autistisches Kind dafür . '</t>
  </si>
  <si>
    <t>file://conllu/de/teddy-1322.conllu#s127_0</t>
  </si>
  <si>
    <t>128</t>
  </si>
  <si>
    <t>Lese|Lesen</t>
  </si>
  <si>
    <t>Lesen Sie es noch einmal .</t>
  </si>
  <si>
    <t>file://conllu/de/teddy-1322.conllu#s128_0</t>
  </si>
  <si>
    <t>129</t>
  </si>
  <si>
    <t>Das hören wir , wenn Sie unsere Existenz beklagen .</t>
  </si>
  <si>
    <t>file://conllu/de/teddy-1322.conllu#s129_0</t>
  </si>
  <si>
    <t>130</t>
  </si>
  <si>
    <t>Das hören wir , wenn Sie um Heilung flehen – dass Ihr sehnlichster Wunsch für uns ist , dass wir eines Tages aufhören zu sein , und ein Fremder , den ihr lieben könnt , den Platz hinter unserem Gesicht einnimmt . &amp;quot;</t>
  </si>
  <si>
    <t>file://conllu/de/teddy-1322.conllu#s130_0</t>
  </si>
  <si>
    <t>131</t>
  </si>
  <si>
    <t>sein (sein Sicht)</t>
  </si>
  <si>
    <t>Es ist eine sehr extreme Sicht , aber sie verweist auf die Wirklichkeit , dass Menschen sich dem Leben verpflichten , das sie haben , und dass sie nicht geheilt , verändert oder ausgelöscht werden wollen .</t>
  </si>
  <si>
    <t>file://conllu/de/teddy-1322.conllu#s131_0</t>
  </si>
  <si>
    <t>132</t>
  </si>
  <si>
    <t>sein (sein Person)</t>
  </si>
  <si>
    <t>Sie wollen die Person sein , zu der sie geworden sind .</t>
  </si>
  <si>
    <t>file://conllu/de/teddy-1322.conllu#s132_0</t>
  </si>
  <si>
    <t>133</t>
  </si>
  <si>
    <t>sein (sein Familie)</t>
  </si>
  <si>
    <t>Eine der Familien , die ich für dieses Projekt interviewt habe , war die Familie von Dylan Klebold , einem der Täter des Columbine Massakers .</t>
  </si>
  <si>
    <t>file://conllu/de/teddy-1322.conllu#s133_0</t>
  </si>
  <si>
    <t>134</t>
  </si>
  <si>
    <t>dauern</t>
  </si>
  <si>
    <t>Es dauerte lange , bis ich sie davon überzeugen konnte , mit mir zu sprechen , und als sie es taten , hatte sich ihre Geschichte so in ihnen angestaut , dass sie nicht aufhören konnten , sie zu erzählen .</t>
  </si>
  <si>
    <t>file://conllu/de/teddy-1322.conllu#s134_0</t>
  </si>
  <si>
    <t>136</t>
  </si>
  <si>
    <t>sein (sein erschöpfen)</t>
  </si>
  <si>
    <t>Und am an dem Sonntagabend waren wir alle erschöpft .</t>
  </si>
  <si>
    <t>file://conllu/de/teddy-1322.conllu#s136_0</t>
  </si>
  <si>
    <t>137</t>
  </si>
  <si>
    <t>sitzen</t>
  </si>
  <si>
    <t>Wir saßen in der Küche .</t>
  </si>
  <si>
    <t>file://conllu/de/teddy-1322.conllu#s137_0</t>
  </si>
  <si>
    <t>138</t>
  </si>
  <si>
    <t>Sue Klebold machte Abendessen , und ich sagte : &amp;quot; Wenn Dylan jetzt hier wäre , haben Sie eine Ahnung , was Sie ihn dann fragen würden ? &amp;quot;</t>
  </si>
  <si>
    <t>file://conllu/de/teddy-1322.conllu#s138_0</t>
  </si>
  <si>
    <t>139</t>
  </si>
  <si>
    <t>Und sein Vater sagte : &amp;quot; Oh ja !</t>
  </si>
  <si>
    <t>file://conllu/de/teddy-1322.conllu#s139_0</t>
  </si>
  <si>
    <t>140</t>
  </si>
  <si>
    <t>Ich würde ihn fragen , was zum zu dem Teufel er sich dabei gedacht hat , so etwas zu tun . &amp;quot;</t>
  </si>
  <si>
    <t>file://conllu/de/teddy-1322.conllu#s140_0</t>
  </si>
  <si>
    <t>141</t>
  </si>
  <si>
    <t>schauen</t>
  </si>
  <si>
    <t>Und Sue schaute auf den Boden und dachte eine Minute nach .</t>
  </si>
  <si>
    <t>file://conllu/de/teddy-1322.conllu#s141_0</t>
  </si>
  <si>
    <t>142</t>
  </si>
  <si>
    <t>Dann schaute sie auf und sagte : &amp;quot; Ich würde ihn bitten , mir zu verzeihen , seine Mutter gewesen zu sein , und keine Ahnung davon gehabt zu haben , was in seinem Kopf vor sich ging . &amp;quot;</t>
  </si>
  <si>
    <t>file://conllu/de/teddy-1322.conllu#s142_0</t>
  </si>
  <si>
    <t>143</t>
  </si>
  <si>
    <t>Als ich mich ein paar Jahre später erneut mit ihr zum zu dem Abendessen traf – eines von vielen Abendessen , die wir gemeinsam verbrachten – sagte sie : &amp;quot; Weißt du , als es zuerst passiert ist , wünschte ich , dass ich nie geheiratet und nie Kinder gehabt hätte .</t>
  </si>
  <si>
    <t>file://conllu/de/teddy-1322.conllu#s143_0</t>
  </si>
  <si>
    <t>144</t>
  </si>
  <si>
    <t>existieren</t>
  </si>
  <si>
    <t>Wenn ich nie die Ohio State Universität besucht und dort Tom kennengelernt hätte , hätte dieses Kind nicht existiert und diese schreckliche Sache wäre nie passiert .</t>
  </si>
  <si>
    <t>file://conllu/de/teddy-1322.conllu#s144_0</t>
  </si>
  <si>
    <t>145</t>
  </si>
  <si>
    <t>herausgefunden</t>
  </si>
  <si>
    <t>Aber ich habe für mich herausgefunden , dass ich die Kinder , die ich geboren habe , so liebe , dass ich mir ein Leben ohne sie nicht vorstellen möchte .</t>
  </si>
  <si>
    <t>file://conllu/de/teddy-1322.conllu#s145_0</t>
  </si>
  <si>
    <t>146</t>
  </si>
  <si>
    <t>erkennen (erkennen sagen)</t>
  </si>
  <si>
    <t>Ich erkenne den Schmerz an , den sie anderen zugefügt haben , und für den es keine Vergebung gibt , aber für den Schmerz , den sie mir verursacht haben , gibt es Vergebung &amp;quot; , sagte sie .</t>
  </si>
  <si>
    <t>file://conllu/de/teddy-1322.conllu#s146_0</t>
  </si>
  <si>
    <t>147</t>
  </si>
  <si>
    <t>kommen</t>
  </si>
  <si>
    <t>&amp;quot; Während ich es also anerkenne , dass es für die Welt besser gewesen wäre , wenn Dylan nie geboren worden wäre , bin ich zu dem Schluss gekommen , dass es für mich nicht besser gewesen wäre . &amp;quot;</t>
  </si>
  <si>
    <t>file://conllu/de/teddy-1322.conllu#s147_0</t>
  </si>
  <si>
    <t>148</t>
  </si>
  <si>
    <t>Ich war erstaunt darüber , wie all diese Familien all diese Kinder mit all diesen Problemen hatten , Probleme , für die sie meist alles getan hätten , um sie zu vermeiden , und wie sie dennoch so viel Sinn aus dieser Erfahrung als Eltern gezogen hatten .</t>
  </si>
  <si>
    <t>file://conllu/de/teddy-1322.conllu#s148_0</t>
  </si>
  <si>
    <t>149</t>
  </si>
  <si>
    <t>Und dann dachte ich , dass wir alle , die wir Kinder haben , unsere Kinder mit all ihren Schwächen lieben .</t>
  </si>
  <si>
    <t>file://conllu/de/teddy-1322.conllu#s149_0</t>
  </si>
  <si>
    <t>150</t>
  </si>
  <si>
    <t>anböen</t>
  </si>
  <si>
    <t>Wenn ein leuchtender Engel plötzlich durch die Wohnzimmerdecke geschwebt käme , und mir anböte , meine Kinder mitzunehmen , um sie gegen andere , bessere Kinder einzutauschen – höflicher , lustiger , schöner und intelligenter – ich würde mich an meine Kinder klammern und das grausame Spektakel wegzubeten versuchen .</t>
  </si>
  <si>
    <t>file://conllu/de/teddy-1322.conllu#s150_0</t>
  </si>
  <si>
    <t>151</t>
  </si>
  <si>
    <t>Und letztendlich denke ich , dass genauso wie wir flammfeste Schlafanzüge in einem Inferno testen , um sicherzustellen , dass sie nicht Feuer fangen , wenn unser Kind über den Herd langt , auch diese Geschichten von Familien , die diese extremen Unterschiede zu überwinden haben , die universelle Erfahrung des Elternseins widerspiegeln , welche immer darauf hinausläuft , dass man manchmal dein Kind ansiehst und sich fragt : &amp;quot; Von welchem Planeten kommst du ? &amp;quot;</t>
  </si>
  <si>
    <t>file://conllu/de/teddy-1322.conllu#s151_0</t>
  </si>
  <si>
    <t>152</t>
  </si>
  <si>
    <t>sein (sein stellen)</t>
  </si>
  <si>
    <t>Es stellt sich heraus , dass obwohl jeder dieser Unterschiede in sich isoliert ist – nicht jede Familie hat ein schizophrenes Familienmitglied , nicht jede ein Kind , das transgender , oder hochbegabt ist , was an die Eltern oft ähnliche Herausforderungen stellt – in jeder dieser Kategorien gibt es nur eine handvoll Familien – aber wenn Sie anfangen zu denken , dass die Erfahrung , Unterschiede in der Familie zu überwinden , das ist , was Menschen ansprechen , dann entdecken Sie , dass es ein nahezu universelles Phänomen ist .</t>
  </si>
  <si>
    <t>file://conllu/de/teddy-1322.conllu#s152_0</t>
  </si>
  <si>
    <t>153</t>
  </si>
  <si>
    <t>sein (sein Unterschied)</t>
  </si>
  <si>
    <t>Ironischerweise sind es unsere Unterschiede , und unser Umgang mit ihnen , die uns zusammenbringen .</t>
  </si>
  <si>
    <t>file://conllu/de/teddy-1322.conllu#s153_0</t>
  </si>
  <si>
    <t>154</t>
  </si>
  <si>
    <t>entscheiden</t>
  </si>
  <si>
    <t>Ich entschied mich selbst Vater zu werden , noch während ich an diesem Projekt arbeitete .</t>
  </si>
  <si>
    <t>file://conllu/de/teddy-1322.conllu#s154_0</t>
  </si>
  <si>
    <t>155</t>
  </si>
  <si>
    <t>Und viele Leute waren erstaunt und sagten : &amp;quot; Wie kannst du dich dazu entscheiden , Kinder zu haben , inmitten all deiner Studien über alles , was schiefgehen kann ? &amp;quot;</t>
  </si>
  <si>
    <t>file://conllu/de/teddy-1322.conllu#s155_0</t>
  </si>
  <si>
    <t>156</t>
  </si>
  <si>
    <t>Und ich sagte : &amp;quot; Ich untersuche nicht alles , was schiefgehen kann .</t>
  </si>
  <si>
    <t>file://conllu/de/teddy-1322.conllu#s156_0</t>
  </si>
  <si>
    <t>157</t>
  </si>
  <si>
    <t>herausfinden</t>
  </si>
  <si>
    <t>Was ich herausfinden möchte ist , wieviel Liebe möglich ist , auch wenn alles schiefzugehen scheint . &amp;quot;</t>
  </si>
  <si>
    <t>file://conllu/de/teddy-1322.conllu#s157_0</t>
  </si>
  <si>
    <t>158</t>
  </si>
  <si>
    <t>sehen (sehen denken)</t>
  </si>
  <si>
    <t>Ich dachte viel über die Mutter eines behinderten Kindes nach , das ich gesehen hatte , ein schwerst behindertes Kind , das infolge von Vernachlässigung durch die Betreuungsperson starb .</t>
  </si>
  <si>
    <t>file://conllu/de/teddy-1322.conllu#s158_0</t>
  </si>
  <si>
    <t>159</t>
  </si>
  <si>
    <t>Und als seine Asche beigesetzt wurde , sagte seine Mutter : &amp;quot; Ich bitte hier um Vergebung darum , dass ich zweimal beraubt wurde , einmal des Kindes , das ich wollte , und einmal des geliebten Sohnes . &amp;quot;</t>
  </si>
  <si>
    <t>file://conllu/de/teddy-1322.conllu#s159_0</t>
  </si>
  <si>
    <t>160</t>
  </si>
  <si>
    <t>Und da wurde mir klar , dass es für jeden möglich ist , jedes Kind zu lieben , solange er nur den festen Willen dazu hat .</t>
  </si>
  <si>
    <t>file://conllu/de/teddy-1322.conllu#s160_0</t>
  </si>
  <si>
    <t>161</t>
  </si>
  <si>
    <t>sein (sein Vater)</t>
  </si>
  <si>
    <t>Mein Mann ist der biologische Vater von zwei Kindern , die er mit lesbischen Freunden in Minneapolis hat .</t>
  </si>
  <si>
    <t>file://conllu/de/teddy-1322.conllu#s161_0</t>
  </si>
  <si>
    <t>162</t>
  </si>
  <si>
    <t>Ich hatte eine enge Freundin aus Uni Tagen , die eine Scheidung hinter sich hatte und Kinder wollte .</t>
  </si>
  <si>
    <t>file://conllu/de/teddy-1322.conllu#s162_0</t>
  </si>
  <si>
    <t>163</t>
  </si>
  <si>
    <t>Mit ihr habe ich also eine Tochter , und Mutter und Tochter leben in Texas .</t>
  </si>
  <si>
    <t>file://conllu/de/teddy-1322.conllu#s163_0</t>
  </si>
  <si>
    <t>164</t>
  </si>
  <si>
    <t>Mein Mann und ich haben einen Sohn zusammen , der durchgehend bei uns lebt , von dem ich der biologische Vater bin , und unsere Leihmutter für die Schwangerschaft Laura war , die lesbische Mutter von Oliver und Lucy in Minneapolis .</t>
  </si>
  <si>
    <t>file://conllu/de/teddy-1322.conllu#s164_0</t>
  </si>
  <si>
    <t>165</t>
  </si>
  <si>
    <t>Kurzform</t>
  </si>
  <si>
    <t>In Kurzform sind das fünf Eltern von vier Kindern in drei Staaten .</t>
  </si>
  <si>
    <t>file://conllu/de/teddy-1322.conllu#s165_0</t>
  </si>
  <si>
    <t>166</t>
  </si>
  <si>
    <t>Und es gibt Menschen , die glauben , dass die Existenz meiner Familie in irgendeiner Weise ihre eigene Familie untergräbt , schwächt oder schädigt .</t>
  </si>
  <si>
    <t>file://conllu/de/teddy-1322.conllu#s166_0</t>
  </si>
  <si>
    <t>167</t>
  </si>
  <si>
    <t>Und es gibt Leute , die der Meinung sind , dass Familien wie die meine kein Recht haben sollten zu existieren .</t>
  </si>
  <si>
    <t>file://conllu/de/teddy-1322.conllu#s167_0</t>
  </si>
  <si>
    <t>168</t>
  </si>
  <si>
    <t>akzeptieren</t>
  </si>
  <si>
    <t>Und ich akzeptiere keine subtraktiven Modelle der Liebe , nur solche , die hinzufügend sind .</t>
  </si>
  <si>
    <t>file://conllu/de/teddy-1322.conllu#s168_0</t>
  </si>
  <si>
    <t>169</t>
  </si>
  <si>
    <t>Und ich glaube , dass genauso wie wir Artenvielfalt brauchen , um sicherzustellen , dass unser Planet weiter existieren kann , brauchen wir diese verschiedenen Formen von Zuneigung und Familie , um diese Ökosphäre von Güte zu stärken .</t>
  </si>
  <si>
    <t>file://conllu/de/teddy-1322.conllu#s169_0</t>
  </si>
  <si>
    <t>170</t>
  </si>
  <si>
    <t>Ein Tag , nachdem unser Sohn geboren wurde , kam die Kinderärztin zu uns ins in das Krankenzimmer und sagte , sie wäre besorgt .</t>
  </si>
  <si>
    <t>file://conllu/de/teddy-1322.conllu#s170_0</t>
  </si>
  <si>
    <t>171</t>
  </si>
  <si>
    <t>ausstrecken</t>
  </si>
  <si>
    <t>Er würde seine Beine nicht richtig ausstrecken .</t>
  </si>
  <si>
    <t>file://conllu/de/teddy-1322.conllu#s171_0</t>
  </si>
  <si>
    <t>172</t>
  </si>
  <si>
    <t>Sie sagte , das könne bedeuten , dass er Hirnschäden davongetragen hatte .</t>
  </si>
  <si>
    <t>file://conllu/de/teddy-1322.conllu#s172_0</t>
  </si>
  <si>
    <t>173</t>
  </si>
  <si>
    <t>Soweit er sie überhaupt ausstreckte , tat er das so ungleichmäßig , dass sie dachte , ein Tumor könnte möglicherweise dafür verantwortlich sein .</t>
  </si>
  <si>
    <t>file://conllu/de/teddy-1322.conllu#s173_0</t>
  </si>
  <si>
    <t>174</t>
  </si>
  <si>
    <t>Und er hatte einen sehr großen Kopf , was , wie sie meinte , auf einen Wasserkopf hinweisen könnte .</t>
  </si>
  <si>
    <t>file://conllu/de/teddy-1322.conllu#s174_0</t>
  </si>
  <si>
    <t>175</t>
  </si>
  <si>
    <t>erzählen (erzählen fühlen)</t>
  </si>
  <si>
    <t>Und als sie mir all diese Dinge erzählte , fühlte ich für einen Moment , wie alles Leben aus mir wich .</t>
  </si>
  <si>
    <t>file://conllu/de/teddy-1322.conllu#s175_0</t>
  </si>
  <si>
    <t>176</t>
  </si>
  <si>
    <t>Ich dachte , da arbeitete ich nun seit Jahren an einem Buch darüber , wieviel Sinn Menschen aus ihrer Erfahrung als Eltern eines behinderten Kindes schöpften , und ich wollte ihrem Kreis nicht beitreten .</t>
  </si>
  <si>
    <t>file://conllu/de/teddy-1322.conllu#s176_0</t>
  </si>
  <si>
    <t>177</t>
  </si>
  <si>
    <t>sein (sein entgegensprang)</t>
  </si>
  <si>
    <t>Denn , was mir entgegensprang war der Gedanke an Krankheit .</t>
  </si>
  <si>
    <t>file://conllu/de/teddy-1322.conllu#s177_0</t>
  </si>
  <si>
    <t>178</t>
  </si>
  <si>
    <t>schützen</t>
  </si>
  <si>
    <t>Und wie alle Eltern seit Anbeginn der Zeit , wollte auch ich mein Kind vor Krankheit schützen .</t>
  </si>
  <si>
    <t>file://conllu/de/teddy-1322.conllu#s178_0</t>
  </si>
  <si>
    <t>179</t>
  </si>
  <si>
    <t>Und ich wollte auch mich vor Krankheit schützen .</t>
  </si>
  <si>
    <t>file://conllu/de/teddy-1322.conllu#s179_0</t>
  </si>
  <si>
    <t>180</t>
  </si>
  <si>
    <t>wissen</t>
  </si>
  <si>
    <t>Und doch wusste ich von meiner Arbeit her , dass wenn er eines dieser Dinge hätte , auf die wir ihn testen lassen wollten , diese letztendlich zu seiner Identität werden würden , und wenn sie seine Identität wären , würden sie auch zu meiner Identität werden , und dass die Krankheit während ihres Verlaufs unterschiedliche Formen annehmen würde .</t>
  </si>
  <si>
    <t>file://conllu/de/teddy-1322.conllu#s180_0</t>
  </si>
  <si>
    <t>181</t>
  </si>
  <si>
    <t>bringen</t>
  </si>
  <si>
    <t>Wir brachten ihn zur zu der Kernspintomographie , zur zu der Computertomographie , wir übergaben dieses 1 Tage- alte Kind den Ärzten für eine arterielle Blutentnahme .</t>
  </si>
  <si>
    <t>file://conllu/de/teddy-1322.conllu#s181_0</t>
  </si>
  <si>
    <t>182</t>
  </si>
  <si>
    <t>fühlen</t>
  </si>
  <si>
    <t>Wir fühlten uns hilflos .</t>
  </si>
  <si>
    <t>file://conllu/de/teddy-1322.conllu#s182_0</t>
  </si>
  <si>
    <t>183</t>
  </si>
  <si>
    <t>teilen</t>
  </si>
  <si>
    <t>Und nach fünf langen Stunden , teilten sie uns mit , dass sein Gehirn völlig unauffällig sei , und er seine Beine mittlerweile richtig ausstrecken würde .</t>
  </si>
  <si>
    <t>file://conllu/de/teddy-1322.conllu#s183_0</t>
  </si>
  <si>
    <t>184</t>
  </si>
  <si>
    <t>fragen (fragen sagen)</t>
  </si>
  <si>
    <t>Und als ich die Kinderärztin fragte , was mit ihm los war , sagte sie , sie glaube , er hätte am an dem Morgen wahrscheinlich einen Krampf gehabt .</t>
  </si>
  <si>
    <t>file://conllu/de/teddy-1322.conllu#s184_0</t>
  </si>
  <si>
    <t>185</t>
  </si>
  <si>
    <t>Aber ich dachte , wie recht meine Mutter doch hatte .</t>
  </si>
  <si>
    <t>file://conllu/de/teddy-1322.conllu#s185_0</t>
  </si>
  <si>
    <t>186</t>
  </si>
  <si>
    <t>Ich dachte , die Liebe , die man für seine Kinder empfindet , lässt sich mit keinem Gefühl der Welt vergleichen , und bevor du nicht selbst Kinder hast , weißt du nicht , wie es sich anfühlt .</t>
  </si>
  <si>
    <t>file://conllu/de/teddy-1322.conllu#s186_0</t>
  </si>
  <si>
    <t>187</t>
  </si>
  <si>
    <t>Ich glaube , Kinder hatten mich um den Finger gewickelt , sobald ich Vaterschaft mit Verlust in Verbindung brachte .</t>
  </si>
  <si>
    <t>file://conllu/de/teddy-1322.conllu#s187_0</t>
  </si>
  <si>
    <t>188</t>
  </si>
  <si>
    <t>verwickeln</t>
  </si>
  <si>
    <t>Aber ich bin mir nicht sicher , ob ich es bemerkt hätte , wäre ich nicht so tief in mein Forschungsprojekt verwickelt gewesen .</t>
  </si>
  <si>
    <t>file://conllu/de/teddy-1322.conllu#s188_0</t>
  </si>
  <si>
    <t>189</t>
  </si>
  <si>
    <t>sein (sein treffen|triefen)</t>
  </si>
  <si>
    <t>Ich war auf soviel seltsame Liebe getroffen , und ich fiel fast selbstverständlich in ihr verzauberndes Raster .</t>
  </si>
  <si>
    <t>file://conllu/de/teddy-1322.conllu#s189_0</t>
  </si>
  <si>
    <t>190</t>
  </si>
  <si>
    <t>Ich sah , wie ihre Pracht selbst größte Verletzbarkeit erleuchten kann .</t>
  </si>
  <si>
    <t>file://conllu/de/teddy-1322.conllu#s190_0</t>
  </si>
  <si>
    <t>191</t>
  </si>
  <si>
    <t>In diesen 10 Jahren hatte ich Gelegenheit , die Freuden und Schrecken unerträglicher Verantwortung kennenzulernen , und mitzuerleben , wie sie alles andere überwinden .</t>
  </si>
  <si>
    <t>file://conllu/de/teddy-1322.conllu#s191_0</t>
  </si>
  <si>
    <t>192</t>
  </si>
  <si>
    <t>versuchen (versuchen denken erkennen)</t>
  </si>
  <si>
    <t>Und obwohl ich manchmal dachte , dass die Eltern , die ich interviewte , Narren wären , weil sie sich zu einer lebenslangen Reise mit ihren undankbaren Kindern versklavten , und versuchten aus Elend eine Identität zu machen , erkannte ich an jenem Tag , dass mir meine Forschung einen Steg gebaut hatte , und ich bereit war , zu ihnen an Board zu gehen .</t>
  </si>
  <si>
    <t>file://conllu/de/teddy-1322.conllu#s192_0</t>
  </si>
  <si>
    <t>193</t>
  </si>
  <si>
    <t>Dank</t>
  </si>
  <si>
    <t>Vielen Dank .</t>
  </si>
  <si>
    <t>file://conllu/de/teddy-1322.conllu#s193_0</t>
  </si>
  <si>
    <t>WORD</t>
  </si>
  <si>
    <t>GR</t>
  </si>
  <si>
    <t>NP_TYPE</t>
  </si>
  <si>
    <t>REF_AUTO</t>
  </si>
  <si>
    <t>COREF</t>
  </si>
  <si>
    <t>REF</t>
  </si>
  <si>
    <t>IS</t>
  </si>
  <si>
    <t>CB</t>
  </si>
  <si>
    <t>GR_ANTE</t>
  </si>
  <si>
    <t>REF_DIST</t>
  </si>
  <si>
    <t>REF_DIST_ANTE</t>
  </si>
  <si>
    <t># text = "Selbst aus ganz unreligiöser Sicht stellt die Homosexualität eine sexuelle Verfehlung dar.</t>
  </si>
  <si>
    <t>&amp;quot;</t>
  </si>
  <si>
    <t>Selbst</t>
  </si>
  <si>
    <t>SBJ</t>
  </si>
  <si>
    <t>aus</t>
  </si>
  <si>
    <t>ganz</t>
  </si>
  <si>
    <t>unreligiöser</t>
  </si>
  <si>
    <t>Sicht</t>
  </si>
  <si>
    <t>other_2</t>
  </si>
  <si>
    <t>indef-np.bare</t>
  </si>
  <si>
    <t>stellt</t>
  </si>
  <si>
    <t>die</t>
  </si>
  <si>
    <t>Homosexualität</t>
  </si>
  <si>
    <t>OBJ</t>
  </si>
  <si>
    <t>def-np.the</t>
  </si>
  <si>
    <t>?OLD</t>
  </si>
  <si>
    <t>eine</t>
  </si>
  <si>
    <t>sexuelle</t>
  </si>
  <si>
    <t>Verfehlung</t>
  </si>
  <si>
    <t>indef-np.a</t>
  </si>
  <si>
    <t>dar</t>
  </si>
  <si>
    <t>.</t>
  </si>
  <si>
    <t># text = Sie ist ein armseliger, minderwertiger Ersatz für die Realität – ein kläglicher Versuch, dem Leben zu entfliehen.</t>
  </si>
  <si>
    <t>Sie</t>
  </si>
  <si>
    <t>pron.pper</t>
  </si>
  <si>
    <t>ist</t>
  </si>
  <si>
    <t>ein</t>
  </si>
  <si>
    <t>armseliger</t>
  </si>
  <si>
    <t>,</t>
  </si>
  <si>
    <t>minderwertiger</t>
  </si>
  <si>
    <t>Ersatz</t>
  </si>
  <si>
    <t>other</t>
  </si>
  <si>
    <t>für</t>
  </si>
  <si>
    <t>Realität</t>
  </si>
  <si>
    <t>–</t>
  </si>
  <si>
    <t>kläglicher</t>
  </si>
  <si>
    <t>Versuch</t>
  </si>
  <si>
    <t>dem</t>
  </si>
  <si>
    <t>Leben</t>
  </si>
  <si>
    <t>OBJ_3</t>
  </si>
  <si>
    <t>zu</t>
  </si>
  <si>
    <t>entfliehen</t>
  </si>
  <si>
    <t>--</t>
  </si>
  <si>
    <t># text = Als solches verdient sie kein Mitleid, keine Sonderbehandlung als Märtyrium einer Minderheit, und sollte nur als das betrachtet werden, was sie wirklich ist: eine schädliche Krankheit.\"</t>
  </si>
  <si>
    <t>Als</t>
  </si>
  <si>
    <t>solches</t>
  </si>
  <si>
    <t>SBJ_2</t>
  </si>
  <si>
    <t>pron.pind</t>
  </si>
  <si>
    <t>verdient</t>
  </si>
  <si>
    <t>sie</t>
  </si>
  <si>
    <t>pron</t>
  </si>
  <si>
    <t>kein</t>
  </si>
  <si>
    <t>other_3</t>
  </si>
  <si>
    <t>Mitleid</t>
  </si>
  <si>
    <t>OBJ_2</t>
  </si>
  <si>
    <t>indef-np.quant</t>
  </si>
  <si>
    <t>keine</t>
  </si>
  <si>
    <t>Sonderbehandlung</t>
  </si>
  <si>
    <t>als</t>
  </si>
  <si>
    <t>Märtyrium</t>
  </si>
  <si>
    <t>einer</t>
  </si>
  <si>
    <t>Minderheit</t>
  </si>
  <si>
    <t>other_4</t>
  </si>
  <si>
    <t>und</t>
  </si>
  <si>
    <t>sollte</t>
  </si>
  <si>
    <t>nur</t>
  </si>
  <si>
    <t>das</t>
  </si>
  <si>
    <t>pron.pds</t>
  </si>
  <si>
    <t>betrachtet</t>
  </si>
  <si>
    <t>was</t>
  </si>
  <si>
    <t>SBJ_3</t>
  </si>
  <si>
    <t>wirklich</t>
  </si>
  <si>
    <t>:</t>
  </si>
  <si>
    <t>schädliche</t>
  </si>
  <si>
    <t>Krankheit</t>
  </si>
  <si>
    <t># text = Das schrieb Time Magazine 1966, als ich drei Jahre alt war.</t>
  </si>
  <si>
    <t>Das</t>
  </si>
  <si>
    <t>schrieb</t>
  </si>
  <si>
    <t>Time</t>
  </si>
  <si>
    <t>ne</t>
  </si>
  <si>
    <t>Magazine</t>
  </si>
  <si>
    <t>1966</t>
  </si>
  <si>
    <t>ich</t>
  </si>
  <si>
    <t>drei</t>
  </si>
  <si>
    <t>Jahre</t>
  </si>
  <si>
    <t>alt</t>
  </si>
  <si>
    <t>war</t>
  </si>
  <si>
    <t># text = Und letztes Jahr sprach sich der amerikanische Präsident für die geichgeschlechtliche Ehe aus.</t>
  </si>
  <si>
    <t>Und</t>
  </si>
  <si>
    <t>letztes</t>
  </si>
  <si>
    <t>Jahr</t>
  </si>
  <si>
    <t>sprach</t>
  </si>
  <si>
    <t>sich</t>
  </si>
  <si>
    <t>der</t>
  </si>
  <si>
    <t>amerikanische</t>
  </si>
  <si>
    <t>Präsident</t>
  </si>
  <si>
    <t>geichgeschlechtliche</t>
  </si>
  <si>
    <t>Ehe</t>
  </si>
  <si>
    <t># text = (Beifall) Und meine Frage ist, wie haben wir es so weit gebracht?</t>
  </si>
  <si>
    <t>(</t>
  </si>
  <si>
    <t>Beifall</t>
  </si>
  <si>
    <t>)</t>
  </si>
  <si>
    <t>meine</t>
  </si>
  <si>
    <t>pron.ppos</t>
  </si>
  <si>
    <t>Frage</t>
  </si>
  <si>
    <t>wie</t>
  </si>
  <si>
    <t>wir</t>
  </si>
  <si>
    <t>es</t>
  </si>
  <si>
    <t>so</t>
  </si>
  <si>
    <t>weit</t>
  </si>
  <si>
    <t>gebracht</t>
  </si>
  <si>
    <t>?</t>
  </si>
  <si>
    <t># text = Wie wurde aus einer Krankheit eine Identität?</t>
  </si>
  <si>
    <t>Wie</t>
  </si>
  <si>
    <t>wurde</t>
  </si>
  <si>
    <t>Identität</t>
  </si>
  <si>
    <t># text = Als ich etwa sechs Jahre alt war, ging ich mit meiner Mutter und meinem Bruder Schuhe kaufen.</t>
  </si>
  <si>
    <t>etwa</t>
  </si>
  <si>
    <t>sechs</t>
  </si>
  <si>
    <t>ging</t>
  </si>
  <si>
    <t>mit</t>
  </si>
  <si>
    <t>meiner</t>
  </si>
  <si>
    <t>Mutter</t>
  </si>
  <si>
    <t>indef-np</t>
  </si>
  <si>
    <t>meinem</t>
  </si>
  <si>
    <t>Bruder</t>
  </si>
  <si>
    <t>Schuhe</t>
  </si>
  <si>
    <t>kaufen</t>
  </si>
  <si>
    <t># text = Zum Ende unseres Einkaufs sagte der Schuhverkäufer, dass wir uns jeweils einen Luftballon aussuchen dürften.</t>
  </si>
  <si>
    <t>Zu</t>
  </si>
  <si>
    <t>Ende</t>
  </si>
  <si>
    <t>unseres</t>
  </si>
  <si>
    <t>Einkaufs</t>
  </si>
  <si>
    <t>sagte</t>
  </si>
  <si>
    <t>Schuhverkäufer</t>
  </si>
  <si>
    <t>dass</t>
  </si>
  <si>
    <t>uns</t>
  </si>
  <si>
    <t>jeweils</t>
  </si>
  <si>
    <t>einen</t>
  </si>
  <si>
    <t>Luftballon</t>
  </si>
  <si>
    <t>aussuchen</t>
  </si>
  <si>
    <t>dürften</t>
  </si>
  <si>
    <t># text = Mein Bruder wollte einen roten, und ich wollte einen rosafarbenen.</t>
  </si>
  <si>
    <t>Mein</t>
  </si>
  <si>
    <t>wollte</t>
  </si>
  <si>
    <t>roten</t>
  </si>
  <si>
    <t>rosafarbenen</t>
  </si>
  <si>
    <t># text = Meine Mutter meinte, ich solte doch lieber einen blauen Luftballon haben.</t>
  </si>
  <si>
    <t>Meine</t>
  </si>
  <si>
    <t>meinte</t>
  </si>
  <si>
    <t>solte</t>
  </si>
  <si>
    <t>doch</t>
  </si>
  <si>
    <t>lieber</t>
  </si>
  <si>
    <t>blauen</t>
  </si>
  <si>
    <t># text = Aber ich sagte ihr, dass ich ganz bestimmt den rosafarbenen wollte.</t>
  </si>
  <si>
    <t>Aber</t>
  </si>
  <si>
    <t>ihr</t>
  </si>
  <si>
    <t>bestimmt</t>
  </si>
  <si>
    <t>den</t>
  </si>
  <si>
    <t># text = Und sie erinnerte mich daran, dass meine Lieblingsfarbe blau sei.</t>
  </si>
  <si>
    <t>erinnerte</t>
  </si>
  <si>
    <t>mich</t>
  </si>
  <si>
    <t>daran</t>
  </si>
  <si>
    <t>pron.padv</t>
  </si>
  <si>
    <t>Lieblingsfarbe</t>
  </si>
  <si>
    <t>blau</t>
  </si>
  <si>
    <t>sei</t>
  </si>
  <si>
    <t># text = Die Tatsache, dass meine jetzige Lieblingsfarbe blau ist, aber ich immer noch schwul bin – (Lachen) – zeigt sowohl den Einfluss meiner Mutter, als auch dessen Grenzen.</t>
  </si>
  <si>
    <t>Die</t>
  </si>
  <si>
    <t>Tatsache</t>
  </si>
  <si>
    <t>jetzige</t>
  </si>
  <si>
    <t>aber</t>
  </si>
  <si>
    <t>immer</t>
  </si>
  <si>
    <t>noch</t>
  </si>
  <si>
    <t>schwul</t>
  </si>
  <si>
    <t>bin</t>
  </si>
  <si>
    <t>Lachen</t>
  </si>
  <si>
    <t>zeigt</t>
  </si>
  <si>
    <t>sowohl</t>
  </si>
  <si>
    <t>Einfluss</t>
  </si>
  <si>
    <t>auch</t>
  </si>
  <si>
    <t>dessen</t>
  </si>
  <si>
    <t>Grenzen</t>
  </si>
  <si>
    <t>def-np.dem</t>
  </si>
  <si>
    <t># text = (Lachen) Als ich klein war, sagte meine Mutter immer: "Die Liebe, die du für deine Kinder empfindest, ist einzigartig.</t>
  </si>
  <si>
    <t>klein</t>
  </si>
  <si>
    <t>Liebe</t>
  </si>
  <si>
    <t>du</t>
  </si>
  <si>
    <t>deine</t>
  </si>
  <si>
    <t>Kinder</t>
  </si>
  <si>
    <t>empfindest</t>
  </si>
  <si>
    <t>einzigartig</t>
  </si>
  <si>
    <t># text = Und bevor du nicht selbst Kinder hast, wirst du nicht verstehen, was ich meine."</t>
  </si>
  <si>
    <t>bevor</t>
  </si>
  <si>
    <t>nicht</t>
  </si>
  <si>
    <t>selbst</t>
  </si>
  <si>
    <t>hast</t>
  </si>
  <si>
    <t>wirst</t>
  </si>
  <si>
    <t># text = Als Kind nahm ich das als das größte Kompliment, dass sie so ihre Mutterrolle für mich und meinen Bruder beschreiben würde.</t>
  </si>
  <si>
    <t>Kind</t>
  </si>
  <si>
    <t>nahm</t>
  </si>
  <si>
    <t>größte</t>
  </si>
  <si>
    <t>Kompliment</t>
  </si>
  <si>
    <t>ihre</t>
  </si>
  <si>
    <t>Mutterrolle</t>
  </si>
  <si>
    <t>beschreiben</t>
  </si>
  <si>
    <t>würde</t>
  </si>
  <si>
    <t># text = Als Teenager dachte ich, dass ich schwul sei und somit wahrscheinlich keine Familie haben würde.</t>
  </si>
  <si>
    <t>Teenager</t>
  </si>
  <si>
    <t>dachte</t>
  </si>
  <si>
    <t>SBJ_4</t>
  </si>
  <si>
    <t>somit</t>
  </si>
  <si>
    <t>wahrscheinlich</t>
  </si>
  <si>
    <t>Familie</t>
  </si>
  <si>
    <t># text = Und es verunsicherte mich, wenn sie es sagte.</t>
  </si>
  <si>
    <t>verunsicherte</t>
  </si>
  <si>
    <t>wenn</t>
  </si>
  <si>
    <t># text = Und nachdem ich mein Coming-out hatte, und sie fortfuhr, es zu sagen, machte es mich wütend.</t>
  </si>
  <si>
    <t>nachdem</t>
  </si>
  <si>
    <t>mein</t>
  </si>
  <si>
    <t>Coming</t>
  </si>
  <si>
    <t>out</t>
  </si>
  <si>
    <t>hatte</t>
  </si>
  <si>
    <t>fortfuhr</t>
  </si>
  <si>
    <t>machte</t>
  </si>
  <si>
    <t>wütend</t>
  </si>
  <si>
    <t># text = Ich sagte: "Ich bin schwul.</t>
  </si>
  <si>
    <t>Ich</t>
  </si>
  <si>
    <t># text = Das ist nicht der Weg, auf dem ich mich befinde.</t>
  </si>
  <si>
    <t>Weg</t>
  </si>
  <si>
    <t>auf</t>
  </si>
  <si>
    <t>befinde</t>
  </si>
  <si>
    <t># text = Und ich möchte, dass du aufhörst, das zu sagen.\"</t>
  </si>
  <si>
    <t>möchte</t>
  </si>
  <si>
    <t>aufhörst</t>
  </si>
  <si>
    <t># text = Vor etwa 20 Jahren bat mich meine Redaktion bei der New York Times, einen Artikel über die Gehörlosenkultur zu schreiben.</t>
  </si>
  <si>
    <t>Vor</t>
  </si>
  <si>
    <t>Jahren</t>
  </si>
  <si>
    <t>bat</t>
  </si>
  <si>
    <t>Redaktion</t>
  </si>
  <si>
    <t>bei</t>
  </si>
  <si>
    <t>New</t>
  </si>
  <si>
    <t>York</t>
  </si>
  <si>
    <t>Times</t>
  </si>
  <si>
    <t>Artikel</t>
  </si>
  <si>
    <t>über</t>
  </si>
  <si>
    <t>Gehörlosenkultur</t>
  </si>
  <si>
    <t># text = Und ich war ziemlich verblüfft.</t>
  </si>
  <si>
    <t>ziemlich</t>
  </si>
  <si>
    <t>verblüfft</t>
  </si>
  <si>
    <t># text = Ich hatte Taubheit immer als eine Krankheit betrachtet.</t>
  </si>
  <si>
    <t>Taubheit</t>
  </si>
  <si>
    <t># text = Diese armen Menschen.</t>
  </si>
  <si>
    <t>Diese</t>
  </si>
  <si>
    <t>armen</t>
  </si>
  <si>
    <t>Menschen</t>
  </si>
  <si>
    <t># text = Sie können nicht hören.</t>
  </si>
  <si>
    <t>können</t>
  </si>
  <si>
    <t># text = Sie sind gehörlos.</t>
  </si>
  <si>
    <t>sind</t>
  </si>
  <si>
    <t>gehörlos</t>
  </si>
  <si>
    <t># text = Was können wir für sie tun?</t>
  </si>
  <si>
    <t>Was</t>
  </si>
  <si>
    <t># text = Und dann begab ich mich in die Gehörlosenwelt.</t>
  </si>
  <si>
    <t>dann</t>
  </si>
  <si>
    <t>begab</t>
  </si>
  <si>
    <t>in</t>
  </si>
  <si>
    <t>Gehörlosenwelt</t>
  </si>
  <si>
    <t># text = Ich besuchte Gehörlosenvereine.</t>
  </si>
  <si>
    <t>besuchte</t>
  </si>
  <si>
    <t>Gehörlosenvereine</t>
  </si>
  <si>
    <t># text = Ich ging zu Theateraufführungen und Gedichtvorträgen von Gehörlosen.</t>
  </si>
  <si>
    <t>Theateraufführungen</t>
  </si>
  <si>
    <t>Gedichtvorträgen</t>
  </si>
  <si>
    <t>von</t>
  </si>
  <si>
    <t>Gehörlosen</t>
  </si>
  <si>
    <t># text = Und für die Wahl zur "Miss Deaf America" fuhr ich sogar bis nach Nashville, Tennessee, wo sich die Menschen über die undeutliche Zeichensprache der Südstaatler beschwerten.</t>
  </si>
  <si>
    <t>Wahl</t>
  </si>
  <si>
    <t>Miss</t>
  </si>
  <si>
    <t>Deaf</t>
  </si>
  <si>
    <t>America</t>
  </si>
  <si>
    <t>fuhr</t>
  </si>
  <si>
    <t>sogar</t>
  </si>
  <si>
    <t>bis</t>
  </si>
  <si>
    <t>nach</t>
  </si>
  <si>
    <t>Nashville</t>
  </si>
  <si>
    <t>Tennessee</t>
  </si>
  <si>
    <t>wo</t>
  </si>
  <si>
    <t>undeutliche</t>
  </si>
  <si>
    <t>Zeichensprache</t>
  </si>
  <si>
    <t>Südstaatler</t>
  </si>
  <si>
    <t>beschwerten</t>
  </si>
  <si>
    <t># text = Und als ich immer mehr in die Gehörlosenwelt eintauchte, wurde mir bewusst, dass Gehörlosigkeit eine Kultur war, und dass die Menschen aus dieser Kultur, die sagten: \"Wir sind nicht 'gehör-los', sondern Mitglieder einer Kultur\", etwas sagten, das mir etwas gab.</t>
  </si>
  <si>
    <t>mehr</t>
  </si>
  <si>
    <t>eintauchte</t>
  </si>
  <si>
    <t>mir</t>
  </si>
  <si>
    <t>bewusst</t>
  </si>
  <si>
    <t>Gehörlosigkeit</t>
  </si>
  <si>
    <t>Kultur</t>
  </si>
  <si>
    <t>SBJ_5</t>
  </si>
  <si>
    <t>dieser</t>
  </si>
  <si>
    <t>other_6</t>
  </si>
  <si>
    <t>other_5</t>
  </si>
  <si>
    <t>SBJ_7</t>
  </si>
  <si>
    <t>sagten</t>
  </si>
  <si>
    <t>Wir</t>
  </si>
  <si>
    <t>'</t>
  </si>
  <si>
    <t>gehör-</t>
  </si>
  <si>
    <t>los</t>
  </si>
  <si>
    <t>sondern</t>
  </si>
  <si>
    <t>Mitglieder</t>
  </si>
  <si>
    <t>etwas</t>
  </si>
  <si>
    <t>OBJ_4</t>
  </si>
  <si>
    <t>gab</t>
  </si>
  <si>
    <t># text = Es war nicht meine Kultur, und ich hatte auch nicht vor, ihr spontan beizutreten, aber ich schätzte, dass es eine Kultur war und es für die Menschen, die ihr angehörten, von so großer Bedeutung war wie die Latino-, Schwulen- oder jüdische Kultur.</t>
  </si>
  <si>
    <t>Es</t>
  </si>
  <si>
    <t>vor</t>
  </si>
  <si>
    <t>spontan</t>
  </si>
  <si>
    <t>beizutreten</t>
  </si>
  <si>
    <t>schätzte</t>
  </si>
  <si>
    <t>OBJ_6</t>
  </si>
  <si>
    <t>SBJ_8</t>
  </si>
  <si>
    <t>OBJ_8</t>
  </si>
  <si>
    <t>angehörten</t>
  </si>
  <si>
    <t>großer</t>
  </si>
  <si>
    <t>Bedeutung</t>
  </si>
  <si>
    <t>other_7</t>
  </si>
  <si>
    <t>Latino</t>
  </si>
  <si>
    <t>other_8</t>
  </si>
  <si>
    <t>Schwulen</t>
  </si>
  <si>
    <t>other_9</t>
  </si>
  <si>
    <t>oder</t>
  </si>
  <si>
    <t>jüdische</t>
  </si>
  <si>
    <t># text = Es schien fast genauso wichtig wie die Amerikanische Kultur.</t>
  </si>
  <si>
    <t>schien</t>
  </si>
  <si>
    <t>fast</t>
  </si>
  <si>
    <t>genauso</t>
  </si>
  <si>
    <t>wichtig</t>
  </si>
  <si>
    <t>Amerikanische</t>
  </si>
  <si>
    <t># text = Dann bekam die Freundin einer Freundin eine kleinwüchsige Tochter.</t>
  </si>
  <si>
    <t>Dann</t>
  </si>
  <si>
    <t>bekam</t>
  </si>
  <si>
    <t>Freundin</t>
  </si>
  <si>
    <t>kleinwüchsige</t>
  </si>
  <si>
    <t>Tochter</t>
  </si>
  <si>
    <t># text = Und mit der Geburt ihrer Tochter, musste sie sich plötzlich mit Fragen auseinandersetzen, die nun auch für mich anfingen von großer Bedeutung zu sein.</t>
  </si>
  <si>
    <t>Geburt</t>
  </si>
  <si>
    <t>ihrer</t>
  </si>
  <si>
    <t>musste</t>
  </si>
  <si>
    <t>plötzlich</t>
  </si>
  <si>
    <t>Fragen</t>
  </si>
  <si>
    <t>nun</t>
  </si>
  <si>
    <t>anfingen</t>
  </si>
  <si>
    <t>sein</t>
  </si>
  <si>
    <t># text = Sie stand vor der Entscheidung, was sie mit diesem Kind tun sollte.</t>
  </si>
  <si>
    <t>stand</t>
  </si>
  <si>
    <t>Entscheidung</t>
  </si>
  <si>
    <t>diesem</t>
  </si>
  <si>
    <t># text = Sollte sie sagen: "Du bist genauso wie alle anderen, nur ein bisschen kleiner?"</t>
  </si>
  <si>
    <t>Sollte</t>
  </si>
  <si>
    <t>Du</t>
  </si>
  <si>
    <t>bist</t>
  </si>
  <si>
    <t>alle</t>
  </si>
  <si>
    <t>anderen</t>
  </si>
  <si>
    <t>bisschen</t>
  </si>
  <si>
    <t>kleiner</t>
  </si>
  <si>
    <t># text = Oder sollte sie versuchen, eine Art Kleinwüchsigenidentität für sie zu schaffen, sich in der Organisation \"Little People of America\" zu engagieren, und sich zu informieren, was es Neues in der Welt der Kleinwüchsigen gab?</t>
  </si>
  <si>
    <t>Oder</t>
  </si>
  <si>
    <t>Art</t>
  </si>
  <si>
    <t>Kleinwüchsigenidentität</t>
  </si>
  <si>
    <t>Organisation</t>
  </si>
  <si>
    <t>Little</t>
  </si>
  <si>
    <t>People</t>
  </si>
  <si>
    <t>of</t>
  </si>
  <si>
    <t>engagieren</t>
  </si>
  <si>
    <t>informieren</t>
  </si>
  <si>
    <t>Neues</t>
  </si>
  <si>
    <t>Welt</t>
  </si>
  <si>
    <t>def-np.poss</t>
  </si>
  <si>
    <t>Kleinwüchsigen</t>
  </si>
  <si>
    <t># text = Und da dachte ich plötzlich, dass die meisten tauben Kinder hörende Eltern haben, und diese in der Regel versuchen, ihre Kinder zu heilen.</t>
  </si>
  <si>
    <t>da</t>
  </si>
  <si>
    <t>meisten</t>
  </si>
  <si>
    <t>tauben</t>
  </si>
  <si>
    <t>hörende</t>
  </si>
  <si>
    <t>diese</t>
  </si>
  <si>
    <t>Regel</t>
  </si>
  <si>
    <t># text = Diese tauben Menschen entdecken irgendwann im Erwachsenenalter \"Gemeinschaft\" für sich.</t>
  </si>
  <si>
    <t>irgendwann</t>
  </si>
  <si>
    <t>Erwachsenenalter</t>
  </si>
  <si>
    <t>Gemeinschaft</t>
  </si>
  <si>
    <t># text = Die meisten homosexuellen Menschen haben heterosexuelle Eltern.</t>
  </si>
  <si>
    <t>homosexuellen</t>
  </si>
  <si>
    <t>heterosexuelle</t>
  </si>
  <si>
    <t># text = Diese Eltern wollen oft, dass ihre Kinder funktonieren in der in ihrer Sicht normalen Welt, und diese homosexuellen Menschen müssen dann später eine Identität für sich finden.</t>
  </si>
  <si>
    <t>oft</t>
  </si>
  <si>
    <t>funktonieren</t>
  </si>
  <si>
    <t>normalen</t>
  </si>
  <si>
    <t>müssen</t>
  </si>
  <si>
    <t>später</t>
  </si>
  <si>
    <t># text = Und nun war da diese Freundin von mir, die sich mit ihrer kleinwüchsigen Tochter mit der Frage nach Identität auseinandersetzte.</t>
  </si>
  <si>
    <t>kleinwüchsigen</t>
  </si>
  <si>
    <t>auseinandersetzte</t>
  </si>
  <si>
    <t># text = Ich dachte, da ist es wieder: Eine Familie, die sich selbst als normal wahrnimmt mit einem Kind, das außergewöhnlich erscheint.</t>
  </si>
  <si>
    <t>wieder</t>
  </si>
  <si>
    <t>Eine</t>
  </si>
  <si>
    <t>normal</t>
  </si>
  <si>
    <t>wahrnimmt</t>
  </si>
  <si>
    <t>einem</t>
  </si>
  <si>
    <t>außergewöhnlich</t>
  </si>
  <si>
    <t>erscheint</t>
  </si>
  <si>
    <t># text = Ich entwickelte also diesen Gedanken, dass es in Wirklichkeit zwei Arten von Identität gibt.</t>
  </si>
  <si>
    <t>entwickelte</t>
  </si>
  <si>
    <t>also</t>
  </si>
  <si>
    <t>diesen</t>
  </si>
  <si>
    <t>Gedanken</t>
  </si>
  <si>
    <t>Wirklichkeit</t>
  </si>
  <si>
    <t>zwei</t>
  </si>
  <si>
    <t>Arten</t>
  </si>
  <si>
    <t>gibt</t>
  </si>
  <si>
    <t># text = Es gibt vertikale Identitäten, die generationsbedingt von Eltern an ihre Kinder weitergegeben werden.</t>
  </si>
  <si>
    <t>vertikale</t>
  </si>
  <si>
    <t>Identitäten</t>
  </si>
  <si>
    <t>generationsbedingt</t>
  </si>
  <si>
    <t>an</t>
  </si>
  <si>
    <t>weitergegeben</t>
  </si>
  <si>
    <t># text = Das sind Dinge wie ethnische Zugehörigkeit, häufig Nationalität, Sprache und oftmals Religion.</t>
  </si>
  <si>
    <t>Dinge</t>
  </si>
  <si>
    <t>ethnische</t>
  </si>
  <si>
    <t>Zugehörigkeit</t>
  </si>
  <si>
    <t>häufig</t>
  </si>
  <si>
    <t>Nationalität</t>
  </si>
  <si>
    <t>Sprache</t>
  </si>
  <si>
    <t>oftmals</t>
  </si>
  <si>
    <t>Religion</t>
  </si>
  <si>
    <t># text = Dinge, die Sie mit Ihren Eltern und Kindern gemein haben.</t>
  </si>
  <si>
    <t>Ihren</t>
  </si>
  <si>
    <t>Kindern</t>
  </si>
  <si>
    <t>gemein</t>
  </si>
  <si>
    <t># text = Und obwohl einige davon problematisch sein können, versucht man in der Regel nicht, sie zu heilen.</t>
  </si>
  <si>
    <t>obwohl</t>
  </si>
  <si>
    <t>einige</t>
  </si>
  <si>
    <t>davon</t>
  </si>
  <si>
    <t>problematisch</t>
  </si>
  <si>
    <t>versucht</t>
  </si>
  <si>
    <t>man</t>
  </si>
  <si>
    <t># text = Man kann argumentieren, dass es in den Vereinigten Staaten schwieriger ist – und das ungeachtet unseres aktuellen Präsidenten – farbig zu sein.</t>
  </si>
  <si>
    <t>Man</t>
  </si>
  <si>
    <t>kann</t>
  </si>
  <si>
    <t>Vereinigten</t>
  </si>
  <si>
    <t>Staaten</t>
  </si>
  <si>
    <t>schwieriger</t>
  </si>
  <si>
    <t>ungeachtet</t>
  </si>
  <si>
    <t>aktuellen</t>
  </si>
  <si>
    <t>Präsidenten</t>
  </si>
  <si>
    <t>farbig</t>
  </si>
  <si>
    <t># text = Und trotzdem versucht niemand alles daran zu setzen, dass die nächste Generation von Kindern afro-amerikanischer oder asiatischer Eltern mit cremefarbener Haut und blondem Haar auf die Welt kommt.</t>
  </si>
  <si>
    <t>trotzdem</t>
  </si>
  <si>
    <t>niemand</t>
  </si>
  <si>
    <t>alles</t>
  </si>
  <si>
    <t>setzen</t>
  </si>
  <si>
    <t>nächste</t>
  </si>
  <si>
    <t>Generation</t>
  </si>
  <si>
    <t>afro-</t>
  </si>
  <si>
    <t>amerikanischer</t>
  </si>
  <si>
    <t>asiatischer</t>
  </si>
  <si>
    <t>cremefarbener</t>
  </si>
  <si>
    <t>Haut</t>
  </si>
  <si>
    <t>blondem</t>
  </si>
  <si>
    <t>Haar</t>
  </si>
  <si>
    <t>kommt</t>
  </si>
  <si>
    <t># text = Dann gibt es die anderen Identitäten, die man im Umgang mit Gleichgesinnten erlernt.</t>
  </si>
  <si>
    <t>def-np.the.other</t>
  </si>
  <si>
    <t>Umgang</t>
  </si>
  <si>
    <t>Gleichgesinnten</t>
  </si>
  <si>
    <t>erlernt</t>
  </si>
  <si>
    <t># text = Diese bezeichne ich als horizontale Identitäten, denn der Kontakt zu Gleichgesinnten stellt eine horizontale Erfahrung dar.</t>
  </si>
  <si>
    <t>horizontale</t>
  </si>
  <si>
    <t>denn</t>
  </si>
  <si>
    <t>Kontakt</t>
  </si>
  <si>
    <t>Erfahrung</t>
  </si>
  <si>
    <t># text = Das sind Identitäten, die Ihren Eltern fremd sind und die man dann selbst im Umgang mit Gleichgesinnten entdecken muss.</t>
  </si>
  <si>
    <t>fremd</t>
  </si>
  <si>
    <t>muss</t>
  </si>
  <si>
    <t># text = Und diese Identitäten, diese horizontalen Identitäten, haben Menschen seit jeher zu heilen versucht.</t>
  </si>
  <si>
    <t>horizontalen</t>
  </si>
  <si>
    <t>seit</t>
  </si>
  <si>
    <t>jeher</t>
  </si>
  <si>
    <t># text = Ich wollte also sehen, wie der Prozess aussieht, mit dem es Leuten, die solche Identitäten besitzen, gelingt, sich mit ihnen zu arrangieren.</t>
  </si>
  <si>
    <t>Prozess</t>
  </si>
  <si>
    <t>aussieht</t>
  </si>
  <si>
    <t>Leuten</t>
  </si>
  <si>
    <t>solche</t>
  </si>
  <si>
    <t>besitzen</t>
  </si>
  <si>
    <t>gelingt</t>
  </si>
  <si>
    <t>ihnen</t>
  </si>
  <si>
    <t>arrangieren</t>
  </si>
  <si>
    <t># text = Und es schien, dass es drei Stufen der Akzeptanz gibt, die alle zum Tragen kommen mussten.</t>
  </si>
  <si>
    <t>Stufen</t>
  </si>
  <si>
    <t>Akzeptanz</t>
  </si>
  <si>
    <t>Tragen</t>
  </si>
  <si>
    <t>mussten</t>
  </si>
  <si>
    <t># text = Da war die Eigenakzeptanz, die Akzeptanz der Familie und die gesellschaftliche Akzeptanz.</t>
  </si>
  <si>
    <t>Da</t>
  </si>
  <si>
    <t>Eigenakzeptanz</t>
  </si>
  <si>
    <t>gesellschaftliche</t>
  </si>
  <si>
    <t># text = Und die drei überschneiden sich nicht immer.</t>
  </si>
  <si>
    <t># text = Oft ist es so, dass die Betroffenen voller Wut sind, weil sie das Gefühl haben, dass ihre Eltern sie nicht lieben, dabei ist es in Wahrheit nur so, dass ihre Eltern sie nicht akzeptieren.</t>
  </si>
  <si>
    <t>Oft</t>
  </si>
  <si>
    <t>Betroffenen</t>
  </si>
  <si>
    <t>voller</t>
  </si>
  <si>
    <t>Wut</t>
  </si>
  <si>
    <t>weil</t>
  </si>
  <si>
    <t>Gefühl</t>
  </si>
  <si>
    <t>lieben</t>
  </si>
  <si>
    <t>dabei</t>
  </si>
  <si>
    <t>Wahrheit</t>
  </si>
  <si>
    <t># text = Liebe ist etwas, das im Idealfall bedingungslos in der Beziehung zwischen Eltern und Kind existiert.</t>
  </si>
  <si>
    <t>Idealfall</t>
  </si>
  <si>
    <t>bedingungslos</t>
  </si>
  <si>
    <t>Beziehung</t>
  </si>
  <si>
    <t>zwischen</t>
  </si>
  <si>
    <t>existiert</t>
  </si>
  <si>
    <t># text = Aber Akzeptanz ist etwas, das seine Zeit braucht.</t>
  </si>
  <si>
    <t>seine</t>
  </si>
  <si>
    <t>Zeit</t>
  </si>
  <si>
    <t>braucht</t>
  </si>
  <si>
    <t># text = Es braucht immer Zeit.</t>
  </si>
  <si>
    <t># text = Einer der kleinwüchsigen Männer, die ich kennenlernte, war Clinton Brown.</t>
  </si>
  <si>
    <t>Einer</t>
  </si>
  <si>
    <t>Männer</t>
  </si>
  <si>
    <t>kennenlernte</t>
  </si>
  <si>
    <t>Clinton</t>
  </si>
  <si>
    <t>Brown</t>
  </si>
  <si>
    <t># text = Als er geboren wurde, wurde diastrophischer Zwergwuchs bei ihm diagnostiziert, ein sehr behindernder Zustand, und die Ärzte sagten seinen Eltern, er würde niemals gehen oder sprechen lernen, keine intellektuellen Fähigkeiten entwickeln, und sie wahrscheinlich nicht einmal erkennen.</t>
  </si>
  <si>
    <t>er</t>
  </si>
  <si>
    <t>geboren</t>
  </si>
  <si>
    <t>diastrophischer</t>
  </si>
  <si>
    <t>Zwergwuchs</t>
  </si>
  <si>
    <t>ihm</t>
  </si>
  <si>
    <t>diagnostiziert</t>
  </si>
  <si>
    <t>sehr</t>
  </si>
  <si>
    <t>behindernder</t>
  </si>
  <si>
    <t>Zustand</t>
  </si>
  <si>
    <t>Ärzte</t>
  </si>
  <si>
    <t>seinen</t>
  </si>
  <si>
    <t>niemals</t>
  </si>
  <si>
    <t>lernen</t>
  </si>
  <si>
    <t>intellektuellen</t>
  </si>
  <si>
    <t>Fähigkeiten</t>
  </si>
  <si>
    <t>einmal</t>
  </si>
  <si>
    <t>erkennen</t>
  </si>
  <si>
    <t># text = Man empfahl ihnen, ihren Sohn im Krankenhaus zurückzulassen, sodass er dort in Ruhe sterben konnte.</t>
  </si>
  <si>
    <t>empfahl</t>
  </si>
  <si>
    <t>ihren</t>
  </si>
  <si>
    <t>Sohn</t>
  </si>
  <si>
    <t>Krankenhaus</t>
  </si>
  <si>
    <t>zurückzulassen</t>
  </si>
  <si>
    <t>sodass</t>
  </si>
  <si>
    <t>dort</t>
  </si>
  <si>
    <t>Ruhe</t>
  </si>
  <si>
    <t>sterben</t>
  </si>
  <si>
    <t>konnte</t>
  </si>
  <si>
    <t># text = Und seine Mutter sagte, dass sie das nicht tun würde.</t>
  </si>
  <si>
    <t># text = Sie nahm ihren Sohn mit nach Hause.</t>
  </si>
  <si>
    <t>Hause</t>
  </si>
  <si>
    <t># text = Und obwohl sie aus erzieherischer oder finanzieller Sicht nicht sehr begünstigt war, fand sie den besten Arzt im Land für die Behandlung von diastrophischem Zwergwuchs, und übergab ihn in seine medizinische Obhut.</t>
  </si>
  <si>
    <t>erzieherischer</t>
  </si>
  <si>
    <t>finanzieller</t>
  </si>
  <si>
    <t>begünstigt</t>
  </si>
  <si>
    <t>fand</t>
  </si>
  <si>
    <t>besten</t>
  </si>
  <si>
    <t>Arzt</t>
  </si>
  <si>
    <t>Land</t>
  </si>
  <si>
    <t>Behandlung</t>
  </si>
  <si>
    <t>diastrophischem</t>
  </si>
  <si>
    <t>übergab</t>
  </si>
  <si>
    <t>ihn</t>
  </si>
  <si>
    <t>medizinische</t>
  </si>
  <si>
    <t>Obhut</t>
  </si>
  <si>
    <t># text = Im Laufe seiner Kindheit musste er sich 30 größeren chirurgischen Eingriffen unterziehen.</t>
  </si>
  <si>
    <t>In</t>
  </si>
  <si>
    <t>Laufe</t>
  </si>
  <si>
    <t>seiner</t>
  </si>
  <si>
    <t>Kindheit</t>
  </si>
  <si>
    <t>größeren</t>
  </si>
  <si>
    <t>chirurgischen</t>
  </si>
  <si>
    <t>Eingriffen</t>
  </si>
  <si>
    <t>unterziehen</t>
  </si>
  <si>
    <t># text = Und er verbrachte diese ganze Zeit ausschließlich im Krankenhaus, während er sich diesen Behandlungen unterzog, aufgrund derer er heute gehen kann.</t>
  </si>
  <si>
    <t>verbrachte</t>
  </si>
  <si>
    <t>ganze</t>
  </si>
  <si>
    <t>ausschließlich</t>
  </si>
  <si>
    <t>während</t>
  </si>
  <si>
    <t>Behandlungen</t>
  </si>
  <si>
    <t>unterzog</t>
  </si>
  <si>
    <t>aufgrund</t>
  </si>
  <si>
    <t>derer</t>
  </si>
  <si>
    <t>heute</t>
  </si>
  <si>
    <t># text = Während er dort war, schickten sie Nachhilfelehrer, um ihm bei seinen Hausaufgaben zu helfen.</t>
  </si>
  <si>
    <t>Während</t>
  </si>
  <si>
    <t>schickten</t>
  </si>
  <si>
    <t>Nachhilfelehrer</t>
  </si>
  <si>
    <t>um</t>
  </si>
  <si>
    <t>Hausaufgaben</t>
  </si>
  <si>
    <t># text = Und er arbeitete sehr hart, weil es sonst nicht viel zu tun gab.</t>
  </si>
  <si>
    <t>arbeitete</t>
  </si>
  <si>
    <t>hart</t>
  </si>
  <si>
    <t>sonst</t>
  </si>
  <si>
    <t>viel</t>
  </si>
  <si>
    <t># text = Und am Ende schaffte er es auf ein Bildungsniveau, das niemand in seiner Familie je zuvor in Erwägung gezogen hatte.</t>
  </si>
  <si>
    <t>schaffte</t>
  </si>
  <si>
    <t>Bildungsniveau</t>
  </si>
  <si>
    <t>je</t>
  </si>
  <si>
    <t>zuvor</t>
  </si>
  <si>
    <t>Erwägung</t>
  </si>
  <si>
    <t>gezogen</t>
  </si>
  <si>
    <t># text = Tatsächlich war er der Erste in seiner Familie, der an einer Universität studierte, wo er auf dem Campus lebte und ein speziell für ihn ausgestattetes Auto fuhr, das seinem ungewöhnlichen Körper angepasst war.</t>
  </si>
  <si>
    <t>Tatsächlich</t>
  </si>
  <si>
    <t>Erste</t>
  </si>
  <si>
    <t>Universität</t>
  </si>
  <si>
    <t>studierte</t>
  </si>
  <si>
    <t>Campus</t>
  </si>
  <si>
    <t>lebte</t>
  </si>
  <si>
    <t>speziell</t>
  </si>
  <si>
    <t>ausgestattetes</t>
  </si>
  <si>
    <t>Auto</t>
  </si>
  <si>
    <t>OBJ_5</t>
  </si>
  <si>
    <t>seinem</t>
  </si>
  <si>
    <t>ungewöhnlichen</t>
  </si>
  <si>
    <t>Körper</t>
  </si>
  <si>
    <t>angepasst</t>
  </si>
  <si>
    <t># text = Seine Mutter erzählte mir die Geschichte, als sie nach Hause kam – und er besuchte die örtliche Universität – Sie sagte: "Ich sah sein Auto, das man immer erkannte, auf dem Parkplatz vor einer Bar."</t>
  </si>
  <si>
    <t>Seine</t>
  </si>
  <si>
    <t>erzählte</t>
  </si>
  <si>
    <t>Geschichte</t>
  </si>
  <si>
    <t>kam</t>
  </si>
  <si>
    <t>örtliche</t>
  </si>
  <si>
    <t>sah</t>
  </si>
  <si>
    <t>erkannte</t>
  </si>
  <si>
    <t>Parkplatz</t>
  </si>
  <si>
    <t>Bar</t>
  </si>
  <si>
    <t># text = (Lachen) \"Und ich dachte: Die sind 1,80 Meter groß und er misst nicht einmal einen Meter.</t>
  </si>
  <si>
    <t>1,80</t>
  </si>
  <si>
    <t>Meter</t>
  </si>
  <si>
    <t>groß</t>
  </si>
  <si>
    <t>misst</t>
  </si>
  <si>
    <t># text = Zwei Bier für sie, sind vier Bier für ihn."</t>
  </si>
  <si>
    <t>Zwei</t>
  </si>
  <si>
    <t>Bier</t>
  </si>
  <si>
    <t>vier</t>
  </si>
  <si>
    <t># text = Sie sagte: "Ich wusste, dass ich dort nicht reingehen konnte, um ihn zu stoppen, aber ich fuhr heim und hinterließ ihm acht Nachrichten auf seinem Handy."</t>
  </si>
  <si>
    <t>wusste</t>
  </si>
  <si>
    <t>reingehen</t>
  </si>
  <si>
    <t>stoppen</t>
  </si>
  <si>
    <t>heim</t>
  </si>
  <si>
    <t>hinterließ</t>
  </si>
  <si>
    <t>acht</t>
  </si>
  <si>
    <t>Nachrichten</t>
  </si>
  <si>
    <t>Handy</t>
  </si>
  <si>
    <t># text = Sie sagte: \"Und dann dachte ich, wenn mir jemand, als er geboren wurde, gesagt hätte, dass meine zukünftige Sorge wäre, dass er angeheitert mit seinen College-Freunden rumfährt –\" Und ich fragte sie: \"Was denkst du hast du gemacht, das ihn zu dieser charmanten, versierten und wunderbaren Person heranwachsen ließ?\"</t>
  </si>
  <si>
    <t>jemand</t>
  </si>
  <si>
    <t>gesagt</t>
  </si>
  <si>
    <t>hätte</t>
  </si>
  <si>
    <t>zukünftige</t>
  </si>
  <si>
    <t>Sorge</t>
  </si>
  <si>
    <t>wäre</t>
  </si>
  <si>
    <t>angeheitert</t>
  </si>
  <si>
    <t>College</t>
  </si>
  <si>
    <t>Freunden</t>
  </si>
  <si>
    <t>rumfährt</t>
  </si>
  <si>
    <t>fragte</t>
  </si>
  <si>
    <t>denkst</t>
  </si>
  <si>
    <t>SBJ_6</t>
  </si>
  <si>
    <t>gemacht</t>
  </si>
  <si>
    <t>charmanten</t>
  </si>
  <si>
    <t>versierten</t>
  </si>
  <si>
    <t>wunderbaren</t>
  </si>
  <si>
    <t>Person</t>
  </si>
  <si>
    <t>OBJ_7</t>
  </si>
  <si>
    <t>heranwachsen</t>
  </si>
  <si>
    <t>ließ</t>
  </si>
  <si>
    <t># text = Und sie sagte: \"Was ich gemacht habe?</t>
  </si>
  <si>
    <t>habe</t>
  </si>
  <si>
    <t># text = Ich habe ihm all meine Liebe geschenkt, das ist alles.</t>
  </si>
  <si>
    <t>all</t>
  </si>
  <si>
    <t>geschenkt</t>
  </si>
  <si>
    <t># text = Clinton hatte einfach immer dieses Leuchten an sich.</t>
  </si>
  <si>
    <t>einfach</t>
  </si>
  <si>
    <t>dieses</t>
  </si>
  <si>
    <t>Leuchten</t>
  </si>
  <si>
    <t># text = Und sein Vater und ich hatten das große Glück, die ersten zu sein, die es zu sehen bekamen."</t>
  </si>
  <si>
    <t>Vater</t>
  </si>
  <si>
    <t>hatten</t>
  </si>
  <si>
    <t>große</t>
  </si>
  <si>
    <t>Glück</t>
  </si>
  <si>
    <t>ersten</t>
  </si>
  <si>
    <t>bekamen</t>
  </si>
  <si>
    <t># text = Ich möchte nun etwas aus einem weiteren Magazin aus den 60ern zitieren.</t>
  </si>
  <si>
    <t>weiteren</t>
  </si>
  <si>
    <t>Magazin</t>
  </si>
  <si>
    <t>60ern</t>
  </si>
  <si>
    <t># text = Dieses stammt von 1968 – aus dem Atlantic Monthly, der Stimme des Liberalen Amerikas – geschrieben von einem bedeutenden Bioethiker.</t>
  </si>
  <si>
    <t>Dieses</t>
  </si>
  <si>
    <t>stammt</t>
  </si>
  <si>
    <t>1968</t>
  </si>
  <si>
    <t>Atlantic</t>
  </si>
  <si>
    <t>Monthly</t>
  </si>
  <si>
    <t>Stimme</t>
  </si>
  <si>
    <t>des</t>
  </si>
  <si>
    <t>Liberalen</t>
  </si>
  <si>
    <t>Amerikas</t>
  </si>
  <si>
    <t>geschrieben</t>
  </si>
  <si>
    <t>bedeutenden</t>
  </si>
  <si>
    <t>Bioethiker</t>
  </si>
  <si>
    <t># text = Er sagte: \"Es gibt keinen Grund, sich schuldig zu fühlen, wenn man ein Kind mit Down-Syndrom weggibt, egal, ob es sich dabei um ein \"Weggeben\" im Sinne von \"in einem Heim verstecken\" handelt, oder ein \"Weggeben\" in einem noch verantwortungsbewussteren, todbringenden Sinne.</t>
  </si>
  <si>
    <t>Er</t>
  </si>
  <si>
    <t>keinen</t>
  </si>
  <si>
    <t>Grund</t>
  </si>
  <si>
    <t>schuldig</t>
  </si>
  <si>
    <t>Down</t>
  </si>
  <si>
    <t>Syndrom</t>
  </si>
  <si>
    <t>weggibt</t>
  </si>
  <si>
    <t>egal</t>
  </si>
  <si>
    <t>ob</t>
  </si>
  <si>
    <t>Weggeben</t>
  </si>
  <si>
    <t>Sinne</t>
  </si>
  <si>
    <t>Heim</t>
  </si>
  <si>
    <t>verstecken</t>
  </si>
  <si>
    <t>handelt</t>
  </si>
  <si>
    <t>verantwortungsbewussteren</t>
  </si>
  <si>
    <t>todbringenden</t>
  </si>
  <si>
    <t># text = Es ist traurig, ja – und schrecklich.</t>
  </si>
  <si>
    <t>traurig</t>
  </si>
  <si>
    <t>ja</t>
  </si>
  <si>
    <t>schrecklich</t>
  </si>
  <si>
    <t># text = Aber es entbehrt jeder Schuld.</t>
  </si>
  <si>
    <t>entbehrt</t>
  </si>
  <si>
    <t>jeder</t>
  </si>
  <si>
    <t>Schuld</t>
  </si>
  <si>
    <t># text = Wahre Schuld ergibt sich nur aus einer Straftat gegen eine Person, und jemand mit Down-Syndrom ist keine Person.\"</t>
  </si>
  <si>
    <t>Wahre</t>
  </si>
  <si>
    <t>ergibt</t>
  </si>
  <si>
    <t>Straftat</t>
  </si>
  <si>
    <t>gegen</t>
  </si>
  <si>
    <t># text = Es wurde schon viel über den enormen Fortschritt geschrieben, den wir gemacht haben, wenn es um die Behandlung von homosexuellen Menschen geht.</t>
  </si>
  <si>
    <t>schon</t>
  </si>
  <si>
    <t>enormen</t>
  </si>
  <si>
    <t>geht</t>
  </si>
  <si>
    <t># text = Den Beweis, dass sich unsere Einstellung geändert hat, sehen wir täglich in den Schlagzeilen.</t>
  </si>
  <si>
    <t>Den</t>
  </si>
  <si>
    <t>Beweis</t>
  </si>
  <si>
    <t>unsere</t>
  </si>
  <si>
    <t>Einstellung</t>
  </si>
  <si>
    <t>geändert</t>
  </si>
  <si>
    <t>hat</t>
  </si>
  <si>
    <t>täglich</t>
  </si>
  <si>
    <t>Schlagzeilen</t>
  </si>
  <si>
    <t># text = Aber wir vergessen, wie wir Menschen betrachtet haben, die \"anders\" waren, wie wir Menschen mit einer Behinderung angesehen haben, und für wie unmenschlich wir sie gehalten haben.</t>
  </si>
  <si>
    <t>anders</t>
  </si>
  <si>
    <t>waren</t>
  </si>
  <si>
    <t>Behinderung</t>
  </si>
  <si>
    <t>angesehen</t>
  </si>
  <si>
    <t>unmenschlich</t>
  </si>
  <si>
    <t>gehalten</t>
  </si>
  <si>
    <t># text = Der Wandel, den wir hier herbeigeführt haben, der in sich fast genauso radikal ist, ist einer, dem wir nicht sehr viel Aufmerksamkeit schenken.</t>
  </si>
  <si>
    <t>Der</t>
  </si>
  <si>
    <t>Wandel</t>
  </si>
  <si>
    <t>hier</t>
  </si>
  <si>
    <t>herbeigeführt</t>
  </si>
  <si>
    <t>radikal</t>
  </si>
  <si>
    <t>Aufmerksamkeit</t>
  </si>
  <si>
    <t># text = Eine der Familien, die ich interviewte, Tom und Karen Robards, zwei junge und erfolgreiche New Yorker, waren zutiefst erstaunt, als ihr erstes Kind mit Down-Syndrom diagnostiziert wurde.</t>
  </si>
  <si>
    <t>Familien</t>
  </si>
  <si>
    <t>interviewte</t>
  </si>
  <si>
    <t>Tom</t>
  </si>
  <si>
    <t>Karen</t>
  </si>
  <si>
    <t>Robards</t>
  </si>
  <si>
    <t>junge</t>
  </si>
  <si>
    <t>erfolgreiche</t>
  </si>
  <si>
    <t>Yorker</t>
  </si>
  <si>
    <t>zutiefst</t>
  </si>
  <si>
    <t>erstaunt</t>
  </si>
  <si>
    <t>erstes</t>
  </si>
  <si>
    <t># text = Sie waren der Meinung, die Bildungschancen für ihn waren nicht so, wie sie sein sollten, und so beschlossen sie, ein kleines Zentrum zu bauen – zwei Klassenzimmer, die sie zusammen mit ein paar Eltern gründeten, um Kinder mit Down Syndrom zu unterrichten.</t>
  </si>
  <si>
    <t>Meinung</t>
  </si>
  <si>
    <t>Bildungschancen</t>
  </si>
  <si>
    <t>sollten</t>
  </si>
  <si>
    <t>beschlossen</t>
  </si>
  <si>
    <t>kleines</t>
  </si>
  <si>
    <t>Zentrum</t>
  </si>
  <si>
    <t>bauen</t>
  </si>
  <si>
    <t>Klassenzimmer</t>
  </si>
  <si>
    <t>zusammen</t>
  </si>
  <si>
    <t>paar</t>
  </si>
  <si>
    <t>gründeten</t>
  </si>
  <si>
    <t>unterrichten</t>
  </si>
  <si>
    <t># text = Und über die Jahre entwickelte sich dieses Zentrum zum sogenannten Cooke-Center, wo heute Tausende und Abertausende von Kindern mit geistiger Behinderung unterrichtet werden.</t>
  </si>
  <si>
    <t>sogenannten</t>
  </si>
  <si>
    <t>Cooke</t>
  </si>
  <si>
    <t>Center</t>
  </si>
  <si>
    <t>Tausende</t>
  </si>
  <si>
    <t>Abertausende</t>
  </si>
  <si>
    <t>geistiger</t>
  </si>
  <si>
    <t>unterrichtet</t>
  </si>
  <si>
    <t># text = In der Zeit, die seit jenem Atlantic Monthly Artikel vergangen ist, hat sich die Lebenserwartung für Menschen mit Down-Syndrom verdreifacht.</t>
  </si>
  <si>
    <t>jenem</t>
  </si>
  <si>
    <t>vergangen</t>
  </si>
  <si>
    <t>Lebenserwartung</t>
  </si>
  <si>
    <t>verdreifacht</t>
  </si>
  <si>
    <t># text = Unter den Menschen mit Down-Syndrom finden sich heute Schauspieler, Schriftsteller, und einige, die im Erwachsenenalter ganz selbständig leben können.</t>
  </si>
  <si>
    <t>Unter</t>
  </si>
  <si>
    <t>Schauspieler</t>
  </si>
  <si>
    <t>Schriftsteller</t>
  </si>
  <si>
    <t>selbständig</t>
  </si>
  <si>
    <t># text = Vieles davon verdanken sie den Robards.</t>
  </si>
  <si>
    <t>Vieles</t>
  </si>
  <si>
    <t># text = Und ich fragte sie: "Bedauert ihr etwas?</t>
  </si>
  <si>
    <t>Bedauert</t>
  </si>
  <si>
    <t># text = Wünschtet ihr, euer Sohn würde nicht an Down-Syndrom leiden?</t>
  </si>
  <si>
    <t>Wünschtet</t>
  </si>
  <si>
    <t>euer</t>
  </si>
  <si>
    <t>leiden</t>
  </si>
  <si>
    <t># text = Wünschtet ihr, ihr hättet nie davon gehört?"</t>
  </si>
  <si>
    <t>hättet</t>
  </si>
  <si>
    <t>nie</t>
  </si>
  <si>
    <t>gehört</t>
  </si>
  <si>
    <t># text = Und interessanterweise sagte sein Vater: \"Für David, unseren Sohn, bedauere ich es, denn für ihn ist es kein leichtes Dasein in dieser Welt, und ich würde ihm gerne ein leichteres Leben schenken.</t>
  </si>
  <si>
    <t>interessanterweise</t>
  </si>
  <si>
    <t>Für</t>
  </si>
  <si>
    <t>David</t>
  </si>
  <si>
    <t>unseren</t>
  </si>
  <si>
    <t>bedauere</t>
  </si>
  <si>
    <t>leichtes</t>
  </si>
  <si>
    <t>Dasein</t>
  </si>
  <si>
    <t>gerne</t>
  </si>
  <si>
    <t>leichteres</t>
  </si>
  <si>
    <t># text = Aber, wenn wir alle Menschen mit Down-Syndrom verlören, wäre das ein katastrophaler Verlust."</t>
  </si>
  <si>
    <t>verlören</t>
  </si>
  <si>
    <t>katastrophaler</t>
  </si>
  <si>
    <t>Verlust</t>
  </si>
  <si>
    <t># text = Und Karen Robards sagte zu mir: "Ich stimme Tom zu.</t>
  </si>
  <si>
    <t>stimme</t>
  </si>
  <si>
    <t># text = Für David, würde ich diese Krankheit sofort heilen, um ihm ein leichteres Leben zu ermöglichen.</t>
  </si>
  <si>
    <t>sofort</t>
  </si>
  <si>
    <t>ermöglichen</t>
  </si>
  <si>
    <t># text = Aber wenn ich für mich spreche, dann hätte ich vor 23 Jahren, als er geboren wurde, nicht geglaubt, dass ich je an so weit kommen könnte – Mich persönlich hat es zu einer soviel besseren und liebenswürdigeren Person gemacht und meinem Leben so viel mehr Sinn gegeben, dass ich persönlich, es um nichts in der Welt aufgeben würde."</t>
  </si>
  <si>
    <t>spreche</t>
  </si>
  <si>
    <t>geglaubt</t>
  </si>
  <si>
    <t>könnte</t>
  </si>
  <si>
    <t>Mich</t>
  </si>
  <si>
    <t>persönlich</t>
  </si>
  <si>
    <t>soviel</t>
  </si>
  <si>
    <t>besseren</t>
  </si>
  <si>
    <t>liebenswürdigeren</t>
  </si>
  <si>
    <t>Sinn</t>
  </si>
  <si>
    <t>gegeben</t>
  </si>
  <si>
    <t>nichts</t>
  </si>
  <si>
    <t>aufgeben</t>
  </si>
  <si>
    <t># text = Wir leben in einer Zeit, in der die gesellschaftliche Akzeptanz für diese und viele andere Konditionen immer größer wird.</t>
  </si>
  <si>
    <t>viele</t>
  </si>
  <si>
    <t>andere</t>
  </si>
  <si>
    <t>Konditionen</t>
  </si>
  <si>
    <t>größer</t>
  </si>
  <si>
    <t>wird</t>
  </si>
  <si>
    <t># text = Aber gleichzeitig sind wir an einem Punkt angelangt, an dem unsere Fähigkeit, diese Konditionen zu beseitigen ein Ausmaß erreicht hat, das einst unvorstellbar war.</t>
  </si>
  <si>
    <t>gleichzeitig</t>
  </si>
  <si>
    <t>Punkt</t>
  </si>
  <si>
    <t>angelangt</t>
  </si>
  <si>
    <t>Fähigkeit</t>
  </si>
  <si>
    <t>beseitigen</t>
  </si>
  <si>
    <t>Ausmaß</t>
  </si>
  <si>
    <t>erreicht</t>
  </si>
  <si>
    <t>einst</t>
  </si>
  <si>
    <t>unvorstellbar</t>
  </si>
  <si>
    <t># text = Die meisten gehörlosen Kinder, die heute in den USA geboren werden, erhalten Cochlear-Implantate, die in das Gehirn eingesetzt und an einen Receiver angeschlossen werden, und deren mit Hilfe ihnen eine Form des Hörens und des Sprechens ermöglicht wird.</t>
  </si>
  <si>
    <t>USA</t>
  </si>
  <si>
    <t>erhalten</t>
  </si>
  <si>
    <t>Cochlear</t>
  </si>
  <si>
    <t>Implantate</t>
  </si>
  <si>
    <t>Gehirn</t>
  </si>
  <si>
    <t>eingesetzt</t>
  </si>
  <si>
    <t>Receiver</t>
  </si>
  <si>
    <t>angeschlossen</t>
  </si>
  <si>
    <t>deren</t>
  </si>
  <si>
    <t>Hilfe</t>
  </si>
  <si>
    <t>Form</t>
  </si>
  <si>
    <t>Hörens</t>
  </si>
  <si>
    <t>Sprechens</t>
  </si>
  <si>
    <t>ermöglicht</t>
  </si>
  <si>
    <t># text = Ein Präparat, das an Mäusen getestet wurde, genannt BMN-111, hilft dabei, die Wirkung des Achondroplasie-Gens zu hemmen.</t>
  </si>
  <si>
    <t>Ein</t>
  </si>
  <si>
    <t>Präparat</t>
  </si>
  <si>
    <t>Mäusen</t>
  </si>
  <si>
    <t>getestet</t>
  </si>
  <si>
    <t>genannt</t>
  </si>
  <si>
    <t>BMN-111</t>
  </si>
  <si>
    <t>hilft</t>
  </si>
  <si>
    <t>Wirkung</t>
  </si>
  <si>
    <t>Achondroplasie</t>
  </si>
  <si>
    <t>Gens</t>
  </si>
  <si>
    <t>hemmen</t>
  </si>
  <si>
    <t># text = Achondroplasie ist die häufigste Form des Zwergwuchses, und Mäuse, die diesen Wirkstoff erhalten haben, und das Achondroplasie-Gen aufweisen, wachsen zu voller Größe heran.</t>
  </si>
  <si>
    <t>häufigste</t>
  </si>
  <si>
    <t>Zwergwuchses</t>
  </si>
  <si>
    <t>Mäuse</t>
  </si>
  <si>
    <t>Wirkstoff</t>
  </si>
  <si>
    <t>Gen</t>
  </si>
  <si>
    <t>aufweisen</t>
  </si>
  <si>
    <t>wachsen</t>
  </si>
  <si>
    <t>Größe</t>
  </si>
  <si>
    <t>heran</t>
  </si>
  <si>
    <t># text = Zu Testreihen am Menschen ist es nicht mehr weit.</t>
  </si>
  <si>
    <t>Testreihen</t>
  </si>
  <si>
    <t># text = Es gibt Blut-Tests, die in der Entwicklung sind, mit denen das Down-Syndrom noch zuverlässiger und früher in der Schwangerschaft entdeckt werden kann, als je zuvor, und die es für die Menschen immer leichter machen, diese Schwangerschaften zu eliminieren, oder abzubrechen.</t>
  </si>
  <si>
    <t>Blut</t>
  </si>
  <si>
    <t>Tests</t>
  </si>
  <si>
    <t>Entwicklung</t>
  </si>
  <si>
    <t>denen</t>
  </si>
  <si>
    <t>zuverlässiger</t>
  </si>
  <si>
    <t>früher</t>
  </si>
  <si>
    <t>Schwangerschaft</t>
  </si>
  <si>
    <t>entdeckt</t>
  </si>
  <si>
    <t>leichter</t>
  </si>
  <si>
    <t>Schwangerschaften</t>
  </si>
  <si>
    <t>eliminieren</t>
  </si>
  <si>
    <t>abzubrechen</t>
  </si>
  <si>
    <t># text = Und somit haben wir sowohl sozialen als auch medizinischen Fortschritt.</t>
  </si>
  <si>
    <t>sozialen</t>
  </si>
  <si>
    <t>medizinischen</t>
  </si>
  <si>
    <t># text = Und ich glaube an beide.</t>
  </si>
  <si>
    <t>glaube</t>
  </si>
  <si>
    <t>beide</t>
  </si>
  <si>
    <t># text = Ich empfinde den sozialen Fortschritt als fantastisch, bedeutungsvoll und wunderbar, und denke ebenso über den medizinischen Fortschritt.</t>
  </si>
  <si>
    <t>empfinde</t>
  </si>
  <si>
    <t>fantastisch</t>
  </si>
  <si>
    <t>bedeutungsvoll</t>
  </si>
  <si>
    <t>wunderbar</t>
  </si>
  <si>
    <t>denke</t>
  </si>
  <si>
    <t>ebenso</t>
  </si>
  <si>
    <t># text = Aber ich denke, es ist von tragischem Ausmaß, wenn der eine den anderen ignoriert.</t>
  </si>
  <si>
    <t>tragischem</t>
  </si>
  <si>
    <t>ignoriert</t>
  </si>
  <si>
    <t># text = Und wenn ich sehe, wie sie sich überschneiden unter Umständen wie den dreien, die ich gerade beschrieben habe, dann fühle ich mich an jene Momente in der Oper erinnert, In denen der Held erkennt, dass er die Heldin liebt exakt an dem Punkt, als sie sterbend auf dem Diwan liegt.</t>
  </si>
  <si>
    <t>sehe</t>
  </si>
  <si>
    <t>unter</t>
  </si>
  <si>
    <t>Umständen</t>
  </si>
  <si>
    <t>dreien</t>
  </si>
  <si>
    <t>gerade</t>
  </si>
  <si>
    <t>beschrieben</t>
  </si>
  <si>
    <t>fühle</t>
  </si>
  <si>
    <t>jene</t>
  </si>
  <si>
    <t>Momente</t>
  </si>
  <si>
    <t>Oper</t>
  </si>
  <si>
    <t>erinnert</t>
  </si>
  <si>
    <t>Held</t>
  </si>
  <si>
    <t>erkennt</t>
  </si>
  <si>
    <t>Heldin</t>
  </si>
  <si>
    <t>liebt</t>
  </si>
  <si>
    <t>exakt</t>
  </si>
  <si>
    <t>sterbend</t>
  </si>
  <si>
    <t>Diwan</t>
  </si>
  <si>
    <t>liegt</t>
  </si>
  <si>
    <t># text = Wir müssen uns darüber klar werden, was wir über Heilungsversuche generell denken.</t>
  </si>
  <si>
    <t>darüber</t>
  </si>
  <si>
    <t>klar</t>
  </si>
  <si>
    <t>Heilungsversuche</t>
  </si>
  <si>
    <t>generell</t>
  </si>
  <si>
    <t># text = Oft ist die Frage, die wir uns als Eltern stellen müssen, was wir an unseren Kindern anerkennen, und was wir an ihnen heilen.</t>
  </si>
  <si>
    <t>anerkennen</t>
  </si>
  <si>
    <t># text = Jim Sinclair, ein berühmter Autismus-Aktivist sagte einmal: \"Wenn Eltern sagen 'Ich wünschte, mein Kind würde nicht an Autismus leiden' sagen eigentlich, 'Ich wünschte, das Kind, das ich habe, würde nicht existieren und ich hätte ein anderes, nicht-autistisches Kind dafür.'</t>
  </si>
  <si>
    <t>Jim</t>
  </si>
  <si>
    <t>Sinclair</t>
  </si>
  <si>
    <t>berühmter</t>
  </si>
  <si>
    <t>Autismus</t>
  </si>
  <si>
    <t>Aktivist</t>
  </si>
  <si>
    <t>Wenn</t>
  </si>
  <si>
    <t>wünschte</t>
  </si>
  <si>
    <t>eigentlich</t>
  </si>
  <si>
    <t>anderes</t>
  </si>
  <si>
    <t>autistisches</t>
  </si>
  <si>
    <t>dafür</t>
  </si>
  <si>
    <t># text = Lesen Sie es noch einmal.</t>
  </si>
  <si>
    <t>Lesen</t>
  </si>
  <si>
    <t># text = Das hören wir, wenn Sie unsere Existenz beklagen.</t>
  </si>
  <si>
    <t>Existenz</t>
  </si>
  <si>
    <t>beklagen</t>
  </si>
  <si>
    <t># text = Das hören wir, wenn Sie um Heilung flehen – dass Ihr sehnlichster Wunsch für uns ist, dass wir eines Tages aufhören zu sein, und ein Fremder, den ihr lieben könnt, den Platz hinter unserem Gesicht einnimmt.\"</t>
  </si>
  <si>
    <t>Heilung</t>
  </si>
  <si>
    <t>flehen</t>
  </si>
  <si>
    <t>Ihr</t>
  </si>
  <si>
    <t>sehnlichster</t>
  </si>
  <si>
    <t>Wunsch</t>
  </si>
  <si>
    <t>eines</t>
  </si>
  <si>
    <t>Tages</t>
  </si>
  <si>
    <t>aufhören</t>
  </si>
  <si>
    <t>Fremder</t>
  </si>
  <si>
    <t>könnt</t>
  </si>
  <si>
    <t>Platz</t>
  </si>
  <si>
    <t>hinter</t>
  </si>
  <si>
    <t>unserem</t>
  </si>
  <si>
    <t>Gesicht</t>
  </si>
  <si>
    <t>einnimmt</t>
  </si>
  <si>
    <t># text = Es ist eine sehr extreme Sicht, aber sie verweist auf die Wirklichkeit, dass Menschen sich dem Leben verpflichten, das sie haben, und dass sie nicht geheilt, verändert oder ausgelöscht werden wollen.</t>
  </si>
  <si>
    <t>extreme</t>
  </si>
  <si>
    <t>verweist</t>
  </si>
  <si>
    <t>verpflichten</t>
  </si>
  <si>
    <t>geheilt</t>
  </si>
  <si>
    <t>verändert</t>
  </si>
  <si>
    <t>ausgelöscht</t>
  </si>
  <si>
    <t># text = Sie wollen die Person sein, zu der sie geworden sind.</t>
  </si>
  <si>
    <t>geworden</t>
  </si>
  <si>
    <t># text = Eine der Familien, die ich für dieses Projekt interviewt habe, war die Familie von Dylan Klebold, einem der Täter des Columbine-Massakers.</t>
  </si>
  <si>
    <t>Projekt</t>
  </si>
  <si>
    <t>interviewt</t>
  </si>
  <si>
    <t>Dylan</t>
  </si>
  <si>
    <t>Klebold</t>
  </si>
  <si>
    <t>Täter</t>
  </si>
  <si>
    <t>Columbine</t>
  </si>
  <si>
    <t>Massakers</t>
  </si>
  <si>
    <t># text = Es dauerte lange, bis ich sie davon überzeugen konnte, mit mir zu sprechen, und als sie es taten, hatte sich ihre Geschichte so in ihnen angestaut, dass sie nicht aufhören konnten, sie zu erzählen.</t>
  </si>
  <si>
    <t>dauerte</t>
  </si>
  <si>
    <t>lange</t>
  </si>
  <si>
    <t>überzeugen</t>
  </si>
  <si>
    <t>taten</t>
  </si>
  <si>
    <t>angestaut</t>
  </si>
  <si>
    <t>konnten</t>
  </si>
  <si>
    <t>erzählen</t>
  </si>
  <si>
    <t># text = Am ersten gemeinsamen Wochenende – einem von vielen – zeichnete ich mehr als 20 Stunden an Gesprächsstoff auf.</t>
  </si>
  <si>
    <t>An</t>
  </si>
  <si>
    <t>gemeinsamen</t>
  </si>
  <si>
    <t>Wochenende</t>
  </si>
  <si>
    <t>vielen</t>
  </si>
  <si>
    <t>zeichnete</t>
  </si>
  <si>
    <t>Stunden</t>
  </si>
  <si>
    <t>Gesprächsstoff</t>
  </si>
  <si>
    <t># text = Und am Sonntagabend waren wir alle erschöpft.</t>
  </si>
  <si>
    <t>Sonntagabend</t>
  </si>
  <si>
    <t>erschöpft</t>
  </si>
  <si>
    <t># text = Wir saßen in der Küche.</t>
  </si>
  <si>
    <t>saßen</t>
  </si>
  <si>
    <t>Küche</t>
  </si>
  <si>
    <t># text = Sue Klebold machte Abendessen, und ich sagte: "Wenn Dylan jetzt hier wäre, haben Sie eine Ahnung, was Sie ihn dann fragen würden?"</t>
  </si>
  <si>
    <t>Sue</t>
  </si>
  <si>
    <t>Abendessen</t>
  </si>
  <si>
    <t>jetzt</t>
  </si>
  <si>
    <t>Ahnung</t>
  </si>
  <si>
    <t>würden</t>
  </si>
  <si>
    <t># text = Und sein Vater sagte: "Oh ja!</t>
  </si>
  <si>
    <t>Oh</t>
  </si>
  <si>
    <t>!</t>
  </si>
  <si>
    <t># text = Ich würde ihn fragen, was zum Teufel er sich dabei gedacht hat, so etwas zu tun.\"</t>
  </si>
  <si>
    <t>Teufel</t>
  </si>
  <si>
    <t>gedacht</t>
  </si>
  <si>
    <t># text = Und Sue schaute auf den Boden und dachte eine Minute nach.</t>
  </si>
  <si>
    <t>schaute</t>
  </si>
  <si>
    <t>Boden</t>
  </si>
  <si>
    <t>Minute</t>
  </si>
  <si>
    <t># text = Dann schaute sie auf und sagte: "Ich würde ihn bitten, mir zu verzeihen, seine Mutter gewesen zu sein, und keine Ahnung davon gehabt zu haben, was in seinem Kopf vor sich ging."</t>
  </si>
  <si>
    <t>verzeihen</t>
  </si>
  <si>
    <t>gewesen</t>
  </si>
  <si>
    <t>gehabt</t>
  </si>
  <si>
    <t>Kopf</t>
  </si>
  <si>
    <t># text = Als ich mich ein paar Jahre später erneut mit ihr zum Abendessen traf – eines von vielen Abendessen, die wir gemeinsam verbrachten – sagte sie: \"Weißt du, als es zuerst passiert ist, wünschte ich, dass ich nie geheiratet und nie Kinder gehabt hätte.</t>
  </si>
  <si>
    <t>erneut</t>
  </si>
  <si>
    <t>traf</t>
  </si>
  <si>
    <t>gemeinsam</t>
  </si>
  <si>
    <t>verbrachten</t>
  </si>
  <si>
    <t>Weißt</t>
  </si>
  <si>
    <t>zuerst</t>
  </si>
  <si>
    <t>passiert</t>
  </si>
  <si>
    <t>geheiratet</t>
  </si>
  <si>
    <t># text = Wenn ich nie die Ohio State Universität besucht und dort Tom kennengelernt hätte, hätte dieses Kind nicht existiert und diese schreckliche Sache wäre nie passiert.</t>
  </si>
  <si>
    <t>Ohio</t>
  </si>
  <si>
    <t>State</t>
  </si>
  <si>
    <t>besucht</t>
  </si>
  <si>
    <t>kennengelernt</t>
  </si>
  <si>
    <t>schreckliche</t>
  </si>
  <si>
    <t>Sache</t>
  </si>
  <si>
    <t># text = Aber ich habe für mich herausgefunden, dass ich die Kinder, die ich geboren habe, so liebe, dass ich mir ein Leben ohne sie nicht vorstellen möchte.</t>
  </si>
  <si>
    <t>liebe</t>
  </si>
  <si>
    <t>ohne</t>
  </si>
  <si>
    <t>vorstellen</t>
  </si>
  <si>
    <t># text = Ich erkenne den Schmerz an, den sie anderen zugefügt haben, und für den es keine Vergebung gibt, aber für den Schmerz, den sie mir verursacht haben, gibt es Vergebung", sagte sie.</t>
  </si>
  <si>
    <t>erkenne</t>
  </si>
  <si>
    <t>Schmerz</t>
  </si>
  <si>
    <t>zugefügt</t>
  </si>
  <si>
    <t>Vergebung</t>
  </si>
  <si>
    <t>verursacht</t>
  </si>
  <si>
    <t># text = "Während ich es also anerkenne, dass es für die Welt besser gewesen wäre, wenn Dylan nie geboren worden wäre, bin ich zu dem Schluss gekommen, dass es für mich nicht besser gewesen wäre."</t>
  </si>
  <si>
    <t>anerkenne</t>
  </si>
  <si>
    <t>besser</t>
  </si>
  <si>
    <t>worden</t>
  </si>
  <si>
    <t>Schluss</t>
  </si>
  <si>
    <t>gekommen</t>
  </si>
  <si>
    <t># text = Ich war erstaunt darüber, wie all diese Familien all diese Kinder mit all diesen Problemen hatten, Probleme, für die sie meist alles getan hätten, um sie zu vermeiden, und wie sie dennoch so viel Sinn aus dieser Erfahrung als Eltern gezogen hatten.</t>
  </si>
  <si>
    <t>Problemen</t>
  </si>
  <si>
    <t>Probleme</t>
  </si>
  <si>
    <t>meist</t>
  </si>
  <si>
    <t>getan</t>
  </si>
  <si>
    <t>hätten</t>
  </si>
  <si>
    <t>vermeiden</t>
  </si>
  <si>
    <t>dennoch</t>
  </si>
  <si>
    <t># text = Und dann dachte ich, dass wir alle, die wir Kinder haben, unsere Kinder mit all ihren Schwächen lieben.</t>
  </si>
  <si>
    <t>Schwächen</t>
  </si>
  <si>
    <t># text = Wenn ein leuchtender Engel plötzlich durch die Wohnzimmerdecke geschwebt käme, und mir anböte, meine Kinder mitzunehmen, um sie gegen andere, bessere Kinder einzutauschen – höflicher, lustiger, schöner und intelligenter – ich würde mich an meine Kinder klammern und das grausame Spektakel wegzubeten versuchen.</t>
  </si>
  <si>
    <t>leuchtender</t>
  </si>
  <si>
    <t>Engel</t>
  </si>
  <si>
    <t>durch</t>
  </si>
  <si>
    <t>Wohnzimmerdecke</t>
  </si>
  <si>
    <t>geschwebt</t>
  </si>
  <si>
    <t>käme</t>
  </si>
  <si>
    <t>anböte</t>
  </si>
  <si>
    <t>mitzunehmen</t>
  </si>
  <si>
    <t>bessere</t>
  </si>
  <si>
    <t>einzutauschen</t>
  </si>
  <si>
    <t>höflicher</t>
  </si>
  <si>
    <t>lustiger</t>
  </si>
  <si>
    <t>schöner</t>
  </si>
  <si>
    <t>intelligenter</t>
  </si>
  <si>
    <t>klammern</t>
  </si>
  <si>
    <t>grausame</t>
  </si>
  <si>
    <t>Spektakel</t>
  </si>
  <si>
    <t>wegzubeten</t>
  </si>
  <si>
    <t># text = Und letztendlich denke ich, dass genauso wie wir flammfeste Schlafanzüge in einem Inferno testen, um sicherzustellen, dass sie nicht Feuer fangen, wenn unser Kind über den Herd langt, auch diese Geschichten von Familien, die diese extremen Unterschiede zu überwinden haben, die universelle Erfahrung des Elternseins widerspiegeln, welche immer darauf hinausläuft, dass man manchmal dein Kind ansiehst und sich fragt: \"Von welchem Planeten kommst du?\"</t>
  </si>
  <si>
    <t>letztendlich</t>
  </si>
  <si>
    <t>flammfeste</t>
  </si>
  <si>
    <t>Schlafanzüge</t>
  </si>
  <si>
    <t>Inferno</t>
  </si>
  <si>
    <t>testen</t>
  </si>
  <si>
    <t>sicherzustellen</t>
  </si>
  <si>
    <t>Feuer</t>
  </si>
  <si>
    <t>fangen</t>
  </si>
  <si>
    <t>unser</t>
  </si>
  <si>
    <t>Herd</t>
  </si>
  <si>
    <t>langt</t>
  </si>
  <si>
    <t>Geschichten</t>
  </si>
  <si>
    <t>extremen</t>
  </si>
  <si>
    <t>Unterschiede</t>
  </si>
  <si>
    <t>überwinden</t>
  </si>
  <si>
    <t>universelle</t>
  </si>
  <si>
    <t>Elternseins</t>
  </si>
  <si>
    <t>widerspiegeln</t>
  </si>
  <si>
    <t>welche</t>
  </si>
  <si>
    <t>darauf</t>
  </si>
  <si>
    <t>hinausläuft</t>
  </si>
  <si>
    <t>manchmal</t>
  </si>
  <si>
    <t>dein</t>
  </si>
  <si>
    <t>ansiehst</t>
  </si>
  <si>
    <t>fragt</t>
  </si>
  <si>
    <t>Von</t>
  </si>
  <si>
    <t>welchem</t>
  </si>
  <si>
    <t>Planeten</t>
  </si>
  <si>
    <t>kommst</t>
  </si>
  <si>
    <t># text = Es stellt sich heraus, dass obwohl jeder dieser Unterschiede in sich isoliert ist – nicht jede Familie hat ein schizophrenes Familienmitglied, nicht jede ein Kind, das transgender, oder hochbegabt ist, was an die Eltern oft ähnliche Herausforderungen stellt – in jeder dieser Kategorien gibt es nur eine handvoll Familien – aber wenn Sie anfangen zu denken, dass die Erfahrung, Unterschiede in der Familie zu überwinden, das ist, was Menschen ansprechen, dann entdecken Sie, dass es ein nahezu universelles Phänomen ist.</t>
  </si>
  <si>
    <t>heraus</t>
  </si>
  <si>
    <t>isoliert</t>
  </si>
  <si>
    <t>jede</t>
  </si>
  <si>
    <t>schizophrenes</t>
  </si>
  <si>
    <t>Familienmitglied</t>
  </si>
  <si>
    <t>transgender</t>
  </si>
  <si>
    <t>hochbegabt</t>
  </si>
  <si>
    <t>ähnliche</t>
  </si>
  <si>
    <t>Herausforderungen</t>
  </si>
  <si>
    <t>Kategorien</t>
  </si>
  <si>
    <t>handvoll</t>
  </si>
  <si>
    <t>anfangen</t>
  </si>
  <si>
    <t>ansprechen</t>
  </si>
  <si>
    <t>nahezu</t>
  </si>
  <si>
    <t>universelles</t>
  </si>
  <si>
    <t>Phänomen</t>
  </si>
  <si>
    <t># text = Ironischerweise sind es unsere Unterschiede, und unser Umgang mit ihnen, die uns zusammenbringen.</t>
  </si>
  <si>
    <t>Ironischerweise</t>
  </si>
  <si>
    <t>zusammenbringen</t>
  </si>
  <si>
    <t># text = Ich entschied mich selbst Vater zu werden, noch während ich an diesem Projekt arbeitete.</t>
  </si>
  <si>
    <t>entschied</t>
  </si>
  <si>
    <t># text = Und viele Leute waren erstaunt und sagten: "Wie kannst du dich dazu entscheiden, Kinder zu haben, inmitten all deiner Studien über alles, was schiefgehen kann?"</t>
  </si>
  <si>
    <t>Leute</t>
  </si>
  <si>
    <t>kannst</t>
  </si>
  <si>
    <t>dich</t>
  </si>
  <si>
    <t>dazu</t>
  </si>
  <si>
    <t>inmitten</t>
  </si>
  <si>
    <t>deiner</t>
  </si>
  <si>
    <t>Studien</t>
  </si>
  <si>
    <t>schiefgehen</t>
  </si>
  <si>
    <t># text = Und ich sagte: "Ich untersuche nicht alles, was schiefgehen kann.</t>
  </si>
  <si>
    <t>untersuche</t>
  </si>
  <si>
    <t># text = Was ich herausfinden möchte ist, wieviel Liebe möglich ist, auch wenn alles schiefzugehen scheint.\"</t>
  </si>
  <si>
    <t>wieviel</t>
  </si>
  <si>
    <t>möglich</t>
  </si>
  <si>
    <t>schiefzugehen</t>
  </si>
  <si>
    <t>scheint</t>
  </si>
  <si>
    <t># text = Ich dachte viel über die Mutter eines behinderten Kindes nach, das ich gesehen hatte, ein schwerst behindertes Kind, das infolge von Vernachlässigung durch die Betreuungsperson starb.</t>
  </si>
  <si>
    <t>behinderten</t>
  </si>
  <si>
    <t>Kindes</t>
  </si>
  <si>
    <t>gesehen</t>
  </si>
  <si>
    <t>schwerst</t>
  </si>
  <si>
    <t>behindertes</t>
  </si>
  <si>
    <t>infolge</t>
  </si>
  <si>
    <t>Vernachlässigung</t>
  </si>
  <si>
    <t>Betreuungsperson</t>
  </si>
  <si>
    <t>starb</t>
  </si>
  <si>
    <t># text = Und als seine Asche beigesetzt wurde, sagte seine Mutter: \"Ich bitte hier um Vergebung darum, dass ich zweimal beraubt wurde, einmal des Kindes, das ich wollte, und einmal des geliebten Sohnes.\"</t>
  </si>
  <si>
    <t>Asche</t>
  </si>
  <si>
    <t>beigesetzt</t>
  </si>
  <si>
    <t>bitte</t>
  </si>
  <si>
    <t>darum</t>
  </si>
  <si>
    <t>zweimal</t>
  </si>
  <si>
    <t>beraubt</t>
  </si>
  <si>
    <t>geliebten</t>
  </si>
  <si>
    <t>Sohnes</t>
  </si>
  <si>
    <t># text = Und da wurde mir klar, dass es für jeden möglich ist, jedes Kind zu lieben, solange er nur den festen Willen dazu hat.</t>
  </si>
  <si>
    <t>jeden</t>
  </si>
  <si>
    <t>jedes</t>
  </si>
  <si>
    <t>solange</t>
  </si>
  <si>
    <t>festen</t>
  </si>
  <si>
    <t>Willen</t>
  </si>
  <si>
    <t># text = Mein Mann ist der biologische Vater von zwei Kindern, die er mit lesbischen Freunden in Minneapolis hat.</t>
  </si>
  <si>
    <t>Mann</t>
  </si>
  <si>
    <t>biologische</t>
  </si>
  <si>
    <t>lesbischen</t>
  </si>
  <si>
    <t>Minneapolis</t>
  </si>
  <si>
    <t># text = Ich hatte eine enge Freundin aus Uni-Tagen, die eine Scheidung hinter sich hatte und Kinder wollte.</t>
  </si>
  <si>
    <t>enge</t>
  </si>
  <si>
    <t>Uni</t>
  </si>
  <si>
    <t>Tagen</t>
  </si>
  <si>
    <t>Scheidung</t>
  </si>
  <si>
    <t># text = Mit ihr habe ich also eine Tochter, und Mutter und Tochter leben in Texas.</t>
  </si>
  <si>
    <t>Mit</t>
  </si>
  <si>
    <t>Texas</t>
  </si>
  <si>
    <t># text = Mein Mann und ich haben einen Sohn zusammen, der durchgehend bei uns lebt, von dem ich der biologische Vater bin, und unsere Leihmutter für die Schwangerschaft Laura war, die lesbische Mutter von Oliver und Lucy in Minneapolis.</t>
  </si>
  <si>
    <t>durchgehend</t>
  </si>
  <si>
    <t>lebt</t>
  </si>
  <si>
    <t>Leihmutter</t>
  </si>
  <si>
    <t>Laura</t>
  </si>
  <si>
    <t>lesbische</t>
  </si>
  <si>
    <t>Oliver</t>
  </si>
  <si>
    <t>Lucy</t>
  </si>
  <si>
    <t># text = In Kurzform sind das fünf Eltern von vier Kindern in drei Staaten.</t>
  </si>
  <si>
    <t>fünf</t>
  </si>
  <si>
    <t>def-np.quant</t>
  </si>
  <si>
    <t># text = Und es gibt Menschen, die glauben, dass die Existenz meiner Familie in irgendeiner Weise ihre eigene Familie untergräbt, schwächt oder schädigt.</t>
  </si>
  <si>
    <t>irgendeiner</t>
  </si>
  <si>
    <t>Weise</t>
  </si>
  <si>
    <t>eigene</t>
  </si>
  <si>
    <t>untergräbt</t>
  </si>
  <si>
    <t>schwächt</t>
  </si>
  <si>
    <t>schädigt</t>
  </si>
  <si>
    <t># text = Und es gibt Leute, die der Meinung sind, dass Familien wie die meine kein Recht haben sollten zu existieren.</t>
  </si>
  <si>
    <t>Recht</t>
  </si>
  <si>
    <t># text = Und ich akzeptiere keine subtraktiven Modelle der Liebe, nur solche, die hinzufügend sind.</t>
  </si>
  <si>
    <t>akzeptiere</t>
  </si>
  <si>
    <t>subtraktiven</t>
  </si>
  <si>
    <t>Modelle</t>
  </si>
  <si>
    <t>hinzufügend</t>
  </si>
  <si>
    <t># text = Und ich glaube, dass genauso wie wir Artenvielfalt brauchen, um sicherzustellen, dass unser Planet weiter existieren kann, brauchen wir diese verschiedenen Formen von Zuneigung und Familie, um diese Ökosphäre von Güte zu stärken.</t>
  </si>
  <si>
    <t>Artenvielfalt</t>
  </si>
  <si>
    <t>Planet</t>
  </si>
  <si>
    <t>weiter</t>
  </si>
  <si>
    <t>verschiedenen</t>
  </si>
  <si>
    <t>Formen</t>
  </si>
  <si>
    <t>Zuneigung</t>
  </si>
  <si>
    <t>Ökosphäre</t>
  </si>
  <si>
    <t>Güte</t>
  </si>
  <si>
    <t>stärken</t>
  </si>
  <si>
    <t># text = Ein Tag, nachdem unser Sohn geboren wurde, kam die Kinderärztin zu uns ins Krankenzimmer und sagte, sie wäre besorgt.</t>
  </si>
  <si>
    <t>Tag</t>
  </si>
  <si>
    <t>Kinderärztin</t>
  </si>
  <si>
    <t>Krankenzimmer</t>
  </si>
  <si>
    <t>besorgt</t>
  </si>
  <si>
    <t># text = Er würde seine Beine nicht richtig ausstrecken.</t>
  </si>
  <si>
    <t>Beine</t>
  </si>
  <si>
    <t>richtig</t>
  </si>
  <si>
    <t># text = Sie sagte, das könne bedeuten, dass er Hirnschäden davongetragen hatte.</t>
  </si>
  <si>
    <t>könne</t>
  </si>
  <si>
    <t>bedeuten</t>
  </si>
  <si>
    <t>Hirnschäden</t>
  </si>
  <si>
    <t>davongetragen</t>
  </si>
  <si>
    <t># text = Soweit er sie überhaupt ausstreckte, tat er das so ungleichmäßig, dass sie dachte, ein Tumor könnte möglicherweise dafür verantwortlich sein.</t>
  </si>
  <si>
    <t>Soweit</t>
  </si>
  <si>
    <t>überhaupt</t>
  </si>
  <si>
    <t>ausstreckte</t>
  </si>
  <si>
    <t>tat</t>
  </si>
  <si>
    <t>ungleichmäßig</t>
  </si>
  <si>
    <t>Tumor</t>
  </si>
  <si>
    <t>möglicherweise</t>
  </si>
  <si>
    <t>verantwortlich</t>
  </si>
  <si>
    <t># text = Und er hatte einen sehr großen Kopf, was, wie sie meinte, auf einen Wasserkopf hinweisen könnte.</t>
  </si>
  <si>
    <t>großen</t>
  </si>
  <si>
    <t>Wasserkopf</t>
  </si>
  <si>
    <t>hinweisen</t>
  </si>
  <si>
    <t># text = Und als sie mir all diese Dinge erzählte, fühlte ich für einen Moment, wie alles Leben aus mir wich.</t>
  </si>
  <si>
    <t>fühlte</t>
  </si>
  <si>
    <t>Moment</t>
  </si>
  <si>
    <t>wich</t>
  </si>
  <si>
    <t># text = Ich dachte, da arbeitete ich nun seit Jahren an einem Buch darüber, wieviel Sinn Menschen aus ihrer Erfahrung als Eltern eines behinderten Kindes schöpften, und ich wollte ihrem Kreis nicht beitreten.</t>
  </si>
  <si>
    <t>Buch</t>
  </si>
  <si>
    <t>schöpften</t>
  </si>
  <si>
    <t>ihrem</t>
  </si>
  <si>
    <t>Kreis</t>
  </si>
  <si>
    <t>beitreten</t>
  </si>
  <si>
    <t># text = Denn, was mir entgegensprang war der Gedanke an Krankheit.</t>
  </si>
  <si>
    <t>Denn</t>
  </si>
  <si>
    <t>entgegensprang</t>
  </si>
  <si>
    <t>Gedanke</t>
  </si>
  <si>
    <t># text = Und wie alle Eltern seit Anbeginn der Zeit, wollte auch ich mein Kind vor Krankheit schützen.</t>
  </si>
  <si>
    <t>Anbeginn</t>
  </si>
  <si>
    <t># text = Und ich wollte auch mich vor Krankheit schützen.</t>
  </si>
  <si>
    <t># text = Und doch wusste ich von meiner Arbeit her, dass wenn er eines dieser Dinge hätte, auf die wir ihn testen lassen wollten, diese letztendlich zu seiner Identität werden würden, und wenn sie seine Identität wären, würden sie auch zu meiner Identität werden, und dass die Krankheit während ihres Verlaufs unterschiedliche Formen annehmen würde.</t>
  </si>
  <si>
    <t>Arbeit</t>
  </si>
  <si>
    <t>her</t>
  </si>
  <si>
    <t>lassen</t>
  </si>
  <si>
    <t>wollten</t>
  </si>
  <si>
    <t>wären</t>
  </si>
  <si>
    <t>ihres</t>
  </si>
  <si>
    <t>Verlaufs</t>
  </si>
  <si>
    <t>unterschiedliche</t>
  </si>
  <si>
    <t>annehmen</t>
  </si>
  <si>
    <t># text = Wir brachten ihn zur Kernspintomographie, zur Computertomographie, wir übergaben dieses 1-Tage-alte Kind den Ärzten für eine arterielle Blutentnahme.</t>
  </si>
  <si>
    <t>brachten</t>
  </si>
  <si>
    <t>Kernspintomographie</t>
  </si>
  <si>
    <t>Computertomographie</t>
  </si>
  <si>
    <t>übergaben</t>
  </si>
  <si>
    <t>Tage-</t>
  </si>
  <si>
    <t>alte</t>
  </si>
  <si>
    <t>Ärzten</t>
  </si>
  <si>
    <t>arterielle</t>
  </si>
  <si>
    <t>Blutentnahme</t>
  </si>
  <si>
    <t># text = Wir fühlten uns hilflos.</t>
  </si>
  <si>
    <t>fühlten</t>
  </si>
  <si>
    <t>hilflos</t>
  </si>
  <si>
    <t># text = Und nach fünf langen Stunden, teilten sie uns mit, dass sein Gehirn völlig unauffällig sei, und er seine Beine mittlerweile richtig ausstrecken würde.</t>
  </si>
  <si>
    <t>langen</t>
  </si>
  <si>
    <t>teilten</t>
  </si>
  <si>
    <t>völlig</t>
  </si>
  <si>
    <t>unauffällig</t>
  </si>
  <si>
    <t>mittlerweile</t>
  </si>
  <si>
    <t># text = Und als ich die Kinderärztin fragte, was mit ihm los war, sagte sie, sie glaube, er hätte am Morgen wahrscheinlich einen Krampf gehabt.</t>
  </si>
  <si>
    <t>Morgen</t>
  </si>
  <si>
    <t>Krampf</t>
  </si>
  <si>
    <t># text = Aber ich dachte, wie recht meine Mutter doch hatte.</t>
  </si>
  <si>
    <t>recht</t>
  </si>
  <si>
    <t># text = Ich dachte, die Liebe, die man für seine Kinder empfindet, lässt sich mit keinem Gefühl der Welt vergleichen, und bevor du nicht selbst Kinder hast, weißt du nicht, wie es sich anfühlt.</t>
  </si>
  <si>
    <t>empfindet</t>
  </si>
  <si>
    <t>lässt</t>
  </si>
  <si>
    <t>keinem</t>
  </si>
  <si>
    <t>vergleichen</t>
  </si>
  <si>
    <t>weißt</t>
  </si>
  <si>
    <t>anfühlt</t>
  </si>
  <si>
    <t># text = Ich glaube, Kinder hatten mich um den Finger gewickelt, sobald ich Vaterschaft mit Verlust in Verbindung brachte.</t>
  </si>
  <si>
    <t>Finger</t>
  </si>
  <si>
    <t>gewickelt</t>
  </si>
  <si>
    <t>sobald</t>
  </si>
  <si>
    <t>Vaterschaft</t>
  </si>
  <si>
    <t>Verbindung</t>
  </si>
  <si>
    <t>brachte</t>
  </si>
  <si>
    <t># text = Aber ich bin mir nicht sicher, ob ich es bemerkt hätte, wäre ich nicht so tief in mein Forschungsprojekt verwickelt gewesen.</t>
  </si>
  <si>
    <t>sicher</t>
  </si>
  <si>
    <t>bemerkt</t>
  </si>
  <si>
    <t>tief</t>
  </si>
  <si>
    <t>Forschungsprojekt</t>
  </si>
  <si>
    <t>verwickelt</t>
  </si>
  <si>
    <t># text = Ich war auf soviel seltsame Liebe getroffen, und ich fiel fast selbstverständlich in ihr verzauberndes Raster.</t>
  </si>
  <si>
    <t>seltsame</t>
  </si>
  <si>
    <t>getroffen</t>
  </si>
  <si>
    <t>fiel</t>
  </si>
  <si>
    <t>selbstverständlich</t>
  </si>
  <si>
    <t>verzauberndes</t>
  </si>
  <si>
    <t>Raster</t>
  </si>
  <si>
    <t># text = Ich sah, wie ihre Pracht selbst größte Verletzbarkeit erleuchten kann.</t>
  </si>
  <si>
    <t>Pracht</t>
  </si>
  <si>
    <t>Verletzbarkeit</t>
  </si>
  <si>
    <t>erleuchten</t>
  </si>
  <si>
    <t># text = In diesen 10 Jahren hatte ich Gelegenheit, die Freuden und Schrecken unerträglicher Verantwortung kennenzulernen, und mitzuerleben, wie sie alles andere überwinden.</t>
  </si>
  <si>
    <t>Gelegenheit</t>
  </si>
  <si>
    <t>Freuden</t>
  </si>
  <si>
    <t>Schrecken</t>
  </si>
  <si>
    <t>unerträglicher</t>
  </si>
  <si>
    <t>Verantwortung</t>
  </si>
  <si>
    <t>kennenzulernen</t>
  </si>
  <si>
    <t>mitzuerleben</t>
  </si>
  <si>
    <t># text = Und obwohl ich manchmal dachte, dass die Eltern, die ich interviewte, Narren wären, weil sie sich zu einer lebenslangen Reise mit ihren undankbaren Kindern versklavten, und versuchten aus Elend eine Identität zu machen, erkannte ich an jenem Tag, dass mir meine Forschung einen Steg gebaut hatte, und ich bereit war, zu ihnen an Board zu gehen.</t>
  </si>
  <si>
    <t>Narren</t>
  </si>
  <si>
    <t>lebenslangen</t>
  </si>
  <si>
    <t>Reise</t>
  </si>
  <si>
    <t>undankbaren</t>
  </si>
  <si>
    <t>versklavten</t>
  </si>
  <si>
    <t>versuchten</t>
  </si>
  <si>
    <t>Elend</t>
  </si>
  <si>
    <t>Forschung</t>
  </si>
  <si>
    <t>Steg</t>
  </si>
  <si>
    <t>gebaut</t>
  </si>
  <si>
    <t>bereit</t>
  </si>
  <si>
    <t>Board</t>
  </si>
  <si>
    <t># text = Vielen Dank.</t>
  </si>
  <si>
    <t>Vielen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</si>
</sst>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1"/>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16</v>
      </c>
      <c r="C3" s="6" t="s">
        <v>12</v>
      </c>
      <c r="D3" s="7" t="s">
        <v>17</v>
      </c>
      <c r="E3" s="8" t="s">
        <v>18</v>
      </c>
      <c r="F3" s="6" t="s">
        <v>19</v>
      </c>
      <c r="G3" s="9">
        <f>IF(A3=1,"_",IF(C3="_","???",C3))</f>
        <v/>
      </c>
      <c r="H3" s="10" t="s">
        <v>12</v>
      </c>
      <c r="I3" s="11" t="s">
        <v>12</v>
      </c>
      <c r="J3" s="12"/>
    </row>
    <row r="4" spans="1:10" ht="60" customHeight="1">
      <c r="A4" s="6" t="s">
        <v>20</v>
      </c>
      <c r="B4" s="6" t="s">
        <v>21</v>
      </c>
      <c r="C4" s="6" t="s">
        <v>12</v>
      </c>
      <c r="D4" s="7" t="s">
        <v>22</v>
      </c>
      <c r="E4" s="8" t="s">
        <v>23</v>
      </c>
      <c r="F4" s="6" t="s">
        <v>24</v>
      </c>
      <c r="G4" s="9">
        <f>IF(A4=1,"_",IF(C4="_","???",C4))</f>
        <v/>
      </c>
      <c r="H4" s="10" t="s">
        <v>12</v>
      </c>
      <c r="I4" s="11" t="s">
        <v>12</v>
      </c>
      <c r="J4" s="12"/>
    </row>
    <row r="5" spans="1:10" ht="60" customHeight="1">
      <c r="A5" s="6" t="s">
        <v>25</v>
      </c>
      <c r="B5" s="6" t="s">
        <v>16</v>
      </c>
      <c r="C5" s="6" t="s">
        <v>12</v>
      </c>
      <c r="D5" s="7" t="s">
        <v>26</v>
      </c>
      <c r="E5" s="8" t="s">
        <v>27</v>
      </c>
      <c r="F5" s="6" t="s">
        <v>28</v>
      </c>
      <c r="G5" s="9">
        <f>IF(A5=1,"_",IF(C5="_","???",C5))</f>
        <v/>
      </c>
      <c r="H5" s="10" t="s">
        <v>12</v>
      </c>
      <c r="I5" s="11" t="s">
        <v>12</v>
      </c>
      <c r="J5" s="12"/>
    </row>
    <row r="6" spans="1:10" ht="60" customHeight="1">
      <c r="A6" s="6" t="s">
        <v>29</v>
      </c>
      <c r="B6" s="6" t="s">
        <v>25</v>
      </c>
      <c r="C6" s="6" t="s">
        <v>12</v>
      </c>
      <c r="D6" s="7" t="s">
        <v>30</v>
      </c>
      <c r="E6" s="8" t="s">
        <v>31</v>
      </c>
      <c r="F6" s="6" t="s">
        <v>32</v>
      </c>
      <c r="G6" s="9">
        <f>IF(A6=1,"_",IF(C6="_","???",C6))</f>
        <v/>
      </c>
      <c r="H6" s="10" t="s">
        <v>12</v>
      </c>
      <c r="I6" s="11" t="s">
        <v>12</v>
      </c>
      <c r="J6" s="12"/>
    </row>
    <row r="7" spans="1:10" ht="60" customHeight="1">
      <c r="A7" s="6" t="s">
        <v>33</v>
      </c>
      <c r="B7" s="6" t="s">
        <v>11</v>
      </c>
      <c r="C7" s="6" t="s">
        <v>12</v>
      </c>
      <c r="D7" s="7" t="s">
        <v>34</v>
      </c>
      <c r="E7" s="8" t="s">
        <v>35</v>
      </c>
      <c r="F7" s="6" t="s">
        <v>36</v>
      </c>
      <c r="G7" s="9">
        <f>IF(A7=1,"_",IF(C7="_","???",C7))</f>
        <v/>
      </c>
      <c r="H7" s="10" t="s">
        <v>12</v>
      </c>
      <c r="I7" s="11" t="s">
        <v>12</v>
      </c>
      <c r="J7" s="12"/>
    </row>
    <row r="8" spans="1:10" ht="60" customHeight="1">
      <c r="A8" s="6" t="s">
        <v>11</v>
      </c>
      <c r="B8" s="6" t="s">
        <v>16</v>
      </c>
      <c r="C8" s="6" t="s">
        <v>12</v>
      </c>
      <c r="D8" s="7" t="s">
        <v>37</v>
      </c>
      <c r="E8" s="8" t="s">
        <v>38</v>
      </c>
      <c r="F8" s="6" t="s">
        <v>39</v>
      </c>
      <c r="G8" s="9">
        <f>IF(A8=1,"_",IF(C8="_","???",C8))</f>
        <v/>
      </c>
      <c r="H8" s="10" t="s">
        <v>12</v>
      </c>
      <c r="I8" s="11" t="s">
        <v>12</v>
      </c>
      <c r="J8" s="12"/>
    </row>
    <row r="9" spans="1:10" ht="60" customHeight="1">
      <c r="A9" s="6" t="s">
        <v>40</v>
      </c>
      <c r="B9" s="6" t="s">
        <v>41</v>
      </c>
      <c r="C9" s="6" t="s">
        <v>12</v>
      </c>
      <c r="D9" s="7" t="s">
        <v>42</v>
      </c>
      <c r="E9" s="8" t="s">
        <v>43</v>
      </c>
      <c r="F9" s="6" t="s">
        <v>44</v>
      </c>
      <c r="G9" s="9">
        <f>IF(A9=1,"_",IF(C9="_","???",C9))</f>
        <v/>
      </c>
      <c r="H9" s="10" t="s">
        <v>12</v>
      </c>
      <c r="I9" s="11" t="s">
        <v>12</v>
      </c>
      <c r="J9" s="12"/>
    </row>
    <row r="10" spans="1:10" ht="60" customHeight="1">
      <c r="A10" s="6" t="s">
        <v>45</v>
      </c>
      <c r="B10" s="6" t="s">
        <v>20</v>
      </c>
      <c r="C10" s="6" t="s">
        <v>12</v>
      </c>
      <c r="D10" s="7" t="s">
        <v>46</v>
      </c>
      <c r="E10" s="8" t="s">
        <v>47</v>
      </c>
      <c r="F10" s="6" t="s">
        <v>48</v>
      </c>
      <c r="G10" s="9">
        <f>IF(A10=1,"_",IF(C10="_","???",C10))</f>
        <v/>
      </c>
      <c r="H10" s="10" t="s">
        <v>12</v>
      </c>
      <c r="I10" s="11" t="s">
        <v>12</v>
      </c>
      <c r="J10" s="12"/>
    </row>
    <row r="11" spans="1:10" ht="60" customHeight="1">
      <c r="A11" s="6" t="s">
        <v>49</v>
      </c>
      <c r="B11" s="6" t="s">
        <v>20</v>
      </c>
      <c r="C11" s="6" t="s">
        <v>12</v>
      </c>
      <c r="D11" s="7" t="s">
        <v>50</v>
      </c>
      <c r="E11" s="8" t="s">
        <v>51</v>
      </c>
      <c r="F11" s="6" t="s">
        <v>52</v>
      </c>
      <c r="G11" s="9">
        <f>IF(A11=1,"_",IF(C11="_","???",C11))</f>
        <v/>
      </c>
      <c r="H11" s="10" t="s">
        <v>12</v>
      </c>
      <c r="I11" s="11" t="s">
        <v>12</v>
      </c>
      <c r="J11" s="12"/>
    </row>
    <row r="12" spans="1:10" ht="60" customHeight="1">
      <c r="A12" s="6" t="s">
        <v>53</v>
      </c>
      <c r="B12" s="6" t="s">
        <v>20</v>
      </c>
      <c r="C12" s="6" t="s">
        <v>12</v>
      </c>
      <c r="D12" s="7" t="s">
        <v>54</v>
      </c>
      <c r="E12" s="8" t="s">
        <v>55</v>
      </c>
      <c r="F12" s="6" t="s">
        <v>56</v>
      </c>
      <c r="G12" s="9">
        <f>IF(A12=1,"_",IF(C12="_","???",C12))</f>
        <v/>
      </c>
      <c r="H12" s="10" t="s">
        <v>12</v>
      </c>
      <c r="I12" s="11" t="s">
        <v>12</v>
      </c>
      <c r="J12" s="12"/>
    </row>
    <row r="13" spans="1:10" ht="60" customHeight="1">
      <c r="A13" s="6" t="s">
        <v>57</v>
      </c>
      <c r="B13" s="6" t="s">
        <v>20</v>
      </c>
      <c r="C13" s="6" t="s">
        <v>12</v>
      </c>
      <c r="D13" s="7" t="s">
        <v>58</v>
      </c>
      <c r="E13" s="8" t="s">
        <v>59</v>
      </c>
      <c r="F13" s="6" t="s">
        <v>60</v>
      </c>
      <c r="G13" s="9">
        <f>IF(A13=1,"_",IF(C13="_","???",C13))</f>
        <v/>
      </c>
      <c r="H13" s="10" t="s">
        <v>12</v>
      </c>
      <c r="I13" s="11" t="s">
        <v>12</v>
      </c>
      <c r="J13" s="12"/>
    </row>
    <row r="14" spans="1:10" ht="60" customHeight="1">
      <c r="A14" s="6" t="s">
        <v>61</v>
      </c>
      <c r="B14" s="6" t="s">
        <v>62</v>
      </c>
      <c r="C14" s="6" t="s">
        <v>12</v>
      </c>
      <c r="D14" s="7" t="s">
        <v>63</v>
      </c>
      <c r="E14" s="8" t="s">
        <v>64</v>
      </c>
      <c r="F14" s="6" t="s">
        <v>65</v>
      </c>
      <c r="G14" s="9">
        <f>IF(A14=1,"_",IF(C14="_","???",C14))</f>
        <v/>
      </c>
      <c r="H14" s="10" t="s">
        <v>12</v>
      </c>
      <c r="I14" s="11" t="s">
        <v>12</v>
      </c>
      <c r="J14" s="12"/>
    </row>
    <row r="15" spans="1:10" ht="60" customHeight="1">
      <c r="A15" s="6" t="s">
        <v>66</v>
      </c>
      <c r="B15" s="6" t="s">
        <v>41</v>
      </c>
      <c r="C15" s="6" t="s">
        <v>12</v>
      </c>
      <c r="D15" s="7" t="s">
        <v>54</v>
      </c>
      <c r="E15" s="8" t="s">
        <v>67</v>
      </c>
      <c r="F15" s="6" t="s">
        <v>68</v>
      </c>
      <c r="G15" s="9">
        <f>IF(A15=1,"_",IF(C15="_","???",C15))</f>
        <v/>
      </c>
      <c r="H15" s="10" t="s">
        <v>12</v>
      </c>
      <c r="I15" s="11" t="s">
        <v>12</v>
      </c>
      <c r="J15" s="12"/>
    </row>
    <row r="16" spans="1:10" ht="60" customHeight="1">
      <c r="A16" s="6" t="s">
        <v>69</v>
      </c>
      <c r="B16" s="6" t="s">
        <v>53</v>
      </c>
      <c r="C16" s="6" t="s">
        <v>70</v>
      </c>
      <c r="D16" s="7" t="s">
        <v>71</v>
      </c>
      <c r="E16" s="8" t="s">
        <v>72</v>
      </c>
      <c r="F16" s="6" t="s">
        <v>73</v>
      </c>
      <c r="G16" s="9">
        <f>IF(A16=1,"_",IF(C16="_","???",C16))</f>
        <v/>
      </c>
      <c r="H16" s="10" t="s">
        <v>12</v>
      </c>
      <c r="I16" s="11" t="s">
        <v>12</v>
      </c>
      <c r="J16" s="12"/>
    </row>
    <row r="17" spans="1:10" ht="60" customHeight="1">
      <c r="A17" s="6" t="s">
        <v>74</v>
      </c>
      <c r="B17" s="6" t="s">
        <v>20</v>
      </c>
      <c r="C17" s="6" t="s">
        <v>12</v>
      </c>
      <c r="D17" s="7" t="s">
        <v>75</v>
      </c>
      <c r="E17" s="8" t="s">
        <v>76</v>
      </c>
      <c r="F17" s="6" t="s">
        <v>77</v>
      </c>
      <c r="G17" s="9">
        <f>IF(A17=1,"_",IF(C17="_","???",C17))</f>
        <v/>
      </c>
      <c r="H17" s="10" t="s">
        <v>12</v>
      </c>
      <c r="I17" s="11" t="s">
        <v>12</v>
      </c>
      <c r="J17" s="12"/>
    </row>
    <row r="18" spans="1:10" ht="60" customHeight="1">
      <c r="A18" s="6" t="s">
        <v>78</v>
      </c>
      <c r="B18" s="6" t="s">
        <v>20</v>
      </c>
      <c r="C18" s="6" t="s">
        <v>12</v>
      </c>
      <c r="D18" s="7" t="s">
        <v>79</v>
      </c>
      <c r="E18" s="8" t="s">
        <v>80</v>
      </c>
      <c r="F18" s="6" t="s">
        <v>81</v>
      </c>
      <c r="G18" s="9">
        <f>IF(A18=1,"_",IF(C18="_","???",C18))</f>
        <v/>
      </c>
      <c r="H18" s="10" t="s">
        <v>12</v>
      </c>
      <c r="I18" s="11" t="s">
        <v>12</v>
      </c>
      <c r="J18" s="12"/>
    </row>
    <row r="19" spans="1:10" ht="60" customHeight="1">
      <c r="A19" s="6" t="s">
        <v>82</v>
      </c>
      <c r="B19" s="6" t="s">
        <v>20</v>
      </c>
      <c r="C19" s="6" t="s">
        <v>12</v>
      </c>
      <c r="D19" s="7" t="s">
        <v>83</v>
      </c>
      <c r="E19" s="8" t="s">
        <v>84</v>
      </c>
      <c r="F19" s="6" t="s">
        <v>85</v>
      </c>
      <c r="G19" s="9">
        <f>IF(A19=1,"_",IF(C19="_","???",C19))</f>
        <v/>
      </c>
      <c r="H19" s="10" t="s">
        <v>12</v>
      </c>
      <c r="I19" s="11" t="s">
        <v>12</v>
      </c>
      <c r="J19" s="12"/>
    </row>
    <row r="20" spans="1:10" ht="60" customHeight="1">
      <c r="A20" s="6" t="s">
        <v>21</v>
      </c>
      <c r="B20" s="6" t="s">
        <v>40</v>
      </c>
      <c r="C20" s="6" t="s">
        <v>86</v>
      </c>
      <c r="D20" s="7" t="s">
        <v>87</v>
      </c>
      <c r="E20" s="8" t="s">
        <v>88</v>
      </c>
      <c r="F20" s="6" t="s">
        <v>89</v>
      </c>
      <c r="G20" s="9">
        <f>IF(A20=1,"_",IF(C20="_","???",C20))</f>
        <v/>
      </c>
      <c r="H20" s="10" t="s">
        <v>12</v>
      </c>
      <c r="I20" s="11" t="s">
        <v>12</v>
      </c>
      <c r="J20" s="12"/>
    </row>
    <row r="21" spans="1:10" ht="60" customHeight="1">
      <c r="A21" s="6" t="s">
        <v>90</v>
      </c>
      <c r="B21" s="6" t="s">
        <v>16</v>
      </c>
      <c r="C21" s="6" t="s">
        <v>12</v>
      </c>
      <c r="D21" s="7" t="s">
        <v>54</v>
      </c>
      <c r="E21" s="8" t="s">
        <v>91</v>
      </c>
      <c r="F21" s="6" t="s">
        <v>92</v>
      </c>
      <c r="G21" s="9">
        <f>IF(A21=1,"_",IF(C21="_","???",C21))</f>
        <v/>
      </c>
      <c r="H21" s="10" t="s">
        <v>12</v>
      </c>
      <c r="I21" s="11" t="s">
        <v>12</v>
      </c>
      <c r="J21" s="12"/>
    </row>
    <row r="22" spans="1:10" ht="60" customHeight="1">
      <c r="A22" s="6" t="s">
        <v>62</v>
      </c>
      <c r="B22" s="6" t="s">
        <v>16</v>
      </c>
      <c r="C22" s="6" t="s">
        <v>12</v>
      </c>
      <c r="D22" s="7" t="s">
        <v>93</v>
      </c>
      <c r="E22" s="8" t="s">
        <v>94</v>
      </c>
      <c r="F22" s="6" t="s">
        <v>95</v>
      </c>
      <c r="G22" s="9">
        <f>IF(A22=1,"_",IF(C22="_","???",C22))</f>
        <v/>
      </c>
      <c r="H22" s="10" t="s">
        <v>12</v>
      </c>
      <c r="I22" s="11" t="s">
        <v>12</v>
      </c>
      <c r="J22" s="12"/>
    </row>
    <row r="23" spans="1:10" ht="60" customHeight="1">
      <c r="A23" s="6" t="s">
        <v>96</v>
      </c>
      <c r="B23" s="6" t="s">
        <v>20</v>
      </c>
      <c r="C23" s="6" t="s">
        <v>12</v>
      </c>
      <c r="D23" s="7" t="s">
        <v>97</v>
      </c>
      <c r="E23" s="8" t="s">
        <v>98</v>
      </c>
      <c r="F23" s="6" t="s">
        <v>99</v>
      </c>
      <c r="G23" s="9">
        <f>IF(A23=1,"_",IF(C23="_","???",C23))</f>
        <v/>
      </c>
      <c r="H23" s="10" t="s">
        <v>12</v>
      </c>
      <c r="I23" s="11" t="s">
        <v>12</v>
      </c>
      <c r="J23" s="12"/>
    </row>
    <row r="24" spans="1:10" ht="60" customHeight="1">
      <c r="A24" s="6" t="s">
        <v>100</v>
      </c>
      <c r="B24" s="6" t="s">
        <v>29</v>
      </c>
      <c r="C24" s="6" t="s">
        <v>12</v>
      </c>
      <c r="D24" s="7" t="s">
        <v>101</v>
      </c>
      <c r="E24" s="8" t="s">
        <v>102</v>
      </c>
      <c r="F24" s="6" t="s">
        <v>103</v>
      </c>
      <c r="G24" s="9">
        <f>IF(A24=1,"_",IF(C24="_","???",C24))</f>
        <v/>
      </c>
      <c r="H24" s="10" t="s">
        <v>12</v>
      </c>
      <c r="I24" s="11" t="s">
        <v>12</v>
      </c>
      <c r="J24" s="12"/>
    </row>
    <row r="25" spans="1:10" ht="60" customHeight="1">
      <c r="A25" s="6" t="s">
        <v>104</v>
      </c>
      <c r="B25" s="6" t="s">
        <v>20</v>
      </c>
      <c r="C25" s="6" t="s">
        <v>12</v>
      </c>
      <c r="D25" s="7" t="s">
        <v>105</v>
      </c>
      <c r="E25" s="8" t="s">
        <v>106</v>
      </c>
      <c r="F25" s="6" t="s">
        <v>107</v>
      </c>
      <c r="G25" s="9">
        <f>IF(A25=1,"_",IF(C25="_","???",C25))</f>
        <v/>
      </c>
      <c r="H25" s="10" t="s">
        <v>12</v>
      </c>
      <c r="I25" s="11" t="s">
        <v>12</v>
      </c>
      <c r="J25" s="12"/>
    </row>
    <row r="26" spans="1:10" ht="60" customHeight="1">
      <c r="A26" s="6" t="s">
        <v>108</v>
      </c>
      <c r="B26" s="6" t="s">
        <v>40</v>
      </c>
      <c r="C26" s="6" t="s">
        <v>12</v>
      </c>
      <c r="D26" s="7" t="s">
        <v>22</v>
      </c>
      <c r="E26" s="8" t="s">
        <v>109</v>
      </c>
      <c r="F26" s="6" t="s">
        <v>110</v>
      </c>
      <c r="G26" s="9">
        <f>IF(A26=1,"_",IF(C26="_","???",C26))</f>
        <v/>
      </c>
      <c r="H26" s="10" t="s">
        <v>12</v>
      </c>
      <c r="I26" s="11" t="s">
        <v>12</v>
      </c>
      <c r="J26" s="12"/>
    </row>
    <row r="27" spans="1:10" ht="60" customHeight="1">
      <c r="A27" s="6" t="s">
        <v>111</v>
      </c>
      <c r="B27" s="6" t="s">
        <v>20</v>
      </c>
      <c r="C27" s="6" t="s">
        <v>12</v>
      </c>
      <c r="D27" s="7" t="s">
        <v>112</v>
      </c>
      <c r="E27" s="8" t="s">
        <v>113</v>
      </c>
      <c r="F27" s="6" t="s">
        <v>114</v>
      </c>
      <c r="G27" s="9">
        <f>IF(A27=1,"_",IF(C27="_","???",C27))</f>
        <v/>
      </c>
      <c r="H27" s="10" t="s">
        <v>12</v>
      </c>
      <c r="I27" s="11" t="s">
        <v>12</v>
      </c>
      <c r="J27" s="12"/>
    </row>
    <row r="28" spans="1:10" ht="60" customHeight="1">
      <c r="A28" s="6" t="s">
        <v>115</v>
      </c>
      <c r="B28" s="6" t="s">
        <v>25</v>
      </c>
      <c r="C28" s="6" t="s">
        <v>12</v>
      </c>
      <c r="D28" s="7" t="s">
        <v>116</v>
      </c>
      <c r="E28" s="8" t="s">
        <v>117</v>
      </c>
      <c r="F28" s="6" t="s">
        <v>118</v>
      </c>
      <c r="G28" s="9">
        <f>IF(A28=1,"_",IF(C28="_","???",C28))</f>
        <v/>
      </c>
      <c r="H28" s="10" t="s">
        <v>12</v>
      </c>
      <c r="I28" s="11" t="s">
        <v>12</v>
      </c>
      <c r="J28" s="12"/>
    </row>
    <row r="29" spans="1:10" ht="60" customHeight="1">
      <c r="A29" s="6" t="s">
        <v>119</v>
      </c>
      <c r="B29" s="6" t="s">
        <v>16</v>
      </c>
      <c r="C29" s="6" t="s">
        <v>12</v>
      </c>
      <c r="D29" s="7" t="s">
        <v>120</v>
      </c>
      <c r="E29" s="8" t="s">
        <v>121</v>
      </c>
      <c r="F29" s="6" t="s">
        <v>122</v>
      </c>
      <c r="G29" s="9">
        <f>IF(A29=1,"_",IF(C29="_","???",C29))</f>
        <v/>
      </c>
      <c r="H29" s="10" t="s">
        <v>12</v>
      </c>
      <c r="I29" s="11" t="s">
        <v>12</v>
      </c>
      <c r="J29" s="12"/>
    </row>
    <row r="30" spans="1:10" ht="60" customHeight="1">
      <c r="A30" s="6" t="s">
        <v>123</v>
      </c>
      <c r="B30" s="6" t="s">
        <v>33</v>
      </c>
      <c r="C30" s="6" t="s">
        <v>124</v>
      </c>
      <c r="D30" s="7" t="s">
        <v>125</v>
      </c>
      <c r="E30" s="8" t="s">
        <v>126</v>
      </c>
      <c r="F30" s="6" t="s">
        <v>127</v>
      </c>
      <c r="G30" s="9">
        <f>IF(A30=1,"_",IF(C30="_","???",C30))</f>
        <v/>
      </c>
      <c r="H30" s="10" t="s">
        <v>12</v>
      </c>
      <c r="I30" s="11" t="s">
        <v>12</v>
      </c>
      <c r="J30" s="12"/>
    </row>
    <row r="31" spans="1:10" ht="60" customHeight="1">
      <c r="A31" s="6" t="s">
        <v>128</v>
      </c>
      <c r="B31" s="6" t="s">
        <v>20</v>
      </c>
      <c r="C31" s="6" t="s">
        <v>12</v>
      </c>
      <c r="D31" s="7" t="s">
        <v>129</v>
      </c>
      <c r="E31" s="8" t="s">
        <v>130</v>
      </c>
      <c r="F31" s="6" t="s">
        <v>131</v>
      </c>
      <c r="G31" s="9">
        <f>IF(A31=1,"_",IF(C31="_","???",C31))</f>
        <v/>
      </c>
      <c r="H31" s="10" t="s">
        <v>12</v>
      </c>
      <c r="I31" s="11" t="s">
        <v>12</v>
      </c>
      <c r="J31" s="12"/>
    </row>
    <row r="32" spans="1:10" ht="60" customHeight="1">
      <c r="A32" s="6" t="s">
        <v>132</v>
      </c>
      <c r="B32" s="6" t="s">
        <v>16</v>
      </c>
      <c r="C32" s="6" t="s">
        <v>12</v>
      </c>
      <c r="D32" s="7" t="s">
        <v>133</v>
      </c>
      <c r="E32" s="8" t="s">
        <v>134</v>
      </c>
      <c r="F32" s="6" t="s">
        <v>135</v>
      </c>
      <c r="G32" s="9">
        <f>IF(A32=1,"_",IF(C32="_","???",C32))</f>
        <v/>
      </c>
      <c r="H32" s="10" t="s">
        <v>12</v>
      </c>
      <c r="I32" s="11" t="s">
        <v>12</v>
      </c>
      <c r="J32" s="12"/>
    </row>
    <row r="33" spans="1:10" ht="60" customHeight="1">
      <c r="A33" s="6" t="s">
        <v>136</v>
      </c>
      <c r="B33" s="6" t="s">
        <v>16</v>
      </c>
      <c r="C33" s="6" t="s">
        <v>12</v>
      </c>
      <c r="D33" s="7" t="s">
        <v>42</v>
      </c>
      <c r="E33" s="8" t="s">
        <v>137</v>
      </c>
      <c r="F33" s="6" t="s">
        <v>138</v>
      </c>
      <c r="G33" s="9">
        <f>IF(A33=1,"_",IF(C33="_","???",C33))</f>
        <v/>
      </c>
      <c r="H33" s="10" t="s">
        <v>12</v>
      </c>
      <c r="I33" s="11" t="s">
        <v>12</v>
      </c>
      <c r="J33" s="12"/>
    </row>
    <row r="34" spans="1:10" ht="60" customHeight="1">
      <c r="A34" s="6" t="s">
        <v>139</v>
      </c>
      <c r="B34" s="6" t="s">
        <v>53</v>
      </c>
      <c r="C34" s="6" t="s">
        <v>12</v>
      </c>
      <c r="D34" s="7" t="s">
        <v>140</v>
      </c>
      <c r="E34" s="8" t="s">
        <v>141</v>
      </c>
      <c r="F34" s="6" t="s">
        <v>142</v>
      </c>
      <c r="G34" s="9">
        <f>IF(A34=1,"_",IF(C34="_","???",C34))</f>
        <v/>
      </c>
      <c r="H34" s="10" t="s">
        <v>12</v>
      </c>
      <c r="I34" s="11" t="s">
        <v>12</v>
      </c>
      <c r="J34" s="12"/>
    </row>
    <row r="35" spans="1:10" ht="60" customHeight="1">
      <c r="A35" s="6" t="s">
        <v>143</v>
      </c>
      <c r="B35" s="6" t="s">
        <v>57</v>
      </c>
      <c r="C35" s="6" t="s">
        <v>12</v>
      </c>
      <c r="D35" s="7" t="s">
        <v>144</v>
      </c>
      <c r="E35" s="8" t="s">
        <v>145</v>
      </c>
      <c r="F35" s="6" t="s">
        <v>146</v>
      </c>
      <c r="G35" s="9">
        <f>IF(A35=1,"_",IF(C35="_","???",C35))</f>
        <v/>
      </c>
      <c r="H35" s="10" t="s">
        <v>12</v>
      </c>
      <c r="I35" s="11" t="s">
        <v>12</v>
      </c>
      <c r="J35" s="12"/>
    </row>
    <row r="36" spans="1:10" ht="60" customHeight="1">
      <c r="A36" s="6" t="s">
        <v>147</v>
      </c>
      <c r="B36" s="6" t="s">
        <v>16</v>
      </c>
      <c r="C36" s="6" t="s">
        <v>12</v>
      </c>
      <c r="D36" s="7" t="s">
        <v>148</v>
      </c>
      <c r="E36" s="8" t="s">
        <v>149</v>
      </c>
      <c r="F36" s="6" t="s">
        <v>150</v>
      </c>
      <c r="G36" s="9">
        <f>IF(A36=1,"_",IF(C36="_","???",C36))</f>
        <v/>
      </c>
      <c r="H36" s="10" t="s">
        <v>12</v>
      </c>
      <c r="I36" s="11" t="s">
        <v>12</v>
      </c>
      <c r="J36" s="12"/>
    </row>
    <row r="37" spans="1:10" ht="60" customHeight="1">
      <c r="A37" s="6" t="s">
        <v>151</v>
      </c>
      <c r="B37" s="6" t="s">
        <v>16</v>
      </c>
      <c r="C37" s="6" t="s">
        <v>12</v>
      </c>
      <c r="D37" s="7" t="s">
        <v>152</v>
      </c>
      <c r="E37" s="8" t="s">
        <v>153</v>
      </c>
      <c r="F37" s="6" t="s">
        <v>154</v>
      </c>
      <c r="G37" s="9">
        <f>IF(A37=1,"_",IF(C37="_","???",C37))</f>
        <v/>
      </c>
      <c r="H37" s="10" t="s">
        <v>12</v>
      </c>
      <c r="I37" s="11" t="s">
        <v>12</v>
      </c>
      <c r="J37" s="12"/>
    </row>
    <row r="38" spans="1:10" ht="60" customHeight="1">
      <c r="A38" s="6" t="s">
        <v>155</v>
      </c>
      <c r="B38" s="6" t="s">
        <v>16</v>
      </c>
      <c r="C38" s="6" t="s">
        <v>12</v>
      </c>
      <c r="D38" s="7" t="s">
        <v>156</v>
      </c>
      <c r="E38" s="8" t="s">
        <v>157</v>
      </c>
      <c r="F38" s="6" t="s">
        <v>158</v>
      </c>
      <c r="G38" s="9">
        <f>IF(A38=1,"_",IF(C38="_","???",C38))</f>
        <v/>
      </c>
      <c r="H38" s="10" t="s">
        <v>12</v>
      </c>
      <c r="I38" s="11" t="s">
        <v>12</v>
      </c>
      <c r="J38" s="12"/>
    </row>
    <row r="39" spans="1:10" ht="60" customHeight="1">
      <c r="A39" s="6" t="s">
        <v>159</v>
      </c>
      <c r="B39" s="6" t="s">
        <v>61</v>
      </c>
      <c r="C39" s="6" t="s">
        <v>12</v>
      </c>
      <c r="D39" s="7" t="s">
        <v>160</v>
      </c>
      <c r="E39" s="8" t="s">
        <v>161</v>
      </c>
      <c r="F39" s="6" t="s">
        <v>162</v>
      </c>
      <c r="G39" s="9">
        <f>IF(A39=1,"_",IF(C39="_","???",C39))</f>
        <v/>
      </c>
      <c r="H39" s="10" t="s">
        <v>12</v>
      </c>
      <c r="I39" s="11" t="s">
        <v>12</v>
      </c>
      <c r="J39" s="12"/>
    </row>
    <row r="40" spans="1:10" ht="60" customHeight="1">
      <c r="A40" s="6" t="s">
        <v>163</v>
      </c>
      <c r="B40" s="6" t="s">
        <v>16</v>
      </c>
      <c r="C40" s="6" t="s">
        <v>124</v>
      </c>
      <c r="D40" s="7" t="s">
        <v>164</v>
      </c>
      <c r="E40" s="8" t="s">
        <v>165</v>
      </c>
      <c r="F40" s="6" t="s">
        <v>166</v>
      </c>
      <c r="G40" s="9">
        <f>IF(A40=1,"_",IF(C40="_","???",C40))</f>
        <v/>
      </c>
      <c r="H40" s="10" t="s">
        <v>12</v>
      </c>
      <c r="I40" s="11" t="s">
        <v>12</v>
      </c>
      <c r="J40" s="12"/>
    </row>
    <row r="41" spans="1:10" ht="60" customHeight="1">
      <c r="A41" s="6" t="s">
        <v>167</v>
      </c>
      <c r="B41" s="6" t="s">
        <v>20</v>
      </c>
      <c r="C41" s="6" t="s">
        <v>12</v>
      </c>
      <c r="D41" s="7" t="s">
        <v>54</v>
      </c>
      <c r="E41" s="8" t="s">
        <v>168</v>
      </c>
      <c r="F41" s="6" t="s">
        <v>169</v>
      </c>
      <c r="G41" s="9">
        <f>IF(A41=1,"_",IF(C41="_","???",C41))</f>
        <v/>
      </c>
      <c r="H41" s="10" t="s">
        <v>12</v>
      </c>
      <c r="I41" s="11" t="s">
        <v>12</v>
      </c>
      <c r="J41" s="12"/>
    </row>
    <row r="42" spans="1:10" ht="60" customHeight="1">
      <c r="A42" s="6" t="s">
        <v>170</v>
      </c>
      <c r="B42" s="6" t="s">
        <v>123</v>
      </c>
      <c r="C42" s="6" t="s">
        <v>12</v>
      </c>
      <c r="D42" s="7" t="s">
        <v>171</v>
      </c>
      <c r="E42" s="8" t="s">
        <v>172</v>
      </c>
      <c r="F42" s="6" t="s">
        <v>173</v>
      </c>
      <c r="G42" s="9">
        <f>IF(A42=1,"_",IF(C42="_","???",C42))</f>
        <v/>
      </c>
      <c r="H42" s="10" t="s">
        <v>12</v>
      </c>
      <c r="I42" s="11" t="s">
        <v>12</v>
      </c>
      <c r="J42" s="12"/>
    </row>
    <row r="43" spans="1:10" ht="60" customHeight="1">
      <c r="A43" s="6" t="s">
        <v>174</v>
      </c>
      <c r="B43" s="6" t="s">
        <v>90</v>
      </c>
      <c r="C43" s="6" t="s">
        <v>12</v>
      </c>
      <c r="D43" s="7" t="s">
        <v>175</v>
      </c>
      <c r="E43" s="8" t="s">
        <v>176</v>
      </c>
      <c r="F43" s="6" t="s">
        <v>177</v>
      </c>
      <c r="G43" s="9">
        <f>IF(A43=1,"_",IF(C43="_","???",C43))</f>
        <v/>
      </c>
      <c r="H43" s="10" t="s">
        <v>12</v>
      </c>
      <c r="I43" s="11" t="s">
        <v>12</v>
      </c>
      <c r="J43" s="12"/>
    </row>
    <row r="44" spans="1:10" ht="60" customHeight="1">
      <c r="A44" s="6" t="s">
        <v>178</v>
      </c>
      <c r="B44" s="6" t="s">
        <v>25</v>
      </c>
      <c r="C44" s="6" t="s">
        <v>12</v>
      </c>
      <c r="D44" s="7" t="s">
        <v>179</v>
      </c>
      <c r="E44" s="8" t="s">
        <v>180</v>
      </c>
      <c r="F44" s="6" t="s">
        <v>181</v>
      </c>
      <c r="G44" s="9">
        <f>IF(A44=1,"_",IF(C44="_","???",C44))</f>
        <v/>
      </c>
      <c r="H44" s="10" t="s">
        <v>12</v>
      </c>
      <c r="I44" s="11" t="s">
        <v>12</v>
      </c>
      <c r="J44" s="12"/>
    </row>
    <row r="45" spans="1:10" ht="60" customHeight="1">
      <c r="A45" s="6" t="s">
        <v>182</v>
      </c>
      <c r="B45" s="6" t="s">
        <v>11</v>
      </c>
      <c r="C45" s="6" t="s">
        <v>12</v>
      </c>
      <c r="D45" s="7" t="s">
        <v>183</v>
      </c>
      <c r="E45" s="8" t="s">
        <v>184</v>
      </c>
      <c r="F45" s="6" t="s">
        <v>185</v>
      </c>
      <c r="G45" s="9">
        <f>IF(A45=1,"_",IF(C45="_","???",C45))</f>
        <v/>
      </c>
      <c r="H45" s="10" t="s">
        <v>12</v>
      </c>
      <c r="I45" s="11" t="s">
        <v>12</v>
      </c>
      <c r="J45" s="12"/>
    </row>
    <row r="46" spans="1:10" ht="60" customHeight="1">
      <c r="A46" s="6" t="s">
        <v>186</v>
      </c>
      <c r="B46" s="6" t="s">
        <v>20</v>
      </c>
      <c r="C46" s="6" t="s">
        <v>12</v>
      </c>
      <c r="D46" s="7" t="s">
        <v>46</v>
      </c>
      <c r="E46" s="8" t="s">
        <v>187</v>
      </c>
      <c r="F46" s="6" t="s">
        <v>188</v>
      </c>
      <c r="G46" s="9">
        <f>IF(A46=1,"_",IF(C46="_","???",C46))</f>
        <v/>
      </c>
      <c r="H46" s="10" t="s">
        <v>12</v>
      </c>
      <c r="I46" s="11" t="s">
        <v>12</v>
      </c>
      <c r="J46" s="12"/>
    </row>
    <row r="47" spans="1:10" ht="60" customHeight="1">
      <c r="A47" s="6" t="s">
        <v>189</v>
      </c>
      <c r="B47" s="6" t="s">
        <v>20</v>
      </c>
      <c r="C47" s="6" t="s">
        <v>12</v>
      </c>
      <c r="D47" s="7" t="s">
        <v>190</v>
      </c>
      <c r="E47" s="8" t="s">
        <v>191</v>
      </c>
      <c r="F47" s="6" t="s">
        <v>192</v>
      </c>
      <c r="G47" s="9">
        <f>IF(A47=1,"_",IF(C47="_","???",C47))</f>
        <v/>
      </c>
      <c r="H47" s="10" t="s">
        <v>12</v>
      </c>
      <c r="I47" s="11" t="s">
        <v>12</v>
      </c>
      <c r="J47" s="12"/>
    </row>
    <row r="48" spans="1:10" ht="60" customHeight="1">
      <c r="A48" s="6" t="s">
        <v>193</v>
      </c>
      <c r="B48" s="6" t="s">
        <v>16</v>
      </c>
      <c r="C48" s="6" t="s">
        <v>12</v>
      </c>
      <c r="D48" s="7" t="s">
        <v>79</v>
      </c>
      <c r="E48" s="8" t="s">
        <v>194</v>
      </c>
      <c r="F48" s="6" t="s">
        <v>195</v>
      </c>
      <c r="G48" s="9">
        <f>IF(A48=1,"_",IF(C48="_","???",C48))</f>
        <v/>
      </c>
      <c r="H48" s="10" t="s">
        <v>12</v>
      </c>
      <c r="I48" s="11" t="s">
        <v>12</v>
      </c>
      <c r="J48" s="12"/>
    </row>
    <row r="49" spans="1:10" ht="60" customHeight="1">
      <c r="A49" s="6" t="s">
        <v>196</v>
      </c>
      <c r="B49" s="6" t="s">
        <v>16</v>
      </c>
      <c r="C49" s="6" t="s">
        <v>12</v>
      </c>
      <c r="D49" s="7" t="s">
        <v>197</v>
      </c>
      <c r="E49" s="8" t="s">
        <v>198</v>
      </c>
      <c r="F49" s="6" t="s">
        <v>199</v>
      </c>
      <c r="G49" s="9">
        <f>IF(A49=1,"_",IF(C49="_","???",C49))</f>
        <v/>
      </c>
      <c r="H49" s="10" t="s">
        <v>12</v>
      </c>
      <c r="I49" s="11" t="s">
        <v>12</v>
      </c>
      <c r="J49" s="12"/>
    </row>
    <row r="50" spans="1:10" ht="60" customHeight="1">
      <c r="A50" s="6" t="s">
        <v>200</v>
      </c>
      <c r="B50" s="6" t="s">
        <v>16</v>
      </c>
      <c r="C50" s="6" t="s">
        <v>12</v>
      </c>
      <c r="D50" s="7" t="s">
        <v>201</v>
      </c>
      <c r="E50" s="8" t="s">
        <v>202</v>
      </c>
      <c r="F50" s="6" t="s">
        <v>203</v>
      </c>
      <c r="G50" s="9">
        <f>IF(A50=1,"_",IF(C50="_","???",C50))</f>
        <v/>
      </c>
      <c r="H50" s="10" t="s">
        <v>12</v>
      </c>
      <c r="I50" s="11" t="s">
        <v>12</v>
      </c>
      <c r="J50" s="12"/>
    </row>
    <row r="51" spans="1:10" ht="60" customHeight="1">
      <c r="A51" s="6" t="s">
        <v>204</v>
      </c>
      <c r="B51" s="6" t="s">
        <v>16</v>
      </c>
      <c r="C51" s="6" t="s">
        <v>12</v>
      </c>
      <c r="D51" s="7" t="s">
        <v>205</v>
      </c>
      <c r="E51" s="8" t="s">
        <v>206</v>
      </c>
      <c r="F51" s="6" t="s">
        <v>207</v>
      </c>
      <c r="G51" s="9">
        <f>IF(A51=1,"_",IF(C51="_","???",C51))</f>
        <v/>
      </c>
      <c r="H51" s="10" t="s">
        <v>12</v>
      </c>
      <c r="I51" s="11" t="s">
        <v>12</v>
      </c>
      <c r="J51" s="12"/>
    </row>
    <row r="52" spans="1:10" ht="60" customHeight="1">
      <c r="A52" s="6" t="s">
        <v>208</v>
      </c>
      <c r="B52" s="6" t="s">
        <v>10</v>
      </c>
      <c r="C52" s="6" t="s">
        <v>12</v>
      </c>
      <c r="D52" s="7" t="s">
        <v>209</v>
      </c>
      <c r="E52" s="8" t="s">
        <v>210</v>
      </c>
      <c r="F52" s="6" t="s">
        <v>211</v>
      </c>
      <c r="G52" s="9">
        <f>IF(A52=1,"_",IF(C52="_","???",C52))</f>
        <v/>
      </c>
      <c r="H52" s="10" t="s">
        <v>12</v>
      </c>
      <c r="I52" s="11" t="s">
        <v>12</v>
      </c>
      <c r="J52" s="12"/>
    </row>
    <row r="53" spans="1:10" ht="60" customHeight="1">
      <c r="A53" s="6" t="s">
        <v>212</v>
      </c>
      <c r="B53" s="6" t="s">
        <v>41</v>
      </c>
      <c r="C53" s="6" t="s">
        <v>12</v>
      </c>
      <c r="D53" s="7" t="s">
        <v>213</v>
      </c>
      <c r="E53" s="8" t="s">
        <v>214</v>
      </c>
      <c r="F53" s="6" t="s">
        <v>215</v>
      </c>
      <c r="G53" s="9">
        <f>IF(A53=1,"_",IF(C53="_","???",C53))</f>
        <v/>
      </c>
      <c r="H53" s="10" t="s">
        <v>12</v>
      </c>
      <c r="I53" s="11" t="s">
        <v>12</v>
      </c>
      <c r="J53" s="12"/>
    </row>
    <row r="54" spans="1:10" ht="60" customHeight="1">
      <c r="A54" s="6" t="s">
        <v>216</v>
      </c>
      <c r="B54" s="6" t="s">
        <v>20</v>
      </c>
      <c r="C54" s="6" t="s">
        <v>12</v>
      </c>
      <c r="D54" s="7" t="s">
        <v>217</v>
      </c>
      <c r="E54" s="8" t="s">
        <v>218</v>
      </c>
      <c r="F54" s="6" t="s">
        <v>219</v>
      </c>
      <c r="G54" s="9">
        <f>IF(A54=1,"_",IF(C54="_","???",C54))</f>
        <v/>
      </c>
      <c r="H54" s="10" t="s">
        <v>12</v>
      </c>
      <c r="I54" s="11" t="s">
        <v>12</v>
      </c>
      <c r="J54" s="12"/>
    </row>
    <row r="55" spans="1:10" ht="60" customHeight="1">
      <c r="A55" s="6" t="s">
        <v>220</v>
      </c>
      <c r="B55" s="6" t="s">
        <v>20</v>
      </c>
      <c r="C55" s="6" t="s">
        <v>12</v>
      </c>
      <c r="D55" s="7" t="s">
        <v>213</v>
      </c>
      <c r="E55" s="8" t="s">
        <v>221</v>
      </c>
      <c r="F55" s="6" t="s">
        <v>222</v>
      </c>
      <c r="G55" s="9">
        <f>IF(A55=1,"_",IF(C55="_","???",C55))</f>
        <v/>
      </c>
      <c r="H55" s="10" t="s">
        <v>12</v>
      </c>
      <c r="I55" s="11" t="s">
        <v>12</v>
      </c>
      <c r="J55" s="12"/>
    </row>
    <row r="56" spans="1:10" ht="60" customHeight="1">
      <c r="A56" s="6" t="s">
        <v>223</v>
      </c>
      <c r="B56" s="6" t="s">
        <v>16</v>
      </c>
      <c r="C56" s="6" t="s">
        <v>12</v>
      </c>
      <c r="D56" s="7" t="s">
        <v>201</v>
      </c>
      <c r="E56" s="8" t="s">
        <v>224</v>
      </c>
      <c r="F56" s="6" t="s">
        <v>225</v>
      </c>
      <c r="G56" s="9">
        <f>IF(A56=1,"_",IF(C56="_","???",C56))</f>
        <v/>
      </c>
      <c r="H56" s="10" t="s">
        <v>12</v>
      </c>
      <c r="I56" s="11" t="s">
        <v>12</v>
      </c>
      <c r="J56" s="12"/>
    </row>
    <row r="57" spans="1:10" ht="60" customHeight="1">
      <c r="A57" s="6" t="s">
        <v>226</v>
      </c>
      <c r="B57" s="6" t="s">
        <v>16</v>
      </c>
      <c r="C57" s="6" t="s">
        <v>12</v>
      </c>
      <c r="D57" s="7" t="s">
        <v>227</v>
      </c>
      <c r="E57" s="8" t="s">
        <v>228</v>
      </c>
      <c r="F57" s="6" t="s">
        <v>229</v>
      </c>
      <c r="G57" s="9">
        <f>IF(A57=1,"_",IF(C57="_","???",C57))</f>
        <v/>
      </c>
      <c r="H57" s="10" t="s">
        <v>12</v>
      </c>
      <c r="I57" s="11" t="s">
        <v>12</v>
      </c>
      <c r="J57" s="12"/>
    </row>
    <row r="58" spans="1:10" ht="60" customHeight="1">
      <c r="A58" s="6" t="s">
        <v>230</v>
      </c>
      <c r="B58" s="6" t="s">
        <v>16</v>
      </c>
      <c r="C58" s="6" t="s">
        <v>12</v>
      </c>
      <c r="D58" s="7" t="s">
        <v>231</v>
      </c>
      <c r="E58" s="8" t="s">
        <v>232</v>
      </c>
      <c r="F58" s="6" t="s">
        <v>233</v>
      </c>
      <c r="G58" s="9">
        <f>IF(A58=1,"_",IF(C58="_","???",C58))</f>
        <v/>
      </c>
      <c r="H58" s="10" t="s">
        <v>12</v>
      </c>
      <c r="I58" s="11" t="s">
        <v>12</v>
      </c>
      <c r="J58" s="12"/>
    </row>
    <row r="59" spans="1:10" ht="60" customHeight="1">
      <c r="A59" s="6" t="s">
        <v>234</v>
      </c>
      <c r="B59" s="6" t="s">
        <v>66</v>
      </c>
      <c r="C59" s="6" t="s">
        <v>12</v>
      </c>
      <c r="D59" s="7" t="s">
        <v>213</v>
      </c>
      <c r="E59" s="8" t="s">
        <v>235</v>
      </c>
      <c r="F59" s="6" t="s">
        <v>236</v>
      </c>
      <c r="G59" s="9">
        <f>IF(A59=1,"_",IF(C59="_","???",C59))</f>
        <v/>
      </c>
      <c r="H59" s="10" t="s">
        <v>12</v>
      </c>
      <c r="I59" s="11" t="s">
        <v>12</v>
      </c>
      <c r="J59" s="12"/>
    </row>
    <row r="60" spans="1:10" ht="60" customHeight="1">
      <c r="A60" s="6" t="s">
        <v>237</v>
      </c>
      <c r="B60" s="6" t="s">
        <v>25</v>
      </c>
      <c r="C60" s="6" t="s">
        <v>12</v>
      </c>
      <c r="D60" s="7" t="s">
        <v>238</v>
      </c>
      <c r="E60" s="8" t="s">
        <v>239</v>
      </c>
      <c r="F60" s="6" t="s">
        <v>240</v>
      </c>
      <c r="G60" s="9">
        <f>IF(A60=1,"_",IF(C60="_","???",C60))</f>
        <v/>
      </c>
      <c r="H60" s="10" t="s">
        <v>12</v>
      </c>
      <c r="I60" s="11" t="s">
        <v>12</v>
      </c>
      <c r="J60" s="12"/>
    </row>
    <row r="61" spans="1:10" ht="60" customHeight="1">
      <c r="A61" s="6" t="s">
        <v>241</v>
      </c>
      <c r="B61" s="6" t="s">
        <v>20</v>
      </c>
      <c r="C61" s="6" t="s">
        <v>12</v>
      </c>
      <c r="D61" s="7" t="s">
        <v>152</v>
      </c>
      <c r="E61" s="8" t="s">
        <v>242</v>
      </c>
      <c r="F61" s="6" t="s">
        <v>243</v>
      </c>
      <c r="G61" s="9">
        <f>IF(A61=1,"_",IF(C61="_","???",C61))</f>
        <v/>
      </c>
      <c r="H61" s="10" t="s">
        <v>12</v>
      </c>
      <c r="I61" s="11" t="s">
        <v>12</v>
      </c>
      <c r="J61" s="12"/>
    </row>
    <row r="62" spans="1:10" ht="60" customHeight="1">
      <c r="A62" s="6" t="s">
        <v>244</v>
      </c>
      <c r="B62" s="6" t="s">
        <v>16</v>
      </c>
      <c r="C62" s="6" t="s">
        <v>12</v>
      </c>
      <c r="D62" s="7" t="s">
        <v>245</v>
      </c>
      <c r="E62" s="8" t="s">
        <v>246</v>
      </c>
      <c r="F62" s="6" t="s">
        <v>247</v>
      </c>
      <c r="G62" s="9">
        <f>IF(A62=1,"_",IF(C62="_","???",C62))</f>
        <v/>
      </c>
      <c r="H62" s="10" t="s">
        <v>12</v>
      </c>
      <c r="I62" s="11" t="s">
        <v>12</v>
      </c>
      <c r="J62" s="12"/>
    </row>
    <row r="63" spans="1:10" ht="60" customHeight="1">
      <c r="A63" s="6" t="s">
        <v>248</v>
      </c>
      <c r="B63" s="6" t="s">
        <v>25</v>
      </c>
      <c r="C63" s="6" t="s">
        <v>12</v>
      </c>
      <c r="D63" s="7" t="s">
        <v>249</v>
      </c>
      <c r="E63" s="8" t="s">
        <v>250</v>
      </c>
      <c r="F63" s="6" t="s">
        <v>251</v>
      </c>
      <c r="G63" s="9">
        <f>IF(A63=1,"_",IF(C63="_","???",C63))</f>
        <v/>
      </c>
      <c r="H63" s="10" t="s">
        <v>12</v>
      </c>
      <c r="I63" s="11" t="s">
        <v>12</v>
      </c>
      <c r="J63" s="12"/>
    </row>
    <row r="64" spans="1:10" ht="60" customHeight="1">
      <c r="A64" s="6" t="s">
        <v>252</v>
      </c>
      <c r="B64" s="6" t="s">
        <v>74</v>
      </c>
      <c r="C64" s="6" t="s">
        <v>12</v>
      </c>
      <c r="D64" s="7" t="s">
        <v>87</v>
      </c>
      <c r="E64" s="8" t="s">
        <v>253</v>
      </c>
      <c r="F64" s="6" t="s">
        <v>254</v>
      </c>
      <c r="G64" s="9">
        <f>IF(A64=1,"_",IF(C64="_","???",C64))</f>
        <v/>
      </c>
      <c r="H64" s="10" t="s">
        <v>12</v>
      </c>
      <c r="I64" s="11" t="s">
        <v>12</v>
      </c>
      <c r="J64" s="12"/>
    </row>
    <row r="65" spans="1:10" ht="60" customHeight="1">
      <c r="A65" s="6" t="s">
        <v>255</v>
      </c>
      <c r="B65" s="6" t="s">
        <v>16</v>
      </c>
      <c r="C65" s="6" t="s">
        <v>12</v>
      </c>
      <c r="D65" s="7" t="s">
        <v>256</v>
      </c>
      <c r="E65" s="8" t="s">
        <v>257</v>
      </c>
      <c r="F65" s="6" t="s">
        <v>258</v>
      </c>
      <c r="G65" s="9">
        <f>IF(A65=1,"_",IF(C65="_","???",C65))</f>
        <v/>
      </c>
      <c r="H65" s="10" t="s">
        <v>12</v>
      </c>
      <c r="I65" s="11" t="s">
        <v>12</v>
      </c>
      <c r="J65" s="12"/>
    </row>
    <row r="66" spans="1:10" ht="60" customHeight="1">
      <c r="A66" s="6" t="s">
        <v>259</v>
      </c>
      <c r="B66" s="6" t="s">
        <v>20</v>
      </c>
      <c r="C66" s="6" t="s">
        <v>12</v>
      </c>
      <c r="D66" s="7" t="s">
        <v>260</v>
      </c>
      <c r="E66" s="8" t="s">
        <v>261</v>
      </c>
      <c r="F66" s="6" t="s">
        <v>262</v>
      </c>
      <c r="G66" s="9">
        <f>IF(A66=1,"_",IF(C66="_","???",C66))</f>
        <v/>
      </c>
      <c r="H66" s="10" t="s">
        <v>12</v>
      </c>
      <c r="I66" s="11" t="s">
        <v>12</v>
      </c>
      <c r="J66" s="12"/>
    </row>
    <row r="67" spans="1:10" ht="60" customHeight="1">
      <c r="A67" s="6" t="s">
        <v>263</v>
      </c>
      <c r="B67" s="6" t="s">
        <v>16</v>
      </c>
      <c r="C67" s="6" t="s">
        <v>12</v>
      </c>
      <c r="D67" s="7" t="s">
        <v>264</v>
      </c>
      <c r="E67" s="8" t="s">
        <v>265</v>
      </c>
      <c r="F67" s="6" t="s">
        <v>266</v>
      </c>
      <c r="G67" s="9">
        <f>IF(A67=1,"_",IF(C67="_","???",C67))</f>
        <v/>
      </c>
      <c r="H67" s="10" t="s">
        <v>12</v>
      </c>
      <c r="I67" s="11" t="s">
        <v>12</v>
      </c>
      <c r="J67" s="12"/>
    </row>
    <row r="68" spans="1:10" ht="60" customHeight="1">
      <c r="A68" s="6" t="s">
        <v>267</v>
      </c>
      <c r="B68" s="6" t="s">
        <v>45</v>
      </c>
      <c r="C68" s="6" t="s">
        <v>12</v>
      </c>
      <c r="D68" s="7" t="s">
        <v>268</v>
      </c>
      <c r="E68" s="8" t="s">
        <v>269</v>
      </c>
      <c r="F68" s="6" t="s">
        <v>270</v>
      </c>
      <c r="G68" s="9">
        <f>IF(A68=1,"_",IF(C68="_","???",C68))</f>
        <v/>
      </c>
      <c r="H68" s="10" t="s">
        <v>12</v>
      </c>
      <c r="I68" s="11" t="s">
        <v>12</v>
      </c>
      <c r="J68" s="12"/>
    </row>
    <row r="69" spans="1:10" ht="60" customHeight="1">
      <c r="A69" s="6" t="s">
        <v>271</v>
      </c>
      <c r="B69" s="6" t="s">
        <v>49</v>
      </c>
      <c r="C69" s="6" t="s">
        <v>12</v>
      </c>
      <c r="D69" s="7" t="s">
        <v>272</v>
      </c>
      <c r="E69" s="8" t="s">
        <v>273</v>
      </c>
      <c r="F69" s="6" t="s">
        <v>274</v>
      </c>
      <c r="G69" s="9">
        <f>IF(A69=1,"_",IF(C69="_","???",C69))</f>
        <v/>
      </c>
      <c r="H69" s="10" t="s">
        <v>12</v>
      </c>
      <c r="I69" s="11" t="s">
        <v>12</v>
      </c>
      <c r="J69" s="12"/>
    </row>
    <row r="70" spans="1:10" ht="60" customHeight="1">
      <c r="A70" s="6" t="s">
        <v>275</v>
      </c>
      <c r="B70" s="6" t="s">
        <v>16</v>
      </c>
      <c r="C70" s="6" t="s">
        <v>12</v>
      </c>
      <c r="D70" s="7" t="s">
        <v>276</v>
      </c>
      <c r="E70" s="8" t="s">
        <v>277</v>
      </c>
      <c r="F70" s="6" t="s">
        <v>278</v>
      </c>
      <c r="G70" s="9">
        <f>IF(A70=1,"_",IF(C70="_","???",C70))</f>
        <v/>
      </c>
      <c r="H70" s="10" t="s">
        <v>12</v>
      </c>
      <c r="I70" s="11" t="s">
        <v>12</v>
      </c>
      <c r="J70" s="12"/>
    </row>
    <row r="71" spans="1:10" ht="60" customHeight="1">
      <c r="A71" s="6" t="s">
        <v>279</v>
      </c>
      <c r="B71" s="6" t="s">
        <v>25</v>
      </c>
      <c r="C71" s="6" t="s">
        <v>12</v>
      </c>
      <c r="D71" s="7" t="s">
        <v>54</v>
      </c>
      <c r="E71" s="8" t="s">
        <v>280</v>
      </c>
      <c r="F71" s="6" t="s">
        <v>281</v>
      </c>
      <c r="G71" s="9">
        <f>IF(A71=1,"_",IF(C71="_","???",C71))</f>
        <v/>
      </c>
      <c r="H71" s="10" t="s">
        <v>12</v>
      </c>
      <c r="I71" s="11" t="s">
        <v>12</v>
      </c>
      <c r="J71" s="12"/>
    </row>
    <row r="72" spans="1:10" ht="60" customHeight="1">
      <c r="A72" s="6" t="s">
        <v>282</v>
      </c>
      <c r="B72" s="6" t="s">
        <v>16</v>
      </c>
      <c r="C72" s="6" t="s">
        <v>12</v>
      </c>
      <c r="D72" s="7" t="s">
        <v>75</v>
      </c>
      <c r="E72" s="8" t="s">
        <v>283</v>
      </c>
      <c r="F72" s="6" t="s">
        <v>284</v>
      </c>
      <c r="G72" s="9">
        <f>IF(A72=1,"_",IF(C72="_","???",C72))</f>
        <v/>
      </c>
      <c r="H72" s="10" t="s">
        <v>12</v>
      </c>
      <c r="I72" s="11" t="s">
        <v>12</v>
      </c>
      <c r="J72" s="12"/>
    </row>
    <row r="73" spans="1:10" ht="60" customHeight="1">
      <c r="A73" s="6" t="s">
        <v>285</v>
      </c>
      <c r="B73" s="6" t="s">
        <v>61</v>
      </c>
      <c r="C73" s="6" t="s">
        <v>12</v>
      </c>
      <c r="D73" s="7" t="s">
        <v>286</v>
      </c>
      <c r="E73" s="8" t="s">
        <v>287</v>
      </c>
      <c r="F73" s="6" t="s">
        <v>288</v>
      </c>
      <c r="G73" s="9">
        <f>IF(A73=1,"_",IF(C73="_","???",C73))</f>
        <v/>
      </c>
      <c r="H73" s="10" t="s">
        <v>12</v>
      </c>
      <c r="I73" s="11" t="s">
        <v>12</v>
      </c>
      <c r="J73" s="12"/>
    </row>
    <row r="74" spans="1:10" ht="60" customHeight="1">
      <c r="A74" s="6" t="s">
        <v>289</v>
      </c>
      <c r="B74" s="6" t="s">
        <v>20</v>
      </c>
      <c r="C74" s="6" t="s">
        <v>12</v>
      </c>
      <c r="D74" s="7" t="s">
        <v>290</v>
      </c>
      <c r="E74" s="8" t="s">
        <v>291</v>
      </c>
      <c r="F74" s="6" t="s">
        <v>292</v>
      </c>
      <c r="G74" s="9">
        <f>IF(A74=1,"_",IF(C74="_","???",C74))</f>
        <v/>
      </c>
      <c r="H74" s="10" t="s">
        <v>12</v>
      </c>
      <c r="I74" s="11" t="s">
        <v>12</v>
      </c>
      <c r="J74" s="12"/>
    </row>
    <row r="75" spans="1:10" ht="60" customHeight="1">
      <c r="A75" s="6" t="s">
        <v>293</v>
      </c>
      <c r="B75" s="6" t="s">
        <v>33</v>
      </c>
      <c r="C75" s="6" t="s">
        <v>12</v>
      </c>
      <c r="D75" s="7" t="s">
        <v>294</v>
      </c>
      <c r="E75" s="8" t="s">
        <v>295</v>
      </c>
      <c r="F75" s="6" t="s">
        <v>296</v>
      </c>
      <c r="G75" s="9">
        <f>IF(A75=1,"_",IF(C75="_","???",C75))</f>
        <v/>
      </c>
      <c r="H75" s="10" t="s">
        <v>12</v>
      </c>
      <c r="I75" s="11" t="s">
        <v>12</v>
      </c>
      <c r="J75" s="12"/>
    </row>
    <row r="76" spans="1:10" ht="60" customHeight="1">
      <c r="A76" s="6" t="s">
        <v>297</v>
      </c>
      <c r="B76" s="6" t="s">
        <v>20</v>
      </c>
      <c r="C76" s="6" t="s">
        <v>12</v>
      </c>
      <c r="D76" s="7" t="s">
        <v>298</v>
      </c>
      <c r="E76" s="8" t="s">
        <v>299</v>
      </c>
      <c r="F76" s="6" t="s">
        <v>300</v>
      </c>
      <c r="G76" s="9">
        <f>IF(A76=1,"_",IF(C76="_","???",C76))</f>
        <v/>
      </c>
      <c r="H76" s="10" t="s">
        <v>12</v>
      </c>
      <c r="I76" s="11" t="s">
        <v>12</v>
      </c>
      <c r="J76" s="12"/>
    </row>
    <row r="77" spans="1:10" ht="60" customHeight="1">
      <c r="A77" s="6" t="s">
        <v>301</v>
      </c>
      <c r="B77" s="6" t="s">
        <v>29</v>
      </c>
      <c r="C77" s="6" t="s">
        <v>12</v>
      </c>
      <c r="D77" s="7" t="s">
        <v>302</v>
      </c>
      <c r="E77" s="8" t="s">
        <v>303</v>
      </c>
      <c r="F77" s="6" t="s">
        <v>304</v>
      </c>
      <c r="G77" s="9">
        <f>IF(A77=1,"_",IF(C77="_","???",C77))</f>
        <v/>
      </c>
      <c r="H77" s="10" t="s">
        <v>12</v>
      </c>
      <c r="I77" s="11" t="s">
        <v>12</v>
      </c>
      <c r="J77" s="12"/>
    </row>
    <row r="78" spans="1:10" ht="60" customHeight="1">
      <c r="A78" s="6" t="s">
        <v>305</v>
      </c>
      <c r="B78" s="6" t="s">
        <v>16</v>
      </c>
      <c r="C78" s="6" t="s">
        <v>12</v>
      </c>
      <c r="D78" s="7" t="s">
        <v>306</v>
      </c>
      <c r="E78" s="8" t="s">
        <v>307</v>
      </c>
      <c r="F78" s="6" t="s">
        <v>308</v>
      </c>
      <c r="G78" s="9">
        <f>IF(A78=1,"_",IF(C78="_","???",C78))</f>
        <v/>
      </c>
      <c r="H78" s="10" t="s">
        <v>12</v>
      </c>
      <c r="I78" s="11" t="s">
        <v>12</v>
      </c>
      <c r="J78" s="12"/>
    </row>
    <row r="79" spans="1:10" ht="60" customHeight="1">
      <c r="A79" s="6" t="s">
        <v>309</v>
      </c>
      <c r="B79" s="6" t="s">
        <v>62</v>
      </c>
      <c r="C79" s="6" t="s">
        <v>12</v>
      </c>
      <c r="D79" s="7" t="s">
        <v>310</v>
      </c>
      <c r="E79" s="8" t="s">
        <v>311</v>
      </c>
      <c r="F79" s="6" t="s">
        <v>312</v>
      </c>
      <c r="G79" s="9">
        <f>IF(A79=1,"_",IF(C79="_","???",C79))</f>
        <v/>
      </c>
      <c r="H79" s="10" t="s">
        <v>12</v>
      </c>
      <c r="I79" s="11" t="s">
        <v>12</v>
      </c>
      <c r="J79" s="12"/>
    </row>
    <row r="80" spans="1:10" ht="60" customHeight="1">
      <c r="A80" s="6" t="s">
        <v>313</v>
      </c>
      <c r="B80" s="6" t="s">
        <v>11</v>
      </c>
      <c r="C80" s="6" t="s">
        <v>12</v>
      </c>
      <c r="D80" s="7" t="s">
        <v>79</v>
      </c>
      <c r="E80" s="8" t="s">
        <v>314</v>
      </c>
      <c r="F80" s="6" t="s">
        <v>315</v>
      </c>
      <c r="G80" s="9">
        <f>IF(A80=1,"_",IF(C80="_","???",C80))</f>
        <v/>
      </c>
      <c r="H80" s="10" t="s">
        <v>12</v>
      </c>
      <c r="I80" s="11" t="s">
        <v>12</v>
      </c>
      <c r="J80" s="12"/>
    </row>
    <row r="81" spans="1:10" ht="60" customHeight="1">
      <c r="A81" s="6" t="s">
        <v>316</v>
      </c>
      <c r="B81" s="6" t="s">
        <v>33</v>
      </c>
      <c r="C81" s="6" t="s">
        <v>12</v>
      </c>
      <c r="D81" s="7" t="s">
        <v>317</v>
      </c>
      <c r="E81" s="8" t="s">
        <v>318</v>
      </c>
      <c r="F81" s="6" t="s">
        <v>319</v>
      </c>
      <c r="G81" s="9">
        <f>IF(A81=1,"_",IF(C81="_","???",C81))</f>
        <v/>
      </c>
      <c r="H81" s="10" t="s">
        <v>12</v>
      </c>
      <c r="I81" s="11" t="s">
        <v>12</v>
      </c>
      <c r="J81" s="12"/>
    </row>
    <row r="82" spans="1:10" ht="60" customHeight="1">
      <c r="A82" s="6" t="s">
        <v>320</v>
      </c>
      <c r="B82" s="6" t="s">
        <v>16</v>
      </c>
      <c r="C82" s="6" t="s">
        <v>12</v>
      </c>
      <c r="D82" s="7" t="s">
        <v>54</v>
      </c>
      <c r="E82" s="8" t="s">
        <v>321</v>
      </c>
      <c r="F82" s="6" t="s">
        <v>322</v>
      </c>
      <c r="G82" s="9">
        <f>IF(A82=1,"_",IF(C82="_","???",C82))</f>
        <v/>
      </c>
      <c r="H82" s="10" t="s">
        <v>12</v>
      </c>
      <c r="I82" s="11" t="s">
        <v>12</v>
      </c>
      <c r="J82" s="12"/>
    </row>
    <row r="83" spans="1:10" ht="60" customHeight="1">
      <c r="A83" s="6" t="s">
        <v>323</v>
      </c>
      <c r="B83" s="6" t="s">
        <v>167</v>
      </c>
      <c r="C83" s="6" t="s">
        <v>12</v>
      </c>
      <c r="D83" s="7" t="s">
        <v>324</v>
      </c>
      <c r="E83" s="8" t="s">
        <v>325</v>
      </c>
      <c r="F83" s="6" t="s">
        <v>326</v>
      </c>
      <c r="G83" s="9">
        <f>IF(A83=1,"_",IF(C83="_","???",C83))</f>
        <v/>
      </c>
      <c r="H83" s="10" t="s">
        <v>12</v>
      </c>
      <c r="I83" s="11" t="s">
        <v>12</v>
      </c>
      <c r="J83" s="12"/>
    </row>
    <row r="84" spans="1:10" ht="60" customHeight="1">
      <c r="A84" s="6" t="s">
        <v>327</v>
      </c>
      <c r="B84" s="6" t="s">
        <v>20</v>
      </c>
      <c r="C84" s="6" t="s">
        <v>124</v>
      </c>
      <c r="D84" s="7" t="s">
        <v>54</v>
      </c>
      <c r="E84" s="8" t="s">
        <v>328</v>
      </c>
      <c r="F84" s="6" t="s">
        <v>329</v>
      </c>
      <c r="G84" s="9">
        <f>IF(A84=1,"_",IF(C84="_","???",C84))</f>
        <v/>
      </c>
      <c r="H84" s="10" t="s">
        <v>12</v>
      </c>
      <c r="I84" s="11" t="s">
        <v>12</v>
      </c>
      <c r="J84" s="12"/>
    </row>
    <row r="85" spans="1:10" ht="60" customHeight="1">
      <c r="A85" s="6" t="s">
        <v>330</v>
      </c>
      <c r="B85" s="6" t="s">
        <v>11</v>
      </c>
      <c r="C85" s="6" t="s">
        <v>12</v>
      </c>
      <c r="D85" s="7" t="s">
        <v>331</v>
      </c>
      <c r="E85" s="8" t="s">
        <v>332</v>
      </c>
      <c r="F85" s="6" t="s">
        <v>333</v>
      </c>
      <c r="G85" s="9">
        <f>IF(A85=1,"_",IF(C85="_","???",C85))</f>
        <v/>
      </c>
      <c r="H85" s="10" t="s">
        <v>12</v>
      </c>
      <c r="I85" s="11" t="s">
        <v>12</v>
      </c>
      <c r="J85" s="12"/>
    </row>
    <row r="86" spans="1:10" ht="60" customHeight="1">
      <c r="A86" s="6" t="s">
        <v>334</v>
      </c>
      <c r="B86" s="6" t="s">
        <v>33</v>
      </c>
      <c r="C86" s="6" t="s">
        <v>12</v>
      </c>
      <c r="D86" s="7" t="s">
        <v>335</v>
      </c>
      <c r="E86" s="8" t="s">
        <v>336</v>
      </c>
      <c r="F86" s="6" t="s">
        <v>337</v>
      </c>
      <c r="G86" s="9">
        <f>IF(A86=1,"_",IF(C86="_","???",C86))</f>
        <v/>
      </c>
      <c r="H86" s="10" t="s">
        <v>12</v>
      </c>
      <c r="I86" s="11" t="s">
        <v>12</v>
      </c>
      <c r="J86" s="12"/>
    </row>
    <row r="87" spans="1:10" ht="60" customHeight="1">
      <c r="A87" s="6" t="s">
        <v>338</v>
      </c>
      <c r="B87" s="6" t="s">
        <v>33</v>
      </c>
      <c r="C87" s="6" t="s">
        <v>12</v>
      </c>
      <c r="D87" s="7" t="s">
        <v>87</v>
      </c>
      <c r="E87" s="8" t="s">
        <v>339</v>
      </c>
      <c r="F87" s="6" t="s">
        <v>340</v>
      </c>
      <c r="G87" s="9">
        <f>IF(A87=1,"_",IF(C87="_","???",C87))</f>
        <v/>
      </c>
      <c r="H87" s="10" t="s">
        <v>12</v>
      </c>
      <c r="I87" s="11" t="s">
        <v>12</v>
      </c>
      <c r="J87" s="12"/>
    </row>
    <row r="88" spans="1:10" ht="60" customHeight="1">
      <c r="A88" s="6" t="s">
        <v>341</v>
      </c>
      <c r="B88" s="6" t="s">
        <v>53</v>
      </c>
      <c r="C88" s="6" t="s">
        <v>12</v>
      </c>
      <c r="D88" s="7" t="s">
        <v>342</v>
      </c>
      <c r="E88" s="8" t="s">
        <v>343</v>
      </c>
      <c r="F88" s="6" t="s">
        <v>344</v>
      </c>
      <c r="G88" s="9">
        <f>IF(A88=1,"_",IF(C88="_","???",C88))</f>
        <v/>
      </c>
      <c r="H88" s="10" t="s">
        <v>12</v>
      </c>
      <c r="I88" s="11" t="s">
        <v>12</v>
      </c>
      <c r="J88" s="12"/>
    </row>
    <row r="89" spans="1:10" ht="60" customHeight="1">
      <c r="A89" s="6" t="s">
        <v>345</v>
      </c>
      <c r="B89" s="6" t="s">
        <v>16</v>
      </c>
      <c r="C89" s="6" t="s">
        <v>12</v>
      </c>
      <c r="D89" s="7" t="s">
        <v>346</v>
      </c>
      <c r="E89" s="8" t="s">
        <v>347</v>
      </c>
      <c r="F89" s="6" t="s">
        <v>348</v>
      </c>
      <c r="G89" s="9">
        <f>IF(A89=1,"_",IF(C89="_","???",C89))</f>
        <v/>
      </c>
      <c r="H89" s="10" t="s">
        <v>12</v>
      </c>
      <c r="I89" s="11" t="s">
        <v>12</v>
      </c>
      <c r="J89" s="12"/>
    </row>
    <row r="90" spans="1:10" ht="60" customHeight="1">
      <c r="A90" s="6" t="s">
        <v>349</v>
      </c>
      <c r="B90" s="6" t="s">
        <v>16</v>
      </c>
      <c r="C90" s="6" t="s">
        <v>12</v>
      </c>
      <c r="D90" s="7" t="s">
        <v>54</v>
      </c>
      <c r="E90" s="8" t="s">
        <v>350</v>
      </c>
      <c r="F90" s="6" t="s">
        <v>351</v>
      </c>
      <c r="G90" s="9">
        <f>IF(A90=1,"_",IF(C90="_","???",C90))</f>
        <v/>
      </c>
      <c r="H90" s="10" t="s">
        <v>12</v>
      </c>
      <c r="I90" s="11" t="s">
        <v>12</v>
      </c>
      <c r="J90" s="12"/>
    </row>
    <row r="91" spans="1:10" ht="60" customHeight="1">
      <c r="A91" s="6" t="s">
        <v>352</v>
      </c>
      <c r="B91" s="6" t="s">
        <v>16</v>
      </c>
      <c r="C91" s="6" t="s">
        <v>12</v>
      </c>
      <c r="D91" s="7" t="s">
        <v>353</v>
      </c>
      <c r="E91" s="8" t="s">
        <v>354</v>
      </c>
      <c r="F91" s="6" t="s">
        <v>355</v>
      </c>
      <c r="G91" s="9">
        <f>IF(A91=1,"_",IF(C91="_","???",C91))</f>
        <v/>
      </c>
      <c r="H91" s="10" t="s">
        <v>12</v>
      </c>
      <c r="I91" s="11" t="s">
        <v>12</v>
      </c>
      <c r="J91" s="12"/>
    </row>
    <row r="92" spans="1:10" ht="60" customHeight="1">
      <c r="A92" s="6" t="s">
        <v>356</v>
      </c>
      <c r="B92" s="6" t="s">
        <v>20</v>
      </c>
      <c r="C92" s="6" t="s">
        <v>12</v>
      </c>
      <c r="D92" s="7" t="s">
        <v>357</v>
      </c>
      <c r="E92" s="8" t="s">
        <v>358</v>
      </c>
      <c r="F92" s="6" t="s">
        <v>359</v>
      </c>
      <c r="G92" s="9">
        <f>IF(A92=1,"_",IF(C92="_","???",C92))</f>
        <v/>
      </c>
      <c r="H92" s="10" t="s">
        <v>12</v>
      </c>
      <c r="I92" s="11" t="s">
        <v>12</v>
      </c>
      <c r="J92" s="12"/>
    </row>
    <row r="93" spans="1:10" ht="60" customHeight="1">
      <c r="A93" s="6" t="s">
        <v>360</v>
      </c>
      <c r="B93" s="6" t="s">
        <v>20</v>
      </c>
      <c r="C93" s="6" t="s">
        <v>12</v>
      </c>
      <c r="D93" s="7" t="s">
        <v>361</v>
      </c>
      <c r="E93" s="8" t="s">
        <v>362</v>
      </c>
      <c r="F93" s="6" t="s">
        <v>363</v>
      </c>
      <c r="G93" s="9">
        <f>IF(A93=1,"_",IF(C93="_","???",C93))</f>
        <v/>
      </c>
      <c r="H93" s="10" t="s">
        <v>12</v>
      </c>
      <c r="I93" s="11" t="s">
        <v>12</v>
      </c>
      <c r="J93" s="12"/>
    </row>
    <row r="94" spans="1:10" ht="60" customHeight="1">
      <c r="A94" s="6" t="s">
        <v>364</v>
      </c>
      <c r="B94" s="6" t="s">
        <v>41</v>
      </c>
      <c r="C94" s="6" t="s">
        <v>12</v>
      </c>
      <c r="D94" s="7" t="s">
        <v>26</v>
      </c>
      <c r="E94" s="8" t="s">
        <v>365</v>
      </c>
      <c r="F94" s="6" t="s">
        <v>366</v>
      </c>
      <c r="G94" s="9">
        <f>IF(A94=1,"_",IF(C94="_","???",C94))</f>
        <v/>
      </c>
      <c r="H94" s="10" t="s">
        <v>12</v>
      </c>
      <c r="I94" s="11" t="s">
        <v>12</v>
      </c>
      <c r="J94" s="12"/>
    </row>
    <row r="95" spans="1:10" ht="60" customHeight="1">
      <c r="A95" s="6" t="s">
        <v>367</v>
      </c>
      <c r="B95" s="6" t="s">
        <v>49</v>
      </c>
      <c r="C95" s="6" t="s">
        <v>12</v>
      </c>
      <c r="D95" s="7" t="s">
        <v>238</v>
      </c>
      <c r="E95" s="8" t="s">
        <v>368</v>
      </c>
      <c r="F95" s="6" t="s">
        <v>369</v>
      </c>
      <c r="G95" s="9">
        <f>IF(A95=1,"_",IF(C95="_","???",C95))</f>
        <v/>
      </c>
      <c r="H95" s="10" t="s">
        <v>12</v>
      </c>
      <c r="I95" s="11" t="s">
        <v>12</v>
      </c>
      <c r="J95" s="12"/>
    </row>
    <row r="96" spans="1:10" ht="60" customHeight="1">
      <c r="A96" s="6" t="s">
        <v>370</v>
      </c>
      <c r="B96" s="6" t="s">
        <v>20</v>
      </c>
      <c r="C96" s="6" t="s">
        <v>12</v>
      </c>
      <c r="D96" s="7" t="s">
        <v>371</v>
      </c>
      <c r="E96" s="8" t="s">
        <v>372</v>
      </c>
      <c r="F96" s="6" t="s">
        <v>373</v>
      </c>
      <c r="G96" s="9">
        <f>IF(A96=1,"_",IF(C96="_","???",C96))</f>
        <v/>
      </c>
      <c r="H96" s="10" t="s">
        <v>12</v>
      </c>
      <c r="I96" s="11" t="s">
        <v>12</v>
      </c>
      <c r="J96" s="12"/>
    </row>
    <row r="97" spans="1:10" ht="60" customHeight="1">
      <c r="A97" s="6" t="s">
        <v>374</v>
      </c>
      <c r="B97" s="6" t="s">
        <v>78</v>
      </c>
      <c r="C97" s="6" t="s">
        <v>12</v>
      </c>
      <c r="D97" s="7" t="s">
        <v>375</v>
      </c>
      <c r="E97" s="8" t="s">
        <v>376</v>
      </c>
      <c r="F97" s="6" t="s">
        <v>377</v>
      </c>
      <c r="G97" s="9">
        <f>IF(A97=1,"_",IF(C97="_","???",C97))</f>
        <v/>
      </c>
      <c r="H97" s="10" t="s">
        <v>12</v>
      </c>
      <c r="I97" s="11" t="s">
        <v>12</v>
      </c>
      <c r="J97" s="12"/>
    </row>
    <row r="98" spans="1:10" ht="60" customHeight="1">
      <c r="A98" s="6" t="s">
        <v>378</v>
      </c>
      <c r="B98" s="6" t="s">
        <v>90</v>
      </c>
      <c r="C98" s="6" t="s">
        <v>12</v>
      </c>
      <c r="D98" s="7" t="s">
        <v>379</v>
      </c>
      <c r="E98" s="8" t="s">
        <v>380</v>
      </c>
      <c r="F98" s="6" t="s">
        <v>381</v>
      </c>
      <c r="G98" s="9">
        <f>IF(A98=1,"_",IF(C98="_","???",C98))</f>
        <v/>
      </c>
      <c r="H98" s="10" t="s">
        <v>12</v>
      </c>
      <c r="I98" s="11" t="s">
        <v>12</v>
      </c>
      <c r="J98" s="12"/>
    </row>
    <row r="99" spans="1:10" ht="60" customHeight="1">
      <c r="A99" s="6" t="s">
        <v>382</v>
      </c>
      <c r="B99" s="6" t="s">
        <v>90</v>
      </c>
      <c r="C99" s="6" t="s">
        <v>12</v>
      </c>
      <c r="D99" s="7" t="s">
        <v>383</v>
      </c>
      <c r="E99" s="8" t="s">
        <v>384</v>
      </c>
      <c r="F99" s="6" t="s">
        <v>385</v>
      </c>
      <c r="G99" s="9">
        <f>IF(A99=1,"_",IF(C99="_","???",C99))</f>
        <v/>
      </c>
      <c r="H99" s="10" t="s">
        <v>12</v>
      </c>
      <c r="I99" s="11" t="s">
        <v>12</v>
      </c>
      <c r="J99" s="12"/>
    </row>
    <row r="100" spans="1:10" ht="60" customHeight="1">
      <c r="A100" s="6" t="s">
        <v>386</v>
      </c>
      <c r="B100" s="6" t="s">
        <v>29</v>
      </c>
      <c r="C100" s="6" t="s">
        <v>12</v>
      </c>
      <c r="D100" s="7" t="s">
        <v>197</v>
      </c>
      <c r="E100" s="8" t="s">
        <v>387</v>
      </c>
      <c r="F100" s="6" t="s">
        <v>388</v>
      </c>
      <c r="G100" s="9">
        <f>IF(A100=1,"_",IF(C100="_","???",C100))</f>
        <v/>
      </c>
      <c r="H100" s="10" t="s">
        <v>12</v>
      </c>
      <c r="I100" s="11" t="s">
        <v>12</v>
      </c>
      <c r="J100" s="12"/>
    </row>
    <row r="101" spans="1:10" ht="60" customHeight="1">
      <c r="A101" s="6" t="s">
        <v>389</v>
      </c>
      <c r="B101" s="6" t="s">
        <v>100</v>
      </c>
      <c r="C101" s="6" t="s">
        <v>12</v>
      </c>
      <c r="D101" s="7" t="s">
        <v>390</v>
      </c>
      <c r="E101" s="8" t="s">
        <v>391</v>
      </c>
      <c r="F101" s="6" t="s">
        <v>392</v>
      </c>
      <c r="G101" s="9">
        <f>IF(A101=1,"_",IF(C101="_","???",C101))</f>
        <v/>
      </c>
      <c r="H101" s="10" t="s">
        <v>12</v>
      </c>
      <c r="I101" s="11" t="s">
        <v>12</v>
      </c>
      <c r="J101" s="12"/>
    </row>
    <row r="102" spans="1:10" ht="60" customHeight="1">
      <c r="A102" s="6" t="s">
        <v>393</v>
      </c>
      <c r="B102" s="6" t="s">
        <v>40</v>
      </c>
      <c r="C102" s="6" t="s">
        <v>12</v>
      </c>
      <c r="D102" s="7" t="s">
        <v>286</v>
      </c>
      <c r="E102" s="8" t="s">
        <v>394</v>
      </c>
      <c r="F102" s="6" t="s">
        <v>395</v>
      </c>
      <c r="G102" s="9">
        <f>IF(A102=1,"_",IF(C102="_","???",C102))</f>
        <v/>
      </c>
      <c r="H102" s="10" t="s">
        <v>12</v>
      </c>
      <c r="I102" s="11" t="s">
        <v>12</v>
      </c>
      <c r="J102" s="12"/>
    </row>
    <row r="103" spans="1:10" ht="60" customHeight="1">
      <c r="A103" s="6" t="s">
        <v>396</v>
      </c>
      <c r="B103" s="6" t="s">
        <v>20</v>
      </c>
      <c r="C103" s="6" t="s">
        <v>12</v>
      </c>
      <c r="D103" s="7" t="s">
        <v>397</v>
      </c>
      <c r="E103" s="8" t="s">
        <v>398</v>
      </c>
      <c r="F103" s="6" t="s">
        <v>399</v>
      </c>
      <c r="G103" s="9">
        <f>IF(A103=1,"_",IF(C103="_","???",C103))</f>
        <v/>
      </c>
      <c r="H103" s="10" t="s">
        <v>12</v>
      </c>
      <c r="I103" s="11" t="s">
        <v>12</v>
      </c>
      <c r="J103" s="12"/>
    </row>
    <row r="104" spans="1:10" ht="60" customHeight="1">
      <c r="A104" s="6" t="s">
        <v>400</v>
      </c>
      <c r="B104" s="6" t="s">
        <v>20</v>
      </c>
      <c r="C104" s="6" t="s">
        <v>12</v>
      </c>
      <c r="D104" s="7" t="s">
        <v>401</v>
      </c>
      <c r="E104" s="8" t="s">
        <v>402</v>
      </c>
      <c r="F104" s="6" t="s">
        <v>403</v>
      </c>
      <c r="G104" s="9">
        <f>IF(A104=1,"_",IF(C104="_","???",C104))</f>
        <v/>
      </c>
      <c r="H104" s="10" t="s">
        <v>12</v>
      </c>
      <c r="I104" s="11" t="s">
        <v>12</v>
      </c>
      <c r="J104" s="12"/>
    </row>
    <row r="105" spans="1:10" ht="60" customHeight="1">
      <c r="A105" s="6" t="s">
        <v>404</v>
      </c>
      <c r="B105" s="6" t="s">
        <v>10</v>
      </c>
      <c r="C105" s="6" t="s">
        <v>12</v>
      </c>
      <c r="D105" s="7" t="s">
        <v>405</v>
      </c>
      <c r="E105" s="8" t="s">
        <v>406</v>
      </c>
      <c r="F105" s="6" t="s">
        <v>407</v>
      </c>
      <c r="G105" s="9">
        <f>IF(A105=1,"_",IF(C105="_","???",C105))</f>
        <v/>
      </c>
      <c r="H105" s="10" t="s">
        <v>12</v>
      </c>
      <c r="I105" s="11" t="s">
        <v>12</v>
      </c>
      <c r="J105" s="12"/>
    </row>
    <row r="106" spans="1:10" ht="60" customHeight="1">
      <c r="A106" s="6" t="s">
        <v>408</v>
      </c>
      <c r="B106" s="6" t="s">
        <v>10</v>
      </c>
      <c r="C106" s="6" t="s">
        <v>12</v>
      </c>
      <c r="D106" s="7" t="s">
        <v>405</v>
      </c>
      <c r="E106" s="8" t="s">
        <v>409</v>
      </c>
      <c r="F106" s="6" t="s">
        <v>410</v>
      </c>
      <c r="G106" s="9">
        <f>IF(A106=1,"_",IF(C106="_","???",C106))</f>
        <v/>
      </c>
      <c r="H106" s="10" t="s">
        <v>12</v>
      </c>
      <c r="I106" s="11" t="s">
        <v>12</v>
      </c>
      <c r="J106" s="12"/>
    </row>
    <row r="107" spans="1:10" ht="60" customHeight="1">
      <c r="A107" s="6" t="s">
        <v>411</v>
      </c>
      <c r="B107" s="6" t="s">
        <v>20</v>
      </c>
      <c r="C107" s="6" t="s">
        <v>12</v>
      </c>
      <c r="D107" s="7" t="s">
        <v>54</v>
      </c>
      <c r="E107" s="8" t="s">
        <v>412</v>
      </c>
      <c r="F107" s="6" t="s">
        <v>413</v>
      </c>
      <c r="G107" s="9">
        <f>IF(A107=1,"_",IF(C107="_","???",C107))</f>
        <v/>
      </c>
      <c r="H107" s="10" t="s">
        <v>12</v>
      </c>
      <c r="I107" s="11" t="s">
        <v>12</v>
      </c>
      <c r="J107" s="12"/>
    </row>
    <row r="108" spans="1:10" ht="60" customHeight="1">
      <c r="A108" s="6" t="s">
        <v>414</v>
      </c>
      <c r="B108" s="6" t="s">
        <v>57</v>
      </c>
      <c r="C108" s="6" t="s">
        <v>12</v>
      </c>
      <c r="D108" s="7" t="s">
        <v>415</v>
      </c>
      <c r="E108" s="8" t="s">
        <v>416</v>
      </c>
      <c r="F108" s="6" t="s">
        <v>417</v>
      </c>
      <c r="G108" s="9">
        <f>IF(A108=1,"_",IF(C108="_","???",C108))</f>
        <v/>
      </c>
      <c r="H108" s="10" t="s">
        <v>12</v>
      </c>
      <c r="I108" s="11" t="s">
        <v>12</v>
      </c>
      <c r="J108" s="12"/>
    </row>
    <row r="109" spans="1:10" ht="60" customHeight="1">
      <c r="A109" s="6" t="s">
        <v>418</v>
      </c>
      <c r="B109" s="6" t="s">
        <v>25</v>
      </c>
      <c r="C109" s="6" t="s">
        <v>12</v>
      </c>
      <c r="D109" s="7" t="s">
        <v>54</v>
      </c>
      <c r="E109" s="8" t="s">
        <v>419</v>
      </c>
      <c r="F109" s="6" t="s">
        <v>420</v>
      </c>
      <c r="G109" s="9">
        <f>IF(A109=1,"_",IF(C109="_","???",C109))</f>
        <v/>
      </c>
      <c r="H109" s="10" t="s">
        <v>12</v>
      </c>
      <c r="I109" s="11" t="s">
        <v>12</v>
      </c>
      <c r="J109" s="12"/>
    </row>
    <row r="110" spans="1:10" ht="60" customHeight="1">
      <c r="A110" s="6" t="s">
        <v>421</v>
      </c>
      <c r="B110" s="6" t="s">
        <v>41</v>
      </c>
      <c r="C110" s="6" t="s">
        <v>12</v>
      </c>
      <c r="D110" s="7" t="s">
        <v>422</v>
      </c>
      <c r="E110" s="8" t="s">
        <v>423</v>
      </c>
      <c r="F110" s="6" t="s">
        <v>424</v>
      </c>
      <c r="G110" s="9">
        <f>IF(A110=1,"_",IF(C110="_","???",C110))</f>
        <v/>
      </c>
      <c r="H110" s="10" t="s">
        <v>12</v>
      </c>
      <c r="I110" s="11" t="s">
        <v>12</v>
      </c>
      <c r="J110" s="12"/>
    </row>
    <row r="111" spans="1:10" ht="60" customHeight="1">
      <c r="A111" s="6" t="s">
        <v>425</v>
      </c>
      <c r="B111" s="6" t="s">
        <v>174</v>
      </c>
      <c r="C111" s="6" t="s">
        <v>12</v>
      </c>
      <c r="D111" s="7" t="s">
        <v>426</v>
      </c>
      <c r="E111" s="8" t="s">
        <v>427</v>
      </c>
      <c r="F111" s="6" t="s">
        <v>428</v>
      </c>
      <c r="G111" s="9">
        <f>IF(A111=1,"_",IF(C111="_","???",C111))</f>
        <v/>
      </c>
      <c r="H111" s="10" t="s">
        <v>12</v>
      </c>
      <c r="I111" s="11" t="s">
        <v>12</v>
      </c>
      <c r="J111" s="12"/>
    </row>
    <row r="112" spans="1:10" ht="60" customHeight="1">
      <c r="A112" s="6" t="s">
        <v>429</v>
      </c>
      <c r="B112" s="6" t="s">
        <v>16</v>
      </c>
      <c r="C112" s="6" t="s">
        <v>12</v>
      </c>
      <c r="D112" s="7" t="s">
        <v>430</v>
      </c>
      <c r="E112" s="8" t="s">
        <v>431</v>
      </c>
      <c r="F112" s="6" t="s">
        <v>432</v>
      </c>
      <c r="G112" s="9">
        <f>IF(A112=1,"_",IF(C112="_","???",C112))</f>
        <v/>
      </c>
      <c r="H112" s="10" t="s">
        <v>12</v>
      </c>
      <c r="I112" s="11" t="s">
        <v>12</v>
      </c>
      <c r="J112" s="12"/>
    </row>
    <row r="113" spans="1:10" ht="60" customHeight="1">
      <c r="A113" s="6" t="s">
        <v>433</v>
      </c>
      <c r="B113" s="6" t="s">
        <v>40</v>
      </c>
      <c r="C113" s="6" t="s">
        <v>12</v>
      </c>
      <c r="D113" s="7" t="s">
        <v>434</v>
      </c>
      <c r="E113" s="8" t="s">
        <v>435</v>
      </c>
      <c r="F113" s="6" t="s">
        <v>436</v>
      </c>
      <c r="G113" s="9">
        <f>IF(A113=1,"_",IF(C113="_","???",C113))</f>
        <v/>
      </c>
      <c r="H113" s="10" t="s">
        <v>12</v>
      </c>
      <c r="I113" s="11" t="s">
        <v>12</v>
      </c>
      <c r="J113" s="12"/>
    </row>
    <row r="114" spans="1:10" ht="60" customHeight="1">
      <c r="A114" s="6" t="s">
        <v>437</v>
      </c>
      <c r="B114" s="6" t="s">
        <v>20</v>
      </c>
      <c r="C114" s="6" t="s">
        <v>12</v>
      </c>
      <c r="D114" s="7" t="s">
        <v>438</v>
      </c>
      <c r="E114" s="8" t="s">
        <v>439</v>
      </c>
      <c r="F114" s="6" t="s">
        <v>440</v>
      </c>
      <c r="G114" s="9">
        <f>IF(A114=1,"_",IF(C114="_","???",C114))</f>
        <v/>
      </c>
      <c r="H114" s="10" t="s">
        <v>12</v>
      </c>
      <c r="I114" s="11" t="s">
        <v>12</v>
      </c>
      <c r="J114" s="12"/>
    </row>
    <row r="115" spans="1:10" ht="60" customHeight="1">
      <c r="A115" s="6" t="s">
        <v>441</v>
      </c>
      <c r="B115" s="6" t="s">
        <v>57</v>
      </c>
      <c r="C115" s="6" t="s">
        <v>12</v>
      </c>
      <c r="D115" s="7" t="s">
        <v>442</v>
      </c>
      <c r="E115" s="8" t="s">
        <v>443</v>
      </c>
      <c r="F115" s="6" t="s">
        <v>444</v>
      </c>
      <c r="G115" s="9">
        <f>IF(A115=1,"_",IF(C115="_","???",C115))</f>
        <v/>
      </c>
      <c r="H115" s="10" t="s">
        <v>12</v>
      </c>
      <c r="I115" s="11" t="s">
        <v>12</v>
      </c>
      <c r="J115" s="12"/>
    </row>
    <row r="116" spans="1:10" ht="60" customHeight="1">
      <c r="A116" s="6" t="s">
        <v>445</v>
      </c>
      <c r="B116" s="6" t="s">
        <v>16</v>
      </c>
      <c r="C116" s="6" t="s">
        <v>12</v>
      </c>
      <c r="D116" s="7" t="s">
        <v>446</v>
      </c>
      <c r="E116" s="8" t="s">
        <v>447</v>
      </c>
      <c r="F116" s="6" t="s">
        <v>448</v>
      </c>
      <c r="G116" s="9">
        <f>IF(A116=1,"_",IF(C116="_","???",C116))</f>
        <v/>
      </c>
      <c r="H116" s="10" t="s">
        <v>12</v>
      </c>
      <c r="I116" s="11" t="s">
        <v>12</v>
      </c>
      <c r="J116" s="12"/>
    </row>
    <row r="117" spans="1:10" ht="60" customHeight="1">
      <c r="A117" s="6" t="s">
        <v>449</v>
      </c>
      <c r="B117" s="6" t="s">
        <v>33</v>
      </c>
      <c r="C117" s="6" t="s">
        <v>12</v>
      </c>
      <c r="D117" s="7" t="s">
        <v>450</v>
      </c>
      <c r="E117" s="8" t="s">
        <v>451</v>
      </c>
      <c r="F117" s="6" t="s">
        <v>452</v>
      </c>
      <c r="G117" s="9">
        <f>IF(A117=1,"_",IF(C117="_","???",C117))</f>
        <v/>
      </c>
      <c r="H117" s="10" t="s">
        <v>12</v>
      </c>
      <c r="I117" s="11" t="s">
        <v>12</v>
      </c>
      <c r="J117" s="12"/>
    </row>
    <row r="118" spans="1:10" ht="60" customHeight="1">
      <c r="A118" s="6" t="s">
        <v>453</v>
      </c>
      <c r="B118" s="6" t="s">
        <v>16</v>
      </c>
      <c r="C118" s="6" t="s">
        <v>12</v>
      </c>
      <c r="D118" s="7" t="s">
        <v>201</v>
      </c>
      <c r="E118" s="8" t="s">
        <v>454</v>
      </c>
      <c r="F118" s="6" t="s">
        <v>455</v>
      </c>
      <c r="G118" s="9">
        <f>IF(A118=1,"_",IF(C118="_","???",C118))</f>
        <v/>
      </c>
      <c r="H118" s="10" t="s">
        <v>12</v>
      </c>
      <c r="I118" s="11" t="s">
        <v>12</v>
      </c>
      <c r="J118" s="12"/>
    </row>
    <row r="119" spans="1:10" ht="60" customHeight="1">
      <c r="A119" s="6" t="s">
        <v>456</v>
      </c>
      <c r="B119" s="6" t="s">
        <v>45</v>
      </c>
      <c r="C119" s="6" t="s">
        <v>12</v>
      </c>
      <c r="D119" s="7" t="s">
        <v>457</v>
      </c>
      <c r="E119" s="8" t="s">
        <v>458</v>
      </c>
      <c r="F119" s="6" t="s">
        <v>459</v>
      </c>
      <c r="G119" s="9">
        <f>IF(A119=1,"_",IF(C119="_","???",C119))</f>
        <v/>
      </c>
      <c r="H119" s="10" t="s">
        <v>12</v>
      </c>
      <c r="I119" s="11" t="s">
        <v>12</v>
      </c>
      <c r="J119" s="12"/>
    </row>
    <row r="120" spans="1:10" ht="60" customHeight="1">
      <c r="A120" s="6" t="s">
        <v>460</v>
      </c>
      <c r="B120" s="6" t="s">
        <v>20</v>
      </c>
      <c r="C120" s="6" t="s">
        <v>12</v>
      </c>
      <c r="D120" s="7" t="s">
        <v>461</v>
      </c>
      <c r="E120" s="8" t="s">
        <v>462</v>
      </c>
      <c r="F120" s="6" t="s">
        <v>463</v>
      </c>
      <c r="G120" s="9">
        <f>IF(A120=1,"_",IF(C120="_","???",C120))</f>
        <v/>
      </c>
      <c r="H120" s="10" t="s">
        <v>12</v>
      </c>
      <c r="I120" s="11" t="s">
        <v>12</v>
      </c>
      <c r="J120" s="12"/>
    </row>
    <row r="121" spans="1:10" ht="60" customHeight="1">
      <c r="A121" s="6" t="s">
        <v>464</v>
      </c>
      <c r="B121" s="6" t="s">
        <v>16</v>
      </c>
      <c r="C121" s="6" t="s">
        <v>12</v>
      </c>
      <c r="D121" s="7" t="s">
        <v>465</v>
      </c>
      <c r="E121" s="8" t="s">
        <v>466</v>
      </c>
      <c r="F121" s="6" t="s">
        <v>467</v>
      </c>
      <c r="G121" s="9">
        <f>IF(A121=1,"_",IF(C121="_","???",C121))</f>
        <v/>
      </c>
      <c r="H121" s="10" t="s">
        <v>12</v>
      </c>
      <c r="I121" s="11" t="s">
        <v>12</v>
      </c>
      <c r="J121" s="12"/>
    </row>
    <row r="122" spans="1:10" ht="60" customHeight="1">
      <c r="A122" s="6" t="s">
        <v>468</v>
      </c>
      <c r="B122" s="6" t="s">
        <v>20</v>
      </c>
      <c r="C122" s="6" t="s">
        <v>12</v>
      </c>
      <c r="D122" s="7" t="s">
        <v>79</v>
      </c>
      <c r="E122" s="8" t="s">
        <v>469</v>
      </c>
      <c r="F122" s="6" t="s">
        <v>470</v>
      </c>
      <c r="G122" s="9">
        <f>IF(A122=1,"_",IF(C122="_","???",C122))</f>
        <v/>
      </c>
      <c r="H122" s="10" t="s">
        <v>12</v>
      </c>
      <c r="I122" s="11" t="s">
        <v>12</v>
      </c>
      <c r="J122" s="12"/>
    </row>
    <row r="123" spans="1:10" ht="60" customHeight="1">
      <c r="A123" s="6" t="s">
        <v>471</v>
      </c>
      <c r="B123" s="6" t="s">
        <v>25</v>
      </c>
      <c r="C123" s="6" t="s">
        <v>12</v>
      </c>
      <c r="D123" s="7" t="s">
        <v>472</v>
      </c>
      <c r="E123" s="8" t="s">
        <v>473</v>
      </c>
      <c r="F123" s="6" t="s">
        <v>474</v>
      </c>
      <c r="G123" s="9">
        <f>IF(A123=1,"_",IF(C123="_","???",C123))</f>
        <v/>
      </c>
      <c r="H123" s="10" t="s">
        <v>12</v>
      </c>
      <c r="I123" s="11" t="s">
        <v>12</v>
      </c>
      <c r="J123" s="12"/>
    </row>
    <row r="124" spans="1:10" ht="60" customHeight="1">
      <c r="A124" s="6" t="s">
        <v>475</v>
      </c>
      <c r="B124" s="6" t="s">
        <v>33</v>
      </c>
      <c r="C124" s="6" t="s">
        <v>124</v>
      </c>
      <c r="D124" s="7" t="s">
        <v>37</v>
      </c>
      <c r="E124" s="8" t="s">
        <v>476</v>
      </c>
      <c r="F124" s="6" t="s">
        <v>477</v>
      </c>
      <c r="G124" s="9">
        <f>IF(A124=1,"_",IF(C124="_","???",C124))</f>
        <v/>
      </c>
      <c r="H124" s="10" t="s">
        <v>12</v>
      </c>
      <c r="I124" s="11" t="s">
        <v>12</v>
      </c>
      <c r="J124" s="12"/>
    </row>
    <row r="125" spans="1:10" ht="60" customHeight="1">
      <c r="A125" s="6" t="s">
        <v>478</v>
      </c>
      <c r="B125" s="6" t="s">
        <v>16</v>
      </c>
      <c r="C125" s="6" t="s">
        <v>12</v>
      </c>
      <c r="D125" s="7" t="s">
        <v>34</v>
      </c>
      <c r="E125" s="8" t="s">
        <v>479</v>
      </c>
      <c r="F125" s="6" t="s">
        <v>480</v>
      </c>
      <c r="G125" s="9">
        <f>IF(A125=1,"_",IF(C125="_","???",C125))</f>
        <v/>
      </c>
      <c r="H125" s="10" t="s">
        <v>12</v>
      </c>
      <c r="I125" s="11" t="s">
        <v>12</v>
      </c>
      <c r="J125" s="12"/>
    </row>
    <row r="126" spans="1:10" ht="60" customHeight="1">
      <c r="A126" s="6" t="s">
        <v>481</v>
      </c>
      <c r="B126" s="6" t="s">
        <v>66</v>
      </c>
      <c r="C126" s="6" t="s">
        <v>12</v>
      </c>
      <c r="D126" s="7" t="s">
        <v>482</v>
      </c>
      <c r="E126" s="8" t="s">
        <v>483</v>
      </c>
      <c r="F126" s="6" t="s">
        <v>484</v>
      </c>
      <c r="G126" s="9">
        <f>IF(A126=1,"_",IF(C126="_","???",C126))</f>
        <v/>
      </c>
      <c r="H126" s="10" t="s">
        <v>12</v>
      </c>
      <c r="I126" s="11" t="s">
        <v>12</v>
      </c>
      <c r="J126" s="12"/>
    </row>
    <row r="127" spans="1:10" ht="60" customHeight="1">
      <c r="A127" s="6" t="s">
        <v>485</v>
      </c>
      <c r="B127" s="6" t="s">
        <v>10</v>
      </c>
      <c r="C127" s="6" t="s">
        <v>12</v>
      </c>
      <c r="D127" s="7" t="s">
        <v>486</v>
      </c>
      <c r="E127" s="8" t="s">
        <v>487</v>
      </c>
      <c r="F127" s="6" t="s">
        <v>488</v>
      </c>
      <c r="G127" s="9">
        <f>IF(A127=1,"_",IF(C127="_","???",C127))</f>
        <v/>
      </c>
      <c r="H127" s="10" t="s">
        <v>12</v>
      </c>
      <c r="I127" s="11" t="s">
        <v>12</v>
      </c>
      <c r="J127" s="12"/>
    </row>
    <row r="128" spans="1:10" ht="60" customHeight="1">
      <c r="A128" s="6" t="s">
        <v>489</v>
      </c>
      <c r="B128" s="6" t="s">
        <v>16</v>
      </c>
      <c r="C128" s="6" t="s">
        <v>12</v>
      </c>
      <c r="D128" s="7" t="s">
        <v>116</v>
      </c>
      <c r="E128" s="8" t="s">
        <v>490</v>
      </c>
      <c r="F128" s="6" t="s">
        <v>491</v>
      </c>
      <c r="G128" s="9">
        <f>IF(A128=1,"_",IF(C128="_","???",C128))</f>
        <v/>
      </c>
      <c r="H128" s="10" t="s">
        <v>12</v>
      </c>
      <c r="I128" s="11" t="s">
        <v>12</v>
      </c>
      <c r="J128" s="12"/>
    </row>
    <row r="129" spans="1:10" ht="60" customHeight="1">
      <c r="A129" s="6" t="s">
        <v>492</v>
      </c>
      <c r="B129" s="6" t="s">
        <v>16</v>
      </c>
      <c r="C129" s="6" t="s">
        <v>12</v>
      </c>
      <c r="D129" s="7" t="s">
        <v>116</v>
      </c>
      <c r="E129" s="8" t="s">
        <v>493</v>
      </c>
      <c r="F129" s="6" t="s">
        <v>494</v>
      </c>
      <c r="G129" s="9">
        <f>IF(A129=1,"_",IF(C129="_","???",C129))</f>
        <v/>
      </c>
      <c r="H129" s="10" t="s">
        <v>12</v>
      </c>
      <c r="I129" s="11" t="s">
        <v>12</v>
      </c>
      <c r="J129" s="12"/>
    </row>
    <row r="130" spans="1:10" ht="60" customHeight="1">
      <c r="A130" s="6" t="s">
        <v>495</v>
      </c>
      <c r="B130" s="6" t="s">
        <v>16</v>
      </c>
      <c r="C130" s="6" t="s">
        <v>12</v>
      </c>
      <c r="D130" s="7" t="s">
        <v>496</v>
      </c>
      <c r="E130" s="8" t="s">
        <v>497</v>
      </c>
      <c r="F130" s="6" t="s">
        <v>498</v>
      </c>
      <c r="G130" s="9">
        <f>IF(A130=1,"_",IF(C130="_","???",C130))</f>
        <v/>
      </c>
      <c r="H130" s="10" t="s">
        <v>12</v>
      </c>
      <c r="I130" s="11" t="s">
        <v>12</v>
      </c>
      <c r="J130" s="12"/>
    </row>
    <row r="131" spans="1:10" ht="60" customHeight="1">
      <c r="A131" s="6" t="s">
        <v>499</v>
      </c>
      <c r="B131" s="6" t="s">
        <v>29</v>
      </c>
      <c r="C131" s="6" t="s">
        <v>12</v>
      </c>
      <c r="D131" s="7" t="s">
        <v>500</v>
      </c>
      <c r="E131" s="8" t="s">
        <v>501</v>
      </c>
      <c r="F131" s="6" t="s">
        <v>502</v>
      </c>
      <c r="G131" s="9">
        <f>IF(A131=1,"_",IF(C131="_","???",C131))</f>
        <v/>
      </c>
      <c r="H131" s="10" t="s">
        <v>12</v>
      </c>
      <c r="I131" s="11" t="s">
        <v>12</v>
      </c>
      <c r="J131" s="12"/>
    </row>
    <row r="132" spans="1:10" ht="60" customHeight="1">
      <c r="A132" s="6" t="s">
        <v>503</v>
      </c>
      <c r="B132" s="6" t="s">
        <v>57</v>
      </c>
      <c r="C132" s="6" t="s">
        <v>12</v>
      </c>
      <c r="D132" s="7" t="s">
        <v>504</v>
      </c>
      <c r="E132" s="8" t="s">
        <v>505</v>
      </c>
      <c r="F132" s="6" t="s">
        <v>506</v>
      </c>
      <c r="G132" s="9">
        <f>IF(A132=1,"_",IF(C132="_","???",C132))</f>
        <v/>
      </c>
      <c r="H132" s="10" t="s">
        <v>12</v>
      </c>
      <c r="I132" s="11" t="s">
        <v>12</v>
      </c>
      <c r="J132" s="12"/>
    </row>
    <row r="133" spans="1:10" ht="60" customHeight="1">
      <c r="A133" s="6" t="s">
        <v>507</v>
      </c>
      <c r="B133" s="6" t="s">
        <v>16</v>
      </c>
      <c r="C133" s="6" t="s">
        <v>12</v>
      </c>
      <c r="D133" s="7" t="s">
        <v>508</v>
      </c>
      <c r="E133" s="8" t="s">
        <v>509</v>
      </c>
      <c r="F133" s="6" t="s">
        <v>510</v>
      </c>
      <c r="G133" s="9">
        <f>IF(A133=1,"_",IF(C133="_","???",C133))</f>
        <v/>
      </c>
      <c r="H133" s="10" t="s">
        <v>12</v>
      </c>
      <c r="I133" s="11" t="s">
        <v>12</v>
      </c>
      <c r="J133" s="12"/>
    </row>
    <row r="134" spans="1:10" ht="60" customHeight="1">
      <c r="A134" s="6" t="s">
        <v>511</v>
      </c>
      <c r="B134" s="6" t="s">
        <v>29</v>
      </c>
      <c r="C134" s="6" t="s">
        <v>12</v>
      </c>
      <c r="D134" s="7" t="s">
        <v>512</v>
      </c>
      <c r="E134" s="8" t="s">
        <v>513</v>
      </c>
      <c r="F134" s="6" t="s">
        <v>514</v>
      </c>
      <c r="G134" s="9">
        <f>IF(A134=1,"_",IF(C134="_","???",C134))</f>
        <v/>
      </c>
      <c r="H134" s="10" t="s">
        <v>12</v>
      </c>
      <c r="I134" s="11" t="s">
        <v>12</v>
      </c>
      <c r="J134" s="12"/>
    </row>
    <row r="135" spans="1:10" ht="60" customHeight="1">
      <c r="A135" s="6" t="s">
        <v>515</v>
      </c>
      <c r="B135" s="6" t="s">
        <v>16</v>
      </c>
      <c r="C135" s="6" t="s">
        <v>12</v>
      </c>
      <c r="D135" s="7" t="s">
        <v>516</v>
      </c>
      <c r="E135" s="8" t="s">
        <v>517</v>
      </c>
      <c r="F135" s="6" t="s">
        <v>518</v>
      </c>
      <c r="G135" s="9">
        <f>IF(A135=1,"_",IF(C135="_","???",C135))</f>
        <v/>
      </c>
      <c r="H135" s="10" t="s">
        <v>12</v>
      </c>
      <c r="I135" s="11" t="s">
        <v>12</v>
      </c>
      <c r="J135" s="12"/>
    </row>
    <row r="136" spans="1:10" ht="60" customHeight="1">
      <c r="A136" s="6" t="s">
        <v>519</v>
      </c>
      <c r="B136" s="6" t="s">
        <v>20</v>
      </c>
      <c r="C136" s="6" t="s">
        <v>12</v>
      </c>
      <c r="D136" s="7" t="s">
        <v>426</v>
      </c>
      <c r="E136" s="8" t="s">
        <v>520</v>
      </c>
      <c r="F136" s="6" t="s">
        <v>521</v>
      </c>
      <c r="G136" s="9">
        <f>IF(A136=1,"_",IF(C136="_","???",C136))</f>
        <v/>
      </c>
      <c r="H136" s="10" t="s">
        <v>12</v>
      </c>
      <c r="I136" s="11" t="s">
        <v>12</v>
      </c>
      <c r="J136" s="12"/>
    </row>
    <row r="137" spans="1:10" ht="60" customHeight="1">
      <c r="A137" s="6" t="s">
        <v>522</v>
      </c>
      <c r="B137" s="6" t="s">
        <v>25</v>
      </c>
      <c r="C137" s="6" t="s">
        <v>12</v>
      </c>
      <c r="D137" s="7" t="s">
        <v>54</v>
      </c>
      <c r="E137" s="8" t="s">
        <v>523</v>
      </c>
      <c r="F137" s="6" t="s">
        <v>524</v>
      </c>
      <c r="G137" s="9">
        <f>IF(A137=1,"_",IF(C137="_","???",C137))</f>
        <v/>
      </c>
      <c r="H137" s="10" t="s">
        <v>12</v>
      </c>
      <c r="I137" s="11" t="s">
        <v>12</v>
      </c>
      <c r="J137" s="12"/>
    </row>
    <row r="138" spans="1:10" ht="60" customHeight="1">
      <c r="A138" s="6" t="s">
        <v>525</v>
      </c>
      <c r="B138" s="6" t="s">
        <v>25</v>
      </c>
      <c r="C138" s="6" t="s">
        <v>124</v>
      </c>
      <c r="D138" s="7" t="s">
        <v>401</v>
      </c>
      <c r="E138" s="8" t="s">
        <v>526</v>
      </c>
      <c r="F138" s="6" t="s">
        <v>527</v>
      </c>
      <c r="G138" s="9">
        <f>IF(A138=1,"_",IF(C138="_","???",C138))</f>
        <v/>
      </c>
      <c r="H138" s="10" t="s">
        <v>12</v>
      </c>
      <c r="I138" s="11" t="s">
        <v>12</v>
      </c>
      <c r="J138" s="12"/>
    </row>
    <row r="139" spans="1:10" ht="60" customHeight="1">
      <c r="A139" s="6" t="s">
        <v>528</v>
      </c>
      <c r="B139" s="6" t="s">
        <v>20</v>
      </c>
      <c r="C139" s="6" t="s">
        <v>12</v>
      </c>
      <c r="D139" s="7" t="s">
        <v>529</v>
      </c>
      <c r="E139" s="8" t="s">
        <v>530</v>
      </c>
      <c r="F139" s="6" t="s">
        <v>531</v>
      </c>
      <c r="G139" s="9">
        <f>IF(A139=1,"_",IF(C139="_","???",C139))</f>
        <v/>
      </c>
      <c r="H139" s="10" t="s">
        <v>12</v>
      </c>
      <c r="I139" s="11" t="s">
        <v>12</v>
      </c>
      <c r="J139" s="12"/>
    </row>
    <row r="140" spans="1:10" ht="60" customHeight="1">
      <c r="A140" s="6" t="s">
        <v>532</v>
      </c>
      <c r="B140" s="6" t="s">
        <v>16</v>
      </c>
      <c r="C140" s="6" t="s">
        <v>124</v>
      </c>
      <c r="D140" s="7" t="s">
        <v>529</v>
      </c>
      <c r="E140" s="8" t="s">
        <v>533</v>
      </c>
      <c r="F140" s="6" t="s">
        <v>534</v>
      </c>
      <c r="G140" s="9">
        <f>IF(A140=1,"_",IF(C140="_","???",C140))</f>
        <v/>
      </c>
      <c r="H140" s="10" t="s">
        <v>12</v>
      </c>
      <c r="I140" s="11" t="s">
        <v>12</v>
      </c>
      <c r="J140" s="12"/>
    </row>
    <row r="141" spans="1:10" ht="60" customHeight="1">
      <c r="A141" s="6" t="s">
        <v>535</v>
      </c>
      <c r="B141" s="6" t="s">
        <v>108</v>
      </c>
      <c r="C141" s="6" t="s">
        <v>12</v>
      </c>
      <c r="D141" s="7" t="s">
        <v>54</v>
      </c>
      <c r="E141" s="8" t="s">
        <v>536</v>
      </c>
      <c r="F141" s="6" t="s">
        <v>537</v>
      </c>
      <c r="G141" s="9">
        <f>IF(A141=1,"_",IF(C141="_","???",C141))</f>
        <v/>
      </c>
      <c r="H141" s="10" t="s">
        <v>12</v>
      </c>
      <c r="I141" s="11" t="s">
        <v>12</v>
      </c>
      <c r="J141" s="12"/>
    </row>
    <row r="142" spans="1:10" ht="60" customHeight="1">
      <c r="A142" s="6" t="s">
        <v>538</v>
      </c>
      <c r="B142" s="6" t="s">
        <v>82</v>
      </c>
      <c r="C142" s="6" t="s">
        <v>12</v>
      </c>
      <c r="D142" s="7" t="s">
        <v>539</v>
      </c>
      <c r="E142" s="8" t="s">
        <v>540</v>
      </c>
      <c r="F142" s="6" t="s">
        <v>541</v>
      </c>
      <c r="G142" s="9">
        <f>IF(A142=1,"_",IF(C142="_","???",C142))</f>
        <v/>
      </c>
      <c r="H142" s="10" t="s">
        <v>12</v>
      </c>
      <c r="I142" s="11" t="s">
        <v>12</v>
      </c>
      <c r="J142" s="12"/>
    </row>
    <row r="143" spans="1:10" ht="60" customHeight="1">
      <c r="A143" s="6" t="s">
        <v>542</v>
      </c>
      <c r="B143" s="6" t="s">
        <v>33</v>
      </c>
      <c r="C143" s="6" t="s">
        <v>12</v>
      </c>
      <c r="D143" s="7" t="s">
        <v>543</v>
      </c>
      <c r="E143" s="8" t="s">
        <v>544</v>
      </c>
      <c r="F143" s="6" t="s">
        <v>545</v>
      </c>
      <c r="G143" s="9">
        <f>IF(A143=1,"_",IF(C143="_","???",C143))</f>
        <v/>
      </c>
      <c r="H143" s="10" t="s">
        <v>12</v>
      </c>
      <c r="I143" s="11" t="s">
        <v>12</v>
      </c>
      <c r="J143" s="12"/>
    </row>
    <row r="144" spans="1:10" ht="60" customHeight="1">
      <c r="A144" s="6" t="s">
        <v>546</v>
      </c>
      <c r="B144" s="6" t="s">
        <v>16</v>
      </c>
      <c r="C144" s="6" t="s">
        <v>12</v>
      </c>
      <c r="D144" s="7" t="s">
        <v>547</v>
      </c>
      <c r="E144" s="8" t="s">
        <v>548</v>
      </c>
      <c r="F144" s="6" t="s">
        <v>549</v>
      </c>
      <c r="G144" s="9">
        <f>IF(A144=1,"_",IF(C144="_","???",C144))</f>
        <v/>
      </c>
      <c r="H144" s="10" t="s">
        <v>12</v>
      </c>
      <c r="I144" s="11" t="s">
        <v>12</v>
      </c>
      <c r="J144" s="12"/>
    </row>
    <row r="145" spans="1:10" ht="60" customHeight="1">
      <c r="A145" s="6" t="s">
        <v>550</v>
      </c>
      <c r="B145" s="6" t="s">
        <v>119</v>
      </c>
      <c r="C145" s="6" t="s">
        <v>12</v>
      </c>
      <c r="D145" s="7" t="s">
        <v>551</v>
      </c>
      <c r="E145" s="8" t="s">
        <v>552</v>
      </c>
      <c r="F145" s="6" t="s">
        <v>553</v>
      </c>
      <c r="G145" s="9">
        <f>IF(A145=1,"_",IF(C145="_","???",C145))</f>
        <v/>
      </c>
      <c r="H145" s="10" t="s">
        <v>12</v>
      </c>
      <c r="I145" s="11" t="s">
        <v>12</v>
      </c>
      <c r="J145" s="12"/>
    </row>
    <row r="146" spans="1:10" ht="60" customHeight="1">
      <c r="A146" s="6" t="s">
        <v>554</v>
      </c>
      <c r="B146" s="6" t="s">
        <v>74</v>
      </c>
      <c r="C146" s="6" t="s">
        <v>12</v>
      </c>
      <c r="D146" s="7" t="s">
        <v>87</v>
      </c>
      <c r="E146" s="8" t="s">
        <v>555</v>
      </c>
      <c r="F146" s="6" t="s">
        <v>556</v>
      </c>
      <c r="G146" s="9">
        <f>IF(A146=1,"_",IF(C146="_","???",C146))</f>
        <v/>
      </c>
      <c r="H146" s="10" t="s">
        <v>12</v>
      </c>
      <c r="I146" s="11" t="s">
        <v>12</v>
      </c>
      <c r="J146" s="12"/>
    </row>
    <row r="147" spans="1:10" ht="60" customHeight="1">
      <c r="A147" s="6" t="s">
        <v>557</v>
      </c>
      <c r="B147" s="6" t="s">
        <v>20</v>
      </c>
      <c r="C147" s="6" t="s">
        <v>12</v>
      </c>
      <c r="D147" s="7" t="s">
        <v>79</v>
      </c>
      <c r="E147" s="8" t="s">
        <v>558</v>
      </c>
      <c r="F147" s="6" t="s">
        <v>559</v>
      </c>
      <c r="G147" s="9">
        <f>IF(A147=1,"_",IF(C147="_","???",C147))</f>
        <v/>
      </c>
      <c r="H147" s="10" t="s">
        <v>12</v>
      </c>
      <c r="I147" s="11" t="s">
        <v>12</v>
      </c>
      <c r="J147" s="12"/>
    </row>
    <row r="148" spans="1:10" ht="60" customHeight="1">
      <c r="A148" s="6" t="s">
        <v>560</v>
      </c>
      <c r="B148" s="6" t="s">
        <v>61</v>
      </c>
      <c r="C148" s="6" t="s">
        <v>12</v>
      </c>
      <c r="D148" s="7" t="s">
        <v>561</v>
      </c>
      <c r="E148" s="8" t="s">
        <v>562</v>
      </c>
      <c r="F148" s="6" t="s">
        <v>563</v>
      </c>
      <c r="G148" s="9">
        <f>IF(A148=1,"_",IF(C148="_","???",C148))</f>
        <v/>
      </c>
      <c r="H148" s="10" t="s">
        <v>12</v>
      </c>
      <c r="I148" s="11" t="s">
        <v>12</v>
      </c>
      <c r="J148" s="12"/>
    </row>
    <row r="149" spans="1:10" ht="60" customHeight="1">
      <c r="A149" s="6" t="s">
        <v>564</v>
      </c>
      <c r="B149" s="6" t="s">
        <v>20</v>
      </c>
      <c r="C149" s="6" t="s">
        <v>12</v>
      </c>
      <c r="D149" s="7" t="s">
        <v>79</v>
      </c>
      <c r="E149" s="8" t="s">
        <v>565</v>
      </c>
      <c r="F149" s="6" t="s">
        <v>566</v>
      </c>
      <c r="G149" s="9">
        <f>IF(A149=1,"_",IF(C149="_","???",C149))</f>
        <v/>
      </c>
      <c r="H149" s="10" t="s">
        <v>12</v>
      </c>
      <c r="I149" s="11" t="s">
        <v>12</v>
      </c>
      <c r="J149" s="12"/>
    </row>
    <row r="150" spans="1:10" ht="60" customHeight="1">
      <c r="A150" s="6" t="s">
        <v>567</v>
      </c>
      <c r="B150" s="6" t="s">
        <v>139</v>
      </c>
      <c r="C150" s="6" t="s">
        <v>124</v>
      </c>
      <c r="D150" s="7" t="s">
        <v>568</v>
      </c>
      <c r="E150" s="8" t="s">
        <v>569</v>
      </c>
      <c r="F150" s="6" t="s">
        <v>570</v>
      </c>
      <c r="G150" s="9">
        <f>IF(A150=1,"_",IF(C150="_","???",C150))</f>
        <v/>
      </c>
      <c r="H150" s="10" t="s">
        <v>12</v>
      </c>
      <c r="I150" s="11" t="s">
        <v>12</v>
      </c>
      <c r="J150" s="12"/>
    </row>
    <row r="151" spans="1:10" ht="60" customHeight="1">
      <c r="A151" s="6" t="s">
        <v>571</v>
      </c>
      <c r="B151" s="6" t="s">
        <v>16</v>
      </c>
      <c r="C151" s="6" t="s">
        <v>12</v>
      </c>
      <c r="D151" s="7" t="s">
        <v>572</v>
      </c>
      <c r="E151" s="8" t="s">
        <v>573</v>
      </c>
      <c r="F151" s="6" t="s">
        <v>574</v>
      </c>
      <c r="G151" s="9">
        <f>IF(A151=1,"_",IF(C151="_","???",C151))</f>
        <v/>
      </c>
      <c r="H151" s="10" t="s">
        <v>12</v>
      </c>
      <c r="I151" s="11" t="s">
        <v>12</v>
      </c>
      <c r="J151" s="12"/>
    </row>
    <row r="152" spans="1:10" ht="60" customHeight="1">
      <c r="A152" s="6" t="s">
        <v>575</v>
      </c>
      <c r="B152" s="6" t="s">
        <v>16</v>
      </c>
      <c r="C152" s="6" t="s">
        <v>12</v>
      </c>
      <c r="D152" s="7" t="s">
        <v>576</v>
      </c>
      <c r="E152" s="8" t="s">
        <v>577</v>
      </c>
      <c r="F152" s="6" t="s">
        <v>578</v>
      </c>
      <c r="G152" s="9">
        <f>IF(A152=1,"_",IF(C152="_","???",C152))</f>
        <v/>
      </c>
      <c r="H152" s="10" t="s">
        <v>12</v>
      </c>
      <c r="I152" s="11" t="s">
        <v>12</v>
      </c>
      <c r="J152" s="12"/>
    </row>
    <row r="153" spans="1:10" ht="60" customHeight="1">
      <c r="A153" s="6" t="s">
        <v>579</v>
      </c>
      <c r="B153" s="6" t="s">
        <v>25</v>
      </c>
      <c r="C153" s="6" t="s">
        <v>12</v>
      </c>
      <c r="D153" s="7" t="s">
        <v>379</v>
      </c>
      <c r="E153" s="8" t="s">
        <v>580</v>
      </c>
      <c r="F153" s="6" t="s">
        <v>581</v>
      </c>
      <c r="G153" s="9">
        <f>IF(A153=1,"_",IF(C153="_","???",C153))</f>
        <v/>
      </c>
      <c r="H153" s="10" t="s">
        <v>12</v>
      </c>
      <c r="I153" s="11" t="s">
        <v>12</v>
      </c>
      <c r="J153" s="12"/>
    </row>
    <row r="154" spans="1:10" ht="60" customHeight="1">
      <c r="A154" s="6" t="s">
        <v>582</v>
      </c>
      <c r="B154" s="6" t="s">
        <v>20</v>
      </c>
      <c r="C154" s="6" t="s">
        <v>12</v>
      </c>
      <c r="D154" s="7" t="s">
        <v>54</v>
      </c>
      <c r="E154" s="8" t="s">
        <v>583</v>
      </c>
      <c r="F154" s="6" t="s">
        <v>584</v>
      </c>
      <c r="G154" s="9">
        <f>IF(A154=1,"_",IF(C154="_","???",C154))</f>
        <v/>
      </c>
      <c r="H154" s="10" t="s">
        <v>12</v>
      </c>
      <c r="I154" s="11" t="s">
        <v>12</v>
      </c>
      <c r="J154" s="12"/>
    </row>
    <row r="155" spans="1:10" ht="60" customHeight="1">
      <c r="A155" s="6" t="s">
        <v>585</v>
      </c>
      <c r="B155" s="6" t="s">
        <v>20</v>
      </c>
      <c r="C155" s="6" t="s">
        <v>124</v>
      </c>
      <c r="D155" s="7" t="s">
        <v>586</v>
      </c>
      <c r="E155" s="8" t="s">
        <v>587</v>
      </c>
      <c r="F155" s="6" t="s">
        <v>588</v>
      </c>
      <c r="G155" s="9">
        <f>IF(A155=1,"_",IF(C155="_","???",C155))</f>
        <v/>
      </c>
      <c r="H155" s="10" t="s">
        <v>12</v>
      </c>
      <c r="I155" s="11" t="s">
        <v>12</v>
      </c>
      <c r="J155" s="12"/>
    </row>
    <row r="156" spans="1:10" ht="60" customHeight="1">
      <c r="A156" s="6" t="s">
        <v>589</v>
      </c>
      <c r="B156" s="6" t="s">
        <v>61</v>
      </c>
      <c r="C156" s="6" t="s">
        <v>12</v>
      </c>
      <c r="D156" s="7" t="s">
        <v>590</v>
      </c>
      <c r="E156" s="8" t="s">
        <v>591</v>
      </c>
      <c r="F156" s="6" t="s">
        <v>592</v>
      </c>
      <c r="G156" s="9">
        <f>IF(A156=1,"_",IF(C156="_","???",C156))</f>
        <v/>
      </c>
      <c r="H156" s="10" t="s">
        <v>12</v>
      </c>
      <c r="I156" s="11" t="s">
        <v>12</v>
      </c>
      <c r="J156" s="12"/>
    </row>
    <row r="157" spans="1:10" ht="60" customHeight="1">
      <c r="A157" s="6" t="s">
        <v>593</v>
      </c>
      <c r="B157" s="6" t="s">
        <v>40</v>
      </c>
      <c r="C157" s="6" t="s">
        <v>12</v>
      </c>
      <c r="D157" s="7" t="s">
        <v>54</v>
      </c>
      <c r="E157" s="8" t="s">
        <v>594</v>
      </c>
      <c r="F157" s="6" t="s">
        <v>595</v>
      </c>
      <c r="G157" s="9">
        <f>IF(A157=1,"_",IF(C157="_","???",C157))</f>
        <v/>
      </c>
      <c r="H157" s="10" t="s">
        <v>12</v>
      </c>
      <c r="I157" s="11" t="s">
        <v>12</v>
      </c>
      <c r="J157" s="12"/>
    </row>
    <row r="158" spans="1:10" ht="60" customHeight="1">
      <c r="A158" s="6" t="s">
        <v>596</v>
      </c>
      <c r="B158" s="6" t="s">
        <v>20</v>
      </c>
      <c r="C158" s="6" t="s">
        <v>12</v>
      </c>
      <c r="D158" s="7" t="s">
        <v>37</v>
      </c>
      <c r="E158" s="8" t="s">
        <v>597</v>
      </c>
      <c r="F158" s="6" t="s">
        <v>598</v>
      </c>
      <c r="G158" s="9">
        <f>IF(A158=1,"_",IF(C158="_","???",C158))</f>
        <v/>
      </c>
      <c r="H158" s="10" t="s">
        <v>12</v>
      </c>
      <c r="I158" s="11" t="s">
        <v>12</v>
      </c>
      <c r="J158" s="12"/>
    </row>
    <row r="159" spans="1:10" ht="60" customHeight="1">
      <c r="A159" s="6" t="s">
        <v>599</v>
      </c>
      <c r="B159" s="6" t="s">
        <v>20</v>
      </c>
      <c r="C159" s="6" t="s">
        <v>12</v>
      </c>
      <c r="D159" s="7" t="s">
        <v>600</v>
      </c>
      <c r="E159" s="8" t="s">
        <v>601</v>
      </c>
      <c r="F159" s="6" t="s">
        <v>602</v>
      </c>
      <c r="G159" s="9">
        <f>IF(A159=1,"_",IF(C159="_","???",C159))</f>
        <v/>
      </c>
      <c r="H159" s="10" t="s">
        <v>12</v>
      </c>
      <c r="I159" s="11" t="s">
        <v>12</v>
      </c>
      <c r="J159" s="12"/>
    </row>
    <row r="160" spans="1:10" ht="60" customHeight="1">
      <c r="A160" s="6" t="s">
        <v>603</v>
      </c>
      <c r="B160" s="6" t="s">
        <v>16</v>
      </c>
      <c r="C160" s="6" t="s">
        <v>12</v>
      </c>
      <c r="D160" s="7" t="s">
        <v>87</v>
      </c>
      <c r="E160" s="8" t="s">
        <v>604</v>
      </c>
      <c r="F160" s="6" t="s">
        <v>605</v>
      </c>
      <c r="G160" s="9">
        <f>IF(A160=1,"_",IF(C160="_","???",C160))</f>
        <v/>
      </c>
      <c r="H160" s="10" t="s">
        <v>12</v>
      </c>
      <c r="I160" s="11" t="s">
        <v>12</v>
      </c>
      <c r="J160" s="12"/>
    </row>
    <row r="161" spans="1:10" ht="60" customHeight="1">
      <c r="A161" s="6" t="s">
        <v>606</v>
      </c>
      <c r="B161" s="6" t="s">
        <v>57</v>
      </c>
      <c r="C161" s="6" t="s">
        <v>12</v>
      </c>
      <c r="D161" s="7" t="s">
        <v>430</v>
      </c>
      <c r="E161" s="8" t="s">
        <v>607</v>
      </c>
      <c r="F161" s="6" t="s">
        <v>608</v>
      </c>
      <c r="G161" s="9">
        <f>IF(A161=1,"_",IF(C161="_","???",C161))</f>
        <v/>
      </c>
      <c r="H161" s="10" t="s">
        <v>12</v>
      </c>
      <c r="I161" s="11" t="s">
        <v>12</v>
      </c>
      <c r="J161" s="12"/>
    </row>
    <row r="162" spans="1:10" ht="60" customHeight="1">
      <c r="A162" s="6" t="s">
        <v>609</v>
      </c>
      <c r="B162" s="6" t="s">
        <v>29</v>
      </c>
      <c r="C162" s="6" t="s">
        <v>12</v>
      </c>
      <c r="D162" s="7" t="s">
        <v>87</v>
      </c>
      <c r="E162" s="8" t="s">
        <v>610</v>
      </c>
      <c r="F162" s="6" t="s">
        <v>611</v>
      </c>
      <c r="G162" s="9">
        <f>IF(A162=1,"_",IF(C162="_","???",C162))</f>
        <v/>
      </c>
      <c r="H162" s="10" t="s">
        <v>12</v>
      </c>
      <c r="I162" s="11" t="s">
        <v>12</v>
      </c>
      <c r="J162" s="12"/>
    </row>
    <row r="163" spans="1:10" ht="60" customHeight="1">
      <c r="A163" s="6" t="s">
        <v>612</v>
      </c>
      <c r="B163" s="6" t="s">
        <v>16</v>
      </c>
      <c r="C163" s="6" t="s">
        <v>12</v>
      </c>
      <c r="D163" s="7" t="s">
        <v>613</v>
      </c>
      <c r="E163" s="8" t="s">
        <v>614</v>
      </c>
      <c r="F163" s="6" t="s">
        <v>615</v>
      </c>
      <c r="G163" s="9">
        <f>IF(A163=1,"_",IF(C163="_","???",C163))</f>
        <v/>
      </c>
      <c r="H163" s="10" t="s">
        <v>12</v>
      </c>
      <c r="I163" s="11" t="s">
        <v>12</v>
      </c>
      <c r="J163" s="12"/>
    </row>
    <row r="164" spans="1:10" ht="60" customHeight="1">
      <c r="A164" s="6" t="s">
        <v>616</v>
      </c>
      <c r="B164" s="6" t="s">
        <v>20</v>
      </c>
      <c r="C164" s="6" t="s">
        <v>12</v>
      </c>
      <c r="D164" s="7" t="s">
        <v>201</v>
      </c>
      <c r="E164" s="8" t="s">
        <v>617</v>
      </c>
      <c r="F164" s="6" t="s">
        <v>618</v>
      </c>
      <c r="G164" s="9">
        <f>IF(A164=1,"_",IF(C164="_","???",C164))</f>
        <v/>
      </c>
      <c r="H164" s="10" t="s">
        <v>12</v>
      </c>
      <c r="I164" s="11" t="s">
        <v>12</v>
      </c>
      <c r="J164" s="12"/>
    </row>
    <row r="165" spans="1:10" ht="60" customHeight="1">
      <c r="A165" s="6" t="s">
        <v>619</v>
      </c>
      <c r="B165" s="6" t="s">
        <v>20</v>
      </c>
      <c r="C165" s="6" t="s">
        <v>12</v>
      </c>
      <c r="D165" s="7" t="s">
        <v>201</v>
      </c>
      <c r="E165" s="8" t="s">
        <v>620</v>
      </c>
      <c r="F165" s="6" t="s">
        <v>621</v>
      </c>
      <c r="G165" s="9">
        <f>IF(A165=1,"_",IF(C165="_","???",C165))</f>
        <v/>
      </c>
      <c r="H165" s="10" t="s">
        <v>12</v>
      </c>
      <c r="I165" s="11" t="s">
        <v>12</v>
      </c>
      <c r="J165" s="12"/>
    </row>
    <row r="166" spans="1:10" ht="60" customHeight="1">
      <c r="A166" s="6" t="s">
        <v>622</v>
      </c>
      <c r="B166" s="6" t="s">
        <v>20</v>
      </c>
      <c r="C166" s="6" t="s">
        <v>12</v>
      </c>
      <c r="D166" s="7" t="s">
        <v>623</v>
      </c>
      <c r="E166" s="8" t="s">
        <v>624</v>
      </c>
      <c r="F166" s="6" t="s">
        <v>625</v>
      </c>
      <c r="G166" s="9">
        <f>IF(A166=1,"_",IF(C166="_","???",C166))</f>
        <v/>
      </c>
      <c r="H166" s="10" t="s">
        <v>12</v>
      </c>
      <c r="I166" s="11" t="s">
        <v>12</v>
      </c>
      <c r="J166" s="12"/>
    </row>
    <row r="167" spans="1:10" ht="60" customHeight="1">
      <c r="A167" s="6" t="s">
        <v>626</v>
      </c>
      <c r="B167" s="6" t="s">
        <v>62</v>
      </c>
      <c r="C167" s="6" t="s">
        <v>12</v>
      </c>
      <c r="D167" s="7" t="s">
        <v>264</v>
      </c>
      <c r="E167" s="8" t="s">
        <v>627</v>
      </c>
      <c r="F167" s="6" t="s">
        <v>628</v>
      </c>
      <c r="G167" s="9">
        <f>IF(A167=1,"_",IF(C167="_","???",C167))</f>
        <v/>
      </c>
      <c r="H167" s="10" t="s">
        <v>12</v>
      </c>
      <c r="I167" s="11" t="s">
        <v>12</v>
      </c>
      <c r="J167" s="12"/>
    </row>
    <row r="168" spans="1:10" ht="60" customHeight="1">
      <c r="A168" s="6" t="s">
        <v>629</v>
      </c>
      <c r="B168" s="6" t="s">
        <v>45</v>
      </c>
      <c r="C168" s="6" t="s">
        <v>12</v>
      </c>
      <c r="D168" s="7" t="s">
        <v>551</v>
      </c>
      <c r="E168" s="8" t="s">
        <v>630</v>
      </c>
      <c r="F168" s="6" t="s">
        <v>631</v>
      </c>
      <c r="G168" s="9">
        <f>IF(A168=1,"_",IF(C168="_","???",C168))</f>
        <v/>
      </c>
      <c r="H168" s="10" t="s">
        <v>12</v>
      </c>
      <c r="I168" s="11" t="s">
        <v>12</v>
      </c>
      <c r="J168" s="12"/>
    </row>
    <row r="169" spans="1:10" ht="60" customHeight="1">
      <c r="A169" s="6" t="s">
        <v>632</v>
      </c>
      <c r="B169" s="6" t="s">
        <v>11</v>
      </c>
      <c r="C169" s="6" t="s">
        <v>12</v>
      </c>
      <c r="D169" s="7" t="s">
        <v>633</v>
      </c>
      <c r="E169" s="8" t="s">
        <v>634</v>
      </c>
      <c r="F169" s="6" t="s">
        <v>635</v>
      </c>
      <c r="G169" s="9">
        <f>IF(A169=1,"_",IF(C169="_","???",C169))</f>
        <v/>
      </c>
      <c r="H169" s="10" t="s">
        <v>12</v>
      </c>
      <c r="I169" s="11" t="s">
        <v>12</v>
      </c>
      <c r="J169" s="12"/>
    </row>
    <row r="170" spans="1:10" ht="60" customHeight="1">
      <c r="A170" s="6" t="s">
        <v>636</v>
      </c>
      <c r="B170" s="6" t="s">
        <v>16</v>
      </c>
      <c r="C170" s="6" t="s">
        <v>12</v>
      </c>
      <c r="D170" s="7" t="s">
        <v>54</v>
      </c>
      <c r="E170" s="8" t="s">
        <v>637</v>
      </c>
      <c r="F170" s="6" t="s">
        <v>638</v>
      </c>
      <c r="G170" s="9">
        <f>IF(A170=1,"_",IF(C170="_","???",C170))</f>
        <v/>
      </c>
      <c r="H170" s="10" t="s">
        <v>12</v>
      </c>
      <c r="I170" s="11" t="s">
        <v>12</v>
      </c>
      <c r="J170" s="12"/>
    </row>
    <row r="171" spans="1:10" ht="60" customHeight="1">
      <c r="A171" s="6" t="s">
        <v>639</v>
      </c>
      <c r="B171" s="6" t="s">
        <v>11</v>
      </c>
      <c r="C171" s="6" t="s">
        <v>12</v>
      </c>
      <c r="D171" s="7" t="s">
        <v>125</v>
      </c>
      <c r="E171" s="8" t="s">
        <v>640</v>
      </c>
      <c r="F171" s="6" t="s">
        <v>641</v>
      </c>
      <c r="G171" s="9">
        <f>IF(A171=1,"_",IF(C171="_","???",C171))</f>
        <v/>
      </c>
      <c r="H171" s="10" t="s">
        <v>12</v>
      </c>
      <c r="I171" s="11" t="s">
        <v>12</v>
      </c>
      <c r="J171" s="12"/>
    </row>
    <row r="172" spans="1:10" ht="60" customHeight="1">
      <c r="A172" s="6" t="s">
        <v>642</v>
      </c>
      <c r="B172" s="6" t="s">
        <v>20</v>
      </c>
      <c r="C172" s="6" t="s">
        <v>124</v>
      </c>
      <c r="D172" s="7" t="s">
        <v>87</v>
      </c>
      <c r="E172" s="8" t="s">
        <v>643</v>
      </c>
      <c r="F172" s="6" t="s">
        <v>644</v>
      </c>
      <c r="G172" s="9">
        <f>IF(A172=1,"_",IF(C172="_","???",C172))</f>
        <v/>
      </c>
      <c r="H172" s="10" t="s">
        <v>12</v>
      </c>
      <c r="I172" s="11" t="s">
        <v>12</v>
      </c>
      <c r="J172" s="12"/>
    </row>
    <row r="173" spans="1:10" ht="60" customHeight="1">
      <c r="A173" s="6" t="s">
        <v>645</v>
      </c>
      <c r="B173" s="6" t="s">
        <v>40</v>
      </c>
      <c r="C173" s="6" t="s">
        <v>12</v>
      </c>
      <c r="D173" s="7" t="s">
        <v>646</v>
      </c>
      <c r="E173" s="8" t="s">
        <v>647</v>
      </c>
      <c r="F173" s="6" t="s">
        <v>648</v>
      </c>
      <c r="G173" s="9">
        <f>IF(A173=1,"_",IF(C173="_","???",C173))</f>
        <v/>
      </c>
      <c r="H173" s="10" t="s">
        <v>12</v>
      </c>
      <c r="I173" s="11" t="s">
        <v>12</v>
      </c>
      <c r="J173" s="12"/>
    </row>
    <row r="174" spans="1:10" ht="60" customHeight="1">
      <c r="A174" s="6" t="s">
        <v>649</v>
      </c>
      <c r="B174" s="6" t="s">
        <v>16</v>
      </c>
      <c r="C174" s="6" t="s">
        <v>12</v>
      </c>
      <c r="D174" s="7" t="s">
        <v>79</v>
      </c>
      <c r="E174" s="8" t="s">
        <v>650</v>
      </c>
      <c r="F174" s="6" t="s">
        <v>651</v>
      </c>
      <c r="G174" s="9">
        <f>IF(A174=1,"_",IF(C174="_","???",C174))</f>
        <v/>
      </c>
      <c r="H174" s="10" t="s">
        <v>12</v>
      </c>
      <c r="I174" s="11" t="s">
        <v>12</v>
      </c>
      <c r="J174" s="12"/>
    </row>
    <row r="175" spans="1:10" ht="60" customHeight="1">
      <c r="A175" s="6" t="s">
        <v>652</v>
      </c>
      <c r="B175" s="6" t="s">
        <v>33</v>
      </c>
      <c r="C175" s="6" t="s">
        <v>124</v>
      </c>
      <c r="D175" s="7" t="s">
        <v>653</v>
      </c>
      <c r="E175" s="8" t="s">
        <v>654</v>
      </c>
      <c r="F175" s="6" t="s">
        <v>655</v>
      </c>
      <c r="G175" s="9">
        <f>IF(A175=1,"_",IF(C175="_","???",C175))</f>
        <v/>
      </c>
      <c r="H175" s="10" t="s">
        <v>12</v>
      </c>
      <c r="I175" s="11" t="s">
        <v>12</v>
      </c>
      <c r="J175" s="12"/>
    </row>
    <row r="176" spans="1:10" ht="60" customHeight="1">
      <c r="A176" s="6" t="s">
        <v>656</v>
      </c>
      <c r="B176" s="6" t="s">
        <v>74</v>
      </c>
      <c r="C176" s="6" t="s">
        <v>12</v>
      </c>
      <c r="D176" s="7" t="s">
        <v>657</v>
      </c>
      <c r="E176" s="8" t="s">
        <v>658</v>
      </c>
      <c r="F176" s="6" t="s">
        <v>659</v>
      </c>
      <c r="G176" s="9">
        <f>IF(A176=1,"_",IF(C176="_","???",C176))</f>
        <v/>
      </c>
      <c r="H176" s="10" t="s">
        <v>12</v>
      </c>
      <c r="I176" s="11" t="s">
        <v>12</v>
      </c>
      <c r="J176" s="12"/>
    </row>
    <row r="177" spans="1:10" ht="60" customHeight="1">
      <c r="A177" s="6" t="s">
        <v>660</v>
      </c>
      <c r="B177" s="6" t="s">
        <v>40</v>
      </c>
      <c r="C177" s="6" t="s">
        <v>12</v>
      </c>
      <c r="D177" s="7" t="s">
        <v>657</v>
      </c>
      <c r="E177" s="8" t="s">
        <v>661</v>
      </c>
      <c r="F177" s="6" t="s">
        <v>662</v>
      </c>
      <c r="G177" s="9">
        <f>IF(A177=1,"_",IF(C177="_","???",C177))</f>
        <v/>
      </c>
      <c r="H177" s="10" t="s">
        <v>12</v>
      </c>
      <c r="I177" s="11" t="s">
        <v>12</v>
      </c>
      <c r="J177" s="12"/>
    </row>
    <row r="178" spans="1:10" ht="60" customHeight="1">
      <c r="A178" s="6" t="s">
        <v>663</v>
      </c>
      <c r="B178" s="6" t="s">
        <v>20</v>
      </c>
      <c r="C178" s="6" t="s">
        <v>12</v>
      </c>
      <c r="D178" s="7" t="s">
        <v>664</v>
      </c>
      <c r="E178" s="8" t="s">
        <v>665</v>
      </c>
      <c r="F178" s="6" t="s">
        <v>666</v>
      </c>
      <c r="G178" s="9">
        <f>IF(A178=1,"_",IF(C178="_","???",C178))</f>
        <v/>
      </c>
      <c r="H178" s="10" t="s">
        <v>12</v>
      </c>
      <c r="I178" s="11" t="s">
        <v>12</v>
      </c>
      <c r="J178" s="12"/>
    </row>
    <row r="179" spans="1:10" ht="60" customHeight="1">
      <c r="A179" s="6" t="s">
        <v>667</v>
      </c>
      <c r="B179" s="6" t="s">
        <v>16</v>
      </c>
      <c r="C179" s="6" t="s">
        <v>12</v>
      </c>
      <c r="D179" s="7" t="s">
        <v>668</v>
      </c>
      <c r="E179" s="8" t="s">
        <v>669</v>
      </c>
      <c r="F179" s="6" t="s">
        <v>670</v>
      </c>
      <c r="G179" s="9">
        <f>IF(A179=1,"_",IF(C179="_","???",C179))</f>
        <v/>
      </c>
      <c r="H179" s="10" t="s">
        <v>12</v>
      </c>
      <c r="I179" s="11" t="s">
        <v>12</v>
      </c>
      <c r="J179" s="12"/>
    </row>
    <row r="180" spans="1:10" ht="60" customHeight="1">
      <c r="A180" s="6" t="s">
        <v>671</v>
      </c>
      <c r="B180" s="6" t="s">
        <v>16</v>
      </c>
      <c r="C180" s="6" t="s">
        <v>12</v>
      </c>
      <c r="D180" s="7" t="s">
        <v>672</v>
      </c>
      <c r="E180" s="8" t="s">
        <v>673</v>
      </c>
      <c r="F180" s="6" t="s">
        <v>674</v>
      </c>
      <c r="G180" s="9">
        <f>IF(A180=1,"_",IF(C180="_","???",C180))</f>
        <v/>
      </c>
      <c r="H180" s="10" t="s">
        <v>12</v>
      </c>
      <c r="I180" s="11" t="s">
        <v>12</v>
      </c>
      <c r="J180" s="12"/>
    </row>
    <row r="181" spans="1:10" ht="60" customHeight="1">
      <c r="A181" s="6" t="s">
        <v>675</v>
      </c>
      <c r="B181" s="6" t="s">
        <v>11</v>
      </c>
      <c r="C181" s="6" t="s">
        <v>12</v>
      </c>
      <c r="D181" s="7" t="s">
        <v>676</v>
      </c>
      <c r="E181" s="8" t="s">
        <v>677</v>
      </c>
      <c r="F181" s="6" t="s">
        <v>678</v>
      </c>
      <c r="G181" s="9">
        <f>IF(A181=1,"_",IF(C181="_","???",C181))</f>
        <v/>
      </c>
      <c r="H181" s="10" t="s">
        <v>12</v>
      </c>
      <c r="I181" s="11" t="s">
        <v>12</v>
      </c>
      <c r="J181" s="12"/>
    </row>
    <row r="182" spans="1:10" ht="60" customHeight="1">
      <c r="A182" s="6" t="s">
        <v>679</v>
      </c>
      <c r="B182" s="6" t="s">
        <v>33</v>
      </c>
      <c r="C182" s="6" t="s">
        <v>12</v>
      </c>
      <c r="D182" s="7" t="s">
        <v>680</v>
      </c>
      <c r="E182" s="8" t="s">
        <v>681</v>
      </c>
      <c r="F182" s="6" t="s">
        <v>682</v>
      </c>
      <c r="G182" s="9">
        <f>IF(A182=1,"_",IF(C182="_","???",C182))</f>
        <v/>
      </c>
      <c r="H182" s="10" t="s">
        <v>12</v>
      </c>
      <c r="I182" s="11" t="s">
        <v>12</v>
      </c>
      <c r="J182" s="12"/>
    </row>
    <row r="183" spans="1:10" ht="60" customHeight="1">
      <c r="A183" s="6" t="s">
        <v>683</v>
      </c>
      <c r="B183" s="6" t="s">
        <v>20</v>
      </c>
      <c r="C183" s="6" t="s">
        <v>12</v>
      </c>
      <c r="D183" s="7" t="s">
        <v>79</v>
      </c>
      <c r="E183" s="8" t="s">
        <v>684</v>
      </c>
      <c r="F183" s="6" t="s">
        <v>685</v>
      </c>
      <c r="G183" s="9">
        <f>IF(A183=1,"_",IF(C183="_","???",C183))</f>
        <v/>
      </c>
      <c r="H183" s="10" t="s">
        <v>12</v>
      </c>
      <c r="I183" s="11" t="s">
        <v>12</v>
      </c>
      <c r="J183" s="12"/>
    </row>
    <row r="184" spans="1:10" ht="60" customHeight="1">
      <c r="A184" s="6" t="s">
        <v>686</v>
      </c>
      <c r="B184" s="6" t="s">
        <v>16</v>
      </c>
      <c r="C184" s="6" t="s">
        <v>12</v>
      </c>
      <c r="D184" s="7" t="s">
        <v>79</v>
      </c>
      <c r="E184" s="8" t="s">
        <v>687</v>
      </c>
      <c r="F184" s="6" t="s">
        <v>688</v>
      </c>
      <c r="G184" s="9">
        <f>IF(A184=1,"_",IF(C184="_","???",C184))</f>
        <v/>
      </c>
      <c r="H184" s="10" t="s">
        <v>12</v>
      </c>
      <c r="I184" s="11" t="s">
        <v>12</v>
      </c>
      <c r="J184" s="12"/>
    </row>
    <row r="185" spans="1:10" ht="60" customHeight="1">
      <c r="A185" s="6" t="s">
        <v>689</v>
      </c>
      <c r="B185" s="6" t="s">
        <v>16</v>
      </c>
      <c r="C185" s="6" t="s">
        <v>12</v>
      </c>
      <c r="D185" s="7" t="s">
        <v>461</v>
      </c>
      <c r="E185" s="8" t="s">
        <v>690</v>
      </c>
      <c r="F185" s="6" t="s">
        <v>691</v>
      </c>
      <c r="G185" s="9">
        <f>IF(A185=1,"_",IF(C185="_","???",C185))</f>
        <v/>
      </c>
      <c r="H185" s="10" t="s">
        <v>12</v>
      </c>
      <c r="I185" s="11" t="s">
        <v>12</v>
      </c>
      <c r="J185" s="12"/>
    </row>
    <row r="186" spans="1:10" ht="60" customHeight="1">
      <c r="A186" s="6" t="s">
        <v>692</v>
      </c>
      <c r="B186" s="6" t="s">
        <v>62</v>
      </c>
      <c r="C186" s="6" t="s">
        <v>12</v>
      </c>
      <c r="D186" s="7" t="s">
        <v>693</v>
      </c>
      <c r="E186" s="8" t="s">
        <v>694</v>
      </c>
      <c r="F186" s="6" t="s">
        <v>695</v>
      </c>
      <c r="G186" s="9">
        <f>IF(A186=1,"_",IF(C186="_","???",C186))</f>
        <v/>
      </c>
      <c r="H186" s="10" t="s">
        <v>12</v>
      </c>
      <c r="I186" s="11" t="s">
        <v>12</v>
      </c>
      <c r="J186" s="12"/>
    </row>
    <row r="187" spans="1:10" ht="60" customHeight="1">
      <c r="A187" s="6" t="s">
        <v>696</v>
      </c>
      <c r="B187" s="6" t="s">
        <v>16</v>
      </c>
      <c r="C187" s="6" t="s">
        <v>12</v>
      </c>
      <c r="D187" s="7" t="s">
        <v>697</v>
      </c>
      <c r="E187" s="8" t="s">
        <v>698</v>
      </c>
      <c r="F187" s="6" t="s">
        <v>699</v>
      </c>
      <c r="G187" s="9">
        <f>IF(A187=1,"_",IF(C187="_","???",C187))</f>
        <v/>
      </c>
      <c r="H187" s="10" t="s">
        <v>12</v>
      </c>
      <c r="I187" s="11" t="s">
        <v>12</v>
      </c>
      <c r="J187" s="12"/>
    </row>
    <row r="188" spans="1:10" ht="60" customHeight="1">
      <c r="A188" s="6" t="s">
        <v>700</v>
      </c>
      <c r="B188" s="6" t="s">
        <v>16</v>
      </c>
      <c r="C188" s="6" t="s">
        <v>12</v>
      </c>
      <c r="D188" s="7" t="s">
        <v>238</v>
      </c>
      <c r="E188" s="8" t="s">
        <v>701</v>
      </c>
      <c r="F188" s="6" t="s">
        <v>702</v>
      </c>
      <c r="G188" s="9">
        <f>IF(A188=1,"_",IF(C188="_","???",C188))</f>
        <v/>
      </c>
      <c r="H188" s="10" t="s">
        <v>12</v>
      </c>
      <c r="I188" s="11" t="s">
        <v>12</v>
      </c>
      <c r="J188" s="12"/>
    </row>
    <row r="189" spans="1:10" ht="60" customHeight="1">
      <c r="A189" s="6" t="s">
        <v>703</v>
      </c>
      <c r="B189" s="6" t="s">
        <v>29</v>
      </c>
      <c r="C189" s="6" t="s">
        <v>12</v>
      </c>
      <c r="D189" s="7" t="s">
        <v>87</v>
      </c>
      <c r="E189" s="8" t="s">
        <v>704</v>
      </c>
      <c r="F189" s="6" t="s">
        <v>705</v>
      </c>
      <c r="G189" s="9">
        <f>IF(A189=1,"_",IF(C189="_","???",C189))</f>
        <v/>
      </c>
      <c r="H189" s="10" t="s">
        <v>12</v>
      </c>
      <c r="I189" s="11" t="s">
        <v>12</v>
      </c>
      <c r="J189" s="12"/>
    </row>
    <row r="190" spans="1:10" ht="60" customHeight="1">
      <c r="A190" s="6" t="s">
        <v>706</v>
      </c>
      <c r="B190" s="6" t="s">
        <v>132</v>
      </c>
      <c r="C190" s="6" t="s">
        <v>12</v>
      </c>
      <c r="D190" s="7" t="s">
        <v>707</v>
      </c>
      <c r="E190" s="8" t="s">
        <v>708</v>
      </c>
      <c r="F190" s="6" t="s">
        <v>709</v>
      </c>
      <c r="G190" s="9">
        <f>IF(A190=1,"_",IF(C190="_","???",C190))</f>
        <v/>
      </c>
      <c r="H190" s="10" t="s">
        <v>12</v>
      </c>
      <c r="I190" s="11" t="s">
        <v>12</v>
      </c>
      <c r="J190" s="12"/>
    </row>
    <row r="191" spans="1:10" ht="60" customHeight="1">
      <c r="A191" s="6" t="s">
        <v>710</v>
      </c>
      <c r="B191" s="6" t="s">
        <v>16</v>
      </c>
      <c r="C191" s="6" t="s">
        <v>12</v>
      </c>
      <c r="D191" s="7" t="s">
        <v>711</v>
      </c>
      <c r="E191" s="8" t="s">
        <v>712</v>
      </c>
      <c r="F191" s="6" t="s">
        <v>713</v>
      </c>
      <c r="G191" s="9">
        <f>IF(A191=1,"_",IF(C191="_","???",C191))</f>
        <v/>
      </c>
      <c r="H191" s="10" t="s">
        <v>12</v>
      </c>
      <c r="I191" s="11" t="s">
        <v>12</v>
      </c>
      <c r="J191"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88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714</v>
      </c>
      <c r="B1" s="13" t="s">
        <v>715</v>
      </c>
      <c r="C1" s="13" t="s">
        <v>716</v>
      </c>
      <c r="D1" s="13" t="s">
        <v>717</v>
      </c>
      <c r="E1" s="14" t="s">
        <v>718</v>
      </c>
      <c r="F1" s="15" t="s">
        <v>719</v>
      </c>
      <c r="G1" s="16" t="s">
        <v>720</v>
      </c>
      <c r="H1" s="17" t="s">
        <v>721</v>
      </c>
      <c r="I1" s="18" t="s">
        <v>722</v>
      </c>
      <c r="J1" s="18" t="s">
        <v>723</v>
      </c>
      <c r="K1" s="18" t="s">
        <v>724</v>
      </c>
      <c r="L1" s="19" t="s">
        <v>9</v>
      </c>
    </row>
    <row r="2" spans="1:12">
      <c r="A2" s="20" t="s">
        <v>725</v>
      </c>
    </row>
    <row r="3" spans="1:12">
      <c r="A3" s="20" t="s">
        <v>726</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727</v>
      </c>
      <c r="B4" s="27" t="s">
        <v>728</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729</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730</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731</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732</v>
      </c>
      <c r="B8" s="27" t="s">
        <v>733</v>
      </c>
      <c r="C8" s="27" t="s">
        <v>734</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735</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736</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737</v>
      </c>
      <c r="B11" s="27" t="s">
        <v>738</v>
      </c>
      <c r="C11" s="27" t="s">
        <v>739</v>
      </c>
      <c r="D11" s="27" t="s">
        <v>740</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741</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742</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743</v>
      </c>
      <c r="B14" s="27" t="s">
        <v>738</v>
      </c>
      <c r="C14" s="27" t="s">
        <v>744</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745</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746</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row>
    <row r="18" spans="1:12">
      <c r="A18" s="20" t="s">
        <v>747</v>
      </c>
    </row>
    <row r="19" spans="1:12">
      <c r="A19" s="20" t="s">
        <v>748</v>
      </c>
      <c r="B19" s="27" t="s">
        <v>728</v>
      </c>
      <c r="C19" s="27" t="s">
        <v>749</v>
      </c>
      <c r="D19" s="27" t="s">
        <v>740</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750</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751</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752</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753</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754</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755</v>
      </c>
      <c r="B25" s="27" t="s">
        <v>756</v>
      </c>
      <c r="C25" s="27" t="s">
        <v>744</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757</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736</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758</v>
      </c>
      <c r="B28" s="27" t="s">
        <v>756</v>
      </c>
      <c r="C28" s="27" t="s">
        <v>739</v>
      </c>
      <c r="D28" s="27" t="s">
        <v>740</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759</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751</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760</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761</v>
      </c>
      <c r="B32" s="27" t="s">
        <v>756</v>
      </c>
      <c r="C32" s="27" t="s">
        <v>744</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753</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762</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763</v>
      </c>
      <c r="B35" s="27" t="s">
        <v>764</v>
      </c>
      <c r="C35" s="27" t="s">
        <v>739</v>
      </c>
      <c r="D35" s="27" t="s">
        <v>740</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765</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766</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746</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row>
    <row r="40" spans="1:12">
      <c r="A40" s="20" t="s">
        <v>767</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768</v>
      </c>
    </row>
    <row r="42" spans="1:12">
      <c r="A42" s="20" t="s">
        <v>769</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770</v>
      </c>
      <c r="B43" s="27" t="s">
        <v>771</v>
      </c>
      <c r="C43" s="27" t="s">
        <v>772</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773</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774</v>
      </c>
      <c r="B45" s="27" t="s">
        <v>771</v>
      </c>
      <c r="C45" s="27" t="s">
        <v>775</v>
      </c>
      <c r="D45" s="27" t="s">
        <v>740</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776</v>
      </c>
      <c r="B46" s="27" t="s">
        <v>777</v>
      </c>
      <c r="C46" s="27" t="s">
        <v>775</v>
      </c>
      <c r="D46" s="27" t="s">
        <v>740</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778</v>
      </c>
      <c r="B47" s="27" t="s">
        <v>779</v>
      </c>
      <c r="C47" s="27" t="s">
        <v>780</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753</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781</v>
      </c>
      <c r="B49" s="27" t="s">
        <v>777</v>
      </c>
      <c r="C49" s="27" t="s">
        <v>775</v>
      </c>
      <c r="D49" s="27" t="s">
        <v>740</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782</v>
      </c>
      <c r="B50" s="27" t="s">
        <v>779</v>
      </c>
      <c r="C50" s="27" t="s">
        <v>780</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783</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784</v>
      </c>
      <c r="B52" s="27" t="s">
        <v>777</v>
      </c>
      <c r="C52" s="27" t="s">
        <v>734</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785</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786</v>
      </c>
      <c r="B54" s="27" t="s">
        <v>787</v>
      </c>
      <c r="C54" s="27" t="s">
        <v>744</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753</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788</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789</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790</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783</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791</v>
      </c>
      <c r="B60" s="27" t="s">
        <v>756</v>
      </c>
      <c r="C60" s="27" t="s">
        <v>792</v>
      </c>
      <c r="D60" s="27" t="s">
        <v>740</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793</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37</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753</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794</v>
      </c>
      <c r="B64" s="27" t="s">
        <v>795</v>
      </c>
      <c r="C64" s="27" t="s">
        <v>775</v>
      </c>
      <c r="D64" s="27" t="s">
        <v>740</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774</v>
      </c>
      <c r="B65" s="27" t="s">
        <v>795</v>
      </c>
      <c r="C65" s="27" t="s">
        <v>775</v>
      </c>
      <c r="D65" s="27" t="s">
        <v>740</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796</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750</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797</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741</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798</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799</v>
      </c>
      <c r="B71" s="27" t="s">
        <v>756</v>
      </c>
      <c r="C71" s="27" t="s">
        <v>744</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746</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726</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row>
    <row r="75" spans="1:12">
      <c r="A75" s="20" t="s">
        <v>800</v>
      </c>
    </row>
    <row r="76" spans="1:12">
      <c r="A76" s="20" t="s">
        <v>801</v>
      </c>
      <c r="B76" s="27" t="s">
        <v>728</v>
      </c>
      <c r="C76" s="27" t="s">
        <v>792</v>
      </c>
      <c r="D76" s="27" t="s">
        <v>740</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802</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803</v>
      </c>
      <c r="B78" s="27" t="s">
        <v>771</v>
      </c>
      <c r="C78" s="27" t="s">
        <v>804</v>
      </c>
      <c r="D78" s="27" t="s">
        <v>740</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805</v>
      </c>
      <c r="B79" s="27" t="s">
        <v>738</v>
      </c>
      <c r="C79" s="27" t="s">
        <v>775</v>
      </c>
      <c r="D79" s="27" t="s">
        <v>740</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806</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753</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783</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807</v>
      </c>
      <c r="B83" s="27" t="s">
        <v>771</v>
      </c>
      <c r="C83" s="27" t="s">
        <v>749</v>
      </c>
      <c r="D83" s="27" t="s">
        <v>740</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808</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809</v>
      </c>
      <c r="B85" s="27" t="s">
        <v>733</v>
      </c>
      <c r="C85" s="27" t="s">
        <v>780</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810</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811</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746</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row>
    <row r="90" spans="1:12">
      <c r="A90" s="20" t="s">
        <v>812</v>
      </c>
    </row>
    <row r="91" spans="1:12">
      <c r="A91" s="20" t="s">
        <v>813</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814</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815</v>
      </c>
      <c r="B93" s="27" t="s">
        <v>756</v>
      </c>
      <c r="C93" s="27" t="s">
        <v>734</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816</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817</v>
      </c>
      <c r="B95" s="27" t="s">
        <v>738</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818</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819</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820</v>
      </c>
      <c r="B98" s="27" t="s">
        <v>728</v>
      </c>
      <c r="C98" s="27" t="s">
        <v>739</v>
      </c>
      <c r="D98" s="27" t="s">
        <v>740</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757</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736</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821</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822</v>
      </c>
      <c r="B102" s="27" t="s">
        <v>756</v>
      </c>
      <c r="C102" s="27" t="s">
        <v>739</v>
      </c>
      <c r="D102" s="27" t="s">
        <v>740</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729</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746</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row>
    <row r="106" spans="1:12">
      <c r="A106" s="20" t="s">
        <v>823</v>
      </c>
    </row>
    <row r="107" spans="1:12">
      <c r="A107" s="20" t="s">
        <v>824</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825</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826</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813</v>
      </c>
      <c r="B110" s="27" t="s">
        <v>728</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827</v>
      </c>
      <c r="B111" s="27" t="s">
        <v>756</v>
      </c>
      <c r="C111" s="27" t="s">
        <v>828</v>
      </c>
      <c r="D111" s="27" t="s">
        <v>740</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829</v>
      </c>
      <c r="B112" s="27" t="s">
        <v>756</v>
      </c>
      <c r="C112" s="27" t="s">
        <v>734</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750</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753</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830</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87</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831</v>
      </c>
      <c r="B117" s="27" t="s">
        <v>771</v>
      </c>
      <c r="C117" s="27" t="s">
        <v>775</v>
      </c>
      <c r="D117" s="27" t="s">
        <v>740</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832</v>
      </c>
      <c r="B118" s="27" t="s">
        <v>779</v>
      </c>
      <c r="C118" s="27" t="s">
        <v>749</v>
      </c>
      <c r="D118" s="27" t="s">
        <v>740</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833</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834</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835</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836</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row>
    <row r="124" spans="1:12">
      <c r="A124" s="20" t="s">
        <v>837</v>
      </c>
    </row>
    <row r="125" spans="1:12">
      <c r="A125" s="20" t="s">
        <v>838</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839</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729</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785</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799</v>
      </c>
      <c r="B129" s="27" t="s">
        <v>733</v>
      </c>
      <c r="C129" s="27" t="s">
        <v>744</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741</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840</v>
      </c>
      <c r="B131" s="27" t="s">
        <v>756</v>
      </c>
      <c r="C131" s="27" t="s">
        <v>744</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836</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row>
    <row r="134" spans="1:12">
      <c r="A134" s="20" t="s">
        <v>841</v>
      </c>
    </row>
    <row r="135" spans="1:12">
      <c r="A135" s="20" t="s">
        <v>769</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807</v>
      </c>
      <c r="B136" s="27" t="s">
        <v>771</v>
      </c>
      <c r="C136" s="27" t="s">
        <v>749</v>
      </c>
      <c r="D136" s="27" t="s">
        <v>740</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842</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843</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809</v>
      </c>
      <c r="B139" s="27" t="s">
        <v>733</v>
      </c>
      <c r="C139" s="27" t="s">
        <v>780</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810</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811</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753</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844</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807</v>
      </c>
      <c r="B144" s="27" t="s">
        <v>728</v>
      </c>
      <c r="C144" s="27" t="s">
        <v>749</v>
      </c>
      <c r="D144" s="27" t="s">
        <v>740</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845</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846</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847</v>
      </c>
      <c r="B147" s="27" t="s">
        <v>756</v>
      </c>
      <c r="C147" s="27" t="s">
        <v>848</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788</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849</v>
      </c>
      <c r="B149" s="27" t="s">
        <v>777</v>
      </c>
      <c r="C149" s="27" t="s">
        <v>828</v>
      </c>
      <c r="D149" s="27" t="s">
        <v>740</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850</v>
      </c>
      <c r="B150" s="27" t="s">
        <v>733</v>
      </c>
      <c r="C150" s="27" t="s">
        <v>734</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851</v>
      </c>
      <c r="B151" s="27" t="s">
        <v>779</v>
      </c>
      <c r="C151" s="27" t="s">
        <v>734</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852</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746</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row>
    <row r="155" spans="1:12">
      <c r="A155" s="20" t="s">
        <v>853</v>
      </c>
    </row>
    <row r="156" spans="1:12">
      <c r="A156" s="20" t="s">
        <v>854</v>
      </c>
      <c r="B156" s="27" t="s">
        <v>733</v>
      </c>
      <c r="C156" s="27" t="s">
        <v>772</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762</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855</v>
      </c>
      <c r="B158" s="27" t="s">
        <v>756</v>
      </c>
      <c r="C158" s="27" t="s">
        <v>739</v>
      </c>
      <c r="D158" s="27" t="s">
        <v>740</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856</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857</v>
      </c>
      <c r="B160" s="27" t="s">
        <v>733</v>
      </c>
      <c r="C160" s="27" t="s">
        <v>734</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858</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818</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859</v>
      </c>
      <c r="B163" s="27" t="s">
        <v>728</v>
      </c>
      <c r="C163" s="27" t="s">
        <v>739</v>
      </c>
      <c r="D163" s="27" t="s">
        <v>740</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753</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860</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831</v>
      </c>
      <c r="B166" s="27" t="s">
        <v>771</v>
      </c>
      <c r="C166" s="27" t="s">
        <v>775</v>
      </c>
      <c r="D166" s="27" t="s">
        <v>740</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861</v>
      </c>
      <c r="B167" s="27" t="s">
        <v>779</v>
      </c>
      <c r="C167" s="27" t="s">
        <v>775</v>
      </c>
      <c r="D167" s="27" t="s">
        <v>740</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862</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863</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864</v>
      </c>
      <c r="B170" s="27" t="s">
        <v>779</v>
      </c>
      <c r="C170" s="27" t="s">
        <v>744</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865</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866</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746</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row>
    <row r="175" spans="1:12">
      <c r="A175" s="20" t="s">
        <v>867</v>
      </c>
    </row>
    <row r="176" spans="1:12">
      <c r="A176" s="20" t="s">
        <v>868</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850</v>
      </c>
      <c r="B177" s="27" t="s">
        <v>728</v>
      </c>
      <c r="C177" s="27" t="s">
        <v>848</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869</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863</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870</v>
      </c>
      <c r="B180" s="27" t="s">
        <v>738</v>
      </c>
      <c r="C180" s="27" t="s">
        <v>744</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753</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788</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807</v>
      </c>
      <c r="B183" s="27" t="s">
        <v>771</v>
      </c>
      <c r="C183" s="27" t="s">
        <v>749</v>
      </c>
      <c r="D183" s="27" t="s">
        <v>740</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869</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863</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871</v>
      </c>
      <c r="B186" s="27" t="s">
        <v>779</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746</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row>
    <row r="189" spans="1:12">
      <c r="A189" s="20" t="s">
        <v>872</v>
      </c>
    </row>
    <row r="190" spans="1:12">
      <c r="A190" s="20" t="s">
        <v>873</v>
      </c>
      <c r="B190" s="27" t="s">
        <v>733</v>
      </c>
      <c r="C190" s="27" t="s">
        <v>828</v>
      </c>
      <c r="D190" s="27" t="s">
        <v>740</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847</v>
      </c>
      <c r="B191" s="27" t="s">
        <v>728</v>
      </c>
      <c r="C191" s="27" t="s">
        <v>734</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874</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753</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807</v>
      </c>
      <c r="B194" s="27" t="s">
        <v>771</v>
      </c>
      <c r="C194" s="27" t="s">
        <v>749</v>
      </c>
      <c r="D194" s="27" t="s">
        <v>740</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875</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876</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877</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863</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878</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864</v>
      </c>
      <c r="B200" s="27" t="s">
        <v>779</v>
      </c>
      <c r="C200" s="27" t="s">
        <v>744</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87</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746</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row>
    <row r="204" spans="1:12">
      <c r="A204" s="20" t="s">
        <v>879</v>
      </c>
    </row>
    <row r="205" spans="1:12">
      <c r="A205" s="20" t="s">
        <v>880</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807</v>
      </c>
      <c r="B206" s="27" t="s">
        <v>728</v>
      </c>
      <c r="C206" s="27" t="s">
        <v>749</v>
      </c>
      <c r="D206" s="27" t="s">
        <v>740</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858</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881</v>
      </c>
      <c r="B208" s="27" t="s">
        <v>738</v>
      </c>
      <c r="C208" s="27" t="s">
        <v>749</v>
      </c>
      <c r="D208" s="27" t="s">
        <v>740</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753</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860</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807</v>
      </c>
      <c r="B211" s="27" t="s">
        <v>795</v>
      </c>
      <c r="C211" s="27" t="s">
        <v>749</v>
      </c>
      <c r="D211" s="27" t="s">
        <v>740</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730</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882</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883</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871</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869</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746</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row>
    <row r="219" spans="1:12">
      <c r="A219" s="20" t="s">
        <v>884</v>
      </c>
    </row>
    <row r="220" spans="1:12">
      <c r="A220" s="20" t="s">
        <v>813</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774</v>
      </c>
      <c r="B221" s="27" t="s">
        <v>728</v>
      </c>
      <c r="C221" s="27" t="s">
        <v>775</v>
      </c>
      <c r="D221" s="27" t="s">
        <v>740</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885</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886</v>
      </c>
      <c r="B223" s="27" t="s">
        <v>738</v>
      </c>
      <c r="C223" s="27" t="s">
        <v>749</v>
      </c>
      <c r="D223" s="27" t="s">
        <v>740</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887</v>
      </c>
      <c r="B224" s="27" t="s">
        <v>756</v>
      </c>
      <c r="C224" s="27" t="s">
        <v>888</v>
      </c>
      <c r="D224" s="27" t="s">
        <v>740</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753</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860</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827</v>
      </c>
      <c r="B227" s="27" t="s">
        <v>777</v>
      </c>
      <c r="C227" s="27" t="s">
        <v>828</v>
      </c>
      <c r="D227" s="27" t="s">
        <v>740</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889</v>
      </c>
      <c r="B228" s="27" t="s">
        <v>771</v>
      </c>
      <c r="C228" s="27" t="s">
        <v>734</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890</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891</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746</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row>
    <row r="233" spans="1:12">
      <c r="A233" s="20" t="s">
        <v>892</v>
      </c>
    </row>
    <row r="234" spans="1:12">
      <c r="A234" s="20" t="s">
        <v>893</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894</v>
      </c>
      <c r="B235" s="27" t="s">
        <v>728</v>
      </c>
      <c r="C235" s="27" t="s">
        <v>739</v>
      </c>
      <c r="D235" s="27" t="s">
        <v>740</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753</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860</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827</v>
      </c>
      <c r="B238" s="27" t="s">
        <v>777</v>
      </c>
      <c r="C238" s="27" t="s">
        <v>828</v>
      </c>
      <c r="D238" s="27" t="s">
        <v>740</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895</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889</v>
      </c>
      <c r="B240" s="27" t="s">
        <v>771</v>
      </c>
      <c r="C240" s="27" t="s">
        <v>734</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890</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750</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753</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896</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807</v>
      </c>
      <c r="B245" s="27" t="s">
        <v>795</v>
      </c>
      <c r="C245" s="27" t="s">
        <v>749</v>
      </c>
      <c r="D245" s="27" t="s">
        <v>740</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897</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898</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899</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900</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759</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824</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901</v>
      </c>
      <c r="B252" s="27" t="s">
        <v>733</v>
      </c>
      <c r="C252" s="27" t="s">
        <v>734</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826</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759</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902</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903</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883</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904</v>
      </c>
      <c r="B258" s="27" t="s">
        <v>756</v>
      </c>
      <c r="C258" s="27" t="s">
        <v>739</v>
      </c>
      <c r="D258" s="27" t="s">
        <v>740</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846</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847</v>
      </c>
      <c r="B260" s="27" t="s">
        <v>733</v>
      </c>
      <c r="C260" s="27" t="s">
        <v>848</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753</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783</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905</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906</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907</v>
      </c>
      <c r="B265" s="27" t="s">
        <v>733</v>
      </c>
      <c r="C265" s="27" t="s">
        <v>908</v>
      </c>
      <c r="D265" s="27" t="s">
        <v>740</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746</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row>
    <row r="268" spans="1:12">
      <c r="A268" s="20" t="s">
        <v>767</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909</v>
      </c>
    </row>
    <row r="270" spans="1:12">
      <c r="A270" s="20" t="s">
        <v>824</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901</v>
      </c>
      <c r="B271" s="27" t="s">
        <v>733</v>
      </c>
      <c r="C271" s="27" t="s">
        <v>734</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826</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769</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807</v>
      </c>
      <c r="B274" s="27" t="s">
        <v>771</v>
      </c>
      <c r="C274" s="27" t="s">
        <v>749</v>
      </c>
      <c r="D274" s="27" t="s">
        <v>740</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910</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811</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753</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858</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827</v>
      </c>
      <c r="B279" s="27" t="s">
        <v>733</v>
      </c>
      <c r="C279" s="27" t="s">
        <v>828</v>
      </c>
      <c r="D279" s="27" t="s">
        <v>740</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847</v>
      </c>
      <c r="B280" s="27" t="s">
        <v>728</v>
      </c>
      <c r="C280" s="27" t="s">
        <v>734</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897</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797</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726</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893</v>
      </c>
      <c r="B284" s="27" t="s">
        <v>787</v>
      </c>
      <c r="C284" s="27" t="s">
        <v>775</v>
      </c>
      <c r="D284" s="27" t="s">
        <v>740</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911</v>
      </c>
      <c r="B285" s="27" t="s">
        <v>777</v>
      </c>
      <c r="C285" s="27" t="s">
        <v>804</v>
      </c>
      <c r="D285" s="27" t="s">
        <v>740</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753</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736</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912</v>
      </c>
      <c r="B288" s="27" t="s">
        <v>771</v>
      </c>
      <c r="C288" s="27" t="s">
        <v>749</v>
      </c>
      <c r="D288" s="27" t="s">
        <v>740</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757</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913</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914</v>
      </c>
      <c r="B291" s="27" t="s">
        <v>733</v>
      </c>
      <c r="C291" s="27" t="s">
        <v>848</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915</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753</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750</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916</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746</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row>
    <row r="298" spans="1:12">
      <c r="A298" s="20" t="s">
        <v>767</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917</v>
      </c>
    </row>
    <row r="300" spans="1:12">
      <c r="A300" s="20" t="s">
        <v>813</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918</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912</v>
      </c>
      <c r="B302" s="27" t="s">
        <v>771</v>
      </c>
      <c r="C302" s="27" t="s">
        <v>749</v>
      </c>
      <c r="D302" s="27" t="s">
        <v>740</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919</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920</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914</v>
      </c>
      <c r="B305" s="27" t="s">
        <v>779</v>
      </c>
      <c r="C305" s="27" t="s">
        <v>734</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921</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753</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922</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912</v>
      </c>
      <c r="B309" s="27" t="s">
        <v>728</v>
      </c>
      <c r="C309" s="27" t="s">
        <v>749</v>
      </c>
      <c r="D309" s="27" t="s">
        <v>740</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919</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71</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753</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794</v>
      </c>
      <c r="B313" s="27" t="s">
        <v>779</v>
      </c>
      <c r="C313" s="27" t="s">
        <v>775</v>
      </c>
      <c r="D313" s="27" t="s">
        <v>740</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807</v>
      </c>
      <c r="B314" s="27" t="s">
        <v>771</v>
      </c>
      <c r="C314" s="27" t="s">
        <v>749</v>
      </c>
      <c r="D314" s="27" t="s">
        <v>740</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827</v>
      </c>
      <c r="B315" s="27" t="s">
        <v>756</v>
      </c>
      <c r="C315" s="27" t="s">
        <v>775</v>
      </c>
      <c r="D315" s="27" t="s">
        <v>740</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746</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726</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row>
    <row r="319" spans="1:12">
      <c r="A319" s="20" t="s">
        <v>923</v>
      </c>
    </row>
    <row r="320" spans="1:12">
      <c r="A320" s="20" t="s">
        <v>769</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924</v>
      </c>
      <c r="B321" s="27" t="s">
        <v>756</v>
      </c>
      <c r="C321" s="27" t="s">
        <v>734</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925</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807</v>
      </c>
      <c r="B323" s="27" t="s">
        <v>728</v>
      </c>
      <c r="C323" s="27" t="s">
        <v>749</v>
      </c>
      <c r="D323" s="27" t="s">
        <v>740</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791</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783</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791</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926</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927</v>
      </c>
      <c r="B328" s="27" t="s">
        <v>738</v>
      </c>
      <c r="C328" s="27" t="s">
        <v>739</v>
      </c>
      <c r="D328" s="27" t="s">
        <v>740</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753</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860</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774</v>
      </c>
      <c r="B331" s="27" t="s">
        <v>795</v>
      </c>
      <c r="C331" s="27" t="s">
        <v>775</v>
      </c>
      <c r="D331" s="27" t="s">
        <v>740</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833</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928</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929</v>
      </c>
      <c r="B334" s="27" t="s">
        <v>764</v>
      </c>
      <c r="C334" s="27" t="s">
        <v>848</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757</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886</v>
      </c>
      <c r="B336" s="27" t="s">
        <v>777</v>
      </c>
      <c r="C336" s="27" t="s">
        <v>749</v>
      </c>
      <c r="D336" s="27" t="s">
        <v>740</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788</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50</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850</v>
      </c>
      <c r="B339" s="27" t="s">
        <v>787</v>
      </c>
      <c r="C339" s="27" t="s">
        <v>848</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930</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931</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746</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row>
    <row r="344" spans="1:12">
      <c r="A344" s="20" t="s">
        <v>932</v>
      </c>
    </row>
    <row r="345" spans="1:12">
      <c r="A345" s="20" t="s">
        <v>769</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933</v>
      </c>
      <c r="B346" s="27" t="s">
        <v>756</v>
      </c>
      <c r="C346" s="27" t="s">
        <v>734</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934</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807</v>
      </c>
      <c r="B348" s="27" t="s">
        <v>728</v>
      </c>
      <c r="C348" s="27" t="s">
        <v>749</v>
      </c>
      <c r="D348" s="27" t="s">
        <v>740</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753</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860</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807</v>
      </c>
      <c r="B351" s="27" t="s">
        <v>935</v>
      </c>
      <c r="C351" s="27" t="s">
        <v>749</v>
      </c>
      <c r="D351" s="27" t="s">
        <v>740</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899</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891</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788</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936</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937</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781</v>
      </c>
      <c r="B357" s="27" t="s">
        <v>777</v>
      </c>
      <c r="C357" s="27" t="s">
        <v>775</v>
      </c>
      <c r="D357" s="27" t="s">
        <v>740</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938</v>
      </c>
      <c r="B358" s="27" t="s">
        <v>779</v>
      </c>
      <c r="C358" s="27" t="s">
        <v>780</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87</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931</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746</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row>
    <row r="363" spans="1:12">
      <c r="A363" s="20" t="s">
        <v>939</v>
      </c>
    </row>
    <row r="364" spans="1:12">
      <c r="A364" s="20" t="s">
        <v>813</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832</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940</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886</v>
      </c>
      <c r="B367" s="27" t="s">
        <v>738</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753</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941</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774</v>
      </c>
      <c r="B370" s="27" t="s">
        <v>771</v>
      </c>
      <c r="C370" s="27" t="s">
        <v>775</v>
      </c>
      <c r="D370" s="27" t="s">
        <v>740</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832</v>
      </c>
      <c r="B371" s="27" t="s">
        <v>779</v>
      </c>
      <c r="C371" s="27" t="s">
        <v>749</v>
      </c>
      <c r="D371" s="27" t="s">
        <v>740</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858</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746</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row>
    <row r="375" spans="1:12">
      <c r="A375" s="20" t="s">
        <v>942</v>
      </c>
    </row>
    <row r="376" spans="1:12">
      <c r="A376" s="20" t="s">
        <v>813</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943</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807</v>
      </c>
      <c r="B378" s="27" t="s">
        <v>728</v>
      </c>
      <c r="C378" s="27" t="s">
        <v>749</v>
      </c>
      <c r="D378" s="27" t="s">
        <v>740</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944</v>
      </c>
      <c r="B379" s="27" t="s">
        <v>733</v>
      </c>
      <c r="C379" s="27" t="s">
        <v>828</v>
      </c>
      <c r="D379" s="27" t="s">
        <v>740</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945</v>
      </c>
      <c r="B380" s="27" t="s">
        <v>738</v>
      </c>
      <c r="C380" s="27" t="s">
        <v>804</v>
      </c>
      <c r="D380" s="27" t="s">
        <v>740</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12</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946</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947</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753</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788</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774</v>
      </c>
      <c r="B386" s="27" t="s">
        <v>771</v>
      </c>
      <c r="C386" s="27" t="s">
        <v>775</v>
      </c>
      <c r="D386" s="27" t="s">
        <v>740</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948</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753</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832</v>
      </c>
      <c r="B389" s="27" t="s">
        <v>771</v>
      </c>
      <c r="C389" s="27" t="s">
        <v>749</v>
      </c>
      <c r="D389" s="27" t="s">
        <v>740</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765</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54</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753</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949</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832</v>
      </c>
      <c r="B394" s="27" t="s">
        <v>795</v>
      </c>
      <c r="C394" s="27" t="s">
        <v>749</v>
      </c>
      <c r="D394" s="27" t="s">
        <v>740</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886</v>
      </c>
      <c r="B395" s="27" t="s">
        <v>764</v>
      </c>
      <c r="C395" s="27" t="s">
        <v>749</v>
      </c>
      <c r="D395" s="27" t="s">
        <v>740</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950</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746</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row>
    <row r="399" spans="1:12">
      <c r="A399" s="20" t="s">
        <v>767</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951</v>
      </c>
    </row>
    <row r="401" spans="1:12">
      <c r="A401" s="20" t="s">
        <v>952</v>
      </c>
      <c r="B401" s="27" t="s">
        <v>728</v>
      </c>
      <c r="C401" s="27" t="s">
        <v>749</v>
      </c>
      <c r="D401" s="27" t="s">
        <v>740</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858</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797</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726</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952</v>
      </c>
      <c r="B405" s="27" t="s">
        <v>771</v>
      </c>
      <c r="C405" s="27" t="s">
        <v>749</v>
      </c>
      <c r="D405" s="27" t="s">
        <v>740</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900</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899</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746</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row>
    <row r="410" spans="1:12">
      <c r="A410" s="20" t="s">
        <v>953</v>
      </c>
    </row>
    <row r="411" spans="1:12">
      <c r="A411" s="20" t="s">
        <v>801</v>
      </c>
      <c r="B411" s="27" t="s">
        <v>728</v>
      </c>
      <c r="C411" s="27" t="s">
        <v>775</v>
      </c>
      <c r="D411" s="27" t="s">
        <v>740</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750</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919</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818</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954</v>
      </c>
      <c r="B415" s="27" t="s">
        <v>756</v>
      </c>
      <c r="C415" s="27" t="s">
        <v>739</v>
      </c>
      <c r="D415" s="27" t="s">
        <v>740</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753</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955</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762</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807</v>
      </c>
      <c r="B419" s="27" t="s">
        <v>771</v>
      </c>
      <c r="C419" s="27" t="s">
        <v>749</v>
      </c>
      <c r="D419" s="27" t="s">
        <v>740</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886</v>
      </c>
      <c r="B420" s="27" t="s">
        <v>779</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956</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746</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row>
    <row r="424" spans="1:12">
      <c r="A424" s="20" t="s">
        <v>767</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957</v>
      </c>
    </row>
    <row r="426" spans="1:12">
      <c r="A426" s="20" t="s">
        <v>813</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807</v>
      </c>
      <c r="B427" s="27" t="s">
        <v>728</v>
      </c>
      <c r="C427" s="27" t="s">
        <v>749</v>
      </c>
      <c r="D427" s="27" t="s">
        <v>740</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958</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753</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860</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912</v>
      </c>
      <c r="B431" s="27" t="s">
        <v>771</v>
      </c>
      <c r="C431" s="27" t="s">
        <v>749</v>
      </c>
      <c r="D431" s="27" t="s">
        <v>740</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959</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753</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791</v>
      </c>
      <c r="B434" s="27" t="s">
        <v>764</v>
      </c>
      <c r="C434" s="27" t="s">
        <v>792</v>
      </c>
      <c r="D434" s="27" t="s">
        <v>740</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765</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54</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746</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726</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row>
    <row r="440" spans="1:12">
      <c r="A440" s="20" t="s">
        <v>960</v>
      </c>
    </row>
    <row r="441" spans="1:12">
      <c r="A441" s="20" t="s">
        <v>961</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842</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21</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962</v>
      </c>
      <c r="B444" s="27" t="s">
        <v>756</v>
      </c>
      <c r="C444" s="27" t="s">
        <v>780</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963</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886</v>
      </c>
      <c r="B446" s="27" t="s">
        <v>738</v>
      </c>
      <c r="C446" s="27" t="s">
        <v>749</v>
      </c>
      <c r="D446" s="27" t="s">
        <v>740</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827</v>
      </c>
      <c r="B447" s="27" t="s">
        <v>733</v>
      </c>
      <c r="C447" s="27" t="s">
        <v>828</v>
      </c>
      <c r="D447" s="27" t="s">
        <v>740</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964</v>
      </c>
      <c r="B448" s="27" t="s">
        <v>728</v>
      </c>
      <c r="C448" s="27" t="s">
        <v>734</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965</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818</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966</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967</v>
      </c>
      <c r="B452" s="27" t="s">
        <v>756</v>
      </c>
      <c r="C452" s="27" t="s">
        <v>804</v>
      </c>
      <c r="D452" s="27" t="s">
        <v>740</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968</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753</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863</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969</v>
      </c>
      <c r="B456" s="27" t="s">
        <v>779</v>
      </c>
      <c r="C456" s="27" t="s">
        <v>744</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970</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736</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971</v>
      </c>
      <c r="B459" s="27" t="s">
        <v>777</v>
      </c>
      <c r="C459" s="27" t="s">
        <v>739</v>
      </c>
      <c r="D459" s="27" t="s">
        <v>740</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765</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26</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746</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row>
    <row r="464" spans="1:12">
      <c r="A464" s="20" t="s">
        <v>972</v>
      </c>
    </row>
    <row r="465" spans="1:12">
      <c r="A465" s="20" t="s">
        <v>813</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807</v>
      </c>
      <c r="B466" s="27" t="s">
        <v>728</v>
      </c>
      <c r="C466" s="27" t="s">
        <v>749</v>
      </c>
      <c r="D466" s="27" t="s">
        <v>740</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811</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973</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974</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746</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row>
    <row r="472" spans="1:12">
      <c r="A472" s="20" t="s">
        <v>975</v>
      </c>
    </row>
    <row r="473" spans="1:12">
      <c r="A473" s="20" t="s">
        <v>952</v>
      </c>
      <c r="B473" s="27" t="s">
        <v>728</v>
      </c>
      <c r="C473" s="27" t="s">
        <v>749</v>
      </c>
      <c r="D473" s="27" t="s">
        <v>740</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947</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976</v>
      </c>
      <c r="B475" s="27" t="s">
        <v>728</v>
      </c>
      <c r="C475" s="27" t="s">
        <v>804</v>
      </c>
      <c r="D475" s="27" t="s">
        <v>740</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897</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783</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741</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799</v>
      </c>
      <c r="B479" s="27" t="s">
        <v>756</v>
      </c>
      <c r="C479" s="27" t="s">
        <v>744</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793</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746</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row>
    <row r="483" spans="1:12">
      <c r="A483" s="20" t="s">
        <v>977</v>
      </c>
    </row>
    <row r="484" spans="1:12">
      <c r="A484" s="20" t="s">
        <v>978</v>
      </c>
      <c r="B484" s="27" t="s">
        <v>756</v>
      </c>
      <c r="C484" s="27" t="s">
        <v>792</v>
      </c>
      <c r="D484" s="27" t="s">
        <v>740</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979</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980</v>
      </c>
      <c r="B486" s="27" t="s">
        <v>756</v>
      </c>
      <c r="C486" s="27" t="s">
        <v>908</v>
      </c>
      <c r="D486" s="27" t="s">
        <v>740</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746</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row>
    <row r="489" spans="1:12">
      <c r="A489" s="20" t="s">
        <v>981</v>
      </c>
    </row>
    <row r="490" spans="1:12">
      <c r="A490" s="20" t="s">
        <v>748</v>
      </c>
      <c r="B490" s="27" t="s">
        <v>728</v>
      </c>
      <c r="C490" s="27" t="s">
        <v>749</v>
      </c>
      <c r="D490" s="27" t="s">
        <v>740</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982</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919</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116</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746</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row>
    <row r="496" spans="1:12">
      <c r="A496" s="20" t="s">
        <v>983</v>
      </c>
    </row>
    <row r="497" spans="1:12">
      <c r="A497" s="20" t="s">
        <v>748</v>
      </c>
      <c r="B497" s="27" t="s">
        <v>728</v>
      </c>
      <c r="C497" s="27" t="s">
        <v>749</v>
      </c>
      <c r="D497" s="27" t="s">
        <v>740</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984</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985</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746</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row>
    <row r="502" spans="1:12">
      <c r="A502" s="20" t="s">
        <v>986</v>
      </c>
    </row>
    <row r="503" spans="1:12">
      <c r="A503" s="20" t="s">
        <v>987</v>
      </c>
      <c r="B503" s="27" t="s">
        <v>738</v>
      </c>
      <c r="C503" s="27" t="s">
        <v>775</v>
      </c>
      <c r="D503" s="27" t="s">
        <v>740</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982</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831</v>
      </c>
      <c r="B505" s="27" t="s">
        <v>728</v>
      </c>
      <c r="C505" s="27" t="s">
        <v>775</v>
      </c>
      <c r="D505" s="27" t="s">
        <v>740</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757</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774</v>
      </c>
      <c r="B507" s="27" t="s">
        <v>756</v>
      </c>
      <c r="C507" s="27" t="s">
        <v>775</v>
      </c>
      <c r="D507" s="27" t="s">
        <v>740</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125</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836</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row>
    <row r="511" spans="1:12">
      <c r="A511" s="20" t="s">
        <v>988</v>
      </c>
    </row>
    <row r="512" spans="1:12">
      <c r="A512" s="20" t="s">
        <v>813</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989</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990</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807</v>
      </c>
      <c r="B515" s="27" t="s">
        <v>728</v>
      </c>
      <c r="C515" s="27" t="s">
        <v>749</v>
      </c>
      <c r="D515" s="27" t="s">
        <v>740</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886</v>
      </c>
      <c r="B516" s="27" t="s">
        <v>738</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991</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736</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992</v>
      </c>
      <c r="B519" s="27" t="s">
        <v>756</v>
      </c>
      <c r="C519" s="27" t="s">
        <v>739</v>
      </c>
      <c r="D519" s="27" t="s">
        <v>740</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746</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row>
    <row r="522" spans="1:12">
      <c r="A522" s="20" t="s">
        <v>993</v>
      </c>
    </row>
    <row r="523" spans="1:12">
      <c r="A523" s="20" t="s">
        <v>952</v>
      </c>
      <c r="B523" s="27" t="s">
        <v>728</v>
      </c>
      <c r="C523" s="27" t="s">
        <v>749</v>
      </c>
      <c r="D523" s="27" t="s">
        <v>740</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994</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995</v>
      </c>
      <c r="B525" s="27" t="s">
        <v>738</v>
      </c>
      <c r="C525" s="27" t="s">
        <v>734</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746</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row>
    <row r="528" spans="1:12">
      <c r="A528" s="20" t="s">
        <v>996</v>
      </c>
    </row>
    <row r="529" spans="1:12">
      <c r="A529" s="20" t="s">
        <v>952</v>
      </c>
      <c r="B529" s="27" t="s">
        <v>728</v>
      </c>
      <c r="C529" s="27" t="s">
        <v>749</v>
      </c>
      <c r="D529" s="27" t="s">
        <v>740</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844</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765</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997</v>
      </c>
      <c r="B532" s="27" t="s">
        <v>756</v>
      </c>
      <c r="C532" s="27" t="s">
        <v>734</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788</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998</v>
      </c>
      <c r="B534" s="27" t="s">
        <v>733</v>
      </c>
      <c r="C534" s="27" t="s">
        <v>734</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999</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1000</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746</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row>
    <row r="539" spans="1:12">
      <c r="A539" s="20" t="s">
        <v>767</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1001</v>
      </c>
    </row>
    <row r="541" spans="1:12">
      <c r="A541" s="20" t="s">
        <v>813</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757</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736</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1002</v>
      </c>
      <c r="B544" s="27" t="s">
        <v>756</v>
      </c>
      <c r="C544" s="27" t="s">
        <v>739</v>
      </c>
      <c r="D544" s="27" t="s">
        <v>740</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765</v>
      </c>
      <c r="B545" s="27" t="s">
        <v>777</v>
      </c>
      <c r="C545" s="27" t="s">
        <v>772</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818</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726</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1003</v>
      </c>
      <c r="B548" s="27" t="s">
        <v>733</v>
      </c>
      <c r="C548" s="27" t="s">
        <v>739</v>
      </c>
      <c r="D548" s="27" t="s">
        <v>740</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1004</v>
      </c>
      <c r="B549" s="27" t="s">
        <v>777</v>
      </c>
      <c r="C549" s="27" t="s">
        <v>804</v>
      </c>
      <c r="D549" s="27" t="s">
        <v>740</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1005</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726</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1006</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807</v>
      </c>
      <c r="B553" s="27" t="s">
        <v>728</v>
      </c>
      <c r="C553" s="27" t="s">
        <v>749</v>
      </c>
      <c r="D553" s="27" t="s">
        <v>740</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1007</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1008</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1009</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1010</v>
      </c>
      <c r="B557" s="27" t="s">
        <v>756</v>
      </c>
      <c r="C557" s="27" t="s">
        <v>804</v>
      </c>
      <c r="D557" s="27" t="s">
        <v>740</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753</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1011</v>
      </c>
      <c r="B559" s="27" t="s">
        <v>756</v>
      </c>
      <c r="C559" s="27" t="s">
        <v>804</v>
      </c>
      <c r="D559" s="27" t="s">
        <v>740</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753</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1012</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817</v>
      </c>
      <c r="B562" s="27" t="s">
        <v>764</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736</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980</v>
      </c>
      <c r="B564" s="27" t="s">
        <v>795</v>
      </c>
      <c r="C564" s="27" t="s">
        <v>739</v>
      </c>
      <c r="D564" s="27" t="s">
        <v>740</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970</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736</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1013</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1014</v>
      </c>
      <c r="B568" s="27" t="s">
        <v>787</v>
      </c>
      <c r="C568" s="27" t="s">
        <v>739</v>
      </c>
      <c r="D568" s="27" t="s">
        <v>740</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818</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1015</v>
      </c>
      <c r="B570" s="27" t="s">
        <v>795</v>
      </c>
      <c r="C570" s="27" t="s">
        <v>739</v>
      </c>
      <c r="D570" s="27" t="s">
        <v>740</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1016</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746</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row>
    <row r="574" spans="1:12">
      <c r="A574" s="20" t="s">
        <v>767</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1017</v>
      </c>
    </row>
    <row r="576" spans="1:12">
      <c r="A576" s="20" t="s">
        <v>813</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783</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807</v>
      </c>
      <c r="B578" s="27" t="s">
        <v>771</v>
      </c>
      <c r="C578" s="27" t="s">
        <v>749</v>
      </c>
      <c r="D578" s="27" t="s">
        <v>740</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897</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1018</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991</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736</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992</v>
      </c>
      <c r="B583" s="27" t="s">
        <v>733</v>
      </c>
      <c r="C583" s="27" t="s">
        <v>739</v>
      </c>
      <c r="D583" s="27" t="s">
        <v>740</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1019</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753</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839</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1020</v>
      </c>
      <c r="B587" s="27" t="s">
        <v>738</v>
      </c>
      <c r="C587" s="27" t="s">
        <v>749</v>
      </c>
      <c r="D587" s="27" t="s">
        <v>740</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1021</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753</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860</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1022</v>
      </c>
      <c r="B591" s="27" t="s">
        <v>935</v>
      </c>
      <c r="C591" s="27" t="s">
        <v>734</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741</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1023</v>
      </c>
      <c r="B593" s="27" t="s">
        <v>795</v>
      </c>
      <c r="C593" s="27" t="s">
        <v>744</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811</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753</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788</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860</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736</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980</v>
      </c>
      <c r="B599" s="27" t="s">
        <v>1024</v>
      </c>
      <c r="C599" s="27" t="s">
        <v>739</v>
      </c>
      <c r="D599" s="27" t="s">
        <v>740</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729</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1025</v>
      </c>
      <c r="B601" s="27" t="s">
        <v>1026</v>
      </c>
      <c r="C601" s="27" t="s">
        <v>792</v>
      </c>
      <c r="D601" s="27" t="s">
        <v>740</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1023</v>
      </c>
      <c r="B602" s="27" t="s">
        <v>1027</v>
      </c>
      <c r="C602" s="27" t="s">
        <v>908</v>
      </c>
      <c r="D602" s="27" t="s">
        <v>740</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753</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736</v>
      </c>
      <c r="B604" s="27" t="s">
        <v>1028</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1029</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797</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726</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1030</v>
      </c>
      <c r="B608" s="27" t="s">
        <v>935</v>
      </c>
      <c r="C608" s="27" t="s">
        <v>775</v>
      </c>
      <c r="D608" s="27" t="s">
        <v>740</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984</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919</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1031</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1032</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1033</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1031</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753</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1034</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1035</v>
      </c>
      <c r="B617" s="27" t="s">
        <v>728</v>
      </c>
      <c r="C617" s="27" t="s">
        <v>734</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785</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1023</v>
      </c>
      <c r="B619" s="27" t="s">
        <v>733</v>
      </c>
      <c r="C619" s="27" t="s">
        <v>744</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726</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753</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1036</v>
      </c>
      <c r="B622" s="27" t="s">
        <v>1037</v>
      </c>
      <c r="C622" s="27" t="s">
        <v>772</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1029</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753</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791</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1020</v>
      </c>
      <c r="B626" s="27" t="s">
        <v>1037</v>
      </c>
      <c r="C626" s="27" t="s">
        <v>749</v>
      </c>
      <c r="D626" s="27" t="s">
        <v>740</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1036</v>
      </c>
      <c r="B627" s="27" t="s">
        <v>1037</v>
      </c>
      <c r="C627" s="27" t="s">
        <v>775</v>
      </c>
      <c r="D627" s="27" t="s">
        <v>740</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1038</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746</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row>
    <row r="631" spans="1:12">
      <c r="A631" s="20" t="s">
        <v>1039</v>
      </c>
    </row>
    <row r="632" spans="1:12">
      <c r="A632" s="20" t="s">
        <v>1040</v>
      </c>
      <c r="B632" s="27" t="s">
        <v>728</v>
      </c>
      <c r="C632" s="27" t="s">
        <v>749</v>
      </c>
      <c r="D632" s="27" t="s">
        <v>740</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811</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919</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827</v>
      </c>
      <c r="B635" s="27" t="s">
        <v>756</v>
      </c>
      <c r="C635" s="27" t="s">
        <v>828</v>
      </c>
      <c r="D635" s="27" t="s">
        <v>740</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1023</v>
      </c>
      <c r="B636" s="27" t="s">
        <v>756</v>
      </c>
      <c r="C636" s="27" t="s">
        <v>734</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753</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788</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807</v>
      </c>
      <c r="B639" s="27" t="s">
        <v>771</v>
      </c>
      <c r="C639" s="27" t="s">
        <v>749</v>
      </c>
      <c r="D639" s="27" t="s">
        <v>740</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947</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905</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919</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1041</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753</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881</v>
      </c>
      <c r="B645" s="27" t="s">
        <v>764</v>
      </c>
      <c r="C645" s="27" t="s">
        <v>749</v>
      </c>
      <c r="D645" s="27" t="s">
        <v>740</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1042</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1043</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753</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896</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807</v>
      </c>
      <c r="B650" s="27" t="s">
        <v>935</v>
      </c>
      <c r="C650" s="27" t="s">
        <v>749</v>
      </c>
      <c r="D650" s="27" t="s">
        <v>740</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1044</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753</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860</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832</v>
      </c>
      <c r="B654" s="27" t="s">
        <v>1024</v>
      </c>
      <c r="C654" s="27" t="s">
        <v>749</v>
      </c>
      <c r="D654" s="27" t="s">
        <v>740</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741</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1023</v>
      </c>
      <c r="B656" s="27" t="s">
        <v>787</v>
      </c>
      <c r="C656" s="27" t="s">
        <v>744</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811</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788</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832</v>
      </c>
      <c r="B659" s="27" t="s">
        <v>1045</v>
      </c>
      <c r="C659" s="27" t="s">
        <v>749</v>
      </c>
      <c r="D659" s="27" t="s">
        <v>740</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757</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736</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980</v>
      </c>
      <c r="B662" s="27" t="s">
        <v>1026</v>
      </c>
      <c r="C662" s="27" t="s">
        <v>739</v>
      </c>
      <c r="D662" s="27" t="s">
        <v>740</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753</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736</v>
      </c>
      <c r="B664" s="27" t="s">
        <v>1046</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881</v>
      </c>
      <c r="B665" s="27" t="s">
        <v>1047</v>
      </c>
      <c r="C665" s="27" t="s">
        <v>749</v>
      </c>
      <c r="D665" s="27" t="s">
        <v>740</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1048</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753</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999</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833</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1049</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1050</v>
      </c>
      <c r="B671" s="27" t="s">
        <v>1051</v>
      </c>
      <c r="C671" s="27" t="s">
        <v>734</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811</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830</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736</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1052</v>
      </c>
      <c r="B675" s="27" t="s">
        <v>1053</v>
      </c>
      <c r="C675" s="27" t="s">
        <v>804</v>
      </c>
      <c r="D675" s="27" t="s">
        <v>740</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12</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753</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1054</v>
      </c>
      <c r="B678" s="27" t="s">
        <v>1055</v>
      </c>
      <c r="C678" s="27" t="s">
        <v>734</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12</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1056</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1057</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1023</v>
      </c>
      <c r="B682" s="27" t="s">
        <v>1027</v>
      </c>
      <c r="C682" s="27" t="s">
        <v>734</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746</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row>
    <row r="685" spans="1:12">
      <c r="A685" s="20" t="s">
        <v>1058</v>
      </c>
    </row>
    <row r="686" spans="1:12">
      <c r="A686" s="20" t="s">
        <v>1040</v>
      </c>
      <c r="B686" s="27" t="s">
        <v>728</v>
      </c>
      <c r="C686" s="27" t="s">
        <v>749</v>
      </c>
      <c r="D686" s="27" t="s">
        <v>740</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1059</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1060</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1061</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1062</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830</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736</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1063</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1023</v>
      </c>
      <c r="B694" s="27" t="s">
        <v>733</v>
      </c>
      <c r="C694" s="27" t="s">
        <v>804</v>
      </c>
      <c r="D694" s="27" t="s">
        <v>740</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746</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row>
    <row r="697" spans="1:12">
      <c r="A697" s="20" t="s">
        <v>1064</v>
      </c>
    </row>
    <row r="698" spans="1:12">
      <c r="A698" s="20" t="s">
        <v>1065</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1066</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736</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1067</v>
      </c>
      <c r="B701" s="27" t="s">
        <v>728</v>
      </c>
      <c r="C701" s="27" t="s">
        <v>739</v>
      </c>
      <c r="D701" s="27" t="s">
        <v>740</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785</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1067</v>
      </c>
      <c r="B703" s="27" t="s">
        <v>733</v>
      </c>
      <c r="C703" s="27" t="s">
        <v>744</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741</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1068</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1069</v>
      </c>
      <c r="B706" s="27" t="s">
        <v>738</v>
      </c>
      <c r="C706" s="27" t="s">
        <v>744</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746</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row>
    <row r="709" spans="1:12">
      <c r="A709" s="20" t="s">
        <v>1070</v>
      </c>
    </row>
    <row r="710" spans="1:12">
      <c r="A710" s="20" t="s">
        <v>813</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845</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818</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1071</v>
      </c>
      <c r="B713" s="27" t="s">
        <v>756</v>
      </c>
      <c r="C713" s="27" t="s">
        <v>739</v>
      </c>
      <c r="D713" s="27" t="s">
        <v>740</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1072</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1069</v>
      </c>
      <c r="B715" s="27" t="s">
        <v>733</v>
      </c>
      <c r="C715" s="27" t="s">
        <v>848</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753</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1073</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774</v>
      </c>
      <c r="B718" s="27" t="s">
        <v>728</v>
      </c>
      <c r="C718" s="27" t="s">
        <v>775</v>
      </c>
      <c r="D718" s="27" t="s">
        <v>740</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817</v>
      </c>
      <c r="B719" s="27" t="s">
        <v>738</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1074</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845</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1075</v>
      </c>
      <c r="B722" s="27" t="s">
        <v>756</v>
      </c>
      <c r="C722" s="27" t="s">
        <v>734</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160</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753</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736</v>
      </c>
      <c r="B725" s="27" t="s">
        <v>771</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1076</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905</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757</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886</v>
      </c>
      <c r="B729" s="27" t="s">
        <v>733</v>
      </c>
      <c r="C729" s="27" t="s">
        <v>749</v>
      </c>
      <c r="D729" s="27" t="s">
        <v>740</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1077</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999</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1049</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1050</v>
      </c>
      <c r="B733" s="27" t="s">
        <v>733</v>
      </c>
      <c r="C733" s="27" t="s">
        <v>734</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765</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1078</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746</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row>
    <row r="738" spans="1:12">
      <c r="A738" s="20" t="s">
        <v>1079</v>
      </c>
    </row>
    <row r="739" spans="1:12">
      <c r="A739" s="20" t="s">
        <v>748</v>
      </c>
      <c r="B739" s="27" t="s">
        <v>728</v>
      </c>
      <c r="C739" s="27" t="s">
        <v>749</v>
      </c>
      <c r="D739" s="27" t="s">
        <v>740</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1080</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1041</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818</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1081</v>
      </c>
      <c r="B743" s="27" t="s">
        <v>756</v>
      </c>
      <c r="C743" s="27" t="s">
        <v>739</v>
      </c>
      <c r="D743" s="27" t="s">
        <v>740</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753</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794</v>
      </c>
      <c r="B745" s="27" t="s">
        <v>779</v>
      </c>
      <c r="C745" s="27" t="s">
        <v>775</v>
      </c>
      <c r="D745" s="27" t="s">
        <v>740</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774</v>
      </c>
      <c r="B746" s="27" t="s">
        <v>771</v>
      </c>
      <c r="C746" s="27" t="s">
        <v>775</v>
      </c>
      <c r="D746" s="27" t="s">
        <v>740</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845</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1082</v>
      </c>
      <c r="B748" s="27" t="s">
        <v>777</v>
      </c>
      <c r="C748" s="27" t="s">
        <v>792</v>
      </c>
      <c r="D748" s="27" t="s">
        <v>740</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924</v>
      </c>
      <c r="B749" s="27" t="s">
        <v>733</v>
      </c>
      <c r="C749" s="27" t="s">
        <v>908</v>
      </c>
      <c r="D749" s="27" t="s">
        <v>740</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125</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789</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746</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row>
    <row r="754" spans="1:12">
      <c r="A754" s="20" t="s">
        <v>767</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1083</v>
      </c>
    </row>
    <row r="756" spans="1:12">
      <c r="A756" s="20" t="s">
        <v>1084</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774</v>
      </c>
      <c r="B757" s="27" t="s">
        <v>728</v>
      </c>
      <c r="C757" s="27" t="s">
        <v>775</v>
      </c>
      <c r="D757" s="27" t="s">
        <v>740</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54</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797</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726</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1085</v>
      </c>
      <c r="B761" s="27" t="s">
        <v>771</v>
      </c>
      <c r="C761" s="27" t="s">
        <v>749</v>
      </c>
      <c r="D761" s="27" t="s">
        <v>740</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1086</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1061</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830</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1087</v>
      </c>
      <c r="B765" s="27" t="s">
        <v>733</v>
      </c>
      <c r="C765" s="27" t="s">
        <v>772</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1088</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753</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790</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751</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1089</v>
      </c>
      <c r="B770" s="27" t="s">
        <v>771</v>
      </c>
      <c r="C770" s="27" t="s">
        <v>772</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1090</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836</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726</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row>
    <row r="775" spans="1:12">
      <c r="A775" s="20" t="s">
        <v>767</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1091</v>
      </c>
    </row>
    <row r="777" spans="1:12">
      <c r="A777" s="20" t="s">
        <v>1092</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789</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774</v>
      </c>
      <c r="B779" s="27" t="s">
        <v>728</v>
      </c>
      <c r="C779" s="27" t="s">
        <v>775</v>
      </c>
      <c r="D779" s="27" t="s">
        <v>740</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213</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753</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741</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1093</v>
      </c>
      <c r="B783" s="27" t="s">
        <v>795</v>
      </c>
      <c r="C783" s="27" t="s">
        <v>744</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1094</v>
      </c>
      <c r="B784" s="27" t="s">
        <v>779</v>
      </c>
      <c r="C784" s="27" t="s">
        <v>734</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757</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774</v>
      </c>
      <c r="B786" s="27" t="s">
        <v>733</v>
      </c>
      <c r="C786" s="27" t="s">
        <v>775</v>
      </c>
      <c r="D786" s="27" t="s">
        <v>740</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765</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302</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753</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817</v>
      </c>
      <c r="B790" s="27" t="s">
        <v>779</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991</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818</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1095</v>
      </c>
      <c r="B793" s="27" t="s">
        <v>733</v>
      </c>
      <c r="C793" s="27" t="s">
        <v>739</v>
      </c>
      <c r="D793" s="27" t="s">
        <v>740</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726</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1096</v>
      </c>
      <c r="B795" s="27" t="s">
        <v>777</v>
      </c>
      <c r="C795" s="27" t="s">
        <v>804</v>
      </c>
      <c r="D795" s="27" t="s">
        <v>740</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1097</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1098</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1005</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726</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765</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1099</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753</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788</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817</v>
      </c>
      <c r="B804" s="27" t="s">
        <v>779</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765</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1100</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753</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794</v>
      </c>
      <c r="B808" s="27" t="s">
        <v>795</v>
      </c>
      <c r="C808" s="27" t="s">
        <v>775</v>
      </c>
      <c r="D808" s="27" t="s">
        <v>740</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832</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1101</v>
      </c>
      <c r="B810" s="27" t="s">
        <v>795</v>
      </c>
      <c r="C810" s="27" t="s">
        <v>804</v>
      </c>
      <c r="D810" s="27" t="s">
        <v>740</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991</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818</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1102</v>
      </c>
      <c r="B813" s="27" t="s">
        <v>777</v>
      </c>
      <c r="C813" s="27" t="s">
        <v>1103</v>
      </c>
      <c r="D813" s="27" t="s">
        <v>740</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818</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1104</v>
      </c>
      <c r="B815" s="27" t="s">
        <v>787</v>
      </c>
      <c r="C815" s="27" t="s">
        <v>804</v>
      </c>
      <c r="D815" s="27" t="s">
        <v>740</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1038</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836</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row>
    <row r="819" spans="1:12">
      <c r="A819" s="20" t="s">
        <v>1105</v>
      </c>
    </row>
    <row r="820" spans="1:12">
      <c r="A820" s="20" t="s">
        <v>813</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1106</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934</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807</v>
      </c>
      <c r="B823" s="27" t="s">
        <v>728</v>
      </c>
      <c r="C823" s="27" t="s">
        <v>749</v>
      </c>
      <c r="D823" s="27" t="s">
        <v>740</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1074</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753</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860</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736</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1107</v>
      </c>
      <c r="B828" s="27" t="s">
        <v>771</v>
      </c>
      <c r="C828" s="27" t="s">
        <v>775</v>
      </c>
      <c r="D828" s="27" t="s">
        <v>740</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1108</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914</v>
      </c>
      <c r="B830" s="27" t="s">
        <v>795</v>
      </c>
      <c r="C830" s="27" t="s">
        <v>734</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1109</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183</v>
      </c>
      <c r="B832" s="27" t="s">
        <v>764</v>
      </c>
      <c r="C832" s="27" t="s">
        <v>734</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87</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753</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788</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1110</v>
      </c>
      <c r="B836" s="27" t="s">
        <v>771</v>
      </c>
      <c r="C836" s="27" t="s">
        <v>792</v>
      </c>
      <c r="D836" s="27" t="s">
        <v>740</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991</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818</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1111</v>
      </c>
      <c r="B839" s="27" t="s">
        <v>733</v>
      </c>
      <c r="C839" s="27" t="s">
        <v>739</v>
      </c>
      <c r="D839" s="27" t="s">
        <v>740</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213</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753</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928</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914</v>
      </c>
      <c r="B843" s="27" t="s">
        <v>764</v>
      </c>
      <c r="C843" s="27" t="s">
        <v>848</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765</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422</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746</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row>
    <row r="848" spans="1:12">
      <c r="A848" s="20" t="s">
        <v>767</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1112</v>
      </c>
    </row>
    <row r="850" spans="1:12">
      <c r="A850" s="20" t="s">
        <v>978</v>
      </c>
      <c r="B850" s="27" t="s">
        <v>733</v>
      </c>
      <c r="C850" s="27" t="s">
        <v>792</v>
      </c>
      <c r="D850" s="27" t="s">
        <v>740</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1108</v>
      </c>
      <c r="B851" s="27" t="s">
        <v>728</v>
      </c>
      <c r="C851" s="27" t="s">
        <v>908</v>
      </c>
      <c r="D851" s="27" t="s">
        <v>740</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980</v>
      </c>
      <c r="B852" s="27" t="s">
        <v>779</v>
      </c>
      <c r="C852" s="27" t="s">
        <v>734</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179</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1113</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991</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762</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1114</v>
      </c>
      <c r="B857" s="27" t="s">
        <v>756</v>
      </c>
      <c r="C857" s="27" t="s">
        <v>739</v>
      </c>
      <c r="D857" s="27" t="s">
        <v>740</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726</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1115</v>
      </c>
      <c r="B859" s="27" t="s">
        <v>733</v>
      </c>
      <c r="C859" s="27" t="s">
        <v>734</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726</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757</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817</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746</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row>
    <row r="865" spans="1:12">
      <c r="A865" s="20" t="s">
        <v>1116</v>
      </c>
    </row>
    <row r="866" spans="1:12">
      <c r="A866" s="20" t="s">
        <v>893</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1107</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1117</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980</v>
      </c>
      <c r="B869" s="27" t="s">
        <v>728</v>
      </c>
      <c r="C869" s="27" t="s">
        <v>739</v>
      </c>
      <c r="D869" s="27" t="s">
        <v>740</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87</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1118</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183</v>
      </c>
      <c r="B872" s="27" t="s">
        <v>756</v>
      </c>
      <c r="C872" s="27" t="s">
        <v>734</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746</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row>
    <row r="875" spans="1:12">
      <c r="A875" s="20" t="s">
        <v>1119</v>
      </c>
    </row>
    <row r="876" spans="1:12">
      <c r="A876" s="20" t="s">
        <v>978</v>
      </c>
      <c r="B876" s="27" t="s">
        <v>733</v>
      </c>
      <c r="C876" s="27" t="s">
        <v>792</v>
      </c>
      <c r="D876" s="27" t="s">
        <v>740</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183</v>
      </c>
      <c r="B877" s="27" t="s">
        <v>728</v>
      </c>
      <c r="C877" s="27" t="s">
        <v>908</v>
      </c>
      <c r="D877" s="27" t="s">
        <v>740</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46</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1120</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753</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860</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928</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914</v>
      </c>
      <c r="B883" s="27" t="s">
        <v>771</v>
      </c>
      <c r="C883" s="27" t="s">
        <v>848</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1121</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991</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818</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991</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1072</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732</v>
      </c>
      <c r="B889" s="27" t="s">
        <v>787</v>
      </c>
      <c r="C889" s="27" t="s">
        <v>848</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1122</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1102</v>
      </c>
      <c r="B891" s="27" t="s">
        <v>733</v>
      </c>
      <c r="C891" s="27" t="s">
        <v>739</v>
      </c>
      <c r="D891" s="27" t="s">
        <v>740</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753</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788</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1110</v>
      </c>
      <c r="B894" s="27" t="s">
        <v>1037</v>
      </c>
      <c r="C894" s="27" t="s">
        <v>792</v>
      </c>
      <c r="D894" s="27" t="s">
        <v>740</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1117</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980</v>
      </c>
      <c r="B896" s="27" t="s">
        <v>935</v>
      </c>
      <c r="C896" s="27" t="s">
        <v>734</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1123</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989</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1124</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741</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840</v>
      </c>
      <c r="B901" s="27" t="s">
        <v>764</v>
      </c>
      <c r="C901" s="27" t="s">
        <v>744</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757</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817</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286</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746</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row>
    <row r="907" spans="1:12">
      <c r="A907" s="20" t="s">
        <v>1125</v>
      </c>
    </row>
    <row r="908" spans="1:12">
      <c r="A908" s="20" t="s">
        <v>813</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1076</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811</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1106</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1110</v>
      </c>
      <c r="B912" s="27" t="s">
        <v>733</v>
      </c>
      <c r="C912" s="27" t="s">
        <v>792</v>
      </c>
      <c r="D912" s="27" t="s">
        <v>740</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1067</v>
      </c>
      <c r="B913" s="27" t="s">
        <v>728</v>
      </c>
      <c r="C913" s="27" t="s">
        <v>908</v>
      </c>
      <c r="D913" s="27" t="s">
        <v>740</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999</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1020</v>
      </c>
      <c r="B915" s="27" t="s">
        <v>756</v>
      </c>
      <c r="C915" s="27" t="s">
        <v>775</v>
      </c>
      <c r="D915" s="27" t="s">
        <v>740</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753</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736</v>
      </c>
      <c r="B917" s="27" t="s">
        <v>728</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817</v>
      </c>
      <c r="B918" s="27" t="s">
        <v>738</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845</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1072</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1126</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1069</v>
      </c>
      <c r="B922" s="27" t="s">
        <v>756</v>
      </c>
      <c r="C922" s="27" t="s">
        <v>848</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845</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818</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829</v>
      </c>
      <c r="B925" s="27" t="s">
        <v>756</v>
      </c>
      <c r="C925" s="27" t="s">
        <v>739</v>
      </c>
      <c r="D925" s="27" t="s">
        <v>740</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1009</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840</v>
      </c>
      <c r="B927" s="27" t="s">
        <v>756</v>
      </c>
      <c r="C927" s="27" t="s">
        <v>734</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1127</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746</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row>
    <row r="931" spans="1:12">
      <c r="A931" s="20" t="s">
        <v>1128</v>
      </c>
    </row>
    <row r="932" spans="1:12">
      <c r="A932" s="20" t="s">
        <v>952</v>
      </c>
      <c r="B932" s="27" t="s">
        <v>728</v>
      </c>
      <c r="C932" s="27" t="s">
        <v>749</v>
      </c>
      <c r="D932" s="27" t="s">
        <v>740</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934</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753</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1106</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750</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832</v>
      </c>
      <c r="B937" s="27" t="s">
        <v>771</v>
      </c>
      <c r="C937" s="27" t="s">
        <v>749</v>
      </c>
      <c r="D937" s="27" t="s">
        <v>740</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1129</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797</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1130</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938</v>
      </c>
      <c r="B941" s="27" t="s">
        <v>756</v>
      </c>
      <c r="C941" s="27" t="s">
        <v>744</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753</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736</v>
      </c>
      <c r="B943" s="27" t="s">
        <v>795</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817</v>
      </c>
      <c r="B944" s="27" t="s">
        <v>764</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920</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783</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1131</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1132</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845</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1133</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924</v>
      </c>
      <c r="B951" s="27" t="s">
        <v>777</v>
      </c>
      <c r="C951" s="27" t="s">
        <v>744</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753</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791</v>
      </c>
      <c r="B953" s="27" t="s">
        <v>1024</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1134</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1135</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746</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row>
    <row r="958" spans="1:12">
      <c r="A958" s="20" t="s">
        <v>1136</v>
      </c>
    </row>
    <row r="959" spans="1:12">
      <c r="A959" s="20" t="s">
        <v>952</v>
      </c>
      <c r="B959" s="27" t="s">
        <v>728</v>
      </c>
      <c r="C959" s="27" t="s">
        <v>749</v>
      </c>
      <c r="D959" s="27" t="s">
        <v>740</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1137</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1138</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1139</v>
      </c>
      <c r="B962" s="27" t="s">
        <v>733</v>
      </c>
      <c r="C962" s="27" t="s">
        <v>792</v>
      </c>
      <c r="D962" s="27" t="s">
        <v>740</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1140</v>
      </c>
      <c r="B963" s="27" t="s">
        <v>738</v>
      </c>
      <c r="C963" s="27" t="s">
        <v>908</v>
      </c>
      <c r="D963" s="27" t="s">
        <v>740</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753</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860</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832</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991</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1141</v>
      </c>
      <c r="B968" s="27" t="s">
        <v>733</v>
      </c>
      <c r="C968" s="27" t="s">
        <v>734</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1142</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1143</v>
      </c>
      <c r="B970" s="27" t="s">
        <v>771</v>
      </c>
      <c r="C970" s="27" t="s">
        <v>780</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999</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840</v>
      </c>
      <c r="B972" s="27" t="s">
        <v>777</v>
      </c>
      <c r="C972" s="27" t="s">
        <v>734</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1144</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746</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row>
    <row r="976" spans="1:12">
      <c r="A976" s="20" t="s">
        <v>1145</v>
      </c>
    </row>
    <row r="977" spans="1:12">
      <c r="A977" s="20" t="s">
        <v>1040</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1144</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1146</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1147</v>
      </c>
      <c r="B980" s="27" t="s">
        <v>728</v>
      </c>
      <c r="C980" s="27" t="s">
        <v>734</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753</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736</v>
      </c>
      <c r="B982" s="27" t="s">
        <v>795</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1148</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999</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183</v>
      </c>
      <c r="B985" s="27" t="s">
        <v>777</v>
      </c>
      <c r="C985" s="27" t="s">
        <v>734</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1149</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928</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914</v>
      </c>
      <c r="B988" s="27" t="s">
        <v>787</v>
      </c>
      <c r="C988" s="27" t="s">
        <v>848</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1150</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37</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746</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row>
    <row r="993" spans="1:12">
      <c r="A993" s="20" t="s">
        <v>1151</v>
      </c>
    </row>
    <row r="994" spans="1:12">
      <c r="A994" s="20" t="s">
        <v>801</v>
      </c>
      <c r="B994" s="27" t="s">
        <v>728</v>
      </c>
      <c r="C994" s="27" t="s">
        <v>775</v>
      </c>
      <c r="D994" s="27" t="s">
        <v>740</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984</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1152</v>
      </c>
      <c r="B996" s="27" t="s">
        <v>756</v>
      </c>
      <c r="C996" s="27" t="s">
        <v>734</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830</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1153</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1154</v>
      </c>
      <c r="B999" s="27" t="s">
        <v>756</v>
      </c>
      <c r="C999" s="27" t="s">
        <v>734</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753</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1155</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1156</v>
      </c>
      <c r="B1002" s="27" t="s">
        <v>733</v>
      </c>
      <c r="C1002" s="27" t="s">
        <v>734</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753</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1157</v>
      </c>
      <c r="B1004" s="27" t="s">
        <v>733</v>
      </c>
      <c r="C1004" s="27" t="s">
        <v>734</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788</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1158</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1159</v>
      </c>
      <c r="B1007" s="27" t="s">
        <v>733</v>
      </c>
      <c r="C1007" s="27" t="s">
        <v>734</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746</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row>
    <row r="1010" spans="1:12">
      <c r="A1010" s="20" t="s">
        <v>1160</v>
      </c>
    </row>
    <row r="1011" spans="1:12">
      <c r="A1011" s="20" t="s">
        <v>1152</v>
      </c>
      <c r="B1011" s="27" t="s">
        <v>756</v>
      </c>
      <c r="C1011" s="27" t="s">
        <v>734</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753</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736</v>
      </c>
      <c r="B1013" s="27" t="s">
        <v>771</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748</v>
      </c>
      <c r="B1014" s="27" t="s">
        <v>771</v>
      </c>
      <c r="C1014" s="27" t="s">
        <v>749</v>
      </c>
      <c r="D1014" s="27" t="s">
        <v>740</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845</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1161</v>
      </c>
      <c r="B1016" s="27" t="s">
        <v>777</v>
      </c>
      <c r="C1016" s="27" t="s">
        <v>828</v>
      </c>
      <c r="D1016" s="27" t="s">
        <v>740</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183</v>
      </c>
      <c r="B1017" s="27" t="s">
        <v>733</v>
      </c>
      <c r="C1017" s="27" t="s">
        <v>734</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788</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1162</v>
      </c>
      <c r="B1019" s="27" t="s">
        <v>777</v>
      </c>
      <c r="C1019" s="27" t="s">
        <v>734</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1163</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87</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746</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row>
    <row r="1024" spans="1:12">
      <c r="A1024" s="20" t="s">
        <v>1164</v>
      </c>
    </row>
    <row r="1025" spans="1:12">
      <c r="A1025" s="20" t="s">
        <v>813</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1165</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1166</v>
      </c>
      <c r="B1027" s="27" t="s">
        <v>771</v>
      </c>
      <c r="C1027" s="27" t="s">
        <v>772</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1167</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1168</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1078</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982</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753</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1169</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1170</v>
      </c>
      <c r="B1034" s="27" t="s">
        <v>728</v>
      </c>
      <c r="C1034" s="27" t="s">
        <v>772</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991</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818</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1111</v>
      </c>
      <c r="B1037" s="27" t="s">
        <v>756</v>
      </c>
      <c r="C1037" s="27" t="s">
        <v>739</v>
      </c>
      <c r="D1037" s="27" t="s">
        <v>740</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919</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753</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774</v>
      </c>
      <c r="B1040" s="27" t="s">
        <v>779</v>
      </c>
      <c r="C1040" s="27" t="s">
        <v>775</v>
      </c>
      <c r="D1040" s="27" t="s">
        <v>740</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765</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422</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746</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row>
    <row r="1045" spans="1:12">
      <c r="A1045" s="20" t="s">
        <v>1171</v>
      </c>
    </row>
    <row r="1046" spans="1:12">
      <c r="A1046" s="20" t="s">
        <v>1172</v>
      </c>
      <c r="B1046" s="27" t="s">
        <v>728</v>
      </c>
      <c r="C1046" s="27" t="s">
        <v>772</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1173</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217</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753</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860</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832</v>
      </c>
      <c r="B1051" s="27" t="s">
        <v>771</v>
      </c>
      <c r="C1051" s="27" t="s">
        <v>749</v>
      </c>
      <c r="D1051" s="27" t="s">
        <v>740</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991</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883</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1174</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1175</v>
      </c>
      <c r="B1055" s="27" t="s">
        <v>733</v>
      </c>
      <c r="C1055" s="27" t="s">
        <v>804</v>
      </c>
      <c r="D1055" s="27" t="s">
        <v>740</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1176</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750</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759</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788</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791</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1177</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856</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1178</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1179</v>
      </c>
      <c r="B1064" s="27" t="s">
        <v>771</v>
      </c>
      <c r="C1064" s="27" t="s">
        <v>739</v>
      </c>
      <c r="D1064" s="27" t="s">
        <v>740</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759</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1180</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765</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1078</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746</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row>
    <row r="1071" spans="1:12">
      <c r="A1071" s="20" t="s">
        <v>1181</v>
      </c>
    </row>
    <row r="1072" spans="1:12">
      <c r="A1072" s="20" t="s">
        <v>813</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1182</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1169</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1183</v>
      </c>
      <c r="B1075" s="27" t="s">
        <v>771</v>
      </c>
      <c r="C1075" s="27" t="s">
        <v>772</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1184</v>
      </c>
      <c r="B1076" s="27" t="s">
        <v>779</v>
      </c>
      <c r="C1076" s="27" t="s">
        <v>772</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887</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765</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1185</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753</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860</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736</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1186</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1187</v>
      </c>
      <c r="B1084" s="27" t="s">
        <v>771</v>
      </c>
      <c r="C1084" s="27" t="s">
        <v>739</v>
      </c>
      <c r="D1084" s="27" t="s">
        <v>740</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999</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1162</v>
      </c>
      <c r="B1086" s="27" t="s">
        <v>777</v>
      </c>
      <c r="C1086" s="27" t="s">
        <v>734</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1188</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1189</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1056</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1190</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183</v>
      </c>
      <c r="B1091" s="27" t="s">
        <v>787</v>
      </c>
      <c r="C1091" s="27" t="s">
        <v>734</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845</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1191</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1192</v>
      </c>
      <c r="B1094" s="27" t="s">
        <v>733</v>
      </c>
      <c r="C1094" s="27" t="s">
        <v>734</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788</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1193</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1194</v>
      </c>
      <c r="B1097" s="27" t="s">
        <v>777</v>
      </c>
      <c r="C1097" s="27" t="s">
        <v>734</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955</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736</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1102</v>
      </c>
      <c r="B1100" s="27" t="s">
        <v>777</v>
      </c>
      <c r="C1100" s="27" t="s">
        <v>739</v>
      </c>
      <c r="D1100" s="27" t="s">
        <v>740</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1195</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746</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row>
    <row r="1104" spans="1:12">
      <c r="A1104" s="20" t="s">
        <v>1196</v>
      </c>
    </row>
    <row r="1105" spans="1:12">
      <c r="A1105" s="20" t="s">
        <v>1065</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1144</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832</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736</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1088</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1147</v>
      </c>
      <c r="B1110" s="27" t="s">
        <v>728</v>
      </c>
      <c r="C1110" s="27" t="s">
        <v>1197</v>
      </c>
      <c r="D1110" s="27" t="s">
        <v>740</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753</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736</v>
      </c>
      <c r="B1112" s="27" t="s">
        <v>771</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1170</v>
      </c>
      <c r="B1113" s="27" t="s">
        <v>771</v>
      </c>
      <c r="C1113" s="27" t="s">
        <v>772</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991</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762</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1198</v>
      </c>
      <c r="B1116" s="27" t="s">
        <v>733</v>
      </c>
      <c r="C1116" s="27" t="s">
        <v>739</v>
      </c>
      <c r="D1116" s="27" t="s">
        <v>740</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845</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1199</v>
      </c>
      <c r="B1118" s="27" t="s">
        <v>777</v>
      </c>
      <c r="C1118" s="27" t="s">
        <v>734</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1200</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746</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row>
    <row r="1122" spans="1:12">
      <c r="A1122" s="20" t="s">
        <v>1201</v>
      </c>
    </row>
    <row r="1123" spans="1:12">
      <c r="A1123" s="20" t="s">
        <v>978</v>
      </c>
      <c r="B1123" s="27" t="s">
        <v>756</v>
      </c>
      <c r="C1123" s="27" t="s">
        <v>792</v>
      </c>
      <c r="D1123" s="27" t="s">
        <v>740</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227</v>
      </c>
      <c r="B1124" s="27" t="s">
        <v>756</v>
      </c>
      <c r="C1124" s="27" t="s">
        <v>908</v>
      </c>
      <c r="D1124" s="27" t="s">
        <v>740</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807</v>
      </c>
      <c r="B1125" s="27" t="s">
        <v>728</v>
      </c>
      <c r="C1125" s="27" t="s">
        <v>749</v>
      </c>
      <c r="D1125" s="27" t="s">
        <v>740</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783</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1202</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1147</v>
      </c>
      <c r="B1128" s="27" t="s">
        <v>756</v>
      </c>
      <c r="C1128" s="27" t="s">
        <v>734</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753</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1203</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818</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1204</v>
      </c>
      <c r="B1132" s="27" t="s">
        <v>771</v>
      </c>
      <c r="C1132" s="27" t="s">
        <v>739</v>
      </c>
      <c r="D1132" s="27" t="s">
        <v>740</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765</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1199</v>
      </c>
      <c r="B1134" s="27" t="s">
        <v>777</v>
      </c>
      <c r="C1134" s="27" t="s">
        <v>734</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735</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741</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1202</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1205</v>
      </c>
      <c r="B1138" s="27" t="s">
        <v>779</v>
      </c>
      <c r="C1138" s="27" t="s">
        <v>744</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745</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746</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row>
    <row r="1142" spans="1:12">
      <c r="A1142" s="20" t="s">
        <v>1206</v>
      </c>
    </row>
    <row r="1143" spans="1:12">
      <c r="A1143" s="20" t="s">
        <v>801</v>
      </c>
      <c r="B1143" s="27" t="s">
        <v>728</v>
      </c>
      <c r="C1143" s="27" t="s">
        <v>775</v>
      </c>
      <c r="D1143" s="27" t="s">
        <v>740</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984</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1147</v>
      </c>
      <c r="B1145" s="27" t="s">
        <v>756</v>
      </c>
      <c r="C1145" s="27" t="s">
        <v>734</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753</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736</v>
      </c>
      <c r="B1147" s="27" t="s">
        <v>771</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1161</v>
      </c>
      <c r="B1148" s="27" t="s">
        <v>777</v>
      </c>
      <c r="C1148" s="27" t="s">
        <v>828</v>
      </c>
      <c r="D1148" s="27" t="s">
        <v>740</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183</v>
      </c>
      <c r="B1149" s="27" t="s">
        <v>779</v>
      </c>
      <c r="C1149" s="27" t="s">
        <v>734</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1207</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984</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788</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736</v>
      </c>
      <c r="B1153" s="27" t="s">
        <v>764</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1170</v>
      </c>
      <c r="B1154" s="27" t="s">
        <v>795</v>
      </c>
      <c r="C1154" s="27" t="s">
        <v>772</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989</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920</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991</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762</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1198</v>
      </c>
      <c r="B1159" s="27" t="s">
        <v>777</v>
      </c>
      <c r="C1159" s="27" t="s">
        <v>739</v>
      </c>
      <c r="D1159" s="27" t="s">
        <v>740</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845</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1199</v>
      </c>
      <c r="B1161" s="27" t="s">
        <v>787</v>
      </c>
      <c r="C1161" s="27" t="s">
        <v>734</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179</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1208</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746</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row>
    <row r="1166" spans="1:12">
      <c r="A1166" s="20" t="s">
        <v>1209</v>
      </c>
    </row>
    <row r="1167" spans="1:12">
      <c r="A1167" s="20" t="s">
        <v>813</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1110</v>
      </c>
      <c r="B1168" s="27" t="s">
        <v>777</v>
      </c>
      <c r="C1168" s="27" t="s">
        <v>792</v>
      </c>
      <c r="D1168" s="27" t="s">
        <v>740</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1147</v>
      </c>
      <c r="B1169" s="27" t="s">
        <v>779</v>
      </c>
      <c r="C1169" s="27" t="s">
        <v>908</v>
      </c>
      <c r="D1169" s="27" t="s">
        <v>740</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753</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1110</v>
      </c>
      <c r="B1171" s="27" t="s">
        <v>787</v>
      </c>
      <c r="C1171" s="27" t="s">
        <v>792</v>
      </c>
      <c r="D1171" s="27" t="s">
        <v>740</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1210</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1147</v>
      </c>
      <c r="B1173" s="27" t="s">
        <v>777</v>
      </c>
      <c r="C1173" s="27" t="s">
        <v>908</v>
      </c>
      <c r="D1173" s="27" t="s">
        <v>740</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753</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87</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980</v>
      </c>
      <c r="B1176" s="27" t="s">
        <v>771</v>
      </c>
      <c r="C1176" s="27" t="s">
        <v>734</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1211</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1212</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765</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422</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1169</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746</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row>
    <row r="1184" spans="1:12">
      <c r="A1184" s="20" t="s">
        <v>1213</v>
      </c>
    </row>
    <row r="1185" spans="1:12">
      <c r="A1185" s="20" t="s">
        <v>952</v>
      </c>
      <c r="B1185" s="27" t="s">
        <v>728</v>
      </c>
      <c r="C1185" s="27" t="s">
        <v>749</v>
      </c>
      <c r="D1185" s="27" t="s">
        <v>740</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869</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1138</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238</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753</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830</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818</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1214</v>
      </c>
      <c r="B1192" s="27" t="s">
        <v>733</v>
      </c>
      <c r="C1192" s="27" t="s">
        <v>739</v>
      </c>
      <c r="D1192" s="27" t="s">
        <v>740</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1215</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753</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845</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762</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832</v>
      </c>
      <c r="B1197" s="27" t="s">
        <v>771</v>
      </c>
      <c r="C1197" s="27" t="s">
        <v>749</v>
      </c>
      <c r="D1197" s="27" t="s">
        <v>740</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1216</v>
      </c>
      <c r="B1198" s="27" t="s">
        <v>779</v>
      </c>
      <c r="C1198" s="27" t="s">
        <v>734</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753</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736</v>
      </c>
      <c r="B1200" s="27" t="s">
        <v>935</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1217</v>
      </c>
      <c r="B1201" s="27" t="s">
        <v>1027</v>
      </c>
      <c r="C1201" s="27" t="s">
        <v>775</v>
      </c>
      <c r="D1201" s="27" t="s">
        <v>740</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1147</v>
      </c>
      <c r="B1202" s="27" t="s">
        <v>1037</v>
      </c>
      <c r="C1202" s="27" t="s">
        <v>792</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1218</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753</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1219</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753</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817</v>
      </c>
      <c r="B1207" s="27" t="s">
        <v>764</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845</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1220</v>
      </c>
      <c r="B1209" s="27" t="s">
        <v>777</v>
      </c>
      <c r="C1209" s="27" t="s">
        <v>749</v>
      </c>
      <c r="D1209" s="27" t="s">
        <v>740</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765</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1221</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746</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row>
    <row r="1214" spans="1:12">
      <c r="A1214" s="20" t="s">
        <v>1222</v>
      </c>
    </row>
    <row r="1215" spans="1:12">
      <c r="A1215" s="20" t="s">
        <v>813</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832</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1059</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753</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860</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832</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808</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1223</v>
      </c>
      <c r="B1222" s="27" t="s">
        <v>771</v>
      </c>
      <c r="C1222" s="27" t="s">
        <v>780</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818</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1224</v>
      </c>
      <c r="B1224" s="27" t="s">
        <v>777</v>
      </c>
      <c r="C1224" s="27" t="s">
        <v>739</v>
      </c>
      <c r="D1224" s="27" t="s">
        <v>740</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1144</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753</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736</v>
      </c>
      <c r="B1227" s="27" t="s">
        <v>771</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1087</v>
      </c>
      <c r="B1228" s="27" t="s">
        <v>733</v>
      </c>
      <c r="C1228" s="27" t="s">
        <v>772</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765</v>
      </c>
      <c r="B1229" s="27" t="s">
        <v>777</v>
      </c>
      <c r="C1229" s="27" t="s">
        <v>772</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762</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1225</v>
      </c>
      <c r="B1231" s="27" t="s">
        <v>733</v>
      </c>
      <c r="C1231" s="27" t="s">
        <v>739</v>
      </c>
      <c r="D1231" s="27" t="s">
        <v>740</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551</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1226</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746</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row>
    <row r="1236" spans="1:12">
      <c r="A1236" s="20" t="s">
        <v>1227</v>
      </c>
    </row>
    <row r="1237" spans="1:12">
      <c r="A1237" s="20" t="s">
        <v>1228</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811</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736</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1229</v>
      </c>
      <c r="B1240" s="27" t="s">
        <v>756</v>
      </c>
      <c r="C1240" s="27" t="s">
        <v>739</v>
      </c>
      <c r="D1240" s="27" t="s">
        <v>740</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753</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736</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1224</v>
      </c>
      <c r="B1243" s="27" t="s">
        <v>756</v>
      </c>
      <c r="C1243" s="27" t="s">
        <v>739</v>
      </c>
      <c r="D1243" s="27" t="s">
        <v>740</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818</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938</v>
      </c>
      <c r="B1245" s="27" t="s">
        <v>733</v>
      </c>
      <c r="C1245" s="27" t="s">
        <v>739</v>
      </c>
      <c r="D1245" s="27" t="s">
        <v>740</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788</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736</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1230</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1224</v>
      </c>
      <c r="B1249" s="27" t="s">
        <v>733</v>
      </c>
      <c r="C1249" s="27" t="s">
        <v>739</v>
      </c>
      <c r="D1249" s="27" t="s">
        <v>740</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746</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row>
    <row r="1252" spans="1:12">
      <c r="A1252" s="20" t="s">
        <v>1231</v>
      </c>
    </row>
    <row r="1253" spans="1:12">
      <c r="A1253" s="20" t="s">
        <v>813</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736</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808</v>
      </c>
      <c r="B1255" s="27" t="s">
        <v>728</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249</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817</v>
      </c>
      <c r="B1257" s="27" t="s">
        <v>738</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919</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897</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746</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row>
    <row r="1262" spans="1:12">
      <c r="A1262" s="20" t="s">
        <v>1232</v>
      </c>
    </row>
    <row r="1263" spans="1:12">
      <c r="A1263" s="20" t="s">
        <v>1233</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750</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832</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833</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753</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860</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736</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1234</v>
      </c>
      <c r="B1270" s="27" t="s">
        <v>771</v>
      </c>
      <c r="C1270" s="27" t="s">
        <v>739</v>
      </c>
      <c r="D1270" s="27" t="s">
        <v>740</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1235</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1236</v>
      </c>
      <c r="B1272" s="27" t="s">
        <v>756</v>
      </c>
      <c r="C1272" s="27" t="s">
        <v>734</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984</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753</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1237</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774</v>
      </c>
      <c r="B1276" s="27" t="s">
        <v>728</v>
      </c>
      <c r="C1276" s="27" t="s">
        <v>775</v>
      </c>
      <c r="D1276" s="27" t="s">
        <v>740</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791</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1238</v>
      </c>
      <c r="B1278" s="27" t="s">
        <v>738</v>
      </c>
      <c r="C1278" s="27" t="s">
        <v>739</v>
      </c>
      <c r="D1278" s="27" t="s">
        <v>740</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87</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753</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860</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928</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183</v>
      </c>
      <c r="B1283" s="27" t="s">
        <v>771</v>
      </c>
      <c r="C1283" s="27" t="s">
        <v>848</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774</v>
      </c>
      <c r="B1284" s="27" t="s">
        <v>771</v>
      </c>
      <c r="C1284" s="27" t="s">
        <v>775</v>
      </c>
      <c r="D1284" s="27" t="s">
        <v>740</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919</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1239</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753</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1240</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750</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832</v>
      </c>
      <c r="B1290" s="27" t="s">
        <v>795</v>
      </c>
      <c r="C1290" s="27" t="s">
        <v>749</v>
      </c>
      <c r="D1290" s="27" t="s">
        <v>740</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991</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1241</v>
      </c>
      <c r="B1292" s="27" t="s">
        <v>777</v>
      </c>
      <c r="C1292" s="27" t="s">
        <v>734</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790</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833</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753</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860</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928</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183</v>
      </c>
      <c r="B1298" s="27" t="s">
        <v>795</v>
      </c>
      <c r="C1298" s="27" t="s">
        <v>848</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774</v>
      </c>
      <c r="B1299" s="27" t="s">
        <v>764</v>
      </c>
      <c r="C1299" s="27" t="s">
        <v>775</v>
      </c>
      <c r="D1299" s="27" t="s">
        <v>740</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919</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623</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746</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row>
    <row r="1304" spans="1:12">
      <c r="A1304" s="20" t="s">
        <v>1242</v>
      </c>
    </row>
    <row r="1305" spans="1:12">
      <c r="A1305" s="20" t="s">
        <v>911</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750</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1036</v>
      </c>
      <c r="B1307" s="27" t="s">
        <v>728</v>
      </c>
      <c r="C1307" s="27" t="s">
        <v>772</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753</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791</v>
      </c>
      <c r="B1309" s="27" t="s">
        <v>795</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991</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762</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1243</v>
      </c>
      <c r="B1312" s="27" t="s">
        <v>777</v>
      </c>
      <c r="C1312" s="27" t="s">
        <v>739</v>
      </c>
      <c r="D1312" s="27" t="s">
        <v>740</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1244</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991</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818</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1245</v>
      </c>
      <c r="B1316" s="27" t="s">
        <v>777</v>
      </c>
      <c r="C1316" s="27" t="s">
        <v>739</v>
      </c>
      <c r="D1316" s="27" t="s">
        <v>740</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1246</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183</v>
      </c>
      <c r="B1318" s="27" t="s">
        <v>787</v>
      </c>
      <c r="C1318" s="27" t="s">
        <v>734</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788</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924</v>
      </c>
      <c r="B1320" s="27" t="s">
        <v>1027</v>
      </c>
      <c r="C1320" s="27" t="s">
        <v>734</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1247</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746</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row>
    <row r="1324" spans="1:12">
      <c r="A1324" s="20" t="s">
        <v>1248</v>
      </c>
    </row>
    <row r="1325" spans="1:12">
      <c r="A1325" s="20" t="s">
        <v>880</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1224</v>
      </c>
      <c r="B1326" s="27" t="s">
        <v>756</v>
      </c>
      <c r="C1326" s="27" t="s">
        <v>780</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750</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1036</v>
      </c>
      <c r="B1328" s="27" t="s">
        <v>728</v>
      </c>
      <c r="C1328" s="27" t="s">
        <v>772</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753</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791</v>
      </c>
      <c r="B1330" s="27" t="s">
        <v>795</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1249</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1250</v>
      </c>
      <c r="B1332" s="27" t="s">
        <v>764</v>
      </c>
      <c r="C1332" s="27" t="s">
        <v>848</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1251</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746</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row>
    <row r="1336" spans="1:12">
      <c r="A1336" s="20" t="s">
        <v>1252</v>
      </c>
    </row>
    <row r="1337" spans="1:12">
      <c r="A1337" s="20" t="s">
        <v>1040</v>
      </c>
      <c r="B1337" s="27" t="s">
        <v>728</v>
      </c>
      <c r="C1337" s="27" t="s">
        <v>749</v>
      </c>
      <c r="D1337" s="27" t="s">
        <v>740</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1251</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897</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1250</v>
      </c>
      <c r="B1340" s="27" t="s">
        <v>738</v>
      </c>
      <c r="C1340" s="27" t="s">
        <v>734</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746</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row>
    <row r="1343" spans="1:12">
      <c r="A1343" s="20" t="s">
        <v>1253</v>
      </c>
    </row>
    <row r="1344" spans="1:12">
      <c r="A1344" s="20" t="s">
        <v>1254</v>
      </c>
      <c r="B1344" s="27" t="s">
        <v>728</v>
      </c>
      <c r="C1344" s="27" t="s">
        <v>772</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818</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1126</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1255</v>
      </c>
      <c r="B1347" s="27" t="s">
        <v>733</v>
      </c>
      <c r="C1347" s="27" t="s">
        <v>739</v>
      </c>
      <c r="D1347" s="27" t="s">
        <v>740</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753</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736</v>
      </c>
      <c r="B1349" s="27" t="s">
        <v>764</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807</v>
      </c>
      <c r="B1350" s="27" t="s">
        <v>795</v>
      </c>
      <c r="C1350" s="27" t="s">
        <v>749</v>
      </c>
      <c r="D1350" s="27" t="s">
        <v>740</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1256</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753</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811</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1257</v>
      </c>
      <c r="B1354" s="27" t="s">
        <v>756</v>
      </c>
      <c r="C1354" s="27" t="s">
        <v>804</v>
      </c>
      <c r="D1354" s="27" t="s">
        <v>740</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1258</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746</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row>
    <row r="1358" spans="1:12">
      <c r="A1358" s="20" t="s">
        <v>1259</v>
      </c>
    </row>
    <row r="1359" spans="1:12">
      <c r="A1359" s="20" t="s">
        <v>769</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1260</v>
      </c>
      <c r="B1360" s="27" t="s">
        <v>771</v>
      </c>
      <c r="C1360" s="27" t="s">
        <v>749</v>
      </c>
      <c r="D1360" s="27" t="s">
        <v>740</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1261</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839</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753</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839</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1262</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1263</v>
      </c>
      <c r="B1366" s="27" t="s">
        <v>738</v>
      </c>
      <c r="C1366" s="27" t="s">
        <v>848</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965</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1264</v>
      </c>
      <c r="B1368" s="27" t="s">
        <v>756</v>
      </c>
      <c r="C1368" s="27" t="s">
        <v>749</v>
      </c>
      <c r="D1368" s="27" t="s">
        <v>740</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1265</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753</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751</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1266</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1267</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1268</v>
      </c>
      <c r="B1374" s="27" t="s">
        <v>779</v>
      </c>
      <c r="C1374" s="27" t="s">
        <v>744</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753</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788</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736</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1269</v>
      </c>
      <c r="B1378" s="27" t="s">
        <v>935</v>
      </c>
      <c r="C1378" s="27" t="s">
        <v>739</v>
      </c>
      <c r="D1378" s="27" t="s">
        <v>740</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1029</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1270</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183</v>
      </c>
      <c r="B1381" s="27" t="s">
        <v>1037</v>
      </c>
      <c r="C1381" s="27" t="s">
        <v>848</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753</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1260</v>
      </c>
      <c r="B1383" s="27" t="s">
        <v>1024</v>
      </c>
      <c r="C1383" s="27" t="s">
        <v>749</v>
      </c>
      <c r="D1383" s="27" t="s">
        <v>740</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931</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1271</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42</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1056</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30</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1272</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753</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781</v>
      </c>
      <c r="B1391" s="27" t="s">
        <v>1051</v>
      </c>
      <c r="C1391" s="27" t="s">
        <v>775</v>
      </c>
      <c r="D1391" s="27" t="s">
        <v>740</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1273</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1274</v>
      </c>
      <c r="B1393" s="27" t="s">
        <v>1045</v>
      </c>
      <c r="C1393" s="27" t="s">
        <v>780</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197</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753</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788</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774</v>
      </c>
      <c r="B1397" s="27" t="s">
        <v>771</v>
      </c>
      <c r="C1397" s="27" t="s">
        <v>775</v>
      </c>
      <c r="D1397" s="27" t="s">
        <v>740</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937</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919</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1275</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1276</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746</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row>
    <row r="1404" spans="1:12">
      <c r="A1404" s="20" t="s">
        <v>1277</v>
      </c>
    </row>
    <row r="1405" spans="1:12">
      <c r="A1405" s="20" t="s">
        <v>1172</v>
      </c>
      <c r="B1405" s="27" t="s">
        <v>728</v>
      </c>
      <c r="C1405" s="27" t="s">
        <v>772</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1278</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1220</v>
      </c>
      <c r="B1407" s="27" t="s">
        <v>738</v>
      </c>
      <c r="C1407" s="27" t="s">
        <v>749</v>
      </c>
      <c r="D1407" s="27" t="s">
        <v>740</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753</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1279</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1280</v>
      </c>
      <c r="B1410" s="27" t="s">
        <v>779</v>
      </c>
      <c r="C1410" s="27" t="s">
        <v>848</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991</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762</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1281</v>
      </c>
      <c r="B1413" s="27" t="s">
        <v>733</v>
      </c>
      <c r="C1413" s="27" t="s">
        <v>739</v>
      </c>
      <c r="D1413" s="27" t="s">
        <v>740</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1282</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753</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1283</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1260</v>
      </c>
      <c r="B1417" s="27" t="s">
        <v>771</v>
      </c>
      <c r="C1417" s="27" t="s">
        <v>749</v>
      </c>
      <c r="D1417" s="27" t="s">
        <v>740</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1284</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991</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1285</v>
      </c>
      <c r="B1420" s="27" t="s">
        <v>733</v>
      </c>
      <c r="C1420" s="27" t="s">
        <v>734</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1286</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1287</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746</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row>
    <row r="1425" spans="1:12">
      <c r="A1425" s="20" t="s">
        <v>1288</v>
      </c>
    </row>
    <row r="1426" spans="1:12">
      <c r="A1426" s="20" t="s">
        <v>813</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1249</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847</v>
      </c>
      <c r="B1428" s="27" t="s">
        <v>728</v>
      </c>
      <c r="C1428" s="27" t="s">
        <v>848</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858</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753</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860</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774</v>
      </c>
      <c r="B1432" s="27" t="s">
        <v>771</v>
      </c>
      <c r="C1432" s="27" t="s">
        <v>775</v>
      </c>
      <c r="D1432" s="27" t="s">
        <v>740</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791</v>
      </c>
      <c r="B1433" s="27" t="s">
        <v>779</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919</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125</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931</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746</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row>
    <row r="1439" spans="1:12">
      <c r="A1439" s="20" t="s">
        <v>1289</v>
      </c>
    </row>
    <row r="1440" spans="1:12">
      <c r="A1440" s="20" t="s">
        <v>748</v>
      </c>
      <c r="B1440" s="27" t="s">
        <v>728</v>
      </c>
      <c r="C1440" s="27" t="s">
        <v>749</v>
      </c>
      <c r="D1440" s="27" t="s">
        <v>740</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925</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1279</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1280</v>
      </c>
      <c r="B1443" s="27" t="s">
        <v>738</v>
      </c>
      <c r="C1443" s="27" t="s">
        <v>848</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845</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1009</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1290</v>
      </c>
      <c r="B1446" s="27" t="s">
        <v>733</v>
      </c>
      <c r="C1446" s="27" t="s">
        <v>734</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746</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row>
    <row r="1449" spans="1:12">
      <c r="A1449" s="20" t="s">
        <v>1291</v>
      </c>
    </row>
    <row r="1450" spans="1:12">
      <c r="A1450" s="20" t="s">
        <v>813</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1165</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774</v>
      </c>
      <c r="B1452" s="27" t="s">
        <v>771</v>
      </c>
      <c r="C1452" s="27" t="s">
        <v>775</v>
      </c>
      <c r="D1452" s="27" t="s">
        <v>740</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729</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1292</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1056</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1293</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732</v>
      </c>
      <c r="B1457" s="27" t="s">
        <v>733</v>
      </c>
      <c r="C1457" s="27" t="s">
        <v>734</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919</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1266</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1294</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811</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753</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1295</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774</v>
      </c>
      <c r="B1464" s="27" t="s">
        <v>728</v>
      </c>
      <c r="C1464" s="27" t="s">
        <v>775</v>
      </c>
      <c r="D1464" s="27" t="s">
        <v>740</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883</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1296</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1297</v>
      </c>
      <c r="B1467" s="27" t="s">
        <v>738</v>
      </c>
      <c r="C1467" s="27" t="s">
        <v>739</v>
      </c>
      <c r="D1467" s="27" t="s">
        <v>740</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991</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762</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1298</v>
      </c>
      <c r="B1470" s="27" t="s">
        <v>733</v>
      </c>
      <c r="C1470" s="27" t="s">
        <v>739</v>
      </c>
      <c r="D1470" s="27" t="s">
        <v>740</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757</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736</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1299</v>
      </c>
      <c r="B1473" s="27" t="s">
        <v>756</v>
      </c>
      <c r="C1473" s="27" t="s">
        <v>739</v>
      </c>
      <c r="D1473" s="27" t="s">
        <v>740</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999</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1300</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1263</v>
      </c>
      <c r="B1476" s="27" t="s">
        <v>733</v>
      </c>
      <c r="C1476" s="27" t="s">
        <v>734</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753</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788</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1301</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1302</v>
      </c>
      <c r="B1480" s="27" t="s">
        <v>771</v>
      </c>
      <c r="C1480" s="27" t="s">
        <v>749</v>
      </c>
      <c r="D1480" s="27" t="s">
        <v>740</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991</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1249</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1303</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1304</v>
      </c>
      <c r="B1484" s="27" t="s">
        <v>756</v>
      </c>
      <c r="C1484" s="27" t="s">
        <v>848</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746</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row>
    <row r="1487" spans="1:12">
      <c r="A1487" s="20" t="s">
        <v>1305</v>
      </c>
    </row>
    <row r="1488" spans="1:12">
      <c r="A1488" s="20" t="s">
        <v>1306</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762</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1307</v>
      </c>
      <c r="B1490" s="27" t="s">
        <v>756</v>
      </c>
      <c r="C1490" s="27" t="s">
        <v>739</v>
      </c>
      <c r="D1490" s="27" t="s">
        <v>740</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1308</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1309</v>
      </c>
      <c r="B1492" s="27" t="s">
        <v>733</v>
      </c>
      <c r="C1492" s="27" t="s">
        <v>848</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1073</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1260</v>
      </c>
      <c r="B1494" s="27" t="s">
        <v>728</v>
      </c>
      <c r="C1494" s="27" t="s">
        <v>749</v>
      </c>
      <c r="D1494" s="27" t="s">
        <v>740</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817</v>
      </c>
      <c r="B1495" s="27" t="s">
        <v>738</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123</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1310</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1311</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1312</v>
      </c>
      <c r="B1499" s="27" t="s">
        <v>738</v>
      </c>
      <c r="C1499" s="27" t="s">
        <v>780</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1313</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746</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row>
    <row r="1503" spans="1:12">
      <c r="A1503" s="20" t="s">
        <v>1314</v>
      </c>
    </row>
    <row r="1504" spans="1:12">
      <c r="A1504" s="20" t="s">
        <v>813</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1260</v>
      </c>
      <c r="B1505" s="27" t="s">
        <v>728</v>
      </c>
      <c r="C1505" s="27" t="s">
        <v>749</v>
      </c>
      <c r="D1505" s="27" t="s">
        <v>740</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1315</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1110</v>
      </c>
      <c r="B1507" s="27" t="s">
        <v>733</v>
      </c>
      <c r="C1507" s="27" t="s">
        <v>792</v>
      </c>
      <c r="D1507" s="27" t="s">
        <v>740</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1316</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1250</v>
      </c>
      <c r="B1509" s="27" t="s">
        <v>738</v>
      </c>
      <c r="C1509" s="27" t="s">
        <v>908</v>
      </c>
      <c r="D1509" s="27" t="s">
        <v>740</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1317</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991</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762</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1281</v>
      </c>
      <c r="B1513" s="27" t="s">
        <v>756</v>
      </c>
      <c r="C1513" s="27" t="s">
        <v>739</v>
      </c>
      <c r="D1513" s="27" t="s">
        <v>740</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753</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1318</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1260</v>
      </c>
      <c r="B1516" s="27" t="s">
        <v>771</v>
      </c>
      <c r="C1516" s="27" t="s">
        <v>749</v>
      </c>
      <c r="D1516" s="27" t="s">
        <v>740</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817</v>
      </c>
      <c r="B1517" s="27" t="s">
        <v>779</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1139</v>
      </c>
      <c r="B1518" s="27" t="s">
        <v>777</v>
      </c>
      <c r="C1518" s="27" t="s">
        <v>792</v>
      </c>
      <c r="D1518" s="27" t="s">
        <v>740</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1319</v>
      </c>
      <c r="B1519" s="27" t="s">
        <v>771</v>
      </c>
      <c r="C1519" s="27" t="s">
        <v>908</v>
      </c>
      <c r="D1519" s="27" t="s">
        <v>740</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1320</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753</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1321</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1322</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1260</v>
      </c>
      <c r="B1524" s="27" t="s">
        <v>795</v>
      </c>
      <c r="C1524" s="27" t="s">
        <v>749</v>
      </c>
      <c r="D1524" s="27" t="s">
        <v>740</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1323</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42</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1173</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746</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row>
    <row r="1530" spans="1:12">
      <c r="A1530" s="20" t="s">
        <v>1324</v>
      </c>
    </row>
    <row r="1531" spans="1:12">
      <c r="A1531" s="20" t="s">
        <v>1325</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1260</v>
      </c>
      <c r="B1532" s="27" t="s">
        <v>771</v>
      </c>
      <c r="C1532" s="27" t="s">
        <v>749</v>
      </c>
      <c r="D1532" s="27" t="s">
        <v>740</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1284</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811</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753</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1326</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774</v>
      </c>
      <c r="B1537" s="27" t="s">
        <v>728</v>
      </c>
      <c r="C1537" s="27" t="s">
        <v>775</v>
      </c>
      <c r="D1537" s="27" t="s">
        <v>740</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1327</v>
      </c>
      <c r="B1538" s="27" t="s">
        <v>738</v>
      </c>
      <c r="C1538" s="27" t="s">
        <v>734</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753</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1328</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1264</v>
      </c>
      <c r="B1541" s="27" t="s">
        <v>779</v>
      </c>
      <c r="C1541" s="27" t="s">
        <v>749</v>
      </c>
      <c r="D1541" s="27" t="s">
        <v>740</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965</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1270</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1329</v>
      </c>
      <c r="B1544" s="27" t="s">
        <v>733</v>
      </c>
      <c r="C1544" s="27" t="s">
        <v>848</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765</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442</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746</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row>
    <row r="1549" spans="1:12">
      <c r="A1549" s="20" t="s">
        <v>1330</v>
      </c>
    </row>
    <row r="1550" spans="1:12">
      <c r="A1550" s="20" t="s">
        <v>813</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1260</v>
      </c>
      <c r="B1551" s="27" t="s">
        <v>728</v>
      </c>
      <c r="C1551" s="27" t="s">
        <v>749</v>
      </c>
      <c r="D1551" s="27" t="s">
        <v>740</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1331</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1266</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1332</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753</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1237</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832</v>
      </c>
      <c r="B1557" s="27" t="s">
        <v>771</v>
      </c>
      <c r="C1557" s="27" t="s">
        <v>749</v>
      </c>
      <c r="D1557" s="27" t="s">
        <v>740</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1333</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919</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1334</v>
      </c>
      <c r="B1560" s="27" t="s">
        <v>764</v>
      </c>
      <c r="C1560" s="27" t="s">
        <v>775</v>
      </c>
      <c r="D1560" s="27" t="s">
        <v>740</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765</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125</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1038</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746</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row>
    <row r="1566" spans="1:12">
      <c r="A1566" s="20" t="s">
        <v>1335</v>
      </c>
    </row>
    <row r="1567" spans="1:12">
      <c r="A1567" s="20" t="s">
        <v>813</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1149</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762</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855</v>
      </c>
      <c r="B1570" s="27" t="s">
        <v>756</v>
      </c>
      <c r="C1570" s="27" t="s">
        <v>739</v>
      </c>
      <c r="D1570" s="27" t="s">
        <v>740</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1336</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1260</v>
      </c>
      <c r="B1572" s="27" t="s">
        <v>728</v>
      </c>
      <c r="C1572" s="27" t="s">
        <v>749</v>
      </c>
      <c r="D1572" s="27" t="s">
        <v>740</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832</v>
      </c>
      <c r="B1573" s="27" t="s">
        <v>738</v>
      </c>
      <c r="C1573" s="27" t="s">
        <v>749</v>
      </c>
      <c r="D1573" s="27" t="s">
        <v>740</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955</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751</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1337</v>
      </c>
      <c r="B1576" s="27" t="s">
        <v>756</v>
      </c>
      <c r="C1576" s="27" t="s">
        <v>744</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753</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791</v>
      </c>
      <c r="B1578" s="27" t="s">
        <v>795</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1183</v>
      </c>
      <c r="B1579" s="27" t="s">
        <v>777</v>
      </c>
      <c r="C1579" s="27" t="s">
        <v>772</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991</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1308</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938</v>
      </c>
      <c r="B1582" s="27" t="s">
        <v>777</v>
      </c>
      <c r="C1582" s="27" t="s">
        <v>848</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1338</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1339</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991</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1340</v>
      </c>
      <c r="B1586" s="27" t="s">
        <v>777</v>
      </c>
      <c r="C1586" s="27" t="s">
        <v>734</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1341</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947</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746</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row>
    <row r="1591" spans="1:12">
      <c r="A1591" s="20" t="s">
        <v>1342</v>
      </c>
    </row>
    <row r="1592" spans="1:12">
      <c r="A1592" s="20" t="s">
        <v>1343</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811</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1260</v>
      </c>
      <c r="B1594" s="27" t="s">
        <v>728</v>
      </c>
      <c r="C1594" s="27" t="s">
        <v>749</v>
      </c>
      <c r="D1594" s="27" t="s">
        <v>740</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818</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1344</v>
      </c>
      <c r="B1596" s="27" t="s">
        <v>756</v>
      </c>
      <c r="C1596" s="27" t="s">
        <v>739</v>
      </c>
      <c r="D1596" s="27" t="s">
        <v>740</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991</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1308</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938</v>
      </c>
      <c r="B1599" s="27" t="s">
        <v>756</v>
      </c>
      <c r="C1599" s="27" t="s">
        <v>848</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753</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818</v>
      </c>
      <c r="B1601" s="27" t="s">
        <v>795</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1149</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785</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1345</v>
      </c>
      <c r="B1604" s="27" t="s">
        <v>777</v>
      </c>
      <c r="C1604" s="27" t="s">
        <v>744</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1346</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753</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1012</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1260</v>
      </c>
      <c r="B1608" s="27" t="s">
        <v>935</v>
      </c>
      <c r="C1608" s="27" t="s">
        <v>749</v>
      </c>
      <c r="D1608" s="27" t="s">
        <v>740</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955</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762</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1347</v>
      </c>
      <c r="B1611" s="27" t="s">
        <v>787</v>
      </c>
      <c r="C1611" s="27" t="s">
        <v>739</v>
      </c>
      <c r="D1611" s="27" t="s">
        <v>740</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1348</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788</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751</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1349</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757</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1302</v>
      </c>
      <c r="B1617" s="27" t="s">
        <v>1051</v>
      </c>
      <c r="C1617" s="27" t="s">
        <v>749</v>
      </c>
      <c r="D1617" s="27" t="s">
        <v>740</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1350</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1351</v>
      </c>
      <c r="B1619" s="27" t="s">
        <v>1352</v>
      </c>
      <c r="C1619" s="27" t="s">
        <v>744</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1006</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753</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791</v>
      </c>
      <c r="B1622" s="27" t="s">
        <v>1024</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1353</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1354</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1355</v>
      </c>
      <c r="B1625" s="27" t="s">
        <v>1352</v>
      </c>
      <c r="C1625" s="27" t="s">
        <v>848</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1356</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811</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746</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row>
    <row r="1630" spans="1:12">
      <c r="A1630" s="20" t="s">
        <v>767</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1357</v>
      </c>
    </row>
    <row r="1632" spans="1:12">
      <c r="A1632" s="20" t="s">
        <v>1358</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847</v>
      </c>
      <c r="B1633" s="27" t="s">
        <v>728</v>
      </c>
      <c r="C1633" s="27" t="s">
        <v>848</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1359</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1020</v>
      </c>
      <c r="B1635" s="27" t="s">
        <v>738</v>
      </c>
      <c r="C1635" s="27" t="s">
        <v>749</v>
      </c>
      <c r="D1635" s="27" t="s">
        <v>740</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736</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1360</v>
      </c>
      <c r="B1637" s="27" t="s">
        <v>738</v>
      </c>
      <c r="C1637" s="27" t="s">
        <v>739</v>
      </c>
      <c r="D1637" s="27" t="s">
        <v>740</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753</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783</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774</v>
      </c>
      <c r="B1640" s="27" t="s">
        <v>771</v>
      </c>
      <c r="C1640" s="27" t="s">
        <v>775</v>
      </c>
      <c r="D1640" s="27" t="s">
        <v>740</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1009</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1290</v>
      </c>
      <c r="B1642" s="27" t="s">
        <v>733</v>
      </c>
      <c r="C1642" s="27" t="s">
        <v>734</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1361</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759</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788</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1260</v>
      </c>
      <c r="B1646" s="27" t="s">
        <v>771</v>
      </c>
      <c r="C1646" s="27" t="s">
        <v>749</v>
      </c>
      <c r="D1646" s="27" t="s">
        <v>740</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994</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736</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1362</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1345</v>
      </c>
      <c r="B1650" s="27" t="s">
        <v>779</v>
      </c>
      <c r="C1650" s="27" t="s">
        <v>739</v>
      </c>
      <c r="D1650" s="27" t="s">
        <v>740</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759</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748</v>
      </c>
      <c r="B1652" s="27" t="s">
        <v>728</v>
      </c>
      <c r="C1652" s="27" t="s">
        <v>749</v>
      </c>
      <c r="D1652" s="27" t="s">
        <v>740</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858</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797</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726</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952</v>
      </c>
      <c r="B1656" s="27" t="s">
        <v>771</v>
      </c>
      <c r="C1656" s="27" t="s">
        <v>749</v>
      </c>
      <c r="D1656" s="27" t="s">
        <v>740</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1363</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1078</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1351</v>
      </c>
      <c r="B1659" s="27" t="s">
        <v>779</v>
      </c>
      <c r="C1659" s="27" t="s">
        <v>848</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753</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791</v>
      </c>
      <c r="B1661" s="27" t="s">
        <v>771</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1170</v>
      </c>
      <c r="B1662" s="27" t="s">
        <v>771</v>
      </c>
      <c r="C1662" s="27" t="s">
        <v>772</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897</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1364</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753</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955</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762</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1365</v>
      </c>
      <c r="B1668" s="27" t="s">
        <v>733</v>
      </c>
      <c r="C1668" s="27" t="s">
        <v>739</v>
      </c>
      <c r="D1668" s="27" t="s">
        <v>740</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1041</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785</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1366</v>
      </c>
      <c r="B1671" s="27" t="s">
        <v>777</v>
      </c>
      <c r="C1671" s="27" t="s">
        <v>744</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746</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726</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row>
    <row r="1675" spans="1:12">
      <c r="A1675" s="20" t="s">
        <v>767</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1367</v>
      </c>
    </row>
    <row r="1677" spans="1:12">
      <c r="A1677" s="20" t="s">
        <v>824</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901</v>
      </c>
      <c r="B1678" s="27" t="s">
        <v>756</v>
      </c>
      <c r="C1678" s="27" t="s">
        <v>734</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826</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726</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813</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807</v>
      </c>
      <c r="B1682" s="27" t="s">
        <v>728</v>
      </c>
      <c r="C1682" s="27" t="s">
        <v>749</v>
      </c>
      <c r="D1682" s="27" t="s">
        <v>740</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934</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797</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893</v>
      </c>
      <c r="B1685" s="27" t="s">
        <v>771</v>
      </c>
      <c r="C1685" s="27" t="s">
        <v>792</v>
      </c>
      <c r="D1685" s="27" t="s">
        <v>740</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984</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1368</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1369</v>
      </c>
      <c r="B1688" s="27" t="s">
        <v>733</v>
      </c>
      <c r="C1688" s="27" t="s">
        <v>780</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1370</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788</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1260</v>
      </c>
      <c r="B1691" s="27" t="s">
        <v>795</v>
      </c>
      <c r="C1691" s="27" t="s">
        <v>749</v>
      </c>
      <c r="D1691" s="27" t="s">
        <v>740</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1371</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919</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1275</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863</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1369</v>
      </c>
      <c r="B1696" s="27" t="s">
        <v>764</v>
      </c>
      <c r="C1696" s="27" t="s">
        <v>744</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746</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row>
    <row r="1699" spans="1:12">
      <c r="A1699" s="20" t="s">
        <v>767</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1372</v>
      </c>
    </row>
    <row r="1701" spans="1:12">
      <c r="A1701" s="20" t="s">
        <v>1373</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1374</v>
      </c>
      <c r="B1702" s="27" t="s">
        <v>728</v>
      </c>
      <c r="C1702" s="27" t="s">
        <v>780</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757</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774</v>
      </c>
      <c r="B1704" s="27" t="s">
        <v>733</v>
      </c>
      <c r="C1704" s="27" t="s">
        <v>775</v>
      </c>
      <c r="D1704" s="27" t="s">
        <v>740</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753</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984</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1375</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1374</v>
      </c>
      <c r="B1708" s="27" t="s">
        <v>756</v>
      </c>
      <c r="C1708" s="27" t="s">
        <v>780</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757</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1302</v>
      </c>
      <c r="B1710" s="27" t="s">
        <v>756</v>
      </c>
      <c r="C1710" s="27" t="s">
        <v>749</v>
      </c>
      <c r="D1710" s="27" t="s">
        <v>740</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746</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726</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row>
    <row r="1714" spans="1:12">
      <c r="A1714" s="20" t="s">
        <v>767</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1376</v>
      </c>
    </row>
    <row r="1716" spans="1:12">
      <c r="A1716" s="20" t="s">
        <v>748</v>
      </c>
      <c r="B1716" s="27" t="s">
        <v>728</v>
      </c>
      <c r="C1716" s="27" t="s">
        <v>749</v>
      </c>
      <c r="D1716" s="27" t="s">
        <v>740</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858</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797</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726</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952</v>
      </c>
      <c r="B1720" s="27" t="s">
        <v>771</v>
      </c>
      <c r="C1720" s="27" t="s">
        <v>749</v>
      </c>
      <c r="D1720" s="27" t="s">
        <v>740</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1377</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753</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860</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807</v>
      </c>
      <c r="B1724" s="27" t="s">
        <v>795</v>
      </c>
      <c r="C1724" s="27" t="s">
        <v>749</v>
      </c>
      <c r="D1724" s="27" t="s">
        <v>740</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1284</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919</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1378</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1287</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753</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1328</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1302</v>
      </c>
      <c r="B1731" s="27" t="s">
        <v>1037</v>
      </c>
      <c r="C1731" s="27" t="s">
        <v>749</v>
      </c>
      <c r="D1731" s="27" t="s">
        <v>740</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765</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1379</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753</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896</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807</v>
      </c>
      <c r="B1736" s="27" t="s">
        <v>795</v>
      </c>
      <c r="C1736" s="27" t="s">
        <v>749</v>
      </c>
      <c r="D1736" s="27" t="s">
        <v>740</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1006</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1380</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788</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1381</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1264</v>
      </c>
      <c r="B1741" s="27" t="s">
        <v>1037</v>
      </c>
      <c r="C1741" s="27" t="s">
        <v>749</v>
      </c>
      <c r="D1741" s="27" t="s">
        <v>740</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1382</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1383</v>
      </c>
      <c r="B1743" s="27" t="s">
        <v>1037</v>
      </c>
      <c r="C1743" s="27" t="s">
        <v>780</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955</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1353</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1384</v>
      </c>
      <c r="B1746" s="27" t="s">
        <v>787</v>
      </c>
      <c r="C1746" s="27" t="s">
        <v>848</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746</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726</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row>
    <row r="1750" spans="1:12">
      <c r="A1750" s="20" t="s">
        <v>767</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1385</v>
      </c>
    </row>
    <row r="1752" spans="1:12">
      <c r="A1752" s="20" t="s">
        <v>748</v>
      </c>
      <c r="B1752" s="27" t="s">
        <v>728</v>
      </c>
      <c r="C1752" s="27" t="s">
        <v>749</v>
      </c>
      <c r="D1752" s="27" t="s">
        <v>740</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858</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797</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726</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813</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989</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934</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807</v>
      </c>
      <c r="B1759" s="27" t="s">
        <v>771</v>
      </c>
      <c r="C1759" s="27" t="s">
        <v>749</v>
      </c>
      <c r="D1759" s="27" t="s">
        <v>740</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753</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941</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1020</v>
      </c>
      <c r="B1762" s="27" t="s">
        <v>1037</v>
      </c>
      <c r="C1762" s="27" t="s">
        <v>749</v>
      </c>
      <c r="D1762" s="27" t="s">
        <v>740</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1386</v>
      </c>
      <c r="B1763" s="27" t="s">
        <v>935</v>
      </c>
      <c r="C1763" s="27" t="s">
        <v>772</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753</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783</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1260</v>
      </c>
      <c r="B1766" s="27" t="s">
        <v>1024</v>
      </c>
      <c r="C1766" s="27" t="s">
        <v>749</v>
      </c>
      <c r="D1766" s="27" t="s">
        <v>740</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1261</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839</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753</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1387</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1388</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753</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860</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827</v>
      </c>
      <c r="B1774" s="27" t="s">
        <v>1027</v>
      </c>
      <c r="C1774" s="27" t="s">
        <v>828</v>
      </c>
      <c r="D1774" s="27" t="s">
        <v>740</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1389</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1390</v>
      </c>
      <c r="B1776" s="27" t="s">
        <v>787</v>
      </c>
      <c r="C1776" s="27" t="s">
        <v>734</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1391</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753</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860</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1260</v>
      </c>
      <c r="B1780" s="27" t="s">
        <v>935</v>
      </c>
      <c r="C1780" s="27" t="s">
        <v>749</v>
      </c>
      <c r="D1780" s="27" t="s">
        <v>740</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1392</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845</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1270</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1393</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12</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1394</v>
      </c>
      <c r="B1786" s="27" t="s">
        <v>787</v>
      </c>
      <c r="C1786" s="27" t="s">
        <v>848</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1395</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759</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726</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813</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807</v>
      </c>
      <c r="B1791" s="27" t="s">
        <v>795</v>
      </c>
      <c r="C1791" s="27" t="s">
        <v>749</v>
      </c>
      <c r="D1791" s="27" t="s">
        <v>740</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1396</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774</v>
      </c>
      <c r="B1793" s="27" t="s">
        <v>764</v>
      </c>
      <c r="C1793" s="27" t="s">
        <v>775</v>
      </c>
      <c r="D1793" s="27" t="s">
        <v>740</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797</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726</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987</v>
      </c>
      <c r="B1796" s="27" t="s">
        <v>1045</v>
      </c>
      <c r="C1796" s="27" t="s">
        <v>775</v>
      </c>
      <c r="D1796" s="27" t="s">
        <v>740</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1397</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912</v>
      </c>
      <c r="B1798" s="27" t="s">
        <v>1398</v>
      </c>
      <c r="C1798" s="27" t="s">
        <v>749</v>
      </c>
      <c r="D1798" s="27" t="s">
        <v>740</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921</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912</v>
      </c>
      <c r="B1800" s="27" t="s">
        <v>1024</v>
      </c>
      <c r="C1800" s="27" t="s">
        <v>749</v>
      </c>
      <c r="D1800" s="27" t="s">
        <v>740</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1399</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753</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791</v>
      </c>
      <c r="B1803" s="27" t="s">
        <v>1398</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1302</v>
      </c>
      <c r="B1804" s="27" t="s">
        <v>1045</v>
      </c>
      <c r="C1804" s="27" t="s">
        <v>749</v>
      </c>
      <c r="D1804" s="27" t="s">
        <v>740</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765</v>
      </c>
      <c r="B1805" s="27" t="s">
        <v>1051</v>
      </c>
      <c r="C1805" s="27" t="s">
        <v>772</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1025</v>
      </c>
      <c r="B1806" s="27" t="s">
        <v>1026</v>
      </c>
      <c r="C1806" s="27" t="s">
        <v>792</v>
      </c>
      <c r="D1806" s="27" t="s">
        <v>740</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1400</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753</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1401</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788</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1402</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1403</v>
      </c>
      <c r="B1812" s="27" t="s">
        <v>1404</v>
      </c>
      <c r="C1812" s="27" t="s">
        <v>734</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1405</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1406</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836</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726</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row>
    <row r="1818" spans="1:12">
      <c r="A1818" s="20" t="s">
        <v>767</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1407</v>
      </c>
    </row>
    <row r="1820" spans="1:12">
      <c r="A1820" s="20" t="s">
        <v>813</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774</v>
      </c>
      <c r="B1821" s="27" t="s">
        <v>728</v>
      </c>
      <c r="C1821" s="27" t="s">
        <v>775</v>
      </c>
      <c r="D1821" s="27" t="s">
        <v>740</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858</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797</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726</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987</v>
      </c>
      <c r="B1825" s="27" t="s">
        <v>779</v>
      </c>
      <c r="C1825" s="27" t="s">
        <v>775</v>
      </c>
      <c r="D1825" s="27" t="s">
        <v>740</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807</v>
      </c>
      <c r="B1826" s="27" t="s">
        <v>771</v>
      </c>
      <c r="C1826" s="27" t="s">
        <v>749</v>
      </c>
      <c r="D1826" s="27" t="s">
        <v>740</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1399</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1408</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836</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row>
    <row r="1831" spans="1:12">
      <c r="A1831" s="20" t="s">
        <v>1409</v>
      </c>
    </row>
    <row r="1832" spans="1:12">
      <c r="A1832" s="20" t="s">
        <v>952</v>
      </c>
      <c r="B1832" s="27" t="s">
        <v>728</v>
      </c>
      <c r="C1832" s="27" t="s">
        <v>749</v>
      </c>
      <c r="D1832" s="27" t="s">
        <v>740</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1408</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1264</v>
      </c>
      <c r="B1834" s="27" t="s">
        <v>738</v>
      </c>
      <c r="C1834" s="27" t="s">
        <v>749</v>
      </c>
      <c r="D1834" s="27" t="s">
        <v>740</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1410</v>
      </c>
      <c r="B1835" s="27" t="s">
        <v>733</v>
      </c>
      <c r="C1835" s="27" t="s">
        <v>772</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827</v>
      </c>
      <c r="B1836" s="27" t="s">
        <v>733</v>
      </c>
      <c r="C1836" s="27" t="s">
        <v>828</v>
      </c>
      <c r="D1836" s="27" t="s">
        <v>740</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911</v>
      </c>
      <c r="B1837" s="27" t="s">
        <v>738</v>
      </c>
      <c r="C1837" s="27" t="s">
        <v>780</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1411</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753</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791</v>
      </c>
      <c r="B1840" s="27" t="s">
        <v>771</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750</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1184</v>
      </c>
      <c r="B1842" s="27" t="s">
        <v>756</v>
      </c>
      <c r="C1842" s="27" t="s">
        <v>772</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746</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row>
    <row r="1845" spans="1:12">
      <c r="A1845" s="20" t="s">
        <v>1412</v>
      </c>
    </row>
    <row r="1846" spans="1:12">
      <c r="A1846" s="20" t="s">
        <v>1257</v>
      </c>
      <c r="B1846" s="27" t="s">
        <v>728</v>
      </c>
      <c r="C1846" s="27" t="s">
        <v>804</v>
      </c>
      <c r="D1846" s="27" t="s">
        <v>740</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947</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1413</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897</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1414</v>
      </c>
      <c r="B1850" s="27" t="s">
        <v>756</v>
      </c>
      <c r="C1850" s="27" t="s">
        <v>792</v>
      </c>
      <c r="D1850" s="27" t="s">
        <v>740</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1415</v>
      </c>
      <c r="B1851" s="27" t="s">
        <v>756</v>
      </c>
      <c r="C1851" s="27" t="s">
        <v>908</v>
      </c>
      <c r="D1851" s="27" t="s">
        <v>740</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1149</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817</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746</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row>
    <row r="1856" spans="1:12">
      <c r="A1856" s="20" t="s">
        <v>767</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1416</v>
      </c>
    </row>
    <row r="1858" spans="1:12">
      <c r="A1858" s="20" t="s">
        <v>813</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1078</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1417</v>
      </c>
      <c r="B1860" s="27" t="s">
        <v>728</v>
      </c>
      <c r="C1860" s="27" t="s">
        <v>848</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788</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807</v>
      </c>
      <c r="B1862" s="27" t="s">
        <v>733</v>
      </c>
      <c r="C1862" s="27" t="s">
        <v>749</v>
      </c>
      <c r="D1862" s="27" t="s">
        <v>740</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1418</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791</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1419</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1420</v>
      </c>
      <c r="B1866" s="27" t="s">
        <v>738</v>
      </c>
      <c r="C1866" s="27" t="s">
        <v>739</v>
      </c>
      <c r="D1866" s="27" t="s">
        <v>740</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753</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736</v>
      </c>
      <c r="B1868" s="27" t="s">
        <v>771</v>
      </c>
      <c r="C1868" s="27" t="s">
        <v>775</v>
      </c>
      <c r="D1868" s="27" t="s">
        <v>740</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1421</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765</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1078</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753</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736</v>
      </c>
      <c r="B1873" s="27" t="s">
        <v>795</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832</v>
      </c>
      <c r="B1874" s="27" t="s">
        <v>1037</v>
      </c>
      <c r="C1874" s="27" t="s">
        <v>749</v>
      </c>
      <c r="D1874" s="27" t="s">
        <v>740</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765</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238</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1422</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746</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726</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row>
    <row r="1881" spans="1:12">
      <c r="A1881" s="20" t="s">
        <v>1423</v>
      </c>
    </row>
    <row r="1882" spans="1:12">
      <c r="A1882" s="20" t="s">
        <v>952</v>
      </c>
      <c r="B1882" s="27" t="s">
        <v>728</v>
      </c>
      <c r="C1882" s="27" t="s">
        <v>749</v>
      </c>
      <c r="D1882" s="27" t="s">
        <v>740</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958</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1076</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1036</v>
      </c>
      <c r="B1885" s="27" t="s">
        <v>738</v>
      </c>
      <c r="C1885" s="27" t="s">
        <v>772</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729</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1133</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1424</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1425</v>
      </c>
      <c r="B1889" s="27" t="s">
        <v>756</v>
      </c>
      <c r="C1889" s="27" t="s">
        <v>744</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729</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883</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1426</v>
      </c>
      <c r="B1892" s="27" t="s">
        <v>733</v>
      </c>
      <c r="C1892" s="27" t="s">
        <v>739</v>
      </c>
      <c r="D1892" s="27" t="s">
        <v>740</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342</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746</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row>
    <row r="1896" spans="1:12">
      <c r="A1896" s="20" t="s">
        <v>1427</v>
      </c>
    </row>
    <row r="1897" spans="1:12">
      <c r="A1897" s="20" t="s">
        <v>1428</v>
      </c>
      <c r="B1897" s="27" t="s">
        <v>728</v>
      </c>
      <c r="C1897" s="27" t="s">
        <v>792</v>
      </c>
      <c r="D1897" s="27" t="s">
        <v>740</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1429</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999</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1430</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759</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729</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762</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1431</v>
      </c>
      <c r="B1904" s="27" t="s">
        <v>756</v>
      </c>
      <c r="C1904" s="27" t="s">
        <v>804</v>
      </c>
      <c r="D1904" s="27" t="s">
        <v>740</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1432</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753</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818</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1433</v>
      </c>
      <c r="B1908" s="27" t="s">
        <v>733</v>
      </c>
      <c r="C1908" s="27" t="s">
        <v>1103</v>
      </c>
      <c r="D1908" s="27" t="s">
        <v>740</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1434</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1435</v>
      </c>
      <c r="B1910" s="27" t="s">
        <v>777</v>
      </c>
      <c r="C1910" s="27" t="s">
        <v>804</v>
      </c>
      <c r="D1910" s="27" t="s">
        <v>740</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1436</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759</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1437</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999</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1133</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1438</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1439</v>
      </c>
      <c r="B1917" s="27" t="s">
        <v>733</v>
      </c>
      <c r="C1917" s="27" t="s">
        <v>744</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746</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row>
    <row r="1920" spans="1:12">
      <c r="A1920" s="20" t="s">
        <v>767</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1440</v>
      </c>
    </row>
    <row r="1922" spans="1:12">
      <c r="A1922" s="20" t="s">
        <v>1441</v>
      </c>
      <c r="B1922" s="27" t="s">
        <v>728</v>
      </c>
      <c r="C1922" s="27" t="s">
        <v>749</v>
      </c>
      <c r="D1922" s="27" t="s">
        <v>740</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858</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797</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726</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1040</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1144</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1442</v>
      </c>
      <c r="B1928" s="27" t="s">
        <v>777</v>
      </c>
      <c r="C1928" s="27" t="s">
        <v>775</v>
      </c>
      <c r="D1928" s="27" t="s">
        <v>740</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1443</v>
      </c>
      <c r="B1929" s="27" t="s">
        <v>779</v>
      </c>
      <c r="C1929" s="27" t="s">
        <v>780</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753</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817</v>
      </c>
      <c r="B1931" s="27" t="s">
        <v>764</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1444</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765</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672</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753</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941</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1170</v>
      </c>
      <c r="B1937" s="27" t="s">
        <v>795</v>
      </c>
      <c r="C1937" s="27" t="s">
        <v>772</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751</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924</v>
      </c>
      <c r="B1939" s="27" t="s">
        <v>764</v>
      </c>
      <c r="C1939" s="27" t="s">
        <v>744</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845</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1445</v>
      </c>
      <c r="B1941" s="27" t="s">
        <v>787</v>
      </c>
      <c r="C1941" s="27" t="s">
        <v>804</v>
      </c>
      <c r="D1941" s="27" t="s">
        <v>740</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12</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1446</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1447</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753</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1448</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753</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1449</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832</v>
      </c>
      <c r="B1949" s="27" t="s">
        <v>1024</v>
      </c>
      <c r="C1949" s="27" t="s">
        <v>749</v>
      </c>
      <c r="D1949" s="27" t="s">
        <v>740</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817</v>
      </c>
      <c r="B1950" s="27" t="s">
        <v>1352</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1240</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1328</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751</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726</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1450</v>
      </c>
      <c r="B1955" s="27" t="s">
        <v>1027</v>
      </c>
      <c r="C1955" s="27" t="s">
        <v>744</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726</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991</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762</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1451</v>
      </c>
      <c r="B1959" s="27" t="s">
        <v>1027</v>
      </c>
      <c r="C1959" s="27" t="s">
        <v>739</v>
      </c>
      <c r="D1959" s="27" t="s">
        <v>740</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999</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726</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991</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1133</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1452</v>
      </c>
      <c r="B1964" s="27" t="s">
        <v>1027</v>
      </c>
      <c r="C1964" s="27" t="s">
        <v>744</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1453</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726</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1454</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753</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1056</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751</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726</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1450</v>
      </c>
      <c r="B1972" s="27" t="s">
        <v>733</v>
      </c>
      <c r="C1972" s="27" t="s">
        <v>744</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726</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991</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1133</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898</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1455</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753</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1456</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1451</v>
      </c>
      <c r="B1980" s="27" t="s">
        <v>756</v>
      </c>
      <c r="C1980" s="27" t="s">
        <v>744</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746</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row>
    <row r="1983" spans="1:12">
      <c r="A1983" s="20" t="s">
        <v>1457</v>
      </c>
    </row>
    <row r="1984" spans="1:12">
      <c r="A1984" s="20" t="s">
        <v>1040</v>
      </c>
      <c r="B1984" s="27" t="s">
        <v>728</v>
      </c>
      <c r="C1984" s="27" t="s">
        <v>749</v>
      </c>
      <c r="D1984" s="27" t="s">
        <v>740</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750</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1458</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753</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1459</v>
      </c>
      <c r="B1988" s="27" t="s">
        <v>756</v>
      </c>
      <c r="C1988" s="27" t="s">
        <v>734</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759</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788</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1460</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746</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row>
    <row r="1994" spans="1:12">
      <c r="A1994" s="20" t="s">
        <v>1461</v>
      </c>
    </row>
    <row r="1995" spans="1:12">
      <c r="A1995" s="20" t="s">
        <v>880</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832</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1462</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1463</v>
      </c>
      <c r="B1998" s="27" t="s">
        <v>733</v>
      </c>
      <c r="C1998" s="27" t="s">
        <v>772</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1464</v>
      </c>
      <c r="B1999" s="27" t="s">
        <v>728</v>
      </c>
      <c r="C1999" s="27" t="s">
        <v>734</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746</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row>
    <row r="2002" spans="1:12">
      <c r="A2002" s="20" t="s">
        <v>767</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1465</v>
      </c>
    </row>
    <row r="2004" spans="1:12">
      <c r="A2004" s="20" t="s">
        <v>1466</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1464</v>
      </c>
      <c r="B2005" s="27" t="s">
        <v>728</v>
      </c>
      <c r="C2005" s="27" t="s">
        <v>734</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1467</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817</v>
      </c>
      <c r="B2007" s="27" t="s">
        <v>738</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790</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729</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785</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1468</v>
      </c>
      <c r="B2011" s="27" t="s">
        <v>756</v>
      </c>
      <c r="C2011" s="27" t="s">
        <v>744</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1469</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741</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1403</v>
      </c>
      <c r="B2014" s="27" t="s">
        <v>733</v>
      </c>
      <c r="C2014" s="27" t="s">
        <v>744</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753</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788</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1386</v>
      </c>
      <c r="B2017" s="27" t="s">
        <v>771</v>
      </c>
      <c r="C2017" s="27" t="s">
        <v>772</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845</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1445</v>
      </c>
      <c r="B2019" s="27" t="s">
        <v>777</v>
      </c>
      <c r="C2019" s="27" t="s">
        <v>804</v>
      </c>
      <c r="D2019" s="27" t="s">
        <v>740</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12</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1446</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750</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781</v>
      </c>
      <c r="B2023" s="27" t="s">
        <v>733</v>
      </c>
      <c r="C2023" s="27" t="s">
        <v>775</v>
      </c>
      <c r="D2023" s="27" t="s">
        <v>740</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1403</v>
      </c>
      <c r="B2024" s="27" t="s">
        <v>756</v>
      </c>
      <c r="C2024" s="27" t="s">
        <v>780</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746</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726</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row>
    <row r="2028" spans="1:12">
      <c r="A2028" s="20" t="s">
        <v>1470</v>
      </c>
    </row>
    <row r="2029" spans="1:12">
      <c r="A2029" s="20" t="s">
        <v>1040</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839</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1471</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1334</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970</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883</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1472</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457</v>
      </c>
      <c r="B2036" s="27" t="s">
        <v>756</v>
      </c>
      <c r="C2036" s="27" t="s">
        <v>739</v>
      </c>
      <c r="D2036" s="27" t="s">
        <v>740</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1437</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753</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883</v>
      </c>
      <c r="B2039" s="27" t="s">
        <v>779</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831</v>
      </c>
      <c r="B2040" s="27" t="s">
        <v>771</v>
      </c>
      <c r="C2040" s="27" t="s">
        <v>775</v>
      </c>
      <c r="D2040" s="27" t="s">
        <v>740</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1399</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87</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753</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941</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832</v>
      </c>
      <c r="B2045" s="27" t="s">
        <v>795</v>
      </c>
      <c r="C2045" s="27" t="s">
        <v>749</v>
      </c>
      <c r="D2045" s="27" t="s">
        <v>740</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1328</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736</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1299</v>
      </c>
      <c r="B2048" s="27" t="s">
        <v>777</v>
      </c>
      <c r="C2048" s="27" t="s">
        <v>739</v>
      </c>
      <c r="D2048" s="27" t="s">
        <v>740</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999</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1117</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980</v>
      </c>
      <c r="B2051" s="27" t="s">
        <v>787</v>
      </c>
      <c r="C2051" s="27" t="s">
        <v>734</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1473</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746</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row>
    <row r="2055" spans="1:12">
      <c r="A2055" s="20" t="s">
        <v>1474</v>
      </c>
    </row>
    <row r="2056" spans="1:12">
      <c r="A2056" s="20" t="s">
        <v>1475</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1476</v>
      </c>
      <c r="B2057" s="27" t="s">
        <v>738</v>
      </c>
      <c r="C2057" s="27" t="s">
        <v>739</v>
      </c>
      <c r="D2057" s="27" t="s">
        <v>740</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753</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860</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817</v>
      </c>
      <c r="B2060" s="27" t="s">
        <v>764</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1477</v>
      </c>
      <c r="B2061" s="27" t="s">
        <v>787</v>
      </c>
      <c r="C2061" s="27" t="s">
        <v>828</v>
      </c>
      <c r="D2061" s="27" t="s">
        <v>740</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1478</v>
      </c>
      <c r="B2062" s="27" t="s">
        <v>795</v>
      </c>
      <c r="C2062" s="27" t="s">
        <v>734</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1479</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1480</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753</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238</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831</v>
      </c>
      <c r="B2067" s="27" t="s">
        <v>728</v>
      </c>
      <c r="C2067" s="27" t="s">
        <v>775</v>
      </c>
      <c r="D2067" s="27" t="s">
        <v>740</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1481</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991</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883</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1482</v>
      </c>
      <c r="B2071" s="27" t="s">
        <v>756</v>
      </c>
      <c r="C2071" s="27" t="s">
        <v>739</v>
      </c>
      <c r="D2071" s="27" t="s">
        <v>740</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746</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row>
    <row r="2074" spans="1:12">
      <c r="A2074" s="20" t="s">
        <v>767</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1483</v>
      </c>
    </row>
    <row r="2076" spans="1:12">
      <c r="A2076" s="20" t="s">
        <v>880</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831</v>
      </c>
      <c r="B2077" s="27" t="s">
        <v>728</v>
      </c>
      <c r="C2077" s="27" t="s">
        <v>775</v>
      </c>
      <c r="D2077" s="27" t="s">
        <v>740</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371</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753</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830</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831</v>
      </c>
      <c r="B2081" s="27" t="s">
        <v>771</v>
      </c>
      <c r="C2081" s="27" t="s">
        <v>775</v>
      </c>
      <c r="D2081" s="27" t="s">
        <v>740</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980</v>
      </c>
      <c r="B2082" s="27" t="s">
        <v>779</v>
      </c>
      <c r="C2082" s="27" t="s">
        <v>734</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793</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87</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753</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736</v>
      </c>
      <c r="B2086" s="27" t="s">
        <v>771</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726</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1484</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726</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1485</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753</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830</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831</v>
      </c>
      <c r="B2093" s="27" t="s">
        <v>771</v>
      </c>
      <c r="C2093" s="27" t="s">
        <v>775</v>
      </c>
      <c r="D2093" s="27" t="s">
        <v>740</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980</v>
      </c>
      <c r="B2094" s="27" t="s">
        <v>771</v>
      </c>
      <c r="C2094" s="27" t="s">
        <v>734</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845</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785</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1486</v>
      </c>
      <c r="B2097" s="27" t="s">
        <v>733</v>
      </c>
      <c r="C2097" s="27" t="s">
        <v>744</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1487</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87</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753</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788</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757</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830</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1488</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831</v>
      </c>
      <c r="B2105" s="27" t="s">
        <v>795</v>
      </c>
      <c r="C2105" s="27" t="s">
        <v>775</v>
      </c>
      <c r="D2105" s="27" t="s">
        <v>740</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774</v>
      </c>
      <c r="B2106" s="27" t="s">
        <v>795</v>
      </c>
      <c r="C2106" s="27" t="s">
        <v>775</v>
      </c>
      <c r="D2106" s="27" t="s">
        <v>740</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1489</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87</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746</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row>
    <row r="2111" spans="1:12">
      <c r="A2111" s="20" t="s">
        <v>1490</v>
      </c>
    </row>
    <row r="2112" spans="1:12">
      <c r="A2112" s="20" t="s">
        <v>1491</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1492</v>
      </c>
      <c r="B2113" s="27" t="s">
        <v>728</v>
      </c>
      <c r="C2113" s="27" t="s">
        <v>739</v>
      </c>
      <c r="D2113" s="27" t="s">
        <v>740</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753</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883</v>
      </c>
      <c r="B2115" s="27" t="s">
        <v>764</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831</v>
      </c>
      <c r="B2116" s="27" t="s">
        <v>795</v>
      </c>
      <c r="C2116" s="27" t="s">
        <v>775</v>
      </c>
      <c r="D2116" s="27" t="s">
        <v>740</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1493</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1494</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87</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753</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818</v>
      </c>
      <c r="B2121" s="27" t="s">
        <v>795</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991</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817</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1060</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1061</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1495</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750</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753</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750</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785</v>
      </c>
      <c r="B2130" s="27" t="s">
        <v>756</v>
      </c>
      <c r="C2130" s="27" t="s">
        <v>772</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753</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762</v>
      </c>
      <c r="B2132" s="27" t="s">
        <v>779</v>
      </c>
      <c r="C2132" s="27" t="s">
        <v>775</v>
      </c>
      <c r="D2132" s="27" t="s">
        <v>740</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831</v>
      </c>
      <c r="B2133" s="27" t="s">
        <v>771</v>
      </c>
      <c r="C2133" s="27" t="s">
        <v>775</v>
      </c>
      <c r="D2133" s="27" t="s">
        <v>740</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919</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1266</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1334</v>
      </c>
      <c r="B2136" s="27" t="s">
        <v>777</v>
      </c>
      <c r="C2136" s="27" t="s">
        <v>772</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1496</v>
      </c>
      <c r="B2137" s="27" t="s">
        <v>779</v>
      </c>
      <c r="C2137" s="27" t="s">
        <v>780</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331</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746</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row>
    <row r="2141" spans="1:12">
      <c r="A2141" s="20" t="s">
        <v>1497</v>
      </c>
    </row>
    <row r="2142" spans="1:12">
      <c r="A2142" s="20" t="s">
        <v>1130</v>
      </c>
      <c r="B2142" s="27" t="s">
        <v>728</v>
      </c>
      <c r="C2142" s="27" t="s">
        <v>772</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818</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1498</v>
      </c>
      <c r="B2144" s="27" t="s">
        <v>733</v>
      </c>
      <c r="C2144" s="27" t="s">
        <v>739</v>
      </c>
      <c r="D2144" s="27" t="s">
        <v>740</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753</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736</v>
      </c>
      <c r="B2146" s="27" t="s">
        <v>764</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807</v>
      </c>
      <c r="B2147" s="27" t="s">
        <v>795</v>
      </c>
      <c r="C2147" s="27" t="s">
        <v>749</v>
      </c>
      <c r="D2147" s="27" t="s">
        <v>740</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1499</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753</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1500</v>
      </c>
      <c r="B2150" s="27" t="s">
        <v>777</v>
      </c>
      <c r="C2150" s="27" t="s">
        <v>804</v>
      </c>
      <c r="D2150" s="27" t="s">
        <v>740</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788</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1501</v>
      </c>
      <c r="B2152" s="27" t="s">
        <v>777</v>
      </c>
      <c r="C2152" s="27" t="s">
        <v>804</v>
      </c>
      <c r="D2152" s="27" t="s">
        <v>740</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1502</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753</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1142</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1503</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788</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1504</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966</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1505</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753</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1485</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1506</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1507</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753</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783</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881</v>
      </c>
      <c r="B2167" s="27" t="s">
        <v>777</v>
      </c>
      <c r="C2167" s="27" t="s">
        <v>828</v>
      </c>
      <c r="D2167" s="27" t="s">
        <v>740</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1508</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924</v>
      </c>
      <c r="B2169" s="27" t="s">
        <v>771</v>
      </c>
      <c r="C2169" s="27" t="s">
        <v>734</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845</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1445</v>
      </c>
      <c r="B2171" s="27" t="s">
        <v>777</v>
      </c>
      <c r="C2171" s="27" t="s">
        <v>804</v>
      </c>
      <c r="D2171" s="27" t="s">
        <v>740</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12</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1446</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1265</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839</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746</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row>
    <row r="2178" spans="1:12">
      <c r="A2178" s="20" t="s">
        <v>1509</v>
      </c>
    </row>
    <row r="2179" spans="1:12">
      <c r="A2179" s="20" t="s">
        <v>748</v>
      </c>
      <c r="B2179" s="27" t="s">
        <v>795</v>
      </c>
      <c r="C2179" s="27" t="s">
        <v>749</v>
      </c>
      <c r="D2179" s="27" t="s">
        <v>740</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1485</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818</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1510</v>
      </c>
      <c r="B2182" s="27" t="s">
        <v>733</v>
      </c>
      <c r="C2182" s="27" t="s">
        <v>739</v>
      </c>
      <c r="D2182" s="27" t="s">
        <v>740</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753</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736</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1511</v>
      </c>
      <c r="B2185" s="27" t="s">
        <v>795</v>
      </c>
      <c r="C2185" s="27" t="s">
        <v>739</v>
      </c>
      <c r="D2185" s="27" t="s">
        <v>740</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757</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1302</v>
      </c>
      <c r="B2187" s="27" t="s">
        <v>787</v>
      </c>
      <c r="C2187" s="27" t="s">
        <v>749</v>
      </c>
      <c r="D2187" s="27" t="s">
        <v>740</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1485</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919</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833</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753</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830</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774</v>
      </c>
      <c r="B2193" s="27" t="s">
        <v>795</v>
      </c>
      <c r="C2193" s="27" t="s">
        <v>775</v>
      </c>
      <c r="D2193" s="27" t="s">
        <v>740</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1078</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1512</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753</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788</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833</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1513</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774</v>
      </c>
      <c r="B2200" s="27" t="s">
        <v>728</v>
      </c>
      <c r="C2200" s="27" t="s">
        <v>775</v>
      </c>
      <c r="D2200" s="27" t="s">
        <v>740</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753</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751</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1514</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1515</v>
      </c>
      <c r="B2204" s="27" t="s">
        <v>779</v>
      </c>
      <c r="C2204" s="27" t="s">
        <v>744</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765</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1516</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759</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1142</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1517</v>
      </c>
      <c r="B2209" s="27" t="s">
        <v>738</v>
      </c>
      <c r="C2209" s="27" t="s">
        <v>780</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753</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736</v>
      </c>
      <c r="B2211" s="27" t="s">
        <v>795</v>
      </c>
      <c r="C2211" s="27" t="s">
        <v>775</v>
      </c>
      <c r="D2211" s="27" t="s">
        <v>740</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774</v>
      </c>
      <c r="B2212" s="27" t="s">
        <v>795</v>
      </c>
      <c r="C2212" s="27" t="s">
        <v>775</v>
      </c>
      <c r="D2212" s="27" t="s">
        <v>740</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1518</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845</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751</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1519</v>
      </c>
      <c r="B2216" s="27" t="s">
        <v>787</v>
      </c>
      <c r="C2216" s="27" t="s">
        <v>772</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183</v>
      </c>
      <c r="B2217" s="27" t="s">
        <v>777</v>
      </c>
      <c r="C2217" s="27" t="s">
        <v>780</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1520</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753</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1328</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914</v>
      </c>
      <c r="B2221" s="27" t="s">
        <v>1037</v>
      </c>
      <c r="C2221" s="27" t="s">
        <v>734</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845</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1445</v>
      </c>
      <c r="B2223" s="27" t="s">
        <v>1027</v>
      </c>
      <c r="C2223" s="27" t="s">
        <v>804</v>
      </c>
      <c r="D2223" s="27" t="s">
        <v>740</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1446</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765</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1521</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746</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row>
    <row r="2229" spans="1:12">
      <c r="A2229" s="20" t="s">
        <v>1522</v>
      </c>
    </row>
    <row r="2230" spans="1:12">
      <c r="A2230" s="20" t="s">
        <v>813</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970</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736</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809</v>
      </c>
      <c r="B2233" s="27" t="s">
        <v>756</v>
      </c>
      <c r="C2233" s="27" t="s">
        <v>739</v>
      </c>
      <c r="D2233" s="27" t="s">
        <v>740</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1137</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817</v>
      </c>
      <c r="B2235" s="27" t="s">
        <v>738</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1414</v>
      </c>
      <c r="B2236" s="27" t="s">
        <v>733</v>
      </c>
      <c r="C2236" s="27" t="s">
        <v>792</v>
      </c>
      <c r="D2236" s="27" t="s">
        <v>740</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1515</v>
      </c>
      <c r="B2237" s="27" t="s">
        <v>728</v>
      </c>
      <c r="C2237" s="27" t="s">
        <v>908</v>
      </c>
      <c r="D2237" s="27" t="s">
        <v>740</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765</v>
      </c>
      <c r="B2238" s="27" t="s">
        <v>733</v>
      </c>
      <c r="C2238" s="27" t="s">
        <v>772</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762</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1523</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1524</v>
      </c>
      <c r="B2241" s="27" t="s">
        <v>756</v>
      </c>
      <c r="C2241" s="27" t="s">
        <v>804</v>
      </c>
      <c r="D2241" s="27" t="s">
        <v>740</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12</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1525</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753</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1012</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1323</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1526</v>
      </c>
      <c r="B2247" s="27" t="s">
        <v>795</v>
      </c>
      <c r="C2247" s="27" t="s">
        <v>734</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788</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1527</v>
      </c>
      <c r="B2249" s="27" t="s">
        <v>787</v>
      </c>
      <c r="C2249" s="27" t="s">
        <v>734</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999</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1162</v>
      </c>
      <c r="B2251" s="27" t="s">
        <v>787</v>
      </c>
      <c r="C2251" s="27" t="s">
        <v>734</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845</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1528</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1486</v>
      </c>
      <c r="B2254" s="27" t="s">
        <v>777</v>
      </c>
      <c r="C2254" s="27" t="s">
        <v>734</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1529</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37</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746</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row>
    <row r="2259" spans="1:12">
      <c r="A2259" s="20" t="s">
        <v>1530</v>
      </c>
    </row>
    <row r="2260" spans="1:12">
      <c r="A2260" s="20" t="s">
        <v>1306</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818</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1250</v>
      </c>
      <c r="B2262" s="27" t="s">
        <v>756</v>
      </c>
      <c r="C2262" s="27" t="s">
        <v>739</v>
      </c>
      <c r="D2262" s="27" t="s">
        <v>740</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753</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736</v>
      </c>
      <c r="B2264" s="27" t="s">
        <v>795</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1211</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1531</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1431</v>
      </c>
      <c r="B2267" s="27" t="s">
        <v>777</v>
      </c>
      <c r="C2267" s="27" t="s">
        <v>804</v>
      </c>
      <c r="D2267" s="27" t="s">
        <v>740</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1432</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969</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1532</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750</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753</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1480</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817</v>
      </c>
      <c r="B2274" s="27" t="s">
        <v>738</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736</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1533</v>
      </c>
      <c r="B2276" s="27" t="s">
        <v>728</v>
      </c>
      <c r="C2276" s="27" t="s">
        <v>739</v>
      </c>
      <c r="D2276" s="27" t="s">
        <v>740</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757</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980</v>
      </c>
      <c r="B2278" s="27" t="s">
        <v>733</v>
      </c>
      <c r="C2278" s="27" t="s">
        <v>734</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845</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1445</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12</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1446</v>
      </c>
      <c r="B2282" s="27" t="s">
        <v>777</v>
      </c>
      <c r="C2282" s="27" t="s">
        <v>734</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1534</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746</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row>
    <row r="2286" spans="1:12">
      <c r="A2286" s="20" t="s">
        <v>1535</v>
      </c>
    </row>
    <row r="2287" spans="1:12">
      <c r="A2287" s="20" t="s">
        <v>1536</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883</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980</v>
      </c>
      <c r="B2289" s="27" t="s">
        <v>756</v>
      </c>
      <c r="C2289" s="27" t="s">
        <v>739</v>
      </c>
      <c r="D2289" s="27" t="s">
        <v>740</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845</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1445</v>
      </c>
      <c r="B2291" s="27" t="s">
        <v>733</v>
      </c>
      <c r="C2291" s="27" t="s">
        <v>804</v>
      </c>
      <c r="D2291" s="27" t="s">
        <v>740</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12</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1446</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286</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817</v>
      </c>
      <c r="B2295" s="27" t="s">
        <v>738</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1323</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1537</v>
      </c>
      <c r="B2297" s="27" t="s">
        <v>728</v>
      </c>
      <c r="C2297" s="27" t="s">
        <v>780</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753</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1538</v>
      </c>
      <c r="B2299" s="27" t="s">
        <v>733</v>
      </c>
      <c r="C2299" s="27" t="s">
        <v>734</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753</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788</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1166</v>
      </c>
      <c r="B2302" s="27" t="s">
        <v>733</v>
      </c>
      <c r="C2302" s="27" t="s">
        <v>772</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753</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736</v>
      </c>
      <c r="B2304" s="27" t="s">
        <v>795</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991</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762</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1114</v>
      </c>
      <c r="B2307" s="27" t="s">
        <v>777</v>
      </c>
      <c r="C2307" s="27" t="s">
        <v>739</v>
      </c>
      <c r="D2307" s="27" t="s">
        <v>740</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730</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1539</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430</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982</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746</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row>
    <row r="2314" spans="1:12">
      <c r="A2314" s="20" t="s">
        <v>1540</v>
      </c>
    </row>
    <row r="2315" spans="1:12">
      <c r="A2315" s="20" t="s">
        <v>1541</v>
      </c>
      <c r="B2315" s="27" t="s">
        <v>738</v>
      </c>
      <c r="C2315" s="27" t="s">
        <v>772</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1167</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397</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774</v>
      </c>
      <c r="B2318" s="27" t="s">
        <v>728</v>
      </c>
      <c r="C2318" s="27" t="s">
        <v>775</v>
      </c>
      <c r="D2318" s="27" t="s">
        <v>740</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883</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1502</v>
      </c>
      <c r="B2320" s="27" t="s">
        <v>738</v>
      </c>
      <c r="C2320" s="27" t="s">
        <v>739</v>
      </c>
      <c r="D2320" s="27" t="s">
        <v>740</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746</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row>
    <row r="2323" spans="1:12">
      <c r="A2323" s="20" t="s">
        <v>767</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1542</v>
      </c>
    </row>
    <row r="2325" spans="1:12">
      <c r="A2325" s="20" t="s">
        <v>813</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807</v>
      </c>
      <c r="B2326" s="27" t="s">
        <v>728</v>
      </c>
      <c r="C2326" s="27" t="s">
        <v>749</v>
      </c>
      <c r="D2326" s="27" t="s">
        <v>740</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1396</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774</v>
      </c>
      <c r="B2328" s="27" t="s">
        <v>738</v>
      </c>
      <c r="C2328" s="27" t="s">
        <v>775</v>
      </c>
      <c r="D2328" s="27" t="s">
        <v>740</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797</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726</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1543</v>
      </c>
      <c r="B2331" s="27" t="s">
        <v>771</v>
      </c>
      <c r="C2331" s="27" t="s">
        <v>804</v>
      </c>
      <c r="D2331" s="27" t="s">
        <v>740</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881</v>
      </c>
      <c r="B2332" s="27" t="s">
        <v>738</v>
      </c>
      <c r="C2332" s="27" t="s">
        <v>749</v>
      </c>
      <c r="D2332" s="27" t="s">
        <v>740</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1036</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836</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row>
    <row r="2336" spans="1:12">
      <c r="A2336" s="20" t="s">
        <v>1544</v>
      </c>
    </row>
    <row r="2337" spans="1:12">
      <c r="A2337" s="20" t="s">
        <v>1545</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881</v>
      </c>
      <c r="B2338" s="27" t="s">
        <v>738</v>
      </c>
      <c r="C2338" s="27" t="s">
        <v>749</v>
      </c>
      <c r="D2338" s="27" t="s">
        <v>740</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753</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1546</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1280</v>
      </c>
      <c r="B2341" s="27" t="s">
        <v>771</v>
      </c>
      <c r="C2341" s="27" t="s">
        <v>734</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931</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919</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1149</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1445</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12</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1446</v>
      </c>
      <c r="B2347" s="27" t="s">
        <v>733</v>
      </c>
      <c r="C2347" s="27" t="s">
        <v>734</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1547</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836</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row>
    <row r="2351" spans="1:12">
      <c r="A2351" s="20" t="s">
        <v>767</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1548</v>
      </c>
    </row>
    <row r="2353" spans="1:12">
      <c r="A2353" s="20" t="s">
        <v>1545</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881</v>
      </c>
      <c r="B2354" s="27" t="s">
        <v>738</v>
      </c>
      <c r="C2354" s="27" t="s">
        <v>749</v>
      </c>
      <c r="D2354" s="27" t="s">
        <v>740</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753</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881</v>
      </c>
      <c r="B2356" s="27" t="s">
        <v>779</v>
      </c>
      <c r="C2356" s="27" t="s">
        <v>749</v>
      </c>
      <c r="D2356" s="27" t="s">
        <v>740</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1549</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1550</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1167</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1551</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836</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726</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row>
    <row r="2364" spans="1:12">
      <c r="A2364" s="20" t="s">
        <v>767</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1552</v>
      </c>
    </row>
    <row r="2366" spans="1:12">
      <c r="A2366" s="20" t="s">
        <v>813</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1553</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858</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1078</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1417</v>
      </c>
      <c r="B2370" s="27" t="s">
        <v>728</v>
      </c>
      <c r="C2370" s="27" t="s">
        <v>848</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797</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726</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1554</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1555</v>
      </c>
      <c r="B2374" s="27" t="s">
        <v>733</v>
      </c>
      <c r="C2374" s="27" t="s">
        <v>804</v>
      </c>
      <c r="D2374" s="27" t="s">
        <v>740</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753</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1556</v>
      </c>
      <c r="B2376" s="27" t="s">
        <v>787</v>
      </c>
      <c r="C2376" s="27" t="s">
        <v>828</v>
      </c>
      <c r="D2376" s="27" t="s">
        <v>740</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1280</v>
      </c>
      <c r="B2377" s="27" t="s">
        <v>777</v>
      </c>
      <c r="C2377" s="27" t="s">
        <v>734</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753</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1557</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807</v>
      </c>
      <c r="B2380" s="27" t="s">
        <v>771</v>
      </c>
      <c r="C2380" s="27" t="s">
        <v>749</v>
      </c>
      <c r="D2380" s="27" t="s">
        <v>740</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832</v>
      </c>
      <c r="B2381" s="27" t="s">
        <v>779</v>
      </c>
      <c r="C2381" s="27" t="s">
        <v>749</v>
      </c>
      <c r="D2381" s="27" t="s">
        <v>740</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753</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1203</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757</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1302</v>
      </c>
      <c r="B2385" s="27" t="s">
        <v>777</v>
      </c>
      <c r="C2385" s="27" t="s">
        <v>749</v>
      </c>
      <c r="D2385" s="27" t="s">
        <v>740</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750</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832</v>
      </c>
      <c r="B2387" s="27" t="s">
        <v>795</v>
      </c>
      <c r="C2387" s="27" t="s">
        <v>749</v>
      </c>
      <c r="D2387" s="27" t="s">
        <v>740</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776</v>
      </c>
      <c r="B2388" s="27" t="s">
        <v>777</v>
      </c>
      <c r="C2388" s="27" t="s">
        <v>775</v>
      </c>
      <c r="D2388" s="27" t="s">
        <v>740</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1558</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1559</v>
      </c>
      <c r="B2390" s="27" t="s">
        <v>733</v>
      </c>
      <c r="C2390" s="27" t="s">
        <v>780</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991</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1025</v>
      </c>
      <c r="B2392" s="27" t="s">
        <v>787</v>
      </c>
      <c r="C2392" s="27" t="s">
        <v>792</v>
      </c>
      <c r="D2392" s="27" t="s">
        <v>740</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1102</v>
      </c>
      <c r="B2393" s="27" t="s">
        <v>777</v>
      </c>
      <c r="C2393" s="27" t="s">
        <v>908</v>
      </c>
      <c r="D2393" s="27" t="s">
        <v>740</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753</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788</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807</v>
      </c>
      <c r="B2396" s="27" t="s">
        <v>771</v>
      </c>
      <c r="C2396" s="27" t="s">
        <v>749</v>
      </c>
      <c r="D2396" s="27" t="s">
        <v>740</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931</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1264</v>
      </c>
      <c r="B2398" s="27" t="s">
        <v>779</v>
      </c>
      <c r="C2398" s="27" t="s">
        <v>749</v>
      </c>
      <c r="D2398" s="27" t="s">
        <v>740</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1560</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751</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1561</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763</v>
      </c>
      <c r="B2402" s="27" t="s">
        <v>779</v>
      </c>
      <c r="C2402" s="27" t="s">
        <v>744</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331</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746</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row>
    <row r="2406" spans="1:12">
      <c r="A2406" s="20" t="s">
        <v>767</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1562</v>
      </c>
    </row>
    <row r="2408" spans="1:12">
      <c r="A2408" s="20" t="s">
        <v>880</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753</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941</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831</v>
      </c>
      <c r="B2411" s="27" t="s">
        <v>771</v>
      </c>
      <c r="C2411" s="27" t="s">
        <v>775</v>
      </c>
      <c r="D2411" s="27" t="s">
        <v>740</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1087</v>
      </c>
      <c r="B2412" s="27" t="s">
        <v>777</v>
      </c>
      <c r="C2412" s="27" t="s">
        <v>772</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980</v>
      </c>
      <c r="B2413" s="27" t="s">
        <v>779</v>
      </c>
      <c r="C2413" s="27" t="s">
        <v>780</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845</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1445</v>
      </c>
      <c r="B2415" s="27" t="s">
        <v>777</v>
      </c>
      <c r="C2415" s="27" t="s">
        <v>804</v>
      </c>
      <c r="D2415" s="27" t="s">
        <v>740</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12</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1446</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1563</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753</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1391</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791</v>
      </c>
      <c r="B2421" s="27" t="s">
        <v>728</v>
      </c>
      <c r="C2421" s="27" t="s">
        <v>792</v>
      </c>
      <c r="D2421" s="27" t="s">
        <v>740</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751</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1564</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1565</v>
      </c>
      <c r="B2424" s="27" t="s">
        <v>756</v>
      </c>
      <c r="C2424" s="27" t="s">
        <v>744</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746</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726</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row>
    <row r="2428" spans="1:12">
      <c r="A2428" s="20" t="s">
        <v>767</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1566</v>
      </c>
    </row>
    <row r="2430" spans="1:12">
      <c r="A2430" s="20" t="s">
        <v>813</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1501</v>
      </c>
      <c r="B2431" s="27" t="s">
        <v>728</v>
      </c>
      <c r="C2431" s="27" t="s">
        <v>804</v>
      </c>
      <c r="D2431" s="27" t="s">
        <v>740</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1502</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858</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765</v>
      </c>
      <c r="B2434" s="27" t="s">
        <v>733</v>
      </c>
      <c r="C2434" s="27" t="s">
        <v>772</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1020</v>
      </c>
      <c r="B2435" s="27" t="s">
        <v>756</v>
      </c>
      <c r="C2435" s="27" t="s">
        <v>749</v>
      </c>
      <c r="D2435" s="27" t="s">
        <v>740</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797</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726</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952</v>
      </c>
      <c r="B2438" s="27" t="s">
        <v>771</v>
      </c>
      <c r="C2438" s="27" t="s">
        <v>749</v>
      </c>
      <c r="D2438" s="27" t="s">
        <v>740</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1567</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1500</v>
      </c>
      <c r="B2440" s="27" t="s">
        <v>779</v>
      </c>
      <c r="C2440" s="27" t="s">
        <v>804</v>
      </c>
      <c r="D2440" s="27" t="s">
        <v>740</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765</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746</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row>
    <row r="2444" spans="1:12">
      <c r="A2444" s="20" t="s">
        <v>1568</v>
      </c>
    </row>
    <row r="2445" spans="1:12">
      <c r="A2445" s="20" t="s">
        <v>1554</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1555</v>
      </c>
      <c r="B2446" s="27" t="s">
        <v>756</v>
      </c>
      <c r="C2446" s="27" t="s">
        <v>804</v>
      </c>
      <c r="D2446" s="27" t="s">
        <v>740</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753</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931</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807</v>
      </c>
      <c r="B2449" s="27" t="s">
        <v>728</v>
      </c>
      <c r="C2449" s="27" t="s">
        <v>749</v>
      </c>
      <c r="D2449" s="27" t="s">
        <v>740</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1110</v>
      </c>
      <c r="B2450" s="27" t="s">
        <v>733</v>
      </c>
      <c r="C2450" s="27" t="s">
        <v>792</v>
      </c>
      <c r="D2450" s="27" t="s">
        <v>740</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799</v>
      </c>
      <c r="B2451" s="27" t="s">
        <v>738</v>
      </c>
      <c r="C2451" s="27" t="s">
        <v>908</v>
      </c>
      <c r="D2451" s="27" t="s">
        <v>740</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1569</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422</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753</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1328</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1264</v>
      </c>
      <c r="B2456" s="27" t="s">
        <v>779</v>
      </c>
      <c r="C2456" s="27" t="s">
        <v>749</v>
      </c>
      <c r="D2456" s="27" t="s">
        <v>740</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751</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1561</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763</v>
      </c>
      <c r="B2459" s="27" t="s">
        <v>779</v>
      </c>
      <c r="C2459" s="27" t="s">
        <v>744</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765</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1570</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746</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row>
    <row r="2464" spans="1:12">
      <c r="A2464" s="20" t="s">
        <v>767</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1571</v>
      </c>
    </row>
    <row r="2466" spans="1:12">
      <c r="A2466" s="20" t="s">
        <v>880</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941</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807</v>
      </c>
      <c r="B2468" s="27" t="s">
        <v>795</v>
      </c>
      <c r="C2468" s="27" t="s">
        <v>749</v>
      </c>
      <c r="D2468" s="27" t="s">
        <v>740</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757</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886</v>
      </c>
      <c r="B2470" s="27" t="s">
        <v>777</v>
      </c>
      <c r="C2470" s="27" t="s">
        <v>749</v>
      </c>
      <c r="D2470" s="27" t="s">
        <v>740</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1572</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753</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989</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1388</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807</v>
      </c>
      <c r="B2475" s="27" t="s">
        <v>771</v>
      </c>
      <c r="C2475" s="27" t="s">
        <v>749</v>
      </c>
      <c r="D2475" s="27" t="s">
        <v>740</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1041</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96</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962</v>
      </c>
      <c r="B2478" s="27" t="s">
        <v>733</v>
      </c>
      <c r="C2478" s="27" t="s">
        <v>780</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753</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783</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1260</v>
      </c>
      <c r="B2481" s="27" t="s">
        <v>795</v>
      </c>
      <c r="C2481" s="27" t="s">
        <v>749</v>
      </c>
      <c r="D2481" s="27" t="s">
        <v>740</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1261</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839</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753</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919</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1573</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753</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860</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807</v>
      </c>
      <c r="B2489" s="27" t="s">
        <v>771</v>
      </c>
      <c r="C2489" s="27" t="s">
        <v>749</v>
      </c>
      <c r="D2489" s="27" t="s">
        <v>740</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1338</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1149</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833</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834</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551</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1574</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759</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1575</v>
      </c>
      <c r="B2497" s="27" t="s">
        <v>738</v>
      </c>
      <c r="C2497" s="27" t="s">
        <v>749</v>
      </c>
      <c r="D2497" s="27" t="s">
        <v>740</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1576</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1480</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832</v>
      </c>
      <c r="B2500" s="27" t="s">
        <v>771</v>
      </c>
      <c r="C2500" s="27" t="s">
        <v>749</v>
      </c>
      <c r="D2500" s="27" t="s">
        <v>740</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765</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785</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1577</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1578</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788</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1579</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1403</v>
      </c>
      <c r="B2507" s="27" t="s">
        <v>756</v>
      </c>
      <c r="C2507" s="27" t="s">
        <v>744</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1399</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788</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849</v>
      </c>
      <c r="B2510" s="27" t="s">
        <v>777</v>
      </c>
      <c r="C2510" s="27" t="s">
        <v>828</v>
      </c>
      <c r="D2510" s="27" t="s">
        <v>740</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763</v>
      </c>
      <c r="B2511" s="27" t="s">
        <v>779</v>
      </c>
      <c r="C2511" s="27" t="s">
        <v>734</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833</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1334</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1018</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1580</v>
      </c>
      <c r="B2515" s="27" t="s">
        <v>779</v>
      </c>
      <c r="C2515" s="27" t="s">
        <v>848</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1581</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753</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860</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807</v>
      </c>
      <c r="B2519" s="27" t="s">
        <v>771</v>
      </c>
      <c r="C2519" s="27" t="s">
        <v>749</v>
      </c>
      <c r="D2519" s="27" t="s">
        <v>740</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1576</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753</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832</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1328</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1582</v>
      </c>
      <c r="B2524" s="27" t="s">
        <v>764</v>
      </c>
      <c r="C2524" s="27" t="s">
        <v>775</v>
      </c>
      <c r="D2524" s="27" t="s">
        <v>740</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991</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818</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1102</v>
      </c>
      <c r="B2527" s="27" t="s">
        <v>777</v>
      </c>
      <c r="C2527" s="27" t="s">
        <v>739</v>
      </c>
      <c r="D2527" s="27" t="s">
        <v>740</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1583</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931</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746</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726</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row>
    <row r="2533" spans="1:12">
      <c r="A2533" s="20" t="s">
        <v>1584</v>
      </c>
    </row>
    <row r="2534" spans="1:12">
      <c r="A2534" s="20" t="s">
        <v>1030</v>
      </c>
      <c r="B2534" s="27" t="s">
        <v>728</v>
      </c>
      <c r="C2534" s="27" t="s">
        <v>775</v>
      </c>
      <c r="D2534" s="27" t="s">
        <v>740</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430</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991</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785</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1250</v>
      </c>
      <c r="B2538" s="27" t="s">
        <v>756</v>
      </c>
      <c r="C2538" s="27" t="s">
        <v>744</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753</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991</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818</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736</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1230</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1224</v>
      </c>
      <c r="B2544" s="27" t="s">
        <v>795</v>
      </c>
      <c r="C2544" s="27" t="s">
        <v>739</v>
      </c>
      <c r="D2544" s="27" t="s">
        <v>740</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757</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1110</v>
      </c>
      <c r="B2546" s="27" t="s">
        <v>787</v>
      </c>
      <c r="C2546" s="27" t="s">
        <v>792</v>
      </c>
      <c r="D2546" s="27" t="s">
        <v>740</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788</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1585</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1586</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1587</v>
      </c>
      <c r="B2550" s="27" t="s">
        <v>1027</v>
      </c>
      <c r="C2550" s="27" t="s">
        <v>780</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897</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1588</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1589</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746</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row>
    <row r="2556" spans="1:12">
      <c r="A2556" s="20" t="s">
        <v>1590</v>
      </c>
    </row>
    <row r="2557" spans="1:12">
      <c r="A2557" s="20" t="s">
        <v>880</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1591</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984</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831</v>
      </c>
      <c r="B2560" s="27" t="s">
        <v>771</v>
      </c>
      <c r="C2560" s="27" t="s">
        <v>775</v>
      </c>
      <c r="D2560" s="27" t="s">
        <v>740</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1149</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1133</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1592</v>
      </c>
      <c r="B2563" s="27" t="s">
        <v>756</v>
      </c>
      <c r="C2563" s="27" t="s">
        <v>744</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1593</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753</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1149</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762</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1477</v>
      </c>
      <c r="B2568" s="27" t="s">
        <v>777</v>
      </c>
      <c r="C2568" s="27" t="s">
        <v>828</v>
      </c>
      <c r="D2568" s="27" t="s">
        <v>740</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1594</v>
      </c>
      <c r="B2569" s="27" t="s">
        <v>771</v>
      </c>
      <c r="C2569" s="27" t="s">
        <v>734</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753</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1110</v>
      </c>
      <c r="B2571" s="27" t="s">
        <v>787</v>
      </c>
      <c r="C2571" s="27" t="s">
        <v>792</v>
      </c>
      <c r="D2571" s="27" t="s">
        <v>740</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1587</v>
      </c>
      <c r="B2572" s="27" t="s">
        <v>764</v>
      </c>
      <c r="C2572" s="27" t="s">
        <v>908</v>
      </c>
      <c r="D2572" s="27" t="s">
        <v>740</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765</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1595</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751</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1596</v>
      </c>
      <c r="B2576" s="27" t="s">
        <v>779</v>
      </c>
      <c r="C2576" s="27" t="s">
        <v>744</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1597</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1480</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753</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791</v>
      </c>
      <c r="B2580" s="27" t="s">
        <v>771</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1598</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1599</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811</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746</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row>
    <row r="2586" spans="1:12">
      <c r="A2586" s="20" t="s">
        <v>1600</v>
      </c>
    </row>
    <row r="2587" spans="1:12">
      <c r="A2587" s="20" t="s">
        <v>893</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1107</v>
      </c>
      <c r="B2588" s="27" t="s">
        <v>728</v>
      </c>
      <c r="C2588" s="27" t="s">
        <v>775</v>
      </c>
      <c r="D2588" s="27" t="s">
        <v>740</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438</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914</v>
      </c>
      <c r="B2590" s="27" t="s">
        <v>738</v>
      </c>
      <c r="C2590" s="27" t="s">
        <v>734</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753</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736</v>
      </c>
      <c r="B2592" s="27" t="s">
        <v>795</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1323</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991</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883</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1601</v>
      </c>
      <c r="B2596" s="27" t="s">
        <v>777</v>
      </c>
      <c r="C2596" s="27" t="s">
        <v>804</v>
      </c>
      <c r="D2596" s="27" t="s">
        <v>740</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1261</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37</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753</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1602</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1603</v>
      </c>
      <c r="B2601" s="27" t="s">
        <v>935</v>
      </c>
      <c r="C2601" s="27" t="s">
        <v>804</v>
      </c>
      <c r="D2601" s="27" t="s">
        <v>740</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12</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1604</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753</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736</v>
      </c>
      <c r="B2605" s="27" t="s">
        <v>1398</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991</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791</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1605</v>
      </c>
      <c r="B2608" s="27" t="s">
        <v>1026</v>
      </c>
      <c r="C2608" s="27" t="s">
        <v>739</v>
      </c>
      <c r="D2608" s="27" t="s">
        <v>740</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1606</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788</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1149</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863</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1607</v>
      </c>
      <c r="B2613" s="27" t="s">
        <v>1051</v>
      </c>
      <c r="C2613" s="27" t="s">
        <v>744</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1608</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37</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753</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788</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1609</v>
      </c>
      <c r="B2618" s="27" t="s">
        <v>1404</v>
      </c>
      <c r="C2618" s="27" t="s">
        <v>792</v>
      </c>
      <c r="D2618" s="27" t="s">
        <v>740</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845</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1610</v>
      </c>
      <c r="B2620" s="27" t="s">
        <v>1051</v>
      </c>
      <c r="C2620" s="27" t="s">
        <v>734</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1220</v>
      </c>
      <c r="B2621" s="27" t="s">
        <v>1047</v>
      </c>
      <c r="C2621" s="27" t="s">
        <v>749</v>
      </c>
      <c r="D2621" s="27" t="s">
        <v>740</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741</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1611</v>
      </c>
      <c r="B2623" s="27" t="s">
        <v>1028</v>
      </c>
      <c r="C2623" s="27" t="s">
        <v>744</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1434</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1612</v>
      </c>
      <c r="B2625" s="27" t="s">
        <v>1053</v>
      </c>
      <c r="C2625" s="27" t="s">
        <v>739</v>
      </c>
      <c r="D2625" s="27" t="s">
        <v>740</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788</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1434</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1613</v>
      </c>
      <c r="B2628" s="27" t="s">
        <v>1055</v>
      </c>
      <c r="C2628" s="27" t="s">
        <v>739</v>
      </c>
      <c r="D2628" s="27" t="s">
        <v>740</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1614</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1589</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746</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row>
    <row r="2633" spans="1:12">
      <c r="A2633" s="20" t="s">
        <v>1615</v>
      </c>
    </row>
    <row r="2634" spans="1:12">
      <c r="A2634" s="20" t="s">
        <v>1616</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1617</v>
      </c>
      <c r="B2635" s="27" t="s">
        <v>728</v>
      </c>
      <c r="C2635" s="27" t="s">
        <v>744</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753</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791</v>
      </c>
      <c r="B2637" s="27" t="s">
        <v>935</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1149</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1618</v>
      </c>
      <c r="B2639" s="27" t="s">
        <v>787</v>
      </c>
      <c r="C2639" s="27" t="s">
        <v>734</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1619</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839</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753</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1620</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1621</v>
      </c>
      <c r="B2644" s="27" t="s">
        <v>733</v>
      </c>
      <c r="C2644" s="27" t="s">
        <v>804</v>
      </c>
      <c r="D2644" s="27" t="s">
        <v>740</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753</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1622</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1240</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753</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736</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1623</v>
      </c>
      <c r="B2650" s="27" t="s">
        <v>779</v>
      </c>
      <c r="C2650" s="27" t="s">
        <v>739</v>
      </c>
      <c r="D2650" s="27" t="s">
        <v>740</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1434</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1624</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12</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1625</v>
      </c>
      <c r="B2654" s="27" t="s">
        <v>777</v>
      </c>
      <c r="C2654" s="27" t="s">
        <v>739</v>
      </c>
      <c r="D2654" s="27" t="s">
        <v>740</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765</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1626</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746</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row>
    <row r="2659" spans="1:12">
      <c r="A2659" s="20" t="s">
        <v>1627</v>
      </c>
    </row>
    <row r="2660" spans="1:12">
      <c r="A2660" s="20" t="s">
        <v>1624</v>
      </c>
      <c r="B2660" s="27" t="s">
        <v>728</v>
      </c>
      <c r="C2660" s="27" t="s">
        <v>749</v>
      </c>
      <c r="D2660" s="27" t="s">
        <v>740</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750</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736</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1628</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1611</v>
      </c>
      <c r="B2664" s="27" t="s">
        <v>756</v>
      </c>
      <c r="C2664" s="27" t="s">
        <v>739</v>
      </c>
      <c r="D2664" s="27" t="s">
        <v>740</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1434</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1629</v>
      </c>
      <c r="B2666" s="27" t="s">
        <v>756</v>
      </c>
      <c r="C2666" s="27" t="s">
        <v>739</v>
      </c>
      <c r="D2666" s="27" t="s">
        <v>740</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753</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788</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1630</v>
      </c>
      <c r="B2669" s="27" t="s">
        <v>756</v>
      </c>
      <c r="C2669" s="27" t="s">
        <v>734</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753</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736</v>
      </c>
      <c r="B2671" s="27" t="s">
        <v>795</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1139</v>
      </c>
      <c r="B2672" s="27" t="s">
        <v>787</v>
      </c>
      <c r="C2672" s="27" t="s">
        <v>792</v>
      </c>
      <c r="D2672" s="27" t="s">
        <v>740</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1631</v>
      </c>
      <c r="B2673" s="27" t="s">
        <v>764</v>
      </c>
      <c r="C2673" s="27" t="s">
        <v>908</v>
      </c>
      <c r="D2673" s="27" t="s">
        <v>740</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1602</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87</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753</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788</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791</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1624</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12</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1632</v>
      </c>
      <c r="B2681" s="27" t="s">
        <v>779</v>
      </c>
      <c r="C2681" s="27" t="s">
        <v>739</v>
      </c>
      <c r="D2681" s="27" t="s">
        <v>740</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1633</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753</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1634</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765</v>
      </c>
      <c r="B2685" s="27" t="s">
        <v>777</v>
      </c>
      <c r="C2685" s="27" t="s">
        <v>772</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1235</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1635</v>
      </c>
      <c r="B2687" s="27" t="s">
        <v>733</v>
      </c>
      <c r="C2687" s="27" t="s">
        <v>734</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1636</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746</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row>
    <row r="2691" spans="1:12">
      <c r="A2691" s="20" t="s">
        <v>1637</v>
      </c>
    </row>
    <row r="2692" spans="1:12">
      <c r="A2692" s="20" t="s">
        <v>854</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1638</v>
      </c>
      <c r="B2693" s="27" t="s">
        <v>756</v>
      </c>
      <c r="C2693" s="27" t="s">
        <v>734</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1149</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762</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980</v>
      </c>
      <c r="B2696" s="27" t="s">
        <v>733</v>
      </c>
      <c r="C2696" s="27" t="s">
        <v>739</v>
      </c>
      <c r="D2696" s="27" t="s">
        <v>740</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750</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832</v>
      </c>
      <c r="B2698" s="27" t="s">
        <v>728</v>
      </c>
      <c r="C2698" s="27" t="s">
        <v>749</v>
      </c>
      <c r="D2698" s="27" t="s">
        <v>740</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919</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1018</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834</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746</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row>
    <row r="2704" spans="1:12">
      <c r="A2704" s="20" t="s">
        <v>1639</v>
      </c>
    </row>
    <row r="2705" spans="1:12">
      <c r="A2705" s="20" t="s">
        <v>1040</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1144</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1640</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12</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1641</v>
      </c>
      <c r="B2709" s="27" t="s">
        <v>771</v>
      </c>
      <c r="C2709" s="27" t="s">
        <v>734</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753</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736</v>
      </c>
      <c r="B2711" s="27" t="s">
        <v>935</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991</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818</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1642</v>
      </c>
      <c r="B2714" s="27" t="s">
        <v>787</v>
      </c>
      <c r="C2714" s="27" t="s">
        <v>739</v>
      </c>
      <c r="D2714" s="27" t="s">
        <v>740</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984</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753</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845</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1643</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791</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1445</v>
      </c>
      <c r="B2720" s="27" t="s">
        <v>795</v>
      </c>
      <c r="C2720" s="27" t="s">
        <v>804</v>
      </c>
      <c r="D2720" s="27" t="s">
        <v>740</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12</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1446</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898</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1644</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788</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1645</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991</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818</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1646</v>
      </c>
      <c r="B2729" s="27" t="s">
        <v>787</v>
      </c>
      <c r="C2729" s="27" t="s">
        <v>739</v>
      </c>
      <c r="D2729" s="27" t="s">
        <v>740</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1647</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37</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1173</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753</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783</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1338</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1339</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753</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788</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736</v>
      </c>
      <c r="B2739" s="27" t="s">
        <v>779</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832</v>
      </c>
      <c r="B2740" s="27" t="s">
        <v>795</v>
      </c>
      <c r="C2740" s="27" t="s">
        <v>749</v>
      </c>
      <c r="D2740" s="27" t="s">
        <v>740</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757</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736</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980</v>
      </c>
      <c r="B2743" s="27" t="s">
        <v>777</v>
      </c>
      <c r="C2743" s="27" t="s">
        <v>739</v>
      </c>
      <c r="D2743" s="27" t="s">
        <v>740</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897</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1648</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426</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753</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1110</v>
      </c>
      <c r="B2748" s="27" t="s">
        <v>787</v>
      </c>
      <c r="C2748" s="27" t="s">
        <v>792</v>
      </c>
      <c r="D2748" s="27" t="s">
        <v>740</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1649</v>
      </c>
      <c r="B2749" s="27" t="s">
        <v>764</v>
      </c>
      <c r="C2749" s="27" t="s">
        <v>908</v>
      </c>
      <c r="D2749" s="27" t="s">
        <v>740</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765</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1650</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753</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1056</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1651</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746</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row>
    <row r="2757" spans="1:12">
      <c r="A2757" s="20" t="s">
        <v>1652</v>
      </c>
    </row>
    <row r="2758" spans="1:12">
      <c r="A2758" s="20" t="s">
        <v>813</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936</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87</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831</v>
      </c>
      <c r="B2761" s="27" t="s">
        <v>728</v>
      </c>
      <c r="C2761" s="27" t="s">
        <v>775</v>
      </c>
      <c r="D2761" s="27" t="s">
        <v>740</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903</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1653</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783</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905</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1654</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457</v>
      </c>
      <c r="B2767" s="27" t="s">
        <v>756</v>
      </c>
      <c r="C2767" s="27" t="s">
        <v>734</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746</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row>
    <row r="2770" spans="1:12">
      <c r="A2770" s="20" t="s">
        <v>1655</v>
      </c>
    </row>
    <row r="2771" spans="1:12">
      <c r="A2771" s="20" t="s">
        <v>813</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807</v>
      </c>
      <c r="B2772" s="27" t="s">
        <v>728</v>
      </c>
      <c r="C2772" s="27" t="s">
        <v>749</v>
      </c>
      <c r="D2772" s="27" t="s">
        <v>740</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1656</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1149</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1657</v>
      </c>
      <c r="B2775" s="27" t="s">
        <v>756</v>
      </c>
      <c r="C2775" s="27" t="s">
        <v>772</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746</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row>
    <row r="2778" spans="1:12">
      <c r="A2778" s="20" t="s">
        <v>1658</v>
      </c>
    </row>
    <row r="2779" spans="1:12">
      <c r="A2779" s="20" t="s">
        <v>952</v>
      </c>
      <c r="B2779" s="27" t="s">
        <v>728</v>
      </c>
      <c r="C2779" s="27" t="s">
        <v>749</v>
      </c>
      <c r="D2779" s="27" t="s">
        <v>740</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1659</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883</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1653</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457</v>
      </c>
      <c r="B2783" s="27" t="s">
        <v>738</v>
      </c>
      <c r="C2783" s="27" t="s">
        <v>739</v>
      </c>
      <c r="D2783" s="27" t="s">
        <v>740</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783</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1660</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753</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1661</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788</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1662</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753</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788</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1663</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1664</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970</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883</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1654</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457</v>
      </c>
      <c r="B2797" s="27" t="s">
        <v>733</v>
      </c>
      <c r="C2797" s="27" t="s">
        <v>739</v>
      </c>
      <c r="D2797" s="27" t="s">
        <v>740</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746</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row>
    <row r="2800" spans="1:12">
      <c r="A2800" s="20" t="s">
        <v>1665</v>
      </c>
    </row>
    <row r="2801" spans="1:12">
      <c r="A2801" s="20" t="s">
        <v>880</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807</v>
      </c>
      <c r="B2802" s="27" t="s">
        <v>728</v>
      </c>
      <c r="C2802" s="27" t="s">
        <v>749</v>
      </c>
      <c r="D2802" s="27" t="s">
        <v>740</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1663</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753</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832</v>
      </c>
      <c r="B2805" s="27" t="s">
        <v>771</v>
      </c>
      <c r="C2805" s="27" t="s">
        <v>749</v>
      </c>
      <c r="D2805" s="27" t="s">
        <v>740</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750</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999</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1666</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1596</v>
      </c>
      <c r="B2809" s="27" t="s">
        <v>756</v>
      </c>
      <c r="C2809" s="27" t="s">
        <v>734</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753</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941</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818</v>
      </c>
      <c r="B2812" s="27" t="s">
        <v>771</v>
      </c>
      <c r="C2812" s="27" t="s">
        <v>775</v>
      </c>
      <c r="D2812" s="27" t="s">
        <v>740</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741</v>
      </c>
      <c r="B2813" s="27" t="s">
        <v>771</v>
      </c>
      <c r="C2813" s="27" t="s">
        <v>772</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883</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1088</v>
      </c>
      <c r="B2815" s="27" t="s">
        <v>779</v>
      </c>
      <c r="C2815" s="27" t="s">
        <v>775</v>
      </c>
      <c r="D2815" s="27" t="s">
        <v>740</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1667</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746</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row>
    <row r="2819" spans="1:12">
      <c r="A2819" s="20" t="s">
        <v>1668</v>
      </c>
    </row>
    <row r="2820" spans="1:12">
      <c r="A2820" s="20" t="s">
        <v>813</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941</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807</v>
      </c>
      <c r="B2822" s="27" t="s">
        <v>771</v>
      </c>
      <c r="C2822" s="27" t="s">
        <v>749</v>
      </c>
      <c r="D2822" s="27" t="s">
        <v>740</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1669</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753</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830</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774</v>
      </c>
      <c r="B2826" s="27" t="s">
        <v>771</v>
      </c>
      <c r="C2826" s="27" t="s">
        <v>775</v>
      </c>
      <c r="D2826" s="27" t="s">
        <v>740</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817</v>
      </c>
      <c r="B2827" s="27" t="s">
        <v>779</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249</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1670</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1671</v>
      </c>
      <c r="B2830" s="27" t="s">
        <v>733</v>
      </c>
      <c r="C2830" s="27" t="s">
        <v>734</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830</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883</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1672</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753</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736</v>
      </c>
      <c r="B2835" s="27" t="s">
        <v>1352</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807</v>
      </c>
      <c r="B2836" s="27" t="s">
        <v>1024</v>
      </c>
      <c r="C2836" s="27" t="s">
        <v>749</v>
      </c>
      <c r="D2836" s="27" t="s">
        <v>740</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1673</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1674</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1408</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753</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989</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1675</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807</v>
      </c>
      <c r="B2843" s="27" t="s">
        <v>728</v>
      </c>
      <c r="C2843" s="27" t="s">
        <v>749</v>
      </c>
      <c r="D2843" s="27" t="s">
        <v>740</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886</v>
      </c>
      <c r="B2844" s="27" t="s">
        <v>738</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1149</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1676</v>
      </c>
      <c r="B2846" s="27" t="s">
        <v>733</v>
      </c>
      <c r="C2846" s="27" t="s">
        <v>792</v>
      </c>
      <c r="D2846" s="27" t="s">
        <v>740</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1677</v>
      </c>
      <c r="B2847" s="27" t="s">
        <v>756</v>
      </c>
      <c r="C2847" s="27" t="s">
        <v>908</v>
      </c>
      <c r="D2847" s="27" t="s">
        <v>740</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991</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818</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1678</v>
      </c>
      <c r="B2850" s="27" t="s">
        <v>733</v>
      </c>
      <c r="C2850" s="27" t="s">
        <v>739</v>
      </c>
      <c r="D2850" s="27" t="s">
        <v>740</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1679</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753</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1306</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1643</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818</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1680</v>
      </c>
      <c r="B2856" s="27" t="s">
        <v>795</v>
      </c>
      <c r="C2856" s="27" t="s">
        <v>739</v>
      </c>
      <c r="D2856" s="27" t="s">
        <v>740</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1681</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753</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860</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1260</v>
      </c>
      <c r="B2860" s="27" t="s">
        <v>795</v>
      </c>
      <c r="C2860" s="27" t="s">
        <v>749</v>
      </c>
      <c r="D2860" s="27" t="s">
        <v>740</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736</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1682</v>
      </c>
      <c r="B2862" s="27" t="s">
        <v>764</v>
      </c>
      <c r="C2862" s="27" t="s">
        <v>739</v>
      </c>
      <c r="D2862" s="27" t="s">
        <v>740</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1683</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1684</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1149</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762</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1592</v>
      </c>
      <c r="B2867" s="27" t="s">
        <v>733</v>
      </c>
      <c r="C2867" s="27" t="s">
        <v>739</v>
      </c>
      <c r="D2867" s="27" t="s">
        <v>740</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753</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783</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774</v>
      </c>
      <c r="B2870" s="27" t="s">
        <v>935</v>
      </c>
      <c r="C2870" s="27" t="s">
        <v>775</v>
      </c>
      <c r="D2870" s="27" t="s">
        <v>740</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1685</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955</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762</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1686</v>
      </c>
      <c r="B2874" s="27" t="s">
        <v>787</v>
      </c>
      <c r="C2874" s="27" t="s">
        <v>739</v>
      </c>
      <c r="D2874" s="27" t="s">
        <v>740</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1687</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746</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row>
    <row r="2878" spans="1:12">
      <c r="A2878" s="20" t="s">
        <v>1688</v>
      </c>
    </row>
    <row r="2879" spans="1:12">
      <c r="A2879" s="20" t="s">
        <v>1030</v>
      </c>
      <c r="B2879" s="27" t="s">
        <v>728</v>
      </c>
      <c r="C2879" s="27" t="s">
        <v>775</v>
      </c>
      <c r="D2879" s="27" t="s">
        <v>740</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1123</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861</v>
      </c>
      <c r="B2881" s="27" t="s">
        <v>779</v>
      </c>
      <c r="C2881" s="27" t="s">
        <v>775</v>
      </c>
      <c r="D2881" s="27" t="s">
        <v>740</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1689</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1690</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37</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753</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794</v>
      </c>
      <c r="B2886" s="27" t="s">
        <v>779</v>
      </c>
      <c r="C2886" s="27" t="s">
        <v>775</v>
      </c>
      <c r="D2886" s="27" t="s">
        <v>740</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831</v>
      </c>
      <c r="B2887" s="27" t="s">
        <v>771</v>
      </c>
      <c r="C2887" s="27" t="s">
        <v>775</v>
      </c>
      <c r="D2887" s="27" t="s">
        <v>740</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970</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1691</v>
      </c>
      <c r="B2889" s="27" t="s">
        <v>733</v>
      </c>
      <c r="C2889" s="27" t="s">
        <v>734</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1692</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79</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746</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row>
    <row r="2894" spans="1:12">
      <c r="A2894" s="20" t="s">
        <v>1693</v>
      </c>
    </row>
    <row r="2895" spans="1:12">
      <c r="A2895" s="20" t="s">
        <v>1233</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750</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736</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829</v>
      </c>
      <c r="B2898" s="27" t="s">
        <v>756</v>
      </c>
      <c r="C2898" s="27" t="s">
        <v>739</v>
      </c>
      <c r="D2898" s="27" t="s">
        <v>740</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753</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736</v>
      </c>
      <c r="B2900" s="27" t="s">
        <v>771</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831</v>
      </c>
      <c r="B2901" s="27" t="s">
        <v>771</v>
      </c>
      <c r="C2901" s="27" t="s">
        <v>775</v>
      </c>
      <c r="D2901" s="27" t="s">
        <v>740</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861</v>
      </c>
      <c r="B2902" s="27" t="s">
        <v>779</v>
      </c>
      <c r="C2902" s="27" t="s">
        <v>775</v>
      </c>
      <c r="D2902" s="27" t="s">
        <v>740</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783</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183</v>
      </c>
      <c r="B2904" s="27" t="s">
        <v>733</v>
      </c>
      <c r="C2904" s="27" t="s">
        <v>734</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13</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1123</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753</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794</v>
      </c>
      <c r="B2908" s="27" t="s">
        <v>764</v>
      </c>
      <c r="C2908" s="27" t="s">
        <v>775</v>
      </c>
      <c r="D2908" s="27" t="s">
        <v>740</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831</v>
      </c>
      <c r="B2909" s="27" t="s">
        <v>795</v>
      </c>
      <c r="C2909" s="27" t="s">
        <v>775</v>
      </c>
      <c r="D2909" s="27" t="s">
        <v>740</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1149</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1556</v>
      </c>
      <c r="B2911" s="27" t="s">
        <v>787</v>
      </c>
      <c r="C2911" s="27" t="s">
        <v>828</v>
      </c>
      <c r="D2911" s="27" t="s">
        <v>740</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1162</v>
      </c>
      <c r="B2912" s="27" t="s">
        <v>777</v>
      </c>
      <c r="C2912" s="27" t="s">
        <v>734</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1694</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753</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788</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794</v>
      </c>
      <c r="B2916" s="27" t="s">
        <v>1037</v>
      </c>
      <c r="C2916" s="27" t="s">
        <v>775</v>
      </c>
      <c r="D2916" s="27" t="s">
        <v>740</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831</v>
      </c>
      <c r="B2917" s="27" t="s">
        <v>935</v>
      </c>
      <c r="C2917" s="27" t="s">
        <v>775</v>
      </c>
      <c r="D2917" s="27" t="s">
        <v>740</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1149</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1220</v>
      </c>
      <c r="B2919" s="27" t="s">
        <v>787</v>
      </c>
      <c r="C2919" s="27" t="s">
        <v>749</v>
      </c>
      <c r="D2919" s="27" t="s">
        <v>740</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422</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746</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row>
    <row r="2923" spans="1:12">
      <c r="A2923" s="20" t="s">
        <v>767</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1695</v>
      </c>
    </row>
    <row r="2925" spans="1:12">
      <c r="A2925" s="20" t="s">
        <v>1696</v>
      </c>
      <c r="B2925" s="27" t="s">
        <v>728</v>
      </c>
      <c r="C2925" s="27" t="s">
        <v>804</v>
      </c>
      <c r="D2925" s="27" t="s">
        <v>740</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1697</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753</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751</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1698</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1699</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12</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1700</v>
      </c>
      <c r="B2932" s="27" t="s">
        <v>733</v>
      </c>
      <c r="C2932" s="27" t="s">
        <v>744</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858</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1275</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797</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726</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1701</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183</v>
      </c>
      <c r="B2938" s="27" t="s">
        <v>795</v>
      </c>
      <c r="C2938" s="27" t="s">
        <v>734</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54</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1031</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952</v>
      </c>
      <c r="B2941" s="27" t="s">
        <v>771</v>
      </c>
      <c r="C2941" s="27" t="s">
        <v>749</v>
      </c>
      <c r="D2941" s="27" t="s">
        <v>740</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1702</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753</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944</v>
      </c>
      <c r="B2944" s="27" t="s">
        <v>777</v>
      </c>
      <c r="C2944" s="27" t="s">
        <v>828</v>
      </c>
      <c r="D2944" s="27" t="s">
        <v>740</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924</v>
      </c>
      <c r="B2945" s="27" t="s">
        <v>779</v>
      </c>
      <c r="C2945" s="27" t="s">
        <v>734</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931</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919</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1149</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1699</v>
      </c>
      <c r="B2949" s="27" t="s">
        <v>777</v>
      </c>
      <c r="C2949" s="27" t="s">
        <v>734</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1547</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1031</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54</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1703</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753</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1031</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952</v>
      </c>
      <c r="B2956" s="27" t="s">
        <v>1024</v>
      </c>
      <c r="C2956" s="27" t="s">
        <v>749</v>
      </c>
      <c r="D2956" s="27" t="s">
        <v>740</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1702</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753</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791</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924</v>
      </c>
      <c r="B2960" s="27" t="s">
        <v>1352</v>
      </c>
      <c r="C2960" s="27" t="s">
        <v>739</v>
      </c>
      <c r="D2960" s="27" t="s">
        <v>740</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753</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791</v>
      </c>
      <c r="B2962" s="27" t="s">
        <v>1404</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807</v>
      </c>
      <c r="B2963" s="27" t="s">
        <v>1028</v>
      </c>
      <c r="C2963" s="27" t="s">
        <v>749</v>
      </c>
      <c r="D2963" s="27" t="s">
        <v>740</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1408</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753</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931</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919</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539</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788</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807</v>
      </c>
      <c r="B2970" s="27" t="s">
        <v>1028</v>
      </c>
      <c r="C2970" s="27" t="s">
        <v>749</v>
      </c>
      <c r="D2970" s="27" t="s">
        <v>740</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1388</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751</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1704</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753</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919</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12</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1705</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924</v>
      </c>
      <c r="B2978" s="27" t="s">
        <v>1404</v>
      </c>
      <c r="C2978" s="27" t="s">
        <v>744</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1706</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746</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1031</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row>
    <row r="2983" spans="1:12">
      <c r="A2983" s="20" t="s">
        <v>1707</v>
      </c>
    </row>
    <row r="2984" spans="1:12">
      <c r="A2984" s="20" t="s">
        <v>1708</v>
      </c>
      <c r="B2984" s="27" t="s">
        <v>756</v>
      </c>
      <c r="C2984" s="27" t="s">
        <v>734</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748</v>
      </c>
      <c r="B2985" s="27" t="s">
        <v>728</v>
      </c>
      <c r="C2985" s="27" t="s">
        <v>749</v>
      </c>
      <c r="D2985" s="27" t="s">
        <v>740</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832</v>
      </c>
      <c r="B2986" s="27" t="s">
        <v>738</v>
      </c>
      <c r="C2986" s="27" t="s">
        <v>749</v>
      </c>
      <c r="D2986" s="27" t="s">
        <v>740</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898</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1275</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746</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row>
    <row r="2991" spans="1:12">
      <c r="A2991" s="20" t="s">
        <v>1709</v>
      </c>
    </row>
    <row r="2992" spans="1:12">
      <c r="A2992" s="20" t="s">
        <v>801</v>
      </c>
      <c r="B2992" s="27" t="s">
        <v>728</v>
      </c>
      <c r="C2992" s="27" t="s">
        <v>792</v>
      </c>
      <c r="D2992" s="27" t="s">
        <v>740</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116</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831</v>
      </c>
      <c r="B2994" s="27" t="s">
        <v>728</v>
      </c>
      <c r="C2994" s="27" t="s">
        <v>775</v>
      </c>
      <c r="D2994" s="27" t="s">
        <v>740</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753</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941</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748</v>
      </c>
      <c r="B2997" s="27" t="s">
        <v>771</v>
      </c>
      <c r="C2997" s="27" t="s">
        <v>749</v>
      </c>
      <c r="D2997" s="27" t="s">
        <v>740</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1477</v>
      </c>
      <c r="B2998" s="27" t="s">
        <v>777</v>
      </c>
      <c r="C2998" s="27" t="s">
        <v>828</v>
      </c>
      <c r="D2998" s="27" t="s">
        <v>740</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1710</v>
      </c>
      <c r="B2999" s="27" t="s">
        <v>779</v>
      </c>
      <c r="C2999" s="27" t="s">
        <v>734</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1711</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746</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row>
    <row r="3003" spans="1:12">
      <c r="A3003" s="20" t="s">
        <v>767</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1712</v>
      </c>
    </row>
    <row r="3005" spans="1:12">
      <c r="A3005" s="20" t="s">
        <v>801</v>
      </c>
      <c r="B3005" s="27" t="s">
        <v>728</v>
      </c>
      <c r="C3005" s="27" t="s">
        <v>792</v>
      </c>
      <c r="D3005" s="27" t="s">
        <v>740</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116</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831</v>
      </c>
      <c r="B3007" s="27" t="s">
        <v>728</v>
      </c>
      <c r="C3007" s="27" t="s">
        <v>775</v>
      </c>
      <c r="D3007" s="27" t="s">
        <v>740</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753</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941</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748</v>
      </c>
      <c r="B3010" s="27" t="s">
        <v>771</v>
      </c>
      <c r="C3010" s="27" t="s">
        <v>749</v>
      </c>
      <c r="D3010" s="27" t="s">
        <v>740</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1328</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1713</v>
      </c>
      <c r="B3012" s="27" t="s">
        <v>733</v>
      </c>
      <c r="C3012" s="27" t="s">
        <v>734</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1714</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759</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860</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1715</v>
      </c>
      <c r="B3016" s="27" t="s">
        <v>787</v>
      </c>
      <c r="C3016" s="27" t="s">
        <v>828</v>
      </c>
      <c r="D3016" s="27" t="s">
        <v>740</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1716</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1717</v>
      </c>
      <c r="B3018" s="27" t="s">
        <v>795</v>
      </c>
      <c r="C3018" s="27" t="s">
        <v>1103</v>
      </c>
      <c r="D3018" s="27" t="s">
        <v>740</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757</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861</v>
      </c>
      <c r="B3020" s="27" t="s">
        <v>787</v>
      </c>
      <c r="C3020" s="27" t="s">
        <v>775</v>
      </c>
      <c r="D3020" s="27" t="s">
        <v>740</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750</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753</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860</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831</v>
      </c>
      <c r="B3024" s="27" t="s">
        <v>1024</v>
      </c>
      <c r="C3024" s="27" t="s">
        <v>775</v>
      </c>
      <c r="D3024" s="27" t="s">
        <v>740</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1718</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1719</v>
      </c>
      <c r="B3026" s="27" t="s">
        <v>1352</v>
      </c>
      <c r="C3026" s="27" t="s">
        <v>744</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1720</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765</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1078</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753</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788</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751</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1721</v>
      </c>
      <c r="B3033" s="27" t="s">
        <v>787</v>
      </c>
      <c r="C3033" s="27" t="s">
        <v>744</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753</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883</v>
      </c>
      <c r="B3035" s="27" t="s">
        <v>1045</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881</v>
      </c>
      <c r="B3036" s="27" t="s">
        <v>1045</v>
      </c>
      <c r="C3036" s="27" t="s">
        <v>749</v>
      </c>
      <c r="D3036" s="27" t="s">
        <v>740</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1239</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1722</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753</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883</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1723</v>
      </c>
      <c r="B3041" s="27" t="s">
        <v>764</v>
      </c>
      <c r="C3041" s="27" t="s">
        <v>739</v>
      </c>
      <c r="D3041" s="27" t="s">
        <v>740</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1724</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1725</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1726</v>
      </c>
      <c r="B3044" s="27" t="s">
        <v>777</v>
      </c>
      <c r="C3044" s="27" t="s">
        <v>848</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1727</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746</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726</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row>
    <row r="3049" spans="1:12">
      <c r="A3049" s="20" t="s">
        <v>1728</v>
      </c>
    </row>
    <row r="3050" spans="1:12">
      <c r="A3050" s="20" t="s">
        <v>1040</v>
      </c>
      <c r="B3050" s="27" t="s">
        <v>728</v>
      </c>
      <c r="C3050" s="27" t="s">
        <v>749</v>
      </c>
      <c r="D3050" s="27" t="s">
        <v>740</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750</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741</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1266</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1729</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732</v>
      </c>
      <c r="B3055" s="27" t="s">
        <v>756</v>
      </c>
      <c r="C3055" s="27" t="s">
        <v>744</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753</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896</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774</v>
      </c>
      <c r="B3058" s="27" t="s">
        <v>771</v>
      </c>
      <c r="C3058" s="27" t="s">
        <v>775</v>
      </c>
      <c r="D3058" s="27" t="s">
        <v>740</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1730</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955</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736</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1141</v>
      </c>
      <c r="B3062" s="27" t="s">
        <v>733</v>
      </c>
      <c r="C3062" s="27" t="s">
        <v>739</v>
      </c>
      <c r="D3062" s="27" t="s">
        <v>740</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753</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860</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980</v>
      </c>
      <c r="B3065" s="27" t="s">
        <v>795</v>
      </c>
      <c r="C3065" s="27" t="s">
        <v>734</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817</v>
      </c>
      <c r="B3066" s="27" t="s">
        <v>764</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762</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763</v>
      </c>
      <c r="B3068" s="27" t="s">
        <v>764</v>
      </c>
      <c r="C3068" s="27" t="s">
        <v>739</v>
      </c>
      <c r="D3068" s="27" t="s">
        <v>740</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1731</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753</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791</v>
      </c>
      <c r="B3071" s="27" t="s">
        <v>1037</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774</v>
      </c>
      <c r="B3072" s="27" t="s">
        <v>935</v>
      </c>
      <c r="C3072" s="27" t="s">
        <v>775</v>
      </c>
      <c r="D3072" s="27" t="s">
        <v>740</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87</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753</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788</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860</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774</v>
      </c>
      <c r="B3077" s="27" t="s">
        <v>771</v>
      </c>
      <c r="C3077" s="27" t="s">
        <v>775</v>
      </c>
      <c r="D3077" s="27" t="s">
        <v>740</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919</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1732</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753</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1733</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1056</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1734</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37</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46</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746</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row>
    <row r="3088" spans="1:12">
      <c r="A3088" s="20" t="s">
        <v>1735</v>
      </c>
    </row>
    <row r="3089" spans="1:12">
      <c r="A3089" s="20" t="s">
        <v>748</v>
      </c>
      <c r="B3089" s="27" t="s">
        <v>728</v>
      </c>
      <c r="C3089" s="27" t="s">
        <v>749</v>
      </c>
      <c r="D3089" s="27" t="s">
        <v>740</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46</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736</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1403</v>
      </c>
      <c r="B3092" s="27" t="s">
        <v>756</v>
      </c>
      <c r="C3092" s="27" t="s">
        <v>739</v>
      </c>
      <c r="D3092" s="27" t="s">
        <v>740</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1078</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753</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765</v>
      </c>
      <c r="B3095" s="27" t="s">
        <v>777</v>
      </c>
      <c r="C3095" s="27" t="s">
        <v>772</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818</v>
      </c>
      <c r="B3096" s="27" t="s">
        <v>733</v>
      </c>
      <c r="C3096" s="27" t="s">
        <v>775</v>
      </c>
      <c r="D3096" s="27" t="s">
        <v>740</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774</v>
      </c>
      <c r="B3097" s="27" t="s">
        <v>771</v>
      </c>
      <c r="C3097" s="27" t="s">
        <v>775</v>
      </c>
      <c r="D3097" s="27" t="s">
        <v>740</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1736</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984</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746</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row>
    <row r="3102" spans="1:12">
      <c r="A3102" s="20" t="s">
        <v>1737</v>
      </c>
    </row>
    <row r="3103" spans="1:12">
      <c r="A3103" s="20" t="s">
        <v>1130</v>
      </c>
      <c r="B3103" s="27" t="s">
        <v>728</v>
      </c>
      <c r="C3103" s="27" t="s">
        <v>772</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818</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1498</v>
      </c>
      <c r="B3105" s="27" t="s">
        <v>733</v>
      </c>
      <c r="C3105" s="27" t="s">
        <v>739</v>
      </c>
      <c r="D3105" s="27" t="s">
        <v>740</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753</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736</v>
      </c>
      <c r="B3107" s="27" t="s">
        <v>764</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807</v>
      </c>
      <c r="B3108" s="27" t="s">
        <v>795</v>
      </c>
      <c r="C3108" s="27" t="s">
        <v>749</v>
      </c>
      <c r="D3108" s="27" t="s">
        <v>740</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757</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1414</v>
      </c>
      <c r="B3110" s="27" t="s">
        <v>787</v>
      </c>
      <c r="C3110" s="27" t="s">
        <v>792</v>
      </c>
      <c r="D3110" s="27" t="s">
        <v>740</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1738</v>
      </c>
      <c r="B3111" s="27" t="s">
        <v>777</v>
      </c>
      <c r="C3111" s="27" t="s">
        <v>908</v>
      </c>
      <c r="D3111" s="27" t="s">
        <v>740</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1739</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1408</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753</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811</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736</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938</v>
      </c>
      <c r="B3117" s="27" t="s">
        <v>756</v>
      </c>
      <c r="C3117" s="27" t="s">
        <v>739</v>
      </c>
      <c r="D3117" s="27" t="s">
        <v>740</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999</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1740</v>
      </c>
      <c r="B3119" s="27" t="s">
        <v>756</v>
      </c>
      <c r="C3119" s="27" t="s">
        <v>804</v>
      </c>
      <c r="D3119" s="27" t="s">
        <v>740</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1741</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753</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1133</v>
      </c>
      <c r="B3122" s="27" t="s">
        <v>756</v>
      </c>
      <c r="C3122" s="27" t="s">
        <v>772</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818</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1742</v>
      </c>
      <c r="B3124" s="27" t="s">
        <v>733</v>
      </c>
      <c r="C3124" s="27" t="s">
        <v>739</v>
      </c>
      <c r="D3124" s="27" t="s">
        <v>740</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1434</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1743</v>
      </c>
      <c r="B3126" s="27" t="s">
        <v>777</v>
      </c>
      <c r="C3126" s="27" t="s">
        <v>804</v>
      </c>
      <c r="D3126" s="27" t="s">
        <v>740</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12</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1744</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746</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row>
    <row r="3131" spans="1:12">
      <c r="A3131" s="20" t="s">
        <v>1745</v>
      </c>
    </row>
    <row r="3132" spans="1:12">
      <c r="A3132" s="20" t="s">
        <v>1040</v>
      </c>
      <c r="B3132" s="27" t="s">
        <v>728</v>
      </c>
      <c r="C3132" s="27" t="s">
        <v>749</v>
      </c>
      <c r="D3132" s="27" t="s">
        <v>740</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1746</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1747</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753</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1008</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807</v>
      </c>
      <c r="B3137" s="27" t="s">
        <v>771</v>
      </c>
      <c r="C3137" s="27" t="s">
        <v>749</v>
      </c>
      <c r="D3137" s="27" t="s">
        <v>740</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774</v>
      </c>
      <c r="B3138" s="27" t="s">
        <v>779</v>
      </c>
      <c r="C3138" s="27" t="s">
        <v>775</v>
      </c>
      <c r="D3138" s="27" t="s">
        <v>740</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1167</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1748</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1287</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753</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845</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1020</v>
      </c>
      <c r="B3144" s="27" t="s">
        <v>777</v>
      </c>
      <c r="C3144" s="27" t="s">
        <v>749</v>
      </c>
      <c r="D3144" s="27" t="s">
        <v>740</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765</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30</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753</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788</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783</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774</v>
      </c>
      <c r="B3150" s="27" t="s">
        <v>733</v>
      </c>
      <c r="C3150" s="27" t="s">
        <v>775</v>
      </c>
      <c r="D3150" s="27" t="s">
        <v>740</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832</v>
      </c>
      <c r="B3151" s="27" t="s">
        <v>779</v>
      </c>
      <c r="C3151" s="27" t="s">
        <v>749</v>
      </c>
      <c r="D3151" s="27" t="s">
        <v>740</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1749</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753</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947</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817</v>
      </c>
      <c r="B3155" s="27" t="s">
        <v>738</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928</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1360</v>
      </c>
      <c r="B3157" s="27" t="s">
        <v>728</v>
      </c>
      <c r="C3157" s="27" t="s">
        <v>848</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833</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991</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1220</v>
      </c>
      <c r="B3160" s="27" t="s">
        <v>756</v>
      </c>
      <c r="C3160" s="27" t="s">
        <v>749</v>
      </c>
      <c r="D3160" s="27" t="s">
        <v>740</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1750</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753</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860</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774</v>
      </c>
      <c r="B3164" s="27" t="s">
        <v>795</v>
      </c>
      <c r="C3164" s="27" t="s">
        <v>775</v>
      </c>
      <c r="D3164" s="27" t="s">
        <v>740</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919</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1720</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1751</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753</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774</v>
      </c>
      <c r="B3169" s="27" t="s">
        <v>1037</v>
      </c>
      <c r="C3169" s="27" t="s">
        <v>775</v>
      </c>
      <c r="D3169" s="27" t="s">
        <v>740</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765</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1752</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746</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row>
    <row r="3174" spans="1:12">
      <c r="A3174" s="20" t="s">
        <v>1753</v>
      </c>
    </row>
    <row r="3175" spans="1:12">
      <c r="A3175" s="20" t="s">
        <v>1754</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762</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1421</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1755</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1756</v>
      </c>
      <c r="B3179" s="27" t="s">
        <v>756</v>
      </c>
      <c r="C3179" s="27" t="s">
        <v>739</v>
      </c>
      <c r="D3179" s="27" t="s">
        <v>740</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759</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1133</v>
      </c>
      <c r="B3181" s="27" t="s">
        <v>738</v>
      </c>
      <c r="C3181" s="27" t="s">
        <v>775</v>
      </c>
      <c r="D3181" s="27" t="s">
        <v>740</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999</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1757</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759</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1758</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807</v>
      </c>
      <c r="B3186" s="27" t="s">
        <v>728</v>
      </c>
      <c r="C3186" s="27" t="s">
        <v>749</v>
      </c>
      <c r="D3186" s="27" t="s">
        <v>740</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1018</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783</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21</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1759</v>
      </c>
      <c r="B3190" s="27" t="s">
        <v>756</v>
      </c>
      <c r="C3190" s="27" t="s">
        <v>780</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1149</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1760</v>
      </c>
      <c r="B3192" s="27" t="s">
        <v>756</v>
      </c>
      <c r="C3192" s="27" t="s">
        <v>734</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955</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746</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row>
    <row r="3196" spans="1:12">
      <c r="A3196" s="20" t="s">
        <v>1761</v>
      </c>
    </row>
    <row r="3197" spans="1:12">
      <c r="A3197" s="20" t="s">
        <v>813</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1149</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762</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1762</v>
      </c>
      <c r="B3200" s="27" t="s">
        <v>756</v>
      </c>
      <c r="C3200" s="27" t="s">
        <v>739</v>
      </c>
      <c r="D3200" s="27" t="s">
        <v>740</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1485</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831</v>
      </c>
      <c r="B3202" s="27" t="s">
        <v>728</v>
      </c>
      <c r="C3202" s="27" t="s">
        <v>775</v>
      </c>
      <c r="D3202" s="27" t="s">
        <v>740</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1087</v>
      </c>
      <c r="B3203" s="27" t="s">
        <v>738</v>
      </c>
      <c r="C3203" s="27" t="s">
        <v>772</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1763</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746</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row>
    <row r="3207" spans="1:12">
      <c r="A3207" s="20" t="s">
        <v>1764</v>
      </c>
    </row>
    <row r="3208" spans="1:12">
      <c r="A3208" s="20" t="s">
        <v>1030</v>
      </c>
      <c r="B3208" s="27" t="s">
        <v>728</v>
      </c>
      <c r="C3208" s="27" t="s">
        <v>775</v>
      </c>
      <c r="D3208" s="27" t="s">
        <v>740</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1765</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991</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818</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1766</v>
      </c>
      <c r="B3212" s="27" t="s">
        <v>756</v>
      </c>
      <c r="C3212" s="27" t="s">
        <v>739</v>
      </c>
      <c r="D3212" s="27" t="s">
        <v>740</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746</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row>
    <row r="3215" spans="1:12">
      <c r="A3215" s="20" t="s">
        <v>767</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1767</v>
      </c>
    </row>
    <row r="3217" spans="1:12">
      <c r="A3217" s="20" t="s">
        <v>1768</v>
      </c>
      <c r="B3217" s="27" t="s">
        <v>728</v>
      </c>
      <c r="C3217" s="27" t="s">
        <v>804</v>
      </c>
      <c r="D3217" s="27" t="s">
        <v>740</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1741</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949</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1769</v>
      </c>
      <c r="B3220" s="27" t="s">
        <v>738</v>
      </c>
      <c r="C3220" s="27" t="s">
        <v>734</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753</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788</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807</v>
      </c>
      <c r="B3223" s="27" t="s">
        <v>771</v>
      </c>
      <c r="C3223" s="27" t="s">
        <v>749</v>
      </c>
      <c r="D3223" s="27" t="s">
        <v>740</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858</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797</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726</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1701</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1740</v>
      </c>
      <c r="B3228" s="27" t="s">
        <v>935</v>
      </c>
      <c r="C3228" s="27" t="s">
        <v>804</v>
      </c>
      <c r="D3228" s="27" t="s">
        <v>740</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1770</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1493</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1391</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753</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87</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748</v>
      </c>
      <c r="B3234" s="27" t="s">
        <v>795</v>
      </c>
      <c r="C3234" s="27" t="s">
        <v>749</v>
      </c>
      <c r="D3234" s="27" t="s">
        <v>740</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741</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1771</v>
      </c>
      <c r="B3236" s="27" t="s">
        <v>764</v>
      </c>
      <c r="C3236" s="27" t="s">
        <v>744</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753</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794</v>
      </c>
      <c r="B3238" s="27" t="s">
        <v>1024</v>
      </c>
      <c r="C3238" s="27" t="s">
        <v>775</v>
      </c>
      <c r="D3238" s="27" t="s">
        <v>740</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748</v>
      </c>
      <c r="B3239" s="27" t="s">
        <v>1024</v>
      </c>
      <c r="C3239" s="27" t="s">
        <v>749</v>
      </c>
      <c r="D3239" s="27" t="s">
        <v>740</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1302</v>
      </c>
      <c r="B3240" s="27" t="s">
        <v>1352</v>
      </c>
      <c r="C3240" s="27" t="s">
        <v>749</v>
      </c>
      <c r="D3240" s="27" t="s">
        <v>740</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989</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401</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1772</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836</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726</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row>
    <row r="3247" spans="1:12">
      <c r="A3247" s="20" t="s">
        <v>767</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1773</v>
      </c>
    </row>
    <row r="3249" spans="1:12">
      <c r="A3249" s="20" t="s">
        <v>813</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1078</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1417</v>
      </c>
      <c r="B3251" s="27" t="s">
        <v>728</v>
      </c>
      <c r="C3251" s="27" t="s">
        <v>848</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858</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797</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726</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1774</v>
      </c>
      <c r="B3255" s="27" t="s">
        <v>756</v>
      </c>
      <c r="C3255" s="27" t="s">
        <v>804</v>
      </c>
      <c r="D3255" s="27" t="s">
        <v>740</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1459</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1775</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row>
    <row r="3259" spans="1:12">
      <c r="A3259" s="20" t="s">
        <v>767</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1776</v>
      </c>
    </row>
    <row r="3261" spans="1:12">
      <c r="A3261" s="20" t="s">
        <v>952</v>
      </c>
      <c r="B3261" s="27" t="s">
        <v>728</v>
      </c>
      <c r="C3261" s="27" t="s">
        <v>749</v>
      </c>
      <c r="D3261" s="27" t="s">
        <v>740</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931</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1302</v>
      </c>
      <c r="B3263" s="27" t="s">
        <v>738</v>
      </c>
      <c r="C3263" s="27" t="s">
        <v>749</v>
      </c>
      <c r="D3263" s="27" t="s">
        <v>740</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401</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753</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794</v>
      </c>
      <c r="B3266" s="27" t="s">
        <v>779</v>
      </c>
      <c r="C3266" s="27" t="s">
        <v>775</v>
      </c>
      <c r="D3266" s="27" t="s">
        <v>740</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765</v>
      </c>
      <c r="B3267" s="27" t="s">
        <v>777</v>
      </c>
      <c r="C3267" s="27" t="s">
        <v>772</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762</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1777</v>
      </c>
      <c r="B3269" s="27" t="s">
        <v>733</v>
      </c>
      <c r="C3269" s="27" t="s">
        <v>739</v>
      </c>
      <c r="D3269" s="27" t="s">
        <v>740</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1260</v>
      </c>
      <c r="B3270" s="27" t="s">
        <v>771</v>
      </c>
      <c r="C3270" s="27" t="s">
        <v>749</v>
      </c>
      <c r="D3270" s="27" t="s">
        <v>740</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817</v>
      </c>
      <c r="B3271" s="27" t="s">
        <v>779</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1240</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1778</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1480</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753</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833</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1036</v>
      </c>
      <c r="B3277" s="27" t="s">
        <v>779</v>
      </c>
      <c r="C3277" s="27" t="s">
        <v>772</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765</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125</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746</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726</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row>
    <row r="3283" spans="1:12">
      <c r="A3283" s="20" t="s">
        <v>1779</v>
      </c>
    </row>
    <row r="3284" spans="1:12">
      <c r="A3284" s="20" t="s">
        <v>813</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1768</v>
      </c>
      <c r="B3285" s="27" t="s">
        <v>728</v>
      </c>
      <c r="C3285" s="27" t="s">
        <v>804</v>
      </c>
      <c r="D3285" s="27" t="s">
        <v>740</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1780</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955</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883</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1781</v>
      </c>
      <c r="B3289" s="27" t="s">
        <v>756</v>
      </c>
      <c r="C3289" s="27" t="s">
        <v>739</v>
      </c>
      <c r="D3289" s="27" t="s">
        <v>740</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788</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934</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741</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1782</v>
      </c>
      <c r="B3293" s="27" t="s">
        <v>779</v>
      </c>
      <c r="C3293" s="27" t="s">
        <v>744</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1009</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746</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row>
    <row r="3297" spans="1:12">
      <c r="A3297" s="20" t="s">
        <v>767</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1783</v>
      </c>
    </row>
    <row r="3299" spans="1:12">
      <c r="A3299" s="20" t="s">
        <v>1065</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1780</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774</v>
      </c>
      <c r="B3301" s="27" t="s">
        <v>728</v>
      </c>
      <c r="C3301" s="27" t="s">
        <v>775</v>
      </c>
      <c r="D3301" s="27" t="s">
        <v>740</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955</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788</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858</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797</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726</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952</v>
      </c>
      <c r="B3307" s="27" t="s">
        <v>795</v>
      </c>
      <c r="C3307" s="27" t="s">
        <v>749</v>
      </c>
      <c r="D3307" s="27" t="s">
        <v>740</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931</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1302</v>
      </c>
      <c r="B3309" s="27" t="s">
        <v>764</v>
      </c>
      <c r="C3309" s="27" t="s">
        <v>749</v>
      </c>
      <c r="D3309" s="27" t="s">
        <v>740</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101</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753</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1020</v>
      </c>
      <c r="B3312" s="27" t="s">
        <v>779</v>
      </c>
      <c r="C3312" s="27" t="s">
        <v>749</v>
      </c>
      <c r="D3312" s="27" t="s">
        <v>740</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765</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1784</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753</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1249</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847</v>
      </c>
      <c r="B3317" s="27" t="s">
        <v>795</v>
      </c>
      <c r="C3317" s="27" t="s">
        <v>848</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1785</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765</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1078</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753</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788</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781</v>
      </c>
      <c r="B3323" s="27" t="s">
        <v>777</v>
      </c>
      <c r="C3323" s="27" t="s">
        <v>775</v>
      </c>
      <c r="D3323" s="27" t="s">
        <v>740</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1771</v>
      </c>
      <c r="B3324" s="27" t="s">
        <v>779</v>
      </c>
      <c r="C3324" s="27" t="s">
        <v>780</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1167</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1786</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765</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87</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753</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794</v>
      </c>
      <c r="B3330" s="27" t="s">
        <v>771</v>
      </c>
      <c r="C3330" s="27" t="s">
        <v>775</v>
      </c>
      <c r="D3330" s="27" t="s">
        <v>740</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991</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1353</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1787</v>
      </c>
      <c r="B3333" s="27" t="s">
        <v>733</v>
      </c>
      <c r="C3333" s="27" t="s">
        <v>848</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1041</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817</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844</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746</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726</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row>
    <row r="3340" spans="1:12">
      <c r="A3340" s="20" t="s">
        <v>767</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1788</v>
      </c>
    </row>
    <row r="3342" spans="1:12">
      <c r="A3342" s="20" t="s">
        <v>769</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807</v>
      </c>
      <c r="B3343" s="27" t="s">
        <v>771</v>
      </c>
      <c r="C3343" s="27" t="s">
        <v>749</v>
      </c>
      <c r="D3343" s="27" t="s">
        <v>740</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886</v>
      </c>
      <c r="B3344" s="27" t="s">
        <v>779</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751</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1519</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809</v>
      </c>
      <c r="B3347" s="27" t="s">
        <v>777</v>
      </c>
      <c r="C3347" s="27" t="s">
        <v>744</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1124</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1789</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845</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881</v>
      </c>
      <c r="B3351" s="27" t="s">
        <v>733</v>
      </c>
      <c r="C3351" s="27" t="s">
        <v>749</v>
      </c>
      <c r="D3351" s="27" t="s">
        <v>740</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765</v>
      </c>
      <c r="B3352" s="27" t="s">
        <v>777</v>
      </c>
      <c r="C3352" s="27" t="s">
        <v>772</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762</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1769</v>
      </c>
      <c r="B3354" s="27" t="s">
        <v>733</v>
      </c>
      <c r="C3354" s="27" t="s">
        <v>739</v>
      </c>
      <c r="D3354" s="27" t="s">
        <v>740</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1790</v>
      </c>
      <c r="B3355" s="27" t="s">
        <v>756</v>
      </c>
      <c r="C3355" s="27" t="s">
        <v>1103</v>
      </c>
      <c r="D3355" s="27" t="s">
        <v>740</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759</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1718</v>
      </c>
      <c r="B3357" s="27" t="s">
        <v>733</v>
      </c>
      <c r="C3357" s="27" t="s">
        <v>775</v>
      </c>
      <c r="D3357" s="27" t="s">
        <v>740</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999</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1757</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1769</v>
      </c>
      <c r="B3360" s="27" t="s">
        <v>777</v>
      </c>
      <c r="C3360" s="27" t="s">
        <v>780</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753</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736</v>
      </c>
      <c r="B3362" s="27" t="s">
        <v>1352</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831</v>
      </c>
      <c r="B3363" s="27" t="s">
        <v>1024</v>
      </c>
      <c r="C3363" s="27" t="s">
        <v>775</v>
      </c>
      <c r="D3363" s="27" t="s">
        <v>740</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1791</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1792</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759</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858</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774</v>
      </c>
      <c r="B3368" s="27" t="s">
        <v>728</v>
      </c>
      <c r="C3368" s="27" t="s">
        <v>775</v>
      </c>
      <c r="D3368" s="27" t="s">
        <v>740</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797</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726</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1793</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912</v>
      </c>
      <c r="B3372" s="27" t="s">
        <v>771</v>
      </c>
      <c r="C3372" s="27" t="s">
        <v>749</v>
      </c>
      <c r="D3372" s="27" t="s">
        <v>740</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753</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783</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832</v>
      </c>
      <c r="B3375" s="27" t="s">
        <v>795</v>
      </c>
      <c r="C3375" s="27" t="s">
        <v>749</v>
      </c>
      <c r="D3375" s="27" t="s">
        <v>740</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1794</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1795</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750</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753</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1702</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807</v>
      </c>
      <c r="B3381" s="27" t="s">
        <v>795</v>
      </c>
      <c r="C3381" s="27" t="s">
        <v>749</v>
      </c>
      <c r="D3381" s="27" t="s">
        <v>740</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753</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860</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807</v>
      </c>
      <c r="B3384" s="27" t="s">
        <v>935</v>
      </c>
      <c r="C3384" s="27" t="s">
        <v>749</v>
      </c>
      <c r="D3384" s="27" t="s">
        <v>740</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1550</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1796</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788</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1550</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914</v>
      </c>
      <c r="B3389" s="27" t="s">
        <v>1352</v>
      </c>
      <c r="C3389" s="27" t="s">
        <v>734</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1786</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1388</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746</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row>
    <row r="3394" spans="1:12">
      <c r="A3394" s="20" t="s">
        <v>1797</v>
      </c>
    </row>
    <row r="3395" spans="1:12">
      <c r="A3395" s="20" t="s">
        <v>1701</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807</v>
      </c>
      <c r="B3396" s="27" t="s">
        <v>771</v>
      </c>
      <c r="C3396" s="27" t="s">
        <v>749</v>
      </c>
      <c r="D3396" s="27" t="s">
        <v>740</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1550</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736</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1798</v>
      </c>
      <c r="B3399" s="27" t="s">
        <v>779</v>
      </c>
      <c r="C3399" s="27" t="s">
        <v>804</v>
      </c>
      <c r="D3399" s="27" t="s">
        <v>740</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1799</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1345</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1800</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788</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1284</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1500</v>
      </c>
      <c r="B3405" s="27" t="s">
        <v>795</v>
      </c>
      <c r="C3405" s="27" t="s">
        <v>804</v>
      </c>
      <c r="D3405" s="27" t="s">
        <v>740</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1801</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1388</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753</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1388</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1414</v>
      </c>
      <c r="B3410" s="27" t="s">
        <v>733</v>
      </c>
      <c r="C3410" s="27" t="s">
        <v>792</v>
      </c>
      <c r="D3410" s="27" t="s">
        <v>740</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924</v>
      </c>
      <c r="B3411" s="27" t="s">
        <v>738</v>
      </c>
      <c r="C3411" s="27" t="s">
        <v>908</v>
      </c>
      <c r="D3411" s="27" t="s">
        <v>740</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919</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1247</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788</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1110</v>
      </c>
      <c r="B3415" s="27" t="s">
        <v>777</v>
      </c>
      <c r="C3415" s="27" t="s">
        <v>792</v>
      </c>
      <c r="D3415" s="27" t="s">
        <v>740</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1802</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t="s">
        <v>1803</v>
      </c>
      <c r="B3417" s="27" t="s">
        <v>771</v>
      </c>
      <c r="C3417" s="27" t="s">
        <v>908</v>
      </c>
      <c r="D3417" s="27" t="s">
        <v>740</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t="s">
        <v>1391</v>
      </c>
      <c r="E3418" s="21">
        <f>IF(D3418="?OLD","!!!","")</f>
        <v/>
      </c>
      <c r="F3418" s="22" t="str">
        <f>IF(OR(E3418="",E3418="!!!"),"",IF(NOT(ISNA(VLOOKUP(E3418,E$1:E3417,1,FALSE()))),"OLD",IF(AND(E3418&lt;&gt;"",E3418&lt;&gt;"!!!"),"NEW","")))</f>
        <v> </v>
      </c>
      <c r="G3418" s="23" t="str">
        <f>IF(OR(E3418="",E3418="!!!"),"",IF(OR(J3418=0,AND(J3418=1,K3418=1),AND(J3418=1,I3418="SBJ"),AND(J3418=1,I3418=0)),"?IN_FOCUS",IF(J3418&lt;=2,"?ACTIVATED",IF(J3418&lt;&gt;"","?FAMILIAR",IF(F3418="NEW",IF(ISNA(VLOOKUP(E3418,#REF!,1,FALSE())),"?TYPE_IDENTIFIABLE","?REFERENTIAL"),"_")))))</f>
        <v> </v>
      </c>
      <c r="H3418" s="24" t="str">
        <f>IF(J3418&lt;&gt;1,"",IF(I3418="SBJ","CB","?"))</f>
        <v> </v>
      </c>
      <c r="I3418" s="25" t="str">
        <f>IF(OR(E3418="",E3418="!!!",F3418="NEW"),"",INDEX(B3417:B$2,-1+SUMPRODUCT(MAX(ROW(E3417:E$2)*(E3418=E3417:E$2)))))</f>
        <v> </v>
      </c>
      <c r="J3418" s="25" t="str">
        <f>IF(OR(E3418="",E3418="!!!",F3418="NEW"),"",COUNTBLANK(OFFSET(A$1,,,SUMPRODUCT(MAX(ROW(E$2:E3418)*(E3418=E$2:E3418)))))-COUNTBLANK(OFFSET(A$1,,,SUMPRODUCT(MAX(ROW(E$1:E3417)*(E2=E$1:E3417))))))</f>
        <v> </v>
      </c>
      <c r="K3418" s="25" t="str">
        <f>IF(OR(E3418="",E3418="!!!",F3418="NEW"),"",INDEX(J$1:J3417,SUMPRODUCT(MAX(ROW(E$1:E3417)*(E3418=E$1:E3417)))))</f>
        <v> </v>
      </c>
      <c r="L3418" s="26"/>
    </row>
    <row r="3419" spans="1:12">
      <c r="A3419" s="20" t="s">
        <v>1550</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1795</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746</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row>
    <row r="3423" spans="1:12">
      <c r="A3423" s="20" t="s">
        <v>1804</v>
      </c>
    </row>
    <row r="3424" spans="1:12">
      <c r="A3424" s="20" t="s">
        <v>880</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807</v>
      </c>
      <c r="B3425" s="27" t="s">
        <v>728</v>
      </c>
      <c r="C3425" s="27" t="s">
        <v>749</v>
      </c>
      <c r="D3425" s="27" t="s">
        <v>740</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1408</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757</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886</v>
      </c>
      <c r="B3428" s="27" t="s">
        <v>756</v>
      </c>
      <c r="C3428" s="27" t="s">
        <v>749</v>
      </c>
      <c r="D3428" s="27" t="s">
        <v>740</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543</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753</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860</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807</v>
      </c>
      <c r="B3432" s="27" t="s">
        <v>771</v>
      </c>
      <c r="C3432" s="27" t="s">
        <v>749</v>
      </c>
      <c r="D3432" s="27" t="s">
        <v>740</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736</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914</v>
      </c>
      <c r="B3434" s="27" t="s">
        <v>779</v>
      </c>
      <c r="C3434" s="27" t="s">
        <v>739</v>
      </c>
      <c r="D3434" s="27" t="s">
        <v>740</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753</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736</v>
      </c>
      <c r="B3436" s="27" t="s">
        <v>1037</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807</v>
      </c>
      <c r="B3437" s="27" t="s">
        <v>935</v>
      </c>
      <c r="C3437" s="27" t="s">
        <v>749</v>
      </c>
      <c r="D3437" s="27" t="s">
        <v>740</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1261</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1408</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753</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t="s">
        <v>833</v>
      </c>
      <c r="E3441" s="21">
        <f>IF(D3441="?OLD","!!!","")</f>
        <v/>
      </c>
      <c r="F3441" s="22" t="str">
        <f>IF(OR(E3441="",E3441="!!!"),"",IF(NOT(ISNA(VLOOKUP(E3441,E$1:E3440,1,FALSE()))),"OLD",IF(AND(E3441&lt;&gt;"",E3441&lt;&gt;"!!!"),"NEW","")))</f>
        <v> </v>
      </c>
      <c r="G3441" s="23" t="str">
        <f>IF(OR(E3441="",E3441="!!!"),"",IF(OR(J3441=0,AND(J3441=1,K3441=1),AND(J3441=1,I3441="SBJ"),AND(J3441=1,I3441=0)),"?IN_FOCUS",IF(J3441&lt;=2,"?ACTIVATED",IF(J3441&lt;&gt;"","?FAMILIAR",IF(F3441="NEW",IF(ISNA(VLOOKUP(E3441,#REF!,1,FALSE())),"?TYPE_IDENTIFIABLE","?REFERENTIAL"),"_")))))</f>
        <v> </v>
      </c>
      <c r="H3441" s="24" t="str">
        <f>IF(J3441&lt;&gt;1,"",IF(I3441="SBJ","CB","?"))</f>
        <v> </v>
      </c>
      <c r="I3441" s="25" t="str">
        <f>IF(OR(E3441="",E3441="!!!",F3441="NEW"),"",INDEX(B3440:B$2,-1+SUMPRODUCT(MAX(ROW(E3440:E$2)*(E3441=E3440:E$2)))))</f>
        <v> </v>
      </c>
      <c r="J3441" s="25" t="str">
        <f>IF(OR(E3441="",E3441="!!!",F3441="NEW"),"",COUNTBLANK(OFFSET(A$1,,,SUMPRODUCT(MAX(ROW(E$2:E3441)*(E3441=E$2:E3441)))))-COUNTBLANK(OFFSET(A$1,,,SUMPRODUCT(MAX(ROW(E$1:E3440)*(E2=E$1:E3440))))))</f>
        <v> </v>
      </c>
      <c r="K3441" s="25" t="str">
        <f>IF(OR(E3441="",E3441="!!!",F3441="NEW"),"",INDEX(J$1:J3440,SUMPRODUCT(MAX(ROW(E$1:E3440)*(E3441=E$1:E3440)))))</f>
        <v> </v>
      </c>
      <c r="L3441" s="26"/>
    </row>
    <row r="3442" spans="1:12">
      <c r="A3442" s="20" t="s">
        <v>1805</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753</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860</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807</v>
      </c>
      <c r="B3445" s="27" t="s">
        <v>771</v>
      </c>
      <c r="C3445" s="27" t="s">
        <v>749</v>
      </c>
      <c r="D3445" s="27" t="s">
        <v>740</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1020</v>
      </c>
      <c r="B3446" s="27" t="s">
        <v>779</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751</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763</v>
      </c>
      <c r="B3448" s="27" t="s">
        <v>779</v>
      </c>
      <c r="C3448" s="27" t="s">
        <v>744</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1806</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774</v>
      </c>
      <c r="B3450" s="27" t="s">
        <v>733</v>
      </c>
      <c r="C3450" s="27" t="s">
        <v>775</v>
      </c>
      <c r="D3450" s="27" t="s">
        <v>740</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919</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1807</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958</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t="s">
        <v>746</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row>
    <row r="3456" spans="1:12">
      <c r="A3456" s="20" t="s">
        <v>767</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1808</v>
      </c>
    </row>
    <row r="3458" spans="1:12">
      <c r="A3458" s="20" t="s">
        <v>952</v>
      </c>
      <c r="B3458" s="27" t="s">
        <v>771</v>
      </c>
      <c r="C3458" s="27" t="s">
        <v>749</v>
      </c>
      <c r="D3458" s="27" t="s">
        <v>740</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1809</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883</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1810</v>
      </c>
      <c r="B3461" s="27" t="s">
        <v>779</v>
      </c>
      <c r="C3461" s="27" t="s">
        <v>739</v>
      </c>
      <c r="D3461" s="27" t="s">
        <v>740</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1149</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753</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883</v>
      </c>
      <c r="B3464" s="27" t="s">
        <v>764</v>
      </c>
      <c r="C3464" s="27" t="s">
        <v>775</v>
      </c>
      <c r="D3464" s="27" t="s">
        <v>740</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774</v>
      </c>
      <c r="B3465" s="27" t="s">
        <v>795</v>
      </c>
      <c r="C3465" s="27" t="s">
        <v>775</v>
      </c>
      <c r="D3465" s="27" t="s">
        <v>740</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1088</v>
      </c>
      <c r="B3466" s="27" t="s">
        <v>764</v>
      </c>
      <c r="C3466" s="27" t="s">
        <v>772</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t="s">
        <v>1811</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87</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753</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788</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757</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883</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832</v>
      </c>
      <c r="B3473" s="27" t="s">
        <v>795</v>
      </c>
      <c r="C3473" s="27" t="s">
        <v>749</v>
      </c>
      <c r="D3473" s="27" t="s">
        <v>740</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781</v>
      </c>
      <c r="B3474" s="27" t="s">
        <v>787</v>
      </c>
      <c r="C3474" s="27" t="s">
        <v>775</v>
      </c>
      <c r="D3474" s="27" t="s">
        <v>740</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1812</v>
      </c>
      <c r="B3475" s="27" t="s">
        <v>764</v>
      </c>
      <c r="C3475" s="27" t="s">
        <v>780</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1144</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t="s">
        <v>753</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896</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t="s">
        <v>757</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t="s">
        <v>883</v>
      </c>
      <c r="E3480" s="21">
        <f>IF(D3480="?OLD","!!!","")</f>
        <v/>
      </c>
      <c r="F3480" s="22" t="str">
        <f>IF(OR(E3480="",E3480="!!!"),"",IF(NOT(ISNA(VLOOKUP(E3480,E$1:E3479,1,FALSE()))),"OLD",IF(AND(E3480&lt;&gt;"",E3480&lt;&gt;"!!!"),"NEW","")))</f>
        <v> </v>
      </c>
      <c r="G3480" s="23" t="str">
        <f>IF(OR(E3480="",E3480="!!!"),"",IF(OR(J3480=0,AND(J3480=1,K3480=1),AND(J3480=1,I3480="SBJ"),AND(J3480=1,I3480=0)),"?IN_FOCUS",IF(J3480&lt;=2,"?ACTIVATED",IF(J3480&lt;&gt;"","?FAMILIAR",IF(F3480="NEW",IF(ISNA(VLOOKUP(E3480,#REF!,1,FALSE())),"?TYPE_IDENTIFIABLE","?REFERENTIAL"),"_")))))</f>
        <v> </v>
      </c>
      <c r="H3480" s="24" t="str">
        <f>IF(J3480&lt;&gt;1,"",IF(I3480="SBJ","CB","?"))</f>
        <v> </v>
      </c>
      <c r="I3480" s="25" t="str">
        <f>IF(OR(E3480="",E3480="!!!",F3480="NEW"),"",INDEX(B3479:B$2,-1+SUMPRODUCT(MAX(ROW(E3479:E$2)*(E3480=E3479:E$2)))))</f>
        <v> </v>
      </c>
      <c r="J3480" s="25" t="str">
        <f>IF(OR(E3480="",E3480="!!!",F3480="NEW"),"",COUNTBLANK(OFFSET(A$1,,,SUMPRODUCT(MAX(ROW(E$2:E3480)*(E3480=E$2:E3480)))))-COUNTBLANK(OFFSET(A$1,,,SUMPRODUCT(MAX(ROW(E$1:E3479)*(E2=E$1:E3479))))))</f>
        <v> </v>
      </c>
      <c r="K3480" s="25" t="str">
        <f>IF(OR(E3480="",E3480="!!!",F3480="NEW"),"",INDEX(J$1:J3479,SUMPRODUCT(MAX(ROW(E$1:E3479)*(E3480=E$1:E3479)))))</f>
        <v> </v>
      </c>
      <c r="L3480" s="26"/>
    </row>
    <row r="3481" spans="1:12">
      <c r="A3481" s="20" t="s">
        <v>1810</v>
      </c>
      <c r="B3481" s="27" t="s">
        <v>777</v>
      </c>
      <c r="C3481" s="27" t="s">
        <v>739</v>
      </c>
      <c r="D3481" s="27" t="s">
        <v>740</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753</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883</v>
      </c>
      <c r="B3483" s="27" t="s">
        <v>1352</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774</v>
      </c>
      <c r="B3484" s="27" t="s">
        <v>1024</v>
      </c>
      <c r="C3484" s="27" t="s">
        <v>775</v>
      </c>
      <c r="D3484" s="27" t="s">
        <v>740</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1020</v>
      </c>
      <c r="B3485" s="27" t="s">
        <v>1352</v>
      </c>
      <c r="C3485" s="27" t="s">
        <v>749</v>
      </c>
      <c r="D3485" s="27" t="s">
        <v>740</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1813</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87</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753</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1144</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t="s">
        <v>832</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t="s">
        <v>1812</v>
      </c>
      <c r="B3491" s="27" t="s">
        <v>795</v>
      </c>
      <c r="C3491" s="27" t="s">
        <v>734</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726</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753</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858</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774</v>
      </c>
      <c r="B3495" s="27" t="s">
        <v>728</v>
      </c>
      <c r="C3495" s="27" t="s">
        <v>775</v>
      </c>
      <c r="D3495" s="27" t="s">
        <v>740</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746</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row>
    <row r="3498" spans="1:12">
      <c r="A3498" s="20" t="s">
        <v>767</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1814</v>
      </c>
    </row>
    <row r="3500" spans="1:12">
      <c r="A3500" s="20" t="s">
        <v>726</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1325</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t="s">
        <v>807</v>
      </c>
      <c r="B3502" s="27" t="s">
        <v>795</v>
      </c>
      <c r="C3502" s="27" t="s">
        <v>749</v>
      </c>
      <c r="D3502" s="27" t="s">
        <v>740</v>
      </c>
      <c r="E3502" s="21">
        <f>IF(D3502="?OLD","!!!","")</f>
        <v/>
      </c>
      <c r="F3502" s="22" t="str">
        <f>IF(OR(E3502="",E3502="!!!"),"",IF(NOT(ISNA(VLOOKUP(E3502,E$1:E3501,1,FALSE()))),"OLD",IF(AND(E3502&lt;&gt;"",E3502&lt;&gt;"!!!"),"NEW","")))</f>
        <v> </v>
      </c>
      <c r="G3502" s="23" t="str">
        <f>IF(OR(E3502="",E3502="!!!"),"",IF(OR(J3502=0,AND(J3502=1,K3502=1),AND(J3502=1,I3502="SBJ"),AND(J3502=1,I3502=0)),"?IN_FOCUS",IF(J3502&lt;=2,"?ACTIVATED",IF(J3502&lt;&gt;"","?FAMILIAR",IF(F3502="NEW",IF(ISNA(VLOOKUP(E3502,#REF!,1,FALSE())),"?TYPE_IDENTIFIABLE","?REFERENTIAL"),"_")))))</f>
        <v> </v>
      </c>
      <c r="H3502" s="24" t="str">
        <f>IF(J3502&lt;&gt;1,"",IF(I3502="SBJ","CB","?"))</f>
        <v> </v>
      </c>
      <c r="I3502" s="25" t="str">
        <f>IF(OR(E3502="",E3502="!!!",F3502="NEW"),"",INDEX(B3501:B$2,-1+SUMPRODUCT(MAX(ROW(E3501:E$2)*(E3502=E3501:E$2)))))</f>
        <v> </v>
      </c>
      <c r="J3502" s="25" t="str">
        <f>IF(OR(E3502="",E3502="!!!",F3502="NEW"),"",COUNTBLANK(OFFSET(A$1,,,SUMPRODUCT(MAX(ROW(E$2:E3502)*(E3502=E$2:E3502)))))-COUNTBLANK(OFFSET(A$1,,,SUMPRODUCT(MAX(ROW(E$1:E3501)*(E2=E$1:E3501))))))</f>
        <v> </v>
      </c>
      <c r="K3502" s="25" t="str">
        <f>IF(OR(E3502="",E3502="!!!",F3502="NEW"),"",INDEX(J$1:J3501,SUMPRODUCT(MAX(ROW(E$1:E3501)*(E3502=E$1:E3501)))))</f>
        <v> </v>
      </c>
      <c r="L3502" s="26"/>
    </row>
    <row r="3503" spans="1:12">
      <c r="A3503" s="20" t="s">
        <v>832</v>
      </c>
      <c r="B3503" s="27" t="s">
        <v>764</v>
      </c>
      <c r="C3503" s="27" t="s">
        <v>749</v>
      </c>
      <c r="D3503" s="27" t="s">
        <v>740</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1138</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1815</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753</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860</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832</v>
      </c>
      <c r="B3508" s="27" t="s">
        <v>935</v>
      </c>
      <c r="C3508" s="27" t="s">
        <v>749</v>
      </c>
      <c r="D3508" s="27" t="s">
        <v>740</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757</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736</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1102</v>
      </c>
      <c r="B3511" s="27" t="s">
        <v>787</v>
      </c>
      <c r="C3511" s="27" t="s">
        <v>739</v>
      </c>
      <c r="D3511" s="27" t="s">
        <v>740</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1816</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1785</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1391</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753</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941</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t="s">
        <v>1740</v>
      </c>
      <c r="B3517" s="27" t="s">
        <v>935</v>
      </c>
      <c r="C3517" s="27" t="s">
        <v>804</v>
      </c>
      <c r="D3517" s="27" t="s">
        <v>740</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1550</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1261</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1817</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t="s">
        <v>1391</v>
      </c>
      <c r="E3521" s="21">
        <f>IF(D3521="?OLD","!!!","")</f>
        <v/>
      </c>
      <c r="F3521" s="22" t="str">
        <f>IF(OR(E3521="",E3521="!!!"),"",IF(NOT(ISNA(VLOOKUP(E3521,E$1:E3520,1,FALSE()))),"OLD",IF(AND(E3521&lt;&gt;"",E3521&lt;&gt;"!!!"),"NEW","")))</f>
        <v> </v>
      </c>
      <c r="G3521" s="23" t="str">
        <f>IF(OR(E3521="",E3521="!!!"),"",IF(OR(J3521=0,AND(J3521=1,K3521=1),AND(J3521=1,I3521="SBJ"),AND(J3521=1,I3521=0)),"?IN_FOCUS",IF(J3521&lt;=2,"?ACTIVATED",IF(J3521&lt;&gt;"","?FAMILIAR",IF(F3521="NEW",IF(ISNA(VLOOKUP(E3521,#REF!,1,FALSE())),"?TYPE_IDENTIFIABLE","?REFERENTIAL"),"_")))))</f>
        <v> </v>
      </c>
      <c r="H3521" s="24" t="str">
        <f>IF(J3521&lt;&gt;1,"",IF(I3521="SBJ","CB","?"))</f>
        <v> </v>
      </c>
      <c r="I3521" s="25" t="str">
        <f>IF(OR(E3521="",E3521="!!!",F3521="NEW"),"",INDEX(B3520:B$2,-1+SUMPRODUCT(MAX(ROW(E3520:E$2)*(E3521=E3520:E$2)))))</f>
        <v> </v>
      </c>
      <c r="J3521" s="25" t="str">
        <f>IF(OR(E3521="",E3521="!!!",F3521="NEW"),"",COUNTBLANK(OFFSET(A$1,,,SUMPRODUCT(MAX(ROW(E$2:E3521)*(E3521=E$2:E3521)))))-COUNTBLANK(OFFSET(A$1,,,SUMPRODUCT(MAX(ROW(E$1:E3520)*(E2=E$1:E3520))))))</f>
        <v> </v>
      </c>
      <c r="K3521" s="25" t="str">
        <f>IF(OR(E3521="",E3521="!!!",F3521="NEW"),"",INDEX(J$1:J3520,SUMPRODUCT(MAX(ROW(E$1:E3520)*(E3521=E$1:E3520)))))</f>
        <v> </v>
      </c>
      <c r="L3521" s="26"/>
    </row>
    <row r="3522" spans="1:12">
      <c r="A3522" s="20" t="s">
        <v>753</v>
      </c>
      <c r="E3522" s="21">
        <f>IF(D3522="?OLD","!!!","")</f>
        <v/>
      </c>
      <c r="F3522" s="22" t="str">
        <f>IF(OR(E3522="",E3522="!!!"),"",IF(NOT(ISNA(VLOOKUP(E3522,E$1:E3521,1,FALSE()))),"OLD",IF(AND(E3522&lt;&gt;"",E3522&lt;&gt;"!!!"),"NEW","")))</f>
        <v> </v>
      </c>
      <c r="G3522" s="23" t="str">
        <f>IF(OR(E3522="",E3522="!!!"),"",IF(OR(J3522=0,AND(J3522=1,K3522=1),AND(J3522=1,I3522="SBJ"),AND(J3522=1,I3522=0)),"?IN_FOCUS",IF(J3522&lt;=2,"?ACTIVATED",IF(J3522&lt;&gt;"","?FAMILIAR",IF(F3522="NEW",IF(ISNA(VLOOKUP(E3522,#REF!,1,FALSE())),"?TYPE_IDENTIFIABLE","?REFERENTIAL"),"_")))))</f>
        <v> </v>
      </c>
      <c r="H3522" s="24" t="str">
        <f>IF(J3522&lt;&gt;1,"",IF(I3522="SBJ","CB","?"))</f>
        <v> </v>
      </c>
      <c r="I3522" s="25" t="str">
        <f>IF(OR(E3522="",E3522="!!!",F3522="NEW"),"",INDEX(B3521:B$2,-1+SUMPRODUCT(MAX(ROW(E3521:E$2)*(E3522=E3521:E$2)))))</f>
        <v> </v>
      </c>
      <c r="J3522" s="25" t="str">
        <f>IF(OR(E3522="",E3522="!!!",F3522="NEW"),"",COUNTBLANK(OFFSET(A$1,,,SUMPRODUCT(MAX(ROW(E$2:E3522)*(E3522=E$2:E3522)))))-COUNTBLANK(OFFSET(A$1,,,SUMPRODUCT(MAX(ROW(E$1:E3521)*(E2=E$1:E3521))))))</f>
        <v> </v>
      </c>
      <c r="K3522" s="25" t="str">
        <f>IF(OR(E3522="",E3522="!!!",F3522="NEW"),"",INDEX(J$1:J3521,SUMPRODUCT(MAX(ROW(E$1:E3521)*(E3522=E$1:E3521)))))</f>
        <v> </v>
      </c>
      <c r="L3522" s="26"/>
    </row>
    <row r="3523" spans="1:12">
      <c r="A3523" s="20" t="s">
        <v>900</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807</v>
      </c>
      <c r="B3524" s="27" t="s">
        <v>728</v>
      </c>
      <c r="C3524" s="27" t="s">
        <v>749</v>
      </c>
      <c r="D3524" s="27" t="s">
        <v>740</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765</v>
      </c>
      <c r="B3525" s="27" t="s">
        <v>733</v>
      </c>
      <c r="C3525" s="27" t="s">
        <v>772</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t="s">
        <v>762</v>
      </c>
      <c r="E3526" s="21">
        <f>IF(D3526="?OLD","!!!","")</f>
        <v/>
      </c>
      <c r="F3526" s="22" t="str">
        <f>IF(OR(E3526="",E3526="!!!"),"",IF(NOT(ISNA(VLOOKUP(E3526,E$1:E3525,1,FALSE()))),"OLD",IF(AND(E3526&lt;&gt;"",E3526&lt;&gt;"!!!"),"NEW","")))</f>
        <v> </v>
      </c>
      <c r="G3526" s="23" t="str">
        <f>IF(OR(E3526="",E3526="!!!"),"",IF(OR(J3526=0,AND(J3526=1,K3526=1),AND(J3526=1,I3526="SBJ"),AND(J3526=1,I3526=0)),"?IN_FOCUS",IF(J3526&lt;=2,"?ACTIVATED",IF(J3526&lt;&gt;"","?FAMILIAR",IF(F3526="NEW",IF(ISNA(VLOOKUP(E3526,#REF!,1,FALSE())),"?TYPE_IDENTIFIABLE","?REFERENTIAL"),"_")))))</f>
        <v> </v>
      </c>
      <c r="H3526" s="24" t="str">
        <f>IF(J3526&lt;&gt;1,"",IF(I3526="SBJ","CB","?"))</f>
        <v> </v>
      </c>
      <c r="I3526" s="25" t="str">
        <f>IF(OR(E3526="",E3526="!!!",F3526="NEW"),"",INDEX(B3525:B$2,-1+SUMPRODUCT(MAX(ROW(E3525:E$2)*(E3526=E3525:E$2)))))</f>
        <v> </v>
      </c>
      <c r="J3526" s="25" t="str">
        <f>IF(OR(E3526="",E3526="!!!",F3526="NEW"),"",COUNTBLANK(OFFSET(A$1,,,SUMPRODUCT(MAX(ROW(E$2:E3526)*(E3526=E$2:E3526)))))-COUNTBLANK(OFFSET(A$1,,,SUMPRODUCT(MAX(ROW(E$1:E3525)*(E2=E$1:E3525))))))</f>
        <v> </v>
      </c>
      <c r="K3526" s="25" t="str">
        <f>IF(OR(E3526="",E3526="!!!",F3526="NEW"),"",INDEX(J$1:J3525,SUMPRODUCT(MAX(ROW(E$1:E3525)*(E3526=E$1:E3525)))))</f>
        <v> </v>
      </c>
      <c r="L3526" s="26"/>
    </row>
    <row r="3527" spans="1:12">
      <c r="A3527" s="20" t="s">
        <v>1818</v>
      </c>
      <c r="B3527" s="27" t="s">
        <v>756</v>
      </c>
      <c r="C3527" s="27" t="s">
        <v>739</v>
      </c>
      <c r="D3527" s="27" t="s">
        <v>740</v>
      </c>
      <c r="E3527" s="21">
        <f>IF(D3527="?OLD","!!!","")</f>
        <v/>
      </c>
      <c r="F3527" s="22" t="str">
        <f>IF(OR(E3527="",E3527="!!!"),"",IF(NOT(ISNA(VLOOKUP(E3527,E$1:E3526,1,FALSE()))),"OLD",IF(AND(E3527&lt;&gt;"",E3527&lt;&gt;"!!!"),"NEW","")))</f>
        <v> </v>
      </c>
      <c r="G3527" s="23" t="str">
        <f>IF(OR(E3527="",E3527="!!!"),"",IF(OR(J3527=0,AND(J3527=1,K3527=1),AND(J3527=1,I3527="SBJ"),AND(J3527=1,I3527=0)),"?IN_FOCUS",IF(J3527&lt;=2,"?ACTIVATED",IF(J3527&lt;&gt;"","?FAMILIAR",IF(F3527="NEW",IF(ISNA(VLOOKUP(E3527,#REF!,1,FALSE())),"?TYPE_IDENTIFIABLE","?REFERENTIAL"),"_")))))</f>
        <v> </v>
      </c>
      <c r="H3527" s="24" t="str">
        <f>IF(J3527&lt;&gt;1,"",IF(I3527="SBJ","CB","?"))</f>
        <v> </v>
      </c>
      <c r="I3527" s="25" t="str">
        <f>IF(OR(E3527="",E3527="!!!",F3527="NEW"),"",INDEX(B3526:B$2,-1+SUMPRODUCT(MAX(ROW(E3526:E$2)*(E3527=E3526:E$2)))))</f>
        <v> </v>
      </c>
      <c r="J3527" s="25" t="str">
        <f>IF(OR(E3527="",E3527="!!!",F3527="NEW"),"",COUNTBLANK(OFFSET(A$1,,,SUMPRODUCT(MAX(ROW(E$2:E3527)*(E3527=E$2:E3527)))))-COUNTBLANK(OFFSET(A$1,,,SUMPRODUCT(MAX(ROW(E$1:E3526)*(E2=E$1:E3526))))))</f>
        <v> </v>
      </c>
      <c r="K3527" s="25" t="str">
        <f>IF(OR(E3527="",E3527="!!!",F3527="NEW"),"",INDEX(J$1:J3526,SUMPRODUCT(MAX(ROW(E$1:E3526)*(E3527=E$1:E3526)))))</f>
        <v> </v>
      </c>
      <c r="L3527" s="26"/>
    </row>
    <row r="3528" spans="1:12">
      <c r="A3528" s="20" t="s">
        <v>1819</v>
      </c>
      <c r="E3528" s="21">
        <f>IF(D3528="?OLD","!!!","")</f>
        <v/>
      </c>
      <c r="F3528" s="22" t="str">
        <f>IF(OR(E3528="",E3528="!!!"),"",IF(NOT(ISNA(VLOOKUP(E3528,E$1:E3527,1,FALSE()))),"OLD",IF(AND(E3528&lt;&gt;"",E3528&lt;&gt;"!!!"),"NEW","")))</f>
        <v> </v>
      </c>
      <c r="G3528" s="23" t="str">
        <f>IF(OR(E3528="",E3528="!!!"),"",IF(OR(J3528=0,AND(J3528=1,K3528=1),AND(J3528=1,I3528="SBJ"),AND(J3528=1,I3528=0)),"?IN_FOCUS",IF(J3528&lt;=2,"?ACTIVATED",IF(J3528&lt;&gt;"","?FAMILIAR",IF(F3528="NEW",IF(ISNA(VLOOKUP(E3528,#REF!,1,FALSE())),"?TYPE_IDENTIFIABLE","?REFERENTIAL"),"_")))))</f>
        <v> </v>
      </c>
      <c r="H3528" s="24" t="str">
        <f>IF(J3528&lt;&gt;1,"",IF(I3528="SBJ","CB","?"))</f>
        <v> </v>
      </c>
      <c r="I3528" s="25" t="str">
        <f>IF(OR(E3528="",E3528="!!!",F3528="NEW"),"",INDEX(B3527:B$2,-1+SUMPRODUCT(MAX(ROW(E3527:E$2)*(E3528=E3527:E$2)))))</f>
        <v> </v>
      </c>
      <c r="J3528" s="25" t="str">
        <f>IF(OR(E3528="",E3528="!!!",F3528="NEW"),"",COUNTBLANK(OFFSET(A$1,,,SUMPRODUCT(MAX(ROW(E$2:E3528)*(E3528=E$2:E3528)))))-COUNTBLANK(OFFSET(A$1,,,SUMPRODUCT(MAX(ROW(E$1:E3527)*(E2=E$1:E3527))))))</f>
        <v> </v>
      </c>
      <c r="K3528" s="25" t="str">
        <f>IF(OR(E3528="",E3528="!!!",F3528="NEW"),"",INDEX(J$1:J3527,SUMPRODUCT(MAX(ROW(E$1:E3527)*(E3528=E$1:E3527)))))</f>
        <v> </v>
      </c>
      <c r="L3528" s="26"/>
    </row>
    <row r="3529" spans="1:12">
      <c r="A3529" s="20" t="s">
        <v>753</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t="s">
        <v>860</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832</v>
      </c>
      <c r="B3531" s="27" t="s">
        <v>771</v>
      </c>
      <c r="C3531" s="27" t="s">
        <v>749</v>
      </c>
      <c r="D3531" s="27" t="s">
        <v>740</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757</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886</v>
      </c>
      <c r="B3533" s="27" t="s">
        <v>733</v>
      </c>
      <c r="C3533" s="27" t="s">
        <v>749</v>
      </c>
      <c r="D3533" s="27" t="s">
        <v>740</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919</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1816</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1785</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t="s">
        <v>1391</v>
      </c>
      <c r="E3537" s="21">
        <f>IF(D3537="?OLD","!!!","")</f>
        <v/>
      </c>
      <c r="F3537" s="22" t="str">
        <f>IF(OR(E3537="",E3537="!!!"),"",IF(NOT(ISNA(VLOOKUP(E3537,E$1:E3536,1,FALSE()))),"OLD",IF(AND(E3537&lt;&gt;"",E3537&lt;&gt;"!!!"),"NEW","")))</f>
        <v> </v>
      </c>
      <c r="G3537" s="23" t="str">
        <f>IF(OR(E3537="",E3537="!!!"),"",IF(OR(J3537=0,AND(J3537=1,K3537=1),AND(J3537=1,I3537="SBJ"),AND(J3537=1,I3537=0)),"?IN_FOCUS",IF(J3537&lt;=2,"?ACTIVATED",IF(J3537&lt;&gt;"","?FAMILIAR",IF(F3537="NEW",IF(ISNA(VLOOKUP(E3537,#REF!,1,FALSE())),"?TYPE_IDENTIFIABLE","?REFERENTIAL"),"_")))))</f>
        <v> </v>
      </c>
      <c r="H3537" s="24" t="str">
        <f>IF(J3537&lt;&gt;1,"",IF(I3537="SBJ","CB","?"))</f>
        <v> </v>
      </c>
      <c r="I3537" s="25" t="str">
        <f>IF(OR(E3537="",E3537="!!!",F3537="NEW"),"",INDEX(B3536:B$2,-1+SUMPRODUCT(MAX(ROW(E3536:E$2)*(E3537=E3536:E$2)))))</f>
        <v> </v>
      </c>
      <c r="J3537" s="25" t="str">
        <f>IF(OR(E3537="",E3537="!!!",F3537="NEW"),"",COUNTBLANK(OFFSET(A$1,,,SUMPRODUCT(MAX(ROW(E$2:E3537)*(E3537=E$2:E3537)))))-COUNTBLANK(OFFSET(A$1,,,SUMPRODUCT(MAX(ROW(E$1:E3536)*(E2=E$1:E3536))))))</f>
        <v> </v>
      </c>
      <c r="K3537" s="25" t="str">
        <f>IF(OR(E3537="",E3537="!!!",F3537="NEW"),"",INDEX(J$1:J3536,SUMPRODUCT(MAX(ROW(E$1:E3536)*(E3537=E$1:E3536)))))</f>
        <v> </v>
      </c>
      <c r="L3537" s="26"/>
    </row>
    <row r="3538" spans="1:12">
      <c r="A3538" s="20" t="s">
        <v>746</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726</v>
      </c>
      <c r="E3539" s="21">
        <f>IF(D3539="?OLD","!!!","")</f>
        <v/>
      </c>
      <c r="F3539" s="22" t="str">
        <f>IF(OR(E3539="",E3539="!!!"),"",IF(NOT(ISNA(VLOOKUP(E3539,E$1:E3538,1,FALSE()))),"OLD",IF(AND(E3539&lt;&gt;"",E3539&lt;&gt;"!!!"),"NEW","")))</f>
        <v> </v>
      </c>
      <c r="G3539" s="23" t="str">
        <f>IF(OR(E3539="",E3539="!!!"),"",IF(OR(J3539=0,AND(J3539=1,K3539=1),AND(J3539=1,I3539="SBJ"),AND(J3539=1,I3539=0)),"?IN_FOCUS",IF(J3539&lt;=2,"?ACTIVATED",IF(J3539&lt;&gt;"","?FAMILIAR",IF(F3539="NEW",IF(ISNA(VLOOKUP(E3539,#REF!,1,FALSE())),"?TYPE_IDENTIFIABLE","?REFERENTIAL"),"_")))))</f>
        <v> </v>
      </c>
      <c r="H3539" s="24" t="str">
        <f>IF(J3539&lt;&gt;1,"",IF(I3539="SBJ","CB","?"))</f>
        <v> </v>
      </c>
      <c r="I3539" s="25" t="str">
        <f>IF(OR(E3539="",E3539="!!!",F3539="NEW"),"",INDEX(B3538:B$2,-1+SUMPRODUCT(MAX(ROW(E3538:E$2)*(E3539=E3538:E$2)))))</f>
        <v> </v>
      </c>
      <c r="J3539" s="25" t="str">
        <f>IF(OR(E3539="",E3539="!!!",F3539="NEW"),"",COUNTBLANK(OFFSET(A$1,,,SUMPRODUCT(MAX(ROW(E$2:E3539)*(E3539=E$2:E3539)))))-COUNTBLANK(OFFSET(A$1,,,SUMPRODUCT(MAX(ROW(E$1:E3538)*(E2=E$1:E3538))))))</f>
        <v> </v>
      </c>
      <c r="K3539" s="25" t="str">
        <f>IF(OR(E3539="",E3539="!!!",F3539="NEW"),"",INDEX(J$1:J3538,SUMPRODUCT(MAX(ROW(E$1:E3538)*(E3539=E$1:E3538)))))</f>
        <v> </v>
      </c>
      <c r="L3539" s="26"/>
    </row>
    <row r="3540" spans="1:12">
      <c r="A3540" s="20"/>
    </row>
    <row r="3541" spans="1:12">
      <c r="A3541" s="20" t="s">
        <v>1820</v>
      </c>
    </row>
    <row r="3542" spans="1:12">
      <c r="A3542" s="20" t="s">
        <v>952</v>
      </c>
      <c r="B3542" s="27" t="s">
        <v>935</v>
      </c>
      <c r="C3542" s="27" t="s">
        <v>749</v>
      </c>
      <c r="D3542" s="27" t="s">
        <v>740</v>
      </c>
      <c r="E3542" s="21">
        <f>IF(D3542="?OLD","!!!","")</f>
        <v/>
      </c>
      <c r="F3542" s="22" t="str">
        <f>IF(OR(E3542="",E3542="!!!"),"",IF(NOT(ISNA(VLOOKUP(E3542,E$1:E3541,1,FALSE()))),"OLD",IF(AND(E3542&lt;&gt;"",E3542&lt;&gt;"!!!"),"NEW","")))</f>
        <v> </v>
      </c>
      <c r="G3542" s="23" t="str">
        <f>IF(OR(E3542="",E3542="!!!"),"",IF(OR(J3542=0,AND(J3542=1,K3542=1),AND(J3542=1,I3542="SBJ"),AND(J3542=1,I3542=0)),"?IN_FOCUS",IF(J3542&lt;=2,"?ACTIVATED",IF(J3542&lt;&gt;"","?FAMILIAR",IF(F3542="NEW",IF(ISNA(VLOOKUP(E3542,#REF!,1,FALSE())),"?TYPE_IDENTIFIABLE","?REFERENTIAL"),"_")))))</f>
        <v> </v>
      </c>
      <c r="H3542" s="24" t="str">
        <f>IF(J3542&lt;&gt;1,"",IF(I3542="SBJ","CB","?"))</f>
        <v> </v>
      </c>
      <c r="I3542" s="25" t="str">
        <f>IF(OR(E3542="",E3542="!!!",F3542="NEW"),"",INDEX(B3541:B$2,-1+SUMPRODUCT(MAX(ROW(E3541:E$2)*(E3542=E3541:E$2)))))</f>
        <v> </v>
      </c>
      <c r="J3542" s="25" t="str">
        <f>IF(OR(E3542="",E3542="!!!",F3542="NEW"),"",COUNTBLANK(OFFSET(A$1,,,SUMPRODUCT(MAX(ROW(E$2:E3542)*(E3542=E$2:E3542)))))-COUNTBLANK(OFFSET(A$1,,,SUMPRODUCT(MAX(ROW(E$1:E3541)*(E2=E$1:E3541))))))</f>
        <v> </v>
      </c>
      <c r="K3542" s="25" t="str">
        <f>IF(OR(E3542="",E3542="!!!",F3542="NEW"),"",INDEX(J$1:J3541,SUMPRODUCT(MAX(ROW(E$1:E3541)*(E3542=E$1:E3541)))))</f>
        <v> </v>
      </c>
      <c r="L3542" s="26"/>
    </row>
    <row r="3543" spans="1:12">
      <c r="A3543" s="20" t="s">
        <v>811</v>
      </c>
      <c r="E3543" s="21">
        <f>IF(D3543="?OLD","!!!","")</f>
        <v/>
      </c>
      <c r="F3543" s="22" t="str">
        <f>IF(OR(E3543="",E3543="!!!"),"",IF(NOT(ISNA(VLOOKUP(E3543,E$1:E3542,1,FALSE()))),"OLD",IF(AND(E3543&lt;&gt;"",E3543&lt;&gt;"!!!"),"NEW","")))</f>
        <v> </v>
      </c>
      <c r="G3543" s="23" t="str">
        <f>IF(OR(E3543="",E3543="!!!"),"",IF(OR(J3543=0,AND(J3543=1,K3543=1),AND(J3543=1,I3543="SBJ"),AND(J3543=1,I3543=0)),"?IN_FOCUS",IF(J3543&lt;=2,"?ACTIVATED",IF(J3543&lt;&gt;"","?FAMILIAR",IF(F3543="NEW",IF(ISNA(VLOOKUP(E3543,#REF!,1,FALSE())),"?TYPE_IDENTIFIABLE","?REFERENTIAL"),"_")))))</f>
        <v> </v>
      </c>
      <c r="H3543" s="24" t="str">
        <f>IF(J3543&lt;&gt;1,"",IF(I3543="SBJ","CB","?"))</f>
        <v> </v>
      </c>
      <c r="I3543" s="25" t="str">
        <f>IF(OR(E3543="",E3543="!!!",F3543="NEW"),"",INDEX(B3542:B$2,-1+SUMPRODUCT(MAX(ROW(E3542:E$2)*(E3543=E3542:E$2)))))</f>
        <v> </v>
      </c>
      <c r="J3543" s="25" t="str">
        <f>IF(OR(E3543="",E3543="!!!",F3543="NEW"),"",COUNTBLANK(OFFSET(A$1,,,SUMPRODUCT(MAX(ROW(E$2:E3543)*(E3543=E$2:E3543)))))-COUNTBLANK(OFFSET(A$1,,,SUMPRODUCT(MAX(ROW(E$1:E3542)*(E2=E$1:E3542))))))</f>
        <v> </v>
      </c>
      <c r="K3543" s="25" t="str">
        <f>IF(OR(E3543="",E3543="!!!",F3543="NEW"),"",INDEX(J$1:J3542,SUMPRODUCT(MAX(ROW(E$1:E3542)*(E3543=E$1:E3542)))))</f>
        <v> </v>
      </c>
      <c r="L3543" s="26"/>
    </row>
    <row r="3544" spans="1:12">
      <c r="A3544" s="20" t="s">
        <v>1507</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1689</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753</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t="s">
        <v>830</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t="s">
        <v>1410</v>
      </c>
      <c r="B3548" s="27" t="s">
        <v>777</v>
      </c>
      <c r="C3548" s="27" t="s">
        <v>772</v>
      </c>
      <c r="E3548" s="21">
        <f>IF(D3548="?OLD","!!!","")</f>
        <v/>
      </c>
      <c r="F3548" s="22" t="str">
        <f>IF(OR(E3548="",E3548="!!!"),"",IF(NOT(ISNA(VLOOKUP(E3548,E$1:E3547,1,FALSE()))),"OLD",IF(AND(E3548&lt;&gt;"",E3548&lt;&gt;"!!!"),"NEW","")))</f>
        <v> </v>
      </c>
      <c r="G3548" s="23" t="str">
        <f>IF(OR(E3548="",E3548="!!!"),"",IF(OR(J3548=0,AND(J3548=1,K3548=1),AND(J3548=1,I3548="SBJ"),AND(J3548=1,I3548=0)),"?IN_FOCUS",IF(J3548&lt;=2,"?ACTIVATED",IF(J3548&lt;&gt;"","?FAMILIAR",IF(F3548="NEW",IF(ISNA(VLOOKUP(E3548,#REF!,1,FALSE())),"?TYPE_IDENTIFIABLE","?REFERENTIAL"),"_")))))</f>
        <v> </v>
      </c>
      <c r="H3548" s="24" t="str">
        <f>IF(J3548&lt;&gt;1,"",IF(I3548="SBJ","CB","?"))</f>
        <v> </v>
      </c>
      <c r="I3548" s="25" t="str">
        <f>IF(OR(E3548="",E3548="!!!",F3548="NEW"),"",INDEX(B3547:B$2,-1+SUMPRODUCT(MAX(ROW(E3547:E$2)*(E3548=E3547:E$2)))))</f>
        <v> </v>
      </c>
      <c r="J3548" s="25" t="str">
        <f>IF(OR(E3548="",E3548="!!!",F3548="NEW"),"",COUNTBLANK(OFFSET(A$1,,,SUMPRODUCT(MAX(ROW(E$2:E3548)*(E3548=E$2:E3548)))))-COUNTBLANK(OFFSET(A$1,,,SUMPRODUCT(MAX(ROW(E$1:E3547)*(E2=E$1:E3547))))))</f>
        <v> </v>
      </c>
      <c r="K3548" s="25" t="str">
        <f>IF(OR(E3548="",E3548="!!!",F3548="NEW"),"",INDEX(J$1:J3547,SUMPRODUCT(MAX(ROW(E$1:E3547)*(E3548=E$1:E3547)))))</f>
        <v> </v>
      </c>
      <c r="L3548" s="26"/>
    </row>
    <row r="3549" spans="1:12">
      <c r="A3549" s="20" t="s">
        <v>1110</v>
      </c>
      <c r="B3549" s="27" t="s">
        <v>777</v>
      </c>
      <c r="C3549" s="27" t="s">
        <v>792</v>
      </c>
      <c r="D3549" s="27" t="s">
        <v>740</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t="s">
        <v>1498</v>
      </c>
      <c r="B3550" s="27" t="s">
        <v>771</v>
      </c>
      <c r="C3550" s="27" t="s">
        <v>908</v>
      </c>
      <c r="D3550" s="27" t="s">
        <v>740</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t="s">
        <v>1410</v>
      </c>
      <c r="B3551" s="27" t="s">
        <v>733</v>
      </c>
      <c r="C3551" s="27" t="s">
        <v>772</v>
      </c>
      <c r="E3551" s="21">
        <f>IF(D3551="?OLD","!!!","")</f>
        <v/>
      </c>
      <c r="F3551" s="22" t="str">
        <f>IF(OR(E3551="",E3551="!!!"),"",IF(NOT(ISNA(VLOOKUP(E3551,E$1:E3550,1,FALSE()))),"OLD",IF(AND(E3551&lt;&gt;"",E3551&lt;&gt;"!!!"),"NEW","")))</f>
        <v> </v>
      </c>
      <c r="G3551" s="23" t="str">
        <f>IF(OR(E3551="",E3551="!!!"),"",IF(OR(J3551=0,AND(J3551=1,K3551=1),AND(J3551=1,I3551="SBJ"),AND(J3551=1,I3551=0)),"?IN_FOCUS",IF(J3551&lt;=2,"?ACTIVATED",IF(J3551&lt;&gt;"","?FAMILIAR",IF(F3551="NEW",IF(ISNA(VLOOKUP(E3551,#REF!,1,FALSE())),"?TYPE_IDENTIFIABLE","?REFERENTIAL"),"_")))))</f>
        <v> </v>
      </c>
      <c r="H3551" s="24" t="str">
        <f>IF(J3551&lt;&gt;1,"",IF(I3551="SBJ","CB","?"))</f>
        <v> </v>
      </c>
      <c r="I3551" s="25" t="str">
        <f>IF(OR(E3551="",E3551="!!!",F3551="NEW"),"",INDEX(B3550:B$2,-1+SUMPRODUCT(MAX(ROW(E3550:E$2)*(E3551=E3550:E$2)))))</f>
        <v> </v>
      </c>
      <c r="J3551" s="25" t="str">
        <f>IF(OR(E3551="",E3551="!!!",F3551="NEW"),"",COUNTBLANK(OFFSET(A$1,,,SUMPRODUCT(MAX(ROW(E$2:E3551)*(E3551=E$2:E3551)))))-COUNTBLANK(OFFSET(A$1,,,SUMPRODUCT(MAX(ROW(E$1:E3550)*(E2=E$1:E3550))))))</f>
        <v> </v>
      </c>
      <c r="K3551" s="25" t="str">
        <f>IF(OR(E3551="",E3551="!!!",F3551="NEW"),"",INDEX(J$1:J3550,SUMPRODUCT(MAX(ROW(E$1:E3550)*(E3551=E$1:E3550)))))</f>
        <v> </v>
      </c>
      <c r="L3551" s="26"/>
    </row>
    <row r="3552" spans="1:12">
      <c r="A3552" s="20" t="s">
        <v>1110</v>
      </c>
      <c r="B3552" s="27" t="s">
        <v>733</v>
      </c>
      <c r="C3552" s="27" t="s">
        <v>792</v>
      </c>
      <c r="D3552" s="27" t="s">
        <v>740</v>
      </c>
      <c r="E3552" s="21">
        <f>IF(D3552="?OLD","!!!","")</f>
        <v/>
      </c>
      <c r="F3552" s="22" t="str">
        <f>IF(OR(E3552="",E3552="!!!"),"",IF(NOT(ISNA(VLOOKUP(E3552,E$1:E3551,1,FALSE()))),"OLD",IF(AND(E3552&lt;&gt;"",E3552&lt;&gt;"!!!"),"NEW","")))</f>
        <v> </v>
      </c>
      <c r="G3552" s="23" t="str">
        <f>IF(OR(E3552="",E3552="!!!"),"",IF(OR(J3552=0,AND(J3552=1,K3552=1),AND(J3552=1,I3552="SBJ"),AND(J3552=1,I3552=0)),"?IN_FOCUS",IF(J3552&lt;=2,"?ACTIVATED",IF(J3552&lt;&gt;"","?FAMILIAR",IF(F3552="NEW",IF(ISNA(VLOOKUP(E3552,#REF!,1,FALSE())),"?TYPE_IDENTIFIABLE","?REFERENTIAL"),"_")))))</f>
        <v> </v>
      </c>
      <c r="H3552" s="24" t="str">
        <f>IF(J3552&lt;&gt;1,"",IF(I3552="SBJ","CB","?"))</f>
        <v> </v>
      </c>
      <c r="I3552" s="25" t="str">
        <f>IF(OR(E3552="",E3552="!!!",F3552="NEW"),"",INDEX(B3551:B$2,-1+SUMPRODUCT(MAX(ROW(E3551:E$2)*(E3552=E3551:E$2)))))</f>
        <v> </v>
      </c>
      <c r="J3552" s="25" t="str">
        <f>IF(OR(E3552="",E3552="!!!",F3552="NEW"),"",COUNTBLANK(OFFSET(A$1,,,SUMPRODUCT(MAX(ROW(E$2:E3552)*(E3552=E$2:E3552)))))-COUNTBLANK(OFFSET(A$1,,,SUMPRODUCT(MAX(ROW(E$1:E3551)*(E2=E$1:E3551))))))</f>
        <v> </v>
      </c>
      <c r="K3552" s="25" t="str">
        <f>IF(OR(E3552="",E3552="!!!",F3552="NEW"),"",INDEX(J$1:J3551,SUMPRODUCT(MAX(ROW(E$1:E3551)*(E3552=E$1:E3551)))))</f>
        <v> </v>
      </c>
      <c r="L3552" s="26"/>
    </row>
    <row r="3553" spans="1:12">
      <c r="A3553" s="20" t="s">
        <v>914</v>
      </c>
      <c r="B3553" s="27" t="s">
        <v>728</v>
      </c>
      <c r="C3553" s="27" t="s">
        <v>908</v>
      </c>
      <c r="D3553" s="27" t="s">
        <v>740</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845</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1410</v>
      </c>
      <c r="B3555" s="27" t="s">
        <v>733</v>
      </c>
      <c r="C3555" s="27" t="s">
        <v>772</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1139</v>
      </c>
      <c r="B3556" s="27" t="s">
        <v>733</v>
      </c>
      <c r="C3556" s="27" t="s">
        <v>792</v>
      </c>
      <c r="D3556" s="27" t="s">
        <v>740</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1821</v>
      </c>
      <c r="B3557" s="27" t="s">
        <v>756</v>
      </c>
      <c r="C3557" s="27" t="s">
        <v>908</v>
      </c>
      <c r="D3557" s="27" t="s">
        <v>740</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1418</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753</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t="s">
        <v>1822</v>
      </c>
      <c r="B3560" s="27" t="s">
        <v>738</v>
      </c>
      <c r="C3560" s="27" t="s">
        <v>734</v>
      </c>
      <c r="E3560" s="21">
        <f>IF(D3560="?OLD","!!!","")</f>
        <v/>
      </c>
      <c r="F3560" s="22" t="str">
        <f>IF(OR(E3560="",E3560="!!!"),"",IF(NOT(ISNA(VLOOKUP(E3560,E$1:E3559,1,FALSE()))),"OLD",IF(AND(E3560&lt;&gt;"",E3560&lt;&gt;"!!!"),"NEW","")))</f>
        <v> </v>
      </c>
      <c r="G3560" s="23" t="str">
        <f>IF(OR(E3560="",E3560="!!!"),"",IF(OR(J3560=0,AND(J3560=1,K3560=1),AND(J3560=1,I3560="SBJ"),AND(J3560=1,I3560=0)),"?IN_FOCUS",IF(J3560&lt;=2,"?ACTIVATED",IF(J3560&lt;&gt;"","?FAMILIAR",IF(F3560="NEW",IF(ISNA(VLOOKUP(E3560,#REF!,1,FALSE())),"?TYPE_IDENTIFIABLE","?REFERENTIAL"),"_")))))</f>
        <v> </v>
      </c>
      <c r="H3560" s="24" t="str">
        <f>IF(J3560&lt;&gt;1,"",IF(I3560="SBJ","CB","?"))</f>
        <v> </v>
      </c>
      <c r="I3560" s="25" t="str">
        <f>IF(OR(E3560="",E3560="!!!",F3560="NEW"),"",INDEX(B3559:B$2,-1+SUMPRODUCT(MAX(ROW(E3559:E$2)*(E3560=E3559:E$2)))))</f>
        <v> </v>
      </c>
      <c r="J3560" s="25" t="str">
        <f>IF(OR(E3560="",E3560="!!!",F3560="NEW"),"",COUNTBLANK(OFFSET(A$1,,,SUMPRODUCT(MAX(ROW(E$2:E3560)*(E3560=E$2:E3560)))))-COUNTBLANK(OFFSET(A$1,,,SUMPRODUCT(MAX(ROW(E$1:E3559)*(E2=E$1:E3559))))))</f>
        <v> </v>
      </c>
      <c r="K3560" s="25" t="str">
        <f>IF(OR(E3560="",E3560="!!!",F3560="NEW"),"",INDEX(J$1:J3559,SUMPRODUCT(MAX(ROW(E$1:E3559)*(E3560=E$1:E3559)))))</f>
        <v> </v>
      </c>
      <c r="L3560" s="26"/>
    </row>
    <row r="3561" spans="1:12">
      <c r="A3561" s="20" t="s">
        <v>753</v>
      </c>
      <c r="E3561" s="21">
        <f>IF(D3561="?OLD","!!!","")</f>
        <v/>
      </c>
      <c r="F3561" s="22" t="str">
        <f>IF(OR(E3561="",E3561="!!!"),"",IF(NOT(ISNA(VLOOKUP(E3561,E$1:E3560,1,FALSE()))),"OLD",IF(AND(E3561&lt;&gt;"",E3561&lt;&gt;"!!!"),"NEW","")))</f>
        <v> </v>
      </c>
      <c r="G3561" s="23" t="str">
        <f>IF(OR(E3561="",E3561="!!!"),"",IF(OR(J3561=0,AND(J3561=1,K3561=1),AND(J3561=1,I3561="SBJ"),AND(J3561=1,I3561=0)),"?IN_FOCUS",IF(J3561&lt;=2,"?ACTIVATED",IF(J3561&lt;&gt;"","?FAMILIAR",IF(F3561="NEW",IF(ISNA(VLOOKUP(E3561,#REF!,1,FALSE())),"?TYPE_IDENTIFIABLE","?REFERENTIAL"),"_")))))</f>
        <v> </v>
      </c>
      <c r="H3561" s="24" t="str">
        <f>IF(J3561&lt;&gt;1,"",IF(I3561="SBJ","CB","?"))</f>
        <v> </v>
      </c>
      <c r="I3561" s="25" t="str">
        <f>IF(OR(E3561="",E3561="!!!",F3561="NEW"),"",INDEX(B3560:B$2,-1+SUMPRODUCT(MAX(ROW(E3560:E$2)*(E3561=E3560:E$2)))))</f>
        <v> </v>
      </c>
      <c r="J3561" s="25" t="str">
        <f>IF(OR(E3561="",E3561="!!!",F3561="NEW"),"",COUNTBLANK(OFFSET(A$1,,,SUMPRODUCT(MAX(ROW(E$2:E3561)*(E3561=E$2:E3561)))))-COUNTBLANK(OFFSET(A$1,,,SUMPRODUCT(MAX(ROW(E$1:E3560)*(E2=E$1:E3560))))))</f>
        <v> </v>
      </c>
      <c r="K3561" s="25" t="str">
        <f>IF(OR(E3561="",E3561="!!!",F3561="NEW"),"",INDEX(J$1:J3560,SUMPRODUCT(MAX(ROW(E$1:E3560)*(E3561=E$1:E3560)))))</f>
        <v> </v>
      </c>
      <c r="L3561" s="26"/>
    </row>
    <row r="3562" spans="1:12">
      <c r="A3562" s="20" t="s">
        <v>757</v>
      </c>
      <c r="E3562" s="21">
        <f>IF(D3562="?OLD","!!!","")</f>
        <v/>
      </c>
      <c r="F3562" s="22" t="str">
        <f>IF(OR(E3562="",E3562="!!!"),"",IF(NOT(ISNA(VLOOKUP(E3562,E$1:E3561,1,FALSE()))),"OLD",IF(AND(E3562&lt;&gt;"",E3562&lt;&gt;"!!!"),"NEW","")))</f>
        <v> </v>
      </c>
      <c r="G3562" s="23" t="str">
        <f>IF(OR(E3562="",E3562="!!!"),"",IF(OR(J3562=0,AND(J3562=1,K3562=1),AND(J3562=1,I3562="SBJ"),AND(J3562=1,I3562=0)),"?IN_FOCUS",IF(J3562&lt;=2,"?ACTIVATED",IF(J3562&lt;&gt;"","?FAMILIAR",IF(F3562="NEW",IF(ISNA(VLOOKUP(E3562,#REF!,1,FALSE())),"?TYPE_IDENTIFIABLE","?REFERENTIAL"),"_")))))</f>
        <v> </v>
      </c>
      <c r="H3562" s="24" t="str">
        <f>IF(J3562&lt;&gt;1,"",IF(I3562="SBJ","CB","?"))</f>
        <v> </v>
      </c>
      <c r="I3562" s="25" t="str">
        <f>IF(OR(E3562="",E3562="!!!",F3562="NEW"),"",INDEX(B3561:B$2,-1+SUMPRODUCT(MAX(ROW(E3561:E$2)*(E3562=E3561:E$2)))))</f>
        <v> </v>
      </c>
      <c r="J3562" s="25" t="str">
        <f>IF(OR(E3562="",E3562="!!!",F3562="NEW"),"",COUNTBLANK(OFFSET(A$1,,,SUMPRODUCT(MAX(ROW(E$2:E3562)*(E3562=E$2:E3562)))))-COUNTBLANK(OFFSET(A$1,,,SUMPRODUCT(MAX(ROW(E$1:E3561)*(E2=E$1:E3561))))))</f>
        <v> </v>
      </c>
      <c r="K3562" s="25" t="str">
        <f>IF(OR(E3562="",E3562="!!!",F3562="NEW"),"",INDEX(J$1:J3561,SUMPRODUCT(MAX(ROW(E$1:E3561)*(E3562=E$1:E3561)))))</f>
        <v> </v>
      </c>
      <c r="L3562" s="26"/>
    </row>
    <row r="3563" spans="1:12">
      <c r="A3563" s="20" t="s">
        <v>736</v>
      </c>
      <c r="B3563" s="27" t="s">
        <v>733</v>
      </c>
      <c r="C3563" s="27" t="s">
        <v>775</v>
      </c>
      <c r="D3563" s="27" t="s">
        <v>740</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t="s">
        <v>774</v>
      </c>
      <c r="B3564" s="27" t="s">
        <v>771</v>
      </c>
      <c r="C3564" s="27" t="s">
        <v>775</v>
      </c>
      <c r="D3564" s="27" t="s">
        <v>740</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t="s">
        <v>1823</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t="s">
        <v>1184</v>
      </c>
      <c r="B3566" s="27" t="s">
        <v>771</v>
      </c>
      <c r="C3566" s="27" t="s">
        <v>772</v>
      </c>
      <c r="E3566" s="21">
        <f>IF(D3566="?OLD","!!!","")</f>
        <v/>
      </c>
      <c r="F3566" s="22" t="str">
        <f>IF(OR(E3566="",E3566="!!!"),"",IF(NOT(ISNA(VLOOKUP(E3566,E$1:E3565,1,FALSE()))),"OLD",IF(AND(E3566&lt;&gt;"",E3566&lt;&gt;"!!!"),"NEW","")))</f>
        <v> </v>
      </c>
      <c r="G3566" s="23" t="str">
        <f>IF(OR(E3566="",E3566="!!!"),"",IF(OR(J3566=0,AND(J3566=1,K3566=1),AND(J3566=1,I3566="SBJ"),AND(J3566=1,I3566=0)),"?IN_FOCUS",IF(J3566&lt;=2,"?ACTIVATED",IF(J3566&lt;&gt;"","?FAMILIAR",IF(F3566="NEW",IF(ISNA(VLOOKUP(E3566,#REF!,1,FALSE())),"?TYPE_IDENTIFIABLE","?REFERENTIAL"),"_")))))</f>
        <v> </v>
      </c>
      <c r="H3566" s="24" t="str">
        <f>IF(J3566&lt;&gt;1,"",IF(I3566="SBJ","CB","?"))</f>
        <v> </v>
      </c>
      <c r="I3566" s="25" t="str">
        <f>IF(OR(E3566="",E3566="!!!",F3566="NEW"),"",INDEX(B3565:B$2,-1+SUMPRODUCT(MAX(ROW(E3565:E$2)*(E3566=E3565:E$2)))))</f>
        <v> </v>
      </c>
      <c r="J3566" s="25" t="str">
        <f>IF(OR(E3566="",E3566="!!!",F3566="NEW"),"",COUNTBLANK(OFFSET(A$1,,,SUMPRODUCT(MAX(ROW(E$2:E3566)*(E3566=E$2:E3566)))))-COUNTBLANK(OFFSET(A$1,,,SUMPRODUCT(MAX(ROW(E$1:E3565)*(E2=E$1:E3565))))))</f>
        <v> </v>
      </c>
      <c r="K3566" s="25" t="str">
        <f>IF(OR(E3566="",E3566="!!!",F3566="NEW"),"",INDEX(J$1:J3565,SUMPRODUCT(MAX(ROW(E$1:E3565)*(E3566=E$1:E3565)))))</f>
        <v> </v>
      </c>
      <c r="L3566" s="26"/>
    </row>
    <row r="3567" spans="1:12">
      <c r="A3567" s="20" t="s">
        <v>1824</v>
      </c>
      <c r="E3567" s="21">
        <f>IF(D3567="?OLD","!!!","")</f>
        <v/>
      </c>
      <c r="F3567" s="22" t="str">
        <f>IF(OR(E3567="",E3567="!!!"),"",IF(NOT(ISNA(VLOOKUP(E3567,E$1:E3566,1,FALSE()))),"OLD",IF(AND(E3567&lt;&gt;"",E3567&lt;&gt;"!!!"),"NEW","")))</f>
        <v> </v>
      </c>
      <c r="G3567" s="23" t="str">
        <f>IF(OR(E3567="",E3567="!!!"),"",IF(OR(J3567=0,AND(J3567=1,K3567=1),AND(J3567=1,I3567="SBJ"),AND(J3567=1,I3567=0)),"?IN_FOCUS",IF(J3567&lt;=2,"?ACTIVATED",IF(J3567&lt;&gt;"","?FAMILIAR",IF(F3567="NEW",IF(ISNA(VLOOKUP(E3567,#REF!,1,FALSE())),"?TYPE_IDENTIFIABLE","?REFERENTIAL"),"_")))))</f>
        <v> </v>
      </c>
      <c r="H3567" s="24" t="str">
        <f>IF(J3567&lt;&gt;1,"",IF(I3567="SBJ","CB","?"))</f>
        <v> </v>
      </c>
      <c r="I3567" s="25" t="str">
        <f>IF(OR(E3567="",E3567="!!!",F3567="NEW"),"",INDEX(B3566:B$2,-1+SUMPRODUCT(MAX(ROW(E3566:E$2)*(E3567=E3566:E$2)))))</f>
        <v> </v>
      </c>
      <c r="J3567" s="25" t="str">
        <f>IF(OR(E3567="",E3567="!!!",F3567="NEW"),"",COUNTBLANK(OFFSET(A$1,,,SUMPRODUCT(MAX(ROW(E$2:E3567)*(E3567=E$2:E3567)))))-COUNTBLANK(OFFSET(A$1,,,SUMPRODUCT(MAX(ROW(E$1:E3566)*(E2=E$1:E3566))))))</f>
        <v> </v>
      </c>
      <c r="K3567" s="25" t="str">
        <f>IF(OR(E3567="",E3567="!!!",F3567="NEW"),"",INDEX(J$1:J3566,SUMPRODUCT(MAX(ROW(E$1:E3566)*(E3567=E$1:E3566)))))</f>
        <v> </v>
      </c>
      <c r="L3567" s="26"/>
    </row>
    <row r="3568" spans="1:12">
      <c r="A3568" s="20" t="s">
        <v>1825</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753</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1328</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774</v>
      </c>
      <c r="B3571" s="27" t="s">
        <v>795</v>
      </c>
      <c r="C3571" s="27" t="s">
        <v>775</v>
      </c>
      <c r="D3571" s="27" t="s">
        <v>740</v>
      </c>
      <c r="E3571" s="21">
        <f>IF(D3571="?OLD","!!!","")</f>
        <v/>
      </c>
      <c r="F3571" s="22" t="str">
        <f>IF(OR(E3571="",E3571="!!!"),"",IF(NOT(ISNA(VLOOKUP(E3571,E$1:E3570,1,FALSE()))),"OLD",IF(AND(E3571&lt;&gt;"",E3571&lt;&gt;"!!!"),"NEW","")))</f>
        <v> </v>
      </c>
      <c r="G3571" s="23" t="str">
        <f>IF(OR(E3571="",E3571="!!!"),"",IF(OR(J3571=0,AND(J3571=1,K3571=1),AND(J3571=1,I3571="SBJ"),AND(J3571=1,I3571=0)),"?IN_FOCUS",IF(J3571&lt;=2,"?ACTIVATED",IF(J3571&lt;&gt;"","?FAMILIAR",IF(F3571="NEW",IF(ISNA(VLOOKUP(E3571,#REF!,1,FALSE())),"?TYPE_IDENTIFIABLE","?REFERENTIAL"),"_")))))</f>
        <v> </v>
      </c>
      <c r="H3571" s="24" t="str">
        <f>IF(J3571&lt;&gt;1,"",IF(I3571="SBJ","CB","?"))</f>
        <v> </v>
      </c>
      <c r="I3571" s="25" t="str">
        <f>IF(OR(E3571="",E3571="!!!",F3571="NEW"),"",INDEX(B3570:B$2,-1+SUMPRODUCT(MAX(ROW(E3570:E$2)*(E3571=E3570:E$2)))))</f>
        <v> </v>
      </c>
      <c r="J3571" s="25" t="str">
        <f>IF(OR(E3571="",E3571="!!!",F3571="NEW"),"",COUNTBLANK(OFFSET(A$1,,,SUMPRODUCT(MAX(ROW(E$2:E3571)*(E3571=E$2:E3571)))))-COUNTBLANK(OFFSET(A$1,,,SUMPRODUCT(MAX(ROW(E$1:E3570)*(E2=E$1:E3570))))))</f>
        <v> </v>
      </c>
      <c r="K3571" s="25" t="str">
        <f>IF(OR(E3571="",E3571="!!!",F3571="NEW"),"",INDEX(J$1:J3570,SUMPRODUCT(MAX(ROW(E$1:E3570)*(E3571=E$1:E3570)))))</f>
        <v> </v>
      </c>
      <c r="L3571" s="26"/>
    </row>
    <row r="3572" spans="1:12">
      <c r="A3572" s="20" t="s">
        <v>765</v>
      </c>
      <c r="E3572" s="21">
        <f>IF(D3572="?OLD","!!!","")</f>
        <v/>
      </c>
      <c r="F3572" s="22" t="str">
        <f>IF(OR(E3572="",E3572="!!!"),"",IF(NOT(ISNA(VLOOKUP(E3572,E$1:E3571,1,FALSE()))),"OLD",IF(AND(E3572&lt;&gt;"",E3572&lt;&gt;"!!!"),"NEW","")))</f>
        <v> </v>
      </c>
      <c r="G3572" s="23" t="str">
        <f>IF(OR(E3572="",E3572="!!!"),"",IF(OR(J3572=0,AND(J3572=1,K3572=1),AND(J3572=1,I3572="SBJ"),AND(J3572=1,I3572=0)),"?IN_FOCUS",IF(J3572&lt;=2,"?ACTIVATED",IF(J3572&lt;&gt;"","?FAMILIAR",IF(F3572="NEW",IF(ISNA(VLOOKUP(E3572,#REF!,1,FALSE())),"?TYPE_IDENTIFIABLE","?REFERENTIAL"),"_")))))</f>
        <v> </v>
      </c>
      <c r="H3572" s="24" t="str">
        <f>IF(J3572&lt;&gt;1,"",IF(I3572="SBJ","CB","?"))</f>
        <v> </v>
      </c>
      <c r="I3572" s="25" t="str">
        <f>IF(OR(E3572="",E3572="!!!",F3572="NEW"),"",INDEX(B3571:B$2,-1+SUMPRODUCT(MAX(ROW(E3571:E$2)*(E3572=E3571:E$2)))))</f>
        <v> </v>
      </c>
      <c r="J3572" s="25" t="str">
        <f>IF(OR(E3572="",E3572="!!!",F3572="NEW"),"",COUNTBLANK(OFFSET(A$1,,,SUMPRODUCT(MAX(ROW(E$2:E3572)*(E3572=E$2:E3572)))))-COUNTBLANK(OFFSET(A$1,,,SUMPRODUCT(MAX(ROW(E$1:E3571)*(E2=E$1:E3571))))))</f>
        <v> </v>
      </c>
      <c r="K3572" s="25" t="str">
        <f>IF(OR(E3572="",E3572="!!!",F3572="NEW"),"",INDEX(J$1:J3571,SUMPRODUCT(MAX(ROW(E$1:E3571)*(E3572=E$1:E3571)))))</f>
        <v> </v>
      </c>
      <c r="L3572" s="26"/>
    </row>
    <row r="3573" spans="1:12">
      <c r="A3573" s="20" t="s">
        <v>1826</v>
      </c>
      <c r="E3573" s="21">
        <f>IF(D3573="?OLD","!!!","")</f>
        <v/>
      </c>
      <c r="F3573" s="22" t="str">
        <f>IF(OR(E3573="",E3573="!!!"),"",IF(NOT(ISNA(VLOOKUP(E3573,E$1:E3572,1,FALSE()))),"OLD",IF(AND(E3573&lt;&gt;"",E3573&lt;&gt;"!!!"),"NEW","")))</f>
        <v> </v>
      </c>
      <c r="G3573" s="23" t="str">
        <f>IF(OR(E3573="",E3573="!!!"),"",IF(OR(J3573=0,AND(J3573=1,K3573=1),AND(J3573=1,I3573="SBJ"),AND(J3573=1,I3573=0)),"?IN_FOCUS",IF(J3573&lt;=2,"?ACTIVATED",IF(J3573&lt;&gt;"","?FAMILIAR",IF(F3573="NEW",IF(ISNA(VLOOKUP(E3573,#REF!,1,FALSE())),"?TYPE_IDENTIFIABLE","?REFERENTIAL"),"_")))))</f>
        <v> </v>
      </c>
      <c r="H3573" s="24" t="str">
        <f>IF(J3573&lt;&gt;1,"",IF(I3573="SBJ","CB","?"))</f>
        <v> </v>
      </c>
      <c r="I3573" s="25" t="str">
        <f>IF(OR(E3573="",E3573="!!!",F3573="NEW"),"",INDEX(B3572:B$2,-1+SUMPRODUCT(MAX(ROW(E3572:E$2)*(E3573=E3572:E$2)))))</f>
        <v> </v>
      </c>
      <c r="J3573" s="25" t="str">
        <f>IF(OR(E3573="",E3573="!!!",F3573="NEW"),"",COUNTBLANK(OFFSET(A$1,,,SUMPRODUCT(MAX(ROW(E$2:E3573)*(E3573=E$2:E3573)))))-COUNTBLANK(OFFSET(A$1,,,SUMPRODUCT(MAX(ROW(E$1:E3572)*(E2=E$1:E3572))))))</f>
        <v> </v>
      </c>
      <c r="K3573" s="25" t="str">
        <f>IF(OR(E3573="",E3573="!!!",F3573="NEW"),"",INDEX(J$1:J3572,SUMPRODUCT(MAX(ROW(E$1:E3572)*(E3573=E$1:E3572)))))</f>
        <v> </v>
      </c>
      <c r="L3573" s="26"/>
    </row>
    <row r="3574" spans="1:12">
      <c r="A3574" s="20" t="s">
        <v>753</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788</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830</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774</v>
      </c>
      <c r="B3577" s="27" t="s">
        <v>935</v>
      </c>
      <c r="C3577" s="27" t="s">
        <v>775</v>
      </c>
      <c r="D3577" s="27" t="s">
        <v>740</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1827</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833</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1334</v>
      </c>
      <c r="B3580" s="27" t="s">
        <v>1027</v>
      </c>
      <c r="C3580" s="27" t="s">
        <v>772</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1580</v>
      </c>
      <c r="B3581" s="27" t="s">
        <v>1037</v>
      </c>
      <c r="C3581" s="27" t="s">
        <v>780</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729</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1025</v>
      </c>
      <c r="B3583" s="27" t="s">
        <v>1027</v>
      </c>
      <c r="C3583" s="27" t="s">
        <v>792</v>
      </c>
      <c r="D3583" s="27" t="s">
        <v>740</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1205</v>
      </c>
      <c r="B3584" s="27" t="s">
        <v>787</v>
      </c>
      <c r="C3584" s="27" t="s">
        <v>908</v>
      </c>
      <c r="D3584" s="27" t="s">
        <v>740</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783</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183</v>
      </c>
      <c r="B3586" s="27" t="s">
        <v>787</v>
      </c>
      <c r="C3586" s="27" t="s">
        <v>734</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1341</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t="s">
        <v>1418</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t="s">
        <v>746</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row>
    <row r="3591" spans="1:12">
      <c r="A3591" s="20" t="s">
        <v>1828</v>
      </c>
    </row>
    <row r="3592" spans="1:12">
      <c r="A3592" s="20" t="s">
        <v>813</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989</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934</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807</v>
      </c>
      <c r="B3595" s="27" t="s">
        <v>728</v>
      </c>
      <c r="C3595" s="27" t="s">
        <v>749</v>
      </c>
      <c r="D3595" s="27" t="s">
        <v>740</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753</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t="s">
        <v>860</v>
      </c>
      <c r="E3597" s="21">
        <f>IF(D3597="?OLD","!!!","")</f>
        <v/>
      </c>
      <c r="F3597" s="22" t="str">
        <f>IF(OR(E3597="",E3597="!!!"),"",IF(NOT(ISNA(VLOOKUP(E3597,E$1:E3596,1,FALSE()))),"OLD",IF(AND(E3597&lt;&gt;"",E3597&lt;&gt;"!!!"),"NEW","")))</f>
        <v> </v>
      </c>
      <c r="G3597" s="23" t="str">
        <f>IF(OR(E3597="",E3597="!!!"),"",IF(OR(J3597=0,AND(J3597=1,K3597=1),AND(J3597=1,I3597="SBJ"),AND(J3597=1,I3597=0)),"?IN_FOCUS",IF(J3597&lt;=2,"?ACTIVATED",IF(J3597&lt;&gt;"","?FAMILIAR",IF(F3597="NEW",IF(ISNA(VLOOKUP(E3597,#REF!,1,FALSE())),"?TYPE_IDENTIFIABLE","?REFERENTIAL"),"_")))))</f>
        <v> </v>
      </c>
      <c r="H3597" s="24" t="str">
        <f>IF(J3597&lt;&gt;1,"",IF(I3597="SBJ","CB","?"))</f>
        <v> </v>
      </c>
      <c r="I3597" s="25" t="str">
        <f>IF(OR(E3597="",E3597="!!!",F3597="NEW"),"",INDEX(B3596:B$2,-1+SUMPRODUCT(MAX(ROW(E3596:E$2)*(E3597=E3596:E$2)))))</f>
        <v> </v>
      </c>
      <c r="J3597" s="25" t="str">
        <f>IF(OR(E3597="",E3597="!!!",F3597="NEW"),"",COUNTBLANK(OFFSET(A$1,,,SUMPRODUCT(MAX(ROW(E$2:E3597)*(E3597=E$2:E3597)))))-COUNTBLANK(OFFSET(A$1,,,SUMPRODUCT(MAX(ROW(E$1:E3596)*(E2=E$1:E3596))))))</f>
        <v> </v>
      </c>
      <c r="K3597" s="25" t="str">
        <f>IF(OR(E3597="",E3597="!!!",F3597="NEW"),"",INDEX(J$1:J3596,SUMPRODUCT(MAX(ROW(E$1:E3596)*(E3597=E$1:E3596)))))</f>
        <v> </v>
      </c>
      <c r="L3597" s="26"/>
    </row>
    <row r="3598" spans="1:12">
      <c r="A3598" s="20" t="s">
        <v>831</v>
      </c>
      <c r="B3598" s="27" t="s">
        <v>771</v>
      </c>
      <c r="C3598" s="27" t="s">
        <v>775</v>
      </c>
      <c r="D3598" s="27" t="s">
        <v>740</v>
      </c>
      <c r="E3598" s="21">
        <f>IF(D3598="?OLD","!!!","")</f>
        <v/>
      </c>
      <c r="F3598" s="22" t="str">
        <f>IF(OR(E3598="",E3598="!!!"),"",IF(NOT(ISNA(VLOOKUP(E3598,E$1:E3597,1,FALSE()))),"OLD",IF(AND(E3598&lt;&gt;"",E3598&lt;&gt;"!!!"),"NEW","")))</f>
        <v> </v>
      </c>
      <c r="G3598" s="23" t="str">
        <f>IF(OR(E3598="",E3598="!!!"),"",IF(OR(J3598=0,AND(J3598=1,K3598=1),AND(J3598=1,I3598="SBJ"),AND(J3598=1,I3598=0)),"?IN_FOCUS",IF(J3598&lt;=2,"?ACTIVATED",IF(J3598&lt;&gt;"","?FAMILIAR",IF(F3598="NEW",IF(ISNA(VLOOKUP(E3598,#REF!,1,FALSE())),"?TYPE_IDENTIFIABLE","?REFERENTIAL"),"_")))))</f>
        <v> </v>
      </c>
      <c r="H3598" s="24" t="str">
        <f>IF(J3598&lt;&gt;1,"",IF(I3598="SBJ","CB","?"))</f>
        <v> </v>
      </c>
      <c r="I3598" s="25" t="str">
        <f>IF(OR(E3598="",E3598="!!!",F3598="NEW"),"",INDEX(B3597:B$2,-1+SUMPRODUCT(MAX(ROW(E3597:E$2)*(E3598=E3597:E$2)))))</f>
        <v> </v>
      </c>
      <c r="J3598" s="25" t="str">
        <f>IF(OR(E3598="",E3598="!!!",F3598="NEW"),"",COUNTBLANK(OFFSET(A$1,,,SUMPRODUCT(MAX(ROW(E$2:E3598)*(E3598=E$2:E3598)))))-COUNTBLANK(OFFSET(A$1,,,SUMPRODUCT(MAX(ROW(E$1:E3597)*(E2=E$1:E3597))))))</f>
        <v> </v>
      </c>
      <c r="K3598" s="25" t="str">
        <f>IF(OR(E3598="",E3598="!!!",F3598="NEW"),"",INDEX(J$1:J3597,SUMPRODUCT(MAX(ROW(E$1:E3597)*(E3598=E$1:E3597)))))</f>
        <v> </v>
      </c>
      <c r="L3598" s="26"/>
    </row>
    <row r="3599" spans="1:12">
      <c r="A3599" s="20" t="s">
        <v>1087</v>
      </c>
      <c r="B3599" s="27" t="s">
        <v>756</v>
      </c>
      <c r="C3599" s="27" t="s">
        <v>772</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753</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736</v>
      </c>
      <c r="B3601" s="27" t="s">
        <v>779</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831</v>
      </c>
      <c r="B3602" s="27" t="s">
        <v>771</v>
      </c>
      <c r="C3602" s="27" t="s">
        <v>775</v>
      </c>
      <c r="D3602" s="27" t="s">
        <v>740</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914</v>
      </c>
      <c r="B3603" s="27" t="s">
        <v>779</v>
      </c>
      <c r="C3603" s="27" t="s">
        <v>734</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t="s">
        <v>87</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753</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1477</v>
      </c>
      <c r="B3606" s="27" t="s">
        <v>787</v>
      </c>
      <c r="C3606" s="27" t="s">
        <v>828</v>
      </c>
      <c r="D3606" s="27" t="s">
        <v>740</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914</v>
      </c>
      <c r="B3607" s="27" t="s">
        <v>764</v>
      </c>
      <c r="C3607" s="27" t="s">
        <v>734</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t="s">
        <v>845</v>
      </c>
      <c r="E3608" s="21">
        <f>IF(D3608="?OLD","!!!","")</f>
        <v/>
      </c>
      <c r="F3608" s="22" t="str">
        <f>IF(OR(E3608="",E3608="!!!"),"",IF(NOT(ISNA(VLOOKUP(E3608,E$1:E3607,1,FALSE()))),"OLD",IF(AND(E3608&lt;&gt;"",E3608&lt;&gt;"!!!"),"NEW","")))</f>
        <v> </v>
      </c>
      <c r="G3608" s="23" t="str">
        <f>IF(OR(E3608="",E3608="!!!"),"",IF(OR(J3608=0,AND(J3608=1,K3608=1),AND(J3608=1,I3608="SBJ"),AND(J3608=1,I3608=0)),"?IN_FOCUS",IF(J3608&lt;=2,"?ACTIVATED",IF(J3608&lt;&gt;"","?FAMILIAR",IF(F3608="NEW",IF(ISNA(VLOOKUP(E3608,#REF!,1,FALSE())),"?TYPE_IDENTIFIABLE","?REFERENTIAL"),"_")))))</f>
        <v> </v>
      </c>
      <c r="H3608" s="24" t="str">
        <f>IF(J3608&lt;&gt;1,"",IF(I3608="SBJ","CB","?"))</f>
        <v> </v>
      </c>
      <c r="I3608" s="25" t="str">
        <f>IF(OR(E3608="",E3608="!!!",F3608="NEW"),"",INDEX(B3607:B$2,-1+SUMPRODUCT(MAX(ROW(E3607:E$2)*(E3608=E3607:E$2)))))</f>
        <v> </v>
      </c>
      <c r="J3608" s="25" t="str">
        <f>IF(OR(E3608="",E3608="!!!",F3608="NEW"),"",COUNTBLANK(OFFSET(A$1,,,SUMPRODUCT(MAX(ROW(E$2:E3608)*(E3608=E$2:E3608)))))-COUNTBLANK(OFFSET(A$1,,,SUMPRODUCT(MAX(ROW(E$1:E3607)*(E2=E$1:E3607))))))</f>
        <v> </v>
      </c>
      <c r="K3608" s="25" t="str">
        <f>IF(OR(E3608="",E3608="!!!",F3608="NEW"),"",INDEX(J$1:J3607,SUMPRODUCT(MAX(ROW(E$1:E3607)*(E3608=E$1:E3607)))))</f>
        <v> </v>
      </c>
      <c r="L3608" s="26"/>
    </row>
    <row r="3609" spans="1:12">
      <c r="A3609" s="20" t="s">
        <v>1410</v>
      </c>
      <c r="B3609" s="27" t="s">
        <v>795</v>
      </c>
      <c r="C3609" s="27" t="s">
        <v>772</v>
      </c>
      <c r="E3609" s="21">
        <f>IF(D3609="?OLD","!!!","")</f>
        <v/>
      </c>
      <c r="F3609" s="22" t="str">
        <f>IF(OR(E3609="",E3609="!!!"),"",IF(NOT(ISNA(VLOOKUP(E3609,E$1:E3608,1,FALSE()))),"OLD",IF(AND(E3609&lt;&gt;"",E3609&lt;&gt;"!!!"),"NEW","")))</f>
        <v> </v>
      </c>
      <c r="G3609" s="23" t="str">
        <f>IF(OR(E3609="",E3609="!!!"),"",IF(OR(J3609=0,AND(J3609=1,K3609=1),AND(J3609=1,I3609="SBJ"),AND(J3609=1,I3609=0)),"?IN_FOCUS",IF(J3609&lt;=2,"?ACTIVATED",IF(J3609&lt;&gt;"","?FAMILIAR",IF(F3609="NEW",IF(ISNA(VLOOKUP(E3609,#REF!,1,FALSE())),"?TYPE_IDENTIFIABLE","?REFERENTIAL"),"_")))))</f>
        <v> </v>
      </c>
      <c r="H3609" s="24" t="str">
        <f>IF(J3609&lt;&gt;1,"",IF(I3609="SBJ","CB","?"))</f>
        <v> </v>
      </c>
      <c r="I3609" s="25" t="str">
        <f>IF(OR(E3609="",E3609="!!!",F3609="NEW"),"",INDEX(B3608:B$2,-1+SUMPRODUCT(MAX(ROW(E3608:E$2)*(E3609=E3608:E$2)))))</f>
        <v> </v>
      </c>
      <c r="J3609" s="25" t="str">
        <f>IF(OR(E3609="",E3609="!!!",F3609="NEW"),"",COUNTBLANK(OFFSET(A$1,,,SUMPRODUCT(MAX(ROW(E$2:E3609)*(E3609=E$2:E3609)))))-COUNTBLANK(OFFSET(A$1,,,SUMPRODUCT(MAX(ROW(E$1:E3608)*(E2=E$1:E3608))))))</f>
        <v> </v>
      </c>
      <c r="K3609" s="25" t="str">
        <f>IF(OR(E3609="",E3609="!!!",F3609="NEW"),"",INDEX(J$1:J3608,SUMPRODUCT(MAX(ROW(E$1:E3608)*(E3609=E$1:E3608)))))</f>
        <v> </v>
      </c>
      <c r="L3609" s="26"/>
    </row>
    <row r="3610" spans="1:12">
      <c r="A3610" s="20" t="s">
        <v>1279</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1829</v>
      </c>
      <c r="B3611" s="27" t="s">
        <v>764</v>
      </c>
      <c r="C3611" s="27" t="s">
        <v>848</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1239</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t="s">
        <v>746</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row>
    <row r="3615" spans="1:12">
      <c r="A3615" s="20" t="s">
        <v>1830</v>
      </c>
    </row>
    <row r="3616" spans="1:12">
      <c r="A3616" s="20" t="s">
        <v>1701</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t="s">
        <v>751</v>
      </c>
      <c r="E3617" s="21">
        <f>IF(D3617="?OLD","!!!","")</f>
        <v/>
      </c>
      <c r="F3617" s="22" t="str">
        <f>IF(OR(E3617="",E3617="!!!"),"",IF(NOT(ISNA(VLOOKUP(E3617,E$1:E3616,1,FALSE()))),"OLD",IF(AND(E3617&lt;&gt;"",E3617&lt;&gt;"!!!"),"NEW","")))</f>
        <v> </v>
      </c>
      <c r="G3617" s="23" t="str">
        <f>IF(OR(E3617="",E3617="!!!"),"",IF(OR(J3617=0,AND(J3617=1,K3617=1),AND(J3617=1,I3617="SBJ"),AND(J3617=1,I3617=0)),"?IN_FOCUS",IF(J3617&lt;=2,"?ACTIVATED",IF(J3617&lt;&gt;"","?FAMILIAR",IF(F3617="NEW",IF(ISNA(VLOOKUP(E3617,#REF!,1,FALSE())),"?TYPE_IDENTIFIABLE","?REFERENTIAL"),"_")))))</f>
        <v> </v>
      </c>
      <c r="H3617" s="24" t="str">
        <f>IF(J3617&lt;&gt;1,"",IF(I3617="SBJ","CB","?"))</f>
        <v> </v>
      </c>
      <c r="I3617" s="25" t="str">
        <f>IF(OR(E3617="",E3617="!!!",F3617="NEW"),"",INDEX(B3616:B$2,-1+SUMPRODUCT(MAX(ROW(E3616:E$2)*(E3617=E3616:E$2)))))</f>
        <v> </v>
      </c>
      <c r="J3617" s="25" t="str">
        <f>IF(OR(E3617="",E3617="!!!",F3617="NEW"),"",COUNTBLANK(OFFSET(A$1,,,SUMPRODUCT(MAX(ROW(E$2:E3617)*(E3617=E$2:E3617)))))-COUNTBLANK(OFFSET(A$1,,,SUMPRODUCT(MAX(ROW(E$1:E3616)*(E2=E$1:E3616))))))</f>
        <v> </v>
      </c>
      <c r="K3617" s="25" t="str">
        <f>IF(OR(E3617="",E3617="!!!",F3617="NEW"),"",INDEX(J$1:J3616,SUMPRODUCT(MAX(ROW(E$1:E3616)*(E3617=E$1:E3616)))))</f>
        <v> </v>
      </c>
      <c r="L3617" s="26"/>
    </row>
    <row r="3618" spans="1:12">
      <c r="A3618" s="20" t="s">
        <v>1831</v>
      </c>
      <c r="E3618" s="21">
        <f>IF(D3618="?OLD","!!!","")</f>
        <v/>
      </c>
      <c r="F3618" s="22" t="str">
        <f>IF(OR(E3618="",E3618="!!!"),"",IF(NOT(ISNA(VLOOKUP(E3618,E$1:E3617,1,FALSE()))),"OLD",IF(AND(E3618&lt;&gt;"",E3618&lt;&gt;"!!!"),"NEW","")))</f>
        <v> </v>
      </c>
      <c r="G3618" s="23" t="str">
        <f>IF(OR(E3618="",E3618="!!!"),"",IF(OR(J3618=0,AND(J3618=1,K3618=1),AND(J3618=1,I3618="SBJ"),AND(J3618=1,I3618=0)),"?IN_FOCUS",IF(J3618&lt;=2,"?ACTIVATED",IF(J3618&lt;&gt;"","?FAMILIAR",IF(F3618="NEW",IF(ISNA(VLOOKUP(E3618,#REF!,1,FALSE())),"?TYPE_IDENTIFIABLE","?REFERENTIAL"),"_")))))</f>
        <v> </v>
      </c>
      <c r="H3618" s="24" t="str">
        <f>IF(J3618&lt;&gt;1,"",IF(I3618="SBJ","CB","?"))</f>
        <v> </v>
      </c>
      <c r="I3618" s="25" t="str">
        <f>IF(OR(E3618="",E3618="!!!",F3618="NEW"),"",INDEX(B3617:B$2,-1+SUMPRODUCT(MAX(ROW(E3617:E$2)*(E3618=E3617:E$2)))))</f>
        <v> </v>
      </c>
      <c r="J3618" s="25" t="str">
        <f>IF(OR(E3618="",E3618="!!!",F3618="NEW"),"",COUNTBLANK(OFFSET(A$1,,,SUMPRODUCT(MAX(ROW(E$2:E3618)*(E3618=E$2:E3618)))))-COUNTBLANK(OFFSET(A$1,,,SUMPRODUCT(MAX(ROW(E$1:E3617)*(E2=E$1:E3617))))))</f>
        <v> </v>
      </c>
      <c r="K3618" s="25" t="str">
        <f>IF(OR(E3618="",E3618="!!!",F3618="NEW"),"",INDEX(J$1:J3617,SUMPRODUCT(MAX(ROW(E$1:E3617)*(E3618=E$1:E3617)))))</f>
        <v> </v>
      </c>
      <c r="L3618" s="26"/>
    </row>
    <row r="3619" spans="1:12">
      <c r="A3619" s="20" t="s">
        <v>1832</v>
      </c>
      <c r="B3619" s="27" t="s">
        <v>771</v>
      </c>
      <c r="C3619" s="27" t="s">
        <v>744</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1074</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t="s">
        <v>1833</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t="s">
        <v>736</v>
      </c>
      <c r="E3622" s="21">
        <f>IF(D3622="?OLD","!!!","")</f>
        <v/>
      </c>
      <c r="F3622" s="22" t="str">
        <f>IF(OR(E3622="",E3622="!!!"),"",IF(NOT(ISNA(VLOOKUP(E3622,E$1:E3621,1,FALSE()))),"OLD",IF(AND(E3622&lt;&gt;"",E3622&lt;&gt;"!!!"),"NEW","")))</f>
        <v> </v>
      </c>
      <c r="G3622" s="23" t="str">
        <f>IF(OR(E3622="",E3622="!!!"),"",IF(OR(J3622=0,AND(J3622=1,K3622=1),AND(J3622=1,I3622="SBJ"),AND(J3622=1,I3622=0)),"?IN_FOCUS",IF(J3622&lt;=2,"?ACTIVATED",IF(J3622&lt;&gt;"","?FAMILIAR",IF(F3622="NEW",IF(ISNA(VLOOKUP(E3622,#REF!,1,FALSE())),"?TYPE_IDENTIFIABLE","?REFERENTIAL"),"_")))))</f>
        <v> </v>
      </c>
      <c r="H3622" s="24" t="str">
        <f>IF(J3622&lt;&gt;1,"",IF(I3622="SBJ","CB","?"))</f>
        <v> </v>
      </c>
      <c r="I3622" s="25" t="str">
        <f>IF(OR(E3622="",E3622="!!!",F3622="NEW"),"",INDEX(B3621:B$2,-1+SUMPRODUCT(MAX(ROW(E3621:E$2)*(E3622=E3621:E$2)))))</f>
        <v> </v>
      </c>
      <c r="J3622" s="25" t="str">
        <f>IF(OR(E3622="",E3622="!!!",F3622="NEW"),"",COUNTBLANK(OFFSET(A$1,,,SUMPRODUCT(MAX(ROW(E$2:E3622)*(E3622=E$2:E3622)))))-COUNTBLANK(OFFSET(A$1,,,SUMPRODUCT(MAX(ROW(E$1:E3621)*(E2=E$1:E3621))))))</f>
        <v> </v>
      </c>
      <c r="K3622" s="25" t="str">
        <f>IF(OR(E3622="",E3622="!!!",F3622="NEW"),"",INDEX(J$1:J3621,SUMPRODUCT(MAX(ROW(E$1:E3621)*(E3622=E$1:E3621)))))</f>
        <v> </v>
      </c>
      <c r="L3622" s="26"/>
    </row>
    <row r="3623" spans="1:12">
      <c r="A3623" s="20" t="s">
        <v>1834</v>
      </c>
      <c r="B3623" s="27" t="s">
        <v>777</v>
      </c>
      <c r="C3623" s="27" t="s">
        <v>739</v>
      </c>
      <c r="D3623" s="27" t="s">
        <v>740</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t="s">
        <v>1835</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1836</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753</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t="s">
        <v>788</v>
      </c>
      <c r="E3627" s="21">
        <f>IF(D3627="?OLD","!!!","")</f>
        <v/>
      </c>
      <c r="F3627" s="22" t="str">
        <f>IF(OR(E3627="",E3627="!!!"),"",IF(NOT(ISNA(VLOOKUP(E3627,E$1:E3626,1,FALSE()))),"OLD",IF(AND(E3627&lt;&gt;"",E3627&lt;&gt;"!!!"),"NEW","")))</f>
        <v> </v>
      </c>
      <c r="G3627" s="23" t="str">
        <f>IF(OR(E3627="",E3627="!!!"),"",IF(OR(J3627=0,AND(J3627=1,K3627=1),AND(J3627=1,I3627="SBJ"),AND(J3627=1,I3627=0)),"?IN_FOCUS",IF(J3627&lt;=2,"?ACTIVATED",IF(J3627&lt;&gt;"","?FAMILIAR",IF(F3627="NEW",IF(ISNA(VLOOKUP(E3627,#REF!,1,FALSE())),"?TYPE_IDENTIFIABLE","?REFERENTIAL"),"_")))))</f>
        <v> </v>
      </c>
      <c r="H3627" s="24" t="str">
        <f>IF(J3627&lt;&gt;1,"",IF(I3627="SBJ","CB","?"))</f>
        <v> </v>
      </c>
      <c r="I3627" s="25" t="str">
        <f>IF(OR(E3627="",E3627="!!!",F3627="NEW"),"",INDEX(B3626:B$2,-1+SUMPRODUCT(MAX(ROW(E3626:E$2)*(E3627=E3626:E$2)))))</f>
        <v> </v>
      </c>
      <c r="J3627" s="25" t="str">
        <f>IF(OR(E3627="",E3627="!!!",F3627="NEW"),"",COUNTBLANK(OFFSET(A$1,,,SUMPRODUCT(MAX(ROW(E$2:E3627)*(E3627=E$2:E3627)))))-COUNTBLANK(OFFSET(A$1,,,SUMPRODUCT(MAX(ROW(E$1:E3626)*(E2=E$1:E3626))))))</f>
        <v> </v>
      </c>
      <c r="K3627" s="25" t="str">
        <f>IF(OR(E3627="",E3627="!!!",F3627="NEW"),"",INDEX(J$1:J3626,SUMPRODUCT(MAX(ROW(E$1:E3626)*(E3627=E$1:E3626)))))</f>
        <v> </v>
      </c>
      <c r="L3627" s="26"/>
    </row>
    <row r="3628" spans="1:12">
      <c r="A3628" s="20" t="s">
        <v>1020</v>
      </c>
      <c r="B3628" s="27" t="s">
        <v>738</v>
      </c>
      <c r="C3628" s="27" t="s">
        <v>749</v>
      </c>
      <c r="D3628" s="27" t="s">
        <v>740</v>
      </c>
      <c r="E3628" s="21">
        <f>IF(D3628="?OLD","!!!","")</f>
        <v/>
      </c>
      <c r="F3628" s="22" t="str">
        <f>IF(OR(E3628="",E3628="!!!"),"",IF(NOT(ISNA(VLOOKUP(E3628,E$1:E3627,1,FALSE()))),"OLD",IF(AND(E3628&lt;&gt;"",E3628&lt;&gt;"!!!"),"NEW","")))</f>
        <v> </v>
      </c>
      <c r="G3628" s="23" t="str">
        <f>IF(OR(E3628="",E3628="!!!"),"",IF(OR(J3628=0,AND(J3628=1,K3628=1),AND(J3628=1,I3628="SBJ"),AND(J3628=1,I3628=0)),"?IN_FOCUS",IF(J3628&lt;=2,"?ACTIVATED",IF(J3628&lt;&gt;"","?FAMILIAR",IF(F3628="NEW",IF(ISNA(VLOOKUP(E3628,#REF!,1,FALSE())),"?TYPE_IDENTIFIABLE","?REFERENTIAL"),"_")))))</f>
        <v> </v>
      </c>
      <c r="H3628" s="24" t="str">
        <f>IF(J3628&lt;&gt;1,"",IF(I3628="SBJ","CB","?"))</f>
        <v> </v>
      </c>
      <c r="I3628" s="25" t="str">
        <f>IF(OR(E3628="",E3628="!!!",F3628="NEW"),"",INDEX(B3627:B$2,-1+SUMPRODUCT(MAX(ROW(E3627:E$2)*(E3628=E3627:E$2)))))</f>
        <v> </v>
      </c>
      <c r="J3628" s="25" t="str">
        <f>IF(OR(E3628="",E3628="!!!",F3628="NEW"),"",COUNTBLANK(OFFSET(A$1,,,SUMPRODUCT(MAX(ROW(E$2:E3628)*(E3628=E$2:E3628)))))-COUNTBLANK(OFFSET(A$1,,,SUMPRODUCT(MAX(ROW(E$1:E3627)*(E2=E$1:E3627))))))</f>
        <v> </v>
      </c>
      <c r="K3628" s="25" t="str">
        <f>IF(OR(E3628="",E3628="!!!",F3628="NEW"),"",INDEX(J$1:J3627,SUMPRODUCT(MAX(ROW(E$1:E3627)*(E3628=E$1:E3627)))))</f>
        <v> </v>
      </c>
      <c r="L3628" s="26"/>
    </row>
    <row r="3629" spans="1:12">
      <c r="A3629" s="20" t="s">
        <v>1837</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753</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827</v>
      </c>
      <c r="B3631" s="27" t="s">
        <v>777</v>
      </c>
      <c r="C3631" s="27" t="s">
        <v>828</v>
      </c>
      <c r="D3631" s="27" t="s">
        <v>740</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914</v>
      </c>
      <c r="B3632" s="27" t="s">
        <v>779</v>
      </c>
      <c r="C3632" s="27" t="s">
        <v>734</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1838</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753</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t="s">
        <v>1328</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t="s">
        <v>774</v>
      </c>
      <c r="B3636" s="27" t="s">
        <v>771</v>
      </c>
      <c r="C3636" s="27" t="s">
        <v>775</v>
      </c>
      <c r="D3636" s="27" t="s">
        <v>740</v>
      </c>
      <c r="E3636" s="21">
        <f>IF(D3636="?OLD","!!!","")</f>
        <v/>
      </c>
      <c r="F3636" s="22" t="str">
        <f>IF(OR(E3636="",E3636="!!!"),"",IF(NOT(ISNA(VLOOKUP(E3636,E$1:E3635,1,FALSE()))),"OLD",IF(AND(E3636&lt;&gt;"",E3636&lt;&gt;"!!!"),"NEW","")))</f>
        <v> </v>
      </c>
      <c r="G3636" s="23" t="str">
        <f>IF(OR(E3636="",E3636="!!!"),"",IF(OR(J3636=0,AND(J3636=1,K3636=1),AND(J3636=1,I3636="SBJ"),AND(J3636=1,I3636=0)),"?IN_FOCUS",IF(J3636&lt;=2,"?ACTIVATED",IF(J3636&lt;&gt;"","?FAMILIAR",IF(F3636="NEW",IF(ISNA(VLOOKUP(E3636,#REF!,1,FALSE())),"?TYPE_IDENTIFIABLE","?REFERENTIAL"),"_")))))</f>
        <v> </v>
      </c>
      <c r="H3636" s="24" t="str">
        <f>IF(J3636&lt;&gt;1,"",IF(I3636="SBJ","CB","?"))</f>
        <v> </v>
      </c>
      <c r="I3636" s="25" t="str">
        <f>IF(OR(E3636="",E3636="!!!",F3636="NEW"),"",INDEX(B3635:B$2,-1+SUMPRODUCT(MAX(ROW(E3635:E$2)*(E3636=E3635:E$2)))))</f>
        <v> </v>
      </c>
      <c r="J3636" s="25" t="str">
        <f>IF(OR(E3636="",E3636="!!!",F3636="NEW"),"",COUNTBLANK(OFFSET(A$1,,,SUMPRODUCT(MAX(ROW(E$2:E3636)*(E3636=E$2:E3636)))))-COUNTBLANK(OFFSET(A$1,,,SUMPRODUCT(MAX(ROW(E$1:E3635)*(E2=E$1:E3635))))))</f>
        <v> </v>
      </c>
      <c r="K3636" s="25" t="str">
        <f>IF(OR(E3636="",E3636="!!!",F3636="NEW"),"",INDEX(J$1:J3635,SUMPRODUCT(MAX(ROW(E$1:E3635)*(E3636=E$1:E3635)))))</f>
        <v> </v>
      </c>
      <c r="L3636" s="26"/>
    </row>
    <row r="3637" spans="1:12">
      <c r="A3637" s="20" t="s">
        <v>1469</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t="s">
        <v>1586</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753</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1839</v>
      </c>
      <c r="E3640" s="21">
        <f>IF(D3640="?OLD","!!!","")</f>
        <v/>
      </c>
      <c r="F3640" s="22" t="str">
        <f>IF(OR(E3640="",E3640="!!!"),"",IF(NOT(ISNA(VLOOKUP(E3640,E$1:E3639,1,FALSE()))),"OLD",IF(AND(E3640&lt;&gt;"",E3640&lt;&gt;"!!!"),"NEW","")))</f>
        <v> </v>
      </c>
      <c r="G3640" s="23" t="str">
        <f>IF(OR(E3640="",E3640="!!!"),"",IF(OR(J3640=0,AND(J3640=1,K3640=1),AND(J3640=1,I3640="SBJ"),AND(J3640=1,I3640=0)),"?IN_FOCUS",IF(J3640&lt;=2,"?ACTIVATED",IF(J3640&lt;&gt;"","?FAMILIAR",IF(F3640="NEW",IF(ISNA(VLOOKUP(E3640,#REF!,1,FALSE())),"?TYPE_IDENTIFIABLE","?REFERENTIAL"),"_")))))</f>
        <v> </v>
      </c>
      <c r="H3640" s="24" t="str">
        <f>IF(J3640&lt;&gt;1,"",IF(I3640="SBJ","CB","?"))</f>
        <v> </v>
      </c>
      <c r="I3640" s="25" t="str">
        <f>IF(OR(E3640="",E3640="!!!",F3640="NEW"),"",INDEX(B3639:B$2,-1+SUMPRODUCT(MAX(ROW(E3639:E$2)*(E3640=E3639:E$2)))))</f>
        <v> </v>
      </c>
      <c r="J3640" s="25" t="str">
        <f>IF(OR(E3640="",E3640="!!!",F3640="NEW"),"",COUNTBLANK(OFFSET(A$1,,,SUMPRODUCT(MAX(ROW(E$2:E3640)*(E3640=E$2:E3640)))))-COUNTBLANK(OFFSET(A$1,,,SUMPRODUCT(MAX(ROW(E$1:E3639)*(E2=E$1:E3639))))))</f>
        <v> </v>
      </c>
      <c r="K3640" s="25" t="str">
        <f>IF(OR(E3640="",E3640="!!!",F3640="NEW"),"",INDEX(J$1:J3639,SUMPRODUCT(MAX(ROW(E$1:E3639)*(E3640=E$1:E3639)))))</f>
        <v> </v>
      </c>
      <c r="L3640" s="26"/>
    </row>
    <row r="3641" spans="1:12">
      <c r="A3641" s="20" t="s">
        <v>914</v>
      </c>
      <c r="B3641" s="27" t="s">
        <v>733</v>
      </c>
      <c r="C3641" s="27" t="s">
        <v>734</v>
      </c>
      <c r="E3641" s="21">
        <f>IF(D3641="?OLD","!!!","")</f>
        <v/>
      </c>
      <c r="F3641" s="22" t="str">
        <f>IF(OR(E3641="",E3641="!!!"),"",IF(NOT(ISNA(VLOOKUP(E3641,E$1:E3640,1,FALSE()))),"OLD",IF(AND(E3641&lt;&gt;"",E3641&lt;&gt;"!!!"),"NEW","")))</f>
        <v> </v>
      </c>
      <c r="G3641" s="23" t="str">
        <f>IF(OR(E3641="",E3641="!!!"),"",IF(OR(J3641=0,AND(J3641=1,K3641=1),AND(J3641=1,I3641="SBJ"),AND(J3641=1,I3641=0)),"?IN_FOCUS",IF(J3641&lt;=2,"?ACTIVATED",IF(J3641&lt;&gt;"","?FAMILIAR",IF(F3641="NEW",IF(ISNA(VLOOKUP(E3641,#REF!,1,FALSE())),"?TYPE_IDENTIFIABLE","?REFERENTIAL"),"_")))))</f>
        <v> </v>
      </c>
      <c r="H3641" s="24" t="str">
        <f>IF(J3641&lt;&gt;1,"",IF(I3641="SBJ","CB","?"))</f>
        <v> </v>
      </c>
      <c r="I3641" s="25" t="str">
        <f>IF(OR(E3641="",E3641="!!!",F3641="NEW"),"",INDEX(B3640:B$2,-1+SUMPRODUCT(MAX(ROW(E3640:E$2)*(E3641=E3640:E$2)))))</f>
        <v> </v>
      </c>
      <c r="J3641" s="25" t="str">
        <f>IF(OR(E3641="",E3641="!!!",F3641="NEW"),"",COUNTBLANK(OFFSET(A$1,,,SUMPRODUCT(MAX(ROW(E$2:E3641)*(E3641=E$2:E3641)))))-COUNTBLANK(OFFSET(A$1,,,SUMPRODUCT(MAX(ROW(E$1:E3640)*(E2=E$1:E3640))))))</f>
        <v> </v>
      </c>
      <c r="K3641" s="25" t="str">
        <f>IF(OR(E3641="",E3641="!!!",F3641="NEW"),"",INDEX(J$1:J3640,SUMPRODUCT(MAX(ROW(E$1:E3640)*(E3641=E$1:E3640)))))</f>
        <v> </v>
      </c>
      <c r="L3641" s="26"/>
    </row>
    <row r="3642" spans="1:12">
      <c r="A3642" s="20" t="s">
        <v>1840</v>
      </c>
      <c r="E3642" s="21">
        <f>IF(D3642="?OLD","!!!","")</f>
        <v/>
      </c>
      <c r="F3642" s="22" t="str">
        <f>IF(OR(E3642="",E3642="!!!"),"",IF(NOT(ISNA(VLOOKUP(E3642,E$1:E3641,1,FALSE()))),"OLD",IF(AND(E3642&lt;&gt;"",E3642&lt;&gt;"!!!"),"NEW","")))</f>
        <v> </v>
      </c>
      <c r="G3642" s="23" t="str">
        <f>IF(OR(E3642="",E3642="!!!"),"",IF(OR(J3642=0,AND(J3642=1,K3642=1),AND(J3642=1,I3642="SBJ"),AND(J3642=1,I3642=0)),"?IN_FOCUS",IF(J3642&lt;=2,"?ACTIVATED",IF(J3642&lt;&gt;"","?FAMILIAR",IF(F3642="NEW",IF(ISNA(VLOOKUP(E3642,#REF!,1,FALSE())),"?TYPE_IDENTIFIABLE","?REFERENTIAL"),"_")))))</f>
        <v> </v>
      </c>
      <c r="H3642" s="24" t="str">
        <f>IF(J3642&lt;&gt;1,"",IF(I3642="SBJ","CB","?"))</f>
        <v> </v>
      </c>
      <c r="I3642" s="25" t="str">
        <f>IF(OR(E3642="",E3642="!!!",F3642="NEW"),"",INDEX(B3641:B$2,-1+SUMPRODUCT(MAX(ROW(E3641:E$2)*(E3642=E3641:E$2)))))</f>
        <v> </v>
      </c>
      <c r="J3642" s="25" t="str">
        <f>IF(OR(E3642="",E3642="!!!",F3642="NEW"),"",COUNTBLANK(OFFSET(A$1,,,SUMPRODUCT(MAX(ROW(E$2:E3642)*(E3642=E$2:E3642)))))-COUNTBLANK(OFFSET(A$1,,,SUMPRODUCT(MAX(ROW(E$1:E3641)*(E2=E$1:E3641))))))</f>
        <v> </v>
      </c>
      <c r="K3642" s="25" t="str">
        <f>IF(OR(E3642="",E3642="!!!",F3642="NEW"),"",INDEX(J$1:J3641,SUMPRODUCT(MAX(ROW(E$1:E3641)*(E3642=E$1:E3641)))))</f>
        <v> </v>
      </c>
      <c r="L3642" s="26"/>
    </row>
    <row r="3643" spans="1:12">
      <c r="A3643" s="20" t="s">
        <v>759</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1841</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753</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1842</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t="s">
        <v>753</v>
      </c>
      <c r="E3647" s="21">
        <f>IF(D3647="?OLD","!!!","")</f>
        <v/>
      </c>
      <c r="F3647" s="22" t="str">
        <f>IF(OR(E3647="",E3647="!!!"),"",IF(NOT(ISNA(VLOOKUP(E3647,E$1:E3646,1,FALSE()))),"OLD",IF(AND(E3647&lt;&gt;"",E3647&lt;&gt;"!!!"),"NEW","")))</f>
        <v> </v>
      </c>
      <c r="G3647" s="23" t="str">
        <f>IF(OR(E3647="",E3647="!!!"),"",IF(OR(J3647=0,AND(J3647=1,K3647=1),AND(J3647=1,I3647="SBJ"),AND(J3647=1,I3647=0)),"?IN_FOCUS",IF(J3647&lt;=2,"?ACTIVATED",IF(J3647&lt;&gt;"","?FAMILIAR",IF(F3647="NEW",IF(ISNA(VLOOKUP(E3647,#REF!,1,FALSE())),"?TYPE_IDENTIFIABLE","?REFERENTIAL"),"_")))))</f>
        <v> </v>
      </c>
      <c r="H3647" s="24" t="str">
        <f>IF(J3647&lt;&gt;1,"",IF(I3647="SBJ","CB","?"))</f>
        <v> </v>
      </c>
      <c r="I3647" s="25" t="str">
        <f>IF(OR(E3647="",E3647="!!!",F3647="NEW"),"",INDEX(B3646:B$2,-1+SUMPRODUCT(MAX(ROW(E3646:E$2)*(E3647=E3646:E$2)))))</f>
        <v> </v>
      </c>
      <c r="J3647" s="25" t="str">
        <f>IF(OR(E3647="",E3647="!!!",F3647="NEW"),"",COUNTBLANK(OFFSET(A$1,,,SUMPRODUCT(MAX(ROW(E$2:E3647)*(E3647=E$2:E3647)))))-COUNTBLANK(OFFSET(A$1,,,SUMPRODUCT(MAX(ROW(E$1:E3646)*(E2=E$1:E3646))))))</f>
        <v> </v>
      </c>
      <c r="K3647" s="25" t="str">
        <f>IF(OR(E3647="",E3647="!!!",F3647="NEW"),"",INDEX(J$1:J3646,SUMPRODUCT(MAX(ROW(E$1:E3646)*(E3647=E$1:E3646)))))</f>
        <v> </v>
      </c>
      <c r="L3647" s="26"/>
    </row>
    <row r="3648" spans="1:12">
      <c r="A3648" s="20" t="s">
        <v>1843</v>
      </c>
      <c r="E3648" s="21">
        <f>IF(D3648="?OLD","!!!","")</f>
        <v/>
      </c>
      <c r="F3648" s="22" t="str">
        <f>IF(OR(E3648="",E3648="!!!"),"",IF(NOT(ISNA(VLOOKUP(E3648,E$1:E3647,1,FALSE()))),"OLD",IF(AND(E3648&lt;&gt;"",E3648&lt;&gt;"!!!"),"NEW","")))</f>
        <v> </v>
      </c>
      <c r="G3648" s="23" t="str">
        <f>IF(OR(E3648="",E3648="!!!"),"",IF(OR(J3648=0,AND(J3648=1,K3648=1),AND(J3648=1,I3648="SBJ"),AND(J3648=1,I3648=0)),"?IN_FOCUS",IF(J3648&lt;=2,"?ACTIVATED",IF(J3648&lt;&gt;"","?FAMILIAR",IF(F3648="NEW",IF(ISNA(VLOOKUP(E3648,#REF!,1,FALSE())),"?TYPE_IDENTIFIABLE","?REFERENTIAL"),"_")))))</f>
        <v> </v>
      </c>
      <c r="H3648" s="24" t="str">
        <f>IF(J3648&lt;&gt;1,"",IF(I3648="SBJ","CB","?"))</f>
        <v> </v>
      </c>
      <c r="I3648" s="25" t="str">
        <f>IF(OR(E3648="",E3648="!!!",F3648="NEW"),"",INDEX(B3647:B$2,-1+SUMPRODUCT(MAX(ROW(E3647:E$2)*(E3648=E3647:E$2)))))</f>
        <v> </v>
      </c>
      <c r="J3648" s="25" t="str">
        <f>IF(OR(E3648="",E3648="!!!",F3648="NEW"),"",COUNTBLANK(OFFSET(A$1,,,SUMPRODUCT(MAX(ROW(E$2:E3648)*(E3648=E$2:E3648)))))-COUNTBLANK(OFFSET(A$1,,,SUMPRODUCT(MAX(ROW(E$1:E3647)*(E2=E$1:E3647))))))</f>
        <v> </v>
      </c>
      <c r="K3648" s="25" t="str">
        <f>IF(OR(E3648="",E3648="!!!",F3648="NEW"),"",INDEX(J$1:J3647,SUMPRODUCT(MAX(ROW(E$1:E3647)*(E3648=E$1:E3647)))))</f>
        <v> </v>
      </c>
      <c r="L3648" s="26"/>
    </row>
    <row r="3649" spans="1:12">
      <c r="A3649" s="20" t="s">
        <v>788</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t="s">
        <v>1844</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t="s">
        <v>759</v>
      </c>
      <c r="E3651" s="21">
        <f>IF(D3651="?OLD","!!!","")</f>
        <v/>
      </c>
      <c r="F3651" s="22" t="str">
        <f>IF(OR(E3651="",E3651="!!!"),"",IF(NOT(ISNA(VLOOKUP(E3651,E$1:E3650,1,FALSE()))),"OLD",IF(AND(E3651&lt;&gt;"",E3651&lt;&gt;"!!!"),"NEW","")))</f>
        <v> </v>
      </c>
      <c r="G3651" s="23" t="str">
        <f>IF(OR(E3651="",E3651="!!!"),"",IF(OR(J3651=0,AND(J3651=1,K3651=1),AND(J3651=1,I3651="SBJ"),AND(J3651=1,I3651=0)),"?IN_FOCUS",IF(J3651&lt;=2,"?ACTIVATED",IF(J3651&lt;&gt;"","?FAMILIAR",IF(F3651="NEW",IF(ISNA(VLOOKUP(E3651,#REF!,1,FALSE())),"?TYPE_IDENTIFIABLE","?REFERENTIAL"),"_")))))</f>
        <v> </v>
      </c>
      <c r="H3651" s="24" t="str">
        <f>IF(J3651&lt;&gt;1,"",IF(I3651="SBJ","CB","?"))</f>
        <v> </v>
      </c>
      <c r="I3651" s="25" t="str">
        <f>IF(OR(E3651="",E3651="!!!",F3651="NEW"),"",INDEX(B3650:B$2,-1+SUMPRODUCT(MAX(ROW(E3650:E$2)*(E3651=E3650:E$2)))))</f>
        <v> </v>
      </c>
      <c r="J3651" s="25" t="str">
        <f>IF(OR(E3651="",E3651="!!!",F3651="NEW"),"",COUNTBLANK(OFFSET(A$1,,,SUMPRODUCT(MAX(ROW(E$2:E3651)*(E3651=E$2:E3651)))))-COUNTBLANK(OFFSET(A$1,,,SUMPRODUCT(MAX(ROW(E$1:E3650)*(E2=E$1:E3650))))))</f>
        <v> </v>
      </c>
      <c r="K3651" s="25" t="str">
        <f>IF(OR(E3651="",E3651="!!!",F3651="NEW"),"",INDEX(J$1:J3650,SUMPRODUCT(MAX(ROW(E$1:E3650)*(E3651=E$1:E3650)))))</f>
        <v> </v>
      </c>
      <c r="L3651" s="26"/>
    </row>
    <row r="3652" spans="1:12">
      <c r="A3652" s="20" t="s">
        <v>807</v>
      </c>
      <c r="B3652" s="27" t="s">
        <v>771</v>
      </c>
      <c r="C3652" s="27" t="s">
        <v>749</v>
      </c>
      <c r="D3652" s="27" t="s">
        <v>740</v>
      </c>
      <c r="E3652" s="21">
        <f>IF(D3652="?OLD","!!!","")</f>
        <v/>
      </c>
      <c r="F3652" s="22" t="str">
        <f>IF(OR(E3652="",E3652="!!!"),"",IF(NOT(ISNA(VLOOKUP(E3652,E$1:E3651,1,FALSE()))),"OLD",IF(AND(E3652&lt;&gt;"",E3652&lt;&gt;"!!!"),"NEW","")))</f>
        <v> </v>
      </c>
      <c r="G3652" s="23" t="str">
        <f>IF(OR(E3652="",E3652="!!!"),"",IF(OR(J3652=0,AND(J3652=1,K3652=1),AND(J3652=1,I3652="SBJ"),AND(J3652=1,I3652=0)),"?IN_FOCUS",IF(J3652&lt;=2,"?ACTIVATED",IF(J3652&lt;&gt;"","?FAMILIAR",IF(F3652="NEW",IF(ISNA(VLOOKUP(E3652,#REF!,1,FALSE())),"?TYPE_IDENTIFIABLE","?REFERENTIAL"),"_")))))</f>
        <v> </v>
      </c>
      <c r="H3652" s="24" t="str">
        <f>IF(J3652&lt;&gt;1,"",IF(I3652="SBJ","CB","?"))</f>
        <v> </v>
      </c>
      <c r="I3652" s="25" t="str">
        <f>IF(OR(E3652="",E3652="!!!",F3652="NEW"),"",INDEX(B3651:B$2,-1+SUMPRODUCT(MAX(ROW(E3651:E$2)*(E3652=E3651:E$2)))))</f>
        <v> </v>
      </c>
      <c r="J3652" s="25" t="str">
        <f>IF(OR(E3652="",E3652="!!!",F3652="NEW"),"",COUNTBLANK(OFFSET(A$1,,,SUMPRODUCT(MAX(ROW(E$2:E3652)*(E3652=E$2:E3652)))))-COUNTBLANK(OFFSET(A$1,,,SUMPRODUCT(MAX(ROW(E$1:E3651)*(E2=E$1:E3651))))))</f>
        <v> </v>
      </c>
      <c r="K3652" s="25" t="str">
        <f>IF(OR(E3652="",E3652="!!!",F3652="NEW"),"",INDEX(J$1:J3651,SUMPRODUCT(MAX(ROW(E$1:E3651)*(E3652=E$1:E3651)))))</f>
        <v> </v>
      </c>
      <c r="L3652" s="26"/>
    </row>
    <row r="3653" spans="1:12">
      <c r="A3653" s="20" t="s">
        <v>931</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886</v>
      </c>
      <c r="B3654" s="27" t="s">
        <v>779</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1149</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827</v>
      </c>
      <c r="B3656" s="27" t="s">
        <v>777</v>
      </c>
      <c r="C3656" s="27" t="s">
        <v>828</v>
      </c>
      <c r="D3656" s="27" t="s">
        <v>740</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914</v>
      </c>
      <c r="B3657" s="27" t="s">
        <v>733</v>
      </c>
      <c r="C3657" s="27" t="s">
        <v>734</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t="s">
        <v>1845</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t="s">
        <v>788</v>
      </c>
      <c r="E3659" s="21">
        <f>IF(D3659="?OLD","!!!","")</f>
        <v/>
      </c>
      <c r="F3659" s="22" t="str">
        <f>IF(OR(E3659="",E3659="!!!"),"",IF(NOT(ISNA(VLOOKUP(E3659,E$1:E3658,1,FALSE()))),"OLD",IF(AND(E3659&lt;&gt;"",E3659&lt;&gt;"!!!"),"NEW","")))</f>
        <v> </v>
      </c>
      <c r="G3659" s="23" t="str">
        <f>IF(OR(E3659="",E3659="!!!"),"",IF(OR(J3659=0,AND(J3659=1,K3659=1),AND(J3659=1,I3659="SBJ"),AND(J3659=1,I3659=0)),"?IN_FOCUS",IF(J3659&lt;=2,"?ACTIVATED",IF(J3659&lt;&gt;"","?FAMILIAR",IF(F3659="NEW",IF(ISNA(VLOOKUP(E3659,#REF!,1,FALSE())),"?TYPE_IDENTIFIABLE","?REFERENTIAL"),"_")))))</f>
        <v> </v>
      </c>
      <c r="H3659" s="24" t="str">
        <f>IF(J3659&lt;&gt;1,"",IF(I3659="SBJ","CB","?"))</f>
        <v> </v>
      </c>
      <c r="I3659" s="25" t="str">
        <f>IF(OR(E3659="",E3659="!!!",F3659="NEW"),"",INDEX(B3658:B$2,-1+SUMPRODUCT(MAX(ROW(E3658:E$2)*(E3659=E3658:E$2)))))</f>
        <v> </v>
      </c>
      <c r="J3659" s="25" t="str">
        <f>IF(OR(E3659="",E3659="!!!",F3659="NEW"),"",COUNTBLANK(OFFSET(A$1,,,SUMPRODUCT(MAX(ROW(E$2:E3659)*(E3659=E$2:E3659)))))-COUNTBLANK(OFFSET(A$1,,,SUMPRODUCT(MAX(ROW(E$1:E3658)*(E2=E$1:E3658))))))</f>
        <v> </v>
      </c>
      <c r="K3659" s="25" t="str">
        <f>IF(OR(E3659="",E3659="!!!",F3659="NEW"),"",INDEX(J$1:J3658,SUMPRODUCT(MAX(ROW(E$1:E3658)*(E3659=E$1:E3658)))))</f>
        <v> </v>
      </c>
      <c r="L3659" s="26"/>
    </row>
    <row r="3660" spans="1:12">
      <c r="A3660" s="20" t="s">
        <v>791</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1846</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1847</v>
      </c>
      <c r="B3662" s="27" t="s">
        <v>1037</v>
      </c>
      <c r="C3662" s="27" t="s">
        <v>739</v>
      </c>
      <c r="D3662" s="27" t="s">
        <v>740</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t="s">
        <v>1848</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t="s">
        <v>213</v>
      </c>
      <c r="E3664" s="21">
        <f>IF(D3664="?OLD","!!!","")</f>
        <v/>
      </c>
      <c r="F3664" s="22" t="str">
        <f>IF(OR(E3664="",E3664="!!!"),"",IF(NOT(ISNA(VLOOKUP(E3664,E$1:E3663,1,FALSE()))),"OLD",IF(AND(E3664&lt;&gt;"",E3664&lt;&gt;"!!!"),"NEW","")))</f>
        <v> </v>
      </c>
      <c r="G3664" s="23" t="str">
        <f>IF(OR(E3664="",E3664="!!!"),"",IF(OR(J3664=0,AND(J3664=1,K3664=1),AND(J3664=1,I3664="SBJ"),AND(J3664=1,I3664=0)),"?IN_FOCUS",IF(J3664&lt;=2,"?ACTIVATED",IF(J3664&lt;&gt;"","?FAMILIAR",IF(F3664="NEW",IF(ISNA(VLOOKUP(E3664,#REF!,1,FALSE())),"?TYPE_IDENTIFIABLE","?REFERENTIAL"),"_")))))</f>
        <v> </v>
      </c>
      <c r="H3664" s="24" t="str">
        <f>IF(J3664&lt;&gt;1,"",IF(I3664="SBJ","CB","?"))</f>
        <v> </v>
      </c>
      <c r="I3664" s="25" t="str">
        <f>IF(OR(E3664="",E3664="!!!",F3664="NEW"),"",INDEX(B3663:B$2,-1+SUMPRODUCT(MAX(ROW(E3663:E$2)*(E3664=E3663:E$2)))))</f>
        <v> </v>
      </c>
      <c r="J3664" s="25" t="str">
        <f>IF(OR(E3664="",E3664="!!!",F3664="NEW"),"",COUNTBLANK(OFFSET(A$1,,,SUMPRODUCT(MAX(ROW(E$2:E3664)*(E3664=E$2:E3664)))))-COUNTBLANK(OFFSET(A$1,,,SUMPRODUCT(MAX(ROW(E$1:E3663)*(E2=E$1:E3663))))))</f>
        <v> </v>
      </c>
      <c r="K3664" s="25" t="str">
        <f>IF(OR(E3664="",E3664="!!!",F3664="NEW"),"",INDEX(J$1:J3663,SUMPRODUCT(MAX(ROW(E$1:E3663)*(E3664=E$1:E3663)))))</f>
        <v> </v>
      </c>
      <c r="L3664" s="26"/>
    </row>
    <row r="3665" spans="1:12">
      <c r="A3665" s="20" t="s">
        <v>746</v>
      </c>
      <c r="E3665" s="21">
        <f>IF(D3665="?OLD","!!!","")</f>
        <v/>
      </c>
      <c r="F3665" s="22" t="str">
        <f>IF(OR(E3665="",E3665="!!!"),"",IF(NOT(ISNA(VLOOKUP(E3665,E$1:E3664,1,FALSE()))),"OLD",IF(AND(E3665&lt;&gt;"",E3665&lt;&gt;"!!!"),"NEW","")))</f>
        <v> </v>
      </c>
      <c r="G3665" s="23" t="str">
        <f>IF(OR(E3665="",E3665="!!!"),"",IF(OR(J3665=0,AND(J3665=1,K3665=1),AND(J3665=1,I3665="SBJ"),AND(J3665=1,I3665=0)),"?IN_FOCUS",IF(J3665&lt;=2,"?ACTIVATED",IF(J3665&lt;&gt;"","?FAMILIAR",IF(F3665="NEW",IF(ISNA(VLOOKUP(E3665,#REF!,1,FALSE())),"?TYPE_IDENTIFIABLE","?REFERENTIAL"),"_")))))</f>
        <v> </v>
      </c>
      <c r="H3665" s="24" t="str">
        <f>IF(J3665&lt;&gt;1,"",IF(I3665="SBJ","CB","?"))</f>
        <v> </v>
      </c>
      <c r="I3665" s="25" t="str">
        <f>IF(OR(E3665="",E3665="!!!",F3665="NEW"),"",INDEX(B3664:B$2,-1+SUMPRODUCT(MAX(ROW(E3664:E$2)*(E3665=E3664:E$2)))))</f>
        <v> </v>
      </c>
      <c r="J3665" s="25" t="str">
        <f>IF(OR(E3665="",E3665="!!!",F3665="NEW"),"",COUNTBLANK(OFFSET(A$1,,,SUMPRODUCT(MAX(ROW(E$2:E3665)*(E3665=E$2:E3665)))))-COUNTBLANK(OFFSET(A$1,,,SUMPRODUCT(MAX(ROW(E$1:E3664)*(E2=E$1:E3664))))))</f>
        <v> </v>
      </c>
      <c r="K3665" s="25" t="str">
        <f>IF(OR(E3665="",E3665="!!!",F3665="NEW"),"",INDEX(J$1:J3664,SUMPRODUCT(MAX(ROW(E$1:E3664)*(E3665=E$1:E3664)))))</f>
        <v> </v>
      </c>
      <c r="L3665" s="26"/>
    </row>
    <row r="3666" spans="1:12">
      <c r="A3666" s="20"/>
    </row>
    <row r="3667" spans="1:12">
      <c r="A3667" s="20" t="s">
        <v>767</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t="s">
        <v>1849</v>
      </c>
    </row>
    <row r="3669" spans="1:12">
      <c r="A3669" s="20" t="s">
        <v>813</v>
      </c>
      <c r="E3669" s="21">
        <f>IF(D3669="?OLD","!!!","")</f>
        <v/>
      </c>
      <c r="F3669" s="22" t="str">
        <f>IF(OR(E3669="",E3669="!!!"),"",IF(NOT(ISNA(VLOOKUP(E3669,E$1:E3668,1,FALSE()))),"OLD",IF(AND(E3669&lt;&gt;"",E3669&lt;&gt;"!!!"),"NEW","")))</f>
        <v> </v>
      </c>
      <c r="G3669" s="23" t="str">
        <f>IF(OR(E3669="",E3669="!!!"),"",IF(OR(J3669=0,AND(J3669=1,K3669=1),AND(J3669=1,I3669="SBJ"),AND(J3669=1,I3669=0)),"?IN_FOCUS",IF(J3669&lt;=2,"?ACTIVATED",IF(J3669&lt;&gt;"","?FAMILIAR",IF(F3669="NEW",IF(ISNA(VLOOKUP(E3669,#REF!,1,FALSE())),"?TYPE_IDENTIFIABLE","?REFERENTIAL"),"_")))))</f>
        <v> </v>
      </c>
      <c r="H3669" s="24" t="str">
        <f>IF(J3669&lt;&gt;1,"",IF(I3669="SBJ","CB","?"))</f>
        <v> </v>
      </c>
      <c r="I3669" s="25" t="str">
        <f>IF(OR(E3669="",E3669="!!!",F3669="NEW"),"",INDEX(B3668:B$2,-1+SUMPRODUCT(MAX(ROW(E3668:E$2)*(E3669=E3668:E$2)))))</f>
        <v> </v>
      </c>
      <c r="J3669" s="25" t="str">
        <f>IF(OR(E3669="",E3669="!!!",F3669="NEW"),"",COUNTBLANK(OFFSET(A$1,,,SUMPRODUCT(MAX(ROW(E$2:E3669)*(E3669=E$2:E3669)))))-COUNTBLANK(OFFSET(A$1,,,SUMPRODUCT(MAX(ROW(E$1:E3668)*(E2=E$1:E3668))))))</f>
        <v> </v>
      </c>
      <c r="K3669" s="25" t="str">
        <f>IF(OR(E3669="",E3669="!!!",F3669="NEW"),"",INDEX(J$1:J3668,SUMPRODUCT(MAX(ROW(E$1:E3668)*(E3669=E$1:E3668)))))</f>
        <v> </v>
      </c>
      <c r="L3669" s="26"/>
    </row>
    <row r="3670" spans="1:12">
      <c r="A3670" s="20" t="s">
        <v>1850</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1663</v>
      </c>
      <c r="E3671" s="21">
        <f>IF(D3671="?OLD","!!!","")</f>
        <v/>
      </c>
      <c r="F3671" s="22" t="str">
        <f>IF(OR(E3671="",E3671="!!!"),"",IF(NOT(ISNA(VLOOKUP(E3671,E$1:E3670,1,FALSE()))),"OLD",IF(AND(E3671&lt;&gt;"",E3671&lt;&gt;"!!!"),"NEW","")))</f>
        <v> </v>
      </c>
      <c r="G3671" s="23" t="str">
        <f>IF(OR(E3671="",E3671="!!!"),"",IF(OR(J3671=0,AND(J3671=1,K3671=1),AND(J3671=1,I3671="SBJ"),AND(J3671=1,I3671=0)),"?IN_FOCUS",IF(J3671&lt;=2,"?ACTIVATED",IF(J3671&lt;&gt;"","?FAMILIAR",IF(F3671="NEW",IF(ISNA(VLOOKUP(E3671,#REF!,1,FALSE())),"?TYPE_IDENTIFIABLE","?REFERENTIAL"),"_")))))</f>
        <v> </v>
      </c>
      <c r="H3671" s="24" t="str">
        <f>IF(J3671&lt;&gt;1,"",IF(I3671="SBJ","CB","?"))</f>
        <v> </v>
      </c>
      <c r="I3671" s="25" t="str">
        <f>IF(OR(E3671="",E3671="!!!",F3671="NEW"),"",INDEX(B3670:B$2,-1+SUMPRODUCT(MAX(ROW(E3670:E$2)*(E3671=E3670:E$2)))))</f>
        <v> </v>
      </c>
      <c r="J3671" s="25" t="str">
        <f>IF(OR(E3671="",E3671="!!!",F3671="NEW"),"",COUNTBLANK(OFFSET(A$1,,,SUMPRODUCT(MAX(ROW(E$2:E3671)*(E3671=E$2:E3671)))))-COUNTBLANK(OFFSET(A$1,,,SUMPRODUCT(MAX(ROW(E$1:E3670)*(E2=E$1:E3670))))))</f>
        <v> </v>
      </c>
      <c r="K3671" s="25" t="str">
        <f>IF(OR(E3671="",E3671="!!!",F3671="NEW"),"",INDEX(J$1:J3670,SUMPRODUCT(MAX(ROW(E$1:E3670)*(E3671=E$1:E3670)))))</f>
        <v> </v>
      </c>
      <c r="L3671" s="26"/>
    </row>
    <row r="3672" spans="1:12">
      <c r="A3672" s="20" t="s">
        <v>807</v>
      </c>
      <c r="B3672" s="27" t="s">
        <v>728</v>
      </c>
      <c r="C3672" s="27" t="s">
        <v>749</v>
      </c>
      <c r="D3672" s="27" t="s">
        <v>740</v>
      </c>
      <c r="E3672" s="21">
        <f>IF(D3672="?OLD","!!!","")</f>
        <v/>
      </c>
      <c r="F3672" s="22" t="str">
        <f>IF(OR(E3672="",E3672="!!!"),"",IF(NOT(ISNA(VLOOKUP(E3672,E$1:E3671,1,FALSE()))),"OLD",IF(AND(E3672&lt;&gt;"",E3672&lt;&gt;"!!!"),"NEW","")))</f>
        <v> </v>
      </c>
      <c r="G3672" s="23" t="str">
        <f>IF(OR(E3672="",E3672="!!!"),"",IF(OR(J3672=0,AND(J3672=1,K3672=1),AND(J3672=1,I3672="SBJ"),AND(J3672=1,I3672=0)),"?IN_FOCUS",IF(J3672&lt;=2,"?ACTIVATED",IF(J3672&lt;&gt;"","?FAMILIAR",IF(F3672="NEW",IF(ISNA(VLOOKUP(E3672,#REF!,1,FALSE())),"?TYPE_IDENTIFIABLE","?REFERENTIAL"),"_")))))</f>
        <v> </v>
      </c>
      <c r="H3672" s="24" t="str">
        <f>IF(J3672&lt;&gt;1,"",IF(I3672="SBJ","CB","?"))</f>
        <v> </v>
      </c>
      <c r="I3672" s="25" t="str">
        <f>IF(OR(E3672="",E3672="!!!",F3672="NEW"),"",INDEX(B3671:B$2,-1+SUMPRODUCT(MAX(ROW(E3671:E$2)*(E3672=E3671:E$2)))))</f>
        <v> </v>
      </c>
      <c r="J3672" s="25" t="str">
        <f>IF(OR(E3672="",E3672="!!!",F3672="NEW"),"",COUNTBLANK(OFFSET(A$1,,,SUMPRODUCT(MAX(ROW(E$2:E3672)*(E3672=E$2:E3672)))))-COUNTBLANK(OFFSET(A$1,,,SUMPRODUCT(MAX(ROW(E$1:E3671)*(E2=E$1:E3671))))))</f>
        <v> </v>
      </c>
      <c r="K3672" s="25" t="str">
        <f>IF(OR(E3672="",E3672="!!!",F3672="NEW"),"",INDEX(J$1:J3671,SUMPRODUCT(MAX(ROW(E$1:E3671)*(E3672=E$1:E3671)))))</f>
        <v> </v>
      </c>
      <c r="L3672" s="26"/>
    </row>
    <row r="3673" spans="1:12">
      <c r="A3673" s="20" t="s">
        <v>753</v>
      </c>
      <c r="E3673" s="21">
        <f>IF(D3673="?OLD","!!!","")</f>
        <v/>
      </c>
      <c r="F3673" s="22" t="str">
        <f>IF(OR(E3673="",E3673="!!!"),"",IF(NOT(ISNA(VLOOKUP(E3673,E$1:E3672,1,FALSE()))),"OLD",IF(AND(E3673&lt;&gt;"",E3673&lt;&gt;"!!!"),"NEW","")))</f>
        <v> </v>
      </c>
      <c r="G3673" s="23" t="str">
        <f>IF(OR(E3673="",E3673="!!!"),"",IF(OR(J3673=0,AND(J3673=1,K3673=1),AND(J3673=1,I3673="SBJ"),AND(J3673=1,I3673=0)),"?IN_FOCUS",IF(J3673&lt;=2,"?ACTIVATED",IF(J3673&lt;&gt;"","?FAMILIAR",IF(F3673="NEW",IF(ISNA(VLOOKUP(E3673,#REF!,1,FALSE())),"?TYPE_IDENTIFIABLE","?REFERENTIAL"),"_")))))</f>
        <v> </v>
      </c>
      <c r="H3673" s="24" t="str">
        <f>IF(J3673&lt;&gt;1,"",IF(I3673="SBJ","CB","?"))</f>
        <v> </v>
      </c>
      <c r="I3673" s="25" t="str">
        <f>IF(OR(E3673="",E3673="!!!",F3673="NEW"),"",INDEX(B3672:B$2,-1+SUMPRODUCT(MAX(ROW(E3672:E$2)*(E3673=E3672:E$2)))))</f>
        <v> </v>
      </c>
      <c r="J3673" s="25" t="str">
        <f>IF(OR(E3673="",E3673="!!!",F3673="NEW"),"",COUNTBLANK(OFFSET(A$1,,,SUMPRODUCT(MAX(ROW(E$2:E3673)*(E3673=E$2:E3673)))))-COUNTBLANK(OFFSET(A$1,,,SUMPRODUCT(MAX(ROW(E$1:E3672)*(E2=E$1:E3672))))))</f>
        <v> </v>
      </c>
      <c r="K3673" s="25" t="str">
        <f>IF(OR(E3673="",E3673="!!!",F3673="NEW"),"",INDEX(J$1:J3672,SUMPRODUCT(MAX(ROW(E$1:E3672)*(E3673=E$1:E3672)))))</f>
        <v> </v>
      </c>
      <c r="L3673" s="26"/>
    </row>
    <row r="3674" spans="1:12">
      <c r="A3674" s="20" t="s">
        <v>860</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t="s">
        <v>1061</v>
      </c>
      <c r="E3675" s="21">
        <f>IF(D3675="?OLD","!!!","")</f>
        <v/>
      </c>
      <c r="F3675" s="22" t="str">
        <f>IF(OR(E3675="",E3675="!!!"),"",IF(NOT(ISNA(VLOOKUP(E3675,E$1:E3674,1,FALSE()))),"OLD",IF(AND(E3675&lt;&gt;"",E3675&lt;&gt;"!!!"),"NEW","")))</f>
        <v> </v>
      </c>
      <c r="G3675" s="23" t="str">
        <f>IF(OR(E3675="",E3675="!!!"),"",IF(OR(J3675=0,AND(J3675=1,K3675=1),AND(J3675=1,I3675="SBJ"),AND(J3675=1,I3675=0)),"?IN_FOCUS",IF(J3675&lt;=2,"?ACTIVATED",IF(J3675&lt;&gt;"","?FAMILIAR",IF(F3675="NEW",IF(ISNA(VLOOKUP(E3675,#REF!,1,FALSE())),"?TYPE_IDENTIFIABLE","?REFERENTIAL"),"_")))))</f>
        <v> </v>
      </c>
      <c r="H3675" s="24" t="str">
        <f>IF(J3675&lt;&gt;1,"",IF(I3675="SBJ","CB","?"))</f>
        <v> </v>
      </c>
      <c r="I3675" s="25" t="str">
        <f>IF(OR(E3675="",E3675="!!!",F3675="NEW"),"",INDEX(B3674:B$2,-1+SUMPRODUCT(MAX(ROW(E3674:E$2)*(E3675=E3674:E$2)))))</f>
        <v> </v>
      </c>
      <c r="J3675" s="25" t="str">
        <f>IF(OR(E3675="",E3675="!!!",F3675="NEW"),"",COUNTBLANK(OFFSET(A$1,,,SUMPRODUCT(MAX(ROW(E$2:E3675)*(E3675=E$2:E3675)))))-COUNTBLANK(OFFSET(A$1,,,SUMPRODUCT(MAX(ROW(E$1:E3674)*(E2=E$1:E3674))))))</f>
        <v> </v>
      </c>
      <c r="K3675" s="25" t="str">
        <f>IF(OR(E3675="",E3675="!!!",F3675="NEW"),"",INDEX(J$1:J3674,SUMPRODUCT(MAX(ROW(E$1:E3674)*(E3675=E$1:E3674)))))</f>
        <v> </v>
      </c>
      <c r="L3675" s="26"/>
    </row>
    <row r="3676" spans="1:12">
      <c r="A3676" s="20" t="s">
        <v>830</v>
      </c>
      <c r="E3676" s="21">
        <f>IF(D3676="?OLD","!!!","")</f>
        <v/>
      </c>
      <c r="F3676" s="22" t="str">
        <f>IF(OR(E3676="",E3676="!!!"),"",IF(NOT(ISNA(VLOOKUP(E3676,E$1:E3675,1,FALSE()))),"OLD",IF(AND(E3676&lt;&gt;"",E3676&lt;&gt;"!!!"),"NEW","")))</f>
        <v> </v>
      </c>
      <c r="G3676" s="23" t="str">
        <f>IF(OR(E3676="",E3676="!!!"),"",IF(OR(J3676=0,AND(J3676=1,K3676=1),AND(J3676=1,I3676="SBJ"),AND(J3676=1,I3676=0)),"?IN_FOCUS",IF(J3676&lt;=2,"?ACTIVATED",IF(J3676&lt;&gt;"","?FAMILIAR",IF(F3676="NEW",IF(ISNA(VLOOKUP(E3676,#REF!,1,FALSE())),"?TYPE_IDENTIFIABLE","?REFERENTIAL"),"_")))))</f>
        <v> </v>
      </c>
      <c r="H3676" s="24" t="str">
        <f>IF(J3676&lt;&gt;1,"",IF(I3676="SBJ","CB","?"))</f>
        <v> </v>
      </c>
      <c r="I3676" s="25" t="str">
        <f>IF(OR(E3676="",E3676="!!!",F3676="NEW"),"",INDEX(B3675:B$2,-1+SUMPRODUCT(MAX(ROW(E3675:E$2)*(E3676=E3675:E$2)))))</f>
        <v> </v>
      </c>
      <c r="J3676" s="25" t="str">
        <f>IF(OR(E3676="",E3676="!!!",F3676="NEW"),"",COUNTBLANK(OFFSET(A$1,,,SUMPRODUCT(MAX(ROW(E$2:E3676)*(E3676=E$2:E3676)))))-COUNTBLANK(OFFSET(A$1,,,SUMPRODUCT(MAX(ROW(E$1:E3675)*(E2=E$1:E3675))))))</f>
        <v> </v>
      </c>
      <c r="K3676" s="25" t="str">
        <f>IF(OR(E3676="",E3676="!!!",F3676="NEW"),"",INDEX(J$1:J3675,SUMPRODUCT(MAX(ROW(E$1:E3675)*(E3676=E$1:E3675)))))</f>
        <v> </v>
      </c>
      <c r="L3676" s="26"/>
    </row>
    <row r="3677" spans="1:12">
      <c r="A3677" s="20" t="s">
        <v>831</v>
      </c>
      <c r="B3677" s="27" t="s">
        <v>795</v>
      </c>
      <c r="C3677" s="27" t="s">
        <v>775</v>
      </c>
      <c r="D3677" s="27" t="s">
        <v>740</v>
      </c>
      <c r="E3677" s="21">
        <f>IF(D3677="?OLD","!!!","")</f>
        <v/>
      </c>
      <c r="F3677" s="22" t="str">
        <f>IF(OR(E3677="",E3677="!!!"),"",IF(NOT(ISNA(VLOOKUP(E3677,E$1:E3676,1,FALSE()))),"OLD",IF(AND(E3677&lt;&gt;"",E3677&lt;&gt;"!!!"),"NEW","")))</f>
        <v> </v>
      </c>
      <c r="G3677" s="23" t="str">
        <f>IF(OR(E3677="",E3677="!!!"),"",IF(OR(J3677=0,AND(J3677=1,K3677=1),AND(J3677=1,I3677="SBJ"),AND(J3677=1,I3677=0)),"?IN_FOCUS",IF(J3677&lt;=2,"?ACTIVATED",IF(J3677&lt;&gt;"","?FAMILIAR",IF(F3677="NEW",IF(ISNA(VLOOKUP(E3677,#REF!,1,FALSE())),"?TYPE_IDENTIFIABLE","?REFERENTIAL"),"_")))))</f>
        <v> </v>
      </c>
      <c r="H3677" s="24" t="str">
        <f>IF(J3677&lt;&gt;1,"",IF(I3677="SBJ","CB","?"))</f>
        <v> </v>
      </c>
      <c r="I3677" s="25" t="str">
        <f>IF(OR(E3677="",E3677="!!!",F3677="NEW"),"",INDEX(B3676:B$2,-1+SUMPRODUCT(MAX(ROW(E3676:E$2)*(E3677=E3676:E$2)))))</f>
        <v> </v>
      </c>
      <c r="J3677" s="25" t="str">
        <f>IF(OR(E3677="",E3677="!!!",F3677="NEW"),"",COUNTBLANK(OFFSET(A$1,,,SUMPRODUCT(MAX(ROW(E$2:E3677)*(E3677=E$2:E3677)))))-COUNTBLANK(OFFSET(A$1,,,SUMPRODUCT(MAX(ROW(E$1:E3676)*(E2=E$1:E3676))))))</f>
        <v> </v>
      </c>
      <c r="K3677" s="25" t="str">
        <f>IF(OR(E3677="",E3677="!!!",F3677="NEW"),"",INDEX(J$1:J3676,SUMPRODUCT(MAX(ROW(E$1:E3676)*(E3677=E$1:E3676)))))</f>
        <v> </v>
      </c>
      <c r="L3677" s="26"/>
    </row>
    <row r="3678" spans="1:12">
      <c r="A3678" s="20" t="s">
        <v>1851</v>
      </c>
      <c r="E3678" s="21">
        <f>IF(D3678="?OLD","!!!","")</f>
        <v/>
      </c>
      <c r="F3678" s="22" t="str">
        <f>IF(OR(E3678="",E3678="!!!"),"",IF(NOT(ISNA(VLOOKUP(E3678,E$1:E3677,1,FALSE()))),"OLD",IF(AND(E3678&lt;&gt;"",E3678&lt;&gt;"!!!"),"NEW","")))</f>
        <v> </v>
      </c>
      <c r="G3678" s="23" t="str">
        <f>IF(OR(E3678="",E3678="!!!"),"",IF(OR(J3678=0,AND(J3678=1,K3678=1),AND(J3678=1,I3678="SBJ"),AND(J3678=1,I3678=0)),"?IN_FOCUS",IF(J3678&lt;=2,"?ACTIVATED",IF(J3678&lt;&gt;"","?FAMILIAR",IF(F3678="NEW",IF(ISNA(VLOOKUP(E3678,#REF!,1,FALSE())),"?TYPE_IDENTIFIABLE","?REFERENTIAL"),"_")))))</f>
        <v> </v>
      </c>
      <c r="H3678" s="24" t="str">
        <f>IF(J3678&lt;&gt;1,"",IF(I3678="SBJ","CB","?"))</f>
        <v> </v>
      </c>
      <c r="I3678" s="25" t="str">
        <f>IF(OR(E3678="",E3678="!!!",F3678="NEW"),"",INDEX(B3677:B$2,-1+SUMPRODUCT(MAX(ROW(E3677:E$2)*(E3678=E3677:E$2)))))</f>
        <v> </v>
      </c>
      <c r="J3678" s="25" t="str">
        <f>IF(OR(E3678="",E3678="!!!",F3678="NEW"),"",COUNTBLANK(OFFSET(A$1,,,SUMPRODUCT(MAX(ROW(E$2:E3678)*(E3678=E$2:E3678)))))-COUNTBLANK(OFFSET(A$1,,,SUMPRODUCT(MAX(ROW(E$1:E3677)*(E2=E$1:E3677))))))</f>
        <v> </v>
      </c>
      <c r="K3678" s="25" t="str">
        <f>IF(OR(E3678="",E3678="!!!",F3678="NEW"),"",INDEX(J$1:J3677,SUMPRODUCT(MAX(ROW(E$1:E3677)*(E3678=E$1:E3677)))))</f>
        <v> </v>
      </c>
      <c r="L3678" s="26"/>
    </row>
    <row r="3679" spans="1:12">
      <c r="A3679" s="20" t="s">
        <v>1852</v>
      </c>
      <c r="B3679" s="27" t="s">
        <v>733</v>
      </c>
      <c r="C3679" s="27" t="s">
        <v>734</v>
      </c>
      <c r="E3679" s="21">
        <f>IF(D3679="?OLD","!!!","")</f>
        <v/>
      </c>
      <c r="F3679" s="22" t="str">
        <f>IF(OR(E3679="",E3679="!!!"),"",IF(NOT(ISNA(VLOOKUP(E3679,E$1:E3678,1,FALSE()))),"OLD",IF(AND(E3679&lt;&gt;"",E3679&lt;&gt;"!!!"),"NEW","")))</f>
        <v> </v>
      </c>
      <c r="G3679" s="23" t="str">
        <f>IF(OR(E3679="",E3679="!!!"),"",IF(OR(J3679=0,AND(J3679=1,K3679=1),AND(J3679=1,I3679="SBJ"),AND(J3679=1,I3679=0)),"?IN_FOCUS",IF(J3679&lt;=2,"?ACTIVATED",IF(J3679&lt;&gt;"","?FAMILIAR",IF(F3679="NEW",IF(ISNA(VLOOKUP(E3679,#REF!,1,FALSE())),"?TYPE_IDENTIFIABLE","?REFERENTIAL"),"_")))))</f>
        <v> </v>
      </c>
      <c r="H3679" s="24" t="str">
        <f>IF(J3679&lt;&gt;1,"",IF(I3679="SBJ","CB","?"))</f>
        <v> </v>
      </c>
      <c r="I3679" s="25" t="str">
        <f>IF(OR(E3679="",E3679="!!!",F3679="NEW"),"",INDEX(B3678:B$2,-1+SUMPRODUCT(MAX(ROW(E3678:E$2)*(E3679=E3678:E$2)))))</f>
        <v> </v>
      </c>
      <c r="J3679" s="25" t="str">
        <f>IF(OR(E3679="",E3679="!!!",F3679="NEW"),"",COUNTBLANK(OFFSET(A$1,,,SUMPRODUCT(MAX(ROW(E$2:E3679)*(E3679=E$2:E3679)))))-COUNTBLANK(OFFSET(A$1,,,SUMPRODUCT(MAX(ROW(E$1:E3678)*(E2=E$1:E3678))))))</f>
        <v> </v>
      </c>
      <c r="K3679" s="25" t="str">
        <f>IF(OR(E3679="",E3679="!!!",F3679="NEW"),"",INDEX(J$1:J3678,SUMPRODUCT(MAX(ROW(E$1:E3678)*(E3679=E$1:E3678)))))</f>
        <v> </v>
      </c>
      <c r="L3679" s="26"/>
    </row>
    <row r="3680" spans="1:12">
      <c r="A3680" s="20" t="s">
        <v>991</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1133</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1853</v>
      </c>
      <c r="B3682" s="27" t="s">
        <v>733</v>
      </c>
      <c r="C3682" s="27" t="s">
        <v>744</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1854</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753</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1328</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1855</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t="s">
        <v>753</v>
      </c>
      <c r="E3687" s="21">
        <f>IF(D3687="?OLD","!!!","")</f>
        <v/>
      </c>
      <c r="F3687" s="22" t="str">
        <f>IF(OR(E3687="",E3687="!!!"),"",IF(NOT(ISNA(VLOOKUP(E3687,E$1:E3686,1,FALSE()))),"OLD",IF(AND(E3687&lt;&gt;"",E3687&lt;&gt;"!!!"),"NEW","")))</f>
        <v> </v>
      </c>
      <c r="G3687" s="23" t="str">
        <f>IF(OR(E3687="",E3687="!!!"),"",IF(OR(J3687=0,AND(J3687=1,K3687=1),AND(J3687=1,I3687="SBJ"),AND(J3687=1,I3687=0)),"?IN_FOCUS",IF(J3687&lt;=2,"?ACTIVATED",IF(J3687&lt;&gt;"","?FAMILIAR",IF(F3687="NEW",IF(ISNA(VLOOKUP(E3687,#REF!,1,FALSE())),"?TYPE_IDENTIFIABLE","?REFERENTIAL"),"_")))))</f>
        <v> </v>
      </c>
      <c r="H3687" s="24" t="str">
        <f>IF(J3687&lt;&gt;1,"",IF(I3687="SBJ","CB","?"))</f>
        <v> </v>
      </c>
      <c r="I3687" s="25" t="str">
        <f>IF(OR(E3687="",E3687="!!!",F3687="NEW"),"",INDEX(B3686:B$2,-1+SUMPRODUCT(MAX(ROW(E3686:E$2)*(E3687=E3686:E$2)))))</f>
        <v> </v>
      </c>
      <c r="J3687" s="25" t="str">
        <f>IF(OR(E3687="",E3687="!!!",F3687="NEW"),"",COUNTBLANK(OFFSET(A$1,,,SUMPRODUCT(MAX(ROW(E$2:E3687)*(E3687=E$2:E3687)))))-COUNTBLANK(OFFSET(A$1,,,SUMPRODUCT(MAX(ROW(E$1:E3686)*(E2=E$1:E3686))))))</f>
        <v> </v>
      </c>
      <c r="K3687" s="25" t="str">
        <f>IF(OR(E3687="",E3687="!!!",F3687="NEW"),"",INDEX(J$1:J3686,SUMPRODUCT(MAX(ROW(E$1:E3686)*(E3687=E$1:E3686)))))</f>
        <v> </v>
      </c>
      <c r="L3687" s="26"/>
    </row>
    <row r="3688" spans="1:12">
      <c r="A3688" s="20" t="s">
        <v>860</v>
      </c>
      <c r="E3688" s="21">
        <f>IF(D3688="?OLD","!!!","")</f>
        <v/>
      </c>
      <c r="F3688" s="22" t="str">
        <f>IF(OR(E3688="",E3688="!!!"),"",IF(NOT(ISNA(VLOOKUP(E3688,E$1:E3687,1,FALSE()))),"OLD",IF(AND(E3688&lt;&gt;"",E3688&lt;&gt;"!!!"),"NEW","")))</f>
        <v> </v>
      </c>
      <c r="G3688" s="23" t="str">
        <f>IF(OR(E3688="",E3688="!!!"),"",IF(OR(J3688=0,AND(J3688=1,K3688=1),AND(J3688=1,I3688="SBJ"),AND(J3688=1,I3688=0)),"?IN_FOCUS",IF(J3688&lt;=2,"?ACTIVATED",IF(J3688&lt;&gt;"","?FAMILIAR",IF(F3688="NEW",IF(ISNA(VLOOKUP(E3688,#REF!,1,FALSE())),"?TYPE_IDENTIFIABLE","?REFERENTIAL"),"_")))))</f>
        <v> </v>
      </c>
      <c r="H3688" s="24" t="str">
        <f>IF(J3688&lt;&gt;1,"",IF(I3688="SBJ","CB","?"))</f>
        <v> </v>
      </c>
      <c r="I3688" s="25" t="str">
        <f>IF(OR(E3688="",E3688="!!!",F3688="NEW"),"",INDEX(B3687:B$2,-1+SUMPRODUCT(MAX(ROW(E3687:E$2)*(E3688=E3687:E$2)))))</f>
        <v> </v>
      </c>
      <c r="J3688" s="25" t="str">
        <f>IF(OR(E3688="",E3688="!!!",F3688="NEW"),"",COUNTBLANK(OFFSET(A$1,,,SUMPRODUCT(MAX(ROW(E$2:E3688)*(E3688=E$2:E3688)))))-COUNTBLANK(OFFSET(A$1,,,SUMPRODUCT(MAX(ROW(E$1:E3687)*(E2=E$1:E3687))))))</f>
        <v> </v>
      </c>
      <c r="K3688" s="25" t="str">
        <f>IF(OR(E3688="",E3688="!!!",F3688="NEW"),"",INDEX(J$1:J3687,SUMPRODUCT(MAX(ROW(E$1:E3687)*(E3688=E$1:E3687)))))</f>
        <v> </v>
      </c>
      <c r="L3688" s="26"/>
    </row>
    <row r="3689" spans="1:12">
      <c r="A3689" s="20" t="s">
        <v>774</v>
      </c>
      <c r="B3689" s="27" t="s">
        <v>771</v>
      </c>
      <c r="C3689" s="27" t="s">
        <v>775</v>
      </c>
      <c r="D3689" s="27" t="s">
        <v>740</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919</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t="s">
        <v>1856</v>
      </c>
      <c r="B3691" s="27" t="s">
        <v>779</v>
      </c>
      <c r="C3691" s="27" t="s">
        <v>734</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t="s">
        <v>1857</v>
      </c>
      <c r="E3692" s="21">
        <f>IF(D3692="?OLD","!!!","")</f>
        <v/>
      </c>
      <c r="F3692" s="22" t="str">
        <f>IF(OR(E3692="",E3692="!!!"),"",IF(NOT(ISNA(VLOOKUP(E3692,E$1:E3691,1,FALSE()))),"OLD",IF(AND(E3692&lt;&gt;"",E3692&lt;&gt;"!!!"),"NEW","")))</f>
        <v> </v>
      </c>
      <c r="G3692" s="23" t="str">
        <f>IF(OR(E3692="",E3692="!!!"),"",IF(OR(J3692=0,AND(J3692=1,K3692=1),AND(J3692=1,I3692="SBJ"),AND(J3692=1,I3692=0)),"?IN_FOCUS",IF(J3692&lt;=2,"?ACTIVATED",IF(J3692&lt;&gt;"","?FAMILIAR",IF(F3692="NEW",IF(ISNA(VLOOKUP(E3692,#REF!,1,FALSE())),"?TYPE_IDENTIFIABLE","?REFERENTIAL"),"_")))))</f>
        <v> </v>
      </c>
      <c r="H3692" s="24" t="str">
        <f>IF(J3692&lt;&gt;1,"",IF(I3692="SBJ","CB","?"))</f>
        <v> </v>
      </c>
      <c r="I3692" s="25" t="str">
        <f>IF(OR(E3692="",E3692="!!!",F3692="NEW"),"",INDEX(B3691:B$2,-1+SUMPRODUCT(MAX(ROW(E3691:E$2)*(E3692=E3691:E$2)))))</f>
        <v> </v>
      </c>
      <c r="J3692" s="25" t="str">
        <f>IF(OR(E3692="",E3692="!!!",F3692="NEW"),"",COUNTBLANK(OFFSET(A$1,,,SUMPRODUCT(MAX(ROW(E$2:E3692)*(E3692=E$2:E3692)))))-COUNTBLANK(OFFSET(A$1,,,SUMPRODUCT(MAX(ROW(E$1:E3691)*(E2=E$1:E3691))))))</f>
        <v> </v>
      </c>
      <c r="K3692" s="25" t="str">
        <f>IF(OR(E3692="",E3692="!!!",F3692="NEW"),"",INDEX(J$1:J3691,SUMPRODUCT(MAX(ROW(E$1:E3691)*(E3692=E$1:E3691)))))</f>
        <v> </v>
      </c>
      <c r="L3692" s="26"/>
    </row>
    <row r="3693" spans="1:12">
      <c r="A3693" s="20" t="s">
        <v>753</v>
      </c>
      <c r="E3693" s="21">
        <f>IF(D3693="?OLD","!!!","")</f>
        <v/>
      </c>
      <c r="F3693" s="22" t="str">
        <f>IF(OR(E3693="",E3693="!!!"),"",IF(NOT(ISNA(VLOOKUP(E3693,E$1:E3692,1,FALSE()))),"OLD",IF(AND(E3693&lt;&gt;"",E3693&lt;&gt;"!!!"),"NEW","")))</f>
        <v> </v>
      </c>
      <c r="G3693" s="23" t="str">
        <f>IF(OR(E3693="",E3693="!!!"),"",IF(OR(J3693=0,AND(J3693=1,K3693=1),AND(J3693=1,I3693="SBJ"),AND(J3693=1,I3693=0)),"?IN_FOCUS",IF(J3693&lt;=2,"?ACTIVATED",IF(J3693&lt;&gt;"","?FAMILIAR",IF(F3693="NEW",IF(ISNA(VLOOKUP(E3693,#REF!,1,FALSE())),"?TYPE_IDENTIFIABLE","?REFERENTIAL"),"_")))))</f>
        <v> </v>
      </c>
      <c r="H3693" s="24" t="str">
        <f>IF(J3693&lt;&gt;1,"",IF(I3693="SBJ","CB","?"))</f>
        <v> </v>
      </c>
      <c r="I3693" s="25" t="str">
        <f>IF(OR(E3693="",E3693="!!!",F3693="NEW"),"",INDEX(B3692:B$2,-1+SUMPRODUCT(MAX(ROW(E3692:E$2)*(E3693=E3692:E$2)))))</f>
        <v> </v>
      </c>
      <c r="J3693" s="25" t="str">
        <f>IF(OR(E3693="",E3693="!!!",F3693="NEW"),"",COUNTBLANK(OFFSET(A$1,,,SUMPRODUCT(MAX(ROW(E$2:E3693)*(E3693=E$2:E3693)))))-COUNTBLANK(OFFSET(A$1,,,SUMPRODUCT(MAX(ROW(E$1:E3692)*(E2=E$1:E3692))))))</f>
        <v> </v>
      </c>
      <c r="K3693" s="25" t="str">
        <f>IF(OR(E3693="",E3693="!!!",F3693="NEW"),"",INDEX(J$1:J3692,SUMPRODUCT(MAX(ROW(E$1:E3692)*(E3693=E$1:E3692)))))</f>
        <v> </v>
      </c>
      <c r="L3693" s="26"/>
    </row>
    <row r="3694" spans="1:12">
      <c r="A3694" s="20" t="s">
        <v>941</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1858</v>
      </c>
      <c r="B3695" s="27" t="s">
        <v>787</v>
      </c>
      <c r="C3695" s="27" t="s">
        <v>828</v>
      </c>
      <c r="D3695" s="27" t="s">
        <v>740</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924</v>
      </c>
      <c r="B3696" s="27" t="s">
        <v>795</v>
      </c>
      <c r="C3696" s="27" t="s">
        <v>734</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970</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t="s">
        <v>883</v>
      </c>
      <c r="E3698" s="21">
        <f>IF(D3698="?OLD","!!!","")</f>
        <v/>
      </c>
      <c r="F3698" s="22" t="str">
        <f>IF(OR(E3698="",E3698="!!!"),"",IF(NOT(ISNA(VLOOKUP(E3698,E$1:E3697,1,FALSE()))),"OLD",IF(AND(E3698&lt;&gt;"",E3698&lt;&gt;"!!!"),"NEW","")))</f>
        <v> </v>
      </c>
      <c r="G3698" s="23" t="str">
        <f>IF(OR(E3698="",E3698="!!!"),"",IF(OR(J3698=0,AND(J3698=1,K3698=1),AND(J3698=1,I3698="SBJ"),AND(J3698=1,I3698=0)),"?IN_FOCUS",IF(J3698&lt;=2,"?ACTIVATED",IF(J3698&lt;&gt;"","?FAMILIAR",IF(F3698="NEW",IF(ISNA(VLOOKUP(E3698,#REF!,1,FALSE())),"?TYPE_IDENTIFIABLE","?REFERENTIAL"),"_")))))</f>
        <v> </v>
      </c>
      <c r="H3698" s="24" t="str">
        <f>IF(J3698&lt;&gt;1,"",IF(I3698="SBJ","CB","?"))</f>
        <v> </v>
      </c>
      <c r="I3698" s="25" t="str">
        <f>IF(OR(E3698="",E3698="!!!",F3698="NEW"),"",INDEX(B3697:B$2,-1+SUMPRODUCT(MAX(ROW(E3697:E$2)*(E3698=E3697:E$2)))))</f>
        <v> </v>
      </c>
      <c r="J3698" s="25" t="str">
        <f>IF(OR(E3698="",E3698="!!!",F3698="NEW"),"",COUNTBLANK(OFFSET(A$1,,,SUMPRODUCT(MAX(ROW(E$2:E3698)*(E3698=E$2:E3698)))))-COUNTBLANK(OFFSET(A$1,,,SUMPRODUCT(MAX(ROW(E$1:E3697)*(E2=E$1:E3697))))))</f>
        <v> </v>
      </c>
      <c r="K3698" s="25" t="str">
        <f>IF(OR(E3698="",E3698="!!!",F3698="NEW"),"",INDEX(J$1:J3697,SUMPRODUCT(MAX(ROW(E$1:E3697)*(E3698=E$1:E3697)))))</f>
        <v> </v>
      </c>
      <c r="L3698" s="26"/>
    </row>
    <row r="3699" spans="1:12">
      <c r="A3699" s="20" t="s">
        <v>1859</v>
      </c>
      <c r="B3699" s="27" t="s">
        <v>777</v>
      </c>
      <c r="C3699" s="27" t="s">
        <v>739</v>
      </c>
      <c r="D3699" s="27" t="s">
        <v>740</v>
      </c>
      <c r="E3699" s="21">
        <f>IF(D3699="?OLD","!!!","")</f>
        <v/>
      </c>
      <c r="F3699" s="22" t="str">
        <f>IF(OR(E3699="",E3699="!!!"),"",IF(NOT(ISNA(VLOOKUP(E3699,E$1:E3698,1,FALSE()))),"OLD",IF(AND(E3699&lt;&gt;"",E3699&lt;&gt;"!!!"),"NEW","")))</f>
        <v> </v>
      </c>
      <c r="G3699" s="23" t="str">
        <f>IF(OR(E3699="",E3699="!!!"),"",IF(OR(J3699=0,AND(J3699=1,K3699=1),AND(J3699=1,I3699="SBJ"),AND(J3699=1,I3699=0)),"?IN_FOCUS",IF(J3699&lt;=2,"?ACTIVATED",IF(J3699&lt;&gt;"","?FAMILIAR",IF(F3699="NEW",IF(ISNA(VLOOKUP(E3699,#REF!,1,FALSE())),"?TYPE_IDENTIFIABLE","?REFERENTIAL"),"_")))))</f>
        <v> </v>
      </c>
      <c r="H3699" s="24" t="str">
        <f>IF(J3699&lt;&gt;1,"",IF(I3699="SBJ","CB","?"))</f>
        <v> </v>
      </c>
      <c r="I3699" s="25" t="str">
        <f>IF(OR(E3699="",E3699="!!!",F3699="NEW"),"",INDEX(B3698:B$2,-1+SUMPRODUCT(MAX(ROW(E3698:E$2)*(E3699=E3698:E$2)))))</f>
        <v> </v>
      </c>
      <c r="J3699" s="25" t="str">
        <f>IF(OR(E3699="",E3699="!!!",F3699="NEW"),"",COUNTBLANK(OFFSET(A$1,,,SUMPRODUCT(MAX(ROW(E$2:E3699)*(E3699=E$2:E3699)))))-COUNTBLANK(OFFSET(A$1,,,SUMPRODUCT(MAX(ROW(E$1:E3698)*(E2=E$1:E3698))))))</f>
        <v> </v>
      </c>
      <c r="K3699" s="25" t="str">
        <f>IF(OR(E3699="",E3699="!!!",F3699="NEW"),"",INDEX(J$1:J3698,SUMPRODUCT(MAX(ROW(E$1:E3698)*(E3699=E$1:E3698)))))</f>
        <v> </v>
      </c>
      <c r="L3699" s="26"/>
    </row>
    <row r="3700" spans="1:12">
      <c r="A3700" s="20" t="s">
        <v>1860</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753</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905</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1110</v>
      </c>
      <c r="B3703" s="27" t="s">
        <v>733</v>
      </c>
      <c r="C3703" s="27" t="s">
        <v>792</v>
      </c>
      <c r="D3703" s="27" t="s">
        <v>740</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1861</v>
      </c>
      <c r="B3704" s="27" t="s">
        <v>738</v>
      </c>
      <c r="C3704" s="27" t="s">
        <v>908</v>
      </c>
      <c r="D3704" s="27" t="s">
        <v>740</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t="s">
        <v>999</v>
      </c>
      <c r="E3705" s="21">
        <f>IF(D3705="?OLD","!!!","")</f>
        <v/>
      </c>
      <c r="F3705" s="22" t="str">
        <f>IF(OR(E3705="",E3705="!!!"),"",IF(NOT(ISNA(VLOOKUP(E3705,E$1:E3704,1,FALSE()))),"OLD",IF(AND(E3705&lt;&gt;"",E3705&lt;&gt;"!!!"),"NEW","")))</f>
        <v> </v>
      </c>
      <c r="G3705" s="23" t="str">
        <f>IF(OR(E3705="",E3705="!!!"),"",IF(OR(J3705=0,AND(J3705=1,K3705=1),AND(J3705=1,I3705="SBJ"),AND(J3705=1,I3705=0)),"?IN_FOCUS",IF(J3705&lt;=2,"?ACTIVATED",IF(J3705&lt;&gt;"","?FAMILIAR",IF(F3705="NEW",IF(ISNA(VLOOKUP(E3705,#REF!,1,FALSE())),"?TYPE_IDENTIFIABLE","?REFERENTIAL"),"_")))))</f>
        <v> </v>
      </c>
      <c r="H3705" s="24" t="str">
        <f>IF(J3705&lt;&gt;1,"",IF(I3705="SBJ","CB","?"))</f>
        <v> </v>
      </c>
      <c r="I3705" s="25" t="str">
        <f>IF(OR(E3705="",E3705="!!!",F3705="NEW"),"",INDEX(B3704:B$2,-1+SUMPRODUCT(MAX(ROW(E3704:E$2)*(E3705=E3704:E$2)))))</f>
        <v> </v>
      </c>
      <c r="J3705" s="25" t="str">
        <f>IF(OR(E3705="",E3705="!!!",F3705="NEW"),"",COUNTBLANK(OFFSET(A$1,,,SUMPRODUCT(MAX(ROW(E$2:E3705)*(E3705=E$2:E3705)))))-COUNTBLANK(OFFSET(A$1,,,SUMPRODUCT(MAX(ROW(E$1:E3704)*(E2=E$1:E3704))))))</f>
        <v> </v>
      </c>
      <c r="K3705" s="25" t="str">
        <f>IF(OR(E3705="",E3705="!!!",F3705="NEW"),"",INDEX(J$1:J3704,SUMPRODUCT(MAX(ROW(E$1:E3704)*(E3705=E$1:E3704)))))</f>
        <v> </v>
      </c>
      <c r="L3705" s="26"/>
    </row>
    <row r="3706" spans="1:12">
      <c r="A3706" s="20" t="s">
        <v>1498</v>
      </c>
      <c r="B3706" s="27" t="s">
        <v>733</v>
      </c>
      <c r="C3706" s="27" t="s">
        <v>734</v>
      </c>
      <c r="E3706" s="21">
        <f>IF(D3706="?OLD","!!!","")</f>
        <v/>
      </c>
      <c r="F3706" s="22" t="str">
        <f>IF(OR(E3706="",E3706="!!!"),"",IF(NOT(ISNA(VLOOKUP(E3706,E$1:E3705,1,FALSE()))),"OLD",IF(AND(E3706&lt;&gt;"",E3706&lt;&gt;"!!!"),"NEW","")))</f>
        <v> </v>
      </c>
      <c r="G3706" s="23" t="str">
        <f>IF(OR(E3706="",E3706="!!!"),"",IF(OR(J3706=0,AND(J3706=1,K3706=1),AND(J3706=1,I3706="SBJ"),AND(J3706=1,I3706=0)),"?IN_FOCUS",IF(J3706&lt;=2,"?ACTIVATED",IF(J3706&lt;&gt;"","?FAMILIAR",IF(F3706="NEW",IF(ISNA(VLOOKUP(E3706,#REF!,1,FALSE())),"?TYPE_IDENTIFIABLE","?REFERENTIAL"),"_")))))</f>
        <v> </v>
      </c>
      <c r="H3706" s="24" t="str">
        <f>IF(J3706&lt;&gt;1,"",IF(I3706="SBJ","CB","?"))</f>
        <v> </v>
      </c>
      <c r="I3706" s="25" t="str">
        <f>IF(OR(E3706="",E3706="!!!",F3706="NEW"),"",INDEX(B3705:B$2,-1+SUMPRODUCT(MAX(ROW(E3705:E$2)*(E3706=E3705:E$2)))))</f>
        <v> </v>
      </c>
      <c r="J3706" s="25" t="str">
        <f>IF(OR(E3706="",E3706="!!!",F3706="NEW"),"",COUNTBLANK(OFFSET(A$1,,,SUMPRODUCT(MAX(ROW(E$2:E3706)*(E3706=E$2:E3706)))))-COUNTBLANK(OFFSET(A$1,,,SUMPRODUCT(MAX(ROW(E$1:E3705)*(E2=E$1:E3705))))))</f>
        <v> </v>
      </c>
      <c r="K3706" s="25" t="str">
        <f>IF(OR(E3706="",E3706="!!!",F3706="NEW"),"",INDEX(J$1:J3705,SUMPRODUCT(MAX(ROW(E$1:E3705)*(E3706=E$1:E3705)))))</f>
        <v> </v>
      </c>
      <c r="L3706" s="26"/>
    </row>
    <row r="3707" spans="1:12">
      <c r="A3707" s="20" t="s">
        <v>753</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736</v>
      </c>
      <c r="B3708" s="27" t="s">
        <v>795</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1110</v>
      </c>
      <c r="B3709" s="27" t="s">
        <v>787</v>
      </c>
      <c r="C3709" s="27" t="s">
        <v>792</v>
      </c>
      <c r="D3709" s="27" t="s">
        <v>740</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1862</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1863</v>
      </c>
      <c r="B3711" s="27" t="s">
        <v>764</v>
      </c>
      <c r="C3711" s="27" t="s">
        <v>908</v>
      </c>
      <c r="D3711" s="27" t="s">
        <v>740</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765</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1864</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87</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753</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t="s">
        <v>736</v>
      </c>
      <c r="E3716" s="21">
        <f>IF(D3716="?OLD","!!!","")</f>
        <v/>
      </c>
      <c r="F3716" s="22" t="str">
        <f>IF(OR(E3716="",E3716="!!!"),"",IF(NOT(ISNA(VLOOKUP(E3716,E$1:E3715,1,FALSE()))),"OLD",IF(AND(E3716&lt;&gt;"",E3716&lt;&gt;"!!!"),"NEW","")))</f>
        <v> </v>
      </c>
      <c r="G3716" s="23" t="str">
        <f>IF(OR(E3716="",E3716="!!!"),"",IF(OR(J3716=0,AND(J3716=1,K3716=1),AND(J3716=1,I3716="SBJ"),AND(J3716=1,I3716=0)),"?IN_FOCUS",IF(J3716&lt;=2,"?ACTIVATED",IF(J3716&lt;&gt;"","?FAMILIAR",IF(F3716="NEW",IF(ISNA(VLOOKUP(E3716,#REF!,1,FALSE())),"?TYPE_IDENTIFIABLE","?REFERENTIAL"),"_")))))</f>
        <v> </v>
      </c>
      <c r="H3716" s="24" t="str">
        <f>IF(J3716&lt;&gt;1,"",IF(I3716="SBJ","CB","?"))</f>
        <v> </v>
      </c>
      <c r="I3716" s="25" t="str">
        <f>IF(OR(E3716="",E3716="!!!",F3716="NEW"),"",INDEX(B3715:B$2,-1+SUMPRODUCT(MAX(ROW(E3715:E$2)*(E3716=E3715:E$2)))))</f>
        <v> </v>
      </c>
      <c r="J3716" s="25" t="str">
        <f>IF(OR(E3716="",E3716="!!!",F3716="NEW"),"",COUNTBLANK(OFFSET(A$1,,,SUMPRODUCT(MAX(ROW(E$2:E3716)*(E3716=E$2:E3716)))))-COUNTBLANK(OFFSET(A$1,,,SUMPRODUCT(MAX(ROW(E$1:E3715)*(E2=E$1:E3715))))))</f>
        <v> </v>
      </c>
      <c r="K3716" s="25" t="str">
        <f>IF(OR(E3716="",E3716="!!!",F3716="NEW"),"",INDEX(J$1:J3715,SUMPRODUCT(MAX(ROW(E$1:E3715)*(E3716=E$1:E3715)))))</f>
        <v> </v>
      </c>
      <c r="L3716" s="26"/>
    </row>
    <row r="3717" spans="1:12">
      <c r="A3717" s="20" t="s">
        <v>1865</v>
      </c>
      <c r="E3717" s="21">
        <f>IF(D3717="?OLD","!!!","")</f>
        <v/>
      </c>
      <c r="F3717" s="22" t="str">
        <f>IF(OR(E3717="",E3717="!!!"),"",IF(NOT(ISNA(VLOOKUP(E3717,E$1:E3716,1,FALSE()))),"OLD",IF(AND(E3717&lt;&gt;"",E3717&lt;&gt;"!!!"),"NEW","")))</f>
        <v> </v>
      </c>
      <c r="G3717" s="23" t="str">
        <f>IF(OR(E3717="",E3717="!!!"),"",IF(OR(J3717=0,AND(J3717=1,K3717=1),AND(J3717=1,I3717="SBJ"),AND(J3717=1,I3717=0)),"?IN_FOCUS",IF(J3717&lt;=2,"?ACTIVATED",IF(J3717&lt;&gt;"","?FAMILIAR",IF(F3717="NEW",IF(ISNA(VLOOKUP(E3717,#REF!,1,FALSE())),"?TYPE_IDENTIFIABLE","?REFERENTIAL"),"_")))))</f>
        <v> </v>
      </c>
      <c r="H3717" s="24" t="str">
        <f>IF(J3717&lt;&gt;1,"",IF(I3717="SBJ","CB","?"))</f>
        <v> </v>
      </c>
      <c r="I3717" s="25" t="str">
        <f>IF(OR(E3717="",E3717="!!!",F3717="NEW"),"",INDEX(B3716:B$2,-1+SUMPRODUCT(MAX(ROW(E3716:E$2)*(E3717=E3716:E$2)))))</f>
        <v> </v>
      </c>
      <c r="J3717" s="25" t="str">
        <f>IF(OR(E3717="",E3717="!!!",F3717="NEW"),"",COUNTBLANK(OFFSET(A$1,,,SUMPRODUCT(MAX(ROW(E$2:E3717)*(E3717=E$2:E3717)))))-COUNTBLANK(OFFSET(A$1,,,SUMPRODUCT(MAX(ROW(E$1:E3716)*(E2=E$1:E3716))))))</f>
        <v> </v>
      </c>
      <c r="K3717" s="25" t="str">
        <f>IF(OR(E3717="",E3717="!!!",F3717="NEW"),"",INDEX(J$1:J3716,SUMPRODUCT(MAX(ROW(E$1:E3716)*(E3717=E$1:E3716)))))</f>
        <v> </v>
      </c>
      <c r="L3717" s="26"/>
    </row>
    <row r="3718" spans="1:12">
      <c r="A3718" s="20" t="s">
        <v>1205</v>
      </c>
      <c r="B3718" s="27" t="s">
        <v>779</v>
      </c>
      <c r="C3718" s="27" t="s">
        <v>739</v>
      </c>
      <c r="D3718" s="27" t="s">
        <v>740</v>
      </c>
      <c r="E3718" s="21">
        <f>IF(D3718="?OLD","!!!","")</f>
        <v/>
      </c>
      <c r="F3718" s="22" t="str">
        <f>IF(OR(E3718="",E3718="!!!"),"",IF(NOT(ISNA(VLOOKUP(E3718,E$1:E3717,1,FALSE()))),"OLD",IF(AND(E3718&lt;&gt;"",E3718&lt;&gt;"!!!"),"NEW","")))</f>
        <v> </v>
      </c>
      <c r="G3718" s="23" t="str">
        <f>IF(OR(E3718="",E3718="!!!"),"",IF(OR(J3718=0,AND(J3718=1,K3718=1),AND(J3718=1,I3718="SBJ"),AND(J3718=1,I3718=0)),"?IN_FOCUS",IF(J3718&lt;=2,"?ACTIVATED",IF(J3718&lt;&gt;"","?FAMILIAR",IF(F3718="NEW",IF(ISNA(VLOOKUP(E3718,#REF!,1,FALSE())),"?TYPE_IDENTIFIABLE","?REFERENTIAL"),"_")))))</f>
        <v> </v>
      </c>
      <c r="H3718" s="24" t="str">
        <f>IF(J3718&lt;&gt;1,"",IF(I3718="SBJ","CB","?"))</f>
        <v> </v>
      </c>
      <c r="I3718" s="25" t="str">
        <f>IF(OR(E3718="",E3718="!!!",F3718="NEW"),"",INDEX(B3717:B$2,-1+SUMPRODUCT(MAX(ROW(E3717:E$2)*(E3718=E3717:E$2)))))</f>
        <v> </v>
      </c>
      <c r="J3718" s="25" t="str">
        <f>IF(OR(E3718="",E3718="!!!",F3718="NEW"),"",COUNTBLANK(OFFSET(A$1,,,SUMPRODUCT(MAX(ROW(E$2:E3718)*(E3718=E$2:E3718)))))-COUNTBLANK(OFFSET(A$1,,,SUMPRODUCT(MAX(ROW(E$1:E3717)*(E2=E$1:E3717))))))</f>
        <v> </v>
      </c>
      <c r="K3718" s="25" t="str">
        <f>IF(OR(E3718="",E3718="!!!",F3718="NEW"),"",INDEX(J$1:J3717,SUMPRODUCT(MAX(ROW(E$1:E3717)*(E3718=E$1:E3717)))))</f>
        <v> </v>
      </c>
      <c r="L3718" s="26"/>
    </row>
    <row r="3719" spans="1:12">
      <c r="A3719" s="20" t="s">
        <v>1434</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1866</v>
      </c>
      <c r="B3720" s="27" t="s">
        <v>777</v>
      </c>
      <c r="C3720" s="27" t="s">
        <v>739</v>
      </c>
      <c r="D3720" s="27" t="s">
        <v>740</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1867</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753</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1868</v>
      </c>
      <c r="B3723" s="27" t="s">
        <v>771</v>
      </c>
      <c r="C3723" s="27" t="s">
        <v>775</v>
      </c>
      <c r="D3723" s="27" t="s">
        <v>740</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897</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1869</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1870</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t="s">
        <v>753</v>
      </c>
      <c r="E3727" s="21">
        <f>IF(D3727="?OLD","!!!","")</f>
        <v/>
      </c>
      <c r="F3727" s="22" t="str">
        <f>IF(OR(E3727="",E3727="!!!"),"",IF(NOT(ISNA(VLOOKUP(E3727,E$1:E3726,1,FALSE()))),"OLD",IF(AND(E3727&lt;&gt;"",E3727&lt;&gt;"!!!"),"NEW","")))</f>
        <v> </v>
      </c>
      <c r="G3727" s="23" t="str">
        <f>IF(OR(E3727="",E3727="!!!"),"",IF(OR(J3727=0,AND(J3727=1,K3727=1),AND(J3727=1,I3727="SBJ"),AND(J3727=1,I3727=0)),"?IN_FOCUS",IF(J3727&lt;=2,"?ACTIVATED",IF(J3727&lt;&gt;"","?FAMILIAR",IF(F3727="NEW",IF(ISNA(VLOOKUP(E3727,#REF!,1,FALSE())),"?TYPE_IDENTIFIABLE","?REFERENTIAL"),"_")))))</f>
        <v> </v>
      </c>
      <c r="H3727" s="24" t="str">
        <f>IF(J3727&lt;&gt;1,"",IF(I3727="SBJ","CB","?"))</f>
        <v> </v>
      </c>
      <c r="I3727" s="25" t="str">
        <f>IF(OR(E3727="",E3727="!!!",F3727="NEW"),"",INDEX(B3726:B$2,-1+SUMPRODUCT(MAX(ROW(E3726:E$2)*(E3727=E3726:E$2)))))</f>
        <v> </v>
      </c>
      <c r="J3727" s="25" t="str">
        <f>IF(OR(E3727="",E3727="!!!",F3727="NEW"),"",COUNTBLANK(OFFSET(A$1,,,SUMPRODUCT(MAX(ROW(E$2:E3727)*(E3727=E$2:E3727)))))-COUNTBLANK(OFFSET(A$1,,,SUMPRODUCT(MAX(ROW(E$1:E3726)*(E2=E$1:E3726))))))</f>
        <v> </v>
      </c>
      <c r="K3727" s="25" t="str">
        <f>IF(OR(E3727="",E3727="!!!",F3727="NEW"),"",INDEX(J$1:J3726,SUMPRODUCT(MAX(ROW(E$1:E3726)*(E3727=E$1:E3726)))))</f>
        <v> </v>
      </c>
      <c r="L3727" s="26"/>
    </row>
    <row r="3728" spans="1:12">
      <c r="A3728" s="20" t="s">
        <v>860</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1170</v>
      </c>
      <c r="B3729" s="27" t="s">
        <v>795</v>
      </c>
      <c r="C3729" s="27" t="s">
        <v>772</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t="s">
        <v>1871</v>
      </c>
      <c r="E3730" s="21">
        <f>IF(D3730="?OLD","!!!","")</f>
        <v/>
      </c>
      <c r="F3730" s="22" t="str">
        <f>IF(OR(E3730="",E3730="!!!"),"",IF(NOT(ISNA(VLOOKUP(E3730,E$1:E3729,1,FALSE()))),"OLD",IF(AND(E3730&lt;&gt;"",E3730&lt;&gt;"!!!"),"NEW","")))</f>
        <v> </v>
      </c>
      <c r="G3730" s="23" t="str">
        <f>IF(OR(E3730="",E3730="!!!"),"",IF(OR(J3730=0,AND(J3730=1,K3730=1),AND(J3730=1,I3730="SBJ"),AND(J3730=1,I3730=0)),"?IN_FOCUS",IF(J3730&lt;=2,"?ACTIVATED",IF(J3730&lt;&gt;"","?FAMILIAR",IF(F3730="NEW",IF(ISNA(VLOOKUP(E3730,#REF!,1,FALSE())),"?TYPE_IDENTIFIABLE","?REFERENTIAL"),"_")))))</f>
        <v> </v>
      </c>
      <c r="H3730" s="24" t="str">
        <f>IF(J3730&lt;&gt;1,"",IF(I3730="SBJ","CB","?"))</f>
        <v> </v>
      </c>
      <c r="I3730" s="25" t="str">
        <f>IF(OR(E3730="",E3730="!!!",F3730="NEW"),"",INDEX(B3729:B$2,-1+SUMPRODUCT(MAX(ROW(E3729:E$2)*(E3730=E3729:E$2)))))</f>
        <v> </v>
      </c>
      <c r="J3730" s="25" t="str">
        <f>IF(OR(E3730="",E3730="!!!",F3730="NEW"),"",COUNTBLANK(OFFSET(A$1,,,SUMPRODUCT(MAX(ROW(E$2:E3730)*(E3730=E$2:E3730)))))-COUNTBLANK(OFFSET(A$1,,,SUMPRODUCT(MAX(ROW(E$1:E3729)*(E2=E$1:E3729))))))</f>
        <v> </v>
      </c>
      <c r="K3730" s="25" t="str">
        <f>IF(OR(E3730="",E3730="!!!",F3730="NEW"),"",INDEX(J$1:J3729,SUMPRODUCT(MAX(ROW(E$1:E3729)*(E3730=E$1:E3729)))))</f>
        <v> </v>
      </c>
      <c r="L3730" s="26"/>
    </row>
    <row r="3731" spans="1:12">
      <c r="A3731" s="20" t="s">
        <v>1872</v>
      </c>
      <c r="B3731" s="27" t="s">
        <v>787</v>
      </c>
      <c r="C3731" s="27" t="s">
        <v>772</v>
      </c>
      <c r="E3731" s="21">
        <f>IF(D3731="?OLD","!!!","")</f>
        <v/>
      </c>
      <c r="F3731" s="22" t="str">
        <f>IF(OR(E3731="",E3731="!!!"),"",IF(NOT(ISNA(VLOOKUP(E3731,E$1:E3730,1,FALSE()))),"OLD",IF(AND(E3731&lt;&gt;"",E3731&lt;&gt;"!!!"),"NEW","")))</f>
        <v> </v>
      </c>
      <c r="G3731" s="23" t="str">
        <f>IF(OR(E3731="",E3731="!!!"),"",IF(OR(J3731=0,AND(J3731=1,K3731=1),AND(J3731=1,I3731="SBJ"),AND(J3731=1,I3731=0)),"?IN_FOCUS",IF(J3731&lt;=2,"?ACTIVATED",IF(J3731&lt;&gt;"","?FAMILIAR",IF(F3731="NEW",IF(ISNA(VLOOKUP(E3731,#REF!,1,FALSE())),"?TYPE_IDENTIFIABLE","?REFERENTIAL"),"_")))))</f>
        <v> </v>
      </c>
      <c r="H3731" s="24" t="str">
        <f>IF(J3731&lt;&gt;1,"",IF(I3731="SBJ","CB","?"))</f>
        <v> </v>
      </c>
      <c r="I3731" s="25" t="str">
        <f>IF(OR(E3731="",E3731="!!!",F3731="NEW"),"",INDEX(B3730:B$2,-1+SUMPRODUCT(MAX(ROW(E3730:E$2)*(E3731=E3730:E$2)))))</f>
        <v> </v>
      </c>
      <c r="J3731" s="25" t="str">
        <f>IF(OR(E3731="",E3731="!!!",F3731="NEW"),"",COUNTBLANK(OFFSET(A$1,,,SUMPRODUCT(MAX(ROW(E$2:E3731)*(E3731=E$2:E3731)))))-COUNTBLANK(OFFSET(A$1,,,SUMPRODUCT(MAX(ROW(E$1:E3730)*(E2=E$1:E3730))))))</f>
        <v> </v>
      </c>
      <c r="K3731" s="25" t="str">
        <f>IF(OR(E3731="",E3731="!!!",F3731="NEW"),"",INDEX(J$1:J3730,SUMPRODUCT(MAX(ROW(E$1:E3730)*(E3731=E$1:E3730)))))</f>
        <v> </v>
      </c>
      <c r="L3731" s="26"/>
    </row>
    <row r="3732" spans="1:12">
      <c r="A3732" s="20" t="s">
        <v>924</v>
      </c>
      <c r="B3732" s="27" t="s">
        <v>795</v>
      </c>
      <c r="C3732" s="27" t="s">
        <v>734</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t="s">
        <v>1873</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t="s">
        <v>788</v>
      </c>
      <c r="E3734" s="21">
        <f>IF(D3734="?OLD","!!!","")</f>
        <v/>
      </c>
      <c r="F3734" s="22" t="str">
        <f>IF(OR(E3734="",E3734="!!!"),"",IF(NOT(ISNA(VLOOKUP(E3734,E$1:E3733,1,FALSE()))),"OLD",IF(AND(E3734&lt;&gt;"",E3734&lt;&gt;"!!!"),"NEW","")))</f>
        <v> </v>
      </c>
      <c r="G3734" s="23" t="str">
        <f>IF(OR(E3734="",E3734="!!!"),"",IF(OR(J3734=0,AND(J3734=1,K3734=1),AND(J3734=1,I3734="SBJ"),AND(J3734=1,I3734=0)),"?IN_FOCUS",IF(J3734&lt;=2,"?ACTIVATED",IF(J3734&lt;&gt;"","?FAMILIAR",IF(F3734="NEW",IF(ISNA(VLOOKUP(E3734,#REF!,1,FALSE())),"?TYPE_IDENTIFIABLE","?REFERENTIAL"),"_")))))</f>
        <v> </v>
      </c>
      <c r="H3734" s="24" t="str">
        <f>IF(J3734&lt;&gt;1,"",IF(I3734="SBJ","CB","?"))</f>
        <v> </v>
      </c>
      <c r="I3734" s="25" t="str">
        <f>IF(OR(E3734="",E3734="!!!",F3734="NEW"),"",INDEX(B3733:B$2,-1+SUMPRODUCT(MAX(ROW(E3733:E$2)*(E3734=E3733:E$2)))))</f>
        <v> </v>
      </c>
      <c r="J3734" s="25" t="str">
        <f>IF(OR(E3734="",E3734="!!!",F3734="NEW"),"",COUNTBLANK(OFFSET(A$1,,,SUMPRODUCT(MAX(ROW(E$2:E3734)*(E3734=E$2:E3734)))))-COUNTBLANK(OFFSET(A$1,,,SUMPRODUCT(MAX(ROW(E$1:E3733)*(E2=E$1:E3733))))))</f>
        <v> </v>
      </c>
      <c r="K3734" s="25" t="str">
        <f>IF(OR(E3734="",E3734="!!!",F3734="NEW"),"",INDEX(J$1:J3733,SUMPRODUCT(MAX(ROW(E$1:E3733)*(E3734=E$1:E3733)))))</f>
        <v> </v>
      </c>
      <c r="L3734" s="26"/>
    </row>
    <row r="3735" spans="1:12">
      <c r="A3735" s="20" t="s">
        <v>817</v>
      </c>
      <c r="B3735" s="27" t="s">
        <v>764</v>
      </c>
      <c r="E3735" s="21">
        <f>IF(D3735="?OLD","!!!","")</f>
        <v/>
      </c>
      <c r="F3735" s="22" t="str">
        <f>IF(OR(E3735="",E3735="!!!"),"",IF(NOT(ISNA(VLOOKUP(E3735,E$1:E3734,1,FALSE()))),"OLD",IF(AND(E3735&lt;&gt;"",E3735&lt;&gt;"!!!"),"NEW","")))</f>
        <v> </v>
      </c>
      <c r="G3735" s="23" t="str">
        <f>IF(OR(E3735="",E3735="!!!"),"",IF(OR(J3735=0,AND(J3735=1,K3735=1),AND(J3735=1,I3735="SBJ"),AND(J3735=1,I3735=0)),"?IN_FOCUS",IF(J3735&lt;=2,"?ACTIVATED",IF(J3735&lt;&gt;"","?FAMILIAR",IF(F3735="NEW",IF(ISNA(VLOOKUP(E3735,#REF!,1,FALSE())),"?TYPE_IDENTIFIABLE","?REFERENTIAL"),"_")))))</f>
        <v> </v>
      </c>
      <c r="H3735" s="24" t="str">
        <f>IF(J3735&lt;&gt;1,"",IF(I3735="SBJ","CB","?"))</f>
        <v> </v>
      </c>
      <c r="I3735" s="25" t="str">
        <f>IF(OR(E3735="",E3735="!!!",F3735="NEW"),"",INDEX(B3734:B$2,-1+SUMPRODUCT(MAX(ROW(E3734:E$2)*(E3735=E3734:E$2)))))</f>
        <v> </v>
      </c>
      <c r="J3735" s="25" t="str">
        <f>IF(OR(E3735="",E3735="!!!",F3735="NEW"),"",COUNTBLANK(OFFSET(A$1,,,SUMPRODUCT(MAX(ROW(E$2:E3735)*(E3735=E$2:E3735)))))-COUNTBLANK(OFFSET(A$1,,,SUMPRODUCT(MAX(ROW(E$1:E3734)*(E2=E$1:E3734))))))</f>
        <v> </v>
      </c>
      <c r="K3735" s="25" t="str">
        <f>IF(OR(E3735="",E3735="!!!",F3735="NEW"),"",INDEX(J$1:J3734,SUMPRODUCT(MAX(ROW(E$1:E3734)*(E3735=E$1:E3734)))))</f>
        <v> </v>
      </c>
      <c r="L3735" s="26"/>
    </row>
    <row r="3736" spans="1:12">
      <c r="A3736" s="20" t="s">
        <v>1874</v>
      </c>
      <c r="E3736" s="21">
        <f>IF(D3736="?OLD","!!!","")</f>
        <v/>
      </c>
      <c r="F3736" s="22" t="str">
        <f>IF(OR(E3736="",E3736="!!!"),"",IF(NOT(ISNA(VLOOKUP(E3736,E$1:E3735,1,FALSE()))),"OLD",IF(AND(E3736&lt;&gt;"",E3736&lt;&gt;"!!!"),"NEW","")))</f>
        <v> </v>
      </c>
      <c r="G3736" s="23" t="str">
        <f>IF(OR(E3736="",E3736="!!!"),"",IF(OR(J3736=0,AND(J3736=1,K3736=1),AND(J3736=1,I3736="SBJ"),AND(J3736=1,I3736=0)),"?IN_FOCUS",IF(J3736&lt;=2,"?ACTIVATED",IF(J3736&lt;&gt;"","?FAMILIAR",IF(F3736="NEW",IF(ISNA(VLOOKUP(E3736,#REF!,1,FALSE())),"?TYPE_IDENTIFIABLE","?REFERENTIAL"),"_")))))</f>
        <v> </v>
      </c>
      <c r="H3736" s="24" t="str">
        <f>IF(J3736&lt;&gt;1,"",IF(I3736="SBJ","CB","?"))</f>
        <v> </v>
      </c>
      <c r="I3736" s="25" t="str">
        <f>IF(OR(E3736="",E3736="!!!",F3736="NEW"),"",INDEX(B3735:B$2,-1+SUMPRODUCT(MAX(ROW(E3735:E$2)*(E3736=E3735:E$2)))))</f>
        <v> </v>
      </c>
      <c r="J3736" s="25" t="str">
        <f>IF(OR(E3736="",E3736="!!!",F3736="NEW"),"",COUNTBLANK(OFFSET(A$1,,,SUMPRODUCT(MAX(ROW(E$2:E3736)*(E3736=E$2:E3736)))))-COUNTBLANK(OFFSET(A$1,,,SUMPRODUCT(MAX(ROW(E$1:E3735)*(E2=E$1:E3735))))))</f>
        <v> </v>
      </c>
      <c r="K3736" s="25" t="str">
        <f>IF(OR(E3736="",E3736="!!!",F3736="NEW"),"",INDEX(J$1:J3735,SUMPRODUCT(MAX(ROW(E$1:E3735)*(E3736=E$1:E3735)))))</f>
        <v> </v>
      </c>
      <c r="L3736" s="26"/>
    </row>
    <row r="3737" spans="1:12">
      <c r="A3737" s="20" t="s">
        <v>797</v>
      </c>
      <c r="E3737" s="21">
        <f>IF(D3737="?OLD","!!!","")</f>
        <v/>
      </c>
      <c r="F3737" s="22" t="str">
        <f>IF(OR(E3737="",E3737="!!!"),"",IF(NOT(ISNA(VLOOKUP(E3737,E$1:E3736,1,FALSE()))),"OLD",IF(AND(E3737&lt;&gt;"",E3737&lt;&gt;"!!!"),"NEW","")))</f>
        <v> </v>
      </c>
      <c r="G3737" s="23" t="str">
        <f>IF(OR(E3737="",E3737="!!!"),"",IF(OR(J3737=0,AND(J3737=1,K3737=1),AND(J3737=1,I3737="SBJ"),AND(J3737=1,I3737=0)),"?IN_FOCUS",IF(J3737&lt;=2,"?ACTIVATED",IF(J3737&lt;&gt;"","?FAMILIAR",IF(F3737="NEW",IF(ISNA(VLOOKUP(E3737,#REF!,1,FALSE())),"?TYPE_IDENTIFIABLE","?REFERENTIAL"),"_")))))</f>
        <v> </v>
      </c>
      <c r="H3737" s="24" t="str">
        <f>IF(J3737&lt;&gt;1,"",IF(I3737="SBJ","CB","?"))</f>
        <v> </v>
      </c>
      <c r="I3737" s="25" t="str">
        <f>IF(OR(E3737="",E3737="!!!",F3737="NEW"),"",INDEX(B3736:B$2,-1+SUMPRODUCT(MAX(ROW(E3736:E$2)*(E3737=E3736:E$2)))))</f>
        <v> </v>
      </c>
      <c r="J3737" s="25" t="str">
        <f>IF(OR(E3737="",E3737="!!!",F3737="NEW"),"",COUNTBLANK(OFFSET(A$1,,,SUMPRODUCT(MAX(ROW(E$2:E3737)*(E3737=E$2:E3737)))))-COUNTBLANK(OFFSET(A$1,,,SUMPRODUCT(MAX(ROW(E$1:E3736)*(E2=E$1:E3736))))))</f>
        <v> </v>
      </c>
      <c r="K3737" s="25" t="str">
        <f>IF(OR(E3737="",E3737="!!!",F3737="NEW"),"",INDEX(J$1:J3736,SUMPRODUCT(MAX(ROW(E$1:E3736)*(E3737=E$1:E3736)))))</f>
        <v> </v>
      </c>
      <c r="L3737" s="26"/>
    </row>
    <row r="3738" spans="1:12">
      <c r="A3738" s="20" t="s">
        <v>726</v>
      </c>
      <c r="E3738" s="21">
        <f>IF(D3738="?OLD","!!!","")</f>
        <v/>
      </c>
      <c r="F3738" s="22" t="str">
        <f>IF(OR(E3738="",E3738="!!!"),"",IF(NOT(ISNA(VLOOKUP(E3738,E$1:E3737,1,FALSE()))),"OLD",IF(AND(E3738&lt;&gt;"",E3738&lt;&gt;"!!!"),"NEW","")))</f>
        <v> </v>
      </c>
      <c r="G3738" s="23" t="str">
        <f>IF(OR(E3738="",E3738="!!!"),"",IF(OR(J3738=0,AND(J3738=1,K3738=1),AND(J3738=1,I3738="SBJ"),AND(J3738=1,I3738=0)),"?IN_FOCUS",IF(J3738&lt;=2,"?ACTIVATED",IF(J3738&lt;&gt;"","?FAMILIAR",IF(F3738="NEW",IF(ISNA(VLOOKUP(E3738,#REF!,1,FALSE())),"?TYPE_IDENTIFIABLE","?REFERENTIAL"),"_")))))</f>
        <v> </v>
      </c>
      <c r="H3738" s="24" t="str">
        <f>IF(J3738&lt;&gt;1,"",IF(I3738="SBJ","CB","?"))</f>
        <v> </v>
      </c>
      <c r="I3738" s="25" t="str">
        <f>IF(OR(E3738="",E3738="!!!",F3738="NEW"),"",INDEX(B3737:B$2,-1+SUMPRODUCT(MAX(ROW(E3737:E$2)*(E3738=E3737:E$2)))))</f>
        <v> </v>
      </c>
      <c r="J3738" s="25" t="str">
        <f>IF(OR(E3738="",E3738="!!!",F3738="NEW"),"",COUNTBLANK(OFFSET(A$1,,,SUMPRODUCT(MAX(ROW(E$2:E3738)*(E3738=E$2:E3738)))))-COUNTBLANK(OFFSET(A$1,,,SUMPRODUCT(MAX(ROW(E$1:E3737)*(E2=E$1:E3737))))))</f>
        <v> </v>
      </c>
      <c r="K3738" s="25" t="str">
        <f>IF(OR(E3738="",E3738="!!!",F3738="NEW"),"",INDEX(J$1:J3737,SUMPRODUCT(MAX(ROW(E$1:E3737)*(E3738=E$1:E3737)))))</f>
        <v> </v>
      </c>
      <c r="L3738" s="26"/>
    </row>
    <row r="3739" spans="1:12">
      <c r="A3739" s="20" t="s">
        <v>1875</v>
      </c>
      <c r="E3739" s="21">
        <f>IF(D3739="?OLD","!!!","")</f>
        <v/>
      </c>
      <c r="F3739" s="22" t="str">
        <f>IF(OR(E3739="",E3739="!!!"),"",IF(NOT(ISNA(VLOOKUP(E3739,E$1:E3738,1,FALSE()))),"OLD",IF(AND(E3739&lt;&gt;"",E3739&lt;&gt;"!!!"),"NEW","")))</f>
        <v> </v>
      </c>
      <c r="G3739" s="23" t="str">
        <f>IF(OR(E3739="",E3739="!!!"),"",IF(OR(J3739=0,AND(J3739=1,K3739=1),AND(J3739=1,I3739="SBJ"),AND(J3739=1,I3739=0)),"?IN_FOCUS",IF(J3739&lt;=2,"?ACTIVATED",IF(J3739&lt;&gt;"","?FAMILIAR",IF(F3739="NEW",IF(ISNA(VLOOKUP(E3739,#REF!,1,FALSE())),"?TYPE_IDENTIFIABLE","?REFERENTIAL"),"_")))))</f>
        <v> </v>
      </c>
      <c r="H3739" s="24" t="str">
        <f>IF(J3739&lt;&gt;1,"",IF(I3739="SBJ","CB","?"))</f>
        <v> </v>
      </c>
      <c r="I3739" s="25" t="str">
        <f>IF(OR(E3739="",E3739="!!!",F3739="NEW"),"",INDEX(B3738:B$2,-1+SUMPRODUCT(MAX(ROW(E3738:E$2)*(E3739=E3738:E$2)))))</f>
        <v> </v>
      </c>
      <c r="J3739" s="25" t="str">
        <f>IF(OR(E3739="",E3739="!!!",F3739="NEW"),"",COUNTBLANK(OFFSET(A$1,,,SUMPRODUCT(MAX(ROW(E$2:E3739)*(E3739=E$2:E3739)))))-COUNTBLANK(OFFSET(A$1,,,SUMPRODUCT(MAX(ROW(E$1:E3738)*(E2=E$1:E3738))))))</f>
        <v> </v>
      </c>
      <c r="K3739" s="25" t="str">
        <f>IF(OR(E3739="",E3739="!!!",F3739="NEW"),"",INDEX(J$1:J3738,SUMPRODUCT(MAX(ROW(E$1:E3738)*(E3739=E$1:E3738)))))</f>
        <v> </v>
      </c>
      <c r="L3739" s="26"/>
    </row>
    <row r="3740" spans="1:12">
      <c r="A3740" s="20" t="s">
        <v>1876</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1877</v>
      </c>
      <c r="B3741" s="27" t="s">
        <v>787</v>
      </c>
      <c r="C3741" s="27" t="s">
        <v>734</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1878</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912</v>
      </c>
      <c r="B3743" s="27" t="s">
        <v>935</v>
      </c>
      <c r="C3743" s="27" t="s">
        <v>749</v>
      </c>
      <c r="D3743" s="27" t="s">
        <v>740</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836</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726</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row>
    <row r="3747" spans="1:12">
      <c r="A3747" s="20" t="s">
        <v>1879</v>
      </c>
    </row>
    <row r="3748" spans="1:12">
      <c r="A3748" s="20" t="s">
        <v>1040</v>
      </c>
      <c r="B3748" s="27" t="s">
        <v>728</v>
      </c>
      <c r="C3748" s="27" t="s">
        <v>749</v>
      </c>
      <c r="D3748" s="27" t="s">
        <v>740</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t="s">
        <v>735</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t="s">
        <v>817</v>
      </c>
      <c r="B3750" s="27" t="s">
        <v>738</v>
      </c>
      <c r="E3750" s="21">
        <f>IF(D3750="?OLD","!!!","")</f>
        <v/>
      </c>
      <c r="F3750" s="22" t="str">
        <f>IF(OR(E3750="",E3750="!!!"),"",IF(NOT(ISNA(VLOOKUP(E3750,E$1:E3749,1,FALSE()))),"OLD",IF(AND(E3750&lt;&gt;"",E3750&lt;&gt;"!!!"),"NEW","")))</f>
        <v> </v>
      </c>
      <c r="G3750" s="23" t="str">
        <f>IF(OR(E3750="",E3750="!!!"),"",IF(OR(J3750=0,AND(J3750=1,K3750=1),AND(J3750=1,I3750="SBJ"),AND(J3750=1,I3750=0)),"?IN_FOCUS",IF(J3750&lt;=2,"?ACTIVATED",IF(J3750&lt;&gt;"","?FAMILIAR",IF(F3750="NEW",IF(ISNA(VLOOKUP(E3750,#REF!,1,FALSE())),"?TYPE_IDENTIFIABLE","?REFERENTIAL"),"_")))))</f>
        <v> </v>
      </c>
      <c r="H3750" s="24" t="str">
        <f>IF(J3750&lt;&gt;1,"",IF(I3750="SBJ","CB","?"))</f>
        <v> </v>
      </c>
      <c r="I3750" s="25" t="str">
        <f>IF(OR(E3750="",E3750="!!!",F3750="NEW"),"",INDEX(B3749:B$2,-1+SUMPRODUCT(MAX(ROW(E3749:E$2)*(E3750=E3749:E$2)))))</f>
        <v> </v>
      </c>
      <c r="J3750" s="25" t="str">
        <f>IF(OR(E3750="",E3750="!!!",F3750="NEW"),"",COUNTBLANK(OFFSET(A$1,,,SUMPRODUCT(MAX(ROW(E$2:E3750)*(E3750=E$2:E3750)))))-COUNTBLANK(OFFSET(A$1,,,SUMPRODUCT(MAX(ROW(E$1:E3749)*(E2=E$1:E3749))))))</f>
        <v> </v>
      </c>
      <c r="K3750" s="25" t="str">
        <f>IF(OR(E3750="",E3750="!!!",F3750="NEW"),"",INDEX(J$1:J3749,SUMPRODUCT(MAX(ROW(E$1:E3749)*(E3750=E$1:E3749)))))</f>
        <v> </v>
      </c>
      <c r="L3750" s="26"/>
    </row>
    <row r="3751" spans="1:12">
      <c r="A3751" s="20" t="s">
        <v>1880</v>
      </c>
      <c r="E3751" s="21">
        <f>IF(D3751="?OLD","!!!","")</f>
        <v/>
      </c>
      <c r="F3751" s="22" t="str">
        <f>IF(OR(E3751="",E3751="!!!"),"",IF(NOT(ISNA(VLOOKUP(E3751,E$1:E3750,1,FALSE()))),"OLD",IF(AND(E3751&lt;&gt;"",E3751&lt;&gt;"!!!"),"NEW","")))</f>
        <v> </v>
      </c>
      <c r="G3751" s="23" t="str">
        <f>IF(OR(E3751="",E3751="!!!"),"",IF(OR(J3751=0,AND(J3751=1,K3751=1),AND(J3751=1,I3751="SBJ"),AND(J3751=1,I3751=0)),"?IN_FOCUS",IF(J3751&lt;=2,"?ACTIVATED",IF(J3751&lt;&gt;"","?FAMILIAR",IF(F3751="NEW",IF(ISNA(VLOOKUP(E3751,#REF!,1,FALSE())),"?TYPE_IDENTIFIABLE","?REFERENTIAL"),"_")))))</f>
        <v> </v>
      </c>
      <c r="H3751" s="24" t="str">
        <f>IF(J3751&lt;&gt;1,"",IF(I3751="SBJ","CB","?"))</f>
        <v> </v>
      </c>
      <c r="I3751" s="25" t="str">
        <f>IF(OR(E3751="",E3751="!!!",F3751="NEW"),"",INDEX(B3750:B$2,-1+SUMPRODUCT(MAX(ROW(E3750:E$2)*(E3751=E3750:E$2)))))</f>
        <v> </v>
      </c>
      <c r="J3751" s="25" t="str">
        <f>IF(OR(E3751="",E3751="!!!",F3751="NEW"),"",COUNTBLANK(OFFSET(A$1,,,SUMPRODUCT(MAX(ROW(E$2:E3751)*(E3751=E$2:E3751)))))-COUNTBLANK(OFFSET(A$1,,,SUMPRODUCT(MAX(ROW(E$1:E3750)*(E2=E$1:E3750))))))</f>
        <v> </v>
      </c>
      <c r="K3751" s="25" t="str">
        <f>IF(OR(E3751="",E3751="!!!",F3751="NEW"),"",INDEX(J$1:J3750,SUMPRODUCT(MAX(ROW(E$1:E3750)*(E3751=E$1:E3750)))))</f>
        <v> </v>
      </c>
      <c r="L3751" s="26"/>
    </row>
    <row r="3752" spans="1:12">
      <c r="A3752" s="20" t="s">
        <v>753</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t="s">
        <v>860</v>
      </c>
      <c r="E3753" s="21">
        <f>IF(D3753="?OLD","!!!","")</f>
        <v/>
      </c>
      <c r="F3753" s="22" t="str">
        <f>IF(OR(E3753="",E3753="!!!"),"",IF(NOT(ISNA(VLOOKUP(E3753,E$1:E3752,1,FALSE()))),"OLD",IF(AND(E3753&lt;&gt;"",E3753&lt;&gt;"!!!"),"NEW","")))</f>
        <v> </v>
      </c>
      <c r="G3753" s="23" t="str">
        <f>IF(OR(E3753="",E3753="!!!"),"",IF(OR(J3753=0,AND(J3753=1,K3753=1),AND(J3753=1,I3753="SBJ"),AND(J3753=1,I3753=0)),"?IN_FOCUS",IF(J3753&lt;=2,"?ACTIVATED",IF(J3753&lt;&gt;"","?FAMILIAR",IF(F3753="NEW",IF(ISNA(VLOOKUP(E3753,#REF!,1,FALSE())),"?TYPE_IDENTIFIABLE","?REFERENTIAL"),"_")))))</f>
        <v> </v>
      </c>
      <c r="H3753" s="24" t="str">
        <f>IF(J3753&lt;&gt;1,"",IF(I3753="SBJ","CB","?"))</f>
        <v> </v>
      </c>
      <c r="I3753" s="25" t="str">
        <f>IF(OR(E3753="",E3753="!!!",F3753="NEW"),"",INDEX(B3752:B$2,-1+SUMPRODUCT(MAX(ROW(E3752:E$2)*(E3753=E3752:E$2)))))</f>
        <v> </v>
      </c>
      <c r="J3753" s="25" t="str">
        <f>IF(OR(E3753="",E3753="!!!",F3753="NEW"),"",COUNTBLANK(OFFSET(A$1,,,SUMPRODUCT(MAX(ROW(E$2:E3753)*(E3753=E$2:E3753)))))-COUNTBLANK(OFFSET(A$1,,,SUMPRODUCT(MAX(ROW(E$1:E3752)*(E2=E$1:E3752))))))</f>
        <v> </v>
      </c>
      <c r="K3753" s="25" t="str">
        <f>IF(OR(E3753="",E3753="!!!",F3753="NEW"),"",INDEX(J$1:J3752,SUMPRODUCT(MAX(ROW(E$1:E3752)*(E3753=E$1:E3752)))))</f>
        <v> </v>
      </c>
      <c r="L3753" s="26"/>
    </row>
    <row r="3754" spans="1:12">
      <c r="A3754" s="20" t="s">
        <v>1165</v>
      </c>
      <c r="E3754" s="21">
        <f>IF(D3754="?OLD","!!!","")</f>
        <v/>
      </c>
      <c r="F3754" s="22" t="str">
        <f>IF(OR(E3754="",E3754="!!!"),"",IF(NOT(ISNA(VLOOKUP(E3754,E$1:E3753,1,FALSE()))),"OLD",IF(AND(E3754&lt;&gt;"",E3754&lt;&gt;"!!!"),"NEW","")))</f>
        <v> </v>
      </c>
      <c r="G3754" s="23" t="str">
        <f>IF(OR(E3754="",E3754="!!!"),"",IF(OR(J3754=0,AND(J3754=1,K3754=1),AND(J3754=1,I3754="SBJ"),AND(J3754=1,I3754=0)),"?IN_FOCUS",IF(J3754&lt;=2,"?ACTIVATED",IF(J3754&lt;&gt;"","?FAMILIAR",IF(F3754="NEW",IF(ISNA(VLOOKUP(E3754,#REF!,1,FALSE())),"?TYPE_IDENTIFIABLE","?REFERENTIAL"),"_")))))</f>
        <v> </v>
      </c>
      <c r="H3754" s="24" t="str">
        <f>IF(J3754&lt;&gt;1,"",IF(I3754="SBJ","CB","?"))</f>
        <v> </v>
      </c>
      <c r="I3754" s="25" t="str">
        <f>IF(OR(E3754="",E3754="!!!",F3754="NEW"),"",INDEX(B3753:B$2,-1+SUMPRODUCT(MAX(ROW(E3753:E$2)*(E3754=E3753:E$2)))))</f>
        <v> </v>
      </c>
      <c r="J3754" s="25" t="str">
        <f>IF(OR(E3754="",E3754="!!!",F3754="NEW"),"",COUNTBLANK(OFFSET(A$1,,,SUMPRODUCT(MAX(ROW(E$2:E3754)*(E3754=E$2:E3754)))))-COUNTBLANK(OFFSET(A$1,,,SUMPRODUCT(MAX(ROW(E$1:E3753)*(E2=E$1:E3753))))))</f>
        <v> </v>
      </c>
      <c r="K3754" s="25" t="str">
        <f>IF(OR(E3754="",E3754="!!!",F3754="NEW"),"",INDEX(J$1:J3753,SUMPRODUCT(MAX(ROW(E$1:E3753)*(E3754=E$1:E3753)))))</f>
        <v> </v>
      </c>
      <c r="L3754" s="26"/>
    </row>
    <row r="3755" spans="1:12">
      <c r="A3755" s="20" t="s">
        <v>1463</v>
      </c>
      <c r="B3755" s="27" t="s">
        <v>787</v>
      </c>
      <c r="C3755" s="27" t="s">
        <v>772</v>
      </c>
      <c r="E3755" s="21">
        <f>IF(D3755="?OLD","!!!","")</f>
        <v/>
      </c>
      <c r="F3755" s="22" t="str">
        <f>IF(OR(E3755="",E3755="!!!"),"",IF(NOT(ISNA(VLOOKUP(E3755,E$1:E3754,1,FALSE()))),"OLD",IF(AND(E3755&lt;&gt;"",E3755&lt;&gt;"!!!"),"NEW","")))</f>
        <v> </v>
      </c>
      <c r="G3755" s="23" t="str">
        <f>IF(OR(E3755="",E3755="!!!"),"",IF(OR(J3755=0,AND(J3755=1,K3755=1),AND(J3755=1,I3755="SBJ"),AND(J3755=1,I3755=0)),"?IN_FOCUS",IF(J3755&lt;=2,"?ACTIVATED",IF(J3755&lt;&gt;"","?FAMILIAR",IF(F3755="NEW",IF(ISNA(VLOOKUP(E3755,#REF!,1,FALSE())),"?TYPE_IDENTIFIABLE","?REFERENTIAL"),"_")))))</f>
        <v> </v>
      </c>
      <c r="H3755" s="24" t="str">
        <f>IF(J3755&lt;&gt;1,"",IF(I3755="SBJ","CB","?"))</f>
        <v> </v>
      </c>
      <c r="I3755" s="25" t="str">
        <f>IF(OR(E3755="",E3755="!!!",F3755="NEW"),"",INDEX(B3754:B$2,-1+SUMPRODUCT(MAX(ROW(E3754:E$2)*(E3755=E3754:E$2)))))</f>
        <v> </v>
      </c>
      <c r="J3755" s="25" t="str">
        <f>IF(OR(E3755="",E3755="!!!",F3755="NEW"),"",COUNTBLANK(OFFSET(A$1,,,SUMPRODUCT(MAX(ROW(E$2:E3755)*(E3755=E$2:E3755)))))-COUNTBLANK(OFFSET(A$1,,,SUMPRODUCT(MAX(ROW(E$1:E3754)*(E2=E$1:E3754))))))</f>
        <v> </v>
      </c>
      <c r="K3755" s="25" t="str">
        <f>IF(OR(E3755="",E3755="!!!",F3755="NEW"),"",INDEX(J$1:J3754,SUMPRODUCT(MAX(ROW(E$1:E3754)*(E3755=E$1:E3754)))))</f>
        <v> </v>
      </c>
      <c r="L3755" s="26"/>
    </row>
    <row r="3756" spans="1:12">
      <c r="A3756" s="20" t="s">
        <v>1025</v>
      </c>
      <c r="B3756" s="27" t="s">
        <v>787</v>
      </c>
      <c r="C3756" s="27" t="s">
        <v>792</v>
      </c>
      <c r="D3756" s="27" t="s">
        <v>740</v>
      </c>
      <c r="E3756" s="21">
        <f>IF(D3756="?OLD","!!!","")</f>
        <v/>
      </c>
      <c r="F3756" s="22" t="str">
        <f>IF(OR(E3756="",E3756="!!!"),"",IF(NOT(ISNA(VLOOKUP(E3756,E$1:E3755,1,FALSE()))),"OLD",IF(AND(E3756&lt;&gt;"",E3756&lt;&gt;"!!!"),"NEW","")))</f>
        <v> </v>
      </c>
      <c r="G3756" s="23" t="str">
        <f>IF(OR(E3756="",E3756="!!!"),"",IF(OR(J3756=0,AND(J3756=1,K3756=1),AND(J3756=1,I3756="SBJ"),AND(J3756=1,I3756=0)),"?IN_FOCUS",IF(J3756&lt;=2,"?ACTIVATED",IF(J3756&lt;&gt;"","?FAMILIAR",IF(F3756="NEW",IF(ISNA(VLOOKUP(E3756,#REF!,1,FALSE())),"?TYPE_IDENTIFIABLE","?REFERENTIAL"),"_")))))</f>
        <v> </v>
      </c>
      <c r="H3756" s="24" t="str">
        <f>IF(J3756&lt;&gt;1,"",IF(I3756="SBJ","CB","?"))</f>
        <v> </v>
      </c>
      <c r="I3756" s="25" t="str">
        <f>IF(OR(E3756="",E3756="!!!",F3756="NEW"),"",INDEX(B3755:B$2,-1+SUMPRODUCT(MAX(ROW(E3755:E$2)*(E3756=E3755:E$2)))))</f>
        <v> </v>
      </c>
      <c r="J3756" s="25" t="str">
        <f>IF(OR(E3756="",E3756="!!!",F3756="NEW"),"",COUNTBLANK(OFFSET(A$1,,,SUMPRODUCT(MAX(ROW(E$2:E3756)*(E3756=E$2:E3756)))))-COUNTBLANK(OFFSET(A$1,,,SUMPRODUCT(MAX(ROW(E$1:E3755)*(E2=E$1:E3755))))))</f>
        <v> </v>
      </c>
      <c r="K3756" s="25" t="str">
        <f>IF(OR(E3756="",E3756="!!!",F3756="NEW"),"",INDEX(J$1:J3755,SUMPRODUCT(MAX(ROW(E$1:E3755)*(E3756=E$1:E3755)))))</f>
        <v> </v>
      </c>
      <c r="L3756" s="26"/>
    </row>
    <row r="3757" spans="1:12">
      <c r="A3757" s="20" t="s">
        <v>1863</v>
      </c>
      <c r="B3757" s="27" t="s">
        <v>795</v>
      </c>
      <c r="C3757" s="27" t="s">
        <v>908</v>
      </c>
      <c r="D3757" s="27" t="s">
        <v>740</v>
      </c>
      <c r="E3757" s="21">
        <f>IF(D3757="?OLD","!!!","")</f>
        <v/>
      </c>
      <c r="F3757" s="22" t="str">
        <f>IF(OR(E3757="",E3757="!!!"),"",IF(NOT(ISNA(VLOOKUP(E3757,E$1:E3756,1,FALSE()))),"OLD",IF(AND(E3757&lt;&gt;"",E3757&lt;&gt;"!!!"),"NEW","")))</f>
        <v> </v>
      </c>
      <c r="G3757" s="23" t="str">
        <f>IF(OR(E3757="",E3757="!!!"),"",IF(OR(J3757=0,AND(J3757=1,K3757=1),AND(J3757=1,I3757="SBJ"),AND(J3757=1,I3757=0)),"?IN_FOCUS",IF(J3757&lt;=2,"?ACTIVATED",IF(J3757&lt;&gt;"","?FAMILIAR",IF(F3757="NEW",IF(ISNA(VLOOKUP(E3757,#REF!,1,FALSE())),"?TYPE_IDENTIFIABLE","?REFERENTIAL"),"_")))))</f>
        <v> </v>
      </c>
      <c r="H3757" s="24" t="str">
        <f>IF(J3757&lt;&gt;1,"",IF(I3757="SBJ","CB","?"))</f>
        <v> </v>
      </c>
      <c r="I3757" s="25" t="str">
        <f>IF(OR(E3757="",E3757="!!!",F3757="NEW"),"",INDEX(B3756:B$2,-1+SUMPRODUCT(MAX(ROW(E3756:E$2)*(E3757=E3756:E$2)))))</f>
        <v> </v>
      </c>
      <c r="J3757" s="25" t="str">
        <f>IF(OR(E3757="",E3757="!!!",F3757="NEW"),"",COUNTBLANK(OFFSET(A$1,,,SUMPRODUCT(MAX(ROW(E$2:E3757)*(E3757=E$2:E3757)))))-COUNTBLANK(OFFSET(A$1,,,SUMPRODUCT(MAX(ROW(E$1:E3756)*(E2=E$1:E3756))))))</f>
        <v> </v>
      </c>
      <c r="K3757" s="25" t="str">
        <f>IF(OR(E3757="",E3757="!!!",F3757="NEW"),"",INDEX(J$1:J3756,SUMPRODUCT(MAX(ROW(E$1:E3756)*(E3757=E$1:E3756)))))</f>
        <v> </v>
      </c>
      <c r="L3757" s="26"/>
    </row>
    <row r="3758" spans="1:12">
      <c r="A3758" s="20" t="s">
        <v>991</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817</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t="s">
        <v>1881</v>
      </c>
      <c r="E3760" s="21">
        <f>IF(D3760="?OLD","!!!","")</f>
        <v/>
      </c>
      <c r="F3760" s="22" t="str">
        <f>IF(OR(E3760="",E3760="!!!"),"",IF(NOT(ISNA(VLOOKUP(E3760,E$1:E3759,1,FALSE()))),"OLD",IF(AND(E3760&lt;&gt;"",E3760&lt;&gt;"!!!"),"NEW","")))</f>
        <v> </v>
      </c>
      <c r="G3760" s="23" t="str">
        <f>IF(OR(E3760="",E3760="!!!"),"",IF(OR(J3760=0,AND(J3760=1,K3760=1),AND(J3760=1,I3760="SBJ"),AND(J3760=1,I3760=0)),"?IN_FOCUS",IF(J3760&lt;=2,"?ACTIVATED",IF(J3760&lt;&gt;"","?FAMILIAR",IF(F3760="NEW",IF(ISNA(VLOOKUP(E3760,#REF!,1,FALSE())),"?TYPE_IDENTIFIABLE","?REFERENTIAL"),"_")))))</f>
        <v> </v>
      </c>
      <c r="H3760" s="24" t="str">
        <f>IF(J3760&lt;&gt;1,"",IF(I3760="SBJ","CB","?"))</f>
        <v> </v>
      </c>
      <c r="I3760" s="25" t="str">
        <f>IF(OR(E3760="",E3760="!!!",F3760="NEW"),"",INDEX(B3759:B$2,-1+SUMPRODUCT(MAX(ROW(E3759:E$2)*(E3760=E3759:E$2)))))</f>
        <v> </v>
      </c>
      <c r="J3760" s="25" t="str">
        <f>IF(OR(E3760="",E3760="!!!",F3760="NEW"),"",COUNTBLANK(OFFSET(A$1,,,SUMPRODUCT(MAX(ROW(E$2:E3760)*(E3760=E$2:E3760)))))-COUNTBLANK(OFFSET(A$1,,,SUMPRODUCT(MAX(ROW(E$1:E3759)*(E2=E$1:E3759))))))</f>
        <v> </v>
      </c>
      <c r="K3760" s="25" t="str">
        <f>IF(OR(E3760="",E3760="!!!",F3760="NEW"),"",INDEX(J$1:J3759,SUMPRODUCT(MAX(ROW(E$1:E3759)*(E3760=E$1:E3759)))))</f>
        <v> </v>
      </c>
      <c r="L3760" s="26"/>
    </row>
    <row r="3761" spans="1:12">
      <c r="A3761" s="20" t="s">
        <v>750</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t="s">
        <v>759</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919</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1882</v>
      </c>
      <c r="B3764" s="27" t="s">
        <v>787</v>
      </c>
      <c r="C3764" s="27" t="s">
        <v>772</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938</v>
      </c>
      <c r="B3765" s="27" t="s">
        <v>795</v>
      </c>
      <c r="C3765" s="27" t="s">
        <v>734</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t="s">
        <v>1480</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t="s">
        <v>751</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1883</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1884</v>
      </c>
      <c r="B3769" s="27" t="s">
        <v>771</v>
      </c>
      <c r="C3769" s="27" t="s">
        <v>744</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753</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919</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1882</v>
      </c>
      <c r="B3772" s="27" t="s">
        <v>1027</v>
      </c>
      <c r="C3772" s="27" t="s">
        <v>772</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t="s">
        <v>751</v>
      </c>
      <c r="E3773" s="21">
        <f>IF(D3773="?OLD","!!!","")</f>
        <v/>
      </c>
      <c r="F3773" s="22" t="str">
        <f>IF(OR(E3773="",E3773="!!!"),"",IF(NOT(ISNA(VLOOKUP(E3773,E$1:E3772,1,FALSE()))),"OLD",IF(AND(E3773&lt;&gt;"",E3773&lt;&gt;"!!!"),"NEW","")))</f>
        <v> </v>
      </c>
      <c r="G3773" s="23" t="str">
        <f>IF(OR(E3773="",E3773="!!!"),"",IF(OR(J3773=0,AND(J3773=1,K3773=1),AND(J3773=1,I3773="SBJ"),AND(J3773=1,I3773=0)),"?IN_FOCUS",IF(J3773&lt;=2,"?ACTIVATED",IF(J3773&lt;&gt;"","?FAMILIAR",IF(F3773="NEW",IF(ISNA(VLOOKUP(E3773,#REF!,1,FALSE())),"?TYPE_IDENTIFIABLE","?REFERENTIAL"),"_")))))</f>
        <v> </v>
      </c>
      <c r="H3773" s="24" t="str">
        <f>IF(J3773&lt;&gt;1,"",IF(I3773="SBJ","CB","?"))</f>
        <v> </v>
      </c>
      <c r="I3773" s="25" t="str">
        <f>IF(OR(E3773="",E3773="!!!",F3773="NEW"),"",INDEX(B3772:B$2,-1+SUMPRODUCT(MAX(ROW(E3772:E$2)*(E3773=E3772:E$2)))))</f>
        <v> </v>
      </c>
      <c r="J3773" s="25" t="str">
        <f>IF(OR(E3773="",E3773="!!!",F3773="NEW"),"",COUNTBLANK(OFFSET(A$1,,,SUMPRODUCT(MAX(ROW(E$2:E3773)*(E3773=E$2:E3773)))))-COUNTBLANK(OFFSET(A$1,,,SUMPRODUCT(MAX(ROW(E$1:E3772)*(E2=E$1:E3772))))))</f>
        <v> </v>
      </c>
      <c r="K3773" s="25" t="str">
        <f>IF(OR(E3773="",E3773="!!!",F3773="NEW"),"",INDEX(J$1:J3772,SUMPRODUCT(MAX(ROW(E$1:E3772)*(E3773=E$1:E3772)))))</f>
        <v> </v>
      </c>
      <c r="L3773" s="26"/>
    </row>
    <row r="3774" spans="1:12">
      <c r="A3774" s="20" t="s">
        <v>924</v>
      </c>
      <c r="B3774" s="27" t="s">
        <v>935</v>
      </c>
      <c r="C3774" s="27" t="s">
        <v>744</v>
      </c>
      <c r="E3774" s="21">
        <f>IF(D3774="?OLD","!!!","")</f>
        <v/>
      </c>
      <c r="F3774" s="22" t="str">
        <f>IF(OR(E3774="",E3774="!!!"),"",IF(NOT(ISNA(VLOOKUP(E3774,E$1:E3773,1,FALSE()))),"OLD",IF(AND(E3774&lt;&gt;"",E3774&lt;&gt;"!!!"),"NEW","")))</f>
        <v> </v>
      </c>
      <c r="G3774" s="23" t="str">
        <f>IF(OR(E3774="",E3774="!!!"),"",IF(OR(J3774=0,AND(J3774=1,K3774=1),AND(J3774=1,I3774="SBJ"),AND(J3774=1,I3774=0)),"?IN_FOCUS",IF(J3774&lt;=2,"?ACTIVATED",IF(J3774&lt;&gt;"","?FAMILIAR",IF(F3774="NEW",IF(ISNA(VLOOKUP(E3774,#REF!,1,FALSE())),"?TYPE_IDENTIFIABLE","?REFERENTIAL"),"_")))))</f>
        <v> </v>
      </c>
      <c r="H3774" s="24" t="str">
        <f>IF(J3774&lt;&gt;1,"",IF(I3774="SBJ","CB","?"))</f>
        <v> </v>
      </c>
      <c r="I3774" s="25" t="str">
        <f>IF(OR(E3774="",E3774="!!!",F3774="NEW"),"",INDEX(B3773:B$2,-1+SUMPRODUCT(MAX(ROW(E3773:E$2)*(E3774=E3773:E$2)))))</f>
        <v> </v>
      </c>
      <c r="J3774" s="25" t="str">
        <f>IF(OR(E3774="",E3774="!!!",F3774="NEW"),"",COUNTBLANK(OFFSET(A$1,,,SUMPRODUCT(MAX(ROW(E$2:E3774)*(E3774=E$2:E3774)))))-COUNTBLANK(OFFSET(A$1,,,SUMPRODUCT(MAX(ROW(E$1:E3773)*(E2=E$1:E3773))))))</f>
        <v> </v>
      </c>
      <c r="K3774" s="25" t="str">
        <f>IF(OR(E3774="",E3774="!!!",F3774="NEW"),"",INDEX(J$1:J3773,SUMPRODUCT(MAX(ROW(E$1:E3773)*(E3774=E$1:E3773)))))</f>
        <v> </v>
      </c>
      <c r="L3774" s="26"/>
    </row>
    <row r="3775" spans="1:12">
      <c r="A3775" s="20" t="s">
        <v>753</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t="s">
        <v>791</v>
      </c>
      <c r="E3776" s="21">
        <f>IF(D3776="?OLD","!!!","")</f>
        <v/>
      </c>
      <c r="F3776" s="22" t="str">
        <f>IF(OR(E3776="",E3776="!!!"),"",IF(NOT(ISNA(VLOOKUP(E3776,E$1:E3775,1,FALSE()))),"OLD",IF(AND(E3776&lt;&gt;"",E3776&lt;&gt;"!!!"),"NEW","")))</f>
        <v> </v>
      </c>
      <c r="G3776" s="23" t="str">
        <f>IF(OR(E3776="",E3776="!!!"),"",IF(OR(J3776=0,AND(J3776=1,K3776=1),AND(J3776=1,I3776="SBJ"),AND(J3776=1,I3776=0)),"?IN_FOCUS",IF(J3776&lt;=2,"?ACTIVATED",IF(J3776&lt;&gt;"","?FAMILIAR",IF(F3776="NEW",IF(ISNA(VLOOKUP(E3776,#REF!,1,FALSE())),"?TYPE_IDENTIFIABLE","?REFERENTIAL"),"_")))))</f>
        <v> </v>
      </c>
      <c r="H3776" s="24" t="str">
        <f>IF(J3776&lt;&gt;1,"",IF(I3776="SBJ","CB","?"))</f>
        <v> </v>
      </c>
      <c r="I3776" s="25" t="str">
        <f>IF(OR(E3776="",E3776="!!!",F3776="NEW"),"",INDEX(B3775:B$2,-1+SUMPRODUCT(MAX(ROW(E3775:E$2)*(E3776=E3775:E$2)))))</f>
        <v> </v>
      </c>
      <c r="J3776" s="25" t="str">
        <f>IF(OR(E3776="",E3776="!!!",F3776="NEW"),"",COUNTBLANK(OFFSET(A$1,,,SUMPRODUCT(MAX(ROW(E$2:E3776)*(E3776=E$2:E3776)))))-COUNTBLANK(OFFSET(A$1,,,SUMPRODUCT(MAX(ROW(E$1:E3775)*(E2=E$1:E3775))))))</f>
        <v> </v>
      </c>
      <c r="K3776" s="25" t="str">
        <f>IF(OR(E3776="",E3776="!!!",F3776="NEW"),"",INDEX(J$1:J3775,SUMPRODUCT(MAX(ROW(E$1:E3775)*(E3776=E$1:E3775)))))</f>
        <v> </v>
      </c>
      <c r="L3776" s="26"/>
    </row>
    <row r="3777" spans="1:12">
      <c r="A3777" s="20" t="s">
        <v>1885</v>
      </c>
      <c r="B3777" s="27" t="s">
        <v>777</v>
      </c>
      <c r="C3777" s="27" t="s">
        <v>739</v>
      </c>
      <c r="D3777" s="27" t="s">
        <v>740</v>
      </c>
      <c r="E3777" s="21">
        <f>IF(D3777="?OLD","!!!","")</f>
        <v/>
      </c>
      <c r="F3777" s="22" t="str">
        <f>IF(OR(E3777="",E3777="!!!"),"",IF(NOT(ISNA(VLOOKUP(E3777,E$1:E3776,1,FALSE()))),"OLD",IF(AND(E3777&lt;&gt;"",E3777&lt;&gt;"!!!"),"NEW","")))</f>
        <v> </v>
      </c>
      <c r="G3777" s="23" t="str">
        <f>IF(OR(E3777="",E3777="!!!"),"",IF(OR(J3777=0,AND(J3777=1,K3777=1),AND(J3777=1,I3777="SBJ"),AND(J3777=1,I3777=0)),"?IN_FOCUS",IF(J3777&lt;=2,"?ACTIVATED",IF(J3777&lt;&gt;"","?FAMILIAR",IF(F3777="NEW",IF(ISNA(VLOOKUP(E3777,#REF!,1,FALSE())),"?TYPE_IDENTIFIABLE","?REFERENTIAL"),"_")))))</f>
        <v> </v>
      </c>
      <c r="H3777" s="24" t="str">
        <f>IF(J3777&lt;&gt;1,"",IF(I3777="SBJ","CB","?"))</f>
        <v> </v>
      </c>
      <c r="I3777" s="25" t="str">
        <f>IF(OR(E3777="",E3777="!!!",F3777="NEW"),"",INDEX(B3776:B$2,-1+SUMPRODUCT(MAX(ROW(E3776:E$2)*(E3777=E3776:E$2)))))</f>
        <v> </v>
      </c>
      <c r="J3777" s="25" t="str">
        <f>IF(OR(E3777="",E3777="!!!",F3777="NEW"),"",COUNTBLANK(OFFSET(A$1,,,SUMPRODUCT(MAX(ROW(E$2:E3777)*(E3777=E$2:E3777)))))-COUNTBLANK(OFFSET(A$1,,,SUMPRODUCT(MAX(ROW(E$1:E3776)*(E2=E$1:E3776))))))</f>
        <v> </v>
      </c>
      <c r="K3777" s="25" t="str">
        <f>IF(OR(E3777="",E3777="!!!",F3777="NEW"),"",INDEX(J$1:J3776,SUMPRODUCT(MAX(ROW(E$1:E3776)*(E3777=E$1:E3776)))))</f>
        <v> </v>
      </c>
      <c r="L3777" s="26"/>
    </row>
    <row r="3778" spans="1:12">
      <c r="A3778" s="20" t="s">
        <v>753</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t="s">
        <v>1056</v>
      </c>
      <c r="E3779" s="21">
        <f>IF(D3779="?OLD","!!!","")</f>
        <v/>
      </c>
      <c r="F3779" s="22" t="str">
        <f>IF(OR(E3779="",E3779="!!!"),"",IF(NOT(ISNA(VLOOKUP(E3779,E$1:E3778,1,FALSE()))),"OLD",IF(AND(E3779&lt;&gt;"",E3779&lt;&gt;"!!!"),"NEW","")))</f>
        <v> </v>
      </c>
      <c r="G3779" s="23" t="str">
        <f>IF(OR(E3779="",E3779="!!!"),"",IF(OR(J3779=0,AND(J3779=1,K3779=1),AND(J3779=1,I3779="SBJ"),AND(J3779=1,I3779=0)),"?IN_FOCUS",IF(J3779&lt;=2,"?ACTIVATED",IF(J3779&lt;&gt;"","?FAMILIAR",IF(F3779="NEW",IF(ISNA(VLOOKUP(E3779,#REF!,1,FALSE())),"?TYPE_IDENTIFIABLE","?REFERENTIAL"),"_")))))</f>
        <v> </v>
      </c>
      <c r="H3779" s="24" t="str">
        <f>IF(J3779&lt;&gt;1,"",IF(I3779="SBJ","CB","?"))</f>
        <v> </v>
      </c>
      <c r="I3779" s="25" t="str">
        <f>IF(OR(E3779="",E3779="!!!",F3779="NEW"),"",INDEX(B3778:B$2,-1+SUMPRODUCT(MAX(ROW(E3778:E$2)*(E3779=E3778:E$2)))))</f>
        <v> </v>
      </c>
      <c r="J3779" s="25" t="str">
        <f>IF(OR(E3779="",E3779="!!!",F3779="NEW"),"",COUNTBLANK(OFFSET(A$1,,,SUMPRODUCT(MAX(ROW(E$2:E3779)*(E3779=E$2:E3779)))))-COUNTBLANK(OFFSET(A$1,,,SUMPRODUCT(MAX(ROW(E$1:E3778)*(E2=E$1:E3778))))))</f>
        <v> </v>
      </c>
      <c r="K3779" s="25" t="str">
        <f>IF(OR(E3779="",E3779="!!!",F3779="NEW"),"",INDEX(J$1:J3778,SUMPRODUCT(MAX(ROW(E$1:E3778)*(E3779=E$1:E3778)))))</f>
        <v> </v>
      </c>
      <c r="L3779" s="26"/>
    </row>
    <row r="3780" spans="1:12">
      <c r="A3780" s="20" t="s">
        <v>1886</v>
      </c>
      <c r="E3780" s="21">
        <f>IF(D3780="?OLD","!!!","")</f>
        <v/>
      </c>
      <c r="F3780" s="22" t="str">
        <f>IF(OR(E3780="",E3780="!!!"),"",IF(NOT(ISNA(VLOOKUP(E3780,E$1:E3779,1,FALSE()))),"OLD",IF(AND(E3780&lt;&gt;"",E3780&lt;&gt;"!!!"),"NEW","")))</f>
        <v> </v>
      </c>
      <c r="G3780" s="23" t="str">
        <f>IF(OR(E3780="",E3780="!!!"),"",IF(OR(J3780=0,AND(J3780=1,K3780=1),AND(J3780=1,I3780="SBJ"),AND(J3780=1,I3780=0)),"?IN_FOCUS",IF(J3780&lt;=2,"?ACTIVATED",IF(J3780&lt;&gt;"","?FAMILIAR",IF(F3780="NEW",IF(ISNA(VLOOKUP(E3780,#REF!,1,FALSE())),"?TYPE_IDENTIFIABLE","?REFERENTIAL"),"_")))))</f>
        <v> </v>
      </c>
      <c r="H3780" s="24" t="str">
        <f>IF(J3780&lt;&gt;1,"",IF(I3780="SBJ","CB","?"))</f>
        <v> </v>
      </c>
      <c r="I3780" s="25" t="str">
        <f>IF(OR(E3780="",E3780="!!!",F3780="NEW"),"",INDEX(B3779:B$2,-1+SUMPRODUCT(MAX(ROW(E3779:E$2)*(E3780=E3779:E$2)))))</f>
        <v> </v>
      </c>
      <c r="J3780" s="25" t="str">
        <f>IF(OR(E3780="",E3780="!!!",F3780="NEW"),"",COUNTBLANK(OFFSET(A$1,,,SUMPRODUCT(MAX(ROW(E$2:E3780)*(E3780=E$2:E3780)))))-COUNTBLANK(OFFSET(A$1,,,SUMPRODUCT(MAX(ROW(E$1:E3779)*(E2=E$1:E3779))))))</f>
        <v> </v>
      </c>
      <c r="K3780" s="25" t="str">
        <f>IF(OR(E3780="",E3780="!!!",F3780="NEW"),"",INDEX(J$1:J3779,SUMPRODUCT(MAX(ROW(E$1:E3779)*(E3780=E$1:E3779)))))</f>
        <v> </v>
      </c>
      <c r="L3780" s="26"/>
    </row>
    <row r="3781" spans="1:12">
      <c r="A3781" s="20" t="s">
        <v>750</v>
      </c>
      <c r="E3781" s="21">
        <f>IF(D3781="?OLD","!!!","")</f>
        <v/>
      </c>
      <c r="F3781" s="22" t="str">
        <f>IF(OR(E3781="",E3781="!!!"),"",IF(NOT(ISNA(VLOOKUP(E3781,E$1:E3780,1,FALSE()))),"OLD",IF(AND(E3781&lt;&gt;"",E3781&lt;&gt;"!!!"),"NEW","")))</f>
        <v> </v>
      </c>
      <c r="G3781" s="23" t="str">
        <f>IF(OR(E3781="",E3781="!!!"),"",IF(OR(J3781=0,AND(J3781=1,K3781=1),AND(J3781=1,I3781="SBJ"),AND(J3781=1,I3781=0)),"?IN_FOCUS",IF(J3781&lt;=2,"?ACTIVATED",IF(J3781&lt;&gt;"","?FAMILIAR",IF(F3781="NEW",IF(ISNA(VLOOKUP(E3781,#REF!,1,FALSE())),"?TYPE_IDENTIFIABLE","?REFERENTIAL"),"_")))))</f>
        <v> </v>
      </c>
      <c r="H3781" s="24" t="str">
        <f>IF(J3781&lt;&gt;1,"",IF(I3781="SBJ","CB","?"))</f>
        <v> </v>
      </c>
      <c r="I3781" s="25" t="str">
        <f>IF(OR(E3781="",E3781="!!!",F3781="NEW"),"",INDEX(B3780:B$2,-1+SUMPRODUCT(MAX(ROW(E3780:E$2)*(E3781=E3780:E$2)))))</f>
        <v> </v>
      </c>
      <c r="J3781" s="25" t="str">
        <f>IF(OR(E3781="",E3781="!!!",F3781="NEW"),"",COUNTBLANK(OFFSET(A$1,,,SUMPRODUCT(MAX(ROW(E$2:E3781)*(E3781=E$2:E3781)))))-COUNTBLANK(OFFSET(A$1,,,SUMPRODUCT(MAX(ROW(E$1:E3780)*(E2=E$1:E3780))))))</f>
        <v> </v>
      </c>
      <c r="K3781" s="25" t="str">
        <f>IF(OR(E3781="",E3781="!!!",F3781="NEW"),"",INDEX(J$1:J3780,SUMPRODUCT(MAX(ROW(E$1:E3780)*(E3781=E$1:E3780)))))</f>
        <v> </v>
      </c>
      <c r="L3781" s="26"/>
    </row>
    <row r="3782" spans="1:12">
      <c r="A3782" s="20" t="s">
        <v>753</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t="s">
        <v>794</v>
      </c>
      <c r="B3783" s="27" t="s">
        <v>771</v>
      </c>
      <c r="C3783" s="27" t="s">
        <v>775</v>
      </c>
      <c r="D3783" s="27" t="s">
        <v>740</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1149</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t="s">
        <v>736</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183</v>
      </c>
      <c r="B3786" s="27" t="s">
        <v>733</v>
      </c>
      <c r="C3786" s="27" t="s">
        <v>739</v>
      </c>
      <c r="D3786" s="27" t="s">
        <v>740</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t="s">
        <v>1120</v>
      </c>
      <c r="E3787" s="21">
        <f>IF(D3787="?OLD","!!!","")</f>
        <v/>
      </c>
      <c r="F3787" s="22" t="str">
        <f>IF(OR(E3787="",E3787="!!!"),"",IF(NOT(ISNA(VLOOKUP(E3787,E$1:E3786,1,FALSE()))),"OLD",IF(AND(E3787&lt;&gt;"",E3787&lt;&gt;"!!!"),"NEW","")))</f>
        <v> </v>
      </c>
      <c r="G3787" s="23" t="str">
        <f>IF(OR(E3787="",E3787="!!!"),"",IF(OR(J3787=0,AND(J3787=1,K3787=1),AND(J3787=1,I3787="SBJ"),AND(J3787=1,I3787=0)),"?IN_FOCUS",IF(J3787&lt;=2,"?ACTIVATED",IF(J3787&lt;&gt;"","?FAMILIAR",IF(F3787="NEW",IF(ISNA(VLOOKUP(E3787,#REF!,1,FALSE())),"?TYPE_IDENTIFIABLE","?REFERENTIAL"),"_")))))</f>
        <v> </v>
      </c>
      <c r="H3787" s="24" t="str">
        <f>IF(J3787&lt;&gt;1,"",IF(I3787="SBJ","CB","?"))</f>
        <v> </v>
      </c>
      <c r="I3787" s="25" t="str">
        <f>IF(OR(E3787="",E3787="!!!",F3787="NEW"),"",INDEX(B3786:B$2,-1+SUMPRODUCT(MAX(ROW(E3786:E$2)*(E3787=E3786:E$2)))))</f>
        <v> </v>
      </c>
      <c r="J3787" s="25" t="str">
        <f>IF(OR(E3787="",E3787="!!!",F3787="NEW"),"",COUNTBLANK(OFFSET(A$1,,,SUMPRODUCT(MAX(ROW(E$2:E3787)*(E3787=E$2:E3787)))))-COUNTBLANK(OFFSET(A$1,,,SUMPRODUCT(MAX(ROW(E$1:E3786)*(E2=E$1:E3786))))))</f>
        <v> </v>
      </c>
      <c r="K3787" s="25" t="str">
        <f>IF(OR(E3787="",E3787="!!!",F3787="NEW"),"",INDEX(J$1:J3786,SUMPRODUCT(MAX(ROW(E$1:E3786)*(E3787=E$1:E3786)))))</f>
        <v> </v>
      </c>
      <c r="L3787" s="26"/>
    </row>
    <row r="3788" spans="1:12">
      <c r="A3788" s="20" t="s">
        <v>1887</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t="s">
        <v>1888</v>
      </c>
      <c r="B3789" s="27" t="s">
        <v>764</v>
      </c>
      <c r="C3789" s="27" t="s">
        <v>734</v>
      </c>
      <c r="E3789" s="21">
        <f>IF(D3789="?OLD","!!!","")</f>
        <v/>
      </c>
      <c r="F3789" s="22" t="str">
        <f>IF(OR(E3789="",E3789="!!!"),"",IF(NOT(ISNA(VLOOKUP(E3789,E$1:E3788,1,FALSE()))),"OLD",IF(AND(E3789&lt;&gt;"",E3789&lt;&gt;"!!!"),"NEW","")))</f>
        <v> </v>
      </c>
      <c r="G3789" s="23" t="str">
        <f>IF(OR(E3789="",E3789="!!!"),"",IF(OR(J3789=0,AND(J3789=1,K3789=1),AND(J3789=1,I3789="SBJ"),AND(J3789=1,I3789=0)),"?IN_FOCUS",IF(J3789&lt;=2,"?ACTIVATED",IF(J3789&lt;&gt;"","?FAMILIAR",IF(F3789="NEW",IF(ISNA(VLOOKUP(E3789,#REF!,1,FALSE())),"?TYPE_IDENTIFIABLE","?REFERENTIAL"),"_")))))</f>
        <v> </v>
      </c>
      <c r="H3789" s="24" t="str">
        <f>IF(J3789&lt;&gt;1,"",IF(I3789="SBJ","CB","?"))</f>
        <v> </v>
      </c>
      <c r="I3789" s="25" t="str">
        <f>IF(OR(E3789="",E3789="!!!",F3789="NEW"),"",INDEX(B3788:B$2,-1+SUMPRODUCT(MAX(ROW(E3788:E$2)*(E3789=E3788:E$2)))))</f>
        <v> </v>
      </c>
      <c r="J3789" s="25" t="str">
        <f>IF(OR(E3789="",E3789="!!!",F3789="NEW"),"",COUNTBLANK(OFFSET(A$1,,,SUMPRODUCT(MAX(ROW(E$2:E3789)*(E3789=E$2:E3789)))))-COUNTBLANK(OFFSET(A$1,,,SUMPRODUCT(MAX(ROW(E$1:E3788)*(E2=E$1:E3788))))))</f>
        <v> </v>
      </c>
      <c r="K3789" s="25" t="str">
        <f>IF(OR(E3789="",E3789="!!!",F3789="NEW"),"",INDEX(J$1:J3788,SUMPRODUCT(MAX(ROW(E$1:E3788)*(E3789=E$1:E3788)))))</f>
        <v> </v>
      </c>
      <c r="L3789" s="26"/>
    </row>
    <row r="3790" spans="1:12">
      <c r="A3790" s="20" t="s">
        <v>735</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759</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t="s">
        <v>991</v>
      </c>
      <c r="E3792" s="21">
        <f>IF(D3792="?OLD","!!!","")</f>
        <v/>
      </c>
      <c r="F3792" s="22" t="str">
        <f>IF(OR(E3792="",E3792="!!!"),"",IF(NOT(ISNA(VLOOKUP(E3792,E$1:E3791,1,FALSE()))),"OLD",IF(AND(E3792&lt;&gt;"",E3792&lt;&gt;"!!!"),"NEW","")))</f>
        <v> </v>
      </c>
      <c r="G3792" s="23" t="str">
        <f>IF(OR(E3792="",E3792="!!!"),"",IF(OR(J3792=0,AND(J3792=1,K3792=1),AND(J3792=1,I3792="SBJ"),AND(J3792=1,I3792=0)),"?IN_FOCUS",IF(J3792&lt;=2,"?ACTIVATED",IF(J3792&lt;&gt;"","?FAMILIAR",IF(F3792="NEW",IF(ISNA(VLOOKUP(E3792,#REF!,1,FALSE())),"?TYPE_IDENTIFIABLE","?REFERENTIAL"),"_")))))</f>
        <v> </v>
      </c>
      <c r="H3792" s="24" t="str">
        <f>IF(J3792&lt;&gt;1,"",IF(I3792="SBJ","CB","?"))</f>
        <v> </v>
      </c>
      <c r="I3792" s="25" t="str">
        <f>IF(OR(E3792="",E3792="!!!",F3792="NEW"),"",INDEX(B3791:B$2,-1+SUMPRODUCT(MAX(ROW(E3791:E$2)*(E3792=E3791:E$2)))))</f>
        <v> </v>
      </c>
      <c r="J3792" s="25" t="str">
        <f>IF(OR(E3792="",E3792="!!!",F3792="NEW"),"",COUNTBLANK(OFFSET(A$1,,,SUMPRODUCT(MAX(ROW(E$2:E3792)*(E3792=E$2:E3792)))))-COUNTBLANK(OFFSET(A$1,,,SUMPRODUCT(MAX(ROW(E$1:E3791)*(E2=E$1:E3791))))))</f>
        <v> </v>
      </c>
      <c r="K3792" s="25" t="str">
        <f>IF(OR(E3792="",E3792="!!!",F3792="NEW"),"",INDEX(J$1:J3791,SUMPRODUCT(MAX(ROW(E$1:E3791)*(E3792=E$1:E3791)))))</f>
        <v> </v>
      </c>
      <c r="L3792" s="26"/>
    </row>
    <row r="3793" spans="1:12">
      <c r="A3793" s="20" t="s">
        <v>1463</v>
      </c>
      <c r="B3793" s="27" t="s">
        <v>733</v>
      </c>
      <c r="C3793" s="27" t="s">
        <v>772</v>
      </c>
      <c r="E3793" s="21">
        <f>IF(D3793="?OLD","!!!","")</f>
        <v/>
      </c>
      <c r="F3793" s="22" t="str">
        <f>IF(OR(E3793="",E3793="!!!"),"",IF(NOT(ISNA(VLOOKUP(E3793,E$1:E3792,1,FALSE()))),"OLD",IF(AND(E3793&lt;&gt;"",E3793&lt;&gt;"!!!"),"NEW","")))</f>
        <v> </v>
      </c>
      <c r="G3793" s="23" t="str">
        <f>IF(OR(E3793="",E3793="!!!"),"",IF(OR(J3793=0,AND(J3793=1,K3793=1),AND(J3793=1,I3793="SBJ"),AND(J3793=1,I3793=0)),"?IN_FOCUS",IF(J3793&lt;=2,"?ACTIVATED",IF(J3793&lt;&gt;"","?FAMILIAR",IF(F3793="NEW",IF(ISNA(VLOOKUP(E3793,#REF!,1,FALSE())),"?TYPE_IDENTIFIABLE","?REFERENTIAL"),"_")))))</f>
        <v> </v>
      </c>
      <c r="H3793" s="24" t="str">
        <f>IF(J3793&lt;&gt;1,"",IF(I3793="SBJ","CB","?"))</f>
        <v> </v>
      </c>
      <c r="I3793" s="25" t="str">
        <f>IF(OR(E3793="",E3793="!!!",F3793="NEW"),"",INDEX(B3792:B$2,-1+SUMPRODUCT(MAX(ROW(E3792:E$2)*(E3793=E3792:E$2)))))</f>
        <v> </v>
      </c>
      <c r="J3793" s="25" t="str">
        <f>IF(OR(E3793="",E3793="!!!",F3793="NEW"),"",COUNTBLANK(OFFSET(A$1,,,SUMPRODUCT(MAX(ROW(E$2:E3793)*(E3793=E$2:E3793)))))-COUNTBLANK(OFFSET(A$1,,,SUMPRODUCT(MAX(ROW(E$1:E3792)*(E2=E$1:E3792))))))</f>
        <v> </v>
      </c>
      <c r="K3793" s="25" t="str">
        <f>IF(OR(E3793="",E3793="!!!",F3793="NEW"),"",INDEX(J$1:J3792,SUMPRODUCT(MAX(ROW(E$1:E3792)*(E3793=E$1:E3792)))))</f>
        <v> </v>
      </c>
      <c r="L3793" s="26"/>
    </row>
    <row r="3794" spans="1:12">
      <c r="A3794" s="20" t="s">
        <v>1025</v>
      </c>
      <c r="B3794" s="27" t="s">
        <v>787</v>
      </c>
      <c r="C3794" s="27" t="s">
        <v>792</v>
      </c>
      <c r="D3794" s="27" t="s">
        <v>740</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t="s">
        <v>1889</v>
      </c>
      <c r="B3795" s="27" t="s">
        <v>777</v>
      </c>
      <c r="C3795" s="27" t="s">
        <v>908</v>
      </c>
      <c r="D3795" s="27" t="s">
        <v>740</v>
      </c>
      <c r="E3795" s="21">
        <f>IF(D3795="?OLD","!!!","")</f>
        <v/>
      </c>
      <c r="F3795" s="22" t="str">
        <f>IF(OR(E3795="",E3795="!!!"),"",IF(NOT(ISNA(VLOOKUP(E3795,E$1:E3794,1,FALSE()))),"OLD",IF(AND(E3795&lt;&gt;"",E3795&lt;&gt;"!!!"),"NEW","")))</f>
        <v> </v>
      </c>
      <c r="G3795" s="23" t="str">
        <f>IF(OR(E3795="",E3795="!!!"),"",IF(OR(J3795=0,AND(J3795=1,K3795=1),AND(J3795=1,I3795="SBJ"),AND(J3795=1,I3795=0)),"?IN_FOCUS",IF(J3795&lt;=2,"?ACTIVATED",IF(J3795&lt;&gt;"","?FAMILIAR",IF(F3795="NEW",IF(ISNA(VLOOKUP(E3795,#REF!,1,FALSE())),"?TYPE_IDENTIFIABLE","?REFERENTIAL"),"_")))))</f>
        <v> </v>
      </c>
      <c r="H3795" s="24" t="str">
        <f>IF(J3795&lt;&gt;1,"",IF(I3795="SBJ","CB","?"))</f>
        <v> </v>
      </c>
      <c r="I3795" s="25" t="str">
        <f>IF(OR(E3795="",E3795="!!!",F3795="NEW"),"",INDEX(B3794:B$2,-1+SUMPRODUCT(MAX(ROW(E3794:E$2)*(E3795=E3794:E$2)))))</f>
        <v> </v>
      </c>
      <c r="J3795" s="25" t="str">
        <f>IF(OR(E3795="",E3795="!!!",F3795="NEW"),"",COUNTBLANK(OFFSET(A$1,,,SUMPRODUCT(MAX(ROW(E$2:E3795)*(E3795=E$2:E3795)))))-COUNTBLANK(OFFSET(A$1,,,SUMPRODUCT(MAX(ROW(E$1:E3794)*(E2=E$1:E3794))))))</f>
        <v> </v>
      </c>
      <c r="K3795" s="25" t="str">
        <f>IF(OR(E3795="",E3795="!!!",F3795="NEW"),"",INDEX(J$1:J3794,SUMPRODUCT(MAX(ROW(E$1:E3794)*(E3795=E$1:E3794)))))</f>
        <v> </v>
      </c>
      <c r="L3795" s="26"/>
    </row>
    <row r="3796" spans="1:12">
      <c r="A3796" s="20" t="s">
        <v>1144</v>
      </c>
      <c r="E3796" s="21">
        <f>IF(D3796="?OLD","!!!","")</f>
        <v/>
      </c>
      <c r="F3796" s="22" t="str">
        <f>IF(OR(E3796="",E3796="!!!"),"",IF(NOT(ISNA(VLOOKUP(E3796,E$1:E3795,1,FALSE()))),"OLD",IF(AND(E3796&lt;&gt;"",E3796&lt;&gt;"!!!"),"NEW","")))</f>
        <v> </v>
      </c>
      <c r="G3796" s="23" t="str">
        <f>IF(OR(E3796="",E3796="!!!"),"",IF(OR(J3796=0,AND(J3796=1,K3796=1),AND(J3796=1,I3796="SBJ"),AND(J3796=1,I3796=0)),"?IN_FOCUS",IF(J3796&lt;=2,"?ACTIVATED",IF(J3796&lt;&gt;"","?FAMILIAR",IF(F3796="NEW",IF(ISNA(VLOOKUP(E3796,#REF!,1,FALSE())),"?TYPE_IDENTIFIABLE","?REFERENTIAL"),"_")))))</f>
        <v> </v>
      </c>
      <c r="H3796" s="24" t="str">
        <f>IF(J3796&lt;&gt;1,"",IF(I3796="SBJ","CB","?"))</f>
        <v> </v>
      </c>
      <c r="I3796" s="25" t="str">
        <f>IF(OR(E3796="",E3796="!!!",F3796="NEW"),"",INDEX(B3795:B$2,-1+SUMPRODUCT(MAX(ROW(E3795:E$2)*(E3796=E3795:E$2)))))</f>
        <v> </v>
      </c>
      <c r="J3796" s="25" t="str">
        <f>IF(OR(E3796="",E3796="!!!",F3796="NEW"),"",COUNTBLANK(OFFSET(A$1,,,SUMPRODUCT(MAX(ROW(E$2:E3796)*(E3796=E$2:E3796)))))-COUNTBLANK(OFFSET(A$1,,,SUMPRODUCT(MAX(ROW(E$1:E3795)*(E2=E$1:E3795))))))</f>
        <v> </v>
      </c>
      <c r="K3796" s="25" t="str">
        <f>IF(OR(E3796="",E3796="!!!",F3796="NEW"),"",INDEX(J$1:J3795,SUMPRODUCT(MAX(ROW(E$1:E3795)*(E3796=E$1:E3795)))))</f>
        <v> </v>
      </c>
      <c r="L3796" s="26"/>
    </row>
    <row r="3797" spans="1:12">
      <c r="A3797" s="20" t="s">
        <v>832</v>
      </c>
      <c r="B3797" s="27" t="s">
        <v>771</v>
      </c>
      <c r="C3797" s="27" t="s">
        <v>749</v>
      </c>
      <c r="D3797" s="27" t="s">
        <v>740</v>
      </c>
      <c r="E3797" s="21">
        <f>IF(D3797="?OLD","!!!","")</f>
        <v/>
      </c>
      <c r="F3797" s="22" t="str">
        <f>IF(OR(E3797="",E3797="!!!"),"",IF(NOT(ISNA(VLOOKUP(E3797,E$1:E3796,1,FALSE()))),"OLD",IF(AND(E3797&lt;&gt;"",E3797&lt;&gt;"!!!"),"NEW","")))</f>
        <v> </v>
      </c>
      <c r="G3797" s="23" t="str">
        <f>IF(OR(E3797="",E3797="!!!"),"",IF(OR(J3797=0,AND(J3797=1,K3797=1),AND(J3797=1,I3797="SBJ"),AND(J3797=1,I3797=0)),"?IN_FOCUS",IF(J3797&lt;=2,"?ACTIVATED",IF(J3797&lt;&gt;"","?FAMILIAR",IF(F3797="NEW",IF(ISNA(VLOOKUP(E3797,#REF!,1,FALSE())),"?TYPE_IDENTIFIABLE","?REFERENTIAL"),"_")))))</f>
        <v> </v>
      </c>
      <c r="H3797" s="24" t="str">
        <f>IF(J3797&lt;&gt;1,"",IF(I3797="SBJ","CB","?"))</f>
        <v> </v>
      </c>
      <c r="I3797" s="25" t="str">
        <f>IF(OR(E3797="",E3797="!!!",F3797="NEW"),"",INDEX(B3796:B$2,-1+SUMPRODUCT(MAX(ROW(E3796:E$2)*(E3797=E3796:E$2)))))</f>
        <v> </v>
      </c>
      <c r="J3797" s="25" t="str">
        <f>IF(OR(E3797="",E3797="!!!",F3797="NEW"),"",COUNTBLANK(OFFSET(A$1,,,SUMPRODUCT(MAX(ROW(E$2:E3797)*(E3797=E$2:E3797)))))-COUNTBLANK(OFFSET(A$1,,,SUMPRODUCT(MAX(ROW(E$1:E3796)*(E2=E$1:E3796))))))</f>
        <v> </v>
      </c>
      <c r="K3797" s="25" t="str">
        <f>IF(OR(E3797="",E3797="!!!",F3797="NEW"),"",INDEX(J$1:J3796,SUMPRODUCT(MAX(ROW(E$1:E3796)*(E3797=E$1:E3796)))))</f>
        <v> </v>
      </c>
      <c r="L3797" s="26"/>
    </row>
    <row r="3798" spans="1:12">
      <c r="A3798" s="20" t="s">
        <v>790</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741</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t="s">
        <v>1890</v>
      </c>
      <c r="E3800" s="21">
        <f>IF(D3800="?OLD","!!!","")</f>
        <v/>
      </c>
      <c r="F3800" s="22" t="str">
        <f>IF(OR(E3800="",E3800="!!!"),"",IF(NOT(ISNA(VLOOKUP(E3800,E$1:E3799,1,FALSE()))),"OLD",IF(AND(E3800&lt;&gt;"",E3800&lt;&gt;"!!!"),"NEW","")))</f>
        <v> </v>
      </c>
      <c r="G3800" s="23" t="str">
        <f>IF(OR(E3800="",E3800="!!!"),"",IF(OR(J3800=0,AND(J3800=1,K3800=1),AND(J3800=1,I3800="SBJ"),AND(J3800=1,I3800=0)),"?IN_FOCUS",IF(J3800&lt;=2,"?ACTIVATED",IF(J3800&lt;&gt;"","?FAMILIAR",IF(F3800="NEW",IF(ISNA(VLOOKUP(E3800,#REF!,1,FALSE())),"?TYPE_IDENTIFIABLE","?REFERENTIAL"),"_")))))</f>
        <v> </v>
      </c>
      <c r="H3800" s="24" t="str">
        <f>IF(J3800&lt;&gt;1,"",IF(I3800="SBJ","CB","?"))</f>
        <v> </v>
      </c>
      <c r="I3800" s="25" t="str">
        <f>IF(OR(E3800="",E3800="!!!",F3800="NEW"),"",INDEX(B3799:B$2,-1+SUMPRODUCT(MAX(ROW(E3799:E$2)*(E3800=E3799:E$2)))))</f>
        <v> </v>
      </c>
      <c r="J3800" s="25" t="str">
        <f>IF(OR(E3800="",E3800="!!!",F3800="NEW"),"",COUNTBLANK(OFFSET(A$1,,,SUMPRODUCT(MAX(ROW(E$2:E3800)*(E3800=E$2:E3800)))))-COUNTBLANK(OFFSET(A$1,,,SUMPRODUCT(MAX(ROW(E$1:E3799)*(E2=E$1:E3799))))))</f>
        <v> </v>
      </c>
      <c r="K3800" s="25" t="str">
        <f>IF(OR(E3800="",E3800="!!!",F3800="NEW"),"",INDEX(J$1:J3799,SUMPRODUCT(MAX(ROW(E$1:E3799)*(E3800=E$1:E3799)))))</f>
        <v> </v>
      </c>
      <c r="L3800" s="26"/>
    </row>
    <row r="3801" spans="1:12">
      <c r="A3801" s="20" t="s">
        <v>1498</v>
      </c>
      <c r="B3801" s="27" t="s">
        <v>779</v>
      </c>
      <c r="C3801" s="27" t="s">
        <v>744</v>
      </c>
      <c r="E3801" s="21">
        <f>IF(D3801="?OLD","!!!","")</f>
        <v/>
      </c>
      <c r="F3801" s="22" t="str">
        <f>IF(OR(E3801="",E3801="!!!"),"",IF(NOT(ISNA(VLOOKUP(E3801,E$1:E3800,1,FALSE()))),"OLD",IF(AND(E3801&lt;&gt;"",E3801&lt;&gt;"!!!"),"NEW","")))</f>
        <v> </v>
      </c>
      <c r="G3801" s="23" t="str">
        <f>IF(OR(E3801="",E3801="!!!"),"",IF(OR(J3801=0,AND(J3801=1,K3801=1),AND(J3801=1,I3801="SBJ"),AND(J3801=1,I3801=0)),"?IN_FOCUS",IF(J3801&lt;=2,"?ACTIVATED",IF(J3801&lt;&gt;"","?FAMILIAR",IF(F3801="NEW",IF(ISNA(VLOOKUP(E3801,#REF!,1,FALSE())),"?TYPE_IDENTIFIABLE","?REFERENTIAL"),"_")))))</f>
        <v> </v>
      </c>
      <c r="H3801" s="24" t="str">
        <f>IF(J3801&lt;&gt;1,"",IF(I3801="SBJ","CB","?"))</f>
        <v> </v>
      </c>
      <c r="I3801" s="25" t="str">
        <f>IF(OR(E3801="",E3801="!!!",F3801="NEW"),"",INDEX(B3800:B$2,-1+SUMPRODUCT(MAX(ROW(E3800:E$2)*(E3801=E3800:E$2)))))</f>
        <v> </v>
      </c>
      <c r="J3801" s="25" t="str">
        <f>IF(OR(E3801="",E3801="!!!",F3801="NEW"),"",COUNTBLANK(OFFSET(A$1,,,SUMPRODUCT(MAX(ROW(E$2:E3801)*(E3801=E$2:E3801)))))-COUNTBLANK(OFFSET(A$1,,,SUMPRODUCT(MAX(ROW(E$1:E3800)*(E2=E$1:E3800))))))</f>
        <v> </v>
      </c>
      <c r="K3801" s="25" t="str">
        <f>IF(OR(E3801="",E3801="!!!",F3801="NEW"),"",INDEX(J$1:J3800,SUMPRODUCT(MAX(ROW(E$1:E3800)*(E3801=E$1:E3800)))))</f>
        <v> </v>
      </c>
      <c r="L3801" s="26"/>
    </row>
    <row r="3802" spans="1:12">
      <c r="A3802" s="20" t="s">
        <v>759</v>
      </c>
      <c r="E3802" s="21">
        <f>IF(D3802="?OLD","!!!","")</f>
        <v/>
      </c>
      <c r="F3802" s="22" t="str">
        <f>IF(OR(E3802="",E3802="!!!"),"",IF(NOT(ISNA(VLOOKUP(E3802,E$1:E3801,1,FALSE()))),"OLD",IF(AND(E3802&lt;&gt;"",E3802&lt;&gt;"!!!"),"NEW","")))</f>
        <v> </v>
      </c>
      <c r="G3802" s="23" t="str">
        <f>IF(OR(E3802="",E3802="!!!"),"",IF(OR(J3802=0,AND(J3802=1,K3802=1),AND(J3802=1,I3802="SBJ"),AND(J3802=1,I3802=0)),"?IN_FOCUS",IF(J3802&lt;=2,"?ACTIVATED",IF(J3802&lt;&gt;"","?FAMILIAR",IF(F3802="NEW",IF(ISNA(VLOOKUP(E3802,#REF!,1,FALSE())),"?TYPE_IDENTIFIABLE","?REFERENTIAL"),"_")))))</f>
        <v> </v>
      </c>
      <c r="H3802" s="24" t="str">
        <f>IF(J3802&lt;&gt;1,"",IF(I3802="SBJ","CB","?"))</f>
        <v> </v>
      </c>
      <c r="I3802" s="25" t="str">
        <f>IF(OR(E3802="",E3802="!!!",F3802="NEW"),"",INDEX(B3801:B$2,-1+SUMPRODUCT(MAX(ROW(E3801:E$2)*(E3802=E3801:E$2)))))</f>
        <v> </v>
      </c>
      <c r="J3802" s="25" t="str">
        <f>IF(OR(E3802="",E3802="!!!",F3802="NEW"),"",COUNTBLANK(OFFSET(A$1,,,SUMPRODUCT(MAX(ROW(E$2:E3802)*(E3802=E$2:E3802)))))-COUNTBLANK(OFFSET(A$1,,,SUMPRODUCT(MAX(ROW(E$1:E3801)*(E2=E$1:E3801))))))</f>
        <v> </v>
      </c>
      <c r="K3802" s="25" t="str">
        <f>IF(OR(E3802="",E3802="!!!",F3802="NEW"),"",INDEX(J$1:J3801,SUMPRODUCT(MAX(ROW(E$1:E3801)*(E3802=E$1:E3801)))))</f>
        <v> </v>
      </c>
      <c r="L3802" s="26"/>
    </row>
    <row r="3803" spans="1:12">
      <c r="A3803" s="20" t="s">
        <v>896</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941</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748</v>
      </c>
      <c r="B3805" s="27" t="s">
        <v>795</v>
      </c>
      <c r="C3805" s="27" t="s">
        <v>749</v>
      </c>
      <c r="D3805" s="27" t="s">
        <v>740</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1891</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t="s">
        <v>765</v>
      </c>
      <c r="E3807" s="21">
        <f>IF(D3807="?OLD","!!!","")</f>
        <v/>
      </c>
      <c r="F3807" s="22" t="str">
        <f>IF(OR(E3807="",E3807="!!!"),"",IF(NOT(ISNA(VLOOKUP(E3807,E$1:E3806,1,FALSE()))),"OLD",IF(AND(E3807&lt;&gt;"",E3807&lt;&gt;"!!!"),"NEW","")))</f>
        <v> </v>
      </c>
      <c r="G3807" s="23" t="str">
        <f>IF(OR(E3807="",E3807="!!!"),"",IF(OR(J3807=0,AND(J3807=1,K3807=1),AND(J3807=1,I3807="SBJ"),AND(J3807=1,I3807=0)),"?IN_FOCUS",IF(J3807&lt;=2,"?ACTIVATED",IF(J3807&lt;&gt;"","?FAMILIAR",IF(F3807="NEW",IF(ISNA(VLOOKUP(E3807,#REF!,1,FALSE())),"?TYPE_IDENTIFIABLE","?REFERENTIAL"),"_")))))</f>
        <v> </v>
      </c>
      <c r="H3807" s="24" t="str">
        <f>IF(J3807&lt;&gt;1,"",IF(I3807="SBJ","CB","?"))</f>
        <v> </v>
      </c>
      <c r="I3807" s="25" t="str">
        <f>IF(OR(E3807="",E3807="!!!",F3807="NEW"),"",INDEX(B3806:B$2,-1+SUMPRODUCT(MAX(ROW(E3806:E$2)*(E3807=E3806:E$2)))))</f>
        <v> </v>
      </c>
      <c r="J3807" s="25" t="str">
        <f>IF(OR(E3807="",E3807="!!!",F3807="NEW"),"",COUNTBLANK(OFFSET(A$1,,,SUMPRODUCT(MAX(ROW(E$2:E3807)*(E3807=E$2:E3807)))))-COUNTBLANK(OFFSET(A$1,,,SUMPRODUCT(MAX(ROW(E$1:E3806)*(E2=E$1:E3806))))))</f>
        <v> </v>
      </c>
      <c r="K3807" s="25" t="str">
        <f>IF(OR(E3807="",E3807="!!!",F3807="NEW"),"",INDEX(J$1:J3806,SUMPRODUCT(MAX(ROW(E$1:E3806)*(E3807=E$1:E3806)))))</f>
        <v> </v>
      </c>
      <c r="L3807" s="26"/>
    </row>
    <row r="3808" spans="1:12">
      <c r="A3808" s="20" t="s">
        <v>79</v>
      </c>
      <c r="E3808" s="21">
        <f>IF(D3808="?OLD","!!!","")</f>
        <v/>
      </c>
      <c r="F3808" s="22" t="str">
        <f>IF(OR(E3808="",E3808="!!!"),"",IF(NOT(ISNA(VLOOKUP(E3808,E$1:E3807,1,FALSE()))),"OLD",IF(AND(E3808&lt;&gt;"",E3808&lt;&gt;"!!!"),"NEW","")))</f>
        <v> </v>
      </c>
      <c r="G3808" s="23" t="str">
        <f>IF(OR(E3808="",E3808="!!!"),"",IF(OR(J3808=0,AND(J3808=1,K3808=1),AND(J3808=1,I3808="SBJ"),AND(J3808=1,I3808=0)),"?IN_FOCUS",IF(J3808&lt;=2,"?ACTIVATED",IF(J3808&lt;&gt;"","?FAMILIAR",IF(F3808="NEW",IF(ISNA(VLOOKUP(E3808,#REF!,1,FALSE())),"?TYPE_IDENTIFIABLE","?REFERENTIAL"),"_")))))</f>
        <v> </v>
      </c>
      <c r="H3808" s="24" t="str">
        <f>IF(J3808&lt;&gt;1,"",IF(I3808="SBJ","CB","?"))</f>
        <v> </v>
      </c>
      <c r="I3808" s="25" t="str">
        <f>IF(OR(E3808="",E3808="!!!",F3808="NEW"),"",INDEX(B3807:B$2,-1+SUMPRODUCT(MAX(ROW(E3807:E$2)*(E3808=E3807:E$2)))))</f>
        <v> </v>
      </c>
      <c r="J3808" s="25" t="str">
        <f>IF(OR(E3808="",E3808="!!!",F3808="NEW"),"",COUNTBLANK(OFFSET(A$1,,,SUMPRODUCT(MAX(ROW(E$2:E3808)*(E3808=E$2:E3808)))))-COUNTBLANK(OFFSET(A$1,,,SUMPRODUCT(MAX(ROW(E$1:E3807)*(E2=E$1:E3807))))))</f>
        <v> </v>
      </c>
      <c r="K3808" s="25" t="str">
        <f>IF(OR(E3808="",E3808="!!!",F3808="NEW"),"",INDEX(J$1:J3807,SUMPRODUCT(MAX(ROW(E$1:E3807)*(E3808=E$1:E3807)))))</f>
        <v> </v>
      </c>
      <c r="L3808" s="26"/>
    </row>
    <row r="3809" spans="1:12">
      <c r="A3809" s="20" t="s">
        <v>753</v>
      </c>
      <c r="E3809" s="21">
        <f>IF(D3809="?OLD","!!!","")</f>
        <v/>
      </c>
      <c r="F3809" s="22" t="str">
        <f>IF(OR(E3809="",E3809="!!!"),"",IF(NOT(ISNA(VLOOKUP(E3809,E$1:E3808,1,FALSE()))),"OLD",IF(AND(E3809&lt;&gt;"",E3809&lt;&gt;"!!!"),"NEW","")))</f>
        <v> </v>
      </c>
      <c r="G3809" s="23" t="str">
        <f>IF(OR(E3809="",E3809="!!!"),"",IF(OR(J3809=0,AND(J3809=1,K3809=1),AND(J3809=1,I3809="SBJ"),AND(J3809=1,I3809=0)),"?IN_FOCUS",IF(J3809&lt;=2,"?ACTIVATED",IF(J3809&lt;&gt;"","?FAMILIAR",IF(F3809="NEW",IF(ISNA(VLOOKUP(E3809,#REF!,1,FALSE())),"?TYPE_IDENTIFIABLE","?REFERENTIAL"),"_")))))</f>
        <v> </v>
      </c>
      <c r="H3809" s="24" t="str">
        <f>IF(J3809&lt;&gt;1,"",IF(I3809="SBJ","CB","?"))</f>
        <v> </v>
      </c>
      <c r="I3809" s="25" t="str">
        <f>IF(OR(E3809="",E3809="!!!",F3809="NEW"),"",INDEX(B3808:B$2,-1+SUMPRODUCT(MAX(ROW(E3808:E$2)*(E3809=E3808:E$2)))))</f>
        <v> </v>
      </c>
      <c r="J3809" s="25" t="str">
        <f>IF(OR(E3809="",E3809="!!!",F3809="NEW"),"",COUNTBLANK(OFFSET(A$1,,,SUMPRODUCT(MAX(ROW(E$2:E3809)*(E3809=E$2:E3809)))))-COUNTBLANK(OFFSET(A$1,,,SUMPRODUCT(MAX(ROW(E$1:E3808)*(E2=E$1:E3808))))))</f>
        <v> </v>
      </c>
      <c r="K3809" s="25" t="str">
        <f>IF(OR(E3809="",E3809="!!!",F3809="NEW"),"",INDEX(J$1:J3808,SUMPRODUCT(MAX(ROW(E$1:E3808)*(E3809=E$1:E3808)))))</f>
        <v> </v>
      </c>
      <c r="L3809" s="26"/>
    </row>
    <row r="3810" spans="1:12">
      <c r="A3810" s="20" t="s">
        <v>860</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736</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1205</v>
      </c>
      <c r="B3812" s="27" t="s">
        <v>1024</v>
      </c>
      <c r="C3812" s="27" t="s">
        <v>739</v>
      </c>
      <c r="D3812" s="27" t="s">
        <v>740</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t="s">
        <v>753</v>
      </c>
      <c r="E3813" s="21">
        <f>IF(D3813="?OLD","!!!","")</f>
        <v/>
      </c>
      <c r="F3813" s="22" t="str">
        <f>IF(OR(E3813="",E3813="!!!"),"",IF(NOT(ISNA(VLOOKUP(E3813,E$1:E3812,1,FALSE()))),"OLD",IF(AND(E3813&lt;&gt;"",E3813&lt;&gt;"!!!"),"NEW","")))</f>
        <v> </v>
      </c>
      <c r="G3813" s="23" t="str">
        <f>IF(OR(E3813="",E3813="!!!"),"",IF(OR(J3813=0,AND(J3813=1,K3813=1),AND(J3813=1,I3813="SBJ"),AND(J3813=1,I3813=0)),"?IN_FOCUS",IF(J3813&lt;=2,"?ACTIVATED",IF(J3813&lt;&gt;"","?FAMILIAR",IF(F3813="NEW",IF(ISNA(VLOOKUP(E3813,#REF!,1,FALSE())),"?TYPE_IDENTIFIABLE","?REFERENTIAL"),"_")))))</f>
        <v> </v>
      </c>
      <c r="H3813" s="24" t="str">
        <f>IF(J3813&lt;&gt;1,"",IF(I3813="SBJ","CB","?"))</f>
        <v> </v>
      </c>
      <c r="I3813" s="25" t="str">
        <f>IF(OR(E3813="",E3813="!!!",F3813="NEW"),"",INDEX(B3812:B$2,-1+SUMPRODUCT(MAX(ROW(E3812:E$2)*(E3813=E3812:E$2)))))</f>
        <v> </v>
      </c>
      <c r="J3813" s="25" t="str">
        <f>IF(OR(E3813="",E3813="!!!",F3813="NEW"),"",COUNTBLANK(OFFSET(A$1,,,SUMPRODUCT(MAX(ROW(E$2:E3813)*(E3813=E$2:E3813)))))-COUNTBLANK(OFFSET(A$1,,,SUMPRODUCT(MAX(ROW(E$1:E3812)*(E2=E$1:E3812))))))</f>
        <v> </v>
      </c>
      <c r="K3813" s="25" t="str">
        <f>IF(OR(E3813="",E3813="!!!",F3813="NEW"),"",INDEX(J$1:J3812,SUMPRODUCT(MAX(ROW(E$1:E3812)*(E3813=E$1:E3812)))))</f>
        <v> </v>
      </c>
      <c r="L3813" s="26"/>
    </row>
    <row r="3814" spans="1:12">
      <c r="A3814" s="20" t="s">
        <v>1863</v>
      </c>
      <c r="B3814" s="27" t="s">
        <v>1026</v>
      </c>
      <c r="C3814" s="27" t="s">
        <v>734</v>
      </c>
      <c r="E3814" s="21">
        <f>IF(D3814="?OLD","!!!","")</f>
        <v/>
      </c>
      <c r="F3814" s="22" t="str">
        <f>IF(OR(E3814="",E3814="!!!"),"",IF(NOT(ISNA(VLOOKUP(E3814,E$1:E3813,1,FALSE()))),"OLD",IF(AND(E3814&lt;&gt;"",E3814&lt;&gt;"!!!"),"NEW","")))</f>
        <v> </v>
      </c>
      <c r="G3814" s="23" t="str">
        <f>IF(OR(E3814="",E3814="!!!"),"",IF(OR(J3814=0,AND(J3814=1,K3814=1),AND(J3814=1,I3814="SBJ"),AND(J3814=1,I3814=0)),"?IN_FOCUS",IF(J3814&lt;=2,"?ACTIVATED",IF(J3814&lt;&gt;"","?FAMILIAR",IF(F3814="NEW",IF(ISNA(VLOOKUP(E3814,#REF!,1,FALSE())),"?TYPE_IDENTIFIABLE","?REFERENTIAL"),"_")))))</f>
        <v> </v>
      </c>
      <c r="H3814" s="24" t="str">
        <f>IF(J3814&lt;&gt;1,"",IF(I3814="SBJ","CB","?"))</f>
        <v> </v>
      </c>
      <c r="I3814" s="25" t="str">
        <f>IF(OR(E3814="",E3814="!!!",F3814="NEW"),"",INDEX(B3813:B$2,-1+SUMPRODUCT(MAX(ROW(E3813:E$2)*(E3814=E3813:E$2)))))</f>
        <v> </v>
      </c>
      <c r="J3814" s="25" t="str">
        <f>IF(OR(E3814="",E3814="!!!",F3814="NEW"),"",COUNTBLANK(OFFSET(A$1,,,SUMPRODUCT(MAX(ROW(E$2:E3814)*(E3814=E$2:E3814)))))-COUNTBLANK(OFFSET(A$1,,,SUMPRODUCT(MAX(ROW(E$1:E3813)*(E2=E$1:E3813))))))</f>
        <v> </v>
      </c>
      <c r="K3814" s="25" t="str">
        <f>IF(OR(E3814="",E3814="!!!",F3814="NEW"),"",INDEX(J$1:J3813,SUMPRODUCT(MAX(ROW(E$1:E3813)*(E3814=E$1:E3813)))))</f>
        <v> </v>
      </c>
      <c r="L3814" s="26"/>
    </row>
    <row r="3815" spans="1:12">
      <c r="A3815" s="20" t="s">
        <v>991</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t="s">
        <v>818</v>
      </c>
      <c r="E3816" s="21">
        <f>IF(D3816="?OLD","!!!","")</f>
        <v/>
      </c>
      <c r="F3816" s="22" t="str">
        <f>IF(OR(E3816="",E3816="!!!"),"",IF(NOT(ISNA(VLOOKUP(E3816,E$1:E3815,1,FALSE()))),"OLD",IF(AND(E3816&lt;&gt;"",E3816&lt;&gt;"!!!"),"NEW","")))</f>
        <v> </v>
      </c>
      <c r="G3816" s="23" t="str">
        <f>IF(OR(E3816="",E3816="!!!"),"",IF(OR(J3816=0,AND(J3816=1,K3816=1),AND(J3816=1,I3816="SBJ"),AND(J3816=1,I3816=0)),"?IN_FOCUS",IF(J3816&lt;=2,"?ACTIVATED",IF(J3816&lt;&gt;"","?FAMILIAR",IF(F3816="NEW",IF(ISNA(VLOOKUP(E3816,#REF!,1,FALSE())),"?TYPE_IDENTIFIABLE","?REFERENTIAL"),"_")))))</f>
        <v> </v>
      </c>
      <c r="H3816" s="24" t="str">
        <f>IF(J3816&lt;&gt;1,"",IF(I3816="SBJ","CB","?"))</f>
        <v> </v>
      </c>
      <c r="I3816" s="25" t="str">
        <f>IF(OR(E3816="",E3816="!!!",F3816="NEW"),"",INDEX(B3815:B$2,-1+SUMPRODUCT(MAX(ROW(E3815:E$2)*(E3816=E3815:E$2)))))</f>
        <v> </v>
      </c>
      <c r="J3816" s="25" t="str">
        <f>IF(OR(E3816="",E3816="!!!",F3816="NEW"),"",COUNTBLANK(OFFSET(A$1,,,SUMPRODUCT(MAX(ROW(E$2:E3816)*(E3816=E$2:E3816)))))-COUNTBLANK(OFFSET(A$1,,,SUMPRODUCT(MAX(ROW(E$1:E3815)*(E2=E$1:E3815))))))</f>
        <v> </v>
      </c>
      <c r="K3816" s="25" t="str">
        <f>IF(OR(E3816="",E3816="!!!",F3816="NEW"),"",INDEX(J$1:J3815,SUMPRODUCT(MAX(ROW(E$1:E3815)*(E3816=E$1:E3815)))))</f>
        <v> </v>
      </c>
      <c r="L3816" s="26"/>
    </row>
    <row r="3817" spans="1:12">
      <c r="A3817" s="20" t="s">
        <v>938</v>
      </c>
      <c r="B3817" s="27" t="s">
        <v>1051</v>
      </c>
      <c r="C3817" s="27" t="s">
        <v>739</v>
      </c>
      <c r="D3817" s="27" t="s">
        <v>740</v>
      </c>
      <c r="E3817" s="21">
        <f>IF(D3817="?OLD","!!!","")</f>
        <v/>
      </c>
      <c r="F3817" s="22" t="str">
        <f>IF(OR(E3817="",E3817="!!!"),"",IF(NOT(ISNA(VLOOKUP(E3817,E$1:E3816,1,FALSE()))),"OLD",IF(AND(E3817&lt;&gt;"",E3817&lt;&gt;"!!!"),"NEW","")))</f>
        <v> </v>
      </c>
      <c r="G3817" s="23" t="str">
        <f>IF(OR(E3817="",E3817="!!!"),"",IF(OR(J3817=0,AND(J3817=1,K3817=1),AND(J3817=1,I3817="SBJ"),AND(J3817=1,I3817=0)),"?IN_FOCUS",IF(J3817&lt;=2,"?ACTIVATED",IF(J3817&lt;&gt;"","?FAMILIAR",IF(F3817="NEW",IF(ISNA(VLOOKUP(E3817,#REF!,1,FALSE())),"?TYPE_IDENTIFIABLE","?REFERENTIAL"),"_")))))</f>
        <v> </v>
      </c>
      <c r="H3817" s="24" t="str">
        <f>IF(J3817&lt;&gt;1,"",IF(I3817="SBJ","CB","?"))</f>
        <v> </v>
      </c>
      <c r="I3817" s="25" t="str">
        <f>IF(OR(E3817="",E3817="!!!",F3817="NEW"),"",INDEX(B3816:B$2,-1+SUMPRODUCT(MAX(ROW(E3816:E$2)*(E3817=E3816:E$2)))))</f>
        <v> </v>
      </c>
      <c r="J3817" s="25" t="str">
        <f>IF(OR(E3817="",E3817="!!!",F3817="NEW"),"",COUNTBLANK(OFFSET(A$1,,,SUMPRODUCT(MAX(ROW(E$2:E3817)*(E3817=E$2:E3817)))))-COUNTBLANK(OFFSET(A$1,,,SUMPRODUCT(MAX(ROW(E$1:E3816)*(E2=E$1:E3816))))))</f>
        <v> </v>
      </c>
      <c r="K3817" s="25" t="str">
        <f>IF(OR(E3817="",E3817="!!!",F3817="NEW"),"",INDEX(J$1:J3816,SUMPRODUCT(MAX(ROW(E$1:E3816)*(E3817=E$1:E3816)))))</f>
        <v> </v>
      </c>
      <c r="L3817" s="26"/>
    </row>
    <row r="3818" spans="1:12">
      <c r="A3818" s="20" t="s">
        <v>765</v>
      </c>
      <c r="E3818" s="21">
        <f>IF(D3818="?OLD","!!!","")</f>
        <v/>
      </c>
      <c r="F3818" s="22" t="str">
        <f>IF(OR(E3818="",E3818="!!!"),"",IF(NOT(ISNA(VLOOKUP(E3818,E$1:E3817,1,FALSE()))),"OLD",IF(AND(E3818&lt;&gt;"",E3818&lt;&gt;"!!!"),"NEW","")))</f>
        <v> </v>
      </c>
      <c r="G3818" s="23" t="str">
        <f>IF(OR(E3818="",E3818="!!!"),"",IF(OR(J3818=0,AND(J3818=1,K3818=1),AND(J3818=1,I3818="SBJ"),AND(J3818=1,I3818=0)),"?IN_FOCUS",IF(J3818&lt;=2,"?ACTIVATED",IF(J3818&lt;&gt;"","?FAMILIAR",IF(F3818="NEW",IF(ISNA(VLOOKUP(E3818,#REF!,1,FALSE())),"?TYPE_IDENTIFIABLE","?REFERENTIAL"),"_")))))</f>
        <v> </v>
      </c>
      <c r="H3818" s="24" t="str">
        <f>IF(J3818&lt;&gt;1,"",IF(I3818="SBJ","CB","?"))</f>
        <v> </v>
      </c>
      <c r="I3818" s="25" t="str">
        <f>IF(OR(E3818="",E3818="!!!",F3818="NEW"),"",INDEX(B3817:B$2,-1+SUMPRODUCT(MAX(ROW(E3817:E$2)*(E3818=E3817:E$2)))))</f>
        <v> </v>
      </c>
      <c r="J3818" s="25" t="str">
        <f>IF(OR(E3818="",E3818="!!!",F3818="NEW"),"",COUNTBLANK(OFFSET(A$1,,,SUMPRODUCT(MAX(ROW(E$2:E3818)*(E3818=E$2:E3818)))))-COUNTBLANK(OFFSET(A$1,,,SUMPRODUCT(MAX(ROW(E$1:E3817)*(E2=E$1:E3817))))))</f>
        <v> </v>
      </c>
      <c r="K3818" s="25" t="str">
        <f>IF(OR(E3818="",E3818="!!!",F3818="NEW"),"",INDEX(J$1:J3817,SUMPRODUCT(MAX(ROW(E$1:E3817)*(E3818=E$1:E3817)))))</f>
        <v> </v>
      </c>
      <c r="L3818" s="26"/>
    </row>
    <row r="3819" spans="1:12">
      <c r="A3819" s="20" t="s">
        <v>1864</v>
      </c>
      <c r="E3819" s="21">
        <f>IF(D3819="?OLD","!!!","")</f>
        <v/>
      </c>
      <c r="F3819" s="22" t="str">
        <f>IF(OR(E3819="",E3819="!!!"),"",IF(NOT(ISNA(VLOOKUP(E3819,E$1:E3818,1,FALSE()))),"OLD",IF(AND(E3819&lt;&gt;"",E3819&lt;&gt;"!!!"),"NEW","")))</f>
        <v> </v>
      </c>
      <c r="G3819" s="23" t="str">
        <f>IF(OR(E3819="",E3819="!!!"),"",IF(OR(J3819=0,AND(J3819=1,K3819=1),AND(J3819=1,I3819="SBJ"),AND(J3819=1,I3819=0)),"?IN_FOCUS",IF(J3819&lt;=2,"?ACTIVATED",IF(J3819&lt;&gt;"","?FAMILIAR",IF(F3819="NEW",IF(ISNA(VLOOKUP(E3819,#REF!,1,FALSE())),"?TYPE_IDENTIFIABLE","?REFERENTIAL"),"_")))))</f>
        <v> </v>
      </c>
      <c r="H3819" s="24" t="str">
        <f>IF(J3819&lt;&gt;1,"",IF(I3819="SBJ","CB","?"))</f>
        <v> </v>
      </c>
      <c r="I3819" s="25" t="str">
        <f>IF(OR(E3819="",E3819="!!!",F3819="NEW"),"",INDEX(B3818:B$2,-1+SUMPRODUCT(MAX(ROW(E3818:E$2)*(E3819=E3818:E$2)))))</f>
        <v> </v>
      </c>
      <c r="J3819" s="25" t="str">
        <f>IF(OR(E3819="",E3819="!!!",F3819="NEW"),"",COUNTBLANK(OFFSET(A$1,,,SUMPRODUCT(MAX(ROW(E$2:E3819)*(E3819=E$2:E3819)))))-COUNTBLANK(OFFSET(A$1,,,SUMPRODUCT(MAX(ROW(E$1:E3818)*(E2=E$1:E3818))))))</f>
        <v> </v>
      </c>
      <c r="K3819" s="25" t="str">
        <f>IF(OR(E3819="",E3819="!!!",F3819="NEW"),"",INDEX(J$1:J3818,SUMPRODUCT(MAX(ROW(E$1:E3818)*(E3819=E$1:E3818)))))</f>
        <v> </v>
      </c>
      <c r="L3819" s="26"/>
    </row>
    <row r="3820" spans="1:12">
      <c r="A3820" s="20" t="s">
        <v>753</v>
      </c>
      <c r="E3820" s="21">
        <f>IF(D3820="?OLD","!!!","")</f>
        <v/>
      </c>
      <c r="F3820" s="22" t="str">
        <f>IF(OR(E3820="",E3820="!!!"),"",IF(NOT(ISNA(VLOOKUP(E3820,E$1:E3819,1,FALSE()))),"OLD",IF(AND(E3820&lt;&gt;"",E3820&lt;&gt;"!!!"),"NEW","")))</f>
        <v> </v>
      </c>
      <c r="G3820" s="23" t="str">
        <f>IF(OR(E3820="",E3820="!!!"),"",IF(OR(J3820=0,AND(J3820=1,K3820=1),AND(J3820=1,I3820="SBJ"),AND(J3820=1,I3820=0)),"?IN_FOCUS",IF(J3820&lt;=2,"?ACTIVATED",IF(J3820&lt;&gt;"","?FAMILIAR",IF(F3820="NEW",IF(ISNA(VLOOKUP(E3820,#REF!,1,FALSE())),"?TYPE_IDENTIFIABLE","?REFERENTIAL"),"_")))))</f>
        <v> </v>
      </c>
      <c r="H3820" s="24" t="str">
        <f>IF(J3820&lt;&gt;1,"",IF(I3820="SBJ","CB","?"))</f>
        <v> </v>
      </c>
      <c r="I3820" s="25" t="str">
        <f>IF(OR(E3820="",E3820="!!!",F3820="NEW"),"",INDEX(B3819:B$2,-1+SUMPRODUCT(MAX(ROW(E3819:E$2)*(E3820=E3819:E$2)))))</f>
        <v> </v>
      </c>
      <c r="J3820" s="25" t="str">
        <f>IF(OR(E3820="",E3820="!!!",F3820="NEW"),"",COUNTBLANK(OFFSET(A$1,,,SUMPRODUCT(MAX(ROW(E$2:E3820)*(E3820=E$2:E3820)))))-COUNTBLANK(OFFSET(A$1,,,SUMPRODUCT(MAX(ROW(E$1:E3819)*(E2=E$1:E3819))))))</f>
        <v> </v>
      </c>
      <c r="K3820" s="25" t="str">
        <f>IF(OR(E3820="",E3820="!!!",F3820="NEW"),"",INDEX(J$1:J3819,SUMPRODUCT(MAX(ROW(E$1:E3819)*(E3820=E$1:E3819)))))</f>
        <v> </v>
      </c>
      <c r="L3820" s="26"/>
    </row>
    <row r="3821" spans="1:12">
      <c r="A3821" s="20" t="s">
        <v>791</v>
      </c>
      <c r="B3821" s="27" t="s">
        <v>1398</v>
      </c>
      <c r="C3821" s="27" t="s">
        <v>792</v>
      </c>
      <c r="D3821" s="27" t="s">
        <v>740</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750</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t="s">
        <v>753</v>
      </c>
      <c r="E3823" s="21">
        <f>IF(D3823="?OLD","!!!","")</f>
        <v/>
      </c>
      <c r="F3823" s="22" t="str">
        <f>IF(OR(E3823="",E3823="!!!"),"",IF(NOT(ISNA(VLOOKUP(E3823,E$1:E3822,1,FALSE()))),"OLD",IF(AND(E3823&lt;&gt;"",E3823&lt;&gt;"!!!"),"NEW","")))</f>
        <v> </v>
      </c>
      <c r="G3823" s="23" t="str">
        <f>IF(OR(E3823="",E3823="!!!"),"",IF(OR(J3823=0,AND(J3823=1,K3823=1),AND(J3823=1,I3823="SBJ"),AND(J3823=1,I3823=0)),"?IN_FOCUS",IF(J3823&lt;=2,"?ACTIVATED",IF(J3823&lt;&gt;"","?FAMILIAR",IF(F3823="NEW",IF(ISNA(VLOOKUP(E3823,#REF!,1,FALSE())),"?TYPE_IDENTIFIABLE","?REFERENTIAL"),"_")))))</f>
        <v> </v>
      </c>
      <c r="H3823" s="24" t="str">
        <f>IF(J3823&lt;&gt;1,"",IF(I3823="SBJ","CB","?"))</f>
        <v> </v>
      </c>
      <c r="I3823" s="25" t="str">
        <f>IF(OR(E3823="",E3823="!!!",F3823="NEW"),"",INDEX(B3822:B$2,-1+SUMPRODUCT(MAX(ROW(E3822:E$2)*(E3823=E3822:E$2)))))</f>
        <v> </v>
      </c>
      <c r="J3823" s="25" t="str">
        <f>IF(OR(E3823="",E3823="!!!",F3823="NEW"),"",COUNTBLANK(OFFSET(A$1,,,SUMPRODUCT(MAX(ROW(E$2:E3823)*(E3823=E$2:E3823)))))-COUNTBLANK(OFFSET(A$1,,,SUMPRODUCT(MAX(ROW(E$1:E3822)*(E2=E$1:E3822))))))</f>
        <v> </v>
      </c>
      <c r="K3823" s="25" t="str">
        <f>IF(OR(E3823="",E3823="!!!",F3823="NEW"),"",INDEX(J$1:J3822,SUMPRODUCT(MAX(ROW(E$1:E3822)*(E3823=E$1:E3822)))))</f>
        <v> </v>
      </c>
      <c r="L3823" s="26"/>
    </row>
    <row r="3824" spans="1:12">
      <c r="A3824" s="20" t="s">
        <v>794</v>
      </c>
      <c r="B3824" s="27" t="s">
        <v>1398</v>
      </c>
      <c r="C3824" s="27" t="s">
        <v>775</v>
      </c>
      <c r="D3824" s="27" t="s">
        <v>740</v>
      </c>
      <c r="E3824" s="21">
        <f>IF(D3824="?OLD","!!!","")</f>
        <v/>
      </c>
      <c r="F3824" s="22" t="str">
        <f>IF(OR(E3824="",E3824="!!!"),"",IF(NOT(ISNA(VLOOKUP(E3824,E$1:E3823,1,FALSE()))),"OLD",IF(AND(E3824&lt;&gt;"",E3824&lt;&gt;"!!!"),"NEW","")))</f>
        <v> </v>
      </c>
      <c r="G3824" s="23" t="str">
        <f>IF(OR(E3824="",E3824="!!!"),"",IF(OR(J3824=0,AND(J3824=1,K3824=1),AND(J3824=1,I3824="SBJ"),AND(J3824=1,I3824=0)),"?IN_FOCUS",IF(J3824&lt;=2,"?ACTIVATED",IF(J3824&lt;&gt;"","?FAMILIAR",IF(F3824="NEW",IF(ISNA(VLOOKUP(E3824,#REF!,1,FALSE())),"?TYPE_IDENTIFIABLE","?REFERENTIAL"),"_")))))</f>
        <v> </v>
      </c>
      <c r="H3824" s="24" t="str">
        <f>IF(J3824&lt;&gt;1,"",IF(I3824="SBJ","CB","?"))</f>
        <v> </v>
      </c>
      <c r="I3824" s="25" t="str">
        <f>IF(OR(E3824="",E3824="!!!",F3824="NEW"),"",INDEX(B3823:B$2,-1+SUMPRODUCT(MAX(ROW(E3823:E$2)*(E3824=E3823:E$2)))))</f>
        <v> </v>
      </c>
      <c r="J3824" s="25" t="str">
        <f>IF(OR(E3824="",E3824="!!!",F3824="NEW"),"",COUNTBLANK(OFFSET(A$1,,,SUMPRODUCT(MAX(ROW(E$2:E3824)*(E3824=E$2:E3824)))))-COUNTBLANK(OFFSET(A$1,,,SUMPRODUCT(MAX(ROW(E$1:E3823)*(E2=E$1:E3823))))))</f>
        <v> </v>
      </c>
      <c r="K3824" s="25" t="str">
        <f>IF(OR(E3824="",E3824="!!!",F3824="NEW"),"",INDEX(J$1:J3823,SUMPRODUCT(MAX(ROW(E$1:E3823)*(E3824=E$1:E3823)))))</f>
        <v> </v>
      </c>
      <c r="L3824" s="26"/>
    </row>
    <row r="3825" spans="1:12">
      <c r="A3825" s="20" t="s">
        <v>980</v>
      </c>
      <c r="B3825" s="27" t="s">
        <v>1045</v>
      </c>
      <c r="C3825" s="27" t="s">
        <v>734</v>
      </c>
      <c r="E3825" s="21">
        <f>IF(D3825="?OLD","!!!","")</f>
        <v/>
      </c>
      <c r="F3825" s="22" t="str">
        <f>IF(OR(E3825="",E3825="!!!"),"",IF(NOT(ISNA(VLOOKUP(E3825,E$1:E3824,1,FALSE()))),"OLD",IF(AND(E3825&lt;&gt;"",E3825&lt;&gt;"!!!"),"NEW","")))</f>
        <v> </v>
      </c>
      <c r="G3825" s="23" t="str">
        <f>IF(OR(E3825="",E3825="!!!"),"",IF(OR(J3825=0,AND(J3825=1,K3825=1),AND(J3825=1,I3825="SBJ"),AND(J3825=1,I3825=0)),"?IN_FOCUS",IF(J3825&lt;=2,"?ACTIVATED",IF(J3825&lt;&gt;"","?FAMILIAR",IF(F3825="NEW",IF(ISNA(VLOOKUP(E3825,#REF!,1,FALSE())),"?TYPE_IDENTIFIABLE","?REFERENTIAL"),"_")))))</f>
        <v> </v>
      </c>
      <c r="H3825" s="24" t="str">
        <f>IF(J3825&lt;&gt;1,"",IF(I3825="SBJ","CB","?"))</f>
        <v> </v>
      </c>
      <c r="I3825" s="25" t="str">
        <f>IF(OR(E3825="",E3825="!!!",F3825="NEW"),"",INDEX(B3824:B$2,-1+SUMPRODUCT(MAX(ROW(E3824:E$2)*(E3825=E3824:E$2)))))</f>
        <v> </v>
      </c>
      <c r="J3825" s="25" t="str">
        <f>IF(OR(E3825="",E3825="!!!",F3825="NEW"),"",COUNTBLANK(OFFSET(A$1,,,SUMPRODUCT(MAX(ROW(E$2:E3825)*(E3825=E$2:E3825)))))-COUNTBLANK(OFFSET(A$1,,,SUMPRODUCT(MAX(ROW(E$1:E3824)*(E2=E$1:E3824))))))</f>
        <v> </v>
      </c>
      <c r="K3825" s="25" t="str">
        <f>IF(OR(E3825="",E3825="!!!",F3825="NEW"),"",INDEX(J$1:J3824,SUMPRODUCT(MAX(ROW(E$1:E3824)*(E3825=E$1:E3824)))))</f>
        <v> </v>
      </c>
      <c r="L3825" s="26"/>
    </row>
    <row r="3826" spans="1:12">
      <c r="A3826" s="20" t="s">
        <v>1892</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t="s">
        <v>753</v>
      </c>
      <c r="E3827" s="21">
        <f>IF(D3827="?OLD","!!!","")</f>
        <v/>
      </c>
      <c r="F3827" s="22" t="str">
        <f>IF(OR(E3827="",E3827="!!!"),"",IF(NOT(ISNA(VLOOKUP(E3827,E$1:E3826,1,FALSE()))),"OLD",IF(AND(E3827&lt;&gt;"",E3827&lt;&gt;"!!!"),"NEW","")))</f>
        <v> </v>
      </c>
      <c r="G3827" s="23" t="str">
        <f>IF(OR(E3827="",E3827="!!!"),"",IF(OR(J3827=0,AND(J3827=1,K3827=1),AND(J3827=1,I3827="SBJ"),AND(J3827=1,I3827=0)),"?IN_FOCUS",IF(J3827&lt;=2,"?ACTIVATED",IF(J3827&lt;&gt;"","?FAMILIAR",IF(F3827="NEW",IF(ISNA(VLOOKUP(E3827,#REF!,1,FALSE())),"?TYPE_IDENTIFIABLE","?REFERENTIAL"),"_")))))</f>
        <v> </v>
      </c>
      <c r="H3827" s="24" t="str">
        <f>IF(J3827&lt;&gt;1,"",IF(I3827="SBJ","CB","?"))</f>
        <v> </v>
      </c>
      <c r="I3827" s="25" t="str">
        <f>IF(OR(E3827="",E3827="!!!",F3827="NEW"),"",INDEX(B3826:B$2,-1+SUMPRODUCT(MAX(ROW(E3826:E$2)*(E3827=E3826:E$2)))))</f>
        <v> </v>
      </c>
      <c r="J3827" s="25" t="str">
        <f>IF(OR(E3827="",E3827="!!!",F3827="NEW"),"",COUNTBLANK(OFFSET(A$1,,,SUMPRODUCT(MAX(ROW(E$2:E3827)*(E3827=E$2:E3827)))))-COUNTBLANK(OFFSET(A$1,,,SUMPRODUCT(MAX(ROW(E$1:E3826)*(E2=E$1:E3826))))))</f>
        <v> </v>
      </c>
      <c r="K3827" s="25" t="str">
        <f>IF(OR(E3827="",E3827="!!!",F3827="NEW"),"",INDEX(J$1:J3826,SUMPRODUCT(MAX(ROW(E$1:E3826)*(E3827=E$1:E3826)))))</f>
        <v> </v>
      </c>
      <c r="L3827" s="26"/>
    </row>
    <row r="3828" spans="1:12">
      <c r="A3828" s="20" t="s">
        <v>989</v>
      </c>
      <c r="E3828" s="21">
        <f>IF(D3828="?OLD","!!!","")</f>
        <v/>
      </c>
      <c r="F3828" s="22" t="str">
        <f>IF(OR(E3828="",E3828="!!!"),"",IF(NOT(ISNA(VLOOKUP(E3828,E$1:E3827,1,FALSE()))),"OLD",IF(AND(E3828&lt;&gt;"",E3828&lt;&gt;"!!!"),"NEW","")))</f>
        <v> </v>
      </c>
      <c r="G3828" s="23" t="str">
        <f>IF(OR(E3828="",E3828="!!!"),"",IF(OR(J3828=0,AND(J3828=1,K3828=1),AND(J3828=1,I3828="SBJ"),AND(J3828=1,I3828=0)),"?IN_FOCUS",IF(J3828&lt;=2,"?ACTIVATED",IF(J3828&lt;&gt;"","?FAMILIAR",IF(F3828="NEW",IF(ISNA(VLOOKUP(E3828,#REF!,1,FALSE())),"?TYPE_IDENTIFIABLE","?REFERENTIAL"),"_")))))</f>
        <v> </v>
      </c>
      <c r="H3828" s="24" t="str">
        <f>IF(J3828&lt;&gt;1,"",IF(I3828="SBJ","CB","?"))</f>
        <v> </v>
      </c>
      <c r="I3828" s="25" t="str">
        <f>IF(OR(E3828="",E3828="!!!",F3828="NEW"),"",INDEX(B3827:B$2,-1+SUMPRODUCT(MAX(ROW(E3827:E$2)*(E3828=E3827:E$2)))))</f>
        <v> </v>
      </c>
      <c r="J3828" s="25" t="str">
        <f>IF(OR(E3828="",E3828="!!!",F3828="NEW"),"",COUNTBLANK(OFFSET(A$1,,,SUMPRODUCT(MAX(ROW(E$2:E3828)*(E3828=E$2:E3828)))))-COUNTBLANK(OFFSET(A$1,,,SUMPRODUCT(MAX(ROW(E$1:E3827)*(E2=E$1:E3827))))))</f>
        <v> </v>
      </c>
      <c r="K3828" s="25" t="str">
        <f>IF(OR(E3828="",E3828="!!!",F3828="NEW"),"",INDEX(J$1:J3827,SUMPRODUCT(MAX(ROW(E$1:E3827)*(E3828=E$1:E3827)))))</f>
        <v> </v>
      </c>
      <c r="L3828" s="26"/>
    </row>
    <row r="3829" spans="1:12">
      <c r="A3829" s="20" t="s">
        <v>179</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748</v>
      </c>
      <c r="B3830" s="27" t="s">
        <v>1028</v>
      </c>
      <c r="C3830" s="27" t="s">
        <v>749</v>
      </c>
      <c r="D3830" s="27" t="s">
        <v>740</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753</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t="s">
        <v>860</v>
      </c>
      <c r="E3832" s="21">
        <f>IF(D3832="?OLD","!!!","")</f>
        <v/>
      </c>
      <c r="F3832" s="22" t="str">
        <f>IF(OR(E3832="",E3832="!!!"),"",IF(NOT(ISNA(VLOOKUP(E3832,E$1:E3831,1,FALSE()))),"OLD",IF(AND(E3832&lt;&gt;"",E3832&lt;&gt;"!!!"),"NEW","")))</f>
        <v> </v>
      </c>
      <c r="G3832" s="23" t="str">
        <f>IF(OR(E3832="",E3832="!!!"),"",IF(OR(J3832=0,AND(J3832=1,K3832=1),AND(J3832=1,I3832="SBJ"),AND(J3832=1,I3832=0)),"?IN_FOCUS",IF(J3832&lt;=2,"?ACTIVATED",IF(J3832&lt;&gt;"","?FAMILIAR",IF(F3832="NEW",IF(ISNA(VLOOKUP(E3832,#REF!,1,FALSE())),"?TYPE_IDENTIFIABLE","?REFERENTIAL"),"_")))))</f>
        <v> </v>
      </c>
      <c r="H3832" s="24" t="str">
        <f>IF(J3832&lt;&gt;1,"",IF(I3832="SBJ","CB","?"))</f>
        <v> </v>
      </c>
      <c r="I3832" s="25" t="str">
        <f>IF(OR(E3832="",E3832="!!!",F3832="NEW"),"",INDEX(B3831:B$2,-1+SUMPRODUCT(MAX(ROW(E3831:E$2)*(E3832=E3831:E$2)))))</f>
        <v> </v>
      </c>
      <c r="J3832" s="25" t="str">
        <f>IF(OR(E3832="",E3832="!!!",F3832="NEW"),"",COUNTBLANK(OFFSET(A$1,,,SUMPRODUCT(MAX(ROW(E$2:E3832)*(E3832=E$2:E3832)))))-COUNTBLANK(OFFSET(A$1,,,SUMPRODUCT(MAX(ROW(E$1:E3831)*(E2=E$1:E3831))))))</f>
        <v> </v>
      </c>
      <c r="K3832" s="25" t="str">
        <f>IF(OR(E3832="",E3832="!!!",F3832="NEW"),"",INDEX(J$1:J3831,SUMPRODUCT(MAX(ROW(E$1:E3831)*(E3832=E$1:E3831)))))</f>
        <v> </v>
      </c>
      <c r="L3832" s="26"/>
    </row>
    <row r="3833" spans="1:12">
      <c r="A3833" s="20" t="s">
        <v>832</v>
      </c>
      <c r="B3833" s="27" t="s">
        <v>1046</v>
      </c>
      <c r="C3833" s="27" t="s">
        <v>749</v>
      </c>
      <c r="D3833" s="27" t="s">
        <v>740</v>
      </c>
      <c r="E3833" s="21">
        <f>IF(D3833="?OLD","!!!","")</f>
        <v/>
      </c>
      <c r="F3833" s="22" t="str">
        <f>IF(OR(E3833="",E3833="!!!"),"",IF(NOT(ISNA(VLOOKUP(E3833,E$1:E3832,1,FALSE()))),"OLD",IF(AND(E3833&lt;&gt;"",E3833&lt;&gt;"!!!"),"NEW","")))</f>
        <v> </v>
      </c>
      <c r="G3833" s="23" t="str">
        <f>IF(OR(E3833="",E3833="!!!"),"",IF(OR(J3833=0,AND(J3833=1,K3833=1),AND(J3833=1,I3833="SBJ"),AND(J3833=1,I3833=0)),"?IN_FOCUS",IF(J3833&lt;=2,"?ACTIVATED",IF(J3833&lt;&gt;"","?FAMILIAR",IF(F3833="NEW",IF(ISNA(VLOOKUP(E3833,#REF!,1,FALSE())),"?TYPE_IDENTIFIABLE","?REFERENTIAL"),"_")))))</f>
        <v> </v>
      </c>
      <c r="H3833" s="24" t="str">
        <f>IF(J3833&lt;&gt;1,"",IF(I3833="SBJ","CB","?"))</f>
        <v> </v>
      </c>
      <c r="I3833" s="25" t="str">
        <f>IF(OR(E3833="",E3833="!!!",F3833="NEW"),"",INDEX(B3832:B$2,-1+SUMPRODUCT(MAX(ROW(E3832:E$2)*(E3833=E3832:E$2)))))</f>
        <v> </v>
      </c>
      <c r="J3833" s="25" t="str">
        <f>IF(OR(E3833="",E3833="!!!",F3833="NEW"),"",COUNTBLANK(OFFSET(A$1,,,SUMPRODUCT(MAX(ROW(E$2:E3833)*(E3833=E$2:E3833)))))-COUNTBLANK(OFFSET(A$1,,,SUMPRODUCT(MAX(ROW(E$1:E3832)*(E2=E$1:E3832))))))</f>
        <v> </v>
      </c>
      <c r="K3833" s="25" t="str">
        <f>IF(OR(E3833="",E3833="!!!",F3833="NEW"),"",INDEX(J$1:J3832,SUMPRODUCT(MAX(ROW(E$1:E3832)*(E3833=E$1:E3832)))))</f>
        <v> </v>
      </c>
      <c r="L3833" s="26"/>
    </row>
    <row r="3834" spans="1:12">
      <c r="A3834" s="20" t="s">
        <v>751</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t="s">
        <v>1893</v>
      </c>
      <c r="E3835" s="21">
        <f>IF(D3835="?OLD","!!!","")</f>
        <v/>
      </c>
      <c r="F3835" s="22" t="str">
        <f>IF(OR(E3835="",E3835="!!!"),"",IF(NOT(ISNA(VLOOKUP(E3835,E$1:E3834,1,FALSE()))),"OLD",IF(AND(E3835&lt;&gt;"",E3835&lt;&gt;"!!!"),"NEW","")))</f>
        <v> </v>
      </c>
      <c r="G3835" s="23" t="str">
        <f>IF(OR(E3835="",E3835="!!!"),"",IF(OR(J3835=0,AND(J3835=1,K3835=1),AND(J3835=1,I3835="SBJ"),AND(J3835=1,I3835=0)),"?IN_FOCUS",IF(J3835&lt;=2,"?ACTIVATED",IF(J3835&lt;&gt;"","?FAMILIAR",IF(F3835="NEW",IF(ISNA(VLOOKUP(E3835,#REF!,1,FALSE())),"?TYPE_IDENTIFIABLE","?REFERENTIAL"),"_")))))</f>
        <v> </v>
      </c>
      <c r="H3835" s="24" t="str">
        <f>IF(J3835&lt;&gt;1,"",IF(I3835="SBJ","CB","?"))</f>
        <v> </v>
      </c>
      <c r="I3835" s="25" t="str">
        <f>IF(OR(E3835="",E3835="!!!",F3835="NEW"),"",INDEX(B3834:B$2,-1+SUMPRODUCT(MAX(ROW(E3834:E$2)*(E3835=E3834:E$2)))))</f>
        <v> </v>
      </c>
      <c r="J3835" s="25" t="str">
        <f>IF(OR(E3835="",E3835="!!!",F3835="NEW"),"",COUNTBLANK(OFFSET(A$1,,,SUMPRODUCT(MAX(ROW(E$2:E3835)*(E3835=E$2:E3835)))))-COUNTBLANK(OFFSET(A$1,,,SUMPRODUCT(MAX(ROW(E$1:E3834)*(E2=E$1:E3834))))))</f>
        <v> </v>
      </c>
      <c r="K3835" s="25" t="str">
        <f>IF(OR(E3835="",E3835="!!!",F3835="NEW"),"",INDEX(J$1:J3834,SUMPRODUCT(MAX(ROW(E$1:E3834)*(E3835=E$1:E3834)))))</f>
        <v> </v>
      </c>
      <c r="L3835" s="26"/>
    </row>
    <row r="3836" spans="1:12">
      <c r="A3836" s="20" t="s">
        <v>1894</v>
      </c>
      <c r="E3836" s="21">
        <f>IF(D3836="?OLD","!!!","")</f>
        <v/>
      </c>
      <c r="F3836" s="22" t="str">
        <f>IF(OR(E3836="",E3836="!!!"),"",IF(NOT(ISNA(VLOOKUP(E3836,E$1:E3835,1,FALSE()))),"OLD",IF(AND(E3836&lt;&gt;"",E3836&lt;&gt;"!!!"),"NEW","")))</f>
        <v> </v>
      </c>
      <c r="G3836" s="23" t="str">
        <f>IF(OR(E3836="",E3836="!!!"),"",IF(OR(J3836=0,AND(J3836=1,K3836=1),AND(J3836=1,I3836="SBJ"),AND(J3836=1,I3836=0)),"?IN_FOCUS",IF(J3836&lt;=2,"?ACTIVATED",IF(J3836&lt;&gt;"","?FAMILIAR",IF(F3836="NEW",IF(ISNA(VLOOKUP(E3836,#REF!,1,FALSE())),"?TYPE_IDENTIFIABLE","?REFERENTIAL"),"_")))))</f>
        <v> </v>
      </c>
      <c r="H3836" s="24" t="str">
        <f>IF(J3836&lt;&gt;1,"",IF(I3836="SBJ","CB","?"))</f>
        <v> </v>
      </c>
      <c r="I3836" s="25" t="str">
        <f>IF(OR(E3836="",E3836="!!!",F3836="NEW"),"",INDEX(B3835:B$2,-1+SUMPRODUCT(MAX(ROW(E3835:E$2)*(E3836=E3835:E$2)))))</f>
        <v> </v>
      </c>
      <c r="J3836" s="25" t="str">
        <f>IF(OR(E3836="",E3836="!!!",F3836="NEW"),"",COUNTBLANK(OFFSET(A$1,,,SUMPRODUCT(MAX(ROW(E$2:E3836)*(E3836=E$2:E3836)))))-COUNTBLANK(OFFSET(A$1,,,SUMPRODUCT(MAX(ROW(E$1:E3835)*(E2=E$1:E3835))))))</f>
        <v> </v>
      </c>
      <c r="K3836" s="25" t="str">
        <f>IF(OR(E3836="",E3836="!!!",F3836="NEW"),"",INDEX(J$1:J3835,SUMPRODUCT(MAX(ROW(E$1:E3835)*(E3836=E$1:E3835)))))</f>
        <v> </v>
      </c>
      <c r="L3836" s="26"/>
    </row>
    <row r="3837" spans="1:12">
      <c r="A3837" s="20" t="s">
        <v>1895</v>
      </c>
      <c r="B3837" s="27" t="s">
        <v>1051</v>
      </c>
      <c r="C3837" s="27" t="s">
        <v>744</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750</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746</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row>
    <row r="3841" spans="1:12">
      <c r="A3841" s="20" t="s">
        <v>1896</v>
      </c>
    </row>
    <row r="3842" spans="1:12">
      <c r="A3842" s="20" t="s">
        <v>1897</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984</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832</v>
      </c>
      <c r="B3844" s="27" t="s">
        <v>771</v>
      </c>
      <c r="C3844" s="27" t="s">
        <v>749</v>
      </c>
      <c r="D3844" s="27" t="s">
        <v>740</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1477</v>
      </c>
      <c r="B3845" s="27" t="s">
        <v>756</v>
      </c>
      <c r="C3845" s="27" t="s">
        <v>828</v>
      </c>
      <c r="D3845" s="27" t="s">
        <v>740</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1863</v>
      </c>
      <c r="B3846" s="27" t="s">
        <v>756</v>
      </c>
      <c r="C3846" s="27" t="s">
        <v>734</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t="s">
        <v>753</v>
      </c>
      <c r="E3847" s="21">
        <f>IF(D3847="?OLD","!!!","")</f>
        <v/>
      </c>
      <c r="F3847" s="22" t="str">
        <f>IF(OR(E3847="",E3847="!!!"),"",IF(NOT(ISNA(VLOOKUP(E3847,E$1:E3846,1,FALSE()))),"OLD",IF(AND(E3847&lt;&gt;"",E3847&lt;&gt;"!!!"),"NEW","")))</f>
        <v> </v>
      </c>
      <c r="G3847" s="23" t="str">
        <f>IF(OR(E3847="",E3847="!!!"),"",IF(OR(J3847=0,AND(J3847=1,K3847=1),AND(J3847=1,I3847="SBJ"),AND(J3847=1,I3847=0)),"?IN_FOCUS",IF(J3847&lt;=2,"?ACTIVATED",IF(J3847&lt;&gt;"","?FAMILIAR",IF(F3847="NEW",IF(ISNA(VLOOKUP(E3847,#REF!,1,FALSE())),"?TYPE_IDENTIFIABLE","?REFERENTIAL"),"_")))))</f>
        <v> </v>
      </c>
      <c r="H3847" s="24" t="str">
        <f>IF(J3847&lt;&gt;1,"",IF(I3847="SBJ","CB","?"))</f>
        <v> </v>
      </c>
      <c r="I3847" s="25" t="str">
        <f>IF(OR(E3847="",E3847="!!!",F3847="NEW"),"",INDEX(B3846:B$2,-1+SUMPRODUCT(MAX(ROW(E3846:E$2)*(E3847=E3846:E$2)))))</f>
        <v> </v>
      </c>
      <c r="J3847" s="25" t="str">
        <f>IF(OR(E3847="",E3847="!!!",F3847="NEW"),"",COUNTBLANK(OFFSET(A$1,,,SUMPRODUCT(MAX(ROW(E$2:E3847)*(E3847=E$2:E3847)))))-COUNTBLANK(OFFSET(A$1,,,SUMPRODUCT(MAX(ROW(E$1:E3846)*(E2=E$1:E3846))))))</f>
        <v> </v>
      </c>
      <c r="K3847" s="25" t="str">
        <f>IF(OR(E3847="",E3847="!!!",F3847="NEW"),"",INDEX(J$1:J3846,SUMPRODUCT(MAX(ROW(E$1:E3846)*(E3847=E$1:E3846)))))</f>
        <v> </v>
      </c>
      <c r="L3847" s="26"/>
    </row>
    <row r="3848" spans="1:12">
      <c r="A3848" s="20" t="s">
        <v>788</v>
      </c>
      <c r="E3848" s="21">
        <f>IF(D3848="?OLD","!!!","")</f>
        <v/>
      </c>
      <c r="F3848" s="22" t="str">
        <f>IF(OR(E3848="",E3848="!!!"),"",IF(NOT(ISNA(VLOOKUP(E3848,E$1:E3847,1,FALSE()))),"OLD",IF(AND(E3848&lt;&gt;"",E3848&lt;&gt;"!!!"),"NEW","")))</f>
        <v> </v>
      </c>
      <c r="G3848" s="23" t="str">
        <f>IF(OR(E3848="",E3848="!!!"),"",IF(OR(J3848=0,AND(J3848=1,K3848=1),AND(J3848=1,I3848="SBJ"),AND(J3848=1,I3848=0)),"?IN_FOCUS",IF(J3848&lt;=2,"?ACTIVATED",IF(J3848&lt;&gt;"","?FAMILIAR",IF(F3848="NEW",IF(ISNA(VLOOKUP(E3848,#REF!,1,FALSE())),"?TYPE_IDENTIFIABLE","?REFERENTIAL"),"_")))))</f>
        <v> </v>
      </c>
      <c r="H3848" s="24" t="str">
        <f>IF(J3848&lt;&gt;1,"",IF(I3848="SBJ","CB","?"))</f>
        <v> </v>
      </c>
      <c r="I3848" s="25" t="str">
        <f>IF(OR(E3848="",E3848="!!!",F3848="NEW"),"",INDEX(B3847:B$2,-1+SUMPRODUCT(MAX(ROW(E3847:E$2)*(E3848=E3847:E$2)))))</f>
        <v> </v>
      </c>
      <c r="J3848" s="25" t="str">
        <f>IF(OR(E3848="",E3848="!!!",F3848="NEW"),"",COUNTBLANK(OFFSET(A$1,,,SUMPRODUCT(MAX(ROW(E$2:E3848)*(E3848=E$2:E3848)))))-COUNTBLANK(OFFSET(A$1,,,SUMPRODUCT(MAX(ROW(E$1:E3847)*(E2=E$1:E3847))))))</f>
        <v> </v>
      </c>
      <c r="K3848" s="25" t="str">
        <f>IF(OR(E3848="",E3848="!!!",F3848="NEW"),"",INDEX(J$1:J3847,SUMPRODUCT(MAX(ROW(E$1:E3847)*(E3848=E$1:E3847)))))</f>
        <v> </v>
      </c>
      <c r="L3848" s="26"/>
    </row>
    <row r="3849" spans="1:12">
      <c r="A3849" s="20" t="s">
        <v>1858</v>
      </c>
      <c r="B3849" s="27" t="s">
        <v>733</v>
      </c>
      <c r="C3849" s="27" t="s">
        <v>828</v>
      </c>
      <c r="D3849" s="27" t="s">
        <v>740</v>
      </c>
      <c r="E3849" s="21">
        <f>IF(D3849="?OLD","!!!","")</f>
        <v/>
      </c>
      <c r="F3849" s="22" t="str">
        <f>IF(OR(E3849="",E3849="!!!"),"",IF(NOT(ISNA(VLOOKUP(E3849,E$1:E3848,1,FALSE()))),"OLD",IF(AND(E3849&lt;&gt;"",E3849&lt;&gt;"!!!"),"NEW","")))</f>
        <v> </v>
      </c>
      <c r="G3849" s="23" t="str">
        <f>IF(OR(E3849="",E3849="!!!"),"",IF(OR(J3849=0,AND(J3849=1,K3849=1),AND(J3849=1,I3849="SBJ"),AND(J3849=1,I3849=0)),"?IN_FOCUS",IF(J3849&lt;=2,"?ACTIVATED",IF(J3849&lt;&gt;"","?FAMILIAR",IF(F3849="NEW",IF(ISNA(VLOOKUP(E3849,#REF!,1,FALSE())),"?TYPE_IDENTIFIABLE","?REFERENTIAL"),"_")))))</f>
        <v> </v>
      </c>
      <c r="H3849" s="24" t="str">
        <f>IF(J3849&lt;&gt;1,"",IF(I3849="SBJ","CB","?"))</f>
        <v> </v>
      </c>
      <c r="I3849" s="25" t="str">
        <f>IF(OR(E3849="",E3849="!!!",F3849="NEW"),"",INDEX(B3848:B$2,-1+SUMPRODUCT(MAX(ROW(E3848:E$2)*(E3849=E3848:E$2)))))</f>
        <v> </v>
      </c>
      <c r="J3849" s="25" t="str">
        <f>IF(OR(E3849="",E3849="!!!",F3849="NEW"),"",COUNTBLANK(OFFSET(A$1,,,SUMPRODUCT(MAX(ROW(E$2:E3849)*(E3849=E$2:E3849)))))-COUNTBLANK(OFFSET(A$1,,,SUMPRODUCT(MAX(ROW(E$1:E3848)*(E2=E$1:E3848))))))</f>
        <v> </v>
      </c>
      <c r="K3849" s="25" t="str">
        <f>IF(OR(E3849="",E3849="!!!",F3849="NEW"),"",INDEX(J$1:J3848,SUMPRODUCT(MAX(ROW(E$1:E3848)*(E3849=E$1:E3848)))))</f>
        <v> </v>
      </c>
      <c r="L3849" s="26"/>
    </row>
    <row r="3850" spans="1:12">
      <c r="A3850" s="20" t="s">
        <v>1198</v>
      </c>
      <c r="B3850" s="27" t="s">
        <v>756</v>
      </c>
      <c r="C3850" s="27" t="s">
        <v>734</v>
      </c>
      <c r="E3850" s="21">
        <f>IF(D3850="?OLD","!!!","")</f>
        <v/>
      </c>
      <c r="F3850" s="22" t="str">
        <f>IF(OR(E3850="",E3850="!!!"),"",IF(NOT(ISNA(VLOOKUP(E3850,E$1:E3849,1,FALSE()))),"OLD",IF(AND(E3850&lt;&gt;"",E3850&lt;&gt;"!!!"),"NEW","")))</f>
        <v> </v>
      </c>
      <c r="G3850" s="23" t="str">
        <f>IF(OR(E3850="",E3850="!!!"),"",IF(OR(J3850=0,AND(J3850=1,K3850=1),AND(J3850=1,I3850="SBJ"),AND(J3850=1,I3850=0)),"?IN_FOCUS",IF(J3850&lt;=2,"?ACTIVATED",IF(J3850&lt;&gt;"","?FAMILIAR",IF(F3850="NEW",IF(ISNA(VLOOKUP(E3850,#REF!,1,FALSE())),"?TYPE_IDENTIFIABLE","?REFERENTIAL"),"_")))))</f>
        <v> </v>
      </c>
      <c r="H3850" s="24" t="str">
        <f>IF(J3850&lt;&gt;1,"",IF(I3850="SBJ","CB","?"))</f>
        <v> </v>
      </c>
      <c r="I3850" s="25" t="str">
        <f>IF(OR(E3850="",E3850="!!!",F3850="NEW"),"",INDEX(B3849:B$2,-1+SUMPRODUCT(MAX(ROW(E3849:E$2)*(E3850=E3849:E$2)))))</f>
        <v> </v>
      </c>
      <c r="J3850" s="25" t="str">
        <f>IF(OR(E3850="",E3850="!!!",F3850="NEW"),"",COUNTBLANK(OFFSET(A$1,,,SUMPRODUCT(MAX(ROW(E$2:E3850)*(E3850=E$2:E3850)))))-COUNTBLANK(OFFSET(A$1,,,SUMPRODUCT(MAX(ROW(E$1:E3849)*(E2=E$1:E3849))))))</f>
        <v> </v>
      </c>
      <c r="K3850" s="25" t="str">
        <f>IF(OR(E3850="",E3850="!!!",F3850="NEW"),"",INDEX(J$1:J3849,SUMPRODUCT(MAX(ROW(E$1:E3849)*(E3850=E$1:E3849)))))</f>
        <v> </v>
      </c>
      <c r="L3850" s="26"/>
    </row>
    <row r="3851" spans="1:12">
      <c r="A3851" s="20" t="s">
        <v>845</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1220</v>
      </c>
      <c r="B3852" s="27" t="s">
        <v>733</v>
      </c>
      <c r="C3852" s="27" t="s">
        <v>749</v>
      </c>
      <c r="D3852" s="27" t="s">
        <v>740</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t="s">
        <v>753</v>
      </c>
      <c r="E3853" s="21">
        <f>IF(D3853="?OLD","!!!","")</f>
        <v/>
      </c>
      <c r="F3853" s="22" t="str">
        <f>IF(OR(E3853="",E3853="!!!"),"",IF(NOT(ISNA(VLOOKUP(E3853,E$1:E3852,1,FALSE()))),"OLD",IF(AND(E3853&lt;&gt;"",E3853&lt;&gt;"!!!"),"NEW","")))</f>
        <v> </v>
      </c>
      <c r="G3853" s="23" t="str">
        <f>IF(OR(E3853="",E3853="!!!"),"",IF(OR(J3853=0,AND(J3853=1,K3853=1),AND(J3853=1,I3853="SBJ"),AND(J3853=1,I3853=0)),"?IN_FOCUS",IF(J3853&lt;=2,"?ACTIVATED",IF(J3853&lt;&gt;"","?FAMILIAR",IF(F3853="NEW",IF(ISNA(VLOOKUP(E3853,#REF!,1,FALSE())),"?TYPE_IDENTIFIABLE","?REFERENTIAL"),"_")))))</f>
        <v> </v>
      </c>
      <c r="H3853" s="24" t="str">
        <f>IF(J3853&lt;&gt;1,"",IF(I3853="SBJ","CB","?"))</f>
        <v> </v>
      </c>
      <c r="I3853" s="25" t="str">
        <f>IF(OR(E3853="",E3853="!!!",F3853="NEW"),"",INDEX(B3852:B$2,-1+SUMPRODUCT(MAX(ROW(E3852:E$2)*(E3853=E3852:E$2)))))</f>
        <v> </v>
      </c>
      <c r="J3853" s="25" t="str">
        <f>IF(OR(E3853="",E3853="!!!",F3853="NEW"),"",COUNTBLANK(OFFSET(A$1,,,SUMPRODUCT(MAX(ROW(E$2:E3853)*(E3853=E$2:E3853)))))-COUNTBLANK(OFFSET(A$1,,,SUMPRODUCT(MAX(ROW(E$1:E3852)*(E2=E$1:E3852))))))</f>
        <v> </v>
      </c>
      <c r="K3853" s="25" t="str">
        <f>IF(OR(E3853="",E3853="!!!",F3853="NEW"),"",INDEX(J$1:J3852,SUMPRODUCT(MAX(ROW(E$1:E3852)*(E3853=E$1:E3852)))))</f>
        <v> </v>
      </c>
      <c r="L3853" s="26"/>
    </row>
    <row r="3854" spans="1:12">
      <c r="A3854" s="20" t="s">
        <v>736</v>
      </c>
      <c r="B3854" s="27" t="s">
        <v>795</v>
      </c>
      <c r="E3854" s="21">
        <f>IF(D3854="?OLD","!!!","")</f>
        <v/>
      </c>
      <c r="F3854" s="22" t="str">
        <f>IF(OR(E3854="",E3854="!!!"),"",IF(NOT(ISNA(VLOOKUP(E3854,E$1:E3853,1,FALSE()))),"OLD",IF(AND(E3854&lt;&gt;"",E3854&lt;&gt;"!!!"),"NEW","")))</f>
        <v> </v>
      </c>
      <c r="G3854" s="23" t="str">
        <f>IF(OR(E3854="",E3854="!!!"),"",IF(OR(J3854=0,AND(J3854=1,K3854=1),AND(J3854=1,I3854="SBJ"),AND(J3854=1,I3854=0)),"?IN_FOCUS",IF(J3854&lt;=2,"?ACTIVATED",IF(J3854&lt;&gt;"","?FAMILIAR",IF(F3854="NEW",IF(ISNA(VLOOKUP(E3854,#REF!,1,FALSE())),"?TYPE_IDENTIFIABLE","?REFERENTIAL"),"_")))))</f>
        <v> </v>
      </c>
      <c r="H3854" s="24" t="str">
        <f>IF(J3854&lt;&gt;1,"",IF(I3854="SBJ","CB","?"))</f>
        <v> </v>
      </c>
      <c r="I3854" s="25" t="str">
        <f>IF(OR(E3854="",E3854="!!!",F3854="NEW"),"",INDEX(B3853:B$2,-1+SUMPRODUCT(MAX(ROW(E3853:E$2)*(E3854=E3853:E$2)))))</f>
        <v> </v>
      </c>
      <c r="J3854" s="25" t="str">
        <f>IF(OR(E3854="",E3854="!!!",F3854="NEW"),"",COUNTBLANK(OFFSET(A$1,,,SUMPRODUCT(MAX(ROW(E$2:E3854)*(E3854=E$2:E3854)))))-COUNTBLANK(OFFSET(A$1,,,SUMPRODUCT(MAX(ROW(E$1:E3853)*(E2=E$1:E3853))))))</f>
        <v> </v>
      </c>
      <c r="K3854" s="25" t="str">
        <f>IF(OR(E3854="",E3854="!!!",F3854="NEW"),"",INDEX(J$1:J3853,SUMPRODUCT(MAX(ROW(E$1:E3853)*(E3854=E$1:E3853)))))</f>
        <v> </v>
      </c>
      <c r="L3854" s="26"/>
    </row>
    <row r="3855" spans="1:12">
      <c r="A3855" s="20" t="s">
        <v>861</v>
      </c>
      <c r="B3855" s="27" t="s">
        <v>764</v>
      </c>
      <c r="C3855" s="27" t="s">
        <v>775</v>
      </c>
      <c r="D3855" s="27" t="s">
        <v>740</v>
      </c>
      <c r="E3855" s="21">
        <f>IF(D3855="?OLD","!!!","")</f>
        <v/>
      </c>
      <c r="F3855" s="22" t="str">
        <f>IF(OR(E3855="",E3855="!!!"),"",IF(NOT(ISNA(VLOOKUP(E3855,E$1:E3854,1,FALSE()))),"OLD",IF(AND(E3855&lt;&gt;"",E3855&lt;&gt;"!!!"),"NEW","")))</f>
        <v> </v>
      </c>
      <c r="G3855" s="23" t="str">
        <f>IF(OR(E3855="",E3855="!!!"),"",IF(OR(J3855=0,AND(J3855=1,K3855=1),AND(J3855=1,I3855="SBJ"),AND(J3855=1,I3855=0)),"?IN_FOCUS",IF(J3855&lt;=2,"?ACTIVATED",IF(J3855&lt;&gt;"","?FAMILIAR",IF(F3855="NEW",IF(ISNA(VLOOKUP(E3855,#REF!,1,FALSE())),"?TYPE_IDENTIFIABLE","?REFERENTIAL"),"_")))))</f>
        <v> </v>
      </c>
      <c r="H3855" s="24" t="str">
        <f>IF(J3855&lt;&gt;1,"",IF(I3855="SBJ","CB","?"))</f>
        <v> </v>
      </c>
      <c r="I3855" s="25" t="str">
        <f>IF(OR(E3855="",E3855="!!!",F3855="NEW"),"",INDEX(B3854:B$2,-1+SUMPRODUCT(MAX(ROW(E3854:E$2)*(E3855=E3854:E$2)))))</f>
        <v> </v>
      </c>
      <c r="J3855" s="25" t="str">
        <f>IF(OR(E3855="",E3855="!!!",F3855="NEW"),"",COUNTBLANK(OFFSET(A$1,,,SUMPRODUCT(MAX(ROW(E$2:E3855)*(E3855=E$2:E3855)))))-COUNTBLANK(OFFSET(A$1,,,SUMPRODUCT(MAX(ROW(E$1:E3854)*(E2=E$1:E3854))))))</f>
        <v> </v>
      </c>
      <c r="K3855" s="25" t="str">
        <f>IF(OR(E3855="",E3855="!!!",F3855="NEW"),"",INDEX(J$1:J3854,SUMPRODUCT(MAX(ROW(E$1:E3854)*(E3855=E$1:E3854)))))</f>
        <v> </v>
      </c>
      <c r="L3855" s="26"/>
    </row>
    <row r="3856" spans="1:12">
      <c r="A3856" s="20" t="s">
        <v>1898</v>
      </c>
      <c r="E3856" s="21">
        <f>IF(D3856="?OLD","!!!","")</f>
        <v/>
      </c>
      <c r="F3856" s="22" t="str">
        <f>IF(OR(E3856="",E3856="!!!"),"",IF(NOT(ISNA(VLOOKUP(E3856,E$1:E3855,1,FALSE()))),"OLD",IF(AND(E3856&lt;&gt;"",E3856&lt;&gt;"!!!"),"NEW","")))</f>
        <v> </v>
      </c>
      <c r="G3856" s="23" t="str">
        <f>IF(OR(E3856="",E3856="!!!"),"",IF(OR(J3856=0,AND(J3856=1,K3856=1),AND(J3856=1,I3856="SBJ"),AND(J3856=1,I3856=0)),"?IN_FOCUS",IF(J3856&lt;=2,"?ACTIVATED",IF(J3856&lt;&gt;"","?FAMILIAR",IF(F3856="NEW",IF(ISNA(VLOOKUP(E3856,#REF!,1,FALSE())),"?TYPE_IDENTIFIABLE","?REFERENTIAL"),"_")))))</f>
        <v> </v>
      </c>
      <c r="H3856" s="24" t="str">
        <f>IF(J3856&lt;&gt;1,"",IF(I3856="SBJ","CB","?"))</f>
        <v> </v>
      </c>
      <c r="I3856" s="25" t="str">
        <f>IF(OR(E3856="",E3856="!!!",F3856="NEW"),"",INDEX(B3855:B$2,-1+SUMPRODUCT(MAX(ROW(E3855:E$2)*(E3856=E3855:E$2)))))</f>
        <v> </v>
      </c>
      <c r="J3856" s="25" t="str">
        <f>IF(OR(E3856="",E3856="!!!",F3856="NEW"),"",COUNTBLANK(OFFSET(A$1,,,SUMPRODUCT(MAX(ROW(E$2:E3856)*(E3856=E$2:E3856)))))-COUNTBLANK(OFFSET(A$1,,,SUMPRODUCT(MAX(ROW(E$1:E3855)*(E2=E$1:E3855))))))</f>
        <v> </v>
      </c>
      <c r="K3856" s="25" t="str">
        <f>IF(OR(E3856="",E3856="!!!",F3856="NEW"),"",INDEX(J$1:J3855,SUMPRODUCT(MAX(ROW(E$1:E3855)*(E3856=E$1:E3855)))))</f>
        <v> </v>
      </c>
      <c r="L3856" s="26"/>
    </row>
    <row r="3857" spans="1:12">
      <c r="A3857" s="20" t="s">
        <v>746</v>
      </c>
      <c r="E3857" s="21">
        <f>IF(D3857="?OLD","!!!","")</f>
        <v/>
      </c>
      <c r="F3857" s="22" t="str">
        <f>IF(OR(E3857="",E3857="!!!"),"",IF(NOT(ISNA(VLOOKUP(E3857,E$1:E3856,1,FALSE()))),"OLD",IF(AND(E3857&lt;&gt;"",E3857&lt;&gt;"!!!"),"NEW","")))</f>
        <v> </v>
      </c>
      <c r="G3857" s="23" t="str">
        <f>IF(OR(E3857="",E3857="!!!"),"",IF(OR(J3857=0,AND(J3857=1,K3857=1),AND(J3857=1,I3857="SBJ"),AND(J3857=1,I3857=0)),"?IN_FOCUS",IF(J3857&lt;=2,"?ACTIVATED",IF(J3857&lt;&gt;"","?FAMILIAR",IF(F3857="NEW",IF(ISNA(VLOOKUP(E3857,#REF!,1,FALSE())),"?TYPE_IDENTIFIABLE","?REFERENTIAL"),"_")))))</f>
        <v> </v>
      </c>
      <c r="H3857" s="24" t="str">
        <f>IF(J3857&lt;&gt;1,"",IF(I3857="SBJ","CB","?"))</f>
        <v> </v>
      </c>
      <c r="I3857" s="25" t="str">
        <f>IF(OR(E3857="",E3857="!!!",F3857="NEW"),"",INDEX(B3856:B$2,-1+SUMPRODUCT(MAX(ROW(E3856:E$2)*(E3857=E3856:E$2)))))</f>
        <v> </v>
      </c>
      <c r="J3857" s="25" t="str">
        <f>IF(OR(E3857="",E3857="!!!",F3857="NEW"),"",COUNTBLANK(OFFSET(A$1,,,SUMPRODUCT(MAX(ROW(E$2:E3857)*(E3857=E$2:E3857)))))-COUNTBLANK(OFFSET(A$1,,,SUMPRODUCT(MAX(ROW(E$1:E3856)*(E2=E$1:E3856))))))</f>
        <v> </v>
      </c>
      <c r="K3857" s="25" t="str">
        <f>IF(OR(E3857="",E3857="!!!",F3857="NEW"),"",INDEX(J$1:J3856,SUMPRODUCT(MAX(ROW(E$1:E3856)*(E3857=E$1:E3856)))))</f>
        <v> </v>
      </c>
      <c r="L3857" s="26"/>
    </row>
    <row r="3858" spans="1:12">
      <c r="A3858" s="20"/>
    </row>
    <row r="3859" spans="1:12">
      <c r="A3859" s="20" t="s">
        <v>1899</v>
      </c>
    </row>
    <row r="3860" spans="1:12">
      <c r="A3860" s="20" t="s">
        <v>952</v>
      </c>
      <c r="B3860" s="27" t="s">
        <v>728</v>
      </c>
      <c r="C3860" s="27" t="s">
        <v>749</v>
      </c>
      <c r="D3860" s="27" t="s">
        <v>740</v>
      </c>
      <c r="E3860" s="21">
        <f>IF(D3860="?OLD","!!!","")</f>
        <v/>
      </c>
      <c r="F3860" s="22" t="str">
        <f>IF(OR(E3860="",E3860="!!!"),"",IF(NOT(ISNA(VLOOKUP(E3860,E$1:E3859,1,FALSE()))),"OLD",IF(AND(E3860&lt;&gt;"",E3860&lt;&gt;"!!!"),"NEW","")))</f>
        <v> </v>
      </c>
      <c r="G3860" s="23" t="str">
        <f>IF(OR(E3860="",E3860="!!!"),"",IF(OR(J3860=0,AND(J3860=1,K3860=1),AND(J3860=1,I3860="SBJ"),AND(J3860=1,I3860=0)),"?IN_FOCUS",IF(J3860&lt;=2,"?ACTIVATED",IF(J3860&lt;&gt;"","?FAMILIAR",IF(F3860="NEW",IF(ISNA(VLOOKUP(E3860,#REF!,1,FALSE())),"?TYPE_IDENTIFIABLE","?REFERENTIAL"),"_")))))</f>
        <v> </v>
      </c>
      <c r="H3860" s="24" t="str">
        <f>IF(J3860&lt;&gt;1,"",IF(I3860="SBJ","CB","?"))</f>
        <v> </v>
      </c>
      <c r="I3860" s="25" t="str">
        <f>IF(OR(E3860="",E3860="!!!",F3860="NEW"),"",INDEX(B3859:B$2,-1+SUMPRODUCT(MAX(ROW(E3859:E$2)*(E3860=E3859:E$2)))))</f>
        <v> </v>
      </c>
      <c r="J3860" s="25" t="str">
        <f>IF(OR(E3860="",E3860="!!!",F3860="NEW"),"",COUNTBLANK(OFFSET(A$1,,,SUMPRODUCT(MAX(ROW(E$2:E3860)*(E3860=E$2:E3860)))))-COUNTBLANK(OFFSET(A$1,,,SUMPRODUCT(MAX(ROW(E$1:E3859)*(E2=E$1:E3859))))))</f>
        <v> </v>
      </c>
      <c r="K3860" s="25" t="str">
        <f>IF(OR(E3860="",E3860="!!!",F3860="NEW"),"",INDEX(J$1:J3859,SUMPRODUCT(MAX(ROW(E$1:E3859)*(E3860=E$1:E3859)))))</f>
        <v> </v>
      </c>
      <c r="L3860" s="26"/>
    </row>
    <row r="3861" spans="1:12">
      <c r="A3861" s="20" t="s">
        <v>1900</v>
      </c>
      <c r="E3861" s="21">
        <f>IF(D3861="?OLD","!!!","")</f>
        <v/>
      </c>
      <c r="F3861" s="22" t="str">
        <f>IF(OR(E3861="",E3861="!!!"),"",IF(NOT(ISNA(VLOOKUP(E3861,E$1:E3860,1,FALSE()))),"OLD",IF(AND(E3861&lt;&gt;"",E3861&lt;&gt;"!!!"),"NEW","")))</f>
        <v> </v>
      </c>
      <c r="G3861" s="23" t="str">
        <f>IF(OR(E3861="",E3861="!!!"),"",IF(OR(J3861=0,AND(J3861=1,K3861=1),AND(J3861=1,I3861="SBJ"),AND(J3861=1,I3861=0)),"?IN_FOCUS",IF(J3861&lt;=2,"?ACTIVATED",IF(J3861&lt;&gt;"","?FAMILIAR",IF(F3861="NEW",IF(ISNA(VLOOKUP(E3861,#REF!,1,FALSE())),"?TYPE_IDENTIFIABLE","?REFERENTIAL"),"_")))))</f>
        <v> </v>
      </c>
      <c r="H3861" s="24" t="str">
        <f>IF(J3861&lt;&gt;1,"",IF(I3861="SBJ","CB","?"))</f>
        <v> </v>
      </c>
      <c r="I3861" s="25" t="str">
        <f>IF(OR(E3861="",E3861="!!!",F3861="NEW"),"",INDEX(B3860:B$2,-1+SUMPRODUCT(MAX(ROW(E3860:E$2)*(E3861=E3860:E$2)))))</f>
        <v> </v>
      </c>
      <c r="J3861" s="25" t="str">
        <f>IF(OR(E3861="",E3861="!!!",F3861="NEW"),"",COUNTBLANK(OFFSET(A$1,,,SUMPRODUCT(MAX(ROW(E$2:E3861)*(E3861=E$2:E3861)))))-COUNTBLANK(OFFSET(A$1,,,SUMPRODUCT(MAX(ROW(E$1:E3860)*(E2=E$1:E3860))))))</f>
        <v> </v>
      </c>
      <c r="K3861" s="25" t="str">
        <f>IF(OR(E3861="",E3861="!!!",F3861="NEW"),"",INDEX(J$1:J3860,SUMPRODUCT(MAX(ROW(E$1:E3860)*(E3861=E$1:E3860)))))</f>
        <v> </v>
      </c>
      <c r="L3861" s="26"/>
    </row>
    <row r="3862" spans="1:12">
      <c r="A3862" s="20" t="s">
        <v>886</v>
      </c>
      <c r="B3862" s="27" t="s">
        <v>738</v>
      </c>
      <c r="E3862" s="21">
        <f>IF(D3862="?OLD","!!!","")</f>
        <v/>
      </c>
      <c r="F3862" s="22" t="str">
        <f>IF(OR(E3862="",E3862="!!!"),"",IF(NOT(ISNA(VLOOKUP(E3862,E$1:E3861,1,FALSE()))),"OLD",IF(AND(E3862&lt;&gt;"",E3862&lt;&gt;"!!!"),"NEW","")))</f>
        <v> </v>
      </c>
      <c r="G3862" s="23" t="str">
        <f>IF(OR(E3862="",E3862="!!!"),"",IF(OR(J3862=0,AND(J3862=1,K3862=1),AND(J3862=1,I3862="SBJ"),AND(J3862=1,I3862=0)),"?IN_FOCUS",IF(J3862&lt;=2,"?ACTIVATED",IF(J3862&lt;&gt;"","?FAMILIAR",IF(F3862="NEW",IF(ISNA(VLOOKUP(E3862,#REF!,1,FALSE())),"?TYPE_IDENTIFIABLE","?REFERENTIAL"),"_")))))</f>
        <v> </v>
      </c>
      <c r="H3862" s="24" t="str">
        <f>IF(J3862&lt;&gt;1,"",IF(I3862="SBJ","CB","?"))</f>
        <v> </v>
      </c>
      <c r="I3862" s="25" t="str">
        <f>IF(OR(E3862="",E3862="!!!",F3862="NEW"),"",INDEX(B3861:B$2,-1+SUMPRODUCT(MAX(ROW(E3861:E$2)*(E3862=E3861:E$2)))))</f>
        <v> </v>
      </c>
      <c r="J3862" s="25" t="str">
        <f>IF(OR(E3862="",E3862="!!!",F3862="NEW"),"",COUNTBLANK(OFFSET(A$1,,,SUMPRODUCT(MAX(ROW(E$2:E3862)*(E3862=E$2:E3862)))))-COUNTBLANK(OFFSET(A$1,,,SUMPRODUCT(MAX(ROW(E$1:E3861)*(E2=E$1:E3861))))))</f>
        <v> </v>
      </c>
      <c r="K3862" s="25" t="str">
        <f>IF(OR(E3862="",E3862="!!!",F3862="NEW"),"",INDEX(J$1:J3861,SUMPRODUCT(MAX(ROW(E$1:E3861)*(E3862=E$1:E3861)))))</f>
        <v> </v>
      </c>
      <c r="L3862" s="26"/>
    </row>
    <row r="3863" spans="1:12">
      <c r="A3863" s="20" t="s">
        <v>920</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t="s">
        <v>1417</v>
      </c>
      <c r="B3864" s="27" t="s">
        <v>733</v>
      </c>
      <c r="C3864" s="27" t="s">
        <v>734</v>
      </c>
      <c r="E3864" s="21">
        <f>IF(D3864="?OLD","!!!","")</f>
        <v/>
      </c>
      <c r="F3864" s="22" t="str">
        <f>IF(OR(E3864="",E3864="!!!"),"",IF(NOT(ISNA(VLOOKUP(E3864,E$1:E3863,1,FALSE()))),"OLD",IF(AND(E3864&lt;&gt;"",E3864&lt;&gt;"!!!"),"NEW","")))</f>
        <v> </v>
      </c>
      <c r="G3864" s="23" t="str">
        <f>IF(OR(E3864="",E3864="!!!"),"",IF(OR(J3864=0,AND(J3864=1,K3864=1),AND(J3864=1,I3864="SBJ"),AND(J3864=1,I3864=0)),"?IN_FOCUS",IF(J3864&lt;=2,"?ACTIVATED",IF(J3864&lt;&gt;"","?FAMILIAR",IF(F3864="NEW",IF(ISNA(VLOOKUP(E3864,#REF!,1,FALSE())),"?TYPE_IDENTIFIABLE","?REFERENTIAL"),"_")))))</f>
        <v> </v>
      </c>
      <c r="H3864" s="24" t="str">
        <f>IF(J3864&lt;&gt;1,"",IF(I3864="SBJ","CB","?"))</f>
        <v> </v>
      </c>
      <c r="I3864" s="25" t="str">
        <f>IF(OR(E3864="",E3864="!!!",F3864="NEW"),"",INDEX(B3863:B$2,-1+SUMPRODUCT(MAX(ROW(E3863:E$2)*(E3864=E3863:E$2)))))</f>
        <v> </v>
      </c>
      <c r="J3864" s="25" t="str">
        <f>IF(OR(E3864="",E3864="!!!",F3864="NEW"),"",COUNTBLANK(OFFSET(A$1,,,SUMPRODUCT(MAX(ROW(E$2:E3864)*(E3864=E$2:E3864)))))-COUNTBLANK(OFFSET(A$1,,,SUMPRODUCT(MAX(ROW(E$1:E3863)*(E2=E$1:E3863))))))</f>
        <v> </v>
      </c>
      <c r="K3864" s="25" t="str">
        <f>IF(OR(E3864="",E3864="!!!",F3864="NEW"),"",INDEX(J$1:J3863,SUMPRODUCT(MAX(ROW(E$1:E3863)*(E3864=E$1:E3863)))))</f>
        <v> </v>
      </c>
      <c r="L3864" s="26"/>
    </row>
    <row r="3865" spans="1:12">
      <c r="A3865" s="20" t="s">
        <v>765</v>
      </c>
      <c r="E3865" s="21">
        <f>IF(D3865="?OLD","!!!","")</f>
        <v/>
      </c>
      <c r="F3865" s="22" t="str">
        <f>IF(OR(E3865="",E3865="!!!"),"",IF(NOT(ISNA(VLOOKUP(E3865,E$1:E3864,1,FALSE()))),"OLD",IF(AND(E3865&lt;&gt;"",E3865&lt;&gt;"!!!"),"NEW","")))</f>
        <v> </v>
      </c>
      <c r="G3865" s="23" t="str">
        <f>IF(OR(E3865="",E3865="!!!"),"",IF(OR(J3865=0,AND(J3865=1,K3865=1),AND(J3865=1,I3865="SBJ"),AND(J3865=1,I3865=0)),"?IN_FOCUS",IF(J3865&lt;=2,"?ACTIVATED",IF(J3865&lt;&gt;"","?FAMILIAR",IF(F3865="NEW",IF(ISNA(VLOOKUP(E3865,#REF!,1,FALSE())),"?TYPE_IDENTIFIABLE","?REFERENTIAL"),"_")))))</f>
        <v> </v>
      </c>
      <c r="H3865" s="24" t="str">
        <f>IF(J3865&lt;&gt;1,"",IF(I3865="SBJ","CB","?"))</f>
        <v> </v>
      </c>
      <c r="I3865" s="25" t="str">
        <f>IF(OR(E3865="",E3865="!!!",F3865="NEW"),"",INDEX(B3864:B$2,-1+SUMPRODUCT(MAX(ROW(E3864:E$2)*(E3865=E3864:E$2)))))</f>
        <v> </v>
      </c>
      <c r="J3865" s="25" t="str">
        <f>IF(OR(E3865="",E3865="!!!",F3865="NEW"),"",COUNTBLANK(OFFSET(A$1,,,SUMPRODUCT(MAX(ROW(E$2:E3865)*(E3865=E$2:E3865)))))-COUNTBLANK(OFFSET(A$1,,,SUMPRODUCT(MAX(ROW(E$1:E3864)*(E2=E$1:E3864))))))</f>
        <v> </v>
      </c>
      <c r="K3865" s="25" t="str">
        <f>IF(OR(E3865="",E3865="!!!",F3865="NEW"),"",INDEX(J$1:J3864,SUMPRODUCT(MAX(ROW(E$1:E3864)*(E3865=E$1:E3864)))))</f>
        <v> </v>
      </c>
      <c r="L3865" s="26"/>
    </row>
    <row r="3866" spans="1:12">
      <c r="A3866" s="20" t="s">
        <v>37</v>
      </c>
      <c r="E3866" s="21">
        <f>IF(D3866="?OLD","!!!","")</f>
        <v/>
      </c>
      <c r="F3866" s="22" t="str">
        <f>IF(OR(E3866="",E3866="!!!"),"",IF(NOT(ISNA(VLOOKUP(E3866,E$1:E3865,1,FALSE()))),"OLD",IF(AND(E3866&lt;&gt;"",E3866&lt;&gt;"!!!"),"NEW","")))</f>
        <v> </v>
      </c>
      <c r="G3866" s="23" t="str">
        <f>IF(OR(E3866="",E3866="!!!"),"",IF(OR(J3866=0,AND(J3866=1,K3866=1),AND(J3866=1,I3866="SBJ"),AND(J3866=1,I3866=0)),"?IN_FOCUS",IF(J3866&lt;=2,"?ACTIVATED",IF(J3866&lt;&gt;"","?FAMILIAR",IF(F3866="NEW",IF(ISNA(VLOOKUP(E3866,#REF!,1,FALSE())),"?TYPE_IDENTIFIABLE","?REFERENTIAL"),"_")))))</f>
        <v> </v>
      </c>
      <c r="H3866" s="24" t="str">
        <f>IF(J3866&lt;&gt;1,"",IF(I3866="SBJ","CB","?"))</f>
        <v> </v>
      </c>
      <c r="I3866" s="25" t="str">
        <f>IF(OR(E3866="",E3866="!!!",F3866="NEW"),"",INDEX(B3865:B$2,-1+SUMPRODUCT(MAX(ROW(E3865:E$2)*(E3866=E3865:E$2)))))</f>
        <v> </v>
      </c>
      <c r="J3866" s="25" t="str">
        <f>IF(OR(E3866="",E3866="!!!",F3866="NEW"),"",COUNTBLANK(OFFSET(A$1,,,SUMPRODUCT(MAX(ROW(E$2:E3866)*(E3866=E$2:E3866)))))-COUNTBLANK(OFFSET(A$1,,,SUMPRODUCT(MAX(ROW(E$1:E3865)*(E2=E$1:E3865))))))</f>
        <v> </v>
      </c>
      <c r="K3866" s="25" t="str">
        <f>IF(OR(E3866="",E3866="!!!",F3866="NEW"),"",INDEX(J$1:J3865,SUMPRODUCT(MAX(ROW(E$1:E3865)*(E3866=E$1:E3865)))))</f>
        <v> </v>
      </c>
      <c r="L3866" s="26"/>
    </row>
    <row r="3867" spans="1:12">
      <c r="A3867" s="20" t="s">
        <v>753</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898</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1318</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t="s">
        <v>807</v>
      </c>
      <c r="B3870" s="27" t="s">
        <v>771</v>
      </c>
      <c r="C3870" s="27" t="s">
        <v>749</v>
      </c>
      <c r="D3870" s="27" t="s">
        <v>740</v>
      </c>
      <c r="E3870" s="21">
        <f>IF(D3870="?OLD","!!!","")</f>
        <v/>
      </c>
      <c r="F3870" s="22" t="str">
        <f>IF(OR(E3870="",E3870="!!!"),"",IF(NOT(ISNA(VLOOKUP(E3870,E$1:E3869,1,FALSE()))),"OLD",IF(AND(E3870&lt;&gt;"",E3870&lt;&gt;"!!!"),"NEW","")))</f>
        <v> </v>
      </c>
      <c r="G3870" s="23" t="str">
        <f>IF(OR(E3870="",E3870="!!!"),"",IF(OR(J3870=0,AND(J3870=1,K3870=1),AND(J3870=1,I3870="SBJ"),AND(J3870=1,I3870=0)),"?IN_FOCUS",IF(J3870&lt;=2,"?ACTIVATED",IF(J3870&lt;&gt;"","?FAMILIAR",IF(F3870="NEW",IF(ISNA(VLOOKUP(E3870,#REF!,1,FALSE())),"?TYPE_IDENTIFIABLE","?REFERENTIAL"),"_")))))</f>
        <v> </v>
      </c>
      <c r="H3870" s="24" t="str">
        <f>IF(J3870&lt;&gt;1,"",IF(I3870="SBJ","CB","?"))</f>
        <v> </v>
      </c>
      <c r="I3870" s="25" t="str">
        <f>IF(OR(E3870="",E3870="!!!",F3870="NEW"),"",INDEX(B3869:B$2,-1+SUMPRODUCT(MAX(ROW(E3869:E$2)*(E3870=E3869:E$2)))))</f>
        <v> </v>
      </c>
      <c r="J3870" s="25" t="str">
        <f>IF(OR(E3870="",E3870="!!!",F3870="NEW"),"",COUNTBLANK(OFFSET(A$1,,,SUMPRODUCT(MAX(ROW(E$2:E3870)*(E3870=E$2:E3870)))))-COUNTBLANK(OFFSET(A$1,,,SUMPRODUCT(MAX(ROW(E$1:E3869)*(E2=E$1:E3869))))))</f>
        <v> </v>
      </c>
      <c r="K3870" s="25" t="str">
        <f>IF(OR(E3870="",E3870="!!!",F3870="NEW"),"",INDEX(J$1:J3869,SUMPRODUCT(MAX(ROW(E$1:E3869)*(E3870=E$1:E3869)))))</f>
        <v> </v>
      </c>
      <c r="L3870" s="26"/>
    </row>
    <row r="3871" spans="1:12">
      <c r="A3871" s="20" t="s">
        <v>1149</v>
      </c>
      <c r="E3871" s="21">
        <f>IF(D3871="?OLD","!!!","")</f>
        <v/>
      </c>
      <c r="F3871" s="22" t="str">
        <f>IF(OR(E3871="",E3871="!!!"),"",IF(NOT(ISNA(VLOOKUP(E3871,E$1:E3870,1,FALSE()))),"OLD",IF(AND(E3871&lt;&gt;"",E3871&lt;&gt;"!!!"),"NEW","")))</f>
        <v> </v>
      </c>
      <c r="G3871" s="23" t="str">
        <f>IF(OR(E3871="",E3871="!!!"),"",IF(OR(J3871=0,AND(J3871=1,K3871=1),AND(J3871=1,I3871="SBJ"),AND(J3871=1,I3871=0)),"?IN_FOCUS",IF(J3871&lt;=2,"?ACTIVATED",IF(J3871&lt;&gt;"","?FAMILIAR",IF(F3871="NEW",IF(ISNA(VLOOKUP(E3871,#REF!,1,FALSE())),"?TYPE_IDENTIFIABLE","?REFERENTIAL"),"_")))))</f>
        <v> </v>
      </c>
      <c r="H3871" s="24" t="str">
        <f>IF(J3871&lt;&gt;1,"",IF(I3871="SBJ","CB","?"))</f>
        <v> </v>
      </c>
      <c r="I3871" s="25" t="str">
        <f>IF(OR(E3871="",E3871="!!!",F3871="NEW"),"",INDEX(B3870:B$2,-1+SUMPRODUCT(MAX(ROW(E3870:E$2)*(E3871=E3870:E$2)))))</f>
        <v> </v>
      </c>
      <c r="J3871" s="25" t="str">
        <f>IF(OR(E3871="",E3871="!!!",F3871="NEW"),"",COUNTBLANK(OFFSET(A$1,,,SUMPRODUCT(MAX(ROW(E$2:E3871)*(E3871=E$2:E3871)))))-COUNTBLANK(OFFSET(A$1,,,SUMPRODUCT(MAX(ROW(E$1:E3870)*(E2=E$1:E3870))))))</f>
        <v> </v>
      </c>
      <c r="K3871" s="25" t="str">
        <f>IF(OR(E3871="",E3871="!!!",F3871="NEW"),"",INDEX(J$1:J3870,SUMPRODUCT(MAX(ROW(E$1:E3870)*(E3871=E$1:E3870)))))</f>
        <v> </v>
      </c>
      <c r="L3871" s="26"/>
    </row>
    <row r="3872" spans="1:12">
      <c r="A3872" s="20" t="s">
        <v>1082</v>
      </c>
      <c r="B3872" s="27" t="s">
        <v>777</v>
      </c>
      <c r="C3872" s="27" t="s">
        <v>792</v>
      </c>
      <c r="D3872" s="27" t="s">
        <v>740</v>
      </c>
      <c r="E3872" s="21">
        <f>IF(D3872="?OLD","!!!","")</f>
        <v/>
      </c>
      <c r="F3872" s="22" t="str">
        <f>IF(OR(E3872="",E3872="!!!"),"",IF(NOT(ISNA(VLOOKUP(E3872,E$1:E3871,1,FALSE()))),"OLD",IF(AND(E3872&lt;&gt;"",E3872&lt;&gt;"!!!"),"NEW","")))</f>
        <v> </v>
      </c>
      <c r="G3872" s="23" t="str">
        <f>IF(OR(E3872="",E3872="!!!"),"",IF(OR(J3872=0,AND(J3872=1,K3872=1),AND(J3872=1,I3872="SBJ"),AND(J3872=1,I3872=0)),"?IN_FOCUS",IF(J3872&lt;=2,"?ACTIVATED",IF(J3872&lt;&gt;"","?FAMILIAR",IF(F3872="NEW",IF(ISNA(VLOOKUP(E3872,#REF!,1,FALSE())),"?TYPE_IDENTIFIABLE","?REFERENTIAL"),"_")))))</f>
        <v> </v>
      </c>
      <c r="H3872" s="24" t="str">
        <f>IF(J3872&lt;&gt;1,"",IF(I3872="SBJ","CB","?"))</f>
        <v> </v>
      </c>
      <c r="I3872" s="25" t="str">
        <f>IF(OR(E3872="",E3872="!!!",F3872="NEW"),"",INDEX(B3871:B$2,-1+SUMPRODUCT(MAX(ROW(E3871:E$2)*(E3872=E3871:E$2)))))</f>
        <v> </v>
      </c>
      <c r="J3872" s="25" t="str">
        <f>IF(OR(E3872="",E3872="!!!",F3872="NEW"),"",COUNTBLANK(OFFSET(A$1,,,SUMPRODUCT(MAX(ROW(E$2:E3872)*(E3872=E$2:E3872)))))-COUNTBLANK(OFFSET(A$1,,,SUMPRODUCT(MAX(ROW(E$1:E3871)*(E2=E$1:E3871))))))</f>
        <v> </v>
      </c>
      <c r="K3872" s="25" t="str">
        <f>IF(OR(E3872="",E3872="!!!",F3872="NEW"),"",INDEX(J$1:J3871,SUMPRODUCT(MAX(ROW(E$1:E3871)*(E3872=E$1:E3871)))))</f>
        <v> </v>
      </c>
      <c r="L3872" s="26"/>
    </row>
    <row r="3873" spans="1:12">
      <c r="A3873" s="20" t="s">
        <v>1738</v>
      </c>
      <c r="B3873" s="27" t="s">
        <v>733</v>
      </c>
      <c r="C3873" s="27" t="s">
        <v>908</v>
      </c>
      <c r="D3873" s="27" t="s">
        <v>740</v>
      </c>
      <c r="E3873" s="21">
        <f>IF(D3873="?OLD","!!!","")</f>
        <v/>
      </c>
      <c r="F3873" s="22" t="str">
        <f>IF(OR(E3873="",E3873="!!!"),"",IF(NOT(ISNA(VLOOKUP(E3873,E$1:E3872,1,FALSE()))),"OLD",IF(AND(E3873&lt;&gt;"",E3873&lt;&gt;"!!!"),"NEW","")))</f>
        <v> </v>
      </c>
      <c r="G3873" s="23" t="str">
        <f>IF(OR(E3873="",E3873="!!!"),"",IF(OR(J3873=0,AND(J3873=1,K3873=1),AND(J3873=1,I3873="SBJ"),AND(J3873=1,I3873=0)),"?IN_FOCUS",IF(J3873&lt;=2,"?ACTIVATED",IF(J3873&lt;&gt;"","?FAMILIAR",IF(F3873="NEW",IF(ISNA(VLOOKUP(E3873,#REF!,1,FALSE())),"?TYPE_IDENTIFIABLE","?REFERENTIAL"),"_")))))</f>
        <v> </v>
      </c>
      <c r="H3873" s="24" t="str">
        <f>IF(J3873&lt;&gt;1,"",IF(I3873="SBJ","CB","?"))</f>
        <v> </v>
      </c>
      <c r="I3873" s="25" t="str">
        <f>IF(OR(E3873="",E3873="!!!",F3873="NEW"),"",INDEX(B3872:B$2,-1+SUMPRODUCT(MAX(ROW(E3872:E$2)*(E3873=E3872:E$2)))))</f>
        <v> </v>
      </c>
      <c r="J3873" s="25" t="str">
        <f>IF(OR(E3873="",E3873="!!!",F3873="NEW"),"",COUNTBLANK(OFFSET(A$1,,,SUMPRODUCT(MAX(ROW(E$2:E3873)*(E3873=E$2:E3873)))))-COUNTBLANK(OFFSET(A$1,,,SUMPRODUCT(MAX(ROW(E$1:E3872)*(E2=E$1:E3872))))))</f>
        <v> </v>
      </c>
      <c r="K3873" s="25" t="str">
        <f>IF(OR(E3873="",E3873="!!!",F3873="NEW"),"",INDEX(J$1:J3872,SUMPRODUCT(MAX(ROW(E$1:E3872)*(E3873=E$1:E3872)))))</f>
        <v> </v>
      </c>
      <c r="L3873" s="26"/>
    </row>
    <row r="3874" spans="1:12">
      <c r="A3874" s="20" t="s">
        <v>1331</v>
      </c>
      <c r="E3874" s="21">
        <f>IF(D3874="?OLD","!!!","")</f>
        <v/>
      </c>
      <c r="F3874" s="22" t="str">
        <f>IF(OR(E3874="",E3874="!!!"),"",IF(NOT(ISNA(VLOOKUP(E3874,E$1:E3873,1,FALSE()))),"OLD",IF(AND(E3874&lt;&gt;"",E3874&lt;&gt;"!!!"),"NEW","")))</f>
        <v> </v>
      </c>
      <c r="G3874" s="23" t="str">
        <f>IF(OR(E3874="",E3874="!!!"),"",IF(OR(J3874=0,AND(J3874=1,K3874=1),AND(J3874=1,I3874="SBJ"),AND(J3874=1,I3874=0)),"?IN_FOCUS",IF(J3874&lt;=2,"?ACTIVATED",IF(J3874&lt;&gt;"","?FAMILIAR",IF(F3874="NEW",IF(ISNA(VLOOKUP(E3874,#REF!,1,FALSE())),"?TYPE_IDENTIFIABLE","?REFERENTIAL"),"_")))))</f>
        <v> </v>
      </c>
      <c r="H3874" s="24" t="str">
        <f>IF(J3874&lt;&gt;1,"",IF(I3874="SBJ","CB","?"))</f>
        <v> </v>
      </c>
      <c r="I3874" s="25" t="str">
        <f>IF(OR(E3874="",E3874="!!!",F3874="NEW"),"",INDEX(B3873:B$2,-1+SUMPRODUCT(MAX(ROW(E3873:E$2)*(E3874=E3873:E$2)))))</f>
        <v> </v>
      </c>
      <c r="J3874" s="25" t="str">
        <f>IF(OR(E3874="",E3874="!!!",F3874="NEW"),"",COUNTBLANK(OFFSET(A$1,,,SUMPRODUCT(MAX(ROW(E$2:E3874)*(E3874=E$2:E3874)))))-COUNTBLANK(OFFSET(A$1,,,SUMPRODUCT(MAX(ROW(E$1:E3873)*(E2=E$1:E3873))))))</f>
        <v> </v>
      </c>
      <c r="K3874" s="25" t="str">
        <f>IF(OR(E3874="",E3874="!!!",F3874="NEW"),"",INDEX(J$1:J3873,SUMPRODUCT(MAX(ROW(E$1:E3873)*(E3874=E$1:E3873)))))</f>
        <v> </v>
      </c>
      <c r="L3874" s="26"/>
    </row>
    <row r="3875" spans="1:12">
      <c r="A3875" s="20" t="s">
        <v>746</v>
      </c>
      <c r="E3875" s="21">
        <f>IF(D3875="?OLD","!!!","")</f>
        <v/>
      </c>
      <c r="F3875" s="22" t="str">
        <f>IF(OR(E3875="",E3875="!!!"),"",IF(NOT(ISNA(VLOOKUP(E3875,E$1:E3874,1,FALSE()))),"OLD",IF(AND(E3875&lt;&gt;"",E3875&lt;&gt;"!!!"),"NEW","")))</f>
        <v> </v>
      </c>
      <c r="G3875" s="23" t="str">
        <f>IF(OR(E3875="",E3875="!!!"),"",IF(OR(J3875=0,AND(J3875=1,K3875=1),AND(J3875=1,I3875="SBJ"),AND(J3875=1,I3875=0)),"?IN_FOCUS",IF(J3875&lt;=2,"?ACTIVATED",IF(J3875&lt;&gt;"","?FAMILIAR",IF(F3875="NEW",IF(ISNA(VLOOKUP(E3875,#REF!,1,FALSE())),"?TYPE_IDENTIFIABLE","?REFERENTIAL"),"_")))))</f>
        <v> </v>
      </c>
      <c r="H3875" s="24" t="str">
        <f>IF(J3875&lt;&gt;1,"",IF(I3875="SBJ","CB","?"))</f>
        <v> </v>
      </c>
      <c r="I3875" s="25" t="str">
        <f>IF(OR(E3875="",E3875="!!!",F3875="NEW"),"",INDEX(B3874:B$2,-1+SUMPRODUCT(MAX(ROW(E3874:E$2)*(E3875=E3874:E$2)))))</f>
        <v> </v>
      </c>
      <c r="J3875" s="25" t="str">
        <f>IF(OR(E3875="",E3875="!!!",F3875="NEW"),"",COUNTBLANK(OFFSET(A$1,,,SUMPRODUCT(MAX(ROW(E$2:E3875)*(E3875=E$2:E3875)))))-COUNTBLANK(OFFSET(A$1,,,SUMPRODUCT(MAX(ROW(E$1:E3874)*(E2=E$1:E3874))))))</f>
        <v> </v>
      </c>
      <c r="K3875" s="25" t="str">
        <f>IF(OR(E3875="",E3875="!!!",F3875="NEW"),"",INDEX(J$1:J3874,SUMPRODUCT(MAX(ROW(E$1:E3874)*(E3875=E$1:E3874)))))</f>
        <v> </v>
      </c>
      <c r="L3875" s="26"/>
    </row>
    <row r="3876" spans="1:12">
      <c r="A3876" s="20"/>
    </row>
    <row r="3877" spans="1:12">
      <c r="A3877" s="20" t="s">
        <v>767</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t="s">
        <v>1901</v>
      </c>
    </row>
    <row r="3879" spans="1:12">
      <c r="A3879" s="20" t="s">
        <v>813</v>
      </c>
      <c r="E3879" s="21">
        <f>IF(D3879="?OLD","!!!","")</f>
        <v/>
      </c>
      <c r="F3879" s="22" t="str">
        <f>IF(OR(E3879="",E3879="!!!"),"",IF(NOT(ISNA(VLOOKUP(E3879,E$1:E3878,1,FALSE()))),"OLD",IF(AND(E3879&lt;&gt;"",E3879&lt;&gt;"!!!"),"NEW","")))</f>
        <v> </v>
      </c>
      <c r="G3879" s="23" t="str">
        <f>IF(OR(E3879="",E3879="!!!"),"",IF(OR(J3879=0,AND(J3879=1,K3879=1),AND(J3879=1,I3879="SBJ"),AND(J3879=1,I3879=0)),"?IN_FOCUS",IF(J3879&lt;=2,"?ACTIVATED",IF(J3879&lt;&gt;"","?FAMILIAR",IF(F3879="NEW",IF(ISNA(VLOOKUP(E3879,#REF!,1,FALSE())),"?TYPE_IDENTIFIABLE","?REFERENTIAL"),"_")))))</f>
        <v> </v>
      </c>
      <c r="H3879" s="24" t="str">
        <f>IF(J3879&lt;&gt;1,"",IF(I3879="SBJ","CB","?"))</f>
        <v> </v>
      </c>
      <c r="I3879" s="25" t="str">
        <f>IF(OR(E3879="",E3879="!!!",F3879="NEW"),"",INDEX(B3878:B$2,-1+SUMPRODUCT(MAX(ROW(E3878:E$2)*(E3879=E3878:E$2)))))</f>
        <v> </v>
      </c>
      <c r="J3879" s="25" t="str">
        <f>IF(OR(E3879="",E3879="!!!",F3879="NEW"),"",COUNTBLANK(OFFSET(A$1,,,SUMPRODUCT(MAX(ROW(E$2:E3879)*(E3879=E$2:E3879)))))-COUNTBLANK(OFFSET(A$1,,,SUMPRODUCT(MAX(ROW(E$1:E3878)*(E2=E$1:E3878))))))</f>
        <v> </v>
      </c>
      <c r="K3879" s="25" t="str">
        <f>IF(OR(E3879="",E3879="!!!",F3879="NEW"),"",INDEX(J$1:J3878,SUMPRODUCT(MAX(ROW(E$1:E3878)*(E3879=E$1:E3878)))))</f>
        <v> </v>
      </c>
      <c r="L3879" s="26"/>
    </row>
    <row r="3880" spans="1:12">
      <c r="A3880" s="20" t="s">
        <v>1585</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1902</v>
      </c>
      <c r="B3881" s="27" t="s">
        <v>728</v>
      </c>
      <c r="C3881" s="27" t="s">
        <v>780</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t="s">
        <v>1485</v>
      </c>
      <c r="E3882" s="21">
        <f>IF(D3882="?OLD","!!!","")</f>
        <v/>
      </c>
      <c r="F3882" s="22" t="str">
        <f>IF(OR(E3882="",E3882="!!!"),"",IF(NOT(ISNA(VLOOKUP(E3882,E$1:E3881,1,FALSE()))),"OLD",IF(AND(E3882&lt;&gt;"",E3882&lt;&gt;"!!!"),"NEW","")))</f>
        <v> </v>
      </c>
      <c r="G3882" s="23" t="str">
        <f>IF(OR(E3882="",E3882="!!!"),"",IF(OR(J3882=0,AND(J3882=1,K3882=1),AND(J3882=1,I3882="SBJ"),AND(J3882=1,I3882=0)),"?IN_FOCUS",IF(J3882&lt;=2,"?ACTIVATED",IF(J3882&lt;&gt;"","?FAMILIAR",IF(F3882="NEW",IF(ISNA(VLOOKUP(E3882,#REF!,1,FALSE())),"?TYPE_IDENTIFIABLE","?REFERENTIAL"),"_")))))</f>
        <v> </v>
      </c>
      <c r="H3882" s="24" t="str">
        <f>IF(J3882&lt;&gt;1,"",IF(I3882="SBJ","CB","?"))</f>
        <v> </v>
      </c>
      <c r="I3882" s="25" t="str">
        <f>IF(OR(E3882="",E3882="!!!",F3882="NEW"),"",INDEX(B3881:B$2,-1+SUMPRODUCT(MAX(ROW(E3881:E$2)*(E3882=E3881:E$2)))))</f>
        <v> </v>
      </c>
      <c r="J3882" s="25" t="str">
        <f>IF(OR(E3882="",E3882="!!!",F3882="NEW"),"",COUNTBLANK(OFFSET(A$1,,,SUMPRODUCT(MAX(ROW(E$2:E3882)*(E3882=E$2:E3882)))))-COUNTBLANK(OFFSET(A$1,,,SUMPRODUCT(MAX(ROW(E$1:E3881)*(E2=E$1:E3881))))))</f>
        <v> </v>
      </c>
      <c r="K3882" s="25" t="str">
        <f>IF(OR(E3882="",E3882="!!!",F3882="NEW"),"",INDEX(J$1:J3881,SUMPRODUCT(MAX(ROW(E$1:E3881)*(E3882=E$1:E3881)))))</f>
        <v> </v>
      </c>
      <c r="L3882" s="26"/>
    </row>
    <row r="3883" spans="1:12">
      <c r="A3883" s="20" t="s">
        <v>1507</v>
      </c>
      <c r="E3883" s="21">
        <f>IF(D3883="?OLD","!!!","")</f>
        <v/>
      </c>
      <c r="F3883" s="22" t="str">
        <f>IF(OR(E3883="",E3883="!!!"),"",IF(NOT(ISNA(VLOOKUP(E3883,E$1:E3882,1,FALSE()))),"OLD",IF(AND(E3883&lt;&gt;"",E3883&lt;&gt;"!!!"),"NEW","")))</f>
        <v> </v>
      </c>
      <c r="G3883" s="23" t="str">
        <f>IF(OR(E3883="",E3883="!!!"),"",IF(OR(J3883=0,AND(J3883=1,K3883=1),AND(J3883=1,I3883="SBJ"),AND(J3883=1,I3883=0)),"?IN_FOCUS",IF(J3883&lt;=2,"?ACTIVATED",IF(J3883&lt;&gt;"","?FAMILIAR",IF(F3883="NEW",IF(ISNA(VLOOKUP(E3883,#REF!,1,FALSE())),"?TYPE_IDENTIFIABLE","?REFERENTIAL"),"_")))))</f>
        <v> </v>
      </c>
      <c r="H3883" s="24" t="str">
        <f>IF(J3883&lt;&gt;1,"",IF(I3883="SBJ","CB","?"))</f>
        <v> </v>
      </c>
      <c r="I3883" s="25" t="str">
        <f>IF(OR(E3883="",E3883="!!!",F3883="NEW"),"",INDEX(B3882:B$2,-1+SUMPRODUCT(MAX(ROW(E3882:E$2)*(E3883=E3882:E$2)))))</f>
        <v> </v>
      </c>
      <c r="J3883" s="25" t="str">
        <f>IF(OR(E3883="",E3883="!!!",F3883="NEW"),"",COUNTBLANK(OFFSET(A$1,,,SUMPRODUCT(MAX(ROW(E$2:E3883)*(E3883=E$2:E3883)))))-COUNTBLANK(OFFSET(A$1,,,SUMPRODUCT(MAX(ROW(E$1:E3882)*(E2=E$1:E3882))))))</f>
        <v> </v>
      </c>
      <c r="K3883" s="25" t="str">
        <f>IF(OR(E3883="",E3883="!!!",F3883="NEW"),"",INDEX(J$1:J3882,SUMPRODUCT(MAX(ROW(E$1:E3882)*(E3883=E$1:E3882)))))</f>
        <v> </v>
      </c>
      <c r="L3883" s="26"/>
    </row>
    <row r="3884" spans="1:12">
      <c r="A3884" s="20" t="s">
        <v>788</v>
      </c>
      <c r="E3884" s="21">
        <f>IF(D3884="?OLD","!!!","")</f>
        <v/>
      </c>
      <c r="F3884" s="22" t="str">
        <f>IF(OR(E3884="",E3884="!!!"),"",IF(NOT(ISNA(VLOOKUP(E3884,E$1:E3883,1,FALSE()))),"OLD",IF(AND(E3884&lt;&gt;"",E3884&lt;&gt;"!!!"),"NEW","")))</f>
        <v> </v>
      </c>
      <c r="G3884" s="23" t="str">
        <f>IF(OR(E3884="",E3884="!!!"),"",IF(OR(J3884=0,AND(J3884=1,K3884=1),AND(J3884=1,I3884="SBJ"),AND(J3884=1,I3884=0)),"?IN_FOCUS",IF(J3884&lt;=2,"?ACTIVATED",IF(J3884&lt;&gt;"","?FAMILIAR",IF(F3884="NEW",IF(ISNA(VLOOKUP(E3884,#REF!,1,FALSE())),"?TYPE_IDENTIFIABLE","?REFERENTIAL"),"_")))))</f>
        <v> </v>
      </c>
      <c r="H3884" s="24" t="str">
        <f>IF(J3884&lt;&gt;1,"",IF(I3884="SBJ","CB","?"))</f>
        <v> </v>
      </c>
      <c r="I3884" s="25" t="str">
        <f>IF(OR(E3884="",E3884="!!!",F3884="NEW"),"",INDEX(B3883:B$2,-1+SUMPRODUCT(MAX(ROW(E3883:E$2)*(E3884=E3883:E$2)))))</f>
        <v> </v>
      </c>
      <c r="J3884" s="25" t="str">
        <f>IF(OR(E3884="",E3884="!!!",F3884="NEW"),"",COUNTBLANK(OFFSET(A$1,,,SUMPRODUCT(MAX(ROW(E$2:E3884)*(E3884=E$2:E3884)))))-COUNTBLANK(OFFSET(A$1,,,SUMPRODUCT(MAX(ROW(E$1:E3883)*(E2=E$1:E3883))))))</f>
        <v> </v>
      </c>
      <c r="K3884" s="25" t="str">
        <f>IF(OR(E3884="",E3884="!!!",F3884="NEW"),"",INDEX(J$1:J3883,SUMPRODUCT(MAX(ROW(E$1:E3883)*(E3884=E$1:E3883)))))</f>
        <v> </v>
      </c>
      <c r="L3884" s="26"/>
    </row>
    <row r="3885" spans="1:12">
      <c r="A3885" s="20" t="s">
        <v>1029</v>
      </c>
      <c r="E3885" s="21">
        <f>IF(D3885="?OLD","!!!","")</f>
        <v/>
      </c>
      <c r="F3885" s="22" t="str">
        <f>IF(OR(E3885="",E3885="!!!"),"",IF(NOT(ISNA(VLOOKUP(E3885,E$1:E3884,1,FALSE()))),"OLD",IF(AND(E3885&lt;&gt;"",E3885&lt;&gt;"!!!"),"NEW","")))</f>
        <v> </v>
      </c>
      <c r="G3885" s="23" t="str">
        <f>IF(OR(E3885="",E3885="!!!"),"",IF(OR(J3885=0,AND(J3885=1,K3885=1),AND(J3885=1,I3885="SBJ"),AND(J3885=1,I3885=0)),"?IN_FOCUS",IF(J3885&lt;=2,"?ACTIVATED",IF(J3885&lt;&gt;"","?FAMILIAR",IF(F3885="NEW",IF(ISNA(VLOOKUP(E3885,#REF!,1,FALSE())),"?TYPE_IDENTIFIABLE","?REFERENTIAL"),"_")))))</f>
        <v> </v>
      </c>
      <c r="H3885" s="24" t="str">
        <f>IF(J3885&lt;&gt;1,"",IF(I3885="SBJ","CB","?"))</f>
        <v> </v>
      </c>
      <c r="I3885" s="25" t="str">
        <f>IF(OR(E3885="",E3885="!!!",F3885="NEW"),"",INDEX(B3884:B$2,-1+SUMPRODUCT(MAX(ROW(E3884:E$2)*(E3885=E3884:E$2)))))</f>
        <v> </v>
      </c>
      <c r="J3885" s="25" t="str">
        <f>IF(OR(E3885="",E3885="!!!",F3885="NEW"),"",COUNTBLANK(OFFSET(A$1,,,SUMPRODUCT(MAX(ROW(E$2:E3885)*(E3885=E$2:E3885)))))-COUNTBLANK(OFFSET(A$1,,,SUMPRODUCT(MAX(ROW(E$1:E3884)*(E2=E$1:E3884))))))</f>
        <v> </v>
      </c>
      <c r="K3885" s="25" t="str">
        <f>IF(OR(E3885="",E3885="!!!",F3885="NEW"),"",INDEX(J$1:J3884,SUMPRODUCT(MAX(ROW(E$1:E3884)*(E3885=E$1:E3884)))))</f>
        <v> </v>
      </c>
      <c r="L3885" s="26"/>
    </row>
    <row r="3886" spans="1:12">
      <c r="A3886" s="20" t="s">
        <v>797</v>
      </c>
      <c r="E3886" s="21">
        <f>IF(D3886="?OLD","!!!","")</f>
        <v/>
      </c>
      <c r="F3886" s="22" t="str">
        <f>IF(OR(E3886="",E3886="!!!"),"",IF(NOT(ISNA(VLOOKUP(E3886,E$1:E3885,1,FALSE()))),"OLD",IF(AND(E3886&lt;&gt;"",E3886&lt;&gt;"!!!"),"NEW","")))</f>
        <v> </v>
      </c>
      <c r="G3886" s="23" t="str">
        <f>IF(OR(E3886="",E3886="!!!"),"",IF(OR(J3886=0,AND(J3886=1,K3886=1),AND(J3886=1,I3886="SBJ"),AND(J3886=1,I3886=0)),"?IN_FOCUS",IF(J3886&lt;=2,"?ACTIVATED",IF(J3886&lt;&gt;"","?FAMILIAR",IF(F3886="NEW",IF(ISNA(VLOOKUP(E3886,#REF!,1,FALSE())),"?TYPE_IDENTIFIABLE","?REFERENTIAL"),"_")))))</f>
        <v> </v>
      </c>
      <c r="H3886" s="24" t="str">
        <f>IF(J3886&lt;&gt;1,"",IF(I3886="SBJ","CB","?"))</f>
        <v> </v>
      </c>
      <c r="I3886" s="25" t="str">
        <f>IF(OR(E3886="",E3886="!!!",F3886="NEW"),"",INDEX(B3885:B$2,-1+SUMPRODUCT(MAX(ROW(E3885:E$2)*(E3886=E3885:E$2)))))</f>
        <v> </v>
      </c>
      <c r="J3886" s="25" t="str">
        <f>IF(OR(E3886="",E3886="!!!",F3886="NEW"),"",COUNTBLANK(OFFSET(A$1,,,SUMPRODUCT(MAX(ROW(E$2:E3886)*(E3886=E$2:E3886)))))-COUNTBLANK(OFFSET(A$1,,,SUMPRODUCT(MAX(ROW(E$1:E3885)*(E2=E$1:E3885))))))</f>
        <v> </v>
      </c>
      <c r="K3886" s="25" t="str">
        <f>IF(OR(E3886="",E3886="!!!",F3886="NEW"),"",INDEX(J$1:J3885,SUMPRODUCT(MAX(ROW(E$1:E3885)*(E3886=E$1:E3885)))))</f>
        <v> </v>
      </c>
      <c r="L3886" s="26"/>
    </row>
    <row r="3887" spans="1:12">
      <c r="A3887" s="20" t="s">
        <v>726</v>
      </c>
      <c r="E3887" s="21">
        <f>IF(D3887="?OLD","!!!","")</f>
        <v/>
      </c>
      <c r="F3887" s="22" t="str">
        <f>IF(OR(E3887="",E3887="!!!"),"",IF(NOT(ISNA(VLOOKUP(E3887,E$1:E3886,1,FALSE()))),"OLD",IF(AND(E3887&lt;&gt;"",E3887&lt;&gt;"!!!"),"NEW","")))</f>
        <v> </v>
      </c>
      <c r="G3887" s="23" t="str">
        <f>IF(OR(E3887="",E3887="!!!"),"",IF(OR(J3887=0,AND(J3887=1,K3887=1),AND(J3887=1,I3887="SBJ"),AND(J3887=1,I3887=0)),"?IN_FOCUS",IF(J3887&lt;=2,"?ACTIVATED",IF(J3887&lt;&gt;"","?FAMILIAR",IF(F3887="NEW",IF(ISNA(VLOOKUP(E3887,#REF!,1,FALSE())),"?TYPE_IDENTIFIABLE","?REFERENTIAL"),"_")))))</f>
        <v> </v>
      </c>
      <c r="H3887" s="24" t="str">
        <f>IF(J3887&lt;&gt;1,"",IF(I3887="SBJ","CB","?"))</f>
        <v> </v>
      </c>
      <c r="I3887" s="25" t="str">
        <f>IF(OR(E3887="",E3887="!!!",F3887="NEW"),"",INDEX(B3886:B$2,-1+SUMPRODUCT(MAX(ROW(E3886:E$2)*(E3887=E3886:E$2)))))</f>
        <v> </v>
      </c>
      <c r="J3887" s="25" t="str">
        <f>IF(OR(E3887="",E3887="!!!",F3887="NEW"),"",COUNTBLANK(OFFSET(A$1,,,SUMPRODUCT(MAX(ROW(E$2:E3887)*(E3887=E$2:E3887)))))-COUNTBLANK(OFFSET(A$1,,,SUMPRODUCT(MAX(ROW(E$1:E3886)*(E2=E$1:E3886))))))</f>
        <v> </v>
      </c>
      <c r="K3887" s="25" t="str">
        <f>IF(OR(E3887="",E3887="!!!",F3887="NEW"),"",INDEX(J$1:J3886,SUMPRODUCT(MAX(ROW(E$1:E3886)*(E3887=E$1:E3886)))))</f>
        <v> </v>
      </c>
      <c r="L3887" s="26"/>
    </row>
    <row r="3888" spans="1:12">
      <c r="A3888" s="20" t="s">
        <v>838</v>
      </c>
      <c r="E3888" s="21">
        <f>IF(D3888="?OLD","!!!","")</f>
        <v/>
      </c>
      <c r="F3888" s="22" t="str">
        <f>IF(OR(E3888="",E3888="!!!"),"",IF(NOT(ISNA(VLOOKUP(E3888,E$1:E3887,1,FALSE()))),"OLD",IF(AND(E3888&lt;&gt;"",E3888&lt;&gt;"!!!"),"NEW","")))</f>
        <v> </v>
      </c>
      <c r="G3888" s="23" t="str">
        <f>IF(OR(E3888="",E3888="!!!"),"",IF(OR(J3888=0,AND(J3888=1,K3888=1),AND(J3888=1,I3888="SBJ"),AND(J3888=1,I3888=0)),"?IN_FOCUS",IF(J3888&lt;=2,"?ACTIVATED",IF(J3888&lt;&gt;"","?FAMILIAR",IF(F3888="NEW",IF(ISNA(VLOOKUP(E3888,#REF!,1,FALSE())),"?TYPE_IDENTIFIABLE","?REFERENTIAL"),"_")))))</f>
        <v> </v>
      </c>
      <c r="H3888" s="24" t="str">
        <f>IF(J3888&lt;&gt;1,"",IF(I3888="SBJ","CB","?"))</f>
        <v> </v>
      </c>
      <c r="I3888" s="25" t="str">
        <f>IF(OR(E3888="",E3888="!!!",F3888="NEW"),"",INDEX(B3887:B$2,-1+SUMPRODUCT(MAX(ROW(E3887:E$2)*(E3888=E3887:E$2)))))</f>
        <v> </v>
      </c>
      <c r="J3888" s="25" t="str">
        <f>IF(OR(E3888="",E3888="!!!",F3888="NEW"),"",COUNTBLANK(OFFSET(A$1,,,SUMPRODUCT(MAX(ROW(E$2:E3888)*(E3888=E$2:E3888)))))-COUNTBLANK(OFFSET(A$1,,,SUMPRODUCT(MAX(ROW(E$1:E3887)*(E2=E$1:E3887))))))</f>
        <v> </v>
      </c>
      <c r="K3888" s="25" t="str">
        <f>IF(OR(E3888="",E3888="!!!",F3888="NEW"),"",INDEX(J$1:J3887,SUMPRODUCT(MAX(ROW(E$1:E3887)*(E3888=E$1:E3887)))))</f>
        <v> </v>
      </c>
      <c r="L3888" s="26"/>
    </row>
    <row r="3889" spans="1:12">
      <c r="A3889" s="20" t="s">
        <v>1903</v>
      </c>
      <c r="E3889" s="21">
        <f>IF(D3889="?OLD","!!!","")</f>
        <v/>
      </c>
      <c r="F3889" s="22" t="str">
        <f>IF(OR(E3889="",E3889="!!!"),"",IF(NOT(ISNA(VLOOKUP(E3889,E$1:E3888,1,FALSE()))),"OLD",IF(AND(E3889&lt;&gt;"",E3889&lt;&gt;"!!!"),"NEW","")))</f>
        <v> </v>
      </c>
      <c r="G3889" s="23" t="str">
        <f>IF(OR(E3889="",E3889="!!!"),"",IF(OR(J3889=0,AND(J3889=1,K3889=1),AND(J3889=1,I3889="SBJ"),AND(J3889=1,I3889=0)),"?IN_FOCUS",IF(J3889&lt;=2,"?ACTIVATED",IF(J3889&lt;&gt;"","?FAMILIAR",IF(F3889="NEW",IF(ISNA(VLOOKUP(E3889,#REF!,1,FALSE())),"?TYPE_IDENTIFIABLE","?REFERENTIAL"),"_")))))</f>
        <v> </v>
      </c>
      <c r="H3889" s="24" t="str">
        <f>IF(J3889&lt;&gt;1,"",IF(I3889="SBJ","CB","?"))</f>
        <v> </v>
      </c>
      <c r="I3889" s="25" t="str">
        <f>IF(OR(E3889="",E3889="!!!",F3889="NEW"),"",INDEX(B3888:B$2,-1+SUMPRODUCT(MAX(ROW(E3888:E$2)*(E3889=E3888:E$2)))))</f>
        <v> </v>
      </c>
      <c r="J3889" s="25" t="str">
        <f>IF(OR(E3889="",E3889="!!!",F3889="NEW"),"",COUNTBLANK(OFFSET(A$1,,,SUMPRODUCT(MAX(ROW(E$2:E3889)*(E3889=E$2:E3889)))))-COUNTBLANK(OFFSET(A$1,,,SUMPRODUCT(MAX(ROW(E$1:E3888)*(E2=E$1:E3888))))))</f>
        <v> </v>
      </c>
      <c r="K3889" s="25" t="str">
        <f>IF(OR(E3889="",E3889="!!!",F3889="NEW"),"",INDEX(J$1:J3888,SUMPRODUCT(MAX(ROW(E$1:E3888)*(E3889=E$1:E3888)))))</f>
        <v> </v>
      </c>
      <c r="L3889" s="26"/>
    </row>
    <row r="3890" spans="1:12">
      <c r="A3890" s="20" t="s">
        <v>912</v>
      </c>
      <c r="B3890" s="27" t="s">
        <v>795</v>
      </c>
      <c r="C3890" s="27" t="s">
        <v>749</v>
      </c>
      <c r="D3890" s="27" t="s">
        <v>740</v>
      </c>
      <c r="E3890" s="21">
        <f>IF(D3890="?OLD","!!!","")</f>
        <v/>
      </c>
      <c r="F3890" s="22" t="str">
        <f>IF(OR(E3890="",E3890="!!!"),"",IF(NOT(ISNA(VLOOKUP(E3890,E$1:E3889,1,FALSE()))),"OLD",IF(AND(E3890&lt;&gt;"",E3890&lt;&gt;"!!!"),"NEW","")))</f>
        <v> </v>
      </c>
      <c r="G3890" s="23" t="str">
        <f>IF(OR(E3890="",E3890="!!!"),"",IF(OR(J3890=0,AND(J3890=1,K3890=1),AND(J3890=1,I3890="SBJ"),AND(J3890=1,I3890=0)),"?IN_FOCUS",IF(J3890&lt;=2,"?ACTIVATED",IF(J3890&lt;&gt;"","?FAMILIAR",IF(F3890="NEW",IF(ISNA(VLOOKUP(E3890,#REF!,1,FALSE())),"?TYPE_IDENTIFIABLE","?REFERENTIAL"),"_")))))</f>
        <v> </v>
      </c>
      <c r="H3890" s="24" t="str">
        <f>IF(J3890&lt;&gt;1,"",IF(I3890="SBJ","CB","?"))</f>
        <v> </v>
      </c>
      <c r="I3890" s="25" t="str">
        <f>IF(OR(E3890="",E3890="!!!",F3890="NEW"),"",INDEX(B3889:B$2,-1+SUMPRODUCT(MAX(ROW(E3889:E$2)*(E3890=E3889:E$2)))))</f>
        <v> </v>
      </c>
      <c r="J3890" s="25" t="str">
        <f>IF(OR(E3890="",E3890="!!!",F3890="NEW"),"",COUNTBLANK(OFFSET(A$1,,,SUMPRODUCT(MAX(ROW(E$2:E3890)*(E3890=E$2:E3890)))))-COUNTBLANK(OFFSET(A$1,,,SUMPRODUCT(MAX(ROW(E$1:E3889)*(E2=E$1:E3889))))))</f>
        <v> </v>
      </c>
      <c r="K3890" s="25" t="str">
        <f>IF(OR(E3890="",E3890="!!!",F3890="NEW"),"",INDEX(J$1:J3889,SUMPRODUCT(MAX(ROW(E$1:E3889)*(E3890=E$1:E3889)))))</f>
        <v> </v>
      </c>
      <c r="L3890" s="26"/>
    </row>
    <row r="3891" spans="1:12">
      <c r="A3891" s="20" t="s">
        <v>1904</v>
      </c>
      <c r="B3891" s="27" t="s">
        <v>764</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t="s">
        <v>1905</v>
      </c>
      <c r="B3892" s="27" t="s">
        <v>777</v>
      </c>
      <c r="C3892" s="27" t="s">
        <v>888</v>
      </c>
      <c r="D3892" s="27" t="s">
        <v>740</v>
      </c>
      <c r="E3892" s="21">
        <f>IF(D3892="?OLD","!!!","")</f>
        <v/>
      </c>
      <c r="F3892" s="22" t="str">
        <f>IF(OR(E3892="",E3892="!!!"),"",IF(NOT(ISNA(VLOOKUP(E3892,E$1:E3891,1,FALSE()))),"OLD",IF(AND(E3892&lt;&gt;"",E3892&lt;&gt;"!!!"),"NEW","")))</f>
        <v> </v>
      </c>
      <c r="G3892" s="23" t="str">
        <f>IF(OR(E3892="",E3892="!!!"),"",IF(OR(J3892=0,AND(J3892=1,K3892=1),AND(J3892=1,I3892="SBJ"),AND(J3892=1,I3892=0)),"?IN_FOCUS",IF(J3892&lt;=2,"?ACTIVATED",IF(J3892&lt;&gt;"","?FAMILIAR",IF(F3892="NEW",IF(ISNA(VLOOKUP(E3892,#REF!,1,FALSE())),"?TYPE_IDENTIFIABLE","?REFERENTIAL"),"_")))))</f>
        <v> </v>
      </c>
      <c r="H3892" s="24" t="str">
        <f>IF(J3892&lt;&gt;1,"",IF(I3892="SBJ","CB","?"))</f>
        <v> </v>
      </c>
      <c r="I3892" s="25" t="str">
        <f>IF(OR(E3892="",E3892="!!!",F3892="NEW"),"",INDEX(B3891:B$2,-1+SUMPRODUCT(MAX(ROW(E3891:E$2)*(E3892=E3891:E$2)))))</f>
        <v> </v>
      </c>
      <c r="J3892" s="25" t="str">
        <f>IF(OR(E3892="",E3892="!!!",F3892="NEW"),"",COUNTBLANK(OFFSET(A$1,,,SUMPRODUCT(MAX(ROW(E$2:E3892)*(E3892=E$2:E3892)))))-COUNTBLANK(OFFSET(A$1,,,SUMPRODUCT(MAX(ROW(E$1:E3891)*(E2=E$1:E3891))))))</f>
        <v> </v>
      </c>
      <c r="K3892" s="25" t="str">
        <f>IF(OR(E3892="",E3892="!!!",F3892="NEW"),"",INDEX(J$1:J3891,SUMPRODUCT(MAX(ROW(E$1:E3891)*(E3892=E$1:E3891)))))</f>
        <v> </v>
      </c>
      <c r="L3892" s="26"/>
    </row>
    <row r="3893" spans="1:12">
      <c r="A3893" s="20" t="s">
        <v>576</v>
      </c>
      <c r="E3893" s="21">
        <f>IF(D3893="?OLD","!!!","")</f>
        <v/>
      </c>
      <c r="F3893" s="22" t="str">
        <f>IF(OR(E3893="",E3893="!!!"),"",IF(NOT(ISNA(VLOOKUP(E3893,E$1:E3892,1,FALSE()))),"OLD",IF(AND(E3893&lt;&gt;"",E3893&lt;&gt;"!!!"),"NEW","")))</f>
        <v> </v>
      </c>
      <c r="G3893" s="23" t="str">
        <f>IF(OR(E3893="",E3893="!!!"),"",IF(OR(J3893=0,AND(J3893=1,K3893=1),AND(J3893=1,I3893="SBJ"),AND(J3893=1,I3893=0)),"?IN_FOCUS",IF(J3893&lt;=2,"?ACTIVATED",IF(J3893&lt;&gt;"","?FAMILIAR",IF(F3893="NEW",IF(ISNA(VLOOKUP(E3893,#REF!,1,FALSE())),"?TYPE_IDENTIFIABLE","?REFERENTIAL"),"_")))))</f>
        <v> </v>
      </c>
      <c r="H3893" s="24" t="str">
        <f>IF(J3893&lt;&gt;1,"",IF(I3893="SBJ","CB","?"))</f>
        <v> </v>
      </c>
      <c r="I3893" s="25" t="str">
        <f>IF(OR(E3893="",E3893="!!!",F3893="NEW"),"",INDEX(B3892:B$2,-1+SUMPRODUCT(MAX(ROW(E3892:E$2)*(E3893=E3892:E$2)))))</f>
        <v> </v>
      </c>
      <c r="J3893" s="25" t="str">
        <f>IF(OR(E3893="",E3893="!!!",F3893="NEW"),"",COUNTBLANK(OFFSET(A$1,,,SUMPRODUCT(MAX(ROW(E$2:E3893)*(E3893=E$2:E3893)))))-COUNTBLANK(OFFSET(A$1,,,SUMPRODUCT(MAX(ROW(E$1:E3892)*(E2=E$1:E3892))))))</f>
        <v> </v>
      </c>
      <c r="K3893" s="25" t="str">
        <f>IF(OR(E3893="",E3893="!!!",F3893="NEW"),"",INDEX(J$1:J3892,SUMPRODUCT(MAX(ROW(E$1:E3892)*(E3893=E$1:E3892)))))</f>
        <v> </v>
      </c>
      <c r="L3893" s="26"/>
    </row>
    <row r="3894" spans="1:12">
      <c r="A3894" s="20" t="s">
        <v>753</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t="s">
        <v>914</v>
      </c>
      <c r="B3895" s="27" t="s">
        <v>1037</v>
      </c>
      <c r="C3895" s="27" t="s">
        <v>734</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t="s">
        <v>765</v>
      </c>
      <c r="E3896" s="21">
        <f>IF(D3896="?OLD","!!!","")</f>
        <v/>
      </c>
      <c r="F3896" s="22" t="str">
        <f>IF(OR(E3896="",E3896="!!!"),"",IF(NOT(ISNA(VLOOKUP(E3896,E$1:E3895,1,FALSE()))),"OLD",IF(AND(E3896&lt;&gt;"",E3896&lt;&gt;"!!!"),"NEW","")))</f>
        <v> </v>
      </c>
      <c r="G3896" s="23" t="str">
        <f>IF(OR(E3896="",E3896="!!!"),"",IF(OR(J3896=0,AND(J3896=1,K3896=1),AND(J3896=1,I3896="SBJ"),AND(J3896=1,I3896=0)),"?IN_FOCUS",IF(J3896&lt;=2,"?ACTIVATED",IF(J3896&lt;&gt;"","?FAMILIAR",IF(F3896="NEW",IF(ISNA(VLOOKUP(E3896,#REF!,1,FALSE())),"?TYPE_IDENTIFIABLE","?REFERENTIAL"),"_")))))</f>
        <v> </v>
      </c>
      <c r="H3896" s="24" t="str">
        <f>IF(J3896&lt;&gt;1,"",IF(I3896="SBJ","CB","?"))</f>
        <v> </v>
      </c>
      <c r="I3896" s="25" t="str">
        <f>IF(OR(E3896="",E3896="!!!",F3896="NEW"),"",INDEX(B3895:B$2,-1+SUMPRODUCT(MAX(ROW(E3895:E$2)*(E3896=E3895:E$2)))))</f>
        <v> </v>
      </c>
      <c r="J3896" s="25" t="str">
        <f>IF(OR(E3896="",E3896="!!!",F3896="NEW"),"",COUNTBLANK(OFFSET(A$1,,,SUMPRODUCT(MAX(ROW(E$2:E3896)*(E3896=E$2:E3896)))))-COUNTBLANK(OFFSET(A$1,,,SUMPRODUCT(MAX(ROW(E$1:E3895)*(E2=E$1:E3895))))))</f>
        <v> </v>
      </c>
      <c r="K3896" s="25" t="str">
        <f>IF(OR(E3896="",E3896="!!!",F3896="NEW"),"",INDEX(J$1:J3895,SUMPRODUCT(MAX(ROW(E$1:E3895)*(E3896=E$1:E3895)))))</f>
        <v> </v>
      </c>
      <c r="L3896" s="26"/>
    </row>
    <row r="3897" spans="1:12">
      <c r="A3897" s="20" t="s">
        <v>87</v>
      </c>
      <c r="E3897" s="21">
        <f>IF(D3897="?OLD","!!!","")</f>
        <v/>
      </c>
      <c r="F3897" s="22" t="str">
        <f>IF(OR(E3897="",E3897="!!!"),"",IF(NOT(ISNA(VLOOKUP(E3897,E$1:E3896,1,FALSE()))),"OLD",IF(AND(E3897&lt;&gt;"",E3897&lt;&gt;"!!!"),"NEW","")))</f>
        <v> </v>
      </c>
      <c r="G3897" s="23" t="str">
        <f>IF(OR(E3897="",E3897="!!!"),"",IF(OR(J3897=0,AND(J3897=1,K3897=1),AND(J3897=1,I3897="SBJ"),AND(J3897=1,I3897=0)),"?IN_FOCUS",IF(J3897&lt;=2,"?ACTIVATED",IF(J3897&lt;&gt;"","?FAMILIAR",IF(F3897="NEW",IF(ISNA(VLOOKUP(E3897,#REF!,1,FALSE())),"?TYPE_IDENTIFIABLE","?REFERENTIAL"),"_")))))</f>
        <v> </v>
      </c>
      <c r="H3897" s="24" t="str">
        <f>IF(J3897&lt;&gt;1,"",IF(I3897="SBJ","CB","?"))</f>
        <v> </v>
      </c>
      <c r="I3897" s="25" t="str">
        <f>IF(OR(E3897="",E3897="!!!",F3897="NEW"),"",INDEX(B3896:B$2,-1+SUMPRODUCT(MAX(ROW(E3896:E$2)*(E3897=E3896:E$2)))))</f>
        <v> </v>
      </c>
      <c r="J3897" s="25" t="str">
        <f>IF(OR(E3897="",E3897="!!!",F3897="NEW"),"",COUNTBLANK(OFFSET(A$1,,,SUMPRODUCT(MAX(ROW(E$2:E3897)*(E3897=E$2:E3897)))))-COUNTBLANK(OFFSET(A$1,,,SUMPRODUCT(MAX(ROW(E$1:E3896)*(E2=E$1:E3896))))))</f>
        <v> </v>
      </c>
      <c r="K3897" s="25" t="str">
        <f>IF(OR(E3897="",E3897="!!!",F3897="NEW"),"",INDEX(J$1:J3896,SUMPRODUCT(MAX(ROW(E$1:E3896)*(E3897=E$1:E3896)))))</f>
        <v> </v>
      </c>
      <c r="L3897" s="26"/>
    </row>
    <row r="3898" spans="1:12">
      <c r="A3898" s="20" t="s">
        <v>753</v>
      </c>
      <c r="E3898" s="21">
        <f>IF(D3898="?OLD","!!!","")</f>
        <v/>
      </c>
      <c r="F3898" s="22" t="str">
        <f>IF(OR(E3898="",E3898="!!!"),"",IF(NOT(ISNA(VLOOKUP(E3898,E$1:E3897,1,FALSE()))),"OLD",IF(AND(E3898&lt;&gt;"",E3898&lt;&gt;"!!!"),"NEW","")))</f>
        <v> </v>
      </c>
      <c r="G3898" s="23" t="str">
        <f>IF(OR(E3898="",E3898="!!!"),"",IF(OR(J3898=0,AND(J3898=1,K3898=1),AND(J3898=1,I3898="SBJ"),AND(J3898=1,I3898=0)),"?IN_FOCUS",IF(J3898&lt;=2,"?ACTIVATED",IF(J3898&lt;&gt;"","?FAMILIAR",IF(F3898="NEW",IF(ISNA(VLOOKUP(E3898,#REF!,1,FALSE())),"?TYPE_IDENTIFIABLE","?REFERENTIAL"),"_")))))</f>
        <v> </v>
      </c>
      <c r="H3898" s="24" t="str">
        <f>IF(J3898&lt;&gt;1,"",IF(I3898="SBJ","CB","?"))</f>
        <v> </v>
      </c>
      <c r="I3898" s="25" t="str">
        <f>IF(OR(E3898="",E3898="!!!",F3898="NEW"),"",INDEX(B3897:B$2,-1+SUMPRODUCT(MAX(ROW(E3897:E$2)*(E3898=E3897:E$2)))))</f>
        <v> </v>
      </c>
      <c r="J3898" s="25" t="str">
        <f>IF(OR(E3898="",E3898="!!!",F3898="NEW"),"",COUNTBLANK(OFFSET(A$1,,,SUMPRODUCT(MAX(ROW(E$2:E3898)*(E3898=E$2:E3898)))))-COUNTBLANK(OFFSET(A$1,,,SUMPRODUCT(MAX(ROW(E$1:E3897)*(E2=E$1:E3897))))))</f>
        <v> </v>
      </c>
      <c r="K3898" s="25" t="str">
        <f>IF(OR(E3898="",E3898="!!!",F3898="NEW"),"",INDEX(J$1:J3897,SUMPRODUCT(MAX(ROW(E$1:E3897)*(E3898=E$1:E3897)))))</f>
        <v> </v>
      </c>
      <c r="L3898" s="26"/>
    </row>
    <row r="3899" spans="1:12">
      <c r="A3899" s="20" t="s">
        <v>1906</v>
      </c>
      <c r="E3899" s="21">
        <f>IF(D3899="?OLD","!!!","")</f>
        <v/>
      </c>
      <c r="F3899" s="22" t="str">
        <f>IF(OR(E3899="",E3899="!!!"),"",IF(NOT(ISNA(VLOOKUP(E3899,E$1:E3898,1,FALSE()))),"OLD",IF(AND(E3899&lt;&gt;"",E3899&lt;&gt;"!!!"),"NEW","")))</f>
        <v> </v>
      </c>
      <c r="G3899" s="23" t="str">
        <f>IF(OR(E3899="",E3899="!!!"),"",IF(OR(J3899=0,AND(J3899=1,K3899=1),AND(J3899=1,I3899="SBJ"),AND(J3899=1,I3899=0)),"?IN_FOCUS",IF(J3899&lt;=2,"?ACTIVATED",IF(J3899&lt;&gt;"","?FAMILIAR",IF(F3899="NEW",IF(ISNA(VLOOKUP(E3899,#REF!,1,FALSE())),"?TYPE_IDENTIFIABLE","?REFERENTIAL"),"_")))))</f>
        <v> </v>
      </c>
      <c r="H3899" s="24" t="str">
        <f>IF(J3899&lt;&gt;1,"",IF(I3899="SBJ","CB","?"))</f>
        <v> </v>
      </c>
      <c r="I3899" s="25" t="str">
        <f>IF(OR(E3899="",E3899="!!!",F3899="NEW"),"",INDEX(B3898:B$2,-1+SUMPRODUCT(MAX(ROW(E3898:E$2)*(E3899=E3898:E$2)))))</f>
        <v> </v>
      </c>
      <c r="J3899" s="25" t="str">
        <f>IF(OR(E3899="",E3899="!!!",F3899="NEW"),"",COUNTBLANK(OFFSET(A$1,,,SUMPRODUCT(MAX(ROW(E$2:E3899)*(E3899=E$2:E3899)))))-COUNTBLANK(OFFSET(A$1,,,SUMPRODUCT(MAX(ROW(E$1:E3898)*(E2=E$1:E3898))))))</f>
        <v> </v>
      </c>
      <c r="K3899" s="25" t="str">
        <f>IF(OR(E3899="",E3899="!!!",F3899="NEW"),"",INDEX(J$1:J3898,SUMPRODUCT(MAX(ROW(E$1:E3898)*(E3899=E$1:E3898)))))</f>
        <v> </v>
      </c>
      <c r="L3899" s="26"/>
    </row>
    <row r="3900" spans="1:12">
      <c r="A3900" s="20" t="s">
        <v>1410</v>
      </c>
      <c r="B3900" s="27" t="s">
        <v>1026</v>
      </c>
      <c r="C3900" s="27" t="s">
        <v>772</v>
      </c>
      <c r="E3900" s="21">
        <f>IF(D3900="?OLD","!!!","")</f>
        <v/>
      </c>
      <c r="F3900" s="22" t="str">
        <f>IF(OR(E3900="",E3900="!!!"),"",IF(NOT(ISNA(VLOOKUP(E3900,E$1:E3899,1,FALSE()))),"OLD",IF(AND(E3900&lt;&gt;"",E3900&lt;&gt;"!!!"),"NEW","")))</f>
        <v> </v>
      </c>
      <c r="G3900" s="23" t="str">
        <f>IF(OR(E3900="",E3900="!!!"),"",IF(OR(J3900=0,AND(J3900=1,K3900=1),AND(J3900=1,I3900="SBJ"),AND(J3900=1,I3900=0)),"?IN_FOCUS",IF(J3900&lt;=2,"?ACTIVATED",IF(J3900&lt;&gt;"","?FAMILIAR",IF(F3900="NEW",IF(ISNA(VLOOKUP(E3900,#REF!,1,FALSE())),"?TYPE_IDENTIFIABLE","?REFERENTIAL"),"_")))))</f>
        <v> </v>
      </c>
      <c r="H3900" s="24" t="str">
        <f>IF(J3900&lt;&gt;1,"",IF(I3900="SBJ","CB","?"))</f>
        <v> </v>
      </c>
      <c r="I3900" s="25" t="str">
        <f>IF(OR(E3900="",E3900="!!!",F3900="NEW"),"",INDEX(B3899:B$2,-1+SUMPRODUCT(MAX(ROW(E3899:E$2)*(E3900=E3899:E$2)))))</f>
        <v> </v>
      </c>
      <c r="J3900" s="25" t="str">
        <f>IF(OR(E3900="",E3900="!!!",F3900="NEW"),"",COUNTBLANK(OFFSET(A$1,,,SUMPRODUCT(MAX(ROW(E$2:E3900)*(E3900=E$2:E3900)))))-COUNTBLANK(OFFSET(A$1,,,SUMPRODUCT(MAX(ROW(E$1:E3899)*(E2=E$1:E3899))))))</f>
        <v> </v>
      </c>
      <c r="K3900" s="25" t="str">
        <f>IF(OR(E3900="",E3900="!!!",F3900="NEW"),"",INDEX(J$1:J3899,SUMPRODUCT(MAX(ROW(E$1:E3899)*(E3900=E$1:E3899)))))</f>
        <v> </v>
      </c>
      <c r="L3900" s="26"/>
    </row>
    <row r="3901" spans="1:12">
      <c r="A3901" s="20" t="s">
        <v>1907</v>
      </c>
      <c r="E3901" s="21">
        <f>IF(D3901="?OLD","!!!","")</f>
        <v/>
      </c>
      <c r="F3901" s="22" t="str">
        <f>IF(OR(E3901="",E3901="!!!"),"",IF(NOT(ISNA(VLOOKUP(E3901,E$1:E3900,1,FALSE()))),"OLD",IF(AND(E3901&lt;&gt;"",E3901&lt;&gt;"!!!"),"NEW","")))</f>
        <v> </v>
      </c>
      <c r="G3901" s="23" t="str">
        <f>IF(OR(E3901="",E3901="!!!"),"",IF(OR(J3901=0,AND(J3901=1,K3901=1),AND(J3901=1,I3901="SBJ"),AND(J3901=1,I3901=0)),"?IN_FOCUS",IF(J3901&lt;=2,"?ACTIVATED",IF(J3901&lt;&gt;"","?FAMILIAR",IF(F3901="NEW",IF(ISNA(VLOOKUP(E3901,#REF!,1,FALSE())),"?TYPE_IDENTIFIABLE","?REFERENTIAL"),"_")))))</f>
        <v> </v>
      </c>
      <c r="H3901" s="24" t="str">
        <f>IF(J3901&lt;&gt;1,"",IF(I3901="SBJ","CB","?"))</f>
        <v> </v>
      </c>
      <c r="I3901" s="25" t="str">
        <f>IF(OR(E3901="",E3901="!!!",F3901="NEW"),"",INDEX(B3900:B$2,-1+SUMPRODUCT(MAX(ROW(E3900:E$2)*(E3901=E3900:E$2)))))</f>
        <v> </v>
      </c>
      <c r="J3901" s="25" t="str">
        <f>IF(OR(E3901="",E3901="!!!",F3901="NEW"),"",COUNTBLANK(OFFSET(A$1,,,SUMPRODUCT(MAX(ROW(E$2:E3901)*(E3901=E$2:E3901)))))-COUNTBLANK(OFFSET(A$1,,,SUMPRODUCT(MAX(ROW(E$1:E3900)*(E2=E$1:E3900))))))</f>
        <v> </v>
      </c>
      <c r="K3901" s="25" t="str">
        <f>IF(OR(E3901="",E3901="!!!",F3901="NEW"),"",INDEX(J$1:J3900,SUMPRODUCT(MAX(ROW(E$1:E3900)*(E3901=E$1:E3900)))))</f>
        <v> </v>
      </c>
      <c r="L3901" s="26"/>
    </row>
    <row r="3902" spans="1:12">
      <c r="A3902" s="20" t="s">
        <v>1908</v>
      </c>
      <c r="B3902" s="27" t="s">
        <v>1027</v>
      </c>
      <c r="C3902" s="27" t="s">
        <v>780</v>
      </c>
      <c r="E3902" s="21">
        <f>IF(D3902="?OLD","!!!","")</f>
        <v/>
      </c>
      <c r="F3902" s="22" t="str">
        <f>IF(OR(E3902="",E3902="!!!"),"",IF(NOT(ISNA(VLOOKUP(E3902,E$1:E3901,1,FALSE()))),"OLD",IF(AND(E3902&lt;&gt;"",E3902&lt;&gt;"!!!"),"NEW","")))</f>
        <v> </v>
      </c>
      <c r="G3902" s="23" t="str">
        <f>IF(OR(E3902="",E3902="!!!"),"",IF(OR(J3902=0,AND(J3902=1,K3902=1),AND(J3902=1,I3902="SBJ"),AND(J3902=1,I3902=0)),"?IN_FOCUS",IF(J3902&lt;=2,"?ACTIVATED",IF(J3902&lt;&gt;"","?FAMILIAR",IF(F3902="NEW",IF(ISNA(VLOOKUP(E3902,#REF!,1,FALSE())),"?TYPE_IDENTIFIABLE","?REFERENTIAL"),"_")))))</f>
        <v> </v>
      </c>
      <c r="H3902" s="24" t="str">
        <f>IF(J3902&lt;&gt;1,"",IF(I3902="SBJ","CB","?"))</f>
        <v> </v>
      </c>
      <c r="I3902" s="25" t="str">
        <f>IF(OR(E3902="",E3902="!!!",F3902="NEW"),"",INDEX(B3901:B$2,-1+SUMPRODUCT(MAX(ROW(E3901:E$2)*(E3902=E3901:E$2)))))</f>
        <v> </v>
      </c>
      <c r="J3902" s="25" t="str">
        <f>IF(OR(E3902="",E3902="!!!",F3902="NEW"),"",COUNTBLANK(OFFSET(A$1,,,SUMPRODUCT(MAX(ROW(E$2:E3902)*(E3902=E$2:E3902)))))-COUNTBLANK(OFFSET(A$1,,,SUMPRODUCT(MAX(ROW(E$1:E3901)*(E2=E$1:E3901))))))</f>
        <v> </v>
      </c>
      <c r="K3902" s="25" t="str">
        <f>IF(OR(E3902="",E3902="!!!",F3902="NEW"),"",INDEX(J$1:J3901,SUMPRODUCT(MAX(ROW(E$1:E3901)*(E3902=E$1:E3901)))))</f>
        <v> </v>
      </c>
      <c r="L3902" s="26"/>
    </row>
    <row r="3903" spans="1:12">
      <c r="A3903" s="20" t="s">
        <v>970</v>
      </c>
      <c r="E3903" s="21">
        <f>IF(D3903="?OLD","!!!","")</f>
        <v/>
      </c>
      <c r="F3903" s="22" t="str">
        <f>IF(OR(E3903="",E3903="!!!"),"",IF(NOT(ISNA(VLOOKUP(E3903,E$1:E3902,1,FALSE()))),"OLD",IF(AND(E3903&lt;&gt;"",E3903&lt;&gt;"!!!"),"NEW","")))</f>
        <v> </v>
      </c>
      <c r="G3903" s="23" t="str">
        <f>IF(OR(E3903="",E3903="!!!"),"",IF(OR(J3903=0,AND(J3903=1,K3903=1),AND(J3903=1,I3903="SBJ"),AND(J3903=1,I3903=0)),"?IN_FOCUS",IF(J3903&lt;=2,"?ACTIVATED",IF(J3903&lt;&gt;"","?FAMILIAR",IF(F3903="NEW",IF(ISNA(VLOOKUP(E3903,#REF!,1,FALSE())),"?TYPE_IDENTIFIABLE","?REFERENTIAL"),"_")))))</f>
        <v> </v>
      </c>
      <c r="H3903" s="24" t="str">
        <f>IF(J3903&lt;&gt;1,"",IF(I3903="SBJ","CB","?"))</f>
        <v> </v>
      </c>
      <c r="I3903" s="25" t="str">
        <f>IF(OR(E3903="",E3903="!!!",F3903="NEW"),"",INDEX(B3902:B$2,-1+SUMPRODUCT(MAX(ROW(E3902:E$2)*(E3903=E3902:E$2)))))</f>
        <v> </v>
      </c>
      <c r="J3903" s="25" t="str">
        <f>IF(OR(E3903="",E3903="!!!",F3903="NEW"),"",COUNTBLANK(OFFSET(A$1,,,SUMPRODUCT(MAX(ROW(E$2:E3903)*(E3903=E$2:E3903)))))-COUNTBLANK(OFFSET(A$1,,,SUMPRODUCT(MAX(ROW(E$1:E3902)*(E2=E$1:E3902))))))</f>
        <v> </v>
      </c>
      <c r="K3903" s="25" t="str">
        <f>IF(OR(E3903="",E3903="!!!",F3903="NEW"),"",INDEX(J$1:J3902,SUMPRODUCT(MAX(ROW(E$1:E3902)*(E3903=E$1:E3902)))))</f>
        <v> </v>
      </c>
      <c r="L3903" s="26"/>
    </row>
    <row r="3904" spans="1:12">
      <c r="A3904" s="20" t="s">
        <v>1184</v>
      </c>
      <c r="B3904" s="27" t="s">
        <v>1027</v>
      </c>
      <c r="C3904" s="27" t="s">
        <v>772</v>
      </c>
      <c r="E3904" s="21">
        <f>IF(D3904="?OLD","!!!","")</f>
        <v/>
      </c>
      <c r="F3904" s="22" t="str">
        <f>IF(OR(E3904="",E3904="!!!"),"",IF(NOT(ISNA(VLOOKUP(E3904,E$1:E3903,1,FALSE()))),"OLD",IF(AND(E3904&lt;&gt;"",E3904&lt;&gt;"!!!"),"NEW","")))</f>
        <v> </v>
      </c>
      <c r="G3904" s="23" t="str">
        <f>IF(OR(E3904="",E3904="!!!"),"",IF(OR(J3904=0,AND(J3904=1,K3904=1),AND(J3904=1,I3904="SBJ"),AND(J3904=1,I3904=0)),"?IN_FOCUS",IF(J3904&lt;=2,"?ACTIVATED",IF(J3904&lt;&gt;"","?FAMILIAR",IF(F3904="NEW",IF(ISNA(VLOOKUP(E3904,#REF!,1,FALSE())),"?TYPE_IDENTIFIABLE","?REFERENTIAL"),"_")))))</f>
        <v> </v>
      </c>
      <c r="H3904" s="24" t="str">
        <f>IF(J3904&lt;&gt;1,"",IF(I3904="SBJ","CB","?"))</f>
        <v> </v>
      </c>
      <c r="I3904" s="25" t="str">
        <f>IF(OR(E3904="",E3904="!!!",F3904="NEW"),"",INDEX(B3903:B$2,-1+SUMPRODUCT(MAX(ROW(E3903:E$2)*(E3904=E3903:E$2)))))</f>
        <v> </v>
      </c>
      <c r="J3904" s="25" t="str">
        <f>IF(OR(E3904="",E3904="!!!",F3904="NEW"),"",COUNTBLANK(OFFSET(A$1,,,SUMPRODUCT(MAX(ROW(E$2:E3904)*(E3904=E$2:E3904)))))-COUNTBLANK(OFFSET(A$1,,,SUMPRODUCT(MAX(ROW(E$1:E3903)*(E2=E$1:E3903))))))</f>
        <v> </v>
      </c>
      <c r="K3904" s="25" t="str">
        <f>IF(OR(E3904="",E3904="!!!",F3904="NEW"),"",INDEX(J$1:J3903,SUMPRODUCT(MAX(ROW(E$1:E3903)*(E3904=E$1:E3903)))))</f>
        <v> </v>
      </c>
      <c r="L3904" s="26"/>
    </row>
    <row r="3905" spans="1:12">
      <c r="A3905" s="20" t="s">
        <v>753</v>
      </c>
      <c r="E3905" s="21">
        <f>IF(D3905="?OLD","!!!","")</f>
        <v/>
      </c>
      <c r="F3905" s="22" t="str">
        <f>IF(OR(E3905="",E3905="!!!"),"",IF(NOT(ISNA(VLOOKUP(E3905,E$1:E3904,1,FALSE()))),"OLD",IF(AND(E3905&lt;&gt;"",E3905&lt;&gt;"!!!"),"NEW","")))</f>
        <v> </v>
      </c>
      <c r="G3905" s="23" t="str">
        <f>IF(OR(E3905="",E3905="!!!"),"",IF(OR(J3905=0,AND(J3905=1,K3905=1),AND(J3905=1,I3905="SBJ"),AND(J3905=1,I3905=0)),"?IN_FOCUS",IF(J3905&lt;=2,"?ACTIVATED",IF(J3905&lt;&gt;"","?FAMILIAR",IF(F3905="NEW",IF(ISNA(VLOOKUP(E3905,#REF!,1,FALSE())),"?TYPE_IDENTIFIABLE","?REFERENTIAL"),"_")))))</f>
        <v> </v>
      </c>
      <c r="H3905" s="24" t="str">
        <f>IF(J3905&lt;&gt;1,"",IF(I3905="SBJ","CB","?"))</f>
        <v> </v>
      </c>
      <c r="I3905" s="25" t="str">
        <f>IF(OR(E3905="",E3905="!!!",F3905="NEW"),"",INDEX(B3904:B$2,-1+SUMPRODUCT(MAX(ROW(E3904:E$2)*(E3905=E3904:E$2)))))</f>
        <v> </v>
      </c>
      <c r="J3905" s="25" t="str">
        <f>IF(OR(E3905="",E3905="!!!",F3905="NEW"),"",COUNTBLANK(OFFSET(A$1,,,SUMPRODUCT(MAX(ROW(E$2:E3905)*(E3905=E$2:E3905)))))-COUNTBLANK(OFFSET(A$1,,,SUMPRODUCT(MAX(ROW(E$1:E3904)*(E2=E$1:E3904))))))</f>
        <v> </v>
      </c>
      <c r="K3905" s="25" t="str">
        <f>IF(OR(E3905="",E3905="!!!",F3905="NEW"),"",INDEX(J$1:J3904,SUMPRODUCT(MAX(ROW(E$1:E3904)*(E3905=E$1:E3904)))))</f>
        <v> </v>
      </c>
      <c r="L3905" s="26"/>
    </row>
    <row r="3906" spans="1:12">
      <c r="A3906" s="20" t="s">
        <v>794</v>
      </c>
      <c r="B3906" s="27" t="s">
        <v>1352</v>
      </c>
      <c r="C3906" s="27" t="s">
        <v>775</v>
      </c>
      <c r="D3906" s="27" t="s">
        <v>740</v>
      </c>
      <c r="E3906" s="21">
        <f>IF(D3906="?OLD","!!!","")</f>
        <v/>
      </c>
      <c r="F3906" s="22" t="str">
        <f>IF(OR(E3906="",E3906="!!!"),"",IF(NOT(ISNA(VLOOKUP(E3906,E$1:E3905,1,FALSE()))),"OLD",IF(AND(E3906&lt;&gt;"",E3906&lt;&gt;"!!!"),"NEW","")))</f>
        <v> </v>
      </c>
      <c r="G3906" s="23" t="str">
        <f>IF(OR(E3906="",E3906="!!!"),"",IF(OR(J3906=0,AND(J3906=1,K3906=1),AND(J3906=1,I3906="SBJ"),AND(J3906=1,I3906=0)),"?IN_FOCUS",IF(J3906&lt;=2,"?ACTIVATED",IF(J3906&lt;&gt;"","?FAMILIAR",IF(F3906="NEW",IF(ISNA(VLOOKUP(E3906,#REF!,1,FALSE())),"?TYPE_IDENTIFIABLE","?REFERENTIAL"),"_")))))</f>
        <v> </v>
      </c>
      <c r="H3906" s="24" t="str">
        <f>IF(J3906&lt;&gt;1,"",IF(I3906="SBJ","CB","?"))</f>
        <v> </v>
      </c>
      <c r="I3906" s="25" t="str">
        <f>IF(OR(E3906="",E3906="!!!",F3906="NEW"),"",INDEX(B3905:B$2,-1+SUMPRODUCT(MAX(ROW(E3905:E$2)*(E3906=E3905:E$2)))))</f>
        <v> </v>
      </c>
      <c r="J3906" s="25" t="str">
        <f>IF(OR(E3906="",E3906="!!!",F3906="NEW"),"",COUNTBLANK(OFFSET(A$1,,,SUMPRODUCT(MAX(ROW(E$2:E3906)*(E3906=E$2:E3906)))))-COUNTBLANK(OFFSET(A$1,,,SUMPRODUCT(MAX(ROW(E$1:E3905)*(E2=E$1:E3905))))))</f>
        <v> </v>
      </c>
      <c r="K3906" s="25" t="str">
        <f>IF(OR(E3906="",E3906="!!!",F3906="NEW"),"",INDEX(J$1:J3905,SUMPRODUCT(MAX(ROW(E$1:E3905)*(E3906=E$1:E3905)))))</f>
        <v> </v>
      </c>
      <c r="L3906" s="26"/>
    </row>
    <row r="3907" spans="1:12">
      <c r="A3907" s="20" t="s">
        <v>1909</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1173</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836</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726</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row>
    <row r="3912" spans="1:12">
      <c r="A3912" s="20" t="s">
        <v>767</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1910</v>
      </c>
    </row>
    <row r="3914" spans="1:12">
      <c r="A3914" s="20" t="s">
        <v>813</v>
      </c>
      <c r="E3914" s="21">
        <f>IF(D3914="?OLD","!!!","")</f>
        <v/>
      </c>
      <c r="F3914" s="22" t="str">
        <f>IF(OR(E3914="",E3914="!!!"),"",IF(NOT(ISNA(VLOOKUP(E3914,E$1:E3913,1,FALSE()))),"OLD",IF(AND(E3914&lt;&gt;"",E3914&lt;&gt;"!!!"),"NEW","")))</f>
        <v> </v>
      </c>
      <c r="G3914" s="23" t="str">
        <f>IF(OR(E3914="",E3914="!!!"),"",IF(OR(J3914=0,AND(J3914=1,K3914=1),AND(J3914=1,I3914="SBJ"),AND(J3914=1,I3914=0)),"?IN_FOCUS",IF(J3914&lt;=2,"?ACTIVATED",IF(J3914&lt;&gt;"","?FAMILIAR",IF(F3914="NEW",IF(ISNA(VLOOKUP(E3914,#REF!,1,FALSE())),"?TYPE_IDENTIFIABLE","?REFERENTIAL"),"_")))))</f>
        <v> </v>
      </c>
      <c r="H3914" s="24" t="str">
        <f>IF(J3914&lt;&gt;1,"",IF(I3914="SBJ","CB","?"))</f>
        <v> </v>
      </c>
      <c r="I3914" s="25" t="str">
        <f>IF(OR(E3914="",E3914="!!!",F3914="NEW"),"",INDEX(B3913:B$2,-1+SUMPRODUCT(MAX(ROW(E3913:E$2)*(E3914=E3913:E$2)))))</f>
        <v> </v>
      </c>
      <c r="J3914" s="25" t="str">
        <f>IF(OR(E3914="",E3914="!!!",F3914="NEW"),"",COUNTBLANK(OFFSET(A$1,,,SUMPRODUCT(MAX(ROW(E$2:E3914)*(E3914=E$2:E3914)))))-COUNTBLANK(OFFSET(A$1,,,SUMPRODUCT(MAX(ROW(E$1:E3913)*(E2=E$1:E3913))))))</f>
        <v> </v>
      </c>
      <c r="K3914" s="25" t="str">
        <f>IF(OR(E3914="",E3914="!!!",F3914="NEW"),"",INDEX(J$1:J3913,SUMPRODUCT(MAX(ROW(E$1:E3913)*(E3914=E$1:E3913)))))</f>
        <v> </v>
      </c>
      <c r="L3914" s="26"/>
    </row>
    <row r="3915" spans="1:12">
      <c r="A3915" s="20" t="s">
        <v>807</v>
      </c>
      <c r="B3915" s="27" t="s">
        <v>728</v>
      </c>
      <c r="C3915" s="27" t="s">
        <v>749</v>
      </c>
      <c r="D3915" s="27" t="s">
        <v>740</v>
      </c>
      <c r="E3915" s="21">
        <f>IF(D3915="?OLD","!!!","")</f>
        <v/>
      </c>
      <c r="F3915" s="22" t="str">
        <f>IF(OR(E3915="",E3915="!!!"),"",IF(NOT(ISNA(VLOOKUP(E3915,E$1:E3914,1,FALSE()))),"OLD",IF(AND(E3915&lt;&gt;"",E3915&lt;&gt;"!!!"),"NEW","")))</f>
        <v> </v>
      </c>
      <c r="G3915" s="23" t="str">
        <f>IF(OR(E3915="",E3915="!!!"),"",IF(OR(J3915=0,AND(J3915=1,K3915=1),AND(J3915=1,I3915="SBJ"),AND(J3915=1,I3915=0)),"?IN_FOCUS",IF(J3915&lt;=2,"?ACTIVATED",IF(J3915&lt;&gt;"","?FAMILIAR",IF(F3915="NEW",IF(ISNA(VLOOKUP(E3915,#REF!,1,FALSE())),"?TYPE_IDENTIFIABLE","?REFERENTIAL"),"_")))))</f>
        <v> </v>
      </c>
      <c r="H3915" s="24" t="str">
        <f>IF(J3915&lt;&gt;1,"",IF(I3915="SBJ","CB","?"))</f>
        <v> </v>
      </c>
      <c r="I3915" s="25" t="str">
        <f>IF(OR(E3915="",E3915="!!!",F3915="NEW"),"",INDEX(B3914:B$2,-1+SUMPRODUCT(MAX(ROW(E3914:E$2)*(E3915=E3914:E$2)))))</f>
        <v> </v>
      </c>
      <c r="J3915" s="25" t="str">
        <f>IF(OR(E3915="",E3915="!!!",F3915="NEW"),"",COUNTBLANK(OFFSET(A$1,,,SUMPRODUCT(MAX(ROW(E$2:E3915)*(E3915=E$2:E3915)))))-COUNTBLANK(OFFSET(A$1,,,SUMPRODUCT(MAX(ROW(E$1:E3914)*(E2=E$1:E3914))))))</f>
        <v> </v>
      </c>
      <c r="K3915" s="25" t="str">
        <f>IF(OR(E3915="",E3915="!!!",F3915="NEW"),"",INDEX(J$1:J3914,SUMPRODUCT(MAX(ROW(E$1:E3914)*(E3915=E$1:E3914)))))</f>
        <v> </v>
      </c>
      <c r="L3915" s="26"/>
    </row>
    <row r="3916" spans="1:12">
      <c r="A3916" s="20" t="s">
        <v>858</v>
      </c>
      <c r="E3916" s="21">
        <f>IF(D3916="?OLD","!!!","")</f>
        <v/>
      </c>
      <c r="F3916" s="22" t="str">
        <f>IF(OR(E3916="",E3916="!!!"),"",IF(NOT(ISNA(VLOOKUP(E3916,E$1:E3915,1,FALSE()))),"OLD",IF(AND(E3916&lt;&gt;"",E3916&lt;&gt;"!!!"),"NEW","")))</f>
        <v> </v>
      </c>
      <c r="G3916" s="23" t="str">
        <f>IF(OR(E3916="",E3916="!!!"),"",IF(OR(J3916=0,AND(J3916=1,K3916=1),AND(J3916=1,I3916="SBJ"),AND(J3916=1,I3916=0)),"?IN_FOCUS",IF(J3916&lt;=2,"?ACTIVATED",IF(J3916&lt;&gt;"","?FAMILIAR",IF(F3916="NEW",IF(ISNA(VLOOKUP(E3916,#REF!,1,FALSE())),"?TYPE_IDENTIFIABLE","?REFERENTIAL"),"_")))))</f>
        <v> </v>
      </c>
      <c r="H3916" s="24" t="str">
        <f>IF(J3916&lt;&gt;1,"",IF(I3916="SBJ","CB","?"))</f>
        <v> </v>
      </c>
      <c r="I3916" s="25" t="str">
        <f>IF(OR(E3916="",E3916="!!!",F3916="NEW"),"",INDEX(B3915:B$2,-1+SUMPRODUCT(MAX(ROW(E3915:E$2)*(E3916=E3915:E$2)))))</f>
        <v> </v>
      </c>
      <c r="J3916" s="25" t="str">
        <f>IF(OR(E3916="",E3916="!!!",F3916="NEW"),"",COUNTBLANK(OFFSET(A$1,,,SUMPRODUCT(MAX(ROW(E$2:E3916)*(E3916=E$2:E3916)))))-COUNTBLANK(OFFSET(A$1,,,SUMPRODUCT(MAX(ROW(E$1:E3915)*(E2=E$1:E3915))))))</f>
        <v> </v>
      </c>
      <c r="K3916" s="25" t="str">
        <f>IF(OR(E3916="",E3916="!!!",F3916="NEW"),"",INDEX(J$1:J3915,SUMPRODUCT(MAX(ROW(E$1:E3915)*(E3916=E$1:E3915)))))</f>
        <v> </v>
      </c>
      <c r="L3916" s="26"/>
    </row>
    <row r="3917" spans="1:12">
      <c r="A3917" s="20" t="s">
        <v>797</v>
      </c>
      <c r="E3917" s="21">
        <f>IF(D3917="?OLD","!!!","")</f>
        <v/>
      </c>
      <c r="F3917" s="22" t="str">
        <f>IF(OR(E3917="",E3917="!!!"),"",IF(NOT(ISNA(VLOOKUP(E3917,E$1:E3916,1,FALSE()))),"OLD",IF(AND(E3917&lt;&gt;"",E3917&lt;&gt;"!!!"),"NEW","")))</f>
        <v> </v>
      </c>
      <c r="G3917" s="23" t="str">
        <f>IF(OR(E3917="",E3917="!!!"),"",IF(OR(J3917=0,AND(J3917=1,K3917=1),AND(J3917=1,I3917="SBJ"),AND(J3917=1,I3917=0)),"?IN_FOCUS",IF(J3917&lt;=2,"?ACTIVATED",IF(J3917&lt;&gt;"","?FAMILIAR",IF(F3917="NEW",IF(ISNA(VLOOKUP(E3917,#REF!,1,FALSE())),"?TYPE_IDENTIFIABLE","?REFERENTIAL"),"_")))))</f>
        <v> </v>
      </c>
      <c r="H3917" s="24" t="str">
        <f>IF(J3917&lt;&gt;1,"",IF(I3917="SBJ","CB","?"))</f>
        <v> </v>
      </c>
      <c r="I3917" s="25" t="str">
        <f>IF(OR(E3917="",E3917="!!!",F3917="NEW"),"",INDEX(B3916:B$2,-1+SUMPRODUCT(MAX(ROW(E3916:E$2)*(E3917=E3916:E$2)))))</f>
        <v> </v>
      </c>
      <c r="J3917" s="25" t="str">
        <f>IF(OR(E3917="",E3917="!!!",F3917="NEW"),"",COUNTBLANK(OFFSET(A$1,,,SUMPRODUCT(MAX(ROW(E$2:E3917)*(E3917=E$2:E3917)))))-COUNTBLANK(OFFSET(A$1,,,SUMPRODUCT(MAX(ROW(E$1:E3916)*(E2=E$1:E3916))))))</f>
        <v> </v>
      </c>
      <c r="K3917" s="25" t="str">
        <f>IF(OR(E3917="",E3917="!!!",F3917="NEW"),"",INDEX(J$1:J3916,SUMPRODUCT(MAX(ROW(E$1:E3916)*(E3917=E$1:E3916)))))</f>
        <v> </v>
      </c>
      <c r="L3917" s="26"/>
    </row>
    <row r="3918" spans="1:12">
      <c r="A3918" s="20" t="s">
        <v>726</v>
      </c>
      <c r="E3918" s="21">
        <f>IF(D3918="?OLD","!!!","")</f>
        <v/>
      </c>
      <c r="F3918" s="22" t="str">
        <f>IF(OR(E3918="",E3918="!!!"),"",IF(NOT(ISNA(VLOOKUP(E3918,E$1:E3917,1,FALSE()))),"OLD",IF(AND(E3918&lt;&gt;"",E3918&lt;&gt;"!!!"),"NEW","")))</f>
        <v> </v>
      </c>
      <c r="G3918" s="23" t="str">
        <f>IF(OR(E3918="",E3918="!!!"),"",IF(OR(J3918=0,AND(J3918=1,K3918=1),AND(J3918=1,I3918="SBJ"),AND(J3918=1,I3918=0)),"?IN_FOCUS",IF(J3918&lt;=2,"?ACTIVATED",IF(J3918&lt;&gt;"","?FAMILIAR",IF(F3918="NEW",IF(ISNA(VLOOKUP(E3918,#REF!,1,FALSE())),"?TYPE_IDENTIFIABLE","?REFERENTIAL"),"_")))))</f>
        <v> </v>
      </c>
      <c r="H3918" s="24" t="str">
        <f>IF(J3918&lt;&gt;1,"",IF(I3918="SBJ","CB","?"))</f>
        <v> </v>
      </c>
      <c r="I3918" s="25" t="str">
        <f>IF(OR(E3918="",E3918="!!!",F3918="NEW"),"",INDEX(B3917:B$2,-1+SUMPRODUCT(MAX(ROW(E3917:E$2)*(E3918=E3917:E$2)))))</f>
        <v> </v>
      </c>
      <c r="J3918" s="25" t="str">
        <f>IF(OR(E3918="",E3918="!!!",F3918="NEW"),"",COUNTBLANK(OFFSET(A$1,,,SUMPRODUCT(MAX(ROW(E$2:E3918)*(E3918=E$2:E3918)))))-COUNTBLANK(OFFSET(A$1,,,SUMPRODUCT(MAX(ROW(E$1:E3917)*(E2=E$1:E3917))))))</f>
        <v> </v>
      </c>
      <c r="K3918" s="25" t="str">
        <f>IF(OR(E3918="",E3918="!!!",F3918="NEW"),"",INDEX(J$1:J3917,SUMPRODUCT(MAX(ROW(E$1:E3917)*(E3918=E$1:E3917)))))</f>
        <v> </v>
      </c>
      <c r="L3918" s="26"/>
    </row>
    <row r="3919" spans="1:12">
      <c r="A3919" s="20" t="s">
        <v>952</v>
      </c>
      <c r="B3919" s="27" t="s">
        <v>771</v>
      </c>
      <c r="C3919" s="27" t="s">
        <v>749</v>
      </c>
      <c r="D3919" s="27" t="s">
        <v>740</v>
      </c>
      <c r="E3919" s="21">
        <f>IF(D3919="?OLD","!!!","")</f>
        <v/>
      </c>
      <c r="F3919" s="22" t="str">
        <f>IF(OR(E3919="",E3919="!!!"),"",IF(NOT(ISNA(VLOOKUP(E3919,E$1:E3918,1,FALSE()))),"OLD",IF(AND(E3919&lt;&gt;"",E3919&lt;&gt;"!!!"),"NEW","")))</f>
        <v> </v>
      </c>
      <c r="G3919" s="23" t="str">
        <f>IF(OR(E3919="",E3919="!!!"),"",IF(OR(J3919=0,AND(J3919=1,K3919=1),AND(J3919=1,I3919="SBJ"),AND(J3919=1,I3919=0)),"?IN_FOCUS",IF(J3919&lt;=2,"?ACTIVATED",IF(J3919&lt;&gt;"","?FAMILIAR",IF(F3919="NEW",IF(ISNA(VLOOKUP(E3919,#REF!,1,FALSE())),"?TYPE_IDENTIFIABLE","?REFERENTIAL"),"_")))))</f>
        <v> </v>
      </c>
      <c r="H3919" s="24" t="str">
        <f>IF(J3919&lt;&gt;1,"",IF(I3919="SBJ","CB","?"))</f>
        <v> </v>
      </c>
      <c r="I3919" s="25" t="str">
        <f>IF(OR(E3919="",E3919="!!!",F3919="NEW"),"",INDEX(B3918:B$2,-1+SUMPRODUCT(MAX(ROW(E3918:E$2)*(E3919=E3918:E$2)))))</f>
        <v> </v>
      </c>
      <c r="J3919" s="25" t="str">
        <f>IF(OR(E3919="",E3919="!!!",F3919="NEW"),"",COUNTBLANK(OFFSET(A$1,,,SUMPRODUCT(MAX(ROW(E$2:E3919)*(E3919=E$2:E3919)))))-COUNTBLANK(OFFSET(A$1,,,SUMPRODUCT(MAX(ROW(E$1:E3918)*(E2=E$1:E3918))))))</f>
        <v> </v>
      </c>
      <c r="K3919" s="25" t="str">
        <f>IF(OR(E3919="",E3919="!!!",F3919="NEW"),"",INDEX(J$1:J3918,SUMPRODUCT(MAX(ROW(E$1:E3918)*(E3919=E$1:E3918)))))</f>
        <v> </v>
      </c>
      <c r="L3919" s="26"/>
    </row>
    <row r="3920" spans="1:12">
      <c r="A3920" s="20" t="s">
        <v>1911</v>
      </c>
      <c r="E3920" s="21">
        <f>IF(D3920="?OLD","!!!","")</f>
        <v/>
      </c>
      <c r="F3920" s="22" t="str">
        <f>IF(OR(E3920="",E3920="!!!"),"",IF(NOT(ISNA(VLOOKUP(E3920,E$1:E3919,1,FALSE()))),"OLD",IF(AND(E3920&lt;&gt;"",E3920&lt;&gt;"!!!"),"NEW","")))</f>
        <v> </v>
      </c>
      <c r="G3920" s="23" t="str">
        <f>IF(OR(E3920="",E3920="!!!"),"",IF(OR(J3920=0,AND(J3920=1,K3920=1),AND(J3920=1,I3920="SBJ"),AND(J3920=1,I3920=0)),"?IN_FOCUS",IF(J3920&lt;=2,"?ACTIVATED",IF(J3920&lt;&gt;"","?FAMILIAR",IF(F3920="NEW",IF(ISNA(VLOOKUP(E3920,#REF!,1,FALSE())),"?TYPE_IDENTIFIABLE","?REFERENTIAL"),"_")))))</f>
        <v> </v>
      </c>
      <c r="H3920" s="24" t="str">
        <f>IF(J3920&lt;&gt;1,"",IF(I3920="SBJ","CB","?"))</f>
        <v> </v>
      </c>
      <c r="I3920" s="25" t="str">
        <f>IF(OR(E3920="",E3920="!!!",F3920="NEW"),"",INDEX(B3919:B$2,-1+SUMPRODUCT(MAX(ROW(E3919:E$2)*(E3920=E3919:E$2)))))</f>
        <v> </v>
      </c>
      <c r="J3920" s="25" t="str">
        <f>IF(OR(E3920="",E3920="!!!",F3920="NEW"),"",COUNTBLANK(OFFSET(A$1,,,SUMPRODUCT(MAX(ROW(E$2:E3920)*(E3920=E$2:E3920)))))-COUNTBLANK(OFFSET(A$1,,,SUMPRODUCT(MAX(ROW(E$1:E3919)*(E2=E$1:E3919))))))</f>
        <v> </v>
      </c>
      <c r="K3920" s="25" t="str">
        <f>IF(OR(E3920="",E3920="!!!",F3920="NEW"),"",INDEX(J$1:J3919,SUMPRODUCT(MAX(ROW(E$1:E3919)*(E3920=E$1:E3919)))))</f>
        <v> </v>
      </c>
      <c r="L3920" s="26"/>
    </row>
    <row r="3921" spans="1:12">
      <c r="A3921" s="20" t="s">
        <v>919</v>
      </c>
      <c r="E3921" s="21">
        <f>IF(D3921="?OLD","!!!","")</f>
        <v/>
      </c>
      <c r="F3921" s="22" t="str">
        <f>IF(OR(E3921="",E3921="!!!"),"",IF(NOT(ISNA(VLOOKUP(E3921,E$1:E3920,1,FALSE()))),"OLD",IF(AND(E3921&lt;&gt;"",E3921&lt;&gt;"!!!"),"NEW","")))</f>
        <v> </v>
      </c>
      <c r="G3921" s="23" t="str">
        <f>IF(OR(E3921="",E3921="!!!"),"",IF(OR(J3921=0,AND(J3921=1,K3921=1),AND(J3921=1,I3921="SBJ"),AND(J3921=1,I3921=0)),"?IN_FOCUS",IF(J3921&lt;=2,"?ACTIVATED",IF(J3921&lt;&gt;"","?FAMILIAR",IF(F3921="NEW",IF(ISNA(VLOOKUP(E3921,#REF!,1,FALSE())),"?TYPE_IDENTIFIABLE","?REFERENTIAL"),"_")))))</f>
        <v> </v>
      </c>
      <c r="H3921" s="24" t="str">
        <f>IF(J3921&lt;&gt;1,"",IF(I3921="SBJ","CB","?"))</f>
        <v> </v>
      </c>
      <c r="I3921" s="25" t="str">
        <f>IF(OR(E3921="",E3921="!!!",F3921="NEW"),"",INDEX(B3920:B$2,-1+SUMPRODUCT(MAX(ROW(E3920:E$2)*(E3921=E3920:E$2)))))</f>
        <v> </v>
      </c>
      <c r="J3921" s="25" t="str">
        <f>IF(OR(E3921="",E3921="!!!",F3921="NEW"),"",COUNTBLANK(OFFSET(A$1,,,SUMPRODUCT(MAX(ROW(E$2:E3921)*(E3921=E$2:E3921)))))-COUNTBLANK(OFFSET(A$1,,,SUMPRODUCT(MAX(ROW(E$1:E3920)*(E2=E$1:E3920))))))</f>
        <v> </v>
      </c>
      <c r="K3921" s="25" t="str">
        <f>IF(OR(E3921="",E3921="!!!",F3921="NEW"),"",INDEX(J$1:J3920,SUMPRODUCT(MAX(ROW(E$1:E3920)*(E3921=E$1:E3920)))))</f>
        <v> </v>
      </c>
      <c r="L3921" s="26"/>
    </row>
    <row r="3922" spans="1:12">
      <c r="A3922" s="20" t="s">
        <v>1184</v>
      </c>
      <c r="B3922" s="27" t="s">
        <v>779</v>
      </c>
      <c r="C3922" s="27" t="s">
        <v>772</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753</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t="s">
        <v>794</v>
      </c>
      <c r="B3924" s="27" t="s">
        <v>764</v>
      </c>
      <c r="C3924" s="27" t="s">
        <v>775</v>
      </c>
      <c r="D3924" s="27" t="s">
        <v>740</v>
      </c>
      <c r="E3924" s="21">
        <f>IF(D3924="?OLD","!!!","")</f>
        <v/>
      </c>
      <c r="F3924" s="22" t="str">
        <f>IF(OR(E3924="",E3924="!!!"),"",IF(NOT(ISNA(VLOOKUP(E3924,E$1:E3923,1,FALSE()))),"OLD",IF(AND(E3924&lt;&gt;"",E3924&lt;&gt;"!!!"),"NEW","")))</f>
        <v> </v>
      </c>
      <c r="G3924" s="23" t="str">
        <f>IF(OR(E3924="",E3924="!!!"),"",IF(OR(J3924=0,AND(J3924=1,K3924=1),AND(J3924=1,I3924="SBJ"),AND(J3924=1,I3924=0)),"?IN_FOCUS",IF(J3924&lt;=2,"?ACTIVATED",IF(J3924&lt;&gt;"","?FAMILIAR",IF(F3924="NEW",IF(ISNA(VLOOKUP(E3924,#REF!,1,FALSE())),"?TYPE_IDENTIFIABLE","?REFERENTIAL"),"_")))))</f>
        <v> </v>
      </c>
      <c r="H3924" s="24" t="str">
        <f>IF(J3924&lt;&gt;1,"",IF(I3924="SBJ","CB","?"))</f>
        <v> </v>
      </c>
      <c r="I3924" s="25" t="str">
        <f>IF(OR(E3924="",E3924="!!!",F3924="NEW"),"",INDEX(B3923:B$2,-1+SUMPRODUCT(MAX(ROW(E3923:E$2)*(E3924=E3923:E$2)))))</f>
        <v> </v>
      </c>
      <c r="J3924" s="25" t="str">
        <f>IF(OR(E3924="",E3924="!!!",F3924="NEW"),"",COUNTBLANK(OFFSET(A$1,,,SUMPRODUCT(MAX(ROW(E$2:E3924)*(E3924=E$2:E3924)))))-COUNTBLANK(OFFSET(A$1,,,SUMPRODUCT(MAX(ROW(E$1:E3923)*(E2=E$1:E3923))))))</f>
        <v> </v>
      </c>
      <c r="K3924" s="25" t="str">
        <f>IF(OR(E3924="",E3924="!!!",F3924="NEW"),"",INDEX(J$1:J3923,SUMPRODUCT(MAX(ROW(E$1:E3923)*(E3924=E$1:E3923)))))</f>
        <v> </v>
      </c>
      <c r="L3924" s="26"/>
    </row>
    <row r="3925" spans="1:12">
      <c r="A3925" s="20" t="s">
        <v>1909</v>
      </c>
      <c r="E3925" s="21">
        <f>IF(D3925="?OLD","!!!","")</f>
        <v/>
      </c>
      <c r="F3925" s="22" t="str">
        <f>IF(OR(E3925="",E3925="!!!"),"",IF(NOT(ISNA(VLOOKUP(E3925,E$1:E3924,1,FALSE()))),"OLD",IF(AND(E3925&lt;&gt;"",E3925&lt;&gt;"!!!"),"NEW","")))</f>
        <v> </v>
      </c>
      <c r="G3925" s="23" t="str">
        <f>IF(OR(E3925="",E3925="!!!"),"",IF(OR(J3925=0,AND(J3925=1,K3925=1),AND(J3925=1,I3925="SBJ"),AND(J3925=1,I3925=0)),"?IN_FOCUS",IF(J3925&lt;=2,"?ACTIVATED",IF(J3925&lt;&gt;"","?FAMILIAR",IF(F3925="NEW",IF(ISNA(VLOOKUP(E3925,#REF!,1,FALSE())),"?TYPE_IDENTIFIABLE","?REFERENTIAL"),"_")))))</f>
        <v> </v>
      </c>
      <c r="H3925" s="24" t="str">
        <f>IF(J3925&lt;&gt;1,"",IF(I3925="SBJ","CB","?"))</f>
        <v> </v>
      </c>
      <c r="I3925" s="25" t="str">
        <f>IF(OR(E3925="",E3925="!!!",F3925="NEW"),"",INDEX(B3924:B$2,-1+SUMPRODUCT(MAX(ROW(E3924:E$2)*(E3925=E3924:E$2)))))</f>
        <v> </v>
      </c>
      <c r="J3925" s="25" t="str">
        <f>IF(OR(E3925="",E3925="!!!",F3925="NEW"),"",COUNTBLANK(OFFSET(A$1,,,SUMPRODUCT(MAX(ROW(E$2:E3925)*(E3925=E$2:E3925)))))-COUNTBLANK(OFFSET(A$1,,,SUMPRODUCT(MAX(ROW(E$1:E3924)*(E2=E$1:E3924))))))</f>
        <v> </v>
      </c>
      <c r="K3925" s="25" t="str">
        <f>IF(OR(E3925="",E3925="!!!",F3925="NEW"),"",INDEX(J$1:J3924,SUMPRODUCT(MAX(ROW(E$1:E3924)*(E3925=E$1:E3924)))))</f>
        <v> </v>
      </c>
      <c r="L3925" s="26"/>
    </row>
    <row r="3926" spans="1:12">
      <c r="A3926" s="20" t="s">
        <v>1173</v>
      </c>
      <c r="E3926" s="21">
        <f>IF(D3926="?OLD","!!!","")</f>
        <v/>
      </c>
      <c r="F3926" s="22" t="str">
        <f>IF(OR(E3926="",E3926="!!!"),"",IF(NOT(ISNA(VLOOKUP(E3926,E$1:E3925,1,FALSE()))),"OLD",IF(AND(E3926&lt;&gt;"",E3926&lt;&gt;"!!!"),"NEW","")))</f>
        <v> </v>
      </c>
      <c r="G3926" s="23" t="str">
        <f>IF(OR(E3926="",E3926="!!!"),"",IF(OR(J3926=0,AND(J3926=1,K3926=1),AND(J3926=1,I3926="SBJ"),AND(J3926=1,I3926=0)),"?IN_FOCUS",IF(J3926&lt;=2,"?ACTIVATED",IF(J3926&lt;&gt;"","?FAMILIAR",IF(F3926="NEW",IF(ISNA(VLOOKUP(E3926,#REF!,1,FALSE())),"?TYPE_IDENTIFIABLE","?REFERENTIAL"),"_")))))</f>
        <v> </v>
      </c>
      <c r="H3926" s="24" t="str">
        <f>IF(J3926&lt;&gt;1,"",IF(I3926="SBJ","CB","?"))</f>
        <v> </v>
      </c>
      <c r="I3926" s="25" t="str">
        <f>IF(OR(E3926="",E3926="!!!",F3926="NEW"),"",INDEX(B3925:B$2,-1+SUMPRODUCT(MAX(ROW(E3925:E$2)*(E3926=E3925:E$2)))))</f>
        <v> </v>
      </c>
      <c r="J3926" s="25" t="str">
        <f>IF(OR(E3926="",E3926="!!!",F3926="NEW"),"",COUNTBLANK(OFFSET(A$1,,,SUMPRODUCT(MAX(ROW(E$2:E3926)*(E3926=E$2:E3926)))))-COUNTBLANK(OFFSET(A$1,,,SUMPRODUCT(MAX(ROW(E$1:E3925)*(E2=E$1:E3925))))))</f>
        <v> </v>
      </c>
      <c r="K3926" s="25" t="str">
        <f>IF(OR(E3926="",E3926="!!!",F3926="NEW"),"",INDEX(J$1:J3925,SUMPRODUCT(MAX(ROW(E$1:E3925)*(E3926=E$1:E3925)))))</f>
        <v> </v>
      </c>
      <c r="L3926" s="26"/>
    </row>
    <row r="3927" spans="1:12">
      <c r="A3927" s="20" t="s">
        <v>746</v>
      </c>
      <c r="E3927" s="21">
        <f>IF(D3927="?OLD","!!!","")</f>
        <v/>
      </c>
      <c r="F3927" s="22" t="str">
        <f>IF(OR(E3927="",E3927="!!!"),"",IF(NOT(ISNA(VLOOKUP(E3927,E$1:E3926,1,FALSE()))),"OLD",IF(AND(E3927&lt;&gt;"",E3927&lt;&gt;"!!!"),"NEW","")))</f>
        <v> </v>
      </c>
      <c r="G3927" s="23" t="str">
        <f>IF(OR(E3927="",E3927="!!!"),"",IF(OR(J3927=0,AND(J3927=1,K3927=1),AND(J3927=1,I3927="SBJ"),AND(J3927=1,I3927=0)),"?IN_FOCUS",IF(J3927&lt;=2,"?ACTIVATED",IF(J3927&lt;&gt;"","?FAMILIAR",IF(F3927="NEW",IF(ISNA(VLOOKUP(E3927,#REF!,1,FALSE())),"?TYPE_IDENTIFIABLE","?REFERENTIAL"),"_")))))</f>
        <v> </v>
      </c>
      <c r="H3927" s="24" t="str">
        <f>IF(J3927&lt;&gt;1,"",IF(I3927="SBJ","CB","?"))</f>
        <v> </v>
      </c>
      <c r="I3927" s="25" t="str">
        <f>IF(OR(E3927="",E3927="!!!",F3927="NEW"),"",INDEX(B3926:B$2,-1+SUMPRODUCT(MAX(ROW(E3926:E$2)*(E3927=E3926:E$2)))))</f>
        <v> </v>
      </c>
      <c r="J3927" s="25" t="str">
        <f>IF(OR(E3927="",E3927="!!!",F3927="NEW"),"",COUNTBLANK(OFFSET(A$1,,,SUMPRODUCT(MAX(ROW(E$2:E3927)*(E3927=E$2:E3927)))))-COUNTBLANK(OFFSET(A$1,,,SUMPRODUCT(MAX(ROW(E$1:E3926)*(E2=E$1:E3926))))))</f>
        <v> </v>
      </c>
      <c r="K3927" s="25" t="str">
        <f>IF(OR(E3927="",E3927="!!!",F3927="NEW"),"",INDEX(J$1:J3926,SUMPRODUCT(MAX(ROW(E$1:E3926)*(E3927=E$1:E3926)))))</f>
        <v> </v>
      </c>
      <c r="L3927" s="26"/>
    </row>
    <row r="3928" spans="1:12">
      <c r="A3928" s="20"/>
    </row>
    <row r="3929" spans="1:12">
      <c r="A3929" s="20" t="s">
        <v>767</v>
      </c>
      <c r="E3929" s="21">
        <f>IF(D3929="?OLD","!!!","")</f>
        <v/>
      </c>
      <c r="F3929" s="22" t="str">
        <f>IF(OR(E3929="",E3929="!!!"),"",IF(NOT(ISNA(VLOOKUP(E3929,E$1:E3928,1,FALSE()))),"OLD",IF(AND(E3929&lt;&gt;"",E3929&lt;&gt;"!!!"),"NEW","")))</f>
        <v> </v>
      </c>
      <c r="G3929" s="23" t="str">
        <f>IF(OR(E3929="",E3929="!!!"),"",IF(OR(J3929=0,AND(J3929=1,K3929=1),AND(J3929=1,I3929="SBJ"),AND(J3929=1,I3929=0)),"?IN_FOCUS",IF(J3929&lt;=2,"?ACTIVATED",IF(J3929&lt;&gt;"","?FAMILIAR",IF(F3929="NEW",IF(ISNA(VLOOKUP(E3929,#REF!,1,FALSE())),"?TYPE_IDENTIFIABLE","?REFERENTIAL"),"_")))))</f>
        <v> </v>
      </c>
      <c r="H3929" s="24" t="str">
        <f>IF(J3929&lt;&gt;1,"",IF(I3929="SBJ","CB","?"))</f>
        <v> </v>
      </c>
      <c r="I3929" s="25" t="str">
        <f>IF(OR(E3929="",E3929="!!!",F3929="NEW"),"",INDEX(B3928:B$2,-1+SUMPRODUCT(MAX(ROW(E3928:E$2)*(E3929=E3928:E$2)))))</f>
        <v> </v>
      </c>
      <c r="J3929" s="25" t="str">
        <f>IF(OR(E3929="",E3929="!!!",F3929="NEW"),"",COUNTBLANK(OFFSET(A$1,,,SUMPRODUCT(MAX(ROW(E$2:E3929)*(E3929=E$2:E3929)))))-COUNTBLANK(OFFSET(A$1,,,SUMPRODUCT(MAX(ROW(E$1:E3928)*(E2=E$1:E3928))))))</f>
        <v> </v>
      </c>
      <c r="K3929" s="25" t="str">
        <f>IF(OR(E3929="",E3929="!!!",F3929="NEW"),"",INDEX(J$1:J3928,SUMPRODUCT(MAX(ROW(E$1:E3928)*(E3929=E$1:E3928)))))</f>
        <v> </v>
      </c>
      <c r="L3929" s="26"/>
    </row>
    <row r="3930" spans="1:12">
      <c r="A3930" s="20" t="s">
        <v>1912</v>
      </c>
    </row>
    <row r="3931" spans="1:12">
      <c r="A3931" s="20" t="s">
        <v>987</v>
      </c>
      <c r="B3931" s="27" t="s">
        <v>738</v>
      </c>
      <c r="C3931" s="27" t="s">
        <v>775</v>
      </c>
      <c r="D3931" s="27" t="s">
        <v>740</v>
      </c>
      <c r="E3931" s="21">
        <f>IF(D3931="?OLD","!!!","")</f>
        <v/>
      </c>
      <c r="F3931" s="22" t="str">
        <f>IF(OR(E3931="",E3931="!!!"),"",IF(NOT(ISNA(VLOOKUP(E3931,E$1:E3930,1,FALSE()))),"OLD",IF(AND(E3931&lt;&gt;"",E3931&lt;&gt;"!!!"),"NEW","")))</f>
        <v> </v>
      </c>
      <c r="G3931" s="23" t="str">
        <f>IF(OR(E3931="",E3931="!!!"),"",IF(OR(J3931=0,AND(J3931=1,K3931=1),AND(J3931=1,I3931="SBJ"),AND(J3931=1,I3931=0)),"?IN_FOCUS",IF(J3931&lt;=2,"?ACTIVATED",IF(J3931&lt;&gt;"","?FAMILIAR",IF(F3931="NEW",IF(ISNA(VLOOKUP(E3931,#REF!,1,FALSE())),"?TYPE_IDENTIFIABLE","?REFERENTIAL"),"_")))))</f>
        <v> </v>
      </c>
      <c r="H3931" s="24" t="str">
        <f>IF(J3931&lt;&gt;1,"",IF(I3931="SBJ","CB","?"))</f>
        <v> </v>
      </c>
      <c r="I3931" s="25" t="str">
        <f>IF(OR(E3931="",E3931="!!!",F3931="NEW"),"",INDEX(B3930:B$2,-1+SUMPRODUCT(MAX(ROW(E3930:E$2)*(E3931=E3930:E$2)))))</f>
        <v> </v>
      </c>
      <c r="J3931" s="25" t="str">
        <f>IF(OR(E3931="",E3931="!!!",F3931="NEW"),"",COUNTBLANK(OFFSET(A$1,,,SUMPRODUCT(MAX(ROW(E$2:E3931)*(E3931=E$2:E3931)))))-COUNTBLANK(OFFSET(A$1,,,SUMPRODUCT(MAX(ROW(E$1:E3930)*(E2=E$1:E3930))))))</f>
        <v> </v>
      </c>
      <c r="K3931" s="25" t="str">
        <f>IF(OR(E3931="",E3931="!!!",F3931="NEW"),"",INDEX(J$1:J3930,SUMPRODUCT(MAX(ROW(E$1:E3930)*(E3931=E$1:E3930)))))</f>
        <v> </v>
      </c>
      <c r="L3931" s="26"/>
    </row>
    <row r="3932" spans="1:12">
      <c r="A3932" s="20" t="s">
        <v>807</v>
      </c>
      <c r="B3932" s="27" t="s">
        <v>728</v>
      </c>
      <c r="C3932" s="27" t="s">
        <v>749</v>
      </c>
      <c r="D3932" s="27" t="s">
        <v>740</v>
      </c>
      <c r="E3932" s="21">
        <f>IF(D3932="?OLD","!!!","")</f>
        <v/>
      </c>
      <c r="F3932" s="22" t="str">
        <f>IF(OR(E3932="",E3932="!!!"),"",IF(NOT(ISNA(VLOOKUP(E3932,E$1:E3931,1,FALSE()))),"OLD",IF(AND(E3932&lt;&gt;"",E3932&lt;&gt;"!!!"),"NEW","")))</f>
        <v> </v>
      </c>
      <c r="G3932" s="23" t="str">
        <f>IF(OR(E3932="",E3932="!!!"),"",IF(OR(J3932=0,AND(J3932=1,K3932=1),AND(J3932=1,I3932="SBJ"),AND(J3932=1,I3932=0)),"?IN_FOCUS",IF(J3932&lt;=2,"?ACTIVATED",IF(J3932&lt;&gt;"","?FAMILIAR",IF(F3932="NEW",IF(ISNA(VLOOKUP(E3932,#REF!,1,FALSE())),"?TYPE_IDENTIFIABLE","?REFERENTIAL"),"_")))))</f>
        <v> </v>
      </c>
      <c r="H3932" s="24" t="str">
        <f>IF(J3932&lt;&gt;1,"",IF(I3932="SBJ","CB","?"))</f>
        <v> </v>
      </c>
      <c r="I3932" s="25" t="str">
        <f>IF(OR(E3932="",E3932="!!!",F3932="NEW"),"",INDEX(B3931:B$2,-1+SUMPRODUCT(MAX(ROW(E3931:E$2)*(E3932=E3931:E$2)))))</f>
        <v> </v>
      </c>
      <c r="J3932" s="25" t="str">
        <f>IF(OR(E3932="",E3932="!!!",F3932="NEW"),"",COUNTBLANK(OFFSET(A$1,,,SUMPRODUCT(MAX(ROW(E$2:E3932)*(E3932=E$2:E3932)))))-COUNTBLANK(OFFSET(A$1,,,SUMPRODUCT(MAX(ROW(E$1:E3931)*(E2=E$1:E3931))))))</f>
        <v> </v>
      </c>
      <c r="K3932" s="25" t="str">
        <f>IF(OR(E3932="",E3932="!!!",F3932="NEW"),"",INDEX(J$1:J3931,SUMPRODUCT(MAX(ROW(E$1:E3931)*(E3932=E$1:E3931)))))</f>
        <v> </v>
      </c>
      <c r="L3932" s="26"/>
    </row>
    <row r="3933" spans="1:12">
      <c r="A3933" s="20" t="s">
        <v>586</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t="s">
        <v>958</v>
      </c>
      <c r="E3934" s="21">
        <f>IF(D3934="?OLD","!!!","")</f>
        <v/>
      </c>
      <c r="F3934" s="22" t="str">
        <f>IF(OR(E3934="",E3934="!!!"),"",IF(NOT(ISNA(VLOOKUP(E3934,E$1:E3933,1,FALSE()))),"OLD",IF(AND(E3934&lt;&gt;"",E3934&lt;&gt;"!!!"),"NEW","")))</f>
        <v> </v>
      </c>
      <c r="G3934" s="23" t="str">
        <f>IF(OR(E3934="",E3934="!!!"),"",IF(OR(J3934=0,AND(J3934=1,K3934=1),AND(J3934=1,I3934="SBJ"),AND(J3934=1,I3934=0)),"?IN_FOCUS",IF(J3934&lt;=2,"?ACTIVATED",IF(J3934&lt;&gt;"","?FAMILIAR",IF(F3934="NEW",IF(ISNA(VLOOKUP(E3934,#REF!,1,FALSE())),"?TYPE_IDENTIFIABLE","?REFERENTIAL"),"_")))))</f>
        <v> </v>
      </c>
      <c r="H3934" s="24" t="str">
        <f>IF(J3934&lt;&gt;1,"",IF(I3934="SBJ","CB","?"))</f>
        <v> </v>
      </c>
      <c r="I3934" s="25" t="str">
        <f>IF(OR(E3934="",E3934="!!!",F3934="NEW"),"",INDEX(B3933:B$2,-1+SUMPRODUCT(MAX(ROW(E3933:E$2)*(E3934=E3933:E$2)))))</f>
        <v> </v>
      </c>
      <c r="J3934" s="25" t="str">
        <f>IF(OR(E3934="",E3934="!!!",F3934="NEW"),"",COUNTBLANK(OFFSET(A$1,,,SUMPRODUCT(MAX(ROW(E$2:E3934)*(E3934=E$2:E3934)))))-COUNTBLANK(OFFSET(A$1,,,SUMPRODUCT(MAX(ROW(E$1:E3933)*(E2=E$1:E3933))))))</f>
        <v> </v>
      </c>
      <c r="K3934" s="25" t="str">
        <f>IF(OR(E3934="",E3934="!!!",F3934="NEW"),"",INDEX(J$1:J3933,SUMPRODUCT(MAX(ROW(E$1:E3933)*(E3934=E$1:E3933)))))</f>
        <v> </v>
      </c>
      <c r="L3934" s="26"/>
    </row>
    <row r="3935" spans="1:12">
      <c r="A3935" s="20" t="s">
        <v>750</v>
      </c>
      <c r="E3935" s="21">
        <f>IF(D3935="?OLD","!!!","")</f>
        <v/>
      </c>
      <c r="F3935" s="22" t="str">
        <f>IF(OR(E3935="",E3935="!!!"),"",IF(NOT(ISNA(VLOOKUP(E3935,E$1:E3934,1,FALSE()))),"OLD",IF(AND(E3935&lt;&gt;"",E3935&lt;&gt;"!!!"),"NEW","")))</f>
        <v> </v>
      </c>
      <c r="G3935" s="23" t="str">
        <f>IF(OR(E3935="",E3935="!!!"),"",IF(OR(J3935=0,AND(J3935=1,K3935=1),AND(J3935=1,I3935="SBJ"),AND(J3935=1,I3935=0)),"?IN_FOCUS",IF(J3935&lt;=2,"?ACTIVATED",IF(J3935&lt;&gt;"","?FAMILIAR",IF(F3935="NEW",IF(ISNA(VLOOKUP(E3935,#REF!,1,FALSE())),"?TYPE_IDENTIFIABLE","?REFERENTIAL"),"_")))))</f>
        <v> </v>
      </c>
      <c r="H3935" s="24" t="str">
        <f>IF(J3935&lt;&gt;1,"",IF(I3935="SBJ","CB","?"))</f>
        <v> </v>
      </c>
      <c r="I3935" s="25" t="str">
        <f>IF(OR(E3935="",E3935="!!!",F3935="NEW"),"",INDEX(B3934:B$2,-1+SUMPRODUCT(MAX(ROW(E3934:E$2)*(E3935=E3934:E$2)))))</f>
        <v> </v>
      </c>
      <c r="J3935" s="25" t="str">
        <f>IF(OR(E3935="",E3935="!!!",F3935="NEW"),"",COUNTBLANK(OFFSET(A$1,,,SUMPRODUCT(MAX(ROW(E$2:E3935)*(E3935=E$2:E3935)))))-COUNTBLANK(OFFSET(A$1,,,SUMPRODUCT(MAX(ROW(E$1:E3934)*(E2=E$1:E3934))))))</f>
        <v> </v>
      </c>
      <c r="K3935" s="25" t="str">
        <f>IF(OR(E3935="",E3935="!!!",F3935="NEW"),"",INDEX(J$1:J3934,SUMPRODUCT(MAX(ROW(E$1:E3934)*(E3935=E$1:E3934)))))</f>
        <v> </v>
      </c>
      <c r="L3935" s="26"/>
    </row>
    <row r="3936" spans="1:12">
      <c r="A3936" s="20" t="s">
        <v>753</v>
      </c>
      <c r="E3936" s="21">
        <f>IF(D3936="?OLD","!!!","")</f>
        <v/>
      </c>
      <c r="F3936" s="22" t="str">
        <f>IF(OR(E3936="",E3936="!!!"),"",IF(NOT(ISNA(VLOOKUP(E3936,E$1:E3935,1,FALSE()))),"OLD",IF(AND(E3936&lt;&gt;"",E3936&lt;&gt;"!!!"),"NEW","")))</f>
        <v> </v>
      </c>
      <c r="G3936" s="23" t="str">
        <f>IF(OR(E3936="",E3936="!!!"),"",IF(OR(J3936=0,AND(J3936=1,K3936=1),AND(J3936=1,I3936="SBJ"),AND(J3936=1,I3936=0)),"?IN_FOCUS",IF(J3936&lt;=2,"?ACTIVATED",IF(J3936&lt;&gt;"","?FAMILIAR",IF(F3936="NEW",IF(ISNA(VLOOKUP(E3936,#REF!,1,FALSE())),"?TYPE_IDENTIFIABLE","?REFERENTIAL"),"_")))))</f>
        <v> </v>
      </c>
      <c r="H3936" s="24" t="str">
        <f>IF(J3936&lt;&gt;1,"",IF(I3936="SBJ","CB","?"))</f>
        <v> </v>
      </c>
      <c r="I3936" s="25" t="str">
        <f>IF(OR(E3936="",E3936="!!!",F3936="NEW"),"",INDEX(B3935:B$2,-1+SUMPRODUCT(MAX(ROW(E3935:E$2)*(E3936=E3935:E$2)))))</f>
        <v> </v>
      </c>
      <c r="J3936" s="25" t="str">
        <f>IF(OR(E3936="",E3936="!!!",F3936="NEW"),"",COUNTBLANK(OFFSET(A$1,,,SUMPRODUCT(MAX(ROW(E$2:E3936)*(E3936=E$2:E3936)))))-COUNTBLANK(OFFSET(A$1,,,SUMPRODUCT(MAX(ROW(E$1:E3935)*(E2=E$1:E3935))))))</f>
        <v> </v>
      </c>
      <c r="K3936" s="25" t="str">
        <f>IF(OR(E3936="",E3936="!!!",F3936="NEW"),"",INDEX(J$1:J3935,SUMPRODUCT(MAX(ROW(E$1:E3935)*(E3936=E$1:E3935)))))</f>
        <v> </v>
      </c>
      <c r="L3936" s="26"/>
    </row>
    <row r="3937" spans="1:12">
      <c r="A3937" s="20" t="s">
        <v>1913</v>
      </c>
      <c r="E3937" s="21">
        <f>IF(D3937="?OLD","!!!","")</f>
        <v/>
      </c>
      <c r="F3937" s="22" t="str">
        <f>IF(OR(E3937="",E3937="!!!"),"",IF(NOT(ISNA(VLOOKUP(E3937,E$1:E3936,1,FALSE()))),"OLD",IF(AND(E3937&lt;&gt;"",E3937&lt;&gt;"!!!"),"NEW","")))</f>
        <v> </v>
      </c>
      <c r="G3937" s="23" t="str">
        <f>IF(OR(E3937="",E3937="!!!"),"",IF(OR(J3937=0,AND(J3937=1,K3937=1),AND(J3937=1,I3937="SBJ"),AND(J3937=1,I3937=0)),"?IN_FOCUS",IF(J3937&lt;=2,"?ACTIVATED",IF(J3937&lt;&gt;"","?FAMILIAR",IF(F3937="NEW",IF(ISNA(VLOOKUP(E3937,#REF!,1,FALSE())),"?TYPE_IDENTIFIABLE","?REFERENTIAL"),"_")))))</f>
        <v> </v>
      </c>
      <c r="H3937" s="24" t="str">
        <f>IF(J3937&lt;&gt;1,"",IF(I3937="SBJ","CB","?"))</f>
        <v> </v>
      </c>
      <c r="I3937" s="25" t="str">
        <f>IF(OR(E3937="",E3937="!!!",F3937="NEW"),"",INDEX(B3936:B$2,-1+SUMPRODUCT(MAX(ROW(E3936:E$2)*(E3937=E3936:E$2)))))</f>
        <v> </v>
      </c>
      <c r="J3937" s="25" t="str">
        <f>IF(OR(E3937="",E3937="!!!",F3937="NEW"),"",COUNTBLANK(OFFSET(A$1,,,SUMPRODUCT(MAX(ROW(E$2:E3937)*(E3937=E$2:E3937)))))-COUNTBLANK(OFFSET(A$1,,,SUMPRODUCT(MAX(ROW(E$1:E3936)*(E2=E$1:E3936))))))</f>
        <v> </v>
      </c>
      <c r="K3937" s="25" t="str">
        <f>IF(OR(E3937="",E3937="!!!",F3937="NEW"),"",INDEX(J$1:J3936,SUMPRODUCT(MAX(ROW(E$1:E3936)*(E3937=E$1:E3936)))))</f>
        <v> </v>
      </c>
      <c r="L3937" s="26"/>
    </row>
    <row r="3938" spans="1:12">
      <c r="A3938" s="20" t="s">
        <v>911</v>
      </c>
      <c r="B3938" s="27" t="s">
        <v>771</v>
      </c>
      <c r="C3938" s="27" t="s">
        <v>734</v>
      </c>
      <c r="E3938" s="21">
        <f>IF(D3938="?OLD","!!!","")</f>
        <v/>
      </c>
      <c r="F3938" s="22" t="str">
        <f>IF(OR(E3938="",E3938="!!!"),"",IF(NOT(ISNA(VLOOKUP(E3938,E$1:E3937,1,FALSE()))),"OLD",IF(AND(E3938&lt;&gt;"",E3938&lt;&gt;"!!!"),"NEW","")))</f>
        <v> </v>
      </c>
      <c r="G3938" s="23" t="str">
        <f>IF(OR(E3938="",E3938="!!!"),"",IF(OR(J3938=0,AND(J3938=1,K3938=1),AND(J3938=1,I3938="SBJ"),AND(J3938=1,I3938=0)),"?IN_FOCUS",IF(J3938&lt;=2,"?ACTIVATED",IF(J3938&lt;&gt;"","?FAMILIAR",IF(F3938="NEW",IF(ISNA(VLOOKUP(E3938,#REF!,1,FALSE())),"?TYPE_IDENTIFIABLE","?REFERENTIAL"),"_")))))</f>
        <v> </v>
      </c>
      <c r="H3938" s="24" t="str">
        <f>IF(J3938&lt;&gt;1,"",IF(I3938="SBJ","CB","?"))</f>
        <v> </v>
      </c>
      <c r="I3938" s="25" t="str">
        <f>IF(OR(E3938="",E3938="!!!",F3938="NEW"),"",INDEX(B3937:B$2,-1+SUMPRODUCT(MAX(ROW(E3937:E$2)*(E3938=E3937:E$2)))))</f>
        <v> </v>
      </c>
      <c r="J3938" s="25" t="str">
        <f>IF(OR(E3938="",E3938="!!!",F3938="NEW"),"",COUNTBLANK(OFFSET(A$1,,,SUMPRODUCT(MAX(ROW(E$2:E3938)*(E3938=E$2:E3938)))))-COUNTBLANK(OFFSET(A$1,,,SUMPRODUCT(MAX(ROW(E$1:E3937)*(E2=E$1:E3937))))))</f>
        <v> </v>
      </c>
      <c r="K3938" s="25" t="str">
        <f>IF(OR(E3938="",E3938="!!!",F3938="NEW"),"",INDEX(J$1:J3937,SUMPRODUCT(MAX(ROW(E$1:E3937)*(E3938=E$1:E3937)))))</f>
        <v> </v>
      </c>
      <c r="L3938" s="26"/>
    </row>
    <row r="3939" spans="1:12">
      <c r="A3939" s="20" t="s">
        <v>1914</v>
      </c>
      <c r="E3939" s="21">
        <f>IF(D3939="?OLD","!!!","")</f>
        <v/>
      </c>
      <c r="F3939" s="22" t="str">
        <f>IF(OR(E3939="",E3939="!!!"),"",IF(NOT(ISNA(VLOOKUP(E3939,E$1:E3938,1,FALSE()))),"OLD",IF(AND(E3939&lt;&gt;"",E3939&lt;&gt;"!!!"),"NEW","")))</f>
        <v> </v>
      </c>
      <c r="G3939" s="23" t="str">
        <f>IF(OR(E3939="",E3939="!!!"),"",IF(OR(J3939=0,AND(J3939=1,K3939=1),AND(J3939=1,I3939="SBJ"),AND(J3939=1,I3939=0)),"?IN_FOCUS",IF(J3939&lt;=2,"?ACTIVATED",IF(J3939&lt;&gt;"","?FAMILIAR",IF(F3939="NEW",IF(ISNA(VLOOKUP(E3939,#REF!,1,FALSE())),"?TYPE_IDENTIFIABLE","?REFERENTIAL"),"_")))))</f>
        <v> </v>
      </c>
      <c r="H3939" s="24" t="str">
        <f>IF(J3939&lt;&gt;1,"",IF(I3939="SBJ","CB","?"))</f>
        <v> </v>
      </c>
      <c r="I3939" s="25" t="str">
        <f>IF(OR(E3939="",E3939="!!!",F3939="NEW"),"",INDEX(B3938:B$2,-1+SUMPRODUCT(MAX(ROW(E3938:E$2)*(E3939=E3938:E$2)))))</f>
        <v> </v>
      </c>
      <c r="J3939" s="25" t="str">
        <f>IF(OR(E3939="",E3939="!!!",F3939="NEW"),"",COUNTBLANK(OFFSET(A$1,,,SUMPRODUCT(MAX(ROW(E$2:E3939)*(E3939=E$2:E3939)))))-COUNTBLANK(OFFSET(A$1,,,SUMPRODUCT(MAX(ROW(E$1:E3938)*(E2=E$1:E3938))))))</f>
        <v> </v>
      </c>
      <c r="K3939" s="25" t="str">
        <f>IF(OR(E3939="",E3939="!!!",F3939="NEW"),"",INDEX(J$1:J3938,SUMPRODUCT(MAX(ROW(E$1:E3938)*(E3939=E$1:E3938)))))</f>
        <v> </v>
      </c>
      <c r="L3939" s="26"/>
    </row>
    <row r="3940" spans="1:12">
      <c r="A3940" s="20" t="s">
        <v>750</v>
      </c>
      <c r="E3940" s="21">
        <f>IF(D3940="?OLD","!!!","")</f>
        <v/>
      </c>
      <c r="F3940" s="22" t="str">
        <f>IF(OR(E3940="",E3940="!!!"),"",IF(NOT(ISNA(VLOOKUP(E3940,E$1:E3939,1,FALSE()))),"OLD",IF(AND(E3940&lt;&gt;"",E3940&lt;&gt;"!!!"),"NEW","")))</f>
        <v> </v>
      </c>
      <c r="G3940" s="23" t="str">
        <f>IF(OR(E3940="",E3940="!!!"),"",IF(OR(J3940=0,AND(J3940=1,K3940=1),AND(J3940=1,I3940="SBJ"),AND(J3940=1,I3940=0)),"?IN_FOCUS",IF(J3940&lt;=2,"?ACTIVATED",IF(J3940&lt;&gt;"","?FAMILIAR",IF(F3940="NEW",IF(ISNA(VLOOKUP(E3940,#REF!,1,FALSE())),"?TYPE_IDENTIFIABLE","?REFERENTIAL"),"_")))))</f>
        <v> </v>
      </c>
      <c r="H3940" s="24" t="str">
        <f>IF(J3940&lt;&gt;1,"",IF(I3940="SBJ","CB","?"))</f>
        <v> </v>
      </c>
      <c r="I3940" s="25" t="str">
        <f>IF(OR(E3940="",E3940="!!!",F3940="NEW"),"",INDEX(B3939:B$2,-1+SUMPRODUCT(MAX(ROW(E3939:E$2)*(E3940=E3939:E$2)))))</f>
        <v> </v>
      </c>
      <c r="J3940" s="25" t="str">
        <f>IF(OR(E3940="",E3940="!!!",F3940="NEW"),"",COUNTBLANK(OFFSET(A$1,,,SUMPRODUCT(MAX(ROW(E$2:E3940)*(E3940=E$2:E3940)))))-COUNTBLANK(OFFSET(A$1,,,SUMPRODUCT(MAX(ROW(E$1:E3939)*(E2=E$1:E3939))))))</f>
        <v> </v>
      </c>
      <c r="K3940" s="25" t="str">
        <f>IF(OR(E3940="",E3940="!!!",F3940="NEW"),"",INDEX(J$1:J3939,SUMPRODUCT(MAX(ROW(E$1:E3939)*(E3940=E$1:E3939)))))</f>
        <v> </v>
      </c>
      <c r="L3940" s="26"/>
    </row>
    <row r="3941" spans="1:12">
      <c r="A3941" s="20" t="s">
        <v>753</v>
      </c>
      <c r="E3941" s="21">
        <f>IF(D3941="?OLD","!!!","")</f>
        <v/>
      </c>
      <c r="F3941" s="22" t="str">
        <f>IF(OR(E3941="",E3941="!!!"),"",IF(NOT(ISNA(VLOOKUP(E3941,E$1:E3940,1,FALSE()))),"OLD",IF(AND(E3941&lt;&gt;"",E3941&lt;&gt;"!!!"),"NEW","")))</f>
        <v> </v>
      </c>
      <c r="G3941" s="23" t="str">
        <f>IF(OR(E3941="",E3941="!!!"),"",IF(OR(J3941=0,AND(J3941=1,K3941=1),AND(J3941=1,I3941="SBJ"),AND(J3941=1,I3941=0)),"?IN_FOCUS",IF(J3941&lt;=2,"?ACTIVATED",IF(J3941&lt;&gt;"","?FAMILIAR",IF(F3941="NEW",IF(ISNA(VLOOKUP(E3941,#REF!,1,FALSE())),"?TYPE_IDENTIFIABLE","?REFERENTIAL"),"_")))))</f>
        <v> </v>
      </c>
      <c r="H3941" s="24" t="str">
        <f>IF(J3941&lt;&gt;1,"",IF(I3941="SBJ","CB","?"))</f>
        <v> </v>
      </c>
      <c r="I3941" s="25" t="str">
        <f>IF(OR(E3941="",E3941="!!!",F3941="NEW"),"",INDEX(B3940:B$2,-1+SUMPRODUCT(MAX(ROW(E3940:E$2)*(E3941=E3940:E$2)))))</f>
        <v> </v>
      </c>
      <c r="J3941" s="25" t="str">
        <f>IF(OR(E3941="",E3941="!!!",F3941="NEW"),"",COUNTBLANK(OFFSET(A$1,,,SUMPRODUCT(MAX(ROW(E$2:E3941)*(E3941=E$2:E3941)))))-COUNTBLANK(OFFSET(A$1,,,SUMPRODUCT(MAX(ROW(E$1:E3940)*(E2=E$1:E3940))))))</f>
        <v> </v>
      </c>
      <c r="K3941" s="25" t="str">
        <f>IF(OR(E3941="",E3941="!!!",F3941="NEW"),"",INDEX(J$1:J3940,SUMPRODUCT(MAX(ROW(E$1:E3940)*(E3941=E$1:E3940)))))</f>
        <v> </v>
      </c>
      <c r="L3941" s="26"/>
    </row>
    <row r="3942" spans="1:12">
      <c r="A3942" s="20" t="s">
        <v>905</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t="s">
        <v>941</v>
      </c>
      <c r="E3943" s="21">
        <f>IF(D3943="?OLD","!!!","")</f>
        <v/>
      </c>
      <c r="F3943" s="22" t="str">
        <f>IF(OR(E3943="",E3943="!!!"),"",IF(NOT(ISNA(VLOOKUP(E3943,E$1:E3942,1,FALSE()))),"OLD",IF(AND(E3943&lt;&gt;"",E3943&lt;&gt;"!!!"),"NEW","")))</f>
        <v> </v>
      </c>
      <c r="G3943" s="23" t="str">
        <f>IF(OR(E3943="",E3943="!!!"),"",IF(OR(J3943=0,AND(J3943=1,K3943=1),AND(J3943=1,I3943="SBJ"),AND(J3943=1,I3943=0)),"?IN_FOCUS",IF(J3943&lt;=2,"?ACTIVATED",IF(J3943&lt;&gt;"","?FAMILIAR",IF(F3943="NEW",IF(ISNA(VLOOKUP(E3943,#REF!,1,FALSE())),"?TYPE_IDENTIFIABLE","?REFERENTIAL"),"_")))))</f>
        <v> </v>
      </c>
      <c r="H3943" s="24" t="str">
        <f>IF(J3943&lt;&gt;1,"",IF(I3943="SBJ","CB","?"))</f>
        <v> </v>
      </c>
      <c r="I3943" s="25" t="str">
        <f>IF(OR(E3943="",E3943="!!!",F3943="NEW"),"",INDEX(B3942:B$2,-1+SUMPRODUCT(MAX(ROW(E3942:E$2)*(E3943=E3942:E$2)))))</f>
        <v> </v>
      </c>
      <c r="J3943" s="25" t="str">
        <f>IF(OR(E3943="",E3943="!!!",F3943="NEW"),"",COUNTBLANK(OFFSET(A$1,,,SUMPRODUCT(MAX(ROW(E$2:E3943)*(E3943=E$2:E3943)))))-COUNTBLANK(OFFSET(A$1,,,SUMPRODUCT(MAX(ROW(E$1:E3942)*(E2=E$1:E3942))))))</f>
        <v> </v>
      </c>
      <c r="K3943" s="25" t="str">
        <f>IF(OR(E3943="",E3943="!!!",F3943="NEW"),"",INDEX(J$1:J3942,SUMPRODUCT(MAX(ROW(E$1:E3942)*(E3943=E$1:E3942)))))</f>
        <v> </v>
      </c>
      <c r="L3943" s="26"/>
    </row>
    <row r="3944" spans="1:12">
      <c r="A3944" s="20" t="s">
        <v>1184</v>
      </c>
      <c r="B3944" s="27" t="s">
        <v>771</v>
      </c>
      <c r="C3944" s="27" t="s">
        <v>772</v>
      </c>
      <c r="E3944" s="21">
        <f>IF(D3944="?OLD","!!!","")</f>
        <v/>
      </c>
      <c r="F3944" s="22" t="str">
        <f>IF(OR(E3944="",E3944="!!!"),"",IF(NOT(ISNA(VLOOKUP(E3944,E$1:E3943,1,FALSE()))),"OLD",IF(AND(E3944&lt;&gt;"",E3944&lt;&gt;"!!!"),"NEW","")))</f>
        <v> </v>
      </c>
      <c r="G3944" s="23" t="str">
        <f>IF(OR(E3944="",E3944="!!!"),"",IF(OR(J3944=0,AND(J3944=1,K3944=1),AND(J3944=1,I3944="SBJ"),AND(J3944=1,I3944=0)),"?IN_FOCUS",IF(J3944&lt;=2,"?ACTIVATED",IF(J3944&lt;&gt;"","?FAMILIAR",IF(F3944="NEW",IF(ISNA(VLOOKUP(E3944,#REF!,1,FALSE())),"?TYPE_IDENTIFIABLE","?REFERENTIAL"),"_")))))</f>
        <v> </v>
      </c>
      <c r="H3944" s="24" t="str">
        <f>IF(J3944&lt;&gt;1,"",IF(I3944="SBJ","CB","?"))</f>
        <v> </v>
      </c>
      <c r="I3944" s="25" t="str">
        <f>IF(OR(E3944="",E3944="!!!",F3944="NEW"),"",INDEX(B3943:B$2,-1+SUMPRODUCT(MAX(ROW(E3943:E$2)*(E3944=E3943:E$2)))))</f>
        <v> </v>
      </c>
      <c r="J3944" s="25" t="str">
        <f>IF(OR(E3944="",E3944="!!!",F3944="NEW"),"",COUNTBLANK(OFFSET(A$1,,,SUMPRODUCT(MAX(ROW(E$2:E3944)*(E3944=E$2:E3944)))))-COUNTBLANK(OFFSET(A$1,,,SUMPRODUCT(MAX(ROW(E$1:E3943)*(E2=E$1:E3943))))))</f>
        <v> </v>
      </c>
      <c r="K3944" s="25" t="str">
        <f>IF(OR(E3944="",E3944="!!!",F3944="NEW"),"",INDEX(J$1:J3943,SUMPRODUCT(MAX(ROW(E$1:E3943)*(E3944=E$1:E3943)))))</f>
        <v> </v>
      </c>
      <c r="L3944" s="26"/>
    </row>
    <row r="3945" spans="1:12">
      <c r="A3945" s="20" t="s">
        <v>1915</v>
      </c>
      <c r="E3945" s="21">
        <f>IF(D3945="?OLD","!!!","")</f>
        <v/>
      </c>
      <c r="F3945" s="22" t="str">
        <f>IF(OR(E3945="",E3945="!!!"),"",IF(NOT(ISNA(VLOOKUP(E3945,E$1:E3944,1,FALSE()))),"OLD",IF(AND(E3945&lt;&gt;"",E3945&lt;&gt;"!!!"),"NEW","")))</f>
        <v> </v>
      </c>
      <c r="G3945" s="23" t="str">
        <f>IF(OR(E3945="",E3945="!!!"),"",IF(OR(J3945=0,AND(J3945=1,K3945=1),AND(J3945=1,I3945="SBJ"),AND(J3945=1,I3945=0)),"?IN_FOCUS",IF(J3945&lt;=2,"?ACTIVATED",IF(J3945&lt;&gt;"","?FAMILIAR",IF(F3945="NEW",IF(ISNA(VLOOKUP(E3945,#REF!,1,FALSE())),"?TYPE_IDENTIFIABLE","?REFERENTIAL"),"_")))))</f>
        <v> </v>
      </c>
      <c r="H3945" s="24" t="str">
        <f>IF(J3945&lt;&gt;1,"",IF(I3945="SBJ","CB","?"))</f>
        <v> </v>
      </c>
      <c r="I3945" s="25" t="str">
        <f>IF(OR(E3945="",E3945="!!!",F3945="NEW"),"",INDEX(B3944:B$2,-1+SUMPRODUCT(MAX(ROW(E3944:E$2)*(E3945=E3944:E$2)))))</f>
        <v> </v>
      </c>
      <c r="J3945" s="25" t="str">
        <f>IF(OR(E3945="",E3945="!!!",F3945="NEW"),"",COUNTBLANK(OFFSET(A$1,,,SUMPRODUCT(MAX(ROW(E$2:E3945)*(E3945=E$2:E3945)))))-COUNTBLANK(OFFSET(A$1,,,SUMPRODUCT(MAX(ROW(E$1:E3944)*(E2=E$1:E3944))))))</f>
        <v> </v>
      </c>
      <c r="K3945" s="25" t="str">
        <f>IF(OR(E3945="",E3945="!!!",F3945="NEW"),"",INDEX(J$1:J3944,SUMPRODUCT(MAX(ROW(E$1:E3944)*(E3945=E$1:E3944)))))</f>
        <v> </v>
      </c>
      <c r="L3945" s="26"/>
    </row>
    <row r="3946" spans="1:12">
      <c r="A3946" s="20" t="s">
        <v>1916</v>
      </c>
      <c r="E3946" s="21">
        <f>IF(D3946="?OLD","!!!","")</f>
        <v/>
      </c>
      <c r="F3946" s="22" t="str">
        <f>IF(OR(E3946="",E3946="!!!"),"",IF(NOT(ISNA(VLOOKUP(E3946,E$1:E3945,1,FALSE()))),"OLD",IF(AND(E3946&lt;&gt;"",E3946&lt;&gt;"!!!"),"NEW","")))</f>
        <v> </v>
      </c>
      <c r="G3946" s="23" t="str">
        <f>IF(OR(E3946="",E3946="!!!"),"",IF(OR(J3946=0,AND(J3946=1,K3946=1),AND(J3946=1,I3946="SBJ"),AND(J3946=1,I3946=0)),"?IN_FOCUS",IF(J3946&lt;=2,"?ACTIVATED",IF(J3946&lt;&gt;"","?FAMILIAR",IF(F3946="NEW",IF(ISNA(VLOOKUP(E3946,#REF!,1,FALSE())),"?TYPE_IDENTIFIABLE","?REFERENTIAL"),"_")))))</f>
        <v> </v>
      </c>
      <c r="H3946" s="24" t="str">
        <f>IF(J3946&lt;&gt;1,"",IF(I3946="SBJ","CB","?"))</f>
        <v> </v>
      </c>
      <c r="I3946" s="25" t="str">
        <f>IF(OR(E3946="",E3946="!!!",F3946="NEW"),"",INDEX(B3945:B$2,-1+SUMPRODUCT(MAX(ROW(E3945:E$2)*(E3946=E3945:E$2)))))</f>
        <v> </v>
      </c>
      <c r="J3946" s="25" t="str">
        <f>IF(OR(E3946="",E3946="!!!",F3946="NEW"),"",COUNTBLANK(OFFSET(A$1,,,SUMPRODUCT(MAX(ROW(E$2:E3946)*(E3946=E$2:E3946)))))-COUNTBLANK(OFFSET(A$1,,,SUMPRODUCT(MAX(ROW(E$1:E3945)*(E2=E$1:E3945))))))</f>
        <v> </v>
      </c>
      <c r="K3946" s="25" t="str">
        <f>IF(OR(E3946="",E3946="!!!",F3946="NEW"),"",INDEX(J$1:J3945,SUMPRODUCT(MAX(ROW(E$1:E3945)*(E3946=E$1:E3945)))))</f>
        <v> </v>
      </c>
      <c r="L3946" s="26"/>
    </row>
    <row r="3947" spans="1:12">
      <c r="A3947" s="20" t="s">
        <v>746</v>
      </c>
      <c r="E3947" s="21">
        <f>IF(D3947="?OLD","!!!","")</f>
        <v/>
      </c>
      <c r="F3947" s="22" t="str">
        <f>IF(OR(E3947="",E3947="!!!"),"",IF(NOT(ISNA(VLOOKUP(E3947,E$1:E3946,1,FALSE()))),"OLD",IF(AND(E3947&lt;&gt;"",E3947&lt;&gt;"!!!"),"NEW","")))</f>
        <v> </v>
      </c>
      <c r="G3947" s="23" t="str">
        <f>IF(OR(E3947="",E3947="!!!"),"",IF(OR(J3947=0,AND(J3947=1,K3947=1),AND(J3947=1,I3947="SBJ"),AND(J3947=1,I3947=0)),"?IN_FOCUS",IF(J3947&lt;=2,"?ACTIVATED",IF(J3947&lt;&gt;"","?FAMILIAR",IF(F3947="NEW",IF(ISNA(VLOOKUP(E3947,#REF!,1,FALSE())),"?TYPE_IDENTIFIABLE","?REFERENTIAL"),"_")))))</f>
        <v> </v>
      </c>
      <c r="H3947" s="24" t="str">
        <f>IF(J3947&lt;&gt;1,"",IF(I3947="SBJ","CB","?"))</f>
        <v> </v>
      </c>
      <c r="I3947" s="25" t="str">
        <f>IF(OR(E3947="",E3947="!!!",F3947="NEW"),"",INDEX(B3946:B$2,-1+SUMPRODUCT(MAX(ROW(E3946:E$2)*(E3947=E3946:E$2)))))</f>
        <v> </v>
      </c>
      <c r="J3947" s="25" t="str">
        <f>IF(OR(E3947="",E3947="!!!",F3947="NEW"),"",COUNTBLANK(OFFSET(A$1,,,SUMPRODUCT(MAX(ROW(E$2:E3947)*(E3947=E$2:E3947)))))-COUNTBLANK(OFFSET(A$1,,,SUMPRODUCT(MAX(ROW(E$1:E3946)*(E2=E$1:E3946))))))</f>
        <v> </v>
      </c>
      <c r="K3947" s="25" t="str">
        <f>IF(OR(E3947="",E3947="!!!",F3947="NEW"),"",INDEX(J$1:J3946,SUMPRODUCT(MAX(ROW(E$1:E3946)*(E3947=E$1:E3946)))))</f>
        <v> </v>
      </c>
      <c r="L3947" s="26"/>
    </row>
    <row r="3948" spans="1:12">
      <c r="A3948" s="20" t="s">
        <v>726</v>
      </c>
      <c r="E3948" s="21">
        <f>IF(D3948="?OLD","!!!","")</f>
        <v/>
      </c>
      <c r="F3948" s="22" t="str">
        <f>IF(OR(E3948="",E3948="!!!"),"",IF(NOT(ISNA(VLOOKUP(E3948,E$1:E3947,1,FALSE()))),"OLD",IF(AND(E3948&lt;&gt;"",E3948&lt;&gt;"!!!"),"NEW","")))</f>
        <v> </v>
      </c>
      <c r="G3948" s="23" t="str">
        <f>IF(OR(E3948="",E3948="!!!"),"",IF(OR(J3948=0,AND(J3948=1,K3948=1),AND(J3948=1,I3948="SBJ"),AND(J3948=1,I3948=0)),"?IN_FOCUS",IF(J3948&lt;=2,"?ACTIVATED",IF(J3948&lt;&gt;"","?FAMILIAR",IF(F3948="NEW",IF(ISNA(VLOOKUP(E3948,#REF!,1,FALSE())),"?TYPE_IDENTIFIABLE","?REFERENTIAL"),"_")))))</f>
        <v> </v>
      </c>
      <c r="H3948" s="24" t="str">
        <f>IF(J3948&lt;&gt;1,"",IF(I3948="SBJ","CB","?"))</f>
        <v> </v>
      </c>
      <c r="I3948" s="25" t="str">
        <f>IF(OR(E3948="",E3948="!!!",F3948="NEW"),"",INDEX(B3947:B$2,-1+SUMPRODUCT(MAX(ROW(E3947:E$2)*(E3948=E3947:E$2)))))</f>
        <v> </v>
      </c>
      <c r="J3948" s="25" t="str">
        <f>IF(OR(E3948="",E3948="!!!",F3948="NEW"),"",COUNTBLANK(OFFSET(A$1,,,SUMPRODUCT(MAX(ROW(E$2:E3948)*(E3948=E$2:E3948)))))-COUNTBLANK(OFFSET(A$1,,,SUMPRODUCT(MAX(ROW(E$1:E3947)*(E2=E$1:E3947))))))</f>
        <v> </v>
      </c>
      <c r="K3948" s="25" t="str">
        <f>IF(OR(E3948="",E3948="!!!",F3948="NEW"),"",INDEX(J$1:J3947,SUMPRODUCT(MAX(ROW(E$1:E3947)*(E3948=E$1:E3947)))))</f>
        <v> </v>
      </c>
      <c r="L3948" s="26"/>
    </row>
    <row r="3949" spans="1:12">
      <c r="A3949" s="20"/>
    </row>
    <row r="3950" spans="1:12">
      <c r="A3950" s="20" t="s">
        <v>1917</v>
      </c>
    </row>
    <row r="3951" spans="1:12">
      <c r="A3951" s="20" t="s">
        <v>952</v>
      </c>
      <c r="B3951" s="27" t="s">
        <v>728</v>
      </c>
      <c r="C3951" s="27" t="s">
        <v>749</v>
      </c>
      <c r="D3951" s="27" t="s">
        <v>740</v>
      </c>
      <c r="E3951" s="21">
        <f>IF(D3951="?OLD","!!!","")</f>
        <v/>
      </c>
      <c r="F3951" s="22" t="str">
        <f>IF(OR(E3951="",E3951="!!!"),"",IF(NOT(ISNA(VLOOKUP(E3951,E$1:E3950,1,FALSE()))),"OLD",IF(AND(E3951&lt;&gt;"",E3951&lt;&gt;"!!!"),"NEW","")))</f>
        <v> </v>
      </c>
      <c r="G3951" s="23" t="str">
        <f>IF(OR(E3951="",E3951="!!!"),"",IF(OR(J3951=0,AND(J3951=1,K3951=1),AND(J3951=1,I3951="SBJ"),AND(J3951=1,I3951=0)),"?IN_FOCUS",IF(J3951&lt;=2,"?ACTIVATED",IF(J3951&lt;&gt;"","?FAMILIAR",IF(F3951="NEW",IF(ISNA(VLOOKUP(E3951,#REF!,1,FALSE())),"?TYPE_IDENTIFIABLE","?REFERENTIAL"),"_")))))</f>
        <v> </v>
      </c>
      <c r="H3951" s="24" t="str">
        <f>IF(J3951&lt;&gt;1,"",IF(I3951="SBJ","CB","?"))</f>
        <v> </v>
      </c>
      <c r="I3951" s="25" t="str">
        <f>IF(OR(E3951="",E3951="!!!",F3951="NEW"),"",INDEX(B3950:B$2,-1+SUMPRODUCT(MAX(ROW(E3950:E$2)*(E3951=E3950:E$2)))))</f>
        <v> </v>
      </c>
      <c r="J3951" s="25" t="str">
        <f>IF(OR(E3951="",E3951="!!!",F3951="NEW"),"",COUNTBLANK(OFFSET(A$1,,,SUMPRODUCT(MAX(ROW(E$2:E3951)*(E3951=E$2:E3951)))))-COUNTBLANK(OFFSET(A$1,,,SUMPRODUCT(MAX(ROW(E$1:E3950)*(E2=E$1:E3950))))))</f>
        <v> </v>
      </c>
      <c r="K3951" s="25" t="str">
        <f>IF(OR(E3951="",E3951="!!!",F3951="NEW"),"",INDEX(J$1:J3950,SUMPRODUCT(MAX(ROW(E$1:E3950)*(E3951=E$1:E3950)))))</f>
        <v> </v>
      </c>
      <c r="L3951" s="26"/>
    </row>
    <row r="3952" spans="1:12">
      <c r="A3952" s="20" t="s">
        <v>934</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t="s">
        <v>1334</v>
      </c>
      <c r="B3953" s="27" t="s">
        <v>738</v>
      </c>
      <c r="C3953" s="27" t="s">
        <v>775</v>
      </c>
      <c r="D3953" s="27" t="s">
        <v>740</v>
      </c>
      <c r="E3953" s="21">
        <f>IF(D3953="?OLD","!!!","")</f>
        <v/>
      </c>
      <c r="F3953" s="22" t="str">
        <f>IF(OR(E3953="",E3953="!!!"),"",IF(NOT(ISNA(VLOOKUP(E3953,E$1:E3952,1,FALSE()))),"OLD",IF(AND(E3953&lt;&gt;"",E3953&lt;&gt;"!!!"),"NEW","")))</f>
        <v> </v>
      </c>
      <c r="G3953" s="23" t="str">
        <f>IF(OR(E3953="",E3953="!!!"),"",IF(OR(J3953=0,AND(J3953=1,K3953=1),AND(J3953=1,I3953="SBJ"),AND(J3953=1,I3953=0)),"?IN_FOCUS",IF(J3953&lt;=2,"?ACTIVATED",IF(J3953&lt;&gt;"","?FAMILIAR",IF(F3953="NEW",IF(ISNA(VLOOKUP(E3953,#REF!,1,FALSE())),"?TYPE_IDENTIFIABLE","?REFERENTIAL"),"_")))))</f>
        <v> </v>
      </c>
      <c r="H3953" s="24" t="str">
        <f>IF(J3953&lt;&gt;1,"",IF(I3953="SBJ","CB","?"))</f>
        <v> </v>
      </c>
      <c r="I3953" s="25" t="str">
        <f>IF(OR(E3953="",E3953="!!!",F3953="NEW"),"",INDEX(B3952:B$2,-1+SUMPRODUCT(MAX(ROW(E3952:E$2)*(E3953=E3952:E$2)))))</f>
        <v> </v>
      </c>
      <c r="J3953" s="25" t="str">
        <f>IF(OR(E3953="",E3953="!!!",F3953="NEW"),"",COUNTBLANK(OFFSET(A$1,,,SUMPRODUCT(MAX(ROW(E$2:E3953)*(E3953=E$2:E3953)))))-COUNTBLANK(OFFSET(A$1,,,SUMPRODUCT(MAX(ROW(E$1:E3952)*(E2=E$1:E3952))))))</f>
        <v> </v>
      </c>
      <c r="K3953" s="25" t="str">
        <f>IF(OR(E3953="",E3953="!!!",F3953="NEW"),"",INDEX(J$1:J3952,SUMPRODUCT(MAX(ROW(E$1:E3952)*(E3953=E$1:E3952)))))</f>
        <v> </v>
      </c>
      <c r="L3953" s="26"/>
    </row>
    <row r="3954" spans="1:12">
      <c r="A3954" s="20" t="s">
        <v>970</v>
      </c>
      <c r="E3954" s="21">
        <f>IF(D3954="?OLD","!!!","")</f>
        <v/>
      </c>
      <c r="F3954" s="22" t="str">
        <f>IF(OR(E3954="",E3954="!!!"),"",IF(NOT(ISNA(VLOOKUP(E3954,E$1:E3953,1,FALSE()))),"OLD",IF(AND(E3954&lt;&gt;"",E3954&lt;&gt;"!!!"),"NEW","")))</f>
        <v> </v>
      </c>
      <c r="G3954" s="23" t="str">
        <f>IF(OR(E3954="",E3954="!!!"),"",IF(OR(J3954=0,AND(J3954=1,K3954=1),AND(J3954=1,I3954="SBJ"),AND(J3954=1,I3954=0)),"?IN_FOCUS",IF(J3954&lt;=2,"?ACTIVATED",IF(J3954&lt;&gt;"","?FAMILIAR",IF(F3954="NEW",IF(ISNA(VLOOKUP(E3954,#REF!,1,FALSE())),"?TYPE_IDENTIFIABLE","?REFERENTIAL"),"_")))))</f>
        <v> </v>
      </c>
      <c r="H3954" s="24" t="str">
        <f>IF(J3954&lt;&gt;1,"",IF(I3954="SBJ","CB","?"))</f>
        <v> </v>
      </c>
      <c r="I3954" s="25" t="str">
        <f>IF(OR(E3954="",E3954="!!!",F3954="NEW"),"",INDEX(B3953:B$2,-1+SUMPRODUCT(MAX(ROW(E3953:E$2)*(E3954=E3953:E$2)))))</f>
        <v> </v>
      </c>
      <c r="J3954" s="25" t="str">
        <f>IF(OR(E3954="",E3954="!!!",F3954="NEW"),"",COUNTBLANK(OFFSET(A$1,,,SUMPRODUCT(MAX(ROW(E$2:E3954)*(E3954=E$2:E3954)))))-COUNTBLANK(OFFSET(A$1,,,SUMPRODUCT(MAX(ROW(E$1:E3953)*(E2=E$1:E3953))))))</f>
        <v> </v>
      </c>
      <c r="K3954" s="25" t="str">
        <f>IF(OR(E3954="",E3954="!!!",F3954="NEW"),"",INDEX(J$1:J3953,SUMPRODUCT(MAX(ROW(E$1:E3953)*(E3954=E$1:E3953)))))</f>
        <v> </v>
      </c>
      <c r="L3954" s="26"/>
    </row>
    <row r="3955" spans="1:12">
      <c r="A3955" s="20" t="s">
        <v>736</v>
      </c>
      <c r="E3955" s="21">
        <f>IF(D3955="?OLD","!!!","")</f>
        <v/>
      </c>
      <c r="F3955" s="22" t="str">
        <f>IF(OR(E3955="",E3955="!!!"),"",IF(NOT(ISNA(VLOOKUP(E3955,E$1:E3954,1,FALSE()))),"OLD",IF(AND(E3955&lt;&gt;"",E3955&lt;&gt;"!!!"),"NEW","")))</f>
        <v> </v>
      </c>
      <c r="G3955" s="23" t="str">
        <f>IF(OR(E3955="",E3955="!!!"),"",IF(OR(J3955=0,AND(J3955=1,K3955=1),AND(J3955=1,I3955="SBJ"),AND(J3955=1,I3955=0)),"?IN_FOCUS",IF(J3955&lt;=2,"?ACTIVATED",IF(J3955&lt;&gt;"","?FAMILIAR",IF(F3955="NEW",IF(ISNA(VLOOKUP(E3955,#REF!,1,FALSE())),"?TYPE_IDENTIFIABLE","?REFERENTIAL"),"_")))))</f>
        <v> </v>
      </c>
      <c r="H3955" s="24" t="str">
        <f>IF(J3955&lt;&gt;1,"",IF(I3955="SBJ","CB","?"))</f>
        <v> </v>
      </c>
      <c r="I3955" s="25" t="str">
        <f>IF(OR(E3955="",E3955="!!!",F3955="NEW"),"",INDEX(B3954:B$2,-1+SUMPRODUCT(MAX(ROW(E3954:E$2)*(E3955=E3954:E$2)))))</f>
        <v> </v>
      </c>
      <c r="J3955" s="25" t="str">
        <f>IF(OR(E3955="",E3955="!!!",F3955="NEW"),"",COUNTBLANK(OFFSET(A$1,,,SUMPRODUCT(MAX(ROW(E$2:E3955)*(E3955=E$2:E3955)))))-COUNTBLANK(OFFSET(A$1,,,SUMPRODUCT(MAX(ROW(E$1:E3954)*(E2=E$1:E3954))))))</f>
        <v> </v>
      </c>
      <c r="K3955" s="25" t="str">
        <f>IF(OR(E3955="",E3955="!!!",F3955="NEW"),"",INDEX(J$1:J3954,SUMPRODUCT(MAX(ROW(E$1:E3954)*(E3955=E$1:E3954)))))</f>
        <v> </v>
      </c>
      <c r="L3955" s="26"/>
    </row>
    <row r="3956" spans="1:12">
      <c r="A3956" s="20" t="s">
        <v>847</v>
      </c>
      <c r="B3956" s="27" t="s">
        <v>733</v>
      </c>
      <c r="C3956" s="27" t="s">
        <v>739</v>
      </c>
      <c r="D3956" s="27" t="s">
        <v>740</v>
      </c>
      <c r="E3956" s="21">
        <f>IF(D3956="?OLD","!!!","")</f>
        <v/>
      </c>
      <c r="F3956" s="22" t="str">
        <f>IF(OR(E3956="",E3956="!!!"),"",IF(NOT(ISNA(VLOOKUP(E3956,E$1:E3955,1,FALSE()))),"OLD",IF(AND(E3956&lt;&gt;"",E3956&lt;&gt;"!!!"),"NEW","")))</f>
        <v> </v>
      </c>
      <c r="G3956" s="23" t="str">
        <f>IF(OR(E3956="",E3956="!!!"),"",IF(OR(J3956=0,AND(J3956=1,K3956=1),AND(J3956=1,I3956="SBJ"),AND(J3956=1,I3956=0)),"?IN_FOCUS",IF(J3956&lt;=2,"?ACTIVATED",IF(J3956&lt;&gt;"","?FAMILIAR",IF(F3956="NEW",IF(ISNA(VLOOKUP(E3956,#REF!,1,FALSE())),"?TYPE_IDENTIFIABLE","?REFERENTIAL"),"_")))))</f>
        <v> </v>
      </c>
      <c r="H3956" s="24" t="str">
        <f>IF(J3956&lt;&gt;1,"",IF(I3956="SBJ","CB","?"))</f>
        <v> </v>
      </c>
      <c r="I3956" s="25" t="str">
        <f>IF(OR(E3956="",E3956="!!!",F3956="NEW"),"",INDEX(B3955:B$2,-1+SUMPRODUCT(MAX(ROW(E3955:E$2)*(E3956=E3955:E$2)))))</f>
        <v> </v>
      </c>
      <c r="J3956" s="25" t="str">
        <f>IF(OR(E3956="",E3956="!!!",F3956="NEW"),"",COUNTBLANK(OFFSET(A$1,,,SUMPRODUCT(MAX(ROW(E$2:E3956)*(E3956=E$2:E3956)))))-COUNTBLANK(OFFSET(A$1,,,SUMPRODUCT(MAX(ROW(E$1:E3955)*(E2=E$1:E3955))))))</f>
        <v> </v>
      </c>
      <c r="K3956" s="25" t="str">
        <f>IF(OR(E3956="",E3956="!!!",F3956="NEW"),"",INDEX(J$1:J3955,SUMPRODUCT(MAX(ROW(E$1:E3955)*(E3956=E$1:E3955)))))</f>
        <v> </v>
      </c>
      <c r="L3956" s="26"/>
    </row>
    <row r="3957" spans="1:12">
      <c r="A3957" s="20" t="s">
        <v>1718</v>
      </c>
      <c r="E3957" s="21">
        <f>IF(D3957="?OLD","!!!","")</f>
        <v/>
      </c>
      <c r="F3957" s="22" t="str">
        <f>IF(OR(E3957="",E3957="!!!"),"",IF(NOT(ISNA(VLOOKUP(E3957,E$1:E3956,1,FALSE()))),"OLD",IF(AND(E3957&lt;&gt;"",E3957&lt;&gt;"!!!"),"NEW","")))</f>
        <v> </v>
      </c>
      <c r="G3957" s="23" t="str">
        <f>IF(OR(E3957="",E3957="!!!"),"",IF(OR(J3957=0,AND(J3957=1,K3957=1),AND(J3957=1,I3957="SBJ"),AND(J3957=1,I3957=0)),"?IN_FOCUS",IF(J3957&lt;=2,"?ACTIVATED",IF(J3957&lt;&gt;"","?FAMILIAR",IF(F3957="NEW",IF(ISNA(VLOOKUP(E3957,#REF!,1,FALSE())),"?TYPE_IDENTIFIABLE","?REFERENTIAL"),"_")))))</f>
        <v> </v>
      </c>
      <c r="H3957" s="24" t="str">
        <f>IF(J3957&lt;&gt;1,"",IF(I3957="SBJ","CB","?"))</f>
        <v> </v>
      </c>
      <c r="I3957" s="25" t="str">
        <f>IF(OR(E3957="",E3957="!!!",F3957="NEW"),"",INDEX(B3956:B$2,-1+SUMPRODUCT(MAX(ROW(E3956:E$2)*(E3957=E3956:E$2)))))</f>
        <v> </v>
      </c>
      <c r="J3957" s="25" t="str">
        <f>IF(OR(E3957="",E3957="!!!",F3957="NEW"),"",COUNTBLANK(OFFSET(A$1,,,SUMPRODUCT(MAX(ROW(E$2:E3957)*(E3957=E$2:E3957)))))-COUNTBLANK(OFFSET(A$1,,,SUMPRODUCT(MAX(ROW(E$1:E3956)*(E2=E$1:E3956))))))</f>
        <v> </v>
      </c>
      <c r="K3957" s="25" t="str">
        <f>IF(OR(E3957="",E3957="!!!",F3957="NEW"),"",INDEX(J$1:J3956,SUMPRODUCT(MAX(ROW(E$1:E3956)*(E3957=E$1:E3956)))))</f>
        <v> </v>
      </c>
      <c r="L3957" s="26"/>
    </row>
    <row r="3958" spans="1:12">
      <c r="A3958" s="20" t="s">
        <v>1918</v>
      </c>
      <c r="E3958" s="21">
        <f>IF(D3958="?OLD","!!!","")</f>
        <v/>
      </c>
      <c r="F3958" s="22" t="str">
        <f>IF(OR(E3958="",E3958="!!!"),"",IF(NOT(ISNA(VLOOKUP(E3958,E$1:E3957,1,FALSE()))),"OLD",IF(AND(E3958&lt;&gt;"",E3958&lt;&gt;"!!!"),"NEW","")))</f>
        <v> </v>
      </c>
      <c r="G3958" s="23" t="str">
        <f>IF(OR(E3958="",E3958="!!!"),"",IF(OR(J3958=0,AND(J3958=1,K3958=1),AND(J3958=1,I3958="SBJ"),AND(J3958=1,I3958=0)),"?IN_FOCUS",IF(J3958&lt;=2,"?ACTIVATED",IF(J3958&lt;&gt;"","?FAMILIAR",IF(F3958="NEW",IF(ISNA(VLOOKUP(E3958,#REF!,1,FALSE())),"?TYPE_IDENTIFIABLE","?REFERENTIAL"),"_")))))</f>
        <v> </v>
      </c>
      <c r="H3958" s="24" t="str">
        <f>IF(J3958&lt;&gt;1,"",IF(I3958="SBJ","CB","?"))</f>
        <v> </v>
      </c>
      <c r="I3958" s="25" t="str">
        <f>IF(OR(E3958="",E3958="!!!",F3958="NEW"),"",INDEX(B3957:B$2,-1+SUMPRODUCT(MAX(ROW(E3957:E$2)*(E3958=E3957:E$2)))))</f>
        <v> </v>
      </c>
      <c r="J3958" s="25" t="str">
        <f>IF(OR(E3958="",E3958="!!!",F3958="NEW"),"",COUNTBLANK(OFFSET(A$1,,,SUMPRODUCT(MAX(ROW(E$2:E3958)*(E3958=E$2:E3958)))))-COUNTBLANK(OFFSET(A$1,,,SUMPRODUCT(MAX(ROW(E$1:E3957)*(E2=E$1:E3957))))))</f>
        <v> </v>
      </c>
      <c r="K3958" s="25" t="str">
        <f>IF(OR(E3958="",E3958="!!!",F3958="NEW"),"",INDEX(J$1:J3957,SUMPRODUCT(MAX(ROW(E$1:E3957)*(E3958=E$1:E3957)))))</f>
        <v> </v>
      </c>
      <c r="L3958" s="26"/>
    </row>
    <row r="3959" spans="1:12">
      <c r="A3959" s="20" t="s">
        <v>1919</v>
      </c>
      <c r="B3959" s="27" t="s">
        <v>777</v>
      </c>
      <c r="C3959" s="27" t="s">
        <v>744</v>
      </c>
      <c r="E3959" s="21">
        <f>IF(D3959="?OLD","!!!","")</f>
        <v/>
      </c>
      <c r="F3959" s="22" t="str">
        <f>IF(OR(E3959="",E3959="!!!"),"",IF(NOT(ISNA(VLOOKUP(E3959,E$1:E3958,1,FALSE()))),"OLD",IF(AND(E3959&lt;&gt;"",E3959&lt;&gt;"!!!"),"NEW","")))</f>
        <v> </v>
      </c>
      <c r="G3959" s="23" t="str">
        <f>IF(OR(E3959="",E3959="!!!"),"",IF(OR(J3959=0,AND(J3959=1,K3959=1),AND(J3959=1,I3959="SBJ"),AND(J3959=1,I3959=0)),"?IN_FOCUS",IF(J3959&lt;=2,"?ACTIVATED",IF(J3959&lt;&gt;"","?FAMILIAR",IF(F3959="NEW",IF(ISNA(VLOOKUP(E3959,#REF!,1,FALSE())),"?TYPE_IDENTIFIABLE","?REFERENTIAL"),"_")))))</f>
        <v> </v>
      </c>
      <c r="H3959" s="24" t="str">
        <f>IF(J3959&lt;&gt;1,"",IF(I3959="SBJ","CB","?"))</f>
        <v> </v>
      </c>
      <c r="I3959" s="25" t="str">
        <f>IF(OR(E3959="",E3959="!!!",F3959="NEW"),"",INDEX(B3958:B$2,-1+SUMPRODUCT(MAX(ROW(E3958:E$2)*(E3959=E3958:E$2)))))</f>
        <v> </v>
      </c>
      <c r="J3959" s="25" t="str">
        <f>IF(OR(E3959="",E3959="!!!",F3959="NEW"),"",COUNTBLANK(OFFSET(A$1,,,SUMPRODUCT(MAX(ROW(E$2:E3959)*(E3959=E$2:E3959)))))-COUNTBLANK(OFFSET(A$1,,,SUMPRODUCT(MAX(ROW(E$1:E3958)*(E2=E$1:E3958))))))</f>
        <v> </v>
      </c>
      <c r="K3959" s="25" t="str">
        <f>IF(OR(E3959="",E3959="!!!",F3959="NEW"),"",INDEX(J$1:J3958,SUMPRODUCT(MAX(ROW(E$1:E3958)*(E3959=E$1:E3958)))))</f>
        <v> </v>
      </c>
      <c r="L3959" s="26"/>
    </row>
    <row r="3960" spans="1:12">
      <c r="A3960" s="20" t="s">
        <v>1009</v>
      </c>
      <c r="E3960" s="21">
        <f>IF(D3960="?OLD","!!!","")</f>
        <v/>
      </c>
      <c r="F3960" s="22" t="str">
        <f>IF(OR(E3960="",E3960="!!!"),"",IF(NOT(ISNA(VLOOKUP(E3960,E$1:E3959,1,FALSE()))),"OLD",IF(AND(E3960&lt;&gt;"",E3960&lt;&gt;"!!!"),"NEW","")))</f>
        <v> </v>
      </c>
      <c r="G3960" s="23" t="str">
        <f>IF(OR(E3960="",E3960="!!!"),"",IF(OR(J3960=0,AND(J3960=1,K3960=1),AND(J3960=1,I3960="SBJ"),AND(J3960=1,I3960=0)),"?IN_FOCUS",IF(J3960&lt;=2,"?ACTIVATED",IF(J3960&lt;&gt;"","?FAMILIAR",IF(F3960="NEW",IF(ISNA(VLOOKUP(E3960,#REF!,1,FALSE())),"?TYPE_IDENTIFIABLE","?REFERENTIAL"),"_")))))</f>
        <v> </v>
      </c>
      <c r="H3960" s="24" t="str">
        <f>IF(J3960&lt;&gt;1,"",IF(I3960="SBJ","CB","?"))</f>
        <v> </v>
      </c>
      <c r="I3960" s="25" t="str">
        <f>IF(OR(E3960="",E3960="!!!",F3960="NEW"),"",INDEX(B3959:B$2,-1+SUMPRODUCT(MAX(ROW(E3959:E$2)*(E3960=E3959:E$2)))))</f>
        <v> </v>
      </c>
      <c r="J3960" s="25" t="str">
        <f>IF(OR(E3960="",E3960="!!!",F3960="NEW"),"",COUNTBLANK(OFFSET(A$1,,,SUMPRODUCT(MAX(ROW(E$2:E3960)*(E3960=E$2:E3960)))))-COUNTBLANK(OFFSET(A$1,,,SUMPRODUCT(MAX(ROW(E$1:E3959)*(E2=E$1:E3959))))))</f>
        <v> </v>
      </c>
      <c r="K3960" s="25" t="str">
        <f>IF(OR(E3960="",E3960="!!!",F3960="NEW"),"",INDEX(J$1:J3959,SUMPRODUCT(MAX(ROW(E$1:E3959)*(E3960=E$1:E3959)))))</f>
        <v> </v>
      </c>
      <c r="L3960" s="26"/>
    </row>
    <row r="3961" spans="1:12">
      <c r="A3961" s="20" t="s">
        <v>753</v>
      </c>
      <c r="E3961" s="21">
        <f>IF(D3961="?OLD","!!!","")</f>
        <v/>
      </c>
      <c r="F3961" s="22" t="str">
        <f>IF(OR(E3961="",E3961="!!!"),"",IF(NOT(ISNA(VLOOKUP(E3961,E$1:E3960,1,FALSE()))),"OLD",IF(AND(E3961&lt;&gt;"",E3961&lt;&gt;"!!!"),"NEW","")))</f>
        <v> </v>
      </c>
      <c r="G3961" s="23" t="str">
        <f>IF(OR(E3961="",E3961="!!!"),"",IF(OR(J3961=0,AND(J3961=1,K3961=1),AND(J3961=1,I3961="SBJ"),AND(J3961=1,I3961=0)),"?IN_FOCUS",IF(J3961&lt;=2,"?ACTIVATED",IF(J3961&lt;&gt;"","?FAMILIAR",IF(F3961="NEW",IF(ISNA(VLOOKUP(E3961,#REF!,1,FALSE())),"?TYPE_IDENTIFIABLE","?REFERENTIAL"),"_")))))</f>
        <v> </v>
      </c>
      <c r="H3961" s="24" t="str">
        <f>IF(J3961&lt;&gt;1,"",IF(I3961="SBJ","CB","?"))</f>
        <v> </v>
      </c>
      <c r="I3961" s="25" t="str">
        <f>IF(OR(E3961="",E3961="!!!",F3961="NEW"),"",INDEX(B3960:B$2,-1+SUMPRODUCT(MAX(ROW(E3960:E$2)*(E3961=E3960:E$2)))))</f>
        <v> </v>
      </c>
      <c r="J3961" s="25" t="str">
        <f>IF(OR(E3961="",E3961="!!!",F3961="NEW"),"",COUNTBLANK(OFFSET(A$1,,,SUMPRODUCT(MAX(ROW(E$2:E3961)*(E3961=E$2:E3961)))))-COUNTBLANK(OFFSET(A$1,,,SUMPRODUCT(MAX(ROW(E$1:E3960)*(E2=E$1:E3960))))))</f>
        <v> </v>
      </c>
      <c r="K3961" s="25" t="str">
        <f>IF(OR(E3961="",E3961="!!!",F3961="NEW"),"",INDEX(J$1:J3960,SUMPRODUCT(MAX(ROW(E$1:E3960)*(E3961=E$1:E3960)))))</f>
        <v> </v>
      </c>
      <c r="L3961" s="26"/>
    </row>
    <row r="3962" spans="1:12">
      <c r="A3962" s="20" t="s">
        <v>791</v>
      </c>
      <c r="B3962" s="27" t="s">
        <v>779</v>
      </c>
      <c r="E3962" s="21">
        <f>IF(D3962="?OLD","!!!","")</f>
        <v/>
      </c>
      <c r="F3962" s="22" t="str">
        <f>IF(OR(E3962="",E3962="!!!"),"",IF(NOT(ISNA(VLOOKUP(E3962,E$1:E3961,1,FALSE()))),"OLD",IF(AND(E3962&lt;&gt;"",E3962&lt;&gt;"!!!"),"NEW","")))</f>
        <v> </v>
      </c>
      <c r="G3962" s="23" t="str">
        <f>IF(OR(E3962="",E3962="!!!"),"",IF(OR(J3962=0,AND(J3962=1,K3962=1),AND(J3962=1,I3962="SBJ"),AND(J3962=1,I3962=0)),"?IN_FOCUS",IF(J3962&lt;=2,"?ACTIVATED",IF(J3962&lt;&gt;"","?FAMILIAR",IF(F3962="NEW",IF(ISNA(VLOOKUP(E3962,#REF!,1,FALSE())),"?TYPE_IDENTIFIABLE","?REFERENTIAL"),"_")))))</f>
        <v> </v>
      </c>
      <c r="H3962" s="24" t="str">
        <f>IF(J3962&lt;&gt;1,"",IF(I3962="SBJ","CB","?"))</f>
        <v> </v>
      </c>
      <c r="I3962" s="25" t="str">
        <f>IF(OR(E3962="",E3962="!!!",F3962="NEW"),"",INDEX(B3961:B$2,-1+SUMPRODUCT(MAX(ROW(E3961:E$2)*(E3962=E3961:E$2)))))</f>
        <v> </v>
      </c>
      <c r="J3962" s="25" t="str">
        <f>IF(OR(E3962="",E3962="!!!",F3962="NEW"),"",COUNTBLANK(OFFSET(A$1,,,SUMPRODUCT(MAX(ROW(E$2:E3962)*(E3962=E$2:E3962)))))-COUNTBLANK(OFFSET(A$1,,,SUMPRODUCT(MAX(ROW(E$1:E3961)*(E2=E$1:E3961))))))</f>
        <v> </v>
      </c>
      <c r="K3962" s="25" t="str">
        <f>IF(OR(E3962="",E3962="!!!",F3962="NEW"),"",INDEX(J$1:J3961,SUMPRODUCT(MAX(ROW(E$1:E3961)*(E3962=E$1:E3961)))))</f>
        <v> </v>
      </c>
      <c r="L3962" s="26"/>
    </row>
    <row r="3963" spans="1:12">
      <c r="A3963" s="20" t="s">
        <v>807</v>
      </c>
      <c r="B3963" s="27" t="s">
        <v>771</v>
      </c>
      <c r="C3963" s="27" t="s">
        <v>749</v>
      </c>
      <c r="D3963" s="27" t="s">
        <v>740</v>
      </c>
      <c r="E3963" s="21">
        <f>IF(D3963="?OLD","!!!","")</f>
        <v/>
      </c>
      <c r="F3963" s="22" t="str">
        <f>IF(OR(E3963="",E3963="!!!"),"",IF(NOT(ISNA(VLOOKUP(E3963,E$1:E3962,1,FALSE()))),"OLD",IF(AND(E3963&lt;&gt;"",E3963&lt;&gt;"!!!"),"NEW","")))</f>
        <v> </v>
      </c>
      <c r="G3963" s="23" t="str">
        <f>IF(OR(E3963="",E3963="!!!"),"",IF(OR(J3963=0,AND(J3963=1,K3963=1),AND(J3963=1,I3963="SBJ"),AND(J3963=1,I3963=0)),"?IN_FOCUS",IF(J3963&lt;=2,"?ACTIVATED",IF(J3963&lt;&gt;"","?FAMILIAR",IF(F3963="NEW",IF(ISNA(VLOOKUP(E3963,#REF!,1,FALSE())),"?TYPE_IDENTIFIABLE","?REFERENTIAL"),"_")))))</f>
        <v> </v>
      </c>
      <c r="H3963" s="24" t="str">
        <f>IF(J3963&lt;&gt;1,"",IF(I3963="SBJ","CB","?"))</f>
        <v> </v>
      </c>
      <c r="I3963" s="25" t="str">
        <f>IF(OR(E3963="",E3963="!!!",F3963="NEW"),"",INDEX(B3962:B$2,-1+SUMPRODUCT(MAX(ROW(E3962:E$2)*(E3963=E3962:E$2)))))</f>
        <v> </v>
      </c>
      <c r="J3963" s="25" t="str">
        <f>IF(OR(E3963="",E3963="!!!",F3963="NEW"),"",COUNTBLANK(OFFSET(A$1,,,SUMPRODUCT(MAX(ROW(E$2:E3963)*(E3963=E$2:E3963)))))-COUNTBLANK(OFFSET(A$1,,,SUMPRODUCT(MAX(ROW(E$1:E3962)*(E2=E$1:E3962))))))</f>
        <v> </v>
      </c>
      <c r="K3963" s="25" t="str">
        <f>IF(OR(E3963="",E3963="!!!",F3963="NEW"),"",INDEX(J$1:J3962,SUMPRODUCT(MAX(ROW(E$1:E3962)*(E3963=E$1:E3962)))))</f>
        <v> </v>
      </c>
      <c r="L3963" s="26"/>
    </row>
    <row r="3964" spans="1:12">
      <c r="A3964" s="20" t="s">
        <v>1920</v>
      </c>
      <c r="E3964" s="21">
        <f>IF(D3964="?OLD","!!!","")</f>
        <v/>
      </c>
      <c r="F3964" s="22" t="str">
        <f>IF(OR(E3964="",E3964="!!!"),"",IF(NOT(ISNA(VLOOKUP(E3964,E$1:E3963,1,FALSE()))),"OLD",IF(AND(E3964&lt;&gt;"",E3964&lt;&gt;"!!!"),"NEW","")))</f>
        <v> </v>
      </c>
      <c r="G3964" s="23" t="str">
        <f>IF(OR(E3964="",E3964="!!!"),"",IF(OR(J3964=0,AND(J3964=1,K3964=1),AND(J3964=1,I3964="SBJ"),AND(J3964=1,I3964=0)),"?IN_FOCUS",IF(J3964&lt;=2,"?ACTIVATED",IF(J3964&lt;&gt;"","?FAMILIAR",IF(F3964="NEW",IF(ISNA(VLOOKUP(E3964,#REF!,1,FALSE())),"?TYPE_IDENTIFIABLE","?REFERENTIAL"),"_")))))</f>
        <v> </v>
      </c>
      <c r="H3964" s="24" t="str">
        <f>IF(J3964&lt;&gt;1,"",IF(I3964="SBJ","CB","?"))</f>
        <v> </v>
      </c>
      <c r="I3964" s="25" t="str">
        <f>IF(OR(E3964="",E3964="!!!",F3964="NEW"),"",INDEX(B3963:B$2,-1+SUMPRODUCT(MAX(ROW(E3963:E$2)*(E3964=E3963:E$2)))))</f>
        <v> </v>
      </c>
      <c r="J3964" s="25" t="str">
        <f>IF(OR(E3964="",E3964="!!!",F3964="NEW"),"",COUNTBLANK(OFFSET(A$1,,,SUMPRODUCT(MAX(ROW(E$2:E3964)*(E3964=E$2:E3964)))))-COUNTBLANK(OFFSET(A$1,,,SUMPRODUCT(MAX(ROW(E$1:E3963)*(E2=E$1:E3963))))))</f>
        <v> </v>
      </c>
      <c r="K3964" s="25" t="str">
        <f>IF(OR(E3964="",E3964="!!!",F3964="NEW"),"",INDEX(J$1:J3963,SUMPRODUCT(MAX(ROW(E$1:E3963)*(E3964=E$1:E3963)))))</f>
        <v> </v>
      </c>
      <c r="L3964" s="26"/>
    </row>
    <row r="3965" spans="1:12">
      <c r="A3965" s="20" t="s">
        <v>947</v>
      </c>
      <c r="E3965" s="21">
        <f>IF(D3965="?OLD","!!!","")</f>
        <v/>
      </c>
      <c r="F3965" s="22" t="str">
        <f>IF(OR(E3965="",E3965="!!!"),"",IF(NOT(ISNA(VLOOKUP(E3965,E$1:E3964,1,FALSE()))),"OLD",IF(AND(E3965&lt;&gt;"",E3965&lt;&gt;"!!!"),"NEW","")))</f>
        <v> </v>
      </c>
      <c r="G3965" s="23" t="str">
        <f>IF(OR(E3965="",E3965="!!!"),"",IF(OR(J3965=0,AND(J3965=1,K3965=1),AND(J3965=1,I3965="SBJ"),AND(J3965=1,I3965=0)),"?IN_FOCUS",IF(J3965&lt;=2,"?ACTIVATED",IF(J3965&lt;&gt;"","?FAMILIAR",IF(F3965="NEW",IF(ISNA(VLOOKUP(E3965,#REF!,1,FALSE())),"?TYPE_IDENTIFIABLE","?REFERENTIAL"),"_")))))</f>
        <v> </v>
      </c>
      <c r="H3965" s="24" t="str">
        <f>IF(J3965&lt;&gt;1,"",IF(I3965="SBJ","CB","?"))</f>
        <v> </v>
      </c>
      <c r="I3965" s="25" t="str">
        <f>IF(OR(E3965="",E3965="!!!",F3965="NEW"),"",INDEX(B3964:B$2,-1+SUMPRODUCT(MAX(ROW(E3964:E$2)*(E3965=E3964:E$2)))))</f>
        <v> </v>
      </c>
      <c r="J3965" s="25" t="str">
        <f>IF(OR(E3965="",E3965="!!!",F3965="NEW"),"",COUNTBLANK(OFFSET(A$1,,,SUMPRODUCT(MAX(ROW(E$2:E3965)*(E3965=E$2:E3965)))))-COUNTBLANK(OFFSET(A$1,,,SUMPRODUCT(MAX(ROW(E$1:E3964)*(E2=E$1:E3964))))))</f>
        <v> </v>
      </c>
      <c r="K3965" s="25" t="str">
        <f>IF(OR(E3965="",E3965="!!!",F3965="NEW"),"",INDEX(J$1:J3964,SUMPRODUCT(MAX(ROW(E$1:E3964)*(E3965=E$1:E3964)))))</f>
        <v> </v>
      </c>
      <c r="L3965" s="26"/>
    </row>
    <row r="3966" spans="1:12">
      <c r="A3966" s="20" t="s">
        <v>753</v>
      </c>
      <c r="E3966" s="21">
        <f>IF(D3966="?OLD","!!!","")</f>
        <v/>
      </c>
      <c r="F3966" s="22" t="str">
        <f>IF(OR(E3966="",E3966="!!!"),"",IF(NOT(ISNA(VLOOKUP(E3966,E$1:E3965,1,FALSE()))),"OLD",IF(AND(E3966&lt;&gt;"",E3966&lt;&gt;"!!!"),"NEW","")))</f>
        <v> </v>
      </c>
      <c r="G3966" s="23" t="str">
        <f>IF(OR(E3966="",E3966="!!!"),"",IF(OR(J3966=0,AND(J3966=1,K3966=1),AND(J3966=1,I3966="SBJ"),AND(J3966=1,I3966=0)),"?IN_FOCUS",IF(J3966&lt;=2,"?ACTIVATED",IF(J3966&lt;&gt;"","?FAMILIAR",IF(F3966="NEW",IF(ISNA(VLOOKUP(E3966,#REF!,1,FALSE())),"?TYPE_IDENTIFIABLE","?REFERENTIAL"),"_")))))</f>
        <v> </v>
      </c>
      <c r="H3966" s="24" t="str">
        <f>IF(J3966&lt;&gt;1,"",IF(I3966="SBJ","CB","?"))</f>
        <v> </v>
      </c>
      <c r="I3966" s="25" t="str">
        <f>IF(OR(E3966="",E3966="!!!",F3966="NEW"),"",INDEX(B3965:B$2,-1+SUMPRODUCT(MAX(ROW(E3965:E$2)*(E3966=E3965:E$2)))))</f>
        <v> </v>
      </c>
      <c r="J3966" s="25" t="str">
        <f>IF(OR(E3966="",E3966="!!!",F3966="NEW"),"",COUNTBLANK(OFFSET(A$1,,,SUMPRODUCT(MAX(ROW(E$2:E3966)*(E3966=E$2:E3966)))))-COUNTBLANK(OFFSET(A$1,,,SUMPRODUCT(MAX(ROW(E$1:E3965)*(E2=E$1:E3965))))))</f>
        <v> </v>
      </c>
      <c r="K3966" s="25" t="str">
        <f>IF(OR(E3966="",E3966="!!!",F3966="NEW"),"",INDEX(J$1:J3965,SUMPRODUCT(MAX(ROW(E$1:E3965)*(E3966=E$1:E3965)))))</f>
        <v> </v>
      </c>
      <c r="L3966" s="26"/>
    </row>
    <row r="3967" spans="1:12">
      <c r="A3967" s="20" t="s">
        <v>751</v>
      </c>
      <c r="E3967" s="21">
        <f>IF(D3967="?OLD","!!!","")</f>
        <v/>
      </c>
      <c r="F3967" s="22" t="str">
        <f>IF(OR(E3967="",E3967="!!!"),"",IF(NOT(ISNA(VLOOKUP(E3967,E$1:E3966,1,FALSE()))),"OLD",IF(AND(E3967&lt;&gt;"",E3967&lt;&gt;"!!!"),"NEW","")))</f>
        <v> </v>
      </c>
      <c r="G3967" s="23" t="str">
        <f>IF(OR(E3967="",E3967="!!!"),"",IF(OR(J3967=0,AND(J3967=1,K3967=1),AND(J3967=1,I3967="SBJ"),AND(J3967=1,I3967=0)),"?IN_FOCUS",IF(J3967&lt;=2,"?ACTIVATED",IF(J3967&lt;&gt;"","?FAMILIAR",IF(F3967="NEW",IF(ISNA(VLOOKUP(E3967,#REF!,1,FALSE())),"?TYPE_IDENTIFIABLE","?REFERENTIAL"),"_")))))</f>
        <v> </v>
      </c>
      <c r="H3967" s="24" t="str">
        <f>IF(J3967&lt;&gt;1,"",IF(I3967="SBJ","CB","?"))</f>
        <v> </v>
      </c>
      <c r="I3967" s="25" t="str">
        <f>IF(OR(E3967="",E3967="!!!",F3967="NEW"),"",INDEX(B3966:B$2,-1+SUMPRODUCT(MAX(ROW(E3966:E$2)*(E3967=E3966:E$2)))))</f>
        <v> </v>
      </c>
      <c r="J3967" s="25" t="str">
        <f>IF(OR(E3967="",E3967="!!!",F3967="NEW"),"",COUNTBLANK(OFFSET(A$1,,,SUMPRODUCT(MAX(ROW(E$2:E3967)*(E3967=E$2:E3967)))))-COUNTBLANK(OFFSET(A$1,,,SUMPRODUCT(MAX(ROW(E$1:E3966)*(E2=E$1:E3966))))))</f>
        <v> </v>
      </c>
      <c r="K3967" s="25" t="str">
        <f>IF(OR(E3967="",E3967="!!!",F3967="NEW"),"",INDEX(J$1:J3966,SUMPRODUCT(MAX(ROW(E$1:E3966)*(E3967=E$1:E3966)))))</f>
        <v> </v>
      </c>
      <c r="L3967" s="26"/>
    </row>
    <row r="3968" spans="1:12">
      <c r="A3968" s="20" t="s">
        <v>1921</v>
      </c>
      <c r="E3968" s="21">
        <f>IF(D3968="?OLD","!!!","")</f>
        <v/>
      </c>
      <c r="F3968" s="22" t="str">
        <f>IF(OR(E3968="",E3968="!!!"),"",IF(NOT(ISNA(VLOOKUP(E3968,E$1:E3967,1,FALSE()))),"OLD",IF(AND(E3968&lt;&gt;"",E3968&lt;&gt;"!!!"),"NEW","")))</f>
        <v> </v>
      </c>
      <c r="G3968" s="23" t="str">
        <f>IF(OR(E3968="",E3968="!!!"),"",IF(OR(J3968=0,AND(J3968=1,K3968=1),AND(J3968=1,I3968="SBJ"),AND(J3968=1,I3968=0)),"?IN_FOCUS",IF(J3968&lt;=2,"?ACTIVATED",IF(J3968&lt;&gt;"","?FAMILIAR",IF(F3968="NEW",IF(ISNA(VLOOKUP(E3968,#REF!,1,FALSE())),"?TYPE_IDENTIFIABLE","?REFERENTIAL"),"_")))))</f>
        <v> </v>
      </c>
      <c r="H3968" s="24" t="str">
        <f>IF(J3968&lt;&gt;1,"",IF(I3968="SBJ","CB","?"))</f>
        <v> </v>
      </c>
      <c r="I3968" s="25" t="str">
        <f>IF(OR(E3968="",E3968="!!!",F3968="NEW"),"",INDEX(B3967:B$2,-1+SUMPRODUCT(MAX(ROW(E3967:E$2)*(E3968=E3967:E$2)))))</f>
        <v> </v>
      </c>
      <c r="J3968" s="25" t="str">
        <f>IF(OR(E3968="",E3968="!!!",F3968="NEW"),"",COUNTBLANK(OFFSET(A$1,,,SUMPRODUCT(MAX(ROW(E$2:E3968)*(E3968=E$2:E3968)))))-COUNTBLANK(OFFSET(A$1,,,SUMPRODUCT(MAX(ROW(E$1:E3967)*(E2=E$1:E3967))))))</f>
        <v> </v>
      </c>
      <c r="K3968" s="25" t="str">
        <f>IF(OR(E3968="",E3968="!!!",F3968="NEW"),"",INDEX(J$1:J3967,SUMPRODUCT(MAX(ROW(E$1:E3967)*(E3968=E$1:E3967)))))</f>
        <v> </v>
      </c>
      <c r="L3968" s="26"/>
    </row>
    <row r="3969" spans="1:12">
      <c r="A3969" s="20" t="s">
        <v>1922</v>
      </c>
      <c r="E3969" s="21">
        <f>IF(D3969="?OLD","!!!","")</f>
        <v/>
      </c>
      <c r="F3969" s="22" t="str">
        <f>IF(OR(E3969="",E3969="!!!"),"",IF(NOT(ISNA(VLOOKUP(E3969,E$1:E3968,1,FALSE()))),"OLD",IF(AND(E3969&lt;&gt;"",E3969&lt;&gt;"!!!"),"NEW","")))</f>
        <v> </v>
      </c>
      <c r="G3969" s="23" t="str">
        <f>IF(OR(E3969="",E3969="!!!"),"",IF(OR(J3969=0,AND(J3969=1,K3969=1),AND(J3969=1,I3969="SBJ"),AND(J3969=1,I3969=0)),"?IN_FOCUS",IF(J3969&lt;=2,"?ACTIVATED",IF(J3969&lt;&gt;"","?FAMILIAR",IF(F3969="NEW",IF(ISNA(VLOOKUP(E3969,#REF!,1,FALSE())),"?TYPE_IDENTIFIABLE","?REFERENTIAL"),"_")))))</f>
        <v> </v>
      </c>
      <c r="H3969" s="24" t="str">
        <f>IF(J3969&lt;&gt;1,"",IF(I3969="SBJ","CB","?"))</f>
        <v> </v>
      </c>
      <c r="I3969" s="25" t="str">
        <f>IF(OR(E3969="",E3969="!!!",F3969="NEW"),"",INDEX(B3968:B$2,-1+SUMPRODUCT(MAX(ROW(E3968:E$2)*(E3969=E3968:E$2)))))</f>
        <v> </v>
      </c>
      <c r="J3969" s="25" t="str">
        <f>IF(OR(E3969="",E3969="!!!",F3969="NEW"),"",COUNTBLANK(OFFSET(A$1,,,SUMPRODUCT(MAX(ROW(E$2:E3969)*(E3969=E$2:E3969)))))-COUNTBLANK(OFFSET(A$1,,,SUMPRODUCT(MAX(ROW(E$1:E3968)*(E2=E$1:E3968))))))</f>
        <v> </v>
      </c>
      <c r="K3969" s="25" t="str">
        <f>IF(OR(E3969="",E3969="!!!",F3969="NEW"),"",INDEX(J$1:J3968,SUMPRODUCT(MAX(ROW(E$1:E3968)*(E3969=E$1:E3968)))))</f>
        <v> </v>
      </c>
      <c r="L3969" s="26"/>
    </row>
    <row r="3970" spans="1:12">
      <c r="A3970" s="20" t="s">
        <v>924</v>
      </c>
      <c r="B3970" s="27" t="s">
        <v>764</v>
      </c>
      <c r="C3970" s="27" t="s">
        <v>744</v>
      </c>
      <c r="E3970" s="21">
        <f>IF(D3970="?OLD","!!!","")</f>
        <v/>
      </c>
      <c r="F3970" s="22" t="str">
        <f>IF(OR(E3970="",E3970="!!!"),"",IF(NOT(ISNA(VLOOKUP(E3970,E$1:E3969,1,FALSE()))),"OLD",IF(AND(E3970&lt;&gt;"",E3970&lt;&gt;"!!!"),"NEW","")))</f>
        <v> </v>
      </c>
      <c r="G3970" s="23" t="str">
        <f>IF(OR(E3970="",E3970="!!!"),"",IF(OR(J3970=0,AND(J3970=1,K3970=1),AND(J3970=1,I3970="SBJ"),AND(J3970=1,I3970=0)),"?IN_FOCUS",IF(J3970&lt;=2,"?ACTIVATED",IF(J3970&lt;&gt;"","?FAMILIAR",IF(F3970="NEW",IF(ISNA(VLOOKUP(E3970,#REF!,1,FALSE())),"?TYPE_IDENTIFIABLE","?REFERENTIAL"),"_")))))</f>
        <v> </v>
      </c>
      <c r="H3970" s="24" t="str">
        <f>IF(J3970&lt;&gt;1,"",IF(I3970="SBJ","CB","?"))</f>
        <v> </v>
      </c>
      <c r="I3970" s="25" t="str">
        <f>IF(OR(E3970="",E3970="!!!",F3970="NEW"),"",INDEX(B3969:B$2,-1+SUMPRODUCT(MAX(ROW(E3969:E$2)*(E3970=E3969:E$2)))))</f>
        <v> </v>
      </c>
      <c r="J3970" s="25" t="str">
        <f>IF(OR(E3970="",E3970="!!!",F3970="NEW"),"",COUNTBLANK(OFFSET(A$1,,,SUMPRODUCT(MAX(ROW(E$2:E3970)*(E3970=E$2:E3970)))))-COUNTBLANK(OFFSET(A$1,,,SUMPRODUCT(MAX(ROW(E$1:E3969)*(E2=E$1:E3969))))))</f>
        <v> </v>
      </c>
      <c r="K3970" s="25" t="str">
        <f>IF(OR(E3970="",E3970="!!!",F3970="NEW"),"",INDEX(J$1:J3969,SUMPRODUCT(MAX(ROW(E$1:E3969)*(E3970=E$1:E3969)))))</f>
        <v> </v>
      </c>
      <c r="L3970" s="26"/>
    </row>
    <row r="3971" spans="1:12">
      <c r="A3971" s="20" t="s">
        <v>753</v>
      </c>
      <c r="E3971" s="21">
        <f>IF(D3971="?OLD","!!!","")</f>
        <v/>
      </c>
      <c r="F3971" s="22" t="str">
        <f>IF(OR(E3971="",E3971="!!!"),"",IF(NOT(ISNA(VLOOKUP(E3971,E$1:E3970,1,FALSE()))),"OLD",IF(AND(E3971&lt;&gt;"",E3971&lt;&gt;"!!!"),"NEW","")))</f>
        <v> </v>
      </c>
      <c r="G3971" s="23" t="str">
        <f>IF(OR(E3971="",E3971="!!!"),"",IF(OR(J3971=0,AND(J3971=1,K3971=1),AND(J3971=1,I3971="SBJ"),AND(J3971=1,I3971=0)),"?IN_FOCUS",IF(J3971&lt;=2,"?ACTIVATED",IF(J3971&lt;&gt;"","?FAMILIAR",IF(F3971="NEW",IF(ISNA(VLOOKUP(E3971,#REF!,1,FALSE())),"?TYPE_IDENTIFIABLE","?REFERENTIAL"),"_")))))</f>
        <v> </v>
      </c>
      <c r="H3971" s="24" t="str">
        <f>IF(J3971&lt;&gt;1,"",IF(I3971="SBJ","CB","?"))</f>
        <v> </v>
      </c>
      <c r="I3971" s="25" t="str">
        <f>IF(OR(E3971="",E3971="!!!",F3971="NEW"),"",INDEX(B3970:B$2,-1+SUMPRODUCT(MAX(ROW(E3970:E$2)*(E3971=E3970:E$2)))))</f>
        <v> </v>
      </c>
      <c r="J3971" s="25" t="str">
        <f>IF(OR(E3971="",E3971="!!!",F3971="NEW"),"",COUNTBLANK(OFFSET(A$1,,,SUMPRODUCT(MAX(ROW(E$2:E3971)*(E3971=E$2:E3971)))))-COUNTBLANK(OFFSET(A$1,,,SUMPRODUCT(MAX(ROW(E$1:E3970)*(E2=E$1:E3970))))))</f>
        <v> </v>
      </c>
      <c r="K3971" s="25" t="str">
        <f>IF(OR(E3971="",E3971="!!!",F3971="NEW"),"",INDEX(J$1:J3970,SUMPRODUCT(MAX(ROW(E$1:E3970)*(E3971=E$1:E3970)))))</f>
        <v> </v>
      </c>
      <c r="L3971" s="26"/>
    </row>
    <row r="3972" spans="1:12">
      <c r="A3972" s="20" t="s">
        <v>791</v>
      </c>
      <c r="B3972" s="27" t="s">
        <v>1024</v>
      </c>
      <c r="E3972" s="21">
        <f>IF(D3972="?OLD","!!!","")</f>
        <v/>
      </c>
      <c r="F3972" s="22" t="str">
        <f>IF(OR(E3972="",E3972="!!!"),"",IF(NOT(ISNA(VLOOKUP(E3972,E$1:E3971,1,FALSE()))),"OLD",IF(AND(E3972&lt;&gt;"",E3972&lt;&gt;"!!!"),"NEW","")))</f>
        <v> </v>
      </c>
      <c r="G3972" s="23" t="str">
        <f>IF(OR(E3972="",E3972="!!!"),"",IF(OR(J3972=0,AND(J3972=1,K3972=1),AND(J3972=1,I3972="SBJ"),AND(J3972=1,I3972=0)),"?IN_FOCUS",IF(J3972&lt;=2,"?ACTIVATED",IF(J3972&lt;&gt;"","?FAMILIAR",IF(F3972="NEW",IF(ISNA(VLOOKUP(E3972,#REF!,1,FALSE())),"?TYPE_IDENTIFIABLE","?REFERENTIAL"),"_")))))</f>
        <v> </v>
      </c>
      <c r="H3972" s="24" t="str">
        <f>IF(J3972&lt;&gt;1,"",IF(I3972="SBJ","CB","?"))</f>
        <v> </v>
      </c>
      <c r="I3972" s="25" t="str">
        <f>IF(OR(E3972="",E3972="!!!",F3972="NEW"),"",INDEX(B3971:B$2,-1+SUMPRODUCT(MAX(ROW(E3971:E$2)*(E3972=E3971:E$2)))))</f>
        <v> </v>
      </c>
      <c r="J3972" s="25" t="str">
        <f>IF(OR(E3972="",E3972="!!!",F3972="NEW"),"",COUNTBLANK(OFFSET(A$1,,,SUMPRODUCT(MAX(ROW(E$2:E3972)*(E3972=E$2:E3972)))))-COUNTBLANK(OFFSET(A$1,,,SUMPRODUCT(MAX(ROW(E$1:E3971)*(E2=E$1:E3971))))))</f>
        <v> </v>
      </c>
      <c r="K3972" s="25" t="str">
        <f>IF(OR(E3972="",E3972="!!!",F3972="NEW"),"",INDEX(J$1:J3971,SUMPRODUCT(MAX(ROW(E$1:E3971)*(E3972=E$1:E3971)))))</f>
        <v> </v>
      </c>
      <c r="L3972" s="26"/>
    </row>
    <row r="3973" spans="1:12">
      <c r="A3973" s="20" t="s">
        <v>1923</v>
      </c>
      <c r="B3973" s="27" t="s">
        <v>1352</v>
      </c>
      <c r="C3973" s="27" t="s">
        <v>734</v>
      </c>
      <c r="E3973" s="21">
        <f>IF(D3973="?OLD","!!!","")</f>
        <v/>
      </c>
      <c r="F3973" s="22" t="str">
        <f>IF(OR(E3973="",E3973="!!!"),"",IF(NOT(ISNA(VLOOKUP(E3973,E$1:E3972,1,FALSE()))),"OLD",IF(AND(E3973&lt;&gt;"",E3973&lt;&gt;"!!!"),"NEW","")))</f>
        <v> </v>
      </c>
      <c r="G3973" s="23" t="str">
        <f>IF(OR(E3973="",E3973="!!!"),"",IF(OR(J3973=0,AND(J3973=1,K3973=1),AND(J3973=1,I3973="SBJ"),AND(J3973=1,I3973=0)),"?IN_FOCUS",IF(J3973&lt;=2,"?ACTIVATED",IF(J3973&lt;&gt;"","?FAMILIAR",IF(F3973="NEW",IF(ISNA(VLOOKUP(E3973,#REF!,1,FALSE())),"?TYPE_IDENTIFIABLE","?REFERENTIAL"),"_")))))</f>
        <v> </v>
      </c>
      <c r="H3973" s="24" t="str">
        <f>IF(J3973&lt;&gt;1,"",IF(I3973="SBJ","CB","?"))</f>
        <v> </v>
      </c>
      <c r="I3973" s="25" t="str">
        <f>IF(OR(E3973="",E3973="!!!",F3973="NEW"),"",INDEX(B3972:B$2,-1+SUMPRODUCT(MAX(ROW(E3972:E$2)*(E3973=E3972:E$2)))))</f>
        <v> </v>
      </c>
      <c r="J3973" s="25" t="str">
        <f>IF(OR(E3973="",E3973="!!!",F3973="NEW"),"",COUNTBLANK(OFFSET(A$1,,,SUMPRODUCT(MAX(ROW(E$2:E3973)*(E3973=E$2:E3973)))))-COUNTBLANK(OFFSET(A$1,,,SUMPRODUCT(MAX(ROW(E$1:E3972)*(E2=E$1:E3972))))))</f>
        <v> </v>
      </c>
      <c r="K3973" s="25" t="str">
        <f>IF(OR(E3973="",E3973="!!!",F3973="NEW"),"",INDEX(J$1:J3972,SUMPRODUCT(MAX(ROW(E$1:E3972)*(E3973=E$1:E3972)))))</f>
        <v> </v>
      </c>
      <c r="L3973" s="26"/>
    </row>
    <row r="3974" spans="1:12">
      <c r="A3974" s="20" t="s">
        <v>999</v>
      </c>
      <c r="E3974" s="21">
        <f>IF(D3974="?OLD","!!!","")</f>
        <v/>
      </c>
      <c r="F3974" s="22" t="str">
        <f>IF(OR(E3974="",E3974="!!!"),"",IF(NOT(ISNA(VLOOKUP(E3974,E$1:E3973,1,FALSE()))),"OLD",IF(AND(E3974&lt;&gt;"",E3974&lt;&gt;"!!!"),"NEW","")))</f>
        <v> </v>
      </c>
      <c r="G3974" s="23" t="str">
        <f>IF(OR(E3974="",E3974="!!!"),"",IF(OR(J3974=0,AND(J3974=1,K3974=1),AND(J3974=1,I3974="SBJ"),AND(J3974=1,I3974=0)),"?IN_FOCUS",IF(J3974&lt;=2,"?ACTIVATED",IF(J3974&lt;&gt;"","?FAMILIAR",IF(F3974="NEW",IF(ISNA(VLOOKUP(E3974,#REF!,1,FALSE())),"?TYPE_IDENTIFIABLE","?REFERENTIAL"),"_")))))</f>
        <v> </v>
      </c>
      <c r="H3974" s="24" t="str">
        <f>IF(J3974&lt;&gt;1,"",IF(I3974="SBJ","CB","?"))</f>
        <v> </v>
      </c>
      <c r="I3974" s="25" t="str">
        <f>IF(OR(E3974="",E3974="!!!",F3974="NEW"),"",INDEX(B3973:B$2,-1+SUMPRODUCT(MAX(ROW(E3973:E$2)*(E3974=E3973:E$2)))))</f>
        <v> </v>
      </c>
      <c r="J3974" s="25" t="str">
        <f>IF(OR(E3974="",E3974="!!!",F3974="NEW"),"",COUNTBLANK(OFFSET(A$1,,,SUMPRODUCT(MAX(ROW(E$2:E3974)*(E3974=E$2:E3974)))))-COUNTBLANK(OFFSET(A$1,,,SUMPRODUCT(MAX(ROW(E$1:E3973)*(E2=E$1:E3973))))))</f>
        <v> </v>
      </c>
      <c r="K3974" s="25" t="str">
        <f>IF(OR(E3974="",E3974="!!!",F3974="NEW"),"",INDEX(J$1:J3973,SUMPRODUCT(MAX(ROW(E$1:E3973)*(E3974=E$1:E3973)))))</f>
        <v> </v>
      </c>
      <c r="L3974" s="26"/>
    </row>
    <row r="3975" spans="1:12">
      <c r="A3975" s="20" t="s">
        <v>1924</v>
      </c>
      <c r="B3975" s="27" t="s">
        <v>1026</v>
      </c>
      <c r="C3975" s="27" t="s">
        <v>734</v>
      </c>
      <c r="E3975" s="21">
        <f>IF(D3975="?OLD","!!!","")</f>
        <v/>
      </c>
      <c r="F3975" s="22" t="str">
        <f>IF(OR(E3975="",E3975="!!!"),"",IF(NOT(ISNA(VLOOKUP(E3975,E$1:E3974,1,FALSE()))),"OLD",IF(AND(E3975&lt;&gt;"",E3975&lt;&gt;"!!!"),"NEW","")))</f>
        <v> </v>
      </c>
      <c r="G3975" s="23" t="str">
        <f>IF(OR(E3975="",E3975="!!!"),"",IF(OR(J3975=0,AND(J3975=1,K3975=1),AND(J3975=1,I3975="SBJ"),AND(J3975=1,I3975=0)),"?IN_FOCUS",IF(J3975&lt;=2,"?ACTIVATED",IF(J3975&lt;&gt;"","?FAMILIAR",IF(F3975="NEW",IF(ISNA(VLOOKUP(E3975,#REF!,1,FALSE())),"?TYPE_IDENTIFIABLE","?REFERENTIAL"),"_")))))</f>
        <v> </v>
      </c>
      <c r="H3975" s="24" t="str">
        <f>IF(J3975&lt;&gt;1,"",IF(I3975="SBJ","CB","?"))</f>
        <v> </v>
      </c>
      <c r="I3975" s="25" t="str">
        <f>IF(OR(E3975="",E3975="!!!",F3975="NEW"),"",INDEX(B3974:B$2,-1+SUMPRODUCT(MAX(ROW(E3974:E$2)*(E3975=E3974:E$2)))))</f>
        <v> </v>
      </c>
      <c r="J3975" s="25" t="str">
        <f>IF(OR(E3975="",E3975="!!!",F3975="NEW"),"",COUNTBLANK(OFFSET(A$1,,,SUMPRODUCT(MAX(ROW(E$2:E3975)*(E3975=E$2:E3975)))))-COUNTBLANK(OFFSET(A$1,,,SUMPRODUCT(MAX(ROW(E$1:E3974)*(E2=E$1:E3974))))))</f>
        <v> </v>
      </c>
      <c r="K3975" s="25" t="str">
        <f>IF(OR(E3975="",E3975="!!!",F3975="NEW"),"",INDEX(J$1:J3974,SUMPRODUCT(MAX(ROW(E$1:E3974)*(E3975=E$1:E3974)))))</f>
        <v> </v>
      </c>
      <c r="L3975" s="26"/>
    </row>
    <row r="3976" spans="1:12">
      <c r="A3976" s="20" t="s">
        <v>1833</v>
      </c>
      <c r="E3976" s="21">
        <f>IF(D3976="?OLD","!!!","")</f>
        <v/>
      </c>
      <c r="F3976" s="22" t="str">
        <f>IF(OR(E3976="",E3976="!!!"),"",IF(NOT(ISNA(VLOOKUP(E3976,E$1:E3975,1,FALSE()))),"OLD",IF(AND(E3976&lt;&gt;"",E3976&lt;&gt;"!!!"),"NEW","")))</f>
        <v> </v>
      </c>
      <c r="G3976" s="23" t="str">
        <f>IF(OR(E3976="",E3976="!!!"),"",IF(OR(J3976=0,AND(J3976=1,K3976=1),AND(J3976=1,I3976="SBJ"),AND(J3976=1,I3976=0)),"?IN_FOCUS",IF(J3976&lt;=2,"?ACTIVATED",IF(J3976&lt;&gt;"","?FAMILIAR",IF(F3976="NEW",IF(ISNA(VLOOKUP(E3976,#REF!,1,FALSE())),"?TYPE_IDENTIFIABLE","?REFERENTIAL"),"_")))))</f>
        <v> </v>
      </c>
      <c r="H3976" s="24" t="str">
        <f>IF(J3976&lt;&gt;1,"",IF(I3976="SBJ","CB","?"))</f>
        <v> </v>
      </c>
      <c r="I3976" s="25" t="str">
        <f>IF(OR(E3976="",E3976="!!!",F3976="NEW"),"",INDEX(B3975:B$2,-1+SUMPRODUCT(MAX(ROW(E3975:E$2)*(E3976=E3975:E$2)))))</f>
        <v> </v>
      </c>
      <c r="J3976" s="25" t="str">
        <f>IF(OR(E3976="",E3976="!!!",F3976="NEW"),"",COUNTBLANK(OFFSET(A$1,,,SUMPRODUCT(MAX(ROW(E$2:E3976)*(E3976=E$2:E3976)))))-COUNTBLANK(OFFSET(A$1,,,SUMPRODUCT(MAX(ROW(E$1:E3975)*(E2=E$1:E3975))))))</f>
        <v> </v>
      </c>
      <c r="K3976" s="25" t="str">
        <f>IF(OR(E3976="",E3976="!!!",F3976="NEW"),"",INDEX(J$1:J3975,SUMPRODUCT(MAX(ROW(E$1:E3975)*(E3976=E$1:E3975)))))</f>
        <v> </v>
      </c>
      <c r="L3976" s="26"/>
    </row>
    <row r="3977" spans="1:12">
      <c r="A3977" s="20" t="s">
        <v>736</v>
      </c>
      <c r="E3977" s="21">
        <f>IF(D3977="?OLD","!!!","")</f>
        <v/>
      </c>
      <c r="F3977" s="22" t="str">
        <f>IF(OR(E3977="",E3977="!!!"),"",IF(NOT(ISNA(VLOOKUP(E3977,E$1:E3976,1,FALSE()))),"OLD",IF(AND(E3977&lt;&gt;"",E3977&lt;&gt;"!!!"),"NEW","")))</f>
        <v> </v>
      </c>
      <c r="G3977" s="23" t="str">
        <f>IF(OR(E3977="",E3977="!!!"),"",IF(OR(J3977=0,AND(J3977=1,K3977=1),AND(J3977=1,I3977="SBJ"),AND(J3977=1,I3977=0)),"?IN_FOCUS",IF(J3977&lt;=2,"?ACTIVATED",IF(J3977&lt;&gt;"","?FAMILIAR",IF(F3977="NEW",IF(ISNA(VLOOKUP(E3977,#REF!,1,FALSE())),"?TYPE_IDENTIFIABLE","?REFERENTIAL"),"_")))))</f>
        <v> </v>
      </c>
      <c r="H3977" s="24" t="str">
        <f>IF(J3977&lt;&gt;1,"",IF(I3977="SBJ","CB","?"))</f>
        <v> </v>
      </c>
      <c r="I3977" s="25" t="str">
        <f>IF(OR(E3977="",E3977="!!!",F3977="NEW"),"",INDEX(B3976:B$2,-1+SUMPRODUCT(MAX(ROW(E3976:E$2)*(E3977=E3976:E$2)))))</f>
        <v> </v>
      </c>
      <c r="J3977" s="25" t="str">
        <f>IF(OR(E3977="",E3977="!!!",F3977="NEW"),"",COUNTBLANK(OFFSET(A$1,,,SUMPRODUCT(MAX(ROW(E$2:E3977)*(E3977=E$2:E3977)))))-COUNTBLANK(OFFSET(A$1,,,SUMPRODUCT(MAX(ROW(E$1:E3976)*(E2=E$1:E3976))))))</f>
        <v> </v>
      </c>
      <c r="K3977" s="25" t="str">
        <f>IF(OR(E3977="",E3977="!!!",F3977="NEW"),"",INDEX(J$1:J3976,SUMPRODUCT(MAX(ROW(E$1:E3976)*(E3977=E$1:E3976)))))</f>
        <v> </v>
      </c>
      <c r="L3977" s="26"/>
    </row>
    <row r="3978" spans="1:12">
      <c r="A3978" s="20" t="s">
        <v>1925</v>
      </c>
      <c r="B3978" s="27" t="s">
        <v>1026</v>
      </c>
      <c r="C3978" s="27" t="s">
        <v>739</v>
      </c>
      <c r="D3978" s="27" t="s">
        <v>740</v>
      </c>
      <c r="E3978" s="21">
        <f>IF(D3978="?OLD","!!!","")</f>
        <v/>
      </c>
      <c r="F3978" s="22" t="str">
        <f>IF(OR(E3978="",E3978="!!!"),"",IF(NOT(ISNA(VLOOKUP(E3978,E$1:E3977,1,FALSE()))),"OLD",IF(AND(E3978&lt;&gt;"",E3978&lt;&gt;"!!!"),"NEW","")))</f>
        <v> </v>
      </c>
      <c r="G3978" s="23" t="str">
        <f>IF(OR(E3978="",E3978="!!!"),"",IF(OR(J3978=0,AND(J3978=1,K3978=1),AND(J3978=1,I3978="SBJ"),AND(J3978=1,I3978=0)),"?IN_FOCUS",IF(J3978&lt;=2,"?ACTIVATED",IF(J3978&lt;&gt;"","?FAMILIAR",IF(F3978="NEW",IF(ISNA(VLOOKUP(E3978,#REF!,1,FALSE())),"?TYPE_IDENTIFIABLE","?REFERENTIAL"),"_")))))</f>
        <v> </v>
      </c>
      <c r="H3978" s="24" t="str">
        <f>IF(J3978&lt;&gt;1,"",IF(I3978="SBJ","CB","?"))</f>
        <v> </v>
      </c>
      <c r="I3978" s="25" t="str">
        <f>IF(OR(E3978="",E3978="!!!",F3978="NEW"),"",INDEX(B3977:B$2,-1+SUMPRODUCT(MAX(ROW(E3977:E$2)*(E3978=E3977:E$2)))))</f>
        <v> </v>
      </c>
      <c r="J3978" s="25" t="str">
        <f>IF(OR(E3978="",E3978="!!!",F3978="NEW"),"",COUNTBLANK(OFFSET(A$1,,,SUMPRODUCT(MAX(ROW(E$2:E3978)*(E3978=E$2:E3978)))))-COUNTBLANK(OFFSET(A$1,,,SUMPRODUCT(MAX(ROW(E$1:E3977)*(E2=E$1:E3977))))))</f>
        <v> </v>
      </c>
      <c r="K3978" s="25" t="str">
        <f>IF(OR(E3978="",E3978="!!!",F3978="NEW"),"",INDEX(J$1:J3977,SUMPRODUCT(MAX(ROW(E$1:E3977)*(E3978=E$1:E3977)))))</f>
        <v> </v>
      </c>
      <c r="L3978" s="26"/>
    </row>
    <row r="3979" spans="1:12">
      <c r="A3979" s="20" t="s">
        <v>1926</v>
      </c>
      <c r="E3979" s="21">
        <f>IF(D3979="?OLD","!!!","")</f>
        <v/>
      </c>
      <c r="F3979" s="22" t="str">
        <f>IF(OR(E3979="",E3979="!!!"),"",IF(NOT(ISNA(VLOOKUP(E3979,E$1:E3978,1,FALSE()))),"OLD",IF(AND(E3979&lt;&gt;"",E3979&lt;&gt;"!!!"),"NEW","")))</f>
        <v> </v>
      </c>
      <c r="G3979" s="23" t="str">
        <f>IF(OR(E3979="",E3979="!!!"),"",IF(OR(J3979=0,AND(J3979=1,K3979=1),AND(J3979=1,I3979="SBJ"),AND(J3979=1,I3979=0)),"?IN_FOCUS",IF(J3979&lt;=2,"?ACTIVATED",IF(J3979&lt;&gt;"","?FAMILIAR",IF(F3979="NEW",IF(ISNA(VLOOKUP(E3979,#REF!,1,FALSE())),"?TYPE_IDENTIFIABLE","?REFERENTIAL"),"_")))))</f>
        <v> </v>
      </c>
      <c r="H3979" s="24" t="str">
        <f>IF(J3979&lt;&gt;1,"",IF(I3979="SBJ","CB","?"))</f>
        <v> </v>
      </c>
      <c r="I3979" s="25" t="str">
        <f>IF(OR(E3979="",E3979="!!!",F3979="NEW"),"",INDEX(B3978:B$2,-1+SUMPRODUCT(MAX(ROW(E3978:E$2)*(E3979=E3978:E$2)))))</f>
        <v> </v>
      </c>
      <c r="J3979" s="25" t="str">
        <f>IF(OR(E3979="",E3979="!!!",F3979="NEW"),"",COUNTBLANK(OFFSET(A$1,,,SUMPRODUCT(MAX(ROW(E$2:E3979)*(E3979=E$2:E3979)))))-COUNTBLANK(OFFSET(A$1,,,SUMPRODUCT(MAX(ROW(E$1:E3978)*(E2=E$1:E3978))))))</f>
        <v> </v>
      </c>
      <c r="K3979" s="25" t="str">
        <f>IF(OR(E3979="",E3979="!!!",F3979="NEW"),"",INDEX(J$1:J3978,SUMPRODUCT(MAX(ROW(E$1:E3978)*(E3979=E$1:E3978)))))</f>
        <v> </v>
      </c>
      <c r="L3979" s="26"/>
    </row>
    <row r="3980" spans="1:12">
      <c r="A3980" s="20" t="s">
        <v>746</v>
      </c>
      <c r="E3980" s="21">
        <f>IF(D3980="?OLD","!!!","")</f>
        <v/>
      </c>
      <c r="F3980" s="22" t="str">
        <f>IF(OR(E3980="",E3980="!!!"),"",IF(NOT(ISNA(VLOOKUP(E3980,E$1:E3979,1,FALSE()))),"OLD",IF(AND(E3980&lt;&gt;"",E3980&lt;&gt;"!!!"),"NEW","")))</f>
        <v> </v>
      </c>
      <c r="G3980" s="23" t="str">
        <f>IF(OR(E3980="",E3980="!!!"),"",IF(OR(J3980=0,AND(J3980=1,K3980=1),AND(J3980=1,I3980="SBJ"),AND(J3980=1,I3980=0)),"?IN_FOCUS",IF(J3980&lt;=2,"?ACTIVATED",IF(J3980&lt;&gt;"","?FAMILIAR",IF(F3980="NEW",IF(ISNA(VLOOKUP(E3980,#REF!,1,FALSE())),"?TYPE_IDENTIFIABLE","?REFERENTIAL"),"_")))))</f>
        <v> </v>
      </c>
      <c r="H3980" s="24" t="str">
        <f>IF(J3980&lt;&gt;1,"",IF(I3980="SBJ","CB","?"))</f>
        <v> </v>
      </c>
      <c r="I3980" s="25" t="str">
        <f>IF(OR(E3980="",E3980="!!!",F3980="NEW"),"",INDEX(B3979:B$2,-1+SUMPRODUCT(MAX(ROW(E3979:E$2)*(E3980=E3979:E$2)))))</f>
        <v> </v>
      </c>
      <c r="J3980" s="25" t="str">
        <f>IF(OR(E3980="",E3980="!!!",F3980="NEW"),"",COUNTBLANK(OFFSET(A$1,,,SUMPRODUCT(MAX(ROW(E$2:E3980)*(E3980=E$2:E3980)))))-COUNTBLANK(OFFSET(A$1,,,SUMPRODUCT(MAX(ROW(E$1:E3979)*(E2=E$1:E3979))))))</f>
        <v> </v>
      </c>
      <c r="K3980" s="25" t="str">
        <f>IF(OR(E3980="",E3980="!!!",F3980="NEW"),"",INDEX(J$1:J3979,SUMPRODUCT(MAX(ROW(E$1:E3979)*(E3980=E$1:E3979)))))</f>
        <v> </v>
      </c>
      <c r="L3980" s="26"/>
    </row>
    <row r="3981" spans="1:12">
      <c r="A3981" s="20"/>
    </row>
    <row r="3982" spans="1:12">
      <c r="A3982" s="20" t="s">
        <v>767</v>
      </c>
      <c r="E3982" s="21">
        <f>IF(D3982="?OLD","!!!","")</f>
        <v/>
      </c>
      <c r="F3982" s="22" t="str">
        <f>IF(OR(E3982="",E3982="!!!"),"",IF(NOT(ISNA(VLOOKUP(E3982,E$1:E3981,1,FALSE()))),"OLD",IF(AND(E3982&lt;&gt;"",E3982&lt;&gt;"!!!"),"NEW","")))</f>
        <v> </v>
      </c>
      <c r="G3982" s="23" t="str">
        <f>IF(OR(E3982="",E3982="!!!"),"",IF(OR(J3982=0,AND(J3982=1,K3982=1),AND(J3982=1,I3982="SBJ"),AND(J3982=1,I3982=0)),"?IN_FOCUS",IF(J3982&lt;=2,"?ACTIVATED",IF(J3982&lt;&gt;"","?FAMILIAR",IF(F3982="NEW",IF(ISNA(VLOOKUP(E3982,#REF!,1,FALSE())),"?TYPE_IDENTIFIABLE","?REFERENTIAL"),"_")))))</f>
        <v> </v>
      </c>
      <c r="H3982" s="24" t="str">
        <f>IF(J3982&lt;&gt;1,"",IF(I3982="SBJ","CB","?"))</f>
        <v> </v>
      </c>
      <c r="I3982" s="25" t="str">
        <f>IF(OR(E3982="",E3982="!!!",F3982="NEW"),"",INDEX(B3981:B$2,-1+SUMPRODUCT(MAX(ROW(E3981:E$2)*(E3982=E3981:E$2)))))</f>
        <v> </v>
      </c>
      <c r="J3982" s="25" t="str">
        <f>IF(OR(E3982="",E3982="!!!",F3982="NEW"),"",COUNTBLANK(OFFSET(A$1,,,SUMPRODUCT(MAX(ROW(E$2:E3982)*(E3982=E$2:E3982)))))-COUNTBLANK(OFFSET(A$1,,,SUMPRODUCT(MAX(ROW(E$1:E3981)*(E2=E$1:E3981))))))</f>
        <v> </v>
      </c>
      <c r="K3982" s="25" t="str">
        <f>IF(OR(E3982="",E3982="!!!",F3982="NEW"),"",INDEX(J$1:J3981,SUMPRODUCT(MAX(ROW(E$1:E3981)*(E3982=E$1:E3981)))))</f>
        <v> </v>
      </c>
      <c r="L3982" s="26"/>
    </row>
    <row r="3983" spans="1:12">
      <c r="A3983" s="20" t="s">
        <v>1927</v>
      </c>
    </row>
    <row r="3984" spans="1:12">
      <c r="A3984" s="20" t="s">
        <v>813</v>
      </c>
      <c r="E3984" s="21">
        <f>IF(D3984="?OLD","!!!","")</f>
        <v/>
      </c>
      <c r="F3984" s="22" t="str">
        <f>IF(OR(E3984="",E3984="!!!"),"",IF(NOT(ISNA(VLOOKUP(E3984,E$1:E3983,1,FALSE()))),"OLD",IF(AND(E3984&lt;&gt;"",E3984&lt;&gt;"!!!"),"NEW","")))</f>
        <v> </v>
      </c>
      <c r="G3984" s="23" t="str">
        <f>IF(OR(E3984="",E3984="!!!"),"",IF(OR(J3984=0,AND(J3984=1,K3984=1),AND(J3984=1,I3984="SBJ"),AND(J3984=1,I3984=0)),"?IN_FOCUS",IF(J3984&lt;=2,"?ACTIVATED",IF(J3984&lt;&gt;"","?FAMILIAR",IF(F3984="NEW",IF(ISNA(VLOOKUP(E3984,#REF!,1,FALSE())),"?TYPE_IDENTIFIABLE","?REFERENTIAL"),"_")))))</f>
        <v> </v>
      </c>
      <c r="H3984" s="24" t="str">
        <f>IF(J3984&lt;&gt;1,"",IF(I3984="SBJ","CB","?"))</f>
        <v> </v>
      </c>
      <c r="I3984" s="25" t="str">
        <f>IF(OR(E3984="",E3984="!!!",F3984="NEW"),"",INDEX(B3983:B$2,-1+SUMPRODUCT(MAX(ROW(E3983:E$2)*(E3984=E3983:E$2)))))</f>
        <v> </v>
      </c>
      <c r="J3984" s="25" t="str">
        <f>IF(OR(E3984="",E3984="!!!",F3984="NEW"),"",COUNTBLANK(OFFSET(A$1,,,SUMPRODUCT(MAX(ROW(E$2:E3984)*(E3984=E$2:E3984)))))-COUNTBLANK(OFFSET(A$1,,,SUMPRODUCT(MAX(ROW(E$1:E3983)*(E2=E$1:E3983))))))</f>
        <v> </v>
      </c>
      <c r="K3984" s="25" t="str">
        <f>IF(OR(E3984="",E3984="!!!",F3984="NEW"),"",INDEX(J$1:J3983,SUMPRODUCT(MAX(ROW(E$1:E3983)*(E3984=E$1:E3983)))))</f>
        <v> </v>
      </c>
      <c r="L3984" s="26"/>
    </row>
    <row r="3985" spans="1:12">
      <c r="A3985" s="20" t="s">
        <v>783</v>
      </c>
      <c r="E3985" s="21">
        <f>IF(D3985="?OLD","!!!","")</f>
        <v/>
      </c>
      <c r="F3985" s="22" t="str">
        <f>IF(OR(E3985="",E3985="!!!"),"",IF(NOT(ISNA(VLOOKUP(E3985,E$1:E3984,1,FALSE()))),"OLD",IF(AND(E3985&lt;&gt;"",E3985&lt;&gt;"!!!"),"NEW","")))</f>
        <v> </v>
      </c>
      <c r="G3985" s="23" t="str">
        <f>IF(OR(E3985="",E3985="!!!"),"",IF(OR(J3985=0,AND(J3985=1,K3985=1),AND(J3985=1,I3985="SBJ"),AND(J3985=1,I3985=0)),"?IN_FOCUS",IF(J3985&lt;=2,"?ACTIVATED",IF(J3985&lt;&gt;"","?FAMILIAR",IF(F3985="NEW",IF(ISNA(VLOOKUP(E3985,#REF!,1,FALSE())),"?TYPE_IDENTIFIABLE","?REFERENTIAL"),"_")))))</f>
        <v> </v>
      </c>
      <c r="H3985" s="24" t="str">
        <f>IF(J3985&lt;&gt;1,"",IF(I3985="SBJ","CB","?"))</f>
        <v> </v>
      </c>
      <c r="I3985" s="25" t="str">
        <f>IF(OR(E3985="",E3985="!!!",F3985="NEW"),"",INDEX(B3984:B$2,-1+SUMPRODUCT(MAX(ROW(E3984:E$2)*(E3985=E3984:E$2)))))</f>
        <v> </v>
      </c>
      <c r="J3985" s="25" t="str">
        <f>IF(OR(E3985="",E3985="!!!",F3985="NEW"),"",COUNTBLANK(OFFSET(A$1,,,SUMPRODUCT(MAX(ROW(E$2:E3985)*(E3985=E$2:E3985)))))-COUNTBLANK(OFFSET(A$1,,,SUMPRODUCT(MAX(ROW(E$1:E3984)*(E2=E$1:E3984))))))</f>
        <v> </v>
      </c>
      <c r="K3985" s="25" t="str">
        <f>IF(OR(E3985="",E3985="!!!",F3985="NEW"),"",INDEX(J$1:J3984,SUMPRODUCT(MAX(ROW(E$1:E3984)*(E3985=E$1:E3984)))))</f>
        <v> </v>
      </c>
      <c r="L3985" s="26"/>
    </row>
    <row r="3986" spans="1:12">
      <c r="A3986" s="20" t="s">
        <v>1249</v>
      </c>
      <c r="E3986" s="21">
        <f>IF(D3986="?OLD","!!!","")</f>
        <v/>
      </c>
      <c r="F3986" s="22" t="str">
        <f>IF(OR(E3986="",E3986="!!!"),"",IF(NOT(ISNA(VLOOKUP(E3986,E$1:E3985,1,FALSE()))),"OLD",IF(AND(E3986&lt;&gt;"",E3986&lt;&gt;"!!!"),"NEW","")))</f>
        <v> </v>
      </c>
      <c r="G3986" s="23" t="str">
        <f>IF(OR(E3986="",E3986="!!!"),"",IF(OR(J3986=0,AND(J3986=1,K3986=1),AND(J3986=1,I3986="SBJ"),AND(J3986=1,I3986=0)),"?IN_FOCUS",IF(J3986&lt;=2,"?ACTIVATED",IF(J3986&lt;&gt;"","?FAMILIAR",IF(F3986="NEW",IF(ISNA(VLOOKUP(E3986,#REF!,1,FALSE())),"?TYPE_IDENTIFIABLE","?REFERENTIAL"),"_")))))</f>
        <v> </v>
      </c>
      <c r="H3986" s="24" t="str">
        <f>IF(J3986&lt;&gt;1,"",IF(I3986="SBJ","CB","?"))</f>
        <v> </v>
      </c>
      <c r="I3986" s="25" t="str">
        <f>IF(OR(E3986="",E3986="!!!",F3986="NEW"),"",INDEX(B3985:B$2,-1+SUMPRODUCT(MAX(ROW(E3985:E$2)*(E3986=E3985:E$2)))))</f>
        <v> </v>
      </c>
      <c r="J3986" s="25" t="str">
        <f>IF(OR(E3986="",E3986="!!!",F3986="NEW"),"",COUNTBLANK(OFFSET(A$1,,,SUMPRODUCT(MAX(ROW(E$2:E3986)*(E3986=E$2:E3986)))))-COUNTBLANK(OFFSET(A$1,,,SUMPRODUCT(MAX(ROW(E$1:E3985)*(E2=E$1:E3985))))))</f>
        <v> </v>
      </c>
      <c r="K3986" s="25" t="str">
        <f>IF(OR(E3986="",E3986="!!!",F3986="NEW"),"",INDEX(J$1:J3985,SUMPRODUCT(MAX(ROW(E$1:E3985)*(E3986=E$1:E3985)))))</f>
        <v> </v>
      </c>
      <c r="L3986" s="26"/>
    </row>
    <row r="3987" spans="1:12">
      <c r="A3987" s="20" t="s">
        <v>1928</v>
      </c>
      <c r="B3987" s="27" t="s">
        <v>733</v>
      </c>
      <c r="C3987" s="27" t="s">
        <v>848</v>
      </c>
      <c r="E3987" s="21">
        <f>IF(D3987="?OLD","!!!","")</f>
        <v/>
      </c>
      <c r="F3987" s="22" t="str">
        <f>IF(OR(E3987="",E3987="!!!"),"",IF(NOT(ISNA(VLOOKUP(E3987,E$1:E3986,1,FALSE()))),"OLD",IF(AND(E3987&lt;&gt;"",E3987&lt;&gt;"!!!"),"NEW","")))</f>
        <v> </v>
      </c>
      <c r="G3987" s="23" t="str">
        <f>IF(OR(E3987="",E3987="!!!"),"",IF(OR(J3987=0,AND(J3987=1,K3987=1),AND(J3987=1,I3987="SBJ"),AND(J3987=1,I3987=0)),"?IN_FOCUS",IF(J3987&lt;=2,"?ACTIVATED",IF(J3987&lt;&gt;"","?FAMILIAR",IF(F3987="NEW",IF(ISNA(VLOOKUP(E3987,#REF!,1,FALSE())),"?TYPE_IDENTIFIABLE","?REFERENTIAL"),"_")))))</f>
        <v> </v>
      </c>
      <c r="H3987" s="24" t="str">
        <f>IF(J3987&lt;&gt;1,"",IF(I3987="SBJ","CB","?"))</f>
        <v> </v>
      </c>
      <c r="I3987" s="25" t="str">
        <f>IF(OR(E3987="",E3987="!!!",F3987="NEW"),"",INDEX(B3986:B$2,-1+SUMPRODUCT(MAX(ROW(E3986:E$2)*(E3987=E3986:E$2)))))</f>
        <v> </v>
      </c>
      <c r="J3987" s="25" t="str">
        <f>IF(OR(E3987="",E3987="!!!",F3987="NEW"),"",COUNTBLANK(OFFSET(A$1,,,SUMPRODUCT(MAX(ROW(E$2:E3987)*(E3987=E$2:E3987)))))-COUNTBLANK(OFFSET(A$1,,,SUMPRODUCT(MAX(ROW(E$1:E3986)*(E2=E$1:E3986))))))</f>
        <v> </v>
      </c>
      <c r="K3987" s="25" t="str">
        <f>IF(OR(E3987="",E3987="!!!",F3987="NEW"),"",INDEX(J$1:J3986,SUMPRODUCT(MAX(ROW(E$1:E3986)*(E3987=E$1:E3986)))))</f>
        <v> </v>
      </c>
      <c r="L3987" s="26"/>
    </row>
    <row r="3988" spans="1:12">
      <c r="A3988" s="20" t="s">
        <v>1929</v>
      </c>
      <c r="E3988" s="21">
        <f>IF(D3988="?OLD","!!!","")</f>
        <v/>
      </c>
      <c r="F3988" s="22" t="str">
        <f>IF(OR(E3988="",E3988="!!!"),"",IF(NOT(ISNA(VLOOKUP(E3988,E$1:E3987,1,FALSE()))),"OLD",IF(AND(E3988&lt;&gt;"",E3988&lt;&gt;"!!!"),"NEW","")))</f>
        <v> </v>
      </c>
      <c r="G3988" s="23" t="str">
        <f>IF(OR(E3988="",E3988="!!!"),"",IF(OR(J3988=0,AND(J3988=1,K3988=1),AND(J3988=1,I3988="SBJ"),AND(J3988=1,I3988=0)),"?IN_FOCUS",IF(J3988&lt;=2,"?ACTIVATED",IF(J3988&lt;&gt;"","?FAMILIAR",IF(F3988="NEW",IF(ISNA(VLOOKUP(E3988,#REF!,1,FALSE())),"?TYPE_IDENTIFIABLE","?REFERENTIAL"),"_")))))</f>
        <v> </v>
      </c>
      <c r="H3988" s="24" t="str">
        <f>IF(J3988&lt;&gt;1,"",IF(I3988="SBJ","CB","?"))</f>
        <v> </v>
      </c>
      <c r="I3988" s="25" t="str">
        <f>IF(OR(E3988="",E3988="!!!",F3988="NEW"),"",INDEX(B3987:B$2,-1+SUMPRODUCT(MAX(ROW(E3987:E$2)*(E3988=E3987:E$2)))))</f>
        <v> </v>
      </c>
      <c r="J3988" s="25" t="str">
        <f>IF(OR(E3988="",E3988="!!!",F3988="NEW"),"",COUNTBLANK(OFFSET(A$1,,,SUMPRODUCT(MAX(ROW(E$2:E3988)*(E3988=E$2:E3988)))))-COUNTBLANK(OFFSET(A$1,,,SUMPRODUCT(MAX(ROW(E$1:E3987)*(E2=E$1:E3987))))))</f>
        <v> </v>
      </c>
      <c r="K3988" s="25" t="str">
        <f>IF(OR(E3988="",E3988="!!!",F3988="NEW"),"",INDEX(J$1:J3987,SUMPRODUCT(MAX(ROW(E$1:E3987)*(E3988=E$1:E3987)))))</f>
        <v> </v>
      </c>
      <c r="L3988" s="26"/>
    </row>
    <row r="3989" spans="1:12">
      <c r="A3989" s="20" t="s">
        <v>839</v>
      </c>
      <c r="E3989" s="21">
        <f>IF(D3989="?OLD","!!!","")</f>
        <v/>
      </c>
      <c r="F3989" s="22" t="str">
        <f>IF(OR(E3989="",E3989="!!!"),"",IF(NOT(ISNA(VLOOKUP(E3989,E$1:E3988,1,FALSE()))),"OLD",IF(AND(E3989&lt;&gt;"",E3989&lt;&gt;"!!!"),"NEW","")))</f>
        <v> </v>
      </c>
      <c r="G3989" s="23" t="str">
        <f>IF(OR(E3989="",E3989="!!!"),"",IF(OR(J3989=0,AND(J3989=1,K3989=1),AND(J3989=1,I3989="SBJ"),AND(J3989=1,I3989=0)),"?IN_FOCUS",IF(J3989&lt;=2,"?ACTIVATED",IF(J3989&lt;&gt;"","?FAMILIAR",IF(F3989="NEW",IF(ISNA(VLOOKUP(E3989,#REF!,1,FALSE())),"?TYPE_IDENTIFIABLE","?REFERENTIAL"),"_")))))</f>
        <v> </v>
      </c>
      <c r="H3989" s="24" t="str">
        <f>IF(J3989&lt;&gt;1,"",IF(I3989="SBJ","CB","?"))</f>
        <v> </v>
      </c>
      <c r="I3989" s="25" t="str">
        <f>IF(OR(E3989="",E3989="!!!",F3989="NEW"),"",INDEX(B3988:B$2,-1+SUMPRODUCT(MAX(ROW(E3988:E$2)*(E3989=E3988:E$2)))))</f>
        <v> </v>
      </c>
      <c r="J3989" s="25" t="str">
        <f>IF(OR(E3989="",E3989="!!!",F3989="NEW"),"",COUNTBLANK(OFFSET(A$1,,,SUMPRODUCT(MAX(ROW(E$2:E3989)*(E3989=E$2:E3989)))))-COUNTBLANK(OFFSET(A$1,,,SUMPRODUCT(MAX(ROW(E$1:E3988)*(E2=E$1:E3988))))))</f>
        <v> </v>
      </c>
      <c r="K3989" s="25" t="str">
        <f>IF(OR(E3989="",E3989="!!!",F3989="NEW"),"",INDEX(J$1:J3988,SUMPRODUCT(MAX(ROW(E$1:E3988)*(E3989=E$1:E3988)))))</f>
        <v> </v>
      </c>
      <c r="L3989" s="26"/>
    </row>
    <row r="3990" spans="1:12">
      <c r="A3990" s="20" t="s">
        <v>753</v>
      </c>
      <c r="E3990" s="21">
        <f>IF(D3990="?OLD","!!!","")</f>
        <v/>
      </c>
      <c r="F3990" s="22" t="str">
        <f>IF(OR(E3990="",E3990="!!!"),"",IF(NOT(ISNA(VLOOKUP(E3990,E$1:E3989,1,FALSE()))),"OLD",IF(AND(E3990&lt;&gt;"",E3990&lt;&gt;"!!!"),"NEW","")))</f>
        <v> </v>
      </c>
      <c r="G3990" s="23" t="str">
        <f>IF(OR(E3990="",E3990="!!!"),"",IF(OR(J3990=0,AND(J3990=1,K3990=1),AND(J3990=1,I3990="SBJ"),AND(J3990=1,I3990=0)),"?IN_FOCUS",IF(J3990&lt;=2,"?ACTIVATED",IF(J3990&lt;&gt;"","?FAMILIAR",IF(F3990="NEW",IF(ISNA(VLOOKUP(E3990,#REF!,1,FALSE())),"?TYPE_IDENTIFIABLE","?REFERENTIAL"),"_")))))</f>
        <v> </v>
      </c>
      <c r="H3990" s="24" t="str">
        <f>IF(J3990&lt;&gt;1,"",IF(I3990="SBJ","CB","?"))</f>
        <v> </v>
      </c>
      <c r="I3990" s="25" t="str">
        <f>IF(OR(E3990="",E3990="!!!",F3990="NEW"),"",INDEX(B3989:B$2,-1+SUMPRODUCT(MAX(ROW(E3989:E$2)*(E3990=E3989:E$2)))))</f>
        <v> </v>
      </c>
      <c r="J3990" s="25" t="str">
        <f>IF(OR(E3990="",E3990="!!!",F3990="NEW"),"",COUNTBLANK(OFFSET(A$1,,,SUMPRODUCT(MAX(ROW(E$2:E3990)*(E3990=E$2:E3990)))))-COUNTBLANK(OFFSET(A$1,,,SUMPRODUCT(MAX(ROW(E$1:E3989)*(E2=E$1:E3989))))))</f>
        <v> </v>
      </c>
      <c r="K3990" s="25" t="str">
        <f>IF(OR(E3990="",E3990="!!!",F3990="NEW"),"",INDEX(J$1:J3989,SUMPRODUCT(MAX(ROW(E$1:E3989)*(E3990=E$1:E3989)))))</f>
        <v> </v>
      </c>
      <c r="L3990" s="26"/>
    </row>
    <row r="3991" spans="1:12">
      <c r="A3991" s="20" t="s">
        <v>858</v>
      </c>
      <c r="E3991" s="21">
        <f>IF(D3991="?OLD","!!!","")</f>
        <v/>
      </c>
      <c r="F3991" s="22" t="str">
        <f>IF(OR(E3991="",E3991="!!!"),"",IF(NOT(ISNA(VLOOKUP(E3991,E$1:E3990,1,FALSE()))),"OLD",IF(AND(E3991&lt;&gt;"",E3991&lt;&gt;"!!!"),"NEW","")))</f>
        <v> </v>
      </c>
      <c r="G3991" s="23" t="str">
        <f>IF(OR(E3991="",E3991="!!!"),"",IF(OR(J3991=0,AND(J3991=1,K3991=1),AND(J3991=1,I3991="SBJ"),AND(J3991=1,I3991=0)),"?IN_FOCUS",IF(J3991&lt;=2,"?ACTIVATED",IF(J3991&lt;&gt;"","?FAMILIAR",IF(F3991="NEW",IF(ISNA(VLOOKUP(E3991,#REF!,1,FALSE())),"?TYPE_IDENTIFIABLE","?REFERENTIAL"),"_")))))</f>
        <v> </v>
      </c>
      <c r="H3991" s="24" t="str">
        <f>IF(J3991&lt;&gt;1,"",IF(I3991="SBJ","CB","?"))</f>
        <v> </v>
      </c>
      <c r="I3991" s="25" t="str">
        <f>IF(OR(E3991="",E3991="!!!",F3991="NEW"),"",INDEX(B3990:B$2,-1+SUMPRODUCT(MAX(ROW(E3990:E$2)*(E3991=E3990:E$2)))))</f>
        <v> </v>
      </c>
      <c r="J3991" s="25" t="str">
        <f>IF(OR(E3991="",E3991="!!!",F3991="NEW"),"",COUNTBLANK(OFFSET(A$1,,,SUMPRODUCT(MAX(ROW(E$2:E3991)*(E3991=E$2:E3991)))))-COUNTBLANK(OFFSET(A$1,,,SUMPRODUCT(MAX(ROW(E$1:E3990)*(E2=E$1:E3990))))))</f>
        <v> </v>
      </c>
      <c r="K3991" s="25" t="str">
        <f>IF(OR(E3991="",E3991="!!!",F3991="NEW"),"",INDEX(J$1:J3990,SUMPRODUCT(MAX(ROW(E$1:E3990)*(E3991=E$1:E3990)))))</f>
        <v> </v>
      </c>
      <c r="L3991" s="26"/>
    </row>
    <row r="3992" spans="1:12">
      <c r="A3992" s="20" t="s">
        <v>1249</v>
      </c>
      <c r="E3992" s="21">
        <f>IF(D3992="?OLD","!!!","")</f>
        <v/>
      </c>
      <c r="F3992" s="22" t="str">
        <f>IF(OR(E3992="",E3992="!!!"),"",IF(NOT(ISNA(VLOOKUP(E3992,E$1:E3991,1,FALSE()))),"OLD",IF(AND(E3992&lt;&gt;"",E3992&lt;&gt;"!!!"),"NEW","")))</f>
        <v> </v>
      </c>
      <c r="G3992" s="23" t="str">
        <f>IF(OR(E3992="",E3992="!!!"),"",IF(OR(J3992=0,AND(J3992=1,K3992=1),AND(J3992=1,I3992="SBJ"),AND(J3992=1,I3992=0)),"?IN_FOCUS",IF(J3992&lt;=2,"?ACTIVATED",IF(J3992&lt;&gt;"","?FAMILIAR",IF(F3992="NEW",IF(ISNA(VLOOKUP(E3992,#REF!,1,FALSE())),"?TYPE_IDENTIFIABLE","?REFERENTIAL"),"_")))))</f>
        <v> </v>
      </c>
      <c r="H3992" s="24" t="str">
        <f>IF(J3992&lt;&gt;1,"",IF(I3992="SBJ","CB","?"))</f>
        <v> </v>
      </c>
      <c r="I3992" s="25" t="str">
        <f>IF(OR(E3992="",E3992="!!!",F3992="NEW"),"",INDEX(B3991:B$2,-1+SUMPRODUCT(MAX(ROW(E3991:E$2)*(E3992=E3991:E$2)))))</f>
        <v> </v>
      </c>
      <c r="J3992" s="25" t="str">
        <f>IF(OR(E3992="",E3992="!!!",F3992="NEW"),"",COUNTBLANK(OFFSET(A$1,,,SUMPRODUCT(MAX(ROW(E$2:E3992)*(E3992=E$2:E3992)))))-COUNTBLANK(OFFSET(A$1,,,SUMPRODUCT(MAX(ROW(E$1:E3991)*(E2=E$1:E3991))))))</f>
        <v> </v>
      </c>
      <c r="K3992" s="25" t="str">
        <f>IF(OR(E3992="",E3992="!!!",F3992="NEW"),"",INDEX(J$1:J3991,SUMPRODUCT(MAX(ROW(E$1:E3991)*(E3992=E$1:E3991)))))</f>
        <v> </v>
      </c>
      <c r="L3992" s="26"/>
    </row>
    <row r="3993" spans="1:12">
      <c r="A3993" s="20" t="s">
        <v>847</v>
      </c>
      <c r="B3993" s="27" t="s">
        <v>728</v>
      </c>
      <c r="C3993" s="27" t="s">
        <v>848</v>
      </c>
      <c r="E3993" s="21">
        <f>IF(D3993="?OLD","!!!","")</f>
        <v/>
      </c>
      <c r="F3993" s="22" t="str">
        <f>IF(OR(E3993="",E3993="!!!"),"",IF(NOT(ISNA(VLOOKUP(E3993,E$1:E3992,1,FALSE()))),"OLD",IF(AND(E3993&lt;&gt;"",E3993&lt;&gt;"!!!"),"NEW","")))</f>
        <v> </v>
      </c>
      <c r="G3993" s="23" t="str">
        <f>IF(OR(E3993="",E3993="!!!"),"",IF(OR(J3993=0,AND(J3993=1,K3993=1),AND(J3993=1,I3993="SBJ"),AND(J3993=1,I3993=0)),"?IN_FOCUS",IF(J3993&lt;=2,"?ACTIVATED",IF(J3993&lt;&gt;"","?FAMILIAR",IF(F3993="NEW",IF(ISNA(VLOOKUP(E3993,#REF!,1,FALSE())),"?TYPE_IDENTIFIABLE","?REFERENTIAL"),"_")))))</f>
        <v> </v>
      </c>
      <c r="H3993" s="24" t="str">
        <f>IF(J3993&lt;&gt;1,"",IF(I3993="SBJ","CB","?"))</f>
        <v> </v>
      </c>
      <c r="I3993" s="25" t="str">
        <f>IF(OR(E3993="",E3993="!!!",F3993="NEW"),"",INDEX(B3992:B$2,-1+SUMPRODUCT(MAX(ROW(E3992:E$2)*(E3993=E3992:E$2)))))</f>
        <v> </v>
      </c>
      <c r="J3993" s="25" t="str">
        <f>IF(OR(E3993="",E3993="!!!",F3993="NEW"),"",COUNTBLANK(OFFSET(A$1,,,SUMPRODUCT(MAX(ROW(E$2:E3993)*(E3993=E$2:E3993)))))-COUNTBLANK(OFFSET(A$1,,,SUMPRODUCT(MAX(ROW(E$1:E3992)*(E2=E$1:E3992))))))</f>
        <v> </v>
      </c>
      <c r="K3993" s="25" t="str">
        <f>IF(OR(E3993="",E3993="!!!",F3993="NEW"),"",INDEX(J$1:J3992,SUMPRODUCT(MAX(ROW(E$1:E3992)*(E3993=E$1:E3992)))))</f>
        <v> </v>
      </c>
      <c r="L3993" s="26"/>
    </row>
    <row r="3994" spans="1:12">
      <c r="A3994" s="20" t="s">
        <v>797</v>
      </c>
      <c r="E3994" s="21">
        <f>IF(D3994="?OLD","!!!","")</f>
        <v/>
      </c>
      <c r="F3994" s="22" t="str">
        <f>IF(OR(E3994="",E3994="!!!"),"",IF(NOT(ISNA(VLOOKUP(E3994,E$1:E3993,1,FALSE()))),"OLD",IF(AND(E3994&lt;&gt;"",E3994&lt;&gt;"!!!"),"NEW","")))</f>
        <v> </v>
      </c>
      <c r="G3994" s="23" t="str">
        <f>IF(OR(E3994="",E3994="!!!"),"",IF(OR(J3994=0,AND(J3994=1,K3994=1),AND(J3994=1,I3994="SBJ"),AND(J3994=1,I3994=0)),"?IN_FOCUS",IF(J3994&lt;=2,"?ACTIVATED",IF(J3994&lt;&gt;"","?FAMILIAR",IF(F3994="NEW",IF(ISNA(VLOOKUP(E3994,#REF!,1,FALSE())),"?TYPE_IDENTIFIABLE","?REFERENTIAL"),"_")))))</f>
        <v> </v>
      </c>
      <c r="H3994" s="24" t="str">
        <f>IF(J3994&lt;&gt;1,"",IF(I3994="SBJ","CB","?"))</f>
        <v> </v>
      </c>
      <c r="I3994" s="25" t="str">
        <f>IF(OR(E3994="",E3994="!!!",F3994="NEW"),"",INDEX(B3993:B$2,-1+SUMPRODUCT(MAX(ROW(E3993:E$2)*(E3994=E3993:E$2)))))</f>
        <v> </v>
      </c>
      <c r="J3994" s="25" t="str">
        <f>IF(OR(E3994="",E3994="!!!",F3994="NEW"),"",COUNTBLANK(OFFSET(A$1,,,SUMPRODUCT(MAX(ROW(E$2:E3994)*(E3994=E$2:E3994)))))-COUNTBLANK(OFFSET(A$1,,,SUMPRODUCT(MAX(ROW(E$1:E3993)*(E2=E$1:E3993))))))</f>
        <v> </v>
      </c>
      <c r="K3994" s="25" t="str">
        <f>IF(OR(E3994="",E3994="!!!",F3994="NEW"),"",INDEX(J$1:J3993,SUMPRODUCT(MAX(ROW(E$1:E3993)*(E3994=E$1:E3993)))))</f>
        <v> </v>
      </c>
      <c r="L3994" s="26"/>
    </row>
    <row r="3995" spans="1:12">
      <c r="A3995" s="20" t="s">
        <v>726</v>
      </c>
      <c r="E3995" s="21">
        <f>IF(D3995="?OLD","!!!","")</f>
        <v/>
      </c>
      <c r="F3995" s="22" t="str">
        <f>IF(OR(E3995="",E3995="!!!"),"",IF(NOT(ISNA(VLOOKUP(E3995,E$1:E3994,1,FALSE()))),"OLD",IF(AND(E3995&lt;&gt;"",E3995&lt;&gt;"!!!"),"NEW","")))</f>
        <v> </v>
      </c>
      <c r="G3995" s="23" t="str">
        <f>IF(OR(E3995="",E3995="!!!"),"",IF(OR(J3995=0,AND(J3995=1,K3995=1),AND(J3995=1,I3995="SBJ"),AND(J3995=1,I3995=0)),"?IN_FOCUS",IF(J3995&lt;=2,"?ACTIVATED",IF(J3995&lt;&gt;"","?FAMILIAR",IF(F3995="NEW",IF(ISNA(VLOOKUP(E3995,#REF!,1,FALSE())),"?TYPE_IDENTIFIABLE","?REFERENTIAL"),"_")))))</f>
        <v> </v>
      </c>
      <c r="H3995" s="24" t="str">
        <f>IF(J3995&lt;&gt;1,"",IF(I3995="SBJ","CB","?"))</f>
        <v> </v>
      </c>
      <c r="I3995" s="25" t="str">
        <f>IF(OR(E3995="",E3995="!!!",F3995="NEW"),"",INDEX(B3994:B$2,-1+SUMPRODUCT(MAX(ROW(E3994:E$2)*(E3995=E3994:E$2)))))</f>
        <v> </v>
      </c>
      <c r="J3995" s="25" t="str">
        <f>IF(OR(E3995="",E3995="!!!",F3995="NEW"),"",COUNTBLANK(OFFSET(A$1,,,SUMPRODUCT(MAX(ROW(E$2:E3995)*(E3995=E$2:E3995)))))-COUNTBLANK(OFFSET(A$1,,,SUMPRODUCT(MAX(ROW(E$1:E3994)*(E2=E$1:E3994))))))</f>
        <v> </v>
      </c>
      <c r="K3995" s="25" t="str">
        <f>IF(OR(E3995="",E3995="!!!",F3995="NEW"),"",INDEX(J$1:J3994,SUMPRODUCT(MAX(ROW(E$1:E3994)*(E3995=E$1:E3994)))))</f>
        <v> </v>
      </c>
      <c r="L3995" s="26"/>
    </row>
    <row r="3996" spans="1:12">
      <c r="A3996" s="20" t="s">
        <v>952</v>
      </c>
      <c r="B3996" s="27" t="s">
        <v>795</v>
      </c>
      <c r="C3996" s="27" t="s">
        <v>749</v>
      </c>
      <c r="D3996" s="27" t="s">
        <v>740</v>
      </c>
      <c r="E3996" s="21">
        <f>IF(D3996="?OLD","!!!","")</f>
        <v/>
      </c>
      <c r="F3996" s="22" t="str">
        <f>IF(OR(E3996="",E3996="!!!"),"",IF(NOT(ISNA(VLOOKUP(E3996,E$1:E3995,1,FALSE()))),"OLD",IF(AND(E3996&lt;&gt;"",E3996&lt;&gt;"!!!"),"NEW","")))</f>
        <v> </v>
      </c>
      <c r="G3996" s="23" t="str">
        <f>IF(OR(E3996="",E3996="!!!"),"",IF(OR(J3996=0,AND(J3996=1,K3996=1),AND(J3996=1,I3996="SBJ"),AND(J3996=1,I3996=0)),"?IN_FOCUS",IF(J3996&lt;=2,"?ACTIVATED",IF(J3996&lt;&gt;"","?FAMILIAR",IF(F3996="NEW",IF(ISNA(VLOOKUP(E3996,#REF!,1,FALSE())),"?TYPE_IDENTIFIABLE","?REFERENTIAL"),"_")))))</f>
        <v> </v>
      </c>
      <c r="H3996" s="24" t="str">
        <f>IF(J3996&lt;&gt;1,"",IF(I3996="SBJ","CB","?"))</f>
        <v> </v>
      </c>
      <c r="I3996" s="25" t="str">
        <f>IF(OR(E3996="",E3996="!!!",F3996="NEW"),"",INDEX(B3995:B$2,-1+SUMPRODUCT(MAX(ROW(E3995:E$2)*(E3996=E3995:E$2)))))</f>
        <v> </v>
      </c>
      <c r="J3996" s="25" t="str">
        <f>IF(OR(E3996="",E3996="!!!",F3996="NEW"),"",COUNTBLANK(OFFSET(A$1,,,SUMPRODUCT(MAX(ROW(E$2:E3996)*(E3996=E$2:E3996)))))-COUNTBLANK(OFFSET(A$1,,,SUMPRODUCT(MAX(ROW(E$1:E3995)*(E2=E$1:E3995))))))</f>
        <v> </v>
      </c>
      <c r="K3996" s="25" t="str">
        <f>IF(OR(E3996="",E3996="!!!",F3996="NEW"),"",INDEX(J$1:J3995,SUMPRODUCT(MAX(ROW(E$1:E3995)*(E3996=E$1:E3995)))))</f>
        <v> </v>
      </c>
      <c r="L3996" s="26"/>
    </row>
    <row r="3997" spans="1:12">
      <c r="A3997" s="20" t="s">
        <v>1930</v>
      </c>
      <c r="E3997" s="21">
        <f>IF(D3997="?OLD","!!!","")</f>
        <v/>
      </c>
      <c r="F3997" s="22" t="str">
        <f>IF(OR(E3997="",E3997="!!!"),"",IF(NOT(ISNA(VLOOKUP(E3997,E$1:E3996,1,FALSE()))),"OLD",IF(AND(E3997&lt;&gt;"",E3997&lt;&gt;"!!!"),"NEW","")))</f>
        <v> </v>
      </c>
      <c r="G3997" s="23" t="str">
        <f>IF(OR(E3997="",E3997="!!!"),"",IF(OR(J3997=0,AND(J3997=1,K3997=1),AND(J3997=1,I3997="SBJ"),AND(J3997=1,I3997=0)),"?IN_FOCUS",IF(J3997&lt;=2,"?ACTIVATED",IF(J3997&lt;&gt;"","?FAMILIAR",IF(F3997="NEW",IF(ISNA(VLOOKUP(E3997,#REF!,1,FALSE())),"?TYPE_IDENTIFIABLE","?REFERENTIAL"),"_")))))</f>
        <v> </v>
      </c>
      <c r="H3997" s="24" t="str">
        <f>IF(J3997&lt;&gt;1,"",IF(I3997="SBJ","CB","?"))</f>
        <v> </v>
      </c>
      <c r="I3997" s="25" t="str">
        <f>IF(OR(E3997="",E3997="!!!",F3997="NEW"),"",INDEX(B3996:B$2,-1+SUMPRODUCT(MAX(ROW(E3996:E$2)*(E3997=E3996:E$2)))))</f>
        <v> </v>
      </c>
      <c r="J3997" s="25" t="str">
        <f>IF(OR(E3997="",E3997="!!!",F3997="NEW"),"",COUNTBLANK(OFFSET(A$1,,,SUMPRODUCT(MAX(ROW(E$2:E3997)*(E3997=E$2:E3997)))))-COUNTBLANK(OFFSET(A$1,,,SUMPRODUCT(MAX(ROW(E$1:E3996)*(E2=E$1:E3996))))))</f>
        <v> </v>
      </c>
      <c r="K3997" s="25" t="str">
        <f>IF(OR(E3997="",E3997="!!!",F3997="NEW"),"",INDEX(J$1:J3996,SUMPRODUCT(MAX(ROW(E$1:E3996)*(E3997=E$1:E3996)))))</f>
        <v> </v>
      </c>
      <c r="L3997" s="26"/>
    </row>
    <row r="3998" spans="1:12">
      <c r="A3998" s="20" t="s">
        <v>1493</v>
      </c>
      <c r="E3998" s="21">
        <f>IF(D3998="?OLD","!!!","")</f>
        <v/>
      </c>
      <c r="F3998" s="22" t="str">
        <f>IF(OR(E3998="",E3998="!!!"),"",IF(NOT(ISNA(VLOOKUP(E3998,E$1:E3997,1,FALSE()))),"OLD",IF(AND(E3998&lt;&gt;"",E3998&lt;&gt;"!!!"),"NEW","")))</f>
        <v> </v>
      </c>
      <c r="G3998" s="23" t="str">
        <f>IF(OR(E3998="",E3998="!!!"),"",IF(OR(J3998=0,AND(J3998=1,K3998=1),AND(J3998=1,I3998="SBJ"),AND(J3998=1,I3998=0)),"?IN_FOCUS",IF(J3998&lt;=2,"?ACTIVATED",IF(J3998&lt;&gt;"","?FAMILIAR",IF(F3998="NEW",IF(ISNA(VLOOKUP(E3998,#REF!,1,FALSE())),"?TYPE_IDENTIFIABLE","?REFERENTIAL"),"_")))))</f>
        <v> </v>
      </c>
      <c r="H3998" s="24" t="str">
        <f>IF(J3998&lt;&gt;1,"",IF(I3998="SBJ","CB","?"))</f>
        <v> </v>
      </c>
      <c r="I3998" s="25" t="str">
        <f>IF(OR(E3998="",E3998="!!!",F3998="NEW"),"",INDEX(B3997:B$2,-1+SUMPRODUCT(MAX(ROW(E3997:E$2)*(E3998=E3997:E$2)))))</f>
        <v> </v>
      </c>
      <c r="J3998" s="25" t="str">
        <f>IF(OR(E3998="",E3998="!!!",F3998="NEW"),"",COUNTBLANK(OFFSET(A$1,,,SUMPRODUCT(MAX(ROW(E$2:E3998)*(E3998=E$2:E3998)))))-COUNTBLANK(OFFSET(A$1,,,SUMPRODUCT(MAX(ROW(E$1:E3997)*(E2=E$1:E3997))))))</f>
        <v> </v>
      </c>
      <c r="K3998" s="25" t="str">
        <f>IF(OR(E3998="",E3998="!!!",F3998="NEW"),"",INDEX(J$1:J3997,SUMPRODUCT(MAX(ROW(E$1:E3997)*(E3998=E$1:E3997)))))</f>
        <v> </v>
      </c>
      <c r="L3998" s="26"/>
    </row>
    <row r="3999" spans="1:12">
      <c r="A3999" s="20" t="s">
        <v>1328</v>
      </c>
      <c r="E3999" s="21">
        <f>IF(D3999="?OLD","!!!","")</f>
        <v/>
      </c>
      <c r="F3999" s="22" t="str">
        <f>IF(OR(E3999="",E3999="!!!"),"",IF(NOT(ISNA(VLOOKUP(E3999,E$1:E3998,1,FALSE()))),"OLD",IF(AND(E3999&lt;&gt;"",E3999&lt;&gt;"!!!"),"NEW","")))</f>
        <v> </v>
      </c>
      <c r="G3999" s="23" t="str">
        <f>IF(OR(E3999="",E3999="!!!"),"",IF(OR(J3999=0,AND(J3999=1,K3999=1),AND(J3999=1,I3999="SBJ"),AND(J3999=1,I3999=0)),"?IN_FOCUS",IF(J3999&lt;=2,"?ACTIVATED",IF(J3999&lt;&gt;"","?FAMILIAR",IF(F3999="NEW",IF(ISNA(VLOOKUP(E3999,#REF!,1,FALSE())),"?TYPE_IDENTIFIABLE","?REFERENTIAL"),"_")))))</f>
        <v> </v>
      </c>
      <c r="H3999" s="24" t="str">
        <f>IF(J3999&lt;&gt;1,"",IF(I3999="SBJ","CB","?"))</f>
        <v> </v>
      </c>
      <c r="I3999" s="25" t="str">
        <f>IF(OR(E3999="",E3999="!!!",F3999="NEW"),"",INDEX(B3998:B$2,-1+SUMPRODUCT(MAX(ROW(E3998:E$2)*(E3999=E3998:E$2)))))</f>
        <v> </v>
      </c>
      <c r="J3999" s="25" t="str">
        <f>IF(OR(E3999="",E3999="!!!",F3999="NEW"),"",COUNTBLANK(OFFSET(A$1,,,SUMPRODUCT(MAX(ROW(E$2:E3999)*(E3999=E$2:E3999)))))-COUNTBLANK(OFFSET(A$1,,,SUMPRODUCT(MAX(ROW(E$1:E3998)*(E2=E$1:E3998))))))</f>
        <v> </v>
      </c>
      <c r="K3999" s="25" t="str">
        <f>IF(OR(E3999="",E3999="!!!",F3999="NEW"),"",INDEX(J$1:J3998,SUMPRODUCT(MAX(ROW(E$1:E3998)*(E3999=E$1:E3998)))))</f>
        <v> </v>
      </c>
      <c r="L3999" s="26"/>
    </row>
    <row r="4000" spans="1:12">
      <c r="A4000" s="20" t="s">
        <v>1812</v>
      </c>
      <c r="B4000" s="27" t="s">
        <v>777</v>
      </c>
      <c r="C4000" s="27" t="s">
        <v>734</v>
      </c>
      <c r="E4000" s="21">
        <f>IF(D4000="?OLD","!!!","")</f>
        <v/>
      </c>
      <c r="F4000" s="22" t="str">
        <f>IF(OR(E4000="",E4000="!!!"),"",IF(NOT(ISNA(VLOOKUP(E4000,E$1:E3999,1,FALSE()))),"OLD",IF(AND(E4000&lt;&gt;"",E4000&lt;&gt;"!!!"),"NEW","")))</f>
        <v> </v>
      </c>
      <c r="G4000" s="23" t="str">
        <f>IF(OR(E4000="",E4000="!!!"),"",IF(OR(J4000=0,AND(J4000=1,K4000=1),AND(J4000=1,I4000="SBJ"),AND(J4000=1,I4000=0)),"?IN_FOCUS",IF(J4000&lt;=2,"?ACTIVATED",IF(J4000&lt;&gt;"","?FAMILIAR",IF(F4000="NEW",IF(ISNA(VLOOKUP(E4000,#REF!,1,FALSE())),"?TYPE_IDENTIFIABLE","?REFERENTIAL"),"_")))))</f>
        <v> </v>
      </c>
      <c r="H4000" s="24" t="str">
        <f>IF(J4000&lt;&gt;1,"",IF(I4000="SBJ","CB","?"))</f>
        <v> </v>
      </c>
      <c r="I4000" s="25" t="str">
        <f>IF(OR(E4000="",E4000="!!!",F4000="NEW"),"",INDEX(B3999:B$2,-1+SUMPRODUCT(MAX(ROW(E3999:E$2)*(E4000=E3999:E$2)))))</f>
        <v> </v>
      </c>
      <c r="J4000" s="25" t="str">
        <f>IF(OR(E4000="",E4000="!!!",F4000="NEW"),"",COUNTBLANK(OFFSET(A$1,,,SUMPRODUCT(MAX(ROW(E$2:E4000)*(E4000=E$2:E4000)))))-COUNTBLANK(OFFSET(A$1,,,SUMPRODUCT(MAX(ROW(E$1:E3999)*(E2=E$1:E3999))))))</f>
        <v> </v>
      </c>
      <c r="K4000" s="25" t="str">
        <f>IF(OR(E4000="",E4000="!!!",F4000="NEW"),"",INDEX(J$1:J3999,SUMPRODUCT(MAX(ROW(E$1:E3999)*(E4000=E$1:E3999)))))</f>
        <v> </v>
      </c>
      <c r="L4000" s="26"/>
    </row>
    <row r="4001" spans="1:12">
      <c r="A4001" s="20" t="s">
        <v>1931</v>
      </c>
      <c r="B4001" s="27" t="s">
        <v>787</v>
      </c>
      <c r="C4001" s="27" t="s">
        <v>888</v>
      </c>
      <c r="D4001" s="27" t="s">
        <v>740</v>
      </c>
      <c r="E4001" s="21">
        <f>IF(D4001="?OLD","!!!","")</f>
        <v/>
      </c>
      <c r="F4001" s="22" t="str">
        <f>IF(OR(E4001="",E4001="!!!"),"",IF(NOT(ISNA(VLOOKUP(E4001,E$1:E4000,1,FALSE()))),"OLD",IF(AND(E4001&lt;&gt;"",E4001&lt;&gt;"!!!"),"NEW","")))</f>
        <v> </v>
      </c>
      <c r="G4001" s="23" t="str">
        <f>IF(OR(E4001="",E4001="!!!"),"",IF(OR(J4001=0,AND(J4001=1,K4001=1),AND(J4001=1,I4001="SBJ"),AND(J4001=1,I4001=0)),"?IN_FOCUS",IF(J4001&lt;=2,"?ACTIVATED",IF(J4001&lt;&gt;"","?FAMILIAR",IF(F4001="NEW",IF(ISNA(VLOOKUP(E4001,#REF!,1,FALSE())),"?TYPE_IDENTIFIABLE","?REFERENTIAL"),"_")))))</f>
        <v> </v>
      </c>
      <c r="H4001" s="24" t="str">
        <f>IF(J4001&lt;&gt;1,"",IF(I4001="SBJ","CB","?"))</f>
        <v> </v>
      </c>
      <c r="I4001" s="25" t="str">
        <f>IF(OR(E4001="",E4001="!!!",F4001="NEW"),"",INDEX(B4000:B$2,-1+SUMPRODUCT(MAX(ROW(E4000:E$2)*(E4001=E4000:E$2)))))</f>
        <v> </v>
      </c>
      <c r="J4001" s="25" t="str">
        <f>IF(OR(E4001="",E4001="!!!",F4001="NEW"),"",COUNTBLANK(OFFSET(A$1,,,SUMPRODUCT(MAX(ROW(E$2:E4001)*(E4001=E$2:E4001)))))-COUNTBLANK(OFFSET(A$1,,,SUMPRODUCT(MAX(ROW(E$1:E4000)*(E2=E$1:E4000))))))</f>
        <v> </v>
      </c>
      <c r="K4001" s="25" t="str">
        <f>IF(OR(E4001="",E4001="!!!",F4001="NEW"),"",INDEX(J$1:J4000,SUMPRODUCT(MAX(ROW(E$1:E4000)*(E4001=E$1:E4000)))))</f>
        <v> </v>
      </c>
      <c r="L4001" s="26"/>
    </row>
    <row r="4002" spans="1:12">
      <c r="A4002" s="20" t="s">
        <v>753</v>
      </c>
      <c r="E4002" s="21">
        <f>IF(D4002="?OLD","!!!","")</f>
        <v/>
      </c>
      <c r="F4002" s="22" t="str">
        <f>IF(OR(E4002="",E4002="!!!"),"",IF(NOT(ISNA(VLOOKUP(E4002,E$1:E4001,1,FALSE()))),"OLD",IF(AND(E4002&lt;&gt;"",E4002&lt;&gt;"!!!"),"NEW","")))</f>
        <v> </v>
      </c>
      <c r="G4002" s="23" t="str">
        <f>IF(OR(E4002="",E4002="!!!"),"",IF(OR(J4002=0,AND(J4002=1,K4002=1),AND(J4002=1,I4002="SBJ"),AND(J4002=1,I4002=0)),"?IN_FOCUS",IF(J4002&lt;=2,"?ACTIVATED",IF(J4002&lt;&gt;"","?FAMILIAR",IF(F4002="NEW",IF(ISNA(VLOOKUP(E4002,#REF!,1,FALSE())),"?TYPE_IDENTIFIABLE","?REFERENTIAL"),"_")))))</f>
        <v> </v>
      </c>
      <c r="H4002" s="24" t="str">
        <f>IF(J4002&lt;&gt;1,"",IF(I4002="SBJ","CB","?"))</f>
        <v> </v>
      </c>
      <c r="I4002" s="25" t="str">
        <f>IF(OR(E4002="",E4002="!!!",F4002="NEW"),"",INDEX(B4001:B$2,-1+SUMPRODUCT(MAX(ROW(E4001:E$2)*(E4002=E4001:E$2)))))</f>
        <v> </v>
      </c>
      <c r="J4002" s="25" t="str">
        <f>IF(OR(E4002="",E4002="!!!",F4002="NEW"),"",COUNTBLANK(OFFSET(A$1,,,SUMPRODUCT(MAX(ROW(E$2:E4002)*(E4002=E$2:E4002)))))-COUNTBLANK(OFFSET(A$1,,,SUMPRODUCT(MAX(ROW(E$1:E4001)*(E2=E$1:E4001))))))</f>
        <v> </v>
      </c>
      <c r="K4002" s="25" t="str">
        <f>IF(OR(E4002="",E4002="!!!",F4002="NEW"),"",INDEX(J$1:J4001,SUMPRODUCT(MAX(ROW(E$1:E4001)*(E4002=E$1:E4001)))))</f>
        <v> </v>
      </c>
      <c r="L4002" s="26"/>
    </row>
    <row r="4003" spans="1:12">
      <c r="A4003" s="20" t="s">
        <v>860</v>
      </c>
      <c r="E4003" s="21">
        <f>IF(D4003="?OLD","!!!","")</f>
        <v/>
      </c>
      <c r="F4003" s="22" t="str">
        <f>IF(OR(E4003="",E4003="!!!"),"",IF(NOT(ISNA(VLOOKUP(E4003,E$1:E4002,1,FALSE()))),"OLD",IF(AND(E4003&lt;&gt;"",E4003&lt;&gt;"!!!"),"NEW","")))</f>
        <v> </v>
      </c>
      <c r="G4003" s="23" t="str">
        <f>IF(OR(E4003="",E4003="!!!"),"",IF(OR(J4003=0,AND(J4003=1,K4003=1),AND(J4003=1,I4003="SBJ"),AND(J4003=1,I4003=0)),"?IN_FOCUS",IF(J4003&lt;=2,"?ACTIVATED",IF(J4003&lt;&gt;"","?FAMILIAR",IF(F4003="NEW",IF(ISNA(VLOOKUP(E4003,#REF!,1,FALSE())),"?TYPE_IDENTIFIABLE","?REFERENTIAL"),"_")))))</f>
        <v> </v>
      </c>
      <c r="H4003" s="24" t="str">
        <f>IF(J4003&lt;&gt;1,"",IF(I4003="SBJ","CB","?"))</f>
        <v> </v>
      </c>
      <c r="I4003" s="25" t="str">
        <f>IF(OR(E4003="",E4003="!!!",F4003="NEW"),"",INDEX(B4002:B$2,-1+SUMPRODUCT(MAX(ROW(E4002:E$2)*(E4003=E4002:E$2)))))</f>
        <v> </v>
      </c>
      <c r="J4003" s="25" t="str">
        <f>IF(OR(E4003="",E4003="!!!",F4003="NEW"),"",COUNTBLANK(OFFSET(A$1,,,SUMPRODUCT(MAX(ROW(E$2:E4003)*(E4003=E$2:E4003)))))-COUNTBLANK(OFFSET(A$1,,,SUMPRODUCT(MAX(ROW(E$1:E4002)*(E2=E$1:E4002))))))</f>
        <v> </v>
      </c>
      <c r="K4003" s="25" t="str">
        <f>IF(OR(E4003="",E4003="!!!",F4003="NEW"),"",INDEX(J$1:J4002,SUMPRODUCT(MAX(ROW(E$1:E4002)*(E4003=E$1:E4002)))))</f>
        <v> </v>
      </c>
      <c r="L4003" s="26"/>
    </row>
    <row r="4004" spans="1:12">
      <c r="A4004" s="20" t="s">
        <v>807</v>
      </c>
      <c r="B4004" s="27" t="s">
        <v>1398</v>
      </c>
      <c r="C4004" s="27" t="s">
        <v>749</v>
      </c>
      <c r="D4004" s="27" t="s">
        <v>740</v>
      </c>
      <c r="E4004" s="21">
        <f>IF(D4004="?OLD","!!!","")</f>
        <v/>
      </c>
      <c r="F4004" s="22" t="str">
        <f>IF(OR(E4004="",E4004="!!!"),"",IF(NOT(ISNA(VLOOKUP(E4004,E$1:E4003,1,FALSE()))),"OLD",IF(AND(E4004&lt;&gt;"",E4004&lt;&gt;"!!!"),"NEW","")))</f>
        <v> </v>
      </c>
      <c r="G4004" s="23" t="str">
        <f>IF(OR(E4004="",E4004="!!!"),"",IF(OR(J4004=0,AND(J4004=1,K4004=1),AND(J4004=1,I4004="SBJ"),AND(J4004=1,I4004=0)),"?IN_FOCUS",IF(J4004&lt;=2,"?ACTIVATED",IF(J4004&lt;&gt;"","?FAMILIAR",IF(F4004="NEW",IF(ISNA(VLOOKUP(E4004,#REF!,1,FALSE())),"?TYPE_IDENTIFIABLE","?REFERENTIAL"),"_")))))</f>
        <v> </v>
      </c>
      <c r="H4004" s="24" t="str">
        <f>IF(J4004&lt;&gt;1,"",IF(I4004="SBJ","CB","?"))</f>
        <v> </v>
      </c>
      <c r="I4004" s="25" t="str">
        <f>IF(OR(E4004="",E4004="!!!",F4004="NEW"),"",INDEX(B4003:B$2,-1+SUMPRODUCT(MAX(ROW(E4003:E$2)*(E4004=E4003:E$2)))))</f>
        <v> </v>
      </c>
      <c r="J4004" s="25" t="str">
        <f>IF(OR(E4004="",E4004="!!!",F4004="NEW"),"",COUNTBLANK(OFFSET(A$1,,,SUMPRODUCT(MAX(ROW(E$2:E4004)*(E4004=E$2:E4004)))))-COUNTBLANK(OFFSET(A$1,,,SUMPRODUCT(MAX(ROW(E$1:E4003)*(E2=E$1:E4003))))))</f>
        <v> </v>
      </c>
      <c r="K4004" s="25" t="str">
        <f>IF(OR(E4004="",E4004="!!!",F4004="NEW"),"",INDEX(J$1:J4003,SUMPRODUCT(MAX(ROW(E$1:E4003)*(E4004=E$1:E4003)))))</f>
        <v> </v>
      </c>
      <c r="L4004" s="26"/>
    </row>
    <row r="4005" spans="1:12">
      <c r="A4005" s="20" t="s">
        <v>1932</v>
      </c>
      <c r="E4005" s="21">
        <f>IF(D4005="?OLD","!!!","")</f>
        <v/>
      </c>
      <c r="F4005" s="22" t="str">
        <f>IF(OR(E4005="",E4005="!!!"),"",IF(NOT(ISNA(VLOOKUP(E4005,E$1:E4004,1,FALSE()))),"OLD",IF(AND(E4005&lt;&gt;"",E4005&lt;&gt;"!!!"),"NEW","")))</f>
        <v> </v>
      </c>
      <c r="G4005" s="23" t="str">
        <f>IF(OR(E4005="",E4005="!!!"),"",IF(OR(J4005=0,AND(J4005=1,K4005=1),AND(J4005=1,I4005="SBJ"),AND(J4005=1,I4005=0)),"?IN_FOCUS",IF(J4005&lt;=2,"?ACTIVATED",IF(J4005&lt;&gt;"","?FAMILIAR",IF(F4005="NEW",IF(ISNA(VLOOKUP(E4005,#REF!,1,FALSE())),"?TYPE_IDENTIFIABLE","?REFERENTIAL"),"_")))))</f>
        <v> </v>
      </c>
      <c r="H4005" s="24" t="str">
        <f>IF(J4005&lt;&gt;1,"",IF(I4005="SBJ","CB","?"))</f>
        <v> </v>
      </c>
      <c r="I4005" s="25" t="str">
        <f>IF(OR(E4005="",E4005="!!!",F4005="NEW"),"",INDEX(B4004:B$2,-1+SUMPRODUCT(MAX(ROW(E4004:E$2)*(E4005=E4004:E$2)))))</f>
        <v> </v>
      </c>
      <c r="J4005" s="25" t="str">
        <f>IF(OR(E4005="",E4005="!!!",F4005="NEW"),"",COUNTBLANK(OFFSET(A$1,,,SUMPRODUCT(MAX(ROW(E$2:E4005)*(E4005=E$2:E4005)))))-COUNTBLANK(OFFSET(A$1,,,SUMPRODUCT(MAX(ROW(E$1:E4004)*(E2=E$1:E4004))))))</f>
        <v> </v>
      </c>
      <c r="K4005" s="25" t="str">
        <f>IF(OR(E4005="",E4005="!!!",F4005="NEW"),"",INDEX(J$1:J4004,SUMPRODUCT(MAX(ROW(E$1:E4004)*(E4005=E$1:E4004)))))</f>
        <v> </v>
      </c>
      <c r="L4005" s="26"/>
    </row>
    <row r="4006" spans="1:12">
      <c r="A4006" s="20" t="s">
        <v>1933</v>
      </c>
      <c r="E4006" s="21">
        <f>IF(D4006="?OLD","!!!","")</f>
        <v/>
      </c>
      <c r="F4006" s="22" t="str">
        <f>IF(OR(E4006="",E4006="!!!"),"",IF(NOT(ISNA(VLOOKUP(E4006,E$1:E4005,1,FALSE()))),"OLD",IF(AND(E4006&lt;&gt;"",E4006&lt;&gt;"!!!"),"NEW","")))</f>
        <v> </v>
      </c>
      <c r="G4006" s="23" t="str">
        <f>IF(OR(E4006="",E4006="!!!"),"",IF(OR(J4006=0,AND(J4006=1,K4006=1),AND(J4006=1,I4006="SBJ"),AND(J4006=1,I4006=0)),"?IN_FOCUS",IF(J4006&lt;=2,"?ACTIVATED",IF(J4006&lt;&gt;"","?FAMILIAR",IF(F4006="NEW",IF(ISNA(VLOOKUP(E4006,#REF!,1,FALSE())),"?TYPE_IDENTIFIABLE","?REFERENTIAL"),"_")))))</f>
        <v> </v>
      </c>
      <c r="H4006" s="24" t="str">
        <f>IF(J4006&lt;&gt;1,"",IF(I4006="SBJ","CB","?"))</f>
        <v> </v>
      </c>
      <c r="I4006" s="25" t="str">
        <f>IF(OR(E4006="",E4006="!!!",F4006="NEW"),"",INDEX(B4005:B$2,-1+SUMPRODUCT(MAX(ROW(E4005:E$2)*(E4006=E4005:E$2)))))</f>
        <v> </v>
      </c>
      <c r="J4006" s="25" t="str">
        <f>IF(OR(E4006="",E4006="!!!",F4006="NEW"),"",COUNTBLANK(OFFSET(A$1,,,SUMPRODUCT(MAX(ROW(E$2:E4006)*(E4006=E$2:E4006)))))-COUNTBLANK(OFFSET(A$1,,,SUMPRODUCT(MAX(ROW(E$1:E4005)*(E2=E$1:E4005))))))</f>
        <v> </v>
      </c>
      <c r="K4006" s="25" t="str">
        <f>IF(OR(E4006="",E4006="!!!",F4006="NEW"),"",INDEX(J$1:J4005,SUMPRODUCT(MAX(ROW(E$1:E4005)*(E4006=E$1:E4005)))))</f>
        <v> </v>
      </c>
      <c r="L4006" s="26"/>
    </row>
    <row r="4007" spans="1:12">
      <c r="A4007" s="20" t="s">
        <v>839</v>
      </c>
      <c r="E4007" s="21">
        <f>IF(D4007="?OLD","!!!","")</f>
        <v/>
      </c>
      <c r="F4007" s="22" t="str">
        <f>IF(OR(E4007="",E4007="!!!"),"",IF(NOT(ISNA(VLOOKUP(E4007,E$1:E4006,1,FALSE()))),"OLD",IF(AND(E4007&lt;&gt;"",E4007&lt;&gt;"!!!"),"NEW","")))</f>
        <v> </v>
      </c>
      <c r="G4007" s="23" t="str">
        <f>IF(OR(E4007="",E4007="!!!"),"",IF(OR(J4007=0,AND(J4007=1,K4007=1),AND(J4007=1,I4007="SBJ"),AND(J4007=1,I4007=0)),"?IN_FOCUS",IF(J4007&lt;=2,"?ACTIVATED",IF(J4007&lt;&gt;"","?FAMILIAR",IF(F4007="NEW",IF(ISNA(VLOOKUP(E4007,#REF!,1,FALSE())),"?TYPE_IDENTIFIABLE","?REFERENTIAL"),"_")))))</f>
        <v> </v>
      </c>
      <c r="H4007" s="24" t="str">
        <f>IF(J4007&lt;&gt;1,"",IF(I4007="SBJ","CB","?"))</f>
        <v> </v>
      </c>
      <c r="I4007" s="25" t="str">
        <f>IF(OR(E4007="",E4007="!!!",F4007="NEW"),"",INDEX(B4006:B$2,-1+SUMPRODUCT(MAX(ROW(E4006:E$2)*(E4007=E4006:E$2)))))</f>
        <v> </v>
      </c>
      <c r="J4007" s="25" t="str">
        <f>IF(OR(E4007="",E4007="!!!",F4007="NEW"),"",COUNTBLANK(OFFSET(A$1,,,SUMPRODUCT(MAX(ROW(E$2:E4007)*(E4007=E$2:E4007)))))-COUNTBLANK(OFFSET(A$1,,,SUMPRODUCT(MAX(ROW(E$1:E4006)*(E2=E$1:E4006))))))</f>
        <v> </v>
      </c>
      <c r="K4007" s="25" t="str">
        <f>IF(OR(E4007="",E4007="!!!",F4007="NEW"),"",INDEX(J$1:J4006,SUMPRODUCT(MAX(ROW(E$1:E4006)*(E4007=E$1:E4006)))))</f>
        <v> </v>
      </c>
      <c r="L4007" s="26"/>
    </row>
    <row r="4008" spans="1:12">
      <c r="A4008" s="20" t="s">
        <v>753</v>
      </c>
      <c r="E4008" s="21">
        <f>IF(D4008="?OLD","!!!","")</f>
        <v/>
      </c>
      <c r="F4008" s="22" t="str">
        <f>IF(OR(E4008="",E4008="!!!"),"",IF(NOT(ISNA(VLOOKUP(E4008,E$1:E4007,1,FALSE()))),"OLD",IF(AND(E4008&lt;&gt;"",E4008&lt;&gt;"!!!"),"NEW","")))</f>
        <v> </v>
      </c>
      <c r="G4008" s="23" t="str">
        <f>IF(OR(E4008="",E4008="!!!"),"",IF(OR(J4008=0,AND(J4008=1,K4008=1),AND(J4008=1,I4008="SBJ"),AND(J4008=1,I4008=0)),"?IN_FOCUS",IF(J4008&lt;=2,"?ACTIVATED",IF(J4008&lt;&gt;"","?FAMILIAR",IF(F4008="NEW",IF(ISNA(VLOOKUP(E4008,#REF!,1,FALSE())),"?TYPE_IDENTIFIABLE","?REFERENTIAL"),"_")))))</f>
        <v> </v>
      </c>
      <c r="H4008" s="24" t="str">
        <f>IF(J4008&lt;&gt;1,"",IF(I4008="SBJ","CB","?"))</f>
        <v> </v>
      </c>
      <c r="I4008" s="25" t="str">
        <f>IF(OR(E4008="",E4008="!!!",F4008="NEW"),"",INDEX(B4007:B$2,-1+SUMPRODUCT(MAX(ROW(E4007:E$2)*(E4008=E4007:E$2)))))</f>
        <v> </v>
      </c>
      <c r="J4008" s="25" t="str">
        <f>IF(OR(E4008="",E4008="!!!",F4008="NEW"),"",COUNTBLANK(OFFSET(A$1,,,SUMPRODUCT(MAX(ROW(E$2:E4008)*(E4008=E$2:E4008)))))-COUNTBLANK(OFFSET(A$1,,,SUMPRODUCT(MAX(ROW(E$1:E4007)*(E2=E$1:E4007))))))</f>
        <v> </v>
      </c>
      <c r="K4008" s="25" t="str">
        <f>IF(OR(E4008="",E4008="!!!",F4008="NEW"),"",INDEX(J$1:J4007,SUMPRODUCT(MAX(ROW(E$1:E4007)*(E4008=E$1:E4007)))))</f>
        <v> </v>
      </c>
      <c r="L4008" s="26"/>
    </row>
    <row r="4009" spans="1:12">
      <c r="A4009" s="20" t="s">
        <v>1275</v>
      </c>
      <c r="E4009" s="21">
        <f>IF(D4009="?OLD","!!!","")</f>
        <v/>
      </c>
      <c r="F4009" s="22" t="str">
        <f>IF(OR(E4009="",E4009="!!!"),"",IF(NOT(ISNA(VLOOKUP(E4009,E$1:E4008,1,FALSE()))),"OLD",IF(AND(E4009&lt;&gt;"",E4009&lt;&gt;"!!!"),"NEW","")))</f>
        <v> </v>
      </c>
      <c r="G4009" s="23" t="str">
        <f>IF(OR(E4009="",E4009="!!!"),"",IF(OR(J4009=0,AND(J4009=1,K4009=1),AND(J4009=1,I4009="SBJ"),AND(J4009=1,I4009=0)),"?IN_FOCUS",IF(J4009&lt;=2,"?ACTIVATED",IF(J4009&lt;&gt;"","?FAMILIAR",IF(F4009="NEW",IF(ISNA(VLOOKUP(E4009,#REF!,1,FALSE())),"?TYPE_IDENTIFIABLE","?REFERENTIAL"),"_")))))</f>
        <v> </v>
      </c>
      <c r="H4009" s="24" t="str">
        <f>IF(J4009&lt;&gt;1,"",IF(I4009="SBJ","CB","?"))</f>
        <v> </v>
      </c>
      <c r="I4009" s="25" t="str">
        <f>IF(OR(E4009="",E4009="!!!",F4009="NEW"),"",INDEX(B4008:B$2,-1+SUMPRODUCT(MAX(ROW(E4008:E$2)*(E4009=E4008:E$2)))))</f>
        <v> </v>
      </c>
      <c r="J4009" s="25" t="str">
        <f>IF(OR(E4009="",E4009="!!!",F4009="NEW"),"",COUNTBLANK(OFFSET(A$1,,,SUMPRODUCT(MAX(ROW(E$2:E4009)*(E4009=E$2:E4009)))))-COUNTBLANK(OFFSET(A$1,,,SUMPRODUCT(MAX(ROW(E$1:E4008)*(E2=E$1:E4008))))))</f>
        <v> </v>
      </c>
      <c r="K4009" s="25" t="str">
        <f>IF(OR(E4009="",E4009="!!!",F4009="NEW"),"",INDEX(J$1:J4008,SUMPRODUCT(MAX(ROW(E$1:E4008)*(E4009=E$1:E4008)))))</f>
        <v> </v>
      </c>
      <c r="L4009" s="26"/>
    </row>
    <row r="4010" spans="1:12">
      <c r="A4010" s="20" t="s">
        <v>1434</v>
      </c>
      <c r="E4010" s="21">
        <f>IF(D4010="?OLD","!!!","")</f>
        <v/>
      </c>
      <c r="F4010" s="22" t="str">
        <f>IF(OR(E4010="",E4010="!!!"),"",IF(NOT(ISNA(VLOOKUP(E4010,E$1:E4009,1,FALSE()))),"OLD",IF(AND(E4010&lt;&gt;"",E4010&lt;&gt;"!!!"),"NEW","")))</f>
        <v> </v>
      </c>
      <c r="G4010" s="23" t="str">
        <f>IF(OR(E4010="",E4010="!!!"),"",IF(OR(J4010=0,AND(J4010=1,K4010=1),AND(J4010=1,I4010="SBJ"),AND(J4010=1,I4010=0)),"?IN_FOCUS",IF(J4010&lt;=2,"?ACTIVATED",IF(J4010&lt;&gt;"","?FAMILIAR",IF(F4010="NEW",IF(ISNA(VLOOKUP(E4010,#REF!,1,FALSE())),"?TYPE_IDENTIFIABLE","?REFERENTIAL"),"_")))))</f>
        <v> </v>
      </c>
      <c r="H4010" s="24" t="str">
        <f>IF(J4010&lt;&gt;1,"",IF(I4010="SBJ","CB","?"))</f>
        <v> </v>
      </c>
      <c r="I4010" s="25" t="str">
        <f>IF(OR(E4010="",E4010="!!!",F4010="NEW"),"",INDEX(B4009:B$2,-1+SUMPRODUCT(MAX(ROW(E4009:E$2)*(E4010=E4009:E$2)))))</f>
        <v> </v>
      </c>
      <c r="J4010" s="25" t="str">
        <f>IF(OR(E4010="",E4010="!!!",F4010="NEW"),"",COUNTBLANK(OFFSET(A$1,,,SUMPRODUCT(MAX(ROW(E$2:E4010)*(E4010=E$2:E4010)))))-COUNTBLANK(OFFSET(A$1,,,SUMPRODUCT(MAX(ROW(E$1:E4009)*(E2=E$1:E4009))))))</f>
        <v> </v>
      </c>
      <c r="K4010" s="25" t="str">
        <f>IF(OR(E4010="",E4010="!!!",F4010="NEW"),"",INDEX(J$1:J4009,SUMPRODUCT(MAX(ROW(E$1:E4009)*(E4010=E$1:E4009)))))</f>
        <v> </v>
      </c>
      <c r="L4010" s="26"/>
    </row>
    <row r="4011" spans="1:12">
      <c r="A4011" s="20" t="s">
        <v>1919</v>
      </c>
      <c r="B4011" s="27" t="s">
        <v>1026</v>
      </c>
      <c r="C4011" s="27" t="s">
        <v>739</v>
      </c>
      <c r="D4011" s="27" t="s">
        <v>740</v>
      </c>
      <c r="E4011" s="21">
        <f>IF(D4011="?OLD","!!!","")</f>
        <v/>
      </c>
      <c r="F4011" s="22" t="str">
        <f>IF(OR(E4011="",E4011="!!!"),"",IF(NOT(ISNA(VLOOKUP(E4011,E$1:E4010,1,FALSE()))),"OLD",IF(AND(E4011&lt;&gt;"",E4011&lt;&gt;"!!!"),"NEW","")))</f>
        <v> </v>
      </c>
      <c r="G4011" s="23" t="str">
        <f>IF(OR(E4011="",E4011="!!!"),"",IF(OR(J4011=0,AND(J4011=1,K4011=1),AND(J4011=1,I4011="SBJ"),AND(J4011=1,I4011=0)),"?IN_FOCUS",IF(J4011&lt;=2,"?ACTIVATED",IF(J4011&lt;&gt;"","?FAMILIAR",IF(F4011="NEW",IF(ISNA(VLOOKUP(E4011,#REF!,1,FALSE())),"?TYPE_IDENTIFIABLE","?REFERENTIAL"),"_")))))</f>
        <v> </v>
      </c>
      <c r="H4011" s="24" t="str">
        <f>IF(J4011&lt;&gt;1,"",IF(I4011="SBJ","CB","?"))</f>
        <v> </v>
      </c>
      <c r="I4011" s="25" t="str">
        <f>IF(OR(E4011="",E4011="!!!",F4011="NEW"),"",INDEX(B4010:B$2,-1+SUMPRODUCT(MAX(ROW(E4010:E$2)*(E4011=E4010:E$2)))))</f>
        <v> </v>
      </c>
      <c r="J4011" s="25" t="str">
        <f>IF(OR(E4011="",E4011="!!!",F4011="NEW"),"",COUNTBLANK(OFFSET(A$1,,,SUMPRODUCT(MAX(ROW(E$2:E4011)*(E4011=E$2:E4011)))))-COUNTBLANK(OFFSET(A$1,,,SUMPRODUCT(MAX(ROW(E$1:E4010)*(E2=E$1:E4010))))))</f>
        <v> </v>
      </c>
      <c r="K4011" s="25" t="str">
        <f>IF(OR(E4011="",E4011="!!!",F4011="NEW"),"",INDEX(J$1:J4010,SUMPRODUCT(MAX(ROW(E$1:E4010)*(E4011=E$1:E4010)))))</f>
        <v> </v>
      </c>
      <c r="L4011" s="26"/>
    </row>
    <row r="4012" spans="1:12">
      <c r="A4012" s="20" t="s">
        <v>753</v>
      </c>
      <c r="E4012" s="21">
        <f>IF(D4012="?OLD","!!!","")</f>
        <v/>
      </c>
      <c r="F4012" s="22" t="str">
        <f>IF(OR(E4012="",E4012="!!!"),"",IF(NOT(ISNA(VLOOKUP(E4012,E$1:E4011,1,FALSE()))),"OLD",IF(AND(E4012&lt;&gt;"",E4012&lt;&gt;"!!!"),"NEW","")))</f>
        <v> </v>
      </c>
      <c r="G4012" s="23" t="str">
        <f>IF(OR(E4012="",E4012="!!!"),"",IF(OR(J4012=0,AND(J4012=1,K4012=1),AND(J4012=1,I4012="SBJ"),AND(J4012=1,I4012=0)),"?IN_FOCUS",IF(J4012&lt;=2,"?ACTIVATED",IF(J4012&lt;&gt;"","?FAMILIAR",IF(F4012="NEW",IF(ISNA(VLOOKUP(E4012,#REF!,1,FALSE())),"?TYPE_IDENTIFIABLE","?REFERENTIAL"),"_")))))</f>
        <v> </v>
      </c>
      <c r="H4012" s="24" t="str">
        <f>IF(J4012&lt;&gt;1,"",IF(I4012="SBJ","CB","?"))</f>
        <v> </v>
      </c>
      <c r="I4012" s="25" t="str">
        <f>IF(OR(E4012="",E4012="!!!",F4012="NEW"),"",INDEX(B4011:B$2,-1+SUMPRODUCT(MAX(ROW(E4011:E$2)*(E4012=E4011:E$2)))))</f>
        <v> </v>
      </c>
      <c r="J4012" s="25" t="str">
        <f>IF(OR(E4012="",E4012="!!!",F4012="NEW"),"",COUNTBLANK(OFFSET(A$1,,,SUMPRODUCT(MAX(ROW(E$2:E4012)*(E4012=E$2:E4012)))))-COUNTBLANK(OFFSET(A$1,,,SUMPRODUCT(MAX(ROW(E$1:E4011)*(E2=E$1:E4011))))))</f>
        <v> </v>
      </c>
      <c r="K4012" s="25" t="str">
        <f>IF(OR(E4012="",E4012="!!!",F4012="NEW"),"",INDEX(J$1:J4011,SUMPRODUCT(MAX(ROW(E$1:E4011)*(E4012=E$1:E4011)))))</f>
        <v> </v>
      </c>
      <c r="L4012" s="26"/>
    </row>
    <row r="4013" spans="1:12">
      <c r="A4013" s="20" t="s">
        <v>791</v>
      </c>
      <c r="B4013" s="27" t="s">
        <v>1047</v>
      </c>
      <c r="E4013" s="21">
        <f>IF(D4013="?OLD","!!!","")</f>
        <v/>
      </c>
      <c r="F4013" s="22" t="str">
        <f>IF(OR(E4013="",E4013="!!!"),"",IF(NOT(ISNA(VLOOKUP(E4013,E$1:E4012,1,FALSE()))),"OLD",IF(AND(E4013&lt;&gt;"",E4013&lt;&gt;"!!!"),"NEW","")))</f>
        <v> </v>
      </c>
      <c r="G4013" s="23" t="str">
        <f>IF(OR(E4013="",E4013="!!!"),"",IF(OR(J4013=0,AND(J4013=1,K4013=1),AND(J4013=1,I4013="SBJ"),AND(J4013=1,I4013=0)),"?IN_FOCUS",IF(J4013&lt;=2,"?ACTIVATED",IF(J4013&lt;&gt;"","?FAMILIAR",IF(F4013="NEW",IF(ISNA(VLOOKUP(E4013,#REF!,1,FALSE())),"?TYPE_IDENTIFIABLE","?REFERENTIAL"),"_")))))</f>
        <v> </v>
      </c>
      <c r="H4013" s="24" t="str">
        <f>IF(J4013&lt;&gt;1,"",IF(I4013="SBJ","CB","?"))</f>
        <v> </v>
      </c>
      <c r="I4013" s="25" t="str">
        <f>IF(OR(E4013="",E4013="!!!",F4013="NEW"),"",INDEX(B4012:B$2,-1+SUMPRODUCT(MAX(ROW(E4012:E$2)*(E4013=E4012:E$2)))))</f>
        <v> </v>
      </c>
      <c r="J4013" s="25" t="str">
        <f>IF(OR(E4013="",E4013="!!!",F4013="NEW"),"",COUNTBLANK(OFFSET(A$1,,,SUMPRODUCT(MAX(ROW(E$2:E4013)*(E4013=E$2:E4013)))))-COUNTBLANK(OFFSET(A$1,,,SUMPRODUCT(MAX(ROW(E$1:E4012)*(E2=E$1:E4012))))))</f>
        <v> </v>
      </c>
      <c r="K4013" s="25" t="str">
        <f>IF(OR(E4013="",E4013="!!!",F4013="NEW"),"",INDEX(J$1:J4012,SUMPRODUCT(MAX(ROW(E$1:E4012)*(E4013=E$1:E4012)))))</f>
        <v> </v>
      </c>
      <c r="L4013" s="26"/>
    </row>
    <row r="4014" spans="1:12">
      <c r="A4014" s="20" t="s">
        <v>807</v>
      </c>
      <c r="B4014" s="27" t="s">
        <v>1046</v>
      </c>
      <c r="C4014" s="27" t="s">
        <v>749</v>
      </c>
      <c r="D4014" s="27" t="s">
        <v>740</v>
      </c>
      <c r="E4014" s="21">
        <f>IF(D4014="?OLD","!!!","")</f>
        <v/>
      </c>
      <c r="F4014" s="22" t="str">
        <f>IF(OR(E4014="",E4014="!!!"),"",IF(NOT(ISNA(VLOOKUP(E4014,E$1:E4013,1,FALSE()))),"OLD",IF(AND(E4014&lt;&gt;"",E4014&lt;&gt;"!!!"),"NEW","")))</f>
        <v> </v>
      </c>
      <c r="G4014" s="23" t="str">
        <f>IF(OR(E4014="",E4014="!!!"),"",IF(OR(J4014=0,AND(J4014=1,K4014=1),AND(J4014=1,I4014="SBJ"),AND(J4014=1,I4014=0)),"?IN_FOCUS",IF(J4014&lt;=2,"?ACTIVATED",IF(J4014&lt;&gt;"","?FAMILIAR",IF(F4014="NEW",IF(ISNA(VLOOKUP(E4014,#REF!,1,FALSE())),"?TYPE_IDENTIFIABLE","?REFERENTIAL"),"_")))))</f>
        <v> </v>
      </c>
      <c r="H4014" s="24" t="str">
        <f>IF(J4014&lt;&gt;1,"",IF(I4014="SBJ","CB","?"))</f>
        <v> </v>
      </c>
      <c r="I4014" s="25" t="str">
        <f>IF(OR(E4014="",E4014="!!!",F4014="NEW"),"",INDEX(B4013:B$2,-1+SUMPRODUCT(MAX(ROW(E4013:E$2)*(E4014=E4013:E$2)))))</f>
        <v> </v>
      </c>
      <c r="J4014" s="25" t="str">
        <f>IF(OR(E4014="",E4014="!!!",F4014="NEW"),"",COUNTBLANK(OFFSET(A$1,,,SUMPRODUCT(MAX(ROW(E$2:E4014)*(E4014=E$2:E4014)))))-COUNTBLANK(OFFSET(A$1,,,SUMPRODUCT(MAX(ROW(E$1:E4013)*(E2=E$1:E4013))))))</f>
        <v> </v>
      </c>
      <c r="K4014" s="25" t="str">
        <f>IF(OR(E4014="",E4014="!!!",F4014="NEW"),"",INDEX(J$1:J4013,SUMPRODUCT(MAX(ROW(E$1:E4013)*(E4014=E$1:E4013)))))</f>
        <v> </v>
      </c>
      <c r="L4014" s="26"/>
    </row>
    <row r="4015" spans="1:12">
      <c r="A4015" s="20" t="s">
        <v>869</v>
      </c>
      <c r="E4015" s="21">
        <f>IF(D4015="?OLD","!!!","")</f>
        <v/>
      </c>
      <c r="F4015" s="22" t="str">
        <f>IF(OR(E4015="",E4015="!!!"),"",IF(NOT(ISNA(VLOOKUP(E4015,E$1:E4014,1,FALSE()))),"OLD",IF(AND(E4015&lt;&gt;"",E4015&lt;&gt;"!!!"),"NEW","")))</f>
        <v> </v>
      </c>
      <c r="G4015" s="23" t="str">
        <f>IF(OR(E4015="",E4015="!!!"),"",IF(OR(J4015=0,AND(J4015=1,K4015=1),AND(J4015=1,I4015="SBJ"),AND(J4015=1,I4015=0)),"?IN_FOCUS",IF(J4015&lt;=2,"?ACTIVATED",IF(J4015&lt;&gt;"","?FAMILIAR",IF(F4015="NEW",IF(ISNA(VLOOKUP(E4015,#REF!,1,FALSE())),"?TYPE_IDENTIFIABLE","?REFERENTIAL"),"_")))))</f>
        <v> </v>
      </c>
      <c r="H4015" s="24" t="str">
        <f>IF(J4015&lt;&gt;1,"",IF(I4015="SBJ","CB","?"))</f>
        <v> </v>
      </c>
      <c r="I4015" s="25" t="str">
        <f>IF(OR(E4015="",E4015="!!!",F4015="NEW"),"",INDEX(B4014:B$2,-1+SUMPRODUCT(MAX(ROW(E4014:E$2)*(E4015=E4014:E$2)))))</f>
        <v> </v>
      </c>
      <c r="J4015" s="25" t="str">
        <f>IF(OR(E4015="",E4015="!!!",F4015="NEW"),"",COUNTBLANK(OFFSET(A$1,,,SUMPRODUCT(MAX(ROW(E$2:E4015)*(E4015=E$2:E4015)))))-COUNTBLANK(OFFSET(A$1,,,SUMPRODUCT(MAX(ROW(E$1:E4014)*(E2=E$1:E4014))))))</f>
        <v> </v>
      </c>
      <c r="K4015" s="25" t="str">
        <f>IF(OR(E4015="",E4015="!!!",F4015="NEW"),"",INDEX(J$1:J4014,SUMPRODUCT(MAX(ROW(E$1:E4014)*(E4015=E$1:E4014)))))</f>
        <v> </v>
      </c>
      <c r="L4015" s="26"/>
    </row>
    <row r="4016" spans="1:12">
      <c r="A4016" s="20" t="s">
        <v>753</v>
      </c>
      <c r="E4016" s="21">
        <f>IF(D4016="?OLD","!!!","")</f>
        <v/>
      </c>
      <c r="F4016" s="22" t="str">
        <f>IF(OR(E4016="",E4016="!!!"),"",IF(NOT(ISNA(VLOOKUP(E4016,E$1:E4015,1,FALSE()))),"OLD",IF(AND(E4016&lt;&gt;"",E4016&lt;&gt;"!!!"),"NEW","")))</f>
        <v> </v>
      </c>
      <c r="G4016" s="23" t="str">
        <f>IF(OR(E4016="",E4016="!!!"),"",IF(OR(J4016=0,AND(J4016=1,K4016=1),AND(J4016=1,I4016="SBJ"),AND(J4016=1,I4016=0)),"?IN_FOCUS",IF(J4016&lt;=2,"?ACTIVATED",IF(J4016&lt;&gt;"","?FAMILIAR",IF(F4016="NEW",IF(ISNA(VLOOKUP(E4016,#REF!,1,FALSE())),"?TYPE_IDENTIFIABLE","?REFERENTIAL"),"_")))))</f>
        <v> </v>
      </c>
      <c r="H4016" s="24" t="str">
        <f>IF(J4016&lt;&gt;1,"",IF(I4016="SBJ","CB","?"))</f>
        <v> </v>
      </c>
      <c r="I4016" s="25" t="str">
        <f>IF(OR(E4016="",E4016="!!!",F4016="NEW"),"",INDEX(B4015:B$2,-1+SUMPRODUCT(MAX(ROW(E4015:E$2)*(E4016=E4015:E$2)))))</f>
        <v> </v>
      </c>
      <c r="J4016" s="25" t="str">
        <f>IF(OR(E4016="",E4016="!!!",F4016="NEW"),"",COUNTBLANK(OFFSET(A$1,,,SUMPRODUCT(MAX(ROW(E$2:E4016)*(E4016=E$2:E4016)))))-COUNTBLANK(OFFSET(A$1,,,SUMPRODUCT(MAX(ROW(E$1:E4015)*(E2=E$1:E4015))))))</f>
        <v> </v>
      </c>
      <c r="K4016" s="25" t="str">
        <f>IF(OR(E4016="",E4016="!!!",F4016="NEW"),"",INDEX(J$1:J4015,SUMPRODUCT(MAX(ROW(E$1:E4015)*(E4016=E$1:E4015)))))</f>
        <v> </v>
      </c>
      <c r="L4016" s="26"/>
    </row>
    <row r="4017" spans="1:12">
      <c r="A4017" s="20" t="s">
        <v>788</v>
      </c>
      <c r="E4017" s="21">
        <f>IF(D4017="?OLD","!!!","")</f>
        <v/>
      </c>
      <c r="F4017" s="22" t="str">
        <f>IF(OR(E4017="",E4017="!!!"),"",IF(NOT(ISNA(VLOOKUP(E4017,E$1:E4016,1,FALSE()))),"OLD",IF(AND(E4017&lt;&gt;"",E4017&lt;&gt;"!!!"),"NEW","")))</f>
        <v> </v>
      </c>
      <c r="G4017" s="23" t="str">
        <f>IF(OR(E4017="",E4017="!!!"),"",IF(OR(J4017=0,AND(J4017=1,K4017=1),AND(J4017=1,I4017="SBJ"),AND(J4017=1,I4017=0)),"?IN_FOCUS",IF(J4017&lt;=2,"?ACTIVATED",IF(J4017&lt;&gt;"","?FAMILIAR",IF(F4017="NEW",IF(ISNA(VLOOKUP(E4017,#REF!,1,FALSE())),"?TYPE_IDENTIFIABLE","?REFERENTIAL"),"_")))))</f>
        <v> </v>
      </c>
      <c r="H4017" s="24" t="str">
        <f>IF(J4017&lt;&gt;1,"",IF(I4017="SBJ","CB","?"))</f>
        <v> </v>
      </c>
      <c r="I4017" s="25" t="str">
        <f>IF(OR(E4017="",E4017="!!!",F4017="NEW"),"",INDEX(B4016:B$2,-1+SUMPRODUCT(MAX(ROW(E4016:E$2)*(E4017=E4016:E$2)))))</f>
        <v> </v>
      </c>
      <c r="J4017" s="25" t="str">
        <f>IF(OR(E4017="",E4017="!!!",F4017="NEW"),"",COUNTBLANK(OFFSET(A$1,,,SUMPRODUCT(MAX(ROW(E$2:E4017)*(E4017=E$2:E4017)))))-COUNTBLANK(OFFSET(A$1,,,SUMPRODUCT(MAX(ROW(E$1:E4016)*(E2=E$1:E4016))))))</f>
        <v> </v>
      </c>
      <c r="K4017" s="25" t="str">
        <f>IF(OR(E4017="",E4017="!!!",F4017="NEW"),"",INDEX(J$1:J4016,SUMPRODUCT(MAX(ROW(E$1:E4016)*(E4017=E$1:E4016)))))</f>
        <v> </v>
      </c>
      <c r="L4017" s="26"/>
    </row>
    <row r="4018" spans="1:12">
      <c r="A4018" s="20" t="s">
        <v>1275</v>
      </c>
      <c r="E4018" s="21">
        <f>IF(D4018="?OLD","!!!","")</f>
        <v/>
      </c>
      <c r="F4018" s="22" t="str">
        <f>IF(OR(E4018="",E4018="!!!"),"",IF(NOT(ISNA(VLOOKUP(E4018,E$1:E4017,1,FALSE()))),"OLD",IF(AND(E4018&lt;&gt;"",E4018&lt;&gt;"!!!"),"NEW","")))</f>
        <v> </v>
      </c>
      <c r="G4018" s="23" t="str">
        <f>IF(OR(E4018="",E4018="!!!"),"",IF(OR(J4018=0,AND(J4018=1,K4018=1),AND(J4018=1,I4018="SBJ"),AND(J4018=1,I4018=0)),"?IN_FOCUS",IF(J4018&lt;=2,"?ACTIVATED",IF(J4018&lt;&gt;"","?FAMILIAR",IF(F4018="NEW",IF(ISNA(VLOOKUP(E4018,#REF!,1,FALSE())),"?TYPE_IDENTIFIABLE","?REFERENTIAL"),"_")))))</f>
        <v> </v>
      </c>
      <c r="H4018" s="24" t="str">
        <f>IF(J4018&lt;&gt;1,"",IF(I4018="SBJ","CB","?"))</f>
        <v> </v>
      </c>
      <c r="I4018" s="25" t="str">
        <f>IF(OR(E4018="",E4018="!!!",F4018="NEW"),"",INDEX(B4017:B$2,-1+SUMPRODUCT(MAX(ROW(E4017:E$2)*(E4018=E4017:E$2)))))</f>
        <v> </v>
      </c>
      <c r="J4018" s="25" t="str">
        <f>IF(OR(E4018="",E4018="!!!",F4018="NEW"),"",COUNTBLANK(OFFSET(A$1,,,SUMPRODUCT(MAX(ROW(E$2:E4018)*(E4018=E$2:E4018)))))-COUNTBLANK(OFFSET(A$1,,,SUMPRODUCT(MAX(ROW(E$1:E4017)*(E2=E$1:E4017))))))</f>
        <v> </v>
      </c>
      <c r="K4018" s="25" t="str">
        <f>IF(OR(E4018="",E4018="!!!",F4018="NEW"),"",INDEX(J$1:J4017,SUMPRODUCT(MAX(ROW(E$1:E4017)*(E4018=E$1:E4017)))))</f>
        <v> </v>
      </c>
      <c r="L4018" s="26"/>
    </row>
    <row r="4019" spans="1:12">
      <c r="A4019" s="20" t="s">
        <v>1434</v>
      </c>
      <c r="E4019" s="21">
        <f>IF(D4019="?OLD","!!!","")</f>
        <v/>
      </c>
      <c r="F4019" s="22" t="str">
        <f>IF(OR(E4019="",E4019="!!!"),"",IF(NOT(ISNA(VLOOKUP(E4019,E$1:E4018,1,FALSE()))),"OLD",IF(AND(E4019&lt;&gt;"",E4019&lt;&gt;"!!!"),"NEW","")))</f>
        <v> </v>
      </c>
      <c r="G4019" s="23" t="str">
        <f>IF(OR(E4019="",E4019="!!!"),"",IF(OR(J4019=0,AND(J4019=1,K4019=1),AND(J4019=1,I4019="SBJ"),AND(J4019=1,I4019=0)),"?IN_FOCUS",IF(J4019&lt;=2,"?ACTIVATED",IF(J4019&lt;&gt;"","?FAMILIAR",IF(F4019="NEW",IF(ISNA(VLOOKUP(E4019,#REF!,1,FALSE())),"?TYPE_IDENTIFIABLE","?REFERENTIAL"),"_")))))</f>
        <v> </v>
      </c>
      <c r="H4019" s="24" t="str">
        <f>IF(J4019&lt;&gt;1,"",IF(I4019="SBJ","CB","?"))</f>
        <v> </v>
      </c>
      <c r="I4019" s="25" t="str">
        <f>IF(OR(E4019="",E4019="!!!",F4019="NEW"),"",INDEX(B4018:B$2,-1+SUMPRODUCT(MAX(ROW(E4018:E$2)*(E4019=E4018:E$2)))))</f>
        <v> </v>
      </c>
      <c r="J4019" s="25" t="str">
        <f>IF(OR(E4019="",E4019="!!!",F4019="NEW"),"",COUNTBLANK(OFFSET(A$1,,,SUMPRODUCT(MAX(ROW(E$2:E4019)*(E4019=E$2:E4019)))))-COUNTBLANK(OFFSET(A$1,,,SUMPRODUCT(MAX(ROW(E$1:E4018)*(E2=E$1:E4018))))))</f>
        <v> </v>
      </c>
      <c r="K4019" s="25" t="str">
        <f>IF(OR(E4019="",E4019="!!!",F4019="NEW"),"",INDEX(J$1:J4018,SUMPRODUCT(MAX(ROW(E$1:E4018)*(E4019=E$1:E4018)))))</f>
        <v> </v>
      </c>
      <c r="L4019" s="26"/>
    </row>
    <row r="4020" spans="1:12">
      <c r="A4020" s="20" t="s">
        <v>1934</v>
      </c>
      <c r="E4020" s="21">
        <f>IF(D4020="?OLD","!!!","")</f>
        <v/>
      </c>
      <c r="F4020" s="22" t="str">
        <f>IF(OR(E4020="",E4020="!!!"),"",IF(NOT(ISNA(VLOOKUP(E4020,E$1:E4019,1,FALSE()))),"OLD",IF(AND(E4020&lt;&gt;"",E4020&lt;&gt;"!!!"),"NEW","")))</f>
        <v> </v>
      </c>
      <c r="G4020" s="23" t="str">
        <f>IF(OR(E4020="",E4020="!!!"),"",IF(OR(J4020=0,AND(J4020=1,K4020=1),AND(J4020=1,I4020="SBJ"),AND(J4020=1,I4020=0)),"?IN_FOCUS",IF(J4020&lt;=2,"?ACTIVATED",IF(J4020&lt;&gt;"","?FAMILIAR",IF(F4020="NEW",IF(ISNA(VLOOKUP(E4020,#REF!,1,FALSE())),"?TYPE_IDENTIFIABLE","?REFERENTIAL"),"_")))))</f>
        <v> </v>
      </c>
      <c r="H4020" s="24" t="str">
        <f>IF(J4020&lt;&gt;1,"",IF(I4020="SBJ","CB","?"))</f>
        <v> </v>
      </c>
      <c r="I4020" s="25" t="str">
        <f>IF(OR(E4020="",E4020="!!!",F4020="NEW"),"",INDEX(B4019:B$2,-1+SUMPRODUCT(MAX(ROW(E4019:E$2)*(E4020=E4019:E$2)))))</f>
        <v> </v>
      </c>
      <c r="J4020" s="25" t="str">
        <f>IF(OR(E4020="",E4020="!!!",F4020="NEW"),"",COUNTBLANK(OFFSET(A$1,,,SUMPRODUCT(MAX(ROW(E$2:E4020)*(E4020=E$2:E4020)))))-COUNTBLANK(OFFSET(A$1,,,SUMPRODUCT(MAX(ROW(E$1:E4019)*(E2=E$1:E4019))))))</f>
        <v> </v>
      </c>
      <c r="K4020" s="25" t="str">
        <f>IF(OR(E4020="",E4020="!!!",F4020="NEW"),"",INDEX(J$1:J4019,SUMPRODUCT(MAX(ROW(E$1:E4019)*(E4020=E$1:E4019)))))</f>
        <v> </v>
      </c>
      <c r="L4020" s="26"/>
    </row>
    <row r="4021" spans="1:12">
      <c r="A4021" s="20" t="s">
        <v>1935</v>
      </c>
      <c r="B4021" s="27" t="s">
        <v>1026</v>
      </c>
      <c r="C4021" s="27" t="s">
        <v>739</v>
      </c>
      <c r="D4021" s="27" t="s">
        <v>740</v>
      </c>
      <c r="E4021" s="21">
        <f>IF(D4021="?OLD","!!!","")</f>
        <v/>
      </c>
      <c r="F4021" s="22" t="str">
        <f>IF(OR(E4021="",E4021="!!!"),"",IF(NOT(ISNA(VLOOKUP(E4021,E$1:E4020,1,FALSE()))),"OLD",IF(AND(E4021&lt;&gt;"",E4021&lt;&gt;"!!!"),"NEW","")))</f>
        <v> </v>
      </c>
      <c r="G4021" s="23" t="str">
        <f>IF(OR(E4021="",E4021="!!!"),"",IF(OR(J4021=0,AND(J4021=1,K4021=1),AND(J4021=1,I4021="SBJ"),AND(J4021=1,I4021=0)),"?IN_FOCUS",IF(J4021&lt;=2,"?ACTIVATED",IF(J4021&lt;&gt;"","?FAMILIAR",IF(F4021="NEW",IF(ISNA(VLOOKUP(E4021,#REF!,1,FALSE())),"?TYPE_IDENTIFIABLE","?REFERENTIAL"),"_")))))</f>
        <v> </v>
      </c>
      <c r="H4021" s="24" t="str">
        <f>IF(J4021&lt;&gt;1,"",IF(I4021="SBJ","CB","?"))</f>
        <v> </v>
      </c>
      <c r="I4021" s="25" t="str">
        <f>IF(OR(E4021="",E4021="!!!",F4021="NEW"),"",INDEX(B4020:B$2,-1+SUMPRODUCT(MAX(ROW(E4020:E$2)*(E4021=E4020:E$2)))))</f>
        <v> </v>
      </c>
      <c r="J4021" s="25" t="str">
        <f>IF(OR(E4021="",E4021="!!!",F4021="NEW"),"",COUNTBLANK(OFFSET(A$1,,,SUMPRODUCT(MAX(ROW(E$2:E4021)*(E4021=E$2:E4021)))))-COUNTBLANK(OFFSET(A$1,,,SUMPRODUCT(MAX(ROW(E$1:E4020)*(E2=E$1:E4020))))))</f>
        <v> </v>
      </c>
      <c r="K4021" s="25" t="str">
        <f>IF(OR(E4021="",E4021="!!!",F4021="NEW"),"",INDEX(J$1:J4020,SUMPRODUCT(MAX(ROW(E$1:E4020)*(E4021=E$1:E4020)))))</f>
        <v> </v>
      </c>
      <c r="L4021" s="26"/>
    </row>
    <row r="4022" spans="1:12">
      <c r="A4022" s="20" t="s">
        <v>746</v>
      </c>
      <c r="E4022" s="21">
        <f>IF(D4022="?OLD","!!!","")</f>
        <v/>
      </c>
      <c r="F4022" s="22" t="str">
        <f>IF(OR(E4022="",E4022="!!!"),"",IF(NOT(ISNA(VLOOKUP(E4022,E$1:E4021,1,FALSE()))),"OLD",IF(AND(E4022&lt;&gt;"",E4022&lt;&gt;"!!!"),"NEW","")))</f>
        <v> </v>
      </c>
      <c r="G4022" s="23" t="str">
        <f>IF(OR(E4022="",E4022="!!!"),"",IF(OR(J4022=0,AND(J4022=1,K4022=1),AND(J4022=1,I4022="SBJ"),AND(J4022=1,I4022=0)),"?IN_FOCUS",IF(J4022&lt;=2,"?ACTIVATED",IF(J4022&lt;&gt;"","?FAMILIAR",IF(F4022="NEW",IF(ISNA(VLOOKUP(E4022,#REF!,1,FALSE())),"?TYPE_IDENTIFIABLE","?REFERENTIAL"),"_")))))</f>
        <v> </v>
      </c>
      <c r="H4022" s="24" t="str">
        <f>IF(J4022&lt;&gt;1,"",IF(I4022="SBJ","CB","?"))</f>
        <v> </v>
      </c>
      <c r="I4022" s="25" t="str">
        <f>IF(OR(E4022="",E4022="!!!",F4022="NEW"),"",INDEX(B4021:B$2,-1+SUMPRODUCT(MAX(ROW(E4021:E$2)*(E4022=E4021:E$2)))))</f>
        <v> </v>
      </c>
      <c r="J4022" s="25" t="str">
        <f>IF(OR(E4022="",E4022="!!!",F4022="NEW"),"",COUNTBLANK(OFFSET(A$1,,,SUMPRODUCT(MAX(ROW(E$2:E4022)*(E4022=E$2:E4022)))))-COUNTBLANK(OFFSET(A$1,,,SUMPRODUCT(MAX(ROW(E$1:E4021)*(E2=E$1:E4021))))))</f>
        <v> </v>
      </c>
      <c r="K4022" s="25" t="str">
        <f>IF(OR(E4022="",E4022="!!!",F4022="NEW"),"",INDEX(J$1:J4021,SUMPRODUCT(MAX(ROW(E$1:E4021)*(E4022=E$1:E4021)))))</f>
        <v> </v>
      </c>
      <c r="L4022" s="26"/>
    </row>
    <row r="4023" spans="1:12">
      <c r="A4023" s="20" t="s">
        <v>726</v>
      </c>
      <c r="E4023" s="21">
        <f>IF(D4023="?OLD","!!!","")</f>
        <v/>
      </c>
      <c r="F4023" s="22" t="str">
        <f>IF(OR(E4023="",E4023="!!!"),"",IF(NOT(ISNA(VLOOKUP(E4023,E$1:E4022,1,FALSE()))),"OLD",IF(AND(E4023&lt;&gt;"",E4023&lt;&gt;"!!!"),"NEW","")))</f>
        <v> </v>
      </c>
      <c r="G4023" s="23" t="str">
        <f>IF(OR(E4023="",E4023="!!!"),"",IF(OR(J4023=0,AND(J4023=1,K4023=1),AND(J4023=1,I4023="SBJ"),AND(J4023=1,I4023=0)),"?IN_FOCUS",IF(J4023&lt;=2,"?ACTIVATED",IF(J4023&lt;&gt;"","?FAMILIAR",IF(F4023="NEW",IF(ISNA(VLOOKUP(E4023,#REF!,1,FALSE())),"?TYPE_IDENTIFIABLE","?REFERENTIAL"),"_")))))</f>
        <v> </v>
      </c>
      <c r="H4023" s="24" t="str">
        <f>IF(J4023&lt;&gt;1,"",IF(I4023="SBJ","CB","?"))</f>
        <v> </v>
      </c>
      <c r="I4023" s="25" t="str">
        <f>IF(OR(E4023="",E4023="!!!",F4023="NEW"),"",INDEX(B4022:B$2,-1+SUMPRODUCT(MAX(ROW(E4022:E$2)*(E4023=E4022:E$2)))))</f>
        <v> </v>
      </c>
      <c r="J4023" s="25" t="str">
        <f>IF(OR(E4023="",E4023="!!!",F4023="NEW"),"",COUNTBLANK(OFFSET(A$1,,,SUMPRODUCT(MAX(ROW(E$2:E4023)*(E4023=E$2:E4023)))))-COUNTBLANK(OFFSET(A$1,,,SUMPRODUCT(MAX(ROW(E$1:E4022)*(E2=E$1:E4022))))))</f>
        <v> </v>
      </c>
      <c r="K4023" s="25" t="str">
        <f>IF(OR(E4023="",E4023="!!!",F4023="NEW"),"",INDEX(J$1:J4022,SUMPRODUCT(MAX(ROW(E$1:E4022)*(E4023=E$1:E4022)))))</f>
        <v> </v>
      </c>
      <c r="L4023" s="26"/>
    </row>
    <row r="4024" spans="1:12">
      <c r="A4024" s="20"/>
    </row>
    <row r="4025" spans="1:12">
      <c r="A4025" s="20" t="s">
        <v>1936</v>
      </c>
    </row>
    <row r="4026" spans="1:12">
      <c r="A4026" s="20" t="s">
        <v>813</v>
      </c>
      <c r="E4026" s="21">
        <f>IF(D4026="?OLD","!!!","")</f>
        <v/>
      </c>
      <c r="F4026" s="22" t="str">
        <f>IF(OR(E4026="",E4026="!!!"),"",IF(NOT(ISNA(VLOOKUP(E4026,E$1:E4025,1,FALSE()))),"OLD",IF(AND(E4026&lt;&gt;"",E4026&lt;&gt;"!!!"),"NEW","")))</f>
        <v> </v>
      </c>
      <c r="G4026" s="23" t="str">
        <f>IF(OR(E4026="",E4026="!!!"),"",IF(OR(J4026=0,AND(J4026=1,K4026=1),AND(J4026=1,I4026="SBJ"),AND(J4026=1,I4026=0)),"?IN_FOCUS",IF(J4026&lt;=2,"?ACTIVATED",IF(J4026&lt;&gt;"","?FAMILIAR",IF(F4026="NEW",IF(ISNA(VLOOKUP(E4026,#REF!,1,FALSE())),"?TYPE_IDENTIFIABLE","?REFERENTIAL"),"_")))))</f>
        <v> </v>
      </c>
      <c r="H4026" s="24" t="str">
        <f>IF(J4026&lt;&gt;1,"",IF(I4026="SBJ","CB","?"))</f>
        <v> </v>
      </c>
      <c r="I4026" s="25" t="str">
        <f>IF(OR(E4026="",E4026="!!!",F4026="NEW"),"",INDEX(B4025:B$2,-1+SUMPRODUCT(MAX(ROW(E4025:E$2)*(E4026=E4025:E$2)))))</f>
        <v> </v>
      </c>
      <c r="J4026" s="25" t="str">
        <f>IF(OR(E4026="",E4026="!!!",F4026="NEW"),"",COUNTBLANK(OFFSET(A$1,,,SUMPRODUCT(MAX(ROW(E$2:E4026)*(E4026=E$2:E4026)))))-COUNTBLANK(OFFSET(A$1,,,SUMPRODUCT(MAX(ROW(E$1:E4025)*(E2=E$1:E4025))))))</f>
        <v> </v>
      </c>
      <c r="K4026" s="25" t="str">
        <f>IF(OR(E4026="",E4026="!!!",F4026="NEW"),"",INDEX(J$1:J4025,SUMPRODUCT(MAX(ROW(E$1:E4025)*(E4026=E$1:E4025)))))</f>
        <v> </v>
      </c>
      <c r="L4026" s="26"/>
    </row>
    <row r="4027" spans="1:12">
      <c r="A4027" s="20" t="s">
        <v>1106</v>
      </c>
      <c r="E4027" s="21">
        <f>IF(D4027="?OLD","!!!","")</f>
        <v/>
      </c>
      <c r="F4027" s="22" t="str">
        <f>IF(OR(E4027="",E4027="!!!"),"",IF(NOT(ISNA(VLOOKUP(E4027,E$1:E4026,1,FALSE()))),"OLD",IF(AND(E4027&lt;&gt;"",E4027&lt;&gt;"!!!"),"NEW","")))</f>
        <v> </v>
      </c>
      <c r="G4027" s="23" t="str">
        <f>IF(OR(E4027="",E4027="!!!"),"",IF(OR(J4027=0,AND(J4027=1,K4027=1),AND(J4027=1,I4027="SBJ"),AND(J4027=1,I4027=0)),"?IN_FOCUS",IF(J4027&lt;=2,"?ACTIVATED",IF(J4027&lt;&gt;"","?FAMILIAR",IF(F4027="NEW",IF(ISNA(VLOOKUP(E4027,#REF!,1,FALSE())),"?TYPE_IDENTIFIABLE","?REFERENTIAL"),"_")))))</f>
        <v> </v>
      </c>
      <c r="H4027" s="24" t="str">
        <f>IF(J4027&lt;&gt;1,"",IF(I4027="SBJ","CB","?"))</f>
        <v> </v>
      </c>
      <c r="I4027" s="25" t="str">
        <f>IF(OR(E4027="",E4027="!!!",F4027="NEW"),"",INDEX(B4026:B$2,-1+SUMPRODUCT(MAX(ROW(E4026:E$2)*(E4027=E4026:E$2)))))</f>
        <v> </v>
      </c>
      <c r="J4027" s="25" t="str">
        <f>IF(OR(E4027="",E4027="!!!",F4027="NEW"),"",COUNTBLANK(OFFSET(A$1,,,SUMPRODUCT(MAX(ROW(E$2:E4027)*(E4027=E$2:E4027)))))-COUNTBLANK(OFFSET(A$1,,,SUMPRODUCT(MAX(ROW(E$1:E4026)*(E2=E$1:E4026))))))</f>
        <v> </v>
      </c>
      <c r="K4027" s="25" t="str">
        <f>IF(OR(E4027="",E4027="!!!",F4027="NEW"),"",INDEX(J$1:J4026,SUMPRODUCT(MAX(ROW(E$1:E4026)*(E4027=E$1:E4026)))))</f>
        <v> </v>
      </c>
      <c r="L4027" s="26"/>
    </row>
    <row r="4028" spans="1:12">
      <c r="A4028" s="20" t="s">
        <v>839</v>
      </c>
      <c r="E4028" s="21">
        <f>IF(D4028="?OLD","!!!","")</f>
        <v/>
      </c>
      <c r="F4028" s="22" t="str">
        <f>IF(OR(E4028="",E4028="!!!"),"",IF(NOT(ISNA(VLOOKUP(E4028,E$1:E4027,1,FALSE()))),"OLD",IF(AND(E4028&lt;&gt;"",E4028&lt;&gt;"!!!"),"NEW","")))</f>
        <v> </v>
      </c>
      <c r="G4028" s="23" t="str">
        <f>IF(OR(E4028="",E4028="!!!"),"",IF(OR(J4028=0,AND(J4028=1,K4028=1),AND(J4028=1,I4028="SBJ"),AND(J4028=1,I4028=0)),"?IN_FOCUS",IF(J4028&lt;=2,"?ACTIVATED",IF(J4028&lt;&gt;"","?FAMILIAR",IF(F4028="NEW",IF(ISNA(VLOOKUP(E4028,#REF!,1,FALSE())),"?TYPE_IDENTIFIABLE","?REFERENTIAL"),"_")))))</f>
        <v> </v>
      </c>
      <c r="H4028" s="24" t="str">
        <f>IF(J4028&lt;&gt;1,"",IF(I4028="SBJ","CB","?"))</f>
        <v> </v>
      </c>
      <c r="I4028" s="25" t="str">
        <f>IF(OR(E4028="",E4028="!!!",F4028="NEW"),"",INDEX(B4027:B$2,-1+SUMPRODUCT(MAX(ROW(E4027:E$2)*(E4028=E4027:E$2)))))</f>
        <v> </v>
      </c>
      <c r="J4028" s="25" t="str">
        <f>IF(OR(E4028="",E4028="!!!",F4028="NEW"),"",COUNTBLANK(OFFSET(A$1,,,SUMPRODUCT(MAX(ROW(E$2:E4028)*(E4028=E$2:E4028)))))-COUNTBLANK(OFFSET(A$1,,,SUMPRODUCT(MAX(ROW(E$1:E4027)*(E2=E$1:E4027))))))</f>
        <v> </v>
      </c>
      <c r="K4028" s="25" t="str">
        <f>IF(OR(E4028="",E4028="!!!",F4028="NEW"),"",INDEX(J$1:J4027,SUMPRODUCT(MAX(ROW(E$1:E4027)*(E4028=E$1:E4027)))))</f>
        <v> </v>
      </c>
      <c r="L4028" s="26"/>
    </row>
    <row r="4029" spans="1:12">
      <c r="A4029" s="20" t="s">
        <v>1020</v>
      </c>
      <c r="B4029" s="27" t="s">
        <v>738</v>
      </c>
      <c r="C4029" s="27" t="s">
        <v>749</v>
      </c>
      <c r="D4029" s="27" t="s">
        <v>740</v>
      </c>
      <c r="E4029" s="21">
        <f>IF(D4029="?OLD","!!!","")</f>
        <v/>
      </c>
      <c r="F4029" s="22" t="str">
        <f>IF(OR(E4029="",E4029="!!!"),"",IF(NOT(ISNA(VLOOKUP(E4029,E$1:E4028,1,FALSE()))),"OLD",IF(AND(E4029&lt;&gt;"",E4029&lt;&gt;"!!!"),"NEW","")))</f>
        <v> </v>
      </c>
      <c r="G4029" s="23" t="str">
        <f>IF(OR(E4029="",E4029="!!!"),"",IF(OR(J4029=0,AND(J4029=1,K4029=1),AND(J4029=1,I4029="SBJ"),AND(J4029=1,I4029=0)),"?IN_FOCUS",IF(J4029&lt;=2,"?ACTIVATED",IF(J4029&lt;&gt;"","?FAMILIAR",IF(F4029="NEW",IF(ISNA(VLOOKUP(E4029,#REF!,1,FALSE())),"?TYPE_IDENTIFIABLE","?REFERENTIAL"),"_")))))</f>
        <v> </v>
      </c>
      <c r="H4029" s="24" t="str">
        <f>IF(J4029&lt;&gt;1,"",IF(I4029="SBJ","CB","?"))</f>
        <v> </v>
      </c>
      <c r="I4029" s="25" t="str">
        <f>IF(OR(E4029="",E4029="!!!",F4029="NEW"),"",INDEX(B4028:B$2,-1+SUMPRODUCT(MAX(ROW(E4028:E$2)*(E4029=E4028:E$2)))))</f>
        <v> </v>
      </c>
      <c r="J4029" s="25" t="str">
        <f>IF(OR(E4029="",E4029="!!!",F4029="NEW"),"",COUNTBLANK(OFFSET(A$1,,,SUMPRODUCT(MAX(ROW(E$2:E4029)*(E4029=E$2:E4029)))))-COUNTBLANK(OFFSET(A$1,,,SUMPRODUCT(MAX(ROW(E$1:E4028)*(E2=E$1:E4028))))))</f>
        <v> </v>
      </c>
      <c r="K4029" s="25" t="str">
        <f>IF(OR(E4029="",E4029="!!!",F4029="NEW"),"",INDEX(J$1:J4028,SUMPRODUCT(MAX(ROW(E$1:E4028)*(E4029=E$1:E4028)))))</f>
        <v> </v>
      </c>
      <c r="L4029" s="26"/>
    </row>
    <row r="4030" spans="1:12">
      <c r="A4030" s="20" t="s">
        <v>1690</v>
      </c>
      <c r="E4030" s="21">
        <f>IF(D4030="?OLD","!!!","")</f>
        <v/>
      </c>
      <c r="F4030" s="22" t="str">
        <f>IF(OR(E4030="",E4030="!!!"),"",IF(NOT(ISNA(VLOOKUP(E4030,E$1:E4029,1,FALSE()))),"OLD",IF(AND(E4030&lt;&gt;"",E4030&lt;&gt;"!!!"),"NEW","")))</f>
        <v> </v>
      </c>
      <c r="G4030" s="23" t="str">
        <f>IF(OR(E4030="",E4030="!!!"),"",IF(OR(J4030=0,AND(J4030=1,K4030=1),AND(J4030=1,I4030="SBJ"),AND(J4030=1,I4030=0)),"?IN_FOCUS",IF(J4030&lt;=2,"?ACTIVATED",IF(J4030&lt;&gt;"","?FAMILIAR",IF(F4030="NEW",IF(ISNA(VLOOKUP(E4030,#REF!,1,FALSE())),"?TYPE_IDENTIFIABLE","?REFERENTIAL"),"_")))))</f>
        <v> </v>
      </c>
      <c r="H4030" s="24" t="str">
        <f>IF(J4030&lt;&gt;1,"",IF(I4030="SBJ","CB","?"))</f>
        <v> </v>
      </c>
      <c r="I4030" s="25" t="str">
        <f>IF(OR(E4030="",E4030="!!!",F4030="NEW"),"",INDEX(B4029:B$2,-1+SUMPRODUCT(MAX(ROW(E4029:E$2)*(E4030=E4029:E$2)))))</f>
        <v> </v>
      </c>
      <c r="J4030" s="25" t="str">
        <f>IF(OR(E4030="",E4030="!!!",F4030="NEW"),"",COUNTBLANK(OFFSET(A$1,,,SUMPRODUCT(MAX(ROW(E$2:E4030)*(E4030=E$2:E4030)))))-COUNTBLANK(OFFSET(A$1,,,SUMPRODUCT(MAX(ROW(E$1:E4029)*(E2=E$1:E4029))))))</f>
        <v> </v>
      </c>
      <c r="K4030" s="25" t="str">
        <f>IF(OR(E4030="",E4030="!!!",F4030="NEW"),"",INDEX(J$1:J4029,SUMPRODUCT(MAX(ROW(E$1:E4029)*(E4030=E$1:E4029)))))</f>
        <v> </v>
      </c>
      <c r="L4030" s="26"/>
    </row>
    <row r="4031" spans="1:12">
      <c r="A4031" s="20" t="s">
        <v>753</v>
      </c>
      <c r="E4031" s="21">
        <f>IF(D4031="?OLD","!!!","")</f>
        <v/>
      </c>
      <c r="F4031" s="22" t="str">
        <f>IF(OR(E4031="",E4031="!!!"),"",IF(NOT(ISNA(VLOOKUP(E4031,E$1:E4030,1,FALSE()))),"OLD",IF(AND(E4031&lt;&gt;"",E4031&lt;&gt;"!!!"),"NEW","")))</f>
        <v> </v>
      </c>
      <c r="G4031" s="23" t="str">
        <f>IF(OR(E4031="",E4031="!!!"),"",IF(OR(J4031=0,AND(J4031=1,K4031=1),AND(J4031=1,I4031="SBJ"),AND(J4031=1,I4031=0)),"?IN_FOCUS",IF(J4031&lt;=2,"?ACTIVATED",IF(J4031&lt;&gt;"","?FAMILIAR",IF(F4031="NEW",IF(ISNA(VLOOKUP(E4031,#REF!,1,FALSE())),"?TYPE_IDENTIFIABLE","?REFERENTIAL"),"_")))))</f>
        <v> </v>
      </c>
      <c r="H4031" s="24" t="str">
        <f>IF(J4031&lt;&gt;1,"",IF(I4031="SBJ","CB","?"))</f>
        <v> </v>
      </c>
      <c r="I4031" s="25" t="str">
        <f>IF(OR(E4031="",E4031="!!!",F4031="NEW"),"",INDEX(B4030:B$2,-1+SUMPRODUCT(MAX(ROW(E4030:E$2)*(E4031=E4030:E$2)))))</f>
        <v> </v>
      </c>
      <c r="J4031" s="25" t="str">
        <f>IF(OR(E4031="",E4031="!!!",F4031="NEW"),"",COUNTBLANK(OFFSET(A$1,,,SUMPRODUCT(MAX(ROW(E$2:E4031)*(E4031=E$2:E4031)))))-COUNTBLANK(OFFSET(A$1,,,SUMPRODUCT(MAX(ROW(E$1:E4030)*(E2=E$1:E4030))))))</f>
        <v> </v>
      </c>
      <c r="K4031" s="25" t="str">
        <f>IF(OR(E4031="",E4031="!!!",F4031="NEW"),"",INDEX(J$1:J4030,SUMPRODUCT(MAX(ROW(E$1:E4030)*(E4031=E$1:E4030)))))</f>
        <v> </v>
      </c>
      <c r="L4031" s="26"/>
    </row>
    <row r="4032" spans="1:12">
      <c r="A4032" s="20" t="s">
        <v>860</v>
      </c>
      <c r="E4032" s="21">
        <f>IF(D4032="?OLD","!!!","")</f>
        <v/>
      </c>
      <c r="F4032" s="22" t="str">
        <f>IF(OR(E4032="",E4032="!!!"),"",IF(NOT(ISNA(VLOOKUP(E4032,E$1:E4031,1,FALSE()))),"OLD",IF(AND(E4032&lt;&gt;"",E4032&lt;&gt;"!!!"),"NEW","")))</f>
        <v> </v>
      </c>
      <c r="G4032" s="23" t="str">
        <f>IF(OR(E4032="",E4032="!!!"),"",IF(OR(J4032=0,AND(J4032=1,K4032=1),AND(J4032=1,I4032="SBJ"),AND(J4032=1,I4032=0)),"?IN_FOCUS",IF(J4032&lt;=2,"?ACTIVATED",IF(J4032&lt;&gt;"","?FAMILIAR",IF(F4032="NEW",IF(ISNA(VLOOKUP(E4032,#REF!,1,FALSE())),"?TYPE_IDENTIFIABLE","?REFERENTIAL"),"_")))))</f>
        <v> </v>
      </c>
      <c r="H4032" s="24" t="str">
        <f>IF(J4032&lt;&gt;1,"",IF(I4032="SBJ","CB","?"))</f>
        <v> </v>
      </c>
      <c r="I4032" s="25" t="str">
        <f>IF(OR(E4032="",E4032="!!!",F4032="NEW"),"",INDEX(B4031:B$2,-1+SUMPRODUCT(MAX(ROW(E4031:E$2)*(E4032=E4031:E$2)))))</f>
        <v> </v>
      </c>
      <c r="J4032" s="25" t="str">
        <f>IF(OR(E4032="",E4032="!!!",F4032="NEW"),"",COUNTBLANK(OFFSET(A$1,,,SUMPRODUCT(MAX(ROW(E$2:E4032)*(E4032=E$2:E4032)))))-COUNTBLANK(OFFSET(A$1,,,SUMPRODUCT(MAX(ROW(E$1:E4031)*(E2=E$1:E4031))))))</f>
        <v> </v>
      </c>
      <c r="K4032" s="25" t="str">
        <f>IF(OR(E4032="",E4032="!!!",F4032="NEW"),"",INDEX(J$1:J4031,SUMPRODUCT(MAX(ROW(E$1:E4031)*(E4032=E$1:E4031)))))</f>
        <v> </v>
      </c>
      <c r="L4032" s="26"/>
    </row>
    <row r="4033" spans="1:12">
      <c r="A4033" s="20" t="s">
        <v>832</v>
      </c>
      <c r="B4033" s="27" t="s">
        <v>771</v>
      </c>
      <c r="C4033" s="27" t="s">
        <v>749</v>
      </c>
      <c r="D4033" s="27" t="s">
        <v>740</v>
      </c>
      <c r="E4033" s="21">
        <f>IF(D4033="?OLD","!!!","")</f>
        <v/>
      </c>
      <c r="F4033" s="22" t="str">
        <f>IF(OR(E4033="",E4033="!!!"),"",IF(NOT(ISNA(VLOOKUP(E4033,E$1:E4032,1,FALSE()))),"OLD",IF(AND(E4033&lt;&gt;"",E4033&lt;&gt;"!!!"),"NEW","")))</f>
        <v> </v>
      </c>
      <c r="G4033" s="23" t="str">
        <f>IF(OR(E4033="",E4033="!!!"),"",IF(OR(J4033=0,AND(J4033=1,K4033=1),AND(J4033=1,I4033="SBJ"),AND(J4033=1,I4033=0)),"?IN_FOCUS",IF(J4033&lt;=2,"?ACTIVATED",IF(J4033&lt;&gt;"","?FAMILIAR",IF(F4033="NEW",IF(ISNA(VLOOKUP(E4033,#REF!,1,FALSE())),"?TYPE_IDENTIFIABLE","?REFERENTIAL"),"_")))))</f>
        <v> </v>
      </c>
      <c r="H4033" s="24" t="str">
        <f>IF(J4033&lt;&gt;1,"",IF(I4033="SBJ","CB","?"))</f>
        <v> </v>
      </c>
      <c r="I4033" s="25" t="str">
        <f>IF(OR(E4033="",E4033="!!!",F4033="NEW"),"",INDEX(B4032:B$2,-1+SUMPRODUCT(MAX(ROW(E4032:E$2)*(E4033=E4032:E$2)))))</f>
        <v> </v>
      </c>
      <c r="J4033" s="25" t="str">
        <f>IF(OR(E4033="",E4033="!!!",F4033="NEW"),"",COUNTBLANK(OFFSET(A$1,,,SUMPRODUCT(MAX(ROW(E$2:E4033)*(E4033=E$2:E4033)))))-COUNTBLANK(OFFSET(A$1,,,SUMPRODUCT(MAX(ROW(E$1:E4032)*(E2=E$1:E4032))))))</f>
        <v> </v>
      </c>
      <c r="K4033" s="25" t="str">
        <f>IF(OR(E4033="",E4033="!!!",F4033="NEW"),"",INDEX(J$1:J4032,SUMPRODUCT(MAX(ROW(E$1:E4032)*(E4033=E$1:E4032)))))</f>
        <v> </v>
      </c>
      <c r="L4033" s="26"/>
    </row>
    <row r="4034" spans="1:12">
      <c r="A4034" s="20" t="s">
        <v>757</v>
      </c>
      <c r="E4034" s="21">
        <f>IF(D4034="?OLD","!!!","")</f>
        <v/>
      </c>
      <c r="F4034" s="22" t="str">
        <f>IF(OR(E4034="",E4034="!!!"),"",IF(NOT(ISNA(VLOOKUP(E4034,E$1:E4033,1,FALSE()))),"OLD",IF(AND(E4034&lt;&gt;"",E4034&lt;&gt;"!!!"),"NEW","")))</f>
        <v> </v>
      </c>
      <c r="G4034" s="23" t="str">
        <f>IF(OR(E4034="",E4034="!!!"),"",IF(OR(J4034=0,AND(J4034=1,K4034=1),AND(J4034=1,I4034="SBJ"),AND(J4034=1,I4034=0)),"?IN_FOCUS",IF(J4034&lt;=2,"?ACTIVATED",IF(J4034&lt;&gt;"","?FAMILIAR",IF(F4034="NEW",IF(ISNA(VLOOKUP(E4034,#REF!,1,FALSE())),"?TYPE_IDENTIFIABLE","?REFERENTIAL"),"_")))))</f>
        <v> </v>
      </c>
      <c r="H4034" s="24" t="str">
        <f>IF(J4034&lt;&gt;1,"",IF(I4034="SBJ","CB","?"))</f>
        <v> </v>
      </c>
      <c r="I4034" s="25" t="str">
        <f>IF(OR(E4034="",E4034="!!!",F4034="NEW"),"",INDEX(B4033:B$2,-1+SUMPRODUCT(MAX(ROW(E4033:E$2)*(E4034=E4033:E$2)))))</f>
        <v> </v>
      </c>
      <c r="J4034" s="25" t="str">
        <f>IF(OR(E4034="",E4034="!!!",F4034="NEW"),"",COUNTBLANK(OFFSET(A$1,,,SUMPRODUCT(MAX(ROW(E$2:E4034)*(E4034=E$2:E4034)))))-COUNTBLANK(OFFSET(A$1,,,SUMPRODUCT(MAX(ROW(E$1:E4033)*(E2=E$1:E4033))))))</f>
        <v> </v>
      </c>
      <c r="K4034" s="25" t="str">
        <f>IF(OR(E4034="",E4034="!!!",F4034="NEW"),"",INDEX(J$1:J4033,SUMPRODUCT(MAX(ROW(E$1:E4033)*(E4034=E$1:E4033)))))</f>
        <v> </v>
      </c>
      <c r="L4034" s="26"/>
    </row>
    <row r="4035" spans="1:12">
      <c r="A4035" s="20" t="s">
        <v>1937</v>
      </c>
      <c r="B4035" s="27" t="s">
        <v>733</v>
      </c>
      <c r="C4035" s="27" t="s">
        <v>772</v>
      </c>
      <c r="E4035" s="21">
        <f>IF(D4035="?OLD","!!!","")</f>
        <v/>
      </c>
      <c r="F4035" s="22" t="str">
        <f>IF(OR(E4035="",E4035="!!!"),"",IF(NOT(ISNA(VLOOKUP(E4035,E$1:E4034,1,FALSE()))),"OLD",IF(AND(E4035&lt;&gt;"",E4035&lt;&gt;"!!!"),"NEW","")))</f>
        <v> </v>
      </c>
      <c r="G4035" s="23" t="str">
        <f>IF(OR(E4035="",E4035="!!!"),"",IF(OR(J4035=0,AND(J4035=1,K4035=1),AND(J4035=1,I4035="SBJ"),AND(J4035=1,I4035=0)),"?IN_FOCUS",IF(J4035&lt;=2,"?ACTIVATED",IF(J4035&lt;&gt;"","?FAMILIAR",IF(F4035="NEW",IF(ISNA(VLOOKUP(E4035,#REF!,1,FALSE())),"?TYPE_IDENTIFIABLE","?REFERENTIAL"),"_")))))</f>
        <v> </v>
      </c>
      <c r="H4035" s="24" t="str">
        <f>IF(J4035&lt;&gt;1,"",IF(I4035="SBJ","CB","?"))</f>
        <v> </v>
      </c>
      <c r="I4035" s="25" t="str">
        <f>IF(OR(E4035="",E4035="!!!",F4035="NEW"),"",INDEX(B4034:B$2,-1+SUMPRODUCT(MAX(ROW(E4034:E$2)*(E4035=E4034:E$2)))))</f>
        <v> </v>
      </c>
      <c r="J4035" s="25" t="str">
        <f>IF(OR(E4035="",E4035="!!!",F4035="NEW"),"",COUNTBLANK(OFFSET(A$1,,,SUMPRODUCT(MAX(ROW(E$2:E4035)*(E4035=E$2:E4035)))))-COUNTBLANK(OFFSET(A$1,,,SUMPRODUCT(MAX(ROW(E$1:E4034)*(E2=E$1:E4034))))))</f>
        <v> </v>
      </c>
      <c r="K4035" s="25" t="str">
        <f>IF(OR(E4035="",E4035="!!!",F4035="NEW"),"",INDEX(J$1:J4034,SUMPRODUCT(MAX(ROW(E$1:E4034)*(E4035=E$1:E4034)))))</f>
        <v> </v>
      </c>
      <c r="L4035" s="26"/>
    </row>
    <row r="4036" spans="1:12">
      <c r="A4036" s="20" t="s">
        <v>1914</v>
      </c>
      <c r="E4036" s="21">
        <f>IF(D4036="?OLD","!!!","")</f>
        <v/>
      </c>
      <c r="F4036" s="22" t="str">
        <f>IF(OR(E4036="",E4036="!!!"),"",IF(NOT(ISNA(VLOOKUP(E4036,E$1:E4035,1,FALSE()))),"OLD",IF(AND(E4036&lt;&gt;"",E4036&lt;&gt;"!!!"),"NEW","")))</f>
        <v> </v>
      </c>
      <c r="G4036" s="23" t="str">
        <f>IF(OR(E4036="",E4036="!!!"),"",IF(OR(J4036=0,AND(J4036=1,K4036=1),AND(J4036=1,I4036="SBJ"),AND(J4036=1,I4036=0)),"?IN_FOCUS",IF(J4036&lt;=2,"?ACTIVATED",IF(J4036&lt;&gt;"","?FAMILIAR",IF(F4036="NEW",IF(ISNA(VLOOKUP(E4036,#REF!,1,FALSE())),"?TYPE_IDENTIFIABLE","?REFERENTIAL"),"_")))))</f>
        <v> </v>
      </c>
      <c r="H4036" s="24" t="str">
        <f>IF(J4036&lt;&gt;1,"",IF(I4036="SBJ","CB","?"))</f>
        <v> </v>
      </c>
      <c r="I4036" s="25" t="str">
        <f>IF(OR(E4036="",E4036="!!!",F4036="NEW"),"",INDEX(B4035:B$2,-1+SUMPRODUCT(MAX(ROW(E4035:E$2)*(E4036=E4035:E$2)))))</f>
        <v> </v>
      </c>
      <c r="J4036" s="25" t="str">
        <f>IF(OR(E4036="",E4036="!!!",F4036="NEW"),"",COUNTBLANK(OFFSET(A$1,,,SUMPRODUCT(MAX(ROW(E$2:E4036)*(E4036=E$2:E4036)))))-COUNTBLANK(OFFSET(A$1,,,SUMPRODUCT(MAX(ROW(E$1:E4035)*(E2=E$1:E4035))))))</f>
        <v> </v>
      </c>
      <c r="K4036" s="25" t="str">
        <f>IF(OR(E4036="",E4036="!!!",F4036="NEW"),"",INDEX(J$1:J4035,SUMPRODUCT(MAX(ROW(E$1:E4035)*(E4036=E$1:E4035)))))</f>
        <v> </v>
      </c>
      <c r="L4036" s="26"/>
    </row>
    <row r="4037" spans="1:12">
      <c r="A4037" s="20" t="s">
        <v>750</v>
      </c>
      <c r="E4037" s="21">
        <f>IF(D4037="?OLD","!!!","")</f>
        <v/>
      </c>
      <c r="F4037" s="22" t="str">
        <f>IF(OR(E4037="",E4037="!!!"),"",IF(NOT(ISNA(VLOOKUP(E4037,E$1:E4036,1,FALSE()))),"OLD",IF(AND(E4037&lt;&gt;"",E4037&lt;&gt;"!!!"),"NEW","")))</f>
        <v> </v>
      </c>
      <c r="G4037" s="23" t="str">
        <f>IF(OR(E4037="",E4037="!!!"),"",IF(OR(J4037=0,AND(J4037=1,K4037=1),AND(J4037=1,I4037="SBJ"),AND(J4037=1,I4037=0)),"?IN_FOCUS",IF(J4037&lt;=2,"?ACTIVATED",IF(J4037&lt;&gt;"","?FAMILIAR",IF(F4037="NEW",IF(ISNA(VLOOKUP(E4037,#REF!,1,FALSE())),"?TYPE_IDENTIFIABLE","?REFERENTIAL"),"_")))))</f>
        <v> </v>
      </c>
      <c r="H4037" s="24" t="str">
        <f>IF(J4037&lt;&gt;1,"",IF(I4037="SBJ","CB","?"))</f>
        <v> </v>
      </c>
      <c r="I4037" s="25" t="str">
        <f>IF(OR(E4037="",E4037="!!!",F4037="NEW"),"",INDEX(B4036:B$2,-1+SUMPRODUCT(MAX(ROW(E4036:E$2)*(E4037=E4036:E$2)))))</f>
        <v> </v>
      </c>
      <c r="J4037" s="25" t="str">
        <f>IF(OR(E4037="",E4037="!!!",F4037="NEW"),"",COUNTBLANK(OFFSET(A$1,,,SUMPRODUCT(MAX(ROW(E$2:E4037)*(E4037=E$2:E4037)))))-COUNTBLANK(OFFSET(A$1,,,SUMPRODUCT(MAX(ROW(E$1:E4036)*(E2=E$1:E4036))))))</f>
        <v> </v>
      </c>
      <c r="K4037" s="25" t="str">
        <f>IF(OR(E4037="",E4037="!!!",F4037="NEW"),"",INDEX(J$1:J4036,SUMPRODUCT(MAX(ROW(E$1:E4036)*(E4037=E$1:E4036)))))</f>
        <v> </v>
      </c>
      <c r="L4037" s="26"/>
    </row>
    <row r="4038" spans="1:12">
      <c r="A4038" s="20" t="s">
        <v>753</v>
      </c>
      <c r="E4038" s="21">
        <f>IF(D4038="?OLD","!!!","")</f>
        <v/>
      </c>
      <c r="F4038" s="22" t="str">
        <f>IF(OR(E4038="",E4038="!!!"),"",IF(NOT(ISNA(VLOOKUP(E4038,E$1:E4037,1,FALSE()))),"OLD",IF(AND(E4038&lt;&gt;"",E4038&lt;&gt;"!!!"),"NEW","")))</f>
        <v> </v>
      </c>
      <c r="G4038" s="23" t="str">
        <f>IF(OR(E4038="",E4038="!!!"),"",IF(OR(J4038=0,AND(J4038=1,K4038=1),AND(J4038=1,I4038="SBJ"),AND(J4038=1,I4038=0)),"?IN_FOCUS",IF(J4038&lt;=2,"?ACTIVATED",IF(J4038&lt;&gt;"","?FAMILIAR",IF(F4038="NEW",IF(ISNA(VLOOKUP(E4038,#REF!,1,FALSE())),"?TYPE_IDENTIFIABLE","?REFERENTIAL"),"_")))))</f>
        <v> </v>
      </c>
      <c r="H4038" s="24" t="str">
        <f>IF(J4038&lt;&gt;1,"",IF(I4038="SBJ","CB","?"))</f>
        <v> </v>
      </c>
      <c r="I4038" s="25" t="str">
        <f>IF(OR(E4038="",E4038="!!!",F4038="NEW"),"",INDEX(B4037:B$2,-1+SUMPRODUCT(MAX(ROW(E4037:E$2)*(E4038=E4037:E$2)))))</f>
        <v> </v>
      </c>
      <c r="J4038" s="25" t="str">
        <f>IF(OR(E4038="",E4038="!!!",F4038="NEW"),"",COUNTBLANK(OFFSET(A$1,,,SUMPRODUCT(MAX(ROW(E$2:E4038)*(E4038=E$2:E4038)))))-COUNTBLANK(OFFSET(A$1,,,SUMPRODUCT(MAX(ROW(E$1:E4037)*(E2=E$1:E4037))))))</f>
        <v> </v>
      </c>
      <c r="K4038" s="25" t="str">
        <f>IF(OR(E4038="",E4038="!!!",F4038="NEW"),"",INDEX(J$1:J4037,SUMPRODUCT(MAX(ROW(E$1:E4037)*(E4038=E$1:E4037)))))</f>
        <v> </v>
      </c>
      <c r="L4038" s="26"/>
    </row>
    <row r="4039" spans="1:12">
      <c r="A4039" s="20" t="s">
        <v>1938</v>
      </c>
      <c r="B4039" s="27" t="s">
        <v>787</v>
      </c>
      <c r="C4039" s="27" t="s">
        <v>772</v>
      </c>
      <c r="E4039" s="21">
        <f>IF(D4039="?OLD","!!!","")</f>
        <v/>
      </c>
      <c r="F4039" s="22" t="str">
        <f>IF(OR(E4039="",E4039="!!!"),"",IF(NOT(ISNA(VLOOKUP(E4039,E$1:E4038,1,FALSE()))),"OLD",IF(AND(E4039&lt;&gt;"",E4039&lt;&gt;"!!!"),"NEW","")))</f>
        <v> </v>
      </c>
      <c r="G4039" s="23" t="str">
        <f>IF(OR(E4039="",E4039="!!!"),"",IF(OR(J4039=0,AND(J4039=1,K4039=1),AND(J4039=1,I4039="SBJ"),AND(J4039=1,I4039=0)),"?IN_FOCUS",IF(J4039&lt;=2,"?ACTIVATED",IF(J4039&lt;&gt;"","?FAMILIAR",IF(F4039="NEW",IF(ISNA(VLOOKUP(E4039,#REF!,1,FALSE())),"?TYPE_IDENTIFIABLE","?REFERENTIAL"),"_")))))</f>
        <v> </v>
      </c>
      <c r="H4039" s="24" t="str">
        <f>IF(J4039&lt;&gt;1,"",IF(I4039="SBJ","CB","?"))</f>
        <v> </v>
      </c>
      <c r="I4039" s="25" t="str">
        <f>IF(OR(E4039="",E4039="!!!",F4039="NEW"),"",INDEX(B4038:B$2,-1+SUMPRODUCT(MAX(ROW(E4038:E$2)*(E4039=E4038:E$2)))))</f>
        <v> </v>
      </c>
      <c r="J4039" s="25" t="str">
        <f>IF(OR(E4039="",E4039="!!!",F4039="NEW"),"",COUNTBLANK(OFFSET(A$1,,,SUMPRODUCT(MAX(ROW(E$2:E4039)*(E4039=E$2:E4039)))))-COUNTBLANK(OFFSET(A$1,,,SUMPRODUCT(MAX(ROW(E$1:E4038)*(E2=E$1:E4038))))))</f>
        <v> </v>
      </c>
      <c r="K4039" s="25" t="str">
        <f>IF(OR(E4039="",E4039="!!!",F4039="NEW"),"",INDEX(J$1:J4038,SUMPRODUCT(MAX(ROW(E$1:E4038)*(E4039=E$1:E4038)))))</f>
        <v> </v>
      </c>
      <c r="L4039" s="26"/>
    </row>
    <row r="4040" spans="1:12">
      <c r="A4040" s="20" t="s">
        <v>924</v>
      </c>
      <c r="B4040" s="27" t="s">
        <v>764</v>
      </c>
      <c r="C4040" s="27" t="s">
        <v>734</v>
      </c>
      <c r="E4040" s="21">
        <f>IF(D4040="?OLD","!!!","")</f>
        <v/>
      </c>
      <c r="F4040" s="22" t="str">
        <f>IF(OR(E4040="",E4040="!!!"),"",IF(NOT(ISNA(VLOOKUP(E4040,E$1:E4039,1,FALSE()))),"OLD",IF(AND(E4040&lt;&gt;"",E4040&lt;&gt;"!!!"),"NEW","")))</f>
        <v> </v>
      </c>
      <c r="G4040" s="23" t="str">
        <f>IF(OR(E4040="",E4040="!!!"),"",IF(OR(J4040=0,AND(J4040=1,K4040=1),AND(J4040=1,I4040="SBJ"),AND(J4040=1,I4040=0)),"?IN_FOCUS",IF(J4040&lt;=2,"?ACTIVATED",IF(J4040&lt;&gt;"","?FAMILIAR",IF(F4040="NEW",IF(ISNA(VLOOKUP(E4040,#REF!,1,FALSE())),"?TYPE_IDENTIFIABLE","?REFERENTIAL"),"_")))))</f>
        <v> </v>
      </c>
      <c r="H4040" s="24" t="str">
        <f>IF(J4040&lt;&gt;1,"",IF(I4040="SBJ","CB","?"))</f>
        <v> </v>
      </c>
      <c r="I4040" s="25" t="str">
        <f>IF(OR(E4040="",E4040="!!!",F4040="NEW"),"",INDEX(B4039:B$2,-1+SUMPRODUCT(MAX(ROW(E4039:E$2)*(E4040=E4039:E$2)))))</f>
        <v> </v>
      </c>
      <c r="J4040" s="25" t="str">
        <f>IF(OR(E4040="",E4040="!!!",F4040="NEW"),"",COUNTBLANK(OFFSET(A$1,,,SUMPRODUCT(MAX(ROW(E$2:E4040)*(E4040=E$2:E4040)))))-COUNTBLANK(OFFSET(A$1,,,SUMPRODUCT(MAX(ROW(E$1:E4039)*(E2=E$1:E4039))))))</f>
        <v> </v>
      </c>
      <c r="K4040" s="25" t="str">
        <f>IF(OR(E4040="",E4040="!!!",F4040="NEW"),"",INDEX(J$1:J4039,SUMPRODUCT(MAX(ROW(E$1:E4039)*(E4040=E$1:E4039)))))</f>
        <v> </v>
      </c>
      <c r="L4040" s="26"/>
    </row>
    <row r="4041" spans="1:12">
      <c r="A4041" s="20" t="s">
        <v>765</v>
      </c>
      <c r="E4041" s="21">
        <f>IF(D4041="?OLD","!!!","")</f>
        <v/>
      </c>
      <c r="F4041" s="22" t="str">
        <f>IF(OR(E4041="",E4041="!!!"),"",IF(NOT(ISNA(VLOOKUP(E4041,E$1:E4040,1,FALSE()))),"OLD",IF(AND(E4041&lt;&gt;"",E4041&lt;&gt;"!!!"),"NEW","")))</f>
        <v> </v>
      </c>
      <c r="G4041" s="23" t="str">
        <f>IF(OR(E4041="",E4041="!!!"),"",IF(OR(J4041=0,AND(J4041=1,K4041=1),AND(J4041=1,I4041="SBJ"),AND(J4041=1,I4041=0)),"?IN_FOCUS",IF(J4041&lt;=2,"?ACTIVATED",IF(J4041&lt;&gt;"","?FAMILIAR",IF(F4041="NEW",IF(ISNA(VLOOKUP(E4041,#REF!,1,FALSE())),"?TYPE_IDENTIFIABLE","?REFERENTIAL"),"_")))))</f>
        <v> </v>
      </c>
      <c r="H4041" s="24" t="str">
        <f>IF(J4041&lt;&gt;1,"",IF(I4041="SBJ","CB","?"))</f>
        <v> </v>
      </c>
      <c r="I4041" s="25" t="str">
        <f>IF(OR(E4041="",E4041="!!!",F4041="NEW"),"",INDEX(B4040:B$2,-1+SUMPRODUCT(MAX(ROW(E4040:E$2)*(E4041=E4040:E$2)))))</f>
        <v> </v>
      </c>
      <c r="J4041" s="25" t="str">
        <f>IF(OR(E4041="",E4041="!!!",F4041="NEW"),"",COUNTBLANK(OFFSET(A$1,,,SUMPRODUCT(MAX(ROW(E$2:E4041)*(E4041=E$2:E4041)))))-COUNTBLANK(OFFSET(A$1,,,SUMPRODUCT(MAX(ROW(E$1:E4040)*(E2=E$1:E4040))))))</f>
        <v> </v>
      </c>
      <c r="K4041" s="25" t="str">
        <f>IF(OR(E4041="",E4041="!!!",F4041="NEW"),"",INDEX(J$1:J4040,SUMPRODUCT(MAX(ROW(E$1:E4040)*(E4041=E$1:E4040)))))</f>
        <v> </v>
      </c>
      <c r="L4041" s="26"/>
    </row>
    <row r="4042" spans="1:12">
      <c r="A4042" s="20" t="s">
        <v>1239</v>
      </c>
      <c r="E4042" s="21">
        <f>IF(D4042="?OLD","!!!","")</f>
        <v/>
      </c>
      <c r="F4042" s="22" t="str">
        <f>IF(OR(E4042="",E4042="!!!"),"",IF(NOT(ISNA(VLOOKUP(E4042,E$1:E4041,1,FALSE()))),"OLD",IF(AND(E4042&lt;&gt;"",E4042&lt;&gt;"!!!"),"NEW","")))</f>
        <v> </v>
      </c>
      <c r="G4042" s="23" t="str">
        <f>IF(OR(E4042="",E4042="!!!"),"",IF(OR(J4042=0,AND(J4042=1,K4042=1),AND(J4042=1,I4042="SBJ"),AND(J4042=1,I4042=0)),"?IN_FOCUS",IF(J4042&lt;=2,"?ACTIVATED",IF(J4042&lt;&gt;"","?FAMILIAR",IF(F4042="NEW",IF(ISNA(VLOOKUP(E4042,#REF!,1,FALSE())),"?TYPE_IDENTIFIABLE","?REFERENTIAL"),"_")))))</f>
        <v> </v>
      </c>
      <c r="H4042" s="24" t="str">
        <f>IF(J4042&lt;&gt;1,"",IF(I4042="SBJ","CB","?"))</f>
        <v> </v>
      </c>
      <c r="I4042" s="25" t="str">
        <f>IF(OR(E4042="",E4042="!!!",F4042="NEW"),"",INDEX(B4041:B$2,-1+SUMPRODUCT(MAX(ROW(E4041:E$2)*(E4042=E4041:E$2)))))</f>
        <v> </v>
      </c>
      <c r="J4042" s="25" t="str">
        <f>IF(OR(E4042="",E4042="!!!",F4042="NEW"),"",COUNTBLANK(OFFSET(A$1,,,SUMPRODUCT(MAX(ROW(E$2:E4042)*(E4042=E$2:E4042)))))-COUNTBLANK(OFFSET(A$1,,,SUMPRODUCT(MAX(ROW(E$1:E4041)*(E2=E$1:E4041))))))</f>
        <v> </v>
      </c>
      <c r="K4042" s="25" t="str">
        <f>IF(OR(E4042="",E4042="!!!",F4042="NEW"),"",INDEX(J$1:J4041,SUMPRODUCT(MAX(ROW(E$1:E4041)*(E4042=E$1:E4041)))))</f>
        <v> </v>
      </c>
      <c r="L4042" s="26"/>
    </row>
    <row r="4043" spans="1:12">
      <c r="A4043" s="20" t="s">
        <v>753</v>
      </c>
      <c r="E4043" s="21">
        <f>IF(D4043="?OLD","!!!","")</f>
        <v/>
      </c>
      <c r="F4043" s="22" t="str">
        <f>IF(OR(E4043="",E4043="!!!"),"",IF(NOT(ISNA(VLOOKUP(E4043,E$1:E4042,1,FALSE()))),"OLD",IF(AND(E4043&lt;&gt;"",E4043&lt;&gt;"!!!"),"NEW","")))</f>
        <v> </v>
      </c>
      <c r="G4043" s="23" t="str">
        <f>IF(OR(E4043="",E4043="!!!"),"",IF(OR(J4043=0,AND(J4043=1,K4043=1),AND(J4043=1,I4043="SBJ"),AND(J4043=1,I4043=0)),"?IN_FOCUS",IF(J4043&lt;=2,"?ACTIVATED",IF(J4043&lt;&gt;"","?FAMILIAR",IF(F4043="NEW",IF(ISNA(VLOOKUP(E4043,#REF!,1,FALSE())),"?TYPE_IDENTIFIABLE","?REFERENTIAL"),"_")))))</f>
        <v> </v>
      </c>
      <c r="H4043" s="24" t="str">
        <f>IF(J4043&lt;&gt;1,"",IF(I4043="SBJ","CB","?"))</f>
        <v> </v>
      </c>
      <c r="I4043" s="25" t="str">
        <f>IF(OR(E4043="",E4043="!!!",F4043="NEW"),"",INDEX(B4042:B$2,-1+SUMPRODUCT(MAX(ROW(E4042:E$2)*(E4043=E4042:E$2)))))</f>
        <v> </v>
      </c>
      <c r="J4043" s="25" t="str">
        <f>IF(OR(E4043="",E4043="!!!",F4043="NEW"),"",COUNTBLANK(OFFSET(A$1,,,SUMPRODUCT(MAX(ROW(E$2:E4043)*(E4043=E$2:E4043)))))-COUNTBLANK(OFFSET(A$1,,,SUMPRODUCT(MAX(ROW(E$1:E4042)*(E2=E$1:E4042))))))</f>
        <v> </v>
      </c>
      <c r="K4043" s="25" t="str">
        <f>IF(OR(E4043="",E4043="!!!",F4043="NEW"),"",INDEX(J$1:J4042,SUMPRODUCT(MAX(ROW(E$1:E4042)*(E4043=E$1:E4042)))))</f>
        <v> </v>
      </c>
      <c r="L4043" s="26"/>
    </row>
    <row r="4044" spans="1:12">
      <c r="A4044" s="20" t="s">
        <v>1939</v>
      </c>
      <c r="E4044" s="21">
        <f>IF(D4044="?OLD","!!!","")</f>
        <v/>
      </c>
      <c r="F4044" s="22" t="str">
        <f>IF(OR(E4044="",E4044="!!!"),"",IF(NOT(ISNA(VLOOKUP(E4044,E$1:E4043,1,FALSE()))),"OLD",IF(AND(E4044&lt;&gt;"",E4044&lt;&gt;"!!!"),"NEW","")))</f>
        <v> </v>
      </c>
      <c r="G4044" s="23" t="str">
        <f>IF(OR(E4044="",E4044="!!!"),"",IF(OR(J4044=0,AND(J4044=1,K4044=1),AND(J4044=1,I4044="SBJ"),AND(J4044=1,I4044=0)),"?IN_FOCUS",IF(J4044&lt;=2,"?ACTIVATED",IF(J4044&lt;&gt;"","?FAMILIAR",IF(F4044="NEW",IF(ISNA(VLOOKUP(E4044,#REF!,1,FALSE())),"?TYPE_IDENTIFIABLE","?REFERENTIAL"),"_")))))</f>
        <v> </v>
      </c>
      <c r="H4044" s="24" t="str">
        <f>IF(J4044&lt;&gt;1,"",IF(I4044="SBJ","CB","?"))</f>
        <v> </v>
      </c>
      <c r="I4044" s="25" t="str">
        <f>IF(OR(E4044="",E4044="!!!",F4044="NEW"),"",INDEX(B4043:B$2,-1+SUMPRODUCT(MAX(ROW(E4043:E$2)*(E4044=E4043:E$2)))))</f>
        <v> </v>
      </c>
      <c r="J4044" s="25" t="str">
        <f>IF(OR(E4044="",E4044="!!!",F4044="NEW"),"",COUNTBLANK(OFFSET(A$1,,,SUMPRODUCT(MAX(ROW(E$2:E4044)*(E4044=E$2:E4044)))))-COUNTBLANK(OFFSET(A$1,,,SUMPRODUCT(MAX(ROW(E$1:E4043)*(E2=E$1:E4043))))))</f>
        <v> </v>
      </c>
      <c r="K4044" s="25" t="str">
        <f>IF(OR(E4044="",E4044="!!!",F4044="NEW"),"",INDEX(J$1:J4043,SUMPRODUCT(MAX(ROW(E$1:E4043)*(E4044=E$1:E4043)))))</f>
        <v> </v>
      </c>
      <c r="L4044" s="26"/>
    </row>
    <row r="4045" spans="1:12">
      <c r="A4045" s="20" t="s">
        <v>1260</v>
      </c>
      <c r="B4045" s="27" t="s">
        <v>935</v>
      </c>
      <c r="C4045" s="27" t="s">
        <v>749</v>
      </c>
      <c r="D4045" s="27" t="s">
        <v>740</v>
      </c>
      <c r="E4045" s="21">
        <f>IF(D4045="?OLD","!!!","")</f>
        <v/>
      </c>
      <c r="F4045" s="22" t="str">
        <f>IF(OR(E4045="",E4045="!!!"),"",IF(NOT(ISNA(VLOOKUP(E4045,E$1:E4044,1,FALSE()))),"OLD",IF(AND(E4045&lt;&gt;"",E4045&lt;&gt;"!!!"),"NEW","")))</f>
        <v> </v>
      </c>
      <c r="G4045" s="23" t="str">
        <f>IF(OR(E4045="",E4045="!!!"),"",IF(OR(J4045=0,AND(J4045=1,K4045=1),AND(J4045=1,I4045="SBJ"),AND(J4045=1,I4045=0)),"?IN_FOCUS",IF(J4045&lt;=2,"?ACTIVATED",IF(J4045&lt;&gt;"","?FAMILIAR",IF(F4045="NEW",IF(ISNA(VLOOKUP(E4045,#REF!,1,FALSE())),"?TYPE_IDENTIFIABLE","?REFERENTIAL"),"_")))))</f>
        <v> </v>
      </c>
      <c r="H4045" s="24" t="str">
        <f>IF(J4045&lt;&gt;1,"",IF(I4045="SBJ","CB","?"))</f>
        <v> </v>
      </c>
      <c r="I4045" s="25" t="str">
        <f>IF(OR(E4045="",E4045="!!!",F4045="NEW"),"",INDEX(B4044:B$2,-1+SUMPRODUCT(MAX(ROW(E4044:E$2)*(E4045=E4044:E$2)))))</f>
        <v> </v>
      </c>
      <c r="J4045" s="25" t="str">
        <f>IF(OR(E4045="",E4045="!!!",F4045="NEW"),"",COUNTBLANK(OFFSET(A$1,,,SUMPRODUCT(MAX(ROW(E$2:E4045)*(E4045=E$2:E4045)))))-COUNTBLANK(OFFSET(A$1,,,SUMPRODUCT(MAX(ROW(E$1:E4044)*(E2=E$1:E4044))))))</f>
        <v> </v>
      </c>
      <c r="K4045" s="25" t="str">
        <f>IF(OR(E4045="",E4045="!!!",F4045="NEW"),"",INDEX(J$1:J4044,SUMPRODUCT(MAX(ROW(E$1:E4044)*(E4045=E$1:E4044)))))</f>
        <v> </v>
      </c>
      <c r="L4045" s="26"/>
    </row>
    <row r="4046" spans="1:12">
      <c r="A4046" s="20" t="s">
        <v>790</v>
      </c>
      <c r="E4046" s="21">
        <f>IF(D4046="?OLD","!!!","")</f>
        <v/>
      </c>
      <c r="F4046" s="22" t="str">
        <f>IF(OR(E4046="",E4046="!!!"),"",IF(NOT(ISNA(VLOOKUP(E4046,E$1:E4045,1,FALSE()))),"OLD",IF(AND(E4046&lt;&gt;"",E4046&lt;&gt;"!!!"),"NEW","")))</f>
        <v> </v>
      </c>
      <c r="G4046" s="23" t="str">
        <f>IF(OR(E4046="",E4046="!!!"),"",IF(OR(J4046=0,AND(J4046=1,K4046=1),AND(J4046=1,I4046="SBJ"),AND(J4046=1,I4046=0)),"?IN_FOCUS",IF(J4046&lt;=2,"?ACTIVATED",IF(J4046&lt;&gt;"","?FAMILIAR",IF(F4046="NEW",IF(ISNA(VLOOKUP(E4046,#REF!,1,FALSE())),"?TYPE_IDENTIFIABLE","?REFERENTIAL"),"_")))))</f>
        <v> </v>
      </c>
      <c r="H4046" s="24" t="str">
        <f>IF(J4046&lt;&gt;1,"",IF(I4046="SBJ","CB","?"))</f>
        <v> </v>
      </c>
      <c r="I4046" s="25" t="str">
        <f>IF(OR(E4046="",E4046="!!!",F4046="NEW"),"",INDEX(B4045:B$2,-1+SUMPRODUCT(MAX(ROW(E4045:E$2)*(E4046=E4045:E$2)))))</f>
        <v> </v>
      </c>
      <c r="J4046" s="25" t="str">
        <f>IF(OR(E4046="",E4046="!!!",F4046="NEW"),"",COUNTBLANK(OFFSET(A$1,,,SUMPRODUCT(MAX(ROW(E$2:E4046)*(E4046=E$2:E4046)))))-COUNTBLANK(OFFSET(A$1,,,SUMPRODUCT(MAX(ROW(E$1:E4045)*(E2=E$1:E4045))))))</f>
        <v> </v>
      </c>
      <c r="K4046" s="25" t="str">
        <f>IF(OR(E4046="",E4046="!!!",F4046="NEW"),"",INDEX(J$1:J4045,SUMPRODUCT(MAX(ROW(E$1:E4045)*(E4046=E$1:E4045)))))</f>
        <v> </v>
      </c>
      <c r="L4046" s="26"/>
    </row>
    <row r="4047" spans="1:12">
      <c r="A4047" s="20" t="s">
        <v>883</v>
      </c>
      <c r="E4047" s="21">
        <f>IF(D4047="?OLD","!!!","")</f>
        <v/>
      </c>
      <c r="F4047" s="22" t="str">
        <f>IF(OR(E4047="",E4047="!!!"),"",IF(NOT(ISNA(VLOOKUP(E4047,E$1:E4046,1,FALSE()))),"OLD",IF(AND(E4047&lt;&gt;"",E4047&lt;&gt;"!!!"),"NEW","")))</f>
        <v> </v>
      </c>
      <c r="G4047" s="23" t="str">
        <f>IF(OR(E4047="",E4047="!!!"),"",IF(OR(J4047=0,AND(J4047=1,K4047=1),AND(J4047=1,I4047="SBJ"),AND(J4047=1,I4047=0)),"?IN_FOCUS",IF(J4047&lt;=2,"?ACTIVATED",IF(J4047&lt;&gt;"","?FAMILIAR",IF(F4047="NEW",IF(ISNA(VLOOKUP(E4047,#REF!,1,FALSE())),"?TYPE_IDENTIFIABLE","?REFERENTIAL"),"_")))))</f>
        <v> </v>
      </c>
      <c r="H4047" s="24" t="str">
        <f>IF(J4047&lt;&gt;1,"",IF(I4047="SBJ","CB","?"))</f>
        <v> </v>
      </c>
      <c r="I4047" s="25" t="str">
        <f>IF(OR(E4047="",E4047="!!!",F4047="NEW"),"",INDEX(B4046:B$2,-1+SUMPRODUCT(MAX(ROW(E4046:E$2)*(E4047=E4046:E$2)))))</f>
        <v> </v>
      </c>
      <c r="J4047" s="25" t="str">
        <f>IF(OR(E4047="",E4047="!!!",F4047="NEW"),"",COUNTBLANK(OFFSET(A$1,,,SUMPRODUCT(MAX(ROW(E$2:E4047)*(E4047=E$2:E4047)))))-COUNTBLANK(OFFSET(A$1,,,SUMPRODUCT(MAX(ROW(E$1:E4046)*(E2=E$1:E4046))))))</f>
        <v> </v>
      </c>
      <c r="K4047" s="25" t="str">
        <f>IF(OR(E4047="",E4047="!!!",F4047="NEW"),"",INDEX(J$1:J4046,SUMPRODUCT(MAX(ROW(E$1:E4046)*(E4047=E$1:E4046)))))</f>
        <v> </v>
      </c>
      <c r="L4047" s="26"/>
    </row>
    <row r="4048" spans="1:12">
      <c r="A4048" s="20" t="s">
        <v>1940</v>
      </c>
      <c r="E4048" s="21">
        <f>IF(D4048="?OLD","!!!","")</f>
        <v/>
      </c>
      <c r="F4048" s="22" t="str">
        <f>IF(OR(E4048="",E4048="!!!"),"",IF(NOT(ISNA(VLOOKUP(E4048,E$1:E4047,1,FALSE()))),"OLD",IF(AND(E4048&lt;&gt;"",E4048&lt;&gt;"!!!"),"NEW","")))</f>
        <v> </v>
      </c>
      <c r="G4048" s="23" t="str">
        <f>IF(OR(E4048="",E4048="!!!"),"",IF(OR(J4048=0,AND(J4048=1,K4048=1),AND(J4048=1,I4048="SBJ"),AND(J4048=1,I4048=0)),"?IN_FOCUS",IF(J4048&lt;=2,"?ACTIVATED",IF(J4048&lt;&gt;"","?FAMILIAR",IF(F4048="NEW",IF(ISNA(VLOOKUP(E4048,#REF!,1,FALSE())),"?TYPE_IDENTIFIABLE","?REFERENTIAL"),"_")))))</f>
        <v> </v>
      </c>
      <c r="H4048" s="24" t="str">
        <f>IF(J4048&lt;&gt;1,"",IF(I4048="SBJ","CB","?"))</f>
        <v> </v>
      </c>
      <c r="I4048" s="25" t="str">
        <f>IF(OR(E4048="",E4048="!!!",F4048="NEW"),"",INDEX(B4047:B$2,-1+SUMPRODUCT(MAX(ROW(E4047:E$2)*(E4048=E4047:E$2)))))</f>
        <v> </v>
      </c>
      <c r="J4048" s="25" t="str">
        <f>IF(OR(E4048="",E4048="!!!",F4048="NEW"),"",COUNTBLANK(OFFSET(A$1,,,SUMPRODUCT(MAX(ROW(E$2:E4048)*(E4048=E$2:E4048)))))-COUNTBLANK(OFFSET(A$1,,,SUMPRODUCT(MAX(ROW(E$1:E4047)*(E2=E$1:E4047))))))</f>
        <v> </v>
      </c>
      <c r="K4048" s="25" t="str">
        <f>IF(OR(E4048="",E4048="!!!",F4048="NEW"),"",INDEX(J$1:J4047,SUMPRODUCT(MAX(ROW(E$1:E4047)*(E4048=E$1:E4047)))))</f>
        <v> </v>
      </c>
      <c r="L4048" s="26"/>
    </row>
    <row r="4049" spans="1:12">
      <c r="A4049" s="20" t="s">
        <v>1941</v>
      </c>
      <c r="B4049" s="27" t="s">
        <v>1037</v>
      </c>
      <c r="C4049" s="27" t="s">
        <v>739</v>
      </c>
      <c r="D4049" s="27" t="s">
        <v>740</v>
      </c>
      <c r="E4049" s="21">
        <f>IF(D4049="?OLD","!!!","")</f>
        <v/>
      </c>
      <c r="F4049" s="22" t="str">
        <f>IF(OR(E4049="",E4049="!!!"),"",IF(NOT(ISNA(VLOOKUP(E4049,E$1:E4048,1,FALSE()))),"OLD",IF(AND(E4049&lt;&gt;"",E4049&lt;&gt;"!!!"),"NEW","")))</f>
        <v> </v>
      </c>
      <c r="G4049" s="23" t="str">
        <f>IF(OR(E4049="",E4049="!!!"),"",IF(OR(J4049=0,AND(J4049=1,K4049=1),AND(J4049=1,I4049="SBJ"),AND(J4049=1,I4049=0)),"?IN_FOCUS",IF(J4049&lt;=2,"?ACTIVATED",IF(J4049&lt;&gt;"","?FAMILIAR",IF(F4049="NEW",IF(ISNA(VLOOKUP(E4049,#REF!,1,FALSE())),"?TYPE_IDENTIFIABLE","?REFERENTIAL"),"_")))))</f>
        <v> </v>
      </c>
      <c r="H4049" s="24" t="str">
        <f>IF(J4049&lt;&gt;1,"",IF(I4049="SBJ","CB","?"))</f>
        <v> </v>
      </c>
      <c r="I4049" s="25" t="str">
        <f>IF(OR(E4049="",E4049="!!!",F4049="NEW"),"",INDEX(B4048:B$2,-1+SUMPRODUCT(MAX(ROW(E4048:E$2)*(E4049=E4048:E$2)))))</f>
        <v> </v>
      </c>
      <c r="J4049" s="25" t="str">
        <f>IF(OR(E4049="",E4049="!!!",F4049="NEW"),"",COUNTBLANK(OFFSET(A$1,,,SUMPRODUCT(MAX(ROW(E$2:E4049)*(E4049=E$2:E4049)))))-COUNTBLANK(OFFSET(A$1,,,SUMPRODUCT(MAX(ROW(E$1:E4048)*(E2=E$1:E4048))))))</f>
        <v> </v>
      </c>
      <c r="K4049" s="25" t="str">
        <f>IF(OR(E4049="",E4049="!!!",F4049="NEW"),"",INDEX(J$1:J4048,SUMPRODUCT(MAX(ROW(E$1:E4048)*(E4049=E$1:E4048)))))</f>
        <v> </v>
      </c>
      <c r="L4049" s="26"/>
    </row>
    <row r="4050" spans="1:12">
      <c r="A4050" s="20" t="s">
        <v>1905</v>
      </c>
      <c r="E4050" s="21">
        <f>IF(D4050="?OLD","!!!","")</f>
        <v/>
      </c>
      <c r="F4050" s="22" t="str">
        <f>IF(OR(E4050="",E4050="!!!"),"",IF(NOT(ISNA(VLOOKUP(E4050,E$1:E4049,1,FALSE()))),"OLD",IF(AND(E4050&lt;&gt;"",E4050&lt;&gt;"!!!"),"NEW","")))</f>
        <v> </v>
      </c>
      <c r="G4050" s="23" t="str">
        <f>IF(OR(E4050="",E4050="!!!"),"",IF(OR(J4050=0,AND(J4050=1,K4050=1),AND(J4050=1,I4050="SBJ"),AND(J4050=1,I4050=0)),"?IN_FOCUS",IF(J4050&lt;=2,"?ACTIVATED",IF(J4050&lt;&gt;"","?FAMILIAR",IF(F4050="NEW",IF(ISNA(VLOOKUP(E4050,#REF!,1,FALSE())),"?TYPE_IDENTIFIABLE","?REFERENTIAL"),"_")))))</f>
        <v> </v>
      </c>
      <c r="H4050" s="24" t="str">
        <f>IF(J4050&lt;&gt;1,"",IF(I4050="SBJ","CB","?"))</f>
        <v> </v>
      </c>
      <c r="I4050" s="25" t="str">
        <f>IF(OR(E4050="",E4050="!!!",F4050="NEW"),"",INDEX(B4049:B$2,-1+SUMPRODUCT(MAX(ROW(E4049:E$2)*(E4050=E4049:E$2)))))</f>
        <v> </v>
      </c>
      <c r="J4050" s="25" t="str">
        <f>IF(OR(E4050="",E4050="!!!",F4050="NEW"),"",COUNTBLANK(OFFSET(A$1,,,SUMPRODUCT(MAX(ROW(E$2:E4050)*(E4050=E$2:E4050)))))-COUNTBLANK(OFFSET(A$1,,,SUMPRODUCT(MAX(ROW(E$1:E4049)*(E2=E$1:E4049))))))</f>
        <v> </v>
      </c>
      <c r="K4050" s="25" t="str">
        <f>IF(OR(E4050="",E4050="!!!",F4050="NEW"),"",INDEX(J$1:J4049,SUMPRODUCT(MAX(ROW(E$1:E4049)*(E4050=E$1:E4049)))))</f>
        <v> </v>
      </c>
      <c r="L4050" s="26"/>
    </row>
    <row r="4051" spans="1:12">
      <c r="A4051" s="20" t="s">
        <v>1480</v>
      </c>
      <c r="E4051" s="21">
        <f>IF(D4051="?OLD","!!!","")</f>
        <v/>
      </c>
      <c r="F4051" s="22" t="str">
        <f>IF(OR(E4051="",E4051="!!!"),"",IF(NOT(ISNA(VLOOKUP(E4051,E$1:E4050,1,FALSE()))),"OLD",IF(AND(E4051&lt;&gt;"",E4051&lt;&gt;"!!!"),"NEW","")))</f>
        <v> </v>
      </c>
      <c r="G4051" s="23" t="str">
        <f>IF(OR(E4051="",E4051="!!!"),"",IF(OR(J4051=0,AND(J4051=1,K4051=1),AND(J4051=1,I4051="SBJ"),AND(J4051=1,I4051=0)),"?IN_FOCUS",IF(J4051&lt;=2,"?ACTIVATED",IF(J4051&lt;&gt;"","?FAMILIAR",IF(F4051="NEW",IF(ISNA(VLOOKUP(E4051,#REF!,1,FALSE())),"?TYPE_IDENTIFIABLE","?REFERENTIAL"),"_")))))</f>
        <v> </v>
      </c>
      <c r="H4051" s="24" t="str">
        <f>IF(J4051&lt;&gt;1,"",IF(I4051="SBJ","CB","?"))</f>
        <v> </v>
      </c>
      <c r="I4051" s="25" t="str">
        <f>IF(OR(E4051="",E4051="!!!",F4051="NEW"),"",INDEX(B4050:B$2,-1+SUMPRODUCT(MAX(ROW(E4050:E$2)*(E4051=E4050:E$2)))))</f>
        <v> </v>
      </c>
      <c r="J4051" s="25" t="str">
        <f>IF(OR(E4051="",E4051="!!!",F4051="NEW"),"",COUNTBLANK(OFFSET(A$1,,,SUMPRODUCT(MAX(ROW(E$2:E4051)*(E4051=E$2:E4051)))))-COUNTBLANK(OFFSET(A$1,,,SUMPRODUCT(MAX(ROW(E$1:E4050)*(E2=E$1:E4050))))))</f>
        <v> </v>
      </c>
      <c r="K4051" s="25" t="str">
        <f>IF(OR(E4051="",E4051="!!!",F4051="NEW"),"",INDEX(J$1:J4050,SUMPRODUCT(MAX(ROW(E$1:E4050)*(E4051=E$1:E4050)))))</f>
        <v> </v>
      </c>
      <c r="L4051" s="26"/>
    </row>
    <row r="4052" spans="1:12">
      <c r="A4052" s="20" t="s">
        <v>746</v>
      </c>
      <c r="E4052" s="21">
        <f>IF(D4052="?OLD","!!!","")</f>
        <v/>
      </c>
      <c r="F4052" s="22" t="str">
        <f>IF(OR(E4052="",E4052="!!!"),"",IF(NOT(ISNA(VLOOKUP(E4052,E$1:E4051,1,FALSE()))),"OLD",IF(AND(E4052&lt;&gt;"",E4052&lt;&gt;"!!!"),"NEW","")))</f>
        <v> </v>
      </c>
      <c r="G4052" s="23" t="str">
        <f>IF(OR(E4052="",E4052="!!!"),"",IF(OR(J4052=0,AND(J4052=1,K4052=1),AND(J4052=1,I4052="SBJ"),AND(J4052=1,I4052=0)),"?IN_FOCUS",IF(J4052&lt;=2,"?ACTIVATED",IF(J4052&lt;&gt;"","?FAMILIAR",IF(F4052="NEW",IF(ISNA(VLOOKUP(E4052,#REF!,1,FALSE())),"?TYPE_IDENTIFIABLE","?REFERENTIAL"),"_")))))</f>
        <v> </v>
      </c>
      <c r="H4052" s="24" t="str">
        <f>IF(J4052&lt;&gt;1,"",IF(I4052="SBJ","CB","?"))</f>
        <v> </v>
      </c>
      <c r="I4052" s="25" t="str">
        <f>IF(OR(E4052="",E4052="!!!",F4052="NEW"),"",INDEX(B4051:B$2,-1+SUMPRODUCT(MAX(ROW(E4051:E$2)*(E4052=E4051:E$2)))))</f>
        <v> </v>
      </c>
      <c r="J4052" s="25" t="str">
        <f>IF(OR(E4052="",E4052="!!!",F4052="NEW"),"",COUNTBLANK(OFFSET(A$1,,,SUMPRODUCT(MAX(ROW(E$2:E4052)*(E4052=E$2:E4052)))))-COUNTBLANK(OFFSET(A$1,,,SUMPRODUCT(MAX(ROW(E$1:E4051)*(E2=E$1:E4051))))))</f>
        <v> </v>
      </c>
      <c r="K4052" s="25" t="str">
        <f>IF(OR(E4052="",E4052="!!!",F4052="NEW"),"",INDEX(J$1:J4051,SUMPRODUCT(MAX(ROW(E$1:E4051)*(E4052=E$1:E4051)))))</f>
        <v> </v>
      </c>
      <c r="L4052" s="26"/>
    </row>
    <row r="4053" spans="1:12">
      <c r="A4053" s="20"/>
    </row>
    <row r="4054" spans="1:12">
      <c r="A4054" s="20" t="s">
        <v>1942</v>
      </c>
    </row>
    <row r="4055" spans="1:12">
      <c r="A4055" s="20" t="s">
        <v>868</v>
      </c>
      <c r="E4055" s="21">
        <f>IF(D4055="?OLD","!!!","")</f>
        <v/>
      </c>
      <c r="F4055" s="22" t="str">
        <f>IF(OR(E4055="",E4055="!!!"),"",IF(NOT(ISNA(VLOOKUP(E4055,E$1:E4054,1,FALSE()))),"OLD",IF(AND(E4055&lt;&gt;"",E4055&lt;&gt;"!!!"),"NEW","")))</f>
        <v> </v>
      </c>
      <c r="G4055" s="23" t="str">
        <f>IF(OR(E4055="",E4055="!!!"),"",IF(OR(J4055=0,AND(J4055=1,K4055=1),AND(J4055=1,I4055="SBJ"),AND(J4055=1,I4055=0)),"?IN_FOCUS",IF(J4055&lt;=2,"?ACTIVATED",IF(J4055&lt;&gt;"","?FAMILIAR",IF(F4055="NEW",IF(ISNA(VLOOKUP(E4055,#REF!,1,FALSE())),"?TYPE_IDENTIFIABLE","?REFERENTIAL"),"_")))))</f>
        <v> </v>
      </c>
      <c r="H4055" s="24" t="str">
        <f>IF(J4055&lt;&gt;1,"",IF(I4055="SBJ","CB","?"))</f>
        <v> </v>
      </c>
      <c r="I4055" s="25" t="str">
        <f>IF(OR(E4055="",E4055="!!!",F4055="NEW"),"",INDEX(B4054:B$2,-1+SUMPRODUCT(MAX(ROW(E4054:E$2)*(E4055=E4054:E$2)))))</f>
        <v> </v>
      </c>
      <c r="J4055" s="25" t="str">
        <f>IF(OR(E4055="",E4055="!!!",F4055="NEW"),"",COUNTBLANK(OFFSET(A$1,,,SUMPRODUCT(MAX(ROW(E$2:E4055)*(E4055=E$2:E4055)))))-COUNTBLANK(OFFSET(A$1,,,SUMPRODUCT(MAX(ROW(E$1:E4054)*(E2=E$1:E4054))))))</f>
        <v> </v>
      </c>
      <c r="K4055" s="25" t="str">
        <f>IF(OR(E4055="",E4055="!!!",F4055="NEW"),"",INDEX(J$1:J4054,SUMPRODUCT(MAX(ROW(E$1:E4054)*(E4055=E$1:E4054)))))</f>
        <v> </v>
      </c>
      <c r="L4055" s="26"/>
    </row>
    <row r="4056" spans="1:12">
      <c r="A4056" s="20" t="s">
        <v>1943</v>
      </c>
      <c r="B4056" s="27" t="s">
        <v>728</v>
      </c>
      <c r="C4056" s="27" t="s">
        <v>848</v>
      </c>
      <c r="E4056" s="21">
        <f>IF(D4056="?OLD","!!!","")</f>
        <v/>
      </c>
      <c r="F4056" s="22" t="str">
        <f>IF(OR(E4056="",E4056="!!!"),"",IF(NOT(ISNA(VLOOKUP(E4056,E$1:E4055,1,FALSE()))),"OLD",IF(AND(E4056&lt;&gt;"",E4056&lt;&gt;"!!!"),"NEW","")))</f>
        <v> </v>
      </c>
      <c r="G4056" s="23" t="str">
        <f>IF(OR(E4056="",E4056="!!!"),"",IF(OR(J4056=0,AND(J4056=1,K4056=1),AND(J4056=1,I4056="SBJ"),AND(J4056=1,I4056=0)),"?IN_FOCUS",IF(J4056&lt;=2,"?ACTIVATED",IF(J4056&lt;&gt;"","?FAMILIAR",IF(F4056="NEW",IF(ISNA(VLOOKUP(E4056,#REF!,1,FALSE())),"?TYPE_IDENTIFIABLE","?REFERENTIAL"),"_")))))</f>
        <v> </v>
      </c>
      <c r="H4056" s="24" t="str">
        <f>IF(J4056&lt;&gt;1,"",IF(I4056="SBJ","CB","?"))</f>
        <v> </v>
      </c>
      <c r="I4056" s="25" t="str">
        <f>IF(OR(E4056="",E4056="!!!",F4056="NEW"),"",INDEX(B4055:B$2,-1+SUMPRODUCT(MAX(ROW(E4055:E$2)*(E4056=E4055:E$2)))))</f>
        <v> </v>
      </c>
      <c r="J4056" s="25" t="str">
        <f>IF(OR(E4056="",E4056="!!!",F4056="NEW"),"",COUNTBLANK(OFFSET(A$1,,,SUMPRODUCT(MAX(ROW(E$2:E4056)*(E4056=E$2:E4056)))))-COUNTBLANK(OFFSET(A$1,,,SUMPRODUCT(MAX(ROW(E$1:E4055)*(E2=E$1:E4055))))))</f>
        <v> </v>
      </c>
      <c r="K4056" s="25" t="str">
        <f>IF(OR(E4056="",E4056="!!!",F4056="NEW"),"",INDEX(J$1:J4055,SUMPRODUCT(MAX(ROW(E$1:E4055)*(E4056=E$1:E4055)))))</f>
        <v> </v>
      </c>
      <c r="L4056" s="26"/>
    </row>
    <row r="4057" spans="1:12">
      <c r="A4057" s="20" t="s">
        <v>750</v>
      </c>
      <c r="E4057" s="21">
        <f>IF(D4057="?OLD","!!!","")</f>
        <v/>
      </c>
      <c r="F4057" s="22" t="str">
        <f>IF(OR(E4057="",E4057="!!!"),"",IF(NOT(ISNA(VLOOKUP(E4057,E$1:E4056,1,FALSE()))),"OLD",IF(AND(E4057&lt;&gt;"",E4057&lt;&gt;"!!!"),"NEW","")))</f>
        <v> </v>
      </c>
      <c r="G4057" s="23" t="str">
        <f>IF(OR(E4057="",E4057="!!!"),"",IF(OR(J4057=0,AND(J4057=1,K4057=1),AND(J4057=1,I4057="SBJ"),AND(J4057=1,I4057=0)),"?IN_FOCUS",IF(J4057&lt;=2,"?ACTIVATED",IF(J4057&lt;&gt;"","?FAMILIAR",IF(F4057="NEW",IF(ISNA(VLOOKUP(E4057,#REF!,1,FALSE())),"?TYPE_IDENTIFIABLE","?REFERENTIAL"),"_")))))</f>
        <v> </v>
      </c>
      <c r="H4057" s="24" t="str">
        <f>IF(J4057&lt;&gt;1,"",IF(I4057="SBJ","CB","?"))</f>
        <v> </v>
      </c>
      <c r="I4057" s="25" t="str">
        <f>IF(OR(E4057="",E4057="!!!",F4057="NEW"),"",INDEX(B4056:B$2,-1+SUMPRODUCT(MAX(ROW(E4056:E$2)*(E4057=E4056:E$2)))))</f>
        <v> </v>
      </c>
      <c r="J4057" s="25" t="str">
        <f>IF(OR(E4057="",E4057="!!!",F4057="NEW"),"",COUNTBLANK(OFFSET(A$1,,,SUMPRODUCT(MAX(ROW(E$2:E4057)*(E4057=E$2:E4057)))))-COUNTBLANK(OFFSET(A$1,,,SUMPRODUCT(MAX(ROW(E$1:E4056)*(E2=E$1:E4056))))))</f>
        <v> </v>
      </c>
      <c r="K4057" s="25" t="str">
        <f>IF(OR(E4057="",E4057="!!!",F4057="NEW"),"",INDEX(J$1:J4056,SUMPRODUCT(MAX(ROW(E$1:E4056)*(E4057=E$1:E4056)))))</f>
        <v> </v>
      </c>
      <c r="L4057" s="26"/>
    </row>
    <row r="4058" spans="1:12">
      <c r="A4058" s="20" t="s">
        <v>818</v>
      </c>
      <c r="E4058" s="21">
        <f>IF(D4058="?OLD","!!!","")</f>
        <v/>
      </c>
      <c r="F4058" s="22" t="str">
        <f>IF(OR(E4058="",E4058="!!!"),"",IF(NOT(ISNA(VLOOKUP(E4058,E$1:E4057,1,FALSE()))),"OLD",IF(AND(E4058&lt;&gt;"",E4058&lt;&gt;"!!!"),"NEW","")))</f>
        <v> </v>
      </c>
      <c r="G4058" s="23" t="str">
        <f>IF(OR(E4058="",E4058="!!!"),"",IF(OR(J4058=0,AND(J4058=1,K4058=1),AND(J4058=1,I4058="SBJ"),AND(J4058=1,I4058=0)),"?IN_FOCUS",IF(J4058&lt;=2,"?ACTIVATED",IF(J4058&lt;&gt;"","?FAMILIAR",IF(F4058="NEW",IF(ISNA(VLOOKUP(E4058,#REF!,1,FALSE())),"?TYPE_IDENTIFIABLE","?REFERENTIAL"),"_")))))</f>
        <v> </v>
      </c>
      <c r="H4058" s="24" t="str">
        <f>IF(J4058&lt;&gt;1,"",IF(I4058="SBJ","CB","?"))</f>
        <v> </v>
      </c>
      <c r="I4058" s="25" t="str">
        <f>IF(OR(E4058="",E4058="!!!",F4058="NEW"),"",INDEX(B4057:B$2,-1+SUMPRODUCT(MAX(ROW(E4057:E$2)*(E4058=E4057:E$2)))))</f>
        <v> </v>
      </c>
      <c r="J4058" s="25" t="str">
        <f>IF(OR(E4058="",E4058="!!!",F4058="NEW"),"",COUNTBLANK(OFFSET(A$1,,,SUMPRODUCT(MAX(ROW(E$2:E4058)*(E4058=E$2:E4058)))))-COUNTBLANK(OFFSET(A$1,,,SUMPRODUCT(MAX(ROW(E$1:E4057)*(E2=E$1:E4057))))))</f>
        <v> </v>
      </c>
      <c r="K4058" s="25" t="str">
        <f>IF(OR(E4058="",E4058="!!!",F4058="NEW"),"",INDEX(J$1:J4057,SUMPRODUCT(MAX(ROW(E$1:E4057)*(E4058=E$1:E4057)))))</f>
        <v> </v>
      </c>
      <c r="L4058" s="26"/>
    </row>
    <row r="4059" spans="1:12">
      <c r="A4059" s="20" t="s">
        <v>1944</v>
      </c>
      <c r="E4059" s="21">
        <f>IF(D4059="?OLD","!!!","")</f>
        <v/>
      </c>
      <c r="F4059" s="22" t="str">
        <f>IF(OR(E4059="",E4059="!!!"),"",IF(NOT(ISNA(VLOOKUP(E4059,E$1:E4058,1,FALSE()))),"OLD",IF(AND(E4059&lt;&gt;"",E4059&lt;&gt;"!!!"),"NEW","")))</f>
        <v> </v>
      </c>
      <c r="G4059" s="23" t="str">
        <f>IF(OR(E4059="",E4059="!!!"),"",IF(OR(J4059=0,AND(J4059=1,K4059=1),AND(J4059=1,I4059="SBJ"),AND(J4059=1,I4059=0)),"?IN_FOCUS",IF(J4059&lt;=2,"?ACTIVATED",IF(J4059&lt;&gt;"","?FAMILIAR",IF(F4059="NEW",IF(ISNA(VLOOKUP(E4059,#REF!,1,FALSE())),"?TYPE_IDENTIFIABLE","?REFERENTIAL"),"_")))))</f>
        <v> </v>
      </c>
      <c r="H4059" s="24" t="str">
        <f>IF(J4059&lt;&gt;1,"",IF(I4059="SBJ","CB","?"))</f>
        <v> </v>
      </c>
      <c r="I4059" s="25" t="str">
        <f>IF(OR(E4059="",E4059="!!!",F4059="NEW"),"",INDEX(B4058:B$2,-1+SUMPRODUCT(MAX(ROW(E4058:E$2)*(E4059=E4058:E$2)))))</f>
        <v> </v>
      </c>
      <c r="J4059" s="25" t="str">
        <f>IF(OR(E4059="",E4059="!!!",F4059="NEW"),"",COUNTBLANK(OFFSET(A$1,,,SUMPRODUCT(MAX(ROW(E$2:E4059)*(E4059=E$2:E4059)))))-COUNTBLANK(OFFSET(A$1,,,SUMPRODUCT(MAX(ROW(E$1:E4058)*(E2=E$1:E4058))))))</f>
        <v> </v>
      </c>
      <c r="K4059" s="25" t="str">
        <f>IF(OR(E4059="",E4059="!!!",F4059="NEW"),"",INDEX(J$1:J4058,SUMPRODUCT(MAX(ROW(E$1:E4058)*(E4059=E$1:E4058)))))</f>
        <v> </v>
      </c>
      <c r="L4059" s="26"/>
    </row>
    <row r="4060" spans="1:12">
      <c r="A4060" s="20" t="s">
        <v>1417</v>
      </c>
      <c r="B4060" s="27" t="s">
        <v>756</v>
      </c>
      <c r="C4060" s="27" t="s">
        <v>739</v>
      </c>
      <c r="D4060" s="27" t="s">
        <v>740</v>
      </c>
      <c r="E4060" s="21">
        <f>IF(D4060="?OLD","!!!","")</f>
        <v/>
      </c>
      <c r="F4060" s="22" t="str">
        <f>IF(OR(E4060="",E4060="!!!"),"",IF(NOT(ISNA(VLOOKUP(E4060,E$1:E4059,1,FALSE()))),"OLD",IF(AND(E4060&lt;&gt;"",E4060&lt;&gt;"!!!"),"NEW","")))</f>
        <v> </v>
      </c>
      <c r="G4060" s="23" t="str">
        <f>IF(OR(E4060="",E4060="!!!"),"",IF(OR(J4060=0,AND(J4060=1,K4060=1),AND(J4060=1,I4060="SBJ"),AND(J4060=1,I4060=0)),"?IN_FOCUS",IF(J4060&lt;=2,"?ACTIVATED",IF(J4060&lt;&gt;"","?FAMILIAR",IF(F4060="NEW",IF(ISNA(VLOOKUP(E4060,#REF!,1,FALSE())),"?TYPE_IDENTIFIABLE","?REFERENTIAL"),"_")))))</f>
        <v> </v>
      </c>
      <c r="H4060" s="24" t="str">
        <f>IF(J4060&lt;&gt;1,"",IF(I4060="SBJ","CB","?"))</f>
        <v> </v>
      </c>
      <c r="I4060" s="25" t="str">
        <f>IF(OR(E4060="",E4060="!!!",F4060="NEW"),"",INDEX(B4059:B$2,-1+SUMPRODUCT(MAX(ROW(E4059:E$2)*(E4060=E4059:E$2)))))</f>
        <v> </v>
      </c>
      <c r="J4060" s="25" t="str">
        <f>IF(OR(E4060="",E4060="!!!",F4060="NEW"),"",COUNTBLANK(OFFSET(A$1,,,SUMPRODUCT(MAX(ROW(E$2:E4060)*(E4060=E$2:E4060)))))-COUNTBLANK(OFFSET(A$1,,,SUMPRODUCT(MAX(ROW(E$1:E4059)*(E2=E$1:E4059))))))</f>
        <v> </v>
      </c>
      <c r="K4060" s="25" t="str">
        <f>IF(OR(E4060="",E4060="!!!",F4060="NEW"),"",INDEX(J$1:J4059,SUMPRODUCT(MAX(ROW(E$1:E4059)*(E4060=E$1:E4059)))))</f>
        <v> </v>
      </c>
      <c r="L4060" s="26"/>
    </row>
    <row r="4061" spans="1:12">
      <c r="A4061" s="20" t="s">
        <v>999</v>
      </c>
      <c r="E4061" s="21">
        <f>IF(D4061="?OLD","!!!","")</f>
        <v/>
      </c>
      <c r="F4061" s="22" t="str">
        <f>IF(OR(E4061="",E4061="!!!"),"",IF(NOT(ISNA(VLOOKUP(E4061,E$1:E4060,1,FALSE()))),"OLD",IF(AND(E4061&lt;&gt;"",E4061&lt;&gt;"!!!"),"NEW","")))</f>
        <v> </v>
      </c>
      <c r="G4061" s="23" t="str">
        <f>IF(OR(E4061="",E4061="!!!"),"",IF(OR(J4061=0,AND(J4061=1,K4061=1),AND(J4061=1,I4061="SBJ"),AND(J4061=1,I4061=0)),"?IN_FOCUS",IF(J4061&lt;=2,"?ACTIVATED",IF(J4061&lt;&gt;"","?FAMILIAR",IF(F4061="NEW",IF(ISNA(VLOOKUP(E4061,#REF!,1,FALSE())),"?TYPE_IDENTIFIABLE","?REFERENTIAL"),"_")))))</f>
        <v> </v>
      </c>
      <c r="H4061" s="24" t="str">
        <f>IF(J4061&lt;&gt;1,"",IF(I4061="SBJ","CB","?"))</f>
        <v> </v>
      </c>
      <c r="I4061" s="25" t="str">
        <f>IF(OR(E4061="",E4061="!!!",F4061="NEW"),"",INDEX(B4060:B$2,-1+SUMPRODUCT(MAX(ROW(E4060:E$2)*(E4061=E4060:E$2)))))</f>
        <v> </v>
      </c>
      <c r="J4061" s="25" t="str">
        <f>IF(OR(E4061="",E4061="!!!",F4061="NEW"),"",COUNTBLANK(OFFSET(A$1,,,SUMPRODUCT(MAX(ROW(E$2:E4061)*(E4061=E$2:E4061)))))-COUNTBLANK(OFFSET(A$1,,,SUMPRODUCT(MAX(ROW(E$1:E4060)*(E2=E$1:E4060))))))</f>
        <v> </v>
      </c>
      <c r="K4061" s="25" t="str">
        <f>IF(OR(E4061="",E4061="!!!",F4061="NEW"),"",INDEX(J$1:J4060,SUMPRODUCT(MAX(ROW(E$1:E4060)*(E4061=E$1:E4060)))))</f>
        <v> </v>
      </c>
      <c r="L4061" s="26"/>
    </row>
    <row r="4062" spans="1:12">
      <c r="A4062" s="20" t="s">
        <v>1142</v>
      </c>
      <c r="E4062" s="21">
        <f>IF(D4062="?OLD","!!!","")</f>
        <v/>
      </c>
      <c r="F4062" s="22" t="str">
        <f>IF(OR(E4062="",E4062="!!!"),"",IF(NOT(ISNA(VLOOKUP(E4062,E$1:E4061,1,FALSE()))),"OLD",IF(AND(E4062&lt;&gt;"",E4062&lt;&gt;"!!!"),"NEW","")))</f>
        <v> </v>
      </c>
      <c r="G4062" s="23" t="str">
        <f>IF(OR(E4062="",E4062="!!!"),"",IF(OR(J4062=0,AND(J4062=1,K4062=1),AND(J4062=1,I4062="SBJ"),AND(J4062=1,I4062=0)),"?IN_FOCUS",IF(J4062&lt;=2,"?ACTIVATED",IF(J4062&lt;&gt;"","?FAMILIAR",IF(F4062="NEW",IF(ISNA(VLOOKUP(E4062,#REF!,1,FALSE())),"?TYPE_IDENTIFIABLE","?REFERENTIAL"),"_")))))</f>
        <v> </v>
      </c>
      <c r="H4062" s="24" t="str">
        <f>IF(J4062&lt;&gt;1,"",IF(I4062="SBJ","CB","?"))</f>
        <v> </v>
      </c>
      <c r="I4062" s="25" t="str">
        <f>IF(OR(E4062="",E4062="!!!",F4062="NEW"),"",INDEX(B4061:B$2,-1+SUMPRODUCT(MAX(ROW(E4061:E$2)*(E4062=E4061:E$2)))))</f>
        <v> </v>
      </c>
      <c r="J4062" s="25" t="str">
        <f>IF(OR(E4062="",E4062="!!!",F4062="NEW"),"",COUNTBLANK(OFFSET(A$1,,,SUMPRODUCT(MAX(ROW(E$2:E4062)*(E4062=E$2:E4062)))))-COUNTBLANK(OFFSET(A$1,,,SUMPRODUCT(MAX(ROW(E$1:E4061)*(E2=E$1:E4061))))))</f>
        <v> </v>
      </c>
      <c r="K4062" s="25" t="str">
        <f>IF(OR(E4062="",E4062="!!!",F4062="NEW"),"",INDEX(J$1:J4061,SUMPRODUCT(MAX(ROW(E$1:E4061)*(E4062=E$1:E4061)))))</f>
        <v> </v>
      </c>
      <c r="L4062" s="26"/>
    </row>
    <row r="4063" spans="1:12">
      <c r="A4063" s="20" t="s">
        <v>1162</v>
      </c>
      <c r="B4063" s="27" t="s">
        <v>756</v>
      </c>
      <c r="C4063" s="27" t="s">
        <v>780</v>
      </c>
      <c r="E4063" s="21">
        <f>IF(D4063="?OLD","!!!","")</f>
        <v/>
      </c>
      <c r="F4063" s="22" t="str">
        <f>IF(OR(E4063="",E4063="!!!"),"",IF(NOT(ISNA(VLOOKUP(E4063,E$1:E4062,1,FALSE()))),"OLD",IF(AND(E4063&lt;&gt;"",E4063&lt;&gt;"!!!"),"NEW","")))</f>
        <v> </v>
      </c>
      <c r="G4063" s="23" t="str">
        <f>IF(OR(E4063="",E4063="!!!"),"",IF(OR(J4063=0,AND(J4063=1,K4063=1),AND(J4063=1,I4063="SBJ"),AND(J4063=1,I4063=0)),"?IN_FOCUS",IF(J4063&lt;=2,"?ACTIVATED",IF(J4063&lt;&gt;"","?FAMILIAR",IF(F4063="NEW",IF(ISNA(VLOOKUP(E4063,#REF!,1,FALSE())),"?TYPE_IDENTIFIABLE","?REFERENTIAL"),"_")))))</f>
        <v> </v>
      </c>
      <c r="H4063" s="24" t="str">
        <f>IF(J4063&lt;&gt;1,"",IF(I4063="SBJ","CB","?"))</f>
        <v> </v>
      </c>
      <c r="I4063" s="25" t="str">
        <f>IF(OR(E4063="",E4063="!!!",F4063="NEW"),"",INDEX(B4062:B$2,-1+SUMPRODUCT(MAX(ROW(E4062:E$2)*(E4063=E4062:E$2)))))</f>
        <v> </v>
      </c>
      <c r="J4063" s="25" t="str">
        <f>IF(OR(E4063="",E4063="!!!",F4063="NEW"),"",COUNTBLANK(OFFSET(A$1,,,SUMPRODUCT(MAX(ROW(E$2:E4063)*(E4063=E$2:E4063)))))-COUNTBLANK(OFFSET(A$1,,,SUMPRODUCT(MAX(ROW(E$1:E4062)*(E2=E$1:E4062))))))</f>
        <v> </v>
      </c>
      <c r="K4063" s="25" t="str">
        <f>IF(OR(E4063="",E4063="!!!",F4063="NEW"),"",INDEX(J$1:J4062,SUMPRODUCT(MAX(ROW(E$1:E4062)*(E4063=E$1:E4062)))))</f>
        <v> </v>
      </c>
      <c r="L4063" s="26"/>
    </row>
    <row r="4064" spans="1:12">
      <c r="A4064" s="20" t="s">
        <v>753</v>
      </c>
      <c r="E4064" s="21">
        <f>IF(D4064="?OLD","!!!","")</f>
        <v/>
      </c>
      <c r="F4064" s="22" t="str">
        <f>IF(OR(E4064="",E4064="!!!"),"",IF(NOT(ISNA(VLOOKUP(E4064,E$1:E4063,1,FALSE()))),"OLD",IF(AND(E4064&lt;&gt;"",E4064&lt;&gt;"!!!"),"NEW","")))</f>
        <v> </v>
      </c>
      <c r="G4064" s="23" t="str">
        <f>IF(OR(E4064="",E4064="!!!"),"",IF(OR(J4064=0,AND(J4064=1,K4064=1),AND(J4064=1,I4064="SBJ"),AND(J4064=1,I4064=0)),"?IN_FOCUS",IF(J4064&lt;=2,"?ACTIVATED",IF(J4064&lt;&gt;"","?FAMILIAR",IF(F4064="NEW",IF(ISNA(VLOOKUP(E4064,#REF!,1,FALSE())),"?TYPE_IDENTIFIABLE","?REFERENTIAL"),"_")))))</f>
        <v> </v>
      </c>
      <c r="H4064" s="24" t="str">
        <f>IF(J4064&lt;&gt;1,"",IF(I4064="SBJ","CB","?"))</f>
        <v> </v>
      </c>
      <c r="I4064" s="25" t="str">
        <f>IF(OR(E4064="",E4064="!!!",F4064="NEW"),"",INDEX(B4063:B$2,-1+SUMPRODUCT(MAX(ROW(E4063:E$2)*(E4064=E4063:E$2)))))</f>
        <v> </v>
      </c>
      <c r="J4064" s="25" t="str">
        <f>IF(OR(E4064="",E4064="!!!",F4064="NEW"),"",COUNTBLANK(OFFSET(A$1,,,SUMPRODUCT(MAX(ROW(E$2:E4064)*(E4064=E$2:E4064)))))-COUNTBLANK(OFFSET(A$1,,,SUMPRODUCT(MAX(ROW(E$1:E4063)*(E2=E$1:E4063))))))</f>
        <v> </v>
      </c>
      <c r="K4064" s="25" t="str">
        <f>IF(OR(E4064="",E4064="!!!",F4064="NEW"),"",INDEX(J$1:J4063,SUMPRODUCT(MAX(ROW(E$1:E4063)*(E4064=E$1:E4063)))))</f>
        <v> </v>
      </c>
      <c r="L4064" s="26"/>
    </row>
    <row r="4065" spans="1:12">
      <c r="A4065" s="20" t="s">
        <v>736</v>
      </c>
      <c r="B4065" s="27" t="s">
        <v>779</v>
      </c>
      <c r="E4065" s="21">
        <f>IF(D4065="?OLD","!!!","")</f>
        <v/>
      </c>
      <c r="F4065" s="22" t="str">
        <f>IF(OR(E4065="",E4065="!!!"),"",IF(NOT(ISNA(VLOOKUP(E4065,E$1:E4064,1,FALSE()))),"OLD",IF(AND(E4065&lt;&gt;"",E4065&lt;&gt;"!!!"),"NEW","")))</f>
        <v> </v>
      </c>
      <c r="G4065" s="23" t="str">
        <f>IF(OR(E4065="",E4065="!!!"),"",IF(OR(J4065=0,AND(J4065=1,K4065=1),AND(J4065=1,I4065="SBJ"),AND(J4065=1,I4065=0)),"?IN_FOCUS",IF(J4065&lt;=2,"?ACTIVATED",IF(J4065&lt;&gt;"","?FAMILIAR",IF(F4065="NEW",IF(ISNA(VLOOKUP(E4065,#REF!,1,FALSE())),"?TYPE_IDENTIFIABLE","?REFERENTIAL"),"_")))))</f>
        <v> </v>
      </c>
      <c r="H4065" s="24" t="str">
        <f>IF(J4065&lt;&gt;1,"",IF(I4065="SBJ","CB","?"))</f>
        <v> </v>
      </c>
      <c r="I4065" s="25" t="str">
        <f>IF(OR(E4065="",E4065="!!!",F4065="NEW"),"",INDEX(B4064:B$2,-1+SUMPRODUCT(MAX(ROW(E4064:E$2)*(E4065=E4064:E$2)))))</f>
        <v> </v>
      </c>
      <c r="J4065" s="25" t="str">
        <f>IF(OR(E4065="",E4065="!!!",F4065="NEW"),"",COUNTBLANK(OFFSET(A$1,,,SUMPRODUCT(MAX(ROW(E$2:E4065)*(E4065=E$2:E4065)))))-COUNTBLANK(OFFSET(A$1,,,SUMPRODUCT(MAX(ROW(E$1:E4064)*(E2=E$1:E4064))))))</f>
        <v> </v>
      </c>
      <c r="K4065" s="25" t="str">
        <f>IF(OR(E4065="",E4065="!!!",F4065="NEW"),"",INDEX(J$1:J4064,SUMPRODUCT(MAX(ROW(E$1:E4064)*(E4065=E$1:E4064)))))</f>
        <v> </v>
      </c>
      <c r="L4065" s="26"/>
    </row>
    <row r="4066" spans="1:12">
      <c r="A4066" s="20" t="s">
        <v>1260</v>
      </c>
      <c r="B4066" s="27" t="s">
        <v>771</v>
      </c>
      <c r="C4066" s="27" t="s">
        <v>749</v>
      </c>
      <c r="D4066" s="27" t="s">
        <v>740</v>
      </c>
      <c r="E4066" s="21">
        <f>IF(D4066="?OLD","!!!","")</f>
        <v/>
      </c>
      <c r="F4066" s="22" t="str">
        <f>IF(OR(E4066="",E4066="!!!"),"",IF(NOT(ISNA(VLOOKUP(E4066,E$1:E4065,1,FALSE()))),"OLD",IF(AND(E4066&lt;&gt;"",E4066&lt;&gt;"!!!"),"NEW","")))</f>
        <v> </v>
      </c>
      <c r="G4066" s="23" t="str">
        <f>IF(OR(E4066="",E4066="!!!"),"",IF(OR(J4066=0,AND(J4066=1,K4066=1),AND(J4066=1,I4066="SBJ"),AND(J4066=1,I4066=0)),"?IN_FOCUS",IF(J4066&lt;=2,"?ACTIVATED",IF(J4066&lt;&gt;"","?FAMILIAR",IF(F4066="NEW",IF(ISNA(VLOOKUP(E4066,#REF!,1,FALSE())),"?TYPE_IDENTIFIABLE","?REFERENTIAL"),"_")))))</f>
        <v> </v>
      </c>
      <c r="H4066" s="24" t="str">
        <f>IF(J4066&lt;&gt;1,"",IF(I4066="SBJ","CB","?"))</f>
        <v> </v>
      </c>
      <c r="I4066" s="25" t="str">
        <f>IF(OR(E4066="",E4066="!!!",F4066="NEW"),"",INDEX(B4065:B$2,-1+SUMPRODUCT(MAX(ROW(E4065:E$2)*(E4066=E4065:E$2)))))</f>
        <v> </v>
      </c>
      <c r="J4066" s="25" t="str">
        <f>IF(OR(E4066="",E4066="!!!",F4066="NEW"),"",COUNTBLANK(OFFSET(A$1,,,SUMPRODUCT(MAX(ROW(E$2:E4066)*(E4066=E$2:E4066)))))-COUNTBLANK(OFFSET(A$1,,,SUMPRODUCT(MAX(ROW(E$1:E4065)*(E2=E$1:E4065))))))</f>
        <v> </v>
      </c>
      <c r="K4066" s="25" t="str">
        <f>IF(OR(E4066="",E4066="!!!",F4066="NEW"),"",INDEX(J$1:J4065,SUMPRODUCT(MAX(ROW(E$1:E4065)*(E4066=E$1:E4065)))))</f>
        <v> </v>
      </c>
      <c r="L4066" s="26"/>
    </row>
    <row r="4067" spans="1:12">
      <c r="A4067" s="20" t="s">
        <v>845</v>
      </c>
      <c r="E4067" s="21">
        <f>IF(D4067="?OLD","!!!","")</f>
        <v/>
      </c>
      <c r="F4067" s="22" t="str">
        <f>IF(OR(E4067="",E4067="!!!"),"",IF(NOT(ISNA(VLOOKUP(E4067,E$1:E4066,1,FALSE()))),"OLD",IF(AND(E4067&lt;&gt;"",E4067&lt;&gt;"!!!"),"NEW","")))</f>
        <v> </v>
      </c>
      <c r="G4067" s="23" t="str">
        <f>IF(OR(E4067="",E4067="!!!"),"",IF(OR(J4067=0,AND(J4067=1,K4067=1),AND(J4067=1,I4067="SBJ"),AND(J4067=1,I4067=0)),"?IN_FOCUS",IF(J4067&lt;=2,"?ACTIVATED",IF(J4067&lt;&gt;"","?FAMILIAR",IF(F4067="NEW",IF(ISNA(VLOOKUP(E4067,#REF!,1,FALSE())),"?TYPE_IDENTIFIABLE","?REFERENTIAL"),"_")))))</f>
        <v> </v>
      </c>
      <c r="H4067" s="24" t="str">
        <f>IF(J4067&lt;&gt;1,"",IF(I4067="SBJ","CB","?"))</f>
        <v> </v>
      </c>
      <c r="I4067" s="25" t="str">
        <f>IF(OR(E4067="",E4067="!!!",F4067="NEW"),"",INDEX(B4066:B$2,-1+SUMPRODUCT(MAX(ROW(E4066:E$2)*(E4067=E4066:E$2)))))</f>
        <v> </v>
      </c>
      <c r="J4067" s="25" t="str">
        <f>IF(OR(E4067="",E4067="!!!",F4067="NEW"),"",COUNTBLANK(OFFSET(A$1,,,SUMPRODUCT(MAX(ROW(E$2:E4067)*(E4067=E$2:E4067)))))-COUNTBLANK(OFFSET(A$1,,,SUMPRODUCT(MAX(ROW(E$1:E4066)*(E2=E$1:E4066))))))</f>
        <v> </v>
      </c>
      <c r="K4067" s="25" t="str">
        <f>IF(OR(E4067="",E4067="!!!",F4067="NEW"),"",INDEX(J$1:J4066,SUMPRODUCT(MAX(ROW(E$1:E4066)*(E4067=E$1:E4066)))))</f>
        <v> </v>
      </c>
      <c r="L4067" s="26"/>
    </row>
    <row r="4068" spans="1:12">
      <c r="A4068" s="20" t="s">
        <v>1945</v>
      </c>
      <c r="E4068" s="21">
        <f>IF(D4068="?OLD","!!!","")</f>
        <v/>
      </c>
      <c r="F4068" s="22" t="str">
        <f>IF(OR(E4068="",E4068="!!!"),"",IF(NOT(ISNA(VLOOKUP(E4068,E$1:E4067,1,FALSE()))),"OLD",IF(AND(E4068&lt;&gt;"",E4068&lt;&gt;"!!!"),"NEW","")))</f>
        <v> </v>
      </c>
      <c r="G4068" s="23" t="str">
        <f>IF(OR(E4068="",E4068="!!!"),"",IF(OR(J4068=0,AND(J4068=1,K4068=1),AND(J4068=1,I4068="SBJ"),AND(J4068=1,I4068=0)),"?IN_FOCUS",IF(J4068&lt;=2,"?ACTIVATED",IF(J4068&lt;&gt;"","?FAMILIAR",IF(F4068="NEW",IF(ISNA(VLOOKUP(E4068,#REF!,1,FALSE())),"?TYPE_IDENTIFIABLE","?REFERENTIAL"),"_")))))</f>
        <v> </v>
      </c>
      <c r="H4068" s="24" t="str">
        <f>IF(J4068&lt;&gt;1,"",IF(I4068="SBJ","CB","?"))</f>
        <v> </v>
      </c>
      <c r="I4068" s="25" t="str">
        <f>IF(OR(E4068="",E4068="!!!",F4068="NEW"),"",INDEX(B4067:B$2,-1+SUMPRODUCT(MAX(ROW(E4067:E$2)*(E4068=E4067:E$2)))))</f>
        <v> </v>
      </c>
      <c r="J4068" s="25" t="str">
        <f>IF(OR(E4068="",E4068="!!!",F4068="NEW"),"",COUNTBLANK(OFFSET(A$1,,,SUMPRODUCT(MAX(ROW(E$2:E4068)*(E4068=E$2:E4068)))))-COUNTBLANK(OFFSET(A$1,,,SUMPRODUCT(MAX(ROW(E$1:E4067)*(E2=E$1:E4067))))))</f>
        <v> </v>
      </c>
      <c r="K4068" s="25" t="str">
        <f>IF(OR(E4068="",E4068="!!!",F4068="NEW"),"",INDEX(J$1:J4067,SUMPRODUCT(MAX(ROW(E$1:E4067)*(E4068=E$1:E4067)))))</f>
        <v> </v>
      </c>
      <c r="L4068" s="26"/>
    </row>
    <row r="4069" spans="1:12">
      <c r="A4069" s="20" t="s">
        <v>1394</v>
      </c>
      <c r="B4069" s="27" t="s">
        <v>733</v>
      </c>
      <c r="C4069" s="27" t="s">
        <v>734</v>
      </c>
      <c r="E4069" s="21">
        <f>IF(D4069="?OLD","!!!","")</f>
        <v/>
      </c>
      <c r="F4069" s="22" t="str">
        <f>IF(OR(E4069="",E4069="!!!"),"",IF(NOT(ISNA(VLOOKUP(E4069,E$1:E4068,1,FALSE()))),"OLD",IF(AND(E4069&lt;&gt;"",E4069&lt;&gt;"!!!"),"NEW","")))</f>
        <v> </v>
      </c>
      <c r="G4069" s="23" t="str">
        <f>IF(OR(E4069="",E4069="!!!"),"",IF(OR(J4069=0,AND(J4069=1,K4069=1),AND(J4069=1,I4069="SBJ"),AND(J4069=1,I4069=0)),"?IN_FOCUS",IF(J4069&lt;=2,"?ACTIVATED",IF(J4069&lt;&gt;"","?FAMILIAR",IF(F4069="NEW",IF(ISNA(VLOOKUP(E4069,#REF!,1,FALSE())),"?TYPE_IDENTIFIABLE","?REFERENTIAL"),"_")))))</f>
        <v> </v>
      </c>
      <c r="H4069" s="24" t="str">
        <f>IF(J4069&lt;&gt;1,"",IF(I4069="SBJ","CB","?"))</f>
        <v> </v>
      </c>
      <c r="I4069" s="25" t="str">
        <f>IF(OR(E4069="",E4069="!!!",F4069="NEW"),"",INDEX(B4068:B$2,-1+SUMPRODUCT(MAX(ROW(E4068:E$2)*(E4069=E4068:E$2)))))</f>
        <v> </v>
      </c>
      <c r="J4069" s="25" t="str">
        <f>IF(OR(E4069="",E4069="!!!",F4069="NEW"),"",COUNTBLANK(OFFSET(A$1,,,SUMPRODUCT(MAX(ROW(E$2:E4069)*(E4069=E$2:E4069)))))-COUNTBLANK(OFFSET(A$1,,,SUMPRODUCT(MAX(ROW(E$1:E4068)*(E2=E$1:E4068))))))</f>
        <v> </v>
      </c>
      <c r="K4069" s="25" t="str">
        <f>IF(OR(E4069="",E4069="!!!",F4069="NEW"),"",INDEX(J$1:J4068,SUMPRODUCT(MAX(ROW(E$1:E4068)*(E4069=E$1:E4068)))))</f>
        <v> </v>
      </c>
      <c r="L4069" s="26"/>
    </row>
    <row r="4070" spans="1:12">
      <c r="A4070" s="20" t="s">
        <v>991</v>
      </c>
      <c r="E4070" s="21">
        <f>IF(D4070="?OLD","!!!","")</f>
        <v/>
      </c>
      <c r="F4070" s="22" t="str">
        <f>IF(OR(E4070="",E4070="!!!"),"",IF(NOT(ISNA(VLOOKUP(E4070,E$1:E4069,1,FALSE()))),"OLD",IF(AND(E4070&lt;&gt;"",E4070&lt;&gt;"!!!"),"NEW","")))</f>
        <v> </v>
      </c>
      <c r="G4070" s="23" t="str">
        <f>IF(OR(E4070="",E4070="!!!"),"",IF(OR(J4070=0,AND(J4070=1,K4070=1),AND(J4070=1,I4070="SBJ"),AND(J4070=1,I4070=0)),"?IN_FOCUS",IF(J4070&lt;=2,"?ACTIVATED",IF(J4070&lt;&gt;"","?FAMILIAR",IF(F4070="NEW",IF(ISNA(VLOOKUP(E4070,#REF!,1,FALSE())),"?TYPE_IDENTIFIABLE","?REFERENTIAL"),"_")))))</f>
        <v> </v>
      </c>
      <c r="H4070" s="24" t="str">
        <f>IF(J4070&lt;&gt;1,"",IF(I4070="SBJ","CB","?"))</f>
        <v> </v>
      </c>
      <c r="I4070" s="25" t="str">
        <f>IF(OR(E4070="",E4070="!!!",F4070="NEW"),"",INDEX(B4069:B$2,-1+SUMPRODUCT(MAX(ROW(E4069:E$2)*(E4070=E4069:E$2)))))</f>
        <v> </v>
      </c>
      <c r="J4070" s="25" t="str">
        <f>IF(OR(E4070="",E4070="!!!",F4070="NEW"),"",COUNTBLANK(OFFSET(A$1,,,SUMPRODUCT(MAX(ROW(E$2:E4070)*(E4070=E$2:E4070)))))-COUNTBLANK(OFFSET(A$1,,,SUMPRODUCT(MAX(ROW(E$1:E4069)*(E2=E$1:E4069))))))</f>
        <v> </v>
      </c>
      <c r="K4070" s="25" t="str">
        <f>IF(OR(E4070="",E4070="!!!",F4070="NEW"),"",INDEX(J$1:J4069,SUMPRODUCT(MAX(ROW(E$1:E4069)*(E4070=E$1:E4069)))))</f>
        <v> </v>
      </c>
      <c r="L4070" s="26"/>
    </row>
    <row r="4071" spans="1:12">
      <c r="A4071" s="20" t="s">
        <v>1946</v>
      </c>
      <c r="B4071" s="27" t="s">
        <v>777</v>
      </c>
      <c r="C4071" s="27" t="s">
        <v>804</v>
      </c>
      <c r="D4071" s="27" t="s">
        <v>740</v>
      </c>
      <c r="E4071" s="21">
        <f>IF(D4071="?OLD","!!!","")</f>
        <v/>
      </c>
      <c r="F4071" s="22" t="str">
        <f>IF(OR(E4071="",E4071="!!!"),"",IF(NOT(ISNA(VLOOKUP(E4071,E$1:E4070,1,FALSE()))),"OLD",IF(AND(E4071&lt;&gt;"",E4071&lt;&gt;"!!!"),"NEW","")))</f>
        <v> </v>
      </c>
      <c r="G4071" s="23" t="str">
        <f>IF(OR(E4071="",E4071="!!!"),"",IF(OR(J4071=0,AND(J4071=1,K4071=1),AND(J4071=1,I4071="SBJ"),AND(J4071=1,I4071=0)),"?IN_FOCUS",IF(J4071&lt;=2,"?ACTIVATED",IF(J4071&lt;&gt;"","?FAMILIAR",IF(F4071="NEW",IF(ISNA(VLOOKUP(E4071,#REF!,1,FALSE())),"?TYPE_IDENTIFIABLE","?REFERENTIAL"),"_")))))</f>
        <v> </v>
      </c>
      <c r="H4071" s="24" t="str">
        <f>IF(J4071&lt;&gt;1,"",IF(I4071="SBJ","CB","?"))</f>
        <v> </v>
      </c>
      <c r="I4071" s="25" t="str">
        <f>IF(OR(E4071="",E4071="!!!",F4071="NEW"),"",INDEX(B4070:B$2,-1+SUMPRODUCT(MAX(ROW(E4070:E$2)*(E4071=E4070:E$2)))))</f>
        <v> </v>
      </c>
      <c r="J4071" s="25" t="str">
        <f>IF(OR(E4071="",E4071="!!!",F4071="NEW"),"",COUNTBLANK(OFFSET(A$1,,,SUMPRODUCT(MAX(ROW(E$2:E4071)*(E4071=E$2:E4071)))))-COUNTBLANK(OFFSET(A$1,,,SUMPRODUCT(MAX(ROW(E$1:E4070)*(E2=E$1:E4070))))))</f>
        <v> </v>
      </c>
      <c r="K4071" s="25" t="str">
        <f>IF(OR(E4071="",E4071="!!!",F4071="NEW"),"",INDEX(J$1:J4070,SUMPRODUCT(MAX(ROW(E$1:E4070)*(E4071=E$1:E4070)))))</f>
        <v> </v>
      </c>
      <c r="L4071" s="26"/>
    </row>
    <row r="4072" spans="1:12">
      <c r="A4072" s="20" t="s">
        <v>1480</v>
      </c>
      <c r="E4072" s="21">
        <f>IF(D4072="?OLD","!!!","")</f>
        <v/>
      </c>
      <c r="F4072" s="22" t="str">
        <f>IF(OR(E4072="",E4072="!!!"),"",IF(NOT(ISNA(VLOOKUP(E4072,E$1:E4071,1,FALSE()))),"OLD",IF(AND(E4072&lt;&gt;"",E4072&lt;&gt;"!!!"),"NEW","")))</f>
        <v> </v>
      </c>
      <c r="G4072" s="23" t="str">
        <f>IF(OR(E4072="",E4072="!!!"),"",IF(OR(J4072=0,AND(J4072=1,K4072=1),AND(J4072=1,I4072="SBJ"),AND(J4072=1,I4072=0)),"?IN_FOCUS",IF(J4072&lt;=2,"?ACTIVATED",IF(J4072&lt;&gt;"","?FAMILIAR",IF(F4072="NEW",IF(ISNA(VLOOKUP(E4072,#REF!,1,FALSE())),"?TYPE_IDENTIFIABLE","?REFERENTIAL"),"_")))))</f>
        <v> </v>
      </c>
      <c r="H4072" s="24" t="str">
        <f>IF(J4072&lt;&gt;1,"",IF(I4072="SBJ","CB","?"))</f>
        <v> </v>
      </c>
      <c r="I4072" s="25" t="str">
        <f>IF(OR(E4072="",E4072="!!!",F4072="NEW"),"",INDEX(B4071:B$2,-1+SUMPRODUCT(MAX(ROW(E4071:E$2)*(E4072=E4071:E$2)))))</f>
        <v> </v>
      </c>
      <c r="J4072" s="25" t="str">
        <f>IF(OR(E4072="",E4072="!!!",F4072="NEW"),"",COUNTBLANK(OFFSET(A$1,,,SUMPRODUCT(MAX(ROW(E$2:E4072)*(E4072=E$2:E4072)))))-COUNTBLANK(OFFSET(A$1,,,SUMPRODUCT(MAX(ROW(E$1:E4071)*(E2=E$1:E4071))))))</f>
        <v> </v>
      </c>
      <c r="K4072" s="25" t="str">
        <f>IF(OR(E4072="",E4072="!!!",F4072="NEW"),"",INDEX(J$1:J4071,SUMPRODUCT(MAX(ROW(E$1:E4071)*(E4072=E$1:E4071)))))</f>
        <v> </v>
      </c>
      <c r="L4072" s="26"/>
    </row>
    <row r="4073" spans="1:12">
      <c r="A4073" s="20" t="s">
        <v>746</v>
      </c>
      <c r="E4073" s="21">
        <f>IF(D4073="?OLD","!!!","")</f>
        <v/>
      </c>
      <c r="F4073" s="22" t="str">
        <f>IF(OR(E4073="",E4073="!!!"),"",IF(NOT(ISNA(VLOOKUP(E4073,E$1:E4072,1,FALSE()))),"OLD",IF(AND(E4073&lt;&gt;"",E4073&lt;&gt;"!!!"),"NEW","")))</f>
        <v> </v>
      </c>
      <c r="G4073" s="23" t="str">
        <f>IF(OR(E4073="",E4073="!!!"),"",IF(OR(J4073=0,AND(J4073=1,K4073=1),AND(J4073=1,I4073="SBJ"),AND(J4073=1,I4073=0)),"?IN_FOCUS",IF(J4073&lt;=2,"?ACTIVATED",IF(J4073&lt;&gt;"","?FAMILIAR",IF(F4073="NEW",IF(ISNA(VLOOKUP(E4073,#REF!,1,FALSE())),"?TYPE_IDENTIFIABLE","?REFERENTIAL"),"_")))))</f>
        <v> </v>
      </c>
      <c r="H4073" s="24" t="str">
        <f>IF(J4073&lt;&gt;1,"",IF(I4073="SBJ","CB","?"))</f>
        <v> </v>
      </c>
      <c r="I4073" s="25" t="str">
        <f>IF(OR(E4073="",E4073="!!!",F4073="NEW"),"",INDEX(B4072:B$2,-1+SUMPRODUCT(MAX(ROW(E4072:E$2)*(E4073=E4072:E$2)))))</f>
        <v> </v>
      </c>
      <c r="J4073" s="25" t="str">
        <f>IF(OR(E4073="",E4073="!!!",F4073="NEW"),"",COUNTBLANK(OFFSET(A$1,,,SUMPRODUCT(MAX(ROW(E$2:E4073)*(E4073=E$2:E4073)))))-COUNTBLANK(OFFSET(A$1,,,SUMPRODUCT(MAX(ROW(E$1:E4072)*(E2=E$1:E4072))))))</f>
        <v> </v>
      </c>
      <c r="K4073" s="25" t="str">
        <f>IF(OR(E4073="",E4073="!!!",F4073="NEW"),"",INDEX(J$1:J4072,SUMPRODUCT(MAX(ROW(E$1:E4072)*(E4073=E$1:E4072)))))</f>
        <v> </v>
      </c>
      <c r="L4073" s="26"/>
    </row>
    <row r="4074" spans="1:12">
      <c r="A4074" s="20"/>
    </row>
    <row r="4075" spans="1:12">
      <c r="A4075" s="20" t="s">
        <v>1947</v>
      </c>
    </row>
    <row r="4076" spans="1:12">
      <c r="A4076" s="20" t="s">
        <v>952</v>
      </c>
      <c r="B4076" s="27" t="s">
        <v>728</v>
      </c>
      <c r="C4076" s="27" t="s">
        <v>749</v>
      </c>
      <c r="D4076" s="27" t="s">
        <v>740</v>
      </c>
      <c r="E4076" s="21">
        <f>IF(D4076="?OLD","!!!","")</f>
        <v/>
      </c>
      <c r="F4076" s="22" t="str">
        <f>IF(OR(E4076="",E4076="!!!"),"",IF(NOT(ISNA(VLOOKUP(E4076,E$1:E4075,1,FALSE()))),"OLD",IF(AND(E4076&lt;&gt;"",E4076&lt;&gt;"!!!"),"NEW","")))</f>
        <v> </v>
      </c>
      <c r="G4076" s="23" t="str">
        <f>IF(OR(E4076="",E4076="!!!"),"",IF(OR(J4076=0,AND(J4076=1,K4076=1),AND(J4076=1,I4076="SBJ"),AND(J4076=1,I4076=0)),"?IN_FOCUS",IF(J4076&lt;=2,"?ACTIVATED",IF(J4076&lt;&gt;"","?FAMILIAR",IF(F4076="NEW",IF(ISNA(VLOOKUP(E4076,#REF!,1,FALSE())),"?TYPE_IDENTIFIABLE","?REFERENTIAL"),"_")))))</f>
        <v> </v>
      </c>
      <c r="H4076" s="24" t="str">
        <f>IF(J4076&lt;&gt;1,"",IF(I4076="SBJ","CB","?"))</f>
        <v> </v>
      </c>
      <c r="I4076" s="25" t="str">
        <f>IF(OR(E4076="",E4076="!!!",F4076="NEW"),"",INDEX(B4075:B$2,-1+SUMPRODUCT(MAX(ROW(E4075:E$2)*(E4076=E4075:E$2)))))</f>
        <v> </v>
      </c>
      <c r="J4076" s="25" t="str">
        <f>IF(OR(E4076="",E4076="!!!",F4076="NEW"),"",COUNTBLANK(OFFSET(A$1,,,SUMPRODUCT(MAX(ROW(E$2:E4076)*(E4076=E$2:E4076)))))-COUNTBLANK(OFFSET(A$1,,,SUMPRODUCT(MAX(ROW(E$1:E4075)*(E2=E$1:E4075))))))</f>
        <v> </v>
      </c>
      <c r="K4076" s="25" t="str">
        <f>IF(OR(E4076="",E4076="!!!",F4076="NEW"),"",INDEX(J$1:J4075,SUMPRODUCT(MAX(ROW(E$1:E4075)*(E4076=E$1:E4075)))))</f>
        <v> </v>
      </c>
      <c r="L4076" s="26"/>
    </row>
    <row r="4077" spans="1:12">
      <c r="A4077" s="20" t="s">
        <v>947</v>
      </c>
      <c r="E4077" s="21">
        <f>IF(D4077="?OLD","!!!","")</f>
        <v/>
      </c>
      <c r="F4077" s="22" t="str">
        <f>IF(OR(E4077="",E4077="!!!"),"",IF(NOT(ISNA(VLOOKUP(E4077,E$1:E4076,1,FALSE()))),"OLD",IF(AND(E4077&lt;&gt;"",E4077&lt;&gt;"!!!"),"NEW","")))</f>
        <v> </v>
      </c>
      <c r="G4077" s="23" t="str">
        <f>IF(OR(E4077="",E4077="!!!"),"",IF(OR(J4077=0,AND(J4077=1,K4077=1),AND(J4077=1,I4077="SBJ"),AND(J4077=1,I4077=0)),"?IN_FOCUS",IF(J4077&lt;=2,"?ACTIVATED",IF(J4077&lt;&gt;"","?FAMILIAR",IF(F4077="NEW",IF(ISNA(VLOOKUP(E4077,#REF!,1,FALSE())),"?TYPE_IDENTIFIABLE","?REFERENTIAL"),"_")))))</f>
        <v> </v>
      </c>
      <c r="H4077" s="24" t="str">
        <f>IF(J4077&lt;&gt;1,"",IF(I4077="SBJ","CB","?"))</f>
        <v> </v>
      </c>
      <c r="I4077" s="25" t="str">
        <f>IF(OR(E4077="",E4077="!!!",F4077="NEW"),"",INDEX(B4076:B$2,-1+SUMPRODUCT(MAX(ROW(E4076:E$2)*(E4077=E4076:E$2)))))</f>
        <v> </v>
      </c>
      <c r="J4077" s="25" t="str">
        <f>IF(OR(E4077="",E4077="!!!",F4077="NEW"),"",COUNTBLANK(OFFSET(A$1,,,SUMPRODUCT(MAX(ROW(E$2:E4077)*(E4077=E$2:E4077)))))-COUNTBLANK(OFFSET(A$1,,,SUMPRODUCT(MAX(ROW(E$1:E4076)*(E2=E$1:E4076))))))</f>
        <v> </v>
      </c>
      <c r="K4077" s="25" t="str">
        <f>IF(OR(E4077="",E4077="!!!",F4077="NEW"),"",INDEX(J$1:J4076,SUMPRODUCT(MAX(ROW(E$1:E4076)*(E4077=E$1:E4076)))))</f>
        <v> </v>
      </c>
      <c r="L4077" s="26"/>
    </row>
    <row r="4078" spans="1:12">
      <c r="A4078" s="20" t="s">
        <v>741</v>
      </c>
      <c r="E4078" s="21">
        <f>IF(D4078="?OLD","!!!","")</f>
        <v/>
      </c>
      <c r="F4078" s="22" t="str">
        <f>IF(OR(E4078="",E4078="!!!"),"",IF(NOT(ISNA(VLOOKUP(E4078,E$1:E4077,1,FALSE()))),"OLD",IF(AND(E4078&lt;&gt;"",E4078&lt;&gt;"!!!"),"NEW","")))</f>
        <v> </v>
      </c>
      <c r="G4078" s="23" t="str">
        <f>IF(OR(E4078="",E4078="!!!"),"",IF(OR(J4078=0,AND(J4078=1,K4078=1),AND(J4078=1,I4078="SBJ"),AND(J4078=1,I4078=0)),"?IN_FOCUS",IF(J4078&lt;=2,"?ACTIVATED",IF(J4078&lt;&gt;"","?FAMILIAR",IF(F4078="NEW",IF(ISNA(VLOOKUP(E4078,#REF!,1,FALSE())),"?TYPE_IDENTIFIABLE","?REFERENTIAL"),"_")))))</f>
        <v> </v>
      </c>
      <c r="H4078" s="24" t="str">
        <f>IF(J4078&lt;&gt;1,"",IF(I4078="SBJ","CB","?"))</f>
        <v> </v>
      </c>
      <c r="I4078" s="25" t="str">
        <f>IF(OR(E4078="",E4078="!!!",F4078="NEW"),"",INDEX(B4077:B$2,-1+SUMPRODUCT(MAX(ROW(E4077:E$2)*(E4078=E4077:E$2)))))</f>
        <v> </v>
      </c>
      <c r="J4078" s="25" t="str">
        <f>IF(OR(E4078="",E4078="!!!",F4078="NEW"),"",COUNTBLANK(OFFSET(A$1,,,SUMPRODUCT(MAX(ROW(E$2:E4078)*(E4078=E$2:E4078)))))-COUNTBLANK(OFFSET(A$1,,,SUMPRODUCT(MAX(ROW(E$1:E4077)*(E2=E$1:E4077))))))</f>
        <v> </v>
      </c>
      <c r="K4078" s="25" t="str">
        <f>IF(OR(E4078="",E4078="!!!",F4078="NEW"),"",INDEX(J$1:J4077,SUMPRODUCT(MAX(ROW(E$1:E4077)*(E4078=E$1:E4077)))))</f>
        <v> </v>
      </c>
      <c r="L4078" s="26"/>
    </row>
    <row r="4079" spans="1:12">
      <c r="A4079" s="20" t="s">
        <v>1948</v>
      </c>
      <c r="E4079" s="21">
        <f>IF(D4079="?OLD","!!!","")</f>
        <v/>
      </c>
      <c r="F4079" s="22" t="str">
        <f>IF(OR(E4079="",E4079="!!!"),"",IF(NOT(ISNA(VLOOKUP(E4079,E$1:E4078,1,FALSE()))),"OLD",IF(AND(E4079&lt;&gt;"",E4079&lt;&gt;"!!!"),"NEW","")))</f>
        <v> </v>
      </c>
      <c r="G4079" s="23" t="str">
        <f>IF(OR(E4079="",E4079="!!!"),"",IF(OR(J4079=0,AND(J4079=1,K4079=1),AND(J4079=1,I4079="SBJ"),AND(J4079=1,I4079=0)),"?IN_FOCUS",IF(J4079&lt;=2,"?ACTIVATED",IF(J4079&lt;&gt;"","?FAMILIAR",IF(F4079="NEW",IF(ISNA(VLOOKUP(E4079,#REF!,1,FALSE())),"?TYPE_IDENTIFIABLE","?REFERENTIAL"),"_")))))</f>
        <v> </v>
      </c>
      <c r="H4079" s="24" t="str">
        <f>IF(J4079&lt;&gt;1,"",IF(I4079="SBJ","CB","?"))</f>
        <v> </v>
      </c>
      <c r="I4079" s="25" t="str">
        <f>IF(OR(E4079="",E4079="!!!",F4079="NEW"),"",INDEX(B4078:B$2,-1+SUMPRODUCT(MAX(ROW(E4078:E$2)*(E4079=E4078:E$2)))))</f>
        <v> </v>
      </c>
      <c r="J4079" s="25" t="str">
        <f>IF(OR(E4079="",E4079="!!!",F4079="NEW"),"",COUNTBLANK(OFFSET(A$1,,,SUMPRODUCT(MAX(ROW(E$2:E4079)*(E4079=E$2:E4079)))))-COUNTBLANK(OFFSET(A$1,,,SUMPRODUCT(MAX(ROW(E$1:E4078)*(E2=E$1:E4078))))))</f>
        <v> </v>
      </c>
      <c r="K4079" s="25" t="str">
        <f>IF(OR(E4079="",E4079="!!!",F4079="NEW"),"",INDEX(J$1:J4078,SUMPRODUCT(MAX(ROW(E$1:E4078)*(E4079=E$1:E4078)))))</f>
        <v> </v>
      </c>
      <c r="L4079" s="26"/>
    </row>
    <row r="4080" spans="1:12">
      <c r="A4080" s="20" t="s">
        <v>1067</v>
      </c>
      <c r="B4080" s="27" t="s">
        <v>738</v>
      </c>
      <c r="C4080" s="27" t="s">
        <v>744</v>
      </c>
      <c r="E4080" s="21">
        <f>IF(D4080="?OLD","!!!","")</f>
        <v/>
      </c>
      <c r="F4080" s="22" t="str">
        <f>IF(OR(E4080="",E4080="!!!"),"",IF(NOT(ISNA(VLOOKUP(E4080,E$1:E4079,1,FALSE()))),"OLD",IF(AND(E4080&lt;&gt;"",E4080&lt;&gt;"!!!"),"NEW","")))</f>
        <v> </v>
      </c>
      <c r="G4080" s="23" t="str">
        <f>IF(OR(E4080="",E4080="!!!"),"",IF(OR(J4080=0,AND(J4080=1,K4080=1),AND(J4080=1,I4080="SBJ"),AND(J4080=1,I4080=0)),"?IN_FOCUS",IF(J4080&lt;=2,"?ACTIVATED",IF(J4080&lt;&gt;"","?FAMILIAR",IF(F4080="NEW",IF(ISNA(VLOOKUP(E4080,#REF!,1,FALSE())),"?TYPE_IDENTIFIABLE","?REFERENTIAL"),"_")))))</f>
        <v> </v>
      </c>
      <c r="H4080" s="24" t="str">
        <f>IF(J4080&lt;&gt;1,"",IF(I4080="SBJ","CB","?"))</f>
        <v> </v>
      </c>
      <c r="I4080" s="25" t="str">
        <f>IF(OR(E4080="",E4080="!!!",F4080="NEW"),"",INDEX(B4079:B$2,-1+SUMPRODUCT(MAX(ROW(E4079:E$2)*(E4080=E4079:E$2)))))</f>
        <v> </v>
      </c>
      <c r="J4080" s="25" t="str">
        <f>IF(OR(E4080="",E4080="!!!",F4080="NEW"),"",COUNTBLANK(OFFSET(A$1,,,SUMPRODUCT(MAX(ROW(E$2:E4080)*(E4080=E$2:E4080)))))-COUNTBLANK(OFFSET(A$1,,,SUMPRODUCT(MAX(ROW(E$1:E4079)*(E2=E$1:E4079))))))</f>
        <v> </v>
      </c>
      <c r="K4080" s="25" t="str">
        <f>IF(OR(E4080="",E4080="!!!",F4080="NEW"),"",INDEX(J$1:J4079,SUMPRODUCT(MAX(ROW(E$1:E4079)*(E4080=E$1:E4079)))))</f>
        <v> </v>
      </c>
      <c r="L4080" s="26"/>
    </row>
    <row r="4081" spans="1:12">
      <c r="A4081" s="20" t="s">
        <v>729</v>
      </c>
      <c r="E4081" s="21">
        <f>IF(D4081="?OLD","!!!","")</f>
        <v/>
      </c>
      <c r="F4081" s="22" t="str">
        <f>IF(OR(E4081="",E4081="!!!"),"",IF(NOT(ISNA(VLOOKUP(E4081,E$1:E4080,1,FALSE()))),"OLD",IF(AND(E4081&lt;&gt;"",E4081&lt;&gt;"!!!"),"NEW","")))</f>
        <v> </v>
      </c>
      <c r="G4081" s="23" t="str">
        <f>IF(OR(E4081="",E4081="!!!"),"",IF(OR(J4081=0,AND(J4081=1,K4081=1),AND(J4081=1,I4081="SBJ"),AND(J4081=1,I4081=0)),"?IN_FOCUS",IF(J4081&lt;=2,"?ACTIVATED",IF(J4081&lt;&gt;"","?FAMILIAR",IF(F4081="NEW",IF(ISNA(VLOOKUP(E4081,#REF!,1,FALSE())),"?TYPE_IDENTIFIABLE","?REFERENTIAL"),"_")))))</f>
        <v> </v>
      </c>
      <c r="H4081" s="24" t="str">
        <f>IF(J4081&lt;&gt;1,"",IF(I4081="SBJ","CB","?"))</f>
        <v> </v>
      </c>
      <c r="I4081" s="25" t="str">
        <f>IF(OR(E4081="",E4081="!!!",F4081="NEW"),"",INDEX(B4080:B$2,-1+SUMPRODUCT(MAX(ROW(E4080:E$2)*(E4081=E4080:E$2)))))</f>
        <v> </v>
      </c>
      <c r="J4081" s="25" t="str">
        <f>IF(OR(E4081="",E4081="!!!",F4081="NEW"),"",COUNTBLANK(OFFSET(A$1,,,SUMPRODUCT(MAX(ROW(E$2:E4081)*(E4081=E$2:E4081)))))-COUNTBLANK(OFFSET(A$1,,,SUMPRODUCT(MAX(ROW(E$1:E4080)*(E2=E$1:E4080))))))</f>
        <v> </v>
      </c>
      <c r="K4081" s="25" t="str">
        <f>IF(OR(E4081="",E4081="!!!",F4081="NEW"),"",INDEX(J$1:J4080,SUMPRODUCT(MAX(ROW(E$1:E4080)*(E4081=E$1:E4080)))))</f>
        <v> </v>
      </c>
      <c r="L4081" s="26"/>
    </row>
    <row r="4082" spans="1:12">
      <c r="A4082" s="20" t="s">
        <v>1949</v>
      </c>
      <c r="B4082" s="27" t="s">
        <v>733</v>
      </c>
      <c r="C4082" s="27" t="s">
        <v>804</v>
      </c>
      <c r="D4082" s="27" t="s">
        <v>740</v>
      </c>
      <c r="E4082" s="21">
        <f>IF(D4082="?OLD","!!!","")</f>
        <v/>
      </c>
      <c r="F4082" s="22" t="str">
        <f>IF(OR(E4082="",E4082="!!!"),"",IF(NOT(ISNA(VLOOKUP(E4082,E$1:E4081,1,FALSE()))),"OLD",IF(AND(E4082&lt;&gt;"",E4082&lt;&gt;"!!!"),"NEW","")))</f>
        <v> </v>
      </c>
      <c r="G4082" s="23" t="str">
        <f>IF(OR(E4082="",E4082="!!!"),"",IF(OR(J4082=0,AND(J4082=1,K4082=1),AND(J4082=1,I4082="SBJ"),AND(J4082=1,I4082=0)),"?IN_FOCUS",IF(J4082&lt;=2,"?ACTIVATED",IF(J4082&lt;&gt;"","?FAMILIAR",IF(F4082="NEW",IF(ISNA(VLOOKUP(E4082,#REF!,1,FALSE())),"?TYPE_IDENTIFIABLE","?REFERENTIAL"),"_")))))</f>
        <v> </v>
      </c>
      <c r="H4082" s="24" t="str">
        <f>IF(J4082&lt;&gt;1,"",IF(I4082="SBJ","CB","?"))</f>
        <v> </v>
      </c>
      <c r="I4082" s="25" t="str">
        <f>IF(OR(E4082="",E4082="!!!",F4082="NEW"),"",INDEX(B4081:B$2,-1+SUMPRODUCT(MAX(ROW(E4081:E$2)*(E4082=E4081:E$2)))))</f>
        <v> </v>
      </c>
      <c r="J4082" s="25" t="str">
        <f>IF(OR(E4082="",E4082="!!!",F4082="NEW"),"",COUNTBLANK(OFFSET(A$1,,,SUMPRODUCT(MAX(ROW(E$2:E4082)*(E4082=E$2:E4082)))))-COUNTBLANK(OFFSET(A$1,,,SUMPRODUCT(MAX(ROW(E$1:E4081)*(E2=E$1:E4081))))))</f>
        <v> </v>
      </c>
      <c r="K4082" s="25" t="str">
        <f>IF(OR(E4082="",E4082="!!!",F4082="NEW"),"",INDEX(J$1:J4081,SUMPRODUCT(MAX(ROW(E$1:E4081)*(E4082=E$1:E4081)))))</f>
        <v> </v>
      </c>
      <c r="L4082" s="26"/>
    </row>
    <row r="4083" spans="1:12">
      <c r="A4083" s="20" t="s">
        <v>12</v>
      </c>
      <c r="E4083" s="21">
        <f>IF(D4083="?OLD","!!!","")</f>
        <v/>
      </c>
      <c r="F4083" s="22" t="str">
        <f>IF(OR(E4083="",E4083="!!!"),"",IF(NOT(ISNA(VLOOKUP(E4083,E$1:E4082,1,FALSE()))),"OLD",IF(AND(E4083&lt;&gt;"",E4083&lt;&gt;"!!!"),"NEW","")))</f>
        <v> </v>
      </c>
      <c r="G4083" s="23" t="str">
        <f>IF(OR(E4083="",E4083="!!!"),"",IF(OR(J4083=0,AND(J4083=1,K4083=1),AND(J4083=1,I4083="SBJ"),AND(J4083=1,I4083=0)),"?IN_FOCUS",IF(J4083&lt;=2,"?ACTIVATED",IF(J4083&lt;&gt;"","?FAMILIAR",IF(F4083="NEW",IF(ISNA(VLOOKUP(E4083,#REF!,1,FALSE())),"?TYPE_IDENTIFIABLE","?REFERENTIAL"),"_")))))</f>
        <v> </v>
      </c>
      <c r="H4083" s="24" t="str">
        <f>IF(J4083&lt;&gt;1,"",IF(I4083="SBJ","CB","?"))</f>
        <v> </v>
      </c>
      <c r="I4083" s="25" t="str">
        <f>IF(OR(E4083="",E4083="!!!",F4083="NEW"),"",INDEX(B4082:B$2,-1+SUMPRODUCT(MAX(ROW(E4082:E$2)*(E4083=E4082:E$2)))))</f>
        <v> </v>
      </c>
      <c r="J4083" s="25" t="str">
        <f>IF(OR(E4083="",E4083="!!!",F4083="NEW"),"",COUNTBLANK(OFFSET(A$1,,,SUMPRODUCT(MAX(ROW(E$2:E4083)*(E4083=E$2:E4083)))))-COUNTBLANK(OFFSET(A$1,,,SUMPRODUCT(MAX(ROW(E$1:E4082)*(E2=E$1:E4082))))))</f>
        <v> </v>
      </c>
      <c r="K4083" s="25" t="str">
        <f>IF(OR(E4083="",E4083="!!!",F4083="NEW"),"",INDEX(J$1:J4082,SUMPRODUCT(MAX(ROW(E$1:E4082)*(E4083=E$1:E4082)))))</f>
        <v> </v>
      </c>
      <c r="L4083" s="26"/>
    </row>
    <row r="4084" spans="1:12">
      <c r="A4084" s="20" t="s">
        <v>1950</v>
      </c>
      <c r="E4084" s="21">
        <f>IF(D4084="?OLD","!!!","")</f>
        <v/>
      </c>
      <c r="F4084" s="22" t="str">
        <f>IF(OR(E4084="",E4084="!!!"),"",IF(NOT(ISNA(VLOOKUP(E4084,E$1:E4083,1,FALSE()))),"OLD",IF(AND(E4084&lt;&gt;"",E4084&lt;&gt;"!!!"),"NEW","")))</f>
        <v> </v>
      </c>
      <c r="G4084" s="23" t="str">
        <f>IF(OR(E4084="",E4084="!!!"),"",IF(OR(J4084=0,AND(J4084=1,K4084=1),AND(J4084=1,I4084="SBJ"),AND(J4084=1,I4084=0)),"?IN_FOCUS",IF(J4084&lt;=2,"?ACTIVATED",IF(J4084&lt;&gt;"","?FAMILIAR",IF(F4084="NEW",IF(ISNA(VLOOKUP(E4084,#REF!,1,FALSE())),"?TYPE_IDENTIFIABLE","?REFERENTIAL"),"_")))))</f>
        <v> </v>
      </c>
      <c r="H4084" s="24" t="str">
        <f>IF(J4084&lt;&gt;1,"",IF(I4084="SBJ","CB","?"))</f>
        <v> </v>
      </c>
      <c r="I4084" s="25" t="str">
        <f>IF(OR(E4084="",E4084="!!!",F4084="NEW"),"",INDEX(B4083:B$2,-1+SUMPRODUCT(MAX(ROW(E4083:E$2)*(E4084=E4083:E$2)))))</f>
        <v> </v>
      </c>
      <c r="J4084" s="25" t="str">
        <f>IF(OR(E4084="",E4084="!!!",F4084="NEW"),"",COUNTBLANK(OFFSET(A$1,,,SUMPRODUCT(MAX(ROW(E$2:E4084)*(E4084=E$2:E4084)))))-COUNTBLANK(OFFSET(A$1,,,SUMPRODUCT(MAX(ROW(E$1:E4083)*(E2=E$1:E4083))))))</f>
        <v> </v>
      </c>
      <c r="K4084" s="25" t="str">
        <f>IF(OR(E4084="",E4084="!!!",F4084="NEW"),"",INDEX(J$1:J4083,SUMPRODUCT(MAX(ROW(E$1:E4083)*(E4084=E$1:E4083)))))</f>
        <v> </v>
      </c>
      <c r="L4084" s="26"/>
    </row>
    <row r="4085" spans="1:12">
      <c r="A4085" s="20" t="s">
        <v>753</v>
      </c>
      <c r="E4085" s="21">
        <f>IF(D4085="?OLD","!!!","")</f>
        <v/>
      </c>
      <c r="F4085" s="22" t="str">
        <f>IF(OR(E4085="",E4085="!!!"),"",IF(NOT(ISNA(VLOOKUP(E4085,E$1:E4084,1,FALSE()))),"OLD",IF(AND(E4085&lt;&gt;"",E4085&lt;&gt;"!!!"),"NEW","")))</f>
        <v> </v>
      </c>
      <c r="G4085" s="23" t="str">
        <f>IF(OR(E4085="",E4085="!!!"),"",IF(OR(J4085=0,AND(J4085=1,K4085=1),AND(J4085=1,I4085="SBJ"),AND(J4085=1,I4085=0)),"?IN_FOCUS",IF(J4085&lt;=2,"?ACTIVATED",IF(J4085&lt;&gt;"","?FAMILIAR",IF(F4085="NEW",IF(ISNA(VLOOKUP(E4085,#REF!,1,FALSE())),"?TYPE_IDENTIFIABLE","?REFERENTIAL"),"_")))))</f>
        <v> </v>
      </c>
      <c r="H4085" s="24" t="str">
        <f>IF(J4085&lt;&gt;1,"",IF(I4085="SBJ","CB","?"))</f>
        <v> </v>
      </c>
      <c r="I4085" s="25" t="str">
        <f>IF(OR(E4085="",E4085="!!!",F4085="NEW"),"",INDEX(B4084:B$2,-1+SUMPRODUCT(MAX(ROW(E4084:E$2)*(E4085=E4084:E$2)))))</f>
        <v> </v>
      </c>
      <c r="J4085" s="25" t="str">
        <f>IF(OR(E4085="",E4085="!!!",F4085="NEW"),"",COUNTBLANK(OFFSET(A$1,,,SUMPRODUCT(MAX(ROW(E$2:E4085)*(E4085=E$2:E4085)))))-COUNTBLANK(OFFSET(A$1,,,SUMPRODUCT(MAX(ROW(E$1:E4084)*(E2=E$1:E4084))))))</f>
        <v> </v>
      </c>
      <c r="K4085" s="25" t="str">
        <f>IF(OR(E4085="",E4085="!!!",F4085="NEW"),"",INDEX(J$1:J4084,SUMPRODUCT(MAX(ROW(E$1:E4084)*(E4085=E$1:E4084)))))</f>
        <v> </v>
      </c>
      <c r="L4085" s="26"/>
    </row>
    <row r="4086" spans="1:12">
      <c r="A4086" s="20" t="s">
        <v>736</v>
      </c>
      <c r="B4086" s="27" t="s">
        <v>771</v>
      </c>
      <c r="E4086" s="21">
        <f>IF(D4086="?OLD","!!!","")</f>
        <v/>
      </c>
      <c r="F4086" s="22" t="str">
        <f>IF(OR(E4086="",E4086="!!!"),"",IF(NOT(ISNA(VLOOKUP(E4086,E$1:E4085,1,FALSE()))),"OLD",IF(AND(E4086&lt;&gt;"",E4086&lt;&gt;"!!!"),"NEW","")))</f>
        <v> </v>
      </c>
      <c r="G4086" s="23" t="str">
        <f>IF(OR(E4086="",E4086="!!!"),"",IF(OR(J4086=0,AND(J4086=1,K4086=1),AND(J4086=1,I4086="SBJ"),AND(J4086=1,I4086=0)),"?IN_FOCUS",IF(J4086&lt;=2,"?ACTIVATED",IF(J4086&lt;&gt;"","?FAMILIAR",IF(F4086="NEW",IF(ISNA(VLOOKUP(E4086,#REF!,1,FALSE())),"?TYPE_IDENTIFIABLE","?REFERENTIAL"),"_")))))</f>
        <v> </v>
      </c>
      <c r="H4086" s="24" t="str">
        <f>IF(J4086&lt;&gt;1,"",IF(I4086="SBJ","CB","?"))</f>
        <v> </v>
      </c>
      <c r="I4086" s="25" t="str">
        <f>IF(OR(E4086="",E4086="!!!",F4086="NEW"),"",INDEX(B4085:B$2,-1+SUMPRODUCT(MAX(ROW(E4085:E$2)*(E4086=E4085:E$2)))))</f>
        <v> </v>
      </c>
      <c r="J4086" s="25" t="str">
        <f>IF(OR(E4086="",E4086="!!!",F4086="NEW"),"",COUNTBLANK(OFFSET(A$1,,,SUMPRODUCT(MAX(ROW(E$2:E4086)*(E4086=E$2:E4086)))))-COUNTBLANK(OFFSET(A$1,,,SUMPRODUCT(MAX(ROW(E$1:E4085)*(E2=E$1:E4085))))))</f>
        <v> </v>
      </c>
      <c r="K4086" s="25" t="str">
        <f>IF(OR(E4086="",E4086="!!!",F4086="NEW"),"",INDEX(J$1:J4085,SUMPRODUCT(MAX(ROW(E$1:E4085)*(E4086=E$1:E4085)))))</f>
        <v> </v>
      </c>
      <c r="L4086" s="26"/>
    </row>
    <row r="4087" spans="1:12">
      <c r="A4087" s="20" t="s">
        <v>741</v>
      </c>
      <c r="E4087" s="21">
        <f>IF(D4087="?OLD","!!!","")</f>
        <v/>
      </c>
      <c r="F4087" s="22" t="str">
        <f>IF(OR(E4087="",E4087="!!!"),"",IF(NOT(ISNA(VLOOKUP(E4087,E$1:E4086,1,FALSE()))),"OLD",IF(AND(E4087&lt;&gt;"",E4087&lt;&gt;"!!!"),"NEW","")))</f>
        <v> </v>
      </c>
      <c r="G4087" s="23" t="str">
        <f>IF(OR(E4087="",E4087="!!!"),"",IF(OR(J4087=0,AND(J4087=1,K4087=1),AND(J4087=1,I4087="SBJ"),AND(J4087=1,I4087=0)),"?IN_FOCUS",IF(J4087&lt;=2,"?ACTIVATED",IF(J4087&lt;&gt;"","?FAMILIAR",IF(F4087="NEW",IF(ISNA(VLOOKUP(E4087,#REF!,1,FALSE())),"?TYPE_IDENTIFIABLE","?REFERENTIAL"),"_")))))</f>
        <v> </v>
      </c>
      <c r="H4087" s="24" t="str">
        <f>IF(J4087&lt;&gt;1,"",IF(I4087="SBJ","CB","?"))</f>
        <v> </v>
      </c>
      <c r="I4087" s="25" t="str">
        <f>IF(OR(E4087="",E4087="!!!",F4087="NEW"),"",INDEX(B4086:B$2,-1+SUMPRODUCT(MAX(ROW(E4086:E$2)*(E4087=E4086:E$2)))))</f>
        <v> </v>
      </c>
      <c r="J4087" s="25" t="str">
        <f>IF(OR(E4087="",E4087="!!!",F4087="NEW"),"",COUNTBLANK(OFFSET(A$1,,,SUMPRODUCT(MAX(ROW(E$2:E4087)*(E4087=E$2:E4087)))))-COUNTBLANK(OFFSET(A$1,,,SUMPRODUCT(MAX(ROW(E$1:E4086)*(E2=E$1:E4086))))))</f>
        <v> </v>
      </c>
      <c r="K4087" s="25" t="str">
        <f>IF(OR(E4087="",E4087="!!!",F4087="NEW"),"",INDEX(J$1:J4086,SUMPRODUCT(MAX(ROW(E$1:E4086)*(E4087=E$1:E4086)))))</f>
        <v> </v>
      </c>
      <c r="L4087" s="26"/>
    </row>
    <row r="4088" spans="1:12">
      <c r="A4088" s="20" t="s">
        <v>1951</v>
      </c>
      <c r="B4088" s="27" t="s">
        <v>779</v>
      </c>
      <c r="C4088" s="27" t="s">
        <v>744</v>
      </c>
      <c r="E4088" s="21">
        <f>IF(D4088="?OLD","!!!","")</f>
        <v/>
      </c>
      <c r="F4088" s="22" t="str">
        <f>IF(OR(E4088="",E4088="!!!"),"",IF(NOT(ISNA(VLOOKUP(E4088,E$1:E4087,1,FALSE()))),"OLD",IF(AND(E4088&lt;&gt;"",E4088&lt;&gt;"!!!"),"NEW","")))</f>
        <v> </v>
      </c>
      <c r="G4088" s="23" t="str">
        <f>IF(OR(E4088="",E4088="!!!"),"",IF(OR(J4088=0,AND(J4088=1,K4088=1),AND(J4088=1,I4088="SBJ"),AND(J4088=1,I4088=0)),"?IN_FOCUS",IF(J4088&lt;=2,"?ACTIVATED",IF(J4088&lt;&gt;"","?FAMILIAR",IF(F4088="NEW",IF(ISNA(VLOOKUP(E4088,#REF!,1,FALSE())),"?TYPE_IDENTIFIABLE","?REFERENTIAL"),"_")))))</f>
        <v> </v>
      </c>
      <c r="H4088" s="24" t="str">
        <f>IF(J4088&lt;&gt;1,"",IF(I4088="SBJ","CB","?"))</f>
        <v> </v>
      </c>
      <c r="I4088" s="25" t="str">
        <f>IF(OR(E4088="",E4088="!!!",F4088="NEW"),"",INDEX(B4087:B$2,-1+SUMPRODUCT(MAX(ROW(E4087:E$2)*(E4088=E4087:E$2)))))</f>
        <v> </v>
      </c>
      <c r="J4088" s="25" t="str">
        <f>IF(OR(E4088="",E4088="!!!",F4088="NEW"),"",COUNTBLANK(OFFSET(A$1,,,SUMPRODUCT(MAX(ROW(E$2:E4088)*(E4088=E$2:E4088)))))-COUNTBLANK(OFFSET(A$1,,,SUMPRODUCT(MAX(ROW(E$1:E4087)*(E2=E$1:E4087))))))</f>
        <v> </v>
      </c>
      <c r="K4088" s="25" t="str">
        <f>IF(OR(E4088="",E4088="!!!",F4088="NEW"),"",INDEX(J$1:J4087,SUMPRODUCT(MAX(ROW(E$1:E4087)*(E4088=E$1:E4087)))))</f>
        <v> </v>
      </c>
      <c r="L4088" s="26"/>
    </row>
    <row r="4089" spans="1:12">
      <c r="A4089" s="20" t="s">
        <v>1724</v>
      </c>
      <c r="E4089" s="21">
        <f>IF(D4089="?OLD","!!!","")</f>
        <v/>
      </c>
      <c r="F4089" s="22" t="str">
        <f>IF(OR(E4089="",E4089="!!!"),"",IF(NOT(ISNA(VLOOKUP(E4089,E$1:E4088,1,FALSE()))),"OLD",IF(AND(E4089&lt;&gt;"",E4089&lt;&gt;"!!!"),"NEW","")))</f>
        <v> </v>
      </c>
      <c r="G4089" s="23" t="str">
        <f>IF(OR(E4089="",E4089="!!!"),"",IF(OR(J4089=0,AND(J4089=1,K4089=1),AND(J4089=1,I4089="SBJ"),AND(J4089=1,I4089=0)),"?IN_FOCUS",IF(J4089&lt;=2,"?ACTIVATED",IF(J4089&lt;&gt;"","?FAMILIAR",IF(F4089="NEW",IF(ISNA(VLOOKUP(E4089,#REF!,1,FALSE())),"?TYPE_IDENTIFIABLE","?REFERENTIAL"),"_")))))</f>
        <v> </v>
      </c>
      <c r="H4089" s="24" t="str">
        <f>IF(J4089&lt;&gt;1,"",IF(I4089="SBJ","CB","?"))</f>
        <v> </v>
      </c>
      <c r="I4089" s="25" t="str">
        <f>IF(OR(E4089="",E4089="!!!",F4089="NEW"),"",INDEX(B4088:B$2,-1+SUMPRODUCT(MAX(ROW(E4088:E$2)*(E4089=E4088:E$2)))))</f>
        <v> </v>
      </c>
      <c r="J4089" s="25" t="str">
        <f>IF(OR(E4089="",E4089="!!!",F4089="NEW"),"",COUNTBLANK(OFFSET(A$1,,,SUMPRODUCT(MAX(ROW(E$2:E4089)*(E4089=E$2:E4089)))))-COUNTBLANK(OFFSET(A$1,,,SUMPRODUCT(MAX(ROW(E$1:E4088)*(E2=E$1:E4088))))))</f>
        <v> </v>
      </c>
      <c r="K4089" s="25" t="str">
        <f>IF(OR(E4089="",E4089="!!!",F4089="NEW"),"",INDEX(J$1:J4088,SUMPRODUCT(MAX(ROW(E$1:E4088)*(E4089=E$1:E4088)))))</f>
        <v> </v>
      </c>
      <c r="L4089" s="26"/>
    </row>
    <row r="4090" spans="1:12">
      <c r="A4090" s="20" t="s">
        <v>817</v>
      </c>
      <c r="E4090" s="21">
        <f>IF(D4090="?OLD","!!!","")</f>
        <v/>
      </c>
      <c r="F4090" s="22" t="str">
        <f>IF(OR(E4090="",E4090="!!!"),"",IF(NOT(ISNA(VLOOKUP(E4090,E$1:E4089,1,FALSE()))),"OLD",IF(AND(E4090&lt;&gt;"",E4090&lt;&gt;"!!!"),"NEW","")))</f>
        <v> </v>
      </c>
      <c r="G4090" s="23" t="str">
        <f>IF(OR(E4090="",E4090="!!!"),"",IF(OR(J4090=0,AND(J4090=1,K4090=1),AND(J4090=1,I4090="SBJ"),AND(J4090=1,I4090=0)),"?IN_FOCUS",IF(J4090&lt;=2,"?ACTIVATED",IF(J4090&lt;&gt;"","?FAMILIAR",IF(F4090="NEW",IF(ISNA(VLOOKUP(E4090,#REF!,1,FALSE())),"?TYPE_IDENTIFIABLE","?REFERENTIAL"),"_")))))</f>
        <v> </v>
      </c>
      <c r="H4090" s="24" t="str">
        <f>IF(J4090&lt;&gt;1,"",IF(I4090="SBJ","CB","?"))</f>
        <v> </v>
      </c>
      <c r="I4090" s="25" t="str">
        <f>IF(OR(E4090="",E4090="!!!",F4090="NEW"),"",INDEX(B4089:B$2,-1+SUMPRODUCT(MAX(ROW(E4089:E$2)*(E4090=E4089:E$2)))))</f>
        <v> </v>
      </c>
      <c r="J4090" s="25" t="str">
        <f>IF(OR(E4090="",E4090="!!!",F4090="NEW"),"",COUNTBLANK(OFFSET(A$1,,,SUMPRODUCT(MAX(ROW(E$2:E4090)*(E4090=E$2:E4090)))))-COUNTBLANK(OFFSET(A$1,,,SUMPRODUCT(MAX(ROW(E$1:E4089)*(E2=E$1:E4089))))))</f>
        <v> </v>
      </c>
      <c r="K4090" s="25" t="str">
        <f>IF(OR(E4090="",E4090="!!!",F4090="NEW"),"",INDEX(J$1:J4089,SUMPRODUCT(MAX(ROW(E$1:E4089)*(E4090=E$1:E4089)))))</f>
        <v> </v>
      </c>
      <c r="L4090" s="26"/>
    </row>
    <row r="4091" spans="1:12">
      <c r="A4091" s="20" t="s">
        <v>947</v>
      </c>
      <c r="E4091" s="21">
        <f>IF(D4091="?OLD","!!!","")</f>
        <v/>
      </c>
      <c r="F4091" s="22" t="str">
        <f>IF(OR(E4091="",E4091="!!!"),"",IF(NOT(ISNA(VLOOKUP(E4091,E$1:E4090,1,FALSE()))),"OLD",IF(AND(E4091&lt;&gt;"",E4091&lt;&gt;"!!!"),"NEW","")))</f>
        <v> </v>
      </c>
      <c r="G4091" s="23" t="str">
        <f>IF(OR(E4091="",E4091="!!!"),"",IF(OR(J4091=0,AND(J4091=1,K4091=1),AND(J4091=1,I4091="SBJ"),AND(J4091=1,I4091=0)),"?IN_FOCUS",IF(J4091&lt;=2,"?ACTIVATED",IF(J4091&lt;&gt;"","?FAMILIAR",IF(F4091="NEW",IF(ISNA(VLOOKUP(E4091,#REF!,1,FALSE())),"?TYPE_IDENTIFIABLE","?REFERENTIAL"),"_")))))</f>
        <v> </v>
      </c>
      <c r="H4091" s="24" t="str">
        <f>IF(J4091&lt;&gt;1,"",IF(I4091="SBJ","CB","?"))</f>
        <v> </v>
      </c>
      <c r="I4091" s="25" t="str">
        <f>IF(OR(E4091="",E4091="!!!",F4091="NEW"),"",INDEX(B4090:B$2,-1+SUMPRODUCT(MAX(ROW(E4090:E$2)*(E4091=E4090:E$2)))))</f>
        <v> </v>
      </c>
      <c r="J4091" s="25" t="str">
        <f>IF(OR(E4091="",E4091="!!!",F4091="NEW"),"",COUNTBLANK(OFFSET(A$1,,,SUMPRODUCT(MAX(ROW(E$2:E4091)*(E4091=E$2:E4091)))))-COUNTBLANK(OFFSET(A$1,,,SUMPRODUCT(MAX(ROW(E$1:E4090)*(E2=E$1:E4090))))))</f>
        <v> </v>
      </c>
      <c r="K4091" s="25" t="str">
        <f>IF(OR(E4091="",E4091="!!!",F4091="NEW"),"",INDEX(J$1:J4090,SUMPRODUCT(MAX(ROW(E$1:E4090)*(E4091=E$1:E4090)))))</f>
        <v> </v>
      </c>
      <c r="L4091" s="26"/>
    </row>
    <row r="4092" spans="1:12">
      <c r="A4092" s="20" t="s">
        <v>788</v>
      </c>
      <c r="E4092" s="21">
        <f>IF(D4092="?OLD","!!!","")</f>
        <v/>
      </c>
      <c r="F4092" s="22" t="str">
        <f>IF(OR(E4092="",E4092="!!!"),"",IF(NOT(ISNA(VLOOKUP(E4092,E$1:E4091,1,FALSE()))),"OLD",IF(AND(E4092&lt;&gt;"",E4092&lt;&gt;"!!!"),"NEW","")))</f>
        <v> </v>
      </c>
      <c r="G4092" s="23" t="str">
        <f>IF(OR(E4092="",E4092="!!!"),"",IF(OR(J4092=0,AND(J4092=1,K4092=1),AND(J4092=1,I4092="SBJ"),AND(J4092=1,I4092=0)),"?IN_FOCUS",IF(J4092&lt;=2,"?ACTIVATED",IF(J4092&lt;&gt;"","?FAMILIAR",IF(F4092="NEW",IF(ISNA(VLOOKUP(E4092,#REF!,1,FALSE())),"?TYPE_IDENTIFIABLE","?REFERENTIAL"),"_")))))</f>
        <v> </v>
      </c>
      <c r="H4092" s="24" t="str">
        <f>IF(J4092&lt;&gt;1,"",IF(I4092="SBJ","CB","?"))</f>
        <v> </v>
      </c>
      <c r="I4092" s="25" t="str">
        <f>IF(OR(E4092="",E4092="!!!",F4092="NEW"),"",INDEX(B4091:B$2,-1+SUMPRODUCT(MAX(ROW(E4091:E$2)*(E4092=E4091:E$2)))))</f>
        <v> </v>
      </c>
      <c r="J4092" s="25" t="str">
        <f>IF(OR(E4092="",E4092="!!!",F4092="NEW"),"",COUNTBLANK(OFFSET(A$1,,,SUMPRODUCT(MAX(ROW(E$2:E4092)*(E4092=E$2:E4092)))))-COUNTBLANK(OFFSET(A$1,,,SUMPRODUCT(MAX(ROW(E$1:E4091)*(E2=E$1:E4091))))))</f>
        <v> </v>
      </c>
      <c r="K4092" s="25" t="str">
        <f>IF(OR(E4092="",E4092="!!!",F4092="NEW"),"",INDEX(J$1:J4091,SUMPRODUCT(MAX(ROW(E$1:E4091)*(E4092=E$1:E4091)))))</f>
        <v> </v>
      </c>
      <c r="L4092" s="26"/>
    </row>
    <row r="4093" spans="1:12">
      <c r="A4093" s="20" t="s">
        <v>914</v>
      </c>
      <c r="B4093" s="27" t="s">
        <v>733</v>
      </c>
      <c r="C4093" s="27" t="s">
        <v>734</v>
      </c>
      <c r="E4093" s="21">
        <f>IF(D4093="?OLD","!!!","")</f>
        <v/>
      </c>
      <c r="F4093" s="22" t="str">
        <f>IF(OR(E4093="",E4093="!!!"),"",IF(NOT(ISNA(VLOOKUP(E4093,E$1:E4092,1,FALSE()))),"OLD",IF(AND(E4093&lt;&gt;"",E4093&lt;&gt;"!!!"),"NEW","")))</f>
        <v> </v>
      </c>
      <c r="G4093" s="23" t="str">
        <f>IF(OR(E4093="",E4093="!!!"),"",IF(OR(J4093=0,AND(J4093=1,K4093=1),AND(J4093=1,I4093="SBJ"),AND(J4093=1,I4093=0)),"?IN_FOCUS",IF(J4093&lt;=2,"?ACTIVATED",IF(J4093&lt;&gt;"","?FAMILIAR",IF(F4093="NEW",IF(ISNA(VLOOKUP(E4093,#REF!,1,FALSE())),"?TYPE_IDENTIFIABLE","?REFERENTIAL"),"_")))))</f>
        <v> </v>
      </c>
      <c r="H4093" s="24" t="str">
        <f>IF(J4093&lt;&gt;1,"",IF(I4093="SBJ","CB","?"))</f>
        <v> </v>
      </c>
      <c r="I4093" s="25" t="str">
        <f>IF(OR(E4093="",E4093="!!!",F4093="NEW"),"",INDEX(B4092:B$2,-1+SUMPRODUCT(MAX(ROW(E4092:E$2)*(E4093=E4092:E$2)))))</f>
        <v> </v>
      </c>
      <c r="J4093" s="25" t="str">
        <f>IF(OR(E4093="",E4093="!!!",F4093="NEW"),"",COUNTBLANK(OFFSET(A$1,,,SUMPRODUCT(MAX(ROW(E$2:E4093)*(E4093=E$2:E4093)))))-COUNTBLANK(OFFSET(A$1,,,SUMPRODUCT(MAX(ROW(E$1:E4092)*(E2=E$1:E4092))))))</f>
        <v> </v>
      </c>
      <c r="K4093" s="25" t="str">
        <f>IF(OR(E4093="",E4093="!!!",F4093="NEW"),"",INDEX(J$1:J4092,SUMPRODUCT(MAX(ROW(E$1:E4092)*(E4093=E$1:E4092)))))</f>
        <v> </v>
      </c>
      <c r="L4093" s="26"/>
    </row>
    <row r="4094" spans="1:12">
      <c r="A4094" s="20" t="s">
        <v>869</v>
      </c>
      <c r="E4094" s="21">
        <f>IF(D4094="?OLD","!!!","")</f>
        <v/>
      </c>
      <c r="F4094" s="22" t="str">
        <f>IF(OR(E4094="",E4094="!!!"),"",IF(NOT(ISNA(VLOOKUP(E4094,E$1:E4093,1,FALSE()))),"OLD",IF(AND(E4094&lt;&gt;"",E4094&lt;&gt;"!!!"),"NEW","")))</f>
        <v> </v>
      </c>
      <c r="G4094" s="23" t="str">
        <f>IF(OR(E4094="",E4094="!!!"),"",IF(OR(J4094=0,AND(J4094=1,K4094=1),AND(J4094=1,I4094="SBJ"),AND(J4094=1,I4094=0)),"?IN_FOCUS",IF(J4094&lt;=2,"?ACTIVATED",IF(J4094&lt;&gt;"","?FAMILIAR",IF(F4094="NEW",IF(ISNA(VLOOKUP(E4094,#REF!,1,FALSE())),"?TYPE_IDENTIFIABLE","?REFERENTIAL"),"_")))))</f>
        <v> </v>
      </c>
      <c r="H4094" s="24" t="str">
        <f>IF(J4094&lt;&gt;1,"",IF(I4094="SBJ","CB","?"))</f>
        <v> </v>
      </c>
      <c r="I4094" s="25" t="str">
        <f>IF(OR(E4094="",E4094="!!!",F4094="NEW"),"",INDEX(B4093:B$2,-1+SUMPRODUCT(MAX(ROW(E4093:E$2)*(E4094=E4093:E$2)))))</f>
        <v> </v>
      </c>
      <c r="J4094" s="25" t="str">
        <f>IF(OR(E4094="",E4094="!!!",F4094="NEW"),"",COUNTBLANK(OFFSET(A$1,,,SUMPRODUCT(MAX(ROW(E$2:E4094)*(E4094=E$2:E4094)))))-COUNTBLANK(OFFSET(A$1,,,SUMPRODUCT(MAX(ROW(E$1:E4093)*(E2=E$1:E4093))))))</f>
        <v> </v>
      </c>
      <c r="K4094" s="25" t="str">
        <f>IF(OR(E4094="",E4094="!!!",F4094="NEW"),"",INDEX(J$1:J4093,SUMPRODUCT(MAX(ROW(E$1:E4093)*(E4094=E$1:E4093)))))</f>
        <v> </v>
      </c>
      <c r="L4094" s="26"/>
    </row>
    <row r="4095" spans="1:12">
      <c r="A4095" s="20" t="s">
        <v>746</v>
      </c>
      <c r="E4095" s="21">
        <f>IF(D4095="?OLD","!!!","")</f>
        <v/>
      </c>
      <c r="F4095" s="22" t="str">
        <f>IF(OR(E4095="",E4095="!!!"),"",IF(NOT(ISNA(VLOOKUP(E4095,E$1:E4094,1,FALSE()))),"OLD",IF(AND(E4095&lt;&gt;"",E4095&lt;&gt;"!!!"),"NEW","")))</f>
        <v> </v>
      </c>
      <c r="G4095" s="23" t="str">
        <f>IF(OR(E4095="",E4095="!!!"),"",IF(OR(J4095=0,AND(J4095=1,K4095=1),AND(J4095=1,I4095="SBJ"),AND(J4095=1,I4095=0)),"?IN_FOCUS",IF(J4095&lt;=2,"?ACTIVATED",IF(J4095&lt;&gt;"","?FAMILIAR",IF(F4095="NEW",IF(ISNA(VLOOKUP(E4095,#REF!,1,FALSE())),"?TYPE_IDENTIFIABLE","?REFERENTIAL"),"_")))))</f>
        <v> </v>
      </c>
      <c r="H4095" s="24" t="str">
        <f>IF(J4095&lt;&gt;1,"",IF(I4095="SBJ","CB","?"))</f>
        <v> </v>
      </c>
      <c r="I4095" s="25" t="str">
        <f>IF(OR(E4095="",E4095="!!!",F4095="NEW"),"",INDEX(B4094:B$2,-1+SUMPRODUCT(MAX(ROW(E4094:E$2)*(E4095=E4094:E$2)))))</f>
        <v> </v>
      </c>
      <c r="J4095" s="25" t="str">
        <f>IF(OR(E4095="",E4095="!!!",F4095="NEW"),"",COUNTBLANK(OFFSET(A$1,,,SUMPRODUCT(MAX(ROW(E$2:E4095)*(E4095=E$2:E4095)))))-COUNTBLANK(OFFSET(A$1,,,SUMPRODUCT(MAX(ROW(E$1:E4094)*(E2=E$1:E4094))))))</f>
        <v> </v>
      </c>
      <c r="K4095" s="25" t="str">
        <f>IF(OR(E4095="",E4095="!!!",F4095="NEW"),"",INDEX(J$1:J4094,SUMPRODUCT(MAX(ROW(E$1:E4094)*(E4095=E$1:E4094)))))</f>
        <v> </v>
      </c>
      <c r="L4095" s="26"/>
    </row>
    <row r="4096" spans="1:12">
      <c r="A4096" s="20"/>
    </row>
    <row r="4097" spans="1:12">
      <c r="A4097" s="20" t="s">
        <v>1952</v>
      </c>
    </row>
    <row r="4098" spans="1:12">
      <c r="A4098" s="20" t="s">
        <v>1953</v>
      </c>
      <c r="E4098" s="21">
        <f>IF(D4098="?OLD","!!!","")</f>
        <v/>
      </c>
      <c r="F4098" s="22" t="str">
        <f>IF(OR(E4098="",E4098="!!!"),"",IF(NOT(ISNA(VLOOKUP(E4098,E$1:E4097,1,FALSE()))),"OLD",IF(AND(E4098&lt;&gt;"",E4098&lt;&gt;"!!!"),"NEW","")))</f>
        <v> </v>
      </c>
      <c r="G4098" s="23" t="str">
        <f>IF(OR(E4098="",E4098="!!!"),"",IF(OR(J4098=0,AND(J4098=1,K4098=1),AND(J4098=1,I4098="SBJ"),AND(J4098=1,I4098=0)),"?IN_FOCUS",IF(J4098&lt;=2,"?ACTIVATED",IF(J4098&lt;&gt;"","?FAMILIAR",IF(F4098="NEW",IF(ISNA(VLOOKUP(E4098,#REF!,1,FALSE())),"?TYPE_IDENTIFIABLE","?REFERENTIAL"),"_")))))</f>
        <v> </v>
      </c>
      <c r="H4098" s="24" t="str">
        <f>IF(J4098&lt;&gt;1,"",IF(I4098="SBJ","CB","?"))</f>
        <v> </v>
      </c>
      <c r="I4098" s="25" t="str">
        <f>IF(OR(E4098="",E4098="!!!",F4098="NEW"),"",INDEX(B4097:B$2,-1+SUMPRODUCT(MAX(ROW(E4097:E$2)*(E4098=E4097:E$2)))))</f>
        <v> </v>
      </c>
      <c r="J4098" s="25" t="str">
        <f>IF(OR(E4098="",E4098="!!!",F4098="NEW"),"",COUNTBLANK(OFFSET(A$1,,,SUMPRODUCT(MAX(ROW(E$2:E4098)*(E4098=E$2:E4098)))))-COUNTBLANK(OFFSET(A$1,,,SUMPRODUCT(MAX(ROW(E$1:E4097)*(E2=E$1:E4097))))))</f>
        <v> </v>
      </c>
      <c r="K4098" s="25" t="str">
        <f>IF(OR(E4098="",E4098="!!!",F4098="NEW"),"",INDEX(J$1:J4097,SUMPRODUCT(MAX(ROW(E$1:E4097)*(E4098=E$1:E4097)))))</f>
        <v> </v>
      </c>
      <c r="L4098" s="26"/>
    </row>
    <row r="4099" spans="1:12">
      <c r="A4099" s="20" t="s">
        <v>881</v>
      </c>
      <c r="B4099" s="27" t="s">
        <v>756</v>
      </c>
      <c r="C4099" s="27" t="s">
        <v>749</v>
      </c>
      <c r="D4099" s="27" t="s">
        <v>740</v>
      </c>
      <c r="E4099" s="21">
        <f>IF(D4099="?OLD","!!!","")</f>
        <v/>
      </c>
      <c r="F4099" s="22" t="str">
        <f>IF(OR(E4099="",E4099="!!!"),"",IF(NOT(ISNA(VLOOKUP(E4099,E$1:E4098,1,FALSE()))),"OLD",IF(AND(E4099&lt;&gt;"",E4099&lt;&gt;"!!!"),"NEW","")))</f>
        <v> </v>
      </c>
      <c r="G4099" s="23" t="str">
        <f>IF(OR(E4099="",E4099="!!!"),"",IF(OR(J4099=0,AND(J4099=1,K4099=1),AND(J4099=1,I4099="SBJ"),AND(J4099=1,I4099=0)),"?IN_FOCUS",IF(J4099&lt;=2,"?ACTIVATED",IF(J4099&lt;&gt;"","?FAMILIAR",IF(F4099="NEW",IF(ISNA(VLOOKUP(E4099,#REF!,1,FALSE())),"?TYPE_IDENTIFIABLE","?REFERENTIAL"),"_")))))</f>
        <v> </v>
      </c>
      <c r="H4099" s="24" t="str">
        <f>IF(J4099&lt;&gt;1,"",IF(I4099="SBJ","CB","?"))</f>
        <v> </v>
      </c>
      <c r="I4099" s="25" t="str">
        <f>IF(OR(E4099="",E4099="!!!",F4099="NEW"),"",INDEX(B4098:B$2,-1+SUMPRODUCT(MAX(ROW(E4098:E$2)*(E4099=E4098:E$2)))))</f>
        <v> </v>
      </c>
      <c r="J4099" s="25" t="str">
        <f>IF(OR(E4099="",E4099="!!!",F4099="NEW"),"",COUNTBLANK(OFFSET(A$1,,,SUMPRODUCT(MAX(ROW(E$2:E4099)*(E4099=E$2:E4099)))))-COUNTBLANK(OFFSET(A$1,,,SUMPRODUCT(MAX(ROW(E$1:E4098)*(E2=E$1:E4098))))))</f>
        <v> </v>
      </c>
      <c r="K4099" s="25" t="str">
        <f>IF(OR(E4099="",E4099="!!!",F4099="NEW"),"",INDEX(J$1:J4098,SUMPRODUCT(MAX(ROW(E$1:E4098)*(E4099=E$1:E4098)))))</f>
        <v> </v>
      </c>
      <c r="L4099" s="26"/>
    </row>
    <row r="4100" spans="1:12">
      <c r="A4100" s="20" t="s">
        <v>1408</v>
      </c>
      <c r="E4100" s="21">
        <f>IF(D4100="?OLD","!!!","")</f>
        <v/>
      </c>
      <c r="F4100" s="22" t="str">
        <f>IF(OR(E4100="",E4100="!!!"),"",IF(NOT(ISNA(VLOOKUP(E4100,E$1:E4099,1,FALSE()))),"OLD",IF(AND(E4100&lt;&gt;"",E4100&lt;&gt;"!!!"),"NEW","")))</f>
        <v> </v>
      </c>
      <c r="G4100" s="23" t="str">
        <f>IF(OR(E4100="",E4100="!!!"),"",IF(OR(J4100=0,AND(J4100=1,K4100=1),AND(J4100=1,I4100="SBJ"),AND(J4100=1,I4100=0)),"?IN_FOCUS",IF(J4100&lt;=2,"?ACTIVATED",IF(J4100&lt;&gt;"","?FAMILIAR",IF(F4100="NEW",IF(ISNA(VLOOKUP(E4100,#REF!,1,FALSE())),"?TYPE_IDENTIFIABLE","?REFERENTIAL"),"_")))))</f>
        <v> </v>
      </c>
      <c r="H4100" s="24" t="str">
        <f>IF(J4100&lt;&gt;1,"",IF(I4100="SBJ","CB","?"))</f>
        <v> </v>
      </c>
      <c r="I4100" s="25" t="str">
        <f>IF(OR(E4100="",E4100="!!!",F4100="NEW"),"",INDEX(B4099:B$2,-1+SUMPRODUCT(MAX(ROW(E4099:E$2)*(E4100=E4099:E$2)))))</f>
        <v> </v>
      </c>
      <c r="J4100" s="25" t="str">
        <f>IF(OR(E4100="",E4100="!!!",F4100="NEW"),"",COUNTBLANK(OFFSET(A$1,,,SUMPRODUCT(MAX(ROW(E$2:E4100)*(E4100=E$2:E4100)))))-COUNTBLANK(OFFSET(A$1,,,SUMPRODUCT(MAX(ROW(E$1:E4099)*(E2=E$1:E4099))))))</f>
        <v> </v>
      </c>
      <c r="K4100" s="25" t="str">
        <f>IF(OR(E4100="",E4100="!!!",F4100="NEW"),"",INDEX(J$1:J4099,SUMPRODUCT(MAX(ROW(E$1:E4099)*(E4100=E$1:E4099)))))</f>
        <v> </v>
      </c>
      <c r="L4100" s="26"/>
    </row>
    <row r="4101" spans="1:12">
      <c r="A4101" s="20" t="s">
        <v>807</v>
      </c>
      <c r="B4101" s="27" t="s">
        <v>771</v>
      </c>
      <c r="C4101" s="27" t="s">
        <v>749</v>
      </c>
      <c r="D4101" s="27" t="s">
        <v>740</v>
      </c>
      <c r="E4101" s="21">
        <f>IF(D4101="?OLD","!!!","")</f>
        <v/>
      </c>
      <c r="F4101" s="22" t="str">
        <f>IF(OR(E4101="",E4101="!!!"),"",IF(NOT(ISNA(VLOOKUP(E4101,E$1:E4100,1,FALSE()))),"OLD",IF(AND(E4101&lt;&gt;"",E4101&lt;&gt;"!!!"),"NEW","")))</f>
        <v> </v>
      </c>
      <c r="G4101" s="23" t="str">
        <f>IF(OR(E4101="",E4101="!!!"),"",IF(OR(J4101=0,AND(J4101=1,K4101=1),AND(J4101=1,I4101="SBJ"),AND(J4101=1,I4101=0)),"?IN_FOCUS",IF(J4101&lt;=2,"?ACTIVATED",IF(J4101&lt;&gt;"","?FAMILIAR",IF(F4101="NEW",IF(ISNA(VLOOKUP(E4101,#REF!,1,FALSE())),"?TYPE_IDENTIFIABLE","?REFERENTIAL"),"_")))))</f>
        <v> </v>
      </c>
      <c r="H4101" s="24" t="str">
        <f>IF(J4101&lt;&gt;1,"",IF(I4101="SBJ","CB","?"))</f>
        <v> </v>
      </c>
      <c r="I4101" s="25" t="str">
        <f>IF(OR(E4101="",E4101="!!!",F4101="NEW"),"",INDEX(B4100:B$2,-1+SUMPRODUCT(MAX(ROW(E4100:E$2)*(E4101=E4100:E$2)))))</f>
        <v> </v>
      </c>
      <c r="J4101" s="25" t="str">
        <f>IF(OR(E4101="",E4101="!!!",F4101="NEW"),"",COUNTBLANK(OFFSET(A$1,,,SUMPRODUCT(MAX(ROW(E$2:E4101)*(E4101=E$2:E4101)))))-COUNTBLANK(OFFSET(A$1,,,SUMPRODUCT(MAX(ROW(E$1:E4100)*(E2=E$1:E4100))))))</f>
        <v> </v>
      </c>
      <c r="K4101" s="25" t="str">
        <f>IF(OR(E4101="",E4101="!!!",F4101="NEW"),"",INDEX(J$1:J4100,SUMPRODUCT(MAX(ROW(E$1:E4100)*(E4101=E$1:E4100)))))</f>
        <v> </v>
      </c>
      <c r="L4101" s="26"/>
    </row>
    <row r="4102" spans="1:12">
      <c r="A4102" s="20" t="s">
        <v>1138</v>
      </c>
      <c r="E4102" s="21">
        <f>IF(D4102="?OLD","!!!","")</f>
        <v/>
      </c>
      <c r="F4102" s="22" t="str">
        <f>IF(OR(E4102="",E4102="!!!"),"",IF(NOT(ISNA(VLOOKUP(E4102,E$1:E4101,1,FALSE()))),"OLD",IF(AND(E4102&lt;&gt;"",E4102&lt;&gt;"!!!"),"NEW","")))</f>
        <v> </v>
      </c>
      <c r="G4102" s="23" t="str">
        <f>IF(OR(E4102="",E4102="!!!"),"",IF(OR(J4102=0,AND(J4102=1,K4102=1),AND(J4102=1,I4102="SBJ"),AND(J4102=1,I4102=0)),"?IN_FOCUS",IF(J4102&lt;=2,"?ACTIVATED",IF(J4102&lt;&gt;"","?FAMILIAR",IF(F4102="NEW",IF(ISNA(VLOOKUP(E4102,#REF!,1,FALSE())),"?TYPE_IDENTIFIABLE","?REFERENTIAL"),"_")))))</f>
        <v> </v>
      </c>
      <c r="H4102" s="24" t="str">
        <f>IF(J4102&lt;&gt;1,"",IF(I4102="SBJ","CB","?"))</f>
        <v> </v>
      </c>
      <c r="I4102" s="25" t="str">
        <f>IF(OR(E4102="",E4102="!!!",F4102="NEW"),"",INDEX(B4101:B$2,-1+SUMPRODUCT(MAX(ROW(E4101:E$2)*(E4102=E4101:E$2)))))</f>
        <v> </v>
      </c>
      <c r="J4102" s="25" t="str">
        <f>IF(OR(E4102="",E4102="!!!",F4102="NEW"),"",COUNTBLANK(OFFSET(A$1,,,SUMPRODUCT(MAX(ROW(E$2:E4102)*(E4102=E$2:E4102)))))-COUNTBLANK(OFFSET(A$1,,,SUMPRODUCT(MAX(ROW(E$1:E4101)*(E2=E$1:E4101))))))</f>
        <v> </v>
      </c>
      <c r="K4102" s="25" t="str">
        <f>IF(OR(E4102="",E4102="!!!",F4102="NEW"),"",INDEX(J$1:J4101,SUMPRODUCT(MAX(ROW(E$1:E4101)*(E4102=E$1:E4101)))))</f>
        <v> </v>
      </c>
      <c r="L4102" s="26"/>
    </row>
    <row r="4103" spans="1:12">
      <c r="A4103" s="20" t="s">
        <v>741</v>
      </c>
      <c r="E4103" s="21">
        <f>IF(D4103="?OLD","!!!","")</f>
        <v/>
      </c>
      <c r="F4103" s="22" t="str">
        <f>IF(OR(E4103="",E4103="!!!"),"",IF(NOT(ISNA(VLOOKUP(E4103,E$1:E4102,1,FALSE()))),"OLD",IF(AND(E4103&lt;&gt;"",E4103&lt;&gt;"!!!"),"NEW","")))</f>
        <v> </v>
      </c>
      <c r="G4103" s="23" t="str">
        <f>IF(OR(E4103="",E4103="!!!"),"",IF(OR(J4103=0,AND(J4103=1,K4103=1),AND(J4103=1,I4103="SBJ"),AND(J4103=1,I4103=0)),"?IN_FOCUS",IF(J4103&lt;=2,"?ACTIVATED",IF(J4103&lt;&gt;"","?FAMILIAR",IF(F4103="NEW",IF(ISNA(VLOOKUP(E4103,#REF!,1,FALSE())),"?TYPE_IDENTIFIABLE","?REFERENTIAL"),"_")))))</f>
        <v> </v>
      </c>
      <c r="H4103" s="24" t="str">
        <f>IF(J4103&lt;&gt;1,"",IF(I4103="SBJ","CB","?"))</f>
        <v> </v>
      </c>
      <c r="I4103" s="25" t="str">
        <f>IF(OR(E4103="",E4103="!!!",F4103="NEW"),"",INDEX(B4102:B$2,-1+SUMPRODUCT(MAX(ROW(E4102:E$2)*(E4103=E4102:E$2)))))</f>
        <v> </v>
      </c>
      <c r="J4103" s="25" t="str">
        <f>IF(OR(E4103="",E4103="!!!",F4103="NEW"),"",COUNTBLANK(OFFSET(A$1,,,SUMPRODUCT(MAX(ROW(E$2:E4103)*(E4103=E$2:E4103)))))-COUNTBLANK(OFFSET(A$1,,,SUMPRODUCT(MAX(ROW(E$1:E4102)*(E2=E$1:E4102))))))</f>
        <v> </v>
      </c>
      <c r="K4103" s="25" t="str">
        <f>IF(OR(E4103="",E4103="!!!",F4103="NEW"),"",INDEX(J$1:J4102,SUMPRODUCT(MAX(ROW(E$1:E4102)*(E4103=E$1:E4102)))))</f>
        <v> </v>
      </c>
      <c r="L4103" s="26"/>
    </row>
    <row r="4104" spans="1:12">
      <c r="A4104" s="20" t="s">
        <v>1069</v>
      </c>
      <c r="B4104" s="27" t="s">
        <v>738</v>
      </c>
      <c r="C4104" s="27" t="s">
        <v>744</v>
      </c>
      <c r="E4104" s="21">
        <f>IF(D4104="?OLD","!!!","")</f>
        <v/>
      </c>
      <c r="F4104" s="22" t="str">
        <f>IF(OR(E4104="",E4104="!!!"),"",IF(NOT(ISNA(VLOOKUP(E4104,E$1:E4103,1,FALSE()))),"OLD",IF(AND(E4104&lt;&gt;"",E4104&lt;&gt;"!!!"),"NEW","")))</f>
        <v> </v>
      </c>
      <c r="G4104" s="23" t="str">
        <f>IF(OR(E4104="",E4104="!!!"),"",IF(OR(J4104=0,AND(J4104=1,K4104=1),AND(J4104=1,I4104="SBJ"),AND(J4104=1,I4104=0)),"?IN_FOCUS",IF(J4104&lt;=2,"?ACTIVATED",IF(J4104&lt;&gt;"","?FAMILIAR",IF(F4104="NEW",IF(ISNA(VLOOKUP(E4104,#REF!,1,FALSE())),"?TYPE_IDENTIFIABLE","?REFERENTIAL"),"_")))))</f>
        <v> </v>
      </c>
      <c r="H4104" s="24" t="str">
        <f>IF(J4104&lt;&gt;1,"",IF(I4104="SBJ","CB","?"))</f>
        <v> </v>
      </c>
      <c r="I4104" s="25" t="str">
        <f>IF(OR(E4104="",E4104="!!!",F4104="NEW"),"",INDEX(B4103:B$2,-1+SUMPRODUCT(MAX(ROW(E4103:E$2)*(E4104=E4103:E$2)))))</f>
        <v> </v>
      </c>
      <c r="J4104" s="25" t="str">
        <f>IF(OR(E4104="",E4104="!!!",F4104="NEW"),"",COUNTBLANK(OFFSET(A$1,,,SUMPRODUCT(MAX(ROW(E$2:E4104)*(E4104=E$2:E4104)))))-COUNTBLANK(OFFSET(A$1,,,SUMPRODUCT(MAX(ROW(E$1:E4103)*(E2=E$1:E4103))))))</f>
        <v> </v>
      </c>
      <c r="K4104" s="25" t="str">
        <f>IF(OR(E4104="",E4104="!!!",F4104="NEW"),"",INDEX(J$1:J4103,SUMPRODUCT(MAX(ROW(E$1:E4103)*(E4104=E$1:E4103)))))</f>
        <v> </v>
      </c>
      <c r="L4104" s="26"/>
    </row>
    <row r="4105" spans="1:12">
      <c r="A4105" s="20" t="s">
        <v>753</v>
      </c>
      <c r="E4105" s="21">
        <f>IF(D4105="?OLD","!!!","")</f>
        <v/>
      </c>
      <c r="F4105" s="22" t="str">
        <f>IF(OR(E4105="",E4105="!!!"),"",IF(NOT(ISNA(VLOOKUP(E4105,E$1:E4104,1,FALSE()))),"OLD",IF(AND(E4105&lt;&gt;"",E4105&lt;&gt;"!!!"),"NEW","")))</f>
        <v> </v>
      </c>
      <c r="G4105" s="23" t="str">
        <f>IF(OR(E4105="",E4105="!!!"),"",IF(OR(J4105=0,AND(J4105=1,K4105=1),AND(J4105=1,I4105="SBJ"),AND(J4105=1,I4105=0)),"?IN_FOCUS",IF(J4105&lt;=2,"?ACTIVATED",IF(J4105&lt;&gt;"","?FAMILIAR",IF(F4105="NEW",IF(ISNA(VLOOKUP(E4105,#REF!,1,FALSE())),"?TYPE_IDENTIFIABLE","?REFERENTIAL"),"_")))))</f>
        <v> </v>
      </c>
      <c r="H4105" s="24" t="str">
        <f>IF(J4105&lt;&gt;1,"",IF(I4105="SBJ","CB","?"))</f>
        <v> </v>
      </c>
      <c r="I4105" s="25" t="str">
        <f>IF(OR(E4105="",E4105="!!!",F4105="NEW"),"",INDEX(B4104:B$2,-1+SUMPRODUCT(MAX(ROW(E4104:E$2)*(E4105=E4104:E$2)))))</f>
        <v> </v>
      </c>
      <c r="J4105" s="25" t="str">
        <f>IF(OR(E4105="",E4105="!!!",F4105="NEW"),"",COUNTBLANK(OFFSET(A$1,,,SUMPRODUCT(MAX(ROW(E$2:E4105)*(E4105=E$2:E4105)))))-COUNTBLANK(OFFSET(A$1,,,SUMPRODUCT(MAX(ROW(E$1:E4104)*(E2=E$1:E4104))))))</f>
        <v> </v>
      </c>
      <c r="K4105" s="25" t="str">
        <f>IF(OR(E4105="",E4105="!!!",F4105="NEW"),"",INDEX(J$1:J4104,SUMPRODUCT(MAX(ROW(E$1:E4104)*(E4105=E$1:E4104)))))</f>
        <v> </v>
      </c>
      <c r="L4105" s="26"/>
    </row>
    <row r="4106" spans="1:12">
      <c r="A4106" s="20" t="s">
        <v>788</v>
      </c>
      <c r="E4106" s="21">
        <f>IF(D4106="?OLD","!!!","")</f>
        <v/>
      </c>
      <c r="F4106" s="22" t="str">
        <f>IF(OR(E4106="",E4106="!!!"),"",IF(NOT(ISNA(VLOOKUP(E4106,E$1:E4105,1,FALSE()))),"OLD",IF(AND(E4106&lt;&gt;"",E4106&lt;&gt;"!!!"),"NEW","")))</f>
        <v> </v>
      </c>
      <c r="G4106" s="23" t="str">
        <f>IF(OR(E4106="",E4106="!!!"),"",IF(OR(J4106=0,AND(J4106=1,K4106=1),AND(J4106=1,I4106="SBJ"),AND(J4106=1,I4106=0)),"?IN_FOCUS",IF(J4106&lt;=2,"?ACTIVATED",IF(J4106&lt;&gt;"","?FAMILIAR",IF(F4106="NEW",IF(ISNA(VLOOKUP(E4106,#REF!,1,FALSE())),"?TYPE_IDENTIFIABLE","?REFERENTIAL"),"_")))))</f>
        <v> </v>
      </c>
      <c r="H4106" s="24" t="str">
        <f>IF(J4106&lt;&gt;1,"",IF(I4106="SBJ","CB","?"))</f>
        <v> </v>
      </c>
      <c r="I4106" s="25" t="str">
        <f>IF(OR(E4106="",E4106="!!!",F4106="NEW"),"",INDEX(B4105:B$2,-1+SUMPRODUCT(MAX(ROW(E4105:E$2)*(E4106=E4105:E$2)))))</f>
        <v> </v>
      </c>
      <c r="J4106" s="25" t="str">
        <f>IF(OR(E4106="",E4106="!!!",F4106="NEW"),"",COUNTBLANK(OFFSET(A$1,,,SUMPRODUCT(MAX(ROW(E$2:E4106)*(E4106=E$2:E4106)))))-COUNTBLANK(OFFSET(A$1,,,SUMPRODUCT(MAX(ROW(E$1:E4105)*(E2=E$1:E4105))))))</f>
        <v> </v>
      </c>
      <c r="K4106" s="25" t="str">
        <f>IF(OR(E4106="",E4106="!!!",F4106="NEW"),"",INDEX(J$1:J4105,SUMPRODUCT(MAX(ROW(E$1:E4105)*(E4106=E$1:E4105)))))</f>
        <v> </v>
      </c>
      <c r="L4106" s="26"/>
    </row>
    <row r="4107" spans="1:12">
      <c r="A4107" s="20" t="s">
        <v>847</v>
      </c>
      <c r="B4107" s="27" t="s">
        <v>733</v>
      </c>
      <c r="C4107" s="27" t="s">
        <v>734</v>
      </c>
      <c r="E4107" s="21">
        <f>IF(D4107="?OLD","!!!","")</f>
        <v/>
      </c>
      <c r="F4107" s="22" t="str">
        <f>IF(OR(E4107="",E4107="!!!"),"",IF(NOT(ISNA(VLOOKUP(E4107,E$1:E4106,1,FALSE()))),"OLD",IF(AND(E4107&lt;&gt;"",E4107&lt;&gt;"!!!"),"NEW","")))</f>
        <v> </v>
      </c>
      <c r="G4107" s="23" t="str">
        <f>IF(OR(E4107="",E4107="!!!"),"",IF(OR(J4107=0,AND(J4107=1,K4107=1),AND(J4107=1,I4107="SBJ"),AND(J4107=1,I4107=0)),"?IN_FOCUS",IF(J4107&lt;=2,"?ACTIVATED",IF(J4107&lt;&gt;"","?FAMILIAR",IF(F4107="NEW",IF(ISNA(VLOOKUP(E4107,#REF!,1,FALSE())),"?TYPE_IDENTIFIABLE","?REFERENTIAL"),"_")))))</f>
        <v> </v>
      </c>
      <c r="H4107" s="24" t="str">
        <f>IF(J4107&lt;&gt;1,"",IF(I4107="SBJ","CB","?"))</f>
        <v> </v>
      </c>
      <c r="I4107" s="25" t="str">
        <f>IF(OR(E4107="",E4107="!!!",F4107="NEW"),"",INDEX(B4106:B$2,-1+SUMPRODUCT(MAX(ROW(E4106:E$2)*(E4107=E4106:E$2)))))</f>
        <v> </v>
      </c>
      <c r="J4107" s="25" t="str">
        <f>IF(OR(E4107="",E4107="!!!",F4107="NEW"),"",COUNTBLANK(OFFSET(A$1,,,SUMPRODUCT(MAX(ROW(E$2:E4107)*(E4107=E$2:E4107)))))-COUNTBLANK(OFFSET(A$1,,,SUMPRODUCT(MAX(ROW(E$1:E4106)*(E2=E$1:E4106))))))</f>
        <v> </v>
      </c>
      <c r="K4107" s="25" t="str">
        <f>IF(OR(E4107="",E4107="!!!",F4107="NEW"),"",INDEX(J$1:J4106,SUMPRODUCT(MAX(ROW(E$1:E4106)*(E4107=E$1:E4106)))))</f>
        <v> </v>
      </c>
      <c r="L4107" s="26"/>
    </row>
    <row r="4108" spans="1:12">
      <c r="A4108" s="20" t="s">
        <v>788</v>
      </c>
      <c r="E4108" s="21">
        <f>IF(D4108="?OLD","!!!","")</f>
        <v/>
      </c>
      <c r="F4108" s="22" t="str">
        <f>IF(OR(E4108="",E4108="!!!"),"",IF(NOT(ISNA(VLOOKUP(E4108,E$1:E4107,1,FALSE()))),"OLD",IF(AND(E4108&lt;&gt;"",E4108&lt;&gt;"!!!"),"NEW","")))</f>
        <v> </v>
      </c>
      <c r="G4108" s="23" t="str">
        <f>IF(OR(E4108="",E4108="!!!"),"",IF(OR(J4108=0,AND(J4108=1,K4108=1),AND(J4108=1,I4108="SBJ"),AND(J4108=1,I4108=0)),"?IN_FOCUS",IF(J4108&lt;=2,"?ACTIVATED",IF(J4108&lt;&gt;"","?FAMILIAR",IF(F4108="NEW",IF(ISNA(VLOOKUP(E4108,#REF!,1,FALSE())),"?TYPE_IDENTIFIABLE","?REFERENTIAL"),"_")))))</f>
        <v> </v>
      </c>
      <c r="H4108" s="24" t="str">
        <f>IF(J4108&lt;&gt;1,"",IF(I4108="SBJ","CB","?"))</f>
        <v> </v>
      </c>
      <c r="I4108" s="25" t="str">
        <f>IF(OR(E4108="",E4108="!!!",F4108="NEW"),"",INDEX(B4107:B$2,-1+SUMPRODUCT(MAX(ROW(E4107:E$2)*(E4108=E4107:E$2)))))</f>
        <v> </v>
      </c>
      <c r="J4108" s="25" t="str">
        <f>IF(OR(E4108="",E4108="!!!",F4108="NEW"),"",COUNTBLANK(OFFSET(A$1,,,SUMPRODUCT(MAX(ROW(E$2:E4108)*(E4108=E$2:E4108)))))-COUNTBLANK(OFFSET(A$1,,,SUMPRODUCT(MAX(ROW(E$1:E4107)*(E2=E$1:E4107))))))</f>
        <v> </v>
      </c>
      <c r="K4108" s="25" t="str">
        <f>IF(OR(E4108="",E4108="!!!",F4108="NEW"),"",INDEX(J$1:J4107,SUMPRODUCT(MAX(ROW(E$1:E4107)*(E4108=E$1:E4107)))))</f>
        <v> </v>
      </c>
      <c r="L4108" s="26"/>
    </row>
    <row r="4109" spans="1:12">
      <c r="A4109" s="20" t="s">
        <v>1069</v>
      </c>
      <c r="B4109" s="27" t="s">
        <v>733</v>
      </c>
      <c r="C4109" s="27" t="s">
        <v>734</v>
      </c>
      <c r="E4109" s="21">
        <f>IF(D4109="?OLD","!!!","")</f>
        <v/>
      </c>
      <c r="F4109" s="22" t="str">
        <f>IF(OR(E4109="",E4109="!!!"),"",IF(NOT(ISNA(VLOOKUP(E4109,E$1:E4108,1,FALSE()))),"OLD",IF(AND(E4109&lt;&gt;"",E4109&lt;&gt;"!!!"),"NEW","")))</f>
        <v> </v>
      </c>
      <c r="G4109" s="23" t="str">
        <f>IF(OR(E4109="",E4109="!!!"),"",IF(OR(J4109=0,AND(J4109=1,K4109=1),AND(J4109=1,I4109="SBJ"),AND(J4109=1,I4109=0)),"?IN_FOCUS",IF(J4109&lt;=2,"?ACTIVATED",IF(J4109&lt;&gt;"","?FAMILIAR",IF(F4109="NEW",IF(ISNA(VLOOKUP(E4109,#REF!,1,FALSE())),"?TYPE_IDENTIFIABLE","?REFERENTIAL"),"_")))))</f>
        <v> </v>
      </c>
      <c r="H4109" s="24" t="str">
        <f>IF(J4109&lt;&gt;1,"",IF(I4109="SBJ","CB","?"))</f>
        <v> </v>
      </c>
      <c r="I4109" s="25" t="str">
        <f>IF(OR(E4109="",E4109="!!!",F4109="NEW"),"",INDEX(B4108:B$2,-1+SUMPRODUCT(MAX(ROW(E4108:E$2)*(E4109=E4108:E$2)))))</f>
        <v> </v>
      </c>
      <c r="J4109" s="25" t="str">
        <f>IF(OR(E4109="",E4109="!!!",F4109="NEW"),"",COUNTBLANK(OFFSET(A$1,,,SUMPRODUCT(MAX(ROW(E$2:E4109)*(E4109=E$2:E4109)))))-COUNTBLANK(OFFSET(A$1,,,SUMPRODUCT(MAX(ROW(E$1:E4108)*(E2=E$1:E4108))))))</f>
        <v> </v>
      </c>
      <c r="K4109" s="25" t="str">
        <f>IF(OR(E4109="",E4109="!!!",F4109="NEW"),"",INDEX(J$1:J4108,SUMPRODUCT(MAX(ROW(E$1:E4108)*(E4109=E$1:E4108)))))</f>
        <v> </v>
      </c>
      <c r="L4109" s="26"/>
    </row>
    <row r="4110" spans="1:12">
      <c r="A4110" s="20" t="s">
        <v>430</v>
      </c>
      <c r="E4110" s="21">
        <f>IF(D4110="?OLD","!!!","")</f>
        <v/>
      </c>
      <c r="F4110" s="22" t="str">
        <f>IF(OR(E4110="",E4110="!!!"),"",IF(NOT(ISNA(VLOOKUP(E4110,E$1:E4109,1,FALSE()))),"OLD",IF(AND(E4110&lt;&gt;"",E4110&lt;&gt;"!!!"),"NEW","")))</f>
        <v> </v>
      </c>
      <c r="G4110" s="23" t="str">
        <f>IF(OR(E4110="",E4110="!!!"),"",IF(OR(J4110=0,AND(J4110=1,K4110=1),AND(J4110=1,I4110="SBJ"),AND(J4110=1,I4110=0)),"?IN_FOCUS",IF(J4110&lt;=2,"?ACTIVATED",IF(J4110&lt;&gt;"","?FAMILIAR",IF(F4110="NEW",IF(ISNA(VLOOKUP(E4110,#REF!,1,FALSE())),"?TYPE_IDENTIFIABLE","?REFERENTIAL"),"_")))))</f>
        <v> </v>
      </c>
      <c r="H4110" s="24" t="str">
        <f>IF(J4110&lt;&gt;1,"",IF(I4110="SBJ","CB","?"))</f>
        <v> </v>
      </c>
      <c r="I4110" s="25" t="str">
        <f>IF(OR(E4110="",E4110="!!!",F4110="NEW"),"",INDEX(B4109:B$2,-1+SUMPRODUCT(MAX(ROW(E4109:E$2)*(E4110=E4109:E$2)))))</f>
        <v> </v>
      </c>
      <c r="J4110" s="25" t="str">
        <f>IF(OR(E4110="",E4110="!!!",F4110="NEW"),"",COUNTBLANK(OFFSET(A$1,,,SUMPRODUCT(MAX(ROW(E$2:E4110)*(E4110=E$2:E4110)))))-COUNTBLANK(OFFSET(A$1,,,SUMPRODUCT(MAX(ROW(E$1:E4109)*(E2=E$1:E4109))))))</f>
        <v> </v>
      </c>
      <c r="K4110" s="25" t="str">
        <f>IF(OR(E4110="",E4110="!!!",F4110="NEW"),"",INDEX(J$1:J4109,SUMPRODUCT(MAX(ROW(E$1:E4109)*(E4110=E$1:E4109)))))</f>
        <v> </v>
      </c>
      <c r="L4110" s="26"/>
    </row>
    <row r="4111" spans="1:12">
      <c r="A4111" s="20" t="s">
        <v>991</v>
      </c>
      <c r="E4111" s="21">
        <f>IF(D4111="?OLD","!!!","")</f>
        <v/>
      </c>
      <c r="F4111" s="22" t="str">
        <f>IF(OR(E4111="",E4111="!!!"),"",IF(NOT(ISNA(VLOOKUP(E4111,E$1:E4110,1,FALSE()))),"OLD",IF(AND(E4111&lt;&gt;"",E4111&lt;&gt;"!!!"),"NEW","")))</f>
        <v> </v>
      </c>
      <c r="G4111" s="23" t="str">
        <f>IF(OR(E4111="",E4111="!!!"),"",IF(OR(J4111=0,AND(J4111=1,K4111=1),AND(J4111=1,I4111="SBJ"),AND(J4111=1,I4111=0)),"?IN_FOCUS",IF(J4111&lt;=2,"?ACTIVATED",IF(J4111&lt;&gt;"","?FAMILIAR",IF(F4111="NEW",IF(ISNA(VLOOKUP(E4111,#REF!,1,FALSE())),"?TYPE_IDENTIFIABLE","?REFERENTIAL"),"_")))))</f>
        <v> </v>
      </c>
      <c r="H4111" s="24" t="str">
        <f>IF(J4111&lt;&gt;1,"",IF(I4111="SBJ","CB","?"))</f>
        <v> </v>
      </c>
      <c r="I4111" s="25" t="str">
        <f>IF(OR(E4111="",E4111="!!!",F4111="NEW"),"",INDEX(B4110:B$2,-1+SUMPRODUCT(MAX(ROW(E4110:E$2)*(E4111=E4110:E$2)))))</f>
        <v> </v>
      </c>
      <c r="J4111" s="25" t="str">
        <f>IF(OR(E4111="",E4111="!!!",F4111="NEW"),"",COUNTBLANK(OFFSET(A$1,,,SUMPRODUCT(MAX(ROW(E$2:E4111)*(E4111=E$2:E4111)))))-COUNTBLANK(OFFSET(A$1,,,SUMPRODUCT(MAX(ROW(E$1:E4110)*(E2=E$1:E4110))))))</f>
        <v> </v>
      </c>
      <c r="K4111" s="25" t="str">
        <f>IF(OR(E4111="",E4111="!!!",F4111="NEW"),"",INDEX(J$1:J4110,SUMPRODUCT(MAX(ROW(E$1:E4110)*(E4111=E$1:E4110)))))</f>
        <v> </v>
      </c>
      <c r="L4111" s="26"/>
    </row>
    <row r="4112" spans="1:12">
      <c r="A4112" s="20" t="s">
        <v>1954</v>
      </c>
      <c r="B4112" s="27" t="s">
        <v>756</v>
      </c>
      <c r="C4112" s="27" t="s">
        <v>804</v>
      </c>
      <c r="D4112" s="27" t="s">
        <v>740</v>
      </c>
      <c r="E4112" s="21">
        <f>IF(D4112="?OLD","!!!","")</f>
        <v/>
      </c>
      <c r="F4112" s="22" t="str">
        <f>IF(OR(E4112="",E4112="!!!"),"",IF(NOT(ISNA(VLOOKUP(E4112,E$1:E4111,1,FALSE()))),"OLD",IF(AND(E4112&lt;&gt;"",E4112&lt;&gt;"!!!"),"NEW","")))</f>
        <v> </v>
      </c>
      <c r="G4112" s="23" t="str">
        <f>IF(OR(E4112="",E4112="!!!"),"",IF(OR(J4112=0,AND(J4112=1,K4112=1),AND(J4112=1,I4112="SBJ"),AND(J4112=1,I4112=0)),"?IN_FOCUS",IF(J4112&lt;=2,"?ACTIVATED",IF(J4112&lt;&gt;"","?FAMILIAR",IF(F4112="NEW",IF(ISNA(VLOOKUP(E4112,#REF!,1,FALSE())),"?TYPE_IDENTIFIABLE","?REFERENTIAL"),"_")))))</f>
        <v> </v>
      </c>
      <c r="H4112" s="24" t="str">
        <f>IF(J4112&lt;&gt;1,"",IF(I4112="SBJ","CB","?"))</f>
        <v> </v>
      </c>
      <c r="I4112" s="25" t="str">
        <f>IF(OR(E4112="",E4112="!!!",F4112="NEW"),"",INDEX(B4111:B$2,-1+SUMPRODUCT(MAX(ROW(E4111:E$2)*(E4112=E4111:E$2)))))</f>
        <v> </v>
      </c>
      <c r="J4112" s="25" t="str">
        <f>IF(OR(E4112="",E4112="!!!",F4112="NEW"),"",COUNTBLANK(OFFSET(A$1,,,SUMPRODUCT(MAX(ROW(E$2:E4112)*(E4112=E$2:E4112)))))-COUNTBLANK(OFFSET(A$1,,,SUMPRODUCT(MAX(ROW(E$1:E4111)*(E2=E$1:E4111))))))</f>
        <v> </v>
      </c>
      <c r="K4112" s="25" t="str">
        <f>IF(OR(E4112="",E4112="!!!",F4112="NEW"),"",INDEX(J$1:J4111,SUMPRODUCT(MAX(ROW(E$1:E4111)*(E4112=E$1:E4111)))))</f>
        <v> </v>
      </c>
      <c r="L4112" s="26"/>
    </row>
    <row r="4113" spans="1:12">
      <c r="A4113" s="20" t="s">
        <v>746</v>
      </c>
      <c r="E4113" s="21">
        <f>IF(D4113="?OLD","!!!","")</f>
        <v/>
      </c>
      <c r="F4113" s="22" t="str">
        <f>IF(OR(E4113="",E4113="!!!"),"",IF(NOT(ISNA(VLOOKUP(E4113,E$1:E4112,1,FALSE()))),"OLD",IF(AND(E4113&lt;&gt;"",E4113&lt;&gt;"!!!"),"NEW","")))</f>
        <v> </v>
      </c>
      <c r="G4113" s="23" t="str">
        <f>IF(OR(E4113="",E4113="!!!"),"",IF(OR(J4113=0,AND(J4113=1,K4113=1),AND(J4113=1,I4113="SBJ"),AND(J4113=1,I4113=0)),"?IN_FOCUS",IF(J4113&lt;=2,"?ACTIVATED",IF(J4113&lt;&gt;"","?FAMILIAR",IF(F4113="NEW",IF(ISNA(VLOOKUP(E4113,#REF!,1,FALSE())),"?TYPE_IDENTIFIABLE","?REFERENTIAL"),"_")))))</f>
        <v> </v>
      </c>
      <c r="H4113" s="24" t="str">
        <f>IF(J4113&lt;&gt;1,"",IF(I4113="SBJ","CB","?"))</f>
        <v> </v>
      </c>
      <c r="I4113" s="25" t="str">
        <f>IF(OR(E4113="",E4113="!!!",F4113="NEW"),"",INDEX(B4112:B$2,-1+SUMPRODUCT(MAX(ROW(E4112:E$2)*(E4113=E4112:E$2)))))</f>
        <v> </v>
      </c>
      <c r="J4113" s="25" t="str">
        <f>IF(OR(E4113="",E4113="!!!",F4113="NEW"),"",COUNTBLANK(OFFSET(A$1,,,SUMPRODUCT(MAX(ROW(E$2:E4113)*(E4113=E$2:E4113)))))-COUNTBLANK(OFFSET(A$1,,,SUMPRODUCT(MAX(ROW(E$1:E4112)*(E2=E$1:E4112))))))</f>
        <v> </v>
      </c>
      <c r="K4113" s="25" t="str">
        <f>IF(OR(E4113="",E4113="!!!",F4113="NEW"),"",INDEX(J$1:J4112,SUMPRODUCT(MAX(ROW(E$1:E4112)*(E4113=E$1:E4112)))))</f>
        <v> </v>
      </c>
      <c r="L4113" s="26"/>
    </row>
    <row r="4114" spans="1:12">
      <c r="A4114" s="20"/>
    </row>
    <row r="4115" spans="1:12">
      <c r="A4115" s="20" t="s">
        <v>1955</v>
      </c>
    </row>
    <row r="4116" spans="1:12">
      <c r="A4116" s="20" t="s">
        <v>868</v>
      </c>
      <c r="E4116" s="21">
        <f>IF(D4116="?OLD","!!!","")</f>
        <v/>
      </c>
      <c r="F4116" s="22" t="str">
        <f>IF(OR(E4116="",E4116="!!!"),"",IF(NOT(ISNA(VLOOKUP(E4116,E$1:E4115,1,FALSE()))),"OLD",IF(AND(E4116&lt;&gt;"",E4116&lt;&gt;"!!!"),"NEW","")))</f>
        <v> </v>
      </c>
      <c r="G4116" s="23" t="str">
        <f>IF(OR(E4116="",E4116="!!!"),"",IF(OR(J4116=0,AND(J4116=1,K4116=1),AND(J4116=1,I4116="SBJ"),AND(J4116=1,I4116=0)),"?IN_FOCUS",IF(J4116&lt;=2,"?ACTIVATED",IF(J4116&lt;&gt;"","?FAMILIAR",IF(F4116="NEW",IF(ISNA(VLOOKUP(E4116,#REF!,1,FALSE())),"?TYPE_IDENTIFIABLE","?REFERENTIAL"),"_")))))</f>
        <v> </v>
      </c>
      <c r="H4116" s="24" t="str">
        <f>IF(J4116&lt;&gt;1,"",IF(I4116="SBJ","CB","?"))</f>
        <v> </v>
      </c>
      <c r="I4116" s="25" t="str">
        <f>IF(OR(E4116="",E4116="!!!",F4116="NEW"),"",INDEX(B4115:B$2,-1+SUMPRODUCT(MAX(ROW(E4115:E$2)*(E4116=E4115:E$2)))))</f>
        <v> </v>
      </c>
      <c r="J4116" s="25" t="str">
        <f>IF(OR(E4116="",E4116="!!!",F4116="NEW"),"",COUNTBLANK(OFFSET(A$1,,,SUMPRODUCT(MAX(ROW(E$2:E4116)*(E4116=E$2:E4116)))))-COUNTBLANK(OFFSET(A$1,,,SUMPRODUCT(MAX(ROW(E$1:E4115)*(E2=E$1:E4115))))))</f>
        <v> </v>
      </c>
      <c r="K4116" s="25" t="str">
        <f>IF(OR(E4116="",E4116="!!!",F4116="NEW"),"",INDEX(J$1:J4115,SUMPRODUCT(MAX(ROW(E$1:E4115)*(E4116=E$1:E4115)))))</f>
        <v> </v>
      </c>
      <c r="L4116" s="26"/>
    </row>
    <row r="4117" spans="1:12">
      <c r="A4117" s="20" t="s">
        <v>1943</v>
      </c>
      <c r="B4117" s="27" t="s">
        <v>728</v>
      </c>
      <c r="C4117" s="27" t="s">
        <v>848</v>
      </c>
      <c r="E4117" s="21">
        <f>IF(D4117="?OLD","!!!","")</f>
        <v/>
      </c>
      <c r="F4117" s="22" t="str">
        <f>IF(OR(E4117="",E4117="!!!"),"",IF(NOT(ISNA(VLOOKUP(E4117,E$1:E4116,1,FALSE()))),"OLD",IF(AND(E4117&lt;&gt;"",E4117&lt;&gt;"!!!"),"NEW","")))</f>
        <v> </v>
      </c>
      <c r="G4117" s="23" t="str">
        <f>IF(OR(E4117="",E4117="!!!"),"",IF(OR(J4117=0,AND(J4117=1,K4117=1),AND(J4117=1,I4117="SBJ"),AND(J4117=1,I4117=0)),"?IN_FOCUS",IF(J4117&lt;=2,"?ACTIVATED",IF(J4117&lt;&gt;"","?FAMILIAR",IF(F4117="NEW",IF(ISNA(VLOOKUP(E4117,#REF!,1,FALSE())),"?TYPE_IDENTIFIABLE","?REFERENTIAL"),"_")))))</f>
        <v> </v>
      </c>
      <c r="H4117" s="24" t="str">
        <f>IF(J4117&lt;&gt;1,"",IF(I4117="SBJ","CB","?"))</f>
        <v> </v>
      </c>
      <c r="I4117" s="25" t="str">
        <f>IF(OR(E4117="",E4117="!!!",F4117="NEW"),"",INDEX(B4116:B$2,-1+SUMPRODUCT(MAX(ROW(E4116:E$2)*(E4117=E4116:E$2)))))</f>
        <v> </v>
      </c>
      <c r="J4117" s="25" t="str">
        <f>IF(OR(E4117="",E4117="!!!",F4117="NEW"),"",COUNTBLANK(OFFSET(A$1,,,SUMPRODUCT(MAX(ROW(E$2:E4117)*(E4117=E$2:E4117)))))-COUNTBLANK(OFFSET(A$1,,,SUMPRODUCT(MAX(ROW(E$1:E4116)*(E2=E$1:E4116))))))</f>
        <v> </v>
      </c>
      <c r="K4117" s="25" t="str">
        <f>IF(OR(E4117="",E4117="!!!",F4117="NEW"),"",INDEX(J$1:J4116,SUMPRODUCT(MAX(ROW(E$1:E4116)*(E4117=E$1:E4116)))))</f>
        <v> </v>
      </c>
      <c r="L4117" s="26"/>
    </row>
    <row r="4118" spans="1:12">
      <c r="A4118" s="20" t="s">
        <v>788</v>
      </c>
      <c r="E4118" s="21">
        <f>IF(D4118="?OLD","!!!","")</f>
        <v/>
      </c>
      <c r="F4118" s="22" t="str">
        <f>IF(OR(E4118="",E4118="!!!"),"",IF(NOT(ISNA(VLOOKUP(E4118,E$1:E4117,1,FALSE()))),"OLD",IF(AND(E4118&lt;&gt;"",E4118&lt;&gt;"!!!"),"NEW","")))</f>
        <v> </v>
      </c>
      <c r="G4118" s="23" t="str">
        <f>IF(OR(E4118="",E4118="!!!"),"",IF(OR(J4118=0,AND(J4118=1,K4118=1),AND(J4118=1,I4118="SBJ"),AND(J4118=1,I4118=0)),"?IN_FOCUS",IF(J4118&lt;=2,"?ACTIVATED",IF(J4118&lt;&gt;"","?FAMILIAR",IF(F4118="NEW",IF(ISNA(VLOOKUP(E4118,#REF!,1,FALSE())),"?TYPE_IDENTIFIABLE","?REFERENTIAL"),"_")))))</f>
        <v> </v>
      </c>
      <c r="H4118" s="24" t="str">
        <f>IF(J4118&lt;&gt;1,"",IF(I4118="SBJ","CB","?"))</f>
        <v> </v>
      </c>
      <c r="I4118" s="25" t="str">
        <f>IF(OR(E4118="",E4118="!!!",F4118="NEW"),"",INDEX(B4117:B$2,-1+SUMPRODUCT(MAX(ROW(E4117:E$2)*(E4118=E4117:E$2)))))</f>
        <v> </v>
      </c>
      <c r="J4118" s="25" t="str">
        <f>IF(OR(E4118="",E4118="!!!",F4118="NEW"),"",COUNTBLANK(OFFSET(A$1,,,SUMPRODUCT(MAX(ROW(E$2:E4118)*(E4118=E$2:E4118)))))-COUNTBLANK(OFFSET(A$1,,,SUMPRODUCT(MAX(ROW(E$1:E4117)*(E2=E$1:E4117))))))</f>
        <v> </v>
      </c>
      <c r="K4118" s="25" t="str">
        <f>IF(OR(E4118="",E4118="!!!",F4118="NEW"),"",INDEX(J$1:J4117,SUMPRODUCT(MAX(ROW(E$1:E4117)*(E4118=E$1:E4117)))))</f>
        <v> </v>
      </c>
      <c r="L4118" s="26"/>
    </row>
    <row r="4119" spans="1:12">
      <c r="A4119" s="20" t="s">
        <v>807</v>
      </c>
      <c r="B4119" s="27" t="s">
        <v>733</v>
      </c>
      <c r="C4119" s="27" t="s">
        <v>749</v>
      </c>
      <c r="D4119" s="27" t="s">
        <v>740</v>
      </c>
      <c r="E4119" s="21">
        <f>IF(D4119="?OLD","!!!","")</f>
        <v/>
      </c>
      <c r="F4119" s="22" t="str">
        <f>IF(OR(E4119="",E4119="!!!"),"",IF(NOT(ISNA(VLOOKUP(E4119,E$1:E4118,1,FALSE()))),"OLD",IF(AND(E4119&lt;&gt;"",E4119&lt;&gt;"!!!"),"NEW","")))</f>
        <v> </v>
      </c>
      <c r="G4119" s="23" t="str">
        <f>IF(OR(E4119="",E4119="!!!"),"",IF(OR(J4119=0,AND(J4119=1,K4119=1),AND(J4119=1,I4119="SBJ"),AND(J4119=1,I4119=0)),"?IN_FOCUS",IF(J4119&lt;=2,"?ACTIVATED",IF(J4119&lt;&gt;"","?FAMILIAR",IF(F4119="NEW",IF(ISNA(VLOOKUP(E4119,#REF!,1,FALSE())),"?TYPE_IDENTIFIABLE","?REFERENTIAL"),"_")))))</f>
        <v> </v>
      </c>
      <c r="H4119" s="24" t="str">
        <f>IF(J4119&lt;&gt;1,"",IF(I4119="SBJ","CB","?"))</f>
        <v> </v>
      </c>
      <c r="I4119" s="25" t="str">
        <f>IF(OR(E4119="",E4119="!!!",F4119="NEW"),"",INDEX(B4118:B$2,-1+SUMPRODUCT(MAX(ROW(E4118:E$2)*(E4119=E4118:E$2)))))</f>
        <v> </v>
      </c>
      <c r="J4119" s="25" t="str">
        <f>IF(OR(E4119="",E4119="!!!",F4119="NEW"),"",COUNTBLANK(OFFSET(A$1,,,SUMPRODUCT(MAX(ROW(E$2:E4119)*(E4119=E$2:E4119)))))-COUNTBLANK(OFFSET(A$1,,,SUMPRODUCT(MAX(ROW(E$1:E4118)*(E2=E$1:E4118))))))</f>
        <v> </v>
      </c>
      <c r="K4119" s="25" t="str">
        <f>IF(OR(E4119="",E4119="!!!",F4119="NEW"),"",INDEX(J$1:J4118,SUMPRODUCT(MAX(ROW(E$1:E4118)*(E4119=E$1:E4118)))))</f>
        <v> </v>
      </c>
      <c r="L4119" s="26"/>
    </row>
    <row r="4120" spans="1:12">
      <c r="A4120" s="20" t="s">
        <v>87</v>
      </c>
      <c r="E4120" s="21">
        <f>IF(D4120="?OLD","!!!","")</f>
        <v/>
      </c>
      <c r="F4120" s="22" t="str">
        <f>IF(OR(E4120="",E4120="!!!"),"",IF(NOT(ISNA(VLOOKUP(E4120,E$1:E4119,1,FALSE()))),"OLD",IF(AND(E4120&lt;&gt;"",E4120&lt;&gt;"!!!"),"NEW","")))</f>
        <v> </v>
      </c>
      <c r="G4120" s="23" t="str">
        <f>IF(OR(E4120="",E4120="!!!"),"",IF(OR(J4120=0,AND(J4120=1,K4120=1),AND(J4120=1,I4120="SBJ"),AND(J4120=1,I4120=0)),"?IN_FOCUS",IF(J4120&lt;=2,"?ACTIVATED",IF(J4120&lt;&gt;"","?FAMILIAR",IF(F4120="NEW",IF(ISNA(VLOOKUP(E4120,#REF!,1,FALSE())),"?TYPE_IDENTIFIABLE","?REFERENTIAL"),"_")))))</f>
        <v> </v>
      </c>
      <c r="H4120" s="24" t="str">
        <f>IF(J4120&lt;&gt;1,"",IF(I4120="SBJ","CB","?"))</f>
        <v> </v>
      </c>
      <c r="I4120" s="25" t="str">
        <f>IF(OR(E4120="",E4120="!!!",F4120="NEW"),"",INDEX(B4119:B$2,-1+SUMPRODUCT(MAX(ROW(E4119:E$2)*(E4120=E4119:E$2)))))</f>
        <v> </v>
      </c>
      <c r="J4120" s="25" t="str">
        <f>IF(OR(E4120="",E4120="!!!",F4120="NEW"),"",COUNTBLANK(OFFSET(A$1,,,SUMPRODUCT(MAX(ROW(E$2:E4120)*(E4120=E$2:E4120)))))-COUNTBLANK(OFFSET(A$1,,,SUMPRODUCT(MAX(ROW(E$1:E4119)*(E2=E$1:E4119))))))</f>
        <v> </v>
      </c>
      <c r="K4120" s="25" t="str">
        <f>IF(OR(E4120="",E4120="!!!",F4120="NEW"),"",INDEX(J$1:J4119,SUMPRODUCT(MAX(ROW(E$1:E4119)*(E4120=E$1:E4119)))))</f>
        <v> </v>
      </c>
      <c r="L4120" s="26"/>
    </row>
    <row r="4121" spans="1:12">
      <c r="A4121" s="20" t="s">
        <v>863</v>
      </c>
      <c r="E4121" s="21">
        <f>IF(D4121="?OLD","!!!","")</f>
        <v/>
      </c>
      <c r="F4121" s="22" t="str">
        <f>IF(OR(E4121="",E4121="!!!"),"",IF(NOT(ISNA(VLOOKUP(E4121,E$1:E4120,1,FALSE()))),"OLD",IF(AND(E4121&lt;&gt;"",E4121&lt;&gt;"!!!"),"NEW","")))</f>
        <v> </v>
      </c>
      <c r="G4121" s="23" t="str">
        <f>IF(OR(E4121="",E4121="!!!"),"",IF(OR(J4121=0,AND(J4121=1,K4121=1),AND(J4121=1,I4121="SBJ"),AND(J4121=1,I4121=0)),"?IN_FOCUS",IF(J4121&lt;=2,"?ACTIVATED",IF(J4121&lt;&gt;"","?FAMILIAR",IF(F4121="NEW",IF(ISNA(VLOOKUP(E4121,#REF!,1,FALSE())),"?TYPE_IDENTIFIABLE","?REFERENTIAL"),"_")))))</f>
        <v> </v>
      </c>
      <c r="H4121" s="24" t="str">
        <f>IF(J4121&lt;&gt;1,"",IF(I4121="SBJ","CB","?"))</f>
        <v> </v>
      </c>
      <c r="I4121" s="25" t="str">
        <f>IF(OR(E4121="",E4121="!!!",F4121="NEW"),"",INDEX(B4120:B$2,-1+SUMPRODUCT(MAX(ROW(E4120:E$2)*(E4121=E4120:E$2)))))</f>
        <v> </v>
      </c>
      <c r="J4121" s="25" t="str">
        <f>IF(OR(E4121="",E4121="!!!",F4121="NEW"),"",COUNTBLANK(OFFSET(A$1,,,SUMPRODUCT(MAX(ROW(E$2:E4121)*(E4121=E$2:E4121)))))-COUNTBLANK(OFFSET(A$1,,,SUMPRODUCT(MAX(ROW(E$1:E4120)*(E2=E$1:E4120))))))</f>
        <v> </v>
      </c>
      <c r="K4121" s="25" t="str">
        <f>IF(OR(E4121="",E4121="!!!",F4121="NEW"),"",INDEX(J$1:J4120,SUMPRODUCT(MAX(ROW(E$1:E4120)*(E4121=E$1:E4120)))))</f>
        <v> </v>
      </c>
      <c r="L4121" s="26"/>
    </row>
    <row r="4122" spans="1:12">
      <c r="A4122" s="20" t="s">
        <v>1280</v>
      </c>
      <c r="B4122" s="27" t="s">
        <v>738</v>
      </c>
      <c r="C4122" s="27" t="s">
        <v>744</v>
      </c>
      <c r="E4122" s="21">
        <f>IF(D4122="?OLD","!!!","")</f>
        <v/>
      </c>
      <c r="F4122" s="22" t="str">
        <f>IF(OR(E4122="",E4122="!!!"),"",IF(NOT(ISNA(VLOOKUP(E4122,E$1:E4121,1,FALSE()))),"OLD",IF(AND(E4122&lt;&gt;"",E4122&lt;&gt;"!!!"),"NEW","")))</f>
        <v> </v>
      </c>
      <c r="G4122" s="23" t="str">
        <f>IF(OR(E4122="",E4122="!!!"),"",IF(OR(J4122=0,AND(J4122=1,K4122=1),AND(J4122=1,I4122="SBJ"),AND(J4122=1,I4122=0)),"?IN_FOCUS",IF(J4122&lt;=2,"?ACTIVATED",IF(J4122&lt;&gt;"","?FAMILIAR",IF(F4122="NEW",IF(ISNA(VLOOKUP(E4122,#REF!,1,FALSE())),"?TYPE_IDENTIFIABLE","?REFERENTIAL"),"_")))))</f>
        <v> </v>
      </c>
      <c r="H4122" s="24" t="str">
        <f>IF(J4122&lt;&gt;1,"",IF(I4122="SBJ","CB","?"))</f>
        <v> </v>
      </c>
      <c r="I4122" s="25" t="str">
        <f>IF(OR(E4122="",E4122="!!!",F4122="NEW"),"",INDEX(B4121:B$2,-1+SUMPRODUCT(MAX(ROW(E4121:E$2)*(E4122=E4121:E$2)))))</f>
        <v> </v>
      </c>
      <c r="J4122" s="25" t="str">
        <f>IF(OR(E4122="",E4122="!!!",F4122="NEW"),"",COUNTBLANK(OFFSET(A$1,,,SUMPRODUCT(MAX(ROW(E$2:E4122)*(E4122=E$2:E4122)))))-COUNTBLANK(OFFSET(A$1,,,SUMPRODUCT(MAX(ROW(E$1:E4121)*(E2=E$1:E4121))))))</f>
        <v> </v>
      </c>
      <c r="K4122" s="25" t="str">
        <f>IF(OR(E4122="",E4122="!!!",F4122="NEW"),"",INDEX(J$1:J4121,SUMPRODUCT(MAX(ROW(E$1:E4121)*(E4122=E$1:E4121)))))</f>
        <v> </v>
      </c>
      <c r="L4122" s="26"/>
    </row>
    <row r="4123" spans="1:12">
      <c r="A4123" s="20" t="s">
        <v>1518</v>
      </c>
      <c r="E4123" s="21">
        <f>IF(D4123="?OLD","!!!","")</f>
        <v/>
      </c>
      <c r="F4123" s="22" t="str">
        <f>IF(OR(E4123="",E4123="!!!"),"",IF(NOT(ISNA(VLOOKUP(E4123,E$1:E4122,1,FALSE()))),"OLD",IF(AND(E4123&lt;&gt;"",E4123&lt;&gt;"!!!"),"NEW","")))</f>
        <v> </v>
      </c>
      <c r="G4123" s="23" t="str">
        <f>IF(OR(E4123="",E4123="!!!"),"",IF(OR(J4123=0,AND(J4123=1,K4123=1),AND(J4123=1,I4123="SBJ"),AND(J4123=1,I4123=0)),"?IN_FOCUS",IF(J4123&lt;=2,"?ACTIVATED",IF(J4123&lt;&gt;"","?FAMILIAR",IF(F4123="NEW",IF(ISNA(VLOOKUP(E4123,#REF!,1,FALSE())),"?TYPE_IDENTIFIABLE","?REFERENTIAL"),"_")))))</f>
        <v> </v>
      </c>
      <c r="H4123" s="24" t="str">
        <f>IF(J4123&lt;&gt;1,"",IF(I4123="SBJ","CB","?"))</f>
        <v> </v>
      </c>
      <c r="I4123" s="25" t="str">
        <f>IF(OR(E4123="",E4123="!!!",F4123="NEW"),"",INDEX(B4122:B$2,-1+SUMPRODUCT(MAX(ROW(E4122:E$2)*(E4123=E4122:E$2)))))</f>
        <v> </v>
      </c>
      <c r="J4123" s="25" t="str">
        <f>IF(OR(E4123="",E4123="!!!",F4123="NEW"),"",COUNTBLANK(OFFSET(A$1,,,SUMPRODUCT(MAX(ROW(E$2:E4123)*(E4123=E$2:E4123)))))-COUNTBLANK(OFFSET(A$1,,,SUMPRODUCT(MAX(ROW(E$1:E4122)*(E2=E$1:E4122))))))</f>
        <v> </v>
      </c>
      <c r="K4123" s="25" t="str">
        <f>IF(OR(E4123="",E4123="!!!",F4123="NEW"),"",INDEX(J$1:J4122,SUMPRODUCT(MAX(ROW(E$1:E4122)*(E4123=E$1:E4122)))))</f>
        <v> </v>
      </c>
      <c r="L4123" s="26"/>
    </row>
    <row r="4124" spans="1:12">
      <c r="A4124" s="20" t="s">
        <v>753</v>
      </c>
      <c r="E4124" s="21">
        <f>IF(D4124="?OLD","!!!","")</f>
        <v/>
      </c>
      <c r="F4124" s="22" t="str">
        <f>IF(OR(E4124="",E4124="!!!"),"",IF(NOT(ISNA(VLOOKUP(E4124,E$1:E4123,1,FALSE()))),"OLD",IF(AND(E4124&lt;&gt;"",E4124&lt;&gt;"!!!"),"NEW","")))</f>
        <v> </v>
      </c>
      <c r="G4124" s="23" t="str">
        <f>IF(OR(E4124="",E4124="!!!"),"",IF(OR(J4124=0,AND(J4124=1,K4124=1),AND(J4124=1,I4124="SBJ"),AND(J4124=1,I4124=0)),"?IN_FOCUS",IF(J4124&lt;=2,"?ACTIVATED",IF(J4124&lt;&gt;"","?FAMILIAR",IF(F4124="NEW",IF(ISNA(VLOOKUP(E4124,#REF!,1,FALSE())),"?TYPE_IDENTIFIABLE","?REFERENTIAL"),"_")))))</f>
        <v> </v>
      </c>
      <c r="H4124" s="24" t="str">
        <f>IF(J4124&lt;&gt;1,"",IF(I4124="SBJ","CB","?"))</f>
        <v> </v>
      </c>
      <c r="I4124" s="25" t="str">
        <f>IF(OR(E4124="",E4124="!!!",F4124="NEW"),"",INDEX(B4123:B$2,-1+SUMPRODUCT(MAX(ROW(E4123:E$2)*(E4124=E4123:E$2)))))</f>
        <v> </v>
      </c>
      <c r="J4124" s="25" t="str">
        <f>IF(OR(E4124="",E4124="!!!",F4124="NEW"),"",COUNTBLANK(OFFSET(A$1,,,SUMPRODUCT(MAX(ROW(E$2:E4124)*(E4124=E$2:E4124)))))-COUNTBLANK(OFFSET(A$1,,,SUMPRODUCT(MAX(ROW(E$1:E4123)*(E2=E$1:E4123))))))</f>
        <v> </v>
      </c>
      <c r="K4124" s="25" t="str">
        <f>IF(OR(E4124="",E4124="!!!",F4124="NEW"),"",INDEX(J$1:J4123,SUMPRODUCT(MAX(ROW(E$1:E4123)*(E4124=E$1:E4123)))))</f>
        <v> </v>
      </c>
      <c r="L4124" s="26"/>
    </row>
    <row r="4125" spans="1:12">
      <c r="A4125" s="20" t="s">
        <v>818</v>
      </c>
      <c r="B4125" s="27" t="s">
        <v>771</v>
      </c>
      <c r="E4125" s="21">
        <f>IF(D4125="?OLD","!!!","")</f>
        <v/>
      </c>
      <c r="F4125" s="22" t="str">
        <f>IF(OR(E4125="",E4125="!!!"),"",IF(NOT(ISNA(VLOOKUP(E4125,E$1:E4124,1,FALSE()))),"OLD",IF(AND(E4125&lt;&gt;"",E4125&lt;&gt;"!!!"),"NEW","")))</f>
        <v> </v>
      </c>
      <c r="G4125" s="23" t="str">
        <f>IF(OR(E4125="",E4125="!!!"),"",IF(OR(J4125=0,AND(J4125=1,K4125=1),AND(J4125=1,I4125="SBJ"),AND(J4125=1,I4125=0)),"?IN_FOCUS",IF(J4125&lt;=2,"?ACTIVATED",IF(J4125&lt;&gt;"","?FAMILIAR",IF(F4125="NEW",IF(ISNA(VLOOKUP(E4125,#REF!,1,FALSE())),"?TYPE_IDENTIFIABLE","?REFERENTIAL"),"_")))))</f>
        <v> </v>
      </c>
      <c r="H4125" s="24" t="str">
        <f>IF(J4125&lt;&gt;1,"",IF(I4125="SBJ","CB","?"))</f>
        <v> </v>
      </c>
      <c r="I4125" s="25" t="str">
        <f>IF(OR(E4125="",E4125="!!!",F4125="NEW"),"",INDEX(B4124:B$2,-1+SUMPRODUCT(MAX(ROW(E4124:E$2)*(E4125=E4124:E$2)))))</f>
        <v> </v>
      </c>
      <c r="J4125" s="25" t="str">
        <f>IF(OR(E4125="",E4125="!!!",F4125="NEW"),"",COUNTBLANK(OFFSET(A$1,,,SUMPRODUCT(MAX(ROW(E$2:E4125)*(E4125=E$2:E4125)))))-COUNTBLANK(OFFSET(A$1,,,SUMPRODUCT(MAX(ROW(E$1:E4124)*(E2=E$1:E4124))))))</f>
        <v> </v>
      </c>
      <c r="K4125" s="25" t="str">
        <f>IF(OR(E4125="",E4125="!!!",F4125="NEW"),"",INDEX(J$1:J4124,SUMPRODUCT(MAX(ROW(E$1:E4124)*(E4125=E$1:E4124)))))</f>
        <v> </v>
      </c>
      <c r="L4125" s="26"/>
    </row>
    <row r="4126" spans="1:12">
      <c r="A4126" s="20" t="s">
        <v>1956</v>
      </c>
      <c r="E4126" s="21">
        <f>IF(D4126="?OLD","!!!","")</f>
        <v/>
      </c>
      <c r="F4126" s="22" t="str">
        <f>IF(OR(E4126="",E4126="!!!"),"",IF(NOT(ISNA(VLOOKUP(E4126,E$1:E4125,1,FALSE()))),"OLD",IF(AND(E4126&lt;&gt;"",E4126&lt;&gt;"!!!"),"NEW","")))</f>
        <v> </v>
      </c>
      <c r="G4126" s="23" t="str">
        <f>IF(OR(E4126="",E4126="!!!"),"",IF(OR(J4126=0,AND(J4126=1,K4126=1),AND(J4126=1,I4126="SBJ"),AND(J4126=1,I4126=0)),"?IN_FOCUS",IF(J4126&lt;=2,"?ACTIVATED",IF(J4126&lt;&gt;"","?FAMILIAR",IF(F4126="NEW",IF(ISNA(VLOOKUP(E4126,#REF!,1,FALSE())),"?TYPE_IDENTIFIABLE","?REFERENTIAL"),"_")))))</f>
        <v> </v>
      </c>
      <c r="H4126" s="24" t="str">
        <f>IF(J4126&lt;&gt;1,"",IF(I4126="SBJ","CB","?"))</f>
        <v> </v>
      </c>
      <c r="I4126" s="25" t="str">
        <f>IF(OR(E4126="",E4126="!!!",F4126="NEW"),"",INDEX(B4125:B$2,-1+SUMPRODUCT(MAX(ROW(E4125:E$2)*(E4126=E4125:E$2)))))</f>
        <v> </v>
      </c>
      <c r="J4126" s="25" t="str">
        <f>IF(OR(E4126="",E4126="!!!",F4126="NEW"),"",COUNTBLANK(OFFSET(A$1,,,SUMPRODUCT(MAX(ROW(E$2:E4126)*(E4126=E$2:E4126)))))-COUNTBLANK(OFFSET(A$1,,,SUMPRODUCT(MAX(ROW(E$1:E4125)*(E2=E$1:E4125))))))</f>
        <v> </v>
      </c>
      <c r="K4126" s="25" t="str">
        <f>IF(OR(E4126="",E4126="!!!",F4126="NEW"),"",INDEX(J$1:J4125,SUMPRODUCT(MAX(ROW(E$1:E4125)*(E4126=E$1:E4125)))))</f>
        <v> </v>
      </c>
      <c r="L4126" s="26"/>
    </row>
    <row r="4127" spans="1:12">
      <c r="A4127" s="20" t="s">
        <v>965</v>
      </c>
      <c r="E4127" s="21">
        <f>IF(D4127="?OLD","!!!","")</f>
        <v/>
      </c>
      <c r="F4127" s="22" t="str">
        <f>IF(OR(E4127="",E4127="!!!"),"",IF(NOT(ISNA(VLOOKUP(E4127,E$1:E4126,1,FALSE()))),"OLD",IF(AND(E4127&lt;&gt;"",E4127&lt;&gt;"!!!"),"NEW","")))</f>
        <v> </v>
      </c>
      <c r="G4127" s="23" t="str">
        <f>IF(OR(E4127="",E4127="!!!"),"",IF(OR(J4127=0,AND(J4127=1,K4127=1),AND(J4127=1,I4127="SBJ"),AND(J4127=1,I4127=0)),"?IN_FOCUS",IF(J4127&lt;=2,"?ACTIVATED",IF(J4127&lt;&gt;"","?FAMILIAR",IF(F4127="NEW",IF(ISNA(VLOOKUP(E4127,#REF!,1,FALSE())),"?TYPE_IDENTIFIABLE","?REFERENTIAL"),"_")))))</f>
        <v> </v>
      </c>
      <c r="H4127" s="24" t="str">
        <f>IF(J4127&lt;&gt;1,"",IF(I4127="SBJ","CB","?"))</f>
        <v> </v>
      </c>
      <c r="I4127" s="25" t="str">
        <f>IF(OR(E4127="",E4127="!!!",F4127="NEW"),"",INDEX(B4126:B$2,-1+SUMPRODUCT(MAX(ROW(E4126:E$2)*(E4127=E4126:E$2)))))</f>
        <v> </v>
      </c>
      <c r="J4127" s="25" t="str">
        <f>IF(OR(E4127="",E4127="!!!",F4127="NEW"),"",COUNTBLANK(OFFSET(A$1,,,SUMPRODUCT(MAX(ROW(E$2:E4127)*(E4127=E$2:E4127)))))-COUNTBLANK(OFFSET(A$1,,,SUMPRODUCT(MAX(ROW(E$1:E4126)*(E2=E$1:E4126))))))</f>
        <v> </v>
      </c>
      <c r="K4127" s="25" t="str">
        <f>IF(OR(E4127="",E4127="!!!",F4127="NEW"),"",INDEX(J$1:J4126,SUMPRODUCT(MAX(ROW(E$1:E4126)*(E4127=E$1:E4126)))))</f>
        <v> </v>
      </c>
      <c r="L4127" s="26"/>
    </row>
    <row r="4128" spans="1:12">
      <c r="A4128" s="20" t="s">
        <v>861</v>
      </c>
      <c r="B4128" s="27" t="s">
        <v>733</v>
      </c>
      <c r="C4128" s="27" t="s">
        <v>775</v>
      </c>
      <c r="D4128" s="27" t="s">
        <v>740</v>
      </c>
      <c r="E4128" s="21">
        <f>IF(D4128="?OLD","!!!","")</f>
        <v/>
      </c>
      <c r="F4128" s="22" t="str">
        <f>IF(OR(E4128="",E4128="!!!"),"",IF(NOT(ISNA(VLOOKUP(E4128,E$1:E4127,1,FALSE()))),"OLD",IF(AND(E4128&lt;&gt;"",E4128&lt;&gt;"!!!"),"NEW","")))</f>
        <v> </v>
      </c>
      <c r="G4128" s="23" t="str">
        <f>IF(OR(E4128="",E4128="!!!"),"",IF(OR(J4128=0,AND(J4128=1,K4128=1),AND(J4128=1,I4128="SBJ"),AND(J4128=1,I4128=0)),"?IN_FOCUS",IF(J4128&lt;=2,"?ACTIVATED",IF(J4128&lt;&gt;"","?FAMILIAR",IF(F4128="NEW",IF(ISNA(VLOOKUP(E4128,#REF!,1,FALSE())),"?TYPE_IDENTIFIABLE","?REFERENTIAL"),"_")))))</f>
        <v> </v>
      </c>
      <c r="H4128" s="24" t="str">
        <f>IF(J4128&lt;&gt;1,"",IF(I4128="SBJ","CB","?"))</f>
        <v> </v>
      </c>
      <c r="I4128" s="25" t="str">
        <f>IF(OR(E4128="",E4128="!!!",F4128="NEW"),"",INDEX(B4127:B$2,-1+SUMPRODUCT(MAX(ROW(E4127:E$2)*(E4128=E4127:E$2)))))</f>
        <v> </v>
      </c>
      <c r="J4128" s="25" t="str">
        <f>IF(OR(E4128="",E4128="!!!",F4128="NEW"),"",COUNTBLANK(OFFSET(A$1,,,SUMPRODUCT(MAX(ROW(E$2:E4128)*(E4128=E$2:E4128)))))-COUNTBLANK(OFFSET(A$1,,,SUMPRODUCT(MAX(ROW(E$1:E4127)*(E2=E$1:E4127))))))</f>
        <v> </v>
      </c>
      <c r="K4128" s="25" t="str">
        <f>IF(OR(E4128="",E4128="!!!",F4128="NEW"),"",INDEX(J$1:J4127,SUMPRODUCT(MAX(ROW(E$1:E4127)*(E4128=E$1:E4127)))))</f>
        <v> </v>
      </c>
      <c r="L4128" s="26"/>
    </row>
    <row r="4129" spans="1:12">
      <c r="A4129" s="20" t="s">
        <v>1957</v>
      </c>
      <c r="E4129" s="21">
        <f>IF(D4129="?OLD","!!!","")</f>
        <v/>
      </c>
      <c r="F4129" s="22" t="str">
        <f>IF(OR(E4129="",E4129="!!!"),"",IF(NOT(ISNA(VLOOKUP(E4129,E$1:E4128,1,FALSE()))),"OLD",IF(AND(E4129&lt;&gt;"",E4129&lt;&gt;"!!!"),"NEW","")))</f>
        <v> </v>
      </c>
      <c r="G4129" s="23" t="str">
        <f>IF(OR(E4129="",E4129="!!!"),"",IF(OR(J4129=0,AND(J4129=1,K4129=1),AND(J4129=1,I4129="SBJ"),AND(J4129=1,I4129=0)),"?IN_FOCUS",IF(J4129&lt;=2,"?ACTIVATED",IF(J4129&lt;&gt;"","?FAMILIAR",IF(F4129="NEW",IF(ISNA(VLOOKUP(E4129,#REF!,1,FALSE())),"?TYPE_IDENTIFIABLE","?REFERENTIAL"),"_")))))</f>
        <v> </v>
      </c>
      <c r="H4129" s="24" t="str">
        <f>IF(J4129&lt;&gt;1,"",IF(I4129="SBJ","CB","?"))</f>
        <v> </v>
      </c>
      <c r="I4129" s="25" t="str">
        <f>IF(OR(E4129="",E4129="!!!",F4129="NEW"),"",INDEX(B4128:B$2,-1+SUMPRODUCT(MAX(ROW(E4128:E$2)*(E4129=E4128:E$2)))))</f>
        <v> </v>
      </c>
      <c r="J4129" s="25" t="str">
        <f>IF(OR(E4129="",E4129="!!!",F4129="NEW"),"",COUNTBLANK(OFFSET(A$1,,,SUMPRODUCT(MAX(ROW(E$2:E4129)*(E4129=E$2:E4129)))))-COUNTBLANK(OFFSET(A$1,,,SUMPRODUCT(MAX(ROW(E$1:E4128)*(E2=E$1:E4128))))))</f>
        <v> </v>
      </c>
      <c r="K4129" s="25" t="str">
        <f>IF(OR(E4129="",E4129="!!!",F4129="NEW"),"",INDEX(J$1:J4128,SUMPRODUCT(MAX(ROW(E$1:E4128)*(E4129=E$1:E4128)))))</f>
        <v> </v>
      </c>
      <c r="L4129" s="26"/>
    </row>
    <row r="4130" spans="1:12">
      <c r="A4130" s="20" t="s">
        <v>753</v>
      </c>
      <c r="E4130" s="21">
        <f>IF(D4130="?OLD","!!!","")</f>
        <v/>
      </c>
      <c r="F4130" s="22" t="str">
        <f>IF(OR(E4130="",E4130="!!!"),"",IF(NOT(ISNA(VLOOKUP(E4130,E$1:E4129,1,FALSE()))),"OLD",IF(AND(E4130&lt;&gt;"",E4130&lt;&gt;"!!!"),"NEW","")))</f>
        <v> </v>
      </c>
      <c r="G4130" s="23" t="str">
        <f>IF(OR(E4130="",E4130="!!!"),"",IF(OR(J4130=0,AND(J4130=1,K4130=1),AND(J4130=1,I4130="SBJ"),AND(J4130=1,I4130=0)),"?IN_FOCUS",IF(J4130&lt;=2,"?ACTIVATED",IF(J4130&lt;&gt;"","?FAMILIAR",IF(F4130="NEW",IF(ISNA(VLOOKUP(E4130,#REF!,1,FALSE())),"?TYPE_IDENTIFIABLE","?REFERENTIAL"),"_")))))</f>
        <v> </v>
      </c>
      <c r="H4130" s="24" t="str">
        <f>IF(J4130&lt;&gt;1,"",IF(I4130="SBJ","CB","?"))</f>
        <v> </v>
      </c>
      <c r="I4130" s="25" t="str">
        <f>IF(OR(E4130="",E4130="!!!",F4130="NEW"),"",INDEX(B4129:B$2,-1+SUMPRODUCT(MAX(ROW(E4129:E$2)*(E4130=E4129:E$2)))))</f>
        <v> </v>
      </c>
      <c r="J4130" s="25" t="str">
        <f>IF(OR(E4130="",E4130="!!!",F4130="NEW"),"",COUNTBLANK(OFFSET(A$1,,,SUMPRODUCT(MAX(ROW(E$2:E4130)*(E4130=E$2:E4130)))))-COUNTBLANK(OFFSET(A$1,,,SUMPRODUCT(MAX(ROW(E$1:E4129)*(E2=E$1:E4129))))))</f>
        <v> </v>
      </c>
      <c r="K4130" s="25" t="str">
        <f>IF(OR(E4130="",E4130="!!!",F4130="NEW"),"",INDEX(J$1:J4129,SUMPRODUCT(MAX(ROW(E$1:E4129)*(E4130=E$1:E4129)))))</f>
        <v> </v>
      </c>
      <c r="L4130" s="26"/>
    </row>
    <row r="4131" spans="1:12">
      <c r="A4131" s="20" t="s">
        <v>999</v>
      </c>
      <c r="E4131" s="21">
        <f>IF(D4131="?OLD","!!!","")</f>
        <v/>
      </c>
      <c r="F4131" s="22" t="str">
        <f>IF(OR(E4131="",E4131="!!!"),"",IF(NOT(ISNA(VLOOKUP(E4131,E$1:E4130,1,FALSE()))),"OLD",IF(AND(E4131&lt;&gt;"",E4131&lt;&gt;"!!!"),"NEW","")))</f>
        <v> </v>
      </c>
      <c r="G4131" s="23" t="str">
        <f>IF(OR(E4131="",E4131="!!!"),"",IF(OR(J4131=0,AND(J4131=1,K4131=1),AND(J4131=1,I4131="SBJ"),AND(J4131=1,I4131=0)),"?IN_FOCUS",IF(J4131&lt;=2,"?ACTIVATED",IF(J4131&lt;&gt;"","?FAMILIAR",IF(F4131="NEW",IF(ISNA(VLOOKUP(E4131,#REF!,1,FALSE())),"?TYPE_IDENTIFIABLE","?REFERENTIAL"),"_")))))</f>
        <v> </v>
      </c>
      <c r="H4131" s="24" t="str">
        <f>IF(J4131&lt;&gt;1,"",IF(I4131="SBJ","CB","?"))</f>
        <v> </v>
      </c>
      <c r="I4131" s="25" t="str">
        <f>IF(OR(E4131="",E4131="!!!",F4131="NEW"),"",INDEX(B4130:B$2,-1+SUMPRODUCT(MAX(ROW(E4130:E$2)*(E4131=E4130:E$2)))))</f>
        <v> </v>
      </c>
      <c r="J4131" s="25" t="str">
        <f>IF(OR(E4131="",E4131="!!!",F4131="NEW"),"",COUNTBLANK(OFFSET(A$1,,,SUMPRODUCT(MAX(ROW(E$2:E4131)*(E4131=E$2:E4131)))))-COUNTBLANK(OFFSET(A$1,,,SUMPRODUCT(MAX(ROW(E$1:E4130)*(E2=E$1:E4130))))))</f>
        <v> </v>
      </c>
      <c r="K4131" s="25" t="str">
        <f>IF(OR(E4131="",E4131="!!!",F4131="NEW"),"",INDEX(J$1:J4130,SUMPRODUCT(MAX(ROW(E$1:E4130)*(E4131=E$1:E4130)))))</f>
        <v> </v>
      </c>
      <c r="L4131" s="26"/>
    </row>
    <row r="4132" spans="1:12">
      <c r="A4132" s="20" t="s">
        <v>762</v>
      </c>
      <c r="B4132" s="27" t="s">
        <v>777</v>
      </c>
      <c r="C4132" s="27" t="s">
        <v>775</v>
      </c>
      <c r="D4132" s="27" t="s">
        <v>740</v>
      </c>
      <c r="E4132" s="21">
        <f>IF(D4132="?OLD","!!!","")</f>
        <v/>
      </c>
      <c r="F4132" s="22" t="str">
        <f>IF(OR(E4132="",E4132="!!!"),"",IF(NOT(ISNA(VLOOKUP(E4132,E$1:E4131,1,FALSE()))),"OLD",IF(AND(E4132&lt;&gt;"",E4132&lt;&gt;"!!!"),"NEW","")))</f>
        <v> </v>
      </c>
      <c r="G4132" s="23" t="str">
        <f>IF(OR(E4132="",E4132="!!!"),"",IF(OR(J4132=0,AND(J4132=1,K4132=1),AND(J4132=1,I4132="SBJ"),AND(J4132=1,I4132=0)),"?IN_FOCUS",IF(J4132&lt;=2,"?ACTIVATED",IF(J4132&lt;&gt;"","?FAMILIAR",IF(F4132="NEW",IF(ISNA(VLOOKUP(E4132,#REF!,1,FALSE())),"?TYPE_IDENTIFIABLE","?REFERENTIAL"),"_")))))</f>
        <v> </v>
      </c>
      <c r="H4132" s="24" t="str">
        <f>IF(J4132&lt;&gt;1,"",IF(I4132="SBJ","CB","?"))</f>
        <v> </v>
      </c>
      <c r="I4132" s="25" t="str">
        <f>IF(OR(E4132="",E4132="!!!",F4132="NEW"),"",INDEX(B4131:B$2,-1+SUMPRODUCT(MAX(ROW(E4131:E$2)*(E4132=E4131:E$2)))))</f>
        <v> </v>
      </c>
      <c r="J4132" s="25" t="str">
        <f>IF(OR(E4132="",E4132="!!!",F4132="NEW"),"",COUNTBLANK(OFFSET(A$1,,,SUMPRODUCT(MAX(ROW(E$2:E4132)*(E4132=E$2:E4132)))))-COUNTBLANK(OFFSET(A$1,,,SUMPRODUCT(MAX(ROW(E$1:E4131)*(E2=E$1:E4131))))))</f>
        <v> </v>
      </c>
      <c r="K4132" s="25" t="str">
        <f>IF(OR(E4132="",E4132="!!!",F4132="NEW"),"",INDEX(J$1:J4131,SUMPRODUCT(MAX(ROW(E$1:E4131)*(E4132=E$1:E4131)))))</f>
        <v> </v>
      </c>
      <c r="L4132" s="26"/>
    </row>
    <row r="4133" spans="1:12">
      <c r="A4133" s="20" t="s">
        <v>807</v>
      </c>
      <c r="B4133" s="27" t="s">
        <v>795</v>
      </c>
      <c r="C4133" s="27" t="s">
        <v>749</v>
      </c>
      <c r="D4133" s="27" t="s">
        <v>740</v>
      </c>
      <c r="E4133" s="21">
        <f>IF(D4133="?OLD","!!!","")</f>
        <v/>
      </c>
      <c r="F4133" s="22" t="str">
        <f>IF(OR(E4133="",E4133="!!!"),"",IF(NOT(ISNA(VLOOKUP(E4133,E$1:E4132,1,FALSE()))),"OLD",IF(AND(E4133&lt;&gt;"",E4133&lt;&gt;"!!!"),"NEW","")))</f>
        <v> </v>
      </c>
      <c r="G4133" s="23" t="str">
        <f>IF(OR(E4133="",E4133="!!!"),"",IF(OR(J4133=0,AND(J4133=1,K4133=1),AND(J4133=1,I4133="SBJ"),AND(J4133=1,I4133=0)),"?IN_FOCUS",IF(J4133&lt;=2,"?ACTIVATED",IF(J4133&lt;&gt;"","?FAMILIAR",IF(F4133="NEW",IF(ISNA(VLOOKUP(E4133,#REF!,1,FALSE())),"?TYPE_IDENTIFIABLE","?REFERENTIAL"),"_")))))</f>
        <v> </v>
      </c>
      <c r="H4133" s="24" t="str">
        <f>IF(J4133&lt;&gt;1,"",IF(I4133="SBJ","CB","?"))</f>
        <v> </v>
      </c>
      <c r="I4133" s="25" t="str">
        <f>IF(OR(E4133="",E4133="!!!",F4133="NEW"),"",INDEX(B4132:B$2,-1+SUMPRODUCT(MAX(ROW(E4132:E$2)*(E4133=E4132:E$2)))))</f>
        <v> </v>
      </c>
      <c r="J4133" s="25" t="str">
        <f>IF(OR(E4133="",E4133="!!!",F4133="NEW"),"",COUNTBLANK(OFFSET(A$1,,,SUMPRODUCT(MAX(ROW(E$2:E4133)*(E4133=E$2:E4133)))))-COUNTBLANK(OFFSET(A$1,,,SUMPRODUCT(MAX(ROW(E$1:E4132)*(E2=E$1:E4132))))))</f>
        <v> </v>
      </c>
      <c r="K4133" s="25" t="str">
        <f>IF(OR(E4133="",E4133="!!!",F4133="NEW"),"",INDEX(J$1:J4132,SUMPRODUCT(MAX(ROW(E$1:E4132)*(E4133=E$1:E4132)))))</f>
        <v> </v>
      </c>
      <c r="L4133" s="26"/>
    </row>
    <row r="4134" spans="1:12">
      <c r="A4134" s="20" t="s">
        <v>818</v>
      </c>
      <c r="E4134" s="21">
        <f>IF(D4134="?OLD","!!!","")</f>
        <v/>
      </c>
      <c r="F4134" s="22" t="str">
        <f>IF(OR(E4134="",E4134="!!!"),"",IF(NOT(ISNA(VLOOKUP(E4134,E$1:E4133,1,FALSE()))),"OLD",IF(AND(E4134&lt;&gt;"",E4134&lt;&gt;"!!!"),"NEW","")))</f>
        <v> </v>
      </c>
      <c r="G4134" s="23" t="str">
        <f>IF(OR(E4134="",E4134="!!!"),"",IF(OR(J4134=0,AND(J4134=1,K4134=1),AND(J4134=1,I4134="SBJ"),AND(J4134=1,I4134=0)),"?IN_FOCUS",IF(J4134&lt;=2,"?ACTIVATED",IF(J4134&lt;&gt;"","?FAMILIAR",IF(F4134="NEW",IF(ISNA(VLOOKUP(E4134,#REF!,1,FALSE())),"?TYPE_IDENTIFIABLE","?REFERENTIAL"),"_")))))</f>
        <v> </v>
      </c>
      <c r="H4134" s="24" t="str">
        <f>IF(J4134&lt;&gt;1,"",IF(I4134="SBJ","CB","?"))</f>
        <v> </v>
      </c>
      <c r="I4134" s="25" t="str">
        <f>IF(OR(E4134="",E4134="!!!",F4134="NEW"),"",INDEX(B4133:B$2,-1+SUMPRODUCT(MAX(ROW(E4133:E$2)*(E4134=E4133:E$2)))))</f>
        <v> </v>
      </c>
      <c r="J4134" s="25" t="str">
        <f>IF(OR(E4134="",E4134="!!!",F4134="NEW"),"",COUNTBLANK(OFFSET(A$1,,,SUMPRODUCT(MAX(ROW(E$2:E4134)*(E4134=E$2:E4134)))))-COUNTBLANK(OFFSET(A$1,,,SUMPRODUCT(MAX(ROW(E$1:E4133)*(E2=E$1:E4133))))))</f>
        <v> </v>
      </c>
      <c r="K4134" s="25" t="str">
        <f>IF(OR(E4134="",E4134="!!!",F4134="NEW"),"",INDEX(J$1:J4133,SUMPRODUCT(MAX(ROW(E$1:E4133)*(E4134=E$1:E4133)))))</f>
        <v> </v>
      </c>
      <c r="L4134" s="26"/>
    </row>
    <row r="4135" spans="1:12">
      <c r="A4135" s="20" t="s">
        <v>1944</v>
      </c>
      <c r="E4135" s="21">
        <f>IF(D4135="?OLD","!!!","")</f>
        <v/>
      </c>
      <c r="F4135" s="22" t="str">
        <f>IF(OR(E4135="",E4135="!!!"),"",IF(NOT(ISNA(VLOOKUP(E4135,E$1:E4134,1,FALSE()))),"OLD",IF(AND(E4135&lt;&gt;"",E4135&lt;&gt;"!!!"),"NEW","")))</f>
        <v> </v>
      </c>
      <c r="G4135" s="23" t="str">
        <f>IF(OR(E4135="",E4135="!!!"),"",IF(OR(J4135=0,AND(J4135=1,K4135=1),AND(J4135=1,I4135="SBJ"),AND(J4135=1,I4135=0)),"?IN_FOCUS",IF(J4135&lt;=2,"?ACTIVATED",IF(J4135&lt;&gt;"","?FAMILIAR",IF(F4135="NEW",IF(ISNA(VLOOKUP(E4135,#REF!,1,FALSE())),"?TYPE_IDENTIFIABLE","?REFERENTIAL"),"_")))))</f>
        <v> </v>
      </c>
      <c r="H4135" s="24" t="str">
        <f>IF(J4135&lt;&gt;1,"",IF(I4135="SBJ","CB","?"))</f>
        <v> </v>
      </c>
      <c r="I4135" s="25" t="str">
        <f>IF(OR(E4135="",E4135="!!!",F4135="NEW"),"",INDEX(B4134:B$2,-1+SUMPRODUCT(MAX(ROW(E4134:E$2)*(E4135=E4134:E$2)))))</f>
        <v> </v>
      </c>
      <c r="J4135" s="25" t="str">
        <f>IF(OR(E4135="",E4135="!!!",F4135="NEW"),"",COUNTBLANK(OFFSET(A$1,,,SUMPRODUCT(MAX(ROW(E$2:E4135)*(E4135=E$2:E4135)))))-COUNTBLANK(OFFSET(A$1,,,SUMPRODUCT(MAX(ROW(E$1:E4134)*(E2=E$1:E4134))))))</f>
        <v> </v>
      </c>
      <c r="K4135" s="25" t="str">
        <f>IF(OR(E4135="",E4135="!!!",F4135="NEW"),"",INDEX(J$1:J4134,SUMPRODUCT(MAX(ROW(E$1:E4134)*(E4135=E$1:E4134)))))</f>
        <v> </v>
      </c>
      <c r="L4135" s="26"/>
    </row>
    <row r="4136" spans="1:12">
      <c r="A4136" s="20" t="s">
        <v>1417</v>
      </c>
      <c r="B4136" s="27" t="s">
        <v>733</v>
      </c>
      <c r="C4136" s="27" t="s">
        <v>739</v>
      </c>
      <c r="D4136" s="27" t="s">
        <v>740</v>
      </c>
      <c r="E4136" s="21">
        <f>IF(D4136="?OLD","!!!","")</f>
        <v/>
      </c>
      <c r="F4136" s="22" t="str">
        <f>IF(OR(E4136="",E4136="!!!"),"",IF(NOT(ISNA(VLOOKUP(E4136,E$1:E4135,1,FALSE()))),"OLD",IF(AND(E4136&lt;&gt;"",E4136&lt;&gt;"!!!"),"NEW","")))</f>
        <v> </v>
      </c>
      <c r="G4136" s="23" t="str">
        <f>IF(OR(E4136="",E4136="!!!"),"",IF(OR(J4136=0,AND(J4136=1,K4136=1),AND(J4136=1,I4136="SBJ"),AND(J4136=1,I4136=0)),"?IN_FOCUS",IF(J4136&lt;=2,"?ACTIVATED",IF(J4136&lt;&gt;"","?FAMILIAR",IF(F4136="NEW",IF(ISNA(VLOOKUP(E4136,#REF!,1,FALSE())),"?TYPE_IDENTIFIABLE","?REFERENTIAL"),"_")))))</f>
        <v> </v>
      </c>
      <c r="H4136" s="24" t="str">
        <f>IF(J4136&lt;&gt;1,"",IF(I4136="SBJ","CB","?"))</f>
        <v> </v>
      </c>
      <c r="I4136" s="25" t="str">
        <f>IF(OR(E4136="",E4136="!!!",F4136="NEW"),"",INDEX(B4135:B$2,-1+SUMPRODUCT(MAX(ROW(E4135:E$2)*(E4136=E4135:E$2)))))</f>
        <v> </v>
      </c>
      <c r="J4136" s="25" t="str">
        <f>IF(OR(E4136="",E4136="!!!",F4136="NEW"),"",COUNTBLANK(OFFSET(A$1,,,SUMPRODUCT(MAX(ROW(E$2:E4136)*(E4136=E$2:E4136)))))-COUNTBLANK(OFFSET(A$1,,,SUMPRODUCT(MAX(ROW(E$1:E4135)*(E2=E$1:E4135))))))</f>
        <v> </v>
      </c>
      <c r="K4136" s="25" t="str">
        <f>IF(OR(E4136="",E4136="!!!",F4136="NEW"),"",INDEX(J$1:J4135,SUMPRODUCT(MAX(ROW(E$1:E4135)*(E4136=E$1:E4135)))))</f>
        <v> </v>
      </c>
      <c r="L4136" s="26"/>
    </row>
    <row r="4137" spans="1:12">
      <c r="A4137" s="20" t="s">
        <v>900</v>
      </c>
      <c r="E4137" s="21">
        <f>IF(D4137="?OLD","!!!","")</f>
        <v/>
      </c>
      <c r="F4137" s="22" t="str">
        <f>IF(OR(E4137="",E4137="!!!"),"",IF(NOT(ISNA(VLOOKUP(E4137,E$1:E4136,1,FALSE()))),"OLD",IF(AND(E4137&lt;&gt;"",E4137&lt;&gt;"!!!"),"NEW","")))</f>
        <v> </v>
      </c>
      <c r="G4137" s="23" t="str">
        <f>IF(OR(E4137="",E4137="!!!"),"",IF(OR(J4137=0,AND(J4137=1,K4137=1),AND(J4137=1,I4137="SBJ"),AND(J4137=1,I4137=0)),"?IN_FOCUS",IF(J4137&lt;=2,"?ACTIVATED",IF(J4137&lt;&gt;"","?FAMILIAR",IF(F4137="NEW",IF(ISNA(VLOOKUP(E4137,#REF!,1,FALSE())),"?TYPE_IDENTIFIABLE","?REFERENTIAL"),"_")))))</f>
        <v> </v>
      </c>
      <c r="H4137" s="24" t="str">
        <f>IF(J4137&lt;&gt;1,"",IF(I4137="SBJ","CB","?"))</f>
        <v> </v>
      </c>
      <c r="I4137" s="25" t="str">
        <f>IF(OR(E4137="",E4137="!!!",F4137="NEW"),"",INDEX(B4136:B$2,-1+SUMPRODUCT(MAX(ROW(E4136:E$2)*(E4137=E4136:E$2)))))</f>
        <v> </v>
      </c>
      <c r="J4137" s="25" t="str">
        <f>IF(OR(E4137="",E4137="!!!",F4137="NEW"),"",COUNTBLANK(OFFSET(A$1,,,SUMPRODUCT(MAX(ROW(E$2:E4137)*(E4137=E$2:E4137)))))-COUNTBLANK(OFFSET(A$1,,,SUMPRODUCT(MAX(ROW(E$1:E4136)*(E2=E$1:E4136))))))</f>
        <v> </v>
      </c>
      <c r="K4137" s="25" t="str">
        <f>IF(OR(E4137="",E4137="!!!",F4137="NEW"),"",INDEX(J$1:J4136,SUMPRODUCT(MAX(ROW(E$1:E4136)*(E4137=E$1:E4136)))))</f>
        <v> </v>
      </c>
      <c r="L4137" s="26"/>
    </row>
    <row r="4138" spans="1:12">
      <c r="A4138" s="20" t="s">
        <v>753</v>
      </c>
      <c r="E4138" s="21">
        <f>IF(D4138="?OLD","!!!","")</f>
        <v/>
      </c>
      <c r="F4138" s="22" t="str">
        <f>IF(OR(E4138="",E4138="!!!"),"",IF(NOT(ISNA(VLOOKUP(E4138,E$1:E4137,1,FALSE()))),"OLD",IF(AND(E4138&lt;&gt;"",E4138&lt;&gt;"!!!"),"NEW","")))</f>
        <v> </v>
      </c>
      <c r="G4138" s="23" t="str">
        <f>IF(OR(E4138="",E4138="!!!"),"",IF(OR(J4138=0,AND(J4138=1,K4138=1),AND(J4138=1,I4138="SBJ"),AND(J4138=1,I4138=0)),"?IN_FOCUS",IF(J4138&lt;=2,"?ACTIVATED",IF(J4138&lt;&gt;"","?FAMILIAR",IF(F4138="NEW",IF(ISNA(VLOOKUP(E4138,#REF!,1,FALSE())),"?TYPE_IDENTIFIABLE","?REFERENTIAL"),"_")))))</f>
        <v> </v>
      </c>
      <c r="H4138" s="24" t="str">
        <f>IF(J4138&lt;&gt;1,"",IF(I4138="SBJ","CB","?"))</f>
        <v> </v>
      </c>
      <c r="I4138" s="25" t="str">
        <f>IF(OR(E4138="",E4138="!!!",F4138="NEW"),"",INDEX(B4137:B$2,-1+SUMPRODUCT(MAX(ROW(E4137:E$2)*(E4138=E4137:E$2)))))</f>
        <v> </v>
      </c>
      <c r="J4138" s="25" t="str">
        <f>IF(OR(E4138="",E4138="!!!",F4138="NEW"),"",COUNTBLANK(OFFSET(A$1,,,SUMPRODUCT(MAX(ROW(E$2:E4138)*(E4138=E$2:E4138)))))-COUNTBLANK(OFFSET(A$1,,,SUMPRODUCT(MAX(ROW(E$1:E4137)*(E2=E$1:E4137))))))</f>
        <v> </v>
      </c>
      <c r="K4138" s="25" t="str">
        <f>IF(OR(E4138="",E4138="!!!",F4138="NEW"),"",INDEX(J$1:J4137,SUMPRODUCT(MAX(ROW(E$1:E4137)*(E4138=E$1:E4137)))))</f>
        <v> </v>
      </c>
      <c r="L4138" s="26"/>
    </row>
    <row r="4139" spans="1:12">
      <c r="A4139" s="20" t="s">
        <v>788</v>
      </c>
      <c r="E4139" s="21">
        <f>IF(D4139="?OLD","!!!","")</f>
        <v/>
      </c>
      <c r="F4139" s="22" t="str">
        <f>IF(OR(E4139="",E4139="!!!"),"",IF(NOT(ISNA(VLOOKUP(E4139,E$1:E4138,1,FALSE()))),"OLD",IF(AND(E4139&lt;&gt;"",E4139&lt;&gt;"!!!"),"NEW","")))</f>
        <v> </v>
      </c>
      <c r="G4139" s="23" t="str">
        <f>IF(OR(E4139="",E4139="!!!"),"",IF(OR(J4139=0,AND(J4139=1,K4139=1),AND(J4139=1,I4139="SBJ"),AND(J4139=1,I4139=0)),"?IN_FOCUS",IF(J4139&lt;=2,"?ACTIVATED",IF(J4139&lt;&gt;"","?FAMILIAR",IF(F4139="NEW",IF(ISNA(VLOOKUP(E4139,#REF!,1,FALSE())),"?TYPE_IDENTIFIABLE","?REFERENTIAL"),"_")))))</f>
        <v> </v>
      </c>
      <c r="H4139" s="24" t="str">
        <f>IF(J4139&lt;&gt;1,"",IF(I4139="SBJ","CB","?"))</f>
        <v> </v>
      </c>
      <c r="I4139" s="25" t="str">
        <f>IF(OR(E4139="",E4139="!!!",F4139="NEW"),"",INDEX(B4138:B$2,-1+SUMPRODUCT(MAX(ROW(E4138:E$2)*(E4139=E4138:E$2)))))</f>
        <v> </v>
      </c>
      <c r="J4139" s="25" t="str">
        <f>IF(OR(E4139="",E4139="!!!",F4139="NEW"),"",COUNTBLANK(OFFSET(A$1,,,SUMPRODUCT(MAX(ROW(E$2:E4139)*(E4139=E$2:E4139)))))-COUNTBLANK(OFFSET(A$1,,,SUMPRODUCT(MAX(ROW(E$1:E4138)*(E2=E$1:E4138))))))</f>
        <v> </v>
      </c>
      <c r="K4139" s="25" t="str">
        <f>IF(OR(E4139="",E4139="!!!",F4139="NEW"),"",INDEX(J$1:J4138,SUMPRODUCT(MAX(ROW(E$1:E4138)*(E4139=E$1:E4138)))))</f>
        <v> </v>
      </c>
      <c r="L4139" s="26"/>
    </row>
    <row r="4140" spans="1:12">
      <c r="A4140" s="20" t="s">
        <v>1477</v>
      </c>
      <c r="B4140" s="27" t="s">
        <v>1027</v>
      </c>
      <c r="C4140" s="27" t="s">
        <v>828</v>
      </c>
      <c r="D4140" s="27" t="s">
        <v>740</v>
      </c>
      <c r="E4140" s="21">
        <f>IF(D4140="?OLD","!!!","")</f>
        <v/>
      </c>
      <c r="F4140" s="22" t="str">
        <f>IF(OR(E4140="",E4140="!!!"),"",IF(NOT(ISNA(VLOOKUP(E4140,E$1:E4139,1,FALSE()))),"OLD",IF(AND(E4140&lt;&gt;"",E4140&lt;&gt;"!!!"),"NEW","")))</f>
        <v> </v>
      </c>
      <c r="G4140" s="23" t="str">
        <f>IF(OR(E4140="",E4140="!!!"),"",IF(OR(J4140=0,AND(J4140=1,K4140=1),AND(J4140=1,I4140="SBJ"),AND(J4140=1,I4140=0)),"?IN_FOCUS",IF(J4140&lt;=2,"?ACTIVATED",IF(J4140&lt;&gt;"","?FAMILIAR",IF(F4140="NEW",IF(ISNA(VLOOKUP(E4140,#REF!,1,FALSE())),"?TYPE_IDENTIFIABLE","?REFERENTIAL"),"_")))))</f>
        <v> </v>
      </c>
      <c r="H4140" s="24" t="str">
        <f>IF(J4140&lt;&gt;1,"",IF(I4140="SBJ","CB","?"))</f>
        <v> </v>
      </c>
      <c r="I4140" s="25" t="str">
        <f>IF(OR(E4140="",E4140="!!!",F4140="NEW"),"",INDEX(B4139:B$2,-1+SUMPRODUCT(MAX(ROW(E4139:E$2)*(E4140=E4139:E$2)))))</f>
        <v> </v>
      </c>
      <c r="J4140" s="25" t="str">
        <f>IF(OR(E4140="",E4140="!!!",F4140="NEW"),"",COUNTBLANK(OFFSET(A$1,,,SUMPRODUCT(MAX(ROW(E$2:E4140)*(E4140=E$2:E4140)))))-COUNTBLANK(OFFSET(A$1,,,SUMPRODUCT(MAX(ROW(E$1:E4139)*(E2=E$1:E4139))))))</f>
        <v> </v>
      </c>
      <c r="K4140" s="25" t="str">
        <f>IF(OR(E4140="",E4140="!!!",F4140="NEW"),"",INDEX(J$1:J4139,SUMPRODUCT(MAX(ROW(E$1:E4139)*(E4140=E$1:E4139)))))</f>
        <v> </v>
      </c>
      <c r="L4140" s="26"/>
    </row>
    <row r="4141" spans="1:12">
      <c r="A4141" s="20" t="s">
        <v>1958</v>
      </c>
      <c r="B4141" s="27" t="s">
        <v>935</v>
      </c>
      <c r="C4141" s="27" t="s">
        <v>734</v>
      </c>
      <c r="E4141" s="21">
        <f>IF(D4141="?OLD","!!!","")</f>
        <v/>
      </c>
      <c r="F4141" s="22" t="str">
        <f>IF(OR(E4141="",E4141="!!!"),"",IF(NOT(ISNA(VLOOKUP(E4141,E$1:E4140,1,FALSE()))),"OLD",IF(AND(E4141&lt;&gt;"",E4141&lt;&gt;"!!!"),"NEW","")))</f>
        <v> </v>
      </c>
      <c r="G4141" s="23" t="str">
        <f>IF(OR(E4141="",E4141="!!!"),"",IF(OR(J4141=0,AND(J4141=1,K4141=1),AND(J4141=1,I4141="SBJ"),AND(J4141=1,I4141=0)),"?IN_FOCUS",IF(J4141&lt;=2,"?ACTIVATED",IF(J4141&lt;&gt;"","?FAMILIAR",IF(F4141="NEW",IF(ISNA(VLOOKUP(E4141,#REF!,1,FALSE())),"?TYPE_IDENTIFIABLE","?REFERENTIAL"),"_")))))</f>
        <v> </v>
      </c>
      <c r="H4141" s="24" t="str">
        <f>IF(J4141&lt;&gt;1,"",IF(I4141="SBJ","CB","?"))</f>
        <v> </v>
      </c>
      <c r="I4141" s="25" t="str">
        <f>IF(OR(E4141="",E4141="!!!",F4141="NEW"),"",INDEX(B4140:B$2,-1+SUMPRODUCT(MAX(ROW(E4140:E$2)*(E4141=E4140:E$2)))))</f>
        <v> </v>
      </c>
      <c r="J4141" s="25" t="str">
        <f>IF(OR(E4141="",E4141="!!!",F4141="NEW"),"",COUNTBLANK(OFFSET(A$1,,,SUMPRODUCT(MAX(ROW(E$2:E4141)*(E4141=E$2:E4141)))))-COUNTBLANK(OFFSET(A$1,,,SUMPRODUCT(MAX(ROW(E$1:E4140)*(E2=E$1:E4140))))))</f>
        <v> </v>
      </c>
      <c r="K4141" s="25" t="str">
        <f>IF(OR(E4141="",E4141="!!!",F4141="NEW"),"",INDEX(J$1:J4140,SUMPRODUCT(MAX(ROW(E$1:E4140)*(E4141=E$1:E4140)))))</f>
        <v> </v>
      </c>
      <c r="L4141" s="26"/>
    </row>
    <row r="4142" spans="1:12">
      <c r="A4142" s="20" t="s">
        <v>757</v>
      </c>
      <c r="E4142" s="21">
        <f>IF(D4142="?OLD","!!!","")</f>
        <v/>
      </c>
      <c r="F4142" s="22" t="str">
        <f>IF(OR(E4142="",E4142="!!!"),"",IF(NOT(ISNA(VLOOKUP(E4142,E$1:E4141,1,FALSE()))),"OLD",IF(AND(E4142&lt;&gt;"",E4142&lt;&gt;"!!!"),"NEW","")))</f>
        <v> </v>
      </c>
      <c r="G4142" s="23" t="str">
        <f>IF(OR(E4142="",E4142="!!!"),"",IF(OR(J4142=0,AND(J4142=1,K4142=1),AND(J4142=1,I4142="SBJ"),AND(J4142=1,I4142=0)),"?IN_FOCUS",IF(J4142&lt;=2,"?ACTIVATED",IF(J4142&lt;&gt;"","?FAMILIAR",IF(F4142="NEW",IF(ISNA(VLOOKUP(E4142,#REF!,1,FALSE())),"?TYPE_IDENTIFIABLE","?REFERENTIAL"),"_")))))</f>
        <v> </v>
      </c>
      <c r="H4142" s="24" t="str">
        <f>IF(J4142&lt;&gt;1,"",IF(I4142="SBJ","CB","?"))</f>
        <v> </v>
      </c>
      <c r="I4142" s="25" t="str">
        <f>IF(OR(E4142="",E4142="!!!",F4142="NEW"),"",INDEX(B4141:B$2,-1+SUMPRODUCT(MAX(ROW(E4141:E$2)*(E4142=E4141:E$2)))))</f>
        <v> </v>
      </c>
      <c r="J4142" s="25" t="str">
        <f>IF(OR(E4142="",E4142="!!!",F4142="NEW"),"",COUNTBLANK(OFFSET(A$1,,,SUMPRODUCT(MAX(ROW(E$2:E4142)*(E4142=E$2:E4142)))))-COUNTBLANK(OFFSET(A$1,,,SUMPRODUCT(MAX(ROW(E$1:E4141)*(E2=E$1:E4141))))))</f>
        <v> </v>
      </c>
      <c r="K4142" s="25" t="str">
        <f>IF(OR(E4142="",E4142="!!!",F4142="NEW"),"",INDEX(J$1:J4141,SUMPRODUCT(MAX(ROW(E$1:E4141)*(E4142=E$1:E4141)))))</f>
        <v> </v>
      </c>
      <c r="L4142" s="26"/>
    </row>
    <row r="4143" spans="1:12">
      <c r="A4143" s="20" t="s">
        <v>736</v>
      </c>
      <c r="E4143" s="21">
        <f>IF(D4143="?OLD","!!!","")</f>
        <v/>
      </c>
      <c r="F4143" s="22" t="str">
        <f>IF(OR(E4143="",E4143="!!!"),"",IF(NOT(ISNA(VLOOKUP(E4143,E$1:E4142,1,FALSE()))),"OLD",IF(AND(E4143&lt;&gt;"",E4143&lt;&gt;"!!!"),"NEW","")))</f>
        <v> </v>
      </c>
      <c r="G4143" s="23" t="str">
        <f>IF(OR(E4143="",E4143="!!!"),"",IF(OR(J4143=0,AND(J4143=1,K4143=1),AND(J4143=1,I4143="SBJ"),AND(J4143=1,I4143=0)),"?IN_FOCUS",IF(J4143&lt;=2,"?ACTIVATED",IF(J4143&lt;&gt;"","?FAMILIAR",IF(F4143="NEW",IF(ISNA(VLOOKUP(E4143,#REF!,1,FALSE())),"?TYPE_IDENTIFIABLE","?REFERENTIAL"),"_")))))</f>
        <v> </v>
      </c>
      <c r="H4143" s="24" t="str">
        <f>IF(J4143&lt;&gt;1,"",IF(I4143="SBJ","CB","?"))</f>
        <v> </v>
      </c>
      <c r="I4143" s="25" t="str">
        <f>IF(OR(E4143="",E4143="!!!",F4143="NEW"),"",INDEX(B4142:B$2,-1+SUMPRODUCT(MAX(ROW(E4142:E$2)*(E4143=E4142:E$2)))))</f>
        <v> </v>
      </c>
      <c r="J4143" s="25" t="str">
        <f>IF(OR(E4143="",E4143="!!!",F4143="NEW"),"",COUNTBLANK(OFFSET(A$1,,,SUMPRODUCT(MAX(ROW(E$2:E4143)*(E4143=E$2:E4143)))))-COUNTBLANK(OFFSET(A$1,,,SUMPRODUCT(MAX(ROW(E$1:E4142)*(E2=E$1:E4142))))))</f>
        <v> </v>
      </c>
      <c r="K4143" s="25" t="str">
        <f>IF(OR(E4143="",E4143="!!!",F4143="NEW"),"",INDEX(J$1:J4142,SUMPRODUCT(MAX(ROW(E$1:E4142)*(E4143=E$1:E4142)))))</f>
        <v> </v>
      </c>
      <c r="L4143" s="26"/>
    </row>
    <row r="4144" spans="1:12">
      <c r="A4144" s="20" t="s">
        <v>1646</v>
      </c>
      <c r="B4144" s="27" t="s">
        <v>787</v>
      </c>
      <c r="C4144" s="27" t="s">
        <v>739</v>
      </c>
      <c r="D4144" s="27" t="s">
        <v>740</v>
      </c>
      <c r="E4144" s="21">
        <f>IF(D4144="?OLD","!!!","")</f>
        <v/>
      </c>
      <c r="F4144" s="22" t="str">
        <f>IF(OR(E4144="",E4144="!!!"),"",IF(NOT(ISNA(VLOOKUP(E4144,E$1:E4143,1,FALSE()))),"OLD",IF(AND(E4144&lt;&gt;"",E4144&lt;&gt;"!!!"),"NEW","")))</f>
        <v> </v>
      </c>
      <c r="G4144" s="23" t="str">
        <f>IF(OR(E4144="",E4144="!!!"),"",IF(OR(J4144=0,AND(J4144=1,K4144=1),AND(J4144=1,I4144="SBJ"),AND(J4144=1,I4144=0)),"?IN_FOCUS",IF(J4144&lt;=2,"?ACTIVATED",IF(J4144&lt;&gt;"","?FAMILIAR",IF(F4144="NEW",IF(ISNA(VLOOKUP(E4144,#REF!,1,FALSE())),"?TYPE_IDENTIFIABLE","?REFERENTIAL"),"_")))))</f>
        <v> </v>
      </c>
      <c r="H4144" s="24" t="str">
        <f>IF(J4144&lt;&gt;1,"",IF(I4144="SBJ","CB","?"))</f>
        <v> </v>
      </c>
      <c r="I4144" s="25" t="str">
        <f>IF(OR(E4144="",E4144="!!!",F4144="NEW"),"",INDEX(B4143:B$2,-1+SUMPRODUCT(MAX(ROW(E4143:E$2)*(E4144=E4143:E$2)))))</f>
        <v> </v>
      </c>
      <c r="J4144" s="25" t="str">
        <f>IF(OR(E4144="",E4144="!!!",F4144="NEW"),"",COUNTBLANK(OFFSET(A$1,,,SUMPRODUCT(MAX(ROW(E$2:E4144)*(E4144=E$2:E4144)))))-COUNTBLANK(OFFSET(A$1,,,SUMPRODUCT(MAX(ROW(E$1:E4143)*(E2=E$1:E4143))))))</f>
        <v> </v>
      </c>
      <c r="K4144" s="25" t="str">
        <f>IF(OR(E4144="",E4144="!!!",F4144="NEW"),"",INDEX(J$1:J4143,SUMPRODUCT(MAX(ROW(E$1:E4143)*(E4144=E$1:E4143)))))</f>
        <v> </v>
      </c>
      <c r="L4144" s="26"/>
    </row>
    <row r="4145" spans="1:12">
      <c r="A4145" s="20" t="s">
        <v>1959</v>
      </c>
      <c r="B4145" s="27" t="s">
        <v>1027</v>
      </c>
      <c r="C4145" s="27" t="s">
        <v>804</v>
      </c>
      <c r="D4145" s="27" t="s">
        <v>740</v>
      </c>
      <c r="E4145" s="21">
        <f>IF(D4145="?OLD","!!!","")</f>
        <v/>
      </c>
      <c r="F4145" s="22" t="str">
        <f>IF(OR(E4145="",E4145="!!!"),"",IF(NOT(ISNA(VLOOKUP(E4145,E$1:E4144,1,FALSE()))),"OLD",IF(AND(E4145&lt;&gt;"",E4145&lt;&gt;"!!!"),"NEW","")))</f>
        <v> </v>
      </c>
      <c r="G4145" s="23" t="str">
        <f>IF(OR(E4145="",E4145="!!!"),"",IF(OR(J4145=0,AND(J4145=1,K4145=1),AND(J4145=1,I4145="SBJ"),AND(J4145=1,I4145=0)),"?IN_FOCUS",IF(J4145&lt;=2,"?ACTIVATED",IF(J4145&lt;&gt;"","?FAMILIAR",IF(F4145="NEW",IF(ISNA(VLOOKUP(E4145,#REF!,1,FALSE())),"?TYPE_IDENTIFIABLE","?REFERENTIAL"),"_")))))</f>
        <v> </v>
      </c>
      <c r="H4145" s="24" t="str">
        <f>IF(J4145&lt;&gt;1,"",IF(I4145="SBJ","CB","?"))</f>
        <v> </v>
      </c>
      <c r="I4145" s="25" t="str">
        <f>IF(OR(E4145="",E4145="!!!",F4145="NEW"),"",INDEX(B4144:B$2,-1+SUMPRODUCT(MAX(ROW(E4144:E$2)*(E4145=E4144:E$2)))))</f>
        <v> </v>
      </c>
      <c r="J4145" s="25" t="str">
        <f>IF(OR(E4145="",E4145="!!!",F4145="NEW"),"",COUNTBLANK(OFFSET(A$1,,,SUMPRODUCT(MAX(ROW(E$2:E4145)*(E4145=E$2:E4145)))))-COUNTBLANK(OFFSET(A$1,,,SUMPRODUCT(MAX(ROW(E$1:E4144)*(E2=E$1:E4144))))))</f>
        <v> </v>
      </c>
      <c r="K4145" s="25" t="str">
        <f>IF(OR(E4145="",E4145="!!!",F4145="NEW"),"",INDEX(J$1:J4144,SUMPRODUCT(MAX(ROW(E$1:E4144)*(E4145=E$1:E4144)))))</f>
        <v> </v>
      </c>
      <c r="L4145" s="26"/>
    </row>
    <row r="4146" spans="1:12">
      <c r="A4146" s="20" t="s">
        <v>811</v>
      </c>
      <c r="E4146" s="21">
        <f>IF(D4146="?OLD","!!!","")</f>
        <v/>
      </c>
      <c r="F4146" s="22" t="str">
        <f>IF(OR(E4146="",E4146="!!!"),"",IF(NOT(ISNA(VLOOKUP(E4146,E$1:E4145,1,FALSE()))),"OLD",IF(AND(E4146&lt;&gt;"",E4146&lt;&gt;"!!!"),"NEW","")))</f>
        <v> </v>
      </c>
      <c r="G4146" s="23" t="str">
        <f>IF(OR(E4146="",E4146="!!!"),"",IF(OR(J4146=0,AND(J4146=1,K4146=1),AND(J4146=1,I4146="SBJ"),AND(J4146=1,I4146=0)),"?IN_FOCUS",IF(J4146&lt;=2,"?ACTIVATED",IF(J4146&lt;&gt;"","?FAMILIAR",IF(F4146="NEW",IF(ISNA(VLOOKUP(E4146,#REF!,1,FALSE())),"?TYPE_IDENTIFIABLE","?REFERENTIAL"),"_")))))</f>
        <v> </v>
      </c>
      <c r="H4146" s="24" t="str">
        <f>IF(J4146&lt;&gt;1,"",IF(I4146="SBJ","CB","?"))</f>
        <v> </v>
      </c>
      <c r="I4146" s="25" t="str">
        <f>IF(OR(E4146="",E4146="!!!",F4146="NEW"),"",INDEX(B4145:B$2,-1+SUMPRODUCT(MAX(ROW(E4145:E$2)*(E4146=E4145:E$2)))))</f>
        <v> </v>
      </c>
      <c r="J4146" s="25" t="str">
        <f>IF(OR(E4146="",E4146="!!!",F4146="NEW"),"",COUNTBLANK(OFFSET(A$1,,,SUMPRODUCT(MAX(ROW(E$2:E4146)*(E4146=E$2:E4146)))))-COUNTBLANK(OFFSET(A$1,,,SUMPRODUCT(MAX(ROW(E$1:E4145)*(E2=E$1:E4145))))))</f>
        <v> </v>
      </c>
      <c r="K4146" s="25" t="str">
        <f>IF(OR(E4146="",E4146="!!!",F4146="NEW"),"",INDEX(J$1:J4145,SUMPRODUCT(MAX(ROW(E$1:E4145)*(E4146=E$1:E4145)))))</f>
        <v> </v>
      </c>
      <c r="L4146" s="26"/>
    </row>
    <row r="4147" spans="1:12">
      <c r="A4147" s="20" t="s">
        <v>753</v>
      </c>
      <c r="E4147" s="21">
        <f>IF(D4147="?OLD","!!!","")</f>
        <v/>
      </c>
      <c r="F4147" s="22" t="str">
        <f>IF(OR(E4147="",E4147="!!!"),"",IF(NOT(ISNA(VLOOKUP(E4147,E$1:E4146,1,FALSE()))),"OLD",IF(AND(E4147&lt;&gt;"",E4147&lt;&gt;"!!!"),"NEW","")))</f>
        <v> </v>
      </c>
      <c r="G4147" s="23" t="str">
        <f>IF(OR(E4147="",E4147="!!!"),"",IF(OR(J4147=0,AND(J4147=1,K4147=1),AND(J4147=1,I4147="SBJ"),AND(J4147=1,I4147=0)),"?IN_FOCUS",IF(J4147&lt;=2,"?ACTIVATED",IF(J4147&lt;&gt;"","?FAMILIAR",IF(F4147="NEW",IF(ISNA(VLOOKUP(E4147,#REF!,1,FALSE())),"?TYPE_IDENTIFIABLE","?REFERENTIAL"),"_")))))</f>
        <v> </v>
      </c>
      <c r="H4147" s="24" t="str">
        <f>IF(J4147&lt;&gt;1,"",IF(I4147="SBJ","CB","?"))</f>
        <v> </v>
      </c>
      <c r="I4147" s="25" t="str">
        <f>IF(OR(E4147="",E4147="!!!",F4147="NEW"),"",INDEX(B4146:B$2,-1+SUMPRODUCT(MAX(ROW(E4146:E$2)*(E4147=E4146:E$2)))))</f>
        <v> </v>
      </c>
      <c r="J4147" s="25" t="str">
        <f>IF(OR(E4147="",E4147="!!!",F4147="NEW"),"",COUNTBLANK(OFFSET(A$1,,,SUMPRODUCT(MAX(ROW(E$2:E4147)*(E4147=E$2:E4147)))))-COUNTBLANK(OFFSET(A$1,,,SUMPRODUCT(MAX(ROW(E$1:E4146)*(E2=E$1:E4146))))))</f>
        <v> </v>
      </c>
      <c r="K4147" s="25" t="str">
        <f>IF(OR(E4147="",E4147="!!!",F4147="NEW"),"",INDEX(J$1:J4146,SUMPRODUCT(MAX(ROW(E$1:E4146)*(E4147=E$1:E4146)))))</f>
        <v> </v>
      </c>
      <c r="L4147" s="26"/>
    </row>
    <row r="4148" spans="1:12">
      <c r="A4148" s="20" t="s">
        <v>736</v>
      </c>
      <c r="E4148" s="21">
        <f>IF(D4148="?OLD","!!!","")</f>
        <v/>
      </c>
      <c r="F4148" s="22" t="str">
        <f>IF(OR(E4148="",E4148="!!!"),"",IF(NOT(ISNA(VLOOKUP(E4148,E$1:E4147,1,FALSE()))),"OLD",IF(AND(E4148&lt;&gt;"",E4148&lt;&gt;"!!!"),"NEW","")))</f>
        <v> </v>
      </c>
      <c r="G4148" s="23" t="str">
        <f>IF(OR(E4148="",E4148="!!!"),"",IF(OR(J4148=0,AND(J4148=1,K4148=1),AND(J4148=1,I4148="SBJ"),AND(J4148=1,I4148=0)),"?IN_FOCUS",IF(J4148&lt;=2,"?ACTIVATED",IF(J4148&lt;&gt;"","?FAMILIAR",IF(F4148="NEW",IF(ISNA(VLOOKUP(E4148,#REF!,1,FALSE())),"?TYPE_IDENTIFIABLE","?REFERENTIAL"),"_")))))</f>
        <v> </v>
      </c>
      <c r="H4148" s="24" t="str">
        <f>IF(J4148&lt;&gt;1,"",IF(I4148="SBJ","CB","?"))</f>
        <v> </v>
      </c>
      <c r="I4148" s="25" t="str">
        <f>IF(OR(E4148="",E4148="!!!",F4148="NEW"),"",INDEX(B4147:B$2,-1+SUMPRODUCT(MAX(ROW(E4147:E$2)*(E4148=E4147:E$2)))))</f>
        <v> </v>
      </c>
      <c r="J4148" s="25" t="str">
        <f>IF(OR(E4148="",E4148="!!!",F4148="NEW"),"",COUNTBLANK(OFFSET(A$1,,,SUMPRODUCT(MAX(ROW(E$2:E4148)*(E4148=E$2:E4148)))))-COUNTBLANK(OFFSET(A$1,,,SUMPRODUCT(MAX(ROW(E$1:E4147)*(E2=E$1:E4147))))))</f>
        <v> </v>
      </c>
      <c r="K4148" s="25" t="str">
        <f>IF(OR(E4148="",E4148="!!!",F4148="NEW"),"",INDEX(J$1:J4147,SUMPRODUCT(MAX(ROW(E$1:E4147)*(E4148=E$1:E4147)))))</f>
        <v> </v>
      </c>
      <c r="L4148" s="26"/>
    </row>
    <row r="4149" spans="1:12">
      <c r="A4149" s="20" t="s">
        <v>1960</v>
      </c>
      <c r="E4149" s="21">
        <f>IF(D4149="?OLD","!!!","")</f>
        <v/>
      </c>
      <c r="F4149" s="22" t="str">
        <f>IF(OR(E4149="",E4149="!!!"),"",IF(NOT(ISNA(VLOOKUP(E4149,E$1:E4148,1,FALSE()))),"OLD",IF(AND(E4149&lt;&gt;"",E4149&lt;&gt;"!!!"),"NEW","")))</f>
        <v> </v>
      </c>
      <c r="G4149" s="23" t="str">
        <f>IF(OR(E4149="",E4149="!!!"),"",IF(OR(J4149=0,AND(J4149=1,K4149=1),AND(J4149=1,I4149="SBJ"),AND(J4149=1,I4149=0)),"?IN_FOCUS",IF(J4149&lt;=2,"?ACTIVATED",IF(J4149&lt;&gt;"","?FAMILIAR",IF(F4149="NEW",IF(ISNA(VLOOKUP(E4149,#REF!,1,FALSE())),"?TYPE_IDENTIFIABLE","?REFERENTIAL"),"_")))))</f>
        <v> </v>
      </c>
      <c r="H4149" s="24" t="str">
        <f>IF(J4149&lt;&gt;1,"",IF(I4149="SBJ","CB","?"))</f>
        <v> </v>
      </c>
      <c r="I4149" s="25" t="str">
        <f>IF(OR(E4149="",E4149="!!!",F4149="NEW"),"",INDEX(B4148:B$2,-1+SUMPRODUCT(MAX(ROW(E4148:E$2)*(E4149=E4148:E$2)))))</f>
        <v> </v>
      </c>
      <c r="J4149" s="25" t="str">
        <f>IF(OR(E4149="",E4149="!!!",F4149="NEW"),"",COUNTBLANK(OFFSET(A$1,,,SUMPRODUCT(MAX(ROW(E$2:E4149)*(E4149=E$2:E4149)))))-COUNTBLANK(OFFSET(A$1,,,SUMPRODUCT(MAX(ROW(E$1:E4148)*(E2=E$1:E4148))))))</f>
        <v> </v>
      </c>
      <c r="K4149" s="25" t="str">
        <f>IF(OR(E4149="",E4149="!!!",F4149="NEW"),"",INDEX(J$1:J4148,SUMPRODUCT(MAX(ROW(E$1:E4148)*(E4149=E$1:E4148)))))</f>
        <v> </v>
      </c>
      <c r="L4149" s="26"/>
    </row>
    <row r="4150" spans="1:12">
      <c r="A4150" s="20" t="s">
        <v>847</v>
      </c>
      <c r="B4150" s="27" t="s">
        <v>733</v>
      </c>
      <c r="C4150" s="27" t="s">
        <v>1103</v>
      </c>
      <c r="D4150" s="27" t="s">
        <v>740</v>
      </c>
      <c r="E4150" s="21">
        <f>IF(D4150="?OLD","!!!","")</f>
        <v/>
      </c>
      <c r="F4150" s="22" t="str">
        <f>IF(OR(E4150="",E4150="!!!"),"",IF(NOT(ISNA(VLOOKUP(E4150,E$1:E4149,1,FALSE()))),"OLD",IF(AND(E4150&lt;&gt;"",E4150&lt;&gt;"!!!"),"NEW","")))</f>
        <v> </v>
      </c>
      <c r="G4150" s="23" t="str">
        <f>IF(OR(E4150="",E4150="!!!"),"",IF(OR(J4150=0,AND(J4150=1,K4150=1),AND(J4150=1,I4150="SBJ"),AND(J4150=1,I4150=0)),"?IN_FOCUS",IF(J4150&lt;=2,"?ACTIVATED",IF(J4150&lt;&gt;"","?FAMILIAR",IF(F4150="NEW",IF(ISNA(VLOOKUP(E4150,#REF!,1,FALSE())),"?TYPE_IDENTIFIABLE","?REFERENTIAL"),"_")))))</f>
        <v> </v>
      </c>
      <c r="H4150" s="24" t="str">
        <f>IF(J4150&lt;&gt;1,"",IF(I4150="SBJ","CB","?"))</f>
        <v> </v>
      </c>
      <c r="I4150" s="25" t="str">
        <f>IF(OR(E4150="",E4150="!!!",F4150="NEW"),"",INDEX(B4149:B$2,-1+SUMPRODUCT(MAX(ROW(E4149:E$2)*(E4150=E4149:E$2)))))</f>
        <v> </v>
      </c>
      <c r="J4150" s="25" t="str">
        <f>IF(OR(E4150="",E4150="!!!",F4150="NEW"),"",COUNTBLANK(OFFSET(A$1,,,SUMPRODUCT(MAX(ROW(E$2:E4150)*(E4150=E$2:E4150)))))-COUNTBLANK(OFFSET(A$1,,,SUMPRODUCT(MAX(ROW(E$1:E4149)*(E2=E$1:E4149))))))</f>
        <v> </v>
      </c>
      <c r="K4150" s="25" t="str">
        <f>IF(OR(E4150="",E4150="!!!",F4150="NEW"),"",INDEX(J$1:J4149,SUMPRODUCT(MAX(ROW(E$1:E4149)*(E4150=E$1:E4149)))))</f>
        <v> </v>
      </c>
      <c r="L4150" s="26"/>
    </row>
    <row r="4151" spans="1:12">
      <c r="A4151" s="20" t="s">
        <v>999</v>
      </c>
      <c r="E4151" s="21">
        <f>IF(D4151="?OLD","!!!","")</f>
        <v/>
      </c>
      <c r="F4151" s="22" t="str">
        <f>IF(OR(E4151="",E4151="!!!"),"",IF(NOT(ISNA(VLOOKUP(E4151,E$1:E4150,1,FALSE()))),"OLD",IF(AND(E4151&lt;&gt;"",E4151&lt;&gt;"!!!"),"NEW","")))</f>
        <v> </v>
      </c>
      <c r="G4151" s="23" t="str">
        <f>IF(OR(E4151="",E4151="!!!"),"",IF(OR(J4151=0,AND(J4151=1,K4151=1),AND(J4151=1,I4151="SBJ"),AND(J4151=1,I4151=0)),"?IN_FOCUS",IF(J4151&lt;=2,"?ACTIVATED",IF(J4151&lt;&gt;"","?FAMILIAR",IF(F4151="NEW",IF(ISNA(VLOOKUP(E4151,#REF!,1,FALSE())),"?TYPE_IDENTIFIABLE","?REFERENTIAL"),"_")))))</f>
        <v> </v>
      </c>
      <c r="H4151" s="24" t="str">
        <f>IF(J4151&lt;&gt;1,"",IF(I4151="SBJ","CB","?"))</f>
        <v> </v>
      </c>
      <c r="I4151" s="25" t="str">
        <f>IF(OR(E4151="",E4151="!!!",F4151="NEW"),"",INDEX(B4150:B$2,-1+SUMPRODUCT(MAX(ROW(E4150:E$2)*(E4151=E4150:E$2)))))</f>
        <v> </v>
      </c>
      <c r="J4151" s="25" t="str">
        <f>IF(OR(E4151="",E4151="!!!",F4151="NEW"),"",COUNTBLANK(OFFSET(A$1,,,SUMPRODUCT(MAX(ROW(E$2:E4151)*(E4151=E$2:E4151)))))-COUNTBLANK(OFFSET(A$1,,,SUMPRODUCT(MAX(ROW(E$1:E4150)*(E2=E$1:E4150))))))</f>
        <v> </v>
      </c>
      <c r="K4151" s="25" t="str">
        <f>IF(OR(E4151="",E4151="!!!",F4151="NEW"),"",INDEX(J$1:J4150,SUMPRODUCT(MAX(ROW(E$1:E4150)*(E4151=E$1:E4150)))))</f>
        <v> </v>
      </c>
      <c r="L4151" s="26"/>
    </row>
    <row r="4152" spans="1:12">
      <c r="A4152" s="20" t="s">
        <v>1961</v>
      </c>
      <c r="B4152" s="27" t="s">
        <v>777</v>
      </c>
      <c r="C4152" s="27" t="s">
        <v>804</v>
      </c>
      <c r="D4152" s="27" t="s">
        <v>740</v>
      </c>
      <c r="E4152" s="21">
        <f>IF(D4152="?OLD","!!!","")</f>
        <v/>
      </c>
      <c r="F4152" s="22" t="str">
        <f>IF(OR(E4152="",E4152="!!!"),"",IF(NOT(ISNA(VLOOKUP(E4152,E$1:E4151,1,FALSE()))),"OLD",IF(AND(E4152&lt;&gt;"",E4152&lt;&gt;"!!!"),"NEW","")))</f>
        <v> </v>
      </c>
      <c r="G4152" s="23" t="str">
        <f>IF(OR(E4152="",E4152="!!!"),"",IF(OR(J4152=0,AND(J4152=1,K4152=1),AND(J4152=1,I4152="SBJ"),AND(J4152=1,I4152=0)),"?IN_FOCUS",IF(J4152&lt;=2,"?ACTIVATED",IF(J4152&lt;&gt;"","?FAMILIAR",IF(F4152="NEW",IF(ISNA(VLOOKUP(E4152,#REF!,1,FALSE())),"?TYPE_IDENTIFIABLE","?REFERENTIAL"),"_")))))</f>
        <v> </v>
      </c>
      <c r="H4152" s="24" t="str">
        <f>IF(J4152&lt;&gt;1,"",IF(I4152="SBJ","CB","?"))</f>
        <v> </v>
      </c>
      <c r="I4152" s="25" t="str">
        <f>IF(OR(E4152="",E4152="!!!",F4152="NEW"),"",INDEX(B4151:B$2,-1+SUMPRODUCT(MAX(ROW(E4151:E$2)*(E4152=E4151:E$2)))))</f>
        <v> </v>
      </c>
      <c r="J4152" s="25" t="str">
        <f>IF(OR(E4152="",E4152="!!!",F4152="NEW"),"",COUNTBLANK(OFFSET(A$1,,,SUMPRODUCT(MAX(ROW(E$2:E4152)*(E4152=E$2:E4152)))))-COUNTBLANK(OFFSET(A$1,,,SUMPRODUCT(MAX(ROW(E$1:E4151)*(E2=E$1:E4151))))))</f>
        <v> </v>
      </c>
      <c r="K4152" s="25" t="str">
        <f>IF(OR(E4152="",E4152="!!!",F4152="NEW"),"",INDEX(J$1:J4151,SUMPRODUCT(MAX(ROW(E$1:E4151)*(E4152=E$1:E4151)))))</f>
        <v> </v>
      </c>
      <c r="L4152" s="26"/>
    </row>
    <row r="4153" spans="1:12">
      <c r="A4153" s="20" t="s">
        <v>788</v>
      </c>
      <c r="E4153" s="21">
        <f>IF(D4153="?OLD","!!!","")</f>
        <v/>
      </c>
      <c r="F4153" s="22" t="str">
        <f>IF(OR(E4153="",E4153="!!!"),"",IF(NOT(ISNA(VLOOKUP(E4153,E$1:E4152,1,FALSE()))),"OLD",IF(AND(E4153&lt;&gt;"",E4153&lt;&gt;"!!!"),"NEW","")))</f>
        <v> </v>
      </c>
      <c r="G4153" s="23" t="str">
        <f>IF(OR(E4153="",E4153="!!!"),"",IF(OR(J4153=0,AND(J4153=1,K4153=1),AND(J4153=1,I4153="SBJ"),AND(J4153=1,I4153=0)),"?IN_FOCUS",IF(J4153&lt;=2,"?ACTIVATED",IF(J4153&lt;&gt;"","?FAMILIAR",IF(F4153="NEW",IF(ISNA(VLOOKUP(E4153,#REF!,1,FALSE())),"?TYPE_IDENTIFIABLE","?REFERENTIAL"),"_")))))</f>
        <v> </v>
      </c>
      <c r="H4153" s="24" t="str">
        <f>IF(J4153&lt;&gt;1,"",IF(I4153="SBJ","CB","?"))</f>
        <v> </v>
      </c>
      <c r="I4153" s="25" t="str">
        <f>IF(OR(E4153="",E4153="!!!",F4153="NEW"),"",INDEX(B4152:B$2,-1+SUMPRODUCT(MAX(ROW(E4152:E$2)*(E4153=E4152:E$2)))))</f>
        <v> </v>
      </c>
      <c r="J4153" s="25" t="str">
        <f>IF(OR(E4153="",E4153="!!!",F4153="NEW"),"",COUNTBLANK(OFFSET(A$1,,,SUMPRODUCT(MAX(ROW(E$2:E4153)*(E4153=E$2:E4153)))))-COUNTBLANK(OFFSET(A$1,,,SUMPRODUCT(MAX(ROW(E$1:E4152)*(E2=E$1:E4152))))))</f>
        <v> </v>
      </c>
      <c r="K4153" s="25" t="str">
        <f>IF(OR(E4153="",E4153="!!!",F4153="NEW"),"",INDEX(J$1:J4152,SUMPRODUCT(MAX(ROW(E$1:E4152)*(E4153=E$1:E4152)))))</f>
        <v> </v>
      </c>
      <c r="L4153" s="26"/>
    </row>
    <row r="4154" spans="1:12">
      <c r="A4154" s="20" t="s">
        <v>1962</v>
      </c>
      <c r="B4154" s="27" t="s">
        <v>787</v>
      </c>
      <c r="C4154" s="27" t="s">
        <v>804</v>
      </c>
      <c r="D4154" s="27" t="s">
        <v>740</v>
      </c>
      <c r="E4154" s="21">
        <f>IF(D4154="?OLD","!!!","")</f>
        <v/>
      </c>
      <c r="F4154" s="22" t="str">
        <f>IF(OR(E4154="",E4154="!!!"),"",IF(NOT(ISNA(VLOOKUP(E4154,E$1:E4153,1,FALSE()))),"OLD",IF(AND(E4154&lt;&gt;"",E4154&lt;&gt;"!!!"),"NEW","")))</f>
        <v> </v>
      </c>
      <c r="G4154" s="23" t="str">
        <f>IF(OR(E4154="",E4154="!!!"),"",IF(OR(J4154=0,AND(J4154=1,K4154=1),AND(J4154=1,I4154="SBJ"),AND(J4154=1,I4154=0)),"?IN_FOCUS",IF(J4154&lt;=2,"?ACTIVATED",IF(J4154&lt;&gt;"","?FAMILIAR",IF(F4154="NEW",IF(ISNA(VLOOKUP(E4154,#REF!,1,FALSE())),"?TYPE_IDENTIFIABLE","?REFERENTIAL"),"_")))))</f>
        <v> </v>
      </c>
      <c r="H4154" s="24" t="str">
        <f>IF(J4154&lt;&gt;1,"",IF(I4154="SBJ","CB","?"))</f>
        <v> </v>
      </c>
      <c r="I4154" s="25" t="str">
        <f>IF(OR(E4154="",E4154="!!!",F4154="NEW"),"",INDEX(B4153:B$2,-1+SUMPRODUCT(MAX(ROW(E4153:E$2)*(E4154=E4153:E$2)))))</f>
        <v> </v>
      </c>
      <c r="J4154" s="25" t="str">
        <f>IF(OR(E4154="",E4154="!!!",F4154="NEW"),"",COUNTBLANK(OFFSET(A$1,,,SUMPRODUCT(MAX(ROW(E$2:E4154)*(E4154=E$2:E4154)))))-COUNTBLANK(OFFSET(A$1,,,SUMPRODUCT(MAX(ROW(E$1:E4153)*(E2=E$1:E4153))))))</f>
        <v> </v>
      </c>
      <c r="K4154" s="25" t="str">
        <f>IF(OR(E4154="",E4154="!!!",F4154="NEW"),"",INDEX(J$1:J4153,SUMPRODUCT(MAX(ROW(E$1:E4153)*(E4154=E$1:E4153)))))</f>
        <v> </v>
      </c>
      <c r="L4154" s="26"/>
    </row>
    <row r="4155" spans="1:12">
      <c r="A4155" s="20" t="s">
        <v>991</v>
      </c>
      <c r="E4155" s="21">
        <f>IF(D4155="?OLD","!!!","")</f>
        <v/>
      </c>
      <c r="F4155" s="22" t="str">
        <f>IF(OR(E4155="",E4155="!!!"),"",IF(NOT(ISNA(VLOOKUP(E4155,E$1:E4154,1,FALSE()))),"OLD",IF(AND(E4155&lt;&gt;"",E4155&lt;&gt;"!!!"),"NEW","")))</f>
        <v> </v>
      </c>
      <c r="G4155" s="23" t="str">
        <f>IF(OR(E4155="",E4155="!!!"),"",IF(OR(J4155=0,AND(J4155=1,K4155=1),AND(J4155=1,I4155="SBJ"),AND(J4155=1,I4155=0)),"?IN_FOCUS",IF(J4155&lt;=2,"?ACTIVATED",IF(J4155&lt;&gt;"","?FAMILIAR",IF(F4155="NEW",IF(ISNA(VLOOKUP(E4155,#REF!,1,FALSE())),"?TYPE_IDENTIFIABLE","?REFERENTIAL"),"_")))))</f>
        <v> </v>
      </c>
      <c r="H4155" s="24" t="str">
        <f>IF(J4155&lt;&gt;1,"",IF(I4155="SBJ","CB","?"))</f>
        <v> </v>
      </c>
      <c r="I4155" s="25" t="str">
        <f>IF(OR(E4155="",E4155="!!!",F4155="NEW"),"",INDEX(B4154:B$2,-1+SUMPRODUCT(MAX(ROW(E4154:E$2)*(E4155=E4154:E$2)))))</f>
        <v> </v>
      </c>
      <c r="J4155" s="25" t="str">
        <f>IF(OR(E4155="",E4155="!!!",F4155="NEW"),"",COUNTBLANK(OFFSET(A$1,,,SUMPRODUCT(MAX(ROW(E$2:E4155)*(E4155=E$2:E4155)))))-COUNTBLANK(OFFSET(A$1,,,SUMPRODUCT(MAX(ROW(E$1:E4154)*(E2=E$1:E4154))))))</f>
        <v> </v>
      </c>
      <c r="K4155" s="25" t="str">
        <f>IF(OR(E4155="",E4155="!!!",F4155="NEW"),"",INDEX(J$1:J4154,SUMPRODUCT(MAX(ROW(E$1:E4154)*(E4155=E$1:E4154)))))</f>
        <v> </v>
      </c>
      <c r="L4155" s="26"/>
    </row>
    <row r="4156" spans="1:12">
      <c r="A4156" s="20" t="s">
        <v>1946</v>
      </c>
      <c r="B4156" s="27" t="s">
        <v>777</v>
      </c>
      <c r="C4156" s="27" t="s">
        <v>804</v>
      </c>
      <c r="D4156" s="27" t="s">
        <v>740</v>
      </c>
      <c r="E4156" s="21">
        <f>IF(D4156="?OLD","!!!","")</f>
        <v/>
      </c>
      <c r="F4156" s="22" t="str">
        <f>IF(OR(E4156="",E4156="!!!"),"",IF(NOT(ISNA(VLOOKUP(E4156,E$1:E4155,1,FALSE()))),"OLD",IF(AND(E4156&lt;&gt;"",E4156&lt;&gt;"!!!"),"NEW","")))</f>
        <v> </v>
      </c>
      <c r="G4156" s="23" t="str">
        <f>IF(OR(E4156="",E4156="!!!"),"",IF(OR(J4156=0,AND(J4156=1,K4156=1),AND(J4156=1,I4156="SBJ"),AND(J4156=1,I4156=0)),"?IN_FOCUS",IF(J4156&lt;=2,"?ACTIVATED",IF(J4156&lt;&gt;"","?FAMILIAR",IF(F4156="NEW",IF(ISNA(VLOOKUP(E4156,#REF!,1,FALSE())),"?TYPE_IDENTIFIABLE","?REFERENTIAL"),"_")))))</f>
        <v> </v>
      </c>
      <c r="H4156" s="24" t="str">
        <f>IF(J4156&lt;&gt;1,"",IF(I4156="SBJ","CB","?"))</f>
        <v> </v>
      </c>
      <c r="I4156" s="25" t="str">
        <f>IF(OR(E4156="",E4156="!!!",F4156="NEW"),"",INDEX(B4155:B$2,-1+SUMPRODUCT(MAX(ROW(E4155:E$2)*(E4156=E4155:E$2)))))</f>
        <v> </v>
      </c>
      <c r="J4156" s="25" t="str">
        <f>IF(OR(E4156="",E4156="!!!",F4156="NEW"),"",COUNTBLANK(OFFSET(A$1,,,SUMPRODUCT(MAX(ROW(E$2:E4156)*(E4156=E$2:E4156)))))-COUNTBLANK(OFFSET(A$1,,,SUMPRODUCT(MAX(ROW(E$1:E4155)*(E2=E$1:E4155))))))</f>
        <v> </v>
      </c>
      <c r="K4156" s="25" t="str">
        <f>IF(OR(E4156="",E4156="!!!",F4156="NEW"),"",INDEX(J$1:J4155,SUMPRODUCT(MAX(ROW(E$1:E4155)*(E4156=E$1:E4155)))))</f>
        <v> </v>
      </c>
      <c r="L4156" s="26"/>
    </row>
    <row r="4157" spans="1:12">
      <c r="A4157" s="20" t="s">
        <v>746</v>
      </c>
      <c r="E4157" s="21">
        <f>IF(D4157="?OLD","!!!","")</f>
        <v/>
      </c>
      <c r="F4157" s="22" t="str">
        <f>IF(OR(E4157="",E4157="!!!"),"",IF(NOT(ISNA(VLOOKUP(E4157,E$1:E4156,1,FALSE()))),"OLD",IF(AND(E4157&lt;&gt;"",E4157&lt;&gt;"!!!"),"NEW","")))</f>
        <v> </v>
      </c>
      <c r="G4157" s="23" t="str">
        <f>IF(OR(E4157="",E4157="!!!"),"",IF(OR(J4157=0,AND(J4157=1,K4157=1),AND(J4157=1,I4157="SBJ"),AND(J4157=1,I4157=0)),"?IN_FOCUS",IF(J4157&lt;=2,"?ACTIVATED",IF(J4157&lt;&gt;"","?FAMILIAR",IF(F4157="NEW",IF(ISNA(VLOOKUP(E4157,#REF!,1,FALSE())),"?TYPE_IDENTIFIABLE","?REFERENTIAL"),"_")))))</f>
        <v> </v>
      </c>
      <c r="H4157" s="24" t="str">
        <f>IF(J4157&lt;&gt;1,"",IF(I4157="SBJ","CB","?"))</f>
        <v> </v>
      </c>
      <c r="I4157" s="25" t="str">
        <f>IF(OR(E4157="",E4157="!!!",F4157="NEW"),"",INDEX(B4156:B$2,-1+SUMPRODUCT(MAX(ROW(E4156:E$2)*(E4157=E4156:E$2)))))</f>
        <v> </v>
      </c>
      <c r="J4157" s="25" t="str">
        <f>IF(OR(E4157="",E4157="!!!",F4157="NEW"),"",COUNTBLANK(OFFSET(A$1,,,SUMPRODUCT(MAX(ROW(E$2:E4157)*(E4157=E$2:E4157)))))-COUNTBLANK(OFFSET(A$1,,,SUMPRODUCT(MAX(ROW(E$1:E4156)*(E2=E$1:E4156))))))</f>
        <v> </v>
      </c>
      <c r="K4157" s="25" t="str">
        <f>IF(OR(E4157="",E4157="!!!",F4157="NEW"),"",INDEX(J$1:J4156,SUMPRODUCT(MAX(ROW(E$1:E4156)*(E4157=E$1:E4156)))))</f>
        <v> </v>
      </c>
      <c r="L4157" s="26"/>
    </row>
    <row r="4158" spans="1:12">
      <c r="A4158" s="20"/>
    </row>
    <row r="4159" spans="1:12">
      <c r="A4159" s="20" t="s">
        <v>1963</v>
      </c>
    </row>
    <row r="4160" spans="1:12">
      <c r="A4160" s="20" t="s">
        <v>1306</v>
      </c>
      <c r="E4160" s="21">
        <f>IF(D4160="?OLD","!!!","")</f>
        <v/>
      </c>
      <c r="F4160" s="22" t="str">
        <f>IF(OR(E4160="",E4160="!!!"),"",IF(NOT(ISNA(VLOOKUP(E4160,E$1:E4159,1,FALSE()))),"OLD",IF(AND(E4160&lt;&gt;"",E4160&lt;&gt;"!!!"),"NEW","")))</f>
        <v> </v>
      </c>
      <c r="G4160" s="23" t="str">
        <f>IF(OR(E4160="",E4160="!!!"),"",IF(OR(J4160=0,AND(J4160=1,K4160=1),AND(J4160=1,I4160="SBJ"),AND(J4160=1,I4160=0)),"?IN_FOCUS",IF(J4160&lt;=2,"?ACTIVATED",IF(J4160&lt;&gt;"","?FAMILIAR",IF(F4160="NEW",IF(ISNA(VLOOKUP(E4160,#REF!,1,FALSE())),"?TYPE_IDENTIFIABLE","?REFERENTIAL"),"_")))))</f>
        <v> </v>
      </c>
      <c r="H4160" s="24" t="str">
        <f>IF(J4160&lt;&gt;1,"",IF(I4160="SBJ","CB","?"))</f>
        <v> </v>
      </c>
      <c r="I4160" s="25" t="str">
        <f>IF(OR(E4160="",E4160="!!!",F4160="NEW"),"",INDEX(B4159:B$2,-1+SUMPRODUCT(MAX(ROW(E4159:E$2)*(E4160=E4159:E$2)))))</f>
        <v> </v>
      </c>
      <c r="J4160" s="25" t="str">
        <f>IF(OR(E4160="",E4160="!!!",F4160="NEW"),"",COUNTBLANK(OFFSET(A$1,,,SUMPRODUCT(MAX(ROW(E$2:E4160)*(E4160=E$2:E4160)))))-COUNTBLANK(OFFSET(A$1,,,SUMPRODUCT(MAX(ROW(E$1:E4159)*(E2=E$1:E4159))))))</f>
        <v> </v>
      </c>
      <c r="K4160" s="25" t="str">
        <f>IF(OR(E4160="",E4160="!!!",F4160="NEW"),"",INDEX(J$1:J4159,SUMPRODUCT(MAX(ROW(E$1:E4159)*(E4160=E$1:E4159)))))</f>
        <v> </v>
      </c>
      <c r="L4160" s="26"/>
    </row>
    <row r="4161" spans="1:12">
      <c r="A4161" s="20" t="s">
        <v>613</v>
      </c>
      <c r="B4161" s="27" t="s">
        <v>756</v>
      </c>
      <c r="C4161" s="27" t="s">
        <v>734</v>
      </c>
      <c r="E4161" s="21">
        <f>IF(D4161="?OLD","!!!","")</f>
        <v/>
      </c>
      <c r="F4161" s="22" t="str">
        <f>IF(OR(E4161="",E4161="!!!"),"",IF(NOT(ISNA(VLOOKUP(E4161,E$1:E4160,1,FALSE()))),"OLD",IF(AND(E4161&lt;&gt;"",E4161&lt;&gt;"!!!"),"NEW","")))</f>
        <v> </v>
      </c>
      <c r="G4161" s="23" t="str">
        <f>IF(OR(E4161="",E4161="!!!"),"",IF(OR(J4161=0,AND(J4161=1,K4161=1),AND(J4161=1,I4161="SBJ"),AND(J4161=1,I4161=0)),"?IN_FOCUS",IF(J4161&lt;=2,"?ACTIVATED",IF(J4161&lt;&gt;"","?FAMILIAR",IF(F4161="NEW",IF(ISNA(VLOOKUP(E4161,#REF!,1,FALSE())),"?TYPE_IDENTIFIABLE","?REFERENTIAL"),"_")))))</f>
        <v> </v>
      </c>
      <c r="H4161" s="24" t="str">
        <f>IF(J4161&lt;&gt;1,"",IF(I4161="SBJ","CB","?"))</f>
        <v> </v>
      </c>
      <c r="I4161" s="25" t="str">
        <f>IF(OR(E4161="",E4161="!!!",F4161="NEW"),"",INDEX(B4160:B$2,-1+SUMPRODUCT(MAX(ROW(E4160:E$2)*(E4161=E4160:E$2)))))</f>
        <v> </v>
      </c>
      <c r="J4161" s="25" t="str">
        <f>IF(OR(E4161="",E4161="!!!",F4161="NEW"),"",COUNTBLANK(OFFSET(A$1,,,SUMPRODUCT(MAX(ROW(E$2:E4161)*(E4161=E$2:E4161)))))-COUNTBLANK(OFFSET(A$1,,,SUMPRODUCT(MAX(ROW(E$1:E4160)*(E2=E$1:E4160))))))</f>
        <v> </v>
      </c>
      <c r="K4161" s="25" t="str">
        <f>IF(OR(E4161="",E4161="!!!",F4161="NEW"),"",INDEX(J$1:J4160,SUMPRODUCT(MAX(ROW(E$1:E4160)*(E4161=E$1:E4160)))))</f>
        <v> </v>
      </c>
      <c r="L4161" s="26"/>
    </row>
    <row r="4162" spans="1:12">
      <c r="A4162" s="20" t="s">
        <v>984</v>
      </c>
      <c r="E4162" s="21">
        <f>IF(D4162="?OLD","!!!","")</f>
        <v/>
      </c>
      <c r="F4162" s="22" t="str">
        <f>IF(OR(E4162="",E4162="!!!"),"",IF(NOT(ISNA(VLOOKUP(E4162,E$1:E4161,1,FALSE()))),"OLD",IF(AND(E4162&lt;&gt;"",E4162&lt;&gt;"!!!"),"NEW","")))</f>
        <v> </v>
      </c>
      <c r="G4162" s="23" t="str">
        <f>IF(OR(E4162="",E4162="!!!"),"",IF(OR(J4162=0,AND(J4162=1,K4162=1),AND(J4162=1,I4162="SBJ"),AND(J4162=1,I4162=0)),"?IN_FOCUS",IF(J4162&lt;=2,"?ACTIVATED",IF(J4162&lt;&gt;"","?FAMILIAR",IF(F4162="NEW",IF(ISNA(VLOOKUP(E4162,#REF!,1,FALSE())),"?TYPE_IDENTIFIABLE","?REFERENTIAL"),"_")))))</f>
        <v> </v>
      </c>
      <c r="H4162" s="24" t="str">
        <f>IF(J4162&lt;&gt;1,"",IF(I4162="SBJ","CB","?"))</f>
        <v> </v>
      </c>
      <c r="I4162" s="25" t="str">
        <f>IF(OR(E4162="",E4162="!!!",F4162="NEW"),"",INDEX(B4161:B$2,-1+SUMPRODUCT(MAX(ROW(E4161:E$2)*(E4162=E4161:E$2)))))</f>
        <v> </v>
      </c>
      <c r="J4162" s="25" t="str">
        <f>IF(OR(E4162="",E4162="!!!",F4162="NEW"),"",COUNTBLANK(OFFSET(A$1,,,SUMPRODUCT(MAX(ROW(E$2:E4162)*(E4162=E$2:E4162)))))-COUNTBLANK(OFFSET(A$1,,,SUMPRODUCT(MAX(ROW(E$1:E4161)*(E2=E$1:E4161))))))</f>
        <v> </v>
      </c>
      <c r="K4162" s="25" t="str">
        <f>IF(OR(E4162="",E4162="!!!",F4162="NEW"),"",INDEX(J$1:J4161,SUMPRODUCT(MAX(ROW(E$1:E4161)*(E4162=E$1:E4161)))))</f>
        <v> </v>
      </c>
      <c r="L4162" s="26"/>
    </row>
    <row r="4163" spans="1:12">
      <c r="A4163" s="20" t="s">
        <v>791</v>
      </c>
      <c r="E4163" s="21">
        <f>IF(D4163="?OLD","!!!","")</f>
        <v/>
      </c>
      <c r="F4163" s="22" t="str">
        <f>IF(OR(E4163="",E4163="!!!"),"",IF(NOT(ISNA(VLOOKUP(E4163,E$1:E4162,1,FALSE()))),"OLD",IF(AND(E4163&lt;&gt;"",E4163&lt;&gt;"!!!"),"NEW","")))</f>
        <v> </v>
      </c>
      <c r="G4163" s="23" t="str">
        <f>IF(OR(E4163="",E4163="!!!"),"",IF(OR(J4163=0,AND(J4163=1,K4163=1),AND(J4163=1,I4163="SBJ"),AND(J4163=1,I4163=0)),"?IN_FOCUS",IF(J4163&lt;=2,"?ACTIVATED",IF(J4163&lt;&gt;"","?FAMILIAR",IF(F4163="NEW",IF(ISNA(VLOOKUP(E4163,#REF!,1,FALSE())),"?TYPE_IDENTIFIABLE","?REFERENTIAL"),"_")))))</f>
        <v> </v>
      </c>
      <c r="H4163" s="24" t="str">
        <f>IF(J4163&lt;&gt;1,"",IF(I4163="SBJ","CB","?"))</f>
        <v> </v>
      </c>
      <c r="I4163" s="25" t="str">
        <f>IF(OR(E4163="",E4163="!!!",F4163="NEW"),"",INDEX(B4162:B$2,-1+SUMPRODUCT(MAX(ROW(E4162:E$2)*(E4163=E4162:E$2)))))</f>
        <v> </v>
      </c>
      <c r="J4163" s="25" t="str">
        <f>IF(OR(E4163="",E4163="!!!",F4163="NEW"),"",COUNTBLANK(OFFSET(A$1,,,SUMPRODUCT(MAX(ROW(E$2:E4163)*(E4163=E$2:E4163)))))-COUNTBLANK(OFFSET(A$1,,,SUMPRODUCT(MAX(ROW(E$1:E4162)*(E2=E$1:E4162))))))</f>
        <v> </v>
      </c>
      <c r="K4163" s="25" t="str">
        <f>IF(OR(E4163="",E4163="!!!",F4163="NEW"),"",INDEX(J$1:J4162,SUMPRODUCT(MAX(ROW(E$1:E4162)*(E4163=E$1:E4162)))))</f>
        <v> </v>
      </c>
      <c r="L4163" s="26"/>
    </row>
    <row r="4164" spans="1:12">
      <c r="A4164" s="20" t="s">
        <v>1964</v>
      </c>
      <c r="E4164" s="21">
        <f>IF(D4164="?OLD","!!!","")</f>
        <v/>
      </c>
      <c r="F4164" s="22" t="str">
        <f>IF(OR(E4164="",E4164="!!!"),"",IF(NOT(ISNA(VLOOKUP(E4164,E$1:E4163,1,FALSE()))),"OLD",IF(AND(E4164&lt;&gt;"",E4164&lt;&gt;"!!!"),"NEW","")))</f>
        <v> </v>
      </c>
      <c r="G4164" s="23" t="str">
        <f>IF(OR(E4164="",E4164="!!!"),"",IF(OR(J4164=0,AND(J4164=1,K4164=1),AND(J4164=1,I4164="SBJ"),AND(J4164=1,I4164=0)),"?IN_FOCUS",IF(J4164&lt;=2,"?ACTIVATED",IF(J4164&lt;&gt;"","?FAMILIAR",IF(F4164="NEW",IF(ISNA(VLOOKUP(E4164,#REF!,1,FALSE())),"?TYPE_IDENTIFIABLE","?REFERENTIAL"),"_")))))</f>
        <v> </v>
      </c>
      <c r="H4164" s="24" t="str">
        <f>IF(J4164&lt;&gt;1,"",IF(I4164="SBJ","CB","?"))</f>
        <v> </v>
      </c>
      <c r="I4164" s="25" t="str">
        <f>IF(OR(E4164="",E4164="!!!",F4164="NEW"),"",INDEX(B4163:B$2,-1+SUMPRODUCT(MAX(ROW(E4163:E$2)*(E4164=E4163:E$2)))))</f>
        <v> </v>
      </c>
      <c r="J4164" s="25" t="str">
        <f>IF(OR(E4164="",E4164="!!!",F4164="NEW"),"",COUNTBLANK(OFFSET(A$1,,,SUMPRODUCT(MAX(ROW(E$2:E4164)*(E4164=E$2:E4164)))))-COUNTBLANK(OFFSET(A$1,,,SUMPRODUCT(MAX(ROW(E$1:E4163)*(E2=E$1:E4163))))))</f>
        <v> </v>
      </c>
      <c r="K4164" s="25" t="str">
        <f>IF(OR(E4164="",E4164="!!!",F4164="NEW"),"",INDEX(J$1:J4163,SUMPRODUCT(MAX(ROW(E$1:E4163)*(E4164=E$1:E4163)))))</f>
        <v> </v>
      </c>
      <c r="L4164" s="26"/>
    </row>
    <row r="4165" spans="1:12">
      <c r="A4165" s="20" t="s">
        <v>183</v>
      </c>
      <c r="B4165" s="27" t="s">
        <v>728</v>
      </c>
      <c r="C4165" s="27" t="s">
        <v>1965</v>
      </c>
      <c r="D4165" s="27" t="s">
        <v>740</v>
      </c>
      <c r="E4165" s="21">
        <f>IF(D4165="?OLD","!!!","")</f>
        <v/>
      </c>
      <c r="F4165" s="22" t="str">
        <f>IF(OR(E4165="",E4165="!!!"),"",IF(NOT(ISNA(VLOOKUP(E4165,E$1:E4164,1,FALSE()))),"OLD",IF(AND(E4165&lt;&gt;"",E4165&lt;&gt;"!!!"),"NEW","")))</f>
        <v> </v>
      </c>
      <c r="G4165" s="23" t="str">
        <f>IF(OR(E4165="",E4165="!!!"),"",IF(OR(J4165=0,AND(J4165=1,K4165=1),AND(J4165=1,I4165="SBJ"),AND(J4165=1,I4165=0)),"?IN_FOCUS",IF(J4165&lt;=2,"?ACTIVATED",IF(J4165&lt;&gt;"","?FAMILIAR",IF(F4165="NEW",IF(ISNA(VLOOKUP(E4165,#REF!,1,FALSE())),"?TYPE_IDENTIFIABLE","?REFERENTIAL"),"_")))))</f>
        <v> </v>
      </c>
      <c r="H4165" s="24" t="str">
        <f>IF(J4165&lt;&gt;1,"",IF(I4165="SBJ","CB","?"))</f>
        <v> </v>
      </c>
      <c r="I4165" s="25" t="str">
        <f>IF(OR(E4165="",E4165="!!!",F4165="NEW"),"",INDEX(B4164:B$2,-1+SUMPRODUCT(MAX(ROW(E4164:E$2)*(E4165=E4164:E$2)))))</f>
        <v> </v>
      </c>
      <c r="J4165" s="25" t="str">
        <f>IF(OR(E4165="",E4165="!!!",F4165="NEW"),"",COUNTBLANK(OFFSET(A$1,,,SUMPRODUCT(MAX(ROW(E$2:E4165)*(E4165=E$2:E4165)))))-COUNTBLANK(OFFSET(A$1,,,SUMPRODUCT(MAX(ROW(E$1:E4164)*(E2=E$1:E4164))))))</f>
        <v> </v>
      </c>
      <c r="K4165" s="25" t="str">
        <f>IF(OR(E4165="",E4165="!!!",F4165="NEW"),"",INDEX(J$1:J4164,SUMPRODUCT(MAX(ROW(E$1:E4164)*(E4165=E$1:E4164)))))</f>
        <v> </v>
      </c>
      <c r="L4165" s="26"/>
    </row>
    <row r="4166" spans="1:12">
      <c r="A4166" s="20" t="s">
        <v>999</v>
      </c>
      <c r="E4166" s="21">
        <f>IF(D4166="?OLD","!!!","")</f>
        <v/>
      </c>
      <c r="F4166" s="22" t="str">
        <f>IF(OR(E4166="",E4166="!!!"),"",IF(NOT(ISNA(VLOOKUP(E4166,E$1:E4165,1,FALSE()))),"OLD",IF(AND(E4166&lt;&gt;"",E4166&lt;&gt;"!!!"),"NEW","")))</f>
        <v> </v>
      </c>
      <c r="G4166" s="23" t="str">
        <f>IF(OR(E4166="",E4166="!!!"),"",IF(OR(J4166=0,AND(J4166=1,K4166=1),AND(J4166=1,I4166="SBJ"),AND(J4166=1,I4166=0)),"?IN_FOCUS",IF(J4166&lt;=2,"?ACTIVATED",IF(J4166&lt;&gt;"","?FAMILIAR",IF(F4166="NEW",IF(ISNA(VLOOKUP(E4166,#REF!,1,FALSE())),"?TYPE_IDENTIFIABLE","?REFERENTIAL"),"_")))))</f>
        <v> </v>
      </c>
      <c r="H4166" s="24" t="str">
        <f>IF(J4166&lt;&gt;1,"",IF(I4166="SBJ","CB","?"))</f>
        <v> </v>
      </c>
      <c r="I4166" s="25" t="str">
        <f>IF(OR(E4166="",E4166="!!!",F4166="NEW"),"",INDEX(B4165:B$2,-1+SUMPRODUCT(MAX(ROW(E4165:E$2)*(E4166=E4165:E$2)))))</f>
        <v> </v>
      </c>
      <c r="J4166" s="25" t="str">
        <f>IF(OR(E4166="",E4166="!!!",F4166="NEW"),"",COUNTBLANK(OFFSET(A$1,,,SUMPRODUCT(MAX(ROW(E$2:E4166)*(E4166=E$2:E4166)))))-COUNTBLANK(OFFSET(A$1,,,SUMPRODUCT(MAX(ROW(E$1:E4165)*(E2=E$1:E4165))))))</f>
        <v> </v>
      </c>
      <c r="K4166" s="25" t="str">
        <f>IF(OR(E4166="",E4166="!!!",F4166="NEW"),"",INDEX(J$1:J4165,SUMPRODUCT(MAX(ROW(E$1:E4165)*(E4166=E$1:E4165)))))</f>
        <v> </v>
      </c>
      <c r="L4166" s="26"/>
    </row>
    <row r="4167" spans="1:12">
      <c r="A4167" s="20" t="s">
        <v>1375</v>
      </c>
      <c r="E4167" s="21">
        <f>IF(D4167="?OLD","!!!","")</f>
        <v/>
      </c>
      <c r="F4167" s="22" t="str">
        <f>IF(OR(E4167="",E4167="!!!"),"",IF(NOT(ISNA(VLOOKUP(E4167,E$1:E4166,1,FALSE()))),"OLD",IF(AND(E4167&lt;&gt;"",E4167&lt;&gt;"!!!"),"NEW","")))</f>
        <v> </v>
      </c>
      <c r="G4167" s="23" t="str">
        <f>IF(OR(E4167="",E4167="!!!"),"",IF(OR(J4167=0,AND(J4167=1,K4167=1),AND(J4167=1,I4167="SBJ"),AND(J4167=1,I4167=0)),"?IN_FOCUS",IF(J4167&lt;=2,"?ACTIVATED",IF(J4167&lt;&gt;"","?FAMILIAR",IF(F4167="NEW",IF(ISNA(VLOOKUP(E4167,#REF!,1,FALSE())),"?TYPE_IDENTIFIABLE","?REFERENTIAL"),"_")))))</f>
        <v> </v>
      </c>
      <c r="H4167" s="24" t="str">
        <f>IF(J4167&lt;&gt;1,"",IF(I4167="SBJ","CB","?"))</f>
        <v> </v>
      </c>
      <c r="I4167" s="25" t="str">
        <f>IF(OR(E4167="",E4167="!!!",F4167="NEW"),"",INDEX(B4166:B$2,-1+SUMPRODUCT(MAX(ROW(E4166:E$2)*(E4167=E4166:E$2)))))</f>
        <v> </v>
      </c>
      <c r="J4167" s="25" t="str">
        <f>IF(OR(E4167="",E4167="!!!",F4167="NEW"),"",COUNTBLANK(OFFSET(A$1,,,SUMPRODUCT(MAX(ROW(E$2:E4167)*(E4167=E$2:E4167)))))-COUNTBLANK(OFFSET(A$1,,,SUMPRODUCT(MAX(ROW(E$1:E4166)*(E2=E$1:E4166))))))</f>
        <v> </v>
      </c>
      <c r="K4167" s="25" t="str">
        <f>IF(OR(E4167="",E4167="!!!",F4167="NEW"),"",INDEX(J$1:J4166,SUMPRODUCT(MAX(ROW(E$1:E4166)*(E4167=E$1:E4166)))))</f>
        <v> </v>
      </c>
      <c r="L4167" s="26"/>
    </row>
    <row r="4168" spans="1:12">
      <c r="A4168" s="20" t="s">
        <v>1162</v>
      </c>
      <c r="B4168" s="27" t="s">
        <v>733</v>
      </c>
      <c r="C4168" s="27" t="s">
        <v>780</v>
      </c>
      <c r="E4168" s="21">
        <f>IF(D4168="?OLD","!!!","")</f>
        <v/>
      </c>
      <c r="F4168" s="22" t="str">
        <f>IF(OR(E4168="",E4168="!!!"),"",IF(NOT(ISNA(VLOOKUP(E4168,E$1:E4167,1,FALSE()))),"OLD",IF(AND(E4168&lt;&gt;"",E4168&lt;&gt;"!!!"),"NEW","")))</f>
        <v> </v>
      </c>
      <c r="G4168" s="23" t="str">
        <f>IF(OR(E4168="",E4168="!!!"),"",IF(OR(J4168=0,AND(J4168=1,K4168=1),AND(J4168=1,I4168="SBJ"),AND(J4168=1,I4168=0)),"?IN_FOCUS",IF(J4168&lt;=2,"?ACTIVATED",IF(J4168&lt;&gt;"","?FAMILIAR",IF(F4168="NEW",IF(ISNA(VLOOKUP(E4168,#REF!,1,FALSE())),"?TYPE_IDENTIFIABLE","?REFERENTIAL"),"_")))))</f>
        <v> </v>
      </c>
      <c r="H4168" s="24" t="str">
        <f>IF(J4168&lt;&gt;1,"",IF(I4168="SBJ","CB","?"))</f>
        <v> </v>
      </c>
      <c r="I4168" s="25" t="str">
        <f>IF(OR(E4168="",E4168="!!!",F4168="NEW"),"",INDEX(B4167:B$2,-1+SUMPRODUCT(MAX(ROW(E4167:E$2)*(E4168=E4167:E$2)))))</f>
        <v> </v>
      </c>
      <c r="J4168" s="25" t="str">
        <f>IF(OR(E4168="",E4168="!!!",F4168="NEW"),"",COUNTBLANK(OFFSET(A$1,,,SUMPRODUCT(MAX(ROW(E$2:E4168)*(E4168=E$2:E4168)))))-COUNTBLANK(OFFSET(A$1,,,SUMPRODUCT(MAX(ROW(E$1:E4167)*(E2=E$1:E4167))))))</f>
        <v> </v>
      </c>
      <c r="K4168" s="25" t="str">
        <f>IF(OR(E4168="",E4168="!!!",F4168="NEW"),"",INDEX(J$1:J4167,SUMPRODUCT(MAX(ROW(E$1:E4167)*(E4168=E$1:E4167)))))</f>
        <v> </v>
      </c>
      <c r="L4168" s="26"/>
    </row>
    <row r="4169" spans="1:12">
      <c r="A4169" s="20" t="s">
        <v>991</v>
      </c>
      <c r="E4169" s="21">
        <f>IF(D4169="?OLD","!!!","")</f>
        <v/>
      </c>
      <c r="F4169" s="22" t="str">
        <f>IF(OR(E4169="",E4169="!!!"),"",IF(NOT(ISNA(VLOOKUP(E4169,E$1:E4168,1,FALSE()))),"OLD",IF(AND(E4169&lt;&gt;"",E4169&lt;&gt;"!!!"),"NEW","")))</f>
        <v> </v>
      </c>
      <c r="G4169" s="23" t="str">
        <f>IF(OR(E4169="",E4169="!!!"),"",IF(OR(J4169=0,AND(J4169=1,K4169=1),AND(J4169=1,I4169="SBJ"),AND(J4169=1,I4169=0)),"?IN_FOCUS",IF(J4169&lt;=2,"?ACTIVATED",IF(J4169&lt;&gt;"","?FAMILIAR",IF(F4169="NEW",IF(ISNA(VLOOKUP(E4169,#REF!,1,FALSE())),"?TYPE_IDENTIFIABLE","?REFERENTIAL"),"_")))))</f>
        <v> </v>
      </c>
      <c r="H4169" s="24" t="str">
        <f>IF(J4169&lt;&gt;1,"",IF(I4169="SBJ","CB","?"))</f>
        <v> </v>
      </c>
      <c r="I4169" s="25" t="str">
        <f>IF(OR(E4169="",E4169="!!!",F4169="NEW"),"",INDEX(B4168:B$2,-1+SUMPRODUCT(MAX(ROW(E4168:E$2)*(E4169=E4168:E$2)))))</f>
        <v> </v>
      </c>
      <c r="J4169" s="25" t="str">
        <f>IF(OR(E4169="",E4169="!!!",F4169="NEW"),"",COUNTBLANK(OFFSET(A$1,,,SUMPRODUCT(MAX(ROW(E$2:E4169)*(E4169=E$2:E4169)))))-COUNTBLANK(OFFSET(A$1,,,SUMPRODUCT(MAX(ROW(E$1:E4168)*(E2=E$1:E4168))))))</f>
        <v> </v>
      </c>
      <c r="K4169" s="25" t="str">
        <f>IF(OR(E4169="",E4169="!!!",F4169="NEW"),"",INDEX(J$1:J4168,SUMPRODUCT(MAX(ROW(E$1:E4168)*(E4169=E$1:E4168)))))</f>
        <v> </v>
      </c>
      <c r="L4169" s="26"/>
    </row>
    <row r="4170" spans="1:12">
      <c r="A4170" s="20" t="s">
        <v>808</v>
      </c>
      <c r="E4170" s="21">
        <f>IF(D4170="?OLD","!!!","")</f>
        <v/>
      </c>
      <c r="F4170" s="22" t="str">
        <f>IF(OR(E4170="",E4170="!!!"),"",IF(NOT(ISNA(VLOOKUP(E4170,E$1:E4169,1,FALSE()))),"OLD",IF(AND(E4170&lt;&gt;"",E4170&lt;&gt;"!!!"),"NEW","")))</f>
        <v> </v>
      </c>
      <c r="G4170" s="23" t="str">
        <f>IF(OR(E4170="",E4170="!!!"),"",IF(OR(J4170=0,AND(J4170=1,K4170=1),AND(J4170=1,I4170="SBJ"),AND(J4170=1,I4170=0)),"?IN_FOCUS",IF(J4170&lt;=2,"?ACTIVATED",IF(J4170&lt;&gt;"","?FAMILIAR",IF(F4170="NEW",IF(ISNA(VLOOKUP(E4170,#REF!,1,FALSE())),"?TYPE_IDENTIFIABLE","?REFERENTIAL"),"_")))))</f>
        <v> </v>
      </c>
      <c r="H4170" s="24" t="str">
        <f>IF(J4170&lt;&gt;1,"",IF(I4170="SBJ","CB","?"))</f>
        <v> </v>
      </c>
      <c r="I4170" s="25" t="str">
        <f>IF(OR(E4170="",E4170="!!!",F4170="NEW"),"",INDEX(B4169:B$2,-1+SUMPRODUCT(MAX(ROW(E4169:E$2)*(E4170=E4169:E$2)))))</f>
        <v> </v>
      </c>
      <c r="J4170" s="25" t="str">
        <f>IF(OR(E4170="",E4170="!!!",F4170="NEW"),"",COUNTBLANK(OFFSET(A$1,,,SUMPRODUCT(MAX(ROW(E$2:E4170)*(E4170=E$2:E4170)))))-COUNTBLANK(OFFSET(A$1,,,SUMPRODUCT(MAX(ROW(E$1:E4169)*(E2=E$1:E4169))))))</f>
        <v> </v>
      </c>
      <c r="K4170" s="25" t="str">
        <f>IF(OR(E4170="",E4170="!!!",F4170="NEW"),"",INDEX(J$1:J4169,SUMPRODUCT(MAX(ROW(E$1:E4169)*(E4170=E$1:E4169)))))</f>
        <v> </v>
      </c>
      <c r="L4170" s="26"/>
    </row>
    <row r="4171" spans="1:12">
      <c r="A4171" s="20" t="s">
        <v>1175</v>
      </c>
      <c r="B4171" s="27" t="s">
        <v>777</v>
      </c>
      <c r="C4171" s="27" t="s">
        <v>780</v>
      </c>
      <c r="E4171" s="21">
        <f>IF(D4171="?OLD","!!!","")</f>
        <v/>
      </c>
      <c r="F4171" s="22" t="str">
        <f>IF(OR(E4171="",E4171="!!!"),"",IF(NOT(ISNA(VLOOKUP(E4171,E$1:E4170,1,FALSE()))),"OLD",IF(AND(E4171&lt;&gt;"",E4171&lt;&gt;"!!!"),"NEW","")))</f>
        <v> </v>
      </c>
      <c r="G4171" s="23" t="str">
        <f>IF(OR(E4171="",E4171="!!!"),"",IF(OR(J4171=0,AND(J4171=1,K4171=1),AND(J4171=1,I4171="SBJ"),AND(J4171=1,I4171=0)),"?IN_FOCUS",IF(J4171&lt;=2,"?ACTIVATED",IF(J4171&lt;&gt;"","?FAMILIAR",IF(F4171="NEW",IF(ISNA(VLOOKUP(E4171,#REF!,1,FALSE())),"?TYPE_IDENTIFIABLE","?REFERENTIAL"),"_")))))</f>
        <v> </v>
      </c>
      <c r="H4171" s="24" t="str">
        <f>IF(J4171&lt;&gt;1,"",IF(I4171="SBJ","CB","?"))</f>
        <v> </v>
      </c>
      <c r="I4171" s="25" t="str">
        <f>IF(OR(E4171="",E4171="!!!",F4171="NEW"),"",INDEX(B4170:B$2,-1+SUMPRODUCT(MAX(ROW(E4170:E$2)*(E4171=E4170:E$2)))))</f>
        <v> </v>
      </c>
      <c r="J4171" s="25" t="str">
        <f>IF(OR(E4171="",E4171="!!!",F4171="NEW"),"",COUNTBLANK(OFFSET(A$1,,,SUMPRODUCT(MAX(ROW(E$2:E4171)*(E4171=E$2:E4171)))))-COUNTBLANK(OFFSET(A$1,,,SUMPRODUCT(MAX(ROW(E$1:E4170)*(E2=E$1:E4170))))))</f>
        <v> </v>
      </c>
      <c r="K4171" s="25" t="str">
        <f>IF(OR(E4171="",E4171="!!!",F4171="NEW"),"",INDEX(J$1:J4170,SUMPRODUCT(MAX(ROW(E$1:E4170)*(E4171=E$1:E4170)))))</f>
        <v> </v>
      </c>
      <c r="L4171" s="26"/>
    </row>
    <row r="4172" spans="1:12">
      <c r="A4172" s="20" t="s">
        <v>746</v>
      </c>
      <c r="E4172" s="21">
        <f>IF(D4172="?OLD","!!!","")</f>
        <v/>
      </c>
      <c r="F4172" s="22" t="str">
        <f>IF(OR(E4172="",E4172="!!!"),"",IF(NOT(ISNA(VLOOKUP(E4172,E$1:E4171,1,FALSE()))),"OLD",IF(AND(E4172&lt;&gt;"",E4172&lt;&gt;"!!!"),"NEW","")))</f>
        <v> </v>
      </c>
      <c r="G4172" s="23" t="str">
        <f>IF(OR(E4172="",E4172="!!!"),"",IF(OR(J4172=0,AND(J4172=1,K4172=1),AND(J4172=1,I4172="SBJ"),AND(J4172=1,I4172=0)),"?IN_FOCUS",IF(J4172&lt;=2,"?ACTIVATED",IF(J4172&lt;&gt;"","?FAMILIAR",IF(F4172="NEW",IF(ISNA(VLOOKUP(E4172,#REF!,1,FALSE())),"?TYPE_IDENTIFIABLE","?REFERENTIAL"),"_")))))</f>
        <v> </v>
      </c>
      <c r="H4172" s="24" t="str">
        <f>IF(J4172&lt;&gt;1,"",IF(I4172="SBJ","CB","?"))</f>
        <v> </v>
      </c>
      <c r="I4172" s="25" t="str">
        <f>IF(OR(E4172="",E4172="!!!",F4172="NEW"),"",INDEX(B4171:B$2,-1+SUMPRODUCT(MAX(ROW(E4171:E$2)*(E4172=E4171:E$2)))))</f>
        <v> </v>
      </c>
      <c r="J4172" s="25" t="str">
        <f>IF(OR(E4172="",E4172="!!!",F4172="NEW"),"",COUNTBLANK(OFFSET(A$1,,,SUMPRODUCT(MAX(ROW(E$2:E4172)*(E4172=E$2:E4172)))))-COUNTBLANK(OFFSET(A$1,,,SUMPRODUCT(MAX(ROW(E$1:E4171)*(E2=E$1:E4171))))))</f>
        <v> </v>
      </c>
      <c r="K4172" s="25" t="str">
        <f>IF(OR(E4172="",E4172="!!!",F4172="NEW"),"",INDEX(J$1:J4171,SUMPRODUCT(MAX(ROW(E$1:E4171)*(E4172=E$1:E4171)))))</f>
        <v> </v>
      </c>
      <c r="L4172" s="26"/>
    </row>
    <row r="4173" spans="1:12">
      <c r="A4173" s="20"/>
    </row>
    <row r="4174" spans="1:12">
      <c r="A4174" s="20" t="s">
        <v>1966</v>
      </c>
    </row>
    <row r="4175" spans="1:12">
      <c r="A4175" s="20" t="s">
        <v>813</v>
      </c>
      <c r="E4175" s="21">
        <f>IF(D4175="?OLD","!!!","")</f>
        <v/>
      </c>
      <c r="F4175" s="22" t="str">
        <f>IF(OR(E4175="",E4175="!!!"),"",IF(NOT(ISNA(VLOOKUP(E4175,E$1:E4174,1,FALSE()))),"OLD",IF(AND(E4175&lt;&gt;"",E4175&lt;&gt;"!!!"),"NEW","")))</f>
        <v> </v>
      </c>
      <c r="G4175" s="23" t="str">
        <f>IF(OR(E4175="",E4175="!!!"),"",IF(OR(J4175=0,AND(J4175=1,K4175=1),AND(J4175=1,I4175="SBJ"),AND(J4175=1,I4175=0)),"?IN_FOCUS",IF(J4175&lt;=2,"?ACTIVATED",IF(J4175&lt;&gt;"","?FAMILIAR",IF(F4175="NEW",IF(ISNA(VLOOKUP(E4175,#REF!,1,FALSE())),"?TYPE_IDENTIFIABLE","?REFERENTIAL"),"_")))))</f>
        <v> </v>
      </c>
      <c r="H4175" s="24" t="str">
        <f>IF(J4175&lt;&gt;1,"",IF(I4175="SBJ","CB","?"))</f>
        <v> </v>
      </c>
      <c r="I4175" s="25" t="str">
        <f>IF(OR(E4175="",E4175="!!!",F4175="NEW"),"",INDEX(B4174:B$2,-1+SUMPRODUCT(MAX(ROW(E4174:E$2)*(E4175=E4174:E$2)))))</f>
        <v> </v>
      </c>
      <c r="J4175" s="25" t="str">
        <f>IF(OR(E4175="",E4175="!!!",F4175="NEW"),"",COUNTBLANK(OFFSET(A$1,,,SUMPRODUCT(MAX(ROW(E$2:E4175)*(E4175=E$2:E4175)))))-COUNTBLANK(OFFSET(A$1,,,SUMPRODUCT(MAX(ROW(E$1:E4174)*(E2=E$1:E4174))))))</f>
        <v> </v>
      </c>
      <c r="K4175" s="25" t="str">
        <f>IF(OR(E4175="",E4175="!!!",F4175="NEW"),"",INDEX(J$1:J4174,SUMPRODUCT(MAX(ROW(E$1:E4174)*(E4175=E$1:E4174)))))</f>
        <v> </v>
      </c>
      <c r="L4175" s="26"/>
    </row>
    <row r="4176" spans="1:12">
      <c r="A4176" s="20" t="s">
        <v>832</v>
      </c>
      <c r="E4176" s="21">
        <f>IF(D4176="?OLD","!!!","")</f>
        <v/>
      </c>
      <c r="F4176" s="22" t="str">
        <f>IF(OR(E4176="",E4176="!!!"),"",IF(NOT(ISNA(VLOOKUP(E4176,E$1:E4175,1,FALSE()))),"OLD",IF(AND(E4176&lt;&gt;"",E4176&lt;&gt;"!!!"),"NEW","")))</f>
        <v> </v>
      </c>
      <c r="G4176" s="23" t="str">
        <f>IF(OR(E4176="",E4176="!!!"),"",IF(OR(J4176=0,AND(J4176=1,K4176=1),AND(J4176=1,I4176="SBJ"),AND(J4176=1,I4176=0)),"?IN_FOCUS",IF(J4176&lt;=2,"?ACTIVATED",IF(J4176&lt;&gt;"","?FAMILIAR",IF(F4176="NEW",IF(ISNA(VLOOKUP(E4176,#REF!,1,FALSE())),"?TYPE_IDENTIFIABLE","?REFERENTIAL"),"_")))))</f>
        <v> </v>
      </c>
      <c r="H4176" s="24" t="str">
        <f>IF(J4176&lt;&gt;1,"",IF(I4176="SBJ","CB","?"))</f>
        <v> </v>
      </c>
      <c r="I4176" s="25" t="str">
        <f>IF(OR(E4176="",E4176="!!!",F4176="NEW"),"",INDEX(B4175:B$2,-1+SUMPRODUCT(MAX(ROW(E4175:E$2)*(E4176=E4175:E$2)))))</f>
        <v> </v>
      </c>
      <c r="J4176" s="25" t="str">
        <f>IF(OR(E4176="",E4176="!!!",F4176="NEW"),"",COUNTBLANK(OFFSET(A$1,,,SUMPRODUCT(MAX(ROW(E$2:E4176)*(E4176=E$2:E4176)))))-COUNTBLANK(OFFSET(A$1,,,SUMPRODUCT(MAX(ROW(E$1:E4175)*(E2=E$1:E4175))))))</f>
        <v> </v>
      </c>
      <c r="K4176" s="25" t="str">
        <f>IF(OR(E4176="",E4176="!!!",F4176="NEW"),"",INDEX(J$1:J4175,SUMPRODUCT(MAX(ROW(E$1:E4175)*(E4176=E$1:E4175)))))</f>
        <v> </v>
      </c>
      <c r="L4176" s="26"/>
    </row>
    <row r="4177" spans="1:12">
      <c r="A4177" s="20" t="s">
        <v>1144</v>
      </c>
      <c r="E4177" s="21">
        <f>IF(D4177="?OLD","!!!","")</f>
        <v/>
      </c>
      <c r="F4177" s="22" t="str">
        <f>IF(OR(E4177="",E4177="!!!"),"",IF(NOT(ISNA(VLOOKUP(E4177,E$1:E4176,1,FALSE()))),"OLD",IF(AND(E4177&lt;&gt;"",E4177&lt;&gt;"!!!"),"NEW","")))</f>
        <v> </v>
      </c>
      <c r="G4177" s="23" t="str">
        <f>IF(OR(E4177="",E4177="!!!"),"",IF(OR(J4177=0,AND(J4177=1,K4177=1),AND(J4177=1,I4177="SBJ"),AND(J4177=1,I4177=0)),"?IN_FOCUS",IF(J4177&lt;=2,"?ACTIVATED",IF(J4177&lt;&gt;"","?FAMILIAR",IF(F4177="NEW",IF(ISNA(VLOOKUP(E4177,#REF!,1,FALSE())),"?TYPE_IDENTIFIABLE","?REFERENTIAL"),"_")))))</f>
        <v> </v>
      </c>
      <c r="H4177" s="24" t="str">
        <f>IF(J4177&lt;&gt;1,"",IF(I4177="SBJ","CB","?"))</f>
        <v> </v>
      </c>
      <c r="I4177" s="25" t="str">
        <f>IF(OR(E4177="",E4177="!!!",F4177="NEW"),"",INDEX(B4176:B$2,-1+SUMPRODUCT(MAX(ROW(E4176:E$2)*(E4177=E4176:E$2)))))</f>
        <v> </v>
      </c>
      <c r="J4177" s="25" t="str">
        <f>IF(OR(E4177="",E4177="!!!",F4177="NEW"),"",COUNTBLANK(OFFSET(A$1,,,SUMPRODUCT(MAX(ROW(E$2:E4177)*(E4177=E$2:E4177)))))-COUNTBLANK(OFFSET(A$1,,,SUMPRODUCT(MAX(ROW(E$1:E4176)*(E2=E$1:E4176))))))</f>
        <v> </v>
      </c>
      <c r="K4177" s="25" t="str">
        <f>IF(OR(E4177="",E4177="!!!",F4177="NEW"),"",INDEX(J$1:J4176,SUMPRODUCT(MAX(ROW(E$1:E4176)*(E4177=E$1:E4176)))))</f>
        <v> </v>
      </c>
      <c r="L4177" s="26"/>
    </row>
    <row r="4178" spans="1:12">
      <c r="A4178" s="20" t="s">
        <v>980</v>
      </c>
      <c r="B4178" s="27" t="s">
        <v>728</v>
      </c>
      <c r="C4178" s="27" t="s">
        <v>734</v>
      </c>
      <c r="E4178" s="21">
        <f>IF(D4178="?OLD","!!!","")</f>
        <v/>
      </c>
      <c r="F4178" s="22" t="str">
        <f>IF(OR(E4178="",E4178="!!!"),"",IF(NOT(ISNA(VLOOKUP(E4178,E$1:E4177,1,FALSE()))),"OLD",IF(AND(E4178&lt;&gt;"",E4178&lt;&gt;"!!!"),"NEW","")))</f>
        <v> </v>
      </c>
      <c r="G4178" s="23" t="str">
        <f>IF(OR(E4178="",E4178="!!!"),"",IF(OR(J4178=0,AND(J4178=1,K4178=1),AND(J4178=1,I4178="SBJ"),AND(J4178=1,I4178=0)),"?IN_FOCUS",IF(J4178&lt;=2,"?ACTIVATED",IF(J4178&lt;&gt;"","?FAMILIAR",IF(F4178="NEW",IF(ISNA(VLOOKUP(E4178,#REF!,1,FALSE())),"?TYPE_IDENTIFIABLE","?REFERENTIAL"),"_")))))</f>
        <v> </v>
      </c>
      <c r="H4178" s="24" t="str">
        <f>IF(J4178&lt;&gt;1,"",IF(I4178="SBJ","CB","?"))</f>
        <v> </v>
      </c>
      <c r="I4178" s="25" t="str">
        <f>IF(OR(E4178="",E4178="!!!",F4178="NEW"),"",INDEX(B4177:B$2,-1+SUMPRODUCT(MAX(ROW(E4177:E$2)*(E4178=E4177:E$2)))))</f>
        <v> </v>
      </c>
      <c r="J4178" s="25" t="str">
        <f>IF(OR(E4178="",E4178="!!!",F4178="NEW"),"",COUNTBLANK(OFFSET(A$1,,,SUMPRODUCT(MAX(ROW(E$2:E4178)*(E4178=E$2:E4178)))))-COUNTBLANK(OFFSET(A$1,,,SUMPRODUCT(MAX(ROW(E$1:E4177)*(E2=E$1:E4177))))))</f>
        <v> </v>
      </c>
      <c r="K4178" s="25" t="str">
        <f>IF(OR(E4178="",E4178="!!!",F4178="NEW"),"",INDEX(J$1:J4177,SUMPRODUCT(MAX(ROW(E$1:E4177)*(E4178=E$1:E4177)))))</f>
        <v> </v>
      </c>
      <c r="L4178" s="26"/>
    </row>
    <row r="4179" spans="1:12">
      <c r="A4179" s="20" t="s">
        <v>753</v>
      </c>
      <c r="E4179" s="21">
        <f>IF(D4179="?OLD","!!!","")</f>
        <v/>
      </c>
      <c r="F4179" s="22" t="str">
        <f>IF(OR(E4179="",E4179="!!!"),"",IF(NOT(ISNA(VLOOKUP(E4179,E$1:E4178,1,FALSE()))),"OLD",IF(AND(E4179&lt;&gt;"",E4179&lt;&gt;"!!!"),"NEW","")))</f>
        <v> </v>
      </c>
      <c r="G4179" s="23" t="str">
        <f>IF(OR(E4179="",E4179="!!!"),"",IF(OR(J4179=0,AND(J4179=1,K4179=1),AND(J4179=1,I4179="SBJ"),AND(J4179=1,I4179=0)),"?IN_FOCUS",IF(J4179&lt;=2,"?ACTIVATED",IF(J4179&lt;&gt;"","?FAMILIAR",IF(F4179="NEW",IF(ISNA(VLOOKUP(E4179,#REF!,1,FALSE())),"?TYPE_IDENTIFIABLE","?REFERENTIAL"),"_")))))</f>
        <v> </v>
      </c>
      <c r="H4179" s="24" t="str">
        <f>IF(J4179&lt;&gt;1,"",IF(I4179="SBJ","CB","?"))</f>
        <v> </v>
      </c>
      <c r="I4179" s="25" t="str">
        <f>IF(OR(E4179="",E4179="!!!",F4179="NEW"),"",INDEX(B4178:B$2,-1+SUMPRODUCT(MAX(ROW(E4178:E$2)*(E4179=E4178:E$2)))))</f>
        <v> </v>
      </c>
      <c r="J4179" s="25" t="str">
        <f>IF(OR(E4179="",E4179="!!!",F4179="NEW"),"",COUNTBLANK(OFFSET(A$1,,,SUMPRODUCT(MAX(ROW(E$2:E4179)*(E4179=E$2:E4179)))))-COUNTBLANK(OFFSET(A$1,,,SUMPRODUCT(MAX(ROW(E$1:E4178)*(E2=E$1:E4178))))))</f>
        <v> </v>
      </c>
      <c r="K4179" s="25" t="str">
        <f>IF(OR(E4179="",E4179="!!!",F4179="NEW"),"",INDEX(J$1:J4178,SUMPRODUCT(MAX(ROW(E$1:E4178)*(E4179=E$1:E4178)))))</f>
        <v> </v>
      </c>
      <c r="L4179" s="26"/>
    </row>
    <row r="4180" spans="1:12">
      <c r="A4180" s="20" t="s">
        <v>736</v>
      </c>
      <c r="B4180" s="27" t="s">
        <v>795</v>
      </c>
      <c r="E4180" s="21">
        <f>IF(D4180="?OLD","!!!","")</f>
        <v/>
      </c>
      <c r="F4180" s="22" t="str">
        <f>IF(OR(E4180="",E4180="!!!"),"",IF(NOT(ISNA(VLOOKUP(E4180,E$1:E4179,1,FALSE()))),"OLD",IF(AND(E4180&lt;&gt;"",E4180&lt;&gt;"!!!"),"NEW","")))</f>
        <v> </v>
      </c>
      <c r="G4180" s="23" t="str">
        <f>IF(OR(E4180="",E4180="!!!"),"",IF(OR(J4180=0,AND(J4180=1,K4180=1),AND(J4180=1,I4180="SBJ"),AND(J4180=1,I4180=0)),"?IN_FOCUS",IF(J4180&lt;=2,"?ACTIVATED",IF(J4180&lt;&gt;"","?FAMILIAR",IF(F4180="NEW",IF(ISNA(VLOOKUP(E4180,#REF!,1,FALSE())),"?TYPE_IDENTIFIABLE","?REFERENTIAL"),"_")))))</f>
        <v> </v>
      </c>
      <c r="H4180" s="24" t="str">
        <f>IF(J4180&lt;&gt;1,"",IF(I4180="SBJ","CB","?"))</f>
        <v> </v>
      </c>
      <c r="I4180" s="25" t="str">
        <f>IF(OR(E4180="",E4180="!!!",F4180="NEW"),"",INDEX(B4179:B$2,-1+SUMPRODUCT(MAX(ROW(E4179:E$2)*(E4180=E4179:E$2)))))</f>
        <v> </v>
      </c>
      <c r="J4180" s="25" t="str">
        <f>IF(OR(E4180="",E4180="!!!",F4180="NEW"),"",COUNTBLANK(OFFSET(A$1,,,SUMPRODUCT(MAX(ROW(E$2:E4180)*(E4180=E$2:E4180)))))-COUNTBLANK(OFFSET(A$1,,,SUMPRODUCT(MAX(ROW(E$1:E4179)*(E2=E$1:E4179))))))</f>
        <v> </v>
      </c>
      <c r="K4180" s="25" t="str">
        <f>IF(OR(E4180="",E4180="!!!",F4180="NEW"),"",INDEX(J$1:J4179,SUMPRODUCT(MAX(ROW(E$1:E4179)*(E4180=E$1:E4179)))))</f>
        <v> </v>
      </c>
      <c r="L4180" s="26"/>
    </row>
    <row r="4181" spans="1:12">
      <c r="A4181" s="20" t="s">
        <v>461</v>
      </c>
      <c r="E4181" s="21">
        <f>IF(D4181="?OLD","!!!","")</f>
        <v/>
      </c>
      <c r="F4181" s="22" t="str">
        <f>IF(OR(E4181="",E4181="!!!"),"",IF(NOT(ISNA(VLOOKUP(E4181,E$1:E4180,1,FALSE()))),"OLD",IF(AND(E4181&lt;&gt;"",E4181&lt;&gt;"!!!"),"NEW","")))</f>
        <v> </v>
      </c>
      <c r="G4181" s="23" t="str">
        <f>IF(OR(E4181="",E4181="!!!"),"",IF(OR(J4181=0,AND(J4181=1,K4181=1),AND(J4181=1,I4181="SBJ"),AND(J4181=1,I4181=0)),"?IN_FOCUS",IF(J4181&lt;=2,"?ACTIVATED",IF(J4181&lt;&gt;"","?FAMILIAR",IF(F4181="NEW",IF(ISNA(VLOOKUP(E4181,#REF!,1,FALSE())),"?TYPE_IDENTIFIABLE","?REFERENTIAL"),"_")))))</f>
        <v> </v>
      </c>
      <c r="H4181" s="24" t="str">
        <f>IF(J4181&lt;&gt;1,"",IF(I4181="SBJ","CB","?"))</f>
        <v> </v>
      </c>
      <c r="I4181" s="25" t="str">
        <f>IF(OR(E4181="",E4181="!!!",F4181="NEW"),"",INDEX(B4180:B$2,-1+SUMPRODUCT(MAX(ROW(E4180:E$2)*(E4181=E4180:E$2)))))</f>
        <v> </v>
      </c>
      <c r="J4181" s="25" t="str">
        <f>IF(OR(E4181="",E4181="!!!",F4181="NEW"),"",COUNTBLANK(OFFSET(A$1,,,SUMPRODUCT(MAX(ROW(E$2:E4181)*(E4181=E$2:E4181)))))-COUNTBLANK(OFFSET(A$1,,,SUMPRODUCT(MAX(ROW(E$1:E4180)*(E2=E$1:E4180))))))</f>
        <v> </v>
      </c>
      <c r="K4181" s="25" t="str">
        <f>IF(OR(E4181="",E4181="!!!",F4181="NEW"),"",INDEX(J$1:J4180,SUMPRODUCT(MAX(ROW(E$1:E4180)*(E4181=E$1:E4180)))))</f>
        <v> </v>
      </c>
      <c r="L4181" s="26"/>
    </row>
    <row r="4182" spans="1:12">
      <c r="A4182" s="20" t="s">
        <v>753</v>
      </c>
      <c r="E4182" s="21">
        <f>IF(D4182="?OLD","!!!","")</f>
        <v/>
      </c>
      <c r="F4182" s="22" t="str">
        <f>IF(OR(E4182="",E4182="!!!"),"",IF(NOT(ISNA(VLOOKUP(E4182,E$1:E4181,1,FALSE()))),"OLD",IF(AND(E4182&lt;&gt;"",E4182&lt;&gt;"!!!"),"NEW","")))</f>
        <v> </v>
      </c>
      <c r="G4182" s="23" t="str">
        <f>IF(OR(E4182="",E4182="!!!"),"",IF(OR(J4182=0,AND(J4182=1,K4182=1),AND(J4182=1,I4182="SBJ"),AND(J4182=1,I4182=0)),"?IN_FOCUS",IF(J4182&lt;=2,"?ACTIVATED",IF(J4182&lt;&gt;"","?FAMILIAR",IF(F4182="NEW",IF(ISNA(VLOOKUP(E4182,#REF!,1,FALSE())),"?TYPE_IDENTIFIABLE","?REFERENTIAL"),"_")))))</f>
        <v> </v>
      </c>
      <c r="H4182" s="24" t="str">
        <f>IF(J4182&lt;&gt;1,"",IF(I4182="SBJ","CB","?"))</f>
        <v> </v>
      </c>
      <c r="I4182" s="25" t="str">
        <f>IF(OR(E4182="",E4182="!!!",F4182="NEW"),"",INDEX(B4181:B$2,-1+SUMPRODUCT(MAX(ROW(E4181:E$2)*(E4182=E4181:E$2)))))</f>
        <v> </v>
      </c>
      <c r="J4182" s="25" t="str">
        <f>IF(OR(E4182="",E4182="!!!",F4182="NEW"),"",COUNTBLANK(OFFSET(A$1,,,SUMPRODUCT(MAX(ROW(E$2:E4182)*(E4182=E$2:E4182)))))-COUNTBLANK(OFFSET(A$1,,,SUMPRODUCT(MAX(ROW(E$1:E4181)*(E2=E$1:E4181))))))</f>
        <v> </v>
      </c>
      <c r="K4182" s="25" t="str">
        <f>IF(OR(E4182="",E4182="!!!",F4182="NEW"),"",INDEX(J$1:J4181,SUMPRODUCT(MAX(ROW(E$1:E4181)*(E4182=E$1:E4181)))))</f>
        <v> </v>
      </c>
      <c r="L4182" s="26"/>
    </row>
    <row r="4183" spans="1:12">
      <c r="A4183" s="20" t="s">
        <v>860</v>
      </c>
      <c r="E4183" s="21">
        <f>IF(D4183="?OLD","!!!","")</f>
        <v/>
      </c>
      <c r="F4183" s="22" t="str">
        <f>IF(OR(E4183="",E4183="!!!"),"",IF(NOT(ISNA(VLOOKUP(E4183,E$1:E4182,1,FALSE()))),"OLD",IF(AND(E4183&lt;&gt;"",E4183&lt;&gt;"!!!"),"NEW","")))</f>
        <v> </v>
      </c>
      <c r="G4183" s="23" t="str">
        <f>IF(OR(E4183="",E4183="!!!"),"",IF(OR(J4183=0,AND(J4183=1,K4183=1),AND(J4183=1,I4183="SBJ"),AND(J4183=1,I4183=0)),"?IN_FOCUS",IF(J4183&lt;=2,"?ACTIVATED",IF(J4183&lt;&gt;"","?FAMILIAR",IF(F4183="NEW",IF(ISNA(VLOOKUP(E4183,#REF!,1,FALSE())),"?TYPE_IDENTIFIABLE","?REFERENTIAL"),"_")))))</f>
        <v> </v>
      </c>
      <c r="H4183" s="24" t="str">
        <f>IF(J4183&lt;&gt;1,"",IF(I4183="SBJ","CB","?"))</f>
        <v> </v>
      </c>
      <c r="I4183" s="25" t="str">
        <f>IF(OR(E4183="",E4183="!!!",F4183="NEW"),"",INDEX(B4182:B$2,-1+SUMPRODUCT(MAX(ROW(E4182:E$2)*(E4183=E4182:E$2)))))</f>
        <v> </v>
      </c>
      <c r="J4183" s="25" t="str">
        <f>IF(OR(E4183="",E4183="!!!",F4183="NEW"),"",COUNTBLANK(OFFSET(A$1,,,SUMPRODUCT(MAX(ROW(E$2:E4183)*(E4183=E$2:E4183)))))-COUNTBLANK(OFFSET(A$1,,,SUMPRODUCT(MAX(ROW(E$1:E4182)*(E2=E$1:E4182))))))</f>
        <v> </v>
      </c>
      <c r="K4183" s="25" t="str">
        <f>IF(OR(E4183="",E4183="!!!",F4183="NEW"),"",INDEX(J$1:J4182,SUMPRODUCT(MAX(ROW(E$1:E4182)*(E4183=E$1:E4182)))))</f>
        <v> </v>
      </c>
      <c r="L4183" s="26"/>
    </row>
    <row r="4184" spans="1:12">
      <c r="A4184" s="20" t="s">
        <v>736</v>
      </c>
      <c r="E4184" s="21">
        <f>IF(D4184="?OLD","!!!","")</f>
        <v/>
      </c>
      <c r="F4184" s="22" t="str">
        <f>IF(OR(E4184="",E4184="!!!"),"",IF(NOT(ISNA(VLOOKUP(E4184,E$1:E4183,1,FALSE()))),"OLD",IF(AND(E4184&lt;&gt;"",E4184&lt;&gt;"!!!"),"NEW","")))</f>
        <v> </v>
      </c>
      <c r="G4184" s="23" t="str">
        <f>IF(OR(E4184="",E4184="!!!"),"",IF(OR(J4184=0,AND(J4184=1,K4184=1),AND(J4184=1,I4184="SBJ"),AND(J4184=1,I4184=0)),"?IN_FOCUS",IF(J4184&lt;=2,"?ACTIVATED",IF(J4184&lt;&gt;"","?FAMILIAR",IF(F4184="NEW",IF(ISNA(VLOOKUP(E4184,#REF!,1,FALSE())),"?TYPE_IDENTIFIABLE","?REFERENTIAL"),"_")))))</f>
        <v> </v>
      </c>
      <c r="H4184" s="24" t="str">
        <f>IF(J4184&lt;&gt;1,"",IF(I4184="SBJ","CB","?"))</f>
        <v> </v>
      </c>
      <c r="I4184" s="25" t="str">
        <f>IF(OR(E4184="",E4184="!!!",F4184="NEW"),"",INDEX(B4183:B$2,-1+SUMPRODUCT(MAX(ROW(E4183:E$2)*(E4184=E4183:E$2)))))</f>
        <v> </v>
      </c>
      <c r="J4184" s="25" t="str">
        <f>IF(OR(E4184="",E4184="!!!",F4184="NEW"),"",COUNTBLANK(OFFSET(A$1,,,SUMPRODUCT(MAX(ROW(E$2:E4184)*(E4184=E$2:E4184)))))-COUNTBLANK(OFFSET(A$1,,,SUMPRODUCT(MAX(ROW(E$1:E4183)*(E2=E$1:E4183))))))</f>
        <v> </v>
      </c>
      <c r="K4184" s="25" t="str">
        <f>IF(OR(E4184="",E4184="!!!",F4184="NEW"),"",INDEX(J$1:J4183,SUMPRODUCT(MAX(ROW(E$1:E4183)*(E4184=E$1:E4183)))))</f>
        <v> </v>
      </c>
      <c r="L4184" s="26"/>
    </row>
    <row r="4185" spans="1:12">
      <c r="A4185" s="20" t="s">
        <v>1710</v>
      </c>
      <c r="B4185" s="27" t="s">
        <v>935</v>
      </c>
      <c r="C4185" s="27" t="s">
        <v>739</v>
      </c>
      <c r="D4185" s="27" t="s">
        <v>740</v>
      </c>
      <c r="E4185" s="21">
        <f>IF(D4185="?OLD","!!!","")</f>
        <v/>
      </c>
      <c r="F4185" s="22" t="str">
        <f>IF(OR(E4185="",E4185="!!!"),"",IF(NOT(ISNA(VLOOKUP(E4185,E$1:E4184,1,FALSE()))),"OLD",IF(AND(E4185&lt;&gt;"",E4185&lt;&gt;"!!!"),"NEW","")))</f>
        <v> </v>
      </c>
      <c r="G4185" s="23" t="str">
        <f>IF(OR(E4185="",E4185="!!!"),"",IF(OR(J4185=0,AND(J4185=1,K4185=1),AND(J4185=1,I4185="SBJ"),AND(J4185=1,I4185=0)),"?IN_FOCUS",IF(J4185&lt;=2,"?ACTIVATED",IF(J4185&lt;&gt;"","?FAMILIAR",IF(F4185="NEW",IF(ISNA(VLOOKUP(E4185,#REF!,1,FALSE())),"?TYPE_IDENTIFIABLE","?REFERENTIAL"),"_")))))</f>
        <v> </v>
      </c>
      <c r="H4185" s="24" t="str">
        <f>IF(J4185&lt;&gt;1,"",IF(I4185="SBJ","CB","?"))</f>
        <v> </v>
      </c>
      <c r="I4185" s="25" t="str">
        <f>IF(OR(E4185="",E4185="!!!",F4185="NEW"),"",INDEX(B4184:B$2,-1+SUMPRODUCT(MAX(ROW(E4184:E$2)*(E4185=E4184:E$2)))))</f>
        <v> </v>
      </c>
      <c r="J4185" s="25" t="str">
        <f>IF(OR(E4185="",E4185="!!!",F4185="NEW"),"",COUNTBLANK(OFFSET(A$1,,,SUMPRODUCT(MAX(ROW(E$2:E4185)*(E4185=E$2:E4185)))))-COUNTBLANK(OFFSET(A$1,,,SUMPRODUCT(MAX(ROW(E$1:E4184)*(E2=E$1:E4184))))))</f>
        <v> </v>
      </c>
      <c r="K4185" s="25" t="str">
        <f>IF(OR(E4185="",E4185="!!!",F4185="NEW"),"",INDEX(J$1:J4184,SUMPRODUCT(MAX(ROW(E$1:E4184)*(E4185=E$1:E4184)))))</f>
        <v> </v>
      </c>
      <c r="L4185" s="26"/>
    </row>
    <row r="4186" spans="1:12">
      <c r="A4186" s="20" t="s">
        <v>846</v>
      </c>
      <c r="E4186" s="21">
        <f>IF(D4186="?OLD","!!!","")</f>
        <v/>
      </c>
      <c r="F4186" s="22" t="str">
        <f>IF(OR(E4186="",E4186="!!!"),"",IF(NOT(ISNA(VLOOKUP(E4186,E$1:E4185,1,FALSE()))),"OLD",IF(AND(E4186&lt;&gt;"",E4186&lt;&gt;"!!!"),"NEW","")))</f>
        <v> </v>
      </c>
      <c r="G4186" s="23" t="str">
        <f>IF(OR(E4186="",E4186="!!!"),"",IF(OR(J4186=0,AND(J4186=1,K4186=1),AND(J4186=1,I4186="SBJ"),AND(J4186=1,I4186=0)),"?IN_FOCUS",IF(J4186&lt;=2,"?ACTIVATED",IF(J4186&lt;&gt;"","?FAMILIAR",IF(F4186="NEW",IF(ISNA(VLOOKUP(E4186,#REF!,1,FALSE())),"?TYPE_IDENTIFIABLE","?REFERENTIAL"),"_")))))</f>
        <v> </v>
      </c>
      <c r="H4186" s="24" t="str">
        <f>IF(J4186&lt;&gt;1,"",IF(I4186="SBJ","CB","?"))</f>
        <v> </v>
      </c>
      <c r="I4186" s="25" t="str">
        <f>IF(OR(E4186="",E4186="!!!",F4186="NEW"),"",INDEX(B4185:B$2,-1+SUMPRODUCT(MAX(ROW(E4185:E$2)*(E4186=E4185:E$2)))))</f>
        <v> </v>
      </c>
      <c r="J4186" s="25" t="str">
        <f>IF(OR(E4186="",E4186="!!!",F4186="NEW"),"",COUNTBLANK(OFFSET(A$1,,,SUMPRODUCT(MAX(ROW(E$2:E4186)*(E4186=E$2:E4186)))))-COUNTBLANK(OFFSET(A$1,,,SUMPRODUCT(MAX(ROW(E$1:E4185)*(E2=E$1:E4185))))))</f>
        <v> </v>
      </c>
      <c r="K4186" s="25" t="str">
        <f>IF(OR(E4186="",E4186="!!!",F4186="NEW"),"",INDEX(J$1:J4185,SUMPRODUCT(MAX(ROW(E$1:E4185)*(E4186=E$1:E4185)))))</f>
        <v> </v>
      </c>
      <c r="L4186" s="26"/>
    </row>
    <row r="4187" spans="1:12">
      <c r="A4187" s="20" t="s">
        <v>938</v>
      </c>
      <c r="B4187" s="27" t="s">
        <v>1027</v>
      </c>
      <c r="C4187" s="27" t="s">
        <v>848</v>
      </c>
      <c r="E4187" s="21">
        <f>IF(D4187="?OLD","!!!","")</f>
        <v/>
      </c>
      <c r="F4187" s="22" t="str">
        <f>IF(OR(E4187="",E4187="!!!"),"",IF(NOT(ISNA(VLOOKUP(E4187,E$1:E4186,1,FALSE()))),"OLD",IF(AND(E4187&lt;&gt;"",E4187&lt;&gt;"!!!"),"NEW","")))</f>
        <v> </v>
      </c>
      <c r="G4187" s="23" t="str">
        <f>IF(OR(E4187="",E4187="!!!"),"",IF(OR(J4187=0,AND(J4187=1,K4187=1),AND(J4187=1,I4187="SBJ"),AND(J4187=1,I4187=0)),"?IN_FOCUS",IF(J4187&lt;=2,"?ACTIVATED",IF(J4187&lt;&gt;"","?FAMILIAR",IF(F4187="NEW",IF(ISNA(VLOOKUP(E4187,#REF!,1,FALSE())),"?TYPE_IDENTIFIABLE","?REFERENTIAL"),"_")))))</f>
        <v> </v>
      </c>
      <c r="H4187" s="24" t="str">
        <f>IF(J4187&lt;&gt;1,"",IF(I4187="SBJ","CB","?"))</f>
        <v> </v>
      </c>
      <c r="I4187" s="25" t="str">
        <f>IF(OR(E4187="",E4187="!!!",F4187="NEW"),"",INDEX(B4186:B$2,-1+SUMPRODUCT(MAX(ROW(E4186:E$2)*(E4187=E4186:E$2)))))</f>
        <v> </v>
      </c>
      <c r="J4187" s="25" t="str">
        <f>IF(OR(E4187="",E4187="!!!",F4187="NEW"),"",COUNTBLANK(OFFSET(A$1,,,SUMPRODUCT(MAX(ROW(E$2:E4187)*(E4187=E$2:E4187)))))-COUNTBLANK(OFFSET(A$1,,,SUMPRODUCT(MAX(ROW(E$1:E4186)*(E2=E$1:E4186))))))</f>
        <v> </v>
      </c>
      <c r="K4187" s="25" t="str">
        <f>IF(OR(E4187="",E4187="!!!",F4187="NEW"),"",INDEX(J$1:J4186,SUMPRODUCT(MAX(ROW(E$1:E4186)*(E4187=E$1:E4186)))))</f>
        <v> </v>
      </c>
      <c r="L4187" s="26"/>
    </row>
    <row r="4188" spans="1:12">
      <c r="A4188" s="20" t="s">
        <v>991</v>
      </c>
      <c r="E4188" s="21">
        <f>IF(D4188="?OLD","!!!","")</f>
        <v/>
      </c>
      <c r="F4188" s="22" t="str">
        <f>IF(OR(E4188="",E4188="!!!"),"",IF(NOT(ISNA(VLOOKUP(E4188,E$1:E4187,1,FALSE()))),"OLD",IF(AND(E4188&lt;&gt;"",E4188&lt;&gt;"!!!"),"NEW","")))</f>
        <v> </v>
      </c>
      <c r="G4188" s="23" t="str">
        <f>IF(OR(E4188="",E4188="!!!"),"",IF(OR(J4188=0,AND(J4188=1,K4188=1),AND(J4188=1,I4188="SBJ"),AND(J4188=1,I4188=0)),"?IN_FOCUS",IF(J4188&lt;=2,"?ACTIVATED",IF(J4188&lt;&gt;"","?FAMILIAR",IF(F4188="NEW",IF(ISNA(VLOOKUP(E4188,#REF!,1,FALSE())),"?TYPE_IDENTIFIABLE","?REFERENTIAL"),"_")))))</f>
        <v> </v>
      </c>
      <c r="H4188" s="24" t="str">
        <f>IF(J4188&lt;&gt;1,"",IF(I4188="SBJ","CB","?"))</f>
        <v> </v>
      </c>
      <c r="I4188" s="25" t="str">
        <f>IF(OR(E4188="",E4188="!!!",F4188="NEW"),"",INDEX(B4187:B$2,-1+SUMPRODUCT(MAX(ROW(E4187:E$2)*(E4188=E4187:E$2)))))</f>
        <v> </v>
      </c>
      <c r="J4188" s="25" t="str">
        <f>IF(OR(E4188="",E4188="!!!",F4188="NEW"),"",COUNTBLANK(OFFSET(A$1,,,SUMPRODUCT(MAX(ROW(E$2:E4188)*(E4188=E$2:E4188)))))-COUNTBLANK(OFFSET(A$1,,,SUMPRODUCT(MAX(ROW(E$1:E4187)*(E2=E$1:E4187))))))</f>
        <v> </v>
      </c>
      <c r="K4188" s="25" t="str">
        <f>IF(OR(E4188="",E4188="!!!",F4188="NEW"),"",INDEX(J$1:J4187,SUMPRODUCT(MAX(ROW(E$1:E4187)*(E4188=E$1:E4187)))))</f>
        <v> </v>
      </c>
      <c r="L4188" s="26"/>
    </row>
    <row r="4189" spans="1:12">
      <c r="A4189" s="20" t="s">
        <v>1967</v>
      </c>
      <c r="E4189" s="21">
        <f>IF(D4189="?OLD","!!!","")</f>
        <v/>
      </c>
      <c r="F4189" s="22" t="str">
        <f>IF(OR(E4189="",E4189="!!!"),"",IF(NOT(ISNA(VLOOKUP(E4189,E$1:E4188,1,FALSE()))),"OLD",IF(AND(E4189&lt;&gt;"",E4189&lt;&gt;"!!!"),"NEW","")))</f>
        <v> </v>
      </c>
      <c r="G4189" s="23" t="str">
        <f>IF(OR(E4189="",E4189="!!!"),"",IF(OR(J4189=0,AND(J4189=1,K4189=1),AND(J4189=1,I4189="SBJ"),AND(J4189=1,I4189=0)),"?IN_FOCUS",IF(J4189&lt;=2,"?ACTIVATED",IF(J4189&lt;&gt;"","?FAMILIAR",IF(F4189="NEW",IF(ISNA(VLOOKUP(E4189,#REF!,1,FALSE())),"?TYPE_IDENTIFIABLE","?REFERENTIAL"),"_")))))</f>
        <v> </v>
      </c>
      <c r="H4189" s="24" t="str">
        <f>IF(J4189&lt;&gt;1,"",IF(I4189="SBJ","CB","?"))</f>
        <v> </v>
      </c>
      <c r="I4189" s="25" t="str">
        <f>IF(OR(E4189="",E4189="!!!",F4189="NEW"),"",INDEX(B4188:B$2,-1+SUMPRODUCT(MAX(ROW(E4188:E$2)*(E4189=E4188:E$2)))))</f>
        <v> </v>
      </c>
      <c r="J4189" s="25" t="str">
        <f>IF(OR(E4189="",E4189="!!!",F4189="NEW"),"",COUNTBLANK(OFFSET(A$1,,,SUMPRODUCT(MAX(ROW(E$2:E4189)*(E4189=E$2:E4189)))))-COUNTBLANK(OFFSET(A$1,,,SUMPRODUCT(MAX(ROW(E$1:E4188)*(E2=E$1:E4188))))))</f>
        <v> </v>
      </c>
      <c r="K4189" s="25" t="str">
        <f>IF(OR(E4189="",E4189="!!!",F4189="NEW"),"",INDEX(J$1:J4188,SUMPRODUCT(MAX(ROW(E$1:E4188)*(E4189=E$1:E4188)))))</f>
        <v> </v>
      </c>
      <c r="L4189" s="26"/>
    </row>
    <row r="4190" spans="1:12">
      <c r="A4190" s="20" t="s">
        <v>1968</v>
      </c>
      <c r="B4190" s="27" t="s">
        <v>1027</v>
      </c>
      <c r="C4190" s="27" t="s">
        <v>848</v>
      </c>
      <c r="E4190" s="21">
        <f>IF(D4190="?OLD","!!!","")</f>
        <v/>
      </c>
      <c r="F4190" s="22" t="str">
        <f>IF(OR(E4190="",E4190="!!!"),"",IF(NOT(ISNA(VLOOKUP(E4190,E$1:E4189,1,FALSE()))),"OLD",IF(AND(E4190&lt;&gt;"",E4190&lt;&gt;"!!!"),"NEW","")))</f>
        <v> </v>
      </c>
      <c r="G4190" s="23" t="str">
        <f>IF(OR(E4190="",E4190="!!!"),"",IF(OR(J4190=0,AND(J4190=1,K4190=1),AND(J4190=1,I4190="SBJ"),AND(J4190=1,I4190=0)),"?IN_FOCUS",IF(J4190&lt;=2,"?ACTIVATED",IF(J4190&lt;&gt;"","?FAMILIAR",IF(F4190="NEW",IF(ISNA(VLOOKUP(E4190,#REF!,1,FALSE())),"?TYPE_IDENTIFIABLE","?REFERENTIAL"),"_")))))</f>
        <v> </v>
      </c>
      <c r="H4190" s="24" t="str">
        <f>IF(J4190&lt;&gt;1,"",IF(I4190="SBJ","CB","?"))</f>
        <v> </v>
      </c>
      <c r="I4190" s="25" t="str">
        <f>IF(OR(E4190="",E4190="!!!",F4190="NEW"),"",INDEX(B4189:B$2,-1+SUMPRODUCT(MAX(ROW(E4189:E$2)*(E4190=E4189:E$2)))))</f>
        <v> </v>
      </c>
      <c r="J4190" s="25" t="str">
        <f>IF(OR(E4190="",E4190="!!!",F4190="NEW"),"",COUNTBLANK(OFFSET(A$1,,,SUMPRODUCT(MAX(ROW(E$2:E4190)*(E4190=E$2:E4190)))))-COUNTBLANK(OFFSET(A$1,,,SUMPRODUCT(MAX(ROW(E$1:E4189)*(E2=E$1:E4189))))))</f>
        <v> </v>
      </c>
      <c r="K4190" s="25" t="str">
        <f>IF(OR(E4190="",E4190="!!!",F4190="NEW"),"",INDEX(J$1:J4189,SUMPRODUCT(MAX(ROW(E$1:E4189)*(E4190=E$1:E4189)))))</f>
        <v> </v>
      </c>
      <c r="L4190" s="26"/>
    </row>
    <row r="4191" spans="1:12">
      <c r="A4191" s="20" t="s">
        <v>928</v>
      </c>
      <c r="E4191" s="21">
        <f>IF(D4191="?OLD","!!!","")</f>
        <v/>
      </c>
      <c r="F4191" s="22" t="str">
        <f>IF(OR(E4191="",E4191="!!!"),"",IF(NOT(ISNA(VLOOKUP(E4191,E$1:E4190,1,FALSE()))),"OLD",IF(AND(E4191&lt;&gt;"",E4191&lt;&gt;"!!!"),"NEW","")))</f>
        <v> </v>
      </c>
      <c r="G4191" s="23" t="str">
        <f>IF(OR(E4191="",E4191="!!!"),"",IF(OR(J4191=0,AND(J4191=1,K4191=1),AND(J4191=1,I4191="SBJ"),AND(J4191=1,I4191=0)),"?IN_FOCUS",IF(J4191&lt;=2,"?ACTIVATED",IF(J4191&lt;&gt;"","?FAMILIAR",IF(F4191="NEW",IF(ISNA(VLOOKUP(E4191,#REF!,1,FALSE())),"?TYPE_IDENTIFIABLE","?REFERENTIAL"),"_")))))</f>
        <v> </v>
      </c>
      <c r="H4191" s="24" t="str">
        <f>IF(J4191&lt;&gt;1,"",IF(I4191="SBJ","CB","?"))</f>
        <v> </v>
      </c>
      <c r="I4191" s="25" t="str">
        <f>IF(OR(E4191="",E4191="!!!",F4191="NEW"),"",INDEX(B4190:B$2,-1+SUMPRODUCT(MAX(ROW(E4190:E$2)*(E4191=E4190:E$2)))))</f>
        <v> </v>
      </c>
      <c r="J4191" s="25" t="str">
        <f>IF(OR(E4191="",E4191="!!!",F4191="NEW"),"",COUNTBLANK(OFFSET(A$1,,,SUMPRODUCT(MAX(ROW(E$2:E4191)*(E4191=E$2:E4191)))))-COUNTBLANK(OFFSET(A$1,,,SUMPRODUCT(MAX(ROW(E$1:E4190)*(E2=E$1:E4190))))))</f>
        <v> </v>
      </c>
      <c r="K4191" s="25" t="str">
        <f>IF(OR(E4191="",E4191="!!!",F4191="NEW"),"",INDEX(J$1:J4190,SUMPRODUCT(MAX(ROW(E$1:E4190)*(E4191=E$1:E4190)))))</f>
        <v> </v>
      </c>
      <c r="L4191" s="26"/>
    </row>
    <row r="4192" spans="1:12">
      <c r="A4192" s="20" t="s">
        <v>1969</v>
      </c>
      <c r="E4192" s="21">
        <f>IF(D4192="?OLD","!!!","")</f>
        <v/>
      </c>
      <c r="F4192" s="22" t="str">
        <f>IF(OR(E4192="",E4192="!!!"),"",IF(NOT(ISNA(VLOOKUP(E4192,E$1:E4191,1,FALSE()))),"OLD",IF(AND(E4192&lt;&gt;"",E4192&lt;&gt;"!!!"),"NEW","")))</f>
        <v> </v>
      </c>
      <c r="G4192" s="23" t="str">
        <f>IF(OR(E4192="",E4192="!!!"),"",IF(OR(J4192=0,AND(J4192=1,K4192=1),AND(J4192=1,I4192="SBJ"),AND(J4192=1,I4192=0)),"?IN_FOCUS",IF(J4192&lt;=2,"?ACTIVATED",IF(J4192&lt;&gt;"","?FAMILIAR",IF(F4192="NEW",IF(ISNA(VLOOKUP(E4192,#REF!,1,FALSE())),"?TYPE_IDENTIFIABLE","?REFERENTIAL"),"_")))))</f>
        <v> </v>
      </c>
      <c r="H4192" s="24" t="str">
        <f>IF(J4192&lt;&gt;1,"",IF(I4192="SBJ","CB","?"))</f>
        <v> </v>
      </c>
      <c r="I4192" s="25" t="str">
        <f>IF(OR(E4192="",E4192="!!!",F4192="NEW"),"",INDEX(B4191:B$2,-1+SUMPRODUCT(MAX(ROW(E4191:E$2)*(E4192=E4191:E$2)))))</f>
        <v> </v>
      </c>
      <c r="J4192" s="25" t="str">
        <f>IF(OR(E4192="",E4192="!!!",F4192="NEW"),"",COUNTBLANK(OFFSET(A$1,,,SUMPRODUCT(MAX(ROW(E$2:E4192)*(E4192=E$2:E4192)))))-COUNTBLANK(OFFSET(A$1,,,SUMPRODUCT(MAX(ROW(E$1:E4191)*(E2=E$1:E4191))))))</f>
        <v> </v>
      </c>
      <c r="K4192" s="25" t="str">
        <f>IF(OR(E4192="",E4192="!!!",F4192="NEW"),"",INDEX(J$1:J4191,SUMPRODUCT(MAX(ROW(E$1:E4191)*(E4192=E$1:E4191)))))</f>
        <v> </v>
      </c>
      <c r="L4192" s="26"/>
    </row>
    <row r="4193" spans="1:12">
      <c r="A4193" s="20" t="s">
        <v>938</v>
      </c>
      <c r="B4193" s="27" t="s">
        <v>1037</v>
      </c>
      <c r="C4193" s="27" t="s">
        <v>848</v>
      </c>
      <c r="E4193" s="21">
        <f>IF(D4193="?OLD","!!!","")</f>
        <v/>
      </c>
      <c r="F4193" s="22" t="str">
        <f>IF(OR(E4193="",E4193="!!!"),"",IF(NOT(ISNA(VLOOKUP(E4193,E$1:E4192,1,FALSE()))),"OLD",IF(AND(E4193&lt;&gt;"",E4193&lt;&gt;"!!!"),"NEW","")))</f>
        <v> </v>
      </c>
      <c r="G4193" s="23" t="str">
        <f>IF(OR(E4193="",E4193="!!!"),"",IF(OR(J4193=0,AND(J4193=1,K4193=1),AND(J4193=1,I4193="SBJ"),AND(J4193=1,I4193=0)),"?IN_FOCUS",IF(J4193&lt;=2,"?ACTIVATED",IF(J4193&lt;&gt;"","?FAMILIAR",IF(F4193="NEW",IF(ISNA(VLOOKUP(E4193,#REF!,1,FALSE())),"?TYPE_IDENTIFIABLE","?REFERENTIAL"),"_")))))</f>
        <v> </v>
      </c>
      <c r="H4193" s="24" t="str">
        <f>IF(J4193&lt;&gt;1,"",IF(I4193="SBJ","CB","?"))</f>
        <v> </v>
      </c>
      <c r="I4193" s="25" t="str">
        <f>IF(OR(E4193="",E4193="!!!",F4193="NEW"),"",INDEX(B4192:B$2,-1+SUMPRODUCT(MAX(ROW(E4192:E$2)*(E4193=E4192:E$2)))))</f>
        <v> </v>
      </c>
      <c r="J4193" s="25" t="str">
        <f>IF(OR(E4193="",E4193="!!!",F4193="NEW"),"",COUNTBLANK(OFFSET(A$1,,,SUMPRODUCT(MAX(ROW(E$2:E4193)*(E4193=E$2:E4193)))))-COUNTBLANK(OFFSET(A$1,,,SUMPRODUCT(MAX(ROW(E$1:E4192)*(E2=E$1:E4192))))))</f>
        <v> </v>
      </c>
      <c r="K4193" s="25" t="str">
        <f>IF(OR(E4193="",E4193="!!!",F4193="NEW"),"",INDEX(J$1:J4192,SUMPRODUCT(MAX(ROW(E$1:E4192)*(E4193=E$1:E4192)))))</f>
        <v> </v>
      </c>
      <c r="L4193" s="26"/>
    </row>
    <row r="4194" spans="1:12">
      <c r="A4194" s="20" t="s">
        <v>1970</v>
      </c>
      <c r="E4194" s="21">
        <f>IF(D4194="?OLD","!!!","")</f>
        <v/>
      </c>
      <c r="F4194" s="22" t="str">
        <f>IF(OR(E4194="",E4194="!!!"),"",IF(NOT(ISNA(VLOOKUP(E4194,E$1:E4193,1,FALSE()))),"OLD",IF(AND(E4194&lt;&gt;"",E4194&lt;&gt;"!!!"),"NEW","")))</f>
        <v> </v>
      </c>
      <c r="G4194" s="23" t="str">
        <f>IF(OR(E4194="",E4194="!!!"),"",IF(OR(J4194=0,AND(J4194=1,K4194=1),AND(J4194=1,I4194="SBJ"),AND(J4194=1,I4194=0)),"?IN_FOCUS",IF(J4194&lt;=2,"?ACTIVATED",IF(J4194&lt;&gt;"","?FAMILIAR",IF(F4194="NEW",IF(ISNA(VLOOKUP(E4194,#REF!,1,FALSE())),"?TYPE_IDENTIFIABLE","?REFERENTIAL"),"_")))))</f>
        <v> </v>
      </c>
      <c r="H4194" s="24" t="str">
        <f>IF(J4194&lt;&gt;1,"",IF(I4194="SBJ","CB","?"))</f>
        <v> </v>
      </c>
      <c r="I4194" s="25" t="str">
        <f>IF(OR(E4194="",E4194="!!!",F4194="NEW"),"",INDEX(B4193:B$2,-1+SUMPRODUCT(MAX(ROW(E4193:E$2)*(E4194=E4193:E$2)))))</f>
        <v> </v>
      </c>
      <c r="J4194" s="25" t="str">
        <f>IF(OR(E4194="",E4194="!!!",F4194="NEW"),"",COUNTBLANK(OFFSET(A$1,,,SUMPRODUCT(MAX(ROW(E$2:E4194)*(E4194=E$2:E4194)))))-COUNTBLANK(OFFSET(A$1,,,SUMPRODUCT(MAX(ROW(E$1:E4193)*(E2=E$1:E4193))))))</f>
        <v> </v>
      </c>
      <c r="K4194" s="25" t="str">
        <f>IF(OR(E4194="",E4194="!!!",F4194="NEW"),"",INDEX(J$1:J4193,SUMPRODUCT(MAX(ROW(E$1:E4193)*(E4194=E$1:E4193)))))</f>
        <v> </v>
      </c>
      <c r="L4194" s="26"/>
    </row>
    <row r="4195" spans="1:12">
      <c r="A4195" s="20" t="s">
        <v>753</v>
      </c>
      <c r="E4195" s="21">
        <f>IF(D4195="?OLD","!!!","")</f>
        <v/>
      </c>
      <c r="F4195" s="22" t="str">
        <f>IF(OR(E4195="",E4195="!!!"),"",IF(NOT(ISNA(VLOOKUP(E4195,E$1:E4194,1,FALSE()))),"OLD",IF(AND(E4195&lt;&gt;"",E4195&lt;&gt;"!!!"),"NEW","")))</f>
        <v> </v>
      </c>
      <c r="G4195" s="23" t="str">
        <f>IF(OR(E4195="",E4195="!!!"),"",IF(OR(J4195=0,AND(J4195=1,K4195=1),AND(J4195=1,I4195="SBJ"),AND(J4195=1,I4195=0)),"?IN_FOCUS",IF(J4195&lt;=2,"?ACTIVATED",IF(J4195&lt;&gt;"","?FAMILIAR",IF(F4195="NEW",IF(ISNA(VLOOKUP(E4195,#REF!,1,FALSE())),"?TYPE_IDENTIFIABLE","?REFERENTIAL"),"_")))))</f>
        <v> </v>
      </c>
      <c r="H4195" s="24" t="str">
        <f>IF(J4195&lt;&gt;1,"",IF(I4195="SBJ","CB","?"))</f>
        <v> </v>
      </c>
      <c r="I4195" s="25" t="str">
        <f>IF(OR(E4195="",E4195="!!!",F4195="NEW"),"",INDEX(B4194:B$2,-1+SUMPRODUCT(MAX(ROW(E4194:E$2)*(E4195=E4194:E$2)))))</f>
        <v> </v>
      </c>
      <c r="J4195" s="25" t="str">
        <f>IF(OR(E4195="",E4195="!!!",F4195="NEW"),"",COUNTBLANK(OFFSET(A$1,,,SUMPRODUCT(MAX(ROW(E$2:E4195)*(E4195=E$2:E4195)))))-COUNTBLANK(OFFSET(A$1,,,SUMPRODUCT(MAX(ROW(E$1:E4194)*(E2=E$1:E4194))))))</f>
        <v> </v>
      </c>
      <c r="K4195" s="25" t="str">
        <f>IF(OR(E4195="",E4195="!!!",F4195="NEW"),"",INDEX(J$1:J4194,SUMPRODUCT(MAX(ROW(E$1:E4194)*(E4195=E$1:E4194)))))</f>
        <v> </v>
      </c>
      <c r="L4195" s="26"/>
    </row>
    <row r="4196" spans="1:12">
      <c r="A4196" s="20" t="s">
        <v>1971</v>
      </c>
      <c r="E4196" s="21">
        <f>IF(D4196="?OLD","!!!","")</f>
        <v/>
      </c>
      <c r="F4196" s="22" t="str">
        <f>IF(OR(E4196="",E4196="!!!"),"",IF(NOT(ISNA(VLOOKUP(E4196,E$1:E4195,1,FALSE()))),"OLD",IF(AND(E4196&lt;&gt;"",E4196&lt;&gt;"!!!"),"NEW","")))</f>
        <v> </v>
      </c>
      <c r="G4196" s="23" t="str">
        <f>IF(OR(E4196="",E4196="!!!"),"",IF(OR(J4196=0,AND(J4196=1,K4196=1),AND(J4196=1,I4196="SBJ"),AND(J4196=1,I4196=0)),"?IN_FOCUS",IF(J4196&lt;=2,"?ACTIVATED",IF(J4196&lt;&gt;"","?FAMILIAR",IF(F4196="NEW",IF(ISNA(VLOOKUP(E4196,#REF!,1,FALSE())),"?TYPE_IDENTIFIABLE","?REFERENTIAL"),"_")))))</f>
        <v> </v>
      </c>
      <c r="H4196" s="24" t="str">
        <f>IF(J4196&lt;&gt;1,"",IF(I4196="SBJ","CB","?"))</f>
        <v> </v>
      </c>
      <c r="I4196" s="25" t="str">
        <f>IF(OR(E4196="",E4196="!!!",F4196="NEW"),"",INDEX(B4195:B$2,-1+SUMPRODUCT(MAX(ROW(E4195:E$2)*(E4196=E4195:E$2)))))</f>
        <v> </v>
      </c>
      <c r="J4196" s="25" t="str">
        <f>IF(OR(E4196="",E4196="!!!",F4196="NEW"),"",COUNTBLANK(OFFSET(A$1,,,SUMPRODUCT(MAX(ROW(E$2:E4196)*(E4196=E$2:E4196)))))-COUNTBLANK(OFFSET(A$1,,,SUMPRODUCT(MAX(ROW(E$1:E4195)*(E2=E$1:E4195))))))</f>
        <v> </v>
      </c>
      <c r="K4196" s="25" t="str">
        <f>IF(OR(E4196="",E4196="!!!",F4196="NEW"),"",INDEX(J$1:J4195,SUMPRODUCT(MAX(ROW(E$1:E4195)*(E4196=E$1:E4195)))))</f>
        <v> </v>
      </c>
      <c r="L4196" s="26"/>
    </row>
    <row r="4197" spans="1:12">
      <c r="A4197" s="20" t="s">
        <v>1056</v>
      </c>
      <c r="E4197" s="21">
        <f>IF(D4197="?OLD","!!!","")</f>
        <v/>
      </c>
      <c r="F4197" s="22" t="str">
        <f>IF(OR(E4197="",E4197="!!!"),"",IF(NOT(ISNA(VLOOKUP(E4197,E$1:E4196,1,FALSE()))),"OLD",IF(AND(E4197&lt;&gt;"",E4197&lt;&gt;"!!!"),"NEW","")))</f>
        <v> </v>
      </c>
      <c r="G4197" s="23" t="str">
        <f>IF(OR(E4197="",E4197="!!!"),"",IF(OR(J4197=0,AND(J4197=1,K4197=1),AND(J4197=1,I4197="SBJ"),AND(J4197=1,I4197=0)),"?IN_FOCUS",IF(J4197&lt;=2,"?ACTIVATED",IF(J4197&lt;&gt;"","?FAMILIAR",IF(F4197="NEW",IF(ISNA(VLOOKUP(E4197,#REF!,1,FALSE())),"?TYPE_IDENTIFIABLE","?REFERENTIAL"),"_")))))</f>
        <v> </v>
      </c>
      <c r="H4197" s="24" t="str">
        <f>IF(J4197&lt;&gt;1,"",IF(I4197="SBJ","CB","?"))</f>
        <v> </v>
      </c>
      <c r="I4197" s="25" t="str">
        <f>IF(OR(E4197="",E4197="!!!",F4197="NEW"),"",INDEX(B4196:B$2,-1+SUMPRODUCT(MAX(ROW(E4196:E$2)*(E4197=E4196:E$2)))))</f>
        <v> </v>
      </c>
      <c r="J4197" s="25" t="str">
        <f>IF(OR(E4197="",E4197="!!!",F4197="NEW"),"",COUNTBLANK(OFFSET(A$1,,,SUMPRODUCT(MAX(ROW(E$2:E4197)*(E4197=E$2:E4197)))))-COUNTBLANK(OFFSET(A$1,,,SUMPRODUCT(MAX(ROW(E$1:E4196)*(E2=E$1:E4196))))))</f>
        <v> </v>
      </c>
      <c r="K4197" s="25" t="str">
        <f>IF(OR(E4197="",E4197="!!!",F4197="NEW"),"",INDEX(J$1:J4196,SUMPRODUCT(MAX(ROW(E$1:E4196)*(E4197=E$1:E4196)))))</f>
        <v> </v>
      </c>
      <c r="L4197" s="26"/>
    </row>
    <row r="4198" spans="1:12">
      <c r="A4198" s="20" t="s">
        <v>1972</v>
      </c>
      <c r="E4198" s="21">
        <f>IF(D4198="?OLD","!!!","")</f>
        <v/>
      </c>
      <c r="F4198" s="22" t="str">
        <f>IF(OR(E4198="",E4198="!!!"),"",IF(NOT(ISNA(VLOOKUP(E4198,E$1:E4197,1,FALSE()))),"OLD",IF(AND(E4198&lt;&gt;"",E4198&lt;&gt;"!!!"),"NEW","")))</f>
        <v> </v>
      </c>
      <c r="G4198" s="23" t="str">
        <f>IF(OR(E4198="",E4198="!!!"),"",IF(OR(J4198=0,AND(J4198=1,K4198=1),AND(J4198=1,I4198="SBJ"),AND(J4198=1,I4198=0)),"?IN_FOCUS",IF(J4198&lt;=2,"?ACTIVATED",IF(J4198&lt;&gt;"","?FAMILIAR",IF(F4198="NEW",IF(ISNA(VLOOKUP(E4198,#REF!,1,FALSE())),"?TYPE_IDENTIFIABLE","?REFERENTIAL"),"_")))))</f>
        <v> </v>
      </c>
      <c r="H4198" s="24" t="str">
        <f>IF(J4198&lt;&gt;1,"",IF(I4198="SBJ","CB","?"))</f>
        <v> </v>
      </c>
      <c r="I4198" s="25" t="str">
        <f>IF(OR(E4198="",E4198="!!!",F4198="NEW"),"",INDEX(B4197:B$2,-1+SUMPRODUCT(MAX(ROW(E4197:E$2)*(E4198=E4197:E$2)))))</f>
        <v> </v>
      </c>
      <c r="J4198" s="25" t="str">
        <f>IF(OR(E4198="",E4198="!!!",F4198="NEW"),"",COUNTBLANK(OFFSET(A$1,,,SUMPRODUCT(MAX(ROW(E$2:E4198)*(E4198=E$2:E4198)))))-COUNTBLANK(OFFSET(A$1,,,SUMPRODUCT(MAX(ROW(E$1:E4197)*(E2=E$1:E4197))))))</f>
        <v> </v>
      </c>
      <c r="K4198" s="25" t="str">
        <f>IF(OR(E4198="",E4198="!!!",F4198="NEW"),"",INDEX(J$1:J4197,SUMPRODUCT(MAX(ROW(E$1:E4197)*(E4198=E$1:E4197)))))</f>
        <v> </v>
      </c>
      <c r="L4198" s="26"/>
    </row>
    <row r="4199" spans="1:12">
      <c r="A4199" s="20" t="s">
        <v>746</v>
      </c>
      <c r="E4199" s="21">
        <f>IF(D4199="?OLD","!!!","")</f>
        <v/>
      </c>
      <c r="F4199" s="22" t="str">
        <f>IF(OR(E4199="",E4199="!!!"),"",IF(NOT(ISNA(VLOOKUP(E4199,E$1:E4198,1,FALSE()))),"OLD",IF(AND(E4199&lt;&gt;"",E4199&lt;&gt;"!!!"),"NEW","")))</f>
        <v> </v>
      </c>
      <c r="G4199" s="23" t="str">
        <f>IF(OR(E4199="",E4199="!!!"),"",IF(OR(J4199=0,AND(J4199=1,K4199=1),AND(J4199=1,I4199="SBJ"),AND(J4199=1,I4199=0)),"?IN_FOCUS",IF(J4199&lt;=2,"?ACTIVATED",IF(J4199&lt;&gt;"","?FAMILIAR",IF(F4199="NEW",IF(ISNA(VLOOKUP(E4199,#REF!,1,FALSE())),"?TYPE_IDENTIFIABLE","?REFERENTIAL"),"_")))))</f>
        <v> </v>
      </c>
      <c r="H4199" s="24" t="str">
        <f>IF(J4199&lt;&gt;1,"",IF(I4199="SBJ","CB","?"))</f>
        <v> </v>
      </c>
      <c r="I4199" s="25" t="str">
        <f>IF(OR(E4199="",E4199="!!!",F4199="NEW"),"",INDEX(B4198:B$2,-1+SUMPRODUCT(MAX(ROW(E4198:E$2)*(E4199=E4198:E$2)))))</f>
        <v> </v>
      </c>
      <c r="J4199" s="25" t="str">
        <f>IF(OR(E4199="",E4199="!!!",F4199="NEW"),"",COUNTBLANK(OFFSET(A$1,,,SUMPRODUCT(MAX(ROW(E$2:E4199)*(E4199=E$2:E4199)))))-COUNTBLANK(OFFSET(A$1,,,SUMPRODUCT(MAX(ROW(E$1:E4198)*(E2=E$1:E4198))))))</f>
        <v> </v>
      </c>
      <c r="K4199" s="25" t="str">
        <f>IF(OR(E4199="",E4199="!!!",F4199="NEW"),"",INDEX(J$1:J4198,SUMPRODUCT(MAX(ROW(E$1:E4198)*(E4199=E$1:E4198)))))</f>
        <v> </v>
      </c>
      <c r="L4199" s="26"/>
    </row>
    <row r="4200" spans="1:12">
      <c r="A4200" s="20"/>
    </row>
    <row r="4201" spans="1:12">
      <c r="A4201" s="20" t="s">
        <v>1973</v>
      </c>
    </row>
    <row r="4202" spans="1:12">
      <c r="A4202" s="20" t="s">
        <v>813</v>
      </c>
      <c r="E4202" s="21">
        <f>IF(D4202="?OLD","!!!","")</f>
        <v/>
      </c>
      <c r="F4202" s="22" t="str">
        <f>IF(OR(E4202="",E4202="!!!"),"",IF(NOT(ISNA(VLOOKUP(E4202,E$1:E4201,1,FALSE()))),"OLD",IF(AND(E4202&lt;&gt;"",E4202&lt;&gt;"!!!"),"NEW","")))</f>
        <v> </v>
      </c>
      <c r="G4202" s="23" t="str">
        <f>IF(OR(E4202="",E4202="!!!"),"",IF(OR(J4202=0,AND(J4202=1,K4202=1),AND(J4202=1,I4202="SBJ"),AND(J4202=1,I4202=0)),"?IN_FOCUS",IF(J4202&lt;=2,"?ACTIVATED",IF(J4202&lt;&gt;"","?FAMILIAR",IF(F4202="NEW",IF(ISNA(VLOOKUP(E4202,#REF!,1,FALSE())),"?TYPE_IDENTIFIABLE","?REFERENTIAL"),"_")))))</f>
        <v> </v>
      </c>
      <c r="H4202" s="24" t="str">
        <f>IF(J4202&lt;&gt;1,"",IF(I4202="SBJ","CB","?"))</f>
        <v> </v>
      </c>
      <c r="I4202" s="25" t="str">
        <f>IF(OR(E4202="",E4202="!!!",F4202="NEW"),"",INDEX(B4201:B$2,-1+SUMPRODUCT(MAX(ROW(E4201:E$2)*(E4202=E4201:E$2)))))</f>
        <v> </v>
      </c>
      <c r="J4202" s="25" t="str">
        <f>IF(OR(E4202="",E4202="!!!",F4202="NEW"),"",COUNTBLANK(OFFSET(A$1,,,SUMPRODUCT(MAX(ROW(E$2:E4202)*(E4202=E$2:E4202)))))-COUNTBLANK(OFFSET(A$1,,,SUMPRODUCT(MAX(ROW(E$1:E4201)*(E2=E$1:E4201))))))</f>
        <v> </v>
      </c>
      <c r="K4202" s="25" t="str">
        <f>IF(OR(E4202="",E4202="!!!",F4202="NEW"),"",INDEX(J$1:J4201,SUMPRODUCT(MAX(ROW(E$1:E4201)*(E4202=E$1:E4201)))))</f>
        <v> </v>
      </c>
      <c r="L4202" s="26"/>
    </row>
    <row r="4203" spans="1:12">
      <c r="A4203" s="20" t="s">
        <v>832</v>
      </c>
      <c r="E4203" s="21">
        <f>IF(D4203="?OLD","!!!","")</f>
        <v/>
      </c>
      <c r="F4203" s="22" t="str">
        <f>IF(OR(E4203="",E4203="!!!"),"",IF(NOT(ISNA(VLOOKUP(E4203,E$1:E4202,1,FALSE()))),"OLD",IF(AND(E4203&lt;&gt;"",E4203&lt;&gt;"!!!"),"NEW","")))</f>
        <v> </v>
      </c>
      <c r="G4203" s="23" t="str">
        <f>IF(OR(E4203="",E4203="!!!"),"",IF(OR(J4203=0,AND(J4203=1,K4203=1),AND(J4203=1,I4203="SBJ"),AND(J4203=1,I4203=0)),"?IN_FOCUS",IF(J4203&lt;=2,"?ACTIVATED",IF(J4203&lt;&gt;"","?FAMILIAR",IF(F4203="NEW",IF(ISNA(VLOOKUP(E4203,#REF!,1,FALSE())),"?TYPE_IDENTIFIABLE","?REFERENTIAL"),"_")))))</f>
        <v> </v>
      </c>
      <c r="H4203" s="24" t="str">
        <f>IF(J4203&lt;&gt;1,"",IF(I4203="SBJ","CB","?"))</f>
        <v> </v>
      </c>
      <c r="I4203" s="25" t="str">
        <f>IF(OR(E4203="",E4203="!!!",F4203="NEW"),"",INDEX(B4202:B$2,-1+SUMPRODUCT(MAX(ROW(E4202:E$2)*(E4203=E4202:E$2)))))</f>
        <v> </v>
      </c>
      <c r="J4203" s="25" t="str">
        <f>IF(OR(E4203="",E4203="!!!",F4203="NEW"),"",COUNTBLANK(OFFSET(A$1,,,SUMPRODUCT(MAX(ROW(E$2:E4203)*(E4203=E$2:E4203)))))-COUNTBLANK(OFFSET(A$1,,,SUMPRODUCT(MAX(ROW(E$1:E4202)*(E2=E$1:E4202))))))</f>
        <v> </v>
      </c>
      <c r="K4203" s="25" t="str">
        <f>IF(OR(E4203="",E4203="!!!",F4203="NEW"),"",INDEX(J$1:J4202,SUMPRODUCT(MAX(ROW(E$1:E4202)*(E4203=E$1:E4202)))))</f>
        <v> </v>
      </c>
      <c r="L4203" s="26"/>
    </row>
    <row r="4204" spans="1:12">
      <c r="A4204" s="20" t="s">
        <v>1144</v>
      </c>
      <c r="E4204" s="21">
        <f>IF(D4204="?OLD","!!!","")</f>
        <v/>
      </c>
      <c r="F4204" s="22" t="str">
        <f>IF(OR(E4204="",E4204="!!!"),"",IF(NOT(ISNA(VLOOKUP(E4204,E$1:E4203,1,FALSE()))),"OLD",IF(AND(E4204&lt;&gt;"",E4204&lt;&gt;"!!!"),"NEW","")))</f>
        <v> </v>
      </c>
      <c r="G4204" s="23" t="str">
        <f>IF(OR(E4204="",E4204="!!!"),"",IF(OR(J4204=0,AND(J4204=1,K4204=1),AND(J4204=1,I4204="SBJ"),AND(J4204=1,I4204=0)),"?IN_FOCUS",IF(J4204&lt;=2,"?ACTIVATED",IF(J4204&lt;&gt;"","?FAMILIAR",IF(F4204="NEW",IF(ISNA(VLOOKUP(E4204,#REF!,1,FALSE())),"?TYPE_IDENTIFIABLE","?REFERENTIAL"),"_")))))</f>
        <v> </v>
      </c>
      <c r="H4204" s="24" t="str">
        <f>IF(J4204&lt;&gt;1,"",IF(I4204="SBJ","CB","?"))</f>
        <v> </v>
      </c>
      <c r="I4204" s="25" t="str">
        <f>IF(OR(E4204="",E4204="!!!",F4204="NEW"),"",INDEX(B4203:B$2,-1+SUMPRODUCT(MAX(ROW(E4203:E$2)*(E4204=E4203:E$2)))))</f>
        <v> </v>
      </c>
      <c r="J4204" s="25" t="str">
        <f>IF(OR(E4204="",E4204="!!!",F4204="NEW"),"",COUNTBLANK(OFFSET(A$1,,,SUMPRODUCT(MAX(ROW(E$2:E4204)*(E4204=E$2:E4204)))))-COUNTBLANK(OFFSET(A$1,,,SUMPRODUCT(MAX(ROW(E$1:E4203)*(E2=E$1:E4203))))))</f>
        <v> </v>
      </c>
      <c r="K4204" s="25" t="str">
        <f>IF(OR(E4204="",E4204="!!!",F4204="NEW"),"",INDEX(J$1:J4203,SUMPRODUCT(MAX(ROW(E$1:E4203)*(E4204=E$1:E4203)))))</f>
        <v> </v>
      </c>
      <c r="L4204" s="26"/>
    </row>
    <row r="4205" spans="1:12">
      <c r="A4205" s="20" t="s">
        <v>1902</v>
      </c>
      <c r="B4205" s="27" t="s">
        <v>728</v>
      </c>
      <c r="C4205" s="27" t="s">
        <v>734</v>
      </c>
      <c r="E4205" s="21">
        <f>IF(D4205="?OLD","!!!","")</f>
        <v/>
      </c>
      <c r="F4205" s="22" t="str">
        <f>IF(OR(E4205="",E4205="!!!"),"",IF(NOT(ISNA(VLOOKUP(E4205,E$1:E4204,1,FALSE()))),"OLD",IF(AND(E4205&lt;&gt;"",E4205&lt;&gt;"!!!"),"NEW","")))</f>
        <v> </v>
      </c>
      <c r="G4205" s="23" t="str">
        <f>IF(OR(E4205="",E4205="!!!"),"",IF(OR(J4205=0,AND(J4205=1,K4205=1),AND(J4205=1,I4205="SBJ"),AND(J4205=1,I4205=0)),"?IN_FOCUS",IF(J4205&lt;=2,"?ACTIVATED",IF(J4205&lt;&gt;"","?FAMILIAR",IF(F4205="NEW",IF(ISNA(VLOOKUP(E4205,#REF!,1,FALSE())),"?TYPE_IDENTIFIABLE","?REFERENTIAL"),"_")))))</f>
        <v> </v>
      </c>
      <c r="H4205" s="24" t="str">
        <f>IF(J4205&lt;&gt;1,"",IF(I4205="SBJ","CB","?"))</f>
        <v> </v>
      </c>
      <c r="I4205" s="25" t="str">
        <f>IF(OR(E4205="",E4205="!!!",F4205="NEW"),"",INDEX(B4204:B$2,-1+SUMPRODUCT(MAX(ROW(E4204:E$2)*(E4205=E4204:E$2)))))</f>
        <v> </v>
      </c>
      <c r="J4205" s="25" t="str">
        <f>IF(OR(E4205="",E4205="!!!",F4205="NEW"),"",COUNTBLANK(OFFSET(A$1,,,SUMPRODUCT(MAX(ROW(E$2:E4205)*(E4205=E$2:E4205)))))-COUNTBLANK(OFFSET(A$1,,,SUMPRODUCT(MAX(ROW(E$1:E4204)*(E2=E$1:E4204))))))</f>
        <v> </v>
      </c>
      <c r="K4205" s="25" t="str">
        <f>IF(OR(E4205="",E4205="!!!",F4205="NEW"),"",INDEX(J$1:J4204,SUMPRODUCT(MAX(ROW(E$1:E4204)*(E4205=E$1:E4204)))))</f>
        <v> </v>
      </c>
      <c r="L4205" s="26"/>
    </row>
    <row r="4206" spans="1:12">
      <c r="A4206" s="20" t="s">
        <v>753</v>
      </c>
      <c r="E4206" s="21">
        <f>IF(D4206="?OLD","!!!","")</f>
        <v/>
      </c>
      <c r="F4206" s="22" t="str">
        <f>IF(OR(E4206="",E4206="!!!"),"",IF(NOT(ISNA(VLOOKUP(E4206,E$1:E4205,1,FALSE()))),"OLD",IF(AND(E4206&lt;&gt;"",E4206&lt;&gt;"!!!"),"NEW","")))</f>
        <v> </v>
      </c>
      <c r="G4206" s="23" t="str">
        <f>IF(OR(E4206="",E4206="!!!"),"",IF(OR(J4206=0,AND(J4206=1,K4206=1),AND(J4206=1,I4206="SBJ"),AND(J4206=1,I4206=0)),"?IN_FOCUS",IF(J4206&lt;=2,"?ACTIVATED",IF(J4206&lt;&gt;"","?FAMILIAR",IF(F4206="NEW",IF(ISNA(VLOOKUP(E4206,#REF!,1,FALSE())),"?TYPE_IDENTIFIABLE","?REFERENTIAL"),"_")))))</f>
        <v> </v>
      </c>
      <c r="H4206" s="24" t="str">
        <f>IF(J4206&lt;&gt;1,"",IF(I4206="SBJ","CB","?"))</f>
        <v> </v>
      </c>
      <c r="I4206" s="25" t="str">
        <f>IF(OR(E4206="",E4206="!!!",F4206="NEW"),"",INDEX(B4205:B$2,-1+SUMPRODUCT(MAX(ROW(E4205:E$2)*(E4206=E4205:E$2)))))</f>
        <v> </v>
      </c>
      <c r="J4206" s="25" t="str">
        <f>IF(OR(E4206="",E4206="!!!",F4206="NEW"),"",COUNTBLANK(OFFSET(A$1,,,SUMPRODUCT(MAX(ROW(E$2:E4206)*(E4206=E$2:E4206)))))-COUNTBLANK(OFFSET(A$1,,,SUMPRODUCT(MAX(ROW(E$1:E4205)*(E2=E$1:E4205))))))</f>
        <v> </v>
      </c>
      <c r="K4206" s="25" t="str">
        <f>IF(OR(E4206="",E4206="!!!",F4206="NEW"),"",INDEX(J$1:J4205,SUMPRODUCT(MAX(ROW(E$1:E4205)*(E4206=E$1:E4205)))))</f>
        <v> </v>
      </c>
      <c r="L4206" s="26"/>
    </row>
    <row r="4207" spans="1:12">
      <c r="A4207" s="20" t="s">
        <v>736</v>
      </c>
      <c r="B4207" s="27" t="s">
        <v>795</v>
      </c>
      <c r="E4207" s="21">
        <f>IF(D4207="?OLD","!!!","")</f>
        <v/>
      </c>
      <c r="F4207" s="22" t="str">
        <f>IF(OR(E4207="",E4207="!!!"),"",IF(NOT(ISNA(VLOOKUP(E4207,E$1:E4206,1,FALSE()))),"OLD",IF(AND(E4207&lt;&gt;"",E4207&lt;&gt;"!!!"),"NEW","")))</f>
        <v> </v>
      </c>
      <c r="G4207" s="23" t="str">
        <f>IF(OR(E4207="",E4207="!!!"),"",IF(OR(J4207=0,AND(J4207=1,K4207=1),AND(J4207=1,I4207="SBJ"),AND(J4207=1,I4207=0)),"?IN_FOCUS",IF(J4207&lt;=2,"?ACTIVATED",IF(J4207&lt;&gt;"","?FAMILIAR",IF(F4207="NEW",IF(ISNA(VLOOKUP(E4207,#REF!,1,FALSE())),"?TYPE_IDENTIFIABLE","?REFERENTIAL"),"_")))))</f>
        <v> </v>
      </c>
      <c r="H4207" s="24" t="str">
        <f>IF(J4207&lt;&gt;1,"",IF(I4207="SBJ","CB","?"))</f>
        <v> </v>
      </c>
      <c r="I4207" s="25" t="str">
        <f>IF(OR(E4207="",E4207="!!!",F4207="NEW"),"",INDEX(B4206:B$2,-1+SUMPRODUCT(MAX(ROW(E4206:E$2)*(E4207=E4206:E$2)))))</f>
        <v> </v>
      </c>
      <c r="J4207" s="25" t="str">
        <f>IF(OR(E4207="",E4207="!!!",F4207="NEW"),"",COUNTBLANK(OFFSET(A$1,,,SUMPRODUCT(MAX(ROW(E$2:E4207)*(E4207=E$2:E4207)))))-COUNTBLANK(OFFSET(A$1,,,SUMPRODUCT(MAX(ROW(E$1:E4206)*(E2=E$1:E4206))))))</f>
        <v> </v>
      </c>
      <c r="K4207" s="25" t="str">
        <f>IF(OR(E4207="",E4207="!!!",F4207="NEW"),"",INDEX(J$1:J4206,SUMPRODUCT(MAX(ROW(E$1:E4206)*(E4207=E$1:E4206)))))</f>
        <v> </v>
      </c>
      <c r="L4207" s="26"/>
    </row>
    <row r="4208" spans="1:12">
      <c r="A4208" s="20" t="s">
        <v>818</v>
      </c>
      <c r="E4208" s="21">
        <f>IF(D4208="?OLD","!!!","")</f>
        <v/>
      </c>
      <c r="F4208" s="22" t="str">
        <f>IF(OR(E4208="",E4208="!!!"),"",IF(NOT(ISNA(VLOOKUP(E4208,E$1:E4207,1,FALSE()))),"OLD",IF(AND(E4208&lt;&gt;"",E4208&lt;&gt;"!!!"),"NEW","")))</f>
        <v> </v>
      </c>
      <c r="G4208" s="23" t="str">
        <f>IF(OR(E4208="",E4208="!!!"),"",IF(OR(J4208=0,AND(J4208=1,K4208=1),AND(J4208=1,I4208="SBJ"),AND(J4208=1,I4208=0)),"?IN_FOCUS",IF(J4208&lt;=2,"?ACTIVATED",IF(J4208&lt;&gt;"","?FAMILIAR",IF(F4208="NEW",IF(ISNA(VLOOKUP(E4208,#REF!,1,FALSE())),"?TYPE_IDENTIFIABLE","?REFERENTIAL"),"_")))))</f>
        <v> </v>
      </c>
      <c r="H4208" s="24" t="str">
        <f>IF(J4208&lt;&gt;1,"",IF(I4208="SBJ","CB","?"))</f>
        <v> </v>
      </c>
      <c r="I4208" s="25" t="str">
        <f>IF(OR(E4208="",E4208="!!!",F4208="NEW"),"",INDEX(B4207:B$2,-1+SUMPRODUCT(MAX(ROW(E4207:E$2)*(E4208=E4207:E$2)))))</f>
        <v> </v>
      </c>
      <c r="J4208" s="25" t="str">
        <f>IF(OR(E4208="",E4208="!!!",F4208="NEW"),"",COUNTBLANK(OFFSET(A$1,,,SUMPRODUCT(MAX(ROW(E$2:E4208)*(E4208=E$2:E4208)))))-COUNTBLANK(OFFSET(A$1,,,SUMPRODUCT(MAX(ROW(E$1:E4207)*(E2=E$1:E4207))))))</f>
        <v> </v>
      </c>
      <c r="K4208" s="25" t="str">
        <f>IF(OR(E4208="",E4208="!!!",F4208="NEW"),"",INDEX(J$1:J4207,SUMPRODUCT(MAX(ROW(E$1:E4207)*(E4208=E$1:E4207)))))</f>
        <v> </v>
      </c>
      <c r="L4208" s="26"/>
    </row>
    <row r="4209" spans="1:12">
      <c r="A4209" s="20" t="s">
        <v>1510</v>
      </c>
      <c r="B4209" s="27" t="s">
        <v>779</v>
      </c>
      <c r="C4209" s="27" t="s">
        <v>739</v>
      </c>
      <c r="D4209" s="27" t="s">
        <v>740</v>
      </c>
      <c r="E4209" s="21">
        <f>IF(D4209="?OLD","!!!","")</f>
        <v/>
      </c>
      <c r="F4209" s="22" t="str">
        <f>IF(OR(E4209="",E4209="!!!"),"",IF(NOT(ISNA(VLOOKUP(E4209,E$1:E4208,1,FALSE()))),"OLD",IF(AND(E4209&lt;&gt;"",E4209&lt;&gt;"!!!"),"NEW","")))</f>
        <v> </v>
      </c>
      <c r="G4209" s="23" t="str">
        <f>IF(OR(E4209="",E4209="!!!"),"",IF(OR(J4209=0,AND(J4209=1,K4209=1),AND(J4209=1,I4209="SBJ"),AND(J4209=1,I4209=0)),"?IN_FOCUS",IF(J4209&lt;=2,"?ACTIVATED",IF(J4209&lt;&gt;"","?FAMILIAR",IF(F4209="NEW",IF(ISNA(VLOOKUP(E4209,#REF!,1,FALSE())),"?TYPE_IDENTIFIABLE","?REFERENTIAL"),"_")))))</f>
        <v> </v>
      </c>
      <c r="H4209" s="24" t="str">
        <f>IF(J4209&lt;&gt;1,"",IF(I4209="SBJ","CB","?"))</f>
        <v> </v>
      </c>
      <c r="I4209" s="25" t="str">
        <f>IF(OR(E4209="",E4209="!!!",F4209="NEW"),"",INDEX(B4208:B$2,-1+SUMPRODUCT(MAX(ROW(E4208:E$2)*(E4209=E4208:E$2)))))</f>
        <v> </v>
      </c>
      <c r="J4209" s="25" t="str">
        <f>IF(OR(E4209="",E4209="!!!",F4209="NEW"),"",COUNTBLANK(OFFSET(A$1,,,SUMPRODUCT(MAX(ROW(E$2:E4209)*(E4209=E$2:E4209)))))-COUNTBLANK(OFFSET(A$1,,,SUMPRODUCT(MAX(ROW(E$1:E4208)*(E2=E$1:E4208))))))</f>
        <v> </v>
      </c>
      <c r="K4209" s="25" t="str">
        <f>IF(OR(E4209="",E4209="!!!",F4209="NEW"),"",INDEX(J$1:J4208,SUMPRODUCT(MAX(ROW(E$1:E4208)*(E4209=E$1:E4208)))))</f>
        <v> </v>
      </c>
      <c r="L4209" s="26"/>
    </row>
    <row r="4210" spans="1:12">
      <c r="A4210" s="20" t="s">
        <v>984</v>
      </c>
      <c r="E4210" s="21">
        <f>IF(D4210="?OLD","!!!","")</f>
        <v/>
      </c>
      <c r="F4210" s="22" t="str">
        <f>IF(OR(E4210="",E4210="!!!"),"",IF(NOT(ISNA(VLOOKUP(E4210,E$1:E4209,1,FALSE()))),"OLD",IF(AND(E4210&lt;&gt;"",E4210&lt;&gt;"!!!"),"NEW","")))</f>
        <v> </v>
      </c>
      <c r="G4210" s="23" t="str">
        <f>IF(OR(E4210="",E4210="!!!"),"",IF(OR(J4210=0,AND(J4210=1,K4210=1),AND(J4210=1,I4210="SBJ"),AND(J4210=1,I4210=0)),"?IN_FOCUS",IF(J4210&lt;=2,"?ACTIVATED",IF(J4210&lt;&gt;"","?FAMILIAR",IF(F4210="NEW",IF(ISNA(VLOOKUP(E4210,#REF!,1,FALSE())),"?TYPE_IDENTIFIABLE","?REFERENTIAL"),"_")))))</f>
        <v> </v>
      </c>
      <c r="H4210" s="24" t="str">
        <f>IF(J4210&lt;&gt;1,"",IF(I4210="SBJ","CB","?"))</f>
        <v> </v>
      </c>
      <c r="I4210" s="25" t="str">
        <f>IF(OR(E4210="",E4210="!!!",F4210="NEW"),"",INDEX(B4209:B$2,-1+SUMPRODUCT(MAX(ROW(E4209:E$2)*(E4210=E4209:E$2)))))</f>
        <v> </v>
      </c>
      <c r="J4210" s="25" t="str">
        <f>IF(OR(E4210="",E4210="!!!",F4210="NEW"),"",COUNTBLANK(OFFSET(A$1,,,SUMPRODUCT(MAX(ROW(E$2:E4210)*(E4210=E$2:E4210)))))-COUNTBLANK(OFFSET(A$1,,,SUMPRODUCT(MAX(ROW(E$1:E4209)*(E2=E$1:E4209))))))</f>
        <v> </v>
      </c>
      <c r="K4210" s="25" t="str">
        <f>IF(OR(E4210="",E4210="!!!",F4210="NEW"),"",INDEX(J$1:J4209,SUMPRODUCT(MAX(ROW(E$1:E4209)*(E4210=E$1:E4209)))))</f>
        <v> </v>
      </c>
      <c r="L4210" s="26"/>
    </row>
    <row r="4211" spans="1:12">
      <c r="A4211" s="20" t="s">
        <v>753</v>
      </c>
      <c r="E4211" s="21">
        <f>IF(D4211="?OLD","!!!","")</f>
        <v/>
      </c>
      <c r="F4211" s="22" t="str">
        <f>IF(OR(E4211="",E4211="!!!"),"",IF(NOT(ISNA(VLOOKUP(E4211,E$1:E4210,1,FALSE()))),"OLD",IF(AND(E4211&lt;&gt;"",E4211&lt;&gt;"!!!"),"NEW","")))</f>
        <v> </v>
      </c>
      <c r="G4211" s="23" t="str">
        <f>IF(OR(E4211="",E4211="!!!"),"",IF(OR(J4211=0,AND(J4211=1,K4211=1),AND(J4211=1,I4211="SBJ"),AND(J4211=1,I4211=0)),"?IN_FOCUS",IF(J4211&lt;=2,"?ACTIVATED",IF(J4211&lt;&gt;"","?FAMILIAR",IF(F4211="NEW",IF(ISNA(VLOOKUP(E4211,#REF!,1,FALSE())),"?TYPE_IDENTIFIABLE","?REFERENTIAL"),"_")))))</f>
        <v> </v>
      </c>
      <c r="H4211" s="24" t="str">
        <f>IF(J4211&lt;&gt;1,"",IF(I4211="SBJ","CB","?"))</f>
        <v> </v>
      </c>
      <c r="I4211" s="25" t="str">
        <f>IF(OR(E4211="",E4211="!!!",F4211="NEW"),"",INDEX(B4210:B$2,-1+SUMPRODUCT(MAX(ROW(E4210:E$2)*(E4211=E4210:E$2)))))</f>
        <v> </v>
      </c>
      <c r="J4211" s="25" t="str">
        <f>IF(OR(E4211="",E4211="!!!",F4211="NEW"),"",COUNTBLANK(OFFSET(A$1,,,SUMPRODUCT(MAX(ROW(E$2:E4211)*(E4211=E$2:E4211)))))-COUNTBLANK(OFFSET(A$1,,,SUMPRODUCT(MAX(ROW(E$1:E4210)*(E2=E$1:E4210))))))</f>
        <v> </v>
      </c>
      <c r="K4211" s="25" t="str">
        <f>IF(OR(E4211="",E4211="!!!",F4211="NEW"),"",INDEX(J$1:J4210,SUMPRODUCT(MAX(ROW(E$1:E4210)*(E4211=E$1:E4210)))))</f>
        <v> </v>
      </c>
      <c r="L4211" s="26"/>
    </row>
    <row r="4212" spans="1:12">
      <c r="A4212" s="20" t="s">
        <v>860</v>
      </c>
      <c r="E4212" s="21">
        <f>IF(D4212="?OLD","!!!","")</f>
        <v/>
      </c>
      <c r="F4212" s="22" t="str">
        <f>IF(OR(E4212="",E4212="!!!"),"",IF(NOT(ISNA(VLOOKUP(E4212,E$1:E4211,1,FALSE()))),"OLD",IF(AND(E4212&lt;&gt;"",E4212&lt;&gt;"!!!"),"NEW","")))</f>
        <v> </v>
      </c>
      <c r="G4212" s="23" t="str">
        <f>IF(OR(E4212="",E4212="!!!"),"",IF(OR(J4212=0,AND(J4212=1,K4212=1),AND(J4212=1,I4212="SBJ"),AND(J4212=1,I4212=0)),"?IN_FOCUS",IF(J4212&lt;=2,"?ACTIVATED",IF(J4212&lt;&gt;"","?FAMILIAR",IF(F4212="NEW",IF(ISNA(VLOOKUP(E4212,#REF!,1,FALSE())),"?TYPE_IDENTIFIABLE","?REFERENTIAL"),"_")))))</f>
        <v> </v>
      </c>
      <c r="H4212" s="24" t="str">
        <f>IF(J4212&lt;&gt;1,"",IF(I4212="SBJ","CB","?"))</f>
        <v> </v>
      </c>
      <c r="I4212" s="25" t="str">
        <f>IF(OR(E4212="",E4212="!!!",F4212="NEW"),"",INDEX(B4211:B$2,-1+SUMPRODUCT(MAX(ROW(E4211:E$2)*(E4212=E4211:E$2)))))</f>
        <v> </v>
      </c>
      <c r="J4212" s="25" t="str">
        <f>IF(OR(E4212="",E4212="!!!",F4212="NEW"),"",COUNTBLANK(OFFSET(A$1,,,SUMPRODUCT(MAX(ROW(E$2:E4212)*(E4212=E$2:E4212)))))-COUNTBLANK(OFFSET(A$1,,,SUMPRODUCT(MAX(ROW(E$1:E4211)*(E2=E$1:E4211))))))</f>
        <v> </v>
      </c>
      <c r="K4212" s="25" t="str">
        <f>IF(OR(E4212="",E4212="!!!",F4212="NEW"),"",INDEX(J$1:J4211,SUMPRODUCT(MAX(ROW(E$1:E4211)*(E4212=E$1:E4211)))))</f>
        <v> </v>
      </c>
      <c r="L4212" s="26"/>
    </row>
    <row r="4213" spans="1:12">
      <c r="A4213" s="20" t="s">
        <v>1498</v>
      </c>
      <c r="B4213" s="27" t="s">
        <v>935</v>
      </c>
      <c r="C4213" s="27" t="s">
        <v>734</v>
      </c>
      <c r="E4213" s="21">
        <f>IF(D4213="?OLD","!!!","")</f>
        <v/>
      </c>
      <c r="F4213" s="22" t="str">
        <f>IF(OR(E4213="",E4213="!!!"),"",IF(NOT(ISNA(VLOOKUP(E4213,E$1:E4212,1,FALSE()))),"OLD",IF(AND(E4213&lt;&gt;"",E4213&lt;&gt;"!!!"),"NEW","")))</f>
        <v> </v>
      </c>
      <c r="G4213" s="23" t="str">
        <f>IF(OR(E4213="",E4213="!!!"),"",IF(OR(J4213=0,AND(J4213=1,K4213=1),AND(J4213=1,I4213="SBJ"),AND(J4213=1,I4213=0)),"?IN_FOCUS",IF(J4213&lt;=2,"?ACTIVATED",IF(J4213&lt;&gt;"","?FAMILIAR",IF(F4213="NEW",IF(ISNA(VLOOKUP(E4213,#REF!,1,FALSE())),"?TYPE_IDENTIFIABLE","?REFERENTIAL"),"_")))))</f>
        <v> </v>
      </c>
      <c r="H4213" s="24" t="str">
        <f>IF(J4213&lt;&gt;1,"",IF(I4213="SBJ","CB","?"))</f>
        <v> </v>
      </c>
      <c r="I4213" s="25" t="str">
        <f>IF(OR(E4213="",E4213="!!!",F4213="NEW"),"",INDEX(B4212:B$2,-1+SUMPRODUCT(MAX(ROW(E4212:E$2)*(E4213=E4212:E$2)))))</f>
        <v> </v>
      </c>
      <c r="J4213" s="25" t="str">
        <f>IF(OR(E4213="",E4213="!!!",F4213="NEW"),"",COUNTBLANK(OFFSET(A$1,,,SUMPRODUCT(MAX(ROW(E$2:E4213)*(E4213=E$2:E4213)))))-COUNTBLANK(OFFSET(A$1,,,SUMPRODUCT(MAX(ROW(E$1:E4212)*(E2=E$1:E4212))))))</f>
        <v> </v>
      </c>
      <c r="K4213" s="25" t="str">
        <f>IF(OR(E4213="",E4213="!!!",F4213="NEW"),"",INDEX(J$1:J4212,SUMPRODUCT(MAX(ROW(E$1:E4212)*(E4213=E$1:E4212)))))</f>
        <v> </v>
      </c>
      <c r="L4213" s="26"/>
    </row>
    <row r="4214" spans="1:12">
      <c r="A4214" s="20" t="s">
        <v>830</v>
      </c>
      <c r="E4214" s="21">
        <f>IF(D4214="?OLD","!!!","")</f>
        <v/>
      </c>
      <c r="F4214" s="22" t="str">
        <f>IF(OR(E4214="",E4214="!!!"),"",IF(NOT(ISNA(VLOOKUP(E4214,E$1:E4213,1,FALSE()))),"OLD",IF(AND(E4214&lt;&gt;"",E4214&lt;&gt;"!!!"),"NEW","")))</f>
        <v> </v>
      </c>
      <c r="G4214" s="23" t="str">
        <f>IF(OR(E4214="",E4214="!!!"),"",IF(OR(J4214=0,AND(J4214=1,K4214=1),AND(J4214=1,I4214="SBJ"),AND(J4214=1,I4214=0)),"?IN_FOCUS",IF(J4214&lt;=2,"?ACTIVATED",IF(J4214&lt;&gt;"","?FAMILIAR",IF(F4214="NEW",IF(ISNA(VLOOKUP(E4214,#REF!,1,FALSE())),"?TYPE_IDENTIFIABLE","?REFERENTIAL"),"_")))))</f>
        <v> </v>
      </c>
      <c r="H4214" s="24" t="str">
        <f>IF(J4214&lt;&gt;1,"",IF(I4214="SBJ","CB","?"))</f>
        <v> </v>
      </c>
      <c r="I4214" s="25" t="str">
        <f>IF(OR(E4214="",E4214="!!!",F4214="NEW"),"",INDEX(B4213:B$2,-1+SUMPRODUCT(MAX(ROW(E4213:E$2)*(E4214=E4213:E$2)))))</f>
        <v> </v>
      </c>
      <c r="J4214" s="25" t="str">
        <f>IF(OR(E4214="",E4214="!!!",F4214="NEW"),"",COUNTBLANK(OFFSET(A$1,,,SUMPRODUCT(MAX(ROW(E$2:E4214)*(E4214=E$2:E4214)))))-COUNTBLANK(OFFSET(A$1,,,SUMPRODUCT(MAX(ROW(E$1:E4213)*(E2=E$1:E4213))))))</f>
        <v> </v>
      </c>
      <c r="K4214" s="25" t="str">
        <f>IF(OR(E4214="",E4214="!!!",F4214="NEW"),"",INDEX(J$1:J4213,SUMPRODUCT(MAX(ROW(E$1:E4213)*(E4214=E$1:E4213)))))</f>
        <v> </v>
      </c>
      <c r="L4214" s="26"/>
    </row>
    <row r="4215" spans="1:12">
      <c r="A4215" s="20" t="s">
        <v>736</v>
      </c>
      <c r="E4215" s="21">
        <f>IF(D4215="?OLD","!!!","")</f>
        <v/>
      </c>
      <c r="F4215" s="22" t="str">
        <f>IF(OR(E4215="",E4215="!!!"),"",IF(NOT(ISNA(VLOOKUP(E4215,E$1:E4214,1,FALSE()))),"OLD",IF(AND(E4215&lt;&gt;"",E4215&lt;&gt;"!!!"),"NEW","")))</f>
        <v> </v>
      </c>
      <c r="G4215" s="23" t="str">
        <f>IF(OR(E4215="",E4215="!!!"),"",IF(OR(J4215=0,AND(J4215=1,K4215=1),AND(J4215=1,I4215="SBJ"),AND(J4215=1,I4215=0)),"?IN_FOCUS",IF(J4215&lt;=2,"?ACTIVATED",IF(J4215&lt;&gt;"","?FAMILIAR",IF(F4215="NEW",IF(ISNA(VLOOKUP(E4215,#REF!,1,FALSE())),"?TYPE_IDENTIFIABLE","?REFERENTIAL"),"_")))))</f>
        <v> </v>
      </c>
      <c r="H4215" s="24" t="str">
        <f>IF(J4215&lt;&gt;1,"",IF(I4215="SBJ","CB","?"))</f>
        <v> </v>
      </c>
      <c r="I4215" s="25" t="str">
        <f>IF(OR(E4215="",E4215="!!!",F4215="NEW"),"",INDEX(B4214:B$2,-1+SUMPRODUCT(MAX(ROW(E4214:E$2)*(E4215=E4214:E$2)))))</f>
        <v> </v>
      </c>
      <c r="J4215" s="25" t="str">
        <f>IF(OR(E4215="",E4215="!!!",F4215="NEW"),"",COUNTBLANK(OFFSET(A$1,,,SUMPRODUCT(MAX(ROW(E$2:E4215)*(E4215=E$2:E4215)))))-COUNTBLANK(OFFSET(A$1,,,SUMPRODUCT(MAX(ROW(E$1:E4214)*(E2=E$1:E4214))))))</f>
        <v> </v>
      </c>
      <c r="K4215" s="25" t="str">
        <f>IF(OR(E4215="",E4215="!!!",F4215="NEW"),"",INDEX(J$1:J4214,SUMPRODUCT(MAX(ROW(E$1:E4214)*(E4215=E$1:E4214)))))</f>
        <v> </v>
      </c>
      <c r="L4215" s="26"/>
    </row>
    <row r="4216" spans="1:12">
      <c r="A4216" s="20" t="s">
        <v>827</v>
      </c>
      <c r="B4216" s="27" t="s">
        <v>1027</v>
      </c>
      <c r="C4216" s="27" t="s">
        <v>828</v>
      </c>
      <c r="D4216" s="27" t="s">
        <v>740</v>
      </c>
      <c r="E4216" s="21">
        <f>IF(D4216="?OLD","!!!","")</f>
        <v/>
      </c>
      <c r="F4216" s="22" t="str">
        <f>IF(OR(E4216="",E4216="!!!"),"",IF(NOT(ISNA(VLOOKUP(E4216,E$1:E4215,1,FALSE()))),"OLD",IF(AND(E4216&lt;&gt;"",E4216&lt;&gt;"!!!"),"NEW","")))</f>
        <v> </v>
      </c>
      <c r="G4216" s="23" t="str">
        <f>IF(OR(E4216="",E4216="!!!"),"",IF(OR(J4216=0,AND(J4216=1,K4216=1),AND(J4216=1,I4216="SBJ"),AND(J4216=1,I4216=0)),"?IN_FOCUS",IF(J4216&lt;=2,"?ACTIVATED",IF(J4216&lt;&gt;"","?FAMILIAR",IF(F4216="NEW",IF(ISNA(VLOOKUP(E4216,#REF!,1,FALSE())),"?TYPE_IDENTIFIABLE","?REFERENTIAL"),"_")))))</f>
        <v> </v>
      </c>
      <c r="H4216" s="24" t="str">
        <f>IF(J4216&lt;&gt;1,"",IF(I4216="SBJ","CB","?"))</f>
        <v> </v>
      </c>
      <c r="I4216" s="25" t="str">
        <f>IF(OR(E4216="",E4216="!!!",F4216="NEW"),"",INDEX(B4215:B$2,-1+SUMPRODUCT(MAX(ROW(E4215:E$2)*(E4216=E4215:E$2)))))</f>
        <v> </v>
      </c>
      <c r="J4216" s="25" t="str">
        <f>IF(OR(E4216="",E4216="!!!",F4216="NEW"),"",COUNTBLANK(OFFSET(A$1,,,SUMPRODUCT(MAX(ROW(E$2:E4216)*(E4216=E$2:E4216)))))-COUNTBLANK(OFFSET(A$1,,,SUMPRODUCT(MAX(ROW(E$1:E4215)*(E2=E$1:E4215))))))</f>
        <v> </v>
      </c>
      <c r="K4216" s="25" t="str">
        <f>IF(OR(E4216="",E4216="!!!",F4216="NEW"),"",INDEX(J$1:J4215,SUMPRODUCT(MAX(ROW(E$1:E4215)*(E4216=E$1:E4215)))))</f>
        <v> </v>
      </c>
      <c r="L4216" s="26"/>
    </row>
    <row r="4217" spans="1:12">
      <c r="A4217" s="20" t="s">
        <v>776</v>
      </c>
      <c r="B4217" s="27" t="s">
        <v>1027</v>
      </c>
      <c r="C4217" s="27" t="s">
        <v>775</v>
      </c>
      <c r="D4217" s="27" t="s">
        <v>740</v>
      </c>
      <c r="E4217" s="21">
        <f>IF(D4217="?OLD","!!!","")</f>
        <v/>
      </c>
      <c r="F4217" s="22" t="str">
        <f>IF(OR(E4217="",E4217="!!!"),"",IF(NOT(ISNA(VLOOKUP(E4217,E$1:E4216,1,FALSE()))),"OLD",IF(AND(E4217&lt;&gt;"",E4217&lt;&gt;"!!!"),"NEW","")))</f>
        <v> </v>
      </c>
      <c r="G4217" s="23" t="str">
        <f>IF(OR(E4217="",E4217="!!!"),"",IF(OR(J4217=0,AND(J4217=1,K4217=1),AND(J4217=1,I4217="SBJ"),AND(J4217=1,I4217=0)),"?IN_FOCUS",IF(J4217&lt;=2,"?ACTIVATED",IF(J4217&lt;&gt;"","?FAMILIAR",IF(F4217="NEW",IF(ISNA(VLOOKUP(E4217,#REF!,1,FALSE())),"?TYPE_IDENTIFIABLE","?REFERENTIAL"),"_")))))</f>
        <v> </v>
      </c>
      <c r="H4217" s="24" t="str">
        <f>IF(J4217&lt;&gt;1,"",IF(I4217="SBJ","CB","?"))</f>
        <v> </v>
      </c>
      <c r="I4217" s="25" t="str">
        <f>IF(OR(E4217="",E4217="!!!",F4217="NEW"),"",INDEX(B4216:B$2,-1+SUMPRODUCT(MAX(ROW(E4216:E$2)*(E4217=E4216:E$2)))))</f>
        <v> </v>
      </c>
      <c r="J4217" s="25" t="str">
        <f>IF(OR(E4217="",E4217="!!!",F4217="NEW"),"",COUNTBLANK(OFFSET(A$1,,,SUMPRODUCT(MAX(ROW(E$2:E4217)*(E4217=E$2:E4217)))))-COUNTBLANK(OFFSET(A$1,,,SUMPRODUCT(MAX(ROW(E$1:E4216)*(E2=E$1:E4216))))))</f>
        <v> </v>
      </c>
      <c r="K4217" s="25" t="str">
        <f>IF(OR(E4217="",E4217="!!!",F4217="NEW"),"",INDEX(J$1:J4216,SUMPRODUCT(MAX(ROW(E$1:E4216)*(E4217=E$1:E4216)))))</f>
        <v> </v>
      </c>
      <c r="L4217" s="26"/>
    </row>
    <row r="4218" spans="1:12">
      <c r="A4218" s="20" t="s">
        <v>1974</v>
      </c>
      <c r="B4218" s="27" t="s">
        <v>787</v>
      </c>
      <c r="C4218" s="27" t="s">
        <v>780</v>
      </c>
      <c r="E4218" s="21">
        <f>IF(D4218="?OLD","!!!","")</f>
        <v/>
      </c>
      <c r="F4218" s="22" t="str">
        <f>IF(OR(E4218="",E4218="!!!"),"",IF(NOT(ISNA(VLOOKUP(E4218,E$1:E4217,1,FALSE()))),"OLD",IF(AND(E4218&lt;&gt;"",E4218&lt;&gt;"!!!"),"NEW","")))</f>
        <v> </v>
      </c>
      <c r="G4218" s="23" t="str">
        <f>IF(OR(E4218="",E4218="!!!"),"",IF(OR(J4218=0,AND(J4218=1,K4218=1),AND(J4218=1,I4218="SBJ"),AND(J4218=1,I4218=0)),"?IN_FOCUS",IF(J4218&lt;=2,"?ACTIVATED",IF(J4218&lt;&gt;"","?FAMILIAR",IF(F4218="NEW",IF(ISNA(VLOOKUP(E4218,#REF!,1,FALSE())),"?TYPE_IDENTIFIABLE","?REFERENTIAL"),"_")))))</f>
        <v> </v>
      </c>
      <c r="H4218" s="24" t="str">
        <f>IF(J4218&lt;&gt;1,"",IF(I4218="SBJ","CB","?"))</f>
        <v> </v>
      </c>
      <c r="I4218" s="25" t="str">
        <f>IF(OR(E4218="",E4218="!!!",F4218="NEW"),"",INDEX(B4217:B$2,-1+SUMPRODUCT(MAX(ROW(E4217:E$2)*(E4218=E4217:E$2)))))</f>
        <v> </v>
      </c>
      <c r="J4218" s="25" t="str">
        <f>IF(OR(E4218="",E4218="!!!",F4218="NEW"),"",COUNTBLANK(OFFSET(A$1,,,SUMPRODUCT(MAX(ROW(E$2:E4218)*(E4218=E$2:E4218)))))-COUNTBLANK(OFFSET(A$1,,,SUMPRODUCT(MAX(ROW(E$1:E4217)*(E2=E$1:E4217))))))</f>
        <v> </v>
      </c>
      <c r="K4218" s="25" t="str">
        <f>IF(OR(E4218="",E4218="!!!",F4218="NEW"),"",INDEX(J$1:J4217,SUMPRODUCT(MAX(ROW(E$1:E4217)*(E4218=E$1:E4217)))))</f>
        <v> </v>
      </c>
      <c r="L4218" s="26"/>
    </row>
    <row r="4219" spans="1:12">
      <c r="A4219" s="20" t="s">
        <v>87</v>
      </c>
      <c r="E4219" s="21">
        <f>IF(D4219="?OLD","!!!","")</f>
        <v/>
      </c>
      <c r="F4219" s="22" t="str">
        <f>IF(OR(E4219="",E4219="!!!"),"",IF(NOT(ISNA(VLOOKUP(E4219,E$1:E4218,1,FALSE()))),"OLD",IF(AND(E4219&lt;&gt;"",E4219&lt;&gt;"!!!"),"NEW","")))</f>
        <v> </v>
      </c>
      <c r="G4219" s="23" t="str">
        <f>IF(OR(E4219="",E4219="!!!"),"",IF(OR(J4219=0,AND(J4219=1,K4219=1),AND(J4219=1,I4219="SBJ"),AND(J4219=1,I4219=0)),"?IN_FOCUS",IF(J4219&lt;=2,"?ACTIVATED",IF(J4219&lt;&gt;"","?FAMILIAR",IF(F4219="NEW",IF(ISNA(VLOOKUP(E4219,#REF!,1,FALSE())),"?TYPE_IDENTIFIABLE","?REFERENTIAL"),"_")))))</f>
        <v> </v>
      </c>
      <c r="H4219" s="24" t="str">
        <f>IF(J4219&lt;&gt;1,"",IF(I4219="SBJ","CB","?"))</f>
        <v> </v>
      </c>
      <c r="I4219" s="25" t="str">
        <f>IF(OR(E4219="",E4219="!!!",F4219="NEW"),"",INDEX(B4218:B$2,-1+SUMPRODUCT(MAX(ROW(E4218:E$2)*(E4219=E4218:E$2)))))</f>
        <v> </v>
      </c>
      <c r="J4219" s="25" t="str">
        <f>IF(OR(E4219="",E4219="!!!",F4219="NEW"),"",COUNTBLANK(OFFSET(A$1,,,SUMPRODUCT(MAX(ROW(E$2:E4219)*(E4219=E$2:E4219)))))-COUNTBLANK(OFFSET(A$1,,,SUMPRODUCT(MAX(ROW(E$1:E4218)*(E2=E$1:E4218))))))</f>
        <v> </v>
      </c>
      <c r="K4219" s="25" t="str">
        <f>IF(OR(E4219="",E4219="!!!",F4219="NEW"),"",INDEX(J$1:J4218,SUMPRODUCT(MAX(ROW(E$1:E4218)*(E4219=E$1:E4218)))))</f>
        <v> </v>
      </c>
      <c r="L4219" s="26"/>
    </row>
    <row r="4220" spans="1:12">
      <c r="A4220" s="20" t="s">
        <v>1512</v>
      </c>
      <c r="E4220" s="21">
        <f>IF(D4220="?OLD","!!!","")</f>
        <v/>
      </c>
      <c r="F4220" s="22" t="str">
        <f>IF(OR(E4220="",E4220="!!!"),"",IF(NOT(ISNA(VLOOKUP(E4220,E$1:E4219,1,FALSE()))),"OLD",IF(AND(E4220&lt;&gt;"",E4220&lt;&gt;"!!!"),"NEW","")))</f>
        <v> </v>
      </c>
      <c r="G4220" s="23" t="str">
        <f>IF(OR(E4220="",E4220="!!!"),"",IF(OR(J4220=0,AND(J4220=1,K4220=1),AND(J4220=1,I4220="SBJ"),AND(J4220=1,I4220=0)),"?IN_FOCUS",IF(J4220&lt;=2,"?ACTIVATED",IF(J4220&lt;&gt;"","?FAMILIAR",IF(F4220="NEW",IF(ISNA(VLOOKUP(E4220,#REF!,1,FALSE())),"?TYPE_IDENTIFIABLE","?REFERENTIAL"),"_")))))</f>
        <v> </v>
      </c>
      <c r="H4220" s="24" t="str">
        <f>IF(J4220&lt;&gt;1,"",IF(I4220="SBJ","CB","?"))</f>
        <v> </v>
      </c>
      <c r="I4220" s="25" t="str">
        <f>IF(OR(E4220="",E4220="!!!",F4220="NEW"),"",INDEX(B4219:B$2,-1+SUMPRODUCT(MAX(ROW(E4219:E$2)*(E4220=E4219:E$2)))))</f>
        <v> </v>
      </c>
      <c r="J4220" s="25" t="str">
        <f>IF(OR(E4220="",E4220="!!!",F4220="NEW"),"",COUNTBLANK(OFFSET(A$1,,,SUMPRODUCT(MAX(ROW(E$2:E4220)*(E4220=E$2:E4220)))))-COUNTBLANK(OFFSET(A$1,,,SUMPRODUCT(MAX(ROW(E$1:E4219)*(E2=E$1:E4219))))))</f>
        <v> </v>
      </c>
      <c r="K4220" s="25" t="str">
        <f>IF(OR(E4220="",E4220="!!!",F4220="NEW"),"",INDEX(J$1:J4219,SUMPRODUCT(MAX(ROW(E$1:E4219)*(E4220=E$1:E4219)))))</f>
        <v> </v>
      </c>
      <c r="L4220" s="26"/>
    </row>
    <row r="4221" spans="1:12">
      <c r="A4221" s="20" t="s">
        <v>765</v>
      </c>
      <c r="E4221" s="21">
        <f>IF(D4221="?OLD","!!!","")</f>
        <v/>
      </c>
      <c r="F4221" s="22" t="str">
        <f>IF(OR(E4221="",E4221="!!!"),"",IF(NOT(ISNA(VLOOKUP(E4221,E$1:E4220,1,FALSE()))),"OLD",IF(AND(E4221&lt;&gt;"",E4221&lt;&gt;"!!!"),"NEW","")))</f>
        <v> </v>
      </c>
      <c r="G4221" s="23" t="str">
        <f>IF(OR(E4221="",E4221="!!!"),"",IF(OR(J4221=0,AND(J4221=1,K4221=1),AND(J4221=1,I4221="SBJ"),AND(J4221=1,I4221=0)),"?IN_FOCUS",IF(J4221&lt;=2,"?ACTIVATED",IF(J4221&lt;&gt;"","?FAMILIAR",IF(F4221="NEW",IF(ISNA(VLOOKUP(E4221,#REF!,1,FALSE())),"?TYPE_IDENTIFIABLE","?REFERENTIAL"),"_")))))</f>
        <v> </v>
      </c>
      <c r="H4221" s="24" t="str">
        <f>IF(J4221&lt;&gt;1,"",IF(I4221="SBJ","CB","?"))</f>
        <v> </v>
      </c>
      <c r="I4221" s="25" t="str">
        <f>IF(OR(E4221="",E4221="!!!",F4221="NEW"),"",INDEX(B4220:B$2,-1+SUMPRODUCT(MAX(ROW(E4220:E$2)*(E4221=E4220:E$2)))))</f>
        <v> </v>
      </c>
      <c r="J4221" s="25" t="str">
        <f>IF(OR(E4221="",E4221="!!!",F4221="NEW"),"",COUNTBLANK(OFFSET(A$1,,,SUMPRODUCT(MAX(ROW(E$2:E4221)*(E4221=E$2:E4221)))))-COUNTBLANK(OFFSET(A$1,,,SUMPRODUCT(MAX(ROW(E$1:E4220)*(E2=E$1:E4220))))))</f>
        <v> </v>
      </c>
      <c r="K4221" s="25" t="str">
        <f>IF(OR(E4221="",E4221="!!!",F4221="NEW"),"",INDEX(J$1:J4220,SUMPRODUCT(MAX(ROW(E$1:E4220)*(E4221=E$1:E4220)))))</f>
        <v> </v>
      </c>
      <c r="L4221" s="26"/>
    </row>
    <row r="4222" spans="1:12">
      <c r="A4222" s="20" t="s">
        <v>539</v>
      </c>
      <c r="E4222" s="21">
        <f>IF(D4222="?OLD","!!!","")</f>
        <v/>
      </c>
      <c r="F4222" s="22" t="str">
        <f>IF(OR(E4222="",E4222="!!!"),"",IF(NOT(ISNA(VLOOKUP(E4222,E$1:E4221,1,FALSE()))),"OLD",IF(AND(E4222&lt;&gt;"",E4222&lt;&gt;"!!!"),"NEW","")))</f>
        <v> </v>
      </c>
      <c r="G4222" s="23" t="str">
        <f>IF(OR(E4222="",E4222="!!!"),"",IF(OR(J4222=0,AND(J4222=1,K4222=1),AND(J4222=1,I4222="SBJ"),AND(J4222=1,I4222=0)),"?IN_FOCUS",IF(J4222&lt;=2,"?ACTIVATED",IF(J4222&lt;&gt;"","?FAMILIAR",IF(F4222="NEW",IF(ISNA(VLOOKUP(E4222,#REF!,1,FALSE())),"?TYPE_IDENTIFIABLE","?REFERENTIAL"),"_")))))</f>
        <v> </v>
      </c>
      <c r="H4222" s="24" t="str">
        <f>IF(J4222&lt;&gt;1,"",IF(I4222="SBJ","CB","?"))</f>
        <v> </v>
      </c>
      <c r="I4222" s="25" t="str">
        <f>IF(OR(E4222="",E4222="!!!",F4222="NEW"),"",INDEX(B4221:B$2,-1+SUMPRODUCT(MAX(ROW(E4221:E$2)*(E4222=E4221:E$2)))))</f>
        <v> </v>
      </c>
      <c r="J4222" s="25" t="str">
        <f>IF(OR(E4222="",E4222="!!!",F4222="NEW"),"",COUNTBLANK(OFFSET(A$1,,,SUMPRODUCT(MAX(ROW(E$2:E4222)*(E4222=E$2:E4222)))))-COUNTBLANK(OFFSET(A$1,,,SUMPRODUCT(MAX(ROW(E$1:E4221)*(E2=E$1:E4221))))))</f>
        <v> </v>
      </c>
      <c r="K4222" s="25" t="str">
        <f>IF(OR(E4222="",E4222="!!!",F4222="NEW"),"",INDEX(J$1:J4221,SUMPRODUCT(MAX(ROW(E$1:E4221)*(E4222=E$1:E4221)))))</f>
        <v> </v>
      </c>
      <c r="L4222" s="26"/>
    </row>
    <row r="4223" spans="1:12">
      <c r="A4223" s="20" t="s">
        <v>746</v>
      </c>
      <c r="E4223" s="21">
        <f>IF(D4223="?OLD","!!!","")</f>
        <v/>
      </c>
      <c r="F4223" s="22" t="str">
        <f>IF(OR(E4223="",E4223="!!!"),"",IF(NOT(ISNA(VLOOKUP(E4223,E$1:E4222,1,FALSE()))),"OLD",IF(AND(E4223&lt;&gt;"",E4223&lt;&gt;"!!!"),"NEW","")))</f>
        <v> </v>
      </c>
      <c r="G4223" s="23" t="str">
        <f>IF(OR(E4223="",E4223="!!!"),"",IF(OR(J4223=0,AND(J4223=1,K4223=1),AND(J4223=1,I4223="SBJ"),AND(J4223=1,I4223=0)),"?IN_FOCUS",IF(J4223&lt;=2,"?ACTIVATED",IF(J4223&lt;&gt;"","?FAMILIAR",IF(F4223="NEW",IF(ISNA(VLOOKUP(E4223,#REF!,1,FALSE())),"?TYPE_IDENTIFIABLE","?REFERENTIAL"),"_")))))</f>
        <v> </v>
      </c>
      <c r="H4223" s="24" t="str">
        <f>IF(J4223&lt;&gt;1,"",IF(I4223="SBJ","CB","?"))</f>
        <v> </v>
      </c>
      <c r="I4223" s="25" t="str">
        <f>IF(OR(E4223="",E4223="!!!",F4223="NEW"),"",INDEX(B4222:B$2,-1+SUMPRODUCT(MAX(ROW(E4222:E$2)*(E4223=E4222:E$2)))))</f>
        <v> </v>
      </c>
      <c r="J4223" s="25" t="str">
        <f>IF(OR(E4223="",E4223="!!!",F4223="NEW"),"",COUNTBLANK(OFFSET(A$1,,,SUMPRODUCT(MAX(ROW(E$2:E4223)*(E4223=E$2:E4223)))))-COUNTBLANK(OFFSET(A$1,,,SUMPRODUCT(MAX(ROW(E$1:E4222)*(E2=E$1:E4222))))))</f>
        <v> </v>
      </c>
      <c r="K4223" s="25" t="str">
        <f>IF(OR(E4223="",E4223="!!!",F4223="NEW"),"",INDEX(J$1:J4222,SUMPRODUCT(MAX(ROW(E$1:E4222)*(E4223=E$1:E4222)))))</f>
        <v> </v>
      </c>
      <c r="L4223" s="26"/>
    </row>
    <row r="4224" spans="1:12">
      <c r="A4224" s="20"/>
    </row>
    <row r="4225" spans="1:12">
      <c r="A4225" s="20" t="s">
        <v>1975</v>
      </c>
    </row>
    <row r="4226" spans="1:12">
      <c r="A4226" s="20" t="s">
        <v>813</v>
      </c>
      <c r="E4226" s="21">
        <f>IF(D4226="?OLD","!!!","")</f>
        <v/>
      </c>
      <c r="F4226" s="22" t="str">
        <f>IF(OR(E4226="",E4226="!!!"),"",IF(NOT(ISNA(VLOOKUP(E4226,E$1:E4225,1,FALSE()))),"OLD",IF(AND(E4226&lt;&gt;"",E4226&lt;&gt;"!!!"),"NEW","")))</f>
        <v> </v>
      </c>
      <c r="G4226" s="23" t="str">
        <f>IF(OR(E4226="",E4226="!!!"),"",IF(OR(J4226=0,AND(J4226=1,K4226=1),AND(J4226=1,I4226="SBJ"),AND(J4226=1,I4226=0)),"?IN_FOCUS",IF(J4226&lt;=2,"?ACTIVATED",IF(J4226&lt;&gt;"","?FAMILIAR",IF(F4226="NEW",IF(ISNA(VLOOKUP(E4226,#REF!,1,FALSE())),"?TYPE_IDENTIFIABLE","?REFERENTIAL"),"_")))))</f>
        <v> </v>
      </c>
      <c r="H4226" s="24" t="str">
        <f>IF(J4226&lt;&gt;1,"",IF(I4226="SBJ","CB","?"))</f>
        <v> </v>
      </c>
      <c r="I4226" s="25" t="str">
        <f>IF(OR(E4226="",E4226="!!!",F4226="NEW"),"",INDEX(B4225:B$2,-1+SUMPRODUCT(MAX(ROW(E4225:E$2)*(E4226=E4225:E$2)))))</f>
        <v> </v>
      </c>
      <c r="J4226" s="25" t="str">
        <f>IF(OR(E4226="",E4226="!!!",F4226="NEW"),"",COUNTBLANK(OFFSET(A$1,,,SUMPRODUCT(MAX(ROW(E$2:E4226)*(E4226=E$2:E4226)))))-COUNTBLANK(OFFSET(A$1,,,SUMPRODUCT(MAX(ROW(E$1:E4225)*(E2=E$1:E4225))))))</f>
        <v> </v>
      </c>
      <c r="K4226" s="25" t="str">
        <f>IF(OR(E4226="",E4226="!!!",F4226="NEW"),"",INDEX(J$1:J4225,SUMPRODUCT(MAX(ROW(E$1:E4225)*(E4226=E$1:E4225)))))</f>
        <v> </v>
      </c>
      <c r="L4226" s="26"/>
    </row>
    <row r="4227" spans="1:12">
      <c r="A4227" s="20" t="s">
        <v>807</v>
      </c>
      <c r="B4227" s="27" t="s">
        <v>728</v>
      </c>
      <c r="C4227" s="27" t="s">
        <v>749</v>
      </c>
      <c r="D4227" s="27" t="s">
        <v>740</v>
      </c>
      <c r="E4227" s="21">
        <f>IF(D4227="?OLD","!!!","")</f>
        <v/>
      </c>
      <c r="F4227" s="22" t="str">
        <f>IF(OR(E4227="",E4227="!!!"),"",IF(NOT(ISNA(VLOOKUP(E4227,E$1:E4226,1,FALSE()))),"OLD",IF(AND(E4227&lt;&gt;"",E4227&lt;&gt;"!!!"),"NEW","")))</f>
        <v> </v>
      </c>
      <c r="G4227" s="23" t="str">
        <f>IF(OR(E4227="",E4227="!!!"),"",IF(OR(J4227=0,AND(J4227=1,K4227=1),AND(J4227=1,I4227="SBJ"),AND(J4227=1,I4227=0)),"?IN_FOCUS",IF(J4227&lt;=2,"?ACTIVATED",IF(J4227&lt;&gt;"","?FAMILIAR",IF(F4227="NEW",IF(ISNA(VLOOKUP(E4227,#REF!,1,FALSE())),"?TYPE_IDENTIFIABLE","?REFERENTIAL"),"_")))))</f>
        <v> </v>
      </c>
      <c r="H4227" s="24" t="str">
        <f>IF(J4227&lt;&gt;1,"",IF(I4227="SBJ","CB","?"))</f>
        <v> </v>
      </c>
      <c r="I4227" s="25" t="str">
        <f>IF(OR(E4227="",E4227="!!!",F4227="NEW"),"",INDEX(B4226:B$2,-1+SUMPRODUCT(MAX(ROW(E4226:E$2)*(E4227=E4226:E$2)))))</f>
        <v> </v>
      </c>
      <c r="J4227" s="25" t="str">
        <f>IF(OR(E4227="",E4227="!!!",F4227="NEW"),"",COUNTBLANK(OFFSET(A$1,,,SUMPRODUCT(MAX(ROW(E$2:E4227)*(E4227=E$2:E4227)))))-COUNTBLANK(OFFSET(A$1,,,SUMPRODUCT(MAX(ROW(E$1:E4226)*(E2=E$1:E4226))))))</f>
        <v> </v>
      </c>
      <c r="K4227" s="25" t="str">
        <f>IF(OR(E4227="",E4227="!!!",F4227="NEW"),"",INDEX(J$1:J4226,SUMPRODUCT(MAX(ROW(E$1:E4226)*(E4227=E$1:E4226)))))</f>
        <v> </v>
      </c>
      <c r="L4227" s="26"/>
    </row>
    <row r="4228" spans="1:12">
      <c r="A4228" s="20" t="s">
        <v>1976</v>
      </c>
      <c r="E4228" s="21">
        <f>IF(D4228="?OLD","!!!","")</f>
        <v/>
      </c>
      <c r="F4228" s="22" t="str">
        <f>IF(OR(E4228="",E4228="!!!"),"",IF(NOT(ISNA(VLOOKUP(E4228,E$1:E4227,1,FALSE()))),"OLD",IF(AND(E4228&lt;&gt;"",E4228&lt;&gt;"!!!"),"NEW","")))</f>
        <v> </v>
      </c>
      <c r="G4228" s="23" t="str">
        <f>IF(OR(E4228="",E4228="!!!"),"",IF(OR(J4228=0,AND(J4228=1,K4228=1),AND(J4228=1,I4228="SBJ"),AND(J4228=1,I4228=0)),"?IN_FOCUS",IF(J4228&lt;=2,"?ACTIVATED",IF(J4228&lt;&gt;"","?FAMILIAR",IF(F4228="NEW",IF(ISNA(VLOOKUP(E4228,#REF!,1,FALSE())),"?TYPE_IDENTIFIABLE","?REFERENTIAL"),"_")))))</f>
        <v> </v>
      </c>
      <c r="H4228" s="24" t="str">
        <f>IF(J4228&lt;&gt;1,"",IF(I4228="SBJ","CB","?"))</f>
        <v> </v>
      </c>
      <c r="I4228" s="25" t="str">
        <f>IF(OR(E4228="",E4228="!!!",F4228="NEW"),"",INDEX(B4227:B$2,-1+SUMPRODUCT(MAX(ROW(E4227:E$2)*(E4228=E4227:E$2)))))</f>
        <v> </v>
      </c>
      <c r="J4228" s="25" t="str">
        <f>IF(OR(E4228="",E4228="!!!",F4228="NEW"),"",COUNTBLANK(OFFSET(A$1,,,SUMPRODUCT(MAX(ROW(E$2:E4228)*(E4228=E$2:E4228)))))-COUNTBLANK(OFFSET(A$1,,,SUMPRODUCT(MAX(ROW(E$1:E4227)*(E2=E$1:E4227))))))</f>
        <v> </v>
      </c>
      <c r="K4228" s="25" t="str">
        <f>IF(OR(E4228="",E4228="!!!",F4228="NEW"),"",INDEX(J$1:J4227,SUMPRODUCT(MAX(ROW(E$1:E4227)*(E4228=E$1:E4227)))))</f>
        <v> </v>
      </c>
      <c r="L4228" s="26"/>
    </row>
    <row r="4229" spans="1:12">
      <c r="A4229" s="20" t="s">
        <v>781</v>
      </c>
      <c r="B4229" s="27" t="s">
        <v>733</v>
      </c>
      <c r="C4229" s="27" t="s">
        <v>775</v>
      </c>
      <c r="D4229" s="27" t="s">
        <v>740</v>
      </c>
      <c r="E4229" s="21">
        <f>IF(D4229="?OLD","!!!","")</f>
        <v/>
      </c>
      <c r="F4229" s="22" t="str">
        <f>IF(OR(E4229="",E4229="!!!"),"",IF(NOT(ISNA(VLOOKUP(E4229,E$1:E4228,1,FALSE()))),"OLD",IF(AND(E4229&lt;&gt;"",E4229&lt;&gt;"!!!"),"NEW","")))</f>
        <v> </v>
      </c>
      <c r="G4229" s="23" t="str">
        <f>IF(OR(E4229="",E4229="!!!"),"",IF(OR(J4229=0,AND(J4229=1,K4229=1),AND(J4229=1,I4229="SBJ"),AND(J4229=1,I4229=0)),"?IN_FOCUS",IF(J4229&lt;=2,"?ACTIVATED",IF(J4229&lt;&gt;"","?FAMILIAR",IF(F4229="NEW",IF(ISNA(VLOOKUP(E4229,#REF!,1,FALSE())),"?TYPE_IDENTIFIABLE","?REFERENTIAL"),"_")))))</f>
        <v> </v>
      </c>
      <c r="H4229" s="24" t="str">
        <f>IF(J4229&lt;&gt;1,"",IF(I4229="SBJ","CB","?"))</f>
        <v> </v>
      </c>
      <c r="I4229" s="25" t="str">
        <f>IF(OR(E4229="",E4229="!!!",F4229="NEW"),"",INDEX(B4228:B$2,-1+SUMPRODUCT(MAX(ROW(E4228:E$2)*(E4229=E4228:E$2)))))</f>
        <v> </v>
      </c>
      <c r="J4229" s="25" t="str">
        <f>IF(OR(E4229="",E4229="!!!",F4229="NEW"),"",COUNTBLANK(OFFSET(A$1,,,SUMPRODUCT(MAX(ROW(E$2:E4229)*(E4229=E$2:E4229)))))-COUNTBLANK(OFFSET(A$1,,,SUMPRODUCT(MAX(ROW(E$1:E4228)*(E2=E$1:E4228))))))</f>
        <v> </v>
      </c>
      <c r="K4229" s="25" t="str">
        <f>IF(OR(E4229="",E4229="!!!",F4229="NEW"),"",INDEX(J$1:J4228,SUMPRODUCT(MAX(ROW(E$1:E4228)*(E4229=E$1:E4228)))))</f>
        <v> </v>
      </c>
      <c r="L4229" s="26"/>
    </row>
    <row r="4230" spans="1:12">
      <c r="A4230" s="20" t="s">
        <v>1977</v>
      </c>
      <c r="E4230" s="21">
        <f>IF(D4230="?OLD","!!!","")</f>
        <v/>
      </c>
      <c r="F4230" s="22" t="str">
        <f>IF(OR(E4230="",E4230="!!!"),"",IF(NOT(ISNA(VLOOKUP(E4230,E$1:E4229,1,FALSE()))),"OLD",IF(AND(E4230&lt;&gt;"",E4230&lt;&gt;"!!!"),"NEW","")))</f>
        <v> </v>
      </c>
      <c r="G4230" s="23" t="str">
        <f>IF(OR(E4230="",E4230="!!!"),"",IF(OR(J4230=0,AND(J4230=1,K4230=1),AND(J4230=1,I4230="SBJ"),AND(J4230=1,I4230=0)),"?IN_FOCUS",IF(J4230&lt;=2,"?ACTIVATED",IF(J4230&lt;&gt;"","?FAMILIAR",IF(F4230="NEW",IF(ISNA(VLOOKUP(E4230,#REF!,1,FALSE())),"?TYPE_IDENTIFIABLE","?REFERENTIAL"),"_")))))</f>
        <v> </v>
      </c>
      <c r="H4230" s="24" t="str">
        <f>IF(J4230&lt;&gt;1,"",IF(I4230="SBJ","CB","?"))</f>
        <v> </v>
      </c>
      <c r="I4230" s="25" t="str">
        <f>IF(OR(E4230="",E4230="!!!",F4230="NEW"),"",INDEX(B4229:B$2,-1+SUMPRODUCT(MAX(ROW(E4229:E$2)*(E4230=E4229:E$2)))))</f>
        <v> </v>
      </c>
      <c r="J4230" s="25" t="str">
        <f>IF(OR(E4230="",E4230="!!!",F4230="NEW"),"",COUNTBLANK(OFFSET(A$1,,,SUMPRODUCT(MAX(ROW(E$2:E4230)*(E4230=E$2:E4230)))))-COUNTBLANK(OFFSET(A$1,,,SUMPRODUCT(MAX(ROW(E$1:E4229)*(E2=E$1:E4229))))))</f>
        <v> </v>
      </c>
      <c r="K4230" s="25" t="str">
        <f>IF(OR(E4230="",E4230="!!!",F4230="NEW"),"",INDEX(J$1:J4229,SUMPRODUCT(MAX(ROW(E$1:E4229)*(E4230=E$1:E4229)))))</f>
        <v> </v>
      </c>
      <c r="L4230" s="26"/>
    </row>
    <row r="4231" spans="1:12">
      <c r="A4231" s="20" t="s">
        <v>1978</v>
      </c>
      <c r="B4231" s="27" t="s">
        <v>738</v>
      </c>
      <c r="C4231" s="27" t="s">
        <v>780</v>
      </c>
      <c r="E4231" s="21">
        <f>IF(D4231="?OLD","!!!","")</f>
        <v/>
      </c>
      <c r="F4231" s="22" t="str">
        <f>IF(OR(E4231="",E4231="!!!"),"",IF(NOT(ISNA(VLOOKUP(E4231,E$1:E4230,1,FALSE()))),"OLD",IF(AND(E4231&lt;&gt;"",E4231&lt;&gt;"!!!"),"NEW","")))</f>
        <v> </v>
      </c>
      <c r="G4231" s="23" t="str">
        <f>IF(OR(E4231="",E4231="!!!"),"",IF(OR(J4231=0,AND(J4231=1,K4231=1),AND(J4231=1,I4231="SBJ"),AND(J4231=1,I4231=0)),"?IN_FOCUS",IF(J4231&lt;=2,"?ACTIVATED",IF(J4231&lt;&gt;"","?FAMILIAR",IF(F4231="NEW",IF(ISNA(VLOOKUP(E4231,#REF!,1,FALSE())),"?TYPE_IDENTIFIABLE","?REFERENTIAL"),"_")))))</f>
        <v> </v>
      </c>
      <c r="H4231" s="24" t="str">
        <f>IF(J4231&lt;&gt;1,"",IF(I4231="SBJ","CB","?"))</f>
        <v> </v>
      </c>
      <c r="I4231" s="25" t="str">
        <f>IF(OR(E4231="",E4231="!!!",F4231="NEW"),"",INDEX(B4230:B$2,-1+SUMPRODUCT(MAX(ROW(E4230:E$2)*(E4231=E4230:E$2)))))</f>
        <v> </v>
      </c>
      <c r="J4231" s="25" t="str">
        <f>IF(OR(E4231="",E4231="!!!",F4231="NEW"),"",COUNTBLANK(OFFSET(A$1,,,SUMPRODUCT(MAX(ROW(E$2:E4231)*(E4231=E$2:E4231)))))-COUNTBLANK(OFFSET(A$1,,,SUMPRODUCT(MAX(ROW(E$1:E4230)*(E2=E$1:E4230))))))</f>
        <v> </v>
      </c>
      <c r="K4231" s="25" t="str">
        <f>IF(OR(E4231="",E4231="!!!",F4231="NEW"),"",INDEX(J$1:J4230,SUMPRODUCT(MAX(ROW(E$1:E4230)*(E4231=E$1:E4230)))))</f>
        <v> </v>
      </c>
      <c r="L4231" s="26"/>
    </row>
    <row r="4232" spans="1:12">
      <c r="A4232" s="20" t="s">
        <v>818</v>
      </c>
      <c r="E4232" s="21">
        <f>IF(D4232="?OLD","!!!","")</f>
        <v/>
      </c>
      <c r="F4232" s="22" t="str">
        <f>IF(OR(E4232="",E4232="!!!"),"",IF(NOT(ISNA(VLOOKUP(E4232,E$1:E4231,1,FALSE()))),"OLD",IF(AND(E4232&lt;&gt;"",E4232&lt;&gt;"!!!"),"NEW","")))</f>
        <v> </v>
      </c>
      <c r="G4232" s="23" t="str">
        <f>IF(OR(E4232="",E4232="!!!"),"",IF(OR(J4232=0,AND(J4232=1,K4232=1),AND(J4232=1,I4232="SBJ"),AND(J4232=1,I4232=0)),"?IN_FOCUS",IF(J4232&lt;=2,"?ACTIVATED",IF(J4232&lt;&gt;"","?FAMILIAR",IF(F4232="NEW",IF(ISNA(VLOOKUP(E4232,#REF!,1,FALSE())),"?TYPE_IDENTIFIABLE","?REFERENTIAL"),"_")))))</f>
        <v> </v>
      </c>
      <c r="H4232" s="24" t="str">
        <f>IF(J4232&lt;&gt;1,"",IF(I4232="SBJ","CB","?"))</f>
        <v> </v>
      </c>
      <c r="I4232" s="25" t="str">
        <f>IF(OR(E4232="",E4232="!!!",F4232="NEW"),"",INDEX(B4231:B$2,-1+SUMPRODUCT(MAX(ROW(E4231:E$2)*(E4232=E4231:E$2)))))</f>
        <v> </v>
      </c>
      <c r="J4232" s="25" t="str">
        <f>IF(OR(E4232="",E4232="!!!",F4232="NEW"),"",COUNTBLANK(OFFSET(A$1,,,SUMPRODUCT(MAX(ROW(E$2:E4232)*(E4232=E$2:E4232)))))-COUNTBLANK(OFFSET(A$1,,,SUMPRODUCT(MAX(ROW(E$1:E4231)*(E2=E$1:E4231))))))</f>
        <v> </v>
      </c>
      <c r="K4232" s="25" t="str">
        <f>IF(OR(E4232="",E4232="!!!",F4232="NEW"),"",INDEX(J$1:J4231,SUMPRODUCT(MAX(ROW(E$1:E4231)*(E4232=E$1:E4231)))))</f>
        <v> </v>
      </c>
      <c r="L4232" s="26"/>
    </row>
    <row r="4233" spans="1:12">
      <c r="A4233" s="20" t="s">
        <v>911</v>
      </c>
      <c r="B4233" s="27" t="s">
        <v>733</v>
      </c>
      <c r="C4233" s="27" t="s">
        <v>739</v>
      </c>
      <c r="D4233" s="27" t="s">
        <v>740</v>
      </c>
      <c r="E4233" s="21">
        <f>IF(D4233="?OLD","!!!","")</f>
        <v/>
      </c>
      <c r="F4233" s="22" t="str">
        <f>IF(OR(E4233="",E4233="!!!"),"",IF(NOT(ISNA(VLOOKUP(E4233,E$1:E4232,1,FALSE()))),"OLD",IF(AND(E4233&lt;&gt;"",E4233&lt;&gt;"!!!"),"NEW","")))</f>
        <v> </v>
      </c>
      <c r="G4233" s="23" t="str">
        <f>IF(OR(E4233="",E4233="!!!"),"",IF(OR(J4233=0,AND(J4233=1,K4233=1),AND(J4233=1,I4233="SBJ"),AND(J4233=1,I4233=0)),"?IN_FOCUS",IF(J4233&lt;=2,"?ACTIVATED",IF(J4233&lt;&gt;"","?FAMILIAR",IF(F4233="NEW",IF(ISNA(VLOOKUP(E4233,#REF!,1,FALSE())),"?TYPE_IDENTIFIABLE","?REFERENTIAL"),"_")))))</f>
        <v> </v>
      </c>
      <c r="H4233" s="24" t="str">
        <f>IF(J4233&lt;&gt;1,"",IF(I4233="SBJ","CB","?"))</f>
        <v> </v>
      </c>
      <c r="I4233" s="25" t="str">
        <f>IF(OR(E4233="",E4233="!!!",F4233="NEW"),"",INDEX(B4232:B$2,-1+SUMPRODUCT(MAX(ROW(E4232:E$2)*(E4233=E4232:E$2)))))</f>
        <v> </v>
      </c>
      <c r="J4233" s="25" t="str">
        <f>IF(OR(E4233="",E4233="!!!",F4233="NEW"),"",COUNTBLANK(OFFSET(A$1,,,SUMPRODUCT(MAX(ROW(E$2:E4233)*(E4233=E$2:E4233)))))-COUNTBLANK(OFFSET(A$1,,,SUMPRODUCT(MAX(ROW(E$1:E4232)*(E2=E$1:E4232))))))</f>
        <v> </v>
      </c>
      <c r="K4233" s="25" t="str">
        <f>IF(OR(E4233="",E4233="!!!",F4233="NEW"),"",INDEX(J$1:J4232,SUMPRODUCT(MAX(ROW(E$1:E4232)*(E4233=E$1:E4232)))))</f>
        <v> </v>
      </c>
      <c r="L4233" s="26"/>
    </row>
    <row r="4234" spans="1:12">
      <c r="A4234" s="20" t="s">
        <v>753</v>
      </c>
      <c r="E4234" s="21">
        <f>IF(D4234="?OLD","!!!","")</f>
        <v/>
      </c>
      <c r="F4234" s="22" t="str">
        <f>IF(OR(E4234="",E4234="!!!"),"",IF(NOT(ISNA(VLOOKUP(E4234,E$1:E4233,1,FALSE()))),"OLD",IF(AND(E4234&lt;&gt;"",E4234&lt;&gt;"!!!"),"NEW","")))</f>
        <v> </v>
      </c>
      <c r="G4234" s="23" t="str">
        <f>IF(OR(E4234="",E4234="!!!"),"",IF(OR(J4234=0,AND(J4234=1,K4234=1),AND(J4234=1,I4234="SBJ"),AND(J4234=1,I4234=0)),"?IN_FOCUS",IF(J4234&lt;=2,"?ACTIVATED",IF(J4234&lt;&gt;"","?FAMILIAR",IF(F4234="NEW",IF(ISNA(VLOOKUP(E4234,#REF!,1,FALSE())),"?TYPE_IDENTIFIABLE","?REFERENTIAL"),"_")))))</f>
        <v> </v>
      </c>
      <c r="H4234" s="24" t="str">
        <f>IF(J4234&lt;&gt;1,"",IF(I4234="SBJ","CB","?"))</f>
        <v> </v>
      </c>
      <c r="I4234" s="25" t="str">
        <f>IF(OR(E4234="",E4234="!!!",F4234="NEW"),"",INDEX(B4233:B$2,-1+SUMPRODUCT(MAX(ROW(E4233:E$2)*(E4234=E4233:E$2)))))</f>
        <v> </v>
      </c>
      <c r="J4234" s="25" t="str">
        <f>IF(OR(E4234="",E4234="!!!",F4234="NEW"),"",COUNTBLANK(OFFSET(A$1,,,SUMPRODUCT(MAX(ROW(E$2:E4234)*(E4234=E$2:E4234)))))-COUNTBLANK(OFFSET(A$1,,,SUMPRODUCT(MAX(ROW(E$1:E4233)*(E2=E$1:E4233))))))</f>
        <v> </v>
      </c>
      <c r="K4234" s="25" t="str">
        <f>IF(OR(E4234="",E4234="!!!",F4234="NEW"),"",INDEX(J$1:J4233,SUMPRODUCT(MAX(ROW(E$1:E4233)*(E4234=E$1:E4233)))))</f>
        <v> </v>
      </c>
      <c r="L4234" s="26"/>
    </row>
    <row r="4235" spans="1:12">
      <c r="A4235" s="20" t="s">
        <v>790</v>
      </c>
      <c r="E4235" s="21">
        <f>IF(D4235="?OLD","!!!","")</f>
        <v/>
      </c>
      <c r="F4235" s="22" t="str">
        <f>IF(OR(E4235="",E4235="!!!"),"",IF(NOT(ISNA(VLOOKUP(E4235,E$1:E4234,1,FALSE()))),"OLD",IF(AND(E4235&lt;&gt;"",E4235&lt;&gt;"!!!"),"NEW","")))</f>
        <v> </v>
      </c>
      <c r="G4235" s="23" t="str">
        <f>IF(OR(E4235="",E4235="!!!"),"",IF(OR(J4235=0,AND(J4235=1,K4235=1),AND(J4235=1,I4235="SBJ"),AND(J4235=1,I4235=0)),"?IN_FOCUS",IF(J4235&lt;=2,"?ACTIVATED",IF(J4235&lt;&gt;"","?FAMILIAR",IF(F4235="NEW",IF(ISNA(VLOOKUP(E4235,#REF!,1,FALSE())),"?TYPE_IDENTIFIABLE","?REFERENTIAL"),"_")))))</f>
        <v> </v>
      </c>
      <c r="H4235" s="24" t="str">
        <f>IF(J4235&lt;&gt;1,"",IF(I4235="SBJ","CB","?"))</f>
        <v> </v>
      </c>
      <c r="I4235" s="25" t="str">
        <f>IF(OR(E4235="",E4235="!!!",F4235="NEW"),"",INDEX(B4234:B$2,-1+SUMPRODUCT(MAX(ROW(E4234:E$2)*(E4235=E4234:E$2)))))</f>
        <v> </v>
      </c>
      <c r="J4235" s="25" t="str">
        <f>IF(OR(E4235="",E4235="!!!",F4235="NEW"),"",COUNTBLANK(OFFSET(A$1,,,SUMPRODUCT(MAX(ROW(E$2:E4235)*(E4235=E$2:E4235)))))-COUNTBLANK(OFFSET(A$1,,,SUMPRODUCT(MAX(ROW(E$1:E4234)*(E2=E$1:E4234))))))</f>
        <v> </v>
      </c>
      <c r="K4235" s="25" t="str">
        <f>IF(OR(E4235="",E4235="!!!",F4235="NEW"),"",INDEX(J$1:J4234,SUMPRODUCT(MAX(ROW(E$1:E4234)*(E4235=E$1:E4234)))))</f>
        <v> </v>
      </c>
      <c r="L4235" s="26"/>
    </row>
    <row r="4236" spans="1:12">
      <c r="A4236" s="20" t="s">
        <v>1217</v>
      </c>
      <c r="B4236" s="27" t="s">
        <v>777</v>
      </c>
      <c r="C4236" s="27" t="s">
        <v>775</v>
      </c>
      <c r="D4236" s="27" t="s">
        <v>740</v>
      </c>
      <c r="E4236" s="21">
        <f>IF(D4236="?OLD","!!!","")</f>
        <v/>
      </c>
      <c r="F4236" s="22" t="str">
        <f>IF(OR(E4236="",E4236="!!!"),"",IF(NOT(ISNA(VLOOKUP(E4236,E$1:E4235,1,FALSE()))),"OLD",IF(AND(E4236&lt;&gt;"",E4236&lt;&gt;"!!!"),"NEW","")))</f>
        <v> </v>
      </c>
      <c r="G4236" s="23" t="str">
        <f>IF(OR(E4236="",E4236="!!!"),"",IF(OR(J4236=0,AND(J4236=1,K4236=1),AND(J4236=1,I4236="SBJ"),AND(J4236=1,I4236=0)),"?IN_FOCUS",IF(J4236&lt;=2,"?ACTIVATED",IF(J4236&lt;&gt;"","?FAMILIAR",IF(F4236="NEW",IF(ISNA(VLOOKUP(E4236,#REF!,1,FALSE())),"?TYPE_IDENTIFIABLE","?REFERENTIAL"),"_")))))</f>
        <v> </v>
      </c>
      <c r="H4236" s="24" t="str">
        <f>IF(J4236&lt;&gt;1,"",IF(I4236="SBJ","CB","?"))</f>
        <v> </v>
      </c>
      <c r="I4236" s="25" t="str">
        <f>IF(OR(E4236="",E4236="!!!",F4236="NEW"),"",INDEX(B4235:B$2,-1+SUMPRODUCT(MAX(ROW(E4235:E$2)*(E4236=E4235:E$2)))))</f>
        <v> </v>
      </c>
      <c r="J4236" s="25" t="str">
        <f>IF(OR(E4236="",E4236="!!!",F4236="NEW"),"",COUNTBLANK(OFFSET(A$1,,,SUMPRODUCT(MAX(ROW(E$2:E4236)*(E4236=E$2:E4236)))))-COUNTBLANK(OFFSET(A$1,,,SUMPRODUCT(MAX(ROW(E$1:E4235)*(E2=E$1:E4235))))))</f>
        <v> </v>
      </c>
      <c r="K4236" s="25" t="str">
        <f>IF(OR(E4236="",E4236="!!!",F4236="NEW"),"",INDEX(J$1:J4235,SUMPRODUCT(MAX(ROW(E$1:E4235)*(E4236=E$1:E4235)))))</f>
        <v> </v>
      </c>
      <c r="L4236" s="26"/>
    </row>
    <row r="4237" spans="1:12">
      <c r="A4237" s="20" t="s">
        <v>753</v>
      </c>
      <c r="E4237" s="21">
        <f>IF(D4237="?OLD","!!!","")</f>
        <v/>
      </c>
      <c r="F4237" s="22" t="str">
        <f>IF(OR(E4237="",E4237="!!!"),"",IF(NOT(ISNA(VLOOKUP(E4237,E$1:E4236,1,FALSE()))),"OLD",IF(AND(E4237&lt;&gt;"",E4237&lt;&gt;"!!!"),"NEW","")))</f>
        <v> </v>
      </c>
      <c r="G4237" s="23" t="str">
        <f>IF(OR(E4237="",E4237="!!!"),"",IF(OR(J4237=0,AND(J4237=1,K4237=1),AND(J4237=1,I4237="SBJ"),AND(J4237=1,I4237=0)),"?IN_FOCUS",IF(J4237&lt;=2,"?ACTIVATED",IF(J4237&lt;&gt;"","?FAMILIAR",IF(F4237="NEW",IF(ISNA(VLOOKUP(E4237,#REF!,1,FALSE())),"?TYPE_IDENTIFIABLE","?REFERENTIAL"),"_")))))</f>
        <v> </v>
      </c>
      <c r="H4237" s="24" t="str">
        <f>IF(J4237&lt;&gt;1,"",IF(I4237="SBJ","CB","?"))</f>
        <v> </v>
      </c>
      <c r="I4237" s="25" t="str">
        <f>IF(OR(E4237="",E4237="!!!",F4237="NEW"),"",INDEX(B4236:B$2,-1+SUMPRODUCT(MAX(ROW(E4236:E$2)*(E4237=E4236:E$2)))))</f>
        <v> </v>
      </c>
      <c r="J4237" s="25" t="str">
        <f>IF(OR(E4237="",E4237="!!!",F4237="NEW"),"",COUNTBLANK(OFFSET(A$1,,,SUMPRODUCT(MAX(ROW(E$2:E4237)*(E4237=E$2:E4237)))))-COUNTBLANK(OFFSET(A$1,,,SUMPRODUCT(MAX(ROW(E$1:E4236)*(E2=E$1:E4236))))))</f>
        <v> </v>
      </c>
      <c r="K4237" s="25" t="str">
        <f>IF(OR(E4237="",E4237="!!!",F4237="NEW"),"",INDEX(J$1:J4236,SUMPRODUCT(MAX(ROW(E$1:E4236)*(E4237=E$1:E4236)))))</f>
        <v> </v>
      </c>
      <c r="L4237" s="26"/>
    </row>
    <row r="4238" spans="1:12">
      <c r="A4238" s="20" t="s">
        <v>736</v>
      </c>
      <c r="B4238" s="27" t="s">
        <v>935</v>
      </c>
      <c r="E4238" s="21">
        <f>IF(D4238="?OLD","!!!","")</f>
        <v/>
      </c>
      <c r="F4238" s="22" t="str">
        <f>IF(OR(E4238="",E4238="!!!"),"",IF(NOT(ISNA(VLOOKUP(E4238,E$1:E4237,1,FALSE()))),"OLD",IF(AND(E4238&lt;&gt;"",E4238&lt;&gt;"!!!"),"NEW","")))</f>
        <v> </v>
      </c>
      <c r="G4238" s="23" t="str">
        <f>IF(OR(E4238="",E4238="!!!"),"",IF(OR(J4238=0,AND(J4238=1,K4238=1),AND(J4238=1,I4238="SBJ"),AND(J4238=1,I4238=0)),"?IN_FOCUS",IF(J4238&lt;=2,"?ACTIVATED",IF(J4238&lt;&gt;"","?FAMILIAR",IF(F4238="NEW",IF(ISNA(VLOOKUP(E4238,#REF!,1,FALSE())),"?TYPE_IDENTIFIABLE","?REFERENTIAL"),"_")))))</f>
        <v> </v>
      </c>
      <c r="H4238" s="24" t="str">
        <f>IF(J4238&lt;&gt;1,"",IF(I4238="SBJ","CB","?"))</f>
        <v> </v>
      </c>
      <c r="I4238" s="25" t="str">
        <f>IF(OR(E4238="",E4238="!!!",F4238="NEW"),"",INDEX(B4237:B$2,-1+SUMPRODUCT(MAX(ROW(E4237:E$2)*(E4238=E4237:E$2)))))</f>
        <v> </v>
      </c>
      <c r="J4238" s="25" t="str">
        <f>IF(OR(E4238="",E4238="!!!",F4238="NEW"),"",COUNTBLANK(OFFSET(A$1,,,SUMPRODUCT(MAX(ROW(E$2:E4238)*(E4238=E$2:E4238)))))-COUNTBLANK(OFFSET(A$1,,,SUMPRODUCT(MAX(ROW(E$1:E4237)*(E2=E$1:E4237))))))</f>
        <v> </v>
      </c>
      <c r="K4238" s="25" t="str">
        <f>IF(OR(E4238="",E4238="!!!",F4238="NEW"),"",INDEX(J$1:J4237,SUMPRODUCT(MAX(ROW(E$1:E4237)*(E4238=E$1:E4237)))))</f>
        <v> </v>
      </c>
      <c r="L4238" s="26"/>
    </row>
    <row r="4239" spans="1:12">
      <c r="A4239" s="20" t="s">
        <v>1979</v>
      </c>
      <c r="E4239" s="21">
        <f>IF(D4239="?OLD","!!!","")</f>
        <v/>
      </c>
      <c r="F4239" s="22" t="str">
        <f>IF(OR(E4239="",E4239="!!!"),"",IF(NOT(ISNA(VLOOKUP(E4239,E$1:E4238,1,FALSE()))),"OLD",IF(AND(E4239&lt;&gt;"",E4239&lt;&gt;"!!!"),"NEW","")))</f>
        <v> </v>
      </c>
      <c r="G4239" s="23" t="str">
        <f>IF(OR(E4239="",E4239="!!!"),"",IF(OR(J4239=0,AND(J4239=1,K4239=1),AND(J4239=1,I4239="SBJ"),AND(J4239=1,I4239=0)),"?IN_FOCUS",IF(J4239&lt;=2,"?ACTIVATED",IF(J4239&lt;&gt;"","?FAMILIAR",IF(F4239="NEW",IF(ISNA(VLOOKUP(E4239,#REF!,1,FALSE())),"?TYPE_IDENTIFIABLE","?REFERENTIAL"),"_")))))</f>
        <v> </v>
      </c>
      <c r="H4239" s="24" t="str">
        <f>IF(J4239&lt;&gt;1,"",IF(I4239="SBJ","CB","?"))</f>
        <v> </v>
      </c>
      <c r="I4239" s="25" t="str">
        <f>IF(OR(E4239="",E4239="!!!",F4239="NEW"),"",INDEX(B4238:B$2,-1+SUMPRODUCT(MAX(ROW(E4238:E$2)*(E4239=E4238:E$2)))))</f>
        <v> </v>
      </c>
      <c r="J4239" s="25" t="str">
        <f>IF(OR(E4239="",E4239="!!!",F4239="NEW"),"",COUNTBLANK(OFFSET(A$1,,,SUMPRODUCT(MAX(ROW(E$2:E4239)*(E4239=E$2:E4239)))))-COUNTBLANK(OFFSET(A$1,,,SUMPRODUCT(MAX(ROW(E$1:E4238)*(E2=E$1:E4238))))))</f>
        <v> </v>
      </c>
      <c r="K4239" s="25" t="str">
        <f>IF(OR(E4239="",E4239="!!!",F4239="NEW"),"",INDEX(J$1:J4238,SUMPRODUCT(MAX(ROW(E$1:E4238)*(E4239=E$1:E4238)))))</f>
        <v> </v>
      </c>
      <c r="L4239" s="26"/>
    </row>
    <row r="4240" spans="1:12">
      <c r="A4240" s="20" t="s">
        <v>984</v>
      </c>
      <c r="E4240" s="21">
        <f>IF(D4240="?OLD","!!!","")</f>
        <v/>
      </c>
      <c r="F4240" s="22" t="str">
        <f>IF(OR(E4240="",E4240="!!!"),"",IF(NOT(ISNA(VLOOKUP(E4240,E$1:E4239,1,FALSE()))),"OLD",IF(AND(E4240&lt;&gt;"",E4240&lt;&gt;"!!!"),"NEW","")))</f>
        <v> </v>
      </c>
      <c r="G4240" s="23" t="str">
        <f>IF(OR(E4240="",E4240="!!!"),"",IF(OR(J4240=0,AND(J4240=1,K4240=1),AND(J4240=1,I4240="SBJ"),AND(J4240=1,I4240=0)),"?IN_FOCUS",IF(J4240&lt;=2,"?ACTIVATED",IF(J4240&lt;&gt;"","?FAMILIAR",IF(F4240="NEW",IF(ISNA(VLOOKUP(E4240,#REF!,1,FALSE())),"?TYPE_IDENTIFIABLE","?REFERENTIAL"),"_")))))</f>
        <v> </v>
      </c>
      <c r="H4240" s="24" t="str">
        <f>IF(J4240&lt;&gt;1,"",IF(I4240="SBJ","CB","?"))</f>
        <v> </v>
      </c>
      <c r="I4240" s="25" t="str">
        <f>IF(OR(E4240="",E4240="!!!",F4240="NEW"),"",INDEX(B4239:B$2,-1+SUMPRODUCT(MAX(ROW(E4239:E$2)*(E4240=E4239:E$2)))))</f>
        <v> </v>
      </c>
      <c r="J4240" s="25" t="str">
        <f>IF(OR(E4240="",E4240="!!!",F4240="NEW"),"",COUNTBLANK(OFFSET(A$1,,,SUMPRODUCT(MAX(ROW(E$2:E4240)*(E4240=E$2:E4240)))))-COUNTBLANK(OFFSET(A$1,,,SUMPRODUCT(MAX(ROW(E$1:E4239)*(E2=E$1:E4239))))))</f>
        <v> </v>
      </c>
      <c r="K4240" s="25" t="str">
        <f>IF(OR(E4240="",E4240="!!!",F4240="NEW"),"",INDEX(J$1:J4239,SUMPRODUCT(MAX(ROW(E$1:E4239)*(E4240=E$1:E4239)))))</f>
        <v> </v>
      </c>
      <c r="L4240" s="26"/>
    </row>
    <row r="4241" spans="1:12">
      <c r="A4241" s="20" t="s">
        <v>746</v>
      </c>
      <c r="E4241" s="21">
        <f>IF(D4241="?OLD","!!!","")</f>
        <v/>
      </c>
      <c r="F4241" s="22" t="str">
        <f>IF(OR(E4241="",E4241="!!!"),"",IF(NOT(ISNA(VLOOKUP(E4241,E$1:E4240,1,FALSE()))),"OLD",IF(AND(E4241&lt;&gt;"",E4241&lt;&gt;"!!!"),"NEW","")))</f>
        <v> </v>
      </c>
      <c r="G4241" s="23" t="str">
        <f>IF(OR(E4241="",E4241="!!!"),"",IF(OR(J4241=0,AND(J4241=1,K4241=1),AND(J4241=1,I4241="SBJ"),AND(J4241=1,I4241=0)),"?IN_FOCUS",IF(J4241&lt;=2,"?ACTIVATED",IF(J4241&lt;&gt;"","?FAMILIAR",IF(F4241="NEW",IF(ISNA(VLOOKUP(E4241,#REF!,1,FALSE())),"?TYPE_IDENTIFIABLE","?REFERENTIAL"),"_")))))</f>
        <v> </v>
      </c>
      <c r="H4241" s="24" t="str">
        <f>IF(J4241&lt;&gt;1,"",IF(I4241="SBJ","CB","?"))</f>
        <v> </v>
      </c>
      <c r="I4241" s="25" t="str">
        <f>IF(OR(E4241="",E4241="!!!",F4241="NEW"),"",INDEX(B4240:B$2,-1+SUMPRODUCT(MAX(ROW(E4240:E$2)*(E4241=E4240:E$2)))))</f>
        <v> </v>
      </c>
      <c r="J4241" s="25" t="str">
        <f>IF(OR(E4241="",E4241="!!!",F4241="NEW"),"",COUNTBLANK(OFFSET(A$1,,,SUMPRODUCT(MAX(ROW(E$2:E4241)*(E4241=E$2:E4241)))))-COUNTBLANK(OFFSET(A$1,,,SUMPRODUCT(MAX(ROW(E$1:E4240)*(E2=E$1:E4240))))))</f>
        <v> </v>
      </c>
      <c r="K4241" s="25" t="str">
        <f>IF(OR(E4241="",E4241="!!!",F4241="NEW"),"",INDEX(J$1:J4240,SUMPRODUCT(MAX(ROW(E$1:E4240)*(E4241=E$1:E4240)))))</f>
        <v> </v>
      </c>
      <c r="L4241" s="26"/>
    </row>
    <row r="4242" spans="1:12">
      <c r="A4242" s="20"/>
    </row>
    <row r="4243" spans="1:12">
      <c r="A4243" s="20" t="s">
        <v>1980</v>
      </c>
    </row>
    <row r="4244" spans="1:12">
      <c r="A4244" s="20" t="s">
        <v>813</v>
      </c>
      <c r="E4244" s="21">
        <f>IF(D4244="?OLD","!!!","")</f>
        <v/>
      </c>
      <c r="F4244" s="22" t="str">
        <f>IF(OR(E4244="",E4244="!!!"),"",IF(NOT(ISNA(VLOOKUP(E4244,E$1:E4243,1,FALSE()))),"OLD",IF(AND(E4244&lt;&gt;"",E4244&lt;&gt;"!!!"),"NEW","")))</f>
        <v> </v>
      </c>
      <c r="G4244" s="23" t="str">
        <f>IF(OR(E4244="",E4244="!!!"),"",IF(OR(J4244=0,AND(J4244=1,K4244=1),AND(J4244=1,I4244="SBJ"),AND(J4244=1,I4244=0)),"?IN_FOCUS",IF(J4244&lt;=2,"?ACTIVATED",IF(J4244&lt;&gt;"","?FAMILIAR",IF(F4244="NEW",IF(ISNA(VLOOKUP(E4244,#REF!,1,FALSE())),"?TYPE_IDENTIFIABLE","?REFERENTIAL"),"_")))))</f>
        <v> </v>
      </c>
      <c r="H4244" s="24" t="str">
        <f>IF(J4244&lt;&gt;1,"",IF(I4244="SBJ","CB","?"))</f>
        <v> </v>
      </c>
      <c r="I4244" s="25" t="str">
        <f>IF(OR(E4244="",E4244="!!!",F4244="NEW"),"",INDEX(B4243:B$2,-1+SUMPRODUCT(MAX(ROW(E4243:E$2)*(E4244=E4243:E$2)))))</f>
        <v> </v>
      </c>
      <c r="J4244" s="25" t="str">
        <f>IF(OR(E4244="",E4244="!!!",F4244="NEW"),"",COUNTBLANK(OFFSET(A$1,,,SUMPRODUCT(MAX(ROW(E$2:E4244)*(E4244=E$2:E4244)))))-COUNTBLANK(OFFSET(A$1,,,SUMPRODUCT(MAX(ROW(E$1:E4243)*(E2=E$1:E4243))))))</f>
        <v> </v>
      </c>
      <c r="K4244" s="25" t="str">
        <f>IF(OR(E4244="",E4244="!!!",F4244="NEW"),"",INDEX(J$1:J4243,SUMPRODUCT(MAX(ROW(E$1:E4243)*(E4244=E$1:E4243)))))</f>
        <v> </v>
      </c>
      <c r="L4244" s="26"/>
    </row>
    <row r="4245" spans="1:12">
      <c r="A4245" s="20" t="s">
        <v>807</v>
      </c>
      <c r="B4245" s="27" t="s">
        <v>771</v>
      </c>
      <c r="C4245" s="27" t="s">
        <v>749</v>
      </c>
      <c r="D4245" s="27" t="s">
        <v>740</v>
      </c>
      <c r="E4245" s="21">
        <f>IF(D4245="?OLD","!!!","")</f>
        <v/>
      </c>
      <c r="F4245" s="22" t="str">
        <f>IF(OR(E4245="",E4245="!!!"),"",IF(NOT(ISNA(VLOOKUP(E4245,E$1:E4244,1,FALSE()))),"OLD",IF(AND(E4245&lt;&gt;"",E4245&lt;&gt;"!!!"),"NEW","")))</f>
        <v> </v>
      </c>
      <c r="G4245" s="23" t="str">
        <f>IF(OR(E4245="",E4245="!!!"),"",IF(OR(J4245=0,AND(J4245=1,K4245=1),AND(J4245=1,I4245="SBJ"),AND(J4245=1,I4245=0)),"?IN_FOCUS",IF(J4245&lt;=2,"?ACTIVATED",IF(J4245&lt;&gt;"","?FAMILIAR",IF(F4245="NEW",IF(ISNA(VLOOKUP(E4245,#REF!,1,FALSE())),"?TYPE_IDENTIFIABLE","?REFERENTIAL"),"_")))))</f>
        <v> </v>
      </c>
      <c r="H4245" s="24" t="str">
        <f>IF(J4245&lt;&gt;1,"",IF(I4245="SBJ","CB","?"))</f>
        <v> </v>
      </c>
      <c r="I4245" s="25" t="str">
        <f>IF(OR(E4245="",E4245="!!!",F4245="NEW"),"",INDEX(B4244:B$2,-1+SUMPRODUCT(MAX(ROW(E4244:E$2)*(E4245=E4244:E$2)))))</f>
        <v> </v>
      </c>
      <c r="J4245" s="25" t="str">
        <f>IF(OR(E4245="",E4245="!!!",F4245="NEW"),"",COUNTBLANK(OFFSET(A$1,,,SUMPRODUCT(MAX(ROW(E$2:E4245)*(E4245=E$2:E4245)))))-COUNTBLANK(OFFSET(A$1,,,SUMPRODUCT(MAX(ROW(E$1:E4244)*(E2=E$1:E4244))))))</f>
        <v> </v>
      </c>
      <c r="K4245" s="25" t="str">
        <f>IF(OR(E4245="",E4245="!!!",F4245="NEW"),"",INDEX(J$1:J4244,SUMPRODUCT(MAX(ROW(E$1:E4244)*(E4245=E$1:E4244)))))</f>
        <v> </v>
      </c>
      <c r="L4245" s="26"/>
    </row>
    <row r="4246" spans="1:12">
      <c r="A4246" s="20" t="s">
        <v>1656</v>
      </c>
      <c r="E4246" s="21">
        <f>IF(D4246="?OLD","!!!","")</f>
        <v/>
      </c>
      <c r="F4246" s="22" t="str">
        <f>IF(OR(E4246="",E4246="!!!"),"",IF(NOT(ISNA(VLOOKUP(E4246,E$1:E4245,1,FALSE()))),"OLD",IF(AND(E4246&lt;&gt;"",E4246&lt;&gt;"!!!"),"NEW","")))</f>
        <v> </v>
      </c>
      <c r="G4246" s="23" t="str">
        <f>IF(OR(E4246="",E4246="!!!"),"",IF(OR(J4246=0,AND(J4246=1,K4246=1),AND(J4246=1,I4246="SBJ"),AND(J4246=1,I4246=0)),"?IN_FOCUS",IF(J4246&lt;=2,"?ACTIVATED",IF(J4246&lt;&gt;"","?FAMILIAR",IF(F4246="NEW",IF(ISNA(VLOOKUP(E4246,#REF!,1,FALSE())),"?TYPE_IDENTIFIABLE","?REFERENTIAL"),"_")))))</f>
        <v> </v>
      </c>
      <c r="H4246" s="24" t="str">
        <f>IF(J4246&lt;&gt;1,"",IF(I4246="SBJ","CB","?"))</f>
        <v> </v>
      </c>
      <c r="I4246" s="25" t="str">
        <f>IF(OR(E4246="",E4246="!!!",F4246="NEW"),"",INDEX(B4245:B$2,-1+SUMPRODUCT(MAX(ROW(E4245:E$2)*(E4246=E4245:E$2)))))</f>
        <v> </v>
      </c>
      <c r="J4246" s="25" t="str">
        <f>IF(OR(E4246="",E4246="!!!",F4246="NEW"),"",COUNTBLANK(OFFSET(A$1,,,SUMPRODUCT(MAX(ROW(E$2:E4246)*(E4246=E$2:E4246)))))-COUNTBLANK(OFFSET(A$1,,,SUMPRODUCT(MAX(ROW(E$1:E4245)*(E2=E$1:E4245))))))</f>
        <v> </v>
      </c>
      <c r="K4246" s="25" t="str">
        <f>IF(OR(E4246="",E4246="!!!",F4246="NEW"),"",INDEX(J$1:J4245,SUMPRODUCT(MAX(ROW(E$1:E4245)*(E4246=E$1:E4245)))))</f>
        <v> </v>
      </c>
      <c r="L4246" s="26"/>
    </row>
    <row r="4247" spans="1:12">
      <c r="A4247" s="20" t="s">
        <v>753</v>
      </c>
      <c r="E4247" s="21">
        <f>IF(D4247="?OLD","!!!","")</f>
        <v/>
      </c>
      <c r="F4247" s="22" t="str">
        <f>IF(OR(E4247="",E4247="!!!"),"",IF(NOT(ISNA(VLOOKUP(E4247,E$1:E4246,1,FALSE()))),"OLD",IF(AND(E4247&lt;&gt;"",E4247&lt;&gt;"!!!"),"NEW","")))</f>
        <v> </v>
      </c>
      <c r="G4247" s="23" t="str">
        <f>IF(OR(E4247="",E4247="!!!"),"",IF(OR(J4247=0,AND(J4247=1,K4247=1),AND(J4247=1,I4247="SBJ"),AND(J4247=1,I4247=0)),"?IN_FOCUS",IF(J4247&lt;=2,"?ACTIVATED",IF(J4247&lt;&gt;"","?FAMILIAR",IF(F4247="NEW",IF(ISNA(VLOOKUP(E4247,#REF!,1,FALSE())),"?TYPE_IDENTIFIABLE","?REFERENTIAL"),"_")))))</f>
        <v> </v>
      </c>
      <c r="H4247" s="24" t="str">
        <f>IF(J4247&lt;&gt;1,"",IF(I4247="SBJ","CB","?"))</f>
        <v> </v>
      </c>
      <c r="I4247" s="25" t="str">
        <f>IF(OR(E4247="",E4247="!!!",F4247="NEW"),"",INDEX(B4246:B$2,-1+SUMPRODUCT(MAX(ROW(E4246:E$2)*(E4247=E4246:E$2)))))</f>
        <v> </v>
      </c>
      <c r="J4247" s="25" t="str">
        <f>IF(OR(E4247="",E4247="!!!",F4247="NEW"),"",COUNTBLANK(OFFSET(A$1,,,SUMPRODUCT(MAX(ROW(E$2:E4247)*(E4247=E$2:E4247)))))-COUNTBLANK(OFFSET(A$1,,,SUMPRODUCT(MAX(ROW(E$1:E4246)*(E2=E$1:E4246))))))</f>
        <v> </v>
      </c>
      <c r="K4247" s="25" t="str">
        <f>IF(OR(E4247="",E4247="!!!",F4247="NEW"),"",INDEX(J$1:J4246,SUMPRODUCT(MAX(ROW(E$1:E4246)*(E4247=E$1:E4246)))))</f>
        <v> </v>
      </c>
      <c r="L4247" s="26"/>
    </row>
    <row r="4248" spans="1:12">
      <c r="A4248" s="20" t="s">
        <v>860</v>
      </c>
      <c r="E4248" s="21">
        <f>IF(D4248="?OLD","!!!","")</f>
        <v/>
      </c>
      <c r="F4248" s="22" t="str">
        <f>IF(OR(E4248="",E4248="!!!"),"",IF(NOT(ISNA(VLOOKUP(E4248,E$1:E4247,1,FALSE()))),"OLD",IF(AND(E4248&lt;&gt;"",E4248&lt;&gt;"!!!"),"NEW","")))</f>
        <v> </v>
      </c>
      <c r="G4248" s="23" t="str">
        <f>IF(OR(E4248="",E4248="!!!"),"",IF(OR(J4248=0,AND(J4248=1,K4248=1),AND(J4248=1,I4248="SBJ"),AND(J4248=1,I4248=0)),"?IN_FOCUS",IF(J4248&lt;=2,"?ACTIVATED",IF(J4248&lt;&gt;"","?FAMILIAR",IF(F4248="NEW",IF(ISNA(VLOOKUP(E4248,#REF!,1,FALSE())),"?TYPE_IDENTIFIABLE","?REFERENTIAL"),"_")))))</f>
        <v> </v>
      </c>
      <c r="H4248" s="24" t="str">
        <f>IF(J4248&lt;&gt;1,"",IF(I4248="SBJ","CB","?"))</f>
        <v> </v>
      </c>
      <c r="I4248" s="25" t="str">
        <f>IF(OR(E4248="",E4248="!!!",F4248="NEW"),"",INDEX(B4247:B$2,-1+SUMPRODUCT(MAX(ROW(E4247:E$2)*(E4248=E4247:E$2)))))</f>
        <v> </v>
      </c>
      <c r="J4248" s="25" t="str">
        <f>IF(OR(E4248="",E4248="!!!",F4248="NEW"),"",COUNTBLANK(OFFSET(A$1,,,SUMPRODUCT(MAX(ROW(E$2:E4248)*(E4248=E$2:E4248)))))-COUNTBLANK(OFFSET(A$1,,,SUMPRODUCT(MAX(ROW(E$1:E4247)*(E2=E$1:E4247))))))</f>
        <v> </v>
      </c>
      <c r="K4248" s="25" t="str">
        <f>IF(OR(E4248="",E4248="!!!",F4248="NEW"),"",INDEX(J$1:J4247,SUMPRODUCT(MAX(ROW(E$1:E4247)*(E4248=E$1:E4247)))))</f>
        <v> </v>
      </c>
      <c r="L4248" s="26"/>
    </row>
    <row r="4249" spans="1:12">
      <c r="A4249" s="20" t="s">
        <v>1061</v>
      </c>
      <c r="E4249" s="21">
        <f>IF(D4249="?OLD","!!!","")</f>
        <v/>
      </c>
      <c r="F4249" s="22" t="str">
        <f>IF(OR(E4249="",E4249="!!!"),"",IF(NOT(ISNA(VLOOKUP(E4249,E$1:E4248,1,FALSE()))),"OLD",IF(AND(E4249&lt;&gt;"",E4249&lt;&gt;"!!!"),"NEW","")))</f>
        <v> </v>
      </c>
      <c r="G4249" s="23" t="str">
        <f>IF(OR(E4249="",E4249="!!!"),"",IF(OR(J4249=0,AND(J4249=1,K4249=1),AND(J4249=1,I4249="SBJ"),AND(J4249=1,I4249=0)),"?IN_FOCUS",IF(J4249&lt;=2,"?ACTIVATED",IF(J4249&lt;&gt;"","?FAMILIAR",IF(F4249="NEW",IF(ISNA(VLOOKUP(E4249,#REF!,1,FALSE())),"?TYPE_IDENTIFIABLE","?REFERENTIAL"),"_")))))</f>
        <v> </v>
      </c>
      <c r="H4249" s="24" t="str">
        <f>IF(J4249&lt;&gt;1,"",IF(I4249="SBJ","CB","?"))</f>
        <v> </v>
      </c>
      <c r="I4249" s="25" t="str">
        <f>IF(OR(E4249="",E4249="!!!",F4249="NEW"),"",INDEX(B4248:B$2,-1+SUMPRODUCT(MAX(ROW(E4248:E$2)*(E4249=E4248:E$2)))))</f>
        <v> </v>
      </c>
      <c r="J4249" s="25" t="str">
        <f>IF(OR(E4249="",E4249="!!!",F4249="NEW"),"",COUNTBLANK(OFFSET(A$1,,,SUMPRODUCT(MAX(ROW(E$2:E4249)*(E4249=E$2:E4249)))))-COUNTBLANK(OFFSET(A$1,,,SUMPRODUCT(MAX(ROW(E$1:E4248)*(E2=E$1:E4248))))))</f>
        <v> </v>
      </c>
      <c r="K4249" s="25" t="str">
        <f>IF(OR(E4249="",E4249="!!!",F4249="NEW"),"",INDEX(J$1:J4248,SUMPRODUCT(MAX(ROW(E$1:E4248)*(E4249=E$1:E4248)))))</f>
        <v> </v>
      </c>
      <c r="L4249" s="26"/>
    </row>
    <row r="4250" spans="1:12">
      <c r="A4250" s="20" t="s">
        <v>830</v>
      </c>
      <c r="E4250" s="21">
        <f>IF(D4250="?OLD","!!!","")</f>
        <v/>
      </c>
      <c r="F4250" s="22" t="str">
        <f>IF(OR(E4250="",E4250="!!!"),"",IF(NOT(ISNA(VLOOKUP(E4250,E$1:E4249,1,FALSE()))),"OLD",IF(AND(E4250&lt;&gt;"",E4250&lt;&gt;"!!!"),"NEW","")))</f>
        <v> </v>
      </c>
      <c r="G4250" s="23" t="str">
        <f>IF(OR(E4250="",E4250="!!!"),"",IF(OR(J4250=0,AND(J4250=1,K4250=1),AND(J4250=1,I4250="SBJ"),AND(J4250=1,I4250=0)),"?IN_FOCUS",IF(J4250&lt;=2,"?ACTIVATED",IF(J4250&lt;&gt;"","?FAMILIAR",IF(F4250="NEW",IF(ISNA(VLOOKUP(E4250,#REF!,1,FALSE())),"?TYPE_IDENTIFIABLE","?REFERENTIAL"),"_")))))</f>
        <v> </v>
      </c>
      <c r="H4250" s="24" t="str">
        <f>IF(J4250&lt;&gt;1,"",IF(I4250="SBJ","CB","?"))</f>
        <v> </v>
      </c>
      <c r="I4250" s="25" t="str">
        <f>IF(OR(E4250="",E4250="!!!",F4250="NEW"),"",INDEX(B4249:B$2,-1+SUMPRODUCT(MAX(ROW(E4249:E$2)*(E4250=E4249:E$2)))))</f>
        <v> </v>
      </c>
      <c r="J4250" s="25" t="str">
        <f>IF(OR(E4250="",E4250="!!!",F4250="NEW"),"",COUNTBLANK(OFFSET(A$1,,,SUMPRODUCT(MAX(ROW(E$2:E4250)*(E4250=E$2:E4250)))))-COUNTBLANK(OFFSET(A$1,,,SUMPRODUCT(MAX(ROW(E$1:E4249)*(E2=E$1:E4249))))))</f>
        <v> </v>
      </c>
      <c r="K4250" s="25" t="str">
        <f>IF(OR(E4250="",E4250="!!!",F4250="NEW"),"",INDEX(J$1:J4249,SUMPRODUCT(MAX(ROW(E$1:E4249)*(E4250=E$1:E4249)))))</f>
        <v> </v>
      </c>
      <c r="L4250" s="26"/>
    </row>
    <row r="4251" spans="1:12">
      <c r="A4251" s="20" t="s">
        <v>831</v>
      </c>
      <c r="B4251" s="27" t="s">
        <v>795</v>
      </c>
      <c r="C4251" s="27" t="s">
        <v>775</v>
      </c>
      <c r="D4251" s="27" t="s">
        <v>740</v>
      </c>
      <c r="E4251" s="21">
        <f>IF(D4251="?OLD","!!!","")</f>
        <v/>
      </c>
      <c r="F4251" s="22" t="str">
        <f>IF(OR(E4251="",E4251="!!!"),"",IF(NOT(ISNA(VLOOKUP(E4251,E$1:E4250,1,FALSE()))),"OLD",IF(AND(E4251&lt;&gt;"",E4251&lt;&gt;"!!!"),"NEW","")))</f>
        <v> </v>
      </c>
      <c r="G4251" s="23" t="str">
        <f>IF(OR(E4251="",E4251="!!!"),"",IF(OR(J4251=0,AND(J4251=1,K4251=1),AND(J4251=1,I4251="SBJ"),AND(J4251=1,I4251=0)),"?IN_FOCUS",IF(J4251&lt;=2,"?ACTIVATED",IF(J4251&lt;&gt;"","?FAMILIAR",IF(F4251="NEW",IF(ISNA(VLOOKUP(E4251,#REF!,1,FALSE())),"?TYPE_IDENTIFIABLE","?REFERENTIAL"),"_")))))</f>
        <v> </v>
      </c>
      <c r="H4251" s="24" t="str">
        <f>IF(J4251&lt;&gt;1,"",IF(I4251="SBJ","CB","?"))</f>
        <v> </v>
      </c>
      <c r="I4251" s="25" t="str">
        <f>IF(OR(E4251="",E4251="!!!",F4251="NEW"),"",INDEX(B4250:B$2,-1+SUMPRODUCT(MAX(ROW(E4250:E$2)*(E4251=E4250:E$2)))))</f>
        <v> </v>
      </c>
      <c r="J4251" s="25" t="str">
        <f>IF(OR(E4251="",E4251="!!!",F4251="NEW"),"",COUNTBLANK(OFFSET(A$1,,,SUMPRODUCT(MAX(ROW(E$2:E4251)*(E4251=E$2:E4251)))))-COUNTBLANK(OFFSET(A$1,,,SUMPRODUCT(MAX(ROW(E$1:E4250)*(E2=E$1:E4250))))))</f>
        <v> </v>
      </c>
      <c r="K4251" s="25" t="str">
        <f>IF(OR(E4251="",E4251="!!!",F4251="NEW"),"",INDEX(J$1:J4250,SUMPRODUCT(MAX(ROW(E$1:E4250)*(E4251=E$1:E4250)))))</f>
        <v> </v>
      </c>
      <c r="L4251" s="26"/>
    </row>
    <row r="4252" spans="1:12">
      <c r="A4252" s="20" t="s">
        <v>1981</v>
      </c>
      <c r="B4252" s="27" t="s">
        <v>764</v>
      </c>
      <c r="C4252" s="27" t="s">
        <v>734</v>
      </c>
      <c r="E4252" s="21">
        <f>IF(D4252="?OLD","!!!","")</f>
        <v/>
      </c>
      <c r="F4252" s="22" t="str">
        <f>IF(OR(E4252="",E4252="!!!"),"",IF(NOT(ISNA(VLOOKUP(E4252,E$1:E4251,1,FALSE()))),"OLD",IF(AND(E4252&lt;&gt;"",E4252&lt;&gt;"!!!"),"NEW","")))</f>
        <v> </v>
      </c>
      <c r="G4252" s="23" t="str">
        <f>IF(OR(E4252="",E4252="!!!"),"",IF(OR(J4252=0,AND(J4252=1,K4252=1),AND(J4252=1,I4252="SBJ"),AND(J4252=1,I4252=0)),"?IN_FOCUS",IF(J4252&lt;=2,"?ACTIVATED",IF(J4252&lt;&gt;"","?FAMILIAR",IF(F4252="NEW",IF(ISNA(VLOOKUP(E4252,#REF!,1,FALSE())),"?TYPE_IDENTIFIABLE","?REFERENTIAL"),"_")))))</f>
        <v> </v>
      </c>
      <c r="H4252" s="24" t="str">
        <f>IF(J4252&lt;&gt;1,"",IF(I4252="SBJ","CB","?"))</f>
        <v> </v>
      </c>
      <c r="I4252" s="25" t="str">
        <f>IF(OR(E4252="",E4252="!!!",F4252="NEW"),"",INDEX(B4251:B$2,-1+SUMPRODUCT(MAX(ROW(E4251:E$2)*(E4252=E4251:E$2)))))</f>
        <v> </v>
      </c>
      <c r="J4252" s="25" t="str">
        <f>IF(OR(E4252="",E4252="!!!",F4252="NEW"),"",COUNTBLANK(OFFSET(A$1,,,SUMPRODUCT(MAX(ROW(E$2:E4252)*(E4252=E$2:E4252)))))-COUNTBLANK(OFFSET(A$1,,,SUMPRODUCT(MAX(ROW(E$1:E4251)*(E2=E$1:E4251))))))</f>
        <v> </v>
      </c>
      <c r="K4252" s="25" t="str">
        <f>IF(OR(E4252="",E4252="!!!",F4252="NEW"),"",INDEX(J$1:J4251,SUMPRODUCT(MAX(ROW(E$1:E4251)*(E4252=E$1:E4251)))))</f>
        <v> </v>
      </c>
      <c r="L4252" s="26"/>
    </row>
    <row r="4253" spans="1:12">
      <c r="A4253" s="20" t="s">
        <v>264</v>
      </c>
      <c r="E4253" s="21">
        <f>IF(D4253="?OLD","!!!","")</f>
        <v/>
      </c>
      <c r="F4253" s="22" t="str">
        <f>IF(OR(E4253="",E4253="!!!"),"",IF(NOT(ISNA(VLOOKUP(E4253,E$1:E4252,1,FALSE()))),"OLD",IF(AND(E4253&lt;&gt;"",E4253&lt;&gt;"!!!"),"NEW","")))</f>
        <v> </v>
      </c>
      <c r="G4253" s="23" t="str">
        <f>IF(OR(E4253="",E4253="!!!"),"",IF(OR(J4253=0,AND(J4253=1,K4253=1),AND(J4253=1,I4253="SBJ"),AND(J4253=1,I4253=0)),"?IN_FOCUS",IF(J4253&lt;=2,"?ACTIVATED",IF(J4253&lt;&gt;"","?FAMILIAR",IF(F4253="NEW",IF(ISNA(VLOOKUP(E4253,#REF!,1,FALSE())),"?TYPE_IDENTIFIABLE","?REFERENTIAL"),"_")))))</f>
        <v> </v>
      </c>
      <c r="H4253" s="24" t="str">
        <f>IF(J4253&lt;&gt;1,"",IF(I4253="SBJ","CB","?"))</f>
        <v> </v>
      </c>
      <c r="I4253" s="25" t="str">
        <f>IF(OR(E4253="",E4253="!!!",F4253="NEW"),"",INDEX(B4252:B$2,-1+SUMPRODUCT(MAX(ROW(E4252:E$2)*(E4253=E4252:E$2)))))</f>
        <v> </v>
      </c>
      <c r="J4253" s="25" t="str">
        <f>IF(OR(E4253="",E4253="!!!",F4253="NEW"),"",COUNTBLANK(OFFSET(A$1,,,SUMPRODUCT(MAX(ROW(E$2:E4253)*(E4253=E$2:E4253)))))-COUNTBLANK(OFFSET(A$1,,,SUMPRODUCT(MAX(ROW(E$1:E4252)*(E2=E$1:E4252))))))</f>
        <v> </v>
      </c>
      <c r="K4253" s="25" t="str">
        <f>IF(OR(E4253="",E4253="!!!",F4253="NEW"),"",INDEX(J$1:J4252,SUMPRODUCT(MAX(ROW(E$1:E4252)*(E4253=E$1:E4252)))))</f>
        <v> </v>
      </c>
      <c r="L4253" s="26"/>
    </row>
    <row r="4254" spans="1:12">
      <c r="A4254" s="20" t="s">
        <v>753</v>
      </c>
      <c r="E4254" s="21">
        <f>IF(D4254="?OLD","!!!","")</f>
        <v/>
      </c>
      <c r="F4254" s="22" t="str">
        <f>IF(OR(E4254="",E4254="!!!"),"",IF(NOT(ISNA(VLOOKUP(E4254,E$1:E4253,1,FALSE()))),"OLD",IF(AND(E4254&lt;&gt;"",E4254&lt;&gt;"!!!"),"NEW","")))</f>
        <v> </v>
      </c>
      <c r="G4254" s="23" t="str">
        <f>IF(OR(E4254="",E4254="!!!"),"",IF(OR(J4254=0,AND(J4254=1,K4254=1),AND(J4254=1,I4254="SBJ"),AND(J4254=1,I4254=0)),"?IN_FOCUS",IF(J4254&lt;=2,"?ACTIVATED",IF(J4254&lt;&gt;"","?FAMILIAR",IF(F4254="NEW",IF(ISNA(VLOOKUP(E4254,#REF!,1,FALSE())),"?TYPE_IDENTIFIABLE","?REFERENTIAL"),"_")))))</f>
        <v> </v>
      </c>
      <c r="H4254" s="24" t="str">
        <f>IF(J4254&lt;&gt;1,"",IF(I4254="SBJ","CB","?"))</f>
        <v> </v>
      </c>
      <c r="I4254" s="25" t="str">
        <f>IF(OR(E4254="",E4254="!!!",F4254="NEW"),"",INDEX(B4253:B$2,-1+SUMPRODUCT(MAX(ROW(E4253:E$2)*(E4254=E4253:E$2)))))</f>
        <v> </v>
      </c>
      <c r="J4254" s="25" t="str">
        <f>IF(OR(E4254="",E4254="!!!",F4254="NEW"),"",COUNTBLANK(OFFSET(A$1,,,SUMPRODUCT(MAX(ROW(E$2:E4254)*(E4254=E$2:E4254)))))-COUNTBLANK(OFFSET(A$1,,,SUMPRODUCT(MAX(ROW(E$1:E4253)*(E2=E$1:E4253))))))</f>
        <v> </v>
      </c>
      <c r="K4254" s="25" t="str">
        <f>IF(OR(E4254="",E4254="!!!",F4254="NEW"),"",INDEX(J$1:J4253,SUMPRODUCT(MAX(ROW(E$1:E4253)*(E4254=E$1:E4253)))))</f>
        <v> </v>
      </c>
      <c r="L4254" s="26"/>
    </row>
    <row r="4255" spans="1:12">
      <c r="A4255" s="20" t="s">
        <v>1328</v>
      </c>
      <c r="E4255" s="21">
        <f>IF(D4255="?OLD","!!!","")</f>
        <v/>
      </c>
      <c r="F4255" s="22" t="str">
        <f>IF(OR(E4255="",E4255="!!!"),"",IF(NOT(ISNA(VLOOKUP(E4255,E$1:E4254,1,FALSE()))),"OLD",IF(AND(E4255&lt;&gt;"",E4255&lt;&gt;"!!!"),"NEW","")))</f>
        <v> </v>
      </c>
      <c r="G4255" s="23" t="str">
        <f>IF(OR(E4255="",E4255="!!!"),"",IF(OR(J4255=0,AND(J4255=1,K4255=1),AND(J4255=1,I4255="SBJ"),AND(J4255=1,I4255=0)),"?IN_FOCUS",IF(J4255&lt;=2,"?ACTIVATED",IF(J4255&lt;&gt;"","?FAMILIAR",IF(F4255="NEW",IF(ISNA(VLOOKUP(E4255,#REF!,1,FALSE())),"?TYPE_IDENTIFIABLE","?REFERENTIAL"),"_")))))</f>
        <v> </v>
      </c>
      <c r="H4255" s="24" t="str">
        <f>IF(J4255&lt;&gt;1,"",IF(I4255="SBJ","CB","?"))</f>
        <v> </v>
      </c>
      <c r="I4255" s="25" t="str">
        <f>IF(OR(E4255="",E4255="!!!",F4255="NEW"),"",INDEX(B4254:B$2,-1+SUMPRODUCT(MAX(ROW(E4254:E$2)*(E4255=E4254:E$2)))))</f>
        <v> </v>
      </c>
      <c r="J4255" s="25" t="str">
        <f>IF(OR(E4255="",E4255="!!!",F4255="NEW"),"",COUNTBLANK(OFFSET(A$1,,,SUMPRODUCT(MAX(ROW(E$2:E4255)*(E4255=E$2:E4255)))))-COUNTBLANK(OFFSET(A$1,,,SUMPRODUCT(MAX(ROW(E$1:E4254)*(E2=E$1:E4254))))))</f>
        <v> </v>
      </c>
      <c r="K4255" s="25" t="str">
        <f>IF(OR(E4255="",E4255="!!!",F4255="NEW"),"",INDEX(J$1:J4254,SUMPRODUCT(MAX(ROW(E$1:E4254)*(E4255=E$1:E4254)))))</f>
        <v> </v>
      </c>
      <c r="L4255" s="26"/>
    </row>
    <row r="4256" spans="1:12">
      <c r="A4256" s="20" t="s">
        <v>1855</v>
      </c>
      <c r="E4256" s="21">
        <f>IF(D4256="?OLD","!!!","")</f>
        <v/>
      </c>
      <c r="F4256" s="22" t="str">
        <f>IF(OR(E4256="",E4256="!!!"),"",IF(NOT(ISNA(VLOOKUP(E4256,E$1:E4255,1,FALSE()))),"OLD",IF(AND(E4256&lt;&gt;"",E4256&lt;&gt;"!!!"),"NEW","")))</f>
        <v> </v>
      </c>
      <c r="G4256" s="23" t="str">
        <f>IF(OR(E4256="",E4256="!!!"),"",IF(OR(J4256=0,AND(J4256=1,K4256=1),AND(J4256=1,I4256="SBJ"),AND(J4256=1,I4256=0)),"?IN_FOCUS",IF(J4256&lt;=2,"?ACTIVATED",IF(J4256&lt;&gt;"","?FAMILIAR",IF(F4256="NEW",IF(ISNA(VLOOKUP(E4256,#REF!,1,FALSE())),"?TYPE_IDENTIFIABLE","?REFERENTIAL"),"_")))))</f>
        <v> </v>
      </c>
      <c r="H4256" s="24" t="str">
        <f>IF(J4256&lt;&gt;1,"",IF(I4256="SBJ","CB","?"))</f>
        <v> </v>
      </c>
      <c r="I4256" s="25" t="str">
        <f>IF(OR(E4256="",E4256="!!!",F4256="NEW"),"",INDEX(B4255:B$2,-1+SUMPRODUCT(MAX(ROW(E4255:E$2)*(E4256=E4255:E$2)))))</f>
        <v> </v>
      </c>
      <c r="J4256" s="25" t="str">
        <f>IF(OR(E4256="",E4256="!!!",F4256="NEW"),"",COUNTBLANK(OFFSET(A$1,,,SUMPRODUCT(MAX(ROW(E$2:E4256)*(E4256=E$2:E4256)))))-COUNTBLANK(OFFSET(A$1,,,SUMPRODUCT(MAX(ROW(E$1:E4255)*(E2=E$1:E4255))))))</f>
        <v> </v>
      </c>
      <c r="K4256" s="25" t="str">
        <f>IF(OR(E4256="",E4256="!!!",F4256="NEW"),"",INDEX(J$1:J4255,SUMPRODUCT(MAX(ROW(E$1:E4255)*(E4256=E$1:E4255)))))</f>
        <v> </v>
      </c>
      <c r="L4256" s="26"/>
    </row>
    <row r="4257" spans="1:12">
      <c r="A4257" s="20" t="s">
        <v>753</v>
      </c>
      <c r="E4257" s="21">
        <f>IF(D4257="?OLD","!!!","")</f>
        <v/>
      </c>
      <c r="F4257" s="22" t="str">
        <f>IF(OR(E4257="",E4257="!!!"),"",IF(NOT(ISNA(VLOOKUP(E4257,E$1:E4256,1,FALSE()))),"OLD",IF(AND(E4257&lt;&gt;"",E4257&lt;&gt;"!!!"),"NEW","")))</f>
        <v> </v>
      </c>
      <c r="G4257" s="23" t="str">
        <f>IF(OR(E4257="",E4257="!!!"),"",IF(OR(J4257=0,AND(J4257=1,K4257=1),AND(J4257=1,I4257="SBJ"),AND(J4257=1,I4257=0)),"?IN_FOCUS",IF(J4257&lt;=2,"?ACTIVATED",IF(J4257&lt;&gt;"","?FAMILIAR",IF(F4257="NEW",IF(ISNA(VLOOKUP(E4257,#REF!,1,FALSE())),"?TYPE_IDENTIFIABLE","?REFERENTIAL"),"_")))))</f>
        <v> </v>
      </c>
      <c r="H4257" s="24" t="str">
        <f>IF(J4257&lt;&gt;1,"",IF(I4257="SBJ","CB","?"))</f>
        <v> </v>
      </c>
      <c r="I4257" s="25" t="str">
        <f>IF(OR(E4257="",E4257="!!!",F4257="NEW"),"",INDEX(B4256:B$2,-1+SUMPRODUCT(MAX(ROW(E4256:E$2)*(E4257=E4256:E$2)))))</f>
        <v> </v>
      </c>
      <c r="J4257" s="25" t="str">
        <f>IF(OR(E4257="",E4257="!!!",F4257="NEW"),"",COUNTBLANK(OFFSET(A$1,,,SUMPRODUCT(MAX(ROW(E$2:E4257)*(E4257=E$2:E4257)))))-COUNTBLANK(OFFSET(A$1,,,SUMPRODUCT(MAX(ROW(E$1:E4256)*(E2=E$1:E4256))))))</f>
        <v> </v>
      </c>
      <c r="K4257" s="25" t="str">
        <f>IF(OR(E4257="",E4257="!!!",F4257="NEW"),"",INDEX(J$1:J4256,SUMPRODUCT(MAX(ROW(E$1:E4256)*(E4257=E$1:E4256)))))</f>
        <v> </v>
      </c>
      <c r="L4257" s="26"/>
    </row>
    <row r="4258" spans="1:12">
      <c r="A4258" s="20" t="s">
        <v>860</v>
      </c>
      <c r="E4258" s="21">
        <f>IF(D4258="?OLD","!!!","")</f>
        <v/>
      </c>
      <c r="F4258" s="22" t="str">
        <f>IF(OR(E4258="",E4258="!!!"),"",IF(NOT(ISNA(VLOOKUP(E4258,E$1:E4257,1,FALSE()))),"OLD",IF(AND(E4258&lt;&gt;"",E4258&lt;&gt;"!!!"),"NEW","")))</f>
        <v> </v>
      </c>
      <c r="G4258" s="23" t="str">
        <f>IF(OR(E4258="",E4258="!!!"),"",IF(OR(J4258=0,AND(J4258=1,K4258=1),AND(J4258=1,I4258="SBJ"),AND(J4258=1,I4258=0)),"?IN_FOCUS",IF(J4258&lt;=2,"?ACTIVATED",IF(J4258&lt;&gt;"","?FAMILIAR",IF(F4258="NEW",IF(ISNA(VLOOKUP(E4258,#REF!,1,FALSE())),"?TYPE_IDENTIFIABLE","?REFERENTIAL"),"_")))))</f>
        <v> </v>
      </c>
      <c r="H4258" s="24" t="str">
        <f>IF(J4258&lt;&gt;1,"",IF(I4258="SBJ","CB","?"))</f>
        <v> </v>
      </c>
      <c r="I4258" s="25" t="str">
        <f>IF(OR(E4258="",E4258="!!!",F4258="NEW"),"",INDEX(B4257:B$2,-1+SUMPRODUCT(MAX(ROW(E4257:E$2)*(E4258=E4257:E$2)))))</f>
        <v> </v>
      </c>
      <c r="J4258" s="25" t="str">
        <f>IF(OR(E4258="",E4258="!!!",F4258="NEW"),"",COUNTBLANK(OFFSET(A$1,,,SUMPRODUCT(MAX(ROW(E$2:E4258)*(E4258=E$2:E4258)))))-COUNTBLANK(OFFSET(A$1,,,SUMPRODUCT(MAX(ROW(E$1:E4257)*(E2=E$1:E4257))))))</f>
        <v> </v>
      </c>
      <c r="K4258" s="25" t="str">
        <f>IF(OR(E4258="",E4258="!!!",F4258="NEW"),"",INDEX(J$1:J4257,SUMPRODUCT(MAX(ROW(E$1:E4257)*(E4258=E$1:E4257)))))</f>
        <v> </v>
      </c>
      <c r="L4258" s="26"/>
    </row>
    <row r="4259" spans="1:12">
      <c r="A4259" s="20" t="s">
        <v>1858</v>
      </c>
      <c r="B4259" s="27" t="s">
        <v>787</v>
      </c>
      <c r="C4259" s="27" t="s">
        <v>828</v>
      </c>
      <c r="D4259" s="27" t="s">
        <v>740</v>
      </c>
      <c r="E4259" s="21">
        <f>IF(D4259="?OLD","!!!","")</f>
        <v/>
      </c>
      <c r="F4259" s="22" t="str">
        <f>IF(OR(E4259="",E4259="!!!"),"",IF(NOT(ISNA(VLOOKUP(E4259,E$1:E4258,1,FALSE()))),"OLD",IF(AND(E4259&lt;&gt;"",E4259&lt;&gt;"!!!"),"NEW","")))</f>
        <v> </v>
      </c>
      <c r="G4259" s="23" t="str">
        <f>IF(OR(E4259="",E4259="!!!"),"",IF(OR(J4259=0,AND(J4259=1,K4259=1),AND(J4259=1,I4259="SBJ"),AND(J4259=1,I4259=0)),"?IN_FOCUS",IF(J4259&lt;=2,"?ACTIVATED",IF(J4259&lt;&gt;"","?FAMILIAR",IF(F4259="NEW",IF(ISNA(VLOOKUP(E4259,#REF!,1,FALSE())),"?TYPE_IDENTIFIABLE","?REFERENTIAL"),"_")))))</f>
        <v> </v>
      </c>
      <c r="H4259" s="24" t="str">
        <f>IF(J4259&lt;&gt;1,"",IF(I4259="SBJ","CB","?"))</f>
        <v> </v>
      </c>
      <c r="I4259" s="25" t="str">
        <f>IF(OR(E4259="",E4259="!!!",F4259="NEW"),"",INDEX(B4258:B$2,-1+SUMPRODUCT(MAX(ROW(E4258:E$2)*(E4259=E4258:E$2)))))</f>
        <v> </v>
      </c>
      <c r="J4259" s="25" t="str">
        <f>IF(OR(E4259="",E4259="!!!",F4259="NEW"),"",COUNTBLANK(OFFSET(A$1,,,SUMPRODUCT(MAX(ROW(E$2:E4259)*(E4259=E$2:E4259)))))-COUNTBLANK(OFFSET(A$1,,,SUMPRODUCT(MAX(ROW(E$1:E4258)*(E2=E$1:E4258))))))</f>
        <v> </v>
      </c>
      <c r="K4259" s="25" t="str">
        <f>IF(OR(E4259="",E4259="!!!",F4259="NEW"),"",INDEX(J$1:J4258,SUMPRODUCT(MAX(ROW(E$1:E4258)*(E4259=E$1:E4258)))))</f>
        <v> </v>
      </c>
      <c r="L4259" s="26"/>
    </row>
    <row r="4260" spans="1:12">
      <c r="A4260" s="20" t="s">
        <v>1982</v>
      </c>
      <c r="B4260" s="27" t="s">
        <v>795</v>
      </c>
      <c r="C4260" s="27" t="s">
        <v>734</v>
      </c>
      <c r="E4260" s="21">
        <f>IF(D4260="?OLD","!!!","")</f>
        <v/>
      </c>
      <c r="F4260" s="22" t="str">
        <f>IF(OR(E4260="",E4260="!!!"),"",IF(NOT(ISNA(VLOOKUP(E4260,E$1:E4259,1,FALSE()))),"OLD",IF(AND(E4260&lt;&gt;"",E4260&lt;&gt;"!!!"),"NEW","")))</f>
        <v> </v>
      </c>
      <c r="G4260" s="23" t="str">
        <f>IF(OR(E4260="",E4260="!!!"),"",IF(OR(J4260=0,AND(J4260=1,K4260=1),AND(J4260=1,I4260="SBJ"),AND(J4260=1,I4260=0)),"?IN_FOCUS",IF(J4260&lt;=2,"?ACTIVATED",IF(J4260&lt;&gt;"","?FAMILIAR",IF(F4260="NEW",IF(ISNA(VLOOKUP(E4260,#REF!,1,FALSE())),"?TYPE_IDENTIFIABLE","?REFERENTIAL"),"_")))))</f>
        <v> </v>
      </c>
      <c r="H4260" s="24" t="str">
        <f>IF(J4260&lt;&gt;1,"",IF(I4260="SBJ","CB","?"))</f>
        <v> </v>
      </c>
      <c r="I4260" s="25" t="str">
        <f>IF(OR(E4260="",E4260="!!!",F4260="NEW"),"",INDEX(B4259:B$2,-1+SUMPRODUCT(MAX(ROW(E4259:E$2)*(E4260=E4259:E$2)))))</f>
        <v> </v>
      </c>
      <c r="J4260" s="25" t="str">
        <f>IF(OR(E4260="",E4260="!!!",F4260="NEW"),"",COUNTBLANK(OFFSET(A$1,,,SUMPRODUCT(MAX(ROW(E$2:E4260)*(E4260=E$2:E4260)))))-COUNTBLANK(OFFSET(A$1,,,SUMPRODUCT(MAX(ROW(E$1:E4259)*(E2=E$1:E4259))))))</f>
        <v> </v>
      </c>
      <c r="K4260" s="25" t="str">
        <f>IF(OR(E4260="",E4260="!!!",F4260="NEW"),"",INDEX(J$1:J4259,SUMPRODUCT(MAX(ROW(E$1:E4259)*(E4260=E$1:E4259)))))</f>
        <v> </v>
      </c>
      <c r="L4260" s="26"/>
    </row>
    <row r="4261" spans="1:12">
      <c r="A4261" s="20" t="s">
        <v>1983</v>
      </c>
      <c r="E4261" s="21">
        <f>IF(D4261="?OLD","!!!","")</f>
        <v/>
      </c>
      <c r="F4261" s="22" t="str">
        <f>IF(OR(E4261="",E4261="!!!"),"",IF(NOT(ISNA(VLOOKUP(E4261,E$1:E4260,1,FALSE()))),"OLD",IF(AND(E4261&lt;&gt;"",E4261&lt;&gt;"!!!"),"NEW","")))</f>
        <v> </v>
      </c>
      <c r="G4261" s="23" t="str">
        <f>IF(OR(E4261="",E4261="!!!"),"",IF(OR(J4261=0,AND(J4261=1,K4261=1),AND(J4261=1,I4261="SBJ"),AND(J4261=1,I4261=0)),"?IN_FOCUS",IF(J4261&lt;=2,"?ACTIVATED",IF(J4261&lt;&gt;"","?FAMILIAR",IF(F4261="NEW",IF(ISNA(VLOOKUP(E4261,#REF!,1,FALSE())),"?TYPE_IDENTIFIABLE","?REFERENTIAL"),"_")))))</f>
        <v> </v>
      </c>
      <c r="H4261" s="24" t="str">
        <f>IF(J4261&lt;&gt;1,"",IF(I4261="SBJ","CB","?"))</f>
        <v> </v>
      </c>
      <c r="I4261" s="25" t="str">
        <f>IF(OR(E4261="",E4261="!!!",F4261="NEW"),"",INDEX(B4260:B$2,-1+SUMPRODUCT(MAX(ROW(E4260:E$2)*(E4261=E4260:E$2)))))</f>
        <v> </v>
      </c>
      <c r="J4261" s="25" t="str">
        <f>IF(OR(E4261="",E4261="!!!",F4261="NEW"),"",COUNTBLANK(OFFSET(A$1,,,SUMPRODUCT(MAX(ROW(E$2:E4261)*(E4261=E$2:E4261)))))-COUNTBLANK(OFFSET(A$1,,,SUMPRODUCT(MAX(ROW(E$1:E4260)*(E2=E$1:E4260))))))</f>
        <v> </v>
      </c>
      <c r="K4261" s="25" t="str">
        <f>IF(OR(E4261="",E4261="!!!",F4261="NEW"),"",INDEX(J$1:J4260,SUMPRODUCT(MAX(ROW(E$1:E4260)*(E4261=E$1:E4260)))))</f>
        <v> </v>
      </c>
      <c r="L4261" s="26"/>
    </row>
    <row r="4262" spans="1:12">
      <c r="A4262" s="20" t="s">
        <v>539</v>
      </c>
      <c r="E4262" s="21">
        <f>IF(D4262="?OLD","!!!","")</f>
        <v/>
      </c>
      <c r="F4262" s="22" t="str">
        <f>IF(OR(E4262="",E4262="!!!"),"",IF(NOT(ISNA(VLOOKUP(E4262,E$1:E4261,1,FALSE()))),"OLD",IF(AND(E4262&lt;&gt;"",E4262&lt;&gt;"!!!"),"NEW","")))</f>
        <v> </v>
      </c>
      <c r="G4262" s="23" t="str">
        <f>IF(OR(E4262="",E4262="!!!"),"",IF(OR(J4262=0,AND(J4262=1,K4262=1),AND(J4262=1,I4262="SBJ"),AND(J4262=1,I4262=0)),"?IN_FOCUS",IF(J4262&lt;=2,"?ACTIVATED",IF(J4262&lt;&gt;"","?FAMILIAR",IF(F4262="NEW",IF(ISNA(VLOOKUP(E4262,#REF!,1,FALSE())),"?TYPE_IDENTIFIABLE","?REFERENTIAL"),"_")))))</f>
        <v> </v>
      </c>
      <c r="H4262" s="24" t="str">
        <f>IF(J4262&lt;&gt;1,"",IF(I4262="SBJ","CB","?"))</f>
        <v> </v>
      </c>
      <c r="I4262" s="25" t="str">
        <f>IF(OR(E4262="",E4262="!!!",F4262="NEW"),"",INDEX(B4261:B$2,-1+SUMPRODUCT(MAX(ROW(E4261:E$2)*(E4262=E4261:E$2)))))</f>
        <v> </v>
      </c>
      <c r="J4262" s="25" t="str">
        <f>IF(OR(E4262="",E4262="!!!",F4262="NEW"),"",COUNTBLANK(OFFSET(A$1,,,SUMPRODUCT(MAX(ROW(E$2:E4262)*(E4262=E$2:E4262)))))-COUNTBLANK(OFFSET(A$1,,,SUMPRODUCT(MAX(ROW(E$1:E4261)*(E2=E$1:E4261))))))</f>
        <v> </v>
      </c>
      <c r="K4262" s="25" t="str">
        <f>IF(OR(E4262="",E4262="!!!",F4262="NEW"),"",INDEX(J$1:J4261,SUMPRODUCT(MAX(ROW(E$1:E4261)*(E4262=E$1:E4261)))))</f>
        <v> </v>
      </c>
      <c r="L4262" s="26"/>
    </row>
    <row r="4263" spans="1:12">
      <c r="A4263" s="20" t="s">
        <v>1173</v>
      </c>
      <c r="E4263" s="21">
        <f>IF(D4263="?OLD","!!!","")</f>
        <v/>
      </c>
      <c r="F4263" s="22" t="str">
        <f>IF(OR(E4263="",E4263="!!!"),"",IF(NOT(ISNA(VLOOKUP(E4263,E$1:E4262,1,FALSE()))),"OLD",IF(AND(E4263&lt;&gt;"",E4263&lt;&gt;"!!!"),"NEW","")))</f>
        <v> </v>
      </c>
      <c r="G4263" s="23" t="str">
        <f>IF(OR(E4263="",E4263="!!!"),"",IF(OR(J4263=0,AND(J4263=1,K4263=1),AND(J4263=1,I4263="SBJ"),AND(J4263=1,I4263=0)),"?IN_FOCUS",IF(J4263&lt;=2,"?ACTIVATED",IF(J4263&lt;&gt;"","?FAMILIAR",IF(F4263="NEW",IF(ISNA(VLOOKUP(E4263,#REF!,1,FALSE())),"?TYPE_IDENTIFIABLE","?REFERENTIAL"),"_")))))</f>
        <v> </v>
      </c>
      <c r="H4263" s="24" t="str">
        <f>IF(J4263&lt;&gt;1,"",IF(I4263="SBJ","CB","?"))</f>
        <v> </v>
      </c>
      <c r="I4263" s="25" t="str">
        <f>IF(OR(E4263="",E4263="!!!",F4263="NEW"),"",INDEX(B4262:B$2,-1+SUMPRODUCT(MAX(ROW(E4262:E$2)*(E4263=E4262:E$2)))))</f>
        <v> </v>
      </c>
      <c r="J4263" s="25" t="str">
        <f>IF(OR(E4263="",E4263="!!!",F4263="NEW"),"",COUNTBLANK(OFFSET(A$1,,,SUMPRODUCT(MAX(ROW(E$2:E4263)*(E4263=E$2:E4263)))))-COUNTBLANK(OFFSET(A$1,,,SUMPRODUCT(MAX(ROW(E$1:E4262)*(E2=E$1:E4262))))))</f>
        <v> </v>
      </c>
      <c r="K4263" s="25" t="str">
        <f>IF(OR(E4263="",E4263="!!!",F4263="NEW"),"",INDEX(J$1:J4262,SUMPRODUCT(MAX(ROW(E$1:E4262)*(E4263=E$1:E4262)))))</f>
        <v> </v>
      </c>
      <c r="L4263" s="26"/>
    </row>
    <row r="4264" spans="1:12">
      <c r="A4264" s="20" t="s">
        <v>753</v>
      </c>
      <c r="E4264" s="21">
        <f>IF(D4264="?OLD","!!!","")</f>
        <v/>
      </c>
      <c r="F4264" s="22" t="str">
        <f>IF(OR(E4264="",E4264="!!!"),"",IF(NOT(ISNA(VLOOKUP(E4264,E$1:E4263,1,FALSE()))),"OLD",IF(AND(E4264&lt;&gt;"",E4264&lt;&gt;"!!!"),"NEW","")))</f>
        <v> </v>
      </c>
      <c r="G4264" s="23" t="str">
        <f>IF(OR(E4264="",E4264="!!!"),"",IF(OR(J4264=0,AND(J4264=1,K4264=1),AND(J4264=1,I4264="SBJ"),AND(J4264=1,I4264=0)),"?IN_FOCUS",IF(J4264&lt;=2,"?ACTIVATED",IF(J4264&lt;&gt;"","?FAMILIAR",IF(F4264="NEW",IF(ISNA(VLOOKUP(E4264,#REF!,1,FALSE())),"?TYPE_IDENTIFIABLE","?REFERENTIAL"),"_")))))</f>
        <v> </v>
      </c>
      <c r="H4264" s="24" t="str">
        <f>IF(J4264&lt;&gt;1,"",IF(I4264="SBJ","CB","?"))</f>
        <v> </v>
      </c>
      <c r="I4264" s="25" t="str">
        <f>IF(OR(E4264="",E4264="!!!",F4264="NEW"),"",INDEX(B4263:B$2,-1+SUMPRODUCT(MAX(ROW(E4263:E$2)*(E4264=E4263:E$2)))))</f>
        <v> </v>
      </c>
      <c r="J4264" s="25" t="str">
        <f>IF(OR(E4264="",E4264="!!!",F4264="NEW"),"",COUNTBLANK(OFFSET(A$1,,,SUMPRODUCT(MAX(ROW(E$2:E4264)*(E4264=E$2:E4264)))))-COUNTBLANK(OFFSET(A$1,,,SUMPRODUCT(MAX(ROW(E$1:E4263)*(E2=E$1:E4263))))))</f>
        <v> </v>
      </c>
      <c r="K4264" s="25" t="str">
        <f>IF(OR(E4264="",E4264="!!!",F4264="NEW"),"",INDEX(J$1:J4263,SUMPRODUCT(MAX(ROW(E$1:E4263)*(E4264=E$1:E4263)))))</f>
        <v> </v>
      </c>
      <c r="L4264" s="26"/>
    </row>
    <row r="4265" spans="1:12">
      <c r="A4265" s="20" t="s">
        <v>264</v>
      </c>
      <c r="E4265" s="21">
        <f>IF(D4265="?OLD","!!!","")</f>
        <v/>
      </c>
      <c r="F4265" s="22" t="str">
        <f>IF(OR(E4265="",E4265="!!!"),"",IF(NOT(ISNA(VLOOKUP(E4265,E$1:E4264,1,FALSE()))),"OLD",IF(AND(E4265&lt;&gt;"",E4265&lt;&gt;"!!!"),"NEW","")))</f>
        <v> </v>
      </c>
      <c r="G4265" s="23" t="str">
        <f>IF(OR(E4265="",E4265="!!!"),"",IF(OR(J4265=0,AND(J4265=1,K4265=1),AND(J4265=1,I4265="SBJ"),AND(J4265=1,I4265=0)),"?IN_FOCUS",IF(J4265&lt;=2,"?ACTIVATED",IF(J4265&lt;&gt;"","?FAMILIAR",IF(F4265="NEW",IF(ISNA(VLOOKUP(E4265,#REF!,1,FALSE())),"?TYPE_IDENTIFIABLE","?REFERENTIAL"),"_")))))</f>
        <v> </v>
      </c>
      <c r="H4265" s="24" t="str">
        <f>IF(J4265&lt;&gt;1,"",IF(I4265="SBJ","CB","?"))</f>
        <v> </v>
      </c>
      <c r="I4265" s="25" t="str">
        <f>IF(OR(E4265="",E4265="!!!",F4265="NEW"),"",INDEX(B4264:B$2,-1+SUMPRODUCT(MAX(ROW(E4264:E$2)*(E4265=E4264:E$2)))))</f>
        <v> </v>
      </c>
      <c r="J4265" s="25" t="str">
        <f>IF(OR(E4265="",E4265="!!!",F4265="NEW"),"",COUNTBLANK(OFFSET(A$1,,,SUMPRODUCT(MAX(ROW(E$2:E4265)*(E4265=E$2:E4265)))))-COUNTBLANK(OFFSET(A$1,,,SUMPRODUCT(MAX(ROW(E$1:E4264)*(E2=E$1:E4264))))))</f>
        <v> </v>
      </c>
      <c r="K4265" s="25" t="str">
        <f>IF(OR(E4265="",E4265="!!!",F4265="NEW"),"",INDEX(J$1:J4264,SUMPRODUCT(MAX(ROW(E$1:E4264)*(E4265=E$1:E4264)))))</f>
        <v> </v>
      </c>
      <c r="L4265" s="26"/>
    </row>
    <row r="4266" spans="1:12">
      <c r="A4266" s="20" t="s">
        <v>831</v>
      </c>
      <c r="B4266" s="27" t="s">
        <v>728</v>
      </c>
      <c r="C4266" s="27" t="s">
        <v>775</v>
      </c>
      <c r="D4266" s="27" t="s">
        <v>740</v>
      </c>
      <c r="E4266" s="21">
        <f>IF(D4266="?OLD","!!!","")</f>
        <v/>
      </c>
      <c r="F4266" s="22" t="str">
        <f>IF(OR(E4266="",E4266="!!!"),"",IF(NOT(ISNA(VLOOKUP(E4266,E$1:E4265,1,FALSE()))),"OLD",IF(AND(E4266&lt;&gt;"",E4266&lt;&gt;"!!!"),"NEW","")))</f>
        <v> </v>
      </c>
      <c r="G4266" s="23" t="str">
        <f>IF(OR(E4266="",E4266="!!!"),"",IF(OR(J4266=0,AND(J4266=1,K4266=1),AND(J4266=1,I4266="SBJ"),AND(J4266=1,I4266=0)),"?IN_FOCUS",IF(J4266&lt;=2,"?ACTIVATED",IF(J4266&lt;&gt;"","?FAMILIAR",IF(F4266="NEW",IF(ISNA(VLOOKUP(E4266,#REF!,1,FALSE())),"?TYPE_IDENTIFIABLE","?REFERENTIAL"),"_")))))</f>
        <v> </v>
      </c>
      <c r="H4266" s="24" t="str">
        <f>IF(J4266&lt;&gt;1,"",IF(I4266="SBJ","CB","?"))</f>
        <v> </v>
      </c>
      <c r="I4266" s="25" t="str">
        <f>IF(OR(E4266="",E4266="!!!",F4266="NEW"),"",INDEX(B4265:B$2,-1+SUMPRODUCT(MAX(ROW(E4265:E$2)*(E4266=E4265:E$2)))))</f>
        <v> </v>
      </c>
      <c r="J4266" s="25" t="str">
        <f>IF(OR(E4266="",E4266="!!!",F4266="NEW"),"",COUNTBLANK(OFFSET(A$1,,,SUMPRODUCT(MAX(ROW(E$2:E4266)*(E4266=E$2:E4266)))))-COUNTBLANK(OFFSET(A$1,,,SUMPRODUCT(MAX(ROW(E$1:E4265)*(E2=E$1:E4265))))))</f>
        <v> </v>
      </c>
      <c r="K4266" s="25" t="str">
        <f>IF(OR(E4266="",E4266="!!!",F4266="NEW"),"",INDEX(J$1:J4265,SUMPRODUCT(MAX(ROW(E$1:E4265)*(E4266=E$1:E4265)))))</f>
        <v> </v>
      </c>
      <c r="L4266" s="26"/>
    </row>
    <row r="4267" spans="1:12">
      <c r="A4267" s="20" t="s">
        <v>1110</v>
      </c>
      <c r="B4267" s="27" t="s">
        <v>733</v>
      </c>
      <c r="C4267" s="27" t="s">
        <v>792</v>
      </c>
      <c r="D4267" s="27" t="s">
        <v>740</v>
      </c>
      <c r="E4267" s="21">
        <f>IF(D4267="?OLD","!!!","")</f>
        <v/>
      </c>
      <c r="F4267" s="22" t="str">
        <f>IF(OR(E4267="",E4267="!!!"),"",IF(NOT(ISNA(VLOOKUP(E4267,E$1:E4266,1,FALSE()))),"OLD",IF(AND(E4267&lt;&gt;"",E4267&lt;&gt;"!!!"),"NEW","")))</f>
        <v> </v>
      </c>
      <c r="G4267" s="23" t="str">
        <f>IF(OR(E4267="",E4267="!!!"),"",IF(OR(J4267=0,AND(J4267=1,K4267=1),AND(J4267=1,I4267="SBJ"),AND(J4267=1,I4267=0)),"?IN_FOCUS",IF(J4267&lt;=2,"?ACTIVATED",IF(J4267&lt;&gt;"","?FAMILIAR",IF(F4267="NEW",IF(ISNA(VLOOKUP(E4267,#REF!,1,FALSE())),"?TYPE_IDENTIFIABLE","?REFERENTIAL"),"_")))))</f>
        <v> </v>
      </c>
      <c r="H4267" s="24" t="str">
        <f>IF(J4267&lt;&gt;1,"",IF(I4267="SBJ","CB","?"))</f>
        <v> </v>
      </c>
      <c r="I4267" s="25" t="str">
        <f>IF(OR(E4267="",E4267="!!!",F4267="NEW"),"",INDEX(B4266:B$2,-1+SUMPRODUCT(MAX(ROW(E4266:E$2)*(E4267=E4266:E$2)))))</f>
        <v> </v>
      </c>
      <c r="J4267" s="25" t="str">
        <f>IF(OR(E4267="",E4267="!!!",F4267="NEW"),"",COUNTBLANK(OFFSET(A$1,,,SUMPRODUCT(MAX(ROW(E$2:E4267)*(E4267=E$2:E4267)))))-COUNTBLANK(OFFSET(A$1,,,SUMPRODUCT(MAX(ROW(E$1:E4266)*(E2=E$1:E4266))))))</f>
        <v> </v>
      </c>
      <c r="K4267" s="25" t="str">
        <f>IF(OR(E4267="",E4267="!!!",F4267="NEW"),"",INDEX(J$1:J4266,SUMPRODUCT(MAX(ROW(E$1:E4266)*(E4267=E$1:E4266)))))</f>
        <v> </v>
      </c>
      <c r="L4267" s="26"/>
    </row>
    <row r="4268" spans="1:12">
      <c r="A4268" s="20" t="s">
        <v>1984</v>
      </c>
      <c r="E4268" s="21">
        <f>IF(D4268="?OLD","!!!","")</f>
        <v/>
      </c>
      <c r="F4268" s="22" t="str">
        <f>IF(OR(E4268="",E4268="!!!"),"",IF(NOT(ISNA(VLOOKUP(E4268,E$1:E4267,1,FALSE()))),"OLD",IF(AND(E4268&lt;&gt;"",E4268&lt;&gt;"!!!"),"NEW","")))</f>
        <v> </v>
      </c>
      <c r="G4268" s="23" t="str">
        <f>IF(OR(E4268="",E4268="!!!"),"",IF(OR(J4268=0,AND(J4268=1,K4268=1),AND(J4268=1,I4268="SBJ"),AND(J4268=1,I4268=0)),"?IN_FOCUS",IF(J4268&lt;=2,"?ACTIVATED",IF(J4268&lt;&gt;"","?FAMILIAR",IF(F4268="NEW",IF(ISNA(VLOOKUP(E4268,#REF!,1,FALSE())),"?TYPE_IDENTIFIABLE","?REFERENTIAL"),"_")))))</f>
        <v> </v>
      </c>
      <c r="H4268" s="24" t="str">
        <f>IF(J4268&lt;&gt;1,"",IF(I4268="SBJ","CB","?"))</f>
        <v> </v>
      </c>
      <c r="I4268" s="25" t="str">
        <f>IF(OR(E4268="",E4268="!!!",F4268="NEW"),"",INDEX(B4267:B$2,-1+SUMPRODUCT(MAX(ROW(E4267:E$2)*(E4268=E4267:E$2)))))</f>
        <v> </v>
      </c>
      <c r="J4268" s="25" t="str">
        <f>IF(OR(E4268="",E4268="!!!",F4268="NEW"),"",COUNTBLANK(OFFSET(A$1,,,SUMPRODUCT(MAX(ROW(E$2:E4268)*(E4268=E$2:E4268)))))-COUNTBLANK(OFFSET(A$1,,,SUMPRODUCT(MAX(ROW(E$1:E4267)*(E2=E$1:E4267))))))</f>
        <v> </v>
      </c>
      <c r="K4268" s="25" t="str">
        <f>IF(OR(E4268="",E4268="!!!",F4268="NEW"),"",INDEX(J$1:J4267,SUMPRODUCT(MAX(ROW(E$1:E4267)*(E4268=E$1:E4267)))))</f>
        <v> </v>
      </c>
      <c r="L4268" s="26"/>
    </row>
    <row r="4269" spans="1:12">
      <c r="A4269" s="20" t="s">
        <v>1985</v>
      </c>
      <c r="B4269" s="27" t="s">
        <v>738</v>
      </c>
      <c r="C4269" s="27" t="s">
        <v>908</v>
      </c>
      <c r="D4269" s="27" t="s">
        <v>740</v>
      </c>
      <c r="E4269" s="21">
        <f>IF(D4269="?OLD","!!!","")</f>
        <v/>
      </c>
      <c r="F4269" s="22" t="str">
        <f>IF(OR(E4269="",E4269="!!!"),"",IF(NOT(ISNA(VLOOKUP(E4269,E$1:E4268,1,FALSE()))),"OLD",IF(AND(E4269&lt;&gt;"",E4269&lt;&gt;"!!!"),"NEW","")))</f>
        <v> </v>
      </c>
      <c r="G4269" s="23" t="str">
        <f>IF(OR(E4269="",E4269="!!!"),"",IF(OR(J4269=0,AND(J4269=1,K4269=1),AND(J4269=1,I4269="SBJ"),AND(J4269=1,I4269=0)),"?IN_FOCUS",IF(J4269&lt;=2,"?ACTIVATED",IF(J4269&lt;&gt;"","?FAMILIAR",IF(F4269="NEW",IF(ISNA(VLOOKUP(E4269,#REF!,1,FALSE())),"?TYPE_IDENTIFIABLE","?REFERENTIAL"),"_")))))</f>
        <v> </v>
      </c>
      <c r="H4269" s="24" t="str">
        <f>IF(J4269&lt;&gt;1,"",IF(I4269="SBJ","CB","?"))</f>
        <v> </v>
      </c>
      <c r="I4269" s="25" t="str">
        <f>IF(OR(E4269="",E4269="!!!",F4269="NEW"),"",INDEX(B4268:B$2,-1+SUMPRODUCT(MAX(ROW(E4268:E$2)*(E4269=E4268:E$2)))))</f>
        <v> </v>
      </c>
      <c r="J4269" s="25" t="str">
        <f>IF(OR(E4269="",E4269="!!!",F4269="NEW"),"",COUNTBLANK(OFFSET(A$1,,,SUMPRODUCT(MAX(ROW(E$2:E4269)*(E4269=E$2:E4269)))))-COUNTBLANK(OFFSET(A$1,,,SUMPRODUCT(MAX(ROW(E$1:E4268)*(E2=E$1:E4268))))))</f>
        <v> </v>
      </c>
      <c r="K4269" s="25" t="str">
        <f>IF(OR(E4269="",E4269="!!!",F4269="NEW"),"",INDEX(J$1:J4268,SUMPRODUCT(MAX(ROW(E$1:E4268)*(E4269=E$1:E4268)))))</f>
        <v> </v>
      </c>
      <c r="L4269" s="26"/>
    </row>
    <row r="4270" spans="1:12">
      <c r="A4270" s="20" t="s">
        <v>999</v>
      </c>
      <c r="E4270" s="21">
        <f>IF(D4270="?OLD","!!!","")</f>
        <v/>
      </c>
      <c r="F4270" s="22" t="str">
        <f>IF(OR(E4270="",E4270="!!!"),"",IF(NOT(ISNA(VLOOKUP(E4270,E$1:E4269,1,FALSE()))),"OLD",IF(AND(E4270&lt;&gt;"",E4270&lt;&gt;"!!!"),"NEW","")))</f>
        <v> </v>
      </c>
      <c r="G4270" s="23" t="str">
        <f>IF(OR(E4270="",E4270="!!!"),"",IF(OR(J4270=0,AND(J4270=1,K4270=1),AND(J4270=1,I4270="SBJ"),AND(J4270=1,I4270=0)),"?IN_FOCUS",IF(J4270&lt;=2,"?ACTIVATED",IF(J4270&lt;&gt;"","?FAMILIAR",IF(F4270="NEW",IF(ISNA(VLOOKUP(E4270,#REF!,1,FALSE())),"?TYPE_IDENTIFIABLE","?REFERENTIAL"),"_")))))</f>
        <v> </v>
      </c>
      <c r="H4270" s="24" t="str">
        <f>IF(J4270&lt;&gt;1,"",IF(I4270="SBJ","CB","?"))</f>
        <v> </v>
      </c>
      <c r="I4270" s="25" t="str">
        <f>IF(OR(E4270="",E4270="!!!",F4270="NEW"),"",INDEX(B4269:B$2,-1+SUMPRODUCT(MAX(ROW(E4269:E$2)*(E4270=E4269:E$2)))))</f>
        <v> </v>
      </c>
      <c r="J4270" s="25" t="str">
        <f>IF(OR(E4270="",E4270="!!!",F4270="NEW"),"",COUNTBLANK(OFFSET(A$1,,,SUMPRODUCT(MAX(ROW(E$2:E4270)*(E4270=E$2:E4270)))))-COUNTBLANK(OFFSET(A$1,,,SUMPRODUCT(MAX(ROW(E$1:E4269)*(E2=E$1:E4269))))))</f>
        <v> </v>
      </c>
      <c r="K4270" s="25" t="str">
        <f>IF(OR(E4270="",E4270="!!!",F4270="NEW"),"",INDEX(J$1:J4269,SUMPRODUCT(MAX(ROW(E$1:E4269)*(E4270=E$1:E4269)))))</f>
        <v> </v>
      </c>
      <c r="L4270" s="26"/>
    </row>
    <row r="4271" spans="1:12">
      <c r="A4271" s="20" t="s">
        <v>1986</v>
      </c>
      <c r="B4271" s="27" t="s">
        <v>733</v>
      </c>
      <c r="C4271" s="27" t="s">
        <v>734</v>
      </c>
      <c r="E4271" s="21">
        <f>IF(D4271="?OLD","!!!","")</f>
        <v/>
      </c>
      <c r="F4271" s="22" t="str">
        <f>IF(OR(E4271="",E4271="!!!"),"",IF(NOT(ISNA(VLOOKUP(E4271,E$1:E4270,1,FALSE()))),"OLD",IF(AND(E4271&lt;&gt;"",E4271&lt;&gt;"!!!"),"NEW","")))</f>
        <v> </v>
      </c>
      <c r="G4271" s="23" t="str">
        <f>IF(OR(E4271="",E4271="!!!"),"",IF(OR(J4271=0,AND(J4271=1,K4271=1),AND(J4271=1,I4271="SBJ"),AND(J4271=1,I4271=0)),"?IN_FOCUS",IF(J4271&lt;=2,"?ACTIVATED",IF(J4271&lt;&gt;"","?FAMILIAR",IF(F4271="NEW",IF(ISNA(VLOOKUP(E4271,#REF!,1,FALSE())),"?TYPE_IDENTIFIABLE","?REFERENTIAL"),"_")))))</f>
        <v> </v>
      </c>
      <c r="H4271" s="24" t="str">
        <f>IF(J4271&lt;&gt;1,"",IF(I4271="SBJ","CB","?"))</f>
        <v> </v>
      </c>
      <c r="I4271" s="25" t="str">
        <f>IF(OR(E4271="",E4271="!!!",F4271="NEW"),"",INDEX(B4270:B$2,-1+SUMPRODUCT(MAX(ROW(E4270:E$2)*(E4271=E4270:E$2)))))</f>
        <v> </v>
      </c>
      <c r="J4271" s="25" t="str">
        <f>IF(OR(E4271="",E4271="!!!",F4271="NEW"),"",COUNTBLANK(OFFSET(A$1,,,SUMPRODUCT(MAX(ROW(E$2:E4271)*(E4271=E$2:E4271)))))-COUNTBLANK(OFFSET(A$1,,,SUMPRODUCT(MAX(ROW(E$1:E4270)*(E2=E$1:E4270))))))</f>
        <v> </v>
      </c>
      <c r="K4271" s="25" t="str">
        <f>IF(OR(E4271="",E4271="!!!",F4271="NEW"),"",INDEX(J$1:J4270,SUMPRODUCT(MAX(ROW(E$1:E4270)*(E4271=E$1:E4270)))))</f>
        <v> </v>
      </c>
      <c r="L4271" s="26"/>
    </row>
    <row r="4272" spans="1:12">
      <c r="A4272" s="20" t="s">
        <v>788</v>
      </c>
      <c r="E4272" s="21">
        <f>IF(D4272="?OLD","!!!","")</f>
        <v/>
      </c>
      <c r="F4272" s="22" t="str">
        <f>IF(OR(E4272="",E4272="!!!"),"",IF(NOT(ISNA(VLOOKUP(E4272,E$1:E4271,1,FALSE()))),"OLD",IF(AND(E4272&lt;&gt;"",E4272&lt;&gt;"!!!"),"NEW","")))</f>
        <v> </v>
      </c>
      <c r="G4272" s="23" t="str">
        <f>IF(OR(E4272="",E4272="!!!"),"",IF(OR(J4272=0,AND(J4272=1,K4272=1),AND(J4272=1,I4272="SBJ"),AND(J4272=1,I4272=0)),"?IN_FOCUS",IF(J4272&lt;=2,"?ACTIVATED",IF(J4272&lt;&gt;"","?FAMILIAR",IF(F4272="NEW",IF(ISNA(VLOOKUP(E4272,#REF!,1,FALSE())),"?TYPE_IDENTIFIABLE","?REFERENTIAL"),"_")))))</f>
        <v> </v>
      </c>
      <c r="H4272" s="24" t="str">
        <f>IF(J4272&lt;&gt;1,"",IF(I4272="SBJ","CB","?"))</f>
        <v> </v>
      </c>
      <c r="I4272" s="25" t="str">
        <f>IF(OR(E4272="",E4272="!!!",F4272="NEW"),"",INDEX(B4271:B$2,-1+SUMPRODUCT(MAX(ROW(E4271:E$2)*(E4272=E4271:E$2)))))</f>
        <v> </v>
      </c>
      <c r="J4272" s="25" t="str">
        <f>IF(OR(E4272="",E4272="!!!",F4272="NEW"),"",COUNTBLANK(OFFSET(A$1,,,SUMPRODUCT(MAX(ROW(E$2:E4272)*(E4272=E$2:E4272)))))-COUNTBLANK(OFFSET(A$1,,,SUMPRODUCT(MAX(ROW(E$1:E4271)*(E2=E$1:E4271))))))</f>
        <v> </v>
      </c>
      <c r="K4272" s="25" t="str">
        <f>IF(OR(E4272="",E4272="!!!",F4272="NEW"),"",INDEX(J$1:J4271,SUMPRODUCT(MAX(ROW(E$1:E4271)*(E4272=E$1:E4271)))))</f>
        <v> </v>
      </c>
      <c r="L4272" s="26"/>
    </row>
    <row r="4273" spans="1:12">
      <c r="A4273" s="20" t="s">
        <v>938</v>
      </c>
      <c r="B4273" s="27" t="s">
        <v>777</v>
      </c>
      <c r="C4273" s="27" t="s">
        <v>734</v>
      </c>
      <c r="E4273" s="21">
        <f>IF(D4273="?OLD","!!!","")</f>
        <v/>
      </c>
      <c r="F4273" s="22" t="str">
        <f>IF(OR(E4273="",E4273="!!!"),"",IF(NOT(ISNA(VLOOKUP(E4273,E$1:E4272,1,FALSE()))),"OLD",IF(AND(E4273&lt;&gt;"",E4273&lt;&gt;"!!!"),"NEW","")))</f>
        <v> </v>
      </c>
      <c r="G4273" s="23" t="str">
        <f>IF(OR(E4273="",E4273="!!!"),"",IF(OR(J4273=0,AND(J4273=1,K4273=1),AND(J4273=1,I4273="SBJ"),AND(J4273=1,I4273=0)),"?IN_FOCUS",IF(J4273&lt;=2,"?ACTIVATED",IF(J4273&lt;&gt;"","?FAMILIAR",IF(F4273="NEW",IF(ISNA(VLOOKUP(E4273,#REF!,1,FALSE())),"?TYPE_IDENTIFIABLE","?REFERENTIAL"),"_")))))</f>
        <v> </v>
      </c>
      <c r="H4273" s="24" t="str">
        <f>IF(J4273&lt;&gt;1,"",IF(I4273="SBJ","CB","?"))</f>
        <v> </v>
      </c>
      <c r="I4273" s="25" t="str">
        <f>IF(OR(E4273="",E4273="!!!",F4273="NEW"),"",INDEX(B4272:B$2,-1+SUMPRODUCT(MAX(ROW(E4272:E$2)*(E4273=E4272:E$2)))))</f>
        <v> </v>
      </c>
      <c r="J4273" s="25" t="str">
        <f>IF(OR(E4273="",E4273="!!!",F4273="NEW"),"",COUNTBLANK(OFFSET(A$1,,,SUMPRODUCT(MAX(ROW(E$2:E4273)*(E4273=E$2:E4273)))))-COUNTBLANK(OFFSET(A$1,,,SUMPRODUCT(MAX(ROW(E$1:E4272)*(E2=E$1:E4272))))))</f>
        <v> </v>
      </c>
      <c r="K4273" s="25" t="str">
        <f>IF(OR(E4273="",E4273="!!!",F4273="NEW"),"",INDEX(J$1:J4272,SUMPRODUCT(MAX(ROW(E$1:E4272)*(E4273=E$1:E4272)))))</f>
        <v> </v>
      </c>
      <c r="L4273" s="26"/>
    </row>
    <row r="4274" spans="1:12">
      <c r="A4274" s="20" t="s">
        <v>753</v>
      </c>
      <c r="E4274" s="21">
        <f>IF(D4274="?OLD","!!!","")</f>
        <v/>
      </c>
      <c r="F4274" s="22" t="str">
        <f>IF(OR(E4274="",E4274="!!!"),"",IF(NOT(ISNA(VLOOKUP(E4274,E$1:E4273,1,FALSE()))),"OLD",IF(AND(E4274&lt;&gt;"",E4274&lt;&gt;"!!!"),"NEW","")))</f>
        <v> </v>
      </c>
      <c r="G4274" s="23" t="str">
        <f>IF(OR(E4274="",E4274="!!!"),"",IF(OR(J4274=0,AND(J4274=1,K4274=1),AND(J4274=1,I4274="SBJ"),AND(J4274=1,I4274=0)),"?IN_FOCUS",IF(J4274&lt;=2,"?ACTIVATED",IF(J4274&lt;&gt;"","?FAMILIAR",IF(F4274="NEW",IF(ISNA(VLOOKUP(E4274,#REF!,1,FALSE())),"?TYPE_IDENTIFIABLE","?REFERENTIAL"),"_")))))</f>
        <v> </v>
      </c>
      <c r="H4274" s="24" t="str">
        <f>IF(J4274&lt;&gt;1,"",IF(I4274="SBJ","CB","?"))</f>
        <v> </v>
      </c>
      <c r="I4274" s="25" t="str">
        <f>IF(OR(E4274="",E4274="!!!",F4274="NEW"),"",INDEX(B4273:B$2,-1+SUMPRODUCT(MAX(ROW(E4273:E$2)*(E4274=E4273:E$2)))))</f>
        <v> </v>
      </c>
      <c r="J4274" s="25" t="str">
        <f>IF(OR(E4274="",E4274="!!!",F4274="NEW"),"",COUNTBLANK(OFFSET(A$1,,,SUMPRODUCT(MAX(ROW(E$2:E4274)*(E4274=E$2:E4274)))))-COUNTBLANK(OFFSET(A$1,,,SUMPRODUCT(MAX(ROW(E$1:E4273)*(E2=E$1:E4273))))))</f>
        <v> </v>
      </c>
      <c r="K4274" s="25" t="str">
        <f>IF(OR(E4274="",E4274="!!!",F4274="NEW"),"",INDEX(J$1:J4273,SUMPRODUCT(MAX(ROW(E$1:E4273)*(E4274=E$1:E4273)))))</f>
        <v> </v>
      </c>
      <c r="L4274" s="26"/>
    </row>
    <row r="4275" spans="1:12">
      <c r="A4275" s="20" t="s">
        <v>1328</v>
      </c>
      <c r="E4275" s="21">
        <f>IF(D4275="?OLD","!!!","")</f>
        <v/>
      </c>
      <c r="F4275" s="22" t="str">
        <f>IF(OR(E4275="",E4275="!!!"),"",IF(NOT(ISNA(VLOOKUP(E4275,E$1:E4274,1,FALSE()))),"OLD",IF(AND(E4275&lt;&gt;"",E4275&lt;&gt;"!!!"),"NEW","")))</f>
        <v> </v>
      </c>
      <c r="G4275" s="23" t="str">
        <f>IF(OR(E4275="",E4275="!!!"),"",IF(OR(J4275=0,AND(J4275=1,K4275=1),AND(J4275=1,I4275="SBJ"),AND(J4275=1,I4275=0)),"?IN_FOCUS",IF(J4275&lt;=2,"?ACTIVATED",IF(J4275&lt;&gt;"","?FAMILIAR",IF(F4275="NEW",IF(ISNA(VLOOKUP(E4275,#REF!,1,FALSE())),"?TYPE_IDENTIFIABLE","?REFERENTIAL"),"_")))))</f>
        <v> </v>
      </c>
      <c r="H4275" s="24" t="str">
        <f>IF(J4275&lt;&gt;1,"",IF(I4275="SBJ","CB","?"))</f>
        <v> </v>
      </c>
      <c r="I4275" s="25" t="str">
        <f>IF(OR(E4275="",E4275="!!!",F4275="NEW"),"",INDEX(B4274:B$2,-1+SUMPRODUCT(MAX(ROW(E4274:E$2)*(E4275=E4274:E$2)))))</f>
        <v> </v>
      </c>
      <c r="J4275" s="25" t="str">
        <f>IF(OR(E4275="",E4275="!!!",F4275="NEW"),"",COUNTBLANK(OFFSET(A$1,,,SUMPRODUCT(MAX(ROW(E$2:E4275)*(E4275=E$2:E4275)))))-COUNTBLANK(OFFSET(A$1,,,SUMPRODUCT(MAX(ROW(E$1:E4274)*(E2=E$1:E4274))))))</f>
        <v> </v>
      </c>
      <c r="K4275" s="25" t="str">
        <f>IF(OR(E4275="",E4275="!!!",F4275="NEW"),"",INDEX(J$1:J4274,SUMPRODUCT(MAX(ROW(E$1:E4274)*(E4275=E$1:E4274)))))</f>
        <v> </v>
      </c>
      <c r="L4275" s="26"/>
    </row>
    <row r="4276" spans="1:12">
      <c r="A4276" s="20" t="s">
        <v>1110</v>
      </c>
      <c r="B4276" s="27" t="s">
        <v>777</v>
      </c>
      <c r="C4276" s="27" t="s">
        <v>792</v>
      </c>
      <c r="D4276" s="27" t="s">
        <v>740</v>
      </c>
      <c r="E4276" s="21">
        <f>IF(D4276="?OLD","!!!","")</f>
        <v/>
      </c>
      <c r="F4276" s="22" t="str">
        <f>IF(OR(E4276="",E4276="!!!"),"",IF(NOT(ISNA(VLOOKUP(E4276,E$1:E4275,1,FALSE()))),"OLD",IF(AND(E4276&lt;&gt;"",E4276&lt;&gt;"!!!"),"NEW","")))</f>
        <v> </v>
      </c>
      <c r="G4276" s="23" t="str">
        <f>IF(OR(E4276="",E4276="!!!"),"",IF(OR(J4276=0,AND(J4276=1,K4276=1),AND(J4276=1,I4276="SBJ"),AND(J4276=1,I4276=0)),"?IN_FOCUS",IF(J4276&lt;=2,"?ACTIVATED",IF(J4276&lt;&gt;"","?FAMILIAR",IF(F4276="NEW",IF(ISNA(VLOOKUP(E4276,#REF!,1,FALSE())),"?TYPE_IDENTIFIABLE","?REFERENTIAL"),"_")))))</f>
        <v> </v>
      </c>
      <c r="H4276" s="24" t="str">
        <f>IF(J4276&lt;&gt;1,"",IF(I4276="SBJ","CB","?"))</f>
        <v> </v>
      </c>
      <c r="I4276" s="25" t="str">
        <f>IF(OR(E4276="",E4276="!!!",F4276="NEW"),"",INDEX(B4275:B$2,-1+SUMPRODUCT(MAX(ROW(E4275:E$2)*(E4276=E4275:E$2)))))</f>
        <v> </v>
      </c>
      <c r="J4276" s="25" t="str">
        <f>IF(OR(E4276="",E4276="!!!",F4276="NEW"),"",COUNTBLANK(OFFSET(A$1,,,SUMPRODUCT(MAX(ROW(E$2:E4276)*(E4276=E$2:E4276)))))-COUNTBLANK(OFFSET(A$1,,,SUMPRODUCT(MAX(ROW(E$1:E4275)*(E2=E$1:E4275))))))</f>
        <v> </v>
      </c>
      <c r="K4276" s="25" t="str">
        <f>IF(OR(E4276="",E4276="!!!",F4276="NEW"),"",INDEX(J$1:J4275,SUMPRODUCT(MAX(ROW(E$1:E4275)*(E4276=E$1:E4275)))))</f>
        <v> </v>
      </c>
      <c r="L4276" s="26"/>
    </row>
    <row r="4277" spans="1:12">
      <c r="A4277" s="20" t="s">
        <v>1987</v>
      </c>
      <c r="B4277" s="27" t="s">
        <v>779</v>
      </c>
      <c r="C4277" s="27" t="s">
        <v>908</v>
      </c>
      <c r="D4277" s="27" t="s">
        <v>740</v>
      </c>
      <c r="E4277" s="21">
        <f>IF(D4277="?OLD","!!!","")</f>
        <v/>
      </c>
      <c r="F4277" s="22" t="str">
        <f>IF(OR(E4277="",E4277="!!!"),"",IF(NOT(ISNA(VLOOKUP(E4277,E$1:E4276,1,FALSE()))),"OLD",IF(AND(E4277&lt;&gt;"",E4277&lt;&gt;"!!!"),"NEW","")))</f>
        <v> </v>
      </c>
      <c r="G4277" s="23" t="str">
        <f>IF(OR(E4277="",E4277="!!!"),"",IF(OR(J4277=0,AND(J4277=1,K4277=1),AND(J4277=1,I4277="SBJ"),AND(J4277=1,I4277=0)),"?IN_FOCUS",IF(J4277&lt;=2,"?ACTIVATED",IF(J4277&lt;&gt;"","?FAMILIAR",IF(F4277="NEW",IF(ISNA(VLOOKUP(E4277,#REF!,1,FALSE())),"?TYPE_IDENTIFIABLE","?REFERENTIAL"),"_")))))</f>
        <v> </v>
      </c>
      <c r="H4277" s="24" t="str">
        <f>IF(J4277&lt;&gt;1,"",IF(I4277="SBJ","CB","?"))</f>
        <v> </v>
      </c>
      <c r="I4277" s="25" t="str">
        <f>IF(OR(E4277="",E4277="!!!",F4277="NEW"),"",INDEX(B4276:B$2,-1+SUMPRODUCT(MAX(ROW(E4276:E$2)*(E4277=E4276:E$2)))))</f>
        <v> </v>
      </c>
      <c r="J4277" s="25" t="str">
        <f>IF(OR(E4277="",E4277="!!!",F4277="NEW"),"",COUNTBLANK(OFFSET(A$1,,,SUMPRODUCT(MAX(ROW(E$2:E4277)*(E4277=E$2:E4277)))))-COUNTBLANK(OFFSET(A$1,,,SUMPRODUCT(MAX(ROW(E$1:E4276)*(E2=E$1:E4276))))))</f>
        <v> </v>
      </c>
      <c r="K4277" s="25" t="str">
        <f>IF(OR(E4277="",E4277="!!!",F4277="NEW"),"",INDEX(J$1:J4276,SUMPRODUCT(MAX(ROW(E$1:E4276)*(E4277=E$1:E4276)))))</f>
        <v> </v>
      </c>
      <c r="L4277" s="26"/>
    </row>
    <row r="4278" spans="1:12">
      <c r="A4278" s="20" t="s">
        <v>999</v>
      </c>
      <c r="E4278" s="21">
        <f>IF(D4278="?OLD","!!!","")</f>
        <v/>
      </c>
      <c r="F4278" s="22" t="str">
        <f>IF(OR(E4278="",E4278="!!!"),"",IF(NOT(ISNA(VLOOKUP(E4278,E$1:E4277,1,FALSE()))),"OLD",IF(AND(E4278&lt;&gt;"",E4278&lt;&gt;"!!!"),"NEW","")))</f>
        <v> </v>
      </c>
      <c r="G4278" s="23" t="str">
        <f>IF(OR(E4278="",E4278="!!!"),"",IF(OR(J4278=0,AND(J4278=1,K4278=1),AND(J4278=1,I4278="SBJ"),AND(J4278=1,I4278=0)),"?IN_FOCUS",IF(J4278&lt;=2,"?ACTIVATED",IF(J4278&lt;&gt;"","?FAMILIAR",IF(F4278="NEW",IF(ISNA(VLOOKUP(E4278,#REF!,1,FALSE())),"?TYPE_IDENTIFIABLE","?REFERENTIAL"),"_")))))</f>
        <v> </v>
      </c>
      <c r="H4278" s="24" t="str">
        <f>IF(J4278&lt;&gt;1,"",IF(I4278="SBJ","CB","?"))</f>
        <v> </v>
      </c>
      <c r="I4278" s="25" t="str">
        <f>IF(OR(E4278="",E4278="!!!",F4278="NEW"),"",INDEX(B4277:B$2,-1+SUMPRODUCT(MAX(ROW(E4277:E$2)*(E4278=E4277:E$2)))))</f>
        <v> </v>
      </c>
      <c r="J4278" s="25" t="str">
        <f>IF(OR(E4278="",E4278="!!!",F4278="NEW"),"",COUNTBLANK(OFFSET(A$1,,,SUMPRODUCT(MAX(ROW(E$2:E4278)*(E4278=E$2:E4278)))))-COUNTBLANK(OFFSET(A$1,,,SUMPRODUCT(MAX(ROW(E$1:E4277)*(E2=E$1:E4277))))))</f>
        <v> </v>
      </c>
      <c r="K4278" s="25" t="str">
        <f>IF(OR(E4278="",E4278="!!!",F4278="NEW"),"",INDEX(J$1:J4277,SUMPRODUCT(MAX(ROW(E$1:E4277)*(E4278=E$1:E4277)))))</f>
        <v> </v>
      </c>
      <c r="L4278" s="26"/>
    </row>
    <row r="4279" spans="1:12">
      <c r="A4279" s="20" t="s">
        <v>1988</v>
      </c>
      <c r="B4279" s="27" t="s">
        <v>733</v>
      </c>
      <c r="C4279" s="27" t="s">
        <v>734</v>
      </c>
      <c r="E4279" s="21">
        <f>IF(D4279="?OLD","!!!","")</f>
        <v/>
      </c>
      <c r="F4279" s="22" t="str">
        <f>IF(OR(E4279="",E4279="!!!"),"",IF(NOT(ISNA(VLOOKUP(E4279,E$1:E4278,1,FALSE()))),"OLD",IF(AND(E4279&lt;&gt;"",E4279&lt;&gt;"!!!"),"NEW","")))</f>
        <v> </v>
      </c>
      <c r="G4279" s="23" t="str">
        <f>IF(OR(E4279="",E4279="!!!"),"",IF(OR(J4279=0,AND(J4279=1,K4279=1),AND(J4279=1,I4279="SBJ"),AND(J4279=1,I4279=0)),"?IN_FOCUS",IF(J4279&lt;=2,"?ACTIVATED",IF(J4279&lt;&gt;"","?FAMILIAR",IF(F4279="NEW",IF(ISNA(VLOOKUP(E4279,#REF!,1,FALSE())),"?TYPE_IDENTIFIABLE","?REFERENTIAL"),"_")))))</f>
        <v> </v>
      </c>
      <c r="H4279" s="24" t="str">
        <f>IF(J4279&lt;&gt;1,"",IF(I4279="SBJ","CB","?"))</f>
        <v> </v>
      </c>
      <c r="I4279" s="25" t="str">
        <f>IF(OR(E4279="",E4279="!!!",F4279="NEW"),"",INDEX(B4278:B$2,-1+SUMPRODUCT(MAX(ROW(E4278:E$2)*(E4279=E4278:E$2)))))</f>
        <v> </v>
      </c>
      <c r="J4279" s="25" t="str">
        <f>IF(OR(E4279="",E4279="!!!",F4279="NEW"),"",COUNTBLANK(OFFSET(A$1,,,SUMPRODUCT(MAX(ROW(E$2:E4279)*(E4279=E$2:E4279)))))-COUNTBLANK(OFFSET(A$1,,,SUMPRODUCT(MAX(ROW(E$1:E4278)*(E2=E$1:E4278))))))</f>
        <v> </v>
      </c>
      <c r="K4279" s="25" t="str">
        <f>IF(OR(E4279="",E4279="!!!",F4279="NEW"),"",INDEX(J$1:J4278,SUMPRODUCT(MAX(ROW(E$1:E4278)*(E4279=E$1:E4278)))))</f>
        <v> </v>
      </c>
      <c r="L4279" s="26"/>
    </row>
    <row r="4280" spans="1:12">
      <c r="A4280" s="20" t="s">
        <v>765</v>
      </c>
      <c r="E4280" s="21">
        <f>IF(D4280="?OLD","!!!","")</f>
        <v/>
      </c>
      <c r="F4280" s="22" t="str">
        <f>IF(OR(E4280="",E4280="!!!"),"",IF(NOT(ISNA(VLOOKUP(E4280,E$1:E4279,1,FALSE()))),"OLD",IF(AND(E4280&lt;&gt;"",E4280&lt;&gt;"!!!"),"NEW","")))</f>
        <v> </v>
      </c>
      <c r="G4280" s="23" t="str">
        <f>IF(OR(E4280="",E4280="!!!"),"",IF(OR(J4280=0,AND(J4280=1,K4280=1),AND(J4280=1,I4280="SBJ"),AND(J4280=1,I4280=0)),"?IN_FOCUS",IF(J4280&lt;=2,"?ACTIVATED",IF(J4280&lt;&gt;"","?FAMILIAR",IF(F4280="NEW",IF(ISNA(VLOOKUP(E4280,#REF!,1,FALSE())),"?TYPE_IDENTIFIABLE","?REFERENTIAL"),"_")))))</f>
        <v> </v>
      </c>
      <c r="H4280" s="24" t="str">
        <f>IF(J4280&lt;&gt;1,"",IF(I4280="SBJ","CB","?"))</f>
        <v> </v>
      </c>
      <c r="I4280" s="25" t="str">
        <f>IF(OR(E4280="",E4280="!!!",F4280="NEW"),"",INDEX(B4279:B$2,-1+SUMPRODUCT(MAX(ROW(E4279:E$2)*(E4280=E4279:E$2)))))</f>
        <v> </v>
      </c>
      <c r="J4280" s="25" t="str">
        <f>IF(OR(E4280="",E4280="!!!",F4280="NEW"),"",COUNTBLANK(OFFSET(A$1,,,SUMPRODUCT(MAX(ROW(E$2:E4280)*(E4280=E$2:E4280)))))-COUNTBLANK(OFFSET(A$1,,,SUMPRODUCT(MAX(ROW(E$1:E4279)*(E2=E$1:E4279))))))</f>
        <v> </v>
      </c>
      <c r="K4280" s="25" t="str">
        <f>IF(OR(E4280="",E4280="!!!",F4280="NEW"),"",INDEX(J$1:J4279,SUMPRODUCT(MAX(ROW(E$1:E4279)*(E4280=E$1:E4279)))))</f>
        <v> </v>
      </c>
      <c r="L4280" s="26"/>
    </row>
    <row r="4281" spans="1:12">
      <c r="A4281" s="20" t="s">
        <v>1989</v>
      </c>
      <c r="E4281" s="21">
        <f>IF(D4281="?OLD","!!!","")</f>
        <v/>
      </c>
      <c r="F4281" s="22" t="str">
        <f>IF(OR(E4281="",E4281="!!!"),"",IF(NOT(ISNA(VLOOKUP(E4281,E$1:E4280,1,FALSE()))),"OLD",IF(AND(E4281&lt;&gt;"",E4281&lt;&gt;"!!!"),"NEW","")))</f>
        <v> </v>
      </c>
      <c r="G4281" s="23" t="str">
        <f>IF(OR(E4281="",E4281="!!!"),"",IF(OR(J4281=0,AND(J4281=1,K4281=1),AND(J4281=1,I4281="SBJ"),AND(J4281=1,I4281=0)),"?IN_FOCUS",IF(J4281&lt;=2,"?ACTIVATED",IF(J4281&lt;&gt;"","?FAMILIAR",IF(F4281="NEW",IF(ISNA(VLOOKUP(E4281,#REF!,1,FALSE())),"?TYPE_IDENTIFIABLE","?REFERENTIAL"),"_")))))</f>
        <v> </v>
      </c>
      <c r="H4281" s="24" t="str">
        <f>IF(J4281&lt;&gt;1,"",IF(I4281="SBJ","CB","?"))</f>
        <v> </v>
      </c>
      <c r="I4281" s="25" t="str">
        <f>IF(OR(E4281="",E4281="!!!",F4281="NEW"),"",INDEX(B4280:B$2,-1+SUMPRODUCT(MAX(ROW(E4280:E$2)*(E4281=E4280:E$2)))))</f>
        <v> </v>
      </c>
      <c r="J4281" s="25" t="str">
        <f>IF(OR(E4281="",E4281="!!!",F4281="NEW"),"",COUNTBLANK(OFFSET(A$1,,,SUMPRODUCT(MAX(ROW(E$2:E4281)*(E4281=E$2:E4281)))))-COUNTBLANK(OFFSET(A$1,,,SUMPRODUCT(MAX(ROW(E$1:E4280)*(E2=E$1:E4280))))))</f>
        <v> </v>
      </c>
      <c r="K4281" s="25" t="str">
        <f>IF(OR(E4281="",E4281="!!!",F4281="NEW"),"",INDEX(J$1:J4280,SUMPRODUCT(MAX(ROW(E$1:E4280)*(E4281=E$1:E4280)))))</f>
        <v> </v>
      </c>
      <c r="L4281" s="26"/>
    </row>
    <row r="4282" spans="1:12">
      <c r="A4282" s="20" t="s">
        <v>746</v>
      </c>
      <c r="E4282" s="21">
        <f>IF(D4282="?OLD","!!!","")</f>
        <v/>
      </c>
      <c r="F4282" s="22" t="str">
        <f>IF(OR(E4282="",E4282="!!!"),"",IF(NOT(ISNA(VLOOKUP(E4282,E$1:E4281,1,FALSE()))),"OLD",IF(AND(E4282&lt;&gt;"",E4282&lt;&gt;"!!!"),"NEW","")))</f>
        <v> </v>
      </c>
      <c r="G4282" s="23" t="str">
        <f>IF(OR(E4282="",E4282="!!!"),"",IF(OR(J4282=0,AND(J4282=1,K4282=1),AND(J4282=1,I4282="SBJ"),AND(J4282=1,I4282=0)),"?IN_FOCUS",IF(J4282&lt;=2,"?ACTIVATED",IF(J4282&lt;&gt;"","?FAMILIAR",IF(F4282="NEW",IF(ISNA(VLOOKUP(E4282,#REF!,1,FALSE())),"?TYPE_IDENTIFIABLE","?REFERENTIAL"),"_")))))</f>
        <v> </v>
      </c>
      <c r="H4282" s="24" t="str">
        <f>IF(J4282&lt;&gt;1,"",IF(I4282="SBJ","CB","?"))</f>
        <v> </v>
      </c>
      <c r="I4282" s="25" t="str">
        <f>IF(OR(E4282="",E4282="!!!",F4282="NEW"),"",INDEX(B4281:B$2,-1+SUMPRODUCT(MAX(ROW(E4281:E$2)*(E4282=E4281:E$2)))))</f>
        <v> </v>
      </c>
      <c r="J4282" s="25" t="str">
        <f>IF(OR(E4282="",E4282="!!!",F4282="NEW"),"",COUNTBLANK(OFFSET(A$1,,,SUMPRODUCT(MAX(ROW(E$2:E4282)*(E4282=E$2:E4282)))))-COUNTBLANK(OFFSET(A$1,,,SUMPRODUCT(MAX(ROW(E$1:E4281)*(E2=E$1:E4281))))))</f>
        <v> </v>
      </c>
      <c r="K4282" s="25" t="str">
        <f>IF(OR(E4282="",E4282="!!!",F4282="NEW"),"",INDEX(J$1:J4281,SUMPRODUCT(MAX(ROW(E$1:E4281)*(E4282=E$1:E4281)))))</f>
        <v> </v>
      </c>
      <c r="L4282" s="26"/>
    </row>
    <row r="4283" spans="1:12">
      <c r="A4283" s="20"/>
    </row>
    <row r="4284" spans="1:12">
      <c r="A4284" s="20" t="s">
        <v>1990</v>
      </c>
    </row>
    <row r="4285" spans="1:12">
      <c r="A4285" s="20" t="s">
        <v>1616</v>
      </c>
      <c r="E4285" s="21">
        <f>IF(D4285="?OLD","!!!","")</f>
        <v/>
      </c>
      <c r="F4285" s="22" t="str">
        <f>IF(OR(E4285="",E4285="!!!"),"",IF(NOT(ISNA(VLOOKUP(E4285,E$1:E4284,1,FALSE()))),"OLD",IF(AND(E4285&lt;&gt;"",E4285&lt;&gt;"!!!"),"NEW","")))</f>
        <v> </v>
      </c>
      <c r="G4285" s="23" t="str">
        <f>IF(OR(E4285="",E4285="!!!"),"",IF(OR(J4285=0,AND(J4285=1,K4285=1),AND(J4285=1,I4285="SBJ"),AND(J4285=1,I4285=0)),"?IN_FOCUS",IF(J4285&lt;=2,"?ACTIVATED",IF(J4285&lt;&gt;"","?FAMILIAR",IF(F4285="NEW",IF(ISNA(VLOOKUP(E4285,#REF!,1,FALSE())),"?TYPE_IDENTIFIABLE","?REFERENTIAL"),"_")))))</f>
        <v> </v>
      </c>
      <c r="H4285" s="24" t="str">
        <f>IF(J4285&lt;&gt;1,"",IF(I4285="SBJ","CB","?"))</f>
        <v> </v>
      </c>
      <c r="I4285" s="25" t="str">
        <f>IF(OR(E4285="",E4285="!!!",F4285="NEW"),"",INDEX(B4284:B$2,-1+SUMPRODUCT(MAX(ROW(E4284:E$2)*(E4285=E4284:E$2)))))</f>
        <v> </v>
      </c>
      <c r="J4285" s="25" t="str">
        <f>IF(OR(E4285="",E4285="!!!",F4285="NEW"),"",COUNTBLANK(OFFSET(A$1,,,SUMPRODUCT(MAX(ROW(E$2:E4285)*(E4285=E$2:E4285)))))-COUNTBLANK(OFFSET(A$1,,,SUMPRODUCT(MAX(ROW(E$1:E4284)*(E2=E$1:E4284))))))</f>
        <v> </v>
      </c>
      <c r="K4285" s="25" t="str">
        <f>IF(OR(E4285="",E4285="!!!",F4285="NEW"),"",INDEX(J$1:J4284,SUMPRODUCT(MAX(ROW(E$1:E4284)*(E4285=E$1:E4284)))))</f>
        <v> </v>
      </c>
      <c r="L4285" s="26"/>
    </row>
    <row r="4286" spans="1:12">
      <c r="A4286" s="20" t="s">
        <v>1991</v>
      </c>
      <c r="B4286" s="27" t="s">
        <v>728</v>
      </c>
      <c r="C4286" s="27" t="s">
        <v>744</v>
      </c>
      <c r="E4286" s="21">
        <f>IF(D4286="?OLD","!!!","")</f>
        <v/>
      </c>
      <c r="F4286" s="22" t="str">
        <f>IF(OR(E4286="",E4286="!!!"),"",IF(NOT(ISNA(VLOOKUP(E4286,E$1:E4285,1,FALSE()))),"OLD",IF(AND(E4286&lt;&gt;"",E4286&lt;&gt;"!!!"),"NEW","")))</f>
        <v> </v>
      </c>
      <c r="G4286" s="23" t="str">
        <f>IF(OR(E4286="",E4286="!!!"),"",IF(OR(J4286=0,AND(J4286=1,K4286=1),AND(J4286=1,I4286="SBJ"),AND(J4286=1,I4286=0)),"?IN_FOCUS",IF(J4286&lt;=2,"?ACTIVATED",IF(J4286&lt;&gt;"","?FAMILIAR",IF(F4286="NEW",IF(ISNA(VLOOKUP(E4286,#REF!,1,FALSE())),"?TYPE_IDENTIFIABLE","?REFERENTIAL"),"_")))))</f>
        <v> </v>
      </c>
      <c r="H4286" s="24" t="str">
        <f>IF(J4286&lt;&gt;1,"",IF(I4286="SBJ","CB","?"))</f>
        <v> </v>
      </c>
      <c r="I4286" s="25" t="str">
        <f>IF(OR(E4286="",E4286="!!!",F4286="NEW"),"",INDEX(B4285:B$2,-1+SUMPRODUCT(MAX(ROW(E4285:E$2)*(E4286=E4285:E$2)))))</f>
        <v> </v>
      </c>
      <c r="J4286" s="25" t="str">
        <f>IF(OR(E4286="",E4286="!!!",F4286="NEW"),"",COUNTBLANK(OFFSET(A$1,,,SUMPRODUCT(MAX(ROW(E$2:E4286)*(E4286=E$2:E4286)))))-COUNTBLANK(OFFSET(A$1,,,SUMPRODUCT(MAX(ROW(E$1:E4285)*(E2=E$1:E4285))))))</f>
        <v> </v>
      </c>
      <c r="K4286" s="25" t="str">
        <f>IF(OR(E4286="",E4286="!!!",F4286="NEW"),"",INDEX(J$1:J4285,SUMPRODUCT(MAX(ROW(E$1:E4285)*(E4286=E$1:E4285)))))</f>
        <v> </v>
      </c>
      <c r="L4286" s="26"/>
    </row>
    <row r="4287" spans="1:12">
      <c r="A4287" s="20" t="s">
        <v>753</v>
      </c>
      <c r="E4287" s="21">
        <f>IF(D4287="?OLD","!!!","")</f>
        <v/>
      </c>
      <c r="F4287" s="22" t="str">
        <f>IF(OR(E4287="",E4287="!!!"),"",IF(NOT(ISNA(VLOOKUP(E4287,E$1:E4286,1,FALSE()))),"OLD",IF(AND(E4287&lt;&gt;"",E4287&lt;&gt;"!!!"),"NEW","")))</f>
        <v> </v>
      </c>
      <c r="G4287" s="23" t="str">
        <f>IF(OR(E4287="",E4287="!!!"),"",IF(OR(J4287=0,AND(J4287=1,K4287=1),AND(J4287=1,I4287="SBJ"),AND(J4287=1,I4287=0)),"?IN_FOCUS",IF(J4287&lt;=2,"?ACTIVATED",IF(J4287&lt;&gt;"","?FAMILIAR",IF(F4287="NEW",IF(ISNA(VLOOKUP(E4287,#REF!,1,FALSE())),"?TYPE_IDENTIFIABLE","?REFERENTIAL"),"_")))))</f>
        <v> </v>
      </c>
      <c r="H4287" s="24" t="str">
        <f>IF(J4287&lt;&gt;1,"",IF(I4287="SBJ","CB","?"))</f>
        <v> </v>
      </c>
      <c r="I4287" s="25" t="str">
        <f>IF(OR(E4287="",E4287="!!!",F4287="NEW"),"",INDEX(B4286:B$2,-1+SUMPRODUCT(MAX(ROW(E4286:E$2)*(E4287=E4286:E$2)))))</f>
        <v> </v>
      </c>
      <c r="J4287" s="25" t="str">
        <f>IF(OR(E4287="",E4287="!!!",F4287="NEW"),"",COUNTBLANK(OFFSET(A$1,,,SUMPRODUCT(MAX(ROW(E$2:E4287)*(E4287=E$2:E4287)))))-COUNTBLANK(OFFSET(A$1,,,SUMPRODUCT(MAX(ROW(E$1:E4286)*(E2=E$1:E4286))))))</f>
        <v> </v>
      </c>
      <c r="K4287" s="25" t="str">
        <f>IF(OR(E4287="",E4287="!!!",F4287="NEW"),"",INDEX(J$1:J4286,SUMPRODUCT(MAX(ROW(E$1:E4286)*(E4287=E$1:E4286)))))</f>
        <v> </v>
      </c>
      <c r="L4287" s="26"/>
    </row>
    <row r="4288" spans="1:12">
      <c r="A4288" s="20" t="s">
        <v>943</v>
      </c>
      <c r="E4288" s="21">
        <f>IF(D4288="?OLD","!!!","")</f>
        <v/>
      </c>
      <c r="F4288" s="22" t="str">
        <f>IF(OR(E4288="",E4288="!!!"),"",IF(NOT(ISNA(VLOOKUP(E4288,E$1:E4287,1,FALSE()))),"OLD",IF(AND(E4288&lt;&gt;"",E4288&lt;&gt;"!!!"),"NEW","")))</f>
        <v> </v>
      </c>
      <c r="G4288" s="23" t="str">
        <f>IF(OR(E4288="",E4288="!!!"),"",IF(OR(J4288=0,AND(J4288=1,K4288=1),AND(J4288=1,I4288="SBJ"),AND(J4288=1,I4288=0)),"?IN_FOCUS",IF(J4288&lt;=2,"?ACTIVATED",IF(J4288&lt;&gt;"","?FAMILIAR",IF(F4288="NEW",IF(ISNA(VLOOKUP(E4288,#REF!,1,FALSE())),"?TYPE_IDENTIFIABLE","?REFERENTIAL"),"_")))))</f>
        <v> </v>
      </c>
      <c r="H4288" s="24" t="str">
        <f>IF(J4288&lt;&gt;1,"",IF(I4288="SBJ","CB","?"))</f>
        <v> </v>
      </c>
      <c r="I4288" s="25" t="str">
        <f>IF(OR(E4288="",E4288="!!!",F4288="NEW"),"",INDEX(B4287:B$2,-1+SUMPRODUCT(MAX(ROW(E4287:E$2)*(E4288=E4287:E$2)))))</f>
        <v> </v>
      </c>
      <c r="J4288" s="25" t="str">
        <f>IF(OR(E4288="",E4288="!!!",F4288="NEW"),"",COUNTBLANK(OFFSET(A$1,,,SUMPRODUCT(MAX(ROW(E$2:E4288)*(E4288=E$2:E4288)))))-COUNTBLANK(OFFSET(A$1,,,SUMPRODUCT(MAX(ROW(E$1:E4287)*(E2=E$1:E4287))))))</f>
        <v> </v>
      </c>
      <c r="K4288" s="25" t="str">
        <f>IF(OR(E4288="",E4288="!!!",F4288="NEW"),"",INDEX(J$1:J4287,SUMPRODUCT(MAX(ROW(E$1:E4287)*(E4288=E$1:E4287)))))</f>
        <v> </v>
      </c>
      <c r="L4288" s="26"/>
    </row>
    <row r="4289" spans="1:12">
      <c r="A4289" s="20" t="s">
        <v>1858</v>
      </c>
      <c r="B4289" s="27" t="s">
        <v>787</v>
      </c>
      <c r="C4289" s="27" t="s">
        <v>828</v>
      </c>
      <c r="D4289" s="27" t="s">
        <v>740</v>
      </c>
      <c r="E4289" s="21">
        <f>IF(D4289="?OLD","!!!","")</f>
        <v/>
      </c>
      <c r="F4289" s="22" t="str">
        <f>IF(OR(E4289="",E4289="!!!"),"",IF(NOT(ISNA(VLOOKUP(E4289,E$1:E4288,1,FALSE()))),"OLD",IF(AND(E4289&lt;&gt;"",E4289&lt;&gt;"!!!"),"NEW","")))</f>
        <v> </v>
      </c>
      <c r="G4289" s="23" t="str">
        <f>IF(OR(E4289="",E4289="!!!"),"",IF(OR(J4289=0,AND(J4289=1,K4289=1),AND(J4289=1,I4289="SBJ"),AND(J4289=1,I4289=0)),"?IN_FOCUS",IF(J4289&lt;=2,"?ACTIVATED",IF(J4289&lt;&gt;"","?FAMILIAR",IF(F4289="NEW",IF(ISNA(VLOOKUP(E4289,#REF!,1,FALSE())),"?TYPE_IDENTIFIABLE","?REFERENTIAL"),"_")))))</f>
        <v> </v>
      </c>
      <c r="H4289" s="24" t="str">
        <f>IF(J4289&lt;&gt;1,"",IF(I4289="SBJ","CB","?"))</f>
        <v> </v>
      </c>
      <c r="I4289" s="25" t="str">
        <f>IF(OR(E4289="",E4289="!!!",F4289="NEW"),"",INDEX(B4288:B$2,-1+SUMPRODUCT(MAX(ROW(E4288:E$2)*(E4289=E4288:E$2)))))</f>
        <v> </v>
      </c>
      <c r="J4289" s="25" t="str">
        <f>IF(OR(E4289="",E4289="!!!",F4289="NEW"),"",COUNTBLANK(OFFSET(A$1,,,SUMPRODUCT(MAX(ROW(E$2:E4289)*(E4289=E$2:E4289)))))-COUNTBLANK(OFFSET(A$1,,,SUMPRODUCT(MAX(ROW(E$1:E4288)*(E2=E$1:E4288))))))</f>
        <v> </v>
      </c>
      <c r="K4289" s="25" t="str">
        <f>IF(OR(E4289="",E4289="!!!",F4289="NEW"),"",INDEX(J$1:J4288,SUMPRODUCT(MAX(ROW(E$1:E4288)*(E4289=E$1:E4288)))))</f>
        <v> </v>
      </c>
      <c r="L4289" s="26"/>
    </row>
    <row r="4290" spans="1:12">
      <c r="A4290" s="20" t="s">
        <v>1280</v>
      </c>
      <c r="B4290" s="27" t="s">
        <v>795</v>
      </c>
      <c r="C4290" s="27" t="s">
        <v>734</v>
      </c>
      <c r="E4290" s="21">
        <f>IF(D4290="?OLD","!!!","")</f>
        <v/>
      </c>
      <c r="F4290" s="22" t="str">
        <f>IF(OR(E4290="",E4290="!!!"),"",IF(NOT(ISNA(VLOOKUP(E4290,E$1:E4289,1,FALSE()))),"OLD",IF(AND(E4290&lt;&gt;"",E4290&lt;&gt;"!!!"),"NEW","")))</f>
        <v> </v>
      </c>
      <c r="G4290" s="23" t="str">
        <f>IF(OR(E4290="",E4290="!!!"),"",IF(OR(J4290=0,AND(J4290=1,K4290=1),AND(J4290=1,I4290="SBJ"),AND(J4290=1,I4290=0)),"?IN_FOCUS",IF(J4290&lt;=2,"?ACTIVATED",IF(J4290&lt;&gt;"","?FAMILIAR",IF(F4290="NEW",IF(ISNA(VLOOKUP(E4290,#REF!,1,FALSE())),"?TYPE_IDENTIFIABLE","?REFERENTIAL"),"_")))))</f>
        <v> </v>
      </c>
      <c r="H4290" s="24" t="str">
        <f>IF(J4290&lt;&gt;1,"",IF(I4290="SBJ","CB","?"))</f>
        <v> </v>
      </c>
      <c r="I4290" s="25" t="str">
        <f>IF(OR(E4290="",E4290="!!!",F4290="NEW"),"",INDEX(B4289:B$2,-1+SUMPRODUCT(MAX(ROW(E4289:E$2)*(E4290=E4289:E$2)))))</f>
        <v> </v>
      </c>
      <c r="J4290" s="25" t="str">
        <f>IF(OR(E4290="",E4290="!!!",F4290="NEW"),"",COUNTBLANK(OFFSET(A$1,,,SUMPRODUCT(MAX(ROW(E$2:E4290)*(E4290=E$2:E4290)))))-COUNTBLANK(OFFSET(A$1,,,SUMPRODUCT(MAX(ROW(E$1:E4289)*(E2=E$1:E4289))))))</f>
        <v> </v>
      </c>
      <c r="K4290" s="25" t="str">
        <f>IF(OR(E4290="",E4290="!!!",F4290="NEW"),"",INDEX(J$1:J4289,SUMPRODUCT(MAX(ROW(E$1:E4289)*(E4290=E$1:E4289)))))</f>
        <v> </v>
      </c>
      <c r="L4290" s="26"/>
    </row>
    <row r="4291" spans="1:12">
      <c r="A4291" s="20" t="s">
        <v>1261</v>
      </c>
      <c r="E4291" s="21">
        <f>IF(D4291="?OLD","!!!","")</f>
        <v/>
      </c>
      <c r="F4291" s="22" t="str">
        <f>IF(OR(E4291="",E4291="!!!"),"",IF(NOT(ISNA(VLOOKUP(E4291,E$1:E4290,1,FALSE()))),"OLD",IF(AND(E4291&lt;&gt;"",E4291&lt;&gt;"!!!"),"NEW","")))</f>
        <v> </v>
      </c>
      <c r="G4291" s="23" t="str">
        <f>IF(OR(E4291="",E4291="!!!"),"",IF(OR(J4291=0,AND(J4291=1,K4291=1),AND(J4291=1,I4291="SBJ"),AND(J4291=1,I4291=0)),"?IN_FOCUS",IF(J4291&lt;=2,"?ACTIVATED",IF(J4291&lt;&gt;"","?FAMILIAR",IF(F4291="NEW",IF(ISNA(VLOOKUP(E4291,#REF!,1,FALSE())),"?TYPE_IDENTIFIABLE","?REFERENTIAL"),"_")))))</f>
        <v> </v>
      </c>
      <c r="H4291" s="24" t="str">
        <f>IF(J4291&lt;&gt;1,"",IF(I4291="SBJ","CB","?"))</f>
        <v> </v>
      </c>
      <c r="I4291" s="25" t="str">
        <f>IF(OR(E4291="",E4291="!!!",F4291="NEW"),"",INDEX(B4290:B$2,-1+SUMPRODUCT(MAX(ROW(E4290:E$2)*(E4291=E4290:E$2)))))</f>
        <v> </v>
      </c>
      <c r="J4291" s="25" t="str">
        <f>IF(OR(E4291="",E4291="!!!",F4291="NEW"),"",COUNTBLANK(OFFSET(A$1,,,SUMPRODUCT(MAX(ROW(E$2:E4291)*(E4291=E$2:E4291)))))-COUNTBLANK(OFFSET(A$1,,,SUMPRODUCT(MAX(ROW(E$1:E4290)*(E2=E$1:E4290))))))</f>
        <v> </v>
      </c>
      <c r="K4291" s="25" t="str">
        <f>IF(OR(E4291="",E4291="!!!",F4291="NEW"),"",INDEX(J$1:J4290,SUMPRODUCT(MAX(ROW(E$1:E4290)*(E4291=E$1:E4290)))))</f>
        <v> </v>
      </c>
      <c r="L4291" s="26"/>
    </row>
    <row r="4292" spans="1:12">
      <c r="A4292" s="20" t="s">
        <v>839</v>
      </c>
      <c r="E4292" s="21">
        <f>IF(D4292="?OLD","!!!","")</f>
        <v/>
      </c>
      <c r="F4292" s="22" t="str">
        <f>IF(OR(E4292="",E4292="!!!"),"",IF(NOT(ISNA(VLOOKUP(E4292,E$1:E4291,1,FALSE()))),"OLD",IF(AND(E4292&lt;&gt;"",E4292&lt;&gt;"!!!"),"NEW","")))</f>
        <v> </v>
      </c>
      <c r="G4292" s="23" t="str">
        <f>IF(OR(E4292="",E4292="!!!"),"",IF(OR(J4292=0,AND(J4292=1,K4292=1),AND(J4292=1,I4292="SBJ"),AND(J4292=1,I4292=0)),"?IN_FOCUS",IF(J4292&lt;=2,"?ACTIVATED",IF(J4292&lt;&gt;"","?FAMILIAR",IF(F4292="NEW",IF(ISNA(VLOOKUP(E4292,#REF!,1,FALSE())),"?TYPE_IDENTIFIABLE","?REFERENTIAL"),"_")))))</f>
        <v> </v>
      </c>
      <c r="H4292" s="24" t="str">
        <f>IF(J4292&lt;&gt;1,"",IF(I4292="SBJ","CB","?"))</f>
        <v> </v>
      </c>
      <c r="I4292" s="25" t="str">
        <f>IF(OR(E4292="",E4292="!!!",F4292="NEW"),"",INDEX(B4291:B$2,-1+SUMPRODUCT(MAX(ROW(E4291:E$2)*(E4292=E4291:E$2)))))</f>
        <v> </v>
      </c>
      <c r="J4292" s="25" t="str">
        <f>IF(OR(E4292="",E4292="!!!",F4292="NEW"),"",COUNTBLANK(OFFSET(A$1,,,SUMPRODUCT(MAX(ROW(E$2:E4292)*(E4292=E$2:E4292)))))-COUNTBLANK(OFFSET(A$1,,,SUMPRODUCT(MAX(ROW(E$1:E4291)*(E2=E$1:E4291))))))</f>
        <v> </v>
      </c>
      <c r="K4292" s="25" t="str">
        <f>IF(OR(E4292="",E4292="!!!",F4292="NEW"),"",INDEX(J$1:J4291,SUMPRODUCT(MAX(ROW(E$1:E4291)*(E4292=E$1:E4291)))))</f>
        <v> </v>
      </c>
      <c r="L4292" s="26"/>
    </row>
    <row r="4293" spans="1:12">
      <c r="A4293" s="20" t="s">
        <v>753</v>
      </c>
      <c r="E4293" s="21">
        <f>IF(D4293="?OLD","!!!","")</f>
        <v/>
      </c>
      <c r="F4293" s="22" t="str">
        <f>IF(OR(E4293="",E4293="!!!"),"",IF(NOT(ISNA(VLOOKUP(E4293,E$1:E4292,1,FALSE()))),"OLD",IF(AND(E4293&lt;&gt;"",E4293&lt;&gt;"!!!"),"NEW","")))</f>
        <v> </v>
      </c>
      <c r="G4293" s="23" t="str">
        <f>IF(OR(E4293="",E4293="!!!"),"",IF(OR(J4293=0,AND(J4293=1,K4293=1),AND(J4293=1,I4293="SBJ"),AND(J4293=1,I4293=0)),"?IN_FOCUS",IF(J4293&lt;=2,"?ACTIVATED",IF(J4293&lt;&gt;"","?FAMILIAR",IF(F4293="NEW",IF(ISNA(VLOOKUP(E4293,#REF!,1,FALSE())),"?TYPE_IDENTIFIABLE","?REFERENTIAL"),"_")))))</f>
        <v> </v>
      </c>
      <c r="H4293" s="24" t="str">
        <f>IF(J4293&lt;&gt;1,"",IF(I4293="SBJ","CB","?"))</f>
        <v> </v>
      </c>
      <c r="I4293" s="25" t="str">
        <f>IF(OR(E4293="",E4293="!!!",F4293="NEW"),"",INDEX(B4292:B$2,-1+SUMPRODUCT(MAX(ROW(E4292:E$2)*(E4293=E4292:E$2)))))</f>
        <v> </v>
      </c>
      <c r="J4293" s="25" t="str">
        <f>IF(OR(E4293="",E4293="!!!",F4293="NEW"),"",COUNTBLANK(OFFSET(A$1,,,SUMPRODUCT(MAX(ROW(E$2:E4293)*(E4293=E$2:E4293)))))-COUNTBLANK(OFFSET(A$1,,,SUMPRODUCT(MAX(ROW(E$1:E4292)*(E2=E$1:E4292))))))</f>
        <v> </v>
      </c>
      <c r="K4293" s="25" t="str">
        <f>IF(OR(E4293="",E4293="!!!",F4293="NEW"),"",INDEX(J$1:J4292,SUMPRODUCT(MAX(ROW(E$1:E4292)*(E4293=E$1:E4292)))))</f>
        <v> </v>
      </c>
      <c r="L4293" s="26"/>
    </row>
    <row r="4294" spans="1:12">
      <c r="A4294" s="20" t="s">
        <v>1361</v>
      </c>
      <c r="E4294" s="21">
        <f>IF(D4294="?OLD","!!!","")</f>
        <v/>
      </c>
      <c r="F4294" s="22" t="str">
        <f>IF(OR(E4294="",E4294="!!!"),"",IF(NOT(ISNA(VLOOKUP(E4294,E$1:E4293,1,FALSE()))),"OLD",IF(AND(E4294&lt;&gt;"",E4294&lt;&gt;"!!!"),"NEW","")))</f>
        <v> </v>
      </c>
      <c r="G4294" s="23" t="str">
        <f>IF(OR(E4294="",E4294="!!!"),"",IF(OR(J4294=0,AND(J4294=1,K4294=1),AND(J4294=1,I4294="SBJ"),AND(J4294=1,I4294=0)),"?IN_FOCUS",IF(J4294&lt;=2,"?ACTIVATED",IF(J4294&lt;&gt;"","?FAMILIAR",IF(F4294="NEW",IF(ISNA(VLOOKUP(E4294,#REF!,1,FALSE())),"?TYPE_IDENTIFIABLE","?REFERENTIAL"),"_")))))</f>
        <v> </v>
      </c>
      <c r="H4294" s="24" t="str">
        <f>IF(J4294&lt;&gt;1,"",IF(I4294="SBJ","CB","?"))</f>
        <v> </v>
      </c>
      <c r="I4294" s="25" t="str">
        <f>IF(OR(E4294="",E4294="!!!",F4294="NEW"),"",INDEX(B4293:B$2,-1+SUMPRODUCT(MAX(ROW(E4293:E$2)*(E4294=E4293:E$2)))))</f>
        <v> </v>
      </c>
      <c r="J4294" s="25" t="str">
        <f>IF(OR(E4294="",E4294="!!!",F4294="NEW"),"",COUNTBLANK(OFFSET(A$1,,,SUMPRODUCT(MAX(ROW(E$2:E4294)*(E4294=E$2:E4294)))))-COUNTBLANK(OFFSET(A$1,,,SUMPRODUCT(MAX(ROW(E$1:E4293)*(E2=E$1:E4293))))))</f>
        <v> </v>
      </c>
      <c r="K4294" s="25" t="str">
        <f>IF(OR(E4294="",E4294="!!!",F4294="NEW"),"",INDEX(J$1:J4293,SUMPRODUCT(MAX(ROW(E$1:E4293)*(E4294=E$1:E4293)))))</f>
        <v> </v>
      </c>
      <c r="L4294" s="26"/>
    </row>
    <row r="4295" spans="1:12">
      <c r="A4295" s="20" t="s">
        <v>736</v>
      </c>
      <c r="E4295" s="21">
        <f>IF(D4295="?OLD","!!!","")</f>
        <v/>
      </c>
      <c r="F4295" s="22" t="str">
        <f>IF(OR(E4295="",E4295="!!!"),"",IF(NOT(ISNA(VLOOKUP(E4295,E$1:E4294,1,FALSE()))),"OLD",IF(AND(E4295&lt;&gt;"",E4295&lt;&gt;"!!!"),"NEW","")))</f>
        <v> </v>
      </c>
      <c r="G4295" s="23" t="str">
        <f>IF(OR(E4295="",E4295="!!!"),"",IF(OR(J4295=0,AND(J4295=1,K4295=1),AND(J4295=1,I4295="SBJ"),AND(J4295=1,I4295=0)),"?IN_FOCUS",IF(J4295&lt;=2,"?ACTIVATED",IF(J4295&lt;&gt;"","?FAMILIAR",IF(F4295="NEW",IF(ISNA(VLOOKUP(E4295,#REF!,1,FALSE())),"?TYPE_IDENTIFIABLE","?REFERENTIAL"),"_")))))</f>
        <v> </v>
      </c>
      <c r="H4295" s="24" t="str">
        <f>IF(J4295&lt;&gt;1,"",IF(I4295="SBJ","CB","?"))</f>
        <v> </v>
      </c>
      <c r="I4295" s="25" t="str">
        <f>IF(OR(E4295="",E4295="!!!",F4295="NEW"),"",INDEX(B4294:B$2,-1+SUMPRODUCT(MAX(ROW(E4294:E$2)*(E4295=E4294:E$2)))))</f>
        <v> </v>
      </c>
      <c r="J4295" s="25" t="str">
        <f>IF(OR(E4295="",E4295="!!!",F4295="NEW"),"",COUNTBLANK(OFFSET(A$1,,,SUMPRODUCT(MAX(ROW(E$2:E4295)*(E4295=E$2:E4295)))))-COUNTBLANK(OFFSET(A$1,,,SUMPRODUCT(MAX(ROW(E$1:E4294)*(E2=E$1:E4294))))))</f>
        <v> </v>
      </c>
      <c r="K4295" s="25" t="str">
        <f>IF(OR(E4295="",E4295="!!!",F4295="NEW"),"",INDEX(J$1:J4294,SUMPRODUCT(MAX(ROW(E$1:E4294)*(E4295=E$1:E4294)))))</f>
        <v> </v>
      </c>
      <c r="L4295" s="26"/>
    </row>
    <row r="4296" spans="1:12">
      <c r="A4296" s="20" t="s">
        <v>1992</v>
      </c>
      <c r="B4296" s="27" t="s">
        <v>728</v>
      </c>
      <c r="C4296" s="27" t="s">
        <v>739</v>
      </c>
      <c r="D4296" s="27" t="s">
        <v>740</v>
      </c>
      <c r="E4296" s="21">
        <f>IF(D4296="?OLD","!!!","")</f>
        <v/>
      </c>
      <c r="F4296" s="22" t="str">
        <f>IF(OR(E4296="",E4296="!!!"),"",IF(NOT(ISNA(VLOOKUP(E4296,E$1:E4295,1,FALSE()))),"OLD",IF(AND(E4296&lt;&gt;"",E4296&lt;&gt;"!!!"),"NEW","")))</f>
        <v> </v>
      </c>
      <c r="G4296" s="23" t="str">
        <f>IF(OR(E4296="",E4296="!!!"),"",IF(OR(J4296=0,AND(J4296=1,K4296=1),AND(J4296=1,I4296="SBJ"),AND(J4296=1,I4296=0)),"?IN_FOCUS",IF(J4296&lt;=2,"?ACTIVATED",IF(J4296&lt;&gt;"","?FAMILIAR",IF(F4296="NEW",IF(ISNA(VLOOKUP(E4296,#REF!,1,FALSE())),"?TYPE_IDENTIFIABLE","?REFERENTIAL"),"_")))))</f>
        <v> </v>
      </c>
      <c r="H4296" s="24" t="str">
        <f>IF(J4296&lt;&gt;1,"",IF(I4296="SBJ","CB","?"))</f>
        <v> </v>
      </c>
      <c r="I4296" s="25" t="str">
        <f>IF(OR(E4296="",E4296="!!!",F4296="NEW"),"",INDEX(B4295:B$2,-1+SUMPRODUCT(MAX(ROW(E4295:E$2)*(E4296=E4295:E$2)))))</f>
        <v> </v>
      </c>
      <c r="J4296" s="25" t="str">
        <f>IF(OR(E4296="",E4296="!!!",F4296="NEW"),"",COUNTBLANK(OFFSET(A$1,,,SUMPRODUCT(MAX(ROW(E$2:E4296)*(E4296=E$2:E4296)))))-COUNTBLANK(OFFSET(A$1,,,SUMPRODUCT(MAX(ROW(E$1:E4295)*(E2=E$1:E4295))))))</f>
        <v> </v>
      </c>
      <c r="K4296" s="25" t="str">
        <f>IF(OR(E4296="",E4296="!!!",F4296="NEW"),"",INDEX(J$1:J4295,SUMPRODUCT(MAX(ROW(E$1:E4295)*(E4296=E$1:E4295)))))</f>
        <v> </v>
      </c>
      <c r="L4296" s="26"/>
    </row>
    <row r="4297" spans="1:12">
      <c r="A4297" s="20" t="s">
        <v>765</v>
      </c>
      <c r="E4297" s="21">
        <f>IF(D4297="?OLD","!!!","")</f>
        <v/>
      </c>
      <c r="F4297" s="22" t="str">
        <f>IF(OR(E4297="",E4297="!!!"),"",IF(NOT(ISNA(VLOOKUP(E4297,E$1:E4296,1,FALSE()))),"OLD",IF(AND(E4297&lt;&gt;"",E4297&lt;&gt;"!!!"),"NEW","")))</f>
        <v> </v>
      </c>
      <c r="G4297" s="23" t="str">
        <f>IF(OR(E4297="",E4297="!!!"),"",IF(OR(J4297=0,AND(J4297=1,K4297=1),AND(J4297=1,I4297="SBJ"),AND(J4297=1,I4297=0)),"?IN_FOCUS",IF(J4297&lt;=2,"?ACTIVATED",IF(J4297&lt;&gt;"","?FAMILIAR",IF(F4297="NEW",IF(ISNA(VLOOKUP(E4297,#REF!,1,FALSE())),"?TYPE_IDENTIFIABLE","?REFERENTIAL"),"_")))))</f>
        <v> </v>
      </c>
      <c r="H4297" s="24" t="str">
        <f>IF(J4297&lt;&gt;1,"",IF(I4297="SBJ","CB","?"))</f>
        <v> </v>
      </c>
      <c r="I4297" s="25" t="str">
        <f>IF(OR(E4297="",E4297="!!!",F4297="NEW"),"",INDEX(B4296:B$2,-1+SUMPRODUCT(MAX(ROW(E4296:E$2)*(E4297=E4296:E$2)))))</f>
        <v> </v>
      </c>
      <c r="J4297" s="25" t="str">
        <f>IF(OR(E4297="",E4297="!!!",F4297="NEW"),"",COUNTBLANK(OFFSET(A$1,,,SUMPRODUCT(MAX(ROW(E$2:E4297)*(E4297=E$2:E4297)))))-COUNTBLANK(OFFSET(A$1,,,SUMPRODUCT(MAX(ROW(E$1:E4296)*(E2=E$1:E4296))))))</f>
        <v> </v>
      </c>
      <c r="K4297" s="25" t="str">
        <f>IF(OR(E4297="",E4297="!!!",F4297="NEW"),"",INDEX(J$1:J4296,SUMPRODUCT(MAX(ROW(E$1:E4296)*(E4297=E$1:E4296)))))</f>
        <v> </v>
      </c>
      <c r="L4297" s="26"/>
    </row>
    <row r="4298" spans="1:12">
      <c r="A4298" s="20" t="s">
        <v>861</v>
      </c>
      <c r="B4298" s="27" t="s">
        <v>756</v>
      </c>
      <c r="C4298" s="27" t="s">
        <v>775</v>
      </c>
      <c r="D4298" s="27" t="s">
        <v>740</v>
      </c>
      <c r="E4298" s="21">
        <f>IF(D4298="?OLD","!!!","")</f>
        <v/>
      </c>
      <c r="F4298" s="22" t="str">
        <f>IF(OR(E4298="",E4298="!!!"),"",IF(NOT(ISNA(VLOOKUP(E4298,E$1:E4297,1,FALSE()))),"OLD",IF(AND(E4298&lt;&gt;"",E4298&lt;&gt;"!!!"),"NEW","")))</f>
        <v> </v>
      </c>
      <c r="G4298" s="23" t="str">
        <f>IF(OR(E4298="",E4298="!!!"),"",IF(OR(J4298=0,AND(J4298=1,K4298=1),AND(J4298=1,I4298="SBJ"),AND(J4298=1,I4298=0)),"?IN_FOCUS",IF(J4298&lt;=2,"?ACTIVATED",IF(J4298&lt;&gt;"","?FAMILIAR",IF(F4298="NEW",IF(ISNA(VLOOKUP(E4298,#REF!,1,FALSE())),"?TYPE_IDENTIFIABLE","?REFERENTIAL"),"_")))))</f>
        <v> </v>
      </c>
      <c r="H4298" s="24" t="str">
        <f>IF(J4298&lt;&gt;1,"",IF(I4298="SBJ","CB","?"))</f>
        <v> </v>
      </c>
      <c r="I4298" s="25" t="str">
        <f>IF(OR(E4298="",E4298="!!!",F4298="NEW"),"",INDEX(B4297:B$2,-1+SUMPRODUCT(MAX(ROW(E4297:E$2)*(E4298=E4297:E$2)))))</f>
        <v> </v>
      </c>
      <c r="J4298" s="25" t="str">
        <f>IF(OR(E4298="",E4298="!!!",F4298="NEW"),"",COUNTBLANK(OFFSET(A$1,,,SUMPRODUCT(MAX(ROW(E$2:E4298)*(E4298=E$2:E4298)))))-COUNTBLANK(OFFSET(A$1,,,SUMPRODUCT(MAX(ROW(E$1:E4297)*(E2=E$1:E4297))))))</f>
        <v> </v>
      </c>
      <c r="K4298" s="25" t="str">
        <f>IF(OR(E4298="",E4298="!!!",F4298="NEW"),"",INDEX(J$1:J4297,SUMPRODUCT(MAX(ROW(E$1:E4297)*(E4298=E$1:E4297)))))</f>
        <v> </v>
      </c>
      <c r="L4298" s="26"/>
    </row>
    <row r="4299" spans="1:12">
      <c r="A4299" s="20" t="s">
        <v>991</v>
      </c>
      <c r="E4299" s="21">
        <f>IF(D4299="?OLD","!!!","")</f>
        <v/>
      </c>
      <c r="F4299" s="22" t="str">
        <f>IF(OR(E4299="",E4299="!!!"),"",IF(NOT(ISNA(VLOOKUP(E4299,E$1:E4298,1,FALSE()))),"OLD",IF(AND(E4299&lt;&gt;"",E4299&lt;&gt;"!!!"),"NEW","")))</f>
        <v> </v>
      </c>
      <c r="G4299" s="23" t="str">
        <f>IF(OR(E4299="",E4299="!!!"),"",IF(OR(J4299=0,AND(J4299=1,K4299=1),AND(J4299=1,I4299="SBJ"),AND(J4299=1,I4299=0)),"?IN_FOCUS",IF(J4299&lt;=2,"?ACTIVATED",IF(J4299&lt;&gt;"","?FAMILIAR",IF(F4299="NEW",IF(ISNA(VLOOKUP(E4299,#REF!,1,FALSE())),"?TYPE_IDENTIFIABLE","?REFERENTIAL"),"_")))))</f>
        <v> </v>
      </c>
      <c r="H4299" s="24" t="str">
        <f>IF(J4299&lt;&gt;1,"",IF(I4299="SBJ","CB","?"))</f>
        <v> </v>
      </c>
      <c r="I4299" s="25" t="str">
        <f>IF(OR(E4299="",E4299="!!!",F4299="NEW"),"",INDEX(B4298:B$2,-1+SUMPRODUCT(MAX(ROW(E4298:E$2)*(E4299=E4298:E$2)))))</f>
        <v> </v>
      </c>
      <c r="J4299" s="25" t="str">
        <f>IF(OR(E4299="",E4299="!!!",F4299="NEW"),"",COUNTBLANK(OFFSET(A$1,,,SUMPRODUCT(MAX(ROW(E$2:E4299)*(E4299=E$2:E4299)))))-COUNTBLANK(OFFSET(A$1,,,SUMPRODUCT(MAX(ROW(E$1:E4298)*(E2=E$1:E4298))))))</f>
        <v> </v>
      </c>
      <c r="K4299" s="25" t="str">
        <f>IF(OR(E4299="",E4299="!!!",F4299="NEW"),"",INDEX(J$1:J4298,SUMPRODUCT(MAX(ROW(E$1:E4298)*(E4299=E$1:E4298)))))</f>
        <v> </v>
      </c>
      <c r="L4299" s="26"/>
    </row>
    <row r="4300" spans="1:12">
      <c r="A4300" s="20" t="s">
        <v>791</v>
      </c>
      <c r="E4300" s="21">
        <f>IF(D4300="?OLD","!!!","")</f>
        <v/>
      </c>
      <c r="F4300" s="22" t="str">
        <f>IF(OR(E4300="",E4300="!!!"),"",IF(NOT(ISNA(VLOOKUP(E4300,E$1:E4299,1,FALSE()))),"OLD",IF(AND(E4300&lt;&gt;"",E4300&lt;&gt;"!!!"),"NEW","")))</f>
        <v> </v>
      </c>
      <c r="G4300" s="23" t="str">
        <f>IF(OR(E4300="",E4300="!!!"),"",IF(OR(J4300=0,AND(J4300=1,K4300=1),AND(J4300=1,I4300="SBJ"),AND(J4300=1,I4300=0)),"?IN_FOCUS",IF(J4300&lt;=2,"?ACTIVATED",IF(J4300&lt;&gt;"","?FAMILIAR",IF(F4300="NEW",IF(ISNA(VLOOKUP(E4300,#REF!,1,FALSE())),"?TYPE_IDENTIFIABLE","?REFERENTIAL"),"_")))))</f>
        <v> </v>
      </c>
      <c r="H4300" s="24" t="str">
        <f>IF(J4300&lt;&gt;1,"",IF(I4300="SBJ","CB","?"))</f>
        <v> </v>
      </c>
      <c r="I4300" s="25" t="str">
        <f>IF(OR(E4300="",E4300="!!!",F4300="NEW"),"",INDEX(B4299:B$2,-1+SUMPRODUCT(MAX(ROW(E4299:E$2)*(E4300=E4299:E$2)))))</f>
        <v> </v>
      </c>
      <c r="J4300" s="25" t="str">
        <f>IF(OR(E4300="",E4300="!!!",F4300="NEW"),"",COUNTBLANK(OFFSET(A$1,,,SUMPRODUCT(MAX(ROW(E$2:E4300)*(E4300=E$2:E4300)))))-COUNTBLANK(OFFSET(A$1,,,SUMPRODUCT(MAX(ROW(E$1:E4299)*(E2=E$1:E4299))))))</f>
        <v> </v>
      </c>
      <c r="K4300" s="25" t="str">
        <f>IF(OR(E4300="",E4300="!!!",F4300="NEW"),"",INDEX(J$1:J4299,SUMPRODUCT(MAX(ROW(E$1:E4299)*(E4300=E$1:E4299)))))</f>
        <v> </v>
      </c>
      <c r="L4300" s="26"/>
    </row>
    <row r="4301" spans="1:12">
      <c r="A4301" s="20" t="s">
        <v>1993</v>
      </c>
      <c r="B4301" s="27" t="s">
        <v>756</v>
      </c>
      <c r="C4301" s="27" t="s">
        <v>739</v>
      </c>
      <c r="D4301" s="27" t="s">
        <v>740</v>
      </c>
      <c r="E4301" s="21">
        <f>IF(D4301="?OLD","!!!","")</f>
        <v/>
      </c>
      <c r="F4301" s="22" t="str">
        <f>IF(OR(E4301="",E4301="!!!"),"",IF(NOT(ISNA(VLOOKUP(E4301,E$1:E4300,1,FALSE()))),"OLD",IF(AND(E4301&lt;&gt;"",E4301&lt;&gt;"!!!"),"NEW","")))</f>
        <v> </v>
      </c>
      <c r="G4301" s="23" t="str">
        <f>IF(OR(E4301="",E4301="!!!"),"",IF(OR(J4301=0,AND(J4301=1,K4301=1),AND(J4301=1,I4301="SBJ"),AND(J4301=1,I4301=0)),"?IN_FOCUS",IF(J4301&lt;=2,"?ACTIVATED",IF(J4301&lt;&gt;"","?FAMILIAR",IF(F4301="NEW",IF(ISNA(VLOOKUP(E4301,#REF!,1,FALSE())),"?TYPE_IDENTIFIABLE","?REFERENTIAL"),"_")))))</f>
        <v> </v>
      </c>
      <c r="H4301" s="24" t="str">
        <f>IF(J4301&lt;&gt;1,"",IF(I4301="SBJ","CB","?"))</f>
        <v> </v>
      </c>
      <c r="I4301" s="25" t="str">
        <f>IF(OR(E4301="",E4301="!!!",F4301="NEW"),"",INDEX(B4300:B$2,-1+SUMPRODUCT(MAX(ROW(E4300:E$2)*(E4301=E4300:E$2)))))</f>
        <v> </v>
      </c>
      <c r="J4301" s="25" t="str">
        <f>IF(OR(E4301="",E4301="!!!",F4301="NEW"),"",COUNTBLANK(OFFSET(A$1,,,SUMPRODUCT(MAX(ROW(E$2:E4301)*(E4301=E$2:E4301)))))-COUNTBLANK(OFFSET(A$1,,,SUMPRODUCT(MAX(ROW(E$1:E4300)*(E2=E$1:E4300))))))</f>
        <v> </v>
      </c>
      <c r="K4301" s="25" t="str">
        <f>IF(OR(E4301="",E4301="!!!",F4301="NEW"),"",INDEX(J$1:J4300,SUMPRODUCT(MAX(ROW(E$1:E4300)*(E4301=E$1:E4300)))))</f>
        <v> </v>
      </c>
      <c r="L4301" s="26"/>
    </row>
    <row r="4302" spans="1:12">
      <c r="A4302" s="20" t="s">
        <v>788</v>
      </c>
      <c r="E4302" s="21">
        <f>IF(D4302="?OLD","!!!","")</f>
        <v/>
      </c>
      <c r="F4302" s="22" t="str">
        <f>IF(OR(E4302="",E4302="!!!"),"",IF(NOT(ISNA(VLOOKUP(E4302,E$1:E4301,1,FALSE()))),"OLD",IF(AND(E4302&lt;&gt;"",E4302&lt;&gt;"!!!"),"NEW","")))</f>
        <v> </v>
      </c>
      <c r="G4302" s="23" t="str">
        <f>IF(OR(E4302="",E4302="!!!"),"",IF(OR(J4302=0,AND(J4302=1,K4302=1),AND(J4302=1,I4302="SBJ"),AND(J4302=1,I4302=0)),"?IN_FOCUS",IF(J4302&lt;=2,"?ACTIVATED",IF(J4302&lt;&gt;"","?FAMILIAR",IF(F4302="NEW",IF(ISNA(VLOOKUP(E4302,#REF!,1,FALSE())),"?TYPE_IDENTIFIABLE","?REFERENTIAL"),"_")))))</f>
        <v> </v>
      </c>
      <c r="H4302" s="24" t="str">
        <f>IF(J4302&lt;&gt;1,"",IF(I4302="SBJ","CB","?"))</f>
        <v> </v>
      </c>
      <c r="I4302" s="25" t="str">
        <f>IF(OR(E4302="",E4302="!!!",F4302="NEW"),"",INDEX(B4301:B$2,-1+SUMPRODUCT(MAX(ROW(E4301:E$2)*(E4302=E4301:E$2)))))</f>
        <v> </v>
      </c>
      <c r="J4302" s="25" t="str">
        <f>IF(OR(E4302="",E4302="!!!",F4302="NEW"),"",COUNTBLANK(OFFSET(A$1,,,SUMPRODUCT(MAX(ROW(E$2:E4302)*(E4302=E$2:E4302)))))-COUNTBLANK(OFFSET(A$1,,,SUMPRODUCT(MAX(ROW(E$1:E4301)*(E2=E$1:E4301))))))</f>
        <v> </v>
      </c>
      <c r="K4302" s="25" t="str">
        <f>IF(OR(E4302="",E4302="!!!",F4302="NEW"),"",INDEX(J$1:J4301,SUMPRODUCT(MAX(ROW(E$1:E4301)*(E4302=E$1:E4301)))))</f>
        <v> </v>
      </c>
      <c r="L4302" s="26"/>
    </row>
    <row r="4303" spans="1:12">
      <c r="A4303" s="20" t="s">
        <v>858</v>
      </c>
      <c r="E4303" s="21">
        <f>IF(D4303="?OLD","!!!","")</f>
        <v/>
      </c>
      <c r="F4303" s="22" t="str">
        <f>IF(OR(E4303="",E4303="!!!"),"",IF(NOT(ISNA(VLOOKUP(E4303,E$1:E4302,1,FALSE()))),"OLD",IF(AND(E4303&lt;&gt;"",E4303&lt;&gt;"!!!"),"NEW","")))</f>
        <v> </v>
      </c>
      <c r="G4303" s="23" t="str">
        <f>IF(OR(E4303="",E4303="!!!"),"",IF(OR(J4303=0,AND(J4303=1,K4303=1),AND(J4303=1,I4303="SBJ"),AND(J4303=1,I4303=0)),"?IN_FOCUS",IF(J4303&lt;=2,"?ACTIVATED",IF(J4303&lt;&gt;"","?FAMILIAR",IF(F4303="NEW",IF(ISNA(VLOOKUP(E4303,#REF!,1,FALSE())),"?TYPE_IDENTIFIABLE","?REFERENTIAL"),"_")))))</f>
        <v> </v>
      </c>
      <c r="H4303" s="24" t="str">
        <f>IF(J4303&lt;&gt;1,"",IF(I4303="SBJ","CB","?"))</f>
        <v> </v>
      </c>
      <c r="I4303" s="25" t="str">
        <f>IF(OR(E4303="",E4303="!!!",F4303="NEW"),"",INDEX(B4302:B$2,-1+SUMPRODUCT(MAX(ROW(E4302:E$2)*(E4303=E4302:E$2)))))</f>
        <v> </v>
      </c>
      <c r="J4303" s="25" t="str">
        <f>IF(OR(E4303="",E4303="!!!",F4303="NEW"),"",COUNTBLANK(OFFSET(A$1,,,SUMPRODUCT(MAX(ROW(E$2:E4303)*(E4303=E$2:E4303)))))-COUNTBLANK(OFFSET(A$1,,,SUMPRODUCT(MAX(ROW(E$1:E4302)*(E2=E$1:E4302))))))</f>
        <v> </v>
      </c>
      <c r="K4303" s="25" t="str">
        <f>IF(OR(E4303="",E4303="!!!",F4303="NEW"),"",INDEX(J$1:J4302,SUMPRODUCT(MAX(ROW(E$1:E4302)*(E4303=E$1:E4302)))))</f>
        <v> </v>
      </c>
      <c r="L4303" s="26"/>
    </row>
    <row r="4304" spans="1:12">
      <c r="A4304" s="20" t="s">
        <v>753</v>
      </c>
      <c r="E4304" s="21">
        <f>IF(D4304="?OLD","!!!","")</f>
        <v/>
      </c>
      <c r="F4304" s="22" t="str">
        <f>IF(OR(E4304="",E4304="!!!"),"",IF(NOT(ISNA(VLOOKUP(E4304,E$1:E4303,1,FALSE()))),"OLD",IF(AND(E4304&lt;&gt;"",E4304&lt;&gt;"!!!"),"NEW","")))</f>
        <v> </v>
      </c>
      <c r="G4304" s="23" t="str">
        <f>IF(OR(E4304="",E4304="!!!"),"",IF(OR(J4304=0,AND(J4304=1,K4304=1),AND(J4304=1,I4304="SBJ"),AND(J4304=1,I4304=0)),"?IN_FOCUS",IF(J4304&lt;=2,"?ACTIVATED",IF(J4304&lt;&gt;"","?FAMILIAR",IF(F4304="NEW",IF(ISNA(VLOOKUP(E4304,#REF!,1,FALSE())),"?TYPE_IDENTIFIABLE","?REFERENTIAL"),"_")))))</f>
        <v> </v>
      </c>
      <c r="H4304" s="24" t="str">
        <f>IF(J4304&lt;&gt;1,"",IF(I4304="SBJ","CB","?"))</f>
        <v> </v>
      </c>
      <c r="I4304" s="25" t="str">
        <f>IF(OR(E4304="",E4304="!!!",F4304="NEW"),"",INDEX(B4303:B$2,-1+SUMPRODUCT(MAX(ROW(E4303:E$2)*(E4304=E4303:E$2)))))</f>
        <v> </v>
      </c>
      <c r="J4304" s="25" t="str">
        <f>IF(OR(E4304="",E4304="!!!",F4304="NEW"),"",COUNTBLANK(OFFSET(A$1,,,SUMPRODUCT(MAX(ROW(E$2:E4304)*(E4304=E$2:E4304)))))-COUNTBLANK(OFFSET(A$1,,,SUMPRODUCT(MAX(ROW(E$1:E4303)*(E2=E$1:E4303))))))</f>
        <v> </v>
      </c>
      <c r="K4304" s="25" t="str">
        <f>IF(OR(E4304="",E4304="!!!",F4304="NEW"),"",INDEX(J$1:J4303,SUMPRODUCT(MAX(ROW(E$1:E4303)*(E4304=E$1:E4303)))))</f>
        <v> </v>
      </c>
      <c r="L4304" s="26"/>
    </row>
    <row r="4305" spans="1:12">
      <c r="A4305" s="20" t="s">
        <v>774</v>
      </c>
      <c r="B4305" s="27" t="s">
        <v>795</v>
      </c>
      <c r="C4305" s="27" t="s">
        <v>775</v>
      </c>
      <c r="D4305" s="27" t="s">
        <v>740</v>
      </c>
      <c r="E4305" s="21">
        <f>IF(D4305="?OLD","!!!","")</f>
        <v/>
      </c>
      <c r="F4305" s="22" t="str">
        <f>IF(OR(E4305="",E4305="!!!"),"",IF(NOT(ISNA(VLOOKUP(E4305,E$1:E4304,1,FALSE()))),"OLD",IF(AND(E4305&lt;&gt;"",E4305&lt;&gt;"!!!"),"NEW","")))</f>
        <v> </v>
      </c>
      <c r="G4305" s="23" t="str">
        <f>IF(OR(E4305="",E4305="!!!"),"",IF(OR(J4305=0,AND(J4305=1,K4305=1),AND(J4305=1,I4305="SBJ"),AND(J4305=1,I4305=0)),"?IN_FOCUS",IF(J4305&lt;=2,"?ACTIVATED",IF(J4305&lt;&gt;"","?FAMILIAR",IF(F4305="NEW",IF(ISNA(VLOOKUP(E4305,#REF!,1,FALSE())),"?TYPE_IDENTIFIABLE","?REFERENTIAL"),"_")))))</f>
        <v> </v>
      </c>
      <c r="H4305" s="24" t="str">
        <f>IF(J4305&lt;&gt;1,"",IF(I4305="SBJ","CB","?"))</f>
        <v> </v>
      </c>
      <c r="I4305" s="25" t="str">
        <f>IF(OR(E4305="",E4305="!!!",F4305="NEW"),"",INDEX(B4304:B$2,-1+SUMPRODUCT(MAX(ROW(E4304:E$2)*(E4305=E4304:E$2)))))</f>
        <v> </v>
      </c>
      <c r="J4305" s="25" t="str">
        <f>IF(OR(E4305="",E4305="!!!",F4305="NEW"),"",COUNTBLANK(OFFSET(A$1,,,SUMPRODUCT(MAX(ROW(E$2:E4305)*(E4305=E$2:E4305)))))-COUNTBLANK(OFFSET(A$1,,,SUMPRODUCT(MAX(ROW(E$1:E4304)*(E2=E$1:E4304))))))</f>
        <v> </v>
      </c>
      <c r="K4305" s="25" t="str">
        <f>IF(OR(E4305="",E4305="!!!",F4305="NEW"),"",INDEX(J$1:J4304,SUMPRODUCT(MAX(ROW(E$1:E4304)*(E4305=E$1:E4304)))))</f>
        <v> </v>
      </c>
      <c r="L4305" s="26"/>
    </row>
    <row r="4306" spans="1:12">
      <c r="A4306" s="20" t="s">
        <v>1391</v>
      </c>
      <c r="E4306" s="21">
        <f>IF(D4306="?OLD","!!!","")</f>
        <v/>
      </c>
      <c r="F4306" s="22" t="str">
        <f>IF(OR(E4306="",E4306="!!!"),"",IF(NOT(ISNA(VLOOKUP(E4306,E$1:E4305,1,FALSE()))),"OLD",IF(AND(E4306&lt;&gt;"",E4306&lt;&gt;"!!!"),"NEW","")))</f>
        <v> </v>
      </c>
      <c r="G4306" s="23" t="str">
        <f>IF(OR(E4306="",E4306="!!!"),"",IF(OR(J4306=0,AND(J4306=1,K4306=1),AND(J4306=1,I4306="SBJ"),AND(J4306=1,I4306=0)),"?IN_FOCUS",IF(J4306&lt;=2,"?ACTIVATED",IF(J4306&lt;&gt;"","?FAMILIAR",IF(F4306="NEW",IF(ISNA(VLOOKUP(E4306,#REF!,1,FALSE())),"?TYPE_IDENTIFIABLE","?REFERENTIAL"),"_")))))</f>
        <v> </v>
      </c>
      <c r="H4306" s="24" t="str">
        <f>IF(J4306&lt;&gt;1,"",IF(I4306="SBJ","CB","?"))</f>
        <v> </v>
      </c>
      <c r="I4306" s="25" t="str">
        <f>IF(OR(E4306="",E4306="!!!",F4306="NEW"),"",INDEX(B4305:B$2,-1+SUMPRODUCT(MAX(ROW(E4305:E$2)*(E4306=E4305:E$2)))))</f>
        <v> </v>
      </c>
      <c r="J4306" s="25" t="str">
        <f>IF(OR(E4306="",E4306="!!!",F4306="NEW"),"",COUNTBLANK(OFFSET(A$1,,,SUMPRODUCT(MAX(ROW(E$2:E4306)*(E4306=E$2:E4306)))))-COUNTBLANK(OFFSET(A$1,,,SUMPRODUCT(MAX(ROW(E$1:E4305)*(E2=E$1:E4305))))))</f>
        <v> </v>
      </c>
      <c r="K4306" s="25" t="str">
        <f>IF(OR(E4306="",E4306="!!!",F4306="NEW"),"",INDEX(J$1:J4305,SUMPRODUCT(MAX(ROW(E$1:E4305)*(E4306=E$1:E4305)))))</f>
        <v> </v>
      </c>
      <c r="L4306" s="26"/>
    </row>
    <row r="4307" spans="1:12">
      <c r="A4307" s="20" t="s">
        <v>1994</v>
      </c>
      <c r="E4307" s="21">
        <f>IF(D4307="?OLD","!!!","")</f>
        <v/>
      </c>
      <c r="F4307" s="22" t="str">
        <f>IF(OR(E4307="",E4307="!!!"),"",IF(NOT(ISNA(VLOOKUP(E4307,E$1:E4306,1,FALSE()))),"OLD",IF(AND(E4307&lt;&gt;"",E4307&lt;&gt;"!!!"),"NEW","")))</f>
        <v> </v>
      </c>
      <c r="G4307" s="23" t="str">
        <f>IF(OR(E4307="",E4307="!!!"),"",IF(OR(J4307=0,AND(J4307=1,K4307=1),AND(J4307=1,I4307="SBJ"),AND(J4307=1,I4307=0)),"?IN_FOCUS",IF(J4307&lt;=2,"?ACTIVATED",IF(J4307&lt;&gt;"","?FAMILIAR",IF(F4307="NEW",IF(ISNA(VLOOKUP(E4307,#REF!,1,FALSE())),"?TYPE_IDENTIFIABLE","?REFERENTIAL"),"_")))))</f>
        <v> </v>
      </c>
      <c r="H4307" s="24" t="str">
        <f>IF(J4307&lt;&gt;1,"",IF(I4307="SBJ","CB","?"))</f>
        <v> </v>
      </c>
      <c r="I4307" s="25" t="str">
        <f>IF(OR(E4307="",E4307="!!!",F4307="NEW"),"",INDEX(B4306:B$2,-1+SUMPRODUCT(MAX(ROW(E4306:E$2)*(E4307=E4306:E$2)))))</f>
        <v> </v>
      </c>
      <c r="J4307" s="25" t="str">
        <f>IF(OR(E4307="",E4307="!!!",F4307="NEW"),"",COUNTBLANK(OFFSET(A$1,,,SUMPRODUCT(MAX(ROW(E$2:E4307)*(E4307=E$2:E4307)))))-COUNTBLANK(OFFSET(A$1,,,SUMPRODUCT(MAX(ROW(E$1:E4306)*(E2=E$1:E4306))))))</f>
        <v> </v>
      </c>
      <c r="K4307" s="25" t="str">
        <f>IF(OR(E4307="",E4307="!!!",F4307="NEW"),"",INDEX(J$1:J4306,SUMPRODUCT(MAX(ROW(E$1:E4306)*(E4307=E$1:E4306)))))</f>
        <v> </v>
      </c>
      <c r="L4307" s="26"/>
    </row>
    <row r="4308" spans="1:12">
      <c r="A4308" s="20" t="s">
        <v>746</v>
      </c>
      <c r="E4308" s="21">
        <f>IF(D4308="?OLD","!!!","")</f>
        <v/>
      </c>
      <c r="F4308" s="22" t="str">
        <f>IF(OR(E4308="",E4308="!!!"),"",IF(NOT(ISNA(VLOOKUP(E4308,E$1:E4307,1,FALSE()))),"OLD",IF(AND(E4308&lt;&gt;"",E4308&lt;&gt;"!!!"),"NEW","")))</f>
        <v> </v>
      </c>
      <c r="G4308" s="23" t="str">
        <f>IF(OR(E4308="",E4308="!!!"),"",IF(OR(J4308=0,AND(J4308=1,K4308=1),AND(J4308=1,I4308="SBJ"),AND(J4308=1,I4308=0)),"?IN_FOCUS",IF(J4308&lt;=2,"?ACTIVATED",IF(J4308&lt;&gt;"","?FAMILIAR",IF(F4308="NEW",IF(ISNA(VLOOKUP(E4308,#REF!,1,FALSE())),"?TYPE_IDENTIFIABLE","?REFERENTIAL"),"_")))))</f>
        <v> </v>
      </c>
      <c r="H4308" s="24" t="str">
        <f>IF(J4308&lt;&gt;1,"",IF(I4308="SBJ","CB","?"))</f>
        <v> </v>
      </c>
      <c r="I4308" s="25" t="str">
        <f>IF(OR(E4308="",E4308="!!!",F4308="NEW"),"",INDEX(B4307:B$2,-1+SUMPRODUCT(MAX(ROW(E4307:E$2)*(E4308=E4307:E$2)))))</f>
        <v> </v>
      </c>
      <c r="J4308" s="25" t="str">
        <f>IF(OR(E4308="",E4308="!!!",F4308="NEW"),"",COUNTBLANK(OFFSET(A$1,,,SUMPRODUCT(MAX(ROW(E$2:E4308)*(E4308=E$2:E4308)))))-COUNTBLANK(OFFSET(A$1,,,SUMPRODUCT(MAX(ROW(E$1:E4307)*(E2=E$1:E4307))))))</f>
        <v> </v>
      </c>
      <c r="K4308" s="25" t="str">
        <f>IF(OR(E4308="",E4308="!!!",F4308="NEW"),"",INDEX(J$1:J4307,SUMPRODUCT(MAX(ROW(E$1:E4307)*(E4308=E$1:E4307)))))</f>
        <v> </v>
      </c>
      <c r="L4308" s="26"/>
    </row>
    <row r="4309" spans="1:12">
      <c r="A4309" s="20"/>
    </row>
    <row r="4310" spans="1:12">
      <c r="A4310" s="20" t="s">
        <v>1995</v>
      </c>
    </row>
    <row r="4311" spans="1:12">
      <c r="A4311" s="20" t="s">
        <v>1441</v>
      </c>
      <c r="B4311" s="27" t="s">
        <v>728</v>
      </c>
      <c r="C4311" s="27" t="s">
        <v>749</v>
      </c>
      <c r="D4311" s="27" t="s">
        <v>740</v>
      </c>
      <c r="E4311" s="21">
        <f>IF(D4311="?OLD","!!!","")</f>
        <v/>
      </c>
      <c r="F4311" s="22" t="str">
        <f>IF(OR(E4311="",E4311="!!!"),"",IF(NOT(ISNA(VLOOKUP(E4311,E$1:E4310,1,FALSE()))),"OLD",IF(AND(E4311&lt;&gt;"",E4311&lt;&gt;"!!!"),"NEW","")))</f>
        <v> </v>
      </c>
      <c r="G4311" s="23" t="str">
        <f>IF(OR(E4311="",E4311="!!!"),"",IF(OR(J4311=0,AND(J4311=1,K4311=1),AND(J4311=1,I4311="SBJ"),AND(J4311=1,I4311=0)),"?IN_FOCUS",IF(J4311&lt;=2,"?ACTIVATED",IF(J4311&lt;&gt;"","?FAMILIAR",IF(F4311="NEW",IF(ISNA(VLOOKUP(E4311,#REF!,1,FALSE())),"?TYPE_IDENTIFIABLE","?REFERENTIAL"),"_")))))</f>
        <v> </v>
      </c>
      <c r="H4311" s="24" t="str">
        <f>IF(J4311&lt;&gt;1,"",IF(I4311="SBJ","CB","?"))</f>
        <v> </v>
      </c>
      <c r="I4311" s="25" t="str">
        <f>IF(OR(E4311="",E4311="!!!",F4311="NEW"),"",INDEX(B4310:B$2,-1+SUMPRODUCT(MAX(ROW(E4310:E$2)*(E4311=E4310:E$2)))))</f>
        <v> </v>
      </c>
      <c r="J4311" s="25" t="str">
        <f>IF(OR(E4311="",E4311="!!!",F4311="NEW"),"",COUNTBLANK(OFFSET(A$1,,,SUMPRODUCT(MAX(ROW(E$2:E4311)*(E4311=E$2:E4311)))))-COUNTBLANK(OFFSET(A$1,,,SUMPRODUCT(MAX(ROW(E$1:E4310)*(E2=E$1:E4310))))))</f>
        <v> </v>
      </c>
      <c r="K4311" s="25" t="str">
        <f>IF(OR(E4311="",E4311="!!!",F4311="NEW"),"",INDEX(J$1:J4310,SUMPRODUCT(MAX(ROW(E$1:E4310)*(E4311=E$1:E4310)))))</f>
        <v> </v>
      </c>
      <c r="L4311" s="26"/>
    </row>
    <row r="4312" spans="1:12">
      <c r="A4312" s="20" t="s">
        <v>931</v>
      </c>
      <c r="E4312" s="21">
        <f>IF(D4312="?OLD","!!!","")</f>
        <v/>
      </c>
      <c r="F4312" s="22" t="str">
        <f>IF(OR(E4312="",E4312="!!!"),"",IF(NOT(ISNA(VLOOKUP(E4312,E$1:E4311,1,FALSE()))),"OLD",IF(AND(E4312&lt;&gt;"",E4312&lt;&gt;"!!!"),"NEW","")))</f>
        <v> </v>
      </c>
      <c r="G4312" s="23" t="str">
        <f>IF(OR(E4312="",E4312="!!!"),"",IF(OR(J4312=0,AND(J4312=1,K4312=1),AND(J4312=1,I4312="SBJ"),AND(J4312=1,I4312=0)),"?IN_FOCUS",IF(J4312&lt;=2,"?ACTIVATED",IF(J4312&lt;&gt;"","?FAMILIAR",IF(F4312="NEW",IF(ISNA(VLOOKUP(E4312,#REF!,1,FALSE())),"?TYPE_IDENTIFIABLE","?REFERENTIAL"),"_")))))</f>
        <v> </v>
      </c>
      <c r="H4312" s="24" t="str">
        <f>IF(J4312&lt;&gt;1,"",IF(I4312="SBJ","CB","?"))</f>
        <v> </v>
      </c>
      <c r="I4312" s="25" t="str">
        <f>IF(OR(E4312="",E4312="!!!",F4312="NEW"),"",INDEX(B4311:B$2,-1+SUMPRODUCT(MAX(ROW(E4311:E$2)*(E4312=E4311:E$2)))))</f>
        <v> </v>
      </c>
      <c r="J4312" s="25" t="str">
        <f>IF(OR(E4312="",E4312="!!!",F4312="NEW"),"",COUNTBLANK(OFFSET(A$1,,,SUMPRODUCT(MAX(ROW(E$2:E4312)*(E4312=E$2:E4312)))))-COUNTBLANK(OFFSET(A$1,,,SUMPRODUCT(MAX(ROW(E$1:E4311)*(E2=E$1:E4311))))))</f>
        <v> </v>
      </c>
      <c r="K4312" s="25" t="str">
        <f>IF(OR(E4312="",E4312="!!!",F4312="NEW"),"",INDEX(J$1:J4311,SUMPRODUCT(MAX(ROW(E$1:E4311)*(E4312=E$1:E4311)))))</f>
        <v> </v>
      </c>
      <c r="L4312" s="26"/>
    </row>
    <row r="4313" spans="1:12">
      <c r="A4313" s="20" t="s">
        <v>1249</v>
      </c>
      <c r="E4313" s="21">
        <f>IF(D4313="?OLD","!!!","")</f>
        <v/>
      </c>
      <c r="F4313" s="22" t="str">
        <f>IF(OR(E4313="",E4313="!!!"),"",IF(NOT(ISNA(VLOOKUP(E4313,E$1:E4312,1,FALSE()))),"OLD",IF(AND(E4313&lt;&gt;"",E4313&lt;&gt;"!!!"),"NEW","")))</f>
        <v> </v>
      </c>
      <c r="G4313" s="23" t="str">
        <f>IF(OR(E4313="",E4313="!!!"),"",IF(OR(J4313=0,AND(J4313=1,K4313=1),AND(J4313=1,I4313="SBJ"),AND(J4313=1,I4313=0)),"?IN_FOCUS",IF(J4313&lt;=2,"?ACTIVATED",IF(J4313&lt;&gt;"","?FAMILIAR",IF(F4313="NEW",IF(ISNA(VLOOKUP(E4313,#REF!,1,FALSE())),"?TYPE_IDENTIFIABLE","?REFERENTIAL"),"_")))))</f>
        <v> </v>
      </c>
      <c r="H4313" s="24" t="str">
        <f>IF(J4313&lt;&gt;1,"",IF(I4313="SBJ","CB","?"))</f>
        <v> </v>
      </c>
      <c r="I4313" s="25" t="str">
        <f>IF(OR(E4313="",E4313="!!!",F4313="NEW"),"",INDEX(B4312:B$2,-1+SUMPRODUCT(MAX(ROW(E4312:E$2)*(E4313=E4312:E$2)))))</f>
        <v> </v>
      </c>
      <c r="J4313" s="25" t="str">
        <f>IF(OR(E4313="",E4313="!!!",F4313="NEW"),"",COUNTBLANK(OFFSET(A$1,,,SUMPRODUCT(MAX(ROW(E$2:E4313)*(E4313=E$2:E4313)))))-COUNTBLANK(OFFSET(A$1,,,SUMPRODUCT(MAX(ROW(E$1:E4312)*(E2=E$1:E4312))))))</f>
        <v> </v>
      </c>
      <c r="K4313" s="25" t="str">
        <f>IF(OR(E4313="",E4313="!!!",F4313="NEW"),"",INDEX(J$1:J4312,SUMPRODUCT(MAX(ROW(E$1:E4312)*(E4313=E$1:E4312)))))</f>
        <v> </v>
      </c>
      <c r="L4313" s="26"/>
    </row>
    <row r="4314" spans="1:12">
      <c r="A4314" s="20" t="s">
        <v>1996</v>
      </c>
      <c r="B4314" s="27" t="s">
        <v>738</v>
      </c>
      <c r="C4314" s="27" t="s">
        <v>848</v>
      </c>
      <c r="E4314" s="21">
        <f>IF(D4314="?OLD","!!!","")</f>
        <v/>
      </c>
      <c r="F4314" s="22" t="str">
        <f>IF(OR(E4314="",E4314="!!!"),"",IF(NOT(ISNA(VLOOKUP(E4314,E$1:E4313,1,FALSE()))),"OLD",IF(AND(E4314&lt;&gt;"",E4314&lt;&gt;"!!!"),"NEW","")))</f>
        <v> </v>
      </c>
      <c r="G4314" s="23" t="str">
        <f>IF(OR(E4314="",E4314="!!!"),"",IF(OR(J4314=0,AND(J4314=1,K4314=1),AND(J4314=1,I4314="SBJ"),AND(J4314=1,I4314=0)),"?IN_FOCUS",IF(J4314&lt;=2,"?ACTIVATED",IF(J4314&lt;&gt;"","?FAMILIAR",IF(F4314="NEW",IF(ISNA(VLOOKUP(E4314,#REF!,1,FALSE())),"?TYPE_IDENTIFIABLE","?REFERENTIAL"),"_")))))</f>
        <v> </v>
      </c>
      <c r="H4314" s="24" t="str">
        <f>IF(J4314&lt;&gt;1,"",IF(I4314="SBJ","CB","?"))</f>
        <v> </v>
      </c>
      <c r="I4314" s="25" t="str">
        <f>IF(OR(E4314="",E4314="!!!",F4314="NEW"),"",INDEX(B4313:B$2,-1+SUMPRODUCT(MAX(ROW(E4313:E$2)*(E4314=E4313:E$2)))))</f>
        <v> </v>
      </c>
      <c r="J4314" s="25" t="str">
        <f>IF(OR(E4314="",E4314="!!!",F4314="NEW"),"",COUNTBLANK(OFFSET(A$1,,,SUMPRODUCT(MAX(ROW(E$2:E4314)*(E4314=E$2:E4314)))))-COUNTBLANK(OFFSET(A$1,,,SUMPRODUCT(MAX(ROW(E$1:E4313)*(E2=E$1:E4313))))))</f>
        <v> </v>
      </c>
      <c r="K4314" s="25" t="str">
        <f>IF(OR(E4314="",E4314="!!!",F4314="NEW"),"",INDEX(J$1:J4313,SUMPRODUCT(MAX(ROW(E$1:E4313)*(E4314=E$1:E4313)))))</f>
        <v> </v>
      </c>
      <c r="L4314" s="26"/>
    </row>
    <row r="4315" spans="1:12">
      <c r="A4315" s="20" t="s">
        <v>919</v>
      </c>
      <c r="E4315" s="21">
        <f>IF(D4315="?OLD","!!!","")</f>
        <v/>
      </c>
      <c r="F4315" s="22" t="str">
        <f>IF(OR(E4315="",E4315="!!!"),"",IF(NOT(ISNA(VLOOKUP(E4315,E$1:E4314,1,FALSE()))),"OLD",IF(AND(E4315&lt;&gt;"",E4315&lt;&gt;"!!!"),"NEW","")))</f>
        <v> </v>
      </c>
      <c r="G4315" s="23" t="str">
        <f>IF(OR(E4315="",E4315="!!!"),"",IF(OR(J4315=0,AND(J4315=1,K4315=1),AND(J4315=1,I4315="SBJ"),AND(J4315=1,I4315=0)),"?IN_FOCUS",IF(J4315&lt;=2,"?ACTIVATED",IF(J4315&lt;&gt;"","?FAMILIAR",IF(F4315="NEW",IF(ISNA(VLOOKUP(E4315,#REF!,1,FALSE())),"?TYPE_IDENTIFIABLE","?REFERENTIAL"),"_")))))</f>
        <v> </v>
      </c>
      <c r="H4315" s="24" t="str">
        <f>IF(J4315&lt;&gt;1,"",IF(I4315="SBJ","CB","?"))</f>
        <v> </v>
      </c>
      <c r="I4315" s="25" t="str">
        <f>IF(OR(E4315="",E4315="!!!",F4315="NEW"),"",INDEX(B4314:B$2,-1+SUMPRODUCT(MAX(ROW(E4314:E$2)*(E4315=E4314:E$2)))))</f>
        <v> </v>
      </c>
      <c r="J4315" s="25" t="str">
        <f>IF(OR(E4315="",E4315="!!!",F4315="NEW"),"",COUNTBLANK(OFFSET(A$1,,,SUMPRODUCT(MAX(ROW(E$2:E4315)*(E4315=E$2:E4315)))))-COUNTBLANK(OFFSET(A$1,,,SUMPRODUCT(MAX(ROW(E$1:E4314)*(E2=E$1:E4314))))))</f>
        <v> </v>
      </c>
      <c r="K4315" s="25" t="str">
        <f>IF(OR(E4315="",E4315="!!!",F4315="NEW"),"",INDEX(J$1:J4314,SUMPRODUCT(MAX(ROW(E$1:E4314)*(E4315=E$1:E4314)))))</f>
        <v> </v>
      </c>
      <c r="L4315" s="26"/>
    </row>
    <row r="4316" spans="1:12">
      <c r="A4316" s="20" t="s">
        <v>1997</v>
      </c>
      <c r="E4316" s="21">
        <f>IF(D4316="?OLD","!!!","")</f>
        <v/>
      </c>
      <c r="F4316" s="22" t="str">
        <f>IF(OR(E4316="",E4316="!!!"),"",IF(NOT(ISNA(VLOOKUP(E4316,E$1:E4315,1,FALSE()))),"OLD",IF(AND(E4316&lt;&gt;"",E4316&lt;&gt;"!!!"),"NEW","")))</f>
        <v> </v>
      </c>
      <c r="G4316" s="23" t="str">
        <f>IF(OR(E4316="",E4316="!!!"),"",IF(OR(J4316=0,AND(J4316=1,K4316=1),AND(J4316=1,I4316="SBJ"),AND(J4316=1,I4316=0)),"?IN_FOCUS",IF(J4316&lt;=2,"?ACTIVATED",IF(J4316&lt;&gt;"","?FAMILIAR",IF(F4316="NEW",IF(ISNA(VLOOKUP(E4316,#REF!,1,FALSE())),"?TYPE_IDENTIFIABLE","?REFERENTIAL"),"_")))))</f>
        <v> </v>
      </c>
      <c r="H4316" s="24" t="str">
        <f>IF(J4316&lt;&gt;1,"",IF(I4316="SBJ","CB","?"))</f>
        <v> </v>
      </c>
      <c r="I4316" s="25" t="str">
        <f>IF(OR(E4316="",E4316="!!!",F4316="NEW"),"",INDEX(B4315:B$2,-1+SUMPRODUCT(MAX(ROW(E4315:E$2)*(E4316=E4315:E$2)))))</f>
        <v> </v>
      </c>
      <c r="J4316" s="25" t="str">
        <f>IF(OR(E4316="",E4316="!!!",F4316="NEW"),"",COUNTBLANK(OFFSET(A$1,,,SUMPRODUCT(MAX(ROW(E$2:E4316)*(E4316=E$2:E4316)))))-COUNTBLANK(OFFSET(A$1,,,SUMPRODUCT(MAX(ROW(E$1:E4315)*(E2=E$1:E4315))))))</f>
        <v> </v>
      </c>
      <c r="K4316" s="25" t="str">
        <f>IF(OR(E4316="",E4316="!!!",F4316="NEW"),"",INDEX(J$1:J4315,SUMPRODUCT(MAX(ROW(E$1:E4315)*(E4316=E$1:E4315)))))</f>
        <v> </v>
      </c>
      <c r="L4316" s="26"/>
    </row>
    <row r="4317" spans="1:12">
      <c r="A4317" s="20" t="s">
        <v>633</v>
      </c>
      <c r="E4317" s="21">
        <f>IF(D4317="?OLD","!!!","")</f>
        <v/>
      </c>
      <c r="F4317" s="22" t="str">
        <f>IF(OR(E4317="",E4317="!!!"),"",IF(NOT(ISNA(VLOOKUP(E4317,E$1:E4316,1,FALSE()))),"OLD",IF(AND(E4317&lt;&gt;"",E4317&lt;&gt;"!!!"),"NEW","")))</f>
        <v> </v>
      </c>
      <c r="G4317" s="23" t="str">
        <f>IF(OR(E4317="",E4317="!!!"),"",IF(OR(J4317=0,AND(J4317=1,K4317=1),AND(J4317=1,I4317="SBJ"),AND(J4317=1,I4317=0)),"?IN_FOCUS",IF(J4317&lt;=2,"?ACTIVATED",IF(J4317&lt;&gt;"","?FAMILIAR",IF(F4317="NEW",IF(ISNA(VLOOKUP(E4317,#REF!,1,FALSE())),"?TYPE_IDENTIFIABLE","?REFERENTIAL"),"_")))))</f>
        <v> </v>
      </c>
      <c r="H4317" s="24" t="str">
        <f>IF(J4317&lt;&gt;1,"",IF(I4317="SBJ","CB","?"))</f>
        <v> </v>
      </c>
      <c r="I4317" s="25" t="str">
        <f>IF(OR(E4317="",E4317="!!!",F4317="NEW"),"",INDEX(B4316:B$2,-1+SUMPRODUCT(MAX(ROW(E4316:E$2)*(E4317=E4316:E$2)))))</f>
        <v> </v>
      </c>
      <c r="J4317" s="25" t="str">
        <f>IF(OR(E4317="",E4317="!!!",F4317="NEW"),"",COUNTBLANK(OFFSET(A$1,,,SUMPRODUCT(MAX(ROW(E$2:E4317)*(E4317=E$2:E4317)))))-COUNTBLANK(OFFSET(A$1,,,SUMPRODUCT(MAX(ROW(E$1:E4316)*(E2=E$1:E4316))))))</f>
        <v> </v>
      </c>
      <c r="K4317" s="25" t="str">
        <f>IF(OR(E4317="",E4317="!!!",F4317="NEW"),"",INDEX(J$1:J4316,SUMPRODUCT(MAX(ROW(E$1:E4316)*(E4317=E$1:E4316)))))</f>
        <v> </v>
      </c>
      <c r="L4317" s="26"/>
    </row>
    <row r="4318" spans="1:12">
      <c r="A4318" s="20" t="s">
        <v>746</v>
      </c>
      <c r="E4318" s="21">
        <f>IF(D4318="?OLD","!!!","")</f>
        <v/>
      </c>
      <c r="F4318" s="22" t="str">
        <f>IF(OR(E4318="",E4318="!!!"),"",IF(NOT(ISNA(VLOOKUP(E4318,E$1:E4317,1,FALSE()))),"OLD",IF(AND(E4318&lt;&gt;"",E4318&lt;&gt;"!!!"),"NEW","")))</f>
        <v> </v>
      </c>
      <c r="G4318" s="23" t="str">
        <f>IF(OR(E4318="",E4318="!!!"),"",IF(OR(J4318=0,AND(J4318=1,K4318=1),AND(J4318=1,I4318="SBJ"),AND(J4318=1,I4318=0)),"?IN_FOCUS",IF(J4318&lt;=2,"?ACTIVATED",IF(J4318&lt;&gt;"","?FAMILIAR",IF(F4318="NEW",IF(ISNA(VLOOKUP(E4318,#REF!,1,FALSE())),"?TYPE_IDENTIFIABLE","?REFERENTIAL"),"_")))))</f>
        <v> </v>
      </c>
      <c r="H4318" s="24" t="str">
        <f>IF(J4318&lt;&gt;1,"",IF(I4318="SBJ","CB","?"))</f>
        <v> </v>
      </c>
      <c r="I4318" s="25" t="str">
        <f>IF(OR(E4318="",E4318="!!!",F4318="NEW"),"",INDEX(B4317:B$2,-1+SUMPRODUCT(MAX(ROW(E4317:E$2)*(E4318=E4317:E$2)))))</f>
        <v> </v>
      </c>
      <c r="J4318" s="25" t="str">
        <f>IF(OR(E4318="",E4318="!!!",F4318="NEW"),"",COUNTBLANK(OFFSET(A$1,,,SUMPRODUCT(MAX(ROW(E$2:E4318)*(E4318=E$2:E4318)))))-COUNTBLANK(OFFSET(A$1,,,SUMPRODUCT(MAX(ROW(E$1:E4317)*(E2=E$1:E4317))))))</f>
        <v> </v>
      </c>
      <c r="K4318" s="25" t="str">
        <f>IF(OR(E4318="",E4318="!!!",F4318="NEW"),"",INDEX(J$1:J4317,SUMPRODUCT(MAX(ROW(E$1:E4317)*(E4318=E$1:E4317)))))</f>
        <v> </v>
      </c>
      <c r="L4318" s="26"/>
    </row>
    <row r="4319" spans="1:12">
      <c r="A4319" s="20"/>
    </row>
    <row r="4320" spans="1:12">
      <c r="A4320" s="20" t="s">
        <v>1998</v>
      </c>
    </row>
    <row r="4321" spans="1:12">
      <c r="A4321" s="20" t="s">
        <v>748</v>
      </c>
      <c r="B4321" s="27" t="s">
        <v>728</v>
      </c>
      <c r="C4321" s="27" t="s">
        <v>749</v>
      </c>
      <c r="D4321" s="27" t="s">
        <v>740</v>
      </c>
      <c r="E4321" s="21">
        <f>IF(D4321="?OLD","!!!","")</f>
        <v/>
      </c>
      <c r="F4321" s="22" t="str">
        <f>IF(OR(E4321="",E4321="!!!"),"",IF(NOT(ISNA(VLOOKUP(E4321,E$1:E4320,1,FALSE()))),"OLD",IF(AND(E4321&lt;&gt;"",E4321&lt;&gt;"!!!"),"NEW","")))</f>
        <v> </v>
      </c>
      <c r="G4321" s="23" t="str">
        <f>IF(OR(E4321="",E4321="!!!"),"",IF(OR(J4321=0,AND(J4321=1,K4321=1),AND(J4321=1,I4321="SBJ"),AND(J4321=1,I4321=0)),"?IN_FOCUS",IF(J4321&lt;=2,"?ACTIVATED",IF(J4321&lt;&gt;"","?FAMILIAR",IF(F4321="NEW",IF(ISNA(VLOOKUP(E4321,#REF!,1,FALSE())),"?TYPE_IDENTIFIABLE","?REFERENTIAL"),"_")))))</f>
        <v> </v>
      </c>
      <c r="H4321" s="24" t="str">
        <f>IF(J4321&lt;&gt;1,"",IF(I4321="SBJ","CB","?"))</f>
        <v> </v>
      </c>
      <c r="I4321" s="25" t="str">
        <f>IF(OR(E4321="",E4321="!!!",F4321="NEW"),"",INDEX(B4320:B$2,-1+SUMPRODUCT(MAX(ROW(E4320:E$2)*(E4321=E4320:E$2)))))</f>
        <v> </v>
      </c>
      <c r="J4321" s="25" t="str">
        <f>IF(OR(E4321="",E4321="!!!",F4321="NEW"),"",COUNTBLANK(OFFSET(A$1,,,SUMPRODUCT(MAX(ROW(E$2:E4321)*(E4321=E$2:E4321)))))-COUNTBLANK(OFFSET(A$1,,,SUMPRODUCT(MAX(ROW(E$1:E4320)*(E2=E$1:E4320))))))</f>
        <v> </v>
      </c>
      <c r="K4321" s="25" t="str">
        <f>IF(OR(E4321="",E4321="!!!",F4321="NEW"),"",INDEX(J$1:J4320,SUMPRODUCT(MAX(ROW(E$1:E4320)*(E4321=E$1:E4320)))))</f>
        <v> </v>
      </c>
      <c r="L4321" s="26"/>
    </row>
    <row r="4322" spans="1:12">
      <c r="A4322" s="20" t="s">
        <v>858</v>
      </c>
      <c r="E4322" s="21">
        <f>IF(D4322="?OLD","!!!","")</f>
        <v/>
      </c>
      <c r="F4322" s="22" t="str">
        <f>IF(OR(E4322="",E4322="!!!"),"",IF(NOT(ISNA(VLOOKUP(E4322,E$1:E4321,1,FALSE()))),"OLD",IF(AND(E4322&lt;&gt;"",E4322&lt;&gt;"!!!"),"NEW","")))</f>
        <v> </v>
      </c>
      <c r="G4322" s="23" t="str">
        <f>IF(OR(E4322="",E4322="!!!"),"",IF(OR(J4322=0,AND(J4322=1,K4322=1),AND(J4322=1,I4322="SBJ"),AND(J4322=1,I4322=0)),"?IN_FOCUS",IF(J4322&lt;=2,"?ACTIVATED",IF(J4322&lt;&gt;"","?FAMILIAR",IF(F4322="NEW",IF(ISNA(VLOOKUP(E4322,#REF!,1,FALSE())),"?TYPE_IDENTIFIABLE","?REFERENTIAL"),"_")))))</f>
        <v> </v>
      </c>
      <c r="H4322" s="24" t="str">
        <f>IF(J4322&lt;&gt;1,"",IF(I4322="SBJ","CB","?"))</f>
        <v> </v>
      </c>
      <c r="I4322" s="25" t="str">
        <f>IF(OR(E4322="",E4322="!!!",F4322="NEW"),"",INDEX(B4321:B$2,-1+SUMPRODUCT(MAX(ROW(E4321:E$2)*(E4322=E4321:E$2)))))</f>
        <v> </v>
      </c>
      <c r="J4322" s="25" t="str">
        <f>IF(OR(E4322="",E4322="!!!",F4322="NEW"),"",COUNTBLANK(OFFSET(A$1,,,SUMPRODUCT(MAX(ROW(E$2:E4322)*(E4322=E$2:E4322)))))-COUNTBLANK(OFFSET(A$1,,,SUMPRODUCT(MAX(ROW(E$1:E4321)*(E2=E$1:E4321))))))</f>
        <v> </v>
      </c>
      <c r="K4322" s="25" t="str">
        <f>IF(OR(E4322="",E4322="!!!",F4322="NEW"),"",INDEX(J$1:J4321,SUMPRODUCT(MAX(ROW(E$1:E4321)*(E4322=E$1:E4321)))))</f>
        <v> </v>
      </c>
      <c r="L4322" s="26"/>
    </row>
    <row r="4323" spans="1:12">
      <c r="A4323" s="20" t="s">
        <v>753</v>
      </c>
      <c r="E4323" s="21">
        <f>IF(D4323="?OLD","!!!","")</f>
        <v/>
      </c>
      <c r="F4323" s="22" t="str">
        <f>IF(OR(E4323="",E4323="!!!"),"",IF(NOT(ISNA(VLOOKUP(E4323,E$1:E4322,1,FALSE()))),"OLD",IF(AND(E4323&lt;&gt;"",E4323&lt;&gt;"!!!"),"NEW","")))</f>
        <v> </v>
      </c>
      <c r="G4323" s="23" t="str">
        <f>IF(OR(E4323="",E4323="!!!"),"",IF(OR(J4323=0,AND(J4323=1,K4323=1),AND(J4323=1,I4323="SBJ"),AND(J4323=1,I4323=0)),"?IN_FOCUS",IF(J4323&lt;=2,"?ACTIVATED",IF(J4323&lt;&gt;"","?FAMILIAR",IF(F4323="NEW",IF(ISNA(VLOOKUP(E4323,#REF!,1,FALSE())),"?TYPE_IDENTIFIABLE","?REFERENTIAL"),"_")))))</f>
        <v> </v>
      </c>
      <c r="H4323" s="24" t="str">
        <f>IF(J4323&lt;&gt;1,"",IF(I4323="SBJ","CB","?"))</f>
        <v> </v>
      </c>
      <c r="I4323" s="25" t="str">
        <f>IF(OR(E4323="",E4323="!!!",F4323="NEW"),"",INDEX(B4322:B$2,-1+SUMPRODUCT(MAX(ROW(E4322:E$2)*(E4323=E4322:E$2)))))</f>
        <v> </v>
      </c>
      <c r="J4323" s="25" t="str">
        <f>IF(OR(E4323="",E4323="!!!",F4323="NEW"),"",COUNTBLANK(OFFSET(A$1,,,SUMPRODUCT(MAX(ROW(E$2:E4323)*(E4323=E$2:E4323)))))-COUNTBLANK(OFFSET(A$1,,,SUMPRODUCT(MAX(ROW(E$1:E4322)*(E2=E$1:E4322))))))</f>
        <v> </v>
      </c>
      <c r="K4323" s="25" t="str">
        <f>IF(OR(E4323="",E4323="!!!",F4323="NEW"),"",INDEX(J$1:J4322,SUMPRODUCT(MAX(ROW(E$1:E4322)*(E4323=E$1:E4322)))))</f>
        <v> </v>
      </c>
      <c r="L4323" s="26"/>
    </row>
    <row r="4324" spans="1:12">
      <c r="A4324" s="20" t="s">
        <v>791</v>
      </c>
      <c r="B4324" s="27" t="s">
        <v>771</v>
      </c>
      <c r="E4324" s="21">
        <f>IF(D4324="?OLD","!!!","")</f>
        <v/>
      </c>
      <c r="F4324" s="22" t="str">
        <f>IF(OR(E4324="",E4324="!!!"),"",IF(NOT(ISNA(VLOOKUP(E4324,E$1:E4323,1,FALSE()))),"OLD",IF(AND(E4324&lt;&gt;"",E4324&lt;&gt;"!!!"),"NEW","")))</f>
        <v> </v>
      </c>
      <c r="G4324" s="23" t="str">
        <f>IF(OR(E4324="",E4324="!!!"),"",IF(OR(J4324=0,AND(J4324=1,K4324=1),AND(J4324=1,I4324="SBJ"),AND(J4324=1,I4324=0)),"?IN_FOCUS",IF(J4324&lt;=2,"?ACTIVATED",IF(J4324&lt;&gt;"","?FAMILIAR",IF(F4324="NEW",IF(ISNA(VLOOKUP(E4324,#REF!,1,FALSE())),"?TYPE_IDENTIFIABLE","?REFERENTIAL"),"_")))))</f>
        <v> </v>
      </c>
      <c r="H4324" s="24" t="str">
        <f>IF(J4324&lt;&gt;1,"",IF(I4324="SBJ","CB","?"))</f>
        <v> </v>
      </c>
      <c r="I4324" s="25" t="str">
        <f>IF(OR(E4324="",E4324="!!!",F4324="NEW"),"",INDEX(B4323:B$2,-1+SUMPRODUCT(MAX(ROW(E4323:E$2)*(E4324=E4323:E$2)))))</f>
        <v> </v>
      </c>
      <c r="J4324" s="25" t="str">
        <f>IF(OR(E4324="",E4324="!!!",F4324="NEW"),"",COUNTBLANK(OFFSET(A$1,,,SUMPRODUCT(MAX(ROW(E$2:E4324)*(E4324=E$2:E4324)))))-COUNTBLANK(OFFSET(A$1,,,SUMPRODUCT(MAX(ROW(E$1:E4323)*(E2=E$1:E4323))))))</f>
        <v> </v>
      </c>
      <c r="K4324" s="25" t="str">
        <f>IF(OR(E4324="",E4324="!!!",F4324="NEW"),"",INDEX(J$1:J4323,SUMPRODUCT(MAX(ROW(E$1:E4323)*(E4324=E$1:E4323)))))</f>
        <v> </v>
      </c>
      <c r="L4324" s="26"/>
    </row>
    <row r="4325" spans="1:12">
      <c r="A4325" s="20" t="s">
        <v>1999</v>
      </c>
      <c r="E4325" s="21">
        <f>IF(D4325="?OLD","!!!","")</f>
        <v/>
      </c>
      <c r="F4325" s="22" t="str">
        <f>IF(OR(E4325="",E4325="!!!"),"",IF(NOT(ISNA(VLOOKUP(E4325,E$1:E4324,1,FALSE()))),"OLD",IF(AND(E4325&lt;&gt;"",E4325&lt;&gt;"!!!"),"NEW","")))</f>
        <v> </v>
      </c>
      <c r="G4325" s="23" t="str">
        <f>IF(OR(E4325="",E4325="!!!"),"",IF(OR(J4325=0,AND(J4325=1,K4325=1),AND(J4325=1,I4325="SBJ"),AND(J4325=1,I4325=0)),"?IN_FOCUS",IF(J4325&lt;=2,"?ACTIVATED",IF(J4325&lt;&gt;"","?FAMILIAR",IF(F4325="NEW",IF(ISNA(VLOOKUP(E4325,#REF!,1,FALSE())),"?TYPE_IDENTIFIABLE","?REFERENTIAL"),"_")))))</f>
        <v> </v>
      </c>
      <c r="H4325" s="24" t="str">
        <f>IF(J4325&lt;&gt;1,"",IF(I4325="SBJ","CB","?"))</f>
        <v> </v>
      </c>
      <c r="I4325" s="25" t="str">
        <f>IF(OR(E4325="",E4325="!!!",F4325="NEW"),"",INDEX(B4324:B$2,-1+SUMPRODUCT(MAX(ROW(E4324:E$2)*(E4325=E4324:E$2)))))</f>
        <v> </v>
      </c>
      <c r="J4325" s="25" t="str">
        <f>IF(OR(E4325="",E4325="!!!",F4325="NEW"),"",COUNTBLANK(OFFSET(A$1,,,SUMPRODUCT(MAX(ROW(E$2:E4325)*(E4325=E$2:E4325)))))-COUNTBLANK(OFFSET(A$1,,,SUMPRODUCT(MAX(ROW(E$1:E4324)*(E2=E$1:E4324))))))</f>
        <v> </v>
      </c>
      <c r="K4325" s="25" t="str">
        <f>IF(OR(E4325="",E4325="!!!",F4325="NEW"),"",INDEX(J$1:J4324,SUMPRODUCT(MAX(ROW(E$1:E4324)*(E4325=E$1:E4324)))))</f>
        <v> </v>
      </c>
      <c r="L4325" s="26"/>
    </row>
    <row r="4326" spans="1:12">
      <c r="A4326" s="20" t="s">
        <v>2000</v>
      </c>
      <c r="E4326" s="21">
        <f>IF(D4326="?OLD","!!!","")</f>
        <v/>
      </c>
      <c r="F4326" s="22" t="str">
        <f>IF(OR(E4326="",E4326="!!!"),"",IF(NOT(ISNA(VLOOKUP(E4326,E$1:E4325,1,FALSE()))),"OLD",IF(AND(E4326&lt;&gt;"",E4326&lt;&gt;"!!!"),"NEW","")))</f>
        <v> </v>
      </c>
      <c r="G4326" s="23" t="str">
        <f>IF(OR(E4326="",E4326="!!!"),"",IF(OR(J4326=0,AND(J4326=1,K4326=1),AND(J4326=1,I4326="SBJ"),AND(J4326=1,I4326=0)),"?IN_FOCUS",IF(J4326&lt;=2,"?ACTIVATED",IF(J4326&lt;&gt;"","?FAMILIAR",IF(F4326="NEW",IF(ISNA(VLOOKUP(E4326,#REF!,1,FALSE())),"?TYPE_IDENTIFIABLE","?REFERENTIAL"),"_")))))</f>
        <v> </v>
      </c>
      <c r="H4326" s="24" t="str">
        <f>IF(J4326&lt;&gt;1,"",IF(I4326="SBJ","CB","?"))</f>
        <v> </v>
      </c>
      <c r="I4326" s="25" t="str">
        <f>IF(OR(E4326="",E4326="!!!",F4326="NEW"),"",INDEX(B4325:B$2,-1+SUMPRODUCT(MAX(ROW(E4325:E$2)*(E4326=E4325:E$2)))))</f>
        <v> </v>
      </c>
      <c r="J4326" s="25" t="str">
        <f>IF(OR(E4326="",E4326="!!!",F4326="NEW"),"",COUNTBLANK(OFFSET(A$1,,,SUMPRODUCT(MAX(ROW(E$2:E4326)*(E4326=E$2:E4326)))))-COUNTBLANK(OFFSET(A$1,,,SUMPRODUCT(MAX(ROW(E$1:E4325)*(E2=E$1:E4325))))))</f>
        <v> </v>
      </c>
      <c r="K4326" s="25" t="str">
        <f>IF(OR(E4326="",E4326="!!!",F4326="NEW"),"",INDEX(J$1:J4325,SUMPRODUCT(MAX(ROW(E$1:E4325)*(E4326=E$1:E4325)))))</f>
        <v> </v>
      </c>
      <c r="L4326" s="26"/>
    </row>
    <row r="4327" spans="1:12">
      <c r="A4327" s="20" t="s">
        <v>753</v>
      </c>
      <c r="E4327" s="21">
        <f>IF(D4327="?OLD","!!!","")</f>
        <v/>
      </c>
      <c r="F4327" s="22" t="str">
        <f>IF(OR(E4327="",E4327="!!!"),"",IF(NOT(ISNA(VLOOKUP(E4327,E$1:E4326,1,FALSE()))),"OLD",IF(AND(E4327&lt;&gt;"",E4327&lt;&gt;"!!!"),"NEW","")))</f>
        <v> </v>
      </c>
      <c r="G4327" s="23" t="str">
        <f>IF(OR(E4327="",E4327="!!!"),"",IF(OR(J4327=0,AND(J4327=1,K4327=1),AND(J4327=1,I4327="SBJ"),AND(J4327=1,I4327=0)),"?IN_FOCUS",IF(J4327&lt;=2,"?ACTIVATED",IF(J4327&lt;&gt;"","?FAMILIAR",IF(F4327="NEW",IF(ISNA(VLOOKUP(E4327,#REF!,1,FALSE())),"?TYPE_IDENTIFIABLE","?REFERENTIAL"),"_")))))</f>
        <v> </v>
      </c>
      <c r="H4327" s="24" t="str">
        <f>IF(J4327&lt;&gt;1,"",IF(I4327="SBJ","CB","?"))</f>
        <v> </v>
      </c>
      <c r="I4327" s="25" t="str">
        <f>IF(OR(E4327="",E4327="!!!",F4327="NEW"),"",INDEX(B4326:B$2,-1+SUMPRODUCT(MAX(ROW(E4326:E$2)*(E4327=E4326:E$2)))))</f>
        <v> </v>
      </c>
      <c r="J4327" s="25" t="str">
        <f>IF(OR(E4327="",E4327="!!!",F4327="NEW"),"",COUNTBLANK(OFFSET(A$1,,,SUMPRODUCT(MAX(ROW(E$2:E4327)*(E4327=E$2:E4327)))))-COUNTBLANK(OFFSET(A$1,,,SUMPRODUCT(MAX(ROW(E$1:E4326)*(E2=E$1:E4326))))))</f>
        <v> </v>
      </c>
      <c r="K4327" s="25" t="str">
        <f>IF(OR(E4327="",E4327="!!!",F4327="NEW"),"",INDEX(J$1:J4326,SUMPRODUCT(MAX(ROW(E$1:E4326)*(E4327=E$1:E4326)))))</f>
        <v> </v>
      </c>
      <c r="L4327" s="26"/>
    </row>
    <row r="4328" spans="1:12">
      <c r="A4328" s="20" t="s">
        <v>860</v>
      </c>
      <c r="E4328" s="21">
        <f>IF(D4328="?OLD","!!!","")</f>
        <v/>
      </c>
      <c r="F4328" s="22" t="str">
        <f>IF(OR(E4328="",E4328="!!!"),"",IF(NOT(ISNA(VLOOKUP(E4328,E$1:E4327,1,FALSE()))),"OLD",IF(AND(E4328&lt;&gt;"",E4328&lt;&gt;"!!!"),"NEW","")))</f>
        <v> </v>
      </c>
      <c r="G4328" s="23" t="str">
        <f>IF(OR(E4328="",E4328="!!!"),"",IF(OR(J4328=0,AND(J4328=1,K4328=1),AND(J4328=1,I4328="SBJ"),AND(J4328=1,I4328=0)),"?IN_FOCUS",IF(J4328&lt;=2,"?ACTIVATED",IF(J4328&lt;&gt;"","?FAMILIAR",IF(F4328="NEW",IF(ISNA(VLOOKUP(E4328,#REF!,1,FALSE())),"?TYPE_IDENTIFIABLE","?REFERENTIAL"),"_")))))</f>
        <v> </v>
      </c>
      <c r="H4328" s="24" t="str">
        <f>IF(J4328&lt;&gt;1,"",IF(I4328="SBJ","CB","?"))</f>
        <v> </v>
      </c>
      <c r="I4328" s="25" t="str">
        <f>IF(OR(E4328="",E4328="!!!",F4328="NEW"),"",INDEX(B4327:B$2,-1+SUMPRODUCT(MAX(ROW(E4327:E$2)*(E4328=E4327:E$2)))))</f>
        <v> </v>
      </c>
      <c r="J4328" s="25" t="str">
        <f>IF(OR(E4328="",E4328="!!!",F4328="NEW"),"",COUNTBLANK(OFFSET(A$1,,,SUMPRODUCT(MAX(ROW(E$2:E4328)*(E4328=E$2:E4328)))))-COUNTBLANK(OFFSET(A$1,,,SUMPRODUCT(MAX(ROW(E$1:E4327)*(E2=E$1:E4327))))))</f>
        <v> </v>
      </c>
      <c r="K4328" s="25" t="str">
        <f>IF(OR(E4328="",E4328="!!!",F4328="NEW"),"",INDEX(J$1:J4327,SUMPRODUCT(MAX(ROW(E$1:E4327)*(E4328=E$1:E4327)))))</f>
        <v> </v>
      </c>
      <c r="L4328" s="26"/>
    </row>
    <row r="4329" spans="1:12">
      <c r="A4329" s="20" t="s">
        <v>1260</v>
      </c>
      <c r="B4329" s="27" t="s">
        <v>795</v>
      </c>
      <c r="C4329" s="27" t="s">
        <v>749</v>
      </c>
      <c r="D4329" s="27" t="s">
        <v>740</v>
      </c>
      <c r="E4329" s="21">
        <f>IF(D4329="?OLD","!!!","")</f>
        <v/>
      </c>
      <c r="F4329" s="22" t="str">
        <f>IF(OR(E4329="",E4329="!!!"),"",IF(NOT(ISNA(VLOOKUP(E4329,E$1:E4328,1,FALSE()))),"OLD",IF(AND(E4329&lt;&gt;"",E4329&lt;&gt;"!!!"),"NEW","")))</f>
        <v> </v>
      </c>
      <c r="G4329" s="23" t="str">
        <f>IF(OR(E4329="",E4329="!!!"),"",IF(OR(J4329=0,AND(J4329=1,K4329=1),AND(J4329=1,I4329="SBJ"),AND(J4329=1,I4329=0)),"?IN_FOCUS",IF(J4329&lt;=2,"?ACTIVATED",IF(J4329&lt;&gt;"","?FAMILIAR",IF(F4329="NEW",IF(ISNA(VLOOKUP(E4329,#REF!,1,FALSE())),"?TYPE_IDENTIFIABLE","?REFERENTIAL"),"_")))))</f>
        <v> </v>
      </c>
      <c r="H4329" s="24" t="str">
        <f>IF(J4329&lt;&gt;1,"",IF(I4329="SBJ","CB","?"))</f>
        <v> </v>
      </c>
      <c r="I4329" s="25" t="str">
        <f>IF(OR(E4329="",E4329="!!!",F4329="NEW"),"",INDEX(B4328:B$2,-1+SUMPRODUCT(MAX(ROW(E4328:E$2)*(E4329=E4328:E$2)))))</f>
        <v> </v>
      </c>
      <c r="J4329" s="25" t="str">
        <f>IF(OR(E4329="",E4329="!!!",F4329="NEW"),"",COUNTBLANK(OFFSET(A$1,,,SUMPRODUCT(MAX(ROW(E$2:E4329)*(E4329=E$2:E4329)))))-COUNTBLANK(OFFSET(A$1,,,SUMPRODUCT(MAX(ROW(E$1:E4328)*(E2=E$1:E4328))))))</f>
        <v> </v>
      </c>
      <c r="K4329" s="25" t="str">
        <f>IF(OR(E4329="",E4329="!!!",F4329="NEW"),"",INDEX(J$1:J4328,SUMPRODUCT(MAX(ROW(E$1:E4328)*(E4329=E$1:E4328)))))</f>
        <v> </v>
      </c>
      <c r="L4329" s="26"/>
    </row>
    <row r="4330" spans="1:12">
      <c r="A4330" s="20" t="s">
        <v>2001</v>
      </c>
      <c r="B4330" s="27" t="s">
        <v>764</v>
      </c>
      <c r="C4330" s="27" t="s">
        <v>734</v>
      </c>
      <c r="E4330" s="21">
        <f>IF(D4330="?OLD","!!!","")</f>
        <v/>
      </c>
      <c r="F4330" s="22" t="str">
        <f>IF(OR(E4330="",E4330="!!!"),"",IF(NOT(ISNA(VLOOKUP(E4330,E$1:E4329,1,FALSE()))),"OLD",IF(AND(E4330&lt;&gt;"",E4330&lt;&gt;"!!!"),"NEW","")))</f>
        <v> </v>
      </c>
      <c r="G4330" s="23" t="str">
        <f>IF(OR(E4330="",E4330="!!!"),"",IF(OR(J4330=0,AND(J4330=1,K4330=1),AND(J4330=1,I4330="SBJ"),AND(J4330=1,I4330=0)),"?IN_FOCUS",IF(J4330&lt;=2,"?ACTIVATED",IF(J4330&lt;&gt;"","?FAMILIAR",IF(F4330="NEW",IF(ISNA(VLOOKUP(E4330,#REF!,1,FALSE())),"?TYPE_IDENTIFIABLE","?REFERENTIAL"),"_")))))</f>
        <v> </v>
      </c>
      <c r="H4330" s="24" t="str">
        <f>IF(J4330&lt;&gt;1,"",IF(I4330="SBJ","CB","?"))</f>
        <v> </v>
      </c>
      <c r="I4330" s="25" t="str">
        <f>IF(OR(E4330="",E4330="!!!",F4330="NEW"),"",INDEX(B4329:B$2,-1+SUMPRODUCT(MAX(ROW(E4329:E$2)*(E4330=E4329:E$2)))))</f>
        <v> </v>
      </c>
      <c r="J4330" s="25" t="str">
        <f>IF(OR(E4330="",E4330="!!!",F4330="NEW"),"",COUNTBLANK(OFFSET(A$1,,,SUMPRODUCT(MAX(ROW(E$2:E4330)*(E4330=E$2:E4330)))))-COUNTBLANK(OFFSET(A$1,,,SUMPRODUCT(MAX(ROW(E$1:E4329)*(E2=E$1:E4329))))))</f>
        <v> </v>
      </c>
      <c r="K4330" s="25" t="str">
        <f>IF(OR(E4330="",E4330="!!!",F4330="NEW"),"",INDEX(J$1:J4329,SUMPRODUCT(MAX(ROW(E$1:E4329)*(E4330=E$1:E4329)))))</f>
        <v> </v>
      </c>
      <c r="L4330" s="26"/>
    </row>
    <row r="4331" spans="1:12">
      <c r="A4331" s="20" t="s">
        <v>2002</v>
      </c>
      <c r="E4331" s="21">
        <f>IF(D4331="?OLD","!!!","")</f>
        <v/>
      </c>
      <c r="F4331" s="22" t="str">
        <f>IF(OR(E4331="",E4331="!!!"),"",IF(NOT(ISNA(VLOOKUP(E4331,E$1:E4330,1,FALSE()))),"OLD",IF(AND(E4331&lt;&gt;"",E4331&lt;&gt;"!!!"),"NEW","")))</f>
        <v> </v>
      </c>
      <c r="G4331" s="23" t="str">
        <f>IF(OR(E4331="",E4331="!!!"),"",IF(OR(J4331=0,AND(J4331=1,K4331=1),AND(J4331=1,I4331="SBJ"),AND(J4331=1,I4331=0)),"?IN_FOCUS",IF(J4331&lt;=2,"?ACTIVATED",IF(J4331&lt;&gt;"","?FAMILIAR",IF(F4331="NEW",IF(ISNA(VLOOKUP(E4331,#REF!,1,FALSE())),"?TYPE_IDENTIFIABLE","?REFERENTIAL"),"_")))))</f>
        <v> </v>
      </c>
      <c r="H4331" s="24" t="str">
        <f>IF(J4331&lt;&gt;1,"",IF(I4331="SBJ","CB","?"))</f>
        <v> </v>
      </c>
      <c r="I4331" s="25" t="str">
        <f>IF(OR(E4331="",E4331="!!!",F4331="NEW"),"",INDEX(B4330:B$2,-1+SUMPRODUCT(MAX(ROW(E4330:E$2)*(E4331=E4330:E$2)))))</f>
        <v> </v>
      </c>
      <c r="J4331" s="25" t="str">
        <f>IF(OR(E4331="",E4331="!!!",F4331="NEW"),"",COUNTBLANK(OFFSET(A$1,,,SUMPRODUCT(MAX(ROW(E$2:E4331)*(E4331=E$2:E4331)))))-COUNTBLANK(OFFSET(A$1,,,SUMPRODUCT(MAX(ROW(E$1:E4330)*(E2=E$1:E4330))))))</f>
        <v> </v>
      </c>
      <c r="K4331" s="25" t="str">
        <f>IF(OR(E4331="",E4331="!!!",F4331="NEW"),"",INDEX(J$1:J4330,SUMPRODUCT(MAX(ROW(E$1:E4330)*(E4331=E$1:E4330)))))</f>
        <v> </v>
      </c>
      <c r="L4331" s="26"/>
    </row>
    <row r="4332" spans="1:12">
      <c r="A4332" s="20" t="s">
        <v>947</v>
      </c>
      <c r="E4332" s="21">
        <f>IF(D4332="?OLD","!!!","")</f>
        <v/>
      </c>
      <c r="F4332" s="22" t="str">
        <f>IF(OR(E4332="",E4332="!!!"),"",IF(NOT(ISNA(VLOOKUP(E4332,E$1:E4331,1,FALSE()))),"OLD",IF(AND(E4332&lt;&gt;"",E4332&lt;&gt;"!!!"),"NEW","")))</f>
        <v> </v>
      </c>
      <c r="G4332" s="23" t="str">
        <f>IF(OR(E4332="",E4332="!!!"),"",IF(OR(J4332=0,AND(J4332=1,K4332=1),AND(J4332=1,I4332="SBJ"),AND(J4332=1,I4332=0)),"?IN_FOCUS",IF(J4332&lt;=2,"?ACTIVATED",IF(J4332&lt;&gt;"","?FAMILIAR",IF(F4332="NEW",IF(ISNA(VLOOKUP(E4332,#REF!,1,FALSE())),"?TYPE_IDENTIFIABLE","?REFERENTIAL"),"_")))))</f>
        <v> </v>
      </c>
      <c r="H4332" s="24" t="str">
        <f>IF(J4332&lt;&gt;1,"",IF(I4332="SBJ","CB","?"))</f>
        <v> </v>
      </c>
      <c r="I4332" s="25" t="str">
        <f>IF(OR(E4332="",E4332="!!!",F4332="NEW"),"",INDEX(B4331:B$2,-1+SUMPRODUCT(MAX(ROW(E4331:E$2)*(E4332=E4331:E$2)))))</f>
        <v> </v>
      </c>
      <c r="J4332" s="25" t="str">
        <f>IF(OR(E4332="",E4332="!!!",F4332="NEW"),"",COUNTBLANK(OFFSET(A$1,,,SUMPRODUCT(MAX(ROW(E$2:E4332)*(E4332=E$2:E4332)))))-COUNTBLANK(OFFSET(A$1,,,SUMPRODUCT(MAX(ROW(E$1:E4331)*(E2=E$1:E4331))))))</f>
        <v> </v>
      </c>
      <c r="K4332" s="25" t="str">
        <f>IF(OR(E4332="",E4332="!!!",F4332="NEW"),"",INDEX(J$1:J4331,SUMPRODUCT(MAX(ROW(E$1:E4331)*(E4332=E$1:E4331)))))</f>
        <v> </v>
      </c>
      <c r="L4332" s="26"/>
    </row>
    <row r="4333" spans="1:12">
      <c r="A4333" s="20" t="s">
        <v>746</v>
      </c>
      <c r="E4333" s="21">
        <f>IF(D4333="?OLD","!!!","")</f>
        <v/>
      </c>
      <c r="F4333" s="22" t="str">
        <f>IF(OR(E4333="",E4333="!!!"),"",IF(NOT(ISNA(VLOOKUP(E4333,E$1:E4332,1,FALSE()))),"OLD",IF(AND(E4333&lt;&gt;"",E4333&lt;&gt;"!!!"),"NEW","")))</f>
        <v> </v>
      </c>
      <c r="G4333" s="23" t="str">
        <f>IF(OR(E4333="",E4333="!!!"),"",IF(OR(J4333=0,AND(J4333=1,K4333=1),AND(J4333=1,I4333="SBJ"),AND(J4333=1,I4333=0)),"?IN_FOCUS",IF(J4333&lt;=2,"?ACTIVATED",IF(J4333&lt;&gt;"","?FAMILIAR",IF(F4333="NEW",IF(ISNA(VLOOKUP(E4333,#REF!,1,FALSE())),"?TYPE_IDENTIFIABLE","?REFERENTIAL"),"_")))))</f>
        <v> </v>
      </c>
      <c r="H4333" s="24" t="str">
        <f>IF(J4333&lt;&gt;1,"",IF(I4333="SBJ","CB","?"))</f>
        <v> </v>
      </c>
      <c r="I4333" s="25" t="str">
        <f>IF(OR(E4333="",E4333="!!!",F4333="NEW"),"",INDEX(B4332:B$2,-1+SUMPRODUCT(MAX(ROW(E4332:E$2)*(E4333=E4332:E$2)))))</f>
        <v> </v>
      </c>
      <c r="J4333" s="25" t="str">
        <f>IF(OR(E4333="",E4333="!!!",F4333="NEW"),"",COUNTBLANK(OFFSET(A$1,,,SUMPRODUCT(MAX(ROW(E$2:E4333)*(E4333=E$2:E4333)))))-COUNTBLANK(OFFSET(A$1,,,SUMPRODUCT(MAX(ROW(E$1:E4332)*(E2=E$1:E4332))))))</f>
        <v> </v>
      </c>
      <c r="K4333" s="25" t="str">
        <f>IF(OR(E4333="",E4333="!!!",F4333="NEW"),"",INDEX(J$1:J4332,SUMPRODUCT(MAX(ROW(E$1:E4332)*(E4333=E$1:E4332)))))</f>
        <v> </v>
      </c>
      <c r="L4333" s="26"/>
    </row>
    <row r="4334" spans="1:12">
      <c r="A4334" s="20"/>
    </row>
    <row r="4335" spans="1:12">
      <c r="A4335" s="20" t="s">
        <v>2003</v>
      </c>
    </row>
    <row r="4336" spans="1:12">
      <c r="A4336" s="20" t="s">
        <v>2004</v>
      </c>
      <c r="E4336" s="21">
        <f>IF(D4336="?OLD","!!!","")</f>
        <v/>
      </c>
      <c r="F4336" s="22" t="str">
        <f>IF(OR(E4336="",E4336="!!!"),"",IF(NOT(ISNA(VLOOKUP(E4336,E$1:E4335,1,FALSE()))),"OLD",IF(AND(E4336&lt;&gt;"",E4336&lt;&gt;"!!!"),"NEW","")))</f>
        <v> </v>
      </c>
      <c r="G4336" s="23" t="str">
        <f>IF(OR(E4336="",E4336="!!!"),"",IF(OR(J4336=0,AND(J4336=1,K4336=1),AND(J4336=1,I4336="SBJ"),AND(J4336=1,I4336=0)),"?IN_FOCUS",IF(J4336&lt;=2,"?ACTIVATED",IF(J4336&lt;&gt;"","?FAMILIAR",IF(F4336="NEW",IF(ISNA(VLOOKUP(E4336,#REF!,1,FALSE())),"?TYPE_IDENTIFIABLE","?REFERENTIAL"),"_")))))</f>
        <v> </v>
      </c>
      <c r="H4336" s="24" t="str">
        <f>IF(J4336&lt;&gt;1,"",IF(I4336="SBJ","CB","?"))</f>
        <v> </v>
      </c>
      <c r="I4336" s="25" t="str">
        <f>IF(OR(E4336="",E4336="!!!",F4336="NEW"),"",INDEX(B4335:B$2,-1+SUMPRODUCT(MAX(ROW(E4335:E$2)*(E4336=E4335:E$2)))))</f>
        <v> </v>
      </c>
      <c r="J4336" s="25" t="str">
        <f>IF(OR(E4336="",E4336="!!!",F4336="NEW"),"",COUNTBLANK(OFFSET(A$1,,,SUMPRODUCT(MAX(ROW(E$2:E4336)*(E4336=E$2:E4336)))))-COUNTBLANK(OFFSET(A$1,,,SUMPRODUCT(MAX(ROW(E$1:E4335)*(E2=E$1:E4335))))))</f>
        <v> </v>
      </c>
      <c r="K4336" s="25" t="str">
        <f>IF(OR(E4336="",E4336="!!!",F4336="NEW"),"",INDEX(J$1:J4335,SUMPRODUCT(MAX(ROW(E$1:E4335)*(E4336=E$1:E4335)))))</f>
        <v> </v>
      </c>
      <c r="L4336" s="26"/>
    </row>
    <row r="4337" spans="1:12">
      <c r="A4337" s="20" t="s">
        <v>1260</v>
      </c>
      <c r="B4337" s="27" t="s">
        <v>771</v>
      </c>
      <c r="C4337" s="27" t="s">
        <v>749</v>
      </c>
      <c r="D4337" s="27" t="s">
        <v>740</v>
      </c>
      <c r="E4337" s="21">
        <f>IF(D4337="?OLD","!!!","")</f>
        <v/>
      </c>
      <c r="F4337" s="22" t="str">
        <f>IF(OR(E4337="",E4337="!!!"),"",IF(NOT(ISNA(VLOOKUP(E4337,E$1:E4336,1,FALSE()))),"OLD",IF(AND(E4337&lt;&gt;"",E4337&lt;&gt;"!!!"),"NEW","")))</f>
        <v> </v>
      </c>
      <c r="G4337" s="23" t="str">
        <f>IF(OR(E4337="",E4337="!!!"),"",IF(OR(J4337=0,AND(J4337=1,K4337=1),AND(J4337=1,I4337="SBJ"),AND(J4337=1,I4337=0)),"?IN_FOCUS",IF(J4337&lt;=2,"?ACTIVATED",IF(J4337&lt;&gt;"","?FAMILIAR",IF(F4337="NEW",IF(ISNA(VLOOKUP(E4337,#REF!,1,FALSE())),"?TYPE_IDENTIFIABLE","?REFERENTIAL"),"_")))))</f>
        <v> </v>
      </c>
      <c r="H4337" s="24" t="str">
        <f>IF(J4337&lt;&gt;1,"",IF(I4337="SBJ","CB","?"))</f>
        <v> </v>
      </c>
      <c r="I4337" s="25" t="str">
        <f>IF(OR(E4337="",E4337="!!!",F4337="NEW"),"",INDEX(B4336:B$2,-1+SUMPRODUCT(MAX(ROW(E4336:E$2)*(E4337=E4336:E$2)))))</f>
        <v> </v>
      </c>
      <c r="J4337" s="25" t="str">
        <f>IF(OR(E4337="",E4337="!!!",F4337="NEW"),"",COUNTBLANK(OFFSET(A$1,,,SUMPRODUCT(MAX(ROW(E$2:E4337)*(E4337=E$2:E4337)))))-COUNTBLANK(OFFSET(A$1,,,SUMPRODUCT(MAX(ROW(E$1:E4336)*(E2=E$1:E4336))))))</f>
        <v> </v>
      </c>
      <c r="K4337" s="25" t="str">
        <f>IF(OR(E4337="",E4337="!!!",F4337="NEW"),"",INDEX(J$1:J4336,SUMPRODUCT(MAX(ROW(E$1:E4336)*(E4337=E$1:E4336)))))</f>
        <v> </v>
      </c>
      <c r="L4337" s="26"/>
    </row>
    <row r="4338" spans="1:12">
      <c r="A4338" s="20" t="s">
        <v>774</v>
      </c>
      <c r="B4338" s="27" t="s">
        <v>771</v>
      </c>
      <c r="C4338" s="27" t="s">
        <v>775</v>
      </c>
      <c r="D4338" s="27" t="s">
        <v>740</v>
      </c>
      <c r="E4338" s="21">
        <f>IF(D4338="?OLD","!!!","")</f>
        <v/>
      </c>
      <c r="F4338" s="22" t="str">
        <f>IF(OR(E4338="",E4338="!!!"),"",IF(NOT(ISNA(VLOOKUP(E4338,E$1:E4337,1,FALSE()))),"OLD",IF(AND(E4338&lt;&gt;"",E4338&lt;&gt;"!!!"),"NEW","")))</f>
        <v> </v>
      </c>
      <c r="G4338" s="23" t="str">
        <f>IF(OR(E4338="",E4338="!!!"),"",IF(OR(J4338=0,AND(J4338=1,K4338=1),AND(J4338=1,I4338="SBJ"),AND(J4338=1,I4338=0)),"?IN_FOCUS",IF(J4338&lt;=2,"?ACTIVATED",IF(J4338&lt;&gt;"","?FAMILIAR",IF(F4338="NEW",IF(ISNA(VLOOKUP(E4338,#REF!,1,FALSE())),"?TYPE_IDENTIFIABLE","?REFERENTIAL"),"_")))))</f>
        <v> </v>
      </c>
      <c r="H4338" s="24" t="str">
        <f>IF(J4338&lt;&gt;1,"",IF(I4338="SBJ","CB","?"))</f>
        <v> </v>
      </c>
      <c r="I4338" s="25" t="str">
        <f>IF(OR(E4338="",E4338="!!!",F4338="NEW"),"",INDEX(B4337:B$2,-1+SUMPRODUCT(MAX(ROW(E4337:E$2)*(E4338=E4337:E$2)))))</f>
        <v> </v>
      </c>
      <c r="J4338" s="25" t="str">
        <f>IF(OR(E4338="",E4338="!!!",F4338="NEW"),"",COUNTBLANK(OFFSET(A$1,,,SUMPRODUCT(MAX(ROW(E$2:E4338)*(E4338=E$2:E4338)))))-COUNTBLANK(OFFSET(A$1,,,SUMPRODUCT(MAX(ROW(E$1:E4337)*(E2=E$1:E4337))))))</f>
        <v> </v>
      </c>
      <c r="K4338" s="25" t="str">
        <f>IF(OR(E4338="",E4338="!!!",F4338="NEW"),"",INDEX(J$1:J4337,SUMPRODUCT(MAX(ROW(E$1:E4337)*(E4338=E$1:E4337)))))</f>
        <v> </v>
      </c>
      <c r="L4338" s="26"/>
    </row>
    <row r="4339" spans="1:12">
      <c r="A4339" s="20" t="s">
        <v>2005</v>
      </c>
      <c r="E4339" s="21">
        <f>IF(D4339="?OLD","!!!","")</f>
        <v/>
      </c>
      <c r="F4339" s="22" t="str">
        <f>IF(OR(E4339="",E4339="!!!"),"",IF(NOT(ISNA(VLOOKUP(E4339,E$1:E4338,1,FALSE()))),"OLD",IF(AND(E4339&lt;&gt;"",E4339&lt;&gt;"!!!"),"NEW","")))</f>
        <v> </v>
      </c>
      <c r="G4339" s="23" t="str">
        <f>IF(OR(E4339="",E4339="!!!"),"",IF(OR(J4339=0,AND(J4339=1,K4339=1),AND(J4339=1,I4339="SBJ"),AND(J4339=1,I4339=0)),"?IN_FOCUS",IF(J4339&lt;=2,"?ACTIVATED",IF(J4339&lt;&gt;"","?FAMILIAR",IF(F4339="NEW",IF(ISNA(VLOOKUP(E4339,#REF!,1,FALSE())),"?TYPE_IDENTIFIABLE","?REFERENTIAL"),"_")))))</f>
        <v> </v>
      </c>
      <c r="H4339" s="24" t="str">
        <f>IF(J4339&lt;&gt;1,"",IF(I4339="SBJ","CB","?"))</f>
        <v> </v>
      </c>
      <c r="I4339" s="25" t="str">
        <f>IF(OR(E4339="",E4339="!!!",F4339="NEW"),"",INDEX(B4338:B$2,-1+SUMPRODUCT(MAX(ROW(E4338:E$2)*(E4339=E4338:E$2)))))</f>
        <v> </v>
      </c>
      <c r="J4339" s="25" t="str">
        <f>IF(OR(E4339="",E4339="!!!",F4339="NEW"),"",COUNTBLANK(OFFSET(A$1,,,SUMPRODUCT(MAX(ROW(E$2:E4339)*(E4339=E$2:E4339)))))-COUNTBLANK(OFFSET(A$1,,,SUMPRODUCT(MAX(ROW(E$1:E4338)*(E2=E$1:E4338))))))</f>
        <v> </v>
      </c>
      <c r="K4339" s="25" t="str">
        <f>IF(OR(E4339="",E4339="!!!",F4339="NEW"),"",INDEX(J$1:J4338,SUMPRODUCT(MAX(ROW(E$1:E4338)*(E4339=E$1:E4338)))))</f>
        <v> </v>
      </c>
      <c r="L4339" s="26"/>
    </row>
    <row r="4340" spans="1:12">
      <c r="A4340" s="20" t="s">
        <v>2006</v>
      </c>
      <c r="E4340" s="21">
        <f>IF(D4340="?OLD","!!!","")</f>
        <v/>
      </c>
      <c r="F4340" s="22" t="str">
        <f>IF(OR(E4340="",E4340="!!!"),"",IF(NOT(ISNA(VLOOKUP(E4340,E$1:E4339,1,FALSE()))),"OLD",IF(AND(E4340&lt;&gt;"",E4340&lt;&gt;"!!!"),"NEW","")))</f>
        <v> </v>
      </c>
      <c r="G4340" s="23" t="str">
        <f>IF(OR(E4340="",E4340="!!!"),"",IF(OR(J4340=0,AND(J4340=1,K4340=1),AND(J4340=1,I4340="SBJ"),AND(J4340=1,I4340=0)),"?IN_FOCUS",IF(J4340&lt;=2,"?ACTIVATED",IF(J4340&lt;&gt;"","?FAMILIAR",IF(F4340="NEW",IF(ISNA(VLOOKUP(E4340,#REF!,1,FALSE())),"?TYPE_IDENTIFIABLE","?REFERENTIAL"),"_")))))</f>
        <v> </v>
      </c>
      <c r="H4340" s="24" t="str">
        <f>IF(J4340&lt;&gt;1,"",IF(I4340="SBJ","CB","?"))</f>
        <v> </v>
      </c>
      <c r="I4340" s="25" t="str">
        <f>IF(OR(E4340="",E4340="!!!",F4340="NEW"),"",INDEX(B4339:B$2,-1+SUMPRODUCT(MAX(ROW(E4339:E$2)*(E4340=E4339:E$2)))))</f>
        <v> </v>
      </c>
      <c r="J4340" s="25" t="str">
        <f>IF(OR(E4340="",E4340="!!!",F4340="NEW"),"",COUNTBLANK(OFFSET(A$1,,,SUMPRODUCT(MAX(ROW(E$2:E4340)*(E4340=E$2:E4340)))))-COUNTBLANK(OFFSET(A$1,,,SUMPRODUCT(MAX(ROW(E$1:E4339)*(E2=E$1:E4339))))))</f>
        <v> </v>
      </c>
      <c r="K4340" s="25" t="str">
        <f>IF(OR(E4340="",E4340="!!!",F4340="NEW"),"",INDEX(J$1:J4339,SUMPRODUCT(MAX(ROW(E$1:E4339)*(E4340=E$1:E4339)))))</f>
        <v> </v>
      </c>
      <c r="L4340" s="26"/>
    </row>
    <row r="4341" spans="1:12">
      <c r="A4341" s="20" t="s">
        <v>753</v>
      </c>
      <c r="E4341" s="21">
        <f>IF(D4341="?OLD","!!!","")</f>
        <v/>
      </c>
      <c r="F4341" s="22" t="str">
        <f>IF(OR(E4341="",E4341="!!!"),"",IF(NOT(ISNA(VLOOKUP(E4341,E$1:E4340,1,FALSE()))),"OLD",IF(AND(E4341&lt;&gt;"",E4341&lt;&gt;"!!!"),"NEW","")))</f>
        <v> </v>
      </c>
      <c r="G4341" s="23" t="str">
        <f>IF(OR(E4341="",E4341="!!!"),"",IF(OR(J4341=0,AND(J4341=1,K4341=1),AND(J4341=1,I4341="SBJ"),AND(J4341=1,I4341=0)),"?IN_FOCUS",IF(J4341&lt;=2,"?ACTIVATED",IF(J4341&lt;&gt;"","?FAMILIAR",IF(F4341="NEW",IF(ISNA(VLOOKUP(E4341,#REF!,1,FALSE())),"?TYPE_IDENTIFIABLE","?REFERENTIAL"),"_")))))</f>
        <v> </v>
      </c>
      <c r="H4341" s="24" t="str">
        <f>IF(J4341&lt;&gt;1,"",IF(I4341="SBJ","CB","?"))</f>
        <v> </v>
      </c>
      <c r="I4341" s="25" t="str">
        <f>IF(OR(E4341="",E4341="!!!",F4341="NEW"),"",INDEX(B4340:B$2,-1+SUMPRODUCT(MAX(ROW(E4340:E$2)*(E4341=E4340:E$2)))))</f>
        <v> </v>
      </c>
      <c r="J4341" s="25" t="str">
        <f>IF(OR(E4341="",E4341="!!!",F4341="NEW"),"",COUNTBLANK(OFFSET(A$1,,,SUMPRODUCT(MAX(ROW(E$2:E4341)*(E4341=E$2:E4341)))))-COUNTBLANK(OFFSET(A$1,,,SUMPRODUCT(MAX(ROW(E$1:E4340)*(E2=E$1:E4340))))))</f>
        <v> </v>
      </c>
      <c r="K4341" s="25" t="str">
        <f>IF(OR(E4341="",E4341="!!!",F4341="NEW"),"",INDEX(J$1:J4340,SUMPRODUCT(MAX(ROW(E$1:E4340)*(E4341=E$1:E4340)))))</f>
        <v> </v>
      </c>
      <c r="L4341" s="26"/>
    </row>
    <row r="4342" spans="1:12">
      <c r="A4342" s="20" t="s">
        <v>2007</v>
      </c>
      <c r="E4342" s="21">
        <f>IF(D4342="?OLD","!!!","")</f>
        <v/>
      </c>
      <c r="F4342" s="22" t="str">
        <f>IF(OR(E4342="",E4342="!!!"),"",IF(NOT(ISNA(VLOOKUP(E4342,E$1:E4341,1,FALSE()))),"OLD",IF(AND(E4342&lt;&gt;"",E4342&lt;&gt;"!!!"),"NEW","")))</f>
        <v> </v>
      </c>
      <c r="G4342" s="23" t="str">
        <f>IF(OR(E4342="",E4342="!!!"),"",IF(OR(J4342=0,AND(J4342=1,K4342=1),AND(J4342=1,I4342="SBJ"),AND(J4342=1,I4342=0)),"?IN_FOCUS",IF(J4342&lt;=2,"?ACTIVATED",IF(J4342&lt;&gt;"","?FAMILIAR",IF(F4342="NEW",IF(ISNA(VLOOKUP(E4342,#REF!,1,FALSE())),"?TYPE_IDENTIFIABLE","?REFERENTIAL"),"_")))))</f>
        <v> </v>
      </c>
      <c r="H4342" s="24" t="str">
        <f>IF(J4342&lt;&gt;1,"",IF(I4342="SBJ","CB","?"))</f>
        <v> </v>
      </c>
      <c r="I4342" s="25" t="str">
        <f>IF(OR(E4342="",E4342="!!!",F4342="NEW"),"",INDEX(B4341:B$2,-1+SUMPRODUCT(MAX(ROW(E4341:E$2)*(E4342=E4341:E$2)))))</f>
        <v> </v>
      </c>
      <c r="J4342" s="25" t="str">
        <f>IF(OR(E4342="",E4342="!!!",F4342="NEW"),"",COUNTBLANK(OFFSET(A$1,,,SUMPRODUCT(MAX(ROW(E$2:E4342)*(E4342=E$2:E4342)))))-COUNTBLANK(OFFSET(A$1,,,SUMPRODUCT(MAX(ROW(E$1:E4341)*(E2=E$1:E4341))))))</f>
        <v> </v>
      </c>
      <c r="K4342" s="25" t="str">
        <f>IF(OR(E4342="",E4342="!!!",F4342="NEW"),"",INDEX(J$1:J4341,SUMPRODUCT(MAX(ROW(E$1:E4341)*(E4342=E$1:E4341)))))</f>
        <v> </v>
      </c>
      <c r="L4342" s="26"/>
    </row>
    <row r="4343" spans="1:12">
      <c r="A4343" s="20" t="s">
        <v>1260</v>
      </c>
      <c r="B4343" s="27" t="s">
        <v>728</v>
      </c>
      <c r="C4343" s="27" t="s">
        <v>749</v>
      </c>
      <c r="D4343" s="27" t="s">
        <v>740</v>
      </c>
      <c r="E4343" s="21">
        <f>IF(D4343="?OLD","!!!","")</f>
        <v/>
      </c>
      <c r="F4343" s="22" t="str">
        <f>IF(OR(E4343="",E4343="!!!"),"",IF(NOT(ISNA(VLOOKUP(E4343,E$1:E4342,1,FALSE()))),"OLD",IF(AND(E4343&lt;&gt;"",E4343&lt;&gt;"!!!"),"NEW","")))</f>
        <v> </v>
      </c>
      <c r="G4343" s="23" t="str">
        <f>IF(OR(E4343="",E4343="!!!"),"",IF(OR(J4343=0,AND(J4343=1,K4343=1),AND(J4343=1,I4343="SBJ"),AND(J4343=1,I4343=0)),"?IN_FOCUS",IF(J4343&lt;=2,"?ACTIVATED",IF(J4343&lt;&gt;"","?FAMILIAR",IF(F4343="NEW",IF(ISNA(VLOOKUP(E4343,#REF!,1,FALSE())),"?TYPE_IDENTIFIABLE","?REFERENTIAL"),"_")))))</f>
        <v> </v>
      </c>
      <c r="H4343" s="24" t="str">
        <f>IF(J4343&lt;&gt;1,"",IF(I4343="SBJ","CB","?"))</f>
        <v> </v>
      </c>
      <c r="I4343" s="25" t="str">
        <f>IF(OR(E4343="",E4343="!!!",F4343="NEW"),"",INDEX(B4342:B$2,-1+SUMPRODUCT(MAX(ROW(E4342:E$2)*(E4343=E4342:E$2)))))</f>
        <v> </v>
      </c>
      <c r="J4343" s="25" t="str">
        <f>IF(OR(E4343="",E4343="!!!",F4343="NEW"),"",COUNTBLANK(OFFSET(A$1,,,SUMPRODUCT(MAX(ROW(E$2:E4343)*(E4343=E$2:E4343)))))-COUNTBLANK(OFFSET(A$1,,,SUMPRODUCT(MAX(ROW(E$1:E4342)*(E2=E$1:E4342))))))</f>
        <v> </v>
      </c>
      <c r="K4343" s="25" t="str">
        <f>IF(OR(E4343="",E4343="!!!",F4343="NEW"),"",INDEX(J$1:J4342,SUMPRODUCT(MAX(ROW(E$1:E4342)*(E4343=E$1:E4342)))))</f>
        <v> </v>
      </c>
      <c r="L4343" s="26"/>
    </row>
    <row r="4344" spans="1:12">
      <c r="A4344" s="20" t="s">
        <v>791</v>
      </c>
      <c r="E4344" s="21">
        <f>IF(D4344="?OLD","!!!","")</f>
        <v/>
      </c>
      <c r="F4344" s="22" t="str">
        <f>IF(OR(E4344="",E4344="!!!"),"",IF(NOT(ISNA(VLOOKUP(E4344,E$1:E4343,1,FALSE()))),"OLD",IF(AND(E4344&lt;&gt;"",E4344&lt;&gt;"!!!"),"NEW","")))</f>
        <v> </v>
      </c>
      <c r="G4344" s="23" t="str">
        <f>IF(OR(E4344="",E4344="!!!"),"",IF(OR(J4344=0,AND(J4344=1,K4344=1),AND(J4344=1,I4344="SBJ"),AND(J4344=1,I4344=0)),"?IN_FOCUS",IF(J4344&lt;=2,"?ACTIVATED",IF(J4344&lt;&gt;"","?FAMILIAR",IF(F4344="NEW",IF(ISNA(VLOOKUP(E4344,#REF!,1,FALSE())),"?TYPE_IDENTIFIABLE","?REFERENTIAL"),"_")))))</f>
        <v> </v>
      </c>
      <c r="H4344" s="24" t="str">
        <f>IF(J4344&lt;&gt;1,"",IF(I4344="SBJ","CB","?"))</f>
        <v> </v>
      </c>
      <c r="I4344" s="25" t="str">
        <f>IF(OR(E4344="",E4344="!!!",F4344="NEW"),"",INDEX(B4343:B$2,-1+SUMPRODUCT(MAX(ROW(E4343:E$2)*(E4344=E4343:E$2)))))</f>
        <v> </v>
      </c>
      <c r="J4344" s="25" t="str">
        <f>IF(OR(E4344="",E4344="!!!",F4344="NEW"),"",COUNTBLANK(OFFSET(A$1,,,SUMPRODUCT(MAX(ROW(E$2:E4344)*(E4344=E$2:E4344)))))-COUNTBLANK(OFFSET(A$1,,,SUMPRODUCT(MAX(ROW(E$1:E4343)*(E2=E$1:E4343))))))</f>
        <v> </v>
      </c>
      <c r="K4344" s="25" t="str">
        <f>IF(OR(E4344="",E4344="!!!",F4344="NEW"),"",INDEX(J$1:J4343,SUMPRODUCT(MAX(ROW(E$1:E4343)*(E4344=E$1:E4343)))))</f>
        <v> </v>
      </c>
      <c r="L4344" s="26"/>
    </row>
    <row r="4345" spans="1:12">
      <c r="A4345" s="20" t="s">
        <v>833</v>
      </c>
      <c r="E4345" s="21">
        <f>IF(D4345="?OLD","!!!","")</f>
        <v/>
      </c>
      <c r="F4345" s="22" t="str">
        <f>IF(OR(E4345="",E4345="!!!"),"",IF(NOT(ISNA(VLOOKUP(E4345,E$1:E4344,1,FALSE()))),"OLD",IF(AND(E4345&lt;&gt;"",E4345&lt;&gt;"!!!"),"NEW","")))</f>
        <v> </v>
      </c>
      <c r="G4345" s="23" t="str">
        <f>IF(OR(E4345="",E4345="!!!"),"",IF(OR(J4345=0,AND(J4345=1,K4345=1),AND(J4345=1,I4345="SBJ"),AND(J4345=1,I4345=0)),"?IN_FOCUS",IF(J4345&lt;=2,"?ACTIVATED",IF(J4345&lt;&gt;"","?FAMILIAR",IF(F4345="NEW",IF(ISNA(VLOOKUP(E4345,#REF!,1,FALSE())),"?TYPE_IDENTIFIABLE","?REFERENTIAL"),"_")))))</f>
        <v> </v>
      </c>
      <c r="H4345" s="24" t="str">
        <f>IF(J4345&lt;&gt;1,"",IF(I4345="SBJ","CB","?"))</f>
        <v> </v>
      </c>
      <c r="I4345" s="25" t="str">
        <f>IF(OR(E4345="",E4345="!!!",F4345="NEW"),"",INDEX(B4344:B$2,-1+SUMPRODUCT(MAX(ROW(E4344:E$2)*(E4345=E4344:E$2)))))</f>
        <v> </v>
      </c>
      <c r="J4345" s="25" t="str">
        <f>IF(OR(E4345="",E4345="!!!",F4345="NEW"),"",COUNTBLANK(OFFSET(A$1,,,SUMPRODUCT(MAX(ROW(E$2:E4345)*(E4345=E$2:E4345)))))-COUNTBLANK(OFFSET(A$1,,,SUMPRODUCT(MAX(ROW(E$1:E4344)*(E2=E$1:E4344))))))</f>
        <v> </v>
      </c>
      <c r="K4345" s="25" t="str">
        <f>IF(OR(E4345="",E4345="!!!",F4345="NEW"),"",INDEX(J$1:J4344,SUMPRODUCT(MAX(ROW(E$1:E4344)*(E4345=E$1:E4344)))))</f>
        <v> </v>
      </c>
      <c r="L4345" s="26"/>
    </row>
    <row r="4346" spans="1:12">
      <c r="A4346" s="20" t="s">
        <v>2008</v>
      </c>
      <c r="E4346" s="21">
        <f>IF(D4346="?OLD","!!!","")</f>
        <v/>
      </c>
      <c r="F4346" s="22" t="str">
        <f>IF(OR(E4346="",E4346="!!!"),"",IF(NOT(ISNA(VLOOKUP(E4346,E$1:E4345,1,FALSE()))),"OLD",IF(AND(E4346&lt;&gt;"",E4346&lt;&gt;"!!!"),"NEW","")))</f>
        <v> </v>
      </c>
      <c r="G4346" s="23" t="str">
        <f>IF(OR(E4346="",E4346="!!!"),"",IF(OR(J4346=0,AND(J4346=1,K4346=1),AND(J4346=1,I4346="SBJ"),AND(J4346=1,I4346=0)),"?IN_FOCUS",IF(J4346&lt;=2,"?ACTIVATED",IF(J4346&lt;&gt;"","?FAMILIAR",IF(F4346="NEW",IF(ISNA(VLOOKUP(E4346,#REF!,1,FALSE())),"?TYPE_IDENTIFIABLE","?REFERENTIAL"),"_")))))</f>
        <v> </v>
      </c>
      <c r="H4346" s="24" t="str">
        <f>IF(J4346&lt;&gt;1,"",IF(I4346="SBJ","CB","?"))</f>
        <v> </v>
      </c>
      <c r="I4346" s="25" t="str">
        <f>IF(OR(E4346="",E4346="!!!",F4346="NEW"),"",INDEX(B4345:B$2,-1+SUMPRODUCT(MAX(ROW(E4345:E$2)*(E4346=E4345:E$2)))))</f>
        <v> </v>
      </c>
      <c r="J4346" s="25" t="str">
        <f>IF(OR(E4346="",E4346="!!!",F4346="NEW"),"",COUNTBLANK(OFFSET(A$1,,,SUMPRODUCT(MAX(ROW(E$2:E4346)*(E4346=E$2:E4346)))))-COUNTBLANK(OFFSET(A$1,,,SUMPRODUCT(MAX(ROW(E$1:E4345)*(E2=E$1:E4345))))))</f>
        <v> </v>
      </c>
      <c r="K4346" s="25" t="str">
        <f>IF(OR(E4346="",E4346="!!!",F4346="NEW"),"",INDEX(J$1:J4345,SUMPRODUCT(MAX(ROW(E$1:E4345)*(E4346=E$1:E4345)))))</f>
        <v> </v>
      </c>
      <c r="L4346" s="26"/>
    </row>
    <row r="4347" spans="1:12">
      <c r="A4347" s="20" t="s">
        <v>753</v>
      </c>
      <c r="E4347" s="21">
        <f>IF(D4347="?OLD","!!!","")</f>
        <v/>
      </c>
      <c r="F4347" s="22" t="str">
        <f>IF(OR(E4347="",E4347="!!!"),"",IF(NOT(ISNA(VLOOKUP(E4347,E$1:E4346,1,FALSE()))),"OLD",IF(AND(E4347&lt;&gt;"",E4347&lt;&gt;"!!!"),"NEW","")))</f>
        <v> </v>
      </c>
      <c r="G4347" s="23" t="str">
        <f>IF(OR(E4347="",E4347="!!!"),"",IF(OR(J4347=0,AND(J4347=1,K4347=1),AND(J4347=1,I4347="SBJ"),AND(J4347=1,I4347=0)),"?IN_FOCUS",IF(J4347&lt;=2,"?ACTIVATED",IF(J4347&lt;&gt;"","?FAMILIAR",IF(F4347="NEW",IF(ISNA(VLOOKUP(E4347,#REF!,1,FALSE())),"?TYPE_IDENTIFIABLE","?REFERENTIAL"),"_")))))</f>
        <v> </v>
      </c>
      <c r="H4347" s="24" t="str">
        <f>IF(J4347&lt;&gt;1,"",IF(I4347="SBJ","CB","?"))</f>
        <v> </v>
      </c>
      <c r="I4347" s="25" t="str">
        <f>IF(OR(E4347="",E4347="!!!",F4347="NEW"),"",INDEX(B4346:B$2,-1+SUMPRODUCT(MAX(ROW(E4346:E$2)*(E4347=E4346:E$2)))))</f>
        <v> </v>
      </c>
      <c r="J4347" s="25" t="str">
        <f>IF(OR(E4347="",E4347="!!!",F4347="NEW"),"",COUNTBLANK(OFFSET(A$1,,,SUMPRODUCT(MAX(ROW(E$2:E4347)*(E4347=E$2:E4347)))))-COUNTBLANK(OFFSET(A$1,,,SUMPRODUCT(MAX(ROW(E$1:E4346)*(E2=E$1:E4346))))))</f>
        <v> </v>
      </c>
      <c r="K4347" s="25" t="str">
        <f>IF(OR(E4347="",E4347="!!!",F4347="NEW"),"",INDEX(J$1:J4346,SUMPRODUCT(MAX(ROW(E$1:E4346)*(E4347=E$1:E4346)))))</f>
        <v> </v>
      </c>
      <c r="L4347" s="26"/>
    </row>
    <row r="4348" spans="1:12">
      <c r="A4348" s="20" t="s">
        <v>860</v>
      </c>
      <c r="E4348" s="21">
        <f>IF(D4348="?OLD","!!!","")</f>
        <v/>
      </c>
      <c r="F4348" s="22" t="str">
        <f>IF(OR(E4348="",E4348="!!!"),"",IF(NOT(ISNA(VLOOKUP(E4348,E$1:E4347,1,FALSE()))),"OLD",IF(AND(E4348&lt;&gt;"",E4348&lt;&gt;"!!!"),"NEW","")))</f>
        <v> </v>
      </c>
      <c r="G4348" s="23" t="str">
        <f>IF(OR(E4348="",E4348="!!!"),"",IF(OR(J4348=0,AND(J4348=1,K4348=1),AND(J4348=1,I4348="SBJ"),AND(J4348=1,I4348=0)),"?IN_FOCUS",IF(J4348&lt;=2,"?ACTIVATED",IF(J4348&lt;&gt;"","?FAMILIAR",IF(F4348="NEW",IF(ISNA(VLOOKUP(E4348,#REF!,1,FALSE())),"?TYPE_IDENTIFIABLE","?REFERENTIAL"),"_")))))</f>
        <v> </v>
      </c>
      <c r="H4348" s="24" t="str">
        <f>IF(J4348&lt;&gt;1,"",IF(I4348="SBJ","CB","?"))</f>
        <v> </v>
      </c>
      <c r="I4348" s="25" t="str">
        <f>IF(OR(E4348="",E4348="!!!",F4348="NEW"),"",INDEX(B4347:B$2,-1+SUMPRODUCT(MAX(ROW(E4347:E$2)*(E4348=E4347:E$2)))))</f>
        <v> </v>
      </c>
      <c r="J4348" s="25" t="str">
        <f>IF(OR(E4348="",E4348="!!!",F4348="NEW"),"",COUNTBLANK(OFFSET(A$1,,,SUMPRODUCT(MAX(ROW(E$2:E4348)*(E4348=E$2:E4348)))))-COUNTBLANK(OFFSET(A$1,,,SUMPRODUCT(MAX(ROW(E$1:E4347)*(E2=E$1:E4347))))))</f>
        <v> </v>
      </c>
      <c r="K4348" s="25" t="str">
        <f>IF(OR(E4348="",E4348="!!!",F4348="NEW"),"",INDEX(J$1:J4347,SUMPRODUCT(MAX(ROW(E$1:E4347)*(E4348=E$1:E4347)))))</f>
        <v> </v>
      </c>
      <c r="L4348" s="26"/>
    </row>
    <row r="4349" spans="1:12">
      <c r="A4349" s="20" t="s">
        <v>774</v>
      </c>
      <c r="B4349" s="27" t="s">
        <v>795</v>
      </c>
      <c r="C4349" s="27" t="s">
        <v>775</v>
      </c>
      <c r="D4349" s="27" t="s">
        <v>740</v>
      </c>
      <c r="E4349" s="21">
        <f>IF(D4349="?OLD","!!!","")</f>
        <v/>
      </c>
      <c r="F4349" s="22" t="str">
        <f>IF(OR(E4349="",E4349="!!!"),"",IF(NOT(ISNA(VLOOKUP(E4349,E$1:E4348,1,FALSE()))),"OLD",IF(AND(E4349&lt;&gt;"",E4349&lt;&gt;"!!!"),"NEW","")))</f>
        <v> </v>
      </c>
      <c r="G4349" s="23" t="str">
        <f>IF(OR(E4349="",E4349="!!!"),"",IF(OR(J4349=0,AND(J4349=1,K4349=1),AND(J4349=1,I4349="SBJ"),AND(J4349=1,I4349=0)),"?IN_FOCUS",IF(J4349&lt;=2,"?ACTIVATED",IF(J4349&lt;&gt;"","?FAMILIAR",IF(F4349="NEW",IF(ISNA(VLOOKUP(E4349,#REF!,1,FALSE())),"?TYPE_IDENTIFIABLE","?REFERENTIAL"),"_")))))</f>
        <v> </v>
      </c>
      <c r="H4349" s="24" t="str">
        <f>IF(J4349&lt;&gt;1,"",IF(I4349="SBJ","CB","?"))</f>
        <v> </v>
      </c>
      <c r="I4349" s="25" t="str">
        <f>IF(OR(E4349="",E4349="!!!",F4349="NEW"),"",INDEX(B4348:B$2,-1+SUMPRODUCT(MAX(ROW(E4348:E$2)*(E4349=E4348:E$2)))))</f>
        <v> </v>
      </c>
      <c r="J4349" s="25" t="str">
        <f>IF(OR(E4349="",E4349="!!!",F4349="NEW"),"",COUNTBLANK(OFFSET(A$1,,,SUMPRODUCT(MAX(ROW(E$2:E4349)*(E4349=E$2:E4349)))))-COUNTBLANK(OFFSET(A$1,,,SUMPRODUCT(MAX(ROW(E$1:E4348)*(E2=E$1:E4348))))))</f>
        <v> </v>
      </c>
      <c r="K4349" s="25" t="str">
        <f>IF(OR(E4349="",E4349="!!!",F4349="NEW"),"",INDEX(J$1:J4348,SUMPRODUCT(MAX(ROW(E$1:E4348)*(E4349=E$1:E4348)))))</f>
        <v> </v>
      </c>
      <c r="L4349" s="26"/>
    </row>
    <row r="4350" spans="1:12">
      <c r="A4350" s="20" t="s">
        <v>934</v>
      </c>
      <c r="E4350" s="21">
        <f>IF(D4350="?OLD","!!!","")</f>
        <v/>
      </c>
      <c r="F4350" s="22" t="str">
        <f>IF(OR(E4350="",E4350="!!!"),"",IF(NOT(ISNA(VLOOKUP(E4350,E$1:E4349,1,FALSE()))),"OLD",IF(AND(E4350&lt;&gt;"",E4350&lt;&gt;"!!!"),"NEW","")))</f>
        <v> </v>
      </c>
      <c r="G4350" s="23" t="str">
        <f>IF(OR(E4350="",E4350="!!!"),"",IF(OR(J4350=0,AND(J4350=1,K4350=1),AND(J4350=1,I4350="SBJ"),AND(J4350=1,I4350=0)),"?IN_FOCUS",IF(J4350&lt;=2,"?ACTIVATED",IF(J4350&lt;&gt;"","?FAMILIAR",IF(F4350="NEW",IF(ISNA(VLOOKUP(E4350,#REF!,1,FALSE())),"?TYPE_IDENTIFIABLE","?REFERENTIAL"),"_")))))</f>
        <v> </v>
      </c>
      <c r="H4350" s="24" t="str">
        <f>IF(J4350&lt;&gt;1,"",IF(I4350="SBJ","CB","?"))</f>
        <v> </v>
      </c>
      <c r="I4350" s="25" t="str">
        <f>IF(OR(E4350="",E4350="!!!",F4350="NEW"),"",INDEX(B4349:B$2,-1+SUMPRODUCT(MAX(ROW(E4349:E$2)*(E4350=E4349:E$2)))))</f>
        <v> </v>
      </c>
      <c r="J4350" s="25" t="str">
        <f>IF(OR(E4350="",E4350="!!!",F4350="NEW"),"",COUNTBLANK(OFFSET(A$1,,,SUMPRODUCT(MAX(ROW(E$2:E4350)*(E4350=E$2:E4350)))))-COUNTBLANK(OFFSET(A$1,,,SUMPRODUCT(MAX(ROW(E$1:E4349)*(E2=E$1:E4349))))))</f>
        <v> </v>
      </c>
      <c r="K4350" s="25" t="str">
        <f>IF(OR(E4350="",E4350="!!!",F4350="NEW"),"",INDEX(J$1:J4349,SUMPRODUCT(MAX(ROW(E$1:E4349)*(E4350=E$1:E4349)))))</f>
        <v> </v>
      </c>
      <c r="L4350" s="26"/>
    </row>
    <row r="4351" spans="1:12">
      <c r="A4351" s="20" t="s">
        <v>753</v>
      </c>
      <c r="E4351" s="21">
        <f>IF(D4351="?OLD","!!!","")</f>
        <v/>
      </c>
      <c r="F4351" s="22" t="str">
        <f>IF(OR(E4351="",E4351="!!!"),"",IF(NOT(ISNA(VLOOKUP(E4351,E$1:E4350,1,FALSE()))),"OLD",IF(AND(E4351&lt;&gt;"",E4351&lt;&gt;"!!!"),"NEW","")))</f>
        <v> </v>
      </c>
      <c r="G4351" s="23" t="str">
        <f>IF(OR(E4351="",E4351="!!!"),"",IF(OR(J4351=0,AND(J4351=1,K4351=1),AND(J4351=1,I4351="SBJ"),AND(J4351=1,I4351=0)),"?IN_FOCUS",IF(J4351&lt;=2,"?ACTIVATED",IF(J4351&lt;&gt;"","?FAMILIAR",IF(F4351="NEW",IF(ISNA(VLOOKUP(E4351,#REF!,1,FALSE())),"?TYPE_IDENTIFIABLE","?REFERENTIAL"),"_")))))</f>
        <v> </v>
      </c>
      <c r="H4351" s="24" t="str">
        <f>IF(J4351&lt;&gt;1,"",IF(I4351="SBJ","CB","?"))</f>
        <v> </v>
      </c>
      <c r="I4351" s="25" t="str">
        <f>IF(OR(E4351="",E4351="!!!",F4351="NEW"),"",INDEX(B4350:B$2,-1+SUMPRODUCT(MAX(ROW(E4350:E$2)*(E4351=E4350:E$2)))))</f>
        <v> </v>
      </c>
      <c r="J4351" s="25" t="str">
        <f>IF(OR(E4351="",E4351="!!!",F4351="NEW"),"",COUNTBLANK(OFFSET(A$1,,,SUMPRODUCT(MAX(ROW(E$2:E4351)*(E4351=E$2:E4351)))))-COUNTBLANK(OFFSET(A$1,,,SUMPRODUCT(MAX(ROW(E$1:E4350)*(E2=E$1:E4350))))))</f>
        <v> </v>
      </c>
      <c r="K4351" s="25" t="str">
        <f>IF(OR(E4351="",E4351="!!!",F4351="NEW"),"",INDEX(J$1:J4350,SUMPRODUCT(MAX(ROW(E$1:E4350)*(E4351=E$1:E4350)))))</f>
        <v> </v>
      </c>
      <c r="L4351" s="26"/>
    </row>
    <row r="4352" spans="1:12">
      <c r="A4352" s="20" t="s">
        <v>751</v>
      </c>
      <c r="E4352" s="21">
        <f>IF(D4352="?OLD","!!!","")</f>
        <v/>
      </c>
      <c r="F4352" s="22" t="str">
        <f>IF(OR(E4352="",E4352="!!!"),"",IF(NOT(ISNA(VLOOKUP(E4352,E$1:E4351,1,FALSE()))),"OLD",IF(AND(E4352&lt;&gt;"",E4352&lt;&gt;"!!!"),"NEW","")))</f>
        <v> </v>
      </c>
      <c r="G4352" s="23" t="str">
        <f>IF(OR(E4352="",E4352="!!!"),"",IF(OR(J4352=0,AND(J4352=1,K4352=1),AND(J4352=1,I4352="SBJ"),AND(J4352=1,I4352=0)),"?IN_FOCUS",IF(J4352&lt;=2,"?ACTIVATED",IF(J4352&lt;&gt;"","?FAMILIAR",IF(F4352="NEW",IF(ISNA(VLOOKUP(E4352,#REF!,1,FALSE())),"?TYPE_IDENTIFIABLE","?REFERENTIAL"),"_")))))</f>
        <v> </v>
      </c>
      <c r="H4352" s="24" t="str">
        <f>IF(J4352&lt;&gt;1,"",IF(I4352="SBJ","CB","?"))</f>
        <v> </v>
      </c>
      <c r="I4352" s="25" t="str">
        <f>IF(OR(E4352="",E4352="!!!",F4352="NEW"),"",INDEX(B4351:B$2,-1+SUMPRODUCT(MAX(ROW(E4351:E$2)*(E4352=E4351:E$2)))))</f>
        <v> </v>
      </c>
      <c r="J4352" s="25" t="str">
        <f>IF(OR(E4352="",E4352="!!!",F4352="NEW"),"",COUNTBLANK(OFFSET(A$1,,,SUMPRODUCT(MAX(ROW(E$2:E4352)*(E4352=E$2:E4352)))))-COUNTBLANK(OFFSET(A$1,,,SUMPRODUCT(MAX(ROW(E$1:E4351)*(E2=E$1:E4351))))))</f>
        <v> </v>
      </c>
      <c r="K4352" s="25" t="str">
        <f>IF(OR(E4352="",E4352="!!!",F4352="NEW"),"",INDEX(J$1:J4351,SUMPRODUCT(MAX(ROW(E$1:E4351)*(E4352=E$1:E4351)))))</f>
        <v> </v>
      </c>
      <c r="L4352" s="26"/>
    </row>
    <row r="4353" spans="1:12">
      <c r="A4353" s="20" t="s">
        <v>2009</v>
      </c>
      <c r="B4353" s="27" t="s">
        <v>935</v>
      </c>
      <c r="C4353" s="27" t="s">
        <v>744</v>
      </c>
      <c r="E4353" s="21">
        <f>IF(D4353="?OLD","!!!","")</f>
        <v/>
      </c>
      <c r="F4353" s="22" t="str">
        <f>IF(OR(E4353="",E4353="!!!"),"",IF(NOT(ISNA(VLOOKUP(E4353,E$1:E4352,1,FALSE()))),"OLD",IF(AND(E4353&lt;&gt;"",E4353&lt;&gt;"!!!"),"NEW","")))</f>
        <v> </v>
      </c>
      <c r="G4353" s="23" t="str">
        <f>IF(OR(E4353="",E4353="!!!"),"",IF(OR(J4353=0,AND(J4353=1,K4353=1),AND(J4353=1,I4353="SBJ"),AND(J4353=1,I4353=0)),"?IN_FOCUS",IF(J4353&lt;=2,"?ACTIVATED",IF(J4353&lt;&gt;"","?FAMILIAR",IF(F4353="NEW",IF(ISNA(VLOOKUP(E4353,#REF!,1,FALSE())),"?TYPE_IDENTIFIABLE","?REFERENTIAL"),"_")))))</f>
        <v> </v>
      </c>
      <c r="H4353" s="24" t="str">
        <f>IF(J4353&lt;&gt;1,"",IF(I4353="SBJ","CB","?"))</f>
        <v> </v>
      </c>
      <c r="I4353" s="25" t="str">
        <f>IF(OR(E4353="",E4353="!!!",F4353="NEW"),"",INDEX(B4352:B$2,-1+SUMPRODUCT(MAX(ROW(E4352:E$2)*(E4353=E4352:E$2)))))</f>
        <v> </v>
      </c>
      <c r="J4353" s="25" t="str">
        <f>IF(OR(E4353="",E4353="!!!",F4353="NEW"),"",COUNTBLANK(OFFSET(A$1,,,SUMPRODUCT(MAX(ROW(E$2:E4353)*(E4353=E$2:E4353)))))-COUNTBLANK(OFFSET(A$1,,,SUMPRODUCT(MAX(ROW(E$1:E4352)*(E2=E$1:E4352))))))</f>
        <v> </v>
      </c>
      <c r="K4353" s="25" t="str">
        <f>IF(OR(E4353="",E4353="!!!",F4353="NEW"),"",INDEX(J$1:J4352,SUMPRODUCT(MAX(ROW(E$1:E4352)*(E4353=E$1:E4352)))))</f>
        <v> </v>
      </c>
      <c r="L4353" s="26"/>
    </row>
    <row r="4354" spans="1:12">
      <c r="A4354" s="20" t="s">
        <v>1574</v>
      </c>
      <c r="E4354" s="21">
        <f>IF(D4354="?OLD","!!!","")</f>
        <v/>
      </c>
      <c r="F4354" s="22" t="str">
        <f>IF(OR(E4354="",E4354="!!!"),"",IF(NOT(ISNA(VLOOKUP(E4354,E$1:E4353,1,FALSE()))),"OLD",IF(AND(E4354&lt;&gt;"",E4354&lt;&gt;"!!!"),"NEW","")))</f>
        <v> </v>
      </c>
      <c r="G4354" s="23" t="str">
        <f>IF(OR(E4354="",E4354="!!!"),"",IF(OR(J4354=0,AND(J4354=1,K4354=1),AND(J4354=1,I4354="SBJ"),AND(J4354=1,I4354=0)),"?IN_FOCUS",IF(J4354&lt;=2,"?ACTIVATED",IF(J4354&lt;&gt;"","?FAMILIAR",IF(F4354="NEW",IF(ISNA(VLOOKUP(E4354,#REF!,1,FALSE())),"?TYPE_IDENTIFIABLE","?REFERENTIAL"),"_")))))</f>
        <v> </v>
      </c>
      <c r="H4354" s="24" t="str">
        <f>IF(J4354&lt;&gt;1,"",IF(I4354="SBJ","CB","?"))</f>
        <v> </v>
      </c>
      <c r="I4354" s="25" t="str">
        <f>IF(OR(E4354="",E4354="!!!",F4354="NEW"),"",INDEX(B4353:B$2,-1+SUMPRODUCT(MAX(ROW(E4353:E$2)*(E4354=E4353:E$2)))))</f>
        <v> </v>
      </c>
      <c r="J4354" s="25" t="str">
        <f>IF(OR(E4354="",E4354="!!!",F4354="NEW"),"",COUNTBLANK(OFFSET(A$1,,,SUMPRODUCT(MAX(ROW(E$2:E4354)*(E4354=E$2:E4354)))))-COUNTBLANK(OFFSET(A$1,,,SUMPRODUCT(MAX(ROW(E$1:E4353)*(E2=E$1:E4353))))))</f>
        <v> </v>
      </c>
      <c r="K4354" s="25" t="str">
        <f>IF(OR(E4354="",E4354="!!!",F4354="NEW"),"",INDEX(J$1:J4353,SUMPRODUCT(MAX(ROW(E$1:E4353)*(E4354=E$1:E4353)))))</f>
        <v> </v>
      </c>
      <c r="L4354" s="26"/>
    </row>
    <row r="4355" spans="1:12">
      <c r="A4355" s="20" t="s">
        <v>2010</v>
      </c>
      <c r="E4355" s="21">
        <f>IF(D4355="?OLD","!!!","")</f>
        <v/>
      </c>
      <c r="F4355" s="22" t="str">
        <f>IF(OR(E4355="",E4355="!!!"),"",IF(NOT(ISNA(VLOOKUP(E4355,E$1:E4354,1,FALSE()))),"OLD",IF(AND(E4355&lt;&gt;"",E4355&lt;&gt;"!!!"),"NEW","")))</f>
        <v> </v>
      </c>
      <c r="G4355" s="23" t="str">
        <f>IF(OR(E4355="",E4355="!!!"),"",IF(OR(J4355=0,AND(J4355=1,K4355=1),AND(J4355=1,I4355="SBJ"),AND(J4355=1,I4355=0)),"?IN_FOCUS",IF(J4355&lt;=2,"?ACTIVATED",IF(J4355&lt;&gt;"","?FAMILIAR",IF(F4355="NEW",IF(ISNA(VLOOKUP(E4355,#REF!,1,FALSE())),"?TYPE_IDENTIFIABLE","?REFERENTIAL"),"_")))))</f>
        <v> </v>
      </c>
      <c r="H4355" s="24" t="str">
        <f>IF(J4355&lt;&gt;1,"",IF(I4355="SBJ","CB","?"))</f>
        <v> </v>
      </c>
      <c r="I4355" s="25" t="str">
        <f>IF(OR(E4355="",E4355="!!!",F4355="NEW"),"",INDEX(B4354:B$2,-1+SUMPRODUCT(MAX(ROW(E4354:E$2)*(E4355=E4354:E$2)))))</f>
        <v> </v>
      </c>
      <c r="J4355" s="25" t="str">
        <f>IF(OR(E4355="",E4355="!!!",F4355="NEW"),"",COUNTBLANK(OFFSET(A$1,,,SUMPRODUCT(MAX(ROW(E$2:E4355)*(E4355=E$2:E4355)))))-COUNTBLANK(OFFSET(A$1,,,SUMPRODUCT(MAX(ROW(E$1:E4354)*(E2=E$1:E4354))))))</f>
        <v> </v>
      </c>
      <c r="K4355" s="25" t="str">
        <f>IF(OR(E4355="",E4355="!!!",F4355="NEW"),"",INDEX(J$1:J4354,SUMPRODUCT(MAX(ROW(E$1:E4354)*(E4355=E$1:E4354)))))</f>
        <v> </v>
      </c>
      <c r="L4355" s="26"/>
    </row>
    <row r="4356" spans="1:12">
      <c r="A4356" s="20" t="s">
        <v>1706</v>
      </c>
      <c r="E4356" s="21">
        <f>IF(D4356="?OLD","!!!","")</f>
        <v/>
      </c>
      <c r="F4356" s="22" t="str">
        <f>IF(OR(E4356="",E4356="!!!"),"",IF(NOT(ISNA(VLOOKUP(E4356,E$1:E4355,1,FALSE()))),"OLD",IF(AND(E4356&lt;&gt;"",E4356&lt;&gt;"!!!"),"NEW","")))</f>
        <v> </v>
      </c>
      <c r="G4356" s="23" t="str">
        <f>IF(OR(E4356="",E4356="!!!"),"",IF(OR(J4356=0,AND(J4356=1,K4356=1),AND(J4356=1,I4356="SBJ"),AND(J4356=1,I4356=0)),"?IN_FOCUS",IF(J4356&lt;=2,"?ACTIVATED",IF(J4356&lt;&gt;"","?FAMILIAR",IF(F4356="NEW",IF(ISNA(VLOOKUP(E4356,#REF!,1,FALSE())),"?TYPE_IDENTIFIABLE","?REFERENTIAL"),"_")))))</f>
        <v> </v>
      </c>
      <c r="H4356" s="24" t="str">
        <f>IF(J4356&lt;&gt;1,"",IF(I4356="SBJ","CB","?"))</f>
        <v> </v>
      </c>
      <c r="I4356" s="25" t="str">
        <f>IF(OR(E4356="",E4356="!!!",F4356="NEW"),"",INDEX(B4355:B$2,-1+SUMPRODUCT(MAX(ROW(E4355:E$2)*(E4356=E4355:E$2)))))</f>
        <v> </v>
      </c>
      <c r="J4356" s="25" t="str">
        <f>IF(OR(E4356="",E4356="!!!",F4356="NEW"),"",COUNTBLANK(OFFSET(A$1,,,SUMPRODUCT(MAX(ROW(E$2:E4356)*(E4356=E$2:E4356)))))-COUNTBLANK(OFFSET(A$1,,,SUMPRODUCT(MAX(ROW(E$1:E4355)*(E2=E$1:E4355))))))</f>
        <v> </v>
      </c>
      <c r="K4356" s="25" t="str">
        <f>IF(OR(E4356="",E4356="!!!",F4356="NEW"),"",INDEX(J$1:J4355,SUMPRODUCT(MAX(ROW(E$1:E4355)*(E4356=E$1:E4355)))))</f>
        <v> </v>
      </c>
      <c r="L4356" s="26"/>
    </row>
    <row r="4357" spans="1:12">
      <c r="A4357" s="20" t="s">
        <v>2011</v>
      </c>
      <c r="E4357" s="21">
        <f>IF(D4357="?OLD","!!!","")</f>
        <v/>
      </c>
      <c r="F4357" s="22" t="str">
        <f>IF(OR(E4357="",E4357="!!!"),"",IF(NOT(ISNA(VLOOKUP(E4357,E$1:E4356,1,FALSE()))),"OLD",IF(AND(E4357&lt;&gt;"",E4357&lt;&gt;"!!!"),"NEW","")))</f>
        <v> </v>
      </c>
      <c r="G4357" s="23" t="str">
        <f>IF(OR(E4357="",E4357="!!!"),"",IF(OR(J4357=0,AND(J4357=1,K4357=1),AND(J4357=1,I4357="SBJ"),AND(J4357=1,I4357=0)),"?IN_FOCUS",IF(J4357&lt;=2,"?ACTIVATED",IF(J4357&lt;&gt;"","?FAMILIAR",IF(F4357="NEW",IF(ISNA(VLOOKUP(E4357,#REF!,1,FALSE())),"?TYPE_IDENTIFIABLE","?REFERENTIAL"),"_")))))</f>
        <v> </v>
      </c>
      <c r="H4357" s="24" t="str">
        <f>IF(J4357&lt;&gt;1,"",IF(I4357="SBJ","CB","?"))</f>
        <v> </v>
      </c>
      <c r="I4357" s="25" t="str">
        <f>IF(OR(E4357="",E4357="!!!",F4357="NEW"),"",INDEX(B4356:B$2,-1+SUMPRODUCT(MAX(ROW(E4356:E$2)*(E4357=E4356:E$2)))))</f>
        <v> </v>
      </c>
      <c r="J4357" s="25" t="str">
        <f>IF(OR(E4357="",E4357="!!!",F4357="NEW"),"",COUNTBLANK(OFFSET(A$1,,,SUMPRODUCT(MAX(ROW(E$2:E4357)*(E4357=E$2:E4357)))))-COUNTBLANK(OFFSET(A$1,,,SUMPRODUCT(MAX(ROW(E$1:E4356)*(E2=E$1:E4356))))))</f>
        <v> </v>
      </c>
      <c r="K4357" s="25" t="str">
        <f>IF(OR(E4357="",E4357="!!!",F4357="NEW"),"",INDEX(J$1:J4356,SUMPRODUCT(MAX(ROW(E$1:E4356)*(E4357=E$1:E4356)))))</f>
        <v> </v>
      </c>
      <c r="L4357" s="26"/>
    </row>
    <row r="4358" spans="1:12">
      <c r="A4358" s="20" t="s">
        <v>1078</v>
      </c>
      <c r="E4358" s="21">
        <f>IF(D4358="?OLD","!!!","")</f>
        <v/>
      </c>
      <c r="F4358" s="22" t="str">
        <f>IF(OR(E4358="",E4358="!!!"),"",IF(NOT(ISNA(VLOOKUP(E4358,E$1:E4357,1,FALSE()))),"OLD",IF(AND(E4358&lt;&gt;"",E4358&lt;&gt;"!!!"),"NEW","")))</f>
        <v> </v>
      </c>
      <c r="G4358" s="23" t="str">
        <f>IF(OR(E4358="",E4358="!!!"),"",IF(OR(J4358=0,AND(J4358=1,K4358=1),AND(J4358=1,I4358="SBJ"),AND(J4358=1,I4358=0)),"?IN_FOCUS",IF(J4358&lt;=2,"?ACTIVATED",IF(J4358&lt;&gt;"","?FAMILIAR",IF(F4358="NEW",IF(ISNA(VLOOKUP(E4358,#REF!,1,FALSE())),"?TYPE_IDENTIFIABLE","?REFERENTIAL"),"_")))))</f>
        <v> </v>
      </c>
      <c r="H4358" s="24" t="str">
        <f>IF(J4358&lt;&gt;1,"",IF(I4358="SBJ","CB","?"))</f>
        <v> </v>
      </c>
      <c r="I4358" s="25" t="str">
        <f>IF(OR(E4358="",E4358="!!!",F4358="NEW"),"",INDEX(B4357:B$2,-1+SUMPRODUCT(MAX(ROW(E4357:E$2)*(E4358=E4357:E$2)))))</f>
        <v> </v>
      </c>
      <c r="J4358" s="25" t="str">
        <f>IF(OR(E4358="",E4358="!!!",F4358="NEW"),"",COUNTBLANK(OFFSET(A$1,,,SUMPRODUCT(MAX(ROW(E$2:E4358)*(E4358=E$2:E4358)))))-COUNTBLANK(OFFSET(A$1,,,SUMPRODUCT(MAX(ROW(E$1:E4357)*(E2=E$1:E4357))))))</f>
        <v> </v>
      </c>
      <c r="K4358" s="25" t="str">
        <f>IF(OR(E4358="",E4358="!!!",F4358="NEW"),"",INDEX(J$1:J4357,SUMPRODUCT(MAX(ROW(E$1:E4357)*(E4358=E$1:E4357)))))</f>
        <v> </v>
      </c>
      <c r="L4358" s="26"/>
    </row>
    <row r="4359" spans="1:12">
      <c r="A4359" s="20" t="s">
        <v>746</v>
      </c>
      <c r="E4359" s="21">
        <f>IF(D4359="?OLD","!!!","")</f>
        <v/>
      </c>
      <c r="F4359" s="22" t="str">
        <f>IF(OR(E4359="",E4359="!!!"),"",IF(NOT(ISNA(VLOOKUP(E4359,E$1:E4358,1,FALSE()))),"OLD",IF(AND(E4359&lt;&gt;"",E4359&lt;&gt;"!!!"),"NEW","")))</f>
        <v> </v>
      </c>
      <c r="G4359" s="23" t="str">
        <f>IF(OR(E4359="",E4359="!!!"),"",IF(OR(J4359=0,AND(J4359=1,K4359=1),AND(J4359=1,I4359="SBJ"),AND(J4359=1,I4359=0)),"?IN_FOCUS",IF(J4359&lt;=2,"?ACTIVATED",IF(J4359&lt;&gt;"","?FAMILIAR",IF(F4359="NEW",IF(ISNA(VLOOKUP(E4359,#REF!,1,FALSE())),"?TYPE_IDENTIFIABLE","?REFERENTIAL"),"_")))))</f>
        <v> </v>
      </c>
      <c r="H4359" s="24" t="str">
        <f>IF(J4359&lt;&gt;1,"",IF(I4359="SBJ","CB","?"))</f>
        <v> </v>
      </c>
      <c r="I4359" s="25" t="str">
        <f>IF(OR(E4359="",E4359="!!!",F4359="NEW"),"",INDEX(B4358:B$2,-1+SUMPRODUCT(MAX(ROW(E4358:E$2)*(E4359=E4358:E$2)))))</f>
        <v> </v>
      </c>
      <c r="J4359" s="25" t="str">
        <f>IF(OR(E4359="",E4359="!!!",F4359="NEW"),"",COUNTBLANK(OFFSET(A$1,,,SUMPRODUCT(MAX(ROW(E$2:E4359)*(E4359=E$2:E4359)))))-COUNTBLANK(OFFSET(A$1,,,SUMPRODUCT(MAX(ROW(E$1:E4358)*(E2=E$1:E4358))))))</f>
        <v> </v>
      </c>
      <c r="K4359" s="25" t="str">
        <f>IF(OR(E4359="",E4359="!!!",F4359="NEW"),"",INDEX(J$1:J4358,SUMPRODUCT(MAX(ROW(E$1:E4358)*(E4359=E$1:E4358)))))</f>
        <v> </v>
      </c>
      <c r="L4359" s="26"/>
    </row>
    <row r="4360" spans="1:12">
      <c r="A4360" s="20"/>
    </row>
    <row r="4361" spans="1:12">
      <c r="A4361" s="20" t="s">
        <v>2012</v>
      </c>
    </row>
    <row r="4362" spans="1:12">
      <c r="A4362" s="20" t="s">
        <v>813</v>
      </c>
      <c r="E4362" s="21">
        <f>IF(D4362="?OLD","!!!","")</f>
        <v/>
      </c>
      <c r="F4362" s="22" t="str">
        <f>IF(OR(E4362="",E4362="!!!"),"",IF(NOT(ISNA(VLOOKUP(E4362,E$1:E4361,1,FALSE()))),"OLD",IF(AND(E4362&lt;&gt;"",E4362&lt;&gt;"!!!"),"NEW","")))</f>
        <v> </v>
      </c>
      <c r="G4362" s="23" t="str">
        <f>IF(OR(E4362="",E4362="!!!"),"",IF(OR(J4362=0,AND(J4362=1,K4362=1),AND(J4362=1,I4362="SBJ"),AND(J4362=1,I4362=0)),"?IN_FOCUS",IF(J4362&lt;=2,"?ACTIVATED",IF(J4362&lt;&gt;"","?FAMILIAR",IF(F4362="NEW",IF(ISNA(VLOOKUP(E4362,#REF!,1,FALSE())),"?TYPE_IDENTIFIABLE","?REFERENTIAL"),"_")))))</f>
        <v> </v>
      </c>
      <c r="H4362" s="24" t="str">
        <f>IF(J4362&lt;&gt;1,"",IF(I4362="SBJ","CB","?"))</f>
        <v> </v>
      </c>
      <c r="I4362" s="25" t="str">
        <f>IF(OR(E4362="",E4362="!!!",F4362="NEW"),"",INDEX(B4361:B$2,-1+SUMPRODUCT(MAX(ROW(E4361:E$2)*(E4362=E4361:E$2)))))</f>
        <v> </v>
      </c>
      <c r="J4362" s="25" t="str">
        <f>IF(OR(E4362="",E4362="!!!",F4362="NEW"),"",COUNTBLANK(OFFSET(A$1,,,SUMPRODUCT(MAX(ROW(E$2:E4362)*(E4362=E$2:E4362)))))-COUNTBLANK(OFFSET(A$1,,,SUMPRODUCT(MAX(ROW(E$1:E4361)*(E2=E$1:E4361))))))</f>
        <v> </v>
      </c>
      <c r="K4362" s="25" t="str">
        <f>IF(OR(E4362="",E4362="!!!",F4362="NEW"),"",INDEX(J$1:J4361,SUMPRODUCT(MAX(ROW(E$1:E4361)*(E4362=E$1:E4361)))))</f>
        <v> </v>
      </c>
      <c r="L4362" s="26"/>
    </row>
    <row r="4363" spans="1:12">
      <c r="A4363" s="20" t="s">
        <v>1260</v>
      </c>
      <c r="B4363" s="27" t="s">
        <v>728</v>
      </c>
      <c r="C4363" s="27" t="s">
        <v>749</v>
      </c>
      <c r="D4363" s="27" t="s">
        <v>740</v>
      </c>
      <c r="E4363" s="21">
        <f>IF(D4363="?OLD","!!!","")</f>
        <v/>
      </c>
      <c r="F4363" s="22" t="str">
        <f>IF(OR(E4363="",E4363="!!!"),"",IF(NOT(ISNA(VLOOKUP(E4363,E$1:E4362,1,FALSE()))),"OLD",IF(AND(E4363&lt;&gt;"",E4363&lt;&gt;"!!!"),"NEW","")))</f>
        <v> </v>
      </c>
      <c r="G4363" s="23" t="str">
        <f>IF(OR(E4363="",E4363="!!!"),"",IF(OR(J4363=0,AND(J4363=1,K4363=1),AND(J4363=1,I4363="SBJ"),AND(J4363=1,I4363=0)),"?IN_FOCUS",IF(J4363&lt;=2,"?ACTIVATED",IF(J4363&lt;&gt;"","?FAMILIAR",IF(F4363="NEW",IF(ISNA(VLOOKUP(E4363,#REF!,1,FALSE())),"?TYPE_IDENTIFIABLE","?REFERENTIAL"),"_")))))</f>
        <v> </v>
      </c>
      <c r="H4363" s="24" t="str">
        <f>IF(J4363&lt;&gt;1,"",IF(I4363="SBJ","CB","?"))</f>
        <v> </v>
      </c>
      <c r="I4363" s="25" t="str">
        <f>IF(OR(E4363="",E4363="!!!",F4363="NEW"),"",INDEX(B4362:B$2,-1+SUMPRODUCT(MAX(ROW(E4362:E$2)*(E4363=E4362:E$2)))))</f>
        <v> </v>
      </c>
      <c r="J4363" s="25" t="str">
        <f>IF(OR(E4363="",E4363="!!!",F4363="NEW"),"",COUNTBLANK(OFFSET(A$1,,,SUMPRODUCT(MAX(ROW(E$2:E4363)*(E4363=E$2:E4363)))))-COUNTBLANK(OFFSET(A$1,,,SUMPRODUCT(MAX(ROW(E$1:E4362)*(E2=E$1:E4362))))))</f>
        <v> </v>
      </c>
      <c r="K4363" s="25" t="str">
        <f>IF(OR(E4363="",E4363="!!!",F4363="NEW"),"",INDEX(J$1:J4362,SUMPRODUCT(MAX(ROW(E$1:E4362)*(E4363=E$1:E4362)))))</f>
        <v> </v>
      </c>
      <c r="L4363" s="26"/>
    </row>
    <row r="4364" spans="1:12">
      <c r="A4364" s="20" t="s">
        <v>947</v>
      </c>
      <c r="E4364" s="21">
        <f>IF(D4364="?OLD","!!!","")</f>
        <v/>
      </c>
      <c r="F4364" s="22" t="str">
        <f>IF(OR(E4364="",E4364="!!!"),"",IF(NOT(ISNA(VLOOKUP(E4364,E$1:E4363,1,FALSE()))),"OLD",IF(AND(E4364&lt;&gt;"",E4364&lt;&gt;"!!!"),"NEW","")))</f>
        <v> </v>
      </c>
      <c r="G4364" s="23" t="str">
        <f>IF(OR(E4364="",E4364="!!!"),"",IF(OR(J4364=0,AND(J4364=1,K4364=1),AND(J4364=1,I4364="SBJ"),AND(J4364=1,I4364=0)),"?IN_FOCUS",IF(J4364&lt;=2,"?ACTIVATED",IF(J4364&lt;&gt;"","?FAMILIAR",IF(F4364="NEW",IF(ISNA(VLOOKUP(E4364,#REF!,1,FALSE())),"?TYPE_IDENTIFIABLE","?REFERENTIAL"),"_")))))</f>
        <v> </v>
      </c>
      <c r="H4364" s="24" t="str">
        <f>IF(J4364&lt;&gt;1,"",IF(I4364="SBJ","CB","?"))</f>
        <v> </v>
      </c>
      <c r="I4364" s="25" t="str">
        <f>IF(OR(E4364="",E4364="!!!",F4364="NEW"),"",INDEX(B4363:B$2,-1+SUMPRODUCT(MAX(ROW(E4363:E$2)*(E4364=E4363:E$2)))))</f>
        <v> </v>
      </c>
      <c r="J4364" s="25" t="str">
        <f>IF(OR(E4364="",E4364="!!!",F4364="NEW"),"",COUNTBLANK(OFFSET(A$1,,,SUMPRODUCT(MAX(ROW(E$2:E4364)*(E4364=E$2:E4364)))))-COUNTBLANK(OFFSET(A$1,,,SUMPRODUCT(MAX(ROW(E$1:E4363)*(E2=E$1:E4363))))))</f>
        <v> </v>
      </c>
      <c r="K4364" s="25" t="str">
        <f>IF(OR(E4364="",E4364="!!!",F4364="NEW"),"",INDEX(J$1:J4363,SUMPRODUCT(MAX(ROW(E$1:E4363)*(E4364=E$1:E4363)))))</f>
        <v> </v>
      </c>
      <c r="L4364" s="26"/>
    </row>
    <row r="4365" spans="1:12">
      <c r="A4365" s="20" t="s">
        <v>863</v>
      </c>
      <c r="E4365" s="21">
        <f>IF(D4365="?OLD","!!!","")</f>
        <v/>
      </c>
      <c r="F4365" s="22" t="str">
        <f>IF(OR(E4365="",E4365="!!!"),"",IF(NOT(ISNA(VLOOKUP(E4365,E$1:E4364,1,FALSE()))),"OLD",IF(AND(E4365&lt;&gt;"",E4365&lt;&gt;"!!!"),"NEW","")))</f>
        <v> </v>
      </c>
      <c r="G4365" s="23" t="str">
        <f>IF(OR(E4365="",E4365="!!!"),"",IF(OR(J4365=0,AND(J4365=1,K4365=1),AND(J4365=1,I4365="SBJ"),AND(J4365=1,I4365=0)),"?IN_FOCUS",IF(J4365&lt;=2,"?ACTIVATED",IF(J4365&lt;&gt;"","?FAMILIAR",IF(F4365="NEW",IF(ISNA(VLOOKUP(E4365,#REF!,1,FALSE())),"?TYPE_IDENTIFIABLE","?REFERENTIAL"),"_")))))</f>
        <v> </v>
      </c>
      <c r="H4365" s="24" t="str">
        <f>IF(J4365&lt;&gt;1,"",IF(I4365="SBJ","CB","?"))</f>
        <v> </v>
      </c>
      <c r="I4365" s="25" t="str">
        <f>IF(OR(E4365="",E4365="!!!",F4365="NEW"),"",INDEX(B4364:B$2,-1+SUMPRODUCT(MAX(ROW(E4364:E$2)*(E4365=E4364:E$2)))))</f>
        <v> </v>
      </c>
      <c r="J4365" s="25" t="str">
        <f>IF(OR(E4365="",E4365="!!!",F4365="NEW"),"",COUNTBLANK(OFFSET(A$1,,,SUMPRODUCT(MAX(ROW(E$2:E4365)*(E4365=E$2:E4365)))))-COUNTBLANK(OFFSET(A$1,,,SUMPRODUCT(MAX(ROW(E$1:E4364)*(E2=E$1:E4364))))))</f>
        <v> </v>
      </c>
      <c r="K4365" s="25" t="str">
        <f>IF(OR(E4365="",E4365="!!!",F4365="NEW"),"",INDEX(J$1:J4364,SUMPRODUCT(MAX(ROW(E$1:E4364)*(E4365=E$1:E4364)))))</f>
        <v> </v>
      </c>
      <c r="L4365" s="26"/>
    </row>
    <row r="4366" spans="1:12">
      <c r="A4366" s="20" t="s">
        <v>1266</v>
      </c>
      <c r="E4366" s="21">
        <f>IF(D4366="?OLD","!!!","")</f>
        <v/>
      </c>
      <c r="F4366" s="22" t="str">
        <f>IF(OR(E4366="",E4366="!!!"),"",IF(NOT(ISNA(VLOOKUP(E4366,E$1:E4365,1,FALSE()))),"OLD",IF(AND(E4366&lt;&gt;"",E4366&lt;&gt;"!!!"),"NEW","")))</f>
        <v> </v>
      </c>
      <c r="G4366" s="23" t="str">
        <f>IF(OR(E4366="",E4366="!!!"),"",IF(OR(J4366=0,AND(J4366=1,K4366=1),AND(J4366=1,I4366="SBJ"),AND(J4366=1,I4366=0)),"?IN_FOCUS",IF(J4366&lt;=2,"?ACTIVATED",IF(J4366&lt;&gt;"","?FAMILIAR",IF(F4366="NEW",IF(ISNA(VLOOKUP(E4366,#REF!,1,FALSE())),"?TYPE_IDENTIFIABLE","?REFERENTIAL"),"_")))))</f>
        <v> </v>
      </c>
      <c r="H4366" s="24" t="str">
        <f>IF(J4366&lt;&gt;1,"",IF(I4366="SBJ","CB","?"))</f>
        <v> </v>
      </c>
      <c r="I4366" s="25" t="str">
        <f>IF(OR(E4366="",E4366="!!!",F4366="NEW"),"",INDEX(B4365:B$2,-1+SUMPRODUCT(MAX(ROW(E4365:E$2)*(E4366=E4365:E$2)))))</f>
        <v> </v>
      </c>
      <c r="J4366" s="25" t="str">
        <f>IF(OR(E4366="",E4366="!!!",F4366="NEW"),"",COUNTBLANK(OFFSET(A$1,,,SUMPRODUCT(MAX(ROW(E$2:E4366)*(E4366=E$2:E4366)))))-COUNTBLANK(OFFSET(A$1,,,SUMPRODUCT(MAX(ROW(E$1:E4365)*(E2=E$1:E4365))))))</f>
        <v> </v>
      </c>
      <c r="K4366" s="25" t="str">
        <f>IF(OR(E4366="",E4366="!!!",F4366="NEW"),"",INDEX(J$1:J4365,SUMPRODUCT(MAX(ROW(E$1:E4365)*(E4366=E$1:E4365)))))</f>
        <v> </v>
      </c>
      <c r="L4366" s="26"/>
    </row>
    <row r="4367" spans="1:12">
      <c r="A4367" s="20" t="s">
        <v>2013</v>
      </c>
      <c r="E4367" s="21">
        <f>IF(D4367="?OLD","!!!","")</f>
        <v/>
      </c>
      <c r="F4367" s="22" t="str">
        <f>IF(OR(E4367="",E4367="!!!"),"",IF(NOT(ISNA(VLOOKUP(E4367,E$1:E4366,1,FALSE()))),"OLD",IF(AND(E4367&lt;&gt;"",E4367&lt;&gt;"!!!"),"NEW","")))</f>
        <v> </v>
      </c>
      <c r="G4367" s="23" t="str">
        <f>IF(OR(E4367="",E4367="!!!"),"",IF(OR(J4367=0,AND(J4367=1,K4367=1),AND(J4367=1,I4367="SBJ"),AND(J4367=1,I4367=0)),"?IN_FOCUS",IF(J4367&lt;=2,"?ACTIVATED",IF(J4367&lt;&gt;"","?FAMILIAR",IF(F4367="NEW",IF(ISNA(VLOOKUP(E4367,#REF!,1,FALSE())),"?TYPE_IDENTIFIABLE","?REFERENTIAL"),"_")))))</f>
        <v> </v>
      </c>
      <c r="H4367" s="24" t="str">
        <f>IF(J4367&lt;&gt;1,"",IF(I4367="SBJ","CB","?"))</f>
        <v> </v>
      </c>
      <c r="I4367" s="25" t="str">
        <f>IF(OR(E4367="",E4367="!!!",F4367="NEW"),"",INDEX(B4366:B$2,-1+SUMPRODUCT(MAX(ROW(E4366:E$2)*(E4367=E4366:E$2)))))</f>
        <v> </v>
      </c>
      <c r="J4367" s="25" t="str">
        <f>IF(OR(E4367="",E4367="!!!",F4367="NEW"),"",COUNTBLANK(OFFSET(A$1,,,SUMPRODUCT(MAX(ROW(E$2:E4367)*(E4367=E$2:E4367)))))-COUNTBLANK(OFFSET(A$1,,,SUMPRODUCT(MAX(ROW(E$1:E4366)*(E2=E$1:E4366))))))</f>
        <v> </v>
      </c>
      <c r="K4367" s="25" t="str">
        <f>IF(OR(E4367="",E4367="!!!",F4367="NEW"),"",INDEX(J$1:J4366,SUMPRODUCT(MAX(ROW(E$1:E4366)*(E4367=E$1:E4366)))))</f>
        <v> </v>
      </c>
      <c r="L4367" s="26"/>
    </row>
    <row r="4368" spans="1:12">
      <c r="A4368" s="20" t="s">
        <v>1787</v>
      </c>
      <c r="B4368" s="27" t="s">
        <v>738</v>
      </c>
      <c r="C4368" s="27" t="s">
        <v>744</v>
      </c>
      <c r="E4368" s="21">
        <f>IF(D4368="?OLD","!!!","")</f>
        <v/>
      </c>
      <c r="F4368" s="22" t="str">
        <f>IF(OR(E4368="",E4368="!!!"),"",IF(NOT(ISNA(VLOOKUP(E4368,E$1:E4367,1,FALSE()))),"OLD",IF(AND(E4368&lt;&gt;"",E4368&lt;&gt;"!!!"),"NEW","")))</f>
        <v> </v>
      </c>
      <c r="G4368" s="23" t="str">
        <f>IF(OR(E4368="",E4368="!!!"),"",IF(OR(J4368=0,AND(J4368=1,K4368=1),AND(J4368=1,I4368="SBJ"),AND(J4368=1,I4368=0)),"?IN_FOCUS",IF(J4368&lt;=2,"?ACTIVATED",IF(J4368&lt;&gt;"","?FAMILIAR",IF(F4368="NEW",IF(ISNA(VLOOKUP(E4368,#REF!,1,FALSE())),"?TYPE_IDENTIFIABLE","?REFERENTIAL"),"_")))))</f>
        <v> </v>
      </c>
      <c r="H4368" s="24" t="str">
        <f>IF(J4368&lt;&gt;1,"",IF(I4368="SBJ","CB","?"))</f>
        <v> </v>
      </c>
      <c r="I4368" s="25" t="str">
        <f>IF(OR(E4368="",E4368="!!!",F4368="NEW"),"",INDEX(B4367:B$2,-1+SUMPRODUCT(MAX(ROW(E4367:E$2)*(E4368=E4367:E$2)))))</f>
        <v> </v>
      </c>
      <c r="J4368" s="25" t="str">
        <f>IF(OR(E4368="",E4368="!!!",F4368="NEW"),"",COUNTBLANK(OFFSET(A$1,,,SUMPRODUCT(MAX(ROW(E$2:E4368)*(E4368=E$2:E4368)))))-COUNTBLANK(OFFSET(A$1,,,SUMPRODUCT(MAX(ROW(E$1:E4367)*(E2=E$1:E4367))))))</f>
        <v> </v>
      </c>
      <c r="K4368" s="25" t="str">
        <f>IF(OR(E4368="",E4368="!!!",F4368="NEW"),"",INDEX(J$1:J4367,SUMPRODUCT(MAX(ROW(E$1:E4367)*(E4368=E$1:E4367)))))</f>
        <v> </v>
      </c>
      <c r="L4368" s="26"/>
    </row>
    <row r="4369" spans="1:12">
      <c r="A4369" s="20" t="s">
        <v>753</v>
      </c>
      <c r="E4369" s="21">
        <f>IF(D4369="?OLD","!!!","")</f>
        <v/>
      </c>
      <c r="F4369" s="22" t="str">
        <f>IF(OR(E4369="",E4369="!!!"),"",IF(NOT(ISNA(VLOOKUP(E4369,E$1:E4368,1,FALSE()))),"OLD",IF(AND(E4369&lt;&gt;"",E4369&lt;&gt;"!!!"),"NEW","")))</f>
        <v> </v>
      </c>
      <c r="G4369" s="23" t="str">
        <f>IF(OR(E4369="",E4369="!!!"),"",IF(OR(J4369=0,AND(J4369=1,K4369=1),AND(J4369=1,I4369="SBJ"),AND(J4369=1,I4369=0)),"?IN_FOCUS",IF(J4369&lt;=2,"?ACTIVATED",IF(J4369&lt;&gt;"","?FAMILIAR",IF(F4369="NEW",IF(ISNA(VLOOKUP(E4369,#REF!,1,FALSE())),"?TYPE_IDENTIFIABLE","?REFERENTIAL"),"_")))))</f>
        <v> </v>
      </c>
      <c r="H4369" s="24" t="str">
        <f>IF(J4369&lt;&gt;1,"",IF(I4369="SBJ","CB","?"))</f>
        <v> </v>
      </c>
      <c r="I4369" s="25" t="str">
        <f>IF(OR(E4369="",E4369="!!!",F4369="NEW"),"",INDEX(B4368:B$2,-1+SUMPRODUCT(MAX(ROW(E4368:E$2)*(E4369=E4368:E$2)))))</f>
        <v> </v>
      </c>
      <c r="J4369" s="25" t="str">
        <f>IF(OR(E4369="",E4369="!!!",F4369="NEW"),"",COUNTBLANK(OFFSET(A$1,,,SUMPRODUCT(MAX(ROW(E$2:E4369)*(E4369=E$2:E4369)))))-COUNTBLANK(OFFSET(A$1,,,SUMPRODUCT(MAX(ROW(E$1:E4368)*(E2=E$1:E4368))))))</f>
        <v> </v>
      </c>
      <c r="K4369" s="25" t="str">
        <f>IF(OR(E4369="",E4369="!!!",F4369="NEW"),"",INDEX(J$1:J4368,SUMPRODUCT(MAX(ROW(E$1:E4368)*(E4369=E$1:E4368)))))</f>
        <v> </v>
      </c>
      <c r="L4369" s="26"/>
    </row>
    <row r="4370" spans="1:12">
      <c r="A4370" s="20" t="s">
        <v>794</v>
      </c>
      <c r="B4370" s="27" t="s">
        <v>738</v>
      </c>
      <c r="C4370" s="27" t="s">
        <v>775</v>
      </c>
      <c r="D4370" s="27" t="s">
        <v>740</v>
      </c>
      <c r="E4370" s="21">
        <f>IF(D4370="?OLD","!!!","")</f>
        <v/>
      </c>
      <c r="F4370" s="22" t="str">
        <f>IF(OR(E4370="",E4370="!!!"),"",IF(NOT(ISNA(VLOOKUP(E4370,E$1:E4369,1,FALSE()))),"OLD",IF(AND(E4370&lt;&gt;"",E4370&lt;&gt;"!!!"),"NEW","")))</f>
        <v> </v>
      </c>
      <c r="G4370" s="23" t="str">
        <f>IF(OR(E4370="",E4370="!!!"),"",IF(OR(J4370=0,AND(J4370=1,K4370=1),AND(J4370=1,I4370="SBJ"),AND(J4370=1,I4370=0)),"?IN_FOCUS",IF(J4370&lt;=2,"?ACTIVATED",IF(J4370&lt;&gt;"","?FAMILIAR",IF(F4370="NEW",IF(ISNA(VLOOKUP(E4370,#REF!,1,FALSE())),"?TYPE_IDENTIFIABLE","?REFERENTIAL"),"_")))))</f>
        <v> </v>
      </c>
      <c r="H4370" s="24" t="str">
        <f>IF(J4370&lt;&gt;1,"",IF(I4370="SBJ","CB","?"))</f>
        <v> </v>
      </c>
      <c r="I4370" s="25" t="str">
        <f>IF(OR(E4370="",E4370="!!!",F4370="NEW"),"",INDEX(B4369:B$2,-1+SUMPRODUCT(MAX(ROW(E4369:E$2)*(E4370=E4369:E$2)))))</f>
        <v> </v>
      </c>
      <c r="J4370" s="25" t="str">
        <f>IF(OR(E4370="",E4370="!!!",F4370="NEW"),"",COUNTBLANK(OFFSET(A$1,,,SUMPRODUCT(MAX(ROW(E$2:E4370)*(E4370=E$2:E4370)))))-COUNTBLANK(OFFSET(A$1,,,SUMPRODUCT(MAX(ROW(E$1:E4369)*(E2=E$1:E4369))))))</f>
        <v> </v>
      </c>
      <c r="K4370" s="25" t="str">
        <f>IF(OR(E4370="",E4370="!!!",F4370="NEW"),"",INDEX(J$1:J4369,SUMPRODUCT(MAX(ROW(E$1:E4369)*(E4370=E$1:E4369)))))</f>
        <v> </v>
      </c>
      <c r="L4370" s="26"/>
    </row>
    <row r="4371" spans="1:12">
      <c r="A4371" s="20" t="s">
        <v>753</v>
      </c>
      <c r="E4371" s="21">
        <f>IF(D4371="?OLD","!!!","")</f>
        <v/>
      </c>
      <c r="F4371" s="22" t="str">
        <f>IF(OR(E4371="",E4371="!!!"),"",IF(NOT(ISNA(VLOOKUP(E4371,E$1:E4370,1,FALSE()))),"OLD",IF(AND(E4371&lt;&gt;"",E4371&lt;&gt;"!!!"),"NEW","")))</f>
        <v> </v>
      </c>
      <c r="G4371" s="23" t="str">
        <f>IF(OR(E4371="",E4371="!!!"),"",IF(OR(J4371=0,AND(J4371=1,K4371=1),AND(J4371=1,I4371="SBJ"),AND(J4371=1,I4371=0)),"?IN_FOCUS",IF(J4371&lt;=2,"?ACTIVATED",IF(J4371&lt;&gt;"","?FAMILIAR",IF(F4371="NEW",IF(ISNA(VLOOKUP(E4371,#REF!,1,FALSE())),"?TYPE_IDENTIFIABLE","?REFERENTIAL"),"_")))))</f>
        <v> </v>
      </c>
      <c r="H4371" s="24" t="str">
        <f>IF(J4371&lt;&gt;1,"",IF(I4371="SBJ","CB","?"))</f>
        <v> </v>
      </c>
      <c r="I4371" s="25" t="str">
        <f>IF(OR(E4371="",E4371="!!!",F4371="NEW"),"",INDEX(B4370:B$2,-1+SUMPRODUCT(MAX(ROW(E4370:E$2)*(E4371=E4370:E$2)))))</f>
        <v> </v>
      </c>
      <c r="J4371" s="25" t="str">
        <f>IF(OR(E4371="",E4371="!!!",F4371="NEW"),"",COUNTBLANK(OFFSET(A$1,,,SUMPRODUCT(MAX(ROW(E$2:E4371)*(E4371=E$2:E4371)))))-COUNTBLANK(OFFSET(A$1,,,SUMPRODUCT(MAX(ROW(E$1:E4370)*(E2=E$1:E4370))))))</f>
        <v> </v>
      </c>
      <c r="K4371" s="25" t="str">
        <f>IF(OR(E4371="",E4371="!!!",F4371="NEW"),"",INDEX(J$1:J4370,SUMPRODUCT(MAX(ROW(E$1:E4370)*(E4371=E$1:E4370)))))</f>
        <v> </v>
      </c>
      <c r="L4371" s="26"/>
    </row>
    <row r="4372" spans="1:12">
      <c r="A4372" s="20" t="s">
        <v>830</v>
      </c>
      <c r="E4372" s="21">
        <f>IF(D4372="?OLD","!!!","")</f>
        <v/>
      </c>
      <c r="F4372" s="22" t="str">
        <f>IF(OR(E4372="",E4372="!!!"),"",IF(NOT(ISNA(VLOOKUP(E4372,E$1:E4371,1,FALSE()))),"OLD",IF(AND(E4372&lt;&gt;"",E4372&lt;&gt;"!!!"),"NEW","")))</f>
        <v> </v>
      </c>
      <c r="G4372" s="23" t="str">
        <f>IF(OR(E4372="",E4372="!!!"),"",IF(OR(J4372=0,AND(J4372=1,K4372=1),AND(J4372=1,I4372="SBJ"),AND(J4372=1,I4372=0)),"?IN_FOCUS",IF(J4372&lt;=2,"?ACTIVATED",IF(J4372&lt;&gt;"","?FAMILIAR",IF(F4372="NEW",IF(ISNA(VLOOKUP(E4372,#REF!,1,FALSE())),"?TYPE_IDENTIFIABLE","?REFERENTIAL"),"_")))))</f>
        <v> </v>
      </c>
      <c r="H4372" s="24" t="str">
        <f>IF(J4372&lt;&gt;1,"",IF(I4372="SBJ","CB","?"))</f>
        <v> </v>
      </c>
      <c r="I4372" s="25" t="str">
        <f>IF(OR(E4372="",E4372="!!!",F4372="NEW"),"",INDEX(B4371:B$2,-1+SUMPRODUCT(MAX(ROW(E4371:E$2)*(E4372=E4371:E$2)))))</f>
        <v> </v>
      </c>
      <c r="J4372" s="25" t="str">
        <f>IF(OR(E4372="",E4372="!!!",F4372="NEW"),"",COUNTBLANK(OFFSET(A$1,,,SUMPRODUCT(MAX(ROW(E$2:E4372)*(E4372=E$2:E4372)))))-COUNTBLANK(OFFSET(A$1,,,SUMPRODUCT(MAX(ROW(E$1:E4371)*(E2=E$1:E4371))))))</f>
        <v> </v>
      </c>
      <c r="K4372" s="25" t="str">
        <f>IF(OR(E4372="",E4372="!!!",F4372="NEW"),"",INDEX(J$1:J4371,SUMPRODUCT(MAX(ROW(E$1:E4371)*(E4372=E$1:E4371)))))</f>
        <v> </v>
      </c>
      <c r="L4372" s="26"/>
    </row>
    <row r="4373" spans="1:12">
      <c r="A4373" s="20" t="s">
        <v>774</v>
      </c>
      <c r="B4373" s="27" t="s">
        <v>771</v>
      </c>
      <c r="C4373" s="27" t="s">
        <v>775</v>
      </c>
      <c r="D4373" s="27" t="s">
        <v>740</v>
      </c>
      <c r="E4373" s="21">
        <f>IF(D4373="?OLD","!!!","")</f>
        <v/>
      </c>
      <c r="F4373" s="22" t="str">
        <f>IF(OR(E4373="",E4373="!!!"),"",IF(NOT(ISNA(VLOOKUP(E4373,E$1:E4372,1,FALSE()))),"OLD",IF(AND(E4373&lt;&gt;"",E4373&lt;&gt;"!!!"),"NEW","")))</f>
        <v> </v>
      </c>
      <c r="G4373" s="23" t="str">
        <f>IF(OR(E4373="",E4373="!!!"),"",IF(OR(J4373=0,AND(J4373=1,K4373=1),AND(J4373=1,I4373="SBJ"),AND(J4373=1,I4373=0)),"?IN_FOCUS",IF(J4373&lt;=2,"?ACTIVATED",IF(J4373&lt;&gt;"","?FAMILIAR",IF(F4373="NEW",IF(ISNA(VLOOKUP(E4373,#REF!,1,FALSE())),"?TYPE_IDENTIFIABLE","?REFERENTIAL"),"_")))))</f>
        <v> </v>
      </c>
      <c r="H4373" s="24" t="str">
        <f>IF(J4373&lt;&gt;1,"",IF(I4373="SBJ","CB","?"))</f>
        <v> </v>
      </c>
      <c r="I4373" s="25" t="str">
        <f>IF(OR(E4373="",E4373="!!!",F4373="NEW"),"",INDEX(B4372:B$2,-1+SUMPRODUCT(MAX(ROW(E4372:E$2)*(E4373=E4372:E$2)))))</f>
        <v> </v>
      </c>
      <c r="J4373" s="25" t="str">
        <f>IF(OR(E4373="",E4373="!!!",F4373="NEW"),"",COUNTBLANK(OFFSET(A$1,,,SUMPRODUCT(MAX(ROW(E$2:E4373)*(E4373=E$2:E4373)))))-COUNTBLANK(OFFSET(A$1,,,SUMPRODUCT(MAX(ROW(E$1:E4372)*(E2=E$1:E4372))))))</f>
        <v> </v>
      </c>
      <c r="K4373" s="25" t="str">
        <f>IF(OR(E4373="",E4373="!!!",F4373="NEW"),"",INDEX(J$1:J4372,SUMPRODUCT(MAX(ROW(E$1:E4372)*(E4373=E$1:E4372)))))</f>
        <v> </v>
      </c>
      <c r="L4373" s="26"/>
    </row>
    <row r="4374" spans="1:12">
      <c r="A4374" s="20" t="s">
        <v>874</v>
      </c>
      <c r="E4374" s="21">
        <f>IF(D4374="?OLD","!!!","")</f>
        <v/>
      </c>
      <c r="F4374" s="22" t="str">
        <f>IF(OR(E4374="",E4374="!!!"),"",IF(NOT(ISNA(VLOOKUP(E4374,E$1:E4373,1,FALSE()))),"OLD",IF(AND(E4374&lt;&gt;"",E4374&lt;&gt;"!!!"),"NEW","")))</f>
        <v> </v>
      </c>
      <c r="G4374" s="23" t="str">
        <f>IF(OR(E4374="",E4374="!!!"),"",IF(OR(J4374=0,AND(J4374=1,K4374=1),AND(J4374=1,I4374="SBJ"),AND(J4374=1,I4374=0)),"?IN_FOCUS",IF(J4374&lt;=2,"?ACTIVATED",IF(J4374&lt;&gt;"","?FAMILIAR",IF(F4374="NEW",IF(ISNA(VLOOKUP(E4374,#REF!,1,FALSE())),"?TYPE_IDENTIFIABLE","?REFERENTIAL"),"_")))))</f>
        <v> </v>
      </c>
      <c r="H4374" s="24" t="str">
        <f>IF(J4374&lt;&gt;1,"",IF(I4374="SBJ","CB","?"))</f>
        <v> </v>
      </c>
      <c r="I4374" s="25" t="str">
        <f>IF(OR(E4374="",E4374="!!!",F4374="NEW"),"",INDEX(B4373:B$2,-1+SUMPRODUCT(MAX(ROW(E4373:E$2)*(E4374=E4373:E$2)))))</f>
        <v> </v>
      </c>
      <c r="J4374" s="25" t="str">
        <f>IF(OR(E4374="",E4374="!!!",F4374="NEW"),"",COUNTBLANK(OFFSET(A$1,,,SUMPRODUCT(MAX(ROW(E$2:E4374)*(E4374=E$2:E4374)))))-COUNTBLANK(OFFSET(A$1,,,SUMPRODUCT(MAX(ROW(E$1:E4373)*(E2=E$1:E4373))))))</f>
        <v> </v>
      </c>
      <c r="K4374" s="25" t="str">
        <f>IF(OR(E4374="",E4374="!!!",F4374="NEW"),"",INDEX(J$1:J4373,SUMPRODUCT(MAX(ROW(E$1:E4373)*(E4374=E$1:E4373)))))</f>
        <v> </v>
      </c>
      <c r="L4374" s="26"/>
    </row>
    <row r="4375" spans="1:12">
      <c r="A4375" s="20" t="s">
        <v>753</v>
      </c>
      <c r="E4375" s="21">
        <f>IF(D4375="?OLD","!!!","")</f>
        <v/>
      </c>
      <c r="F4375" s="22" t="str">
        <f>IF(OR(E4375="",E4375="!!!"),"",IF(NOT(ISNA(VLOOKUP(E4375,E$1:E4374,1,FALSE()))),"OLD",IF(AND(E4375&lt;&gt;"",E4375&lt;&gt;"!!!"),"NEW","")))</f>
        <v> </v>
      </c>
      <c r="G4375" s="23" t="str">
        <f>IF(OR(E4375="",E4375="!!!"),"",IF(OR(J4375=0,AND(J4375=1,K4375=1),AND(J4375=1,I4375="SBJ"),AND(J4375=1,I4375=0)),"?IN_FOCUS",IF(J4375&lt;=2,"?ACTIVATED",IF(J4375&lt;&gt;"","?FAMILIAR",IF(F4375="NEW",IF(ISNA(VLOOKUP(E4375,#REF!,1,FALSE())),"?TYPE_IDENTIFIABLE","?REFERENTIAL"),"_")))))</f>
        <v> </v>
      </c>
      <c r="H4375" s="24" t="str">
        <f>IF(J4375&lt;&gt;1,"",IF(I4375="SBJ","CB","?"))</f>
        <v> </v>
      </c>
      <c r="I4375" s="25" t="str">
        <f>IF(OR(E4375="",E4375="!!!",F4375="NEW"),"",INDEX(B4374:B$2,-1+SUMPRODUCT(MAX(ROW(E4374:E$2)*(E4375=E4374:E$2)))))</f>
        <v> </v>
      </c>
      <c r="J4375" s="25" t="str">
        <f>IF(OR(E4375="",E4375="!!!",F4375="NEW"),"",COUNTBLANK(OFFSET(A$1,,,SUMPRODUCT(MAX(ROW(E$2:E4375)*(E4375=E$2:E4375)))))-COUNTBLANK(OFFSET(A$1,,,SUMPRODUCT(MAX(ROW(E$1:E4374)*(E2=E$1:E4374))))))</f>
        <v> </v>
      </c>
      <c r="K4375" s="25" t="str">
        <f>IF(OR(E4375="",E4375="!!!",F4375="NEW"),"",INDEX(J$1:J4374,SUMPRODUCT(MAX(ROW(E$1:E4374)*(E4375=E$1:E4374)))))</f>
        <v> </v>
      </c>
      <c r="L4375" s="26"/>
    </row>
    <row r="4376" spans="1:12">
      <c r="A4376" s="20" t="s">
        <v>955</v>
      </c>
      <c r="E4376" s="21">
        <f>IF(D4376="?OLD","!!!","")</f>
        <v/>
      </c>
      <c r="F4376" s="22" t="str">
        <f>IF(OR(E4376="",E4376="!!!"),"",IF(NOT(ISNA(VLOOKUP(E4376,E$1:E4375,1,FALSE()))),"OLD",IF(AND(E4376&lt;&gt;"",E4376&lt;&gt;"!!!"),"NEW","")))</f>
        <v> </v>
      </c>
      <c r="G4376" s="23" t="str">
        <f>IF(OR(E4376="",E4376="!!!"),"",IF(OR(J4376=0,AND(J4376=1,K4376=1),AND(J4376=1,I4376="SBJ"),AND(J4376=1,I4376=0)),"?IN_FOCUS",IF(J4376&lt;=2,"?ACTIVATED",IF(J4376&lt;&gt;"","?FAMILIAR",IF(F4376="NEW",IF(ISNA(VLOOKUP(E4376,#REF!,1,FALSE())),"?TYPE_IDENTIFIABLE","?REFERENTIAL"),"_")))))</f>
        <v> </v>
      </c>
      <c r="H4376" s="24" t="str">
        <f>IF(J4376&lt;&gt;1,"",IF(I4376="SBJ","CB","?"))</f>
        <v> </v>
      </c>
      <c r="I4376" s="25" t="str">
        <f>IF(OR(E4376="",E4376="!!!",F4376="NEW"),"",INDEX(B4375:B$2,-1+SUMPRODUCT(MAX(ROW(E4375:E$2)*(E4376=E4375:E$2)))))</f>
        <v> </v>
      </c>
      <c r="J4376" s="25" t="str">
        <f>IF(OR(E4376="",E4376="!!!",F4376="NEW"),"",COUNTBLANK(OFFSET(A$1,,,SUMPRODUCT(MAX(ROW(E$2:E4376)*(E4376=E$2:E4376)))))-COUNTBLANK(OFFSET(A$1,,,SUMPRODUCT(MAX(ROW(E$1:E4375)*(E2=E$1:E4375))))))</f>
        <v> </v>
      </c>
      <c r="K4376" s="25" t="str">
        <f>IF(OR(E4376="",E4376="!!!",F4376="NEW"),"",INDEX(J$1:J4375,SUMPRODUCT(MAX(ROW(E$1:E4375)*(E4376=E$1:E4375)))))</f>
        <v> </v>
      </c>
      <c r="L4376" s="26"/>
    </row>
    <row r="4377" spans="1:12">
      <c r="A4377" s="20" t="s">
        <v>863</v>
      </c>
      <c r="E4377" s="21">
        <f>IF(D4377="?OLD","!!!","")</f>
        <v/>
      </c>
      <c r="F4377" s="22" t="str">
        <f>IF(OR(E4377="",E4377="!!!"),"",IF(NOT(ISNA(VLOOKUP(E4377,E$1:E4376,1,FALSE()))),"OLD",IF(AND(E4377&lt;&gt;"",E4377&lt;&gt;"!!!"),"NEW","")))</f>
        <v> </v>
      </c>
      <c r="G4377" s="23" t="str">
        <f>IF(OR(E4377="",E4377="!!!"),"",IF(OR(J4377=0,AND(J4377=1,K4377=1),AND(J4377=1,I4377="SBJ"),AND(J4377=1,I4377=0)),"?IN_FOCUS",IF(J4377&lt;=2,"?ACTIVATED",IF(J4377&lt;&gt;"","?FAMILIAR",IF(F4377="NEW",IF(ISNA(VLOOKUP(E4377,#REF!,1,FALSE())),"?TYPE_IDENTIFIABLE","?REFERENTIAL"),"_")))))</f>
        <v> </v>
      </c>
      <c r="H4377" s="24" t="str">
        <f>IF(J4377&lt;&gt;1,"",IF(I4377="SBJ","CB","?"))</f>
        <v> </v>
      </c>
      <c r="I4377" s="25" t="str">
        <f>IF(OR(E4377="",E4377="!!!",F4377="NEW"),"",INDEX(B4376:B$2,-1+SUMPRODUCT(MAX(ROW(E4376:E$2)*(E4377=E4376:E$2)))))</f>
        <v> </v>
      </c>
      <c r="J4377" s="25" t="str">
        <f>IF(OR(E4377="",E4377="!!!",F4377="NEW"),"",COUNTBLANK(OFFSET(A$1,,,SUMPRODUCT(MAX(ROW(E$2:E4377)*(E4377=E$2:E4377)))))-COUNTBLANK(OFFSET(A$1,,,SUMPRODUCT(MAX(ROW(E$1:E4376)*(E2=E$1:E4376))))))</f>
        <v> </v>
      </c>
      <c r="K4377" s="25" t="str">
        <f>IF(OR(E4377="",E4377="!!!",F4377="NEW"),"",INDEX(J$1:J4376,SUMPRODUCT(MAX(ROW(E$1:E4376)*(E4377=E$1:E4376)))))</f>
        <v> </v>
      </c>
      <c r="L4377" s="26"/>
    </row>
    <row r="4378" spans="1:12">
      <c r="A4378" s="20" t="s">
        <v>2014</v>
      </c>
      <c r="B4378" s="27" t="s">
        <v>733</v>
      </c>
      <c r="C4378" s="27" t="s">
        <v>744</v>
      </c>
      <c r="E4378" s="21">
        <f>IF(D4378="?OLD","!!!","")</f>
        <v/>
      </c>
      <c r="F4378" s="22" t="str">
        <f>IF(OR(E4378="",E4378="!!!"),"",IF(NOT(ISNA(VLOOKUP(E4378,E$1:E4377,1,FALSE()))),"OLD",IF(AND(E4378&lt;&gt;"",E4378&lt;&gt;"!!!"),"NEW","")))</f>
        <v> </v>
      </c>
      <c r="G4378" s="23" t="str">
        <f>IF(OR(E4378="",E4378="!!!"),"",IF(OR(J4378=0,AND(J4378=1,K4378=1),AND(J4378=1,I4378="SBJ"),AND(J4378=1,I4378=0)),"?IN_FOCUS",IF(J4378&lt;=2,"?ACTIVATED",IF(J4378&lt;&gt;"","?FAMILIAR",IF(F4378="NEW",IF(ISNA(VLOOKUP(E4378,#REF!,1,FALSE())),"?TYPE_IDENTIFIABLE","?REFERENTIAL"),"_")))))</f>
        <v> </v>
      </c>
      <c r="H4378" s="24" t="str">
        <f>IF(J4378&lt;&gt;1,"",IF(I4378="SBJ","CB","?"))</f>
        <v> </v>
      </c>
      <c r="I4378" s="25" t="str">
        <f>IF(OR(E4378="",E4378="!!!",F4378="NEW"),"",INDEX(B4377:B$2,-1+SUMPRODUCT(MAX(ROW(E4377:E$2)*(E4378=E4377:E$2)))))</f>
        <v> </v>
      </c>
      <c r="J4378" s="25" t="str">
        <f>IF(OR(E4378="",E4378="!!!",F4378="NEW"),"",COUNTBLANK(OFFSET(A$1,,,SUMPRODUCT(MAX(ROW(E$2:E4378)*(E4378=E$2:E4378)))))-COUNTBLANK(OFFSET(A$1,,,SUMPRODUCT(MAX(ROW(E$1:E4377)*(E2=E$1:E4377))))))</f>
        <v> </v>
      </c>
      <c r="K4378" s="25" t="str">
        <f>IF(OR(E4378="",E4378="!!!",F4378="NEW"),"",INDEX(J$1:J4377,SUMPRODUCT(MAX(ROW(E$1:E4377)*(E4378=E$1:E4377)))))</f>
        <v> </v>
      </c>
      <c r="L4378" s="26"/>
    </row>
    <row r="4379" spans="1:12">
      <c r="A4379" s="20" t="s">
        <v>2015</v>
      </c>
      <c r="E4379" s="21">
        <f>IF(D4379="?OLD","!!!","")</f>
        <v/>
      </c>
      <c r="F4379" s="22" t="str">
        <f>IF(OR(E4379="",E4379="!!!"),"",IF(NOT(ISNA(VLOOKUP(E4379,E$1:E4378,1,FALSE()))),"OLD",IF(AND(E4379&lt;&gt;"",E4379&lt;&gt;"!!!"),"NEW","")))</f>
        <v> </v>
      </c>
      <c r="G4379" s="23" t="str">
        <f>IF(OR(E4379="",E4379="!!!"),"",IF(OR(J4379=0,AND(J4379=1,K4379=1),AND(J4379=1,I4379="SBJ"),AND(J4379=1,I4379=0)),"?IN_FOCUS",IF(J4379&lt;=2,"?ACTIVATED",IF(J4379&lt;&gt;"","?FAMILIAR",IF(F4379="NEW",IF(ISNA(VLOOKUP(E4379,#REF!,1,FALSE())),"?TYPE_IDENTIFIABLE","?REFERENTIAL"),"_")))))</f>
        <v> </v>
      </c>
      <c r="H4379" s="24" t="str">
        <f>IF(J4379&lt;&gt;1,"",IF(I4379="SBJ","CB","?"))</f>
        <v> </v>
      </c>
      <c r="I4379" s="25" t="str">
        <f>IF(OR(E4379="",E4379="!!!",F4379="NEW"),"",INDEX(B4378:B$2,-1+SUMPRODUCT(MAX(ROW(E4378:E$2)*(E4379=E4378:E$2)))))</f>
        <v> </v>
      </c>
      <c r="J4379" s="25" t="str">
        <f>IF(OR(E4379="",E4379="!!!",F4379="NEW"),"",COUNTBLANK(OFFSET(A$1,,,SUMPRODUCT(MAX(ROW(E$2:E4379)*(E4379=E$2:E4379)))))-COUNTBLANK(OFFSET(A$1,,,SUMPRODUCT(MAX(ROW(E$1:E4378)*(E2=E$1:E4378))))))</f>
        <v> </v>
      </c>
      <c r="K4379" s="25" t="str">
        <f>IF(OR(E4379="",E4379="!!!",F4379="NEW"),"",INDEX(J$1:J4378,SUMPRODUCT(MAX(ROW(E$1:E4378)*(E4379=E$1:E4378)))))</f>
        <v> </v>
      </c>
      <c r="L4379" s="26"/>
    </row>
    <row r="4380" spans="1:12">
      <c r="A4380" s="20" t="s">
        <v>1574</v>
      </c>
      <c r="E4380" s="21">
        <f>IF(D4380="?OLD","!!!","")</f>
        <v/>
      </c>
      <c r="F4380" s="22" t="str">
        <f>IF(OR(E4380="",E4380="!!!"),"",IF(NOT(ISNA(VLOOKUP(E4380,E$1:E4379,1,FALSE()))),"OLD",IF(AND(E4380&lt;&gt;"",E4380&lt;&gt;"!!!"),"NEW","")))</f>
        <v> </v>
      </c>
      <c r="G4380" s="23" t="str">
        <f>IF(OR(E4380="",E4380="!!!"),"",IF(OR(J4380=0,AND(J4380=1,K4380=1),AND(J4380=1,I4380="SBJ"),AND(J4380=1,I4380=0)),"?IN_FOCUS",IF(J4380&lt;=2,"?ACTIVATED",IF(J4380&lt;&gt;"","?FAMILIAR",IF(F4380="NEW",IF(ISNA(VLOOKUP(E4380,#REF!,1,FALSE())),"?TYPE_IDENTIFIABLE","?REFERENTIAL"),"_")))))</f>
        <v> </v>
      </c>
      <c r="H4380" s="24" t="str">
        <f>IF(J4380&lt;&gt;1,"",IF(I4380="SBJ","CB","?"))</f>
        <v> </v>
      </c>
      <c r="I4380" s="25" t="str">
        <f>IF(OR(E4380="",E4380="!!!",F4380="NEW"),"",INDEX(B4379:B$2,-1+SUMPRODUCT(MAX(ROW(E4379:E$2)*(E4380=E4379:E$2)))))</f>
        <v> </v>
      </c>
      <c r="J4380" s="25" t="str">
        <f>IF(OR(E4380="",E4380="!!!",F4380="NEW"),"",COUNTBLANK(OFFSET(A$1,,,SUMPRODUCT(MAX(ROW(E$2:E4380)*(E4380=E$2:E4380)))))-COUNTBLANK(OFFSET(A$1,,,SUMPRODUCT(MAX(ROW(E$1:E4379)*(E2=E$1:E4379))))))</f>
        <v> </v>
      </c>
      <c r="K4380" s="25" t="str">
        <f>IF(OR(E4380="",E4380="!!!",F4380="NEW"),"",INDEX(J$1:J4379,SUMPRODUCT(MAX(ROW(E$1:E4379)*(E4380=E$1:E4379)))))</f>
        <v> </v>
      </c>
      <c r="L4380" s="26"/>
    </row>
    <row r="4381" spans="1:12">
      <c r="A4381" s="20" t="s">
        <v>746</v>
      </c>
      <c r="E4381" s="21">
        <f>IF(D4381="?OLD","!!!","")</f>
        <v/>
      </c>
      <c r="F4381" s="22" t="str">
        <f>IF(OR(E4381="",E4381="!!!"),"",IF(NOT(ISNA(VLOOKUP(E4381,E$1:E4380,1,FALSE()))),"OLD",IF(AND(E4381&lt;&gt;"",E4381&lt;&gt;"!!!"),"NEW","")))</f>
        <v> </v>
      </c>
      <c r="G4381" s="23" t="str">
        <f>IF(OR(E4381="",E4381="!!!"),"",IF(OR(J4381=0,AND(J4381=1,K4381=1),AND(J4381=1,I4381="SBJ"),AND(J4381=1,I4381=0)),"?IN_FOCUS",IF(J4381&lt;=2,"?ACTIVATED",IF(J4381&lt;&gt;"","?FAMILIAR",IF(F4381="NEW",IF(ISNA(VLOOKUP(E4381,#REF!,1,FALSE())),"?TYPE_IDENTIFIABLE","?REFERENTIAL"),"_")))))</f>
        <v> </v>
      </c>
      <c r="H4381" s="24" t="str">
        <f>IF(J4381&lt;&gt;1,"",IF(I4381="SBJ","CB","?"))</f>
        <v> </v>
      </c>
      <c r="I4381" s="25" t="str">
        <f>IF(OR(E4381="",E4381="!!!",F4381="NEW"),"",INDEX(B4380:B$2,-1+SUMPRODUCT(MAX(ROW(E4380:E$2)*(E4381=E4380:E$2)))))</f>
        <v> </v>
      </c>
      <c r="J4381" s="25" t="str">
        <f>IF(OR(E4381="",E4381="!!!",F4381="NEW"),"",COUNTBLANK(OFFSET(A$1,,,SUMPRODUCT(MAX(ROW(E$2:E4381)*(E4381=E$2:E4381)))))-COUNTBLANK(OFFSET(A$1,,,SUMPRODUCT(MAX(ROW(E$1:E4380)*(E2=E$1:E4380))))))</f>
        <v> </v>
      </c>
      <c r="K4381" s="25" t="str">
        <f>IF(OR(E4381="",E4381="!!!",F4381="NEW"),"",INDEX(J$1:J4380,SUMPRODUCT(MAX(ROW(E$1:E4380)*(E4381=E$1:E4380)))))</f>
        <v> </v>
      </c>
      <c r="L4381" s="26"/>
    </row>
    <row r="4382" spans="1:12">
      <c r="A4382" s="20"/>
    </row>
    <row r="4383" spans="1:12">
      <c r="A4383" s="20" t="s">
        <v>2016</v>
      </c>
    </row>
    <row r="4384" spans="1:12">
      <c r="A4384" s="20" t="s">
        <v>813</v>
      </c>
      <c r="E4384" s="21">
        <f>IF(D4384="?OLD","!!!","")</f>
        <v/>
      </c>
      <c r="F4384" s="22" t="str">
        <f>IF(OR(E4384="",E4384="!!!"),"",IF(NOT(ISNA(VLOOKUP(E4384,E$1:E4383,1,FALSE()))),"OLD",IF(AND(E4384&lt;&gt;"",E4384&lt;&gt;"!!!"),"NEW","")))</f>
        <v> </v>
      </c>
      <c r="G4384" s="23" t="str">
        <f>IF(OR(E4384="",E4384="!!!"),"",IF(OR(J4384=0,AND(J4384=1,K4384=1),AND(J4384=1,I4384="SBJ"),AND(J4384=1,I4384=0)),"?IN_FOCUS",IF(J4384&lt;=2,"?ACTIVATED",IF(J4384&lt;&gt;"","?FAMILIAR",IF(F4384="NEW",IF(ISNA(VLOOKUP(E4384,#REF!,1,FALSE())),"?TYPE_IDENTIFIABLE","?REFERENTIAL"),"_")))))</f>
        <v> </v>
      </c>
      <c r="H4384" s="24" t="str">
        <f>IF(J4384&lt;&gt;1,"",IF(I4384="SBJ","CB","?"))</f>
        <v> </v>
      </c>
      <c r="I4384" s="25" t="str">
        <f>IF(OR(E4384="",E4384="!!!",F4384="NEW"),"",INDEX(B4383:B$2,-1+SUMPRODUCT(MAX(ROW(E4383:E$2)*(E4384=E4383:E$2)))))</f>
        <v> </v>
      </c>
      <c r="J4384" s="25" t="str">
        <f>IF(OR(E4384="",E4384="!!!",F4384="NEW"),"",COUNTBLANK(OFFSET(A$1,,,SUMPRODUCT(MAX(ROW(E$2:E4384)*(E4384=E$2:E4384)))))-COUNTBLANK(OFFSET(A$1,,,SUMPRODUCT(MAX(ROW(E$1:E4383)*(E2=E$1:E4383))))))</f>
        <v> </v>
      </c>
      <c r="K4384" s="25" t="str">
        <f>IF(OR(E4384="",E4384="!!!",F4384="NEW"),"",INDEX(J$1:J4383,SUMPRODUCT(MAX(ROW(E$1:E4383)*(E4384=E$1:E4383)))))</f>
        <v> </v>
      </c>
      <c r="L4384" s="26"/>
    </row>
    <row r="4385" spans="1:12">
      <c r="A4385" s="20" t="s">
        <v>783</v>
      </c>
      <c r="E4385" s="21">
        <f>IF(D4385="?OLD","!!!","")</f>
        <v/>
      </c>
      <c r="F4385" s="22" t="str">
        <f>IF(OR(E4385="",E4385="!!!"),"",IF(NOT(ISNA(VLOOKUP(E4385,E$1:E4384,1,FALSE()))),"OLD",IF(AND(E4385&lt;&gt;"",E4385&lt;&gt;"!!!"),"NEW","")))</f>
        <v> </v>
      </c>
      <c r="G4385" s="23" t="str">
        <f>IF(OR(E4385="",E4385="!!!"),"",IF(OR(J4385=0,AND(J4385=1,K4385=1),AND(J4385=1,I4385="SBJ"),AND(J4385=1,I4385=0)),"?IN_FOCUS",IF(J4385&lt;=2,"?ACTIVATED",IF(J4385&lt;&gt;"","?FAMILIAR",IF(F4385="NEW",IF(ISNA(VLOOKUP(E4385,#REF!,1,FALSE())),"?TYPE_IDENTIFIABLE","?REFERENTIAL"),"_")))))</f>
        <v> </v>
      </c>
      <c r="H4385" s="24" t="str">
        <f>IF(J4385&lt;&gt;1,"",IF(I4385="SBJ","CB","?"))</f>
        <v> </v>
      </c>
      <c r="I4385" s="25" t="str">
        <f>IF(OR(E4385="",E4385="!!!",F4385="NEW"),"",INDEX(B4384:B$2,-1+SUMPRODUCT(MAX(ROW(E4384:E$2)*(E4385=E4384:E$2)))))</f>
        <v> </v>
      </c>
      <c r="J4385" s="25" t="str">
        <f>IF(OR(E4385="",E4385="!!!",F4385="NEW"),"",COUNTBLANK(OFFSET(A$1,,,SUMPRODUCT(MAX(ROW(E$2:E4385)*(E4385=E$2:E4385)))))-COUNTBLANK(OFFSET(A$1,,,SUMPRODUCT(MAX(ROW(E$1:E4384)*(E2=E$1:E4384))))))</f>
        <v> </v>
      </c>
      <c r="K4385" s="25" t="str">
        <f>IF(OR(E4385="",E4385="!!!",F4385="NEW"),"",INDEX(J$1:J4384,SUMPRODUCT(MAX(ROW(E$1:E4384)*(E4385=E$1:E4384)))))</f>
        <v> </v>
      </c>
      <c r="L4385" s="26"/>
    </row>
    <row r="4386" spans="1:12">
      <c r="A4386" s="20" t="s">
        <v>774</v>
      </c>
      <c r="B4386" s="27" t="s">
        <v>771</v>
      </c>
      <c r="C4386" s="27" t="s">
        <v>775</v>
      </c>
      <c r="D4386" s="27" t="s">
        <v>740</v>
      </c>
      <c r="E4386" s="21">
        <f>IF(D4386="?OLD","!!!","")</f>
        <v/>
      </c>
      <c r="F4386" s="22" t="str">
        <f>IF(OR(E4386="",E4386="!!!"),"",IF(NOT(ISNA(VLOOKUP(E4386,E$1:E4385,1,FALSE()))),"OLD",IF(AND(E4386&lt;&gt;"",E4386&lt;&gt;"!!!"),"NEW","")))</f>
        <v> </v>
      </c>
      <c r="G4386" s="23" t="str">
        <f>IF(OR(E4386="",E4386="!!!"),"",IF(OR(J4386=0,AND(J4386=1,K4386=1),AND(J4386=1,I4386="SBJ"),AND(J4386=1,I4386=0)),"?IN_FOCUS",IF(J4386&lt;=2,"?ACTIVATED",IF(J4386&lt;&gt;"","?FAMILIAR",IF(F4386="NEW",IF(ISNA(VLOOKUP(E4386,#REF!,1,FALSE())),"?TYPE_IDENTIFIABLE","?REFERENTIAL"),"_")))))</f>
        <v> </v>
      </c>
      <c r="H4386" s="24" t="str">
        <f>IF(J4386&lt;&gt;1,"",IF(I4386="SBJ","CB","?"))</f>
        <v> </v>
      </c>
      <c r="I4386" s="25" t="str">
        <f>IF(OR(E4386="",E4386="!!!",F4386="NEW"),"",INDEX(B4385:B$2,-1+SUMPRODUCT(MAX(ROW(E4385:E$2)*(E4386=E4385:E$2)))))</f>
        <v> </v>
      </c>
      <c r="J4386" s="25" t="str">
        <f>IF(OR(E4386="",E4386="!!!",F4386="NEW"),"",COUNTBLANK(OFFSET(A$1,,,SUMPRODUCT(MAX(ROW(E$2:E4386)*(E4386=E$2:E4386)))))-COUNTBLANK(OFFSET(A$1,,,SUMPRODUCT(MAX(ROW(E$1:E4385)*(E2=E$1:E4385))))))</f>
        <v> </v>
      </c>
      <c r="K4386" s="25" t="str">
        <f>IF(OR(E4386="",E4386="!!!",F4386="NEW"),"",INDEX(J$1:J4385,SUMPRODUCT(MAX(ROW(E$1:E4385)*(E4386=E$1:E4385)))))</f>
        <v> </v>
      </c>
      <c r="L4386" s="26"/>
    </row>
    <row r="4387" spans="1:12">
      <c r="A4387" s="20" t="s">
        <v>1020</v>
      </c>
      <c r="B4387" s="27" t="s">
        <v>779</v>
      </c>
      <c r="C4387" s="27" t="s">
        <v>749</v>
      </c>
      <c r="D4387" s="27" t="s">
        <v>740</v>
      </c>
      <c r="E4387" s="21">
        <f>IF(D4387="?OLD","!!!","")</f>
        <v/>
      </c>
      <c r="F4387" s="22" t="str">
        <f>IF(OR(E4387="",E4387="!!!"),"",IF(NOT(ISNA(VLOOKUP(E4387,E$1:E4386,1,FALSE()))),"OLD",IF(AND(E4387&lt;&gt;"",E4387&lt;&gt;"!!!"),"NEW","")))</f>
        <v> </v>
      </c>
      <c r="G4387" s="23" t="str">
        <f>IF(OR(E4387="",E4387="!!!"),"",IF(OR(J4387=0,AND(J4387=1,K4387=1),AND(J4387=1,I4387="SBJ"),AND(J4387=1,I4387=0)),"?IN_FOCUS",IF(J4387&lt;=2,"?ACTIVATED",IF(J4387&lt;&gt;"","?FAMILIAR",IF(F4387="NEW",IF(ISNA(VLOOKUP(E4387,#REF!,1,FALSE())),"?TYPE_IDENTIFIABLE","?REFERENTIAL"),"_")))))</f>
        <v> </v>
      </c>
      <c r="H4387" s="24" t="str">
        <f>IF(J4387&lt;&gt;1,"",IF(I4387="SBJ","CB","?"))</f>
        <v> </v>
      </c>
      <c r="I4387" s="25" t="str">
        <f>IF(OR(E4387="",E4387="!!!",F4387="NEW"),"",INDEX(B4386:B$2,-1+SUMPRODUCT(MAX(ROW(E4386:E$2)*(E4387=E4386:E$2)))))</f>
        <v> </v>
      </c>
      <c r="J4387" s="25" t="str">
        <f>IF(OR(E4387="",E4387="!!!",F4387="NEW"),"",COUNTBLANK(OFFSET(A$1,,,SUMPRODUCT(MAX(ROW(E$2:E4387)*(E4387=E$2:E4387)))))-COUNTBLANK(OFFSET(A$1,,,SUMPRODUCT(MAX(ROW(E$1:E4386)*(E2=E$1:E4386))))))</f>
        <v> </v>
      </c>
      <c r="K4387" s="25" t="str">
        <f>IF(OR(E4387="",E4387="!!!",F4387="NEW"),"",INDEX(J$1:J4386,SUMPRODUCT(MAX(ROW(E$1:E4386)*(E4387=E$1:E4386)))))</f>
        <v> </v>
      </c>
      <c r="L4387" s="26"/>
    </row>
    <row r="4388" spans="1:12">
      <c r="A4388" s="20" t="s">
        <v>1410</v>
      </c>
      <c r="B4388" s="27" t="s">
        <v>777</v>
      </c>
      <c r="C4388" s="27" t="s">
        <v>772</v>
      </c>
      <c r="E4388" s="21">
        <f>IF(D4388="?OLD","!!!","")</f>
        <v/>
      </c>
      <c r="F4388" s="22" t="str">
        <f>IF(OR(E4388="",E4388="!!!"),"",IF(NOT(ISNA(VLOOKUP(E4388,E$1:E4387,1,FALSE()))),"OLD",IF(AND(E4388&lt;&gt;"",E4388&lt;&gt;"!!!"),"NEW","")))</f>
        <v> </v>
      </c>
      <c r="G4388" s="23" t="str">
        <f>IF(OR(E4388="",E4388="!!!"),"",IF(OR(J4388=0,AND(J4388=1,K4388=1),AND(J4388=1,I4388="SBJ"),AND(J4388=1,I4388=0)),"?IN_FOCUS",IF(J4388&lt;=2,"?ACTIVATED",IF(J4388&lt;&gt;"","?FAMILIAR",IF(F4388="NEW",IF(ISNA(VLOOKUP(E4388,#REF!,1,FALSE())),"?TYPE_IDENTIFIABLE","?REFERENTIAL"),"_")))))</f>
        <v> </v>
      </c>
      <c r="H4388" s="24" t="str">
        <f>IF(J4388&lt;&gt;1,"",IF(I4388="SBJ","CB","?"))</f>
        <v> </v>
      </c>
      <c r="I4388" s="25" t="str">
        <f>IF(OR(E4388="",E4388="!!!",F4388="NEW"),"",INDEX(B4387:B$2,-1+SUMPRODUCT(MAX(ROW(E4387:E$2)*(E4388=E4387:E$2)))))</f>
        <v> </v>
      </c>
      <c r="J4388" s="25" t="str">
        <f>IF(OR(E4388="",E4388="!!!",F4388="NEW"),"",COUNTBLANK(OFFSET(A$1,,,SUMPRODUCT(MAX(ROW(E$2:E4388)*(E4388=E$2:E4388)))))-COUNTBLANK(OFFSET(A$1,,,SUMPRODUCT(MAX(ROW(E$1:E4387)*(E2=E$1:E4387))))))</f>
        <v> </v>
      </c>
      <c r="K4388" s="25" t="str">
        <f>IF(OR(E4388="",E4388="!!!",F4388="NEW"),"",INDEX(J$1:J4387,SUMPRODUCT(MAX(ROW(E$1:E4387)*(E4388=E$1:E4387)))))</f>
        <v> </v>
      </c>
      <c r="L4388" s="26"/>
    </row>
    <row r="4389" spans="1:12">
      <c r="A4389" s="20" t="s">
        <v>1110</v>
      </c>
      <c r="B4389" s="27" t="s">
        <v>777</v>
      </c>
      <c r="C4389" s="27" t="s">
        <v>792</v>
      </c>
      <c r="D4389" s="27" t="s">
        <v>740</v>
      </c>
      <c r="E4389" s="21">
        <f>IF(D4389="?OLD","!!!","")</f>
        <v/>
      </c>
      <c r="F4389" s="22" t="str">
        <f>IF(OR(E4389="",E4389="!!!"),"",IF(NOT(ISNA(VLOOKUP(E4389,E$1:E4388,1,FALSE()))),"OLD",IF(AND(E4389&lt;&gt;"",E4389&lt;&gt;"!!!"),"NEW","")))</f>
        <v> </v>
      </c>
      <c r="G4389" s="23" t="str">
        <f>IF(OR(E4389="",E4389="!!!"),"",IF(OR(J4389=0,AND(J4389=1,K4389=1),AND(J4389=1,I4389="SBJ"),AND(J4389=1,I4389=0)),"?IN_FOCUS",IF(J4389&lt;=2,"?ACTIVATED",IF(J4389&lt;&gt;"","?FAMILIAR",IF(F4389="NEW",IF(ISNA(VLOOKUP(E4389,#REF!,1,FALSE())),"?TYPE_IDENTIFIABLE","?REFERENTIAL"),"_")))))</f>
        <v> </v>
      </c>
      <c r="H4389" s="24" t="str">
        <f>IF(J4389&lt;&gt;1,"",IF(I4389="SBJ","CB","?"))</f>
        <v> </v>
      </c>
      <c r="I4389" s="25" t="str">
        <f>IF(OR(E4389="",E4389="!!!",F4389="NEW"),"",INDEX(B4388:B$2,-1+SUMPRODUCT(MAX(ROW(E4388:E$2)*(E4389=E4388:E$2)))))</f>
        <v> </v>
      </c>
      <c r="J4389" s="25" t="str">
        <f>IF(OR(E4389="",E4389="!!!",F4389="NEW"),"",COUNTBLANK(OFFSET(A$1,,,SUMPRODUCT(MAX(ROW(E$2:E4389)*(E4389=E$2:E4389)))))-COUNTBLANK(OFFSET(A$1,,,SUMPRODUCT(MAX(ROW(E$1:E4388)*(E2=E$1:E4388))))))</f>
        <v> </v>
      </c>
      <c r="K4389" s="25" t="str">
        <f>IF(OR(E4389="",E4389="!!!",F4389="NEW"),"",INDEX(J$1:J4388,SUMPRODUCT(MAX(ROW(E$1:E4388)*(E4389=E$1:E4388)))))</f>
        <v> </v>
      </c>
      <c r="L4389" s="26"/>
    </row>
    <row r="4390" spans="1:12">
      <c r="A4390" s="20" t="s">
        <v>1152</v>
      </c>
      <c r="B4390" s="27" t="s">
        <v>779</v>
      </c>
      <c r="C4390" s="27" t="s">
        <v>908</v>
      </c>
      <c r="D4390" s="27" t="s">
        <v>740</v>
      </c>
      <c r="E4390" s="21">
        <f>IF(D4390="?OLD","!!!","")</f>
        <v/>
      </c>
      <c r="F4390" s="22" t="str">
        <f>IF(OR(E4390="",E4390="!!!"),"",IF(NOT(ISNA(VLOOKUP(E4390,E$1:E4389,1,FALSE()))),"OLD",IF(AND(E4390&lt;&gt;"",E4390&lt;&gt;"!!!"),"NEW","")))</f>
        <v> </v>
      </c>
      <c r="G4390" s="23" t="str">
        <f>IF(OR(E4390="",E4390="!!!"),"",IF(OR(J4390=0,AND(J4390=1,K4390=1),AND(J4390=1,I4390="SBJ"),AND(J4390=1,I4390=0)),"?IN_FOCUS",IF(J4390&lt;=2,"?ACTIVATED",IF(J4390&lt;&gt;"","?FAMILIAR",IF(F4390="NEW",IF(ISNA(VLOOKUP(E4390,#REF!,1,FALSE())),"?TYPE_IDENTIFIABLE","?REFERENTIAL"),"_")))))</f>
        <v> </v>
      </c>
      <c r="H4390" s="24" t="str">
        <f>IF(J4390&lt;&gt;1,"",IF(I4390="SBJ","CB","?"))</f>
        <v> </v>
      </c>
      <c r="I4390" s="25" t="str">
        <f>IF(OR(E4390="",E4390="!!!",F4390="NEW"),"",INDEX(B4389:B$2,-1+SUMPRODUCT(MAX(ROW(E4389:E$2)*(E4390=E4389:E$2)))))</f>
        <v> </v>
      </c>
      <c r="J4390" s="25" t="str">
        <f>IF(OR(E4390="",E4390="!!!",F4390="NEW"),"",COUNTBLANK(OFFSET(A$1,,,SUMPRODUCT(MAX(ROW(E$2:E4390)*(E4390=E$2:E4390)))))-COUNTBLANK(OFFSET(A$1,,,SUMPRODUCT(MAX(ROW(E$1:E4389)*(E2=E$1:E4389))))))</f>
        <v> </v>
      </c>
      <c r="K4390" s="25" t="str">
        <f>IF(OR(E4390="",E4390="!!!",F4390="NEW"),"",INDEX(J$1:J4389,SUMPRODUCT(MAX(ROW(E$1:E4389)*(E4390=E$1:E4389)))))</f>
        <v> </v>
      </c>
      <c r="L4390" s="26"/>
    </row>
    <row r="4391" spans="1:12">
      <c r="A4391" s="20" t="s">
        <v>1359</v>
      </c>
      <c r="E4391" s="21">
        <f>IF(D4391="?OLD","!!!","")</f>
        <v/>
      </c>
      <c r="F4391" s="22" t="str">
        <f>IF(OR(E4391="",E4391="!!!"),"",IF(NOT(ISNA(VLOOKUP(E4391,E$1:E4390,1,FALSE()))),"OLD",IF(AND(E4391&lt;&gt;"",E4391&lt;&gt;"!!!"),"NEW","")))</f>
        <v> </v>
      </c>
      <c r="G4391" s="23" t="str">
        <f>IF(OR(E4391="",E4391="!!!"),"",IF(OR(J4391=0,AND(J4391=1,K4391=1),AND(J4391=1,I4391="SBJ"),AND(J4391=1,I4391=0)),"?IN_FOCUS",IF(J4391&lt;=2,"?ACTIVATED",IF(J4391&lt;&gt;"","?FAMILIAR",IF(F4391="NEW",IF(ISNA(VLOOKUP(E4391,#REF!,1,FALSE())),"?TYPE_IDENTIFIABLE","?REFERENTIAL"),"_")))))</f>
        <v> </v>
      </c>
      <c r="H4391" s="24" t="str">
        <f>IF(J4391&lt;&gt;1,"",IF(I4391="SBJ","CB","?"))</f>
        <v> </v>
      </c>
      <c r="I4391" s="25" t="str">
        <f>IF(OR(E4391="",E4391="!!!",F4391="NEW"),"",INDEX(B4390:B$2,-1+SUMPRODUCT(MAX(ROW(E4390:E$2)*(E4391=E4390:E$2)))))</f>
        <v> </v>
      </c>
      <c r="J4391" s="25" t="str">
        <f>IF(OR(E4391="",E4391="!!!",F4391="NEW"),"",COUNTBLANK(OFFSET(A$1,,,SUMPRODUCT(MAX(ROW(E$2:E4391)*(E4391=E$2:E4391)))))-COUNTBLANK(OFFSET(A$1,,,SUMPRODUCT(MAX(ROW(E$1:E4390)*(E2=E$1:E4390))))))</f>
        <v> </v>
      </c>
      <c r="K4391" s="25" t="str">
        <f>IF(OR(E4391="",E4391="!!!",F4391="NEW"),"",INDEX(J$1:J4390,SUMPRODUCT(MAX(ROW(E$1:E4390)*(E4391=E$1:E4390)))))</f>
        <v> </v>
      </c>
      <c r="L4391" s="26"/>
    </row>
    <row r="4392" spans="1:12">
      <c r="A4392" s="20" t="s">
        <v>753</v>
      </c>
      <c r="E4392" s="21">
        <f>IF(D4392="?OLD","!!!","")</f>
        <v/>
      </c>
      <c r="F4392" s="22" t="str">
        <f>IF(OR(E4392="",E4392="!!!"),"",IF(NOT(ISNA(VLOOKUP(E4392,E$1:E4391,1,FALSE()))),"OLD",IF(AND(E4392&lt;&gt;"",E4392&lt;&gt;"!!!"),"NEW","")))</f>
        <v> </v>
      </c>
      <c r="G4392" s="23" t="str">
        <f>IF(OR(E4392="",E4392="!!!"),"",IF(OR(J4392=0,AND(J4392=1,K4392=1),AND(J4392=1,I4392="SBJ"),AND(J4392=1,I4392=0)),"?IN_FOCUS",IF(J4392&lt;=2,"?ACTIVATED",IF(J4392&lt;&gt;"","?FAMILIAR",IF(F4392="NEW",IF(ISNA(VLOOKUP(E4392,#REF!,1,FALSE())),"?TYPE_IDENTIFIABLE","?REFERENTIAL"),"_")))))</f>
        <v> </v>
      </c>
      <c r="H4392" s="24" t="str">
        <f>IF(J4392&lt;&gt;1,"",IF(I4392="SBJ","CB","?"))</f>
        <v> </v>
      </c>
      <c r="I4392" s="25" t="str">
        <f>IF(OR(E4392="",E4392="!!!",F4392="NEW"),"",INDEX(B4391:B$2,-1+SUMPRODUCT(MAX(ROW(E4391:E$2)*(E4392=E4391:E$2)))))</f>
        <v> </v>
      </c>
      <c r="J4392" s="25" t="str">
        <f>IF(OR(E4392="",E4392="!!!",F4392="NEW"),"",COUNTBLANK(OFFSET(A$1,,,SUMPRODUCT(MAX(ROW(E$2:E4392)*(E4392=E$2:E4392)))))-COUNTBLANK(OFFSET(A$1,,,SUMPRODUCT(MAX(ROW(E$1:E4391)*(E2=E$1:E4391))))))</f>
        <v> </v>
      </c>
      <c r="K4392" s="25" t="str">
        <f>IF(OR(E4392="",E4392="!!!",F4392="NEW"),"",INDEX(J$1:J4391,SUMPRODUCT(MAX(ROW(E$1:E4391)*(E4392=E$1:E4391)))))</f>
        <v> </v>
      </c>
      <c r="L4392" s="26"/>
    </row>
    <row r="4393" spans="1:12">
      <c r="A4393" s="20" t="s">
        <v>2017</v>
      </c>
      <c r="E4393" s="21">
        <f>IF(D4393="?OLD","!!!","")</f>
        <v/>
      </c>
      <c r="F4393" s="22" t="str">
        <f>IF(OR(E4393="",E4393="!!!"),"",IF(NOT(ISNA(VLOOKUP(E4393,E$1:E4392,1,FALSE()))),"OLD",IF(AND(E4393&lt;&gt;"",E4393&lt;&gt;"!!!"),"NEW","")))</f>
        <v> </v>
      </c>
      <c r="G4393" s="23" t="str">
        <f>IF(OR(E4393="",E4393="!!!"),"",IF(OR(J4393=0,AND(J4393=1,K4393=1),AND(J4393=1,I4393="SBJ"),AND(J4393=1,I4393=0)),"?IN_FOCUS",IF(J4393&lt;=2,"?ACTIVATED",IF(J4393&lt;&gt;"","?FAMILIAR",IF(F4393="NEW",IF(ISNA(VLOOKUP(E4393,#REF!,1,FALSE())),"?TYPE_IDENTIFIABLE","?REFERENTIAL"),"_")))))</f>
        <v> </v>
      </c>
      <c r="H4393" s="24" t="str">
        <f>IF(J4393&lt;&gt;1,"",IF(I4393="SBJ","CB","?"))</f>
        <v> </v>
      </c>
      <c r="I4393" s="25" t="str">
        <f>IF(OR(E4393="",E4393="!!!",F4393="NEW"),"",INDEX(B4392:B$2,-1+SUMPRODUCT(MAX(ROW(E4392:E$2)*(E4393=E4392:E$2)))))</f>
        <v> </v>
      </c>
      <c r="J4393" s="25" t="str">
        <f>IF(OR(E4393="",E4393="!!!",F4393="NEW"),"",COUNTBLANK(OFFSET(A$1,,,SUMPRODUCT(MAX(ROW(E$2:E4393)*(E4393=E$2:E4393)))))-COUNTBLANK(OFFSET(A$1,,,SUMPRODUCT(MAX(ROW(E$1:E4392)*(E2=E$1:E4392))))))</f>
        <v> </v>
      </c>
      <c r="K4393" s="25" t="str">
        <f>IF(OR(E4393="",E4393="!!!",F4393="NEW"),"",INDEX(J$1:J4392,SUMPRODUCT(MAX(ROW(E$1:E4392)*(E4393=E$1:E4392)))))</f>
        <v> </v>
      </c>
      <c r="L4393" s="26"/>
    </row>
    <row r="4394" spans="1:12">
      <c r="A4394" s="20" t="s">
        <v>807</v>
      </c>
      <c r="B4394" s="27" t="s">
        <v>728</v>
      </c>
      <c r="C4394" s="27" t="s">
        <v>749</v>
      </c>
      <c r="D4394" s="27" t="s">
        <v>740</v>
      </c>
      <c r="E4394" s="21">
        <f>IF(D4394="?OLD","!!!","")</f>
        <v/>
      </c>
      <c r="F4394" s="22" t="str">
        <f>IF(OR(E4394="",E4394="!!!"),"",IF(NOT(ISNA(VLOOKUP(E4394,E$1:E4393,1,FALSE()))),"OLD",IF(AND(E4394&lt;&gt;"",E4394&lt;&gt;"!!!"),"NEW","")))</f>
        <v> </v>
      </c>
      <c r="G4394" s="23" t="str">
        <f>IF(OR(E4394="",E4394="!!!"),"",IF(OR(J4394=0,AND(J4394=1,K4394=1),AND(J4394=1,I4394="SBJ"),AND(J4394=1,I4394=0)),"?IN_FOCUS",IF(J4394&lt;=2,"?ACTIVATED",IF(J4394&lt;&gt;"","?FAMILIAR",IF(F4394="NEW",IF(ISNA(VLOOKUP(E4394,#REF!,1,FALSE())),"?TYPE_IDENTIFIABLE","?REFERENTIAL"),"_")))))</f>
        <v> </v>
      </c>
      <c r="H4394" s="24" t="str">
        <f>IF(J4394&lt;&gt;1,"",IF(I4394="SBJ","CB","?"))</f>
        <v> </v>
      </c>
      <c r="I4394" s="25" t="str">
        <f>IF(OR(E4394="",E4394="!!!",F4394="NEW"),"",INDEX(B4393:B$2,-1+SUMPRODUCT(MAX(ROW(E4393:E$2)*(E4394=E4393:E$2)))))</f>
        <v> </v>
      </c>
      <c r="J4394" s="25" t="str">
        <f>IF(OR(E4394="",E4394="!!!",F4394="NEW"),"",COUNTBLANK(OFFSET(A$1,,,SUMPRODUCT(MAX(ROW(E$2:E4394)*(E4394=E$2:E4394)))))-COUNTBLANK(OFFSET(A$1,,,SUMPRODUCT(MAX(ROW(E$1:E4393)*(E2=E$1:E4393))))))</f>
        <v> </v>
      </c>
      <c r="K4394" s="25" t="str">
        <f>IF(OR(E4394="",E4394="!!!",F4394="NEW"),"",INDEX(J$1:J4393,SUMPRODUCT(MAX(ROW(E$1:E4393)*(E4394=E$1:E4393)))))</f>
        <v> </v>
      </c>
      <c r="L4394" s="26"/>
    </row>
    <row r="4395" spans="1:12">
      <c r="A4395" s="20" t="s">
        <v>757</v>
      </c>
      <c r="E4395" s="21">
        <f>IF(D4395="?OLD","!!!","")</f>
        <v/>
      </c>
      <c r="F4395" s="22" t="str">
        <f>IF(OR(E4395="",E4395="!!!"),"",IF(NOT(ISNA(VLOOKUP(E4395,E$1:E4394,1,FALSE()))),"OLD",IF(AND(E4395&lt;&gt;"",E4395&lt;&gt;"!!!"),"NEW","")))</f>
        <v> </v>
      </c>
      <c r="G4395" s="23" t="str">
        <f>IF(OR(E4395="",E4395="!!!"),"",IF(OR(J4395=0,AND(J4395=1,K4395=1),AND(J4395=1,I4395="SBJ"),AND(J4395=1,I4395=0)),"?IN_FOCUS",IF(J4395&lt;=2,"?ACTIVATED",IF(J4395&lt;&gt;"","?FAMILIAR",IF(F4395="NEW",IF(ISNA(VLOOKUP(E4395,#REF!,1,FALSE())),"?TYPE_IDENTIFIABLE","?REFERENTIAL"),"_")))))</f>
        <v> </v>
      </c>
      <c r="H4395" s="24" t="str">
        <f>IF(J4395&lt;&gt;1,"",IF(I4395="SBJ","CB","?"))</f>
        <v> </v>
      </c>
      <c r="I4395" s="25" t="str">
        <f>IF(OR(E4395="",E4395="!!!",F4395="NEW"),"",INDEX(B4394:B$2,-1+SUMPRODUCT(MAX(ROW(E4394:E$2)*(E4395=E4394:E$2)))))</f>
        <v> </v>
      </c>
      <c r="J4395" s="25" t="str">
        <f>IF(OR(E4395="",E4395="!!!",F4395="NEW"),"",COUNTBLANK(OFFSET(A$1,,,SUMPRODUCT(MAX(ROW(E$2:E4395)*(E4395=E$2:E4395)))))-COUNTBLANK(OFFSET(A$1,,,SUMPRODUCT(MAX(ROW(E$1:E4394)*(E2=E$1:E4394))))))</f>
        <v> </v>
      </c>
      <c r="K4395" s="25" t="str">
        <f>IF(OR(E4395="",E4395="!!!",F4395="NEW"),"",INDEX(J$1:J4394,SUMPRODUCT(MAX(ROW(E$1:E4394)*(E4395=E$1:E4394)))))</f>
        <v> </v>
      </c>
      <c r="L4395" s="26"/>
    </row>
    <row r="4396" spans="1:12">
      <c r="A4396" s="20" t="s">
        <v>863</v>
      </c>
      <c r="E4396" s="21">
        <f>IF(D4396="?OLD","!!!","")</f>
        <v/>
      </c>
      <c r="F4396" s="22" t="str">
        <f>IF(OR(E4396="",E4396="!!!"),"",IF(NOT(ISNA(VLOOKUP(E4396,E$1:E4395,1,FALSE()))),"OLD",IF(AND(E4396&lt;&gt;"",E4396&lt;&gt;"!!!"),"NEW","")))</f>
        <v> </v>
      </c>
      <c r="G4396" s="23" t="str">
        <f>IF(OR(E4396="",E4396="!!!"),"",IF(OR(J4396=0,AND(J4396=1,K4396=1),AND(J4396=1,I4396="SBJ"),AND(J4396=1,I4396=0)),"?IN_FOCUS",IF(J4396&lt;=2,"?ACTIVATED",IF(J4396&lt;&gt;"","?FAMILIAR",IF(F4396="NEW",IF(ISNA(VLOOKUP(E4396,#REF!,1,FALSE())),"?TYPE_IDENTIFIABLE","?REFERENTIAL"),"_")))))</f>
        <v> </v>
      </c>
      <c r="H4396" s="24" t="str">
        <f>IF(J4396&lt;&gt;1,"",IF(I4396="SBJ","CB","?"))</f>
        <v> </v>
      </c>
      <c r="I4396" s="25" t="str">
        <f>IF(OR(E4396="",E4396="!!!",F4396="NEW"),"",INDEX(B4395:B$2,-1+SUMPRODUCT(MAX(ROW(E4395:E$2)*(E4396=E4395:E$2)))))</f>
        <v> </v>
      </c>
      <c r="J4396" s="25" t="str">
        <f>IF(OR(E4396="",E4396="!!!",F4396="NEW"),"",COUNTBLANK(OFFSET(A$1,,,SUMPRODUCT(MAX(ROW(E$2:E4396)*(E4396=E$2:E4396)))))-COUNTBLANK(OFFSET(A$1,,,SUMPRODUCT(MAX(ROW(E$1:E4395)*(E2=E$1:E4395))))))</f>
        <v> </v>
      </c>
      <c r="K4396" s="25" t="str">
        <f>IF(OR(E4396="",E4396="!!!",F4396="NEW"),"",INDEX(J$1:J4395,SUMPRODUCT(MAX(ROW(E$1:E4395)*(E4396=E$1:E4395)))))</f>
        <v> </v>
      </c>
      <c r="L4396" s="26"/>
    </row>
    <row r="4397" spans="1:12">
      <c r="A4397" s="20" t="s">
        <v>2018</v>
      </c>
      <c r="B4397" s="27" t="s">
        <v>756</v>
      </c>
      <c r="C4397" s="27" t="s">
        <v>744</v>
      </c>
      <c r="E4397" s="21">
        <f>IF(D4397="?OLD","!!!","")</f>
        <v/>
      </c>
      <c r="F4397" s="22" t="str">
        <f>IF(OR(E4397="",E4397="!!!"),"",IF(NOT(ISNA(VLOOKUP(E4397,E$1:E4396,1,FALSE()))),"OLD",IF(AND(E4397&lt;&gt;"",E4397&lt;&gt;"!!!"),"NEW","")))</f>
        <v> </v>
      </c>
      <c r="G4397" s="23" t="str">
        <f>IF(OR(E4397="",E4397="!!!"),"",IF(OR(J4397=0,AND(J4397=1,K4397=1),AND(J4397=1,I4397="SBJ"),AND(J4397=1,I4397=0)),"?IN_FOCUS",IF(J4397&lt;=2,"?ACTIVATED",IF(J4397&lt;&gt;"","?FAMILIAR",IF(F4397="NEW",IF(ISNA(VLOOKUP(E4397,#REF!,1,FALSE())),"?TYPE_IDENTIFIABLE","?REFERENTIAL"),"_")))))</f>
        <v> </v>
      </c>
      <c r="H4397" s="24" t="str">
        <f>IF(J4397&lt;&gt;1,"",IF(I4397="SBJ","CB","?"))</f>
        <v> </v>
      </c>
      <c r="I4397" s="25" t="str">
        <f>IF(OR(E4397="",E4397="!!!",F4397="NEW"),"",INDEX(B4396:B$2,-1+SUMPRODUCT(MAX(ROW(E4396:E$2)*(E4397=E4396:E$2)))))</f>
        <v> </v>
      </c>
      <c r="J4397" s="25" t="str">
        <f>IF(OR(E4397="",E4397="!!!",F4397="NEW"),"",COUNTBLANK(OFFSET(A$1,,,SUMPRODUCT(MAX(ROW(E$2:E4397)*(E4397=E$2:E4397)))))-COUNTBLANK(OFFSET(A$1,,,SUMPRODUCT(MAX(ROW(E$1:E4396)*(E2=E$1:E4396))))))</f>
        <v> </v>
      </c>
      <c r="K4397" s="25" t="str">
        <f>IF(OR(E4397="",E4397="!!!",F4397="NEW"),"",INDEX(J$1:J4396,SUMPRODUCT(MAX(ROW(E$1:E4396)*(E4397=E$1:E4396)))))</f>
        <v> </v>
      </c>
      <c r="L4397" s="26"/>
    </row>
    <row r="4398" spans="1:12">
      <c r="A4398" s="20" t="s">
        <v>753</v>
      </c>
      <c r="E4398" s="21">
        <f>IF(D4398="?OLD","!!!","")</f>
        <v/>
      </c>
      <c r="F4398" s="22" t="str">
        <f>IF(OR(E4398="",E4398="!!!"),"",IF(NOT(ISNA(VLOOKUP(E4398,E$1:E4397,1,FALSE()))),"OLD",IF(AND(E4398&lt;&gt;"",E4398&lt;&gt;"!!!"),"NEW","")))</f>
        <v> </v>
      </c>
      <c r="G4398" s="23" t="str">
        <f>IF(OR(E4398="",E4398="!!!"),"",IF(OR(J4398=0,AND(J4398=1,K4398=1),AND(J4398=1,I4398="SBJ"),AND(J4398=1,I4398=0)),"?IN_FOCUS",IF(J4398&lt;=2,"?ACTIVATED",IF(J4398&lt;&gt;"","?FAMILIAR",IF(F4398="NEW",IF(ISNA(VLOOKUP(E4398,#REF!,1,FALSE())),"?TYPE_IDENTIFIABLE","?REFERENTIAL"),"_")))))</f>
        <v> </v>
      </c>
      <c r="H4398" s="24" t="str">
        <f>IF(J4398&lt;&gt;1,"",IF(I4398="SBJ","CB","?"))</f>
        <v> </v>
      </c>
      <c r="I4398" s="25" t="str">
        <f>IF(OR(E4398="",E4398="!!!",F4398="NEW"),"",INDEX(B4397:B$2,-1+SUMPRODUCT(MAX(ROW(E4397:E$2)*(E4398=E4397:E$2)))))</f>
        <v> </v>
      </c>
      <c r="J4398" s="25" t="str">
        <f>IF(OR(E4398="",E4398="!!!",F4398="NEW"),"",COUNTBLANK(OFFSET(A$1,,,SUMPRODUCT(MAX(ROW(E$2:E4398)*(E4398=E$2:E4398)))))-COUNTBLANK(OFFSET(A$1,,,SUMPRODUCT(MAX(ROW(E$1:E4397)*(E2=E$1:E4397))))))</f>
        <v> </v>
      </c>
      <c r="K4398" s="25" t="str">
        <f>IF(OR(E4398="",E4398="!!!",F4398="NEW"),"",INDEX(J$1:J4397,SUMPRODUCT(MAX(ROW(E$1:E4397)*(E4398=E$1:E4397)))))</f>
        <v> </v>
      </c>
      <c r="L4398" s="26"/>
    </row>
    <row r="4399" spans="1:12">
      <c r="A4399" s="20" t="s">
        <v>830</v>
      </c>
      <c r="E4399" s="21">
        <f>IF(D4399="?OLD","!!!","")</f>
        <v/>
      </c>
      <c r="F4399" s="22" t="str">
        <f>IF(OR(E4399="",E4399="!!!"),"",IF(NOT(ISNA(VLOOKUP(E4399,E$1:E4398,1,FALSE()))),"OLD",IF(AND(E4399&lt;&gt;"",E4399&lt;&gt;"!!!"),"NEW","")))</f>
        <v> </v>
      </c>
      <c r="G4399" s="23" t="str">
        <f>IF(OR(E4399="",E4399="!!!"),"",IF(OR(J4399=0,AND(J4399=1,K4399=1),AND(J4399=1,I4399="SBJ"),AND(J4399=1,I4399=0)),"?IN_FOCUS",IF(J4399&lt;=2,"?ACTIVATED",IF(J4399&lt;&gt;"","?FAMILIAR",IF(F4399="NEW",IF(ISNA(VLOOKUP(E4399,#REF!,1,FALSE())),"?TYPE_IDENTIFIABLE","?REFERENTIAL"),"_")))))</f>
        <v> </v>
      </c>
      <c r="H4399" s="24" t="str">
        <f>IF(J4399&lt;&gt;1,"",IF(I4399="SBJ","CB","?"))</f>
        <v> </v>
      </c>
      <c r="I4399" s="25" t="str">
        <f>IF(OR(E4399="",E4399="!!!",F4399="NEW"),"",INDEX(B4398:B$2,-1+SUMPRODUCT(MAX(ROW(E4398:E$2)*(E4399=E4398:E$2)))))</f>
        <v> </v>
      </c>
      <c r="J4399" s="25" t="str">
        <f>IF(OR(E4399="",E4399="!!!",F4399="NEW"),"",COUNTBLANK(OFFSET(A$1,,,SUMPRODUCT(MAX(ROW(E$2:E4399)*(E4399=E$2:E4399)))))-COUNTBLANK(OFFSET(A$1,,,SUMPRODUCT(MAX(ROW(E$1:E4398)*(E2=E$1:E4398))))))</f>
        <v> </v>
      </c>
      <c r="K4399" s="25" t="str">
        <f>IF(OR(E4399="",E4399="!!!",F4399="NEW"),"",INDEX(J$1:J4398,SUMPRODUCT(MAX(ROW(E$1:E4398)*(E4399=E$1:E4398)))))</f>
        <v> </v>
      </c>
      <c r="L4399" s="26"/>
    </row>
    <row r="4400" spans="1:12">
      <c r="A4400" s="20" t="s">
        <v>1184</v>
      </c>
      <c r="B4400" s="27" t="s">
        <v>777</v>
      </c>
      <c r="C4400" s="27" t="s">
        <v>772</v>
      </c>
      <c r="E4400" s="21">
        <f>IF(D4400="?OLD","!!!","")</f>
        <v/>
      </c>
      <c r="F4400" s="22" t="str">
        <f>IF(OR(E4400="",E4400="!!!"),"",IF(NOT(ISNA(VLOOKUP(E4400,E$1:E4399,1,FALSE()))),"OLD",IF(AND(E4400&lt;&gt;"",E4400&lt;&gt;"!!!"),"NEW","")))</f>
        <v> </v>
      </c>
      <c r="G4400" s="23" t="str">
        <f>IF(OR(E4400="",E4400="!!!"),"",IF(OR(J4400=0,AND(J4400=1,K4400=1),AND(J4400=1,I4400="SBJ"),AND(J4400=1,I4400=0)),"?IN_FOCUS",IF(J4400&lt;=2,"?ACTIVATED",IF(J4400&lt;&gt;"","?FAMILIAR",IF(F4400="NEW",IF(ISNA(VLOOKUP(E4400,#REF!,1,FALSE())),"?TYPE_IDENTIFIABLE","?REFERENTIAL"),"_")))))</f>
        <v> </v>
      </c>
      <c r="H4400" s="24" t="str">
        <f>IF(J4400&lt;&gt;1,"",IF(I4400="SBJ","CB","?"))</f>
        <v> </v>
      </c>
      <c r="I4400" s="25" t="str">
        <f>IF(OR(E4400="",E4400="!!!",F4400="NEW"),"",INDEX(B4399:B$2,-1+SUMPRODUCT(MAX(ROW(E4399:E$2)*(E4400=E4399:E$2)))))</f>
        <v> </v>
      </c>
      <c r="J4400" s="25" t="str">
        <f>IF(OR(E4400="",E4400="!!!",F4400="NEW"),"",COUNTBLANK(OFFSET(A$1,,,SUMPRODUCT(MAX(ROW(E$2:E4400)*(E4400=E$2:E4400)))))-COUNTBLANK(OFFSET(A$1,,,SUMPRODUCT(MAX(ROW(E$1:E4399)*(E2=E$1:E4399))))))</f>
        <v> </v>
      </c>
      <c r="K4400" s="25" t="str">
        <f>IF(OR(E4400="",E4400="!!!",F4400="NEW"),"",INDEX(J$1:J4399,SUMPRODUCT(MAX(ROW(E$1:E4399)*(E4400=E$1:E4399)))))</f>
        <v> </v>
      </c>
      <c r="L4400" s="26"/>
    </row>
    <row r="4401" spans="1:12">
      <c r="A4401" s="20" t="s">
        <v>763</v>
      </c>
      <c r="B4401" s="27" t="s">
        <v>733</v>
      </c>
      <c r="C4401" s="27" t="s">
        <v>780</v>
      </c>
      <c r="E4401" s="21">
        <f>IF(D4401="?OLD","!!!","")</f>
        <v/>
      </c>
      <c r="F4401" s="22" t="str">
        <f>IF(OR(E4401="",E4401="!!!"),"",IF(NOT(ISNA(VLOOKUP(E4401,E$1:E4400,1,FALSE()))),"OLD",IF(AND(E4401&lt;&gt;"",E4401&lt;&gt;"!!!"),"NEW","")))</f>
        <v> </v>
      </c>
      <c r="G4401" s="23" t="str">
        <f>IF(OR(E4401="",E4401="!!!"),"",IF(OR(J4401=0,AND(J4401=1,K4401=1),AND(J4401=1,I4401="SBJ"),AND(J4401=1,I4401=0)),"?IN_FOCUS",IF(J4401&lt;=2,"?ACTIVATED",IF(J4401&lt;&gt;"","?FAMILIAR",IF(F4401="NEW",IF(ISNA(VLOOKUP(E4401,#REF!,1,FALSE())),"?TYPE_IDENTIFIABLE","?REFERENTIAL"),"_")))))</f>
        <v> </v>
      </c>
      <c r="H4401" s="24" t="str">
        <f>IF(J4401&lt;&gt;1,"",IF(I4401="SBJ","CB","?"))</f>
        <v> </v>
      </c>
      <c r="I4401" s="25" t="str">
        <f>IF(OR(E4401="",E4401="!!!",F4401="NEW"),"",INDEX(B4400:B$2,-1+SUMPRODUCT(MAX(ROW(E4400:E$2)*(E4401=E4400:E$2)))))</f>
        <v> </v>
      </c>
      <c r="J4401" s="25" t="str">
        <f>IF(OR(E4401="",E4401="!!!",F4401="NEW"),"",COUNTBLANK(OFFSET(A$1,,,SUMPRODUCT(MAX(ROW(E$2:E4401)*(E4401=E$2:E4401)))))-COUNTBLANK(OFFSET(A$1,,,SUMPRODUCT(MAX(ROW(E$1:E4400)*(E2=E$1:E4400))))))</f>
        <v> </v>
      </c>
      <c r="K4401" s="25" t="str">
        <f>IF(OR(E4401="",E4401="!!!",F4401="NEW"),"",INDEX(J$1:J4400,SUMPRODUCT(MAX(ROW(E$1:E4400)*(E4401=E$1:E4400)))))</f>
        <v> </v>
      </c>
      <c r="L4401" s="26"/>
    </row>
    <row r="4402" spans="1:12">
      <c r="A4402" s="20" t="s">
        <v>729</v>
      </c>
      <c r="E4402" s="21">
        <f>IF(D4402="?OLD","!!!","")</f>
        <v/>
      </c>
      <c r="F4402" s="22" t="str">
        <f>IF(OR(E4402="",E4402="!!!"),"",IF(NOT(ISNA(VLOOKUP(E4402,E$1:E4401,1,FALSE()))),"OLD",IF(AND(E4402&lt;&gt;"",E4402&lt;&gt;"!!!"),"NEW","")))</f>
        <v> </v>
      </c>
      <c r="G4402" s="23" t="str">
        <f>IF(OR(E4402="",E4402="!!!"),"",IF(OR(J4402=0,AND(J4402=1,K4402=1),AND(J4402=1,I4402="SBJ"),AND(J4402=1,I4402=0)),"?IN_FOCUS",IF(J4402&lt;=2,"?ACTIVATED",IF(J4402&lt;&gt;"","?FAMILIAR",IF(F4402="NEW",IF(ISNA(VLOOKUP(E4402,#REF!,1,FALSE())),"?TYPE_IDENTIFIABLE","?REFERENTIAL"),"_")))))</f>
        <v> </v>
      </c>
      <c r="H4402" s="24" t="str">
        <f>IF(J4402&lt;&gt;1,"",IF(I4402="SBJ","CB","?"))</f>
        <v> </v>
      </c>
      <c r="I4402" s="25" t="str">
        <f>IF(OR(E4402="",E4402="!!!",F4402="NEW"),"",INDEX(B4401:B$2,-1+SUMPRODUCT(MAX(ROW(E4401:E$2)*(E4402=E4401:E$2)))))</f>
        <v> </v>
      </c>
      <c r="J4402" s="25" t="str">
        <f>IF(OR(E4402="",E4402="!!!",F4402="NEW"),"",COUNTBLANK(OFFSET(A$1,,,SUMPRODUCT(MAX(ROW(E$2:E4402)*(E4402=E$2:E4402)))))-COUNTBLANK(OFFSET(A$1,,,SUMPRODUCT(MAX(ROW(E$1:E4401)*(E2=E$1:E4401))))))</f>
        <v> </v>
      </c>
      <c r="K4402" s="25" t="str">
        <f>IF(OR(E4402="",E4402="!!!",F4402="NEW"),"",INDEX(J$1:J4401,SUMPRODUCT(MAX(ROW(E$1:E4401)*(E4402=E$1:E4401)))))</f>
        <v> </v>
      </c>
      <c r="L4402" s="26"/>
    </row>
    <row r="4403" spans="1:12">
      <c r="A4403" s="20" t="s">
        <v>1020</v>
      </c>
      <c r="B4403" s="27" t="s">
        <v>779</v>
      </c>
      <c r="C4403" s="27" t="s">
        <v>749</v>
      </c>
      <c r="D4403" s="27" t="s">
        <v>740</v>
      </c>
      <c r="E4403" s="21">
        <f>IF(D4403="?OLD","!!!","")</f>
        <v/>
      </c>
      <c r="F4403" s="22" t="str">
        <f>IF(OR(E4403="",E4403="!!!"),"",IF(NOT(ISNA(VLOOKUP(E4403,E$1:E4402,1,FALSE()))),"OLD",IF(AND(E4403&lt;&gt;"",E4403&lt;&gt;"!!!"),"NEW","")))</f>
        <v> </v>
      </c>
      <c r="G4403" s="23" t="str">
        <f>IF(OR(E4403="",E4403="!!!"),"",IF(OR(J4403=0,AND(J4403=1,K4403=1),AND(J4403=1,I4403="SBJ"),AND(J4403=1,I4403=0)),"?IN_FOCUS",IF(J4403&lt;=2,"?ACTIVATED",IF(J4403&lt;&gt;"","?FAMILIAR",IF(F4403="NEW",IF(ISNA(VLOOKUP(E4403,#REF!,1,FALSE())),"?TYPE_IDENTIFIABLE","?REFERENTIAL"),"_")))))</f>
        <v> </v>
      </c>
      <c r="H4403" s="24" t="str">
        <f>IF(J4403&lt;&gt;1,"",IF(I4403="SBJ","CB","?"))</f>
        <v> </v>
      </c>
      <c r="I4403" s="25" t="str">
        <f>IF(OR(E4403="",E4403="!!!",F4403="NEW"),"",INDEX(B4402:B$2,-1+SUMPRODUCT(MAX(ROW(E4402:E$2)*(E4403=E4402:E$2)))))</f>
        <v> </v>
      </c>
      <c r="J4403" s="25" t="str">
        <f>IF(OR(E4403="",E4403="!!!",F4403="NEW"),"",COUNTBLANK(OFFSET(A$1,,,SUMPRODUCT(MAX(ROW(E$2:E4403)*(E4403=E$2:E4403)))))-COUNTBLANK(OFFSET(A$1,,,SUMPRODUCT(MAX(ROW(E$1:E4402)*(E2=E$1:E4402))))))</f>
        <v> </v>
      </c>
      <c r="K4403" s="25" t="str">
        <f>IF(OR(E4403="",E4403="!!!",F4403="NEW"),"",INDEX(J$1:J4402,SUMPRODUCT(MAX(ROW(E$1:E4402)*(E4403=E$1:E4402)))))</f>
        <v> </v>
      </c>
      <c r="L4403" s="26"/>
    </row>
    <row r="4404" spans="1:12">
      <c r="A4404" s="20" t="s">
        <v>2019</v>
      </c>
      <c r="E4404" s="21">
        <f>IF(D4404="?OLD","!!!","")</f>
        <v/>
      </c>
      <c r="F4404" s="22" t="str">
        <f>IF(OR(E4404="",E4404="!!!"),"",IF(NOT(ISNA(VLOOKUP(E4404,E$1:E4403,1,FALSE()))),"OLD",IF(AND(E4404&lt;&gt;"",E4404&lt;&gt;"!!!"),"NEW","")))</f>
        <v> </v>
      </c>
      <c r="G4404" s="23" t="str">
        <f>IF(OR(E4404="",E4404="!!!"),"",IF(OR(J4404=0,AND(J4404=1,K4404=1),AND(J4404=1,I4404="SBJ"),AND(J4404=1,I4404=0)),"?IN_FOCUS",IF(J4404&lt;=2,"?ACTIVATED",IF(J4404&lt;&gt;"","?FAMILIAR",IF(F4404="NEW",IF(ISNA(VLOOKUP(E4404,#REF!,1,FALSE())),"?TYPE_IDENTIFIABLE","?REFERENTIAL"),"_")))))</f>
        <v> </v>
      </c>
      <c r="H4404" s="24" t="str">
        <f>IF(J4404&lt;&gt;1,"",IF(I4404="SBJ","CB","?"))</f>
        <v> </v>
      </c>
      <c r="I4404" s="25" t="str">
        <f>IF(OR(E4404="",E4404="!!!",F4404="NEW"),"",INDEX(B4403:B$2,-1+SUMPRODUCT(MAX(ROW(E4403:E$2)*(E4404=E4403:E$2)))))</f>
        <v> </v>
      </c>
      <c r="J4404" s="25" t="str">
        <f>IF(OR(E4404="",E4404="!!!",F4404="NEW"),"",COUNTBLANK(OFFSET(A$1,,,SUMPRODUCT(MAX(ROW(E$2:E4404)*(E4404=E$2:E4404)))))-COUNTBLANK(OFFSET(A$1,,,SUMPRODUCT(MAX(ROW(E$1:E4403)*(E2=E$1:E4403))))))</f>
        <v> </v>
      </c>
      <c r="K4404" s="25" t="str">
        <f>IF(OR(E4404="",E4404="!!!",F4404="NEW"),"",INDEX(J$1:J4403,SUMPRODUCT(MAX(ROW(E$1:E4403)*(E4404=E$1:E4403)))))</f>
        <v> </v>
      </c>
      <c r="L4404" s="26"/>
    </row>
    <row r="4405" spans="1:12">
      <c r="A4405" s="20" t="s">
        <v>746</v>
      </c>
      <c r="E4405" s="21">
        <f>IF(D4405="?OLD","!!!","")</f>
        <v/>
      </c>
      <c r="F4405" s="22" t="str">
        <f>IF(OR(E4405="",E4405="!!!"),"",IF(NOT(ISNA(VLOOKUP(E4405,E$1:E4404,1,FALSE()))),"OLD",IF(AND(E4405&lt;&gt;"",E4405&lt;&gt;"!!!"),"NEW","")))</f>
        <v> </v>
      </c>
      <c r="G4405" s="23" t="str">
        <f>IF(OR(E4405="",E4405="!!!"),"",IF(OR(J4405=0,AND(J4405=1,K4405=1),AND(J4405=1,I4405="SBJ"),AND(J4405=1,I4405=0)),"?IN_FOCUS",IF(J4405&lt;=2,"?ACTIVATED",IF(J4405&lt;&gt;"","?FAMILIAR",IF(F4405="NEW",IF(ISNA(VLOOKUP(E4405,#REF!,1,FALSE())),"?TYPE_IDENTIFIABLE","?REFERENTIAL"),"_")))))</f>
        <v> </v>
      </c>
      <c r="H4405" s="24" t="str">
        <f>IF(J4405&lt;&gt;1,"",IF(I4405="SBJ","CB","?"))</f>
        <v> </v>
      </c>
      <c r="I4405" s="25" t="str">
        <f>IF(OR(E4405="",E4405="!!!",F4405="NEW"),"",INDEX(B4404:B$2,-1+SUMPRODUCT(MAX(ROW(E4404:E$2)*(E4405=E4404:E$2)))))</f>
        <v> </v>
      </c>
      <c r="J4405" s="25" t="str">
        <f>IF(OR(E4405="",E4405="!!!",F4405="NEW"),"",COUNTBLANK(OFFSET(A$1,,,SUMPRODUCT(MAX(ROW(E$2:E4405)*(E4405=E$2:E4405)))))-COUNTBLANK(OFFSET(A$1,,,SUMPRODUCT(MAX(ROW(E$1:E4404)*(E2=E$1:E4404))))))</f>
        <v> </v>
      </c>
      <c r="K4405" s="25" t="str">
        <f>IF(OR(E4405="",E4405="!!!",F4405="NEW"),"",INDEX(J$1:J4404,SUMPRODUCT(MAX(ROW(E$1:E4404)*(E4405=E$1:E4404)))))</f>
        <v> </v>
      </c>
      <c r="L4405" s="26"/>
    </row>
    <row r="4406" spans="1:12">
      <c r="A4406" s="20"/>
    </row>
    <row r="4407" spans="1:12">
      <c r="A4407" s="20" t="s">
        <v>2020</v>
      </c>
    </row>
    <row r="4408" spans="1:12">
      <c r="A4408" s="20" t="s">
        <v>952</v>
      </c>
      <c r="B4408" s="27" t="s">
        <v>728</v>
      </c>
      <c r="C4408" s="27" t="s">
        <v>749</v>
      </c>
      <c r="D4408" s="27" t="s">
        <v>740</v>
      </c>
      <c r="E4408" s="21">
        <f>IF(D4408="?OLD","!!!","")</f>
        <v/>
      </c>
      <c r="F4408" s="22" t="str">
        <f>IF(OR(E4408="",E4408="!!!"),"",IF(NOT(ISNA(VLOOKUP(E4408,E$1:E4407,1,FALSE()))),"OLD",IF(AND(E4408&lt;&gt;"",E4408&lt;&gt;"!!!"),"NEW","")))</f>
        <v> </v>
      </c>
      <c r="G4408" s="23" t="str">
        <f>IF(OR(E4408="",E4408="!!!"),"",IF(OR(J4408=0,AND(J4408=1,K4408=1),AND(J4408=1,I4408="SBJ"),AND(J4408=1,I4408=0)),"?IN_FOCUS",IF(J4408&lt;=2,"?ACTIVATED",IF(J4408&lt;&gt;"","?FAMILIAR",IF(F4408="NEW",IF(ISNA(VLOOKUP(E4408,#REF!,1,FALSE())),"?TYPE_IDENTIFIABLE","?REFERENTIAL"),"_")))))</f>
        <v> </v>
      </c>
      <c r="H4408" s="24" t="str">
        <f>IF(J4408&lt;&gt;1,"",IF(I4408="SBJ","CB","?"))</f>
        <v> </v>
      </c>
      <c r="I4408" s="25" t="str">
        <f>IF(OR(E4408="",E4408="!!!",F4408="NEW"),"",INDEX(B4407:B$2,-1+SUMPRODUCT(MAX(ROW(E4407:E$2)*(E4408=E4407:E$2)))))</f>
        <v> </v>
      </c>
      <c r="J4408" s="25" t="str">
        <f>IF(OR(E4408="",E4408="!!!",F4408="NEW"),"",COUNTBLANK(OFFSET(A$1,,,SUMPRODUCT(MAX(ROW(E$2:E4408)*(E4408=E$2:E4408)))))-COUNTBLANK(OFFSET(A$1,,,SUMPRODUCT(MAX(ROW(E$1:E4407)*(E2=E$1:E4407))))))</f>
        <v> </v>
      </c>
      <c r="K4408" s="25" t="str">
        <f>IF(OR(E4408="",E4408="!!!",F4408="NEW"),"",INDEX(J$1:J4407,SUMPRODUCT(MAX(ROW(E$1:E4407)*(E4408=E$1:E4407)))))</f>
        <v> </v>
      </c>
      <c r="L4408" s="26"/>
    </row>
    <row r="4409" spans="1:12">
      <c r="A4409" s="20" t="s">
        <v>934</v>
      </c>
      <c r="E4409" s="21">
        <f>IF(D4409="?OLD","!!!","")</f>
        <v/>
      </c>
      <c r="F4409" s="22" t="str">
        <f>IF(OR(E4409="",E4409="!!!"),"",IF(NOT(ISNA(VLOOKUP(E4409,E$1:E4408,1,FALSE()))),"OLD",IF(AND(E4409&lt;&gt;"",E4409&lt;&gt;"!!!"),"NEW","")))</f>
        <v> </v>
      </c>
      <c r="G4409" s="23" t="str">
        <f>IF(OR(E4409="",E4409="!!!"),"",IF(OR(J4409=0,AND(J4409=1,K4409=1),AND(J4409=1,I4409="SBJ"),AND(J4409=1,I4409=0)),"?IN_FOCUS",IF(J4409&lt;=2,"?ACTIVATED",IF(J4409&lt;&gt;"","?FAMILIAR",IF(F4409="NEW",IF(ISNA(VLOOKUP(E4409,#REF!,1,FALSE())),"?TYPE_IDENTIFIABLE","?REFERENTIAL"),"_")))))</f>
        <v> </v>
      </c>
      <c r="H4409" s="24" t="str">
        <f>IF(J4409&lt;&gt;1,"",IF(I4409="SBJ","CB","?"))</f>
        <v> </v>
      </c>
      <c r="I4409" s="25" t="str">
        <f>IF(OR(E4409="",E4409="!!!",F4409="NEW"),"",INDEX(B4408:B$2,-1+SUMPRODUCT(MAX(ROW(E4408:E$2)*(E4409=E4408:E$2)))))</f>
        <v> </v>
      </c>
      <c r="J4409" s="25" t="str">
        <f>IF(OR(E4409="",E4409="!!!",F4409="NEW"),"",COUNTBLANK(OFFSET(A$1,,,SUMPRODUCT(MAX(ROW(E$2:E4409)*(E4409=E$2:E4409)))))-COUNTBLANK(OFFSET(A$1,,,SUMPRODUCT(MAX(ROW(E$1:E4408)*(E2=E$1:E4408))))))</f>
        <v> </v>
      </c>
      <c r="K4409" s="25" t="str">
        <f>IF(OR(E4409="",E4409="!!!",F4409="NEW"),"",INDEX(J$1:J4408,SUMPRODUCT(MAX(ROW(E$1:E4408)*(E4409=E$1:E4408)))))</f>
        <v> </v>
      </c>
      <c r="L4409" s="26"/>
    </row>
    <row r="4410" spans="1:12">
      <c r="A4410" s="20" t="s">
        <v>753</v>
      </c>
      <c r="E4410" s="21">
        <f>IF(D4410="?OLD","!!!","")</f>
        <v/>
      </c>
      <c r="F4410" s="22" t="str">
        <f>IF(OR(E4410="",E4410="!!!"),"",IF(NOT(ISNA(VLOOKUP(E4410,E$1:E4409,1,FALSE()))),"OLD",IF(AND(E4410&lt;&gt;"",E4410&lt;&gt;"!!!"),"NEW","")))</f>
        <v> </v>
      </c>
      <c r="G4410" s="23" t="str">
        <f>IF(OR(E4410="",E4410="!!!"),"",IF(OR(J4410=0,AND(J4410=1,K4410=1),AND(J4410=1,I4410="SBJ"),AND(J4410=1,I4410=0)),"?IN_FOCUS",IF(J4410&lt;=2,"?ACTIVATED",IF(J4410&lt;&gt;"","?FAMILIAR",IF(F4410="NEW",IF(ISNA(VLOOKUP(E4410,#REF!,1,FALSE())),"?TYPE_IDENTIFIABLE","?REFERENTIAL"),"_")))))</f>
        <v> </v>
      </c>
      <c r="H4410" s="24" t="str">
        <f>IF(J4410&lt;&gt;1,"",IF(I4410="SBJ","CB","?"))</f>
        <v> </v>
      </c>
      <c r="I4410" s="25" t="str">
        <f>IF(OR(E4410="",E4410="!!!",F4410="NEW"),"",INDEX(B4409:B$2,-1+SUMPRODUCT(MAX(ROW(E4409:E$2)*(E4410=E4409:E$2)))))</f>
        <v> </v>
      </c>
      <c r="J4410" s="25" t="str">
        <f>IF(OR(E4410="",E4410="!!!",F4410="NEW"),"",COUNTBLANK(OFFSET(A$1,,,SUMPRODUCT(MAX(ROW(E$2:E4410)*(E4410=E$2:E4410)))))-COUNTBLANK(OFFSET(A$1,,,SUMPRODUCT(MAX(ROW(E$1:E4409)*(E2=E$1:E4409))))))</f>
        <v> </v>
      </c>
      <c r="K4410" s="25" t="str">
        <f>IF(OR(E4410="",E4410="!!!",F4410="NEW"),"",INDEX(J$1:J4409,SUMPRODUCT(MAX(ROW(E$1:E4409)*(E4410=E$1:E4409)))))</f>
        <v> </v>
      </c>
      <c r="L4410" s="26"/>
    </row>
    <row r="4411" spans="1:12">
      <c r="A4411" s="20" t="s">
        <v>1106</v>
      </c>
      <c r="E4411" s="21">
        <f>IF(D4411="?OLD","!!!","")</f>
        <v/>
      </c>
      <c r="F4411" s="22" t="str">
        <f>IF(OR(E4411="",E4411="!!!"),"",IF(NOT(ISNA(VLOOKUP(E4411,E$1:E4410,1,FALSE()))),"OLD",IF(AND(E4411&lt;&gt;"",E4411&lt;&gt;"!!!"),"NEW","")))</f>
        <v> </v>
      </c>
      <c r="G4411" s="23" t="str">
        <f>IF(OR(E4411="",E4411="!!!"),"",IF(OR(J4411=0,AND(J4411=1,K4411=1),AND(J4411=1,I4411="SBJ"),AND(J4411=1,I4411=0)),"?IN_FOCUS",IF(J4411&lt;=2,"?ACTIVATED",IF(J4411&lt;&gt;"","?FAMILIAR",IF(F4411="NEW",IF(ISNA(VLOOKUP(E4411,#REF!,1,FALSE())),"?TYPE_IDENTIFIABLE","?REFERENTIAL"),"_")))))</f>
        <v> </v>
      </c>
      <c r="H4411" s="24" t="str">
        <f>IF(J4411&lt;&gt;1,"",IF(I4411="SBJ","CB","?"))</f>
        <v> </v>
      </c>
      <c r="I4411" s="25" t="str">
        <f>IF(OR(E4411="",E4411="!!!",F4411="NEW"),"",INDEX(B4410:B$2,-1+SUMPRODUCT(MAX(ROW(E4410:E$2)*(E4411=E4410:E$2)))))</f>
        <v> </v>
      </c>
      <c r="J4411" s="25" t="str">
        <f>IF(OR(E4411="",E4411="!!!",F4411="NEW"),"",COUNTBLANK(OFFSET(A$1,,,SUMPRODUCT(MAX(ROW(E$2:E4411)*(E4411=E$2:E4411)))))-COUNTBLANK(OFFSET(A$1,,,SUMPRODUCT(MAX(ROW(E$1:E4410)*(E2=E$1:E4410))))))</f>
        <v> </v>
      </c>
      <c r="K4411" s="25" t="str">
        <f>IF(OR(E4411="",E4411="!!!",F4411="NEW"),"",INDEX(J$1:J4410,SUMPRODUCT(MAX(ROW(E$1:E4410)*(E4411=E$1:E4410)))))</f>
        <v> </v>
      </c>
      <c r="L4411" s="26"/>
    </row>
    <row r="4412" spans="1:12">
      <c r="A4412" s="20" t="s">
        <v>1331</v>
      </c>
      <c r="E4412" s="21">
        <f>IF(D4412="?OLD","!!!","")</f>
        <v/>
      </c>
      <c r="F4412" s="22" t="str">
        <f>IF(OR(E4412="",E4412="!!!"),"",IF(NOT(ISNA(VLOOKUP(E4412,E$1:E4411,1,FALSE()))),"OLD",IF(AND(E4412&lt;&gt;"",E4412&lt;&gt;"!!!"),"NEW","")))</f>
        <v> </v>
      </c>
      <c r="G4412" s="23" t="str">
        <f>IF(OR(E4412="",E4412="!!!"),"",IF(OR(J4412=0,AND(J4412=1,K4412=1),AND(J4412=1,I4412="SBJ"),AND(J4412=1,I4412=0)),"?IN_FOCUS",IF(J4412&lt;=2,"?ACTIVATED",IF(J4412&lt;&gt;"","?FAMILIAR",IF(F4412="NEW",IF(ISNA(VLOOKUP(E4412,#REF!,1,FALSE())),"?TYPE_IDENTIFIABLE","?REFERENTIAL"),"_")))))</f>
        <v> </v>
      </c>
      <c r="H4412" s="24" t="str">
        <f>IF(J4412&lt;&gt;1,"",IF(I4412="SBJ","CB","?"))</f>
        <v> </v>
      </c>
      <c r="I4412" s="25" t="str">
        <f>IF(OR(E4412="",E4412="!!!",F4412="NEW"),"",INDEX(B4411:B$2,-1+SUMPRODUCT(MAX(ROW(E4411:E$2)*(E4412=E4411:E$2)))))</f>
        <v> </v>
      </c>
      <c r="J4412" s="25" t="str">
        <f>IF(OR(E4412="",E4412="!!!",F4412="NEW"),"",COUNTBLANK(OFFSET(A$1,,,SUMPRODUCT(MAX(ROW(E$2:E4412)*(E4412=E$2:E4412)))))-COUNTBLANK(OFFSET(A$1,,,SUMPRODUCT(MAX(ROW(E$1:E4411)*(E2=E$1:E4411))))))</f>
        <v> </v>
      </c>
      <c r="K4412" s="25" t="str">
        <f>IF(OR(E4412="",E4412="!!!",F4412="NEW"),"",INDEX(J$1:J4411,SUMPRODUCT(MAX(ROW(E$1:E4411)*(E4412=E$1:E4411)))))</f>
        <v> </v>
      </c>
      <c r="L4412" s="26"/>
    </row>
    <row r="4413" spans="1:12">
      <c r="A4413" s="20" t="s">
        <v>807</v>
      </c>
      <c r="B4413" s="27" t="s">
        <v>771</v>
      </c>
      <c r="C4413" s="27" t="s">
        <v>749</v>
      </c>
      <c r="D4413" s="27" t="s">
        <v>740</v>
      </c>
      <c r="E4413" s="21">
        <f>IF(D4413="?OLD","!!!","")</f>
        <v/>
      </c>
      <c r="F4413" s="22" t="str">
        <f>IF(OR(E4413="",E4413="!!!"),"",IF(NOT(ISNA(VLOOKUP(E4413,E$1:E4412,1,FALSE()))),"OLD",IF(AND(E4413&lt;&gt;"",E4413&lt;&gt;"!!!"),"NEW","")))</f>
        <v> </v>
      </c>
      <c r="G4413" s="23" t="str">
        <f>IF(OR(E4413="",E4413="!!!"),"",IF(OR(J4413=0,AND(J4413=1,K4413=1),AND(J4413=1,I4413="SBJ"),AND(J4413=1,I4413=0)),"?IN_FOCUS",IF(J4413&lt;=2,"?ACTIVATED",IF(J4413&lt;&gt;"","?FAMILIAR",IF(F4413="NEW",IF(ISNA(VLOOKUP(E4413,#REF!,1,FALSE())),"?TYPE_IDENTIFIABLE","?REFERENTIAL"),"_")))))</f>
        <v> </v>
      </c>
      <c r="H4413" s="24" t="str">
        <f>IF(J4413&lt;&gt;1,"",IF(I4413="SBJ","CB","?"))</f>
        <v> </v>
      </c>
      <c r="I4413" s="25" t="str">
        <f>IF(OR(E4413="",E4413="!!!",F4413="NEW"),"",INDEX(B4412:B$2,-1+SUMPRODUCT(MAX(ROW(E4412:E$2)*(E4413=E4412:E$2)))))</f>
        <v> </v>
      </c>
      <c r="J4413" s="25" t="str">
        <f>IF(OR(E4413="",E4413="!!!",F4413="NEW"),"",COUNTBLANK(OFFSET(A$1,,,SUMPRODUCT(MAX(ROW(E$2:E4413)*(E4413=E$2:E4413)))))-COUNTBLANK(OFFSET(A$1,,,SUMPRODUCT(MAX(ROW(E$1:E4412)*(E2=E$1:E4412))))))</f>
        <v> </v>
      </c>
      <c r="K4413" s="25" t="str">
        <f>IF(OR(E4413="",E4413="!!!",F4413="NEW"),"",INDEX(J$1:J4412,SUMPRODUCT(MAX(ROW(E$1:E4412)*(E4413=E$1:E4412)))))</f>
        <v> </v>
      </c>
      <c r="L4413" s="26"/>
    </row>
    <row r="4414" spans="1:12">
      <c r="A4414" s="20" t="s">
        <v>1076</v>
      </c>
      <c r="E4414" s="21">
        <f>IF(D4414="?OLD","!!!","")</f>
        <v/>
      </c>
      <c r="F4414" s="22" t="str">
        <f>IF(OR(E4414="",E4414="!!!"),"",IF(NOT(ISNA(VLOOKUP(E4414,E$1:E4413,1,FALSE()))),"OLD",IF(AND(E4414&lt;&gt;"",E4414&lt;&gt;"!!!"),"NEW","")))</f>
        <v> </v>
      </c>
      <c r="G4414" s="23" t="str">
        <f>IF(OR(E4414="",E4414="!!!"),"",IF(OR(J4414=0,AND(J4414=1,K4414=1),AND(J4414=1,I4414="SBJ"),AND(J4414=1,I4414=0)),"?IN_FOCUS",IF(J4414&lt;=2,"?ACTIVATED",IF(J4414&lt;&gt;"","?FAMILIAR",IF(F4414="NEW",IF(ISNA(VLOOKUP(E4414,#REF!,1,FALSE())),"?TYPE_IDENTIFIABLE","?REFERENTIAL"),"_")))))</f>
        <v> </v>
      </c>
      <c r="H4414" s="24" t="str">
        <f>IF(J4414&lt;&gt;1,"",IF(I4414="SBJ","CB","?"))</f>
        <v> </v>
      </c>
      <c r="I4414" s="25" t="str">
        <f>IF(OR(E4414="",E4414="!!!",F4414="NEW"),"",INDEX(B4413:B$2,-1+SUMPRODUCT(MAX(ROW(E4413:E$2)*(E4414=E4413:E$2)))))</f>
        <v> </v>
      </c>
      <c r="J4414" s="25" t="str">
        <f>IF(OR(E4414="",E4414="!!!",F4414="NEW"),"",COUNTBLANK(OFFSET(A$1,,,SUMPRODUCT(MAX(ROW(E$2:E4414)*(E4414=E$2:E4414)))))-COUNTBLANK(OFFSET(A$1,,,SUMPRODUCT(MAX(ROW(E$1:E4413)*(E2=E$1:E4413))))))</f>
        <v> </v>
      </c>
      <c r="K4414" s="25" t="str">
        <f>IF(OR(E4414="",E4414="!!!",F4414="NEW"),"",INDEX(J$1:J4413,SUMPRODUCT(MAX(ROW(E$1:E4413)*(E4414=E$1:E4413)))))</f>
        <v> </v>
      </c>
      <c r="L4414" s="26"/>
    </row>
    <row r="4415" spans="1:12">
      <c r="A4415" s="20" t="s">
        <v>1211</v>
      </c>
      <c r="E4415" s="21">
        <f>IF(D4415="?OLD","!!!","")</f>
        <v/>
      </c>
      <c r="F4415" s="22" t="str">
        <f>IF(OR(E4415="",E4415="!!!"),"",IF(NOT(ISNA(VLOOKUP(E4415,E$1:E4414,1,FALSE()))),"OLD",IF(AND(E4415&lt;&gt;"",E4415&lt;&gt;"!!!"),"NEW","")))</f>
        <v> </v>
      </c>
      <c r="G4415" s="23" t="str">
        <f>IF(OR(E4415="",E4415="!!!"),"",IF(OR(J4415=0,AND(J4415=1,K4415=1),AND(J4415=1,I4415="SBJ"),AND(J4415=1,I4415=0)),"?IN_FOCUS",IF(J4415&lt;=2,"?ACTIVATED",IF(J4415&lt;&gt;"","?FAMILIAR",IF(F4415="NEW",IF(ISNA(VLOOKUP(E4415,#REF!,1,FALSE())),"?TYPE_IDENTIFIABLE","?REFERENTIAL"),"_")))))</f>
        <v> </v>
      </c>
      <c r="H4415" s="24" t="str">
        <f>IF(J4415&lt;&gt;1,"",IF(I4415="SBJ","CB","?"))</f>
        <v> </v>
      </c>
      <c r="I4415" s="25" t="str">
        <f>IF(OR(E4415="",E4415="!!!",F4415="NEW"),"",INDEX(B4414:B$2,-1+SUMPRODUCT(MAX(ROW(E4414:E$2)*(E4415=E4414:E$2)))))</f>
        <v> </v>
      </c>
      <c r="J4415" s="25" t="str">
        <f>IF(OR(E4415="",E4415="!!!",F4415="NEW"),"",COUNTBLANK(OFFSET(A$1,,,SUMPRODUCT(MAX(ROW(E$2:E4415)*(E4415=E$2:E4415)))))-COUNTBLANK(OFFSET(A$1,,,SUMPRODUCT(MAX(ROW(E$1:E4414)*(E2=E$1:E4414))))))</f>
        <v> </v>
      </c>
      <c r="K4415" s="25" t="str">
        <f>IF(OR(E4415="",E4415="!!!",F4415="NEW"),"",INDEX(J$1:J4414,SUMPRODUCT(MAX(ROW(E$1:E4414)*(E4415=E$1:E4414)))))</f>
        <v> </v>
      </c>
      <c r="L4415" s="26"/>
    </row>
    <row r="4416" spans="1:12">
      <c r="A4416" s="20" t="s">
        <v>962</v>
      </c>
      <c r="B4416" s="27" t="s">
        <v>733</v>
      </c>
      <c r="C4416" s="27" t="s">
        <v>734</v>
      </c>
      <c r="E4416" s="21">
        <f>IF(D4416="?OLD","!!!","")</f>
        <v/>
      </c>
      <c r="F4416" s="22" t="str">
        <f>IF(OR(E4416="",E4416="!!!"),"",IF(NOT(ISNA(VLOOKUP(E4416,E$1:E4415,1,FALSE()))),"OLD",IF(AND(E4416&lt;&gt;"",E4416&lt;&gt;"!!!"),"NEW","")))</f>
        <v> </v>
      </c>
      <c r="G4416" s="23" t="str">
        <f>IF(OR(E4416="",E4416="!!!"),"",IF(OR(J4416=0,AND(J4416=1,K4416=1),AND(J4416=1,I4416="SBJ"),AND(J4416=1,I4416=0)),"?IN_FOCUS",IF(J4416&lt;=2,"?ACTIVATED",IF(J4416&lt;&gt;"","?FAMILIAR",IF(F4416="NEW",IF(ISNA(VLOOKUP(E4416,#REF!,1,FALSE())),"?TYPE_IDENTIFIABLE","?REFERENTIAL"),"_")))))</f>
        <v> </v>
      </c>
      <c r="H4416" s="24" t="str">
        <f>IF(J4416&lt;&gt;1,"",IF(I4416="SBJ","CB","?"))</f>
        <v> </v>
      </c>
      <c r="I4416" s="25" t="str">
        <f>IF(OR(E4416="",E4416="!!!",F4416="NEW"),"",INDEX(B4415:B$2,-1+SUMPRODUCT(MAX(ROW(E4415:E$2)*(E4416=E4415:E$2)))))</f>
        <v> </v>
      </c>
      <c r="J4416" s="25" t="str">
        <f>IF(OR(E4416="",E4416="!!!",F4416="NEW"),"",COUNTBLANK(OFFSET(A$1,,,SUMPRODUCT(MAX(ROW(E$2:E4416)*(E4416=E$2:E4416)))))-COUNTBLANK(OFFSET(A$1,,,SUMPRODUCT(MAX(ROW(E$1:E4415)*(E2=E$1:E4415))))))</f>
        <v> </v>
      </c>
      <c r="K4416" s="25" t="str">
        <f>IF(OR(E4416="",E4416="!!!",F4416="NEW"),"",INDEX(J$1:J4415,SUMPRODUCT(MAX(ROW(E$1:E4415)*(E4416=E$1:E4415)))))</f>
        <v> </v>
      </c>
      <c r="L4416" s="26"/>
    </row>
    <row r="4417" spans="1:12">
      <c r="A4417" s="20" t="s">
        <v>1149</v>
      </c>
      <c r="E4417" s="21">
        <f>IF(D4417="?OLD","!!!","")</f>
        <v/>
      </c>
      <c r="F4417" s="22" t="str">
        <f>IF(OR(E4417="",E4417="!!!"),"",IF(NOT(ISNA(VLOOKUP(E4417,E$1:E4416,1,FALSE()))),"OLD",IF(AND(E4417&lt;&gt;"",E4417&lt;&gt;"!!!"),"NEW","")))</f>
        <v> </v>
      </c>
      <c r="G4417" s="23" t="str">
        <f>IF(OR(E4417="",E4417="!!!"),"",IF(OR(J4417=0,AND(J4417=1,K4417=1),AND(J4417=1,I4417="SBJ"),AND(J4417=1,I4417=0)),"?IN_FOCUS",IF(J4417&lt;=2,"?ACTIVATED",IF(J4417&lt;&gt;"","?FAMILIAR",IF(F4417="NEW",IF(ISNA(VLOOKUP(E4417,#REF!,1,FALSE())),"?TYPE_IDENTIFIABLE","?REFERENTIAL"),"_")))))</f>
        <v> </v>
      </c>
      <c r="H4417" s="24" t="str">
        <f>IF(J4417&lt;&gt;1,"",IF(I4417="SBJ","CB","?"))</f>
        <v> </v>
      </c>
      <c r="I4417" s="25" t="str">
        <f>IF(OR(E4417="",E4417="!!!",F4417="NEW"),"",INDEX(B4416:B$2,-1+SUMPRODUCT(MAX(ROW(E4416:E$2)*(E4417=E4416:E$2)))))</f>
        <v> </v>
      </c>
      <c r="J4417" s="25" t="str">
        <f>IF(OR(E4417="",E4417="!!!",F4417="NEW"),"",COUNTBLANK(OFFSET(A$1,,,SUMPRODUCT(MAX(ROW(E$2:E4417)*(E4417=E$2:E4417)))))-COUNTBLANK(OFFSET(A$1,,,SUMPRODUCT(MAX(ROW(E$1:E4416)*(E2=E$1:E4416))))))</f>
        <v> </v>
      </c>
      <c r="K4417" s="25" t="str">
        <f>IF(OR(E4417="",E4417="!!!",F4417="NEW"),"",INDEX(J$1:J4416,SUMPRODUCT(MAX(ROW(E$1:E4416)*(E4417=E$1:E4416)))))</f>
        <v> </v>
      </c>
      <c r="L4417" s="26"/>
    </row>
    <row r="4418" spans="1:12">
      <c r="A4418" s="20" t="s">
        <v>1133</v>
      </c>
      <c r="E4418" s="21">
        <f>IF(D4418="?OLD","!!!","")</f>
        <v/>
      </c>
      <c r="F4418" s="22" t="str">
        <f>IF(OR(E4418="",E4418="!!!"),"",IF(NOT(ISNA(VLOOKUP(E4418,E$1:E4417,1,FALSE()))),"OLD",IF(AND(E4418&lt;&gt;"",E4418&lt;&gt;"!!!"),"NEW","")))</f>
        <v> </v>
      </c>
      <c r="G4418" s="23" t="str">
        <f>IF(OR(E4418="",E4418="!!!"),"",IF(OR(J4418=0,AND(J4418=1,K4418=1),AND(J4418=1,I4418="SBJ"),AND(J4418=1,I4418=0)),"?IN_FOCUS",IF(J4418&lt;=2,"?ACTIVATED",IF(J4418&lt;&gt;"","?FAMILIAR",IF(F4418="NEW",IF(ISNA(VLOOKUP(E4418,#REF!,1,FALSE())),"?TYPE_IDENTIFIABLE","?REFERENTIAL"),"_")))))</f>
        <v> </v>
      </c>
      <c r="H4418" s="24" t="str">
        <f>IF(J4418&lt;&gt;1,"",IF(I4418="SBJ","CB","?"))</f>
        <v> </v>
      </c>
      <c r="I4418" s="25" t="str">
        <f>IF(OR(E4418="",E4418="!!!",F4418="NEW"),"",INDEX(B4417:B$2,-1+SUMPRODUCT(MAX(ROW(E4417:E$2)*(E4418=E4417:E$2)))))</f>
        <v> </v>
      </c>
      <c r="J4418" s="25" t="str">
        <f>IF(OR(E4418="",E4418="!!!",F4418="NEW"),"",COUNTBLANK(OFFSET(A$1,,,SUMPRODUCT(MAX(ROW(E$2:E4418)*(E4418=E$2:E4418)))))-COUNTBLANK(OFFSET(A$1,,,SUMPRODUCT(MAX(ROW(E$1:E4417)*(E2=E$1:E4417))))))</f>
        <v> </v>
      </c>
      <c r="K4418" s="25" t="str">
        <f>IF(OR(E4418="",E4418="!!!",F4418="NEW"),"",INDEX(J$1:J4417,SUMPRODUCT(MAX(ROW(E$1:E4417)*(E4418=E$1:E4417)))))</f>
        <v> </v>
      </c>
      <c r="L4418" s="26"/>
    </row>
    <row r="4419" spans="1:12">
      <c r="A4419" s="20" t="s">
        <v>2021</v>
      </c>
      <c r="B4419" s="27" t="s">
        <v>733</v>
      </c>
      <c r="C4419" s="27" t="s">
        <v>744</v>
      </c>
      <c r="E4419" s="21">
        <f>IF(D4419="?OLD","!!!","")</f>
        <v/>
      </c>
      <c r="F4419" s="22" t="str">
        <f>IF(OR(E4419="",E4419="!!!"),"",IF(NOT(ISNA(VLOOKUP(E4419,E$1:E4418,1,FALSE()))),"OLD",IF(AND(E4419&lt;&gt;"",E4419&lt;&gt;"!!!"),"NEW","")))</f>
        <v> </v>
      </c>
      <c r="G4419" s="23" t="str">
        <f>IF(OR(E4419="",E4419="!!!"),"",IF(OR(J4419=0,AND(J4419=1,K4419=1),AND(J4419=1,I4419="SBJ"),AND(J4419=1,I4419=0)),"?IN_FOCUS",IF(J4419&lt;=2,"?ACTIVATED",IF(J4419&lt;&gt;"","?FAMILIAR",IF(F4419="NEW",IF(ISNA(VLOOKUP(E4419,#REF!,1,FALSE())),"?TYPE_IDENTIFIABLE","?REFERENTIAL"),"_")))))</f>
        <v> </v>
      </c>
      <c r="H4419" s="24" t="str">
        <f>IF(J4419&lt;&gt;1,"",IF(I4419="SBJ","CB","?"))</f>
        <v> </v>
      </c>
      <c r="I4419" s="25" t="str">
        <f>IF(OR(E4419="",E4419="!!!",F4419="NEW"),"",INDEX(B4418:B$2,-1+SUMPRODUCT(MAX(ROW(E4418:E$2)*(E4419=E4418:E$2)))))</f>
        <v> </v>
      </c>
      <c r="J4419" s="25" t="str">
        <f>IF(OR(E4419="",E4419="!!!",F4419="NEW"),"",COUNTBLANK(OFFSET(A$1,,,SUMPRODUCT(MAX(ROW(E$2:E4419)*(E4419=E$2:E4419)))))-COUNTBLANK(OFFSET(A$1,,,SUMPRODUCT(MAX(ROW(E$1:E4418)*(E2=E$1:E4418))))))</f>
        <v> </v>
      </c>
      <c r="K4419" s="25" t="str">
        <f>IF(OR(E4419="",E4419="!!!",F4419="NEW"),"",INDEX(J$1:J4418,SUMPRODUCT(MAX(ROW(E$1:E4418)*(E4419=E$1:E4418)))))</f>
        <v> </v>
      </c>
      <c r="L4419" s="26"/>
    </row>
    <row r="4420" spans="1:12">
      <c r="A4420" s="20" t="s">
        <v>1689</v>
      </c>
      <c r="E4420" s="21">
        <f>IF(D4420="?OLD","!!!","")</f>
        <v/>
      </c>
      <c r="F4420" s="22" t="str">
        <f>IF(OR(E4420="",E4420="!!!"),"",IF(NOT(ISNA(VLOOKUP(E4420,E$1:E4419,1,FALSE()))),"OLD",IF(AND(E4420&lt;&gt;"",E4420&lt;&gt;"!!!"),"NEW","")))</f>
        <v> </v>
      </c>
      <c r="G4420" s="23" t="str">
        <f>IF(OR(E4420="",E4420="!!!"),"",IF(OR(J4420=0,AND(J4420=1,K4420=1),AND(J4420=1,I4420="SBJ"),AND(J4420=1,I4420=0)),"?IN_FOCUS",IF(J4420&lt;=2,"?ACTIVATED",IF(J4420&lt;&gt;"","?FAMILIAR",IF(F4420="NEW",IF(ISNA(VLOOKUP(E4420,#REF!,1,FALSE())),"?TYPE_IDENTIFIABLE","?REFERENTIAL"),"_")))))</f>
        <v> </v>
      </c>
      <c r="H4420" s="24" t="str">
        <f>IF(J4420&lt;&gt;1,"",IF(I4420="SBJ","CB","?"))</f>
        <v> </v>
      </c>
      <c r="I4420" s="25" t="str">
        <f>IF(OR(E4420="",E4420="!!!",F4420="NEW"),"",INDEX(B4419:B$2,-1+SUMPRODUCT(MAX(ROW(E4419:E$2)*(E4420=E4419:E$2)))))</f>
        <v> </v>
      </c>
      <c r="J4420" s="25" t="str">
        <f>IF(OR(E4420="",E4420="!!!",F4420="NEW"),"",COUNTBLANK(OFFSET(A$1,,,SUMPRODUCT(MAX(ROW(E$2:E4420)*(E4420=E$2:E4420)))))-COUNTBLANK(OFFSET(A$1,,,SUMPRODUCT(MAX(ROW(E$1:E4419)*(E2=E$1:E4419))))))</f>
        <v> </v>
      </c>
      <c r="K4420" s="25" t="str">
        <f>IF(OR(E4420="",E4420="!!!",F4420="NEW"),"",INDEX(J$1:J4419,SUMPRODUCT(MAX(ROW(E$1:E4419)*(E4420=E$1:E4419)))))</f>
        <v> </v>
      </c>
      <c r="L4420" s="26"/>
    </row>
    <row r="4421" spans="1:12">
      <c r="A4421" s="20" t="s">
        <v>753</v>
      </c>
      <c r="E4421" s="21">
        <f>IF(D4421="?OLD","!!!","")</f>
        <v/>
      </c>
      <c r="F4421" s="22" t="str">
        <f>IF(OR(E4421="",E4421="!!!"),"",IF(NOT(ISNA(VLOOKUP(E4421,E$1:E4420,1,FALSE()))),"OLD",IF(AND(E4421&lt;&gt;"",E4421&lt;&gt;"!!!"),"NEW","")))</f>
        <v> </v>
      </c>
      <c r="G4421" s="23" t="str">
        <f>IF(OR(E4421="",E4421="!!!"),"",IF(OR(J4421=0,AND(J4421=1,K4421=1),AND(J4421=1,I4421="SBJ"),AND(J4421=1,I4421=0)),"?IN_FOCUS",IF(J4421&lt;=2,"?ACTIVATED",IF(J4421&lt;&gt;"","?FAMILIAR",IF(F4421="NEW",IF(ISNA(VLOOKUP(E4421,#REF!,1,FALSE())),"?TYPE_IDENTIFIABLE","?REFERENTIAL"),"_")))))</f>
        <v> </v>
      </c>
      <c r="H4421" s="24" t="str">
        <f>IF(J4421&lt;&gt;1,"",IF(I4421="SBJ","CB","?"))</f>
        <v> </v>
      </c>
      <c r="I4421" s="25" t="str">
        <f>IF(OR(E4421="",E4421="!!!",F4421="NEW"),"",INDEX(B4420:B$2,-1+SUMPRODUCT(MAX(ROW(E4420:E$2)*(E4421=E4420:E$2)))))</f>
        <v> </v>
      </c>
      <c r="J4421" s="25" t="str">
        <f>IF(OR(E4421="",E4421="!!!",F4421="NEW"),"",COUNTBLANK(OFFSET(A$1,,,SUMPRODUCT(MAX(ROW(E$2:E4421)*(E4421=E$2:E4421)))))-COUNTBLANK(OFFSET(A$1,,,SUMPRODUCT(MAX(ROW(E$1:E4420)*(E2=E$1:E4420))))))</f>
        <v> </v>
      </c>
      <c r="K4421" s="25" t="str">
        <f>IF(OR(E4421="",E4421="!!!",F4421="NEW"),"",INDEX(J$1:J4420,SUMPRODUCT(MAX(ROW(E$1:E4420)*(E4421=E$1:E4420)))))</f>
        <v> </v>
      </c>
      <c r="L4421" s="26"/>
    </row>
    <row r="4422" spans="1:12">
      <c r="A4422" s="20" t="s">
        <v>1913</v>
      </c>
      <c r="B4422" s="27" t="s">
        <v>787</v>
      </c>
      <c r="C4422" s="27" t="s">
        <v>772</v>
      </c>
      <c r="E4422" s="21">
        <f>IF(D4422="?OLD","!!!","")</f>
        <v/>
      </c>
      <c r="F4422" s="22" t="str">
        <f>IF(OR(E4422="",E4422="!!!"),"",IF(NOT(ISNA(VLOOKUP(E4422,E$1:E4421,1,FALSE()))),"OLD",IF(AND(E4422&lt;&gt;"",E4422&lt;&gt;"!!!"),"NEW","")))</f>
        <v> </v>
      </c>
      <c r="G4422" s="23" t="str">
        <f>IF(OR(E4422="",E4422="!!!"),"",IF(OR(J4422=0,AND(J4422=1,K4422=1),AND(J4422=1,I4422="SBJ"),AND(J4422=1,I4422=0)),"?IN_FOCUS",IF(J4422&lt;=2,"?ACTIVATED",IF(J4422&lt;&gt;"","?FAMILIAR",IF(F4422="NEW",IF(ISNA(VLOOKUP(E4422,#REF!,1,FALSE())),"?TYPE_IDENTIFIABLE","?REFERENTIAL"),"_")))))</f>
        <v> </v>
      </c>
      <c r="H4422" s="24" t="str">
        <f>IF(J4422&lt;&gt;1,"",IF(I4422="SBJ","CB","?"))</f>
        <v> </v>
      </c>
      <c r="I4422" s="25" t="str">
        <f>IF(OR(E4422="",E4422="!!!",F4422="NEW"),"",INDEX(B4421:B$2,-1+SUMPRODUCT(MAX(ROW(E4421:E$2)*(E4422=E4421:E$2)))))</f>
        <v> </v>
      </c>
      <c r="J4422" s="25" t="str">
        <f>IF(OR(E4422="",E4422="!!!",F4422="NEW"),"",COUNTBLANK(OFFSET(A$1,,,SUMPRODUCT(MAX(ROW(E$2:E4422)*(E4422=E$2:E4422)))))-COUNTBLANK(OFFSET(A$1,,,SUMPRODUCT(MAX(ROW(E$1:E4421)*(E2=E$1:E4421))))))</f>
        <v> </v>
      </c>
      <c r="K4422" s="25" t="str">
        <f>IF(OR(E4422="",E4422="!!!",F4422="NEW"),"",INDEX(J$1:J4421,SUMPRODUCT(MAX(ROW(E$1:E4421)*(E4422=E$1:E4421)))))</f>
        <v> </v>
      </c>
      <c r="L4422" s="26"/>
    </row>
    <row r="4423" spans="1:12">
      <c r="A4423" s="20" t="s">
        <v>1580</v>
      </c>
      <c r="B4423" s="27" t="s">
        <v>764</v>
      </c>
      <c r="C4423" s="27" t="s">
        <v>848</v>
      </c>
      <c r="E4423" s="21">
        <f>IF(D4423="?OLD","!!!","")</f>
        <v/>
      </c>
      <c r="F4423" s="22" t="str">
        <f>IF(OR(E4423="",E4423="!!!"),"",IF(NOT(ISNA(VLOOKUP(E4423,E$1:E4422,1,FALSE()))),"OLD",IF(AND(E4423&lt;&gt;"",E4423&lt;&gt;"!!!"),"NEW","")))</f>
        <v> </v>
      </c>
      <c r="G4423" s="23" t="str">
        <f>IF(OR(E4423="",E4423="!!!"),"",IF(OR(J4423=0,AND(J4423=1,K4423=1),AND(J4423=1,I4423="SBJ"),AND(J4423=1,I4423=0)),"?IN_FOCUS",IF(J4423&lt;=2,"?ACTIVATED",IF(J4423&lt;&gt;"","?FAMILIAR",IF(F4423="NEW",IF(ISNA(VLOOKUP(E4423,#REF!,1,FALSE())),"?TYPE_IDENTIFIABLE","?REFERENTIAL"),"_")))))</f>
        <v> </v>
      </c>
      <c r="H4423" s="24" t="str">
        <f>IF(J4423&lt;&gt;1,"",IF(I4423="SBJ","CB","?"))</f>
        <v> </v>
      </c>
      <c r="I4423" s="25" t="str">
        <f>IF(OR(E4423="",E4423="!!!",F4423="NEW"),"",INDEX(B4422:B$2,-1+SUMPRODUCT(MAX(ROW(E4422:E$2)*(E4423=E4422:E$2)))))</f>
        <v> </v>
      </c>
      <c r="J4423" s="25" t="str">
        <f>IF(OR(E4423="",E4423="!!!",F4423="NEW"),"",COUNTBLANK(OFFSET(A$1,,,SUMPRODUCT(MAX(ROW(E$2:E4423)*(E4423=E$2:E4423)))))-COUNTBLANK(OFFSET(A$1,,,SUMPRODUCT(MAX(ROW(E$1:E4422)*(E2=E$1:E4422))))))</f>
        <v> </v>
      </c>
      <c r="K4423" s="25" t="str">
        <f>IF(OR(E4423="",E4423="!!!",F4423="NEW"),"",INDEX(J$1:J4422,SUMPRODUCT(MAX(ROW(E$1:E4422)*(E4423=E$1:E4422)))))</f>
        <v> </v>
      </c>
      <c r="L4423" s="26"/>
    </row>
    <row r="4424" spans="1:12">
      <c r="A4424" s="20" t="s">
        <v>980</v>
      </c>
      <c r="B4424" s="27" t="s">
        <v>795</v>
      </c>
      <c r="C4424" s="27" t="s">
        <v>734</v>
      </c>
      <c r="E4424" s="21">
        <f>IF(D4424="?OLD","!!!","")</f>
        <v/>
      </c>
      <c r="F4424" s="22" t="str">
        <f>IF(OR(E4424="",E4424="!!!"),"",IF(NOT(ISNA(VLOOKUP(E4424,E$1:E4423,1,FALSE()))),"OLD",IF(AND(E4424&lt;&gt;"",E4424&lt;&gt;"!!!"),"NEW","")))</f>
        <v> </v>
      </c>
      <c r="G4424" s="23" t="str">
        <f>IF(OR(E4424="",E4424="!!!"),"",IF(OR(J4424=0,AND(J4424=1,K4424=1),AND(J4424=1,I4424="SBJ"),AND(J4424=1,I4424=0)),"?IN_FOCUS",IF(J4424&lt;=2,"?ACTIVATED",IF(J4424&lt;&gt;"","?FAMILIAR",IF(F4424="NEW",IF(ISNA(VLOOKUP(E4424,#REF!,1,FALSE())),"?TYPE_IDENTIFIABLE","?REFERENTIAL"),"_")))))</f>
        <v> </v>
      </c>
      <c r="H4424" s="24" t="str">
        <f>IF(J4424&lt;&gt;1,"",IF(I4424="SBJ","CB","?"))</f>
        <v> </v>
      </c>
      <c r="I4424" s="25" t="str">
        <f>IF(OR(E4424="",E4424="!!!",F4424="NEW"),"",INDEX(B4423:B$2,-1+SUMPRODUCT(MAX(ROW(E4423:E$2)*(E4424=E4423:E$2)))))</f>
        <v> </v>
      </c>
      <c r="J4424" s="25" t="str">
        <f>IF(OR(E4424="",E4424="!!!",F4424="NEW"),"",COUNTBLANK(OFFSET(A$1,,,SUMPRODUCT(MAX(ROW(E$2:E4424)*(E4424=E$2:E4424)))))-COUNTBLANK(OFFSET(A$1,,,SUMPRODUCT(MAX(ROW(E$1:E4423)*(E2=E$1:E4423))))))</f>
        <v> </v>
      </c>
      <c r="K4424" s="25" t="str">
        <f>IF(OR(E4424="",E4424="!!!",F4424="NEW"),"",INDEX(J$1:J4423,SUMPRODUCT(MAX(ROW(E$1:E4423)*(E4424=E$1:E4423)))))</f>
        <v> </v>
      </c>
      <c r="L4424" s="26"/>
    </row>
    <row r="4425" spans="1:12">
      <c r="A4425" s="20" t="s">
        <v>729</v>
      </c>
      <c r="E4425" s="21">
        <f>IF(D4425="?OLD","!!!","")</f>
        <v/>
      </c>
      <c r="F4425" s="22" t="str">
        <f>IF(OR(E4425="",E4425="!!!"),"",IF(NOT(ISNA(VLOOKUP(E4425,E$1:E4424,1,FALSE()))),"OLD",IF(AND(E4425&lt;&gt;"",E4425&lt;&gt;"!!!"),"NEW","")))</f>
        <v> </v>
      </c>
      <c r="G4425" s="23" t="str">
        <f>IF(OR(E4425="",E4425="!!!"),"",IF(OR(J4425=0,AND(J4425=1,K4425=1),AND(J4425=1,I4425="SBJ"),AND(J4425=1,I4425=0)),"?IN_FOCUS",IF(J4425&lt;=2,"?ACTIVATED",IF(J4425&lt;&gt;"","?FAMILIAR",IF(F4425="NEW",IF(ISNA(VLOOKUP(E4425,#REF!,1,FALSE())),"?TYPE_IDENTIFIABLE","?REFERENTIAL"),"_")))))</f>
        <v> </v>
      </c>
      <c r="H4425" s="24" t="str">
        <f>IF(J4425&lt;&gt;1,"",IF(I4425="SBJ","CB","?"))</f>
        <v> </v>
      </c>
      <c r="I4425" s="25" t="str">
        <f>IF(OR(E4425="",E4425="!!!",F4425="NEW"),"",INDEX(B4424:B$2,-1+SUMPRODUCT(MAX(ROW(E4424:E$2)*(E4425=E4424:E$2)))))</f>
        <v> </v>
      </c>
      <c r="J4425" s="25" t="str">
        <f>IF(OR(E4425="",E4425="!!!",F4425="NEW"),"",COUNTBLANK(OFFSET(A$1,,,SUMPRODUCT(MAX(ROW(E$2:E4425)*(E4425=E$2:E4425)))))-COUNTBLANK(OFFSET(A$1,,,SUMPRODUCT(MAX(ROW(E$1:E4424)*(E2=E$1:E4424))))))</f>
        <v> </v>
      </c>
      <c r="K4425" s="25" t="str">
        <f>IF(OR(E4425="",E4425="!!!",F4425="NEW"),"",INDEX(J$1:J4424,SUMPRODUCT(MAX(ROW(E$1:E4424)*(E4425=E$1:E4424)))))</f>
        <v> </v>
      </c>
      <c r="L4425" s="26"/>
    </row>
    <row r="4426" spans="1:12">
      <c r="A4426" s="20" t="s">
        <v>1072</v>
      </c>
      <c r="E4426" s="21">
        <f>IF(D4426="?OLD","!!!","")</f>
        <v/>
      </c>
      <c r="F4426" s="22" t="str">
        <f>IF(OR(E4426="",E4426="!!!"),"",IF(NOT(ISNA(VLOOKUP(E4426,E$1:E4425,1,FALSE()))),"OLD",IF(AND(E4426&lt;&gt;"",E4426&lt;&gt;"!!!"),"NEW","")))</f>
        <v> </v>
      </c>
      <c r="G4426" s="23" t="str">
        <f>IF(OR(E4426="",E4426="!!!"),"",IF(OR(J4426=0,AND(J4426=1,K4426=1),AND(J4426=1,I4426="SBJ"),AND(J4426=1,I4426=0)),"?IN_FOCUS",IF(J4426&lt;=2,"?ACTIVATED",IF(J4426&lt;&gt;"","?FAMILIAR",IF(F4426="NEW",IF(ISNA(VLOOKUP(E4426,#REF!,1,FALSE())),"?TYPE_IDENTIFIABLE","?REFERENTIAL"),"_")))))</f>
        <v> </v>
      </c>
      <c r="H4426" s="24" t="str">
        <f>IF(J4426&lt;&gt;1,"",IF(I4426="SBJ","CB","?"))</f>
        <v> </v>
      </c>
      <c r="I4426" s="25" t="str">
        <f>IF(OR(E4426="",E4426="!!!",F4426="NEW"),"",INDEX(B4425:B$2,-1+SUMPRODUCT(MAX(ROW(E4425:E$2)*(E4426=E4425:E$2)))))</f>
        <v> </v>
      </c>
      <c r="J4426" s="25" t="str">
        <f>IF(OR(E4426="",E4426="!!!",F4426="NEW"),"",COUNTBLANK(OFFSET(A$1,,,SUMPRODUCT(MAX(ROW(E$2:E4426)*(E4426=E$2:E4426)))))-COUNTBLANK(OFFSET(A$1,,,SUMPRODUCT(MAX(ROW(E$1:E4425)*(E2=E$1:E4425))))))</f>
        <v> </v>
      </c>
      <c r="K4426" s="25" t="str">
        <f>IF(OR(E4426="",E4426="!!!",F4426="NEW"),"",INDEX(J$1:J4425,SUMPRODUCT(MAX(ROW(E$1:E4425)*(E4426=E$1:E4425)))))</f>
        <v> </v>
      </c>
      <c r="L4426" s="26"/>
    </row>
    <row r="4427" spans="1:12">
      <c r="A4427" s="20" t="s">
        <v>1205</v>
      </c>
      <c r="B4427" s="27" t="s">
        <v>777</v>
      </c>
      <c r="C4427" s="27" t="s">
        <v>848</v>
      </c>
      <c r="E4427" s="21">
        <f>IF(D4427="?OLD","!!!","")</f>
        <v/>
      </c>
      <c r="F4427" s="22" t="str">
        <f>IF(OR(E4427="",E4427="!!!"),"",IF(NOT(ISNA(VLOOKUP(E4427,E$1:E4426,1,FALSE()))),"OLD",IF(AND(E4427&lt;&gt;"",E4427&lt;&gt;"!!!"),"NEW","")))</f>
        <v> </v>
      </c>
      <c r="G4427" s="23" t="str">
        <f>IF(OR(E4427="",E4427="!!!"),"",IF(OR(J4427=0,AND(J4427=1,K4427=1),AND(J4427=1,I4427="SBJ"),AND(J4427=1,I4427=0)),"?IN_FOCUS",IF(J4427&lt;=2,"?ACTIVATED",IF(J4427&lt;&gt;"","?FAMILIAR",IF(F4427="NEW",IF(ISNA(VLOOKUP(E4427,#REF!,1,FALSE())),"?TYPE_IDENTIFIABLE","?REFERENTIAL"),"_")))))</f>
        <v> </v>
      </c>
      <c r="H4427" s="24" t="str">
        <f>IF(J4427&lt;&gt;1,"",IF(I4427="SBJ","CB","?"))</f>
        <v> </v>
      </c>
      <c r="I4427" s="25" t="str">
        <f>IF(OR(E4427="",E4427="!!!",F4427="NEW"),"",INDEX(B4426:B$2,-1+SUMPRODUCT(MAX(ROW(E4426:E$2)*(E4427=E4426:E$2)))))</f>
        <v> </v>
      </c>
      <c r="J4427" s="25" t="str">
        <f>IF(OR(E4427="",E4427="!!!",F4427="NEW"),"",COUNTBLANK(OFFSET(A$1,,,SUMPRODUCT(MAX(ROW(E$2:E4427)*(E4427=E$2:E4427)))))-COUNTBLANK(OFFSET(A$1,,,SUMPRODUCT(MAX(ROW(E$1:E4426)*(E2=E$1:E4426))))))</f>
        <v> </v>
      </c>
      <c r="K4427" s="25" t="str">
        <f>IF(OR(E4427="",E4427="!!!",F4427="NEW"),"",INDEX(J$1:J4426,SUMPRODUCT(MAX(ROW(E$1:E4426)*(E4427=E$1:E4426)))))</f>
        <v> </v>
      </c>
      <c r="L4427" s="26"/>
    </row>
    <row r="4428" spans="1:12">
      <c r="A4428" s="20" t="s">
        <v>783</v>
      </c>
      <c r="E4428" s="21">
        <f>IF(D4428="?OLD","!!!","")</f>
        <v/>
      </c>
      <c r="F4428" s="22" t="str">
        <f>IF(OR(E4428="",E4428="!!!"),"",IF(NOT(ISNA(VLOOKUP(E4428,E$1:E4427,1,FALSE()))),"OLD",IF(AND(E4428&lt;&gt;"",E4428&lt;&gt;"!!!"),"NEW","")))</f>
        <v> </v>
      </c>
      <c r="G4428" s="23" t="str">
        <f>IF(OR(E4428="",E4428="!!!"),"",IF(OR(J4428=0,AND(J4428=1,K4428=1),AND(J4428=1,I4428="SBJ"),AND(J4428=1,I4428=0)),"?IN_FOCUS",IF(J4428&lt;=2,"?ACTIVATED",IF(J4428&lt;&gt;"","?FAMILIAR",IF(F4428="NEW",IF(ISNA(VLOOKUP(E4428,#REF!,1,FALSE())),"?TYPE_IDENTIFIABLE","?REFERENTIAL"),"_")))))</f>
        <v> </v>
      </c>
      <c r="H4428" s="24" t="str">
        <f>IF(J4428&lt;&gt;1,"",IF(I4428="SBJ","CB","?"))</f>
        <v> </v>
      </c>
      <c r="I4428" s="25" t="str">
        <f>IF(OR(E4428="",E4428="!!!",F4428="NEW"),"",INDEX(B4427:B$2,-1+SUMPRODUCT(MAX(ROW(E4427:E$2)*(E4428=E4427:E$2)))))</f>
        <v> </v>
      </c>
      <c r="J4428" s="25" t="str">
        <f>IF(OR(E4428="",E4428="!!!",F4428="NEW"),"",COUNTBLANK(OFFSET(A$1,,,SUMPRODUCT(MAX(ROW(E$2:E4428)*(E4428=E$2:E4428)))))-COUNTBLANK(OFFSET(A$1,,,SUMPRODUCT(MAX(ROW(E$1:E4427)*(E2=E$1:E4427))))))</f>
        <v> </v>
      </c>
      <c r="K4428" s="25" t="str">
        <f>IF(OR(E4428="",E4428="!!!",F4428="NEW"),"",INDEX(J$1:J4427,SUMPRODUCT(MAX(ROW(E$1:E4427)*(E4428=E$1:E4427)))))</f>
        <v> </v>
      </c>
      <c r="L4428" s="26"/>
    </row>
    <row r="4429" spans="1:12">
      <c r="A4429" s="20" t="s">
        <v>183</v>
      </c>
      <c r="B4429" s="27" t="s">
        <v>787</v>
      </c>
      <c r="C4429" s="27" t="s">
        <v>734</v>
      </c>
      <c r="E4429" s="21">
        <f>IF(D4429="?OLD","!!!","")</f>
        <v/>
      </c>
      <c r="F4429" s="22" t="str">
        <f>IF(OR(E4429="",E4429="!!!"),"",IF(NOT(ISNA(VLOOKUP(E4429,E$1:E4428,1,FALSE()))),"OLD",IF(AND(E4429&lt;&gt;"",E4429&lt;&gt;"!!!"),"NEW","")))</f>
        <v> </v>
      </c>
      <c r="G4429" s="23" t="str">
        <f>IF(OR(E4429="",E4429="!!!"),"",IF(OR(J4429=0,AND(J4429=1,K4429=1),AND(J4429=1,I4429="SBJ"),AND(J4429=1,I4429=0)),"?IN_FOCUS",IF(J4429&lt;=2,"?ACTIVATED",IF(J4429&lt;&gt;"","?FAMILIAR",IF(F4429="NEW",IF(ISNA(VLOOKUP(E4429,#REF!,1,FALSE())),"?TYPE_IDENTIFIABLE","?REFERENTIAL"),"_")))))</f>
        <v> </v>
      </c>
      <c r="H4429" s="24" t="str">
        <f>IF(J4429&lt;&gt;1,"",IF(I4429="SBJ","CB","?"))</f>
        <v> </v>
      </c>
      <c r="I4429" s="25" t="str">
        <f>IF(OR(E4429="",E4429="!!!",F4429="NEW"),"",INDEX(B4428:B$2,-1+SUMPRODUCT(MAX(ROW(E4428:E$2)*(E4429=E4428:E$2)))))</f>
        <v> </v>
      </c>
      <c r="J4429" s="25" t="str">
        <f>IF(OR(E4429="",E4429="!!!",F4429="NEW"),"",COUNTBLANK(OFFSET(A$1,,,SUMPRODUCT(MAX(ROW(E$2:E4429)*(E4429=E$2:E4429)))))-COUNTBLANK(OFFSET(A$1,,,SUMPRODUCT(MAX(ROW(E$1:E4428)*(E2=E$1:E4428))))))</f>
        <v> </v>
      </c>
      <c r="K4429" s="25" t="str">
        <f>IF(OR(E4429="",E4429="!!!",F4429="NEW"),"",INDEX(J$1:J4428,SUMPRODUCT(MAX(ROW(E$1:E4428)*(E4429=E$1:E4428)))))</f>
        <v> </v>
      </c>
      <c r="L4429" s="26"/>
    </row>
    <row r="4430" spans="1:12">
      <c r="A4430" s="20" t="s">
        <v>1718</v>
      </c>
      <c r="E4430" s="21">
        <f>IF(D4430="?OLD","!!!","")</f>
        <v/>
      </c>
      <c r="F4430" s="22" t="str">
        <f>IF(OR(E4430="",E4430="!!!"),"",IF(NOT(ISNA(VLOOKUP(E4430,E$1:E4429,1,FALSE()))),"OLD",IF(AND(E4430&lt;&gt;"",E4430&lt;&gt;"!!!"),"NEW","")))</f>
        <v> </v>
      </c>
      <c r="G4430" s="23" t="str">
        <f>IF(OR(E4430="",E4430="!!!"),"",IF(OR(J4430=0,AND(J4430=1,K4430=1),AND(J4430=1,I4430="SBJ"),AND(J4430=1,I4430=0)),"?IN_FOCUS",IF(J4430&lt;=2,"?ACTIVATED",IF(J4430&lt;&gt;"","?FAMILIAR",IF(F4430="NEW",IF(ISNA(VLOOKUP(E4430,#REF!,1,FALSE())),"?TYPE_IDENTIFIABLE","?REFERENTIAL"),"_")))))</f>
        <v> </v>
      </c>
      <c r="H4430" s="24" t="str">
        <f>IF(J4430&lt;&gt;1,"",IF(I4430="SBJ","CB","?"))</f>
        <v> </v>
      </c>
      <c r="I4430" s="25" t="str">
        <f>IF(OR(E4430="",E4430="!!!",F4430="NEW"),"",INDEX(B4429:B$2,-1+SUMPRODUCT(MAX(ROW(E4429:E$2)*(E4430=E4429:E$2)))))</f>
        <v> </v>
      </c>
      <c r="J4430" s="25" t="str">
        <f>IF(OR(E4430="",E4430="!!!",F4430="NEW"),"",COUNTBLANK(OFFSET(A$1,,,SUMPRODUCT(MAX(ROW(E$2:E4430)*(E4430=E$2:E4430)))))-COUNTBLANK(OFFSET(A$1,,,SUMPRODUCT(MAX(ROW(E$1:E4429)*(E2=E$1:E4429))))))</f>
        <v> </v>
      </c>
      <c r="K4430" s="25" t="str">
        <f>IF(OR(E4430="",E4430="!!!",F4430="NEW"),"",INDEX(J$1:J4429,SUMPRODUCT(MAX(ROW(E$1:E4429)*(E4430=E$1:E4429)))))</f>
        <v> </v>
      </c>
      <c r="L4430" s="26"/>
    </row>
    <row r="4431" spans="1:12">
      <c r="A4431" s="20" t="s">
        <v>1918</v>
      </c>
      <c r="E4431" s="21">
        <f>IF(D4431="?OLD","!!!","")</f>
        <v/>
      </c>
      <c r="F4431" s="22" t="str">
        <f>IF(OR(E4431="",E4431="!!!"),"",IF(NOT(ISNA(VLOOKUP(E4431,E$1:E4430,1,FALSE()))),"OLD",IF(AND(E4431&lt;&gt;"",E4431&lt;&gt;"!!!"),"NEW","")))</f>
        <v> </v>
      </c>
      <c r="G4431" s="23" t="str">
        <f>IF(OR(E4431="",E4431="!!!"),"",IF(OR(J4431=0,AND(J4431=1,K4431=1),AND(J4431=1,I4431="SBJ"),AND(J4431=1,I4431=0)),"?IN_FOCUS",IF(J4431&lt;=2,"?ACTIVATED",IF(J4431&lt;&gt;"","?FAMILIAR",IF(F4431="NEW",IF(ISNA(VLOOKUP(E4431,#REF!,1,FALSE())),"?TYPE_IDENTIFIABLE","?REFERENTIAL"),"_")))))</f>
        <v> </v>
      </c>
      <c r="H4431" s="24" t="str">
        <f>IF(J4431&lt;&gt;1,"",IF(I4431="SBJ","CB","?"))</f>
        <v> </v>
      </c>
      <c r="I4431" s="25" t="str">
        <f>IF(OR(E4431="",E4431="!!!",F4431="NEW"),"",INDEX(B4430:B$2,-1+SUMPRODUCT(MAX(ROW(E4430:E$2)*(E4431=E4430:E$2)))))</f>
        <v> </v>
      </c>
      <c r="J4431" s="25" t="str">
        <f>IF(OR(E4431="",E4431="!!!",F4431="NEW"),"",COUNTBLANK(OFFSET(A$1,,,SUMPRODUCT(MAX(ROW(E$2:E4431)*(E4431=E$2:E4431)))))-COUNTBLANK(OFFSET(A$1,,,SUMPRODUCT(MAX(ROW(E$1:E4430)*(E2=E$1:E4430))))))</f>
        <v> </v>
      </c>
      <c r="K4431" s="25" t="str">
        <f>IF(OR(E4431="",E4431="!!!",F4431="NEW"),"",INDEX(J$1:J4430,SUMPRODUCT(MAX(ROW(E$1:E4430)*(E4431=E$1:E4430)))))</f>
        <v> </v>
      </c>
      <c r="L4431" s="26"/>
    </row>
    <row r="4432" spans="1:12">
      <c r="A4432" s="20" t="s">
        <v>1919</v>
      </c>
      <c r="B4432" s="27" t="s">
        <v>1027</v>
      </c>
      <c r="C4432" s="27" t="s">
        <v>744</v>
      </c>
      <c r="E4432" s="21">
        <f>IF(D4432="?OLD","!!!","")</f>
        <v/>
      </c>
      <c r="F4432" s="22" t="str">
        <f>IF(OR(E4432="",E4432="!!!"),"",IF(NOT(ISNA(VLOOKUP(E4432,E$1:E4431,1,FALSE()))),"OLD",IF(AND(E4432&lt;&gt;"",E4432&lt;&gt;"!!!"),"NEW","")))</f>
        <v> </v>
      </c>
      <c r="G4432" s="23" t="str">
        <f>IF(OR(E4432="",E4432="!!!"),"",IF(OR(J4432=0,AND(J4432=1,K4432=1),AND(J4432=1,I4432="SBJ"),AND(J4432=1,I4432=0)),"?IN_FOCUS",IF(J4432&lt;=2,"?ACTIVATED",IF(J4432&lt;&gt;"","?FAMILIAR",IF(F4432="NEW",IF(ISNA(VLOOKUP(E4432,#REF!,1,FALSE())),"?TYPE_IDENTIFIABLE","?REFERENTIAL"),"_")))))</f>
        <v> </v>
      </c>
      <c r="H4432" s="24" t="str">
        <f>IF(J4432&lt;&gt;1,"",IF(I4432="SBJ","CB","?"))</f>
        <v> </v>
      </c>
      <c r="I4432" s="25" t="str">
        <f>IF(OR(E4432="",E4432="!!!",F4432="NEW"),"",INDEX(B4431:B$2,-1+SUMPRODUCT(MAX(ROW(E4431:E$2)*(E4432=E4431:E$2)))))</f>
        <v> </v>
      </c>
      <c r="J4432" s="25" t="str">
        <f>IF(OR(E4432="",E4432="!!!",F4432="NEW"),"",COUNTBLANK(OFFSET(A$1,,,SUMPRODUCT(MAX(ROW(E$2:E4432)*(E4432=E$2:E4432)))))-COUNTBLANK(OFFSET(A$1,,,SUMPRODUCT(MAX(ROW(E$1:E4431)*(E2=E$1:E4431))))))</f>
        <v> </v>
      </c>
      <c r="K4432" s="25" t="str">
        <f>IF(OR(E4432="",E4432="!!!",F4432="NEW"),"",INDEX(J$1:J4431,SUMPRODUCT(MAX(ROW(E$1:E4431)*(E4432=E$1:E4431)))))</f>
        <v> </v>
      </c>
      <c r="L4432" s="26"/>
    </row>
    <row r="4433" spans="1:12">
      <c r="A4433" s="20" t="s">
        <v>2022</v>
      </c>
      <c r="E4433" s="21">
        <f>IF(D4433="?OLD","!!!","")</f>
        <v/>
      </c>
      <c r="F4433" s="22" t="str">
        <f>IF(OR(E4433="",E4433="!!!"),"",IF(NOT(ISNA(VLOOKUP(E4433,E$1:E4432,1,FALSE()))),"OLD",IF(AND(E4433&lt;&gt;"",E4433&lt;&gt;"!!!"),"NEW","")))</f>
        <v> </v>
      </c>
      <c r="G4433" s="23" t="str">
        <f>IF(OR(E4433="",E4433="!!!"),"",IF(OR(J4433=0,AND(J4433=1,K4433=1),AND(J4433=1,I4433="SBJ"),AND(J4433=1,I4433=0)),"?IN_FOCUS",IF(J4433&lt;=2,"?ACTIVATED",IF(J4433&lt;&gt;"","?FAMILIAR",IF(F4433="NEW",IF(ISNA(VLOOKUP(E4433,#REF!,1,FALSE())),"?TYPE_IDENTIFIABLE","?REFERENTIAL"),"_")))))</f>
        <v> </v>
      </c>
      <c r="H4433" s="24" t="str">
        <f>IF(J4433&lt;&gt;1,"",IF(I4433="SBJ","CB","?"))</f>
        <v> </v>
      </c>
      <c r="I4433" s="25" t="str">
        <f>IF(OR(E4433="",E4433="!!!",F4433="NEW"),"",INDEX(B4432:B$2,-1+SUMPRODUCT(MAX(ROW(E4432:E$2)*(E4433=E4432:E$2)))))</f>
        <v> </v>
      </c>
      <c r="J4433" s="25" t="str">
        <f>IF(OR(E4433="",E4433="!!!",F4433="NEW"),"",COUNTBLANK(OFFSET(A$1,,,SUMPRODUCT(MAX(ROW(E$2:E4433)*(E4433=E$2:E4433)))))-COUNTBLANK(OFFSET(A$1,,,SUMPRODUCT(MAX(ROW(E$1:E4432)*(E2=E$1:E4432))))))</f>
        <v> </v>
      </c>
      <c r="K4433" s="25" t="str">
        <f>IF(OR(E4433="",E4433="!!!",F4433="NEW"),"",INDEX(J$1:J4432,SUMPRODUCT(MAX(ROW(E$1:E4432)*(E4433=E$1:E4432)))))</f>
        <v> </v>
      </c>
      <c r="L4433" s="26"/>
    </row>
    <row r="4434" spans="1:12">
      <c r="A4434" s="20" t="s">
        <v>753</v>
      </c>
      <c r="E4434" s="21">
        <f>IF(D4434="?OLD","!!!","")</f>
        <v/>
      </c>
      <c r="F4434" s="22" t="str">
        <f>IF(OR(E4434="",E4434="!!!"),"",IF(NOT(ISNA(VLOOKUP(E4434,E$1:E4433,1,FALSE()))),"OLD",IF(AND(E4434&lt;&gt;"",E4434&lt;&gt;"!!!"),"NEW","")))</f>
        <v> </v>
      </c>
      <c r="G4434" s="23" t="str">
        <f>IF(OR(E4434="",E4434="!!!"),"",IF(OR(J4434=0,AND(J4434=1,K4434=1),AND(J4434=1,I4434="SBJ"),AND(J4434=1,I4434=0)),"?IN_FOCUS",IF(J4434&lt;=2,"?ACTIVATED",IF(J4434&lt;&gt;"","?FAMILIAR",IF(F4434="NEW",IF(ISNA(VLOOKUP(E4434,#REF!,1,FALSE())),"?TYPE_IDENTIFIABLE","?REFERENTIAL"),"_")))))</f>
        <v> </v>
      </c>
      <c r="H4434" s="24" t="str">
        <f>IF(J4434&lt;&gt;1,"",IF(I4434="SBJ","CB","?"))</f>
        <v> </v>
      </c>
      <c r="I4434" s="25" t="str">
        <f>IF(OR(E4434="",E4434="!!!",F4434="NEW"),"",INDEX(B4433:B$2,-1+SUMPRODUCT(MAX(ROW(E4433:E$2)*(E4434=E4433:E$2)))))</f>
        <v> </v>
      </c>
      <c r="J4434" s="25" t="str">
        <f>IF(OR(E4434="",E4434="!!!",F4434="NEW"),"",COUNTBLANK(OFFSET(A$1,,,SUMPRODUCT(MAX(ROW(E$2:E4434)*(E4434=E$2:E4434)))))-COUNTBLANK(OFFSET(A$1,,,SUMPRODUCT(MAX(ROW(E$1:E4433)*(E2=E$1:E4433))))))</f>
        <v> </v>
      </c>
      <c r="K4434" s="25" t="str">
        <f>IF(OR(E4434="",E4434="!!!",F4434="NEW"),"",INDEX(J$1:J4433,SUMPRODUCT(MAX(ROW(E$1:E4433)*(E4434=E$1:E4433)))))</f>
        <v> </v>
      </c>
      <c r="L4434" s="26"/>
    </row>
    <row r="4435" spans="1:12">
      <c r="A4435" s="20" t="s">
        <v>788</v>
      </c>
      <c r="E4435" s="21">
        <f>IF(D4435="?OLD","!!!","")</f>
        <v/>
      </c>
      <c r="F4435" s="22" t="str">
        <f>IF(OR(E4435="",E4435="!!!"),"",IF(NOT(ISNA(VLOOKUP(E4435,E$1:E4434,1,FALSE()))),"OLD",IF(AND(E4435&lt;&gt;"",E4435&lt;&gt;"!!!"),"NEW","")))</f>
        <v> </v>
      </c>
      <c r="G4435" s="23" t="str">
        <f>IF(OR(E4435="",E4435="!!!"),"",IF(OR(J4435=0,AND(J4435=1,K4435=1),AND(J4435=1,I4435="SBJ"),AND(J4435=1,I4435=0)),"?IN_FOCUS",IF(J4435&lt;=2,"?ACTIVATED",IF(J4435&lt;&gt;"","?FAMILIAR",IF(F4435="NEW",IF(ISNA(VLOOKUP(E4435,#REF!,1,FALSE())),"?TYPE_IDENTIFIABLE","?REFERENTIAL"),"_")))))</f>
        <v> </v>
      </c>
      <c r="H4435" s="24" t="str">
        <f>IF(J4435&lt;&gt;1,"",IF(I4435="SBJ","CB","?"))</f>
        <v> </v>
      </c>
      <c r="I4435" s="25" t="str">
        <f>IF(OR(E4435="",E4435="!!!",F4435="NEW"),"",INDEX(B4434:B$2,-1+SUMPRODUCT(MAX(ROW(E4434:E$2)*(E4435=E4434:E$2)))))</f>
        <v> </v>
      </c>
      <c r="J4435" s="25" t="str">
        <f>IF(OR(E4435="",E4435="!!!",F4435="NEW"),"",COUNTBLANK(OFFSET(A$1,,,SUMPRODUCT(MAX(ROW(E$2:E4435)*(E4435=E$2:E4435)))))-COUNTBLANK(OFFSET(A$1,,,SUMPRODUCT(MAX(ROW(E$1:E4434)*(E2=E$1:E4434))))))</f>
        <v> </v>
      </c>
      <c r="K4435" s="25" t="str">
        <f>IF(OR(E4435="",E4435="!!!",F4435="NEW"),"",INDEX(J$1:J4434,SUMPRODUCT(MAX(ROW(E$1:E4434)*(E4435=E$1:E4434)))))</f>
        <v> </v>
      </c>
      <c r="L4435" s="26"/>
    </row>
    <row r="4436" spans="1:12">
      <c r="A4436" s="20" t="s">
        <v>807</v>
      </c>
      <c r="B4436" s="27" t="s">
        <v>771</v>
      </c>
      <c r="C4436" s="27" t="s">
        <v>749</v>
      </c>
      <c r="D4436" s="27" t="s">
        <v>740</v>
      </c>
      <c r="E4436" s="21">
        <f>IF(D4436="?OLD","!!!","")</f>
        <v/>
      </c>
      <c r="F4436" s="22" t="str">
        <f>IF(OR(E4436="",E4436="!!!"),"",IF(NOT(ISNA(VLOOKUP(E4436,E$1:E4435,1,FALSE()))),"OLD",IF(AND(E4436&lt;&gt;"",E4436&lt;&gt;"!!!"),"NEW","")))</f>
        <v> </v>
      </c>
      <c r="G4436" s="23" t="str">
        <f>IF(OR(E4436="",E4436="!!!"),"",IF(OR(J4436=0,AND(J4436=1,K4436=1),AND(J4436=1,I4436="SBJ"),AND(J4436=1,I4436=0)),"?IN_FOCUS",IF(J4436&lt;=2,"?ACTIVATED",IF(J4436&lt;&gt;"","?FAMILIAR",IF(F4436="NEW",IF(ISNA(VLOOKUP(E4436,#REF!,1,FALSE())),"?TYPE_IDENTIFIABLE","?REFERENTIAL"),"_")))))</f>
        <v> </v>
      </c>
      <c r="H4436" s="24" t="str">
        <f>IF(J4436&lt;&gt;1,"",IF(I4436="SBJ","CB","?"))</f>
        <v> </v>
      </c>
      <c r="I4436" s="25" t="str">
        <f>IF(OR(E4436="",E4436="!!!",F4436="NEW"),"",INDEX(B4435:B$2,-1+SUMPRODUCT(MAX(ROW(E4435:E$2)*(E4436=E4435:E$2)))))</f>
        <v> </v>
      </c>
      <c r="J4436" s="25" t="str">
        <f>IF(OR(E4436="",E4436="!!!",F4436="NEW"),"",COUNTBLANK(OFFSET(A$1,,,SUMPRODUCT(MAX(ROW(E$2:E4436)*(E4436=E$2:E4436)))))-COUNTBLANK(OFFSET(A$1,,,SUMPRODUCT(MAX(ROW(E$1:E4435)*(E2=E$1:E4435))))))</f>
        <v> </v>
      </c>
      <c r="K4436" s="25" t="str">
        <f>IF(OR(E4436="",E4436="!!!",F4436="NEW"),"",INDEX(J$1:J4435,SUMPRODUCT(MAX(ROW(E$1:E4435)*(E4436=E$1:E4435)))))</f>
        <v> </v>
      </c>
      <c r="L4436" s="26"/>
    </row>
    <row r="4437" spans="1:12">
      <c r="A4437" s="20" t="s">
        <v>869</v>
      </c>
      <c r="E4437" s="21">
        <f>IF(D4437="?OLD","!!!","")</f>
        <v/>
      </c>
      <c r="F4437" s="22" t="str">
        <f>IF(OR(E4437="",E4437="!!!"),"",IF(NOT(ISNA(VLOOKUP(E4437,E$1:E4436,1,FALSE()))),"OLD",IF(AND(E4437&lt;&gt;"",E4437&lt;&gt;"!!!"),"NEW","")))</f>
        <v> </v>
      </c>
      <c r="G4437" s="23" t="str">
        <f>IF(OR(E4437="",E4437="!!!"),"",IF(OR(J4437=0,AND(J4437=1,K4437=1),AND(J4437=1,I4437="SBJ"),AND(J4437=1,I4437=0)),"?IN_FOCUS",IF(J4437&lt;=2,"?ACTIVATED",IF(J4437&lt;&gt;"","?FAMILIAR",IF(F4437="NEW",IF(ISNA(VLOOKUP(E4437,#REF!,1,FALSE())),"?TYPE_IDENTIFIABLE","?REFERENTIAL"),"_")))))</f>
        <v> </v>
      </c>
      <c r="H4437" s="24" t="str">
        <f>IF(J4437&lt;&gt;1,"",IF(I4437="SBJ","CB","?"))</f>
        <v> </v>
      </c>
      <c r="I4437" s="25" t="str">
        <f>IF(OR(E4437="",E4437="!!!",F4437="NEW"),"",INDEX(B4436:B$2,-1+SUMPRODUCT(MAX(ROW(E4436:E$2)*(E4437=E4436:E$2)))))</f>
        <v> </v>
      </c>
      <c r="J4437" s="25" t="str">
        <f>IF(OR(E4437="",E4437="!!!",F4437="NEW"),"",COUNTBLANK(OFFSET(A$1,,,SUMPRODUCT(MAX(ROW(E$2:E4437)*(E4437=E$2:E4437)))))-COUNTBLANK(OFFSET(A$1,,,SUMPRODUCT(MAX(ROW(E$1:E4436)*(E2=E$1:E4436))))))</f>
        <v> </v>
      </c>
      <c r="K4437" s="25" t="str">
        <f>IF(OR(E4437="",E4437="!!!",F4437="NEW"),"",INDEX(J$1:J4436,SUMPRODUCT(MAX(ROW(E$1:E4436)*(E4437=E$1:E4436)))))</f>
        <v> </v>
      </c>
      <c r="L4437" s="26"/>
    </row>
    <row r="4438" spans="1:12">
      <c r="A4438" s="20" t="s">
        <v>2023</v>
      </c>
      <c r="E4438" s="21">
        <f>IF(D4438="?OLD","!!!","")</f>
        <v/>
      </c>
      <c r="F4438" s="22" t="str">
        <f>IF(OR(E4438="",E4438="!!!"),"",IF(NOT(ISNA(VLOOKUP(E4438,E$1:E4437,1,FALSE()))),"OLD",IF(AND(E4438&lt;&gt;"",E4438&lt;&gt;"!!!"),"NEW","")))</f>
        <v> </v>
      </c>
      <c r="G4438" s="23" t="str">
        <f>IF(OR(E4438="",E4438="!!!"),"",IF(OR(J4438=0,AND(J4438=1,K4438=1),AND(J4438=1,I4438="SBJ"),AND(J4438=1,I4438=0)),"?IN_FOCUS",IF(J4438&lt;=2,"?ACTIVATED",IF(J4438&lt;&gt;"","?FAMILIAR",IF(F4438="NEW",IF(ISNA(VLOOKUP(E4438,#REF!,1,FALSE())),"?TYPE_IDENTIFIABLE","?REFERENTIAL"),"_")))))</f>
        <v> </v>
      </c>
      <c r="H4438" s="24" t="str">
        <f>IF(J4438&lt;&gt;1,"",IF(I4438="SBJ","CB","?"))</f>
        <v> </v>
      </c>
      <c r="I4438" s="25" t="str">
        <f>IF(OR(E4438="",E4438="!!!",F4438="NEW"),"",INDEX(B4437:B$2,-1+SUMPRODUCT(MAX(ROW(E4437:E$2)*(E4438=E4437:E$2)))))</f>
        <v> </v>
      </c>
      <c r="J4438" s="25" t="str">
        <f>IF(OR(E4438="",E4438="!!!",F4438="NEW"),"",COUNTBLANK(OFFSET(A$1,,,SUMPRODUCT(MAX(ROW(E$2:E4438)*(E4438=E$2:E4438)))))-COUNTBLANK(OFFSET(A$1,,,SUMPRODUCT(MAX(ROW(E$1:E4437)*(E2=E$1:E4437))))))</f>
        <v> </v>
      </c>
      <c r="K4438" s="25" t="str">
        <f>IF(OR(E4438="",E4438="!!!",F4438="NEW"),"",INDEX(J$1:J4437,SUMPRODUCT(MAX(ROW(E$1:E4437)*(E4438=E$1:E4437)))))</f>
        <v> </v>
      </c>
      <c r="L4438" s="26"/>
    </row>
    <row r="4439" spans="1:12">
      <c r="A4439" s="20" t="s">
        <v>2024</v>
      </c>
      <c r="B4439" s="27" t="s">
        <v>779</v>
      </c>
      <c r="C4439" s="27" t="s">
        <v>848</v>
      </c>
      <c r="E4439" s="21">
        <f>IF(D4439="?OLD","!!!","")</f>
        <v/>
      </c>
      <c r="F4439" s="22" t="str">
        <f>IF(OR(E4439="",E4439="!!!"),"",IF(NOT(ISNA(VLOOKUP(E4439,E$1:E4438,1,FALSE()))),"OLD",IF(AND(E4439&lt;&gt;"",E4439&lt;&gt;"!!!"),"NEW","")))</f>
        <v> </v>
      </c>
      <c r="G4439" s="23" t="str">
        <f>IF(OR(E4439="",E4439="!!!"),"",IF(OR(J4439=0,AND(J4439=1,K4439=1),AND(J4439=1,I4439="SBJ"),AND(J4439=1,I4439=0)),"?IN_FOCUS",IF(J4439&lt;=2,"?ACTIVATED",IF(J4439&lt;&gt;"","?FAMILIAR",IF(F4439="NEW",IF(ISNA(VLOOKUP(E4439,#REF!,1,FALSE())),"?TYPE_IDENTIFIABLE","?REFERENTIAL"),"_")))))</f>
        <v> </v>
      </c>
      <c r="H4439" s="24" t="str">
        <f>IF(J4439&lt;&gt;1,"",IF(I4439="SBJ","CB","?"))</f>
        <v> </v>
      </c>
      <c r="I4439" s="25" t="str">
        <f>IF(OR(E4439="",E4439="!!!",F4439="NEW"),"",INDEX(B4438:B$2,-1+SUMPRODUCT(MAX(ROW(E4438:E$2)*(E4439=E4438:E$2)))))</f>
        <v> </v>
      </c>
      <c r="J4439" s="25" t="str">
        <f>IF(OR(E4439="",E4439="!!!",F4439="NEW"),"",COUNTBLANK(OFFSET(A$1,,,SUMPRODUCT(MAX(ROW(E$2:E4439)*(E4439=E$2:E4439)))))-COUNTBLANK(OFFSET(A$1,,,SUMPRODUCT(MAX(ROW(E$1:E4438)*(E2=E$1:E4438))))))</f>
        <v> </v>
      </c>
      <c r="K4439" s="25" t="str">
        <f>IF(OR(E4439="",E4439="!!!",F4439="NEW"),"",INDEX(J$1:J4438,SUMPRODUCT(MAX(ROW(E$1:E4438)*(E4439=E$1:E4438)))))</f>
        <v> </v>
      </c>
      <c r="L4439" s="26"/>
    </row>
    <row r="4440" spans="1:12">
      <c r="A4440" s="20" t="s">
        <v>919</v>
      </c>
      <c r="E4440" s="21">
        <f>IF(D4440="?OLD","!!!","")</f>
        <v/>
      </c>
      <c r="F4440" s="22" t="str">
        <f>IF(OR(E4440="",E4440="!!!"),"",IF(NOT(ISNA(VLOOKUP(E4440,E$1:E4439,1,FALSE()))),"OLD",IF(AND(E4440&lt;&gt;"",E4440&lt;&gt;"!!!"),"NEW","")))</f>
        <v> </v>
      </c>
      <c r="G4440" s="23" t="str">
        <f>IF(OR(E4440="",E4440="!!!"),"",IF(OR(J4440=0,AND(J4440=1,K4440=1),AND(J4440=1,I4440="SBJ"),AND(J4440=1,I4440=0)),"?IN_FOCUS",IF(J4440&lt;=2,"?ACTIVATED",IF(J4440&lt;&gt;"","?FAMILIAR",IF(F4440="NEW",IF(ISNA(VLOOKUP(E4440,#REF!,1,FALSE())),"?TYPE_IDENTIFIABLE","?REFERENTIAL"),"_")))))</f>
        <v> </v>
      </c>
      <c r="H4440" s="24" t="str">
        <f>IF(J4440&lt;&gt;1,"",IF(I4440="SBJ","CB","?"))</f>
        <v> </v>
      </c>
      <c r="I4440" s="25" t="str">
        <f>IF(OR(E4440="",E4440="!!!",F4440="NEW"),"",INDEX(B4439:B$2,-1+SUMPRODUCT(MAX(ROW(E4439:E$2)*(E4440=E4439:E$2)))))</f>
        <v> </v>
      </c>
      <c r="J4440" s="25" t="str">
        <f>IF(OR(E4440="",E4440="!!!",F4440="NEW"),"",COUNTBLANK(OFFSET(A$1,,,SUMPRODUCT(MAX(ROW(E$2:E4440)*(E4440=E$2:E4440)))))-COUNTBLANK(OFFSET(A$1,,,SUMPRODUCT(MAX(ROW(E$1:E4439)*(E2=E$1:E4439))))))</f>
        <v> </v>
      </c>
      <c r="K4440" s="25" t="str">
        <f>IF(OR(E4440="",E4440="!!!",F4440="NEW"),"",INDEX(J$1:J4439,SUMPRODUCT(MAX(ROW(E$1:E4439)*(E4440=E$1:E4439)))))</f>
        <v> </v>
      </c>
      <c r="L4440" s="26"/>
    </row>
    <row r="4441" spans="1:12">
      <c r="A4441" s="20" t="s">
        <v>2025</v>
      </c>
      <c r="E4441" s="21">
        <f>IF(D4441="?OLD","!!!","")</f>
        <v/>
      </c>
      <c r="F4441" s="22" t="str">
        <f>IF(OR(E4441="",E4441="!!!"),"",IF(NOT(ISNA(VLOOKUP(E4441,E$1:E4440,1,FALSE()))),"OLD",IF(AND(E4441&lt;&gt;"",E4441&lt;&gt;"!!!"),"NEW","")))</f>
        <v> </v>
      </c>
      <c r="G4441" s="23" t="str">
        <f>IF(OR(E4441="",E4441="!!!"),"",IF(OR(J4441=0,AND(J4441=1,K4441=1),AND(J4441=1,I4441="SBJ"),AND(J4441=1,I4441=0)),"?IN_FOCUS",IF(J4441&lt;=2,"?ACTIVATED",IF(J4441&lt;&gt;"","?FAMILIAR",IF(F4441="NEW",IF(ISNA(VLOOKUP(E4441,#REF!,1,FALSE())),"?TYPE_IDENTIFIABLE","?REFERENTIAL"),"_")))))</f>
        <v> </v>
      </c>
      <c r="H4441" s="24" t="str">
        <f>IF(J4441&lt;&gt;1,"",IF(I4441="SBJ","CB","?"))</f>
        <v> </v>
      </c>
      <c r="I4441" s="25" t="str">
        <f>IF(OR(E4441="",E4441="!!!",F4441="NEW"),"",INDEX(B4440:B$2,-1+SUMPRODUCT(MAX(ROW(E4440:E$2)*(E4441=E4440:E$2)))))</f>
        <v> </v>
      </c>
      <c r="J4441" s="25" t="str">
        <f>IF(OR(E4441="",E4441="!!!",F4441="NEW"),"",COUNTBLANK(OFFSET(A$1,,,SUMPRODUCT(MAX(ROW(E$2:E4441)*(E4441=E$2:E4441)))))-COUNTBLANK(OFFSET(A$1,,,SUMPRODUCT(MAX(ROW(E$1:E4440)*(E2=E$1:E4440))))))</f>
        <v> </v>
      </c>
      <c r="K4441" s="25" t="str">
        <f>IF(OR(E4441="",E4441="!!!",F4441="NEW"),"",INDEX(J$1:J4440,SUMPRODUCT(MAX(ROW(E$1:E4440)*(E4441=E$1:E4440)))))</f>
        <v> </v>
      </c>
      <c r="L4441" s="26"/>
    </row>
    <row r="4442" spans="1:12">
      <c r="A4442" s="20" t="s">
        <v>746</v>
      </c>
      <c r="E4442" s="21">
        <f>IF(D4442="?OLD","!!!","")</f>
        <v/>
      </c>
      <c r="F4442" s="22" t="str">
        <f>IF(OR(E4442="",E4442="!!!"),"",IF(NOT(ISNA(VLOOKUP(E4442,E$1:E4441,1,FALSE()))),"OLD",IF(AND(E4442&lt;&gt;"",E4442&lt;&gt;"!!!"),"NEW","")))</f>
        <v> </v>
      </c>
      <c r="G4442" s="23" t="str">
        <f>IF(OR(E4442="",E4442="!!!"),"",IF(OR(J4442=0,AND(J4442=1,K4442=1),AND(J4442=1,I4442="SBJ"),AND(J4442=1,I4442=0)),"?IN_FOCUS",IF(J4442&lt;=2,"?ACTIVATED",IF(J4442&lt;&gt;"","?FAMILIAR",IF(F4442="NEW",IF(ISNA(VLOOKUP(E4442,#REF!,1,FALSE())),"?TYPE_IDENTIFIABLE","?REFERENTIAL"),"_")))))</f>
        <v> </v>
      </c>
      <c r="H4442" s="24" t="str">
        <f>IF(J4442&lt;&gt;1,"",IF(I4442="SBJ","CB","?"))</f>
        <v> </v>
      </c>
      <c r="I4442" s="25" t="str">
        <f>IF(OR(E4442="",E4442="!!!",F4442="NEW"),"",INDEX(B4441:B$2,-1+SUMPRODUCT(MAX(ROW(E4441:E$2)*(E4442=E4441:E$2)))))</f>
        <v> </v>
      </c>
      <c r="J4442" s="25" t="str">
        <f>IF(OR(E4442="",E4442="!!!",F4442="NEW"),"",COUNTBLANK(OFFSET(A$1,,,SUMPRODUCT(MAX(ROW(E$2:E4442)*(E4442=E$2:E4442)))))-COUNTBLANK(OFFSET(A$1,,,SUMPRODUCT(MAX(ROW(E$1:E4441)*(E2=E$1:E4441))))))</f>
        <v> </v>
      </c>
      <c r="K4442" s="25" t="str">
        <f>IF(OR(E4442="",E4442="!!!",F4442="NEW"),"",INDEX(J$1:J4441,SUMPRODUCT(MAX(ROW(E$1:E4441)*(E4442=E$1:E4441)))))</f>
        <v> </v>
      </c>
      <c r="L4442" s="26"/>
    </row>
    <row r="4443" spans="1:12">
      <c r="A4443" s="20"/>
    </row>
    <row r="4444" spans="1:12">
      <c r="A4444" s="20" t="s">
        <v>2026</v>
      </c>
    </row>
    <row r="4445" spans="1:12">
      <c r="A4445" s="20" t="s">
        <v>2027</v>
      </c>
      <c r="E4445" s="21">
        <f>IF(D4445="?OLD","!!!","")</f>
        <v/>
      </c>
      <c r="F4445" s="22" t="str">
        <f>IF(OR(E4445="",E4445="!!!"),"",IF(NOT(ISNA(VLOOKUP(E4445,E$1:E4444,1,FALSE()))),"OLD",IF(AND(E4445&lt;&gt;"",E4445&lt;&gt;"!!!"),"NEW","")))</f>
        <v> </v>
      </c>
      <c r="G4445" s="23" t="str">
        <f>IF(OR(E4445="",E4445="!!!"),"",IF(OR(J4445=0,AND(J4445=1,K4445=1),AND(J4445=1,I4445="SBJ"),AND(J4445=1,I4445=0)),"?IN_FOCUS",IF(J4445&lt;=2,"?ACTIVATED",IF(J4445&lt;&gt;"","?FAMILIAR",IF(F4445="NEW",IF(ISNA(VLOOKUP(E4445,#REF!,1,FALSE())),"?TYPE_IDENTIFIABLE","?REFERENTIAL"),"_")))))</f>
        <v> </v>
      </c>
      <c r="H4445" s="24" t="str">
        <f>IF(J4445&lt;&gt;1,"",IF(I4445="SBJ","CB","?"))</f>
        <v> </v>
      </c>
      <c r="I4445" s="25" t="str">
        <f>IF(OR(E4445="",E4445="!!!",F4445="NEW"),"",INDEX(B4444:B$2,-1+SUMPRODUCT(MAX(ROW(E4444:E$2)*(E4445=E4444:E$2)))))</f>
        <v> </v>
      </c>
      <c r="J4445" s="25" t="str">
        <f>IF(OR(E4445="",E4445="!!!",F4445="NEW"),"",COUNTBLANK(OFFSET(A$1,,,SUMPRODUCT(MAX(ROW(E$2:E4445)*(E4445=E$2:E4445)))))-COUNTBLANK(OFFSET(A$1,,,SUMPRODUCT(MAX(ROW(E$1:E4444)*(E2=E$1:E4444))))))</f>
        <v> </v>
      </c>
      <c r="K4445" s="25" t="str">
        <f>IF(OR(E4445="",E4445="!!!",F4445="NEW"),"",INDEX(J$1:J4444,SUMPRODUCT(MAX(ROW(E$1:E4444)*(E4445=E$1:E4444)))))</f>
        <v> </v>
      </c>
      <c r="L4445" s="26"/>
    </row>
    <row r="4446" spans="1:12">
      <c r="A4446" s="20" t="s">
        <v>753</v>
      </c>
      <c r="E4446" s="21">
        <f>IF(D4446="?OLD","!!!","")</f>
        <v/>
      </c>
      <c r="F4446" s="22" t="str">
        <f>IF(OR(E4446="",E4446="!!!"),"",IF(NOT(ISNA(VLOOKUP(E4446,E$1:E4445,1,FALSE()))),"OLD",IF(AND(E4446&lt;&gt;"",E4446&lt;&gt;"!!!"),"NEW","")))</f>
        <v> </v>
      </c>
      <c r="G4446" s="23" t="str">
        <f>IF(OR(E4446="",E4446="!!!"),"",IF(OR(J4446=0,AND(J4446=1,K4446=1),AND(J4446=1,I4446="SBJ"),AND(J4446=1,I4446=0)),"?IN_FOCUS",IF(J4446&lt;=2,"?ACTIVATED",IF(J4446&lt;&gt;"","?FAMILIAR",IF(F4446="NEW",IF(ISNA(VLOOKUP(E4446,#REF!,1,FALSE())),"?TYPE_IDENTIFIABLE","?REFERENTIAL"),"_")))))</f>
        <v> </v>
      </c>
      <c r="H4446" s="24" t="str">
        <f>IF(J4446&lt;&gt;1,"",IF(I4446="SBJ","CB","?"))</f>
        <v> </v>
      </c>
      <c r="I4446" s="25" t="str">
        <f>IF(OR(E4446="",E4446="!!!",F4446="NEW"),"",INDEX(B4445:B$2,-1+SUMPRODUCT(MAX(ROW(E4445:E$2)*(E4446=E4445:E$2)))))</f>
        <v> </v>
      </c>
      <c r="J4446" s="25" t="str">
        <f>IF(OR(E4446="",E4446="!!!",F4446="NEW"),"",COUNTBLANK(OFFSET(A$1,,,SUMPRODUCT(MAX(ROW(E$2:E4446)*(E4446=E$2:E4446)))))-COUNTBLANK(OFFSET(A$1,,,SUMPRODUCT(MAX(ROW(E$1:E4445)*(E2=E$1:E4445))))))</f>
        <v> </v>
      </c>
      <c r="K4446" s="25" t="str">
        <f>IF(OR(E4446="",E4446="!!!",F4446="NEW"),"",INDEX(J$1:J4445,SUMPRODUCT(MAX(ROW(E$1:E4445)*(E4446=E$1:E4445)))))</f>
        <v> </v>
      </c>
      <c r="L4446" s="26"/>
    </row>
    <row r="4447" spans="1:12">
      <c r="A4447" s="20" t="s">
        <v>794</v>
      </c>
      <c r="B4447" s="27" t="s">
        <v>728</v>
      </c>
      <c r="C4447" s="27" t="s">
        <v>775</v>
      </c>
      <c r="D4447" s="27" t="s">
        <v>740</v>
      </c>
      <c r="E4447" s="21">
        <f>IF(D4447="?OLD","!!!","")</f>
        <v/>
      </c>
      <c r="F4447" s="22" t="str">
        <f>IF(OR(E4447="",E4447="!!!"),"",IF(NOT(ISNA(VLOOKUP(E4447,E$1:E4446,1,FALSE()))),"OLD",IF(AND(E4447&lt;&gt;"",E4447&lt;&gt;"!!!"),"NEW","")))</f>
        <v> </v>
      </c>
      <c r="G4447" s="23" t="str">
        <f>IF(OR(E4447="",E4447="!!!"),"",IF(OR(J4447=0,AND(J4447=1,K4447=1),AND(J4447=1,I4447="SBJ"),AND(J4447=1,I4447=0)),"?IN_FOCUS",IF(J4447&lt;=2,"?ACTIVATED",IF(J4447&lt;&gt;"","?FAMILIAR",IF(F4447="NEW",IF(ISNA(VLOOKUP(E4447,#REF!,1,FALSE())),"?TYPE_IDENTIFIABLE","?REFERENTIAL"),"_")))))</f>
        <v> </v>
      </c>
      <c r="H4447" s="24" t="str">
        <f>IF(J4447&lt;&gt;1,"",IF(I4447="SBJ","CB","?"))</f>
        <v> </v>
      </c>
      <c r="I4447" s="25" t="str">
        <f>IF(OR(E4447="",E4447="!!!",F4447="NEW"),"",INDEX(B4446:B$2,-1+SUMPRODUCT(MAX(ROW(E4446:E$2)*(E4447=E4446:E$2)))))</f>
        <v> </v>
      </c>
      <c r="J4447" s="25" t="str">
        <f>IF(OR(E4447="",E4447="!!!",F4447="NEW"),"",COUNTBLANK(OFFSET(A$1,,,SUMPRODUCT(MAX(ROW(E$2:E4447)*(E4447=E$2:E4447)))))-COUNTBLANK(OFFSET(A$1,,,SUMPRODUCT(MAX(ROW(E$1:E4446)*(E2=E$1:E4446))))))</f>
        <v> </v>
      </c>
      <c r="K4447" s="25" t="str">
        <f>IF(OR(E4447="",E4447="!!!",F4447="NEW"),"",INDEX(J$1:J4446,SUMPRODUCT(MAX(ROW(E$1:E4446)*(E4447=E$1:E4446)))))</f>
        <v> </v>
      </c>
      <c r="L4447" s="26"/>
    </row>
    <row r="4448" spans="1:12">
      <c r="A4448" s="20" t="s">
        <v>1020</v>
      </c>
      <c r="B4448" s="27" t="s">
        <v>738</v>
      </c>
      <c r="C4448" s="27" t="s">
        <v>749</v>
      </c>
      <c r="D4448" s="27" t="s">
        <v>740</v>
      </c>
      <c r="E4448" s="21">
        <f>IF(D4448="?OLD","!!!","")</f>
        <v/>
      </c>
      <c r="F4448" s="22" t="str">
        <f>IF(OR(E4448="",E4448="!!!"),"",IF(NOT(ISNA(VLOOKUP(E4448,E$1:E4447,1,FALSE()))),"OLD",IF(AND(E4448&lt;&gt;"",E4448&lt;&gt;"!!!"),"NEW","")))</f>
        <v> </v>
      </c>
      <c r="G4448" s="23" t="str">
        <f>IF(OR(E4448="",E4448="!!!"),"",IF(OR(J4448=0,AND(J4448=1,K4448=1),AND(J4448=1,I4448="SBJ"),AND(J4448=1,I4448=0)),"?IN_FOCUS",IF(J4448&lt;=2,"?ACTIVATED",IF(J4448&lt;&gt;"","?FAMILIAR",IF(F4448="NEW",IF(ISNA(VLOOKUP(E4448,#REF!,1,FALSE())),"?TYPE_IDENTIFIABLE","?REFERENTIAL"),"_")))))</f>
        <v> </v>
      </c>
      <c r="H4448" s="24" t="str">
        <f>IF(J4448&lt;&gt;1,"",IF(I4448="SBJ","CB","?"))</f>
        <v> </v>
      </c>
      <c r="I4448" s="25" t="str">
        <f>IF(OR(E4448="",E4448="!!!",F4448="NEW"),"",INDEX(B4447:B$2,-1+SUMPRODUCT(MAX(ROW(E4447:E$2)*(E4448=E4447:E$2)))))</f>
        <v> </v>
      </c>
      <c r="J4448" s="25" t="str">
        <f>IF(OR(E4448="",E4448="!!!",F4448="NEW"),"",COUNTBLANK(OFFSET(A$1,,,SUMPRODUCT(MAX(ROW(E$2:E4448)*(E4448=E$2:E4448)))))-COUNTBLANK(OFFSET(A$1,,,SUMPRODUCT(MAX(ROW(E$1:E4447)*(E2=E$1:E4447))))))</f>
        <v> </v>
      </c>
      <c r="K4448" s="25" t="str">
        <f>IF(OR(E4448="",E4448="!!!",F4448="NEW"),"",INDEX(J$1:J4447,SUMPRODUCT(MAX(ROW(E$1:E4447)*(E4448=E$1:E4447)))))</f>
        <v> </v>
      </c>
      <c r="L4448" s="26"/>
    </row>
    <row r="4449" spans="1:12">
      <c r="A4449" s="20" t="s">
        <v>2028</v>
      </c>
      <c r="E4449" s="21">
        <f>IF(D4449="?OLD","!!!","")</f>
        <v/>
      </c>
      <c r="F4449" s="22" t="str">
        <f>IF(OR(E4449="",E4449="!!!"),"",IF(NOT(ISNA(VLOOKUP(E4449,E$1:E4448,1,FALSE()))),"OLD",IF(AND(E4449&lt;&gt;"",E4449&lt;&gt;"!!!"),"NEW","")))</f>
        <v> </v>
      </c>
      <c r="G4449" s="23" t="str">
        <f>IF(OR(E4449="",E4449="!!!"),"",IF(OR(J4449=0,AND(J4449=1,K4449=1),AND(J4449=1,I4449="SBJ"),AND(J4449=1,I4449=0)),"?IN_FOCUS",IF(J4449&lt;=2,"?ACTIVATED",IF(J4449&lt;&gt;"","?FAMILIAR",IF(F4449="NEW",IF(ISNA(VLOOKUP(E4449,#REF!,1,FALSE())),"?TYPE_IDENTIFIABLE","?REFERENTIAL"),"_")))))</f>
        <v> </v>
      </c>
      <c r="H4449" s="24" t="str">
        <f>IF(J4449&lt;&gt;1,"",IF(I4449="SBJ","CB","?"))</f>
        <v> </v>
      </c>
      <c r="I4449" s="25" t="str">
        <f>IF(OR(E4449="",E4449="!!!",F4449="NEW"),"",INDEX(B4448:B$2,-1+SUMPRODUCT(MAX(ROW(E4448:E$2)*(E4449=E4448:E$2)))))</f>
        <v> </v>
      </c>
      <c r="J4449" s="25" t="str">
        <f>IF(OR(E4449="",E4449="!!!",F4449="NEW"),"",COUNTBLANK(OFFSET(A$1,,,SUMPRODUCT(MAX(ROW(E$2:E4449)*(E4449=E$2:E4449)))))-COUNTBLANK(OFFSET(A$1,,,SUMPRODUCT(MAX(ROW(E$1:E4448)*(E2=E$1:E4448))))))</f>
        <v> </v>
      </c>
      <c r="K4449" s="25" t="str">
        <f>IF(OR(E4449="",E4449="!!!",F4449="NEW"),"",INDEX(J$1:J4448,SUMPRODUCT(MAX(ROW(E$1:E4448)*(E4449=E$1:E4448)))))</f>
        <v> </v>
      </c>
      <c r="L4449" s="26"/>
    </row>
    <row r="4450" spans="1:12">
      <c r="A4450" s="20" t="s">
        <v>811</v>
      </c>
      <c r="E4450" s="21">
        <f>IF(D4450="?OLD","!!!","")</f>
        <v/>
      </c>
      <c r="F4450" s="22" t="str">
        <f>IF(OR(E4450="",E4450="!!!"),"",IF(NOT(ISNA(VLOOKUP(E4450,E$1:E4449,1,FALSE()))),"OLD",IF(AND(E4450&lt;&gt;"",E4450&lt;&gt;"!!!"),"NEW","")))</f>
        <v> </v>
      </c>
      <c r="G4450" s="23" t="str">
        <f>IF(OR(E4450="",E4450="!!!"),"",IF(OR(J4450=0,AND(J4450=1,K4450=1),AND(J4450=1,I4450="SBJ"),AND(J4450=1,I4450=0)),"?IN_FOCUS",IF(J4450&lt;=2,"?ACTIVATED",IF(J4450&lt;&gt;"","?FAMILIAR",IF(F4450="NEW",IF(ISNA(VLOOKUP(E4450,#REF!,1,FALSE())),"?TYPE_IDENTIFIABLE","?REFERENTIAL"),"_")))))</f>
        <v> </v>
      </c>
      <c r="H4450" s="24" t="str">
        <f>IF(J4450&lt;&gt;1,"",IF(I4450="SBJ","CB","?"))</f>
        <v> </v>
      </c>
      <c r="I4450" s="25" t="str">
        <f>IF(OR(E4450="",E4450="!!!",F4450="NEW"),"",INDEX(B4449:B$2,-1+SUMPRODUCT(MAX(ROW(E4449:E$2)*(E4450=E4449:E$2)))))</f>
        <v> </v>
      </c>
      <c r="J4450" s="25" t="str">
        <f>IF(OR(E4450="",E4450="!!!",F4450="NEW"),"",COUNTBLANK(OFFSET(A$1,,,SUMPRODUCT(MAX(ROW(E$2:E4450)*(E4450=E$2:E4450)))))-COUNTBLANK(OFFSET(A$1,,,SUMPRODUCT(MAX(ROW(E$1:E4449)*(E2=E$1:E4449))))))</f>
        <v> </v>
      </c>
      <c r="K4450" s="25" t="str">
        <f>IF(OR(E4450="",E4450="!!!",F4450="NEW"),"",INDEX(J$1:J4449,SUMPRODUCT(MAX(ROW(E$1:E4449)*(E4450=E$1:E4449)))))</f>
        <v> </v>
      </c>
      <c r="L4450" s="26"/>
    </row>
    <row r="4451" spans="1:12">
      <c r="A4451" s="20" t="s">
        <v>818</v>
      </c>
      <c r="E4451" s="21">
        <f>IF(D4451="?OLD","!!!","")</f>
        <v/>
      </c>
      <c r="F4451" s="22" t="str">
        <f>IF(OR(E4451="",E4451="!!!"),"",IF(NOT(ISNA(VLOOKUP(E4451,E$1:E4450,1,FALSE()))),"OLD",IF(AND(E4451&lt;&gt;"",E4451&lt;&gt;"!!!"),"NEW","")))</f>
        <v> </v>
      </c>
      <c r="G4451" s="23" t="str">
        <f>IF(OR(E4451="",E4451="!!!"),"",IF(OR(J4451=0,AND(J4451=1,K4451=1),AND(J4451=1,I4451="SBJ"),AND(J4451=1,I4451=0)),"?IN_FOCUS",IF(J4451&lt;=2,"?ACTIVATED",IF(J4451&lt;&gt;"","?FAMILIAR",IF(F4451="NEW",IF(ISNA(VLOOKUP(E4451,#REF!,1,FALSE())),"?TYPE_IDENTIFIABLE","?REFERENTIAL"),"_")))))</f>
        <v> </v>
      </c>
      <c r="H4451" s="24" t="str">
        <f>IF(J4451&lt;&gt;1,"",IF(I4451="SBJ","CB","?"))</f>
        <v> </v>
      </c>
      <c r="I4451" s="25" t="str">
        <f>IF(OR(E4451="",E4451="!!!",F4451="NEW"),"",INDEX(B4450:B$2,-1+SUMPRODUCT(MAX(ROW(E4450:E$2)*(E4451=E4450:E$2)))))</f>
        <v> </v>
      </c>
      <c r="J4451" s="25" t="str">
        <f>IF(OR(E4451="",E4451="!!!",F4451="NEW"),"",COUNTBLANK(OFFSET(A$1,,,SUMPRODUCT(MAX(ROW(E$2:E4451)*(E4451=E$2:E4451)))))-COUNTBLANK(OFFSET(A$1,,,SUMPRODUCT(MAX(ROW(E$1:E4450)*(E2=E$1:E4450))))))</f>
        <v> </v>
      </c>
      <c r="K4451" s="25" t="str">
        <f>IF(OR(E4451="",E4451="!!!",F4451="NEW"),"",INDEX(J$1:J4450,SUMPRODUCT(MAX(ROW(E$1:E4450)*(E4451=E$1:E4450)))))</f>
        <v> </v>
      </c>
      <c r="L4451" s="26"/>
    </row>
    <row r="4452" spans="1:12">
      <c r="A4452" s="20" t="s">
        <v>2029</v>
      </c>
      <c r="B4452" s="27" t="s">
        <v>728</v>
      </c>
      <c r="C4452" s="27" t="s">
        <v>739</v>
      </c>
      <c r="D4452" s="27" t="s">
        <v>740</v>
      </c>
      <c r="E4452" s="21">
        <f>IF(D4452="?OLD","!!!","")</f>
        <v/>
      </c>
      <c r="F4452" s="22" t="str">
        <f>IF(OR(E4452="",E4452="!!!"),"",IF(NOT(ISNA(VLOOKUP(E4452,E$1:E4451,1,FALSE()))),"OLD",IF(AND(E4452&lt;&gt;"",E4452&lt;&gt;"!!!"),"NEW","")))</f>
        <v> </v>
      </c>
      <c r="G4452" s="23" t="str">
        <f>IF(OR(E4452="",E4452="!!!"),"",IF(OR(J4452=0,AND(J4452=1,K4452=1),AND(J4452=1,I4452="SBJ"),AND(J4452=1,I4452=0)),"?IN_FOCUS",IF(J4452&lt;=2,"?ACTIVATED",IF(J4452&lt;&gt;"","?FAMILIAR",IF(F4452="NEW",IF(ISNA(VLOOKUP(E4452,#REF!,1,FALSE())),"?TYPE_IDENTIFIABLE","?REFERENTIAL"),"_")))))</f>
        <v> </v>
      </c>
      <c r="H4452" s="24" t="str">
        <f>IF(J4452&lt;&gt;1,"",IF(I4452="SBJ","CB","?"))</f>
        <v> </v>
      </c>
      <c r="I4452" s="25" t="str">
        <f>IF(OR(E4452="",E4452="!!!",F4452="NEW"),"",INDEX(B4451:B$2,-1+SUMPRODUCT(MAX(ROW(E4451:E$2)*(E4452=E4451:E$2)))))</f>
        <v> </v>
      </c>
      <c r="J4452" s="25" t="str">
        <f>IF(OR(E4452="",E4452="!!!",F4452="NEW"),"",COUNTBLANK(OFFSET(A$1,,,SUMPRODUCT(MAX(ROW(E$2:E4452)*(E4452=E$2:E4452)))))-COUNTBLANK(OFFSET(A$1,,,SUMPRODUCT(MAX(ROW(E$1:E4451)*(E2=E$1:E4451))))))</f>
        <v> </v>
      </c>
      <c r="K4452" s="25" t="str">
        <f>IF(OR(E4452="",E4452="!!!",F4452="NEW"),"",INDEX(J$1:J4451,SUMPRODUCT(MAX(ROW(E$1:E4451)*(E4452=E$1:E4451)))))</f>
        <v> </v>
      </c>
      <c r="L4452" s="26"/>
    </row>
    <row r="4453" spans="1:12">
      <c r="A4453" s="20" t="s">
        <v>1149</v>
      </c>
      <c r="E4453" s="21">
        <f>IF(D4453="?OLD","!!!","")</f>
        <v/>
      </c>
      <c r="F4453" s="22" t="str">
        <f>IF(OR(E4453="",E4453="!!!"),"",IF(NOT(ISNA(VLOOKUP(E4453,E$1:E4452,1,FALSE()))),"OLD",IF(AND(E4453&lt;&gt;"",E4453&lt;&gt;"!!!"),"NEW","")))</f>
        <v> </v>
      </c>
      <c r="G4453" s="23" t="str">
        <f>IF(OR(E4453="",E4453="!!!"),"",IF(OR(J4453=0,AND(J4453=1,K4453=1),AND(J4453=1,I4453="SBJ"),AND(J4453=1,I4453=0)),"?IN_FOCUS",IF(J4453&lt;=2,"?ACTIVATED",IF(J4453&lt;&gt;"","?FAMILIAR",IF(F4453="NEW",IF(ISNA(VLOOKUP(E4453,#REF!,1,FALSE())),"?TYPE_IDENTIFIABLE","?REFERENTIAL"),"_")))))</f>
        <v> </v>
      </c>
      <c r="H4453" s="24" t="str">
        <f>IF(J4453&lt;&gt;1,"",IF(I4453="SBJ","CB","?"))</f>
        <v> </v>
      </c>
      <c r="I4453" s="25" t="str">
        <f>IF(OR(E4453="",E4453="!!!",F4453="NEW"),"",INDEX(B4452:B$2,-1+SUMPRODUCT(MAX(ROW(E4452:E$2)*(E4453=E4452:E$2)))))</f>
        <v> </v>
      </c>
      <c r="J4453" s="25" t="str">
        <f>IF(OR(E4453="",E4453="!!!",F4453="NEW"),"",COUNTBLANK(OFFSET(A$1,,,SUMPRODUCT(MAX(ROW(E$2:E4453)*(E4453=E$2:E4453)))))-COUNTBLANK(OFFSET(A$1,,,SUMPRODUCT(MAX(ROW(E$1:E4452)*(E2=E$1:E4452))))))</f>
        <v> </v>
      </c>
      <c r="K4453" s="25" t="str">
        <f>IF(OR(E4453="",E4453="!!!",F4453="NEW"),"",INDEX(J$1:J4452,SUMPRODUCT(MAX(ROW(E$1:E4452)*(E4453=E$1:E4452)))))</f>
        <v> </v>
      </c>
      <c r="L4453" s="26"/>
    </row>
    <row r="4454" spans="1:12">
      <c r="A4454" s="20" t="s">
        <v>799</v>
      </c>
      <c r="B4454" s="27" t="s">
        <v>756</v>
      </c>
      <c r="C4454" s="27" t="s">
        <v>734</v>
      </c>
      <c r="E4454" s="21">
        <f>IF(D4454="?OLD","!!!","")</f>
        <v/>
      </c>
      <c r="F4454" s="22" t="str">
        <f>IF(OR(E4454="",E4454="!!!"),"",IF(NOT(ISNA(VLOOKUP(E4454,E$1:E4453,1,FALSE()))),"OLD",IF(AND(E4454&lt;&gt;"",E4454&lt;&gt;"!!!"),"NEW","")))</f>
        <v> </v>
      </c>
      <c r="G4454" s="23" t="str">
        <f>IF(OR(E4454="",E4454="!!!"),"",IF(OR(J4454=0,AND(J4454=1,K4454=1),AND(J4454=1,I4454="SBJ"),AND(J4454=1,I4454=0)),"?IN_FOCUS",IF(J4454&lt;=2,"?ACTIVATED",IF(J4454&lt;&gt;"","?FAMILIAR",IF(F4454="NEW",IF(ISNA(VLOOKUP(E4454,#REF!,1,FALSE())),"?TYPE_IDENTIFIABLE","?REFERENTIAL"),"_")))))</f>
        <v> </v>
      </c>
      <c r="H4454" s="24" t="str">
        <f>IF(J4454&lt;&gt;1,"",IF(I4454="SBJ","CB","?"))</f>
        <v> </v>
      </c>
      <c r="I4454" s="25" t="str">
        <f>IF(OR(E4454="",E4454="!!!",F4454="NEW"),"",INDEX(B4453:B$2,-1+SUMPRODUCT(MAX(ROW(E4453:E$2)*(E4454=E4453:E$2)))))</f>
        <v> </v>
      </c>
      <c r="J4454" s="25" t="str">
        <f>IF(OR(E4454="",E4454="!!!",F4454="NEW"),"",COUNTBLANK(OFFSET(A$1,,,SUMPRODUCT(MAX(ROW(E$2:E4454)*(E4454=E$2:E4454)))))-COUNTBLANK(OFFSET(A$1,,,SUMPRODUCT(MAX(ROW(E$1:E4453)*(E2=E$1:E4453))))))</f>
        <v> </v>
      </c>
      <c r="K4454" s="25" t="str">
        <f>IF(OR(E4454="",E4454="!!!",F4454="NEW"),"",INDEX(J$1:J4453,SUMPRODUCT(MAX(ROW(E$1:E4453)*(E4454=E$1:E4453)))))</f>
        <v> </v>
      </c>
      <c r="L4454" s="26"/>
    </row>
    <row r="4455" spans="1:12">
      <c r="A4455" s="20" t="s">
        <v>746</v>
      </c>
      <c r="E4455" s="21">
        <f>IF(D4455="?OLD","!!!","")</f>
        <v/>
      </c>
      <c r="F4455" s="22" t="str">
        <f>IF(OR(E4455="",E4455="!!!"),"",IF(NOT(ISNA(VLOOKUP(E4455,E$1:E4454,1,FALSE()))),"OLD",IF(AND(E4455&lt;&gt;"",E4455&lt;&gt;"!!!"),"NEW","")))</f>
        <v> </v>
      </c>
      <c r="G4455" s="23" t="str">
        <f>IF(OR(E4455="",E4455="!!!"),"",IF(OR(J4455=0,AND(J4455=1,K4455=1),AND(J4455=1,I4455="SBJ"),AND(J4455=1,I4455=0)),"?IN_FOCUS",IF(J4455&lt;=2,"?ACTIVATED",IF(J4455&lt;&gt;"","?FAMILIAR",IF(F4455="NEW",IF(ISNA(VLOOKUP(E4455,#REF!,1,FALSE())),"?TYPE_IDENTIFIABLE","?REFERENTIAL"),"_")))))</f>
        <v> </v>
      </c>
      <c r="H4455" s="24" t="str">
        <f>IF(J4455&lt;&gt;1,"",IF(I4455="SBJ","CB","?"))</f>
        <v> </v>
      </c>
      <c r="I4455" s="25" t="str">
        <f>IF(OR(E4455="",E4455="!!!",F4455="NEW"),"",INDEX(B4454:B$2,-1+SUMPRODUCT(MAX(ROW(E4454:E$2)*(E4455=E4454:E$2)))))</f>
        <v> </v>
      </c>
      <c r="J4455" s="25" t="str">
        <f>IF(OR(E4455="",E4455="!!!",F4455="NEW"),"",COUNTBLANK(OFFSET(A$1,,,SUMPRODUCT(MAX(ROW(E$2:E4455)*(E4455=E$2:E4455)))))-COUNTBLANK(OFFSET(A$1,,,SUMPRODUCT(MAX(ROW(E$1:E4454)*(E2=E$1:E4454))))))</f>
        <v> </v>
      </c>
      <c r="K4455" s="25" t="str">
        <f>IF(OR(E4455="",E4455="!!!",F4455="NEW"),"",INDEX(J$1:J4454,SUMPRODUCT(MAX(ROW(E$1:E4454)*(E4455=E$1:E4454)))))</f>
        <v> </v>
      </c>
      <c r="L4455" s="26"/>
    </row>
    <row r="4456" spans="1:12">
      <c r="A4456" s="20"/>
    </row>
    <row r="4457" spans="1:12">
      <c r="A4457" s="20" t="s">
        <v>2030</v>
      </c>
    </row>
    <row r="4458" spans="1:12">
      <c r="A4458" s="20" t="s">
        <v>813</v>
      </c>
      <c r="E4458" s="21">
        <f>IF(D4458="?OLD","!!!","")</f>
        <v/>
      </c>
      <c r="F4458" s="22" t="str">
        <f>IF(OR(E4458="",E4458="!!!"),"",IF(NOT(ISNA(VLOOKUP(E4458,E$1:E4457,1,FALSE()))),"OLD",IF(AND(E4458&lt;&gt;"",E4458&lt;&gt;"!!!"),"NEW","")))</f>
        <v> </v>
      </c>
      <c r="G4458" s="23" t="str">
        <f>IF(OR(E4458="",E4458="!!!"),"",IF(OR(J4458=0,AND(J4458=1,K4458=1),AND(J4458=1,I4458="SBJ"),AND(J4458=1,I4458=0)),"?IN_FOCUS",IF(J4458&lt;=2,"?ACTIVATED",IF(J4458&lt;&gt;"","?FAMILIAR",IF(F4458="NEW",IF(ISNA(VLOOKUP(E4458,#REF!,1,FALSE())),"?TYPE_IDENTIFIABLE","?REFERENTIAL"),"_")))))</f>
        <v> </v>
      </c>
      <c r="H4458" s="24" t="str">
        <f>IF(J4458&lt;&gt;1,"",IF(I4458="SBJ","CB","?"))</f>
        <v> </v>
      </c>
      <c r="I4458" s="25" t="str">
        <f>IF(OR(E4458="",E4458="!!!",F4458="NEW"),"",INDEX(B4457:B$2,-1+SUMPRODUCT(MAX(ROW(E4457:E$2)*(E4458=E4457:E$2)))))</f>
        <v> </v>
      </c>
      <c r="J4458" s="25" t="str">
        <f>IF(OR(E4458="",E4458="!!!",F4458="NEW"),"",COUNTBLANK(OFFSET(A$1,,,SUMPRODUCT(MAX(ROW(E$2:E4458)*(E4458=E$2:E4458)))))-COUNTBLANK(OFFSET(A$1,,,SUMPRODUCT(MAX(ROW(E$1:E4457)*(E2=E$1:E4457))))))</f>
        <v> </v>
      </c>
      <c r="K4458" s="25" t="str">
        <f>IF(OR(E4458="",E4458="!!!",F4458="NEW"),"",INDEX(J$1:J4457,SUMPRODUCT(MAX(ROW(E$1:E4457)*(E4458=E$1:E4457)))))</f>
        <v> </v>
      </c>
      <c r="L4458" s="26"/>
    </row>
    <row r="4459" spans="1:12">
      <c r="A4459" s="20" t="s">
        <v>830</v>
      </c>
      <c r="E4459" s="21">
        <f>IF(D4459="?OLD","!!!","")</f>
        <v/>
      </c>
      <c r="F4459" s="22" t="str">
        <f>IF(OR(E4459="",E4459="!!!"),"",IF(NOT(ISNA(VLOOKUP(E4459,E$1:E4458,1,FALSE()))),"OLD",IF(AND(E4459&lt;&gt;"",E4459&lt;&gt;"!!!"),"NEW","")))</f>
        <v> </v>
      </c>
      <c r="G4459" s="23" t="str">
        <f>IF(OR(E4459="",E4459="!!!"),"",IF(OR(J4459=0,AND(J4459=1,K4459=1),AND(J4459=1,I4459="SBJ"),AND(J4459=1,I4459=0)),"?IN_FOCUS",IF(J4459&lt;=2,"?ACTIVATED",IF(J4459&lt;&gt;"","?FAMILIAR",IF(F4459="NEW",IF(ISNA(VLOOKUP(E4459,#REF!,1,FALSE())),"?TYPE_IDENTIFIABLE","?REFERENTIAL"),"_")))))</f>
        <v> </v>
      </c>
      <c r="H4459" s="24" t="str">
        <f>IF(J4459&lt;&gt;1,"",IF(I4459="SBJ","CB","?"))</f>
        <v> </v>
      </c>
      <c r="I4459" s="25" t="str">
        <f>IF(OR(E4459="",E4459="!!!",F4459="NEW"),"",INDEX(B4458:B$2,-1+SUMPRODUCT(MAX(ROW(E4458:E$2)*(E4459=E4458:E$2)))))</f>
        <v> </v>
      </c>
      <c r="J4459" s="25" t="str">
        <f>IF(OR(E4459="",E4459="!!!",F4459="NEW"),"",COUNTBLANK(OFFSET(A$1,,,SUMPRODUCT(MAX(ROW(E$2:E4459)*(E4459=E$2:E4459)))))-COUNTBLANK(OFFSET(A$1,,,SUMPRODUCT(MAX(ROW(E$1:E4458)*(E2=E$1:E4458))))))</f>
        <v> </v>
      </c>
      <c r="K4459" s="25" t="str">
        <f>IF(OR(E4459="",E4459="!!!",F4459="NEW"),"",INDEX(J$1:J4458,SUMPRODUCT(MAX(ROW(E$1:E4458)*(E4459=E$1:E4458)))))</f>
        <v> </v>
      </c>
      <c r="L4459" s="26"/>
    </row>
    <row r="4460" spans="1:12">
      <c r="A4460" s="20" t="s">
        <v>1087</v>
      </c>
      <c r="B4460" s="27" t="s">
        <v>733</v>
      </c>
      <c r="C4460" s="27" t="s">
        <v>772</v>
      </c>
      <c r="E4460" s="21">
        <f>IF(D4460="?OLD","!!!","")</f>
        <v/>
      </c>
      <c r="F4460" s="22" t="str">
        <f>IF(OR(E4460="",E4460="!!!"),"",IF(NOT(ISNA(VLOOKUP(E4460,E$1:E4459,1,FALSE()))),"OLD",IF(AND(E4460&lt;&gt;"",E4460&lt;&gt;"!!!"),"NEW","")))</f>
        <v> </v>
      </c>
      <c r="G4460" s="23" t="str">
        <f>IF(OR(E4460="",E4460="!!!"),"",IF(OR(J4460=0,AND(J4460=1,K4460=1),AND(J4460=1,I4460="SBJ"),AND(J4460=1,I4460=0)),"?IN_FOCUS",IF(J4460&lt;=2,"?ACTIVATED",IF(J4460&lt;&gt;"","?FAMILIAR",IF(F4460="NEW",IF(ISNA(VLOOKUP(E4460,#REF!,1,FALSE())),"?TYPE_IDENTIFIABLE","?REFERENTIAL"),"_")))))</f>
        <v> </v>
      </c>
      <c r="H4460" s="24" t="str">
        <f>IF(J4460&lt;&gt;1,"",IF(I4460="SBJ","CB","?"))</f>
        <v> </v>
      </c>
      <c r="I4460" s="25" t="str">
        <f>IF(OR(E4460="",E4460="!!!",F4460="NEW"),"",INDEX(B4459:B$2,-1+SUMPRODUCT(MAX(ROW(E4459:E$2)*(E4460=E4459:E$2)))))</f>
        <v> </v>
      </c>
      <c r="J4460" s="25" t="str">
        <f>IF(OR(E4460="",E4460="!!!",F4460="NEW"),"",COUNTBLANK(OFFSET(A$1,,,SUMPRODUCT(MAX(ROW(E$2:E4460)*(E4460=E$2:E4460)))))-COUNTBLANK(OFFSET(A$1,,,SUMPRODUCT(MAX(ROW(E$1:E4459)*(E2=E$1:E4459))))))</f>
        <v> </v>
      </c>
      <c r="K4460" s="25" t="str">
        <f>IF(OR(E4460="",E4460="!!!",F4460="NEW"),"",INDEX(J$1:J4459,SUMPRODUCT(MAX(ROW(E$1:E4459)*(E4460=E$1:E4459)))))</f>
        <v> </v>
      </c>
      <c r="L4460" s="26"/>
    </row>
    <row r="4461" spans="1:12">
      <c r="A4461" s="20" t="s">
        <v>183</v>
      </c>
      <c r="B4461" s="27" t="s">
        <v>756</v>
      </c>
      <c r="C4461" s="27" t="s">
        <v>780</v>
      </c>
      <c r="E4461" s="21">
        <f>IF(D4461="?OLD","!!!","")</f>
        <v/>
      </c>
      <c r="F4461" s="22" t="str">
        <f>IF(OR(E4461="",E4461="!!!"),"",IF(NOT(ISNA(VLOOKUP(E4461,E$1:E4460,1,FALSE()))),"OLD",IF(AND(E4461&lt;&gt;"",E4461&lt;&gt;"!!!"),"NEW","")))</f>
        <v> </v>
      </c>
      <c r="G4461" s="23" t="str">
        <f>IF(OR(E4461="",E4461="!!!"),"",IF(OR(J4461=0,AND(J4461=1,K4461=1),AND(J4461=1,I4461="SBJ"),AND(J4461=1,I4461=0)),"?IN_FOCUS",IF(J4461&lt;=2,"?ACTIVATED",IF(J4461&lt;&gt;"","?FAMILIAR",IF(F4461="NEW",IF(ISNA(VLOOKUP(E4461,#REF!,1,FALSE())),"?TYPE_IDENTIFIABLE","?REFERENTIAL"),"_")))))</f>
        <v> </v>
      </c>
      <c r="H4461" s="24" t="str">
        <f>IF(J4461&lt;&gt;1,"",IF(I4461="SBJ","CB","?"))</f>
        <v> </v>
      </c>
      <c r="I4461" s="25" t="str">
        <f>IF(OR(E4461="",E4461="!!!",F4461="NEW"),"",INDEX(B4460:B$2,-1+SUMPRODUCT(MAX(ROW(E4460:E$2)*(E4461=E4460:E$2)))))</f>
        <v> </v>
      </c>
      <c r="J4461" s="25" t="str">
        <f>IF(OR(E4461="",E4461="!!!",F4461="NEW"),"",COUNTBLANK(OFFSET(A$1,,,SUMPRODUCT(MAX(ROW(E$2:E4461)*(E4461=E$2:E4461)))))-COUNTBLANK(OFFSET(A$1,,,SUMPRODUCT(MAX(ROW(E$1:E4460)*(E2=E$1:E4460))))))</f>
        <v> </v>
      </c>
      <c r="K4461" s="25" t="str">
        <f>IF(OR(E4461="",E4461="!!!",F4461="NEW"),"",INDEX(J$1:J4460,SUMPRODUCT(MAX(ROW(E$1:E4460)*(E4461=E$1:E4460)))))</f>
        <v> </v>
      </c>
      <c r="L4461" s="26"/>
    </row>
    <row r="4462" spans="1:12">
      <c r="A4462" s="20" t="s">
        <v>1211</v>
      </c>
      <c r="E4462" s="21">
        <f>IF(D4462="?OLD","!!!","")</f>
        <v/>
      </c>
      <c r="F4462" s="22" t="str">
        <f>IF(OR(E4462="",E4462="!!!"),"",IF(NOT(ISNA(VLOOKUP(E4462,E$1:E4461,1,FALSE()))),"OLD",IF(AND(E4462&lt;&gt;"",E4462&lt;&gt;"!!!"),"NEW","")))</f>
        <v> </v>
      </c>
      <c r="G4462" s="23" t="str">
        <f>IF(OR(E4462="",E4462="!!!"),"",IF(OR(J4462=0,AND(J4462=1,K4462=1),AND(J4462=1,I4462="SBJ"),AND(J4462=1,I4462=0)),"?IN_FOCUS",IF(J4462&lt;=2,"?ACTIVATED",IF(J4462&lt;&gt;"","?FAMILIAR",IF(F4462="NEW",IF(ISNA(VLOOKUP(E4462,#REF!,1,FALSE())),"?TYPE_IDENTIFIABLE","?REFERENTIAL"),"_")))))</f>
        <v> </v>
      </c>
      <c r="H4462" s="24" t="str">
        <f>IF(J4462&lt;&gt;1,"",IF(I4462="SBJ","CB","?"))</f>
        <v> </v>
      </c>
      <c r="I4462" s="25" t="str">
        <f>IF(OR(E4462="",E4462="!!!",F4462="NEW"),"",INDEX(B4461:B$2,-1+SUMPRODUCT(MAX(ROW(E4461:E$2)*(E4462=E4461:E$2)))))</f>
        <v> </v>
      </c>
      <c r="J4462" s="25" t="str">
        <f>IF(OR(E4462="",E4462="!!!",F4462="NEW"),"",COUNTBLANK(OFFSET(A$1,,,SUMPRODUCT(MAX(ROW(E$2:E4462)*(E4462=E$2:E4462)))))-COUNTBLANK(OFFSET(A$1,,,SUMPRODUCT(MAX(ROW(E$1:E4461)*(E2=E$1:E4461))))))</f>
        <v> </v>
      </c>
      <c r="K4462" s="25" t="str">
        <f>IF(OR(E4462="",E4462="!!!",F4462="NEW"),"",INDEX(J$1:J4461,SUMPRODUCT(MAX(ROW(E$1:E4461)*(E4462=E$1:E4461)))))</f>
        <v> </v>
      </c>
      <c r="L4462" s="26"/>
    </row>
    <row r="4463" spans="1:12">
      <c r="A4463" s="20" t="s">
        <v>2031</v>
      </c>
      <c r="B4463" s="27" t="s">
        <v>733</v>
      </c>
      <c r="C4463" s="27" t="s">
        <v>734</v>
      </c>
      <c r="E4463" s="21">
        <f>IF(D4463="?OLD","!!!","")</f>
        <v/>
      </c>
      <c r="F4463" s="22" t="str">
        <f>IF(OR(E4463="",E4463="!!!"),"",IF(NOT(ISNA(VLOOKUP(E4463,E$1:E4462,1,FALSE()))),"OLD",IF(AND(E4463&lt;&gt;"",E4463&lt;&gt;"!!!"),"NEW","")))</f>
        <v> </v>
      </c>
      <c r="G4463" s="23" t="str">
        <f>IF(OR(E4463="",E4463="!!!"),"",IF(OR(J4463=0,AND(J4463=1,K4463=1),AND(J4463=1,I4463="SBJ"),AND(J4463=1,I4463=0)),"?IN_FOCUS",IF(J4463&lt;=2,"?ACTIVATED",IF(J4463&lt;&gt;"","?FAMILIAR",IF(F4463="NEW",IF(ISNA(VLOOKUP(E4463,#REF!,1,FALSE())),"?TYPE_IDENTIFIABLE","?REFERENTIAL"),"_")))))</f>
        <v> </v>
      </c>
      <c r="H4463" s="24" t="str">
        <f>IF(J4463&lt;&gt;1,"",IF(I4463="SBJ","CB","?"))</f>
        <v> </v>
      </c>
      <c r="I4463" s="25" t="str">
        <f>IF(OR(E4463="",E4463="!!!",F4463="NEW"),"",INDEX(B4462:B$2,-1+SUMPRODUCT(MAX(ROW(E4462:E$2)*(E4463=E4462:E$2)))))</f>
        <v> </v>
      </c>
      <c r="J4463" s="25" t="str">
        <f>IF(OR(E4463="",E4463="!!!",F4463="NEW"),"",COUNTBLANK(OFFSET(A$1,,,SUMPRODUCT(MAX(ROW(E$2:E4463)*(E4463=E$2:E4463)))))-COUNTBLANK(OFFSET(A$1,,,SUMPRODUCT(MAX(ROW(E$1:E4462)*(E2=E$1:E4462))))))</f>
        <v> </v>
      </c>
      <c r="K4463" s="25" t="str">
        <f>IF(OR(E4463="",E4463="!!!",F4463="NEW"),"",INDEX(J$1:J4462,SUMPRODUCT(MAX(ROW(E$1:E4462)*(E4463=E$1:E4462)))))</f>
        <v> </v>
      </c>
      <c r="L4463" s="26"/>
    </row>
    <row r="4464" spans="1:12">
      <c r="A4464" s="20" t="s">
        <v>818</v>
      </c>
      <c r="E4464" s="21">
        <f>IF(D4464="?OLD","!!!","")</f>
        <v/>
      </c>
      <c r="F4464" s="22" t="str">
        <f>IF(OR(E4464="",E4464="!!!"),"",IF(NOT(ISNA(VLOOKUP(E4464,E$1:E4463,1,FALSE()))),"OLD",IF(AND(E4464&lt;&gt;"",E4464&lt;&gt;"!!!"),"NEW","")))</f>
        <v> </v>
      </c>
      <c r="G4464" s="23" t="str">
        <f>IF(OR(E4464="",E4464="!!!"),"",IF(OR(J4464=0,AND(J4464=1,K4464=1),AND(J4464=1,I4464="SBJ"),AND(J4464=1,I4464=0)),"?IN_FOCUS",IF(J4464&lt;=2,"?ACTIVATED",IF(J4464&lt;&gt;"","?FAMILIAR",IF(F4464="NEW",IF(ISNA(VLOOKUP(E4464,#REF!,1,FALSE())),"?TYPE_IDENTIFIABLE","?REFERENTIAL"),"_")))))</f>
        <v> </v>
      </c>
      <c r="H4464" s="24" t="str">
        <f>IF(J4464&lt;&gt;1,"",IF(I4464="SBJ","CB","?"))</f>
        <v> </v>
      </c>
      <c r="I4464" s="25" t="str">
        <f>IF(OR(E4464="",E4464="!!!",F4464="NEW"),"",INDEX(B4463:B$2,-1+SUMPRODUCT(MAX(ROW(E4463:E$2)*(E4464=E4463:E$2)))))</f>
        <v> </v>
      </c>
      <c r="J4464" s="25" t="str">
        <f>IF(OR(E4464="",E4464="!!!",F4464="NEW"),"",COUNTBLANK(OFFSET(A$1,,,SUMPRODUCT(MAX(ROW(E$2:E4464)*(E4464=E$2:E4464)))))-COUNTBLANK(OFFSET(A$1,,,SUMPRODUCT(MAX(ROW(E$1:E4463)*(E2=E$1:E4463))))))</f>
        <v> </v>
      </c>
      <c r="K4464" s="25" t="str">
        <f>IF(OR(E4464="",E4464="!!!",F4464="NEW"),"",INDEX(J$1:J4463,SUMPRODUCT(MAX(ROW(E$1:E4463)*(E4464=E$1:E4463)))))</f>
        <v> </v>
      </c>
      <c r="L4464" s="26"/>
    </row>
    <row r="4465" spans="1:12">
      <c r="A4465" s="20" t="s">
        <v>1250</v>
      </c>
      <c r="B4465" s="27" t="s">
        <v>777</v>
      </c>
      <c r="C4465" s="27" t="s">
        <v>739</v>
      </c>
      <c r="D4465" s="27" t="s">
        <v>740</v>
      </c>
      <c r="E4465" s="21">
        <f>IF(D4465="?OLD","!!!","")</f>
        <v/>
      </c>
      <c r="F4465" s="22" t="str">
        <f>IF(OR(E4465="",E4465="!!!"),"",IF(NOT(ISNA(VLOOKUP(E4465,E$1:E4464,1,FALSE()))),"OLD",IF(AND(E4465&lt;&gt;"",E4465&lt;&gt;"!!!"),"NEW","")))</f>
        <v> </v>
      </c>
      <c r="G4465" s="23" t="str">
        <f>IF(OR(E4465="",E4465="!!!"),"",IF(OR(J4465=0,AND(J4465=1,K4465=1),AND(J4465=1,I4465="SBJ"),AND(J4465=1,I4465=0)),"?IN_FOCUS",IF(J4465&lt;=2,"?ACTIVATED",IF(J4465&lt;&gt;"","?FAMILIAR",IF(F4465="NEW",IF(ISNA(VLOOKUP(E4465,#REF!,1,FALSE())),"?TYPE_IDENTIFIABLE","?REFERENTIAL"),"_")))))</f>
        <v> </v>
      </c>
      <c r="H4465" s="24" t="str">
        <f>IF(J4465&lt;&gt;1,"",IF(I4465="SBJ","CB","?"))</f>
        <v> </v>
      </c>
      <c r="I4465" s="25" t="str">
        <f>IF(OR(E4465="",E4465="!!!",F4465="NEW"),"",INDEX(B4464:B$2,-1+SUMPRODUCT(MAX(ROW(E4464:E$2)*(E4465=E4464:E$2)))))</f>
        <v> </v>
      </c>
      <c r="J4465" s="25" t="str">
        <f>IF(OR(E4465="",E4465="!!!",F4465="NEW"),"",COUNTBLANK(OFFSET(A$1,,,SUMPRODUCT(MAX(ROW(E$2:E4465)*(E4465=E$2:E4465)))))-COUNTBLANK(OFFSET(A$1,,,SUMPRODUCT(MAX(ROW(E$1:E4464)*(E2=E$1:E4464))))))</f>
        <v> </v>
      </c>
      <c r="K4465" s="25" t="str">
        <f>IF(OR(E4465="",E4465="!!!",F4465="NEW"),"",INDEX(J$1:J4464,SUMPRODUCT(MAX(ROW(E$1:E4464)*(E4465=E$1:E4464)))))</f>
        <v> </v>
      </c>
      <c r="L4465" s="26"/>
    </row>
    <row r="4466" spans="1:12">
      <c r="A4466" s="20" t="s">
        <v>753</v>
      </c>
      <c r="E4466" s="21">
        <f>IF(D4466="?OLD","!!!","")</f>
        <v/>
      </c>
      <c r="F4466" s="22" t="str">
        <f>IF(OR(E4466="",E4466="!!!"),"",IF(NOT(ISNA(VLOOKUP(E4466,E$1:E4465,1,FALSE()))),"OLD",IF(AND(E4466&lt;&gt;"",E4466&lt;&gt;"!!!"),"NEW","")))</f>
        <v> </v>
      </c>
      <c r="G4466" s="23" t="str">
        <f>IF(OR(E4466="",E4466="!!!"),"",IF(OR(J4466=0,AND(J4466=1,K4466=1),AND(J4466=1,I4466="SBJ"),AND(J4466=1,I4466=0)),"?IN_FOCUS",IF(J4466&lt;=2,"?ACTIVATED",IF(J4466&lt;&gt;"","?FAMILIAR",IF(F4466="NEW",IF(ISNA(VLOOKUP(E4466,#REF!,1,FALSE())),"?TYPE_IDENTIFIABLE","?REFERENTIAL"),"_")))))</f>
        <v> </v>
      </c>
      <c r="H4466" s="24" t="str">
        <f>IF(J4466&lt;&gt;1,"",IF(I4466="SBJ","CB","?"))</f>
        <v> </v>
      </c>
      <c r="I4466" s="25" t="str">
        <f>IF(OR(E4466="",E4466="!!!",F4466="NEW"),"",INDEX(B4465:B$2,-1+SUMPRODUCT(MAX(ROW(E4465:E$2)*(E4466=E4465:E$2)))))</f>
        <v> </v>
      </c>
      <c r="J4466" s="25" t="str">
        <f>IF(OR(E4466="",E4466="!!!",F4466="NEW"),"",COUNTBLANK(OFFSET(A$1,,,SUMPRODUCT(MAX(ROW(E$2:E4466)*(E4466=E$2:E4466)))))-COUNTBLANK(OFFSET(A$1,,,SUMPRODUCT(MAX(ROW(E$1:E4465)*(E2=E$1:E4465))))))</f>
        <v> </v>
      </c>
      <c r="K4466" s="25" t="str">
        <f>IF(OR(E4466="",E4466="!!!",F4466="NEW"),"",INDEX(J$1:J4465,SUMPRODUCT(MAX(ROW(E$1:E4465)*(E4466=E$1:E4465)))))</f>
        <v> </v>
      </c>
      <c r="L4466" s="26"/>
    </row>
    <row r="4467" spans="1:12">
      <c r="A4467" s="20" t="s">
        <v>869</v>
      </c>
      <c r="E4467" s="21">
        <f>IF(D4467="?OLD","!!!","")</f>
        <v/>
      </c>
      <c r="F4467" s="22" t="str">
        <f>IF(OR(E4467="",E4467="!!!"),"",IF(NOT(ISNA(VLOOKUP(E4467,E$1:E4466,1,FALSE()))),"OLD",IF(AND(E4467&lt;&gt;"",E4467&lt;&gt;"!!!"),"NEW","")))</f>
        <v> </v>
      </c>
      <c r="G4467" s="23" t="str">
        <f>IF(OR(E4467="",E4467="!!!"),"",IF(OR(J4467=0,AND(J4467=1,K4467=1),AND(J4467=1,I4467="SBJ"),AND(J4467=1,I4467=0)),"?IN_FOCUS",IF(J4467&lt;=2,"?ACTIVATED",IF(J4467&lt;&gt;"","?FAMILIAR",IF(F4467="NEW",IF(ISNA(VLOOKUP(E4467,#REF!,1,FALSE())),"?TYPE_IDENTIFIABLE","?REFERENTIAL"),"_")))))</f>
        <v> </v>
      </c>
      <c r="H4467" s="24" t="str">
        <f>IF(J4467&lt;&gt;1,"",IF(I4467="SBJ","CB","?"))</f>
        <v> </v>
      </c>
      <c r="I4467" s="25" t="str">
        <f>IF(OR(E4467="",E4467="!!!",F4467="NEW"),"",INDEX(B4466:B$2,-1+SUMPRODUCT(MAX(ROW(E4466:E$2)*(E4467=E4466:E$2)))))</f>
        <v> </v>
      </c>
      <c r="J4467" s="25" t="str">
        <f>IF(OR(E4467="",E4467="!!!",F4467="NEW"),"",COUNTBLANK(OFFSET(A$1,,,SUMPRODUCT(MAX(ROW(E$2:E4467)*(E4467=E$2:E4467)))))-COUNTBLANK(OFFSET(A$1,,,SUMPRODUCT(MAX(ROW(E$1:E4466)*(E2=E$1:E4466))))))</f>
        <v> </v>
      </c>
      <c r="K4467" s="25" t="str">
        <f>IF(OR(E4467="",E4467="!!!",F4467="NEW"),"",INDEX(J$1:J4466,SUMPRODUCT(MAX(ROW(E$1:E4466)*(E4467=E$1:E4466)))))</f>
        <v> </v>
      </c>
      <c r="L4467" s="26"/>
    </row>
    <row r="4468" spans="1:12">
      <c r="A4468" s="20" t="s">
        <v>905</v>
      </c>
      <c r="E4468" s="21">
        <f>IF(D4468="?OLD","!!!","")</f>
        <v/>
      </c>
      <c r="F4468" s="22" t="str">
        <f>IF(OR(E4468="",E4468="!!!"),"",IF(NOT(ISNA(VLOOKUP(E4468,E$1:E4467,1,FALSE()))),"OLD",IF(AND(E4468&lt;&gt;"",E4468&lt;&gt;"!!!"),"NEW","")))</f>
        <v> </v>
      </c>
      <c r="G4468" s="23" t="str">
        <f>IF(OR(E4468="",E4468="!!!"),"",IF(OR(J4468=0,AND(J4468=1,K4468=1),AND(J4468=1,I4468="SBJ"),AND(J4468=1,I4468=0)),"?IN_FOCUS",IF(J4468&lt;=2,"?ACTIVATED",IF(J4468&lt;&gt;"","?FAMILIAR",IF(F4468="NEW",IF(ISNA(VLOOKUP(E4468,#REF!,1,FALSE())),"?TYPE_IDENTIFIABLE","?REFERENTIAL"),"_")))))</f>
        <v> </v>
      </c>
      <c r="H4468" s="24" t="str">
        <f>IF(J4468&lt;&gt;1,"",IF(I4468="SBJ","CB","?"))</f>
        <v> </v>
      </c>
      <c r="I4468" s="25" t="str">
        <f>IF(OR(E4468="",E4468="!!!",F4468="NEW"),"",INDEX(B4467:B$2,-1+SUMPRODUCT(MAX(ROW(E4467:E$2)*(E4468=E4467:E$2)))))</f>
        <v> </v>
      </c>
      <c r="J4468" s="25" t="str">
        <f>IF(OR(E4468="",E4468="!!!",F4468="NEW"),"",COUNTBLANK(OFFSET(A$1,,,SUMPRODUCT(MAX(ROW(E$2:E4468)*(E4468=E$2:E4468)))))-COUNTBLANK(OFFSET(A$1,,,SUMPRODUCT(MAX(ROW(E$1:E4467)*(E2=E$1:E4467))))))</f>
        <v> </v>
      </c>
      <c r="K4468" s="25" t="str">
        <f>IF(OR(E4468="",E4468="!!!",F4468="NEW"),"",INDEX(J$1:J4467,SUMPRODUCT(MAX(ROW(E$1:E4467)*(E4468=E$1:E4467)))))</f>
        <v> </v>
      </c>
      <c r="L4468" s="26"/>
    </row>
    <row r="4469" spans="1:12">
      <c r="A4469" s="20" t="s">
        <v>807</v>
      </c>
      <c r="B4469" s="27" t="s">
        <v>728</v>
      </c>
      <c r="C4469" s="27" t="s">
        <v>749</v>
      </c>
      <c r="D4469" s="27" t="s">
        <v>740</v>
      </c>
      <c r="E4469" s="21">
        <f>IF(D4469="?OLD","!!!","")</f>
        <v/>
      </c>
      <c r="F4469" s="22" t="str">
        <f>IF(OR(E4469="",E4469="!!!"),"",IF(NOT(ISNA(VLOOKUP(E4469,E$1:E4468,1,FALSE()))),"OLD",IF(AND(E4469&lt;&gt;"",E4469&lt;&gt;"!!!"),"NEW","")))</f>
        <v> </v>
      </c>
      <c r="G4469" s="23" t="str">
        <f>IF(OR(E4469="",E4469="!!!"),"",IF(OR(J4469=0,AND(J4469=1,K4469=1),AND(J4469=1,I4469="SBJ"),AND(J4469=1,I4469=0)),"?IN_FOCUS",IF(J4469&lt;=2,"?ACTIVATED",IF(J4469&lt;&gt;"","?FAMILIAR",IF(F4469="NEW",IF(ISNA(VLOOKUP(E4469,#REF!,1,FALSE())),"?TYPE_IDENTIFIABLE","?REFERENTIAL"),"_")))))</f>
        <v> </v>
      </c>
      <c r="H4469" s="24" t="str">
        <f>IF(J4469&lt;&gt;1,"",IF(I4469="SBJ","CB","?"))</f>
        <v> </v>
      </c>
      <c r="I4469" s="25" t="str">
        <f>IF(OR(E4469="",E4469="!!!",F4469="NEW"),"",INDEX(B4468:B$2,-1+SUMPRODUCT(MAX(ROW(E4468:E$2)*(E4469=E4468:E$2)))))</f>
        <v> </v>
      </c>
      <c r="J4469" s="25" t="str">
        <f>IF(OR(E4469="",E4469="!!!",F4469="NEW"),"",COUNTBLANK(OFFSET(A$1,,,SUMPRODUCT(MAX(ROW(E$2:E4469)*(E4469=E$2:E4469)))))-COUNTBLANK(OFFSET(A$1,,,SUMPRODUCT(MAX(ROW(E$1:E4468)*(E2=E$1:E4468))))))</f>
        <v> </v>
      </c>
      <c r="K4469" s="25" t="str">
        <f>IF(OR(E4469="",E4469="!!!",F4469="NEW"),"",INDEX(J$1:J4468,SUMPRODUCT(MAX(ROW(E$1:E4468)*(E4469=E$1:E4468)))))</f>
        <v> </v>
      </c>
      <c r="L4469" s="26"/>
    </row>
    <row r="4470" spans="1:12">
      <c r="A4470" s="20" t="s">
        <v>944</v>
      </c>
      <c r="B4470" s="27" t="s">
        <v>733</v>
      </c>
      <c r="C4470" s="27" t="s">
        <v>828</v>
      </c>
      <c r="D4470" s="27" t="s">
        <v>740</v>
      </c>
      <c r="E4470" s="21">
        <f>IF(D4470="?OLD","!!!","")</f>
        <v/>
      </c>
      <c r="F4470" s="22" t="str">
        <f>IF(OR(E4470="",E4470="!!!"),"",IF(NOT(ISNA(VLOOKUP(E4470,E$1:E4469,1,FALSE()))),"OLD",IF(AND(E4470&lt;&gt;"",E4470&lt;&gt;"!!!"),"NEW","")))</f>
        <v> </v>
      </c>
      <c r="G4470" s="23" t="str">
        <f>IF(OR(E4470="",E4470="!!!"),"",IF(OR(J4470=0,AND(J4470=1,K4470=1),AND(J4470=1,I4470="SBJ"),AND(J4470=1,I4470=0)),"?IN_FOCUS",IF(J4470&lt;=2,"?ACTIVATED",IF(J4470&lt;&gt;"","?FAMILIAR",IF(F4470="NEW",IF(ISNA(VLOOKUP(E4470,#REF!,1,FALSE())),"?TYPE_IDENTIFIABLE","?REFERENTIAL"),"_")))))</f>
        <v> </v>
      </c>
      <c r="H4470" s="24" t="str">
        <f>IF(J4470&lt;&gt;1,"",IF(I4470="SBJ","CB","?"))</f>
        <v> </v>
      </c>
      <c r="I4470" s="25" t="str">
        <f>IF(OR(E4470="",E4470="!!!",F4470="NEW"),"",INDEX(B4469:B$2,-1+SUMPRODUCT(MAX(ROW(E4469:E$2)*(E4470=E4469:E$2)))))</f>
        <v> </v>
      </c>
      <c r="J4470" s="25" t="str">
        <f>IF(OR(E4470="",E4470="!!!",F4470="NEW"),"",COUNTBLANK(OFFSET(A$1,,,SUMPRODUCT(MAX(ROW(E$2:E4470)*(E4470=E$2:E4470)))))-COUNTBLANK(OFFSET(A$1,,,SUMPRODUCT(MAX(ROW(E$1:E4469)*(E2=E$1:E4469))))))</f>
        <v> </v>
      </c>
      <c r="K4470" s="25" t="str">
        <f>IF(OR(E4470="",E4470="!!!",F4470="NEW"),"",INDEX(J$1:J4469,SUMPRODUCT(MAX(ROW(E$1:E4469)*(E4470=E$1:E4469)))))</f>
        <v> </v>
      </c>
      <c r="L4470" s="26"/>
    </row>
    <row r="4471" spans="1:12">
      <c r="A4471" s="20" t="s">
        <v>924</v>
      </c>
      <c r="B4471" s="27" t="s">
        <v>738</v>
      </c>
      <c r="C4471" s="27" t="s">
        <v>734</v>
      </c>
      <c r="E4471" s="21">
        <f>IF(D4471="?OLD","!!!","")</f>
        <v/>
      </c>
      <c r="F4471" s="22" t="str">
        <f>IF(OR(E4471="",E4471="!!!"),"",IF(NOT(ISNA(VLOOKUP(E4471,E$1:E4470,1,FALSE()))),"OLD",IF(AND(E4471&lt;&gt;"",E4471&lt;&gt;"!!!"),"NEW","")))</f>
        <v> </v>
      </c>
      <c r="G4471" s="23" t="str">
        <f>IF(OR(E4471="",E4471="!!!"),"",IF(OR(J4471=0,AND(J4471=1,K4471=1),AND(J4471=1,I4471="SBJ"),AND(J4471=1,I4471=0)),"?IN_FOCUS",IF(J4471&lt;=2,"?ACTIVATED",IF(J4471&lt;&gt;"","?FAMILIAR",IF(F4471="NEW",IF(ISNA(VLOOKUP(E4471,#REF!,1,FALSE())),"?TYPE_IDENTIFIABLE","?REFERENTIAL"),"_")))))</f>
        <v> </v>
      </c>
      <c r="H4471" s="24" t="str">
        <f>IF(J4471&lt;&gt;1,"",IF(I4471="SBJ","CB","?"))</f>
        <v> </v>
      </c>
      <c r="I4471" s="25" t="str">
        <f>IF(OR(E4471="",E4471="!!!",F4471="NEW"),"",INDEX(B4470:B$2,-1+SUMPRODUCT(MAX(ROW(E4470:E$2)*(E4471=E4470:E$2)))))</f>
        <v> </v>
      </c>
      <c r="J4471" s="25" t="str">
        <f>IF(OR(E4471="",E4471="!!!",F4471="NEW"),"",COUNTBLANK(OFFSET(A$1,,,SUMPRODUCT(MAX(ROW(E$2:E4471)*(E4471=E$2:E4471)))))-COUNTBLANK(OFFSET(A$1,,,SUMPRODUCT(MAX(ROW(E$1:E4470)*(E2=E$1:E4470))))))</f>
        <v> </v>
      </c>
      <c r="K4471" s="25" t="str">
        <f>IF(OR(E4471="",E4471="!!!",F4471="NEW"),"",INDEX(J$1:J4470,SUMPRODUCT(MAX(ROW(E$1:E4470)*(E4471=E$1:E4470)))))</f>
        <v> </v>
      </c>
      <c r="L4471" s="26"/>
    </row>
    <row r="4472" spans="1:12">
      <c r="A4472" s="20" t="s">
        <v>1041</v>
      </c>
      <c r="E4472" s="21">
        <f>IF(D4472="?OLD","!!!","")</f>
        <v/>
      </c>
      <c r="F4472" s="22" t="str">
        <f>IF(OR(E4472="",E4472="!!!"),"",IF(NOT(ISNA(VLOOKUP(E4472,E$1:E4471,1,FALSE()))),"OLD",IF(AND(E4472&lt;&gt;"",E4472&lt;&gt;"!!!"),"NEW","")))</f>
        <v> </v>
      </c>
      <c r="G4472" s="23" t="str">
        <f>IF(OR(E4472="",E4472="!!!"),"",IF(OR(J4472=0,AND(J4472=1,K4472=1),AND(J4472=1,I4472="SBJ"),AND(J4472=1,I4472=0)),"?IN_FOCUS",IF(J4472&lt;=2,"?ACTIVATED",IF(J4472&lt;&gt;"","?FAMILIAR",IF(F4472="NEW",IF(ISNA(VLOOKUP(E4472,#REF!,1,FALSE())),"?TYPE_IDENTIFIABLE","?REFERENTIAL"),"_")))))</f>
        <v> </v>
      </c>
      <c r="H4472" s="24" t="str">
        <f>IF(J4472&lt;&gt;1,"",IF(I4472="SBJ","CB","?"))</f>
        <v> </v>
      </c>
      <c r="I4472" s="25" t="str">
        <f>IF(OR(E4472="",E4472="!!!",F4472="NEW"),"",INDEX(B4471:B$2,-1+SUMPRODUCT(MAX(ROW(E4471:E$2)*(E4472=E4471:E$2)))))</f>
        <v> </v>
      </c>
      <c r="J4472" s="25" t="str">
        <f>IF(OR(E4472="",E4472="!!!",F4472="NEW"),"",COUNTBLANK(OFFSET(A$1,,,SUMPRODUCT(MAX(ROW(E$2:E4472)*(E4472=E$2:E4472)))))-COUNTBLANK(OFFSET(A$1,,,SUMPRODUCT(MAX(ROW(E$1:E4471)*(E2=E$1:E4471))))))</f>
        <v> </v>
      </c>
      <c r="K4472" s="25" t="str">
        <f>IF(OR(E4472="",E4472="!!!",F4472="NEW"),"",INDEX(J$1:J4471,SUMPRODUCT(MAX(ROW(E$1:E4471)*(E4472=E$1:E4471)))))</f>
        <v> </v>
      </c>
      <c r="L4472" s="26"/>
    </row>
    <row r="4473" spans="1:12">
      <c r="A4473" s="20" t="s">
        <v>799</v>
      </c>
      <c r="B4473" s="27" t="s">
        <v>756</v>
      </c>
      <c r="C4473" s="27" t="s">
        <v>734</v>
      </c>
      <c r="E4473" s="21">
        <f>IF(D4473="?OLD","!!!","")</f>
        <v/>
      </c>
      <c r="F4473" s="22" t="str">
        <f>IF(OR(E4473="",E4473="!!!"),"",IF(NOT(ISNA(VLOOKUP(E4473,E$1:E4472,1,FALSE()))),"OLD",IF(AND(E4473&lt;&gt;"",E4473&lt;&gt;"!!!"),"NEW","")))</f>
        <v> </v>
      </c>
      <c r="G4473" s="23" t="str">
        <f>IF(OR(E4473="",E4473="!!!"),"",IF(OR(J4473=0,AND(J4473=1,K4473=1),AND(J4473=1,I4473="SBJ"),AND(J4473=1,I4473=0)),"?IN_FOCUS",IF(J4473&lt;=2,"?ACTIVATED",IF(J4473&lt;&gt;"","?FAMILIAR",IF(F4473="NEW",IF(ISNA(VLOOKUP(E4473,#REF!,1,FALSE())),"?TYPE_IDENTIFIABLE","?REFERENTIAL"),"_")))))</f>
        <v> </v>
      </c>
      <c r="H4473" s="24" t="str">
        <f>IF(J4473&lt;&gt;1,"",IF(I4473="SBJ","CB","?"))</f>
        <v> </v>
      </c>
      <c r="I4473" s="25" t="str">
        <f>IF(OR(E4473="",E4473="!!!",F4473="NEW"),"",INDEX(B4472:B$2,-1+SUMPRODUCT(MAX(ROW(E4472:E$2)*(E4473=E4472:E$2)))))</f>
        <v> </v>
      </c>
      <c r="J4473" s="25" t="str">
        <f>IF(OR(E4473="",E4473="!!!",F4473="NEW"),"",COUNTBLANK(OFFSET(A$1,,,SUMPRODUCT(MAX(ROW(E$2:E4473)*(E4473=E$2:E4473)))))-COUNTBLANK(OFFSET(A$1,,,SUMPRODUCT(MAX(ROW(E$1:E4472)*(E2=E$1:E4472))))))</f>
        <v> </v>
      </c>
      <c r="K4473" s="25" t="str">
        <f>IF(OR(E4473="",E4473="!!!",F4473="NEW"),"",INDEX(J$1:J4472,SUMPRODUCT(MAX(ROW(E$1:E4472)*(E4473=E$1:E4472)))))</f>
        <v> </v>
      </c>
      <c r="L4473" s="26"/>
    </row>
    <row r="4474" spans="1:12">
      <c r="A4474" s="20" t="s">
        <v>657</v>
      </c>
      <c r="E4474" s="21">
        <f>IF(D4474="?OLD","!!!","")</f>
        <v/>
      </c>
      <c r="F4474" s="22" t="str">
        <f>IF(OR(E4474="",E4474="!!!"),"",IF(NOT(ISNA(VLOOKUP(E4474,E$1:E4473,1,FALSE()))),"OLD",IF(AND(E4474&lt;&gt;"",E4474&lt;&gt;"!!!"),"NEW","")))</f>
        <v> </v>
      </c>
      <c r="G4474" s="23" t="str">
        <f>IF(OR(E4474="",E4474="!!!"),"",IF(OR(J4474=0,AND(J4474=1,K4474=1),AND(J4474=1,I4474="SBJ"),AND(J4474=1,I4474=0)),"?IN_FOCUS",IF(J4474&lt;=2,"?ACTIVATED",IF(J4474&lt;&gt;"","?FAMILIAR",IF(F4474="NEW",IF(ISNA(VLOOKUP(E4474,#REF!,1,FALSE())),"?TYPE_IDENTIFIABLE","?REFERENTIAL"),"_")))))</f>
        <v> </v>
      </c>
      <c r="H4474" s="24" t="str">
        <f>IF(J4474&lt;&gt;1,"",IF(I4474="SBJ","CB","?"))</f>
        <v> </v>
      </c>
      <c r="I4474" s="25" t="str">
        <f>IF(OR(E4474="",E4474="!!!",F4474="NEW"),"",INDEX(B4473:B$2,-1+SUMPRODUCT(MAX(ROW(E4473:E$2)*(E4474=E4473:E$2)))))</f>
        <v> </v>
      </c>
      <c r="J4474" s="25" t="str">
        <f>IF(OR(E4474="",E4474="!!!",F4474="NEW"),"",COUNTBLANK(OFFSET(A$1,,,SUMPRODUCT(MAX(ROW(E$2:E4474)*(E4474=E$2:E4474)))))-COUNTBLANK(OFFSET(A$1,,,SUMPRODUCT(MAX(ROW(E$1:E4473)*(E2=E$1:E4473))))))</f>
        <v> </v>
      </c>
      <c r="K4474" s="25" t="str">
        <f>IF(OR(E4474="",E4474="!!!",F4474="NEW"),"",INDEX(J$1:J4473,SUMPRODUCT(MAX(ROW(E$1:E4473)*(E4474=E$1:E4473)))))</f>
        <v> </v>
      </c>
      <c r="L4474" s="26"/>
    </row>
    <row r="4475" spans="1:12">
      <c r="A4475" s="20" t="s">
        <v>746</v>
      </c>
      <c r="E4475" s="21">
        <f>IF(D4475="?OLD","!!!","")</f>
        <v/>
      </c>
      <c r="F4475" s="22" t="str">
        <f>IF(OR(E4475="",E4475="!!!"),"",IF(NOT(ISNA(VLOOKUP(E4475,E$1:E4474,1,FALSE()))),"OLD",IF(AND(E4475&lt;&gt;"",E4475&lt;&gt;"!!!"),"NEW","")))</f>
        <v> </v>
      </c>
      <c r="G4475" s="23" t="str">
        <f>IF(OR(E4475="",E4475="!!!"),"",IF(OR(J4475=0,AND(J4475=1,K4475=1),AND(J4475=1,I4475="SBJ"),AND(J4475=1,I4475=0)),"?IN_FOCUS",IF(J4475&lt;=2,"?ACTIVATED",IF(J4475&lt;&gt;"","?FAMILIAR",IF(F4475="NEW",IF(ISNA(VLOOKUP(E4475,#REF!,1,FALSE())),"?TYPE_IDENTIFIABLE","?REFERENTIAL"),"_")))))</f>
        <v> </v>
      </c>
      <c r="H4475" s="24" t="str">
        <f>IF(J4475&lt;&gt;1,"",IF(I4475="SBJ","CB","?"))</f>
        <v> </v>
      </c>
      <c r="I4475" s="25" t="str">
        <f>IF(OR(E4475="",E4475="!!!",F4475="NEW"),"",INDEX(B4474:B$2,-1+SUMPRODUCT(MAX(ROW(E4474:E$2)*(E4475=E4474:E$2)))))</f>
        <v> </v>
      </c>
      <c r="J4475" s="25" t="str">
        <f>IF(OR(E4475="",E4475="!!!",F4475="NEW"),"",COUNTBLANK(OFFSET(A$1,,,SUMPRODUCT(MAX(ROW(E$2:E4475)*(E4475=E$2:E4475)))))-COUNTBLANK(OFFSET(A$1,,,SUMPRODUCT(MAX(ROW(E$1:E4474)*(E2=E$1:E4474))))))</f>
        <v> </v>
      </c>
      <c r="K4475" s="25" t="str">
        <f>IF(OR(E4475="",E4475="!!!",F4475="NEW"),"",INDEX(J$1:J4474,SUMPRODUCT(MAX(ROW(E$1:E4474)*(E4475=E$1:E4474)))))</f>
        <v> </v>
      </c>
      <c r="L4475" s="26"/>
    </row>
    <row r="4476" spans="1:12">
      <c r="A4476" s="20"/>
    </row>
    <row r="4477" spans="1:12">
      <c r="A4477" s="20" t="s">
        <v>2032</v>
      </c>
    </row>
    <row r="4478" spans="1:12">
      <c r="A4478" s="20" t="s">
        <v>813</v>
      </c>
      <c r="E4478" s="21">
        <f>IF(D4478="?OLD","!!!","")</f>
        <v/>
      </c>
      <c r="F4478" s="22" t="str">
        <f>IF(OR(E4478="",E4478="!!!"),"",IF(NOT(ISNA(VLOOKUP(E4478,E$1:E4477,1,FALSE()))),"OLD",IF(AND(E4478&lt;&gt;"",E4478&lt;&gt;"!!!"),"NEW","")))</f>
        <v> </v>
      </c>
      <c r="G4478" s="23" t="str">
        <f>IF(OR(E4478="",E4478="!!!"),"",IF(OR(J4478=0,AND(J4478=1,K4478=1),AND(J4478=1,I4478="SBJ"),AND(J4478=1,I4478=0)),"?IN_FOCUS",IF(J4478&lt;=2,"?ACTIVATED",IF(J4478&lt;&gt;"","?FAMILIAR",IF(F4478="NEW",IF(ISNA(VLOOKUP(E4478,#REF!,1,FALSE())),"?TYPE_IDENTIFIABLE","?REFERENTIAL"),"_")))))</f>
        <v> </v>
      </c>
      <c r="H4478" s="24" t="str">
        <f>IF(J4478&lt;&gt;1,"",IF(I4478="SBJ","CB","?"))</f>
        <v> </v>
      </c>
      <c r="I4478" s="25" t="str">
        <f>IF(OR(E4478="",E4478="!!!",F4478="NEW"),"",INDEX(B4477:B$2,-1+SUMPRODUCT(MAX(ROW(E4477:E$2)*(E4478=E4477:E$2)))))</f>
        <v> </v>
      </c>
      <c r="J4478" s="25" t="str">
        <f>IF(OR(E4478="",E4478="!!!",F4478="NEW"),"",COUNTBLANK(OFFSET(A$1,,,SUMPRODUCT(MAX(ROW(E$2:E4478)*(E4478=E$2:E4478)))))-COUNTBLANK(OFFSET(A$1,,,SUMPRODUCT(MAX(ROW(E$1:E4477)*(E2=E$1:E4477))))))</f>
        <v> </v>
      </c>
      <c r="K4478" s="25" t="str">
        <f>IF(OR(E4478="",E4478="!!!",F4478="NEW"),"",INDEX(J$1:J4477,SUMPRODUCT(MAX(ROW(E$1:E4477)*(E4478=E$1:E4477)))))</f>
        <v> </v>
      </c>
      <c r="L4478" s="26"/>
    </row>
    <row r="4479" spans="1:12">
      <c r="A4479" s="20" t="s">
        <v>807</v>
      </c>
      <c r="B4479" s="27" t="s">
        <v>728</v>
      </c>
      <c r="C4479" s="27" t="s">
        <v>749</v>
      </c>
      <c r="D4479" s="27" t="s">
        <v>740</v>
      </c>
      <c r="E4479" s="21">
        <f>IF(D4479="?OLD","!!!","")</f>
        <v/>
      </c>
      <c r="F4479" s="22" t="str">
        <f>IF(OR(E4479="",E4479="!!!"),"",IF(NOT(ISNA(VLOOKUP(E4479,E$1:E4478,1,FALSE()))),"OLD",IF(AND(E4479&lt;&gt;"",E4479&lt;&gt;"!!!"),"NEW","")))</f>
        <v> </v>
      </c>
      <c r="G4479" s="23" t="str">
        <f>IF(OR(E4479="",E4479="!!!"),"",IF(OR(J4479=0,AND(J4479=1,K4479=1),AND(J4479=1,I4479="SBJ"),AND(J4479=1,I4479=0)),"?IN_FOCUS",IF(J4479&lt;=2,"?ACTIVATED",IF(J4479&lt;&gt;"","?FAMILIAR",IF(F4479="NEW",IF(ISNA(VLOOKUP(E4479,#REF!,1,FALSE())),"?TYPE_IDENTIFIABLE","?REFERENTIAL"),"_")))))</f>
        <v> </v>
      </c>
      <c r="H4479" s="24" t="str">
        <f>IF(J4479&lt;&gt;1,"",IF(I4479="SBJ","CB","?"))</f>
        <v> </v>
      </c>
      <c r="I4479" s="25" t="str">
        <f>IF(OR(E4479="",E4479="!!!",F4479="NEW"),"",INDEX(B4478:B$2,-1+SUMPRODUCT(MAX(ROW(E4478:E$2)*(E4479=E4478:E$2)))))</f>
        <v> </v>
      </c>
      <c r="J4479" s="25" t="str">
        <f>IF(OR(E4479="",E4479="!!!",F4479="NEW"),"",COUNTBLANK(OFFSET(A$1,,,SUMPRODUCT(MAX(ROW(E$2:E4479)*(E4479=E$2:E4479)))))-COUNTBLANK(OFFSET(A$1,,,SUMPRODUCT(MAX(ROW(E$1:E4478)*(E2=E$1:E4478))))))</f>
        <v> </v>
      </c>
      <c r="K4479" s="25" t="str">
        <f>IF(OR(E4479="",E4479="!!!",F4479="NEW"),"",INDEX(J$1:J4478,SUMPRODUCT(MAX(ROW(E$1:E4478)*(E4479=E$1:E4478)))))</f>
        <v> </v>
      </c>
      <c r="L4479" s="26"/>
    </row>
    <row r="4480" spans="1:12">
      <c r="A4480" s="20" t="s">
        <v>869</v>
      </c>
      <c r="E4480" s="21">
        <f>IF(D4480="?OLD","!!!","")</f>
        <v/>
      </c>
      <c r="F4480" s="22" t="str">
        <f>IF(OR(E4480="",E4480="!!!"),"",IF(NOT(ISNA(VLOOKUP(E4480,E$1:E4479,1,FALSE()))),"OLD",IF(AND(E4480&lt;&gt;"",E4480&lt;&gt;"!!!"),"NEW","")))</f>
        <v> </v>
      </c>
      <c r="G4480" s="23" t="str">
        <f>IF(OR(E4480="",E4480="!!!"),"",IF(OR(J4480=0,AND(J4480=1,K4480=1),AND(J4480=1,I4480="SBJ"),AND(J4480=1,I4480=0)),"?IN_FOCUS",IF(J4480&lt;=2,"?ACTIVATED",IF(J4480&lt;&gt;"","?FAMILIAR",IF(F4480="NEW",IF(ISNA(VLOOKUP(E4480,#REF!,1,FALSE())),"?TYPE_IDENTIFIABLE","?REFERENTIAL"),"_")))))</f>
        <v> </v>
      </c>
      <c r="H4480" s="24" t="str">
        <f>IF(J4480&lt;&gt;1,"",IF(I4480="SBJ","CB","?"))</f>
        <v> </v>
      </c>
      <c r="I4480" s="25" t="str">
        <f>IF(OR(E4480="",E4480="!!!",F4480="NEW"),"",INDEX(B4479:B$2,-1+SUMPRODUCT(MAX(ROW(E4479:E$2)*(E4480=E4479:E$2)))))</f>
        <v> </v>
      </c>
      <c r="J4480" s="25" t="str">
        <f>IF(OR(E4480="",E4480="!!!",F4480="NEW"),"",COUNTBLANK(OFFSET(A$1,,,SUMPRODUCT(MAX(ROW(E$2:E4480)*(E4480=E$2:E4480)))))-COUNTBLANK(OFFSET(A$1,,,SUMPRODUCT(MAX(ROW(E$1:E4479)*(E2=E$1:E4479))))))</f>
        <v> </v>
      </c>
      <c r="K4480" s="25" t="str">
        <f>IF(OR(E4480="",E4480="!!!",F4480="NEW"),"",INDEX(J$1:J4479,SUMPRODUCT(MAX(ROW(E$1:E4479)*(E4480=E$1:E4479)))))</f>
        <v> </v>
      </c>
      <c r="L4480" s="26"/>
    </row>
    <row r="4481" spans="1:12">
      <c r="A4481" s="20" t="s">
        <v>905</v>
      </c>
      <c r="E4481" s="21">
        <f>IF(D4481="?OLD","!!!","")</f>
        <v/>
      </c>
      <c r="F4481" s="22" t="str">
        <f>IF(OR(E4481="",E4481="!!!"),"",IF(NOT(ISNA(VLOOKUP(E4481,E$1:E4480,1,FALSE()))),"OLD",IF(AND(E4481&lt;&gt;"",E4481&lt;&gt;"!!!"),"NEW","")))</f>
        <v> </v>
      </c>
      <c r="G4481" s="23" t="str">
        <f>IF(OR(E4481="",E4481="!!!"),"",IF(OR(J4481=0,AND(J4481=1,K4481=1),AND(J4481=1,I4481="SBJ"),AND(J4481=1,I4481=0)),"?IN_FOCUS",IF(J4481&lt;=2,"?ACTIVATED",IF(J4481&lt;&gt;"","?FAMILIAR",IF(F4481="NEW",IF(ISNA(VLOOKUP(E4481,#REF!,1,FALSE())),"?TYPE_IDENTIFIABLE","?REFERENTIAL"),"_")))))</f>
        <v> </v>
      </c>
      <c r="H4481" s="24" t="str">
        <f>IF(J4481&lt;&gt;1,"",IF(I4481="SBJ","CB","?"))</f>
        <v> </v>
      </c>
      <c r="I4481" s="25" t="str">
        <f>IF(OR(E4481="",E4481="!!!",F4481="NEW"),"",INDEX(B4480:B$2,-1+SUMPRODUCT(MAX(ROW(E4480:E$2)*(E4481=E4480:E$2)))))</f>
        <v> </v>
      </c>
      <c r="J4481" s="25" t="str">
        <f>IF(OR(E4481="",E4481="!!!",F4481="NEW"),"",COUNTBLANK(OFFSET(A$1,,,SUMPRODUCT(MAX(ROW(E$2:E4481)*(E4481=E$2:E4481)))))-COUNTBLANK(OFFSET(A$1,,,SUMPRODUCT(MAX(ROW(E$1:E4480)*(E2=E$1:E4480))))))</f>
        <v> </v>
      </c>
      <c r="K4481" s="25" t="str">
        <f>IF(OR(E4481="",E4481="!!!",F4481="NEW"),"",INDEX(J$1:J4480,SUMPRODUCT(MAX(ROW(E$1:E4480)*(E4481=E$1:E4480)))))</f>
        <v> </v>
      </c>
      <c r="L4481" s="26"/>
    </row>
    <row r="4482" spans="1:12">
      <c r="A4482" s="20" t="s">
        <v>886</v>
      </c>
      <c r="B4482" s="27" t="s">
        <v>738</v>
      </c>
      <c r="C4482" s="27" t="s">
        <v>749</v>
      </c>
      <c r="D4482" s="27" t="s">
        <v>740</v>
      </c>
      <c r="E4482" s="21">
        <f>IF(D4482="?OLD","!!!","")</f>
        <v/>
      </c>
      <c r="F4482" s="22" t="str">
        <f>IF(OR(E4482="",E4482="!!!"),"",IF(NOT(ISNA(VLOOKUP(E4482,E$1:E4481,1,FALSE()))),"OLD",IF(AND(E4482&lt;&gt;"",E4482&lt;&gt;"!!!"),"NEW","")))</f>
        <v> </v>
      </c>
      <c r="G4482" s="23" t="str">
        <f>IF(OR(E4482="",E4482="!!!"),"",IF(OR(J4482=0,AND(J4482=1,K4482=1),AND(J4482=1,I4482="SBJ"),AND(J4482=1,I4482=0)),"?IN_FOCUS",IF(J4482&lt;=2,"?ACTIVATED",IF(J4482&lt;&gt;"","?FAMILIAR",IF(F4482="NEW",IF(ISNA(VLOOKUP(E4482,#REF!,1,FALSE())),"?TYPE_IDENTIFIABLE","?REFERENTIAL"),"_")))))</f>
        <v> </v>
      </c>
      <c r="H4482" s="24" t="str">
        <f>IF(J4482&lt;&gt;1,"",IF(I4482="SBJ","CB","?"))</f>
        <v> </v>
      </c>
      <c r="I4482" s="25" t="str">
        <f>IF(OR(E4482="",E4482="!!!",F4482="NEW"),"",INDEX(B4481:B$2,-1+SUMPRODUCT(MAX(ROW(E4481:E$2)*(E4482=E4481:E$2)))))</f>
        <v> </v>
      </c>
      <c r="J4482" s="25" t="str">
        <f>IF(OR(E4482="",E4482="!!!",F4482="NEW"),"",COUNTBLANK(OFFSET(A$1,,,SUMPRODUCT(MAX(ROW(E$2:E4482)*(E4482=E$2:E4482)))))-COUNTBLANK(OFFSET(A$1,,,SUMPRODUCT(MAX(ROW(E$1:E4481)*(E2=E$1:E4481))))))</f>
        <v> </v>
      </c>
      <c r="K4482" s="25" t="str">
        <f>IF(OR(E4482="",E4482="!!!",F4482="NEW"),"",INDEX(J$1:J4481,SUMPRODUCT(MAX(ROW(E$1:E4481)*(E4482=E$1:E4481)))))</f>
        <v> </v>
      </c>
      <c r="L4482" s="26"/>
    </row>
    <row r="4483" spans="1:12">
      <c r="A4483" s="20" t="s">
        <v>1041</v>
      </c>
      <c r="E4483" s="21">
        <f>IF(D4483="?OLD","!!!","")</f>
        <v/>
      </c>
      <c r="F4483" s="22" t="str">
        <f>IF(OR(E4483="",E4483="!!!"),"",IF(NOT(ISNA(VLOOKUP(E4483,E$1:E4482,1,FALSE()))),"OLD",IF(AND(E4483&lt;&gt;"",E4483&lt;&gt;"!!!"),"NEW","")))</f>
        <v> </v>
      </c>
      <c r="G4483" s="23" t="str">
        <f>IF(OR(E4483="",E4483="!!!"),"",IF(OR(J4483=0,AND(J4483=1,K4483=1),AND(J4483=1,I4483="SBJ"),AND(J4483=1,I4483=0)),"?IN_FOCUS",IF(J4483&lt;=2,"?ACTIVATED",IF(J4483&lt;&gt;"","?FAMILIAR",IF(F4483="NEW",IF(ISNA(VLOOKUP(E4483,#REF!,1,FALSE())),"?TYPE_IDENTIFIABLE","?REFERENTIAL"),"_")))))</f>
        <v> </v>
      </c>
      <c r="H4483" s="24" t="str">
        <f>IF(J4483&lt;&gt;1,"",IF(I4483="SBJ","CB","?"))</f>
        <v> </v>
      </c>
      <c r="I4483" s="25" t="str">
        <f>IF(OR(E4483="",E4483="!!!",F4483="NEW"),"",INDEX(B4482:B$2,-1+SUMPRODUCT(MAX(ROW(E4482:E$2)*(E4483=E4482:E$2)))))</f>
        <v> </v>
      </c>
      <c r="J4483" s="25" t="str">
        <f>IF(OR(E4483="",E4483="!!!",F4483="NEW"),"",COUNTBLANK(OFFSET(A$1,,,SUMPRODUCT(MAX(ROW(E$2:E4483)*(E4483=E$2:E4483)))))-COUNTBLANK(OFFSET(A$1,,,SUMPRODUCT(MAX(ROW(E$1:E4482)*(E2=E$1:E4482))))))</f>
        <v> </v>
      </c>
      <c r="K4483" s="25" t="str">
        <f>IF(OR(E4483="",E4483="!!!",F4483="NEW"),"",INDEX(J$1:J4482,SUMPRODUCT(MAX(ROW(E$1:E4482)*(E4483=E$1:E4482)))))</f>
        <v> </v>
      </c>
      <c r="L4483" s="26"/>
    </row>
    <row r="4484" spans="1:12">
      <c r="A4484" s="20" t="s">
        <v>799</v>
      </c>
      <c r="B4484" s="27" t="s">
        <v>756</v>
      </c>
      <c r="C4484" s="27" t="s">
        <v>734</v>
      </c>
      <c r="E4484" s="21">
        <f>IF(D4484="?OLD","!!!","")</f>
        <v/>
      </c>
      <c r="F4484" s="22" t="str">
        <f>IF(OR(E4484="",E4484="!!!"),"",IF(NOT(ISNA(VLOOKUP(E4484,E$1:E4483,1,FALSE()))),"OLD",IF(AND(E4484&lt;&gt;"",E4484&lt;&gt;"!!!"),"NEW","")))</f>
        <v> </v>
      </c>
      <c r="G4484" s="23" t="str">
        <f>IF(OR(E4484="",E4484="!!!"),"",IF(OR(J4484=0,AND(J4484=1,K4484=1),AND(J4484=1,I4484="SBJ"),AND(J4484=1,I4484=0)),"?IN_FOCUS",IF(J4484&lt;=2,"?ACTIVATED",IF(J4484&lt;&gt;"","?FAMILIAR",IF(F4484="NEW",IF(ISNA(VLOOKUP(E4484,#REF!,1,FALSE())),"?TYPE_IDENTIFIABLE","?REFERENTIAL"),"_")))))</f>
        <v> </v>
      </c>
      <c r="H4484" s="24" t="str">
        <f>IF(J4484&lt;&gt;1,"",IF(I4484="SBJ","CB","?"))</f>
        <v> </v>
      </c>
      <c r="I4484" s="25" t="str">
        <f>IF(OR(E4484="",E4484="!!!",F4484="NEW"),"",INDEX(B4483:B$2,-1+SUMPRODUCT(MAX(ROW(E4483:E$2)*(E4484=E4483:E$2)))))</f>
        <v> </v>
      </c>
      <c r="J4484" s="25" t="str">
        <f>IF(OR(E4484="",E4484="!!!",F4484="NEW"),"",COUNTBLANK(OFFSET(A$1,,,SUMPRODUCT(MAX(ROW(E$2:E4484)*(E4484=E$2:E4484)))))-COUNTBLANK(OFFSET(A$1,,,SUMPRODUCT(MAX(ROW(E$1:E4483)*(E2=E$1:E4483))))))</f>
        <v> </v>
      </c>
      <c r="K4484" s="25" t="str">
        <f>IF(OR(E4484="",E4484="!!!",F4484="NEW"),"",INDEX(J$1:J4483,SUMPRODUCT(MAX(ROW(E$1:E4483)*(E4484=E$1:E4483)))))</f>
        <v> </v>
      </c>
      <c r="L4484" s="26"/>
    </row>
    <row r="4485" spans="1:12">
      <c r="A4485" s="20" t="s">
        <v>657</v>
      </c>
      <c r="E4485" s="21">
        <f>IF(D4485="?OLD","!!!","")</f>
        <v/>
      </c>
      <c r="F4485" s="22" t="str">
        <f>IF(OR(E4485="",E4485="!!!"),"",IF(NOT(ISNA(VLOOKUP(E4485,E$1:E4484,1,FALSE()))),"OLD",IF(AND(E4485&lt;&gt;"",E4485&lt;&gt;"!!!"),"NEW","")))</f>
        <v> </v>
      </c>
      <c r="G4485" s="23" t="str">
        <f>IF(OR(E4485="",E4485="!!!"),"",IF(OR(J4485=0,AND(J4485=1,K4485=1),AND(J4485=1,I4485="SBJ"),AND(J4485=1,I4485=0)),"?IN_FOCUS",IF(J4485&lt;=2,"?ACTIVATED",IF(J4485&lt;&gt;"","?FAMILIAR",IF(F4485="NEW",IF(ISNA(VLOOKUP(E4485,#REF!,1,FALSE())),"?TYPE_IDENTIFIABLE","?REFERENTIAL"),"_")))))</f>
        <v> </v>
      </c>
      <c r="H4485" s="24" t="str">
        <f>IF(J4485&lt;&gt;1,"",IF(I4485="SBJ","CB","?"))</f>
        <v> </v>
      </c>
      <c r="I4485" s="25" t="str">
        <f>IF(OR(E4485="",E4485="!!!",F4485="NEW"),"",INDEX(B4484:B$2,-1+SUMPRODUCT(MAX(ROW(E4484:E$2)*(E4485=E4484:E$2)))))</f>
        <v> </v>
      </c>
      <c r="J4485" s="25" t="str">
        <f>IF(OR(E4485="",E4485="!!!",F4485="NEW"),"",COUNTBLANK(OFFSET(A$1,,,SUMPRODUCT(MAX(ROW(E$2:E4485)*(E4485=E$2:E4485)))))-COUNTBLANK(OFFSET(A$1,,,SUMPRODUCT(MAX(ROW(E$1:E4484)*(E2=E$1:E4484))))))</f>
        <v> </v>
      </c>
      <c r="K4485" s="25" t="str">
        <f>IF(OR(E4485="",E4485="!!!",F4485="NEW"),"",INDEX(J$1:J4484,SUMPRODUCT(MAX(ROW(E$1:E4484)*(E4485=E$1:E4484)))))</f>
        <v> </v>
      </c>
      <c r="L4485" s="26"/>
    </row>
    <row r="4486" spans="1:12">
      <c r="A4486" s="20" t="s">
        <v>746</v>
      </c>
      <c r="E4486" s="21">
        <f>IF(D4486="?OLD","!!!","")</f>
        <v/>
      </c>
      <c r="F4486" s="22" t="str">
        <f>IF(OR(E4486="",E4486="!!!"),"",IF(NOT(ISNA(VLOOKUP(E4486,E$1:E4485,1,FALSE()))),"OLD",IF(AND(E4486&lt;&gt;"",E4486&lt;&gt;"!!!"),"NEW","")))</f>
        <v> </v>
      </c>
      <c r="G4486" s="23" t="str">
        <f>IF(OR(E4486="",E4486="!!!"),"",IF(OR(J4486=0,AND(J4486=1,K4486=1),AND(J4486=1,I4486="SBJ"),AND(J4486=1,I4486=0)),"?IN_FOCUS",IF(J4486&lt;=2,"?ACTIVATED",IF(J4486&lt;&gt;"","?FAMILIAR",IF(F4486="NEW",IF(ISNA(VLOOKUP(E4486,#REF!,1,FALSE())),"?TYPE_IDENTIFIABLE","?REFERENTIAL"),"_")))))</f>
        <v> </v>
      </c>
      <c r="H4486" s="24" t="str">
        <f>IF(J4486&lt;&gt;1,"",IF(I4486="SBJ","CB","?"))</f>
        <v> </v>
      </c>
      <c r="I4486" s="25" t="str">
        <f>IF(OR(E4486="",E4486="!!!",F4486="NEW"),"",INDEX(B4485:B$2,-1+SUMPRODUCT(MAX(ROW(E4485:E$2)*(E4486=E4485:E$2)))))</f>
        <v> </v>
      </c>
      <c r="J4486" s="25" t="str">
        <f>IF(OR(E4486="",E4486="!!!",F4486="NEW"),"",COUNTBLANK(OFFSET(A$1,,,SUMPRODUCT(MAX(ROW(E$2:E4486)*(E4486=E$2:E4486)))))-COUNTBLANK(OFFSET(A$1,,,SUMPRODUCT(MAX(ROW(E$1:E4485)*(E2=E$1:E4485))))))</f>
        <v> </v>
      </c>
      <c r="K4486" s="25" t="str">
        <f>IF(OR(E4486="",E4486="!!!",F4486="NEW"),"",INDEX(J$1:J4485,SUMPRODUCT(MAX(ROW(E$1:E4485)*(E4486=E$1:E4485)))))</f>
        <v> </v>
      </c>
      <c r="L4486" s="26"/>
    </row>
    <row r="4487" spans="1:12">
      <c r="A4487" s="20"/>
    </row>
    <row r="4488" spans="1:12">
      <c r="A4488" s="20" t="s">
        <v>2033</v>
      </c>
    </row>
    <row r="4489" spans="1:12">
      <c r="A4489" s="20" t="s">
        <v>813</v>
      </c>
      <c r="E4489" s="21">
        <f>IF(D4489="?OLD","!!!","")</f>
        <v/>
      </c>
      <c r="F4489" s="22" t="str">
        <f>IF(OR(E4489="",E4489="!!!"),"",IF(NOT(ISNA(VLOOKUP(E4489,E$1:E4488,1,FALSE()))),"OLD",IF(AND(E4489&lt;&gt;"",E4489&lt;&gt;"!!!"),"NEW","")))</f>
        <v> </v>
      </c>
      <c r="G4489" s="23" t="str">
        <f>IF(OR(E4489="",E4489="!!!"),"",IF(OR(J4489=0,AND(J4489=1,K4489=1),AND(J4489=1,I4489="SBJ"),AND(J4489=1,I4489=0)),"?IN_FOCUS",IF(J4489&lt;=2,"?ACTIVATED",IF(J4489&lt;&gt;"","?FAMILIAR",IF(F4489="NEW",IF(ISNA(VLOOKUP(E4489,#REF!,1,FALSE())),"?TYPE_IDENTIFIABLE","?REFERENTIAL"),"_")))))</f>
        <v> </v>
      </c>
      <c r="H4489" s="24" t="str">
        <f>IF(J4489&lt;&gt;1,"",IF(I4489="SBJ","CB","?"))</f>
        <v> </v>
      </c>
      <c r="I4489" s="25" t="str">
        <f>IF(OR(E4489="",E4489="!!!",F4489="NEW"),"",INDEX(B4488:B$2,-1+SUMPRODUCT(MAX(ROW(E4488:E$2)*(E4489=E4488:E$2)))))</f>
        <v> </v>
      </c>
      <c r="J4489" s="25" t="str">
        <f>IF(OR(E4489="",E4489="!!!",F4489="NEW"),"",COUNTBLANK(OFFSET(A$1,,,SUMPRODUCT(MAX(ROW(E$2:E4489)*(E4489=E$2:E4489)))))-COUNTBLANK(OFFSET(A$1,,,SUMPRODUCT(MAX(ROW(E$1:E4488)*(E2=E$1:E4488))))))</f>
        <v> </v>
      </c>
      <c r="K4489" s="25" t="str">
        <f>IF(OR(E4489="",E4489="!!!",F4489="NEW"),"",INDEX(J$1:J4488,SUMPRODUCT(MAX(ROW(E$1:E4488)*(E4489=E$1:E4488)))))</f>
        <v> </v>
      </c>
      <c r="L4489" s="26"/>
    </row>
    <row r="4490" spans="1:12">
      <c r="A4490" s="20" t="s">
        <v>876</v>
      </c>
      <c r="E4490" s="21">
        <f>IF(D4490="?OLD","!!!","")</f>
        <v/>
      </c>
      <c r="F4490" s="22" t="str">
        <f>IF(OR(E4490="",E4490="!!!"),"",IF(NOT(ISNA(VLOOKUP(E4490,E$1:E4489,1,FALSE()))),"OLD",IF(AND(E4490&lt;&gt;"",E4490&lt;&gt;"!!!"),"NEW","")))</f>
        <v> </v>
      </c>
      <c r="G4490" s="23" t="str">
        <f>IF(OR(E4490="",E4490="!!!"),"",IF(OR(J4490=0,AND(J4490=1,K4490=1),AND(J4490=1,I4490="SBJ"),AND(J4490=1,I4490=0)),"?IN_FOCUS",IF(J4490&lt;=2,"?ACTIVATED",IF(J4490&lt;&gt;"","?FAMILIAR",IF(F4490="NEW",IF(ISNA(VLOOKUP(E4490,#REF!,1,FALSE())),"?TYPE_IDENTIFIABLE","?REFERENTIAL"),"_")))))</f>
        <v> </v>
      </c>
      <c r="H4490" s="24" t="str">
        <f>IF(J4490&lt;&gt;1,"",IF(I4490="SBJ","CB","?"))</f>
        <v> </v>
      </c>
      <c r="I4490" s="25" t="str">
        <f>IF(OR(E4490="",E4490="!!!",F4490="NEW"),"",INDEX(B4489:B$2,-1+SUMPRODUCT(MAX(ROW(E4489:E$2)*(E4490=E4489:E$2)))))</f>
        <v> </v>
      </c>
      <c r="J4490" s="25" t="str">
        <f>IF(OR(E4490="",E4490="!!!",F4490="NEW"),"",COUNTBLANK(OFFSET(A$1,,,SUMPRODUCT(MAX(ROW(E$2:E4490)*(E4490=E$2:E4490)))))-COUNTBLANK(OFFSET(A$1,,,SUMPRODUCT(MAX(ROW(E$1:E4489)*(E2=E$1:E4489))))))</f>
        <v> </v>
      </c>
      <c r="K4490" s="25" t="str">
        <f>IF(OR(E4490="",E4490="!!!",F4490="NEW"),"",INDEX(J$1:J4489,SUMPRODUCT(MAX(ROW(E$1:E4489)*(E4490=E$1:E4489)))))</f>
        <v> </v>
      </c>
      <c r="L4490" s="26"/>
    </row>
    <row r="4491" spans="1:12">
      <c r="A4491" s="20" t="s">
        <v>1377</v>
      </c>
      <c r="E4491" s="21">
        <f>IF(D4491="?OLD","!!!","")</f>
        <v/>
      </c>
      <c r="F4491" s="22" t="str">
        <f>IF(OR(E4491="",E4491="!!!"),"",IF(NOT(ISNA(VLOOKUP(E4491,E$1:E4490,1,FALSE()))),"OLD",IF(AND(E4491&lt;&gt;"",E4491&lt;&gt;"!!!"),"NEW","")))</f>
        <v> </v>
      </c>
      <c r="G4491" s="23" t="str">
        <f>IF(OR(E4491="",E4491="!!!"),"",IF(OR(J4491=0,AND(J4491=1,K4491=1),AND(J4491=1,I4491="SBJ"),AND(J4491=1,I4491=0)),"?IN_FOCUS",IF(J4491&lt;=2,"?ACTIVATED",IF(J4491&lt;&gt;"","?FAMILIAR",IF(F4491="NEW",IF(ISNA(VLOOKUP(E4491,#REF!,1,FALSE())),"?TYPE_IDENTIFIABLE","?REFERENTIAL"),"_")))))</f>
        <v> </v>
      </c>
      <c r="H4491" s="24" t="str">
        <f>IF(J4491&lt;&gt;1,"",IF(I4491="SBJ","CB","?"))</f>
        <v> </v>
      </c>
      <c r="I4491" s="25" t="str">
        <f>IF(OR(E4491="",E4491="!!!",F4491="NEW"),"",INDEX(B4490:B$2,-1+SUMPRODUCT(MAX(ROW(E4490:E$2)*(E4491=E4490:E$2)))))</f>
        <v> </v>
      </c>
      <c r="J4491" s="25" t="str">
        <f>IF(OR(E4491="",E4491="!!!",F4491="NEW"),"",COUNTBLANK(OFFSET(A$1,,,SUMPRODUCT(MAX(ROW(E$2:E4491)*(E4491=E$2:E4491)))))-COUNTBLANK(OFFSET(A$1,,,SUMPRODUCT(MAX(ROW(E$1:E4490)*(E2=E$1:E4490))))))</f>
        <v> </v>
      </c>
      <c r="K4491" s="25" t="str">
        <f>IF(OR(E4491="",E4491="!!!",F4491="NEW"),"",INDEX(J$1:J4490,SUMPRODUCT(MAX(ROW(E$1:E4490)*(E4491=E$1:E4490)))))</f>
        <v> </v>
      </c>
      <c r="L4491" s="26"/>
    </row>
    <row r="4492" spans="1:12">
      <c r="A4492" s="20" t="s">
        <v>807</v>
      </c>
      <c r="B4492" s="27" t="s">
        <v>728</v>
      </c>
      <c r="C4492" s="27" t="s">
        <v>749</v>
      </c>
      <c r="D4492" s="27" t="s">
        <v>740</v>
      </c>
      <c r="E4492" s="21">
        <f>IF(D4492="?OLD","!!!","")</f>
        <v/>
      </c>
      <c r="F4492" s="22" t="str">
        <f>IF(OR(E4492="",E4492="!!!"),"",IF(NOT(ISNA(VLOOKUP(E4492,E$1:E4491,1,FALSE()))),"OLD",IF(AND(E4492&lt;&gt;"",E4492&lt;&gt;"!!!"),"NEW","")))</f>
        <v> </v>
      </c>
      <c r="G4492" s="23" t="str">
        <f>IF(OR(E4492="",E4492="!!!"),"",IF(OR(J4492=0,AND(J4492=1,K4492=1),AND(J4492=1,I4492="SBJ"),AND(J4492=1,I4492=0)),"?IN_FOCUS",IF(J4492&lt;=2,"?ACTIVATED",IF(J4492&lt;&gt;"","?FAMILIAR",IF(F4492="NEW",IF(ISNA(VLOOKUP(E4492,#REF!,1,FALSE())),"?TYPE_IDENTIFIABLE","?REFERENTIAL"),"_")))))</f>
        <v> </v>
      </c>
      <c r="H4492" s="24" t="str">
        <f>IF(J4492&lt;&gt;1,"",IF(I4492="SBJ","CB","?"))</f>
        <v> </v>
      </c>
      <c r="I4492" s="25" t="str">
        <f>IF(OR(E4492="",E4492="!!!",F4492="NEW"),"",INDEX(B4491:B$2,-1+SUMPRODUCT(MAX(ROW(E4491:E$2)*(E4492=E4491:E$2)))))</f>
        <v> </v>
      </c>
      <c r="J4492" s="25" t="str">
        <f>IF(OR(E4492="",E4492="!!!",F4492="NEW"),"",COUNTBLANK(OFFSET(A$1,,,SUMPRODUCT(MAX(ROW(E$2:E4492)*(E4492=E$2:E4492)))))-COUNTBLANK(OFFSET(A$1,,,SUMPRODUCT(MAX(ROW(E$1:E4491)*(E2=E$1:E4491))))))</f>
        <v> </v>
      </c>
      <c r="K4492" s="25" t="str">
        <f>IF(OR(E4492="",E4492="!!!",F4492="NEW"),"",INDEX(J$1:J4491,SUMPRODUCT(MAX(ROW(E$1:E4491)*(E4492=E$1:E4491)))))</f>
        <v> </v>
      </c>
      <c r="L4492" s="26"/>
    </row>
    <row r="4493" spans="1:12">
      <c r="A4493" s="20" t="s">
        <v>999</v>
      </c>
      <c r="E4493" s="21">
        <f>IF(D4493="?OLD","!!!","")</f>
        <v/>
      </c>
      <c r="F4493" s="22" t="str">
        <f>IF(OR(E4493="",E4493="!!!"),"",IF(NOT(ISNA(VLOOKUP(E4493,E$1:E4492,1,FALSE()))),"OLD",IF(AND(E4493&lt;&gt;"",E4493&lt;&gt;"!!!"),"NEW","")))</f>
        <v> </v>
      </c>
      <c r="G4493" s="23" t="str">
        <f>IF(OR(E4493="",E4493="!!!"),"",IF(OR(J4493=0,AND(J4493=1,K4493=1),AND(J4493=1,I4493="SBJ"),AND(J4493=1,I4493=0)),"?IN_FOCUS",IF(J4493&lt;=2,"?ACTIVATED",IF(J4493&lt;&gt;"","?FAMILIAR",IF(F4493="NEW",IF(ISNA(VLOOKUP(E4493,#REF!,1,FALSE())),"?TYPE_IDENTIFIABLE","?REFERENTIAL"),"_")))))</f>
        <v> </v>
      </c>
      <c r="H4493" s="24" t="str">
        <f>IF(J4493&lt;&gt;1,"",IF(I4493="SBJ","CB","?"))</f>
        <v> </v>
      </c>
      <c r="I4493" s="25" t="str">
        <f>IF(OR(E4493="",E4493="!!!",F4493="NEW"),"",INDEX(B4492:B$2,-1+SUMPRODUCT(MAX(ROW(E4492:E$2)*(E4493=E4492:E$2)))))</f>
        <v> </v>
      </c>
      <c r="J4493" s="25" t="str">
        <f>IF(OR(E4493="",E4493="!!!",F4493="NEW"),"",COUNTBLANK(OFFSET(A$1,,,SUMPRODUCT(MAX(ROW(E$2:E4493)*(E4493=E$2:E4493)))))-COUNTBLANK(OFFSET(A$1,,,SUMPRODUCT(MAX(ROW(E$1:E4492)*(E2=E$1:E4492))))))</f>
        <v> </v>
      </c>
      <c r="K4493" s="25" t="str">
        <f>IF(OR(E4493="",E4493="!!!",F4493="NEW"),"",INDEX(J$1:J4492,SUMPRODUCT(MAX(ROW(E$1:E4492)*(E4493=E$1:E4492)))))</f>
        <v> </v>
      </c>
      <c r="L4493" s="26"/>
    </row>
    <row r="4494" spans="1:12">
      <c r="A4494" s="20" t="s">
        <v>846</v>
      </c>
      <c r="E4494" s="21">
        <f>IF(D4494="?OLD","!!!","")</f>
        <v/>
      </c>
      <c r="F4494" s="22" t="str">
        <f>IF(OR(E4494="",E4494="!!!"),"",IF(NOT(ISNA(VLOOKUP(E4494,E$1:E4493,1,FALSE()))),"OLD",IF(AND(E4494&lt;&gt;"",E4494&lt;&gt;"!!!"),"NEW","")))</f>
        <v> </v>
      </c>
      <c r="G4494" s="23" t="str">
        <f>IF(OR(E4494="",E4494="!!!"),"",IF(OR(J4494=0,AND(J4494=1,K4494=1),AND(J4494=1,I4494="SBJ"),AND(J4494=1,I4494=0)),"?IN_FOCUS",IF(J4494&lt;=2,"?ACTIVATED",IF(J4494&lt;&gt;"","?FAMILIAR",IF(F4494="NEW",IF(ISNA(VLOOKUP(E4494,#REF!,1,FALSE())),"?TYPE_IDENTIFIABLE","?REFERENTIAL"),"_")))))</f>
        <v> </v>
      </c>
      <c r="H4494" s="24" t="str">
        <f>IF(J4494&lt;&gt;1,"",IF(I4494="SBJ","CB","?"))</f>
        <v> </v>
      </c>
      <c r="I4494" s="25" t="str">
        <f>IF(OR(E4494="",E4494="!!!",F4494="NEW"),"",INDEX(B4493:B$2,-1+SUMPRODUCT(MAX(ROW(E4493:E$2)*(E4494=E4493:E$2)))))</f>
        <v> </v>
      </c>
      <c r="J4494" s="25" t="str">
        <f>IF(OR(E4494="",E4494="!!!",F4494="NEW"),"",COUNTBLANK(OFFSET(A$1,,,SUMPRODUCT(MAX(ROW(E$2:E4494)*(E4494=E$2:E4494)))))-COUNTBLANK(OFFSET(A$1,,,SUMPRODUCT(MAX(ROW(E$1:E4493)*(E2=E$1:E4493))))))</f>
        <v> </v>
      </c>
      <c r="K4494" s="25" t="str">
        <f>IF(OR(E4494="",E4494="!!!",F4494="NEW"),"",INDEX(J$1:J4493,SUMPRODUCT(MAX(ROW(E$1:E4493)*(E4494=E$1:E4493)))))</f>
        <v> </v>
      </c>
      <c r="L4494" s="26"/>
    </row>
    <row r="4495" spans="1:12">
      <c r="A4495" s="20" t="s">
        <v>2034</v>
      </c>
      <c r="B4495" s="27" t="s">
        <v>756</v>
      </c>
      <c r="C4495" s="27" t="s">
        <v>848</v>
      </c>
      <c r="E4495" s="21">
        <f>IF(D4495="?OLD","!!!","")</f>
        <v/>
      </c>
      <c r="F4495" s="22" t="str">
        <f>IF(OR(E4495="",E4495="!!!"),"",IF(NOT(ISNA(VLOOKUP(E4495,E$1:E4494,1,FALSE()))),"OLD",IF(AND(E4495&lt;&gt;"",E4495&lt;&gt;"!!!"),"NEW","")))</f>
        <v> </v>
      </c>
      <c r="G4495" s="23" t="str">
        <f>IF(OR(E4495="",E4495="!!!"),"",IF(OR(J4495=0,AND(J4495=1,K4495=1),AND(J4495=1,I4495="SBJ"),AND(J4495=1,I4495=0)),"?IN_FOCUS",IF(J4495&lt;=2,"?ACTIVATED",IF(J4495&lt;&gt;"","?FAMILIAR",IF(F4495="NEW",IF(ISNA(VLOOKUP(E4495,#REF!,1,FALSE())),"?TYPE_IDENTIFIABLE","?REFERENTIAL"),"_")))))</f>
        <v> </v>
      </c>
      <c r="H4495" s="24" t="str">
        <f>IF(J4495&lt;&gt;1,"",IF(I4495="SBJ","CB","?"))</f>
        <v> </v>
      </c>
      <c r="I4495" s="25" t="str">
        <f>IF(OR(E4495="",E4495="!!!",F4495="NEW"),"",INDEX(B4494:B$2,-1+SUMPRODUCT(MAX(ROW(E4494:E$2)*(E4495=E4494:E$2)))))</f>
        <v> </v>
      </c>
      <c r="J4495" s="25" t="str">
        <f>IF(OR(E4495="",E4495="!!!",F4495="NEW"),"",COUNTBLANK(OFFSET(A$1,,,SUMPRODUCT(MAX(ROW(E$2:E4495)*(E4495=E$2:E4495)))))-COUNTBLANK(OFFSET(A$1,,,SUMPRODUCT(MAX(ROW(E$1:E4494)*(E2=E$1:E4494))))))</f>
        <v> </v>
      </c>
      <c r="K4495" s="25" t="str">
        <f>IF(OR(E4495="",E4495="!!!",F4495="NEW"),"",INDEX(J$1:J4494,SUMPRODUCT(MAX(ROW(E$1:E4494)*(E4495=E$1:E4494)))))</f>
        <v> </v>
      </c>
      <c r="L4495" s="26"/>
    </row>
    <row r="4496" spans="1:12">
      <c r="A4496" s="20" t="s">
        <v>2035</v>
      </c>
      <c r="E4496" s="21">
        <f>IF(D4496="?OLD","!!!","")</f>
        <v/>
      </c>
      <c r="F4496" s="22" t="str">
        <f>IF(OR(E4496="",E4496="!!!"),"",IF(NOT(ISNA(VLOOKUP(E4496,E$1:E4495,1,FALSE()))),"OLD",IF(AND(E4496&lt;&gt;"",E4496&lt;&gt;"!!!"),"NEW","")))</f>
        <v> </v>
      </c>
      <c r="G4496" s="23" t="str">
        <f>IF(OR(E4496="",E4496="!!!"),"",IF(OR(J4496=0,AND(J4496=1,K4496=1),AND(J4496=1,I4496="SBJ"),AND(J4496=1,I4496=0)),"?IN_FOCUS",IF(J4496&lt;=2,"?ACTIVATED",IF(J4496&lt;&gt;"","?FAMILIAR",IF(F4496="NEW",IF(ISNA(VLOOKUP(E4496,#REF!,1,FALSE())),"?TYPE_IDENTIFIABLE","?REFERENTIAL"),"_")))))</f>
        <v> </v>
      </c>
      <c r="H4496" s="24" t="str">
        <f>IF(J4496&lt;&gt;1,"",IF(I4496="SBJ","CB","?"))</f>
        <v> </v>
      </c>
      <c r="I4496" s="25" t="str">
        <f>IF(OR(E4496="",E4496="!!!",F4496="NEW"),"",INDEX(B4495:B$2,-1+SUMPRODUCT(MAX(ROW(E4495:E$2)*(E4496=E4495:E$2)))))</f>
        <v> </v>
      </c>
      <c r="J4496" s="25" t="str">
        <f>IF(OR(E4496="",E4496="!!!",F4496="NEW"),"",COUNTBLANK(OFFSET(A$1,,,SUMPRODUCT(MAX(ROW(E$2:E4496)*(E4496=E$2:E4496)))))-COUNTBLANK(OFFSET(A$1,,,SUMPRODUCT(MAX(ROW(E$1:E4495)*(E2=E$1:E4495))))))</f>
        <v> </v>
      </c>
      <c r="K4496" s="25" t="str">
        <f>IF(OR(E4496="",E4496="!!!",F4496="NEW"),"",INDEX(J$1:J4495,SUMPRODUCT(MAX(ROW(E$1:E4495)*(E4496=E$1:E4495)))))</f>
        <v> </v>
      </c>
      <c r="L4496" s="26"/>
    </row>
    <row r="4497" spans="1:12">
      <c r="A4497" s="20" t="s">
        <v>753</v>
      </c>
      <c r="E4497" s="21">
        <f>IF(D4497="?OLD","!!!","")</f>
        <v/>
      </c>
      <c r="F4497" s="22" t="str">
        <f>IF(OR(E4497="",E4497="!!!"),"",IF(NOT(ISNA(VLOOKUP(E4497,E$1:E4496,1,FALSE()))),"OLD",IF(AND(E4497&lt;&gt;"",E4497&lt;&gt;"!!!"),"NEW","")))</f>
        <v> </v>
      </c>
      <c r="G4497" s="23" t="str">
        <f>IF(OR(E4497="",E4497="!!!"),"",IF(OR(J4497=0,AND(J4497=1,K4497=1),AND(J4497=1,I4497="SBJ"),AND(J4497=1,I4497=0)),"?IN_FOCUS",IF(J4497&lt;=2,"?ACTIVATED",IF(J4497&lt;&gt;"","?FAMILIAR",IF(F4497="NEW",IF(ISNA(VLOOKUP(E4497,#REF!,1,FALSE())),"?TYPE_IDENTIFIABLE","?REFERENTIAL"),"_")))))</f>
        <v> </v>
      </c>
      <c r="H4497" s="24" t="str">
        <f>IF(J4497&lt;&gt;1,"",IF(I4497="SBJ","CB","?"))</f>
        <v> </v>
      </c>
      <c r="I4497" s="25" t="str">
        <f>IF(OR(E4497="",E4497="!!!",F4497="NEW"),"",INDEX(B4496:B$2,-1+SUMPRODUCT(MAX(ROW(E4496:E$2)*(E4497=E4496:E$2)))))</f>
        <v> </v>
      </c>
      <c r="J4497" s="25" t="str">
        <f>IF(OR(E4497="",E4497="!!!",F4497="NEW"),"",COUNTBLANK(OFFSET(A$1,,,SUMPRODUCT(MAX(ROW(E$2:E4497)*(E4497=E$2:E4497)))))-COUNTBLANK(OFFSET(A$1,,,SUMPRODUCT(MAX(ROW(E$1:E4496)*(E2=E$1:E4496))))))</f>
        <v> </v>
      </c>
      <c r="K4497" s="25" t="str">
        <f>IF(OR(E4497="",E4497="!!!",F4497="NEW"),"",INDEX(J$1:J4496,SUMPRODUCT(MAX(ROW(E$1:E4496)*(E4497=E$1:E4496)))))</f>
        <v> </v>
      </c>
      <c r="L4497" s="26"/>
    </row>
    <row r="4498" spans="1:12">
      <c r="A4498" s="20" t="s">
        <v>860</v>
      </c>
      <c r="E4498" s="21">
        <f>IF(D4498="?OLD","!!!","")</f>
        <v/>
      </c>
      <c r="F4498" s="22" t="str">
        <f>IF(OR(E4498="",E4498="!!!"),"",IF(NOT(ISNA(VLOOKUP(E4498,E$1:E4497,1,FALSE()))),"OLD",IF(AND(E4498&lt;&gt;"",E4498&lt;&gt;"!!!"),"NEW","")))</f>
        <v> </v>
      </c>
      <c r="G4498" s="23" t="str">
        <f>IF(OR(E4498="",E4498="!!!"),"",IF(OR(J4498=0,AND(J4498=1,K4498=1),AND(J4498=1,I4498="SBJ"),AND(J4498=1,I4498=0)),"?IN_FOCUS",IF(J4498&lt;=2,"?ACTIVATED",IF(J4498&lt;&gt;"","?FAMILIAR",IF(F4498="NEW",IF(ISNA(VLOOKUP(E4498,#REF!,1,FALSE())),"?TYPE_IDENTIFIABLE","?REFERENTIAL"),"_")))))</f>
        <v> </v>
      </c>
      <c r="H4498" s="24" t="str">
        <f>IF(J4498&lt;&gt;1,"",IF(I4498="SBJ","CB","?"))</f>
        <v> </v>
      </c>
      <c r="I4498" s="25" t="str">
        <f>IF(OR(E4498="",E4498="!!!",F4498="NEW"),"",INDEX(B4497:B$2,-1+SUMPRODUCT(MAX(ROW(E4497:E$2)*(E4498=E4497:E$2)))))</f>
        <v> </v>
      </c>
      <c r="J4498" s="25" t="str">
        <f>IF(OR(E4498="",E4498="!!!",F4498="NEW"),"",COUNTBLANK(OFFSET(A$1,,,SUMPRODUCT(MAX(ROW(E$2:E4498)*(E4498=E$2:E4498)))))-COUNTBLANK(OFFSET(A$1,,,SUMPRODUCT(MAX(ROW(E$1:E4497)*(E2=E$1:E4497))))))</f>
        <v> </v>
      </c>
      <c r="K4498" s="25" t="str">
        <f>IF(OR(E4498="",E4498="!!!",F4498="NEW"),"",INDEX(J$1:J4497,SUMPRODUCT(MAX(ROW(E$1:E4497)*(E4498=E$1:E4497)))))</f>
        <v> </v>
      </c>
      <c r="L4498" s="26"/>
    </row>
    <row r="4499" spans="1:12">
      <c r="A4499" s="20" t="s">
        <v>941</v>
      </c>
      <c r="E4499" s="21">
        <f>IF(D4499="?OLD","!!!","")</f>
        <v/>
      </c>
      <c r="F4499" s="22" t="str">
        <f>IF(OR(E4499="",E4499="!!!"),"",IF(NOT(ISNA(VLOOKUP(E4499,E$1:E4498,1,FALSE()))),"OLD",IF(AND(E4499&lt;&gt;"",E4499&lt;&gt;"!!!"),"NEW","")))</f>
        <v> </v>
      </c>
      <c r="G4499" s="23" t="str">
        <f>IF(OR(E4499="",E4499="!!!"),"",IF(OR(J4499=0,AND(J4499=1,K4499=1),AND(J4499=1,I4499="SBJ"),AND(J4499=1,I4499=0)),"?IN_FOCUS",IF(J4499&lt;=2,"?ACTIVATED",IF(J4499&lt;&gt;"","?FAMILIAR",IF(F4499="NEW",IF(ISNA(VLOOKUP(E4499,#REF!,1,FALSE())),"?TYPE_IDENTIFIABLE","?REFERENTIAL"),"_")))))</f>
        <v> </v>
      </c>
      <c r="H4499" s="24" t="str">
        <f>IF(J4499&lt;&gt;1,"",IF(I4499="SBJ","CB","?"))</f>
        <v> </v>
      </c>
      <c r="I4499" s="25" t="str">
        <f>IF(OR(E4499="",E4499="!!!",F4499="NEW"),"",INDEX(B4498:B$2,-1+SUMPRODUCT(MAX(ROW(E4498:E$2)*(E4499=E4498:E$2)))))</f>
        <v> </v>
      </c>
      <c r="J4499" s="25" t="str">
        <f>IF(OR(E4499="",E4499="!!!",F4499="NEW"),"",COUNTBLANK(OFFSET(A$1,,,SUMPRODUCT(MAX(ROW(E$2:E4499)*(E4499=E$2:E4499)))))-COUNTBLANK(OFFSET(A$1,,,SUMPRODUCT(MAX(ROW(E$1:E4498)*(E2=E$1:E4498))))))</f>
        <v> </v>
      </c>
      <c r="K4499" s="25" t="str">
        <f>IF(OR(E4499="",E4499="!!!",F4499="NEW"),"",INDEX(J$1:J4498,SUMPRODUCT(MAX(ROW(E$1:E4498)*(E4499=E$1:E4498)))))</f>
        <v> </v>
      </c>
      <c r="L4499" s="26"/>
    </row>
    <row r="4500" spans="1:12">
      <c r="A4500" s="20" t="s">
        <v>1260</v>
      </c>
      <c r="B4500" s="27" t="s">
        <v>771</v>
      </c>
      <c r="C4500" s="27" t="s">
        <v>749</v>
      </c>
      <c r="D4500" s="27" t="s">
        <v>740</v>
      </c>
      <c r="E4500" s="21">
        <f>IF(D4500="?OLD","!!!","")</f>
        <v/>
      </c>
      <c r="F4500" s="22" t="str">
        <f>IF(OR(E4500="",E4500="!!!"),"",IF(NOT(ISNA(VLOOKUP(E4500,E$1:E4499,1,FALSE()))),"OLD",IF(AND(E4500&lt;&gt;"",E4500&lt;&gt;"!!!"),"NEW","")))</f>
        <v> </v>
      </c>
      <c r="G4500" s="23" t="str">
        <f>IF(OR(E4500="",E4500="!!!"),"",IF(OR(J4500=0,AND(J4500=1,K4500=1),AND(J4500=1,I4500="SBJ"),AND(J4500=1,I4500=0)),"?IN_FOCUS",IF(J4500&lt;=2,"?ACTIVATED",IF(J4500&lt;&gt;"","?FAMILIAR",IF(F4500="NEW",IF(ISNA(VLOOKUP(E4500,#REF!,1,FALSE())),"?TYPE_IDENTIFIABLE","?REFERENTIAL"),"_")))))</f>
        <v> </v>
      </c>
      <c r="H4500" s="24" t="str">
        <f>IF(J4500&lt;&gt;1,"",IF(I4500="SBJ","CB","?"))</f>
        <v> </v>
      </c>
      <c r="I4500" s="25" t="str">
        <f>IF(OR(E4500="",E4500="!!!",F4500="NEW"),"",INDEX(B4499:B$2,-1+SUMPRODUCT(MAX(ROW(E4499:E$2)*(E4500=E4499:E$2)))))</f>
        <v> </v>
      </c>
      <c r="J4500" s="25" t="str">
        <f>IF(OR(E4500="",E4500="!!!",F4500="NEW"),"",COUNTBLANK(OFFSET(A$1,,,SUMPRODUCT(MAX(ROW(E$2:E4500)*(E4500=E$2:E4500)))))-COUNTBLANK(OFFSET(A$1,,,SUMPRODUCT(MAX(ROW(E$1:E4499)*(E2=E$1:E4499))))))</f>
        <v> </v>
      </c>
      <c r="K4500" s="25" t="str">
        <f>IF(OR(E4500="",E4500="!!!",F4500="NEW"),"",INDEX(J$1:J4499,SUMPRODUCT(MAX(ROW(E$1:E4499)*(E4500=E$1:E4499)))))</f>
        <v> </v>
      </c>
      <c r="L4500" s="26"/>
    </row>
    <row r="4501" spans="1:12">
      <c r="A4501" s="20" t="s">
        <v>1718</v>
      </c>
      <c r="E4501" s="21">
        <f>IF(D4501="?OLD","!!!","")</f>
        <v/>
      </c>
      <c r="F4501" s="22" t="str">
        <f>IF(OR(E4501="",E4501="!!!"),"",IF(NOT(ISNA(VLOOKUP(E4501,E$1:E4500,1,FALSE()))),"OLD",IF(AND(E4501&lt;&gt;"",E4501&lt;&gt;"!!!"),"NEW","")))</f>
        <v> </v>
      </c>
      <c r="G4501" s="23" t="str">
        <f>IF(OR(E4501="",E4501="!!!"),"",IF(OR(J4501=0,AND(J4501=1,K4501=1),AND(J4501=1,I4501="SBJ"),AND(J4501=1,I4501=0)),"?IN_FOCUS",IF(J4501&lt;=2,"?ACTIVATED",IF(J4501&lt;&gt;"","?FAMILIAR",IF(F4501="NEW",IF(ISNA(VLOOKUP(E4501,#REF!,1,FALSE())),"?TYPE_IDENTIFIABLE","?REFERENTIAL"),"_")))))</f>
        <v> </v>
      </c>
      <c r="H4501" s="24" t="str">
        <f>IF(J4501&lt;&gt;1,"",IF(I4501="SBJ","CB","?"))</f>
        <v> </v>
      </c>
      <c r="I4501" s="25" t="str">
        <f>IF(OR(E4501="",E4501="!!!",F4501="NEW"),"",INDEX(B4500:B$2,-1+SUMPRODUCT(MAX(ROW(E4500:E$2)*(E4501=E4500:E$2)))))</f>
        <v> </v>
      </c>
      <c r="J4501" s="25" t="str">
        <f>IF(OR(E4501="",E4501="!!!",F4501="NEW"),"",COUNTBLANK(OFFSET(A$1,,,SUMPRODUCT(MAX(ROW(E$2:E4501)*(E4501=E$2:E4501)))))-COUNTBLANK(OFFSET(A$1,,,SUMPRODUCT(MAX(ROW(E$1:E4500)*(E2=E$1:E4500))))))</f>
        <v> </v>
      </c>
      <c r="K4501" s="25" t="str">
        <f>IF(OR(E4501="",E4501="!!!",F4501="NEW"),"",INDEX(J$1:J4500,SUMPRODUCT(MAX(ROW(E$1:E4500)*(E4501=E$1:E4500)))))</f>
        <v> </v>
      </c>
      <c r="L4501" s="26"/>
    </row>
    <row r="4502" spans="1:12">
      <c r="A4502" s="20" t="s">
        <v>1025</v>
      </c>
      <c r="B4502" s="27" t="s">
        <v>777</v>
      </c>
      <c r="C4502" s="27" t="s">
        <v>792</v>
      </c>
      <c r="D4502" s="27" t="s">
        <v>740</v>
      </c>
      <c r="E4502" s="21">
        <f>IF(D4502="?OLD","!!!","")</f>
        <v/>
      </c>
      <c r="F4502" s="22" t="str">
        <f>IF(OR(E4502="",E4502="!!!"),"",IF(NOT(ISNA(VLOOKUP(E4502,E$1:E4501,1,FALSE()))),"OLD",IF(AND(E4502&lt;&gt;"",E4502&lt;&gt;"!!!"),"NEW","")))</f>
        <v> </v>
      </c>
      <c r="G4502" s="23" t="str">
        <f>IF(OR(E4502="",E4502="!!!"),"",IF(OR(J4502=0,AND(J4502=1,K4502=1),AND(J4502=1,I4502="SBJ"),AND(J4502=1,I4502=0)),"?IN_FOCUS",IF(J4502&lt;=2,"?ACTIVATED",IF(J4502&lt;&gt;"","?FAMILIAR",IF(F4502="NEW",IF(ISNA(VLOOKUP(E4502,#REF!,1,FALSE())),"?TYPE_IDENTIFIABLE","?REFERENTIAL"),"_")))))</f>
        <v> </v>
      </c>
      <c r="H4502" s="24" t="str">
        <f>IF(J4502&lt;&gt;1,"",IF(I4502="SBJ","CB","?"))</f>
        <v> </v>
      </c>
      <c r="I4502" s="25" t="str">
        <f>IF(OR(E4502="",E4502="!!!",F4502="NEW"),"",INDEX(B4501:B$2,-1+SUMPRODUCT(MAX(ROW(E4501:E$2)*(E4502=E4501:E$2)))))</f>
        <v> </v>
      </c>
      <c r="J4502" s="25" t="str">
        <f>IF(OR(E4502="",E4502="!!!",F4502="NEW"),"",COUNTBLANK(OFFSET(A$1,,,SUMPRODUCT(MAX(ROW(E$2:E4502)*(E4502=E$2:E4502)))))-COUNTBLANK(OFFSET(A$1,,,SUMPRODUCT(MAX(ROW(E$1:E4501)*(E2=E$1:E4501))))))</f>
        <v> </v>
      </c>
      <c r="K4502" s="25" t="str">
        <f>IF(OR(E4502="",E4502="!!!",F4502="NEW"),"",INDEX(J$1:J4501,SUMPRODUCT(MAX(ROW(E$1:E4501)*(E4502=E$1:E4501)))))</f>
        <v> </v>
      </c>
      <c r="L4502" s="26"/>
    </row>
    <row r="4503" spans="1:12">
      <c r="A4503" s="20" t="s">
        <v>1152</v>
      </c>
      <c r="B4503" s="27" t="s">
        <v>779</v>
      </c>
      <c r="C4503" s="27" t="s">
        <v>908</v>
      </c>
      <c r="D4503" s="27" t="s">
        <v>740</v>
      </c>
      <c r="E4503" s="21">
        <f>IF(D4503="?OLD","!!!","")</f>
        <v/>
      </c>
      <c r="F4503" s="22" t="str">
        <f>IF(OR(E4503="",E4503="!!!"),"",IF(NOT(ISNA(VLOOKUP(E4503,E$1:E4502,1,FALSE()))),"OLD",IF(AND(E4503&lt;&gt;"",E4503&lt;&gt;"!!!"),"NEW","")))</f>
        <v> </v>
      </c>
      <c r="G4503" s="23" t="str">
        <f>IF(OR(E4503="",E4503="!!!"),"",IF(OR(J4503=0,AND(J4503=1,K4503=1),AND(J4503=1,I4503="SBJ"),AND(J4503=1,I4503=0)),"?IN_FOCUS",IF(J4503&lt;=2,"?ACTIVATED",IF(J4503&lt;&gt;"","?FAMILIAR",IF(F4503="NEW",IF(ISNA(VLOOKUP(E4503,#REF!,1,FALSE())),"?TYPE_IDENTIFIABLE","?REFERENTIAL"),"_")))))</f>
        <v> </v>
      </c>
      <c r="H4503" s="24" t="str">
        <f>IF(J4503&lt;&gt;1,"",IF(I4503="SBJ","CB","?"))</f>
        <v> </v>
      </c>
      <c r="I4503" s="25" t="str">
        <f>IF(OR(E4503="",E4503="!!!",F4503="NEW"),"",INDEX(B4502:B$2,-1+SUMPRODUCT(MAX(ROW(E4502:E$2)*(E4503=E4502:E$2)))))</f>
        <v> </v>
      </c>
      <c r="J4503" s="25" t="str">
        <f>IF(OR(E4503="",E4503="!!!",F4503="NEW"),"",COUNTBLANK(OFFSET(A$1,,,SUMPRODUCT(MAX(ROW(E$2:E4503)*(E4503=E$2:E4503)))))-COUNTBLANK(OFFSET(A$1,,,SUMPRODUCT(MAX(ROW(E$1:E4502)*(E2=E$1:E4502))))))</f>
        <v> </v>
      </c>
      <c r="K4503" s="25" t="str">
        <f>IF(OR(E4503="",E4503="!!!",F4503="NEW"),"",INDEX(J$1:J4502,SUMPRODUCT(MAX(ROW(E$1:E4502)*(E4503=E$1:E4502)))))</f>
        <v> </v>
      </c>
      <c r="L4503" s="26"/>
    </row>
    <row r="4504" spans="1:12">
      <c r="A4504" s="20" t="s">
        <v>1388</v>
      </c>
      <c r="E4504" s="21">
        <f>IF(D4504="?OLD","!!!","")</f>
        <v/>
      </c>
      <c r="F4504" s="22" t="str">
        <f>IF(OR(E4504="",E4504="!!!"),"",IF(NOT(ISNA(VLOOKUP(E4504,E$1:E4503,1,FALSE()))),"OLD",IF(AND(E4504&lt;&gt;"",E4504&lt;&gt;"!!!"),"NEW","")))</f>
        <v> </v>
      </c>
      <c r="G4504" s="23" t="str">
        <f>IF(OR(E4504="",E4504="!!!"),"",IF(OR(J4504=0,AND(J4504=1,K4504=1),AND(J4504=1,I4504="SBJ"),AND(J4504=1,I4504=0)),"?IN_FOCUS",IF(J4504&lt;=2,"?ACTIVATED",IF(J4504&lt;&gt;"","?FAMILIAR",IF(F4504="NEW",IF(ISNA(VLOOKUP(E4504,#REF!,1,FALSE())),"?TYPE_IDENTIFIABLE","?REFERENTIAL"),"_")))))</f>
        <v> </v>
      </c>
      <c r="H4504" s="24" t="str">
        <f>IF(J4504&lt;&gt;1,"",IF(I4504="SBJ","CB","?"))</f>
        <v> </v>
      </c>
      <c r="I4504" s="25" t="str">
        <f>IF(OR(E4504="",E4504="!!!",F4504="NEW"),"",INDEX(B4503:B$2,-1+SUMPRODUCT(MAX(ROW(E4503:E$2)*(E4504=E4503:E$2)))))</f>
        <v> </v>
      </c>
      <c r="J4504" s="25" t="str">
        <f>IF(OR(E4504="",E4504="!!!",F4504="NEW"),"",COUNTBLANK(OFFSET(A$1,,,SUMPRODUCT(MAX(ROW(E$2:E4504)*(E4504=E$2:E4504)))))-COUNTBLANK(OFFSET(A$1,,,SUMPRODUCT(MAX(ROW(E$1:E4503)*(E2=E$1:E4503))))))</f>
        <v> </v>
      </c>
      <c r="K4504" s="25" t="str">
        <f>IF(OR(E4504="",E4504="!!!",F4504="NEW"),"",INDEX(J$1:J4503,SUMPRODUCT(MAX(ROW(E$1:E4503)*(E4504=E$1:E4503)))))</f>
        <v> </v>
      </c>
      <c r="L4504" s="26"/>
    </row>
    <row r="4505" spans="1:12">
      <c r="A4505" s="20" t="s">
        <v>753</v>
      </c>
      <c r="E4505" s="21">
        <f>IF(D4505="?OLD","!!!","")</f>
        <v/>
      </c>
      <c r="F4505" s="22" t="str">
        <f>IF(OR(E4505="",E4505="!!!"),"",IF(NOT(ISNA(VLOOKUP(E4505,E$1:E4504,1,FALSE()))),"OLD",IF(AND(E4505&lt;&gt;"",E4505&lt;&gt;"!!!"),"NEW","")))</f>
        <v> </v>
      </c>
      <c r="G4505" s="23" t="str">
        <f>IF(OR(E4505="",E4505="!!!"),"",IF(OR(J4505=0,AND(J4505=1,K4505=1),AND(J4505=1,I4505="SBJ"),AND(J4505=1,I4505=0)),"?IN_FOCUS",IF(J4505&lt;=2,"?ACTIVATED",IF(J4505&lt;&gt;"","?FAMILIAR",IF(F4505="NEW",IF(ISNA(VLOOKUP(E4505,#REF!,1,FALSE())),"?TYPE_IDENTIFIABLE","?REFERENTIAL"),"_")))))</f>
        <v> </v>
      </c>
      <c r="H4505" s="24" t="str">
        <f>IF(J4505&lt;&gt;1,"",IF(I4505="SBJ","CB","?"))</f>
        <v> </v>
      </c>
      <c r="I4505" s="25" t="str">
        <f>IF(OR(E4505="",E4505="!!!",F4505="NEW"),"",INDEX(B4504:B$2,-1+SUMPRODUCT(MAX(ROW(E4504:E$2)*(E4505=E4504:E$2)))))</f>
        <v> </v>
      </c>
      <c r="J4505" s="25" t="str">
        <f>IF(OR(E4505="",E4505="!!!",F4505="NEW"),"",COUNTBLANK(OFFSET(A$1,,,SUMPRODUCT(MAX(ROW(E$2:E4505)*(E4505=E$2:E4505)))))-COUNTBLANK(OFFSET(A$1,,,SUMPRODUCT(MAX(ROW(E$1:E4504)*(E2=E$1:E4504))))))</f>
        <v> </v>
      </c>
      <c r="K4505" s="25" t="str">
        <f>IF(OR(E4505="",E4505="!!!",F4505="NEW"),"",INDEX(J$1:J4504,SUMPRODUCT(MAX(ROW(E$1:E4504)*(E4505=E$1:E4504)))))</f>
        <v> </v>
      </c>
      <c r="L4505" s="26"/>
    </row>
    <row r="4506" spans="1:12">
      <c r="A4506" s="20" t="s">
        <v>955</v>
      </c>
      <c r="E4506" s="21">
        <f>IF(D4506="?OLD","!!!","")</f>
        <v/>
      </c>
      <c r="F4506" s="22" t="str">
        <f>IF(OR(E4506="",E4506="!!!"),"",IF(NOT(ISNA(VLOOKUP(E4506,E$1:E4505,1,FALSE()))),"OLD",IF(AND(E4506&lt;&gt;"",E4506&lt;&gt;"!!!"),"NEW","")))</f>
        <v> </v>
      </c>
      <c r="G4506" s="23" t="str">
        <f>IF(OR(E4506="",E4506="!!!"),"",IF(OR(J4506=0,AND(J4506=1,K4506=1),AND(J4506=1,I4506="SBJ"),AND(J4506=1,I4506=0)),"?IN_FOCUS",IF(J4506&lt;=2,"?ACTIVATED",IF(J4506&lt;&gt;"","?FAMILIAR",IF(F4506="NEW",IF(ISNA(VLOOKUP(E4506,#REF!,1,FALSE())),"?TYPE_IDENTIFIABLE","?REFERENTIAL"),"_")))))</f>
        <v> </v>
      </c>
      <c r="H4506" s="24" t="str">
        <f>IF(J4506&lt;&gt;1,"",IF(I4506="SBJ","CB","?"))</f>
        <v> </v>
      </c>
      <c r="I4506" s="25" t="str">
        <f>IF(OR(E4506="",E4506="!!!",F4506="NEW"),"",INDEX(B4505:B$2,-1+SUMPRODUCT(MAX(ROW(E4505:E$2)*(E4506=E4505:E$2)))))</f>
        <v> </v>
      </c>
      <c r="J4506" s="25" t="str">
        <f>IF(OR(E4506="",E4506="!!!",F4506="NEW"),"",COUNTBLANK(OFFSET(A$1,,,SUMPRODUCT(MAX(ROW(E$2:E4506)*(E4506=E$2:E4506)))))-COUNTBLANK(OFFSET(A$1,,,SUMPRODUCT(MAX(ROW(E$1:E4505)*(E2=E$1:E4505))))))</f>
        <v> </v>
      </c>
      <c r="K4506" s="25" t="str">
        <f>IF(OR(E4506="",E4506="!!!",F4506="NEW"),"",INDEX(J$1:J4505,SUMPRODUCT(MAX(ROW(E$1:E4505)*(E4506=E$1:E4505)))))</f>
        <v> </v>
      </c>
      <c r="L4506" s="26"/>
    </row>
    <row r="4507" spans="1:12">
      <c r="A4507" s="20" t="s">
        <v>736</v>
      </c>
      <c r="E4507" s="21">
        <f>IF(D4507="?OLD","!!!","")</f>
        <v/>
      </c>
      <c r="F4507" s="22" t="str">
        <f>IF(OR(E4507="",E4507="!!!"),"",IF(NOT(ISNA(VLOOKUP(E4507,E$1:E4506,1,FALSE()))),"OLD",IF(AND(E4507&lt;&gt;"",E4507&lt;&gt;"!!!"),"NEW","")))</f>
        <v> </v>
      </c>
      <c r="G4507" s="23" t="str">
        <f>IF(OR(E4507="",E4507="!!!"),"",IF(OR(J4507=0,AND(J4507=1,K4507=1),AND(J4507=1,I4507="SBJ"),AND(J4507=1,I4507=0)),"?IN_FOCUS",IF(J4507&lt;=2,"?ACTIVATED",IF(J4507&lt;&gt;"","?FAMILIAR",IF(F4507="NEW",IF(ISNA(VLOOKUP(E4507,#REF!,1,FALSE())),"?TYPE_IDENTIFIABLE","?REFERENTIAL"),"_")))))</f>
        <v> </v>
      </c>
      <c r="H4507" s="24" t="str">
        <f>IF(J4507&lt;&gt;1,"",IF(I4507="SBJ","CB","?"))</f>
        <v> </v>
      </c>
      <c r="I4507" s="25" t="str">
        <f>IF(OR(E4507="",E4507="!!!",F4507="NEW"),"",INDEX(B4506:B$2,-1+SUMPRODUCT(MAX(ROW(E4506:E$2)*(E4507=E4506:E$2)))))</f>
        <v> </v>
      </c>
      <c r="J4507" s="25" t="str">
        <f>IF(OR(E4507="",E4507="!!!",F4507="NEW"),"",COUNTBLANK(OFFSET(A$1,,,SUMPRODUCT(MAX(ROW(E$2:E4507)*(E4507=E$2:E4507)))))-COUNTBLANK(OFFSET(A$1,,,SUMPRODUCT(MAX(ROW(E$1:E4506)*(E2=E$1:E4506))))))</f>
        <v> </v>
      </c>
      <c r="K4507" s="25" t="str">
        <f>IF(OR(E4507="",E4507="!!!",F4507="NEW"),"",INDEX(J$1:J4506,SUMPRODUCT(MAX(ROW(E$1:E4506)*(E4507=E$1:E4506)))))</f>
        <v> </v>
      </c>
      <c r="L4507" s="26"/>
    </row>
    <row r="4508" spans="1:12">
      <c r="A4508" s="20" t="s">
        <v>831</v>
      </c>
      <c r="B4508" s="27" t="s">
        <v>1024</v>
      </c>
      <c r="C4508" s="27" t="s">
        <v>775</v>
      </c>
      <c r="D4508" s="27" t="s">
        <v>740</v>
      </c>
      <c r="E4508" s="21">
        <f>IF(D4508="?OLD","!!!","")</f>
        <v/>
      </c>
      <c r="F4508" s="22" t="str">
        <f>IF(OR(E4508="",E4508="!!!"),"",IF(NOT(ISNA(VLOOKUP(E4508,E$1:E4507,1,FALSE()))),"OLD",IF(AND(E4508&lt;&gt;"",E4508&lt;&gt;"!!!"),"NEW","")))</f>
        <v> </v>
      </c>
      <c r="G4508" s="23" t="str">
        <f>IF(OR(E4508="",E4508="!!!"),"",IF(OR(J4508=0,AND(J4508=1,K4508=1),AND(J4508=1,I4508="SBJ"),AND(J4508=1,I4508=0)),"?IN_FOCUS",IF(J4508&lt;=2,"?ACTIVATED",IF(J4508&lt;&gt;"","?FAMILIAR",IF(F4508="NEW",IF(ISNA(VLOOKUP(E4508,#REF!,1,FALSE())),"?TYPE_IDENTIFIABLE","?REFERENTIAL"),"_")))))</f>
        <v> </v>
      </c>
      <c r="H4508" s="24" t="str">
        <f>IF(J4508&lt;&gt;1,"",IF(I4508="SBJ","CB","?"))</f>
        <v> </v>
      </c>
      <c r="I4508" s="25" t="str">
        <f>IF(OR(E4508="",E4508="!!!",F4508="NEW"),"",INDEX(B4507:B$2,-1+SUMPRODUCT(MAX(ROW(E4507:E$2)*(E4508=E4507:E$2)))))</f>
        <v> </v>
      </c>
      <c r="J4508" s="25" t="str">
        <f>IF(OR(E4508="",E4508="!!!",F4508="NEW"),"",COUNTBLANK(OFFSET(A$1,,,SUMPRODUCT(MAX(ROW(E$2:E4508)*(E4508=E$2:E4508)))))-COUNTBLANK(OFFSET(A$1,,,SUMPRODUCT(MAX(ROW(E$1:E4507)*(E2=E$1:E4507))))))</f>
        <v> </v>
      </c>
      <c r="K4508" s="25" t="str">
        <f>IF(OR(E4508="",E4508="!!!",F4508="NEW"),"",INDEX(J$1:J4507,SUMPRODUCT(MAX(ROW(E$1:E4507)*(E4508=E$1:E4507)))))</f>
        <v> </v>
      </c>
      <c r="L4508" s="26"/>
    </row>
    <row r="4509" spans="1:12">
      <c r="A4509" s="20" t="s">
        <v>1302</v>
      </c>
      <c r="B4509" s="27" t="s">
        <v>1352</v>
      </c>
      <c r="C4509" s="27" t="s">
        <v>749</v>
      </c>
      <c r="D4509" s="27" t="s">
        <v>740</v>
      </c>
      <c r="E4509" s="21">
        <f>IF(D4509="?OLD","!!!","")</f>
        <v/>
      </c>
      <c r="F4509" s="22" t="str">
        <f>IF(OR(E4509="",E4509="!!!"),"",IF(NOT(ISNA(VLOOKUP(E4509,E$1:E4508,1,FALSE()))),"OLD",IF(AND(E4509&lt;&gt;"",E4509&lt;&gt;"!!!"),"NEW","")))</f>
        <v> </v>
      </c>
      <c r="G4509" s="23" t="str">
        <f>IF(OR(E4509="",E4509="!!!"),"",IF(OR(J4509=0,AND(J4509=1,K4509=1),AND(J4509=1,I4509="SBJ"),AND(J4509=1,I4509=0)),"?IN_FOCUS",IF(J4509&lt;=2,"?ACTIVATED",IF(J4509&lt;&gt;"","?FAMILIAR",IF(F4509="NEW",IF(ISNA(VLOOKUP(E4509,#REF!,1,FALSE())),"?TYPE_IDENTIFIABLE","?REFERENTIAL"),"_")))))</f>
        <v> </v>
      </c>
      <c r="H4509" s="24" t="str">
        <f>IF(J4509&lt;&gt;1,"",IF(I4509="SBJ","CB","?"))</f>
        <v> </v>
      </c>
      <c r="I4509" s="25" t="str">
        <f>IF(OR(E4509="",E4509="!!!",F4509="NEW"),"",INDEX(B4508:B$2,-1+SUMPRODUCT(MAX(ROW(E4508:E$2)*(E4509=E4508:E$2)))))</f>
        <v> </v>
      </c>
      <c r="J4509" s="25" t="str">
        <f>IF(OR(E4509="",E4509="!!!",F4509="NEW"),"",COUNTBLANK(OFFSET(A$1,,,SUMPRODUCT(MAX(ROW(E$2:E4509)*(E4509=E$2:E4509)))))-COUNTBLANK(OFFSET(A$1,,,SUMPRODUCT(MAX(ROW(E$1:E4508)*(E2=E$1:E4508))))))</f>
        <v> </v>
      </c>
      <c r="K4509" s="25" t="str">
        <f>IF(OR(E4509="",E4509="!!!",F4509="NEW"),"",INDEX(J$1:J4508,SUMPRODUCT(MAX(ROW(E$1:E4508)*(E4509=E$1:E4508)))))</f>
        <v> </v>
      </c>
      <c r="L4509" s="26"/>
    </row>
    <row r="4510" spans="1:12">
      <c r="A4510" s="20" t="s">
        <v>1854</v>
      </c>
      <c r="E4510" s="21">
        <f>IF(D4510="?OLD","!!!","")</f>
        <v/>
      </c>
      <c r="F4510" s="22" t="str">
        <f>IF(OR(E4510="",E4510="!!!"),"",IF(NOT(ISNA(VLOOKUP(E4510,E$1:E4509,1,FALSE()))),"OLD",IF(AND(E4510&lt;&gt;"",E4510&lt;&gt;"!!!"),"NEW","")))</f>
        <v> </v>
      </c>
      <c r="G4510" s="23" t="str">
        <f>IF(OR(E4510="",E4510="!!!"),"",IF(OR(J4510=0,AND(J4510=1,K4510=1),AND(J4510=1,I4510="SBJ"),AND(J4510=1,I4510=0)),"?IN_FOCUS",IF(J4510&lt;=2,"?ACTIVATED",IF(J4510&lt;&gt;"","?FAMILIAR",IF(F4510="NEW",IF(ISNA(VLOOKUP(E4510,#REF!,1,FALSE())),"?TYPE_IDENTIFIABLE","?REFERENTIAL"),"_")))))</f>
        <v> </v>
      </c>
      <c r="H4510" s="24" t="str">
        <f>IF(J4510&lt;&gt;1,"",IF(I4510="SBJ","CB","?"))</f>
        <v> </v>
      </c>
      <c r="I4510" s="25" t="str">
        <f>IF(OR(E4510="",E4510="!!!",F4510="NEW"),"",INDEX(B4509:B$2,-1+SUMPRODUCT(MAX(ROW(E4509:E$2)*(E4510=E4509:E$2)))))</f>
        <v> </v>
      </c>
      <c r="J4510" s="25" t="str">
        <f>IF(OR(E4510="",E4510="!!!",F4510="NEW"),"",COUNTBLANK(OFFSET(A$1,,,SUMPRODUCT(MAX(ROW(E$2:E4510)*(E4510=E$2:E4510)))))-COUNTBLANK(OFFSET(A$1,,,SUMPRODUCT(MAX(ROW(E$1:E4509)*(E2=E$1:E4509))))))</f>
        <v> </v>
      </c>
      <c r="K4510" s="25" t="str">
        <f>IF(OR(E4510="",E4510="!!!",F4510="NEW"),"",INDEX(J$1:J4509,SUMPRODUCT(MAX(ROW(E$1:E4509)*(E4510=E$1:E4509)))))</f>
        <v> </v>
      </c>
      <c r="L4510" s="26"/>
    </row>
    <row r="4511" spans="1:12">
      <c r="A4511" s="20" t="s">
        <v>2036</v>
      </c>
      <c r="E4511" s="21">
        <f>IF(D4511="?OLD","!!!","")</f>
        <v/>
      </c>
      <c r="F4511" s="22" t="str">
        <f>IF(OR(E4511="",E4511="!!!"),"",IF(NOT(ISNA(VLOOKUP(E4511,E$1:E4510,1,FALSE()))),"OLD",IF(AND(E4511&lt;&gt;"",E4511&lt;&gt;"!!!"),"NEW","")))</f>
        <v> </v>
      </c>
      <c r="G4511" s="23" t="str">
        <f>IF(OR(E4511="",E4511="!!!"),"",IF(OR(J4511=0,AND(J4511=1,K4511=1),AND(J4511=1,I4511="SBJ"),AND(J4511=1,I4511=0)),"?IN_FOCUS",IF(J4511&lt;=2,"?ACTIVATED",IF(J4511&lt;&gt;"","?FAMILIAR",IF(F4511="NEW",IF(ISNA(VLOOKUP(E4511,#REF!,1,FALSE())),"?TYPE_IDENTIFIABLE","?REFERENTIAL"),"_")))))</f>
        <v> </v>
      </c>
      <c r="H4511" s="24" t="str">
        <f>IF(J4511&lt;&gt;1,"",IF(I4511="SBJ","CB","?"))</f>
        <v> </v>
      </c>
      <c r="I4511" s="25" t="str">
        <f>IF(OR(E4511="",E4511="!!!",F4511="NEW"),"",INDEX(B4510:B$2,-1+SUMPRODUCT(MAX(ROW(E4510:E$2)*(E4511=E4510:E$2)))))</f>
        <v> </v>
      </c>
      <c r="J4511" s="25" t="str">
        <f>IF(OR(E4511="",E4511="!!!",F4511="NEW"),"",COUNTBLANK(OFFSET(A$1,,,SUMPRODUCT(MAX(ROW(E$2:E4511)*(E4511=E$2:E4511)))))-COUNTBLANK(OFFSET(A$1,,,SUMPRODUCT(MAX(ROW(E$1:E4510)*(E2=E$1:E4510))))))</f>
        <v> </v>
      </c>
      <c r="K4511" s="25" t="str">
        <f>IF(OR(E4511="",E4511="!!!",F4511="NEW"),"",INDEX(J$1:J4510,SUMPRODUCT(MAX(ROW(E$1:E4510)*(E4511=E$1:E4510)))))</f>
        <v> </v>
      </c>
      <c r="L4511" s="26"/>
    </row>
    <row r="4512" spans="1:12">
      <c r="A4512" s="20" t="s">
        <v>2037</v>
      </c>
      <c r="E4512" s="21">
        <f>IF(D4512="?OLD","!!!","")</f>
        <v/>
      </c>
      <c r="F4512" s="22" t="str">
        <f>IF(OR(E4512="",E4512="!!!"),"",IF(NOT(ISNA(VLOOKUP(E4512,E$1:E4511,1,FALSE()))),"OLD",IF(AND(E4512&lt;&gt;"",E4512&lt;&gt;"!!!"),"NEW","")))</f>
        <v> </v>
      </c>
      <c r="G4512" s="23" t="str">
        <f>IF(OR(E4512="",E4512="!!!"),"",IF(OR(J4512=0,AND(J4512=1,K4512=1),AND(J4512=1,I4512="SBJ"),AND(J4512=1,I4512=0)),"?IN_FOCUS",IF(J4512&lt;=2,"?ACTIVATED",IF(J4512&lt;&gt;"","?FAMILIAR",IF(F4512="NEW",IF(ISNA(VLOOKUP(E4512,#REF!,1,FALSE())),"?TYPE_IDENTIFIABLE","?REFERENTIAL"),"_")))))</f>
        <v> </v>
      </c>
      <c r="H4512" s="24" t="str">
        <f>IF(J4512&lt;&gt;1,"",IF(I4512="SBJ","CB","?"))</f>
        <v> </v>
      </c>
      <c r="I4512" s="25" t="str">
        <f>IF(OR(E4512="",E4512="!!!",F4512="NEW"),"",INDEX(B4511:B$2,-1+SUMPRODUCT(MAX(ROW(E4511:E$2)*(E4512=E4511:E$2)))))</f>
        <v> </v>
      </c>
      <c r="J4512" s="25" t="str">
        <f>IF(OR(E4512="",E4512="!!!",F4512="NEW"),"",COUNTBLANK(OFFSET(A$1,,,SUMPRODUCT(MAX(ROW(E$2:E4512)*(E4512=E$2:E4512)))))-COUNTBLANK(OFFSET(A$1,,,SUMPRODUCT(MAX(ROW(E$1:E4511)*(E2=E$1:E4511))))))</f>
        <v> </v>
      </c>
      <c r="K4512" s="25" t="str">
        <f>IF(OR(E4512="",E4512="!!!",F4512="NEW"),"",INDEX(J$1:J4511,SUMPRODUCT(MAX(ROW(E$1:E4511)*(E4512=E$1:E4511)))))</f>
        <v> </v>
      </c>
      <c r="L4512" s="26"/>
    </row>
    <row r="4513" spans="1:12">
      <c r="A4513" s="20" t="s">
        <v>753</v>
      </c>
      <c r="E4513" s="21">
        <f>IF(D4513="?OLD","!!!","")</f>
        <v/>
      </c>
      <c r="F4513" s="22" t="str">
        <f>IF(OR(E4513="",E4513="!!!"),"",IF(NOT(ISNA(VLOOKUP(E4513,E$1:E4512,1,FALSE()))),"OLD",IF(AND(E4513&lt;&gt;"",E4513&lt;&gt;"!!!"),"NEW","")))</f>
        <v> </v>
      </c>
      <c r="G4513" s="23" t="str">
        <f>IF(OR(E4513="",E4513="!!!"),"",IF(OR(J4513=0,AND(J4513=1,K4513=1),AND(J4513=1,I4513="SBJ"),AND(J4513=1,I4513=0)),"?IN_FOCUS",IF(J4513&lt;=2,"?ACTIVATED",IF(J4513&lt;&gt;"","?FAMILIAR",IF(F4513="NEW",IF(ISNA(VLOOKUP(E4513,#REF!,1,FALSE())),"?TYPE_IDENTIFIABLE","?REFERENTIAL"),"_")))))</f>
        <v> </v>
      </c>
      <c r="H4513" s="24" t="str">
        <f>IF(J4513&lt;&gt;1,"",IF(I4513="SBJ","CB","?"))</f>
        <v> </v>
      </c>
      <c r="I4513" s="25" t="str">
        <f>IF(OR(E4513="",E4513="!!!",F4513="NEW"),"",INDEX(B4512:B$2,-1+SUMPRODUCT(MAX(ROW(E4512:E$2)*(E4513=E4512:E$2)))))</f>
        <v> </v>
      </c>
      <c r="J4513" s="25" t="str">
        <f>IF(OR(E4513="",E4513="!!!",F4513="NEW"),"",COUNTBLANK(OFFSET(A$1,,,SUMPRODUCT(MAX(ROW(E$2:E4513)*(E4513=E$2:E4513)))))-COUNTBLANK(OFFSET(A$1,,,SUMPRODUCT(MAX(ROW(E$1:E4512)*(E2=E$1:E4512))))))</f>
        <v> </v>
      </c>
      <c r="K4513" s="25" t="str">
        <f>IF(OR(E4513="",E4513="!!!",F4513="NEW"),"",INDEX(J$1:J4512,SUMPRODUCT(MAX(ROW(E$1:E4512)*(E4513=E$1:E4512)))))</f>
        <v> </v>
      </c>
      <c r="L4513" s="26"/>
    </row>
    <row r="4514" spans="1:12">
      <c r="A4514" s="20" t="s">
        <v>1110</v>
      </c>
      <c r="B4514" s="27" t="s">
        <v>771</v>
      </c>
      <c r="C4514" s="27" t="s">
        <v>792</v>
      </c>
      <c r="D4514" s="27" t="s">
        <v>740</v>
      </c>
      <c r="E4514" s="21">
        <f>IF(D4514="?OLD","!!!","")</f>
        <v/>
      </c>
      <c r="F4514" s="22" t="str">
        <f>IF(OR(E4514="",E4514="!!!"),"",IF(NOT(ISNA(VLOOKUP(E4514,E$1:E4513,1,FALSE()))),"OLD",IF(AND(E4514&lt;&gt;"",E4514&lt;&gt;"!!!"),"NEW","")))</f>
        <v> </v>
      </c>
      <c r="G4514" s="23" t="str">
        <f>IF(OR(E4514="",E4514="!!!"),"",IF(OR(J4514=0,AND(J4514=1,K4514=1),AND(J4514=1,I4514="SBJ"),AND(J4514=1,I4514=0)),"?IN_FOCUS",IF(J4514&lt;=2,"?ACTIVATED",IF(J4514&lt;&gt;"","?FAMILIAR",IF(F4514="NEW",IF(ISNA(VLOOKUP(E4514,#REF!,1,FALSE())),"?TYPE_IDENTIFIABLE","?REFERENTIAL"),"_")))))</f>
        <v> </v>
      </c>
      <c r="H4514" s="24" t="str">
        <f>IF(J4514&lt;&gt;1,"",IF(I4514="SBJ","CB","?"))</f>
        <v> </v>
      </c>
      <c r="I4514" s="25" t="str">
        <f>IF(OR(E4514="",E4514="!!!",F4514="NEW"),"",INDEX(B4513:B$2,-1+SUMPRODUCT(MAX(ROW(E4513:E$2)*(E4514=E4513:E$2)))))</f>
        <v> </v>
      </c>
      <c r="J4514" s="25" t="str">
        <f>IF(OR(E4514="",E4514="!!!",F4514="NEW"),"",COUNTBLANK(OFFSET(A$1,,,SUMPRODUCT(MAX(ROW(E$2:E4514)*(E4514=E$2:E4514)))))-COUNTBLANK(OFFSET(A$1,,,SUMPRODUCT(MAX(ROW(E$1:E4513)*(E2=E$1:E4513))))))</f>
        <v> </v>
      </c>
      <c r="K4514" s="25" t="str">
        <f>IF(OR(E4514="",E4514="!!!",F4514="NEW"),"",INDEX(J$1:J4513,SUMPRODUCT(MAX(ROW(E$1:E4513)*(E4514=E$1:E4513)))))</f>
        <v> </v>
      </c>
      <c r="L4514" s="26"/>
    </row>
    <row r="4515" spans="1:12">
      <c r="A4515" s="20" t="s">
        <v>1850</v>
      </c>
      <c r="E4515" s="21">
        <f>IF(D4515="?OLD","!!!","")</f>
        <v/>
      </c>
      <c r="F4515" s="22" t="str">
        <f>IF(OR(E4515="",E4515="!!!"),"",IF(NOT(ISNA(VLOOKUP(E4515,E$1:E4514,1,FALSE()))),"OLD",IF(AND(E4515&lt;&gt;"",E4515&lt;&gt;"!!!"),"NEW","")))</f>
        <v> </v>
      </c>
      <c r="G4515" s="23" t="str">
        <f>IF(OR(E4515="",E4515="!!!"),"",IF(OR(J4515=0,AND(J4515=1,K4515=1),AND(J4515=1,I4515="SBJ"),AND(J4515=1,I4515=0)),"?IN_FOCUS",IF(J4515&lt;=2,"?ACTIVATED",IF(J4515&lt;&gt;"","?FAMILIAR",IF(F4515="NEW",IF(ISNA(VLOOKUP(E4515,#REF!,1,FALSE())),"?TYPE_IDENTIFIABLE","?REFERENTIAL"),"_")))))</f>
        <v> </v>
      </c>
      <c r="H4515" s="24" t="str">
        <f>IF(J4515&lt;&gt;1,"",IF(I4515="SBJ","CB","?"))</f>
        <v> </v>
      </c>
      <c r="I4515" s="25" t="str">
        <f>IF(OR(E4515="",E4515="!!!",F4515="NEW"),"",INDEX(B4514:B$2,-1+SUMPRODUCT(MAX(ROW(E4514:E$2)*(E4515=E4514:E$2)))))</f>
        <v> </v>
      </c>
      <c r="J4515" s="25" t="str">
        <f>IF(OR(E4515="",E4515="!!!",F4515="NEW"),"",COUNTBLANK(OFFSET(A$1,,,SUMPRODUCT(MAX(ROW(E$2:E4515)*(E4515=E$2:E4515)))))-COUNTBLANK(OFFSET(A$1,,,SUMPRODUCT(MAX(ROW(E$1:E4514)*(E2=E$1:E4514))))))</f>
        <v> </v>
      </c>
      <c r="K4515" s="25" t="str">
        <f>IF(OR(E4515="",E4515="!!!",F4515="NEW"),"",INDEX(J$1:J4514,SUMPRODUCT(MAX(ROW(E$1:E4514)*(E4515=E$1:E4514)))))</f>
        <v> </v>
      </c>
      <c r="L4515" s="26"/>
    </row>
    <row r="4516" spans="1:12">
      <c r="A4516" s="20" t="s">
        <v>765</v>
      </c>
      <c r="E4516" s="21">
        <f>IF(D4516="?OLD","!!!","")</f>
        <v/>
      </c>
      <c r="F4516" s="22" t="str">
        <f>IF(OR(E4516="",E4516="!!!"),"",IF(NOT(ISNA(VLOOKUP(E4516,E$1:E4515,1,FALSE()))),"OLD",IF(AND(E4516&lt;&gt;"",E4516&lt;&gt;"!!!"),"NEW","")))</f>
        <v> </v>
      </c>
      <c r="G4516" s="23" t="str">
        <f>IF(OR(E4516="",E4516="!!!"),"",IF(OR(J4516=0,AND(J4516=1,K4516=1),AND(J4516=1,I4516="SBJ"),AND(J4516=1,I4516=0)),"?IN_FOCUS",IF(J4516&lt;=2,"?ACTIVATED",IF(J4516&lt;&gt;"","?FAMILIAR",IF(F4516="NEW",IF(ISNA(VLOOKUP(E4516,#REF!,1,FALSE())),"?TYPE_IDENTIFIABLE","?REFERENTIAL"),"_")))))</f>
        <v> </v>
      </c>
      <c r="H4516" s="24" t="str">
        <f>IF(J4516&lt;&gt;1,"",IF(I4516="SBJ","CB","?"))</f>
        <v> </v>
      </c>
      <c r="I4516" s="25" t="str">
        <f>IF(OR(E4516="",E4516="!!!",F4516="NEW"),"",INDEX(B4515:B$2,-1+SUMPRODUCT(MAX(ROW(E4515:E$2)*(E4516=E4515:E$2)))))</f>
        <v> </v>
      </c>
      <c r="J4516" s="25" t="str">
        <f>IF(OR(E4516="",E4516="!!!",F4516="NEW"),"",COUNTBLANK(OFFSET(A$1,,,SUMPRODUCT(MAX(ROW(E$2:E4516)*(E4516=E$2:E4516)))))-COUNTBLANK(OFFSET(A$1,,,SUMPRODUCT(MAX(ROW(E$1:E4515)*(E2=E$1:E4515))))))</f>
        <v> </v>
      </c>
      <c r="K4516" s="25" t="str">
        <f>IF(OR(E4516="",E4516="!!!",F4516="NEW"),"",INDEX(J$1:J4515,SUMPRODUCT(MAX(ROW(E$1:E4515)*(E4516=E$1:E4515)))))</f>
        <v> </v>
      </c>
      <c r="L4516" s="26"/>
    </row>
    <row r="4517" spans="1:12">
      <c r="A4517" s="20" t="s">
        <v>1308</v>
      </c>
      <c r="E4517" s="21">
        <f>IF(D4517="?OLD","!!!","")</f>
        <v/>
      </c>
      <c r="F4517" s="22" t="str">
        <f>IF(OR(E4517="",E4517="!!!"),"",IF(NOT(ISNA(VLOOKUP(E4517,E$1:E4516,1,FALSE()))),"OLD",IF(AND(E4517&lt;&gt;"",E4517&lt;&gt;"!!!"),"NEW","")))</f>
        <v> </v>
      </c>
      <c r="G4517" s="23" t="str">
        <f>IF(OR(E4517="",E4517="!!!"),"",IF(OR(J4517=0,AND(J4517=1,K4517=1),AND(J4517=1,I4517="SBJ"),AND(J4517=1,I4517=0)),"?IN_FOCUS",IF(J4517&lt;=2,"?ACTIVATED",IF(J4517&lt;&gt;"","?FAMILIAR",IF(F4517="NEW",IF(ISNA(VLOOKUP(E4517,#REF!,1,FALSE())),"?TYPE_IDENTIFIABLE","?REFERENTIAL"),"_")))))</f>
        <v> </v>
      </c>
      <c r="H4517" s="24" t="str">
        <f>IF(J4517&lt;&gt;1,"",IF(I4517="SBJ","CB","?"))</f>
        <v> </v>
      </c>
      <c r="I4517" s="25" t="str">
        <f>IF(OR(E4517="",E4517="!!!",F4517="NEW"),"",INDEX(B4516:B$2,-1+SUMPRODUCT(MAX(ROW(E4516:E$2)*(E4517=E4516:E$2)))))</f>
        <v> </v>
      </c>
      <c r="J4517" s="25" t="str">
        <f>IF(OR(E4517="",E4517="!!!",F4517="NEW"),"",COUNTBLANK(OFFSET(A$1,,,SUMPRODUCT(MAX(ROW(E$2:E4517)*(E4517=E$2:E4517)))))-COUNTBLANK(OFFSET(A$1,,,SUMPRODUCT(MAX(ROW(E$1:E4516)*(E2=E$1:E4516))))))</f>
        <v> </v>
      </c>
      <c r="K4517" s="25" t="str">
        <f>IF(OR(E4517="",E4517="!!!",F4517="NEW"),"",INDEX(J$1:J4516,SUMPRODUCT(MAX(ROW(E$1:E4516)*(E4517=E$1:E4516)))))</f>
        <v> </v>
      </c>
      <c r="L4517" s="26"/>
    </row>
    <row r="4518" spans="1:12">
      <c r="A4518" s="20" t="s">
        <v>840</v>
      </c>
      <c r="B4518" s="27" t="s">
        <v>733</v>
      </c>
      <c r="C4518" s="27" t="s">
        <v>848</v>
      </c>
      <c r="E4518" s="21">
        <f>IF(D4518="?OLD","!!!","")</f>
        <v/>
      </c>
      <c r="F4518" s="22" t="str">
        <f>IF(OR(E4518="",E4518="!!!"),"",IF(NOT(ISNA(VLOOKUP(E4518,E$1:E4517,1,FALSE()))),"OLD",IF(AND(E4518&lt;&gt;"",E4518&lt;&gt;"!!!"),"NEW","")))</f>
        <v> </v>
      </c>
      <c r="G4518" s="23" t="str">
        <f>IF(OR(E4518="",E4518="!!!"),"",IF(OR(J4518=0,AND(J4518=1,K4518=1),AND(J4518=1,I4518="SBJ"),AND(J4518=1,I4518=0)),"?IN_FOCUS",IF(J4518&lt;=2,"?ACTIVATED",IF(J4518&lt;&gt;"","?FAMILIAR",IF(F4518="NEW",IF(ISNA(VLOOKUP(E4518,#REF!,1,FALSE())),"?TYPE_IDENTIFIABLE","?REFERENTIAL"),"_")))))</f>
        <v> </v>
      </c>
      <c r="H4518" s="24" t="str">
        <f>IF(J4518&lt;&gt;1,"",IF(I4518="SBJ","CB","?"))</f>
        <v> </v>
      </c>
      <c r="I4518" s="25" t="str">
        <f>IF(OR(E4518="",E4518="!!!",F4518="NEW"),"",INDEX(B4517:B$2,-1+SUMPRODUCT(MAX(ROW(E4517:E$2)*(E4518=E4517:E$2)))))</f>
        <v> </v>
      </c>
      <c r="J4518" s="25" t="str">
        <f>IF(OR(E4518="",E4518="!!!",F4518="NEW"),"",COUNTBLANK(OFFSET(A$1,,,SUMPRODUCT(MAX(ROW(E$2:E4518)*(E4518=E$2:E4518)))))-COUNTBLANK(OFFSET(A$1,,,SUMPRODUCT(MAX(ROW(E$1:E4517)*(E2=E$1:E4517))))))</f>
        <v> </v>
      </c>
      <c r="K4518" s="25" t="str">
        <f>IF(OR(E4518="",E4518="!!!",F4518="NEW"),"",INDEX(J$1:J4517,SUMPRODUCT(MAX(ROW(E$1:E4517)*(E4518=E$1:E4517)))))</f>
        <v> </v>
      </c>
      <c r="L4518" s="26"/>
    </row>
    <row r="4519" spans="1:12">
      <c r="A4519" s="20" t="s">
        <v>37</v>
      </c>
      <c r="E4519" s="21">
        <f>IF(D4519="?OLD","!!!","")</f>
        <v/>
      </c>
      <c r="F4519" s="22" t="str">
        <f>IF(OR(E4519="",E4519="!!!"),"",IF(NOT(ISNA(VLOOKUP(E4519,E$1:E4518,1,FALSE()))),"OLD",IF(AND(E4519&lt;&gt;"",E4519&lt;&gt;"!!!"),"NEW","")))</f>
        <v> </v>
      </c>
      <c r="G4519" s="23" t="str">
        <f>IF(OR(E4519="",E4519="!!!"),"",IF(OR(J4519=0,AND(J4519=1,K4519=1),AND(J4519=1,I4519="SBJ"),AND(J4519=1,I4519=0)),"?IN_FOCUS",IF(J4519&lt;=2,"?ACTIVATED",IF(J4519&lt;&gt;"","?FAMILIAR",IF(F4519="NEW",IF(ISNA(VLOOKUP(E4519,#REF!,1,FALSE())),"?TYPE_IDENTIFIABLE","?REFERENTIAL"),"_")))))</f>
        <v> </v>
      </c>
      <c r="H4519" s="24" t="str">
        <f>IF(J4519&lt;&gt;1,"",IF(I4519="SBJ","CB","?"))</f>
        <v> </v>
      </c>
      <c r="I4519" s="25" t="str">
        <f>IF(OR(E4519="",E4519="!!!",F4519="NEW"),"",INDEX(B4518:B$2,-1+SUMPRODUCT(MAX(ROW(E4518:E$2)*(E4519=E4518:E$2)))))</f>
        <v> </v>
      </c>
      <c r="J4519" s="25" t="str">
        <f>IF(OR(E4519="",E4519="!!!",F4519="NEW"),"",COUNTBLANK(OFFSET(A$1,,,SUMPRODUCT(MAX(ROW(E$2:E4519)*(E4519=E$2:E4519)))))-COUNTBLANK(OFFSET(A$1,,,SUMPRODUCT(MAX(ROW(E$1:E4518)*(E2=E$1:E4518))))))</f>
        <v> </v>
      </c>
      <c r="K4519" s="25" t="str">
        <f>IF(OR(E4519="",E4519="!!!",F4519="NEW"),"",INDEX(J$1:J4518,SUMPRODUCT(MAX(ROW(E$1:E4518)*(E4519=E$1:E4518)))))</f>
        <v> </v>
      </c>
      <c r="L4519" s="26"/>
    </row>
    <row r="4520" spans="1:12">
      <c r="A4520" s="20" t="s">
        <v>1772</v>
      </c>
      <c r="E4520" s="21">
        <f>IF(D4520="?OLD","!!!","")</f>
        <v/>
      </c>
      <c r="F4520" s="22" t="str">
        <f>IF(OR(E4520="",E4520="!!!"),"",IF(NOT(ISNA(VLOOKUP(E4520,E$1:E4519,1,FALSE()))),"OLD",IF(AND(E4520&lt;&gt;"",E4520&lt;&gt;"!!!"),"NEW","")))</f>
        <v> </v>
      </c>
      <c r="G4520" s="23" t="str">
        <f>IF(OR(E4520="",E4520="!!!"),"",IF(OR(J4520=0,AND(J4520=1,K4520=1),AND(J4520=1,I4520="SBJ"),AND(J4520=1,I4520=0)),"?IN_FOCUS",IF(J4520&lt;=2,"?ACTIVATED",IF(J4520&lt;&gt;"","?FAMILIAR",IF(F4520="NEW",IF(ISNA(VLOOKUP(E4520,#REF!,1,FALSE())),"?TYPE_IDENTIFIABLE","?REFERENTIAL"),"_")))))</f>
        <v> </v>
      </c>
      <c r="H4520" s="24" t="str">
        <f>IF(J4520&lt;&gt;1,"",IF(I4520="SBJ","CB","?"))</f>
        <v> </v>
      </c>
      <c r="I4520" s="25" t="str">
        <f>IF(OR(E4520="",E4520="!!!",F4520="NEW"),"",INDEX(B4519:B$2,-1+SUMPRODUCT(MAX(ROW(E4519:E$2)*(E4520=E4519:E$2)))))</f>
        <v> </v>
      </c>
      <c r="J4520" s="25" t="str">
        <f>IF(OR(E4520="",E4520="!!!",F4520="NEW"),"",COUNTBLANK(OFFSET(A$1,,,SUMPRODUCT(MAX(ROW(E$2:E4520)*(E4520=E$2:E4520)))))-COUNTBLANK(OFFSET(A$1,,,SUMPRODUCT(MAX(ROW(E$1:E4519)*(E2=E$1:E4519))))))</f>
        <v> </v>
      </c>
      <c r="K4520" s="25" t="str">
        <f>IF(OR(E4520="",E4520="!!!",F4520="NEW"),"",INDEX(J$1:J4519,SUMPRODUCT(MAX(ROW(E$1:E4519)*(E4520=E$1:E4519)))))</f>
        <v> </v>
      </c>
      <c r="L4520" s="26"/>
    </row>
    <row r="4521" spans="1:12">
      <c r="A4521" s="20" t="s">
        <v>753</v>
      </c>
      <c r="E4521" s="21">
        <f>IF(D4521="?OLD","!!!","")</f>
        <v/>
      </c>
      <c r="F4521" s="22" t="str">
        <f>IF(OR(E4521="",E4521="!!!"),"",IF(NOT(ISNA(VLOOKUP(E4521,E$1:E4520,1,FALSE()))),"OLD",IF(AND(E4521&lt;&gt;"",E4521&lt;&gt;"!!!"),"NEW","")))</f>
        <v> </v>
      </c>
      <c r="G4521" s="23" t="str">
        <f>IF(OR(E4521="",E4521="!!!"),"",IF(OR(J4521=0,AND(J4521=1,K4521=1),AND(J4521=1,I4521="SBJ"),AND(J4521=1,I4521=0)),"?IN_FOCUS",IF(J4521&lt;=2,"?ACTIVATED",IF(J4521&lt;&gt;"","?FAMILIAR",IF(F4521="NEW",IF(ISNA(VLOOKUP(E4521,#REF!,1,FALSE())),"?TYPE_IDENTIFIABLE","?REFERENTIAL"),"_")))))</f>
        <v> </v>
      </c>
      <c r="H4521" s="24" t="str">
        <f>IF(J4521&lt;&gt;1,"",IF(I4521="SBJ","CB","?"))</f>
        <v> </v>
      </c>
      <c r="I4521" s="25" t="str">
        <f>IF(OR(E4521="",E4521="!!!",F4521="NEW"),"",INDEX(B4520:B$2,-1+SUMPRODUCT(MAX(ROW(E4520:E$2)*(E4521=E4520:E$2)))))</f>
        <v> </v>
      </c>
      <c r="J4521" s="25" t="str">
        <f>IF(OR(E4521="",E4521="!!!",F4521="NEW"),"",COUNTBLANK(OFFSET(A$1,,,SUMPRODUCT(MAX(ROW(E$2:E4521)*(E4521=E$2:E4521)))))-COUNTBLANK(OFFSET(A$1,,,SUMPRODUCT(MAX(ROW(E$1:E4520)*(E2=E$1:E4520))))))</f>
        <v> </v>
      </c>
      <c r="K4521" s="25" t="str">
        <f>IF(OR(E4521="",E4521="!!!",F4521="NEW"),"",INDEX(J$1:J4520,SUMPRODUCT(MAX(ROW(E$1:E4520)*(E4521=E$1:E4520)))))</f>
        <v> </v>
      </c>
      <c r="L4521" s="26"/>
    </row>
    <row r="4522" spans="1:12">
      <c r="A4522" s="20" t="s">
        <v>788</v>
      </c>
      <c r="E4522" s="21">
        <f>IF(D4522="?OLD","!!!","")</f>
        <v/>
      </c>
      <c r="F4522" s="22" t="str">
        <f>IF(OR(E4522="",E4522="!!!"),"",IF(NOT(ISNA(VLOOKUP(E4522,E$1:E4521,1,FALSE()))),"OLD",IF(AND(E4522&lt;&gt;"",E4522&lt;&gt;"!!!"),"NEW","")))</f>
        <v> </v>
      </c>
      <c r="G4522" s="23" t="str">
        <f>IF(OR(E4522="",E4522="!!!"),"",IF(OR(J4522=0,AND(J4522=1,K4522=1),AND(J4522=1,I4522="SBJ"),AND(J4522=1,I4522=0)),"?IN_FOCUS",IF(J4522&lt;=2,"?ACTIVATED",IF(J4522&lt;&gt;"","?FAMILIAR",IF(F4522="NEW",IF(ISNA(VLOOKUP(E4522,#REF!,1,FALSE())),"?TYPE_IDENTIFIABLE","?REFERENTIAL"),"_")))))</f>
        <v> </v>
      </c>
      <c r="H4522" s="24" t="str">
        <f>IF(J4522&lt;&gt;1,"",IF(I4522="SBJ","CB","?"))</f>
        <v> </v>
      </c>
      <c r="I4522" s="25" t="str">
        <f>IF(OR(E4522="",E4522="!!!",F4522="NEW"),"",INDEX(B4521:B$2,-1+SUMPRODUCT(MAX(ROW(E4521:E$2)*(E4522=E4521:E$2)))))</f>
        <v> </v>
      </c>
      <c r="J4522" s="25" t="str">
        <f>IF(OR(E4522="",E4522="!!!",F4522="NEW"),"",COUNTBLANK(OFFSET(A$1,,,SUMPRODUCT(MAX(ROW(E$2:E4522)*(E4522=E$2:E4522)))))-COUNTBLANK(OFFSET(A$1,,,SUMPRODUCT(MAX(ROW(E$1:E4521)*(E2=E$1:E4521))))))</f>
        <v> </v>
      </c>
      <c r="K4522" s="25" t="str">
        <f>IF(OR(E4522="",E4522="!!!",F4522="NEW"),"",INDEX(J$1:J4521,SUMPRODUCT(MAX(ROW(E$1:E4521)*(E4522=E$1:E4521)))))</f>
        <v> </v>
      </c>
      <c r="L4522" s="26"/>
    </row>
    <row r="4523" spans="1:12">
      <c r="A4523" s="20" t="s">
        <v>941</v>
      </c>
      <c r="E4523" s="21">
        <f>IF(D4523="?OLD","!!!","")</f>
        <v/>
      </c>
      <c r="F4523" s="22" t="str">
        <f>IF(OR(E4523="",E4523="!!!"),"",IF(NOT(ISNA(VLOOKUP(E4523,E$1:E4522,1,FALSE()))),"OLD",IF(AND(E4523&lt;&gt;"",E4523&lt;&gt;"!!!"),"NEW","")))</f>
        <v> </v>
      </c>
      <c r="G4523" s="23" t="str">
        <f>IF(OR(E4523="",E4523="!!!"),"",IF(OR(J4523=0,AND(J4523=1,K4523=1),AND(J4523=1,I4523="SBJ"),AND(J4523=1,I4523=0)),"?IN_FOCUS",IF(J4523&lt;=2,"?ACTIVATED",IF(J4523&lt;&gt;"","?FAMILIAR",IF(F4523="NEW",IF(ISNA(VLOOKUP(E4523,#REF!,1,FALSE())),"?TYPE_IDENTIFIABLE","?REFERENTIAL"),"_")))))</f>
        <v> </v>
      </c>
      <c r="H4523" s="24" t="str">
        <f>IF(J4523&lt;&gt;1,"",IF(I4523="SBJ","CB","?"))</f>
        <v> </v>
      </c>
      <c r="I4523" s="25" t="str">
        <f>IF(OR(E4523="",E4523="!!!",F4523="NEW"),"",INDEX(B4522:B$2,-1+SUMPRODUCT(MAX(ROW(E4522:E$2)*(E4523=E4522:E$2)))))</f>
        <v> </v>
      </c>
      <c r="J4523" s="25" t="str">
        <f>IF(OR(E4523="",E4523="!!!",F4523="NEW"),"",COUNTBLANK(OFFSET(A$1,,,SUMPRODUCT(MAX(ROW(E$2:E4523)*(E4523=E$2:E4523)))))-COUNTBLANK(OFFSET(A$1,,,SUMPRODUCT(MAX(ROW(E$1:E4522)*(E2=E$1:E4522))))))</f>
        <v> </v>
      </c>
      <c r="K4523" s="25" t="str">
        <f>IF(OR(E4523="",E4523="!!!",F4523="NEW"),"",INDEX(J$1:J4522,SUMPRODUCT(MAX(ROW(E$1:E4522)*(E4523=E$1:E4522)))))</f>
        <v> </v>
      </c>
      <c r="L4523" s="26"/>
    </row>
    <row r="4524" spans="1:12">
      <c r="A4524" s="20" t="s">
        <v>774</v>
      </c>
      <c r="B4524" s="27" t="s">
        <v>771</v>
      </c>
      <c r="C4524" s="27" t="s">
        <v>775</v>
      </c>
      <c r="D4524" s="27" t="s">
        <v>740</v>
      </c>
      <c r="E4524" s="21">
        <f>IF(D4524="?OLD","!!!","")</f>
        <v/>
      </c>
      <c r="F4524" s="22" t="str">
        <f>IF(OR(E4524="",E4524="!!!"),"",IF(NOT(ISNA(VLOOKUP(E4524,E$1:E4523,1,FALSE()))),"OLD",IF(AND(E4524&lt;&gt;"",E4524&lt;&gt;"!!!"),"NEW","")))</f>
        <v> </v>
      </c>
      <c r="G4524" s="23" t="str">
        <f>IF(OR(E4524="",E4524="!!!"),"",IF(OR(J4524=0,AND(J4524=1,K4524=1),AND(J4524=1,I4524="SBJ"),AND(J4524=1,I4524=0)),"?IN_FOCUS",IF(J4524&lt;=2,"?ACTIVATED",IF(J4524&lt;&gt;"","?FAMILIAR",IF(F4524="NEW",IF(ISNA(VLOOKUP(E4524,#REF!,1,FALSE())),"?TYPE_IDENTIFIABLE","?REFERENTIAL"),"_")))))</f>
        <v> </v>
      </c>
      <c r="H4524" s="24" t="str">
        <f>IF(J4524&lt;&gt;1,"",IF(I4524="SBJ","CB","?"))</f>
        <v> </v>
      </c>
      <c r="I4524" s="25" t="str">
        <f>IF(OR(E4524="",E4524="!!!",F4524="NEW"),"",INDEX(B4523:B$2,-1+SUMPRODUCT(MAX(ROW(E4523:E$2)*(E4524=E4523:E$2)))))</f>
        <v> </v>
      </c>
      <c r="J4524" s="25" t="str">
        <f>IF(OR(E4524="",E4524="!!!",F4524="NEW"),"",COUNTBLANK(OFFSET(A$1,,,SUMPRODUCT(MAX(ROW(E$2:E4524)*(E4524=E$2:E4524)))))-COUNTBLANK(OFFSET(A$1,,,SUMPRODUCT(MAX(ROW(E$1:E4523)*(E2=E$1:E4523))))))</f>
        <v> </v>
      </c>
      <c r="K4524" s="25" t="str">
        <f>IF(OR(E4524="",E4524="!!!",F4524="NEW"),"",INDEX(J$1:J4523,SUMPRODUCT(MAX(ROW(E$1:E4523)*(E4524=E$1:E4523)))))</f>
        <v> </v>
      </c>
      <c r="L4524" s="26"/>
    </row>
    <row r="4525" spans="1:12">
      <c r="A4525" s="20" t="s">
        <v>1249</v>
      </c>
      <c r="E4525" s="21">
        <f>IF(D4525="?OLD","!!!","")</f>
        <v/>
      </c>
      <c r="F4525" s="22" t="str">
        <f>IF(OR(E4525="",E4525="!!!"),"",IF(NOT(ISNA(VLOOKUP(E4525,E$1:E4524,1,FALSE()))),"OLD",IF(AND(E4525&lt;&gt;"",E4525&lt;&gt;"!!!"),"NEW","")))</f>
        <v> </v>
      </c>
      <c r="G4525" s="23" t="str">
        <f>IF(OR(E4525="",E4525="!!!"),"",IF(OR(J4525=0,AND(J4525=1,K4525=1),AND(J4525=1,I4525="SBJ"),AND(J4525=1,I4525=0)),"?IN_FOCUS",IF(J4525&lt;=2,"?ACTIVATED",IF(J4525&lt;&gt;"","?FAMILIAR",IF(F4525="NEW",IF(ISNA(VLOOKUP(E4525,#REF!,1,FALSE())),"?TYPE_IDENTIFIABLE","?REFERENTIAL"),"_")))))</f>
        <v> </v>
      </c>
      <c r="H4525" s="24" t="str">
        <f>IF(J4525&lt;&gt;1,"",IF(I4525="SBJ","CB","?"))</f>
        <v> </v>
      </c>
      <c r="I4525" s="25" t="str">
        <f>IF(OR(E4525="",E4525="!!!",F4525="NEW"),"",INDEX(B4524:B$2,-1+SUMPRODUCT(MAX(ROW(E4524:E$2)*(E4525=E4524:E$2)))))</f>
        <v> </v>
      </c>
      <c r="J4525" s="25" t="str">
        <f>IF(OR(E4525="",E4525="!!!",F4525="NEW"),"",COUNTBLANK(OFFSET(A$1,,,SUMPRODUCT(MAX(ROW(E$2:E4525)*(E4525=E$2:E4525)))))-COUNTBLANK(OFFSET(A$1,,,SUMPRODUCT(MAX(ROW(E$1:E4524)*(E2=E$1:E4524))))))</f>
        <v> </v>
      </c>
      <c r="K4525" s="25" t="str">
        <f>IF(OR(E4525="",E4525="!!!",F4525="NEW"),"",INDEX(J$1:J4524,SUMPRODUCT(MAX(ROW(E$1:E4524)*(E4525=E$1:E4524)))))</f>
        <v> </v>
      </c>
      <c r="L4525" s="26"/>
    </row>
    <row r="4526" spans="1:12">
      <c r="A4526" s="20" t="s">
        <v>840</v>
      </c>
      <c r="B4526" s="27" t="s">
        <v>779</v>
      </c>
      <c r="C4526" s="27" t="s">
        <v>848</v>
      </c>
      <c r="E4526" s="21">
        <f>IF(D4526="?OLD","!!!","")</f>
        <v/>
      </c>
      <c r="F4526" s="22" t="str">
        <f>IF(OR(E4526="",E4526="!!!"),"",IF(NOT(ISNA(VLOOKUP(E4526,E$1:E4525,1,FALSE()))),"OLD",IF(AND(E4526&lt;&gt;"",E4526&lt;&gt;"!!!"),"NEW","")))</f>
        <v> </v>
      </c>
      <c r="G4526" s="23" t="str">
        <f>IF(OR(E4526="",E4526="!!!"),"",IF(OR(J4526=0,AND(J4526=1,K4526=1),AND(J4526=1,I4526="SBJ"),AND(J4526=1,I4526=0)),"?IN_FOCUS",IF(J4526&lt;=2,"?ACTIVATED",IF(J4526&lt;&gt;"","?FAMILIAR",IF(F4526="NEW",IF(ISNA(VLOOKUP(E4526,#REF!,1,FALSE())),"?TYPE_IDENTIFIABLE","?REFERENTIAL"),"_")))))</f>
        <v> </v>
      </c>
      <c r="H4526" s="24" t="str">
        <f>IF(J4526&lt;&gt;1,"",IF(I4526="SBJ","CB","?"))</f>
        <v> </v>
      </c>
      <c r="I4526" s="25" t="str">
        <f>IF(OR(E4526="",E4526="!!!",F4526="NEW"),"",INDEX(B4525:B$2,-1+SUMPRODUCT(MAX(ROW(E4525:E$2)*(E4526=E4525:E$2)))))</f>
        <v> </v>
      </c>
      <c r="J4526" s="25" t="str">
        <f>IF(OR(E4526="",E4526="!!!",F4526="NEW"),"",COUNTBLANK(OFFSET(A$1,,,SUMPRODUCT(MAX(ROW(E$2:E4526)*(E4526=E$2:E4526)))))-COUNTBLANK(OFFSET(A$1,,,SUMPRODUCT(MAX(ROW(E$1:E4525)*(E2=E$1:E4525))))))</f>
        <v> </v>
      </c>
      <c r="K4526" s="25" t="str">
        <f>IF(OR(E4526="",E4526="!!!",F4526="NEW"),"",INDEX(J$1:J4525,SUMPRODUCT(MAX(ROW(E$1:E4525)*(E4526=E$1:E4525)))))</f>
        <v> </v>
      </c>
      <c r="L4526" s="26"/>
    </row>
    <row r="4527" spans="1:12">
      <c r="A4527" s="20" t="s">
        <v>2038</v>
      </c>
      <c r="E4527" s="21">
        <f>IF(D4527="?OLD","!!!","")</f>
        <v/>
      </c>
      <c r="F4527" s="22" t="str">
        <f>IF(OR(E4527="",E4527="!!!"),"",IF(NOT(ISNA(VLOOKUP(E4527,E$1:E4526,1,FALSE()))),"OLD",IF(AND(E4527&lt;&gt;"",E4527&lt;&gt;"!!!"),"NEW","")))</f>
        <v> </v>
      </c>
      <c r="G4527" s="23" t="str">
        <f>IF(OR(E4527="",E4527="!!!"),"",IF(OR(J4527=0,AND(J4527=1,K4527=1),AND(J4527=1,I4527="SBJ"),AND(J4527=1,I4527=0)),"?IN_FOCUS",IF(J4527&lt;=2,"?ACTIVATED",IF(J4527&lt;&gt;"","?FAMILIAR",IF(F4527="NEW",IF(ISNA(VLOOKUP(E4527,#REF!,1,FALSE())),"?TYPE_IDENTIFIABLE","?REFERENTIAL"),"_")))))</f>
        <v> </v>
      </c>
      <c r="H4527" s="24" t="str">
        <f>IF(J4527&lt;&gt;1,"",IF(I4527="SBJ","CB","?"))</f>
        <v> </v>
      </c>
      <c r="I4527" s="25" t="str">
        <f>IF(OR(E4527="",E4527="!!!",F4527="NEW"),"",INDEX(B4526:B$2,-1+SUMPRODUCT(MAX(ROW(E4526:E$2)*(E4527=E4526:E$2)))))</f>
        <v> </v>
      </c>
      <c r="J4527" s="25" t="str">
        <f>IF(OR(E4527="",E4527="!!!",F4527="NEW"),"",COUNTBLANK(OFFSET(A$1,,,SUMPRODUCT(MAX(ROW(E$2:E4527)*(E4527=E$2:E4527)))))-COUNTBLANK(OFFSET(A$1,,,SUMPRODUCT(MAX(ROW(E$1:E4526)*(E2=E$1:E4526))))))</f>
        <v> </v>
      </c>
      <c r="K4527" s="25" t="str">
        <f>IF(OR(E4527="",E4527="!!!",F4527="NEW"),"",INDEX(J$1:J4526,SUMPRODUCT(MAX(ROW(E$1:E4526)*(E4527=E$1:E4526)))))</f>
        <v> </v>
      </c>
      <c r="L4527" s="26"/>
    </row>
    <row r="4528" spans="1:12">
      <c r="A4528" s="20" t="s">
        <v>753</v>
      </c>
      <c r="E4528" s="21">
        <f>IF(D4528="?OLD","!!!","")</f>
        <v/>
      </c>
      <c r="F4528" s="22" t="str">
        <f>IF(OR(E4528="",E4528="!!!"),"",IF(NOT(ISNA(VLOOKUP(E4528,E$1:E4527,1,FALSE()))),"OLD",IF(AND(E4528&lt;&gt;"",E4528&lt;&gt;"!!!"),"NEW","")))</f>
        <v> </v>
      </c>
      <c r="G4528" s="23" t="str">
        <f>IF(OR(E4528="",E4528="!!!"),"",IF(OR(J4528=0,AND(J4528=1,K4528=1),AND(J4528=1,I4528="SBJ"),AND(J4528=1,I4528=0)),"?IN_FOCUS",IF(J4528&lt;=2,"?ACTIVATED",IF(J4528&lt;&gt;"","?FAMILIAR",IF(F4528="NEW",IF(ISNA(VLOOKUP(E4528,#REF!,1,FALSE())),"?TYPE_IDENTIFIABLE","?REFERENTIAL"),"_")))))</f>
        <v> </v>
      </c>
      <c r="H4528" s="24" t="str">
        <f>IF(J4528&lt;&gt;1,"",IF(I4528="SBJ","CB","?"))</f>
        <v> </v>
      </c>
      <c r="I4528" s="25" t="str">
        <f>IF(OR(E4528="",E4528="!!!",F4528="NEW"),"",INDEX(B4527:B$2,-1+SUMPRODUCT(MAX(ROW(E4527:E$2)*(E4528=E4527:E$2)))))</f>
        <v> </v>
      </c>
      <c r="J4528" s="25" t="str">
        <f>IF(OR(E4528="",E4528="!!!",F4528="NEW"),"",COUNTBLANK(OFFSET(A$1,,,SUMPRODUCT(MAX(ROW(E$2:E4528)*(E4528=E$2:E4528)))))-COUNTBLANK(OFFSET(A$1,,,SUMPRODUCT(MAX(ROW(E$1:E4527)*(E2=E$1:E4527))))))</f>
        <v> </v>
      </c>
      <c r="K4528" s="25" t="str">
        <f>IF(OR(E4528="",E4528="!!!",F4528="NEW"),"",INDEX(J$1:J4527,SUMPRODUCT(MAX(ROW(E$1:E4527)*(E4528=E$1:E4527)))))</f>
        <v> </v>
      </c>
      <c r="L4528" s="26"/>
    </row>
    <row r="4529" spans="1:12">
      <c r="A4529" s="20" t="s">
        <v>1772</v>
      </c>
      <c r="E4529" s="21">
        <f>IF(D4529="?OLD","!!!","")</f>
        <v/>
      </c>
      <c r="F4529" s="22" t="str">
        <f>IF(OR(E4529="",E4529="!!!"),"",IF(NOT(ISNA(VLOOKUP(E4529,E$1:E4528,1,FALSE()))),"OLD",IF(AND(E4529&lt;&gt;"",E4529&lt;&gt;"!!!"),"NEW","")))</f>
        <v> </v>
      </c>
      <c r="G4529" s="23" t="str">
        <f>IF(OR(E4529="",E4529="!!!"),"",IF(OR(J4529=0,AND(J4529=1,K4529=1),AND(J4529=1,I4529="SBJ"),AND(J4529=1,I4529=0)),"?IN_FOCUS",IF(J4529&lt;=2,"?ACTIVATED",IF(J4529&lt;&gt;"","?FAMILIAR",IF(F4529="NEW",IF(ISNA(VLOOKUP(E4529,#REF!,1,FALSE())),"?TYPE_IDENTIFIABLE","?REFERENTIAL"),"_")))))</f>
        <v> </v>
      </c>
      <c r="H4529" s="24" t="str">
        <f>IF(J4529&lt;&gt;1,"",IF(I4529="SBJ","CB","?"))</f>
        <v> </v>
      </c>
      <c r="I4529" s="25" t="str">
        <f>IF(OR(E4529="",E4529="!!!",F4529="NEW"),"",INDEX(B4528:B$2,-1+SUMPRODUCT(MAX(ROW(E4528:E$2)*(E4529=E4528:E$2)))))</f>
        <v> </v>
      </c>
      <c r="J4529" s="25" t="str">
        <f>IF(OR(E4529="",E4529="!!!",F4529="NEW"),"",COUNTBLANK(OFFSET(A$1,,,SUMPRODUCT(MAX(ROW(E$2:E4529)*(E4529=E$2:E4529)))))-COUNTBLANK(OFFSET(A$1,,,SUMPRODUCT(MAX(ROW(E$1:E4528)*(E2=E$1:E4528))))))</f>
        <v> </v>
      </c>
      <c r="K4529" s="25" t="str">
        <f>IF(OR(E4529="",E4529="!!!",F4529="NEW"),"",INDEX(J$1:J4528,SUMPRODUCT(MAX(ROW(E$1:E4528)*(E4529=E$1:E4528)))))</f>
        <v> </v>
      </c>
      <c r="L4529" s="26"/>
    </row>
    <row r="4530" spans="1:12">
      <c r="A4530" s="20" t="s">
        <v>774</v>
      </c>
      <c r="B4530" s="27" t="s">
        <v>771</v>
      </c>
      <c r="C4530" s="27" t="s">
        <v>775</v>
      </c>
      <c r="D4530" s="27" t="s">
        <v>740</v>
      </c>
      <c r="E4530" s="21">
        <f>IF(D4530="?OLD","!!!","")</f>
        <v/>
      </c>
      <c r="F4530" s="22" t="str">
        <f>IF(OR(E4530="",E4530="!!!"),"",IF(NOT(ISNA(VLOOKUP(E4530,E$1:E4529,1,FALSE()))),"OLD",IF(AND(E4530&lt;&gt;"",E4530&lt;&gt;"!!!"),"NEW","")))</f>
        <v> </v>
      </c>
      <c r="G4530" s="23" t="str">
        <f>IF(OR(E4530="",E4530="!!!"),"",IF(OR(J4530=0,AND(J4530=1,K4530=1),AND(J4530=1,I4530="SBJ"),AND(J4530=1,I4530=0)),"?IN_FOCUS",IF(J4530&lt;=2,"?ACTIVATED",IF(J4530&lt;&gt;"","?FAMILIAR",IF(F4530="NEW",IF(ISNA(VLOOKUP(E4530,#REF!,1,FALSE())),"?TYPE_IDENTIFIABLE","?REFERENTIAL"),"_")))))</f>
        <v> </v>
      </c>
      <c r="H4530" s="24" t="str">
        <f>IF(J4530&lt;&gt;1,"",IF(I4530="SBJ","CB","?"))</f>
        <v> </v>
      </c>
      <c r="I4530" s="25" t="str">
        <f>IF(OR(E4530="",E4530="!!!",F4530="NEW"),"",INDEX(B4529:B$2,-1+SUMPRODUCT(MAX(ROW(E4529:E$2)*(E4530=E4529:E$2)))))</f>
        <v> </v>
      </c>
      <c r="J4530" s="25" t="str">
        <f>IF(OR(E4530="",E4530="!!!",F4530="NEW"),"",COUNTBLANK(OFFSET(A$1,,,SUMPRODUCT(MAX(ROW(E$2:E4530)*(E4530=E$2:E4530)))))-COUNTBLANK(OFFSET(A$1,,,SUMPRODUCT(MAX(ROW(E$1:E4529)*(E2=E$1:E4529))))))</f>
        <v> </v>
      </c>
      <c r="K4530" s="25" t="str">
        <f>IF(OR(E4530="",E4530="!!!",F4530="NEW"),"",INDEX(J$1:J4529,SUMPRODUCT(MAX(ROW(E$1:E4529)*(E4530=E$1:E4529)))))</f>
        <v> </v>
      </c>
      <c r="L4530" s="26"/>
    </row>
    <row r="4531" spans="1:12">
      <c r="A4531" s="20" t="s">
        <v>905</v>
      </c>
      <c r="E4531" s="21">
        <f>IF(D4531="?OLD","!!!","")</f>
        <v/>
      </c>
      <c r="F4531" s="22" t="str">
        <f>IF(OR(E4531="",E4531="!!!"),"",IF(NOT(ISNA(VLOOKUP(E4531,E$1:E4530,1,FALSE()))),"OLD",IF(AND(E4531&lt;&gt;"",E4531&lt;&gt;"!!!"),"NEW","")))</f>
        <v> </v>
      </c>
      <c r="G4531" s="23" t="str">
        <f>IF(OR(E4531="",E4531="!!!"),"",IF(OR(J4531=0,AND(J4531=1,K4531=1),AND(J4531=1,I4531="SBJ"),AND(J4531=1,I4531=0)),"?IN_FOCUS",IF(J4531&lt;=2,"?ACTIVATED",IF(J4531&lt;&gt;"","?FAMILIAR",IF(F4531="NEW",IF(ISNA(VLOOKUP(E4531,#REF!,1,FALSE())),"?TYPE_IDENTIFIABLE","?REFERENTIAL"),"_")))))</f>
        <v> </v>
      </c>
      <c r="H4531" s="24" t="str">
        <f>IF(J4531&lt;&gt;1,"",IF(I4531="SBJ","CB","?"))</f>
        <v> </v>
      </c>
      <c r="I4531" s="25" t="str">
        <f>IF(OR(E4531="",E4531="!!!",F4531="NEW"),"",INDEX(B4530:B$2,-1+SUMPRODUCT(MAX(ROW(E4530:E$2)*(E4531=E4530:E$2)))))</f>
        <v> </v>
      </c>
      <c r="J4531" s="25" t="str">
        <f>IF(OR(E4531="",E4531="!!!",F4531="NEW"),"",COUNTBLANK(OFFSET(A$1,,,SUMPRODUCT(MAX(ROW(E$2:E4531)*(E4531=E$2:E4531)))))-COUNTBLANK(OFFSET(A$1,,,SUMPRODUCT(MAX(ROW(E$1:E4530)*(E2=E$1:E4530))))))</f>
        <v> </v>
      </c>
      <c r="K4531" s="25" t="str">
        <f>IF(OR(E4531="",E4531="!!!",F4531="NEW"),"",INDEX(J$1:J4530,SUMPRODUCT(MAX(ROW(E$1:E4530)*(E4531=E$1:E4530)))))</f>
        <v> </v>
      </c>
      <c r="L4531" s="26"/>
    </row>
    <row r="4532" spans="1:12">
      <c r="A4532" s="20" t="s">
        <v>765</v>
      </c>
      <c r="B4532" s="27" t="s">
        <v>733</v>
      </c>
      <c r="C4532" s="27" t="s">
        <v>772</v>
      </c>
      <c r="E4532" s="21">
        <f>IF(D4532="?OLD","!!!","")</f>
        <v/>
      </c>
      <c r="F4532" s="22" t="str">
        <f>IF(OR(E4532="",E4532="!!!"),"",IF(NOT(ISNA(VLOOKUP(E4532,E$1:E4531,1,FALSE()))),"OLD",IF(AND(E4532&lt;&gt;"",E4532&lt;&gt;"!!!"),"NEW","")))</f>
        <v> </v>
      </c>
      <c r="G4532" s="23" t="str">
        <f>IF(OR(E4532="",E4532="!!!"),"",IF(OR(J4532=0,AND(J4532=1,K4532=1),AND(J4532=1,I4532="SBJ"),AND(J4532=1,I4532=0)),"?IN_FOCUS",IF(J4532&lt;=2,"?ACTIVATED",IF(J4532&lt;&gt;"","?FAMILIAR",IF(F4532="NEW",IF(ISNA(VLOOKUP(E4532,#REF!,1,FALSE())),"?TYPE_IDENTIFIABLE","?REFERENTIAL"),"_")))))</f>
        <v> </v>
      </c>
      <c r="H4532" s="24" t="str">
        <f>IF(J4532&lt;&gt;1,"",IF(I4532="SBJ","CB","?"))</f>
        <v> </v>
      </c>
      <c r="I4532" s="25" t="str">
        <f>IF(OR(E4532="",E4532="!!!",F4532="NEW"),"",INDEX(B4531:B$2,-1+SUMPRODUCT(MAX(ROW(E4531:E$2)*(E4532=E4531:E$2)))))</f>
        <v> </v>
      </c>
      <c r="J4532" s="25" t="str">
        <f>IF(OR(E4532="",E4532="!!!",F4532="NEW"),"",COUNTBLANK(OFFSET(A$1,,,SUMPRODUCT(MAX(ROW(E$2:E4532)*(E4532=E$2:E4532)))))-COUNTBLANK(OFFSET(A$1,,,SUMPRODUCT(MAX(ROW(E$1:E4531)*(E2=E$1:E4531))))))</f>
        <v> </v>
      </c>
      <c r="K4532" s="25" t="str">
        <f>IF(OR(E4532="",E4532="!!!",F4532="NEW"),"",INDEX(J$1:J4531,SUMPRODUCT(MAX(ROW(E$1:E4531)*(E4532=E$1:E4531)))))</f>
        <v> </v>
      </c>
      <c r="L4532" s="26"/>
    </row>
    <row r="4533" spans="1:12">
      <c r="A4533" s="20" t="s">
        <v>846</v>
      </c>
      <c r="B4533" s="27" t="s">
        <v>733</v>
      </c>
      <c r="C4533" s="27" t="s">
        <v>828</v>
      </c>
      <c r="D4533" s="27" t="s">
        <v>740</v>
      </c>
      <c r="E4533" s="21">
        <f>IF(D4533="?OLD","!!!","")</f>
        <v/>
      </c>
      <c r="F4533" s="22" t="str">
        <f>IF(OR(E4533="",E4533="!!!"),"",IF(NOT(ISNA(VLOOKUP(E4533,E$1:E4532,1,FALSE()))),"OLD",IF(AND(E4533&lt;&gt;"",E4533&lt;&gt;"!!!"),"NEW","")))</f>
        <v> </v>
      </c>
      <c r="G4533" s="23" t="str">
        <f>IF(OR(E4533="",E4533="!!!"),"",IF(OR(J4533=0,AND(J4533=1,K4533=1),AND(J4533=1,I4533="SBJ"),AND(J4533=1,I4533=0)),"?IN_FOCUS",IF(J4533&lt;=2,"?ACTIVATED",IF(J4533&lt;&gt;"","?FAMILIAR",IF(F4533="NEW",IF(ISNA(VLOOKUP(E4533,#REF!,1,FALSE())),"?TYPE_IDENTIFIABLE","?REFERENTIAL"),"_")))))</f>
        <v> </v>
      </c>
      <c r="H4533" s="24" t="str">
        <f>IF(J4533&lt;&gt;1,"",IF(I4533="SBJ","CB","?"))</f>
        <v> </v>
      </c>
      <c r="I4533" s="25" t="str">
        <f>IF(OR(E4533="",E4533="!!!",F4533="NEW"),"",INDEX(B4532:B$2,-1+SUMPRODUCT(MAX(ROW(E4532:E$2)*(E4533=E4532:E$2)))))</f>
        <v> </v>
      </c>
      <c r="J4533" s="25" t="str">
        <f>IF(OR(E4533="",E4533="!!!",F4533="NEW"),"",COUNTBLANK(OFFSET(A$1,,,SUMPRODUCT(MAX(ROW(E$2:E4533)*(E4533=E$2:E4533)))))-COUNTBLANK(OFFSET(A$1,,,SUMPRODUCT(MAX(ROW(E$1:E4532)*(E2=E$1:E4532))))))</f>
        <v> </v>
      </c>
      <c r="K4533" s="25" t="str">
        <f>IF(OR(E4533="",E4533="!!!",F4533="NEW"),"",INDEX(J$1:J4532,SUMPRODUCT(MAX(ROW(E$1:E4532)*(E4533=E$1:E4532)))))</f>
        <v> </v>
      </c>
      <c r="L4533" s="26"/>
    </row>
    <row r="4534" spans="1:12">
      <c r="A4534" s="20" t="s">
        <v>840</v>
      </c>
      <c r="B4534" s="27" t="s">
        <v>728</v>
      </c>
      <c r="C4534" s="27" t="s">
        <v>734</v>
      </c>
      <c r="E4534" s="21">
        <f>IF(D4534="?OLD","!!!","")</f>
        <v/>
      </c>
      <c r="F4534" s="22" t="str">
        <f>IF(OR(E4534="",E4534="!!!"),"",IF(NOT(ISNA(VLOOKUP(E4534,E$1:E4533,1,FALSE()))),"OLD",IF(AND(E4534&lt;&gt;"",E4534&lt;&gt;"!!!"),"NEW","")))</f>
        <v> </v>
      </c>
      <c r="G4534" s="23" t="str">
        <f>IF(OR(E4534="",E4534="!!!"),"",IF(OR(J4534=0,AND(J4534=1,K4534=1),AND(J4534=1,I4534="SBJ"),AND(J4534=1,I4534=0)),"?IN_FOCUS",IF(J4534&lt;=2,"?ACTIVATED",IF(J4534&lt;&gt;"","?FAMILIAR",IF(F4534="NEW",IF(ISNA(VLOOKUP(E4534,#REF!,1,FALSE())),"?TYPE_IDENTIFIABLE","?REFERENTIAL"),"_")))))</f>
        <v> </v>
      </c>
      <c r="H4534" s="24" t="str">
        <f>IF(J4534&lt;&gt;1,"",IF(I4534="SBJ","CB","?"))</f>
        <v> </v>
      </c>
      <c r="I4534" s="25" t="str">
        <f>IF(OR(E4534="",E4534="!!!",F4534="NEW"),"",INDEX(B4533:B$2,-1+SUMPRODUCT(MAX(ROW(E4533:E$2)*(E4534=E4533:E$2)))))</f>
        <v> </v>
      </c>
      <c r="J4534" s="25" t="str">
        <f>IF(OR(E4534="",E4534="!!!",F4534="NEW"),"",COUNTBLANK(OFFSET(A$1,,,SUMPRODUCT(MAX(ROW(E$2:E4534)*(E4534=E$2:E4534)))))-COUNTBLANK(OFFSET(A$1,,,SUMPRODUCT(MAX(ROW(E$1:E4533)*(E2=E$1:E4533))))))</f>
        <v> </v>
      </c>
      <c r="K4534" s="25" t="str">
        <f>IF(OR(E4534="",E4534="!!!",F4534="NEW"),"",INDEX(J$1:J4533,SUMPRODUCT(MAX(ROW(E$1:E4533)*(E4534=E$1:E4533)))))</f>
        <v> </v>
      </c>
      <c r="L4534" s="26"/>
    </row>
    <row r="4535" spans="1:12">
      <c r="A4535" s="20" t="s">
        <v>37</v>
      </c>
      <c r="E4535" s="21">
        <f>IF(D4535="?OLD","!!!","")</f>
        <v/>
      </c>
      <c r="F4535" s="22" t="str">
        <f>IF(OR(E4535="",E4535="!!!"),"",IF(NOT(ISNA(VLOOKUP(E4535,E$1:E4534,1,FALSE()))),"OLD",IF(AND(E4535&lt;&gt;"",E4535&lt;&gt;"!!!"),"NEW","")))</f>
        <v> </v>
      </c>
      <c r="G4535" s="23" t="str">
        <f>IF(OR(E4535="",E4535="!!!"),"",IF(OR(J4535=0,AND(J4535=1,K4535=1),AND(J4535=1,I4535="SBJ"),AND(J4535=1,I4535=0)),"?IN_FOCUS",IF(J4535&lt;=2,"?ACTIVATED",IF(J4535&lt;&gt;"","?FAMILIAR",IF(F4535="NEW",IF(ISNA(VLOOKUP(E4535,#REF!,1,FALSE())),"?TYPE_IDENTIFIABLE","?REFERENTIAL"),"_")))))</f>
        <v> </v>
      </c>
      <c r="H4535" s="24" t="str">
        <f>IF(J4535&lt;&gt;1,"",IF(I4535="SBJ","CB","?"))</f>
        <v> </v>
      </c>
      <c r="I4535" s="25" t="str">
        <f>IF(OR(E4535="",E4535="!!!",F4535="NEW"),"",INDEX(B4534:B$2,-1+SUMPRODUCT(MAX(ROW(E4534:E$2)*(E4535=E4534:E$2)))))</f>
        <v> </v>
      </c>
      <c r="J4535" s="25" t="str">
        <f>IF(OR(E4535="",E4535="!!!",F4535="NEW"),"",COUNTBLANK(OFFSET(A$1,,,SUMPRODUCT(MAX(ROW(E$2:E4535)*(E4535=E$2:E4535)))))-COUNTBLANK(OFFSET(A$1,,,SUMPRODUCT(MAX(ROW(E$1:E4534)*(E2=E$1:E4534))))))</f>
        <v> </v>
      </c>
      <c r="K4535" s="25" t="str">
        <f>IF(OR(E4535="",E4535="!!!",F4535="NEW"),"",INDEX(J$1:J4534,SUMPRODUCT(MAX(ROW(E$1:E4534)*(E4535=E$1:E4534)))))</f>
        <v> </v>
      </c>
      <c r="L4535" s="26"/>
    </row>
    <row r="4536" spans="1:12">
      <c r="A4536" s="20" t="s">
        <v>753</v>
      </c>
      <c r="E4536" s="21">
        <f>IF(D4536="?OLD","!!!","")</f>
        <v/>
      </c>
      <c r="F4536" s="22" t="str">
        <f>IF(OR(E4536="",E4536="!!!"),"",IF(NOT(ISNA(VLOOKUP(E4536,E$1:E4535,1,FALSE()))),"OLD",IF(AND(E4536&lt;&gt;"",E4536&lt;&gt;"!!!"),"NEW","")))</f>
        <v> </v>
      </c>
      <c r="G4536" s="23" t="str">
        <f>IF(OR(E4536="",E4536="!!!"),"",IF(OR(J4536=0,AND(J4536=1,K4536=1),AND(J4536=1,I4536="SBJ"),AND(J4536=1,I4536=0)),"?IN_FOCUS",IF(J4536&lt;=2,"?ACTIVATED",IF(J4536&lt;&gt;"","?FAMILIAR",IF(F4536="NEW",IF(ISNA(VLOOKUP(E4536,#REF!,1,FALSE())),"?TYPE_IDENTIFIABLE","?REFERENTIAL"),"_")))))</f>
        <v> </v>
      </c>
      <c r="H4536" s="24" t="str">
        <f>IF(J4536&lt;&gt;1,"",IF(I4536="SBJ","CB","?"))</f>
        <v> </v>
      </c>
      <c r="I4536" s="25" t="str">
        <f>IF(OR(E4536="",E4536="!!!",F4536="NEW"),"",INDEX(B4535:B$2,-1+SUMPRODUCT(MAX(ROW(E4535:E$2)*(E4536=E4535:E$2)))))</f>
        <v> </v>
      </c>
      <c r="J4536" s="25" t="str">
        <f>IF(OR(E4536="",E4536="!!!",F4536="NEW"),"",COUNTBLANK(OFFSET(A$1,,,SUMPRODUCT(MAX(ROW(E$2:E4536)*(E4536=E$2:E4536)))))-COUNTBLANK(OFFSET(A$1,,,SUMPRODUCT(MAX(ROW(E$1:E4535)*(E2=E$1:E4535))))))</f>
        <v> </v>
      </c>
      <c r="K4536" s="25" t="str">
        <f>IF(OR(E4536="",E4536="!!!",F4536="NEW"),"",INDEX(J$1:J4535,SUMPRODUCT(MAX(ROW(E$1:E4535)*(E4536=E$1:E4535)))))</f>
        <v> </v>
      </c>
      <c r="L4536" s="26"/>
    </row>
    <row r="4537" spans="1:12">
      <c r="A4537" s="20" t="s">
        <v>788</v>
      </c>
      <c r="E4537" s="21">
        <f>IF(D4537="?OLD","!!!","")</f>
        <v/>
      </c>
      <c r="F4537" s="22" t="str">
        <f>IF(OR(E4537="",E4537="!!!"),"",IF(NOT(ISNA(VLOOKUP(E4537,E$1:E4536,1,FALSE()))),"OLD",IF(AND(E4537&lt;&gt;"",E4537&lt;&gt;"!!!"),"NEW","")))</f>
        <v> </v>
      </c>
      <c r="G4537" s="23" t="str">
        <f>IF(OR(E4537="",E4537="!!!"),"",IF(OR(J4537=0,AND(J4537=1,K4537=1),AND(J4537=1,I4537="SBJ"),AND(J4537=1,I4537=0)),"?IN_FOCUS",IF(J4537&lt;=2,"?ACTIVATED",IF(J4537&lt;&gt;"","?FAMILIAR",IF(F4537="NEW",IF(ISNA(VLOOKUP(E4537,#REF!,1,FALSE())),"?TYPE_IDENTIFIABLE","?REFERENTIAL"),"_")))))</f>
        <v> </v>
      </c>
      <c r="H4537" s="24" t="str">
        <f>IF(J4537&lt;&gt;1,"",IF(I4537="SBJ","CB","?"))</f>
        <v> </v>
      </c>
      <c r="I4537" s="25" t="str">
        <f>IF(OR(E4537="",E4537="!!!",F4537="NEW"),"",INDEX(B4536:B$2,-1+SUMPRODUCT(MAX(ROW(E4536:E$2)*(E4537=E4536:E$2)))))</f>
        <v> </v>
      </c>
      <c r="J4537" s="25" t="str">
        <f>IF(OR(E4537="",E4537="!!!",F4537="NEW"),"",COUNTBLANK(OFFSET(A$1,,,SUMPRODUCT(MAX(ROW(E$2:E4537)*(E4537=E$2:E4537)))))-COUNTBLANK(OFFSET(A$1,,,SUMPRODUCT(MAX(ROW(E$1:E4536)*(E2=E$1:E4536))))))</f>
        <v> </v>
      </c>
      <c r="K4537" s="25" t="str">
        <f>IF(OR(E4537="",E4537="!!!",F4537="NEW"),"",INDEX(J$1:J4536,SUMPRODUCT(MAX(ROW(E$1:E4536)*(E4537=E$1:E4536)))))</f>
        <v> </v>
      </c>
      <c r="L4537" s="26"/>
    </row>
    <row r="4538" spans="1:12">
      <c r="A4538" s="20" t="s">
        <v>860</v>
      </c>
      <c r="E4538" s="21">
        <f>IF(D4538="?OLD","!!!","")</f>
        <v/>
      </c>
      <c r="F4538" s="22" t="str">
        <f>IF(OR(E4538="",E4538="!!!"),"",IF(NOT(ISNA(VLOOKUP(E4538,E$1:E4537,1,FALSE()))),"OLD",IF(AND(E4538&lt;&gt;"",E4538&lt;&gt;"!!!"),"NEW","")))</f>
        <v> </v>
      </c>
      <c r="G4538" s="23" t="str">
        <f>IF(OR(E4538="",E4538="!!!"),"",IF(OR(J4538=0,AND(J4538=1,K4538=1),AND(J4538=1,I4538="SBJ"),AND(J4538=1,I4538=0)),"?IN_FOCUS",IF(J4538&lt;=2,"?ACTIVATED",IF(J4538&lt;&gt;"","?FAMILIAR",IF(F4538="NEW",IF(ISNA(VLOOKUP(E4538,#REF!,1,FALSE())),"?TYPE_IDENTIFIABLE","?REFERENTIAL"),"_")))))</f>
        <v> </v>
      </c>
      <c r="H4538" s="24" t="str">
        <f>IF(J4538&lt;&gt;1,"",IF(I4538="SBJ","CB","?"))</f>
        <v> </v>
      </c>
      <c r="I4538" s="25" t="str">
        <f>IF(OR(E4538="",E4538="!!!",F4538="NEW"),"",INDEX(B4537:B$2,-1+SUMPRODUCT(MAX(ROW(E4537:E$2)*(E4538=E4537:E$2)))))</f>
        <v> </v>
      </c>
      <c r="J4538" s="25" t="str">
        <f>IF(OR(E4538="",E4538="!!!",F4538="NEW"),"",COUNTBLANK(OFFSET(A$1,,,SUMPRODUCT(MAX(ROW(E$2:E4538)*(E4538=E$2:E4538)))))-COUNTBLANK(OFFSET(A$1,,,SUMPRODUCT(MAX(ROW(E$1:E4537)*(E2=E$1:E4537))))))</f>
        <v> </v>
      </c>
      <c r="K4538" s="25" t="str">
        <f>IF(OR(E4538="",E4538="!!!",F4538="NEW"),"",INDEX(J$1:J4537,SUMPRODUCT(MAX(ROW(E$1:E4537)*(E4538=E$1:E4537)))))</f>
        <v> </v>
      </c>
      <c r="L4538" s="26"/>
    </row>
    <row r="4539" spans="1:12">
      <c r="A4539" s="20" t="s">
        <v>736</v>
      </c>
      <c r="E4539" s="21">
        <f>IF(D4539="?OLD","!!!","")</f>
        <v/>
      </c>
      <c r="F4539" s="22" t="str">
        <f>IF(OR(E4539="",E4539="!!!"),"",IF(NOT(ISNA(VLOOKUP(E4539,E$1:E4538,1,FALSE()))),"OLD",IF(AND(E4539&lt;&gt;"",E4539&lt;&gt;"!!!"),"NEW","")))</f>
        <v> </v>
      </c>
      <c r="G4539" s="23" t="str">
        <f>IF(OR(E4539="",E4539="!!!"),"",IF(OR(J4539=0,AND(J4539=1,K4539=1),AND(J4539=1,I4539="SBJ"),AND(J4539=1,I4539=0)),"?IN_FOCUS",IF(J4539&lt;=2,"?ACTIVATED",IF(J4539&lt;&gt;"","?FAMILIAR",IF(F4539="NEW",IF(ISNA(VLOOKUP(E4539,#REF!,1,FALSE())),"?TYPE_IDENTIFIABLE","?REFERENTIAL"),"_")))))</f>
        <v> </v>
      </c>
      <c r="H4539" s="24" t="str">
        <f>IF(J4539&lt;&gt;1,"",IF(I4539="SBJ","CB","?"))</f>
        <v> </v>
      </c>
      <c r="I4539" s="25" t="str">
        <f>IF(OR(E4539="",E4539="!!!",F4539="NEW"),"",INDEX(B4538:B$2,-1+SUMPRODUCT(MAX(ROW(E4538:E$2)*(E4539=E4538:E$2)))))</f>
        <v> </v>
      </c>
      <c r="J4539" s="25" t="str">
        <f>IF(OR(E4539="",E4539="!!!",F4539="NEW"),"",COUNTBLANK(OFFSET(A$1,,,SUMPRODUCT(MAX(ROW(E$2:E4539)*(E4539=E$2:E4539)))))-COUNTBLANK(OFFSET(A$1,,,SUMPRODUCT(MAX(ROW(E$1:E4538)*(E2=E$1:E4538))))))</f>
        <v> </v>
      </c>
      <c r="K4539" s="25" t="str">
        <f>IF(OR(E4539="",E4539="!!!",F4539="NEW"),"",INDEX(J$1:J4538,SUMPRODUCT(MAX(ROW(E$1:E4538)*(E4539=E$1:E4538)))))</f>
        <v> </v>
      </c>
      <c r="L4539" s="26"/>
    </row>
    <row r="4540" spans="1:12">
      <c r="A4540" s="20" t="s">
        <v>799</v>
      </c>
      <c r="B4540" s="27" t="s">
        <v>795</v>
      </c>
      <c r="C4540" s="27" t="s">
        <v>739</v>
      </c>
      <c r="D4540" s="27" t="s">
        <v>740</v>
      </c>
      <c r="E4540" s="21">
        <f>IF(D4540="?OLD","!!!","")</f>
        <v/>
      </c>
      <c r="F4540" s="22" t="str">
        <f>IF(OR(E4540="",E4540="!!!"),"",IF(NOT(ISNA(VLOOKUP(E4540,E$1:E4539,1,FALSE()))),"OLD",IF(AND(E4540&lt;&gt;"",E4540&lt;&gt;"!!!"),"NEW","")))</f>
        <v> </v>
      </c>
      <c r="G4540" s="23" t="str">
        <f>IF(OR(E4540="",E4540="!!!"),"",IF(OR(J4540=0,AND(J4540=1,K4540=1),AND(J4540=1,I4540="SBJ"),AND(J4540=1,I4540=0)),"?IN_FOCUS",IF(J4540&lt;=2,"?ACTIVATED",IF(J4540&lt;&gt;"","?FAMILIAR",IF(F4540="NEW",IF(ISNA(VLOOKUP(E4540,#REF!,1,FALSE())),"?TYPE_IDENTIFIABLE","?REFERENTIAL"),"_")))))</f>
        <v> </v>
      </c>
      <c r="H4540" s="24" t="str">
        <f>IF(J4540&lt;&gt;1,"",IF(I4540="SBJ","CB","?"))</f>
        <v> </v>
      </c>
      <c r="I4540" s="25" t="str">
        <f>IF(OR(E4540="",E4540="!!!",F4540="NEW"),"",INDEX(B4539:B$2,-1+SUMPRODUCT(MAX(ROW(E4539:E$2)*(E4540=E4539:E$2)))))</f>
        <v> </v>
      </c>
      <c r="J4540" s="25" t="str">
        <f>IF(OR(E4540="",E4540="!!!",F4540="NEW"),"",COUNTBLANK(OFFSET(A$1,,,SUMPRODUCT(MAX(ROW(E$2:E4540)*(E4540=E$2:E4540)))))-COUNTBLANK(OFFSET(A$1,,,SUMPRODUCT(MAX(ROW(E$1:E4539)*(E2=E$1:E4539))))))</f>
        <v> </v>
      </c>
      <c r="K4540" s="25" t="str">
        <f>IF(OR(E4540="",E4540="!!!",F4540="NEW"),"",INDEX(J$1:J4539,SUMPRODUCT(MAX(ROW(E$1:E4539)*(E4540=E$1:E4539)))))</f>
        <v> </v>
      </c>
      <c r="L4540" s="26"/>
    </row>
    <row r="4541" spans="1:12">
      <c r="A4541" s="20" t="s">
        <v>1318</v>
      </c>
      <c r="E4541" s="21">
        <f>IF(D4541="?OLD","!!!","")</f>
        <v/>
      </c>
      <c r="F4541" s="22" t="str">
        <f>IF(OR(E4541="",E4541="!!!"),"",IF(NOT(ISNA(VLOOKUP(E4541,E$1:E4540,1,FALSE()))),"OLD",IF(AND(E4541&lt;&gt;"",E4541&lt;&gt;"!!!"),"NEW","")))</f>
        <v> </v>
      </c>
      <c r="G4541" s="23" t="str">
        <f>IF(OR(E4541="",E4541="!!!"),"",IF(OR(J4541=0,AND(J4541=1,K4541=1),AND(J4541=1,I4541="SBJ"),AND(J4541=1,I4541=0)),"?IN_FOCUS",IF(J4541&lt;=2,"?ACTIVATED",IF(J4541&lt;&gt;"","?FAMILIAR",IF(F4541="NEW",IF(ISNA(VLOOKUP(E4541,#REF!,1,FALSE())),"?TYPE_IDENTIFIABLE","?REFERENTIAL"),"_")))))</f>
        <v> </v>
      </c>
      <c r="H4541" s="24" t="str">
        <f>IF(J4541&lt;&gt;1,"",IF(I4541="SBJ","CB","?"))</f>
        <v> </v>
      </c>
      <c r="I4541" s="25" t="str">
        <f>IF(OR(E4541="",E4541="!!!",F4541="NEW"),"",INDEX(B4540:B$2,-1+SUMPRODUCT(MAX(ROW(E4540:E$2)*(E4541=E4540:E$2)))))</f>
        <v> </v>
      </c>
      <c r="J4541" s="25" t="str">
        <f>IF(OR(E4541="",E4541="!!!",F4541="NEW"),"",COUNTBLANK(OFFSET(A$1,,,SUMPRODUCT(MAX(ROW(E$2:E4541)*(E4541=E$2:E4541)))))-COUNTBLANK(OFFSET(A$1,,,SUMPRODUCT(MAX(ROW(E$1:E4540)*(E2=E$1:E4540))))))</f>
        <v> </v>
      </c>
      <c r="K4541" s="25" t="str">
        <f>IF(OR(E4541="",E4541="!!!",F4541="NEW"),"",INDEX(J$1:J4540,SUMPRODUCT(MAX(ROW(E$1:E4540)*(E4541=E$1:E4540)))))</f>
        <v> </v>
      </c>
      <c r="L4541" s="26"/>
    </row>
    <row r="4542" spans="1:12">
      <c r="A4542" s="20" t="s">
        <v>2039</v>
      </c>
      <c r="E4542" s="21">
        <f>IF(D4542="?OLD","!!!","")</f>
        <v/>
      </c>
      <c r="F4542" s="22" t="str">
        <f>IF(OR(E4542="",E4542="!!!"),"",IF(NOT(ISNA(VLOOKUP(E4542,E$1:E4541,1,FALSE()))),"OLD",IF(AND(E4542&lt;&gt;"",E4542&lt;&gt;"!!!"),"NEW","")))</f>
        <v> </v>
      </c>
      <c r="G4542" s="23" t="str">
        <f>IF(OR(E4542="",E4542="!!!"),"",IF(OR(J4542=0,AND(J4542=1,K4542=1),AND(J4542=1,I4542="SBJ"),AND(J4542=1,I4542=0)),"?IN_FOCUS",IF(J4542&lt;=2,"?ACTIVATED",IF(J4542&lt;&gt;"","?FAMILIAR",IF(F4542="NEW",IF(ISNA(VLOOKUP(E4542,#REF!,1,FALSE())),"?TYPE_IDENTIFIABLE","?REFERENTIAL"),"_")))))</f>
        <v> </v>
      </c>
      <c r="H4542" s="24" t="str">
        <f>IF(J4542&lt;&gt;1,"",IF(I4542="SBJ","CB","?"))</f>
        <v> </v>
      </c>
      <c r="I4542" s="25" t="str">
        <f>IF(OR(E4542="",E4542="!!!",F4542="NEW"),"",INDEX(B4541:B$2,-1+SUMPRODUCT(MAX(ROW(E4541:E$2)*(E4542=E4541:E$2)))))</f>
        <v> </v>
      </c>
      <c r="J4542" s="25" t="str">
        <f>IF(OR(E4542="",E4542="!!!",F4542="NEW"),"",COUNTBLANK(OFFSET(A$1,,,SUMPRODUCT(MAX(ROW(E$2:E4542)*(E4542=E$2:E4542)))))-COUNTBLANK(OFFSET(A$1,,,SUMPRODUCT(MAX(ROW(E$1:E4541)*(E2=E$1:E4541))))))</f>
        <v> </v>
      </c>
      <c r="K4542" s="25" t="str">
        <f>IF(OR(E4542="",E4542="!!!",F4542="NEW"),"",INDEX(J$1:J4541,SUMPRODUCT(MAX(ROW(E$1:E4541)*(E4542=E$1:E4541)))))</f>
        <v> </v>
      </c>
      <c r="L4542" s="26"/>
    </row>
    <row r="4543" spans="1:12">
      <c r="A4543" s="20" t="s">
        <v>2040</v>
      </c>
      <c r="B4543" s="27" t="s">
        <v>777</v>
      </c>
      <c r="C4543" s="27" t="s">
        <v>848</v>
      </c>
      <c r="E4543" s="21">
        <f>IF(D4543="?OLD","!!!","")</f>
        <v/>
      </c>
      <c r="F4543" s="22" t="str">
        <f>IF(OR(E4543="",E4543="!!!"),"",IF(NOT(ISNA(VLOOKUP(E4543,E$1:E4542,1,FALSE()))),"OLD",IF(AND(E4543&lt;&gt;"",E4543&lt;&gt;"!!!"),"NEW","")))</f>
        <v> </v>
      </c>
      <c r="G4543" s="23" t="str">
        <f>IF(OR(E4543="",E4543="!!!"),"",IF(OR(J4543=0,AND(J4543=1,K4543=1),AND(J4543=1,I4543="SBJ"),AND(J4543=1,I4543=0)),"?IN_FOCUS",IF(J4543&lt;=2,"?ACTIVATED",IF(J4543&lt;&gt;"","?FAMILIAR",IF(F4543="NEW",IF(ISNA(VLOOKUP(E4543,#REF!,1,FALSE())),"?TYPE_IDENTIFIABLE","?REFERENTIAL"),"_")))))</f>
        <v> </v>
      </c>
      <c r="H4543" s="24" t="str">
        <f>IF(J4543&lt;&gt;1,"",IF(I4543="SBJ","CB","?"))</f>
        <v> </v>
      </c>
      <c r="I4543" s="25" t="str">
        <f>IF(OR(E4543="",E4543="!!!",F4543="NEW"),"",INDEX(B4542:B$2,-1+SUMPRODUCT(MAX(ROW(E4542:E$2)*(E4543=E4542:E$2)))))</f>
        <v> </v>
      </c>
      <c r="J4543" s="25" t="str">
        <f>IF(OR(E4543="",E4543="!!!",F4543="NEW"),"",COUNTBLANK(OFFSET(A$1,,,SUMPRODUCT(MAX(ROW(E$2:E4543)*(E4543=E$2:E4543)))))-COUNTBLANK(OFFSET(A$1,,,SUMPRODUCT(MAX(ROW(E$1:E4542)*(E2=E$1:E4542))))))</f>
        <v> </v>
      </c>
      <c r="K4543" s="25" t="str">
        <f>IF(OR(E4543="",E4543="!!!",F4543="NEW"),"",INDEX(J$1:J4542,SUMPRODUCT(MAX(ROW(E$1:E4542)*(E4543=E$1:E4542)))))</f>
        <v> </v>
      </c>
      <c r="L4543" s="26"/>
    </row>
    <row r="4544" spans="1:12">
      <c r="A4544" s="20" t="s">
        <v>2041</v>
      </c>
      <c r="E4544" s="21">
        <f>IF(D4544="?OLD","!!!","")</f>
        <v/>
      </c>
      <c r="F4544" s="22" t="str">
        <f>IF(OR(E4544="",E4544="!!!"),"",IF(NOT(ISNA(VLOOKUP(E4544,E$1:E4543,1,FALSE()))),"OLD",IF(AND(E4544&lt;&gt;"",E4544&lt;&gt;"!!!"),"NEW","")))</f>
        <v> </v>
      </c>
      <c r="G4544" s="23" t="str">
        <f>IF(OR(E4544="",E4544="!!!"),"",IF(OR(J4544=0,AND(J4544=1,K4544=1),AND(J4544=1,I4544="SBJ"),AND(J4544=1,I4544=0)),"?IN_FOCUS",IF(J4544&lt;=2,"?ACTIVATED",IF(J4544&lt;&gt;"","?FAMILIAR",IF(F4544="NEW",IF(ISNA(VLOOKUP(E4544,#REF!,1,FALSE())),"?TYPE_IDENTIFIABLE","?REFERENTIAL"),"_")))))</f>
        <v> </v>
      </c>
      <c r="H4544" s="24" t="str">
        <f>IF(J4544&lt;&gt;1,"",IF(I4544="SBJ","CB","?"))</f>
        <v> </v>
      </c>
      <c r="I4544" s="25" t="str">
        <f>IF(OR(E4544="",E4544="!!!",F4544="NEW"),"",INDEX(B4543:B$2,-1+SUMPRODUCT(MAX(ROW(E4543:E$2)*(E4544=E4543:E$2)))))</f>
        <v> </v>
      </c>
      <c r="J4544" s="25" t="str">
        <f>IF(OR(E4544="",E4544="!!!",F4544="NEW"),"",COUNTBLANK(OFFSET(A$1,,,SUMPRODUCT(MAX(ROW(E$2:E4544)*(E4544=E$2:E4544)))))-COUNTBLANK(OFFSET(A$1,,,SUMPRODUCT(MAX(ROW(E$1:E4543)*(E2=E$1:E4543))))))</f>
        <v> </v>
      </c>
      <c r="K4544" s="25" t="str">
        <f>IF(OR(E4544="",E4544="!!!",F4544="NEW"),"",INDEX(J$1:J4543,SUMPRODUCT(MAX(ROW(E$1:E4543)*(E4544=E$1:E4543)))))</f>
        <v> </v>
      </c>
      <c r="L4544" s="26"/>
    </row>
    <row r="4545" spans="1:12">
      <c r="A4545" s="20" t="s">
        <v>1985</v>
      </c>
      <c r="B4545" s="27" t="s">
        <v>764</v>
      </c>
      <c r="C4545" s="27" t="s">
        <v>734</v>
      </c>
      <c r="E4545" s="21">
        <f>IF(D4545="?OLD","!!!","")</f>
        <v/>
      </c>
      <c r="F4545" s="22" t="str">
        <f>IF(OR(E4545="",E4545="!!!"),"",IF(NOT(ISNA(VLOOKUP(E4545,E$1:E4544,1,FALSE()))),"OLD",IF(AND(E4545&lt;&gt;"",E4545&lt;&gt;"!!!"),"NEW","")))</f>
        <v> </v>
      </c>
      <c r="G4545" s="23" t="str">
        <f>IF(OR(E4545="",E4545="!!!"),"",IF(OR(J4545=0,AND(J4545=1,K4545=1),AND(J4545=1,I4545="SBJ"),AND(J4545=1,I4545=0)),"?IN_FOCUS",IF(J4545&lt;=2,"?ACTIVATED",IF(J4545&lt;&gt;"","?FAMILIAR",IF(F4545="NEW",IF(ISNA(VLOOKUP(E4545,#REF!,1,FALSE())),"?TYPE_IDENTIFIABLE","?REFERENTIAL"),"_")))))</f>
        <v> </v>
      </c>
      <c r="H4545" s="24" t="str">
        <f>IF(J4545&lt;&gt;1,"",IF(I4545="SBJ","CB","?"))</f>
        <v> </v>
      </c>
      <c r="I4545" s="25" t="str">
        <f>IF(OR(E4545="",E4545="!!!",F4545="NEW"),"",INDEX(B4544:B$2,-1+SUMPRODUCT(MAX(ROW(E4544:E$2)*(E4545=E4544:E$2)))))</f>
        <v> </v>
      </c>
      <c r="J4545" s="25" t="str">
        <f>IF(OR(E4545="",E4545="!!!",F4545="NEW"),"",COUNTBLANK(OFFSET(A$1,,,SUMPRODUCT(MAX(ROW(E$2:E4545)*(E4545=E$2:E4545)))))-COUNTBLANK(OFFSET(A$1,,,SUMPRODUCT(MAX(ROW(E$1:E4544)*(E2=E$1:E4544))))))</f>
        <v> </v>
      </c>
      <c r="K4545" s="25" t="str">
        <f>IF(OR(E4545="",E4545="!!!",F4545="NEW"),"",INDEX(J$1:J4544,SUMPRODUCT(MAX(ROW(E$1:E4544)*(E4545=E$1:E4544)))))</f>
        <v> </v>
      </c>
      <c r="L4545" s="26"/>
    </row>
    <row r="4546" spans="1:12">
      <c r="A4546" s="20" t="s">
        <v>2042</v>
      </c>
      <c r="E4546" s="21">
        <f>IF(D4546="?OLD","!!!","")</f>
        <v/>
      </c>
      <c r="F4546" s="22" t="str">
        <f>IF(OR(E4546="",E4546="!!!"),"",IF(NOT(ISNA(VLOOKUP(E4546,E$1:E4545,1,FALSE()))),"OLD",IF(AND(E4546&lt;&gt;"",E4546&lt;&gt;"!!!"),"NEW","")))</f>
        <v> </v>
      </c>
      <c r="G4546" s="23" t="str">
        <f>IF(OR(E4546="",E4546="!!!"),"",IF(OR(J4546=0,AND(J4546=1,K4546=1),AND(J4546=1,I4546="SBJ"),AND(J4546=1,I4546=0)),"?IN_FOCUS",IF(J4546&lt;=2,"?ACTIVATED",IF(J4546&lt;&gt;"","?FAMILIAR",IF(F4546="NEW",IF(ISNA(VLOOKUP(E4546,#REF!,1,FALSE())),"?TYPE_IDENTIFIABLE","?REFERENTIAL"),"_")))))</f>
        <v> </v>
      </c>
      <c r="H4546" s="24" t="str">
        <f>IF(J4546&lt;&gt;1,"",IF(I4546="SBJ","CB","?"))</f>
        <v> </v>
      </c>
      <c r="I4546" s="25" t="str">
        <f>IF(OR(E4546="",E4546="!!!",F4546="NEW"),"",INDEX(B4545:B$2,-1+SUMPRODUCT(MAX(ROW(E4545:E$2)*(E4546=E4545:E$2)))))</f>
        <v> </v>
      </c>
      <c r="J4546" s="25" t="str">
        <f>IF(OR(E4546="",E4546="!!!",F4546="NEW"),"",COUNTBLANK(OFFSET(A$1,,,SUMPRODUCT(MAX(ROW(E$2:E4546)*(E4546=E$2:E4546)))))-COUNTBLANK(OFFSET(A$1,,,SUMPRODUCT(MAX(ROW(E$1:E4545)*(E2=E$1:E4545))))))</f>
        <v> </v>
      </c>
      <c r="K4546" s="25" t="str">
        <f>IF(OR(E4546="",E4546="!!!",F4546="NEW"),"",INDEX(J$1:J4545,SUMPRODUCT(MAX(ROW(E$1:E4545)*(E4546=E$1:E4545)))))</f>
        <v> </v>
      </c>
      <c r="L4546" s="26"/>
    </row>
    <row r="4547" spans="1:12">
      <c r="A4547" s="20" t="s">
        <v>931</v>
      </c>
      <c r="E4547" s="21">
        <f>IF(D4547="?OLD","!!!","")</f>
        <v/>
      </c>
      <c r="F4547" s="22" t="str">
        <f>IF(OR(E4547="",E4547="!!!"),"",IF(NOT(ISNA(VLOOKUP(E4547,E$1:E4546,1,FALSE()))),"OLD",IF(AND(E4547&lt;&gt;"",E4547&lt;&gt;"!!!"),"NEW","")))</f>
        <v> </v>
      </c>
      <c r="G4547" s="23" t="str">
        <f>IF(OR(E4547="",E4547="!!!"),"",IF(OR(J4547=0,AND(J4547=1,K4547=1),AND(J4547=1,I4547="SBJ"),AND(J4547=1,I4547=0)),"?IN_FOCUS",IF(J4547&lt;=2,"?ACTIVATED",IF(J4547&lt;&gt;"","?FAMILIAR",IF(F4547="NEW",IF(ISNA(VLOOKUP(E4547,#REF!,1,FALSE())),"?TYPE_IDENTIFIABLE","?REFERENTIAL"),"_")))))</f>
        <v> </v>
      </c>
      <c r="H4547" s="24" t="str">
        <f>IF(J4547&lt;&gt;1,"",IF(I4547="SBJ","CB","?"))</f>
        <v> </v>
      </c>
      <c r="I4547" s="25" t="str">
        <f>IF(OR(E4547="",E4547="!!!",F4547="NEW"),"",INDEX(B4546:B$2,-1+SUMPRODUCT(MAX(ROW(E4546:E$2)*(E4547=E4546:E$2)))))</f>
        <v> </v>
      </c>
      <c r="J4547" s="25" t="str">
        <f>IF(OR(E4547="",E4547="!!!",F4547="NEW"),"",COUNTBLANK(OFFSET(A$1,,,SUMPRODUCT(MAX(ROW(E$2:E4547)*(E4547=E$2:E4547)))))-COUNTBLANK(OFFSET(A$1,,,SUMPRODUCT(MAX(ROW(E$1:E4546)*(E2=E$1:E4546))))))</f>
        <v> </v>
      </c>
      <c r="K4547" s="25" t="str">
        <f>IF(OR(E4547="",E4547="!!!",F4547="NEW"),"",INDEX(J$1:J4546,SUMPRODUCT(MAX(ROW(E$1:E4546)*(E4547=E$1:E4546)))))</f>
        <v> </v>
      </c>
      <c r="L4547" s="26"/>
    </row>
    <row r="4548" spans="1:12">
      <c r="A4548" s="20" t="s">
        <v>746</v>
      </c>
      <c r="E4548" s="21">
        <f>IF(D4548="?OLD","!!!","")</f>
        <v/>
      </c>
      <c r="F4548" s="22" t="str">
        <f>IF(OR(E4548="",E4548="!!!"),"",IF(NOT(ISNA(VLOOKUP(E4548,E$1:E4547,1,FALSE()))),"OLD",IF(AND(E4548&lt;&gt;"",E4548&lt;&gt;"!!!"),"NEW","")))</f>
        <v> </v>
      </c>
      <c r="G4548" s="23" t="str">
        <f>IF(OR(E4548="",E4548="!!!"),"",IF(OR(J4548=0,AND(J4548=1,K4548=1),AND(J4548=1,I4548="SBJ"),AND(J4548=1,I4548=0)),"?IN_FOCUS",IF(J4548&lt;=2,"?ACTIVATED",IF(J4548&lt;&gt;"","?FAMILIAR",IF(F4548="NEW",IF(ISNA(VLOOKUP(E4548,#REF!,1,FALSE())),"?TYPE_IDENTIFIABLE","?REFERENTIAL"),"_")))))</f>
        <v> </v>
      </c>
      <c r="H4548" s="24" t="str">
        <f>IF(J4548&lt;&gt;1,"",IF(I4548="SBJ","CB","?"))</f>
        <v> </v>
      </c>
      <c r="I4548" s="25" t="str">
        <f>IF(OR(E4548="",E4548="!!!",F4548="NEW"),"",INDEX(B4547:B$2,-1+SUMPRODUCT(MAX(ROW(E4547:E$2)*(E4548=E4547:E$2)))))</f>
        <v> </v>
      </c>
      <c r="J4548" s="25" t="str">
        <f>IF(OR(E4548="",E4548="!!!",F4548="NEW"),"",COUNTBLANK(OFFSET(A$1,,,SUMPRODUCT(MAX(ROW(E$2:E4548)*(E4548=E$2:E4548)))))-COUNTBLANK(OFFSET(A$1,,,SUMPRODUCT(MAX(ROW(E$1:E4547)*(E2=E$1:E4547))))))</f>
        <v> </v>
      </c>
      <c r="K4548" s="25" t="str">
        <f>IF(OR(E4548="",E4548="!!!",F4548="NEW"),"",INDEX(J$1:J4547,SUMPRODUCT(MAX(ROW(E$1:E4547)*(E4548=E$1:E4547)))))</f>
        <v> </v>
      </c>
      <c r="L4548" s="26"/>
    </row>
    <row r="4549" spans="1:12">
      <c r="A4549" s="20"/>
    </row>
    <row r="4550" spans="1:12">
      <c r="A4550" s="20" t="s">
        <v>2043</v>
      </c>
    </row>
    <row r="4551" spans="1:12">
      <c r="A4551" s="20" t="s">
        <v>1030</v>
      </c>
      <c r="B4551" s="27" t="s">
        <v>728</v>
      </c>
      <c r="C4551" s="27" t="s">
        <v>775</v>
      </c>
      <c r="D4551" s="27" t="s">
        <v>740</v>
      </c>
      <c r="E4551" s="21">
        <f>IF(D4551="?OLD","!!!","")</f>
        <v/>
      </c>
      <c r="F4551" s="22" t="str">
        <f>IF(OR(E4551="",E4551="!!!"),"",IF(NOT(ISNA(VLOOKUP(E4551,E$1:E4550,1,FALSE()))),"OLD",IF(AND(E4551&lt;&gt;"",E4551&lt;&gt;"!!!"),"NEW","")))</f>
        <v> </v>
      </c>
      <c r="G4551" s="23" t="str">
        <f>IF(OR(E4551="",E4551="!!!"),"",IF(OR(J4551=0,AND(J4551=1,K4551=1),AND(J4551=1,I4551="SBJ"),AND(J4551=1,I4551=0)),"?IN_FOCUS",IF(J4551&lt;=2,"?ACTIVATED",IF(J4551&lt;&gt;"","?FAMILIAR",IF(F4551="NEW",IF(ISNA(VLOOKUP(E4551,#REF!,1,FALSE())),"?TYPE_IDENTIFIABLE","?REFERENTIAL"),"_")))))</f>
        <v> </v>
      </c>
      <c r="H4551" s="24" t="str">
        <f>IF(J4551&lt;&gt;1,"",IF(I4551="SBJ","CB","?"))</f>
        <v> </v>
      </c>
      <c r="I4551" s="25" t="str">
        <f>IF(OR(E4551="",E4551="!!!",F4551="NEW"),"",INDEX(B4550:B$2,-1+SUMPRODUCT(MAX(ROW(E4550:E$2)*(E4551=E4550:E$2)))))</f>
        <v> </v>
      </c>
      <c r="J4551" s="25" t="str">
        <f>IF(OR(E4551="",E4551="!!!",F4551="NEW"),"",COUNTBLANK(OFFSET(A$1,,,SUMPRODUCT(MAX(ROW(E$2:E4551)*(E4551=E$2:E4551)))))-COUNTBLANK(OFFSET(A$1,,,SUMPRODUCT(MAX(ROW(E$1:E4550)*(E2=E$1:E4550))))))</f>
        <v> </v>
      </c>
      <c r="K4551" s="25" t="str">
        <f>IF(OR(E4551="",E4551="!!!",F4551="NEW"),"",INDEX(J$1:J4550,SUMPRODUCT(MAX(ROW(E$1:E4550)*(E4551=E$1:E4550)))))</f>
        <v> </v>
      </c>
      <c r="L4551" s="26"/>
    </row>
    <row r="4552" spans="1:12">
      <c r="A4552" s="20" t="s">
        <v>2044</v>
      </c>
      <c r="E4552" s="21">
        <f>IF(D4552="?OLD","!!!","")</f>
        <v/>
      </c>
      <c r="F4552" s="22" t="str">
        <f>IF(OR(E4552="",E4552="!!!"),"",IF(NOT(ISNA(VLOOKUP(E4552,E$1:E4551,1,FALSE()))),"OLD",IF(AND(E4552&lt;&gt;"",E4552&lt;&gt;"!!!"),"NEW","")))</f>
        <v> </v>
      </c>
      <c r="G4552" s="23" t="str">
        <f>IF(OR(E4552="",E4552="!!!"),"",IF(OR(J4552=0,AND(J4552=1,K4552=1),AND(J4552=1,I4552="SBJ"),AND(J4552=1,I4552=0)),"?IN_FOCUS",IF(J4552&lt;=2,"?ACTIVATED",IF(J4552&lt;&gt;"","?FAMILIAR",IF(F4552="NEW",IF(ISNA(VLOOKUP(E4552,#REF!,1,FALSE())),"?TYPE_IDENTIFIABLE","?REFERENTIAL"),"_")))))</f>
        <v> </v>
      </c>
      <c r="H4552" s="24" t="str">
        <f>IF(J4552&lt;&gt;1,"",IF(I4552="SBJ","CB","?"))</f>
        <v> </v>
      </c>
      <c r="I4552" s="25" t="str">
        <f>IF(OR(E4552="",E4552="!!!",F4552="NEW"),"",INDEX(B4551:B$2,-1+SUMPRODUCT(MAX(ROW(E4551:E$2)*(E4552=E4551:E$2)))))</f>
        <v> </v>
      </c>
      <c r="J4552" s="25" t="str">
        <f>IF(OR(E4552="",E4552="!!!",F4552="NEW"),"",COUNTBLANK(OFFSET(A$1,,,SUMPRODUCT(MAX(ROW(E$2:E4552)*(E4552=E$2:E4552)))))-COUNTBLANK(OFFSET(A$1,,,SUMPRODUCT(MAX(ROW(E$1:E4551)*(E2=E$1:E4551))))))</f>
        <v> </v>
      </c>
      <c r="K4552" s="25" t="str">
        <f>IF(OR(E4552="",E4552="!!!",F4552="NEW"),"",INDEX(J$1:J4551,SUMPRODUCT(MAX(ROW(E$1:E4551)*(E4552=E$1:E4551)))))</f>
        <v> </v>
      </c>
      <c r="L4552" s="26"/>
    </row>
    <row r="4553" spans="1:12">
      <c r="A4553" s="20" t="s">
        <v>1302</v>
      </c>
      <c r="B4553" s="27" t="s">
        <v>738</v>
      </c>
      <c r="C4553" s="27" t="s">
        <v>749</v>
      </c>
      <c r="D4553" s="27" t="s">
        <v>740</v>
      </c>
      <c r="E4553" s="21">
        <f>IF(D4553="?OLD","!!!","")</f>
        <v/>
      </c>
      <c r="F4553" s="22" t="str">
        <f>IF(OR(E4553="",E4553="!!!"),"",IF(NOT(ISNA(VLOOKUP(E4553,E$1:E4552,1,FALSE()))),"OLD",IF(AND(E4553&lt;&gt;"",E4553&lt;&gt;"!!!"),"NEW","")))</f>
        <v> </v>
      </c>
      <c r="G4553" s="23" t="str">
        <f>IF(OR(E4553="",E4553="!!!"),"",IF(OR(J4553=0,AND(J4553=1,K4553=1),AND(J4553=1,I4553="SBJ"),AND(J4553=1,I4553=0)),"?IN_FOCUS",IF(J4553&lt;=2,"?ACTIVATED",IF(J4553&lt;&gt;"","?FAMILIAR",IF(F4553="NEW",IF(ISNA(VLOOKUP(E4553,#REF!,1,FALSE())),"?TYPE_IDENTIFIABLE","?REFERENTIAL"),"_")))))</f>
        <v> </v>
      </c>
      <c r="H4553" s="24" t="str">
        <f>IF(J4553&lt;&gt;1,"",IF(I4553="SBJ","CB","?"))</f>
        <v> </v>
      </c>
      <c r="I4553" s="25" t="str">
        <f>IF(OR(E4553="",E4553="!!!",F4553="NEW"),"",INDEX(B4552:B$2,-1+SUMPRODUCT(MAX(ROW(E4552:E$2)*(E4553=E4552:E$2)))))</f>
        <v> </v>
      </c>
      <c r="J4553" s="25" t="str">
        <f>IF(OR(E4553="",E4553="!!!",F4553="NEW"),"",COUNTBLANK(OFFSET(A$1,,,SUMPRODUCT(MAX(ROW(E$2:E4553)*(E4553=E$2:E4553)))))-COUNTBLANK(OFFSET(A$1,,,SUMPRODUCT(MAX(ROW(E$1:E4552)*(E2=E$1:E4552))))))</f>
        <v> </v>
      </c>
      <c r="K4553" s="25" t="str">
        <f>IF(OR(E4553="",E4553="!!!",F4553="NEW"),"",INDEX(J$1:J4552,SUMPRODUCT(MAX(ROW(E$1:E4552)*(E4553=E$1:E4552)))))</f>
        <v> </v>
      </c>
      <c r="L4553" s="26"/>
    </row>
    <row r="4554" spans="1:12">
      <c r="A4554" s="20" t="s">
        <v>765</v>
      </c>
      <c r="B4554" s="27" t="s">
        <v>733</v>
      </c>
      <c r="C4554" s="27" t="s">
        <v>772</v>
      </c>
      <c r="E4554" s="21">
        <f>IF(D4554="?OLD","!!!","")</f>
        <v/>
      </c>
      <c r="F4554" s="22" t="str">
        <f>IF(OR(E4554="",E4554="!!!"),"",IF(NOT(ISNA(VLOOKUP(E4554,E$1:E4553,1,FALSE()))),"OLD",IF(AND(E4554&lt;&gt;"",E4554&lt;&gt;"!!!"),"NEW","")))</f>
        <v> </v>
      </c>
      <c r="G4554" s="23" t="str">
        <f>IF(OR(E4554="",E4554="!!!"),"",IF(OR(J4554=0,AND(J4554=1,K4554=1),AND(J4554=1,I4554="SBJ"),AND(J4554=1,I4554=0)),"?IN_FOCUS",IF(J4554&lt;=2,"?ACTIVATED",IF(J4554&lt;&gt;"","?FAMILIAR",IF(F4554="NEW",IF(ISNA(VLOOKUP(E4554,#REF!,1,FALSE())),"?TYPE_IDENTIFIABLE","?REFERENTIAL"),"_")))))</f>
        <v> </v>
      </c>
      <c r="H4554" s="24" t="str">
        <f>IF(J4554&lt;&gt;1,"",IF(I4554="SBJ","CB","?"))</f>
        <v> </v>
      </c>
      <c r="I4554" s="25" t="str">
        <f>IF(OR(E4554="",E4554="!!!",F4554="NEW"),"",INDEX(B4553:B$2,-1+SUMPRODUCT(MAX(ROW(E4553:E$2)*(E4554=E4553:E$2)))))</f>
        <v> </v>
      </c>
      <c r="J4554" s="25" t="str">
        <f>IF(OR(E4554="",E4554="!!!",F4554="NEW"),"",COUNTBLANK(OFFSET(A$1,,,SUMPRODUCT(MAX(ROW(E$2:E4554)*(E4554=E$2:E4554)))))-COUNTBLANK(OFFSET(A$1,,,SUMPRODUCT(MAX(ROW(E$1:E4553)*(E2=E$1:E4553))))))</f>
        <v> </v>
      </c>
      <c r="K4554" s="25" t="str">
        <f>IF(OR(E4554="",E4554="!!!",F4554="NEW"),"",INDEX(J$1:J4553,SUMPRODUCT(MAX(ROW(E$1:E4553)*(E4554=E$1:E4553)))))</f>
        <v> </v>
      </c>
      <c r="L4554" s="26"/>
    </row>
    <row r="4555" spans="1:12">
      <c r="A4555" s="20" t="s">
        <v>818</v>
      </c>
      <c r="E4555" s="21">
        <f>IF(D4555="?OLD","!!!","")</f>
        <v/>
      </c>
      <c r="F4555" s="22" t="str">
        <f>IF(OR(E4555="",E4555="!!!"),"",IF(NOT(ISNA(VLOOKUP(E4555,E$1:E4554,1,FALSE()))),"OLD",IF(AND(E4555&lt;&gt;"",E4555&lt;&gt;"!!!"),"NEW","")))</f>
        <v> </v>
      </c>
      <c r="G4555" s="23" t="str">
        <f>IF(OR(E4555="",E4555="!!!"),"",IF(OR(J4555=0,AND(J4555=1,K4555=1),AND(J4555=1,I4555="SBJ"),AND(J4555=1,I4555=0)),"?IN_FOCUS",IF(J4555&lt;=2,"?ACTIVATED",IF(J4555&lt;&gt;"","?FAMILIAR",IF(F4555="NEW",IF(ISNA(VLOOKUP(E4555,#REF!,1,FALSE())),"?TYPE_IDENTIFIABLE","?REFERENTIAL"),"_")))))</f>
        <v> </v>
      </c>
      <c r="H4555" s="24" t="str">
        <f>IF(J4555&lt;&gt;1,"",IF(I4555="SBJ","CB","?"))</f>
        <v> </v>
      </c>
      <c r="I4555" s="25" t="str">
        <f>IF(OR(E4555="",E4555="!!!",F4555="NEW"),"",INDEX(B4554:B$2,-1+SUMPRODUCT(MAX(ROW(E4554:E$2)*(E4555=E4554:E$2)))))</f>
        <v> </v>
      </c>
      <c r="J4555" s="25" t="str">
        <f>IF(OR(E4555="",E4555="!!!",F4555="NEW"),"",COUNTBLANK(OFFSET(A$1,,,SUMPRODUCT(MAX(ROW(E$2:E4555)*(E4555=E$2:E4555)))))-COUNTBLANK(OFFSET(A$1,,,SUMPRODUCT(MAX(ROW(E$1:E4554)*(E2=E$1:E4554))))))</f>
        <v> </v>
      </c>
      <c r="K4555" s="25" t="str">
        <f>IF(OR(E4555="",E4555="!!!",F4555="NEW"),"",INDEX(J$1:J4554,SUMPRODUCT(MAX(ROW(E$1:E4554)*(E4555=E$1:E4554)))))</f>
        <v> </v>
      </c>
      <c r="L4555" s="26"/>
    </row>
    <row r="4556" spans="1:12">
      <c r="A4556" s="20" t="s">
        <v>2045</v>
      </c>
      <c r="B4556" s="27" t="s">
        <v>756</v>
      </c>
      <c r="C4556" s="27" t="s">
        <v>739</v>
      </c>
      <c r="D4556" s="27" t="s">
        <v>740</v>
      </c>
      <c r="E4556" s="21">
        <f>IF(D4556="?OLD","!!!","")</f>
        <v/>
      </c>
      <c r="F4556" s="22" t="str">
        <f>IF(OR(E4556="",E4556="!!!"),"",IF(NOT(ISNA(VLOOKUP(E4556,E$1:E4555,1,FALSE()))),"OLD",IF(AND(E4556&lt;&gt;"",E4556&lt;&gt;"!!!"),"NEW","")))</f>
        <v> </v>
      </c>
      <c r="G4556" s="23" t="str">
        <f>IF(OR(E4556="",E4556="!!!"),"",IF(OR(J4556=0,AND(J4556=1,K4556=1),AND(J4556=1,I4556="SBJ"),AND(J4556=1,I4556=0)),"?IN_FOCUS",IF(J4556&lt;=2,"?ACTIVATED",IF(J4556&lt;&gt;"","?FAMILIAR",IF(F4556="NEW",IF(ISNA(VLOOKUP(E4556,#REF!,1,FALSE())),"?TYPE_IDENTIFIABLE","?REFERENTIAL"),"_")))))</f>
        <v> </v>
      </c>
      <c r="H4556" s="24" t="str">
        <f>IF(J4556&lt;&gt;1,"",IF(I4556="SBJ","CB","?"))</f>
        <v> </v>
      </c>
      <c r="I4556" s="25" t="str">
        <f>IF(OR(E4556="",E4556="!!!",F4556="NEW"),"",INDEX(B4555:B$2,-1+SUMPRODUCT(MAX(ROW(E4555:E$2)*(E4556=E4555:E$2)))))</f>
        <v> </v>
      </c>
      <c r="J4556" s="25" t="str">
        <f>IF(OR(E4556="",E4556="!!!",F4556="NEW"),"",COUNTBLANK(OFFSET(A$1,,,SUMPRODUCT(MAX(ROW(E$2:E4556)*(E4556=E$2:E4556)))))-COUNTBLANK(OFFSET(A$1,,,SUMPRODUCT(MAX(ROW(E$1:E4555)*(E2=E$1:E4555))))))</f>
        <v> </v>
      </c>
      <c r="K4556" s="25" t="str">
        <f>IF(OR(E4556="",E4556="!!!",F4556="NEW"),"",INDEX(J$1:J4555,SUMPRODUCT(MAX(ROW(E$1:E4555)*(E4556=E$1:E4555)))))</f>
        <v> </v>
      </c>
      <c r="L4556" s="26"/>
    </row>
    <row r="4557" spans="1:12">
      <c r="A4557" s="20" t="s">
        <v>753</v>
      </c>
      <c r="E4557" s="21">
        <f>IF(D4557="?OLD","!!!","")</f>
        <v/>
      </c>
      <c r="F4557" s="22" t="str">
        <f>IF(OR(E4557="",E4557="!!!"),"",IF(NOT(ISNA(VLOOKUP(E4557,E$1:E4556,1,FALSE()))),"OLD",IF(AND(E4557&lt;&gt;"",E4557&lt;&gt;"!!!"),"NEW","")))</f>
        <v> </v>
      </c>
      <c r="G4557" s="23" t="str">
        <f>IF(OR(E4557="",E4557="!!!"),"",IF(OR(J4557=0,AND(J4557=1,K4557=1),AND(J4557=1,I4557="SBJ"),AND(J4557=1,I4557=0)),"?IN_FOCUS",IF(J4557&lt;=2,"?ACTIVATED",IF(J4557&lt;&gt;"","?FAMILIAR",IF(F4557="NEW",IF(ISNA(VLOOKUP(E4557,#REF!,1,FALSE())),"?TYPE_IDENTIFIABLE","?REFERENTIAL"),"_")))))</f>
        <v> </v>
      </c>
      <c r="H4557" s="24" t="str">
        <f>IF(J4557&lt;&gt;1,"",IF(I4557="SBJ","CB","?"))</f>
        <v> </v>
      </c>
      <c r="I4557" s="25" t="str">
        <f>IF(OR(E4557="",E4557="!!!",F4557="NEW"),"",INDEX(B4556:B$2,-1+SUMPRODUCT(MAX(ROW(E4556:E$2)*(E4557=E4556:E$2)))))</f>
        <v> </v>
      </c>
      <c r="J4557" s="25" t="str">
        <f>IF(OR(E4557="",E4557="!!!",F4557="NEW"),"",COUNTBLANK(OFFSET(A$1,,,SUMPRODUCT(MAX(ROW(E$2:E4557)*(E4557=E$2:E4557)))))-COUNTBLANK(OFFSET(A$1,,,SUMPRODUCT(MAX(ROW(E$1:E4556)*(E2=E$1:E4556))))))</f>
        <v> </v>
      </c>
      <c r="K4557" s="25" t="str">
        <f>IF(OR(E4557="",E4557="!!!",F4557="NEW"),"",INDEX(J$1:J4556,SUMPRODUCT(MAX(ROW(E$1:E4556)*(E4557=E$1:E4556)))))</f>
        <v> </v>
      </c>
      <c r="L4557" s="26"/>
    </row>
    <row r="4558" spans="1:12">
      <c r="A4558" s="20" t="s">
        <v>765</v>
      </c>
      <c r="B4558" s="27" t="s">
        <v>733</v>
      </c>
      <c r="C4558" s="27" t="s">
        <v>772</v>
      </c>
      <c r="E4558" s="21">
        <f>IF(D4558="?OLD","!!!","")</f>
        <v/>
      </c>
      <c r="F4558" s="22" t="str">
        <f>IF(OR(E4558="",E4558="!!!"),"",IF(NOT(ISNA(VLOOKUP(E4558,E$1:E4557,1,FALSE()))),"OLD",IF(AND(E4558&lt;&gt;"",E4558&lt;&gt;"!!!"),"NEW","")))</f>
        <v> </v>
      </c>
      <c r="G4558" s="23" t="str">
        <f>IF(OR(E4558="",E4558="!!!"),"",IF(OR(J4558=0,AND(J4558=1,K4558=1),AND(J4558=1,I4558="SBJ"),AND(J4558=1,I4558=0)),"?IN_FOCUS",IF(J4558&lt;=2,"?ACTIVATED",IF(J4558&lt;&gt;"","?FAMILIAR",IF(F4558="NEW",IF(ISNA(VLOOKUP(E4558,#REF!,1,FALSE())),"?TYPE_IDENTIFIABLE","?REFERENTIAL"),"_")))))</f>
        <v> </v>
      </c>
      <c r="H4558" s="24" t="str">
        <f>IF(J4558&lt;&gt;1,"",IF(I4558="SBJ","CB","?"))</f>
        <v> </v>
      </c>
      <c r="I4558" s="25" t="str">
        <f>IF(OR(E4558="",E4558="!!!",F4558="NEW"),"",INDEX(B4557:B$2,-1+SUMPRODUCT(MAX(ROW(E4557:E$2)*(E4558=E4557:E$2)))))</f>
        <v> </v>
      </c>
      <c r="J4558" s="25" t="str">
        <f>IF(OR(E4558="",E4558="!!!",F4558="NEW"),"",COUNTBLANK(OFFSET(A$1,,,SUMPRODUCT(MAX(ROW(E$2:E4558)*(E4558=E$2:E4558)))))-COUNTBLANK(OFFSET(A$1,,,SUMPRODUCT(MAX(ROW(E$1:E4557)*(E2=E$1:E4557))))))</f>
        <v> </v>
      </c>
      <c r="K4558" s="25" t="str">
        <f>IF(OR(E4558="",E4558="!!!",F4558="NEW"),"",INDEX(J$1:J4557,SUMPRODUCT(MAX(ROW(E$1:E4557)*(E4558=E$1:E4557)))))</f>
        <v> </v>
      </c>
      <c r="L4558" s="26"/>
    </row>
    <row r="4559" spans="1:12">
      <c r="A4559" s="20" t="s">
        <v>818</v>
      </c>
      <c r="E4559" s="21">
        <f>IF(D4559="?OLD","!!!","")</f>
        <v/>
      </c>
      <c r="F4559" s="22" t="str">
        <f>IF(OR(E4559="",E4559="!!!"),"",IF(NOT(ISNA(VLOOKUP(E4559,E$1:E4558,1,FALSE()))),"OLD",IF(AND(E4559&lt;&gt;"",E4559&lt;&gt;"!!!"),"NEW","")))</f>
        <v> </v>
      </c>
      <c r="G4559" s="23" t="str">
        <f>IF(OR(E4559="",E4559="!!!"),"",IF(OR(J4559=0,AND(J4559=1,K4559=1),AND(J4559=1,I4559="SBJ"),AND(J4559=1,I4559=0)),"?IN_FOCUS",IF(J4559&lt;=2,"?ACTIVATED",IF(J4559&lt;&gt;"","?FAMILIAR",IF(F4559="NEW",IF(ISNA(VLOOKUP(E4559,#REF!,1,FALSE())),"?TYPE_IDENTIFIABLE","?REFERENTIAL"),"_")))))</f>
        <v> </v>
      </c>
      <c r="H4559" s="24" t="str">
        <f>IF(J4559&lt;&gt;1,"",IF(I4559="SBJ","CB","?"))</f>
        <v> </v>
      </c>
      <c r="I4559" s="25" t="str">
        <f>IF(OR(E4559="",E4559="!!!",F4559="NEW"),"",INDEX(B4558:B$2,-1+SUMPRODUCT(MAX(ROW(E4558:E$2)*(E4559=E4558:E$2)))))</f>
        <v> </v>
      </c>
      <c r="J4559" s="25" t="str">
        <f>IF(OR(E4559="",E4559="!!!",F4559="NEW"),"",COUNTBLANK(OFFSET(A$1,,,SUMPRODUCT(MAX(ROW(E$2:E4559)*(E4559=E$2:E4559)))))-COUNTBLANK(OFFSET(A$1,,,SUMPRODUCT(MAX(ROW(E$1:E4558)*(E2=E$1:E4558))))))</f>
        <v> </v>
      </c>
      <c r="K4559" s="25" t="str">
        <f>IF(OR(E4559="",E4559="!!!",F4559="NEW"),"",INDEX(J$1:J4558,SUMPRODUCT(MAX(ROW(E$1:E4558)*(E4559=E$1:E4558)))))</f>
        <v> </v>
      </c>
      <c r="L4559" s="26"/>
    </row>
    <row r="4560" spans="1:12">
      <c r="A4560" s="20" t="s">
        <v>2046</v>
      </c>
      <c r="B4560" s="27" t="s">
        <v>756</v>
      </c>
      <c r="C4560" s="27" t="s">
        <v>739</v>
      </c>
      <c r="D4560" s="27" t="s">
        <v>740</v>
      </c>
      <c r="E4560" s="21">
        <f>IF(D4560="?OLD","!!!","")</f>
        <v/>
      </c>
      <c r="F4560" s="22" t="str">
        <f>IF(OR(E4560="",E4560="!!!"),"",IF(NOT(ISNA(VLOOKUP(E4560,E$1:E4559,1,FALSE()))),"OLD",IF(AND(E4560&lt;&gt;"",E4560&lt;&gt;"!!!"),"NEW","")))</f>
        <v> </v>
      </c>
      <c r="G4560" s="23" t="str">
        <f>IF(OR(E4560="",E4560="!!!"),"",IF(OR(J4560=0,AND(J4560=1,K4560=1),AND(J4560=1,I4560="SBJ"),AND(J4560=1,I4560=0)),"?IN_FOCUS",IF(J4560&lt;=2,"?ACTIVATED",IF(J4560&lt;&gt;"","?FAMILIAR",IF(F4560="NEW",IF(ISNA(VLOOKUP(E4560,#REF!,1,FALSE())),"?TYPE_IDENTIFIABLE","?REFERENTIAL"),"_")))))</f>
        <v> </v>
      </c>
      <c r="H4560" s="24" t="str">
        <f>IF(J4560&lt;&gt;1,"",IF(I4560="SBJ","CB","?"))</f>
        <v> </v>
      </c>
      <c r="I4560" s="25" t="str">
        <f>IF(OR(E4560="",E4560="!!!",F4560="NEW"),"",INDEX(B4559:B$2,-1+SUMPRODUCT(MAX(ROW(E4559:E$2)*(E4560=E4559:E$2)))))</f>
        <v> </v>
      </c>
      <c r="J4560" s="25" t="str">
        <f>IF(OR(E4560="",E4560="!!!",F4560="NEW"),"",COUNTBLANK(OFFSET(A$1,,,SUMPRODUCT(MAX(ROW(E$2:E4560)*(E4560=E$2:E4560)))))-COUNTBLANK(OFFSET(A$1,,,SUMPRODUCT(MAX(ROW(E$1:E4559)*(E2=E$1:E4559))))))</f>
        <v> </v>
      </c>
      <c r="K4560" s="25" t="str">
        <f>IF(OR(E4560="",E4560="!!!",F4560="NEW"),"",INDEX(J$1:J4559,SUMPRODUCT(MAX(ROW(E$1:E4559)*(E4560=E$1:E4559)))))</f>
        <v> </v>
      </c>
      <c r="L4560" s="26"/>
    </row>
    <row r="4561" spans="1:12">
      <c r="A4561" s="20" t="s">
        <v>753</v>
      </c>
      <c r="E4561" s="21">
        <f>IF(D4561="?OLD","!!!","")</f>
        <v/>
      </c>
      <c r="F4561" s="22" t="str">
        <f>IF(OR(E4561="",E4561="!!!"),"",IF(NOT(ISNA(VLOOKUP(E4561,E$1:E4560,1,FALSE()))),"OLD",IF(AND(E4561&lt;&gt;"",E4561&lt;&gt;"!!!"),"NEW","")))</f>
        <v> </v>
      </c>
      <c r="G4561" s="23" t="str">
        <f>IF(OR(E4561="",E4561="!!!"),"",IF(OR(J4561=0,AND(J4561=1,K4561=1),AND(J4561=1,I4561="SBJ"),AND(J4561=1,I4561=0)),"?IN_FOCUS",IF(J4561&lt;=2,"?ACTIVATED",IF(J4561&lt;&gt;"","?FAMILIAR",IF(F4561="NEW",IF(ISNA(VLOOKUP(E4561,#REF!,1,FALSE())),"?TYPE_IDENTIFIABLE","?REFERENTIAL"),"_")))))</f>
        <v> </v>
      </c>
      <c r="H4561" s="24" t="str">
        <f>IF(J4561&lt;&gt;1,"",IF(I4561="SBJ","CB","?"))</f>
        <v> </v>
      </c>
      <c r="I4561" s="25" t="str">
        <f>IF(OR(E4561="",E4561="!!!",F4561="NEW"),"",INDEX(B4560:B$2,-1+SUMPRODUCT(MAX(ROW(E4560:E$2)*(E4561=E4560:E$2)))))</f>
        <v> </v>
      </c>
      <c r="J4561" s="25" t="str">
        <f>IF(OR(E4561="",E4561="!!!",F4561="NEW"),"",COUNTBLANK(OFFSET(A$1,,,SUMPRODUCT(MAX(ROW(E$2:E4561)*(E4561=E$2:E4561)))))-COUNTBLANK(OFFSET(A$1,,,SUMPRODUCT(MAX(ROW(E$1:E4560)*(E2=E$1:E4560))))))</f>
        <v> </v>
      </c>
      <c r="K4561" s="25" t="str">
        <f>IF(OR(E4561="",E4561="!!!",F4561="NEW"),"",INDEX(J$1:J4560,SUMPRODUCT(MAX(ROW(E$1:E4560)*(E4561=E$1:E4560)))))</f>
        <v> </v>
      </c>
      <c r="L4561" s="26"/>
    </row>
    <row r="4562" spans="1:12">
      <c r="A4562" s="20" t="s">
        <v>831</v>
      </c>
      <c r="B4562" s="27" t="s">
        <v>795</v>
      </c>
      <c r="C4562" s="27" t="s">
        <v>775</v>
      </c>
      <c r="D4562" s="27" t="s">
        <v>740</v>
      </c>
      <c r="E4562" s="21">
        <f>IF(D4562="?OLD","!!!","")</f>
        <v/>
      </c>
      <c r="F4562" s="22" t="str">
        <f>IF(OR(E4562="",E4562="!!!"),"",IF(NOT(ISNA(VLOOKUP(E4562,E$1:E4561,1,FALSE()))),"OLD",IF(AND(E4562&lt;&gt;"",E4562&lt;&gt;"!!!"),"NEW","")))</f>
        <v> </v>
      </c>
      <c r="G4562" s="23" t="str">
        <f>IF(OR(E4562="",E4562="!!!"),"",IF(OR(J4562=0,AND(J4562=1,K4562=1),AND(J4562=1,I4562="SBJ"),AND(J4562=1,I4562=0)),"?IN_FOCUS",IF(J4562&lt;=2,"?ACTIVATED",IF(J4562&lt;&gt;"","?FAMILIAR",IF(F4562="NEW",IF(ISNA(VLOOKUP(E4562,#REF!,1,FALSE())),"?TYPE_IDENTIFIABLE","?REFERENTIAL"),"_")))))</f>
        <v> </v>
      </c>
      <c r="H4562" s="24" t="str">
        <f>IF(J4562&lt;&gt;1,"",IF(I4562="SBJ","CB","?"))</f>
        <v> </v>
      </c>
      <c r="I4562" s="25" t="str">
        <f>IF(OR(E4562="",E4562="!!!",F4562="NEW"),"",INDEX(B4561:B$2,-1+SUMPRODUCT(MAX(ROW(E4561:E$2)*(E4562=E4561:E$2)))))</f>
        <v> </v>
      </c>
      <c r="J4562" s="25" t="str">
        <f>IF(OR(E4562="",E4562="!!!",F4562="NEW"),"",COUNTBLANK(OFFSET(A$1,,,SUMPRODUCT(MAX(ROW(E$2:E4562)*(E4562=E$2:E4562)))))-COUNTBLANK(OFFSET(A$1,,,SUMPRODUCT(MAX(ROW(E$1:E4561)*(E2=E$1:E4561))))))</f>
        <v> </v>
      </c>
      <c r="K4562" s="25" t="str">
        <f>IF(OR(E4562="",E4562="!!!",F4562="NEW"),"",INDEX(J$1:J4561,SUMPRODUCT(MAX(ROW(E$1:E4561)*(E4562=E$1:E4561)))))</f>
        <v> </v>
      </c>
      <c r="L4562" s="26"/>
    </row>
    <row r="4563" spans="1:12">
      <c r="A4563" s="20" t="s">
        <v>2047</v>
      </c>
      <c r="E4563" s="21">
        <f>IF(D4563="?OLD","!!!","")</f>
        <v/>
      </c>
      <c r="F4563" s="22" t="str">
        <f>IF(OR(E4563="",E4563="!!!"),"",IF(NOT(ISNA(VLOOKUP(E4563,E$1:E4562,1,FALSE()))),"OLD",IF(AND(E4563&lt;&gt;"",E4563&lt;&gt;"!!!"),"NEW","")))</f>
        <v> </v>
      </c>
      <c r="G4563" s="23" t="str">
        <f>IF(OR(E4563="",E4563="!!!"),"",IF(OR(J4563=0,AND(J4563=1,K4563=1),AND(J4563=1,I4563="SBJ"),AND(J4563=1,I4563=0)),"?IN_FOCUS",IF(J4563&lt;=2,"?ACTIVATED",IF(J4563&lt;&gt;"","?FAMILIAR",IF(F4563="NEW",IF(ISNA(VLOOKUP(E4563,#REF!,1,FALSE())),"?TYPE_IDENTIFIABLE","?REFERENTIAL"),"_")))))</f>
        <v> </v>
      </c>
      <c r="H4563" s="24" t="str">
        <f>IF(J4563&lt;&gt;1,"",IF(I4563="SBJ","CB","?"))</f>
        <v> </v>
      </c>
      <c r="I4563" s="25" t="str">
        <f>IF(OR(E4563="",E4563="!!!",F4563="NEW"),"",INDEX(B4562:B$2,-1+SUMPRODUCT(MAX(ROW(E4562:E$2)*(E4563=E4562:E$2)))))</f>
        <v> </v>
      </c>
      <c r="J4563" s="25" t="str">
        <f>IF(OR(E4563="",E4563="!!!",F4563="NEW"),"",COUNTBLANK(OFFSET(A$1,,,SUMPRODUCT(MAX(ROW(E$2:E4563)*(E4563=E$2:E4563)))))-COUNTBLANK(OFFSET(A$1,,,SUMPRODUCT(MAX(ROW(E$1:E4562)*(E2=E$1:E4562))))))</f>
        <v> </v>
      </c>
      <c r="K4563" s="25" t="str">
        <f>IF(OR(E4563="",E4563="!!!",F4563="NEW"),"",INDEX(J$1:J4562,SUMPRODUCT(MAX(ROW(E$1:E4562)*(E4563=E$1:E4562)))))</f>
        <v> </v>
      </c>
      <c r="L4563" s="26"/>
    </row>
    <row r="4564" spans="1:12">
      <c r="A4564" s="20" t="s">
        <v>1414</v>
      </c>
      <c r="B4564" s="27" t="s">
        <v>787</v>
      </c>
      <c r="C4564" s="27" t="s">
        <v>792</v>
      </c>
      <c r="D4564" s="27" t="s">
        <v>740</v>
      </c>
      <c r="E4564" s="21">
        <f>IF(D4564="?OLD","!!!","")</f>
        <v/>
      </c>
      <c r="F4564" s="22" t="str">
        <f>IF(OR(E4564="",E4564="!!!"),"",IF(NOT(ISNA(VLOOKUP(E4564,E$1:E4563,1,FALSE()))),"OLD",IF(AND(E4564&lt;&gt;"",E4564&lt;&gt;"!!!"),"NEW","")))</f>
        <v> </v>
      </c>
      <c r="G4564" s="23" t="str">
        <f>IF(OR(E4564="",E4564="!!!"),"",IF(OR(J4564=0,AND(J4564=1,K4564=1),AND(J4564=1,I4564="SBJ"),AND(J4564=1,I4564=0)),"?IN_FOCUS",IF(J4564&lt;=2,"?ACTIVATED",IF(J4564&lt;&gt;"","?FAMILIAR",IF(F4564="NEW",IF(ISNA(VLOOKUP(E4564,#REF!,1,FALSE())),"?TYPE_IDENTIFIABLE","?REFERENTIAL"),"_")))))</f>
        <v> </v>
      </c>
      <c r="H4564" s="24" t="str">
        <f>IF(J4564&lt;&gt;1,"",IF(I4564="SBJ","CB","?"))</f>
        <v> </v>
      </c>
      <c r="I4564" s="25" t="str">
        <f>IF(OR(E4564="",E4564="!!!",F4564="NEW"),"",INDEX(B4563:B$2,-1+SUMPRODUCT(MAX(ROW(E4563:E$2)*(E4564=E4563:E$2)))))</f>
        <v> </v>
      </c>
      <c r="J4564" s="25" t="str">
        <f>IF(OR(E4564="",E4564="!!!",F4564="NEW"),"",COUNTBLANK(OFFSET(A$1,,,SUMPRODUCT(MAX(ROW(E$2:E4564)*(E4564=E$2:E4564)))))-COUNTBLANK(OFFSET(A$1,,,SUMPRODUCT(MAX(ROW(E$1:E4563)*(E2=E$1:E4563))))))</f>
        <v> </v>
      </c>
      <c r="K4564" s="25" t="str">
        <f>IF(OR(E4564="",E4564="!!!",F4564="NEW"),"",INDEX(J$1:J4563,SUMPRODUCT(MAX(ROW(E$1:E4563)*(E4564=E$1:E4563)))))</f>
        <v> </v>
      </c>
      <c r="L4564" s="26"/>
    </row>
    <row r="4565" spans="1:12">
      <c r="A4565" s="20" t="s">
        <v>10</v>
      </c>
      <c r="E4565" s="21">
        <f>IF(D4565="?OLD","!!!","")</f>
        <v/>
      </c>
      <c r="F4565" s="22" t="str">
        <f>IF(OR(E4565="",E4565="!!!"),"",IF(NOT(ISNA(VLOOKUP(E4565,E$1:E4564,1,FALSE()))),"OLD",IF(AND(E4565&lt;&gt;"",E4565&lt;&gt;"!!!"),"NEW","")))</f>
        <v> </v>
      </c>
      <c r="G4565" s="23" t="str">
        <f>IF(OR(E4565="",E4565="!!!"),"",IF(OR(J4565=0,AND(J4565=1,K4565=1),AND(J4565=1,I4565="SBJ"),AND(J4565=1,I4565=0)),"?IN_FOCUS",IF(J4565&lt;=2,"?ACTIVATED",IF(J4565&lt;&gt;"","?FAMILIAR",IF(F4565="NEW",IF(ISNA(VLOOKUP(E4565,#REF!,1,FALSE())),"?TYPE_IDENTIFIABLE","?REFERENTIAL"),"_")))))</f>
        <v> </v>
      </c>
      <c r="H4565" s="24" t="str">
        <f>IF(J4565&lt;&gt;1,"",IF(I4565="SBJ","CB","?"))</f>
        <v> </v>
      </c>
      <c r="I4565" s="25" t="str">
        <f>IF(OR(E4565="",E4565="!!!",F4565="NEW"),"",INDEX(B4564:B$2,-1+SUMPRODUCT(MAX(ROW(E4564:E$2)*(E4565=E4564:E$2)))))</f>
        <v> </v>
      </c>
      <c r="J4565" s="25" t="str">
        <f>IF(OR(E4565="",E4565="!!!",F4565="NEW"),"",COUNTBLANK(OFFSET(A$1,,,SUMPRODUCT(MAX(ROW(E$2:E4565)*(E4565=E$2:E4565)))))-COUNTBLANK(OFFSET(A$1,,,SUMPRODUCT(MAX(ROW(E$1:E4564)*(E2=E$1:E4564))))))</f>
        <v> </v>
      </c>
      <c r="K4565" s="25" t="str">
        <f>IF(OR(E4565="",E4565="!!!",F4565="NEW"),"",INDEX(J$1:J4564,SUMPRODUCT(MAX(ROW(E$1:E4564)*(E4565=E$1:E4564)))))</f>
        <v> </v>
      </c>
      <c r="L4565" s="26"/>
    </row>
    <row r="4566" spans="1:12">
      <c r="A4566" s="20" t="s">
        <v>12</v>
      </c>
      <c r="E4566" s="21">
        <f>IF(D4566="?OLD","!!!","")</f>
        <v/>
      </c>
      <c r="F4566" s="22" t="str">
        <f>IF(OR(E4566="",E4566="!!!"),"",IF(NOT(ISNA(VLOOKUP(E4566,E$1:E4565,1,FALSE()))),"OLD",IF(AND(E4566&lt;&gt;"",E4566&lt;&gt;"!!!"),"NEW","")))</f>
        <v> </v>
      </c>
      <c r="G4566" s="23" t="str">
        <f>IF(OR(E4566="",E4566="!!!"),"",IF(OR(J4566=0,AND(J4566=1,K4566=1),AND(J4566=1,I4566="SBJ"),AND(J4566=1,I4566=0)),"?IN_FOCUS",IF(J4566&lt;=2,"?ACTIVATED",IF(J4566&lt;&gt;"","?FAMILIAR",IF(F4566="NEW",IF(ISNA(VLOOKUP(E4566,#REF!,1,FALSE())),"?TYPE_IDENTIFIABLE","?REFERENTIAL"),"_")))))</f>
        <v> </v>
      </c>
      <c r="H4566" s="24" t="str">
        <f>IF(J4566&lt;&gt;1,"",IF(I4566="SBJ","CB","?"))</f>
        <v> </v>
      </c>
      <c r="I4566" s="25" t="str">
        <f>IF(OR(E4566="",E4566="!!!",F4566="NEW"),"",INDEX(B4565:B$2,-1+SUMPRODUCT(MAX(ROW(E4565:E$2)*(E4566=E4565:E$2)))))</f>
        <v> </v>
      </c>
      <c r="J4566" s="25" t="str">
        <f>IF(OR(E4566="",E4566="!!!",F4566="NEW"),"",COUNTBLANK(OFFSET(A$1,,,SUMPRODUCT(MAX(ROW(E$2:E4566)*(E4566=E$2:E4566)))))-COUNTBLANK(OFFSET(A$1,,,SUMPRODUCT(MAX(ROW(E$1:E4565)*(E2=E$1:E4565))))))</f>
        <v> </v>
      </c>
      <c r="K4566" s="25" t="str">
        <f>IF(OR(E4566="",E4566="!!!",F4566="NEW"),"",INDEX(J$1:J4565,SUMPRODUCT(MAX(ROW(E$1:E4565)*(E4566=E$1:E4565)))))</f>
        <v> </v>
      </c>
      <c r="L4566" s="26"/>
    </row>
    <row r="4567" spans="1:12">
      <c r="A4567" s="20" t="s">
        <v>2048</v>
      </c>
      <c r="B4567" s="27" t="s">
        <v>787</v>
      </c>
      <c r="C4567" s="27" t="s">
        <v>780</v>
      </c>
      <c r="E4567" s="21">
        <f>IF(D4567="?OLD","!!!","")</f>
        <v/>
      </c>
      <c r="F4567" s="22" t="str">
        <f>IF(OR(E4567="",E4567="!!!"),"",IF(NOT(ISNA(VLOOKUP(E4567,E$1:E4566,1,FALSE()))),"OLD",IF(AND(E4567&lt;&gt;"",E4567&lt;&gt;"!!!"),"NEW","")))</f>
        <v> </v>
      </c>
      <c r="G4567" s="23" t="str">
        <f>IF(OR(E4567="",E4567="!!!"),"",IF(OR(J4567=0,AND(J4567=1,K4567=1),AND(J4567=1,I4567="SBJ"),AND(J4567=1,I4567=0)),"?IN_FOCUS",IF(J4567&lt;=2,"?ACTIVATED",IF(J4567&lt;&gt;"","?FAMILIAR",IF(F4567="NEW",IF(ISNA(VLOOKUP(E4567,#REF!,1,FALSE())),"?TYPE_IDENTIFIABLE","?REFERENTIAL"),"_")))))</f>
        <v> </v>
      </c>
      <c r="H4567" s="24" t="str">
        <f>IF(J4567&lt;&gt;1,"",IF(I4567="SBJ","CB","?"))</f>
        <v> </v>
      </c>
      <c r="I4567" s="25" t="str">
        <f>IF(OR(E4567="",E4567="!!!",F4567="NEW"),"",INDEX(B4566:B$2,-1+SUMPRODUCT(MAX(ROW(E4566:E$2)*(E4567=E4566:E$2)))))</f>
        <v> </v>
      </c>
      <c r="J4567" s="25" t="str">
        <f>IF(OR(E4567="",E4567="!!!",F4567="NEW"),"",COUNTBLANK(OFFSET(A$1,,,SUMPRODUCT(MAX(ROW(E$2:E4567)*(E4567=E$2:E4567)))))-COUNTBLANK(OFFSET(A$1,,,SUMPRODUCT(MAX(ROW(E$1:E4566)*(E2=E$1:E4566))))))</f>
        <v> </v>
      </c>
      <c r="K4567" s="25" t="str">
        <f>IF(OR(E4567="",E4567="!!!",F4567="NEW"),"",INDEX(J$1:J4566,SUMPRODUCT(MAX(ROW(E$1:E4566)*(E4567=E$1:E4566)))))</f>
        <v> </v>
      </c>
      <c r="L4567" s="26"/>
    </row>
    <row r="4568" spans="1:12">
      <c r="A4568" s="20" t="s">
        <v>2049</v>
      </c>
      <c r="E4568" s="21">
        <f>IF(D4568="?OLD","!!!","")</f>
        <v/>
      </c>
      <c r="F4568" s="22" t="str">
        <f>IF(OR(E4568="",E4568="!!!"),"",IF(NOT(ISNA(VLOOKUP(E4568,E$1:E4567,1,FALSE()))),"OLD",IF(AND(E4568&lt;&gt;"",E4568&lt;&gt;"!!!"),"NEW","")))</f>
        <v> </v>
      </c>
      <c r="G4568" s="23" t="str">
        <f>IF(OR(E4568="",E4568="!!!"),"",IF(OR(J4568=0,AND(J4568=1,K4568=1),AND(J4568=1,I4568="SBJ"),AND(J4568=1,I4568=0)),"?IN_FOCUS",IF(J4568&lt;=2,"?ACTIVATED",IF(J4568&lt;&gt;"","?FAMILIAR",IF(F4568="NEW",IF(ISNA(VLOOKUP(E4568,#REF!,1,FALSE())),"?TYPE_IDENTIFIABLE","?REFERENTIAL"),"_")))))</f>
        <v> </v>
      </c>
      <c r="H4568" s="24" t="str">
        <f>IF(J4568&lt;&gt;1,"",IF(I4568="SBJ","CB","?"))</f>
        <v> </v>
      </c>
      <c r="I4568" s="25" t="str">
        <f>IF(OR(E4568="",E4568="!!!",F4568="NEW"),"",INDEX(B4567:B$2,-1+SUMPRODUCT(MAX(ROW(E4567:E$2)*(E4568=E4567:E$2)))))</f>
        <v> </v>
      </c>
      <c r="J4568" s="25" t="str">
        <f>IF(OR(E4568="",E4568="!!!",F4568="NEW"),"",COUNTBLANK(OFFSET(A$1,,,SUMPRODUCT(MAX(ROW(E$2:E4568)*(E4568=E$2:E4568)))))-COUNTBLANK(OFFSET(A$1,,,SUMPRODUCT(MAX(ROW(E$1:E4567)*(E2=E$1:E4567))))))</f>
        <v> </v>
      </c>
      <c r="K4568" s="25" t="str">
        <f>IF(OR(E4568="",E4568="!!!",F4568="NEW"),"",INDEX(J$1:J4567,SUMPRODUCT(MAX(ROW(E$1:E4567)*(E4568=E$1:E4567)))))</f>
        <v> </v>
      </c>
      <c r="L4568" s="26"/>
    </row>
    <row r="4569" spans="1:12">
      <c r="A4569" s="20" t="s">
        <v>924</v>
      </c>
      <c r="B4569" s="27" t="s">
        <v>764</v>
      </c>
      <c r="C4569" s="27" t="s">
        <v>908</v>
      </c>
      <c r="D4569" s="27" t="s">
        <v>740</v>
      </c>
      <c r="E4569" s="21">
        <f>IF(D4569="?OLD","!!!","")</f>
        <v/>
      </c>
      <c r="F4569" s="22" t="str">
        <f>IF(OR(E4569="",E4569="!!!"),"",IF(NOT(ISNA(VLOOKUP(E4569,E$1:E4568,1,FALSE()))),"OLD",IF(AND(E4569&lt;&gt;"",E4569&lt;&gt;"!!!"),"NEW","")))</f>
        <v> </v>
      </c>
      <c r="G4569" s="23" t="str">
        <f>IF(OR(E4569="",E4569="!!!"),"",IF(OR(J4569=0,AND(J4569=1,K4569=1),AND(J4569=1,I4569="SBJ"),AND(J4569=1,I4569=0)),"?IN_FOCUS",IF(J4569&lt;=2,"?ACTIVATED",IF(J4569&lt;&gt;"","?FAMILIAR",IF(F4569="NEW",IF(ISNA(VLOOKUP(E4569,#REF!,1,FALSE())),"?TYPE_IDENTIFIABLE","?REFERENTIAL"),"_")))))</f>
        <v> </v>
      </c>
      <c r="H4569" s="24" t="str">
        <f>IF(J4569&lt;&gt;1,"",IF(I4569="SBJ","CB","?"))</f>
        <v> </v>
      </c>
      <c r="I4569" s="25" t="str">
        <f>IF(OR(E4569="",E4569="!!!",F4569="NEW"),"",INDEX(B4568:B$2,-1+SUMPRODUCT(MAX(ROW(E4568:E$2)*(E4569=E4568:E$2)))))</f>
        <v> </v>
      </c>
      <c r="J4569" s="25" t="str">
        <f>IF(OR(E4569="",E4569="!!!",F4569="NEW"),"",COUNTBLANK(OFFSET(A$1,,,SUMPRODUCT(MAX(ROW(E$2:E4569)*(E4569=E$2:E4569)))))-COUNTBLANK(OFFSET(A$1,,,SUMPRODUCT(MAX(ROW(E$1:E4568)*(E2=E$1:E4568))))))</f>
        <v> </v>
      </c>
      <c r="K4569" s="25" t="str">
        <f>IF(OR(E4569="",E4569="!!!",F4569="NEW"),"",INDEX(J$1:J4568,SUMPRODUCT(MAX(ROW(E$1:E4568)*(E4569=E$1:E4568)))))</f>
        <v> </v>
      </c>
      <c r="L4569" s="26"/>
    </row>
    <row r="4570" spans="1:12">
      <c r="A4570" s="20" t="s">
        <v>883</v>
      </c>
      <c r="E4570" s="21">
        <f>IF(D4570="?OLD","!!!","")</f>
        <v/>
      </c>
      <c r="F4570" s="22" t="str">
        <f>IF(OR(E4570="",E4570="!!!"),"",IF(NOT(ISNA(VLOOKUP(E4570,E$1:E4569,1,FALSE()))),"OLD",IF(AND(E4570&lt;&gt;"",E4570&lt;&gt;"!!!"),"NEW","")))</f>
        <v> </v>
      </c>
      <c r="G4570" s="23" t="str">
        <f>IF(OR(E4570="",E4570="!!!"),"",IF(OR(J4570=0,AND(J4570=1,K4570=1),AND(J4570=1,I4570="SBJ"),AND(J4570=1,I4570=0)),"?IN_FOCUS",IF(J4570&lt;=2,"?ACTIVATED",IF(J4570&lt;&gt;"","?FAMILIAR",IF(F4570="NEW",IF(ISNA(VLOOKUP(E4570,#REF!,1,FALSE())),"?TYPE_IDENTIFIABLE","?REFERENTIAL"),"_")))))</f>
        <v> </v>
      </c>
      <c r="H4570" s="24" t="str">
        <f>IF(J4570&lt;&gt;1,"",IF(I4570="SBJ","CB","?"))</f>
        <v> </v>
      </c>
      <c r="I4570" s="25" t="str">
        <f>IF(OR(E4570="",E4570="!!!",F4570="NEW"),"",INDEX(B4569:B$2,-1+SUMPRODUCT(MAX(ROW(E4569:E$2)*(E4570=E4569:E$2)))))</f>
        <v> </v>
      </c>
      <c r="J4570" s="25" t="str">
        <f>IF(OR(E4570="",E4570="!!!",F4570="NEW"),"",COUNTBLANK(OFFSET(A$1,,,SUMPRODUCT(MAX(ROW(E$2:E4570)*(E4570=E$2:E4570)))))-COUNTBLANK(OFFSET(A$1,,,SUMPRODUCT(MAX(ROW(E$1:E4569)*(E2=E$1:E4569))))))</f>
        <v> </v>
      </c>
      <c r="K4570" s="25" t="str">
        <f>IF(OR(E4570="",E4570="!!!",F4570="NEW"),"",INDEX(J$1:J4569,SUMPRODUCT(MAX(ROW(E$1:E4569)*(E4570=E$1:E4569)))))</f>
        <v> </v>
      </c>
      <c r="L4570" s="26"/>
    </row>
    <row r="4571" spans="1:12">
      <c r="A4571" s="20" t="s">
        <v>2050</v>
      </c>
      <c r="B4571" s="27" t="s">
        <v>764</v>
      </c>
      <c r="C4571" s="27" t="s">
        <v>739</v>
      </c>
      <c r="D4571" s="27" t="s">
        <v>740</v>
      </c>
      <c r="E4571" s="21">
        <f>IF(D4571="?OLD","!!!","")</f>
        <v/>
      </c>
      <c r="F4571" s="22" t="str">
        <f>IF(OR(E4571="",E4571="!!!"),"",IF(NOT(ISNA(VLOOKUP(E4571,E$1:E4570,1,FALSE()))),"OLD",IF(AND(E4571&lt;&gt;"",E4571&lt;&gt;"!!!"),"NEW","")))</f>
        <v> </v>
      </c>
      <c r="G4571" s="23" t="str">
        <f>IF(OR(E4571="",E4571="!!!"),"",IF(OR(J4571=0,AND(J4571=1,K4571=1),AND(J4571=1,I4571="SBJ"),AND(J4571=1,I4571=0)),"?IN_FOCUS",IF(J4571&lt;=2,"?ACTIVATED",IF(J4571&lt;&gt;"","?FAMILIAR",IF(F4571="NEW",IF(ISNA(VLOOKUP(E4571,#REF!,1,FALSE())),"?TYPE_IDENTIFIABLE","?REFERENTIAL"),"_")))))</f>
        <v> </v>
      </c>
      <c r="H4571" s="24" t="str">
        <f>IF(J4571&lt;&gt;1,"",IF(I4571="SBJ","CB","?"))</f>
        <v> </v>
      </c>
      <c r="I4571" s="25" t="str">
        <f>IF(OR(E4571="",E4571="!!!",F4571="NEW"),"",INDEX(B4570:B$2,-1+SUMPRODUCT(MAX(ROW(E4570:E$2)*(E4571=E4570:E$2)))))</f>
        <v> </v>
      </c>
      <c r="J4571" s="25" t="str">
        <f>IF(OR(E4571="",E4571="!!!",F4571="NEW"),"",COUNTBLANK(OFFSET(A$1,,,SUMPRODUCT(MAX(ROW(E$2:E4571)*(E4571=E$2:E4571)))))-COUNTBLANK(OFFSET(A$1,,,SUMPRODUCT(MAX(ROW(E$1:E4570)*(E2=E$1:E4570))))))</f>
        <v> </v>
      </c>
      <c r="K4571" s="25" t="str">
        <f>IF(OR(E4571="",E4571="!!!",F4571="NEW"),"",INDEX(J$1:J4570,SUMPRODUCT(MAX(ROW(E$1:E4570)*(E4571=E$1:E4570)))))</f>
        <v> </v>
      </c>
      <c r="L4571" s="26"/>
    </row>
    <row r="4572" spans="1:12">
      <c r="A4572" s="20" t="s">
        <v>757</v>
      </c>
      <c r="E4572" s="21">
        <f>IF(D4572="?OLD","!!!","")</f>
        <v/>
      </c>
      <c r="F4572" s="22" t="str">
        <f>IF(OR(E4572="",E4572="!!!"),"",IF(NOT(ISNA(VLOOKUP(E4572,E$1:E4571,1,FALSE()))),"OLD",IF(AND(E4572&lt;&gt;"",E4572&lt;&gt;"!!!"),"NEW","")))</f>
        <v> </v>
      </c>
      <c r="G4572" s="23" t="str">
        <f>IF(OR(E4572="",E4572="!!!"),"",IF(OR(J4572=0,AND(J4572=1,K4572=1),AND(J4572=1,I4572="SBJ"),AND(J4572=1,I4572=0)),"?IN_FOCUS",IF(J4572&lt;=2,"?ACTIVATED",IF(J4572&lt;&gt;"","?FAMILIAR",IF(F4572="NEW",IF(ISNA(VLOOKUP(E4572,#REF!,1,FALSE())),"?TYPE_IDENTIFIABLE","?REFERENTIAL"),"_")))))</f>
        <v> </v>
      </c>
      <c r="H4572" s="24" t="str">
        <f>IF(J4572&lt;&gt;1,"",IF(I4572="SBJ","CB","?"))</f>
        <v> </v>
      </c>
      <c r="I4572" s="25" t="str">
        <f>IF(OR(E4572="",E4572="!!!",F4572="NEW"),"",INDEX(B4571:B$2,-1+SUMPRODUCT(MAX(ROW(E4571:E$2)*(E4572=E4571:E$2)))))</f>
        <v> </v>
      </c>
      <c r="J4572" s="25" t="str">
        <f>IF(OR(E4572="",E4572="!!!",F4572="NEW"),"",COUNTBLANK(OFFSET(A$1,,,SUMPRODUCT(MAX(ROW(E$2:E4572)*(E4572=E$2:E4572)))))-COUNTBLANK(OFFSET(A$1,,,SUMPRODUCT(MAX(ROW(E$1:E4571)*(E2=E$1:E4571))))))</f>
        <v> </v>
      </c>
      <c r="K4572" s="25" t="str">
        <f>IF(OR(E4572="",E4572="!!!",F4572="NEW"),"",INDEX(J$1:J4571,SUMPRODUCT(MAX(ROW(E$1:E4571)*(E4572=E$1:E4571)))))</f>
        <v> </v>
      </c>
      <c r="L4572" s="26"/>
    </row>
    <row r="4573" spans="1:12">
      <c r="A4573" s="20" t="s">
        <v>741</v>
      </c>
      <c r="E4573" s="21">
        <f>IF(D4573="?OLD","!!!","")</f>
        <v/>
      </c>
      <c r="F4573" s="22" t="str">
        <f>IF(OR(E4573="",E4573="!!!"),"",IF(NOT(ISNA(VLOOKUP(E4573,E$1:E4572,1,FALSE()))),"OLD",IF(AND(E4573&lt;&gt;"",E4573&lt;&gt;"!!!"),"NEW","")))</f>
        <v> </v>
      </c>
      <c r="G4573" s="23" t="str">
        <f>IF(OR(E4573="",E4573="!!!"),"",IF(OR(J4573=0,AND(J4573=1,K4573=1),AND(J4573=1,I4573="SBJ"),AND(J4573=1,I4573=0)),"?IN_FOCUS",IF(J4573&lt;=2,"?ACTIVATED",IF(J4573&lt;&gt;"","?FAMILIAR",IF(F4573="NEW",IF(ISNA(VLOOKUP(E4573,#REF!,1,FALSE())),"?TYPE_IDENTIFIABLE","?REFERENTIAL"),"_")))))</f>
        <v> </v>
      </c>
      <c r="H4573" s="24" t="str">
        <f>IF(J4573&lt;&gt;1,"",IF(I4573="SBJ","CB","?"))</f>
        <v> </v>
      </c>
      <c r="I4573" s="25" t="str">
        <f>IF(OR(E4573="",E4573="!!!",F4573="NEW"),"",INDEX(B4572:B$2,-1+SUMPRODUCT(MAX(ROW(E4572:E$2)*(E4573=E4572:E$2)))))</f>
        <v> </v>
      </c>
      <c r="J4573" s="25" t="str">
        <f>IF(OR(E4573="",E4573="!!!",F4573="NEW"),"",COUNTBLANK(OFFSET(A$1,,,SUMPRODUCT(MAX(ROW(E$2:E4573)*(E4573=E$2:E4573)))))-COUNTBLANK(OFFSET(A$1,,,SUMPRODUCT(MAX(ROW(E$1:E4572)*(E2=E$1:E4572))))))</f>
        <v> </v>
      </c>
      <c r="K4573" s="25" t="str">
        <f>IF(OR(E4573="",E4573="!!!",F4573="NEW"),"",INDEX(J$1:J4572,SUMPRODUCT(MAX(ROW(E$1:E4572)*(E4573=E$1:E4572)))))</f>
        <v> </v>
      </c>
      <c r="L4573" s="26"/>
    </row>
    <row r="4574" spans="1:12">
      <c r="A4574" s="20" t="s">
        <v>2051</v>
      </c>
      <c r="E4574" s="21">
        <f>IF(D4574="?OLD","!!!","")</f>
        <v/>
      </c>
      <c r="F4574" s="22" t="str">
        <f>IF(OR(E4574="",E4574="!!!"),"",IF(NOT(ISNA(VLOOKUP(E4574,E$1:E4573,1,FALSE()))),"OLD",IF(AND(E4574&lt;&gt;"",E4574&lt;&gt;"!!!"),"NEW","")))</f>
        <v> </v>
      </c>
      <c r="G4574" s="23" t="str">
        <f>IF(OR(E4574="",E4574="!!!"),"",IF(OR(J4574=0,AND(J4574=1,K4574=1),AND(J4574=1,I4574="SBJ"),AND(J4574=1,I4574=0)),"?IN_FOCUS",IF(J4574&lt;=2,"?ACTIVATED",IF(J4574&lt;&gt;"","?FAMILIAR",IF(F4574="NEW",IF(ISNA(VLOOKUP(E4574,#REF!,1,FALSE())),"?TYPE_IDENTIFIABLE","?REFERENTIAL"),"_")))))</f>
        <v> </v>
      </c>
      <c r="H4574" s="24" t="str">
        <f>IF(J4574&lt;&gt;1,"",IF(I4574="SBJ","CB","?"))</f>
        <v> </v>
      </c>
      <c r="I4574" s="25" t="str">
        <f>IF(OR(E4574="",E4574="!!!",F4574="NEW"),"",INDEX(B4573:B$2,-1+SUMPRODUCT(MAX(ROW(E4573:E$2)*(E4574=E4573:E$2)))))</f>
        <v> </v>
      </c>
      <c r="J4574" s="25" t="str">
        <f>IF(OR(E4574="",E4574="!!!",F4574="NEW"),"",COUNTBLANK(OFFSET(A$1,,,SUMPRODUCT(MAX(ROW(E$2:E4574)*(E4574=E$2:E4574)))))-COUNTBLANK(OFFSET(A$1,,,SUMPRODUCT(MAX(ROW(E$1:E4573)*(E2=E$1:E4573))))))</f>
        <v> </v>
      </c>
      <c r="K4574" s="25" t="str">
        <f>IF(OR(E4574="",E4574="!!!",F4574="NEW"),"",INDEX(J$1:J4573,SUMPRODUCT(MAX(ROW(E$1:E4573)*(E4574=E$1:E4573)))))</f>
        <v> </v>
      </c>
      <c r="L4574" s="26"/>
    </row>
    <row r="4575" spans="1:12">
      <c r="A4575" s="20" t="s">
        <v>2052</v>
      </c>
      <c r="B4575" s="27" t="s">
        <v>787</v>
      </c>
      <c r="C4575" s="27" t="s">
        <v>744</v>
      </c>
      <c r="E4575" s="21">
        <f>IF(D4575="?OLD","!!!","")</f>
        <v/>
      </c>
      <c r="F4575" s="22" t="str">
        <f>IF(OR(E4575="",E4575="!!!"),"",IF(NOT(ISNA(VLOOKUP(E4575,E$1:E4574,1,FALSE()))),"OLD",IF(AND(E4575&lt;&gt;"",E4575&lt;&gt;"!!!"),"NEW","")))</f>
        <v> </v>
      </c>
      <c r="G4575" s="23" t="str">
        <f>IF(OR(E4575="",E4575="!!!"),"",IF(OR(J4575=0,AND(J4575=1,K4575=1),AND(J4575=1,I4575="SBJ"),AND(J4575=1,I4575=0)),"?IN_FOCUS",IF(J4575&lt;=2,"?ACTIVATED",IF(J4575&lt;&gt;"","?FAMILIAR",IF(F4575="NEW",IF(ISNA(VLOOKUP(E4575,#REF!,1,FALSE())),"?TYPE_IDENTIFIABLE","?REFERENTIAL"),"_")))))</f>
        <v> </v>
      </c>
      <c r="H4575" s="24" t="str">
        <f>IF(J4575&lt;&gt;1,"",IF(I4575="SBJ","CB","?"))</f>
        <v> </v>
      </c>
      <c r="I4575" s="25" t="str">
        <f>IF(OR(E4575="",E4575="!!!",F4575="NEW"),"",INDEX(B4574:B$2,-1+SUMPRODUCT(MAX(ROW(E4574:E$2)*(E4575=E4574:E$2)))))</f>
        <v> </v>
      </c>
      <c r="J4575" s="25" t="str">
        <f>IF(OR(E4575="",E4575="!!!",F4575="NEW"),"",COUNTBLANK(OFFSET(A$1,,,SUMPRODUCT(MAX(ROW(E$2:E4575)*(E4575=E$2:E4575)))))-COUNTBLANK(OFFSET(A$1,,,SUMPRODUCT(MAX(ROW(E$1:E4574)*(E2=E$1:E4574))))))</f>
        <v> </v>
      </c>
      <c r="K4575" s="25" t="str">
        <f>IF(OR(E4575="",E4575="!!!",F4575="NEW"),"",INDEX(J$1:J4574,SUMPRODUCT(MAX(ROW(E$1:E4574)*(E4575=E$1:E4574)))))</f>
        <v> </v>
      </c>
      <c r="L4575" s="26"/>
    </row>
    <row r="4576" spans="1:12">
      <c r="A4576" s="20" t="s">
        <v>746</v>
      </c>
      <c r="E4576" s="21">
        <f>IF(D4576="?OLD","!!!","")</f>
        <v/>
      </c>
      <c r="F4576" s="22" t="str">
        <f>IF(OR(E4576="",E4576="!!!"),"",IF(NOT(ISNA(VLOOKUP(E4576,E$1:E4575,1,FALSE()))),"OLD",IF(AND(E4576&lt;&gt;"",E4576&lt;&gt;"!!!"),"NEW","")))</f>
        <v> </v>
      </c>
      <c r="G4576" s="23" t="str">
        <f>IF(OR(E4576="",E4576="!!!"),"",IF(OR(J4576=0,AND(J4576=1,K4576=1),AND(J4576=1,I4576="SBJ"),AND(J4576=1,I4576=0)),"?IN_FOCUS",IF(J4576&lt;=2,"?ACTIVATED",IF(J4576&lt;&gt;"","?FAMILIAR",IF(F4576="NEW",IF(ISNA(VLOOKUP(E4576,#REF!,1,FALSE())),"?TYPE_IDENTIFIABLE","?REFERENTIAL"),"_")))))</f>
        <v> </v>
      </c>
      <c r="H4576" s="24" t="str">
        <f>IF(J4576&lt;&gt;1,"",IF(I4576="SBJ","CB","?"))</f>
        <v> </v>
      </c>
      <c r="I4576" s="25" t="str">
        <f>IF(OR(E4576="",E4576="!!!",F4576="NEW"),"",INDEX(B4575:B$2,-1+SUMPRODUCT(MAX(ROW(E4575:E$2)*(E4576=E4575:E$2)))))</f>
        <v> </v>
      </c>
      <c r="J4576" s="25" t="str">
        <f>IF(OR(E4576="",E4576="!!!",F4576="NEW"),"",COUNTBLANK(OFFSET(A$1,,,SUMPRODUCT(MAX(ROW(E$2:E4576)*(E4576=E$2:E4576)))))-COUNTBLANK(OFFSET(A$1,,,SUMPRODUCT(MAX(ROW(E$1:E4575)*(E2=E$1:E4575))))))</f>
        <v> </v>
      </c>
      <c r="K4576" s="25" t="str">
        <f>IF(OR(E4576="",E4576="!!!",F4576="NEW"),"",INDEX(J$1:J4575,SUMPRODUCT(MAX(ROW(E$1:E4575)*(E4576=E$1:E4575)))))</f>
        <v> </v>
      </c>
      <c r="L4576" s="26"/>
    </row>
    <row r="4577" spans="1:12">
      <c r="A4577" s="20"/>
    </row>
    <row r="4578" spans="1:12">
      <c r="A4578" s="20" t="s">
        <v>2053</v>
      </c>
    </row>
    <row r="4579" spans="1:12">
      <c r="A4579" s="20" t="s">
        <v>1030</v>
      </c>
      <c r="B4579" s="27" t="s">
        <v>728</v>
      </c>
      <c r="C4579" s="27" t="s">
        <v>775</v>
      </c>
      <c r="D4579" s="27" t="s">
        <v>740</v>
      </c>
      <c r="E4579" s="21">
        <f>IF(D4579="?OLD","!!!","")</f>
        <v/>
      </c>
      <c r="F4579" s="22" t="str">
        <f>IF(OR(E4579="",E4579="!!!"),"",IF(NOT(ISNA(VLOOKUP(E4579,E$1:E4578,1,FALSE()))),"OLD",IF(AND(E4579&lt;&gt;"",E4579&lt;&gt;"!!!"),"NEW","")))</f>
        <v> </v>
      </c>
      <c r="G4579" s="23" t="str">
        <f>IF(OR(E4579="",E4579="!!!"),"",IF(OR(J4579=0,AND(J4579=1,K4579=1),AND(J4579=1,I4579="SBJ"),AND(J4579=1,I4579=0)),"?IN_FOCUS",IF(J4579&lt;=2,"?ACTIVATED",IF(J4579&lt;&gt;"","?FAMILIAR",IF(F4579="NEW",IF(ISNA(VLOOKUP(E4579,#REF!,1,FALSE())),"?TYPE_IDENTIFIABLE","?REFERENTIAL"),"_")))))</f>
        <v> </v>
      </c>
      <c r="H4579" s="24" t="str">
        <f>IF(J4579&lt;&gt;1,"",IF(I4579="SBJ","CB","?"))</f>
        <v> </v>
      </c>
      <c r="I4579" s="25" t="str">
        <f>IF(OR(E4579="",E4579="!!!",F4579="NEW"),"",INDEX(B4578:B$2,-1+SUMPRODUCT(MAX(ROW(E4578:E$2)*(E4579=E4578:E$2)))))</f>
        <v> </v>
      </c>
      <c r="J4579" s="25" t="str">
        <f>IF(OR(E4579="",E4579="!!!",F4579="NEW"),"",COUNTBLANK(OFFSET(A$1,,,SUMPRODUCT(MAX(ROW(E$2:E4579)*(E4579=E$2:E4579)))))-COUNTBLANK(OFFSET(A$1,,,SUMPRODUCT(MAX(ROW(E$1:E4578)*(E2=E$1:E4578))))))</f>
        <v> </v>
      </c>
      <c r="K4579" s="25" t="str">
        <f>IF(OR(E4579="",E4579="!!!",F4579="NEW"),"",INDEX(J$1:J4578,SUMPRODUCT(MAX(ROW(E$1:E4578)*(E4579=E$1:E4578)))))</f>
        <v> </v>
      </c>
      <c r="L4579" s="26"/>
    </row>
    <row r="4580" spans="1:12">
      <c r="A4580" s="20" t="s">
        <v>2054</v>
      </c>
      <c r="E4580" s="21">
        <f>IF(D4580="?OLD","!!!","")</f>
        <v/>
      </c>
      <c r="F4580" s="22" t="str">
        <f>IF(OR(E4580="",E4580="!!!"),"",IF(NOT(ISNA(VLOOKUP(E4580,E$1:E4579,1,FALSE()))),"OLD",IF(AND(E4580&lt;&gt;"",E4580&lt;&gt;"!!!"),"NEW","")))</f>
        <v> </v>
      </c>
      <c r="G4580" s="23" t="str">
        <f>IF(OR(E4580="",E4580="!!!"),"",IF(OR(J4580=0,AND(J4580=1,K4580=1),AND(J4580=1,I4580="SBJ"),AND(J4580=1,I4580=0)),"?IN_FOCUS",IF(J4580&lt;=2,"?ACTIVATED",IF(J4580&lt;&gt;"","?FAMILIAR",IF(F4580="NEW",IF(ISNA(VLOOKUP(E4580,#REF!,1,FALSE())),"?TYPE_IDENTIFIABLE","?REFERENTIAL"),"_")))))</f>
        <v> </v>
      </c>
      <c r="H4580" s="24" t="str">
        <f>IF(J4580&lt;&gt;1,"",IF(I4580="SBJ","CB","?"))</f>
        <v> </v>
      </c>
      <c r="I4580" s="25" t="str">
        <f>IF(OR(E4580="",E4580="!!!",F4580="NEW"),"",INDEX(B4579:B$2,-1+SUMPRODUCT(MAX(ROW(E4579:E$2)*(E4580=E4579:E$2)))))</f>
        <v> </v>
      </c>
      <c r="J4580" s="25" t="str">
        <f>IF(OR(E4580="",E4580="!!!",F4580="NEW"),"",COUNTBLANK(OFFSET(A$1,,,SUMPRODUCT(MAX(ROW(E$2:E4580)*(E4580=E$2:E4580)))))-COUNTBLANK(OFFSET(A$1,,,SUMPRODUCT(MAX(ROW(E$1:E4579)*(E2=E$1:E4579))))))</f>
        <v> </v>
      </c>
      <c r="K4580" s="25" t="str">
        <f>IF(OR(E4580="",E4580="!!!",F4580="NEW"),"",INDEX(J$1:J4579,SUMPRODUCT(MAX(ROW(E$1:E4579)*(E4580=E$1:E4579)))))</f>
        <v> </v>
      </c>
      <c r="L4580" s="26"/>
    </row>
    <row r="4581" spans="1:12">
      <c r="A4581" s="20" t="s">
        <v>861</v>
      </c>
      <c r="B4581" s="27" t="s">
        <v>738</v>
      </c>
      <c r="C4581" s="27" t="s">
        <v>775</v>
      </c>
      <c r="D4581" s="27" t="s">
        <v>740</v>
      </c>
      <c r="E4581" s="21">
        <f>IF(D4581="?OLD","!!!","")</f>
        <v/>
      </c>
      <c r="F4581" s="22" t="str">
        <f>IF(OR(E4581="",E4581="!!!"),"",IF(NOT(ISNA(VLOOKUP(E4581,E$1:E4580,1,FALSE()))),"OLD",IF(AND(E4581&lt;&gt;"",E4581&lt;&gt;"!!!"),"NEW","")))</f>
        <v> </v>
      </c>
      <c r="G4581" s="23" t="str">
        <f>IF(OR(E4581="",E4581="!!!"),"",IF(OR(J4581=0,AND(J4581=1,K4581=1),AND(J4581=1,I4581="SBJ"),AND(J4581=1,I4581=0)),"?IN_FOCUS",IF(J4581&lt;=2,"?ACTIVATED",IF(J4581&lt;&gt;"","?FAMILIAR",IF(F4581="NEW",IF(ISNA(VLOOKUP(E4581,#REF!,1,FALSE())),"?TYPE_IDENTIFIABLE","?REFERENTIAL"),"_")))))</f>
        <v> </v>
      </c>
      <c r="H4581" s="24" t="str">
        <f>IF(J4581&lt;&gt;1,"",IF(I4581="SBJ","CB","?"))</f>
        <v> </v>
      </c>
      <c r="I4581" s="25" t="str">
        <f>IF(OR(E4581="",E4581="!!!",F4581="NEW"),"",INDEX(B4580:B$2,-1+SUMPRODUCT(MAX(ROW(E4580:E$2)*(E4581=E4580:E$2)))))</f>
        <v> </v>
      </c>
      <c r="J4581" s="25" t="str">
        <f>IF(OR(E4581="",E4581="!!!",F4581="NEW"),"",COUNTBLANK(OFFSET(A$1,,,SUMPRODUCT(MAX(ROW(E$2:E4581)*(E4581=E$2:E4581)))))-COUNTBLANK(OFFSET(A$1,,,SUMPRODUCT(MAX(ROW(E$1:E4580)*(E2=E$1:E4580))))))</f>
        <v> </v>
      </c>
      <c r="K4581" s="25" t="str">
        <f>IF(OR(E4581="",E4581="!!!",F4581="NEW"),"",INDEX(J$1:J4580,SUMPRODUCT(MAX(ROW(E$1:E4580)*(E4581=E$1:E4580)))))</f>
        <v> </v>
      </c>
      <c r="L4581" s="26"/>
    </row>
    <row r="4582" spans="1:12">
      <c r="A4582" s="20" t="s">
        <v>2055</v>
      </c>
      <c r="E4582" s="21">
        <f>IF(D4582="?OLD","!!!","")</f>
        <v/>
      </c>
      <c r="F4582" s="22" t="str">
        <f>IF(OR(E4582="",E4582="!!!"),"",IF(NOT(ISNA(VLOOKUP(E4582,E$1:E4581,1,FALSE()))),"OLD",IF(AND(E4582&lt;&gt;"",E4582&lt;&gt;"!!!"),"NEW","")))</f>
        <v> </v>
      </c>
      <c r="G4582" s="23" t="str">
        <f>IF(OR(E4582="",E4582="!!!"),"",IF(OR(J4582=0,AND(J4582=1,K4582=1),AND(J4582=1,I4582="SBJ"),AND(J4582=1,I4582=0)),"?IN_FOCUS",IF(J4582&lt;=2,"?ACTIVATED",IF(J4582&lt;&gt;"","?FAMILIAR",IF(F4582="NEW",IF(ISNA(VLOOKUP(E4582,#REF!,1,FALSE())),"?TYPE_IDENTIFIABLE","?REFERENTIAL"),"_")))))</f>
        <v> </v>
      </c>
      <c r="H4582" s="24" t="str">
        <f>IF(J4582&lt;&gt;1,"",IF(I4582="SBJ","CB","?"))</f>
        <v> </v>
      </c>
      <c r="I4582" s="25" t="str">
        <f>IF(OR(E4582="",E4582="!!!",F4582="NEW"),"",INDEX(B4581:B$2,-1+SUMPRODUCT(MAX(ROW(E4581:E$2)*(E4582=E4581:E$2)))))</f>
        <v> </v>
      </c>
      <c r="J4582" s="25" t="str">
        <f>IF(OR(E4582="",E4582="!!!",F4582="NEW"),"",COUNTBLANK(OFFSET(A$1,,,SUMPRODUCT(MAX(ROW(E$2:E4582)*(E4582=E$2:E4582)))))-COUNTBLANK(OFFSET(A$1,,,SUMPRODUCT(MAX(ROW(E$1:E4581)*(E2=E$1:E4581))))))</f>
        <v> </v>
      </c>
      <c r="K4582" s="25" t="str">
        <f>IF(OR(E4582="",E4582="!!!",F4582="NEW"),"",INDEX(J$1:J4581,SUMPRODUCT(MAX(ROW(E$1:E4581)*(E4582=E$1:E4581)))))</f>
        <v> </v>
      </c>
      <c r="L4582" s="26"/>
    </row>
    <row r="4583" spans="1:12">
      <c r="A4583" s="20" t="s">
        <v>746</v>
      </c>
      <c r="E4583" s="21">
        <f>IF(D4583="?OLD","!!!","")</f>
        <v/>
      </c>
      <c r="F4583" s="22" t="str">
        <f>IF(OR(E4583="",E4583="!!!"),"",IF(NOT(ISNA(VLOOKUP(E4583,E$1:E4582,1,FALSE()))),"OLD",IF(AND(E4583&lt;&gt;"",E4583&lt;&gt;"!!!"),"NEW","")))</f>
        <v> </v>
      </c>
      <c r="G4583" s="23" t="str">
        <f>IF(OR(E4583="",E4583="!!!"),"",IF(OR(J4583=0,AND(J4583=1,K4583=1),AND(J4583=1,I4583="SBJ"),AND(J4583=1,I4583=0)),"?IN_FOCUS",IF(J4583&lt;=2,"?ACTIVATED",IF(J4583&lt;&gt;"","?FAMILIAR",IF(F4583="NEW",IF(ISNA(VLOOKUP(E4583,#REF!,1,FALSE())),"?TYPE_IDENTIFIABLE","?REFERENTIAL"),"_")))))</f>
        <v> </v>
      </c>
      <c r="H4583" s="24" t="str">
        <f>IF(J4583&lt;&gt;1,"",IF(I4583="SBJ","CB","?"))</f>
        <v> </v>
      </c>
      <c r="I4583" s="25" t="str">
        <f>IF(OR(E4583="",E4583="!!!",F4583="NEW"),"",INDEX(B4582:B$2,-1+SUMPRODUCT(MAX(ROW(E4582:E$2)*(E4583=E4582:E$2)))))</f>
        <v> </v>
      </c>
      <c r="J4583" s="25" t="str">
        <f>IF(OR(E4583="",E4583="!!!",F4583="NEW"),"",COUNTBLANK(OFFSET(A$1,,,SUMPRODUCT(MAX(ROW(E$2:E4583)*(E4583=E$2:E4583)))))-COUNTBLANK(OFFSET(A$1,,,SUMPRODUCT(MAX(ROW(E$1:E4582)*(E2=E$1:E4582))))))</f>
        <v> </v>
      </c>
      <c r="K4583" s="25" t="str">
        <f>IF(OR(E4583="",E4583="!!!",F4583="NEW"),"",INDEX(J$1:J4582,SUMPRODUCT(MAX(ROW(E$1:E4582)*(E4583=E$1:E4582)))))</f>
        <v> </v>
      </c>
      <c r="L4583" s="26"/>
    </row>
    <row r="4584" spans="1:12">
      <c r="A4584" s="20"/>
    </row>
    <row r="4585" spans="1:12">
      <c r="A4585" s="20" t="s">
        <v>2056</v>
      </c>
    </row>
    <row r="4586" spans="1:12">
      <c r="A4586" s="20" t="s">
        <v>813</v>
      </c>
      <c r="E4586" s="21">
        <f>IF(D4586="?OLD","!!!","")</f>
        <v/>
      </c>
      <c r="F4586" s="22" t="str">
        <f>IF(OR(E4586="",E4586="!!!"),"",IF(NOT(ISNA(VLOOKUP(E4586,E$1:E4585,1,FALSE()))),"OLD",IF(AND(E4586&lt;&gt;"",E4586&lt;&gt;"!!!"),"NEW","")))</f>
        <v> </v>
      </c>
      <c r="G4586" s="23" t="str">
        <f>IF(OR(E4586="",E4586="!!!"),"",IF(OR(J4586=0,AND(J4586=1,K4586=1),AND(J4586=1,I4586="SBJ"),AND(J4586=1,I4586=0)),"?IN_FOCUS",IF(J4586&lt;=2,"?ACTIVATED",IF(J4586&lt;&gt;"","?FAMILIAR",IF(F4586="NEW",IF(ISNA(VLOOKUP(E4586,#REF!,1,FALSE())),"?TYPE_IDENTIFIABLE","?REFERENTIAL"),"_")))))</f>
        <v> </v>
      </c>
      <c r="H4586" s="24" t="str">
        <f>IF(J4586&lt;&gt;1,"",IF(I4586="SBJ","CB","?"))</f>
        <v> </v>
      </c>
      <c r="I4586" s="25" t="str">
        <f>IF(OR(E4586="",E4586="!!!",F4586="NEW"),"",INDEX(B4585:B$2,-1+SUMPRODUCT(MAX(ROW(E4585:E$2)*(E4586=E4585:E$2)))))</f>
        <v> </v>
      </c>
      <c r="J4586" s="25" t="str">
        <f>IF(OR(E4586="",E4586="!!!",F4586="NEW"),"",COUNTBLANK(OFFSET(A$1,,,SUMPRODUCT(MAX(ROW(E$2:E4586)*(E4586=E$2:E4586)))))-COUNTBLANK(OFFSET(A$1,,,SUMPRODUCT(MAX(ROW(E$1:E4585)*(E2=E$1:E4585))))))</f>
        <v> </v>
      </c>
      <c r="K4586" s="25" t="str">
        <f>IF(OR(E4586="",E4586="!!!",F4586="NEW"),"",INDEX(J$1:J4585,SUMPRODUCT(MAX(ROW(E$1:E4585)*(E4586=E$1:E4585)))))</f>
        <v> </v>
      </c>
      <c r="L4586" s="26"/>
    </row>
    <row r="4587" spans="1:12">
      <c r="A4587" s="20" t="s">
        <v>1009</v>
      </c>
      <c r="E4587" s="21">
        <f>IF(D4587="?OLD","!!!","")</f>
        <v/>
      </c>
      <c r="F4587" s="22" t="str">
        <f>IF(OR(E4587="",E4587="!!!"),"",IF(NOT(ISNA(VLOOKUP(E4587,E$1:E4586,1,FALSE()))),"OLD",IF(AND(E4587&lt;&gt;"",E4587&lt;&gt;"!!!"),"NEW","")))</f>
        <v> </v>
      </c>
      <c r="G4587" s="23" t="str">
        <f>IF(OR(E4587="",E4587="!!!"),"",IF(OR(J4587=0,AND(J4587=1,K4587=1),AND(J4587=1,I4587="SBJ"),AND(J4587=1,I4587=0)),"?IN_FOCUS",IF(J4587&lt;=2,"?ACTIVATED",IF(J4587&lt;&gt;"","?FAMILIAR",IF(F4587="NEW",IF(ISNA(VLOOKUP(E4587,#REF!,1,FALSE())),"?TYPE_IDENTIFIABLE","?REFERENTIAL"),"_")))))</f>
        <v> </v>
      </c>
      <c r="H4587" s="24" t="str">
        <f>IF(J4587&lt;&gt;1,"",IF(I4587="SBJ","CB","?"))</f>
        <v> </v>
      </c>
      <c r="I4587" s="25" t="str">
        <f>IF(OR(E4587="",E4587="!!!",F4587="NEW"),"",INDEX(B4586:B$2,-1+SUMPRODUCT(MAX(ROW(E4586:E$2)*(E4587=E4586:E$2)))))</f>
        <v> </v>
      </c>
      <c r="J4587" s="25" t="str">
        <f>IF(OR(E4587="",E4587="!!!",F4587="NEW"),"",COUNTBLANK(OFFSET(A$1,,,SUMPRODUCT(MAX(ROW(E$2:E4587)*(E4587=E$2:E4587)))))-COUNTBLANK(OFFSET(A$1,,,SUMPRODUCT(MAX(ROW(E$1:E4586)*(E2=E$1:E4586))))))</f>
        <v> </v>
      </c>
      <c r="K4587" s="25" t="str">
        <f>IF(OR(E4587="",E4587="!!!",F4587="NEW"),"",INDEX(J$1:J4586,SUMPRODUCT(MAX(ROW(E$1:E4586)*(E4587=E$1:E4586)))))</f>
        <v> </v>
      </c>
      <c r="L4587" s="26"/>
    </row>
    <row r="4588" spans="1:12">
      <c r="A4588" s="20" t="s">
        <v>1964</v>
      </c>
      <c r="E4588" s="21">
        <f>IF(D4588="?OLD","!!!","")</f>
        <v/>
      </c>
      <c r="F4588" s="22" t="str">
        <f>IF(OR(E4588="",E4588="!!!"),"",IF(NOT(ISNA(VLOOKUP(E4588,E$1:E4587,1,FALSE()))),"OLD",IF(AND(E4588&lt;&gt;"",E4588&lt;&gt;"!!!"),"NEW","")))</f>
        <v> </v>
      </c>
      <c r="G4588" s="23" t="str">
        <f>IF(OR(E4588="",E4588="!!!"),"",IF(OR(J4588=0,AND(J4588=1,K4588=1),AND(J4588=1,I4588="SBJ"),AND(J4588=1,I4588=0)),"?IN_FOCUS",IF(J4588&lt;=2,"?ACTIVATED",IF(J4588&lt;&gt;"","?FAMILIAR",IF(F4588="NEW",IF(ISNA(VLOOKUP(E4588,#REF!,1,FALSE())),"?TYPE_IDENTIFIABLE","?REFERENTIAL"),"_")))))</f>
        <v> </v>
      </c>
      <c r="H4588" s="24" t="str">
        <f>IF(J4588&lt;&gt;1,"",IF(I4588="SBJ","CB","?"))</f>
        <v> </v>
      </c>
      <c r="I4588" s="25" t="str">
        <f>IF(OR(E4588="",E4588="!!!",F4588="NEW"),"",INDEX(B4587:B$2,-1+SUMPRODUCT(MAX(ROW(E4587:E$2)*(E4588=E4587:E$2)))))</f>
        <v> </v>
      </c>
      <c r="J4588" s="25" t="str">
        <f>IF(OR(E4588="",E4588="!!!",F4588="NEW"),"",COUNTBLANK(OFFSET(A$1,,,SUMPRODUCT(MAX(ROW(E$2:E4588)*(E4588=E$2:E4588)))))-COUNTBLANK(OFFSET(A$1,,,SUMPRODUCT(MAX(ROW(E$1:E4587)*(E2=E$1:E4587))))))</f>
        <v> </v>
      </c>
      <c r="K4588" s="25" t="str">
        <f>IF(OR(E4588="",E4588="!!!",F4588="NEW"),"",INDEX(J$1:J4587,SUMPRODUCT(MAX(ROW(E$1:E4587)*(E4588=E$1:E4587)))))</f>
        <v> </v>
      </c>
      <c r="L4588" s="26"/>
    </row>
    <row r="4589" spans="1:12">
      <c r="A4589" s="20" t="s">
        <v>2057</v>
      </c>
      <c r="E4589" s="21">
        <f>IF(D4589="?OLD","!!!","")</f>
        <v/>
      </c>
      <c r="F4589" s="22" t="str">
        <f>IF(OR(E4589="",E4589="!!!"),"",IF(NOT(ISNA(VLOOKUP(E4589,E$1:E4588,1,FALSE()))),"OLD",IF(AND(E4589&lt;&gt;"",E4589&lt;&gt;"!!!"),"NEW","")))</f>
        <v> </v>
      </c>
      <c r="G4589" s="23" t="str">
        <f>IF(OR(E4589="",E4589="!!!"),"",IF(OR(J4589=0,AND(J4589=1,K4589=1),AND(J4589=1,I4589="SBJ"),AND(J4589=1,I4589=0)),"?IN_FOCUS",IF(J4589&lt;=2,"?ACTIVATED",IF(J4589&lt;&gt;"","?FAMILIAR",IF(F4589="NEW",IF(ISNA(VLOOKUP(E4589,#REF!,1,FALSE())),"?TYPE_IDENTIFIABLE","?REFERENTIAL"),"_")))))</f>
        <v> </v>
      </c>
      <c r="H4589" s="24" t="str">
        <f>IF(J4589&lt;&gt;1,"",IF(I4589="SBJ","CB","?"))</f>
        <v> </v>
      </c>
      <c r="I4589" s="25" t="str">
        <f>IF(OR(E4589="",E4589="!!!",F4589="NEW"),"",INDEX(B4588:B$2,-1+SUMPRODUCT(MAX(ROW(E4588:E$2)*(E4589=E4588:E$2)))))</f>
        <v> </v>
      </c>
      <c r="J4589" s="25" t="str">
        <f>IF(OR(E4589="",E4589="!!!",F4589="NEW"),"",COUNTBLANK(OFFSET(A$1,,,SUMPRODUCT(MAX(ROW(E$2:E4589)*(E4589=E$2:E4589)))))-COUNTBLANK(OFFSET(A$1,,,SUMPRODUCT(MAX(ROW(E$1:E4588)*(E2=E$1:E4588))))))</f>
        <v> </v>
      </c>
      <c r="K4589" s="25" t="str">
        <f>IF(OR(E4589="",E4589="!!!",F4589="NEW"),"",INDEX(J$1:J4588,SUMPRODUCT(MAX(ROW(E$1:E4588)*(E4589=E$1:E4588)))))</f>
        <v> </v>
      </c>
      <c r="L4589" s="26"/>
    </row>
    <row r="4590" spans="1:12">
      <c r="A4590" s="20" t="s">
        <v>1759</v>
      </c>
      <c r="B4590" s="27" t="s">
        <v>756</v>
      </c>
      <c r="C4590" s="27" t="s">
        <v>780</v>
      </c>
      <c r="E4590" s="21">
        <f>IF(D4590="?OLD","!!!","")</f>
        <v/>
      </c>
      <c r="F4590" s="22" t="str">
        <f>IF(OR(E4590="",E4590="!!!"),"",IF(NOT(ISNA(VLOOKUP(E4590,E$1:E4589,1,FALSE()))),"OLD",IF(AND(E4590&lt;&gt;"",E4590&lt;&gt;"!!!"),"NEW","")))</f>
        <v> </v>
      </c>
      <c r="G4590" s="23" t="str">
        <f>IF(OR(E4590="",E4590="!!!"),"",IF(OR(J4590=0,AND(J4590=1,K4590=1),AND(J4590=1,I4590="SBJ"),AND(J4590=1,I4590=0)),"?IN_FOCUS",IF(J4590&lt;=2,"?ACTIVATED",IF(J4590&lt;&gt;"","?FAMILIAR",IF(F4590="NEW",IF(ISNA(VLOOKUP(E4590,#REF!,1,FALSE())),"?TYPE_IDENTIFIABLE","?REFERENTIAL"),"_")))))</f>
        <v> </v>
      </c>
      <c r="H4590" s="24" t="str">
        <f>IF(J4590&lt;&gt;1,"",IF(I4590="SBJ","CB","?"))</f>
        <v> </v>
      </c>
      <c r="I4590" s="25" t="str">
        <f>IF(OR(E4590="",E4590="!!!",F4590="NEW"),"",INDEX(B4589:B$2,-1+SUMPRODUCT(MAX(ROW(E4589:E$2)*(E4590=E4589:E$2)))))</f>
        <v> </v>
      </c>
      <c r="J4590" s="25" t="str">
        <f>IF(OR(E4590="",E4590="!!!",F4590="NEW"),"",COUNTBLANK(OFFSET(A$1,,,SUMPRODUCT(MAX(ROW(E$2:E4590)*(E4590=E$2:E4590)))))-COUNTBLANK(OFFSET(A$1,,,SUMPRODUCT(MAX(ROW(E$1:E4589)*(E2=E$1:E4589))))))</f>
        <v> </v>
      </c>
      <c r="K4590" s="25" t="str">
        <f>IF(OR(E4590="",E4590="!!!",F4590="NEW"),"",INDEX(J$1:J4589,SUMPRODUCT(MAX(ROW(E$1:E4589)*(E4590=E$1:E4589)))))</f>
        <v> </v>
      </c>
      <c r="L4590" s="26"/>
    </row>
    <row r="4591" spans="1:12">
      <c r="A4591" s="20" t="s">
        <v>753</v>
      </c>
      <c r="E4591" s="21">
        <f>IF(D4591="?OLD","!!!","")</f>
        <v/>
      </c>
      <c r="F4591" s="22" t="str">
        <f>IF(OR(E4591="",E4591="!!!"),"",IF(NOT(ISNA(VLOOKUP(E4591,E$1:E4590,1,FALSE()))),"OLD",IF(AND(E4591&lt;&gt;"",E4591&lt;&gt;"!!!"),"NEW","")))</f>
        <v> </v>
      </c>
      <c r="G4591" s="23" t="str">
        <f>IF(OR(E4591="",E4591="!!!"),"",IF(OR(J4591=0,AND(J4591=1,K4591=1),AND(J4591=1,I4591="SBJ"),AND(J4591=1,I4591=0)),"?IN_FOCUS",IF(J4591&lt;=2,"?ACTIVATED",IF(J4591&lt;&gt;"","?FAMILIAR",IF(F4591="NEW",IF(ISNA(VLOOKUP(E4591,#REF!,1,FALSE())),"?TYPE_IDENTIFIABLE","?REFERENTIAL"),"_")))))</f>
        <v> </v>
      </c>
      <c r="H4591" s="24" t="str">
        <f>IF(J4591&lt;&gt;1,"",IF(I4591="SBJ","CB","?"))</f>
        <v> </v>
      </c>
      <c r="I4591" s="25" t="str">
        <f>IF(OR(E4591="",E4591="!!!",F4591="NEW"),"",INDEX(B4590:B$2,-1+SUMPRODUCT(MAX(ROW(E4590:E$2)*(E4591=E4590:E$2)))))</f>
        <v> </v>
      </c>
      <c r="J4591" s="25" t="str">
        <f>IF(OR(E4591="",E4591="!!!",F4591="NEW"),"",COUNTBLANK(OFFSET(A$1,,,SUMPRODUCT(MAX(ROW(E$2:E4591)*(E4591=E$2:E4591)))))-COUNTBLANK(OFFSET(A$1,,,SUMPRODUCT(MAX(ROW(E$1:E4590)*(E2=E$1:E4590))))))</f>
        <v> </v>
      </c>
      <c r="K4591" s="25" t="str">
        <f>IF(OR(E4591="",E4591="!!!",F4591="NEW"),"",INDEX(J$1:J4590,SUMPRODUCT(MAX(ROW(E$1:E4590)*(E4591=E$1:E4590)))))</f>
        <v> </v>
      </c>
      <c r="L4591" s="26"/>
    </row>
    <row r="4592" spans="1:12">
      <c r="A4592" s="20" t="s">
        <v>2058</v>
      </c>
      <c r="E4592" s="21">
        <f>IF(D4592="?OLD","!!!","")</f>
        <v/>
      </c>
      <c r="F4592" s="22" t="str">
        <f>IF(OR(E4592="",E4592="!!!"),"",IF(NOT(ISNA(VLOOKUP(E4592,E$1:E4591,1,FALSE()))),"OLD",IF(AND(E4592&lt;&gt;"",E4592&lt;&gt;"!!!"),"NEW","")))</f>
        <v> </v>
      </c>
      <c r="G4592" s="23" t="str">
        <f>IF(OR(E4592="",E4592="!!!"),"",IF(OR(J4592=0,AND(J4592=1,K4592=1),AND(J4592=1,I4592="SBJ"),AND(J4592=1,I4592=0)),"?IN_FOCUS",IF(J4592&lt;=2,"?ACTIVATED",IF(J4592&lt;&gt;"","?FAMILIAR",IF(F4592="NEW",IF(ISNA(VLOOKUP(E4592,#REF!,1,FALSE())),"?TYPE_IDENTIFIABLE","?REFERENTIAL"),"_")))))</f>
        <v> </v>
      </c>
      <c r="H4592" s="24" t="str">
        <f>IF(J4592&lt;&gt;1,"",IF(I4592="SBJ","CB","?"))</f>
        <v> </v>
      </c>
      <c r="I4592" s="25" t="str">
        <f>IF(OR(E4592="",E4592="!!!",F4592="NEW"),"",INDEX(B4591:B$2,-1+SUMPRODUCT(MAX(ROW(E4591:E$2)*(E4592=E4591:E$2)))))</f>
        <v> </v>
      </c>
      <c r="J4592" s="25" t="str">
        <f>IF(OR(E4592="",E4592="!!!",F4592="NEW"),"",COUNTBLANK(OFFSET(A$1,,,SUMPRODUCT(MAX(ROW(E$2:E4592)*(E4592=E$2:E4592)))))-COUNTBLANK(OFFSET(A$1,,,SUMPRODUCT(MAX(ROW(E$1:E4591)*(E2=E$1:E4591))))))</f>
        <v> </v>
      </c>
      <c r="K4592" s="25" t="str">
        <f>IF(OR(E4592="",E4592="!!!",F4592="NEW"),"",INDEX(J$1:J4591,SUMPRODUCT(MAX(ROW(E$1:E4591)*(E4592=E$1:E4591)))))</f>
        <v> </v>
      </c>
      <c r="L4592" s="26"/>
    </row>
    <row r="4593" spans="1:12">
      <c r="A4593" s="20" t="s">
        <v>774</v>
      </c>
      <c r="B4593" s="27" t="s">
        <v>728</v>
      </c>
      <c r="C4593" s="27" t="s">
        <v>775</v>
      </c>
      <c r="D4593" s="27" t="s">
        <v>740</v>
      </c>
      <c r="E4593" s="21">
        <f>IF(D4593="?OLD","!!!","")</f>
        <v/>
      </c>
      <c r="F4593" s="22" t="str">
        <f>IF(OR(E4593="",E4593="!!!"),"",IF(NOT(ISNA(VLOOKUP(E4593,E$1:E4592,1,FALSE()))),"OLD",IF(AND(E4593&lt;&gt;"",E4593&lt;&gt;"!!!"),"NEW","")))</f>
        <v> </v>
      </c>
      <c r="G4593" s="23" t="str">
        <f>IF(OR(E4593="",E4593="!!!"),"",IF(OR(J4593=0,AND(J4593=1,K4593=1),AND(J4593=1,I4593="SBJ"),AND(J4593=1,I4593=0)),"?IN_FOCUS",IF(J4593&lt;=2,"?ACTIVATED",IF(J4593&lt;&gt;"","?FAMILIAR",IF(F4593="NEW",IF(ISNA(VLOOKUP(E4593,#REF!,1,FALSE())),"?TYPE_IDENTIFIABLE","?REFERENTIAL"),"_")))))</f>
        <v> </v>
      </c>
      <c r="H4593" s="24" t="str">
        <f>IF(J4593&lt;&gt;1,"",IF(I4593="SBJ","CB","?"))</f>
        <v> </v>
      </c>
      <c r="I4593" s="25" t="str">
        <f>IF(OR(E4593="",E4593="!!!",F4593="NEW"),"",INDEX(B4592:B$2,-1+SUMPRODUCT(MAX(ROW(E4592:E$2)*(E4593=E4592:E$2)))))</f>
        <v> </v>
      </c>
      <c r="J4593" s="25" t="str">
        <f>IF(OR(E4593="",E4593="!!!",F4593="NEW"),"",COUNTBLANK(OFFSET(A$1,,,SUMPRODUCT(MAX(ROW(E$2:E4593)*(E4593=E$2:E4593)))))-COUNTBLANK(OFFSET(A$1,,,SUMPRODUCT(MAX(ROW(E$1:E4592)*(E2=E$1:E4592))))))</f>
        <v> </v>
      </c>
      <c r="K4593" s="25" t="str">
        <f>IF(OR(E4593="",E4593="!!!",F4593="NEW"),"",INDEX(J$1:J4592,SUMPRODUCT(MAX(ROW(E$1:E4592)*(E4593=E$1:E4592)))))</f>
        <v> </v>
      </c>
      <c r="L4593" s="26"/>
    </row>
    <row r="4594" spans="1:12">
      <c r="A4594" s="20" t="s">
        <v>861</v>
      </c>
      <c r="B4594" s="27" t="s">
        <v>738</v>
      </c>
      <c r="C4594" s="27" t="s">
        <v>775</v>
      </c>
      <c r="D4594" s="27" t="s">
        <v>740</v>
      </c>
      <c r="E4594" s="21">
        <f>IF(D4594="?OLD","!!!","")</f>
        <v/>
      </c>
      <c r="F4594" s="22" t="str">
        <f>IF(OR(E4594="",E4594="!!!"),"",IF(NOT(ISNA(VLOOKUP(E4594,E$1:E4593,1,FALSE()))),"OLD",IF(AND(E4594&lt;&gt;"",E4594&lt;&gt;"!!!"),"NEW","")))</f>
        <v> </v>
      </c>
      <c r="G4594" s="23" t="str">
        <f>IF(OR(E4594="",E4594="!!!"),"",IF(OR(J4594=0,AND(J4594=1,K4594=1),AND(J4594=1,I4594="SBJ"),AND(J4594=1,I4594=0)),"?IN_FOCUS",IF(J4594&lt;=2,"?ACTIVATED",IF(J4594&lt;&gt;"","?FAMILIAR",IF(F4594="NEW",IF(ISNA(VLOOKUP(E4594,#REF!,1,FALSE())),"?TYPE_IDENTIFIABLE","?REFERENTIAL"),"_")))))</f>
        <v> </v>
      </c>
      <c r="H4594" s="24" t="str">
        <f>IF(J4594&lt;&gt;1,"",IF(I4594="SBJ","CB","?"))</f>
        <v> </v>
      </c>
      <c r="I4594" s="25" t="str">
        <f>IF(OR(E4594="",E4594="!!!",F4594="NEW"),"",INDEX(B4593:B$2,-1+SUMPRODUCT(MAX(ROW(E4593:E$2)*(E4594=E4593:E$2)))))</f>
        <v> </v>
      </c>
      <c r="J4594" s="25" t="str">
        <f>IF(OR(E4594="",E4594="!!!",F4594="NEW"),"",COUNTBLANK(OFFSET(A$1,,,SUMPRODUCT(MAX(ROW(E$2:E4594)*(E4594=E$2:E4594)))))-COUNTBLANK(OFFSET(A$1,,,SUMPRODUCT(MAX(ROW(E$1:E4593)*(E2=E$1:E4593))))))</f>
        <v> </v>
      </c>
      <c r="K4594" s="25" t="str">
        <f>IF(OR(E4594="",E4594="!!!",F4594="NEW"),"",INDEX(J$1:J4593,SUMPRODUCT(MAX(ROW(E$1:E4593)*(E4594=E$1:E4593)))))</f>
        <v> </v>
      </c>
      <c r="L4594" s="26"/>
    </row>
    <row r="4595" spans="1:12">
      <c r="A4595" s="20" t="s">
        <v>845</v>
      </c>
      <c r="E4595" s="21">
        <f>IF(D4595="?OLD","!!!","")</f>
        <v/>
      </c>
      <c r="F4595" s="22" t="str">
        <f>IF(OR(E4595="",E4595="!!!"),"",IF(NOT(ISNA(VLOOKUP(E4595,E$1:E4594,1,FALSE()))),"OLD",IF(AND(E4595&lt;&gt;"",E4595&lt;&gt;"!!!"),"NEW","")))</f>
        <v> </v>
      </c>
      <c r="G4595" s="23" t="str">
        <f>IF(OR(E4595="",E4595="!!!"),"",IF(OR(J4595=0,AND(J4595=1,K4595=1),AND(J4595=1,I4595="SBJ"),AND(J4595=1,I4595=0)),"?IN_FOCUS",IF(J4595&lt;=2,"?ACTIVATED",IF(J4595&lt;&gt;"","?FAMILIAR",IF(F4595="NEW",IF(ISNA(VLOOKUP(E4595,#REF!,1,FALSE())),"?TYPE_IDENTIFIABLE","?REFERENTIAL"),"_")))))</f>
        <v> </v>
      </c>
      <c r="H4595" s="24" t="str">
        <f>IF(J4595&lt;&gt;1,"",IF(I4595="SBJ","CB","?"))</f>
        <v> </v>
      </c>
      <c r="I4595" s="25" t="str">
        <f>IF(OR(E4595="",E4595="!!!",F4595="NEW"),"",INDEX(B4594:B$2,-1+SUMPRODUCT(MAX(ROW(E4594:E$2)*(E4595=E4594:E$2)))))</f>
        <v> </v>
      </c>
      <c r="J4595" s="25" t="str">
        <f>IF(OR(E4595="",E4595="!!!",F4595="NEW"),"",COUNTBLANK(OFFSET(A$1,,,SUMPRODUCT(MAX(ROW(E$2:E4595)*(E4595=E$2:E4595)))))-COUNTBLANK(OFFSET(A$1,,,SUMPRODUCT(MAX(ROW(E$1:E4594)*(E2=E$1:E4594))))))</f>
        <v> </v>
      </c>
      <c r="K4595" s="25" t="str">
        <f>IF(OR(E4595="",E4595="!!!",F4595="NEW"),"",INDEX(J$1:J4594,SUMPRODUCT(MAX(ROW(E$1:E4594)*(E4595=E$1:E4594)))))</f>
        <v> </v>
      </c>
      <c r="L4595" s="26"/>
    </row>
    <row r="4596" spans="1:12">
      <c r="A4596" s="20" t="s">
        <v>753</v>
      </c>
      <c r="E4596" s="21">
        <f>IF(D4596="?OLD","!!!","")</f>
        <v/>
      </c>
      <c r="F4596" s="22" t="str">
        <f>IF(OR(E4596="",E4596="!!!"),"",IF(NOT(ISNA(VLOOKUP(E4596,E$1:E4595,1,FALSE()))),"OLD",IF(AND(E4596&lt;&gt;"",E4596&lt;&gt;"!!!"),"NEW","")))</f>
        <v> </v>
      </c>
      <c r="G4596" s="23" t="str">
        <f>IF(OR(E4596="",E4596="!!!"),"",IF(OR(J4596=0,AND(J4596=1,K4596=1),AND(J4596=1,I4596="SBJ"),AND(J4596=1,I4596=0)),"?IN_FOCUS",IF(J4596&lt;=2,"?ACTIVATED",IF(J4596&lt;&gt;"","?FAMILIAR",IF(F4596="NEW",IF(ISNA(VLOOKUP(E4596,#REF!,1,FALSE())),"?TYPE_IDENTIFIABLE","?REFERENTIAL"),"_")))))</f>
        <v> </v>
      </c>
      <c r="H4596" s="24" t="str">
        <f>IF(J4596&lt;&gt;1,"",IF(I4596="SBJ","CB","?"))</f>
        <v> </v>
      </c>
      <c r="I4596" s="25" t="str">
        <f>IF(OR(E4596="",E4596="!!!",F4596="NEW"),"",INDEX(B4595:B$2,-1+SUMPRODUCT(MAX(ROW(E4595:E$2)*(E4596=E4595:E$2)))))</f>
        <v> </v>
      </c>
      <c r="J4596" s="25" t="str">
        <f>IF(OR(E4596="",E4596="!!!",F4596="NEW"),"",COUNTBLANK(OFFSET(A$1,,,SUMPRODUCT(MAX(ROW(E$2:E4596)*(E4596=E$2:E4596)))))-COUNTBLANK(OFFSET(A$1,,,SUMPRODUCT(MAX(ROW(E$1:E4595)*(E2=E$1:E4595))))))</f>
        <v> </v>
      </c>
      <c r="K4596" s="25" t="str">
        <f>IF(OR(E4596="",E4596="!!!",F4596="NEW"),"",INDEX(J$1:J4595,SUMPRODUCT(MAX(ROW(E$1:E4595)*(E4596=E$1:E4595)))))</f>
        <v> </v>
      </c>
      <c r="L4596" s="26"/>
    </row>
    <row r="4597" spans="1:12">
      <c r="A4597" s="20" t="s">
        <v>860</v>
      </c>
      <c r="E4597" s="21">
        <f>IF(D4597="?OLD","!!!","")</f>
        <v/>
      </c>
      <c r="F4597" s="22" t="str">
        <f>IF(OR(E4597="",E4597="!!!"),"",IF(NOT(ISNA(VLOOKUP(E4597,E$1:E4596,1,FALSE()))),"OLD",IF(AND(E4597&lt;&gt;"",E4597&lt;&gt;"!!!"),"NEW","")))</f>
        <v> </v>
      </c>
      <c r="G4597" s="23" t="str">
        <f>IF(OR(E4597="",E4597="!!!"),"",IF(OR(J4597=0,AND(J4597=1,K4597=1),AND(J4597=1,I4597="SBJ"),AND(J4597=1,I4597=0)),"?IN_FOCUS",IF(J4597&lt;=2,"?ACTIVATED",IF(J4597&lt;&gt;"","?FAMILIAR",IF(F4597="NEW",IF(ISNA(VLOOKUP(E4597,#REF!,1,FALSE())),"?TYPE_IDENTIFIABLE","?REFERENTIAL"),"_")))))</f>
        <v> </v>
      </c>
      <c r="H4597" s="24" t="str">
        <f>IF(J4597&lt;&gt;1,"",IF(I4597="SBJ","CB","?"))</f>
        <v> </v>
      </c>
      <c r="I4597" s="25" t="str">
        <f>IF(OR(E4597="",E4597="!!!",F4597="NEW"),"",INDEX(B4596:B$2,-1+SUMPRODUCT(MAX(ROW(E4596:E$2)*(E4597=E4596:E$2)))))</f>
        <v> </v>
      </c>
      <c r="J4597" s="25" t="str">
        <f>IF(OR(E4597="",E4597="!!!",F4597="NEW"),"",COUNTBLANK(OFFSET(A$1,,,SUMPRODUCT(MAX(ROW(E$2:E4597)*(E4597=E$2:E4597)))))-COUNTBLANK(OFFSET(A$1,,,SUMPRODUCT(MAX(ROW(E$1:E4596)*(E2=E$1:E4596))))))</f>
        <v> </v>
      </c>
      <c r="K4597" s="25" t="str">
        <f>IF(OR(E4597="",E4597="!!!",F4597="NEW"),"",INDEX(J$1:J4596,SUMPRODUCT(MAX(ROW(E$1:E4596)*(E4597=E$1:E4596)))))</f>
        <v> </v>
      </c>
      <c r="L4597" s="26"/>
    </row>
    <row r="4598" spans="1:12">
      <c r="A4598" s="20" t="s">
        <v>1078</v>
      </c>
      <c r="E4598" s="21">
        <f>IF(D4598="?OLD","!!!","")</f>
        <v/>
      </c>
      <c r="F4598" s="22" t="str">
        <f>IF(OR(E4598="",E4598="!!!"),"",IF(NOT(ISNA(VLOOKUP(E4598,E$1:E4597,1,FALSE()))),"OLD",IF(AND(E4598&lt;&gt;"",E4598&lt;&gt;"!!!"),"NEW","")))</f>
        <v> </v>
      </c>
      <c r="G4598" s="23" t="str">
        <f>IF(OR(E4598="",E4598="!!!"),"",IF(OR(J4598=0,AND(J4598=1,K4598=1),AND(J4598=1,I4598="SBJ"),AND(J4598=1,I4598=0)),"?IN_FOCUS",IF(J4598&lt;=2,"?ACTIVATED",IF(J4598&lt;&gt;"","?FAMILIAR",IF(F4598="NEW",IF(ISNA(VLOOKUP(E4598,#REF!,1,FALSE())),"?TYPE_IDENTIFIABLE","?REFERENTIAL"),"_")))))</f>
        <v> </v>
      </c>
      <c r="H4598" s="24" t="str">
        <f>IF(J4598&lt;&gt;1,"",IF(I4598="SBJ","CB","?"))</f>
        <v> </v>
      </c>
      <c r="I4598" s="25" t="str">
        <f>IF(OR(E4598="",E4598="!!!",F4598="NEW"),"",INDEX(B4597:B$2,-1+SUMPRODUCT(MAX(ROW(E4597:E$2)*(E4598=E4597:E$2)))))</f>
        <v> </v>
      </c>
      <c r="J4598" s="25" t="str">
        <f>IF(OR(E4598="",E4598="!!!",F4598="NEW"),"",COUNTBLANK(OFFSET(A$1,,,SUMPRODUCT(MAX(ROW(E$2:E4598)*(E4598=E$2:E4598)))))-COUNTBLANK(OFFSET(A$1,,,SUMPRODUCT(MAX(ROW(E$1:E4597)*(E2=E$1:E4597))))))</f>
        <v> </v>
      </c>
      <c r="K4598" s="25" t="str">
        <f>IF(OR(E4598="",E4598="!!!",F4598="NEW"),"",INDEX(J$1:J4597,SUMPRODUCT(MAX(ROW(E$1:E4597)*(E4598=E$1:E4597)))))</f>
        <v> </v>
      </c>
      <c r="L4598" s="26"/>
    </row>
    <row r="4599" spans="1:12">
      <c r="A4599" s="20" t="s">
        <v>1605</v>
      </c>
      <c r="B4599" s="27" t="s">
        <v>771</v>
      </c>
      <c r="C4599" s="27" t="s">
        <v>848</v>
      </c>
      <c r="E4599" s="21">
        <f>IF(D4599="?OLD","!!!","")</f>
        <v/>
      </c>
      <c r="F4599" s="22" t="str">
        <f>IF(OR(E4599="",E4599="!!!"),"",IF(NOT(ISNA(VLOOKUP(E4599,E$1:E4598,1,FALSE()))),"OLD",IF(AND(E4599&lt;&gt;"",E4599&lt;&gt;"!!!"),"NEW","")))</f>
        <v> </v>
      </c>
      <c r="G4599" s="23" t="str">
        <f>IF(OR(E4599="",E4599="!!!"),"",IF(OR(J4599=0,AND(J4599=1,K4599=1),AND(J4599=1,I4599="SBJ"),AND(J4599=1,I4599=0)),"?IN_FOCUS",IF(J4599&lt;=2,"?ACTIVATED",IF(J4599&lt;&gt;"","?FAMILIAR",IF(F4599="NEW",IF(ISNA(VLOOKUP(E4599,#REF!,1,FALSE())),"?TYPE_IDENTIFIABLE","?REFERENTIAL"),"_")))))</f>
        <v> </v>
      </c>
      <c r="H4599" s="24" t="str">
        <f>IF(J4599&lt;&gt;1,"",IF(I4599="SBJ","CB","?"))</f>
        <v> </v>
      </c>
      <c r="I4599" s="25" t="str">
        <f>IF(OR(E4599="",E4599="!!!",F4599="NEW"),"",INDEX(B4598:B$2,-1+SUMPRODUCT(MAX(ROW(E4598:E$2)*(E4599=E4598:E$2)))))</f>
        <v> </v>
      </c>
      <c r="J4599" s="25" t="str">
        <f>IF(OR(E4599="",E4599="!!!",F4599="NEW"),"",COUNTBLANK(OFFSET(A$1,,,SUMPRODUCT(MAX(ROW(E$2:E4599)*(E4599=E$2:E4599)))))-COUNTBLANK(OFFSET(A$1,,,SUMPRODUCT(MAX(ROW(E$1:E4598)*(E2=E$1:E4598))))))</f>
        <v> </v>
      </c>
      <c r="K4599" s="25" t="str">
        <f>IF(OR(E4599="",E4599="!!!",F4599="NEW"),"",INDEX(J$1:J4598,SUMPRODUCT(MAX(ROW(E$1:E4598)*(E4599=E$1:E4598)))))</f>
        <v> </v>
      </c>
      <c r="L4599" s="26"/>
    </row>
    <row r="4600" spans="1:12">
      <c r="A4600" s="20" t="s">
        <v>2059</v>
      </c>
      <c r="E4600" s="21">
        <f>IF(D4600="?OLD","!!!","")</f>
        <v/>
      </c>
      <c r="F4600" s="22" t="str">
        <f>IF(OR(E4600="",E4600="!!!"),"",IF(NOT(ISNA(VLOOKUP(E4600,E$1:E4599,1,FALSE()))),"OLD",IF(AND(E4600&lt;&gt;"",E4600&lt;&gt;"!!!"),"NEW","")))</f>
        <v> </v>
      </c>
      <c r="G4600" s="23" t="str">
        <f>IF(OR(E4600="",E4600="!!!"),"",IF(OR(J4600=0,AND(J4600=1,K4600=1),AND(J4600=1,I4600="SBJ"),AND(J4600=1,I4600=0)),"?IN_FOCUS",IF(J4600&lt;=2,"?ACTIVATED",IF(J4600&lt;&gt;"","?FAMILIAR",IF(F4600="NEW",IF(ISNA(VLOOKUP(E4600,#REF!,1,FALSE())),"?TYPE_IDENTIFIABLE","?REFERENTIAL"),"_")))))</f>
        <v> </v>
      </c>
      <c r="H4600" s="24" t="str">
        <f>IF(J4600&lt;&gt;1,"",IF(I4600="SBJ","CB","?"))</f>
        <v> </v>
      </c>
      <c r="I4600" s="25" t="str">
        <f>IF(OR(E4600="",E4600="!!!",F4600="NEW"),"",INDEX(B4599:B$2,-1+SUMPRODUCT(MAX(ROW(E4599:E$2)*(E4600=E4599:E$2)))))</f>
        <v> </v>
      </c>
      <c r="J4600" s="25" t="str">
        <f>IF(OR(E4600="",E4600="!!!",F4600="NEW"),"",COUNTBLANK(OFFSET(A$1,,,SUMPRODUCT(MAX(ROW(E$2:E4600)*(E4600=E$2:E4600)))))-COUNTBLANK(OFFSET(A$1,,,SUMPRODUCT(MAX(ROW(E$1:E4599)*(E2=E$1:E4599))))))</f>
        <v> </v>
      </c>
      <c r="K4600" s="25" t="str">
        <f>IF(OR(E4600="",E4600="!!!",F4600="NEW"),"",INDEX(J$1:J4599,SUMPRODUCT(MAX(ROW(E$1:E4599)*(E4600=E$1:E4599)))))</f>
        <v> </v>
      </c>
      <c r="L4600" s="26"/>
    </row>
    <row r="4601" spans="1:12">
      <c r="A4601" s="20" t="s">
        <v>2060</v>
      </c>
      <c r="E4601" s="21">
        <f>IF(D4601="?OLD","!!!","")</f>
        <v/>
      </c>
      <c r="F4601" s="22" t="str">
        <f>IF(OR(E4601="",E4601="!!!"),"",IF(NOT(ISNA(VLOOKUP(E4601,E$1:E4600,1,FALSE()))),"OLD",IF(AND(E4601&lt;&gt;"",E4601&lt;&gt;"!!!"),"NEW","")))</f>
        <v> </v>
      </c>
      <c r="G4601" s="23" t="str">
        <f>IF(OR(E4601="",E4601="!!!"),"",IF(OR(J4601=0,AND(J4601=1,K4601=1),AND(J4601=1,I4601="SBJ"),AND(J4601=1,I4601=0)),"?IN_FOCUS",IF(J4601&lt;=2,"?ACTIVATED",IF(J4601&lt;&gt;"","?FAMILIAR",IF(F4601="NEW",IF(ISNA(VLOOKUP(E4601,#REF!,1,FALSE())),"?TYPE_IDENTIFIABLE","?REFERENTIAL"),"_")))))</f>
        <v> </v>
      </c>
      <c r="H4601" s="24" t="str">
        <f>IF(J4601&lt;&gt;1,"",IF(I4601="SBJ","CB","?"))</f>
        <v> </v>
      </c>
      <c r="I4601" s="25" t="str">
        <f>IF(OR(E4601="",E4601="!!!",F4601="NEW"),"",INDEX(B4600:B$2,-1+SUMPRODUCT(MAX(ROW(E4600:E$2)*(E4601=E4600:E$2)))))</f>
        <v> </v>
      </c>
      <c r="J4601" s="25" t="str">
        <f>IF(OR(E4601="",E4601="!!!",F4601="NEW"),"",COUNTBLANK(OFFSET(A$1,,,SUMPRODUCT(MAX(ROW(E$2:E4601)*(E4601=E$2:E4601)))))-COUNTBLANK(OFFSET(A$1,,,SUMPRODUCT(MAX(ROW(E$1:E4600)*(E2=E$1:E4600))))))</f>
        <v> </v>
      </c>
      <c r="K4601" s="25" t="str">
        <f>IF(OR(E4601="",E4601="!!!",F4601="NEW"),"",INDEX(J$1:J4600,SUMPRODUCT(MAX(ROW(E$1:E4600)*(E4601=E$1:E4600)))))</f>
        <v> </v>
      </c>
      <c r="L4601" s="26"/>
    </row>
    <row r="4602" spans="1:12">
      <c r="A4602" s="20" t="s">
        <v>891</v>
      </c>
      <c r="E4602" s="21">
        <f>IF(D4602="?OLD","!!!","")</f>
        <v/>
      </c>
      <c r="F4602" s="22" t="str">
        <f>IF(OR(E4602="",E4602="!!!"),"",IF(NOT(ISNA(VLOOKUP(E4602,E$1:E4601,1,FALSE()))),"OLD",IF(AND(E4602&lt;&gt;"",E4602&lt;&gt;"!!!"),"NEW","")))</f>
        <v> </v>
      </c>
      <c r="G4602" s="23" t="str">
        <f>IF(OR(E4602="",E4602="!!!"),"",IF(OR(J4602=0,AND(J4602=1,K4602=1),AND(J4602=1,I4602="SBJ"),AND(J4602=1,I4602=0)),"?IN_FOCUS",IF(J4602&lt;=2,"?ACTIVATED",IF(J4602&lt;&gt;"","?FAMILIAR",IF(F4602="NEW",IF(ISNA(VLOOKUP(E4602,#REF!,1,FALSE())),"?TYPE_IDENTIFIABLE","?REFERENTIAL"),"_")))))</f>
        <v> </v>
      </c>
      <c r="H4602" s="24" t="str">
        <f>IF(J4602&lt;&gt;1,"",IF(I4602="SBJ","CB","?"))</f>
        <v> </v>
      </c>
      <c r="I4602" s="25" t="str">
        <f>IF(OR(E4602="",E4602="!!!",F4602="NEW"),"",INDEX(B4601:B$2,-1+SUMPRODUCT(MAX(ROW(E4601:E$2)*(E4602=E4601:E$2)))))</f>
        <v> </v>
      </c>
      <c r="J4602" s="25" t="str">
        <f>IF(OR(E4602="",E4602="!!!",F4602="NEW"),"",COUNTBLANK(OFFSET(A$1,,,SUMPRODUCT(MAX(ROW(E$2:E4602)*(E4602=E$2:E4602)))))-COUNTBLANK(OFFSET(A$1,,,SUMPRODUCT(MAX(ROW(E$1:E4601)*(E2=E$1:E4601))))))</f>
        <v> </v>
      </c>
      <c r="K4602" s="25" t="str">
        <f>IF(OR(E4602="",E4602="!!!",F4602="NEW"),"",INDEX(J$1:J4601,SUMPRODUCT(MAX(ROW(E$1:E4601)*(E4602=E$1:E4601)))))</f>
        <v> </v>
      </c>
      <c r="L4602" s="26"/>
    </row>
    <row r="4603" spans="1:12">
      <c r="A4603" s="20" t="s">
        <v>753</v>
      </c>
      <c r="E4603" s="21">
        <f>IF(D4603="?OLD","!!!","")</f>
        <v/>
      </c>
      <c r="F4603" s="22" t="str">
        <f>IF(OR(E4603="",E4603="!!!"),"",IF(NOT(ISNA(VLOOKUP(E4603,E$1:E4602,1,FALSE()))),"OLD",IF(AND(E4603&lt;&gt;"",E4603&lt;&gt;"!!!"),"NEW","")))</f>
        <v> </v>
      </c>
      <c r="G4603" s="23" t="str">
        <f>IF(OR(E4603="",E4603="!!!"),"",IF(OR(J4603=0,AND(J4603=1,K4603=1),AND(J4603=1,I4603="SBJ"),AND(J4603=1,I4603=0)),"?IN_FOCUS",IF(J4603&lt;=2,"?ACTIVATED",IF(J4603&lt;&gt;"","?FAMILIAR",IF(F4603="NEW",IF(ISNA(VLOOKUP(E4603,#REF!,1,FALSE())),"?TYPE_IDENTIFIABLE","?REFERENTIAL"),"_")))))</f>
        <v> </v>
      </c>
      <c r="H4603" s="24" t="str">
        <f>IF(J4603&lt;&gt;1,"",IF(I4603="SBJ","CB","?"))</f>
        <v> </v>
      </c>
      <c r="I4603" s="25" t="str">
        <f>IF(OR(E4603="",E4603="!!!",F4603="NEW"),"",INDEX(B4602:B$2,-1+SUMPRODUCT(MAX(ROW(E4602:E$2)*(E4603=E4602:E$2)))))</f>
        <v> </v>
      </c>
      <c r="J4603" s="25" t="str">
        <f>IF(OR(E4603="",E4603="!!!",F4603="NEW"),"",COUNTBLANK(OFFSET(A$1,,,SUMPRODUCT(MAX(ROW(E$2:E4603)*(E4603=E$2:E4603)))))-COUNTBLANK(OFFSET(A$1,,,SUMPRODUCT(MAX(ROW(E$1:E4602)*(E2=E$1:E4602))))))</f>
        <v> </v>
      </c>
      <c r="K4603" s="25" t="str">
        <f>IF(OR(E4603="",E4603="!!!",F4603="NEW"),"",INDEX(J$1:J4602,SUMPRODUCT(MAX(ROW(E$1:E4602)*(E4603=E$1:E4602)))))</f>
        <v> </v>
      </c>
      <c r="L4603" s="26"/>
    </row>
    <row r="4604" spans="1:12">
      <c r="A4604" s="20" t="s">
        <v>788</v>
      </c>
      <c r="E4604" s="21">
        <f>IF(D4604="?OLD","!!!","")</f>
        <v/>
      </c>
      <c r="F4604" s="22" t="str">
        <f>IF(OR(E4604="",E4604="!!!"),"",IF(NOT(ISNA(VLOOKUP(E4604,E$1:E4603,1,FALSE()))),"OLD",IF(AND(E4604&lt;&gt;"",E4604&lt;&gt;"!!!"),"NEW","")))</f>
        <v> </v>
      </c>
      <c r="G4604" s="23" t="str">
        <f>IF(OR(E4604="",E4604="!!!"),"",IF(OR(J4604=0,AND(J4604=1,K4604=1),AND(J4604=1,I4604="SBJ"),AND(J4604=1,I4604=0)),"?IN_FOCUS",IF(J4604&lt;=2,"?ACTIVATED",IF(J4604&lt;&gt;"","?FAMILIAR",IF(F4604="NEW",IF(ISNA(VLOOKUP(E4604,#REF!,1,FALSE())),"?TYPE_IDENTIFIABLE","?REFERENTIAL"),"_")))))</f>
        <v> </v>
      </c>
      <c r="H4604" s="24" t="str">
        <f>IF(J4604&lt;&gt;1,"",IF(I4604="SBJ","CB","?"))</f>
        <v> </v>
      </c>
      <c r="I4604" s="25" t="str">
        <f>IF(OR(E4604="",E4604="!!!",F4604="NEW"),"",INDEX(B4603:B$2,-1+SUMPRODUCT(MAX(ROW(E4603:E$2)*(E4604=E4603:E$2)))))</f>
        <v> </v>
      </c>
      <c r="J4604" s="25" t="str">
        <f>IF(OR(E4604="",E4604="!!!",F4604="NEW"),"",COUNTBLANK(OFFSET(A$1,,,SUMPRODUCT(MAX(ROW(E$2:E4604)*(E4604=E$2:E4604)))))-COUNTBLANK(OFFSET(A$1,,,SUMPRODUCT(MAX(ROW(E$1:E4603)*(E2=E$1:E4603))))))</f>
        <v> </v>
      </c>
      <c r="K4604" s="25" t="str">
        <f>IF(OR(E4604="",E4604="!!!",F4604="NEW"),"",INDEX(J$1:J4603,SUMPRODUCT(MAX(ROW(E$1:E4603)*(E4604=E$1:E4603)))))</f>
        <v> </v>
      </c>
      <c r="L4604" s="26"/>
    </row>
    <row r="4605" spans="1:12">
      <c r="A4605" s="20" t="s">
        <v>1260</v>
      </c>
      <c r="B4605" s="27" t="s">
        <v>771</v>
      </c>
      <c r="C4605" s="27" t="s">
        <v>749</v>
      </c>
      <c r="D4605" s="27" t="s">
        <v>740</v>
      </c>
      <c r="E4605" s="21">
        <f>IF(D4605="?OLD","!!!","")</f>
        <v/>
      </c>
      <c r="F4605" s="22" t="str">
        <f>IF(OR(E4605="",E4605="!!!"),"",IF(NOT(ISNA(VLOOKUP(E4605,E$1:E4604,1,FALSE()))),"OLD",IF(AND(E4605&lt;&gt;"",E4605&lt;&gt;"!!!"),"NEW","")))</f>
        <v> </v>
      </c>
      <c r="G4605" s="23" t="str">
        <f>IF(OR(E4605="",E4605="!!!"),"",IF(OR(J4605=0,AND(J4605=1,K4605=1),AND(J4605=1,I4605="SBJ"),AND(J4605=1,I4605=0)),"?IN_FOCUS",IF(J4605&lt;=2,"?ACTIVATED",IF(J4605&lt;&gt;"","?FAMILIAR",IF(F4605="NEW",IF(ISNA(VLOOKUP(E4605,#REF!,1,FALSE())),"?TYPE_IDENTIFIABLE","?REFERENTIAL"),"_")))))</f>
        <v> </v>
      </c>
      <c r="H4605" s="24" t="str">
        <f>IF(J4605&lt;&gt;1,"",IF(I4605="SBJ","CB","?"))</f>
        <v> </v>
      </c>
      <c r="I4605" s="25" t="str">
        <f>IF(OR(E4605="",E4605="!!!",F4605="NEW"),"",INDEX(B4604:B$2,-1+SUMPRODUCT(MAX(ROW(E4604:E$2)*(E4605=E4604:E$2)))))</f>
        <v> </v>
      </c>
      <c r="J4605" s="25" t="str">
        <f>IF(OR(E4605="",E4605="!!!",F4605="NEW"),"",COUNTBLANK(OFFSET(A$1,,,SUMPRODUCT(MAX(ROW(E$2:E4605)*(E4605=E$2:E4605)))))-COUNTBLANK(OFFSET(A$1,,,SUMPRODUCT(MAX(ROW(E$1:E4604)*(E2=E$1:E4604))))))</f>
        <v> </v>
      </c>
      <c r="K4605" s="25" t="str">
        <f>IF(OR(E4605="",E4605="!!!",F4605="NEW"),"",INDEX(J$1:J4604,SUMPRODUCT(MAX(ROW(E$1:E4604)*(E4605=E$1:E4604)))))</f>
        <v> </v>
      </c>
      <c r="L4605" s="26"/>
    </row>
    <row r="4606" spans="1:12">
      <c r="A4606" s="20" t="s">
        <v>1249</v>
      </c>
      <c r="E4606" s="21">
        <f>IF(D4606="?OLD","!!!","")</f>
        <v/>
      </c>
      <c r="F4606" s="22" t="str">
        <f>IF(OR(E4606="",E4606="!!!"),"",IF(NOT(ISNA(VLOOKUP(E4606,E$1:E4605,1,FALSE()))),"OLD",IF(AND(E4606&lt;&gt;"",E4606&lt;&gt;"!!!"),"NEW","")))</f>
        <v> </v>
      </c>
      <c r="G4606" s="23" t="str">
        <f>IF(OR(E4606="",E4606="!!!"),"",IF(OR(J4606=0,AND(J4606=1,K4606=1),AND(J4606=1,I4606="SBJ"),AND(J4606=1,I4606=0)),"?IN_FOCUS",IF(J4606&lt;=2,"?ACTIVATED",IF(J4606&lt;&gt;"","?FAMILIAR",IF(F4606="NEW",IF(ISNA(VLOOKUP(E4606,#REF!,1,FALSE())),"?TYPE_IDENTIFIABLE","?REFERENTIAL"),"_")))))</f>
        <v> </v>
      </c>
      <c r="H4606" s="24" t="str">
        <f>IF(J4606&lt;&gt;1,"",IF(I4606="SBJ","CB","?"))</f>
        <v> </v>
      </c>
      <c r="I4606" s="25" t="str">
        <f>IF(OR(E4606="",E4606="!!!",F4606="NEW"),"",INDEX(B4605:B$2,-1+SUMPRODUCT(MAX(ROW(E4605:E$2)*(E4606=E4605:E$2)))))</f>
        <v> </v>
      </c>
      <c r="J4606" s="25" t="str">
        <f>IF(OR(E4606="",E4606="!!!",F4606="NEW"),"",COUNTBLANK(OFFSET(A$1,,,SUMPRODUCT(MAX(ROW(E$2:E4606)*(E4606=E$2:E4606)))))-COUNTBLANK(OFFSET(A$1,,,SUMPRODUCT(MAX(ROW(E$1:E4605)*(E2=E$1:E4605))))))</f>
        <v> </v>
      </c>
      <c r="K4606" s="25" t="str">
        <f>IF(OR(E4606="",E4606="!!!",F4606="NEW"),"",INDEX(J$1:J4605,SUMPRODUCT(MAX(ROW(E$1:E4605)*(E4606=E$1:E4605)))))</f>
        <v> </v>
      </c>
      <c r="L4606" s="26"/>
    </row>
    <row r="4607" spans="1:12">
      <c r="A4607" s="20" t="s">
        <v>1996</v>
      </c>
      <c r="B4607" s="27" t="s">
        <v>779</v>
      </c>
      <c r="C4607" s="27" t="s">
        <v>848</v>
      </c>
      <c r="E4607" s="21">
        <f>IF(D4607="?OLD","!!!","")</f>
        <v/>
      </c>
      <c r="F4607" s="22" t="str">
        <f>IF(OR(E4607="",E4607="!!!"),"",IF(NOT(ISNA(VLOOKUP(E4607,E$1:E4606,1,FALSE()))),"OLD",IF(AND(E4607&lt;&gt;"",E4607&lt;&gt;"!!!"),"NEW","")))</f>
        <v> </v>
      </c>
      <c r="G4607" s="23" t="str">
        <f>IF(OR(E4607="",E4607="!!!"),"",IF(OR(J4607=0,AND(J4607=1,K4607=1),AND(J4607=1,I4607="SBJ"),AND(J4607=1,I4607=0)),"?IN_FOCUS",IF(J4607&lt;=2,"?ACTIVATED",IF(J4607&lt;&gt;"","?FAMILIAR",IF(F4607="NEW",IF(ISNA(VLOOKUP(E4607,#REF!,1,FALSE())),"?TYPE_IDENTIFIABLE","?REFERENTIAL"),"_")))))</f>
        <v> </v>
      </c>
      <c r="H4607" s="24" t="str">
        <f>IF(J4607&lt;&gt;1,"",IF(I4607="SBJ","CB","?"))</f>
        <v> </v>
      </c>
      <c r="I4607" s="25" t="str">
        <f>IF(OR(E4607="",E4607="!!!",F4607="NEW"),"",INDEX(B4606:B$2,-1+SUMPRODUCT(MAX(ROW(E4606:E$2)*(E4607=E4606:E$2)))))</f>
        <v> </v>
      </c>
      <c r="J4607" s="25" t="str">
        <f>IF(OR(E4607="",E4607="!!!",F4607="NEW"),"",COUNTBLANK(OFFSET(A$1,,,SUMPRODUCT(MAX(ROW(E$2:E4607)*(E4607=E$2:E4607)))))-COUNTBLANK(OFFSET(A$1,,,SUMPRODUCT(MAX(ROW(E$1:E4606)*(E2=E$1:E4606))))))</f>
        <v> </v>
      </c>
      <c r="K4607" s="25" t="str">
        <f>IF(OR(E4607="",E4607="!!!",F4607="NEW"),"",INDEX(J$1:J4606,SUMPRODUCT(MAX(ROW(E$1:E4606)*(E4607=E$1:E4606)))))</f>
        <v> </v>
      </c>
      <c r="L4607" s="26"/>
    </row>
    <row r="4608" spans="1:12">
      <c r="A4608" s="20" t="s">
        <v>2061</v>
      </c>
      <c r="E4608" s="21">
        <f>IF(D4608="?OLD","!!!","")</f>
        <v/>
      </c>
      <c r="F4608" s="22" t="str">
        <f>IF(OR(E4608="",E4608="!!!"),"",IF(NOT(ISNA(VLOOKUP(E4608,E$1:E4607,1,FALSE()))),"OLD",IF(AND(E4608&lt;&gt;"",E4608&lt;&gt;"!!!"),"NEW","")))</f>
        <v> </v>
      </c>
      <c r="G4608" s="23" t="str">
        <f>IF(OR(E4608="",E4608="!!!"),"",IF(OR(J4608=0,AND(J4608=1,K4608=1),AND(J4608=1,I4608="SBJ"),AND(J4608=1,I4608=0)),"?IN_FOCUS",IF(J4608&lt;=2,"?ACTIVATED",IF(J4608&lt;&gt;"","?FAMILIAR",IF(F4608="NEW",IF(ISNA(VLOOKUP(E4608,#REF!,1,FALSE())),"?TYPE_IDENTIFIABLE","?REFERENTIAL"),"_")))))</f>
        <v> </v>
      </c>
      <c r="H4608" s="24" t="str">
        <f>IF(J4608&lt;&gt;1,"",IF(I4608="SBJ","CB","?"))</f>
        <v> </v>
      </c>
      <c r="I4608" s="25" t="str">
        <f>IF(OR(E4608="",E4608="!!!",F4608="NEW"),"",INDEX(B4607:B$2,-1+SUMPRODUCT(MAX(ROW(E4607:E$2)*(E4608=E4607:E$2)))))</f>
        <v> </v>
      </c>
      <c r="J4608" s="25" t="str">
        <f>IF(OR(E4608="",E4608="!!!",F4608="NEW"),"",COUNTBLANK(OFFSET(A$1,,,SUMPRODUCT(MAX(ROW(E$2:E4608)*(E4608=E$2:E4608)))))-COUNTBLANK(OFFSET(A$1,,,SUMPRODUCT(MAX(ROW(E$1:E4607)*(E2=E$1:E4607))))))</f>
        <v> </v>
      </c>
      <c r="K4608" s="25" t="str">
        <f>IF(OR(E4608="",E4608="!!!",F4608="NEW"),"",INDEX(J$1:J4607,SUMPRODUCT(MAX(ROW(E$1:E4607)*(E4608=E$1:E4607)))))</f>
        <v> </v>
      </c>
      <c r="L4608" s="26"/>
    </row>
    <row r="4609" spans="1:12">
      <c r="A4609" s="20" t="s">
        <v>1997</v>
      </c>
      <c r="E4609" s="21">
        <f>IF(D4609="?OLD","!!!","")</f>
        <v/>
      </c>
      <c r="F4609" s="22" t="str">
        <f>IF(OR(E4609="",E4609="!!!"),"",IF(NOT(ISNA(VLOOKUP(E4609,E$1:E4608,1,FALSE()))),"OLD",IF(AND(E4609&lt;&gt;"",E4609&lt;&gt;"!!!"),"NEW","")))</f>
        <v> </v>
      </c>
      <c r="G4609" s="23" t="str">
        <f>IF(OR(E4609="",E4609="!!!"),"",IF(OR(J4609=0,AND(J4609=1,K4609=1),AND(J4609=1,I4609="SBJ"),AND(J4609=1,I4609=0)),"?IN_FOCUS",IF(J4609&lt;=2,"?ACTIVATED",IF(J4609&lt;&gt;"","?FAMILIAR",IF(F4609="NEW",IF(ISNA(VLOOKUP(E4609,#REF!,1,FALSE())),"?TYPE_IDENTIFIABLE","?REFERENTIAL"),"_")))))</f>
        <v> </v>
      </c>
      <c r="H4609" s="24" t="str">
        <f>IF(J4609&lt;&gt;1,"",IF(I4609="SBJ","CB","?"))</f>
        <v> </v>
      </c>
      <c r="I4609" s="25" t="str">
        <f>IF(OR(E4609="",E4609="!!!",F4609="NEW"),"",INDEX(B4608:B$2,-1+SUMPRODUCT(MAX(ROW(E4608:E$2)*(E4609=E4608:E$2)))))</f>
        <v> </v>
      </c>
      <c r="J4609" s="25" t="str">
        <f>IF(OR(E4609="",E4609="!!!",F4609="NEW"),"",COUNTBLANK(OFFSET(A$1,,,SUMPRODUCT(MAX(ROW(E$2:E4609)*(E4609=E$2:E4609)))))-COUNTBLANK(OFFSET(A$1,,,SUMPRODUCT(MAX(ROW(E$1:E4608)*(E2=E$1:E4608))))))</f>
        <v> </v>
      </c>
      <c r="K4609" s="25" t="str">
        <f>IF(OR(E4609="",E4609="!!!",F4609="NEW"),"",INDEX(J$1:J4608,SUMPRODUCT(MAX(ROW(E$1:E4608)*(E4609=E$1:E4608)))))</f>
        <v> </v>
      </c>
      <c r="L4609" s="26"/>
    </row>
    <row r="4610" spans="1:12">
      <c r="A4610" s="20" t="s">
        <v>633</v>
      </c>
      <c r="E4610" s="21">
        <f>IF(D4610="?OLD","!!!","")</f>
        <v/>
      </c>
      <c r="F4610" s="22" t="str">
        <f>IF(OR(E4610="",E4610="!!!"),"",IF(NOT(ISNA(VLOOKUP(E4610,E$1:E4609,1,FALSE()))),"OLD",IF(AND(E4610&lt;&gt;"",E4610&lt;&gt;"!!!"),"NEW","")))</f>
        <v> </v>
      </c>
      <c r="G4610" s="23" t="str">
        <f>IF(OR(E4610="",E4610="!!!"),"",IF(OR(J4610=0,AND(J4610=1,K4610=1),AND(J4610=1,I4610="SBJ"),AND(J4610=1,I4610=0)),"?IN_FOCUS",IF(J4610&lt;=2,"?ACTIVATED",IF(J4610&lt;&gt;"","?FAMILIAR",IF(F4610="NEW",IF(ISNA(VLOOKUP(E4610,#REF!,1,FALSE())),"?TYPE_IDENTIFIABLE","?REFERENTIAL"),"_")))))</f>
        <v> </v>
      </c>
      <c r="H4610" s="24" t="str">
        <f>IF(J4610&lt;&gt;1,"",IF(I4610="SBJ","CB","?"))</f>
        <v> </v>
      </c>
      <c r="I4610" s="25" t="str">
        <f>IF(OR(E4610="",E4610="!!!",F4610="NEW"),"",INDEX(B4609:B$2,-1+SUMPRODUCT(MAX(ROW(E4609:E$2)*(E4610=E4609:E$2)))))</f>
        <v> </v>
      </c>
      <c r="J4610" s="25" t="str">
        <f>IF(OR(E4610="",E4610="!!!",F4610="NEW"),"",COUNTBLANK(OFFSET(A$1,,,SUMPRODUCT(MAX(ROW(E$2:E4610)*(E4610=E$2:E4610)))))-COUNTBLANK(OFFSET(A$1,,,SUMPRODUCT(MAX(ROW(E$1:E4609)*(E2=E$1:E4609))))))</f>
        <v> </v>
      </c>
      <c r="K4610" s="25" t="str">
        <f>IF(OR(E4610="",E4610="!!!",F4610="NEW"),"",INDEX(J$1:J4609,SUMPRODUCT(MAX(ROW(E$1:E4609)*(E4610=E$1:E4609)))))</f>
        <v> </v>
      </c>
      <c r="L4610" s="26"/>
    </row>
    <row r="4611" spans="1:12">
      <c r="A4611" s="20" t="s">
        <v>931</v>
      </c>
      <c r="E4611" s="21">
        <f>IF(D4611="?OLD","!!!","")</f>
        <v/>
      </c>
      <c r="F4611" s="22" t="str">
        <f>IF(OR(E4611="",E4611="!!!"),"",IF(NOT(ISNA(VLOOKUP(E4611,E$1:E4610,1,FALSE()))),"OLD",IF(AND(E4611&lt;&gt;"",E4611&lt;&gt;"!!!"),"NEW","")))</f>
        <v> </v>
      </c>
      <c r="G4611" s="23" t="str">
        <f>IF(OR(E4611="",E4611="!!!"),"",IF(OR(J4611=0,AND(J4611=1,K4611=1),AND(J4611=1,I4611="SBJ"),AND(J4611=1,I4611=0)),"?IN_FOCUS",IF(J4611&lt;=2,"?ACTIVATED",IF(J4611&lt;&gt;"","?FAMILIAR",IF(F4611="NEW",IF(ISNA(VLOOKUP(E4611,#REF!,1,FALSE())),"?TYPE_IDENTIFIABLE","?REFERENTIAL"),"_")))))</f>
        <v> </v>
      </c>
      <c r="H4611" s="24" t="str">
        <f>IF(J4611&lt;&gt;1,"",IF(I4611="SBJ","CB","?"))</f>
        <v> </v>
      </c>
      <c r="I4611" s="25" t="str">
        <f>IF(OR(E4611="",E4611="!!!",F4611="NEW"),"",INDEX(B4610:B$2,-1+SUMPRODUCT(MAX(ROW(E4610:E$2)*(E4611=E4610:E$2)))))</f>
        <v> </v>
      </c>
      <c r="J4611" s="25" t="str">
        <f>IF(OR(E4611="",E4611="!!!",F4611="NEW"),"",COUNTBLANK(OFFSET(A$1,,,SUMPRODUCT(MAX(ROW(E$2:E4611)*(E4611=E$2:E4611)))))-COUNTBLANK(OFFSET(A$1,,,SUMPRODUCT(MAX(ROW(E$1:E4610)*(E2=E$1:E4610))))))</f>
        <v> </v>
      </c>
      <c r="K4611" s="25" t="str">
        <f>IF(OR(E4611="",E4611="!!!",F4611="NEW"),"",INDEX(J$1:J4610,SUMPRODUCT(MAX(ROW(E$1:E4610)*(E4611=E$1:E4610)))))</f>
        <v> </v>
      </c>
      <c r="L4611" s="26"/>
    </row>
    <row r="4612" spans="1:12">
      <c r="A4612" s="20" t="s">
        <v>746</v>
      </c>
      <c r="E4612" s="21">
        <f>IF(D4612="?OLD","!!!","")</f>
        <v/>
      </c>
      <c r="F4612" s="22" t="str">
        <f>IF(OR(E4612="",E4612="!!!"),"",IF(NOT(ISNA(VLOOKUP(E4612,E$1:E4611,1,FALSE()))),"OLD",IF(AND(E4612&lt;&gt;"",E4612&lt;&gt;"!!!"),"NEW","")))</f>
        <v> </v>
      </c>
      <c r="G4612" s="23" t="str">
        <f>IF(OR(E4612="",E4612="!!!"),"",IF(OR(J4612=0,AND(J4612=1,K4612=1),AND(J4612=1,I4612="SBJ"),AND(J4612=1,I4612=0)),"?IN_FOCUS",IF(J4612&lt;=2,"?ACTIVATED",IF(J4612&lt;&gt;"","?FAMILIAR",IF(F4612="NEW",IF(ISNA(VLOOKUP(E4612,#REF!,1,FALSE())),"?TYPE_IDENTIFIABLE","?REFERENTIAL"),"_")))))</f>
        <v> </v>
      </c>
      <c r="H4612" s="24" t="str">
        <f>IF(J4612&lt;&gt;1,"",IF(I4612="SBJ","CB","?"))</f>
        <v> </v>
      </c>
      <c r="I4612" s="25" t="str">
        <f>IF(OR(E4612="",E4612="!!!",F4612="NEW"),"",INDEX(B4611:B$2,-1+SUMPRODUCT(MAX(ROW(E4611:E$2)*(E4612=E4611:E$2)))))</f>
        <v> </v>
      </c>
      <c r="J4612" s="25" t="str">
        <f>IF(OR(E4612="",E4612="!!!",F4612="NEW"),"",COUNTBLANK(OFFSET(A$1,,,SUMPRODUCT(MAX(ROW(E$2:E4612)*(E4612=E$2:E4612)))))-COUNTBLANK(OFFSET(A$1,,,SUMPRODUCT(MAX(ROW(E$1:E4611)*(E2=E$1:E4611))))))</f>
        <v> </v>
      </c>
      <c r="K4612" s="25" t="str">
        <f>IF(OR(E4612="",E4612="!!!",F4612="NEW"),"",INDEX(J$1:J4611,SUMPRODUCT(MAX(ROW(E$1:E4611)*(E4612=E$1:E4611)))))</f>
        <v> </v>
      </c>
      <c r="L4612" s="26"/>
    </row>
    <row r="4613" spans="1:12">
      <c r="A4613" s="20"/>
    </row>
    <row r="4614" spans="1:12">
      <c r="A4614" s="20" t="s">
        <v>2062</v>
      </c>
    </row>
    <row r="4615" spans="1:12">
      <c r="A4615" s="20" t="s">
        <v>813</v>
      </c>
      <c r="E4615" s="21">
        <f>IF(D4615="?OLD","!!!","")</f>
        <v/>
      </c>
      <c r="F4615" s="22" t="str">
        <f>IF(OR(E4615="",E4615="!!!"),"",IF(NOT(ISNA(VLOOKUP(E4615,E$1:E4614,1,FALSE()))),"OLD",IF(AND(E4615&lt;&gt;"",E4615&lt;&gt;"!!!"),"NEW","")))</f>
        <v> </v>
      </c>
      <c r="G4615" s="23" t="str">
        <f>IF(OR(E4615="",E4615="!!!"),"",IF(OR(J4615=0,AND(J4615=1,K4615=1),AND(J4615=1,I4615="SBJ"),AND(J4615=1,I4615=0)),"?IN_FOCUS",IF(J4615&lt;=2,"?ACTIVATED",IF(J4615&lt;&gt;"","?FAMILIAR",IF(F4615="NEW",IF(ISNA(VLOOKUP(E4615,#REF!,1,FALSE())),"?TYPE_IDENTIFIABLE","?REFERENTIAL"),"_")))))</f>
        <v> </v>
      </c>
      <c r="H4615" s="24" t="str">
        <f>IF(J4615&lt;&gt;1,"",IF(I4615="SBJ","CB","?"))</f>
        <v> </v>
      </c>
      <c r="I4615" s="25" t="str">
        <f>IF(OR(E4615="",E4615="!!!",F4615="NEW"),"",INDEX(B4614:B$2,-1+SUMPRODUCT(MAX(ROW(E4614:E$2)*(E4615=E4614:E$2)))))</f>
        <v> </v>
      </c>
      <c r="J4615" s="25" t="str">
        <f>IF(OR(E4615="",E4615="!!!",F4615="NEW"),"",COUNTBLANK(OFFSET(A$1,,,SUMPRODUCT(MAX(ROW(E$2:E4615)*(E4615=E$2:E4615)))))-COUNTBLANK(OFFSET(A$1,,,SUMPRODUCT(MAX(ROW(E$1:E4614)*(E2=E$1:E4614))))))</f>
        <v> </v>
      </c>
      <c r="K4615" s="25" t="str">
        <f>IF(OR(E4615="",E4615="!!!",F4615="NEW"),"",INDEX(J$1:J4614,SUMPRODUCT(MAX(ROW(E$1:E4614)*(E4615=E$1:E4614)))))</f>
        <v> </v>
      </c>
      <c r="L4615" s="26"/>
    </row>
    <row r="4616" spans="1:12">
      <c r="A4616" s="20" t="s">
        <v>783</v>
      </c>
      <c r="E4616" s="21">
        <f>IF(D4616="?OLD","!!!","")</f>
        <v/>
      </c>
      <c r="F4616" s="22" t="str">
        <f>IF(OR(E4616="",E4616="!!!"),"",IF(NOT(ISNA(VLOOKUP(E4616,E$1:E4615,1,FALSE()))),"OLD",IF(AND(E4616&lt;&gt;"",E4616&lt;&gt;"!!!"),"NEW","")))</f>
        <v> </v>
      </c>
      <c r="G4616" s="23" t="str">
        <f>IF(OR(E4616="",E4616="!!!"),"",IF(OR(J4616=0,AND(J4616=1,K4616=1),AND(J4616=1,I4616="SBJ"),AND(J4616=1,I4616=0)),"?IN_FOCUS",IF(J4616&lt;=2,"?ACTIVATED",IF(J4616&lt;&gt;"","?FAMILIAR",IF(F4616="NEW",IF(ISNA(VLOOKUP(E4616,#REF!,1,FALSE())),"?TYPE_IDENTIFIABLE","?REFERENTIAL"),"_")))))</f>
        <v> </v>
      </c>
      <c r="H4616" s="24" t="str">
        <f>IF(J4616&lt;&gt;1,"",IF(I4616="SBJ","CB","?"))</f>
        <v> </v>
      </c>
      <c r="I4616" s="25" t="str">
        <f>IF(OR(E4616="",E4616="!!!",F4616="NEW"),"",INDEX(B4615:B$2,-1+SUMPRODUCT(MAX(ROW(E4615:E$2)*(E4616=E4615:E$2)))))</f>
        <v> </v>
      </c>
      <c r="J4616" s="25" t="str">
        <f>IF(OR(E4616="",E4616="!!!",F4616="NEW"),"",COUNTBLANK(OFFSET(A$1,,,SUMPRODUCT(MAX(ROW(E$2:E4616)*(E4616=E$2:E4616)))))-COUNTBLANK(OFFSET(A$1,,,SUMPRODUCT(MAX(ROW(E$1:E4615)*(E2=E$1:E4615))))))</f>
        <v> </v>
      </c>
      <c r="K4616" s="25" t="str">
        <f>IF(OR(E4616="",E4616="!!!",F4616="NEW"),"",INDEX(J$1:J4615,SUMPRODUCT(MAX(ROW(E$1:E4615)*(E4616=E$1:E4615)))))</f>
        <v> </v>
      </c>
      <c r="L4616" s="26"/>
    </row>
    <row r="4617" spans="1:12">
      <c r="A4617" s="20" t="s">
        <v>807</v>
      </c>
      <c r="B4617" s="27" t="s">
        <v>771</v>
      </c>
      <c r="C4617" s="27" t="s">
        <v>749</v>
      </c>
      <c r="D4617" s="27" t="s">
        <v>740</v>
      </c>
      <c r="E4617" s="21">
        <f>IF(D4617="?OLD","!!!","")</f>
        <v/>
      </c>
      <c r="F4617" s="22" t="str">
        <f>IF(OR(E4617="",E4617="!!!"),"",IF(NOT(ISNA(VLOOKUP(E4617,E$1:E4616,1,FALSE()))),"OLD",IF(AND(E4617&lt;&gt;"",E4617&lt;&gt;"!!!"),"NEW","")))</f>
        <v> </v>
      </c>
      <c r="G4617" s="23" t="str">
        <f>IF(OR(E4617="",E4617="!!!"),"",IF(OR(J4617=0,AND(J4617=1,K4617=1),AND(J4617=1,I4617="SBJ"),AND(J4617=1,I4617=0)),"?IN_FOCUS",IF(J4617&lt;=2,"?ACTIVATED",IF(J4617&lt;&gt;"","?FAMILIAR",IF(F4617="NEW",IF(ISNA(VLOOKUP(E4617,#REF!,1,FALSE())),"?TYPE_IDENTIFIABLE","?REFERENTIAL"),"_")))))</f>
        <v> </v>
      </c>
      <c r="H4617" s="24" t="str">
        <f>IF(J4617&lt;&gt;1,"",IF(I4617="SBJ","CB","?"))</f>
        <v> </v>
      </c>
      <c r="I4617" s="25" t="str">
        <f>IF(OR(E4617="",E4617="!!!",F4617="NEW"),"",INDEX(B4616:B$2,-1+SUMPRODUCT(MAX(ROW(E4616:E$2)*(E4617=E4616:E$2)))))</f>
        <v> </v>
      </c>
      <c r="J4617" s="25" t="str">
        <f>IF(OR(E4617="",E4617="!!!",F4617="NEW"),"",COUNTBLANK(OFFSET(A$1,,,SUMPRODUCT(MAX(ROW(E$2:E4617)*(E4617=E$2:E4617)))))-COUNTBLANK(OFFSET(A$1,,,SUMPRODUCT(MAX(ROW(E$1:E4616)*(E2=E$1:E4616))))))</f>
        <v> </v>
      </c>
      <c r="K4617" s="25" t="str">
        <f>IF(OR(E4617="",E4617="!!!",F4617="NEW"),"",INDEX(J$1:J4616,SUMPRODUCT(MAX(ROW(E$1:E4616)*(E4617=E$1:E4616)))))</f>
        <v> </v>
      </c>
      <c r="L4617" s="26"/>
    </row>
    <row r="4618" spans="1:12">
      <c r="A4618" s="20" t="s">
        <v>736</v>
      </c>
      <c r="E4618" s="21">
        <f>IF(D4618="?OLD","!!!","")</f>
        <v/>
      </c>
      <c r="F4618" s="22" t="str">
        <f>IF(OR(E4618="",E4618="!!!"),"",IF(NOT(ISNA(VLOOKUP(E4618,E$1:E4617,1,FALSE()))),"OLD",IF(AND(E4618&lt;&gt;"",E4618&lt;&gt;"!!!"),"NEW","")))</f>
        <v> </v>
      </c>
      <c r="G4618" s="23" t="str">
        <f>IF(OR(E4618="",E4618="!!!"),"",IF(OR(J4618=0,AND(J4618=1,K4618=1),AND(J4618=1,I4618="SBJ"),AND(J4618=1,I4618=0)),"?IN_FOCUS",IF(J4618&lt;=2,"?ACTIVATED",IF(J4618&lt;&gt;"","?FAMILIAR",IF(F4618="NEW",IF(ISNA(VLOOKUP(E4618,#REF!,1,FALSE())),"?TYPE_IDENTIFIABLE","?REFERENTIAL"),"_")))))</f>
        <v> </v>
      </c>
      <c r="H4618" s="24" t="str">
        <f>IF(J4618&lt;&gt;1,"",IF(I4618="SBJ","CB","?"))</f>
        <v> </v>
      </c>
      <c r="I4618" s="25" t="str">
        <f>IF(OR(E4618="",E4618="!!!",F4618="NEW"),"",INDEX(B4617:B$2,-1+SUMPRODUCT(MAX(ROW(E4617:E$2)*(E4618=E4617:E$2)))))</f>
        <v> </v>
      </c>
      <c r="J4618" s="25" t="str">
        <f>IF(OR(E4618="",E4618="!!!",F4618="NEW"),"",COUNTBLANK(OFFSET(A$1,,,SUMPRODUCT(MAX(ROW(E$2:E4618)*(E4618=E$2:E4618)))))-COUNTBLANK(OFFSET(A$1,,,SUMPRODUCT(MAX(ROW(E$1:E4617)*(E2=E$1:E4617))))))</f>
        <v> </v>
      </c>
      <c r="K4618" s="25" t="str">
        <f>IF(OR(E4618="",E4618="!!!",F4618="NEW"),"",INDEX(J$1:J4617,SUMPRODUCT(MAX(ROW(E$1:E4617)*(E4618=E$1:E4617)))))</f>
        <v> </v>
      </c>
      <c r="L4618" s="26"/>
    </row>
    <row r="4619" spans="1:12">
      <c r="A4619" s="20" t="s">
        <v>1992</v>
      </c>
      <c r="B4619" s="27" t="s">
        <v>779</v>
      </c>
      <c r="C4619" s="27" t="s">
        <v>739</v>
      </c>
      <c r="D4619" s="27" t="s">
        <v>740</v>
      </c>
      <c r="E4619" s="21">
        <f>IF(D4619="?OLD","!!!","")</f>
        <v/>
      </c>
      <c r="F4619" s="22" t="str">
        <f>IF(OR(E4619="",E4619="!!!"),"",IF(NOT(ISNA(VLOOKUP(E4619,E$1:E4618,1,FALSE()))),"OLD",IF(AND(E4619&lt;&gt;"",E4619&lt;&gt;"!!!"),"NEW","")))</f>
        <v> </v>
      </c>
      <c r="G4619" s="23" t="str">
        <f>IF(OR(E4619="",E4619="!!!"),"",IF(OR(J4619=0,AND(J4619=1,K4619=1),AND(J4619=1,I4619="SBJ"),AND(J4619=1,I4619=0)),"?IN_FOCUS",IF(J4619&lt;=2,"?ACTIVATED",IF(J4619&lt;&gt;"","?FAMILIAR",IF(F4619="NEW",IF(ISNA(VLOOKUP(E4619,#REF!,1,FALSE())),"?TYPE_IDENTIFIABLE","?REFERENTIAL"),"_")))))</f>
        <v> </v>
      </c>
      <c r="H4619" s="24" t="str">
        <f>IF(J4619&lt;&gt;1,"",IF(I4619="SBJ","CB","?"))</f>
        <v> </v>
      </c>
      <c r="I4619" s="25" t="str">
        <f>IF(OR(E4619="",E4619="!!!",F4619="NEW"),"",INDEX(B4618:B$2,-1+SUMPRODUCT(MAX(ROW(E4618:E$2)*(E4619=E4618:E$2)))))</f>
        <v> </v>
      </c>
      <c r="J4619" s="25" t="str">
        <f>IF(OR(E4619="",E4619="!!!",F4619="NEW"),"",COUNTBLANK(OFFSET(A$1,,,SUMPRODUCT(MAX(ROW(E$2:E4619)*(E4619=E$2:E4619)))))-COUNTBLANK(OFFSET(A$1,,,SUMPRODUCT(MAX(ROW(E$1:E4618)*(E2=E$1:E4618))))))</f>
        <v> </v>
      </c>
      <c r="K4619" s="25" t="str">
        <f>IF(OR(E4619="",E4619="!!!",F4619="NEW"),"",INDEX(J$1:J4618,SUMPRODUCT(MAX(ROW(E$1:E4618)*(E4619=E$1:E4618)))))</f>
        <v> </v>
      </c>
      <c r="L4619" s="26"/>
    </row>
    <row r="4620" spans="1:12">
      <c r="A4620" s="20" t="s">
        <v>1396</v>
      </c>
      <c r="E4620" s="21">
        <f>IF(D4620="?OLD","!!!","")</f>
        <v/>
      </c>
      <c r="F4620" s="22" t="str">
        <f>IF(OR(E4620="",E4620="!!!"),"",IF(NOT(ISNA(VLOOKUP(E4620,E$1:E4619,1,FALSE()))),"OLD",IF(AND(E4620&lt;&gt;"",E4620&lt;&gt;"!!!"),"NEW","")))</f>
        <v> </v>
      </c>
      <c r="G4620" s="23" t="str">
        <f>IF(OR(E4620="",E4620="!!!"),"",IF(OR(J4620=0,AND(J4620=1,K4620=1),AND(J4620=1,I4620="SBJ"),AND(J4620=1,I4620=0)),"?IN_FOCUS",IF(J4620&lt;=2,"?ACTIVATED",IF(J4620&lt;&gt;"","?FAMILIAR",IF(F4620="NEW",IF(ISNA(VLOOKUP(E4620,#REF!,1,FALSE())),"?TYPE_IDENTIFIABLE","?REFERENTIAL"),"_")))))</f>
        <v> </v>
      </c>
      <c r="H4620" s="24" t="str">
        <f>IF(J4620&lt;&gt;1,"",IF(I4620="SBJ","CB","?"))</f>
        <v> </v>
      </c>
      <c r="I4620" s="25" t="str">
        <f>IF(OR(E4620="",E4620="!!!",F4620="NEW"),"",INDEX(B4619:B$2,-1+SUMPRODUCT(MAX(ROW(E4619:E$2)*(E4620=E4619:E$2)))))</f>
        <v> </v>
      </c>
      <c r="J4620" s="25" t="str">
        <f>IF(OR(E4620="",E4620="!!!",F4620="NEW"),"",COUNTBLANK(OFFSET(A$1,,,SUMPRODUCT(MAX(ROW(E$2:E4620)*(E4620=E$2:E4620)))))-COUNTBLANK(OFFSET(A$1,,,SUMPRODUCT(MAX(ROW(E$1:E4619)*(E2=E$1:E4619))))))</f>
        <v> </v>
      </c>
      <c r="K4620" s="25" t="str">
        <f>IF(OR(E4620="",E4620="!!!",F4620="NEW"),"",INDEX(J$1:J4619,SUMPRODUCT(MAX(ROW(E$1:E4619)*(E4620=E$1:E4619)))))</f>
        <v> </v>
      </c>
      <c r="L4620" s="26"/>
    </row>
    <row r="4621" spans="1:12">
      <c r="A4621" s="20" t="s">
        <v>753</v>
      </c>
      <c r="E4621" s="21">
        <f>IF(D4621="?OLD","!!!","")</f>
        <v/>
      </c>
      <c r="F4621" s="22" t="str">
        <f>IF(OR(E4621="",E4621="!!!"),"",IF(NOT(ISNA(VLOOKUP(E4621,E$1:E4620,1,FALSE()))),"OLD",IF(AND(E4621&lt;&gt;"",E4621&lt;&gt;"!!!"),"NEW","")))</f>
        <v> </v>
      </c>
      <c r="G4621" s="23" t="str">
        <f>IF(OR(E4621="",E4621="!!!"),"",IF(OR(J4621=0,AND(J4621=1,K4621=1),AND(J4621=1,I4621="SBJ"),AND(J4621=1,I4621=0)),"?IN_FOCUS",IF(J4621&lt;=2,"?ACTIVATED",IF(J4621&lt;&gt;"","?FAMILIAR",IF(F4621="NEW",IF(ISNA(VLOOKUP(E4621,#REF!,1,FALSE())),"?TYPE_IDENTIFIABLE","?REFERENTIAL"),"_")))))</f>
        <v> </v>
      </c>
      <c r="H4621" s="24" t="str">
        <f>IF(J4621&lt;&gt;1,"",IF(I4621="SBJ","CB","?"))</f>
        <v> </v>
      </c>
      <c r="I4621" s="25" t="str">
        <f>IF(OR(E4621="",E4621="!!!",F4621="NEW"),"",INDEX(B4620:B$2,-1+SUMPRODUCT(MAX(ROW(E4620:E$2)*(E4621=E4620:E$2)))))</f>
        <v> </v>
      </c>
      <c r="J4621" s="25" t="str">
        <f>IF(OR(E4621="",E4621="!!!",F4621="NEW"),"",COUNTBLANK(OFFSET(A$1,,,SUMPRODUCT(MAX(ROW(E$2:E4621)*(E4621=E$2:E4621)))))-COUNTBLANK(OFFSET(A$1,,,SUMPRODUCT(MAX(ROW(E$1:E4620)*(E2=E$1:E4620))))))</f>
        <v> </v>
      </c>
      <c r="K4621" s="25" t="str">
        <f>IF(OR(E4621="",E4621="!!!",F4621="NEW"),"",INDEX(J$1:J4620,SUMPRODUCT(MAX(ROW(E$1:E4620)*(E4621=E$1:E4620)))))</f>
        <v> </v>
      </c>
      <c r="L4621" s="26"/>
    </row>
    <row r="4622" spans="1:12">
      <c r="A4622" s="20" t="s">
        <v>794</v>
      </c>
      <c r="B4622" s="27" t="s">
        <v>795</v>
      </c>
      <c r="C4622" s="27" t="s">
        <v>775</v>
      </c>
      <c r="D4622" s="27" t="s">
        <v>740</v>
      </c>
      <c r="E4622" s="21">
        <f>IF(D4622="?OLD","!!!","")</f>
        <v/>
      </c>
      <c r="F4622" s="22" t="str">
        <f>IF(OR(E4622="",E4622="!!!"),"",IF(NOT(ISNA(VLOOKUP(E4622,E$1:E4621,1,FALSE()))),"OLD",IF(AND(E4622&lt;&gt;"",E4622&lt;&gt;"!!!"),"NEW","")))</f>
        <v> </v>
      </c>
      <c r="G4622" s="23" t="str">
        <f>IF(OR(E4622="",E4622="!!!"),"",IF(OR(J4622=0,AND(J4622=1,K4622=1),AND(J4622=1,I4622="SBJ"),AND(J4622=1,I4622=0)),"?IN_FOCUS",IF(J4622&lt;=2,"?ACTIVATED",IF(J4622&lt;&gt;"","?FAMILIAR",IF(F4622="NEW",IF(ISNA(VLOOKUP(E4622,#REF!,1,FALSE())),"?TYPE_IDENTIFIABLE","?REFERENTIAL"),"_")))))</f>
        <v> </v>
      </c>
      <c r="H4622" s="24" t="str">
        <f>IF(J4622&lt;&gt;1,"",IF(I4622="SBJ","CB","?"))</f>
        <v> </v>
      </c>
      <c r="I4622" s="25" t="str">
        <f>IF(OR(E4622="",E4622="!!!",F4622="NEW"),"",INDEX(B4621:B$2,-1+SUMPRODUCT(MAX(ROW(E4621:E$2)*(E4622=E4621:E$2)))))</f>
        <v> </v>
      </c>
      <c r="J4622" s="25" t="str">
        <f>IF(OR(E4622="",E4622="!!!",F4622="NEW"),"",COUNTBLANK(OFFSET(A$1,,,SUMPRODUCT(MAX(ROW(E$2:E4622)*(E4622=E$2:E4622)))))-COUNTBLANK(OFFSET(A$1,,,SUMPRODUCT(MAX(ROW(E$1:E4621)*(E2=E$1:E4621))))))</f>
        <v> </v>
      </c>
      <c r="K4622" s="25" t="str">
        <f>IF(OR(E4622="",E4622="!!!",F4622="NEW"),"",INDEX(J$1:J4621,SUMPRODUCT(MAX(ROW(E$1:E4621)*(E4622=E$1:E4621)))))</f>
        <v> </v>
      </c>
      <c r="L4622" s="26"/>
    </row>
    <row r="4623" spans="1:12">
      <c r="A4623" s="20" t="s">
        <v>845</v>
      </c>
      <c r="E4623" s="21">
        <f>IF(D4623="?OLD","!!!","")</f>
        <v/>
      </c>
      <c r="F4623" s="22" t="str">
        <f>IF(OR(E4623="",E4623="!!!"),"",IF(NOT(ISNA(VLOOKUP(E4623,E$1:E4622,1,FALSE()))),"OLD",IF(AND(E4623&lt;&gt;"",E4623&lt;&gt;"!!!"),"NEW","")))</f>
        <v> </v>
      </c>
      <c r="G4623" s="23" t="str">
        <f>IF(OR(E4623="",E4623="!!!"),"",IF(OR(J4623=0,AND(J4623=1,K4623=1),AND(J4623=1,I4623="SBJ"),AND(J4623=1,I4623=0)),"?IN_FOCUS",IF(J4623&lt;=2,"?ACTIVATED",IF(J4623&lt;&gt;"","?FAMILIAR",IF(F4623="NEW",IF(ISNA(VLOOKUP(E4623,#REF!,1,FALSE())),"?TYPE_IDENTIFIABLE","?REFERENTIAL"),"_")))))</f>
        <v> </v>
      </c>
      <c r="H4623" s="24" t="str">
        <f>IF(J4623&lt;&gt;1,"",IF(I4623="SBJ","CB","?"))</f>
        <v> </v>
      </c>
      <c r="I4623" s="25" t="str">
        <f>IF(OR(E4623="",E4623="!!!",F4623="NEW"),"",INDEX(B4622:B$2,-1+SUMPRODUCT(MAX(ROW(E4622:E$2)*(E4623=E4622:E$2)))))</f>
        <v> </v>
      </c>
      <c r="J4623" s="25" t="str">
        <f>IF(OR(E4623="",E4623="!!!",F4623="NEW"),"",COUNTBLANK(OFFSET(A$1,,,SUMPRODUCT(MAX(ROW(E$2:E4623)*(E4623=E$2:E4623)))))-COUNTBLANK(OFFSET(A$1,,,SUMPRODUCT(MAX(ROW(E$1:E4622)*(E2=E$1:E4622))))))</f>
        <v> </v>
      </c>
      <c r="K4623" s="25" t="str">
        <f>IF(OR(E4623="",E4623="!!!",F4623="NEW"),"",INDEX(J$1:J4622,SUMPRODUCT(MAX(ROW(E$1:E4622)*(E4623=E$1:E4622)))))</f>
        <v> </v>
      </c>
      <c r="L4623" s="26"/>
    </row>
    <row r="4624" spans="1:12">
      <c r="A4624" s="20" t="s">
        <v>1264</v>
      </c>
      <c r="B4624" s="27" t="s">
        <v>777</v>
      </c>
      <c r="C4624" s="27" t="s">
        <v>749</v>
      </c>
      <c r="D4624" s="27" t="s">
        <v>740</v>
      </c>
      <c r="E4624" s="21">
        <f>IF(D4624="?OLD","!!!","")</f>
        <v/>
      </c>
      <c r="F4624" s="22" t="str">
        <f>IF(OR(E4624="",E4624="!!!"),"",IF(NOT(ISNA(VLOOKUP(E4624,E$1:E4623,1,FALSE()))),"OLD",IF(AND(E4624&lt;&gt;"",E4624&lt;&gt;"!!!"),"NEW","")))</f>
        <v> </v>
      </c>
      <c r="G4624" s="23" t="str">
        <f>IF(OR(E4624="",E4624="!!!"),"",IF(OR(J4624=0,AND(J4624=1,K4624=1),AND(J4624=1,I4624="SBJ"),AND(J4624=1,I4624=0)),"?IN_FOCUS",IF(J4624&lt;=2,"?ACTIVATED",IF(J4624&lt;&gt;"","?FAMILIAR",IF(F4624="NEW",IF(ISNA(VLOOKUP(E4624,#REF!,1,FALSE())),"?TYPE_IDENTIFIABLE","?REFERENTIAL"),"_")))))</f>
        <v> </v>
      </c>
      <c r="H4624" s="24" t="str">
        <f>IF(J4624&lt;&gt;1,"",IF(I4624="SBJ","CB","?"))</f>
        <v> </v>
      </c>
      <c r="I4624" s="25" t="str">
        <f>IF(OR(E4624="",E4624="!!!",F4624="NEW"),"",INDEX(B4623:B$2,-1+SUMPRODUCT(MAX(ROW(E4623:E$2)*(E4624=E4623:E$2)))))</f>
        <v> </v>
      </c>
      <c r="J4624" s="25" t="str">
        <f>IF(OR(E4624="",E4624="!!!",F4624="NEW"),"",COUNTBLANK(OFFSET(A$1,,,SUMPRODUCT(MAX(ROW(E$2:E4624)*(E4624=E$2:E4624)))))-COUNTBLANK(OFFSET(A$1,,,SUMPRODUCT(MAX(ROW(E$1:E4623)*(E2=E$1:E4623))))))</f>
        <v> </v>
      </c>
      <c r="K4624" s="25" t="str">
        <f>IF(OR(E4624="",E4624="!!!",F4624="NEW"),"",INDEX(J$1:J4623,SUMPRODUCT(MAX(ROW(E$1:E4623)*(E4624=E$1:E4623)))))</f>
        <v> </v>
      </c>
      <c r="L4624" s="26"/>
    </row>
    <row r="4625" spans="1:12">
      <c r="A4625" s="20" t="s">
        <v>1033</v>
      </c>
      <c r="E4625" s="21">
        <f>IF(D4625="?OLD","!!!","")</f>
        <v/>
      </c>
      <c r="F4625" s="22" t="str">
        <f>IF(OR(E4625="",E4625="!!!"),"",IF(NOT(ISNA(VLOOKUP(E4625,E$1:E4624,1,FALSE()))),"OLD",IF(AND(E4625&lt;&gt;"",E4625&lt;&gt;"!!!"),"NEW","")))</f>
        <v> </v>
      </c>
      <c r="G4625" s="23" t="str">
        <f>IF(OR(E4625="",E4625="!!!"),"",IF(OR(J4625=0,AND(J4625=1,K4625=1),AND(J4625=1,I4625="SBJ"),AND(J4625=1,I4625=0)),"?IN_FOCUS",IF(J4625&lt;=2,"?ACTIVATED",IF(J4625&lt;&gt;"","?FAMILIAR",IF(F4625="NEW",IF(ISNA(VLOOKUP(E4625,#REF!,1,FALSE())),"?TYPE_IDENTIFIABLE","?REFERENTIAL"),"_")))))</f>
        <v> </v>
      </c>
      <c r="H4625" s="24" t="str">
        <f>IF(J4625&lt;&gt;1,"",IF(I4625="SBJ","CB","?"))</f>
        <v> </v>
      </c>
      <c r="I4625" s="25" t="str">
        <f>IF(OR(E4625="",E4625="!!!",F4625="NEW"),"",INDEX(B4624:B$2,-1+SUMPRODUCT(MAX(ROW(E4624:E$2)*(E4625=E4624:E$2)))))</f>
        <v> </v>
      </c>
      <c r="J4625" s="25" t="str">
        <f>IF(OR(E4625="",E4625="!!!",F4625="NEW"),"",COUNTBLANK(OFFSET(A$1,,,SUMPRODUCT(MAX(ROW(E$2:E4625)*(E4625=E$2:E4625)))))-COUNTBLANK(OFFSET(A$1,,,SUMPRODUCT(MAX(ROW(E$1:E4624)*(E2=E$1:E4624))))))</f>
        <v> </v>
      </c>
      <c r="K4625" s="25" t="str">
        <f>IF(OR(E4625="",E4625="!!!",F4625="NEW"),"",INDEX(J$1:J4624,SUMPRODUCT(MAX(ROW(E$1:E4624)*(E4625=E$1:E4624)))))</f>
        <v> </v>
      </c>
      <c r="L4625" s="26"/>
    </row>
    <row r="4626" spans="1:12">
      <c r="A4626" s="20" t="s">
        <v>811</v>
      </c>
      <c r="E4626" s="21">
        <f>IF(D4626="?OLD","!!!","")</f>
        <v/>
      </c>
      <c r="F4626" s="22" t="str">
        <f>IF(OR(E4626="",E4626="!!!"),"",IF(NOT(ISNA(VLOOKUP(E4626,E$1:E4625,1,FALSE()))),"OLD",IF(AND(E4626&lt;&gt;"",E4626&lt;&gt;"!!!"),"NEW","")))</f>
        <v> </v>
      </c>
      <c r="G4626" s="23" t="str">
        <f>IF(OR(E4626="",E4626="!!!"),"",IF(OR(J4626=0,AND(J4626=1,K4626=1),AND(J4626=1,I4626="SBJ"),AND(J4626=1,I4626=0)),"?IN_FOCUS",IF(J4626&lt;=2,"?ACTIVATED",IF(J4626&lt;&gt;"","?FAMILIAR",IF(F4626="NEW",IF(ISNA(VLOOKUP(E4626,#REF!,1,FALSE())),"?TYPE_IDENTIFIABLE","?REFERENTIAL"),"_")))))</f>
        <v> </v>
      </c>
      <c r="H4626" s="24" t="str">
        <f>IF(J4626&lt;&gt;1,"",IF(I4626="SBJ","CB","?"))</f>
        <v> </v>
      </c>
      <c r="I4626" s="25" t="str">
        <f>IF(OR(E4626="",E4626="!!!",F4626="NEW"),"",INDEX(B4625:B$2,-1+SUMPRODUCT(MAX(ROW(E4625:E$2)*(E4626=E4625:E$2)))))</f>
        <v> </v>
      </c>
      <c r="J4626" s="25" t="str">
        <f>IF(OR(E4626="",E4626="!!!",F4626="NEW"),"",COUNTBLANK(OFFSET(A$1,,,SUMPRODUCT(MAX(ROW(E$2:E4626)*(E4626=E$2:E4626)))))-COUNTBLANK(OFFSET(A$1,,,SUMPRODUCT(MAX(ROW(E$1:E4625)*(E2=E$1:E4625))))))</f>
        <v> </v>
      </c>
      <c r="K4626" s="25" t="str">
        <f>IF(OR(E4626="",E4626="!!!",F4626="NEW"),"",INDEX(J$1:J4625,SUMPRODUCT(MAX(ROW(E$1:E4625)*(E4626=E$1:E4625)))))</f>
        <v> </v>
      </c>
      <c r="L4626" s="26"/>
    </row>
    <row r="4627" spans="1:12">
      <c r="A4627" s="20" t="s">
        <v>753</v>
      </c>
      <c r="E4627" s="21">
        <f>IF(D4627="?OLD","!!!","")</f>
        <v/>
      </c>
      <c r="F4627" s="22" t="str">
        <f>IF(OR(E4627="",E4627="!!!"),"",IF(NOT(ISNA(VLOOKUP(E4627,E$1:E4626,1,FALSE()))),"OLD",IF(AND(E4627&lt;&gt;"",E4627&lt;&gt;"!!!"),"NEW","")))</f>
        <v> </v>
      </c>
      <c r="G4627" s="23" t="str">
        <f>IF(OR(E4627="",E4627="!!!"),"",IF(OR(J4627=0,AND(J4627=1,K4627=1),AND(J4627=1,I4627="SBJ"),AND(J4627=1,I4627=0)),"?IN_FOCUS",IF(J4627&lt;=2,"?ACTIVATED",IF(J4627&lt;&gt;"","?FAMILIAR",IF(F4627="NEW",IF(ISNA(VLOOKUP(E4627,#REF!,1,FALSE())),"?TYPE_IDENTIFIABLE","?REFERENTIAL"),"_")))))</f>
        <v> </v>
      </c>
      <c r="H4627" s="24" t="str">
        <f>IF(J4627&lt;&gt;1,"",IF(I4627="SBJ","CB","?"))</f>
        <v> </v>
      </c>
      <c r="I4627" s="25" t="str">
        <f>IF(OR(E4627="",E4627="!!!",F4627="NEW"),"",INDEX(B4626:B$2,-1+SUMPRODUCT(MAX(ROW(E4626:E$2)*(E4627=E4626:E$2)))))</f>
        <v> </v>
      </c>
      <c r="J4627" s="25" t="str">
        <f>IF(OR(E4627="",E4627="!!!",F4627="NEW"),"",COUNTBLANK(OFFSET(A$1,,,SUMPRODUCT(MAX(ROW(E$2:E4627)*(E4627=E$2:E4627)))))-COUNTBLANK(OFFSET(A$1,,,SUMPRODUCT(MAX(ROW(E$1:E4626)*(E2=E$1:E4626))))))</f>
        <v> </v>
      </c>
      <c r="K4627" s="25" t="str">
        <f>IF(OR(E4627="",E4627="!!!",F4627="NEW"),"",INDEX(J$1:J4626,SUMPRODUCT(MAX(ROW(E$1:E4626)*(E4627=E$1:E4626)))))</f>
        <v> </v>
      </c>
      <c r="L4627" s="26"/>
    </row>
    <row r="4628" spans="1:12">
      <c r="A4628" s="20" t="s">
        <v>858</v>
      </c>
      <c r="E4628" s="21">
        <f>IF(D4628="?OLD","!!!","")</f>
        <v/>
      </c>
      <c r="F4628" s="22" t="str">
        <f>IF(OR(E4628="",E4628="!!!"),"",IF(NOT(ISNA(VLOOKUP(E4628,E$1:E4627,1,FALSE()))),"OLD",IF(AND(E4628&lt;&gt;"",E4628&lt;&gt;"!!!"),"NEW","")))</f>
        <v> </v>
      </c>
      <c r="G4628" s="23" t="str">
        <f>IF(OR(E4628="",E4628="!!!"),"",IF(OR(J4628=0,AND(J4628=1,K4628=1),AND(J4628=1,I4628="SBJ"),AND(J4628=1,I4628=0)),"?IN_FOCUS",IF(J4628&lt;=2,"?ACTIVATED",IF(J4628&lt;&gt;"","?FAMILIAR",IF(F4628="NEW",IF(ISNA(VLOOKUP(E4628,#REF!,1,FALSE())),"?TYPE_IDENTIFIABLE","?REFERENTIAL"),"_")))))</f>
        <v> </v>
      </c>
      <c r="H4628" s="24" t="str">
        <f>IF(J4628&lt;&gt;1,"",IF(I4628="SBJ","CB","?"))</f>
        <v> </v>
      </c>
      <c r="I4628" s="25" t="str">
        <f>IF(OR(E4628="",E4628="!!!",F4628="NEW"),"",INDEX(B4627:B$2,-1+SUMPRODUCT(MAX(ROW(E4627:E$2)*(E4628=E4627:E$2)))))</f>
        <v> </v>
      </c>
      <c r="J4628" s="25" t="str">
        <f>IF(OR(E4628="",E4628="!!!",F4628="NEW"),"",COUNTBLANK(OFFSET(A$1,,,SUMPRODUCT(MAX(ROW(E$2:E4628)*(E4628=E$2:E4628)))))-COUNTBLANK(OFFSET(A$1,,,SUMPRODUCT(MAX(ROW(E$1:E4627)*(E2=E$1:E4627))))))</f>
        <v> </v>
      </c>
      <c r="K4628" s="25" t="str">
        <f>IF(OR(E4628="",E4628="!!!",F4628="NEW"),"",INDEX(J$1:J4627,SUMPRODUCT(MAX(ROW(E$1:E4627)*(E4628=E$1:E4627)))))</f>
        <v> </v>
      </c>
      <c r="L4628" s="26"/>
    </row>
    <row r="4629" spans="1:12">
      <c r="A4629" s="20" t="s">
        <v>774</v>
      </c>
      <c r="B4629" s="27" t="s">
        <v>728</v>
      </c>
      <c r="C4629" s="27" t="s">
        <v>775</v>
      </c>
      <c r="D4629" s="27" t="s">
        <v>740</v>
      </c>
      <c r="E4629" s="21">
        <f>IF(D4629="?OLD","!!!","")</f>
        <v/>
      </c>
      <c r="F4629" s="22" t="str">
        <f>IF(OR(E4629="",E4629="!!!"),"",IF(NOT(ISNA(VLOOKUP(E4629,E$1:E4628,1,FALSE()))),"OLD",IF(AND(E4629&lt;&gt;"",E4629&lt;&gt;"!!!"),"NEW","")))</f>
        <v> </v>
      </c>
      <c r="G4629" s="23" t="str">
        <f>IF(OR(E4629="",E4629="!!!"),"",IF(OR(J4629=0,AND(J4629=1,K4629=1),AND(J4629=1,I4629="SBJ"),AND(J4629=1,I4629=0)),"?IN_FOCUS",IF(J4629&lt;=2,"?ACTIVATED",IF(J4629&lt;&gt;"","?FAMILIAR",IF(F4629="NEW",IF(ISNA(VLOOKUP(E4629,#REF!,1,FALSE())),"?TYPE_IDENTIFIABLE","?REFERENTIAL"),"_")))))</f>
        <v> </v>
      </c>
      <c r="H4629" s="24" t="str">
        <f>IF(J4629&lt;&gt;1,"",IF(I4629="SBJ","CB","?"))</f>
        <v> </v>
      </c>
      <c r="I4629" s="25" t="str">
        <f>IF(OR(E4629="",E4629="!!!",F4629="NEW"),"",INDEX(B4628:B$2,-1+SUMPRODUCT(MAX(ROW(E4628:E$2)*(E4629=E4628:E$2)))))</f>
        <v> </v>
      </c>
      <c r="J4629" s="25" t="str">
        <f>IF(OR(E4629="",E4629="!!!",F4629="NEW"),"",COUNTBLANK(OFFSET(A$1,,,SUMPRODUCT(MAX(ROW(E$2:E4629)*(E4629=E$2:E4629)))))-COUNTBLANK(OFFSET(A$1,,,SUMPRODUCT(MAX(ROW(E$1:E4628)*(E2=E$1:E4628))))))</f>
        <v> </v>
      </c>
      <c r="K4629" s="25" t="str">
        <f>IF(OR(E4629="",E4629="!!!",F4629="NEW"),"",INDEX(J$1:J4628,SUMPRODUCT(MAX(ROW(E$1:E4628)*(E4629=E$1:E4628)))))</f>
        <v> </v>
      </c>
      <c r="L4629" s="26"/>
    </row>
    <row r="4630" spans="1:12">
      <c r="A4630" s="20" t="s">
        <v>753</v>
      </c>
      <c r="E4630" s="21">
        <f>IF(D4630="?OLD","!!!","")</f>
        <v/>
      </c>
      <c r="F4630" s="22" t="str">
        <f>IF(OR(E4630="",E4630="!!!"),"",IF(NOT(ISNA(VLOOKUP(E4630,E$1:E4629,1,FALSE()))),"OLD",IF(AND(E4630&lt;&gt;"",E4630&lt;&gt;"!!!"),"NEW","")))</f>
        <v> </v>
      </c>
      <c r="G4630" s="23" t="str">
        <f>IF(OR(E4630="",E4630="!!!"),"",IF(OR(J4630=0,AND(J4630=1,K4630=1),AND(J4630=1,I4630="SBJ"),AND(J4630=1,I4630=0)),"?IN_FOCUS",IF(J4630&lt;=2,"?ACTIVATED",IF(J4630&lt;&gt;"","?FAMILIAR",IF(F4630="NEW",IF(ISNA(VLOOKUP(E4630,#REF!,1,FALSE())),"?TYPE_IDENTIFIABLE","?REFERENTIAL"),"_")))))</f>
        <v> </v>
      </c>
      <c r="H4630" s="24" t="str">
        <f>IF(J4630&lt;&gt;1,"",IF(I4630="SBJ","CB","?"))</f>
        <v> </v>
      </c>
      <c r="I4630" s="25" t="str">
        <f>IF(OR(E4630="",E4630="!!!",F4630="NEW"),"",INDEX(B4629:B$2,-1+SUMPRODUCT(MAX(ROW(E4629:E$2)*(E4630=E4629:E$2)))))</f>
        <v> </v>
      </c>
      <c r="J4630" s="25" t="str">
        <f>IF(OR(E4630="",E4630="!!!",F4630="NEW"),"",COUNTBLANK(OFFSET(A$1,,,SUMPRODUCT(MAX(ROW(E$2:E4630)*(E4630=E$2:E4630)))))-COUNTBLANK(OFFSET(A$1,,,SUMPRODUCT(MAX(ROW(E$1:E4629)*(E2=E$1:E4629))))))</f>
        <v> </v>
      </c>
      <c r="K4630" s="25" t="str">
        <f>IF(OR(E4630="",E4630="!!!",F4630="NEW"),"",INDEX(J$1:J4629,SUMPRODUCT(MAX(ROW(E$1:E4629)*(E4630=E$1:E4629)))))</f>
        <v> </v>
      </c>
      <c r="L4630" s="26"/>
    </row>
    <row r="4631" spans="1:12">
      <c r="A4631" s="20" t="s">
        <v>774</v>
      </c>
      <c r="B4631" s="27" t="s">
        <v>771</v>
      </c>
      <c r="C4631" s="27" t="s">
        <v>775</v>
      </c>
      <c r="D4631" s="27" t="s">
        <v>740</v>
      </c>
      <c r="E4631" s="21">
        <f>IF(D4631="?OLD","!!!","")</f>
        <v/>
      </c>
      <c r="F4631" s="22" t="str">
        <f>IF(OR(E4631="",E4631="!!!"),"",IF(NOT(ISNA(VLOOKUP(E4631,E$1:E4630,1,FALSE()))),"OLD",IF(AND(E4631&lt;&gt;"",E4631&lt;&gt;"!!!"),"NEW","")))</f>
        <v> </v>
      </c>
      <c r="G4631" s="23" t="str">
        <f>IF(OR(E4631="",E4631="!!!"),"",IF(OR(J4631=0,AND(J4631=1,K4631=1),AND(J4631=1,I4631="SBJ"),AND(J4631=1,I4631=0)),"?IN_FOCUS",IF(J4631&lt;=2,"?ACTIVATED",IF(J4631&lt;&gt;"","?FAMILIAR",IF(F4631="NEW",IF(ISNA(VLOOKUP(E4631,#REF!,1,FALSE())),"?TYPE_IDENTIFIABLE","?REFERENTIAL"),"_")))))</f>
        <v> </v>
      </c>
      <c r="H4631" s="24" t="str">
        <f>IF(J4631&lt;&gt;1,"",IF(I4631="SBJ","CB","?"))</f>
        <v> </v>
      </c>
      <c r="I4631" s="25" t="str">
        <f>IF(OR(E4631="",E4631="!!!",F4631="NEW"),"",INDEX(B4630:B$2,-1+SUMPRODUCT(MAX(ROW(E4630:E$2)*(E4631=E4630:E$2)))))</f>
        <v> </v>
      </c>
      <c r="J4631" s="25" t="str">
        <f>IF(OR(E4631="",E4631="!!!",F4631="NEW"),"",COUNTBLANK(OFFSET(A$1,,,SUMPRODUCT(MAX(ROW(E$2:E4631)*(E4631=E$2:E4631)))))-COUNTBLANK(OFFSET(A$1,,,SUMPRODUCT(MAX(ROW(E$1:E4630)*(E2=E$1:E4630))))))</f>
        <v> </v>
      </c>
      <c r="K4631" s="25" t="str">
        <f>IF(OR(E4631="",E4631="!!!",F4631="NEW"),"",INDEX(J$1:J4630,SUMPRODUCT(MAX(ROW(E$1:E4630)*(E4631=E$1:E4630)))))</f>
        <v> </v>
      </c>
      <c r="L4631" s="26"/>
    </row>
    <row r="4632" spans="1:12">
      <c r="A4632" s="20" t="s">
        <v>1656</v>
      </c>
      <c r="E4632" s="21">
        <f>IF(D4632="?OLD","!!!","")</f>
        <v/>
      </c>
      <c r="F4632" s="22" t="str">
        <f>IF(OR(E4632="",E4632="!!!"),"",IF(NOT(ISNA(VLOOKUP(E4632,E$1:E4631,1,FALSE()))),"OLD",IF(AND(E4632&lt;&gt;"",E4632&lt;&gt;"!!!"),"NEW","")))</f>
        <v> </v>
      </c>
      <c r="G4632" s="23" t="str">
        <f>IF(OR(E4632="",E4632="!!!"),"",IF(OR(J4632=0,AND(J4632=1,K4632=1),AND(J4632=1,I4632="SBJ"),AND(J4632=1,I4632=0)),"?IN_FOCUS",IF(J4632&lt;=2,"?ACTIVATED",IF(J4632&lt;&gt;"","?FAMILIAR",IF(F4632="NEW",IF(ISNA(VLOOKUP(E4632,#REF!,1,FALSE())),"?TYPE_IDENTIFIABLE","?REFERENTIAL"),"_")))))</f>
        <v> </v>
      </c>
      <c r="H4632" s="24" t="str">
        <f>IF(J4632&lt;&gt;1,"",IF(I4632="SBJ","CB","?"))</f>
        <v> </v>
      </c>
      <c r="I4632" s="25" t="str">
        <f>IF(OR(E4632="",E4632="!!!",F4632="NEW"),"",INDEX(B4631:B$2,-1+SUMPRODUCT(MAX(ROW(E4631:E$2)*(E4632=E4631:E$2)))))</f>
        <v> </v>
      </c>
      <c r="J4632" s="25" t="str">
        <f>IF(OR(E4632="",E4632="!!!",F4632="NEW"),"",COUNTBLANK(OFFSET(A$1,,,SUMPRODUCT(MAX(ROW(E$2:E4632)*(E4632=E$2:E4632)))))-COUNTBLANK(OFFSET(A$1,,,SUMPRODUCT(MAX(ROW(E$1:E4631)*(E2=E$1:E4631))))))</f>
        <v> </v>
      </c>
      <c r="K4632" s="25" t="str">
        <f>IF(OR(E4632="",E4632="!!!",F4632="NEW"),"",INDEX(J$1:J4631,SUMPRODUCT(MAX(ROW(E$1:E4631)*(E4632=E$1:E4631)))))</f>
        <v> </v>
      </c>
      <c r="L4632" s="26"/>
    </row>
    <row r="4633" spans="1:12">
      <c r="A4633" s="20" t="s">
        <v>753</v>
      </c>
      <c r="E4633" s="21">
        <f>IF(D4633="?OLD","!!!","")</f>
        <v/>
      </c>
      <c r="F4633" s="22" t="str">
        <f>IF(OR(E4633="",E4633="!!!"),"",IF(NOT(ISNA(VLOOKUP(E4633,E$1:E4632,1,FALSE()))),"OLD",IF(AND(E4633&lt;&gt;"",E4633&lt;&gt;"!!!"),"NEW","")))</f>
        <v> </v>
      </c>
      <c r="G4633" s="23" t="str">
        <f>IF(OR(E4633="",E4633="!!!"),"",IF(OR(J4633=0,AND(J4633=1,K4633=1),AND(J4633=1,I4633="SBJ"),AND(J4633=1,I4633=0)),"?IN_FOCUS",IF(J4633&lt;=2,"?ACTIVATED",IF(J4633&lt;&gt;"","?FAMILIAR",IF(F4633="NEW",IF(ISNA(VLOOKUP(E4633,#REF!,1,FALSE())),"?TYPE_IDENTIFIABLE","?REFERENTIAL"),"_")))))</f>
        <v> </v>
      </c>
      <c r="H4633" s="24" t="str">
        <f>IF(J4633&lt;&gt;1,"",IF(I4633="SBJ","CB","?"))</f>
        <v> </v>
      </c>
      <c r="I4633" s="25" t="str">
        <f>IF(OR(E4633="",E4633="!!!",F4633="NEW"),"",INDEX(B4632:B$2,-1+SUMPRODUCT(MAX(ROW(E4632:E$2)*(E4633=E4632:E$2)))))</f>
        <v> </v>
      </c>
      <c r="J4633" s="25" t="str">
        <f>IF(OR(E4633="",E4633="!!!",F4633="NEW"),"",COUNTBLANK(OFFSET(A$1,,,SUMPRODUCT(MAX(ROW(E$2:E4633)*(E4633=E$2:E4633)))))-COUNTBLANK(OFFSET(A$1,,,SUMPRODUCT(MAX(ROW(E$1:E4632)*(E2=E$1:E4632))))))</f>
        <v> </v>
      </c>
      <c r="K4633" s="25" t="str">
        <f>IF(OR(E4633="",E4633="!!!",F4633="NEW"),"",INDEX(J$1:J4632,SUMPRODUCT(MAX(ROW(E$1:E4632)*(E4633=E$1:E4632)))))</f>
        <v> </v>
      </c>
      <c r="L4633" s="26"/>
    </row>
    <row r="4634" spans="1:12">
      <c r="A4634" s="20" t="s">
        <v>1260</v>
      </c>
      <c r="B4634" s="27" t="s">
        <v>771</v>
      </c>
      <c r="C4634" s="27" t="s">
        <v>749</v>
      </c>
      <c r="D4634" s="27" t="s">
        <v>740</v>
      </c>
      <c r="E4634" s="21">
        <f>IF(D4634="?OLD","!!!","")</f>
        <v/>
      </c>
      <c r="F4634" s="22" t="str">
        <f>IF(OR(E4634="",E4634="!!!"),"",IF(NOT(ISNA(VLOOKUP(E4634,E$1:E4633,1,FALSE()))),"OLD",IF(AND(E4634&lt;&gt;"",E4634&lt;&gt;"!!!"),"NEW","")))</f>
        <v> </v>
      </c>
      <c r="G4634" s="23" t="str">
        <f>IF(OR(E4634="",E4634="!!!"),"",IF(OR(J4634=0,AND(J4634=1,K4634=1),AND(J4634=1,I4634="SBJ"),AND(J4634=1,I4634=0)),"?IN_FOCUS",IF(J4634&lt;=2,"?ACTIVATED",IF(J4634&lt;&gt;"","?FAMILIAR",IF(F4634="NEW",IF(ISNA(VLOOKUP(E4634,#REF!,1,FALSE())),"?TYPE_IDENTIFIABLE","?REFERENTIAL"),"_")))))</f>
        <v> </v>
      </c>
      <c r="H4634" s="24" t="str">
        <f>IF(J4634&lt;&gt;1,"",IF(I4634="SBJ","CB","?"))</f>
        <v> </v>
      </c>
      <c r="I4634" s="25" t="str">
        <f>IF(OR(E4634="",E4634="!!!",F4634="NEW"),"",INDEX(B4633:B$2,-1+SUMPRODUCT(MAX(ROW(E4633:E$2)*(E4634=E4633:E$2)))))</f>
        <v> </v>
      </c>
      <c r="J4634" s="25" t="str">
        <f>IF(OR(E4634="",E4634="!!!",F4634="NEW"),"",COUNTBLANK(OFFSET(A$1,,,SUMPRODUCT(MAX(ROW(E$2:E4634)*(E4634=E$2:E4634)))))-COUNTBLANK(OFFSET(A$1,,,SUMPRODUCT(MAX(ROW(E$1:E4633)*(E2=E$1:E4633))))))</f>
        <v> </v>
      </c>
      <c r="K4634" s="25" t="str">
        <f>IF(OR(E4634="",E4634="!!!",F4634="NEW"),"",INDEX(J$1:J4633,SUMPRODUCT(MAX(ROW(E$1:E4633)*(E4634=E$1:E4633)))))</f>
        <v> </v>
      </c>
      <c r="L4634" s="26"/>
    </row>
    <row r="4635" spans="1:12">
      <c r="A4635" s="20" t="s">
        <v>1388</v>
      </c>
      <c r="E4635" s="21">
        <f>IF(D4635="?OLD","!!!","")</f>
        <v/>
      </c>
      <c r="F4635" s="22" t="str">
        <f>IF(OR(E4635="",E4635="!!!"),"",IF(NOT(ISNA(VLOOKUP(E4635,E$1:E4634,1,FALSE()))),"OLD",IF(AND(E4635&lt;&gt;"",E4635&lt;&gt;"!!!"),"NEW","")))</f>
        <v> </v>
      </c>
      <c r="G4635" s="23" t="str">
        <f>IF(OR(E4635="",E4635="!!!"),"",IF(OR(J4635=0,AND(J4635=1,K4635=1),AND(J4635=1,I4635="SBJ"),AND(J4635=1,I4635=0)),"?IN_FOCUS",IF(J4635&lt;=2,"?ACTIVATED",IF(J4635&lt;&gt;"","?FAMILIAR",IF(F4635="NEW",IF(ISNA(VLOOKUP(E4635,#REF!,1,FALSE())),"?TYPE_IDENTIFIABLE","?REFERENTIAL"),"_")))))</f>
        <v> </v>
      </c>
      <c r="H4635" s="24" t="str">
        <f>IF(J4635&lt;&gt;1,"",IF(I4635="SBJ","CB","?"))</f>
        <v> </v>
      </c>
      <c r="I4635" s="25" t="str">
        <f>IF(OR(E4635="",E4635="!!!",F4635="NEW"),"",INDEX(B4634:B$2,-1+SUMPRODUCT(MAX(ROW(E4634:E$2)*(E4635=E4634:E$2)))))</f>
        <v> </v>
      </c>
      <c r="J4635" s="25" t="str">
        <f>IF(OR(E4635="",E4635="!!!",F4635="NEW"),"",COUNTBLANK(OFFSET(A$1,,,SUMPRODUCT(MAX(ROW(E$2:E4635)*(E4635=E$2:E4635)))))-COUNTBLANK(OFFSET(A$1,,,SUMPRODUCT(MAX(ROW(E$1:E4634)*(E2=E$1:E4634))))))</f>
        <v> </v>
      </c>
      <c r="K4635" s="25" t="str">
        <f>IF(OR(E4635="",E4635="!!!",F4635="NEW"),"",INDEX(J$1:J4634,SUMPRODUCT(MAX(ROW(E$1:E4634)*(E4635=E$1:E4634)))))</f>
        <v> </v>
      </c>
      <c r="L4635" s="26"/>
    </row>
    <row r="4636" spans="1:12">
      <c r="A4636" s="20" t="s">
        <v>1149</v>
      </c>
      <c r="E4636" s="21">
        <f>IF(D4636="?OLD","!!!","")</f>
        <v/>
      </c>
      <c r="F4636" s="22" t="str">
        <f>IF(OR(E4636="",E4636="!!!"),"",IF(NOT(ISNA(VLOOKUP(E4636,E$1:E4635,1,FALSE()))),"OLD",IF(AND(E4636&lt;&gt;"",E4636&lt;&gt;"!!!"),"NEW","")))</f>
        <v> </v>
      </c>
      <c r="G4636" s="23" t="str">
        <f>IF(OR(E4636="",E4636="!!!"),"",IF(OR(J4636=0,AND(J4636=1,K4636=1),AND(J4636=1,I4636="SBJ"),AND(J4636=1,I4636=0)),"?IN_FOCUS",IF(J4636&lt;=2,"?ACTIVATED",IF(J4636&lt;&gt;"","?FAMILIAR",IF(F4636="NEW",IF(ISNA(VLOOKUP(E4636,#REF!,1,FALSE())),"?TYPE_IDENTIFIABLE","?REFERENTIAL"),"_")))))</f>
        <v> </v>
      </c>
      <c r="H4636" s="24" t="str">
        <f>IF(J4636&lt;&gt;1,"",IF(I4636="SBJ","CB","?"))</f>
        <v> </v>
      </c>
      <c r="I4636" s="25" t="str">
        <f>IF(OR(E4636="",E4636="!!!",F4636="NEW"),"",INDEX(B4635:B$2,-1+SUMPRODUCT(MAX(ROW(E4635:E$2)*(E4636=E4635:E$2)))))</f>
        <v> </v>
      </c>
      <c r="J4636" s="25" t="str">
        <f>IF(OR(E4636="",E4636="!!!",F4636="NEW"),"",COUNTBLANK(OFFSET(A$1,,,SUMPRODUCT(MAX(ROW(E$2:E4636)*(E4636=E$2:E4636)))))-COUNTBLANK(OFFSET(A$1,,,SUMPRODUCT(MAX(ROW(E$1:E4635)*(E2=E$1:E4635))))))</f>
        <v> </v>
      </c>
      <c r="K4636" s="25" t="str">
        <f>IF(OR(E4636="",E4636="!!!",F4636="NEW"),"",INDEX(J$1:J4635,SUMPRODUCT(MAX(ROW(E$1:E4635)*(E4636=E$1:E4635)))))</f>
        <v> </v>
      </c>
      <c r="L4636" s="26"/>
    </row>
    <row r="4637" spans="1:12">
      <c r="A4637" s="20" t="s">
        <v>762</v>
      </c>
      <c r="E4637" s="21">
        <f>IF(D4637="?OLD","!!!","")</f>
        <v/>
      </c>
      <c r="F4637" s="22" t="str">
        <f>IF(OR(E4637="",E4637="!!!"),"",IF(NOT(ISNA(VLOOKUP(E4637,E$1:E4636,1,FALSE()))),"OLD",IF(AND(E4637&lt;&gt;"",E4637&lt;&gt;"!!!"),"NEW","")))</f>
        <v> </v>
      </c>
      <c r="G4637" s="23" t="str">
        <f>IF(OR(E4637="",E4637="!!!"),"",IF(OR(J4637=0,AND(J4637=1,K4637=1),AND(J4637=1,I4637="SBJ"),AND(J4637=1,I4637=0)),"?IN_FOCUS",IF(J4637&lt;=2,"?ACTIVATED",IF(J4637&lt;&gt;"","?FAMILIAR",IF(F4637="NEW",IF(ISNA(VLOOKUP(E4637,#REF!,1,FALSE())),"?TYPE_IDENTIFIABLE","?REFERENTIAL"),"_")))))</f>
        <v> </v>
      </c>
      <c r="H4637" s="24" t="str">
        <f>IF(J4637&lt;&gt;1,"",IF(I4637="SBJ","CB","?"))</f>
        <v> </v>
      </c>
      <c r="I4637" s="25" t="str">
        <f>IF(OR(E4637="",E4637="!!!",F4637="NEW"),"",INDEX(B4636:B$2,-1+SUMPRODUCT(MAX(ROW(E4636:E$2)*(E4637=E4636:E$2)))))</f>
        <v> </v>
      </c>
      <c r="J4637" s="25" t="str">
        <f>IF(OR(E4637="",E4637="!!!",F4637="NEW"),"",COUNTBLANK(OFFSET(A$1,,,SUMPRODUCT(MAX(ROW(E$2:E4637)*(E4637=E$2:E4637)))))-COUNTBLANK(OFFSET(A$1,,,SUMPRODUCT(MAX(ROW(E$1:E4636)*(E2=E$1:E4636))))))</f>
        <v> </v>
      </c>
      <c r="K4637" s="25" t="str">
        <f>IF(OR(E4637="",E4637="!!!",F4637="NEW"),"",INDEX(J$1:J4636,SUMPRODUCT(MAX(ROW(E$1:E4636)*(E4637=E$1:E4636)))))</f>
        <v> </v>
      </c>
      <c r="L4637" s="26"/>
    </row>
    <row r="4638" spans="1:12">
      <c r="A4638" s="20" t="s">
        <v>2063</v>
      </c>
      <c r="B4638" s="27" t="s">
        <v>733</v>
      </c>
      <c r="C4638" s="27" t="s">
        <v>739</v>
      </c>
      <c r="D4638" s="27" t="s">
        <v>740</v>
      </c>
      <c r="E4638" s="21">
        <f>IF(D4638="?OLD","!!!","")</f>
        <v/>
      </c>
      <c r="F4638" s="22" t="str">
        <f>IF(OR(E4638="",E4638="!!!"),"",IF(NOT(ISNA(VLOOKUP(E4638,E$1:E4637,1,FALSE()))),"OLD",IF(AND(E4638&lt;&gt;"",E4638&lt;&gt;"!!!"),"NEW","")))</f>
        <v> </v>
      </c>
      <c r="G4638" s="23" t="str">
        <f>IF(OR(E4638="",E4638="!!!"),"",IF(OR(J4638=0,AND(J4638=1,K4638=1),AND(J4638=1,I4638="SBJ"),AND(J4638=1,I4638=0)),"?IN_FOCUS",IF(J4638&lt;=2,"?ACTIVATED",IF(J4638&lt;&gt;"","?FAMILIAR",IF(F4638="NEW",IF(ISNA(VLOOKUP(E4638,#REF!,1,FALSE())),"?TYPE_IDENTIFIABLE","?REFERENTIAL"),"_")))))</f>
        <v> </v>
      </c>
      <c r="H4638" s="24" t="str">
        <f>IF(J4638&lt;&gt;1,"",IF(I4638="SBJ","CB","?"))</f>
        <v> </v>
      </c>
      <c r="I4638" s="25" t="str">
        <f>IF(OR(E4638="",E4638="!!!",F4638="NEW"),"",INDEX(B4637:B$2,-1+SUMPRODUCT(MAX(ROW(E4637:E$2)*(E4638=E4637:E$2)))))</f>
        <v> </v>
      </c>
      <c r="J4638" s="25" t="str">
        <f>IF(OR(E4638="",E4638="!!!",F4638="NEW"),"",COUNTBLANK(OFFSET(A$1,,,SUMPRODUCT(MAX(ROW(E$2:E4638)*(E4638=E$2:E4638)))))-COUNTBLANK(OFFSET(A$1,,,SUMPRODUCT(MAX(ROW(E$1:E4637)*(E2=E$1:E4637))))))</f>
        <v> </v>
      </c>
      <c r="K4638" s="25" t="str">
        <f>IF(OR(E4638="",E4638="!!!",F4638="NEW"),"",INDEX(J$1:J4637,SUMPRODUCT(MAX(ROW(E$1:E4637)*(E4638=E$1:E4637)))))</f>
        <v> </v>
      </c>
      <c r="L4638" s="26"/>
    </row>
    <row r="4639" spans="1:12">
      <c r="A4639" s="20" t="s">
        <v>937</v>
      </c>
      <c r="E4639" s="21">
        <f>IF(D4639="?OLD","!!!","")</f>
        <v/>
      </c>
      <c r="F4639" s="22" t="str">
        <f>IF(OR(E4639="",E4639="!!!"),"",IF(NOT(ISNA(VLOOKUP(E4639,E$1:E4638,1,FALSE()))),"OLD",IF(AND(E4639&lt;&gt;"",E4639&lt;&gt;"!!!"),"NEW","")))</f>
        <v> </v>
      </c>
      <c r="G4639" s="23" t="str">
        <f>IF(OR(E4639="",E4639="!!!"),"",IF(OR(J4639=0,AND(J4639=1,K4639=1),AND(J4639=1,I4639="SBJ"),AND(J4639=1,I4639=0)),"?IN_FOCUS",IF(J4639&lt;=2,"?ACTIVATED",IF(J4639&lt;&gt;"","?FAMILIAR",IF(F4639="NEW",IF(ISNA(VLOOKUP(E4639,#REF!,1,FALSE())),"?TYPE_IDENTIFIABLE","?REFERENTIAL"),"_")))))</f>
        <v> </v>
      </c>
      <c r="H4639" s="24" t="str">
        <f>IF(J4639&lt;&gt;1,"",IF(I4639="SBJ","CB","?"))</f>
        <v> </v>
      </c>
      <c r="I4639" s="25" t="str">
        <f>IF(OR(E4639="",E4639="!!!",F4639="NEW"),"",INDEX(B4638:B$2,-1+SUMPRODUCT(MAX(ROW(E4638:E$2)*(E4639=E4638:E$2)))))</f>
        <v> </v>
      </c>
      <c r="J4639" s="25" t="str">
        <f>IF(OR(E4639="",E4639="!!!",F4639="NEW"),"",COUNTBLANK(OFFSET(A$1,,,SUMPRODUCT(MAX(ROW(E$2:E4639)*(E4639=E$2:E4639)))))-COUNTBLANK(OFFSET(A$1,,,SUMPRODUCT(MAX(ROW(E$1:E4638)*(E2=E$1:E4638))))))</f>
        <v> </v>
      </c>
      <c r="K4639" s="25" t="str">
        <f>IF(OR(E4639="",E4639="!!!",F4639="NEW"),"",INDEX(J$1:J4638,SUMPRODUCT(MAX(ROW(E$1:E4638)*(E4639=E$1:E4638)))))</f>
        <v> </v>
      </c>
      <c r="L4639" s="26"/>
    </row>
    <row r="4640" spans="1:12">
      <c r="A4640" s="20" t="s">
        <v>863</v>
      </c>
      <c r="E4640" s="21">
        <f>IF(D4640="?OLD","!!!","")</f>
        <v/>
      </c>
      <c r="F4640" s="22" t="str">
        <f>IF(OR(E4640="",E4640="!!!"),"",IF(NOT(ISNA(VLOOKUP(E4640,E$1:E4639,1,FALSE()))),"OLD",IF(AND(E4640&lt;&gt;"",E4640&lt;&gt;"!!!"),"NEW","")))</f>
        <v> </v>
      </c>
      <c r="G4640" s="23" t="str">
        <f>IF(OR(E4640="",E4640="!!!"),"",IF(OR(J4640=0,AND(J4640=1,K4640=1),AND(J4640=1,I4640="SBJ"),AND(J4640=1,I4640=0)),"?IN_FOCUS",IF(J4640&lt;=2,"?ACTIVATED",IF(J4640&lt;&gt;"","?FAMILIAR",IF(F4640="NEW",IF(ISNA(VLOOKUP(E4640,#REF!,1,FALSE())),"?TYPE_IDENTIFIABLE","?REFERENTIAL"),"_")))))</f>
        <v> </v>
      </c>
      <c r="H4640" s="24" t="str">
        <f>IF(J4640&lt;&gt;1,"",IF(I4640="SBJ","CB","?"))</f>
        <v> </v>
      </c>
      <c r="I4640" s="25" t="str">
        <f>IF(OR(E4640="",E4640="!!!",F4640="NEW"),"",INDEX(B4639:B$2,-1+SUMPRODUCT(MAX(ROW(E4639:E$2)*(E4640=E4639:E$2)))))</f>
        <v> </v>
      </c>
      <c r="J4640" s="25" t="str">
        <f>IF(OR(E4640="",E4640="!!!",F4640="NEW"),"",COUNTBLANK(OFFSET(A$1,,,SUMPRODUCT(MAX(ROW(E$2:E4640)*(E4640=E$2:E4640)))))-COUNTBLANK(OFFSET(A$1,,,SUMPRODUCT(MAX(ROW(E$1:E4639)*(E2=E$1:E4639))))))</f>
        <v> </v>
      </c>
      <c r="K4640" s="25" t="str">
        <f>IF(OR(E4640="",E4640="!!!",F4640="NEW"),"",INDEX(J$1:J4639,SUMPRODUCT(MAX(ROW(E$1:E4639)*(E4640=E$1:E4639)))))</f>
        <v> </v>
      </c>
      <c r="L4640" s="26"/>
    </row>
    <row r="4641" spans="1:12">
      <c r="A4641" s="20" t="s">
        <v>2064</v>
      </c>
      <c r="B4641" s="27" t="s">
        <v>779</v>
      </c>
      <c r="C4641" s="27" t="s">
        <v>744</v>
      </c>
      <c r="E4641" s="21">
        <f>IF(D4641="?OLD","!!!","")</f>
        <v/>
      </c>
      <c r="F4641" s="22" t="str">
        <f>IF(OR(E4641="",E4641="!!!"),"",IF(NOT(ISNA(VLOOKUP(E4641,E$1:E4640,1,FALSE()))),"OLD",IF(AND(E4641&lt;&gt;"",E4641&lt;&gt;"!!!"),"NEW","")))</f>
        <v> </v>
      </c>
      <c r="G4641" s="23" t="str">
        <f>IF(OR(E4641="",E4641="!!!"),"",IF(OR(J4641=0,AND(J4641=1,K4641=1),AND(J4641=1,I4641="SBJ"),AND(J4641=1,I4641=0)),"?IN_FOCUS",IF(J4641&lt;=2,"?ACTIVATED",IF(J4641&lt;&gt;"","?FAMILIAR",IF(F4641="NEW",IF(ISNA(VLOOKUP(E4641,#REF!,1,FALSE())),"?TYPE_IDENTIFIABLE","?REFERENTIAL"),"_")))))</f>
        <v> </v>
      </c>
      <c r="H4641" s="24" t="str">
        <f>IF(J4641&lt;&gt;1,"",IF(I4641="SBJ","CB","?"))</f>
        <v> </v>
      </c>
      <c r="I4641" s="25" t="str">
        <f>IF(OR(E4641="",E4641="!!!",F4641="NEW"),"",INDEX(B4640:B$2,-1+SUMPRODUCT(MAX(ROW(E4640:E$2)*(E4641=E4640:E$2)))))</f>
        <v> </v>
      </c>
      <c r="J4641" s="25" t="str">
        <f>IF(OR(E4641="",E4641="!!!",F4641="NEW"),"",COUNTBLANK(OFFSET(A$1,,,SUMPRODUCT(MAX(ROW(E$2:E4641)*(E4641=E$2:E4641)))))-COUNTBLANK(OFFSET(A$1,,,SUMPRODUCT(MAX(ROW(E$1:E4640)*(E2=E$1:E4640))))))</f>
        <v> </v>
      </c>
      <c r="K4641" s="25" t="str">
        <f>IF(OR(E4641="",E4641="!!!",F4641="NEW"),"",INDEX(J$1:J4640,SUMPRODUCT(MAX(ROW(E$1:E4640)*(E4641=E$1:E4640)))))</f>
        <v> </v>
      </c>
      <c r="L4641" s="26"/>
    </row>
    <row r="4642" spans="1:12">
      <c r="A4642" s="20" t="s">
        <v>1786</v>
      </c>
      <c r="E4642" s="21">
        <f>IF(D4642="?OLD","!!!","")</f>
        <v/>
      </c>
      <c r="F4642" s="22" t="str">
        <f>IF(OR(E4642="",E4642="!!!"),"",IF(NOT(ISNA(VLOOKUP(E4642,E$1:E4641,1,FALSE()))),"OLD",IF(AND(E4642&lt;&gt;"",E4642&lt;&gt;"!!!"),"NEW","")))</f>
        <v> </v>
      </c>
      <c r="G4642" s="23" t="str">
        <f>IF(OR(E4642="",E4642="!!!"),"",IF(OR(J4642=0,AND(J4642=1,K4642=1),AND(J4642=1,I4642="SBJ"),AND(J4642=1,I4642=0)),"?IN_FOCUS",IF(J4642&lt;=2,"?ACTIVATED",IF(J4642&lt;&gt;"","?FAMILIAR",IF(F4642="NEW",IF(ISNA(VLOOKUP(E4642,#REF!,1,FALSE())),"?TYPE_IDENTIFIABLE","?REFERENTIAL"),"_")))))</f>
        <v> </v>
      </c>
      <c r="H4642" s="24" t="str">
        <f>IF(J4642&lt;&gt;1,"",IF(I4642="SBJ","CB","?"))</f>
        <v> </v>
      </c>
      <c r="I4642" s="25" t="str">
        <f>IF(OR(E4642="",E4642="!!!",F4642="NEW"),"",INDEX(B4641:B$2,-1+SUMPRODUCT(MAX(ROW(E4641:E$2)*(E4642=E4641:E$2)))))</f>
        <v> </v>
      </c>
      <c r="J4642" s="25" t="str">
        <f>IF(OR(E4642="",E4642="!!!",F4642="NEW"),"",COUNTBLANK(OFFSET(A$1,,,SUMPRODUCT(MAX(ROW(E$2:E4642)*(E4642=E$2:E4642)))))-COUNTBLANK(OFFSET(A$1,,,SUMPRODUCT(MAX(ROW(E$1:E4641)*(E2=E$1:E4641))))))</f>
        <v> </v>
      </c>
      <c r="K4642" s="25" t="str">
        <f>IF(OR(E4642="",E4642="!!!",F4642="NEW"),"",INDEX(J$1:J4641,SUMPRODUCT(MAX(ROW(E$1:E4641)*(E4642=E$1:E4641)))))</f>
        <v> </v>
      </c>
      <c r="L4642" s="26"/>
    </row>
    <row r="4643" spans="1:12">
      <c r="A4643" s="20" t="s">
        <v>746</v>
      </c>
      <c r="E4643" s="21">
        <f>IF(D4643="?OLD","!!!","")</f>
        <v/>
      </c>
      <c r="F4643" s="22" t="str">
        <f>IF(OR(E4643="",E4643="!!!"),"",IF(NOT(ISNA(VLOOKUP(E4643,E$1:E4642,1,FALSE()))),"OLD",IF(AND(E4643&lt;&gt;"",E4643&lt;&gt;"!!!"),"NEW","")))</f>
        <v> </v>
      </c>
      <c r="G4643" s="23" t="str">
        <f>IF(OR(E4643="",E4643="!!!"),"",IF(OR(J4643=0,AND(J4643=1,K4643=1),AND(J4643=1,I4643="SBJ"),AND(J4643=1,I4643=0)),"?IN_FOCUS",IF(J4643&lt;=2,"?ACTIVATED",IF(J4643&lt;&gt;"","?FAMILIAR",IF(F4643="NEW",IF(ISNA(VLOOKUP(E4643,#REF!,1,FALSE())),"?TYPE_IDENTIFIABLE","?REFERENTIAL"),"_")))))</f>
        <v> </v>
      </c>
      <c r="H4643" s="24" t="str">
        <f>IF(J4643&lt;&gt;1,"",IF(I4643="SBJ","CB","?"))</f>
        <v> </v>
      </c>
      <c r="I4643" s="25" t="str">
        <f>IF(OR(E4643="",E4643="!!!",F4643="NEW"),"",INDEX(B4642:B$2,-1+SUMPRODUCT(MAX(ROW(E4642:E$2)*(E4643=E4642:E$2)))))</f>
        <v> </v>
      </c>
      <c r="J4643" s="25" t="str">
        <f>IF(OR(E4643="",E4643="!!!",F4643="NEW"),"",COUNTBLANK(OFFSET(A$1,,,SUMPRODUCT(MAX(ROW(E$2:E4643)*(E4643=E$2:E4643)))))-COUNTBLANK(OFFSET(A$1,,,SUMPRODUCT(MAX(ROW(E$1:E4642)*(E2=E$1:E4642))))))</f>
        <v> </v>
      </c>
      <c r="K4643" s="25" t="str">
        <f>IF(OR(E4643="",E4643="!!!",F4643="NEW"),"",INDEX(J$1:J4642,SUMPRODUCT(MAX(ROW(E$1:E4642)*(E4643=E$1:E4642)))))</f>
        <v> </v>
      </c>
      <c r="L4643" s="26"/>
    </row>
    <row r="4644" spans="1:12">
      <c r="A4644" s="20"/>
    </row>
    <row r="4645" spans="1:12">
      <c r="A4645" s="20" t="s">
        <v>2065</v>
      </c>
    </row>
    <row r="4646" spans="1:12">
      <c r="A4646" s="20" t="s">
        <v>880</v>
      </c>
      <c r="E4646" s="21">
        <f>IF(D4646="?OLD","!!!","")</f>
        <v/>
      </c>
      <c r="F4646" s="22" t="str">
        <f>IF(OR(E4646="",E4646="!!!"),"",IF(NOT(ISNA(VLOOKUP(E4646,E$1:E4645,1,FALSE()))),"OLD",IF(AND(E4646&lt;&gt;"",E4646&lt;&gt;"!!!"),"NEW","")))</f>
        <v> </v>
      </c>
      <c r="G4646" s="23" t="str">
        <f>IF(OR(E4646="",E4646="!!!"),"",IF(OR(J4646=0,AND(J4646=1,K4646=1),AND(J4646=1,I4646="SBJ"),AND(J4646=1,I4646=0)),"?IN_FOCUS",IF(J4646&lt;=2,"?ACTIVATED",IF(J4646&lt;&gt;"","?FAMILIAR",IF(F4646="NEW",IF(ISNA(VLOOKUP(E4646,#REF!,1,FALSE())),"?TYPE_IDENTIFIABLE","?REFERENTIAL"),"_")))))</f>
        <v> </v>
      </c>
      <c r="H4646" s="24" t="str">
        <f>IF(J4646&lt;&gt;1,"",IF(I4646="SBJ","CB","?"))</f>
        <v> </v>
      </c>
      <c r="I4646" s="25" t="str">
        <f>IF(OR(E4646="",E4646="!!!",F4646="NEW"),"",INDEX(B4645:B$2,-1+SUMPRODUCT(MAX(ROW(E4645:E$2)*(E4646=E4645:E$2)))))</f>
        <v> </v>
      </c>
      <c r="J4646" s="25" t="str">
        <f>IF(OR(E4646="",E4646="!!!",F4646="NEW"),"",COUNTBLANK(OFFSET(A$1,,,SUMPRODUCT(MAX(ROW(E$2:E4646)*(E4646=E$2:E4646)))))-COUNTBLANK(OFFSET(A$1,,,SUMPRODUCT(MAX(ROW(E$1:E4645)*(E2=E$1:E4645))))))</f>
        <v> </v>
      </c>
      <c r="K4646" s="25" t="str">
        <f>IF(OR(E4646="",E4646="!!!",F4646="NEW"),"",INDEX(J$1:J4645,SUMPRODUCT(MAX(ROW(E$1:E4645)*(E4646=E$1:E4645)))))</f>
        <v> </v>
      </c>
      <c r="L4646" s="26"/>
    </row>
    <row r="4647" spans="1:12">
      <c r="A4647" s="20" t="s">
        <v>807</v>
      </c>
      <c r="B4647" s="27" t="s">
        <v>728</v>
      </c>
      <c r="C4647" s="27" t="s">
        <v>749</v>
      </c>
      <c r="D4647" s="27" t="s">
        <v>740</v>
      </c>
      <c r="E4647" s="21">
        <f>IF(D4647="?OLD","!!!","")</f>
        <v/>
      </c>
      <c r="F4647" s="22" t="str">
        <f>IF(OR(E4647="",E4647="!!!"),"",IF(NOT(ISNA(VLOOKUP(E4647,E$1:E4646,1,FALSE()))),"OLD",IF(AND(E4647&lt;&gt;"",E4647&lt;&gt;"!!!"),"NEW","")))</f>
        <v> </v>
      </c>
      <c r="G4647" s="23" t="str">
        <f>IF(OR(E4647="",E4647="!!!"),"",IF(OR(J4647=0,AND(J4647=1,K4647=1),AND(J4647=1,I4647="SBJ"),AND(J4647=1,I4647=0)),"?IN_FOCUS",IF(J4647&lt;=2,"?ACTIVATED",IF(J4647&lt;&gt;"","?FAMILIAR",IF(F4647="NEW",IF(ISNA(VLOOKUP(E4647,#REF!,1,FALSE())),"?TYPE_IDENTIFIABLE","?REFERENTIAL"),"_")))))</f>
        <v> </v>
      </c>
      <c r="H4647" s="24" t="str">
        <f>IF(J4647&lt;&gt;1,"",IF(I4647="SBJ","CB","?"))</f>
        <v> </v>
      </c>
      <c r="I4647" s="25" t="str">
        <f>IF(OR(E4647="",E4647="!!!",F4647="NEW"),"",INDEX(B4646:B$2,-1+SUMPRODUCT(MAX(ROW(E4646:E$2)*(E4647=E4646:E$2)))))</f>
        <v> </v>
      </c>
      <c r="J4647" s="25" t="str">
        <f>IF(OR(E4647="",E4647="!!!",F4647="NEW"),"",COUNTBLANK(OFFSET(A$1,,,SUMPRODUCT(MAX(ROW(E$2:E4647)*(E4647=E$2:E4647)))))-COUNTBLANK(OFFSET(A$1,,,SUMPRODUCT(MAX(ROW(E$1:E4646)*(E2=E$1:E4646))))))</f>
        <v> </v>
      </c>
      <c r="K4647" s="25" t="str">
        <f>IF(OR(E4647="",E4647="!!!",F4647="NEW"),"",INDEX(J$1:J4646,SUMPRODUCT(MAX(ROW(E$1:E4646)*(E4647=E$1:E4646)))))</f>
        <v> </v>
      </c>
      <c r="L4647" s="26"/>
    </row>
    <row r="4648" spans="1:12">
      <c r="A4648" s="20" t="s">
        <v>934</v>
      </c>
      <c r="E4648" s="21">
        <f>IF(D4648="?OLD","!!!","")</f>
        <v/>
      </c>
      <c r="F4648" s="22" t="str">
        <f>IF(OR(E4648="",E4648="!!!"),"",IF(NOT(ISNA(VLOOKUP(E4648,E$1:E4647,1,FALSE()))),"OLD",IF(AND(E4648&lt;&gt;"",E4648&lt;&gt;"!!!"),"NEW","")))</f>
        <v> </v>
      </c>
      <c r="G4648" s="23" t="str">
        <f>IF(OR(E4648="",E4648="!!!"),"",IF(OR(J4648=0,AND(J4648=1,K4648=1),AND(J4648=1,I4648="SBJ"),AND(J4648=1,I4648=0)),"?IN_FOCUS",IF(J4648&lt;=2,"?ACTIVATED",IF(J4648&lt;&gt;"","?FAMILIAR",IF(F4648="NEW",IF(ISNA(VLOOKUP(E4648,#REF!,1,FALSE())),"?TYPE_IDENTIFIABLE","?REFERENTIAL"),"_")))))</f>
        <v> </v>
      </c>
      <c r="H4648" s="24" t="str">
        <f>IF(J4648&lt;&gt;1,"",IF(I4648="SBJ","CB","?"))</f>
        <v> </v>
      </c>
      <c r="I4648" s="25" t="str">
        <f>IF(OR(E4648="",E4648="!!!",F4648="NEW"),"",INDEX(B4647:B$2,-1+SUMPRODUCT(MAX(ROW(E4647:E$2)*(E4648=E4647:E$2)))))</f>
        <v> </v>
      </c>
      <c r="J4648" s="25" t="str">
        <f>IF(OR(E4648="",E4648="!!!",F4648="NEW"),"",COUNTBLANK(OFFSET(A$1,,,SUMPRODUCT(MAX(ROW(E$2:E4648)*(E4648=E$2:E4648)))))-COUNTBLANK(OFFSET(A$1,,,SUMPRODUCT(MAX(ROW(E$1:E4647)*(E2=E$1:E4647))))))</f>
        <v> </v>
      </c>
      <c r="K4648" s="25" t="str">
        <f>IF(OR(E4648="",E4648="!!!",F4648="NEW"),"",INDEX(J$1:J4647,SUMPRODUCT(MAX(ROW(E$1:E4647)*(E4648=E$1:E4647)))))</f>
        <v> </v>
      </c>
      <c r="L4648" s="26"/>
    </row>
    <row r="4649" spans="1:12">
      <c r="A4649" s="20" t="s">
        <v>753</v>
      </c>
      <c r="E4649" s="21">
        <f>IF(D4649="?OLD","!!!","")</f>
        <v/>
      </c>
      <c r="F4649" s="22" t="str">
        <f>IF(OR(E4649="",E4649="!!!"),"",IF(NOT(ISNA(VLOOKUP(E4649,E$1:E4648,1,FALSE()))),"OLD",IF(AND(E4649&lt;&gt;"",E4649&lt;&gt;"!!!"),"NEW","")))</f>
        <v> </v>
      </c>
      <c r="G4649" s="23" t="str">
        <f>IF(OR(E4649="",E4649="!!!"),"",IF(OR(J4649=0,AND(J4649=1,K4649=1),AND(J4649=1,I4649="SBJ"),AND(J4649=1,I4649=0)),"?IN_FOCUS",IF(J4649&lt;=2,"?ACTIVATED",IF(J4649&lt;&gt;"","?FAMILIAR",IF(F4649="NEW",IF(ISNA(VLOOKUP(E4649,#REF!,1,FALSE())),"?TYPE_IDENTIFIABLE","?REFERENTIAL"),"_")))))</f>
        <v> </v>
      </c>
      <c r="H4649" s="24" t="str">
        <f>IF(J4649&lt;&gt;1,"",IF(I4649="SBJ","CB","?"))</f>
        <v> </v>
      </c>
      <c r="I4649" s="25" t="str">
        <f>IF(OR(E4649="",E4649="!!!",F4649="NEW"),"",INDEX(B4648:B$2,-1+SUMPRODUCT(MAX(ROW(E4648:E$2)*(E4649=E4648:E$2)))))</f>
        <v> </v>
      </c>
      <c r="J4649" s="25" t="str">
        <f>IF(OR(E4649="",E4649="!!!",F4649="NEW"),"",COUNTBLANK(OFFSET(A$1,,,SUMPRODUCT(MAX(ROW(E$2:E4649)*(E4649=E$2:E4649)))))-COUNTBLANK(OFFSET(A$1,,,SUMPRODUCT(MAX(ROW(E$1:E4648)*(E2=E$1:E4648))))))</f>
        <v> </v>
      </c>
      <c r="K4649" s="25" t="str">
        <f>IF(OR(E4649="",E4649="!!!",F4649="NEW"),"",INDEX(J$1:J4648,SUMPRODUCT(MAX(ROW(E$1:E4648)*(E4649=E$1:E4648)))))</f>
        <v> </v>
      </c>
      <c r="L4649" s="26"/>
    </row>
    <row r="4650" spans="1:12">
      <c r="A4650" s="20" t="s">
        <v>830</v>
      </c>
      <c r="E4650" s="21">
        <f>IF(D4650="?OLD","!!!","")</f>
        <v/>
      </c>
      <c r="F4650" s="22" t="str">
        <f>IF(OR(E4650="",E4650="!!!"),"",IF(NOT(ISNA(VLOOKUP(E4650,E$1:E4649,1,FALSE()))),"OLD",IF(AND(E4650&lt;&gt;"",E4650&lt;&gt;"!!!"),"NEW","")))</f>
        <v> </v>
      </c>
      <c r="G4650" s="23" t="str">
        <f>IF(OR(E4650="",E4650="!!!"),"",IF(OR(J4650=0,AND(J4650=1,K4650=1),AND(J4650=1,I4650="SBJ"),AND(J4650=1,I4650=0)),"?IN_FOCUS",IF(J4650&lt;=2,"?ACTIVATED",IF(J4650&lt;&gt;"","?FAMILIAR",IF(F4650="NEW",IF(ISNA(VLOOKUP(E4650,#REF!,1,FALSE())),"?TYPE_IDENTIFIABLE","?REFERENTIAL"),"_")))))</f>
        <v> </v>
      </c>
      <c r="H4650" s="24" t="str">
        <f>IF(J4650&lt;&gt;1,"",IF(I4650="SBJ","CB","?"))</f>
        <v> </v>
      </c>
      <c r="I4650" s="25" t="str">
        <f>IF(OR(E4650="",E4650="!!!",F4650="NEW"),"",INDEX(B4649:B$2,-1+SUMPRODUCT(MAX(ROW(E4649:E$2)*(E4650=E4649:E$2)))))</f>
        <v> </v>
      </c>
      <c r="J4650" s="25" t="str">
        <f>IF(OR(E4650="",E4650="!!!",F4650="NEW"),"",COUNTBLANK(OFFSET(A$1,,,SUMPRODUCT(MAX(ROW(E$2:E4650)*(E4650=E$2:E4650)))))-COUNTBLANK(OFFSET(A$1,,,SUMPRODUCT(MAX(ROW(E$1:E4649)*(E2=E$1:E4649))))))</f>
        <v> </v>
      </c>
      <c r="K4650" s="25" t="str">
        <f>IF(OR(E4650="",E4650="!!!",F4650="NEW"),"",INDEX(J$1:J4649,SUMPRODUCT(MAX(ROW(E$1:E4649)*(E4650=E$1:E4649)))))</f>
        <v> </v>
      </c>
      <c r="L4650" s="26"/>
    </row>
    <row r="4651" spans="1:12">
      <c r="A4651" s="20" t="s">
        <v>2066</v>
      </c>
      <c r="E4651" s="21">
        <f>IF(D4651="?OLD","!!!","")</f>
        <v/>
      </c>
      <c r="F4651" s="22" t="str">
        <f>IF(OR(E4651="",E4651="!!!"),"",IF(NOT(ISNA(VLOOKUP(E4651,E$1:E4650,1,FALSE()))),"OLD",IF(AND(E4651&lt;&gt;"",E4651&lt;&gt;"!!!"),"NEW","")))</f>
        <v> </v>
      </c>
      <c r="G4651" s="23" t="str">
        <f>IF(OR(E4651="",E4651="!!!"),"",IF(OR(J4651=0,AND(J4651=1,K4651=1),AND(J4651=1,I4651="SBJ"),AND(J4651=1,I4651=0)),"?IN_FOCUS",IF(J4651&lt;=2,"?ACTIVATED",IF(J4651&lt;&gt;"","?FAMILIAR",IF(F4651="NEW",IF(ISNA(VLOOKUP(E4651,#REF!,1,FALSE())),"?TYPE_IDENTIFIABLE","?REFERENTIAL"),"_")))))</f>
        <v> </v>
      </c>
      <c r="H4651" s="24" t="str">
        <f>IF(J4651&lt;&gt;1,"",IF(I4651="SBJ","CB","?"))</f>
        <v> </v>
      </c>
      <c r="I4651" s="25" t="str">
        <f>IF(OR(E4651="",E4651="!!!",F4651="NEW"),"",INDEX(B4650:B$2,-1+SUMPRODUCT(MAX(ROW(E4650:E$2)*(E4651=E4650:E$2)))))</f>
        <v> </v>
      </c>
      <c r="J4651" s="25" t="str">
        <f>IF(OR(E4651="",E4651="!!!",F4651="NEW"),"",COUNTBLANK(OFFSET(A$1,,,SUMPRODUCT(MAX(ROW(E$2:E4651)*(E4651=E$2:E4651)))))-COUNTBLANK(OFFSET(A$1,,,SUMPRODUCT(MAX(ROW(E$1:E4650)*(E2=E$1:E4650))))))</f>
        <v> </v>
      </c>
      <c r="K4651" s="25" t="str">
        <f>IF(OR(E4651="",E4651="!!!",F4651="NEW"),"",INDEX(J$1:J4650,SUMPRODUCT(MAX(ROW(E$1:E4650)*(E4651=E$1:E4650)))))</f>
        <v> </v>
      </c>
      <c r="L4651" s="26"/>
    </row>
    <row r="4652" spans="1:12">
      <c r="A4652" s="20" t="s">
        <v>827</v>
      </c>
      <c r="B4652" s="27" t="s">
        <v>777</v>
      </c>
      <c r="C4652" s="27" t="s">
        <v>828</v>
      </c>
      <c r="D4652" s="27" t="s">
        <v>740</v>
      </c>
      <c r="E4652" s="21">
        <f>IF(D4652="?OLD","!!!","")</f>
        <v/>
      </c>
      <c r="F4652" s="22" t="str">
        <f>IF(OR(E4652="",E4652="!!!"),"",IF(NOT(ISNA(VLOOKUP(E4652,E$1:E4651,1,FALSE()))),"OLD",IF(AND(E4652&lt;&gt;"",E4652&lt;&gt;"!!!"),"NEW","")))</f>
        <v> </v>
      </c>
      <c r="G4652" s="23" t="str">
        <f>IF(OR(E4652="",E4652="!!!"),"",IF(OR(J4652=0,AND(J4652=1,K4652=1),AND(J4652=1,I4652="SBJ"),AND(J4652=1,I4652=0)),"?IN_FOCUS",IF(J4652&lt;=2,"?ACTIVATED",IF(J4652&lt;&gt;"","?FAMILIAR",IF(F4652="NEW",IF(ISNA(VLOOKUP(E4652,#REF!,1,FALSE())),"?TYPE_IDENTIFIABLE","?REFERENTIAL"),"_")))))</f>
        <v> </v>
      </c>
      <c r="H4652" s="24" t="str">
        <f>IF(J4652&lt;&gt;1,"",IF(I4652="SBJ","CB","?"))</f>
        <v> </v>
      </c>
      <c r="I4652" s="25" t="str">
        <f>IF(OR(E4652="",E4652="!!!",F4652="NEW"),"",INDEX(B4651:B$2,-1+SUMPRODUCT(MAX(ROW(E4651:E$2)*(E4652=E4651:E$2)))))</f>
        <v> </v>
      </c>
      <c r="J4652" s="25" t="str">
        <f>IF(OR(E4652="",E4652="!!!",F4652="NEW"),"",COUNTBLANK(OFFSET(A$1,,,SUMPRODUCT(MAX(ROW(E$2:E4652)*(E4652=E$2:E4652)))))-COUNTBLANK(OFFSET(A$1,,,SUMPRODUCT(MAX(ROW(E$1:E4651)*(E2=E$1:E4651))))))</f>
        <v> </v>
      </c>
      <c r="K4652" s="25" t="str">
        <f>IF(OR(E4652="",E4652="!!!",F4652="NEW"),"",INDEX(J$1:J4651,SUMPRODUCT(MAX(ROW(E$1:E4651)*(E4652=E$1:E4651)))))</f>
        <v> </v>
      </c>
      <c r="L4652" s="26"/>
    </row>
    <row r="4653" spans="1:12">
      <c r="A4653" s="20" t="s">
        <v>847</v>
      </c>
      <c r="B4653" s="27" t="s">
        <v>779</v>
      </c>
      <c r="C4653" s="27" t="s">
        <v>734</v>
      </c>
      <c r="E4653" s="21">
        <f>IF(D4653="?OLD","!!!","")</f>
        <v/>
      </c>
      <c r="F4653" s="22" t="str">
        <f>IF(OR(E4653="",E4653="!!!"),"",IF(NOT(ISNA(VLOOKUP(E4653,E$1:E4652,1,FALSE()))),"OLD",IF(AND(E4653&lt;&gt;"",E4653&lt;&gt;"!!!"),"NEW","")))</f>
        <v> </v>
      </c>
      <c r="G4653" s="23" t="str">
        <f>IF(OR(E4653="",E4653="!!!"),"",IF(OR(J4653=0,AND(J4653=1,K4653=1),AND(J4653=1,I4653="SBJ"),AND(J4653=1,I4653=0)),"?IN_FOCUS",IF(J4653&lt;=2,"?ACTIVATED",IF(J4653&lt;&gt;"","?FAMILIAR",IF(F4653="NEW",IF(ISNA(VLOOKUP(E4653,#REF!,1,FALSE())),"?TYPE_IDENTIFIABLE","?REFERENTIAL"),"_")))))</f>
        <v> </v>
      </c>
      <c r="H4653" s="24" t="str">
        <f>IF(J4653&lt;&gt;1,"",IF(I4653="SBJ","CB","?"))</f>
        <v> </v>
      </c>
      <c r="I4653" s="25" t="str">
        <f>IF(OR(E4653="",E4653="!!!",F4653="NEW"),"",INDEX(B4652:B$2,-1+SUMPRODUCT(MAX(ROW(E4652:E$2)*(E4653=E4652:E$2)))))</f>
        <v> </v>
      </c>
      <c r="J4653" s="25" t="str">
        <f>IF(OR(E4653="",E4653="!!!",F4653="NEW"),"",COUNTBLANK(OFFSET(A$1,,,SUMPRODUCT(MAX(ROW(E$2:E4653)*(E4653=E$2:E4653)))))-COUNTBLANK(OFFSET(A$1,,,SUMPRODUCT(MAX(ROW(E$1:E4652)*(E2=E$1:E4652))))))</f>
        <v> </v>
      </c>
      <c r="K4653" s="25" t="str">
        <f>IF(OR(E4653="",E4653="!!!",F4653="NEW"),"",INDEX(J$1:J4652,SUMPRODUCT(MAX(ROW(E$1:E4652)*(E4653=E$1:E4652)))))</f>
        <v> </v>
      </c>
      <c r="L4653" s="26"/>
    </row>
    <row r="4654" spans="1:12">
      <c r="A4654" s="20" t="s">
        <v>876</v>
      </c>
      <c r="E4654" s="21">
        <f>IF(D4654="?OLD","!!!","")</f>
        <v/>
      </c>
      <c r="F4654" s="22" t="str">
        <f>IF(OR(E4654="",E4654="!!!"),"",IF(NOT(ISNA(VLOOKUP(E4654,E$1:E4653,1,FALSE()))),"OLD",IF(AND(E4654&lt;&gt;"",E4654&lt;&gt;"!!!"),"NEW","")))</f>
        <v> </v>
      </c>
      <c r="G4654" s="23" t="str">
        <f>IF(OR(E4654="",E4654="!!!"),"",IF(OR(J4654=0,AND(J4654=1,K4654=1),AND(J4654=1,I4654="SBJ"),AND(J4654=1,I4654=0)),"?IN_FOCUS",IF(J4654&lt;=2,"?ACTIVATED",IF(J4654&lt;&gt;"","?FAMILIAR",IF(F4654="NEW",IF(ISNA(VLOOKUP(E4654,#REF!,1,FALSE())),"?TYPE_IDENTIFIABLE","?REFERENTIAL"),"_")))))</f>
        <v> </v>
      </c>
      <c r="H4654" s="24" t="str">
        <f>IF(J4654&lt;&gt;1,"",IF(I4654="SBJ","CB","?"))</f>
        <v> </v>
      </c>
      <c r="I4654" s="25" t="str">
        <f>IF(OR(E4654="",E4654="!!!",F4654="NEW"),"",INDEX(B4653:B$2,-1+SUMPRODUCT(MAX(ROW(E4653:E$2)*(E4654=E4653:E$2)))))</f>
        <v> </v>
      </c>
      <c r="J4654" s="25" t="str">
        <f>IF(OR(E4654="",E4654="!!!",F4654="NEW"),"",COUNTBLANK(OFFSET(A$1,,,SUMPRODUCT(MAX(ROW(E$2:E4654)*(E4654=E$2:E4654)))))-COUNTBLANK(OFFSET(A$1,,,SUMPRODUCT(MAX(ROW(E$1:E4653)*(E2=E$1:E4653))))))</f>
        <v> </v>
      </c>
      <c r="K4654" s="25" t="str">
        <f>IF(OR(E4654="",E4654="!!!",F4654="NEW"),"",INDEX(J$1:J4653,SUMPRODUCT(MAX(ROW(E$1:E4653)*(E4654=E$1:E4653)))))</f>
        <v> </v>
      </c>
      <c r="L4654" s="26"/>
    </row>
    <row r="4655" spans="1:12">
      <c r="A4655" s="20" t="s">
        <v>947</v>
      </c>
      <c r="E4655" s="21">
        <f>IF(D4655="?OLD","!!!","")</f>
        <v/>
      </c>
      <c r="F4655" s="22" t="str">
        <f>IF(OR(E4655="",E4655="!!!"),"",IF(NOT(ISNA(VLOOKUP(E4655,E$1:E4654,1,FALSE()))),"OLD",IF(AND(E4655&lt;&gt;"",E4655&lt;&gt;"!!!"),"NEW","")))</f>
        <v> </v>
      </c>
      <c r="G4655" s="23" t="str">
        <f>IF(OR(E4655="",E4655="!!!"),"",IF(OR(J4655=0,AND(J4655=1,K4655=1),AND(J4655=1,I4655="SBJ"),AND(J4655=1,I4655=0)),"?IN_FOCUS",IF(J4655&lt;=2,"?ACTIVATED",IF(J4655&lt;&gt;"","?FAMILIAR",IF(F4655="NEW",IF(ISNA(VLOOKUP(E4655,#REF!,1,FALSE())),"?TYPE_IDENTIFIABLE","?REFERENTIAL"),"_")))))</f>
        <v> </v>
      </c>
      <c r="H4655" s="24" t="str">
        <f>IF(J4655&lt;&gt;1,"",IF(I4655="SBJ","CB","?"))</f>
        <v> </v>
      </c>
      <c r="I4655" s="25" t="str">
        <f>IF(OR(E4655="",E4655="!!!",F4655="NEW"),"",INDEX(B4654:B$2,-1+SUMPRODUCT(MAX(ROW(E4654:E$2)*(E4655=E4654:E$2)))))</f>
        <v> </v>
      </c>
      <c r="J4655" s="25" t="str">
        <f>IF(OR(E4655="",E4655="!!!",F4655="NEW"),"",COUNTBLANK(OFFSET(A$1,,,SUMPRODUCT(MAX(ROW(E$2:E4655)*(E4655=E$2:E4655)))))-COUNTBLANK(OFFSET(A$1,,,SUMPRODUCT(MAX(ROW(E$1:E4654)*(E2=E$1:E4654))))))</f>
        <v> </v>
      </c>
      <c r="K4655" s="25" t="str">
        <f>IF(OR(E4655="",E4655="!!!",F4655="NEW"),"",INDEX(J$1:J4654,SUMPRODUCT(MAX(ROW(E$1:E4654)*(E4655=E$1:E4654)))))</f>
        <v> </v>
      </c>
      <c r="L4655" s="26"/>
    </row>
    <row r="4656" spans="1:12">
      <c r="A4656" s="20" t="s">
        <v>746</v>
      </c>
      <c r="E4656" s="21">
        <f>IF(D4656="?OLD","!!!","")</f>
        <v/>
      </c>
      <c r="F4656" s="22" t="str">
        <f>IF(OR(E4656="",E4656="!!!"),"",IF(NOT(ISNA(VLOOKUP(E4656,E$1:E4655,1,FALSE()))),"OLD",IF(AND(E4656&lt;&gt;"",E4656&lt;&gt;"!!!"),"NEW","")))</f>
        <v> </v>
      </c>
      <c r="G4656" s="23" t="str">
        <f>IF(OR(E4656="",E4656="!!!"),"",IF(OR(J4656=0,AND(J4656=1,K4656=1),AND(J4656=1,I4656="SBJ"),AND(J4656=1,I4656=0)),"?IN_FOCUS",IF(J4656&lt;=2,"?ACTIVATED",IF(J4656&lt;&gt;"","?FAMILIAR",IF(F4656="NEW",IF(ISNA(VLOOKUP(E4656,#REF!,1,FALSE())),"?TYPE_IDENTIFIABLE","?REFERENTIAL"),"_")))))</f>
        <v> </v>
      </c>
      <c r="H4656" s="24" t="str">
        <f>IF(J4656&lt;&gt;1,"",IF(I4656="SBJ","CB","?"))</f>
        <v> </v>
      </c>
      <c r="I4656" s="25" t="str">
        <f>IF(OR(E4656="",E4656="!!!",F4656="NEW"),"",INDEX(B4655:B$2,-1+SUMPRODUCT(MAX(ROW(E4655:E$2)*(E4656=E4655:E$2)))))</f>
        <v> </v>
      </c>
      <c r="J4656" s="25" t="str">
        <f>IF(OR(E4656="",E4656="!!!",F4656="NEW"),"",COUNTBLANK(OFFSET(A$1,,,SUMPRODUCT(MAX(ROW(E$2:E4656)*(E4656=E$2:E4656)))))-COUNTBLANK(OFFSET(A$1,,,SUMPRODUCT(MAX(ROW(E$1:E4655)*(E2=E$1:E4655))))))</f>
        <v> </v>
      </c>
      <c r="K4656" s="25" t="str">
        <f>IF(OR(E4656="",E4656="!!!",F4656="NEW"),"",INDEX(J$1:J4655,SUMPRODUCT(MAX(ROW(E$1:E4655)*(E4656=E$1:E4655)))))</f>
        <v> </v>
      </c>
      <c r="L4656" s="26"/>
    </row>
    <row r="4657" spans="1:12">
      <c r="A4657" s="20"/>
    </row>
    <row r="4658" spans="1:12">
      <c r="A4658" s="20" t="s">
        <v>2067</v>
      </c>
    </row>
    <row r="4659" spans="1:12">
      <c r="A4659" s="20" t="s">
        <v>952</v>
      </c>
      <c r="B4659" s="27" t="s">
        <v>728</v>
      </c>
      <c r="C4659" s="27" t="s">
        <v>749</v>
      </c>
      <c r="D4659" s="27" t="s">
        <v>740</v>
      </c>
      <c r="E4659" s="21">
        <f>IF(D4659="?OLD","!!!","")</f>
        <v/>
      </c>
      <c r="F4659" s="22" t="str">
        <f>IF(OR(E4659="",E4659="!!!"),"",IF(NOT(ISNA(VLOOKUP(E4659,E$1:E4658,1,FALSE()))),"OLD",IF(AND(E4659&lt;&gt;"",E4659&lt;&gt;"!!!"),"NEW","")))</f>
        <v> </v>
      </c>
      <c r="G4659" s="23" t="str">
        <f>IF(OR(E4659="",E4659="!!!"),"",IF(OR(J4659=0,AND(J4659=1,K4659=1),AND(J4659=1,I4659="SBJ"),AND(J4659=1,I4659=0)),"?IN_FOCUS",IF(J4659&lt;=2,"?ACTIVATED",IF(J4659&lt;&gt;"","?FAMILIAR",IF(F4659="NEW",IF(ISNA(VLOOKUP(E4659,#REF!,1,FALSE())),"?TYPE_IDENTIFIABLE","?REFERENTIAL"),"_")))))</f>
        <v> </v>
      </c>
      <c r="H4659" s="24" t="str">
        <f>IF(J4659&lt;&gt;1,"",IF(I4659="SBJ","CB","?"))</f>
        <v> </v>
      </c>
      <c r="I4659" s="25" t="str">
        <f>IF(OR(E4659="",E4659="!!!",F4659="NEW"),"",INDEX(B4658:B$2,-1+SUMPRODUCT(MAX(ROW(E4658:E$2)*(E4659=E4658:E$2)))))</f>
        <v> </v>
      </c>
      <c r="J4659" s="25" t="str">
        <f>IF(OR(E4659="",E4659="!!!",F4659="NEW"),"",COUNTBLANK(OFFSET(A$1,,,SUMPRODUCT(MAX(ROW(E$2:E4659)*(E4659=E$2:E4659)))))-COUNTBLANK(OFFSET(A$1,,,SUMPRODUCT(MAX(ROW(E$1:E4658)*(E2=E$1:E4658))))))</f>
        <v> </v>
      </c>
      <c r="K4659" s="25" t="str">
        <f>IF(OR(E4659="",E4659="!!!",F4659="NEW"),"",INDEX(J$1:J4658,SUMPRODUCT(MAX(ROW(E$1:E4658)*(E4659=E$1:E4658)))))</f>
        <v> </v>
      </c>
      <c r="L4659" s="26"/>
    </row>
    <row r="4660" spans="1:12">
      <c r="A4660" s="20" t="s">
        <v>934</v>
      </c>
      <c r="E4660" s="21">
        <f>IF(D4660="?OLD","!!!","")</f>
        <v/>
      </c>
      <c r="F4660" s="22" t="str">
        <f>IF(OR(E4660="",E4660="!!!"),"",IF(NOT(ISNA(VLOOKUP(E4660,E$1:E4659,1,FALSE()))),"OLD",IF(AND(E4660&lt;&gt;"",E4660&lt;&gt;"!!!"),"NEW","")))</f>
        <v> </v>
      </c>
      <c r="G4660" s="23" t="str">
        <f>IF(OR(E4660="",E4660="!!!"),"",IF(OR(J4660=0,AND(J4660=1,K4660=1),AND(J4660=1,I4660="SBJ"),AND(J4660=1,I4660=0)),"?IN_FOCUS",IF(J4660&lt;=2,"?ACTIVATED",IF(J4660&lt;&gt;"","?FAMILIAR",IF(F4660="NEW",IF(ISNA(VLOOKUP(E4660,#REF!,1,FALSE())),"?TYPE_IDENTIFIABLE","?REFERENTIAL"),"_")))))</f>
        <v> </v>
      </c>
      <c r="H4660" s="24" t="str">
        <f>IF(J4660&lt;&gt;1,"",IF(I4660="SBJ","CB","?"))</f>
        <v> </v>
      </c>
      <c r="I4660" s="25" t="str">
        <f>IF(OR(E4660="",E4660="!!!",F4660="NEW"),"",INDEX(B4659:B$2,-1+SUMPRODUCT(MAX(ROW(E4659:E$2)*(E4660=E4659:E$2)))))</f>
        <v> </v>
      </c>
      <c r="J4660" s="25" t="str">
        <f>IF(OR(E4660="",E4660="!!!",F4660="NEW"),"",COUNTBLANK(OFFSET(A$1,,,SUMPRODUCT(MAX(ROW(E$2:E4660)*(E4660=E$2:E4660)))))-COUNTBLANK(OFFSET(A$1,,,SUMPRODUCT(MAX(ROW(E$1:E4659)*(E2=E$1:E4659))))))</f>
        <v> </v>
      </c>
      <c r="K4660" s="25" t="str">
        <f>IF(OR(E4660="",E4660="!!!",F4660="NEW"),"",INDEX(J$1:J4659,SUMPRODUCT(MAX(ROW(E$1:E4659)*(E4660=E$1:E4659)))))</f>
        <v> </v>
      </c>
      <c r="L4660" s="26"/>
    </row>
    <row r="4661" spans="1:12">
      <c r="A4661" s="20" t="s">
        <v>753</v>
      </c>
      <c r="E4661" s="21">
        <f>IF(D4661="?OLD","!!!","")</f>
        <v/>
      </c>
      <c r="F4661" s="22" t="str">
        <f>IF(OR(E4661="",E4661="!!!"),"",IF(NOT(ISNA(VLOOKUP(E4661,E$1:E4660,1,FALSE()))),"OLD",IF(AND(E4661&lt;&gt;"",E4661&lt;&gt;"!!!"),"NEW","")))</f>
        <v> </v>
      </c>
      <c r="G4661" s="23" t="str">
        <f>IF(OR(E4661="",E4661="!!!"),"",IF(OR(J4661=0,AND(J4661=1,K4661=1),AND(J4661=1,I4661="SBJ"),AND(J4661=1,I4661=0)),"?IN_FOCUS",IF(J4661&lt;=2,"?ACTIVATED",IF(J4661&lt;&gt;"","?FAMILIAR",IF(F4661="NEW",IF(ISNA(VLOOKUP(E4661,#REF!,1,FALSE())),"?TYPE_IDENTIFIABLE","?REFERENTIAL"),"_")))))</f>
        <v> </v>
      </c>
      <c r="H4661" s="24" t="str">
        <f>IF(J4661&lt;&gt;1,"",IF(I4661="SBJ","CB","?"))</f>
        <v> </v>
      </c>
      <c r="I4661" s="25" t="str">
        <f>IF(OR(E4661="",E4661="!!!",F4661="NEW"),"",INDEX(B4660:B$2,-1+SUMPRODUCT(MAX(ROW(E4660:E$2)*(E4661=E4660:E$2)))))</f>
        <v> </v>
      </c>
      <c r="J4661" s="25" t="str">
        <f>IF(OR(E4661="",E4661="!!!",F4661="NEW"),"",COUNTBLANK(OFFSET(A$1,,,SUMPRODUCT(MAX(ROW(E$2:E4661)*(E4661=E$2:E4661)))))-COUNTBLANK(OFFSET(A$1,,,SUMPRODUCT(MAX(ROW(E$1:E4660)*(E2=E$1:E4660))))))</f>
        <v> </v>
      </c>
      <c r="K4661" s="25" t="str">
        <f>IF(OR(E4661="",E4661="!!!",F4661="NEW"),"",INDEX(J$1:J4660,SUMPRODUCT(MAX(ROW(E$1:E4660)*(E4661=E$1:E4660)))))</f>
        <v> </v>
      </c>
      <c r="L4661" s="26"/>
    </row>
    <row r="4662" spans="1:12">
      <c r="A4662" s="20" t="s">
        <v>736</v>
      </c>
      <c r="E4662" s="21">
        <f>IF(D4662="?OLD","!!!","")</f>
        <v/>
      </c>
      <c r="F4662" s="22" t="str">
        <f>IF(OR(E4662="",E4662="!!!"),"",IF(NOT(ISNA(VLOOKUP(E4662,E$1:E4661,1,FALSE()))),"OLD",IF(AND(E4662&lt;&gt;"",E4662&lt;&gt;"!!!"),"NEW","")))</f>
        <v> </v>
      </c>
      <c r="G4662" s="23" t="str">
        <f>IF(OR(E4662="",E4662="!!!"),"",IF(OR(J4662=0,AND(J4662=1,K4662=1),AND(J4662=1,I4662="SBJ"),AND(J4662=1,I4662=0)),"?IN_FOCUS",IF(J4662&lt;=2,"?ACTIVATED",IF(J4662&lt;&gt;"","?FAMILIAR",IF(F4662="NEW",IF(ISNA(VLOOKUP(E4662,#REF!,1,FALSE())),"?TYPE_IDENTIFIABLE","?REFERENTIAL"),"_")))))</f>
        <v> </v>
      </c>
      <c r="H4662" s="24" t="str">
        <f>IF(J4662&lt;&gt;1,"",IF(I4662="SBJ","CB","?"))</f>
        <v> </v>
      </c>
      <c r="I4662" s="25" t="str">
        <f>IF(OR(E4662="",E4662="!!!",F4662="NEW"),"",INDEX(B4661:B$2,-1+SUMPRODUCT(MAX(ROW(E4661:E$2)*(E4662=E4661:E$2)))))</f>
        <v> </v>
      </c>
      <c r="J4662" s="25" t="str">
        <f>IF(OR(E4662="",E4662="!!!",F4662="NEW"),"",COUNTBLANK(OFFSET(A$1,,,SUMPRODUCT(MAX(ROW(E$2:E4662)*(E4662=E$2:E4662)))))-COUNTBLANK(OFFSET(A$1,,,SUMPRODUCT(MAX(ROW(E$1:E4661)*(E2=E$1:E4661))))))</f>
        <v> </v>
      </c>
      <c r="K4662" s="25" t="str">
        <f>IF(OR(E4662="",E4662="!!!",F4662="NEW"),"",INDEX(J$1:J4661,SUMPRODUCT(MAX(ROW(E$1:E4661)*(E4662=E$1:E4661)))))</f>
        <v> </v>
      </c>
      <c r="L4662" s="26"/>
    </row>
    <row r="4663" spans="1:12">
      <c r="A4663" s="20" t="s">
        <v>911</v>
      </c>
      <c r="B4663" s="27" t="s">
        <v>738</v>
      </c>
      <c r="C4663" s="27" t="s">
        <v>739</v>
      </c>
      <c r="D4663" s="27" t="s">
        <v>740</v>
      </c>
      <c r="E4663" s="21">
        <f>IF(D4663="?OLD","!!!","")</f>
        <v/>
      </c>
      <c r="F4663" s="22" t="str">
        <f>IF(OR(E4663="",E4663="!!!"),"",IF(NOT(ISNA(VLOOKUP(E4663,E$1:E4662,1,FALSE()))),"OLD",IF(AND(E4663&lt;&gt;"",E4663&lt;&gt;"!!!"),"NEW","")))</f>
        <v> </v>
      </c>
      <c r="G4663" s="23" t="str">
        <f>IF(OR(E4663="",E4663="!!!"),"",IF(OR(J4663=0,AND(J4663=1,K4663=1),AND(J4663=1,I4663="SBJ"),AND(J4663=1,I4663=0)),"?IN_FOCUS",IF(J4663&lt;=2,"?ACTIVATED",IF(J4663&lt;&gt;"","?FAMILIAR",IF(F4663="NEW",IF(ISNA(VLOOKUP(E4663,#REF!,1,FALSE())),"?TYPE_IDENTIFIABLE","?REFERENTIAL"),"_")))))</f>
        <v> </v>
      </c>
      <c r="H4663" s="24" t="str">
        <f>IF(J4663&lt;&gt;1,"",IF(I4663="SBJ","CB","?"))</f>
        <v> </v>
      </c>
      <c r="I4663" s="25" t="str">
        <f>IF(OR(E4663="",E4663="!!!",F4663="NEW"),"",INDEX(B4662:B$2,-1+SUMPRODUCT(MAX(ROW(E4662:E$2)*(E4663=E4662:E$2)))))</f>
        <v> </v>
      </c>
      <c r="J4663" s="25" t="str">
        <f>IF(OR(E4663="",E4663="!!!",F4663="NEW"),"",COUNTBLANK(OFFSET(A$1,,,SUMPRODUCT(MAX(ROW(E$2:E4663)*(E4663=E$2:E4663)))))-COUNTBLANK(OFFSET(A$1,,,SUMPRODUCT(MAX(ROW(E$1:E4662)*(E2=E$1:E4662))))))</f>
        <v> </v>
      </c>
      <c r="K4663" s="25" t="str">
        <f>IF(OR(E4663="",E4663="!!!",F4663="NEW"),"",INDEX(J$1:J4662,SUMPRODUCT(MAX(ROW(E$1:E4662)*(E4663=E$1:E4662)))))</f>
        <v> </v>
      </c>
      <c r="L4663" s="26"/>
    </row>
    <row r="4664" spans="1:12">
      <c r="A4664" s="20" t="s">
        <v>753</v>
      </c>
      <c r="E4664" s="21">
        <f>IF(D4664="?OLD","!!!","")</f>
        <v/>
      </c>
      <c r="F4664" s="22" t="str">
        <f>IF(OR(E4664="",E4664="!!!"),"",IF(NOT(ISNA(VLOOKUP(E4664,E$1:E4663,1,FALSE()))),"OLD",IF(AND(E4664&lt;&gt;"",E4664&lt;&gt;"!!!"),"NEW","")))</f>
        <v> </v>
      </c>
      <c r="G4664" s="23" t="str">
        <f>IF(OR(E4664="",E4664="!!!"),"",IF(OR(J4664=0,AND(J4664=1,K4664=1),AND(J4664=1,I4664="SBJ"),AND(J4664=1,I4664=0)),"?IN_FOCUS",IF(J4664&lt;=2,"?ACTIVATED",IF(J4664&lt;&gt;"","?FAMILIAR",IF(F4664="NEW",IF(ISNA(VLOOKUP(E4664,#REF!,1,FALSE())),"?TYPE_IDENTIFIABLE","?REFERENTIAL"),"_")))))</f>
        <v> </v>
      </c>
      <c r="H4664" s="24" t="str">
        <f>IF(J4664&lt;&gt;1,"",IF(I4664="SBJ","CB","?"))</f>
        <v> </v>
      </c>
      <c r="I4664" s="25" t="str">
        <f>IF(OR(E4664="",E4664="!!!",F4664="NEW"),"",INDEX(B4663:B$2,-1+SUMPRODUCT(MAX(ROW(E4663:E$2)*(E4664=E4663:E$2)))))</f>
        <v> </v>
      </c>
      <c r="J4664" s="25" t="str">
        <f>IF(OR(E4664="",E4664="!!!",F4664="NEW"),"",COUNTBLANK(OFFSET(A$1,,,SUMPRODUCT(MAX(ROW(E$2:E4664)*(E4664=E$2:E4664)))))-COUNTBLANK(OFFSET(A$1,,,SUMPRODUCT(MAX(ROW(E$1:E4663)*(E2=E$1:E4663))))))</f>
        <v> </v>
      </c>
      <c r="K4664" s="25" t="str">
        <f>IF(OR(E4664="",E4664="!!!",F4664="NEW"),"",INDEX(J$1:J4663,SUMPRODUCT(MAX(ROW(E$1:E4663)*(E4664=E$1:E4663)))))</f>
        <v> </v>
      </c>
      <c r="L4664" s="26"/>
    </row>
    <row r="4665" spans="1:12">
      <c r="A4665" s="20" t="s">
        <v>736</v>
      </c>
      <c r="B4665" s="27" t="s">
        <v>795</v>
      </c>
      <c r="E4665" s="21">
        <f>IF(D4665="?OLD","!!!","")</f>
        <v/>
      </c>
      <c r="F4665" s="22" t="str">
        <f>IF(OR(E4665="",E4665="!!!"),"",IF(NOT(ISNA(VLOOKUP(E4665,E$1:E4664,1,FALSE()))),"OLD",IF(AND(E4665&lt;&gt;"",E4665&lt;&gt;"!!!"),"NEW","")))</f>
        <v> </v>
      </c>
      <c r="G4665" s="23" t="str">
        <f>IF(OR(E4665="",E4665="!!!"),"",IF(OR(J4665=0,AND(J4665=1,K4665=1),AND(J4665=1,I4665="SBJ"),AND(J4665=1,I4665=0)),"?IN_FOCUS",IF(J4665&lt;=2,"?ACTIVATED",IF(J4665&lt;&gt;"","?FAMILIAR",IF(F4665="NEW",IF(ISNA(VLOOKUP(E4665,#REF!,1,FALSE())),"?TYPE_IDENTIFIABLE","?REFERENTIAL"),"_")))))</f>
        <v> </v>
      </c>
      <c r="H4665" s="24" t="str">
        <f>IF(J4665&lt;&gt;1,"",IF(I4665="SBJ","CB","?"))</f>
        <v> </v>
      </c>
      <c r="I4665" s="25" t="str">
        <f>IF(OR(E4665="",E4665="!!!",F4665="NEW"),"",INDEX(B4664:B$2,-1+SUMPRODUCT(MAX(ROW(E4664:E$2)*(E4665=E4664:E$2)))))</f>
        <v> </v>
      </c>
      <c r="J4665" s="25" t="str">
        <f>IF(OR(E4665="",E4665="!!!",F4665="NEW"),"",COUNTBLANK(OFFSET(A$1,,,SUMPRODUCT(MAX(ROW(E$2:E4665)*(E4665=E$2:E4665)))))-COUNTBLANK(OFFSET(A$1,,,SUMPRODUCT(MAX(ROW(E$1:E4664)*(E2=E$1:E4664))))))</f>
        <v> </v>
      </c>
      <c r="K4665" s="25" t="str">
        <f>IF(OR(E4665="",E4665="!!!",F4665="NEW"),"",INDEX(J$1:J4664,SUMPRODUCT(MAX(ROW(E$1:E4664)*(E4665=E$1:E4664)))))</f>
        <v> </v>
      </c>
      <c r="L4665" s="26"/>
    </row>
    <row r="4666" spans="1:12">
      <c r="A4666" s="20" t="s">
        <v>1170</v>
      </c>
      <c r="B4666" s="27" t="s">
        <v>795</v>
      </c>
      <c r="C4666" s="27" t="s">
        <v>772</v>
      </c>
      <c r="E4666" s="21">
        <f>IF(D4666="?OLD","!!!","")</f>
        <v/>
      </c>
      <c r="F4666" s="22" t="str">
        <f>IF(OR(E4666="",E4666="!!!"),"",IF(NOT(ISNA(VLOOKUP(E4666,E$1:E4665,1,FALSE()))),"OLD",IF(AND(E4666&lt;&gt;"",E4666&lt;&gt;"!!!"),"NEW","")))</f>
        <v> </v>
      </c>
      <c r="G4666" s="23" t="str">
        <f>IF(OR(E4666="",E4666="!!!"),"",IF(OR(J4666=0,AND(J4666=1,K4666=1),AND(J4666=1,I4666="SBJ"),AND(J4666=1,I4666=0)),"?IN_FOCUS",IF(J4666&lt;=2,"?ACTIVATED",IF(J4666&lt;&gt;"","?FAMILIAR",IF(F4666="NEW",IF(ISNA(VLOOKUP(E4666,#REF!,1,FALSE())),"?TYPE_IDENTIFIABLE","?REFERENTIAL"),"_")))))</f>
        <v> </v>
      </c>
      <c r="H4666" s="24" t="str">
        <f>IF(J4666&lt;&gt;1,"",IF(I4666="SBJ","CB","?"))</f>
        <v> </v>
      </c>
      <c r="I4666" s="25" t="str">
        <f>IF(OR(E4666="",E4666="!!!",F4666="NEW"),"",INDEX(B4665:B$2,-1+SUMPRODUCT(MAX(ROW(E4665:E$2)*(E4666=E4665:E$2)))))</f>
        <v> </v>
      </c>
      <c r="J4666" s="25" t="str">
        <f>IF(OR(E4666="",E4666="!!!",F4666="NEW"),"",COUNTBLANK(OFFSET(A$1,,,SUMPRODUCT(MAX(ROW(E$2:E4666)*(E4666=E$2:E4666)))))-COUNTBLANK(OFFSET(A$1,,,SUMPRODUCT(MAX(ROW(E$1:E4665)*(E2=E$1:E4665))))))</f>
        <v> </v>
      </c>
      <c r="K4666" s="25" t="str">
        <f>IF(OR(E4666="",E4666="!!!",F4666="NEW"),"",INDEX(J$1:J4665,SUMPRODUCT(MAX(ROW(E$1:E4665)*(E4666=E$1:E4665)))))</f>
        <v> </v>
      </c>
      <c r="L4666" s="26"/>
    </row>
    <row r="4667" spans="1:12">
      <c r="A4667" s="20" t="s">
        <v>757</v>
      </c>
      <c r="E4667" s="21">
        <f>IF(D4667="?OLD","!!!","")</f>
        <v/>
      </c>
      <c r="F4667" s="22" t="str">
        <f>IF(OR(E4667="",E4667="!!!"),"",IF(NOT(ISNA(VLOOKUP(E4667,E$1:E4666,1,FALSE()))),"OLD",IF(AND(E4667&lt;&gt;"",E4667&lt;&gt;"!!!"),"NEW","")))</f>
        <v> </v>
      </c>
      <c r="G4667" s="23" t="str">
        <f>IF(OR(E4667="",E4667="!!!"),"",IF(OR(J4667=0,AND(J4667=1,K4667=1),AND(J4667=1,I4667="SBJ"),AND(J4667=1,I4667=0)),"?IN_FOCUS",IF(J4667&lt;=2,"?ACTIVATED",IF(J4667&lt;&gt;"","?FAMILIAR",IF(F4667="NEW",IF(ISNA(VLOOKUP(E4667,#REF!,1,FALSE())),"?TYPE_IDENTIFIABLE","?REFERENTIAL"),"_")))))</f>
        <v> </v>
      </c>
      <c r="H4667" s="24" t="str">
        <f>IF(J4667&lt;&gt;1,"",IF(I4667="SBJ","CB","?"))</f>
        <v> </v>
      </c>
      <c r="I4667" s="25" t="str">
        <f>IF(OR(E4667="",E4667="!!!",F4667="NEW"),"",INDEX(B4666:B$2,-1+SUMPRODUCT(MAX(ROW(E4666:E$2)*(E4667=E4666:E$2)))))</f>
        <v> </v>
      </c>
      <c r="J4667" s="25" t="str">
        <f>IF(OR(E4667="",E4667="!!!",F4667="NEW"),"",COUNTBLANK(OFFSET(A$1,,,SUMPRODUCT(MAX(ROW(E$2:E4667)*(E4667=E$2:E4667)))))-COUNTBLANK(OFFSET(A$1,,,SUMPRODUCT(MAX(ROW(E$1:E4666)*(E2=E$1:E4666))))))</f>
        <v> </v>
      </c>
      <c r="K4667" s="25" t="str">
        <f>IF(OR(E4667="",E4667="!!!",F4667="NEW"),"",INDEX(J$1:J4666,SUMPRODUCT(MAX(ROW(E$1:E4666)*(E4667=E$1:E4666)))))</f>
        <v> </v>
      </c>
      <c r="L4667" s="26"/>
    </row>
    <row r="4668" spans="1:12">
      <c r="A4668" s="20" t="s">
        <v>1249</v>
      </c>
      <c r="E4668" s="21">
        <f>IF(D4668="?OLD","!!!","")</f>
        <v/>
      </c>
      <c r="F4668" s="22" t="str">
        <f>IF(OR(E4668="",E4668="!!!"),"",IF(NOT(ISNA(VLOOKUP(E4668,E$1:E4667,1,FALSE()))),"OLD",IF(AND(E4668&lt;&gt;"",E4668&lt;&gt;"!!!"),"NEW","")))</f>
        <v> </v>
      </c>
      <c r="G4668" s="23" t="str">
        <f>IF(OR(E4668="",E4668="!!!"),"",IF(OR(J4668=0,AND(J4668=1,K4668=1),AND(J4668=1,I4668="SBJ"),AND(J4668=1,I4668=0)),"?IN_FOCUS",IF(J4668&lt;=2,"?ACTIVATED",IF(J4668&lt;&gt;"","?FAMILIAR",IF(F4668="NEW",IF(ISNA(VLOOKUP(E4668,#REF!,1,FALSE())),"?TYPE_IDENTIFIABLE","?REFERENTIAL"),"_")))))</f>
        <v> </v>
      </c>
      <c r="H4668" s="24" t="str">
        <f>IF(J4668&lt;&gt;1,"",IF(I4668="SBJ","CB","?"))</f>
        <v> </v>
      </c>
      <c r="I4668" s="25" t="str">
        <f>IF(OR(E4668="",E4668="!!!",F4668="NEW"),"",INDEX(B4667:B$2,-1+SUMPRODUCT(MAX(ROW(E4667:E$2)*(E4668=E4667:E$2)))))</f>
        <v> </v>
      </c>
      <c r="J4668" s="25" t="str">
        <f>IF(OR(E4668="",E4668="!!!",F4668="NEW"),"",COUNTBLANK(OFFSET(A$1,,,SUMPRODUCT(MAX(ROW(E$2:E4668)*(E4668=E$2:E4668)))))-COUNTBLANK(OFFSET(A$1,,,SUMPRODUCT(MAX(ROW(E$1:E4667)*(E2=E$1:E4667))))))</f>
        <v> </v>
      </c>
      <c r="K4668" s="25" t="str">
        <f>IF(OR(E4668="",E4668="!!!",F4668="NEW"),"",INDEX(J$1:J4667,SUMPRODUCT(MAX(ROW(E$1:E4667)*(E4668=E$1:E4667)))))</f>
        <v> </v>
      </c>
      <c r="L4668" s="26"/>
    </row>
    <row r="4669" spans="1:12">
      <c r="A4669" s="20" t="s">
        <v>914</v>
      </c>
      <c r="B4669" s="27" t="s">
        <v>777</v>
      </c>
      <c r="C4669" s="27" t="s">
        <v>848</v>
      </c>
      <c r="E4669" s="21">
        <f>IF(D4669="?OLD","!!!","")</f>
        <v/>
      </c>
      <c r="F4669" s="22" t="str">
        <f>IF(OR(E4669="",E4669="!!!"),"",IF(NOT(ISNA(VLOOKUP(E4669,E$1:E4668,1,FALSE()))),"OLD",IF(AND(E4669&lt;&gt;"",E4669&lt;&gt;"!!!"),"NEW","")))</f>
        <v> </v>
      </c>
      <c r="G4669" s="23" t="str">
        <f>IF(OR(E4669="",E4669="!!!"),"",IF(OR(J4669=0,AND(J4669=1,K4669=1),AND(J4669=1,I4669="SBJ"),AND(J4669=1,I4669=0)),"?IN_FOCUS",IF(J4669&lt;=2,"?ACTIVATED",IF(J4669&lt;&gt;"","?FAMILIAR",IF(F4669="NEW",IF(ISNA(VLOOKUP(E4669,#REF!,1,FALSE())),"?TYPE_IDENTIFIABLE","?REFERENTIAL"),"_")))))</f>
        <v> </v>
      </c>
      <c r="H4669" s="24" t="str">
        <f>IF(J4669&lt;&gt;1,"",IF(I4669="SBJ","CB","?"))</f>
        <v> </v>
      </c>
      <c r="I4669" s="25" t="str">
        <f>IF(OR(E4669="",E4669="!!!",F4669="NEW"),"",INDEX(B4668:B$2,-1+SUMPRODUCT(MAX(ROW(E4668:E$2)*(E4669=E4668:E$2)))))</f>
        <v> </v>
      </c>
      <c r="J4669" s="25" t="str">
        <f>IF(OR(E4669="",E4669="!!!",F4669="NEW"),"",COUNTBLANK(OFFSET(A$1,,,SUMPRODUCT(MAX(ROW(E$2:E4669)*(E4669=E$2:E4669)))))-COUNTBLANK(OFFSET(A$1,,,SUMPRODUCT(MAX(ROW(E$1:E4668)*(E2=E$1:E4668))))))</f>
        <v> </v>
      </c>
      <c r="K4669" s="25" t="str">
        <f>IF(OR(E4669="",E4669="!!!",F4669="NEW"),"",INDEX(J$1:J4668,SUMPRODUCT(MAX(ROW(E$1:E4668)*(E4669=E$1:E4668)))))</f>
        <v> </v>
      </c>
      <c r="L4669" s="26"/>
    </row>
    <row r="4670" spans="1:12">
      <c r="A4670" s="20" t="s">
        <v>2068</v>
      </c>
      <c r="E4670" s="21">
        <f>IF(D4670="?OLD","!!!","")</f>
        <v/>
      </c>
      <c r="F4670" s="22" t="str">
        <f>IF(OR(E4670="",E4670="!!!"),"",IF(NOT(ISNA(VLOOKUP(E4670,E$1:E4669,1,FALSE()))),"OLD",IF(AND(E4670&lt;&gt;"",E4670&lt;&gt;"!!!"),"NEW","")))</f>
        <v> </v>
      </c>
      <c r="G4670" s="23" t="str">
        <f>IF(OR(E4670="",E4670="!!!"),"",IF(OR(J4670=0,AND(J4670=1,K4670=1),AND(J4670=1,I4670="SBJ"),AND(J4670=1,I4670=0)),"?IN_FOCUS",IF(J4670&lt;=2,"?ACTIVATED",IF(J4670&lt;&gt;"","?FAMILIAR",IF(F4670="NEW",IF(ISNA(VLOOKUP(E4670,#REF!,1,FALSE())),"?TYPE_IDENTIFIABLE","?REFERENTIAL"),"_")))))</f>
        <v> </v>
      </c>
      <c r="H4670" s="24" t="str">
        <f>IF(J4670&lt;&gt;1,"",IF(I4670="SBJ","CB","?"))</f>
        <v> </v>
      </c>
      <c r="I4670" s="25" t="str">
        <f>IF(OR(E4670="",E4670="!!!",F4670="NEW"),"",INDEX(B4669:B$2,-1+SUMPRODUCT(MAX(ROW(E4669:E$2)*(E4670=E4669:E$2)))))</f>
        <v> </v>
      </c>
      <c r="J4670" s="25" t="str">
        <f>IF(OR(E4670="",E4670="!!!",F4670="NEW"),"",COUNTBLANK(OFFSET(A$1,,,SUMPRODUCT(MAX(ROW(E$2:E4670)*(E4670=E$2:E4670)))))-COUNTBLANK(OFFSET(A$1,,,SUMPRODUCT(MAX(ROW(E$1:E4669)*(E2=E$1:E4669))))))</f>
        <v> </v>
      </c>
      <c r="K4670" s="25" t="str">
        <f>IF(OR(E4670="",E4670="!!!",F4670="NEW"),"",INDEX(J$1:J4669,SUMPRODUCT(MAX(ROW(E$1:E4669)*(E4670=E$1:E4669)))))</f>
        <v> </v>
      </c>
      <c r="L4670" s="26"/>
    </row>
    <row r="4671" spans="1:12">
      <c r="A4671" s="20" t="s">
        <v>753</v>
      </c>
      <c r="E4671" s="21">
        <f>IF(D4671="?OLD","!!!","")</f>
        <v/>
      </c>
      <c r="F4671" s="22" t="str">
        <f>IF(OR(E4671="",E4671="!!!"),"",IF(NOT(ISNA(VLOOKUP(E4671,E$1:E4670,1,FALSE()))),"OLD",IF(AND(E4671&lt;&gt;"",E4671&lt;&gt;"!!!"),"NEW","")))</f>
        <v> </v>
      </c>
      <c r="G4671" s="23" t="str">
        <f>IF(OR(E4671="",E4671="!!!"),"",IF(OR(J4671=0,AND(J4671=1,K4671=1),AND(J4671=1,I4671="SBJ"),AND(J4671=1,I4671=0)),"?IN_FOCUS",IF(J4671&lt;=2,"?ACTIVATED",IF(J4671&lt;&gt;"","?FAMILIAR",IF(F4671="NEW",IF(ISNA(VLOOKUP(E4671,#REF!,1,FALSE())),"?TYPE_IDENTIFIABLE","?REFERENTIAL"),"_")))))</f>
        <v> </v>
      </c>
      <c r="H4671" s="24" t="str">
        <f>IF(J4671&lt;&gt;1,"",IF(I4671="SBJ","CB","?"))</f>
        <v> </v>
      </c>
      <c r="I4671" s="25" t="str">
        <f>IF(OR(E4671="",E4671="!!!",F4671="NEW"),"",INDEX(B4670:B$2,-1+SUMPRODUCT(MAX(ROW(E4670:E$2)*(E4671=E4670:E$2)))))</f>
        <v> </v>
      </c>
      <c r="J4671" s="25" t="str">
        <f>IF(OR(E4671="",E4671="!!!",F4671="NEW"),"",COUNTBLANK(OFFSET(A$1,,,SUMPRODUCT(MAX(ROW(E$2:E4671)*(E4671=E$2:E4671)))))-COUNTBLANK(OFFSET(A$1,,,SUMPRODUCT(MAX(ROW(E$1:E4670)*(E2=E$1:E4670))))))</f>
        <v> </v>
      </c>
      <c r="K4671" s="25" t="str">
        <f>IF(OR(E4671="",E4671="!!!",F4671="NEW"),"",INDEX(J$1:J4670,SUMPRODUCT(MAX(ROW(E$1:E4670)*(E4671=E$1:E4670)))))</f>
        <v> </v>
      </c>
      <c r="L4671" s="26"/>
    </row>
    <row r="4672" spans="1:12">
      <c r="A4672" s="20" t="s">
        <v>2069</v>
      </c>
      <c r="E4672" s="21">
        <f>IF(D4672="?OLD","!!!","")</f>
        <v/>
      </c>
      <c r="F4672" s="22" t="str">
        <f>IF(OR(E4672="",E4672="!!!"),"",IF(NOT(ISNA(VLOOKUP(E4672,E$1:E4671,1,FALSE()))),"OLD",IF(AND(E4672&lt;&gt;"",E4672&lt;&gt;"!!!"),"NEW","")))</f>
        <v> </v>
      </c>
      <c r="G4672" s="23" t="str">
        <f>IF(OR(E4672="",E4672="!!!"),"",IF(OR(J4672=0,AND(J4672=1,K4672=1),AND(J4672=1,I4672="SBJ"),AND(J4672=1,I4672=0)),"?IN_FOCUS",IF(J4672&lt;=2,"?ACTIVATED",IF(J4672&lt;&gt;"","?FAMILIAR",IF(F4672="NEW",IF(ISNA(VLOOKUP(E4672,#REF!,1,FALSE())),"?TYPE_IDENTIFIABLE","?REFERENTIAL"),"_")))))</f>
        <v> </v>
      </c>
      <c r="H4672" s="24" t="str">
        <f>IF(J4672&lt;&gt;1,"",IF(I4672="SBJ","CB","?"))</f>
        <v> </v>
      </c>
      <c r="I4672" s="25" t="str">
        <f>IF(OR(E4672="",E4672="!!!",F4672="NEW"),"",INDEX(B4671:B$2,-1+SUMPRODUCT(MAX(ROW(E4671:E$2)*(E4672=E4671:E$2)))))</f>
        <v> </v>
      </c>
      <c r="J4672" s="25" t="str">
        <f>IF(OR(E4672="",E4672="!!!",F4672="NEW"),"",COUNTBLANK(OFFSET(A$1,,,SUMPRODUCT(MAX(ROW(E$2:E4672)*(E4672=E$2:E4672)))))-COUNTBLANK(OFFSET(A$1,,,SUMPRODUCT(MAX(ROW(E$1:E4671)*(E2=E$1:E4671))))))</f>
        <v> </v>
      </c>
      <c r="K4672" s="25" t="str">
        <f>IF(OR(E4672="",E4672="!!!",F4672="NEW"),"",INDEX(J$1:J4671,SUMPRODUCT(MAX(ROW(E$1:E4671)*(E4672=E$1:E4671)))))</f>
        <v> </v>
      </c>
      <c r="L4672" s="26"/>
    </row>
    <row r="4673" spans="1:12">
      <c r="A4673" s="20" t="s">
        <v>817</v>
      </c>
      <c r="B4673" s="27" t="s">
        <v>779</v>
      </c>
      <c r="E4673" s="21">
        <f>IF(D4673="?OLD","!!!","")</f>
        <v/>
      </c>
      <c r="F4673" s="22" t="str">
        <f>IF(OR(E4673="",E4673="!!!"),"",IF(NOT(ISNA(VLOOKUP(E4673,E$1:E4672,1,FALSE()))),"OLD",IF(AND(E4673&lt;&gt;"",E4673&lt;&gt;"!!!"),"NEW","")))</f>
        <v> </v>
      </c>
      <c r="G4673" s="23" t="str">
        <f>IF(OR(E4673="",E4673="!!!"),"",IF(OR(J4673=0,AND(J4673=1,K4673=1),AND(J4673=1,I4673="SBJ"),AND(J4673=1,I4673=0)),"?IN_FOCUS",IF(J4673&lt;=2,"?ACTIVATED",IF(J4673&lt;&gt;"","?FAMILIAR",IF(F4673="NEW",IF(ISNA(VLOOKUP(E4673,#REF!,1,FALSE())),"?TYPE_IDENTIFIABLE","?REFERENTIAL"),"_")))))</f>
        <v> </v>
      </c>
      <c r="H4673" s="24" t="str">
        <f>IF(J4673&lt;&gt;1,"",IF(I4673="SBJ","CB","?"))</f>
        <v> </v>
      </c>
      <c r="I4673" s="25" t="str">
        <f>IF(OR(E4673="",E4673="!!!",F4673="NEW"),"",INDEX(B4672:B$2,-1+SUMPRODUCT(MAX(ROW(E4672:E$2)*(E4673=E4672:E$2)))))</f>
        <v> </v>
      </c>
      <c r="J4673" s="25" t="str">
        <f>IF(OR(E4673="",E4673="!!!",F4673="NEW"),"",COUNTBLANK(OFFSET(A$1,,,SUMPRODUCT(MAX(ROW(E$2:E4673)*(E4673=E$2:E4673)))))-COUNTBLANK(OFFSET(A$1,,,SUMPRODUCT(MAX(ROW(E$1:E4672)*(E2=E$1:E4672))))))</f>
        <v> </v>
      </c>
      <c r="K4673" s="25" t="str">
        <f>IF(OR(E4673="",E4673="!!!",F4673="NEW"),"",INDEX(J$1:J4672,SUMPRODUCT(MAX(ROW(E$1:E4672)*(E4673=E$1:E4672)))))</f>
        <v> </v>
      </c>
      <c r="L4673" s="26"/>
    </row>
    <row r="4674" spans="1:12">
      <c r="A4674" s="20" t="s">
        <v>845</v>
      </c>
      <c r="E4674" s="21">
        <f>IF(D4674="?OLD","!!!","")</f>
        <v/>
      </c>
      <c r="F4674" s="22" t="str">
        <f>IF(OR(E4674="",E4674="!!!"),"",IF(NOT(ISNA(VLOOKUP(E4674,E$1:E4673,1,FALSE()))),"OLD",IF(AND(E4674&lt;&gt;"",E4674&lt;&gt;"!!!"),"NEW","")))</f>
        <v> </v>
      </c>
      <c r="G4674" s="23" t="str">
        <f>IF(OR(E4674="",E4674="!!!"),"",IF(OR(J4674=0,AND(J4674=1,K4674=1),AND(J4674=1,I4674="SBJ"),AND(J4674=1,I4674=0)),"?IN_FOCUS",IF(J4674&lt;=2,"?ACTIVATED",IF(J4674&lt;&gt;"","?FAMILIAR",IF(F4674="NEW",IF(ISNA(VLOOKUP(E4674,#REF!,1,FALSE())),"?TYPE_IDENTIFIABLE","?REFERENTIAL"),"_")))))</f>
        <v> </v>
      </c>
      <c r="H4674" s="24" t="str">
        <f>IF(J4674&lt;&gt;1,"",IF(I4674="SBJ","CB","?"))</f>
        <v> </v>
      </c>
      <c r="I4674" s="25" t="str">
        <f>IF(OR(E4674="",E4674="!!!",F4674="NEW"),"",INDEX(B4673:B$2,-1+SUMPRODUCT(MAX(ROW(E4673:E$2)*(E4674=E4673:E$2)))))</f>
        <v> </v>
      </c>
      <c r="J4674" s="25" t="str">
        <f>IF(OR(E4674="",E4674="!!!",F4674="NEW"),"",COUNTBLANK(OFFSET(A$1,,,SUMPRODUCT(MAX(ROW(E$2:E4674)*(E4674=E$2:E4674)))))-COUNTBLANK(OFFSET(A$1,,,SUMPRODUCT(MAX(ROW(E$1:E4673)*(E2=E$1:E4673))))))</f>
        <v> </v>
      </c>
      <c r="K4674" s="25" t="str">
        <f>IF(OR(E4674="",E4674="!!!",F4674="NEW"),"",INDEX(J$1:J4673,SUMPRODUCT(MAX(ROW(E$1:E4673)*(E4674=E$1:E4673)))))</f>
        <v> </v>
      </c>
      <c r="L4674" s="26"/>
    </row>
    <row r="4675" spans="1:12">
      <c r="A4675" s="20" t="s">
        <v>2070</v>
      </c>
      <c r="B4675" s="27" t="s">
        <v>795</v>
      </c>
      <c r="C4675" s="27" t="s">
        <v>775</v>
      </c>
      <c r="D4675" s="27" t="s">
        <v>740</v>
      </c>
      <c r="E4675" s="21">
        <f>IF(D4675="?OLD","!!!","")</f>
        <v/>
      </c>
      <c r="F4675" s="22" t="str">
        <f>IF(OR(E4675="",E4675="!!!"),"",IF(NOT(ISNA(VLOOKUP(E4675,E$1:E4674,1,FALSE()))),"OLD",IF(AND(E4675&lt;&gt;"",E4675&lt;&gt;"!!!"),"NEW","")))</f>
        <v> </v>
      </c>
      <c r="G4675" s="23" t="str">
        <f>IF(OR(E4675="",E4675="!!!"),"",IF(OR(J4675=0,AND(J4675=1,K4675=1),AND(J4675=1,I4675="SBJ"),AND(J4675=1,I4675=0)),"?IN_FOCUS",IF(J4675&lt;=2,"?ACTIVATED",IF(J4675&lt;&gt;"","?FAMILIAR",IF(F4675="NEW",IF(ISNA(VLOOKUP(E4675,#REF!,1,FALSE())),"?TYPE_IDENTIFIABLE","?REFERENTIAL"),"_")))))</f>
        <v> </v>
      </c>
      <c r="H4675" s="24" t="str">
        <f>IF(J4675&lt;&gt;1,"",IF(I4675="SBJ","CB","?"))</f>
        <v> </v>
      </c>
      <c r="I4675" s="25" t="str">
        <f>IF(OR(E4675="",E4675="!!!",F4675="NEW"),"",INDEX(B4674:B$2,-1+SUMPRODUCT(MAX(ROW(E4674:E$2)*(E4675=E4674:E$2)))))</f>
        <v> </v>
      </c>
      <c r="J4675" s="25" t="str">
        <f>IF(OR(E4675="",E4675="!!!",F4675="NEW"),"",COUNTBLANK(OFFSET(A$1,,,SUMPRODUCT(MAX(ROW(E$2:E4675)*(E4675=E$2:E4675)))))-COUNTBLANK(OFFSET(A$1,,,SUMPRODUCT(MAX(ROW(E$1:E4674)*(E2=E$1:E4674))))))</f>
        <v> </v>
      </c>
      <c r="K4675" s="25" t="str">
        <f>IF(OR(E4675="",E4675="!!!",F4675="NEW"),"",INDEX(J$1:J4674,SUMPRODUCT(MAX(ROW(E$1:E4674)*(E4675=E$1:E4674)))))</f>
        <v> </v>
      </c>
      <c r="L4675" s="26"/>
    </row>
    <row r="4676" spans="1:12">
      <c r="A4676" s="20" t="s">
        <v>1238</v>
      </c>
      <c r="B4676" s="27" t="s">
        <v>764</v>
      </c>
      <c r="C4676" s="27" t="s">
        <v>734</v>
      </c>
      <c r="E4676" s="21">
        <f>IF(D4676="?OLD","!!!","")</f>
        <v/>
      </c>
      <c r="F4676" s="22" t="str">
        <f>IF(OR(E4676="",E4676="!!!"),"",IF(NOT(ISNA(VLOOKUP(E4676,E$1:E4675,1,FALSE()))),"OLD",IF(AND(E4676&lt;&gt;"",E4676&lt;&gt;"!!!"),"NEW","")))</f>
        <v> </v>
      </c>
      <c r="G4676" s="23" t="str">
        <f>IF(OR(E4676="",E4676="!!!"),"",IF(OR(J4676=0,AND(J4676=1,K4676=1),AND(J4676=1,I4676="SBJ"),AND(J4676=1,I4676=0)),"?IN_FOCUS",IF(J4676&lt;=2,"?ACTIVATED",IF(J4676&lt;&gt;"","?FAMILIAR",IF(F4676="NEW",IF(ISNA(VLOOKUP(E4676,#REF!,1,FALSE())),"?TYPE_IDENTIFIABLE","?REFERENTIAL"),"_")))))</f>
        <v> </v>
      </c>
      <c r="H4676" s="24" t="str">
        <f>IF(J4676&lt;&gt;1,"",IF(I4676="SBJ","CB","?"))</f>
        <v> </v>
      </c>
      <c r="I4676" s="25" t="str">
        <f>IF(OR(E4676="",E4676="!!!",F4676="NEW"),"",INDEX(B4675:B$2,-1+SUMPRODUCT(MAX(ROW(E4675:E$2)*(E4676=E4675:E$2)))))</f>
        <v> </v>
      </c>
      <c r="J4676" s="25" t="str">
        <f>IF(OR(E4676="",E4676="!!!",F4676="NEW"),"",COUNTBLANK(OFFSET(A$1,,,SUMPRODUCT(MAX(ROW(E$2:E4676)*(E4676=E$2:E4676)))))-COUNTBLANK(OFFSET(A$1,,,SUMPRODUCT(MAX(ROW(E$1:E4675)*(E2=E$1:E4675))))))</f>
        <v> </v>
      </c>
      <c r="K4676" s="25" t="str">
        <f>IF(OR(E4676="",E4676="!!!",F4676="NEW"),"",INDEX(J$1:J4675,SUMPRODUCT(MAX(ROW(E$1:E4675)*(E4676=E$1:E4675)))))</f>
        <v> </v>
      </c>
      <c r="L4676" s="26"/>
    </row>
    <row r="4677" spans="1:12">
      <c r="A4677" s="20" t="s">
        <v>818</v>
      </c>
      <c r="E4677" s="21">
        <f>IF(D4677="?OLD","!!!","")</f>
        <v/>
      </c>
      <c r="F4677" s="22" t="str">
        <f>IF(OR(E4677="",E4677="!!!"),"",IF(NOT(ISNA(VLOOKUP(E4677,E$1:E4676,1,FALSE()))),"OLD",IF(AND(E4677&lt;&gt;"",E4677&lt;&gt;"!!!"),"NEW","")))</f>
        <v> </v>
      </c>
      <c r="G4677" s="23" t="str">
        <f>IF(OR(E4677="",E4677="!!!"),"",IF(OR(J4677=0,AND(J4677=1,K4677=1),AND(J4677=1,I4677="SBJ"),AND(J4677=1,I4677=0)),"?IN_FOCUS",IF(J4677&lt;=2,"?ACTIVATED",IF(J4677&lt;&gt;"","?FAMILIAR",IF(F4677="NEW",IF(ISNA(VLOOKUP(E4677,#REF!,1,FALSE())),"?TYPE_IDENTIFIABLE","?REFERENTIAL"),"_")))))</f>
        <v> </v>
      </c>
      <c r="H4677" s="24" t="str">
        <f>IF(J4677&lt;&gt;1,"",IF(I4677="SBJ","CB","?"))</f>
        <v> </v>
      </c>
      <c r="I4677" s="25" t="str">
        <f>IF(OR(E4677="",E4677="!!!",F4677="NEW"),"",INDEX(B4676:B$2,-1+SUMPRODUCT(MAX(ROW(E4676:E$2)*(E4677=E4676:E$2)))))</f>
        <v> </v>
      </c>
      <c r="J4677" s="25" t="str">
        <f>IF(OR(E4677="",E4677="!!!",F4677="NEW"),"",COUNTBLANK(OFFSET(A$1,,,SUMPRODUCT(MAX(ROW(E$2:E4677)*(E4677=E$2:E4677)))))-COUNTBLANK(OFFSET(A$1,,,SUMPRODUCT(MAX(ROW(E$1:E4676)*(E2=E$1:E4676))))))</f>
        <v> </v>
      </c>
      <c r="K4677" s="25" t="str">
        <f>IF(OR(E4677="",E4677="!!!",F4677="NEW"),"",INDEX(J$1:J4676,SUMPRODUCT(MAX(ROW(E$1:E4676)*(E4677=E$1:E4676)))))</f>
        <v> </v>
      </c>
      <c r="L4677" s="26"/>
    </row>
    <row r="4678" spans="1:12">
      <c r="A4678" s="20" t="s">
        <v>1102</v>
      </c>
      <c r="B4678" s="27" t="s">
        <v>787</v>
      </c>
      <c r="C4678" s="27" t="s">
        <v>739</v>
      </c>
      <c r="D4678" s="27" t="s">
        <v>740</v>
      </c>
      <c r="E4678" s="21">
        <f>IF(D4678="?OLD","!!!","")</f>
        <v/>
      </c>
      <c r="F4678" s="22" t="str">
        <f>IF(OR(E4678="",E4678="!!!"),"",IF(NOT(ISNA(VLOOKUP(E4678,E$1:E4677,1,FALSE()))),"OLD",IF(AND(E4678&lt;&gt;"",E4678&lt;&gt;"!!!"),"NEW","")))</f>
        <v> </v>
      </c>
      <c r="G4678" s="23" t="str">
        <f>IF(OR(E4678="",E4678="!!!"),"",IF(OR(J4678=0,AND(J4678=1,K4678=1),AND(J4678=1,I4678="SBJ"),AND(J4678=1,I4678=0)),"?IN_FOCUS",IF(J4678&lt;=2,"?ACTIVATED",IF(J4678&lt;&gt;"","?FAMILIAR",IF(F4678="NEW",IF(ISNA(VLOOKUP(E4678,#REF!,1,FALSE())),"?TYPE_IDENTIFIABLE","?REFERENTIAL"),"_")))))</f>
        <v> </v>
      </c>
      <c r="H4678" s="24" t="str">
        <f>IF(J4678&lt;&gt;1,"",IF(I4678="SBJ","CB","?"))</f>
        <v> </v>
      </c>
      <c r="I4678" s="25" t="str">
        <f>IF(OR(E4678="",E4678="!!!",F4678="NEW"),"",INDEX(B4677:B$2,-1+SUMPRODUCT(MAX(ROW(E4677:E$2)*(E4678=E4677:E$2)))))</f>
        <v> </v>
      </c>
      <c r="J4678" s="25" t="str">
        <f>IF(OR(E4678="",E4678="!!!",F4678="NEW"),"",COUNTBLANK(OFFSET(A$1,,,SUMPRODUCT(MAX(ROW(E$2:E4678)*(E4678=E$2:E4678)))))-COUNTBLANK(OFFSET(A$1,,,SUMPRODUCT(MAX(ROW(E$1:E4677)*(E2=E$1:E4677))))))</f>
        <v> </v>
      </c>
      <c r="K4678" s="25" t="str">
        <f>IF(OR(E4678="",E4678="!!!",F4678="NEW"),"",INDEX(J$1:J4677,SUMPRODUCT(MAX(ROW(E$1:E4677)*(E4678=E$1:E4677)))))</f>
        <v> </v>
      </c>
      <c r="L4678" s="26"/>
    </row>
    <row r="4679" spans="1:12">
      <c r="A4679" s="20" t="s">
        <v>2071</v>
      </c>
      <c r="E4679" s="21">
        <f>IF(D4679="?OLD","!!!","")</f>
        <v/>
      </c>
      <c r="F4679" s="22" t="str">
        <f>IF(OR(E4679="",E4679="!!!"),"",IF(NOT(ISNA(VLOOKUP(E4679,E$1:E4678,1,FALSE()))),"OLD",IF(AND(E4679&lt;&gt;"",E4679&lt;&gt;"!!!"),"NEW","")))</f>
        <v> </v>
      </c>
      <c r="G4679" s="23" t="str">
        <f>IF(OR(E4679="",E4679="!!!"),"",IF(OR(J4679=0,AND(J4679=1,K4679=1),AND(J4679=1,I4679="SBJ"),AND(J4679=1,I4679=0)),"?IN_FOCUS",IF(J4679&lt;=2,"?ACTIVATED",IF(J4679&lt;&gt;"","?FAMILIAR",IF(F4679="NEW",IF(ISNA(VLOOKUP(E4679,#REF!,1,FALSE())),"?TYPE_IDENTIFIABLE","?REFERENTIAL"),"_")))))</f>
        <v> </v>
      </c>
      <c r="H4679" s="24" t="str">
        <f>IF(J4679&lt;&gt;1,"",IF(I4679="SBJ","CB","?"))</f>
        <v> </v>
      </c>
      <c r="I4679" s="25" t="str">
        <f>IF(OR(E4679="",E4679="!!!",F4679="NEW"),"",INDEX(B4678:B$2,-1+SUMPRODUCT(MAX(ROW(E4678:E$2)*(E4679=E4678:E$2)))))</f>
        <v> </v>
      </c>
      <c r="J4679" s="25" t="str">
        <f>IF(OR(E4679="",E4679="!!!",F4679="NEW"),"",COUNTBLANK(OFFSET(A$1,,,SUMPRODUCT(MAX(ROW(E$2:E4679)*(E4679=E$2:E4679)))))-COUNTBLANK(OFFSET(A$1,,,SUMPRODUCT(MAX(ROW(E$1:E4678)*(E2=E$1:E4678))))))</f>
        <v> </v>
      </c>
      <c r="K4679" s="25" t="str">
        <f>IF(OR(E4679="",E4679="!!!",F4679="NEW"),"",INDEX(J$1:J4678,SUMPRODUCT(MAX(ROW(E$1:E4678)*(E4679=E$1:E4678)))))</f>
        <v> </v>
      </c>
      <c r="L4679" s="26"/>
    </row>
    <row r="4680" spans="1:12">
      <c r="A4680" s="20" t="s">
        <v>753</v>
      </c>
      <c r="E4680" s="21">
        <f>IF(D4680="?OLD","!!!","")</f>
        <v/>
      </c>
      <c r="F4680" s="22" t="str">
        <f>IF(OR(E4680="",E4680="!!!"),"",IF(NOT(ISNA(VLOOKUP(E4680,E$1:E4679,1,FALSE()))),"OLD",IF(AND(E4680&lt;&gt;"",E4680&lt;&gt;"!!!"),"NEW","")))</f>
        <v> </v>
      </c>
      <c r="G4680" s="23" t="str">
        <f>IF(OR(E4680="",E4680="!!!"),"",IF(OR(J4680=0,AND(J4680=1,K4680=1),AND(J4680=1,I4680="SBJ"),AND(J4680=1,I4680=0)),"?IN_FOCUS",IF(J4680&lt;=2,"?ACTIVATED",IF(J4680&lt;&gt;"","?FAMILIAR",IF(F4680="NEW",IF(ISNA(VLOOKUP(E4680,#REF!,1,FALSE())),"?TYPE_IDENTIFIABLE","?REFERENTIAL"),"_")))))</f>
        <v> </v>
      </c>
      <c r="H4680" s="24" t="str">
        <f>IF(J4680&lt;&gt;1,"",IF(I4680="SBJ","CB","?"))</f>
        <v> </v>
      </c>
      <c r="I4680" s="25" t="str">
        <f>IF(OR(E4680="",E4680="!!!",F4680="NEW"),"",INDEX(B4679:B$2,-1+SUMPRODUCT(MAX(ROW(E4679:E$2)*(E4680=E4679:E$2)))))</f>
        <v> </v>
      </c>
      <c r="J4680" s="25" t="str">
        <f>IF(OR(E4680="",E4680="!!!",F4680="NEW"),"",COUNTBLANK(OFFSET(A$1,,,SUMPRODUCT(MAX(ROW(E$2:E4680)*(E4680=E$2:E4680)))))-COUNTBLANK(OFFSET(A$1,,,SUMPRODUCT(MAX(ROW(E$1:E4679)*(E2=E$1:E4679))))))</f>
        <v> </v>
      </c>
      <c r="K4680" s="25" t="str">
        <f>IF(OR(E4680="",E4680="!!!",F4680="NEW"),"",INDEX(J$1:J4679,SUMPRODUCT(MAX(ROW(E$1:E4679)*(E4680=E$1:E4679)))))</f>
        <v> </v>
      </c>
      <c r="L4680" s="26"/>
    </row>
    <row r="4681" spans="1:12">
      <c r="A4681" s="20" t="s">
        <v>788</v>
      </c>
      <c r="E4681" s="21">
        <f>IF(D4681="?OLD","!!!","")</f>
        <v/>
      </c>
      <c r="F4681" s="22" t="str">
        <f>IF(OR(E4681="",E4681="!!!"),"",IF(NOT(ISNA(VLOOKUP(E4681,E$1:E4680,1,FALSE()))),"OLD",IF(AND(E4681&lt;&gt;"",E4681&lt;&gt;"!!!"),"NEW","")))</f>
        <v> </v>
      </c>
      <c r="G4681" s="23" t="str">
        <f>IF(OR(E4681="",E4681="!!!"),"",IF(OR(J4681=0,AND(J4681=1,K4681=1),AND(J4681=1,I4681="SBJ"),AND(J4681=1,I4681=0)),"?IN_FOCUS",IF(J4681&lt;=2,"?ACTIVATED",IF(J4681&lt;&gt;"","?FAMILIAR",IF(F4681="NEW",IF(ISNA(VLOOKUP(E4681,#REF!,1,FALSE())),"?TYPE_IDENTIFIABLE","?REFERENTIAL"),"_")))))</f>
        <v> </v>
      </c>
      <c r="H4681" s="24" t="str">
        <f>IF(J4681&lt;&gt;1,"",IF(I4681="SBJ","CB","?"))</f>
        <v> </v>
      </c>
      <c r="I4681" s="25" t="str">
        <f>IF(OR(E4681="",E4681="!!!",F4681="NEW"),"",INDEX(B4680:B$2,-1+SUMPRODUCT(MAX(ROW(E4680:E$2)*(E4681=E4680:E$2)))))</f>
        <v> </v>
      </c>
      <c r="J4681" s="25" t="str">
        <f>IF(OR(E4681="",E4681="!!!",F4681="NEW"),"",COUNTBLANK(OFFSET(A$1,,,SUMPRODUCT(MAX(ROW(E$2:E4681)*(E4681=E$2:E4681)))))-COUNTBLANK(OFFSET(A$1,,,SUMPRODUCT(MAX(ROW(E$1:E4680)*(E2=E$1:E4680))))))</f>
        <v> </v>
      </c>
      <c r="K4681" s="25" t="str">
        <f>IF(OR(E4681="",E4681="!!!",F4681="NEW"),"",INDEX(J$1:J4680,SUMPRODUCT(MAX(ROW(E$1:E4680)*(E4681=E$1:E4680)))))</f>
        <v> </v>
      </c>
      <c r="L4681" s="26"/>
    </row>
    <row r="4682" spans="1:12">
      <c r="A4682" s="20" t="s">
        <v>918</v>
      </c>
      <c r="E4682" s="21">
        <f>IF(D4682="?OLD","!!!","")</f>
        <v/>
      </c>
      <c r="F4682" s="22" t="str">
        <f>IF(OR(E4682="",E4682="!!!"),"",IF(NOT(ISNA(VLOOKUP(E4682,E$1:E4681,1,FALSE()))),"OLD",IF(AND(E4682&lt;&gt;"",E4682&lt;&gt;"!!!"),"NEW","")))</f>
        <v> </v>
      </c>
      <c r="G4682" s="23" t="str">
        <f>IF(OR(E4682="",E4682="!!!"),"",IF(OR(J4682=0,AND(J4682=1,K4682=1),AND(J4682=1,I4682="SBJ"),AND(J4682=1,I4682=0)),"?IN_FOCUS",IF(J4682&lt;=2,"?ACTIVATED",IF(J4682&lt;&gt;"","?FAMILIAR",IF(F4682="NEW",IF(ISNA(VLOOKUP(E4682,#REF!,1,FALSE())),"?TYPE_IDENTIFIABLE","?REFERENTIAL"),"_")))))</f>
        <v> </v>
      </c>
      <c r="H4682" s="24" t="str">
        <f>IF(J4682&lt;&gt;1,"",IF(I4682="SBJ","CB","?"))</f>
        <v> </v>
      </c>
      <c r="I4682" s="25" t="str">
        <f>IF(OR(E4682="",E4682="!!!",F4682="NEW"),"",INDEX(B4681:B$2,-1+SUMPRODUCT(MAX(ROW(E4681:E$2)*(E4682=E4681:E$2)))))</f>
        <v> </v>
      </c>
      <c r="J4682" s="25" t="str">
        <f>IF(OR(E4682="",E4682="!!!",F4682="NEW"),"",COUNTBLANK(OFFSET(A$1,,,SUMPRODUCT(MAX(ROW(E$2:E4682)*(E4682=E$2:E4682)))))-COUNTBLANK(OFFSET(A$1,,,SUMPRODUCT(MAX(ROW(E$1:E4681)*(E2=E$1:E4681))))))</f>
        <v> </v>
      </c>
      <c r="K4682" s="25" t="str">
        <f>IF(OR(E4682="",E4682="!!!",F4682="NEW"),"",INDEX(J$1:J4681,SUMPRODUCT(MAX(ROW(E$1:E4681)*(E4682=E$1:E4681)))))</f>
        <v> </v>
      </c>
      <c r="L4682" s="26"/>
    </row>
    <row r="4683" spans="1:12">
      <c r="A4683" s="20" t="s">
        <v>912</v>
      </c>
      <c r="B4683" s="27" t="s">
        <v>771</v>
      </c>
      <c r="C4683" s="27" t="s">
        <v>749</v>
      </c>
      <c r="D4683" s="27" t="s">
        <v>740</v>
      </c>
      <c r="E4683" s="21">
        <f>IF(D4683="?OLD","!!!","")</f>
        <v/>
      </c>
      <c r="F4683" s="22" t="str">
        <f>IF(OR(E4683="",E4683="!!!"),"",IF(NOT(ISNA(VLOOKUP(E4683,E$1:E4682,1,FALSE()))),"OLD",IF(AND(E4683&lt;&gt;"",E4683&lt;&gt;"!!!"),"NEW","")))</f>
        <v> </v>
      </c>
      <c r="G4683" s="23" t="str">
        <f>IF(OR(E4683="",E4683="!!!"),"",IF(OR(J4683=0,AND(J4683=1,K4683=1),AND(J4683=1,I4683="SBJ"),AND(J4683=1,I4683=0)),"?IN_FOCUS",IF(J4683&lt;=2,"?ACTIVATED",IF(J4683&lt;&gt;"","?FAMILIAR",IF(F4683="NEW",IF(ISNA(VLOOKUP(E4683,#REF!,1,FALSE())),"?TYPE_IDENTIFIABLE","?REFERENTIAL"),"_")))))</f>
        <v> </v>
      </c>
      <c r="H4683" s="24" t="str">
        <f>IF(J4683&lt;&gt;1,"",IF(I4683="SBJ","CB","?"))</f>
        <v> </v>
      </c>
      <c r="I4683" s="25" t="str">
        <f>IF(OR(E4683="",E4683="!!!",F4683="NEW"),"",INDEX(B4682:B$2,-1+SUMPRODUCT(MAX(ROW(E4682:E$2)*(E4683=E4682:E$2)))))</f>
        <v> </v>
      </c>
      <c r="J4683" s="25" t="str">
        <f>IF(OR(E4683="",E4683="!!!",F4683="NEW"),"",COUNTBLANK(OFFSET(A$1,,,SUMPRODUCT(MAX(ROW(E$2:E4683)*(E4683=E$2:E4683)))))-COUNTBLANK(OFFSET(A$1,,,SUMPRODUCT(MAX(ROW(E$1:E4682)*(E2=E$1:E4682))))))</f>
        <v> </v>
      </c>
      <c r="K4683" s="25" t="str">
        <f>IF(OR(E4683="",E4683="!!!",F4683="NEW"),"",INDEX(J$1:J4682,SUMPRODUCT(MAX(ROW(E$1:E4682)*(E4683=E$1:E4682)))))</f>
        <v> </v>
      </c>
      <c r="L4683" s="26"/>
    </row>
    <row r="4684" spans="1:12">
      <c r="A4684" s="20" t="s">
        <v>919</v>
      </c>
      <c r="E4684" s="21">
        <f>IF(D4684="?OLD","!!!","")</f>
        <v/>
      </c>
      <c r="F4684" s="22" t="str">
        <f>IF(OR(E4684="",E4684="!!!"),"",IF(NOT(ISNA(VLOOKUP(E4684,E$1:E4683,1,FALSE()))),"OLD",IF(AND(E4684&lt;&gt;"",E4684&lt;&gt;"!!!"),"NEW","")))</f>
        <v> </v>
      </c>
      <c r="G4684" s="23" t="str">
        <f>IF(OR(E4684="",E4684="!!!"),"",IF(OR(J4684=0,AND(J4684=1,K4684=1),AND(J4684=1,I4684="SBJ"),AND(J4684=1,I4684=0)),"?IN_FOCUS",IF(J4684&lt;=2,"?ACTIVATED",IF(J4684&lt;&gt;"","?FAMILIAR",IF(F4684="NEW",IF(ISNA(VLOOKUP(E4684,#REF!,1,FALSE())),"?TYPE_IDENTIFIABLE","?REFERENTIAL"),"_")))))</f>
        <v> </v>
      </c>
      <c r="H4684" s="24" t="str">
        <f>IF(J4684&lt;&gt;1,"",IF(I4684="SBJ","CB","?"))</f>
        <v> </v>
      </c>
      <c r="I4684" s="25" t="str">
        <f>IF(OR(E4684="",E4684="!!!",F4684="NEW"),"",INDEX(B4683:B$2,-1+SUMPRODUCT(MAX(ROW(E4683:E$2)*(E4684=E4683:E$2)))))</f>
        <v> </v>
      </c>
      <c r="J4684" s="25" t="str">
        <f>IF(OR(E4684="",E4684="!!!",F4684="NEW"),"",COUNTBLANK(OFFSET(A$1,,,SUMPRODUCT(MAX(ROW(E$2:E4684)*(E4684=E$2:E4684)))))-COUNTBLANK(OFFSET(A$1,,,SUMPRODUCT(MAX(ROW(E$1:E4683)*(E2=E$1:E4683))))))</f>
        <v> </v>
      </c>
      <c r="K4684" s="25" t="str">
        <f>IF(OR(E4684="",E4684="!!!",F4684="NEW"),"",INDEX(J$1:J4683,SUMPRODUCT(MAX(ROW(E$1:E4683)*(E4684=E$1:E4683)))))</f>
        <v> </v>
      </c>
      <c r="L4684" s="26"/>
    </row>
    <row r="4685" spans="1:12">
      <c r="A4685" s="20" t="s">
        <v>920</v>
      </c>
      <c r="E4685" s="21">
        <f>IF(D4685="?OLD","!!!","")</f>
        <v/>
      </c>
      <c r="F4685" s="22" t="str">
        <f>IF(OR(E4685="",E4685="!!!"),"",IF(NOT(ISNA(VLOOKUP(E4685,E$1:E4684,1,FALSE()))),"OLD",IF(AND(E4685&lt;&gt;"",E4685&lt;&gt;"!!!"),"NEW","")))</f>
        <v> </v>
      </c>
      <c r="G4685" s="23" t="str">
        <f>IF(OR(E4685="",E4685="!!!"),"",IF(OR(J4685=0,AND(J4685=1,K4685=1),AND(J4685=1,I4685="SBJ"),AND(J4685=1,I4685=0)),"?IN_FOCUS",IF(J4685&lt;=2,"?ACTIVATED",IF(J4685&lt;&gt;"","?FAMILIAR",IF(F4685="NEW",IF(ISNA(VLOOKUP(E4685,#REF!,1,FALSE())),"?TYPE_IDENTIFIABLE","?REFERENTIAL"),"_")))))</f>
        <v> </v>
      </c>
      <c r="H4685" s="24" t="str">
        <f>IF(J4685&lt;&gt;1,"",IF(I4685="SBJ","CB","?"))</f>
        <v> </v>
      </c>
      <c r="I4685" s="25" t="str">
        <f>IF(OR(E4685="",E4685="!!!",F4685="NEW"),"",INDEX(B4684:B$2,-1+SUMPRODUCT(MAX(ROW(E4684:E$2)*(E4685=E4684:E$2)))))</f>
        <v> </v>
      </c>
      <c r="J4685" s="25" t="str">
        <f>IF(OR(E4685="",E4685="!!!",F4685="NEW"),"",COUNTBLANK(OFFSET(A$1,,,SUMPRODUCT(MAX(ROW(E$2:E4685)*(E4685=E$2:E4685)))))-COUNTBLANK(OFFSET(A$1,,,SUMPRODUCT(MAX(ROW(E$1:E4684)*(E2=E$1:E4684))))))</f>
        <v> </v>
      </c>
      <c r="K4685" s="25" t="str">
        <f>IF(OR(E4685="",E4685="!!!",F4685="NEW"),"",INDEX(J$1:J4684,SUMPRODUCT(MAX(ROW(E$1:E4684)*(E4685=E$1:E4684)))))</f>
        <v> </v>
      </c>
      <c r="L4685" s="26"/>
    </row>
    <row r="4686" spans="1:12">
      <c r="A4686" s="20" t="s">
        <v>914</v>
      </c>
      <c r="B4686" s="27" t="s">
        <v>779</v>
      </c>
      <c r="C4686" s="27" t="s">
        <v>734</v>
      </c>
      <c r="E4686" s="21">
        <f>IF(D4686="?OLD","!!!","")</f>
        <v/>
      </c>
      <c r="F4686" s="22" t="str">
        <f>IF(OR(E4686="",E4686="!!!"),"",IF(NOT(ISNA(VLOOKUP(E4686,E$1:E4685,1,FALSE()))),"OLD",IF(AND(E4686&lt;&gt;"",E4686&lt;&gt;"!!!"),"NEW","")))</f>
        <v> </v>
      </c>
      <c r="G4686" s="23" t="str">
        <f>IF(OR(E4686="",E4686="!!!"),"",IF(OR(J4686=0,AND(J4686=1,K4686=1),AND(J4686=1,I4686="SBJ"),AND(J4686=1,I4686=0)),"?IN_FOCUS",IF(J4686&lt;=2,"?ACTIVATED",IF(J4686&lt;&gt;"","?FAMILIAR",IF(F4686="NEW",IF(ISNA(VLOOKUP(E4686,#REF!,1,FALSE())),"?TYPE_IDENTIFIABLE","?REFERENTIAL"),"_")))))</f>
        <v> </v>
      </c>
      <c r="H4686" s="24" t="str">
        <f>IF(J4686&lt;&gt;1,"",IF(I4686="SBJ","CB","?"))</f>
        <v> </v>
      </c>
      <c r="I4686" s="25" t="str">
        <f>IF(OR(E4686="",E4686="!!!",F4686="NEW"),"",INDEX(B4685:B$2,-1+SUMPRODUCT(MAX(ROW(E4685:E$2)*(E4686=E4685:E$2)))))</f>
        <v> </v>
      </c>
      <c r="J4686" s="25" t="str">
        <f>IF(OR(E4686="",E4686="!!!",F4686="NEW"),"",COUNTBLANK(OFFSET(A$1,,,SUMPRODUCT(MAX(ROW(E$2:E4686)*(E4686=E$2:E4686)))))-COUNTBLANK(OFFSET(A$1,,,SUMPRODUCT(MAX(ROW(E$1:E4685)*(E2=E$1:E4685))))))</f>
        <v> </v>
      </c>
      <c r="K4686" s="25" t="str">
        <f>IF(OR(E4686="",E4686="!!!",F4686="NEW"),"",INDEX(J$1:J4685,SUMPRODUCT(MAX(ROW(E$1:E4685)*(E4686=E$1:E4685)))))</f>
        <v> </v>
      </c>
      <c r="L4686" s="26"/>
    </row>
    <row r="4687" spans="1:12">
      <c r="A4687" s="20" t="s">
        <v>921</v>
      </c>
      <c r="E4687" s="21">
        <f>IF(D4687="?OLD","!!!","")</f>
        <v/>
      </c>
      <c r="F4687" s="22" t="str">
        <f>IF(OR(E4687="",E4687="!!!"),"",IF(NOT(ISNA(VLOOKUP(E4687,E$1:E4686,1,FALSE()))),"OLD",IF(AND(E4687&lt;&gt;"",E4687&lt;&gt;"!!!"),"NEW","")))</f>
        <v> </v>
      </c>
      <c r="G4687" s="23" t="str">
        <f>IF(OR(E4687="",E4687="!!!"),"",IF(OR(J4687=0,AND(J4687=1,K4687=1),AND(J4687=1,I4687="SBJ"),AND(J4687=1,I4687=0)),"?IN_FOCUS",IF(J4687&lt;=2,"?ACTIVATED",IF(J4687&lt;&gt;"","?FAMILIAR",IF(F4687="NEW",IF(ISNA(VLOOKUP(E4687,#REF!,1,FALSE())),"?TYPE_IDENTIFIABLE","?REFERENTIAL"),"_")))))</f>
        <v> </v>
      </c>
      <c r="H4687" s="24" t="str">
        <f>IF(J4687&lt;&gt;1,"",IF(I4687="SBJ","CB","?"))</f>
        <v> </v>
      </c>
      <c r="I4687" s="25" t="str">
        <f>IF(OR(E4687="",E4687="!!!",F4687="NEW"),"",INDEX(B4686:B$2,-1+SUMPRODUCT(MAX(ROW(E4686:E$2)*(E4687=E4686:E$2)))))</f>
        <v> </v>
      </c>
      <c r="J4687" s="25" t="str">
        <f>IF(OR(E4687="",E4687="!!!",F4687="NEW"),"",COUNTBLANK(OFFSET(A$1,,,SUMPRODUCT(MAX(ROW(E$2:E4687)*(E4687=E$2:E4687)))))-COUNTBLANK(OFFSET(A$1,,,SUMPRODUCT(MAX(ROW(E$1:E4686)*(E2=E$1:E4686))))))</f>
        <v> </v>
      </c>
      <c r="K4687" s="25" t="str">
        <f>IF(OR(E4687="",E4687="!!!",F4687="NEW"),"",INDEX(J$1:J4686,SUMPRODUCT(MAX(ROW(E$1:E4686)*(E4687=E$1:E4686)))))</f>
        <v> </v>
      </c>
      <c r="L4687" s="26"/>
    </row>
    <row r="4688" spans="1:12">
      <c r="A4688" s="20" t="s">
        <v>753</v>
      </c>
      <c r="E4688" s="21">
        <f>IF(D4688="?OLD","!!!","")</f>
        <v/>
      </c>
      <c r="F4688" s="22" t="str">
        <f>IF(OR(E4688="",E4688="!!!"),"",IF(NOT(ISNA(VLOOKUP(E4688,E$1:E4687,1,FALSE()))),"OLD",IF(AND(E4688&lt;&gt;"",E4688&lt;&gt;"!!!"),"NEW","")))</f>
        <v> </v>
      </c>
      <c r="G4688" s="23" t="str">
        <f>IF(OR(E4688="",E4688="!!!"),"",IF(OR(J4688=0,AND(J4688=1,K4688=1),AND(J4688=1,I4688="SBJ"),AND(J4688=1,I4688=0)),"?IN_FOCUS",IF(J4688&lt;=2,"?ACTIVATED",IF(J4688&lt;&gt;"","?FAMILIAR",IF(F4688="NEW",IF(ISNA(VLOOKUP(E4688,#REF!,1,FALSE())),"?TYPE_IDENTIFIABLE","?REFERENTIAL"),"_")))))</f>
        <v> </v>
      </c>
      <c r="H4688" s="24" t="str">
        <f>IF(J4688&lt;&gt;1,"",IF(I4688="SBJ","CB","?"))</f>
        <v> </v>
      </c>
      <c r="I4688" s="25" t="str">
        <f>IF(OR(E4688="",E4688="!!!",F4688="NEW"),"",INDEX(B4687:B$2,-1+SUMPRODUCT(MAX(ROW(E4687:E$2)*(E4688=E4687:E$2)))))</f>
        <v> </v>
      </c>
      <c r="J4688" s="25" t="str">
        <f>IF(OR(E4688="",E4688="!!!",F4688="NEW"),"",COUNTBLANK(OFFSET(A$1,,,SUMPRODUCT(MAX(ROW(E$2:E4688)*(E4688=E$2:E4688)))))-COUNTBLANK(OFFSET(A$1,,,SUMPRODUCT(MAX(ROW(E$1:E4687)*(E2=E$1:E4687))))))</f>
        <v> </v>
      </c>
      <c r="K4688" s="25" t="str">
        <f>IF(OR(E4688="",E4688="!!!",F4688="NEW"),"",INDEX(J$1:J4687,SUMPRODUCT(MAX(ROW(E$1:E4687)*(E4688=E$1:E4687)))))</f>
        <v> </v>
      </c>
      <c r="L4688" s="26"/>
    </row>
    <row r="4689" spans="1:12">
      <c r="A4689" s="20" t="s">
        <v>2072</v>
      </c>
      <c r="E4689" s="21">
        <f>IF(D4689="?OLD","!!!","")</f>
        <v/>
      </c>
      <c r="F4689" s="22" t="str">
        <f>IF(OR(E4689="",E4689="!!!"),"",IF(NOT(ISNA(VLOOKUP(E4689,E$1:E4688,1,FALSE()))),"OLD",IF(AND(E4689&lt;&gt;"",E4689&lt;&gt;"!!!"),"NEW","")))</f>
        <v> </v>
      </c>
      <c r="G4689" s="23" t="str">
        <f>IF(OR(E4689="",E4689="!!!"),"",IF(OR(J4689=0,AND(J4689=1,K4689=1),AND(J4689=1,I4689="SBJ"),AND(J4689=1,I4689=0)),"?IN_FOCUS",IF(J4689&lt;=2,"?ACTIVATED",IF(J4689&lt;&gt;"","?FAMILIAR",IF(F4689="NEW",IF(ISNA(VLOOKUP(E4689,#REF!,1,FALSE())),"?TYPE_IDENTIFIABLE","?REFERENTIAL"),"_")))))</f>
        <v> </v>
      </c>
      <c r="H4689" s="24" t="str">
        <f>IF(J4689&lt;&gt;1,"",IF(I4689="SBJ","CB","?"))</f>
        <v> </v>
      </c>
      <c r="I4689" s="25" t="str">
        <f>IF(OR(E4689="",E4689="!!!",F4689="NEW"),"",INDEX(B4688:B$2,-1+SUMPRODUCT(MAX(ROW(E4688:E$2)*(E4689=E4688:E$2)))))</f>
        <v> </v>
      </c>
      <c r="J4689" s="25" t="str">
        <f>IF(OR(E4689="",E4689="!!!",F4689="NEW"),"",COUNTBLANK(OFFSET(A$1,,,SUMPRODUCT(MAX(ROW(E$2:E4689)*(E4689=E$2:E4689)))))-COUNTBLANK(OFFSET(A$1,,,SUMPRODUCT(MAX(ROW(E$1:E4688)*(E2=E$1:E4688))))))</f>
        <v> </v>
      </c>
      <c r="K4689" s="25" t="str">
        <f>IF(OR(E4689="",E4689="!!!",F4689="NEW"),"",INDEX(J$1:J4688,SUMPRODUCT(MAX(ROW(E$1:E4688)*(E4689=E$1:E4688)))))</f>
        <v> </v>
      </c>
      <c r="L4689" s="26"/>
    </row>
    <row r="4690" spans="1:12">
      <c r="A4690" s="20" t="s">
        <v>912</v>
      </c>
      <c r="B4690" s="27" t="s">
        <v>771</v>
      </c>
      <c r="C4690" s="27" t="s">
        <v>749</v>
      </c>
      <c r="D4690" s="27" t="s">
        <v>740</v>
      </c>
      <c r="E4690" s="21">
        <f>IF(D4690="?OLD","!!!","")</f>
        <v/>
      </c>
      <c r="F4690" s="22" t="str">
        <f>IF(OR(E4690="",E4690="!!!"),"",IF(NOT(ISNA(VLOOKUP(E4690,E$1:E4689,1,FALSE()))),"OLD",IF(AND(E4690&lt;&gt;"",E4690&lt;&gt;"!!!"),"NEW","")))</f>
        <v> </v>
      </c>
      <c r="G4690" s="23" t="str">
        <f>IF(OR(E4690="",E4690="!!!"),"",IF(OR(J4690=0,AND(J4690=1,K4690=1),AND(J4690=1,I4690="SBJ"),AND(J4690=1,I4690=0)),"?IN_FOCUS",IF(J4690&lt;=2,"?ACTIVATED",IF(J4690&lt;&gt;"","?FAMILIAR",IF(F4690="NEW",IF(ISNA(VLOOKUP(E4690,#REF!,1,FALSE())),"?TYPE_IDENTIFIABLE","?REFERENTIAL"),"_")))))</f>
        <v> </v>
      </c>
      <c r="H4690" s="24" t="str">
        <f>IF(J4690&lt;&gt;1,"",IF(I4690="SBJ","CB","?"))</f>
        <v> </v>
      </c>
      <c r="I4690" s="25" t="str">
        <f>IF(OR(E4690="",E4690="!!!",F4690="NEW"),"",INDEX(B4689:B$2,-1+SUMPRODUCT(MAX(ROW(E4689:E$2)*(E4690=E4689:E$2)))))</f>
        <v> </v>
      </c>
      <c r="J4690" s="25" t="str">
        <f>IF(OR(E4690="",E4690="!!!",F4690="NEW"),"",COUNTBLANK(OFFSET(A$1,,,SUMPRODUCT(MAX(ROW(E$2:E4690)*(E4690=E$2:E4690)))))-COUNTBLANK(OFFSET(A$1,,,SUMPRODUCT(MAX(ROW(E$1:E4689)*(E2=E$1:E4689))))))</f>
        <v> </v>
      </c>
      <c r="K4690" s="25" t="str">
        <f>IF(OR(E4690="",E4690="!!!",F4690="NEW"),"",INDEX(J$1:J4689,SUMPRODUCT(MAX(ROW(E$1:E4689)*(E4690=E$1:E4689)))))</f>
        <v> </v>
      </c>
      <c r="L4690" s="26"/>
    </row>
    <row r="4691" spans="1:12">
      <c r="A4691" s="20" t="s">
        <v>919</v>
      </c>
      <c r="E4691" s="21">
        <f>IF(D4691="?OLD","!!!","")</f>
        <v/>
      </c>
      <c r="F4691" s="22" t="str">
        <f>IF(OR(E4691="",E4691="!!!"),"",IF(NOT(ISNA(VLOOKUP(E4691,E$1:E4690,1,FALSE()))),"OLD",IF(AND(E4691&lt;&gt;"",E4691&lt;&gt;"!!!"),"NEW","")))</f>
        <v> </v>
      </c>
      <c r="G4691" s="23" t="str">
        <f>IF(OR(E4691="",E4691="!!!"),"",IF(OR(J4691=0,AND(J4691=1,K4691=1),AND(J4691=1,I4691="SBJ"),AND(J4691=1,I4691=0)),"?IN_FOCUS",IF(J4691&lt;=2,"?ACTIVATED",IF(J4691&lt;&gt;"","?FAMILIAR",IF(F4691="NEW",IF(ISNA(VLOOKUP(E4691,#REF!,1,FALSE())),"?TYPE_IDENTIFIABLE","?REFERENTIAL"),"_")))))</f>
        <v> </v>
      </c>
      <c r="H4691" s="24" t="str">
        <f>IF(J4691&lt;&gt;1,"",IF(I4691="SBJ","CB","?"))</f>
        <v> </v>
      </c>
      <c r="I4691" s="25" t="str">
        <f>IF(OR(E4691="",E4691="!!!",F4691="NEW"),"",INDEX(B4690:B$2,-1+SUMPRODUCT(MAX(ROW(E4690:E$2)*(E4691=E4690:E$2)))))</f>
        <v> </v>
      </c>
      <c r="J4691" s="25" t="str">
        <f>IF(OR(E4691="",E4691="!!!",F4691="NEW"),"",COUNTBLANK(OFFSET(A$1,,,SUMPRODUCT(MAX(ROW(E$2:E4691)*(E4691=E$2:E4691)))))-COUNTBLANK(OFFSET(A$1,,,SUMPRODUCT(MAX(ROW(E$1:E4690)*(E2=E$1:E4690))))))</f>
        <v> </v>
      </c>
      <c r="K4691" s="25" t="str">
        <f>IF(OR(E4691="",E4691="!!!",F4691="NEW"),"",INDEX(J$1:J4690,SUMPRODUCT(MAX(ROW(E$1:E4690)*(E4691=E$1:E4690)))))</f>
        <v> </v>
      </c>
      <c r="L4691" s="26"/>
    </row>
    <row r="4692" spans="1:12">
      <c r="A4692" s="20" t="s">
        <v>753</v>
      </c>
      <c r="E4692" s="21">
        <f>IF(D4692="?OLD","!!!","")</f>
        <v/>
      </c>
      <c r="F4692" s="22" t="str">
        <f>IF(OR(E4692="",E4692="!!!"),"",IF(NOT(ISNA(VLOOKUP(E4692,E$1:E4691,1,FALSE()))),"OLD",IF(AND(E4692&lt;&gt;"",E4692&lt;&gt;"!!!"),"NEW","")))</f>
        <v> </v>
      </c>
      <c r="G4692" s="23" t="str">
        <f>IF(OR(E4692="",E4692="!!!"),"",IF(OR(J4692=0,AND(J4692=1,K4692=1),AND(J4692=1,I4692="SBJ"),AND(J4692=1,I4692=0)),"?IN_FOCUS",IF(J4692&lt;=2,"?ACTIVATED",IF(J4692&lt;&gt;"","?FAMILIAR",IF(F4692="NEW",IF(ISNA(VLOOKUP(E4692,#REF!,1,FALSE())),"?TYPE_IDENTIFIABLE","?REFERENTIAL"),"_")))))</f>
        <v> </v>
      </c>
      <c r="H4692" s="24" t="str">
        <f>IF(J4692&lt;&gt;1,"",IF(I4692="SBJ","CB","?"))</f>
        <v> </v>
      </c>
      <c r="I4692" s="25" t="str">
        <f>IF(OR(E4692="",E4692="!!!",F4692="NEW"),"",INDEX(B4691:B$2,-1+SUMPRODUCT(MAX(ROW(E4691:E$2)*(E4692=E4691:E$2)))))</f>
        <v> </v>
      </c>
      <c r="J4692" s="25" t="str">
        <f>IF(OR(E4692="",E4692="!!!",F4692="NEW"),"",COUNTBLANK(OFFSET(A$1,,,SUMPRODUCT(MAX(ROW(E$2:E4692)*(E4692=E$2:E4692)))))-COUNTBLANK(OFFSET(A$1,,,SUMPRODUCT(MAX(ROW(E$1:E4691)*(E2=E$1:E4691))))))</f>
        <v> </v>
      </c>
      <c r="K4692" s="25" t="str">
        <f>IF(OR(E4692="",E4692="!!!",F4692="NEW"),"",INDEX(J$1:J4691,SUMPRODUCT(MAX(ROW(E$1:E4691)*(E4692=E$1:E4691)))))</f>
        <v> </v>
      </c>
      <c r="L4692" s="26"/>
    </row>
    <row r="4693" spans="1:12">
      <c r="A4693" s="20" t="s">
        <v>830</v>
      </c>
      <c r="E4693" s="21">
        <f>IF(D4693="?OLD","!!!","")</f>
        <v/>
      </c>
      <c r="F4693" s="22" t="str">
        <f>IF(OR(E4693="",E4693="!!!"),"",IF(NOT(ISNA(VLOOKUP(E4693,E$1:E4692,1,FALSE()))),"OLD",IF(AND(E4693&lt;&gt;"",E4693&lt;&gt;"!!!"),"NEW","")))</f>
        <v> </v>
      </c>
      <c r="G4693" s="23" t="str">
        <f>IF(OR(E4693="",E4693="!!!"),"",IF(OR(J4693=0,AND(J4693=1,K4693=1),AND(J4693=1,I4693="SBJ"),AND(J4693=1,I4693=0)),"?IN_FOCUS",IF(J4693&lt;=2,"?ACTIVATED",IF(J4693&lt;&gt;"","?FAMILIAR",IF(F4693="NEW",IF(ISNA(VLOOKUP(E4693,#REF!,1,FALSE())),"?TYPE_IDENTIFIABLE","?REFERENTIAL"),"_")))))</f>
        <v> </v>
      </c>
      <c r="H4693" s="24" t="str">
        <f>IF(J4693&lt;&gt;1,"",IF(I4693="SBJ","CB","?"))</f>
        <v> </v>
      </c>
      <c r="I4693" s="25" t="str">
        <f>IF(OR(E4693="",E4693="!!!",F4693="NEW"),"",INDEX(B4692:B$2,-1+SUMPRODUCT(MAX(ROW(E4692:E$2)*(E4693=E4692:E$2)))))</f>
        <v> </v>
      </c>
      <c r="J4693" s="25" t="str">
        <f>IF(OR(E4693="",E4693="!!!",F4693="NEW"),"",COUNTBLANK(OFFSET(A$1,,,SUMPRODUCT(MAX(ROW(E$2:E4693)*(E4693=E$2:E4693)))))-COUNTBLANK(OFFSET(A$1,,,SUMPRODUCT(MAX(ROW(E$1:E4692)*(E2=E$1:E4692))))))</f>
        <v> </v>
      </c>
      <c r="K4693" s="25" t="str">
        <f>IF(OR(E4693="",E4693="!!!",F4693="NEW"),"",INDEX(J$1:J4692,SUMPRODUCT(MAX(ROW(E$1:E4692)*(E4693=E$1:E4692)))))</f>
        <v> </v>
      </c>
      <c r="L4693" s="26"/>
    </row>
    <row r="4694" spans="1:12">
      <c r="A4694" s="20" t="s">
        <v>832</v>
      </c>
      <c r="B4694" s="27" t="s">
        <v>795</v>
      </c>
      <c r="C4694" s="27" t="s">
        <v>749</v>
      </c>
      <c r="D4694" s="27" t="s">
        <v>740</v>
      </c>
      <c r="E4694" s="21">
        <f>IF(D4694="?OLD","!!!","")</f>
        <v/>
      </c>
      <c r="F4694" s="22" t="str">
        <f>IF(OR(E4694="",E4694="!!!"),"",IF(NOT(ISNA(VLOOKUP(E4694,E$1:E4693,1,FALSE()))),"OLD",IF(AND(E4694&lt;&gt;"",E4694&lt;&gt;"!!!"),"NEW","")))</f>
        <v> </v>
      </c>
      <c r="G4694" s="23" t="str">
        <f>IF(OR(E4694="",E4694="!!!"),"",IF(OR(J4694=0,AND(J4694=1,K4694=1),AND(J4694=1,I4694="SBJ"),AND(J4694=1,I4694=0)),"?IN_FOCUS",IF(J4694&lt;=2,"?ACTIVATED",IF(J4694&lt;&gt;"","?FAMILIAR",IF(F4694="NEW",IF(ISNA(VLOOKUP(E4694,#REF!,1,FALSE())),"?TYPE_IDENTIFIABLE","?REFERENTIAL"),"_")))))</f>
        <v> </v>
      </c>
      <c r="H4694" s="24" t="str">
        <f>IF(J4694&lt;&gt;1,"",IF(I4694="SBJ","CB","?"))</f>
        <v> </v>
      </c>
      <c r="I4694" s="25" t="str">
        <f>IF(OR(E4694="",E4694="!!!",F4694="NEW"),"",INDEX(B4693:B$2,-1+SUMPRODUCT(MAX(ROW(E4693:E$2)*(E4694=E4693:E$2)))))</f>
        <v> </v>
      </c>
      <c r="J4694" s="25" t="str">
        <f>IF(OR(E4694="",E4694="!!!",F4694="NEW"),"",COUNTBLANK(OFFSET(A$1,,,SUMPRODUCT(MAX(ROW(E$2:E4694)*(E4694=E$2:E4694)))))-COUNTBLANK(OFFSET(A$1,,,SUMPRODUCT(MAX(ROW(E$1:E4693)*(E2=E$1:E4693))))))</f>
        <v> </v>
      </c>
      <c r="K4694" s="25" t="str">
        <f>IF(OR(E4694="",E4694="!!!",F4694="NEW"),"",INDEX(J$1:J4693,SUMPRODUCT(MAX(ROW(E$1:E4693)*(E4694=E$1:E4693)))))</f>
        <v> </v>
      </c>
      <c r="L4694" s="26"/>
    </row>
    <row r="4695" spans="1:12">
      <c r="A4695" s="20" t="s">
        <v>817</v>
      </c>
      <c r="B4695" s="27" t="s">
        <v>764</v>
      </c>
      <c r="E4695" s="21">
        <f>IF(D4695="?OLD","!!!","")</f>
        <v/>
      </c>
      <c r="F4695" s="22" t="str">
        <f>IF(OR(E4695="",E4695="!!!"),"",IF(NOT(ISNA(VLOOKUP(E4695,E$1:E4694,1,FALSE()))),"OLD",IF(AND(E4695&lt;&gt;"",E4695&lt;&gt;"!!!"),"NEW","")))</f>
        <v> </v>
      </c>
      <c r="G4695" s="23" t="str">
        <f>IF(OR(E4695="",E4695="!!!"),"",IF(OR(J4695=0,AND(J4695=1,K4695=1),AND(J4695=1,I4695="SBJ"),AND(J4695=1,I4695=0)),"?IN_FOCUS",IF(J4695&lt;=2,"?ACTIVATED",IF(J4695&lt;&gt;"","?FAMILIAR",IF(F4695="NEW",IF(ISNA(VLOOKUP(E4695,#REF!,1,FALSE())),"?TYPE_IDENTIFIABLE","?REFERENTIAL"),"_")))))</f>
        <v> </v>
      </c>
      <c r="H4695" s="24" t="str">
        <f>IF(J4695&lt;&gt;1,"",IF(I4695="SBJ","CB","?"))</f>
        <v> </v>
      </c>
      <c r="I4695" s="25" t="str">
        <f>IF(OR(E4695="",E4695="!!!",F4695="NEW"),"",INDEX(B4694:B$2,-1+SUMPRODUCT(MAX(ROW(E4694:E$2)*(E4695=E4694:E$2)))))</f>
        <v> </v>
      </c>
      <c r="J4695" s="25" t="str">
        <f>IF(OR(E4695="",E4695="!!!",F4695="NEW"),"",COUNTBLANK(OFFSET(A$1,,,SUMPRODUCT(MAX(ROW(E$2:E4695)*(E4695=E$2:E4695)))))-COUNTBLANK(OFFSET(A$1,,,SUMPRODUCT(MAX(ROW(E$1:E4694)*(E2=E$1:E4694))))))</f>
        <v> </v>
      </c>
      <c r="K4695" s="25" t="str">
        <f>IF(OR(E4695="",E4695="!!!",F4695="NEW"),"",INDEX(J$1:J4694,SUMPRODUCT(MAX(ROW(E$1:E4694)*(E4695=E$1:E4694)))))</f>
        <v> </v>
      </c>
      <c r="L4695" s="26"/>
    </row>
    <row r="4696" spans="1:12">
      <c r="A4696" s="20" t="s">
        <v>2073</v>
      </c>
      <c r="E4696" s="21">
        <f>IF(D4696="?OLD","!!!","")</f>
        <v/>
      </c>
      <c r="F4696" s="22" t="str">
        <f>IF(OR(E4696="",E4696="!!!"),"",IF(NOT(ISNA(VLOOKUP(E4696,E$1:E4695,1,FALSE()))),"OLD",IF(AND(E4696&lt;&gt;"",E4696&lt;&gt;"!!!"),"NEW","")))</f>
        <v> </v>
      </c>
      <c r="G4696" s="23" t="str">
        <f>IF(OR(E4696="",E4696="!!!"),"",IF(OR(J4696=0,AND(J4696=1,K4696=1),AND(J4696=1,I4696="SBJ"),AND(J4696=1,I4696=0)),"?IN_FOCUS",IF(J4696&lt;=2,"?ACTIVATED",IF(J4696&lt;&gt;"","?FAMILIAR",IF(F4696="NEW",IF(ISNA(VLOOKUP(E4696,#REF!,1,FALSE())),"?TYPE_IDENTIFIABLE","?REFERENTIAL"),"_")))))</f>
        <v> </v>
      </c>
      <c r="H4696" s="24" t="str">
        <f>IF(J4696&lt;&gt;1,"",IF(I4696="SBJ","CB","?"))</f>
        <v> </v>
      </c>
      <c r="I4696" s="25" t="str">
        <f>IF(OR(E4696="",E4696="!!!",F4696="NEW"),"",INDEX(B4695:B$2,-1+SUMPRODUCT(MAX(ROW(E4695:E$2)*(E4696=E4695:E$2)))))</f>
        <v> </v>
      </c>
      <c r="J4696" s="25" t="str">
        <f>IF(OR(E4696="",E4696="!!!",F4696="NEW"),"",COUNTBLANK(OFFSET(A$1,,,SUMPRODUCT(MAX(ROW(E$2:E4696)*(E4696=E$2:E4696)))))-COUNTBLANK(OFFSET(A$1,,,SUMPRODUCT(MAX(ROW(E$1:E4695)*(E2=E$1:E4695))))))</f>
        <v> </v>
      </c>
      <c r="K4696" s="25" t="str">
        <f>IF(OR(E4696="",E4696="!!!",F4696="NEW"),"",INDEX(J$1:J4695,SUMPRODUCT(MAX(ROW(E$1:E4695)*(E4696=E$1:E4695)))))</f>
        <v> </v>
      </c>
      <c r="L4696" s="26"/>
    </row>
    <row r="4697" spans="1:12">
      <c r="A4697" s="20" t="s">
        <v>746</v>
      </c>
      <c r="E4697" s="21">
        <f>IF(D4697="?OLD","!!!","")</f>
        <v/>
      </c>
      <c r="F4697" s="22" t="str">
        <f>IF(OR(E4697="",E4697="!!!"),"",IF(NOT(ISNA(VLOOKUP(E4697,E$1:E4696,1,FALSE()))),"OLD",IF(AND(E4697&lt;&gt;"",E4697&lt;&gt;"!!!"),"NEW","")))</f>
        <v> </v>
      </c>
      <c r="G4697" s="23" t="str">
        <f>IF(OR(E4697="",E4697="!!!"),"",IF(OR(J4697=0,AND(J4697=1,K4697=1),AND(J4697=1,I4697="SBJ"),AND(J4697=1,I4697=0)),"?IN_FOCUS",IF(J4697&lt;=2,"?ACTIVATED",IF(J4697&lt;&gt;"","?FAMILIAR",IF(F4697="NEW",IF(ISNA(VLOOKUP(E4697,#REF!,1,FALSE())),"?TYPE_IDENTIFIABLE","?REFERENTIAL"),"_")))))</f>
        <v> </v>
      </c>
      <c r="H4697" s="24" t="str">
        <f>IF(J4697&lt;&gt;1,"",IF(I4697="SBJ","CB","?"))</f>
        <v> </v>
      </c>
      <c r="I4697" s="25" t="str">
        <f>IF(OR(E4697="",E4697="!!!",F4697="NEW"),"",INDEX(B4696:B$2,-1+SUMPRODUCT(MAX(ROW(E4696:E$2)*(E4697=E4696:E$2)))))</f>
        <v> </v>
      </c>
      <c r="J4697" s="25" t="str">
        <f>IF(OR(E4697="",E4697="!!!",F4697="NEW"),"",COUNTBLANK(OFFSET(A$1,,,SUMPRODUCT(MAX(ROW(E$2:E4697)*(E4697=E$2:E4697)))))-COUNTBLANK(OFFSET(A$1,,,SUMPRODUCT(MAX(ROW(E$1:E4696)*(E2=E$1:E4696))))))</f>
        <v> </v>
      </c>
      <c r="K4697" s="25" t="str">
        <f>IF(OR(E4697="",E4697="!!!",F4697="NEW"),"",INDEX(J$1:J4696,SUMPRODUCT(MAX(ROW(E$1:E4696)*(E4697=E$1:E4696)))))</f>
        <v> </v>
      </c>
      <c r="L4697" s="26"/>
    </row>
    <row r="4698" spans="1:12">
      <c r="A4698" s="20"/>
    </row>
    <row r="4699" spans="1:12">
      <c r="A4699" s="20" t="s">
        <v>2074</v>
      </c>
    </row>
    <row r="4700" spans="1:12">
      <c r="A4700" s="20" t="s">
        <v>952</v>
      </c>
      <c r="B4700" s="27" t="s">
        <v>728</v>
      </c>
      <c r="C4700" s="27" t="s">
        <v>749</v>
      </c>
      <c r="D4700" s="27" t="s">
        <v>740</v>
      </c>
      <c r="E4700" s="21">
        <f>IF(D4700="?OLD","!!!","")</f>
        <v/>
      </c>
      <c r="F4700" s="22" t="str">
        <f>IF(OR(E4700="",E4700="!!!"),"",IF(NOT(ISNA(VLOOKUP(E4700,E$1:E4699,1,FALSE()))),"OLD",IF(AND(E4700&lt;&gt;"",E4700&lt;&gt;"!!!"),"NEW","")))</f>
        <v> </v>
      </c>
      <c r="G4700" s="23" t="str">
        <f>IF(OR(E4700="",E4700="!!!"),"",IF(OR(J4700=0,AND(J4700=1,K4700=1),AND(J4700=1,I4700="SBJ"),AND(J4700=1,I4700=0)),"?IN_FOCUS",IF(J4700&lt;=2,"?ACTIVATED",IF(J4700&lt;&gt;"","?FAMILIAR",IF(F4700="NEW",IF(ISNA(VLOOKUP(E4700,#REF!,1,FALSE())),"?TYPE_IDENTIFIABLE","?REFERENTIAL"),"_")))))</f>
        <v> </v>
      </c>
      <c r="H4700" s="24" t="str">
        <f>IF(J4700&lt;&gt;1,"",IF(I4700="SBJ","CB","?"))</f>
        <v> </v>
      </c>
      <c r="I4700" s="25" t="str">
        <f>IF(OR(E4700="",E4700="!!!",F4700="NEW"),"",INDEX(B4699:B$2,-1+SUMPRODUCT(MAX(ROW(E4699:E$2)*(E4700=E4699:E$2)))))</f>
        <v> </v>
      </c>
      <c r="J4700" s="25" t="str">
        <f>IF(OR(E4700="",E4700="!!!",F4700="NEW"),"",COUNTBLANK(OFFSET(A$1,,,SUMPRODUCT(MAX(ROW(E$2:E4700)*(E4700=E$2:E4700)))))-COUNTBLANK(OFFSET(A$1,,,SUMPRODUCT(MAX(ROW(E$1:E4699)*(E2=E$1:E4699))))))</f>
        <v> </v>
      </c>
      <c r="K4700" s="25" t="str">
        <f>IF(OR(E4700="",E4700="!!!",F4700="NEW"),"",INDEX(J$1:J4699,SUMPRODUCT(MAX(ROW(E$1:E4699)*(E4700=E$1:E4699)))))</f>
        <v> </v>
      </c>
      <c r="L4700" s="26"/>
    </row>
    <row r="4701" spans="1:12">
      <c r="A4701" s="20" t="s">
        <v>1656</v>
      </c>
      <c r="E4701" s="21">
        <f>IF(D4701="?OLD","!!!","")</f>
        <v/>
      </c>
      <c r="F4701" s="22" t="str">
        <f>IF(OR(E4701="",E4701="!!!"),"",IF(NOT(ISNA(VLOOKUP(E4701,E$1:E4700,1,FALSE()))),"OLD",IF(AND(E4701&lt;&gt;"",E4701&lt;&gt;"!!!"),"NEW","")))</f>
        <v> </v>
      </c>
      <c r="G4701" s="23" t="str">
        <f>IF(OR(E4701="",E4701="!!!"),"",IF(OR(J4701=0,AND(J4701=1,K4701=1),AND(J4701=1,I4701="SBJ"),AND(J4701=1,I4701=0)),"?IN_FOCUS",IF(J4701&lt;=2,"?ACTIVATED",IF(J4701&lt;&gt;"","?FAMILIAR",IF(F4701="NEW",IF(ISNA(VLOOKUP(E4701,#REF!,1,FALSE())),"?TYPE_IDENTIFIABLE","?REFERENTIAL"),"_")))))</f>
        <v> </v>
      </c>
      <c r="H4701" s="24" t="str">
        <f>IF(J4701&lt;&gt;1,"",IF(I4701="SBJ","CB","?"))</f>
        <v> </v>
      </c>
      <c r="I4701" s="25" t="str">
        <f>IF(OR(E4701="",E4701="!!!",F4701="NEW"),"",INDEX(B4700:B$2,-1+SUMPRODUCT(MAX(ROW(E4700:E$2)*(E4701=E4700:E$2)))))</f>
        <v> </v>
      </c>
      <c r="J4701" s="25" t="str">
        <f>IF(OR(E4701="",E4701="!!!",F4701="NEW"),"",COUNTBLANK(OFFSET(A$1,,,SUMPRODUCT(MAX(ROW(E$2:E4701)*(E4701=E$2:E4701)))))-COUNTBLANK(OFFSET(A$1,,,SUMPRODUCT(MAX(ROW(E$1:E4700)*(E2=E$1:E4700))))))</f>
        <v> </v>
      </c>
      <c r="K4701" s="25" t="str">
        <f>IF(OR(E4701="",E4701="!!!",F4701="NEW"),"",INDEX(J$1:J4700,SUMPRODUCT(MAX(ROW(E$1:E4700)*(E4701=E$1:E4700)))))</f>
        <v> </v>
      </c>
      <c r="L4701" s="26"/>
    </row>
    <row r="4702" spans="1:12">
      <c r="A4702" s="20" t="s">
        <v>753</v>
      </c>
      <c r="E4702" s="21">
        <f>IF(D4702="?OLD","!!!","")</f>
        <v/>
      </c>
      <c r="F4702" s="22" t="str">
        <f>IF(OR(E4702="",E4702="!!!"),"",IF(NOT(ISNA(VLOOKUP(E4702,E$1:E4701,1,FALSE()))),"OLD",IF(AND(E4702&lt;&gt;"",E4702&lt;&gt;"!!!"),"NEW","")))</f>
        <v> </v>
      </c>
      <c r="G4702" s="23" t="str">
        <f>IF(OR(E4702="",E4702="!!!"),"",IF(OR(J4702=0,AND(J4702=1,K4702=1),AND(J4702=1,I4702="SBJ"),AND(J4702=1,I4702=0)),"?IN_FOCUS",IF(J4702&lt;=2,"?ACTIVATED",IF(J4702&lt;&gt;"","?FAMILIAR",IF(F4702="NEW",IF(ISNA(VLOOKUP(E4702,#REF!,1,FALSE())),"?TYPE_IDENTIFIABLE","?REFERENTIAL"),"_")))))</f>
        <v> </v>
      </c>
      <c r="H4702" s="24" t="str">
        <f>IF(J4702&lt;&gt;1,"",IF(I4702="SBJ","CB","?"))</f>
        <v> </v>
      </c>
      <c r="I4702" s="25" t="str">
        <f>IF(OR(E4702="",E4702="!!!",F4702="NEW"),"",INDEX(B4701:B$2,-1+SUMPRODUCT(MAX(ROW(E4701:E$2)*(E4702=E4701:E$2)))))</f>
        <v> </v>
      </c>
      <c r="J4702" s="25" t="str">
        <f>IF(OR(E4702="",E4702="!!!",F4702="NEW"),"",COUNTBLANK(OFFSET(A$1,,,SUMPRODUCT(MAX(ROW(E$2:E4702)*(E4702=E$2:E4702)))))-COUNTBLANK(OFFSET(A$1,,,SUMPRODUCT(MAX(ROW(E$1:E4701)*(E2=E$1:E4701))))))</f>
        <v> </v>
      </c>
      <c r="K4702" s="25" t="str">
        <f>IF(OR(E4702="",E4702="!!!",F4702="NEW"),"",INDEX(J$1:J4701,SUMPRODUCT(MAX(ROW(E$1:E4701)*(E4702=E$1:E4701)))))</f>
        <v> </v>
      </c>
      <c r="L4702" s="26"/>
    </row>
    <row r="4703" spans="1:12">
      <c r="A4703" s="20" t="s">
        <v>914</v>
      </c>
      <c r="B4703" s="27" t="s">
        <v>771</v>
      </c>
      <c r="C4703" s="27" t="s">
        <v>734</v>
      </c>
      <c r="E4703" s="21">
        <f>IF(D4703="?OLD","!!!","")</f>
        <v/>
      </c>
      <c r="F4703" s="22" t="str">
        <f>IF(OR(E4703="",E4703="!!!"),"",IF(NOT(ISNA(VLOOKUP(E4703,E$1:E4702,1,FALSE()))),"OLD",IF(AND(E4703&lt;&gt;"",E4703&lt;&gt;"!!!"),"NEW","")))</f>
        <v> </v>
      </c>
      <c r="G4703" s="23" t="str">
        <f>IF(OR(E4703="",E4703="!!!"),"",IF(OR(J4703=0,AND(J4703=1,K4703=1),AND(J4703=1,I4703="SBJ"),AND(J4703=1,I4703=0)),"?IN_FOCUS",IF(J4703&lt;=2,"?ACTIVATED",IF(J4703&lt;&gt;"","?FAMILIAR",IF(F4703="NEW",IF(ISNA(VLOOKUP(E4703,#REF!,1,FALSE())),"?TYPE_IDENTIFIABLE","?REFERENTIAL"),"_")))))</f>
        <v> </v>
      </c>
      <c r="H4703" s="24" t="str">
        <f>IF(J4703&lt;&gt;1,"",IF(I4703="SBJ","CB","?"))</f>
        <v> </v>
      </c>
      <c r="I4703" s="25" t="str">
        <f>IF(OR(E4703="",E4703="!!!",F4703="NEW"),"",INDEX(B4702:B$2,-1+SUMPRODUCT(MAX(ROW(E4702:E$2)*(E4703=E4702:E$2)))))</f>
        <v> </v>
      </c>
      <c r="J4703" s="25" t="str">
        <f>IF(OR(E4703="",E4703="!!!",F4703="NEW"),"",COUNTBLANK(OFFSET(A$1,,,SUMPRODUCT(MAX(ROW(E$2:E4703)*(E4703=E$2:E4703)))))-COUNTBLANK(OFFSET(A$1,,,SUMPRODUCT(MAX(ROW(E$1:E4702)*(E2=E$1:E4702))))))</f>
        <v> </v>
      </c>
      <c r="K4703" s="25" t="str">
        <f>IF(OR(E4703="",E4703="!!!",F4703="NEW"),"",INDEX(J$1:J4702,SUMPRODUCT(MAX(ROW(E$1:E4702)*(E4703=E$1:E4702)))))</f>
        <v> </v>
      </c>
      <c r="L4703" s="26"/>
    </row>
    <row r="4704" spans="1:12">
      <c r="A4704" s="20" t="s">
        <v>1418</v>
      </c>
      <c r="E4704" s="21">
        <f>IF(D4704="?OLD","!!!","")</f>
        <v/>
      </c>
      <c r="F4704" s="22" t="str">
        <f>IF(OR(E4704="",E4704="!!!"),"",IF(NOT(ISNA(VLOOKUP(E4704,E$1:E4703,1,FALSE()))),"OLD",IF(AND(E4704&lt;&gt;"",E4704&lt;&gt;"!!!"),"NEW","")))</f>
        <v> </v>
      </c>
      <c r="G4704" s="23" t="str">
        <f>IF(OR(E4704="",E4704="!!!"),"",IF(OR(J4704=0,AND(J4704=1,K4704=1),AND(J4704=1,I4704="SBJ"),AND(J4704=1,I4704=0)),"?IN_FOCUS",IF(J4704&lt;=2,"?ACTIVATED",IF(J4704&lt;&gt;"","?FAMILIAR",IF(F4704="NEW",IF(ISNA(VLOOKUP(E4704,#REF!,1,FALSE())),"?TYPE_IDENTIFIABLE","?REFERENTIAL"),"_")))))</f>
        <v> </v>
      </c>
      <c r="H4704" s="24" t="str">
        <f>IF(J4704&lt;&gt;1,"",IF(I4704="SBJ","CB","?"))</f>
        <v> </v>
      </c>
      <c r="I4704" s="25" t="str">
        <f>IF(OR(E4704="",E4704="!!!",F4704="NEW"),"",INDEX(B4703:B$2,-1+SUMPRODUCT(MAX(ROW(E4703:E$2)*(E4704=E4703:E$2)))))</f>
        <v> </v>
      </c>
      <c r="J4704" s="25" t="str">
        <f>IF(OR(E4704="",E4704="!!!",F4704="NEW"),"",COUNTBLANK(OFFSET(A$1,,,SUMPRODUCT(MAX(ROW(E$2:E4704)*(E4704=E$2:E4704)))))-COUNTBLANK(OFFSET(A$1,,,SUMPRODUCT(MAX(ROW(E$1:E4703)*(E2=E$1:E4703))))))</f>
        <v> </v>
      </c>
      <c r="K4704" s="25" t="str">
        <f>IF(OR(E4704="",E4704="!!!",F4704="NEW"),"",INDEX(J$1:J4703,SUMPRODUCT(MAX(ROW(E$1:E4703)*(E4704=E$1:E4703)))))</f>
        <v> </v>
      </c>
      <c r="L4704" s="26"/>
    </row>
    <row r="4705" spans="1:12">
      <c r="A4705" s="20" t="s">
        <v>886</v>
      </c>
      <c r="B4705" s="27" t="s">
        <v>779</v>
      </c>
      <c r="C4705" s="27" t="s">
        <v>749</v>
      </c>
      <c r="D4705" s="27" t="s">
        <v>740</v>
      </c>
      <c r="E4705" s="21">
        <f>IF(D4705="?OLD","!!!","")</f>
        <v/>
      </c>
      <c r="F4705" s="22" t="str">
        <f>IF(OR(E4705="",E4705="!!!"),"",IF(NOT(ISNA(VLOOKUP(E4705,E$1:E4704,1,FALSE()))),"OLD",IF(AND(E4705&lt;&gt;"",E4705&lt;&gt;"!!!"),"NEW","")))</f>
        <v> </v>
      </c>
      <c r="G4705" s="23" t="str">
        <f>IF(OR(E4705="",E4705="!!!"),"",IF(OR(J4705=0,AND(J4705=1,K4705=1),AND(J4705=1,I4705="SBJ"),AND(J4705=1,I4705=0)),"?IN_FOCUS",IF(J4705&lt;=2,"?ACTIVATED",IF(J4705&lt;&gt;"","?FAMILIAR",IF(F4705="NEW",IF(ISNA(VLOOKUP(E4705,#REF!,1,FALSE())),"?TYPE_IDENTIFIABLE","?REFERENTIAL"),"_")))))</f>
        <v> </v>
      </c>
      <c r="H4705" s="24" t="str">
        <f>IF(J4705&lt;&gt;1,"",IF(I4705="SBJ","CB","?"))</f>
        <v> </v>
      </c>
      <c r="I4705" s="25" t="str">
        <f>IF(OR(E4705="",E4705="!!!",F4705="NEW"),"",INDEX(B4704:B$2,-1+SUMPRODUCT(MAX(ROW(E4704:E$2)*(E4705=E4704:E$2)))))</f>
        <v> </v>
      </c>
      <c r="J4705" s="25" t="str">
        <f>IF(OR(E4705="",E4705="!!!",F4705="NEW"),"",COUNTBLANK(OFFSET(A$1,,,SUMPRODUCT(MAX(ROW(E$2:E4705)*(E4705=E$2:E4705)))))-COUNTBLANK(OFFSET(A$1,,,SUMPRODUCT(MAX(ROW(E$1:E4704)*(E2=E$1:E4704))))))</f>
        <v> </v>
      </c>
      <c r="K4705" s="25" t="str">
        <f>IF(OR(E4705="",E4705="!!!",F4705="NEW"),"",INDEX(J$1:J4704,SUMPRODUCT(MAX(ROW(E$1:E4704)*(E4705=E$1:E4704)))))</f>
        <v> </v>
      </c>
      <c r="L4705" s="26"/>
    </row>
    <row r="4706" spans="1:12">
      <c r="A4706" s="20" t="s">
        <v>1328</v>
      </c>
      <c r="E4706" s="21">
        <f>IF(D4706="?OLD","!!!","")</f>
        <v/>
      </c>
      <c r="F4706" s="22" t="str">
        <f>IF(OR(E4706="",E4706="!!!"),"",IF(NOT(ISNA(VLOOKUP(E4706,E$1:E4705,1,FALSE()))),"OLD",IF(AND(E4706&lt;&gt;"",E4706&lt;&gt;"!!!"),"NEW","")))</f>
        <v> </v>
      </c>
      <c r="G4706" s="23" t="str">
        <f>IF(OR(E4706="",E4706="!!!"),"",IF(OR(J4706=0,AND(J4706=1,K4706=1),AND(J4706=1,I4706="SBJ"),AND(J4706=1,I4706=0)),"?IN_FOCUS",IF(J4706&lt;=2,"?ACTIVATED",IF(J4706&lt;&gt;"","?FAMILIAR",IF(F4706="NEW",IF(ISNA(VLOOKUP(E4706,#REF!,1,FALSE())),"?TYPE_IDENTIFIABLE","?REFERENTIAL"),"_")))))</f>
        <v> </v>
      </c>
      <c r="H4706" s="24" t="str">
        <f>IF(J4706&lt;&gt;1,"",IF(I4706="SBJ","CB","?"))</f>
        <v> </v>
      </c>
      <c r="I4706" s="25" t="str">
        <f>IF(OR(E4706="",E4706="!!!",F4706="NEW"),"",INDEX(B4705:B$2,-1+SUMPRODUCT(MAX(ROW(E4705:E$2)*(E4706=E4705:E$2)))))</f>
        <v> </v>
      </c>
      <c r="J4706" s="25" t="str">
        <f>IF(OR(E4706="",E4706="!!!",F4706="NEW"),"",COUNTBLANK(OFFSET(A$1,,,SUMPRODUCT(MAX(ROW(E$2:E4706)*(E4706=E$2:E4706)))))-COUNTBLANK(OFFSET(A$1,,,SUMPRODUCT(MAX(ROW(E$1:E4705)*(E2=E$1:E4705))))))</f>
        <v> </v>
      </c>
      <c r="K4706" s="25" t="str">
        <f>IF(OR(E4706="",E4706="!!!",F4706="NEW"),"",INDEX(J$1:J4705,SUMPRODUCT(MAX(ROW(E$1:E4705)*(E4706=E$1:E4705)))))</f>
        <v> </v>
      </c>
      <c r="L4706" s="26"/>
    </row>
    <row r="4707" spans="1:12">
      <c r="A4707" s="20" t="s">
        <v>883</v>
      </c>
      <c r="E4707" s="21">
        <f>IF(D4707="?OLD","!!!","")</f>
        <v/>
      </c>
      <c r="F4707" s="22" t="str">
        <f>IF(OR(E4707="",E4707="!!!"),"",IF(NOT(ISNA(VLOOKUP(E4707,E$1:E4706,1,FALSE()))),"OLD",IF(AND(E4707&lt;&gt;"",E4707&lt;&gt;"!!!"),"NEW","")))</f>
        <v> </v>
      </c>
      <c r="G4707" s="23" t="str">
        <f>IF(OR(E4707="",E4707="!!!"),"",IF(OR(J4707=0,AND(J4707=1,K4707=1),AND(J4707=1,I4707="SBJ"),AND(J4707=1,I4707=0)),"?IN_FOCUS",IF(J4707&lt;=2,"?ACTIVATED",IF(J4707&lt;&gt;"","?FAMILIAR",IF(F4707="NEW",IF(ISNA(VLOOKUP(E4707,#REF!,1,FALSE())),"?TYPE_IDENTIFIABLE","?REFERENTIAL"),"_")))))</f>
        <v> </v>
      </c>
      <c r="H4707" s="24" t="str">
        <f>IF(J4707&lt;&gt;1,"",IF(I4707="SBJ","CB","?"))</f>
        <v> </v>
      </c>
      <c r="I4707" s="25" t="str">
        <f>IF(OR(E4707="",E4707="!!!",F4707="NEW"),"",INDEX(B4706:B$2,-1+SUMPRODUCT(MAX(ROW(E4706:E$2)*(E4707=E4706:E$2)))))</f>
        <v> </v>
      </c>
      <c r="J4707" s="25" t="str">
        <f>IF(OR(E4707="",E4707="!!!",F4707="NEW"),"",COUNTBLANK(OFFSET(A$1,,,SUMPRODUCT(MAX(ROW(E$2:E4707)*(E4707=E$2:E4707)))))-COUNTBLANK(OFFSET(A$1,,,SUMPRODUCT(MAX(ROW(E$1:E4706)*(E2=E$1:E4706))))))</f>
        <v> </v>
      </c>
      <c r="K4707" s="25" t="str">
        <f>IF(OR(E4707="",E4707="!!!",F4707="NEW"),"",INDEX(J$1:J4706,SUMPRODUCT(MAX(ROW(E$1:E4706)*(E4707=E$1:E4706)))))</f>
        <v> </v>
      </c>
      <c r="L4707" s="26"/>
    </row>
    <row r="4708" spans="1:12">
      <c r="A4708" s="20" t="s">
        <v>2075</v>
      </c>
      <c r="B4708" s="27" t="s">
        <v>733</v>
      </c>
      <c r="C4708" s="27" t="s">
        <v>739</v>
      </c>
      <c r="D4708" s="27" t="s">
        <v>740</v>
      </c>
      <c r="E4708" s="21">
        <f>IF(D4708="?OLD","!!!","")</f>
        <v/>
      </c>
      <c r="F4708" s="22" t="str">
        <f>IF(OR(E4708="",E4708="!!!"),"",IF(NOT(ISNA(VLOOKUP(E4708,E$1:E4707,1,FALSE()))),"OLD",IF(AND(E4708&lt;&gt;"",E4708&lt;&gt;"!!!"),"NEW","")))</f>
        <v> </v>
      </c>
      <c r="G4708" s="23" t="str">
        <f>IF(OR(E4708="",E4708="!!!"),"",IF(OR(J4708=0,AND(J4708=1,K4708=1),AND(J4708=1,I4708="SBJ"),AND(J4708=1,I4708=0)),"?IN_FOCUS",IF(J4708&lt;=2,"?ACTIVATED",IF(J4708&lt;&gt;"","?FAMILIAR",IF(F4708="NEW",IF(ISNA(VLOOKUP(E4708,#REF!,1,FALSE())),"?TYPE_IDENTIFIABLE","?REFERENTIAL"),"_")))))</f>
        <v> </v>
      </c>
      <c r="H4708" s="24" t="str">
        <f>IF(J4708&lt;&gt;1,"",IF(I4708="SBJ","CB","?"))</f>
        <v> </v>
      </c>
      <c r="I4708" s="25" t="str">
        <f>IF(OR(E4708="",E4708="!!!",F4708="NEW"),"",INDEX(B4707:B$2,-1+SUMPRODUCT(MAX(ROW(E4707:E$2)*(E4708=E4707:E$2)))))</f>
        <v> </v>
      </c>
      <c r="J4708" s="25" t="str">
        <f>IF(OR(E4708="",E4708="!!!",F4708="NEW"),"",COUNTBLANK(OFFSET(A$1,,,SUMPRODUCT(MAX(ROW(E$2:E4708)*(E4708=E$2:E4708)))))-COUNTBLANK(OFFSET(A$1,,,SUMPRODUCT(MAX(ROW(E$1:E4707)*(E2=E$1:E4707))))))</f>
        <v> </v>
      </c>
      <c r="K4708" s="25" t="str">
        <f>IF(OR(E4708="",E4708="!!!",F4708="NEW"),"",INDEX(J$1:J4707,SUMPRODUCT(MAX(ROW(E$1:E4707)*(E4708=E$1:E4707)))))</f>
        <v> </v>
      </c>
      <c r="L4708" s="26"/>
    </row>
    <row r="4709" spans="1:12">
      <c r="A4709" s="20" t="s">
        <v>2076</v>
      </c>
      <c r="E4709" s="21">
        <f>IF(D4709="?OLD","!!!","")</f>
        <v/>
      </c>
      <c r="F4709" s="22" t="str">
        <f>IF(OR(E4709="",E4709="!!!"),"",IF(NOT(ISNA(VLOOKUP(E4709,E$1:E4708,1,FALSE()))),"OLD",IF(AND(E4709&lt;&gt;"",E4709&lt;&gt;"!!!"),"NEW","")))</f>
        <v> </v>
      </c>
      <c r="G4709" s="23" t="str">
        <f>IF(OR(E4709="",E4709="!!!"),"",IF(OR(J4709=0,AND(J4709=1,K4709=1),AND(J4709=1,I4709="SBJ"),AND(J4709=1,I4709=0)),"?IN_FOCUS",IF(J4709&lt;=2,"?ACTIVATED",IF(J4709&lt;&gt;"","?FAMILIAR",IF(F4709="NEW",IF(ISNA(VLOOKUP(E4709,#REF!,1,FALSE())),"?TYPE_IDENTIFIABLE","?REFERENTIAL"),"_")))))</f>
        <v> </v>
      </c>
      <c r="H4709" s="24" t="str">
        <f>IF(J4709&lt;&gt;1,"",IF(I4709="SBJ","CB","?"))</f>
        <v> </v>
      </c>
      <c r="I4709" s="25" t="str">
        <f>IF(OR(E4709="",E4709="!!!",F4709="NEW"),"",INDEX(B4708:B$2,-1+SUMPRODUCT(MAX(ROW(E4708:E$2)*(E4709=E4708:E$2)))))</f>
        <v> </v>
      </c>
      <c r="J4709" s="25" t="str">
        <f>IF(OR(E4709="",E4709="!!!",F4709="NEW"),"",COUNTBLANK(OFFSET(A$1,,,SUMPRODUCT(MAX(ROW(E$2:E4709)*(E4709=E$2:E4709)))))-COUNTBLANK(OFFSET(A$1,,,SUMPRODUCT(MAX(ROW(E$1:E4708)*(E2=E$1:E4708))))))</f>
        <v> </v>
      </c>
      <c r="K4709" s="25" t="str">
        <f>IF(OR(E4709="",E4709="!!!",F4709="NEW"),"",INDEX(J$1:J4708,SUMPRODUCT(MAX(ROW(E$1:E4708)*(E4709=E$1:E4708)))))</f>
        <v> </v>
      </c>
      <c r="L4709" s="26"/>
    </row>
    <row r="4710" spans="1:12">
      <c r="A4710" s="20" t="s">
        <v>753</v>
      </c>
      <c r="E4710" s="21">
        <f>IF(D4710="?OLD","!!!","")</f>
        <v/>
      </c>
      <c r="F4710" s="22" t="str">
        <f>IF(OR(E4710="",E4710="!!!"),"",IF(NOT(ISNA(VLOOKUP(E4710,E$1:E4709,1,FALSE()))),"OLD",IF(AND(E4710&lt;&gt;"",E4710&lt;&gt;"!!!"),"NEW","")))</f>
        <v> </v>
      </c>
      <c r="G4710" s="23" t="str">
        <f>IF(OR(E4710="",E4710="!!!"),"",IF(OR(J4710=0,AND(J4710=1,K4710=1),AND(J4710=1,I4710="SBJ"),AND(J4710=1,I4710=0)),"?IN_FOCUS",IF(J4710&lt;=2,"?ACTIVATED",IF(J4710&lt;&gt;"","?FAMILIAR",IF(F4710="NEW",IF(ISNA(VLOOKUP(E4710,#REF!,1,FALSE())),"?TYPE_IDENTIFIABLE","?REFERENTIAL"),"_")))))</f>
        <v> </v>
      </c>
      <c r="H4710" s="24" t="str">
        <f>IF(J4710&lt;&gt;1,"",IF(I4710="SBJ","CB","?"))</f>
        <v> </v>
      </c>
      <c r="I4710" s="25" t="str">
        <f>IF(OR(E4710="",E4710="!!!",F4710="NEW"),"",INDEX(B4709:B$2,-1+SUMPRODUCT(MAX(ROW(E4709:E$2)*(E4710=E4709:E$2)))))</f>
        <v> </v>
      </c>
      <c r="J4710" s="25" t="str">
        <f>IF(OR(E4710="",E4710="!!!",F4710="NEW"),"",COUNTBLANK(OFFSET(A$1,,,SUMPRODUCT(MAX(ROW(E$2:E4710)*(E4710=E$2:E4710)))))-COUNTBLANK(OFFSET(A$1,,,SUMPRODUCT(MAX(ROW(E$1:E4709)*(E2=E$1:E4709))))))</f>
        <v> </v>
      </c>
      <c r="K4710" s="25" t="str">
        <f>IF(OR(E4710="",E4710="!!!",F4710="NEW"),"",INDEX(J$1:J4709,SUMPRODUCT(MAX(ROW(E$1:E4709)*(E4710=E$1:E4709)))))</f>
        <v> </v>
      </c>
      <c r="L4710" s="26"/>
    </row>
    <row r="4711" spans="1:12">
      <c r="A4711" s="20" t="s">
        <v>2077</v>
      </c>
      <c r="E4711" s="21">
        <f>IF(D4711="?OLD","!!!","")</f>
        <v/>
      </c>
      <c r="F4711" s="22" t="str">
        <f>IF(OR(E4711="",E4711="!!!"),"",IF(NOT(ISNA(VLOOKUP(E4711,E$1:E4710,1,FALSE()))),"OLD",IF(AND(E4711&lt;&gt;"",E4711&lt;&gt;"!!!"),"NEW","")))</f>
        <v> </v>
      </c>
      <c r="G4711" s="23" t="str">
        <f>IF(OR(E4711="",E4711="!!!"),"",IF(OR(J4711=0,AND(J4711=1,K4711=1),AND(J4711=1,I4711="SBJ"),AND(J4711=1,I4711=0)),"?IN_FOCUS",IF(J4711&lt;=2,"?ACTIVATED",IF(J4711&lt;&gt;"","?FAMILIAR",IF(F4711="NEW",IF(ISNA(VLOOKUP(E4711,#REF!,1,FALSE())),"?TYPE_IDENTIFIABLE","?REFERENTIAL"),"_")))))</f>
        <v> </v>
      </c>
      <c r="H4711" s="24" t="str">
        <f>IF(J4711&lt;&gt;1,"",IF(I4711="SBJ","CB","?"))</f>
        <v> </v>
      </c>
      <c r="I4711" s="25" t="str">
        <f>IF(OR(E4711="",E4711="!!!",F4711="NEW"),"",INDEX(B4710:B$2,-1+SUMPRODUCT(MAX(ROW(E4710:E$2)*(E4711=E4710:E$2)))))</f>
        <v> </v>
      </c>
      <c r="J4711" s="25" t="str">
        <f>IF(OR(E4711="",E4711="!!!",F4711="NEW"),"",COUNTBLANK(OFFSET(A$1,,,SUMPRODUCT(MAX(ROW(E$2:E4711)*(E4711=E$2:E4711)))))-COUNTBLANK(OFFSET(A$1,,,SUMPRODUCT(MAX(ROW(E$1:E4710)*(E2=E$1:E4710))))))</f>
        <v> </v>
      </c>
      <c r="K4711" s="25" t="str">
        <f>IF(OR(E4711="",E4711="!!!",F4711="NEW"),"",INDEX(J$1:J4710,SUMPRODUCT(MAX(ROW(E$1:E4710)*(E4711=E$1:E4710)))))</f>
        <v> </v>
      </c>
      <c r="L4711" s="26"/>
    </row>
    <row r="4712" spans="1:12">
      <c r="A4712" s="20" t="s">
        <v>807</v>
      </c>
      <c r="B4712" s="27" t="s">
        <v>795</v>
      </c>
      <c r="C4712" s="27" t="s">
        <v>749</v>
      </c>
      <c r="D4712" s="27" t="s">
        <v>740</v>
      </c>
      <c r="E4712" s="21">
        <f>IF(D4712="?OLD","!!!","")</f>
        <v/>
      </c>
      <c r="F4712" s="22" t="str">
        <f>IF(OR(E4712="",E4712="!!!"),"",IF(NOT(ISNA(VLOOKUP(E4712,E$1:E4711,1,FALSE()))),"OLD",IF(AND(E4712&lt;&gt;"",E4712&lt;&gt;"!!!"),"NEW","")))</f>
        <v> </v>
      </c>
      <c r="G4712" s="23" t="str">
        <f>IF(OR(E4712="",E4712="!!!"),"",IF(OR(J4712=0,AND(J4712=1,K4712=1),AND(J4712=1,I4712="SBJ"),AND(J4712=1,I4712=0)),"?IN_FOCUS",IF(J4712&lt;=2,"?ACTIVATED",IF(J4712&lt;&gt;"","?FAMILIAR",IF(F4712="NEW",IF(ISNA(VLOOKUP(E4712,#REF!,1,FALSE())),"?TYPE_IDENTIFIABLE","?REFERENTIAL"),"_")))))</f>
        <v> </v>
      </c>
      <c r="H4712" s="24" t="str">
        <f>IF(J4712&lt;&gt;1,"",IF(I4712="SBJ","CB","?"))</f>
        <v> </v>
      </c>
      <c r="I4712" s="25" t="str">
        <f>IF(OR(E4712="",E4712="!!!",F4712="NEW"),"",INDEX(B4711:B$2,-1+SUMPRODUCT(MAX(ROW(E4711:E$2)*(E4712=E4711:E$2)))))</f>
        <v> </v>
      </c>
      <c r="J4712" s="25" t="str">
        <f>IF(OR(E4712="",E4712="!!!",F4712="NEW"),"",COUNTBLANK(OFFSET(A$1,,,SUMPRODUCT(MAX(ROW(E$2:E4712)*(E4712=E$2:E4712)))))-COUNTBLANK(OFFSET(A$1,,,SUMPRODUCT(MAX(ROW(E$1:E4711)*(E2=E$1:E4711))))))</f>
        <v> </v>
      </c>
      <c r="K4712" s="25" t="str">
        <f>IF(OR(E4712="",E4712="!!!",F4712="NEW"),"",INDEX(J$1:J4711,SUMPRODUCT(MAX(ROW(E$1:E4711)*(E4712=E$1:E4711)))))</f>
        <v> </v>
      </c>
      <c r="L4712" s="26"/>
    </row>
    <row r="4713" spans="1:12">
      <c r="A4713" s="20" t="s">
        <v>2078</v>
      </c>
      <c r="B4713" s="27" t="s">
        <v>764</v>
      </c>
      <c r="C4713" s="27" t="s">
        <v>734</v>
      </c>
      <c r="E4713" s="21">
        <f>IF(D4713="?OLD","!!!","")</f>
        <v/>
      </c>
      <c r="F4713" s="22" t="str">
        <f>IF(OR(E4713="",E4713="!!!"),"",IF(NOT(ISNA(VLOOKUP(E4713,E$1:E4712,1,FALSE()))),"OLD",IF(AND(E4713&lt;&gt;"",E4713&lt;&gt;"!!!"),"NEW","")))</f>
        <v> </v>
      </c>
      <c r="G4713" s="23" t="str">
        <f>IF(OR(E4713="",E4713="!!!"),"",IF(OR(J4713=0,AND(J4713=1,K4713=1),AND(J4713=1,I4713="SBJ"),AND(J4713=1,I4713=0)),"?IN_FOCUS",IF(J4713&lt;=2,"?ACTIVATED",IF(J4713&lt;&gt;"","?FAMILIAR",IF(F4713="NEW",IF(ISNA(VLOOKUP(E4713,#REF!,1,FALSE())),"?TYPE_IDENTIFIABLE","?REFERENTIAL"),"_")))))</f>
        <v> </v>
      </c>
      <c r="H4713" s="24" t="str">
        <f>IF(J4713&lt;&gt;1,"",IF(I4713="SBJ","CB","?"))</f>
        <v> </v>
      </c>
      <c r="I4713" s="25" t="str">
        <f>IF(OR(E4713="",E4713="!!!",F4713="NEW"),"",INDEX(B4712:B$2,-1+SUMPRODUCT(MAX(ROW(E4712:E$2)*(E4713=E4712:E$2)))))</f>
        <v> </v>
      </c>
      <c r="J4713" s="25" t="str">
        <f>IF(OR(E4713="",E4713="!!!",F4713="NEW"),"",COUNTBLANK(OFFSET(A$1,,,SUMPRODUCT(MAX(ROW(E$2:E4713)*(E4713=E$2:E4713)))))-COUNTBLANK(OFFSET(A$1,,,SUMPRODUCT(MAX(ROW(E$1:E4712)*(E2=E$1:E4712))))))</f>
        <v> </v>
      </c>
      <c r="K4713" s="25" t="str">
        <f>IF(OR(E4713="",E4713="!!!",F4713="NEW"),"",INDEX(J$1:J4712,SUMPRODUCT(MAX(ROW(E$1:E4712)*(E4713=E$1:E4712)))))</f>
        <v> </v>
      </c>
      <c r="L4713" s="26"/>
    </row>
    <row r="4714" spans="1:12">
      <c r="A4714" s="20" t="s">
        <v>845</v>
      </c>
      <c r="E4714" s="21">
        <f>IF(D4714="?OLD","!!!","")</f>
        <v/>
      </c>
      <c r="F4714" s="22" t="str">
        <f>IF(OR(E4714="",E4714="!!!"),"",IF(NOT(ISNA(VLOOKUP(E4714,E$1:E4713,1,FALSE()))),"OLD",IF(AND(E4714&lt;&gt;"",E4714&lt;&gt;"!!!"),"NEW","")))</f>
        <v> </v>
      </c>
      <c r="G4714" s="23" t="str">
        <f>IF(OR(E4714="",E4714="!!!"),"",IF(OR(J4714=0,AND(J4714=1,K4714=1),AND(J4714=1,I4714="SBJ"),AND(J4714=1,I4714=0)),"?IN_FOCUS",IF(J4714&lt;=2,"?ACTIVATED",IF(J4714&lt;&gt;"","?FAMILIAR",IF(F4714="NEW",IF(ISNA(VLOOKUP(E4714,#REF!,1,FALSE())),"?TYPE_IDENTIFIABLE","?REFERENTIAL"),"_")))))</f>
        <v> </v>
      </c>
      <c r="H4714" s="24" t="str">
        <f>IF(J4714&lt;&gt;1,"",IF(I4714="SBJ","CB","?"))</f>
        <v> </v>
      </c>
      <c r="I4714" s="25" t="str">
        <f>IF(OR(E4714="",E4714="!!!",F4714="NEW"),"",INDEX(B4713:B$2,-1+SUMPRODUCT(MAX(ROW(E4713:E$2)*(E4714=E4713:E$2)))))</f>
        <v> </v>
      </c>
      <c r="J4714" s="25" t="str">
        <f>IF(OR(E4714="",E4714="!!!",F4714="NEW"),"",COUNTBLANK(OFFSET(A$1,,,SUMPRODUCT(MAX(ROW(E$2:E4714)*(E4714=E$2:E4714)))))-COUNTBLANK(OFFSET(A$1,,,SUMPRODUCT(MAX(ROW(E$1:E4713)*(E2=E$1:E4713))))))</f>
        <v> </v>
      </c>
      <c r="K4714" s="25" t="str">
        <f>IF(OR(E4714="",E4714="!!!",F4714="NEW"),"",INDEX(J$1:J4713,SUMPRODUCT(MAX(ROW(E$1:E4713)*(E4714=E$1:E4713)))))</f>
        <v> </v>
      </c>
      <c r="L4714" s="26"/>
    </row>
    <row r="4715" spans="1:12">
      <c r="A4715" s="20" t="s">
        <v>1565</v>
      </c>
      <c r="B4715" s="27" t="s">
        <v>777</v>
      </c>
      <c r="C4715" s="27" t="s">
        <v>734</v>
      </c>
      <c r="E4715" s="21">
        <f>IF(D4715="?OLD","!!!","")</f>
        <v/>
      </c>
      <c r="F4715" s="22" t="str">
        <f>IF(OR(E4715="",E4715="!!!"),"",IF(NOT(ISNA(VLOOKUP(E4715,E$1:E4714,1,FALSE()))),"OLD",IF(AND(E4715&lt;&gt;"",E4715&lt;&gt;"!!!"),"NEW","")))</f>
        <v> </v>
      </c>
      <c r="G4715" s="23" t="str">
        <f>IF(OR(E4715="",E4715="!!!"),"",IF(OR(J4715=0,AND(J4715=1,K4715=1),AND(J4715=1,I4715="SBJ"),AND(J4715=1,I4715=0)),"?IN_FOCUS",IF(J4715&lt;=2,"?ACTIVATED",IF(J4715&lt;&gt;"","?FAMILIAR",IF(F4715="NEW",IF(ISNA(VLOOKUP(E4715,#REF!,1,FALSE())),"?TYPE_IDENTIFIABLE","?REFERENTIAL"),"_")))))</f>
        <v> </v>
      </c>
      <c r="H4715" s="24" t="str">
        <f>IF(J4715&lt;&gt;1,"",IF(I4715="SBJ","CB","?"))</f>
        <v> </v>
      </c>
      <c r="I4715" s="25" t="str">
        <f>IF(OR(E4715="",E4715="!!!",F4715="NEW"),"",INDEX(B4714:B$2,-1+SUMPRODUCT(MAX(ROW(E4714:E$2)*(E4715=E4714:E$2)))))</f>
        <v> </v>
      </c>
      <c r="J4715" s="25" t="str">
        <f>IF(OR(E4715="",E4715="!!!",F4715="NEW"),"",COUNTBLANK(OFFSET(A$1,,,SUMPRODUCT(MAX(ROW(E$2:E4715)*(E4715=E$2:E4715)))))-COUNTBLANK(OFFSET(A$1,,,SUMPRODUCT(MAX(ROW(E$1:E4714)*(E2=E$1:E4714))))))</f>
        <v> </v>
      </c>
      <c r="K4715" s="25" t="str">
        <f>IF(OR(E4715="",E4715="!!!",F4715="NEW"),"",INDEX(J$1:J4714,SUMPRODUCT(MAX(ROW(E$1:E4714)*(E4715=E$1:E4714)))))</f>
        <v> </v>
      </c>
      <c r="L4715" s="26"/>
    </row>
    <row r="4716" spans="1:12">
      <c r="A4716" s="20" t="s">
        <v>991</v>
      </c>
      <c r="E4716" s="21">
        <f>IF(D4716="?OLD","!!!","")</f>
        <v/>
      </c>
      <c r="F4716" s="22" t="str">
        <f>IF(OR(E4716="",E4716="!!!"),"",IF(NOT(ISNA(VLOOKUP(E4716,E$1:E4715,1,FALSE()))),"OLD",IF(AND(E4716&lt;&gt;"",E4716&lt;&gt;"!!!"),"NEW","")))</f>
        <v> </v>
      </c>
      <c r="G4716" s="23" t="str">
        <f>IF(OR(E4716="",E4716="!!!"),"",IF(OR(J4716=0,AND(J4716=1,K4716=1),AND(J4716=1,I4716="SBJ"),AND(J4716=1,I4716=0)),"?IN_FOCUS",IF(J4716&lt;=2,"?ACTIVATED",IF(J4716&lt;&gt;"","?FAMILIAR",IF(F4716="NEW",IF(ISNA(VLOOKUP(E4716,#REF!,1,FALSE())),"?TYPE_IDENTIFIABLE","?REFERENTIAL"),"_")))))</f>
        <v> </v>
      </c>
      <c r="H4716" s="24" t="str">
        <f>IF(J4716&lt;&gt;1,"",IF(I4716="SBJ","CB","?"))</f>
        <v> </v>
      </c>
      <c r="I4716" s="25" t="str">
        <f>IF(OR(E4716="",E4716="!!!",F4716="NEW"),"",INDEX(B4715:B$2,-1+SUMPRODUCT(MAX(ROW(E4715:E$2)*(E4716=E4715:E$2)))))</f>
        <v> </v>
      </c>
      <c r="J4716" s="25" t="str">
        <f>IF(OR(E4716="",E4716="!!!",F4716="NEW"),"",COUNTBLANK(OFFSET(A$1,,,SUMPRODUCT(MAX(ROW(E$2:E4716)*(E4716=E$2:E4716)))))-COUNTBLANK(OFFSET(A$1,,,SUMPRODUCT(MAX(ROW(E$1:E4715)*(E2=E$1:E4715))))))</f>
        <v> </v>
      </c>
      <c r="K4716" s="25" t="str">
        <f>IF(OR(E4716="",E4716="!!!",F4716="NEW"),"",INDEX(J$1:J4715,SUMPRODUCT(MAX(ROW(E$1:E4715)*(E4716=E$1:E4715)))))</f>
        <v> </v>
      </c>
      <c r="L4716" s="26"/>
    </row>
    <row r="4717" spans="1:12">
      <c r="A4717" s="20" t="s">
        <v>2079</v>
      </c>
      <c r="B4717" s="27" t="s">
        <v>777</v>
      </c>
      <c r="C4717" s="27" t="s">
        <v>734</v>
      </c>
      <c r="E4717" s="21">
        <f>IF(D4717="?OLD","!!!","")</f>
        <v/>
      </c>
      <c r="F4717" s="22" t="str">
        <f>IF(OR(E4717="",E4717="!!!"),"",IF(NOT(ISNA(VLOOKUP(E4717,E$1:E4716,1,FALSE()))),"OLD",IF(AND(E4717&lt;&gt;"",E4717&lt;&gt;"!!!"),"NEW","")))</f>
        <v> </v>
      </c>
      <c r="G4717" s="23" t="str">
        <f>IF(OR(E4717="",E4717="!!!"),"",IF(OR(J4717=0,AND(J4717=1,K4717=1),AND(J4717=1,I4717="SBJ"),AND(J4717=1,I4717=0)),"?IN_FOCUS",IF(J4717&lt;=2,"?ACTIVATED",IF(J4717&lt;&gt;"","?FAMILIAR",IF(F4717="NEW",IF(ISNA(VLOOKUP(E4717,#REF!,1,FALSE())),"?TYPE_IDENTIFIABLE","?REFERENTIAL"),"_")))))</f>
        <v> </v>
      </c>
      <c r="H4717" s="24" t="str">
        <f>IF(J4717&lt;&gt;1,"",IF(I4717="SBJ","CB","?"))</f>
        <v> </v>
      </c>
      <c r="I4717" s="25" t="str">
        <f>IF(OR(E4717="",E4717="!!!",F4717="NEW"),"",INDEX(B4716:B$2,-1+SUMPRODUCT(MAX(ROW(E4716:E$2)*(E4717=E4716:E$2)))))</f>
        <v> </v>
      </c>
      <c r="J4717" s="25" t="str">
        <f>IF(OR(E4717="",E4717="!!!",F4717="NEW"),"",COUNTBLANK(OFFSET(A$1,,,SUMPRODUCT(MAX(ROW(E$2:E4717)*(E4717=E$2:E4717)))))-COUNTBLANK(OFFSET(A$1,,,SUMPRODUCT(MAX(ROW(E$1:E4716)*(E2=E$1:E4716))))))</f>
        <v> </v>
      </c>
      <c r="K4717" s="25" t="str">
        <f>IF(OR(E4717="",E4717="!!!",F4717="NEW"),"",INDEX(J$1:J4716,SUMPRODUCT(MAX(ROW(E$1:E4716)*(E4717=E$1:E4716)))))</f>
        <v> </v>
      </c>
      <c r="L4717" s="26"/>
    </row>
    <row r="4718" spans="1:12">
      <c r="A4718" s="20" t="s">
        <v>2080</v>
      </c>
      <c r="E4718" s="21">
        <f>IF(D4718="?OLD","!!!","")</f>
        <v/>
      </c>
      <c r="F4718" s="22" t="str">
        <f>IF(OR(E4718="",E4718="!!!"),"",IF(NOT(ISNA(VLOOKUP(E4718,E$1:E4717,1,FALSE()))),"OLD",IF(AND(E4718&lt;&gt;"",E4718&lt;&gt;"!!!"),"NEW","")))</f>
        <v> </v>
      </c>
      <c r="G4718" s="23" t="str">
        <f>IF(OR(E4718="",E4718="!!!"),"",IF(OR(J4718=0,AND(J4718=1,K4718=1),AND(J4718=1,I4718="SBJ"),AND(J4718=1,I4718=0)),"?IN_FOCUS",IF(J4718&lt;=2,"?ACTIVATED",IF(J4718&lt;&gt;"","?FAMILIAR",IF(F4718="NEW",IF(ISNA(VLOOKUP(E4718,#REF!,1,FALSE())),"?TYPE_IDENTIFIABLE","?REFERENTIAL"),"_")))))</f>
        <v> </v>
      </c>
      <c r="H4718" s="24" t="str">
        <f>IF(J4718&lt;&gt;1,"",IF(I4718="SBJ","CB","?"))</f>
        <v> </v>
      </c>
      <c r="I4718" s="25" t="str">
        <f>IF(OR(E4718="",E4718="!!!",F4718="NEW"),"",INDEX(B4717:B$2,-1+SUMPRODUCT(MAX(ROW(E4717:E$2)*(E4718=E4717:E$2)))))</f>
        <v> </v>
      </c>
      <c r="J4718" s="25" t="str">
        <f>IF(OR(E4718="",E4718="!!!",F4718="NEW"),"",COUNTBLANK(OFFSET(A$1,,,SUMPRODUCT(MAX(ROW(E$2:E4718)*(E4718=E$2:E4718)))))-COUNTBLANK(OFFSET(A$1,,,SUMPRODUCT(MAX(ROW(E$1:E4717)*(E2=E$1:E4717))))))</f>
        <v> </v>
      </c>
      <c r="K4718" s="25" t="str">
        <f>IF(OR(E4718="",E4718="!!!",F4718="NEW"),"",INDEX(J$1:J4717,SUMPRODUCT(MAX(ROW(E$1:E4717)*(E4718=E$1:E4717)))))</f>
        <v> </v>
      </c>
      <c r="L4718" s="26"/>
    </row>
    <row r="4719" spans="1:12">
      <c r="A4719" s="20" t="s">
        <v>746</v>
      </c>
      <c r="E4719" s="21">
        <f>IF(D4719="?OLD","!!!","")</f>
        <v/>
      </c>
      <c r="F4719" s="22" t="str">
        <f>IF(OR(E4719="",E4719="!!!"),"",IF(NOT(ISNA(VLOOKUP(E4719,E$1:E4718,1,FALSE()))),"OLD",IF(AND(E4719&lt;&gt;"",E4719&lt;&gt;"!!!"),"NEW","")))</f>
        <v> </v>
      </c>
      <c r="G4719" s="23" t="str">
        <f>IF(OR(E4719="",E4719="!!!"),"",IF(OR(J4719=0,AND(J4719=1,K4719=1),AND(J4719=1,I4719="SBJ"),AND(J4719=1,I4719=0)),"?IN_FOCUS",IF(J4719&lt;=2,"?ACTIVATED",IF(J4719&lt;&gt;"","?FAMILIAR",IF(F4719="NEW",IF(ISNA(VLOOKUP(E4719,#REF!,1,FALSE())),"?TYPE_IDENTIFIABLE","?REFERENTIAL"),"_")))))</f>
        <v> </v>
      </c>
      <c r="H4719" s="24" t="str">
        <f>IF(J4719&lt;&gt;1,"",IF(I4719="SBJ","CB","?"))</f>
        <v> </v>
      </c>
      <c r="I4719" s="25" t="str">
        <f>IF(OR(E4719="",E4719="!!!",F4719="NEW"),"",INDEX(B4718:B$2,-1+SUMPRODUCT(MAX(ROW(E4718:E$2)*(E4719=E4718:E$2)))))</f>
        <v> </v>
      </c>
      <c r="J4719" s="25" t="str">
        <f>IF(OR(E4719="",E4719="!!!",F4719="NEW"),"",COUNTBLANK(OFFSET(A$1,,,SUMPRODUCT(MAX(ROW(E$2:E4719)*(E4719=E$2:E4719)))))-COUNTBLANK(OFFSET(A$1,,,SUMPRODUCT(MAX(ROW(E$1:E4718)*(E2=E$1:E4718))))))</f>
        <v> </v>
      </c>
      <c r="K4719" s="25" t="str">
        <f>IF(OR(E4719="",E4719="!!!",F4719="NEW"),"",INDEX(J$1:J4718,SUMPRODUCT(MAX(ROW(E$1:E4718)*(E4719=E$1:E4718)))))</f>
        <v> </v>
      </c>
      <c r="L4719" s="26"/>
    </row>
    <row r="4720" spans="1:12">
      <c r="A4720" s="20"/>
    </row>
    <row r="4721" spans="1:12">
      <c r="A4721" s="20" t="s">
        <v>2081</v>
      </c>
    </row>
    <row r="4722" spans="1:12">
      <c r="A4722" s="20" t="s">
        <v>880</v>
      </c>
      <c r="E4722" s="21">
        <f>IF(D4722="?OLD","!!!","")</f>
        <v/>
      </c>
      <c r="F4722" s="22" t="str">
        <f>IF(OR(E4722="",E4722="!!!"),"",IF(NOT(ISNA(VLOOKUP(E4722,E$1:E4721,1,FALSE()))),"OLD",IF(AND(E4722&lt;&gt;"",E4722&lt;&gt;"!!!"),"NEW","")))</f>
        <v> </v>
      </c>
      <c r="G4722" s="23" t="str">
        <f>IF(OR(E4722="",E4722="!!!"),"",IF(OR(J4722=0,AND(J4722=1,K4722=1),AND(J4722=1,I4722="SBJ"),AND(J4722=1,I4722=0)),"?IN_FOCUS",IF(J4722&lt;=2,"?ACTIVATED",IF(J4722&lt;&gt;"","?FAMILIAR",IF(F4722="NEW",IF(ISNA(VLOOKUP(E4722,#REF!,1,FALSE())),"?TYPE_IDENTIFIABLE","?REFERENTIAL"),"_")))))</f>
        <v> </v>
      </c>
      <c r="H4722" s="24" t="str">
        <f>IF(J4722&lt;&gt;1,"",IF(I4722="SBJ","CB","?"))</f>
        <v> </v>
      </c>
      <c r="I4722" s="25" t="str">
        <f>IF(OR(E4722="",E4722="!!!",F4722="NEW"),"",INDEX(B4721:B$2,-1+SUMPRODUCT(MAX(ROW(E4721:E$2)*(E4722=E4721:E$2)))))</f>
        <v> </v>
      </c>
      <c r="J4722" s="25" t="str">
        <f>IF(OR(E4722="",E4722="!!!",F4722="NEW"),"",COUNTBLANK(OFFSET(A$1,,,SUMPRODUCT(MAX(ROW(E$2:E4722)*(E4722=E$2:E4722)))))-COUNTBLANK(OFFSET(A$1,,,SUMPRODUCT(MAX(ROW(E$1:E4721)*(E2=E$1:E4721))))))</f>
        <v> </v>
      </c>
      <c r="K4722" s="25" t="str">
        <f>IF(OR(E4722="",E4722="!!!",F4722="NEW"),"",INDEX(J$1:J4721,SUMPRODUCT(MAX(ROW(E$1:E4721)*(E4722=E$1:E4721)))))</f>
        <v> </v>
      </c>
      <c r="L4722" s="26"/>
    </row>
    <row r="4723" spans="1:12">
      <c r="A4723" s="20" t="s">
        <v>807</v>
      </c>
      <c r="B4723" s="27" t="s">
        <v>771</v>
      </c>
      <c r="C4723" s="27" t="s">
        <v>749</v>
      </c>
      <c r="D4723" s="27" t="s">
        <v>740</v>
      </c>
      <c r="E4723" s="21">
        <f>IF(D4723="?OLD","!!!","")</f>
        <v/>
      </c>
      <c r="F4723" s="22" t="str">
        <f>IF(OR(E4723="",E4723="!!!"),"",IF(NOT(ISNA(VLOOKUP(E4723,E$1:E4722,1,FALSE()))),"OLD",IF(AND(E4723&lt;&gt;"",E4723&lt;&gt;"!!!"),"NEW","")))</f>
        <v> </v>
      </c>
      <c r="G4723" s="23" t="str">
        <f>IF(OR(E4723="",E4723="!!!"),"",IF(OR(J4723=0,AND(J4723=1,K4723=1),AND(J4723=1,I4723="SBJ"),AND(J4723=1,I4723=0)),"?IN_FOCUS",IF(J4723&lt;=2,"?ACTIVATED",IF(J4723&lt;&gt;"","?FAMILIAR",IF(F4723="NEW",IF(ISNA(VLOOKUP(E4723,#REF!,1,FALSE())),"?TYPE_IDENTIFIABLE","?REFERENTIAL"),"_")))))</f>
        <v> </v>
      </c>
      <c r="H4723" s="24" t="str">
        <f>IF(J4723&lt;&gt;1,"",IF(I4723="SBJ","CB","?"))</f>
        <v> </v>
      </c>
      <c r="I4723" s="25" t="str">
        <f>IF(OR(E4723="",E4723="!!!",F4723="NEW"),"",INDEX(B4722:B$2,-1+SUMPRODUCT(MAX(ROW(E4722:E$2)*(E4723=E4722:E$2)))))</f>
        <v> </v>
      </c>
      <c r="J4723" s="25" t="str">
        <f>IF(OR(E4723="",E4723="!!!",F4723="NEW"),"",COUNTBLANK(OFFSET(A$1,,,SUMPRODUCT(MAX(ROW(E$2:E4723)*(E4723=E$2:E4723)))))-COUNTBLANK(OFFSET(A$1,,,SUMPRODUCT(MAX(ROW(E$1:E4722)*(E2=E$1:E4722))))))</f>
        <v> </v>
      </c>
      <c r="K4723" s="25" t="str">
        <f>IF(OR(E4723="",E4723="!!!",F4723="NEW"),"",INDEX(J$1:J4722,SUMPRODUCT(MAX(ROW(E$1:E4722)*(E4723=E$1:E4722)))))</f>
        <v> </v>
      </c>
      <c r="L4723" s="26"/>
    </row>
    <row r="4724" spans="1:12">
      <c r="A4724" s="20" t="s">
        <v>900</v>
      </c>
      <c r="E4724" s="21">
        <f>IF(D4724="?OLD","!!!","")</f>
        <v/>
      </c>
      <c r="F4724" s="22" t="str">
        <f>IF(OR(E4724="",E4724="!!!"),"",IF(NOT(ISNA(VLOOKUP(E4724,E$1:E4723,1,FALSE()))),"OLD",IF(AND(E4724&lt;&gt;"",E4724&lt;&gt;"!!!"),"NEW","")))</f>
        <v> </v>
      </c>
      <c r="G4724" s="23" t="str">
        <f>IF(OR(E4724="",E4724="!!!"),"",IF(OR(J4724=0,AND(J4724=1,K4724=1),AND(J4724=1,I4724="SBJ"),AND(J4724=1,I4724=0)),"?IN_FOCUS",IF(J4724&lt;=2,"?ACTIVATED",IF(J4724&lt;&gt;"","?FAMILIAR",IF(F4724="NEW",IF(ISNA(VLOOKUP(E4724,#REF!,1,FALSE())),"?TYPE_IDENTIFIABLE","?REFERENTIAL"),"_")))))</f>
        <v> </v>
      </c>
      <c r="H4724" s="24" t="str">
        <f>IF(J4724&lt;&gt;1,"",IF(I4724="SBJ","CB","?"))</f>
        <v> </v>
      </c>
      <c r="I4724" s="25" t="str">
        <f>IF(OR(E4724="",E4724="!!!",F4724="NEW"),"",INDEX(B4723:B$2,-1+SUMPRODUCT(MAX(ROW(E4723:E$2)*(E4724=E4723:E$2)))))</f>
        <v> </v>
      </c>
      <c r="J4724" s="25" t="str">
        <f>IF(OR(E4724="",E4724="!!!",F4724="NEW"),"",COUNTBLANK(OFFSET(A$1,,,SUMPRODUCT(MAX(ROW(E$2:E4724)*(E4724=E$2:E4724)))))-COUNTBLANK(OFFSET(A$1,,,SUMPRODUCT(MAX(ROW(E$1:E4723)*(E2=E$1:E4723))))))</f>
        <v> </v>
      </c>
      <c r="K4724" s="25" t="str">
        <f>IF(OR(E4724="",E4724="!!!",F4724="NEW"),"",INDEX(J$1:J4723,SUMPRODUCT(MAX(ROW(E$1:E4723)*(E4724=E$1:E4723)))))</f>
        <v> </v>
      </c>
      <c r="L4724" s="26"/>
    </row>
    <row r="4725" spans="1:12">
      <c r="A4725" s="20" t="s">
        <v>1020</v>
      </c>
      <c r="B4725" s="27" t="s">
        <v>779</v>
      </c>
      <c r="C4725" s="27" t="s">
        <v>749</v>
      </c>
      <c r="D4725" s="27" t="s">
        <v>740</v>
      </c>
      <c r="E4725" s="21">
        <f>IF(D4725="?OLD","!!!","")</f>
        <v/>
      </c>
      <c r="F4725" s="22" t="str">
        <f>IF(OR(E4725="",E4725="!!!"),"",IF(NOT(ISNA(VLOOKUP(E4725,E$1:E4724,1,FALSE()))),"OLD",IF(AND(E4725&lt;&gt;"",E4725&lt;&gt;"!!!"),"NEW","")))</f>
        <v> </v>
      </c>
      <c r="G4725" s="23" t="str">
        <f>IF(OR(E4725="",E4725="!!!"),"",IF(OR(J4725=0,AND(J4725=1,K4725=1),AND(J4725=1,I4725="SBJ"),AND(J4725=1,I4725=0)),"?IN_FOCUS",IF(J4725&lt;=2,"?ACTIVATED",IF(J4725&lt;&gt;"","?FAMILIAR",IF(F4725="NEW",IF(ISNA(VLOOKUP(E4725,#REF!,1,FALSE())),"?TYPE_IDENTIFIABLE","?REFERENTIAL"),"_")))))</f>
        <v> </v>
      </c>
      <c r="H4725" s="24" t="str">
        <f>IF(J4725&lt;&gt;1,"",IF(I4725="SBJ","CB","?"))</f>
        <v> </v>
      </c>
      <c r="I4725" s="25" t="str">
        <f>IF(OR(E4725="",E4725="!!!",F4725="NEW"),"",INDEX(B4724:B$2,-1+SUMPRODUCT(MAX(ROW(E4724:E$2)*(E4725=E4724:E$2)))))</f>
        <v> </v>
      </c>
      <c r="J4725" s="25" t="str">
        <f>IF(OR(E4725="",E4725="!!!",F4725="NEW"),"",COUNTBLANK(OFFSET(A$1,,,SUMPRODUCT(MAX(ROW(E$2:E4725)*(E4725=E$2:E4725)))))-COUNTBLANK(OFFSET(A$1,,,SUMPRODUCT(MAX(ROW(E$1:E4724)*(E2=E$1:E4724))))))</f>
        <v> </v>
      </c>
      <c r="K4725" s="25" t="str">
        <f>IF(OR(E4725="",E4725="!!!",F4725="NEW"),"",INDEX(J$1:J4724,SUMPRODUCT(MAX(ROW(E$1:E4724)*(E4725=E$1:E4724)))))</f>
        <v> </v>
      </c>
      <c r="L4725" s="26"/>
    </row>
    <row r="4726" spans="1:12">
      <c r="A4726" s="20" t="s">
        <v>919</v>
      </c>
      <c r="E4726" s="21">
        <f>IF(D4726="?OLD","!!!","")</f>
        <v/>
      </c>
      <c r="F4726" s="22" t="str">
        <f>IF(OR(E4726="",E4726="!!!"),"",IF(NOT(ISNA(VLOOKUP(E4726,E$1:E4725,1,FALSE()))),"OLD",IF(AND(E4726&lt;&gt;"",E4726&lt;&gt;"!!!"),"NEW","")))</f>
        <v> </v>
      </c>
      <c r="G4726" s="23" t="str">
        <f>IF(OR(E4726="",E4726="!!!"),"",IF(OR(J4726=0,AND(J4726=1,K4726=1),AND(J4726=1,I4726="SBJ"),AND(J4726=1,I4726=0)),"?IN_FOCUS",IF(J4726&lt;=2,"?ACTIVATED",IF(J4726&lt;&gt;"","?FAMILIAR",IF(F4726="NEW",IF(ISNA(VLOOKUP(E4726,#REF!,1,FALSE())),"?TYPE_IDENTIFIABLE","?REFERENTIAL"),"_")))))</f>
        <v> </v>
      </c>
      <c r="H4726" s="24" t="str">
        <f>IF(J4726&lt;&gt;1,"",IF(I4726="SBJ","CB","?"))</f>
        <v> </v>
      </c>
      <c r="I4726" s="25" t="str">
        <f>IF(OR(E4726="",E4726="!!!",F4726="NEW"),"",INDEX(B4725:B$2,-1+SUMPRODUCT(MAX(ROW(E4725:E$2)*(E4726=E4725:E$2)))))</f>
        <v> </v>
      </c>
      <c r="J4726" s="25" t="str">
        <f>IF(OR(E4726="",E4726="!!!",F4726="NEW"),"",COUNTBLANK(OFFSET(A$1,,,SUMPRODUCT(MAX(ROW(E$2:E4726)*(E4726=E$2:E4726)))))-COUNTBLANK(OFFSET(A$1,,,SUMPRODUCT(MAX(ROW(E$1:E4725)*(E2=E$1:E4725))))))</f>
        <v> </v>
      </c>
      <c r="K4726" s="25" t="str">
        <f>IF(OR(E4726="",E4726="!!!",F4726="NEW"),"",INDEX(J$1:J4725,SUMPRODUCT(MAX(ROW(E$1:E4725)*(E4726=E$1:E4725)))))</f>
        <v> </v>
      </c>
      <c r="L4726" s="26"/>
    </row>
    <row r="4727" spans="1:12">
      <c r="A4727" s="20" t="s">
        <v>2082</v>
      </c>
      <c r="E4727" s="21">
        <f>IF(D4727="?OLD","!!!","")</f>
        <v/>
      </c>
      <c r="F4727" s="22" t="str">
        <f>IF(OR(E4727="",E4727="!!!"),"",IF(NOT(ISNA(VLOOKUP(E4727,E$1:E4726,1,FALSE()))),"OLD",IF(AND(E4727&lt;&gt;"",E4727&lt;&gt;"!!!"),"NEW","")))</f>
        <v> </v>
      </c>
      <c r="G4727" s="23" t="str">
        <f>IF(OR(E4727="",E4727="!!!"),"",IF(OR(J4727=0,AND(J4727=1,K4727=1),AND(J4727=1,I4727="SBJ"),AND(J4727=1,I4727=0)),"?IN_FOCUS",IF(J4727&lt;=2,"?ACTIVATED",IF(J4727&lt;&gt;"","?FAMILIAR",IF(F4727="NEW",IF(ISNA(VLOOKUP(E4727,#REF!,1,FALSE())),"?TYPE_IDENTIFIABLE","?REFERENTIAL"),"_")))))</f>
        <v> </v>
      </c>
      <c r="H4727" s="24" t="str">
        <f>IF(J4727&lt;&gt;1,"",IF(I4727="SBJ","CB","?"))</f>
        <v> </v>
      </c>
      <c r="I4727" s="25" t="str">
        <f>IF(OR(E4727="",E4727="!!!",F4727="NEW"),"",INDEX(B4726:B$2,-1+SUMPRODUCT(MAX(ROW(E4726:E$2)*(E4727=E4726:E$2)))))</f>
        <v> </v>
      </c>
      <c r="J4727" s="25" t="str">
        <f>IF(OR(E4727="",E4727="!!!",F4727="NEW"),"",COUNTBLANK(OFFSET(A$1,,,SUMPRODUCT(MAX(ROW(E$2:E4727)*(E4727=E$2:E4727)))))-COUNTBLANK(OFFSET(A$1,,,SUMPRODUCT(MAX(ROW(E$1:E4726)*(E2=E$1:E4726))))))</f>
        <v> </v>
      </c>
      <c r="K4727" s="25" t="str">
        <f>IF(OR(E4727="",E4727="!!!",F4727="NEW"),"",INDEX(J$1:J4726,SUMPRODUCT(MAX(ROW(E$1:E4726)*(E4727=E$1:E4726)))))</f>
        <v> </v>
      </c>
      <c r="L4727" s="26"/>
    </row>
    <row r="4728" spans="1:12">
      <c r="A4728" s="20" t="s">
        <v>753</v>
      </c>
      <c r="E4728" s="21">
        <f>IF(D4728="?OLD","!!!","")</f>
        <v/>
      </c>
      <c r="F4728" s="22" t="str">
        <f>IF(OR(E4728="",E4728="!!!"),"",IF(NOT(ISNA(VLOOKUP(E4728,E$1:E4727,1,FALSE()))),"OLD",IF(AND(E4728&lt;&gt;"",E4728&lt;&gt;"!!!"),"NEW","")))</f>
        <v> </v>
      </c>
      <c r="G4728" s="23" t="str">
        <f>IF(OR(E4728="",E4728="!!!"),"",IF(OR(J4728=0,AND(J4728=1,K4728=1),AND(J4728=1,I4728="SBJ"),AND(J4728=1,I4728=0)),"?IN_FOCUS",IF(J4728&lt;=2,"?ACTIVATED",IF(J4728&lt;&gt;"","?FAMILIAR",IF(F4728="NEW",IF(ISNA(VLOOKUP(E4728,#REF!,1,FALSE())),"?TYPE_IDENTIFIABLE","?REFERENTIAL"),"_")))))</f>
        <v> </v>
      </c>
      <c r="H4728" s="24" t="str">
        <f>IF(J4728&lt;&gt;1,"",IF(I4728="SBJ","CB","?"))</f>
        <v> </v>
      </c>
      <c r="I4728" s="25" t="str">
        <f>IF(OR(E4728="",E4728="!!!",F4728="NEW"),"",INDEX(B4727:B$2,-1+SUMPRODUCT(MAX(ROW(E4727:E$2)*(E4728=E4727:E$2)))))</f>
        <v> </v>
      </c>
      <c r="J4728" s="25" t="str">
        <f>IF(OR(E4728="",E4728="!!!",F4728="NEW"),"",COUNTBLANK(OFFSET(A$1,,,SUMPRODUCT(MAX(ROW(E$2:E4728)*(E4728=E$2:E4728)))))-COUNTBLANK(OFFSET(A$1,,,SUMPRODUCT(MAX(ROW(E$1:E4727)*(E2=E$1:E4727))))))</f>
        <v> </v>
      </c>
      <c r="K4728" s="25" t="str">
        <f>IF(OR(E4728="",E4728="!!!",F4728="NEW"),"",INDEX(J$1:J4727,SUMPRODUCT(MAX(ROW(E$1:E4727)*(E4728=E$1:E4727)))))</f>
        <v> </v>
      </c>
      <c r="L4728" s="26"/>
    </row>
    <row r="4729" spans="1:12">
      <c r="A4729" s="20" t="s">
        <v>1449</v>
      </c>
      <c r="E4729" s="21">
        <f>IF(D4729="?OLD","!!!","")</f>
        <v/>
      </c>
      <c r="F4729" s="22" t="str">
        <f>IF(OR(E4729="",E4729="!!!"),"",IF(NOT(ISNA(VLOOKUP(E4729,E$1:E4728,1,FALSE()))),"OLD",IF(AND(E4729&lt;&gt;"",E4729&lt;&gt;"!!!"),"NEW","")))</f>
        <v> </v>
      </c>
      <c r="G4729" s="23" t="str">
        <f>IF(OR(E4729="",E4729="!!!"),"",IF(OR(J4729=0,AND(J4729=1,K4729=1),AND(J4729=1,I4729="SBJ"),AND(J4729=1,I4729=0)),"?IN_FOCUS",IF(J4729&lt;=2,"?ACTIVATED",IF(J4729&lt;&gt;"","?FAMILIAR",IF(F4729="NEW",IF(ISNA(VLOOKUP(E4729,#REF!,1,FALSE())),"?TYPE_IDENTIFIABLE","?REFERENTIAL"),"_")))))</f>
        <v> </v>
      </c>
      <c r="H4729" s="24" t="str">
        <f>IF(J4729&lt;&gt;1,"",IF(I4729="SBJ","CB","?"))</f>
        <v> </v>
      </c>
      <c r="I4729" s="25" t="str">
        <f>IF(OR(E4729="",E4729="!!!",F4729="NEW"),"",INDEX(B4728:B$2,-1+SUMPRODUCT(MAX(ROW(E4728:E$2)*(E4729=E4728:E$2)))))</f>
        <v> </v>
      </c>
      <c r="J4729" s="25" t="str">
        <f>IF(OR(E4729="",E4729="!!!",F4729="NEW"),"",COUNTBLANK(OFFSET(A$1,,,SUMPRODUCT(MAX(ROW(E$2:E4729)*(E4729=E$2:E4729)))))-COUNTBLANK(OFFSET(A$1,,,SUMPRODUCT(MAX(ROW(E$1:E4728)*(E2=E$1:E4728))))))</f>
        <v> </v>
      </c>
      <c r="K4729" s="25" t="str">
        <f>IF(OR(E4729="",E4729="!!!",F4729="NEW"),"",INDEX(J$1:J4728,SUMPRODUCT(MAX(ROW(E$1:E4728)*(E4729=E$1:E4728)))))</f>
        <v> </v>
      </c>
      <c r="L4729" s="26"/>
    </row>
    <row r="4730" spans="1:12">
      <c r="A4730" s="20" t="s">
        <v>807</v>
      </c>
      <c r="B4730" s="27" t="s">
        <v>795</v>
      </c>
      <c r="C4730" s="27" t="s">
        <v>749</v>
      </c>
      <c r="D4730" s="27" t="s">
        <v>740</v>
      </c>
      <c r="E4730" s="21">
        <f>IF(D4730="?OLD","!!!","")</f>
        <v/>
      </c>
      <c r="F4730" s="22" t="str">
        <f>IF(OR(E4730="",E4730="!!!"),"",IF(NOT(ISNA(VLOOKUP(E4730,E$1:E4729,1,FALSE()))),"OLD",IF(AND(E4730&lt;&gt;"",E4730&lt;&gt;"!!!"),"NEW","")))</f>
        <v> </v>
      </c>
      <c r="G4730" s="23" t="str">
        <f>IF(OR(E4730="",E4730="!!!"),"",IF(OR(J4730=0,AND(J4730=1,K4730=1),AND(J4730=1,I4730="SBJ"),AND(J4730=1,I4730=0)),"?IN_FOCUS",IF(J4730&lt;=2,"?ACTIVATED",IF(J4730&lt;&gt;"","?FAMILIAR",IF(F4730="NEW",IF(ISNA(VLOOKUP(E4730,#REF!,1,FALSE())),"?TYPE_IDENTIFIABLE","?REFERENTIAL"),"_")))))</f>
        <v> </v>
      </c>
      <c r="H4730" s="24" t="str">
        <f>IF(J4730&lt;&gt;1,"",IF(I4730="SBJ","CB","?"))</f>
        <v> </v>
      </c>
      <c r="I4730" s="25" t="str">
        <f>IF(OR(E4730="",E4730="!!!",F4730="NEW"),"",INDEX(B4729:B$2,-1+SUMPRODUCT(MAX(ROW(E4729:E$2)*(E4730=E4729:E$2)))))</f>
        <v> </v>
      </c>
      <c r="J4730" s="25" t="str">
        <f>IF(OR(E4730="",E4730="!!!",F4730="NEW"),"",COUNTBLANK(OFFSET(A$1,,,SUMPRODUCT(MAX(ROW(E$2:E4730)*(E4730=E$2:E4730)))))-COUNTBLANK(OFFSET(A$1,,,SUMPRODUCT(MAX(ROW(E$1:E4729)*(E2=E$1:E4729))))))</f>
        <v> </v>
      </c>
      <c r="K4730" s="25" t="str">
        <f>IF(OR(E4730="",E4730="!!!",F4730="NEW"),"",INDEX(J$1:J4729,SUMPRODUCT(MAX(ROW(E$1:E4729)*(E4730=E$1:E4729)))))</f>
        <v> </v>
      </c>
      <c r="L4730" s="26"/>
    </row>
    <row r="4731" spans="1:12">
      <c r="A4731" s="20" t="s">
        <v>832</v>
      </c>
      <c r="B4731" s="27" t="s">
        <v>764</v>
      </c>
      <c r="C4731" s="27" t="s">
        <v>749</v>
      </c>
      <c r="D4731" s="27" t="s">
        <v>740</v>
      </c>
      <c r="E4731" s="21">
        <f>IF(D4731="?OLD","!!!","")</f>
        <v/>
      </c>
      <c r="F4731" s="22" t="str">
        <f>IF(OR(E4731="",E4731="!!!"),"",IF(NOT(ISNA(VLOOKUP(E4731,E$1:E4730,1,FALSE()))),"OLD",IF(AND(E4731&lt;&gt;"",E4731&lt;&gt;"!!!"),"NEW","")))</f>
        <v> </v>
      </c>
      <c r="G4731" s="23" t="str">
        <f>IF(OR(E4731="",E4731="!!!"),"",IF(OR(J4731=0,AND(J4731=1,K4731=1),AND(J4731=1,I4731="SBJ"),AND(J4731=1,I4731=0)),"?IN_FOCUS",IF(J4731&lt;=2,"?ACTIVATED",IF(J4731&lt;&gt;"","?FAMILIAR",IF(F4731="NEW",IF(ISNA(VLOOKUP(E4731,#REF!,1,FALSE())),"?TYPE_IDENTIFIABLE","?REFERENTIAL"),"_")))))</f>
        <v> </v>
      </c>
      <c r="H4731" s="24" t="str">
        <f>IF(J4731&lt;&gt;1,"",IF(I4731="SBJ","CB","?"))</f>
        <v> </v>
      </c>
      <c r="I4731" s="25" t="str">
        <f>IF(OR(E4731="",E4731="!!!",F4731="NEW"),"",INDEX(B4730:B$2,-1+SUMPRODUCT(MAX(ROW(E4730:E$2)*(E4731=E4730:E$2)))))</f>
        <v> </v>
      </c>
      <c r="J4731" s="25" t="str">
        <f>IF(OR(E4731="",E4731="!!!",F4731="NEW"),"",COUNTBLANK(OFFSET(A$1,,,SUMPRODUCT(MAX(ROW(E$2:E4731)*(E4731=E$2:E4731)))))-COUNTBLANK(OFFSET(A$1,,,SUMPRODUCT(MAX(ROW(E$1:E4730)*(E2=E$1:E4730))))))</f>
        <v> </v>
      </c>
      <c r="K4731" s="25" t="str">
        <f>IF(OR(E4731="",E4731="!!!",F4731="NEW"),"",INDEX(J$1:J4730,SUMPRODUCT(MAX(ROW(E$1:E4730)*(E4731=E$1:E4730)))))</f>
        <v> </v>
      </c>
      <c r="L4731" s="26"/>
    </row>
    <row r="4732" spans="1:12">
      <c r="A4732" s="20" t="s">
        <v>2083</v>
      </c>
      <c r="E4732" s="21">
        <f>IF(D4732="?OLD","!!!","")</f>
        <v/>
      </c>
      <c r="F4732" s="22" t="str">
        <f>IF(OR(E4732="",E4732="!!!"),"",IF(NOT(ISNA(VLOOKUP(E4732,E$1:E4731,1,FALSE()))),"OLD",IF(AND(E4732&lt;&gt;"",E4732&lt;&gt;"!!!"),"NEW","")))</f>
        <v> </v>
      </c>
      <c r="G4732" s="23" t="str">
        <f>IF(OR(E4732="",E4732="!!!"),"",IF(OR(J4732=0,AND(J4732=1,K4732=1),AND(J4732=1,I4732="SBJ"),AND(J4732=1,I4732=0)),"?IN_FOCUS",IF(J4732&lt;=2,"?ACTIVATED",IF(J4732&lt;&gt;"","?FAMILIAR",IF(F4732="NEW",IF(ISNA(VLOOKUP(E4732,#REF!,1,FALSE())),"?TYPE_IDENTIFIABLE","?REFERENTIAL"),"_")))))</f>
        <v> </v>
      </c>
      <c r="H4732" s="24" t="str">
        <f>IF(J4732&lt;&gt;1,"",IF(I4732="SBJ","CB","?"))</f>
        <v> </v>
      </c>
      <c r="I4732" s="25" t="str">
        <f>IF(OR(E4732="",E4732="!!!",F4732="NEW"),"",INDEX(B4731:B$2,-1+SUMPRODUCT(MAX(ROW(E4731:E$2)*(E4732=E4731:E$2)))))</f>
        <v> </v>
      </c>
      <c r="J4732" s="25" t="str">
        <f>IF(OR(E4732="",E4732="!!!",F4732="NEW"),"",COUNTBLANK(OFFSET(A$1,,,SUMPRODUCT(MAX(ROW(E$2:E4732)*(E4732=E$2:E4732)))))-COUNTBLANK(OFFSET(A$1,,,SUMPRODUCT(MAX(ROW(E$1:E4731)*(E2=E$1:E4731))))))</f>
        <v> </v>
      </c>
      <c r="K4732" s="25" t="str">
        <f>IF(OR(E4732="",E4732="!!!",F4732="NEW"),"",INDEX(J$1:J4731,SUMPRODUCT(MAX(ROW(E$1:E4731)*(E4732=E$1:E4731)))))</f>
        <v> </v>
      </c>
      <c r="L4732" s="26"/>
    </row>
    <row r="4733" spans="1:12">
      <c r="A4733" s="20" t="s">
        <v>1388</v>
      </c>
      <c r="E4733" s="21">
        <f>IF(D4733="?OLD","!!!","")</f>
        <v/>
      </c>
      <c r="F4733" s="22" t="str">
        <f>IF(OR(E4733="",E4733="!!!"),"",IF(NOT(ISNA(VLOOKUP(E4733,E$1:E4732,1,FALSE()))),"OLD",IF(AND(E4733&lt;&gt;"",E4733&lt;&gt;"!!!"),"NEW","")))</f>
        <v> </v>
      </c>
      <c r="G4733" s="23" t="str">
        <f>IF(OR(E4733="",E4733="!!!"),"",IF(OR(J4733=0,AND(J4733=1,K4733=1),AND(J4733=1,I4733="SBJ"),AND(J4733=1,I4733=0)),"?IN_FOCUS",IF(J4733&lt;=2,"?ACTIVATED",IF(J4733&lt;&gt;"","?FAMILIAR",IF(F4733="NEW",IF(ISNA(VLOOKUP(E4733,#REF!,1,FALSE())),"?TYPE_IDENTIFIABLE","?REFERENTIAL"),"_")))))</f>
        <v> </v>
      </c>
      <c r="H4733" s="24" t="str">
        <f>IF(J4733&lt;&gt;1,"",IF(I4733="SBJ","CB","?"))</f>
        <v> </v>
      </c>
      <c r="I4733" s="25" t="str">
        <f>IF(OR(E4733="",E4733="!!!",F4733="NEW"),"",INDEX(B4732:B$2,-1+SUMPRODUCT(MAX(ROW(E4732:E$2)*(E4733=E4732:E$2)))))</f>
        <v> </v>
      </c>
      <c r="J4733" s="25" t="str">
        <f>IF(OR(E4733="",E4733="!!!",F4733="NEW"),"",COUNTBLANK(OFFSET(A$1,,,SUMPRODUCT(MAX(ROW(E$2:E4733)*(E4733=E$2:E4733)))))-COUNTBLANK(OFFSET(A$1,,,SUMPRODUCT(MAX(ROW(E$1:E4732)*(E2=E$1:E4732))))))</f>
        <v> </v>
      </c>
      <c r="K4733" s="25" t="str">
        <f>IF(OR(E4733="",E4733="!!!",F4733="NEW"),"",INDEX(J$1:J4732,SUMPRODUCT(MAX(ROW(E$1:E4732)*(E4733=E$1:E4732)))))</f>
        <v> </v>
      </c>
      <c r="L4733" s="26"/>
    </row>
    <row r="4734" spans="1:12">
      <c r="A4734" s="20" t="s">
        <v>753</v>
      </c>
      <c r="E4734" s="21">
        <f>IF(D4734="?OLD","!!!","")</f>
        <v/>
      </c>
      <c r="F4734" s="22" t="str">
        <f>IF(OR(E4734="",E4734="!!!"),"",IF(NOT(ISNA(VLOOKUP(E4734,E$1:E4733,1,FALSE()))),"OLD",IF(AND(E4734&lt;&gt;"",E4734&lt;&gt;"!!!"),"NEW","")))</f>
        <v> </v>
      </c>
      <c r="G4734" s="23" t="str">
        <f>IF(OR(E4734="",E4734="!!!"),"",IF(OR(J4734=0,AND(J4734=1,K4734=1),AND(J4734=1,I4734="SBJ"),AND(J4734=1,I4734=0)),"?IN_FOCUS",IF(J4734&lt;=2,"?ACTIVATED",IF(J4734&lt;&gt;"","?FAMILIAR",IF(F4734="NEW",IF(ISNA(VLOOKUP(E4734,#REF!,1,FALSE())),"?TYPE_IDENTIFIABLE","?REFERENTIAL"),"_")))))</f>
        <v> </v>
      </c>
      <c r="H4734" s="24" t="str">
        <f>IF(J4734&lt;&gt;1,"",IF(I4734="SBJ","CB","?"))</f>
        <v> </v>
      </c>
      <c r="I4734" s="25" t="str">
        <f>IF(OR(E4734="",E4734="!!!",F4734="NEW"),"",INDEX(B4733:B$2,-1+SUMPRODUCT(MAX(ROW(E4733:E$2)*(E4734=E4733:E$2)))))</f>
        <v> </v>
      </c>
      <c r="J4734" s="25" t="str">
        <f>IF(OR(E4734="",E4734="!!!",F4734="NEW"),"",COUNTBLANK(OFFSET(A$1,,,SUMPRODUCT(MAX(ROW(E$2:E4734)*(E4734=E$2:E4734)))))-COUNTBLANK(OFFSET(A$1,,,SUMPRODUCT(MAX(ROW(E$1:E4733)*(E2=E$1:E4733))))))</f>
        <v> </v>
      </c>
      <c r="K4734" s="25" t="str">
        <f>IF(OR(E4734="",E4734="!!!",F4734="NEW"),"",INDEX(J$1:J4733,SUMPRODUCT(MAX(ROW(E$1:E4733)*(E4734=E$1:E4733)))))</f>
        <v> </v>
      </c>
      <c r="L4734" s="26"/>
    </row>
    <row r="4735" spans="1:12">
      <c r="A4735" s="20" t="s">
        <v>1391</v>
      </c>
      <c r="E4735" s="21">
        <f>IF(D4735="?OLD","!!!","")</f>
        <v/>
      </c>
      <c r="F4735" s="22" t="str">
        <f>IF(OR(E4735="",E4735="!!!"),"",IF(NOT(ISNA(VLOOKUP(E4735,E$1:E4734,1,FALSE()))),"OLD",IF(AND(E4735&lt;&gt;"",E4735&lt;&gt;"!!!"),"NEW","")))</f>
        <v> </v>
      </c>
      <c r="G4735" s="23" t="str">
        <f>IF(OR(E4735="",E4735="!!!"),"",IF(OR(J4735=0,AND(J4735=1,K4735=1),AND(J4735=1,I4735="SBJ"),AND(J4735=1,I4735=0)),"?IN_FOCUS",IF(J4735&lt;=2,"?ACTIVATED",IF(J4735&lt;&gt;"","?FAMILIAR",IF(F4735="NEW",IF(ISNA(VLOOKUP(E4735,#REF!,1,FALSE())),"?TYPE_IDENTIFIABLE","?REFERENTIAL"),"_")))))</f>
        <v> </v>
      </c>
      <c r="H4735" s="24" t="str">
        <f>IF(J4735&lt;&gt;1,"",IF(I4735="SBJ","CB","?"))</f>
        <v> </v>
      </c>
      <c r="I4735" s="25" t="str">
        <f>IF(OR(E4735="",E4735="!!!",F4735="NEW"),"",INDEX(B4734:B$2,-1+SUMPRODUCT(MAX(ROW(E4734:E$2)*(E4735=E4734:E$2)))))</f>
        <v> </v>
      </c>
      <c r="J4735" s="25" t="str">
        <f>IF(OR(E4735="",E4735="!!!",F4735="NEW"),"",COUNTBLANK(OFFSET(A$1,,,SUMPRODUCT(MAX(ROW(E$2:E4735)*(E4735=E$2:E4735)))))-COUNTBLANK(OFFSET(A$1,,,SUMPRODUCT(MAX(ROW(E$1:E4734)*(E2=E$1:E4734))))))</f>
        <v> </v>
      </c>
      <c r="K4735" s="25" t="str">
        <f>IF(OR(E4735="",E4735="!!!",F4735="NEW"),"",INDEX(J$1:J4734,SUMPRODUCT(MAX(ROW(E$1:E4734)*(E4735=E$1:E4734)))))</f>
        <v> </v>
      </c>
      <c r="L4735" s="26"/>
    </row>
    <row r="4736" spans="1:12">
      <c r="A4736" s="20" t="s">
        <v>807</v>
      </c>
      <c r="B4736" s="27" t="s">
        <v>771</v>
      </c>
      <c r="C4736" s="27" t="s">
        <v>749</v>
      </c>
      <c r="D4736" s="27" t="s">
        <v>740</v>
      </c>
      <c r="E4736" s="21">
        <f>IF(D4736="?OLD","!!!","")</f>
        <v/>
      </c>
      <c r="F4736" s="22" t="str">
        <f>IF(OR(E4736="",E4736="!!!"),"",IF(NOT(ISNA(VLOOKUP(E4736,E$1:E4735,1,FALSE()))),"OLD",IF(AND(E4736&lt;&gt;"",E4736&lt;&gt;"!!!"),"NEW","")))</f>
        <v> </v>
      </c>
      <c r="G4736" s="23" t="str">
        <f>IF(OR(E4736="",E4736="!!!"),"",IF(OR(J4736=0,AND(J4736=1,K4736=1),AND(J4736=1,I4736="SBJ"),AND(J4736=1,I4736=0)),"?IN_FOCUS",IF(J4736&lt;=2,"?ACTIVATED",IF(J4736&lt;&gt;"","?FAMILIAR",IF(F4736="NEW",IF(ISNA(VLOOKUP(E4736,#REF!,1,FALSE())),"?TYPE_IDENTIFIABLE","?REFERENTIAL"),"_")))))</f>
        <v> </v>
      </c>
      <c r="H4736" s="24" t="str">
        <f>IF(J4736&lt;&gt;1,"",IF(I4736="SBJ","CB","?"))</f>
        <v> </v>
      </c>
      <c r="I4736" s="25" t="str">
        <f>IF(OR(E4736="",E4736="!!!",F4736="NEW"),"",INDEX(B4735:B$2,-1+SUMPRODUCT(MAX(ROW(E4735:E$2)*(E4736=E4735:E$2)))))</f>
        <v> </v>
      </c>
      <c r="J4736" s="25" t="str">
        <f>IF(OR(E4736="",E4736="!!!",F4736="NEW"),"",COUNTBLANK(OFFSET(A$1,,,SUMPRODUCT(MAX(ROW(E$2:E4736)*(E4736=E$2:E4736)))))-COUNTBLANK(OFFSET(A$1,,,SUMPRODUCT(MAX(ROW(E$1:E4735)*(E2=E$1:E4735))))))</f>
        <v> </v>
      </c>
      <c r="K4736" s="25" t="str">
        <f>IF(OR(E4736="",E4736="!!!",F4736="NEW"),"",INDEX(J$1:J4735,SUMPRODUCT(MAX(ROW(E$1:E4735)*(E4736=E$1:E4735)))))</f>
        <v> </v>
      </c>
      <c r="L4736" s="26"/>
    </row>
    <row r="4737" spans="1:12">
      <c r="A4737" s="20" t="s">
        <v>919</v>
      </c>
      <c r="E4737" s="21">
        <f>IF(D4737="?OLD","!!!","")</f>
        <v/>
      </c>
      <c r="F4737" s="22" t="str">
        <f>IF(OR(E4737="",E4737="!!!"),"",IF(NOT(ISNA(VLOOKUP(E4737,E$1:E4736,1,FALSE()))),"OLD",IF(AND(E4737&lt;&gt;"",E4737&lt;&gt;"!!!"),"NEW","")))</f>
        <v> </v>
      </c>
      <c r="G4737" s="23" t="str">
        <f>IF(OR(E4737="",E4737="!!!"),"",IF(OR(J4737=0,AND(J4737=1,K4737=1),AND(J4737=1,I4737="SBJ"),AND(J4737=1,I4737=0)),"?IN_FOCUS",IF(J4737&lt;=2,"?ACTIVATED",IF(J4737&lt;&gt;"","?FAMILIAR",IF(F4737="NEW",IF(ISNA(VLOOKUP(E4737,#REF!,1,FALSE())),"?TYPE_IDENTIFIABLE","?REFERENTIAL"),"_")))))</f>
        <v> </v>
      </c>
      <c r="H4737" s="24" t="str">
        <f>IF(J4737&lt;&gt;1,"",IF(I4737="SBJ","CB","?"))</f>
        <v> </v>
      </c>
      <c r="I4737" s="25" t="str">
        <f>IF(OR(E4737="",E4737="!!!",F4737="NEW"),"",INDEX(B4736:B$2,-1+SUMPRODUCT(MAX(ROW(E4736:E$2)*(E4737=E4736:E$2)))))</f>
        <v> </v>
      </c>
      <c r="J4737" s="25" t="str">
        <f>IF(OR(E4737="",E4737="!!!",F4737="NEW"),"",COUNTBLANK(OFFSET(A$1,,,SUMPRODUCT(MAX(ROW(E$2:E4737)*(E4737=E$2:E4737)))))-COUNTBLANK(OFFSET(A$1,,,SUMPRODUCT(MAX(ROW(E$1:E4736)*(E2=E$1:E4736))))))</f>
        <v> </v>
      </c>
      <c r="K4737" s="25" t="str">
        <f>IF(OR(E4737="",E4737="!!!",F4737="NEW"),"",INDEX(J$1:J4736,SUMPRODUCT(MAX(ROW(E$1:E4736)*(E4737=E$1:E4736)))))</f>
        <v> </v>
      </c>
      <c r="L4737" s="26"/>
    </row>
    <row r="4738" spans="1:12">
      <c r="A4738" s="20" t="s">
        <v>833</v>
      </c>
      <c r="E4738" s="21">
        <f>IF(D4738="?OLD","!!!","")</f>
        <v/>
      </c>
      <c r="F4738" s="22" t="str">
        <f>IF(OR(E4738="",E4738="!!!"),"",IF(NOT(ISNA(VLOOKUP(E4738,E$1:E4737,1,FALSE()))),"OLD",IF(AND(E4738&lt;&gt;"",E4738&lt;&gt;"!!!"),"NEW","")))</f>
        <v> </v>
      </c>
      <c r="G4738" s="23" t="str">
        <f>IF(OR(E4738="",E4738="!!!"),"",IF(OR(J4738=0,AND(J4738=1,K4738=1),AND(J4738=1,I4738="SBJ"),AND(J4738=1,I4738=0)),"?IN_FOCUS",IF(J4738&lt;=2,"?ACTIVATED",IF(J4738&lt;&gt;"","?FAMILIAR",IF(F4738="NEW",IF(ISNA(VLOOKUP(E4738,#REF!,1,FALSE())),"?TYPE_IDENTIFIABLE","?REFERENTIAL"),"_")))))</f>
        <v> </v>
      </c>
      <c r="H4738" s="24" t="str">
        <f>IF(J4738&lt;&gt;1,"",IF(I4738="SBJ","CB","?"))</f>
        <v> </v>
      </c>
      <c r="I4738" s="25" t="str">
        <f>IF(OR(E4738="",E4738="!!!",F4738="NEW"),"",INDEX(B4737:B$2,-1+SUMPRODUCT(MAX(ROW(E4737:E$2)*(E4738=E4737:E$2)))))</f>
        <v> </v>
      </c>
      <c r="J4738" s="25" t="str">
        <f>IF(OR(E4738="",E4738="!!!",F4738="NEW"),"",COUNTBLANK(OFFSET(A$1,,,SUMPRODUCT(MAX(ROW(E$2:E4738)*(E4738=E$2:E4738)))))-COUNTBLANK(OFFSET(A$1,,,SUMPRODUCT(MAX(ROW(E$1:E4737)*(E2=E$1:E4737))))))</f>
        <v> </v>
      </c>
      <c r="K4738" s="25" t="str">
        <f>IF(OR(E4738="",E4738="!!!",F4738="NEW"),"",INDEX(J$1:J4737,SUMPRODUCT(MAX(ROW(E$1:E4737)*(E4738=E$1:E4737)))))</f>
        <v> </v>
      </c>
      <c r="L4738" s="26"/>
    </row>
    <row r="4739" spans="1:12">
      <c r="A4739" s="20" t="s">
        <v>2084</v>
      </c>
      <c r="E4739" s="21">
        <f>IF(D4739="?OLD","!!!","")</f>
        <v/>
      </c>
      <c r="F4739" s="22" t="str">
        <f>IF(OR(E4739="",E4739="!!!"),"",IF(NOT(ISNA(VLOOKUP(E4739,E$1:E4738,1,FALSE()))),"OLD",IF(AND(E4739&lt;&gt;"",E4739&lt;&gt;"!!!"),"NEW","")))</f>
        <v> </v>
      </c>
      <c r="G4739" s="23" t="str">
        <f>IF(OR(E4739="",E4739="!!!"),"",IF(OR(J4739=0,AND(J4739=1,K4739=1),AND(J4739=1,I4739="SBJ"),AND(J4739=1,I4739=0)),"?IN_FOCUS",IF(J4739&lt;=2,"?ACTIVATED",IF(J4739&lt;&gt;"","?FAMILIAR",IF(F4739="NEW",IF(ISNA(VLOOKUP(E4739,#REF!,1,FALSE())),"?TYPE_IDENTIFIABLE","?REFERENTIAL"),"_")))))</f>
        <v> </v>
      </c>
      <c r="H4739" s="24" t="str">
        <f>IF(J4739&lt;&gt;1,"",IF(I4739="SBJ","CB","?"))</f>
        <v> </v>
      </c>
      <c r="I4739" s="25" t="str">
        <f>IF(OR(E4739="",E4739="!!!",F4739="NEW"),"",INDEX(B4738:B$2,-1+SUMPRODUCT(MAX(ROW(E4738:E$2)*(E4739=E4738:E$2)))))</f>
        <v> </v>
      </c>
      <c r="J4739" s="25" t="str">
        <f>IF(OR(E4739="",E4739="!!!",F4739="NEW"),"",COUNTBLANK(OFFSET(A$1,,,SUMPRODUCT(MAX(ROW(E$2:E4739)*(E4739=E$2:E4739)))))-COUNTBLANK(OFFSET(A$1,,,SUMPRODUCT(MAX(ROW(E$1:E4738)*(E2=E$1:E4738))))))</f>
        <v> </v>
      </c>
      <c r="K4739" s="25" t="str">
        <f>IF(OR(E4739="",E4739="!!!",F4739="NEW"),"",INDEX(J$1:J4738,SUMPRODUCT(MAX(ROW(E$1:E4738)*(E4739=E$1:E4738)))))</f>
        <v> </v>
      </c>
      <c r="L4739" s="26"/>
    </row>
    <row r="4740" spans="1:12">
      <c r="A4740" s="20" t="s">
        <v>991</v>
      </c>
      <c r="E4740" s="21">
        <f>IF(D4740="?OLD","!!!","")</f>
        <v/>
      </c>
      <c r="F4740" s="22" t="str">
        <f>IF(OR(E4740="",E4740="!!!"),"",IF(NOT(ISNA(VLOOKUP(E4740,E$1:E4739,1,FALSE()))),"OLD",IF(AND(E4740&lt;&gt;"",E4740&lt;&gt;"!!!"),"NEW","")))</f>
        <v> </v>
      </c>
      <c r="G4740" s="23" t="str">
        <f>IF(OR(E4740="",E4740="!!!"),"",IF(OR(J4740=0,AND(J4740=1,K4740=1),AND(J4740=1,I4740="SBJ"),AND(J4740=1,I4740=0)),"?IN_FOCUS",IF(J4740&lt;=2,"?ACTIVATED",IF(J4740&lt;&gt;"","?FAMILIAR",IF(F4740="NEW",IF(ISNA(VLOOKUP(E4740,#REF!,1,FALSE())),"?TYPE_IDENTIFIABLE","?REFERENTIAL"),"_")))))</f>
        <v> </v>
      </c>
      <c r="H4740" s="24" t="str">
        <f>IF(J4740&lt;&gt;1,"",IF(I4740="SBJ","CB","?"))</f>
        <v> </v>
      </c>
      <c r="I4740" s="25" t="str">
        <f>IF(OR(E4740="",E4740="!!!",F4740="NEW"),"",INDEX(B4739:B$2,-1+SUMPRODUCT(MAX(ROW(E4739:E$2)*(E4740=E4739:E$2)))))</f>
        <v> </v>
      </c>
      <c r="J4740" s="25" t="str">
        <f>IF(OR(E4740="",E4740="!!!",F4740="NEW"),"",COUNTBLANK(OFFSET(A$1,,,SUMPRODUCT(MAX(ROW(E$2:E4740)*(E4740=E$2:E4740)))))-COUNTBLANK(OFFSET(A$1,,,SUMPRODUCT(MAX(ROW(E$1:E4739)*(E2=E$1:E4739))))))</f>
        <v> </v>
      </c>
      <c r="K4740" s="25" t="str">
        <f>IF(OR(E4740="",E4740="!!!",F4740="NEW"),"",INDEX(J$1:J4739,SUMPRODUCT(MAX(ROW(E$1:E4739)*(E4740=E$1:E4739)))))</f>
        <v> </v>
      </c>
      <c r="L4740" s="26"/>
    </row>
    <row r="4741" spans="1:12">
      <c r="A4741" s="20" t="s">
        <v>944</v>
      </c>
      <c r="B4741" s="27" t="s">
        <v>733</v>
      </c>
      <c r="C4741" s="27" t="s">
        <v>828</v>
      </c>
      <c r="D4741" s="27" t="s">
        <v>740</v>
      </c>
      <c r="E4741" s="21">
        <f>IF(D4741="?OLD","!!!","")</f>
        <v/>
      </c>
      <c r="F4741" s="22" t="str">
        <f>IF(OR(E4741="",E4741="!!!"),"",IF(NOT(ISNA(VLOOKUP(E4741,E$1:E4740,1,FALSE()))),"OLD",IF(AND(E4741&lt;&gt;"",E4741&lt;&gt;"!!!"),"NEW","")))</f>
        <v> </v>
      </c>
      <c r="G4741" s="23" t="str">
        <f>IF(OR(E4741="",E4741="!!!"),"",IF(OR(J4741=0,AND(J4741=1,K4741=1),AND(J4741=1,I4741="SBJ"),AND(J4741=1,I4741=0)),"?IN_FOCUS",IF(J4741&lt;=2,"?ACTIVATED",IF(J4741&lt;&gt;"","?FAMILIAR",IF(F4741="NEW",IF(ISNA(VLOOKUP(E4741,#REF!,1,FALSE())),"?TYPE_IDENTIFIABLE","?REFERENTIAL"),"_")))))</f>
        <v> </v>
      </c>
      <c r="H4741" s="24" t="str">
        <f>IF(J4741&lt;&gt;1,"",IF(I4741="SBJ","CB","?"))</f>
        <v> </v>
      </c>
      <c r="I4741" s="25" t="str">
        <f>IF(OR(E4741="",E4741="!!!",F4741="NEW"),"",INDEX(B4740:B$2,-1+SUMPRODUCT(MAX(ROW(E4740:E$2)*(E4741=E4740:E$2)))))</f>
        <v> </v>
      </c>
      <c r="J4741" s="25" t="str">
        <f>IF(OR(E4741="",E4741="!!!",F4741="NEW"),"",COUNTBLANK(OFFSET(A$1,,,SUMPRODUCT(MAX(ROW(E$2:E4741)*(E4741=E$2:E4741)))))-COUNTBLANK(OFFSET(A$1,,,SUMPRODUCT(MAX(ROW(E$1:E4740)*(E2=E$1:E4740))))))</f>
        <v> </v>
      </c>
      <c r="K4741" s="25" t="str">
        <f>IF(OR(E4741="",E4741="!!!",F4741="NEW"),"",INDEX(J$1:J4740,SUMPRODUCT(MAX(ROW(E$1:E4740)*(E4741=E$1:E4740)))))</f>
        <v> </v>
      </c>
      <c r="L4741" s="26"/>
    </row>
    <row r="4742" spans="1:12">
      <c r="A4742" s="20" t="s">
        <v>2085</v>
      </c>
      <c r="B4742" s="27" t="s">
        <v>756</v>
      </c>
      <c r="C4742" s="27" t="s">
        <v>734</v>
      </c>
      <c r="E4742" s="21">
        <f>IF(D4742="?OLD","!!!","")</f>
        <v/>
      </c>
      <c r="F4742" s="22" t="str">
        <f>IF(OR(E4742="",E4742="!!!"),"",IF(NOT(ISNA(VLOOKUP(E4742,E$1:E4741,1,FALSE()))),"OLD",IF(AND(E4742&lt;&gt;"",E4742&lt;&gt;"!!!"),"NEW","")))</f>
        <v> </v>
      </c>
      <c r="G4742" s="23" t="str">
        <f>IF(OR(E4742="",E4742="!!!"),"",IF(OR(J4742=0,AND(J4742=1,K4742=1),AND(J4742=1,I4742="SBJ"),AND(J4742=1,I4742=0)),"?IN_FOCUS",IF(J4742&lt;=2,"?ACTIVATED",IF(J4742&lt;&gt;"","?FAMILIAR",IF(F4742="NEW",IF(ISNA(VLOOKUP(E4742,#REF!,1,FALSE())),"?TYPE_IDENTIFIABLE","?REFERENTIAL"),"_")))))</f>
        <v> </v>
      </c>
      <c r="H4742" s="24" t="str">
        <f>IF(J4742&lt;&gt;1,"",IF(I4742="SBJ","CB","?"))</f>
        <v> </v>
      </c>
      <c r="I4742" s="25" t="str">
        <f>IF(OR(E4742="",E4742="!!!",F4742="NEW"),"",INDEX(B4741:B$2,-1+SUMPRODUCT(MAX(ROW(E4741:E$2)*(E4742=E4741:E$2)))))</f>
        <v> </v>
      </c>
      <c r="J4742" s="25" t="str">
        <f>IF(OR(E4742="",E4742="!!!",F4742="NEW"),"",COUNTBLANK(OFFSET(A$1,,,SUMPRODUCT(MAX(ROW(E$2:E4742)*(E4742=E$2:E4742)))))-COUNTBLANK(OFFSET(A$1,,,SUMPRODUCT(MAX(ROW(E$1:E4741)*(E2=E$1:E4741))))))</f>
        <v> </v>
      </c>
      <c r="K4742" s="25" t="str">
        <f>IF(OR(E4742="",E4742="!!!",F4742="NEW"),"",INDEX(J$1:J4741,SUMPRODUCT(MAX(ROW(E$1:E4741)*(E4742=E$1:E4741)))))</f>
        <v> </v>
      </c>
      <c r="L4742" s="26"/>
    </row>
    <row r="4743" spans="1:12">
      <c r="A4743" s="20" t="s">
        <v>2086</v>
      </c>
      <c r="E4743" s="21">
        <f>IF(D4743="?OLD","!!!","")</f>
        <v/>
      </c>
      <c r="F4743" s="22" t="str">
        <f>IF(OR(E4743="",E4743="!!!"),"",IF(NOT(ISNA(VLOOKUP(E4743,E$1:E4742,1,FALSE()))),"OLD",IF(AND(E4743&lt;&gt;"",E4743&lt;&gt;"!!!"),"NEW","")))</f>
        <v> </v>
      </c>
      <c r="G4743" s="23" t="str">
        <f>IF(OR(E4743="",E4743="!!!"),"",IF(OR(J4743=0,AND(J4743=1,K4743=1),AND(J4743=1,I4743="SBJ"),AND(J4743=1,I4743=0)),"?IN_FOCUS",IF(J4743&lt;=2,"?ACTIVATED",IF(J4743&lt;&gt;"","?FAMILIAR",IF(F4743="NEW",IF(ISNA(VLOOKUP(E4743,#REF!,1,FALSE())),"?TYPE_IDENTIFIABLE","?REFERENTIAL"),"_")))))</f>
        <v> </v>
      </c>
      <c r="H4743" s="24" t="str">
        <f>IF(J4743&lt;&gt;1,"",IF(I4743="SBJ","CB","?"))</f>
        <v> </v>
      </c>
      <c r="I4743" s="25" t="str">
        <f>IF(OR(E4743="",E4743="!!!",F4743="NEW"),"",INDEX(B4742:B$2,-1+SUMPRODUCT(MAX(ROW(E4742:E$2)*(E4743=E4742:E$2)))))</f>
        <v> </v>
      </c>
      <c r="J4743" s="25" t="str">
        <f>IF(OR(E4743="",E4743="!!!",F4743="NEW"),"",COUNTBLANK(OFFSET(A$1,,,SUMPRODUCT(MAX(ROW(E$2:E4743)*(E4743=E$2:E4743)))))-COUNTBLANK(OFFSET(A$1,,,SUMPRODUCT(MAX(ROW(E$1:E4742)*(E2=E$1:E4742))))))</f>
        <v> </v>
      </c>
      <c r="K4743" s="25" t="str">
        <f>IF(OR(E4743="",E4743="!!!",F4743="NEW"),"",INDEX(J$1:J4742,SUMPRODUCT(MAX(ROW(E$1:E4742)*(E4743=E$1:E4742)))))</f>
        <v> </v>
      </c>
      <c r="L4743" s="26"/>
    </row>
    <row r="4744" spans="1:12">
      <c r="A4744" s="20" t="s">
        <v>1785</v>
      </c>
      <c r="E4744" s="21">
        <f>IF(D4744="?OLD","!!!","")</f>
        <v/>
      </c>
      <c r="F4744" s="22" t="str">
        <f>IF(OR(E4744="",E4744="!!!"),"",IF(NOT(ISNA(VLOOKUP(E4744,E$1:E4743,1,FALSE()))),"OLD",IF(AND(E4744&lt;&gt;"",E4744&lt;&gt;"!!!"),"NEW","")))</f>
        <v> </v>
      </c>
      <c r="G4744" s="23" t="str">
        <f>IF(OR(E4744="",E4744="!!!"),"",IF(OR(J4744=0,AND(J4744=1,K4744=1),AND(J4744=1,I4744="SBJ"),AND(J4744=1,I4744=0)),"?IN_FOCUS",IF(J4744&lt;=2,"?ACTIVATED",IF(J4744&lt;&gt;"","?FAMILIAR",IF(F4744="NEW",IF(ISNA(VLOOKUP(E4744,#REF!,1,FALSE())),"?TYPE_IDENTIFIABLE","?REFERENTIAL"),"_")))))</f>
        <v> </v>
      </c>
      <c r="H4744" s="24" t="str">
        <f>IF(J4744&lt;&gt;1,"",IF(I4744="SBJ","CB","?"))</f>
        <v> </v>
      </c>
      <c r="I4744" s="25" t="str">
        <f>IF(OR(E4744="",E4744="!!!",F4744="NEW"),"",INDEX(B4743:B$2,-1+SUMPRODUCT(MAX(ROW(E4743:E$2)*(E4744=E4743:E$2)))))</f>
        <v> </v>
      </c>
      <c r="J4744" s="25" t="str">
        <f>IF(OR(E4744="",E4744="!!!",F4744="NEW"),"",COUNTBLANK(OFFSET(A$1,,,SUMPRODUCT(MAX(ROW(E$2:E4744)*(E4744=E$2:E4744)))))-COUNTBLANK(OFFSET(A$1,,,SUMPRODUCT(MAX(ROW(E$1:E4743)*(E2=E$1:E4743))))))</f>
        <v> </v>
      </c>
      <c r="K4744" s="25" t="str">
        <f>IF(OR(E4744="",E4744="!!!",F4744="NEW"),"",INDEX(J$1:J4743,SUMPRODUCT(MAX(ROW(E$1:E4743)*(E4744=E$1:E4743)))))</f>
        <v> </v>
      </c>
      <c r="L4744" s="26"/>
    </row>
    <row r="4745" spans="1:12">
      <c r="A4745" s="20" t="s">
        <v>746</v>
      </c>
      <c r="E4745" s="21">
        <f>IF(D4745="?OLD","!!!","")</f>
        <v/>
      </c>
      <c r="F4745" s="22" t="str">
        <f>IF(OR(E4745="",E4745="!!!"),"",IF(NOT(ISNA(VLOOKUP(E4745,E$1:E4744,1,FALSE()))),"OLD",IF(AND(E4745&lt;&gt;"",E4745&lt;&gt;"!!!"),"NEW","")))</f>
        <v> </v>
      </c>
      <c r="G4745" s="23" t="str">
        <f>IF(OR(E4745="",E4745="!!!"),"",IF(OR(J4745=0,AND(J4745=1,K4745=1),AND(J4745=1,I4745="SBJ"),AND(J4745=1,I4745=0)),"?IN_FOCUS",IF(J4745&lt;=2,"?ACTIVATED",IF(J4745&lt;&gt;"","?FAMILIAR",IF(F4745="NEW",IF(ISNA(VLOOKUP(E4745,#REF!,1,FALSE())),"?TYPE_IDENTIFIABLE","?REFERENTIAL"),"_")))))</f>
        <v> </v>
      </c>
      <c r="H4745" s="24" t="str">
        <f>IF(J4745&lt;&gt;1,"",IF(I4745="SBJ","CB","?"))</f>
        <v> </v>
      </c>
      <c r="I4745" s="25" t="str">
        <f>IF(OR(E4745="",E4745="!!!",F4745="NEW"),"",INDEX(B4744:B$2,-1+SUMPRODUCT(MAX(ROW(E4744:E$2)*(E4745=E4744:E$2)))))</f>
        <v> </v>
      </c>
      <c r="J4745" s="25" t="str">
        <f>IF(OR(E4745="",E4745="!!!",F4745="NEW"),"",COUNTBLANK(OFFSET(A$1,,,SUMPRODUCT(MAX(ROW(E$2:E4745)*(E4745=E$2:E4745)))))-COUNTBLANK(OFFSET(A$1,,,SUMPRODUCT(MAX(ROW(E$1:E4744)*(E2=E$1:E4744))))))</f>
        <v> </v>
      </c>
      <c r="K4745" s="25" t="str">
        <f>IF(OR(E4745="",E4745="!!!",F4745="NEW"),"",INDEX(J$1:J4744,SUMPRODUCT(MAX(ROW(E$1:E4744)*(E4745=E$1:E4744)))))</f>
        <v> </v>
      </c>
      <c r="L4745" s="26"/>
    </row>
    <row r="4746" spans="1:12">
      <c r="A4746" s="20"/>
    </row>
    <row r="4747" spans="1:12">
      <c r="A4747" s="20" t="s">
        <v>2087</v>
      </c>
    </row>
    <row r="4748" spans="1:12">
      <c r="A4748" s="20" t="s">
        <v>952</v>
      </c>
      <c r="B4748" s="27" t="s">
        <v>728</v>
      </c>
      <c r="C4748" s="27" t="s">
        <v>749</v>
      </c>
      <c r="D4748" s="27" t="s">
        <v>740</v>
      </c>
      <c r="E4748" s="21">
        <f>IF(D4748="?OLD","!!!","")</f>
        <v/>
      </c>
      <c r="F4748" s="22" t="str">
        <f>IF(OR(E4748="",E4748="!!!"),"",IF(NOT(ISNA(VLOOKUP(E4748,E$1:E4747,1,FALSE()))),"OLD",IF(AND(E4748&lt;&gt;"",E4748&lt;&gt;"!!!"),"NEW","")))</f>
        <v> </v>
      </c>
      <c r="G4748" s="23" t="str">
        <f>IF(OR(E4748="",E4748="!!!"),"",IF(OR(J4748=0,AND(J4748=1,K4748=1),AND(J4748=1,I4748="SBJ"),AND(J4748=1,I4748=0)),"?IN_FOCUS",IF(J4748&lt;=2,"?ACTIVATED",IF(J4748&lt;&gt;"","?FAMILIAR",IF(F4748="NEW",IF(ISNA(VLOOKUP(E4748,#REF!,1,FALSE())),"?TYPE_IDENTIFIABLE","?REFERENTIAL"),"_")))))</f>
        <v> </v>
      </c>
      <c r="H4748" s="24" t="str">
        <f>IF(J4748&lt;&gt;1,"",IF(I4748="SBJ","CB","?"))</f>
        <v> </v>
      </c>
      <c r="I4748" s="25" t="str">
        <f>IF(OR(E4748="",E4748="!!!",F4748="NEW"),"",INDEX(B4747:B$2,-1+SUMPRODUCT(MAX(ROW(E4747:E$2)*(E4748=E4747:E$2)))))</f>
        <v> </v>
      </c>
      <c r="J4748" s="25" t="str">
        <f>IF(OR(E4748="",E4748="!!!",F4748="NEW"),"",COUNTBLANK(OFFSET(A$1,,,SUMPRODUCT(MAX(ROW(E$2:E4748)*(E4748=E$2:E4748)))))-COUNTBLANK(OFFSET(A$1,,,SUMPRODUCT(MAX(ROW(E$1:E4747)*(E2=E$1:E4747))))))</f>
        <v> </v>
      </c>
      <c r="K4748" s="25" t="str">
        <f>IF(OR(E4748="",E4748="!!!",F4748="NEW"),"",INDEX(J$1:J4747,SUMPRODUCT(MAX(ROW(E$1:E4747)*(E4748=E$1:E4747)))))</f>
        <v> </v>
      </c>
      <c r="L4748" s="26"/>
    </row>
    <row r="4749" spans="1:12">
      <c r="A4749" s="20" t="s">
        <v>811</v>
      </c>
      <c r="E4749" s="21">
        <f>IF(D4749="?OLD","!!!","")</f>
        <v/>
      </c>
      <c r="F4749" s="22" t="str">
        <f>IF(OR(E4749="",E4749="!!!"),"",IF(NOT(ISNA(VLOOKUP(E4749,E$1:E4748,1,FALSE()))),"OLD",IF(AND(E4749&lt;&gt;"",E4749&lt;&gt;"!!!"),"NEW","")))</f>
        <v> </v>
      </c>
      <c r="G4749" s="23" t="str">
        <f>IF(OR(E4749="",E4749="!!!"),"",IF(OR(J4749=0,AND(J4749=1,K4749=1),AND(J4749=1,I4749="SBJ"),AND(J4749=1,I4749=0)),"?IN_FOCUS",IF(J4749&lt;=2,"?ACTIVATED",IF(J4749&lt;&gt;"","?FAMILIAR",IF(F4749="NEW",IF(ISNA(VLOOKUP(E4749,#REF!,1,FALSE())),"?TYPE_IDENTIFIABLE","?REFERENTIAL"),"_")))))</f>
        <v> </v>
      </c>
      <c r="H4749" s="24" t="str">
        <f>IF(J4749&lt;&gt;1,"",IF(I4749="SBJ","CB","?"))</f>
        <v> </v>
      </c>
      <c r="I4749" s="25" t="str">
        <f>IF(OR(E4749="",E4749="!!!",F4749="NEW"),"",INDEX(B4748:B$2,-1+SUMPRODUCT(MAX(ROW(E4748:E$2)*(E4749=E4748:E$2)))))</f>
        <v> </v>
      </c>
      <c r="J4749" s="25" t="str">
        <f>IF(OR(E4749="",E4749="!!!",F4749="NEW"),"",COUNTBLANK(OFFSET(A$1,,,SUMPRODUCT(MAX(ROW(E$2:E4749)*(E4749=E$2:E4749)))))-COUNTBLANK(OFFSET(A$1,,,SUMPRODUCT(MAX(ROW(E$1:E4748)*(E2=E$1:E4748))))))</f>
        <v> </v>
      </c>
      <c r="K4749" s="25" t="str">
        <f>IF(OR(E4749="",E4749="!!!",F4749="NEW"),"",INDEX(J$1:J4748,SUMPRODUCT(MAX(ROW(E$1:E4748)*(E4749=E$1:E4748)))))</f>
        <v> </v>
      </c>
      <c r="L4749" s="26"/>
    </row>
    <row r="4750" spans="1:12">
      <c r="A4750" s="20" t="s">
        <v>955</v>
      </c>
      <c r="E4750" s="21">
        <f>IF(D4750="?OLD","!!!","")</f>
        <v/>
      </c>
      <c r="F4750" s="22" t="str">
        <f>IF(OR(E4750="",E4750="!!!"),"",IF(NOT(ISNA(VLOOKUP(E4750,E$1:E4749,1,FALSE()))),"OLD",IF(AND(E4750&lt;&gt;"",E4750&lt;&gt;"!!!"),"NEW","")))</f>
        <v> </v>
      </c>
      <c r="G4750" s="23" t="str">
        <f>IF(OR(E4750="",E4750="!!!"),"",IF(OR(J4750=0,AND(J4750=1,K4750=1),AND(J4750=1,I4750="SBJ"),AND(J4750=1,I4750=0)),"?IN_FOCUS",IF(J4750&lt;=2,"?ACTIVATED",IF(J4750&lt;&gt;"","?FAMILIAR",IF(F4750="NEW",IF(ISNA(VLOOKUP(E4750,#REF!,1,FALSE())),"?TYPE_IDENTIFIABLE","?REFERENTIAL"),"_")))))</f>
        <v> </v>
      </c>
      <c r="H4750" s="24" t="str">
        <f>IF(J4750&lt;&gt;1,"",IF(I4750="SBJ","CB","?"))</f>
        <v> </v>
      </c>
      <c r="I4750" s="25" t="str">
        <f>IF(OR(E4750="",E4750="!!!",F4750="NEW"),"",INDEX(B4749:B$2,-1+SUMPRODUCT(MAX(ROW(E4749:E$2)*(E4750=E4749:E$2)))))</f>
        <v> </v>
      </c>
      <c r="J4750" s="25" t="str">
        <f>IF(OR(E4750="",E4750="!!!",F4750="NEW"),"",COUNTBLANK(OFFSET(A$1,,,SUMPRODUCT(MAX(ROW(E$2:E4750)*(E4750=E$2:E4750)))))-COUNTBLANK(OFFSET(A$1,,,SUMPRODUCT(MAX(ROW(E$1:E4749)*(E2=E$1:E4749))))))</f>
        <v> </v>
      </c>
      <c r="K4750" s="25" t="str">
        <f>IF(OR(E4750="",E4750="!!!",F4750="NEW"),"",INDEX(J$1:J4749,SUMPRODUCT(MAX(ROW(E$1:E4749)*(E4750=E$1:E4749)))))</f>
        <v> </v>
      </c>
      <c r="L4750" s="26"/>
    </row>
    <row r="4751" spans="1:12">
      <c r="A4751" s="20" t="s">
        <v>1577</v>
      </c>
      <c r="E4751" s="21">
        <f>IF(D4751="?OLD","!!!","")</f>
        <v/>
      </c>
      <c r="F4751" s="22" t="str">
        <f>IF(OR(E4751="",E4751="!!!"),"",IF(NOT(ISNA(VLOOKUP(E4751,E$1:E4750,1,FALSE()))),"OLD",IF(AND(E4751&lt;&gt;"",E4751&lt;&gt;"!!!"),"NEW","")))</f>
        <v> </v>
      </c>
      <c r="G4751" s="23" t="str">
        <f>IF(OR(E4751="",E4751="!!!"),"",IF(OR(J4751=0,AND(J4751=1,K4751=1),AND(J4751=1,I4751="SBJ"),AND(J4751=1,I4751=0)),"?IN_FOCUS",IF(J4751&lt;=2,"?ACTIVATED",IF(J4751&lt;&gt;"","?FAMILIAR",IF(F4751="NEW",IF(ISNA(VLOOKUP(E4751,#REF!,1,FALSE())),"?TYPE_IDENTIFIABLE","?REFERENTIAL"),"_")))))</f>
        <v> </v>
      </c>
      <c r="H4751" s="24" t="str">
        <f>IF(J4751&lt;&gt;1,"",IF(I4751="SBJ","CB","?"))</f>
        <v> </v>
      </c>
      <c r="I4751" s="25" t="str">
        <f>IF(OR(E4751="",E4751="!!!",F4751="NEW"),"",INDEX(B4750:B$2,-1+SUMPRODUCT(MAX(ROW(E4750:E$2)*(E4751=E4750:E$2)))))</f>
        <v> </v>
      </c>
      <c r="J4751" s="25" t="str">
        <f>IF(OR(E4751="",E4751="!!!",F4751="NEW"),"",COUNTBLANK(OFFSET(A$1,,,SUMPRODUCT(MAX(ROW(E$2:E4751)*(E4751=E$2:E4751)))))-COUNTBLANK(OFFSET(A$1,,,SUMPRODUCT(MAX(ROW(E$1:E4750)*(E2=E$1:E4750))))))</f>
        <v> </v>
      </c>
      <c r="K4751" s="25" t="str">
        <f>IF(OR(E4751="",E4751="!!!",F4751="NEW"),"",INDEX(J$1:J4750,SUMPRODUCT(MAX(ROW(E$1:E4750)*(E4751=E$1:E4750)))))</f>
        <v> </v>
      </c>
      <c r="L4751" s="26"/>
    </row>
    <row r="4752" spans="1:12">
      <c r="A4752" s="20" t="s">
        <v>2088</v>
      </c>
      <c r="E4752" s="21">
        <f>IF(D4752="?OLD","!!!","")</f>
        <v/>
      </c>
      <c r="F4752" s="22" t="str">
        <f>IF(OR(E4752="",E4752="!!!"),"",IF(NOT(ISNA(VLOOKUP(E4752,E$1:E4751,1,FALSE()))),"OLD",IF(AND(E4752&lt;&gt;"",E4752&lt;&gt;"!!!"),"NEW","")))</f>
        <v> </v>
      </c>
      <c r="G4752" s="23" t="str">
        <f>IF(OR(E4752="",E4752="!!!"),"",IF(OR(J4752=0,AND(J4752=1,K4752=1),AND(J4752=1,I4752="SBJ"),AND(J4752=1,I4752=0)),"?IN_FOCUS",IF(J4752&lt;=2,"?ACTIVATED",IF(J4752&lt;&gt;"","?FAMILIAR",IF(F4752="NEW",IF(ISNA(VLOOKUP(E4752,#REF!,1,FALSE())),"?TYPE_IDENTIFIABLE","?REFERENTIAL"),"_")))))</f>
        <v> </v>
      </c>
      <c r="H4752" s="24" t="str">
        <f>IF(J4752&lt;&gt;1,"",IF(I4752="SBJ","CB","?"))</f>
        <v> </v>
      </c>
      <c r="I4752" s="25" t="str">
        <f>IF(OR(E4752="",E4752="!!!",F4752="NEW"),"",INDEX(B4751:B$2,-1+SUMPRODUCT(MAX(ROW(E4751:E$2)*(E4752=E4751:E$2)))))</f>
        <v> </v>
      </c>
      <c r="J4752" s="25" t="str">
        <f>IF(OR(E4752="",E4752="!!!",F4752="NEW"),"",COUNTBLANK(OFFSET(A$1,,,SUMPRODUCT(MAX(ROW(E$2:E4752)*(E4752=E$2:E4752)))))-COUNTBLANK(OFFSET(A$1,,,SUMPRODUCT(MAX(ROW(E$1:E4751)*(E2=E$1:E4751))))))</f>
        <v> </v>
      </c>
      <c r="K4752" s="25" t="str">
        <f>IF(OR(E4752="",E4752="!!!",F4752="NEW"),"",INDEX(J$1:J4751,SUMPRODUCT(MAX(ROW(E$1:E4751)*(E4752=E$1:E4751)))))</f>
        <v> </v>
      </c>
      <c r="L4752" s="26"/>
    </row>
    <row r="4753" spans="1:12">
      <c r="A4753" s="20" t="s">
        <v>911</v>
      </c>
      <c r="B4753" s="27" t="s">
        <v>756</v>
      </c>
      <c r="C4753" s="27" t="s">
        <v>848</v>
      </c>
      <c r="E4753" s="21">
        <f>IF(D4753="?OLD","!!!","")</f>
        <v/>
      </c>
      <c r="F4753" s="22" t="str">
        <f>IF(OR(E4753="",E4753="!!!"),"",IF(NOT(ISNA(VLOOKUP(E4753,E$1:E4752,1,FALSE()))),"OLD",IF(AND(E4753&lt;&gt;"",E4753&lt;&gt;"!!!"),"NEW","")))</f>
        <v> </v>
      </c>
      <c r="G4753" s="23" t="str">
        <f>IF(OR(E4753="",E4753="!!!"),"",IF(OR(J4753=0,AND(J4753=1,K4753=1),AND(J4753=1,I4753="SBJ"),AND(J4753=1,I4753=0)),"?IN_FOCUS",IF(J4753&lt;=2,"?ACTIVATED",IF(J4753&lt;&gt;"","?FAMILIAR",IF(F4753="NEW",IF(ISNA(VLOOKUP(E4753,#REF!,1,FALSE())),"?TYPE_IDENTIFIABLE","?REFERENTIAL"),"_")))))</f>
        <v> </v>
      </c>
      <c r="H4753" s="24" t="str">
        <f>IF(J4753&lt;&gt;1,"",IF(I4753="SBJ","CB","?"))</f>
        <v> </v>
      </c>
      <c r="I4753" s="25" t="str">
        <f>IF(OR(E4753="",E4753="!!!",F4753="NEW"),"",INDEX(B4752:B$2,-1+SUMPRODUCT(MAX(ROW(E4752:E$2)*(E4753=E4752:E$2)))))</f>
        <v> </v>
      </c>
      <c r="J4753" s="25" t="str">
        <f>IF(OR(E4753="",E4753="!!!",F4753="NEW"),"",COUNTBLANK(OFFSET(A$1,,,SUMPRODUCT(MAX(ROW(E$2:E4753)*(E4753=E$2:E4753)))))-COUNTBLANK(OFFSET(A$1,,,SUMPRODUCT(MAX(ROW(E$1:E4752)*(E2=E$1:E4752))))))</f>
        <v> </v>
      </c>
      <c r="K4753" s="25" t="str">
        <f>IF(OR(E4753="",E4753="!!!",F4753="NEW"),"",INDEX(J$1:J4752,SUMPRODUCT(MAX(ROW(E$1:E4752)*(E4753=E$1:E4752)))))</f>
        <v> </v>
      </c>
      <c r="L4753" s="26"/>
    </row>
    <row r="4754" spans="1:12">
      <c r="A4754" s="20" t="s">
        <v>2089</v>
      </c>
      <c r="E4754" s="21">
        <f>IF(D4754="?OLD","!!!","")</f>
        <v/>
      </c>
      <c r="F4754" s="22" t="str">
        <f>IF(OR(E4754="",E4754="!!!"),"",IF(NOT(ISNA(VLOOKUP(E4754,E$1:E4753,1,FALSE()))),"OLD",IF(AND(E4754&lt;&gt;"",E4754&lt;&gt;"!!!"),"NEW","")))</f>
        <v> </v>
      </c>
      <c r="G4754" s="23" t="str">
        <f>IF(OR(E4754="",E4754="!!!"),"",IF(OR(J4754=0,AND(J4754=1,K4754=1),AND(J4754=1,I4754="SBJ"),AND(J4754=1,I4754=0)),"?IN_FOCUS",IF(J4754&lt;=2,"?ACTIVATED",IF(J4754&lt;&gt;"","?FAMILIAR",IF(F4754="NEW",IF(ISNA(VLOOKUP(E4754,#REF!,1,FALSE())),"?TYPE_IDENTIFIABLE","?REFERENTIAL"),"_")))))</f>
        <v> </v>
      </c>
      <c r="H4754" s="24" t="str">
        <f>IF(J4754&lt;&gt;1,"",IF(I4754="SBJ","CB","?"))</f>
        <v> </v>
      </c>
      <c r="I4754" s="25" t="str">
        <f>IF(OR(E4754="",E4754="!!!",F4754="NEW"),"",INDEX(B4753:B$2,-1+SUMPRODUCT(MAX(ROW(E4753:E$2)*(E4754=E4753:E$2)))))</f>
        <v> </v>
      </c>
      <c r="J4754" s="25" t="str">
        <f>IF(OR(E4754="",E4754="!!!",F4754="NEW"),"",COUNTBLANK(OFFSET(A$1,,,SUMPRODUCT(MAX(ROW(E$2:E4754)*(E4754=E$2:E4754)))))-COUNTBLANK(OFFSET(A$1,,,SUMPRODUCT(MAX(ROW(E$1:E4753)*(E2=E$1:E4753))))))</f>
        <v> </v>
      </c>
      <c r="K4754" s="25" t="str">
        <f>IF(OR(E4754="",E4754="!!!",F4754="NEW"),"",INDEX(J$1:J4753,SUMPRODUCT(MAX(ROW(E$1:E4753)*(E4754=E$1:E4753)))))</f>
        <v> </v>
      </c>
      <c r="L4754" s="26"/>
    </row>
    <row r="4755" spans="1:12">
      <c r="A4755" s="20" t="s">
        <v>753</v>
      </c>
      <c r="E4755" s="21">
        <f>IF(D4755="?OLD","!!!","")</f>
        <v/>
      </c>
      <c r="F4755" s="22" t="str">
        <f>IF(OR(E4755="",E4755="!!!"),"",IF(NOT(ISNA(VLOOKUP(E4755,E$1:E4754,1,FALSE()))),"OLD",IF(AND(E4755&lt;&gt;"",E4755&lt;&gt;"!!!"),"NEW","")))</f>
        <v> </v>
      </c>
      <c r="G4755" s="23" t="str">
        <f>IF(OR(E4755="",E4755="!!!"),"",IF(OR(J4755=0,AND(J4755=1,K4755=1),AND(J4755=1,I4755="SBJ"),AND(J4755=1,I4755=0)),"?IN_FOCUS",IF(J4755&lt;=2,"?ACTIVATED",IF(J4755&lt;&gt;"","?FAMILIAR",IF(F4755="NEW",IF(ISNA(VLOOKUP(E4755,#REF!,1,FALSE())),"?TYPE_IDENTIFIABLE","?REFERENTIAL"),"_")))))</f>
        <v> </v>
      </c>
      <c r="H4755" s="24" t="str">
        <f>IF(J4755&lt;&gt;1,"",IF(I4755="SBJ","CB","?"))</f>
        <v> </v>
      </c>
      <c r="I4755" s="25" t="str">
        <f>IF(OR(E4755="",E4755="!!!",F4755="NEW"),"",INDEX(B4754:B$2,-1+SUMPRODUCT(MAX(ROW(E4754:E$2)*(E4755=E4754:E$2)))))</f>
        <v> </v>
      </c>
      <c r="J4755" s="25" t="str">
        <f>IF(OR(E4755="",E4755="!!!",F4755="NEW"),"",COUNTBLANK(OFFSET(A$1,,,SUMPRODUCT(MAX(ROW(E$2:E4755)*(E4755=E$2:E4755)))))-COUNTBLANK(OFFSET(A$1,,,SUMPRODUCT(MAX(ROW(E$1:E4754)*(E2=E$1:E4754))))))</f>
        <v> </v>
      </c>
      <c r="K4755" s="25" t="str">
        <f>IF(OR(E4755="",E4755="!!!",F4755="NEW"),"",INDEX(J$1:J4754,SUMPRODUCT(MAX(ROW(E$1:E4754)*(E4755=E$1:E4754)))))</f>
        <v> </v>
      </c>
      <c r="L4755" s="26"/>
    </row>
    <row r="4756" spans="1:12">
      <c r="A4756" s="20" t="s">
        <v>788</v>
      </c>
      <c r="E4756" s="21">
        <f>IF(D4756="?OLD","!!!","")</f>
        <v/>
      </c>
      <c r="F4756" s="22" t="str">
        <f>IF(OR(E4756="",E4756="!!!"),"",IF(NOT(ISNA(VLOOKUP(E4756,E$1:E4755,1,FALSE()))),"OLD",IF(AND(E4756&lt;&gt;"",E4756&lt;&gt;"!!!"),"NEW","")))</f>
        <v> </v>
      </c>
      <c r="G4756" s="23" t="str">
        <f>IF(OR(E4756="",E4756="!!!"),"",IF(OR(J4756=0,AND(J4756=1,K4756=1),AND(J4756=1,I4756="SBJ"),AND(J4756=1,I4756=0)),"?IN_FOCUS",IF(J4756&lt;=2,"?ACTIVATED",IF(J4756&lt;&gt;"","?FAMILIAR",IF(F4756="NEW",IF(ISNA(VLOOKUP(E4756,#REF!,1,FALSE())),"?TYPE_IDENTIFIABLE","?REFERENTIAL"),"_")))))</f>
        <v> </v>
      </c>
      <c r="H4756" s="24" t="str">
        <f>IF(J4756&lt;&gt;1,"",IF(I4756="SBJ","CB","?"))</f>
        <v> </v>
      </c>
      <c r="I4756" s="25" t="str">
        <f>IF(OR(E4756="",E4756="!!!",F4756="NEW"),"",INDEX(B4755:B$2,-1+SUMPRODUCT(MAX(ROW(E4755:E$2)*(E4756=E4755:E$2)))))</f>
        <v> </v>
      </c>
      <c r="J4756" s="25" t="str">
        <f>IF(OR(E4756="",E4756="!!!",F4756="NEW"),"",COUNTBLANK(OFFSET(A$1,,,SUMPRODUCT(MAX(ROW(E$2:E4756)*(E4756=E$2:E4756)))))-COUNTBLANK(OFFSET(A$1,,,SUMPRODUCT(MAX(ROW(E$1:E4755)*(E2=E$1:E4755))))))</f>
        <v> </v>
      </c>
      <c r="K4756" s="25" t="str">
        <f>IF(OR(E4756="",E4756="!!!",F4756="NEW"),"",INDEX(J$1:J4755,SUMPRODUCT(MAX(ROW(E$1:E4755)*(E4756=E$1:E4755)))))</f>
        <v> </v>
      </c>
      <c r="L4756" s="26"/>
    </row>
    <row r="4757" spans="1:12">
      <c r="A4757" s="20" t="s">
        <v>807</v>
      </c>
      <c r="B4757" s="27" t="s">
        <v>771</v>
      </c>
      <c r="C4757" s="27" t="s">
        <v>749</v>
      </c>
      <c r="D4757" s="27" t="s">
        <v>740</v>
      </c>
      <c r="E4757" s="21">
        <f>IF(D4757="?OLD","!!!","")</f>
        <v/>
      </c>
      <c r="F4757" s="22" t="str">
        <f>IF(OR(E4757="",E4757="!!!"),"",IF(NOT(ISNA(VLOOKUP(E4757,E$1:E4756,1,FALSE()))),"OLD",IF(AND(E4757&lt;&gt;"",E4757&lt;&gt;"!!!"),"NEW","")))</f>
        <v> </v>
      </c>
      <c r="G4757" s="23" t="str">
        <f>IF(OR(E4757="",E4757="!!!"),"",IF(OR(J4757=0,AND(J4757=1,K4757=1),AND(J4757=1,I4757="SBJ"),AND(J4757=1,I4757=0)),"?IN_FOCUS",IF(J4757&lt;=2,"?ACTIVATED",IF(J4757&lt;&gt;"","?FAMILIAR",IF(F4757="NEW",IF(ISNA(VLOOKUP(E4757,#REF!,1,FALSE())),"?TYPE_IDENTIFIABLE","?REFERENTIAL"),"_")))))</f>
        <v> </v>
      </c>
      <c r="H4757" s="24" t="str">
        <f>IF(J4757&lt;&gt;1,"",IF(I4757="SBJ","CB","?"))</f>
        <v> </v>
      </c>
      <c r="I4757" s="25" t="str">
        <f>IF(OR(E4757="",E4757="!!!",F4757="NEW"),"",INDEX(B4756:B$2,-1+SUMPRODUCT(MAX(ROW(E4756:E$2)*(E4757=E4756:E$2)))))</f>
        <v> </v>
      </c>
      <c r="J4757" s="25" t="str">
        <f>IF(OR(E4757="",E4757="!!!",F4757="NEW"),"",COUNTBLANK(OFFSET(A$1,,,SUMPRODUCT(MAX(ROW(E$2:E4757)*(E4757=E$2:E4757)))))-COUNTBLANK(OFFSET(A$1,,,SUMPRODUCT(MAX(ROW(E$1:E4756)*(E2=E$1:E4756))))))</f>
        <v> </v>
      </c>
      <c r="K4757" s="25" t="str">
        <f>IF(OR(E4757="",E4757="!!!",F4757="NEW"),"",INDEX(J$1:J4756,SUMPRODUCT(MAX(ROW(E$1:E4756)*(E4757=E$1:E4756)))))</f>
        <v> </v>
      </c>
      <c r="L4757" s="26"/>
    </row>
    <row r="4758" spans="1:12">
      <c r="A4758" s="20" t="s">
        <v>2090</v>
      </c>
      <c r="E4758" s="21">
        <f>IF(D4758="?OLD","!!!","")</f>
        <v/>
      </c>
      <c r="F4758" s="22" t="str">
        <f>IF(OR(E4758="",E4758="!!!"),"",IF(NOT(ISNA(VLOOKUP(E4758,E$1:E4757,1,FALSE()))),"OLD",IF(AND(E4758&lt;&gt;"",E4758&lt;&gt;"!!!"),"NEW","")))</f>
        <v> </v>
      </c>
      <c r="G4758" s="23" t="str">
        <f>IF(OR(E4758="",E4758="!!!"),"",IF(OR(J4758=0,AND(J4758=1,K4758=1),AND(J4758=1,I4758="SBJ"),AND(J4758=1,I4758=0)),"?IN_FOCUS",IF(J4758&lt;=2,"?ACTIVATED",IF(J4758&lt;&gt;"","?FAMILIAR",IF(F4758="NEW",IF(ISNA(VLOOKUP(E4758,#REF!,1,FALSE())),"?TYPE_IDENTIFIABLE","?REFERENTIAL"),"_")))))</f>
        <v> </v>
      </c>
      <c r="H4758" s="24" t="str">
        <f>IF(J4758&lt;&gt;1,"",IF(I4758="SBJ","CB","?"))</f>
        <v> </v>
      </c>
      <c r="I4758" s="25" t="str">
        <f>IF(OR(E4758="",E4758="!!!",F4758="NEW"),"",INDEX(B4757:B$2,-1+SUMPRODUCT(MAX(ROW(E4757:E$2)*(E4758=E4757:E$2)))))</f>
        <v> </v>
      </c>
      <c r="J4758" s="25" t="str">
        <f>IF(OR(E4758="",E4758="!!!",F4758="NEW"),"",COUNTBLANK(OFFSET(A$1,,,SUMPRODUCT(MAX(ROW(E$2:E4758)*(E4758=E$2:E4758)))))-COUNTBLANK(OFFSET(A$1,,,SUMPRODUCT(MAX(ROW(E$1:E4757)*(E2=E$1:E4757))))))</f>
        <v> </v>
      </c>
      <c r="K4758" s="25" t="str">
        <f>IF(OR(E4758="",E4758="!!!",F4758="NEW"),"",INDEX(J$1:J4757,SUMPRODUCT(MAX(ROW(E$1:E4757)*(E4758=E$1:E4757)))))</f>
        <v> </v>
      </c>
      <c r="L4758" s="26"/>
    </row>
    <row r="4759" spans="1:12">
      <c r="A4759" s="20" t="s">
        <v>1060</v>
      </c>
      <c r="E4759" s="21">
        <f>IF(D4759="?OLD","!!!","")</f>
        <v/>
      </c>
      <c r="F4759" s="22" t="str">
        <f>IF(OR(E4759="",E4759="!!!"),"",IF(NOT(ISNA(VLOOKUP(E4759,E$1:E4758,1,FALSE()))),"OLD",IF(AND(E4759&lt;&gt;"",E4759&lt;&gt;"!!!"),"NEW","")))</f>
        <v> </v>
      </c>
      <c r="G4759" s="23" t="str">
        <f>IF(OR(E4759="",E4759="!!!"),"",IF(OR(J4759=0,AND(J4759=1,K4759=1),AND(J4759=1,I4759="SBJ"),AND(J4759=1,I4759=0)),"?IN_FOCUS",IF(J4759&lt;=2,"?ACTIVATED",IF(J4759&lt;&gt;"","?FAMILIAR",IF(F4759="NEW",IF(ISNA(VLOOKUP(E4759,#REF!,1,FALSE())),"?TYPE_IDENTIFIABLE","?REFERENTIAL"),"_")))))</f>
        <v> </v>
      </c>
      <c r="H4759" s="24" t="str">
        <f>IF(J4759&lt;&gt;1,"",IF(I4759="SBJ","CB","?"))</f>
        <v> </v>
      </c>
      <c r="I4759" s="25" t="str">
        <f>IF(OR(E4759="",E4759="!!!",F4759="NEW"),"",INDEX(B4758:B$2,-1+SUMPRODUCT(MAX(ROW(E4758:E$2)*(E4759=E4758:E$2)))))</f>
        <v> </v>
      </c>
      <c r="J4759" s="25" t="str">
        <f>IF(OR(E4759="",E4759="!!!",F4759="NEW"),"",COUNTBLANK(OFFSET(A$1,,,SUMPRODUCT(MAX(ROW(E$2:E4759)*(E4759=E$2:E4759)))))-COUNTBLANK(OFFSET(A$1,,,SUMPRODUCT(MAX(ROW(E$1:E4758)*(E2=E$1:E4758))))))</f>
        <v> </v>
      </c>
      <c r="K4759" s="25" t="str">
        <f>IF(OR(E4759="",E4759="!!!",F4759="NEW"),"",INDEX(J$1:J4758,SUMPRODUCT(MAX(ROW(E$1:E4758)*(E4759=E$1:E4758)))))</f>
        <v> </v>
      </c>
      <c r="L4759" s="26"/>
    </row>
    <row r="4760" spans="1:12">
      <c r="A4760" s="20" t="s">
        <v>2091</v>
      </c>
      <c r="E4760" s="21">
        <f>IF(D4760="?OLD","!!!","")</f>
        <v/>
      </c>
      <c r="F4760" s="22" t="str">
        <f>IF(OR(E4760="",E4760="!!!"),"",IF(NOT(ISNA(VLOOKUP(E4760,E$1:E4759,1,FALSE()))),"OLD",IF(AND(E4760&lt;&gt;"",E4760&lt;&gt;"!!!"),"NEW","")))</f>
        <v> </v>
      </c>
      <c r="G4760" s="23" t="str">
        <f>IF(OR(E4760="",E4760="!!!"),"",IF(OR(J4760=0,AND(J4760=1,K4760=1),AND(J4760=1,I4760="SBJ"),AND(J4760=1,I4760=0)),"?IN_FOCUS",IF(J4760&lt;=2,"?ACTIVATED",IF(J4760&lt;&gt;"","?FAMILIAR",IF(F4760="NEW",IF(ISNA(VLOOKUP(E4760,#REF!,1,FALSE())),"?TYPE_IDENTIFIABLE","?REFERENTIAL"),"_")))))</f>
        <v> </v>
      </c>
      <c r="H4760" s="24" t="str">
        <f>IF(J4760&lt;&gt;1,"",IF(I4760="SBJ","CB","?"))</f>
        <v> </v>
      </c>
      <c r="I4760" s="25" t="str">
        <f>IF(OR(E4760="",E4760="!!!",F4760="NEW"),"",INDEX(B4759:B$2,-1+SUMPRODUCT(MAX(ROW(E4759:E$2)*(E4760=E4759:E$2)))))</f>
        <v> </v>
      </c>
      <c r="J4760" s="25" t="str">
        <f>IF(OR(E4760="",E4760="!!!",F4760="NEW"),"",COUNTBLANK(OFFSET(A$1,,,SUMPRODUCT(MAX(ROW(E$2:E4760)*(E4760=E$2:E4760)))))-COUNTBLANK(OFFSET(A$1,,,SUMPRODUCT(MAX(ROW(E$1:E4759)*(E2=E$1:E4759))))))</f>
        <v> </v>
      </c>
      <c r="K4760" s="25" t="str">
        <f>IF(OR(E4760="",E4760="!!!",F4760="NEW"),"",INDEX(J$1:J4759,SUMPRODUCT(MAX(ROW(E$1:E4759)*(E4760=E$1:E4759)))))</f>
        <v> </v>
      </c>
      <c r="L4760" s="26"/>
    </row>
    <row r="4761" spans="1:12">
      <c r="A4761" s="20" t="s">
        <v>991</v>
      </c>
      <c r="E4761" s="21">
        <f>IF(D4761="?OLD","!!!","")</f>
        <v/>
      </c>
      <c r="F4761" s="22" t="str">
        <f>IF(OR(E4761="",E4761="!!!"),"",IF(NOT(ISNA(VLOOKUP(E4761,E$1:E4760,1,FALSE()))),"OLD",IF(AND(E4761&lt;&gt;"",E4761&lt;&gt;"!!!"),"NEW","")))</f>
        <v> </v>
      </c>
      <c r="G4761" s="23" t="str">
        <f>IF(OR(E4761="",E4761="!!!"),"",IF(OR(J4761=0,AND(J4761=1,K4761=1),AND(J4761=1,I4761="SBJ"),AND(J4761=1,I4761=0)),"?IN_FOCUS",IF(J4761&lt;=2,"?ACTIVATED",IF(J4761&lt;&gt;"","?FAMILIAR",IF(F4761="NEW",IF(ISNA(VLOOKUP(E4761,#REF!,1,FALSE())),"?TYPE_IDENTIFIABLE","?REFERENTIAL"),"_")))))</f>
        <v> </v>
      </c>
      <c r="H4761" s="24" t="str">
        <f>IF(J4761&lt;&gt;1,"",IF(I4761="SBJ","CB","?"))</f>
        <v> </v>
      </c>
      <c r="I4761" s="25" t="str">
        <f>IF(OR(E4761="",E4761="!!!",F4761="NEW"),"",INDEX(B4760:B$2,-1+SUMPRODUCT(MAX(ROW(E4760:E$2)*(E4761=E4760:E$2)))))</f>
        <v> </v>
      </c>
      <c r="J4761" s="25" t="str">
        <f>IF(OR(E4761="",E4761="!!!",F4761="NEW"),"",COUNTBLANK(OFFSET(A$1,,,SUMPRODUCT(MAX(ROW(E$2:E4761)*(E4761=E$2:E4761)))))-COUNTBLANK(OFFSET(A$1,,,SUMPRODUCT(MAX(ROW(E$1:E4760)*(E2=E$1:E4760))))))</f>
        <v> </v>
      </c>
      <c r="K4761" s="25" t="str">
        <f>IF(OR(E4761="",E4761="!!!",F4761="NEW"),"",INDEX(J$1:J4760,SUMPRODUCT(MAX(ROW(E$1:E4760)*(E4761=E$1:E4760)))))</f>
        <v> </v>
      </c>
      <c r="L4761" s="26"/>
    </row>
    <row r="4762" spans="1:12">
      <c r="A4762" s="20" t="s">
        <v>881</v>
      </c>
      <c r="E4762" s="21">
        <f>IF(D4762="?OLD","!!!","")</f>
        <v/>
      </c>
      <c r="F4762" s="22" t="str">
        <f>IF(OR(E4762="",E4762="!!!"),"",IF(NOT(ISNA(VLOOKUP(E4762,E$1:E4761,1,FALSE()))),"OLD",IF(AND(E4762&lt;&gt;"",E4762&lt;&gt;"!!!"),"NEW","")))</f>
        <v> </v>
      </c>
      <c r="G4762" s="23" t="str">
        <f>IF(OR(E4762="",E4762="!!!"),"",IF(OR(J4762=0,AND(J4762=1,K4762=1),AND(J4762=1,I4762="SBJ"),AND(J4762=1,I4762=0)),"?IN_FOCUS",IF(J4762&lt;=2,"?ACTIVATED",IF(J4762&lt;&gt;"","?FAMILIAR",IF(F4762="NEW",IF(ISNA(VLOOKUP(E4762,#REF!,1,FALSE())),"?TYPE_IDENTIFIABLE","?REFERENTIAL"),"_")))))</f>
        <v> </v>
      </c>
      <c r="H4762" s="24" t="str">
        <f>IF(J4762&lt;&gt;1,"",IF(I4762="SBJ","CB","?"))</f>
        <v> </v>
      </c>
      <c r="I4762" s="25" t="str">
        <f>IF(OR(E4762="",E4762="!!!",F4762="NEW"),"",INDEX(B4761:B$2,-1+SUMPRODUCT(MAX(ROW(E4761:E$2)*(E4762=E4761:E$2)))))</f>
        <v> </v>
      </c>
      <c r="J4762" s="25" t="str">
        <f>IF(OR(E4762="",E4762="!!!",F4762="NEW"),"",COUNTBLANK(OFFSET(A$1,,,SUMPRODUCT(MAX(ROW(E$2:E4762)*(E4762=E$2:E4762)))))-COUNTBLANK(OFFSET(A$1,,,SUMPRODUCT(MAX(ROW(E$1:E4761)*(E2=E$1:E4761))))))</f>
        <v> </v>
      </c>
      <c r="K4762" s="25" t="str">
        <f>IF(OR(E4762="",E4762="!!!",F4762="NEW"),"",INDEX(J$1:J4761,SUMPRODUCT(MAX(ROW(E$1:E4761)*(E4762=E$1:E4761)))))</f>
        <v> </v>
      </c>
      <c r="L4762" s="26"/>
    </row>
    <row r="4763" spans="1:12">
      <c r="A4763" s="20" t="s">
        <v>2092</v>
      </c>
      <c r="E4763" s="21">
        <f>IF(D4763="?OLD","!!!","")</f>
        <v/>
      </c>
      <c r="F4763" s="22" t="str">
        <f>IF(OR(E4763="",E4763="!!!"),"",IF(NOT(ISNA(VLOOKUP(E4763,E$1:E4762,1,FALSE()))),"OLD",IF(AND(E4763&lt;&gt;"",E4763&lt;&gt;"!!!"),"NEW","")))</f>
        <v> </v>
      </c>
      <c r="G4763" s="23" t="str">
        <f>IF(OR(E4763="",E4763="!!!"),"",IF(OR(J4763=0,AND(J4763=1,K4763=1),AND(J4763=1,I4763="SBJ"),AND(J4763=1,I4763=0)),"?IN_FOCUS",IF(J4763&lt;=2,"?ACTIVATED",IF(J4763&lt;&gt;"","?FAMILIAR",IF(F4763="NEW",IF(ISNA(VLOOKUP(E4763,#REF!,1,FALSE())),"?TYPE_IDENTIFIABLE","?REFERENTIAL"),"_")))))</f>
        <v> </v>
      </c>
      <c r="H4763" s="24" t="str">
        <f>IF(J4763&lt;&gt;1,"",IF(I4763="SBJ","CB","?"))</f>
        <v> </v>
      </c>
      <c r="I4763" s="25" t="str">
        <f>IF(OR(E4763="",E4763="!!!",F4763="NEW"),"",INDEX(B4762:B$2,-1+SUMPRODUCT(MAX(ROW(E4762:E$2)*(E4763=E4762:E$2)))))</f>
        <v> </v>
      </c>
      <c r="J4763" s="25" t="str">
        <f>IF(OR(E4763="",E4763="!!!",F4763="NEW"),"",COUNTBLANK(OFFSET(A$1,,,SUMPRODUCT(MAX(ROW(E$2:E4763)*(E4763=E$2:E4763)))))-COUNTBLANK(OFFSET(A$1,,,SUMPRODUCT(MAX(ROW(E$1:E4762)*(E2=E$1:E4762))))))</f>
        <v> </v>
      </c>
      <c r="K4763" s="25" t="str">
        <f>IF(OR(E4763="",E4763="!!!",F4763="NEW"),"",INDEX(J$1:J4762,SUMPRODUCT(MAX(ROW(E$1:E4762)*(E4763=E$1:E4762)))))</f>
        <v> </v>
      </c>
      <c r="L4763" s="26"/>
    </row>
    <row r="4764" spans="1:12">
      <c r="A4764" s="20" t="s">
        <v>2093</v>
      </c>
      <c r="B4764" s="27" t="s">
        <v>733</v>
      </c>
      <c r="C4764" s="27" t="s">
        <v>848</v>
      </c>
      <c r="E4764" s="21">
        <f>IF(D4764="?OLD","!!!","")</f>
        <v/>
      </c>
      <c r="F4764" s="22" t="str">
        <f>IF(OR(E4764="",E4764="!!!"),"",IF(NOT(ISNA(VLOOKUP(E4764,E$1:E4763,1,FALSE()))),"OLD",IF(AND(E4764&lt;&gt;"",E4764&lt;&gt;"!!!"),"NEW","")))</f>
        <v> </v>
      </c>
      <c r="G4764" s="23" t="str">
        <f>IF(OR(E4764="",E4764="!!!"),"",IF(OR(J4764=0,AND(J4764=1,K4764=1),AND(J4764=1,I4764="SBJ"),AND(J4764=1,I4764=0)),"?IN_FOCUS",IF(J4764&lt;=2,"?ACTIVATED",IF(J4764&lt;&gt;"","?FAMILIAR",IF(F4764="NEW",IF(ISNA(VLOOKUP(E4764,#REF!,1,FALSE())),"?TYPE_IDENTIFIABLE","?REFERENTIAL"),"_")))))</f>
        <v> </v>
      </c>
      <c r="H4764" s="24" t="str">
        <f>IF(J4764&lt;&gt;1,"",IF(I4764="SBJ","CB","?"))</f>
        <v> </v>
      </c>
      <c r="I4764" s="25" t="str">
        <f>IF(OR(E4764="",E4764="!!!",F4764="NEW"),"",INDEX(B4763:B$2,-1+SUMPRODUCT(MAX(ROW(E4763:E$2)*(E4764=E4763:E$2)))))</f>
        <v> </v>
      </c>
      <c r="J4764" s="25" t="str">
        <f>IF(OR(E4764="",E4764="!!!",F4764="NEW"),"",COUNTBLANK(OFFSET(A$1,,,SUMPRODUCT(MAX(ROW(E$2:E4764)*(E4764=E$2:E4764)))))-COUNTBLANK(OFFSET(A$1,,,SUMPRODUCT(MAX(ROW(E$1:E4763)*(E2=E$1:E4763))))))</f>
        <v> </v>
      </c>
      <c r="K4764" s="25" t="str">
        <f>IF(OR(E4764="",E4764="!!!",F4764="NEW"),"",INDEX(J$1:J4763,SUMPRODUCT(MAX(ROW(E$1:E4763)*(E4764=E$1:E4763)))))</f>
        <v> </v>
      </c>
      <c r="L4764" s="26"/>
    </row>
    <row r="4765" spans="1:12">
      <c r="A4765" s="20" t="s">
        <v>746</v>
      </c>
      <c r="E4765" s="21">
        <f>IF(D4765="?OLD","!!!","")</f>
        <v/>
      </c>
      <c r="F4765" s="22" t="str">
        <f>IF(OR(E4765="",E4765="!!!"),"",IF(NOT(ISNA(VLOOKUP(E4765,E$1:E4764,1,FALSE()))),"OLD",IF(AND(E4765&lt;&gt;"",E4765&lt;&gt;"!!!"),"NEW","")))</f>
        <v> </v>
      </c>
      <c r="G4765" s="23" t="str">
        <f>IF(OR(E4765="",E4765="!!!"),"",IF(OR(J4765=0,AND(J4765=1,K4765=1),AND(J4765=1,I4765="SBJ"),AND(J4765=1,I4765=0)),"?IN_FOCUS",IF(J4765&lt;=2,"?ACTIVATED",IF(J4765&lt;&gt;"","?FAMILIAR",IF(F4765="NEW",IF(ISNA(VLOOKUP(E4765,#REF!,1,FALSE())),"?TYPE_IDENTIFIABLE","?REFERENTIAL"),"_")))))</f>
        <v> </v>
      </c>
      <c r="H4765" s="24" t="str">
        <f>IF(J4765&lt;&gt;1,"",IF(I4765="SBJ","CB","?"))</f>
        <v> </v>
      </c>
      <c r="I4765" s="25" t="str">
        <f>IF(OR(E4765="",E4765="!!!",F4765="NEW"),"",INDEX(B4764:B$2,-1+SUMPRODUCT(MAX(ROW(E4764:E$2)*(E4765=E4764:E$2)))))</f>
        <v> </v>
      </c>
      <c r="J4765" s="25" t="str">
        <f>IF(OR(E4765="",E4765="!!!",F4765="NEW"),"",COUNTBLANK(OFFSET(A$1,,,SUMPRODUCT(MAX(ROW(E$2:E4765)*(E4765=E$2:E4765)))))-COUNTBLANK(OFFSET(A$1,,,SUMPRODUCT(MAX(ROW(E$1:E4764)*(E2=E$1:E4764))))))</f>
        <v> </v>
      </c>
      <c r="K4765" s="25" t="str">
        <f>IF(OR(E4765="",E4765="!!!",F4765="NEW"),"",INDEX(J$1:J4764,SUMPRODUCT(MAX(ROW(E$1:E4764)*(E4765=E$1:E4764)))))</f>
        <v> </v>
      </c>
      <c r="L4765" s="26"/>
    </row>
    <row r="4766" spans="1:12">
      <c r="A4766" s="20"/>
    </row>
    <row r="4767" spans="1:12">
      <c r="A4767" s="20" t="s">
        <v>2094</v>
      </c>
    </row>
    <row r="4768" spans="1:12">
      <c r="A4768" s="20" t="s">
        <v>952</v>
      </c>
      <c r="B4768" s="27" t="s">
        <v>728</v>
      </c>
      <c r="C4768" s="27" t="s">
        <v>749</v>
      </c>
      <c r="D4768" s="27" t="s">
        <v>740</v>
      </c>
      <c r="E4768" s="21">
        <f>IF(D4768="?OLD","!!!","")</f>
        <v/>
      </c>
      <c r="F4768" s="22" t="str">
        <f>IF(OR(E4768="",E4768="!!!"),"",IF(NOT(ISNA(VLOOKUP(E4768,E$1:E4767,1,FALSE()))),"OLD",IF(AND(E4768&lt;&gt;"",E4768&lt;&gt;"!!!"),"NEW","")))</f>
        <v> </v>
      </c>
      <c r="G4768" s="23" t="str">
        <f>IF(OR(E4768="",E4768="!!!"),"",IF(OR(J4768=0,AND(J4768=1,K4768=1),AND(J4768=1,I4768="SBJ"),AND(J4768=1,I4768=0)),"?IN_FOCUS",IF(J4768&lt;=2,"?ACTIVATED",IF(J4768&lt;&gt;"","?FAMILIAR",IF(F4768="NEW",IF(ISNA(VLOOKUP(E4768,#REF!,1,FALSE())),"?TYPE_IDENTIFIABLE","?REFERENTIAL"),"_")))))</f>
        <v> </v>
      </c>
      <c r="H4768" s="24" t="str">
        <f>IF(J4768&lt;&gt;1,"",IF(I4768="SBJ","CB","?"))</f>
        <v> </v>
      </c>
      <c r="I4768" s="25" t="str">
        <f>IF(OR(E4768="",E4768="!!!",F4768="NEW"),"",INDEX(B4767:B$2,-1+SUMPRODUCT(MAX(ROW(E4767:E$2)*(E4768=E4767:E$2)))))</f>
        <v> </v>
      </c>
      <c r="J4768" s="25" t="str">
        <f>IF(OR(E4768="",E4768="!!!",F4768="NEW"),"",COUNTBLANK(OFFSET(A$1,,,SUMPRODUCT(MAX(ROW(E$2:E4768)*(E4768=E$2:E4768)))))-COUNTBLANK(OFFSET(A$1,,,SUMPRODUCT(MAX(ROW(E$1:E4767)*(E2=E$1:E4767))))))</f>
        <v> </v>
      </c>
      <c r="K4768" s="25" t="str">
        <f>IF(OR(E4768="",E4768="!!!",F4768="NEW"),"",INDEX(J$1:J4767,SUMPRODUCT(MAX(ROW(E$1:E4767)*(E4768=E$1:E4767)))))</f>
        <v> </v>
      </c>
      <c r="L4768" s="26"/>
    </row>
    <row r="4769" spans="1:12">
      <c r="A4769" s="20" t="s">
        <v>1363</v>
      </c>
      <c r="E4769" s="21">
        <f>IF(D4769="?OLD","!!!","")</f>
        <v/>
      </c>
      <c r="F4769" s="22" t="str">
        <f>IF(OR(E4769="",E4769="!!!"),"",IF(NOT(ISNA(VLOOKUP(E4769,E$1:E4768,1,FALSE()))),"OLD",IF(AND(E4769&lt;&gt;"",E4769&lt;&gt;"!!!"),"NEW","")))</f>
        <v> </v>
      </c>
      <c r="G4769" s="23" t="str">
        <f>IF(OR(E4769="",E4769="!!!"),"",IF(OR(J4769=0,AND(J4769=1,K4769=1),AND(J4769=1,I4769="SBJ"),AND(J4769=1,I4769=0)),"?IN_FOCUS",IF(J4769&lt;=2,"?ACTIVATED",IF(J4769&lt;&gt;"","?FAMILIAR",IF(F4769="NEW",IF(ISNA(VLOOKUP(E4769,#REF!,1,FALSE())),"?TYPE_IDENTIFIABLE","?REFERENTIAL"),"_")))))</f>
        <v> </v>
      </c>
      <c r="H4769" s="24" t="str">
        <f>IF(J4769&lt;&gt;1,"",IF(I4769="SBJ","CB","?"))</f>
        <v> </v>
      </c>
      <c r="I4769" s="25" t="str">
        <f>IF(OR(E4769="",E4769="!!!",F4769="NEW"),"",INDEX(B4768:B$2,-1+SUMPRODUCT(MAX(ROW(E4768:E$2)*(E4769=E4768:E$2)))))</f>
        <v> </v>
      </c>
      <c r="J4769" s="25" t="str">
        <f>IF(OR(E4769="",E4769="!!!",F4769="NEW"),"",COUNTBLANK(OFFSET(A$1,,,SUMPRODUCT(MAX(ROW(E$2:E4769)*(E4769=E$2:E4769)))))-COUNTBLANK(OFFSET(A$1,,,SUMPRODUCT(MAX(ROW(E$1:E4768)*(E2=E$1:E4768))))))</f>
        <v> </v>
      </c>
      <c r="K4769" s="25" t="str">
        <f>IF(OR(E4769="",E4769="!!!",F4769="NEW"),"",INDEX(J$1:J4768,SUMPRODUCT(MAX(ROW(E$1:E4768)*(E4769=E$1:E4768)))))</f>
        <v> </v>
      </c>
      <c r="L4769" s="26"/>
    </row>
    <row r="4770" spans="1:12">
      <c r="A4770" s="20" t="s">
        <v>753</v>
      </c>
      <c r="E4770" s="21">
        <f>IF(D4770="?OLD","!!!","")</f>
        <v/>
      </c>
      <c r="F4770" s="22" t="str">
        <f>IF(OR(E4770="",E4770="!!!"),"",IF(NOT(ISNA(VLOOKUP(E4770,E$1:E4769,1,FALSE()))),"OLD",IF(AND(E4770&lt;&gt;"",E4770&lt;&gt;"!!!"),"NEW","")))</f>
        <v> </v>
      </c>
      <c r="G4770" s="23" t="str">
        <f>IF(OR(E4770="",E4770="!!!"),"",IF(OR(J4770=0,AND(J4770=1,K4770=1),AND(J4770=1,I4770="SBJ"),AND(J4770=1,I4770=0)),"?IN_FOCUS",IF(J4770&lt;=2,"?ACTIVATED",IF(J4770&lt;&gt;"","?FAMILIAR",IF(F4770="NEW",IF(ISNA(VLOOKUP(E4770,#REF!,1,FALSE())),"?TYPE_IDENTIFIABLE","?REFERENTIAL"),"_")))))</f>
        <v> </v>
      </c>
      <c r="H4770" s="24" t="str">
        <f>IF(J4770&lt;&gt;1,"",IF(I4770="SBJ","CB","?"))</f>
        <v> </v>
      </c>
      <c r="I4770" s="25" t="str">
        <f>IF(OR(E4770="",E4770="!!!",F4770="NEW"),"",INDEX(B4769:B$2,-1+SUMPRODUCT(MAX(ROW(E4769:E$2)*(E4770=E4769:E$2)))))</f>
        <v> </v>
      </c>
      <c r="J4770" s="25" t="str">
        <f>IF(OR(E4770="",E4770="!!!",F4770="NEW"),"",COUNTBLANK(OFFSET(A$1,,,SUMPRODUCT(MAX(ROW(E$2:E4770)*(E4770=E$2:E4770)))))-COUNTBLANK(OFFSET(A$1,,,SUMPRODUCT(MAX(ROW(E$1:E4769)*(E2=E$1:E4769))))))</f>
        <v> </v>
      </c>
      <c r="K4770" s="25" t="str">
        <f>IF(OR(E4770="",E4770="!!!",F4770="NEW"),"",INDEX(J$1:J4769,SUMPRODUCT(MAX(ROW(E$1:E4769)*(E4770=E$1:E4769)))))</f>
        <v> </v>
      </c>
      <c r="L4770" s="26"/>
    </row>
    <row r="4771" spans="1:12">
      <c r="A4771" s="20" t="s">
        <v>830</v>
      </c>
      <c r="E4771" s="21">
        <f>IF(D4771="?OLD","!!!","")</f>
        <v/>
      </c>
      <c r="F4771" s="22" t="str">
        <f>IF(OR(E4771="",E4771="!!!"),"",IF(NOT(ISNA(VLOOKUP(E4771,E$1:E4770,1,FALSE()))),"OLD",IF(AND(E4771&lt;&gt;"",E4771&lt;&gt;"!!!"),"NEW","")))</f>
        <v> </v>
      </c>
      <c r="G4771" s="23" t="str">
        <f>IF(OR(E4771="",E4771="!!!"),"",IF(OR(J4771=0,AND(J4771=1,K4771=1),AND(J4771=1,I4771="SBJ"),AND(J4771=1,I4771=0)),"?IN_FOCUS",IF(J4771&lt;=2,"?ACTIVATED",IF(J4771&lt;&gt;"","?FAMILIAR",IF(F4771="NEW",IF(ISNA(VLOOKUP(E4771,#REF!,1,FALSE())),"?TYPE_IDENTIFIABLE","?REFERENTIAL"),"_")))))</f>
        <v> </v>
      </c>
      <c r="H4771" s="24" t="str">
        <f>IF(J4771&lt;&gt;1,"",IF(I4771="SBJ","CB","?"))</f>
        <v> </v>
      </c>
      <c r="I4771" s="25" t="str">
        <f>IF(OR(E4771="",E4771="!!!",F4771="NEW"),"",INDEX(B4770:B$2,-1+SUMPRODUCT(MAX(ROW(E4770:E$2)*(E4771=E4770:E$2)))))</f>
        <v> </v>
      </c>
      <c r="J4771" s="25" t="str">
        <f>IF(OR(E4771="",E4771="!!!",F4771="NEW"),"",COUNTBLANK(OFFSET(A$1,,,SUMPRODUCT(MAX(ROW(E$2:E4771)*(E4771=E$2:E4771)))))-COUNTBLANK(OFFSET(A$1,,,SUMPRODUCT(MAX(ROW(E$1:E4770)*(E2=E$1:E4770))))))</f>
        <v> </v>
      </c>
      <c r="K4771" s="25" t="str">
        <f>IF(OR(E4771="",E4771="!!!",F4771="NEW"),"",INDEX(J$1:J4770,SUMPRODUCT(MAX(ROW(E$1:E4770)*(E4771=E$1:E4770)))))</f>
        <v> </v>
      </c>
      <c r="L4771" s="26"/>
    </row>
    <row r="4772" spans="1:12">
      <c r="A4772" s="20" t="s">
        <v>928</v>
      </c>
      <c r="E4772" s="21">
        <f>IF(D4772="?OLD","!!!","")</f>
        <v/>
      </c>
      <c r="F4772" s="22" t="str">
        <f>IF(OR(E4772="",E4772="!!!"),"",IF(NOT(ISNA(VLOOKUP(E4772,E$1:E4771,1,FALSE()))),"OLD",IF(AND(E4772&lt;&gt;"",E4772&lt;&gt;"!!!"),"NEW","")))</f>
        <v> </v>
      </c>
      <c r="G4772" s="23" t="str">
        <f>IF(OR(E4772="",E4772="!!!"),"",IF(OR(J4772=0,AND(J4772=1,K4772=1),AND(J4772=1,I4772="SBJ"),AND(J4772=1,I4772=0)),"?IN_FOCUS",IF(J4772&lt;=2,"?ACTIVATED",IF(J4772&lt;&gt;"","?FAMILIAR",IF(F4772="NEW",IF(ISNA(VLOOKUP(E4772,#REF!,1,FALSE())),"?TYPE_IDENTIFIABLE","?REFERENTIAL"),"_")))))</f>
        <v> </v>
      </c>
      <c r="H4772" s="24" t="str">
        <f>IF(J4772&lt;&gt;1,"",IF(I4772="SBJ","CB","?"))</f>
        <v> </v>
      </c>
      <c r="I4772" s="25" t="str">
        <f>IF(OR(E4772="",E4772="!!!",F4772="NEW"),"",INDEX(B4771:B$2,-1+SUMPRODUCT(MAX(ROW(E4771:E$2)*(E4772=E4771:E$2)))))</f>
        <v> </v>
      </c>
      <c r="J4772" s="25" t="str">
        <f>IF(OR(E4772="",E4772="!!!",F4772="NEW"),"",COUNTBLANK(OFFSET(A$1,,,SUMPRODUCT(MAX(ROW(E$2:E4772)*(E4772=E$2:E4772)))))-COUNTBLANK(OFFSET(A$1,,,SUMPRODUCT(MAX(ROW(E$1:E4771)*(E2=E$1:E4771))))))</f>
        <v> </v>
      </c>
      <c r="K4772" s="25" t="str">
        <f>IF(OR(E4772="",E4772="!!!",F4772="NEW"),"",INDEX(J$1:J4771,SUMPRODUCT(MAX(ROW(E$1:E4771)*(E4772=E$1:E4771)))))</f>
        <v> </v>
      </c>
      <c r="L4772" s="26"/>
    </row>
    <row r="4773" spans="1:12">
      <c r="A4773" s="20" t="s">
        <v>2095</v>
      </c>
      <c r="B4773" s="27" t="s">
        <v>771</v>
      </c>
      <c r="C4773" s="27" t="s">
        <v>848</v>
      </c>
      <c r="E4773" s="21">
        <f>IF(D4773="?OLD","!!!","")</f>
        <v/>
      </c>
      <c r="F4773" s="22" t="str">
        <f>IF(OR(E4773="",E4773="!!!"),"",IF(NOT(ISNA(VLOOKUP(E4773,E$1:E4772,1,FALSE()))),"OLD",IF(AND(E4773&lt;&gt;"",E4773&lt;&gt;"!!!"),"NEW","")))</f>
        <v> </v>
      </c>
      <c r="G4773" s="23" t="str">
        <f>IF(OR(E4773="",E4773="!!!"),"",IF(OR(J4773=0,AND(J4773=1,K4773=1),AND(J4773=1,I4773="SBJ"),AND(J4773=1,I4773=0)),"?IN_FOCUS",IF(J4773&lt;=2,"?ACTIVATED",IF(J4773&lt;&gt;"","?FAMILIAR",IF(F4773="NEW",IF(ISNA(VLOOKUP(E4773,#REF!,1,FALSE())),"?TYPE_IDENTIFIABLE","?REFERENTIAL"),"_")))))</f>
        <v> </v>
      </c>
      <c r="H4773" s="24" t="str">
        <f>IF(J4773&lt;&gt;1,"",IF(I4773="SBJ","CB","?"))</f>
        <v> </v>
      </c>
      <c r="I4773" s="25" t="str">
        <f>IF(OR(E4773="",E4773="!!!",F4773="NEW"),"",INDEX(B4772:B$2,-1+SUMPRODUCT(MAX(ROW(E4772:E$2)*(E4773=E4772:E$2)))))</f>
        <v> </v>
      </c>
      <c r="J4773" s="25" t="str">
        <f>IF(OR(E4773="",E4773="!!!",F4773="NEW"),"",COUNTBLANK(OFFSET(A$1,,,SUMPRODUCT(MAX(ROW(E$2:E4773)*(E4773=E$2:E4773)))))-COUNTBLANK(OFFSET(A$1,,,SUMPRODUCT(MAX(ROW(E$1:E4772)*(E2=E$1:E4772))))))</f>
        <v> </v>
      </c>
      <c r="K4773" s="25" t="str">
        <f>IF(OR(E4773="",E4773="!!!",F4773="NEW"),"",INDEX(J$1:J4772,SUMPRODUCT(MAX(ROW(E$1:E4772)*(E4773=E$1:E4772)))))</f>
        <v> </v>
      </c>
      <c r="L4773" s="26"/>
    </row>
    <row r="4774" spans="1:12">
      <c r="A4774" s="20" t="s">
        <v>920</v>
      </c>
      <c r="E4774" s="21">
        <f>IF(D4774="?OLD","!!!","")</f>
        <v/>
      </c>
      <c r="F4774" s="22" t="str">
        <f>IF(OR(E4774="",E4774="!!!"),"",IF(NOT(ISNA(VLOOKUP(E4774,E$1:E4773,1,FALSE()))),"OLD",IF(AND(E4774&lt;&gt;"",E4774&lt;&gt;"!!!"),"NEW","")))</f>
        <v> </v>
      </c>
      <c r="G4774" s="23" t="str">
        <f>IF(OR(E4774="",E4774="!!!"),"",IF(OR(J4774=0,AND(J4774=1,K4774=1),AND(J4774=1,I4774="SBJ"),AND(J4774=1,I4774=0)),"?IN_FOCUS",IF(J4774&lt;=2,"?ACTIVATED",IF(J4774&lt;&gt;"","?FAMILIAR",IF(F4774="NEW",IF(ISNA(VLOOKUP(E4774,#REF!,1,FALSE())),"?TYPE_IDENTIFIABLE","?REFERENTIAL"),"_")))))</f>
        <v> </v>
      </c>
      <c r="H4774" s="24" t="str">
        <f>IF(J4774&lt;&gt;1,"",IF(I4774="SBJ","CB","?"))</f>
        <v> </v>
      </c>
      <c r="I4774" s="25" t="str">
        <f>IF(OR(E4774="",E4774="!!!",F4774="NEW"),"",INDEX(B4773:B$2,-1+SUMPRODUCT(MAX(ROW(E4773:E$2)*(E4774=E4773:E$2)))))</f>
        <v> </v>
      </c>
      <c r="J4774" s="25" t="str">
        <f>IF(OR(E4774="",E4774="!!!",F4774="NEW"),"",COUNTBLANK(OFFSET(A$1,,,SUMPRODUCT(MAX(ROW(E$2:E4774)*(E4774=E$2:E4774)))))-COUNTBLANK(OFFSET(A$1,,,SUMPRODUCT(MAX(ROW(E$1:E4773)*(E2=E$1:E4773))))))</f>
        <v> </v>
      </c>
      <c r="K4774" s="25" t="str">
        <f>IF(OR(E4774="",E4774="!!!",F4774="NEW"),"",INDEX(J$1:J4773,SUMPRODUCT(MAX(ROW(E$1:E4773)*(E4774=E$1:E4773)))))</f>
        <v> </v>
      </c>
      <c r="L4774" s="26"/>
    </row>
    <row r="4775" spans="1:12">
      <c r="A4775" s="20" t="s">
        <v>926</v>
      </c>
      <c r="E4775" s="21">
        <f>IF(D4775="?OLD","!!!","")</f>
        <v/>
      </c>
      <c r="F4775" s="22" t="str">
        <f>IF(OR(E4775="",E4775="!!!"),"",IF(NOT(ISNA(VLOOKUP(E4775,E$1:E4774,1,FALSE()))),"OLD",IF(AND(E4775&lt;&gt;"",E4775&lt;&gt;"!!!"),"NEW","")))</f>
        <v> </v>
      </c>
      <c r="G4775" s="23" t="str">
        <f>IF(OR(E4775="",E4775="!!!"),"",IF(OR(J4775=0,AND(J4775=1,K4775=1),AND(J4775=1,I4775="SBJ"),AND(J4775=1,I4775=0)),"?IN_FOCUS",IF(J4775&lt;=2,"?ACTIVATED",IF(J4775&lt;&gt;"","?FAMILIAR",IF(F4775="NEW",IF(ISNA(VLOOKUP(E4775,#REF!,1,FALSE())),"?TYPE_IDENTIFIABLE","?REFERENTIAL"),"_")))))</f>
        <v> </v>
      </c>
      <c r="H4775" s="24" t="str">
        <f>IF(J4775&lt;&gt;1,"",IF(I4775="SBJ","CB","?"))</f>
        <v> </v>
      </c>
      <c r="I4775" s="25" t="str">
        <f>IF(OR(E4775="",E4775="!!!",F4775="NEW"),"",INDEX(B4774:B$2,-1+SUMPRODUCT(MAX(ROW(E4774:E$2)*(E4775=E4774:E$2)))))</f>
        <v> </v>
      </c>
      <c r="J4775" s="25" t="str">
        <f>IF(OR(E4775="",E4775="!!!",F4775="NEW"),"",COUNTBLANK(OFFSET(A$1,,,SUMPRODUCT(MAX(ROW(E$2:E4775)*(E4775=E$2:E4775)))))-COUNTBLANK(OFFSET(A$1,,,SUMPRODUCT(MAX(ROW(E$1:E4774)*(E2=E$1:E4774))))))</f>
        <v> </v>
      </c>
      <c r="K4775" s="25" t="str">
        <f>IF(OR(E4775="",E4775="!!!",F4775="NEW"),"",INDEX(J$1:J4774,SUMPRODUCT(MAX(ROW(E$1:E4774)*(E4775=E$1:E4774)))))</f>
        <v> </v>
      </c>
      <c r="L4775" s="26"/>
    </row>
    <row r="4776" spans="1:12">
      <c r="A4776" s="20" t="s">
        <v>2096</v>
      </c>
      <c r="B4776" s="27" t="s">
        <v>779</v>
      </c>
      <c r="C4776" s="27" t="s">
        <v>734</v>
      </c>
      <c r="E4776" s="21">
        <f>IF(D4776="?OLD","!!!","")</f>
        <v/>
      </c>
      <c r="F4776" s="22" t="str">
        <f>IF(OR(E4776="",E4776="!!!"),"",IF(NOT(ISNA(VLOOKUP(E4776,E$1:E4775,1,FALSE()))),"OLD",IF(AND(E4776&lt;&gt;"",E4776&lt;&gt;"!!!"),"NEW","")))</f>
        <v> </v>
      </c>
      <c r="G4776" s="23" t="str">
        <f>IF(OR(E4776="",E4776="!!!"),"",IF(OR(J4776=0,AND(J4776=1,K4776=1),AND(J4776=1,I4776="SBJ"),AND(J4776=1,I4776=0)),"?IN_FOCUS",IF(J4776&lt;=2,"?ACTIVATED",IF(J4776&lt;&gt;"","?FAMILIAR",IF(F4776="NEW",IF(ISNA(VLOOKUP(E4776,#REF!,1,FALSE())),"?TYPE_IDENTIFIABLE","?REFERENTIAL"),"_")))))</f>
        <v> </v>
      </c>
      <c r="H4776" s="24" t="str">
        <f>IF(J4776&lt;&gt;1,"",IF(I4776="SBJ","CB","?"))</f>
        <v> </v>
      </c>
      <c r="I4776" s="25" t="str">
        <f>IF(OR(E4776="",E4776="!!!",F4776="NEW"),"",INDEX(B4775:B$2,-1+SUMPRODUCT(MAX(ROW(E4775:E$2)*(E4776=E4775:E$2)))))</f>
        <v> </v>
      </c>
      <c r="J4776" s="25" t="str">
        <f>IF(OR(E4776="",E4776="!!!",F4776="NEW"),"",COUNTBLANK(OFFSET(A$1,,,SUMPRODUCT(MAX(ROW(E$2:E4776)*(E4776=E$2:E4776)))))-COUNTBLANK(OFFSET(A$1,,,SUMPRODUCT(MAX(ROW(E$1:E4775)*(E2=E$1:E4775))))))</f>
        <v> </v>
      </c>
      <c r="K4776" s="25" t="str">
        <f>IF(OR(E4776="",E4776="!!!",F4776="NEW"),"",INDEX(J$1:J4775,SUMPRODUCT(MAX(ROW(E$1:E4775)*(E4776=E$1:E4775)))))</f>
        <v> </v>
      </c>
      <c r="L4776" s="26"/>
    </row>
    <row r="4777" spans="1:12">
      <c r="A4777" s="20" t="s">
        <v>2097</v>
      </c>
      <c r="E4777" s="21">
        <f>IF(D4777="?OLD","!!!","")</f>
        <v/>
      </c>
      <c r="F4777" s="22" t="str">
        <f>IF(OR(E4777="",E4777="!!!"),"",IF(NOT(ISNA(VLOOKUP(E4777,E$1:E4776,1,FALSE()))),"OLD",IF(AND(E4777&lt;&gt;"",E4777&lt;&gt;"!!!"),"NEW","")))</f>
        <v> </v>
      </c>
      <c r="G4777" s="23" t="str">
        <f>IF(OR(E4777="",E4777="!!!"),"",IF(OR(J4777=0,AND(J4777=1,K4777=1),AND(J4777=1,I4777="SBJ"),AND(J4777=1,I4777=0)),"?IN_FOCUS",IF(J4777&lt;=2,"?ACTIVATED",IF(J4777&lt;&gt;"","?FAMILIAR",IF(F4777="NEW",IF(ISNA(VLOOKUP(E4777,#REF!,1,FALSE())),"?TYPE_IDENTIFIABLE","?REFERENTIAL"),"_")))))</f>
        <v> </v>
      </c>
      <c r="H4777" s="24" t="str">
        <f>IF(J4777&lt;&gt;1,"",IF(I4777="SBJ","CB","?"))</f>
        <v> </v>
      </c>
      <c r="I4777" s="25" t="str">
        <f>IF(OR(E4777="",E4777="!!!",F4777="NEW"),"",INDEX(B4776:B$2,-1+SUMPRODUCT(MAX(ROW(E4776:E$2)*(E4777=E4776:E$2)))))</f>
        <v> </v>
      </c>
      <c r="J4777" s="25" t="str">
        <f>IF(OR(E4777="",E4777="!!!",F4777="NEW"),"",COUNTBLANK(OFFSET(A$1,,,SUMPRODUCT(MAX(ROW(E$2:E4777)*(E4777=E$2:E4777)))))-COUNTBLANK(OFFSET(A$1,,,SUMPRODUCT(MAX(ROW(E$1:E4776)*(E2=E$1:E4776))))))</f>
        <v> </v>
      </c>
      <c r="K4777" s="25" t="str">
        <f>IF(OR(E4777="",E4777="!!!",F4777="NEW"),"",INDEX(J$1:J4776,SUMPRODUCT(MAX(ROW(E$1:E4776)*(E4777=E$1:E4776)))))</f>
        <v> </v>
      </c>
      <c r="L4777" s="26"/>
    </row>
    <row r="4778" spans="1:12">
      <c r="A4778" s="20" t="s">
        <v>1173</v>
      </c>
      <c r="E4778" s="21">
        <f>IF(D4778="?OLD","!!!","")</f>
        <v/>
      </c>
      <c r="F4778" s="22" t="str">
        <f>IF(OR(E4778="",E4778="!!!"),"",IF(NOT(ISNA(VLOOKUP(E4778,E$1:E4777,1,FALSE()))),"OLD",IF(AND(E4778&lt;&gt;"",E4778&lt;&gt;"!!!"),"NEW","")))</f>
        <v> </v>
      </c>
      <c r="G4778" s="23" t="str">
        <f>IF(OR(E4778="",E4778="!!!"),"",IF(OR(J4778=0,AND(J4778=1,K4778=1),AND(J4778=1,I4778="SBJ"),AND(J4778=1,I4778=0)),"?IN_FOCUS",IF(J4778&lt;=2,"?ACTIVATED",IF(J4778&lt;&gt;"","?FAMILIAR",IF(F4778="NEW",IF(ISNA(VLOOKUP(E4778,#REF!,1,FALSE())),"?TYPE_IDENTIFIABLE","?REFERENTIAL"),"_")))))</f>
        <v> </v>
      </c>
      <c r="H4778" s="24" t="str">
        <f>IF(J4778&lt;&gt;1,"",IF(I4778="SBJ","CB","?"))</f>
        <v> </v>
      </c>
      <c r="I4778" s="25" t="str">
        <f>IF(OR(E4778="",E4778="!!!",F4778="NEW"),"",INDEX(B4777:B$2,-1+SUMPRODUCT(MAX(ROW(E4777:E$2)*(E4778=E4777:E$2)))))</f>
        <v> </v>
      </c>
      <c r="J4778" s="25" t="str">
        <f>IF(OR(E4778="",E4778="!!!",F4778="NEW"),"",COUNTBLANK(OFFSET(A$1,,,SUMPRODUCT(MAX(ROW(E$2:E4778)*(E4778=E$2:E4778)))))-COUNTBLANK(OFFSET(A$1,,,SUMPRODUCT(MAX(ROW(E$1:E4777)*(E2=E$1:E4777))))))</f>
        <v> </v>
      </c>
      <c r="K4778" s="25" t="str">
        <f>IF(OR(E4778="",E4778="!!!",F4778="NEW"),"",INDEX(J$1:J4777,SUMPRODUCT(MAX(ROW(E$1:E4777)*(E4778=E$1:E4777)))))</f>
        <v> </v>
      </c>
      <c r="L4778" s="26"/>
    </row>
    <row r="4779" spans="1:12">
      <c r="A4779" s="20" t="s">
        <v>746</v>
      </c>
      <c r="E4779" s="21">
        <f>IF(D4779="?OLD","!!!","")</f>
        <v/>
      </c>
      <c r="F4779" s="22" t="str">
        <f>IF(OR(E4779="",E4779="!!!"),"",IF(NOT(ISNA(VLOOKUP(E4779,E$1:E4778,1,FALSE()))),"OLD",IF(AND(E4779&lt;&gt;"",E4779&lt;&gt;"!!!"),"NEW","")))</f>
        <v> </v>
      </c>
      <c r="G4779" s="23" t="str">
        <f>IF(OR(E4779="",E4779="!!!"),"",IF(OR(J4779=0,AND(J4779=1,K4779=1),AND(J4779=1,I4779="SBJ"),AND(J4779=1,I4779=0)),"?IN_FOCUS",IF(J4779&lt;=2,"?ACTIVATED",IF(J4779&lt;&gt;"","?FAMILIAR",IF(F4779="NEW",IF(ISNA(VLOOKUP(E4779,#REF!,1,FALSE())),"?TYPE_IDENTIFIABLE","?REFERENTIAL"),"_")))))</f>
        <v> </v>
      </c>
      <c r="H4779" s="24" t="str">
        <f>IF(J4779&lt;&gt;1,"",IF(I4779="SBJ","CB","?"))</f>
        <v> </v>
      </c>
      <c r="I4779" s="25" t="str">
        <f>IF(OR(E4779="",E4779="!!!",F4779="NEW"),"",INDEX(B4778:B$2,-1+SUMPRODUCT(MAX(ROW(E4778:E$2)*(E4779=E4778:E$2)))))</f>
        <v> </v>
      </c>
      <c r="J4779" s="25" t="str">
        <f>IF(OR(E4779="",E4779="!!!",F4779="NEW"),"",COUNTBLANK(OFFSET(A$1,,,SUMPRODUCT(MAX(ROW(E$2:E4779)*(E4779=E$2:E4779)))))-COUNTBLANK(OFFSET(A$1,,,SUMPRODUCT(MAX(ROW(E$1:E4778)*(E2=E$1:E4778))))))</f>
        <v> </v>
      </c>
      <c r="K4779" s="25" t="str">
        <f>IF(OR(E4779="",E4779="!!!",F4779="NEW"),"",INDEX(J$1:J4778,SUMPRODUCT(MAX(ROW(E$1:E4778)*(E4779=E$1:E4778)))))</f>
        <v> </v>
      </c>
      <c r="L4779" s="26"/>
    </row>
    <row r="4780" spans="1:12">
      <c r="A4780" s="20"/>
    </row>
    <row r="4781" spans="1:12">
      <c r="A4781" s="20" t="s">
        <v>2098</v>
      </c>
    </row>
    <row r="4782" spans="1:12">
      <c r="A4782" s="20" t="s">
        <v>1306</v>
      </c>
      <c r="E4782" s="21">
        <f>IF(D4782="?OLD","!!!","")</f>
        <v/>
      </c>
      <c r="F4782" s="22" t="str">
        <f>IF(OR(E4782="",E4782="!!!"),"",IF(NOT(ISNA(VLOOKUP(E4782,E$1:E4781,1,FALSE()))),"OLD",IF(AND(E4782&lt;&gt;"",E4782&lt;&gt;"!!!"),"NEW","")))</f>
        <v> </v>
      </c>
      <c r="G4782" s="23" t="str">
        <f>IF(OR(E4782="",E4782="!!!"),"",IF(OR(J4782=0,AND(J4782=1,K4782=1),AND(J4782=1,I4782="SBJ"),AND(J4782=1,I4782=0)),"?IN_FOCUS",IF(J4782&lt;=2,"?ACTIVATED",IF(J4782&lt;&gt;"","?FAMILIAR",IF(F4782="NEW",IF(ISNA(VLOOKUP(E4782,#REF!,1,FALSE())),"?TYPE_IDENTIFIABLE","?REFERENTIAL"),"_")))))</f>
        <v> </v>
      </c>
      <c r="H4782" s="24" t="str">
        <f>IF(J4782&lt;&gt;1,"",IF(I4782="SBJ","CB","?"))</f>
        <v> </v>
      </c>
      <c r="I4782" s="25" t="str">
        <f>IF(OR(E4782="",E4782="!!!",F4782="NEW"),"",INDEX(B4781:B$2,-1+SUMPRODUCT(MAX(ROW(E4781:E$2)*(E4782=E4781:E$2)))))</f>
        <v> </v>
      </c>
      <c r="J4782" s="25" t="str">
        <f>IF(OR(E4782="",E4782="!!!",F4782="NEW"),"",COUNTBLANK(OFFSET(A$1,,,SUMPRODUCT(MAX(ROW(E$2:E4782)*(E4782=E$2:E4782)))))-COUNTBLANK(OFFSET(A$1,,,SUMPRODUCT(MAX(ROW(E$1:E4781)*(E2=E$1:E4781))))))</f>
        <v> </v>
      </c>
      <c r="K4782" s="25" t="str">
        <f>IF(OR(E4782="",E4782="!!!",F4782="NEW"),"",INDEX(J$1:J4781,SUMPRODUCT(MAX(ROW(E$1:E4781)*(E4782=E$1:E4781)))))</f>
        <v> </v>
      </c>
      <c r="L4782" s="26"/>
    </row>
    <row r="4783" spans="1:12">
      <c r="A4783" s="20" t="s">
        <v>1139</v>
      </c>
      <c r="B4783" s="27" t="s">
        <v>733</v>
      </c>
      <c r="C4783" s="27" t="s">
        <v>792</v>
      </c>
      <c r="D4783" s="27" t="s">
        <v>740</v>
      </c>
      <c r="E4783" s="21">
        <f>IF(D4783="?OLD","!!!","")</f>
        <v/>
      </c>
      <c r="F4783" s="22" t="str">
        <f>IF(OR(E4783="",E4783="!!!"),"",IF(NOT(ISNA(VLOOKUP(E4783,E$1:E4782,1,FALSE()))),"OLD",IF(AND(E4783&lt;&gt;"",E4783&lt;&gt;"!!!"),"NEW","")))</f>
        <v> </v>
      </c>
      <c r="G4783" s="23" t="str">
        <f>IF(OR(E4783="",E4783="!!!"),"",IF(OR(J4783=0,AND(J4783=1,K4783=1),AND(J4783=1,I4783="SBJ"),AND(J4783=1,I4783=0)),"?IN_FOCUS",IF(J4783&lt;=2,"?ACTIVATED",IF(J4783&lt;&gt;"","?FAMILIAR",IF(F4783="NEW",IF(ISNA(VLOOKUP(E4783,#REF!,1,FALSE())),"?TYPE_IDENTIFIABLE","?REFERENTIAL"),"_")))))</f>
        <v> </v>
      </c>
      <c r="H4783" s="24" t="str">
        <f>IF(J4783&lt;&gt;1,"",IF(I4783="SBJ","CB","?"))</f>
        <v> </v>
      </c>
      <c r="I4783" s="25" t="str">
        <f>IF(OR(E4783="",E4783="!!!",F4783="NEW"),"",INDEX(B4782:B$2,-1+SUMPRODUCT(MAX(ROW(E4782:E$2)*(E4783=E4782:E$2)))))</f>
        <v> </v>
      </c>
      <c r="J4783" s="25" t="str">
        <f>IF(OR(E4783="",E4783="!!!",F4783="NEW"),"",COUNTBLANK(OFFSET(A$1,,,SUMPRODUCT(MAX(ROW(E$2:E4783)*(E4783=E$2:E4783)))))-COUNTBLANK(OFFSET(A$1,,,SUMPRODUCT(MAX(ROW(E$1:E4782)*(E2=E$1:E4782))))))</f>
        <v> </v>
      </c>
      <c r="K4783" s="25" t="str">
        <f>IF(OR(E4783="",E4783="!!!",F4783="NEW"),"",INDEX(J$1:J4782,SUMPRODUCT(MAX(ROW(E$1:E4782)*(E4783=E$1:E4782)))))</f>
        <v> </v>
      </c>
      <c r="L4783" s="26"/>
    </row>
    <row r="4784" spans="1:12">
      <c r="A4784" s="20" t="s">
        <v>45</v>
      </c>
      <c r="E4784" s="21">
        <f>IF(D4784="?OLD","!!!","")</f>
        <v/>
      </c>
      <c r="F4784" s="22" t="str">
        <f>IF(OR(E4784="",E4784="!!!"),"",IF(NOT(ISNA(VLOOKUP(E4784,E$1:E4783,1,FALSE()))),"OLD",IF(AND(E4784&lt;&gt;"",E4784&lt;&gt;"!!!"),"NEW","")))</f>
        <v> </v>
      </c>
      <c r="G4784" s="23" t="str">
        <f>IF(OR(E4784="",E4784="!!!"),"",IF(OR(J4784=0,AND(J4784=1,K4784=1),AND(J4784=1,I4784="SBJ"),AND(J4784=1,I4784=0)),"?IN_FOCUS",IF(J4784&lt;=2,"?ACTIVATED",IF(J4784&lt;&gt;"","?FAMILIAR",IF(F4784="NEW",IF(ISNA(VLOOKUP(E4784,#REF!,1,FALSE())),"?TYPE_IDENTIFIABLE","?REFERENTIAL"),"_")))))</f>
        <v> </v>
      </c>
      <c r="H4784" s="24" t="str">
        <f>IF(J4784&lt;&gt;1,"",IF(I4784="SBJ","CB","?"))</f>
        <v> </v>
      </c>
      <c r="I4784" s="25" t="str">
        <f>IF(OR(E4784="",E4784="!!!",F4784="NEW"),"",INDEX(B4783:B$2,-1+SUMPRODUCT(MAX(ROW(E4783:E$2)*(E4784=E4783:E$2)))))</f>
        <v> </v>
      </c>
      <c r="J4784" s="25" t="str">
        <f>IF(OR(E4784="",E4784="!!!",F4784="NEW"),"",COUNTBLANK(OFFSET(A$1,,,SUMPRODUCT(MAX(ROW(E$2:E4784)*(E4784=E$2:E4784)))))-COUNTBLANK(OFFSET(A$1,,,SUMPRODUCT(MAX(ROW(E$1:E4783)*(E2=E$1:E4783))))))</f>
        <v> </v>
      </c>
      <c r="K4784" s="25" t="str">
        <f>IF(OR(E4784="",E4784="!!!",F4784="NEW"),"",INDEX(J$1:J4783,SUMPRODUCT(MAX(ROW(E$1:E4783)*(E4784=E$1:E4783)))))</f>
        <v> </v>
      </c>
      <c r="L4784" s="26"/>
    </row>
    <row r="4785" spans="1:12">
      <c r="A4785" s="20" t="s">
        <v>962</v>
      </c>
      <c r="B4785" s="27" t="s">
        <v>756</v>
      </c>
      <c r="C4785" s="27" t="s">
        <v>908</v>
      </c>
      <c r="D4785" s="27" t="s">
        <v>740</v>
      </c>
      <c r="E4785" s="21">
        <f>IF(D4785="?OLD","!!!","")</f>
        <v/>
      </c>
      <c r="F4785" s="22" t="str">
        <f>IF(OR(E4785="",E4785="!!!"),"",IF(NOT(ISNA(VLOOKUP(E4785,E$1:E4784,1,FALSE()))),"OLD",IF(AND(E4785&lt;&gt;"",E4785&lt;&gt;"!!!"),"NEW","")))</f>
        <v> </v>
      </c>
      <c r="G4785" s="23" t="str">
        <f>IF(OR(E4785="",E4785="!!!"),"",IF(OR(J4785=0,AND(J4785=1,K4785=1),AND(J4785=1,I4785="SBJ"),AND(J4785=1,I4785=0)),"?IN_FOCUS",IF(J4785&lt;=2,"?ACTIVATED",IF(J4785&lt;&gt;"","?FAMILIAR",IF(F4785="NEW",IF(ISNA(VLOOKUP(E4785,#REF!,1,FALSE())),"?TYPE_IDENTIFIABLE","?REFERENTIAL"),"_")))))</f>
        <v> </v>
      </c>
      <c r="H4785" s="24" t="str">
        <f>IF(J4785&lt;&gt;1,"",IF(I4785="SBJ","CB","?"))</f>
        <v> </v>
      </c>
      <c r="I4785" s="25" t="str">
        <f>IF(OR(E4785="",E4785="!!!",F4785="NEW"),"",INDEX(B4784:B$2,-1+SUMPRODUCT(MAX(ROW(E4784:E$2)*(E4785=E4784:E$2)))))</f>
        <v> </v>
      </c>
      <c r="J4785" s="25" t="str">
        <f>IF(OR(E4785="",E4785="!!!",F4785="NEW"),"",COUNTBLANK(OFFSET(A$1,,,SUMPRODUCT(MAX(ROW(E$2:E4785)*(E4785=E$2:E4785)))))-COUNTBLANK(OFFSET(A$1,,,SUMPRODUCT(MAX(ROW(E$1:E4784)*(E2=E$1:E4784))))))</f>
        <v> </v>
      </c>
      <c r="K4785" s="25" t="str">
        <f>IF(OR(E4785="",E4785="!!!",F4785="NEW"),"",INDEX(J$1:J4784,SUMPRODUCT(MAX(ROW(E$1:E4784)*(E4785=E$1:E4784)))))</f>
        <v> </v>
      </c>
      <c r="L4785" s="26"/>
    </row>
    <row r="4786" spans="1:12">
      <c r="A4786" s="20" t="s">
        <v>947</v>
      </c>
      <c r="E4786" s="21">
        <f>IF(D4786="?OLD","!!!","")</f>
        <v/>
      </c>
      <c r="F4786" s="22" t="str">
        <f>IF(OR(E4786="",E4786="!!!"),"",IF(NOT(ISNA(VLOOKUP(E4786,E$1:E4785,1,FALSE()))),"OLD",IF(AND(E4786&lt;&gt;"",E4786&lt;&gt;"!!!"),"NEW","")))</f>
        <v> </v>
      </c>
      <c r="G4786" s="23" t="str">
        <f>IF(OR(E4786="",E4786="!!!"),"",IF(OR(J4786=0,AND(J4786=1,K4786=1),AND(J4786=1,I4786="SBJ"),AND(J4786=1,I4786=0)),"?IN_FOCUS",IF(J4786&lt;=2,"?ACTIVATED",IF(J4786&lt;&gt;"","?FAMILIAR",IF(F4786="NEW",IF(ISNA(VLOOKUP(E4786,#REF!,1,FALSE())),"?TYPE_IDENTIFIABLE","?REFERENTIAL"),"_")))))</f>
        <v> </v>
      </c>
      <c r="H4786" s="24" t="str">
        <f>IF(J4786&lt;&gt;1,"",IF(I4786="SBJ","CB","?"))</f>
        <v> </v>
      </c>
      <c r="I4786" s="25" t="str">
        <f>IF(OR(E4786="",E4786="!!!",F4786="NEW"),"",INDEX(B4785:B$2,-1+SUMPRODUCT(MAX(ROW(E4785:E$2)*(E4786=E4785:E$2)))))</f>
        <v> </v>
      </c>
      <c r="J4786" s="25" t="str">
        <f>IF(OR(E4786="",E4786="!!!",F4786="NEW"),"",COUNTBLANK(OFFSET(A$1,,,SUMPRODUCT(MAX(ROW(E$2:E4786)*(E4786=E$2:E4786)))))-COUNTBLANK(OFFSET(A$1,,,SUMPRODUCT(MAX(ROW(E$1:E4785)*(E2=E$1:E4785))))))</f>
        <v> </v>
      </c>
      <c r="K4786" s="25" t="str">
        <f>IF(OR(E4786="",E4786="!!!",F4786="NEW"),"",INDEX(J$1:J4785,SUMPRODUCT(MAX(ROW(E$1:E4785)*(E4786=E$1:E4785)))))</f>
        <v> </v>
      </c>
      <c r="L4786" s="26"/>
    </row>
    <row r="4787" spans="1:12">
      <c r="A4787" s="20" t="s">
        <v>807</v>
      </c>
      <c r="B4787" s="27" t="s">
        <v>728</v>
      </c>
      <c r="C4787" s="27" t="s">
        <v>749</v>
      </c>
      <c r="D4787" s="27" t="s">
        <v>740</v>
      </c>
      <c r="E4787" s="21">
        <f>IF(D4787="?OLD","!!!","")</f>
        <v/>
      </c>
      <c r="F4787" s="22" t="str">
        <f>IF(OR(E4787="",E4787="!!!"),"",IF(NOT(ISNA(VLOOKUP(E4787,E$1:E4786,1,FALSE()))),"OLD",IF(AND(E4787&lt;&gt;"",E4787&lt;&gt;"!!!"),"NEW","")))</f>
        <v> </v>
      </c>
      <c r="G4787" s="23" t="str">
        <f>IF(OR(E4787="",E4787="!!!"),"",IF(OR(J4787=0,AND(J4787=1,K4787=1),AND(J4787=1,I4787="SBJ"),AND(J4787=1,I4787=0)),"?IN_FOCUS",IF(J4787&lt;=2,"?ACTIVATED",IF(J4787&lt;&gt;"","?FAMILIAR",IF(F4787="NEW",IF(ISNA(VLOOKUP(E4787,#REF!,1,FALSE())),"?TYPE_IDENTIFIABLE","?REFERENTIAL"),"_")))))</f>
        <v> </v>
      </c>
      <c r="H4787" s="24" t="str">
        <f>IF(J4787&lt;&gt;1,"",IF(I4787="SBJ","CB","?"))</f>
        <v> </v>
      </c>
      <c r="I4787" s="25" t="str">
        <f>IF(OR(E4787="",E4787="!!!",F4787="NEW"),"",INDEX(B4786:B$2,-1+SUMPRODUCT(MAX(ROW(E4786:E$2)*(E4787=E4786:E$2)))))</f>
        <v> </v>
      </c>
      <c r="J4787" s="25" t="str">
        <f>IF(OR(E4787="",E4787="!!!",F4787="NEW"),"",COUNTBLANK(OFFSET(A$1,,,SUMPRODUCT(MAX(ROW(E$2:E4787)*(E4787=E$2:E4787)))))-COUNTBLANK(OFFSET(A$1,,,SUMPRODUCT(MAX(ROW(E$1:E4786)*(E2=E$1:E4786))))))</f>
        <v> </v>
      </c>
      <c r="K4787" s="25" t="str">
        <f>IF(OR(E4787="",E4787="!!!",F4787="NEW"),"",INDEX(J$1:J4786,SUMPRODUCT(MAX(ROW(E$1:E4786)*(E4787=E$1:E4786)))))</f>
        <v> </v>
      </c>
      <c r="L4787" s="26"/>
    </row>
    <row r="4788" spans="1:12">
      <c r="A4788" s="20" t="s">
        <v>2099</v>
      </c>
      <c r="B4788" s="27" t="s">
        <v>738</v>
      </c>
      <c r="C4788" s="27" t="s">
        <v>804</v>
      </c>
      <c r="D4788" s="27" t="s">
        <v>740</v>
      </c>
      <c r="E4788" s="21">
        <f>IF(D4788="?OLD","!!!","")</f>
        <v/>
      </c>
      <c r="F4788" s="22" t="str">
        <f>IF(OR(E4788="",E4788="!!!"),"",IF(NOT(ISNA(VLOOKUP(E4788,E$1:E4787,1,FALSE()))),"OLD",IF(AND(E4788&lt;&gt;"",E4788&lt;&gt;"!!!"),"NEW","")))</f>
        <v> </v>
      </c>
      <c r="G4788" s="23" t="str">
        <f>IF(OR(E4788="",E4788="!!!"),"",IF(OR(J4788=0,AND(J4788=1,K4788=1),AND(J4788=1,I4788="SBJ"),AND(J4788=1,I4788=0)),"?IN_FOCUS",IF(J4788&lt;=2,"?ACTIVATED",IF(J4788&lt;&gt;"","?FAMILIAR",IF(F4788="NEW",IF(ISNA(VLOOKUP(E4788,#REF!,1,FALSE())),"?TYPE_IDENTIFIABLE","?REFERENTIAL"),"_")))))</f>
        <v> </v>
      </c>
      <c r="H4788" s="24" t="str">
        <f>IF(J4788&lt;&gt;1,"",IF(I4788="SBJ","CB","?"))</f>
        <v> </v>
      </c>
      <c r="I4788" s="25" t="str">
        <f>IF(OR(E4788="",E4788="!!!",F4788="NEW"),"",INDEX(B4787:B$2,-1+SUMPRODUCT(MAX(ROW(E4787:E$2)*(E4788=E4787:E$2)))))</f>
        <v> </v>
      </c>
      <c r="J4788" s="25" t="str">
        <f>IF(OR(E4788="",E4788="!!!",F4788="NEW"),"",COUNTBLANK(OFFSET(A$1,,,SUMPRODUCT(MAX(ROW(E$2:E4788)*(E4788=E$2:E4788)))))-COUNTBLANK(OFFSET(A$1,,,SUMPRODUCT(MAX(ROW(E$1:E4787)*(E2=E$1:E4787))))))</f>
        <v> </v>
      </c>
      <c r="K4788" s="25" t="str">
        <f>IF(OR(E4788="",E4788="!!!",F4788="NEW"),"",INDEX(J$1:J4787,SUMPRODUCT(MAX(ROW(E$1:E4787)*(E4788=E$1:E4787)))))</f>
        <v> </v>
      </c>
      <c r="L4788" s="26"/>
    </row>
    <row r="4789" spans="1:12">
      <c r="A4789" s="20" t="s">
        <v>753</v>
      </c>
      <c r="E4789" s="21">
        <f>IF(D4789="?OLD","!!!","")</f>
        <v/>
      </c>
      <c r="F4789" s="22" t="str">
        <f>IF(OR(E4789="",E4789="!!!"),"",IF(NOT(ISNA(VLOOKUP(E4789,E$1:E4788,1,FALSE()))),"OLD",IF(AND(E4789&lt;&gt;"",E4789&lt;&gt;"!!!"),"NEW","")))</f>
        <v> </v>
      </c>
      <c r="G4789" s="23" t="str">
        <f>IF(OR(E4789="",E4789="!!!"),"",IF(OR(J4789=0,AND(J4789=1,K4789=1),AND(J4789=1,I4789="SBJ"),AND(J4789=1,I4789=0)),"?IN_FOCUS",IF(J4789&lt;=2,"?ACTIVATED",IF(J4789&lt;&gt;"","?FAMILIAR",IF(F4789="NEW",IF(ISNA(VLOOKUP(E4789,#REF!,1,FALSE())),"?TYPE_IDENTIFIABLE","?REFERENTIAL"),"_")))))</f>
        <v> </v>
      </c>
      <c r="H4789" s="24" t="str">
        <f>IF(J4789&lt;&gt;1,"",IF(I4789="SBJ","CB","?"))</f>
        <v> </v>
      </c>
      <c r="I4789" s="25" t="str">
        <f>IF(OR(E4789="",E4789="!!!",F4789="NEW"),"",INDEX(B4788:B$2,-1+SUMPRODUCT(MAX(ROW(E4788:E$2)*(E4789=E4788:E$2)))))</f>
        <v> </v>
      </c>
      <c r="J4789" s="25" t="str">
        <f>IF(OR(E4789="",E4789="!!!",F4789="NEW"),"",COUNTBLANK(OFFSET(A$1,,,SUMPRODUCT(MAX(ROW(E$2:E4789)*(E4789=E$2:E4789)))))-COUNTBLANK(OFFSET(A$1,,,SUMPRODUCT(MAX(ROW(E$1:E4788)*(E2=E$1:E4788))))))</f>
        <v> </v>
      </c>
      <c r="K4789" s="25" t="str">
        <f>IF(OR(E4789="",E4789="!!!",F4789="NEW"),"",INDEX(J$1:J4788,SUMPRODUCT(MAX(ROW(E$1:E4788)*(E4789=E$1:E4788)))))</f>
        <v> </v>
      </c>
      <c r="L4789" s="26"/>
    </row>
    <row r="4790" spans="1:12">
      <c r="A4790" s="20" t="s">
        <v>736</v>
      </c>
      <c r="E4790" s="21">
        <f>IF(D4790="?OLD","!!!","")</f>
        <v/>
      </c>
      <c r="F4790" s="22" t="str">
        <f>IF(OR(E4790="",E4790="!!!"),"",IF(NOT(ISNA(VLOOKUP(E4790,E$1:E4789,1,FALSE()))),"OLD",IF(AND(E4790&lt;&gt;"",E4790&lt;&gt;"!!!"),"NEW","")))</f>
        <v> </v>
      </c>
      <c r="G4790" s="23" t="str">
        <f>IF(OR(E4790="",E4790="!!!"),"",IF(OR(J4790=0,AND(J4790=1,K4790=1),AND(J4790=1,I4790="SBJ"),AND(J4790=1,I4790=0)),"?IN_FOCUS",IF(J4790&lt;=2,"?ACTIVATED",IF(J4790&lt;&gt;"","?FAMILIAR",IF(F4790="NEW",IF(ISNA(VLOOKUP(E4790,#REF!,1,FALSE())),"?TYPE_IDENTIFIABLE","?REFERENTIAL"),"_")))))</f>
        <v> </v>
      </c>
      <c r="H4790" s="24" t="str">
        <f>IF(J4790&lt;&gt;1,"",IF(I4790="SBJ","CB","?"))</f>
        <v> </v>
      </c>
      <c r="I4790" s="25" t="str">
        <f>IF(OR(E4790="",E4790="!!!",F4790="NEW"),"",INDEX(B4789:B$2,-1+SUMPRODUCT(MAX(ROW(E4789:E$2)*(E4790=E4789:E$2)))))</f>
        <v> </v>
      </c>
      <c r="J4790" s="25" t="str">
        <f>IF(OR(E4790="",E4790="!!!",F4790="NEW"),"",COUNTBLANK(OFFSET(A$1,,,SUMPRODUCT(MAX(ROW(E$2:E4790)*(E4790=E$2:E4790)))))-COUNTBLANK(OFFSET(A$1,,,SUMPRODUCT(MAX(ROW(E$1:E4789)*(E2=E$1:E4789))))))</f>
        <v> </v>
      </c>
      <c r="K4790" s="25" t="str">
        <f>IF(OR(E4790="",E4790="!!!",F4790="NEW"),"",INDEX(J$1:J4789,SUMPRODUCT(MAX(ROW(E$1:E4789)*(E4790=E$1:E4789)))))</f>
        <v> </v>
      </c>
      <c r="L4790" s="26"/>
    </row>
    <row r="4791" spans="1:12">
      <c r="A4791" s="20" t="s">
        <v>2100</v>
      </c>
      <c r="B4791" s="27" t="s">
        <v>738</v>
      </c>
      <c r="C4791" s="27" t="s">
        <v>739</v>
      </c>
      <c r="D4791" s="27" t="s">
        <v>740</v>
      </c>
      <c r="E4791" s="21">
        <f>IF(D4791="?OLD","!!!","")</f>
        <v/>
      </c>
      <c r="F4791" s="22" t="str">
        <f>IF(OR(E4791="",E4791="!!!"),"",IF(NOT(ISNA(VLOOKUP(E4791,E$1:E4790,1,FALSE()))),"OLD",IF(AND(E4791&lt;&gt;"",E4791&lt;&gt;"!!!"),"NEW","")))</f>
        <v> </v>
      </c>
      <c r="G4791" s="23" t="str">
        <f>IF(OR(E4791="",E4791="!!!"),"",IF(OR(J4791=0,AND(J4791=1,K4791=1),AND(J4791=1,I4791="SBJ"),AND(J4791=1,I4791=0)),"?IN_FOCUS",IF(J4791&lt;=2,"?ACTIVATED",IF(J4791&lt;&gt;"","?FAMILIAR",IF(F4791="NEW",IF(ISNA(VLOOKUP(E4791,#REF!,1,FALSE())),"?TYPE_IDENTIFIABLE","?REFERENTIAL"),"_")))))</f>
        <v> </v>
      </c>
      <c r="H4791" s="24" t="str">
        <f>IF(J4791&lt;&gt;1,"",IF(I4791="SBJ","CB","?"))</f>
        <v> </v>
      </c>
      <c r="I4791" s="25" t="str">
        <f>IF(OR(E4791="",E4791="!!!",F4791="NEW"),"",INDEX(B4790:B$2,-1+SUMPRODUCT(MAX(ROW(E4790:E$2)*(E4791=E4790:E$2)))))</f>
        <v> </v>
      </c>
      <c r="J4791" s="25" t="str">
        <f>IF(OR(E4791="",E4791="!!!",F4791="NEW"),"",COUNTBLANK(OFFSET(A$1,,,SUMPRODUCT(MAX(ROW(E$2:E4791)*(E4791=E$2:E4791)))))-COUNTBLANK(OFFSET(A$1,,,SUMPRODUCT(MAX(ROW(E$1:E4790)*(E2=E$1:E4790))))))</f>
        <v> </v>
      </c>
      <c r="K4791" s="25" t="str">
        <f>IF(OR(E4791="",E4791="!!!",F4791="NEW"),"",INDEX(J$1:J4790,SUMPRODUCT(MAX(ROW(E$1:E4790)*(E4791=E$1:E4790)))))</f>
        <v> </v>
      </c>
      <c r="L4791" s="26"/>
    </row>
    <row r="4792" spans="1:12">
      <c r="A4792" s="20" t="s">
        <v>788</v>
      </c>
      <c r="E4792" s="21">
        <f>IF(D4792="?OLD","!!!","")</f>
        <v/>
      </c>
      <c r="F4792" s="22" t="str">
        <f>IF(OR(E4792="",E4792="!!!"),"",IF(NOT(ISNA(VLOOKUP(E4792,E$1:E4791,1,FALSE()))),"OLD",IF(AND(E4792&lt;&gt;"",E4792&lt;&gt;"!!!"),"NEW","")))</f>
        <v> </v>
      </c>
      <c r="G4792" s="23" t="str">
        <f>IF(OR(E4792="",E4792="!!!"),"",IF(OR(J4792=0,AND(J4792=1,K4792=1),AND(J4792=1,I4792="SBJ"),AND(J4792=1,I4792=0)),"?IN_FOCUS",IF(J4792&lt;=2,"?ACTIVATED",IF(J4792&lt;&gt;"","?FAMILIAR",IF(F4792="NEW",IF(ISNA(VLOOKUP(E4792,#REF!,1,FALSE())),"?TYPE_IDENTIFIABLE","?REFERENTIAL"),"_")))))</f>
        <v> </v>
      </c>
      <c r="H4792" s="24" t="str">
        <f>IF(J4792&lt;&gt;1,"",IF(I4792="SBJ","CB","?"))</f>
        <v> </v>
      </c>
      <c r="I4792" s="25" t="str">
        <f>IF(OR(E4792="",E4792="!!!",F4792="NEW"),"",INDEX(B4791:B$2,-1+SUMPRODUCT(MAX(ROW(E4791:E$2)*(E4792=E4791:E$2)))))</f>
        <v> </v>
      </c>
      <c r="J4792" s="25" t="str">
        <f>IF(OR(E4792="",E4792="!!!",F4792="NEW"),"",COUNTBLANK(OFFSET(A$1,,,SUMPRODUCT(MAX(ROW(E$2:E4792)*(E4792=E$2:E4792)))))-COUNTBLANK(OFFSET(A$1,,,SUMPRODUCT(MAX(ROW(E$1:E4791)*(E2=E$1:E4791))))))</f>
        <v> </v>
      </c>
      <c r="K4792" s="25" t="str">
        <f>IF(OR(E4792="",E4792="!!!",F4792="NEW"),"",INDEX(J$1:J4791,SUMPRODUCT(MAX(ROW(E$1:E4791)*(E4792=E$1:E4791)))))</f>
        <v> </v>
      </c>
      <c r="L4792" s="26"/>
    </row>
    <row r="4793" spans="1:12">
      <c r="A4793" s="20" t="s">
        <v>2101</v>
      </c>
      <c r="B4793" s="27" t="s">
        <v>733</v>
      </c>
      <c r="C4793" s="27" t="s">
        <v>734</v>
      </c>
      <c r="E4793" s="21">
        <f>IF(D4793="?OLD","!!!","")</f>
        <v/>
      </c>
      <c r="F4793" s="22" t="str">
        <f>IF(OR(E4793="",E4793="!!!"),"",IF(NOT(ISNA(VLOOKUP(E4793,E$1:E4792,1,FALSE()))),"OLD",IF(AND(E4793&lt;&gt;"",E4793&lt;&gt;"!!!"),"NEW","")))</f>
        <v> </v>
      </c>
      <c r="G4793" s="23" t="str">
        <f>IF(OR(E4793="",E4793="!!!"),"",IF(OR(J4793=0,AND(J4793=1,K4793=1),AND(J4793=1,I4793="SBJ"),AND(J4793=1,I4793=0)),"?IN_FOCUS",IF(J4793&lt;=2,"?ACTIVATED",IF(J4793&lt;&gt;"","?FAMILIAR",IF(F4793="NEW",IF(ISNA(VLOOKUP(E4793,#REF!,1,FALSE())),"?TYPE_IDENTIFIABLE","?REFERENTIAL"),"_")))))</f>
        <v> </v>
      </c>
      <c r="H4793" s="24" t="str">
        <f>IF(J4793&lt;&gt;1,"",IF(I4793="SBJ","CB","?"))</f>
        <v> </v>
      </c>
      <c r="I4793" s="25" t="str">
        <f>IF(OR(E4793="",E4793="!!!",F4793="NEW"),"",INDEX(B4792:B$2,-1+SUMPRODUCT(MAX(ROW(E4792:E$2)*(E4793=E4792:E$2)))))</f>
        <v> </v>
      </c>
      <c r="J4793" s="25" t="str">
        <f>IF(OR(E4793="",E4793="!!!",F4793="NEW"),"",COUNTBLANK(OFFSET(A$1,,,SUMPRODUCT(MAX(ROW(E$2:E4793)*(E4793=E$2:E4793)))))-COUNTBLANK(OFFSET(A$1,,,SUMPRODUCT(MAX(ROW(E$1:E4792)*(E2=E$1:E4792))))))</f>
        <v> </v>
      </c>
      <c r="K4793" s="25" t="str">
        <f>IF(OR(E4793="",E4793="!!!",F4793="NEW"),"",INDEX(J$1:J4792,SUMPRODUCT(MAX(ROW(E$1:E4792)*(E4793=E$1:E4792)))))</f>
        <v> </v>
      </c>
      <c r="L4793" s="26"/>
    </row>
    <row r="4794" spans="1:12">
      <c r="A4794" s="20" t="s">
        <v>2102</v>
      </c>
      <c r="E4794" s="21">
        <f>IF(D4794="?OLD","!!!","")</f>
        <v/>
      </c>
      <c r="F4794" s="22" t="str">
        <f>IF(OR(E4794="",E4794="!!!"),"",IF(NOT(ISNA(VLOOKUP(E4794,E$1:E4793,1,FALSE()))),"OLD",IF(AND(E4794&lt;&gt;"",E4794&lt;&gt;"!!!"),"NEW","")))</f>
        <v> </v>
      </c>
      <c r="G4794" s="23" t="str">
        <f>IF(OR(E4794="",E4794="!!!"),"",IF(OR(J4794=0,AND(J4794=1,K4794=1),AND(J4794=1,I4794="SBJ"),AND(J4794=1,I4794=0)),"?IN_FOCUS",IF(J4794&lt;=2,"?ACTIVATED",IF(J4794&lt;&gt;"","?FAMILIAR",IF(F4794="NEW",IF(ISNA(VLOOKUP(E4794,#REF!,1,FALSE())),"?TYPE_IDENTIFIABLE","?REFERENTIAL"),"_")))))</f>
        <v> </v>
      </c>
      <c r="H4794" s="24" t="str">
        <f>IF(J4794&lt;&gt;1,"",IF(I4794="SBJ","CB","?"))</f>
        <v> </v>
      </c>
      <c r="I4794" s="25" t="str">
        <f>IF(OR(E4794="",E4794="!!!",F4794="NEW"),"",INDEX(B4793:B$2,-1+SUMPRODUCT(MAX(ROW(E4793:E$2)*(E4794=E4793:E$2)))))</f>
        <v> </v>
      </c>
      <c r="J4794" s="25" t="str">
        <f>IF(OR(E4794="",E4794="!!!",F4794="NEW"),"",COUNTBLANK(OFFSET(A$1,,,SUMPRODUCT(MAX(ROW(E$2:E4794)*(E4794=E$2:E4794)))))-COUNTBLANK(OFFSET(A$1,,,SUMPRODUCT(MAX(ROW(E$1:E4793)*(E2=E$1:E4793))))))</f>
        <v> </v>
      </c>
      <c r="K4794" s="25" t="str">
        <f>IF(OR(E4794="",E4794="!!!",F4794="NEW"),"",INDEX(J$1:J4793,SUMPRODUCT(MAX(ROW(E$1:E4793)*(E4794=E$1:E4793)))))</f>
        <v> </v>
      </c>
      <c r="L4794" s="26"/>
    </row>
    <row r="4795" spans="1:12">
      <c r="A4795" s="20" t="s">
        <v>2103</v>
      </c>
      <c r="B4795" s="27" t="s">
        <v>733</v>
      </c>
      <c r="C4795" s="27" t="s">
        <v>848</v>
      </c>
      <c r="E4795" s="21">
        <f>IF(D4795="?OLD","!!!","")</f>
        <v/>
      </c>
      <c r="F4795" s="22" t="str">
        <f>IF(OR(E4795="",E4795="!!!"),"",IF(NOT(ISNA(VLOOKUP(E4795,E$1:E4794,1,FALSE()))),"OLD",IF(AND(E4795&lt;&gt;"",E4795&lt;&gt;"!!!"),"NEW","")))</f>
        <v> </v>
      </c>
      <c r="G4795" s="23" t="str">
        <f>IF(OR(E4795="",E4795="!!!"),"",IF(OR(J4795=0,AND(J4795=1,K4795=1),AND(J4795=1,I4795="SBJ"),AND(J4795=1,I4795=0)),"?IN_FOCUS",IF(J4795&lt;=2,"?ACTIVATED",IF(J4795&lt;&gt;"","?FAMILIAR",IF(F4795="NEW",IF(ISNA(VLOOKUP(E4795,#REF!,1,FALSE())),"?TYPE_IDENTIFIABLE","?REFERENTIAL"),"_")))))</f>
        <v> </v>
      </c>
      <c r="H4795" s="24" t="str">
        <f>IF(J4795&lt;&gt;1,"",IF(I4795="SBJ","CB","?"))</f>
        <v> </v>
      </c>
      <c r="I4795" s="25" t="str">
        <f>IF(OR(E4795="",E4795="!!!",F4795="NEW"),"",INDEX(B4794:B$2,-1+SUMPRODUCT(MAX(ROW(E4794:E$2)*(E4795=E4794:E$2)))))</f>
        <v> </v>
      </c>
      <c r="J4795" s="25" t="str">
        <f>IF(OR(E4795="",E4795="!!!",F4795="NEW"),"",COUNTBLANK(OFFSET(A$1,,,SUMPRODUCT(MAX(ROW(E$2:E4795)*(E4795=E$2:E4795)))))-COUNTBLANK(OFFSET(A$1,,,SUMPRODUCT(MAX(ROW(E$1:E4794)*(E2=E$1:E4794))))))</f>
        <v> </v>
      </c>
      <c r="K4795" s="25" t="str">
        <f>IF(OR(E4795="",E4795="!!!",F4795="NEW"),"",INDEX(J$1:J4794,SUMPRODUCT(MAX(ROW(E$1:E4794)*(E4795=E$1:E4794)))))</f>
        <v> </v>
      </c>
      <c r="L4795" s="26"/>
    </row>
    <row r="4796" spans="1:12">
      <c r="A4796" s="20" t="s">
        <v>2104</v>
      </c>
      <c r="B4796" s="27" t="s">
        <v>777</v>
      </c>
      <c r="C4796" s="27" t="s">
        <v>734</v>
      </c>
      <c r="E4796" s="21">
        <f>IF(D4796="?OLD","!!!","")</f>
        <v/>
      </c>
      <c r="F4796" s="22" t="str">
        <f>IF(OR(E4796="",E4796="!!!"),"",IF(NOT(ISNA(VLOOKUP(E4796,E$1:E4795,1,FALSE()))),"OLD",IF(AND(E4796&lt;&gt;"",E4796&lt;&gt;"!!!"),"NEW","")))</f>
        <v> </v>
      </c>
      <c r="G4796" s="23" t="str">
        <f>IF(OR(E4796="",E4796="!!!"),"",IF(OR(J4796=0,AND(J4796=1,K4796=1),AND(J4796=1,I4796="SBJ"),AND(J4796=1,I4796=0)),"?IN_FOCUS",IF(J4796&lt;=2,"?ACTIVATED",IF(J4796&lt;&gt;"","?FAMILIAR",IF(F4796="NEW",IF(ISNA(VLOOKUP(E4796,#REF!,1,FALSE())),"?TYPE_IDENTIFIABLE","?REFERENTIAL"),"_")))))</f>
        <v> </v>
      </c>
      <c r="H4796" s="24" t="str">
        <f>IF(J4796&lt;&gt;1,"",IF(I4796="SBJ","CB","?"))</f>
        <v> </v>
      </c>
      <c r="I4796" s="25" t="str">
        <f>IF(OR(E4796="",E4796="!!!",F4796="NEW"),"",INDEX(B4795:B$2,-1+SUMPRODUCT(MAX(ROW(E4795:E$2)*(E4796=E4795:E$2)))))</f>
        <v> </v>
      </c>
      <c r="J4796" s="25" t="str">
        <f>IF(OR(E4796="",E4796="!!!",F4796="NEW"),"",COUNTBLANK(OFFSET(A$1,,,SUMPRODUCT(MAX(ROW(E$2:E4796)*(E4796=E$2:E4796)))))-COUNTBLANK(OFFSET(A$1,,,SUMPRODUCT(MAX(ROW(E$1:E4795)*(E2=E$1:E4795))))))</f>
        <v> </v>
      </c>
      <c r="K4796" s="25" t="str">
        <f>IF(OR(E4796="",E4796="!!!",F4796="NEW"),"",INDEX(J$1:J4795,SUMPRODUCT(MAX(ROW(E$1:E4795)*(E4796=E$1:E4795)))))</f>
        <v> </v>
      </c>
      <c r="L4796" s="26"/>
    </row>
    <row r="4797" spans="1:12">
      <c r="A4797" s="20" t="s">
        <v>753</v>
      </c>
      <c r="E4797" s="21">
        <f>IF(D4797="?OLD","!!!","")</f>
        <v/>
      </c>
      <c r="F4797" s="22" t="str">
        <f>IF(OR(E4797="",E4797="!!!"),"",IF(NOT(ISNA(VLOOKUP(E4797,E$1:E4796,1,FALSE()))),"OLD",IF(AND(E4797&lt;&gt;"",E4797&lt;&gt;"!!!"),"NEW","")))</f>
        <v> </v>
      </c>
      <c r="G4797" s="23" t="str">
        <f>IF(OR(E4797="",E4797="!!!"),"",IF(OR(J4797=0,AND(J4797=1,K4797=1),AND(J4797=1,I4797="SBJ"),AND(J4797=1,I4797=0)),"?IN_FOCUS",IF(J4797&lt;=2,"?ACTIVATED",IF(J4797&lt;&gt;"","?FAMILIAR",IF(F4797="NEW",IF(ISNA(VLOOKUP(E4797,#REF!,1,FALSE())),"?TYPE_IDENTIFIABLE","?REFERENTIAL"),"_")))))</f>
        <v> </v>
      </c>
      <c r="H4797" s="24" t="str">
        <f>IF(J4797&lt;&gt;1,"",IF(I4797="SBJ","CB","?"))</f>
        <v> </v>
      </c>
      <c r="I4797" s="25" t="str">
        <f>IF(OR(E4797="",E4797="!!!",F4797="NEW"),"",INDEX(B4796:B$2,-1+SUMPRODUCT(MAX(ROW(E4796:E$2)*(E4797=E4796:E$2)))))</f>
        <v> </v>
      </c>
      <c r="J4797" s="25" t="str">
        <f>IF(OR(E4797="",E4797="!!!",F4797="NEW"),"",COUNTBLANK(OFFSET(A$1,,,SUMPRODUCT(MAX(ROW(E$2:E4797)*(E4797=E$2:E4797)))))-COUNTBLANK(OFFSET(A$1,,,SUMPRODUCT(MAX(ROW(E$1:E4796)*(E2=E$1:E4796))))))</f>
        <v> </v>
      </c>
      <c r="K4797" s="25" t="str">
        <f>IF(OR(E4797="",E4797="!!!",F4797="NEW"),"",INDEX(J$1:J4796,SUMPRODUCT(MAX(ROW(E$1:E4796)*(E4797=E$1:E4796)))))</f>
        <v> </v>
      </c>
      <c r="L4797" s="26"/>
    </row>
    <row r="4798" spans="1:12">
      <c r="A4798" s="20" t="s">
        <v>788</v>
      </c>
      <c r="E4798" s="21">
        <f>IF(D4798="?OLD","!!!","")</f>
        <v/>
      </c>
      <c r="F4798" s="22" t="str">
        <f>IF(OR(E4798="",E4798="!!!"),"",IF(NOT(ISNA(VLOOKUP(E4798,E$1:E4797,1,FALSE()))),"OLD",IF(AND(E4798&lt;&gt;"",E4798&lt;&gt;"!!!"),"NEW","")))</f>
        <v> </v>
      </c>
      <c r="G4798" s="23" t="str">
        <f>IF(OR(E4798="",E4798="!!!"),"",IF(OR(J4798=0,AND(J4798=1,K4798=1),AND(J4798=1,I4798="SBJ"),AND(J4798=1,I4798=0)),"?IN_FOCUS",IF(J4798&lt;=2,"?ACTIVATED",IF(J4798&lt;&gt;"","?FAMILIAR",IF(F4798="NEW",IF(ISNA(VLOOKUP(E4798,#REF!,1,FALSE())),"?TYPE_IDENTIFIABLE","?REFERENTIAL"),"_")))))</f>
        <v> </v>
      </c>
      <c r="H4798" s="24" t="str">
        <f>IF(J4798&lt;&gt;1,"",IF(I4798="SBJ","CB","?"))</f>
        <v> </v>
      </c>
      <c r="I4798" s="25" t="str">
        <f>IF(OR(E4798="",E4798="!!!",F4798="NEW"),"",INDEX(B4797:B$2,-1+SUMPRODUCT(MAX(ROW(E4797:E$2)*(E4798=E4797:E$2)))))</f>
        <v> </v>
      </c>
      <c r="J4798" s="25" t="str">
        <f>IF(OR(E4798="",E4798="!!!",F4798="NEW"),"",COUNTBLANK(OFFSET(A$1,,,SUMPRODUCT(MAX(ROW(E$2:E4798)*(E4798=E$2:E4798)))))-COUNTBLANK(OFFSET(A$1,,,SUMPRODUCT(MAX(ROW(E$1:E4797)*(E2=E$1:E4797))))))</f>
        <v> </v>
      </c>
      <c r="K4798" s="25" t="str">
        <f>IF(OR(E4798="",E4798="!!!",F4798="NEW"),"",INDEX(J$1:J4797,SUMPRODUCT(MAX(ROW(E$1:E4797)*(E4798=E$1:E4797)))))</f>
        <v> </v>
      </c>
      <c r="L4798" s="26"/>
    </row>
    <row r="4799" spans="1:12">
      <c r="A4799" s="20" t="s">
        <v>2105</v>
      </c>
      <c r="B4799" s="27" t="s">
        <v>787</v>
      </c>
      <c r="C4799" s="27" t="s">
        <v>734</v>
      </c>
      <c r="E4799" s="21">
        <f>IF(D4799="?OLD","!!!","")</f>
        <v/>
      </c>
      <c r="F4799" s="22" t="str">
        <f>IF(OR(E4799="",E4799="!!!"),"",IF(NOT(ISNA(VLOOKUP(E4799,E$1:E4798,1,FALSE()))),"OLD",IF(AND(E4799&lt;&gt;"",E4799&lt;&gt;"!!!"),"NEW","")))</f>
        <v> </v>
      </c>
      <c r="G4799" s="23" t="str">
        <f>IF(OR(E4799="",E4799="!!!"),"",IF(OR(J4799=0,AND(J4799=1,K4799=1),AND(J4799=1,I4799="SBJ"),AND(J4799=1,I4799=0)),"?IN_FOCUS",IF(J4799&lt;=2,"?ACTIVATED",IF(J4799&lt;&gt;"","?FAMILIAR",IF(F4799="NEW",IF(ISNA(VLOOKUP(E4799,#REF!,1,FALSE())),"?TYPE_IDENTIFIABLE","?REFERENTIAL"),"_")))))</f>
        <v> </v>
      </c>
      <c r="H4799" s="24" t="str">
        <f>IF(J4799&lt;&gt;1,"",IF(I4799="SBJ","CB","?"))</f>
        <v> </v>
      </c>
      <c r="I4799" s="25" t="str">
        <f>IF(OR(E4799="",E4799="!!!",F4799="NEW"),"",INDEX(B4798:B$2,-1+SUMPRODUCT(MAX(ROW(E4798:E$2)*(E4799=E4798:E$2)))))</f>
        <v> </v>
      </c>
      <c r="J4799" s="25" t="str">
        <f>IF(OR(E4799="",E4799="!!!",F4799="NEW"),"",COUNTBLANK(OFFSET(A$1,,,SUMPRODUCT(MAX(ROW(E$2:E4799)*(E4799=E$2:E4799)))))-COUNTBLANK(OFFSET(A$1,,,SUMPRODUCT(MAX(ROW(E$1:E4798)*(E2=E$1:E4798))))))</f>
        <v> </v>
      </c>
      <c r="K4799" s="25" t="str">
        <f>IF(OR(E4799="",E4799="!!!",F4799="NEW"),"",INDEX(J$1:J4798,SUMPRODUCT(MAX(ROW(E$1:E4798)*(E4799=E$1:E4798)))))</f>
        <v> </v>
      </c>
      <c r="L4799" s="26"/>
    </row>
    <row r="4800" spans="1:12">
      <c r="A4800" s="20" t="s">
        <v>753</v>
      </c>
      <c r="E4800" s="21">
        <f>IF(D4800="?OLD","!!!","")</f>
        <v/>
      </c>
      <c r="F4800" s="22" t="str">
        <f>IF(OR(E4800="",E4800="!!!"),"",IF(NOT(ISNA(VLOOKUP(E4800,E$1:E4799,1,FALSE()))),"OLD",IF(AND(E4800&lt;&gt;"",E4800&lt;&gt;"!!!"),"NEW","")))</f>
        <v> </v>
      </c>
      <c r="G4800" s="23" t="str">
        <f>IF(OR(E4800="",E4800="!!!"),"",IF(OR(J4800=0,AND(J4800=1,K4800=1),AND(J4800=1,I4800="SBJ"),AND(J4800=1,I4800=0)),"?IN_FOCUS",IF(J4800&lt;=2,"?ACTIVATED",IF(J4800&lt;&gt;"","?FAMILIAR",IF(F4800="NEW",IF(ISNA(VLOOKUP(E4800,#REF!,1,FALSE())),"?TYPE_IDENTIFIABLE","?REFERENTIAL"),"_")))))</f>
        <v> </v>
      </c>
      <c r="H4800" s="24" t="str">
        <f>IF(J4800&lt;&gt;1,"",IF(I4800="SBJ","CB","?"))</f>
        <v> </v>
      </c>
      <c r="I4800" s="25" t="str">
        <f>IF(OR(E4800="",E4800="!!!",F4800="NEW"),"",INDEX(B4799:B$2,-1+SUMPRODUCT(MAX(ROW(E4799:E$2)*(E4800=E4799:E$2)))))</f>
        <v> </v>
      </c>
      <c r="J4800" s="25" t="str">
        <f>IF(OR(E4800="",E4800="!!!",F4800="NEW"),"",COUNTBLANK(OFFSET(A$1,,,SUMPRODUCT(MAX(ROW(E$2:E4800)*(E4800=E$2:E4800)))))-COUNTBLANK(OFFSET(A$1,,,SUMPRODUCT(MAX(ROW(E$1:E4799)*(E2=E$1:E4799))))))</f>
        <v> </v>
      </c>
      <c r="K4800" s="25" t="str">
        <f>IF(OR(E4800="",E4800="!!!",F4800="NEW"),"",INDEX(J$1:J4799,SUMPRODUCT(MAX(ROW(E$1:E4799)*(E4800=E$1:E4799)))))</f>
        <v> </v>
      </c>
      <c r="L4800" s="26"/>
    </row>
    <row r="4801" spans="1:12">
      <c r="A4801" s="20" t="s">
        <v>830</v>
      </c>
      <c r="E4801" s="21">
        <f>IF(D4801="?OLD","!!!","")</f>
        <v/>
      </c>
      <c r="F4801" s="22" t="str">
        <f>IF(OR(E4801="",E4801="!!!"),"",IF(NOT(ISNA(VLOOKUP(E4801,E$1:E4800,1,FALSE()))),"OLD",IF(AND(E4801&lt;&gt;"",E4801&lt;&gt;"!!!"),"NEW","")))</f>
        <v> </v>
      </c>
      <c r="G4801" s="23" t="str">
        <f>IF(OR(E4801="",E4801="!!!"),"",IF(OR(J4801=0,AND(J4801=1,K4801=1),AND(J4801=1,I4801="SBJ"),AND(J4801=1,I4801=0)),"?IN_FOCUS",IF(J4801&lt;=2,"?ACTIVATED",IF(J4801&lt;&gt;"","?FAMILIAR",IF(F4801="NEW",IF(ISNA(VLOOKUP(E4801,#REF!,1,FALSE())),"?TYPE_IDENTIFIABLE","?REFERENTIAL"),"_")))))</f>
        <v> </v>
      </c>
      <c r="H4801" s="24" t="str">
        <f>IF(J4801&lt;&gt;1,"",IF(I4801="SBJ","CB","?"))</f>
        <v> </v>
      </c>
      <c r="I4801" s="25" t="str">
        <f>IF(OR(E4801="",E4801="!!!",F4801="NEW"),"",INDEX(B4800:B$2,-1+SUMPRODUCT(MAX(ROW(E4800:E$2)*(E4801=E4800:E$2)))))</f>
        <v> </v>
      </c>
      <c r="J4801" s="25" t="str">
        <f>IF(OR(E4801="",E4801="!!!",F4801="NEW"),"",COUNTBLANK(OFFSET(A$1,,,SUMPRODUCT(MAX(ROW(E$2:E4801)*(E4801=E$2:E4801)))))-COUNTBLANK(OFFSET(A$1,,,SUMPRODUCT(MAX(ROW(E$1:E4800)*(E2=E$1:E4800))))))</f>
        <v> </v>
      </c>
      <c r="K4801" s="25" t="str">
        <f>IF(OR(E4801="",E4801="!!!",F4801="NEW"),"",INDEX(J$1:J4800,SUMPRODUCT(MAX(ROW(E$1:E4800)*(E4801=E$1:E4800)))))</f>
        <v> </v>
      </c>
      <c r="L4801" s="26"/>
    </row>
    <row r="4802" spans="1:12">
      <c r="A4802" s="20" t="s">
        <v>774</v>
      </c>
      <c r="B4802" s="27" t="s">
        <v>1398</v>
      </c>
      <c r="C4802" s="27" t="s">
        <v>775</v>
      </c>
      <c r="D4802" s="27" t="s">
        <v>740</v>
      </c>
      <c r="E4802" s="21">
        <f>IF(D4802="?OLD","!!!","")</f>
        <v/>
      </c>
      <c r="F4802" s="22" t="str">
        <f>IF(OR(E4802="",E4802="!!!"),"",IF(NOT(ISNA(VLOOKUP(E4802,E$1:E4801,1,FALSE()))),"OLD",IF(AND(E4802&lt;&gt;"",E4802&lt;&gt;"!!!"),"NEW","")))</f>
        <v> </v>
      </c>
      <c r="G4802" s="23" t="str">
        <f>IF(OR(E4802="",E4802="!!!"),"",IF(OR(J4802=0,AND(J4802=1,K4802=1),AND(J4802=1,I4802="SBJ"),AND(J4802=1,I4802=0)),"?IN_FOCUS",IF(J4802&lt;=2,"?ACTIVATED",IF(J4802&lt;&gt;"","?FAMILIAR",IF(F4802="NEW",IF(ISNA(VLOOKUP(E4802,#REF!,1,FALSE())),"?TYPE_IDENTIFIABLE","?REFERENTIAL"),"_")))))</f>
        <v> </v>
      </c>
      <c r="H4802" s="24" t="str">
        <f>IF(J4802&lt;&gt;1,"",IF(I4802="SBJ","CB","?"))</f>
        <v> </v>
      </c>
      <c r="I4802" s="25" t="str">
        <f>IF(OR(E4802="",E4802="!!!",F4802="NEW"),"",INDEX(B4801:B$2,-1+SUMPRODUCT(MAX(ROW(E4801:E$2)*(E4802=E4801:E$2)))))</f>
        <v> </v>
      </c>
      <c r="J4802" s="25" t="str">
        <f>IF(OR(E4802="",E4802="!!!",F4802="NEW"),"",COUNTBLANK(OFFSET(A$1,,,SUMPRODUCT(MAX(ROW(E$2:E4802)*(E4802=E$2:E4802)))))-COUNTBLANK(OFFSET(A$1,,,SUMPRODUCT(MAX(ROW(E$1:E4801)*(E2=E$1:E4801))))))</f>
        <v> </v>
      </c>
      <c r="K4802" s="25" t="str">
        <f>IF(OR(E4802="",E4802="!!!",F4802="NEW"),"",INDEX(J$1:J4801,SUMPRODUCT(MAX(ROW(E$1:E4801)*(E4802=E$1:E4801)))))</f>
        <v> </v>
      </c>
      <c r="L4802" s="26"/>
    </row>
    <row r="4803" spans="1:12">
      <c r="A4803" s="20" t="s">
        <v>1184</v>
      </c>
      <c r="B4803" s="27" t="s">
        <v>1026</v>
      </c>
      <c r="C4803" s="27" t="s">
        <v>772</v>
      </c>
      <c r="E4803" s="21">
        <f>IF(D4803="?OLD","!!!","")</f>
        <v/>
      </c>
      <c r="F4803" s="22" t="str">
        <f>IF(OR(E4803="",E4803="!!!"),"",IF(NOT(ISNA(VLOOKUP(E4803,E$1:E4802,1,FALSE()))),"OLD",IF(AND(E4803&lt;&gt;"",E4803&lt;&gt;"!!!"),"NEW","")))</f>
        <v> </v>
      </c>
      <c r="G4803" s="23" t="str">
        <f>IF(OR(E4803="",E4803="!!!"),"",IF(OR(J4803=0,AND(J4803=1,K4803=1),AND(J4803=1,I4803="SBJ"),AND(J4803=1,I4803=0)),"?IN_FOCUS",IF(J4803&lt;=2,"?ACTIVATED",IF(J4803&lt;&gt;"","?FAMILIAR",IF(F4803="NEW",IF(ISNA(VLOOKUP(E4803,#REF!,1,FALSE())),"?TYPE_IDENTIFIABLE","?REFERENTIAL"),"_")))))</f>
        <v> </v>
      </c>
      <c r="H4803" s="24" t="str">
        <f>IF(J4803&lt;&gt;1,"",IF(I4803="SBJ","CB","?"))</f>
        <v> </v>
      </c>
      <c r="I4803" s="25" t="str">
        <f>IF(OR(E4803="",E4803="!!!",F4803="NEW"),"",INDEX(B4802:B$2,-1+SUMPRODUCT(MAX(ROW(E4802:E$2)*(E4803=E4802:E$2)))))</f>
        <v> </v>
      </c>
      <c r="J4803" s="25" t="str">
        <f>IF(OR(E4803="",E4803="!!!",F4803="NEW"),"",COUNTBLANK(OFFSET(A$1,,,SUMPRODUCT(MAX(ROW(E$2:E4803)*(E4803=E$2:E4803)))))-COUNTBLANK(OFFSET(A$1,,,SUMPRODUCT(MAX(ROW(E$1:E4802)*(E2=E$1:E4802))))))</f>
        <v> </v>
      </c>
      <c r="K4803" s="25" t="str">
        <f>IF(OR(E4803="",E4803="!!!",F4803="NEW"),"",INDEX(J$1:J4802,SUMPRODUCT(MAX(ROW(E$1:E4802)*(E4803=E$1:E4802)))))</f>
        <v> </v>
      </c>
      <c r="L4803" s="26"/>
    </row>
    <row r="4804" spans="1:12">
      <c r="A4804" s="20" t="s">
        <v>1586</v>
      </c>
      <c r="E4804" s="21">
        <f>IF(D4804="?OLD","!!!","")</f>
        <v/>
      </c>
      <c r="F4804" s="22" t="str">
        <f>IF(OR(E4804="",E4804="!!!"),"",IF(NOT(ISNA(VLOOKUP(E4804,E$1:E4803,1,FALSE()))),"OLD",IF(AND(E4804&lt;&gt;"",E4804&lt;&gt;"!!!"),"NEW","")))</f>
        <v> </v>
      </c>
      <c r="G4804" s="23" t="str">
        <f>IF(OR(E4804="",E4804="!!!"),"",IF(OR(J4804=0,AND(J4804=1,K4804=1),AND(J4804=1,I4804="SBJ"),AND(J4804=1,I4804=0)),"?IN_FOCUS",IF(J4804&lt;=2,"?ACTIVATED",IF(J4804&lt;&gt;"","?FAMILIAR",IF(F4804="NEW",IF(ISNA(VLOOKUP(E4804,#REF!,1,FALSE())),"?TYPE_IDENTIFIABLE","?REFERENTIAL"),"_")))))</f>
        <v> </v>
      </c>
      <c r="H4804" s="24" t="str">
        <f>IF(J4804&lt;&gt;1,"",IF(I4804="SBJ","CB","?"))</f>
        <v> </v>
      </c>
      <c r="I4804" s="25" t="str">
        <f>IF(OR(E4804="",E4804="!!!",F4804="NEW"),"",INDEX(B4803:B$2,-1+SUMPRODUCT(MAX(ROW(E4803:E$2)*(E4804=E4803:E$2)))))</f>
        <v> </v>
      </c>
      <c r="J4804" s="25" t="str">
        <f>IF(OR(E4804="",E4804="!!!",F4804="NEW"),"",COUNTBLANK(OFFSET(A$1,,,SUMPRODUCT(MAX(ROW(E$2:E4804)*(E4804=E$2:E4804)))))-COUNTBLANK(OFFSET(A$1,,,SUMPRODUCT(MAX(ROW(E$1:E4803)*(E2=E$1:E4803))))))</f>
        <v> </v>
      </c>
      <c r="K4804" s="25" t="str">
        <f>IF(OR(E4804="",E4804="!!!",F4804="NEW"),"",INDEX(J$1:J4803,SUMPRODUCT(MAX(ROW(E$1:E4803)*(E4804=E$1:E4803)))))</f>
        <v> </v>
      </c>
      <c r="L4804" s="26"/>
    </row>
    <row r="4805" spans="1:12">
      <c r="A4805" s="20" t="s">
        <v>1864</v>
      </c>
      <c r="B4805" s="27" t="s">
        <v>1352</v>
      </c>
      <c r="C4805" s="27" t="s">
        <v>780</v>
      </c>
      <c r="E4805" s="21">
        <f>IF(D4805="?OLD","!!!","")</f>
        <v/>
      </c>
      <c r="F4805" s="22" t="str">
        <f>IF(OR(E4805="",E4805="!!!"),"",IF(NOT(ISNA(VLOOKUP(E4805,E$1:E4804,1,FALSE()))),"OLD",IF(AND(E4805&lt;&gt;"",E4805&lt;&gt;"!!!"),"NEW","")))</f>
        <v> </v>
      </c>
      <c r="G4805" s="23" t="str">
        <f>IF(OR(E4805="",E4805="!!!"),"",IF(OR(J4805=0,AND(J4805=1,K4805=1),AND(J4805=1,I4805="SBJ"),AND(J4805=1,I4805=0)),"?IN_FOCUS",IF(J4805&lt;=2,"?ACTIVATED",IF(J4805&lt;&gt;"","?FAMILIAR",IF(F4805="NEW",IF(ISNA(VLOOKUP(E4805,#REF!,1,FALSE())),"?TYPE_IDENTIFIABLE","?REFERENTIAL"),"_")))))</f>
        <v> </v>
      </c>
      <c r="H4805" s="24" t="str">
        <f>IF(J4805&lt;&gt;1,"",IF(I4805="SBJ","CB","?"))</f>
        <v> </v>
      </c>
      <c r="I4805" s="25" t="str">
        <f>IF(OR(E4805="",E4805="!!!",F4805="NEW"),"",INDEX(B4804:B$2,-1+SUMPRODUCT(MAX(ROW(E4804:E$2)*(E4805=E4804:E$2)))))</f>
        <v> </v>
      </c>
      <c r="J4805" s="25" t="str">
        <f>IF(OR(E4805="",E4805="!!!",F4805="NEW"),"",COUNTBLANK(OFFSET(A$1,,,SUMPRODUCT(MAX(ROW(E$2:E4805)*(E4805=E$2:E4805)))))-COUNTBLANK(OFFSET(A$1,,,SUMPRODUCT(MAX(ROW(E$1:E4804)*(E2=E$1:E4804))))))</f>
        <v> </v>
      </c>
      <c r="K4805" s="25" t="str">
        <f>IF(OR(E4805="",E4805="!!!",F4805="NEW"),"",INDEX(J$1:J4804,SUMPRODUCT(MAX(ROW(E$1:E4804)*(E4805=E$1:E4804)))))</f>
        <v> </v>
      </c>
      <c r="L4805" s="26"/>
    </row>
    <row r="4806" spans="1:12">
      <c r="A4806" s="20" t="s">
        <v>746</v>
      </c>
      <c r="E4806" s="21">
        <f>IF(D4806="?OLD","!!!","")</f>
        <v/>
      </c>
      <c r="F4806" s="22" t="str">
        <f>IF(OR(E4806="",E4806="!!!"),"",IF(NOT(ISNA(VLOOKUP(E4806,E$1:E4805,1,FALSE()))),"OLD",IF(AND(E4806&lt;&gt;"",E4806&lt;&gt;"!!!"),"NEW","")))</f>
        <v> </v>
      </c>
      <c r="G4806" s="23" t="str">
        <f>IF(OR(E4806="",E4806="!!!"),"",IF(OR(J4806=0,AND(J4806=1,K4806=1),AND(J4806=1,I4806="SBJ"),AND(J4806=1,I4806=0)),"?IN_FOCUS",IF(J4806&lt;=2,"?ACTIVATED",IF(J4806&lt;&gt;"","?FAMILIAR",IF(F4806="NEW",IF(ISNA(VLOOKUP(E4806,#REF!,1,FALSE())),"?TYPE_IDENTIFIABLE","?REFERENTIAL"),"_")))))</f>
        <v> </v>
      </c>
      <c r="H4806" s="24" t="str">
        <f>IF(J4806&lt;&gt;1,"",IF(I4806="SBJ","CB","?"))</f>
        <v> </v>
      </c>
      <c r="I4806" s="25" t="str">
        <f>IF(OR(E4806="",E4806="!!!",F4806="NEW"),"",INDEX(B4805:B$2,-1+SUMPRODUCT(MAX(ROW(E4805:E$2)*(E4806=E4805:E$2)))))</f>
        <v> </v>
      </c>
      <c r="J4806" s="25" t="str">
        <f>IF(OR(E4806="",E4806="!!!",F4806="NEW"),"",COUNTBLANK(OFFSET(A$1,,,SUMPRODUCT(MAX(ROW(E$2:E4806)*(E4806=E$2:E4806)))))-COUNTBLANK(OFFSET(A$1,,,SUMPRODUCT(MAX(ROW(E$1:E4805)*(E2=E$1:E4805))))))</f>
        <v> </v>
      </c>
      <c r="K4806" s="25" t="str">
        <f>IF(OR(E4806="",E4806="!!!",F4806="NEW"),"",INDEX(J$1:J4805,SUMPRODUCT(MAX(ROW(E$1:E4805)*(E4806=E$1:E4805)))))</f>
        <v> </v>
      </c>
      <c r="L4806" s="26"/>
    </row>
    <row r="4807" spans="1:12">
      <c r="A4807" s="20"/>
    </row>
    <row r="4808" spans="1:12">
      <c r="A4808" s="20" t="s">
        <v>2106</v>
      </c>
    </row>
    <row r="4809" spans="1:12">
      <c r="A4809" s="20" t="s">
        <v>813</v>
      </c>
      <c r="E4809" s="21">
        <f>IF(D4809="?OLD","!!!","")</f>
        <v/>
      </c>
      <c r="F4809" s="22" t="str">
        <f>IF(OR(E4809="",E4809="!!!"),"",IF(NOT(ISNA(VLOOKUP(E4809,E$1:E4808,1,FALSE()))),"OLD",IF(AND(E4809&lt;&gt;"",E4809&lt;&gt;"!!!"),"NEW","")))</f>
        <v> </v>
      </c>
      <c r="G4809" s="23" t="str">
        <f>IF(OR(E4809="",E4809="!!!"),"",IF(OR(J4809=0,AND(J4809=1,K4809=1),AND(J4809=1,I4809="SBJ"),AND(J4809=1,I4809=0)),"?IN_FOCUS",IF(J4809&lt;=2,"?ACTIVATED",IF(J4809&lt;&gt;"","?FAMILIAR",IF(F4809="NEW",IF(ISNA(VLOOKUP(E4809,#REF!,1,FALSE())),"?TYPE_IDENTIFIABLE","?REFERENTIAL"),"_")))))</f>
        <v> </v>
      </c>
      <c r="H4809" s="24" t="str">
        <f>IF(J4809&lt;&gt;1,"",IF(I4809="SBJ","CB","?"))</f>
        <v> </v>
      </c>
      <c r="I4809" s="25" t="str">
        <f>IF(OR(E4809="",E4809="!!!",F4809="NEW"),"",INDEX(B4808:B$2,-1+SUMPRODUCT(MAX(ROW(E4808:E$2)*(E4809=E4808:E$2)))))</f>
        <v> </v>
      </c>
      <c r="J4809" s="25" t="str">
        <f>IF(OR(E4809="",E4809="!!!",F4809="NEW"),"",COUNTBLANK(OFFSET(A$1,,,SUMPRODUCT(MAX(ROW(E$2:E4809)*(E4809=E$2:E4809)))))-COUNTBLANK(OFFSET(A$1,,,SUMPRODUCT(MAX(ROW(E$1:E4808)*(E2=E$1:E4808))))))</f>
        <v> </v>
      </c>
      <c r="K4809" s="25" t="str">
        <f>IF(OR(E4809="",E4809="!!!",F4809="NEW"),"",INDEX(J$1:J4808,SUMPRODUCT(MAX(ROW(E$1:E4808)*(E4809=E$1:E4808)))))</f>
        <v> </v>
      </c>
      <c r="L4809" s="26"/>
    </row>
    <row r="4810" spans="1:12">
      <c r="A4810" s="20" t="s">
        <v>1165</v>
      </c>
      <c r="E4810" s="21">
        <f>IF(D4810="?OLD","!!!","")</f>
        <v/>
      </c>
      <c r="F4810" s="22" t="str">
        <f>IF(OR(E4810="",E4810="!!!"),"",IF(NOT(ISNA(VLOOKUP(E4810,E$1:E4809,1,FALSE()))),"OLD",IF(AND(E4810&lt;&gt;"",E4810&lt;&gt;"!!!"),"NEW","")))</f>
        <v> </v>
      </c>
      <c r="G4810" s="23" t="str">
        <f>IF(OR(E4810="",E4810="!!!"),"",IF(OR(J4810=0,AND(J4810=1,K4810=1),AND(J4810=1,I4810="SBJ"),AND(J4810=1,I4810=0)),"?IN_FOCUS",IF(J4810&lt;=2,"?ACTIVATED",IF(J4810&lt;&gt;"","?FAMILIAR",IF(F4810="NEW",IF(ISNA(VLOOKUP(E4810,#REF!,1,FALSE())),"?TYPE_IDENTIFIABLE","?REFERENTIAL"),"_")))))</f>
        <v> </v>
      </c>
      <c r="H4810" s="24" t="str">
        <f>IF(J4810&lt;&gt;1,"",IF(I4810="SBJ","CB","?"))</f>
        <v> </v>
      </c>
      <c r="I4810" s="25" t="str">
        <f>IF(OR(E4810="",E4810="!!!",F4810="NEW"),"",INDEX(B4809:B$2,-1+SUMPRODUCT(MAX(ROW(E4809:E$2)*(E4810=E4809:E$2)))))</f>
        <v> </v>
      </c>
      <c r="J4810" s="25" t="str">
        <f>IF(OR(E4810="",E4810="!!!",F4810="NEW"),"",COUNTBLANK(OFFSET(A$1,,,SUMPRODUCT(MAX(ROW(E$2:E4810)*(E4810=E$2:E4810)))))-COUNTBLANK(OFFSET(A$1,,,SUMPRODUCT(MAX(ROW(E$1:E4809)*(E2=E$1:E4809))))))</f>
        <v> </v>
      </c>
      <c r="K4810" s="25" t="str">
        <f>IF(OR(E4810="",E4810="!!!",F4810="NEW"),"",INDEX(J$1:J4809,SUMPRODUCT(MAX(ROW(E$1:E4809)*(E4810=E$1:E4809)))))</f>
        <v> </v>
      </c>
      <c r="L4810" s="26"/>
    </row>
    <row r="4811" spans="1:12">
      <c r="A4811" s="20" t="s">
        <v>807</v>
      </c>
      <c r="B4811" s="27" t="s">
        <v>771</v>
      </c>
      <c r="C4811" s="27" t="s">
        <v>749</v>
      </c>
      <c r="D4811" s="27" t="s">
        <v>740</v>
      </c>
      <c r="E4811" s="21">
        <f>IF(D4811="?OLD","!!!","")</f>
        <v/>
      </c>
      <c r="F4811" s="22" t="str">
        <f>IF(OR(E4811="",E4811="!!!"),"",IF(NOT(ISNA(VLOOKUP(E4811,E$1:E4810,1,FALSE()))),"OLD",IF(AND(E4811&lt;&gt;"",E4811&lt;&gt;"!!!"),"NEW","")))</f>
        <v> </v>
      </c>
      <c r="G4811" s="23" t="str">
        <f>IF(OR(E4811="",E4811="!!!"),"",IF(OR(J4811=0,AND(J4811=1,K4811=1),AND(J4811=1,I4811="SBJ"),AND(J4811=1,I4811=0)),"?IN_FOCUS",IF(J4811&lt;=2,"?ACTIVATED",IF(J4811&lt;&gt;"","?FAMILIAR",IF(F4811="NEW",IF(ISNA(VLOOKUP(E4811,#REF!,1,FALSE())),"?TYPE_IDENTIFIABLE","?REFERENTIAL"),"_")))))</f>
        <v> </v>
      </c>
      <c r="H4811" s="24" t="str">
        <f>IF(J4811&lt;&gt;1,"",IF(I4811="SBJ","CB","?"))</f>
        <v> </v>
      </c>
      <c r="I4811" s="25" t="str">
        <f>IF(OR(E4811="",E4811="!!!",F4811="NEW"),"",INDEX(B4810:B$2,-1+SUMPRODUCT(MAX(ROW(E4810:E$2)*(E4811=E4810:E$2)))))</f>
        <v> </v>
      </c>
      <c r="J4811" s="25" t="str">
        <f>IF(OR(E4811="",E4811="!!!",F4811="NEW"),"",COUNTBLANK(OFFSET(A$1,,,SUMPRODUCT(MAX(ROW(E$2:E4811)*(E4811=E$2:E4811)))))-COUNTBLANK(OFFSET(A$1,,,SUMPRODUCT(MAX(ROW(E$1:E4810)*(E2=E$1:E4810))))))</f>
        <v> </v>
      </c>
      <c r="K4811" s="25" t="str">
        <f>IF(OR(E4811="",E4811="!!!",F4811="NEW"),"",INDEX(J$1:J4810,SUMPRODUCT(MAX(ROW(E$1:E4810)*(E4811=E$1:E4810)))))</f>
        <v> </v>
      </c>
      <c r="L4811" s="26"/>
    </row>
    <row r="4812" spans="1:12">
      <c r="A4812" s="20" t="s">
        <v>1871</v>
      </c>
      <c r="E4812" s="21">
        <f>IF(D4812="?OLD","!!!","")</f>
        <v/>
      </c>
      <c r="F4812" s="22" t="str">
        <f>IF(OR(E4812="",E4812="!!!"),"",IF(NOT(ISNA(VLOOKUP(E4812,E$1:E4811,1,FALSE()))),"OLD",IF(AND(E4812&lt;&gt;"",E4812&lt;&gt;"!!!"),"NEW","")))</f>
        <v> </v>
      </c>
      <c r="G4812" s="23" t="str">
        <f>IF(OR(E4812="",E4812="!!!"),"",IF(OR(J4812=0,AND(J4812=1,K4812=1),AND(J4812=1,I4812="SBJ"),AND(J4812=1,I4812=0)),"?IN_FOCUS",IF(J4812&lt;=2,"?ACTIVATED",IF(J4812&lt;&gt;"","?FAMILIAR",IF(F4812="NEW",IF(ISNA(VLOOKUP(E4812,#REF!,1,FALSE())),"?TYPE_IDENTIFIABLE","?REFERENTIAL"),"_")))))</f>
        <v> </v>
      </c>
      <c r="H4812" s="24" t="str">
        <f>IF(J4812&lt;&gt;1,"",IF(I4812="SBJ","CB","?"))</f>
        <v> </v>
      </c>
      <c r="I4812" s="25" t="str">
        <f>IF(OR(E4812="",E4812="!!!",F4812="NEW"),"",INDEX(B4811:B$2,-1+SUMPRODUCT(MAX(ROW(E4811:E$2)*(E4812=E4811:E$2)))))</f>
        <v> </v>
      </c>
      <c r="J4812" s="25" t="str">
        <f>IF(OR(E4812="",E4812="!!!",F4812="NEW"),"",COUNTBLANK(OFFSET(A$1,,,SUMPRODUCT(MAX(ROW(E$2:E4812)*(E4812=E$2:E4812)))))-COUNTBLANK(OFFSET(A$1,,,SUMPRODUCT(MAX(ROW(E$1:E4811)*(E2=E$1:E4811))))))</f>
        <v> </v>
      </c>
      <c r="K4812" s="25" t="str">
        <f>IF(OR(E4812="",E4812="!!!",F4812="NEW"),"",INDEX(J$1:J4811,SUMPRODUCT(MAX(ROW(E$1:E4811)*(E4812=E$1:E4811)))))</f>
        <v> </v>
      </c>
      <c r="L4812" s="26"/>
    </row>
    <row r="4813" spans="1:12">
      <c r="A4813" s="20" t="s">
        <v>934</v>
      </c>
      <c r="E4813" s="21">
        <f>IF(D4813="?OLD","!!!","")</f>
        <v/>
      </c>
      <c r="F4813" s="22" t="str">
        <f>IF(OR(E4813="",E4813="!!!"),"",IF(NOT(ISNA(VLOOKUP(E4813,E$1:E4812,1,FALSE()))),"OLD",IF(AND(E4813&lt;&gt;"",E4813&lt;&gt;"!!!"),"NEW","")))</f>
        <v> </v>
      </c>
      <c r="G4813" s="23" t="str">
        <f>IF(OR(E4813="",E4813="!!!"),"",IF(OR(J4813=0,AND(J4813=1,K4813=1),AND(J4813=1,I4813="SBJ"),AND(J4813=1,I4813=0)),"?IN_FOCUS",IF(J4813&lt;=2,"?ACTIVATED",IF(J4813&lt;&gt;"","?FAMILIAR",IF(F4813="NEW",IF(ISNA(VLOOKUP(E4813,#REF!,1,FALSE())),"?TYPE_IDENTIFIABLE","?REFERENTIAL"),"_")))))</f>
        <v> </v>
      </c>
      <c r="H4813" s="24" t="str">
        <f>IF(J4813&lt;&gt;1,"",IF(I4813="SBJ","CB","?"))</f>
        <v> </v>
      </c>
      <c r="I4813" s="25" t="str">
        <f>IF(OR(E4813="",E4813="!!!",F4813="NEW"),"",INDEX(B4812:B$2,-1+SUMPRODUCT(MAX(ROW(E4812:E$2)*(E4813=E4812:E$2)))))</f>
        <v> </v>
      </c>
      <c r="J4813" s="25" t="str">
        <f>IF(OR(E4813="",E4813="!!!",F4813="NEW"),"",COUNTBLANK(OFFSET(A$1,,,SUMPRODUCT(MAX(ROW(E$2:E4813)*(E4813=E$2:E4813)))))-COUNTBLANK(OFFSET(A$1,,,SUMPRODUCT(MAX(ROW(E$1:E4812)*(E2=E$1:E4812))))))</f>
        <v> </v>
      </c>
      <c r="K4813" s="25" t="str">
        <f>IF(OR(E4813="",E4813="!!!",F4813="NEW"),"",INDEX(J$1:J4812,SUMPRODUCT(MAX(ROW(E$1:E4812)*(E4813=E$1:E4812)))))</f>
        <v> </v>
      </c>
      <c r="L4813" s="26"/>
    </row>
    <row r="4814" spans="1:12">
      <c r="A4814" s="20" t="s">
        <v>753</v>
      </c>
      <c r="E4814" s="21">
        <f>IF(D4814="?OLD","!!!","")</f>
        <v/>
      </c>
      <c r="F4814" s="22" t="str">
        <f>IF(OR(E4814="",E4814="!!!"),"",IF(NOT(ISNA(VLOOKUP(E4814,E$1:E4813,1,FALSE()))),"OLD",IF(AND(E4814&lt;&gt;"",E4814&lt;&gt;"!!!"),"NEW","")))</f>
        <v> </v>
      </c>
      <c r="G4814" s="23" t="str">
        <f>IF(OR(E4814="",E4814="!!!"),"",IF(OR(J4814=0,AND(J4814=1,K4814=1),AND(J4814=1,I4814="SBJ"),AND(J4814=1,I4814=0)),"?IN_FOCUS",IF(J4814&lt;=2,"?ACTIVATED",IF(J4814&lt;&gt;"","?FAMILIAR",IF(F4814="NEW",IF(ISNA(VLOOKUP(E4814,#REF!,1,FALSE())),"?TYPE_IDENTIFIABLE","?REFERENTIAL"),"_")))))</f>
        <v> </v>
      </c>
      <c r="H4814" s="24" t="str">
        <f>IF(J4814&lt;&gt;1,"",IF(I4814="SBJ","CB","?"))</f>
        <v> </v>
      </c>
      <c r="I4814" s="25" t="str">
        <f>IF(OR(E4814="",E4814="!!!",F4814="NEW"),"",INDEX(B4813:B$2,-1+SUMPRODUCT(MAX(ROW(E4813:E$2)*(E4814=E4813:E$2)))))</f>
        <v> </v>
      </c>
      <c r="J4814" s="25" t="str">
        <f>IF(OR(E4814="",E4814="!!!",F4814="NEW"),"",COUNTBLANK(OFFSET(A$1,,,SUMPRODUCT(MAX(ROW(E$2:E4814)*(E4814=E$2:E4814)))))-COUNTBLANK(OFFSET(A$1,,,SUMPRODUCT(MAX(ROW(E$1:E4813)*(E2=E$1:E4813))))))</f>
        <v> </v>
      </c>
      <c r="K4814" s="25" t="str">
        <f>IF(OR(E4814="",E4814="!!!",F4814="NEW"),"",INDEX(J$1:J4813,SUMPRODUCT(MAX(ROW(E$1:E4813)*(E4814=E$1:E4813)))))</f>
        <v> </v>
      </c>
      <c r="L4814" s="26"/>
    </row>
    <row r="4815" spans="1:12">
      <c r="A4815" s="20" t="s">
        <v>860</v>
      </c>
      <c r="E4815" s="21">
        <f>IF(D4815="?OLD","!!!","")</f>
        <v/>
      </c>
      <c r="F4815" s="22" t="str">
        <f>IF(OR(E4815="",E4815="!!!"),"",IF(NOT(ISNA(VLOOKUP(E4815,E$1:E4814,1,FALSE()))),"OLD",IF(AND(E4815&lt;&gt;"",E4815&lt;&gt;"!!!"),"NEW","")))</f>
        <v> </v>
      </c>
      <c r="G4815" s="23" t="str">
        <f>IF(OR(E4815="",E4815="!!!"),"",IF(OR(J4815=0,AND(J4815=1,K4815=1),AND(J4815=1,I4815="SBJ"),AND(J4815=1,I4815=0)),"?IN_FOCUS",IF(J4815&lt;=2,"?ACTIVATED",IF(J4815&lt;&gt;"","?FAMILIAR",IF(F4815="NEW",IF(ISNA(VLOOKUP(E4815,#REF!,1,FALSE())),"?TYPE_IDENTIFIABLE","?REFERENTIAL"),"_")))))</f>
        <v> </v>
      </c>
      <c r="H4815" s="24" t="str">
        <f>IF(J4815&lt;&gt;1,"",IF(I4815="SBJ","CB","?"))</f>
        <v> </v>
      </c>
      <c r="I4815" s="25" t="str">
        <f>IF(OR(E4815="",E4815="!!!",F4815="NEW"),"",INDEX(B4814:B$2,-1+SUMPRODUCT(MAX(ROW(E4814:E$2)*(E4815=E4814:E$2)))))</f>
        <v> </v>
      </c>
      <c r="J4815" s="25" t="str">
        <f>IF(OR(E4815="",E4815="!!!",F4815="NEW"),"",COUNTBLANK(OFFSET(A$1,,,SUMPRODUCT(MAX(ROW(E$2:E4815)*(E4815=E$2:E4815)))))-COUNTBLANK(OFFSET(A$1,,,SUMPRODUCT(MAX(ROW(E$1:E4814)*(E2=E$1:E4814))))))</f>
        <v> </v>
      </c>
      <c r="K4815" s="25" t="str">
        <f>IF(OR(E4815="",E4815="!!!",F4815="NEW"),"",INDEX(J$1:J4814,SUMPRODUCT(MAX(ROW(E$1:E4814)*(E4815=E$1:E4814)))))</f>
        <v> </v>
      </c>
      <c r="L4815" s="26"/>
    </row>
    <row r="4816" spans="1:12">
      <c r="A4816" s="20" t="s">
        <v>736</v>
      </c>
      <c r="E4816" s="21">
        <f>IF(D4816="?OLD","!!!","")</f>
        <v/>
      </c>
      <c r="F4816" s="22" t="str">
        <f>IF(OR(E4816="",E4816="!!!"),"",IF(NOT(ISNA(VLOOKUP(E4816,E$1:E4815,1,FALSE()))),"OLD",IF(AND(E4816&lt;&gt;"",E4816&lt;&gt;"!!!"),"NEW","")))</f>
        <v> </v>
      </c>
      <c r="G4816" s="23" t="str">
        <f>IF(OR(E4816="",E4816="!!!"),"",IF(OR(J4816=0,AND(J4816=1,K4816=1),AND(J4816=1,I4816="SBJ"),AND(J4816=1,I4816=0)),"?IN_FOCUS",IF(J4816&lt;=2,"?ACTIVATED",IF(J4816&lt;&gt;"","?FAMILIAR",IF(F4816="NEW",IF(ISNA(VLOOKUP(E4816,#REF!,1,FALSE())),"?TYPE_IDENTIFIABLE","?REFERENTIAL"),"_")))))</f>
        <v> </v>
      </c>
      <c r="H4816" s="24" t="str">
        <f>IF(J4816&lt;&gt;1,"",IF(I4816="SBJ","CB","?"))</f>
        <v> </v>
      </c>
      <c r="I4816" s="25" t="str">
        <f>IF(OR(E4816="",E4816="!!!",F4816="NEW"),"",INDEX(B4815:B$2,-1+SUMPRODUCT(MAX(ROW(E4815:E$2)*(E4816=E4815:E$2)))))</f>
        <v> </v>
      </c>
      <c r="J4816" s="25" t="str">
        <f>IF(OR(E4816="",E4816="!!!",F4816="NEW"),"",COUNTBLANK(OFFSET(A$1,,,SUMPRODUCT(MAX(ROW(E$2:E4816)*(E4816=E$2:E4816)))))-COUNTBLANK(OFFSET(A$1,,,SUMPRODUCT(MAX(ROW(E$1:E4815)*(E2=E$1:E4815))))))</f>
        <v> </v>
      </c>
      <c r="K4816" s="25" t="str">
        <f>IF(OR(E4816="",E4816="!!!",F4816="NEW"),"",INDEX(J$1:J4815,SUMPRODUCT(MAX(ROW(E$1:E4815)*(E4816=E$1:E4815)))))</f>
        <v> </v>
      </c>
      <c r="L4816" s="26"/>
    </row>
    <row r="4817" spans="1:12">
      <c r="A4817" s="20" t="s">
        <v>183</v>
      </c>
      <c r="B4817" s="27" t="s">
        <v>795</v>
      </c>
      <c r="C4817" s="27" t="s">
        <v>739</v>
      </c>
      <c r="D4817" s="27" t="s">
        <v>740</v>
      </c>
      <c r="E4817" s="21">
        <f>IF(D4817="?OLD","!!!","")</f>
        <v/>
      </c>
      <c r="F4817" s="22" t="str">
        <f>IF(OR(E4817="",E4817="!!!"),"",IF(NOT(ISNA(VLOOKUP(E4817,E$1:E4816,1,FALSE()))),"OLD",IF(AND(E4817&lt;&gt;"",E4817&lt;&gt;"!!!"),"NEW","")))</f>
        <v> </v>
      </c>
      <c r="G4817" s="23" t="str">
        <f>IF(OR(E4817="",E4817="!!!"),"",IF(OR(J4817=0,AND(J4817=1,K4817=1),AND(J4817=1,I4817="SBJ"),AND(J4817=1,I4817=0)),"?IN_FOCUS",IF(J4817&lt;=2,"?ACTIVATED",IF(J4817&lt;&gt;"","?FAMILIAR",IF(F4817="NEW",IF(ISNA(VLOOKUP(E4817,#REF!,1,FALSE())),"?TYPE_IDENTIFIABLE","?REFERENTIAL"),"_")))))</f>
        <v> </v>
      </c>
      <c r="H4817" s="24" t="str">
        <f>IF(J4817&lt;&gt;1,"",IF(I4817="SBJ","CB","?"))</f>
        <v> </v>
      </c>
      <c r="I4817" s="25" t="str">
        <f>IF(OR(E4817="",E4817="!!!",F4817="NEW"),"",INDEX(B4816:B$2,-1+SUMPRODUCT(MAX(ROW(E4816:E$2)*(E4817=E4816:E$2)))))</f>
        <v> </v>
      </c>
      <c r="J4817" s="25" t="str">
        <f>IF(OR(E4817="",E4817="!!!",F4817="NEW"),"",COUNTBLANK(OFFSET(A$1,,,SUMPRODUCT(MAX(ROW(E$2:E4817)*(E4817=E$2:E4817)))))-COUNTBLANK(OFFSET(A$1,,,SUMPRODUCT(MAX(ROW(E$1:E4816)*(E2=E$1:E4816))))))</f>
        <v> </v>
      </c>
      <c r="K4817" s="25" t="str">
        <f>IF(OR(E4817="",E4817="!!!",F4817="NEW"),"",INDEX(J$1:J4816,SUMPRODUCT(MAX(ROW(E$1:E4816)*(E4817=E$1:E4816)))))</f>
        <v> </v>
      </c>
      <c r="L4817" s="26"/>
    </row>
    <row r="4818" spans="1:12">
      <c r="A4818" s="20" t="s">
        <v>753</v>
      </c>
      <c r="E4818" s="21">
        <f>IF(D4818="?OLD","!!!","")</f>
        <v/>
      </c>
      <c r="F4818" s="22" t="str">
        <f>IF(OR(E4818="",E4818="!!!"),"",IF(NOT(ISNA(VLOOKUP(E4818,E$1:E4817,1,FALSE()))),"OLD",IF(AND(E4818&lt;&gt;"",E4818&lt;&gt;"!!!"),"NEW","")))</f>
        <v> </v>
      </c>
      <c r="G4818" s="23" t="str">
        <f>IF(OR(E4818="",E4818="!!!"),"",IF(OR(J4818=0,AND(J4818=1,K4818=1),AND(J4818=1,I4818="SBJ"),AND(J4818=1,I4818=0)),"?IN_FOCUS",IF(J4818&lt;=2,"?ACTIVATED",IF(J4818&lt;&gt;"","?FAMILIAR",IF(F4818="NEW",IF(ISNA(VLOOKUP(E4818,#REF!,1,FALSE())),"?TYPE_IDENTIFIABLE","?REFERENTIAL"),"_")))))</f>
        <v> </v>
      </c>
      <c r="H4818" s="24" t="str">
        <f>IF(J4818&lt;&gt;1,"",IF(I4818="SBJ","CB","?"))</f>
        <v> </v>
      </c>
      <c r="I4818" s="25" t="str">
        <f>IF(OR(E4818="",E4818="!!!",F4818="NEW"),"",INDEX(B4817:B$2,-1+SUMPRODUCT(MAX(ROW(E4817:E$2)*(E4818=E4817:E$2)))))</f>
        <v> </v>
      </c>
      <c r="J4818" s="25" t="str">
        <f>IF(OR(E4818="",E4818="!!!",F4818="NEW"),"",COUNTBLANK(OFFSET(A$1,,,SUMPRODUCT(MAX(ROW(E$2:E4818)*(E4818=E$2:E4818)))))-COUNTBLANK(OFFSET(A$1,,,SUMPRODUCT(MAX(ROW(E$1:E4817)*(E2=E$1:E4817))))))</f>
        <v> </v>
      </c>
      <c r="K4818" s="25" t="str">
        <f>IF(OR(E4818="",E4818="!!!",F4818="NEW"),"",INDEX(J$1:J4817,SUMPRODUCT(MAX(ROW(E$1:E4817)*(E4818=E$1:E4817)))))</f>
        <v> </v>
      </c>
      <c r="L4818" s="26"/>
    </row>
    <row r="4819" spans="1:12">
      <c r="A4819" s="20" t="s">
        <v>736</v>
      </c>
      <c r="B4819" s="27" t="s">
        <v>1352</v>
      </c>
      <c r="E4819" s="21">
        <f>IF(D4819="?OLD","!!!","")</f>
        <v/>
      </c>
      <c r="F4819" s="22" t="str">
        <f>IF(OR(E4819="",E4819="!!!"),"",IF(NOT(ISNA(VLOOKUP(E4819,E$1:E4818,1,FALSE()))),"OLD",IF(AND(E4819&lt;&gt;"",E4819&lt;&gt;"!!!"),"NEW","")))</f>
        <v> </v>
      </c>
      <c r="G4819" s="23" t="str">
        <f>IF(OR(E4819="",E4819="!!!"),"",IF(OR(J4819=0,AND(J4819=1,K4819=1),AND(J4819=1,I4819="SBJ"),AND(J4819=1,I4819=0)),"?IN_FOCUS",IF(J4819&lt;=2,"?ACTIVATED",IF(J4819&lt;&gt;"","?FAMILIAR",IF(F4819="NEW",IF(ISNA(VLOOKUP(E4819,#REF!,1,FALSE())),"?TYPE_IDENTIFIABLE","?REFERENTIAL"),"_")))))</f>
        <v> </v>
      </c>
      <c r="H4819" s="24" t="str">
        <f>IF(J4819&lt;&gt;1,"",IF(I4819="SBJ","CB","?"))</f>
        <v> </v>
      </c>
      <c r="I4819" s="25" t="str">
        <f>IF(OR(E4819="",E4819="!!!",F4819="NEW"),"",INDEX(B4818:B$2,-1+SUMPRODUCT(MAX(ROW(E4818:E$2)*(E4819=E4818:E$2)))))</f>
        <v> </v>
      </c>
      <c r="J4819" s="25" t="str">
        <f>IF(OR(E4819="",E4819="!!!",F4819="NEW"),"",COUNTBLANK(OFFSET(A$1,,,SUMPRODUCT(MAX(ROW(E$2:E4819)*(E4819=E$2:E4819)))))-COUNTBLANK(OFFSET(A$1,,,SUMPRODUCT(MAX(ROW(E$1:E4818)*(E2=E$1:E4818))))))</f>
        <v> </v>
      </c>
      <c r="K4819" s="25" t="str">
        <f>IF(OR(E4819="",E4819="!!!",F4819="NEW"),"",INDEX(J$1:J4818,SUMPRODUCT(MAX(ROW(E$1:E4818)*(E4819=E$1:E4818)))))</f>
        <v> </v>
      </c>
      <c r="L4819" s="26"/>
    </row>
    <row r="4820" spans="1:12">
      <c r="A4820" s="20" t="s">
        <v>807</v>
      </c>
      <c r="B4820" s="27" t="s">
        <v>1024</v>
      </c>
      <c r="C4820" s="27" t="s">
        <v>749</v>
      </c>
      <c r="D4820" s="27" t="s">
        <v>740</v>
      </c>
      <c r="E4820" s="21">
        <f>IF(D4820="?OLD","!!!","")</f>
        <v/>
      </c>
      <c r="F4820" s="22" t="str">
        <f>IF(OR(E4820="",E4820="!!!"),"",IF(NOT(ISNA(VLOOKUP(E4820,E$1:E4819,1,FALSE()))),"OLD",IF(AND(E4820&lt;&gt;"",E4820&lt;&gt;"!!!"),"NEW","")))</f>
        <v> </v>
      </c>
      <c r="G4820" s="23" t="str">
        <f>IF(OR(E4820="",E4820="!!!"),"",IF(OR(J4820=0,AND(J4820=1,K4820=1),AND(J4820=1,I4820="SBJ"),AND(J4820=1,I4820=0)),"?IN_FOCUS",IF(J4820&lt;=2,"?ACTIVATED",IF(J4820&lt;&gt;"","?FAMILIAR",IF(F4820="NEW",IF(ISNA(VLOOKUP(E4820,#REF!,1,FALSE())),"?TYPE_IDENTIFIABLE","?REFERENTIAL"),"_")))))</f>
        <v> </v>
      </c>
      <c r="H4820" s="24" t="str">
        <f>IF(J4820&lt;&gt;1,"",IF(I4820="SBJ","CB","?"))</f>
        <v> </v>
      </c>
      <c r="I4820" s="25" t="str">
        <f>IF(OR(E4820="",E4820="!!!",F4820="NEW"),"",INDEX(B4819:B$2,-1+SUMPRODUCT(MAX(ROW(E4819:E$2)*(E4820=E4819:E$2)))))</f>
        <v> </v>
      </c>
      <c r="J4820" s="25" t="str">
        <f>IF(OR(E4820="",E4820="!!!",F4820="NEW"),"",COUNTBLANK(OFFSET(A$1,,,SUMPRODUCT(MAX(ROW(E$2:E4820)*(E4820=E$2:E4820)))))-COUNTBLANK(OFFSET(A$1,,,SUMPRODUCT(MAX(ROW(E$1:E4819)*(E2=E$1:E4819))))))</f>
        <v> </v>
      </c>
      <c r="K4820" s="25" t="str">
        <f>IF(OR(E4820="",E4820="!!!",F4820="NEW"),"",INDEX(J$1:J4819,SUMPRODUCT(MAX(ROW(E$1:E4819)*(E4820=E$1:E4819)))))</f>
        <v> </v>
      </c>
      <c r="L4820" s="26"/>
    </row>
    <row r="4821" spans="1:12">
      <c r="A4821" s="20" t="s">
        <v>1499</v>
      </c>
      <c r="E4821" s="21">
        <f>IF(D4821="?OLD","!!!","")</f>
        <v/>
      </c>
      <c r="F4821" s="22" t="str">
        <f>IF(OR(E4821="",E4821="!!!"),"",IF(NOT(ISNA(VLOOKUP(E4821,E$1:E4820,1,FALSE()))),"OLD",IF(AND(E4821&lt;&gt;"",E4821&lt;&gt;"!!!"),"NEW","")))</f>
        <v> </v>
      </c>
      <c r="G4821" s="23" t="str">
        <f>IF(OR(E4821="",E4821="!!!"),"",IF(OR(J4821=0,AND(J4821=1,K4821=1),AND(J4821=1,I4821="SBJ"),AND(J4821=1,I4821=0)),"?IN_FOCUS",IF(J4821&lt;=2,"?ACTIVATED",IF(J4821&lt;&gt;"","?FAMILIAR",IF(F4821="NEW",IF(ISNA(VLOOKUP(E4821,#REF!,1,FALSE())),"?TYPE_IDENTIFIABLE","?REFERENTIAL"),"_")))))</f>
        <v> </v>
      </c>
      <c r="H4821" s="24" t="str">
        <f>IF(J4821&lt;&gt;1,"",IF(I4821="SBJ","CB","?"))</f>
        <v> </v>
      </c>
      <c r="I4821" s="25" t="str">
        <f>IF(OR(E4821="",E4821="!!!",F4821="NEW"),"",INDEX(B4820:B$2,-1+SUMPRODUCT(MAX(ROW(E4820:E$2)*(E4821=E4820:E$2)))))</f>
        <v> </v>
      </c>
      <c r="J4821" s="25" t="str">
        <f>IF(OR(E4821="",E4821="!!!",F4821="NEW"),"",COUNTBLANK(OFFSET(A$1,,,SUMPRODUCT(MAX(ROW(E$2:E4821)*(E4821=E$2:E4821)))))-COUNTBLANK(OFFSET(A$1,,,SUMPRODUCT(MAX(ROW(E$1:E4820)*(E2=E$1:E4820))))))</f>
        <v> </v>
      </c>
      <c r="K4821" s="25" t="str">
        <f>IF(OR(E4821="",E4821="!!!",F4821="NEW"),"",INDEX(J$1:J4820,SUMPRODUCT(MAX(ROW(E$1:E4820)*(E4821=E$1:E4820)))))</f>
        <v> </v>
      </c>
      <c r="L4821" s="26"/>
    </row>
    <row r="4822" spans="1:12">
      <c r="A4822" s="20" t="s">
        <v>753</v>
      </c>
      <c r="E4822" s="21">
        <f>IF(D4822="?OLD","!!!","")</f>
        <v/>
      </c>
      <c r="F4822" s="22" t="str">
        <f>IF(OR(E4822="",E4822="!!!"),"",IF(NOT(ISNA(VLOOKUP(E4822,E$1:E4821,1,FALSE()))),"OLD",IF(AND(E4822&lt;&gt;"",E4822&lt;&gt;"!!!"),"NEW","")))</f>
        <v> </v>
      </c>
      <c r="G4822" s="23" t="str">
        <f>IF(OR(E4822="",E4822="!!!"),"",IF(OR(J4822=0,AND(J4822=1,K4822=1),AND(J4822=1,I4822="SBJ"),AND(J4822=1,I4822=0)),"?IN_FOCUS",IF(J4822&lt;=2,"?ACTIVATED",IF(J4822&lt;&gt;"","?FAMILIAR",IF(F4822="NEW",IF(ISNA(VLOOKUP(E4822,#REF!,1,FALSE())),"?TYPE_IDENTIFIABLE","?REFERENTIAL"),"_")))))</f>
        <v> </v>
      </c>
      <c r="H4822" s="24" t="str">
        <f>IF(J4822&lt;&gt;1,"",IF(I4822="SBJ","CB","?"))</f>
        <v> </v>
      </c>
      <c r="I4822" s="25" t="str">
        <f>IF(OR(E4822="",E4822="!!!",F4822="NEW"),"",INDEX(B4821:B$2,-1+SUMPRODUCT(MAX(ROW(E4821:E$2)*(E4822=E4821:E$2)))))</f>
        <v> </v>
      </c>
      <c r="J4822" s="25" t="str">
        <f>IF(OR(E4822="",E4822="!!!",F4822="NEW"),"",COUNTBLANK(OFFSET(A$1,,,SUMPRODUCT(MAX(ROW(E$2:E4822)*(E4822=E$2:E4822)))))-COUNTBLANK(OFFSET(A$1,,,SUMPRODUCT(MAX(ROW(E$1:E4821)*(E2=E$1:E4821))))))</f>
        <v> </v>
      </c>
      <c r="K4822" s="25" t="str">
        <f>IF(OR(E4822="",E4822="!!!",F4822="NEW"),"",INDEX(J$1:J4821,SUMPRODUCT(MAX(ROW(E$1:E4821)*(E4822=E$1:E4821)))))</f>
        <v> </v>
      </c>
      <c r="L4822" s="26"/>
    </row>
    <row r="4823" spans="1:12">
      <c r="A4823" s="20" t="s">
        <v>2107</v>
      </c>
      <c r="B4823" s="27" t="s">
        <v>733</v>
      </c>
      <c r="C4823" s="27" t="s">
        <v>734</v>
      </c>
      <c r="E4823" s="21">
        <f>IF(D4823="?OLD","!!!","")</f>
        <v/>
      </c>
      <c r="F4823" s="22" t="str">
        <f>IF(OR(E4823="",E4823="!!!"),"",IF(NOT(ISNA(VLOOKUP(E4823,E$1:E4822,1,FALSE()))),"OLD",IF(AND(E4823&lt;&gt;"",E4823&lt;&gt;"!!!"),"NEW","")))</f>
        <v> </v>
      </c>
      <c r="G4823" s="23" t="str">
        <f>IF(OR(E4823="",E4823="!!!"),"",IF(OR(J4823=0,AND(J4823=1,K4823=1),AND(J4823=1,I4823="SBJ"),AND(J4823=1,I4823=0)),"?IN_FOCUS",IF(J4823&lt;=2,"?ACTIVATED",IF(J4823&lt;&gt;"","?FAMILIAR",IF(F4823="NEW",IF(ISNA(VLOOKUP(E4823,#REF!,1,FALSE())),"?TYPE_IDENTIFIABLE","?REFERENTIAL"),"_")))))</f>
        <v> </v>
      </c>
      <c r="H4823" s="24" t="str">
        <f>IF(J4823&lt;&gt;1,"",IF(I4823="SBJ","CB","?"))</f>
        <v> </v>
      </c>
      <c r="I4823" s="25" t="str">
        <f>IF(OR(E4823="",E4823="!!!",F4823="NEW"),"",INDEX(B4822:B$2,-1+SUMPRODUCT(MAX(ROW(E4822:E$2)*(E4823=E4822:E$2)))))</f>
        <v> </v>
      </c>
      <c r="J4823" s="25" t="str">
        <f>IF(OR(E4823="",E4823="!!!",F4823="NEW"),"",COUNTBLANK(OFFSET(A$1,,,SUMPRODUCT(MAX(ROW(E$2:E4823)*(E4823=E$2:E4823)))))-COUNTBLANK(OFFSET(A$1,,,SUMPRODUCT(MAX(ROW(E$1:E4822)*(E2=E$1:E4822))))))</f>
        <v> </v>
      </c>
      <c r="K4823" s="25" t="str">
        <f>IF(OR(E4823="",E4823="!!!",F4823="NEW"),"",INDEX(J$1:J4822,SUMPRODUCT(MAX(ROW(E$1:E4822)*(E4823=E$1:E4822)))))</f>
        <v> </v>
      </c>
      <c r="L4823" s="26"/>
    </row>
    <row r="4824" spans="1:12">
      <c r="A4824" s="20" t="s">
        <v>2038</v>
      </c>
      <c r="E4824" s="21">
        <f>IF(D4824="?OLD","!!!","")</f>
        <v/>
      </c>
      <c r="F4824" s="22" t="str">
        <f>IF(OR(E4824="",E4824="!!!"),"",IF(NOT(ISNA(VLOOKUP(E4824,E$1:E4823,1,FALSE()))),"OLD",IF(AND(E4824&lt;&gt;"",E4824&lt;&gt;"!!!"),"NEW","")))</f>
        <v> </v>
      </c>
      <c r="G4824" s="23" t="str">
        <f>IF(OR(E4824="",E4824="!!!"),"",IF(OR(J4824=0,AND(J4824=1,K4824=1),AND(J4824=1,I4824="SBJ"),AND(J4824=1,I4824=0)),"?IN_FOCUS",IF(J4824&lt;=2,"?ACTIVATED",IF(J4824&lt;&gt;"","?FAMILIAR",IF(F4824="NEW",IF(ISNA(VLOOKUP(E4824,#REF!,1,FALSE())),"?TYPE_IDENTIFIABLE","?REFERENTIAL"),"_")))))</f>
        <v> </v>
      </c>
      <c r="H4824" s="24" t="str">
        <f>IF(J4824&lt;&gt;1,"",IF(I4824="SBJ","CB","?"))</f>
        <v> </v>
      </c>
      <c r="I4824" s="25" t="str">
        <f>IF(OR(E4824="",E4824="!!!",F4824="NEW"),"",INDEX(B4823:B$2,-1+SUMPRODUCT(MAX(ROW(E4823:E$2)*(E4824=E4823:E$2)))))</f>
        <v> </v>
      </c>
      <c r="J4824" s="25" t="str">
        <f>IF(OR(E4824="",E4824="!!!",F4824="NEW"),"",COUNTBLANK(OFFSET(A$1,,,SUMPRODUCT(MAX(ROW(E$2:E4824)*(E4824=E$2:E4824)))))-COUNTBLANK(OFFSET(A$1,,,SUMPRODUCT(MAX(ROW(E$1:E4823)*(E2=E$1:E4823))))))</f>
        <v> </v>
      </c>
      <c r="K4824" s="25" t="str">
        <f>IF(OR(E4824="",E4824="!!!",F4824="NEW"),"",INDEX(J$1:J4823,SUMPRODUCT(MAX(ROW(E$1:E4823)*(E4824=E$1:E4823)))))</f>
        <v> </v>
      </c>
      <c r="L4824" s="26"/>
    </row>
    <row r="4825" spans="1:12">
      <c r="A4825" s="20" t="s">
        <v>753</v>
      </c>
      <c r="E4825" s="21">
        <f>IF(D4825="?OLD","!!!","")</f>
        <v/>
      </c>
      <c r="F4825" s="22" t="str">
        <f>IF(OR(E4825="",E4825="!!!"),"",IF(NOT(ISNA(VLOOKUP(E4825,E$1:E4824,1,FALSE()))),"OLD",IF(AND(E4825&lt;&gt;"",E4825&lt;&gt;"!!!"),"NEW","")))</f>
        <v> </v>
      </c>
      <c r="G4825" s="23" t="str">
        <f>IF(OR(E4825="",E4825="!!!"),"",IF(OR(J4825=0,AND(J4825=1,K4825=1),AND(J4825=1,I4825="SBJ"),AND(J4825=1,I4825=0)),"?IN_FOCUS",IF(J4825&lt;=2,"?ACTIVATED",IF(J4825&lt;&gt;"","?FAMILIAR",IF(F4825="NEW",IF(ISNA(VLOOKUP(E4825,#REF!,1,FALSE())),"?TYPE_IDENTIFIABLE","?REFERENTIAL"),"_")))))</f>
        <v> </v>
      </c>
      <c r="H4825" s="24" t="str">
        <f>IF(J4825&lt;&gt;1,"",IF(I4825="SBJ","CB","?"))</f>
        <v> </v>
      </c>
      <c r="I4825" s="25" t="str">
        <f>IF(OR(E4825="",E4825="!!!",F4825="NEW"),"",INDEX(B4824:B$2,-1+SUMPRODUCT(MAX(ROW(E4824:E$2)*(E4825=E4824:E$2)))))</f>
        <v> </v>
      </c>
      <c r="J4825" s="25" t="str">
        <f>IF(OR(E4825="",E4825="!!!",F4825="NEW"),"",COUNTBLANK(OFFSET(A$1,,,SUMPRODUCT(MAX(ROW(E$2:E4825)*(E4825=E$2:E4825)))))-COUNTBLANK(OFFSET(A$1,,,SUMPRODUCT(MAX(ROW(E$1:E4824)*(E2=E$1:E4824))))))</f>
        <v> </v>
      </c>
      <c r="K4825" s="25" t="str">
        <f>IF(OR(E4825="",E4825="!!!",F4825="NEW"),"",INDEX(J$1:J4824,SUMPRODUCT(MAX(ROW(E$1:E4824)*(E4825=E$1:E4824)))))</f>
        <v> </v>
      </c>
      <c r="L4825" s="26"/>
    </row>
    <row r="4826" spans="1:12">
      <c r="A4826" s="20" t="s">
        <v>1237</v>
      </c>
      <c r="E4826" s="21">
        <f>IF(D4826="?OLD","!!!","")</f>
        <v/>
      </c>
      <c r="F4826" s="22" t="str">
        <f>IF(OR(E4826="",E4826="!!!"),"",IF(NOT(ISNA(VLOOKUP(E4826,E$1:E4825,1,FALSE()))),"OLD",IF(AND(E4826&lt;&gt;"",E4826&lt;&gt;"!!!"),"NEW","")))</f>
        <v> </v>
      </c>
      <c r="G4826" s="23" t="str">
        <f>IF(OR(E4826="",E4826="!!!"),"",IF(OR(J4826=0,AND(J4826=1,K4826=1),AND(J4826=1,I4826="SBJ"),AND(J4826=1,I4826=0)),"?IN_FOCUS",IF(J4826&lt;=2,"?ACTIVATED",IF(J4826&lt;&gt;"","?FAMILIAR",IF(F4826="NEW",IF(ISNA(VLOOKUP(E4826,#REF!,1,FALSE())),"?TYPE_IDENTIFIABLE","?REFERENTIAL"),"_")))))</f>
        <v> </v>
      </c>
      <c r="H4826" s="24" t="str">
        <f>IF(J4826&lt;&gt;1,"",IF(I4826="SBJ","CB","?"))</f>
        <v> </v>
      </c>
      <c r="I4826" s="25" t="str">
        <f>IF(OR(E4826="",E4826="!!!",F4826="NEW"),"",INDEX(B4825:B$2,-1+SUMPRODUCT(MAX(ROW(E4825:E$2)*(E4826=E4825:E$2)))))</f>
        <v> </v>
      </c>
      <c r="J4826" s="25" t="str">
        <f>IF(OR(E4826="",E4826="!!!",F4826="NEW"),"",COUNTBLANK(OFFSET(A$1,,,SUMPRODUCT(MAX(ROW(E$2:E4826)*(E4826=E$2:E4826)))))-COUNTBLANK(OFFSET(A$1,,,SUMPRODUCT(MAX(ROW(E$1:E4825)*(E2=E$1:E4825))))))</f>
        <v> </v>
      </c>
      <c r="K4826" s="25" t="str">
        <f>IF(OR(E4826="",E4826="!!!",F4826="NEW"),"",INDEX(J$1:J4825,SUMPRODUCT(MAX(ROW(E$1:E4825)*(E4826=E$1:E4825)))))</f>
        <v> </v>
      </c>
      <c r="L4826" s="26"/>
    </row>
    <row r="4827" spans="1:12">
      <c r="A4827" s="20" t="s">
        <v>774</v>
      </c>
      <c r="B4827" s="27" t="s">
        <v>795</v>
      </c>
      <c r="C4827" s="27" t="s">
        <v>775</v>
      </c>
      <c r="D4827" s="27" t="s">
        <v>740</v>
      </c>
      <c r="E4827" s="21">
        <f>IF(D4827="?OLD","!!!","")</f>
        <v/>
      </c>
      <c r="F4827" s="22" t="str">
        <f>IF(OR(E4827="",E4827="!!!"),"",IF(NOT(ISNA(VLOOKUP(E4827,E$1:E4826,1,FALSE()))),"OLD",IF(AND(E4827&lt;&gt;"",E4827&lt;&gt;"!!!"),"NEW","")))</f>
        <v> </v>
      </c>
      <c r="G4827" s="23" t="str">
        <f>IF(OR(E4827="",E4827="!!!"),"",IF(OR(J4827=0,AND(J4827=1,K4827=1),AND(J4827=1,I4827="SBJ"),AND(J4827=1,I4827=0)),"?IN_FOCUS",IF(J4827&lt;=2,"?ACTIVATED",IF(J4827&lt;&gt;"","?FAMILIAR",IF(F4827="NEW",IF(ISNA(VLOOKUP(E4827,#REF!,1,FALSE())),"?TYPE_IDENTIFIABLE","?REFERENTIAL"),"_")))))</f>
        <v> </v>
      </c>
      <c r="H4827" s="24" t="str">
        <f>IF(J4827&lt;&gt;1,"",IF(I4827="SBJ","CB","?"))</f>
        <v> </v>
      </c>
      <c r="I4827" s="25" t="str">
        <f>IF(OR(E4827="",E4827="!!!",F4827="NEW"),"",INDEX(B4826:B$2,-1+SUMPRODUCT(MAX(ROW(E4826:E$2)*(E4827=E4826:E$2)))))</f>
        <v> </v>
      </c>
      <c r="J4827" s="25" t="str">
        <f>IF(OR(E4827="",E4827="!!!",F4827="NEW"),"",COUNTBLANK(OFFSET(A$1,,,SUMPRODUCT(MAX(ROW(E$2:E4827)*(E4827=E$2:E4827)))))-COUNTBLANK(OFFSET(A$1,,,SUMPRODUCT(MAX(ROW(E$1:E4826)*(E2=E$1:E4826))))))</f>
        <v> </v>
      </c>
      <c r="K4827" s="25" t="str">
        <f>IF(OR(E4827="",E4827="!!!",F4827="NEW"),"",INDEX(J$1:J4826,SUMPRODUCT(MAX(ROW(E$1:E4826)*(E4827=E$1:E4826)))))</f>
        <v> </v>
      </c>
      <c r="L4827" s="26"/>
    </row>
    <row r="4828" spans="1:12">
      <c r="A4828" s="20" t="s">
        <v>817</v>
      </c>
      <c r="B4828" s="27" t="s">
        <v>764</v>
      </c>
      <c r="E4828" s="21">
        <f>IF(D4828="?OLD","!!!","")</f>
        <v/>
      </c>
      <c r="F4828" s="22" t="str">
        <f>IF(OR(E4828="",E4828="!!!"),"",IF(NOT(ISNA(VLOOKUP(E4828,E$1:E4827,1,FALSE()))),"OLD",IF(AND(E4828&lt;&gt;"",E4828&lt;&gt;"!!!"),"NEW","")))</f>
        <v> </v>
      </c>
      <c r="G4828" s="23" t="str">
        <f>IF(OR(E4828="",E4828="!!!"),"",IF(OR(J4828=0,AND(J4828=1,K4828=1),AND(J4828=1,I4828="SBJ"),AND(J4828=1,I4828=0)),"?IN_FOCUS",IF(J4828&lt;=2,"?ACTIVATED",IF(J4828&lt;&gt;"","?FAMILIAR",IF(F4828="NEW",IF(ISNA(VLOOKUP(E4828,#REF!,1,FALSE())),"?TYPE_IDENTIFIABLE","?REFERENTIAL"),"_")))))</f>
        <v> </v>
      </c>
      <c r="H4828" s="24" t="str">
        <f>IF(J4828&lt;&gt;1,"",IF(I4828="SBJ","CB","?"))</f>
        <v> </v>
      </c>
      <c r="I4828" s="25" t="str">
        <f>IF(OR(E4828="",E4828="!!!",F4828="NEW"),"",INDEX(B4827:B$2,-1+SUMPRODUCT(MAX(ROW(E4827:E$2)*(E4828=E4827:E$2)))))</f>
        <v> </v>
      </c>
      <c r="J4828" s="25" t="str">
        <f>IF(OR(E4828="",E4828="!!!",F4828="NEW"),"",COUNTBLANK(OFFSET(A$1,,,SUMPRODUCT(MAX(ROW(E$2:E4828)*(E4828=E$2:E4828)))))-COUNTBLANK(OFFSET(A$1,,,SUMPRODUCT(MAX(ROW(E$1:E4827)*(E2=E$1:E4827))))))</f>
        <v> </v>
      </c>
      <c r="K4828" s="25" t="str">
        <f>IF(OR(E4828="",E4828="!!!",F4828="NEW"),"",INDEX(J$1:J4827,SUMPRODUCT(MAX(ROW(E$1:E4827)*(E4828=E$1:E4827)))))</f>
        <v> </v>
      </c>
      <c r="L4828" s="26"/>
    </row>
    <row r="4829" spans="1:12">
      <c r="A4829" s="20" t="s">
        <v>765</v>
      </c>
      <c r="E4829" s="21">
        <f>IF(D4829="?OLD","!!!","")</f>
        <v/>
      </c>
      <c r="F4829" s="22" t="str">
        <f>IF(OR(E4829="",E4829="!!!"),"",IF(NOT(ISNA(VLOOKUP(E4829,E$1:E4828,1,FALSE()))),"OLD",IF(AND(E4829&lt;&gt;"",E4829&lt;&gt;"!!!"),"NEW","")))</f>
        <v> </v>
      </c>
      <c r="G4829" s="23" t="str">
        <f>IF(OR(E4829="",E4829="!!!"),"",IF(OR(J4829=0,AND(J4829=1,K4829=1),AND(J4829=1,I4829="SBJ"),AND(J4829=1,I4829=0)),"?IN_FOCUS",IF(J4829&lt;=2,"?ACTIVATED",IF(J4829&lt;&gt;"","?FAMILIAR",IF(F4829="NEW",IF(ISNA(VLOOKUP(E4829,#REF!,1,FALSE())),"?TYPE_IDENTIFIABLE","?REFERENTIAL"),"_")))))</f>
        <v> </v>
      </c>
      <c r="H4829" s="24" t="str">
        <f>IF(J4829&lt;&gt;1,"",IF(I4829="SBJ","CB","?"))</f>
        <v> </v>
      </c>
      <c r="I4829" s="25" t="str">
        <f>IF(OR(E4829="",E4829="!!!",F4829="NEW"),"",INDEX(B4828:B$2,-1+SUMPRODUCT(MAX(ROW(E4828:E$2)*(E4829=E4828:E$2)))))</f>
        <v> </v>
      </c>
      <c r="J4829" s="25" t="str">
        <f>IF(OR(E4829="",E4829="!!!",F4829="NEW"),"",COUNTBLANK(OFFSET(A$1,,,SUMPRODUCT(MAX(ROW(E$2:E4829)*(E4829=E$2:E4829)))))-COUNTBLANK(OFFSET(A$1,,,SUMPRODUCT(MAX(ROW(E$1:E4828)*(E2=E$1:E4828))))))</f>
        <v> </v>
      </c>
      <c r="K4829" s="25" t="str">
        <f>IF(OR(E4829="",E4829="!!!",F4829="NEW"),"",INDEX(J$1:J4828,SUMPRODUCT(MAX(ROW(E$1:E4828)*(E4829=E$1:E4828)))))</f>
        <v> </v>
      </c>
      <c r="L4829" s="26"/>
    </row>
    <row r="4830" spans="1:12">
      <c r="A4830" s="20" t="s">
        <v>785</v>
      </c>
      <c r="E4830" s="21">
        <f>IF(D4830="?OLD","!!!","")</f>
        <v/>
      </c>
      <c r="F4830" s="22" t="str">
        <f>IF(OR(E4830="",E4830="!!!"),"",IF(NOT(ISNA(VLOOKUP(E4830,E$1:E4829,1,FALSE()))),"OLD",IF(AND(E4830&lt;&gt;"",E4830&lt;&gt;"!!!"),"NEW","")))</f>
        <v> </v>
      </c>
      <c r="G4830" s="23" t="str">
        <f>IF(OR(E4830="",E4830="!!!"),"",IF(OR(J4830=0,AND(J4830=1,K4830=1),AND(J4830=1,I4830="SBJ"),AND(J4830=1,I4830=0)),"?IN_FOCUS",IF(J4830&lt;=2,"?ACTIVATED",IF(J4830&lt;&gt;"","?FAMILIAR",IF(F4830="NEW",IF(ISNA(VLOOKUP(E4830,#REF!,1,FALSE())),"?TYPE_IDENTIFIABLE","?REFERENTIAL"),"_")))))</f>
        <v> </v>
      </c>
      <c r="H4830" s="24" t="str">
        <f>IF(J4830&lt;&gt;1,"",IF(I4830="SBJ","CB","?"))</f>
        <v> </v>
      </c>
      <c r="I4830" s="25" t="str">
        <f>IF(OR(E4830="",E4830="!!!",F4830="NEW"),"",INDEX(B4829:B$2,-1+SUMPRODUCT(MAX(ROW(E4829:E$2)*(E4830=E4829:E$2)))))</f>
        <v> </v>
      </c>
      <c r="J4830" s="25" t="str">
        <f>IF(OR(E4830="",E4830="!!!",F4830="NEW"),"",COUNTBLANK(OFFSET(A$1,,,SUMPRODUCT(MAX(ROW(E$2:E4830)*(E4830=E$2:E4830)))))-COUNTBLANK(OFFSET(A$1,,,SUMPRODUCT(MAX(ROW(E$1:E4829)*(E2=E$1:E4829))))))</f>
        <v> </v>
      </c>
      <c r="K4830" s="25" t="str">
        <f>IF(OR(E4830="",E4830="!!!",F4830="NEW"),"",INDEX(J$1:J4829,SUMPRODUCT(MAX(ROW(E$1:E4829)*(E4830=E$1:E4829)))))</f>
        <v> </v>
      </c>
      <c r="L4830" s="26"/>
    </row>
    <row r="4831" spans="1:12">
      <c r="A4831" s="20" t="s">
        <v>2108</v>
      </c>
      <c r="E4831" s="21">
        <f>IF(D4831="?OLD","!!!","")</f>
        <v/>
      </c>
      <c r="F4831" s="22" t="str">
        <f>IF(OR(E4831="",E4831="!!!"),"",IF(NOT(ISNA(VLOOKUP(E4831,E$1:E4830,1,FALSE()))),"OLD",IF(AND(E4831&lt;&gt;"",E4831&lt;&gt;"!!!"),"NEW","")))</f>
        <v> </v>
      </c>
      <c r="G4831" s="23" t="str">
        <f>IF(OR(E4831="",E4831="!!!"),"",IF(OR(J4831=0,AND(J4831=1,K4831=1),AND(J4831=1,I4831="SBJ"),AND(J4831=1,I4831=0)),"?IN_FOCUS",IF(J4831&lt;=2,"?ACTIVATED",IF(J4831&lt;&gt;"","?FAMILIAR",IF(F4831="NEW",IF(ISNA(VLOOKUP(E4831,#REF!,1,FALSE())),"?TYPE_IDENTIFIABLE","?REFERENTIAL"),"_")))))</f>
        <v> </v>
      </c>
      <c r="H4831" s="24" t="str">
        <f>IF(J4831&lt;&gt;1,"",IF(I4831="SBJ","CB","?"))</f>
        <v> </v>
      </c>
      <c r="I4831" s="25" t="str">
        <f>IF(OR(E4831="",E4831="!!!",F4831="NEW"),"",INDEX(B4830:B$2,-1+SUMPRODUCT(MAX(ROW(E4830:E$2)*(E4831=E4830:E$2)))))</f>
        <v> </v>
      </c>
      <c r="J4831" s="25" t="str">
        <f>IF(OR(E4831="",E4831="!!!",F4831="NEW"),"",COUNTBLANK(OFFSET(A$1,,,SUMPRODUCT(MAX(ROW(E$2:E4831)*(E4831=E$2:E4831)))))-COUNTBLANK(OFFSET(A$1,,,SUMPRODUCT(MAX(ROW(E$1:E4830)*(E2=E$1:E4830))))))</f>
        <v> </v>
      </c>
      <c r="K4831" s="25" t="str">
        <f>IF(OR(E4831="",E4831="!!!",F4831="NEW"),"",INDEX(J$1:J4830,SUMPRODUCT(MAX(ROW(E$1:E4830)*(E4831=E$1:E4830)))))</f>
        <v> </v>
      </c>
      <c r="L4831" s="26"/>
    </row>
    <row r="4832" spans="1:12">
      <c r="A4832" s="20" t="s">
        <v>2109</v>
      </c>
      <c r="B4832" s="27" t="s">
        <v>777</v>
      </c>
      <c r="C4832" s="27" t="s">
        <v>744</v>
      </c>
      <c r="E4832" s="21">
        <f>IF(D4832="?OLD","!!!","")</f>
        <v/>
      </c>
      <c r="F4832" s="22" t="str">
        <f>IF(OR(E4832="",E4832="!!!"),"",IF(NOT(ISNA(VLOOKUP(E4832,E$1:E4831,1,FALSE()))),"OLD",IF(AND(E4832&lt;&gt;"",E4832&lt;&gt;"!!!"),"NEW","")))</f>
        <v> </v>
      </c>
      <c r="G4832" s="23" t="str">
        <f>IF(OR(E4832="",E4832="!!!"),"",IF(OR(J4832=0,AND(J4832=1,K4832=1),AND(J4832=1,I4832="SBJ"),AND(J4832=1,I4832=0)),"?IN_FOCUS",IF(J4832&lt;=2,"?ACTIVATED",IF(J4832&lt;&gt;"","?FAMILIAR",IF(F4832="NEW",IF(ISNA(VLOOKUP(E4832,#REF!,1,FALSE())),"?TYPE_IDENTIFIABLE","?REFERENTIAL"),"_")))))</f>
        <v> </v>
      </c>
      <c r="H4832" s="24" t="str">
        <f>IF(J4832&lt;&gt;1,"",IF(I4832="SBJ","CB","?"))</f>
        <v> </v>
      </c>
      <c r="I4832" s="25" t="str">
        <f>IF(OR(E4832="",E4832="!!!",F4832="NEW"),"",INDEX(B4831:B$2,-1+SUMPRODUCT(MAX(ROW(E4831:E$2)*(E4832=E4831:E$2)))))</f>
        <v> </v>
      </c>
      <c r="J4832" s="25" t="str">
        <f>IF(OR(E4832="",E4832="!!!",F4832="NEW"),"",COUNTBLANK(OFFSET(A$1,,,SUMPRODUCT(MAX(ROW(E$2:E4832)*(E4832=E$2:E4832)))))-COUNTBLANK(OFFSET(A$1,,,SUMPRODUCT(MAX(ROW(E$1:E4831)*(E2=E$1:E4831))))))</f>
        <v> </v>
      </c>
      <c r="K4832" s="25" t="str">
        <f>IF(OR(E4832="",E4832="!!!",F4832="NEW"),"",INDEX(J$1:J4831,SUMPRODUCT(MAX(ROW(E$1:E4831)*(E4832=E$1:E4831)))))</f>
        <v> </v>
      </c>
      <c r="L4832" s="26"/>
    </row>
    <row r="4833" spans="1:12">
      <c r="A4833" s="20" t="s">
        <v>845</v>
      </c>
      <c r="E4833" s="21">
        <f>IF(D4833="?OLD","!!!","")</f>
        <v/>
      </c>
      <c r="F4833" s="22" t="str">
        <f>IF(OR(E4833="",E4833="!!!"),"",IF(NOT(ISNA(VLOOKUP(E4833,E$1:E4832,1,FALSE()))),"OLD",IF(AND(E4833&lt;&gt;"",E4833&lt;&gt;"!!!"),"NEW","")))</f>
        <v> </v>
      </c>
      <c r="G4833" s="23" t="str">
        <f>IF(OR(E4833="",E4833="!!!"),"",IF(OR(J4833=0,AND(J4833=1,K4833=1),AND(J4833=1,I4833="SBJ"),AND(J4833=1,I4833=0)),"?IN_FOCUS",IF(J4833&lt;=2,"?ACTIVATED",IF(J4833&lt;&gt;"","?FAMILIAR",IF(F4833="NEW",IF(ISNA(VLOOKUP(E4833,#REF!,1,FALSE())),"?TYPE_IDENTIFIABLE","?REFERENTIAL"),"_")))))</f>
        <v> </v>
      </c>
      <c r="H4833" s="24" t="str">
        <f>IF(J4833&lt;&gt;1,"",IF(I4833="SBJ","CB","?"))</f>
        <v> </v>
      </c>
      <c r="I4833" s="25" t="str">
        <f>IF(OR(E4833="",E4833="!!!",F4833="NEW"),"",INDEX(B4832:B$2,-1+SUMPRODUCT(MAX(ROW(E4832:E$2)*(E4833=E4832:E$2)))))</f>
        <v> </v>
      </c>
      <c r="J4833" s="25" t="str">
        <f>IF(OR(E4833="",E4833="!!!",F4833="NEW"),"",COUNTBLANK(OFFSET(A$1,,,SUMPRODUCT(MAX(ROW(E$2:E4833)*(E4833=E$2:E4833)))))-COUNTBLANK(OFFSET(A$1,,,SUMPRODUCT(MAX(ROW(E$1:E4832)*(E2=E$1:E4832))))))</f>
        <v> </v>
      </c>
      <c r="K4833" s="25" t="str">
        <f>IF(OR(E4833="",E4833="!!!",F4833="NEW"),"",INDEX(J$1:J4832,SUMPRODUCT(MAX(ROW(E$1:E4832)*(E4833=E$1:E4832)))))</f>
        <v> </v>
      </c>
      <c r="L4833" s="26"/>
    </row>
    <row r="4834" spans="1:12">
      <c r="A4834" s="20" t="s">
        <v>1279</v>
      </c>
      <c r="E4834" s="21">
        <f>IF(D4834="?OLD","!!!","")</f>
        <v/>
      </c>
      <c r="F4834" s="22" t="str">
        <f>IF(OR(E4834="",E4834="!!!"),"",IF(NOT(ISNA(VLOOKUP(E4834,E$1:E4833,1,FALSE()))),"OLD",IF(AND(E4834&lt;&gt;"",E4834&lt;&gt;"!!!"),"NEW","")))</f>
        <v> </v>
      </c>
      <c r="G4834" s="23" t="str">
        <f>IF(OR(E4834="",E4834="!!!"),"",IF(OR(J4834=0,AND(J4834=1,K4834=1),AND(J4834=1,I4834="SBJ"),AND(J4834=1,I4834=0)),"?IN_FOCUS",IF(J4834&lt;=2,"?ACTIVATED",IF(J4834&lt;&gt;"","?FAMILIAR",IF(F4834="NEW",IF(ISNA(VLOOKUP(E4834,#REF!,1,FALSE())),"?TYPE_IDENTIFIABLE","?REFERENTIAL"),"_")))))</f>
        <v> </v>
      </c>
      <c r="H4834" s="24" t="str">
        <f>IF(J4834&lt;&gt;1,"",IF(I4834="SBJ","CB","?"))</f>
        <v> </v>
      </c>
      <c r="I4834" s="25" t="str">
        <f>IF(OR(E4834="",E4834="!!!",F4834="NEW"),"",INDEX(B4833:B$2,-1+SUMPRODUCT(MAX(ROW(E4833:E$2)*(E4834=E4833:E$2)))))</f>
        <v> </v>
      </c>
      <c r="J4834" s="25" t="str">
        <f>IF(OR(E4834="",E4834="!!!",F4834="NEW"),"",COUNTBLANK(OFFSET(A$1,,,SUMPRODUCT(MAX(ROW(E$2:E4834)*(E4834=E$2:E4834)))))-COUNTBLANK(OFFSET(A$1,,,SUMPRODUCT(MAX(ROW(E$1:E4833)*(E2=E$1:E4833))))))</f>
        <v> </v>
      </c>
      <c r="K4834" s="25" t="str">
        <f>IF(OR(E4834="",E4834="!!!",F4834="NEW"),"",INDEX(J$1:J4833,SUMPRODUCT(MAX(ROW(E$1:E4833)*(E4834=E$1:E4833)))))</f>
        <v> </v>
      </c>
      <c r="L4834" s="26"/>
    </row>
    <row r="4835" spans="1:12">
      <c r="A4835" s="20" t="s">
        <v>2110</v>
      </c>
      <c r="E4835" s="21">
        <f>IF(D4835="?OLD","!!!","")</f>
        <v/>
      </c>
      <c r="F4835" s="22" t="str">
        <f>IF(OR(E4835="",E4835="!!!"),"",IF(NOT(ISNA(VLOOKUP(E4835,E$1:E4834,1,FALSE()))),"OLD",IF(AND(E4835&lt;&gt;"",E4835&lt;&gt;"!!!"),"NEW","")))</f>
        <v> </v>
      </c>
      <c r="G4835" s="23" t="str">
        <f>IF(OR(E4835="",E4835="!!!"),"",IF(OR(J4835=0,AND(J4835=1,K4835=1),AND(J4835=1,I4835="SBJ"),AND(J4835=1,I4835=0)),"?IN_FOCUS",IF(J4835&lt;=2,"?ACTIVATED",IF(J4835&lt;&gt;"","?FAMILIAR",IF(F4835="NEW",IF(ISNA(VLOOKUP(E4835,#REF!,1,FALSE())),"?TYPE_IDENTIFIABLE","?REFERENTIAL"),"_")))))</f>
        <v> </v>
      </c>
      <c r="H4835" s="24" t="str">
        <f>IF(J4835&lt;&gt;1,"",IF(I4835="SBJ","CB","?"))</f>
        <v> </v>
      </c>
      <c r="I4835" s="25" t="str">
        <f>IF(OR(E4835="",E4835="!!!",F4835="NEW"),"",INDEX(B4834:B$2,-1+SUMPRODUCT(MAX(ROW(E4834:E$2)*(E4835=E4834:E$2)))))</f>
        <v> </v>
      </c>
      <c r="J4835" s="25" t="str">
        <f>IF(OR(E4835="",E4835="!!!",F4835="NEW"),"",COUNTBLANK(OFFSET(A$1,,,SUMPRODUCT(MAX(ROW(E$2:E4835)*(E4835=E$2:E4835)))))-COUNTBLANK(OFFSET(A$1,,,SUMPRODUCT(MAX(ROW(E$1:E4834)*(E2=E$1:E4834))))))</f>
        <v> </v>
      </c>
      <c r="K4835" s="25" t="str">
        <f>IF(OR(E4835="",E4835="!!!",F4835="NEW"),"",INDEX(J$1:J4834,SUMPRODUCT(MAX(ROW(E$1:E4834)*(E4835=E$1:E4834)))))</f>
        <v> </v>
      </c>
      <c r="L4835" s="26"/>
    </row>
    <row r="4836" spans="1:12">
      <c r="A4836" s="20" t="s">
        <v>1162</v>
      </c>
      <c r="B4836" s="27" t="s">
        <v>787</v>
      </c>
      <c r="C4836" s="27" t="s">
        <v>848</v>
      </c>
      <c r="E4836" s="21">
        <f>IF(D4836="?OLD","!!!","")</f>
        <v/>
      </c>
      <c r="F4836" s="22" t="str">
        <f>IF(OR(E4836="",E4836="!!!"),"",IF(NOT(ISNA(VLOOKUP(E4836,E$1:E4835,1,FALSE()))),"OLD",IF(AND(E4836&lt;&gt;"",E4836&lt;&gt;"!!!"),"NEW","")))</f>
        <v> </v>
      </c>
      <c r="G4836" s="23" t="str">
        <f>IF(OR(E4836="",E4836="!!!"),"",IF(OR(J4836=0,AND(J4836=1,K4836=1),AND(J4836=1,I4836="SBJ"),AND(J4836=1,I4836=0)),"?IN_FOCUS",IF(J4836&lt;=2,"?ACTIVATED",IF(J4836&lt;&gt;"","?FAMILIAR",IF(F4836="NEW",IF(ISNA(VLOOKUP(E4836,#REF!,1,FALSE())),"?TYPE_IDENTIFIABLE","?REFERENTIAL"),"_")))))</f>
        <v> </v>
      </c>
      <c r="H4836" s="24" t="str">
        <f>IF(J4836&lt;&gt;1,"",IF(I4836="SBJ","CB","?"))</f>
        <v> </v>
      </c>
      <c r="I4836" s="25" t="str">
        <f>IF(OR(E4836="",E4836="!!!",F4836="NEW"),"",INDEX(B4835:B$2,-1+SUMPRODUCT(MAX(ROW(E4835:E$2)*(E4836=E4835:E$2)))))</f>
        <v> </v>
      </c>
      <c r="J4836" s="25" t="str">
        <f>IF(OR(E4836="",E4836="!!!",F4836="NEW"),"",COUNTBLANK(OFFSET(A$1,,,SUMPRODUCT(MAX(ROW(E$2:E4836)*(E4836=E$2:E4836)))))-COUNTBLANK(OFFSET(A$1,,,SUMPRODUCT(MAX(ROW(E$1:E4835)*(E2=E$1:E4835))))))</f>
        <v> </v>
      </c>
      <c r="K4836" s="25" t="str">
        <f>IF(OR(E4836="",E4836="!!!",F4836="NEW"),"",INDEX(J$1:J4835,SUMPRODUCT(MAX(ROW(E$1:E4835)*(E4836=E$1:E4835)))))</f>
        <v> </v>
      </c>
      <c r="L4836" s="26"/>
    </row>
    <row r="4837" spans="1:12">
      <c r="A4837" s="20" t="s">
        <v>2111</v>
      </c>
      <c r="E4837" s="21">
        <f>IF(D4837="?OLD","!!!","")</f>
        <v/>
      </c>
      <c r="F4837" s="22" t="str">
        <f>IF(OR(E4837="",E4837="!!!"),"",IF(NOT(ISNA(VLOOKUP(E4837,E$1:E4836,1,FALSE()))),"OLD",IF(AND(E4837&lt;&gt;"",E4837&lt;&gt;"!!!"),"NEW","")))</f>
        <v> </v>
      </c>
      <c r="G4837" s="23" t="str">
        <f>IF(OR(E4837="",E4837="!!!"),"",IF(OR(J4837=0,AND(J4837=1,K4837=1),AND(J4837=1,I4837="SBJ"),AND(J4837=1,I4837=0)),"?IN_FOCUS",IF(J4837&lt;=2,"?ACTIVATED",IF(J4837&lt;&gt;"","?FAMILIAR",IF(F4837="NEW",IF(ISNA(VLOOKUP(E4837,#REF!,1,FALSE())),"?TYPE_IDENTIFIABLE","?REFERENTIAL"),"_")))))</f>
        <v> </v>
      </c>
      <c r="H4837" s="24" t="str">
        <f>IF(J4837&lt;&gt;1,"",IF(I4837="SBJ","CB","?"))</f>
        <v> </v>
      </c>
      <c r="I4837" s="25" t="str">
        <f>IF(OR(E4837="",E4837="!!!",F4837="NEW"),"",INDEX(B4836:B$2,-1+SUMPRODUCT(MAX(ROW(E4836:E$2)*(E4837=E4836:E$2)))))</f>
        <v> </v>
      </c>
      <c r="J4837" s="25" t="str">
        <f>IF(OR(E4837="",E4837="!!!",F4837="NEW"),"",COUNTBLANK(OFFSET(A$1,,,SUMPRODUCT(MAX(ROW(E$2:E4837)*(E4837=E$2:E4837)))))-COUNTBLANK(OFFSET(A$1,,,SUMPRODUCT(MAX(ROW(E$1:E4836)*(E2=E$1:E4836))))))</f>
        <v> </v>
      </c>
      <c r="K4837" s="25" t="str">
        <f>IF(OR(E4837="",E4837="!!!",F4837="NEW"),"",INDEX(J$1:J4836,SUMPRODUCT(MAX(ROW(E$1:E4836)*(E4837=E$1:E4836)))))</f>
        <v> </v>
      </c>
      <c r="L4837" s="26"/>
    </row>
    <row r="4838" spans="1:12">
      <c r="A4838" s="20" t="s">
        <v>753</v>
      </c>
      <c r="E4838" s="21">
        <f>IF(D4838="?OLD","!!!","")</f>
        <v/>
      </c>
      <c r="F4838" s="22" t="str">
        <f>IF(OR(E4838="",E4838="!!!"),"",IF(NOT(ISNA(VLOOKUP(E4838,E$1:E4837,1,FALSE()))),"OLD",IF(AND(E4838&lt;&gt;"",E4838&lt;&gt;"!!!"),"NEW","")))</f>
        <v> </v>
      </c>
      <c r="G4838" s="23" t="str">
        <f>IF(OR(E4838="",E4838="!!!"),"",IF(OR(J4838=0,AND(J4838=1,K4838=1),AND(J4838=1,I4838="SBJ"),AND(J4838=1,I4838=0)),"?IN_FOCUS",IF(J4838&lt;=2,"?ACTIVATED",IF(J4838&lt;&gt;"","?FAMILIAR",IF(F4838="NEW",IF(ISNA(VLOOKUP(E4838,#REF!,1,FALSE())),"?TYPE_IDENTIFIABLE","?REFERENTIAL"),"_")))))</f>
        <v> </v>
      </c>
      <c r="H4838" s="24" t="str">
        <f>IF(J4838&lt;&gt;1,"",IF(I4838="SBJ","CB","?"))</f>
        <v> </v>
      </c>
      <c r="I4838" s="25" t="str">
        <f>IF(OR(E4838="",E4838="!!!",F4838="NEW"),"",INDEX(B4837:B$2,-1+SUMPRODUCT(MAX(ROW(E4837:E$2)*(E4838=E4837:E$2)))))</f>
        <v> </v>
      </c>
      <c r="J4838" s="25" t="str">
        <f>IF(OR(E4838="",E4838="!!!",F4838="NEW"),"",COUNTBLANK(OFFSET(A$1,,,SUMPRODUCT(MAX(ROW(E$2:E4838)*(E4838=E$2:E4838)))))-COUNTBLANK(OFFSET(A$1,,,SUMPRODUCT(MAX(ROW(E$1:E4837)*(E2=E$1:E4837))))))</f>
        <v> </v>
      </c>
      <c r="K4838" s="25" t="str">
        <f>IF(OR(E4838="",E4838="!!!",F4838="NEW"),"",INDEX(J$1:J4837,SUMPRODUCT(MAX(ROW(E$1:E4837)*(E4838=E$1:E4837)))))</f>
        <v> </v>
      </c>
      <c r="L4838" s="26"/>
    </row>
    <row r="4839" spans="1:12">
      <c r="A4839" s="20" t="s">
        <v>788</v>
      </c>
      <c r="E4839" s="21">
        <f>IF(D4839="?OLD","!!!","")</f>
        <v/>
      </c>
      <c r="F4839" s="22" t="str">
        <f>IF(OR(E4839="",E4839="!!!"),"",IF(NOT(ISNA(VLOOKUP(E4839,E$1:E4838,1,FALSE()))),"OLD",IF(AND(E4839&lt;&gt;"",E4839&lt;&gt;"!!!"),"NEW","")))</f>
        <v> </v>
      </c>
      <c r="G4839" s="23" t="str">
        <f>IF(OR(E4839="",E4839="!!!"),"",IF(OR(J4839=0,AND(J4839=1,K4839=1),AND(J4839=1,I4839="SBJ"),AND(J4839=1,I4839=0)),"?IN_FOCUS",IF(J4839&lt;=2,"?ACTIVATED",IF(J4839&lt;&gt;"","?FAMILIAR",IF(F4839="NEW",IF(ISNA(VLOOKUP(E4839,#REF!,1,FALSE())),"?TYPE_IDENTIFIABLE","?REFERENTIAL"),"_")))))</f>
        <v> </v>
      </c>
      <c r="H4839" s="24" t="str">
        <f>IF(J4839&lt;&gt;1,"",IF(I4839="SBJ","CB","?"))</f>
        <v> </v>
      </c>
      <c r="I4839" s="25" t="str">
        <f>IF(OR(E4839="",E4839="!!!",F4839="NEW"),"",INDEX(B4838:B$2,-1+SUMPRODUCT(MAX(ROW(E4838:E$2)*(E4839=E4838:E$2)))))</f>
        <v> </v>
      </c>
      <c r="J4839" s="25" t="str">
        <f>IF(OR(E4839="",E4839="!!!",F4839="NEW"),"",COUNTBLANK(OFFSET(A$1,,,SUMPRODUCT(MAX(ROW(E$2:E4839)*(E4839=E$2:E4839)))))-COUNTBLANK(OFFSET(A$1,,,SUMPRODUCT(MAX(ROW(E$1:E4838)*(E2=E$1:E4838))))))</f>
        <v> </v>
      </c>
      <c r="K4839" s="25" t="str">
        <f>IF(OR(E4839="",E4839="!!!",F4839="NEW"),"",INDEX(J$1:J4838,SUMPRODUCT(MAX(ROW(E$1:E4838)*(E4839=E$1:E4838)))))</f>
        <v> </v>
      </c>
      <c r="L4839" s="26"/>
    </row>
    <row r="4840" spans="1:12">
      <c r="A4840" s="20" t="s">
        <v>2112</v>
      </c>
      <c r="E4840" s="21">
        <f>IF(D4840="?OLD","!!!","")</f>
        <v/>
      </c>
      <c r="F4840" s="22" t="str">
        <f>IF(OR(E4840="",E4840="!!!"),"",IF(NOT(ISNA(VLOOKUP(E4840,E$1:E4839,1,FALSE()))),"OLD",IF(AND(E4840&lt;&gt;"",E4840&lt;&gt;"!!!"),"NEW","")))</f>
        <v> </v>
      </c>
      <c r="G4840" s="23" t="str">
        <f>IF(OR(E4840="",E4840="!!!"),"",IF(OR(J4840=0,AND(J4840=1,K4840=1),AND(J4840=1,I4840="SBJ"),AND(J4840=1,I4840=0)),"?IN_FOCUS",IF(J4840&lt;=2,"?ACTIVATED",IF(J4840&lt;&gt;"","?FAMILIAR",IF(F4840="NEW",IF(ISNA(VLOOKUP(E4840,#REF!,1,FALSE())),"?TYPE_IDENTIFIABLE","?REFERENTIAL"),"_")))))</f>
        <v> </v>
      </c>
      <c r="H4840" s="24" t="str">
        <f>IF(J4840&lt;&gt;1,"",IF(I4840="SBJ","CB","?"))</f>
        <v> </v>
      </c>
      <c r="I4840" s="25" t="str">
        <f>IF(OR(E4840="",E4840="!!!",F4840="NEW"),"",INDEX(B4839:B$2,-1+SUMPRODUCT(MAX(ROW(E4839:E$2)*(E4840=E4839:E$2)))))</f>
        <v> </v>
      </c>
      <c r="J4840" s="25" t="str">
        <f>IF(OR(E4840="",E4840="!!!",F4840="NEW"),"",COUNTBLANK(OFFSET(A$1,,,SUMPRODUCT(MAX(ROW(E$2:E4840)*(E4840=E$2:E4840)))))-COUNTBLANK(OFFSET(A$1,,,SUMPRODUCT(MAX(ROW(E$1:E4839)*(E2=E$1:E4839))))))</f>
        <v> </v>
      </c>
      <c r="K4840" s="25" t="str">
        <f>IF(OR(E4840="",E4840="!!!",F4840="NEW"),"",INDEX(J$1:J4839,SUMPRODUCT(MAX(ROW(E$1:E4839)*(E4840=E$1:E4839)))))</f>
        <v> </v>
      </c>
      <c r="L4840" s="26"/>
    </row>
    <row r="4841" spans="1:12">
      <c r="A4841" s="20" t="s">
        <v>729</v>
      </c>
      <c r="E4841" s="21">
        <f>IF(D4841="?OLD","!!!","")</f>
        <v/>
      </c>
      <c r="F4841" s="22" t="str">
        <f>IF(OR(E4841="",E4841="!!!"),"",IF(NOT(ISNA(VLOOKUP(E4841,E$1:E4840,1,FALSE()))),"OLD",IF(AND(E4841&lt;&gt;"",E4841&lt;&gt;"!!!"),"NEW","")))</f>
        <v> </v>
      </c>
      <c r="G4841" s="23" t="str">
        <f>IF(OR(E4841="",E4841="!!!"),"",IF(OR(J4841=0,AND(J4841=1,K4841=1),AND(J4841=1,I4841="SBJ"),AND(J4841=1,I4841=0)),"?IN_FOCUS",IF(J4841&lt;=2,"?ACTIVATED",IF(J4841&lt;&gt;"","?FAMILIAR",IF(F4841="NEW",IF(ISNA(VLOOKUP(E4841,#REF!,1,FALSE())),"?TYPE_IDENTIFIABLE","?REFERENTIAL"),"_")))))</f>
        <v> </v>
      </c>
      <c r="H4841" s="24" t="str">
        <f>IF(J4841&lt;&gt;1,"",IF(I4841="SBJ","CB","?"))</f>
        <v> </v>
      </c>
      <c r="I4841" s="25" t="str">
        <f>IF(OR(E4841="",E4841="!!!",F4841="NEW"),"",INDEX(B4840:B$2,-1+SUMPRODUCT(MAX(ROW(E4840:E$2)*(E4841=E4840:E$2)))))</f>
        <v> </v>
      </c>
      <c r="J4841" s="25" t="str">
        <f>IF(OR(E4841="",E4841="!!!",F4841="NEW"),"",COUNTBLANK(OFFSET(A$1,,,SUMPRODUCT(MAX(ROW(E$2:E4841)*(E4841=E$2:E4841)))))-COUNTBLANK(OFFSET(A$1,,,SUMPRODUCT(MAX(ROW(E$1:E4840)*(E2=E$1:E4840))))))</f>
        <v> </v>
      </c>
      <c r="K4841" s="25" t="str">
        <f>IF(OR(E4841="",E4841="!!!",F4841="NEW"),"",INDEX(J$1:J4840,SUMPRODUCT(MAX(ROW(E$1:E4840)*(E4841=E$1:E4840)))))</f>
        <v> </v>
      </c>
      <c r="L4841" s="26"/>
    </row>
    <row r="4842" spans="1:12">
      <c r="A4842" s="20" t="s">
        <v>2113</v>
      </c>
      <c r="B4842" s="27" t="s">
        <v>777</v>
      </c>
      <c r="C4842" s="27" t="s">
        <v>734</v>
      </c>
      <c r="E4842" s="21">
        <f>IF(D4842="?OLD","!!!","")</f>
        <v/>
      </c>
      <c r="F4842" s="22" t="str">
        <f>IF(OR(E4842="",E4842="!!!"),"",IF(NOT(ISNA(VLOOKUP(E4842,E$1:E4841,1,FALSE()))),"OLD",IF(AND(E4842&lt;&gt;"",E4842&lt;&gt;"!!!"),"NEW","")))</f>
        <v> </v>
      </c>
      <c r="G4842" s="23" t="str">
        <f>IF(OR(E4842="",E4842="!!!"),"",IF(OR(J4842=0,AND(J4842=1,K4842=1),AND(J4842=1,I4842="SBJ"),AND(J4842=1,I4842=0)),"?IN_FOCUS",IF(J4842&lt;=2,"?ACTIVATED",IF(J4842&lt;&gt;"","?FAMILIAR",IF(F4842="NEW",IF(ISNA(VLOOKUP(E4842,#REF!,1,FALSE())),"?TYPE_IDENTIFIABLE","?REFERENTIAL"),"_")))))</f>
        <v> </v>
      </c>
      <c r="H4842" s="24" t="str">
        <f>IF(J4842&lt;&gt;1,"",IF(I4842="SBJ","CB","?"))</f>
        <v> </v>
      </c>
      <c r="I4842" s="25" t="str">
        <f>IF(OR(E4842="",E4842="!!!",F4842="NEW"),"",INDEX(B4841:B$2,-1+SUMPRODUCT(MAX(ROW(E4841:E$2)*(E4842=E4841:E$2)))))</f>
        <v> </v>
      </c>
      <c r="J4842" s="25" t="str">
        <f>IF(OR(E4842="",E4842="!!!",F4842="NEW"),"",COUNTBLANK(OFFSET(A$1,,,SUMPRODUCT(MAX(ROW(E$2:E4842)*(E4842=E$2:E4842)))))-COUNTBLANK(OFFSET(A$1,,,SUMPRODUCT(MAX(ROW(E$1:E4841)*(E2=E$1:E4841))))))</f>
        <v> </v>
      </c>
      <c r="K4842" s="25" t="str">
        <f>IF(OR(E4842="",E4842="!!!",F4842="NEW"),"",INDEX(J$1:J4841,SUMPRODUCT(MAX(ROW(E$1:E4841)*(E4842=E$1:E4841)))))</f>
        <v> </v>
      </c>
      <c r="L4842" s="26"/>
    </row>
    <row r="4843" spans="1:12">
      <c r="A4843" s="20" t="s">
        <v>741</v>
      </c>
      <c r="E4843" s="21">
        <f>IF(D4843="?OLD","!!!","")</f>
        <v/>
      </c>
      <c r="F4843" s="22" t="str">
        <f>IF(OR(E4843="",E4843="!!!"),"",IF(NOT(ISNA(VLOOKUP(E4843,E$1:E4842,1,FALSE()))),"OLD",IF(AND(E4843&lt;&gt;"",E4843&lt;&gt;"!!!"),"NEW","")))</f>
        <v> </v>
      </c>
      <c r="G4843" s="23" t="str">
        <f>IF(OR(E4843="",E4843="!!!"),"",IF(OR(J4843=0,AND(J4843=1,K4843=1),AND(J4843=1,I4843="SBJ"),AND(J4843=1,I4843=0)),"?IN_FOCUS",IF(J4843&lt;=2,"?ACTIVATED",IF(J4843&lt;&gt;"","?FAMILIAR",IF(F4843="NEW",IF(ISNA(VLOOKUP(E4843,#REF!,1,FALSE())),"?TYPE_IDENTIFIABLE","?REFERENTIAL"),"_")))))</f>
        <v> </v>
      </c>
      <c r="H4843" s="24" t="str">
        <f>IF(J4843&lt;&gt;1,"",IF(I4843="SBJ","CB","?"))</f>
        <v> </v>
      </c>
      <c r="I4843" s="25" t="str">
        <f>IF(OR(E4843="",E4843="!!!",F4843="NEW"),"",INDEX(B4842:B$2,-1+SUMPRODUCT(MAX(ROW(E4842:E$2)*(E4843=E4842:E$2)))))</f>
        <v> </v>
      </c>
      <c r="J4843" s="25" t="str">
        <f>IF(OR(E4843="",E4843="!!!",F4843="NEW"),"",COUNTBLANK(OFFSET(A$1,,,SUMPRODUCT(MAX(ROW(E$2:E4843)*(E4843=E$2:E4843)))))-COUNTBLANK(OFFSET(A$1,,,SUMPRODUCT(MAX(ROW(E$1:E4842)*(E2=E$1:E4842))))))</f>
        <v> </v>
      </c>
      <c r="K4843" s="25" t="str">
        <f>IF(OR(E4843="",E4843="!!!",F4843="NEW"),"",INDEX(J$1:J4842,SUMPRODUCT(MAX(ROW(E$1:E4842)*(E4843=E$1:E4842)))))</f>
        <v> </v>
      </c>
      <c r="L4843" s="26"/>
    </row>
    <row r="4844" spans="1:12">
      <c r="A4844" s="20" t="s">
        <v>840</v>
      </c>
      <c r="B4844" s="27" t="s">
        <v>1037</v>
      </c>
      <c r="C4844" s="27" t="s">
        <v>744</v>
      </c>
      <c r="E4844" s="21">
        <f>IF(D4844="?OLD","!!!","")</f>
        <v/>
      </c>
      <c r="F4844" s="22" t="str">
        <f>IF(OR(E4844="",E4844="!!!"),"",IF(NOT(ISNA(VLOOKUP(E4844,E$1:E4843,1,FALSE()))),"OLD",IF(AND(E4844&lt;&gt;"",E4844&lt;&gt;"!!!"),"NEW","")))</f>
        <v> </v>
      </c>
      <c r="G4844" s="23" t="str">
        <f>IF(OR(E4844="",E4844="!!!"),"",IF(OR(J4844=0,AND(J4844=1,K4844=1),AND(J4844=1,I4844="SBJ"),AND(J4844=1,I4844=0)),"?IN_FOCUS",IF(J4844&lt;=2,"?ACTIVATED",IF(J4844&lt;&gt;"","?FAMILIAR",IF(F4844="NEW",IF(ISNA(VLOOKUP(E4844,#REF!,1,FALSE())),"?TYPE_IDENTIFIABLE","?REFERENTIAL"),"_")))))</f>
        <v> </v>
      </c>
      <c r="H4844" s="24" t="str">
        <f>IF(J4844&lt;&gt;1,"",IF(I4844="SBJ","CB","?"))</f>
        <v> </v>
      </c>
      <c r="I4844" s="25" t="str">
        <f>IF(OR(E4844="",E4844="!!!",F4844="NEW"),"",INDEX(B4843:B$2,-1+SUMPRODUCT(MAX(ROW(E4843:E$2)*(E4844=E4843:E$2)))))</f>
        <v> </v>
      </c>
      <c r="J4844" s="25" t="str">
        <f>IF(OR(E4844="",E4844="!!!",F4844="NEW"),"",COUNTBLANK(OFFSET(A$1,,,SUMPRODUCT(MAX(ROW(E$2:E4844)*(E4844=E$2:E4844)))))-COUNTBLANK(OFFSET(A$1,,,SUMPRODUCT(MAX(ROW(E$1:E4843)*(E2=E$1:E4843))))))</f>
        <v> </v>
      </c>
      <c r="K4844" s="25" t="str">
        <f>IF(OR(E4844="",E4844="!!!",F4844="NEW"),"",INDEX(J$1:J4843,SUMPRODUCT(MAX(ROW(E$1:E4843)*(E4844=E$1:E4843)))))</f>
        <v> </v>
      </c>
      <c r="L4844" s="26"/>
    </row>
    <row r="4845" spans="1:12">
      <c r="A4845" s="20" t="s">
        <v>765</v>
      </c>
      <c r="E4845" s="21">
        <f>IF(D4845="?OLD","!!!","")</f>
        <v/>
      </c>
      <c r="F4845" s="22" t="str">
        <f>IF(OR(E4845="",E4845="!!!"),"",IF(NOT(ISNA(VLOOKUP(E4845,E$1:E4844,1,FALSE()))),"OLD",IF(AND(E4845&lt;&gt;"",E4845&lt;&gt;"!!!"),"NEW","")))</f>
        <v> </v>
      </c>
      <c r="G4845" s="23" t="str">
        <f>IF(OR(E4845="",E4845="!!!"),"",IF(OR(J4845=0,AND(J4845=1,K4845=1),AND(J4845=1,I4845="SBJ"),AND(J4845=1,I4845=0)),"?IN_FOCUS",IF(J4845&lt;=2,"?ACTIVATED",IF(J4845&lt;&gt;"","?FAMILIAR",IF(F4845="NEW",IF(ISNA(VLOOKUP(E4845,#REF!,1,FALSE())),"?TYPE_IDENTIFIABLE","?REFERENTIAL"),"_")))))</f>
        <v> </v>
      </c>
      <c r="H4845" s="24" t="str">
        <f>IF(J4845&lt;&gt;1,"",IF(I4845="SBJ","CB","?"))</f>
        <v> </v>
      </c>
      <c r="I4845" s="25" t="str">
        <f>IF(OR(E4845="",E4845="!!!",F4845="NEW"),"",INDEX(B4844:B$2,-1+SUMPRODUCT(MAX(ROW(E4844:E$2)*(E4845=E4844:E$2)))))</f>
        <v> </v>
      </c>
      <c r="J4845" s="25" t="str">
        <f>IF(OR(E4845="",E4845="!!!",F4845="NEW"),"",COUNTBLANK(OFFSET(A$1,,,SUMPRODUCT(MAX(ROW(E$2:E4845)*(E4845=E$2:E4845)))))-COUNTBLANK(OFFSET(A$1,,,SUMPRODUCT(MAX(ROW(E$1:E4844)*(E2=E$1:E4844))))))</f>
        <v> </v>
      </c>
      <c r="K4845" s="25" t="str">
        <f>IF(OR(E4845="",E4845="!!!",F4845="NEW"),"",INDEX(J$1:J4844,SUMPRODUCT(MAX(ROW(E$1:E4844)*(E4845=E$1:E4844)))))</f>
        <v> </v>
      </c>
      <c r="L4845" s="26"/>
    </row>
    <row r="4846" spans="1:12">
      <c r="A4846" s="20" t="s">
        <v>426</v>
      </c>
      <c r="E4846" s="21">
        <f>IF(D4846="?OLD","!!!","")</f>
        <v/>
      </c>
      <c r="F4846" s="22" t="str">
        <f>IF(OR(E4846="",E4846="!!!"),"",IF(NOT(ISNA(VLOOKUP(E4846,E$1:E4845,1,FALSE()))),"OLD",IF(AND(E4846&lt;&gt;"",E4846&lt;&gt;"!!!"),"NEW","")))</f>
        <v> </v>
      </c>
      <c r="G4846" s="23" t="str">
        <f>IF(OR(E4846="",E4846="!!!"),"",IF(OR(J4846=0,AND(J4846=1,K4846=1),AND(J4846=1,I4846="SBJ"),AND(J4846=1,I4846=0)),"?IN_FOCUS",IF(J4846&lt;=2,"?ACTIVATED",IF(J4846&lt;&gt;"","?FAMILIAR",IF(F4846="NEW",IF(ISNA(VLOOKUP(E4846,#REF!,1,FALSE())),"?TYPE_IDENTIFIABLE","?REFERENTIAL"),"_")))))</f>
        <v> </v>
      </c>
      <c r="H4846" s="24" t="str">
        <f>IF(J4846&lt;&gt;1,"",IF(I4846="SBJ","CB","?"))</f>
        <v> </v>
      </c>
      <c r="I4846" s="25" t="str">
        <f>IF(OR(E4846="",E4846="!!!",F4846="NEW"),"",INDEX(B4845:B$2,-1+SUMPRODUCT(MAX(ROW(E4845:E$2)*(E4846=E4845:E$2)))))</f>
        <v> </v>
      </c>
      <c r="J4846" s="25" t="str">
        <f>IF(OR(E4846="",E4846="!!!",F4846="NEW"),"",COUNTBLANK(OFFSET(A$1,,,SUMPRODUCT(MAX(ROW(E$2:E4846)*(E4846=E$2:E4846)))))-COUNTBLANK(OFFSET(A$1,,,SUMPRODUCT(MAX(ROW(E$1:E4845)*(E2=E$1:E4845))))))</f>
        <v> </v>
      </c>
      <c r="K4846" s="25" t="str">
        <f>IF(OR(E4846="",E4846="!!!",F4846="NEW"),"",INDEX(J$1:J4845,SUMPRODUCT(MAX(ROW(E$1:E4845)*(E4846=E$1:E4845)))))</f>
        <v> </v>
      </c>
      <c r="L4846" s="26"/>
    </row>
    <row r="4847" spans="1:12">
      <c r="A4847" s="20" t="s">
        <v>753</v>
      </c>
      <c r="E4847" s="21">
        <f>IF(D4847="?OLD","!!!","")</f>
        <v/>
      </c>
      <c r="F4847" s="22" t="str">
        <f>IF(OR(E4847="",E4847="!!!"),"",IF(NOT(ISNA(VLOOKUP(E4847,E$1:E4846,1,FALSE()))),"OLD",IF(AND(E4847&lt;&gt;"",E4847&lt;&gt;"!!!"),"NEW","")))</f>
        <v> </v>
      </c>
      <c r="G4847" s="23" t="str">
        <f>IF(OR(E4847="",E4847="!!!"),"",IF(OR(J4847=0,AND(J4847=1,K4847=1),AND(J4847=1,I4847="SBJ"),AND(J4847=1,I4847=0)),"?IN_FOCUS",IF(J4847&lt;=2,"?ACTIVATED",IF(J4847&lt;&gt;"","?FAMILIAR",IF(F4847="NEW",IF(ISNA(VLOOKUP(E4847,#REF!,1,FALSE())),"?TYPE_IDENTIFIABLE","?REFERENTIAL"),"_")))))</f>
        <v> </v>
      </c>
      <c r="H4847" s="24" t="str">
        <f>IF(J4847&lt;&gt;1,"",IF(I4847="SBJ","CB","?"))</f>
        <v> </v>
      </c>
      <c r="I4847" s="25" t="str">
        <f>IF(OR(E4847="",E4847="!!!",F4847="NEW"),"",INDEX(B4846:B$2,-1+SUMPRODUCT(MAX(ROW(E4846:E$2)*(E4847=E4846:E$2)))))</f>
        <v> </v>
      </c>
      <c r="J4847" s="25" t="str">
        <f>IF(OR(E4847="",E4847="!!!",F4847="NEW"),"",COUNTBLANK(OFFSET(A$1,,,SUMPRODUCT(MAX(ROW(E$2:E4847)*(E4847=E$2:E4847)))))-COUNTBLANK(OFFSET(A$1,,,SUMPRODUCT(MAX(ROW(E$1:E4846)*(E2=E$1:E4846))))))</f>
        <v> </v>
      </c>
      <c r="K4847" s="25" t="str">
        <f>IF(OR(E4847="",E4847="!!!",F4847="NEW"),"",INDEX(J$1:J4846,SUMPRODUCT(MAX(ROW(E$1:E4846)*(E4847=E$1:E4846)))))</f>
        <v> </v>
      </c>
      <c r="L4847" s="26"/>
    </row>
    <row r="4848" spans="1:12">
      <c r="A4848" s="20" t="s">
        <v>1364</v>
      </c>
      <c r="E4848" s="21">
        <f>IF(D4848="?OLD","!!!","")</f>
        <v/>
      </c>
      <c r="F4848" s="22" t="str">
        <f>IF(OR(E4848="",E4848="!!!"),"",IF(NOT(ISNA(VLOOKUP(E4848,E$1:E4847,1,FALSE()))),"OLD",IF(AND(E4848&lt;&gt;"",E4848&lt;&gt;"!!!"),"NEW","")))</f>
        <v> </v>
      </c>
      <c r="G4848" s="23" t="str">
        <f>IF(OR(E4848="",E4848="!!!"),"",IF(OR(J4848=0,AND(J4848=1,K4848=1),AND(J4848=1,I4848="SBJ"),AND(J4848=1,I4848=0)),"?IN_FOCUS",IF(J4848&lt;=2,"?ACTIVATED",IF(J4848&lt;&gt;"","?FAMILIAR",IF(F4848="NEW",IF(ISNA(VLOOKUP(E4848,#REF!,1,FALSE())),"?TYPE_IDENTIFIABLE","?REFERENTIAL"),"_")))))</f>
        <v> </v>
      </c>
      <c r="H4848" s="24" t="str">
        <f>IF(J4848&lt;&gt;1,"",IF(I4848="SBJ","CB","?"))</f>
        <v> </v>
      </c>
      <c r="I4848" s="25" t="str">
        <f>IF(OR(E4848="",E4848="!!!",F4848="NEW"),"",INDEX(B4847:B$2,-1+SUMPRODUCT(MAX(ROW(E4847:E$2)*(E4848=E4847:E$2)))))</f>
        <v> </v>
      </c>
      <c r="J4848" s="25" t="str">
        <f>IF(OR(E4848="",E4848="!!!",F4848="NEW"),"",COUNTBLANK(OFFSET(A$1,,,SUMPRODUCT(MAX(ROW(E$2:E4848)*(E4848=E$2:E4848)))))-COUNTBLANK(OFFSET(A$1,,,SUMPRODUCT(MAX(ROW(E$1:E4847)*(E2=E$1:E4847))))))</f>
        <v> </v>
      </c>
      <c r="K4848" s="25" t="str">
        <f>IF(OR(E4848="",E4848="!!!",F4848="NEW"),"",INDEX(J$1:J4847,SUMPRODUCT(MAX(ROW(E$1:E4847)*(E4848=E$1:E4847)))))</f>
        <v> </v>
      </c>
      <c r="L4848" s="26"/>
    </row>
    <row r="4849" spans="1:12">
      <c r="A4849" s="20" t="s">
        <v>807</v>
      </c>
      <c r="B4849" s="27" t="s">
        <v>728</v>
      </c>
      <c r="C4849" s="27" t="s">
        <v>749</v>
      </c>
      <c r="D4849" s="27" t="s">
        <v>740</v>
      </c>
      <c r="E4849" s="21">
        <f>IF(D4849="?OLD","!!!","")</f>
        <v/>
      </c>
      <c r="F4849" s="22" t="str">
        <f>IF(OR(E4849="",E4849="!!!"),"",IF(NOT(ISNA(VLOOKUP(E4849,E$1:E4848,1,FALSE()))),"OLD",IF(AND(E4849&lt;&gt;"",E4849&lt;&gt;"!!!"),"NEW","")))</f>
        <v> </v>
      </c>
      <c r="G4849" s="23" t="str">
        <f>IF(OR(E4849="",E4849="!!!"),"",IF(OR(J4849=0,AND(J4849=1,K4849=1),AND(J4849=1,I4849="SBJ"),AND(J4849=1,I4849=0)),"?IN_FOCUS",IF(J4849&lt;=2,"?ACTIVATED",IF(J4849&lt;&gt;"","?FAMILIAR",IF(F4849="NEW",IF(ISNA(VLOOKUP(E4849,#REF!,1,FALSE())),"?TYPE_IDENTIFIABLE","?REFERENTIAL"),"_")))))</f>
        <v> </v>
      </c>
      <c r="H4849" s="24" t="str">
        <f>IF(J4849&lt;&gt;1,"",IF(I4849="SBJ","CB","?"))</f>
        <v> </v>
      </c>
      <c r="I4849" s="25" t="str">
        <f>IF(OR(E4849="",E4849="!!!",F4849="NEW"),"",INDEX(B4848:B$2,-1+SUMPRODUCT(MAX(ROW(E4848:E$2)*(E4849=E4848:E$2)))))</f>
        <v> </v>
      </c>
      <c r="J4849" s="25" t="str">
        <f>IF(OR(E4849="",E4849="!!!",F4849="NEW"),"",COUNTBLANK(OFFSET(A$1,,,SUMPRODUCT(MAX(ROW(E$2:E4849)*(E4849=E$2:E4849)))))-COUNTBLANK(OFFSET(A$1,,,SUMPRODUCT(MAX(ROW(E$1:E4848)*(E2=E$1:E4848))))))</f>
        <v> </v>
      </c>
      <c r="K4849" s="25" t="str">
        <f>IF(OR(E4849="",E4849="!!!",F4849="NEW"),"",INDEX(J$1:J4848,SUMPRODUCT(MAX(ROW(E$1:E4848)*(E4849=E$1:E4848)))))</f>
        <v> </v>
      </c>
      <c r="L4849" s="26"/>
    </row>
    <row r="4850" spans="1:12">
      <c r="A4850" s="20" t="s">
        <v>1149</v>
      </c>
      <c r="E4850" s="21">
        <f>IF(D4850="?OLD","!!!","")</f>
        <v/>
      </c>
      <c r="F4850" s="22" t="str">
        <f>IF(OR(E4850="",E4850="!!!"),"",IF(NOT(ISNA(VLOOKUP(E4850,E$1:E4849,1,FALSE()))),"OLD",IF(AND(E4850&lt;&gt;"",E4850&lt;&gt;"!!!"),"NEW","")))</f>
        <v> </v>
      </c>
      <c r="G4850" s="23" t="str">
        <f>IF(OR(E4850="",E4850="!!!"),"",IF(OR(J4850=0,AND(J4850=1,K4850=1),AND(J4850=1,I4850="SBJ"),AND(J4850=1,I4850=0)),"?IN_FOCUS",IF(J4850&lt;=2,"?ACTIVATED",IF(J4850&lt;&gt;"","?FAMILIAR",IF(F4850="NEW",IF(ISNA(VLOOKUP(E4850,#REF!,1,FALSE())),"?TYPE_IDENTIFIABLE","?REFERENTIAL"),"_")))))</f>
        <v> </v>
      </c>
      <c r="H4850" s="24" t="str">
        <f>IF(J4850&lt;&gt;1,"",IF(I4850="SBJ","CB","?"))</f>
        <v> </v>
      </c>
      <c r="I4850" s="25" t="str">
        <f>IF(OR(E4850="",E4850="!!!",F4850="NEW"),"",INDEX(B4849:B$2,-1+SUMPRODUCT(MAX(ROW(E4849:E$2)*(E4850=E4849:E$2)))))</f>
        <v> </v>
      </c>
      <c r="J4850" s="25" t="str">
        <f>IF(OR(E4850="",E4850="!!!",F4850="NEW"),"",COUNTBLANK(OFFSET(A$1,,,SUMPRODUCT(MAX(ROW(E$2:E4850)*(E4850=E$2:E4850)))))-COUNTBLANK(OFFSET(A$1,,,SUMPRODUCT(MAX(ROW(E$1:E4849)*(E2=E$1:E4849))))))</f>
        <v> </v>
      </c>
      <c r="K4850" s="25" t="str">
        <f>IF(OR(E4850="",E4850="!!!",F4850="NEW"),"",INDEX(J$1:J4849,SUMPRODUCT(MAX(ROW(E$1:E4849)*(E4850=E$1:E4849)))))</f>
        <v> </v>
      </c>
      <c r="L4850" s="26"/>
    </row>
    <row r="4851" spans="1:12">
      <c r="A4851" s="20" t="s">
        <v>1531</v>
      </c>
      <c r="B4851" s="27" t="s">
        <v>733</v>
      </c>
      <c r="C4851" s="27" t="s">
        <v>792</v>
      </c>
      <c r="D4851" s="27" t="s">
        <v>740</v>
      </c>
      <c r="E4851" s="21">
        <f>IF(D4851="?OLD","!!!","")</f>
        <v/>
      </c>
      <c r="F4851" s="22" t="str">
        <f>IF(OR(E4851="",E4851="!!!"),"",IF(NOT(ISNA(VLOOKUP(E4851,E$1:E4850,1,FALSE()))),"OLD",IF(AND(E4851&lt;&gt;"",E4851&lt;&gt;"!!!"),"NEW","")))</f>
        <v> </v>
      </c>
      <c r="G4851" s="23" t="str">
        <f>IF(OR(E4851="",E4851="!!!"),"",IF(OR(J4851=0,AND(J4851=1,K4851=1),AND(J4851=1,I4851="SBJ"),AND(J4851=1,I4851=0)),"?IN_FOCUS",IF(J4851&lt;=2,"?ACTIVATED",IF(J4851&lt;&gt;"","?FAMILIAR",IF(F4851="NEW",IF(ISNA(VLOOKUP(E4851,#REF!,1,FALSE())),"?TYPE_IDENTIFIABLE","?REFERENTIAL"),"_")))))</f>
        <v> </v>
      </c>
      <c r="H4851" s="24" t="str">
        <f>IF(J4851&lt;&gt;1,"",IF(I4851="SBJ","CB","?"))</f>
        <v> </v>
      </c>
      <c r="I4851" s="25" t="str">
        <f>IF(OR(E4851="",E4851="!!!",F4851="NEW"),"",INDEX(B4850:B$2,-1+SUMPRODUCT(MAX(ROW(E4850:E$2)*(E4851=E4850:E$2)))))</f>
        <v> </v>
      </c>
      <c r="J4851" s="25" t="str">
        <f>IF(OR(E4851="",E4851="!!!",F4851="NEW"),"",COUNTBLANK(OFFSET(A$1,,,SUMPRODUCT(MAX(ROW(E$2:E4851)*(E4851=E$2:E4851)))))-COUNTBLANK(OFFSET(A$1,,,SUMPRODUCT(MAX(ROW(E$1:E4850)*(E2=E$1:E4850))))))</f>
        <v> </v>
      </c>
      <c r="K4851" s="25" t="str">
        <f>IF(OR(E4851="",E4851="!!!",F4851="NEW"),"",INDEX(J$1:J4850,SUMPRODUCT(MAX(ROW(E$1:E4850)*(E4851=E$1:E4850)))))</f>
        <v> </v>
      </c>
      <c r="L4851" s="26"/>
    </row>
    <row r="4852" spans="1:12">
      <c r="A4852" s="20" t="s">
        <v>1991</v>
      </c>
      <c r="B4852" s="27" t="s">
        <v>756</v>
      </c>
      <c r="C4852" s="27" t="s">
        <v>908</v>
      </c>
      <c r="D4852" s="27" t="s">
        <v>740</v>
      </c>
      <c r="E4852" s="21">
        <f>IF(D4852="?OLD","!!!","")</f>
        <v/>
      </c>
      <c r="F4852" s="22" t="str">
        <f>IF(OR(E4852="",E4852="!!!"),"",IF(NOT(ISNA(VLOOKUP(E4852,E$1:E4851,1,FALSE()))),"OLD",IF(AND(E4852&lt;&gt;"",E4852&lt;&gt;"!!!"),"NEW","")))</f>
        <v> </v>
      </c>
      <c r="G4852" s="23" t="str">
        <f>IF(OR(E4852="",E4852="!!!"),"",IF(OR(J4852=0,AND(J4852=1,K4852=1),AND(J4852=1,I4852="SBJ"),AND(J4852=1,I4852=0)),"?IN_FOCUS",IF(J4852&lt;=2,"?ACTIVATED",IF(J4852&lt;&gt;"","?FAMILIAR",IF(F4852="NEW",IF(ISNA(VLOOKUP(E4852,#REF!,1,FALSE())),"?TYPE_IDENTIFIABLE","?REFERENTIAL"),"_")))))</f>
        <v> </v>
      </c>
      <c r="H4852" s="24" t="str">
        <f>IF(J4852&lt;&gt;1,"",IF(I4852="SBJ","CB","?"))</f>
        <v> </v>
      </c>
      <c r="I4852" s="25" t="str">
        <f>IF(OR(E4852="",E4852="!!!",F4852="NEW"),"",INDEX(B4851:B$2,-1+SUMPRODUCT(MAX(ROW(E4851:E$2)*(E4852=E4851:E$2)))))</f>
        <v> </v>
      </c>
      <c r="J4852" s="25" t="str">
        <f>IF(OR(E4852="",E4852="!!!",F4852="NEW"),"",COUNTBLANK(OFFSET(A$1,,,SUMPRODUCT(MAX(ROW(E$2:E4852)*(E4852=E$2:E4852)))))-COUNTBLANK(OFFSET(A$1,,,SUMPRODUCT(MAX(ROW(E$1:E4851)*(E2=E$1:E4851))))))</f>
        <v> </v>
      </c>
      <c r="K4852" s="25" t="str">
        <f>IF(OR(E4852="",E4852="!!!",F4852="NEW"),"",INDEX(J$1:J4851,SUMPRODUCT(MAX(ROW(E$1:E4851)*(E4852=E$1:E4851)))))</f>
        <v> </v>
      </c>
      <c r="L4852" s="26"/>
    </row>
    <row r="4853" spans="1:12">
      <c r="A4853" s="20" t="s">
        <v>753</v>
      </c>
      <c r="E4853" s="21">
        <f>IF(D4853="?OLD","!!!","")</f>
        <v/>
      </c>
      <c r="F4853" s="22" t="str">
        <f>IF(OR(E4853="",E4853="!!!"),"",IF(NOT(ISNA(VLOOKUP(E4853,E$1:E4852,1,FALSE()))),"OLD",IF(AND(E4853&lt;&gt;"",E4853&lt;&gt;"!!!"),"NEW","")))</f>
        <v> </v>
      </c>
      <c r="G4853" s="23" t="str">
        <f>IF(OR(E4853="",E4853="!!!"),"",IF(OR(J4853=0,AND(J4853=1,K4853=1),AND(J4853=1,I4853="SBJ"),AND(J4853=1,I4853=0)),"?IN_FOCUS",IF(J4853&lt;=2,"?ACTIVATED",IF(J4853&lt;&gt;"","?FAMILIAR",IF(F4853="NEW",IF(ISNA(VLOOKUP(E4853,#REF!,1,FALSE())),"?TYPE_IDENTIFIABLE","?REFERENTIAL"),"_")))))</f>
        <v> </v>
      </c>
      <c r="H4853" s="24" t="str">
        <f>IF(J4853&lt;&gt;1,"",IF(I4853="SBJ","CB","?"))</f>
        <v> </v>
      </c>
      <c r="I4853" s="25" t="str">
        <f>IF(OR(E4853="",E4853="!!!",F4853="NEW"),"",INDEX(B4852:B$2,-1+SUMPRODUCT(MAX(ROW(E4852:E$2)*(E4853=E4852:E$2)))))</f>
        <v> </v>
      </c>
      <c r="J4853" s="25" t="str">
        <f>IF(OR(E4853="",E4853="!!!",F4853="NEW"),"",COUNTBLANK(OFFSET(A$1,,,SUMPRODUCT(MAX(ROW(E$2:E4853)*(E4853=E$2:E4853)))))-COUNTBLANK(OFFSET(A$1,,,SUMPRODUCT(MAX(ROW(E$1:E4852)*(E2=E$1:E4852))))))</f>
        <v> </v>
      </c>
      <c r="K4853" s="25" t="str">
        <f>IF(OR(E4853="",E4853="!!!",F4853="NEW"),"",INDEX(J$1:J4852,SUMPRODUCT(MAX(ROW(E$1:E4852)*(E4853=E$1:E4852)))))</f>
        <v> </v>
      </c>
      <c r="L4853" s="26"/>
    </row>
    <row r="4854" spans="1:12">
      <c r="A4854" s="20" t="s">
        <v>860</v>
      </c>
      <c r="E4854" s="21">
        <f>IF(D4854="?OLD","!!!","")</f>
        <v/>
      </c>
      <c r="F4854" s="22" t="str">
        <f>IF(OR(E4854="",E4854="!!!"),"",IF(NOT(ISNA(VLOOKUP(E4854,E$1:E4853,1,FALSE()))),"OLD",IF(AND(E4854&lt;&gt;"",E4854&lt;&gt;"!!!"),"NEW","")))</f>
        <v> </v>
      </c>
      <c r="G4854" s="23" t="str">
        <f>IF(OR(E4854="",E4854="!!!"),"",IF(OR(J4854=0,AND(J4854=1,K4854=1),AND(J4854=1,I4854="SBJ"),AND(J4854=1,I4854=0)),"?IN_FOCUS",IF(J4854&lt;=2,"?ACTIVATED",IF(J4854&lt;&gt;"","?FAMILIAR",IF(F4854="NEW",IF(ISNA(VLOOKUP(E4854,#REF!,1,FALSE())),"?TYPE_IDENTIFIABLE","?REFERENTIAL"),"_")))))</f>
        <v> </v>
      </c>
      <c r="H4854" s="24" t="str">
        <f>IF(J4854&lt;&gt;1,"",IF(I4854="SBJ","CB","?"))</f>
        <v> </v>
      </c>
      <c r="I4854" s="25" t="str">
        <f>IF(OR(E4854="",E4854="!!!",F4854="NEW"),"",INDEX(B4853:B$2,-1+SUMPRODUCT(MAX(ROW(E4853:E$2)*(E4854=E4853:E$2)))))</f>
        <v> </v>
      </c>
      <c r="J4854" s="25" t="str">
        <f>IF(OR(E4854="",E4854="!!!",F4854="NEW"),"",COUNTBLANK(OFFSET(A$1,,,SUMPRODUCT(MAX(ROW(E$2:E4854)*(E4854=E$2:E4854)))))-COUNTBLANK(OFFSET(A$1,,,SUMPRODUCT(MAX(ROW(E$1:E4853)*(E2=E$1:E4853))))))</f>
        <v> </v>
      </c>
      <c r="K4854" s="25" t="str">
        <f>IF(OR(E4854="",E4854="!!!",F4854="NEW"),"",INDEX(J$1:J4853,SUMPRODUCT(MAX(ROW(E$1:E4853)*(E4854=E$1:E4853)))))</f>
        <v> </v>
      </c>
      <c r="L4854" s="26"/>
    </row>
    <row r="4855" spans="1:12">
      <c r="A4855" s="20" t="s">
        <v>1020</v>
      </c>
      <c r="B4855" s="27" t="s">
        <v>779</v>
      </c>
      <c r="C4855" s="27" t="s">
        <v>749</v>
      </c>
      <c r="D4855" s="27" t="s">
        <v>740</v>
      </c>
      <c r="E4855" s="21">
        <f>IF(D4855="?OLD","!!!","")</f>
        <v/>
      </c>
      <c r="F4855" s="22" t="str">
        <f>IF(OR(E4855="",E4855="!!!"),"",IF(NOT(ISNA(VLOOKUP(E4855,E$1:E4854,1,FALSE()))),"OLD",IF(AND(E4855&lt;&gt;"",E4855&lt;&gt;"!!!"),"NEW","")))</f>
        <v> </v>
      </c>
      <c r="G4855" s="23" t="str">
        <f>IF(OR(E4855="",E4855="!!!"),"",IF(OR(J4855=0,AND(J4855=1,K4855=1),AND(J4855=1,I4855="SBJ"),AND(J4855=1,I4855=0)),"?IN_FOCUS",IF(J4855&lt;=2,"?ACTIVATED",IF(J4855&lt;&gt;"","?FAMILIAR",IF(F4855="NEW",IF(ISNA(VLOOKUP(E4855,#REF!,1,FALSE())),"?TYPE_IDENTIFIABLE","?REFERENTIAL"),"_")))))</f>
        <v> </v>
      </c>
      <c r="H4855" s="24" t="str">
        <f>IF(J4855&lt;&gt;1,"",IF(I4855="SBJ","CB","?"))</f>
        <v> </v>
      </c>
      <c r="I4855" s="25" t="str">
        <f>IF(OR(E4855="",E4855="!!!",F4855="NEW"),"",INDEX(B4854:B$2,-1+SUMPRODUCT(MAX(ROW(E4854:E$2)*(E4855=E4854:E$2)))))</f>
        <v> </v>
      </c>
      <c r="J4855" s="25" t="str">
        <f>IF(OR(E4855="",E4855="!!!",F4855="NEW"),"",COUNTBLANK(OFFSET(A$1,,,SUMPRODUCT(MAX(ROW(E$2:E4855)*(E4855=E$2:E4855)))))-COUNTBLANK(OFFSET(A$1,,,SUMPRODUCT(MAX(ROW(E$1:E4854)*(E2=E$1:E4854))))))</f>
        <v> </v>
      </c>
      <c r="K4855" s="25" t="str">
        <f>IF(OR(E4855="",E4855="!!!",F4855="NEW"),"",INDEX(J$1:J4854,SUMPRODUCT(MAX(ROW(E$1:E4854)*(E4855=E$1:E4854)))))</f>
        <v> </v>
      </c>
      <c r="L4855" s="26"/>
    </row>
    <row r="4856" spans="1:12">
      <c r="A4856" s="20" t="s">
        <v>827</v>
      </c>
      <c r="B4856" s="27" t="s">
        <v>777</v>
      </c>
      <c r="C4856" s="27" t="s">
        <v>828</v>
      </c>
      <c r="D4856" s="27" t="s">
        <v>740</v>
      </c>
      <c r="E4856" s="21">
        <f>IF(D4856="?OLD","!!!","")</f>
        <v/>
      </c>
      <c r="F4856" s="22" t="str">
        <f>IF(OR(E4856="",E4856="!!!"),"",IF(NOT(ISNA(VLOOKUP(E4856,E$1:E4855,1,FALSE()))),"OLD",IF(AND(E4856&lt;&gt;"",E4856&lt;&gt;"!!!"),"NEW","")))</f>
        <v> </v>
      </c>
      <c r="G4856" s="23" t="str">
        <f>IF(OR(E4856="",E4856="!!!"),"",IF(OR(J4856=0,AND(J4856=1,K4856=1),AND(J4856=1,I4856="SBJ"),AND(J4856=1,I4856=0)),"?IN_FOCUS",IF(J4856&lt;=2,"?ACTIVATED",IF(J4856&lt;&gt;"","?FAMILIAR",IF(F4856="NEW",IF(ISNA(VLOOKUP(E4856,#REF!,1,FALSE())),"?TYPE_IDENTIFIABLE","?REFERENTIAL"),"_")))))</f>
        <v> </v>
      </c>
      <c r="H4856" s="24" t="str">
        <f>IF(J4856&lt;&gt;1,"",IF(I4856="SBJ","CB","?"))</f>
        <v> </v>
      </c>
      <c r="I4856" s="25" t="str">
        <f>IF(OR(E4856="",E4856="!!!",F4856="NEW"),"",INDEX(B4855:B$2,-1+SUMPRODUCT(MAX(ROW(E4855:E$2)*(E4856=E4855:E$2)))))</f>
        <v> </v>
      </c>
      <c r="J4856" s="25" t="str">
        <f>IF(OR(E4856="",E4856="!!!",F4856="NEW"),"",COUNTBLANK(OFFSET(A$1,,,SUMPRODUCT(MAX(ROW(E$2:E4856)*(E4856=E$2:E4856)))))-COUNTBLANK(OFFSET(A$1,,,SUMPRODUCT(MAX(ROW(E$1:E4855)*(E2=E$1:E4855))))))</f>
        <v> </v>
      </c>
      <c r="K4856" s="25" t="str">
        <f>IF(OR(E4856="",E4856="!!!",F4856="NEW"),"",INDEX(J$1:J4855,SUMPRODUCT(MAX(ROW(E$1:E4855)*(E4856=E$1:E4855)))))</f>
        <v> </v>
      </c>
      <c r="L4856" s="26"/>
    </row>
    <row r="4857" spans="1:12">
      <c r="A4857" s="20" t="s">
        <v>2114</v>
      </c>
      <c r="B4857" s="27" t="s">
        <v>771</v>
      </c>
      <c r="C4857" s="27" t="s">
        <v>734</v>
      </c>
      <c r="E4857" s="21">
        <f>IF(D4857="?OLD","!!!","")</f>
        <v/>
      </c>
      <c r="F4857" s="22" t="str">
        <f>IF(OR(E4857="",E4857="!!!"),"",IF(NOT(ISNA(VLOOKUP(E4857,E$1:E4856,1,FALSE()))),"OLD",IF(AND(E4857&lt;&gt;"",E4857&lt;&gt;"!!!"),"NEW","")))</f>
        <v> </v>
      </c>
      <c r="G4857" s="23" t="str">
        <f>IF(OR(E4857="",E4857="!!!"),"",IF(OR(J4857=0,AND(J4857=1,K4857=1),AND(J4857=1,I4857="SBJ"),AND(J4857=1,I4857=0)),"?IN_FOCUS",IF(J4857&lt;=2,"?ACTIVATED",IF(J4857&lt;&gt;"","?FAMILIAR",IF(F4857="NEW",IF(ISNA(VLOOKUP(E4857,#REF!,1,FALSE())),"?TYPE_IDENTIFIABLE","?REFERENTIAL"),"_")))))</f>
        <v> </v>
      </c>
      <c r="H4857" s="24" t="str">
        <f>IF(J4857&lt;&gt;1,"",IF(I4857="SBJ","CB","?"))</f>
        <v> </v>
      </c>
      <c r="I4857" s="25" t="str">
        <f>IF(OR(E4857="",E4857="!!!",F4857="NEW"),"",INDEX(B4856:B$2,-1+SUMPRODUCT(MAX(ROW(E4856:E$2)*(E4857=E4856:E$2)))))</f>
        <v> </v>
      </c>
      <c r="J4857" s="25" t="str">
        <f>IF(OR(E4857="",E4857="!!!",F4857="NEW"),"",COUNTBLANK(OFFSET(A$1,,,SUMPRODUCT(MAX(ROW(E$2:E4857)*(E4857=E$2:E4857)))))-COUNTBLANK(OFFSET(A$1,,,SUMPRODUCT(MAX(ROW(E$1:E4856)*(E2=E$1:E4856))))))</f>
        <v> </v>
      </c>
      <c r="K4857" s="25" t="str">
        <f>IF(OR(E4857="",E4857="!!!",F4857="NEW"),"",INDEX(J$1:J4856,SUMPRODUCT(MAX(ROW(E$1:E4856)*(E4857=E$1:E4856)))))</f>
        <v> </v>
      </c>
      <c r="L4857" s="26"/>
    </row>
    <row r="4858" spans="1:12">
      <c r="A4858" s="20" t="s">
        <v>863</v>
      </c>
      <c r="E4858" s="21">
        <f>IF(D4858="?OLD","!!!","")</f>
        <v/>
      </c>
      <c r="F4858" s="22" t="str">
        <f>IF(OR(E4858="",E4858="!!!"),"",IF(NOT(ISNA(VLOOKUP(E4858,E$1:E4857,1,FALSE()))),"OLD",IF(AND(E4858&lt;&gt;"",E4858&lt;&gt;"!!!"),"NEW","")))</f>
        <v> </v>
      </c>
      <c r="G4858" s="23" t="str">
        <f>IF(OR(E4858="",E4858="!!!"),"",IF(OR(J4858=0,AND(J4858=1,K4858=1),AND(J4858=1,I4858="SBJ"),AND(J4858=1,I4858=0)),"?IN_FOCUS",IF(J4858&lt;=2,"?ACTIVATED",IF(J4858&lt;&gt;"","?FAMILIAR",IF(F4858="NEW",IF(ISNA(VLOOKUP(E4858,#REF!,1,FALSE())),"?TYPE_IDENTIFIABLE","?REFERENTIAL"),"_")))))</f>
        <v> </v>
      </c>
      <c r="H4858" s="24" t="str">
        <f>IF(J4858&lt;&gt;1,"",IF(I4858="SBJ","CB","?"))</f>
        <v> </v>
      </c>
      <c r="I4858" s="25" t="str">
        <f>IF(OR(E4858="",E4858="!!!",F4858="NEW"),"",INDEX(B4857:B$2,-1+SUMPRODUCT(MAX(ROW(E4857:E$2)*(E4858=E4857:E$2)))))</f>
        <v> </v>
      </c>
      <c r="J4858" s="25" t="str">
        <f>IF(OR(E4858="",E4858="!!!",F4858="NEW"),"",COUNTBLANK(OFFSET(A$1,,,SUMPRODUCT(MAX(ROW(E$2:E4858)*(E4858=E$2:E4858)))))-COUNTBLANK(OFFSET(A$1,,,SUMPRODUCT(MAX(ROW(E$1:E4857)*(E2=E$1:E4857))))))</f>
        <v> </v>
      </c>
      <c r="K4858" s="25" t="str">
        <f>IF(OR(E4858="",E4858="!!!",F4858="NEW"),"",INDEX(J$1:J4857,SUMPRODUCT(MAX(ROW(E$1:E4857)*(E4858=E$1:E4857)))))</f>
        <v> </v>
      </c>
      <c r="L4858" s="26"/>
    </row>
    <row r="4859" spans="1:12">
      <c r="A4859" s="20" t="s">
        <v>2115</v>
      </c>
      <c r="B4859" s="27" t="s">
        <v>779</v>
      </c>
      <c r="C4859" s="27" t="s">
        <v>744</v>
      </c>
      <c r="E4859" s="21">
        <f>IF(D4859="?OLD","!!!","")</f>
        <v/>
      </c>
      <c r="F4859" s="22" t="str">
        <f>IF(OR(E4859="",E4859="!!!"),"",IF(NOT(ISNA(VLOOKUP(E4859,E$1:E4858,1,FALSE()))),"OLD",IF(AND(E4859&lt;&gt;"",E4859&lt;&gt;"!!!"),"NEW","")))</f>
        <v> </v>
      </c>
      <c r="G4859" s="23" t="str">
        <f>IF(OR(E4859="",E4859="!!!"),"",IF(OR(J4859=0,AND(J4859=1,K4859=1),AND(J4859=1,I4859="SBJ"),AND(J4859=1,I4859=0)),"?IN_FOCUS",IF(J4859&lt;=2,"?ACTIVATED",IF(J4859&lt;&gt;"","?FAMILIAR",IF(F4859="NEW",IF(ISNA(VLOOKUP(E4859,#REF!,1,FALSE())),"?TYPE_IDENTIFIABLE","?REFERENTIAL"),"_")))))</f>
        <v> </v>
      </c>
      <c r="H4859" s="24" t="str">
        <f>IF(J4859&lt;&gt;1,"",IF(I4859="SBJ","CB","?"))</f>
        <v> </v>
      </c>
      <c r="I4859" s="25" t="str">
        <f>IF(OR(E4859="",E4859="!!!",F4859="NEW"),"",INDEX(B4858:B$2,-1+SUMPRODUCT(MAX(ROW(E4858:E$2)*(E4859=E4858:E$2)))))</f>
        <v> </v>
      </c>
      <c r="J4859" s="25" t="str">
        <f>IF(OR(E4859="",E4859="!!!",F4859="NEW"),"",COUNTBLANK(OFFSET(A$1,,,SUMPRODUCT(MAX(ROW(E$2:E4859)*(E4859=E$2:E4859)))))-COUNTBLANK(OFFSET(A$1,,,SUMPRODUCT(MAX(ROW(E$1:E4858)*(E2=E$1:E4858))))))</f>
        <v> </v>
      </c>
      <c r="K4859" s="25" t="str">
        <f>IF(OR(E4859="",E4859="!!!",F4859="NEW"),"",INDEX(J$1:J4858,SUMPRODUCT(MAX(ROW(E$1:E4858)*(E4859=E$1:E4858)))))</f>
        <v> </v>
      </c>
      <c r="L4859" s="26"/>
    </row>
    <row r="4860" spans="1:12">
      <c r="A4860" s="20" t="s">
        <v>2116</v>
      </c>
      <c r="E4860" s="21">
        <f>IF(D4860="?OLD","!!!","")</f>
        <v/>
      </c>
      <c r="F4860" s="22" t="str">
        <f>IF(OR(E4860="",E4860="!!!"),"",IF(NOT(ISNA(VLOOKUP(E4860,E$1:E4859,1,FALSE()))),"OLD",IF(AND(E4860&lt;&gt;"",E4860&lt;&gt;"!!!"),"NEW","")))</f>
        <v> </v>
      </c>
      <c r="G4860" s="23" t="str">
        <f>IF(OR(E4860="",E4860="!!!"),"",IF(OR(J4860=0,AND(J4860=1,K4860=1),AND(J4860=1,I4860="SBJ"),AND(J4860=1,I4860=0)),"?IN_FOCUS",IF(J4860&lt;=2,"?ACTIVATED",IF(J4860&lt;&gt;"","?FAMILIAR",IF(F4860="NEW",IF(ISNA(VLOOKUP(E4860,#REF!,1,FALSE())),"?TYPE_IDENTIFIABLE","?REFERENTIAL"),"_")))))</f>
        <v> </v>
      </c>
      <c r="H4860" s="24" t="str">
        <f>IF(J4860&lt;&gt;1,"",IF(I4860="SBJ","CB","?"))</f>
        <v> </v>
      </c>
      <c r="I4860" s="25" t="str">
        <f>IF(OR(E4860="",E4860="!!!",F4860="NEW"),"",INDEX(B4859:B$2,-1+SUMPRODUCT(MAX(ROW(E4859:E$2)*(E4860=E4859:E$2)))))</f>
        <v> </v>
      </c>
      <c r="J4860" s="25" t="str">
        <f>IF(OR(E4860="",E4860="!!!",F4860="NEW"),"",COUNTBLANK(OFFSET(A$1,,,SUMPRODUCT(MAX(ROW(E$2:E4860)*(E4860=E$2:E4860)))))-COUNTBLANK(OFFSET(A$1,,,SUMPRODUCT(MAX(ROW(E$1:E4859)*(E2=E$1:E4859))))))</f>
        <v> </v>
      </c>
      <c r="K4860" s="25" t="str">
        <f>IF(OR(E4860="",E4860="!!!",F4860="NEW"),"",INDEX(J$1:J4859,SUMPRODUCT(MAX(ROW(E$1:E4859)*(E4860=E$1:E4859)))))</f>
        <v> </v>
      </c>
      <c r="L4860" s="26"/>
    </row>
    <row r="4861" spans="1:12">
      <c r="A4861" s="20" t="s">
        <v>947</v>
      </c>
      <c r="E4861" s="21">
        <f>IF(D4861="?OLD","!!!","")</f>
        <v/>
      </c>
      <c r="F4861" s="22" t="str">
        <f>IF(OR(E4861="",E4861="!!!"),"",IF(NOT(ISNA(VLOOKUP(E4861,E$1:E4860,1,FALSE()))),"OLD",IF(AND(E4861&lt;&gt;"",E4861&lt;&gt;"!!!"),"NEW","")))</f>
        <v> </v>
      </c>
      <c r="G4861" s="23" t="str">
        <f>IF(OR(E4861="",E4861="!!!"),"",IF(OR(J4861=0,AND(J4861=1,K4861=1),AND(J4861=1,I4861="SBJ"),AND(J4861=1,I4861=0)),"?IN_FOCUS",IF(J4861&lt;=2,"?ACTIVATED",IF(J4861&lt;&gt;"","?FAMILIAR",IF(F4861="NEW",IF(ISNA(VLOOKUP(E4861,#REF!,1,FALSE())),"?TYPE_IDENTIFIABLE","?REFERENTIAL"),"_")))))</f>
        <v> </v>
      </c>
      <c r="H4861" s="24" t="str">
        <f>IF(J4861&lt;&gt;1,"",IF(I4861="SBJ","CB","?"))</f>
        <v> </v>
      </c>
      <c r="I4861" s="25" t="str">
        <f>IF(OR(E4861="",E4861="!!!",F4861="NEW"),"",INDEX(B4860:B$2,-1+SUMPRODUCT(MAX(ROW(E4860:E$2)*(E4861=E4860:E$2)))))</f>
        <v> </v>
      </c>
      <c r="J4861" s="25" t="str">
        <f>IF(OR(E4861="",E4861="!!!",F4861="NEW"),"",COUNTBLANK(OFFSET(A$1,,,SUMPRODUCT(MAX(ROW(E$2:E4861)*(E4861=E$2:E4861)))))-COUNTBLANK(OFFSET(A$1,,,SUMPRODUCT(MAX(ROW(E$1:E4860)*(E2=E$1:E4860))))))</f>
        <v> </v>
      </c>
      <c r="K4861" s="25" t="str">
        <f>IF(OR(E4861="",E4861="!!!",F4861="NEW"),"",INDEX(J$1:J4860,SUMPRODUCT(MAX(ROW(E$1:E4860)*(E4861=E$1:E4860)))))</f>
        <v> </v>
      </c>
      <c r="L4861" s="26"/>
    </row>
    <row r="4862" spans="1:12">
      <c r="A4862" s="20" t="s">
        <v>753</v>
      </c>
      <c r="E4862" s="21">
        <f>IF(D4862="?OLD","!!!","")</f>
        <v/>
      </c>
      <c r="F4862" s="22" t="str">
        <f>IF(OR(E4862="",E4862="!!!"),"",IF(NOT(ISNA(VLOOKUP(E4862,E$1:E4861,1,FALSE()))),"OLD",IF(AND(E4862&lt;&gt;"",E4862&lt;&gt;"!!!"),"NEW","")))</f>
        <v> </v>
      </c>
      <c r="G4862" s="23" t="str">
        <f>IF(OR(E4862="",E4862="!!!"),"",IF(OR(J4862=0,AND(J4862=1,K4862=1),AND(J4862=1,I4862="SBJ"),AND(J4862=1,I4862=0)),"?IN_FOCUS",IF(J4862&lt;=2,"?ACTIVATED",IF(J4862&lt;&gt;"","?FAMILIAR",IF(F4862="NEW",IF(ISNA(VLOOKUP(E4862,#REF!,1,FALSE())),"?TYPE_IDENTIFIABLE","?REFERENTIAL"),"_")))))</f>
        <v> </v>
      </c>
      <c r="H4862" s="24" t="str">
        <f>IF(J4862&lt;&gt;1,"",IF(I4862="SBJ","CB","?"))</f>
        <v> </v>
      </c>
      <c r="I4862" s="25" t="str">
        <f>IF(OR(E4862="",E4862="!!!",F4862="NEW"),"",INDEX(B4861:B$2,-1+SUMPRODUCT(MAX(ROW(E4861:E$2)*(E4862=E4861:E$2)))))</f>
        <v> </v>
      </c>
      <c r="J4862" s="25" t="str">
        <f>IF(OR(E4862="",E4862="!!!",F4862="NEW"),"",COUNTBLANK(OFFSET(A$1,,,SUMPRODUCT(MAX(ROW(E$2:E4862)*(E4862=E$2:E4862)))))-COUNTBLANK(OFFSET(A$1,,,SUMPRODUCT(MAX(ROW(E$1:E4861)*(E2=E$1:E4861))))))</f>
        <v> </v>
      </c>
      <c r="K4862" s="25" t="str">
        <f>IF(OR(E4862="",E4862="!!!",F4862="NEW"),"",INDEX(J$1:J4861,SUMPRODUCT(MAX(ROW(E$1:E4861)*(E4862=E$1:E4861)))))</f>
        <v> </v>
      </c>
      <c r="L4862" s="26"/>
    </row>
    <row r="4863" spans="1:12">
      <c r="A4863" s="20" t="s">
        <v>788</v>
      </c>
      <c r="E4863" s="21">
        <f>IF(D4863="?OLD","!!!","")</f>
        <v/>
      </c>
      <c r="F4863" s="22" t="str">
        <f>IF(OR(E4863="",E4863="!!!"),"",IF(NOT(ISNA(VLOOKUP(E4863,E$1:E4862,1,FALSE()))),"OLD",IF(AND(E4863&lt;&gt;"",E4863&lt;&gt;"!!!"),"NEW","")))</f>
        <v> </v>
      </c>
      <c r="G4863" s="23" t="str">
        <f>IF(OR(E4863="",E4863="!!!"),"",IF(OR(J4863=0,AND(J4863=1,K4863=1),AND(J4863=1,I4863="SBJ"),AND(J4863=1,I4863=0)),"?IN_FOCUS",IF(J4863&lt;=2,"?ACTIVATED",IF(J4863&lt;&gt;"","?FAMILIAR",IF(F4863="NEW",IF(ISNA(VLOOKUP(E4863,#REF!,1,FALSE())),"?TYPE_IDENTIFIABLE","?REFERENTIAL"),"_")))))</f>
        <v> </v>
      </c>
      <c r="H4863" s="24" t="str">
        <f>IF(J4863&lt;&gt;1,"",IF(I4863="SBJ","CB","?"))</f>
        <v> </v>
      </c>
      <c r="I4863" s="25" t="str">
        <f>IF(OR(E4863="",E4863="!!!",F4863="NEW"),"",INDEX(B4862:B$2,-1+SUMPRODUCT(MAX(ROW(E4862:E$2)*(E4863=E4862:E$2)))))</f>
        <v> </v>
      </c>
      <c r="J4863" s="25" t="str">
        <f>IF(OR(E4863="",E4863="!!!",F4863="NEW"),"",COUNTBLANK(OFFSET(A$1,,,SUMPRODUCT(MAX(ROW(E$2:E4863)*(E4863=E$2:E4863)))))-COUNTBLANK(OFFSET(A$1,,,SUMPRODUCT(MAX(ROW(E$1:E4862)*(E2=E$1:E4862))))))</f>
        <v> </v>
      </c>
      <c r="K4863" s="25" t="str">
        <f>IF(OR(E4863="",E4863="!!!",F4863="NEW"),"",INDEX(J$1:J4862,SUMPRODUCT(MAX(ROW(E$1:E4862)*(E4863=E$1:E4862)))))</f>
        <v> </v>
      </c>
      <c r="L4863" s="26"/>
    </row>
    <row r="4864" spans="1:12">
      <c r="A4864" s="20" t="s">
        <v>807</v>
      </c>
      <c r="B4864" s="27" t="s">
        <v>771</v>
      </c>
      <c r="C4864" s="27" t="s">
        <v>749</v>
      </c>
      <c r="D4864" s="27" t="s">
        <v>740</v>
      </c>
      <c r="E4864" s="21">
        <f>IF(D4864="?OLD","!!!","")</f>
        <v/>
      </c>
      <c r="F4864" s="22" t="str">
        <f>IF(OR(E4864="",E4864="!!!"),"",IF(NOT(ISNA(VLOOKUP(E4864,E$1:E4863,1,FALSE()))),"OLD",IF(AND(E4864&lt;&gt;"",E4864&lt;&gt;"!!!"),"NEW","")))</f>
        <v> </v>
      </c>
      <c r="G4864" s="23" t="str">
        <f>IF(OR(E4864="",E4864="!!!"),"",IF(OR(J4864=0,AND(J4864=1,K4864=1),AND(J4864=1,I4864="SBJ"),AND(J4864=1,I4864=0)),"?IN_FOCUS",IF(J4864&lt;=2,"?ACTIVATED",IF(J4864&lt;&gt;"","?FAMILIAR",IF(F4864="NEW",IF(ISNA(VLOOKUP(E4864,#REF!,1,FALSE())),"?TYPE_IDENTIFIABLE","?REFERENTIAL"),"_")))))</f>
        <v> </v>
      </c>
      <c r="H4864" s="24" t="str">
        <f>IF(J4864&lt;&gt;1,"",IF(I4864="SBJ","CB","?"))</f>
        <v> </v>
      </c>
      <c r="I4864" s="25" t="str">
        <f>IF(OR(E4864="",E4864="!!!",F4864="NEW"),"",INDEX(B4863:B$2,-1+SUMPRODUCT(MAX(ROW(E4863:E$2)*(E4864=E4863:E$2)))))</f>
        <v> </v>
      </c>
      <c r="J4864" s="25" t="str">
        <f>IF(OR(E4864="",E4864="!!!",F4864="NEW"),"",COUNTBLANK(OFFSET(A$1,,,SUMPRODUCT(MAX(ROW(E$2:E4864)*(E4864=E$2:E4864)))))-COUNTBLANK(OFFSET(A$1,,,SUMPRODUCT(MAX(ROW(E$1:E4863)*(E2=E$1:E4863))))))</f>
        <v> </v>
      </c>
      <c r="K4864" s="25" t="str">
        <f>IF(OR(E4864="",E4864="!!!",F4864="NEW"),"",INDEX(J$1:J4863,SUMPRODUCT(MAX(ROW(E$1:E4863)*(E4864=E$1:E4863)))))</f>
        <v> </v>
      </c>
      <c r="L4864" s="26"/>
    </row>
    <row r="4865" spans="1:12">
      <c r="A4865" s="20" t="s">
        <v>2117</v>
      </c>
      <c r="E4865" s="21">
        <f>IF(D4865="?OLD","!!!","")</f>
        <v/>
      </c>
      <c r="F4865" s="22" t="str">
        <f>IF(OR(E4865="",E4865="!!!"),"",IF(NOT(ISNA(VLOOKUP(E4865,E$1:E4864,1,FALSE()))),"OLD",IF(AND(E4865&lt;&gt;"",E4865&lt;&gt;"!!!"),"NEW","")))</f>
        <v> </v>
      </c>
      <c r="G4865" s="23" t="str">
        <f>IF(OR(E4865="",E4865="!!!"),"",IF(OR(J4865=0,AND(J4865=1,K4865=1),AND(J4865=1,I4865="SBJ"),AND(J4865=1,I4865=0)),"?IN_FOCUS",IF(J4865&lt;=2,"?ACTIVATED",IF(J4865&lt;&gt;"","?FAMILIAR",IF(F4865="NEW",IF(ISNA(VLOOKUP(E4865,#REF!,1,FALSE())),"?TYPE_IDENTIFIABLE","?REFERENTIAL"),"_")))))</f>
        <v> </v>
      </c>
      <c r="H4865" s="24" t="str">
        <f>IF(J4865&lt;&gt;1,"",IF(I4865="SBJ","CB","?"))</f>
        <v> </v>
      </c>
      <c r="I4865" s="25" t="str">
        <f>IF(OR(E4865="",E4865="!!!",F4865="NEW"),"",INDEX(B4864:B$2,-1+SUMPRODUCT(MAX(ROW(E4864:E$2)*(E4865=E4864:E$2)))))</f>
        <v> </v>
      </c>
      <c r="J4865" s="25" t="str">
        <f>IF(OR(E4865="",E4865="!!!",F4865="NEW"),"",COUNTBLANK(OFFSET(A$1,,,SUMPRODUCT(MAX(ROW(E$2:E4865)*(E4865=E$2:E4865)))))-COUNTBLANK(OFFSET(A$1,,,SUMPRODUCT(MAX(ROW(E$1:E4864)*(E2=E$1:E4864))))))</f>
        <v> </v>
      </c>
      <c r="K4865" s="25" t="str">
        <f>IF(OR(E4865="",E4865="!!!",F4865="NEW"),"",INDEX(J$1:J4864,SUMPRODUCT(MAX(ROW(E$1:E4864)*(E4865=E$1:E4864)))))</f>
        <v> </v>
      </c>
      <c r="L4865" s="26"/>
    </row>
    <row r="4866" spans="1:12">
      <c r="A4866" s="20" t="s">
        <v>811</v>
      </c>
      <c r="E4866" s="21">
        <f>IF(D4866="?OLD","!!!","")</f>
        <v/>
      </c>
      <c r="F4866" s="22" t="str">
        <f>IF(OR(E4866="",E4866="!!!"),"",IF(NOT(ISNA(VLOOKUP(E4866,E$1:E4865,1,FALSE()))),"OLD",IF(AND(E4866&lt;&gt;"",E4866&lt;&gt;"!!!"),"NEW","")))</f>
        <v> </v>
      </c>
      <c r="G4866" s="23" t="str">
        <f>IF(OR(E4866="",E4866="!!!"),"",IF(OR(J4866=0,AND(J4866=1,K4866=1),AND(J4866=1,I4866="SBJ"),AND(J4866=1,I4866=0)),"?IN_FOCUS",IF(J4866&lt;=2,"?ACTIVATED",IF(J4866&lt;&gt;"","?FAMILIAR",IF(F4866="NEW",IF(ISNA(VLOOKUP(E4866,#REF!,1,FALSE())),"?TYPE_IDENTIFIABLE","?REFERENTIAL"),"_")))))</f>
        <v> </v>
      </c>
      <c r="H4866" s="24" t="str">
        <f>IF(J4866&lt;&gt;1,"",IF(I4866="SBJ","CB","?"))</f>
        <v> </v>
      </c>
      <c r="I4866" s="25" t="str">
        <f>IF(OR(E4866="",E4866="!!!",F4866="NEW"),"",INDEX(B4865:B$2,-1+SUMPRODUCT(MAX(ROW(E4865:E$2)*(E4866=E4865:E$2)))))</f>
        <v> </v>
      </c>
      <c r="J4866" s="25" t="str">
        <f>IF(OR(E4866="",E4866="!!!",F4866="NEW"),"",COUNTBLANK(OFFSET(A$1,,,SUMPRODUCT(MAX(ROW(E$2:E4866)*(E4866=E$2:E4866)))))-COUNTBLANK(OFFSET(A$1,,,SUMPRODUCT(MAX(ROW(E$1:E4865)*(E2=E$1:E4865))))))</f>
        <v> </v>
      </c>
      <c r="K4866" s="25" t="str">
        <f>IF(OR(E4866="",E4866="!!!",F4866="NEW"),"",INDEX(J$1:J4865,SUMPRODUCT(MAX(ROW(E$1:E4865)*(E4866=E$1:E4865)))))</f>
        <v> </v>
      </c>
      <c r="L4866" s="26"/>
    </row>
    <row r="4867" spans="1:12">
      <c r="A4867" s="20" t="s">
        <v>753</v>
      </c>
      <c r="E4867" s="21">
        <f>IF(D4867="?OLD","!!!","")</f>
        <v/>
      </c>
      <c r="F4867" s="22" t="str">
        <f>IF(OR(E4867="",E4867="!!!"),"",IF(NOT(ISNA(VLOOKUP(E4867,E$1:E4866,1,FALSE()))),"OLD",IF(AND(E4867&lt;&gt;"",E4867&lt;&gt;"!!!"),"NEW","")))</f>
        <v> </v>
      </c>
      <c r="G4867" s="23" t="str">
        <f>IF(OR(E4867="",E4867="!!!"),"",IF(OR(J4867=0,AND(J4867=1,K4867=1),AND(J4867=1,I4867="SBJ"),AND(J4867=1,I4867=0)),"?IN_FOCUS",IF(J4867&lt;=2,"?ACTIVATED",IF(J4867&lt;&gt;"","?FAMILIAR",IF(F4867="NEW",IF(ISNA(VLOOKUP(E4867,#REF!,1,FALSE())),"?TYPE_IDENTIFIABLE","?REFERENTIAL"),"_")))))</f>
        <v> </v>
      </c>
      <c r="H4867" s="24" t="str">
        <f>IF(J4867&lt;&gt;1,"",IF(I4867="SBJ","CB","?"))</f>
        <v> </v>
      </c>
      <c r="I4867" s="25" t="str">
        <f>IF(OR(E4867="",E4867="!!!",F4867="NEW"),"",INDEX(B4866:B$2,-1+SUMPRODUCT(MAX(ROW(E4866:E$2)*(E4867=E4866:E$2)))))</f>
        <v> </v>
      </c>
      <c r="J4867" s="25" t="str">
        <f>IF(OR(E4867="",E4867="!!!",F4867="NEW"),"",COUNTBLANK(OFFSET(A$1,,,SUMPRODUCT(MAX(ROW(E$2:E4867)*(E4867=E$2:E4867)))))-COUNTBLANK(OFFSET(A$1,,,SUMPRODUCT(MAX(ROW(E$1:E4866)*(E2=E$1:E4866))))))</f>
        <v> </v>
      </c>
      <c r="K4867" s="25" t="str">
        <f>IF(OR(E4867="",E4867="!!!",F4867="NEW"),"",INDEX(J$1:J4866,SUMPRODUCT(MAX(ROW(E$1:E4866)*(E4867=E$1:E4866)))))</f>
        <v> </v>
      </c>
      <c r="L4867" s="26"/>
    </row>
    <row r="4868" spans="1:12">
      <c r="A4868" s="20" t="s">
        <v>765</v>
      </c>
      <c r="B4868" s="27" t="s">
        <v>777</v>
      </c>
      <c r="C4868" s="27" t="s">
        <v>772</v>
      </c>
      <c r="E4868" s="21">
        <f>IF(D4868="?OLD","!!!","")</f>
        <v/>
      </c>
      <c r="F4868" s="22" t="str">
        <f>IF(OR(E4868="",E4868="!!!"),"",IF(NOT(ISNA(VLOOKUP(E4868,E$1:E4867,1,FALSE()))),"OLD",IF(AND(E4868&lt;&gt;"",E4868&lt;&gt;"!!!"),"NEW","")))</f>
        <v> </v>
      </c>
      <c r="G4868" s="23" t="str">
        <f>IF(OR(E4868="",E4868="!!!"),"",IF(OR(J4868=0,AND(J4868=1,K4868=1),AND(J4868=1,I4868="SBJ"),AND(J4868=1,I4868=0)),"?IN_FOCUS",IF(J4868&lt;=2,"?ACTIVATED",IF(J4868&lt;&gt;"","?FAMILIAR",IF(F4868="NEW",IF(ISNA(VLOOKUP(E4868,#REF!,1,FALSE())),"?TYPE_IDENTIFIABLE","?REFERENTIAL"),"_")))))</f>
        <v> </v>
      </c>
      <c r="H4868" s="24" t="str">
        <f>IF(J4868&lt;&gt;1,"",IF(I4868="SBJ","CB","?"))</f>
        <v> </v>
      </c>
      <c r="I4868" s="25" t="str">
        <f>IF(OR(E4868="",E4868="!!!",F4868="NEW"),"",INDEX(B4867:B$2,-1+SUMPRODUCT(MAX(ROW(E4867:E$2)*(E4868=E4867:E$2)))))</f>
        <v> </v>
      </c>
      <c r="J4868" s="25" t="str">
        <f>IF(OR(E4868="",E4868="!!!",F4868="NEW"),"",COUNTBLANK(OFFSET(A$1,,,SUMPRODUCT(MAX(ROW(E$2:E4868)*(E4868=E$2:E4868)))))-COUNTBLANK(OFFSET(A$1,,,SUMPRODUCT(MAX(ROW(E$1:E4867)*(E2=E$1:E4867))))))</f>
        <v> </v>
      </c>
      <c r="K4868" s="25" t="str">
        <f>IF(OR(E4868="",E4868="!!!",F4868="NEW"),"",INDEX(J$1:J4867,SUMPRODUCT(MAX(ROW(E$1:E4867)*(E4868=E$1:E4867)))))</f>
        <v> </v>
      </c>
      <c r="L4868" s="26"/>
    </row>
    <row r="4869" spans="1:12">
      <c r="A4869" s="20" t="s">
        <v>1220</v>
      </c>
      <c r="B4869" s="27" t="s">
        <v>733</v>
      </c>
      <c r="C4869" s="27" t="s">
        <v>749</v>
      </c>
      <c r="D4869" s="27" t="s">
        <v>740</v>
      </c>
      <c r="E4869" s="21">
        <f>IF(D4869="?OLD","!!!","")</f>
        <v/>
      </c>
      <c r="F4869" s="22" t="str">
        <f>IF(OR(E4869="",E4869="!!!"),"",IF(NOT(ISNA(VLOOKUP(E4869,E$1:E4868,1,FALSE()))),"OLD",IF(AND(E4869&lt;&gt;"",E4869&lt;&gt;"!!!"),"NEW","")))</f>
        <v> </v>
      </c>
      <c r="G4869" s="23" t="str">
        <f>IF(OR(E4869="",E4869="!!!"),"",IF(OR(J4869=0,AND(J4869=1,K4869=1),AND(J4869=1,I4869="SBJ"),AND(J4869=1,I4869=0)),"?IN_FOCUS",IF(J4869&lt;=2,"?ACTIVATED",IF(J4869&lt;&gt;"","?FAMILIAR",IF(F4869="NEW",IF(ISNA(VLOOKUP(E4869,#REF!,1,FALSE())),"?TYPE_IDENTIFIABLE","?REFERENTIAL"),"_")))))</f>
        <v> </v>
      </c>
      <c r="H4869" s="24" t="str">
        <f>IF(J4869&lt;&gt;1,"",IF(I4869="SBJ","CB","?"))</f>
        <v> </v>
      </c>
      <c r="I4869" s="25" t="str">
        <f>IF(OR(E4869="",E4869="!!!",F4869="NEW"),"",INDEX(B4868:B$2,-1+SUMPRODUCT(MAX(ROW(E4868:E$2)*(E4869=E4868:E$2)))))</f>
        <v> </v>
      </c>
      <c r="J4869" s="25" t="str">
        <f>IF(OR(E4869="",E4869="!!!",F4869="NEW"),"",COUNTBLANK(OFFSET(A$1,,,SUMPRODUCT(MAX(ROW(E$2:E4869)*(E4869=E$2:E4869)))))-COUNTBLANK(OFFSET(A$1,,,SUMPRODUCT(MAX(ROW(E$1:E4868)*(E2=E$1:E4868))))))</f>
        <v> </v>
      </c>
      <c r="K4869" s="25" t="str">
        <f>IF(OR(E4869="",E4869="!!!",F4869="NEW"),"",INDEX(J$1:J4868,SUMPRODUCT(MAX(ROW(E$1:E4868)*(E4869=E$1:E4868)))))</f>
        <v> </v>
      </c>
      <c r="L4869" s="26"/>
    </row>
    <row r="4870" spans="1:12">
      <c r="A4870" s="20" t="s">
        <v>1149</v>
      </c>
      <c r="E4870" s="21">
        <f>IF(D4870="?OLD","!!!","")</f>
        <v/>
      </c>
      <c r="F4870" s="22" t="str">
        <f>IF(OR(E4870="",E4870="!!!"),"",IF(NOT(ISNA(VLOOKUP(E4870,E$1:E4869,1,FALSE()))),"OLD",IF(AND(E4870&lt;&gt;"",E4870&lt;&gt;"!!!"),"NEW","")))</f>
        <v> </v>
      </c>
      <c r="G4870" s="23" t="str">
        <f>IF(OR(E4870="",E4870="!!!"),"",IF(OR(J4870=0,AND(J4870=1,K4870=1),AND(J4870=1,I4870="SBJ"),AND(J4870=1,I4870=0)),"?IN_FOCUS",IF(J4870&lt;=2,"?ACTIVATED",IF(J4870&lt;&gt;"","?FAMILIAR",IF(F4870="NEW",IF(ISNA(VLOOKUP(E4870,#REF!,1,FALSE())),"?TYPE_IDENTIFIABLE","?REFERENTIAL"),"_")))))</f>
        <v> </v>
      </c>
      <c r="H4870" s="24" t="str">
        <f>IF(J4870&lt;&gt;1,"",IF(I4870="SBJ","CB","?"))</f>
        <v> </v>
      </c>
      <c r="I4870" s="25" t="str">
        <f>IF(OR(E4870="",E4870="!!!",F4870="NEW"),"",INDEX(B4869:B$2,-1+SUMPRODUCT(MAX(ROW(E4869:E$2)*(E4870=E4869:E$2)))))</f>
        <v> </v>
      </c>
      <c r="J4870" s="25" t="str">
        <f>IF(OR(E4870="",E4870="!!!",F4870="NEW"),"",COUNTBLANK(OFFSET(A$1,,,SUMPRODUCT(MAX(ROW(E$2:E4870)*(E4870=E$2:E4870)))))-COUNTBLANK(OFFSET(A$1,,,SUMPRODUCT(MAX(ROW(E$1:E4869)*(E2=E$1:E4869))))))</f>
        <v> </v>
      </c>
      <c r="K4870" s="25" t="str">
        <f>IF(OR(E4870="",E4870="!!!",F4870="NEW"),"",INDEX(J$1:J4869,SUMPRODUCT(MAX(ROW(E$1:E4869)*(E4870=E$1:E4869)))))</f>
        <v> </v>
      </c>
      <c r="L4870" s="26"/>
    </row>
    <row r="4871" spans="1:12">
      <c r="A4871" s="20" t="s">
        <v>2118</v>
      </c>
      <c r="B4871" s="27" t="s">
        <v>777</v>
      </c>
      <c r="C4871" s="27" t="s">
        <v>804</v>
      </c>
      <c r="D4871" s="27" t="s">
        <v>740</v>
      </c>
      <c r="E4871" s="21">
        <f>IF(D4871="?OLD","!!!","")</f>
        <v/>
      </c>
      <c r="F4871" s="22" t="str">
        <f>IF(OR(E4871="",E4871="!!!"),"",IF(NOT(ISNA(VLOOKUP(E4871,E$1:E4870,1,FALSE()))),"OLD",IF(AND(E4871&lt;&gt;"",E4871&lt;&gt;"!!!"),"NEW","")))</f>
        <v> </v>
      </c>
      <c r="G4871" s="23" t="str">
        <f>IF(OR(E4871="",E4871="!!!"),"",IF(OR(J4871=0,AND(J4871=1,K4871=1),AND(J4871=1,I4871="SBJ"),AND(J4871=1,I4871=0)),"?IN_FOCUS",IF(J4871&lt;=2,"?ACTIVATED",IF(J4871&lt;&gt;"","?FAMILIAR",IF(F4871="NEW",IF(ISNA(VLOOKUP(E4871,#REF!,1,FALSE())),"?TYPE_IDENTIFIABLE","?REFERENTIAL"),"_")))))</f>
        <v> </v>
      </c>
      <c r="H4871" s="24" t="str">
        <f>IF(J4871&lt;&gt;1,"",IF(I4871="SBJ","CB","?"))</f>
        <v> </v>
      </c>
      <c r="I4871" s="25" t="str">
        <f>IF(OR(E4871="",E4871="!!!",F4871="NEW"),"",INDEX(B4870:B$2,-1+SUMPRODUCT(MAX(ROW(E4870:E$2)*(E4871=E4870:E$2)))))</f>
        <v> </v>
      </c>
      <c r="J4871" s="25" t="str">
        <f>IF(OR(E4871="",E4871="!!!",F4871="NEW"),"",COUNTBLANK(OFFSET(A$1,,,SUMPRODUCT(MAX(ROW(E$2:E4871)*(E4871=E$2:E4871)))))-COUNTBLANK(OFFSET(A$1,,,SUMPRODUCT(MAX(ROW(E$1:E4870)*(E2=E$1:E4870))))))</f>
        <v> </v>
      </c>
      <c r="K4871" s="25" t="str">
        <f>IF(OR(E4871="",E4871="!!!",F4871="NEW"),"",INDEX(J$1:J4870,SUMPRODUCT(MAX(ROW(E$1:E4870)*(E4871=E$1:E4870)))))</f>
        <v> </v>
      </c>
      <c r="L4871" s="26"/>
    </row>
    <row r="4872" spans="1:12">
      <c r="A4872" s="20" t="s">
        <v>765</v>
      </c>
      <c r="E4872" s="21">
        <f>IF(D4872="?OLD","!!!","")</f>
        <v/>
      </c>
      <c r="F4872" s="22" t="str">
        <f>IF(OR(E4872="",E4872="!!!"),"",IF(NOT(ISNA(VLOOKUP(E4872,E$1:E4871,1,FALSE()))),"OLD",IF(AND(E4872&lt;&gt;"",E4872&lt;&gt;"!!!"),"NEW","")))</f>
        <v> </v>
      </c>
      <c r="G4872" s="23" t="str">
        <f>IF(OR(E4872="",E4872="!!!"),"",IF(OR(J4872=0,AND(J4872=1,K4872=1),AND(J4872=1,I4872="SBJ"),AND(J4872=1,I4872=0)),"?IN_FOCUS",IF(J4872&lt;=2,"?ACTIVATED",IF(J4872&lt;&gt;"","?FAMILIAR",IF(F4872="NEW",IF(ISNA(VLOOKUP(E4872,#REF!,1,FALSE())),"?TYPE_IDENTIFIABLE","?REFERENTIAL"),"_")))))</f>
        <v> </v>
      </c>
      <c r="H4872" s="24" t="str">
        <f>IF(J4872&lt;&gt;1,"",IF(I4872="SBJ","CB","?"))</f>
        <v> </v>
      </c>
      <c r="I4872" s="25" t="str">
        <f>IF(OR(E4872="",E4872="!!!",F4872="NEW"),"",INDEX(B4871:B$2,-1+SUMPRODUCT(MAX(ROW(E4871:E$2)*(E4872=E4871:E$2)))))</f>
        <v> </v>
      </c>
      <c r="J4872" s="25" t="str">
        <f>IF(OR(E4872="",E4872="!!!",F4872="NEW"),"",COUNTBLANK(OFFSET(A$1,,,SUMPRODUCT(MAX(ROW(E$2:E4872)*(E4872=E$2:E4872)))))-COUNTBLANK(OFFSET(A$1,,,SUMPRODUCT(MAX(ROW(E$1:E4871)*(E2=E$1:E4871))))))</f>
        <v> </v>
      </c>
      <c r="K4872" s="25" t="str">
        <f>IF(OR(E4872="",E4872="!!!",F4872="NEW"),"",INDEX(J$1:J4871,SUMPRODUCT(MAX(ROW(E$1:E4871)*(E4872=E$1:E4871)))))</f>
        <v> </v>
      </c>
      <c r="L4872" s="26"/>
    </row>
    <row r="4873" spans="1:12">
      <c r="A4873" s="20" t="s">
        <v>42</v>
      </c>
      <c r="E4873" s="21">
        <f>IF(D4873="?OLD","!!!","")</f>
        <v/>
      </c>
      <c r="F4873" s="22" t="str">
        <f>IF(OR(E4873="",E4873="!!!"),"",IF(NOT(ISNA(VLOOKUP(E4873,E$1:E4872,1,FALSE()))),"OLD",IF(AND(E4873&lt;&gt;"",E4873&lt;&gt;"!!!"),"NEW","")))</f>
        <v> </v>
      </c>
      <c r="G4873" s="23" t="str">
        <f>IF(OR(E4873="",E4873="!!!"),"",IF(OR(J4873=0,AND(J4873=1,K4873=1),AND(J4873=1,I4873="SBJ"),AND(J4873=1,I4873=0)),"?IN_FOCUS",IF(J4873&lt;=2,"?ACTIVATED",IF(J4873&lt;&gt;"","?FAMILIAR",IF(F4873="NEW",IF(ISNA(VLOOKUP(E4873,#REF!,1,FALSE())),"?TYPE_IDENTIFIABLE","?REFERENTIAL"),"_")))))</f>
        <v> </v>
      </c>
      <c r="H4873" s="24" t="str">
        <f>IF(J4873&lt;&gt;1,"",IF(I4873="SBJ","CB","?"))</f>
        <v> </v>
      </c>
      <c r="I4873" s="25" t="str">
        <f>IF(OR(E4873="",E4873="!!!",F4873="NEW"),"",INDEX(B4872:B$2,-1+SUMPRODUCT(MAX(ROW(E4872:E$2)*(E4873=E4872:E$2)))))</f>
        <v> </v>
      </c>
      <c r="J4873" s="25" t="str">
        <f>IF(OR(E4873="",E4873="!!!",F4873="NEW"),"",COUNTBLANK(OFFSET(A$1,,,SUMPRODUCT(MAX(ROW(E$2:E4873)*(E4873=E$2:E4873)))))-COUNTBLANK(OFFSET(A$1,,,SUMPRODUCT(MAX(ROW(E$1:E4872)*(E2=E$1:E4872))))))</f>
        <v> </v>
      </c>
      <c r="K4873" s="25" t="str">
        <f>IF(OR(E4873="",E4873="!!!",F4873="NEW"),"",INDEX(J$1:J4872,SUMPRODUCT(MAX(ROW(E$1:E4872)*(E4873=E$1:E4872)))))</f>
        <v> </v>
      </c>
      <c r="L4873" s="26"/>
    </row>
    <row r="4874" spans="1:12">
      <c r="A4874" s="20" t="s">
        <v>746</v>
      </c>
      <c r="E4874" s="21">
        <f>IF(D4874="?OLD","!!!","")</f>
        <v/>
      </c>
      <c r="F4874" s="22" t="str">
        <f>IF(OR(E4874="",E4874="!!!"),"",IF(NOT(ISNA(VLOOKUP(E4874,E$1:E4873,1,FALSE()))),"OLD",IF(AND(E4874&lt;&gt;"",E4874&lt;&gt;"!!!"),"NEW","")))</f>
        <v> </v>
      </c>
      <c r="G4874" s="23" t="str">
        <f>IF(OR(E4874="",E4874="!!!"),"",IF(OR(J4874=0,AND(J4874=1,K4874=1),AND(J4874=1,I4874="SBJ"),AND(J4874=1,I4874=0)),"?IN_FOCUS",IF(J4874&lt;=2,"?ACTIVATED",IF(J4874&lt;&gt;"","?FAMILIAR",IF(F4874="NEW",IF(ISNA(VLOOKUP(E4874,#REF!,1,FALSE())),"?TYPE_IDENTIFIABLE","?REFERENTIAL"),"_")))))</f>
        <v> </v>
      </c>
      <c r="H4874" s="24" t="str">
        <f>IF(J4874&lt;&gt;1,"",IF(I4874="SBJ","CB","?"))</f>
        <v> </v>
      </c>
      <c r="I4874" s="25" t="str">
        <f>IF(OR(E4874="",E4874="!!!",F4874="NEW"),"",INDEX(B4873:B$2,-1+SUMPRODUCT(MAX(ROW(E4873:E$2)*(E4874=E4873:E$2)))))</f>
        <v> </v>
      </c>
      <c r="J4874" s="25" t="str">
        <f>IF(OR(E4874="",E4874="!!!",F4874="NEW"),"",COUNTBLANK(OFFSET(A$1,,,SUMPRODUCT(MAX(ROW(E$2:E4874)*(E4874=E$2:E4874)))))-COUNTBLANK(OFFSET(A$1,,,SUMPRODUCT(MAX(ROW(E$1:E4873)*(E2=E$1:E4873))))))</f>
        <v> </v>
      </c>
      <c r="K4874" s="25" t="str">
        <f>IF(OR(E4874="",E4874="!!!",F4874="NEW"),"",INDEX(J$1:J4873,SUMPRODUCT(MAX(ROW(E$1:E4873)*(E4874=E$1:E4873)))))</f>
        <v> </v>
      </c>
      <c r="L4874" s="26"/>
    </row>
    <row r="4875" spans="1:12">
      <c r="A4875" s="20"/>
    </row>
    <row r="4876" spans="1:12">
      <c r="A4876" s="20" t="s">
        <v>2119</v>
      </c>
    </row>
    <row r="4877" spans="1:12">
      <c r="A4877" s="20" t="s">
        <v>2120</v>
      </c>
      <c r="E4877" s="21">
        <f>IF(D4877="?OLD","!!!","")</f>
        <v/>
      </c>
      <c r="F4877" s="22" t="str">
        <f>IF(OR(E4877="",E4877="!!!"),"",IF(NOT(ISNA(VLOOKUP(E4877,E$1:E4876,1,FALSE()))),"OLD",IF(AND(E4877&lt;&gt;"",E4877&lt;&gt;"!!!"),"NEW","")))</f>
        <v> </v>
      </c>
      <c r="G4877" s="23" t="str">
        <f>IF(OR(E4877="",E4877="!!!"),"",IF(OR(J4877=0,AND(J4877=1,K4877=1),AND(J4877=1,I4877="SBJ"),AND(J4877=1,I4877=0)),"?IN_FOCUS",IF(J4877&lt;=2,"?ACTIVATED",IF(J4877&lt;&gt;"","?FAMILIAR",IF(F4877="NEW",IF(ISNA(VLOOKUP(E4877,#REF!,1,FALSE())),"?TYPE_IDENTIFIABLE","?REFERENTIAL"),"_")))))</f>
        <v> </v>
      </c>
      <c r="H4877" s="24" t="str">
        <f>IF(J4877&lt;&gt;1,"",IF(I4877="SBJ","CB","?"))</f>
        <v> </v>
      </c>
      <c r="I4877" s="25" t="str">
        <f>IF(OR(E4877="",E4877="!!!",F4877="NEW"),"",INDEX(B4876:B$2,-1+SUMPRODUCT(MAX(ROW(E4876:E$2)*(E4877=E4876:E$2)))))</f>
        <v> </v>
      </c>
      <c r="J4877" s="25" t="str">
        <f>IF(OR(E4877="",E4877="!!!",F4877="NEW"),"",COUNTBLANK(OFFSET(A$1,,,SUMPRODUCT(MAX(ROW(E$2:E4877)*(E4877=E$2:E4877)))))-COUNTBLANK(OFFSET(A$1,,,SUMPRODUCT(MAX(ROW(E$1:E4876)*(E2=E$1:E4876))))))</f>
        <v> </v>
      </c>
      <c r="K4877" s="25" t="str">
        <f>IF(OR(E4877="",E4877="!!!",F4877="NEW"),"",INDEX(J$1:J4876,SUMPRODUCT(MAX(ROW(E$1:E4876)*(E4877=E$1:E4876)))))</f>
        <v> </v>
      </c>
      <c r="L4877" s="26"/>
    </row>
    <row r="4878" spans="1:12">
      <c r="A4878" s="20" t="s">
        <v>711</v>
      </c>
      <c r="B4878" s="27" t="s">
        <v>756</v>
      </c>
      <c r="C4878" s="27" t="s">
        <v>780</v>
      </c>
      <c r="E4878" s="21">
        <f>IF(D4878="?OLD","!!!","")</f>
        <v/>
      </c>
      <c r="F4878" s="22" t="str">
        <f>IF(OR(E4878="",E4878="!!!"),"",IF(NOT(ISNA(VLOOKUP(E4878,E$1:E4877,1,FALSE()))),"OLD",IF(AND(E4878&lt;&gt;"",E4878&lt;&gt;"!!!"),"NEW","")))</f>
        <v> </v>
      </c>
      <c r="G4878" s="23" t="str">
        <f>IF(OR(E4878="",E4878="!!!"),"",IF(OR(J4878=0,AND(J4878=1,K4878=1),AND(J4878=1,I4878="SBJ"),AND(J4878=1,I4878=0)),"?IN_FOCUS",IF(J4878&lt;=2,"?ACTIVATED",IF(J4878&lt;&gt;"","?FAMILIAR",IF(F4878="NEW",IF(ISNA(VLOOKUP(E4878,#REF!,1,FALSE())),"?TYPE_IDENTIFIABLE","?REFERENTIAL"),"_")))))</f>
        <v> </v>
      </c>
      <c r="H4878" s="24" t="str">
        <f>IF(J4878&lt;&gt;1,"",IF(I4878="SBJ","CB","?"))</f>
        <v> </v>
      </c>
      <c r="I4878" s="25" t="str">
        <f>IF(OR(E4878="",E4878="!!!",F4878="NEW"),"",INDEX(B4877:B$2,-1+SUMPRODUCT(MAX(ROW(E4877:E$2)*(E4878=E4877:E$2)))))</f>
        <v> </v>
      </c>
      <c r="J4878" s="25" t="str">
        <f>IF(OR(E4878="",E4878="!!!",F4878="NEW"),"",COUNTBLANK(OFFSET(A$1,,,SUMPRODUCT(MAX(ROW(E$2:E4878)*(E4878=E$2:E4878)))))-COUNTBLANK(OFFSET(A$1,,,SUMPRODUCT(MAX(ROW(E$1:E4877)*(E2=E$1:E4877))))))</f>
        <v> </v>
      </c>
      <c r="K4878" s="25" t="str">
        <f>IF(OR(E4878="",E4878="!!!",F4878="NEW"),"",INDEX(J$1:J4877,SUMPRODUCT(MAX(ROW(E$1:E4877)*(E4878=E$1:E4877)))))</f>
        <v> </v>
      </c>
      <c r="L4878" s="26"/>
    </row>
    <row r="4879" spans="1:12">
      <c r="A4879" s="20" t="s">
        <v>746</v>
      </c>
      <c r="E4879" s="21">
        <f>IF(D4879="?OLD","!!!","")</f>
        <v/>
      </c>
      <c r="F4879" s="22" t="str">
        <f>IF(OR(E4879="",E4879="!!!"),"",IF(NOT(ISNA(VLOOKUP(E4879,E$1:E4878,1,FALSE()))),"OLD",IF(AND(E4879&lt;&gt;"",E4879&lt;&gt;"!!!"),"NEW","")))</f>
        <v> </v>
      </c>
      <c r="G4879" s="23" t="str">
        <f>IF(OR(E4879="",E4879="!!!"),"",IF(OR(J4879=0,AND(J4879=1,K4879=1),AND(J4879=1,I4879="SBJ"),AND(J4879=1,I4879=0)),"?IN_FOCUS",IF(J4879&lt;=2,"?ACTIVATED",IF(J4879&lt;&gt;"","?FAMILIAR",IF(F4879="NEW",IF(ISNA(VLOOKUP(E4879,#REF!,1,FALSE())),"?TYPE_IDENTIFIABLE","?REFERENTIAL"),"_")))))</f>
        <v> </v>
      </c>
      <c r="H4879" s="24" t="str">
        <f>IF(J4879&lt;&gt;1,"",IF(I4879="SBJ","CB","?"))</f>
        <v> </v>
      </c>
      <c r="I4879" s="25" t="str">
        <f>IF(OR(E4879="",E4879="!!!",F4879="NEW"),"",INDEX(B4878:B$2,-1+SUMPRODUCT(MAX(ROW(E4878:E$2)*(E4879=E4878:E$2)))))</f>
        <v> </v>
      </c>
      <c r="J4879" s="25" t="str">
        <f>IF(OR(E4879="",E4879="!!!",F4879="NEW"),"",COUNTBLANK(OFFSET(A$1,,,SUMPRODUCT(MAX(ROW(E$2:E4879)*(E4879=E$2:E4879)))))-COUNTBLANK(OFFSET(A$1,,,SUMPRODUCT(MAX(ROW(E$1:E4878)*(E2=E$1:E4878))))))</f>
        <v> </v>
      </c>
      <c r="K4879" s="25" t="str">
        <f>IF(OR(E4879="",E4879="!!!",F4879="NEW"),"",INDEX(J$1:J4878,SUMPRODUCT(MAX(ROW(E$1:E4878)*(E4879=E$1:E4878)))))</f>
        <v> </v>
      </c>
      <c r="L4879" s="26"/>
    </row>
    <row r="4880" spans="1:12">
      <c r="A4880"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2024-05-20T20:25:39Z</dcterms:created>
  <dcterms:modified xsi:type="dcterms:W3CDTF">2024-05-20T20:25:39Z</dcterms:modified>
</cp:coreProperties>
</file>