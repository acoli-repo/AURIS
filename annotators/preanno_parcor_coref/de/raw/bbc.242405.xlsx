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<sst xmlns="http://schemas.openxmlformats.org/spreadsheetml/2006/main" count="1105" uniqueCount="363">
  <si>
    <t>ID</t>
  </si>
  <si>
    <t>PRED_ID</t>
  </si>
  <si>
    <t>MARKER_AUTO</t>
  </si>
  <si>
    <t>PREDICATE</t>
  </si>
  <si>
    <t>TEXT</t>
  </si>
  <si>
    <t>SENTENCE</t>
  </si>
  <si>
    <t>MARKER</t>
  </si>
  <si>
    <t>TARGET</t>
  </si>
  <si>
    <t>RELATION</t>
  </si>
  <si>
    <t>COMMENT</t>
  </si>
  <si>
    <t>1</t>
  </si>
  <si>
    <t>11</t>
  </si>
  <si>
    <t>_</t>
  </si>
  <si>
    <t>verfügbar</t>
  </si>
  <si>
    <t>Royal Bank of Scotland für Kunden außerhalb Schottlands nicht mehr verfügbar Die Marke RBS soll laut dem Vorstandschef der Bank nurmehr auf eine Backoffice Rolle reduziert werden .</t>
  </si>
  <si>
    <t>file://conllu/de/bbc.242405.conllu#s1_0</t>
  </si>
  <si>
    <t>2</t>
  </si>
  <si>
    <t>14</t>
  </si>
  <si>
    <t>sein (sein verfügbar)</t>
  </si>
  <si>
    <t>Die Royal Bank of Scotland wird für Kunden außerhalb Schottlands nicht mehr verfügbar sein .</t>
  </si>
  <si>
    <t>file://conllu/de/bbc.242405.conllu#s2_0</t>
  </si>
  <si>
    <t>3</t>
  </si>
  <si>
    <t>teilen</t>
  </si>
  <si>
    <t>Ross McEwan teilte der BBC Scotland mit , dass die Marke RBS mit den globalen Ambitionen der Bank verbunden waren .</t>
  </si>
  <si>
    <t>file://conllu/de/bbc.242405.conllu#s3_0</t>
  </si>
  <si>
    <t>4</t>
  </si>
  <si>
    <t>6</t>
  </si>
  <si>
    <t>distanzieren</t>
  </si>
  <si>
    <t>Die Bank hat sich seitdem distanziert , als sie vor acht Jahren fast kollabierte und gerettet werden musste .</t>
  </si>
  <si>
    <t>file://conllu/de/bbc.242405.conllu#s4_0</t>
  </si>
  <si>
    <t>5</t>
  </si>
  <si>
    <t>10</t>
  </si>
  <si>
    <t>in dieser Zeit?</t>
  </si>
  <si>
    <t>verwenden</t>
  </si>
  <si>
    <t>In dieser Zeit haben Markenstrategen &amp;quot; RBS &amp;quot; dazu verwendet , andere Endverbraucherfinanzmarken zu schützen .</t>
  </si>
  <si>
    <t>file://conllu/de/bbc.242405.conllu#s5_0</t>
  </si>
  <si>
    <t>unterstützen</t>
  </si>
  <si>
    <t>Sie unterstützte den internationalen Sport mit Millionen Pfund an Sponsoring , vom von dem Six Nations Rugby bis hin zum zu dem Wimbledon Sieger Andy Murray .</t>
  </si>
  <si>
    <t>file://conllu/de/bbc.242405.conllu#s6_0</t>
  </si>
  <si>
    <t>7</t>
  </si>
  <si>
    <t>entschieden</t>
  </si>
  <si>
    <t>Aber jetzt hat sie sich dazu entschieden , mehr nationale Marken in den Fokus zu rücken .</t>
  </si>
  <si>
    <t>file://conllu/de/bbc.242405.conllu#s7_0</t>
  </si>
  <si>
    <t>8</t>
  </si>
  <si>
    <t>13</t>
  </si>
  <si>
    <t>Die Royal Bank of Scotland wird nur für Kunden in Schottland verfügbar sein , aber wird nicht initialisiert werden .</t>
  </si>
  <si>
    <t>file://conllu/de/bbc.242405.conllu#s8_0</t>
  </si>
  <si>
    <t>9</t>
  </si>
  <si>
    <t>18</t>
  </si>
  <si>
    <t>wechseln</t>
  </si>
  <si>
    <t>In England und Wales werden alle RSB Referenzen , der dezentrale Hauptsitz und die Börsennotierung zu NatWest wechseln .</t>
  </si>
  <si>
    <t>file://conllu/de/bbc.242405.conllu#s9_0</t>
  </si>
  <si>
    <t>15</t>
  </si>
  <si>
    <t>Die Marke Ulster Bank wird bereits für Kunden in der Republik Irland und Nordirland verwendet .</t>
  </si>
  <si>
    <t>file://conllu/de/bbc.242405.conllu#s10_0</t>
  </si>
  <si>
    <t>geben</t>
  </si>
  <si>
    <t>Es gibt andere , kleinere Marken für das Privatkundengeschäft , die mehr Bedeutung erhalten werden Coutts , Adam &amp;amp; Co , Drummond und Holt's Military Bank .</t>
  </si>
  <si>
    <t>file://conllu/de/bbc.242405.conllu#s11_0</t>
  </si>
  <si>
    <t>12</t>
  </si>
  <si>
    <t>interviewen</t>
  </si>
  <si>
    <t>McEwan wurde während einer Besichtigungstour von Kunden und Mitarbeitern in Inverness-shire interviewt .</t>
  </si>
  <si>
    <t>file://conllu/de/bbc.242405.conllu#s12_0</t>
  </si>
  <si>
    <t>Er teilte der BBC Scotland mit : &amp;quot; Die Marke RSB wird zu unserer Investorenmarke sowie zu der Marke , unter der unsere Mitarbeiter beschäftigt sein werden , da wir jetzt mehr zu einer Bank von Marken werden . &amp;quot;</t>
  </si>
  <si>
    <t>file://conllu/de/bbc.242405.conllu#s13_0</t>
  </si>
  <si>
    <t>werden</t>
  </si>
  <si>
    <t>Als die Bank selber zu einer globalen Marke wurde , wurde RBS zur zu der globalen Marke .</t>
  </si>
  <si>
    <t>file://conllu/de/bbc.242405.conllu#s14_0</t>
  </si>
  <si>
    <t>sagen</t>
  </si>
  <si>
    <t>Ich sage jetzt , dass wir keine globalen Ziele , sondern lokale Ziele verfolgen .</t>
  </si>
  <si>
    <t>file://conllu/de/bbc.242405.conllu#s15_0</t>
  </si>
  <si>
    <t>16</t>
  </si>
  <si>
    <t>stehen</t>
  </si>
  <si>
    <t>Jede dieser Marken wird in ihren eigenen Gemeinden für etwas vollkommen anderes stehen und unsere Mitarbeiter werden unter diesen Marken mit den Kunden arbeiten .</t>
  </si>
  <si>
    <t>file://conllu/de/bbc.242405.conllu#s16_0</t>
  </si>
  <si>
    <t>17</t>
  </si>
  <si>
    <t>ausgesagen</t>
  </si>
  <si>
    <t>RBS hat bereits ausgesagt , dass es sein Six Nations Sponsoring nicht mehr fortführen wird und , dass es die Wahrnehmbarkeit der verschiedenen Marken in seinem Sport Sponsoring erhöhen wird .</t>
  </si>
  <si>
    <t>file://conllu/de/bbc.242405.conllu#s17_0</t>
  </si>
  <si>
    <t>43</t>
  </si>
  <si>
    <t>&amp;quot; Es ist Zeit für uns , sich zur zu der Bank der Marken zu entwickeln , denn wie konzentrieren wir uns im in dem Inneren ( wir haben gefragt ) darauf , dies zu einer besseren Bank für Kunden zu machen ? &amp;quot; sagte der Vorstandschef .</t>
  </si>
  <si>
    <t>file://conllu/de/bbc.242405.conllu#s18_0</t>
  </si>
  <si>
    <t>19</t>
  </si>
  <si>
    <t>sein (sein zynisch)</t>
  </si>
  <si>
    <t>Es wäre vor drei Jahren sehr zynisch gewesen , wenn wir gesagt hätten , dass wir für unsere Kunden eine tolle Bank sein werden und diese Marken lanciert hätten .</t>
  </si>
  <si>
    <t>file://conllu/de/bbc.242405.conllu#s19_0</t>
  </si>
  <si>
    <t>20</t>
  </si>
  <si>
    <t>denken (denken sehen)</t>
  </si>
  <si>
    <t>Aber mit unserer Arbeit , dem Fokus auf Kundenbedürfnisse und nicht unsere eigenen , denke ich , wird man viele Veränderungen sehen .</t>
  </si>
  <si>
    <t>file://conllu/de/bbc.242405.conllu#s20_0</t>
  </si>
  <si>
    <t>21</t>
  </si>
  <si>
    <t>lancieren</t>
  </si>
  <si>
    <t>Wir können diese Marken wieder lancieren , daher denke ich , dass die Zeit gekommen ist .</t>
  </si>
  <si>
    <t>file://conllu/de/bbc.242405.conllu#s21_0</t>
  </si>
  <si>
    <t>WORD</t>
  </si>
  <si>
    <t>GR</t>
  </si>
  <si>
    <t>NP_TYPE</t>
  </si>
  <si>
    <t>REF_AUTO</t>
  </si>
  <si>
    <t>COREF</t>
  </si>
  <si>
    <t>REF</t>
  </si>
  <si>
    <t>IS</t>
  </si>
  <si>
    <t>CB</t>
  </si>
  <si>
    <t>GR_ANTE</t>
  </si>
  <si>
    <t>REF_DIST</t>
  </si>
  <si>
    <t>REF_DIST_ANTE</t>
  </si>
  <si>
    <t># text = Royal Bank of Scotland für Kunden außerhalb Schottlands nicht mehr verfügbar Die Marke RBS soll laut dem Vorstandschef der Bank nurmehr auf eine Backoffice-Rolle reduziert werden.</t>
  </si>
  <si>
    <t>Royal</t>
  </si>
  <si>
    <t>SBJ</t>
  </si>
  <si>
    <t>ne</t>
  </si>
  <si>
    <t>?OLD</t>
  </si>
  <si>
    <t>Bank</t>
  </si>
  <si>
    <t>of</t>
  </si>
  <si>
    <t>Scotland</t>
  </si>
  <si>
    <t>für</t>
  </si>
  <si>
    <t>Kunden</t>
  </si>
  <si>
    <t>other_2</t>
  </si>
  <si>
    <t>def-np.poss</t>
  </si>
  <si>
    <t>außerhalb</t>
  </si>
  <si>
    <t>Schottlands</t>
  </si>
  <si>
    <t>other_3</t>
  </si>
  <si>
    <t>nicht</t>
  </si>
  <si>
    <t>mehr</t>
  </si>
  <si>
    <t>Die</t>
  </si>
  <si>
    <t>Marke</t>
  </si>
  <si>
    <t>SBJ_2</t>
  </si>
  <si>
    <t>def-np.the</t>
  </si>
  <si>
    <t>RBS</t>
  </si>
  <si>
    <t>soll</t>
  </si>
  <si>
    <t>laut</t>
  </si>
  <si>
    <t>dem</t>
  </si>
  <si>
    <t>Vorstandschef</t>
  </si>
  <si>
    <t>der</t>
  </si>
  <si>
    <t>nurmehr</t>
  </si>
  <si>
    <t>auf</t>
  </si>
  <si>
    <t>eine</t>
  </si>
  <si>
    <t>Backoffice</t>
  </si>
  <si>
    <t>Rolle</t>
  </si>
  <si>
    <t>indef-np.a</t>
  </si>
  <si>
    <t>reduziert</t>
  </si>
  <si>
    <t>.</t>
  </si>
  <si>
    <t># text = Die Royal Bank of Scotland wird für Kunden außerhalb Schottlands nicht mehr verfügbar sein.</t>
  </si>
  <si>
    <t>wird</t>
  </si>
  <si>
    <t>other</t>
  </si>
  <si>
    <t>sein</t>
  </si>
  <si>
    <t># text = Ross McEwan teilte der BBC Scotland mit, dass die Marke RBS mit den globalen Ambitionen der Bank verbunden waren.</t>
  </si>
  <si>
    <t>Ross</t>
  </si>
  <si>
    <t>McEwan</t>
  </si>
  <si>
    <t>teilte</t>
  </si>
  <si>
    <t>BBC</t>
  </si>
  <si>
    <t>OBJ</t>
  </si>
  <si>
    <t>mit</t>
  </si>
  <si>
    <t>,</t>
  </si>
  <si>
    <t>dass</t>
  </si>
  <si>
    <t>die</t>
  </si>
  <si>
    <t>den</t>
  </si>
  <si>
    <t>globalen</t>
  </si>
  <si>
    <t>Ambitionen</t>
  </si>
  <si>
    <t>verbunden</t>
  </si>
  <si>
    <t>waren</t>
  </si>
  <si>
    <t># text = Die Bank hat sich seitdem distanziert, als sie vor acht Jahren fast kollabierte und gerettet werden musste.</t>
  </si>
  <si>
    <t>hat</t>
  </si>
  <si>
    <t>sich</t>
  </si>
  <si>
    <t>seitdem</t>
  </si>
  <si>
    <t>distanziert</t>
  </si>
  <si>
    <t>als</t>
  </si>
  <si>
    <t>sie</t>
  </si>
  <si>
    <t>pron</t>
  </si>
  <si>
    <t>vor</t>
  </si>
  <si>
    <t>acht</t>
  </si>
  <si>
    <t>Jahren</t>
  </si>
  <si>
    <t>indef-np.quant</t>
  </si>
  <si>
    <t>fast</t>
  </si>
  <si>
    <t>kollabierte</t>
  </si>
  <si>
    <t>und</t>
  </si>
  <si>
    <t>gerettet</t>
  </si>
  <si>
    <t>musste</t>
  </si>
  <si>
    <t>--</t>
  </si>
  <si>
    <t># text = In dieser Zeit haben Markenstrategen \"RBS\" dazu verwendet, andere Endverbraucherfinanzmarken zu schützen.</t>
  </si>
  <si>
    <t>In</t>
  </si>
  <si>
    <t>dieser</t>
  </si>
  <si>
    <t>pron.pds</t>
  </si>
  <si>
    <t>Zeit</t>
  </si>
  <si>
    <t>def-np.dem</t>
  </si>
  <si>
    <t>haben</t>
  </si>
  <si>
    <t>Markenstrategen</t>
  </si>
  <si>
    <t>&amp;quot;</t>
  </si>
  <si>
    <t>dazu</t>
  </si>
  <si>
    <t>pron.padv</t>
  </si>
  <si>
    <t>verwendet</t>
  </si>
  <si>
    <t>andere</t>
  </si>
  <si>
    <t>Endverbraucherfinanzmarken</t>
  </si>
  <si>
    <t>OBJ_2</t>
  </si>
  <si>
    <t>indef-np.bare</t>
  </si>
  <si>
    <t>zu</t>
  </si>
  <si>
    <t>schützen</t>
  </si>
  <si>
    <t># text = Sie unterstützte den internationalen Sport mit Millionen Pfund an Sponsoring, vom Six Nations Rugby bis hin zum Wimbledon Sieger Andy Murray.</t>
  </si>
  <si>
    <t>Sie</t>
  </si>
  <si>
    <t>pron.pper</t>
  </si>
  <si>
    <t>unterstützte</t>
  </si>
  <si>
    <t>internationalen</t>
  </si>
  <si>
    <t>Sport</t>
  </si>
  <si>
    <t>Millionen</t>
  </si>
  <si>
    <t>Pfund</t>
  </si>
  <si>
    <t>an</t>
  </si>
  <si>
    <t>Sponsoring</t>
  </si>
  <si>
    <t>von</t>
  </si>
  <si>
    <t>Six</t>
  </si>
  <si>
    <t>Nations</t>
  </si>
  <si>
    <t>Rugby</t>
  </si>
  <si>
    <t>bis</t>
  </si>
  <si>
    <t>hin</t>
  </si>
  <si>
    <t>pron.pind</t>
  </si>
  <si>
    <t>Wimbledon</t>
  </si>
  <si>
    <t>Sieger</t>
  </si>
  <si>
    <t>Andy</t>
  </si>
  <si>
    <t>Murray</t>
  </si>
  <si>
    <t># text = Aber jetzt hat sie sich dazu entschieden, mehr nationale Marken in den Fokus zu rücken.</t>
  </si>
  <si>
    <t>Aber</t>
  </si>
  <si>
    <t>jetzt</t>
  </si>
  <si>
    <t>nationale</t>
  </si>
  <si>
    <t>Marken</t>
  </si>
  <si>
    <t>in</t>
  </si>
  <si>
    <t>Fokus</t>
  </si>
  <si>
    <t>rücken</t>
  </si>
  <si>
    <t># text = Die Royal Bank of Scotland wird nur für Kunden in Schottland verfügbar sein, aber wird nicht initialisiert werden.</t>
  </si>
  <si>
    <t>nur</t>
  </si>
  <si>
    <t>Schottland</t>
  </si>
  <si>
    <t>aber</t>
  </si>
  <si>
    <t>initialisiert</t>
  </si>
  <si>
    <t># text = In England und Wales werden alle RSB Referenzen, der dezentrale Hauptsitz und die Börsennotierung zu NatWest wechseln.</t>
  </si>
  <si>
    <t>England</t>
  </si>
  <si>
    <t>Wales</t>
  </si>
  <si>
    <t>alle</t>
  </si>
  <si>
    <t>RSB</t>
  </si>
  <si>
    <t>Referenzen</t>
  </si>
  <si>
    <t>dezentrale</t>
  </si>
  <si>
    <t>Hauptsitz</t>
  </si>
  <si>
    <t>Börsennotierung</t>
  </si>
  <si>
    <t>NatWest</t>
  </si>
  <si>
    <t># text = Die Marke Ulster Bank wird bereits für Kunden in der Republik Irland und Nordirland verwendet.</t>
  </si>
  <si>
    <t>Ulster</t>
  </si>
  <si>
    <t>bereits</t>
  </si>
  <si>
    <t>Republik</t>
  </si>
  <si>
    <t>Irland</t>
  </si>
  <si>
    <t>Nordirland</t>
  </si>
  <si>
    <t># text = Es gibt andere, kleinere Marken für das Privatkundengeschäft, die mehr Bedeutung erhalten werden - Coutts, Adam &amp; Co, Drummond und Holt's Military Bank.</t>
  </si>
  <si>
    <t>Es</t>
  </si>
  <si>
    <t>gibt</t>
  </si>
  <si>
    <t>kleinere</t>
  </si>
  <si>
    <t>das</t>
  </si>
  <si>
    <t>Privatkundengeschäft</t>
  </si>
  <si>
    <t>SBJ_5</t>
  </si>
  <si>
    <t>Bedeutung</t>
  </si>
  <si>
    <t>OBJ_5</t>
  </si>
  <si>
    <t>erhalten</t>
  </si>
  <si>
    <t>Coutts</t>
  </si>
  <si>
    <t>Adam</t>
  </si>
  <si>
    <t>other_5</t>
  </si>
  <si>
    <t>&amp;amp;</t>
  </si>
  <si>
    <t>Co</t>
  </si>
  <si>
    <t>other_6</t>
  </si>
  <si>
    <t>Drummond</t>
  </si>
  <si>
    <t>Holt's</t>
  </si>
  <si>
    <t>Military</t>
  </si>
  <si>
    <t># text = McEwan wurde während einer Besichtigungstour von Kunden und Mitarbeitern in Inverness-shire interviewt.</t>
  </si>
  <si>
    <t>wurde</t>
  </si>
  <si>
    <t>während</t>
  </si>
  <si>
    <t>einer</t>
  </si>
  <si>
    <t>Besichtigungstour</t>
  </si>
  <si>
    <t>Mitarbeitern</t>
  </si>
  <si>
    <t>Inverness-shire</t>
  </si>
  <si>
    <t>interviewt</t>
  </si>
  <si>
    <t># text = Er teilte der BBC Scotland mit: \"Die Marke RSB wird zu unserer Investorenmarke sowie zu der Marke, unter der unsere Mitarbeiter beschäftigt sein werden, da wir jetzt mehr zu einer Bank von Marken werden.\"</t>
  </si>
  <si>
    <t>Er</t>
  </si>
  <si>
    <t>:</t>
  </si>
  <si>
    <t>unserer</t>
  </si>
  <si>
    <t>pron.ppos</t>
  </si>
  <si>
    <t>Investorenmarke</t>
  </si>
  <si>
    <t>sowie</t>
  </si>
  <si>
    <t>unter</t>
  </si>
  <si>
    <t>unsere</t>
  </si>
  <si>
    <t>Mitarbeiter</t>
  </si>
  <si>
    <t>beschäftigt</t>
  </si>
  <si>
    <t>da</t>
  </si>
  <si>
    <t>wir</t>
  </si>
  <si>
    <t>SBJ_3</t>
  </si>
  <si>
    <t>other_4</t>
  </si>
  <si>
    <t># text = Als die Bank selber zu einer globalen Marke wurde, wurde RBS zur globalen Marke.</t>
  </si>
  <si>
    <t>Als</t>
  </si>
  <si>
    <t>selber</t>
  </si>
  <si>
    <t># text = Ich sage jetzt, dass wir keine globalen Ziele, sondern lokale Ziele verfolgen.</t>
  </si>
  <si>
    <t>Ich</t>
  </si>
  <si>
    <t>sage</t>
  </si>
  <si>
    <t>keine</t>
  </si>
  <si>
    <t>Ziele</t>
  </si>
  <si>
    <t>sondern</t>
  </si>
  <si>
    <t>lokale</t>
  </si>
  <si>
    <t>verfolgen</t>
  </si>
  <si>
    <t># text = Jede dieser Marken wird in ihren eigenen Gemeinden für etwas vollkommen anderes stehen und unsere Mitarbeiter werden unter diesen Marken mit den Kunden arbeiten.</t>
  </si>
  <si>
    <t>Jede</t>
  </si>
  <si>
    <t>ihren</t>
  </si>
  <si>
    <t>eigenen</t>
  </si>
  <si>
    <t>Gemeinden</t>
  </si>
  <si>
    <t>indef-np</t>
  </si>
  <si>
    <t>etwas</t>
  </si>
  <si>
    <t>vollkommen</t>
  </si>
  <si>
    <t>anderes</t>
  </si>
  <si>
    <t>diesen</t>
  </si>
  <si>
    <t>arbeiten</t>
  </si>
  <si>
    <t># text = RBS hat bereits ausgesagt, dass es sein Six Nations Sponsoring nicht mehr fortführen wird und, dass es die Wahrnehmbarkeit der verschiedenen Marken in seinem Sport-Sponsoring erhöhen wird.</t>
  </si>
  <si>
    <t>ausgesagt</t>
  </si>
  <si>
    <t>es</t>
  </si>
  <si>
    <t>fortführen</t>
  </si>
  <si>
    <t>Wahrnehmbarkeit</t>
  </si>
  <si>
    <t>OBJ_3</t>
  </si>
  <si>
    <t>verschiedenen</t>
  </si>
  <si>
    <t>seinem</t>
  </si>
  <si>
    <t>erhöhen</t>
  </si>
  <si>
    <t># text = \"Es ist Zeit für uns, sich zur Bank der Marken zu entwickeln, denn wie konzentrieren wir uns im Inneren (wir haben gefragt) darauf, dies zu einer besseren Bank für Kunden zu machen?\" sagte der Vorstandschef.</t>
  </si>
  <si>
    <t>ist</t>
  </si>
  <si>
    <t>uns</t>
  </si>
  <si>
    <t>entwickeln</t>
  </si>
  <si>
    <t>denn</t>
  </si>
  <si>
    <t>wie</t>
  </si>
  <si>
    <t>konzentrieren</t>
  </si>
  <si>
    <t>Inneren</t>
  </si>
  <si>
    <t>(</t>
  </si>
  <si>
    <t>SBJ_6</t>
  </si>
  <si>
    <t>gefragt</t>
  </si>
  <si>
    <t>)</t>
  </si>
  <si>
    <t>darauf</t>
  </si>
  <si>
    <t>dies</t>
  </si>
  <si>
    <t>besseren</t>
  </si>
  <si>
    <t>machen</t>
  </si>
  <si>
    <t>?</t>
  </si>
  <si>
    <t>sagte</t>
  </si>
  <si>
    <t># text = Es wäre vor drei Jahren sehr zynisch gewesen, wenn wir gesagt hätten, dass wir für unsere Kunden eine tolle Bank sein werden und diese Marken lanciert hätten.</t>
  </si>
  <si>
    <t>wäre</t>
  </si>
  <si>
    <t>drei</t>
  </si>
  <si>
    <t>sehr</t>
  </si>
  <si>
    <t>zynisch</t>
  </si>
  <si>
    <t>gewesen</t>
  </si>
  <si>
    <t>wenn</t>
  </si>
  <si>
    <t>gesagt</t>
  </si>
  <si>
    <t>hätten</t>
  </si>
  <si>
    <t>tolle</t>
  </si>
  <si>
    <t>diese</t>
  </si>
  <si>
    <t>OBJ_4</t>
  </si>
  <si>
    <t>lanciert</t>
  </si>
  <si>
    <t># text = Aber mit unserer Arbeit, dem Fokus auf Kundenbedürfnisse und nicht unsere eigenen, denke ich, wird man viele Veränderungen sehen.</t>
  </si>
  <si>
    <t>Arbeit</t>
  </si>
  <si>
    <t>Kundenbedürfnisse</t>
  </si>
  <si>
    <t>denke</t>
  </si>
  <si>
    <t>ich</t>
  </si>
  <si>
    <t>man</t>
  </si>
  <si>
    <t>viele</t>
  </si>
  <si>
    <t>Veränderungen</t>
  </si>
  <si>
    <t>sehen</t>
  </si>
  <si>
    <t># text = Wir können diese Marken wieder lancieren, daher denke ich, dass die Zeit gekommen ist.</t>
  </si>
  <si>
    <t>Wir</t>
  </si>
  <si>
    <t>können</t>
  </si>
  <si>
    <t>wieder</t>
  </si>
  <si>
    <t>daher</t>
  </si>
  <si>
    <t>gekommen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</si>
</sst>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2"/>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18</v>
      </c>
      <c r="E3" s="8" t="s">
        <v>19</v>
      </c>
      <c r="F3" s="6" t="s">
        <v>20</v>
      </c>
      <c r="G3" s="9">
        <f>IF(A3=1,"_",IF(C3="_","???",C3))</f>
        <v/>
      </c>
      <c r="H3" s="10" t="s">
        <v>12</v>
      </c>
      <c r="I3" s="11" t="s">
        <v>12</v>
      </c>
      <c r="J3" s="12"/>
    </row>
    <row r="4" spans="1:10" ht="60" customHeight="1">
      <c r="A4" s="6" t="s">
        <v>21</v>
      </c>
      <c r="B4" s="6" t="s">
        <v>21</v>
      </c>
      <c r="C4" s="6" t="s">
        <v>12</v>
      </c>
      <c r="D4" s="7" t="s">
        <v>22</v>
      </c>
      <c r="E4" s="8" t="s">
        <v>23</v>
      </c>
      <c r="F4" s="6" t="s">
        <v>24</v>
      </c>
      <c r="G4" s="9">
        <f>IF(A4=1,"_",IF(C4="_","???",C4))</f>
        <v/>
      </c>
      <c r="H4" s="10" t="s">
        <v>12</v>
      </c>
      <c r="I4" s="11" t="s">
        <v>12</v>
      </c>
      <c r="J4" s="12"/>
    </row>
    <row r="5" spans="1:10" ht="60" customHeight="1">
      <c r="A5" s="6" t="s">
        <v>25</v>
      </c>
      <c r="B5" s="6" t="s">
        <v>26</v>
      </c>
      <c r="C5" s="6" t="s">
        <v>12</v>
      </c>
      <c r="D5" s="7" t="s">
        <v>27</v>
      </c>
      <c r="E5" s="8" t="s">
        <v>28</v>
      </c>
      <c r="F5" s="6" t="s">
        <v>29</v>
      </c>
      <c r="G5" s="9">
        <f>IF(A5=1,"_",IF(C5="_","???",C5))</f>
        <v/>
      </c>
      <c r="H5" s="10" t="s">
        <v>12</v>
      </c>
      <c r="I5" s="11" t="s">
        <v>12</v>
      </c>
      <c r="J5" s="12"/>
    </row>
    <row r="6" spans="1:10" ht="60" customHeight="1">
      <c r="A6" s="6" t="s">
        <v>30</v>
      </c>
      <c r="B6" s="6" t="s">
        <v>31</v>
      </c>
      <c r="C6" s="6" t="s">
        <v>32</v>
      </c>
      <c r="D6" s="7" t="s">
        <v>33</v>
      </c>
      <c r="E6" s="8" t="s">
        <v>34</v>
      </c>
      <c r="F6" s="6" t="s">
        <v>35</v>
      </c>
      <c r="G6" s="9">
        <f>IF(A6=1,"_",IF(C6="_","???",C6))</f>
        <v/>
      </c>
      <c r="H6" s="10" t="s">
        <v>12</v>
      </c>
      <c r="I6" s="11" t="s">
        <v>12</v>
      </c>
      <c r="J6" s="12"/>
    </row>
    <row r="7" spans="1:10" ht="60" customHeight="1">
      <c r="A7" s="6" t="s">
        <v>26</v>
      </c>
      <c r="B7" s="6" t="s">
        <v>16</v>
      </c>
      <c r="C7" s="6" t="s">
        <v>12</v>
      </c>
      <c r="D7" s="7" t="s">
        <v>36</v>
      </c>
      <c r="E7" s="8" t="s">
        <v>37</v>
      </c>
      <c r="F7" s="6" t="s">
        <v>38</v>
      </c>
      <c r="G7" s="9">
        <f>IF(A7=1,"_",IF(C7="_","???",C7))</f>
        <v/>
      </c>
      <c r="H7" s="10" t="s">
        <v>12</v>
      </c>
      <c r="I7" s="11" t="s">
        <v>12</v>
      </c>
      <c r="J7" s="12"/>
    </row>
    <row r="8" spans="1:10" ht="60" customHeight="1">
      <c r="A8" s="6" t="s">
        <v>39</v>
      </c>
      <c r="B8" s="6" t="s">
        <v>39</v>
      </c>
      <c r="C8" s="6" t="s">
        <v>12</v>
      </c>
      <c r="D8" s="7" t="s">
        <v>40</v>
      </c>
      <c r="E8" s="8" t="s">
        <v>41</v>
      </c>
      <c r="F8" s="6" t="s">
        <v>42</v>
      </c>
      <c r="G8" s="9">
        <f>IF(A8=1,"_",IF(C8="_","???",C8))</f>
        <v/>
      </c>
      <c r="H8" s="10" t="s">
        <v>12</v>
      </c>
      <c r="I8" s="11" t="s">
        <v>12</v>
      </c>
      <c r="J8" s="12"/>
    </row>
    <row r="9" spans="1:10" ht="60" customHeight="1">
      <c r="A9" s="6" t="s">
        <v>43</v>
      </c>
      <c r="B9" s="6" t="s">
        <v>44</v>
      </c>
      <c r="C9" s="6" t="s">
        <v>12</v>
      </c>
      <c r="D9" s="7" t="s">
        <v>18</v>
      </c>
      <c r="E9" s="8" t="s">
        <v>45</v>
      </c>
      <c r="F9" s="6" t="s">
        <v>46</v>
      </c>
      <c r="G9" s="9">
        <f>IF(A9=1,"_",IF(C9="_","???",C9))</f>
        <v/>
      </c>
      <c r="H9" s="10" t="s">
        <v>12</v>
      </c>
      <c r="I9" s="11" t="s">
        <v>12</v>
      </c>
      <c r="J9" s="12"/>
    </row>
    <row r="10" spans="1:10" ht="60" customHeight="1">
      <c r="A10" s="6" t="s">
        <v>47</v>
      </c>
      <c r="B10" s="6" t="s">
        <v>48</v>
      </c>
      <c r="C10" s="6" t="s">
        <v>12</v>
      </c>
      <c r="D10" s="7" t="s">
        <v>49</v>
      </c>
      <c r="E10" s="8" t="s">
        <v>50</v>
      </c>
      <c r="F10" s="6" t="s">
        <v>51</v>
      </c>
      <c r="G10" s="9">
        <f>IF(A10=1,"_",IF(C10="_","???",C10))</f>
        <v/>
      </c>
      <c r="H10" s="10" t="s">
        <v>12</v>
      </c>
      <c r="I10" s="11" t="s">
        <v>12</v>
      </c>
      <c r="J10" s="12"/>
    </row>
    <row r="11" spans="1:10" ht="60" customHeight="1">
      <c r="A11" s="6" t="s">
        <v>31</v>
      </c>
      <c r="B11" s="6" t="s">
        <v>52</v>
      </c>
      <c r="C11" s="6" t="s">
        <v>12</v>
      </c>
      <c r="D11" s="7" t="s">
        <v>33</v>
      </c>
      <c r="E11" s="8" t="s">
        <v>53</v>
      </c>
      <c r="F11" s="6" t="s">
        <v>54</v>
      </c>
      <c r="G11" s="9">
        <f>IF(A11=1,"_",IF(C11="_","???",C11))</f>
        <v/>
      </c>
      <c r="H11" s="10" t="s">
        <v>12</v>
      </c>
      <c r="I11" s="11" t="s">
        <v>12</v>
      </c>
      <c r="J11" s="12"/>
    </row>
    <row r="12" spans="1:10" ht="60" customHeight="1">
      <c r="A12" s="6" t="s">
        <v>11</v>
      </c>
      <c r="B12" s="6" t="s">
        <v>16</v>
      </c>
      <c r="C12" s="6" t="s">
        <v>12</v>
      </c>
      <c r="D12" s="7" t="s">
        <v>55</v>
      </c>
      <c r="E12" s="8" t="s">
        <v>56</v>
      </c>
      <c r="F12" s="6" t="s">
        <v>57</v>
      </c>
      <c r="G12" s="9">
        <f>IF(A12=1,"_",IF(C12="_","???",C12))</f>
        <v/>
      </c>
      <c r="H12" s="10" t="s">
        <v>12</v>
      </c>
      <c r="I12" s="11" t="s">
        <v>12</v>
      </c>
      <c r="J12" s="12"/>
    </row>
    <row r="13" spans="1:10" ht="60" customHeight="1">
      <c r="A13" s="6" t="s">
        <v>58</v>
      </c>
      <c r="B13" s="6" t="s">
        <v>58</v>
      </c>
      <c r="C13" s="6" t="s">
        <v>12</v>
      </c>
      <c r="D13" s="7" t="s">
        <v>59</v>
      </c>
      <c r="E13" s="8" t="s">
        <v>60</v>
      </c>
      <c r="F13" s="6" t="s">
        <v>61</v>
      </c>
      <c r="G13" s="9">
        <f>IF(A13=1,"_",IF(C13="_","???",C13))</f>
        <v/>
      </c>
      <c r="H13" s="10" t="s">
        <v>12</v>
      </c>
      <c r="I13" s="11" t="s">
        <v>12</v>
      </c>
      <c r="J13" s="12"/>
    </row>
    <row r="14" spans="1:10" ht="60" customHeight="1">
      <c r="A14" s="6" t="s">
        <v>44</v>
      </c>
      <c r="B14" s="6" t="s">
        <v>16</v>
      </c>
      <c r="C14" s="6" t="s">
        <v>12</v>
      </c>
      <c r="D14" s="7" t="s">
        <v>22</v>
      </c>
      <c r="E14" s="8" t="s">
        <v>62</v>
      </c>
      <c r="F14" s="6" t="s">
        <v>63</v>
      </c>
      <c r="G14" s="9">
        <f>IF(A14=1,"_",IF(C14="_","???",C14))</f>
        <v/>
      </c>
      <c r="H14" s="10" t="s">
        <v>12</v>
      </c>
      <c r="I14" s="11" t="s">
        <v>12</v>
      </c>
      <c r="J14" s="12"/>
    </row>
    <row r="15" spans="1:10" ht="60" customHeight="1">
      <c r="A15" s="6" t="s">
        <v>17</v>
      </c>
      <c r="B15" s="6" t="s">
        <v>11</v>
      </c>
      <c r="C15" s="6" t="s">
        <v>12</v>
      </c>
      <c r="D15" s="7" t="s">
        <v>64</v>
      </c>
      <c r="E15" s="8" t="s">
        <v>65</v>
      </c>
      <c r="F15" s="6" t="s">
        <v>66</v>
      </c>
      <c r="G15" s="9">
        <f>IF(A15=1,"_",IF(C15="_","???",C15))</f>
        <v/>
      </c>
      <c r="H15" s="10" t="s">
        <v>12</v>
      </c>
      <c r="I15" s="11" t="s">
        <v>12</v>
      </c>
      <c r="J15" s="12"/>
    </row>
    <row r="16" spans="1:10" ht="60" customHeight="1">
      <c r="A16" s="6" t="s">
        <v>52</v>
      </c>
      <c r="B16" s="6" t="s">
        <v>16</v>
      </c>
      <c r="C16" s="6" t="s">
        <v>12</v>
      </c>
      <c r="D16" s="7" t="s">
        <v>67</v>
      </c>
      <c r="E16" s="8" t="s">
        <v>68</v>
      </c>
      <c r="F16" s="6" t="s">
        <v>69</v>
      </c>
      <c r="G16" s="9">
        <f>IF(A16=1,"_",IF(C16="_","???",C16))</f>
        <v/>
      </c>
      <c r="H16" s="10" t="s">
        <v>12</v>
      </c>
      <c r="I16" s="11" t="s">
        <v>12</v>
      </c>
      <c r="J16" s="12"/>
    </row>
    <row r="17" spans="1:10" ht="60" customHeight="1">
      <c r="A17" s="6" t="s">
        <v>70</v>
      </c>
      <c r="B17" s="6" t="s">
        <v>44</v>
      </c>
      <c r="C17" s="6" t="s">
        <v>12</v>
      </c>
      <c r="D17" s="7" t="s">
        <v>71</v>
      </c>
      <c r="E17" s="8" t="s">
        <v>72</v>
      </c>
      <c r="F17" s="6" t="s">
        <v>73</v>
      </c>
      <c r="G17" s="9">
        <f>IF(A17=1,"_",IF(C17="_","???",C17))</f>
        <v/>
      </c>
      <c r="H17" s="10" t="s">
        <v>12</v>
      </c>
      <c r="I17" s="11" t="s">
        <v>12</v>
      </c>
      <c r="J17" s="12"/>
    </row>
    <row r="18" spans="1:10" ht="60" customHeight="1">
      <c r="A18" s="6" t="s">
        <v>74</v>
      </c>
      <c r="B18" s="6" t="s">
        <v>25</v>
      </c>
      <c r="C18" s="6" t="s">
        <v>12</v>
      </c>
      <c r="D18" s="7" t="s">
        <v>75</v>
      </c>
      <c r="E18" s="8" t="s">
        <v>76</v>
      </c>
      <c r="F18" s="6" t="s">
        <v>77</v>
      </c>
      <c r="G18" s="9">
        <f>IF(A18=1,"_",IF(C18="_","???",C18))</f>
        <v/>
      </c>
      <c r="H18" s="10" t="s">
        <v>12</v>
      </c>
      <c r="I18" s="11" t="s">
        <v>12</v>
      </c>
      <c r="J18" s="12"/>
    </row>
    <row r="19" spans="1:10" ht="60" customHeight="1">
      <c r="A19" s="6" t="s">
        <v>48</v>
      </c>
      <c r="B19" s="6" t="s">
        <v>78</v>
      </c>
      <c r="C19" s="6" t="s">
        <v>12</v>
      </c>
      <c r="D19" s="7" t="s">
        <v>67</v>
      </c>
      <c r="E19" s="8" t="s">
        <v>79</v>
      </c>
      <c r="F19" s="6" t="s">
        <v>80</v>
      </c>
      <c r="G19" s="9">
        <f>IF(A19=1,"_",IF(C19="_","???",C19))</f>
        <v/>
      </c>
      <c r="H19" s="10" t="s">
        <v>12</v>
      </c>
      <c r="I19" s="11" t="s">
        <v>12</v>
      </c>
      <c r="J19" s="12"/>
    </row>
    <row r="20" spans="1:10" ht="60" customHeight="1">
      <c r="A20" s="6" t="s">
        <v>81</v>
      </c>
      <c r="B20" s="6" t="s">
        <v>43</v>
      </c>
      <c r="C20" s="6" t="s">
        <v>12</v>
      </c>
      <c r="D20" s="7" t="s">
        <v>82</v>
      </c>
      <c r="E20" s="8" t="s">
        <v>83</v>
      </c>
      <c r="F20" s="6" t="s">
        <v>84</v>
      </c>
      <c r="G20" s="9">
        <f>IF(A20=1,"_",IF(C20="_","???",C20))</f>
        <v/>
      </c>
      <c r="H20" s="10" t="s">
        <v>12</v>
      </c>
      <c r="I20" s="11" t="s">
        <v>12</v>
      </c>
      <c r="J20" s="12"/>
    </row>
    <row r="21" spans="1:10" ht="60" customHeight="1">
      <c r="A21" s="6" t="s">
        <v>85</v>
      </c>
      <c r="B21" s="6" t="s">
        <v>52</v>
      </c>
      <c r="C21" s="6" t="s">
        <v>12</v>
      </c>
      <c r="D21" s="7" t="s">
        <v>86</v>
      </c>
      <c r="E21" s="8" t="s">
        <v>87</v>
      </c>
      <c r="F21" s="6" t="s">
        <v>88</v>
      </c>
      <c r="G21" s="9">
        <f>IF(A21=1,"_",IF(C21="_","???",C21))</f>
        <v/>
      </c>
      <c r="H21" s="10" t="s">
        <v>12</v>
      </c>
      <c r="I21" s="11" t="s">
        <v>12</v>
      </c>
      <c r="J21" s="12"/>
    </row>
    <row r="22" spans="1:10" ht="60" customHeight="1">
      <c r="A22" s="6" t="s">
        <v>89</v>
      </c>
      <c r="B22" s="6" t="s">
        <v>26</v>
      </c>
      <c r="C22" s="6" t="s">
        <v>12</v>
      </c>
      <c r="D22" s="7" t="s">
        <v>90</v>
      </c>
      <c r="E22" s="8" t="s">
        <v>91</v>
      </c>
      <c r="F22" s="6" t="s">
        <v>92</v>
      </c>
      <c r="G22" s="9">
        <f>IF(A22=1,"_",IF(C22="_","???",C22))</f>
        <v/>
      </c>
      <c r="H22" s="10" t="s">
        <v>12</v>
      </c>
      <c r="I22" s="11" t="s">
        <v>12</v>
      </c>
      <c r="J22"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529"/>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93</v>
      </c>
      <c r="B1" s="13" t="s">
        <v>94</v>
      </c>
      <c r="C1" s="13" t="s">
        <v>95</v>
      </c>
      <c r="D1" s="13" t="s">
        <v>96</v>
      </c>
      <c r="E1" s="14" t="s">
        <v>97</v>
      </c>
      <c r="F1" s="15" t="s">
        <v>98</v>
      </c>
      <c r="G1" s="16" t="s">
        <v>99</v>
      </c>
      <c r="H1" s="17" t="s">
        <v>100</v>
      </c>
      <c r="I1" s="18" t="s">
        <v>101</v>
      </c>
      <c r="J1" s="18" t="s">
        <v>102</v>
      </c>
      <c r="K1" s="18" t="s">
        <v>103</v>
      </c>
      <c r="L1" s="19" t="s">
        <v>9</v>
      </c>
    </row>
    <row r="2" spans="1:12">
      <c r="A2" s="20" t="s">
        <v>104</v>
      </c>
    </row>
    <row r="3" spans="1:12">
      <c r="A3" s="20" t="s">
        <v>105</v>
      </c>
      <c r="B3" s="21" t="s">
        <v>106</v>
      </c>
      <c r="C3" s="21" t="s">
        <v>107</v>
      </c>
      <c r="D3" s="21" t="s">
        <v>108</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109</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110</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111</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112</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113</v>
      </c>
      <c r="B8" s="21" t="s">
        <v>114</v>
      </c>
      <c r="C8" s="21" t="s">
        <v>115</v>
      </c>
      <c r="D8" s="21" t="s">
        <v>108</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116</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117</v>
      </c>
      <c r="B10" s="21" t="s">
        <v>118</v>
      </c>
      <c r="C10" s="21" t="s">
        <v>107</v>
      </c>
      <c r="D10" s="21" t="s">
        <v>108</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119</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120</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13</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121</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122</v>
      </c>
      <c r="B15" s="21" t="s">
        <v>123</v>
      </c>
      <c r="C15" s="21" t="s">
        <v>124</v>
      </c>
      <c r="D15" s="21" t="s">
        <v>108</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125</v>
      </c>
      <c r="B16" s="21" t="s">
        <v>118</v>
      </c>
      <c r="C16" s="21" t="s">
        <v>107</v>
      </c>
      <c r="D16" s="21" t="s">
        <v>108</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126</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127</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128</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129</v>
      </c>
      <c r="B20" s="21" t="s">
        <v>114</v>
      </c>
      <c r="C20" s="21" t="s">
        <v>124</v>
      </c>
      <c r="D20" s="21" t="s">
        <v>108</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130</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109</v>
      </c>
      <c r="B22" s="21" t="s">
        <v>118</v>
      </c>
      <c r="C22" s="21" t="s">
        <v>124</v>
      </c>
      <c r="D22" s="21" t="s">
        <v>108</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131</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132</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133</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134</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t="s">
        <v>12</v>
      </c>
      <c r="E27" s="22">
        <f>IF(D27="?OLD","!!!","")</f>
        <v/>
      </c>
      <c r="F27" s="23" t="str">
        <f>IF(OR(E27="",E27="!!!"),"",IF(NOT(ISNA(VLOOKUP(E27,E$1:E26,1,FALSE()))),"OLD",IF(AND(E27&lt;&gt;"",E27&lt;&gt;"!!!"),"NEW","")))</f>
        <v> </v>
      </c>
      <c r="G27" s="24" t="str">
        <f>IF(OR(E27="",E27="!!!"),"",IF(OR(J27=0,AND(J27=1,K27=1),AND(J27=1,I27="SBJ"),AND(J27=1,I27=0)),"?IN_FOCUS",IF(J27&lt;=2,"?ACTIVATED",IF(J27&lt;&gt;"","?FAMILIAR",IF(F27="NEW",IF(ISNA(VLOOKUP(E27,#REF!,1,FALSE())),"?TYPE_IDENTIFIABLE","?REFERENTIAL"),"_")))))</f>
        <v> </v>
      </c>
      <c r="H27" s="25" t="str">
        <f>IF(J27&lt;&gt;1,"",IF(I27="SBJ","CB","?"))</f>
        <v> </v>
      </c>
      <c r="I27" s="26" t="str">
        <f>IF(OR(E27="",E27="!!!",F27="NEW"),"",INDEX(B26:B$2,-1+SUMPRODUCT(MAX(ROW(E26:E$2)*(E27=E26:E$2)))))</f>
        <v> </v>
      </c>
      <c r="J27" s="26" t="str">
        <f>IF(OR(E27="",E27="!!!",F27="NEW"),"",COUNTBLANK(OFFSET(A$1,,,SUMPRODUCT(MAX(ROW(E$2:E27)*(E27=E$2:E27)))))-COUNTBLANK(OFFSET(A$1,,,SUMPRODUCT(MAX(ROW(E$1:E26)*(E2=E$1:E26))))))</f>
        <v> </v>
      </c>
      <c r="K27" s="26" t="str">
        <f>IF(OR(E27="",E27="!!!",F27="NEW"),"",INDEX(J$1:J26,SUMPRODUCT(MAX(ROW(E$1:E26)*(E27=E$1:E26)))))</f>
        <v> </v>
      </c>
      <c r="L27" s="27"/>
    </row>
    <row r="28" spans="1:12">
      <c r="A28" s="20" t="s">
        <v>135</v>
      </c>
      <c r="B28" s="21" t="s">
        <v>114</v>
      </c>
      <c r="C28" s="21" t="s">
        <v>136</v>
      </c>
      <c r="E28" s="22">
        <f>IF(D28="?OLD","!!!","")</f>
        <v/>
      </c>
      <c r="F28" s="23" t="str">
        <f>IF(OR(E28="",E28="!!!"),"",IF(NOT(ISNA(VLOOKUP(E28,E$1:E27,1,FALSE()))),"OLD",IF(AND(E28&lt;&gt;"",E28&lt;&gt;"!!!"),"NEW","")))</f>
        <v> </v>
      </c>
      <c r="G28" s="24" t="str">
        <f>IF(OR(E28="",E28="!!!"),"",IF(OR(J28=0,AND(J28=1,K28=1),AND(J28=1,I28="SBJ"),AND(J28=1,I28=0)),"?IN_FOCUS",IF(J28&lt;=2,"?ACTIVATED",IF(J28&lt;&gt;"","?FAMILIAR",IF(F28="NEW",IF(ISNA(VLOOKUP(E28,#REF!,1,FALSE())),"?TYPE_IDENTIFIABLE","?REFERENTIAL"),"_")))))</f>
        <v> </v>
      </c>
      <c r="H28" s="25" t="str">
        <f>IF(J28&lt;&gt;1,"",IF(I28="SBJ","CB","?"))</f>
        <v> </v>
      </c>
      <c r="I28" s="26" t="str">
        <f>IF(OR(E28="",E28="!!!",F28="NEW"),"",INDEX(B27:B$2,-1+SUMPRODUCT(MAX(ROW(E27:E$2)*(E28=E27:E$2)))))</f>
        <v> </v>
      </c>
      <c r="J28" s="26" t="str">
        <f>IF(OR(E28="",E28="!!!",F28="NEW"),"",COUNTBLANK(OFFSET(A$1,,,SUMPRODUCT(MAX(ROW(E$2:E28)*(E28=E$2:E28)))))-COUNTBLANK(OFFSET(A$1,,,SUMPRODUCT(MAX(ROW(E$1:E27)*(E2=E$1:E27))))))</f>
        <v> </v>
      </c>
      <c r="K28" s="26" t="str">
        <f>IF(OR(E28="",E28="!!!",F28="NEW"),"",INDEX(J$1:J27,SUMPRODUCT(MAX(ROW(E$1:E27)*(E28=E$1:E27)))))</f>
        <v> </v>
      </c>
      <c r="L28" s="27"/>
    </row>
    <row r="29" spans="1:12">
      <c r="A29" s="20" t="s">
        <v>137</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64</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138</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row>
    <row r="33" spans="1:12">
      <c r="A33" s="20" t="s">
        <v>139</v>
      </c>
    </row>
    <row r="34" spans="1:12">
      <c r="A34" s="20" t="s">
        <v>121</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105</v>
      </c>
      <c r="B35" s="21" t="s">
        <v>106</v>
      </c>
      <c r="C35" s="21" t="s">
        <v>107</v>
      </c>
      <c r="D35" s="21" t="s">
        <v>108</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109</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110</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111</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140</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112</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113</v>
      </c>
      <c r="B41" s="21" t="s">
        <v>141</v>
      </c>
      <c r="C41" s="21" t="s">
        <v>115</v>
      </c>
      <c r="D41" s="21" t="s">
        <v>108</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116</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117</v>
      </c>
      <c r="B43" s="21" t="s">
        <v>114</v>
      </c>
      <c r="C43" s="21" t="s">
        <v>107</v>
      </c>
      <c r="D43" s="21" t="s">
        <v>108</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119</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120</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13</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142</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138</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row>
    <row r="50" spans="1:12">
      <c r="A50" s="20" t="s">
        <v>143</v>
      </c>
    </row>
    <row r="51" spans="1:12">
      <c r="A51" s="20" t="s">
        <v>144</v>
      </c>
      <c r="B51" s="21" t="s">
        <v>106</v>
      </c>
      <c r="C51" s="21" t="s">
        <v>107</v>
      </c>
      <c r="D51" s="21" t="s">
        <v>108</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145</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146</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130</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147</v>
      </c>
      <c r="B55" s="21" t="s">
        <v>123</v>
      </c>
      <c r="C55" s="21" t="s">
        <v>107</v>
      </c>
      <c r="D55" s="21" t="s">
        <v>108</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111</v>
      </c>
      <c r="B56" s="21" t="s">
        <v>148</v>
      </c>
      <c r="C56" s="21" t="s">
        <v>107</v>
      </c>
      <c r="D56" s="21" t="s">
        <v>108</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149</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150</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151</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152</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122</v>
      </c>
      <c r="B61" s="21" t="s">
        <v>123</v>
      </c>
      <c r="C61" s="21" t="s">
        <v>124</v>
      </c>
      <c r="D61" s="21" t="s">
        <v>108</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125</v>
      </c>
      <c r="B62" s="21" t="s">
        <v>118</v>
      </c>
      <c r="C62" s="21" t="s">
        <v>107</v>
      </c>
      <c r="D62" s="21" t="s">
        <v>108</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149</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153</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154</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155</v>
      </c>
      <c r="B66" s="21" t="s">
        <v>114</v>
      </c>
      <c r="C66" s="21" t="s">
        <v>124</v>
      </c>
      <c r="D66" s="21" t="s">
        <v>108</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t="s">
        <v>130</v>
      </c>
      <c r="E67" s="22">
        <f>IF(D67="?OLD","!!!","")</f>
        <v/>
      </c>
      <c r="F67" s="23" t="str">
        <f>IF(OR(E67="",E67="!!!"),"",IF(NOT(ISNA(VLOOKUP(E67,E$1:E66,1,FALSE()))),"OLD",IF(AND(E67&lt;&gt;"",E67&lt;&gt;"!!!"),"NEW","")))</f>
        <v> </v>
      </c>
      <c r="G67" s="24" t="str">
        <f>IF(OR(E67="",E67="!!!"),"",IF(OR(J67=0,AND(J67=1,K67=1),AND(J67=1,I67="SBJ"),AND(J67=1,I67=0)),"?IN_FOCUS",IF(J67&lt;=2,"?ACTIVATED",IF(J67&lt;&gt;"","?FAMILIAR",IF(F67="NEW",IF(ISNA(VLOOKUP(E67,#REF!,1,FALSE())),"?TYPE_IDENTIFIABLE","?REFERENTIAL"),"_")))))</f>
        <v> </v>
      </c>
      <c r="H67" s="25" t="str">
        <f>IF(J67&lt;&gt;1,"",IF(I67="SBJ","CB","?"))</f>
        <v> </v>
      </c>
      <c r="I67" s="26" t="str">
        <f>IF(OR(E67="",E67="!!!",F67="NEW"),"",INDEX(B66:B$2,-1+SUMPRODUCT(MAX(ROW(E66:E$2)*(E67=E66:E$2)))))</f>
        <v> </v>
      </c>
      <c r="J67" s="26" t="str">
        <f>IF(OR(E67="",E67="!!!",F67="NEW"),"",COUNTBLANK(OFFSET(A$1,,,SUMPRODUCT(MAX(ROW(E$2:E67)*(E67=E$2:E67)))))-COUNTBLANK(OFFSET(A$1,,,SUMPRODUCT(MAX(ROW(E$1:E66)*(E2=E$1:E66))))))</f>
        <v> </v>
      </c>
      <c r="K67" s="26" t="str">
        <f>IF(OR(E67="",E67="!!!",F67="NEW"),"",INDEX(J$1:J66,SUMPRODUCT(MAX(ROW(E$1:E66)*(E67=E$1:E66)))))</f>
        <v> </v>
      </c>
      <c r="L67" s="27"/>
    </row>
    <row r="68" spans="1:12">
      <c r="A68" s="20" t="s">
        <v>109</v>
      </c>
      <c r="B68" s="21" t="s">
        <v>118</v>
      </c>
      <c r="C68" s="21" t="s">
        <v>124</v>
      </c>
      <c r="D68" s="21" t="s">
        <v>108</v>
      </c>
      <c r="E68" s="22">
        <f>IF(D68="?OLD","!!!","")</f>
        <v/>
      </c>
      <c r="F68" s="23" t="str">
        <f>IF(OR(E68="",E68="!!!"),"",IF(NOT(ISNA(VLOOKUP(E68,E$1:E67,1,FALSE()))),"OLD",IF(AND(E68&lt;&gt;"",E68&lt;&gt;"!!!"),"NEW","")))</f>
        <v> </v>
      </c>
      <c r="G68" s="24" t="str">
        <f>IF(OR(E68="",E68="!!!"),"",IF(OR(J68=0,AND(J68=1,K68=1),AND(J68=1,I68="SBJ"),AND(J68=1,I68=0)),"?IN_FOCUS",IF(J68&lt;=2,"?ACTIVATED",IF(J68&lt;&gt;"","?FAMILIAR",IF(F68="NEW",IF(ISNA(VLOOKUP(E68,#REF!,1,FALSE())),"?TYPE_IDENTIFIABLE","?REFERENTIAL"),"_")))))</f>
        <v> </v>
      </c>
      <c r="H68" s="25" t="str">
        <f>IF(J68&lt;&gt;1,"",IF(I68="SBJ","CB","?"))</f>
        <v> </v>
      </c>
      <c r="I68" s="26" t="str">
        <f>IF(OR(E68="",E68="!!!",F68="NEW"),"",INDEX(B67:B$2,-1+SUMPRODUCT(MAX(ROW(E67:E$2)*(E68=E67:E$2)))))</f>
        <v> </v>
      </c>
      <c r="J68" s="26" t="str">
        <f>IF(OR(E68="",E68="!!!",F68="NEW"),"",COUNTBLANK(OFFSET(A$1,,,SUMPRODUCT(MAX(ROW(E$2:E68)*(E68=E$2:E68)))))-COUNTBLANK(OFFSET(A$1,,,SUMPRODUCT(MAX(ROW(E$1:E67)*(E2=E$1:E67))))))</f>
        <v> </v>
      </c>
      <c r="K68" s="26" t="str">
        <f>IF(OR(E68="",E68="!!!",F68="NEW"),"",INDEX(J$1:J67,SUMPRODUCT(MAX(ROW(E$1:E67)*(E68=E$1:E67)))))</f>
        <v> </v>
      </c>
      <c r="L68" s="27"/>
    </row>
    <row r="69" spans="1:12">
      <c r="A69" s="20" t="s">
        <v>156</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157</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138</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row>
    <row r="73" spans="1:12">
      <c r="A73" s="20" t="s">
        <v>158</v>
      </c>
    </row>
    <row r="74" spans="1:12">
      <c r="A74" s="20" t="s">
        <v>121</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109</v>
      </c>
      <c r="B75" s="21" t="s">
        <v>106</v>
      </c>
      <c r="C75" s="21" t="s">
        <v>124</v>
      </c>
      <c r="D75" s="21" t="s">
        <v>108</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159</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160</v>
      </c>
      <c r="B77" s="21" t="s">
        <v>148</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161</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162</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150</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163</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164</v>
      </c>
      <c r="B82" s="21" t="s">
        <v>123</v>
      </c>
      <c r="C82" s="21" t="s">
        <v>165</v>
      </c>
      <c r="D82" s="21" t="s">
        <v>108</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166</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167</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168</v>
      </c>
      <c r="B85" s="21" t="s">
        <v>114</v>
      </c>
      <c r="C85" s="21" t="s">
        <v>169</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170</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171</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t="s">
        <v>172</v>
      </c>
      <c r="E88" s="22">
        <f>IF(D88="?OLD","!!!","")</f>
        <v/>
      </c>
      <c r="F88" s="23" t="str">
        <f>IF(OR(E88="",E88="!!!"),"",IF(NOT(ISNA(VLOOKUP(E88,E$1:E87,1,FALSE()))),"OLD",IF(AND(E88&lt;&gt;"",E88&lt;&gt;"!!!"),"NEW","")))</f>
        <v> </v>
      </c>
      <c r="G88" s="24" t="str">
        <f>IF(OR(E88="",E88="!!!"),"",IF(OR(J88=0,AND(J88=1,K88=1),AND(J88=1,I88="SBJ"),AND(J88=1,I88=0)),"?IN_FOCUS",IF(J88&lt;=2,"?ACTIVATED",IF(J88&lt;&gt;"","?FAMILIAR",IF(F88="NEW",IF(ISNA(VLOOKUP(E88,#REF!,1,FALSE())),"?TYPE_IDENTIFIABLE","?REFERENTIAL"),"_")))))</f>
        <v> </v>
      </c>
      <c r="H88" s="25" t="str">
        <f>IF(J88&lt;&gt;1,"",IF(I88="SBJ","CB","?"))</f>
        <v> </v>
      </c>
      <c r="I88" s="26" t="str">
        <f>IF(OR(E88="",E88="!!!",F88="NEW"),"",INDEX(B87:B$2,-1+SUMPRODUCT(MAX(ROW(E87:E$2)*(E88=E87:E$2)))))</f>
        <v> </v>
      </c>
      <c r="J88" s="26" t="str">
        <f>IF(OR(E88="",E88="!!!",F88="NEW"),"",COUNTBLANK(OFFSET(A$1,,,SUMPRODUCT(MAX(ROW(E$2:E88)*(E88=E$2:E88)))))-COUNTBLANK(OFFSET(A$1,,,SUMPRODUCT(MAX(ROW(E$1:E87)*(E2=E$1:E87))))))</f>
        <v> </v>
      </c>
      <c r="K88" s="26" t="str">
        <f>IF(OR(E88="",E88="!!!",F88="NEW"),"",INDEX(J$1:J87,SUMPRODUCT(MAX(ROW(E$1:E87)*(E88=E$1:E87)))))</f>
        <v> </v>
      </c>
      <c r="L88" s="27"/>
    </row>
    <row r="89" spans="1:12">
      <c r="A89" s="20" t="s">
        <v>173</v>
      </c>
      <c r="E89" s="22">
        <f>IF(D89="?OLD","!!!","")</f>
        <v/>
      </c>
      <c r="F89" s="23" t="str">
        <f>IF(OR(E89="",E89="!!!"),"",IF(NOT(ISNA(VLOOKUP(E89,E$1:E88,1,FALSE()))),"OLD",IF(AND(E89&lt;&gt;"",E89&lt;&gt;"!!!"),"NEW","")))</f>
        <v> </v>
      </c>
      <c r="G89" s="24" t="str">
        <f>IF(OR(E89="",E89="!!!"),"",IF(OR(J89=0,AND(J89=1,K89=1),AND(J89=1,I89="SBJ"),AND(J89=1,I89=0)),"?IN_FOCUS",IF(J89&lt;=2,"?ACTIVATED",IF(J89&lt;&gt;"","?FAMILIAR",IF(F89="NEW",IF(ISNA(VLOOKUP(E89,#REF!,1,FALSE())),"?TYPE_IDENTIFIABLE","?REFERENTIAL"),"_")))))</f>
        <v> </v>
      </c>
      <c r="H89" s="25" t="str">
        <f>IF(J89&lt;&gt;1,"",IF(I89="SBJ","CB","?"))</f>
        <v> </v>
      </c>
      <c r="I89" s="26" t="str">
        <f>IF(OR(E89="",E89="!!!",F89="NEW"),"",INDEX(B88:B$2,-1+SUMPRODUCT(MAX(ROW(E88:E$2)*(E89=E88:E$2)))))</f>
        <v> </v>
      </c>
      <c r="J89" s="26" t="str">
        <f>IF(OR(E89="",E89="!!!",F89="NEW"),"",COUNTBLANK(OFFSET(A$1,,,SUMPRODUCT(MAX(ROW(E$2:E89)*(E89=E$2:E89)))))-COUNTBLANK(OFFSET(A$1,,,SUMPRODUCT(MAX(ROW(E$1:E88)*(E2=E$1:E88))))))</f>
        <v> </v>
      </c>
      <c r="K89" s="26" t="str">
        <f>IF(OR(E89="",E89="!!!",F89="NEW"),"",INDEX(J$1:J88,SUMPRODUCT(MAX(ROW(E$1:E88)*(E89=E$1:E88)))))</f>
        <v> </v>
      </c>
      <c r="L89" s="27"/>
    </row>
    <row r="90" spans="1:12">
      <c r="A90" s="20" t="s">
        <v>64</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174</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138</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row>
    <row r="94" spans="1:12">
      <c r="A94" s="20" t="s">
        <v>175</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176</v>
      </c>
    </row>
    <row r="96" spans="1:12">
      <c r="A96" s="20" t="s">
        <v>177</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178</v>
      </c>
      <c r="B97" s="21" t="s">
        <v>114</v>
      </c>
      <c r="C97" s="21" t="s">
        <v>179</v>
      </c>
      <c r="D97" s="21" t="s">
        <v>108</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180</v>
      </c>
      <c r="B98" s="21" t="s">
        <v>141</v>
      </c>
      <c r="C98" s="21" t="s">
        <v>181</v>
      </c>
      <c r="D98" s="21" t="s">
        <v>108</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182</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183</v>
      </c>
      <c r="B100" s="21" t="s">
        <v>106</v>
      </c>
      <c r="C100" s="21" t="s">
        <v>107</v>
      </c>
      <c r="D100" s="21" t="s">
        <v>108</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184</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125</v>
      </c>
      <c r="B102" s="21" t="s">
        <v>114</v>
      </c>
      <c r="C102" s="21" t="s">
        <v>107</v>
      </c>
      <c r="D102" s="21" t="s">
        <v>108</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184</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185</v>
      </c>
      <c r="B104" s="21" t="s">
        <v>141</v>
      </c>
      <c r="C104" s="21" t="s">
        <v>186</v>
      </c>
      <c r="D104" s="21" t="s">
        <v>108</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187</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150</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188</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189</v>
      </c>
      <c r="B108" s="21" t="s">
        <v>190</v>
      </c>
      <c r="C108" s="21" t="s">
        <v>191</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192</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t="s">
        <v>193</v>
      </c>
      <c r="E110" s="22">
        <f>IF(D110="?OLD","!!!","")</f>
        <v/>
      </c>
      <c r="F110" s="23" t="str">
        <f>IF(OR(E110="",E110="!!!"),"",IF(NOT(ISNA(VLOOKUP(E110,E$1:E109,1,FALSE()))),"OLD",IF(AND(E110&lt;&gt;"",E110&lt;&gt;"!!!"),"NEW","")))</f>
        <v> </v>
      </c>
      <c r="G110" s="24" t="str">
        <f>IF(OR(E110="",E110="!!!"),"",IF(OR(J110=0,AND(J110=1,K110=1),AND(J110=1,I110="SBJ"),AND(J110=1,I110=0)),"?IN_FOCUS",IF(J110&lt;=2,"?ACTIVATED",IF(J110&lt;&gt;"","?FAMILIAR",IF(F110="NEW",IF(ISNA(VLOOKUP(E110,#REF!,1,FALSE())),"?TYPE_IDENTIFIABLE","?REFERENTIAL"),"_")))))</f>
        <v> </v>
      </c>
      <c r="H110" s="25" t="str">
        <f>IF(J110&lt;&gt;1,"",IF(I110="SBJ","CB","?"))</f>
        <v> </v>
      </c>
      <c r="I110" s="26" t="str">
        <f>IF(OR(E110="",E110="!!!",F110="NEW"),"",INDEX(B109:B$2,-1+SUMPRODUCT(MAX(ROW(E109:E$2)*(E110=E109:E$2)))))</f>
        <v> </v>
      </c>
      <c r="J110" s="26" t="str">
        <f>IF(OR(E110="",E110="!!!",F110="NEW"),"",COUNTBLANK(OFFSET(A$1,,,SUMPRODUCT(MAX(ROW(E$2:E110)*(E110=E$2:E110)))))-COUNTBLANK(OFFSET(A$1,,,SUMPRODUCT(MAX(ROW(E$1:E109)*(E2=E$1:E109))))))</f>
        <v> </v>
      </c>
      <c r="K110" s="26" t="str">
        <f>IF(OR(E110="",E110="!!!",F110="NEW"),"",INDEX(J$1:J109,SUMPRODUCT(MAX(ROW(E$1:E109)*(E110=E$1:E109)))))</f>
        <v> </v>
      </c>
      <c r="L110" s="27"/>
    </row>
    <row r="111" spans="1:12">
      <c r="A111" s="20" t="s">
        <v>138</v>
      </c>
      <c r="E111" s="22">
        <f>IF(D111="?OLD","!!!","")</f>
        <v/>
      </c>
      <c r="F111" s="23" t="str">
        <f>IF(OR(E111="",E111="!!!"),"",IF(NOT(ISNA(VLOOKUP(E111,E$1:E110,1,FALSE()))),"OLD",IF(AND(E111&lt;&gt;"",E111&lt;&gt;"!!!"),"NEW","")))</f>
        <v> </v>
      </c>
      <c r="G111" s="24" t="str">
        <f>IF(OR(E111="",E111="!!!"),"",IF(OR(J111=0,AND(J111=1,K111=1),AND(J111=1,I111="SBJ"),AND(J111=1,I111=0)),"?IN_FOCUS",IF(J111&lt;=2,"?ACTIVATED",IF(J111&lt;&gt;"","?FAMILIAR",IF(F111="NEW",IF(ISNA(VLOOKUP(E111,#REF!,1,FALSE())),"?TYPE_IDENTIFIABLE","?REFERENTIAL"),"_")))))</f>
        <v> </v>
      </c>
      <c r="H111" s="25" t="str">
        <f>IF(J111&lt;&gt;1,"",IF(I111="SBJ","CB","?"))</f>
        <v> </v>
      </c>
      <c r="I111" s="26" t="str">
        <f>IF(OR(E111="",E111="!!!",F111="NEW"),"",INDEX(B110:B$2,-1+SUMPRODUCT(MAX(ROW(E110:E$2)*(E111=E110:E$2)))))</f>
        <v> </v>
      </c>
      <c r="J111" s="26" t="str">
        <f>IF(OR(E111="",E111="!!!",F111="NEW"),"",COUNTBLANK(OFFSET(A$1,,,SUMPRODUCT(MAX(ROW(E$2:E111)*(E111=E$2:E111)))))-COUNTBLANK(OFFSET(A$1,,,SUMPRODUCT(MAX(ROW(E$1:E110)*(E2=E$1:E110))))))</f>
        <v> </v>
      </c>
      <c r="K111" s="26" t="str">
        <f>IF(OR(E111="",E111="!!!",F111="NEW"),"",INDEX(J$1:J110,SUMPRODUCT(MAX(ROW(E$1:E110)*(E111=E$1:E110)))))</f>
        <v> </v>
      </c>
      <c r="L111" s="27"/>
    </row>
    <row r="112" spans="1:12">
      <c r="A112" s="20"/>
    </row>
    <row r="113" spans="1:12">
      <c r="A113" s="20" t="s">
        <v>194</v>
      </c>
    </row>
    <row r="114" spans="1:12">
      <c r="A114" s="20" t="s">
        <v>195</v>
      </c>
      <c r="B114" s="21" t="s">
        <v>106</v>
      </c>
      <c r="C114" s="21" t="s">
        <v>196</v>
      </c>
      <c r="D114" s="21" t="s">
        <v>108</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197</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153</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198</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199</v>
      </c>
      <c r="B118" s="21" t="s">
        <v>148</v>
      </c>
      <c r="C118" s="21" t="s">
        <v>124</v>
      </c>
      <c r="D118" s="21" t="s">
        <v>108</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149</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200</v>
      </c>
      <c r="B120" s="21" t="s">
        <v>118</v>
      </c>
      <c r="C120" s="21" t="s">
        <v>191</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201</v>
      </c>
      <c r="B121" s="21" t="s">
        <v>114</v>
      </c>
      <c r="C121" s="21" t="s">
        <v>107</v>
      </c>
      <c r="D121" s="21" t="s">
        <v>108</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202</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203</v>
      </c>
      <c r="B123" s="21" t="s">
        <v>141</v>
      </c>
      <c r="C123" s="21" t="s">
        <v>107</v>
      </c>
      <c r="D123" s="21" t="s">
        <v>108</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150</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204</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128</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205</v>
      </c>
      <c r="B127" s="21" t="s">
        <v>141</v>
      </c>
      <c r="C127" s="21" t="s">
        <v>107</v>
      </c>
      <c r="D127" s="21" t="s">
        <v>108</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206</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207</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208</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t="s">
        <v>209</v>
      </c>
      <c r="E131" s="22">
        <f>IF(D131="?OLD","!!!","")</f>
        <v/>
      </c>
      <c r="F131" s="23" t="str">
        <f>IF(OR(E131="",E131="!!!"),"",IF(NOT(ISNA(VLOOKUP(E131,E$1:E130,1,FALSE()))),"OLD",IF(AND(E131&lt;&gt;"",E131&lt;&gt;"!!!"),"NEW","")))</f>
        <v> </v>
      </c>
      <c r="G131" s="24" t="str">
        <f>IF(OR(E131="",E131="!!!"),"",IF(OR(J131=0,AND(J131=1,K131=1),AND(J131=1,I131="SBJ"),AND(J131=1,I131=0)),"?IN_FOCUS",IF(J131&lt;=2,"?ACTIVATED",IF(J131&lt;&gt;"","?FAMILIAR",IF(F131="NEW",IF(ISNA(VLOOKUP(E131,#REF!,1,FALSE())),"?TYPE_IDENTIFIABLE","?REFERENTIAL"),"_")))))</f>
        <v> </v>
      </c>
      <c r="H131" s="25" t="str">
        <f>IF(J131&lt;&gt;1,"",IF(I131="SBJ","CB","?"))</f>
        <v> </v>
      </c>
      <c r="I131" s="26" t="str">
        <f>IF(OR(E131="",E131="!!!",F131="NEW"),"",INDEX(B130:B$2,-1+SUMPRODUCT(MAX(ROW(E130:E$2)*(E131=E130:E$2)))))</f>
        <v> </v>
      </c>
      <c r="J131" s="26" t="str">
        <f>IF(OR(E131="",E131="!!!",F131="NEW"),"",COUNTBLANK(OFFSET(A$1,,,SUMPRODUCT(MAX(ROW(E$2:E131)*(E131=E$2:E131)))))-COUNTBLANK(OFFSET(A$1,,,SUMPRODUCT(MAX(ROW(E$1:E130)*(E2=E$1:E130))))))</f>
        <v> </v>
      </c>
      <c r="K131" s="26" t="str">
        <f>IF(OR(E131="",E131="!!!",F131="NEW"),"",INDEX(J$1:J130,SUMPRODUCT(MAX(ROW(E$1:E130)*(E131=E$1:E130)))))</f>
        <v> </v>
      </c>
      <c r="L131" s="27"/>
    </row>
    <row r="132" spans="1:12">
      <c r="A132" s="20" t="s">
        <v>192</v>
      </c>
      <c r="B132" s="21" t="s">
        <v>114</v>
      </c>
      <c r="C132" s="21" t="s">
        <v>210</v>
      </c>
      <c r="E132" s="22">
        <f>IF(D132="?OLD","!!!","")</f>
        <v/>
      </c>
      <c r="F132" s="23" t="str">
        <f>IF(OR(E132="",E132="!!!"),"",IF(NOT(ISNA(VLOOKUP(E132,E$1:E131,1,FALSE()))),"OLD",IF(AND(E132&lt;&gt;"",E132&lt;&gt;"!!!"),"NEW","")))</f>
        <v> </v>
      </c>
      <c r="G132" s="24" t="str">
        <f>IF(OR(E132="",E132="!!!"),"",IF(OR(J132=0,AND(J132=1,K132=1),AND(J132=1,I132="SBJ"),AND(J132=1,I132=0)),"?IN_FOCUS",IF(J132&lt;=2,"?ACTIVATED",IF(J132&lt;&gt;"","?FAMILIAR",IF(F132="NEW",IF(ISNA(VLOOKUP(E132,#REF!,1,FALSE())),"?TYPE_IDENTIFIABLE","?REFERENTIAL"),"_")))))</f>
        <v> </v>
      </c>
      <c r="H132" s="25" t="str">
        <f>IF(J132&lt;&gt;1,"",IF(I132="SBJ","CB","?"))</f>
        <v> </v>
      </c>
      <c r="I132" s="26" t="str">
        <f>IF(OR(E132="",E132="!!!",F132="NEW"),"",INDEX(B131:B$2,-1+SUMPRODUCT(MAX(ROW(E131:E$2)*(E132=E131:E$2)))))</f>
        <v> </v>
      </c>
      <c r="J132" s="26" t="str">
        <f>IF(OR(E132="",E132="!!!",F132="NEW"),"",COUNTBLANK(OFFSET(A$1,,,SUMPRODUCT(MAX(ROW(E$2:E132)*(E132=E$2:E132)))))-COUNTBLANK(OFFSET(A$1,,,SUMPRODUCT(MAX(ROW(E$1:E131)*(E2=E$1:E131))))))</f>
        <v> </v>
      </c>
      <c r="K132" s="26" t="str">
        <f>IF(OR(E132="",E132="!!!",F132="NEW"),"",INDEX(J$1:J131,SUMPRODUCT(MAX(ROW(E$1:E131)*(E132=E$1:E131)))))</f>
        <v> </v>
      </c>
      <c r="L132" s="27"/>
    </row>
    <row r="133" spans="1:12">
      <c r="A133" s="20" t="s">
        <v>128</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211</v>
      </c>
      <c r="B134" s="21" t="s">
        <v>141</v>
      </c>
      <c r="C134" s="21" t="s">
        <v>107</v>
      </c>
      <c r="D134" s="21" t="s">
        <v>108</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212</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213</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214</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138</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row>
    <row r="140" spans="1:12">
      <c r="A140" s="20" t="s">
        <v>215</v>
      </c>
    </row>
    <row r="141" spans="1:12">
      <c r="A141" s="20" t="s">
        <v>216</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217</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159</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164</v>
      </c>
      <c r="B144" s="21" t="s">
        <v>106</v>
      </c>
      <c r="C144" s="21" t="s">
        <v>165</v>
      </c>
      <c r="D144" s="21" t="s">
        <v>108</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160</v>
      </c>
      <c r="B145" s="21" t="s">
        <v>148</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185</v>
      </c>
      <c r="B146" s="21" t="s">
        <v>141</v>
      </c>
      <c r="C146" s="21" t="s">
        <v>186</v>
      </c>
      <c r="D146" s="21" t="s">
        <v>108</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40</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150</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120</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218</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219</v>
      </c>
      <c r="B151" s="21" t="s">
        <v>190</v>
      </c>
      <c r="C151" s="21" t="s">
        <v>191</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220</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153</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221</v>
      </c>
      <c r="B154" s="21" t="s">
        <v>114</v>
      </c>
      <c r="C154" s="21" t="s">
        <v>124</v>
      </c>
      <c r="D154" s="21" t="s">
        <v>108</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192</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222</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138</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row>
    <row r="159" spans="1:12">
      <c r="A159" s="20" t="s">
        <v>223</v>
      </c>
    </row>
    <row r="160" spans="1:12">
      <c r="A160" s="20" t="s">
        <v>121</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105</v>
      </c>
      <c r="B161" s="21" t="s">
        <v>106</v>
      </c>
      <c r="C161" s="21" t="s">
        <v>107</v>
      </c>
      <c r="D161" s="21" t="s">
        <v>108</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109</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110</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111</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140</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224</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112</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113</v>
      </c>
      <c r="B168" s="21" t="s">
        <v>141</v>
      </c>
      <c r="C168" s="21" t="s">
        <v>191</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220</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225</v>
      </c>
      <c r="B170" s="21" t="s">
        <v>114</v>
      </c>
      <c r="C170" s="21" t="s">
        <v>107</v>
      </c>
      <c r="D170" s="21" t="s">
        <v>108</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13</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142</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150</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226</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140</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119</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227</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64</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t="s">
        <v>138</v>
      </c>
      <c r="E179" s="22">
        <f>IF(D179="?OLD","!!!","")</f>
        <v/>
      </c>
      <c r="F179" s="23" t="str">
        <f>IF(OR(E179="",E179="!!!"),"",IF(NOT(ISNA(VLOOKUP(E179,E$1:E178,1,FALSE()))),"OLD",IF(AND(E179&lt;&gt;"",E179&lt;&gt;"!!!"),"NEW","")))</f>
        <v> </v>
      </c>
      <c r="G179" s="24" t="str">
        <f>IF(OR(E179="",E179="!!!"),"",IF(OR(J179=0,AND(J179=1,K179=1),AND(J179=1,I179="SBJ"),AND(J179=1,I179=0)),"?IN_FOCUS",IF(J179&lt;=2,"?ACTIVATED",IF(J179&lt;&gt;"","?FAMILIAR",IF(F179="NEW",IF(ISNA(VLOOKUP(E179,#REF!,1,FALSE())),"?TYPE_IDENTIFIABLE","?REFERENTIAL"),"_")))))</f>
        <v> </v>
      </c>
      <c r="H179" s="25" t="str">
        <f>IF(J179&lt;&gt;1,"",IF(I179="SBJ","CB","?"))</f>
        <v> </v>
      </c>
      <c r="I179" s="26" t="str">
        <f>IF(OR(E179="",E179="!!!",F179="NEW"),"",INDEX(B178:B$2,-1+SUMPRODUCT(MAX(ROW(E178:E$2)*(E179=E178:E$2)))))</f>
        <v> </v>
      </c>
      <c r="J179" s="26" t="str">
        <f>IF(OR(E179="",E179="!!!",F179="NEW"),"",COUNTBLANK(OFFSET(A$1,,,SUMPRODUCT(MAX(ROW(E$2:E179)*(E179=E$2:E179)))))-COUNTBLANK(OFFSET(A$1,,,SUMPRODUCT(MAX(ROW(E$1:E178)*(E2=E$1:E178))))))</f>
        <v> </v>
      </c>
      <c r="K179" s="26" t="str">
        <f>IF(OR(E179="",E179="!!!",F179="NEW"),"",INDEX(J$1:J178,SUMPRODUCT(MAX(ROW(E$1:E178)*(E179=E$1:E178)))))</f>
        <v> </v>
      </c>
      <c r="L179" s="27"/>
    </row>
    <row r="180" spans="1:12">
      <c r="A180" s="20"/>
    </row>
    <row r="181" spans="1:12">
      <c r="A181" s="20" t="s">
        <v>228</v>
      </c>
    </row>
    <row r="182" spans="1:12">
      <c r="A182" s="20" t="s">
        <v>177</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229</v>
      </c>
      <c r="B183" s="21" t="s">
        <v>141</v>
      </c>
      <c r="C183" s="21" t="s">
        <v>107</v>
      </c>
      <c r="D183" s="21" t="s">
        <v>108</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172</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230</v>
      </c>
      <c r="B185" s="21" t="s">
        <v>114</v>
      </c>
      <c r="C185" s="21" t="s">
        <v>107</v>
      </c>
      <c r="D185" s="21" t="s">
        <v>108</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64</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231</v>
      </c>
      <c r="B187" s="21" t="s">
        <v>114</v>
      </c>
      <c r="C187" s="21" t="s">
        <v>210</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232</v>
      </c>
      <c r="B188" s="21" t="s">
        <v>148</v>
      </c>
      <c r="C188" s="21" t="s">
        <v>107</v>
      </c>
      <c r="D188" s="21" t="s">
        <v>108</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233</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150</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130</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234</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235</v>
      </c>
      <c r="B193" s="21" t="s">
        <v>114</v>
      </c>
      <c r="C193" s="21" t="s">
        <v>124</v>
      </c>
      <c r="D193" s="21" t="s">
        <v>108</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172</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152</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236</v>
      </c>
      <c r="B196" s="21" t="s">
        <v>114</v>
      </c>
      <c r="C196" s="21" t="s">
        <v>124</v>
      </c>
      <c r="D196" s="21" t="s">
        <v>108</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192</v>
      </c>
      <c r="B197" s="21" t="s">
        <v>114</v>
      </c>
      <c r="C197" s="21" t="s">
        <v>210</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237</v>
      </c>
      <c r="B198" s="21" t="s">
        <v>141</v>
      </c>
      <c r="C198" s="21" t="s">
        <v>107</v>
      </c>
      <c r="D198" s="21" t="s">
        <v>108</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49</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138</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row>
    <row r="202" spans="1:12">
      <c r="A202" s="20" t="s">
        <v>238</v>
      </c>
    </row>
    <row r="203" spans="1:12">
      <c r="A203" s="20" t="s">
        <v>121</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122</v>
      </c>
      <c r="B204" s="21" t="s">
        <v>106</v>
      </c>
      <c r="C204" s="21" t="s">
        <v>124</v>
      </c>
      <c r="D204" s="21" t="s">
        <v>108</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t="s">
        <v>239</v>
      </c>
      <c r="B205" s="21" t="s">
        <v>114</v>
      </c>
      <c r="C205" s="21" t="s">
        <v>107</v>
      </c>
      <c r="D205" s="21" t="s">
        <v>108</v>
      </c>
      <c r="E205" s="22">
        <f>IF(D205="?OLD","!!!","")</f>
        <v/>
      </c>
      <c r="F205" s="23" t="str">
        <f>IF(OR(E205="",E205="!!!"),"",IF(NOT(ISNA(VLOOKUP(E205,E$1:E204,1,FALSE()))),"OLD",IF(AND(E205&lt;&gt;"",E205&lt;&gt;"!!!"),"NEW","")))</f>
        <v> </v>
      </c>
      <c r="G205" s="24" t="str">
        <f>IF(OR(E205="",E205="!!!"),"",IF(OR(J205=0,AND(J205=1,K205=1),AND(J205=1,I205="SBJ"),AND(J205=1,I205=0)),"?IN_FOCUS",IF(J205&lt;=2,"?ACTIVATED",IF(J205&lt;&gt;"","?FAMILIAR",IF(F205="NEW",IF(ISNA(VLOOKUP(E205,#REF!,1,FALSE())),"?TYPE_IDENTIFIABLE","?REFERENTIAL"),"_")))))</f>
        <v> </v>
      </c>
      <c r="H205" s="25" t="str">
        <f>IF(J205&lt;&gt;1,"",IF(I205="SBJ","CB","?"))</f>
        <v> </v>
      </c>
      <c r="I205" s="26" t="str">
        <f>IF(OR(E205="",E205="!!!",F205="NEW"),"",INDEX(B204:B$2,-1+SUMPRODUCT(MAX(ROW(E204:E$2)*(E205=E204:E$2)))))</f>
        <v> </v>
      </c>
      <c r="J205" s="26" t="str">
        <f>IF(OR(E205="",E205="!!!",F205="NEW"),"",COUNTBLANK(OFFSET(A$1,,,SUMPRODUCT(MAX(ROW(E$2:E205)*(E205=E$2:E205)))))-COUNTBLANK(OFFSET(A$1,,,SUMPRODUCT(MAX(ROW(E$1:E204)*(E2=E$1:E204))))))</f>
        <v> </v>
      </c>
      <c r="K205" s="26" t="str">
        <f>IF(OR(E205="",E205="!!!",F205="NEW"),"",INDEX(J$1:J204,SUMPRODUCT(MAX(ROW(E$1:E204)*(E205=E$1:E204)))))</f>
        <v> </v>
      </c>
      <c r="L205" s="27"/>
    </row>
    <row r="206" spans="1:12">
      <c r="A206" s="20" t="s">
        <v>109</v>
      </c>
      <c r="E206" s="22">
        <f>IF(D206="?OLD","!!!","")</f>
        <v/>
      </c>
      <c r="F206" s="23" t="str">
        <f>IF(OR(E206="",E206="!!!"),"",IF(NOT(ISNA(VLOOKUP(E206,E$1:E205,1,FALSE()))),"OLD",IF(AND(E206&lt;&gt;"",E206&lt;&gt;"!!!"),"NEW","")))</f>
        <v> </v>
      </c>
      <c r="G206" s="24" t="str">
        <f>IF(OR(E206="",E206="!!!"),"",IF(OR(J206=0,AND(J206=1,K206=1),AND(J206=1,I206="SBJ"),AND(J206=1,I206=0)),"?IN_FOCUS",IF(J206&lt;=2,"?ACTIVATED",IF(J206&lt;&gt;"","?FAMILIAR",IF(F206="NEW",IF(ISNA(VLOOKUP(E206,#REF!,1,FALSE())),"?TYPE_IDENTIFIABLE","?REFERENTIAL"),"_")))))</f>
        <v> </v>
      </c>
      <c r="H206" s="25" t="str">
        <f>IF(J206&lt;&gt;1,"",IF(I206="SBJ","CB","?"))</f>
        <v> </v>
      </c>
      <c r="I206" s="26" t="str">
        <f>IF(OR(E206="",E206="!!!",F206="NEW"),"",INDEX(B205:B$2,-1+SUMPRODUCT(MAX(ROW(E205:E$2)*(E206=E205:E$2)))))</f>
        <v> </v>
      </c>
      <c r="J206" s="26" t="str">
        <f>IF(OR(E206="",E206="!!!",F206="NEW"),"",COUNTBLANK(OFFSET(A$1,,,SUMPRODUCT(MAX(ROW(E$2:E206)*(E206=E$2:E206)))))-COUNTBLANK(OFFSET(A$1,,,SUMPRODUCT(MAX(ROW(E$1:E205)*(E2=E$1:E205))))))</f>
        <v> </v>
      </c>
      <c r="K206" s="26" t="str">
        <f>IF(OR(E206="",E206="!!!",F206="NEW"),"",INDEX(J$1:J205,SUMPRODUCT(MAX(ROW(E$1:E205)*(E206=E$1:E205)))))</f>
        <v> </v>
      </c>
      <c r="L206" s="27"/>
    </row>
    <row r="207" spans="1:12">
      <c r="A207" s="20" t="s">
        <v>140</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240</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112</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113</v>
      </c>
      <c r="B210" s="21" t="s">
        <v>114</v>
      </c>
      <c r="C210" s="21" t="s">
        <v>191</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220</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130</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241</v>
      </c>
      <c r="B213" s="21" t="s">
        <v>141</v>
      </c>
      <c r="C213" s="21" t="s">
        <v>124</v>
      </c>
      <c r="D213" s="21" t="s">
        <v>108</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242</v>
      </c>
      <c r="B214" s="21" t="s">
        <v>114</v>
      </c>
      <c r="C214" s="21" t="s">
        <v>107</v>
      </c>
      <c r="D214" s="21" t="s">
        <v>108</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172</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243</v>
      </c>
      <c r="B216" s="21" t="s">
        <v>118</v>
      </c>
      <c r="C216" s="21" t="s">
        <v>107</v>
      </c>
      <c r="D216" s="21" t="s">
        <v>108</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187</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138</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row>
    <row r="220" spans="1:12">
      <c r="A220" s="20" t="s">
        <v>244</v>
      </c>
    </row>
    <row r="221" spans="1:12">
      <c r="A221" s="20" t="s">
        <v>245</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246</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188</v>
      </c>
      <c r="B223" s="21" t="s">
        <v>114</v>
      </c>
      <c r="C223" s="21" t="s">
        <v>165</v>
      </c>
      <c r="D223" s="21" t="s">
        <v>108</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t="s">
        <v>150</v>
      </c>
      <c r="E224" s="22">
        <f>IF(D224="?OLD","!!!","")</f>
        <v/>
      </c>
      <c r="F224" s="23" t="str">
        <f>IF(OR(E224="",E224="!!!"),"",IF(NOT(ISNA(VLOOKUP(E224,E$1:E223,1,FALSE()))),"OLD",IF(AND(E224&lt;&gt;"",E224&lt;&gt;"!!!"),"NEW","")))</f>
        <v> </v>
      </c>
      <c r="G224" s="24" t="str">
        <f>IF(OR(E224="",E224="!!!"),"",IF(OR(J224=0,AND(J224=1,K224=1),AND(J224=1,I224="SBJ"),AND(J224=1,I224=0)),"?IN_FOCUS",IF(J224&lt;=2,"?ACTIVATED",IF(J224&lt;&gt;"","?FAMILIAR",IF(F224="NEW",IF(ISNA(VLOOKUP(E224,#REF!,1,FALSE())),"?TYPE_IDENTIFIABLE","?REFERENTIAL"),"_")))))</f>
        <v> </v>
      </c>
      <c r="H224" s="25" t="str">
        <f>IF(J224&lt;&gt;1,"",IF(I224="SBJ","CB","?"))</f>
        <v> </v>
      </c>
      <c r="I224" s="26" t="str">
        <f>IF(OR(E224="",E224="!!!",F224="NEW"),"",INDEX(B223:B$2,-1+SUMPRODUCT(MAX(ROW(E223:E$2)*(E224=E223:E$2)))))</f>
        <v> </v>
      </c>
      <c r="J224" s="26" t="str">
        <f>IF(OR(E224="",E224="!!!",F224="NEW"),"",COUNTBLANK(OFFSET(A$1,,,SUMPRODUCT(MAX(ROW(E$2:E224)*(E224=E$2:E224)))))-COUNTBLANK(OFFSET(A$1,,,SUMPRODUCT(MAX(ROW(E$1:E223)*(E2=E$1:E223))))))</f>
        <v> </v>
      </c>
      <c r="K224" s="26" t="str">
        <f>IF(OR(E224="",E224="!!!",F224="NEW"),"",INDEX(J$1:J223,SUMPRODUCT(MAX(ROW(E$1:E223)*(E224=E$1:E223)))))</f>
        <v> </v>
      </c>
      <c r="L224" s="27"/>
    </row>
    <row r="225" spans="1:12">
      <c r="A225" s="20" t="s">
        <v>247</v>
      </c>
      <c r="E225" s="22">
        <f>IF(D225="?OLD","!!!","")</f>
        <v/>
      </c>
      <c r="F225" s="23" t="str">
        <f>IF(OR(E225="",E225="!!!"),"",IF(NOT(ISNA(VLOOKUP(E225,E$1:E224,1,FALSE()))),"OLD",IF(AND(E225&lt;&gt;"",E225&lt;&gt;"!!!"),"NEW","")))</f>
        <v> </v>
      </c>
      <c r="G225" s="24" t="str">
        <f>IF(OR(E225="",E225="!!!"),"",IF(OR(J225=0,AND(J225=1,K225=1),AND(J225=1,I225="SBJ"),AND(J225=1,I225=0)),"?IN_FOCUS",IF(J225&lt;=2,"?ACTIVATED",IF(J225&lt;&gt;"","?FAMILIAR",IF(F225="NEW",IF(ISNA(VLOOKUP(E225,#REF!,1,FALSE())),"?TYPE_IDENTIFIABLE","?REFERENTIAL"),"_")))))</f>
        <v> </v>
      </c>
      <c r="H225" s="25" t="str">
        <f>IF(J225&lt;&gt;1,"",IF(I225="SBJ","CB","?"))</f>
        <v> </v>
      </c>
      <c r="I225" s="26" t="str">
        <f>IF(OR(E225="",E225="!!!",F225="NEW"),"",INDEX(B224:B$2,-1+SUMPRODUCT(MAX(ROW(E224:E$2)*(E225=E224:E$2)))))</f>
        <v> </v>
      </c>
      <c r="J225" s="26" t="str">
        <f>IF(OR(E225="",E225="!!!",F225="NEW"),"",COUNTBLANK(OFFSET(A$1,,,SUMPRODUCT(MAX(ROW(E$2:E225)*(E225=E$2:E225)))))-COUNTBLANK(OFFSET(A$1,,,SUMPRODUCT(MAX(ROW(E$1:E224)*(E2=E$1:E224))))))</f>
        <v> </v>
      </c>
      <c r="K225" s="26" t="str">
        <f>IF(OR(E225="",E225="!!!",F225="NEW"),"",INDEX(J$1:J224,SUMPRODUCT(MAX(ROW(E$1:E224)*(E225=E$1:E224)))))</f>
        <v> </v>
      </c>
      <c r="L225" s="27"/>
    </row>
    <row r="226" spans="1:12">
      <c r="A226" s="20" t="s">
        <v>219</v>
      </c>
      <c r="B226" s="21" t="s">
        <v>106</v>
      </c>
      <c r="C226" s="21" t="s">
        <v>191</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112</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248</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249</v>
      </c>
      <c r="B229" s="21" t="s">
        <v>114</v>
      </c>
      <c r="C229" s="21" t="s">
        <v>124</v>
      </c>
      <c r="D229" s="21" t="s">
        <v>108</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150</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152</v>
      </c>
      <c r="B231" s="21" t="s">
        <v>250</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120</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251</v>
      </c>
      <c r="B233" s="21" t="s">
        <v>252</v>
      </c>
      <c r="C233" s="21" t="s">
        <v>191</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253</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64</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12</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254</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150</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255</v>
      </c>
      <c r="B239" s="21" t="s">
        <v>256</v>
      </c>
      <c r="C239" s="21" t="s">
        <v>107</v>
      </c>
      <c r="D239" s="21" t="s">
        <v>108</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257</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258</v>
      </c>
      <c r="B241" s="21" t="s">
        <v>259</v>
      </c>
      <c r="C241" s="21" t="s">
        <v>107</v>
      </c>
      <c r="D241" s="21" t="s">
        <v>108</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150</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t="s">
        <v>260</v>
      </c>
      <c r="B243" s="21" t="s">
        <v>256</v>
      </c>
      <c r="C243" s="21" t="s">
        <v>107</v>
      </c>
      <c r="D243" s="21" t="s">
        <v>108</v>
      </c>
      <c r="E243" s="22">
        <f>IF(D243="?OLD","!!!","")</f>
        <v/>
      </c>
      <c r="F243" s="23" t="str">
        <f>IF(OR(E243="",E243="!!!"),"",IF(NOT(ISNA(VLOOKUP(E243,E$1:E242,1,FALSE()))),"OLD",IF(AND(E243&lt;&gt;"",E243&lt;&gt;"!!!"),"NEW","")))</f>
        <v> </v>
      </c>
      <c r="G243" s="24" t="str">
        <f>IF(OR(E243="",E243="!!!"),"",IF(OR(J243=0,AND(J243=1,K243=1),AND(J243=1,I243="SBJ"),AND(J243=1,I243=0)),"?IN_FOCUS",IF(J243&lt;=2,"?ACTIVATED",IF(J243&lt;&gt;"","?FAMILIAR",IF(F243="NEW",IF(ISNA(VLOOKUP(E243,#REF!,1,FALSE())),"?TYPE_IDENTIFIABLE","?REFERENTIAL"),"_")))))</f>
        <v> </v>
      </c>
      <c r="H243" s="25" t="str">
        <f>IF(J243&lt;&gt;1,"",IF(I243="SBJ","CB","?"))</f>
        <v> </v>
      </c>
      <c r="I243" s="26" t="str">
        <f>IF(OR(E243="",E243="!!!",F243="NEW"),"",INDEX(B242:B$2,-1+SUMPRODUCT(MAX(ROW(E242:E$2)*(E243=E242:E$2)))))</f>
        <v> </v>
      </c>
      <c r="J243" s="26" t="str">
        <f>IF(OR(E243="",E243="!!!",F243="NEW"),"",COUNTBLANK(OFFSET(A$1,,,SUMPRODUCT(MAX(ROW(E$2:E243)*(E243=E$2:E243)))))-COUNTBLANK(OFFSET(A$1,,,SUMPRODUCT(MAX(ROW(E$1:E242)*(E2=E$1:E242))))))</f>
        <v> </v>
      </c>
      <c r="K243" s="26" t="str">
        <f>IF(OR(E243="",E243="!!!",F243="NEW"),"",INDEX(J$1:J242,SUMPRODUCT(MAX(ROW(E$1:E242)*(E243=E$1:E242)))))</f>
        <v> </v>
      </c>
      <c r="L243" s="27"/>
    </row>
    <row r="244" spans="1:12">
      <c r="A244" s="20" t="s">
        <v>172</v>
      </c>
      <c r="E244" s="22">
        <f>IF(D244="?OLD","!!!","")</f>
        <v/>
      </c>
      <c r="F244" s="23" t="str">
        <f>IF(OR(E244="",E244="!!!"),"",IF(NOT(ISNA(VLOOKUP(E244,E$1:E243,1,FALSE()))),"OLD",IF(AND(E244&lt;&gt;"",E244&lt;&gt;"!!!"),"NEW","")))</f>
        <v> </v>
      </c>
      <c r="G244" s="24" t="str">
        <f>IF(OR(E244="",E244="!!!"),"",IF(OR(J244=0,AND(J244=1,K244=1),AND(J244=1,I244="SBJ"),AND(J244=1,I244=0)),"?IN_FOCUS",IF(J244&lt;=2,"?ACTIVATED",IF(J244&lt;&gt;"","?FAMILIAR",IF(F244="NEW",IF(ISNA(VLOOKUP(E244,#REF!,1,FALSE())),"?TYPE_IDENTIFIABLE","?REFERENTIAL"),"_")))))</f>
        <v> </v>
      </c>
      <c r="H244" s="25" t="str">
        <f>IF(J244&lt;&gt;1,"",IF(I244="SBJ","CB","?"))</f>
        <v> </v>
      </c>
      <c r="I244" s="26" t="str">
        <f>IF(OR(E244="",E244="!!!",F244="NEW"),"",INDEX(B243:B$2,-1+SUMPRODUCT(MAX(ROW(E243:E$2)*(E244=E243:E$2)))))</f>
        <v> </v>
      </c>
      <c r="J244" s="26" t="str">
        <f>IF(OR(E244="",E244="!!!",F244="NEW"),"",COUNTBLANK(OFFSET(A$1,,,SUMPRODUCT(MAX(ROW(E$2:E244)*(E244=E$2:E244)))))-COUNTBLANK(OFFSET(A$1,,,SUMPRODUCT(MAX(ROW(E$1:E243)*(E2=E$1:E243))))))</f>
        <v> </v>
      </c>
      <c r="K244" s="26" t="str">
        <f>IF(OR(E244="",E244="!!!",F244="NEW"),"",INDEX(J$1:J243,SUMPRODUCT(MAX(ROW(E$1:E243)*(E244=E$1:E243)))))</f>
        <v> </v>
      </c>
      <c r="L244" s="27"/>
    </row>
    <row r="245" spans="1:12">
      <c r="A245" s="20" t="s">
        <v>261</v>
      </c>
      <c r="B245" s="21" t="s">
        <v>256</v>
      </c>
      <c r="C245" s="21" t="s">
        <v>107</v>
      </c>
      <c r="D245" s="21" t="s">
        <v>108</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262</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109</v>
      </c>
      <c r="B247" s="21" t="s">
        <v>118</v>
      </c>
      <c r="C247" s="21" t="s">
        <v>107</v>
      </c>
      <c r="D247" s="21" t="s">
        <v>108</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138</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row>
    <row r="250" spans="1:12">
      <c r="A250" s="20" t="s">
        <v>263</v>
      </c>
    </row>
    <row r="251" spans="1:12">
      <c r="A251" s="20" t="s">
        <v>145</v>
      </c>
      <c r="B251" s="21" t="s">
        <v>106</v>
      </c>
      <c r="C251" s="21" t="s">
        <v>107</v>
      </c>
      <c r="D251" s="21" t="s">
        <v>108</v>
      </c>
      <c r="E251" s="22">
        <f>IF(D251="?OLD","!!!","")</f>
        <v/>
      </c>
      <c r="F251" s="23" t="str">
        <f>IF(OR(E251="",E251="!!!"),"",IF(NOT(ISNA(VLOOKUP(E251,E$1:E250,1,FALSE()))),"OLD",IF(AND(E251&lt;&gt;"",E251&lt;&gt;"!!!"),"NEW","")))</f>
        <v> </v>
      </c>
      <c r="G251" s="24" t="str">
        <f>IF(OR(E251="",E251="!!!"),"",IF(OR(J251=0,AND(J251=1,K251=1),AND(J251=1,I251="SBJ"),AND(J251=1,I251=0)),"?IN_FOCUS",IF(J251&lt;=2,"?ACTIVATED",IF(J251&lt;&gt;"","?FAMILIAR",IF(F251="NEW",IF(ISNA(VLOOKUP(E251,#REF!,1,FALSE())),"?TYPE_IDENTIFIABLE","?REFERENTIAL"),"_")))))</f>
        <v> </v>
      </c>
      <c r="H251" s="25" t="str">
        <f>IF(J251&lt;&gt;1,"",IF(I251="SBJ","CB","?"))</f>
        <v> </v>
      </c>
      <c r="I251" s="26" t="str">
        <f>IF(OR(E251="",E251="!!!",F251="NEW"),"",INDEX(B250:B$2,-1+SUMPRODUCT(MAX(ROW(E250:E$2)*(E251=E250:E$2)))))</f>
        <v> </v>
      </c>
      <c r="J251" s="26" t="str">
        <f>IF(OR(E251="",E251="!!!",F251="NEW"),"",COUNTBLANK(OFFSET(A$1,,,SUMPRODUCT(MAX(ROW(E$2:E251)*(E251=E$2:E251)))))-COUNTBLANK(OFFSET(A$1,,,SUMPRODUCT(MAX(ROW(E$1:E250)*(E2=E$1:E250))))))</f>
        <v> </v>
      </c>
      <c r="K251" s="26" t="str">
        <f>IF(OR(E251="",E251="!!!",F251="NEW"),"",INDEX(J$1:J250,SUMPRODUCT(MAX(ROW(E$1:E250)*(E251=E$1:E250)))))</f>
        <v> </v>
      </c>
      <c r="L251" s="27"/>
    </row>
    <row r="252" spans="1:12">
      <c r="A252" s="20" t="s">
        <v>264</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265</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266</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267</v>
      </c>
      <c r="B255" s="21" t="s">
        <v>141</v>
      </c>
      <c r="C255" s="21" t="s">
        <v>136</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204</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113</v>
      </c>
      <c r="B257" s="21" t="s">
        <v>114</v>
      </c>
      <c r="C257" s="21" t="s">
        <v>191</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172</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268</v>
      </c>
      <c r="B259" s="21" t="s">
        <v>118</v>
      </c>
      <c r="C259" s="21" t="s">
        <v>191</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220</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269</v>
      </c>
      <c r="B261" s="21" t="s">
        <v>141</v>
      </c>
      <c r="C261" s="21" t="s">
        <v>107</v>
      </c>
      <c r="D261" s="21" t="s">
        <v>108</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270</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138</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row>
    <row r="265" spans="1:12">
      <c r="A265" s="20" t="s">
        <v>175</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271</v>
      </c>
    </row>
    <row r="267" spans="1:12">
      <c r="A267" s="20" t="s">
        <v>272</v>
      </c>
      <c r="B267" s="21" t="s">
        <v>106</v>
      </c>
      <c r="C267" s="21" t="s">
        <v>196</v>
      </c>
      <c r="D267" s="21" t="s">
        <v>108</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146</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130</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147</v>
      </c>
      <c r="B270" s="21" t="s">
        <v>148</v>
      </c>
      <c r="C270" s="21" t="s">
        <v>107</v>
      </c>
      <c r="D270" s="21" t="s">
        <v>108</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111</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149</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273</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184</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121</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122</v>
      </c>
      <c r="B276" s="21" t="s">
        <v>123</v>
      </c>
      <c r="C276" s="21" t="s">
        <v>107</v>
      </c>
      <c r="D276" s="21" t="s">
        <v>108</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232</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140</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192</v>
      </c>
      <c r="B279" s="21" t="s">
        <v>118</v>
      </c>
      <c r="C279" s="21" t="s">
        <v>210</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274</v>
      </c>
      <c r="B280" s="21" t="s">
        <v>118</v>
      </c>
      <c r="C280" s="21" t="s">
        <v>275</v>
      </c>
      <c r="D280" s="21" t="s">
        <v>108</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276</v>
      </c>
      <c r="B281" s="21" t="s">
        <v>114</v>
      </c>
      <c r="C281" s="21" t="s">
        <v>191</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277</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192</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130</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122</v>
      </c>
      <c r="B285" s="21" t="s">
        <v>118</v>
      </c>
      <c r="C285" s="21" t="s">
        <v>124</v>
      </c>
      <c r="D285" s="21" t="s">
        <v>108</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150</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278</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130</v>
      </c>
      <c r="B288" s="21" t="s">
        <v>256</v>
      </c>
      <c r="C288" s="21" t="s">
        <v>165</v>
      </c>
      <c r="D288" s="21" t="s">
        <v>108</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279</v>
      </c>
      <c r="B289" s="21" t="s">
        <v>259</v>
      </c>
      <c r="C289" s="21" t="s">
        <v>275</v>
      </c>
      <c r="D289" s="21" t="s">
        <v>108</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280</v>
      </c>
      <c r="B290" s="21" t="s">
        <v>252</v>
      </c>
      <c r="C290" s="21" t="s">
        <v>191</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281</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142</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64</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150</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282</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283</v>
      </c>
      <c r="B296" s="21" t="s">
        <v>284</v>
      </c>
      <c r="C296" s="21" t="s">
        <v>165</v>
      </c>
      <c r="D296" s="21" t="s">
        <v>108</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217</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120</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192</v>
      </c>
      <c r="B299" s="21" t="s">
        <v>285</v>
      </c>
      <c r="C299" s="21" t="s">
        <v>210</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t="s">
        <v>266</v>
      </c>
      <c r="E300" s="22">
        <f>IF(D300="?OLD","!!!","")</f>
        <v/>
      </c>
      <c r="F300" s="23" t="str">
        <f>IF(OR(E300="",E300="!!!"),"",IF(NOT(ISNA(VLOOKUP(E300,E$1:E299,1,FALSE()))),"OLD",IF(AND(E300&lt;&gt;"",E300&lt;&gt;"!!!"),"NEW","")))</f>
        <v> </v>
      </c>
      <c r="G300" s="24" t="str">
        <f>IF(OR(E300="",E300="!!!"),"",IF(OR(J300=0,AND(J300=1,K300=1),AND(J300=1,I300="SBJ"),AND(J300=1,I300=0)),"?IN_FOCUS",IF(J300&lt;=2,"?ACTIVATED",IF(J300&lt;&gt;"","?FAMILIAR",IF(F300="NEW",IF(ISNA(VLOOKUP(E300,#REF!,1,FALSE())),"?TYPE_IDENTIFIABLE","?REFERENTIAL"),"_")))))</f>
        <v> </v>
      </c>
      <c r="H300" s="25" t="str">
        <f>IF(J300&lt;&gt;1,"",IF(I300="SBJ","CB","?"))</f>
        <v> </v>
      </c>
      <c r="I300" s="26" t="str">
        <f>IF(OR(E300="",E300="!!!",F300="NEW"),"",INDEX(B299:B$2,-1+SUMPRODUCT(MAX(ROW(E299:E$2)*(E300=E299:E$2)))))</f>
        <v> </v>
      </c>
      <c r="J300" s="26" t="str">
        <f>IF(OR(E300="",E300="!!!",F300="NEW"),"",COUNTBLANK(OFFSET(A$1,,,SUMPRODUCT(MAX(ROW(E$2:E300)*(E300=E$2:E300)))))-COUNTBLANK(OFFSET(A$1,,,SUMPRODUCT(MAX(ROW(E$1:E299)*(E2=E$1:E299))))))</f>
        <v> </v>
      </c>
      <c r="K300" s="26" t="str">
        <f>IF(OR(E300="",E300="!!!",F300="NEW"),"",INDEX(J$1:J299,SUMPRODUCT(MAX(ROW(E$1:E299)*(E300=E$1:E299)))))</f>
        <v> </v>
      </c>
      <c r="L300" s="27"/>
    </row>
    <row r="301" spans="1:12">
      <c r="A301" s="20" t="s">
        <v>109</v>
      </c>
      <c r="B301" s="21" t="s">
        <v>118</v>
      </c>
      <c r="C301" s="21" t="s">
        <v>136</v>
      </c>
      <c r="E301" s="22">
        <f>IF(D301="?OLD","!!!","")</f>
        <v/>
      </c>
      <c r="F301" s="23" t="str">
        <f>IF(OR(E301="",E301="!!!"),"",IF(NOT(ISNA(VLOOKUP(E301,E$1:E300,1,FALSE()))),"OLD",IF(AND(E301&lt;&gt;"",E301&lt;&gt;"!!!"),"NEW","")))</f>
        <v> </v>
      </c>
      <c r="G301" s="24" t="str">
        <f>IF(OR(E301="",E301="!!!"),"",IF(OR(J301=0,AND(J301=1,K301=1),AND(J301=1,I301="SBJ"),AND(J301=1,I301=0)),"?IN_FOCUS",IF(J301&lt;=2,"?ACTIVATED",IF(J301&lt;&gt;"","?FAMILIAR",IF(F301="NEW",IF(ISNA(VLOOKUP(E301,#REF!,1,FALSE())),"?TYPE_IDENTIFIABLE","?REFERENTIAL"),"_")))))</f>
        <v> </v>
      </c>
      <c r="H301" s="25" t="str">
        <f>IF(J301&lt;&gt;1,"",IF(I301="SBJ","CB","?"))</f>
        <v> </v>
      </c>
      <c r="I301" s="26" t="str">
        <f>IF(OR(E301="",E301="!!!",F301="NEW"),"",INDEX(B300:B$2,-1+SUMPRODUCT(MAX(ROW(E300:E$2)*(E301=E300:E$2)))))</f>
        <v> </v>
      </c>
      <c r="J301" s="26" t="str">
        <f>IF(OR(E301="",E301="!!!",F301="NEW"),"",COUNTBLANK(OFFSET(A$1,,,SUMPRODUCT(MAX(ROW(E$2:E301)*(E301=E$2:E301)))))-COUNTBLANK(OFFSET(A$1,,,SUMPRODUCT(MAX(ROW(E$1:E300)*(E2=E$1:E300))))))</f>
        <v> </v>
      </c>
      <c r="K301" s="26" t="str">
        <f>IF(OR(E301="",E301="!!!",F301="NEW"),"",INDEX(J$1:J300,SUMPRODUCT(MAX(ROW(E$1:E300)*(E301=E$1:E300)))))</f>
        <v> </v>
      </c>
      <c r="L301" s="27"/>
    </row>
    <row r="302" spans="1:12">
      <c r="A302" s="20" t="s">
        <v>204</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219</v>
      </c>
      <c r="B303" s="21" t="s">
        <v>285</v>
      </c>
      <c r="C303" s="21" t="s">
        <v>191</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64</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138</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184</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row>
    <row r="308" spans="1:12">
      <c r="A308" s="20" t="s">
        <v>286</v>
      </c>
    </row>
    <row r="309" spans="1:12">
      <c r="A309" s="20" t="s">
        <v>287</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152</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109</v>
      </c>
      <c r="B311" s="21" t="s">
        <v>123</v>
      </c>
      <c r="C311" s="21" t="s">
        <v>124</v>
      </c>
      <c r="D311" s="21" t="s">
        <v>108</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288</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192</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266</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154</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122</v>
      </c>
      <c r="B316" s="21" t="s">
        <v>114</v>
      </c>
      <c r="C316" s="21" t="s">
        <v>136</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264</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150</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264</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125</v>
      </c>
      <c r="B320" s="21" t="s">
        <v>141</v>
      </c>
      <c r="C320" s="21" t="s">
        <v>107</v>
      </c>
      <c r="D320" s="21" t="s">
        <v>108</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192</v>
      </c>
      <c r="B321" s="21" t="s">
        <v>118</v>
      </c>
      <c r="C321" s="21" t="s">
        <v>210</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130</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154</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122</v>
      </c>
      <c r="B324" s="21" t="s">
        <v>114</v>
      </c>
      <c r="C324" s="21" t="s">
        <v>124</v>
      </c>
      <c r="D324" s="21" t="s">
        <v>108</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138</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row>
    <row r="327" spans="1:12">
      <c r="A327" s="20" t="s">
        <v>289</v>
      </c>
    </row>
    <row r="328" spans="1:12">
      <c r="A328" s="20" t="s">
        <v>290</v>
      </c>
      <c r="B328" s="21" t="s">
        <v>106</v>
      </c>
      <c r="C328" s="21" t="s">
        <v>196</v>
      </c>
      <c r="D328" s="21" t="s">
        <v>108</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291</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t="s">
        <v>217</v>
      </c>
      <c r="E330" s="22">
        <f>IF(D330="?OLD","!!!","")</f>
        <v/>
      </c>
      <c r="F330" s="23" t="str">
        <f>IF(OR(E330="",E330="!!!"),"",IF(NOT(ISNA(VLOOKUP(E330,E$1:E329,1,FALSE()))),"OLD",IF(AND(E330&lt;&gt;"",E330&lt;&gt;"!!!"),"NEW","")))</f>
        <v> </v>
      </c>
      <c r="G330" s="24" t="str">
        <f>IF(OR(E330="",E330="!!!"),"",IF(OR(J330=0,AND(J330=1,K330=1),AND(J330=1,I330="SBJ"),AND(J330=1,I330=0)),"?IN_FOCUS",IF(J330&lt;=2,"?ACTIVATED",IF(J330&lt;&gt;"","?FAMILIAR",IF(F330="NEW",IF(ISNA(VLOOKUP(E330,#REF!,1,FALSE())),"?TYPE_IDENTIFIABLE","?REFERENTIAL"),"_")))))</f>
        <v> </v>
      </c>
      <c r="H330" s="25" t="str">
        <f>IF(J330&lt;&gt;1,"",IF(I330="SBJ","CB","?"))</f>
        <v> </v>
      </c>
      <c r="I330" s="26" t="str">
        <f>IF(OR(E330="",E330="!!!",F330="NEW"),"",INDEX(B329:B$2,-1+SUMPRODUCT(MAX(ROW(E329:E$2)*(E330=E329:E$2)))))</f>
        <v> </v>
      </c>
      <c r="J330" s="26" t="str">
        <f>IF(OR(E330="",E330="!!!",F330="NEW"),"",COUNTBLANK(OFFSET(A$1,,,SUMPRODUCT(MAX(ROW(E$2:E330)*(E330=E$2:E330)))))-COUNTBLANK(OFFSET(A$1,,,SUMPRODUCT(MAX(ROW(E$1:E329)*(E2=E$1:E329))))))</f>
        <v> </v>
      </c>
      <c r="K330" s="26" t="str">
        <f>IF(OR(E330="",E330="!!!",F330="NEW"),"",INDEX(J$1:J329,SUMPRODUCT(MAX(ROW(E$1:E329)*(E330=E$1:E329)))))</f>
        <v> </v>
      </c>
      <c r="L330" s="27"/>
    </row>
    <row r="331" spans="1:12">
      <c r="A331" s="20" t="s">
        <v>150</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151</v>
      </c>
      <c r="E332" s="22">
        <f>IF(D332="?OLD","!!!","")</f>
        <v/>
      </c>
      <c r="F332" s="23" t="str">
        <f>IF(OR(E332="",E332="!!!"),"",IF(NOT(ISNA(VLOOKUP(E332,E$1:E331,1,FALSE()))),"OLD",IF(AND(E332&lt;&gt;"",E332&lt;&gt;"!!!"),"NEW","")))</f>
        <v> </v>
      </c>
      <c r="G332" s="24" t="str">
        <f>IF(OR(E332="",E332="!!!"),"",IF(OR(J332=0,AND(J332=1,K332=1),AND(J332=1,I332="SBJ"),AND(J332=1,I332=0)),"?IN_FOCUS",IF(J332&lt;=2,"?ACTIVATED",IF(J332&lt;&gt;"","?FAMILIAR",IF(F332="NEW",IF(ISNA(VLOOKUP(E332,#REF!,1,FALSE())),"?TYPE_IDENTIFIABLE","?REFERENTIAL"),"_")))))</f>
        <v> </v>
      </c>
      <c r="H332" s="25" t="str">
        <f>IF(J332&lt;&gt;1,"",IF(I332="SBJ","CB","?"))</f>
        <v> </v>
      </c>
      <c r="I332" s="26" t="str">
        <f>IF(OR(E332="",E332="!!!",F332="NEW"),"",INDEX(B331:B$2,-1+SUMPRODUCT(MAX(ROW(E331:E$2)*(E332=E331:E$2)))))</f>
        <v> </v>
      </c>
      <c r="J332" s="26" t="str">
        <f>IF(OR(E332="",E332="!!!",F332="NEW"),"",COUNTBLANK(OFFSET(A$1,,,SUMPRODUCT(MAX(ROW(E$2:E332)*(E332=E$2:E332)))))-COUNTBLANK(OFFSET(A$1,,,SUMPRODUCT(MAX(ROW(E$1:E331)*(E2=E$1:E331))))))</f>
        <v> </v>
      </c>
      <c r="K332" s="26" t="str">
        <f>IF(OR(E332="",E332="!!!",F332="NEW"),"",INDEX(J$1:J331,SUMPRODUCT(MAX(ROW(E$1:E331)*(E332=E$1:E331)))))</f>
        <v> </v>
      </c>
      <c r="L332" s="27"/>
    </row>
    <row r="333" spans="1:12">
      <c r="A333" s="20" t="s">
        <v>283</v>
      </c>
      <c r="B333" s="21" t="s">
        <v>123</v>
      </c>
      <c r="C333" s="21" t="s">
        <v>165</v>
      </c>
      <c r="D333" s="21" t="s">
        <v>108</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292</v>
      </c>
      <c r="B334" s="21" t="s">
        <v>118</v>
      </c>
      <c r="C334" s="21" t="s">
        <v>165</v>
      </c>
      <c r="D334" s="21" t="s">
        <v>108</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154</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293</v>
      </c>
      <c r="B336" s="21" t="s">
        <v>190</v>
      </c>
      <c r="C336" s="21" t="s">
        <v>169</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150</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294</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295</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293</v>
      </c>
      <c r="B340" s="21" t="s">
        <v>190</v>
      </c>
      <c r="C340" s="21" t="s">
        <v>191</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296</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138</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row>
    <row r="344" spans="1:12">
      <c r="A344" s="20" t="s">
        <v>297</v>
      </c>
    </row>
    <row r="345" spans="1:12">
      <c r="A345" s="20" t="s">
        <v>298</v>
      </c>
      <c r="B345" s="21" t="s">
        <v>106</v>
      </c>
      <c r="C345" s="21" t="s">
        <v>210</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178</v>
      </c>
      <c r="B346" s="21" t="s">
        <v>118</v>
      </c>
      <c r="C346" s="21" t="s">
        <v>179</v>
      </c>
      <c r="D346" s="21" t="s">
        <v>108</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219</v>
      </c>
      <c r="B347" s="21" t="s">
        <v>114</v>
      </c>
      <c r="C347" s="21" t="s">
        <v>181</v>
      </c>
      <c r="D347" s="21" t="s">
        <v>108</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140</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220</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299</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300</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301</v>
      </c>
      <c r="B352" s="21" t="s">
        <v>141</v>
      </c>
      <c r="C352" s="21" t="s">
        <v>302</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112</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303</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304</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t="s">
        <v>305</v>
      </c>
      <c r="B356" s="21" t="s">
        <v>141</v>
      </c>
      <c r="C356" s="21" t="s">
        <v>210</v>
      </c>
      <c r="E356" s="22">
        <f>IF(D356="?OLD","!!!","")</f>
        <v/>
      </c>
      <c r="F356" s="23" t="str">
        <f>IF(OR(E356="",E356="!!!"),"",IF(NOT(ISNA(VLOOKUP(E356,E$1:E355,1,FALSE()))),"OLD",IF(AND(E356&lt;&gt;"",E356&lt;&gt;"!!!"),"NEW","")))</f>
        <v> </v>
      </c>
      <c r="G356" s="24" t="str">
        <f>IF(OR(E356="",E356="!!!"),"",IF(OR(J356=0,AND(J356=1,K356=1),AND(J356=1,I356="SBJ"),AND(J356=1,I356=0)),"?IN_FOCUS",IF(J356&lt;=2,"?ACTIVATED",IF(J356&lt;&gt;"","?FAMILIAR",IF(F356="NEW",IF(ISNA(VLOOKUP(E356,#REF!,1,FALSE())),"?TYPE_IDENTIFIABLE","?REFERENTIAL"),"_")))))</f>
        <v> </v>
      </c>
      <c r="H356" s="25" t="str">
        <f>IF(J356&lt;&gt;1,"",IF(I356="SBJ","CB","?"))</f>
        <v> </v>
      </c>
      <c r="I356" s="26" t="str">
        <f>IF(OR(E356="",E356="!!!",F356="NEW"),"",INDEX(B355:B$2,-1+SUMPRODUCT(MAX(ROW(E355:E$2)*(E356=E355:E$2)))))</f>
        <v> </v>
      </c>
      <c r="J356" s="26" t="str">
        <f>IF(OR(E356="",E356="!!!",F356="NEW"),"",COUNTBLANK(OFFSET(A$1,,,SUMPRODUCT(MAX(ROW(E$2:E356)*(E356=E$2:E356)))))-COUNTBLANK(OFFSET(A$1,,,SUMPRODUCT(MAX(ROW(E$1:E355)*(E2=E$1:E355))))))</f>
        <v> </v>
      </c>
      <c r="K356" s="26" t="str">
        <f>IF(OR(E356="",E356="!!!",F356="NEW"),"",INDEX(J$1:J355,SUMPRODUCT(MAX(ROW(E$1:E355)*(E356=E$1:E355)))))</f>
        <v> </v>
      </c>
      <c r="L356" s="27"/>
    </row>
    <row r="357" spans="1:12">
      <c r="A357" s="20" t="s">
        <v>71</v>
      </c>
      <c r="E357" s="22">
        <f>IF(D357="?OLD","!!!","")</f>
        <v/>
      </c>
      <c r="F357" s="23" t="str">
        <f>IF(OR(E357="",E357="!!!"),"",IF(NOT(ISNA(VLOOKUP(E357,E$1:E356,1,FALSE()))),"OLD",IF(AND(E357&lt;&gt;"",E357&lt;&gt;"!!!"),"NEW","")))</f>
        <v> </v>
      </c>
      <c r="G357" s="24" t="str">
        <f>IF(OR(E357="",E357="!!!"),"",IF(OR(J357=0,AND(J357=1,K357=1),AND(J357=1,I357="SBJ"),AND(J357=1,I357=0)),"?IN_FOCUS",IF(J357&lt;=2,"?ACTIVATED",IF(J357&lt;&gt;"","?FAMILIAR",IF(F357="NEW",IF(ISNA(VLOOKUP(E357,#REF!,1,FALSE())),"?TYPE_IDENTIFIABLE","?REFERENTIAL"),"_")))))</f>
        <v> </v>
      </c>
      <c r="H357" s="25" t="str">
        <f>IF(J357&lt;&gt;1,"",IF(I357="SBJ","CB","?"))</f>
        <v> </v>
      </c>
      <c r="I357" s="26" t="str">
        <f>IF(OR(E357="",E357="!!!",F357="NEW"),"",INDEX(B356:B$2,-1+SUMPRODUCT(MAX(ROW(E356:E$2)*(E357=E356:E$2)))))</f>
        <v> </v>
      </c>
      <c r="J357" s="26" t="str">
        <f>IF(OR(E357="",E357="!!!",F357="NEW"),"",COUNTBLANK(OFFSET(A$1,,,SUMPRODUCT(MAX(ROW(E$2:E357)*(E357=E$2:E357)))))-COUNTBLANK(OFFSET(A$1,,,SUMPRODUCT(MAX(ROW(E$1:E356)*(E2=E$1:E356))))))</f>
        <v> </v>
      </c>
      <c r="K357" s="26" t="str">
        <f>IF(OR(E357="",E357="!!!",F357="NEW"),"",INDEX(J$1:J356,SUMPRODUCT(MAX(ROW(E$1:E356)*(E357=E$1:E356)))))</f>
        <v> </v>
      </c>
      <c r="L357" s="27"/>
    </row>
    <row r="358" spans="1:12">
      <c r="A358" s="20" t="s">
        <v>172</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279</v>
      </c>
      <c r="B359" s="21" t="s">
        <v>118</v>
      </c>
      <c r="C359" s="21" t="s">
        <v>275</v>
      </c>
      <c r="D359" s="21" t="s">
        <v>108</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280</v>
      </c>
      <c r="B360" s="21" t="s">
        <v>190</v>
      </c>
      <c r="C360" s="21" t="s">
        <v>191</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64</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278</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306</v>
      </c>
      <c r="B363" s="21" t="s">
        <v>118</v>
      </c>
      <c r="C363" s="21" t="s">
        <v>179</v>
      </c>
      <c r="D363" s="21" t="s">
        <v>108</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219</v>
      </c>
      <c r="B364" s="21" t="s">
        <v>114</v>
      </c>
      <c r="C364" s="21" t="s">
        <v>181</v>
      </c>
      <c r="D364" s="21" t="s">
        <v>108</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149</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153</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113</v>
      </c>
      <c r="B367" s="21" t="s">
        <v>114</v>
      </c>
      <c r="C367" s="21" t="s">
        <v>124</v>
      </c>
      <c r="D367" s="21" t="s">
        <v>108</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307</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138</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row>
    <row r="371" spans="1:12">
      <c r="A371" s="20" t="s">
        <v>308</v>
      </c>
    </row>
    <row r="372" spans="1:12">
      <c r="A372" s="20" t="s">
        <v>125</v>
      </c>
      <c r="B372" s="21" t="s">
        <v>106</v>
      </c>
      <c r="C372" s="21" t="s">
        <v>107</v>
      </c>
      <c r="D372" s="21" t="s">
        <v>108</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159</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240</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309</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150</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151</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310</v>
      </c>
      <c r="B378" s="21" t="s">
        <v>123</v>
      </c>
      <c r="C378" s="21" t="s">
        <v>196</v>
      </c>
      <c r="D378" s="21" t="s">
        <v>108</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142</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205</v>
      </c>
      <c r="B380" s="21" t="s">
        <v>123</v>
      </c>
      <c r="C380" s="21" t="s">
        <v>302</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206</v>
      </c>
      <c r="B381" s="21" t="s">
        <v>118</v>
      </c>
      <c r="C381" s="21" t="s">
        <v>107</v>
      </c>
      <c r="D381" s="21" t="s">
        <v>108</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203</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119</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120</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311</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140</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172</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150</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151</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310</v>
      </c>
      <c r="B390" s="21" t="s">
        <v>284</v>
      </c>
      <c r="C390" s="21" t="s">
        <v>196</v>
      </c>
      <c r="D390" s="21" t="s">
        <v>108</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152</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312</v>
      </c>
      <c r="B392" s="21" t="s">
        <v>313</v>
      </c>
      <c r="C392" s="21" t="s">
        <v>124</v>
      </c>
      <c r="D392" s="21" t="s">
        <v>108</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130</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314</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219</v>
      </c>
      <c r="B395" s="21" t="s">
        <v>285</v>
      </c>
      <c r="C395" s="21" t="s">
        <v>124</v>
      </c>
      <c r="D395" s="21" t="s">
        <v>108</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220</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315</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199</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12</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203</v>
      </c>
      <c r="B400" s="21" t="s">
        <v>118</v>
      </c>
      <c r="C400" s="21" t="s">
        <v>302</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316</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140</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138</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row>
    <row r="405" spans="1:12">
      <c r="A405" s="20" t="s">
        <v>175</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317</v>
      </c>
    </row>
    <row r="407" spans="1:12">
      <c r="A407" s="20" t="s">
        <v>184</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245</v>
      </c>
      <c r="B408" s="21" t="s">
        <v>123</v>
      </c>
      <c r="C408" s="21" t="s">
        <v>196</v>
      </c>
      <c r="D408" s="21" t="s">
        <v>108</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318</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t="s">
        <v>180</v>
      </c>
      <c r="B410" s="21" t="s">
        <v>148</v>
      </c>
      <c r="C410" s="21" t="s">
        <v>191</v>
      </c>
      <c r="E410" s="22">
        <f>IF(D410="?OLD","!!!","")</f>
        <v/>
      </c>
      <c r="F410" s="23" t="str">
        <f>IF(OR(E410="",E410="!!!"),"",IF(NOT(ISNA(VLOOKUP(E410,E$1:E409,1,FALSE()))),"OLD",IF(AND(E410&lt;&gt;"",E410&lt;&gt;"!!!"),"NEW","")))</f>
        <v> </v>
      </c>
      <c r="G410" s="24" t="str">
        <f>IF(OR(E410="",E410="!!!"),"",IF(OR(J410=0,AND(J410=1,K410=1),AND(J410=1,I410="SBJ"),AND(J410=1,I410=0)),"?IN_FOCUS",IF(J410&lt;=2,"?ACTIVATED",IF(J410&lt;&gt;"","?FAMILIAR",IF(F410="NEW",IF(ISNA(VLOOKUP(E410,#REF!,1,FALSE())),"?TYPE_IDENTIFIABLE","?REFERENTIAL"),"_")))))</f>
        <v> </v>
      </c>
      <c r="H410" s="25" t="str">
        <f>IF(J410&lt;&gt;1,"",IF(I410="SBJ","CB","?"))</f>
        <v> </v>
      </c>
      <c r="I410" s="26" t="str">
        <f>IF(OR(E410="",E410="!!!",F410="NEW"),"",INDEX(B409:B$2,-1+SUMPRODUCT(MAX(ROW(E409:E$2)*(E410=E409:E$2)))))</f>
        <v> </v>
      </c>
      <c r="J410" s="26" t="str">
        <f>IF(OR(E410="",E410="!!!",F410="NEW"),"",COUNTBLANK(OFFSET(A$1,,,SUMPRODUCT(MAX(ROW(E$2:E410)*(E410=E$2:E410)))))-COUNTBLANK(OFFSET(A$1,,,SUMPRODUCT(MAX(ROW(E$1:E409)*(E2=E$1:E409))))))</f>
        <v> </v>
      </c>
      <c r="K410" s="26" t="str">
        <f>IF(OR(E410="",E410="!!!",F410="NEW"),"",INDEX(J$1:J409,SUMPRODUCT(MAX(ROW(E$1:E409)*(E410=E$1:E409)))))</f>
        <v> </v>
      </c>
      <c r="L410" s="27"/>
    </row>
    <row r="411" spans="1:12">
      <c r="A411" s="20" t="s">
        <v>112</v>
      </c>
      <c r="E411" s="22">
        <f>IF(D411="?OLD","!!!","")</f>
        <v/>
      </c>
      <c r="F411" s="23" t="str">
        <f>IF(OR(E411="",E411="!!!"),"",IF(NOT(ISNA(VLOOKUP(E411,E$1:E410,1,FALSE()))),"OLD",IF(AND(E411&lt;&gt;"",E411&lt;&gt;"!!!"),"NEW","")))</f>
        <v> </v>
      </c>
      <c r="G411" s="24" t="str">
        <f>IF(OR(E411="",E411="!!!"),"",IF(OR(J411=0,AND(J411=1,K411=1),AND(J411=1,I411="SBJ"),AND(J411=1,I411=0)),"?IN_FOCUS",IF(J411&lt;=2,"?ACTIVATED",IF(J411&lt;&gt;"","?FAMILIAR",IF(F411="NEW",IF(ISNA(VLOOKUP(E411,#REF!,1,FALSE())),"?TYPE_IDENTIFIABLE","?REFERENTIAL"),"_")))))</f>
        <v> </v>
      </c>
      <c r="H411" s="25" t="str">
        <f>IF(J411&lt;&gt;1,"",IF(I411="SBJ","CB","?"))</f>
        <v> </v>
      </c>
      <c r="I411" s="26" t="str">
        <f>IF(OR(E411="",E411="!!!",F411="NEW"),"",INDEX(B410:B$2,-1+SUMPRODUCT(MAX(ROW(E410:E$2)*(E411=E410:E$2)))))</f>
        <v> </v>
      </c>
      <c r="J411" s="26" t="str">
        <f>IF(OR(E411="",E411="!!!",F411="NEW"),"",COUNTBLANK(OFFSET(A$1,,,SUMPRODUCT(MAX(ROW(E$2:E411)*(E411=E$2:E411)))))-COUNTBLANK(OFFSET(A$1,,,SUMPRODUCT(MAX(ROW(E$1:E410)*(E2=E$1:E410))))))</f>
        <v> </v>
      </c>
      <c r="K411" s="26" t="str">
        <f>IF(OR(E411="",E411="!!!",F411="NEW"),"",INDEX(J$1:J410,SUMPRODUCT(MAX(ROW(E$1:E410)*(E411=E$1:E410)))))</f>
        <v> </v>
      </c>
      <c r="L411" s="27"/>
    </row>
    <row r="412" spans="1:12">
      <c r="A412" s="20" t="s">
        <v>319</v>
      </c>
      <c r="B412" s="21" t="s">
        <v>114</v>
      </c>
      <c r="C412" s="21" t="s">
        <v>165</v>
      </c>
      <c r="D412" s="21" t="s">
        <v>108</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150</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160</v>
      </c>
      <c r="B414" s="21" t="s">
        <v>313</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192</v>
      </c>
      <c r="B415" s="21" t="s">
        <v>285</v>
      </c>
      <c r="C415" s="21" t="s">
        <v>210</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130</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109</v>
      </c>
      <c r="B417" s="21" t="s">
        <v>118</v>
      </c>
      <c r="C417" s="21" t="s">
        <v>124</v>
      </c>
      <c r="D417" s="21" t="s">
        <v>108</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130</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219</v>
      </c>
      <c r="B419" s="21" t="s">
        <v>285</v>
      </c>
      <c r="C419" s="21" t="s">
        <v>124</v>
      </c>
      <c r="D419" s="21" t="s">
        <v>108</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192</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320</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150</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321</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322</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323</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283</v>
      </c>
      <c r="B426" s="21" t="s">
        <v>284</v>
      </c>
      <c r="C426" s="21" t="s">
        <v>165</v>
      </c>
      <c r="D426" s="21" t="s">
        <v>108</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319</v>
      </c>
      <c r="B427" s="21" t="s">
        <v>313</v>
      </c>
      <c r="C427" s="21" t="s">
        <v>165</v>
      </c>
      <c r="D427" s="21" t="s">
        <v>108</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220</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128</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324</v>
      </c>
      <c r="B430" s="21" t="s">
        <v>259</v>
      </c>
      <c r="C430" s="21" t="s">
        <v>124</v>
      </c>
      <c r="D430" s="21" t="s">
        <v>108</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325</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t="s">
        <v>283</v>
      </c>
      <c r="B432" s="21" t="s">
        <v>326</v>
      </c>
      <c r="C432" s="21" t="s">
        <v>165</v>
      </c>
      <c r="D432" s="21" t="s">
        <v>108</v>
      </c>
      <c r="E432" s="22">
        <f>IF(D432="?OLD","!!!","")</f>
        <v/>
      </c>
      <c r="F432" s="23" t="str">
        <f>IF(OR(E432="",E432="!!!"),"",IF(NOT(ISNA(VLOOKUP(E432,E$1:E431,1,FALSE()))),"OLD",IF(AND(E432&lt;&gt;"",E432&lt;&gt;"!!!"),"NEW","")))</f>
        <v> </v>
      </c>
      <c r="G432" s="24" t="str">
        <f>IF(OR(E432="",E432="!!!"),"",IF(OR(J432=0,AND(J432=1,K432=1),AND(J432=1,I432="SBJ"),AND(J432=1,I432=0)),"?IN_FOCUS",IF(J432&lt;=2,"?ACTIVATED",IF(J432&lt;&gt;"","?FAMILIAR",IF(F432="NEW",IF(ISNA(VLOOKUP(E432,#REF!,1,FALSE())),"?TYPE_IDENTIFIABLE","?REFERENTIAL"),"_")))))</f>
        <v> </v>
      </c>
      <c r="H432" s="25" t="str">
        <f>IF(J432&lt;&gt;1,"",IF(I432="SBJ","CB","?"))</f>
        <v> </v>
      </c>
      <c r="I432" s="26" t="str">
        <f>IF(OR(E432="",E432="!!!",F432="NEW"),"",INDEX(B431:B$2,-1+SUMPRODUCT(MAX(ROW(E431:E$2)*(E432=E431:E$2)))))</f>
        <v> </v>
      </c>
      <c r="J432" s="26" t="str">
        <f>IF(OR(E432="",E432="!!!",F432="NEW"),"",COUNTBLANK(OFFSET(A$1,,,SUMPRODUCT(MAX(ROW(E$2:E432)*(E432=E$2:E432)))))-COUNTBLANK(OFFSET(A$1,,,SUMPRODUCT(MAX(ROW(E$1:E431)*(E2=E$1:E431))))))</f>
        <v> </v>
      </c>
      <c r="K432" s="26" t="str">
        <f>IF(OR(E432="",E432="!!!",F432="NEW"),"",INDEX(J$1:J431,SUMPRODUCT(MAX(ROW(E$1:E431)*(E432=E$1:E431)))))</f>
        <v> </v>
      </c>
      <c r="L432" s="27"/>
    </row>
    <row r="433" spans="1:12">
      <c r="A433" s="20" t="s">
        <v>182</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327</v>
      </c>
      <c r="E434" s="22">
        <f>IF(D434="?OLD","!!!","")</f>
        <v/>
      </c>
      <c r="F434" s="23" t="str">
        <f>IF(OR(E434="",E434="!!!"),"",IF(NOT(ISNA(VLOOKUP(E434,E$1:E433,1,FALSE()))),"OLD",IF(AND(E434&lt;&gt;"",E434&lt;&gt;"!!!"),"NEW","")))</f>
        <v> </v>
      </c>
      <c r="G434" s="24" t="str">
        <f>IF(OR(E434="",E434="!!!"),"",IF(OR(J434=0,AND(J434=1,K434=1),AND(J434=1,I434="SBJ"),AND(J434=1,I434=0)),"?IN_FOCUS",IF(J434&lt;=2,"?ACTIVATED",IF(J434&lt;&gt;"","?FAMILIAR",IF(F434="NEW",IF(ISNA(VLOOKUP(E434,#REF!,1,FALSE())),"?TYPE_IDENTIFIABLE","?REFERENTIAL"),"_")))))</f>
        <v> </v>
      </c>
      <c r="H434" s="25" t="str">
        <f>IF(J434&lt;&gt;1,"",IF(I434="SBJ","CB","?"))</f>
        <v> </v>
      </c>
      <c r="I434" s="26" t="str">
        <f>IF(OR(E434="",E434="!!!",F434="NEW"),"",INDEX(B433:B$2,-1+SUMPRODUCT(MAX(ROW(E433:E$2)*(E434=E433:E$2)))))</f>
        <v> </v>
      </c>
      <c r="J434" s="26" t="str">
        <f>IF(OR(E434="",E434="!!!",F434="NEW"),"",COUNTBLANK(OFFSET(A$1,,,SUMPRODUCT(MAX(ROW(E$2:E434)*(E434=E$2:E434)))))-COUNTBLANK(OFFSET(A$1,,,SUMPRODUCT(MAX(ROW(E$1:E433)*(E2=E$1:E433))))))</f>
        <v> </v>
      </c>
      <c r="K434" s="26" t="str">
        <f>IF(OR(E434="",E434="!!!",F434="NEW"),"",INDEX(J$1:J433,SUMPRODUCT(MAX(ROW(E$1:E433)*(E434=E$1:E433)))))</f>
        <v> </v>
      </c>
      <c r="L434" s="27"/>
    </row>
    <row r="435" spans="1:12">
      <c r="A435" s="20" t="s">
        <v>328</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329</v>
      </c>
      <c r="B436" s="21" t="s">
        <v>285</v>
      </c>
      <c r="C436" s="21" t="s">
        <v>186</v>
      </c>
      <c r="D436" s="21" t="s">
        <v>108</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150</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330</v>
      </c>
      <c r="B438" s="21" t="s">
        <v>326</v>
      </c>
      <c r="C438" s="21" t="s">
        <v>179</v>
      </c>
      <c r="D438" s="21" t="s">
        <v>108</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192</v>
      </c>
      <c r="B439" s="21" t="s">
        <v>259</v>
      </c>
      <c r="C439" s="21" t="s">
        <v>210</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266</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331</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109</v>
      </c>
      <c r="B442" s="21" t="s">
        <v>256</v>
      </c>
      <c r="C442" s="21" t="s">
        <v>136</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112</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113</v>
      </c>
      <c r="B444" s="21" t="s">
        <v>285</v>
      </c>
      <c r="C444" s="21" t="s">
        <v>191</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192</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332</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333</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184</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334</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130</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129</v>
      </c>
      <c r="B451" s="21" t="s">
        <v>106</v>
      </c>
      <c r="C451" s="21" t="s">
        <v>124</v>
      </c>
      <c r="D451" s="21" t="s">
        <v>108</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138</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row>
    <row r="454" spans="1:12">
      <c r="A454" s="20" t="s">
        <v>335</v>
      </c>
    </row>
    <row r="455" spans="1:12">
      <c r="A455" s="20" t="s">
        <v>245</v>
      </c>
      <c r="B455" s="21" t="s">
        <v>106</v>
      </c>
      <c r="C455" s="21" t="s">
        <v>196</v>
      </c>
      <c r="D455" s="21" t="s">
        <v>108</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336</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166</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337</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168</v>
      </c>
      <c r="B459" s="21" t="s">
        <v>141</v>
      </c>
      <c r="C459" s="21" t="s">
        <v>169</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338</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339</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340</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150</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341</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283</v>
      </c>
      <c r="B465" s="21" t="s">
        <v>123</v>
      </c>
      <c r="C465" s="21" t="s">
        <v>165</v>
      </c>
      <c r="D465" s="21" t="s">
        <v>108</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342</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343</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150</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151</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283</v>
      </c>
      <c r="B470" s="21" t="s">
        <v>284</v>
      </c>
      <c r="C470" s="21" t="s">
        <v>165</v>
      </c>
      <c r="D470" s="21" t="s">
        <v>108</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112</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279</v>
      </c>
      <c r="B472" s="21" t="s">
        <v>285</v>
      </c>
      <c r="C472" s="21" t="s">
        <v>275</v>
      </c>
      <c r="D472" s="21" t="s">
        <v>108</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113</v>
      </c>
      <c r="B473" s="21" t="s">
        <v>118</v>
      </c>
      <c r="C473" s="21" t="s">
        <v>191</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133</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344</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109</v>
      </c>
      <c r="B476" s="21" t="s">
        <v>284</v>
      </c>
      <c r="C476" s="21" t="s">
        <v>136</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142</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64</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172</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345</v>
      </c>
      <c r="B480" s="21" t="s">
        <v>256</v>
      </c>
      <c r="C480" s="21" t="s">
        <v>179</v>
      </c>
      <c r="D480" s="21" t="s">
        <v>108</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219</v>
      </c>
      <c r="B481" s="21" t="s">
        <v>346</v>
      </c>
      <c r="C481" s="21" t="s">
        <v>181</v>
      </c>
      <c r="D481" s="21" t="s">
        <v>108</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347</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343</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138</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row>
    <row r="486" spans="1:12">
      <c r="A486" s="20" t="s">
        <v>348</v>
      </c>
    </row>
    <row r="487" spans="1:12">
      <c r="A487" s="20" t="s">
        <v>216</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149</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274</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349</v>
      </c>
      <c r="B490" s="21" t="s">
        <v>114</v>
      </c>
      <c r="C490" s="21" t="s">
        <v>191</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150</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128</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221</v>
      </c>
      <c r="B493" s="21" t="s">
        <v>118</v>
      </c>
      <c r="C493" s="21" t="s">
        <v>124</v>
      </c>
      <c r="D493" s="21" t="s">
        <v>108</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t="s">
        <v>132</v>
      </c>
      <c r="E494" s="22">
        <f>IF(D494="?OLD","!!!","")</f>
        <v/>
      </c>
      <c r="F494" s="23" t="str">
        <f>IF(OR(E494="",E494="!!!"),"",IF(NOT(ISNA(VLOOKUP(E494,E$1:E493,1,FALSE()))),"OLD",IF(AND(E494&lt;&gt;"",E494&lt;&gt;"!!!"),"NEW","")))</f>
        <v> </v>
      </c>
      <c r="G494" s="24" t="str">
        <f>IF(OR(E494="",E494="!!!"),"",IF(OR(J494=0,AND(J494=1,K494=1),AND(J494=1,I494="SBJ"),AND(J494=1,I494=0)),"?IN_FOCUS",IF(J494&lt;=2,"?ACTIVATED",IF(J494&lt;&gt;"","?FAMILIAR",IF(F494="NEW",IF(ISNA(VLOOKUP(E494,#REF!,1,FALSE())),"?TYPE_IDENTIFIABLE","?REFERENTIAL"),"_")))))</f>
        <v> </v>
      </c>
      <c r="H494" s="25" t="str">
        <f>IF(J494&lt;&gt;1,"",IF(I494="SBJ","CB","?"))</f>
        <v> </v>
      </c>
      <c r="I494" s="26" t="str">
        <f>IF(OR(E494="",E494="!!!",F494="NEW"),"",INDEX(B493:B$2,-1+SUMPRODUCT(MAX(ROW(E493:E$2)*(E494=E493:E$2)))))</f>
        <v> </v>
      </c>
      <c r="J494" s="26" t="str">
        <f>IF(OR(E494="",E494="!!!",F494="NEW"),"",COUNTBLANK(OFFSET(A$1,,,SUMPRODUCT(MAX(ROW(E$2:E494)*(E494=E$2:E494)))))-COUNTBLANK(OFFSET(A$1,,,SUMPRODUCT(MAX(ROW(E$1:E493)*(E2=E$1:E493))))))</f>
        <v> </v>
      </c>
      <c r="K494" s="26" t="str">
        <f>IF(OR(E494="",E494="!!!",F494="NEW"),"",INDEX(J$1:J493,SUMPRODUCT(MAX(ROW(E$1:E493)*(E494=E$1:E493)))))</f>
        <v> </v>
      </c>
      <c r="L494" s="27"/>
    </row>
    <row r="495" spans="1:12">
      <c r="A495" s="20" t="s">
        <v>350</v>
      </c>
      <c r="B495" s="21" t="s">
        <v>285</v>
      </c>
      <c r="C495" s="21" t="s">
        <v>191</v>
      </c>
      <c r="E495" s="22">
        <f>IF(D495="?OLD","!!!","")</f>
        <v/>
      </c>
      <c r="F495" s="23" t="str">
        <f>IF(OR(E495="",E495="!!!"),"",IF(NOT(ISNA(VLOOKUP(E495,E$1:E494,1,FALSE()))),"OLD",IF(AND(E495&lt;&gt;"",E495&lt;&gt;"!!!"),"NEW","")))</f>
        <v> </v>
      </c>
      <c r="G495" s="24" t="str">
        <f>IF(OR(E495="",E495="!!!"),"",IF(OR(J495=0,AND(J495=1,K495=1),AND(J495=1,I495="SBJ"),AND(J495=1,I495=0)),"?IN_FOCUS",IF(J495&lt;=2,"?ACTIVATED",IF(J495&lt;&gt;"","?FAMILIAR",IF(F495="NEW",IF(ISNA(VLOOKUP(E495,#REF!,1,FALSE())),"?TYPE_IDENTIFIABLE","?REFERENTIAL"),"_")))))</f>
        <v> </v>
      </c>
      <c r="H495" s="25" t="str">
        <f>IF(J495&lt;&gt;1,"",IF(I495="SBJ","CB","?"))</f>
        <v> </v>
      </c>
      <c r="I495" s="26" t="str">
        <f>IF(OR(E495="",E495="!!!",F495="NEW"),"",INDEX(B494:B$2,-1+SUMPRODUCT(MAX(ROW(E494:E$2)*(E495=E494:E$2)))))</f>
        <v> </v>
      </c>
      <c r="J495" s="26" t="str">
        <f>IF(OR(E495="",E495="!!!",F495="NEW"),"",COUNTBLANK(OFFSET(A$1,,,SUMPRODUCT(MAX(ROW(E$2:E495)*(E495=E$2:E495)))))-COUNTBLANK(OFFSET(A$1,,,SUMPRODUCT(MAX(ROW(E$1:E494)*(E2=E$1:E494))))))</f>
        <v> </v>
      </c>
      <c r="K495" s="26" t="str">
        <f>IF(OR(E495="",E495="!!!",F495="NEW"),"",INDEX(J$1:J494,SUMPRODUCT(MAX(ROW(E$1:E494)*(E495=E$1:E494)))))</f>
        <v> </v>
      </c>
      <c r="L495" s="27"/>
    </row>
    <row r="496" spans="1:12">
      <c r="A496" s="20" t="s">
        <v>172</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119</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279</v>
      </c>
      <c r="B498" s="21" t="s">
        <v>285</v>
      </c>
      <c r="C498" s="21" t="s">
        <v>275</v>
      </c>
      <c r="D498" s="21" t="s">
        <v>108</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300</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150</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351</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352</v>
      </c>
      <c r="B502" s="21" t="s">
        <v>123</v>
      </c>
      <c r="C502" s="21" t="s">
        <v>196</v>
      </c>
      <c r="D502" s="21" t="s">
        <v>108</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150</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140</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353</v>
      </c>
      <c r="B505" s="21" t="s">
        <v>106</v>
      </c>
      <c r="C505" s="21" t="s">
        <v>210</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t="s">
        <v>354</v>
      </c>
      <c r="E506" s="22">
        <f>IF(D506="?OLD","!!!","")</f>
        <v/>
      </c>
      <c r="F506" s="23" t="str">
        <f>IF(OR(E506="",E506="!!!"),"",IF(NOT(ISNA(VLOOKUP(E506,E$1:E505,1,FALSE()))),"OLD",IF(AND(E506&lt;&gt;"",E506&lt;&gt;"!!!"),"NEW","")))</f>
        <v> </v>
      </c>
      <c r="G506" s="24" t="str">
        <f>IF(OR(E506="",E506="!!!"),"",IF(OR(J506=0,AND(J506=1,K506=1),AND(J506=1,I506="SBJ"),AND(J506=1,I506=0)),"?IN_FOCUS",IF(J506&lt;=2,"?ACTIVATED",IF(J506&lt;&gt;"","?FAMILIAR",IF(F506="NEW",IF(ISNA(VLOOKUP(E506,#REF!,1,FALSE())),"?TYPE_IDENTIFIABLE","?REFERENTIAL"),"_")))))</f>
        <v> </v>
      </c>
      <c r="H506" s="25" t="str">
        <f>IF(J506&lt;&gt;1,"",IF(I506="SBJ","CB","?"))</f>
        <v> </v>
      </c>
      <c r="I506" s="26" t="str">
        <f>IF(OR(E506="",E506="!!!",F506="NEW"),"",INDEX(B505:B$2,-1+SUMPRODUCT(MAX(ROW(E505:E$2)*(E506=E505:E$2)))))</f>
        <v> </v>
      </c>
      <c r="J506" s="26" t="str">
        <f>IF(OR(E506="",E506="!!!",F506="NEW"),"",COUNTBLANK(OFFSET(A$1,,,SUMPRODUCT(MAX(ROW(E$2:E506)*(E506=E$2:E506)))))-COUNTBLANK(OFFSET(A$1,,,SUMPRODUCT(MAX(ROW(E$1:E505)*(E2=E$1:E505))))))</f>
        <v> </v>
      </c>
      <c r="K506" s="26" t="str">
        <f>IF(OR(E506="",E506="!!!",F506="NEW"),"",INDEX(J$1:J505,SUMPRODUCT(MAX(ROW(E$1:E505)*(E506=E$1:E505)))))</f>
        <v> </v>
      </c>
      <c r="L506" s="27"/>
    </row>
    <row r="507" spans="1:12">
      <c r="A507" s="20" t="s">
        <v>355</v>
      </c>
      <c r="B507" s="21" t="s">
        <v>148</v>
      </c>
      <c r="C507" s="21" t="s">
        <v>169</v>
      </c>
      <c r="E507" s="22">
        <f>IF(D507="?OLD","!!!","")</f>
        <v/>
      </c>
      <c r="F507" s="23" t="str">
        <f>IF(OR(E507="",E507="!!!"),"",IF(NOT(ISNA(VLOOKUP(E507,E$1:E506,1,FALSE()))),"OLD",IF(AND(E507&lt;&gt;"",E507&lt;&gt;"!!!"),"NEW","")))</f>
        <v> </v>
      </c>
      <c r="G507" s="24" t="str">
        <f>IF(OR(E507="",E507="!!!"),"",IF(OR(J507=0,AND(J507=1,K507=1),AND(J507=1,I507="SBJ"),AND(J507=1,I507=0)),"?IN_FOCUS",IF(J507&lt;=2,"?ACTIVATED",IF(J507&lt;&gt;"","?FAMILIAR",IF(F507="NEW",IF(ISNA(VLOOKUP(E507,#REF!,1,FALSE())),"?TYPE_IDENTIFIABLE","?REFERENTIAL"),"_")))))</f>
        <v> </v>
      </c>
      <c r="H507" s="25" t="str">
        <f>IF(J507&lt;&gt;1,"",IF(I507="SBJ","CB","?"))</f>
        <v> </v>
      </c>
      <c r="I507" s="26" t="str">
        <f>IF(OR(E507="",E507="!!!",F507="NEW"),"",INDEX(B506:B$2,-1+SUMPRODUCT(MAX(ROW(E506:E$2)*(E507=E506:E$2)))))</f>
        <v> </v>
      </c>
      <c r="J507" s="26" t="str">
        <f>IF(OR(E507="",E507="!!!",F507="NEW"),"",COUNTBLANK(OFFSET(A$1,,,SUMPRODUCT(MAX(ROW(E$2:E507)*(E507=E$2:E507)))))-COUNTBLANK(OFFSET(A$1,,,SUMPRODUCT(MAX(ROW(E$1:E506)*(E2=E$1:E506))))))</f>
        <v> </v>
      </c>
      <c r="K507" s="26" t="str">
        <f>IF(OR(E507="",E507="!!!",F507="NEW"),"",INDEX(J$1:J506,SUMPRODUCT(MAX(ROW(E$1:E506)*(E507=E$1:E506)))))</f>
        <v> </v>
      </c>
      <c r="L507" s="27"/>
    </row>
    <row r="508" spans="1:12">
      <c r="A508" s="20" t="s">
        <v>356</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138</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row>
    <row r="511" spans="1:12">
      <c r="A511" s="20" t="s">
        <v>357</v>
      </c>
    </row>
    <row r="512" spans="1:12">
      <c r="A512" s="20" t="s">
        <v>358</v>
      </c>
      <c r="B512" s="21" t="s">
        <v>106</v>
      </c>
      <c r="C512" s="21" t="s">
        <v>165</v>
      </c>
      <c r="D512" s="21" t="s">
        <v>108</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359</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345</v>
      </c>
      <c r="B514" s="21" t="s">
        <v>114</v>
      </c>
      <c r="C514" s="21" t="s">
        <v>179</v>
      </c>
      <c r="D514" s="21" t="s">
        <v>108</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219</v>
      </c>
      <c r="B515" s="21" t="s">
        <v>148</v>
      </c>
      <c r="C515" s="21" t="s">
        <v>181</v>
      </c>
      <c r="D515" s="21" t="s">
        <v>108</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360</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90</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150</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361</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351</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352</v>
      </c>
      <c r="B521" s="21" t="s">
        <v>123</v>
      </c>
      <c r="C521" s="21" t="s">
        <v>196</v>
      </c>
      <c r="D521" s="21" t="s">
        <v>108</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150</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151</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t="s">
        <v>152</v>
      </c>
      <c r="E524" s="22">
        <f>IF(D524="?OLD","!!!","")</f>
        <v/>
      </c>
      <c r="F524" s="23" t="str">
        <f>IF(OR(E524="",E524="!!!"),"",IF(NOT(ISNA(VLOOKUP(E524,E$1:E523,1,FALSE()))),"OLD",IF(AND(E524&lt;&gt;"",E524&lt;&gt;"!!!"),"NEW","")))</f>
        <v> </v>
      </c>
      <c r="G524" s="24" t="str">
        <f>IF(OR(E524="",E524="!!!"),"",IF(OR(J524=0,AND(J524=1,K524=1),AND(J524=1,I524="SBJ"),AND(J524=1,I524=0)),"?IN_FOCUS",IF(J524&lt;=2,"?ACTIVATED",IF(J524&lt;&gt;"","?FAMILIAR",IF(F524="NEW",IF(ISNA(VLOOKUP(E524,#REF!,1,FALSE())),"?TYPE_IDENTIFIABLE","?REFERENTIAL"),"_")))))</f>
        <v> </v>
      </c>
      <c r="H524" s="25" t="str">
        <f>IF(J524&lt;&gt;1,"",IF(I524="SBJ","CB","?"))</f>
        <v> </v>
      </c>
      <c r="I524" s="26" t="str">
        <f>IF(OR(E524="",E524="!!!",F524="NEW"),"",INDEX(B523:B$2,-1+SUMPRODUCT(MAX(ROW(E523:E$2)*(E524=E523:E$2)))))</f>
        <v> </v>
      </c>
      <c r="J524" s="26" t="str">
        <f>IF(OR(E524="",E524="!!!",F524="NEW"),"",COUNTBLANK(OFFSET(A$1,,,SUMPRODUCT(MAX(ROW(E$2:E524)*(E524=E$2:E524)))))-COUNTBLANK(OFFSET(A$1,,,SUMPRODUCT(MAX(ROW(E$1:E523)*(E2=E$1:E523))))))</f>
        <v> </v>
      </c>
      <c r="K524" s="26" t="str">
        <f>IF(OR(E524="",E524="!!!",F524="NEW"),"",INDEX(J$1:J523,SUMPRODUCT(MAX(ROW(E$1:E523)*(E524=E$1:E523)))))</f>
        <v> </v>
      </c>
      <c r="L524" s="27"/>
    </row>
    <row r="525" spans="1:12">
      <c r="A525" s="20" t="s">
        <v>180</v>
      </c>
      <c r="B525" s="21" t="s">
        <v>284</v>
      </c>
      <c r="C525" s="21" t="s">
        <v>124</v>
      </c>
      <c r="D525" s="21" t="s">
        <v>108</v>
      </c>
      <c r="E525" s="22">
        <f>IF(D525="?OLD","!!!","")</f>
        <v/>
      </c>
      <c r="F525" s="23" t="str">
        <f>IF(OR(E525="",E525="!!!"),"",IF(NOT(ISNA(VLOOKUP(E525,E$1:E524,1,FALSE()))),"OLD",IF(AND(E525&lt;&gt;"",E525&lt;&gt;"!!!"),"NEW","")))</f>
        <v> </v>
      </c>
      <c r="G525" s="24" t="str">
        <f>IF(OR(E525="",E525="!!!"),"",IF(OR(J525=0,AND(J525=1,K525=1),AND(J525=1,I525="SBJ"),AND(J525=1,I525=0)),"?IN_FOCUS",IF(J525&lt;=2,"?ACTIVATED",IF(J525&lt;&gt;"","?FAMILIAR",IF(F525="NEW",IF(ISNA(VLOOKUP(E525,#REF!,1,FALSE())),"?TYPE_IDENTIFIABLE","?REFERENTIAL"),"_")))))</f>
        <v> </v>
      </c>
      <c r="H525" s="25" t="str">
        <f>IF(J525&lt;&gt;1,"",IF(I525="SBJ","CB","?"))</f>
        <v> </v>
      </c>
      <c r="I525" s="26" t="str">
        <f>IF(OR(E525="",E525="!!!",F525="NEW"),"",INDEX(B524:B$2,-1+SUMPRODUCT(MAX(ROW(E524:E$2)*(E525=E524:E$2)))))</f>
        <v> </v>
      </c>
      <c r="J525" s="26" t="str">
        <f>IF(OR(E525="",E525="!!!",F525="NEW"),"",COUNTBLANK(OFFSET(A$1,,,SUMPRODUCT(MAX(ROW(E$2:E525)*(E525=E$2:E525)))))-COUNTBLANK(OFFSET(A$1,,,SUMPRODUCT(MAX(ROW(E$1:E524)*(E2=E$1:E524))))))</f>
        <v> </v>
      </c>
      <c r="K525" s="26" t="str">
        <f>IF(OR(E525="",E525="!!!",F525="NEW"),"",INDEX(J$1:J524,SUMPRODUCT(MAX(ROW(E$1:E524)*(E525=E$1:E524)))))</f>
        <v> </v>
      </c>
      <c r="L525" s="27"/>
    </row>
    <row r="526" spans="1:12">
      <c r="A526" s="20" t="s">
        <v>362</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318</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138</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
      <c r="A529"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2024-05-20T20:22:07Z</dcterms:created>
  <dcterms:modified xsi:type="dcterms:W3CDTF">2024-05-20T20:22:07Z</dcterms:modified>
</cp:coreProperties>
</file>