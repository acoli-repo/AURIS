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<sst xmlns="http://schemas.openxmlformats.org/spreadsheetml/2006/main" count="13767" uniqueCount="2946">
  <si>
    <t>ID</t>
  </si>
  <si>
    <t>PRED_ID</t>
  </si>
  <si>
    <t>MARKER_AUTO</t>
  </si>
  <si>
    <t>PREDICATE</t>
  </si>
  <si>
    <t>TEXT</t>
  </si>
  <si>
    <t>SENTENCE</t>
  </si>
  <si>
    <t>MARKER</t>
  </si>
  <si>
    <t>TARGET</t>
  </si>
  <si>
    <t>RELATION</t>
  </si>
  <si>
    <t>COMMENT</t>
  </si>
  <si>
    <t>1</t>
  </si>
  <si>
    <t>_</t>
  </si>
  <si>
    <t>Chris</t>
  </si>
  <si>
    <t>Chris Anderson : Bürgerrechte , die Zukunft des Internet .</t>
  </si>
  <si>
    <t>file://conllu/de/teddy-1319.conllu#s1_0</t>
  </si>
  <si>
    <t>2</t>
  </si>
  <si>
    <t>13</t>
  </si>
  <si>
    <t>begrüßen</t>
  </si>
  <si>
    <t>Ich möchte auf der Bühne von TED den Mann hinter diesen Enthüllungen begrüßen : Ed Snowden .</t>
  </si>
  <si>
    <t>file://conllu/de/teddy-1319.conllu#s2_0</t>
  </si>
  <si>
    <t>3</t>
  </si>
  <si>
    <t>5</t>
  </si>
  <si>
    <t>halten</t>
  </si>
  <si>
    <t>( Applaus ) Ed hält sich an einem entfernten Ort in Russland auf .</t>
  </si>
  <si>
    <t>file://conllu/de/teddy-1319.conllu#s3_0</t>
  </si>
  <si>
    <t>4</t>
  </si>
  <si>
    <t>steuern</t>
  </si>
  <si>
    <t>Er steuert diesen Roboter von seinem Laptop aus .</t>
  </si>
  <si>
    <t>file://conllu/de/teddy-1319.conllu#s4_0</t>
  </si>
  <si>
    <t>7</t>
  </si>
  <si>
    <t>Was?</t>
  </si>
  <si>
    <t>sehen (sehen sehen)</t>
  </si>
  <si>
    <t>Er sieht , was der Bot sieht .</t>
  </si>
  <si>
    <t>file://conllu/de/teddy-1319.conllu#s5_0</t>
  </si>
  <si>
    <t>6</t>
  </si>
  <si>
    <t>willkommen</t>
  </si>
  <si>
    <t>Ed , willkommen bei TED !</t>
  </si>
  <si>
    <t>file://conllu/de/teddy-1319.conllu#s6_0</t>
  </si>
  <si>
    <t>sehen</t>
  </si>
  <si>
    <t>Was kannst du eigentlich wirklich sehen ?</t>
  </si>
  <si>
    <t>file://conllu/de/teddy-1319.conllu#s7_0</t>
  </si>
  <si>
    <t>8</t>
  </si>
  <si>
    <t>Edward</t>
  </si>
  <si>
    <t>Edward Snowden :</t>
  </si>
  <si>
    <t>file://conllu/de/teddy-1319.conllu#s8_0</t>
  </si>
  <si>
    <t>9</t>
  </si>
  <si>
    <t>Ich kann alle sehen .</t>
  </si>
  <si>
    <t>file://conllu/de/teddy-1319.conllu#s9_0</t>
  </si>
  <si>
    <t>10</t>
  </si>
  <si>
    <t>sein (sein fantastisch)</t>
  </si>
  <si>
    <t>Es ist fantastisch .</t>
  </si>
  <si>
    <t>file://conllu/de/teddy-1319.conllu#s10_0</t>
  </si>
  <si>
    <t>11</t>
  </si>
  <si>
    <t>Lachen</t>
  </si>
  <si>
    <t>( Lachen im in dem Publikum ) CA : Ed , ich habe ein paar Fragen an dich .</t>
  </si>
  <si>
    <t>file://conllu/de/teddy-1319.conllu#s11_0</t>
  </si>
  <si>
    <t>12</t>
  </si>
  <si>
    <t>du</t>
  </si>
  <si>
    <t>Man hat dich vieles genannt in den letzten Monaten : einen Whistleblower , einen Verräter , einen Helden .</t>
  </si>
  <si>
    <t>file://conllu/de/teddy-1319.conllu#s12_0</t>
  </si>
  <si>
    <t>beschreiben</t>
  </si>
  <si>
    <t>In welchen Worten würdest du dich beschreiben ?</t>
  </si>
  <si>
    <t>file://conllu/de/teddy-1319.conllu#s13_0</t>
  </si>
  <si>
    <t>14</t>
  </si>
  <si>
    <t>19</t>
  </si>
  <si>
    <t>beschäftigen</t>
  </si>
  <si>
    <t>ES : Jeder , der an dieser Debatte beteiligt ist , hat sich mit mir und meiner Persönlichkeit beschäftigt und damit , wie man mich beschreiben sollte .</t>
  </si>
  <si>
    <t>file://conllu/de/teddy-1319.conllu#s14_0</t>
  </si>
  <si>
    <t>15</t>
  </si>
  <si>
    <t>nachdenk</t>
  </si>
  <si>
    <t>Aber , wenn ich darüber nachdenke : Das ist nicht die Frage , mit der wir ringen sollten .</t>
  </si>
  <si>
    <t>file://conllu/de/teddy-1319.conllu#s15_0</t>
  </si>
  <si>
    <t>16</t>
  </si>
  <si>
    <t>spielen</t>
  </si>
  <si>
    <t>Wer ich bin , spielt keine Rolle .</t>
  </si>
  <si>
    <t>file://conllu/de/teddy-1319.conllu#s16_0</t>
  </si>
  <si>
    <t>17</t>
  </si>
  <si>
    <t>hassen</t>
  </si>
  <si>
    <t>Wenn ich der schlimmste Mensch der Welt bin , kann man mich hassen und zur zu der Tagesordnung übergehen .</t>
  </si>
  <si>
    <t>file://conllu/de/teddy-1319.conllu#s17_0</t>
  </si>
  <si>
    <t>18</t>
  </si>
  <si>
    <t>sein (sein Sachfrage)</t>
  </si>
  <si>
    <t>Was zählt , sind die Sachfragen .</t>
  </si>
  <si>
    <t>file://conllu/de/teddy-1319.conllu#s18_0</t>
  </si>
  <si>
    <t>zählen</t>
  </si>
  <si>
    <t>Was zählt , ist die Art von Regierung , die wir wollen , die Art von Internet , die wir wollen , die Art von Beziehung zwischen Menschen und Gesellschaften .</t>
  </si>
  <si>
    <t>file://conllu/de/teddy-1319.conllu#s19_0</t>
  </si>
  <si>
    <t>20</t>
  </si>
  <si>
    <t>sein (sein Richtung)</t>
  </si>
  <si>
    <t>Das ist die Richtung , die ich mir für diese Diskussion erhoffe .</t>
  </si>
  <si>
    <t>file://conllu/de/teddy-1319.conllu#s20_0</t>
  </si>
  <si>
    <t>21</t>
  </si>
  <si>
    <t>Wir haben gesehen , dass dies zunehmend der Fall ist .</t>
  </si>
  <si>
    <t>file://conllu/de/teddy-1319.conllu#s21_0</t>
  </si>
  <si>
    <t>22</t>
  </si>
  <si>
    <t>23</t>
  </si>
  <si>
    <t>sagen</t>
  </si>
  <si>
    <t>Wenn ich mich beschreiben müsste , würde ich keine Wörter wie &amp;quot; Held &amp;quot; benutzen , Ich würde nicht &amp;quot; Patriot &amp;quot; sagen oder &amp;quot; Verräter &amp;quot; .</t>
  </si>
  <si>
    <t>file://conllu/de/teddy-1319.conllu#s22_0</t>
  </si>
  <si>
    <t>Ich würde sagen , ich bin Amerikaner und ein Bürger , so wie jeder andere auch .</t>
  </si>
  <si>
    <t>file://conllu/de/teddy-1319.conllu#s23_0</t>
  </si>
  <si>
    <t>24</t>
  </si>
  <si>
    <t>liefern</t>
  </si>
  <si>
    <t>CA : Um jenen etwas Kontext zu liefern , die nicht mit der ganzen Geschichte vertraut sind :</t>
  </si>
  <si>
    <t>file://conllu/de/teddy-1319.conllu#s24_0</t>
  </si>
  <si>
    <t>25</t>
  </si>
  <si>
    <t>warsen</t>
  </si>
  <si>
    <t>Vor einem Jahr warst du noch in Hawaii und hast im in dem Auftrag der NSA gearbeitet .</t>
  </si>
  <si>
    <t>file://conllu/de/teddy-1319.conllu#s25_0</t>
  </si>
  <si>
    <t>26</t>
  </si>
  <si>
    <t>hattesen</t>
  </si>
  <si>
    <t>Als Systemadministrator hattest du Zugang zu ihren Systemen .</t>
  </si>
  <si>
    <t>file://conllu/de/teddy-1319.conllu#s26_0</t>
  </si>
  <si>
    <t>27</t>
  </si>
  <si>
    <t>übergeben</t>
  </si>
  <si>
    <t>Du hast angefangen , vertrauliche Dokumente ausgewählten Journalisten zu übergeben .</t>
  </si>
  <si>
    <t>file://conllu/de/teddy-1319.conllu#s27_0</t>
  </si>
  <si>
    <t>28</t>
  </si>
  <si>
    <t>führen</t>
  </si>
  <si>
    <t>Das hat dann zu den Enthüllungen im in dem Juni geführt .</t>
  </si>
  <si>
    <t>file://conllu/de/teddy-1319.conllu#s28_0</t>
  </si>
  <si>
    <t>29</t>
  </si>
  <si>
    <t>veranlassen</t>
  </si>
  <si>
    <t>Was hat dich dazu veranlasst ?</t>
  </si>
  <si>
    <t>file://conllu/de/teddy-1319.conllu#s29_0</t>
  </si>
  <si>
    <t>30</t>
  </si>
  <si>
    <t>weißen|wissen</t>
  </si>
  <si>
    <t>ES : Weißt du , als ich auf Hawaii saß , und in den Jahren davor , als ich für die Nachrichtendienste arbeitete , sah ich viele Dinge , die mich beunruhigten .</t>
  </si>
  <si>
    <t>file://conllu/de/teddy-1319.conllu#s30_0</t>
  </si>
  <si>
    <t>31</t>
  </si>
  <si>
    <t>tun</t>
  </si>
  <si>
    <t>Wir tun viel Gutes in den Nachrichtendiensten , Dinge , die getan werden müssen , Dinge , die allen helfen .</t>
  </si>
  <si>
    <t>file://conllu/de/teddy-1319.conllu#s31_0</t>
  </si>
  <si>
    <t>32</t>
  </si>
  <si>
    <t>geben</t>
  </si>
  <si>
    <t>Aber es gibt auch Dinge , die zu weit gehen .</t>
  </si>
  <si>
    <t>file://conllu/de/teddy-1319.conllu#s32_0</t>
  </si>
  <si>
    <t>33</t>
  </si>
  <si>
    <t>sein (sein Entscheidung)</t>
  </si>
  <si>
    <t>Da sind Dinge , die man nicht tun sollte , und Entscheidungen , die im in dem Geheimen getroffen wurden , von denen die Öffentlichkeit nichts wusste , ohne Zustimmung der Öffentlichkeit , und sogar unsere Regierungsvertreter wussten nichts von diesen Programmen .</t>
  </si>
  <si>
    <t>file://conllu/de/teddy-1319.conllu#s33_0</t>
  </si>
  <si>
    <t>34</t>
  </si>
  <si>
    <t>fragen</t>
  </si>
  <si>
    <t>Als ich anfing , mich an diesen Problemen zu stoßen , habe ich mich gefragt : Wie kann ich diese Sache so verantwortungsbewusst wie möglich angehen , damit die Öffentlichkeit den maximalen Nutzen zieht , aber die Risiken minimal bleiben ?</t>
  </si>
  <si>
    <t>file://conllu/de/teddy-1319.conllu#s34_0</t>
  </si>
  <si>
    <t>35</t>
  </si>
  <si>
    <t>wend</t>
  </si>
  <si>
    <t>Bei allen Lösungen , die mir einfielen , außer &amp;quot; Ich wende mich an den Kongress &amp;quot; , wenn es keine Gesetze gab , wenn es keinen rechtlichen Schutz gab für eine angestellte Privatperson , für einen Subunternehmer im in dem Nachrichtendienst wie mich , bestand das Risiko , dass man mich mit der Information begraben würde , ohne dass die Öffentlichkeit davon je erführe .</t>
  </si>
  <si>
    <t>file://conllu/de/teddy-1319.conllu#s35_0</t>
  </si>
  <si>
    <t>36</t>
  </si>
  <si>
    <t>garantieren</t>
  </si>
  <si>
    <t>Aber der erste Zusatzartikel der amerikanischen Verfassung garantiert uns die Pressefreiheit aus gutem Grund , nämlich um eine Presse zu ermöglichen , die unbequem ist , die die Regierung herausfordert , aber auch mit der Regierung arbeitet , um Dialog und Debatte zu ermöglichen , wie wir die Öffentlichkeit über entscheidende Fragen informieren können , ohne die nationale Sicherheit zu gefährden .</t>
  </si>
  <si>
    <t>file://conllu/de/teddy-1319.conllu#s36_0</t>
  </si>
  <si>
    <t>37</t>
  </si>
  <si>
    <t>Debatte</t>
  </si>
  <si>
    <t>Indem ich mit Journalisten gearbeitet habe , indem ich all meine Informationen dem amerikanischen Volk zurückgegeben habe , statt nur auf mich selbst zu vertrauen bei Entscheidungen über die Veröffentlichung , hatten wir eine handfeste Debatte , an der sich die Regierung intensiv beteiligt und die allen einen Nutzen gebracht hat .</t>
  </si>
  <si>
    <t>file://conllu/de/teddy-1319.conllu#s37_0</t>
  </si>
  <si>
    <t>38</t>
  </si>
  <si>
    <t>materialisieren</t>
  </si>
  <si>
    <t>Die Risiken , mit denen gedroht wurde , die Risiken , die von der Regierung hochgespielt wurden , haben sich nie materialisiert .</t>
  </si>
  <si>
    <t>file://conllu/de/teddy-1319.conllu#s38_0</t>
  </si>
  <si>
    <t>39</t>
  </si>
  <si>
    <t>Und deshalb?</t>
  </si>
  <si>
    <t>haben</t>
  </si>
  <si>
    <t>Wir haben keinerlei Hinweis , dass auch nur ein Schaden entstanden wäre , und deshalb kann ich mit meinen Entscheidungen gut leben .</t>
  </si>
  <si>
    <t>file://conllu/de/teddy-1319.conllu#s39_0</t>
  </si>
  <si>
    <t>40</t>
  </si>
  <si>
    <t>CA : Lass mich dem Publikum ein paar Beispiele für deine Enthüllungen geben .</t>
  </si>
  <si>
    <t>file://conllu/de/teddy-1319.conllu#s40_0</t>
  </si>
  <si>
    <t>41</t>
  </si>
  <si>
    <t>Können wir jetzt bitte das Schaubild haben ?</t>
  </si>
  <si>
    <t>file://conllu/de/teddy-1319.conllu#s41_0</t>
  </si>
  <si>
    <t>42</t>
  </si>
  <si>
    <t>sein (sein da)</t>
  </si>
  <si>
    <t>Ed , ich weiß nicht , ob du dies sehen kannst : Die Bilder der Präsentation sind da .</t>
  </si>
  <si>
    <t>file://conllu/de/teddy-1319.conllu#s42_0</t>
  </si>
  <si>
    <t>43</t>
  </si>
  <si>
    <t>zeigen</t>
  </si>
  <si>
    <t>Diese Grafik zeigt das Programm PRISM .</t>
  </si>
  <si>
    <t>file://conllu/de/teddy-1319.conllu#s43_0</t>
  </si>
  <si>
    <t>44</t>
  </si>
  <si>
    <t>erläutern</t>
  </si>
  <si>
    <t>Kannst du dem Publikum erläutern , was darüber bekannt wurde ?</t>
  </si>
  <si>
    <t>file://conllu/de/teddy-1319.conllu#s44_0</t>
  </si>
  <si>
    <t>45</t>
  </si>
  <si>
    <t>es</t>
  </si>
  <si>
    <t>ES : Um zu verstehen , was PRISM ist , denn da war man geteilter Ansicht sollte man erst klären , was es nicht ist .</t>
  </si>
  <si>
    <t>file://conllu/de/teddy-1319.conllu#s45_0</t>
  </si>
  <si>
    <t>46</t>
  </si>
  <si>
    <t>beziehen</t>
  </si>
  <si>
    <t>Ein großer Teil der Debatte in den USA bezog sich auf Metadaten .</t>
  </si>
  <si>
    <t>file://conllu/de/teddy-1319.conllu#s46_0</t>
  </si>
  <si>
    <t>47</t>
  </si>
  <si>
    <t>Sie sagten , es seien nur Metadaten .</t>
  </si>
  <si>
    <t>file://conllu/de/teddy-1319.conllu#s47_0</t>
  </si>
  <si>
    <t>48</t>
  </si>
  <si>
    <t>Sie beziehen sich dabei auf eine rechtliche Grundlage : den Abschnitt 215 des Patriot Act .</t>
  </si>
  <si>
    <t>file://conllu/de/teddy-1319.conllu#s48_0</t>
  </si>
  <si>
    <t>49</t>
  </si>
  <si>
    <t>erlaubt</t>
  </si>
  <si>
    <t>Er erlaubt eine Art Abhören ohne richterlichen Beschluss , eine Massenüberwachung der Verbindungsdaten des ganzen Landes , solche Dinge ... Mit wem du sprichst , wann du mit jemandem sprichst , wohin du gereist bist .</t>
  </si>
  <si>
    <t>file://conllu/de/teddy-1319.conllu#s49_0</t>
  </si>
  <si>
    <t>50</t>
  </si>
  <si>
    <t>sein (sein Ereignis)</t>
  </si>
  <si>
    <t>All das sind Metadaten Ereignisse .</t>
  </si>
  <si>
    <t>file://conllu/de/teddy-1319.conllu#s50_0</t>
  </si>
  <si>
    <t>51</t>
  </si>
  <si>
    <t>gehen</t>
  </si>
  <si>
    <t>Bei PRISM geht es um Inhalt .</t>
  </si>
  <si>
    <t>file://conllu/de/teddy-1319.conllu#s51_0</t>
  </si>
  <si>
    <t>52</t>
  </si>
  <si>
    <t>sein (sein Programm)</t>
  </si>
  <si>
    <t>Es ist ein Programm , mit dem die Regierung die Unternehmen Amerikas zwingen kann , an ihrer Stelle und in ihrem Namen die Dreckarbeit für die NSA zu übernehmen .</t>
  </si>
  <si>
    <t>file://conllu/de/teddy-1319.conllu#s52_0</t>
  </si>
  <si>
    <t>53</t>
  </si>
  <si>
    <t>denken</t>
  </si>
  <si>
    <t>Obwohl sich einige Unternehmen gewehrt haben und obwohl einige ich denke , Yahoo war eines von ihnen vor Gericht zogen , haben alle verloren , weil die Fälle nie öffentlich verhandelt wurden .</t>
  </si>
  <si>
    <t>file://conllu/de/teddy-1319.conllu#s53_0</t>
  </si>
  <si>
    <t>54</t>
  </si>
  <si>
    <t>entscheiden</t>
  </si>
  <si>
    <t>Über sie entschied ein geheimes Gericht .</t>
  </si>
  <si>
    <t>file://conllu/de/teddy-1319.conllu#s54_0</t>
  </si>
  <si>
    <t>55</t>
  </si>
  <si>
    <t>feststellen</t>
  </si>
  <si>
    <t>Wir haben im in dem Zusammenhang mit Prism etwas festgestellt , das ich besorgniserregend finde :</t>
  </si>
  <si>
    <t>file://conllu/de/teddy-1319.conllu#s55_0</t>
  </si>
  <si>
    <t>56</t>
  </si>
  <si>
    <t>Es gab Gespräche in der US Regierung , in denen gesagt wurde , 15 Bundesrichter hätten diese Programme begutachtet und als gesetzmäßig befunden .</t>
  </si>
  <si>
    <t>file://conllu/de/teddy-1319.conllu#s56_0</t>
  </si>
  <si>
    <t>57</t>
  </si>
  <si>
    <t>verraten</t>
  </si>
  <si>
    <t>Aber sie verraten nicht , dass dies geheime Richter sind in einem geheimen Gericht , das auf der Grundlage vertraulicher Rechtsauslegungen über 34.000 Überwachungsanträge entschieden hat im in dem Lauf von 33 Jahren und in 33 Jahren nur elf Anträge der Regierung abgelehnt hat .</t>
  </si>
  <si>
    <t>file://conllu/de/teddy-1319.conllu#s57_0</t>
  </si>
  <si>
    <t>58</t>
  </si>
  <si>
    <t>sein (sein Leute)</t>
  </si>
  <si>
    <t>Dies sind nicht die Leute , die wir als Entscheider wollen , wenn es um die Rolle amerikanischer Konzerne in einem freien und offenen Internet geht .</t>
  </si>
  <si>
    <t>file://conllu/de/teddy-1319.conllu#s58_0</t>
  </si>
  <si>
    <t>59</t>
  </si>
  <si>
    <t>listen</t>
  </si>
  <si>
    <t>CA : Die Grafik , die wir hier zeigen , listet die Daten auf , wann diverse Technologie und Internetunternehmen sich dem Programm mutmaßlich anschlossen und wann die Sammlung von Daten bei ihnen begann .</t>
  </si>
  <si>
    <t>file://conllu/de/teddy-1319.conllu#s59_0</t>
  </si>
  <si>
    <t>60</t>
  </si>
  <si>
    <t>bestreiten</t>
  </si>
  <si>
    <t>Sie haben die Kooperation mit der NSA bestritten .</t>
  </si>
  <si>
    <t>file://conllu/de/teddy-1319.conllu#s60_0</t>
  </si>
  <si>
    <t>61</t>
  </si>
  <si>
    <t>sammeln</t>
  </si>
  <si>
    <t>Wie hat die NSA diese Daten gesammelt ?</t>
  </si>
  <si>
    <t>file://conllu/de/teddy-1319.conllu#s61_0</t>
  </si>
  <si>
    <t>62</t>
  </si>
  <si>
    <t>ES : Die eigenen Präsentationen der NSA bezeichnen das als direkten Zugang .</t>
  </si>
  <si>
    <t>file://conllu/de/teddy-1319.conllu#s62_0</t>
  </si>
  <si>
    <t>63</t>
  </si>
  <si>
    <t>bedeuten</t>
  </si>
  <si>
    <t>Für einen tatsächlichen NSA Analysten , jemanden wie mich , der in Hawaii als Analyst für den Geheimdienst chinesische Cyber Hacker oder ähnliches im in dem Visier hatte , bedeutet das , dass die Daten direkt von ihren Servern kommen .</t>
  </si>
  <si>
    <t>file://conllu/de/teddy-1319.conllu#s63_0</t>
  </si>
  <si>
    <t>64</t>
  </si>
  <si>
    <t>heißen</t>
  </si>
  <si>
    <t>Das heißt nicht , dass eine Gruppe von Mitarbeitern des Unternehmens mit der NSA in einem verrauchten Raum sitzt , sich langweilt und im in dem Hinterzimmer aushandelt , wie sie dieses Zeug weitergeben werden .</t>
  </si>
  <si>
    <t>file://conllu/de/teddy-1319.conllu#s64_0</t>
  </si>
  <si>
    <t>65</t>
  </si>
  <si>
    <t>handhabt</t>
  </si>
  <si>
    <t>Jedes Unternehmen handhabt das anders .</t>
  </si>
  <si>
    <t>file://conllu/de/teddy-1319.conllu#s65_0</t>
  </si>
  <si>
    <t>66</t>
  </si>
  <si>
    <t>sein (sein verantwortungsbewussen)</t>
  </si>
  <si>
    <t>Manche sind verantwortungsbewusst .</t>
  </si>
  <si>
    <t>file://conllu/de/teddy-1319.conllu#s66_0</t>
  </si>
  <si>
    <t>67</t>
  </si>
  <si>
    <t>Manche sind etwas weniger verantwortungsbewusst .</t>
  </si>
  <si>
    <t>file://conllu/de/teddy-1319.conllu#s67_0</t>
  </si>
  <si>
    <t>68</t>
  </si>
  <si>
    <t>Unterm</t>
  </si>
  <si>
    <t>Unterm Strich aber , wenn wir davon sprechen , wie diese Informationen übergeben werden :</t>
  </si>
  <si>
    <t>file://conllu/de/teddy-1319.conllu#s68_0</t>
  </si>
  <si>
    <t>69</t>
  </si>
  <si>
    <t>kommen</t>
  </si>
  <si>
    <t>Sie kommen von den Unternehmen selbst .</t>
  </si>
  <si>
    <t>file://conllu/de/teddy-1319.conllu#s69_0</t>
  </si>
  <si>
    <t>70</t>
  </si>
  <si>
    <t>stehlen</t>
  </si>
  <si>
    <t>Sie werden nicht aus Leitungen gestohlen .</t>
  </si>
  <si>
    <t>file://conllu/de/teddy-1319.conllu#s70_0</t>
  </si>
  <si>
    <t>71</t>
  </si>
  <si>
    <t>vergessen</t>
  </si>
  <si>
    <t>Man darf einen wichtigen Punkt nicht vergessen :</t>
  </si>
  <si>
    <t>file://conllu/de/teddy-1319.conllu#s71_0</t>
  </si>
  <si>
    <t>72</t>
  </si>
  <si>
    <t>wehrn</t>
  </si>
  <si>
    <t>Obwohl die Unternehmen sich wehrten , obwohl die Unternehmen forderten : &amp;quot; Lasst uns das mit einem Genehmigungsverfahren machen .</t>
  </si>
  <si>
    <t>file://conllu/de/teddy-1319.conllu#s72_0</t>
  </si>
  <si>
    <t>73</t>
  </si>
  <si>
    <t>machen</t>
  </si>
  <si>
    <t>Lasst uns das so machen , dass wir eine Art rechtlicher Prüfung haben , eine Art Grundlage für die Herausgabe von Anwenderdaten haben . &amp;quot;</t>
  </si>
  <si>
    <t>file://conllu/de/teddy-1319.conllu#s73_0</t>
  </si>
  <si>
    <t>74</t>
  </si>
  <si>
    <t>bringen</t>
  </si>
  <si>
    <t>Letztes Jahr brachte die Washington Post Berichte , die weniger Medienecho hatten als der Bericht über Prism , in denen es hieß , die NSA sei in die interne Kommunikation zwischen Google Datenzentren und Yahoo Datenzentren eingedrungen .</t>
  </si>
  <si>
    <t>file://conllu/de/teddy-1319.conllu#s74_0</t>
  </si>
  <si>
    <t>75</t>
  </si>
  <si>
    <t>Also selbst bei Unternehmen , die unter gewissem Zwang , aber auf hoffentlich legale Weise mit der NSA kooperieren , gibt sich die NSA damit nicht zufrieden .</t>
  </si>
  <si>
    <t>file://conllu/de/teddy-1319.conllu#s75_0</t>
  </si>
  <si>
    <t>76</t>
  </si>
  <si>
    <t>brauchen</t>
  </si>
  <si>
    <t>Deshalb brauchen wir Unternehmen , die sich intensiv engagieren , um zu garantieren , dass sie die Interessen der Nutzer vertreten werden und sich für die Rechte der Nutzer einsetzen .</t>
  </si>
  <si>
    <t>file://conllu/de/teddy-1319.conllu#s76_0</t>
  </si>
  <si>
    <t>78</t>
  </si>
  <si>
    <t>ermutigen</t>
  </si>
  <si>
    <t>Ich ermutige sie , weiterzumachen .</t>
  </si>
  <si>
    <t>file://conllu/de/teddy-1319.conllu#s78_0</t>
  </si>
  <si>
    <t>79</t>
  </si>
  <si>
    <t>CA : Was sollten sie denn noch tun ?</t>
  </si>
  <si>
    <t>file://conllu/de/teddy-1319.conllu#s79_0</t>
  </si>
  <si>
    <t>80</t>
  </si>
  <si>
    <t>ziehen</t>
  </si>
  <si>
    <t>ES : Das Größte , was ein Internetunternehmen in Amerika jetzt und heute tun kann , ohne Anwälte zu Rate zu ziehen , um die Rechte ihrer Nutzer weltweit zu schützen , ist das Ermöglichen von SSL Netzverschlüsselung auf jeder Seite , die man besucht .</t>
  </si>
  <si>
    <t>file://conllu/de/teddy-1319.conllu#s80_0</t>
  </si>
  <si>
    <t>81</t>
  </si>
  <si>
    <t>sein (sein wichtig)</t>
  </si>
  <si>
    <t>Der Grund , weshalb das wichtig ist : Wenn du dir heute auf Amazon.com eine Ausgabe von &amp;quot; 1984 &amp;quot; ansiehst , kann die NSA das in einem Protokoll sehen .</t>
  </si>
  <si>
    <t>file://conllu/de/teddy-1319.conllu#s81_0</t>
  </si>
  <si>
    <t>82</t>
  </si>
  <si>
    <t>Der russische Geheimdienst kann das in einem Protokoll sehen .</t>
  </si>
  <si>
    <t>file://conllu/de/teddy-1319.conllu#s82_0</t>
  </si>
  <si>
    <t>83</t>
  </si>
  <si>
    <t>Geheimdienst</t>
  </si>
  <si>
    <t>Der chinesische Geheimdienst , der französische , der deutsche und der Geheimdienst von Andorra .</t>
  </si>
  <si>
    <t>file://conllu/de/teddy-1319.conllu#s83_0</t>
  </si>
  <si>
    <t>84</t>
  </si>
  <si>
    <t>Sie alle können das sehen , weil es nicht verschlüsselt ist .</t>
  </si>
  <si>
    <t>file://conllu/de/teddy-1319.conllu#s84_0</t>
  </si>
  <si>
    <t>85</t>
  </si>
  <si>
    <t>sein (sein Bibliothek)</t>
  </si>
  <si>
    <t>Amazon.com ist die Bibliothek der Welt .</t>
  </si>
  <si>
    <t>file://conllu/de/teddy-1319.conllu#s85_0</t>
  </si>
  <si>
    <t>86</t>
  </si>
  <si>
    <t>verzichten</t>
  </si>
  <si>
    <t>Aber es verzichtet nicht nur auf Verschlüsselung als generellen Standard , man kann auch Verschlüsselung nicht wählen , wenn man in den Büchern stöbert .</t>
  </si>
  <si>
    <t>file://conllu/de/teddy-1319.conllu#s86_0</t>
  </si>
  <si>
    <t>87</t>
  </si>
  <si>
    <t>sein (sein etwas)</t>
  </si>
  <si>
    <t>Das ist etwas , das wir ändern müssen , nicht nur bei Amazon .</t>
  </si>
  <si>
    <t>file://conllu/de/teddy-1319.conllu#s87_0</t>
  </si>
  <si>
    <t>88</t>
  </si>
  <si>
    <t>herausgreifen</t>
  </si>
  <si>
    <t>Ich möchte die Seite nicht herausgreifen , aber sie ist ein großartiges Beispiel .</t>
  </si>
  <si>
    <t>file://conllu/de/teddy-1319.conllu#s88_0</t>
  </si>
  <si>
    <t>89</t>
  </si>
  <si>
    <t>übergehen</t>
  </si>
  <si>
    <t>Alle Unternehmen müssen zum zu dem gewohnheitsmäßig verschlüsselten Surfen als Standard übergehen für alle Nutzer , die nicht selbst Maßnahmen ergriffen oder eine eigene Methode gewählt haben .</t>
  </si>
  <si>
    <t>file://conllu/de/teddy-1319.conllu#s89_0</t>
  </si>
  <si>
    <t>90</t>
  </si>
  <si>
    <t>stärken</t>
  </si>
  <si>
    <t>Das stärkt die Privatsphäre und die Rechte , die Menschen weltweit genießen .</t>
  </si>
  <si>
    <t>file://conllu/de/teddy-1319.conllu#s90_0</t>
  </si>
  <si>
    <t>91</t>
  </si>
  <si>
    <t>Komm</t>
  </si>
  <si>
    <t>CA : Komm mit mir auf diese Seite der Bühne .</t>
  </si>
  <si>
    <t>file://conllu/de/teddy-1319.conllu#s91_0</t>
  </si>
  <si>
    <t>92</t>
  </si>
  <si>
    <t>Ich möchte dir das nächste Bild zeigen .</t>
  </si>
  <si>
    <t>file://conllu/de/teddy-1319.conllu#s92_0</t>
  </si>
  <si>
    <t>93</t>
  </si>
  <si>
    <t>Dieses Programm heißt &amp;quot; Boundless Informant &amp;quot; .</t>
  </si>
  <si>
    <t>file://conllu/de/teddy-1319.conllu#s93_0</t>
  </si>
  <si>
    <t>94</t>
  </si>
  <si>
    <t>sein</t>
  </si>
  <si>
    <t>Was ist das ?</t>
  </si>
  <si>
    <t>file://conllu/de/teddy-1319.conllu#s94_0</t>
  </si>
  <si>
    <t>95</t>
  </si>
  <si>
    <t>ES : Ich muss der NSA hier Anerkennung zollen für die Verwendung treffender Namen .</t>
  </si>
  <si>
    <t>file://conllu/de/teddy-1319.conllu#s95_0</t>
  </si>
  <si>
    <t>96</t>
  </si>
  <si>
    <t>sein (sein Lieblingscodename)</t>
  </si>
  <si>
    <t>Dies ist einer meiner Lieblingscodenamen der NSA .</t>
  </si>
  <si>
    <t>file://conllu/de/teddy-1319.conllu#s96_0</t>
  </si>
  <si>
    <t>97</t>
  </si>
  <si>
    <t>&amp;quot; Boundless Informant &amp;quot; [ &amp;quot; Informant ohne Grenzen &amp;quot; ] ist ein Programm , das die NSA vor dem Kongress verborgen hielt .</t>
  </si>
  <si>
    <t>file://conllu/de/teddy-1319.conllu#s97_0</t>
  </si>
  <si>
    <t>98</t>
  </si>
  <si>
    <t>Der Kongress hatte die NSA im in dem Vorfeld gefragt , ob sie irgendeine Möglichkeit besäße , eine sehr grobe Schätzung abzugeben über den Umfang an amerikanischer Kommunikation , den sie überwachen .</t>
  </si>
  <si>
    <t>file://conllu/de/teddy-1319.conllu#s98_0</t>
  </si>
  <si>
    <t>99</t>
  </si>
  <si>
    <t>Sie sagte : Nein , wir erheben diese Daten nicht und wir können diese Daten nicht erheben .</t>
  </si>
  <si>
    <t>file://conllu/de/teddy-1319.conllu#s99_0</t>
  </si>
  <si>
    <t>100</t>
  </si>
  <si>
    <t>Wir können Ihnen nicht sagen , wie viel Kommunikation wir weltweit überwachen , weil wir Ihre Privatsphäre verletzen würden , wenn wir Ihnen das mitteilen .</t>
  </si>
  <si>
    <t>file://conllu/de/teddy-1319.conllu#s100_0</t>
  </si>
  <si>
    <t>101</t>
  </si>
  <si>
    <t>sein (sein Haltung)</t>
  </si>
  <si>
    <t>Das ist eine Haltung , die ich begrüße .</t>
  </si>
  <si>
    <t>file://conllu/de/teddy-1319.conllu#s101_0</t>
  </si>
  <si>
    <t>102</t>
  </si>
  <si>
    <t>sein (sein Tatsache)</t>
  </si>
  <si>
    <t>Tatsache aber ist , wie diese Grafik zeigt , dass sie dazu nicht nur fähig sind , sondern die Fähigkeit selbst bereits existiert .</t>
  </si>
  <si>
    <t>file://conllu/de/teddy-1319.conllu#s102_0</t>
  </si>
  <si>
    <t>103</t>
  </si>
  <si>
    <t>sein (sein umsetzen)</t>
  </si>
  <si>
    <t>Sie ist bereits umgesetzt .</t>
  </si>
  <si>
    <t>file://conllu/de/teddy-1319.conllu#s103_0</t>
  </si>
  <si>
    <t>104</t>
  </si>
  <si>
    <t>verwenden</t>
  </si>
  <si>
    <t>Die NSA verwendet ein eigenes internes Datenformat , das beide Endpunkte einer Kommunikation erfasst .</t>
  </si>
  <si>
    <t>file://conllu/de/teddy-1319.conllu#s104_0</t>
  </si>
  <si>
    <t>105</t>
  </si>
  <si>
    <t>besagen</t>
  </si>
  <si>
    <t>Wenn es besagt , dass die Kommunikation aus den USA kommt , dann können sie dem Kongress auch sagen , wie viel solcher Kommunikation sie haben , heute , in diesem Moment .</t>
  </si>
  <si>
    <t>file://conllu/de/teddy-1319.conllu#s105_0</t>
  </si>
  <si>
    <t>106</t>
  </si>
  <si>
    <t>&amp;quot; Informant ohne Grenzen &amp;quot; verrät uns , dass mehr Kommunikation abgehört wird , in Amerika , über Amerikaner , als in Russland über Russen .</t>
  </si>
  <si>
    <t>file://conllu/de/teddy-1319.conllu#s106_0</t>
  </si>
  <si>
    <t>107</t>
  </si>
  <si>
    <t>sein (sein sicher)</t>
  </si>
  <si>
    <t>Ich bin nicht sicher , ob dies das Ziel eines Geheimdienstes sein sollte .</t>
  </si>
  <si>
    <t>file://conllu/de/teddy-1319.conllu#s107_0</t>
  </si>
  <si>
    <t>108</t>
  </si>
  <si>
    <t>ca</t>
  </si>
  <si>
    <t>CA :</t>
  </si>
  <si>
    <t>file://conllu/de/teddy-1319.conllu#s108_0</t>
  </si>
  <si>
    <t>109</t>
  </si>
  <si>
    <t>Die Washington Post hat einen Artikel gebracht , der ebenfalls auf deinen Daten fußt .</t>
  </si>
  <si>
    <t>file://conllu/de/teddy-1319.conllu#s109_0</t>
  </si>
  <si>
    <t>110</t>
  </si>
  <si>
    <t>lauten</t>
  </si>
  <si>
    <t>Die Schlagzeile lautet : &amp;quot; Die NSA hat Datenschutzbestimmungen Tausende Male pro Jahr verletzt . &amp;quot;</t>
  </si>
  <si>
    <t>file://conllu/de/teddy-1319.conllu#s110_0</t>
  </si>
  <si>
    <t>111</t>
  </si>
  <si>
    <t>wir</t>
  </si>
  <si>
    <t>Erzähl uns darüber .</t>
  </si>
  <si>
    <t>file://conllu/de/teddy-1319.conllu#s111_0</t>
  </si>
  <si>
    <t>112</t>
  </si>
  <si>
    <t>ES : Wir haben bei der Anhörung im in dem Kongressausschuss letztes Jahr auch gehört und es hat mich erstaunt , als jemand , der von der NSA kam und die internen Unterlagen gesehen hat und weiß , was darin steht , zu beobachten , wie Beamte unter Eid aussagen , dass es keinen Missbrauch gegeben hat , dass die NSA Bestimmungen nicht verletzt wurden , obwohl wir wussten , dass dieser Artikel kommen würde .</t>
  </si>
  <si>
    <t>file://conllu/de/teddy-1319.conllu#s112_0</t>
  </si>
  <si>
    <t>113</t>
  </si>
  <si>
    <t>sein (sein interessant)</t>
  </si>
  <si>
    <t>Aber was daran besonders interessant ist , an der Tatsache , dass die NSA ihre eigenen Regeln , ihre Gesetze tausende Male in einem einzigen Jahr verletzt , darunter ein Vorfall , der für sich genommen , ein Vorfall unter diesen 2776 Fällen , der über 3000 Menschen betraf .</t>
  </si>
  <si>
    <t>file://conllu/de/teddy-1319.conllu#s113_0</t>
  </si>
  <si>
    <t>114</t>
  </si>
  <si>
    <t>In einem anderen Fall haben sie alle Anrufe in Washington , D.C. abgehört aus Versehen .</t>
  </si>
  <si>
    <t>file://conllu/de/teddy-1319.conllu#s114_0</t>
  </si>
  <si>
    <t>115</t>
  </si>
  <si>
    <t>erregen</t>
  </si>
  <si>
    <t>Was an diesem Bericht erstaunlich ist , der für sich genommen nicht viel Aufsehen erregte , ist nicht nur , dass es 2776 Übergriffe gab , sondern , dass die Vorsitzende des Ausschusses für Nachrichtendienste , Dianne Feinstein , den Bericht nicht gesehen hatte , bis die Washington Post sie kontaktierte und um eine Stellungnahme bat .</t>
  </si>
  <si>
    <t>file://conllu/de/teddy-1319.conllu#s115_0</t>
  </si>
  <si>
    <t>116</t>
  </si>
  <si>
    <t>fordern</t>
  </si>
  <si>
    <t>Sie forderte daraufhin eine Kopie von der NSA an und bekam sie , hatte den Bericht aber vorher nie gesehen .</t>
  </si>
  <si>
    <t>file://conllu/de/teddy-1319.conllu#s116_0</t>
  </si>
  <si>
    <t>117</t>
  </si>
  <si>
    <t>Was sagt das über den Zustand der Aufsicht über den amerikanischen Nachrichtendienst , wenn die Vorsitzende des Senatsausschusses für Nachrichtendienste keine Ahnung davon hat , dass die Bestimmungen tausende Male jedes Jahr verletzt werden ?</t>
  </si>
  <si>
    <t>file://conllu/de/teddy-1319.conllu#s117_0</t>
  </si>
  <si>
    <t>118</t>
  </si>
  <si>
    <t>Warum?</t>
  </si>
  <si>
    <t>ausmachen</t>
  </si>
  <si>
    <t>CA : Ed , eine Reaktion auf diese ganze Debatte ist : Warum sollte uns die ganze Überwachung etwas ausmachen ?</t>
  </si>
  <si>
    <t>file://conllu/de/teddy-1319.conllu#s118_0</t>
  </si>
  <si>
    <t>119</t>
  </si>
  <si>
    <t>Wenn man nichts verbrochen hat , muss man sich auch keine Gedanken machen .</t>
  </si>
  <si>
    <t>file://conllu/de/teddy-1319.conllu#s119_0</t>
  </si>
  <si>
    <t>120</t>
  </si>
  <si>
    <t>sein (sein falsch)</t>
  </si>
  <si>
    <t>Was ist an dieser Einstellung falsch ?</t>
  </si>
  <si>
    <t>file://conllu/de/teddy-1319.conllu#s120_0</t>
  </si>
  <si>
    <t>121</t>
  </si>
  <si>
    <t>ES : Der erste Punkt ist :</t>
  </si>
  <si>
    <t>file://conllu/de/teddy-1319.conllu#s121_0</t>
  </si>
  <si>
    <t>122</t>
  </si>
  <si>
    <t>verzichtesen</t>
  </si>
  <si>
    <t>Du verzichtest auf deine Rechte .</t>
  </si>
  <si>
    <t>file://conllu/de/teddy-1319.conllu#s122_0</t>
  </si>
  <si>
    <t>123</t>
  </si>
  <si>
    <t>Du sagst : &amp;quot; Weißt du , ich glaube , ich werde sie nicht brauchen .</t>
  </si>
  <si>
    <t>file://conllu/de/teddy-1319.conllu#s123_0</t>
  </si>
  <si>
    <t>124</t>
  </si>
  <si>
    <t>vertrauen</t>
  </si>
  <si>
    <t>Also vertraue ich einfach darauf .</t>
  </si>
  <si>
    <t>file://conllu/de/teddy-1319.conllu#s124_0</t>
  </si>
  <si>
    <t>125</t>
  </si>
  <si>
    <t>schaffen</t>
  </si>
  <si>
    <t>Wir schaffen sie ab , es ist nicht wirklich wichtig .</t>
  </si>
  <si>
    <t>file://conllu/de/teddy-1319.conllu#s125_0</t>
  </si>
  <si>
    <t>126</t>
  </si>
  <si>
    <t>Diese Leute werden schon das Richtige tun . &amp;quot;</t>
  </si>
  <si>
    <t>file://conllu/de/teddy-1319.conllu#s126_0</t>
  </si>
  <si>
    <t>127</t>
  </si>
  <si>
    <t>Eure Rechte sind wichtig , weil ihr nie wisst , wann ihr sie brauchen werdet .</t>
  </si>
  <si>
    <t>file://conllu/de/teddy-1319.conllu#s127_0</t>
  </si>
  <si>
    <t>128</t>
  </si>
  <si>
    <t>sein (sein Teil)</t>
  </si>
  <si>
    <t>Darüber hinaus ist es Teil unserer kulturellen Identität , nicht nur in Amerika , sondern auch in westlichen Gesellschaften und in demokratischen Gesellschaften in der ganzen Welt .</t>
  </si>
  <si>
    <t>file://conllu/de/teddy-1319.conllu#s128_0</t>
  </si>
  <si>
    <t>129</t>
  </si>
  <si>
    <t>Leute sollten in der Lage sein , einen Hörer in die Hand zu nehmen und ihre Familie anzurufen ;</t>
  </si>
  <si>
    <t>file://conllu/de/teddy-1319.conllu#s129_0</t>
  </si>
  <si>
    <t>130</t>
  </si>
  <si>
    <t>schicken</t>
  </si>
  <si>
    <t>ihren Lieben eine SMS zu schicken ;</t>
  </si>
  <si>
    <t>file://conllu/de/teddy-1319.conllu#s130_0</t>
  </si>
  <si>
    <t>131</t>
  </si>
  <si>
    <t>Leute sollten in der Lage sein , online ein Buch zu kaufen ;</t>
  </si>
  <si>
    <t>file://conllu/de/teddy-1319.conllu#s131_0</t>
  </si>
  <si>
    <t>132</t>
  </si>
  <si>
    <t>reisen</t>
  </si>
  <si>
    <t>sie sollten mit dem Zug reisen können ;</t>
  </si>
  <si>
    <t>file://conllu/de/teddy-1319.conllu#s132_0</t>
  </si>
  <si>
    <t>133</t>
  </si>
  <si>
    <t>kaufen</t>
  </si>
  <si>
    <t>sie sollten sich ein Flugticket kaufen können , ohne sich fragen zu müssen , wie diese Handlungen für eine Agenten der Regierung aussehen werden , vielleicht nicht einmal deiner Regierung , Jahre in der Zukunft , wie sie misinterpretiert werden , und wie sie deine Absichten deuten .</t>
  </si>
  <si>
    <t>file://conllu/de/teddy-1319.conllu#s133_0</t>
  </si>
  <si>
    <t>134</t>
  </si>
  <si>
    <t>Wir haben ein Recht auf Privatsphäre .</t>
  </si>
  <si>
    <t>file://conllu/de/teddy-1319.conllu#s134_0</t>
  </si>
  <si>
    <t>135</t>
  </si>
  <si>
    <t>verlangen</t>
  </si>
  <si>
    <t>Als Grundlage für einen Haftbefehl verlangen wir einen hinreichenden Verdacht oder eine Art von Verdacht gegen ein Individuum , weil wir wissen , dass irgendjemandem zu vertrauen , irgendeiner Regierungsbehörde , wenn es um die Summe menschlicher Kommunikationen , im in dem Geheimen und ohne Aufsicht geht , einfach eine zu große Versuchung darstellt , als dass wir darüber hinwegsehen könnten .</t>
  </si>
  <si>
    <t>file://conllu/de/teddy-1319.conllu#s135_0</t>
  </si>
  <si>
    <t>136</t>
  </si>
  <si>
    <t>aufbringen</t>
  </si>
  <si>
    <t>CA : Einige Leute sind über das , was du getan hast , aufgebracht .</t>
  </si>
  <si>
    <t>file://conllu/de/teddy-1319.conllu#s136_0</t>
  </si>
  <si>
    <t>137</t>
  </si>
  <si>
    <t>gehören</t>
  </si>
  <si>
    <t>Ich habe kürzlich ein Zitat von Dick Cheney gehört , der sagte : &amp;quot; Julian Assange war ein Flohbiss .</t>
  </si>
  <si>
    <t>file://conllu/de/teddy-1319.conllu#s137_0</t>
  </si>
  <si>
    <t>138</t>
  </si>
  <si>
    <t>sein (sein Löwe)</t>
  </si>
  <si>
    <t>Edward Snowden ist der Löwe , der dem Hund den Kopf abgebissen hat . &amp;quot;</t>
  </si>
  <si>
    <t>file://conllu/de/teddy-1319.conllu#s138_0</t>
  </si>
  <si>
    <t>139</t>
  </si>
  <si>
    <t>Er denkt , du hättest einen der schlimmsten Akte des Verrats in der US Geschichte begangen .</t>
  </si>
  <si>
    <t>file://conllu/de/teddy-1319.conllu#s139_0</t>
  </si>
  <si>
    <t>140</t>
  </si>
  <si>
    <t>würdesen</t>
  </si>
  <si>
    <t>Was würdest du Leuten entgegnen , die das denken ?</t>
  </si>
  <si>
    <t>file://conllu/de/teddy-1319.conllu#s140_0</t>
  </si>
  <si>
    <t>141</t>
  </si>
  <si>
    <t>sein (sein Marke)</t>
  </si>
  <si>
    <t>ES : Dick Cheney ist eine ganz eigene Marke .</t>
  </si>
  <si>
    <t>file://conllu/de/teddy-1319.conllu#s141_0</t>
  </si>
  <si>
    <t>142</t>
  </si>
  <si>
    <t>Dank</t>
  </si>
  <si>
    <t>( Gelächter ) Danke .</t>
  </si>
  <si>
    <t>file://conllu/de/teddy-1319.conllu#s142_0</t>
  </si>
  <si>
    <t>143</t>
  </si>
  <si>
    <t>sagen (sagen sagen)</t>
  </si>
  <si>
    <t>Es ist bemerkenswert , weil damals , als Julian Assange einige seiner wichtigsten Aktionen unternahm , sagte Dick Cheney , dass er das Ende für Regierungen in aller Welt bedeute , der Himmel würde in Flammen aufgehen und die Ozeane würden überkochen , und nun sagt er , das ist ein Flohbiss .</t>
  </si>
  <si>
    <t>file://conllu/de/teddy-1319.conllu#s143_0</t>
  </si>
  <si>
    <t>144</t>
  </si>
  <si>
    <t>sein (sein misstrauisch)</t>
  </si>
  <si>
    <t>Wir sollten also misstrauisch sein bei aufgebauschten Behauptungen von solchen Amtsträgern , was den Schaden für die nationale Sicherheit angeht .</t>
  </si>
  <si>
    <t>file://conllu/de/teddy-1319.conllu#s144_0</t>
  </si>
  <si>
    <t>145</t>
  </si>
  <si>
    <t>sagen (sagen glauben annehmen)</t>
  </si>
  <si>
    <t>Aber angenommen , diese Leute glauben , was sie sagen .</t>
  </si>
  <si>
    <t>file://conllu/de/teddy-1319.conllu#s145_0</t>
  </si>
  <si>
    <t>146</t>
  </si>
  <si>
    <t>entgegenhalten</t>
  </si>
  <si>
    <t>Ich würde entgegenhalten , dass sie eine enge Sicht auf die nationale Sicherheit haben .</t>
  </si>
  <si>
    <t>file://conllu/de/teddy-1319.conllu#s146_0</t>
  </si>
  <si>
    <t>147</t>
  </si>
  <si>
    <t>tragen</t>
  </si>
  <si>
    <t>Die Vorrechte von Leuten wie Dick Cheney tragen nicht zur zu der Sicherheit der Nation bei .</t>
  </si>
  <si>
    <t>file://conllu/de/teddy-1319.conllu#s147_0</t>
  </si>
  <si>
    <t>148</t>
  </si>
  <si>
    <t>decken</t>
  </si>
  <si>
    <t>Das öffentliche Interesse deckt sich nicht immer mit dem nationalen Interesse .</t>
  </si>
  <si>
    <t>file://conllu/de/teddy-1319.conllu#s148_0</t>
  </si>
  <si>
    <t>149</t>
  </si>
  <si>
    <t>In den Krieg zu ziehen , gegen Leute , die nicht unsere Feinde sind , an Orten , die keine Bedrohung darstellen , gibt uns keine Sicherheit , und das trifft zu , ob es im in dem Irak ist oder im in dem Internet .</t>
  </si>
  <si>
    <t>file://conllu/de/teddy-1319.conllu#s149_0</t>
  </si>
  <si>
    <t>150</t>
  </si>
  <si>
    <t>sein (sein Feind)</t>
  </si>
  <si>
    <t>Das Internet ist nicht der Feind .</t>
  </si>
  <si>
    <t>file://conllu/de/teddy-1319.conllu#s150_0</t>
  </si>
  <si>
    <t>151</t>
  </si>
  <si>
    <t>Unsere Wirtschaft ist nicht der Feind .</t>
  </si>
  <si>
    <t>file://conllu/de/teddy-1319.conllu#s151_0</t>
  </si>
  <si>
    <t>152</t>
  </si>
  <si>
    <t>Unternehmen</t>
  </si>
  <si>
    <t>Amerikanische Unternehmen , chinesische Unternehmen und jedes andere Unternehmen da draußen sind Teil unserer Gesellschaft .</t>
  </si>
  <si>
    <t>file://conllu/de/teddy-1319.conllu#s152_0</t>
  </si>
  <si>
    <t>153</t>
  </si>
  <si>
    <t>Sie sind Teil unserer vernetzten Welt .</t>
  </si>
  <si>
    <t>file://conllu/de/teddy-1319.conllu#s153_0</t>
  </si>
  <si>
    <t>154</t>
  </si>
  <si>
    <t>Es gibt Bande der Bruderschaft , die uns verbinden .</t>
  </si>
  <si>
    <t>file://conllu/de/teddy-1319.conllu#s154_0</t>
  </si>
  <si>
    <t>155</t>
  </si>
  <si>
    <t>zerstören</t>
  </si>
  <si>
    <t>Wenn wir diese zerstören , in dem wir die Normen unterminieren , die Sicherheit , die Verhaltensregeln , von denen Nationen und Bürger in aller Welt erwarten , dass wir sie befolgen .</t>
  </si>
  <si>
    <t>file://conllu/de/teddy-1319.conllu#s155_0</t>
  </si>
  <si>
    <t>156</t>
  </si>
  <si>
    <t>vorwerfen</t>
  </si>
  <si>
    <t>CA : Man hat dir vorgeworfen , du hättest 1,7 Millionen Dokumente gestohlen .</t>
  </si>
  <si>
    <t>file://conllu/de/teddy-1319.conllu#s156_0</t>
  </si>
  <si>
    <t>157</t>
  </si>
  <si>
    <t>scheinen</t>
  </si>
  <si>
    <t>Es scheint , als seien bisher nur ein paar Hundert an Journalisten weitergegeben worden .</t>
  </si>
  <si>
    <t>file://conllu/de/teddy-1319.conllu#s157_0</t>
  </si>
  <si>
    <t>158</t>
  </si>
  <si>
    <t>Wird es weitere Enthüllungen geben ?</t>
  </si>
  <si>
    <t>file://conllu/de/teddy-1319.conllu#s158_0</t>
  </si>
  <si>
    <t>159</t>
  </si>
  <si>
    <t>ES : Es wird auf jeden Fall weitere Enthüllungen geben .</t>
  </si>
  <si>
    <t>file://conllu/de/teddy-1319.conllu#s159_0</t>
  </si>
  <si>
    <t>160</t>
  </si>
  <si>
    <t>stehen</t>
  </si>
  <si>
    <t>Es steht außer Frage , dass einige der wichtigsten Berichterstattungen erst noch kommen werden .</t>
  </si>
  <si>
    <t>file://conllu/de/teddy-1319.conllu#s160_0</t>
  </si>
  <si>
    <t>161</t>
  </si>
  <si>
    <t>stellen</t>
  </si>
  <si>
    <t>CA : Komm hier herüber , ich möchte dir eine Frage stellen zu dieser speziellen Enthüllung .</t>
  </si>
  <si>
    <t>file://conllu/de/teddy-1319.conllu#s161_0</t>
  </si>
  <si>
    <t>162</t>
  </si>
  <si>
    <t>derden</t>
  </si>
  <si>
    <t>Komm und sieh dir dies an .</t>
  </si>
  <si>
    <t>file://conllu/de/teddy-1319.conllu#s162_0</t>
  </si>
  <si>
    <t>163</t>
  </si>
  <si>
    <t>Sache</t>
  </si>
  <si>
    <t>Womöglich ist diese Geschichte für die Tech Freunde in diesem Raum die schockierendste Sache , die sie in den letzten Monaten gehört haben .</t>
  </si>
  <si>
    <t>file://conllu/de/teddy-1319.conllu#s163_0</t>
  </si>
  <si>
    <t>164</t>
  </si>
  <si>
    <t>Es geht um ein Programm namens &amp;quot; Bullrun &amp;quot; .</t>
  </si>
  <si>
    <t>file://conllu/de/teddy-1319.conllu#s164_0</t>
  </si>
  <si>
    <t>165</t>
  </si>
  <si>
    <t>erklären</t>
  </si>
  <si>
    <t>Könntest du uns erklären , was das ist ?</t>
  </si>
  <si>
    <t>file://conllu/de/teddy-1319.conllu#s165_0</t>
  </si>
  <si>
    <t>166</t>
  </si>
  <si>
    <t>ES : Bullrun , also .</t>
  </si>
  <si>
    <t>file://conllu/de/teddy-1319.conllu#s166_0</t>
  </si>
  <si>
    <t>167</t>
  </si>
  <si>
    <t>Fall</t>
  </si>
  <si>
    <t>Wieder ein Fall , wo ich der NSA für ihre Freimütigkeit danke .</t>
  </si>
  <si>
    <t>file://conllu/de/teddy-1319.conllu#s167_0</t>
  </si>
  <si>
    <t>168</t>
  </si>
  <si>
    <t>benennen</t>
  </si>
  <si>
    <t>Dieses Programm wurde nach einer Schlacht im in dem amerikanischen Bürgerkrieg benannt .</t>
  </si>
  <si>
    <t>file://conllu/de/teddy-1319.conllu#s168_0</t>
  </si>
  <si>
    <t>169</t>
  </si>
  <si>
    <t>Das britische Gegenstück heißt &amp;quot; Edgehill &amp;quot; , nach einer britischen Bürgerkriegsschlacht .</t>
  </si>
  <si>
    <t>file://conllu/de/teddy-1319.conllu#s169_0</t>
  </si>
  <si>
    <t>170</t>
  </si>
  <si>
    <t>Ich denke , dass sie es so nennen , weil das Ziel unsere eigene Infrastruktur ist .</t>
  </si>
  <si>
    <t>file://conllu/de/teddy-1319.conllu#s170_0</t>
  </si>
  <si>
    <t>171</t>
  </si>
  <si>
    <t>Es sind Programme , mit denen die NSA gezielt Partnerunternehmen in die Irre führt .</t>
  </si>
  <si>
    <t>file://conllu/de/teddy-1319.conllu#s171_0</t>
  </si>
  <si>
    <t>172</t>
  </si>
  <si>
    <t>Sie sagen Partnerunternehmen , dass dies sichere Standards sind .</t>
  </si>
  <si>
    <t>file://conllu/de/teddy-1319.conllu#s172_0</t>
  </si>
  <si>
    <t>173</t>
  </si>
  <si>
    <t>Sie sagen : &amp;quot; Wir müssen mit dir arbeiten , um deine Systeme abzusichern . &amp;quot;</t>
  </si>
  <si>
    <t>file://conllu/de/teddy-1319.conllu#s173_0</t>
  </si>
  <si>
    <t>174</t>
  </si>
  <si>
    <t>In Wirklichkeit geben sie diesen Unternehmen schlechte Ratschläge , die die Sicherheit ihrer Systeme schwächen .</t>
  </si>
  <si>
    <t>file://conllu/de/teddy-1319.conllu#s174_0</t>
  </si>
  <si>
    <t>175</t>
  </si>
  <si>
    <t>bauen</t>
  </si>
  <si>
    <t>Sie bauen Hintertüren ein , die nicht nur die NSA ausbeuten kann , sondern jeder , der Zeit und Geld hat , sie zu recherchieren und zu finden , kann sie nutzen , um sich Zugang zu verschaffen in die Kommunikationen der Welt .</t>
  </si>
  <si>
    <t>file://conllu/de/teddy-1319.conllu#s175_0</t>
  </si>
  <si>
    <t>176</t>
  </si>
  <si>
    <t>sein (sein gefährlich)</t>
  </si>
  <si>
    <t>Das ist wirklich gefährlich .</t>
  </si>
  <si>
    <t>file://conllu/de/teddy-1319.conllu#s176_0</t>
  </si>
  <si>
    <t>177</t>
  </si>
  <si>
    <t>leben</t>
  </si>
  <si>
    <t>Denn wenn wir auch nur einen Standard verlieren , wenn wir das Vertrauen in so etwas wie SSL verlieren , das ein ausgemachtes Ziel des Programms Bullrun war , werden wir in einer Welt leben , die insgesamt weniger sicher ist .</t>
  </si>
  <si>
    <t>file://conllu/de/teddy-1319.conllu#s177_0</t>
  </si>
  <si>
    <t>178</t>
  </si>
  <si>
    <t>werden</t>
  </si>
  <si>
    <t>Wir werden keinen Zugriff auf unsere Banken haben , wir werden keinen Zugang zum zu dem Handel haben , ohne uns über Leute zu sorgen , die diese Kommunikation überwachen oder für ihre Zwecke missbrauchen könnten .</t>
  </si>
  <si>
    <t>file://conllu/de/teddy-1319.conllu#s178_0</t>
  </si>
  <si>
    <t>179</t>
  </si>
  <si>
    <t>CA : Und machen dieselben Entscheidungen Amerika potenziell verwundbar für Cyberangriffe von anderer Seite ?</t>
  </si>
  <si>
    <t>file://conllu/de/teddy-1319.conllu#s179_0</t>
  </si>
  <si>
    <t>180</t>
  </si>
  <si>
    <t>ES : Absolut .</t>
  </si>
  <si>
    <t>file://conllu/de/teddy-1319.conllu#s180_0</t>
  </si>
  <si>
    <t>181</t>
  </si>
  <si>
    <t>sein (sein Erkenntnis)</t>
  </si>
  <si>
    <t>Eines der Probleme , eines der gefährlichen Vermächtnisse in der Ära nach dem 11 . September ist die Erkenntnis , dass die NSA schon immer zwei Gesichter hatte .</t>
  </si>
  <si>
    <t>file://conllu/de/teddy-1319.conllu#s181_0</t>
  </si>
  <si>
    <t>182</t>
  </si>
  <si>
    <t>sein (sein verantwortlich)</t>
  </si>
  <si>
    <t>Sie waren verantwortlich für offensive Operationen , in denen es um Hacking ging .</t>
  </si>
  <si>
    <t>file://conllu/de/teddy-1319.conllu#s182_0</t>
  </si>
  <si>
    <t>183</t>
  </si>
  <si>
    <t>leiten</t>
  </si>
  <si>
    <t>Aber sie leitete auch defensive Operationen .</t>
  </si>
  <si>
    <t>file://conllu/de/teddy-1319.conllu#s183_0</t>
  </si>
  <si>
    <t>184</t>
  </si>
  <si>
    <t>vorgeziehen</t>
  </si>
  <si>
    <t>Traditionsgemäß hat die NSA stets die Defensive der Offensive vorgezogen , ausgehend von dem Prinzip , dass amerikanische Geheimnisse schlicht wertvoller sind .</t>
  </si>
  <si>
    <t>file://conllu/de/teddy-1319.conllu#s184_0</t>
  </si>
  <si>
    <t>185</t>
  </si>
  <si>
    <t>sein (sein wertvoll)</t>
  </si>
  <si>
    <t>Wenn wir ein chinesisches Unternehmen hacken und seine Geheimnisse stehlen ; wenn wir eine Regierungsbehörde in Berlin hacken und ihre Geheimnisse stehlen , dann ist das für das amerikanische Volk weniger wertvoll , als sicherzustellen , dass die Chinesen keinen Zugang zu unseren Geheimnissen haben .</t>
  </si>
  <si>
    <t>file://conllu/de/teddy-1319.conllu#s185_0</t>
  </si>
  <si>
    <t>186</t>
  </si>
  <si>
    <t>setzen</t>
  </si>
  <si>
    <t>Also indem sie die Sicherheit unserer Kommunikationen schwächen , setzen sie nicht nur die Welt Risiken aus , sie gefährden auch die USA auf fundamentale Weise , weil geistiges Eigentum die Grundlage unserer Wirtschaft ist .</t>
  </si>
  <si>
    <t>file://conllu/de/teddy-1319.conllu#s186_0</t>
  </si>
  <si>
    <t>187</t>
  </si>
  <si>
    <t>zahlen</t>
  </si>
  <si>
    <t>Wenn wir das durch schwache Sicherheit gefährden , werden wir auf Jahre hinaus dafür zahlen .</t>
  </si>
  <si>
    <t>file://conllu/de/teddy-1319.conllu#s187_0</t>
  </si>
  <si>
    <t>188</t>
  </si>
  <si>
    <t>ausgerechnet</t>
  </si>
  <si>
    <t>CA : Aber die NSA hat ich ausgerechnet , dass es diese Maßnahme als Teil der US Verteidigung gegen Terrorismus wert ist .</t>
  </si>
  <si>
    <t>file://conllu/de/teddy-1319.conllu#s188_0</t>
  </si>
  <si>
    <t>189</t>
  </si>
  <si>
    <t>sein (sein Preis)</t>
  </si>
  <si>
    <t>Dann ist das doch gewiss ein Preis , der sich lohnt .</t>
  </si>
  <si>
    <t>file://conllu/de/teddy-1319.conllu#s189_0</t>
  </si>
  <si>
    <t>190</t>
  </si>
  <si>
    <t>ansehen (ansehen sehen)</t>
  </si>
  <si>
    <t>ES : Wenn man sich die Resultate dieser Programme beim bei dem Verhindern von Terrorismus ansieht , sieht man , dass es dafür keine Belege gibt .</t>
  </si>
  <si>
    <t>file://conllu/de/teddy-1319.conllu#s190_0</t>
  </si>
  <si>
    <t>191</t>
  </si>
  <si>
    <t>verlassen</t>
  </si>
  <si>
    <t>Sie müssen sich nicht auf mein Wort verlassen , weil wir das erste öffentliche Gerichtsverfahren haben .</t>
  </si>
  <si>
    <t>file://conllu/de/teddy-1319.conllu#s191_0</t>
  </si>
  <si>
    <t>192</t>
  </si>
  <si>
    <t>nennen</t>
  </si>
  <si>
    <t>Der erste Bundesgerichtshof , der sie außerhalb der Geheimhaltungsvereinbarungen untersuchte , nannte sie Orwellsche Programme und wahrscheinlich verfassungswidrig .</t>
  </si>
  <si>
    <t>file://conllu/de/teddy-1319.conllu#s192_0</t>
  </si>
  <si>
    <t>193</t>
  </si>
  <si>
    <t>vorlegen</t>
  </si>
  <si>
    <t>Der Kongress , der in diesen Angelegenheiten Auskunft verlangen kann und nun auch einfordern möchte , hat Gesetze vorgelegt , um es zu reformieren .</t>
  </si>
  <si>
    <t>file://conllu/de/teddy-1319.conllu#s193_0</t>
  </si>
  <si>
    <t>194</t>
  </si>
  <si>
    <t>Zwei unabhängige Ausschüsse des Weißen Hauses , die all das vertrauliche Beweismaterial geprüft haben , sagen , diese Programme haben nie auch nur einen Terroristenangriff verhindert , der in den USA bevorstand .</t>
  </si>
  <si>
    <t>file://conllu/de/teddy-1319.conllu#s194_0</t>
  </si>
  <si>
    <t>195</t>
  </si>
  <si>
    <t>sein (sein Terrorismus)</t>
  </si>
  <si>
    <t>Also ist es wirklich Terrorismus , den wir verhindern ?</t>
  </si>
  <si>
    <t>file://conllu/de/teddy-1319.conllu#s195_0</t>
  </si>
  <si>
    <t>196</t>
  </si>
  <si>
    <t>Haben diese Programme überhaupt einen Wert ?</t>
  </si>
  <si>
    <t>file://conllu/de/teddy-1319.conllu#s196_0</t>
  </si>
  <si>
    <t>197</t>
  </si>
  <si>
    <t>Ich sage nein , und auch alle drei Staatsorgane der amerikanischen Regierung sagen nein .</t>
  </si>
  <si>
    <t>file://conllu/de/teddy-1319.conllu#s197_0</t>
  </si>
  <si>
    <t>198</t>
  </si>
  <si>
    <t>CA : Denkst du , es gibt einen tieferen Beweggrund für sie als den Krieg gegen den Terror ?</t>
  </si>
  <si>
    <t>file://conllu/de/teddy-1319.conllu#s198_0</t>
  </si>
  <si>
    <t>199</t>
  </si>
  <si>
    <t>ES : Verzeihung , ich konnte dich nicht hören .</t>
  </si>
  <si>
    <t>file://conllu/de/teddy-1319.conllu#s199_0</t>
  </si>
  <si>
    <t>200</t>
  </si>
  <si>
    <t>wiederholen</t>
  </si>
  <si>
    <t>Kannst du das wiederholen ?</t>
  </si>
  <si>
    <t>file://conllu/de/teddy-1319.conllu#s200_0</t>
  </si>
  <si>
    <t>201</t>
  </si>
  <si>
    <t>Entschuldig</t>
  </si>
  <si>
    <t>CA : Entschuldige .</t>
  </si>
  <si>
    <t>file://conllu/de/teddy-1319.conllu#s201_0</t>
  </si>
  <si>
    <t>202</t>
  </si>
  <si>
    <t>Denkst du , es gibt einen anderen , tieferliegenden Beweggrund ES : Ja .</t>
  </si>
  <si>
    <t>file://conllu/de/teddy-1319.conllu#s202_0</t>
  </si>
  <si>
    <t>203</t>
  </si>
  <si>
    <t>Unterm Strich ist Terrorismus immer das gewesen , was wir in der Welt der Geheimdienste eine Auftragslegende nennen würden .</t>
  </si>
  <si>
    <t>file://conllu/de/teddy-1319.conllu#s203_0</t>
  </si>
  <si>
    <t>204</t>
  </si>
  <si>
    <t>Terrorismus ist etwas , das eine emotionale Reaktion hervorruft , die es Leuten ermöglicht , das Autorisieren von Vollmachten und Programmen zu rationalisieren , denen sie sonst nicht zustimmen würden .</t>
  </si>
  <si>
    <t>file://conllu/de/teddy-1319.conllu#s204_0</t>
  </si>
  <si>
    <t>205</t>
  </si>
  <si>
    <t>bitten</t>
  </si>
  <si>
    <t>Für Programme , die Bullrun oder Edgehill ähneln , bat die NSA bereits in den 1990er Jahren um Ermächtigungen .</t>
  </si>
  <si>
    <t>file://conllu/de/teddy-1319.conllu#s205_0</t>
  </si>
  <si>
    <t>206</t>
  </si>
  <si>
    <t>Sie bat das FBI , sich beim bei dem Kongress dafür einzusetzen .</t>
  </si>
  <si>
    <t>file://conllu/de/teddy-1319.conllu#s206_0</t>
  </si>
  <si>
    <t>207</t>
  </si>
  <si>
    <t>Und das FBI setzte sich beim bei dem Kongress dafür ein .</t>
  </si>
  <si>
    <t>file://conllu/de/teddy-1319.conllu#s207_0</t>
  </si>
  <si>
    <t>208</t>
  </si>
  <si>
    <t>Aber der Kongress und das amerikanische Volk sagten nein .</t>
  </si>
  <si>
    <t>file://conllu/de/teddy-1319.conllu#s208_0</t>
  </si>
  <si>
    <t>209</t>
  </si>
  <si>
    <t>Sie sagten , es sei das Risiko für unsere Wirtschaft nicht wert .</t>
  </si>
  <si>
    <t>file://conllu/de/teddy-1319.conllu#s209_0</t>
  </si>
  <si>
    <t>210</t>
  </si>
  <si>
    <t>Sie sagten , der Schaden für die Gesellschaft sei zu groß , um den Nutzen zu rechtfertigen .</t>
  </si>
  <si>
    <t>file://conllu/de/teddy-1319.conllu#s210_0</t>
  </si>
  <si>
    <t>211</t>
  </si>
  <si>
    <t>Aber wir haben in der Zeit nach dem 11 . September gesehen , dass sie zur zu der Geheimhaltung griffen und den Terrorismus als Rechtfertigung benutzten , um die Programme im in dem Geheimen zu starten , ohne den Kongress zu fragen , ohne das amerikanische Volk zu fragen , und es ist diese Art von Regierung hinter verschlossenen Türen , vor der wir uns schützen müssen , weil sie unsere Sicherheit schwächt und keinen Gegenwert bietet .</t>
  </si>
  <si>
    <t>file://conllu/de/teddy-1319.conllu#s211_0</t>
  </si>
  <si>
    <t>212</t>
  </si>
  <si>
    <t>Moment</t>
  </si>
  <si>
    <t>CA : Kommst du einen Moment mit mir ?</t>
  </si>
  <si>
    <t>file://conllu/de/teddy-1319.conllu#s212_0</t>
  </si>
  <si>
    <t>213</t>
  </si>
  <si>
    <t>Ich habe eine etwas persönlichere Frage an dich .</t>
  </si>
  <si>
    <t>file://conllu/de/teddy-1319.conllu#s213_0</t>
  </si>
  <si>
    <t>214</t>
  </si>
  <si>
    <t>sprechen</t>
  </si>
  <si>
    <t>Wo wir gerade von Terror sprechen :</t>
  </si>
  <si>
    <t>file://conllu/de/teddy-1319.conllu#s214_0</t>
  </si>
  <si>
    <t>215</t>
  </si>
  <si>
    <t>finden</t>
  </si>
  <si>
    <t>Die meisten Leute finden deine gegenwärtige Situation in Russland recht furchteinflößend .</t>
  </si>
  <si>
    <t>file://conllu/de/teddy-1319.conllu#s215_0</t>
  </si>
  <si>
    <t>216</t>
  </si>
  <si>
    <t>Du hast offensichtlich gehört , welche Behandlung Bradley Manning widerfahren ist , Chelsea Manning , wie sie jetzt heißt .</t>
  </si>
  <si>
    <t>file://conllu/de/teddy-1319.conllu#s216_0</t>
  </si>
  <si>
    <t>217</t>
  </si>
  <si>
    <t>schreiben</t>
  </si>
  <si>
    <t>Ein Beitrag auf Buzzfeed schrieb , es gibt Leute in der Geheimdienstgemeinde die dich tot sehen möchten .</t>
  </si>
  <si>
    <t>file://conllu/de/teddy-1319.conllu#s217_0</t>
  </si>
  <si>
    <t>218</t>
  </si>
  <si>
    <t>Wie gehst du damit um ?</t>
  </si>
  <si>
    <t>file://conllu/de/teddy-1319.conllu#s218_0</t>
  </si>
  <si>
    <t>219</t>
  </si>
  <si>
    <t>Wie gehst du mit der Angst um ?</t>
  </si>
  <si>
    <t>file://conllu/de/teddy-1319.conllu#s219_0</t>
  </si>
  <si>
    <t>220</t>
  </si>
  <si>
    <t>.</t>
  </si>
  <si>
    <t>ES : Es ist kein Geheimnis , dass es da draußen Regierungen gibt , die mich tot sehen möchten .</t>
  </si>
  <si>
    <t>file://conllu/de/teddy-1319.conllu#s220_0</t>
  </si>
  <si>
    <t>221</t>
  </si>
  <si>
    <t>betonen</t>
  </si>
  <si>
    <t>Ich habe immer und immer wieder betont , dass ich jeden Morgen , wenn ich schlafen gehe , darüber nachdenke , was ich für das amerikanische Volk tun kann .</t>
  </si>
  <si>
    <t>file://conllu/de/teddy-1319.conllu#s221_0</t>
  </si>
  <si>
    <t>222</t>
  </si>
  <si>
    <t>schaden</t>
  </si>
  <si>
    <t>Ich möchte meiner Regierung nicht schaden .</t>
  </si>
  <si>
    <t>file://conllu/de/teddy-1319.conllu#s222_0</t>
  </si>
  <si>
    <t>223</t>
  </si>
  <si>
    <t>helfen</t>
  </si>
  <si>
    <t>Ich möchte meiner Regierung helfen , aber die Tatsache , dass sie bereit ist , die Rechtstaatlichkeit völlig zu ignorieren , dass sie bereit ist , jemanden schuldig zu erklären , ohne jemals ein Verfahren zu sehen , das sind Dinge , gegen die wir uns einsetzen müssen als Gesellschaft , und sagen : &amp;quot; Hey , dies ist nicht angemessen . &amp;quot;</t>
  </si>
  <si>
    <t>file://conllu/de/teddy-1319.conllu#s223_0</t>
  </si>
  <si>
    <t>224</t>
  </si>
  <si>
    <t>bedrohen</t>
  </si>
  <si>
    <t>Wir sollten Dissidenten nicht bedrohen .</t>
  </si>
  <si>
    <t>file://conllu/de/teddy-1319.conllu#s224_0</t>
  </si>
  <si>
    <t>225</t>
  </si>
  <si>
    <t>kriminalisieren</t>
  </si>
  <si>
    <t>Wir sollten Journalismus nicht kriminalisieren .</t>
  </si>
  <si>
    <t>file://conllu/de/teddy-1319.conllu#s225_0</t>
  </si>
  <si>
    <t>226</t>
  </si>
  <si>
    <t>ungeachtet</t>
  </si>
  <si>
    <t>Was auch immer ich tun kann , um das zu erreichen , tue ich gern , ungeachtet der Risiken .</t>
  </si>
  <si>
    <t>file://conllu/de/teddy-1319.conllu#s226_0</t>
  </si>
  <si>
    <t>227</t>
  </si>
  <si>
    <t>CA : Ich möchte an dieser Stelle um Stimmen aus dem Pubikum bitten , weil ich weiß , dass es sehr unterschiedliche Reaktionen auf Edward Snowden gibt .</t>
  </si>
  <si>
    <t>file://conllu/de/teddy-1319.conllu#s227_0</t>
  </si>
  <si>
    <t>228</t>
  </si>
  <si>
    <t>annehmen</t>
  </si>
  <si>
    <t>Angenommen Sie hätten die Wahl zwischen zwei Optionen : Sie könnten das , was er getan hat , als im in dem Wesentlichen rücksichtslose Tat sehen , die die USA in Gefahr gebracht hat , oder Sie können es im in dem Wesentlichen als Heldentat sehen , die den USA und und der Welt langfristig zum zu dem Vorteil gereichen wird ?</t>
  </si>
  <si>
    <t>file://conllu/de/teddy-1319.conllu#s228_0</t>
  </si>
  <si>
    <t>229</t>
  </si>
  <si>
    <t>sein (sein Option)</t>
  </si>
  <si>
    <t>Dies sind de beiden Optionen , die ich Ihnen gebe .</t>
  </si>
  <si>
    <t>file://conllu/de/teddy-1319.conllu#s229_0</t>
  </si>
  <si>
    <t>230</t>
  </si>
  <si>
    <t>spannen</t>
  </si>
  <si>
    <t>Ich bin gespannt , zu sehen , wer bereit ist , die erste Option zu wählen , dass es eine rücksichtslose Aktion war .</t>
  </si>
  <si>
    <t>file://conllu/de/teddy-1319.conllu#s230_0</t>
  </si>
  <si>
    <t>231</t>
  </si>
  <si>
    <t>Da gehen ein paar Hände hoch .</t>
  </si>
  <si>
    <t>file://conllu/de/teddy-1319.conllu#s231_0</t>
  </si>
  <si>
    <t>232</t>
  </si>
  <si>
    <t>Einige Hände gehen hoch .</t>
  </si>
  <si>
    <t>file://conllu/de/teddy-1319.conllu#s232_0</t>
  </si>
  <si>
    <t>233</t>
  </si>
  <si>
    <t>sein (sein schwer)</t>
  </si>
  <si>
    <t>Es ist schwer , seine Hand zu heben , wenn der Mann direkt hier steht , aber ich sehe sie .</t>
  </si>
  <si>
    <t>file://conllu/de/teddy-1319.conllu#s233_0</t>
  </si>
  <si>
    <t>234</t>
  </si>
  <si>
    <t>ES : Ich kann euch sehen .</t>
  </si>
  <si>
    <t>file://conllu/de/teddy-1319.conllu#s234_0</t>
  </si>
  <si>
    <t>235</t>
  </si>
  <si>
    <t>wählen</t>
  </si>
  <si>
    <t>CA : Und wer wählt die zweite Option , dass dies im in dem Grunde eine Heldentat ist ?</t>
  </si>
  <si>
    <t>file://conllu/de/teddy-1319.conllu#s235_0</t>
  </si>
  <si>
    <t>236</t>
  </si>
  <si>
    <t>( Hochrufe ) Ich denke , da waren viele , die ihre Hand nicht gehoben haben und die , wie ich glaube , über dieses Thema noch nachdenken , weil die Debatte um dich , wie mir scheint , nicht zwischen traditionellen politischen Lagern entbrennt .</t>
  </si>
  <si>
    <t>file://conllu/de/teddy-1319.conllu#s236_0</t>
  </si>
  <si>
    <t>237</t>
  </si>
  <si>
    <t>Es geht nicht um links oder rechts , es geht nicht wirklich darum , ob du pro Regierung , libertär bist , oder nicht nur darum .</t>
  </si>
  <si>
    <t>file://conllu/de/teddy-1319.conllu#s237_0</t>
  </si>
  <si>
    <t>238</t>
  </si>
  <si>
    <t>sein (sein Generationenfrage)</t>
  </si>
  <si>
    <t>Ein Aspekt davon ist geradezu eine Generationenfrage .</t>
  </si>
  <si>
    <t>file://conllu/de/teddy-1319.conllu#s238_0</t>
  </si>
  <si>
    <t>239</t>
  </si>
  <si>
    <t>Du gehörst einer Generation an , die mit dem Internet aufgewachsen ist .</t>
  </si>
  <si>
    <t>file://conllu/de/teddy-1319.conllu#s239_0</t>
  </si>
  <si>
    <t>240</t>
  </si>
  <si>
    <t>denken (denken scheinen)</t>
  </si>
  <si>
    <t>Es scheint fast , als würde es dich zutiefst kränken , wenn du beobachtest , wie etwas getan wird , von dem du denkst , dass es dem Internet schaden wird .</t>
  </si>
  <si>
    <t>file://conllu/de/teddy-1319.conllu#s240_0</t>
  </si>
  <si>
    <t>241</t>
  </si>
  <si>
    <t>sein (sein dran)</t>
  </si>
  <si>
    <t>Ist da etwas dran ?</t>
  </si>
  <si>
    <t>file://conllu/de/teddy-1319.conllu#s241_0</t>
  </si>
  <si>
    <t>242</t>
  </si>
  <si>
    <t>ES : Das ist so , weißt du Das ist sehr wahr .</t>
  </si>
  <si>
    <t>file://conllu/de/teddy-1319.conllu#s242_0</t>
  </si>
  <si>
    <t>243</t>
  </si>
  <si>
    <t>sein (sein Frage)</t>
  </si>
  <si>
    <t>Es ist keine Frage von links oder rechts .</t>
  </si>
  <si>
    <t>file://conllu/de/teddy-1319.conllu#s243_0</t>
  </si>
  <si>
    <t>244</t>
  </si>
  <si>
    <t>Freiheit</t>
  </si>
  <si>
    <t>Unsere grundlegenden Freiheiten , und wenn ich &amp;quot; unsere &amp;quot; sage , meine ich nicht nur Amerikaner , ich meine Leute überall in der Welt , sind keine Frage der Partei .</t>
  </si>
  <si>
    <t>file://conllu/de/teddy-1319.conllu#s244_0</t>
  </si>
  <si>
    <t>245</t>
  </si>
  <si>
    <t>sein (sein Ding)</t>
  </si>
  <si>
    <t>Es sind die Dinge , an die alle Menschen glauben , und es liegt an uns , sie zu schützen , an denen , die ein freies und offenes Internet gesehen und genossen haben .</t>
  </si>
  <si>
    <t>file://conllu/de/teddy-1319.conllu#s245_0</t>
  </si>
  <si>
    <t>246</t>
  </si>
  <si>
    <t>liegen</t>
  </si>
  <si>
    <t>Es liegt an uns , diese Freiheit zu erhalten , damit die nächste Generation in ihren Genuss kommt .</t>
  </si>
  <si>
    <t>file://conllu/de/teddy-1319.conllu#s246_0</t>
  </si>
  <si>
    <t>247</t>
  </si>
  <si>
    <t>schützen</t>
  </si>
  <si>
    <t>Wenn wir die Dinge nicht verändern , wenn wir nicht die Stirn bieten , um diese Veränderungen zu erreichen wir müssen das Internet schützen , nicht nur für uns , sondern für alle werden wir es verlieren , Das wäre ein gewaltiger Verlust , nicht nur für uns , sondern für die Welt .</t>
  </si>
  <si>
    <t>file://conllu/de/teddy-1319.conllu#s247_0</t>
  </si>
  <si>
    <t>248</t>
  </si>
  <si>
    <t>CA : Ich habe ähnliche Worte kürzlich vom von dem Gründer des World Wide Web gehört , der , glaube ich , sogar bei uns ist : Sir Tim Berners Lee .</t>
  </si>
  <si>
    <t>file://conllu/de/teddy-1319.conllu#s248_0</t>
  </si>
  <si>
    <t>249</t>
  </si>
  <si>
    <t>Tim</t>
  </si>
  <si>
    <t>Tim , möchtest du hochkommen und etwas sagen ?</t>
  </si>
  <si>
    <t>file://conllu/de/teddy-1319.conllu#s249_0</t>
  </si>
  <si>
    <t>250</t>
  </si>
  <si>
    <t>Mikrofon</t>
  </si>
  <si>
    <t>Haben wir ein Mikrofon für Tim ?</t>
  </si>
  <si>
    <t>file://conllu/de/teddy-1319.conllu#s250_0</t>
  </si>
  <si>
    <t>251</t>
  </si>
  <si>
    <t>Tim , gut dich zu sehen .</t>
  </si>
  <si>
    <t>file://conllu/de/teddy-1319.conllu#s251_0</t>
  </si>
  <si>
    <t>252</t>
  </si>
  <si>
    <t>hoch</t>
  </si>
  <si>
    <t>Komm dort hoch .</t>
  </si>
  <si>
    <t>file://conllu/de/teddy-1319.conllu#s252_0</t>
  </si>
  <si>
    <t>253</t>
  </si>
  <si>
    <t>sein (sein du)</t>
  </si>
  <si>
    <t>Übrigens , in welchem Lager bist du ?</t>
  </si>
  <si>
    <t>file://conllu/de/teddy-1319.conllu#s253_0</t>
  </si>
  <si>
    <t>254</t>
  </si>
  <si>
    <t>Verräter</t>
  </si>
  <si>
    <t>Verräter oder Held ?</t>
  </si>
  <si>
    <t>file://conllu/de/teddy-1319.conllu#s254_0</t>
  </si>
  <si>
    <t>255</t>
  </si>
  <si>
    <t>Ich habe eine Theorie , aber ... Tim Berners Lee : Ich habe auf diese Frage wesentlich längere Antworten gegeben , aber &amp;quot; Held &amp;quot; , wenn ich zwischen diesen beiden wählen muss .</t>
  </si>
  <si>
    <t>file://conllu/de/teddy-1319.conllu#s255_0</t>
  </si>
  <si>
    <t>256</t>
  </si>
  <si>
    <t>Und</t>
  </si>
  <si>
    <t>CA : Und Ed , ich denke , du hast den Vorschlag gelesen , von dem Sir Tim gesprochen hat , über eine neue Magna Charta , um das Internet zurückzuerobern .</t>
  </si>
  <si>
    <t>file://conllu/de/teddy-1319.conllu#s256_0</t>
  </si>
  <si>
    <t>257</t>
  </si>
  <si>
    <t>Ist das etwas , das Sinn macht ?</t>
  </si>
  <si>
    <t>file://conllu/de/teddy-1319.conllu#s257_0</t>
  </si>
  <si>
    <t>258</t>
  </si>
  <si>
    <t>file://conllu/de/teddy-1319.conllu#s258_0</t>
  </si>
  <si>
    <t>259</t>
  </si>
  <si>
    <t>aufwachsen</t>
  </si>
  <si>
    <t>Meine Generation ... Ich bin nicht nur mit Gedanken über das Internet aufgewachsen , ich bin im in dem Internet aufgewachsen , und obwohl ich nie erwartet hätte , die Chance zu haben , es auf eine so direkte und praktische Art und Weise zu verteidigen und es auf so ungewöhnliche Weise fast wie ein Avatar zu verkörpern .</t>
  </si>
  <si>
    <t>file://conllu/de/teddy-1319.conllu#s259_0</t>
  </si>
  <si>
    <t>260</t>
  </si>
  <si>
    <t>sein (sein Poetisch)</t>
  </si>
  <si>
    <t>Es ist etwas Poetisches an der Tatsache , dass einer der Söhne des Internet dem Internet so nahe gekommen ist durch eine politische Meinungsäußerung .</t>
  </si>
  <si>
    <t>file://conllu/de/teddy-1319.conllu#s260_0</t>
  </si>
  <si>
    <t>261</t>
  </si>
  <si>
    <t>glauben</t>
  </si>
  <si>
    <t>Ich glaube , eine Magna Charta für das Internet ist genau , was wir brauchen .</t>
  </si>
  <si>
    <t>file://conllu/de/teddy-1319.conllu#s261_0</t>
  </si>
  <si>
    <t>262</t>
  </si>
  <si>
    <t>festschreiben</t>
  </si>
  <si>
    <t>Wir müssen unsere Werte festschreiben nicht nur in Worten , sondern in der Struktur des Internet .</t>
  </si>
  <si>
    <t>file://conllu/de/teddy-1319.conllu#s262_0</t>
  </si>
  <si>
    <t>263</t>
  </si>
  <si>
    <t>Es ist etwas , auf das ich hoffe .</t>
  </si>
  <si>
    <t>file://conllu/de/teddy-1319.conllu#s263_0</t>
  </si>
  <si>
    <t>264</t>
  </si>
  <si>
    <t>lade</t>
  </si>
  <si>
    <t>Ich lade jeden im in dem Publikum , nicht nur hier in Vancouver , sondern in der ganzen Welt ein , sich anzuschließen und mitzumachen .</t>
  </si>
  <si>
    <t>file://conllu/de/teddy-1319.conllu#s264_0</t>
  </si>
  <si>
    <t>265</t>
  </si>
  <si>
    <t>CA : Hast du eine Frage an Ed ? TBL : Zwei Fragen : eine allgemeine Frage ... CA : Ed , kannst du uns noch hören ?</t>
  </si>
  <si>
    <t>file://conllu/de/teddy-1319.conllu#s265_0</t>
  </si>
  <si>
    <t>266</t>
  </si>
  <si>
    <t>ES : Ja , ich kann dich hören .</t>
  </si>
  <si>
    <t>file://conllu/de/teddy-1319.conllu#s266_0</t>
  </si>
  <si>
    <t>267</t>
  </si>
  <si>
    <t>CA : Er ist wieder da .</t>
  </si>
  <si>
    <t>file://conllu/de/teddy-1319.conllu#s267_0</t>
  </si>
  <si>
    <t>268</t>
  </si>
  <si>
    <t>TBL : Die Wanze an deiner Leitung hatte für einen Moment Schluckauf .</t>
  </si>
  <si>
    <t>file://conllu/de/teddy-1319.conllu#s268_0</t>
  </si>
  <si>
    <t>269</t>
  </si>
  <si>
    <t>Lach</t>
  </si>
  <si>
    <t>( Lachen ) ES : Es ist ein kleines NSA Problem .</t>
  </si>
  <si>
    <t>file://conllu/de/teddy-1319.conllu#s269_0</t>
  </si>
  <si>
    <t>270</t>
  </si>
  <si>
    <t>zurücktreten</t>
  </si>
  <si>
    <t>TBL : Wenn wir von den 25 Jahren einen Schritt zurücktreten und nachdenken , was denkst du , wäre das Beste , was wir erreichen könnten , aus all den Diskussionen , die wir über das Netz führen , das wir haben wollen ?</t>
  </si>
  <si>
    <t>file://conllu/de/teddy-1319.conllu#s270_0</t>
  </si>
  <si>
    <t>271</t>
  </si>
  <si>
    <t>ES : Wenn wir darüber nachdenken , was wir erreichen können , dann , denke ich , wird das nur begrenzt durch das , was wir bereit sind , hineinzustecken Ich denke , das Internet , in dessen Genuss wir in der Vergangenheit gekommen sind , ist genau das , was wir nicht nur als Nation , sondern als ein Volk in aller Welt brauchen und das wir verteidigen müssen , indem wir kooperieren , indem wir nicht nur die technologischen Gesellschaftsanteile einbeziehen , sondern , wie du sagtest , die Nutzer , die Leute in aller Welt , die beitragen durch das Internet , durch soziale Medien , die nur nach dem Wetter sehen , die darauf als alltäglichen Teil ihres Lebens angewiesen sind .</t>
  </si>
  <si>
    <t>file://conllu/de/teddy-1319.conllu#s271_0</t>
  </si>
  <si>
    <t>272</t>
  </si>
  <si>
    <t>erhalten</t>
  </si>
  <si>
    <t>Wir erhalten nicht nur das Internet , das wir hatten , sondern ein besseres Internet , ein besseres Jetzt , etwas , das wir nutzen können , um eine Zukunft aufzubauen , die nicht nur besser sein wird , als wir erhoffen , sondern besser , als wir uns vorstellen können .</t>
  </si>
  <si>
    <t>file://conllu/de/teddy-1319.conllu#s272_0</t>
  </si>
  <si>
    <t>273</t>
  </si>
  <si>
    <t>gründen</t>
  </si>
  <si>
    <t>CA : Vor 30 Jahren wurde TED gegründet , 1984 .</t>
  </si>
  <si>
    <t>file://conllu/de/teddy-1319.conllu#s273_0</t>
  </si>
  <si>
    <t>274</t>
  </si>
  <si>
    <t>drehen</t>
  </si>
  <si>
    <t>Viele Gespräche habe sich seither darum gedreht , dass George Orwell sich getäuscht hat .</t>
  </si>
  <si>
    <t>file://conllu/de/teddy-1319.conllu#s274_0</t>
  </si>
  <si>
    <t>275</t>
  </si>
  <si>
    <t>sein (sein Bruder)</t>
  </si>
  <si>
    <t>Es ist nicht der Große Bruder , der uns überwacht .</t>
  </si>
  <si>
    <t>file://conllu/de/teddy-1319.conllu#s275_0</t>
  </si>
  <si>
    <t>276</t>
  </si>
  <si>
    <t>krafen</t>
  </si>
  <si>
    <t>Wir , kraft der Macht des Netzes und der Transparenz , überwachen nun den Großen Bruder .</t>
  </si>
  <si>
    <t>file://conllu/de/teddy-1319.conllu#s276_0</t>
  </si>
  <si>
    <t>277</t>
  </si>
  <si>
    <t>Durch?</t>
  </si>
  <si>
    <t>treiben</t>
  </si>
  <si>
    <t>Deine Enthüllungen haben einen Holzpflock durch das Herz dieser recht optimistischen Sicht getrieben , aber du glaubst dennoch , dass es einen Weg gibt , etwas dagegen zu tun .</t>
  </si>
  <si>
    <t>file://conllu/de/teddy-1319.conllu#s277_0</t>
  </si>
  <si>
    <t>278</t>
  </si>
  <si>
    <t>auch</t>
  </si>
  <si>
    <t>Und das tust du auch .</t>
  </si>
  <si>
    <t>file://conllu/de/teddy-1319.conllu#s278_0</t>
  </si>
  <si>
    <t>279</t>
  </si>
  <si>
    <t>ES : Richtig .</t>
  </si>
  <si>
    <t>file://conllu/de/teddy-1319.conllu#s279_0</t>
  </si>
  <si>
    <t>280</t>
  </si>
  <si>
    <t>argumentieren</t>
  </si>
  <si>
    <t>Man kann argumentieren , dass die Möglichkeiten des Großen Bruders gewaltig zugenommen haben .</t>
  </si>
  <si>
    <t>file://conllu/de/teddy-1319.conllu#s280_0</t>
  </si>
  <si>
    <t>281</t>
  </si>
  <si>
    <t>Es gab kürzlich einen juristischen Aufsatz in Yale , der das sogenannte Bankston Soltani Prinzip formulierte .</t>
  </si>
  <si>
    <t>file://conllu/de/teddy-1319.conllu#s281_0</t>
  </si>
  <si>
    <t>282</t>
  </si>
  <si>
    <t>Es besagt , dass unser Anspruch auf Privatsphäre verletzt wird , wenn die Technologien staatlicher Überwachung um einen Faktor zehn billiger geworden sind .</t>
  </si>
  <si>
    <t>file://conllu/de/teddy-1319.conllu#s282_0</t>
  </si>
  <si>
    <t>283</t>
  </si>
  <si>
    <t>Jedes Mal , wenn das passiert , müssen wir uns aufs auf das Neue mit unserem Recht auf Datenschutz beschäftigen und es anpassen .</t>
  </si>
  <si>
    <t>file://conllu/de/teddy-1319.conllu#s283_0</t>
  </si>
  <si>
    <t>284</t>
  </si>
  <si>
    <t>sein (sein geschehen)</t>
  </si>
  <si>
    <t>Nun ist das nicht mehr geschehen , seit die Überwachungstechnologien der Regierung um ein Vielfaches des Faktors zehn zugenommen haben , und deshalb stecken wir in den heutigen Schwierigkeiten .</t>
  </si>
  <si>
    <t>file://conllu/de/teddy-1319.conllu#s284_0</t>
  </si>
  <si>
    <t>285</t>
  </si>
  <si>
    <t>Aber es gibt immer noch Hoffnung , weil auch die Macht des Einzelnen durch Technologie zugenommen hat .</t>
  </si>
  <si>
    <t>file://conllu/de/teddy-1319.conllu#s285_0</t>
  </si>
  <si>
    <t>286</t>
  </si>
  <si>
    <t>sein (sein Beweis)</t>
  </si>
  <si>
    <t>Ich bin der lebende Beweis , dass ein Einzelner den mächtigsten Gegnern die Stirn bieten kann , den mächtigsten Nachrichtendiensten der Welt , und gewinnen kann .</t>
  </si>
  <si>
    <t>file://conllu/de/teddy-1319.conllu#s286_0</t>
  </si>
  <si>
    <t>287</t>
  </si>
  <si>
    <t>Das ist etwas , das wir brauchen , um daraus Hoffnung zu schöpfen und darauf aufzubauen , um es nicht nur technischen Fachleuten zugänglich zu machen , sondern einfachen Bürgern in aller Welt .</t>
  </si>
  <si>
    <t>file://conllu/de/teddy-1319.conllu#s287_0</t>
  </si>
  <si>
    <t>288</t>
  </si>
  <si>
    <t>sein (sein Verbrechen)</t>
  </si>
  <si>
    <t>Journalismus ist kein Verbrechen .</t>
  </si>
  <si>
    <t>file://conllu/de/teddy-1319.conllu#s288_0</t>
  </si>
  <si>
    <t>289</t>
  </si>
  <si>
    <t>Kommunikation ist kein Verbrechen , und wir sollten bei unseren Aktivitäten im in dem Alltag nicht überwacht werden .</t>
  </si>
  <si>
    <t>file://conllu/de/teddy-1319.conllu#s289_0</t>
  </si>
  <si>
    <t>290</t>
  </si>
  <si>
    <t>CA .</t>
  </si>
  <si>
    <t>file://conllu/de/teddy-1319.conllu#s290_0</t>
  </si>
  <si>
    <t>291</t>
  </si>
  <si>
    <t>Ich bin mit nicht sicher , wie man einem Bot die Hand schüttelt , aber ich schätze , das hier ist die Hand .</t>
  </si>
  <si>
    <t>file://conllu/de/teddy-1319.conllu#s291_0</t>
  </si>
  <si>
    <t>292</t>
  </si>
  <si>
    <t>TBL : Auch die kommt sehr bald .</t>
  </si>
  <si>
    <t>file://conllu/de/teddy-1319.conllu#s292_0</t>
  </si>
  <si>
    <t>293</t>
  </si>
  <si>
    <t>ES : Es freut mich , Sie kennenzulernen .</t>
  </si>
  <si>
    <t>file://conllu/de/teddy-1319.conllu#s293_0</t>
  </si>
  <si>
    <t>294</t>
  </si>
  <si>
    <t>hoffen</t>
  </si>
  <si>
    <t>Ich hoffe , meine Übertragung sieht so gut aus wie mein Bild von euch zwei .</t>
  </si>
  <si>
    <t>file://conllu/de/teddy-1319.conllu#s294_0</t>
  </si>
  <si>
    <t>295</t>
  </si>
  <si>
    <t>Rank|Danke</t>
  </si>
  <si>
    <t>CA : Danke , Tim .</t>
  </si>
  <si>
    <t>file://conllu/de/teddy-1319.conllu#s295_0</t>
  </si>
  <si>
    <t>296</t>
  </si>
  <si>
    <t>Die New York Times forderte kürzlich eine Amnestie für dich .</t>
  </si>
  <si>
    <t>file://conllu/de/teddy-1319.conllu#s296_0</t>
  </si>
  <si>
    <t>297</t>
  </si>
  <si>
    <t>zurückzukommen</t>
  </si>
  <si>
    <t>Würdest du die Chance , nach Amerika zurückzukommen , begrüßen ?</t>
  </si>
  <si>
    <t>file://conllu/de/teddy-1319.conllu#s297_0</t>
  </si>
  <si>
    <t>298</t>
  </si>
  <si>
    <t>file://conllu/de/teddy-1319.conllu#s298_0</t>
  </si>
  <si>
    <t>299</t>
  </si>
  <si>
    <t>Das steht außer Frage .</t>
  </si>
  <si>
    <t>file://conllu/de/teddy-1319.conllu#s299_0</t>
  </si>
  <si>
    <t>300</t>
  </si>
  <si>
    <t>sein (sein Interesse)</t>
  </si>
  <si>
    <t>Die Prinzipien , die die Grundlage dieses Projektes bilden , sind das öffentliche Interesse und die Prinzipen , die den etablierten journalistischen Organen in den USA und rund um die Welt zugrundeliegen , und ich denke , wenn die Presse sagt , wir unterstützen das , das ist etwas , das passieren muss , dann ist das ein kräftiges Argument , aber es ist nicht das letzte Argument .</t>
  </si>
  <si>
    <t>file://conllu/de/teddy-1319.conllu#s300_0</t>
  </si>
  <si>
    <t>301</t>
  </si>
  <si>
    <t>Ich denke , das ist etwas , das die Öffentlichkeit entscheiden sollte .</t>
  </si>
  <si>
    <t>file://conllu/de/teddy-1319.conllu#s301_0</t>
  </si>
  <si>
    <t>302</t>
  </si>
  <si>
    <t>angedeuten</t>
  </si>
  <si>
    <t>Aber zur zu der gleichen Zeit hat die Regierung angedeutet , dass sie eine Art Handel wünscht , dass sie möchte , dass ich die Journalisten , die mit mir gearbeitet haben , kompromittiere , damit ich zurückkommen kann .</t>
  </si>
  <si>
    <t>file://conllu/de/teddy-1319.conllu#s302_0</t>
  </si>
  <si>
    <t>303</t>
  </si>
  <si>
    <t>Ich möchte sehr deutlich machen , dass ich das nicht für meine Sicherheit getan habe .</t>
  </si>
  <si>
    <t>file://conllu/de/teddy-1319.conllu#s303_0</t>
  </si>
  <si>
    <t>304</t>
  </si>
  <si>
    <t>Ich habe das getan , um das Richtige zu tun , und ich werde meine Arbeit für das öffentliche Interesse nicht zu meinem eigenen Vorteil aufgeben .</t>
  </si>
  <si>
    <t>file://conllu/de/teddy-1319.conllu#s304_0</t>
  </si>
  <si>
    <t>305</t>
  </si>
  <si>
    <t>Zwischenzeit</t>
  </si>
  <si>
    <t>CA : In der Zwischenzeit , dank des Internets und dieser Technologie , bist du wieder zurück in Nordamerika , nicht ganz die USA , aber in Kanada in dieser Form .</t>
  </si>
  <si>
    <t>file://conllu/de/teddy-1319.conllu#s305_0</t>
  </si>
  <si>
    <t>306</t>
  </si>
  <si>
    <t>sein (sein neugierig)</t>
  </si>
  <si>
    <t>Ich bin neugierig , wie fühlt sich das an ?</t>
  </si>
  <si>
    <t>file://conllu/de/teddy-1319.conllu#s306_0</t>
  </si>
  <si>
    <t>307</t>
  </si>
  <si>
    <t>sein (sein anders)</t>
  </si>
  <si>
    <t>ES : Kanada ist anders , als ich es erwartet hatte .</t>
  </si>
  <si>
    <t>file://conllu/de/teddy-1319.conllu#s307_0</t>
  </si>
  <si>
    <t>308</t>
  </si>
  <si>
    <t>sein (sein wärmer)</t>
  </si>
  <si>
    <t>Es ist viel wärmer .</t>
  </si>
  <si>
    <t>file://conllu/de/teddy-1319.conllu#s308_0</t>
  </si>
  <si>
    <t>309</t>
  </si>
  <si>
    <t>sein (sein Idee)</t>
  </si>
  <si>
    <t>CA : Die Mission von TED sind &amp;quot; Ideen mit Verbreitungswert &amp;quot; .</t>
  </si>
  <si>
    <t>file://conllu/de/teddy-1319.conllu#s309_0</t>
  </si>
  <si>
    <t>310</t>
  </si>
  <si>
    <t>zusammenfassen</t>
  </si>
  <si>
    <t>Wenn du es in einer einzigen Idee zusammenfassen könntest , Was ist deine Idee , die es wert ist , hier und jetzt verbreitet zu werden ?</t>
  </si>
  <si>
    <t>file://conllu/de/teddy-1319.conllu#s310_0</t>
  </si>
  <si>
    <t>311</t>
  </si>
  <si>
    <t>erinnern (erinnern sagen)</t>
  </si>
  <si>
    <t>ES : Ich würde sagen , dass das letzte Jahr uns daran erinnert hat , dass Demokratie hinter verschlossenen Türen sterben kann , aber wir als Individuen werden hinter denselben verschlossenen Türen geboren , und wir müssen unsere Privatspäre nicht aufgeben , um eine gute Regierung zu haben .</t>
  </si>
  <si>
    <t>file://conllu/de/teddy-1319.conllu#s311_0</t>
  </si>
  <si>
    <t>312</t>
  </si>
  <si>
    <t>aufgeben</t>
  </si>
  <si>
    <t>Wir müssen unsere Freiheit nicht aufgeben , um Sicherheit zu haben .</t>
  </si>
  <si>
    <t>file://conllu/de/teddy-1319.conllu#s312_0</t>
  </si>
  <si>
    <t>313</t>
  </si>
  <si>
    <t>Und ich denke , indem wir zusammenarbeiten , können wir eine offene Regierung haben und Privatsphäre .</t>
  </si>
  <si>
    <t>file://conllu/de/teddy-1319.conllu#s313_0</t>
  </si>
  <si>
    <t>314</t>
  </si>
  <si>
    <t>freuen</t>
  </si>
  <si>
    <t>Ich freue mich darauf , mit jedem in der Welt zusammenzuarbeiten , um das durchzusetzen .</t>
  </si>
  <si>
    <t>file://conllu/de/teddy-1319.conllu#s314_0</t>
  </si>
  <si>
    <t>315</t>
  </si>
  <si>
    <t>danken</t>
  </si>
  <si>
    <t>Ich danke euch sehr .</t>
  </si>
  <si>
    <t>file://conllu/de/teddy-1319.conllu#s315_0</t>
  </si>
  <si>
    <t>316</t>
  </si>
  <si>
    <t>CA : Ed , danke !</t>
  </si>
  <si>
    <t>file://conllu/de/teddy-1319.conllu#s316_0</t>
  </si>
  <si>
    <t>WORD</t>
  </si>
  <si>
    <t>GR</t>
  </si>
  <si>
    <t>NP_TYPE</t>
  </si>
  <si>
    <t>REF_AUTO</t>
  </si>
  <si>
    <t>COREF</t>
  </si>
  <si>
    <t>REF</t>
  </si>
  <si>
    <t>IS</t>
  </si>
  <si>
    <t>CB</t>
  </si>
  <si>
    <t>GR_ANTE</t>
  </si>
  <si>
    <t>REF_DIST</t>
  </si>
  <si>
    <t>REF_DIST_ANTE</t>
  </si>
  <si>
    <t># text = Chris Anderson: Bürgerrechte, die Zukunft des Internet.</t>
  </si>
  <si>
    <t>other</t>
  </si>
  <si>
    <t>ne</t>
  </si>
  <si>
    <t>?OLD</t>
  </si>
  <si>
    <t>Anderson</t>
  </si>
  <si>
    <t>:</t>
  </si>
  <si>
    <t>Bürgerrechte</t>
  </si>
  <si>
    <t>indef-np.bare</t>
  </si>
  <si>
    <t>,</t>
  </si>
  <si>
    <t>die</t>
  </si>
  <si>
    <t>Zukunft</t>
  </si>
  <si>
    <t>def-np.the</t>
  </si>
  <si>
    <t>des</t>
  </si>
  <si>
    <t>Internet</t>
  </si>
  <si>
    <t>other_2</t>
  </si>
  <si>
    <t># text = Ich möchte auf der Bühne von TED den Mann hinter diesen Enthüllungen begrüßen: Ed Snowden.</t>
  </si>
  <si>
    <t>Ich</t>
  </si>
  <si>
    <t>SBJ</t>
  </si>
  <si>
    <t>pron.pper</t>
  </si>
  <si>
    <t>möchte</t>
  </si>
  <si>
    <t>auf</t>
  </si>
  <si>
    <t>der</t>
  </si>
  <si>
    <t>Bühne</t>
  </si>
  <si>
    <t>von</t>
  </si>
  <si>
    <t>TED</t>
  </si>
  <si>
    <t>den</t>
  </si>
  <si>
    <t>Mann</t>
  </si>
  <si>
    <t>OBJ</t>
  </si>
  <si>
    <t>hinter</t>
  </si>
  <si>
    <t>diesen</t>
  </si>
  <si>
    <t>other_3</t>
  </si>
  <si>
    <t>pron.pds</t>
  </si>
  <si>
    <t>Enthüllungen</t>
  </si>
  <si>
    <t>def-np.dem</t>
  </si>
  <si>
    <t>Ed</t>
  </si>
  <si>
    <t>Snowden</t>
  </si>
  <si>
    <t># text = (Applaus) Ed hält sich an einem entfernten Ort in Russland auf.</t>
  </si>
  <si>
    <t>(</t>
  </si>
  <si>
    <t>Applaus</t>
  </si>
  <si>
    <t>)</t>
  </si>
  <si>
    <t>hält</t>
  </si>
  <si>
    <t>sich</t>
  </si>
  <si>
    <t>an</t>
  </si>
  <si>
    <t>einem</t>
  </si>
  <si>
    <t>entfernten</t>
  </si>
  <si>
    <t>Ort</t>
  </si>
  <si>
    <t>indef-np.a</t>
  </si>
  <si>
    <t>in</t>
  </si>
  <si>
    <t>Russland</t>
  </si>
  <si>
    <t># text = Er steuert diesen Roboter von seinem Laptop aus.</t>
  </si>
  <si>
    <t>Er</t>
  </si>
  <si>
    <t>steuert</t>
  </si>
  <si>
    <t>Roboter</t>
  </si>
  <si>
    <t>seinem</t>
  </si>
  <si>
    <t>Laptop</t>
  </si>
  <si>
    <t>indef-np</t>
  </si>
  <si>
    <t>aus</t>
  </si>
  <si>
    <t># text = Er sieht, was der Bot sieht.</t>
  </si>
  <si>
    <t>sieht</t>
  </si>
  <si>
    <t>was</t>
  </si>
  <si>
    <t>OBJ_2</t>
  </si>
  <si>
    <t>pron</t>
  </si>
  <si>
    <t>Bot</t>
  </si>
  <si>
    <t>SBJ_2</t>
  </si>
  <si>
    <t># text = Ed, willkommen bei TED!</t>
  </si>
  <si>
    <t>bei</t>
  </si>
  <si>
    <t>!</t>
  </si>
  <si>
    <t># text = Was kannst du eigentlich wirklich sehen?</t>
  </si>
  <si>
    <t>Was</t>
  </si>
  <si>
    <t>kannst</t>
  </si>
  <si>
    <t>eigentlich</t>
  </si>
  <si>
    <t>wirklich</t>
  </si>
  <si>
    <t>?</t>
  </si>
  <si>
    <t># text = Edward Snowden:</t>
  </si>
  <si>
    <t># text = Ich kann alle sehen.</t>
  </si>
  <si>
    <t>kann</t>
  </si>
  <si>
    <t>alle</t>
  </si>
  <si>
    <t>pron.pind</t>
  </si>
  <si>
    <t># text = Es ist fantastisch.</t>
  </si>
  <si>
    <t>Es</t>
  </si>
  <si>
    <t>ist</t>
  </si>
  <si>
    <t>fantastisch</t>
  </si>
  <si>
    <t># text = (Lachen im Publikum) CA: Ed, ich habe ein paar Fragen an dich.</t>
  </si>
  <si>
    <t>dem</t>
  </si>
  <si>
    <t>Publikum</t>
  </si>
  <si>
    <t>CA</t>
  </si>
  <si>
    <t>ich</t>
  </si>
  <si>
    <t>habe</t>
  </si>
  <si>
    <t>ein</t>
  </si>
  <si>
    <t>paar</t>
  </si>
  <si>
    <t>Fragen</t>
  </si>
  <si>
    <t>dich</t>
  </si>
  <si>
    <t># text = Man hat dich vieles genannt in den letzten Monaten: einen Whistleblower, einen Verräter, einen Helden.</t>
  </si>
  <si>
    <t>Man</t>
  </si>
  <si>
    <t>hat</t>
  </si>
  <si>
    <t>vieles</t>
  </si>
  <si>
    <t>genannt</t>
  </si>
  <si>
    <t>letzten</t>
  </si>
  <si>
    <t>Monaten</t>
  </si>
  <si>
    <t>einen</t>
  </si>
  <si>
    <t>Whistleblower</t>
  </si>
  <si>
    <t>other_4</t>
  </si>
  <si>
    <t>Helden</t>
  </si>
  <si>
    <t># text = In welchen Worten würdest du dich beschreiben?</t>
  </si>
  <si>
    <t>In</t>
  </si>
  <si>
    <t>welchen</t>
  </si>
  <si>
    <t>pron.pint</t>
  </si>
  <si>
    <t>Worten</t>
  </si>
  <si>
    <t>würdest</t>
  </si>
  <si>
    <t># text = ES: Jeder, der an dieser Debatte beteiligt ist, hat sich mit mir und meiner Persönlichkeit beschäftigt und damit, wie man mich beschreiben sollte.</t>
  </si>
  <si>
    <t>ES</t>
  </si>
  <si>
    <t>Jeder</t>
  </si>
  <si>
    <t>SBJ_4</t>
  </si>
  <si>
    <t>dieser</t>
  </si>
  <si>
    <t>other_5</t>
  </si>
  <si>
    <t>beteiligt</t>
  </si>
  <si>
    <t>mit</t>
  </si>
  <si>
    <t>mir</t>
  </si>
  <si>
    <t>und</t>
  </si>
  <si>
    <t>meiner</t>
  </si>
  <si>
    <t>pron.ppos</t>
  </si>
  <si>
    <t>Persönlichkeit</t>
  </si>
  <si>
    <t>beschäftigt</t>
  </si>
  <si>
    <t>damit</t>
  </si>
  <si>
    <t>pron.padv</t>
  </si>
  <si>
    <t>wie</t>
  </si>
  <si>
    <t>man</t>
  </si>
  <si>
    <t>SBJ_3</t>
  </si>
  <si>
    <t>mich</t>
  </si>
  <si>
    <t>OBJ_3</t>
  </si>
  <si>
    <t>sollte</t>
  </si>
  <si>
    <t># text = Aber, wenn ich darüber nachdenke: Das ist nicht die Frage, mit der wir ringen sollten.</t>
  </si>
  <si>
    <t>Aber</t>
  </si>
  <si>
    <t>wenn</t>
  </si>
  <si>
    <t>darüber</t>
  </si>
  <si>
    <t>nachdenke</t>
  </si>
  <si>
    <t>Das</t>
  </si>
  <si>
    <t>nicht</t>
  </si>
  <si>
    <t>Frage</t>
  </si>
  <si>
    <t>ringen</t>
  </si>
  <si>
    <t>sollten</t>
  </si>
  <si>
    <t># text = Wer ich bin, spielt keine Rolle.</t>
  </si>
  <si>
    <t>Wer</t>
  </si>
  <si>
    <t>bin</t>
  </si>
  <si>
    <t>spielt</t>
  </si>
  <si>
    <t>keine</t>
  </si>
  <si>
    <t>Rolle</t>
  </si>
  <si>
    <t>indef-np.quant</t>
  </si>
  <si>
    <t># text = Wenn ich der schlimmste Mensch der Welt bin, kann man mich hassen und zur Tagesordnung übergehen.</t>
  </si>
  <si>
    <t>Wenn</t>
  </si>
  <si>
    <t>schlimmste</t>
  </si>
  <si>
    <t>Mensch</t>
  </si>
  <si>
    <t>Welt</t>
  </si>
  <si>
    <t>zu</t>
  </si>
  <si>
    <t>Tagesordnung</t>
  </si>
  <si>
    <t># text = Was zählt, sind die Sachfragen.</t>
  </si>
  <si>
    <t>zählt</t>
  </si>
  <si>
    <t>sind</t>
  </si>
  <si>
    <t>Sachfragen</t>
  </si>
  <si>
    <t># text = Was zählt, ist die Art von Regierung, die wir wollen, die Art von Internet, die wir wollen, die Art von Beziehung zwischen Menschen und Gesellschaften.</t>
  </si>
  <si>
    <t>Art</t>
  </si>
  <si>
    <t>Regierung</t>
  </si>
  <si>
    <t>wollen</t>
  </si>
  <si>
    <t>OBJ_4</t>
  </si>
  <si>
    <t>SBJ_7</t>
  </si>
  <si>
    <t>OBJ_7</t>
  </si>
  <si>
    <t>Beziehung</t>
  </si>
  <si>
    <t>other_8</t>
  </si>
  <si>
    <t>zwischen</t>
  </si>
  <si>
    <t>Menschen</t>
  </si>
  <si>
    <t>other_9</t>
  </si>
  <si>
    <t>Gesellschaften</t>
  </si>
  <si>
    <t>other_10</t>
  </si>
  <si>
    <t># text = Das ist die Richtung, die ich mir für diese Diskussion erhoffe.</t>
  </si>
  <si>
    <t>Richtung</t>
  </si>
  <si>
    <t>für</t>
  </si>
  <si>
    <t>diese</t>
  </si>
  <si>
    <t>Diskussion</t>
  </si>
  <si>
    <t>erhoffe</t>
  </si>
  <si>
    <t># text = Wir haben gesehen, dass dies zunehmend der Fall ist.</t>
  </si>
  <si>
    <t>Wir</t>
  </si>
  <si>
    <t>gesehen</t>
  </si>
  <si>
    <t>dass</t>
  </si>
  <si>
    <t>dies</t>
  </si>
  <si>
    <t>zunehmend</t>
  </si>
  <si>
    <t>--</t>
  </si>
  <si>
    <t># text = Wenn ich mich beschreiben müsste, würde ich keine Wörter wie \"Held\" benutzen, Ich würde nicht \"Patriot\" sagen oder \"Verräter\".</t>
  </si>
  <si>
    <t>müsste</t>
  </si>
  <si>
    <t>würde</t>
  </si>
  <si>
    <t>Wörter</t>
  </si>
  <si>
    <t>&amp;quot;</t>
  </si>
  <si>
    <t>Held</t>
  </si>
  <si>
    <t>benutzen</t>
  </si>
  <si>
    <t>Patriot</t>
  </si>
  <si>
    <t>oder</t>
  </si>
  <si>
    <t># text = Ich würde sagen, ich bin Amerikaner und ein Bürger, so wie jeder andere auch.</t>
  </si>
  <si>
    <t>Amerikaner</t>
  </si>
  <si>
    <t>Bürger</t>
  </si>
  <si>
    <t>so</t>
  </si>
  <si>
    <t>jeder</t>
  </si>
  <si>
    <t>andere</t>
  </si>
  <si>
    <t># text = CA: Um jenen etwas Kontext zu liefern, die nicht mit der ganzen Geschichte vertraut sind:</t>
  </si>
  <si>
    <t>Um</t>
  </si>
  <si>
    <t>jenen</t>
  </si>
  <si>
    <t>etwas</t>
  </si>
  <si>
    <t>Kontext</t>
  </si>
  <si>
    <t>ganzen</t>
  </si>
  <si>
    <t>Geschichte</t>
  </si>
  <si>
    <t>vertraut</t>
  </si>
  <si>
    <t># text = Vor einem Jahr warst du noch in Hawaii und hast im Auftrag der NSA gearbeitet.</t>
  </si>
  <si>
    <t>Vor</t>
  </si>
  <si>
    <t>Jahr</t>
  </si>
  <si>
    <t>warst</t>
  </si>
  <si>
    <t>noch</t>
  </si>
  <si>
    <t>Hawaii</t>
  </si>
  <si>
    <t>hast</t>
  </si>
  <si>
    <t>Auftrag</t>
  </si>
  <si>
    <t>def-np.poss</t>
  </si>
  <si>
    <t>NSA</t>
  </si>
  <si>
    <t>gearbeitet</t>
  </si>
  <si>
    <t># text = Als Systemadministrator hattest du Zugang zu ihren Systemen.</t>
  </si>
  <si>
    <t>Als</t>
  </si>
  <si>
    <t>Systemadministrator</t>
  </si>
  <si>
    <t>hattest</t>
  </si>
  <si>
    <t>Zugang</t>
  </si>
  <si>
    <t>ihren</t>
  </si>
  <si>
    <t>Systemen</t>
  </si>
  <si>
    <t># text = Du hast angefangen, vertrauliche Dokumente ausgewählten Journalisten zu übergeben.</t>
  </si>
  <si>
    <t>Du</t>
  </si>
  <si>
    <t>angefangen</t>
  </si>
  <si>
    <t>vertrauliche</t>
  </si>
  <si>
    <t>Dokumente</t>
  </si>
  <si>
    <t>ausgewählten</t>
  </si>
  <si>
    <t>Journalisten</t>
  </si>
  <si>
    <t># text = Das hat dann zu den Enthüllungen im Juni geführt.</t>
  </si>
  <si>
    <t>dann</t>
  </si>
  <si>
    <t>Juni</t>
  </si>
  <si>
    <t>geführt</t>
  </si>
  <si>
    <t># text = Was hat dich dazu veranlasst?</t>
  </si>
  <si>
    <t>dazu</t>
  </si>
  <si>
    <t>veranlasst</t>
  </si>
  <si>
    <t># text = ES: Weißt du, als ich auf Hawaii saß, und in den Jahren davor, als ich für die Nachrichtendienste arbeitete, sah ich viele Dinge, die mich beunruhigten.</t>
  </si>
  <si>
    <t>Weißt</t>
  </si>
  <si>
    <t>als</t>
  </si>
  <si>
    <t>saß</t>
  </si>
  <si>
    <t>Jahren</t>
  </si>
  <si>
    <t>davor</t>
  </si>
  <si>
    <t>Nachrichtendienste</t>
  </si>
  <si>
    <t>arbeitete</t>
  </si>
  <si>
    <t>sah</t>
  </si>
  <si>
    <t>viele</t>
  </si>
  <si>
    <t>Dinge</t>
  </si>
  <si>
    <t>SBJ_5</t>
  </si>
  <si>
    <t>OBJ_5</t>
  </si>
  <si>
    <t>beunruhigten</t>
  </si>
  <si>
    <t># text = Wir tun viel Gutes in den Nachrichtendiensten, Dinge, die getan werden müssen, Dinge, die allen helfen.</t>
  </si>
  <si>
    <t>viel</t>
  </si>
  <si>
    <t>Gutes</t>
  </si>
  <si>
    <t>Nachrichtendiensten</t>
  </si>
  <si>
    <t>getan</t>
  </si>
  <si>
    <t>müssen</t>
  </si>
  <si>
    <t>allen</t>
  </si>
  <si>
    <t># text = Aber es gibt auch Dinge, die zu weit gehen.</t>
  </si>
  <si>
    <t>gibt</t>
  </si>
  <si>
    <t>weit</t>
  </si>
  <si>
    <t># text = Da sind Dinge, die man nicht tun sollte, und Entscheidungen, die im Geheimen getroffen wurden, von denen die Öffentlichkeit nichts wusste, ohne Zustimmung der Öffentlichkeit, und sogar unsere Regierungsvertreter wussten nichts von diesen Programmen.</t>
  </si>
  <si>
    <t>Da</t>
  </si>
  <si>
    <t>Entscheidungen</t>
  </si>
  <si>
    <t>Geheimen</t>
  </si>
  <si>
    <t>getroffen</t>
  </si>
  <si>
    <t>wurden</t>
  </si>
  <si>
    <t>denen</t>
  </si>
  <si>
    <t>Öffentlichkeit</t>
  </si>
  <si>
    <t>nichts</t>
  </si>
  <si>
    <t>wusste</t>
  </si>
  <si>
    <t>ohne</t>
  </si>
  <si>
    <t>Zustimmung</t>
  </si>
  <si>
    <t>sogar</t>
  </si>
  <si>
    <t>unsere</t>
  </si>
  <si>
    <t>Regierungsvertreter</t>
  </si>
  <si>
    <t>wussten</t>
  </si>
  <si>
    <t>Programmen</t>
  </si>
  <si>
    <t># text = Als ich anfing, mich an diesen Problemen zu stoßen, habe ich mich gefragt: Wie kann ich diese Sache so verantwortungsbewusst wie möglich angehen, damit die Öffentlichkeit den maximalen Nutzen zieht, aber die Risiken minimal bleiben?</t>
  </si>
  <si>
    <t>anfing</t>
  </si>
  <si>
    <t>Problemen</t>
  </si>
  <si>
    <t>stoßen</t>
  </si>
  <si>
    <t>gefragt</t>
  </si>
  <si>
    <t>Wie</t>
  </si>
  <si>
    <t>verantwortungsbewusst</t>
  </si>
  <si>
    <t>möglich</t>
  </si>
  <si>
    <t>angehen</t>
  </si>
  <si>
    <t>maximalen</t>
  </si>
  <si>
    <t>Nutzen</t>
  </si>
  <si>
    <t>zieht</t>
  </si>
  <si>
    <t>aber</t>
  </si>
  <si>
    <t>Risiken</t>
  </si>
  <si>
    <t>minimal</t>
  </si>
  <si>
    <t>bleiben</t>
  </si>
  <si>
    <t># text = Bei allen Lösungen, die mir einfielen, außer "Ich wende mich an den Kongress", wenn es keine Gesetze gab, wenn es keinen rechtlichen Schutz gab für eine angestellte Privatperson, für einen Subunternehmer im Nachrichtendienst wie mich, bestand das Risiko, dass man mich mit der Information begraben würde, ohne dass die Öffentlichkeit davon je erführe.</t>
  </si>
  <si>
    <t>Bei</t>
  </si>
  <si>
    <t>Lösungen</t>
  </si>
  <si>
    <t>einfielen</t>
  </si>
  <si>
    <t>außer</t>
  </si>
  <si>
    <t>wende</t>
  </si>
  <si>
    <t>Kongress</t>
  </si>
  <si>
    <t>Gesetze</t>
  </si>
  <si>
    <t>gab</t>
  </si>
  <si>
    <t>keinen</t>
  </si>
  <si>
    <t>rechtlichen</t>
  </si>
  <si>
    <t>Schutz</t>
  </si>
  <si>
    <t>eine</t>
  </si>
  <si>
    <t>angestellte</t>
  </si>
  <si>
    <t>Privatperson</t>
  </si>
  <si>
    <t>Subunternehmer</t>
  </si>
  <si>
    <t>Nachrichtendienst</t>
  </si>
  <si>
    <t>other_6</t>
  </si>
  <si>
    <t>other_7</t>
  </si>
  <si>
    <t>bestand</t>
  </si>
  <si>
    <t>das</t>
  </si>
  <si>
    <t>Risiko</t>
  </si>
  <si>
    <t>Information</t>
  </si>
  <si>
    <t>begraben</t>
  </si>
  <si>
    <t>davon</t>
  </si>
  <si>
    <t>je</t>
  </si>
  <si>
    <t>erführe</t>
  </si>
  <si>
    <t># text = Aber der erste Zusatzartikel der amerikanischen Verfassung garantiert uns die Pressefreiheit aus gutem Grund, nämlich um eine Presse zu ermöglichen, die unbequem ist, die die Regierung herausfordert, aber auch mit der Regierung arbeitet, um Dialog und Debatte zu ermöglichen, wie wir die Öffentlichkeit über entscheidende Fragen informieren können, ohne die nationale Sicherheit zu gefährden.</t>
  </si>
  <si>
    <t>erste</t>
  </si>
  <si>
    <t>Zusatzartikel</t>
  </si>
  <si>
    <t>amerikanischen</t>
  </si>
  <si>
    <t>Verfassung</t>
  </si>
  <si>
    <t>garantiert</t>
  </si>
  <si>
    <t>uns</t>
  </si>
  <si>
    <t>Pressefreiheit</t>
  </si>
  <si>
    <t>gutem</t>
  </si>
  <si>
    <t>Grund</t>
  </si>
  <si>
    <t>nämlich</t>
  </si>
  <si>
    <t>um</t>
  </si>
  <si>
    <t>Presse</t>
  </si>
  <si>
    <t>ermöglichen</t>
  </si>
  <si>
    <t>unbequem</t>
  </si>
  <si>
    <t>herausfordert</t>
  </si>
  <si>
    <t>arbeitet</t>
  </si>
  <si>
    <t>Dialog</t>
  </si>
  <si>
    <t>über</t>
  </si>
  <si>
    <t>entscheidende</t>
  </si>
  <si>
    <t>informieren</t>
  </si>
  <si>
    <t>können</t>
  </si>
  <si>
    <t>nationale</t>
  </si>
  <si>
    <t>Sicherheit</t>
  </si>
  <si>
    <t>OBJ_6</t>
  </si>
  <si>
    <t>gefährden</t>
  </si>
  <si>
    <t># text = Indem ich mit Journalisten gearbeitet habe, indem ich all meine Informationen dem amerikanischen Volk zurückgegeben habe, statt nur auf mich selbst zu vertrauen bei Entscheidungen über die Veröffentlichung, hatten wir eine handfeste Debatte, an der sich die Regierung intensiv beteiligt und die allen einen Nutzen gebracht hat.</t>
  </si>
  <si>
    <t>Indem</t>
  </si>
  <si>
    <t>indem</t>
  </si>
  <si>
    <t>all</t>
  </si>
  <si>
    <t>meine</t>
  </si>
  <si>
    <t>Informationen</t>
  </si>
  <si>
    <t>Volk</t>
  </si>
  <si>
    <t>zurückgegeben</t>
  </si>
  <si>
    <t>statt</t>
  </si>
  <si>
    <t>nur</t>
  </si>
  <si>
    <t>selbst</t>
  </si>
  <si>
    <t>Veröffentlichung</t>
  </si>
  <si>
    <t>hatten</t>
  </si>
  <si>
    <t>handfeste</t>
  </si>
  <si>
    <t>intensiv</t>
  </si>
  <si>
    <t>gebracht</t>
  </si>
  <si>
    <t># text = Die Risiken, mit denen gedroht wurde, die Risiken, die von der Regierung hochgespielt wurden, haben sich nie materialisiert.</t>
  </si>
  <si>
    <t>Die</t>
  </si>
  <si>
    <t>gedroht</t>
  </si>
  <si>
    <t>wurde</t>
  </si>
  <si>
    <t>hochgespielt</t>
  </si>
  <si>
    <t>nie</t>
  </si>
  <si>
    <t>materialisiert</t>
  </si>
  <si>
    <t># text = Wir haben keinerlei Hinweis, dass auch nur ein Schaden entstanden wäre, und deshalb kann ich mit meinen Entscheidungen gut leben.</t>
  </si>
  <si>
    <t>keinerlei</t>
  </si>
  <si>
    <t>Hinweis</t>
  </si>
  <si>
    <t>Schaden</t>
  </si>
  <si>
    <t>entstanden</t>
  </si>
  <si>
    <t>wäre</t>
  </si>
  <si>
    <t>deshalb</t>
  </si>
  <si>
    <t>meinen</t>
  </si>
  <si>
    <t>gut</t>
  </si>
  <si>
    <t># text = CA: Lass mich dem Publikum ein paar Beispiele für deine Enthüllungen geben.</t>
  </si>
  <si>
    <t>Lass</t>
  </si>
  <si>
    <t>Beispiele</t>
  </si>
  <si>
    <t>deine</t>
  </si>
  <si>
    <t># text = Können wir jetzt bitte das Schaubild haben?</t>
  </si>
  <si>
    <t>Können</t>
  </si>
  <si>
    <t>jetzt</t>
  </si>
  <si>
    <t>bitte</t>
  </si>
  <si>
    <t>Schaubild</t>
  </si>
  <si>
    <t># text = Ed, ich weiß nicht, ob du dies sehen kannst: Die Bilder der Präsentation sind da.</t>
  </si>
  <si>
    <t>weiß</t>
  </si>
  <si>
    <t>ob</t>
  </si>
  <si>
    <t>Bilder</t>
  </si>
  <si>
    <t>Präsentation</t>
  </si>
  <si>
    <t>da</t>
  </si>
  <si>
    <t># text = Diese Grafik zeigt das Programm PRISM.</t>
  </si>
  <si>
    <t>Diese</t>
  </si>
  <si>
    <t>Grafik</t>
  </si>
  <si>
    <t>zeigt</t>
  </si>
  <si>
    <t>Programm</t>
  </si>
  <si>
    <t>PRISM</t>
  </si>
  <si>
    <t># text = Kannst du dem Publikum erläutern, was darüber bekannt wurde?</t>
  </si>
  <si>
    <t>Kannst</t>
  </si>
  <si>
    <t>bekannt</t>
  </si>
  <si>
    <t># text = ES: Um zu verstehen, was PRISM ist, -- denn da war man geteilter Ansicht -- sollte man erst klären, was es nicht ist.</t>
  </si>
  <si>
    <t>verstehen</t>
  </si>
  <si>
    <t>denn</t>
  </si>
  <si>
    <t>war</t>
  </si>
  <si>
    <t>geteilter</t>
  </si>
  <si>
    <t>Ansicht</t>
  </si>
  <si>
    <t>erst</t>
  </si>
  <si>
    <t>klären</t>
  </si>
  <si>
    <t># text = Ein großer Teil der Debatte in den USA bezog sich auf Metadaten.</t>
  </si>
  <si>
    <t>Ein</t>
  </si>
  <si>
    <t>großer</t>
  </si>
  <si>
    <t>Teil</t>
  </si>
  <si>
    <t>USA</t>
  </si>
  <si>
    <t>bezog</t>
  </si>
  <si>
    <t>Metadaten</t>
  </si>
  <si>
    <t># text = Sie sagten, es seien nur Metadaten.</t>
  </si>
  <si>
    <t>Sie</t>
  </si>
  <si>
    <t>sagten</t>
  </si>
  <si>
    <t>seien</t>
  </si>
  <si>
    <t># text = Sie beziehen sich dabei auf eine rechtliche Grundlage: den Abschnitt 215 des Patriot Act.</t>
  </si>
  <si>
    <t>dabei</t>
  </si>
  <si>
    <t>rechtliche</t>
  </si>
  <si>
    <t>Grundlage</t>
  </si>
  <si>
    <t>Abschnitt</t>
  </si>
  <si>
    <t>def-np.quant</t>
  </si>
  <si>
    <t>Act</t>
  </si>
  <si>
    <t># text = Er erlaubt eine Art Abhören ohne richterlichen Beschluss, eine Massenüberwachung der Verbindungsdaten des ganzen Landes, solche Dinge ... Mit wem du sprichst, wann du mit jemandem sprichst, wohin du gereist bist.</t>
  </si>
  <si>
    <t>Abhören</t>
  </si>
  <si>
    <t>richterlichen</t>
  </si>
  <si>
    <t>Beschluss</t>
  </si>
  <si>
    <t>Massenüberwachung</t>
  </si>
  <si>
    <t>Verbindungsdaten</t>
  </si>
  <si>
    <t>Landes</t>
  </si>
  <si>
    <t>solche</t>
  </si>
  <si>
    <t>...</t>
  </si>
  <si>
    <t>Mit</t>
  </si>
  <si>
    <t>wem</t>
  </si>
  <si>
    <t>sprichst</t>
  </si>
  <si>
    <t>wann</t>
  </si>
  <si>
    <t>jemandem</t>
  </si>
  <si>
    <t>wohin</t>
  </si>
  <si>
    <t>gereist</t>
  </si>
  <si>
    <t>bist</t>
  </si>
  <si>
    <t># text = All das sind Metadaten-Ereignisse.</t>
  </si>
  <si>
    <t>All</t>
  </si>
  <si>
    <t>Ereignisse</t>
  </si>
  <si>
    <t># text = Bei PRISM geht es um Inhalt.</t>
  </si>
  <si>
    <t>geht</t>
  </si>
  <si>
    <t>Inhalt</t>
  </si>
  <si>
    <t># text = Es ist ein Programm, mit dem die Regierung die Unternehmen Amerikas zwingen kann, an ihrer Stelle und in ihrem Namen die Dreckarbeit für die NSA zu übernehmen.</t>
  </si>
  <si>
    <t>Amerikas</t>
  </si>
  <si>
    <t>zwingen</t>
  </si>
  <si>
    <t>ihrer</t>
  </si>
  <si>
    <t>Stelle</t>
  </si>
  <si>
    <t>ihrem</t>
  </si>
  <si>
    <t>Namen</t>
  </si>
  <si>
    <t>Dreckarbeit</t>
  </si>
  <si>
    <t>übernehmen</t>
  </si>
  <si>
    <t># text = Obwohl sich einige Unternehmen gewehrt haben und obwohl einige -- ich denke, Yahoo war eines von ihnen -- vor Gericht zogen, haben alle verloren, weil die Fälle nie öffentlich verhandelt wurden.</t>
  </si>
  <si>
    <t>Obwohl</t>
  </si>
  <si>
    <t>einige</t>
  </si>
  <si>
    <t>gewehrt</t>
  </si>
  <si>
    <t>obwohl</t>
  </si>
  <si>
    <t>denke</t>
  </si>
  <si>
    <t>Yahoo</t>
  </si>
  <si>
    <t>eines</t>
  </si>
  <si>
    <t>ihnen</t>
  </si>
  <si>
    <t>vor</t>
  </si>
  <si>
    <t>Gericht</t>
  </si>
  <si>
    <t>zogen</t>
  </si>
  <si>
    <t>verloren</t>
  </si>
  <si>
    <t>weil</t>
  </si>
  <si>
    <t>Fälle</t>
  </si>
  <si>
    <t>öffentlich</t>
  </si>
  <si>
    <t>verhandelt</t>
  </si>
  <si>
    <t># text = Über sie entschied ein geheimes Gericht.</t>
  </si>
  <si>
    <t>Über</t>
  </si>
  <si>
    <t>sie</t>
  </si>
  <si>
    <t>entschied</t>
  </si>
  <si>
    <t>geheimes</t>
  </si>
  <si>
    <t># text = Wir haben im Zusammenhang mit Prism etwas festgestellt, das ich besorgniserregend finde:</t>
  </si>
  <si>
    <t>Zusammenhang</t>
  </si>
  <si>
    <t>Prism</t>
  </si>
  <si>
    <t>festgestellt</t>
  </si>
  <si>
    <t>besorgniserregend</t>
  </si>
  <si>
    <t>finde</t>
  </si>
  <si>
    <t># text = Es gab Gespräche in der US-Regierung, in denen gesagt wurde, 15 Bundesrichter hätten diese Programme begutachtet und als gesetzmäßig befunden.</t>
  </si>
  <si>
    <t>Gespräche</t>
  </si>
  <si>
    <t>US</t>
  </si>
  <si>
    <t>gesagt</t>
  </si>
  <si>
    <t>Bundesrichter</t>
  </si>
  <si>
    <t>hätten</t>
  </si>
  <si>
    <t>Programme</t>
  </si>
  <si>
    <t>begutachtet</t>
  </si>
  <si>
    <t>gesetzmäßig</t>
  </si>
  <si>
    <t>befunden</t>
  </si>
  <si>
    <t># text = Aber sie verraten nicht, dass dies geheime Richter sind in einem geheimen Gericht, das auf der Grundlage vertraulicher Rechtsauslegungen über 34.000 Überwachungsanträge entschieden hat im Lauf von 33 Jahren und in 33 Jahren nur elf Anträge der Regierung abgelehnt hat.</t>
  </si>
  <si>
    <t>geheime</t>
  </si>
  <si>
    <t>Richter</t>
  </si>
  <si>
    <t>geheimen</t>
  </si>
  <si>
    <t>vertraulicher</t>
  </si>
  <si>
    <t>Rechtsauslegungen</t>
  </si>
  <si>
    <t>34.000</t>
  </si>
  <si>
    <t>Überwachungsanträge</t>
  </si>
  <si>
    <t>entschieden</t>
  </si>
  <si>
    <t>Lauf</t>
  </si>
  <si>
    <t>elf</t>
  </si>
  <si>
    <t>Anträge</t>
  </si>
  <si>
    <t>abgelehnt</t>
  </si>
  <si>
    <t># text = Dies sind nicht die Leute, die wir als Entscheider wollen, wenn es um die Rolle amerikanischer Konzerne in einem freien und offenen Internet geht.</t>
  </si>
  <si>
    <t>Dies</t>
  </si>
  <si>
    <t>Leute</t>
  </si>
  <si>
    <t>Entscheider</t>
  </si>
  <si>
    <t>amerikanischer</t>
  </si>
  <si>
    <t>Konzerne</t>
  </si>
  <si>
    <t>freien</t>
  </si>
  <si>
    <t>offenen</t>
  </si>
  <si>
    <t># text = CA: Die Grafik, die wir hier zeigen, listet die Daten auf, wann diverse Technologie- und Internetunternehmen sich dem Programm mutmaßlich anschlossen und wann die Sammlung von Daten bei ihnen begann.</t>
  </si>
  <si>
    <t>hier</t>
  </si>
  <si>
    <t>listet</t>
  </si>
  <si>
    <t>Daten</t>
  </si>
  <si>
    <t>diverse</t>
  </si>
  <si>
    <t>Technologie</t>
  </si>
  <si>
    <t>Internetunternehmen</t>
  </si>
  <si>
    <t>mutmaßlich</t>
  </si>
  <si>
    <t>anschlossen</t>
  </si>
  <si>
    <t>Sammlung</t>
  </si>
  <si>
    <t>begann</t>
  </si>
  <si>
    <t># text = Sie haben die Kooperation mit der NSA bestritten.</t>
  </si>
  <si>
    <t>Kooperation</t>
  </si>
  <si>
    <t>bestritten</t>
  </si>
  <si>
    <t># text = Wie hat die NSA diese Daten gesammelt?</t>
  </si>
  <si>
    <t>gesammelt</t>
  </si>
  <si>
    <t># text = ES: Die eigenen Präsentationen der NSA bezeichnen das als direkten Zugang.</t>
  </si>
  <si>
    <t>eigenen</t>
  </si>
  <si>
    <t>Präsentationen</t>
  </si>
  <si>
    <t>bezeichnen</t>
  </si>
  <si>
    <t>direkten</t>
  </si>
  <si>
    <t># text = Für einen tatsächlichen NSA-Analysten, jemanden wie mich, der in Hawaii als Analyst für den Geheimdienst chinesische Cyber-Hacker oder ähnliches im Visier hatte, bedeutet das, dass die Daten direkt von ihren Servern kommen.</t>
  </si>
  <si>
    <t>Für</t>
  </si>
  <si>
    <t>tatsächlichen</t>
  </si>
  <si>
    <t>Analysten</t>
  </si>
  <si>
    <t>jemanden</t>
  </si>
  <si>
    <t>Analyst</t>
  </si>
  <si>
    <t>chinesische</t>
  </si>
  <si>
    <t>Cyber</t>
  </si>
  <si>
    <t>Hacker</t>
  </si>
  <si>
    <t>ähnliches</t>
  </si>
  <si>
    <t>Visier</t>
  </si>
  <si>
    <t>hatte</t>
  </si>
  <si>
    <t>bedeutet</t>
  </si>
  <si>
    <t>direkt</t>
  </si>
  <si>
    <t>Servern</t>
  </si>
  <si>
    <t># text = Das heißt nicht, dass eine Gruppe von Mitarbeitern des Unternehmens mit der NSA in einem verrauchten Raum sitzt, sich langweilt und im Hinterzimmer aushandelt, wie sie dieses Zeug weitergeben werden.</t>
  </si>
  <si>
    <t>heißt</t>
  </si>
  <si>
    <t>Gruppe</t>
  </si>
  <si>
    <t>Mitarbeitern</t>
  </si>
  <si>
    <t>Unternehmens</t>
  </si>
  <si>
    <t>verrauchten</t>
  </si>
  <si>
    <t>Raum</t>
  </si>
  <si>
    <t>sitzt</t>
  </si>
  <si>
    <t>langweilt</t>
  </si>
  <si>
    <t>Hinterzimmer</t>
  </si>
  <si>
    <t>aushandelt</t>
  </si>
  <si>
    <t>dieses</t>
  </si>
  <si>
    <t>Zeug</t>
  </si>
  <si>
    <t>weitergeben</t>
  </si>
  <si>
    <t># text = Jedes Unternehmen handhabt das anders.</t>
  </si>
  <si>
    <t>Jedes</t>
  </si>
  <si>
    <t>anders</t>
  </si>
  <si>
    <t># text = Manche sind verantwortungsbewusst.</t>
  </si>
  <si>
    <t>Manche</t>
  </si>
  <si>
    <t># text = Manche sind etwas weniger verantwortungsbewusst.</t>
  </si>
  <si>
    <t>weniger</t>
  </si>
  <si>
    <t># text = Unterm Strich aber, wenn wir davon sprechen, wie diese Informationen übergeben werden:</t>
  </si>
  <si>
    <t>Strich</t>
  </si>
  <si>
    <t># text = Sie kommen von den Unternehmen selbst.</t>
  </si>
  <si>
    <t># text = Sie werden nicht aus Leitungen gestohlen.</t>
  </si>
  <si>
    <t>Leitungen</t>
  </si>
  <si>
    <t>gestohlen</t>
  </si>
  <si>
    <t># text = Man darf einen wichtigen Punkt nicht vergessen:</t>
  </si>
  <si>
    <t>darf</t>
  </si>
  <si>
    <t>wichtigen</t>
  </si>
  <si>
    <t>Punkt</t>
  </si>
  <si>
    <t># text = Obwohl die Unternehmen sich wehrten, obwohl die Unternehmen forderten: "Lasst uns das mit einem Genehmigungsverfahren machen.</t>
  </si>
  <si>
    <t>wehrten</t>
  </si>
  <si>
    <t>forderten</t>
  </si>
  <si>
    <t>Lasst</t>
  </si>
  <si>
    <t>Genehmigungsverfahren</t>
  </si>
  <si>
    <t># text = Lasst uns das so machen, dass wir eine Art rechtlicher Prüfung haben, eine Art Grundlage für die Herausgabe von Anwenderdaten haben."</t>
  </si>
  <si>
    <t>rechtlicher</t>
  </si>
  <si>
    <t>Prüfung</t>
  </si>
  <si>
    <t>Herausgabe</t>
  </si>
  <si>
    <t>Anwenderdaten</t>
  </si>
  <si>
    <t># text = Letztes Jahr brachte die Washington Post Berichte, die weniger Medienecho hatten als der Bericht über Prism, in denen es hieß, die NSA sei in die interne Kommunikation zwischen Google-Datenzentren und Yahoo-Datenzentren eingedrungen.</t>
  </si>
  <si>
    <t>Letztes</t>
  </si>
  <si>
    <t>brachte</t>
  </si>
  <si>
    <t>Washington</t>
  </si>
  <si>
    <t>Post</t>
  </si>
  <si>
    <t>Berichte</t>
  </si>
  <si>
    <t>Medienecho</t>
  </si>
  <si>
    <t>Bericht</t>
  </si>
  <si>
    <t>hieß</t>
  </si>
  <si>
    <t>sei</t>
  </si>
  <si>
    <t>interne</t>
  </si>
  <si>
    <t>Kommunikation</t>
  </si>
  <si>
    <t>Google</t>
  </si>
  <si>
    <t>Datenzentren</t>
  </si>
  <si>
    <t>eingedrungen</t>
  </si>
  <si>
    <t># text = Also selbst bei Unternehmen, die -- unter gewissem Zwang, aber auf hoffentlich legale Weise -- mit der NSA kooperieren, gibt sich die NSA damit nicht zufrieden.</t>
  </si>
  <si>
    <t>Also</t>
  </si>
  <si>
    <t>unter</t>
  </si>
  <si>
    <t>gewissem</t>
  </si>
  <si>
    <t>Zwang</t>
  </si>
  <si>
    <t>hoffentlich</t>
  </si>
  <si>
    <t>legale</t>
  </si>
  <si>
    <t>Weise</t>
  </si>
  <si>
    <t>kooperieren</t>
  </si>
  <si>
    <t>zufrieden</t>
  </si>
  <si>
    <t># text = Deshalb brauchen wir Unternehmen, die sich intensiv engagieren, um zu garantieren, dass sie die Interessen der Nutzer vertreten werden und sich für die Rechte der Nutzer einsetzen.</t>
  </si>
  <si>
    <t>Deshalb</t>
  </si>
  <si>
    <t>engagieren</t>
  </si>
  <si>
    <t>Interessen</t>
  </si>
  <si>
    <t>Nutzer</t>
  </si>
  <si>
    <t>vertreten</t>
  </si>
  <si>
    <t>Rechte</t>
  </si>
  <si>
    <t>einsetzen</t>
  </si>
  <si>
    <t># text = Im letzten Jahr haben wir gesehen, dass die Unternehmen in den Prism-Präsentationen große Anstrengungen unternehmen, das zu tun.</t>
  </si>
  <si>
    <t>große</t>
  </si>
  <si>
    <t>Anstrengungen</t>
  </si>
  <si>
    <t>unternehmen</t>
  </si>
  <si>
    <t># text = Ich ermutige sie, weiterzumachen.</t>
  </si>
  <si>
    <t>ermutige</t>
  </si>
  <si>
    <t>weiterzumachen</t>
  </si>
  <si>
    <t># text = CA: Was sollten sie denn noch tun?</t>
  </si>
  <si>
    <t># text = ES: Das Größte, was ein Internetunternehmen in Amerika jetzt und heute tun kann, ohne Anwälte zu Rate zu ziehen, um die Rechte ihrer Nutzer weltweit zu schützen, ist das Ermöglichen von SSL-Netzverschlüsselung auf jeder Seite, die man besucht.</t>
  </si>
  <si>
    <t>Größte</t>
  </si>
  <si>
    <t>Amerika</t>
  </si>
  <si>
    <t>heute</t>
  </si>
  <si>
    <t>Anwälte</t>
  </si>
  <si>
    <t>Rate</t>
  </si>
  <si>
    <t>weltweit</t>
  </si>
  <si>
    <t>Ermöglichen</t>
  </si>
  <si>
    <t>SSL</t>
  </si>
  <si>
    <t>Netzverschlüsselung</t>
  </si>
  <si>
    <t>Seite</t>
  </si>
  <si>
    <t>besucht</t>
  </si>
  <si>
    <t># text = Der Grund, weshalb das wichtig ist: Wenn du dir heute auf Amazon.com eine Ausgabe von "1984" ansiehst, kann die NSA das in einem Protokoll sehen.</t>
  </si>
  <si>
    <t>Der</t>
  </si>
  <si>
    <t>weshalb</t>
  </si>
  <si>
    <t>wichtig</t>
  </si>
  <si>
    <t>dir</t>
  </si>
  <si>
    <t>Amazon.com</t>
  </si>
  <si>
    <t>Ausgabe</t>
  </si>
  <si>
    <t>1984</t>
  </si>
  <si>
    <t>ansiehst</t>
  </si>
  <si>
    <t>Protokoll</t>
  </si>
  <si>
    <t># text = Der russische Geheimdienst kann das in einem Protokoll sehen.</t>
  </si>
  <si>
    <t>russische</t>
  </si>
  <si>
    <t># text = Der chinesische Geheimdienst, der französische, der deutsche und der Geheimdienst von Andorra.</t>
  </si>
  <si>
    <t>französische</t>
  </si>
  <si>
    <t>deutsche</t>
  </si>
  <si>
    <t>Andorra</t>
  </si>
  <si>
    <t># text = Sie alle können das sehen, weil es nicht verschlüsselt ist.</t>
  </si>
  <si>
    <t>verschlüsselt</t>
  </si>
  <si>
    <t># text = Amazon.com ist die Bibliothek der Welt.</t>
  </si>
  <si>
    <t>Bibliothek</t>
  </si>
  <si>
    <t># text = Aber es verzichtet nicht nur auf Verschlüsselung als generellen Standard, man kann auch Verschlüsselung nicht wählen, wenn man in den Büchern stöbert.</t>
  </si>
  <si>
    <t>verzichtet</t>
  </si>
  <si>
    <t>Verschlüsselung</t>
  </si>
  <si>
    <t>generellen</t>
  </si>
  <si>
    <t>Standard</t>
  </si>
  <si>
    <t>Büchern</t>
  </si>
  <si>
    <t>stöbert</t>
  </si>
  <si>
    <t># text = Das ist etwas, das wir ändern müssen, nicht nur bei Amazon.</t>
  </si>
  <si>
    <t>ändern</t>
  </si>
  <si>
    <t>Amazon</t>
  </si>
  <si>
    <t># text = Ich möchte die Seite nicht herausgreifen, aber sie ist ein großartiges Beispiel.</t>
  </si>
  <si>
    <t>großartiges</t>
  </si>
  <si>
    <t>Beispiel</t>
  </si>
  <si>
    <t># text = Alle Unternehmen müssen zum gewohnheitsmäßig verschlüsselten Surfen als Standard übergehen für alle Nutzer, die nicht selbst Maßnahmen ergriffen oder eine eigene Methode gewählt haben.</t>
  </si>
  <si>
    <t>Alle</t>
  </si>
  <si>
    <t>gewohnheitsmäßig</t>
  </si>
  <si>
    <t>verschlüsselten</t>
  </si>
  <si>
    <t>Surfen</t>
  </si>
  <si>
    <t>Maßnahmen</t>
  </si>
  <si>
    <t>ergriffen</t>
  </si>
  <si>
    <t>eigene</t>
  </si>
  <si>
    <t>Methode</t>
  </si>
  <si>
    <t>gewählt</t>
  </si>
  <si>
    <t># text = Das stärkt die Privatsphäre und die Rechte, die Menschen weltweit genießen.</t>
  </si>
  <si>
    <t>stärkt</t>
  </si>
  <si>
    <t>Privatsphäre</t>
  </si>
  <si>
    <t>genießen</t>
  </si>
  <si>
    <t># text = CA: Komm mit mir auf diese Seite der Bühne.</t>
  </si>
  <si>
    <t># text = Ich möchte dir das nächste Bild zeigen.</t>
  </si>
  <si>
    <t>nächste</t>
  </si>
  <si>
    <t>Bild</t>
  </si>
  <si>
    <t># text = Dieses Programm heißt "Boundless Informant".</t>
  </si>
  <si>
    <t>Dieses</t>
  </si>
  <si>
    <t>Boundless</t>
  </si>
  <si>
    <t>Informant</t>
  </si>
  <si>
    <t># text = Was ist das?</t>
  </si>
  <si>
    <t># text = ES: Ich muss der NSA hier Anerkennung zollen für die Verwendung treffender Namen.</t>
  </si>
  <si>
    <t>muss</t>
  </si>
  <si>
    <t>Anerkennung</t>
  </si>
  <si>
    <t>zollen</t>
  </si>
  <si>
    <t>Verwendung</t>
  </si>
  <si>
    <t>treffender</t>
  </si>
  <si>
    <t># text = Dies ist einer meiner Lieblingscodenamen der NSA.</t>
  </si>
  <si>
    <t>einer</t>
  </si>
  <si>
    <t>Lieblingscodenamen</t>
  </si>
  <si>
    <t># text = "Boundless Informant" ["Informant ohne Grenzen"] ist ein Programm, das die NSA vor dem Kongress verborgen hielt.</t>
  </si>
  <si>
    <t>[</t>
  </si>
  <si>
    <t>Grenzen</t>
  </si>
  <si>
    <t>]</t>
  </si>
  <si>
    <t>verborgen</t>
  </si>
  <si>
    <t>hielt</t>
  </si>
  <si>
    <t># text = Der Kongress hatte die NSA im Vorfeld gefragt, ob sie irgendeine Möglichkeit besäße, eine sehr grobe Schätzung abzugeben über den Umfang an amerikanischer Kommunikation, den sie überwachen.</t>
  </si>
  <si>
    <t>Vorfeld</t>
  </si>
  <si>
    <t>irgendeine</t>
  </si>
  <si>
    <t>Möglichkeit</t>
  </si>
  <si>
    <t>besäße</t>
  </si>
  <si>
    <t>sehr</t>
  </si>
  <si>
    <t>grobe</t>
  </si>
  <si>
    <t>Schätzung</t>
  </si>
  <si>
    <t>abzugeben</t>
  </si>
  <si>
    <t>Umfang</t>
  </si>
  <si>
    <t>SBJ_6</t>
  </si>
  <si>
    <t>überwachen</t>
  </si>
  <si>
    <t># text = Sie sagte: Nein, wir erheben diese Daten nicht und wir können diese Daten nicht erheben.</t>
  </si>
  <si>
    <t>sagte</t>
  </si>
  <si>
    <t>Nein</t>
  </si>
  <si>
    <t>erheben</t>
  </si>
  <si>
    <t># text = Wir können Ihnen nicht sagen, wie viel Kommunikation wir weltweit überwachen, weil wir Ihre Privatsphäre verletzen würden, wenn wir Ihnen das mitteilen.</t>
  </si>
  <si>
    <t>Ihnen</t>
  </si>
  <si>
    <t>Ihre</t>
  </si>
  <si>
    <t>verletzen</t>
  </si>
  <si>
    <t>würden</t>
  </si>
  <si>
    <t>mitteilen</t>
  </si>
  <si>
    <t># text = Das ist eine Haltung, die ich begrüße.</t>
  </si>
  <si>
    <t>Haltung</t>
  </si>
  <si>
    <t>begrüße</t>
  </si>
  <si>
    <t># text = Tatsache aber ist, wie diese Grafik zeigt, dass sie dazu nicht nur fähig sind, sondern die Fähigkeit selbst bereits existiert.</t>
  </si>
  <si>
    <t>Tatsache</t>
  </si>
  <si>
    <t>fähig</t>
  </si>
  <si>
    <t>sondern</t>
  </si>
  <si>
    <t>Fähigkeit</t>
  </si>
  <si>
    <t>bereits</t>
  </si>
  <si>
    <t>existiert</t>
  </si>
  <si>
    <t># text = Sie ist bereits umgesetzt.</t>
  </si>
  <si>
    <t>umgesetzt</t>
  </si>
  <si>
    <t># text = Die NSA verwendet ein eigenes internes Datenformat, das beide Endpunkte einer Kommunikation erfasst.</t>
  </si>
  <si>
    <t>verwendet</t>
  </si>
  <si>
    <t>eigenes</t>
  </si>
  <si>
    <t>internes</t>
  </si>
  <si>
    <t>Datenformat</t>
  </si>
  <si>
    <t>beide</t>
  </si>
  <si>
    <t>Endpunkte</t>
  </si>
  <si>
    <t>erfasst</t>
  </si>
  <si>
    <t># text = Wenn es besagt, dass die Kommunikation aus den USA kommt, dann können sie dem Kongress auch sagen, wie viel solcher Kommunikation sie haben, heute, in diesem Moment.</t>
  </si>
  <si>
    <t>besagt</t>
  </si>
  <si>
    <t>kommt</t>
  </si>
  <si>
    <t>solcher</t>
  </si>
  <si>
    <t>diesem</t>
  </si>
  <si>
    <t># text = \"Informant ohne Grenzen\" verrät uns, dass mehr Kommunikation abgehört wird, in Amerika, über Amerikaner, als in Russland über Russen.</t>
  </si>
  <si>
    <t>verrät</t>
  </si>
  <si>
    <t>mehr</t>
  </si>
  <si>
    <t>abgehört</t>
  </si>
  <si>
    <t>wird</t>
  </si>
  <si>
    <t>Russen</t>
  </si>
  <si>
    <t># text = Ich bin nicht sicher, ob dies das Ziel eines Geheimdienstes sein sollte.</t>
  </si>
  <si>
    <t>sicher</t>
  </si>
  <si>
    <t>Ziel</t>
  </si>
  <si>
    <t>Geheimdienstes</t>
  </si>
  <si>
    <t># text = CA:</t>
  </si>
  <si>
    <t># text = Die Washington Post hat einen Artikel gebracht, der ebenfalls auf deinen Daten fußt.</t>
  </si>
  <si>
    <t>Artikel</t>
  </si>
  <si>
    <t>ebenfalls</t>
  </si>
  <si>
    <t>deinen</t>
  </si>
  <si>
    <t>fußt</t>
  </si>
  <si>
    <t># text = Die Schlagzeile lautet: \"Die NSA hat Datenschutzbestimmungen Tausende Male pro Jahr verletzt.\"</t>
  </si>
  <si>
    <t>Schlagzeile</t>
  </si>
  <si>
    <t>lautet</t>
  </si>
  <si>
    <t>Datenschutzbestimmungen</t>
  </si>
  <si>
    <t>Tausende</t>
  </si>
  <si>
    <t>Male</t>
  </si>
  <si>
    <t>pro</t>
  </si>
  <si>
    <t>verletzt</t>
  </si>
  <si>
    <t># text = Erzähl uns darüber.</t>
  </si>
  <si>
    <t>Erzähl</t>
  </si>
  <si>
    <t># text = ES: Wir haben bei der Anhörung im Kongressausschuss letztes Jahr auch gehört -- und es hat mich erstaunt, als jemand, der von der NSA kam und die internen Unterlagen gesehen hat und weiß, was darin steht, zu beobachten, wie Beamte unter Eid aussagen, -- dass es keinen Missbrauch gegeben hat, dass die NSA-Bestimmungen nicht verletzt wurden, obwohl wir wussten, dass dieser Artikel kommen würde.</t>
  </si>
  <si>
    <t>Anhörung</t>
  </si>
  <si>
    <t>Kongressausschuss</t>
  </si>
  <si>
    <t>letztes</t>
  </si>
  <si>
    <t>gehört</t>
  </si>
  <si>
    <t>erstaunt</t>
  </si>
  <si>
    <t>jemand</t>
  </si>
  <si>
    <t>kam</t>
  </si>
  <si>
    <t>internen</t>
  </si>
  <si>
    <t>Unterlagen</t>
  </si>
  <si>
    <t>SBJ_8</t>
  </si>
  <si>
    <t>darin</t>
  </si>
  <si>
    <t>steht</t>
  </si>
  <si>
    <t>beobachten</t>
  </si>
  <si>
    <t>Beamte</t>
  </si>
  <si>
    <t>Eid</t>
  </si>
  <si>
    <t>other_11</t>
  </si>
  <si>
    <t>aussagen</t>
  </si>
  <si>
    <t>SBJ_9</t>
  </si>
  <si>
    <t>Missbrauch</t>
  </si>
  <si>
    <t>OBJ_9</t>
  </si>
  <si>
    <t>gegeben</t>
  </si>
  <si>
    <t>SBJ_10</t>
  </si>
  <si>
    <t>Bestimmungen</t>
  </si>
  <si>
    <t>SBJ_11</t>
  </si>
  <si>
    <t>other_13</t>
  </si>
  <si>
    <t>SBJ_12</t>
  </si>
  <si>
    <t># text = Aber was daran besonders interessant ist, an der Tatsache, dass die NSA ihre eigenen Regeln, ihre Gesetze tausende Male in einem einzigen Jahr verletzt, darunter ein Vorfall, der für sich genommen, ein Vorfall unter diesen 2776 Fällen, der über 3000 Menschen betraf.</t>
  </si>
  <si>
    <t>daran</t>
  </si>
  <si>
    <t>besonders</t>
  </si>
  <si>
    <t>interessant</t>
  </si>
  <si>
    <t>ihre</t>
  </si>
  <si>
    <t>Regeln</t>
  </si>
  <si>
    <t>tausende</t>
  </si>
  <si>
    <t>einzigen</t>
  </si>
  <si>
    <t>darunter</t>
  </si>
  <si>
    <t>Vorfall</t>
  </si>
  <si>
    <t>genommen</t>
  </si>
  <si>
    <t>2776</t>
  </si>
  <si>
    <t>Fällen</t>
  </si>
  <si>
    <t>3000</t>
  </si>
  <si>
    <t>betraf</t>
  </si>
  <si>
    <t># text = In einem anderen Fall haben sie alle Anrufe in Washington, D.C. abgehört -- aus Versehen.</t>
  </si>
  <si>
    <t>anderen</t>
  </si>
  <si>
    <t>Anrufe</t>
  </si>
  <si>
    <t>D.C.</t>
  </si>
  <si>
    <t>Versehen</t>
  </si>
  <si>
    <t># text = Was an diesem Bericht erstaunlich ist, der für sich genommen nicht viel Aufsehen erregte, ist nicht nur, dass es 2776 Übergriffe gab, sondern, dass die Vorsitzende des Ausschusses für Nachrichtendienste, Dianne Feinstein, den Bericht nicht gesehen hatte, bis die Washington Post sie kontaktierte und um eine Stellungnahme bat.</t>
  </si>
  <si>
    <t>erstaunlich</t>
  </si>
  <si>
    <t>Aufsehen</t>
  </si>
  <si>
    <t>erregte</t>
  </si>
  <si>
    <t>Übergriffe</t>
  </si>
  <si>
    <t>Vorsitzende</t>
  </si>
  <si>
    <t>Ausschusses</t>
  </si>
  <si>
    <t>Dianne</t>
  </si>
  <si>
    <t>Feinstein</t>
  </si>
  <si>
    <t>bis</t>
  </si>
  <si>
    <t>kontaktierte</t>
  </si>
  <si>
    <t>Stellungnahme</t>
  </si>
  <si>
    <t>bat</t>
  </si>
  <si>
    <t># text = Sie forderte daraufhin eine Kopie von der NSA an und bekam sie, hatte den Bericht aber vorher nie gesehen.</t>
  </si>
  <si>
    <t>forderte</t>
  </si>
  <si>
    <t>daraufhin</t>
  </si>
  <si>
    <t>Kopie</t>
  </si>
  <si>
    <t>bekam</t>
  </si>
  <si>
    <t>vorher</t>
  </si>
  <si>
    <t># text = Was sagt das über den Zustand der Aufsicht über den amerikanischen Nachrichtendienst, wenn die Vorsitzende des Senatsausschusses für Nachrichtendienste keine Ahnung davon hat, dass die Bestimmungen tausende Male jedes Jahr verletzt werden?</t>
  </si>
  <si>
    <t>sagt</t>
  </si>
  <si>
    <t>Zustand</t>
  </si>
  <si>
    <t>Aufsicht</t>
  </si>
  <si>
    <t>Senatsausschusses</t>
  </si>
  <si>
    <t>Ahnung</t>
  </si>
  <si>
    <t>jedes</t>
  </si>
  <si>
    <t># text = CA: Ed, eine Reaktion auf diese ganze Debatte ist: Warum sollte uns die ganze Überwachung etwas ausmachen?</t>
  </si>
  <si>
    <t>Reaktion</t>
  </si>
  <si>
    <t>ganze</t>
  </si>
  <si>
    <t>Warum</t>
  </si>
  <si>
    <t>Überwachung</t>
  </si>
  <si>
    <t># text = Wenn man nichts verbrochen hat, muss man sich auch keine Gedanken machen.</t>
  </si>
  <si>
    <t>verbrochen</t>
  </si>
  <si>
    <t>Gedanken</t>
  </si>
  <si>
    <t># text = Was ist an dieser Einstellung falsch?</t>
  </si>
  <si>
    <t>Einstellung</t>
  </si>
  <si>
    <t>falsch</t>
  </si>
  <si>
    <t># text = ES: Der erste Punkt ist:</t>
  </si>
  <si>
    <t># text = Du verzichtest auf deine Rechte.</t>
  </si>
  <si>
    <t>verzichtest</t>
  </si>
  <si>
    <t># text = Du sagst: \"Weißt du, ich glaube, ich werde sie nicht brauchen.</t>
  </si>
  <si>
    <t>sagst</t>
  </si>
  <si>
    <t>glaube</t>
  </si>
  <si>
    <t>werde</t>
  </si>
  <si>
    <t># text = Also vertraue ich einfach darauf.</t>
  </si>
  <si>
    <t>vertraue</t>
  </si>
  <si>
    <t>einfach</t>
  </si>
  <si>
    <t>darauf</t>
  </si>
  <si>
    <t># text = Wir schaffen sie ab, es ist nicht wirklich wichtig.</t>
  </si>
  <si>
    <t>ab</t>
  </si>
  <si>
    <t># text = Diese Leute werden schon das Richtige tun."</t>
  </si>
  <si>
    <t>schon</t>
  </si>
  <si>
    <t>Richtige</t>
  </si>
  <si>
    <t># text = Eure Rechte sind wichtig, weil ihr nie wisst, wann ihr sie brauchen werdet.</t>
  </si>
  <si>
    <t>Eure</t>
  </si>
  <si>
    <t>ihr</t>
  </si>
  <si>
    <t>wisst</t>
  </si>
  <si>
    <t>werdet</t>
  </si>
  <si>
    <t># text = Darüber hinaus ist es Teil unserer kulturellen Identität, nicht nur in Amerika, sondern auch in westlichen Gesellschaften und in demokratischen Gesellschaften in der ganzen Welt.</t>
  </si>
  <si>
    <t>Darüber</t>
  </si>
  <si>
    <t>hinaus</t>
  </si>
  <si>
    <t>unserer</t>
  </si>
  <si>
    <t>kulturellen</t>
  </si>
  <si>
    <t>Identität</t>
  </si>
  <si>
    <t>westlichen</t>
  </si>
  <si>
    <t>demokratischen</t>
  </si>
  <si>
    <t># text = Leute sollten in der Lage sein, einen Hörer in die Hand zu nehmen und ihre Familie anzurufen;</t>
  </si>
  <si>
    <t>Lage</t>
  </si>
  <si>
    <t>Hörer</t>
  </si>
  <si>
    <t>Hand</t>
  </si>
  <si>
    <t>nehmen</t>
  </si>
  <si>
    <t>Familie</t>
  </si>
  <si>
    <t>anzurufen</t>
  </si>
  <si>
    <t>;</t>
  </si>
  <si>
    <t># text = ihren Lieben eine SMS zu schicken;</t>
  </si>
  <si>
    <t>Lieben</t>
  </si>
  <si>
    <t>SMS</t>
  </si>
  <si>
    <t># text = Leute sollten in der Lage sein, online ein Buch zu kaufen;</t>
  </si>
  <si>
    <t>online</t>
  </si>
  <si>
    <t>Buch</t>
  </si>
  <si>
    <t># text = sie sollten mit dem Zug reisen können;</t>
  </si>
  <si>
    <t>Zug</t>
  </si>
  <si>
    <t># text = sie sollten sich ein Flugticket kaufen können, ohne sich fragen zu müssen, wie diese Handlungen für eine Agenten der Regierung aussehen werden, vielleicht nicht einmal deiner Regierung, Jahre in der Zukunft, wie sie misinterpretiert werden, und wie sie deine Absichten deuten.</t>
  </si>
  <si>
    <t>Flugticket</t>
  </si>
  <si>
    <t>Handlungen</t>
  </si>
  <si>
    <t>Agenten</t>
  </si>
  <si>
    <t>aussehen</t>
  </si>
  <si>
    <t>vielleicht</t>
  </si>
  <si>
    <t>einmal</t>
  </si>
  <si>
    <t>deiner</t>
  </si>
  <si>
    <t>Jahre</t>
  </si>
  <si>
    <t>misinterpretiert</t>
  </si>
  <si>
    <t>Absichten</t>
  </si>
  <si>
    <t>deuten</t>
  </si>
  <si>
    <t># text = Wir haben ein Recht auf Privatsphäre.</t>
  </si>
  <si>
    <t>Recht</t>
  </si>
  <si>
    <t># text = Als Grundlage für einen Haftbefehl verlangen wir einen hinreichenden Verdacht oder eine Art von Verdacht gegen ein Individuum, weil wir wissen, dass irgendjemandem zu vertrauen, irgendeiner Regierungsbehörde, wenn es um die Summe menschlicher Kommunikationen, im Geheimen und ohne Aufsicht geht, einfach eine zu große Versuchung darstellt, als dass wir darüber hinwegsehen könnten.</t>
  </si>
  <si>
    <t>Haftbefehl</t>
  </si>
  <si>
    <t>hinreichenden</t>
  </si>
  <si>
    <t>Verdacht</t>
  </si>
  <si>
    <t>gegen</t>
  </si>
  <si>
    <t>Individuum</t>
  </si>
  <si>
    <t>wissen</t>
  </si>
  <si>
    <t>irgendjemandem</t>
  </si>
  <si>
    <t>irgendeiner</t>
  </si>
  <si>
    <t>Regierungsbehörde</t>
  </si>
  <si>
    <t>Summe</t>
  </si>
  <si>
    <t>menschlicher</t>
  </si>
  <si>
    <t>Kommunikationen</t>
  </si>
  <si>
    <t>Versuchung</t>
  </si>
  <si>
    <t>darstellt</t>
  </si>
  <si>
    <t>hinwegsehen</t>
  </si>
  <si>
    <t>könnten</t>
  </si>
  <si>
    <t># text = CA: Einige Leute sind über das, was du getan hast, aufgebracht.</t>
  </si>
  <si>
    <t>Einige</t>
  </si>
  <si>
    <t>aufgebracht</t>
  </si>
  <si>
    <t># text = Ich habe kürzlich ein Zitat von Dick Cheney gehört, der sagte: "Julian Assange war ein Flohbiss.</t>
  </si>
  <si>
    <t>kürzlich</t>
  </si>
  <si>
    <t>Zitat</t>
  </si>
  <si>
    <t>Dick</t>
  </si>
  <si>
    <t>Cheney</t>
  </si>
  <si>
    <t>Julian</t>
  </si>
  <si>
    <t>Assange</t>
  </si>
  <si>
    <t>Flohbiss</t>
  </si>
  <si>
    <t># text = Edward Snowden ist der Löwe, der dem Hund den Kopf abgebissen hat."</t>
  </si>
  <si>
    <t>Löwe</t>
  </si>
  <si>
    <t>Hund</t>
  </si>
  <si>
    <t>Kopf</t>
  </si>
  <si>
    <t>abgebissen</t>
  </si>
  <si>
    <t># text = Er denkt, du hättest einen der schlimmsten Akte des Verrats in der US-Geschichte begangen.</t>
  </si>
  <si>
    <t>denkt</t>
  </si>
  <si>
    <t>hättest</t>
  </si>
  <si>
    <t>schlimmsten</t>
  </si>
  <si>
    <t>Akte</t>
  </si>
  <si>
    <t>Verrats</t>
  </si>
  <si>
    <t>begangen</t>
  </si>
  <si>
    <t># text = Was würdest du Leuten entgegnen, die das denken?</t>
  </si>
  <si>
    <t>Leuten</t>
  </si>
  <si>
    <t>entgegnen</t>
  </si>
  <si>
    <t># text = ES: Dick Cheney ist eine ganz eigene Marke.</t>
  </si>
  <si>
    <t>ganz</t>
  </si>
  <si>
    <t>Marke</t>
  </si>
  <si>
    <t># text = (Gelächter) Danke.</t>
  </si>
  <si>
    <t>Gelächter</t>
  </si>
  <si>
    <t>Danke</t>
  </si>
  <si>
    <t># text = Es ist bemerkenswert, weil damals, als Julian Assange einige seiner wichtigsten Aktionen unternahm, sagte Dick Cheney, dass er das Ende für Regierungen in aller Welt bedeute, der Himmel würde in Flammen aufgehen und die Ozeane würden überkochen, und nun sagt er, das ist ein Flohbiss.</t>
  </si>
  <si>
    <t>bemerkenswert</t>
  </si>
  <si>
    <t>damals</t>
  </si>
  <si>
    <t>seiner</t>
  </si>
  <si>
    <t>wichtigsten</t>
  </si>
  <si>
    <t>Aktionen</t>
  </si>
  <si>
    <t>unternahm</t>
  </si>
  <si>
    <t>er</t>
  </si>
  <si>
    <t>Ende</t>
  </si>
  <si>
    <t>Regierungen</t>
  </si>
  <si>
    <t>aller</t>
  </si>
  <si>
    <t>bedeute</t>
  </si>
  <si>
    <t>Himmel</t>
  </si>
  <si>
    <t>Flammen</t>
  </si>
  <si>
    <t>aufgehen</t>
  </si>
  <si>
    <t>Ozeane</t>
  </si>
  <si>
    <t>überkochen</t>
  </si>
  <si>
    <t>nun</t>
  </si>
  <si>
    <t># text = Wir sollten also misstrauisch sein bei aufgebauschten Behauptungen von solchen Amtsträgern, was den Schaden für die nationale Sicherheit angeht.</t>
  </si>
  <si>
    <t>also</t>
  </si>
  <si>
    <t>misstrauisch</t>
  </si>
  <si>
    <t>aufgebauschten</t>
  </si>
  <si>
    <t>Behauptungen</t>
  </si>
  <si>
    <t>solchen</t>
  </si>
  <si>
    <t>Amtsträgern</t>
  </si>
  <si>
    <t>angeht</t>
  </si>
  <si>
    <t># text = Aber angenommen, diese Leute glauben, was sie sagen.</t>
  </si>
  <si>
    <t>angenommen</t>
  </si>
  <si>
    <t># text = Ich würde entgegenhalten, dass sie eine enge Sicht auf die nationale Sicherheit haben.</t>
  </si>
  <si>
    <t>enge</t>
  </si>
  <si>
    <t>Sicht</t>
  </si>
  <si>
    <t># text = Die Vorrechte von Leuten wie Dick Cheney tragen nicht zur Sicherheit der Nation bei.</t>
  </si>
  <si>
    <t>Vorrechte</t>
  </si>
  <si>
    <t>Nation</t>
  </si>
  <si>
    <t># text = Das öffentliche Interesse deckt sich nicht immer mit dem nationalen Interesse.</t>
  </si>
  <si>
    <t>öffentliche</t>
  </si>
  <si>
    <t>Interesse</t>
  </si>
  <si>
    <t>deckt</t>
  </si>
  <si>
    <t>immer</t>
  </si>
  <si>
    <t>nationalen</t>
  </si>
  <si>
    <t># text = In den Krieg zu ziehen, gegen Leute, die nicht unsere Feinde sind, an Orten, die keine Bedrohung darstellen, gibt uns keine Sicherheit, und das trifft zu, ob es im Irak ist oder im Internet.</t>
  </si>
  <si>
    <t>Krieg</t>
  </si>
  <si>
    <t>Feinde</t>
  </si>
  <si>
    <t>Orten</t>
  </si>
  <si>
    <t>Bedrohung</t>
  </si>
  <si>
    <t>darstellen</t>
  </si>
  <si>
    <t>trifft</t>
  </si>
  <si>
    <t>Irak</t>
  </si>
  <si>
    <t># text = Das Internet ist nicht der Feind.</t>
  </si>
  <si>
    <t>Feind</t>
  </si>
  <si>
    <t># text = Unsere Wirtschaft ist nicht der Feind.</t>
  </si>
  <si>
    <t>Unsere</t>
  </si>
  <si>
    <t>Wirtschaft</t>
  </si>
  <si>
    <t># text = Amerikanische Unternehmen, chinesische Unternehmen und jedes andere Unternehmen da draußen sind Teil unserer Gesellschaft.</t>
  </si>
  <si>
    <t>Amerikanische</t>
  </si>
  <si>
    <t>draußen</t>
  </si>
  <si>
    <t>Gesellschaft</t>
  </si>
  <si>
    <t># text = Sie sind Teil unserer vernetzten Welt.</t>
  </si>
  <si>
    <t>vernetzten</t>
  </si>
  <si>
    <t># text = Es gibt Bande der Bruderschaft, die uns verbinden.</t>
  </si>
  <si>
    <t>Bande</t>
  </si>
  <si>
    <t>Bruderschaft</t>
  </si>
  <si>
    <t>verbinden</t>
  </si>
  <si>
    <t># text = Wenn wir diese zerstören, in dem wir die Normen unterminieren, die Sicherheit, die Verhaltensregeln, von denen Nationen und Bürger in aller Welt erwarten, dass wir sie befolgen.</t>
  </si>
  <si>
    <t>Normen</t>
  </si>
  <si>
    <t>unterminieren</t>
  </si>
  <si>
    <t>Verhaltensregeln</t>
  </si>
  <si>
    <t>Nationen</t>
  </si>
  <si>
    <t>erwarten</t>
  </si>
  <si>
    <t>befolgen</t>
  </si>
  <si>
    <t># text = CA: Man hat dir vorgeworfen, du hättest 1,7 Millionen Dokumente gestohlen.</t>
  </si>
  <si>
    <t>vorgeworfen</t>
  </si>
  <si>
    <t>1,7</t>
  </si>
  <si>
    <t>Millionen</t>
  </si>
  <si>
    <t># text = Es scheint, als seien bisher nur ein paar Hundert an Journalisten weitergegeben worden.</t>
  </si>
  <si>
    <t>scheint</t>
  </si>
  <si>
    <t>bisher</t>
  </si>
  <si>
    <t>Hundert</t>
  </si>
  <si>
    <t>weitergegeben</t>
  </si>
  <si>
    <t>worden</t>
  </si>
  <si>
    <t># text = Wird es weitere Enthüllungen geben?</t>
  </si>
  <si>
    <t>Wird</t>
  </si>
  <si>
    <t>weitere</t>
  </si>
  <si>
    <t># text = ES: Es wird auf jeden Fall weitere Enthüllungen geben.</t>
  </si>
  <si>
    <t>jeden</t>
  </si>
  <si>
    <t># text = Es steht außer Frage, dass einige der wichtigsten Berichterstattungen erst noch kommen werden.</t>
  </si>
  <si>
    <t>Berichterstattungen</t>
  </si>
  <si>
    <t># text = CA: Komm hier herüber, ich möchte dir eine Frage stellen zu dieser speziellen Enthüllung.</t>
  </si>
  <si>
    <t>herüber</t>
  </si>
  <si>
    <t>speziellen</t>
  </si>
  <si>
    <t>Enthüllung</t>
  </si>
  <si>
    <t># text = Komm und sieh dir dies an.</t>
  </si>
  <si>
    <t>sieh</t>
  </si>
  <si>
    <t># text = Womöglich ist diese Geschichte für die Tech-Freunde in diesem Raum die schockierendste Sache, die sie in den letzten Monaten gehört haben.</t>
  </si>
  <si>
    <t>Womöglich</t>
  </si>
  <si>
    <t>Tech</t>
  </si>
  <si>
    <t>Freunde</t>
  </si>
  <si>
    <t>schockierendste</t>
  </si>
  <si>
    <t># text = Es geht um ein Programm namens "Bullrun".</t>
  </si>
  <si>
    <t>namens</t>
  </si>
  <si>
    <t>Bullrun</t>
  </si>
  <si>
    <t># text = Könntest du uns erklären, was das ist?</t>
  </si>
  <si>
    <t>Könntest</t>
  </si>
  <si>
    <t># text = ES: Bullrun, also.</t>
  </si>
  <si>
    <t># text = Wieder ein Fall, wo ich der NSA für ihre Freimütigkeit danke.</t>
  </si>
  <si>
    <t>Wieder</t>
  </si>
  <si>
    <t>wo</t>
  </si>
  <si>
    <t>Freimütigkeit</t>
  </si>
  <si>
    <t>danke</t>
  </si>
  <si>
    <t># text = Dieses Programm wurde nach einer Schlacht im amerikanischen Bürgerkrieg benannt.</t>
  </si>
  <si>
    <t>nach</t>
  </si>
  <si>
    <t>Schlacht</t>
  </si>
  <si>
    <t>Bürgerkrieg</t>
  </si>
  <si>
    <t>benannt</t>
  </si>
  <si>
    <t># text = Das britische Gegenstück heißt "Edgehill", nach einer britischen Bürgerkriegsschlacht.</t>
  </si>
  <si>
    <t>britische</t>
  </si>
  <si>
    <t>Gegenstück</t>
  </si>
  <si>
    <t>Edgehill</t>
  </si>
  <si>
    <t>britischen</t>
  </si>
  <si>
    <t>Bürgerkriegsschlacht</t>
  </si>
  <si>
    <t># text = Ich denke, dass sie es so nennen, weil das Ziel unsere eigene Infrastruktur ist.</t>
  </si>
  <si>
    <t>Infrastruktur</t>
  </si>
  <si>
    <t># text = Es sind Programme, mit denen die NSA gezielt Partnerunternehmen in die Irre führt.</t>
  </si>
  <si>
    <t>gezielt</t>
  </si>
  <si>
    <t>Partnerunternehmen</t>
  </si>
  <si>
    <t>Irre</t>
  </si>
  <si>
    <t>führt</t>
  </si>
  <si>
    <t># text = Sie sagen Partnerunternehmen, dass dies sichere Standards sind.</t>
  </si>
  <si>
    <t>sichere</t>
  </si>
  <si>
    <t>Standards</t>
  </si>
  <si>
    <t># text = Sie sagen: \"Wir müssen mit dir arbeiten, um deine Systeme abzusichern.\"</t>
  </si>
  <si>
    <t>arbeiten</t>
  </si>
  <si>
    <t>Systeme</t>
  </si>
  <si>
    <t>abzusichern</t>
  </si>
  <si>
    <t># text = In Wirklichkeit geben sie diesen Unternehmen schlechte Ratschläge, die die Sicherheit ihrer Systeme schwächen.</t>
  </si>
  <si>
    <t>Wirklichkeit</t>
  </si>
  <si>
    <t>schlechte</t>
  </si>
  <si>
    <t>Ratschläge</t>
  </si>
  <si>
    <t>schwächen</t>
  </si>
  <si>
    <t># text = Sie bauen Hintertüren ein, die nicht nur die NSA ausbeuten kann, sondern jeder, der Zeit und Geld hat, sie zu recherchieren und zu finden, kann sie nutzen, um sich Zugang zu verschaffen in die Kommunikationen der Welt.</t>
  </si>
  <si>
    <t>Hintertüren</t>
  </si>
  <si>
    <t>ausbeuten</t>
  </si>
  <si>
    <t>Zeit</t>
  </si>
  <si>
    <t>Geld</t>
  </si>
  <si>
    <t>recherchieren</t>
  </si>
  <si>
    <t>nutzen</t>
  </si>
  <si>
    <t>verschaffen</t>
  </si>
  <si>
    <t># text = Das ist wirklich gefährlich.</t>
  </si>
  <si>
    <t>gefährlich</t>
  </si>
  <si>
    <t># text = Denn wenn wir auch nur einen Standard verlieren, wenn wir das Vertrauen in so etwas wie SSL verlieren, das ein ausgemachtes Ziel des Programms Bullrun war, werden wir in einer Welt leben, die insgesamt weniger sicher ist.</t>
  </si>
  <si>
    <t>Denn</t>
  </si>
  <si>
    <t>verlieren</t>
  </si>
  <si>
    <t>Vertrauen</t>
  </si>
  <si>
    <t>ausgemachtes</t>
  </si>
  <si>
    <t>Programms</t>
  </si>
  <si>
    <t>insgesamt</t>
  </si>
  <si>
    <t># text = Wir werden keinen Zugriff auf unsere Banken haben, wir werden keinen Zugang zum Handel haben, ohne uns über Leute zu sorgen, die diese Kommunikation überwachen oder für ihre Zwecke missbrauchen könnten.</t>
  </si>
  <si>
    <t>Zugriff</t>
  </si>
  <si>
    <t>Banken</t>
  </si>
  <si>
    <t>Handel</t>
  </si>
  <si>
    <t>sorgen</t>
  </si>
  <si>
    <t>Zwecke</t>
  </si>
  <si>
    <t>missbrauchen</t>
  </si>
  <si>
    <t># text = CA: Und machen dieselben Entscheidungen Amerika potenziell verwundbar für Cyberangriffe von anderer Seite?</t>
  </si>
  <si>
    <t>dieselben</t>
  </si>
  <si>
    <t>potenziell</t>
  </si>
  <si>
    <t>verwundbar</t>
  </si>
  <si>
    <t>Cyberangriffe</t>
  </si>
  <si>
    <t>anderer</t>
  </si>
  <si>
    <t># text = ES: Absolut.</t>
  </si>
  <si>
    <t>Absolut</t>
  </si>
  <si>
    <t># text = Eines der Probleme, eines der gefährlichen Vermächtnisse in der Ära nach dem 11. September ist die Erkenntnis, dass die NSA schon immer zwei Gesichter hatte.</t>
  </si>
  <si>
    <t>Eines</t>
  </si>
  <si>
    <t>Probleme</t>
  </si>
  <si>
    <t>gefährlichen</t>
  </si>
  <si>
    <t>Vermächtnisse</t>
  </si>
  <si>
    <t>Ära</t>
  </si>
  <si>
    <t>September</t>
  </si>
  <si>
    <t>Erkenntnis</t>
  </si>
  <si>
    <t>zwei</t>
  </si>
  <si>
    <t>Gesichter</t>
  </si>
  <si>
    <t># text = Sie waren verantwortlich für offensive Operationen, in denen es um Hacking ging.</t>
  </si>
  <si>
    <t>waren</t>
  </si>
  <si>
    <t>verantwortlich</t>
  </si>
  <si>
    <t>offensive</t>
  </si>
  <si>
    <t>Operationen</t>
  </si>
  <si>
    <t>Hacking</t>
  </si>
  <si>
    <t>ging</t>
  </si>
  <si>
    <t># text = Aber sie leitete auch defensive Operationen.</t>
  </si>
  <si>
    <t>leitete</t>
  </si>
  <si>
    <t>defensive</t>
  </si>
  <si>
    <t># text = Traditionsgemäß hat die NSA stets die Defensive der Offensive vorgezogen, ausgehend von dem Prinzip, dass amerikanische Geheimnisse schlicht wertvoller sind.</t>
  </si>
  <si>
    <t>Traditionsgemäß</t>
  </si>
  <si>
    <t>stets</t>
  </si>
  <si>
    <t>Defensive</t>
  </si>
  <si>
    <t>Offensive</t>
  </si>
  <si>
    <t>vorgezogen</t>
  </si>
  <si>
    <t>ausgehend</t>
  </si>
  <si>
    <t>Prinzip</t>
  </si>
  <si>
    <t>amerikanische</t>
  </si>
  <si>
    <t>Geheimnisse</t>
  </si>
  <si>
    <t>schlicht</t>
  </si>
  <si>
    <t>wertvoller</t>
  </si>
  <si>
    <t># text = Wenn wir ein chinesisches Unternehmen hacken und seine Geheimnisse stehlen; wenn wir eine Regierungsbehörde in Berlin hacken und ihre Geheimnisse stehlen, dann ist das für das amerikanische Volk weniger wertvoll, als sicherzustellen, dass die Chinesen keinen Zugang zu unseren Geheimnissen haben.</t>
  </si>
  <si>
    <t>chinesisches</t>
  </si>
  <si>
    <t>hacken</t>
  </si>
  <si>
    <t>seine</t>
  </si>
  <si>
    <t>Berlin</t>
  </si>
  <si>
    <t>wertvoll</t>
  </si>
  <si>
    <t>sicherzustellen</t>
  </si>
  <si>
    <t>Chinesen</t>
  </si>
  <si>
    <t>unseren</t>
  </si>
  <si>
    <t>Geheimnissen</t>
  </si>
  <si>
    <t># text = Also indem sie die Sicherheit unserer Kommunikationen schwächen, setzen sie nicht nur die Welt Risiken aus, sie gefährden auch die USA auf fundamentale Weise, weil geistiges Eigentum die Grundlage unserer Wirtschaft ist.</t>
  </si>
  <si>
    <t>fundamentale</t>
  </si>
  <si>
    <t>geistiges</t>
  </si>
  <si>
    <t>Eigentum</t>
  </si>
  <si>
    <t># text = Wenn wir das durch schwache Sicherheit gefährden, werden wir auf Jahre hinaus dafür zahlen.</t>
  </si>
  <si>
    <t>durch</t>
  </si>
  <si>
    <t>schwache</t>
  </si>
  <si>
    <t>dafür</t>
  </si>
  <si>
    <t># text = CA: Aber die NSA hat ich ausgerechnet, dass es diese Maßnahme als Teil der US-Verteidigung gegen Terrorismus wert ist.</t>
  </si>
  <si>
    <t>Maßnahme</t>
  </si>
  <si>
    <t>Verteidigung</t>
  </si>
  <si>
    <t>Terrorismus</t>
  </si>
  <si>
    <t>wert</t>
  </si>
  <si>
    <t># text = Dann ist das doch gewiss ein Preis, der sich lohnt.</t>
  </si>
  <si>
    <t>Dann</t>
  </si>
  <si>
    <t>doch</t>
  </si>
  <si>
    <t>gewiss</t>
  </si>
  <si>
    <t>Preis</t>
  </si>
  <si>
    <t>lohnt</t>
  </si>
  <si>
    <t># text = ES: Wenn man sich die Resultate dieser Programme beim Verhindern von Terrorismus ansieht, sieht man, dass es dafür keine Belege gibt.</t>
  </si>
  <si>
    <t>Resultate</t>
  </si>
  <si>
    <t>Verhindern</t>
  </si>
  <si>
    <t>ansieht</t>
  </si>
  <si>
    <t>Belege</t>
  </si>
  <si>
    <t># text = Sie müssen sich nicht auf mein Wort verlassen, weil wir das erste öffentliche Gerichtsverfahren haben.</t>
  </si>
  <si>
    <t>mein</t>
  </si>
  <si>
    <t>Wort</t>
  </si>
  <si>
    <t>Gerichtsverfahren</t>
  </si>
  <si>
    <t># text = Der erste Bundesgerichtshof, der sie außerhalb der Geheimhaltungsvereinbarungen untersuchte, nannte sie Orwellsche Programme und wahrscheinlich verfassungswidrig.</t>
  </si>
  <si>
    <t>Bundesgerichtshof</t>
  </si>
  <si>
    <t>außerhalb</t>
  </si>
  <si>
    <t>Geheimhaltungsvereinbarungen</t>
  </si>
  <si>
    <t>untersuchte</t>
  </si>
  <si>
    <t>nannte</t>
  </si>
  <si>
    <t>Orwellsche</t>
  </si>
  <si>
    <t>wahrscheinlich</t>
  </si>
  <si>
    <t>verfassungswidrig</t>
  </si>
  <si>
    <t># text = Der Kongress, der in diesen Angelegenheiten Auskunft verlangen kann und nun auch einfordern möchte, hat Gesetze vorgelegt, um es zu reformieren.</t>
  </si>
  <si>
    <t>Angelegenheiten</t>
  </si>
  <si>
    <t>Auskunft</t>
  </si>
  <si>
    <t>einfordern</t>
  </si>
  <si>
    <t>vorgelegt</t>
  </si>
  <si>
    <t>reformieren</t>
  </si>
  <si>
    <t># text = Zwei unabhängige Ausschüsse des Weißen Hauses, die all das vertrauliche Beweismaterial geprüft haben, sagen, diese Programme haben nie auch nur einen Terroristenangriff verhindert, der in den USA bevorstand.</t>
  </si>
  <si>
    <t>Zwei</t>
  </si>
  <si>
    <t>unabhängige</t>
  </si>
  <si>
    <t>Ausschüsse</t>
  </si>
  <si>
    <t>Weißen</t>
  </si>
  <si>
    <t>Hauses</t>
  </si>
  <si>
    <t>Beweismaterial</t>
  </si>
  <si>
    <t>geprüft</t>
  </si>
  <si>
    <t>Terroristenangriff</t>
  </si>
  <si>
    <t>verhindert</t>
  </si>
  <si>
    <t>bevorstand</t>
  </si>
  <si>
    <t># text = Also ist es wirklich Terrorismus, den wir verhindern?</t>
  </si>
  <si>
    <t>verhindern</t>
  </si>
  <si>
    <t># text = Haben diese Programme überhaupt einen Wert?</t>
  </si>
  <si>
    <t>Haben</t>
  </si>
  <si>
    <t>überhaupt</t>
  </si>
  <si>
    <t>Wert</t>
  </si>
  <si>
    <t># text = Ich sage nein, und auch alle drei Staatsorgane der amerikanischen Regierung sagen nein.</t>
  </si>
  <si>
    <t>sage</t>
  </si>
  <si>
    <t>nein</t>
  </si>
  <si>
    <t>drei</t>
  </si>
  <si>
    <t>Staatsorgane</t>
  </si>
  <si>
    <t># text = CA: Denkst du, es gibt einen tieferen Beweggrund für sie als den Krieg gegen den Terror?</t>
  </si>
  <si>
    <t>Denkst</t>
  </si>
  <si>
    <t>tieferen</t>
  </si>
  <si>
    <t>Beweggrund</t>
  </si>
  <si>
    <t>Terror</t>
  </si>
  <si>
    <t># text = ES: Verzeihung, ich konnte dich nicht hören.</t>
  </si>
  <si>
    <t>Verzeihung</t>
  </si>
  <si>
    <t>konnte</t>
  </si>
  <si>
    <t>hören</t>
  </si>
  <si>
    <t># text = Kannst du das wiederholen?</t>
  </si>
  <si>
    <t># text = CA: Entschuldige.</t>
  </si>
  <si>
    <t>Entschuldige</t>
  </si>
  <si>
    <t># text = Denkst du, es gibt einen anderen, tieferliegenden Beweggrund ES: Ja.</t>
  </si>
  <si>
    <t>tieferliegenden</t>
  </si>
  <si>
    <t>Ja</t>
  </si>
  <si>
    <t># text = Unterm Strich ist Terrorismus immer das gewesen, was wir in der Welt der Geheimdienste eine Auftragslegende nennen würden.</t>
  </si>
  <si>
    <t>gewesen</t>
  </si>
  <si>
    <t>Geheimdienste</t>
  </si>
  <si>
    <t>Auftragslegende</t>
  </si>
  <si>
    <t># text = Terrorismus ist etwas, das eine emotionale Reaktion hervorruft, die es Leuten ermöglicht, das Autorisieren von Vollmachten und Programmen zu rationalisieren, denen sie sonst nicht zustimmen würden.</t>
  </si>
  <si>
    <t>emotionale</t>
  </si>
  <si>
    <t>hervorruft</t>
  </si>
  <si>
    <t>ermöglicht</t>
  </si>
  <si>
    <t>Autorisieren</t>
  </si>
  <si>
    <t>Vollmachten</t>
  </si>
  <si>
    <t>rationalisieren</t>
  </si>
  <si>
    <t>sonst</t>
  </si>
  <si>
    <t>zustimmen</t>
  </si>
  <si>
    <t># text = Für Programme, die Bullrun oder Edgehill ähneln, bat die NSA bereits in den 1990er-Jahren um Ermächtigungen.</t>
  </si>
  <si>
    <t>ähneln</t>
  </si>
  <si>
    <t>1990er</t>
  </si>
  <si>
    <t>Ermächtigungen</t>
  </si>
  <si>
    <t># text = Sie bat das FBI, sich beim Kongress dafür einzusetzen.</t>
  </si>
  <si>
    <t>FBI</t>
  </si>
  <si>
    <t>einzusetzen</t>
  </si>
  <si>
    <t># text = Und das FBI setzte sich beim Kongress dafür ein.</t>
  </si>
  <si>
    <t>setzte</t>
  </si>
  <si>
    <t># text = Aber der Kongress und das amerikanische Volk sagten nein.</t>
  </si>
  <si>
    <t># text = Sie sagten, es sei das Risiko für unsere Wirtschaft nicht wert.</t>
  </si>
  <si>
    <t># text = Sie sagten, der Schaden für die Gesellschaft sei zu groß, um den Nutzen zu rechtfertigen.</t>
  </si>
  <si>
    <t>groß</t>
  </si>
  <si>
    <t>rechtfertigen</t>
  </si>
  <si>
    <t># text = Aber wir haben in der Zeit nach dem 11. September gesehen, dass sie zur Geheimhaltung griffen und den Terrorismus als Rechtfertigung benutzten, um die Programme im Geheimen zu starten, ohne den Kongress zu fragen, ohne das amerikanische Volk zu fragen, und es ist diese Art von Regierung hinter verschlossenen Türen, vor der wir uns schützen müssen, weil sie unsere Sicherheit schwächt und keinen Gegenwert bietet.</t>
  </si>
  <si>
    <t>Geheimhaltung</t>
  </si>
  <si>
    <t>griffen</t>
  </si>
  <si>
    <t>Rechtfertigung</t>
  </si>
  <si>
    <t>benutzten</t>
  </si>
  <si>
    <t>starten</t>
  </si>
  <si>
    <t>verschlossenen</t>
  </si>
  <si>
    <t>Türen</t>
  </si>
  <si>
    <t>schwächt</t>
  </si>
  <si>
    <t>Gegenwert</t>
  </si>
  <si>
    <t>bietet</t>
  </si>
  <si>
    <t># text = CA: Kommst du einen Moment mit mir?</t>
  </si>
  <si>
    <t>Kommst</t>
  </si>
  <si>
    <t># text = Ich habe eine etwas persönlichere Frage an dich.</t>
  </si>
  <si>
    <t>persönlichere</t>
  </si>
  <si>
    <t># text = Wo wir gerade von Terror sprechen:</t>
  </si>
  <si>
    <t>Wo</t>
  </si>
  <si>
    <t>gerade</t>
  </si>
  <si>
    <t># text = Die meisten Leute finden deine gegenwärtige Situation in Russland recht furchteinflößend.</t>
  </si>
  <si>
    <t>meisten</t>
  </si>
  <si>
    <t>gegenwärtige</t>
  </si>
  <si>
    <t>Situation</t>
  </si>
  <si>
    <t>recht</t>
  </si>
  <si>
    <t>furchteinflößend</t>
  </si>
  <si>
    <t># text = Du hast offensichtlich gehört, welche Behandlung Bradley Manning widerfahren ist, Chelsea Manning, wie sie jetzt heißt.</t>
  </si>
  <si>
    <t>offensichtlich</t>
  </si>
  <si>
    <t>welche</t>
  </si>
  <si>
    <t>Behandlung</t>
  </si>
  <si>
    <t>Bradley</t>
  </si>
  <si>
    <t>Manning</t>
  </si>
  <si>
    <t>widerfahren</t>
  </si>
  <si>
    <t>Chelsea</t>
  </si>
  <si>
    <t># text = Ein Beitrag auf Buzzfeed schrieb, es gibt Leute in der Geheimdienstgemeinde die dich tot sehen möchten.</t>
  </si>
  <si>
    <t>Beitrag</t>
  </si>
  <si>
    <t>Buzzfeed</t>
  </si>
  <si>
    <t>schrieb</t>
  </si>
  <si>
    <t>Geheimdienstgemeinde</t>
  </si>
  <si>
    <t>tot</t>
  </si>
  <si>
    <t>möchten</t>
  </si>
  <si>
    <t># text = Wie gehst du damit um?</t>
  </si>
  <si>
    <t>gehst</t>
  </si>
  <si>
    <t># text = Wie gehst du mit der Angst um?</t>
  </si>
  <si>
    <t>Angst</t>
  </si>
  <si>
    <t># text = ES: Es ist kein Geheimnis, dass es da draußen Regierungen gibt, die mich tot sehen möchten.</t>
  </si>
  <si>
    <t>kein</t>
  </si>
  <si>
    <t>Geheimnis</t>
  </si>
  <si>
    <t># text = Ich habe immer und immer wieder betont, dass ich jeden Morgen, wenn ich schlafen gehe, darüber nachdenke, was ich für das amerikanische Volk tun kann.</t>
  </si>
  <si>
    <t>wieder</t>
  </si>
  <si>
    <t>betont</t>
  </si>
  <si>
    <t>Morgen</t>
  </si>
  <si>
    <t>schlafen</t>
  </si>
  <si>
    <t>gehe</t>
  </si>
  <si>
    <t># text = Ich möchte meiner Regierung nicht schaden.</t>
  </si>
  <si>
    <t># text = Ich möchte meiner Regierung helfen, aber die Tatsache, dass sie bereit ist, die Rechtstaatlichkeit völlig zu ignorieren, dass sie bereit ist, jemanden schuldig zu erklären, ohne jemals ein Verfahren zu sehen, das sind Dinge, gegen die wir uns einsetzen müssen als Gesellschaft, und sagen: "Hey, dies ist nicht angemessen."</t>
  </si>
  <si>
    <t>bereit</t>
  </si>
  <si>
    <t>Rechtstaatlichkeit</t>
  </si>
  <si>
    <t>völlig</t>
  </si>
  <si>
    <t>ignorieren</t>
  </si>
  <si>
    <t>schuldig</t>
  </si>
  <si>
    <t>jemals</t>
  </si>
  <si>
    <t>Verfahren</t>
  </si>
  <si>
    <t>Hey</t>
  </si>
  <si>
    <t>angemessen</t>
  </si>
  <si>
    <t># text = Wir sollten Dissidenten nicht bedrohen.</t>
  </si>
  <si>
    <t>Dissidenten</t>
  </si>
  <si>
    <t># text = Wir sollten Journalismus nicht kriminalisieren.</t>
  </si>
  <si>
    <t>Journalismus</t>
  </si>
  <si>
    <t># text = Was auch immer ich tun kann, um das zu erreichen, tue ich gern, ungeachtet der Risiken.</t>
  </si>
  <si>
    <t>erreichen</t>
  </si>
  <si>
    <t>tue</t>
  </si>
  <si>
    <t>gern</t>
  </si>
  <si>
    <t># text = CA: Ich möchte an dieser Stelle um Stimmen aus dem Pubikum bitten, weil ich weiß, dass es sehr unterschiedliche Reaktionen auf Edward Snowden gibt.</t>
  </si>
  <si>
    <t>Stimmen</t>
  </si>
  <si>
    <t>Pubikum</t>
  </si>
  <si>
    <t>unterschiedliche</t>
  </si>
  <si>
    <t>Reaktionen</t>
  </si>
  <si>
    <t># text = Angenommen Sie hätten die Wahl zwischen zwei Optionen: Sie könnten das, was er getan hat, als im Wesentlichen rücksichtslose Tat sehen, die die USA in Gefahr gebracht hat, oder Sie können es im Wesentlichen als Heldentat sehen, die den USA und und der Welt langfristig zum Vorteil gereichen wird?</t>
  </si>
  <si>
    <t>Angenommen</t>
  </si>
  <si>
    <t>Wahl</t>
  </si>
  <si>
    <t>Optionen</t>
  </si>
  <si>
    <t>Wesentlichen</t>
  </si>
  <si>
    <t>rücksichtslose</t>
  </si>
  <si>
    <t>Tat</t>
  </si>
  <si>
    <t>Gefahr</t>
  </si>
  <si>
    <t>Heldentat</t>
  </si>
  <si>
    <t>langfristig</t>
  </si>
  <si>
    <t>Vorteil</t>
  </si>
  <si>
    <t>gereichen</t>
  </si>
  <si>
    <t># text = Dies sind de beiden Optionen, die ich Ihnen gebe.</t>
  </si>
  <si>
    <t>de</t>
  </si>
  <si>
    <t>beiden</t>
  </si>
  <si>
    <t>gebe</t>
  </si>
  <si>
    <t># text = Ich bin gespannt, zu sehen, wer bereit ist, die erste Option zu wählen, dass es eine rücksichtslose Aktion war.</t>
  </si>
  <si>
    <t>gespannt</t>
  </si>
  <si>
    <t>wer</t>
  </si>
  <si>
    <t>Option</t>
  </si>
  <si>
    <t>Aktion</t>
  </si>
  <si>
    <t># text = Da gehen ein paar Hände hoch.</t>
  </si>
  <si>
    <t>Hände</t>
  </si>
  <si>
    <t># text = Einige Hände gehen hoch.</t>
  </si>
  <si>
    <t># text = Es ist schwer, seine Hand zu heben, wenn der Mann direkt hier steht, aber ich sehe sie.</t>
  </si>
  <si>
    <t>schwer</t>
  </si>
  <si>
    <t>heben</t>
  </si>
  <si>
    <t>sehe</t>
  </si>
  <si>
    <t># text = ES: Ich kann euch sehen.</t>
  </si>
  <si>
    <t>euch</t>
  </si>
  <si>
    <t># text = CA: Und wer wählt die zweite Option, dass dies im Grunde eine Heldentat ist?</t>
  </si>
  <si>
    <t>wählt</t>
  </si>
  <si>
    <t>zweite</t>
  </si>
  <si>
    <t>Grunde</t>
  </si>
  <si>
    <t># text = (Hochrufe) Ich denke, da waren viele, die ihre Hand nicht gehoben haben und die, wie ich glaube, über dieses Thema noch nachdenken, weil die Debatte um dich, wie mir scheint, nicht zwischen traditionellen politischen Lagern entbrennt.</t>
  </si>
  <si>
    <t>Hochrufe</t>
  </si>
  <si>
    <t>gehoben</t>
  </si>
  <si>
    <t>Thema</t>
  </si>
  <si>
    <t>nachdenken</t>
  </si>
  <si>
    <t>traditionellen</t>
  </si>
  <si>
    <t>politischen</t>
  </si>
  <si>
    <t>Lagern</t>
  </si>
  <si>
    <t>entbrennt</t>
  </si>
  <si>
    <t># text = Es geht nicht um links oder rechts, es geht nicht wirklich darum, ob du pro Regierung, libertär bist, oder nicht nur darum.</t>
  </si>
  <si>
    <t>links</t>
  </si>
  <si>
    <t>rechts</t>
  </si>
  <si>
    <t>darum</t>
  </si>
  <si>
    <t>libertär</t>
  </si>
  <si>
    <t># text = Ein Aspekt davon ist geradezu eine Generationenfrage.</t>
  </si>
  <si>
    <t>Aspekt</t>
  </si>
  <si>
    <t>geradezu</t>
  </si>
  <si>
    <t>Generationenfrage</t>
  </si>
  <si>
    <t># text = Du gehörst einer Generation an, die mit dem Internet aufgewachsen ist.</t>
  </si>
  <si>
    <t>gehörst</t>
  </si>
  <si>
    <t>Generation</t>
  </si>
  <si>
    <t>aufgewachsen</t>
  </si>
  <si>
    <t># text = Es scheint fast, als würde es dich zutiefst kränken, wenn du beobachtest, wie etwas getan wird, von dem du denkst, dass es dem Internet schaden wird.</t>
  </si>
  <si>
    <t>fast</t>
  </si>
  <si>
    <t>zutiefst</t>
  </si>
  <si>
    <t>kränken</t>
  </si>
  <si>
    <t>beobachtest</t>
  </si>
  <si>
    <t>denkst</t>
  </si>
  <si>
    <t># text = Ist da etwas dran?</t>
  </si>
  <si>
    <t>Ist</t>
  </si>
  <si>
    <t>dran</t>
  </si>
  <si>
    <t># text = ES: Das ist so, weißt du -- Das ist sehr wahr.</t>
  </si>
  <si>
    <t>weißt</t>
  </si>
  <si>
    <t>wahr</t>
  </si>
  <si>
    <t># text = Es ist keine Frage von links oder rechts.</t>
  </si>
  <si>
    <t># text = Unsere grundlegenden Freiheiten, und wenn ich "unsere" sage, meine ich nicht nur Amerikaner, ich meine Leute überall in der Welt, sind keine Frage der Partei.</t>
  </si>
  <si>
    <t>grundlegenden</t>
  </si>
  <si>
    <t>Freiheiten</t>
  </si>
  <si>
    <t>überall</t>
  </si>
  <si>
    <t>Partei</t>
  </si>
  <si>
    <t># text = Es sind die Dinge, an die alle Menschen glauben, und es liegt an uns, sie zu schützen, an denen, die ein freies und offenes Internet gesehen und genossen haben.</t>
  </si>
  <si>
    <t>liegt</t>
  </si>
  <si>
    <t>freies</t>
  </si>
  <si>
    <t>offenes</t>
  </si>
  <si>
    <t>genossen</t>
  </si>
  <si>
    <t># text = Es liegt an uns, diese Freiheit zu erhalten, damit die nächste Generation in ihren Genuss kommt.</t>
  </si>
  <si>
    <t>Genuss</t>
  </si>
  <si>
    <t># text = Wenn wir die Dinge nicht verändern, wenn wir nicht die Stirn bieten, um diese Veränderungen zu erreichen -- wir müssen das Internet schützen, nicht nur für uns, sondern für alle -- werden wir es verlieren, Das wäre ein gewaltiger Verlust, nicht nur für uns, sondern für die Welt.</t>
  </si>
  <si>
    <t>verändern</t>
  </si>
  <si>
    <t>Stirn</t>
  </si>
  <si>
    <t>bieten</t>
  </si>
  <si>
    <t>Veränderungen</t>
  </si>
  <si>
    <t>gewaltiger</t>
  </si>
  <si>
    <t>Verlust</t>
  </si>
  <si>
    <t># text = CA: Ich habe ähnliche Worte kürzlich vom Gründer des World-Wide-Web gehört, der, glaube ich, sogar bei uns ist: Sir Tim Berners-Lee.</t>
  </si>
  <si>
    <t>ähnliche</t>
  </si>
  <si>
    <t>Worte</t>
  </si>
  <si>
    <t>Gründer</t>
  </si>
  <si>
    <t>World</t>
  </si>
  <si>
    <t>Wide</t>
  </si>
  <si>
    <t>Web</t>
  </si>
  <si>
    <t>Sir</t>
  </si>
  <si>
    <t>Berners</t>
  </si>
  <si>
    <t>Lee</t>
  </si>
  <si>
    <t># text = Tim, möchtest du hochkommen und etwas sagen?</t>
  </si>
  <si>
    <t>möchtest</t>
  </si>
  <si>
    <t>hochkommen</t>
  </si>
  <si>
    <t># text = Haben wir ein Mikrofon für Tim?</t>
  </si>
  <si>
    <t># text = Tim, gut dich zu sehen.</t>
  </si>
  <si>
    <t># text = Komm dort hoch.</t>
  </si>
  <si>
    <t>dort</t>
  </si>
  <si>
    <t># text = Übrigens, in welchem Lager bist du?</t>
  </si>
  <si>
    <t>Übrigens</t>
  </si>
  <si>
    <t>welchem</t>
  </si>
  <si>
    <t>Lager</t>
  </si>
  <si>
    <t># text = Verräter oder Held?</t>
  </si>
  <si>
    <t># text = Ich habe eine Theorie, aber ... Tim Berners-Lee: Ich habe auf diese Frage wesentlich längere Antworten gegeben, aber \"Held\", wenn ich zwischen diesen beiden wählen muss.</t>
  </si>
  <si>
    <t>Theorie</t>
  </si>
  <si>
    <t>wesentlich</t>
  </si>
  <si>
    <t>längere</t>
  </si>
  <si>
    <t>Antworten</t>
  </si>
  <si>
    <t># text = CA: Und Ed, ich denke, du hast den Vorschlag gelesen, von dem Sir Tim gesprochen hat, über eine neue Magna Charta, um das Internet zurückzuerobern.</t>
  </si>
  <si>
    <t>Vorschlag</t>
  </si>
  <si>
    <t>gelesen</t>
  </si>
  <si>
    <t>gesprochen</t>
  </si>
  <si>
    <t>neue</t>
  </si>
  <si>
    <t>Magna</t>
  </si>
  <si>
    <t>Charta</t>
  </si>
  <si>
    <t>zurückzuerobern</t>
  </si>
  <si>
    <t># text = Ist das etwas, das Sinn macht?</t>
  </si>
  <si>
    <t>Sinn</t>
  </si>
  <si>
    <t>macht</t>
  </si>
  <si>
    <t># text = Meine Generation ... Ich bin nicht nur mit Gedanken über das Internet aufgewachsen, ich bin im Internet aufgewachsen, und obwohl ich nie erwartet hätte, die Chance zu haben, es auf eine so direkte und praktische Art und Weise zu verteidigen und es auf so ungewöhnliche Weise fast wie ein Avatar zu verkörpern.</t>
  </si>
  <si>
    <t>Meine</t>
  </si>
  <si>
    <t>erwartet</t>
  </si>
  <si>
    <t>hätte</t>
  </si>
  <si>
    <t>Chance</t>
  </si>
  <si>
    <t>direkte</t>
  </si>
  <si>
    <t>praktische</t>
  </si>
  <si>
    <t>verteidigen</t>
  </si>
  <si>
    <t>ungewöhnliche</t>
  </si>
  <si>
    <t>Avatar</t>
  </si>
  <si>
    <t>verkörpern</t>
  </si>
  <si>
    <t># text = Es ist etwas Poetisches an der Tatsache, dass einer der Söhne des Internet dem Internet so nahe gekommen ist durch eine politische Meinungsäußerung.</t>
  </si>
  <si>
    <t>Poetisches</t>
  </si>
  <si>
    <t>Söhne</t>
  </si>
  <si>
    <t>nahe</t>
  </si>
  <si>
    <t>gekommen</t>
  </si>
  <si>
    <t>politische</t>
  </si>
  <si>
    <t>Meinungsäußerung</t>
  </si>
  <si>
    <t># text = Ich glaube, eine Magna Charta für das Internet ist genau, was wir brauchen.</t>
  </si>
  <si>
    <t>genau</t>
  </si>
  <si>
    <t># text = Wir müssen unsere Werte festschreiben nicht nur in Worten, sondern in der Struktur des Internet.</t>
  </si>
  <si>
    <t>Werte</t>
  </si>
  <si>
    <t>Struktur</t>
  </si>
  <si>
    <t># text = Es ist etwas, auf das ich hoffe.</t>
  </si>
  <si>
    <t>hoffe</t>
  </si>
  <si>
    <t># text = Ich lade jeden im Publikum, nicht nur hier in Vancouver, sondern in der ganzen Welt ein, sich anzuschließen und mitzumachen.</t>
  </si>
  <si>
    <t>Vancouver</t>
  </si>
  <si>
    <t>anzuschließen</t>
  </si>
  <si>
    <t>mitzumachen</t>
  </si>
  <si>
    <t># text = CA: Hast du eine Frage an Ed? TBL: Zwei Fragen: eine allgemeine Frage ... CA: Ed, kannst du uns noch hören?</t>
  </si>
  <si>
    <t>Hast</t>
  </si>
  <si>
    <t>TBL</t>
  </si>
  <si>
    <t>allgemeine</t>
  </si>
  <si>
    <t># text = ES: Ja, ich kann dich hören.</t>
  </si>
  <si>
    <t># text = CA: Er ist wieder da.</t>
  </si>
  <si>
    <t># text = TBL: Die Wanze an deiner Leitung hatte für einen Moment Schluckauf.</t>
  </si>
  <si>
    <t>Wanze</t>
  </si>
  <si>
    <t>Leitung</t>
  </si>
  <si>
    <t>Schluckauf</t>
  </si>
  <si>
    <t># text = (Lachen) ES: Es ist ein kleines NSA-Problem.</t>
  </si>
  <si>
    <t>kleines</t>
  </si>
  <si>
    <t>Problem</t>
  </si>
  <si>
    <t># text = TBL: Wenn wir von den 25 Jahren einen Schritt zurücktreten und nachdenken, was denkst du, wäre das Beste, was wir erreichen könnten, aus all den Diskussionen, die wir über das Netz führen, das wir haben wollen?</t>
  </si>
  <si>
    <t>Schritt</t>
  </si>
  <si>
    <t>Beste</t>
  </si>
  <si>
    <t>Diskussionen</t>
  </si>
  <si>
    <t>Netz</t>
  </si>
  <si>
    <t># text = ES: Wenn wir darüber nachdenken, was wir erreichen können, dann, denke ich, wird das nur begrenzt durch das, was wir bereit sind, hineinzustecken Ich denke, das Internet, in dessen Genuss wir in der Vergangenheit gekommen sind, ist genau das, was wir -- nicht nur als Nation, sondern als ein Volk in aller Welt -- brauchen und das wir verteidigen müssen, indem wir kooperieren, indem wir nicht nur die technologischen Gesellschaftsanteile einbeziehen, sondern, wie du sagtest, die Nutzer, die Leute in aller Welt, die beitragen durch das Internet, durch soziale Medien, die nur nach dem Wetter sehen, die darauf als alltäglichen Teil ihres Lebens angewiesen sind.</t>
  </si>
  <si>
    <t>begrenzt</t>
  </si>
  <si>
    <t>hineinzustecken</t>
  </si>
  <si>
    <t>dessen</t>
  </si>
  <si>
    <t>Vergangenheit</t>
  </si>
  <si>
    <t>technologischen</t>
  </si>
  <si>
    <t>Gesellschaftsanteile</t>
  </si>
  <si>
    <t>einbeziehen</t>
  </si>
  <si>
    <t>sagtest</t>
  </si>
  <si>
    <t>beitragen</t>
  </si>
  <si>
    <t>soziale</t>
  </si>
  <si>
    <t>Medien</t>
  </si>
  <si>
    <t>Wetter</t>
  </si>
  <si>
    <t>alltäglichen</t>
  </si>
  <si>
    <t>other_12</t>
  </si>
  <si>
    <t>ihres</t>
  </si>
  <si>
    <t>Lebens</t>
  </si>
  <si>
    <t>angewiesen</t>
  </si>
  <si>
    <t># text = Wir erhalten nicht nur das Internet, das wir hatten, sondern ein besseres Internet, ein besseres Jetzt, etwas, das wir nutzen können, um eine Zukunft aufzubauen, die nicht nur besser sein wird, als wir erhoffen, sondern besser, als wir uns vorstellen können.</t>
  </si>
  <si>
    <t>besseres</t>
  </si>
  <si>
    <t>Jetzt</t>
  </si>
  <si>
    <t>aufzubauen</t>
  </si>
  <si>
    <t>besser</t>
  </si>
  <si>
    <t>erhoffen</t>
  </si>
  <si>
    <t>OBJ_8</t>
  </si>
  <si>
    <t>vorstellen</t>
  </si>
  <si>
    <t># text = CA: Vor 30 Jahren wurde TED gegründet, 1984.</t>
  </si>
  <si>
    <t>gegründet</t>
  </si>
  <si>
    <t># text = Viele Gespräche habe sich seither darum gedreht, dass George Orwell sich getäuscht hat.</t>
  </si>
  <si>
    <t>Viele</t>
  </si>
  <si>
    <t>seither</t>
  </si>
  <si>
    <t>gedreht</t>
  </si>
  <si>
    <t>George</t>
  </si>
  <si>
    <t>Orwell</t>
  </si>
  <si>
    <t>getäuscht</t>
  </si>
  <si>
    <t># text = Es ist nicht der Große Bruder, der uns überwacht.</t>
  </si>
  <si>
    <t>Große</t>
  </si>
  <si>
    <t>Bruder</t>
  </si>
  <si>
    <t>überwacht</t>
  </si>
  <si>
    <t># text = Wir, kraft der Macht des Netzes und der Transparenz, überwachen nun den Großen Bruder.</t>
  </si>
  <si>
    <t>kraft</t>
  </si>
  <si>
    <t>Macht</t>
  </si>
  <si>
    <t>Netzes</t>
  </si>
  <si>
    <t>Transparenz</t>
  </si>
  <si>
    <t>Großen</t>
  </si>
  <si>
    <t># text = Deine Enthüllungen haben einen Holzpflock durch das Herz dieser recht optimistischen Sicht getrieben, aber du glaubst dennoch, dass es einen Weg gibt, etwas dagegen zu tun.</t>
  </si>
  <si>
    <t>Deine</t>
  </si>
  <si>
    <t>Holzpflock</t>
  </si>
  <si>
    <t>Herz</t>
  </si>
  <si>
    <t>optimistischen</t>
  </si>
  <si>
    <t>getrieben</t>
  </si>
  <si>
    <t>glaubst</t>
  </si>
  <si>
    <t>dennoch</t>
  </si>
  <si>
    <t>Weg</t>
  </si>
  <si>
    <t>dagegen</t>
  </si>
  <si>
    <t># text = Und das tust du auch.</t>
  </si>
  <si>
    <t>tust</t>
  </si>
  <si>
    <t># text = ES: Richtig.</t>
  </si>
  <si>
    <t>Richtig</t>
  </si>
  <si>
    <t># text = Man kann argumentieren, dass die Möglichkeiten des Großen Bruders gewaltig zugenommen haben.</t>
  </si>
  <si>
    <t>Möglichkeiten</t>
  </si>
  <si>
    <t>Bruders</t>
  </si>
  <si>
    <t>gewaltig</t>
  </si>
  <si>
    <t>zugenommen</t>
  </si>
  <si>
    <t># text = Es gab kürzlich einen juristischen Aufsatz in Yale, der das sogenannte Bankston-Soltani-Prinzip formulierte.</t>
  </si>
  <si>
    <t>juristischen</t>
  </si>
  <si>
    <t>Aufsatz</t>
  </si>
  <si>
    <t>Yale</t>
  </si>
  <si>
    <t>sogenannte</t>
  </si>
  <si>
    <t>Bankston</t>
  </si>
  <si>
    <t>Soltani</t>
  </si>
  <si>
    <t>formulierte</t>
  </si>
  <si>
    <t># text = Es besagt, dass unser Anspruch auf Privatsphäre verletzt wird, wenn die Technologien staatlicher Überwachung um einen Faktor zehn billiger geworden sind.</t>
  </si>
  <si>
    <t>unser</t>
  </si>
  <si>
    <t>Anspruch</t>
  </si>
  <si>
    <t>Technologien</t>
  </si>
  <si>
    <t>staatlicher</t>
  </si>
  <si>
    <t>Faktor</t>
  </si>
  <si>
    <t>zehn</t>
  </si>
  <si>
    <t>billiger</t>
  </si>
  <si>
    <t>geworden</t>
  </si>
  <si>
    <t># text = Jedes Mal, wenn das passiert, müssen wir uns aufs Neue mit unserem Recht auf Datenschutz beschäftigen und es anpassen.</t>
  </si>
  <si>
    <t>Mal</t>
  </si>
  <si>
    <t>passiert</t>
  </si>
  <si>
    <t>Neue</t>
  </si>
  <si>
    <t>unserem</t>
  </si>
  <si>
    <t>Datenschutz</t>
  </si>
  <si>
    <t>anpassen</t>
  </si>
  <si>
    <t># text = Nun ist das nicht mehr geschehen, seit die Überwachungstechnologien der Regierung um ein Vielfaches des Faktors zehn zugenommen haben, und deshalb stecken wir in den heutigen Schwierigkeiten.</t>
  </si>
  <si>
    <t>Nun</t>
  </si>
  <si>
    <t>geschehen</t>
  </si>
  <si>
    <t>seit</t>
  </si>
  <si>
    <t>Überwachungstechnologien</t>
  </si>
  <si>
    <t>Vielfaches</t>
  </si>
  <si>
    <t>Faktors</t>
  </si>
  <si>
    <t>stecken</t>
  </si>
  <si>
    <t>heutigen</t>
  </si>
  <si>
    <t>Schwierigkeiten</t>
  </si>
  <si>
    <t># text = Aber es gibt immer noch Hoffnung, weil auch die Macht des Einzelnen durch Technologie zugenommen hat.</t>
  </si>
  <si>
    <t>Hoffnung</t>
  </si>
  <si>
    <t>Einzelnen</t>
  </si>
  <si>
    <t># text = Ich bin der lebende Beweis, dass ein Einzelner den mächtigsten Gegnern die Stirn bieten kann, den mächtigsten Nachrichtendiensten der Welt, und gewinnen kann.</t>
  </si>
  <si>
    <t>lebende</t>
  </si>
  <si>
    <t>Beweis</t>
  </si>
  <si>
    <t>Einzelner</t>
  </si>
  <si>
    <t>mächtigsten</t>
  </si>
  <si>
    <t>Gegnern</t>
  </si>
  <si>
    <t>gewinnen</t>
  </si>
  <si>
    <t># text = Das ist etwas, das wir brauchen, um daraus Hoffnung zu schöpfen und darauf aufzubauen, um es nicht nur technischen Fachleuten zugänglich zu machen, sondern einfachen Bürgern in aller Welt.</t>
  </si>
  <si>
    <t>daraus</t>
  </si>
  <si>
    <t>schöpfen</t>
  </si>
  <si>
    <t>technischen</t>
  </si>
  <si>
    <t>Fachleuten</t>
  </si>
  <si>
    <t>zugänglich</t>
  </si>
  <si>
    <t>einfachen</t>
  </si>
  <si>
    <t>Bürgern</t>
  </si>
  <si>
    <t># text = Journalismus ist kein Verbrechen.</t>
  </si>
  <si>
    <t>Verbrechen</t>
  </si>
  <si>
    <t># text = Kommunikation ist kein Verbrechen, und wir sollten bei unseren Aktivitäten im Alltag nicht überwacht werden.</t>
  </si>
  <si>
    <t>Aktivitäten</t>
  </si>
  <si>
    <t>Alltag</t>
  </si>
  <si>
    <t># text = CA.</t>
  </si>
  <si>
    <t># text = Ich bin mit nicht sicher, wie man einem Bot die Hand schüttelt, aber ich schätze, das hier ist die Hand.</t>
  </si>
  <si>
    <t>schüttelt</t>
  </si>
  <si>
    <t>schätze</t>
  </si>
  <si>
    <t># text = TBL: Auch die kommt sehr bald.</t>
  </si>
  <si>
    <t>Auch</t>
  </si>
  <si>
    <t>bald</t>
  </si>
  <si>
    <t># text = ES: Es freut mich, Sie kennenzulernen.</t>
  </si>
  <si>
    <t>freut</t>
  </si>
  <si>
    <t>kennenzulernen</t>
  </si>
  <si>
    <t># text = Ich hoffe, meine Übertragung sieht so gut aus wie mein Bild von euch zwei.</t>
  </si>
  <si>
    <t>Übertragung</t>
  </si>
  <si>
    <t># text = CA: Danke, Tim.</t>
  </si>
  <si>
    <t># text = Die New York Times forderte kürzlich eine Amnestie für dich.</t>
  </si>
  <si>
    <t>New</t>
  </si>
  <si>
    <t>York</t>
  </si>
  <si>
    <t>Times</t>
  </si>
  <si>
    <t>Amnestie</t>
  </si>
  <si>
    <t># text = Würdest du die Chance, nach Amerika zurückzukommen, begrüßen?</t>
  </si>
  <si>
    <t>Würdest</t>
  </si>
  <si>
    <t># text = Das steht außer Frage.</t>
  </si>
  <si>
    <t># text = Die Prinzipien, die die Grundlage dieses Projektes bilden, sind das öffentliche Interesse und die Prinzipen, die den etablierten journalistischen Organen in den USA und rund um die Welt zugrundeliegen, und ich denke, wenn die Presse sagt, wir unterstützen das, das ist etwas, das passieren muss, dann ist das ein kräftiges Argument, aber es ist nicht das letzte Argument.</t>
  </si>
  <si>
    <t>Prinzipien</t>
  </si>
  <si>
    <t>Projektes</t>
  </si>
  <si>
    <t>bilden</t>
  </si>
  <si>
    <t>Prinzipen</t>
  </si>
  <si>
    <t>etablierten</t>
  </si>
  <si>
    <t>journalistischen</t>
  </si>
  <si>
    <t>Organen</t>
  </si>
  <si>
    <t>rund</t>
  </si>
  <si>
    <t>zugrundeliegen</t>
  </si>
  <si>
    <t>unterstützen</t>
  </si>
  <si>
    <t>passieren</t>
  </si>
  <si>
    <t>kräftiges</t>
  </si>
  <si>
    <t>Argument</t>
  </si>
  <si>
    <t>letzte</t>
  </si>
  <si>
    <t># text = Ich denke, das ist etwas, das die Öffentlichkeit entscheiden sollte.</t>
  </si>
  <si>
    <t># text = Aber zur gleichen Zeit hat die Regierung angedeutet, dass sie eine Art Handel wünscht, dass sie möchte, dass ich die Journalisten, die mit mir gearbeitet haben, kompromittiere, damit ich zurückkommen kann.</t>
  </si>
  <si>
    <t>gleichen</t>
  </si>
  <si>
    <t>angedeutet</t>
  </si>
  <si>
    <t>wünscht</t>
  </si>
  <si>
    <t>kompromittiere</t>
  </si>
  <si>
    <t>zurückkommen</t>
  </si>
  <si>
    <t># text = Ich möchte sehr deutlich machen, dass ich das nicht für meine Sicherheit getan habe.</t>
  </si>
  <si>
    <t>deutlich</t>
  </si>
  <si>
    <t># text = Ich habe das getan, um das Richtige zu tun, und ich werde meine Arbeit für das öffentliche Interesse nicht zu meinem eigenen Vorteil aufgeben.</t>
  </si>
  <si>
    <t>Arbeit</t>
  </si>
  <si>
    <t>meinem</t>
  </si>
  <si>
    <t># text = CA: In der Zwischenzeit, dank des Internets und dieser Technologie, bist du wieder zurück in Nordamerika, nicht ganz die USA, aber in Kanada in dieser Form.</t>
  </si>
  <si>
    <t>dank</t>
  </si>
  <si>
    <t>Internets</t>
  </si>
  <si>
    <t>zurück</t>
  </si>
  <si>
    <t>Nordamerika</t>
  </si>
  <si>
    <t>Kanada</t>
  </si>
  <si>
    <t>Form</t>
  </si>
  <si>
    <t># text = Ich bin neugierig, wie fühlt sich das an?</t>
  </si>
  <si>
    <t>neugierig</t>
  </si>
  <si>
    <t>fühlt</t>
  </si>
  <si>
    <t># text = ES: Kanada ist anders, als ich es erwartet hatte.</t>
  </si>
  <si>
    <t># text = Es ist viel wärmer.</t>
  </si>
  <si>
    <t>wärmer</t>
  </si>
  <si>
    <t># text = CA: Die Mission von TED sind "Ideen mit Verbreitungswert".</t>
  </si>
  <si>
    <t>Mission</t>
  </si>
  <si>
    <t>Ideen</t>
  </si>
  <si>
    <t>Verbreitungswert</t>
  </si>
  <si>
    <t># text = Wenn du es in einer einzigen Idee zusammenfassen könntest, Was ist deine Idee, die es wert ist, hier und jetzt verbreitet zu werden?</t>
  </si>
  <si>
    <t>Idee</t>
  </si>
  <si>
    <t>könntest</t>
  </si>
  <si>
    <t>verbreitet</t>
  </si>
  <si>
    <t># text = ES: Ich würde sagen, dass das letzte Jahr uns daran erinnert hat, dass Demokratie hinter verschlossenen Türen sterben kann, aber wir als Individuen werden hinter denselben verschlossenen Türen geboren, und wir müssen unsere Privatspäre nicht aufgeben, um eine gute Regierung zu haben.</t>
  </si>
  <si>
    <t>erinnert</t>
  </si>
  <si>
    <t>Demokratie</t>
  </si>
  <si>
    <t>sterben</t>
  </si>
  <si>
    <t>Individuen</t>
  </si>
  <si>
    <t>denselben</t>
  </si>
  <si>
    <t>geboren</t>
  </si>
  <si>
    <t>Privatspäre</t>
  </si>
  <si>
    <t>gute</t>
  </si>
  <si>
    <t># text = Wir müssen unsere Freiheit nicht aufgeben, um Sicherheit zu haben.</t>
  </si>
  <si>
    <t># text = Und ich denke, indem wir zusammenarbeiten, können wir eine offene Regierung haben und Privatsphäre.</t>
  </si>
  <si>
    <t>zusammenarbeiten</t>
  </si>
  <si>
    <t>offene</t>
  </si>
  <si>
    <t># text = Ich freue mich darauf, mit jedem in der Welt zusammenzuarbeiten, um das durchzusetzen.</t>
  </si>
  <si>
    <t>freue</t>
  </si>
  <si>
    <t>jedem</t>
  </si>
  <si>
    <t>zusammenzuarbeiten</t>
  </si>
  <si>
    <t>durchzusetzen</t>
  </si>
  <si>
    <t># text = Ich danke euch sehr.</t>
  </si>
  <si>
    <t># text = CA: Ed, danke!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</si>
</sst>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1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11</v>
      </c>
      <c r="I2" s="11" t="s">
        <v>11</v>
      </c>
      <c r="J2" s="12"/>
    </row>
    <row r="3" spans="1:10" ht="60" customHeight="1">
      <c r="A3" s="6" t="s">
        <v>15</v>
      </c>
      <c r="B3" s="6" t="s">
        <v>16</v>
      </c>
      <c r="C3" s="6" t="s">
        <v>11</v>
      </c>
      <c r="D3" s="7" t="s">
        <v>17</v>
      </c>
      <c r="E3" s="8" t="s">
        <v>18</v>
      </c>
      <c r="F3" s="6" t="s">
        <v>19</v>
      </c>
      <c r="G3" s="9">
        <f>IF(A3=1,"_",IF(C3="_","???",C3))</f>
        <v/>
      </c>
      <c r="H3" s="10" t="s">
        <v>11</v>
      </c>
      <c r="I3" s="11" t="s">
        <v>11</v>
      </c>
      <c r="J3" s="12"/>
    </row>
    <row r="4" spans="1:10" ht="60" customHeight="1">
      <c r="A4" s="6" t="s">
        <v>20</v>
      </c>
      <c r="B4" s="6" t="s">
        <v>21</v>
      </c>
      <c r="C4" s="6" t="s">
        <v>11</v>
      </c>
      <c r="D4" s="7" t="s">
        <v>22</v>
      </c>
      <c r="E4" s="8" t="s">
        <v>23</v>
      </c>
      <c r="F4" s="6" t="s">
        <v>24</v>
      </c>
      <c r="G4" s="9">
        <f>IF(A4=1,"_",IF(C4="_","???",C4))</f>
        <v/>
      </c>
      <c r="H4" s="10" t="s">
        <v>11</v>
      </c>
      <c r="I4" s="11" t="s">
        <v>11</v>
      </c>
      <c r="J4" s="12"/>
    </row>
    <row r="5" spans="1:10" ht="60" customHeight="1">
      <c r="A5" s="6" t="s">
        <v>25</v>
      </c>
      <c r="B5" s="6" t="s">
        <v>15</v>
      </c>
      <c r="C5" s="6" t="s">
        <v>11</v>
      </c>
      <c r="D5" s="7" t="s">
        <v>26</v>
      </c>
      <c r="E5" s="8" t="s">
        <v>27</v>
      </c>
      <c r="F5" s="6" t="s">
        <v>28</v>
      </c>
      <c r="G5" s="9">
        <f>IF(A5=1,"_",IF(C5="_","???",C5))</f>
        <v/>
      </c>
      <c r="H5" s="10" t="s">
        <v>11</v>
      </c>
      <c r="I5" s="11" t="s">
        <v>11</v>
      </c>
      <c r="J5" s="12"/>
    </row>
    <row r="6" spans="1:10" ht="60" customHeight="1">
      <c r="A6" s="6" t="s">
        <v>21</v>
      </c>
      <c r="B6" s="6" t="s">
        <v>29</v>
      </c>
      <c r="C6" s="6" t="s">
        <v>30</v>
      </c>
      <c r="D6" s="7" t="s">
        <v>31</v>
      </c>
      <c r="E6" s="8" t="s">
        <v>32</v>
      </c>
      <c r="F6" s="6" t="s">
        <v>33</v>
      </c>
      <c r="G6" s="9">
        <f>IF(A6=1,"_",IF(C6="_","???",C6))</f>
        <v/>
      </c>
      <c r="H6" s="10" t="s">
        <v>11</v>
      </c>
      <c r="I6" s="11" t="s">
        <v>11</v>
      </c>
      <c r="J6" s="12"/>
    </row>
    <row r="7" spans="1:10" ht="60" customHeight="1">
      <c r="A7" s="6" t="s">
        <v>34</v>
      </c>
      <c r="B7" s="6" t="s">
        <v>20</v>
      </c>
      <c r="C7" s="6" t="s">
        <v>11</v>
      </c>
      <c r="D7" s="7" t="s">
        <v>35</v>
      </c>
      <c r="E7" s="8" t="s">
        <v>36</v>
      </c>
      <c r="F7" s="6" t="s">
        <v>37</v>
      </c>
      <c r="G7" s="9">
        <f>IF(A7=1,"_",IF(C7="_","???",C7))</f>
        <v/>
      </c>
      <c r="H7" s="10" t="s">
        <v>11</v>
      </c>
      <c r="I7" s="11" t="s">
        <v>11</v>
      </c>
      <c r="J7" s="12"/>
    </row>
    <row r="8" spans="1:10" ht="60" customHeight="1">
      <c r="A8" s="6" t="s">
        <v>29</v>
      </c>
      <c r="B8" s="6" t="s">
        <v>34</v>
      </c>
      <c r="C8" s="6" t="s">
        <v>30</v>
      </c>
      <c r="D8" s="7" t="s">
        <v>38</v>
      </c>
      <c r="E8" s="8" t="s">
        <v>39</v>
      </c>
      <c r="F8" s="6" t="s">
        <v>40</v>
      </c>
      <c r="G8" s="9">
        <f>IF(A8=1,"_",IF(C8="_","???",C8))</f>
        <v/>
      </c>
      <c r="H8" s="10" t="s">
        <v>11</v>
      </c>
      <c r="I8" s="11" t="s">
        <v>11</v>
      </c>
      <c r="J8" s="12"/>
    </row>
    <row r="9" spans="1:10" ht="60" customHeight="1">
      <c r="A9" s="6" t="s">
        <v>41</v>
      </c>
      <c r="B9" s="6" t="s">
        <v>10</v>
      </c>
      <c r="C9" s="6" t="s">
        <v>11</v>
      </c>
      <c r="D9" s="7" t="s">
        <v>42</v>
      </c>
      <c r="E9" s="8" t="s">
        <v>43</v>
      </c>
      <c r="F9" s="6" t="s">
        <v>44</v>
      </c>
      <c r="G9" s="9">
        <f>IF(A9=1,"_",IF(C9="_","???",C9))</f>
        <v/>
      </c>
      <c r="H9" s="10" t="s">
        <v>11</v>
      </c>
      <c r="I9" s="11" t="s">
        <v>11</v>
      </c>
      <c r="J9" s="12"/>
    </row>
    <row r="10" spans="1:10" ht="60" customHeight="1">
      <c r="A10" s="6" t="s">
        <v>45</v>
      </c>
      <c r="B10" s="6" t="s">
        <v>25</v>
      </c>
      <c r="C10" s="6" t="s">
        <v>11</v>
      </c>
      <c r="D10" s="7" t="s">
        <v>38</v>
      </c>
      <c r="E10" s="8" t="s">
        <v>46</v>
      </c>
      <c r="F10" s="6" t="s">
        <v>47</v>
      </c>
      <c r="G10" s="9">
        <f>IF(A10=1,"_",IF(C10="_","???",C10))</f>
        <v/>
      </c>
      <c r="H10" s="10" t="s">
        <v>11</v>
      </c>
      <c r="I10" s="11" t="s">
        <v>11</v>
      </c>
      <c r="J10" s="12"/>
    </row>
    <row r="11" spans="1:10" ht="60" customHeight="1">
      <c r="A11" s="6" t="s">
        <v>48</v>
      </c>
      <c r="B11" s="6" t="s">
        <v>15</v>
      </c>
      <c r="C11" s="6" t="s">
        <v>11</v>
      </c>
      <c r="D11" s="7" t="s">
        <v>49</v>
      </c>
      <c r="E11" s="8" t="s">
        <v>50</v>
      </c>
      <c r="F11" s="6" t="s">
        <v>51</v>
      </c>
      <c r="G11" s="9">
        <f>IF(A11=1,"_",IF(C11="_","???",C11))</f>
        <v/>
      </c>
      <c r="H11" s="10" t="s">
        <v>11</v>
      </c>
      <c r="I11" s="11" t="s">
        <v>11</v>
      </c>
      <c r="J11" s="12"/>
    </row>
    <row r="12" spans="1:10" ht="60" customHeight="1">
      <c r="A12" s="6" t="s">
        <v>52</v>
      </c>
      <c r="B12" s="6" t="s">
        <v>15</v>
      </c>
      <c r="C12" s="6" t="s">
        <v>11</v>
      </c>
      <c r="D12" s="7" t="s">
        <v>53</v>
      </c>
      <c r="E12" s="8" t="s">
        <v>54</v>
      </c>
      <c r="F12" s="6" t="s">
        <v>55</v>
      </c>
      <c r="G12" s="9">
        <f>IF(A12=1,"_",IF(C12="_","???",C12))</f>
        <v/>
      </c>
      <c r="H12" s="10" t="s">
        <v>11</v>
      </c>
      <c r="I12" s="11" t="s">
        <v>11</v>
      </c>
      <c r="J12" s="12"/>
    </row>
    <row r="13" spans="1:10" ht="60" customHeight="1">
      <c r="A13" s="6" t="s">
        <v>56</v>
      </c>
      <c r="B13" s="6" t="s">
        <v>20</v>
      </c>
      <c r="C13" s="6" t="s">
        <v>11</v>
      </c>
      <c r="D13" s="7" t="s">
        <v>57</v>
      </c>
      <c r="E13" s="8" t="s">
        <v>58</v>
      </c>
      <c r="F13" s="6" t="s">
        <v>59</v>
      </c>
      <c r="G13" s="9">
        <f>IF(A13=1,"_",IF(C13="_","???",C13))</f>
        <v/>
      </c>
      <c r="H13" s="10" t="s">
        <v>11</v>
      </c>
      <c r="I13" s="11" t="s">
        <v>11</v>
      </c>
      <c r="J13" s="12"/>
    </row>
    <row r="14" spans="1:10" ht="60" customHeight="1">
      <c r="A14" s="6" t="s">
        <v>16</v>
      </c>
      <c r="B14" s="6" t="s">
        <v>29</v>
      </c>
      <c r="C14" s="6" t="s">
        <v>11</v>
      </c>
      <c r="D14" s="7" t="s">
        <v>60</v>
      </c>
      <c r="E14" s="8" t="s">
        <v>61</v>
      </c>
      <c r="F14" s="6" t="s">
        <v>62</v>
      </c>
      <c r="G14" s="9">
        <f>IF(A14=1,"_",IF(C14="_","???",C14))</f>
        <v/>
      </c>
      <c r="H14" s="10" t="s">
        <v>11</v>
      </c>
      <c r="I14" s="11" t="s">
        <v>11</v>
      </c>
      <c r="J14" s="12"/>
    </row>
    <row r="15" spans="1:10" ht="60" customHeight="1">
      <c r="A15" s="6" t="s">
        <v>63</v>
      </c>
      <c r="B15" s="6" t="s">
        <v>64</v>
      </c>
      <c r="C15" s="6" t="s">
        <v>11</v>
      </c>
      <c r="D15" s="7" t="s">
        <v>65</v>
      </c>
      <c r="E15" s="8" t="s">
        <v>66</v>
      </c>
      <c r="F15" s="6" t="s">
        <v>67</v>
      </c>
      <c r="G15" s="9">
        <f>IF(A15=1,"_",IF(C15="_","???",C15))</f>
        <v/>
      </c>
      <c r="H15" s="10" t="s">
        <v>11</v>
      </c>
      <c r="I15" s="11" t="s">
        <v>11</v>
      </c>
      <c r="J15" s="12"/>
    </row>
    <row r="16" spans="1:10" ht="60" customHeight="1">
      <c r="A16" s="6" t="s">
        <v>68</v>
      </c>
      <c r="B16" s="6" t="s">
        <v>34</v>
      </c>
      <c r="C16" s="6" t="s">
        <v>11</v>
      </c>
      <c r="D16" s="7" t="s">
        <v>69</v>
      </c>
      <c r="E16" s="8" t="s">
        <v>70</v>
      </c>
      <c r="F16" s="6" t="s">
        <v>71</v>
      </c>
      <c r="G16" s="9">
        <f>IF(A16=1,"_",IF(C16="_","???",C16))</f>
        <v/>
      </c>
      <c r="H16" s="10" t="s">
        <v>11</v>
      </c>
      <c r="I16" s="11" t="s">
        <v>11</v>
      </c>
      <c r="J16" s="12"/>
    </row>
    <row r="17" spans="1:10" ht="60" customHeight="1">
      <c r="A17" s="6" t="s">
        <v>72</v>
      </c>
      <c r="B17" s="6" t="s">
        <v>21</v>
      </c>
      <c r="C17" s="6" t="s">
        <v>11</v>
      </c>
      <c r="D17" s="7" t="s">
        <v>73</v>
      </c>
      <c r="E17" s="8" t="s">
        <v>74</v>
      </c>
      <c r="F17" s="6" t="s">
        <v>75</v>
      </c>
      <c r="G17" s="9">
        <f>IF(A17=1,"_",IF(C17="_","???",C17))</f>
        <v/>
      </c>
      <c r="H17" s="10" t="s">
        <v>11</v>
      </c>
      <c r="I17" s="11" t="s">
        <v>11</v>
      </c>
      <c r="J17" s="12"/>
    </row>
    <row r="18" spans="1:10" ht="60" customHeight="1">
      <c r="A18" s="6" t="s">
        <v>76</v>
      </c>
      <c r="B18" s="6" t="s">
        <v>16</v>
      </c>
      <c r="C18" s="6" t="s">
        <v>11</v>
      </c>
      <c r="D18" s="7" t="s">
        <v>77</v>
      </c>
      <c r="E18" s="8" t="s">
        <v>78</v>
      </c>
      <c r="F18" s="6" t="s">
        <v>79</v>
      </c>
      <c r="G18" s="9">
        <f>IF(A18=1,"_",IF(C18="_","???",C18))</f>
        <v/>
      </c>
      <c r="H18" s="10" t="s">
        <v>11</v>
      </c>
      <c r="I18" s="11" t="s">
        <v>11</v>
      </c>
      <c r="J18" s="12"/>
    </row>
    <row r="19" spans="1:10" ht="60" customHeight="1">
      <c r="A19" s="6" t="s">
        <v>80</v>
      </c>
      <c r="B19" s="6" t="s">
        <v>25</v>
      </c>
      <c r="C19" s="6" t="s">
        <v>30</v>
      </c>
      <c r="D19" s="7" t="s">
        <v>81</v>
      </c>
      <c r="E19" s="8" t="s">
        <v>82</v>
      </c>
      <c r="F19" s="6" t="s">
        <v>83</v>
      </c>
      <c r="G19" s="9">
        <f>IF(A19=1,"_",IF(C19="_","???",C19))</f>
        <v/>
      </c>
      <c r="H19" s="10" t="s">
        <v>11</v>
      </c>
      <c r="I19" s="11" t="s">
        <v>11</v>
      </c>
      <c r="J19" s="12"/>
    </row>
    <row r="20" spans="1:10" ht="60" customHeight="1">
      <c r="A20" s="6" t="s">
        <v>64</v>
      </c>
      <c r="B20" s="6" t="s">
        <v>15</v>
      </c>
      <c r="C20" s="6" t="s">
        <v>30</v>
      </c>
      <c r="D20" s="7" t="s">
        <v>84</v>
      </c>
      <c r="E20" s="8" t="s">
        <v>85</v>
      </c>
      <c r="F20" s="6" t="s">
        <v>86</v>
      </c>
      <c r="G20" s="9">
        <f>IF(A20=1,"_",IF(C20="_","???",C20))</f>
        <v/>
      </c>
      <c r="H20" s="10" t="s">
        <v>11</v>
      </c>
      <c r="I20" s="11" t="s">
        <v>11</v>
      </c>
      <c r="J20" s="12"/>
    </row>
    <row r="21" spans="1:10" ht="60" customHeight="1">
      <c r="A21" s="6" t="s">
        <v>87</v>
      </c>
      <c r="B21" s="6" t="s">
        <v>15</v>
      </c>
      <c r="C21" s="6" t="s">
        <v>11</v>
      </c>
      <c r="D21" s="7" t="s">
        <v>88</v>
      </c>
      <c r="E21" s="8" t="s">
        <v>89</v>
      </c>
      <c r="F21" s="6" t="s">
        <v>90</v>
      </c>
      <c r="G21" s="9">
        <f>IF(A21=1,"_",IF(C21="_","???",C21))</f>
        <v/>
      </c>
      <c r="H21" s="10" t="s">
        <v>11</v>
      </c>
      <c r="I21" s="11" t="s">
        <v>11</v>
      </c>
      <c r="J21" s="12"/>
    </row>
    <row r="22" spans="1:10" ht="60" customHeight="1">
      <c r="A22" s="6" t="s">
        <v>91</v>
      </c>
      <c r="B22" s="6" t="s">
        <v>20</v>
      </c>
      <c r="C22" s="6" t="s">
        <v>11</v>
      </c>
      <c r="D22" s="7" t="s">
        <v>38</v>
      </c>
      <c r="E22" s="8" t="s">
        <v>92</v>
      </c>
      <c r="F22" s="6" t="s">
        <v>93</v>
      </c>
      <c r="G22" s="9">
        <f>IF(A22=1,"_",IF(C22="_","???",C22))</f>
        <v/>
      </c>
      <c r="H22" s="10" t="s">
        <v>11</v>
      </c>
      <c r="I22" s="11" t="s">
        <v>11</v>
      </c>
      <c r="J22" s="12"/>
    </row>
    <row r="23" spans="1:10" ht="60" customHeight="1">
      <c r="A23" s="6" t="s">
        <v>94</v>
      </c>
      <c r="B23" s="6" t="s">
        <v>95</v>
      </c>
      <c r="C23" s="6" t="s">
        <v>11</v>
      </c>
      <c r="D23" s="7" t="s">
        <v>96</v>
      </c>
      <c r="E23" s="8" t="s">
        <v>97</v>
      </c>
      <c r="F23" s="6" t="s">
        <v>98</v>
      </c>
      <c r="G23" s="9">
        <f>IF(A23=1,"_",IF(C23="_","???",C23))</f>
        <v/>
      </c>
      <c r="H23" s="10" t="s">
        <v>11</v>
      </c>
      <c r="I23" s="11" t="s">
        <v>11</v>
      </c>
      <c r="J23" s="12"/>
    </row>
    <row r="24" spans="1:10" ht="60" customHeight="1">
      <c r="A24" s="6" t="s">
        <v>95</v>
      </c>
      <c r="B24" s="6" t="s">
        <v>20</v>
      </c>
      <c r="C24" s="6" t="s">
        <v>11</v>
      </c>
      <c r="D24" s="7" t="s">
        <v>96</v>
      </c>
      <c r="E24" s="8" t="s">
        <v>99</v>
      </c>
      <c r="F24" s="6" t="s">
        <v>100</v>
      </c>
      <c r="G24" s="9">
        <f>IF(A24=1,"_",IF(C24="_","???",C24))</f>
        <v/>
      </c>
      <c r="H24" s="10" t="s">
        <v>11</v>
      </c>
      <c r="I24" s="11" t="s">
        <v>11</v>
      </c>
      <c r="J24" s="12"/>
    </row>
    <row r="25" spans="1:10" ht="60" customHeight="1">
      <c r="A25" s="6" t="s">
        <v>101</v>
      </c>
      <c r="B25" s="6" t="s">
        <v>41</v>
      </c>
      <c r="C25" s="6" t="s">
        <v>11</v>
      </c>
      <c r="D25" s="7" t="s">
        <v>102</v>
      </c>
      <c r="E25" s="8" t="s">
        <v>103</v>
      </c>
      <c r="F25" s="6" t="s">
        <v>104</v>
      </c>
      <c r="G25" s="9">
        <f>IF(A25=1,"_",IF(C25="_","???",C25))</f>
        <v/>
      </c>
      <c r="H25" s="10" t="s">
        <v>11</v>
      </c>
      <c r="I25" s="11" t="s">
        <v>11</v>
      </c>
      <c r="J25" s="12"/>
    </row>
    <row r="26" spans="1:10" ht="60" customHeight="1">
      <c r="A26" s="6" t="s">
        <v>105</v>
      </c>
      <c r="B26" s="6" t="s">
        <v>25</v>
      </c>
      <c r="C26" s="6" t="s">
        <v>11</v>
      </c>
      <c r="D26" s="7" t="s">
        <v>106</v>
      </c>
      <c r="E26" s="8" t="s">
        <v>107</v>
      </c>
      <c r="F26" s="6" t="s">
        <v>108</v>
      </c>
      <c r="G26" s="9">
        <f>IF(A26=1,"_",IF(C26="_","???",C26))</f>
        <v/>
      </c>
      <c r="H26" s="10" t="s">
        <v>11</v>
      </c>
      <c r="I26" s="11" t="s">
        <v>11</v>
      </c>
      <c r="J26" s="12"/>
    </row>
    <row r="27" spans="1:10" ht="60" customHeight="1">
      <c r="A27" s="6" t="s">
        <v>109</v>
      </c>
      <c r="B27" s="6" t="s">
        <v>20</v>
      </c>
      <c r="C27" s="6" t="s">
        <v>11</v>
      </c>
      <c r="D27" s="7" t="s">
        <v>110</v>
      </c>
      <c r="E27" s="8" t="s">
        <v>111</v>
      </c>
      <c r="F27" s="6" t="s">
        <v>112</v>
      </c>
      <c r="G27" s="9">
        <f>IF(A27=1,"_",IF(C27="_","???",C27))</f>
        <v/>
      </c>
      <c r="H27" s="10" t="s">
        <v>11</v>
      </c>
      <c r="I27" s="11" t="s">
        <v>11</v>
      </c>
      <c r="J27" s="12"/>
    </row>
    <row r="28" spans="1:10" ht="60" customHeight="1">
      <c r="A28" s="6" t="s">
        <v>113</v>
      </c>
      <c r="B28" s="6" t="s">
        <v>48</v>
      </c>
      <c r="C28" s="6" t="s">
        <v>11</v>
      </c>
      <c r="D28" s="7" t="s">
        <v>114</v>
      </c>
      <c r="E28" s="8" t="s">
        <v>115</v>
      </c>
      <c r="F28" s="6" t="s">
        <v>116</v>
      </c>
      <c r="G28" s="9">
        <f>IF(A28=1,"_",IF(C28="_","???",C28))</f>
        <v/>
      </c>
      <c r="H28" s="10" t="s">
        <v>11</v>
      </c>
      <c r="I28" s="11" t="s">
        <v>11</v>
      </c>
      <c r="J28" s="12"/>
    </row>
    <row r="29" spans="1:10" ht="60" customHeight="1">
      <c r="A29" s="6" t="s">
        <v>117</v>
      </c>
      <c r="B29" s="6" t="s">
        <v>48</v>
      </c>
      <c r="C29" s="6" t="s">
        <v>11</v>
      </c>
      <c r="D29" s="7" t="s">
        <v>118</v>
      </c>
      <c r="E29" s="8" t="s">
        <v>119</v>
      </c>
      <c r="F29" s="6" t="s">
        <v>120</v>
      </c>
      <c r="G29" s="9">
        <f>IF(A29=1,"_",IF(C29="_","???",C29))</f>
        <v/>
      </c>
      <c r="H29" s="10" t="s">
        <v>11</v>
      </c>
      <c r="I29" s="11" t="s">
        <v>11</v>
      </c>
      <c r="J29" s="12"/>
    </row>
    <row r="30" spans="1:10" ht="60" customHeight="1">
      <c r="A30" s="6" t="s">
        <v>121</v>
      </c>
      <c r="B30" s="6" t="s">
        <v>21</v>
      </c>
      <c r="C30" s="6" t="s">
        <v>30</v>
      </c>
      <c r="D30" s="7" t="s">
        <v>122</v>
      </c>
      <c r="E30" s="8" t="s">
        <v>123</v>
      </c>
      <c r="F30" s="6" t="s">
        <v>124</v>
      </c>
      <c r="G30" s="9">
        <f>IF(A30=1,"_",IF(C30="_","???",C30))</f>
        <v/>
      </c>
      <c r="H30" s="10" t="s">
        <v>11</v>
      </c>
      <c r="I30" s="11" t="s">
        <v>11</v>
      </c>
      <c r="J30" s="12"/>
    </row>
    <row r="31" spans="1:10" ht="60" customHeight="1">
      <c r="A31" s="6" t="s">
        <v>125</v>
      </c>
      <c r="B31" s="6" t="s">
        <v>20</v>
      </c>
      <c r="C31" s="6" t="s">
        <v>11</v>
      </c>
      <c r="D31" s="7" t="s">
        <v>126</v>
      </c>
      <c r="E31" s="8" t="s">
        <v>127</v>
      </c>
      <c r="F31" s="6" t="s">
        <v>128</v>
      </c>
      <c r="G31" s="9">
        <f>IF(A31=1,"_",IF(C31="_","???",C31))</f>
        <v/>
      </c>
      <c r="H31" s="10" t="s">
        <v>11</v>
      </c>
      <c r="I31" s="11" t="s">
        <v>11</v>
      </c>
      <c r="J31" s="12"/>
    </row>
    <row r="32" spans="1:10" ht="60" customHeight="1">
      <c r="A32" s="6" t="s">
        <v>129</v>
      </c>
      <c r="B32" s="6" t="s">
        <v>15</v>
      </c>
      <c r="C32" s="6" t="s">
        <v>11</v>
      </c>
      <c r="D32" s="7" t="s">
        <v>130</v>
      </c>
      <c r="E32" s="8" t="s">
        <v>131</v>
      </c>
      <c r="F32" s="6" t="s">
        <v>132</v>
      </c>
      <c r="G32" s="9">
        <f>IF(A32=1,"_",IF(C32="_","???",C32))</f>
        <v/>
      </c>
      <c r="H32" s="10" t="s">
        <v>11</v>
      </c>
      <c r="I32" s="11" t="s">
        <v>11</v>
      </c>
      <c r="J32" s="12"/>
    </row>
    <row r="33" spans="1:10" ht="60" customHeight="1">
      <c r="A33" s="6" t="s">
        <v>133</v>
      </c>
      <c r="B33" s="6" t="s">
        <v>20</v>
      </c>
      <c r="C33" s="6" t="s">
        <v>11</v>
      </c>
      <c r="D33" s="7" t="s">
        <v>134</v>
      </c>
      <c r="E33" s="8" t="s">
        <v>135</v>
      </c>
      <c r="F33" s="6" t="s">
        <v>136</v>
      </c>
      <c r="G33" s="9">
        <f>IF(A33=1,"_",IF(C33="_","???",C33))</f>
        <v/>
      </c>
      <c r="H33" s="10" t="s">
        <v>11</v>
      </c>
      <c r="I33" s="11" t="s">
        <v>11</v>
      </c>
      <c r="J33" s="12"/>
    </row>
    <row r="34" spans="1:10" ht="60" customHeight="1">
      <c r="A34" s="6" t="s">
        <v>137</v>
      </c>
      <c r="B34" s="6" t="s">
        <v>15</v>
      </c>
      <c r="C34" s="6" t="s">
        <v>11</v>
      </c>
      <c r="D34" s="7" t="s">
        <v>138</v>
      </c>
      <c r="E34" s="8" t="s">
        <v>139</v>
      </c>
      <c r="F34" s="6" t="s">
        <v>140</v>
      </c>
      <c r="G34" s="9">
        <f>IF(A34=1,"_",IF(C34="_","???",C34))</f>
        <v/>
      </c>
      <c r="H34" s="10" t="s">
        <v>11</v>
      </c>
      <c r="I34" s="11" t="s">
        <v>11</v>
      </c>
      <c r="J34" s="12"/>
    </row>
    <row r="35" spans="1:10" ht="60" customHeight="1">
      <c r="A35" s="6" t="s">
        <v>141</v>
      </c>
      <c r="B35" s="6" t="s">
        <v>68</v>
      </c>
      <c r="C35" s="6" t="s">
        <v>11</v>
      </c>
      <c r="D35" s="7" t="s">
        <v>142</v>
      </c>
      <c r="E35" s="8" t="s">
        <v>143</v>
      </c>
      <c r="F35" s="6" t="s">
        <v>144</v>
      </c>
      <c r="G35" s="9">
        <f>IF(A35=1,"_",IF(C35="_","???",C35))</f>
        <v/>
      </c>
      <c r="H35" s="10" t="s">
        <v>11</v>
      </c>
      <c r="I35" s="11" t="s">
        <v>11</v>
      </c>
      <c r="J35" s="12"/>
    </row>
    <row r="36" spans="1:10" ht="60" customHeight="1">
      <c r="A36" s="6" t="s">
        <v>145</v>
      </c>
      <c r="B36" s="6" t="s">
        <v>56</v>
      </c>
      <c r="C36" s="6" t="s">
        <v>11</v>
      </c>
      <c r="D36" s="7" t="s">
        <v>146</v>
      </c>
      <c r="E36" s="8" t="s">
        <v>147</v>
      </c>
      <c r="F36" s="6" t="s">
        <v>148</v>
      </c>
      <c r="G36" s="9">
        <f>IF(A36=1,"_",IF(C36="_","???",C36))</f>
        <v/>
      </c>
      <c r="H36" s="10" t="s">
        <v>11</v>
      </c>
      <c r="I36" s="11" t="s">
        <v>11</v>
      </c>
      <c r="J36" s="12"/>
    </row>
    <row r="37" spans="1:10" ht="60" customHeight="1">
      <c r="A37" s="6" t="s">
        <v>149</v>
      </c>
      <c r="B37" s="6" t="s">
        <v>41</v>
      </c>
      <c r="C37" s="6" t="s">
        <v>11</v>
      </c>
      <c r="D37" s="7" t="s">
        <v>150</v>
      </c>
      <c r="E37" s="8" t="s">
        <v>151</v>
      </c>
      <c r="F37" s="6" t="s">
        <v>152</v>
      </c>
      <c r="G37" s="9">
        <f>IF(A37=1,"_",IF(C37="_","???",C37))</f>
        <v/>
      </c>
      <c r="H37" s="10" t="s">
        <v>11</v>
      </c>
      <c r="I37" s="11" t="s">
        <v>11</v>
      </c>
      <c r="J37" s="12"/>
    </row>
    <row r="38" spans="1:10" ht="60" customHeight="1">
      <c r="A38" s="6" t="s">
        <v>153</v>
      </c>
      <c r="B38" s="6" t="s">
        <v>149</v>
      </c>
      <c r="C38" s="6" t="s">
        <v>11</v>
      </c>
      <c r="D38" s="7" t="s">
        <v>154</v>
      </c>
      <c r="E38" s="8" t="s">
        <v>155</v>
      </c>
      <c r="F38" s="6" t="s">
        <v>156</v>
      </c>
      <c r="G38" s="9">
        <f>IF(A38=1,"_",IF(C38="_","???",C38))</f>
        <v/>
      </c>
      <c r="H38" s="10" t="s">
        <v>11</v>
      </c>
      <c r="I38" s="11" t="s">
        <v>11</v>
      </c>
      <c r="J38" s="12"/>
    </row>
    <row r="39" spans="1:10" ht="60" customHeight="1">
      <c r="A39" s="6" t="s">
        <v>157</v>
      </c>
      <c r="B39" s="6" t="s">
        <v>94</v>
      </c>
      <c r="C39" s="6" t="s">
        <v>11</v>
      </c>
      <c r="D39" s="7" t="s">
        <v>158</v>
      </c>
      <c r="E39" s="8" t="s">
        <v>159</v>
      </c>
      <c r="F39" s="6" t="s">
        <v>160</v>
      </c>
      <c r="G39" s="9">
        <f>IF(A39=1,"_",IF(C39="_","???",C39))</f>
        <v/>
      </c>
      <c r="H39" s="10" t="s">
        <v>11</v>
      </c>
      <c r="I39" s="11" t="s">
        <v>11</v>
      </c>
      <c r="J39" s="12"/>
    </row>
    <row r="40" spans="1:10" ht="60" customHeight="1">
      <c r="A40" s="6" t="s">
        <v>161</v>
      </c>
      <c r="B40" s="6" t="s">
        <v>15</v>
      </c>
      <c r="C40" s="6" t="s">
        <v>162</v>
      </c>
      <c r="D40" s="7" t="s">
        <v>163</v>
      </c>
      <c r="E40" s="8" t="s">
        <v>164</v>
      </c>
      <c r="F40" s="6" t="s">
        <v>165</v>
      </c>
      <c r="G40" s="9">
        <f>IF(A40=1,"_",IF(C40="_","???",C40))</f>
        <v/>
      </c>
      <c r="H40" s="10" t="s">
        <v>11</v>
      </c>
      <c r="I40" s="11" t="s">
        <v>11</v>
      </c>
      <c r="J40" s="12"/>
    </row>
    <row r="41" spans="1:10" ht="60" customHeight="1">
      <c r="A41" s="6" t="s">
        <v>166</v>
      </c>
      <c r="B41" s="6" t="s">
        <v>16</v>
      </c>
      <c r="C41" s="6" t="s">
        <v>11</v>
      </c>
      <c r="D41" s="7" t="s">
        <v>134</v>
      </c>
      <c r="E41" s="8" t="s">
        <v>167</v>
      </c>
      <c r="F41" s="6" t="s">
        <v>168</v>
      </c>
      <c r="G41" s="9">
        <f>IF(A41=1,"_",IF(C41="_","???",C41))</f>
        <v/>
      </c>
      <c r="H41" s="10" t="s">
        <v>11</v>
      </c>
      <c r="I41" s="11" t="s">
        <v>11</v>
      </c>
      <c r="J41" s="12"/>
    </row>
    <row r="42" spans="1:10" ht="60" customHeight="1">
      <c r="A42" s="6" t="s">
        <v>169</v>
      </c>
      <c r="B42" s="6" t="s">
        <v>29</v>
      </c>
      <c r="C42" s="6" t="s">
        <v>11</v>
      </c>
      <c r="D42" s="7" t="s">
        <v>163</v>
      </c>
      <c r="E42" s="8" t="s">
        <v>170</v>
      </c>
      <c r="F42" s="6" t="s">
        <v>171</v>
      </c>
      <c r="G42" s="9">
        <f>IF(A42=1,"_",IF(C42="_","???",C42))</f>
        <v/>
      </c>
      <c r="H42" s="10" t="s">
        <v>11</v>
      </c>
      <c r="I42" s="11" t="s">
        <v>11</v>
      </c>
      <c r="J42" s="12"/>
    </row>
    <row r="43" spans="1:10" ht="60" customHeight="1">
      <c r="A43" s="6" t="s">
        <v>172</v>
      </c>
      <c r="B43" s="6" t="s">
        <v>76</v>
      </c>
      <c r="C43" s="6" t="s">
        <v>11</v>
      </c>
      <c r="D43" s="7" t="s">
        <v>173</v>
      </c>
      <c r="E43" s="8" t="s">
        <v>174</v>
      </c>
      <c r="F43" s="6" t="s">
        <v>175</v>
      </c>
      <c r="G43" s="9">
        <f>IF(A43=1,"_",IF(C43="_","???",C43))</f>
        <v/>
      </c>
      <c r="H43" s="10" t="s">
        <v>11</v>
      </c>
      <c r="I43" s="11" t="s">
        <v>11</v>
      </c>
      <c r="J43" s="12"/>
    </row>
    <row r="44" spans="1:10" ht="60" customHeight="1">
      <c r="A44" s="6" t="s">
        <v>176</v>
      </c>
      <c r="B44" s="6" t="s">
        <v>20</v>
      </c>
      <c r="C44" s="6" t="s">
        <v>11</v>
      </c>
      <c r="D44" s="7" t="s">
        <v>177</v>
      </c>
      <c r="E44" s="8" t="s">
        <v>178</v>
      </c>
      <c r="F44" s="6" t="s">
        <v>179</v>
      </c>
      <c r="G44" s="9">
        <f>IF(A44=1,"_",IF(C44="_","???",C44))</f>
        <v/>
      </c>
      <c r="H44" s="10" t="s">
        <v>11</v>
      </c>
      <c r="I44" s="11" t="s">
        <v>11</v>
      </c>
      <c r="J44" s="12"/>
    </row>
    <row r="45" spans="1:10" ht="60" customHeight="1">
      <c r="A45" s="6" t="s">
        <v>180</v>
      </c>
      <c r="B45" s="6" t="s">
        <v>21</v>
      </c>
      <c r="C45" s="6" t="s">
        <v>30</v>
      </c>
      <c r="D45" s="7" t="s">
        <v>181</v>
      </c>
      <c r="E45" s="8" t="s">
        <v>182</v>
      </c>
      <c r="F45" s="6" t="s">
        <v>183</v>
      </c>
      <c r="G45" s="9">
        <f>IF(A45=1,"_",IF(C45="_","???",C45))</f>
        <v/>
      </c>
      <c r="H45" s="10" t="s">
        <v>11</v>
      </c>
      <c r="I45" s="11" t="s">
        <v>11</v>
      </c>
      <c r="J45" s="12"/>
    </row>
    <row r="46" spans="1:10" ht="60" customHeight="1">
      <c r="A46" s="6" t="s">
        <v>184</v>
      </c>
      <c r="B46" s="6" t="s">
        <v>10</v>
      </c>
      <c r="C46" s="6" t="s">
        <v>11</v>
      </c>
      <c r="D46" s="7" t="s">
        <v>185</v>
      </c>
      <c r="E46" s="8" t="s">
        <v>186</v>
      </c>
      <c r="F46" s="6" t="s">
        <v>187</v>
      </c>
      <c r="G46" s="9">
        <f>IF(A46=1,"_",IF(C46="_","???",C46))</f>
        <v/>
      </c>
      <c r="H46" s="10" t="s">
        <v>11</v>
      </c>
      <c r="I46" s="11" t="s">
        <v>11</v>
      </c>
      <c r="J46" s="12"/>
    </row>
    <row r="47" spans="1:10" ht="60" customHeight="1">
      <c r="A47" s="6" t="s">
        <v>188</v>
      </c>
      <c r="B47" s="6" t="s">
        <v>45</v>
      </c>
      <c r="C47" s="6" t="s">
        <v>11</v>
      </c>
      <c r="D47" s="7" t="s">
        <v>189</v>
      </c>
      <c r="E47" s="8" t="s">
        <v>190</v>
      </c>
      <c r="F47" s="6" t="s">
        <v>191</v>
      </c>
      <c r="G47" s="9">
        <f>IF(A47=1,"_",IF(C47="_","???",C47))</f>
        <v/>
      </c>
      <c r="H47" s="10" t="s">
        <v>11</v>
      </c>
      <c r="I47" s="11" t="s">
        <v>11</v>
      </c>
      <c r="J47" s="12"/>
    </row>
    <row r="48" spans="1:10" ht="60" customHeight="1">
      <c r="A48" s="6" t="s">
        <v>192</v>
      </c>
      <c r="B48" s="6" t="s">
        <v>15</v>
      </c>
      <c r="C48" s="6" t="s">
        <v>11</v>
      </c>
      <c r="D48" s="7" t="s">
        <v>96</v>
      </c>
      <c r="E48" s="8" t="s">
        <v>193</v>
      </c>
      <c r="F48" s="6" t="s">
        <v>194</v>
      </c>
      <c r="G48" s="9">
        <f>IF(A48=1,"_",IF(C48="_","???",C48))</f>
        <v/>
      </c>
      <c r="H48" s="10" t="s">
        <v>11</v>
      </c>
      <c r="I48" s="11" t="s">
        <v>11</v>
      </c>
      <c r="J48" s="12"/>
    </row>
    <row r="49" spans="1:10" ht="60" customHeight="1">
      <c r="A49" s="6" t="s">
        <v>195</v>
      </c>
      <c r="B49" s="6" t="s">
        <v>15</v>
      </c>
      <c r="C49" s="6" t="s">
        <v>11</v>
      </c>
      <c r="D49" s="7" t="s">
        <v>189</v>
      </c>
      <c r="E49" s="8" t="s">
        <v>196</v>
      </c>
      <c r="F49" s="6" t="s">
        <v>197</v>
      </c>
      <c r="G49" s="9">
        <f>IF(A49=1,"_",IF(C49="_","???",C49))</f>
        <v/>
      </c>
      <c r="H49" s="10" t="s">
        <v>11</v>
      </c>
      <c r="I49" s="11" t="s">
        <v>11</v>
      </c>
      <c r="J49" s="12"/>
    </row>
    <row r="50" spans="1:10" ht="60" customHeight="1">
      <c r="A50" s="6" t="s">
        <v>198</v>
      </c>
      <c r="B50" s="6" t="s">
        <v>15</v>
      </c>
      <c r="C50" s="6" t="s">
        <v>11</v>
      </c>
      <c r="D50" s="7" t="s">
        <v>199</v>
      </c>
      <c r="E50" s="8" t="s">
        <v>200</v>
      </c>
      <c r="F50" s="6" t="s">
        <v>201</v>
      </c>
      <c r="G50" s="9">
        <f>IF(A50=1,"_",IF(C50="_","???",C50))</f>
        <v/>
      </c>
      <c r="H50" s="10" t="s">
        <v>11</v>
      </c>
      <c r="I50" s="11" t="s">
        <v>11</v>
      </c>
      <c r="J50" s="12"/>
    </row>
    <row r="51" spans="1:10" ht="60" customHeight="1">
      <c r="A51" s="6" t="s">
        <v>202</v>
      </c>
      <c r="B51" s="6" t="s">
        <v>20</v>
      </c>
      <c r="C51" s="6" t="s">
        <v>11</v>
      </c>
      <c r="D51" s="7" t="s">
        <v>203</v>
      </c>
      <c r="E51" s="8" t="s">
        <v>204</v>
      </c>
      <c r="F51" s="6" t="s">
        <v>205</v>
      </c>
      <c r="G51" s="9">
        <f>IF(A51=1,"_",IF(C51="_","???",C51))</f>
        <v/>
      </c>
      <c r="H51" s="10" t="s">
        <v>11</v>
      </c>
      <c r="I51" s="11" t="s">
        <v>11</v>
      </c>
      <c r="J51" s="12"/>
    </row>
    <row r="52" spans="1:10" ht="60" customHeight="1">
      <c r="A52" s="6" t="s">
        <v>206</v>
      </c>
      <c r="B52" s="6" t="s">
        <v>20</v>
      </c>
      <c r="C52" s="6" t="s">
        <v>11</v>
      </c>
      <c r="D52" s="7" t="s">
        <v>207</v>
      </c>
      <c r="E52" s="8" t="s">
        <v>208</v>
      </c>
      <c r="F52" s="6" t="s">
        <v>209</v>
      </c>
      <c r="G52" s="9">
        <f>IF(A52=1,"_",IF(C52="_","???",C52))</f>
        <v/>
      </c>
      <c r="H52" s="10" t="s">
        <v>11</v>
      </c>
      <c r="I52" s="11" t="s">
        <v>11</v>
      </c>
      <c r="J52" s="12"/>
    </row>
    <row r="53" spans="1:10" ht="60" customHeight="1">
      <c r="A53" s="6" t="s">
        <v>210</v>
      </c>
      <c r="B53" s="6" t="s">
        <v>15</v>
      </c>
      <c r="C53" s="6" t="s">
        <v>11</v>
      </c>
      <c r="D53" s="7" t="s">
        <v>211</v>
      </c>
      <c r="E53" s="8" t="s">
        <v>212</v>
      </c>
      <c r="F53" s="6" t="s">
        <v>213</v>
      </c>
      <c r="G53" s="9">
        <f>IF(A53=1,"_",IF(C53="_","???",C53))</f>
        <v/>
      </c>
      <c r="H53" s="10" t="s">
        <v>11</v>
      </c>
      <c r="I53" s="11" t="s">
        <v>11</v>
      </c>
      <c r="J53" s="12"/>
    </row>
    <row r="54" spans="1:10" ht="60" customHeight="1">
      <c r="A54" s="6" t="s">
        <v>214</v>
      </c>
      <c r="B54" s="6" t="s">
        <v>56</v>
      </c>
      <c r="C54" s="6" t="s">
        <v>11</v>
      </c>
      <c r="D54" s="7" t="s">
        <v>215</v>
      </c>
      <c r="E54" s="8" t="s">
        <v>216</v>
      </c>
      <c r="F54" s="6" t="s">
        <v>217</v>
      </c>
      <c r="G54" s="9">
        <f>IF(A54=1,"_",IF(C54="_","???",C54))</f>
        <v/>
      </c>
      <c r="H54" s="10" t="s">
        <v>11</v>
      </c>
      <c r="I54" s="11" t="s">
        <v>11</v>
      </c>
      <c r="J54" s="12"/>
    </row>
    <row r="55" spans="1:10" ht="60" customHeight="1">
      <c r="A55" s="6" t="s">
        <v>218</v>
      </c>
      <c r="B55" s="6" t="s">
        <v>20</v>
      </c>
      <c r="C55" s="6" t="s">
        <v>11</v>
      </c>
      <c r="D55" s="7" t="s">
        <v>219</v>
      </c>
      <c r="E55" s="8" t="s">
        <v>220</v>
      </c>
      <c r="F55" s="6" t="s">
        <v>221</v>
      </c>
      <c r="G55" s="9">
        <f>IF(A55=1,"_",IF(C55="_","???",C55))</f>
        <v/>
      </c>
      <c r="H55" s="10" t="s">
        <v>11</v>
      </c>
      <c r="I55" s="11" t="s">
        <v>11</v>
      </c>
      <c r="J55" s="12"/>
    </row>
    <row r="56" spans="1:10" ht="60" customHeight="1">
      <c r="A56" s="6" t="s">
        <v>222</v>
      </c>
      <c r="B56" s="6" t="s">
        <v>45</v>
      </c>
      <c r="C56" s="6" t="s">
        <v>11</v>
      </c>
      <c r="D56" s="7" t="s">
        <v>223</v>
      </c>
      <c r="E56" s="8" t="s">
        <v>224</v>
      </c>
      <c r="F56" s="6" t="s">
        <v>225</v>
      </c>
      <c r="G56" s="9">
        <f>IF(A56=1,"_",IF(C56="_","???",C56))</f>
        <v/>
      </c>
      <c r="H56" s="10" t="s">
        <v>11</v>
      </c>
      <c r="I56" s="11" t="s">
        <v>11</v>
      </c>
      <c r="J56" s="12"/>
    </row>
    <row r="57" spans="1:10" ht="60" customHeight="1">
      <c r="A57" s="6" t="s">
        <v>226</v>
      </c>
      <c r="B57" s="6" t="s">
        <v>15</v>
      </c>
      <c r="C57" s="6" t="s">
        <v>11</v>
      </c>
      <c r="D57" s="7" t="s">
        <v>134</v>
      </c>
      <c r="E57" s="8" t="s">
        <v>227</v>
      </c>
      <c r="F57" s="6" t="s">
        <v>228</v>
      </c>
      <c r="G57" s="9">
        <f>IF(A57=1,"_",IF(C57="_","???",C57))</f>
        <v/>
      </c>
      <c r="H57" s="10" t="s">
        <v>11</v>
      </c>
      <c r="I57" s="11" t="s">
        <v>11</v>
      </c>
      <c r="J57" s="12"/>
    </row>
    <row r="58" spans="1:10" ht="60" customHeight="1">
      <c r="A58" s="6" t="s">
        <v>229</v>
      </c>
      <c r="B58" s="6" t="s">
        <v>20</v>
      </c>
      <c r="C58" s="6" t="s">
        <v>11</v>
      </c>
      <c r="D58" s="7" t="s">
        <v>230</v>
      </c>
      <c r="E58" s="8" t="s">
        <v>231</v>
      </c>
      <c r="F58" s="6" t="s">
        <v>232</v>
      </c>
      <c r="G58" s="9">
        <f>IF(A58=1,"_",IF(C58="_","???",C58))</f>
        <v/>
      </c>
      <c r="H58" s="10" t="s">
        <v>11</v>
      </c>
      <c r="I58" s="11" t="s">
        <v>11</v>
      </c>
      <c r="J58" s="12"/>
    </row>
    <row r="59" spans="1:10" ht="60" customHeight="1">
      <c r="A59" s="6" t="s">
        <v>233</v>
      </c>
      <c r="B59" s="6" t="s">
        <v>15</v>
      </c>
      <c r="C59" s="6" t="s">
        <v>11</v>
      </c>
      <c r="D59" s="7" t="s">
        <v>234</v>
      </c>
      <c r="E59" s="8" t="s">
        <v>235</v>
      </c>
      <c r="F59" s="6" t="s">
        <v>236</v>
      </c>
      <c r="G59" s="9">
        <f>IF(A59=1,"_",IF(C59="_","???",C59))</f>
        <v/>
      </c>
      <c r="H59" s="10" t="s">
        <v>11</v>
      </c>
      <c r="I59" s="11" t="s">
        <v>11</v>
      </c>
      <c r="J59" s="12"/>
    </row>
    <row r="60" spans="1:10" ht="60" customHeight="1">
      <c r="A60" s="6" t="s">
        <v>237</v>
      </c>
      <c r="B60" s="6" t="s">
        <v>52</v>
      </c>
      <c r="C60" s="6" t="s">
        <v>11</v>
      </c>
      <c r="D60" s="7" t="s">
        <v>238</v>
      </c>
      <c r="E60" s="8" t="s">
        <v>239</v>
      </c>
      <c r="F60" s="6" t="s">
        <v>240</v>
      </c>
      <c r="G60" s="9">
        <f>IF(A60=1,"_",IF(C60="_","???",C60))</f>
        <v/>
      </c>
      <c r="H60" s="10" t="s">
        <v>11</v>
      </c>
      <c r="I60" s="11" t="s">
        <v>11</v>
      </c>
      <c r="J60" s="12"/>
    </row>
    <row r="61" spans="1:10" ht="60" customHeight="1">
      <c r="A61" s="6" t="s">
        <v>241</v>
      </c>
      <c r="B61" s="6" t="s">
        <v>41</v>
      </c>
      <c r="C61" s="6" t="s">
        <v>11</v>
      </c>
      <c r="D61" s="7" t="s">
        <v>242</v>
      </c>
      <c r="E61" s="8" t="s">
        <v>243</v>
      </c>
      <c r="F61" s="6" t="s">
        <v>244</v>
      </c>
      <c r="G61" s="9">
        <f>IF(A61=1,"_",IF(C61="_","???",C61))</f>
        <v/>
      </c>
      <c r="H61" s="10" t="s">
        <v>11</v>
      </c>
      <c r="I61" s="11" t="s">
        <v>11</v>
      </c>
      <c r="J61" s="12"/>
    </row>
    <row r="62" spans="1:10" ht="60" customHeight="1">
      <c r="A62" s="6" t="s">
        <v>245</v>
      </c>
      <c r="B62" s="6" t="s">
        <v>29</v>
      </c>
      <c r="C62" s="6" t="s">
        <v>11</v>
      </c>
      <c r="D62" s="7" t="s">
        <v>246</v>
      </c>
      <c r="E62" s="8" t="s">
        <v>247</v>
      </c>
      <c r="F62" s="6" t="s">
        <v>248</v>
      </c>
      <c r="G62" s="9">
        <f>IF(A62=1,"_",IF(C62="_","???",C62))</f>
        <v/>
      </c>
      <c r="H62" s="10" t="s">
        <v>11</v>
      </c>
      <c r="I62" s="11" t="s">
        <v>11</v>
      </c>
      <c r="J62" s="12"/>
    </row>
    <row r="63" spans="1:10" ht="60" customHeight="1">
      <c r="A63" s="6" t="s">
        <v>249</v>
      </c>
      <c r="B63" s="6" t="s">
        <v>10</v>
      </c>
      <c r="C63" s="6" t="s">
        <v>11</v>
      </c>
      <c r="D63" s="7" t="s">
        <v>185</v>
      </c>
      <c r="E63" s="8" t="s">
        <v>250</v>
      </c>
      <c r="F63" s="6" t="s">
        <v>251</v>
      </c>
      <c r="G63" s="9">
        <f>IF(A63=1,"_",IF(C63="_","???",C63))</f>
        <v/>
      </c>
      <c r="H63" s="10" t="s">
        <v>11</v>
      </c>
      <c r="I63" s="11" t="s">
        <v>11</v>
      </c>
      <c r="J63" s="12"/>
    </row>
    <row r="64" spans="1:10" ht="60" customHeight="1">
      <c r="A64" s="6" t="s">
        <v>252</v>
      </c>
      <c r="B64" s="6" t="s">
        <v>129</v>
      </c>
      <c r="C64" s="6" t="s">
        <v>11</v>
      </c>
      <c r="D64" s="7" t="s">
        <v>253</v>
      </c>
      <c r="E64" s="8" t="s">
        <v>254</v>
      </c>
      <c r="F64" s="6" t="s">
        <v>255</v>
      </c>
      <c r="G64" s="9">
        <f>IF(A64=1,"_",IF(C64="_","???",C64))</f>
        <v/>
      </c>
      <c r="H64" s="10" t="s">
        <v>11</v>
      </c>
      <c r="I64" s="11" t="s">
        <v>11</v>
      </c>
      <c r="J64" s="12"/>
    </row>
    <row r="65" spans="1:10" ht="60" customHeight="1">
      <c r="A65" s="6" t="s">
        <v>256</v>
      </c>
      <c r="B65" s="6" t="s">
        <v>15</v>
      </c>
      <c r="C65" s="6" t="s">
        <v>11</v>
      </c>
      <c r="D65" s="7" t="s">
        <v>257</v>
      </c>
      <c r="E65" s="8" t="s">
        <v>258</v>
      </c>
      <c r="F65" s="6" t="s">
        <v>259</v>
      </c>
      <c r="G65" s="9">
        <f>IF(A65=1,"_",IF(C65="_","???",C65))</f>
        <v/>
      </c>
      <c r="H65" s="10" t="s">
        <v>11</v>
      </c>
      <c r="I65" s="11" t="s">
        <v>11</v>
      </c>
      <c r="J65" s="12"/>
    </row>
    <row r="66" spans="1:10" ht="60" customHeight="1">
      <c r="A66" s="6" t="s">
        <v>260</v>
      </c>
      <c r="B66" s="6" t="s">
        <v>20</v>
      </c>
      <c r="C66" s="6" t="s">
        <v>11</v>
      </c>
      <c r="D66" s="7" t="s">
        <v>261</v>
      </c>
      <c r="E66" s="8" t="s">
        <v>262</v>
      </c>
      <c r="F66" s="6" t="s">
        <v>263</v>
      </c>
      <c r="G66" s="9">
        <f>IF(A66=1,"_",IF(C66="_","???",C66))</f>
        <v/>
      </c>
      <c r="H66" s="10" t="s">
        <v>11</v>
      </c>
      <c r="I66" s="11" t="s">
        <v>11</v>
      </c>
      <c r="J66" s="12"/>
    </row>
    <row r="67" spans="1:10" ht="60" customHeight="1">
      <c r="A67" s="6" t="s">
        <v>264</v>
      </c>
      <c r="B67" s="6" t="s">
        <v>15</v>
      </c>
      <c r="C67" s="6" t="s">
        <v>11</v>
      </c>
      <c r="D67" s="7" t="s">
        <v>265</v>
      </c>
      <c r="E67" s="8" t="s">
        <v>266</v>
      </c>
      <c r="F67" s="6" t="s">
        <v>267</v>
      </c>
      <c r="G67" s="9">
        <f>IF(A67=1,"_",IF(C67="_","???",C67))</f>
        <v/>
      </c>
      <c r="H67" s="10" t="s">
        <v>11</v>
      </c>
      <c r="I67" s="11" t="s">
        <v>11</v>
      </c>
      <c r="J67" s="12"/>
    </row>
    <row r="68" spans="1:10" ht="60" customHeight="1">
      <c r="A68" s="6" t="s">
        <v>268</v>
      </c>
      <c r="B68" s="6" t="s">
        <v>15</v>
      </c>
      <c r="C68" s="6" t="s">
        <v>11</v>
      </c>
      <c r="D68" s="7" t="s">
        <v>265</v>
      </c>
      <c r="E68" s="8" t="s">
        <v>269</v>
      </c>
      <c r="F68" s="6" t="s">
        <v>270</v>
      </c>
      <c r="G68" s="9">
        <f>IF(A68=1,"_",IF(C68="_","???",C68))</f>
        <v/>
      </c>
      <c r="H68" s="10" t="s">
        <v>11</v>
      </c>
      <c r="I68" s="11" t="s">
        <v>11</v>
      </c>
      <c r="J68" s="12"/>
    </row>
    <row r="69" spans="1:10" ht="60" customHeight="1">
      <c r="A69" s="6" t="s">
        <v>271</v>
      </c>
      <c r="B69" s="6" t="s">
        <v>10</v>
      </c>
      <c r="C69" s="6" t="s">
        <v>11</v>
      </c>
      <c r="D69" s="7" t="s">
        <v>272</v>
      </c>
      <c r="E69" s="8" t="s">
        <v>273</v>
      </c>
      <c r="F69" s="6" t="s">
        <v>274</v>
      </c>
      <c r="G69" s="9">
        <f>IF(A69=1,"_",IF(C69="_","???",C69))</f>
        <v/>
      </c>
      <c r="H69" s="10" t="s">
        <v>11</v>
      </c>
      <c r="I69" s="11" t="s">
        <v>11</v>
      </c>
      <c r="J69" s="12"/>
    </row>
    <row r="70" spans="1:10" ht="60" customHeight="1">
      <c r="A70" s="6" t="s">
        <v>275</v>
      </c>
      <c r="B70" s="6" t="s">
        <v>15</v>
      </c>
      <c r="C70" s="6" t="s">
        <v>11</v>
      </c>
      <c r="D70" s="7" t="s">
        <v>276</v>
      </c>
      <c r="E70" s="8" t="s">
        <v>277</v>
      </c>
      <c r="F70" s="6" t="s">
        <v>278</v>
      </c>
      <c r="G70" s="9">
        <f>IF(A70=1,"_",IF(C70="_","???",C70))</f>
        <v/>
      </c>
      <c r="H70" s="10" t="s">
        <v>11</v>
      </c>
      <c r="I70" s="11" t="s">
        <v>11</v>
      </c>
      <c r="J70" s="12"/>
    </row>
    <row r="71" spans="1:10" ht="60" customHeight="1">
      <c r="A71" s="6" t="s">
        <v>279</v>
      </c>
      <c r="B71" s="6" t="s">
        <v>34</v>
      </c>
      <c r="C71" s="6" t="s">
        <v>11</v>
      </c>
      <c r="D71" s="7" t="s">
        <v>280</v>
      </c>
      <c r="E71" s="8" t="s">
        <v>281</v>
      </c>
      <c r="F71" s="6" t="s">
        <v>282</v>
      </c>
      <c r="G71" s="9">
        <f>IF(A71=1,"_",IF(C71="_","???",C71))</f>
        <v/>
      </c>
      <c r="H71" s="10" t="s">
        <v>11</v>
      </c>
      <c r="I71" s="11" t="s">
        <v>11</v>
      </c>
      <c r="J71" s="12"/>
    </row>
    <row r="72" spans="1:10" ht="60" customHeight="1">
      <c r="A72" s="6" t="s">
        <v>283</v>
      </c>
      <c r="B72" s="6" t="s">
        <v>29</v>
      </c>
      <c r="C72" s="6" t="s">
        <v>11</v>
      </c>
      <c r="D72" s="7" t="s">
        <v>284</v>
      </c>
      <c r="E72" s="8" t="s">
        <v>285</v>
      </c>
      <c r="F72" s="6" t="s">
        <v>286</v>
      </c>
      <c r="G72" s="9">
        <f>IF(A72=1,"_",IF(C72="_","???",C72))</f>
        <v/>
      </c>
      <c r="H72" s="10" t="s">
        <v>11</v>
      </c>
      <c r="I72" s="11" t="s">
        <v>11</v>
      </c>
      <c r="J72" s="12"/>
    </row>
    <row r="73" spans="1:10" ht="60" customHeight="1">
      <c r="A73" s="6" t="s">
        <v>287</v>
      </c>
      <c r="B73" s="6" t="s">
        <v>21</v>
      </c>
      <c r="C73" s="6" t="s">
        <v>11</v>
      </c>
      <c r="D73" s="7" t="s">
        <v>288</v>
      </c>
      <c r="E73" s="8" t="s">
        <v>289</v>
      </c>
      <c r="F73" s="6" t="s">
        <v>290</v>
      </c>
      <c r="G73" s="9">
        <f>IF(A73=1,"_",IF(C73="_","???",C73))</f>
        <v/>
      </c>
      <c r="H73" s="10" t="s">
        <v>11</v>
      </c>
      <c r="I73" s="11" t="s">
        <v>11</v>
      </c>
      <c r="J73" s="12"/>
    </row>
    <row r="74" spans="1:10" ht="60" customHeight="1">
      <c r="A74" s="6" t="s">
        <v>291</v>
      </c>
      <c r="B74" s="6" t="s">
        <v>21</v>
      </c>
      <c r="C74" s="6" t="s">
        <v>11</v>
      </c>
      <c r="D74" s="7" t="s">
        <v>292</v>
      </c>
      <c r="E74" s="8" t="s">
        <v>293</v>
      </c>
      <c r="F74" s="6" t="s">
        <v>294</v>
      </c>
      <c r="G74" s="9">
        <f>IF(A74=1,"_",IF(C74="_","???",C74))</f>
        <v/>
      </c>
      <c r="H74" s="10" t="s">
        <v>11</v>
      </c>
      <c r="I74" s="11" t="s">
        <v>11</v>
      </c>
      <c r="J74" s="12"/>
    </row>
    <row r="75" spans="1:10" ht="60" customHeight="1">
      <c r="A75" s="6" t="s">
        <v>295</v>
      </c>
      <c r="B75" s="6" t="s">
        <v>20</v>
      </c>
      <c r="C75" s="6" t="s">
        <v>11</v>
      </c>
      <c r="D75" s="7" t="s">
        <v>296</v>
      </c>
      <c r="E75" s="8" t="s">
        <v>297</v>
      </c>
      <c r="F75" s="6" t="s">
        <v>298</v>
      </c>
      <c r="G75" s="9">
        <f>IF(A75=1,"_",IF(C75="_","???",C75))</f>
        <v/>
      </c>
      <c r="H75" s="10" t="s">
        <v>11</v>
      </c>
      <c r="I75" s="11" t="s">
        <v>11</v>
      </c>
      <c r="J75" s="12"/>
    </row>
    <row r="76" spans="1:10" ht="60" customHeight="1">
      <c r="A76" s="6" t="s">
        <v>299</v>
      </c>
      <c r="B76" s="6" t="s">
        <v>95</v>
      </c>
      <c r="C76" s="6" t="s">
        <v>11</v>
      </c>
      <c r="D76" s="7" t="s">
        <v>134</v>
      </c>
      <c r="E76" s="8" t="s">
        <v>300</v>
      </c>
      <c r="F76" s="6" t="s">
        <v>301</v>
      </c>
      <c r="G76" s="9">
        <f>IF(A76=1,"_",IF(C76="_","???",C76))</f>
        <v/>
      </c>
      <c r="H76" s="10" t="s">
        <v>11</v>
      </c>
      <c r="I76" s="11" t="s">
        <v>11</v>
      </c>
      <c r="J76" s="12"/>
    </row>
    <row r="77" spans="1:10" ht="60" customHeight="1">
      <c r="A77" s="6" t="s">
        <v>302</v>
      </c>
      <c r="B77" s="6" t="s">
        <v>15</v>
      </c>
      <c r="C77" s="6" t="s">
        <v>11</v>
      </c>
      <c r="D77" s="7" t="s">
        <v>303</v>
      </c>
      <c r="E77" s="8" t="s">
        <v>304</v>
      </c>
      <c r="F77" s="6" t="s">
        <v>305</v>
      </c>
      <c r="G77" s="9">
        <f>IF(A77=1,"_",IF(C77="_","???",C77))</f>
        <v/>
      </c>
      <c r="H77" s="10" t="s">
        <v>11</v>
      </c>
      <c r="I77" s="11" t="s">
        <v>11</v>
      </c>
      <c r="J77" s="12"/>
    </row>
    <row r="78" spans="1:10" ht="60" customHeight="1">
      <c r="A78" s="6" t="s">
        <v>306</v>
      </c>
      <c r="B78" s="6" t="s">
        <v>15</v>
      </c>
      <c r="C78" s="6" t="s">
        <v>11</v>
      </c>
      <c r="D78" s="7" t="s">
        <v>307</v>
      </c>
      <c r="E78" s="8" t="s">
        <v>308</v>
      </c>
      <c r="F78" s="6" t="s">
        <v>309</v>
      </c>
      <c r="G78" s="9">
        <f>IF(A78=1,"_",IF(C78="_","???",C78))</f>
        <v/>
      </c>
      <c r="H78" s="10" t="s">
        <v>11</v>
      </c>
      <c r="I78" s="11" t="s">
        <v>11</v>
      </c>
      <c r="J78" s="12"/>
    </row>
    <row r="79" spans="1:10" ht="60" customHeight="1">
      <c r="A79" s="6" t="s">
        <v>310</v>
      </c>
      <c r="B79" s="6" t="s">
        <v>41</v>
      </c>
      <c r="C79" s="6" t="s">
        <v>30</v>
      </c>
      <c r="D79" s="7" t="s">
        <v>130</v>
      </c>
      <c r="E79" s="8" t="s">
        <v>311</v>
      </c>
      <c r="F79" s="6" t="s">
        <v>312</v>
      </c>
      <c r="G79" s="9">
        <f>IF(A79=1,"_",IF(C79="_","???",C79))</f>
        <v/>
      </c>
      <c r="H79" s="10" t="s">
        <v>11</v>
      </c>
      <c r="I79" s="11" t="s">
        <v>11</v>
      </c>
      <c r="J79" s="12"/>
    </row>
    <row r="80" spans="1:10" ht="60" customHeight="1">
      <c r="A80" s="6" t="s">
        <v>313</v>
      </c>
      <c r="B80" s="6" t="s">
        <v>94</v>
      </c>
      <c r="C80" s="6" t="s">
        <v>11</v>
      </c>
      <c r="D80" s="7" t="s">
        <v>314</v>
      </c>
      <c r="E80" s="8" t="s">
        <v>315</v>
      </c>
      <c r="F80" s="6" t="s">
        <v>316</v>
      </c>
      <c r="G80" s="9">
        <f>IF(A80=1,"_",IF(C80="_","???",C80))</f>
        <v/>
      </c>
      <c r="H80" s="10" t="s">
        <v>11</v>
      </c>
      <c r="I80" s="11" t="s">
        <v>11</v>
      </c>
      <c r="J80" s="12"/>
    </row>
    <row r="81" spans="1:10" ht="60" customHeight="1">
      <c r="A81" s="6" t="s">
        <v>317</v>
      </c>
      <c r="B81" s="6" t="s">
        <v>29</v>
      </c>
      <c r="C81" s="6" t="s">
        <v>11</v>
      </c>
      <c r="D81" s="7" t="s">
        <v>318</v>
      </c>
      <c r="E81" s="8" t="s">
        <v>319</v>
      </c>
      <c r="F81" s="6" t="s">
        <v>320</v>
      </c>
      <c r="G81" s="9">
        <f>IF(A81=1,"_",IF(C81="_","???",C81))</f>
        <v/>
      </c>
      <c r="H81" s="10" t="s">
        <v>11</v>
      </c>
      <c r="I81" s="11" t="s">
        <v>11</v>
      </c>
      <c r="J81" s="12"/>
    </row>
    <row r="82" spans="1:10" ht="60" customHeight="1">
      <c r="A82" s="6" t="s">
        <v>321</v>
      </c>
      <c r="B82" s="6" t="s">
        <v>45</v>
      </c>
      <c r="C82" s="6" t="s">
        <v>11</v>
      </c>
      <c r="D82" s="7" t="s">
        <v>38</v>
      </c>
      <c r="E82" s="8" t="s">
        <v>322</v>
      </c>
      <c r="F82" s="6" t="s">
        <v>323</v>
      </c>
      <c r="G82" s="9">
        <f>IF(A82=1,"_",IF(C82="_","???",C82))</f>
        <v/>
      </c>
      <c r="H82" s="10" t="s">
        <v>11</v>
      </c>
      <c r="I82" s="11" t="s">
        <v>11</v>
      </c>
      <c r="J82" s="12"/>
    </row>
    <row r="83" spans="1:10" ht="60" customHeight="1">
      <c r="A83" s="6" t="s">
        <v>324</v>
      </c>
      <c r="B83" s="6" t="s">
        <v>20</v>
      </c>
      <c r="C83" s="6" t="s">
        <v>11</v>
      </c>
      <c r="D83" s="7" t="s">
        <v>325</v>
      </c>
      <c r="E83" s="8" t="s">
        <v>326</v>
      </c>
      <c r="F83" s="6" t="s">
        <v>327</v>
      </c>
      <c r="G83" s="9">
        <f>IF(A83=1,"_",IF(C83="_","???",C83))</f>
        <v/>
      </c>
      <c r="H83" s="10" t="s">
        <v>11</v>
      </c>
      <c r="I83" s="11" t="s">
        <v>11</v>
      </c>
      <c r="J83" s="12"/>
    </row>
    <row r="84" spans="1:10" ht="60" customHeight="1">
      <c r="A84" s="6" t="s">
        <v>328</v>
      </c>
      <c r="B84" s="6" t="s">
        <v>21</v>
      </c>
      <c r="C84" s="6" t="s">
        <v>11</v>
      </c>
      <c r="D84" s="7" t="s">
        <v>38</v>
      </c>
      <c r="E84" s="8" t="s">
        <v>329</v>
      </c>
      <c r="F84" s="6" t="s">
        <v>330</v>
      </c>
      <c r="G84" s="9">
        <f>IF(A84=1,"_",IF(C84="_","???",C84))</f>
        <v/>
      </c>
      <c r="H84" s="10" t="s">
        <v>11</v>
      </c>
      <c r="I84" s="11" t="s">
        <v>11</v>
      </c>
      <c r="J84" s="12"/>
    </row>
    <row r="85" spans="1:10" ht="60" customHeight="1">
      <c r="A85" s="6" t="s">
        <v>331</v>
      </c>
      <c r="B85" s="6" t="s">
        <v>15</v>
      </c>
      <c r="C85" s="6" t="s">
        <v>11</v>
      </c>
      <c r="D85" s="7" t="s">
        <v>332</v>
      </c>
      <c r="E85" s="8" t="s">
        <v>333</v>
      </c>
      <c r="F85" s="6" t="s">
        <v>334</v>
      </c>
      <c r="G85" s="9">
        <f>IF(A85=1,"_",IF(C85="_","???",C85))</f>
        <v/>
      </c>
      <c r="H85" s="10" t="s">
        <v>11</v>
      </c>
      <c r="I85" s="11" t="s">
        <v>11</v>
      </c>
      <c r="J85" s="12"/>
    </row>
    <row r="86" spans="1:10" ht="60" customHeight="1">
      <c r="A86" s="6" t="s">
        <v>335</v>
      </c>
      <c r="B86" s="6" t="s">
        <v>20</v>
      </c>
      <c r="C86" s="6" t="s">
        <v>11</v>
      </c>
      <c r="D86" s="7" t="s">
        <v>336</v>
      </c>
      <c r="E86" s="8" t="s">
        <v>337</v>
      </c>
      <c r="F86" s="6" t="s">
        <v>338</v>
      </c>
      <c r="G86" s="9">
        <f>IF(A86=1,"_",IF(C86="_","???",C86))</f>
        <v/>
      </c>
      <c r="H86" s="10" t="s">
        <v>11</v>
      </c>
      <c r="I86" s="11" t="s">
        <v>11</v>
      </c>
      <c r="J86" s="12"/>
    </row>
    <row r="87" spans="1:10" ht="60" customHeight="1">
      <c r="A87" s="6" t="s">
        <v>339</v>
      </c>
      <c r="B87" s="6" t="s">
        <v>15</v>
      </c>
      <c r="C87" s="6" t="s">
        <v>11</v>
      </c>
      <c r="D87" s="7" t="s">
        <v>340</v>
      </c>
      <c r="E87" s="8" t="s">
        <v>341</v>
      </c>
      <c r="F87" s="6" t="s">
        <v>342</v>
      </c>
      <c r="G87" s="9">
        <f>IF(A87=1,"_",IF(C87="_","???",C87))</f>
        <v/>
      </c>
      <c r="H87" s="10" t="s">
        <v>11</v>
      </c>
      <c r="I87" s="11" t="s">
        <v>11</v>
      </c>
      <c r="J87" s="12"/>
    </row>
    <row r="88" spans="1:10" ht="60" customHeight="1">
      <c r="A88" s="6" t="s">
        <v>343</v>
      </c>
      <c r="B88" s="6" t="s">
        <v>34</v>
      </c>
      <c r="C88" s="6" t="s">
        <v>11</v>
      </c>
      <c r="D88" s="7" t="s">
        <v>344</v>
      </c>
      <c r="E88" s="8" t="s">
        <v>345</v>
      </c>
      <c r="F88" s="6" t="s">
        <v>346</v>
      </c>
      <c r="G88" s="9">
        <f>IF(A88=1,"_",IF(C88="_","???",C88))</f>
        <v/>
      </c>
      <c r="H88" s="10" t="s">
        <v>11</v>
      </c>
      <c r="I88" s="11" t="s">
        <v>11</v>
      </c>
      <c r="J88" s="12"/>
    </row>
    <row r="89" spans="1:10" ht="60" customHeight="1">
      <c r="A89" s="6" t="s">
        <v>347</v>
      </c>
      <c r="B89" s="6" t="s">
        <v>52</v>
      </c>
      <c r="C89" s="6" t="s">
        <v>11</v>
      </c>
      <c r="D89" s="7" t="s">
        <v>348</v>
      </c>
      <c r="E89" s="8" t="s">
        <v>349</v>
      </c>
      <c r="F89" s="6" t="s">
        <v>350</v>
      </c>
      <c r="G89" s="9">
        <f>IF(A89=1,"_",IF(C89="_","???",C89))</f>
        <v/>
      </c>
      <c r="H89" s="10" t="s">
        <v>11</v>
      </c>
      <c r="I89" s="11" t="s">
        <v>11</v>
      </c>
      <c r="J89" s="12"/>
    </row>
    <row r="90" spans="1:10" ht="60" customHeight="1">
      <c r="A90" s="6" t="s">
        <v>351</v>
      </c>
      <c r="B90" s="6" t="s">
        <v>15</v>
      </c>
      <c r="C90" s="6" t="s">
        <v>11</v>
      </c>
      <c r="D90" s="7" t="s">
        <v>352</v>
      </c>
      <c r="E90" s="8" t="s">
        <v>353</v>
      </c>
      <c r="F90" s="6" t="s">
        <v>354</v>
      </c>
      <c r="G90" s="9">
        <f>IF(A90=1,"_",IF(C90="_","???",C90))</f>
        <v/>
      </c>
      <c r="H90" s="10" t="s">
        <v>11</v>
      </c>
      <c r="I90" s="11" t="s">
        <v>11</v>
      </c>
      <c r="J90" s="12"/>
    </row>
    <row r="91" spans="1:10" ht="60" customHeight="1">
      <c r="A91" s="6" t="s">
        <v>355</v>
      </c>
      <c r="B91" s="6" t="s">
        <v>20</v>
      </c>
      <c r="C91" s="6" t="s">
        <v>11</v>
      </c>
      <c r="D91" s="7" t="s">
        <v>356</v>
      </c>
      <c r="E91" s="8" t="s">
        <v>357</v>
      </c>
      <c r="F91" s="6" t="s">
        <v>358</v>
      </c>
      <c r="G91" s="9">
        <f>IF(A91=1,"_",IF(C91="_","???",C91))</f>
        <v/>
      </c>
      <c r="H91" s="10" t="s">
        <v>11</v>
      </c>
      <c r="I91" s="11" t="s">
        <v>11</v>
      </c>
      <c r="J91" s="12"/>
    </row>
    <row r="92" spans="1:10" ht="60" customHeight="1">
      <c r="A92" s="6" t="s">
        <v>359</v>
      </c>
      <c r="B92" s="6" t="s">
        <v>29</v>
      </c>
      <c r="C92" s="6" t="s">
        <v>11</v>
      </c>
      <c r="D92" s="7" t="s">
        <v>177</v>
      </c>
      <c r="E92" s="8" t="s">
        <v>360</v>
      </c>
      <c r="F92" s="6" t="s">
        <v>361</v>
      </c>
      <c r="G92" s="9">
        <f>IF(A92=1,"_",IF(C92="_","???",C92))</f>
        <v/>
      </c>
      <c r="H92" s="10" t="s">
        <v>11</v>
      </c>
      <c r="I92" s="11" t="s">
        <v>11</v>
      </c>
      <c r="J92" s="12"/>
    </row>
    <row r="93" spans="1:10" ht="60" customHeight="1">
      <c r="A93" s="6" t="s">
        <v>362</v>
      </c>
      <c r="B93" s="6" t="s">
        <v>20</v>
      </c>
      <c r="C93" s="6" t="s">
        <v>11</v>
      </c>
      <c r="D93" s="7" t="s">
        <v>257</v>
      </c>
      <c r="E93" s="8" t="s">
        <v>363</v>
      </c>
      <c r="F93" s="6" t="s">
        <v>364</v>
      </c>
      <c r="G93" s="9">
        <f>IF(A93=1,"_",IF(C93="_","???",C93))</f>
        <v/>
      </c>
      <c r="H93" s="10" t="s">
        <v>11</v>
      </c>
      <c r="I93" s="11" t="s">
        <v>11</v>
      </c>
      <c r="J93" s="12"/>
    </row>
    <row r="94" spans="1:10" ht="60" customHeight="1">
      <c r="A94" s="6" t="s">
        <v>365</v>
      </c>
      <c r="B94" s="6" t="s">
        <v>15</v>
      </c>
      <c r="C94" s="6" t="s">
        <v>30</v>
      </c>
      <c r="D94" s="7" t="s">
        <v>366</v>
      </c>
      <c r="E94" s="8" t="s">
        <v>367</v>
      </c>
      <c r="F94" s="6" t="s">
        <v>368</v>
      </c>
      <c r="G94" s="9">
        <f>IF(A94=1,"_",IF(C94="_","???",C94))</f>
        <v/>
      </c>
      <c r="H94" s="10" t="s">
        <v>11</v>
      </c>
      <c r="I94" s="11" t="s">
        <v>11</v>
      </c>
      <c r="J94" s="12"/>
    </row>
    <row r="95" spans="1:10" ht="60" customHeight="1">
      <c r="A95" s="6" t="s">
        <v>369</v>
      </c>
      <c r="B95" s="6" t="s">
        <v>10</v>
      </c>
      <c r="C95" s="6" t="s">
        <v>11</v>
      </c>
      <c r="D95" s="7" t="s">
        <v>185</v>
      </c>
      <c r="E95" s="8" t="s">
        <v>370</v>
      </c>
      <c r="F95" s="6" t="s">
        <v>371</v>
      </c>
      <c r="G95" s="9">
        <f>IF(A95=1,"_",IF(C95="_","???",C95))</f>
        <v/>
      </c>
      <c r="H95" s="10" t="s">
        <v>11</v>
      </c>
      <c r="I95" s="11" t="s">
        <v>11</v>
      </c>
      <c r="J95" s="12"/>
    </row>
    <row r="96" spans="1:10" ht="60" customHeight="1">
      <c r="A96" s="6" t="s">
        <v>372</v>
      </c>
      <c r="B96" s="6" t="s">
        <v>15</v>
      </c>
      <c r="C96" s="6" t="s">
        <v>11</v>
      </c>
      <c r="D96" s="7" t="s">
        <v>373</v>
      </c>
      <c r="E96" s="8" t="s">
        <v>374</v>
      </c>
      <c r="F96" s="6" t="s">
        <v>375</v>
      </c>
      <c r="G96" s="9">
        <f>IF(A96=1,"_",IF(C96="_","???",C96))</f>
        <v/>
      </c>
      <c r="H96" s="10" t="s">
        <v>11</v>
      </c>
      <c r="I96" s="11" t="s">
        <v>11</v>
      </c>
      <c r="J96" s="12"/>
    </row>
    <row r="97" spans="1:10" ht="60" customHeight="1">
      <c r="A97" s="6" t="s">
        <v>376</v>
      </c>
      <c r="B97" s="6" t="s">
        <v>56</v>
      </c>
      <c r="C97" s="6" t="s">
        <v>11</v>
      </c>
      <c r="D97" s="7" t="s">
        <v>211</v>
      </c>
      <c r="E97" s="8" t="s">
        <v>377</v>
      </c>
      <c r="F97" s="6" t="s">
        <v>378</v>
      </c>
      <c r="G97" s="9">
        <f>IF(A97=1,"_",IF(C97="_","???",C97))</f>
        <v/>
      </c>
      <c r="H97" s="10" t="s">
        <v>11</v>
      </c>
      <c r="I97" s="11" t="s">
        <v>11</v>
      </c>
      <c r="J97" s="12"/>
    </row>
    <row r="98" spans="1:10" ht="60" customHeight="1">
      <c r="A98" s="6" t="s">
        <v>379</v>
      </c>
      <c r="B98" s="6" t="s">
        <v>45</v>
      </c>
      <c r="C98" s="6" t="s">
        <v>11</v>
      </c>
      <c r="D98" s="7" t="s">
        <v>142</v>
      </c>
      <c r="E98" s="8" t="s">
        <v>380</v>
      </c>
      <c r="F98" s="6" t="s">
        <v>381</v>
      </c>
      <c r="G98" s="9">
        <f>IF(A98=1,"_",IF(C98="_","???",C98))</f>
        <v/>
      </c>
      <c r="H98" s="10" t="s">
        <v>11</v>
      </c>
      <c r="I98" s="11" t="s">
        <v>11</v>
      </c>
      <c r="J98" s="12"/>
    </row>
    <row r="99" spans="1:10" ht="60" customHeight="1">
      <c r="A99" s="6" t="s">
        <v>382</v>
      </c>
      <c r="B99" s="6" t="s">
        <v>15</v>
      </c>
      <c r="C99" s="6" t="s">
        <v>11</v>
      </c>
      <c r="D99" s="7" t="s">
        <v>96</v>
      </c>
      <c r="E99" s="8" t="s">
        <v>383</v>
      </c>
      <c r="F99" s="6" t="s">
        <v>384</v>
      </c>
      <c r="G99" s="9">
        <f>IF(A99=1,"_",IF(C99="_","???",C99))</f>
        <v/>
      </c>
      <c r="H99" s="10" t="s">
        <v>11</v>
      </c>
      <c r="I99" s="11" t="s">
        <v>11</v>
      </c>
      <c r="J99" s="12"/>
    </row>
    <row r="100" spans="1:10" ht="60" customHeight="1">
      <c r="A100" s="6" t="s">
        <v>385</v>
      </c>
      <c r="B100" s="6" t="s">
        <v>21</v>
      </c>
      <c r="C100" s="6" t="s">
        <v>11</v>
      </c>
      <c r="D100" s="7" t="s">
        <v>96</v>
      </c>
      <c r="E100" s="8" t="s">
        <v>386</v>
      </c>
      <c r="F100" s="6" t="s">
        <v>387</v>
      </c>
      <c r="G100" s="9">
        <f>IF(A100=1,"_",IF(C100="_","???",C100))</f>
        <v/>
      </c>
      <c r="H100" s="10" t="s">
        <v>11</v>
      </c>
      <c r="I100" s="11" t="s">
        <v>11</v>
      </c>
      <c r="J100" s="12"/>
    </row>
    <row r="101" spans="1:10" ht="60" customHeight="1">
      <c r="A101" s="6" t="s">
        <v>388</v>
      </c>
      <c r="B101" s="6" t="s">
        <v>15</v>
      </c>
      <c r="C101" s="6" t="s">
        <v>11</v>
      </c>
      <c r="D101" s="7" t="s">
        <v>389</v>
      </c>
      <c r="E101" s="8" t="s">
        <v>390</v>
      </c>
      <c r="F101" s="6" t="s">
        <v>391</v>
      </c>
      <c r="G101" s="9">
        <f>IF(A101=1,"_",IF(C101="_","???",C101))</f>
        <v/>
      </c>
      <c r="H101" s="10" t="s">
        <v>11</v>
      </c>
      <c r="I101" s="11" t="s">
        <v>11</v>
      </c>
      <c r="J101" s="12"/>
    </row>
    <row r="102" spans="1:10" ht="60" customHeight="1">
      <c r="A102" s="6" t="s">
        <v>392</v>
      </c>
      <c r="B102" s="6" t="s">
        <v>20</v>
      </c>
      <c r="C102" s="6" t="s">
        <v>11</v>
      </c>
      <c r="D102" s="7" t="s">
        <v>393</v>
      </c>
      <c r="E102" s="8" t="s">
        <v>394</v>
      </c>
      <c r="F102" s="6" t="s">
        <v>395</v>
      </c>
      <c r="G102" s="9">
        <f>IF(A102=1,"_",IF(C102="_","???",C102))</f>
        <v/>
      </c>
      <c r="H102" s="10" t="s">
        <v>11</v>
      </c>
      <c r="I102" s="11" t="s">
        <v>11</v>
      </c>
      <c r="J102" s="12"/>
    </row>
    <row r="103" spans="1:10" ht="60" customHeight="1">
      <c r="A103" s="6" t="s">
        <v>396</v>
      </c>
      <c r="B103" s="6" t="s">
        <v>15</v>
      </c>
      <c r="C103" s="6" t="s">
        <v>11</v>
      </c>
      <c r="D103" s="7" t="s">
        <v>397</v>
      </c>
      <c r="E103" s="8" t="s">
        <v>398</v>
      </c>
      <c r="F103" s="6" t="s">
        <v>399</v>
      </c>
      <c r="G103" s="9">
        <f>IF(A103=1,"_",IF(C103="_","???",C103))</f>
        <v/>
      </c>
      <c r="H103" s="10" t="s">
        <v>11</v>
      </c>
      <c r="I103" s="11" t="s">
        <v>11</v>
      </c>
      <c r="J103" s="12"/>
    </row>
    <row r="104" spans="1:10" ht="60" customHeight="1">
      <c r="A104" s="6" t="s">
        <v>400</v>
      </c>
      <c r="B104" s="6" t="s">
        <v>20</v>
      </c>
      <c r="C104" s="6" t="s">
        <v>11</v>
      </c>
      <c r="D104" s="7" t="s">
        <v>401</v>
      </c>
      <c r="E104" s="8" t="s">
        <v>402</v>
      </c>
      <c r="F104" s="6" t="s">
        <v>403</v>
      </c>
      <c r="G104" s="9">
        <f>IF(A104=1,"_",IF(C104="_","???",C104))</f>
        <v/>
      </c>
      <c r="H104" s="10" t="s">
        <v>11</v>
      </c>
      <c r="I104" s="11" t="s">
        <v>11</v>
      </c>
      <c r="J104" s="12"/>
    </row>
    <row r="105" spans="1:10" ht="60" customHeight="1">
      <c r="A105" s="6" t="s">
        <v>404</v>
      </c>
      <c r="B105" s="6" t="s">
        <v>20</v>
      </c>
      <c r="C105" s="6" t="s">
        <v>11</v>
      </c>
      <c r="D105" s="7" t="s">
        <v>405</v>
      </c>
      <c r="E105" s="8" t="s">
        <v>406</v>
      </c>
      <c r="F105" s="6" t="s">
        <v>407</v>
      </c>
      <c r="G105" s="9">
        <f>IF(A105=1,"_",IF(C105="_","???",C105))</f>
        <v/>
      </c>
      <c r="H105" s="10" t="s">
        <v>11</v>
      </c>
      <c r="I105" s="11" t="s">
        <v>11</v>
      </c>
      <c r="J105" s="12"/>
    </row>
    <row r="106" spans="1:10" ht="60" customHeight="1">
      <c r="A106" s="6" t="s">
        <v>408</v>
      </c>
      <c r="B106" s="6" t="s">
        <v>34</v>
      </c>
      <c r="C106" s="6" t="s">
        <v>11</v>
      </c>
      <c r="D106" s="7" t="s">
        <v>230</v>
      </c>
      <c r="E106" s="8" t="s">
        <v>409</v>
      </c>
      <c r="F106" s="6" t="s">
        <v>410</v>
      </c>
      <c r="G106" s="9">
        <f>IF(A106=1,"_",IF(C106="_","???",C106))</f>
        <v/>
      </c>
      <c r="H106" s="10" t="s">
        <v>11</v>
      </c>
      <c r="I106" s="11" t="s">
        <v>11</v>
      </c>
      <c r="J106" s="12"/>
    </row>
    <row r="107" spans="1:10" ht="60" customHeight="1">
      <c r="A107" s="6" t="s">
        <v>411</v>
      </c>
      <c r="B107" s="6" t="s">
        <v>15</v>
      </c>
      <c r="C107" s="6" t="s">
        <v>11</v>
      </c>
      <c r="D107" s="7" t="s">
        <v>412</v>
      </c>
      <c r="E107" s="8" t="s">
        <v>413</v>
      </c>
      <c r="F107" s="6" t="s">
        <v>414</v>
      </c>
      <c r="G107" s="9">
        <f>IF(A107=1,"_",IF(C107="_","???",C107))</f>
        <v/>
      </c>
      <c r="H107" s="10" t="s">
        <v>11</v>
      </c>
      <c r="I107" s="11" t="s">
        <v>11</v>
      </c>
      <c r="J107" s="12"/>
    </row>
    <row r="108" spans="1:10" ht="60" customHeight="1">
      <c r="A108" s="6" t="s">
        <v>415</v>
      </c>
      <c r="B108" s="6" t="s">
        <v>10</v>
      </c>
      <c r="C108" s="6" t="s">
        <v>11</v>
      </c>
      <c r="D108" s="7" t="s">
        <v>416</v>
      </c>
      <c r="E108" s="8" t="s">
        <v>417</v>
      </c>
      <c r="F108" s="6" t="s">
        <v>418</v>
      </c>
      <c r="G108" s="9">
        <f>IF(A108=1,"_",IF(C108="_","???",C108))</f>
        <v/>
      </c>
      <c r="H108" s="10" t="s">
        <v>11</v>
      </c>
      <c r="I108" s="11" t="s">
        <v>11</v>
      </c>
      <c r="J108" s="12"/>
    </row>
    <row r="109" spans="1:10" ht="60" customHeight="1">
      <c r="A109" s="6" t="s">
        <v>419</v>
      </c>
      <c r="B109" s="6" t="s">
        <v>29</v>
      </c>
      <c r="C109" s="6" t="s">
        <v>11</v>
      </c>
      <c r="D109" s="7" t="s">
        <v>296</v>
      </c>
      <c r="E109" s="8" t="s">
        <v>420</v>
      </c>
      <c r="F109" s="6" t="s">
        <v>421</v>
      </c>
      <c r="G109" s="9">
        <f>IF(A109=1,"_",IF(C109="_","???",C109))</f>
        <v/>
      </c>
      <c r="H109" s="10" t="s">
        <v>11</v>
      </c>
      <c r="I109" s="11" t="s">
        <v>11</v>
      </c>
      <c r="J109" s="12"/>
    </row>
    <row r="110" spans="1:10" ht="60" customHeight="1">
      <c r="A110" s="6" t="s">
        <v>422</v>
      </c>
      <c r="B110" s="6" t="s">
        <v>20</v>
      </c>
      <c r="C110" s="6" t="s">
        <v>11</v>
      </c>
      <c r="D110" s="7" t="s">
        <v>423</v>
      </c>
      <c r="E110" s="8" t="s">
        <v>424</v>
      </c>
      <c r="F110" s="6" t="s">
        <v>425</v>
      </c>
      <c r="G110" s="9">
        <f>IF(A110=1,"_",IF(C110="_","???",C110))</f>
        <v/>
      </c>
      <c r="H110" s="10" t="s">
        <v>11</v>
      </c>
      <c r="I110" s="11" t="s">
        <v>11</v>
      </c>
      <c r="J110" s="12"/>
    </row>
    <row r="111" spans="1:10" ht="60" customHeight="1">
      <c r="A111" s="6" t="s">
        <v>426</v>
      </c>
      <c r="B111" s="6" t="s">
        <v>15</v>
      </c>
      <c r="C111" s="6" t="s">
        <v>11</v>
      </c>
      <c r="D111" s="7" t="s">
        <v>427</v>
      </c>
      <c r="E111" s="8" t="s">
        <v>428</v>
      </c>
      <c r="F111" s="6" t="s">
        <v>429</v>
      </c>
      <c r="G111" s="9">
        <f>IF(A111=1,"_",IF(C111="_","???",C111))</f>
        <v/>
      </c>
      <c r="H111" s="10" t="s">
        <v>11</v>
      </c>
      <c r="I111" s="11" t="s">
        <v>11</v>
      </c>
      <c r="J111" s="12"/>
    </row>
    <row r="112" spans="1:10" ht="60" customHeight="1">
      <c r="A112" s="6" t="s">
        <v>430</v>
      </c>
      <c r="B112" s="6" t="s">
        <v>10</v>
      </c>
      <c r="C112" s="6" t="s">
        <v>11</v>
      </c>
      <c r="D112" s="7" t="s">
        <v>185</v>
      </c>
      <c r="E112" s="8" t="s">
        <v>431</v>
      </c>
      <c r="F112" s="6" t="s">
        <v>432</v>
      </c>
      <c r="G112" s="9">
        <f>IF(A112=1,"_",IF(C112="_","???",C112))</f>
        <v/>
      </c>
      <c r="H112" s="10" t="s">
        <v>11</v>
      </c>
      <c r="I112" s="11" t="s">
        <v>11</v>
      </c>
      <c r="J112" s="12"/>
    </row>
    <row r="113" spans="1:10" ht="60" customHeight="1">
      <c r="A113" s="6" t="s">
        <v>433</v>
      </c>
      <c r="B113" s="6" t="s">
        <v>34</v>
      </c>
      <c r="C113" s="6" t="s">
        <v>30</v>
      </c>
      <c r="D113" s="7" t="s">
        <v>434</v>
      </c>
      <c r="E113" s="8" t="s">
        <v>435</v>
      </c>
      <c r="F113" s="6" t="s">
        <v>436</v>
      </c>
      <c r="G113" s="9">
        <f>IF(A113=1,"_",IF(C113="_","???",C113))</f>
        <v/>
      </c>
      <c r="H113" s="10" t="s">
        <v>11</v>
      </c>
      <c r="I113" s="11" t="s">
        <v>11</v>
      </c>
      <c r="J113" s="12"/>
    </row>
    <row r="114" spans="1:10" ht="60" customHeight="1">
      <c r="A114" s="6" t="s">
        <v>437</v>
      </c>
      <c r="B114" s="6" t="s">
        <v>21</v>
      </c>
      <c r="C114" s="6" t="s">
        <v>11</v>
      </c>
      <c r="D114" s="7" t="s">
        <v>163</v>
      </c>
      <c r="E114" s="8" t="s">
        <v>438</v>
      </c>
      <c r="F114" s="6" t="s">
        <v>439</v>
      </c>
      <c r="G114" s="9">
        <f>IF(A114=1,"_",IF(C114="_","???",C114))</f>
        <v/>
      </c>
      <c r="H114" s="10" t="s">
        <v>11</v>
      </c>
      <c r="I114" s="11" t="s">
        <v>11</v>
      </c>
      <c r="J114" s="12"/>
    </row>
    <row r="115" spans="1:10" ht="60" customHeight="1">
      <c r="A115" s="6" t="s">
        <v>440</v>
      </c>
      <c r="B115" s="6" t="s">
        <v>68</v>
      </c>
      <c r="C115" s="6" t="s">
        <v>11</v>
      </c>
      <c r="D115" s="7" t="s">
        <v>441</v>
      </c>
      <c r="E115" s="8" t="s">
        <v>442</v>
      </c>
      <c r="F115" s="6" t="s">
        <v>443</v>
      </c>
      <c r="G115" s="9">
        <f>IF(A115=1,"_",IF(C115="_","???",C115))</f>
        <v/>
      </c>
      <c r="H115" s="10" t="s">
        <v>11</v>
      </c>
      <c r="I115" s="11" t="s">
        <v>11</v>
      </c>
      <c r="J115" s="12"/>
    </row>
    <row r="116" spans="1:10" ht="60" customHeight="1">
      <c r="A116" s="6" t="s">
        <v>444</v>
      </c>
      <c r="B116" s="6" t="s">
        <v>15</v>
      </c>
      <c r="C116" s="6" t="s">
        <v>11</v>
      </c>
      <c r="D116" s="7" t="s">
        <v>445</v>
      </c>
      <c r="E116" s="8" t="s">
        <v>446</v>
      </c>
      <c r="F116" s="6" t="s">
        <v>447</v>
      </c>
      <c r="G116" s="9">
        <f>IF(A116=1,"_",IF(C116="_","???",C116))</f>
        <v/>
      </c>
      <c r="H116" s="10" t="s">
        <v>11</v>
      </c>
      <c r="I116" s="11" t="s">
        <v>11</v>
      </c>
      <c r="J116" s="12"/>
    </row>
    <row r="117" spans="1:10" ht="60" customHeight="1">
      <c r="A117" s="6" t="s">
        <v>448</v>
      </c>
      <c r="B117" s="6" t="s">
        <v>15</v>
      </c>
      <c r="C117" s="6" t="s">
        <v>30</v>
      </c>
      <c r="D117" s="7" t="s">
        <v>96</v>
      </c>
      <c r="E117" s="8" t="s">
        <v>449</v>
      </c>
      <c r="F117" s="6" t="s">
        <v>450</v>
      </c>
      <c r="G117" s="9">
        <f>IF(A117=1,"_",IF(C117="_","???",C117))</f>
        <v/>
      </c>
      <c r="H117" s="10" t="s">
        <v>11</v>
      </c>
      <c r="I117" s="11" t="s">
        <v>11</v>
      </c>
      <c r="J117" s="12"/>
    </row>
    <row r="118" spans="1:10" ht="60" customHeight="1">
      <c r="A118" s="6" t="s">
        <v>451</v>
      </c>
      <c r="B118" s="6" t="s">
        <v>87</v>
      </c>
      <c r="C118" s="6" t="s">
        <v>452</v>
      </c>
      <c r="D118" s="7" t="s">
        <v>453</v>
      </c>
      <c r="E118" s="8" t="s">
        <v>454</v>
      </c>
      <c r="F118" s="6" t="s">
        <v>455</v>
      </c>
      <c r="G118" s="9">
        <f>IF(A118=1,"_",IF(C118="_","???",C118))</f>
        <v/>
      </c>
      <c r="H118" s="10" t="s">
        <v>11</v>
      </c>
      <c r="I118" s="11" t="s">
        <v>11</v>
      </c>
      <c r="J118" s="12"/>
    </row>
    <row r="119" spans="1:10" ht="60" customHeight="1">
      <c r="A119" s="6" t="s">
        <v>456</v>
      </c>
      <c r="B119" s="6" t="s">
        <v>16</v>
      </c>
      <c r="C119" s="6" t="s">
        <v>11</v>
      </c>
      <c r="D119" s="7" t="s">
        <v>292</v>
      </c>
      <c r="E119" s="8" t="s">
        <v>457</v>
      </c>
      <c r="F119" s="6" t="s">
        <v>458</v>
      </c>
      <c r="G119" s="9">
        <f>IF(A119=1,"_",IF(C119="_","???",C119))</f>
        <v/>
      </c>
      <c r="H119" s="10" t="s">
        <v>11</v>
      </c>
      <c r="I119" s="11" t="s">
        <v>11</v>
      </c>
      <c r="J119" s="12"/>
    </row>
    <row r="120" spans="1:10" ht="60" customHeight="1">
      <c r="A120" s="6" t="s">
        <v>459</v>
      </c>
      <c r="B120" s="6" t="s">
        <v>15</v>
      </c>
      <c r="C120" s="6" t="s">
        <v>30</v>
      </c>
      <c r="D120" s="7" t="s">
        <v>460</v>
      </c>
      <c r="E120" s="8" t="s">
        <v>461</v>
      </c>
      <c r="F120" s="6" t="s">
        <v>462</v>
      </c>
      <c r="G120" s="9">
        <f>IF(A120=1,"_",IF(C120="_","???",C120))</f>
        <v/>
      </c>
      <c r="H120" s="10" t="s">
        <v>11</v>
      </c>
      <c r="I120" s="11" t="s">
        <v>11</v>
      </c>
      <c r="J120" s="12"/>
    </row>
    <row r="121" spans="1:10" ht="60" customHeight="1">
      <c r="A121" s="6" t="s">
        <v>463</v>
      </c>
      <c r="B121" s="6" t="s">
        <v>10</v>
      </c>
      <c r="C121" s="6" t="s">
        <v>11</v>
      </c>
      <c r="D121" s="7" t="s">
        <v>185</v>
      </c>
      <c r="E121" s="8" t="s">
        <v>464</v>
      </c>
      <c r="F121" s="6" t="s">
        <v>465</v>
      </c>
      <c r="G121" s="9">
        <f>IF(A121=1,"_",IF(C121="_","???",C121))</f>
        <v/>
      </c>
      <c r="H121" s="10" t="s">
        <v>11</v>
      </c>
      <c r="I121" s="11" t="s">
        <v>11</v>
      </c>
      <c r="J121" s="12"/>
    </row>
    <row r="122" spans="1:10" ht="60" customHeight="1">
      <c r="A122" s="6" t="s">
        <v>466</v>
      </c>
      <c r="B122" s="6" t="s">
        <v>15</v>
      </c>
      <c r="C122" s="6" t="s">
        <v>11</v>
      </c>
      <c r="D122" s="7" t="s">
        <v>467</v>
      </c>
      <c r="E122" s="8" t="s">
        <v>468</v>
      </c>
      <c r="F122" s="6" t="s">
        <v>469</v>
      </c>
      <c r="G122" s="9">
        <f>IF(A122=1,"_",IF(C122="_","???",C122))</f>
        <v/>
      </c>
      <c r="H122" s="10" t="s">
        <v>11</v>
      </c>
      <c r="I122" s="11" t="s">
        <v>11</v>
      </c>
      <c r="J122" s="12"/>
    </row>
    <row r="123" spans="1:10" ht="60" customHeight="1">
      <c r="A123" s="6" t="s">
        <v>470</v>
      </c>
      <c r="B123" s="6" t="s">
        <v>15</v>
      </c>
      <c r="C123" s="6" t="s">
        <v>11</v>
      </c>
      <c r="D123" s="7" t="s">
        <v>96</v>
      </c>
      <c r="E123" s="8" t="s">
        <v>471</v>
      </c>
      <c r="F123" s="6" t="s">
        <v>472</v>
      </c>
      <c r="G123" s="9">
        <f>IF(A123=1,"_",IF(C123="_","???",C123))</f>
        <v/>
      </c>
      <c r="H123" s="10" t="s">
        <v>11</v>
      </c>
      <c r="I123" s="11" t="s">
        <v>11</v>
      </c>
      <c r="J123" s="12"/>
    </row>
    <row r="124" spans="1:10" ht="60" customHeight="1">
      <c r="A124" s="6" t="s">
        <v>473</v>
      </c>
      <c r="B124" s="6" t="s">
        <v>15</v>
      </c>
      <c r="C124" s="6" t="s">
        <v>11</v>
      </c>
      <c r="D124" s="7" t="s">
        <v>474</v>
      </c>
      <c r="E124" s="8" t="s">
        <v>475</v>
      </c>
      <c r="F124" s="6" t="s">
        <v>476</v>
      </c>
      <c r="G124" s="9">
        <f>IF(A124=1,"_",IF(C124="_","???",C124))</f>
        <v/>
      </c>
      <c r="H124" s="10" t="s">
        <v>11</v>
      </c>
      <c r="I124" s="11" t="s">
        <v>11</v>
      </c>
      <c r="J124" s="12"/>
    </row>
    <row r="125" spans="1:10" ht="60" customHeight="1">
      <c r="A125" s="6" t="s">
        <v>477</v>
      </c>
      <c r="B125" s="6" t="s">
        <v>15</v>
      </c>
      <c r="C125" s="6" t="s">
        <v>11</v>
      </c>
      <c r="D125" s="7" t="s">
        <v>478</v>
      </c>
      <c r="E125" s="8" t="s">
        <v>479</v>
      </c>
      <c r="F125" s="6" t="s">
        <v>480</v>
      </c>
      <c r="G125" s="9">
        <f>IF(A125=1,"_",IF(C125="_","???",C125))</f>
        <v/>
      </c>
      <c r="H125" s="10" t="s">
        <v>11</v>
      </c>
      <c r="I125" s="11" t="s">
        <v>11</v>
      </c>
      <c r="J125" s="12"/>
    </row>
    <row r="126" spans="1:10" ht="60" customHeight="1">
      <c r="A126" s="6" t="s">
        <v>481</v>
      </c>
      <c r="B126" s="6" t="s">
        <v>29</v>
      </c>
      <c r="C126" s="6" t="s">
        <v>11</v>
      </c>
      <c r="D126" s="7" t="s">
        <v>130</v>
      </c>
      <c r="E126" s="8" t="s">
        <v>482</v>
      </c>
      <c r="F126" s="6" t="s">
        <v>483</v>
      </c>
      <c r="G126" s="9">
        <f>IF(A126=1,"_",IF(C126="_","???",C126))</f>
        <v/>
      </c>
      <c r="H126" s="10" t="s">
        <v>11</v>
      </c>
      <c r="I126" s="11" t="s">
        <v>11</v>
      </c>
      <c r="J126" s="12"/>
    </row>
    <row r="127" spans="1:10" ht="60" customHeight="1">
      <c r="A127" s="6" t="s">
        <v>484</v>
      </c>
      <c r="B127" s="6" t="s">
        <v>20</v>
      </c>
      <c r="C127" s="6" t="s">
        <v>11</v>
      </c>
      <c r="D127" s="7" t="s">
        <v>318</v>
      </c>
      <c r="E127" s="8" t="s">
        <v>485</v>
      </c>
      <c r="F127" s="6" t="s">
        <v>486</v>
      </c>
      <c r="G127" s="9">
        <f>IF(A127=1,"_",IF(C127="_","???",C127))</f>
        <v/>
      </c>
      <c r="H127" s="10" t="s">
        <v>11</v>
      </c>
      <c r="I127" s="11" t="s">
        <v>11</v>
      </c>
      <c r="J127" s="12"/>
    </row>
    <row r="128" spans="1:10" ht="60" customHeight="1">
      <c r="A128" s="6" t="s">
        <v>487</v>
      </c>
      <c r="B128" s="6" t="s">
        <v>20</v>
      </c>
      <c r="C128" s="6" t="s">
        <v>11</v>
      </c>
      <c r="D128" s="7" t="s">
        <v>488</v>
      </c>
      <c r="E128" s="8" t="s">
        <v>489</v>
      </c>
      <c r="F128" s="6" t="s">
        <v>490</v>
      </c>
      <c r="G128" s="9">
        <f>IF(A128=1,"_",IF(C128="_","???",C128))</f>
        <v/>
      </c>
      <c r="H128" s="10" t="s">
        <v>11</v>
      </c>
      <c r="I128" s="11" t="s">
        <v>11</v>
      </c>
      <c r="J128" s="12"/>
    </row>
    <row r="129" spans="1:10" ht="60" customHeight="1">
      <c r="A129" s="6" t="s">
        <v>491</v>
      </c>
      <c r="B129" s="6" t="s">
        <v>34</v>
      </c>
      <c r="C129" s="6" t="s">
        <v>11</v>
      </c>
      <c r="D129" s="7" t="s">
        <v>366</v>
      </c>
      <c r="E129" s="8" t="s">
        <v>492</v>
      </c>
      <c r="F129" s="6" t="s">
        <v>493</v>
      </c>
      <c r="G129" s="9">
        <f>IF(A129=1,"_",IF(C129="_","???",C129))</f>
        <v/>
      </c>
      <c r="H129" s="10" t="s">
        <v>11</v>
      </c>
      <c r="I129" s="11" t="s">
        <v>11</v>
      </c>
      <c r="J129" s="12"/>
    </row>
    <row r="130" spans="1:10" ht="60" customHeight="1">
      <c r="A130" s="6" t="s">
        <v>494</v>
      </c>
      <c r="B130" s="6" t="s">
        <v>34</v>
      </c>
      <c r="C130" s="6" t="s">
        <v>11</v>
      </c>
      <c r="D130" s="7" t="s">
        <v>495</v>
      </c>
      <c r="E130" s="8" t="s">
        <v>496</v>
      </c>
      <c r="F130" s="6" t="s">
        <v>497</v>
      </c>
      <c r="G130" s="9">
        <f>IF(A130=1,"_",IF(C130="_","???",C130))</f>
        <v/>
      </c>
      <c r="H130" s="10" t="s">
        <v>11</v>
      </c>
      <c r="I130" s="11" t="s">
        <v>11</v>
      </c>
      <c r="J130" s="12"/>
    </row>
    <row r="131" spans="1:10" ht="60" customHeight="1">
      <c r="A131" s="6" t="s">
        <v>498</v>
      </c>
      <c r="B131" s="6" t="s">
        <v>34</v>
      </c>
      <c r="C131" s="6" t="s">
        <v>11</v>
      </c>
      <c r="D131" s="7" t="s">
        <v>366</v>
      </c>
      <c r="E131" s="8" t="s">
        <v>499</v>
      </c>
      <c r="F131" s="6" t="s">
        <v>500</v>
      </c>
      <c r="G131" s="9">
        <f>IF(A131=1,"_",IF(C131="_","???",C131))</f>
        <v/>
      </c>
      <c r="H131" s="10" t="s">
        <v>11</v>
      </c>
      <c r="I131" s="11" t="s">
        <v>11</v>
      </c>
      <c r="J131" s="12"/>
    </row>
    <row r="132" spans="1:10" ht="60" customHeight="1">
      <c r="A132" s="6" t="s">
        <v>501</v>
      </c>
      <c r="B132" s="6" t="s">
        <v>34</v>
      </c>
      <c r="C132" s="6" t="s">
        <v>11</v>
      </c>
      <c r="D132" s="7" t="s">
        <v>502</v>
      </c>
      <c r="E132" s="8" t="s">
        <v>503</v>
      </c>
      <c r="F132" s="6" t="s">
        <v>504</v>
      </c>
      <c r="G132" s="9">
        <f>IF(A132=1,"_",IF(C132="_","???",C132))</f>
        <v/>
      </c>
      <c r="H132" s="10" t="s">
        <v>11</v>
      </c>
      <c r="I132" s="11" t="s">
        <v>11</v>
      </c>
      <c r="J132" s="12"/>
    </row>
    <row r="133" spans="1:10" ht="60" customHeight="1">
      <c r="A133" s="6" t="s">
        <v>505</v>
      </c>
      <c r="B133" s="6" t="s">
        <v>34</v>
      </c>
      <c r="C133" s="6" t="s">
        <v>11</v>
      </c>
      <c r="D133" s="7" t="s">
        <v>506</v>
      </c>
      <c r="E133" s="8" t="s">
        <v>507</v>
      </c>
      <c r="F133" s="6" t="s">
        <v>508</v>
      </c>
      <c r="G133" s="9">
        <f>IF(A133=1,"_",IF(C133="_","???",C133))</f>
        <v/>
      </c>
      <c r="H133" s="10" t="s">
        <v>11</v>
      </c>
      <c r="I133" s="11" t="s">
        <v>11</v>
      </c>
      <c r="J133" s="12"/>
    </row>
    <row r="134" spans="1:10" ht="60" customHeight="1">
      <c r="A134" s="6" t="s">
        <v>509</v>
      </c>
      <c r="B134" s="6" t="s">
        <v>15</v>
      </c>
      <c r="C134" s="6" t="s">
        <v>11</v>
      </c>
      <c r="D134" s="7" t="s">
        <v>163</v>
      </c>
      <c r="E134" s="8" t="s">
        <v>510</v>
      </c>
      <c r="F134" s="6" t="s">
        <v>511</v>
      </c>
      <c r="G134" s="9">
        <f>IF(A134=1,"_",IF(C134="_","???",C134))</f>
        <v/>
      </c>
      <c r="H134" s="10" t="s">
        <v>11</v>
      </c>
      <c r="I134" s="11" t="s">
        <v>11</v>
      </c>
      <c r="J134" s="12"/>
    </row>
    <row r="135" spans="1:10" ht="60" customHeight="1">
      <c r="A135" s="6" t="s">
        <v>512</v>
      </c>
      <c r="B135" s="6" t="s">
        <v>34</v>
      </c>
      <c r="C135" s="6" t="s">
        <v>11</v>
      </c>
      <c r="D135" s="7" t="s">
        <v>513</v>
      </c>
      <c r="E135" s="8" t="s">
        <v>514</v>
      </c>
      <c r="F135" s="6" t="s">
        <v>515</v>
      </c>
      <c r="G135" s="9">
        <f>IF(A135=1,"_",IF(C135="_","???",C135))</f>
        <v/>
      </c>
      <c r="H135" s="10" t="s">
        <v>11</v>
      </c>
      <c r="I135" s="11" t="s">
        <v>11</v>
      </c>
      <c r="J135" s="12"/>
    </row>
    <row r="136" spans="1:10" ht="60" customHeight="1">
      <c r="A136" s="6" t="s">
        <v>516</v>
      </c>
      <c r="B136" s="6" t="s">
        <v>63</v>
      </c>
      <c r="C136" s="6" t="s">
        <v>11</v>
      </c>
      <c r="D136" s="7" t="s">
        <v>517</v>
      </c>
      <c r="E136" s="8" t="s">
        <v>518</v>
      </c>
      <c r="F136" s="6" t="s">
        <v>519</v>
      </c>
      <c r="G136" s="9">
        <f>IF(A136=1,"_",IF(C136="_","???",C136))</f>
        <v/>
      </c>
      <c r="H136" s="10" t="s">
        <v>11</v>
      </c>
      <c r="I136" s="11" t="s">
        <v>11</v>
      </c>
      <c r="J136" s="12"/>
    </row>
    <row r="137" spans="1:10" ht="60" customHeight="1">
      <c r="A137" s="6" t="s">
        <v>520</v>
      </c>
      <c r="B137" s="6" t="s">
        <v>45</v>
      </c>
      <c r="C137" s="6" t="s">
        <v>11</v>
      </c>
      <c r="D137" s="7" t="s">
        <v>521</v>
      </c>
      <c r="E137" s="8" t="s">
        <v>522</v>
      </c>
      <c r="F137" s="6" t="s">
        <v>523</v>
      </c>
      <c r="G137" s="9">
        <f>IF(A137=1,"_",IF(C137="_","???",C137))</f>
        <v/>
      </c>
      <c r="H137" s="10" t="s">
        <v>11</v>
      </c>
      <c r="I137" s="11" t="s">
        <v>11</v>
      </c>
      <c r="J137" s="12"/>
    </row>
    <row r="138" spans="1:10" ht="60" customHeight="1">
      <c r="A138" s="6" t="s">
        <v>524</v>
      </c>
      <c r="B138" s="6" t="s">
        <v>20</v>
      </c>
      <c r="C138" s="6" t="s">
        <v>11</v>
      </c>
      <c r="D138" s="7" t="s">
        <v>525</v>
      </c>
      <c r="E138" s="8" t="s">
        <v>526</v>
      </c>
      <c r="F138" s="6" t="s">
        <v>527</v>
      </c>
      <c r="G138" s="9">
        <f>IF(A138=1,"_",IF(C138="_","???",C138))</f>
        <v/>
      </c>
      <c r="H138" s="10" t="s">
        <v>11</v>
      </c>
      <c r="I138" s="11" t="s">
        <v>11</v>
      </c>
      <c r="J138" s="12"/>
    </row>
    <row r="139" spans="1:10" ht="60" customHeight="1">
      <c r="A139" s="6" t="s">
        <v>528</v>
      </c>
      <c r="B139" s="6" t="s">
        <v>15</v>
      </c>
      <c r="C139" s="6" t="s">
        <v>11</v>
      </c>
      <c r="D139" s="7" t="s">
        <v>215</v>
      </c>
      <c r="E139" s="8" t="s">
        <v>529</v>
      </c>
      <c r="F139" s="6" t="s">
        <v>530</v>
      </c>
      <c r="G139" s="9">
        <f>IF(A139=1,"_",IF(C139="_","???",C139))</f>
        <v/>
      </c>
      <c r="H139" s="10" t="s">
        <v>11</v>
      </c>
      <c r="I139" s="11" t="s">
        <v>11</v>
      </c>
      <c r="J139" s="12"/>
    </row>
    <row r="140" spans="1:10" ht="60" customHeight="1">
      <c r="A140" s="6" t="s">
        <v>531</v>
      </c>
      <c r="B140" s="6" t="s">
        <v>15</v>
      </c>
      <c r="C140" s="6" t="s">
        <v>30</v>
      </c>
      <c r="D140" s="7" t="s">
        <v>532</v>
      </c>
      <c r="E140" s="8" t="s">
        <v>533</v>
      </c>
      <c r="F140" s="6" t="s">
        <v>534</v>
      </c>
      <c r="G140" s="9">
        <f>IF(A140=1,"_",IF(C140="_","???",C140))</f>
        <v/>
      </c>
      <c r="H140" s="10" t="s">
        <v>11</v>
      </c>
      <c r="I140" s="11" t="s">
        <v>11</v>
      </c>
      <c r="J140" s="12"/>
    </row>
    <row r="141" spans="1:10" ht="60" customHeight="1">
      <c r="A141" s="6" t="s">
        <v>535</v>
      </c>
      <c r="B141" s="6" t="s">
        <v>21</v>
      </c>
      <c r="C141" s="6" t="s">
        <v>11</v>
      </c>
      <c r="D141" s="7" t="s">
        <v>536</v>
      </c>
      <c r="E141" s="8" t="s">
        <v>537</v>
      </c>
      <c r="F141" s="6" t="s">
        <v>538</v>
      </c>
      <c r="G141" s="9">
        <f>IF(A141=1,"_",IF(C141="_","???",C141))</f>
        <v/>
      </c>
      <c r="H141" s="10" t="s">
        <v>11</v>
      </c>
      <c r="I141" s="11" t="s">
        <v>11</v>
      </c>
      <c r="J141" s="12"/>
    </row>
    <row r="142" spans="1:10" ht="60" customHeight="1">
      <c r="A142" s="6" t="s">
        <v>539</v>
      </c>
      <c r="B142" s="6" t="s">
        <v>25</v>
      </c>
      <c r="C142" s="6" t="s">
        <v>11</v>
      </c>
      <c r="D142" s="7" t="s">
        <v>540</v>
      </c>
      <c r="E142" s="8" t="s">
        <v>541</v>
      </c>
      <c r="F142" s="6" t="s">
        <v>542</v>
      </c>
      <c r="G142" s="9">
        <f>IF(A142=1,"_",IF(C142="_","???",C142))</f>
        <v/>
      </c>
      <c r="H142" s="10" t="s">
        <v>11</v>
      </c>
      <c r="I142" s="11" t="s">
        <v>11</v>
      </c>
      <c r="J142" s="12"/>
    </row>
    <row r="143" spans="1:10" ht="60" customHeight="1">
      <c r="A143" s="6" t="s">
        <v>543</v>
      </c>
      <c r="B143" s="6" t="s">
        <v>188</v>
      </c>
      <c r="C143" s="6" t="s">
        <v>11</v>
      </c>
      <c r="D143" s="7" t="s">
        <v>544</v>
      </c>
      <c r="E143" s="8" t="s">
        <v>545</v>
      </c>
      <c r="F143" s="6" t="s">
        <v>546</v>
      </c>
      <c r="G143" s="9">
        <f>IF(A143=1,"_",IF(C143="_","???",C143))</f>
        <v/>
      </c>
      <c r="H143" s="10" t="s">
        <v>11</v>
      </c>
      <c r="I143" s="11" t="s">
        <v>11</v>
      </c>
      <c r="J143" s="12"/>
    </row>
    <row r="144" spans="1:10" ht="60" customHeight="1">
      <c r="A144" s="6" t="s">
        <v>547</v>
      </c>
      <c r="B144" s="6" t="s">
        <v>21</v>
      </c>
      <c r="C144" s="6" t="s">
        <v>11</v>
      </c>
      <c r="D144" s="7" t="s">
        <v>548</v>
      </c>
      <c r="E144" s="8" t="s">
        <v>549</v>
      </c>
      <c r="F144" s="6" t="s">
        <v>550</v>
      </c>
      <c r="G144" s="9">
        <f>IF(A144=1,"_",IF(C144="_","???",C144))</f>
        <v/>
      </c>
      <c r="H144" s="10" t="s">
        <v>11</v>
      </c>
      <c r="I144" s="11" t="s">
        <v>11</v>
      </c>
      <c r="J144" s="12"/>
    </row>
    <row r="145" spans="1:10" ht="60" customHeight="1">
      <c r="A145" s="6" t="s">
        <v>551</v>
      </c>
      <c r="B145" s="6" t="s">
        <v>48</v>
      </c>
      <c r="C145" s="6" t="s">
        <v>11</v>
      </c>
      <c r="D145" s="7" t="s">
        <v>552</v>
      </c>
      <c r="E145" s="8" t="s">
        <v>553</v>
      </c>
      <c r="F145" s="6" t="s">
        <v>554</v>
      </c>
      <c r="G145" s="9">
        <f>IF(A145=1,"_",IF(C145="_","???",C145))</f>
        <v/>
      </c>
      <c r="H145" s="10" t="s">
        <v>11</v>
      </c>
      <c r="I145" s="11" t="s">
        <v>11</v>
      </c>
      <c r="J145" s="12"/>
    </row>
    <row r="146" spans="1:10" ht="60" customHeight="1">
      <c r="A146" s="6" t="s">
        <v>555</v>
      </c>
      <c r="B146" s="6" t="s">
        <v>20</v>
      </c>
      <c r="C146" s="6" t="s">
        <v>11</v>
      </c>
      <c r="D146" s="7" t="s">
        <v>556</v>
      </c>
      <c r="E146" s="8" t="s">
        <v>557</v>
      </c>
      <c r="F146" s="6" t="s">
        <v>558</v>
      </c>
      <c r="G146" s="9">
        <f>IF(A146=1,"_",IF(C146="_","???",C146))</f>
        <v/>
      </c>
      <c r="H146" s="10" t="s">
        <v>11</v>
      </c>
      <c r="I146" s="11" t="s">
        <v>11</v>
      </c>
      <c r="J146" s="12"/>
    </row>
    <row r="147" spans="1:10" ht="60" customHeight="1">
      <c r="A147" s="6" t="s">
        <v>559</v>
      </c>
      <c r="B147" s="6" t="s">
        <v>41</v>
      </c>
      <c r="C147" s="6" t="s">
        <v>11</v>
      </c>
      <c r="D147" s="7" t="s">
        <v>560</v>
      </c>
      <c r="E147" s="8" t="s">
        <v>561</v>
      </c>
      <c r="F147" s="6" t="s">
        <v>562</v>
      </c>
      <c r="G147" s="9">
        <f>IF(A147=1,"_",IF(C147="_","???",C147))</f>
        <v/>
      </c>
      <c r="H147" s="10" t="s">
        <v>11</v>
      </c>
      <c r="I147" s="11" t="s">
        <v>11</v>
      </c>
      <c r="J147" s="12"/>
    </row>
    <row r="148" spans="1:10" ht="60" customHeight="1">
      <c r="A148" s="6" t="s">
        <v>563</v>
      </c>
      <c r="B148" s="6" t="s">
        <v>25</v>
      </c>
      <c r="C148" s="6" t="s">
        <v>11</v>
      </c>
      <c r="D148" s="7" t="s">
        <v>564</v>
      </c>
      <c r="E148" s="8" t="s">
        <v>565</v>
      </c>
      <c r="F148" s="6" t="s">
        <v>566</v>
      </c>
      <c r="G148" s="9">
        <f>IF(A148=1,"_",IF(C148="_","???",C148))</f>
        <v/>
      </c>
      <c r="H148" s="10" t="s">
        <v>11</v>
      </c>
      <c r="I148" s="11" t="s">
        <v>11</v>
      </c>
      <c r="J148" s="12"/>
    </row>
    <row r="149" spans="1:10" ht="60" customHeight="1">
      <c r="A149" s="6" t="s">
        <v>567</v>
      </c>
      <c r="B149" s="6" t="s">
        <v>21</v>
      </c>
      <c r="C149" s="6" t="s">
        <v>11</v>
      </c>
      <c r="D149" s="7" t="s">
        <v>314</v>
      </c>
      <c r="E149" s="8" t="s">
        <v>568</v>
      </c>
      <c r="F149" s="6" t="s">
        <v>569</v>
      </c>
      <c r="G149" s="9">
        <f>IF(A149=1,"_",IF(C149="_","???",C149))</f>
        <v/>
      </c>
      <c r="H149" s="10" t="s">
        <v>11</v>
      </c>
      <c r="I149" s="11" t="s">
        <v>11</v>
      </c>
      <c r="J149" s="12"/>
    </row>
    <row r="150" spans="1:10" ht="60" customHeight="1">
      <c r="A150" s="6" t="s">
        <v>570</v>
      </c>
      <c r="B150" s="6" t="s">
        <v>20</v>
      </c>
      <c r="C150" s="6" t="s">
        <v>11</v>
      </c>
      <c r="D150" s="7" t="s">
        <v>571</v>
      </c>
      <c r="E150" s="8" t="s">
        <v>572</v>
      </c>
      <c r="F150" s="6" t="s">
        <v>573</v>
      </c>
      <c r="G150" s="9">
        <f>IF(A150=1,"_",IF(C150="_","???",C150))</f>
        <v/>
      </c>
      <c r="H150" s="10" t="s">
        <v>11</v>
      </c>
      <c r="I150" s="11" t="s">
        <v>11</v>
      </c>
      <c r="J150" s="12"/>
    </row>
    <row r="151" spans="1:10" ht="60" customHeight="1">
      <c r="A151" s="6" t="s">
        <v>574</v>
      </c>
      <c r="B151" s="6" t="s">
        <v>20</v>
      </c>
      <c r="C151" s="6" t="s">
        <v>11</v>
      </c>
      <c r="D151" s="7" t="s">
        <v>571</v>
      </c>
      <c r="E151" s="8" t="s">
        <v>575</v>
      </c>
      <c r="F151" s="6" t="s">
        <v>576</v>
      </c>
      <c r="G151" s="9">
        <f>IF(A151=1,"_",IF(C151="_","???",C151))</f>
        <v/>
      </c>
      <c r="H151" s="10" t="s">
        <v>11</v>
      </c>
      <c r="I151" s="11" t="s">
        <v>11</v>
      </c>
      <c r="J151" s="12"/>
    </row>
    <row r="152" spans="1:10" ht="60" customHeight="1">
      <c r="A152" s="6" t="s">
        <v>577</v>
      </c>
      <c r="B152" s="6" t="s">
        <v>15</v>
      </c>
      <c r="C152" s="6" t="s">
        <v>11</v>
      </c>
      <c r="D152" s="7" t="s">
        <v>578</v>
      </c>
      <c r="E152" s="8" t="s">
        <v>579</v>
      </c>
      <c r="F152" s="6" t="s">
        <v>580</v>
      </c>
      <c r="G152" s="9">
        <f>IF(A152=1,"_",IF(C152="_","???",C152))</f>
        <v/>
      </c>
      <c r="H152" s="10" t="s">
        <v>11</v>
      </c>
      <c r="I152" s="11" t="s">
        <v>11</v>
      </c>
      <c r="J152" s="12"/>
    </row>
    <row r="153" spans="1:10" ht="60" customHeight="1">
      <c r="A153" s="6" t="s">
        <v>581</v>
      </c>
      <c r="B153" s="6" t="s">
        <v>15</v>
      </c>
      <c r="C153" s="6" t="s">
        <v>11</v>
      </c>
      <c r="D153" s="7" t="s">
        <v>488</v>
      </c>
      <c r="E153" s="8" t="s">
        <v>582</v>
      </c>
      <c r="F153" s="6" t="s">
        <v>583</v>
      </c>
      <c r="G153" s="9">
        <f>IF(A153=1,"_",IF(C153="_","???",C153))</f>
        <v/>
      </c>
      <c r="H153" s="10" t="s">
        <v>11</v>
      </c>
      <c r="I153" s="11" t="s">
        <v>11</v>
      </c>
      <c r="J153" s="12"/>
    </row>
    <row r="154" spans="1:10" ht="60" customHeight="1">
      <c r="A154" s="6" t="s">
        <v>584</v>
      </c>
      <c r="B154" s="6" t="s">
        <v>15</v>
      </c>
      <c r="C154" s="6" t="s">
        <v>11</v>
      </c>
      <c r="D154" s="7" t="s">
        <v>134</v>
      </c>
      <c r="E154" s="8" t="s">
        <v>585</v>
      </c>
      <c r="F154" s="6" t="s">
        <v>586</v>
      </c>
      <c r="G154" s="9">
        <f>IF(A154=1,"_",IF(C154="_","???",C154))</f>
        <v/>
      </c>
      <c r="H154" s="10" t="s">
        <v>11</v>
      </c>
      <c r="I154" s="11" t="s">
        <v>11</v>
      </c>
      <c r="J154" s="12"/>
    </row>
    <row r="155" spans="1:10" ht="60" customHeight="1">
      <c r="A155" s="6" t="s">
        <v>587</v>
      </c>
      <c r="B155" s="6" t="s">
        <v>25</v>
      </c>
      <c r="C155" s="6" t="s">
        <v>11</v>
      </c>
      <c r="D155" s="7" t="s">
        <v>588</v>
      </c>
      <c r="E155" s="8" t="s">
        <v>589</v>
      </c>
      <c r="F155" s="6" t="s">
        <v>590</v>
      </c>
      <c r="G155" s="9">
        <f>IF(A155=1,"_",IF(C155="_","???",C155))</f>
        <v/>
      </c>
      <c r="H155" s="10" t="s">
        <v>11</v>
      </c>
      <c r="I155" s="11" t="s">
        <v>11</v>
      </c>
      <c r="J155" s="12"/>
    </row>
    <row r="156" spans="1:10" ht="60" customHeight="1">
      <c r="A156" s="6" t="s">
        <v>591</v>
      </c>
      <c r="B156" s="6" t="s">
        <v>34</v>
      </c>
      <c r="C156" s="6" t="s">
        <v>11</v>
      </c>
      <c r="D156" s="7" t="s">
        <v>592</v>
      </c>
      <c r="E156" s="8" t="s">
        <v>593</v>
      </c>
      <c r="F156" s="6" t="s">
        <v>594</v>
      </c>
      <c r="G156" s="9">
        <f>IF(A156=1,"_",IF(C156="_","???",C156))</f>
        <v/>
      </c>
      <c r="H156" s="10" t="s">
        <v>11</v>
      </c>
      <c r="I156" s="11" t="s">
        <v>11</v>
      </c>
      <c r="J156" s="12"/>
    </row>
    <row r="157" spans="1:10" ht="60" customHeight="1">
      <c r="A157" s="6" t="s">
        <v>595</v>
      </c>
      <c r="B157" s="6" t="s">
        <v>15</v>
      </c>
      <c r="C157" s="6" t="s">
        <v>11</v>
      </c>
      <c r="D157" s="7" t="s">
        <v>596</v>
      </c>
      <c r="E157" s="8" t="s">
        <v>597</v>
      </c>
      <c r="F157" s="6" t="s">
        <v>598</v>
      </c>
      <c r="G157" s="9">
        <f>IF(A157=1,"_",IF(C157="_","???",C157))</f>
        <v/>
      </c>
      <c r="H157" s="10" t="s">
        <v>11</v>
      </c>
      <c r="I157" s="11" t="s">
        <v>11</v>
      </c>
      <c r="J157" s="12"/>
    </row>
    <row r="158" spans="1:10" ht="60" customHeight="1">
      <c r="A158" s="6" t="s">
        <v>599</v>
      </c>
      <c r="B158" s="6" t="s">
        <v>21</v>
      </c>
      <c r="C158" s="6" t="s">
        <v>11</v>
      </c>
      <c r="D158" s="7" t="s">
        <v>134</v>
      </c>
      <c r="E158" s="8" t="s">
        <v>600</v>
      </c>
      <c r="F158" s="6" t="s">
        <v>601</v>
      </c>
      <c r="G158" s="9">
        <f>IF(A158=1,"_",IF(C158="_","???",C158))</f>
        <v/>
      </c>
      <c r="H158" s="10" t="s">
        <v>11</v>
      </c>
      <c r="I158" s="11" t="s">
        <v>11</v>
      </c>
      <c r="J158" s="12"/>
    </row>
    <row r="159" spans="1:10" ht="60" customHeight="1">
      <c r="A159" s="6" t="s">
        <v>602</v>
      </c>
      <c r="B159" s="6" t="s">
        <v>10</v>
      </c>
      <c r="C159" s="6" t="s">
        <v>11</v>
      </c>
      <c r="D159" s="7" t="s">
        <v>185</v>
      </c>
      <c r="E159" s="8" t="s">
        <v>603</v>
      </c>
      <c r="F159" s="6" t="s">
        <v>604</v>
      </c>
      <c r="G159" s="9">
        <f>IF(A159=1,"_",IF(C159="_","???",C159))</f>
        <v/>
      </c>
      <c r="H159" s="10" t="s">
        <v>11</v>
      </c>
      <c r="I159" s="11" t="s">
        <v>11</v>
      </c>
      <c r="J159" s="12"/>
    </row>
    <row r="160" spans="1:10" ht="60" customHeight="1">
      <c r="A160" s="6" t="s">
        <v>605</v>
      </c>
      <c r="B160" s="6" t="s">
        <v>15</v>
      </c>
      <c r="C160" s="6" t="s">
        <v>11</v>
      </c>
      <c r="D160" s="7" t="s">
        <v>606</v>
      </c>
      <c r="E160" s="8" t="s">
        <v>607</v>
      </c>
      <c r="F160" s="6" t="s">
        <v>608</v>
      </c>
      <c r="G160" s="9">
        <f>IF(A160=1,"_",IF(C160="_","???",C160))</f>
        <v/>
      </c>
      <c r="H160" s="10" t="s">
        <v>11</v>
      </c>
      <c r="I160" s="11" t="s">
        <v>11</v>
      </c>
      <c r="J160" s="12"/>
    </row>
    <row r="161" spans="1:10" ht="60" customHeight="1">
      <c r="A161" s="6" t="s">
        <v>609</v>
      </c>
      <c r="B161" s="6" t="s">
        <v>56</v>
      </c>
      <c r="C161" s="6" t="s">
        <v>11</v>
      </c>
      <c r="D161" s="7" t="s">
        <v>610</v>
      </c>
      <c r="E161" s="8" t="s">
        <v>611</v>
      </c>
      <c r="F161" s="6" t="s">
        <v>612</v>
      </c>
      <c r="G161" s="9">
        <f>IF(A161=1,"_",IF(C161="_","???",C161))</f>
        <v/>
      </c>
      <c r="H161" s="10" t="s">
        <v>11</v>
      </c>
      <c r="I161" s="11" t="s">
        <v>11</v>
      </c>
      <c r="J161" s="12"/>
    </row>
    <row r="162" spans="1:10" ht="60" customHeight="1">
      <c r="A162" s="6" t="s">
        <v>613</v>
      </c>
      <c r="B162" s="6" t="s">
        <v>25</v>
      </c>
      <c r="C162" s="6" t="s">
        <v>11</v>
      </c>
      <c r="D162" s="7" t="s">
        <v>614</v>
      </c>
      <c r="E162" s="8" t="s">
        <v>615</v>
      </c>
      <c r="F162" s="6" t="s">
        <v>616</v>
      </c>
      <c r="G162" s="9">
        <f>IF(A162=1,"_",IF(C162="_","???",C162))</f>
        <v/>
      </c>
      <c r="H162" s="10" t="s">
        <v>11</v>
      </c>
      <c r="I162" s="11" t="s">
        <v>11</v>
      </c>
      <c r="J162" s="12"/>
    </row>
    <row r="163" spans="1:10" ht="60" customHeight="1">
      <c r="A163" s="6" t="s">
        <v>617</v>
      </c>
      <c r="B163" s="6" t="s">
        <v>68</v>
      </c>
      <c r="C163" s="6" t="s">
        <v>11</v>
      </c>
      <c r="D163" s="7" t="s">
        <v>618</v>
      </c>
      <c r="E163" s="8" t="s">
        <v>619</v>
      </c>
      <c r="F163" s="6" t="s">
        <v>620</v>
      </c>
      <c r="G163" s="9">
        <f>IF(A163=1,"_",IF(C163="_","???",C163))</f>
        <v/>
      </c>
      <c r="H163" s="10" t="s">
        <v>11</v>
      </c>
      <c r="I163" s="11" t="s">
        <v>11</v>
      </c>
      <c r="J163" s="12"/>
    </row>
    <row r="164" spans="1:10" ht="60" customHeight="1">
      <c r="A164" s="6" t="s">
        <v>621</v>
      </c>
      <c r="B164" s="6" t="s">
        <v>15</v>
      </c>
      <c r="C164" s="6" t="s">
        <v>11</v>
      </c>
      <c r="D164" s="7" t="s">
        <v>207</v>
      </c>
      <c r="E164" s="8" t="s">
        <v>622</v>
      </c>
      <c r="F164" s="6" t="s">
        <v>623</v>
      </c>
      <c r="G164" s="9">
        <f>IF(A164=1,"_",IF(C164="_","???",C164))</f>
        <v/>
      </c>
      <c r="H164" s="10" t="s">
        <v>11</v>
      </c>
      <c r="I164" s="11" t="s">
        <v>11</v>
      </c>
      <c r="J164" s="12"/>
    </row>
    <row r="165" spans="1:10" ht="60" customHeight="1">
      <c r="A165" s="6" t="s">
        <v>624</v>
      </c>
      <c r="B165" s="6" t="s">
        <v>25</v>
      </c>
      <c r="C165" s="6" t="s">
        <v>30</v>
      </c>
      <c r="D165" s="7" t="s">
        <v>625</v>
      </c>
      <c r="E165" s="8" t="s">
        <v>626</v>
      </c>
      <c r="F165" s="6" t="s">
        <v>627</v>
      </c>
      <c r="G165" s="9">
        <f>IF(A165=1,"_",IF(C165="_","???",C165))</f>
        <v/>
      </c>
      <c r="H165" s="10" t="s">
        <v>11</v>
      </c>
      <c r="I165" s="11" t="s">
        <v>11</v>
      </c>
      <c r="J165" s="12"/>
    </row>
    <row r="166" spans="1:10" ht="60" customHeight="1">
      <c r="A166" s="6" t="s">
        <v>628</v>
      </c>
      <c r="B166" s="6" t="s">
        <v>10</v>
      </c>
      <c r="C166" s="6" t="s">
        <v>11</v>
      </c>
      <c r="D166" s="7" t="s">
        <v>185</v>
      </c>
      <c r="E166" s="8" t="s">
        <v>629</v>
      </c>
      <c r="F166" s="6" t="s">
        <v>630</v>
      </c>
      <c r="G166" s="9">
        <f>IF(A166=1,"_",IF(C166="_","???",C166))</f>
        <v/>
      </c>
      <c r="H166" s="10" t="s">
        <v>11</v>
      </c>
      <c r="I166" s="11" t="s">
        <v>11</v>
      </c>
      <c r="J166" s="12"/>
    </row>
    <row r="167" spans="1:10" ht="60" customHeight="1">
      <c r="A167" s="6" t="s">
        <v>631</v>
      </c>
      <c r="B167" s="6" t="s">
        <v>20</v>
      </c>
      <c r="C167" s="6" t="s">
        <v>11</v>
      </c>
      <c r="D167" s="7" t="s">
        <v>632</v>
      </c>
      <c r="E167" s="8" t="s">
        <v>633</v>
      </c>
      <c r="F167" s="6" t="s">
        <v>634</v>
      </c>
      <c r="G167" s="9">
        <f>IF(A167=1,"_",IF(C167="_","???",C167))</f>
        <v/>
      </c>
      <c r="H167" s="10" t="s">
        <v>11</v>
      </c>
      <c r="I167" s="11" t="s">
        <v>11</v>
      </c>
      <c r="J167" s="12"/>
    </row>
    <row r="168" spans="1:10" ht="60" customHeight="1">
      <c r="A168" s="6" t="s">
        <v>635</v>
      </c>
      <c r="B168" s="6" t="s">
        <v>52</v>
      </c>
      <c r="C168" s="6" t="s">
        <v>11</v>
      </c>
      <c r="D168" s="7" t="s">
        <v>636</v>
      </c>
      <c r="E168" s="8" t="s">
        <v>637</v>
      </c>
      <c r="F168" s="6" t="s">
        <v>638</v>
      </c>
      <c r="G168" s="9">
        <f>IF(A168=1,"_",IF(C168="_","???",C168))</f>
        <v/>
      </c>
      <c r="H168" s="10" t="s">
        <v>11</v>
      </c>
      <c r="I168" s="11" t="s">
        <v>11</v>
      </c>
      <c r="J168" s="12"/>
    </row>
    <row r="169" spans="1:10" ht="60" customHeight="1">
      <c r="A169" s="6" t="s">
        <v>639</v>
      </c>
      <c r="B169" s="6" t="s">
        <v>25</v>
      </c>
      <c r="C169" s="6" t="s">
        <v>11</v>
      </c>
      <c r="D169" s="7" t="s">
        <v>257</v>
      </c>
      <c r="E169" s="8" t="s">
        <v>640</v>
      </c>
      <c r="F169" s="6" t="s">
        <v>641</v>
      </c>
      <c r="G169" s="9">
        <f>IF(A169=1,"_",IF(C169="_","???",C169))</f>
        <v/>
      </c>
      <c r="H169" s="10" t="s">
        <v>11</v>
      </c>
      <c r="I169" s="11" t="s">
        <v>11</v>
      </c>
      <c r="J169" s="12"/>
    </row>
    <row r="170" spans="1:10" ht="60" customHeight="1">
      <c r="A170" s="6" t="s">
        <v>642</v>
      </c>
      <c r="B170" s="6" t="s">
        <v>15</v>
      </c>
      <c r="C170" s="6" t="s">
        <v>11</v>
      </c>
      <c r="D170" s="7" t="s">
        <v>215</v>
      </c>
      <c r="E170" s="8" t="s">
        <v>643</v>
      </c>
      <c r="F170" s="6" t="s">
        <v>644</v>
      </c>
      <c r="G170" s="9">
        <f>IF(A170=1,"_",IF(C170="_","???",C170))</f>
        <v/>
      </c>
      <c r="H170" s="10" t="s">
        <v>11</v>
      </c>
      <c r="I170" s="11" t="s">
        <v>11</v>
      </c>
      <c r="J170" s="12"/>
    </row>
    <row r="171" spans="1:10" ht="60" customHeight="1">
      <c r="A171" s="6" t="s">
        <v>645</v>
      </c>
      <c r="B171" s="6" t="s">
        <v>15</v>
      </c>
      <c r="C171" s="6" t="s">
        <v>11</v>
      </c>
      <c r="D171" s="7" t="s">
        <v>211</v>
      </c>
      <c r="E171" s="8" t="s">
        <v>646</v>
      </c>
      <c r="F171" s="6" t="s">
        <v>647</v>
      </c>
      <c r="G171" s="9">
        <f>IF(A171=1,"_",IF(C171="_","???",C171))</f>
        <v/>
      </c>
      <c r="H171" s="10" t="s">
        <v>11</v>
      </c>
      <c r="I171" s="11" t="s">
        <v>11</v>
      </c>
      <c r="J171" s="12"/>
    </row>
    <row r="172" spans="1:10" ht="60" customHeight="1">
      <c r="A172" s="6" t="s">
        <v>648</v>
      </c>
      <c r="B172" s="6" t="s">
        <v>15</v>
      </c>
      <c r="C172" s="6" t="s">
        <v>11</v>
      </c>
      <c r="D172" s="7" t="s">
        <v>96</v>
      </c>
      <c r="E172" s="8" t="s">
        <v>649</v>
      </c>
      <c r="F172" s="6" t="s">
        <v>650</v>
      </c>
      <c r="G172" s="9">
        <f>IF(A172=1,"_",IF(C172="_","???",C172))</f>
        <v/>
      </c>
      <c r="H172" s="10" t="s">
        <v>11</v>
      </c>
      <c r="I172" s="11" t="s">
        <v>11</v>
      </c>
      <c r="J172" s="12"/>
    </row>
    <row r="173" spans="1:10" ht="60" customHeight="1">
      <c r="A173" s="6" t="s">
        <v>651</v>
      </c>
      <c r="B173" s="6" t="s">
        <v>15</v>
      </c>
      <c r="C173" s="6" t="s">
        <v>11</v>
      </c>
      <c r="D173" s="7" t="s">
        <v>96</v>
      </c>
      <c r="E173" s="8" t="s">
        <v>652</v>
      </c>
      <c r="F173" s="6" t="s">
        <v>653</v>
      </c>
      <c r="G173" s="9">
        <f>IF(A173=1,"_",IF(C173="_","???",C173))</f>
        <v/>
      </c>
      <c r="H173" s="10" t="s">
        <v>11</v>
      </c>
      <c r="I173" s="11" t="s">
        <v>11</v>
      </c>
      <c r="J173" s="12"/>
    </row>
    <row r="174" spans="1:10" ht="60" customHeight="1">
      <c r="A174" s="6" t="s">
        <v>654</v>
      </c>
      <c r="B174" s="6" t="s">
        <v>20</v>
      </c>
      <c r="C174" s="6" t="s">
        <v>11</v>
      </c>
      <c r="D174" s="7" t="s">
        <v>134</v>
      </c>
      <c r="E174" s="8" t="s">
        <v>655</v>
      </c>
      <c r="F174" s="6" t="s">
        <v>656</v>
      </c>
      <c r="G174" s="9">
        <f>IF(A174=1,"_",IF(C174="_","???",C174))</f>
        <v/>
      </c>
      <c r="H174" s="10" t="s">
        <v>11</v>
      </c>
      <c r="I174" s="11" t="s">
        <v>11</v>
      </c>
      <c r="J174" s="12"/>
    </row>
    <row r="175" spans="1:10" ht="60" customHeight="1">
      <c r="A175" s="6" t="s">
        <v>657</v>
      </c>
      <c r="B175" s="6" t="s">
        <v>15</v>
      </c>
      <c r="C175" s="6" t="s">
        <v>11</v>
      </c>
      <c r="D175" s="7" t="s">
        <v>658</v>
      </c>
      <c r="E175" s="8" t="s">
        <v>659</v>
      </c>
      <c r="F175" s="6" t="s">
        <v>660</v>
      </c>
      <c r="G175" s="9">
        <f>IF(A175=1,"_",IF(C175="_","???",C175))</f>
        <v/>
      </c>
      <c r="H175" s="10" t="s">
        <v>11</v>
      </c>
      <c r="I175" s="11" t="s">
        <v>11</v>
      </c>
      <c r="J175" s="12"/>
    </row>
    <row r="176" spans="1:10" ht="60" customHeight="1">
      <c r="A176" s="6" t="s">
        <v>661</v>
      </c>
      <c r="B176" s="6" t="s">
        <v>15</v>
      </c>
      <c r="C176" s="6" t="s">
        <v>11</v>
      </c>
      <c r="D176" s="7" t="s">
        <v>662</v>
      </c>
      <c r="E176" s="8" t="s">
        <v>663</v>
      </c>
      <c r="F176" s="6" t="s">
        <v>664</v>
      </c>
      <c r="G176" s="9">
        <f>IF(A176=1,"_",IF(C176="_","???",C176))</f>
        <v/>
      </c>
      <c r="H176" s="10" t="s">
        <v>11</v>
      </c>
      <c r="I176" s="11" t="s">
        <v>11</v>
      </c>
      <c r="J176" s="12"/>
    </row>
    <row r="177" spans="1:10" ht="60" customHeight="1">
      <c r="A177" s="6" t="s">
        <v>665</v>
      </c>
      <c r="B177" s="6" t="s">
        <v>145</v>
      </c>
      <c r="C177" s="6" t="s">
        <v>11</v>
      </c>
      <c r="D177" s="7" t="s">
        <v>666</v>
      </c>
      <c r="E177" s="8" t="s">
        <v>667</v>
      </c>
      <c r="F177" s="6" t="s">
        <v>668</v>
      </c>
      <c r="G177" s="9">
        <f>IF(A177=1,"_",IF(C177="_","???",C177))</f>
        <v/>
      </c>
      <c r="H177" s="10" t="s">
        <v>11</v>
      </c>
      <c r="I177" s="11" t="s">
        <v>11</v>
      </c>
      <c r="J177" s="12"/>
    </row>
    <row r="178" spans="1:10" ht="60" customHeight="1">
      <c r="A178" s="6" t="s">
        <v>669</v>
      </c>
      <c r="B178" s="6" t="s">
        <v>15</v>
      </c>
      <c r="C178" s="6" t="s">
        <v>11</v>
      </c>
      <c r="D178" s="7" t="s">
        <v>670</v>
      </c>
      <c r="E178" s="8" t="s">
        <v>671</v>
      </c>
      <c r="F178" s="6" t="s">
        <v>672</v>
      </c>
      <c r="G178" s="9">
        <f>IF(A178=1,"_",IF(C178="_","???",C178))</f>
        <v/>
      </c>
      <c r="H178" s="10" t="s">
        <v>11</v>
      </c>
      <c r="I178" s="11" t="s">
        <v>11</v>
      </c>
      <c r="J178" s="12"/>
    </row>
    <row r="179" spans="1:10" ht="60" customHeight="1">
      <c r="A179" s="6" t="s">
        <v>673</v>
      </c>
      <c r="B179" s="6" t="s">
        <v>25</v>
      </c>
      <c r="C179" s="6" t="s">
        <v>11</v>
      </c>
      <c r="D179" s="7" t="s">
        <v>292</v>
      </c>
      <c r="E179" s="8" t="s">
        <v>674</v>
      </c>
      <c r="F179" s="6" t="s">
        <v>675</v>
      </c>
      <c r="G179" s="9">
        <f>IF(A179=1,"_",IF(C179="_","???",C179))</f>
        <v/>
      </c>
      <c r="H179" s="10" t="s">
        <v>11</v>
      </c>
      <c r="I179" s="11" t="s">
        <v>11</v>
      </c>
      <c r="J179" s="12"/>
    </row>
    <row r="180" spans="1:10" ht="60" customHeight="1">
      <c r="A180" s="6" t="s">
        <v>676</v>
      </c>
      <c r="B180" s="6" t="s">
        <v>10</v>
      </c>
      <c r="C180" s="6" t="s">
        <v>11</v>
      </c>
      <c r="D180" s="7" t="s">
        <v>185</v>
      </c>
      <c r="E180" s="8" t="s">
        <v>677</v>
      </c>
      <c r="F180" s="6" t="s">
        <v>678</v>
      </c>
      <c r="G180" s="9">
        <f>IF(A180=1,"_",IF(C180="_","???",C180))</f>
        <v/>
      </c>
      <c r="H180" s="10" t="s">
        <v>11</v>
      </c>
      <c r="I180" s="11" t="s">
        <v>11</v>
      </c>
      <c r="J180" s="12"/>
    </row>
    <row r="181" spans="1:10" ht="60" customHeight="1">
      <c r="A181" s="6" t="s">
        <v>679</v>
      </c>
      <c r="B181" s="6" t="s">
        <v>76</v>
      </c>
      <c r="C181" s="6" t="s">
        <v>11</v>
      </c>
      <c r="D181" s="7" t="s">
        <v>680</v>
      </c>
      <c r="E181" s="8" t="s">
        <v>681</v>
      </c>
      <c r="F181" s="6" t="s">
        <v>682</v>
      </c>
      <c r="G181" s="9">
        <f>IF(A181=1,"_",IF(C181="_","???",C181))</f>
        <v/>
      </c>
      <c r="H181" s="10" t="s">
        <v>11</v>
      </c>
      <c r="I181" s="11" t="s">
        <v>11</v>
      </c>
      <c r="J181" s="12"/>
    </row>
    <row r="182" spans="1:10" ht="60" customHeight="1">
      <c r="A182" s="6" t="s">
        <v>683</v>
      </c>
      <c r="B182" s="6" t="s">
        <v>15</v>
      </c>
      <c r="C182" s="6" t="s">
        <v>11</v>
      </c>
      <c r="D182" s="7" t="s">
        <v>684</v>
      </c>
      <c r="E182" s="8" t="s">
        <v>685</v>
      </c>
      <c r="F182" s="6" t="s">
        <v>686</v>
      </c>
      <c r="G182" s="9">
        <f>IF(A182=1,"_",IF(C182="_","???",C182))</f>
        <v/>
      </c>
      <c r="H182" s="10" t="s">
        <v>11</v>
      </c>
      <c r="I182" s="11" t="s">
        <v>11</v>
      </c>
      <c r="J182" s="12"/>
    </row>
    <row r="183" spans="1:10" ht="60" customHeight="1">
      <c r="A183" s="6" t="s">
        <v>687</v>
      </c>
      <c r="B183" s="6" t="s">
        <v>20</v>
      </c>
      <c r="C183" s="6" t="s">
        <v>11</v>
      </c>
      <c r="D183" s="7" t="s">
        <v>688</v>
      </c>
      <c r="E183" s="8" t="s">
        <v>689</v>
      </c>
      <c r="F183" s="6" t="s">
        <v>690</v>
      </c>
      <c r="G183" s="9">
        <f>IF(A183=1,"_",IF(C183="_","???",C183))</f>
        <v/>
      </c>
      <c r="H183" s="10" t="s">
        <v>11</v>
      </c>
      <c r="I183" s="11" t="s">
        <v>11</v>
      </c>
      <c r="J183" s="12"/>
    </row>
    <row r="184" spans="1:10" ht="60" customHeight="1">
      <c r="A184" s="6" t="s">
        <v>691</v>
      </c>
      <c r="B184" s="6" t="s">
        <v>48</v>
      </c>
      <c r="C184" s="6" t="s">
        <v>11</v>
      </c>
      <c r="D184" s="7" t="s">
        <v>692</v>
      </c>
      <c r="E184" s="8" t="s">
        <v>693</v>
      </c>
      <c r="F184" s="6" t="s">
        <v>694</v>
      </c>
      <c r="G184" s="9">
        <f>IF(A184=1,"_",IF(C184="_","???",C184))</f>
        <v/>
      </c>
      <c r="H184" s="10" t="s">
        <v>11</v>
      </c>
      <c r="I184" s="11" t="s">
        <v>11</v>
      </c>
      <c r="J184" s="12"/>
    </row>
    <row r="185" spans="1:10" ht="60" customHeight="1">
      <c r="A185" s="6" t="s">
        <v>695</v>
      </c>
      <c r="B185" s="6" t="s">
        <v>105</v>
      </c>
      <c r="C185" s="6" t="s">
        <v>11</v>
      </c>
      <c r="D185" s="7" t="s">
        <v>696</v>
      </c>
      <c r="E185" s="8" t="s">
        <v>697</v>
      </c>
      <c r="F185" s="6" t="s">
        <v>698</v>
      </c>
      <c r="G185" s="9">
        <f>IF(A185=1,"_",IF(C185="_","???",C185))</f>
        <v/>
      </c>
      <c r="H185" s="10" t="s">
        <v>11</v>
      </c>
      <c r="I185" s="11" t="s">
        <v>11</v>
      </c>
      <c r="J185" s="12"/>
    </row>
    <row r="186" spans="1:10" ht="60" customHeight="1">
      <c r="A186" s="6" t="s">
        <v>699</v>
      </c>
      <c r="B186" s="6" t="s">
        <v>48</v>
      </c>
      <c r="C186" s="6" t="s">
        <v>11</v>
      </c>
      <c r="D186" s="7" t="s">
        <v>700</v>
      </c>
      <c r="E186" s="8" t="s">
        <v>701</v>
      </c>
      <c r="F186" s="6" t="s">
        <v>702</v>
      </c>
      <c r="G186" s="9">
        <f>IF(A186=1,"_",IF(C186="_","???",C186))</f>
        <v/>
      </c>
      <c r="H186" s="10" t="s">
        <v>11</v>
      </c>
      <c r="I186" s="11" t="s">
        <v>11</v>
      </c>
      <c r="J186" s="12"/>
    </row>
    <row r="187" spans="1:10" ht="60" customHeight="1">
      <c r="A187" s="6" t="s">
        <v>703</v>
      </c>
      <c r="B187" s="6" t="s">
        <v>68</v>
      </c>
      <c r="C187" s="6" t="s">
        <v>11</v>
      </c>
      <c r="D187" s="7" t="s">
        <v>704</v>
      </c>
      <c r="E187" s="8" t="s">
        <v>705</v>
      </c>
      <c r="F187" s="6" t="s">
        <v>706</v>
      </c>
      <c r="G187" s="9">
        <f>IF(A187=1,"_",IF(C187="_","???",C187))</f>
        <v/>
      </c>
      <c r="H187" s="10" t="s">
        <v>11</v>
      </c>
      <c r="I187" s="11" t="s">
        <v>11</v>
      </c>
      <c r="J187" s="12"/>
    </row>
    <row r="188" spans="1:10" ht="60" customHeight="1">
      <c r="A188" s="6" t="s">
        <v>707</v>
      </c>
      <c r="B188" s="6" t="s">
        <v>41</v>
      </c>
      <c r="C188" s="6" t="s">
        <v>11</v>
      </c>
      <c r="D188" s="7" t="s">
        <v>708</v>
      </c>
      <c r="E188" s="8" t="s">
        <v>709</v>
      </c>
      <c r="F188" s="6" t="s">
        <v>710</v>
      </c>
      <c r="G188" s="9">
        <f>IF(A188=1,"_",IF(C188="_","???",C188))</f>
        <v/>
      </c>
      <c r="H188" s="10" t="s">
        <v>11</v>
      </c>
      <c r="I188" s="11" t="s">
        <v>11</v>
      </c>
      <c r="J188" s="12"/>
    </row>
    <row r="189" spans="1:10" ht="60" customHeight="1">
      <c r="A189" s="6" t="s">
        <v>711</v>
      </c>
      <c r="B189" s="6" t="s">
        <v>15</v>
      </c>
      <c r="C189" s="6" t="s">
        <v>11</v>
      </c>
      <c r="D189" s="7" t="s">
        <v>712</v>
      </c>
      <c r="E189" s="8" t="s">
        <v>713</v>
      </c>
      <c r="F189" s="6" t="s">
        <v>714</v>
      </c>
      <c r="G189" s="9">
        <f>IF(A189=1,"_",IF(C189="_","???",C189))</f>
        <v/>
      </c>
      <c r="H189" s="10" t="s">
        <v>11</v>
      </c>
      <c r="I189" s="11" t="s">
        <v>11</v>
      </c>
      <c r="J189" s="12"/>
    </row>
    <row r="190" spans="1:10" ht="60" customHeight="1">
      <c r="A190" s="6" t="s">
        <v>715</v>
      </c>
      <c r="B190" s="6" t="s">
        <v>68</v>
      </c>
      <c r="C190" s="6" t="s">
        <v>11</v>
      </c>
      <c r="D190" s="7" t="s">
        <v>716</v>
      </c>
      <c r="E190" s="8" t="s">
        <v>717</v>
      </c>
      <c r="F190" s="6" t="s">
        <v>718</v>
      </c>
      <c r="G190" s="9">
        <f>IF(A190=1,"_",IF(C190="_","???",C190))</f>
        <v/>
      </c>
      <c r="H190" s="10" t="s">
        <v>11</v>
      </c>
      <c r="I190" s="11" t="s">
        <v>11</v>
      </c>
      <c r="J190" s="12"/>
    </row>
    <row r="191" spans="1:10" ht="60" customHeight="1">
      <c r="A191" s="6" t="s">
        <v>719</v>
      </c>
      <c r="B191" s="6" t="s">
        <v>41</v>
      </c>
      <c r="C191" s="6" t="s">
        <v>11</v>
      </c>
      <c r="D191" s="7" t="s">
        <v>720</v>
      </c>
      <c r="E191" s="8" t="s">
        <v>721</v>
      </c>
      <c r="F191" s="6" t="s">
        <v>722</v>
      </c>
      <c r="G191" s="9">
        <f>IF(A191=1,"_",IF(C191="_","???",C191))</f>
        <v/>
      </c>
      <c r="H191" s="10" t="s">
        <v>11</v>
      </c>
      <c r="I191" s="11" t="s">
        <v>11</v>
      </c>
      <c r="J191" s="12"/>
    </row>
    <row r="192" spans="1:10" ht="60" customHeight="1">
      <c r="A192" s="6" t="s">
        <v>723</v>
      </c>
      <c r="B192" s="6" t="s">
        <v>56</v>
      </c>
      <c r="C192" s="6" t="s">
        <v>11</v>
      </c>
      <c r="D192" s="7" t="s">
        <v>724</v>
      </c>
      <c r="E192" s="8" t="s">
        <v>725</v>
      </c>
      <c r="F192" s="6" t="s">
        <v>726</v>
      </c>
      <c r="G192" s="9">
        <f>IF(A192=1,"_",IF(C192="_","???",C192))</f>
        <v/>
      </c>
      <c r="H192" s="10" t="s">
        <v>11</v>
      </c>
      <c r="I192" s="11" t="s">
        <v>11</v>
      </c>
      <c r="J192" s="12"/>
    </row>
    <row r="193" spans="1:10" ht="60" customHeight="1">
      <c r="A193" s="6" t="s">
        <v>727</v>
      </c>
      <c r="B193" s="6" t="s">
        <v>64</v>
      </c>
      <c r="C193" s="6" t="s">
        <v>11</v>
      </c>
      <c r="D193" s="7" t="s">
        <v>728</v>
      </c>
      <c r="E193" s="8" t="s">
        <v>729</v>
      </c>
      <c r="F193" s="6" t="s">
        <v>730</v>
      </c>
      <c r="G193" s="9">
        <f>IF(A193=1,"_",IF(C193="_","???",C193))</f>
        <v/>
      </c>
      <c r="H193" s="10" t="s">
        <v>11</v>
      </c>
      <c r="I193" s="11" t="s">
        <v>11</v>
      </c>
      <c r="J193" s="12"/>
    </row>
    <row r="194" spans="1:10" ht="60" customHeight="1">
      <c r="A194" s="6" t="s">
        <v>731</v>
      </c>
      <c r="B194" s="6" t="s">
        <v>72</v>
      </c>
      <c r="C194" s="6" t="s">
        <v>11</v>
      </c>
      <c r="D194" s="7" t="s">
        <v>96</v>
      </c>
      <c r="E194" s="8" t="s">
        <v>732</v>
      </c>
      <c r="F194" s="6" t="s">
        <v>733</v>
      </c>
      <c r="G194" s="9">
        <f>IF(A194=1,"_",IF(C194="_","???",C194))</f>
        <v/>
      </c>
      <c r="H194" s="10" t="s">
        <v>11</v>
      </c>
      <c r="I194" s="11" t="s">
        <v>11</v>
      </c>
      <c r="J194" s="12"/>
    </row>
    <row r="195" spans="1:10" ht="60" customHeight="1">
      <c r="A195" s="6" t="s">
        <v>734</v>
      </c>
      <c r="B195" s="6" t="s">
        <v>15</v>
      </c>
      <c r="C195" s="6" t="s">
        <v>11</v>
      </c>
      <c r="D195" s="7" t="s">
        <v>735</v>
      </c>
      <c r="E195" s="8" t="s">
        <v>736</v>
      </c>
      <c r="F195" s="6" t="s">
        <v>737</v>
      </c>
      <c r="G195" s="9">
        <f>IF(A195=1,"_",IF(C195="_","???",C195))</f>
        <v/>
      </c>
      <c r="H195" s="10" t="s">
        <v>11</v>
      </c>
      <c r="I195" s="11" t="s">
        <v>11</v>
      </c>
      <c r="J195" s="12"/>
    </row>
    <row r="196" spans="1:10" ht="60" customHeight="1">
      <c r="A196" s="6" t="s">
        <v>738</v>
      </c>
      <c r="B196" s="6" t="s">
        <v>10</v>
      </c>
      <c r="C196" s="6" t="s">
        <v>11</v>
      </c>
      <c r="D196" s="7" t="s">
        <v>163</v>
      </c>
      <c r="E196" s="8" t="s">
        <v>739</v>
      </c>
      <c r="F196" s="6" t="s">
        <v>740</v>
      </c>
      <c r="G196" s="9">
        <f>IF(A196=1,"_",IF(C196="_","???",C196))</f>
        <v/>
      </c>
      <c r="H196" s="10" t="s">
        <v>11</v>
      </c>
      <c r="I196" s="11" t="s">
        <v>11</v>
      </c>
      <c r="J196" s="12"/>
    </row>
    <row r="197" spans="1:10" ht="60" customHeight="1">
      <c r="A197" s="6" t="s">
        <v>741</v>
      </c>
      <c r="B197" s="6" t="s">
        <v>16</v>
      </c>
      <c r="C197" s="6" t="s">
        <v>11</v>
      </c>
      <c r="D197" s="7" t="s">
        <v>544</v>
      </c>
      <c r="E197" s="8" t="s">
        <v>742</v>
      </c>
      <c r="F197" s="6" t="s">
        <v>743</v>
      </c>
      <c r="G197" s="9">
        <f>IF(A197=1,"_",IF(C197="_","???",C197))</f>
        <v/>
      </c>
      <c r="H197" s="10" t="s">
        <v>11</v>
      </c>
      <c r="I197" s="11" t="s">
        <v>11</v>
      </c>
      <c r="J197" s="12"/>
    </row>
    <row r="198" spans="1:10" ht="60" customHeight="1">
      <c r="A198" s="6" t="s">
        <v>744</v>
      </c>
      <c r="B198" s="6" t="s">
        <v>29</v>
      </c>
      <c r="C198" s="6" t="s">
        <v>11</v>
      </c>
      <c r="D198" s="7" t="s">
        <v>134</v>
      </c>
      <c r="E198" s="8" t="s">
        <v>745</v>
      </c>
      <c r="F198" s="6" t="s">
        <v>746</v>
      </c>
      <c r="G198" s="9">
        <f>IF(A198=1,"_",IF(C198="_","???",C198))</f>
        <v/>
      </c>
      <c r="H198" s="10" t="s">
        <v>11</v>
      </c>
      <c r="I198" s="11" t="s">
        <v>11</v>
      </c>
      <c r="J198" s="12"/>
    </row>
    <row r="199" spans="1:10" ht="60" customHeight="1">
      <c r="A199" s="6" t="s">
        <v>747</v>
      </c>
      <c r="B199" s="6" t="s">
        <v>10</v>
      </c>
      <c r="C199" s="6" t="s">
        <v>11</v>
      </c>
      <c r="D199" s="7" t="s">
        <v>185</v>
      </c>
      <c r="E199" s="8" t="s">
        <v>748</v>
      </c>
      <c r="F199" s="6" t="s">
        <v>749</v>
      </c>
      <c r="G199" s="9">
        <f>IF(A199=1,"_",IF(C199="_","???",C199))</f>
        <v/>
      </c>
      <c r="H199" s="10" t="s">
        <v>11</v>
      </c>
      <c r="I199" s="11" t="s">
        <v>11</v>
      </c>
      <c r="J199" s="12"/>
    </row>
    <row r="200" spans="1:10" ht="60" customHeight="1">
      <c r="A200" s="6" t="s">
        <v>750</v>
      </c>
      <c r="B200" s="6" t="s">
        <v>25</v>
      </c>
      <c r="C200" s="6" t="s">
        <v>11</v>
      </c>
      <c r="D200" s="7" t="s">
        <v>751</v>
      </c>
      <c r="E200" s="8" t="s">
        <v>752</v>
      </c>
      <c r="F200" s="6" t="s">
        <v>753</v>
      </c>
      <c r="G200" s="9">
        <f>IF(A200=1,"_",IF(C200="_","???",C200))</f>
        <v/>
      </c>
      <c r="H200" s="10" t="s">
        <v>11</v>
      </c>
      <c r="I200" s="11" t="s">
        <v>11</v>
      </c>
      <c r="J200" s="12"/>
    </row>
    <row r="201" spans="1:10" ht="60" customHeight="1">
      <c r="A201" s="6" t="s">
        <v>754</v>
      </c>
      <c r="B201" s="6" t="s">
        <v>20</v>
      </c>
      <c r="C201" s="6" t="s">
        <v>11</v>
      </c>
      <c r="D201" s="7" t="s">
        <v>755</v>
      </c>
      <c r="E201" s="8" t="s">
        <v>756</v>
      </c>
      <c r="F201" s="6" t="s">
        <v>757</v>
      </c>
      <c r="G201" s="9">
        <f>IF(A201=1,"_",IF(C201="_","???",C201))</f>
        <v/>
      </c>
      <c r="H201" s="10" t="s">
        <v>11</v>
      </c>
      <c r="I201" s="11" t="s">
        <v>11</v>
      </c>
      <c r="J201" s="12"/>
    </row>
    <row r="202" spans="1:10" ht="60" customHeight="1">
      <c r="A202" s="6" t="s">
        <v>758</v>
      </c>
      <c r="B202" s="6" t="s">
        <v>21</v>
      </c>
      <c r="C202" s="6" t="s">
        <v>11</v>
      </c>
      <c r="D202" s="7" t="s">
        <v>134</v>
      </c>
      <c r="E202" s="8" t="s">
        <v>759</v>
      </c>
      <c r="F202" s="6" t="s">
        <v>760</v>
      </c>
      <c r="G202" s="9">
        <f>IF(A202=1,"_",IF(C202="_","???",C202))</f>
        <v/>
      </c>
      <c r="H202" s="10" t="s">
        <v>11</v>
      </c>
      <c r="I202" s="11" t="s">
        <v>11</v>
      </c>
      <c r="J202" s="12"/>
    </row>
    <row r="203" spans="1:10" ht="60" customHeight="1">
      <c r="A203" s="6" t="s">
        <v>761</v>
      </c>
      <c r="B203" s="6" t="s">
        <v>29</v>
      </c>
      <c r="C203" s="6" t="s">
        <v>30</v>
      </c>
      <c r="D203" s="7" t="s">
        <v>735</v>
      </c>
      <c r="E203" s="8" t="s">
        <v>762</v>
      </c>
      <c r="F203" s="6" t="s">
        <v>763</v>
      </c>
      <c r="G203" s="9">
        <f>IF(A203=1,"_",IF(C203="_","???",C203))</f>
        <v/>
      </c>
      <c r="H203" s="10" t="s">
        <v>11</v>
      </c>
      <c r="I203" s="11" t="s">
        <v>11</v>
      </c>
      <c r="J203" s="12"/>
    </row>
    <row r="204" spans="1:10" ht="60" customHeight="1">
      <c r="A204" s="6" t="s">
        <v>764</v>
      </c>
      <c r="B204" s="6" t="s">
        <v>15</v>
      </c>
      <c r="C204" s="6" t="s">
        <v>11</v>
      </c>
      <c r="D204" s="7" t="s">
        <v>340</v>
      </c>
      <c r="E204" s="8" t="s">
        <v>765</v>
      </c>
      <c r="F204" s="6" t="s">
        <v>766</v>
      </c>
      <c r="G204" s="9">
        <f>IF(A204=1,"_",IF(C204="_","???",C204))</f>
        <v/>
      </c>
      <c r="H204" s="10" t="s">
        <v>11</v>
      </c>
      <c r="I204" s="11" t="s">
        <v>11</v>
      </c>
      <c r="J204" s="12"/>
    </row>
    <row r="205" spans="1:10" ht="60" customHeight="1">
      <c r="A205" s="6" t="s">
        <v>767</v>
      </c>
      <c r="B205" s="6" t="s">
        <v>48</v>
      </c>
      <c r="C205" s="6" t="s">
        <v>11</v>
      </c>
      <c r="D205" s="7" t="s">
        <v>768</v>
      </c>
      <c r="E205" s="8" t="s">
        <v>769</v>
      </c>
      <c r="F205" s="6" t="s">
        <v>770</v>
      </c>
      <c r="G205" s="9">
        <f>IF(A205=1,"_",IF(C205="_","???",C205))</f>
        <v/>
      </c>
      <c r="H205" s="10" t="s">
        <v>11</v>
      </c>
      <c r="I205" s="11" t="s">
        <v>11</v>
      </c>
      <c r="J205" s="12"/>
    </row>
    <row r="206" spans="1:10" ht="60" customHeight="1">
      <c r="A206" s="6" t="s">
        <v>771</v>
      </c>
      <c r="B206" s="6" t="s">
        <v>15</v>
      </c>
      <c r="C206" s="6" t="s">
        <v>11</v>
      </c>
      <c r="D206" s="7" t="s">
        <v>768</v>
      </c>
      <c r="E206" s="8" t="s">
        <v>772</v>
      </c>
      <c r="F206" s="6" t="s">
        <v>773</v>
      </c>
      <c r="G206" s="9">
        <f>IF(A206=1,"_",IF(C206="_","???",C206))</f>
        <v/>
      </c>
      <c r="H206" s="10" t="s">
        <v>11</v>
      </c>
      <c r="I206" s="11" t="s">
        <v>11</v>
      </c>
      <c r="J206" s="12"/>
    </row>
    <row r="207" spans="1:10" ht="60" customHeight="1">
      <c r="A207" s="6" t="s">
        <v>774</v>
      </c>
      <c r="B207" s="6" t="s">
        <v>25</v>
      </c>
      <c r="C207" s="6" t="s">
        <v>11</v>
      </c>
      <c r="D207" s="7" t="s">
        <v>700</v>
      </c>
      <c r="E207" s="8" t="s">
        <v>775</v>
      </c>
      <c r="F207" s="6" t="s">
        <v>776</v>
      </c>
      <c r="G207" s="9">
        <f>IF(A207=1,"_",IF(C207="_","???",C207))</f>
        <v/>
      </c>
      <c r="H207" s="10" t="s">
        <v>11</v>
      </c>
      <c r="I207" s="11" t="s">
        <v>11</v>
      </c>
      <c r="J207" s="12"/>
    </row>
    <row r="208" spans="1:10" ht="60" customHeight="1">
      <c r="A208" s="6" t="s">
        <v>777</v>
      </c>
      <c r="B208" s="6" t="s">
        <v>41</v>
      </c>
      <c r="C208" s="6" t="s">
        <v>11</v>
      </c>
      <c r="D208" s="7" t="s">
        <v>96</v>
      </c>
      <c r="E208" s="8" t="s">
        <v>778</v>
      </c>
      <c r="F208" s="6" t="s">
        <v>779</v>
      </c>
      <c r="G208" s="9">
        <f>IF(A208=1,"_",IF(C208="_","???",C208))</f>
        <v/>
      </c>
      <c r="H208" s="10" t="s">
        <v>11</v>
      </c>
      <c r="I208" s="11" t="s">
        <v>11</v>
      </c>
      <c r="J208" s="12"/>
    </row>
    <row r="209" spans="1:10" ht="60" customHeight="1">
      <c r="A209" s="6" t="s">
        <v>780</v>
      </c>
      <c r="B209" s="6" t="s">
        <v>15</v>
      </c>
      <c r="C209" s="6" t="s">
        <v>11</v>
      </c>
      <c r="D209" s="7" t="s">
        <v>96</v>
      </c>
      <c r="E209" s="8" t="s">
        <v>781</v>
      </c>
      <c r="F209" s="6" t="s">
        <v>782</v>
      </c>
      <c r="G209" s="9">
        <f>IF(A209=1,"_",IF(C209="_","???",C209))</f>
        <v/>
      </c>
      <c r="H209" s="10" t="s">
        <v>11</v>
      </c>
      <c r="I209" s="11" t="s">
        <v>11</v>
      </c>
      <c r="J209" s="12"/>
    </row>
    <row r="210" spans="1:10" ht="60" customHeight="1">
      <c r="A210" s="6" t="s">
        <v>783</v>
      </c>
      <c r="B210" s="6" t="s">
        <v>15</v>
      </c>
      <c r="C210" s="6" t="s">
        <v>11</v>
      </c>
      <c r="D210" s="7" t="s">
        <v>96</v>
      </c>
      <c r="E210" s="8" t="s">
        <v>784</v>
      </c>
      <c r="F210" s="6" t="s">
        <v>785</v>
      </c>
      <c r="G210" s="9">
        <f>IF(A210=1,"_",IF(C210="_","???",C210))</f>
        <v/>
      </c>
      <c r="H210" s="10" t="s">
        <v>11</v>
      </c>
      <c r="I210" s="11" t="s">
        <v>11</v>
      </c>
      <c r="J210" s="12"/>
    </row>
    <row r="211" spans="1:10" ht="60" customHeight="1">
      <c r="A211" s="6" t="s">
        <v>786</v>
      </c>
      <c r="B211" s="6" t="s">
        <v>20</v>
      </c>
      <c r="C211" s="6" t="s">
        <v>11</v>
      </c>
      <c r="D211" s="7" t="s">
        <v>163</v>
      </c>
      <c r="E211" s="8" t="s">
        <v>787</v>
      </c>
      <c r="F211" s="6" t="s">
        <v>788</v>
      </c>
      <c r="G211" s="9">
        <f>IF(A211=1,"_",IF(C211="_","???",C211))</f>
        <v/>
      </c>
      <c r="H211" s="10" t="s">
        <v>11</v>
      </c>
      <c r="I211" s="11" t="s">
        <v>11</v>
      </c>
      <c r="J211" s="12"/>
    </row>
    <row r="212" spans="1:10" ht="60" customHeight="1">
      <c r="A212" s="6" t="s">
        <v>789</v>
      </c>
      <c r="B212" s="6" t="s">
        <v>34</v>
      </c>
      <c r="C212" s="6" t="s">
        <v>11</v>
      </c>
      <c r="D212" s="7" t="s">
        <v>790</v>
      </c>
      <c r="E212" s="8" t="s">
        <v>791</v>
      </c>
      <c r="F212" s="6" t="s">
        <v>792</v>
      </c>
      <c r="G212" s="9">
        <f>IF(A212=1,"_",IF(C212="_","???",C212))</f>
        <v/>
      </c>
      <c r="H212" s="10" t="s">
        <v>11</v>
      </c>
      <c r="I212" s="11" t="s">
        <v>11</v>
      </c>
      <c r="J212" s="12"/>
    </row>
    <row r="213" spans="1:10" ht="60" customHeight="1">
      <c r="A213" s="6" t="s">
        <v>793</v>
      </c>
      <c r="B213" s="6" t="s">
        <v>15</v>
      </c>
      <c r="C213" s="6" t="s">
        <v>11</v>
      </c>
      <c r="D213" s="7" t="s">
        <v>163</v>
      </c>
      <c r="E213" s="8" t="s">
        <v>794</v>
      </c>
      <c r="F213" s="6" t="s">
        <v>795</v>
      </c>
      <c r="G213" s="9">
        <f>IF(A213=1,"_",IF(C213="_","???",C213))</f>
        <v/>
      </c>
      <c r="H213" s="10" t="s">
        <v>11</v>
      </c>
      <c r="I213" s="11" t="s">
        <v>11</v>
      </c>
      <c r="J213" s="12"/>
    </row>
    <row r="214" spans="1:10" ht="60" customHeight="1">
      <c r="A214" s="6" t="s">
        <v>796</v>
      </c>
      <c r="B214" s="6" t="s">
        <v>34</v>
      </c>
      <c r="C214" s="6" t="s">
        <v>11</v>
      </c>
      <c r="D214" s="7" t="s">
        <v>797</v>
      </c>
      <c r="E214" s="8" t="s">
        <v>798</v>
      </c>
      <c r="F214" s="6" t="s">
        <v>799</v>
      </c>
      <c r="G214" s="9">
        <f>IF(A214=1,"_",IF(C214="_","???",C214))</f>
        <v/>
      </c>
      <c r="H214" s="10" t="s">
        <v>11</v>
      </c>
      <c r="I214" s="11" t="s">
        <v>11</v>
      </c>
      <c r="J214" s="12"/>
    </row>
    <row r="215" spans="1:10" ht="60" customHeight="1">
      <c r="A215" s="6" t="s">
        <v>800</v>
      </c>
      <c r="B215" s="6" t="s">
        <v>25</v>
      </c>
      <c r="C215" s="6" t="s">
        <v>11</v>
      </c>
      <c r="D215" s="7" t="s">
        <v>801</v>
      </c>
      <c r="E215" s="8" t="s">
        <v>802</v>
      </c>
      <c r="F215" s="6" t="s">
        <v>803</v>
      </c>
      <c r="G215" s="9">
        <f>IF(A215=1,"_",IF(C215="_","???",C215))</f>
        <v/>
      </c>
      <c r="H215" s="10" t="s">
        <v>11</v>
      </c>
      <c r="I215" s="11" t="s">
        <v>11</v>
      </c>
      <c r="J215" s="12"/>
    </row>
    <row r="216" spans="1:10" ht="60" customHeight="1">
      <c r="A216" s="6" t="s">
        <v>804</v>
      </c>
      <c r="B216" s="6" t="s">
        <v>25</v>
      </c>
      <c r="C216" s="6" t="s">
        <v>11</v>
      </c>
      <c r="D216" s="7" t="s">
        <v>521</v>
      </c>
      <c r="E216" s="8" t="s">
        <v>805</v>
      </c>
      <c r="F216" s="6" t="s">
        <v>806</v>
      </c>
      <c r="G216" s="9">
        <f>IF(A216=1,"_",IF(C216="_","???",C216))</f>
        <v/>
      </c>
      <c r="H216" s="10" t="s">
        <v>11</v>
      </c>
      <c r="I216" s="11" t="s">
        <v>11</v>
      </c>
      <c r="J216" s="12"/>
    </row>
    <row r="217" spans="1:10" ht="60" customHeight="1">
      <c r="A217" s="6" t="s">
        <v>807</v>
      </c>
      <c r="B217" s="6" t="s">
        <v>21</v>
      </c>
      <c r="C217" s="6" t="s">
        <v>11</v>
      </c>
      <c r="D217" s="7" t="s">
        <v>808</v>
      </c>
      <c r="E217" s="8" t="s">
        <v>809</v>
      </c>
      <c r="F217" s="6" t="s">
        <v>810</v>
      </c>
      <c r="G217" s="9">
        <f>IF(A217=1,"_",IF(C217="_","???",C217))</f>
        <v/>
      </c>
      <c r="H217" s="10" t="s">
        <v>11</v>
      </c>
      <c r="I217" s="11" t="s">
        <v>11</v>
      </c>
      <c r="J217" s="12"/>
    </row>
    <row r="218" spans="1:10" ht="60" customHeight="1">
      <c r="A218" s="6" t="s">
        <v>811</v>
      </c>
      <c r="B218" s="6" t="s">
        <v>15</v>
      </c>
      <c r="C218" s="6" t="s">
        <v>11</v>
      </c>
      <c r="D218" s="7" t="s">
        <v>207</v>
      </c>
      <c r="E218" s="8" t="s">
        <v>812</v>
      </c>
      <c r="F218" s="6" t="s">
        <v>813</v>
      </c>
      <c r="G218" s="9">
        <f>IF(A218=1,"_",IF(C218="_","???",C218))</f>
        <v/>
      </c>
      <c r="H218" s="10" t="s">
        <v>11</v>
      </c>
      <c r="I218" s="11" t="s">
        <v>11</v>
      </c>
      <c r="J218" s="12"/>
    </row>
    <row r="219" spans="1:10" ht="60" customHeight="1">
      <c r="A219" s="6" t="s">
        <v>814</v>
      </c>
      <c r="B219" s="6" t="s">
        <v>15</v>
      </c>
      <c r="C219" s="6" t="s">
        <v>11</v>
      </c>
      <c r="D219" s="7" t="s">
        <v>207</v>
      </c>
      <c r="E219" s="8" t="s">
        <v>815</v>
      </c>
      <c r="F219" s="6" t="s">
        <v>816</v>
      </c>
      <c r="G219" s="9">
        <f>IF(A219=1,"_",IF(C219="_","???",C219))</f>
        <v/>
      </c>
      <c r="H219" s="10" t="s">
        <v>11</v>
      </c>
      <c r="I219" s="11" t="s">
        <v>11</v>
      </c>
      <c r="J219" s="12"/>
    </row>
    <row r="220" spans="1:10" ht="60" customHeight="1">
      <c r="A220" s="6" t="s">
        <v>817</v>
      </c>
      <c r="B220" s="6" t="s">
        <v>87</v>
      </c>
      <c r="C220" s="6" t="s">
        <v>11</v>
      </c>
      <c r="D220" s="7" t="s">
        <v>818</v>
      </c>
      <c r="E220" s="8" t="s">
        <v>819</v>
      </c>
      <c r="F220" s="6" t="s">
        <v>820</v>
      </c>
      <c r="G220" s="9">
        <f>IF(A220=1,"_",IF(C220="_","???",C220))</f>
        <v/>
      </c>
      <c r="H220" s="10" t="s">
        <v>11</v>
      </c>
      <c r="I220" s="11" t="s">
        <v>11</v>
      </c>
      <c r="J220" s="12"/>
    </row>
    <row r="221" spans="1:10" ht="60" customHeight="1">
      <c r="A221" s="6" t="s">
        <v>821</v>
      </c>
      <c r="B221" s="6" t="s">
        <v>29</v>
      </c>
      <c r="C221" s="6" t="s">
        <v>30</v>
      </c>
      <c r="D221" s="7" t="s">
        <v>822</v>
      </c>
      <c r="E221" s="8" t="s">
        <v>823</v>
      </c>
      <c r="F221" s="6" t="s">
        <v>824</v>
      </c>
      <c r="G221" s="9">
        <f>IF(A221=1,"_",IF(C221="_","???",C221))</f>
        <v/>
      </c>
      <c r="H221" s="10" t="s">
        <v>11</v>
      </c>
      <c r="I221" s="11" t="s">
        <v>11</v>
      </c>
      <c r="J221" s="12"/>
    </row>
    <row r="222" spans="1:10" ht="60" customHeight="1">
      <c r="A222" s="6" t="s">
        <v>825</v>
      </c>
      <c r="B222" s="6" t="s">
        <v>34</v>
      </c>
      <c r="C222" s="6" t="s">
        <v>11</v>
      </c>
      <c r="D222" s="7" t="s">
        <v>826</v>
      </c>
      <c r="E222" s="8" t="s">
        <v>827</v>
      </c>
      <c r="F222" s="6" t="s">
        <v>828</v>
      </c>
      <c r="G222" s="9">
        <f>IF(A222=1,"_",IF(C222="_","???",C222))</f>
        <v/>
      </c>
      <c r="H222" s="10" t="s">
        <v>11</v>
      </c>
      <c r="I222" s="11" t="s">
        <v>11</v>
      </c>
      <c r="J222" s="12"/>
    </row>
    <row r="223" spans="1:10" ht="60" customHeight="1">
      <c r="A223" s="6" t="s">
        <v>829</v>
      </c>
      <c r="B223" s="6" t="s">
        <v>21</v>
      </c>
      <c r="C223" s="6" t="s">
        <v>11</v>
      </c>
      <c r="D223" s="7" t="s">
        <v>830</v>
      </c>
      <c r="E223" s="8" t="s">
        <v>831</v>
      </c>
      <c r="F223" s="6" t="s">
        <v>832</v>
      </c>
      <c r="G223" s="9">
        <f>IF(A223=1,"_",IF(C223="_","???",C223))</f>
        <v/>
      </c>
      <c r="H223" s="10" t="s">
        <v>11</v>
      </c>
      <c r="I223" s="11" t="s">
        <v>11</v>
      </c>
      <c r="J223" s="12"/>
    </row>
    <row r="224" spans="1:10" ht="60" customHeight="1">
      <c r="A224" s="6" t="s">
        <v>833</v>
      </c>
      <c r="B224" s="6" t="s">
        <v>21</v>
      </c>
      <c r="C224" s="6" t="s">
        <v>11</v>
      </c>
      <c r="D224" s="7" t="s">
        <v>834</v>
      </c>
      <c r="E224" s="8" t="s">
        <v>835</v>
      </c>
      <c r="F224" s="6" t="s">
        <v>836</v>
      </c>
      <c r="G224" s="9">
        <f>IF(A224=1,"_",IF(C224="_","???",C224))</f>
        <v/>
      </c>
      <c r="H224" s="10" t="s">
        <v>11</v>
      </c>
      <c r="I224" s="11" t="s">
        <v>11</v>
      </c>
      <c r="J224" s="12"/>
    </row>
    <row r="225" spans="1:10" ht="60" customHeight="1">
      <c r="A225" s="6" t="s">
        <v>837</v>
      </c>
      <c r="B225" s="6" t="s">
        <v>21</v>
      </c>
      <c r="C225" s="6" t="s">
        <v>11</v>
      </c>
      <c r="D225" s="7" t="s">
        <v>838</v>
      </c>
      <c r="E225" s="8" t="s">
        <v>839</v>
      </c>
      <c r="F225" s="6" t="s">
        <v>840</v>
      </c>
      <c r="G225" s="9">
        <f>IF(A225=1,"_",IF(C225="_","???",C225))</f>
        <v/>
      </c>
      <c r="H225" s="10" t="s">
        <v>11</v>
      </c>
      <c r="I225" s="11" t="s">
        <v>11</v>
      </c>
      <c r="J225" s="12"/>
    </row>
    <row r="226" spans="1:10" ht="60" customHeight="1">
      <c r="A226" s="6" t="s">
        <v>841</v>
      </c>
      <c r="B226" s="6" t="s">
        <v>76</v>
      </c>
      <c r="C226" s="6" t="s">
        <v>11</v>
      </c>
      <c r="D226" s="7" t="s">
        <v>842</v>
      </c>
      <c r="E226" s="8" t="s">
        <v>843</v>
      </c>
      <c r="F226" s="6" t="s">
        <v>844</v>
      </c>
      <c r="G226" s="9">
        <f>IF(A226=1,"_",IF(C226="_","???",C226))</f>
        <v/>
      </c>
      <c r="H226" s="10" t="s">
        <v>11</v>
      </c>
      <c r="I226" s="11" t="s">
        <v>11</v>
      </c>
      <c r="J226" s="12"/>
    </row>
    <row r="227" spans="1:10" ht="60" customHeight="1">
      <c r="A227" s="6" t="s">
        <v>845</v>
      </c>
      <c r="B227" s="6" t="s">
        <v>16</v>
      </c>
      <c r="C227" s="6" t="s">
        <v>11</v>
      </c>
      <c r="D227" s="7" t="s">
        <v>768</v>
      </c>
      <c r="E227" s="8" t="s">
        <v>846</v>
      </c>
      <c r="F227" s="6" t="s">
        <v>847</v>
      </c>
      <c r="G227" s="9">
        <f>IF(A227=1,"_",IF(C227="_","???",C227))</f>
        <v/>
      </c>
      <c r="H227" s="10" t="s">
        <v>11</v>
      </c>
      <c r="I227" s="11" t="s">
        <v>11</v>
      </c>
      <c r="J227" s="12"/>
    </row>
    <row r="228" spans="1:10" ht="60" customHeight="1">
      <c r="A228" s="6" t="s">
        <v>848</v>
      </c>
      <c r="B228" s="6" t="s">
        <v>10</v>
      </c>
      <c r="C228" s="6" t="s">
        <v>30</v>
      </c>
      <c r="D228" s="7" t="s">
        <v>849</v>
      </c>
      <c r="E228" s="8" t="s">
        <v>850</v>
      </c>
      <c r="F228" s="6" t="s">
        <v>851</v>
      </c>
      <c r="G228" s="9">
        <f>IF(A228=1,"_",IF(C228="_","???",C228))</f>
        <v/>
      </c>
      <c r="H228" s="10" t="s">
        <v>11</v>
      </c>
      <c r="I228" s="11" t="s">
        <v>11</v>
      </c>
      <c r="J228" s="12"/>
    </row>
    <row r="229" spans="1:10" ht="60" customHeight="1">
      <c r="A229" s="6" t="s">
        <v>852</v>
      </c>
      <c r="B229" s="6" t="s">
        <v>15</v>
      </c>
      <c r="C229" s="6" t="s">
        <v>11</v>
      </c>
      <c r="D229" s="7" t="s">
        <v>853</v>
      </c>
      <c r="E229" s="8" t="s">
        <v>854</v>
      </c>
      <c r="F229" s="6" t="s">
        <v>855</v>
      </c>
      <c r="G229" s="9">
        <f>IF(A229=1,"_",IF(C229="_","???",C229))</f>
        <v/>
      </c>
      <c r="H229" s="10" t="s">
        <v>11</v>
      </c>
      <c r="I229" s="11" t="s">
        <v>11</v>
      </c>
      <c r="J229" s="12"/>
    </row>
    <row r="230" spans="1:10" ht="60" customHeight="1">
      <c r="A230" s="6" t="s">
        <v>856</v>
      </c>
      <c r="B230" s="6" t="s">
        <v>20</v>
      </c>
      <c r="C230" s="6" t="s">
        <v>11</v>
      </c>
      <c r="D230" s="7" t="s">
        <v>857</v>
      </c>
      <c r="E230" s="8" t="s">
        <v>858</v>
      </c>
      <c r="F230" s="6" t="s">
        <v>859</v>
      </c>
      <c r="G230" s="9">
        <f>IF(A230=1,"_",IF(C230="_","???",C230))</f>
        <v/>
      </c>
      <c r="H230" s="10" t="s">
        <v>11</v>
      </c>
      <c r="I230" s="11" t="s">
        <v>11</v>
      </c>
      <c r="J230" s="12"/>
    </row>
    <row r="231" spans="1:10" ht="60" customHeight="1">
      <c r="A231" s="6" t="s">
        <v>860</v>
      </c>
      <c r="B231" s="6" t="s">
        <v>15</v>
      </c>
      <c r="C231" s="6" t="s">
        <v>11</v>
      </c>
      <c r="D231" s="7" t="s">
        <v>207</v>
      </c>
      <c r="E231" s="8" t="s">
        <v>861</v>
      </c>
      <c r="F231" s="6" t="s">
        <v>862</v>
      </c>
      <c r="G231" s="9">
        <f>IF(A231=1,"_",IF(C231="_","???",C231))</f>
        <v/>
      </c>
      <c r="H231" s="10" t="s">
        <v>11</v>
      </c>
      <c r="I231" s="11" t="s">
        <v>11</v>
      </c>
      <c r="J231" s="12"/>
    </row>
    <row r="232" spans="1:10" ht="60" customHeight="1">
      <c r="A232" s="6" t="s">
        <v>863</v>
      </c>
      <c r="B232" s="6" t="s">
        <v>20</v>
      </c>
      <c r="C232" s="6" t="s">
        <v>11</v>
      </c>
      <c r="D232" s="7" t="s">
        <v>207</v>
      </c>
      <c r="E232" s="8" t="s">
        <v>864</v>
      </c>
      <c r="F232" s="6" t="s">
        <v>865</v>
      </c>
      <c r="G232" s="9">
        <f>IF(A232=1,"_",IF(C232="_","???",C232))</f>
        <v/>
      </c>
      <c r="H232" s="10" t="s">
        <v>11</v>
      </c>
      <c r="I232" s="11" t="s">
        <v>11</v>
      </c>
      <c r="J232" s="12"/>
    </row>
    <row r="233" spans="1:10" ht="60" customHeight="1">
      <c r="A233" s="6" t="s">
        <v>866</v>
      </c>
      <c r="B233" s="6" t="s">
        <v>15</v>
      </c>
      <c r="C233" s="6" t="s">
        <v>11</v>
      </c>
      <c r="D233" s="7" t="s">
        <v>867</v>
      </c>
      <c r="E233" s="8" t="s">
        <v>868</v>
      </c>
      <c r="F233" s="6" t="s">
        <v>869</v>
      </c>
      <c r="G233" s="9">
        <f>IF(A233=1,"_",IF(C233="_","???",C233))</f>
        <v/>
      </c>
      <c r="H233" s="10" t="s">
        <v>11</v>
      </c>
      <c r="I233" s="11" t="s">
        <v>11</v>
      </c>
      <c r="J233" s="12"/>
    </row>
    <row r="234" spans="1:10" ht="60" customHeight="1">
      <c r="A234" s="6" t="s">
        <v>870</v>
      </c>
      <c r="B234" s="6" t="s">
        <v>10</v>
      </c>
      <c r="C234" s="6" t="s">
        <v>11</v>
      </c>
      <c r="D234" s="7" t="s">
        <v>185</v>
      </c>
      <c r="E234" s="8" t="s">
        <v>871</v>
      </c>
      <c r="F234" s="6" t="s">
        <v>872</v>
      </c>
      <c r="G234" s="9">
        <f>IF(A234=1,"_",IF(C234="_","???",C234))</f>
        <v/>
      </c>
      <c r="H234" s="10" t="s">
        <v>11</v>
      </c>
      <c r="I234" s="11" t="s">
        <v>11</v>
      </c>
      <c r="J234" s="12"/>
    </row>
    <row r="235" spans="1:10" ht="60" customHeight="1">
      <c r="A235" s="6" t="s">
        <v>873</v>
      </c>
      <c r="B235" s="6" t="s">
        <v>21</v>
      </c>
      <c r="C235" s="6" t="s">
        <v>11</v>
      </c>
      <c r="D235" s="7" t="s">
        <v>874</v>
      </c>
      <c r="E235" s="8" t="s">
        <v>875</v>
      </c>
      <c r="F235" s="6" t="s">
        <v>876</v>
      </c>
      <c r="G235" s="9">
        <f>IF(A235=1,"_",IF(C235="_","???",C235))</f>
        <v/>
      </c>
      <c r="H235" s="10" t="s">
        <v>11</v>
      </c>
      <c r="I235" s="11" t="s">
        <v>11</v>
      </c>
      <c r="J235" s="12"/>
    </row>
    <row r="236" spans="1:10" ht="60" customHeight="1">
      <c r="A236" s="6" t="s">
        <v>877</v>
      </c>
      <c r="B236" s="6" t="s">
        <v>21</v>
      </c>
      <c r="C236" s="6" t="s">
        <v>11</v>
      </c>
      <c r="D236" s="7" t="s">
        <v>215</v>
      </c>
      <c r="E236" s="8" t="s">
        <v>878</v>
      </c>
      <c r="F236" s="6" t="s">
        <v>879</v>
      </c>
      <c r="G236" s="9">
        <f>IF(A236=1,"_",IF(C236="_","???",C236))</f>
        <v/>
      </c>
      <c r="H236" s="10" t="s">
        <v>11</v>
      </c>
      <c r="I236" s="11" t="s">
        <v>11</v>
      </c>
      <c r="J236" s="12"/>
    </row>
    <row r="237" spans="1:10" ht="60" customHeight="1">
      <c r="A237" s="6" t="s">
        <v>880</v>
      </c>
      <c r="B237" s="6" t="s">
        <v>15</v>
      </c>
      <c r="C237" s="6" t="s">
        <v>11</v>
      </c>
      <c r="D237" s="7" t="s">
        <v>207</v>
      </c>
      <c r="E237" s="8" t="s">
        <v>881</v>
      </c>
      <c r="F237" s="6" t="s">
        <v>882</v>
      </c>
      <c r="G237" s="9">
        <f>IF(A237=1,"_",IF(C237="_","???",C237))</f>
        <v/>
      </c>
      <c r="H237" s="10" t="s">
        <v>11</v>
      </c>
      <c r="I237" s="11" t="s">
        <v>11</v>
      </c>
      <c r="J237" s="12"/>
    </row>
    <row r="238" spans="1:10" ht="60" customHeight="1">
      <c r="A238" s="6" t="s">
        <v>883</v>
      </c>
      <c r="B238" s="6" t="s">
        <v>25</v>
      </c>
      <c r="C238" s="6" t="s">
        <v>11</v>
      </c>
      <c r="D238" s="7" t="s">
        <v>884</v>
      </c>
      <c r="E238" s="8" t="s">
        <v>885</v>
      </c>
      <c r="F238" s="6" t="s">
        <v>886</v>
      </c>
      <c r="G238" s="9">
        <f>IF(A238=1,"_",IF(C238="_","???",C238))</f>
        <v/>
      </c>
      <c r="H238" s="10" t="s">
        <v>11</v>
      </c>
      <c r="I238" s="11" t="s">
        <v>11</v>
      </c>
      <c r="J238" s="12"/>
    </row>
    <row r="239" spans="1:10" ht="60" customHeight="1">
      <c r="A239" s="6" t="s">
        <v>887</v>
      </c>
      <c r="B239" s="6" t="s">
        <v>15</v>
      </c>
      <c r="C239" s="6" t="s">
        <v>11</v>
      </c>
      <c r="D239" s="7" t="s">
        <v>521</v>
      </c>
      <c r="E239" s="8" t="s">
        <v>888</v>
      </c>
      <c r="F239" s="6" t="s">
        <v>889</v>
      </c>
      <c r="G239" s="9">
        <f>IF(A239=1,"_",IF(C239="_","???",C239))</f>
        <v/>
      </c>
      <c r="H239" s="10" t="s">
        <v>11</v>
      </c>
      <c r="I239" s="11" t="s">
        <v>11</v>
      </c>
      <c r="J239" s="12"/>
    </row>
    <row r="240" spans="1:10" ht="60" customHeight="1">
      <c r="A240" s="6" t="s">
        <v>890</v>
      </c>
      <c r="B240" s="6" t="s">
        <v>101</v>
      </c>
      <c r="C240" s="6" t="s">
        <v>11</v>
      </c>
      <c r="D240" s="7" t="s">
        <v>891</v>
      </c>
      <c r="E240" s="8" t="s">
        <v>892</v>
      </c>
      <c r="F240" s="6" t="s">
        <v>893</v>
      </c>
      <c r="G240" s="9">
        <f>IF(A240=1,"_",IF(C240="_","???",C240))</f>
        <v/>
      </c>
      <c r="H240" s="10" t="s">
        <v>11</v>
      </c>
      <c r="I240" s="11" t="s">
        <v>11</v>
      </c>
      <c r="J240" s="12"/>
    </row>
    <row r="241" spans="1:10" ht="60" customHeight="1">
      <c r="A241" s="6" t="s">
        <v>894</v>
      </c>
      <c r="B241" s="6" t="s">
        <v>10</v>
      </c>
      <c r="C241" s="6" t="s">
        <v>11</v>
      </c>
      <c r="D241" s="7" t="s">
        <v>895</v>
      </c>
      <c r="E241" s="8" t="s">
        <v>896</v>
      </c>
      <c r="F241" s="6" t="s">
        <v>897</v>
      </c>
      <c r="G241" s="9">
        <f>IF(A241=1,"_",IF(C241="_","???",C241))</f>
        <v/>
      </c>
      <c r="H241" s="10" t="s">
        <v>11</v>
      </c>
      <c r="I241" s="11" t="s">
        <v>11</v>
      </c>
      <c r="J241" s="12"/>
    </row>
    <row r="242" spans="1:10" ht="60" customHeight="1">
      <c r="A242" s="6" t="s">
        <v>898</v>
      </c>
      <c r="B242" s="6" t="s">
        <v>29</v>
      </c>
      <c r="C242" s="6" t="s">
        <v>11</v>
      </c>
      <c r="D242" s="7" t="s">
        <v>126</v>
      </c>
      <c r="E242" s="8" t="s">
        <v>899</v>
      </c>
      <c r="F242" s="6" t="s">
        <v>900</v>
      </c>
      <c r="G242" s="9">
        <f>IF(A242=1,"_",IF(C242="_","???",C242))</f>
        <v/>
      </c>
      <c r="H242" s="10" t="s">
        <v>11</v>
      </c>
      <c r="I242" s="11" t="s">
        <v>11</v>
      </c>
      <c r="J242" s="12"/>
    </row>
    <row r="243" spans="1:10" ht="60" customHeight="1">
      <c r="A243" s="6" t="s">
        <v>901</v>
      </c>
      <c r="B243" s="6" t="s">
        <v>15</v>
      </c>
      <c r="C243" s="6" t="s">
        <v>11</v>
      </c>
      <c r="D243" s="7" t="s">
        <v>902</v>
      </c>
      <c r="E243" s="8" t="s">
        <v>903</v>
      </c>
      <c r="F243" s="6" t="s">
        <v>904</v>
      </c>
      <c r="G243" s="9">
        <f>IF(A243=1,"_",IF(C243="_","???",C243))</f>
        <v/>
      </c>
      <c r="H243" s="10" t="s">
        <v>11</v>
      </c>
      <c r="I243" s="11" t="s">
        <v>11</v>
      </c>
      <c r="J243" s="12"/>
    </row>
    <row r="244" spans="1:10" ht="60" customHeight="1">
      <c r="A244" s="6" t="s">
        <v>905</v>
      </c>
      <c r="B244" s="6" t="s">
        <v>20</v>
      </c>
      <c r="C244" s="6" t="s">
        <v>11</v>
      </c>
      <c r="D244" s="7" t="s">
        <v>906</v>
      </c>
      <c r="E244" s="8" t="s">
        <v>907</v>
      </c>
      <c r="F244" s="6" t="s">
        <v>908</v>
      </c>
      <c r="G244" s="9">
        <f>IF(A244=1,"_",IF(C244="_","???",C244))</f>
        <v/>
      </c>
      <c r="H244" s="10" t="s">
        <v>11</v>
      </c>
      <c r="I244" s="11" t="s">
        <v>11</v>
      </c>
      <c r="J244" s="12"/>
    </row>
    <row r="245" spans="1:10" ht="60" customHeight="1">
      <c r="A245" s="6" t="s">
        <v>909</v>
      </c>
      <c r="B245" s="6" t="s">
        <v>15</v>
      </c>
      <c r="C245" s="6" t="s">
        <v>11</v>
      </c>
      <c r="D245" s="7" t="s">
        <v>910</v>
      </c>
      <c r="E245" s="8" t="s">
        <v>911</v>
      </c>
      <c r="F245" s="6" t="s">
        <v>912</v>
      </c>
      <c r="G245" s="9">
        <f>IF(A245=1,"_",IF(C245="_","???",C245))</f>
        <v/>
      </c>
      <c r="H245" s="10" t="s">
        <v>11</v>
      </c>
      <c r="I245" s="11" t="s">
        <v>11</v>
      </c>
      <c r="J245" s="12"/>
    </row>
    <row r="246" spans="1:10" ht="60" customHeight="1">
      <c r="A246" s="6" t="s">
        <v>913</v>
      </c>
      <c r="B246" s="6" t="s">
        <v>15</v>
      </c>
      <c r="C246" s="6" t="s">
        <v>11</v>
      </c>
      <c r="D246" s="7" t="s">
        <v>914</v>
      </c>
      <c r="E246" s="8" t="s">
        <v>915</v>
      </c>
      <c r="F246" s="6" t="s">
        <v>916</v>
      </c>
      <c r="G246" s="9">
        <f>IF(A246=1,"_",IF(C246="_","???",C246))</f>
        <v/>
      </c>
      <c r="H246" s="10" t="s">
        <v>11</v>
      </c>
      <c r="I246" s="11" t="s">
        <v>11</v>
      </c>
      <c r="J246" s="12"/>
    </row>
    <row r="247" spans="1:10" ht="60" customHeight="1">
      <c r="A247" s="6" t="s">
        <v>917</v>
      </c>
      <c r="B247" s="6" t="s">
        <v>105</v>
      </c>
      <c r="C247" s="6" t="s">
        <v>11</v>
      </c>
      <c r="D247" s="7" t="s">
        <v>918</v>
      </c>
      <c r="E247" s="8" t="s">
        <v>919</v>
      </c>
      <c r="F247" s="6" t="s">
        <v>920</v>
      </c>
      <c r="G247" s="9">
        <f>IF(A247=1,"_",IF(C247="_","???",C247))</f>
        <v/>
      </c>
      <c r="H247" s="10" t="s">
        <v>11</v>
      </c>
      <c r="I247" s="11" t="s">
        <v>11</v>
      </c>
      <c r="J247" s="12"/>
    </row>
    <row r="248" spans="1:10" ht="60" customHeight="1">
      <c r="A248" s="6" t="s">
        <v>921</v>
      </c>
      <c r="B248" s="6" t="s">
        <v>76</v>
      </c>
      <c r="C248" s="6" t="s">
        <v>11</v>
      </c>
      <c r="D248" s="7" t="s">
        <v>521</v>
      </c>
      <c r="E248" s="8" t="s">
        <v>922</v>
      </c>
      <c r="F248" s="6" t="s">
        <v>923</v>
      </c>
      <c r="G248" s="9">
        <f>IF(A248=1,"_",IF(C248="_","???",C248))</f>
        <v/>
      </c>
      <c r="H248" s="10" t="s">
        <v>11</v>
      </c>
      <c r="I248" s="11" t="s">
        <v>11</v>
      </c>
      <c r="J248" s="12"/>
    </row>
    <row r="249" spans="1:10" ht="60" customHeight="1">
      <c r="A249" s="6" t="s">
        <v>924</v>
      </c>
      <c r="B249" s="6" t="s">
        <v>10</v>
      </c>
      <c r="C249" s="6" t="s">
        <v>11</v>
      </c>
      <c r="D249" s="7" t="s">
        <v>925</v>
      </c>
      <c r="E249" s="8" t="s">
        <v>926</v>
      </c>
      <c r="F249" s="6" t="s">
        <v>927</v>
      </c>
      <c r="G249" s="9">
        <f>IF(A249=1,"_",IF(C249="_","???",C249))</f>
        <v/>
      </c>
      <c r="H249" s="10" t="s">
        <v>11</v>
      </c>
      <c r="I249" s="11" t="s">
        <v>11</v>
      </c>
      <c r="J249" s="12"/>
    </row>
    <row r="250" spans="1:10" ht="60" customHeight="1">
      <c r="A250" s="6" t="s">
        <v>928</v>
      </c>
      <c r="B250" s="6" t="s">
        <v>25</v>
      </c>
      <c r="C250" s="6" t="s">
        <v>11</v>
      </c>
      <c r="D250" s="7" t="s">
        <v>929</v>
      </c>
      <c r="E250" s="8" t="s">
        <v>930</v>
      </c>
      <c r="F250" s="6" t="s">
        <v>931</v>
      </c>
      <c r="G250" s="9">
        <f>IF(A250=1,"_",IF(C250="_","???",C250))</f>
        <v/>
      </c>
      <c r="H250" s="10" t="s">
        <v>11</v>
      </c>
      <c r="I250" s="11" t="s">
        <v>11</v>
      </c>
      <c r="J250" s="12"/>
    </row>
    <row r="251" spans="1:10" ht="60" customHeight="1">
      <c r="A251" s="6" t="s">
        <v>932</v>
      </c>
      <c r="B251" s="6" t="s">
        <v>10</v>
      </c>
      <c r="C251" s="6" t="s">
        <v>11</v>
      </c>
      <c r="D251" s="7" t="s">
        <v>925</v>
      </c>
      <c r="E251" s="8" t="s">
        <v>933</v>
      </c>
      <c r="F251" s="6" t="s">
        <v>934</v>
      </c>
      <c r="G251" s="9">
        <f>IF(A251=1,"_",IF(C251="_","???",C251))</f>
        <v/>
      </c>
      <c r="H251" s="10" t="s">
        <v>11</v>
      </c>
      <c r="I251" s="11" t="s">
        <v>11</v>
      </c>
      <c r="J251" s="12"/>
    </row>
    <row r="252" spans="1:10" ht="60" customHeight="1">
      <c r="A252" s="6" t="s">
        <v>935</v>
      </c>
      <c r="B252" s="6" t="s">
        <v>20</v>
      </c>
      <c r="C252" s="6" t="s">
        <v>11</v>
      </c>
      <c r="D252" s="7" t="s">
        <v>936</v>
      </c>
      <c r="E252" s="8" t="s">
        <v>937</v>
      </c>
      <c r="F252" s="6" t="s">
        <v>938</v>
      </c>
      <c r="G252" s="9">
        <f>IF(A252=1,"_",IF(C252="_","???",C252))</f>
        <v/>
      </c>
      <c r="H252" s="10" t="s">
        <v>11</v>
      </c>
      <c r="I252" s="11" t="s">
        <v>11</v>
      </c>
      <c r="J252" s="12"/>
    </row>
    <row r="253" spans="1:10" ht="60" customHeight="1">
      <c r="A253" s="6" t="s">
        <v>939</v>
      </c>
      <c r="B253" s="6" t="s">
        <v>34</v>
      </c>
      <c r="C253" s="6" t="s">
        <v>11</v>
      </c>
      <c r="D253" s="7" t="s">
        <v>940</v>
      </c>
      <c r="E253" s="8" t="s">
        <v>941</v>
      </c>
      <c r="F253" s="6" t="s">
        <v>942</v>
      </c>
      <c r="G253" s="9">
        <f>IF(A253=1,"_",IF(C253="_","???",C253))</f>
        <v/>
      </c>
      <c r="H253" s="10" t="s">
        <v>11</v>
      </c>
      <c r="I253" s="11" t="s">
        <v>11</v>
      </c>
      <c r="J253" s="12"/>
    </row>
    <row r="254" spans="1:10" ht="60" customHeight="1">
      <c r="A254" s="6" t="s">
        <v>943</v>
      </c>
      <c r="B254" s="6" t="s">
        <v>10</v>
      </c>
      <c r="C254" s="6" t="s">
        <v>11</v>
      </c>
      <c r="D254" s="7" t="s">
        <v>944</v>
      </c>
      <c r="E254" s="8" t="s">
        <v>945</v>
      </c>
      <c r="F254" s="6" t="s">
        <v>946</v>
      </c>
      <c r="G254" s="9">
        <f>IF(A254=1,"_",IF(C254="_","???",C254))</f>
        <v/>
      </c>
      <c r="H254" s="10" t="s">
        <v>11</v>
      </c>
      <c r="I254" s="11" t="s">
        <v>11</v>
      </c>
      <c r="J254" s="12"/>
    </row>
    <row r="255" spans="1:10" ht="60" customHeight="1">
      <c r="A255" s="6" t="s">
        <v>947</v>
      </c>
      <c r="B255" s="6" t="s">
        <v>15</v>
      </c>
      <c r="C255" s="6" t="s">
        <v>11</v>
      </c>
      <c r="D255" s="7" t="s">
        <v>163</v>
      </c>
      <c r="E255" s="8" t="s">
        <v>948</v>
      </c>
      <c r="F255" s="6" t="s">
        <v>949</v>
      </c>
      <c r="G255" s="9">
        <f>IF(A255=1,"_",IF(C255="_","???",C255))</f>
        <v/>
      </c>
      <c r="H255" s="10" t="s">
        <v>11</v>
      </c>
      <c r="I255" s="11" t="s">
        <v>11</v>
      </c>
      <c r="J255" s="12"/>
    </row>
    <row r="256" spans="1:10" ht="60" customHeight="1">
      <c r="A256" s="6" t="s">
        <v>950</v>
      </c>
      <c r="B256" s="6" t="s">
        <v>20</v>
      </c>
      <c r="C256" s="6" t="s">
        <v>11</v>
      </c>
      <c r="D256" s="7" t="s">
        <v>951</v>
      </c>
      <c r="E256" s="8" t="s">
        <v>952</v>
      </c>
      <c r="F256" s="6" t="s">
        <v>953</v>
      </c>
      <c r="G256" s="9">
        <f>IF(A256=1,"_",IF(C256="_","???",C256))</f>
        <v/>
      </c>
      <c r="H256" s="10" t="s">
        <v>11</v>
      </c>
      <c r="I256" s="11" t="s">
        <v>11</v>
      </c>
      <c r="J256" s="12"/>
    </row>
    <row r="257" spans="1:10" ht="60" customHeight="1">
      <c r="A257" s="6" t="s">
        <v>954</v>
      </c>
      <c r="B257" s="6" t="s">
        <v>10</v>
      </c>
      <c r="C257" s="6" t="s">
        <v>11</v>
      </c>
      <c r="D257" s="7" t="s">
        <v>366</v>
      </c>
      <c r="E257" s="8" t="s">
        <v>955</v>
      </c>
      <c r="F257" s="6" t="s">
        <v>956</v>
      </c>
      <c r="G257" s="9">
        <f>IF(A257=1,"_",IF(C257="_","???",C257))</f>
        <v/>
      </c>
      <c r="H257" s="10" t="s">
        <v>11</v>
      </c>
      <c r="I257" s="11" t="s">
        <v>11</v>
      </c>
      <c r="J257" s="12"/>
    </row>
    <row r="258" spans="1:10" ht="60" customHeight="1">
      <c r="A258" s="6" t="s">
        <v>957</v>
      </c>
      <c r="B258" s="6" t="s">
        <v>10</v>
      </c>
      <c r="C258" s="6" t="s">
        <v>11</v>
      </c>
      <c r="D258" s="7" t="s">
        <v>185</v>
      </c>
      <c r="E258" s="8" t="s">
        <v>677</v>
      </c>
      <c r="F258" s="6" t="s">
        <v>958</v>
      </c>
      <c r="G258" s="9">
        <f>IF(A258=1,"_",IF(C258="_","???",C258))</f>
        <v/>
      </c>
      <c r="H258" s="10" t="s">
        <v>11</v>
      </c>
      <c r="I258" s="11" t="s">
        <v>11</v>
      </c>
      <c r="J258" s="12"/>
    </row>
    <row r="259" spans="1:10" ht="60" customHeight="1">
      <c r="A259" s="6" t="s">
        <v>959</v>
      </c>
      <c r="B259" s="6" t="s">
        <v>16</v>
      </c>
      <c r="C259" s="6" t="s">
        <v>11</v>
      </c>
      <c r="D259" s="7" t="s">
        <v>960</v>
      </c>
      <c r="E259" s="8" t="s">
        <v>961</v>
      </c>
      <c r="F259" s="6" t="s">
        <v>962</v>
      </c>
      <c r="G259" s="9">
        <f>IF(A259=1,"_",IF(C259="_","???",C259))</f>
        <v/>
      </c>
      <c r="H259" s="10" t="s">
        <v>11</v>
      </c>
      <c r="I259" s="11" t="s">
        <v>11</v>
      </c>
      <c r="J259" s="12"/>
    </row>
    <row r="260" spans="1:10" ht="60" customHeight="1">
      <c r="A260" s="6" t="s">
        <v>963</v>
      </c>
      <c r="B260" s="6" t="s">
        <v>15</v>
      </c>
      <c r="C260" s="6" t="s">
        <v>11</v>
      </c>
      <c r="D260" s="7" t="s">
        <v>964</v>
      </c>
      <c r="E260" s="8" t="s">
        <v>965</v>
      </c>
      <c r="F260" s="6" t="s">
        <v>966</v>
      </c>
      <c r="G260" s="9">
        <f>IF(A260=1,"_",IF(C260="_","???",C260))</f>
        <v/>
      </c>
      <c r="H260" s="10" t="s">
        <v>11</v>
      </c>
      <c r="I260" s="11" t="s">
        <v>11</v>
      </c>
      <c r="J260" s="12"/>
    </row>
    <row r="261" spans="1:10" ht="60" customHeight="1">
      <c r="A261" s="6" t="s">
        <v>967</v>
      </c>
      <c r="B261" s="6" t="s">
        <v>15</v>
      </c>
      <c r="C261" s="6" t="s">
        <v>11</v>
      </c>
      <c r="D261" s="7" t="s">
        <v>968</v>
      </c>
      <c r="E261" s="8" t="s">
        <v>969</v>
      </c>
      <c r="F261" s="6" t="s">
        <v>970</v>
      </c>
      <c r="G261" s="9">
        <f>IF(A261=1,"_",IF(C261="_","???",C261))</f>
        <v/>
      </c>
      <c r="H261" s="10" t="s">
        <v>11</v>
      </c>
      <c r="I261" s="11" t="s">
        <v>11</v>
      </c>
      <c r="J261" s="12"/>
    </row>
    <row r="262" spans="1:10" ht="60" customHeight="1">
      <c r="A262" s="6" t="s">
        <v>971</v>
      </c>
      <c r="B262" s="6" t="s">
        <v>21</v>
      </c>
      <c r="C262" s="6" t="s">
        <v>11</v>
      </c>
      <c r="D262" s="7" t="s">
        <v>972</v>
      </c>
      <c r="E262" s="8" t="s">
        <v>973</v>
      </c>
      <c r="F262" s="6" t="s">
        <v>974</v>
      </c>
      <c r="G262" s="9">
        <f>IF(A262=1,"_",IF(C262="_","???",C262))</f>
        <v/>
      </c>
      <c r="H262" s="10" t="s">
        <v>11</v>
      </c>
      <c r="I262" s="11" t="s">
        <v>11</v>
      </c>
      <c r="J262" s="12"/>
    </row>
    <row r="263" spans="1:10" ht="60" customHeight="1">
      <c r="A263" s="6" t="s">
        <v>975</v>
      </c>
      <c r="B263" s="6" t="s">
        <v>15</v>
      </c>
      <c r="C263" s="6" t="s">
        <v>11</v>
      </c>
      <c r="D263" s="7" t="s">
        <v>340</v>
      </c>
      <c r="E263" s="8" t="s">
        <v>976</v>
      </c>
      <c r="F263" s="6" t="s">
        <v>977</v>
      </c>
      <c r="G263" s="9">
        <f>IF(A263=1,"_",IF(C263="_","???",C263))</f>
        <v/>
      </c>
      <c r="H263" s="10" t="s">
        <v>11</v>
      </c>
      <c r="I263" s="11" t="s">
        <v>11</v>
      </c>
      <c r="J263" s="12"/>
    </row>
    <row r="264" spans="1:10" ht="60" customHeight="1">
      <c r="A264" s="6" t="s">
        <v>978</v>
      </c>
      <c r="B264" s="6" t="s">
        <v>15</v>
      </c>
      <c r="C264" s="6" t="s">
        <v>11</v>
      </c>
      <c r="D264" s="7" t="s">
        <v>979</v>
      </c>
      <c r="E264" s="8" t="s">
        <v>980</v>
      </c>
      <c r="F264" s="6" t="s">
        <v>981</v>
      </c>
      <c r="G264" s="9">
        <f>IF(A264=1,"_",IF(C264="_","???",C264))</f>
        <v/>
      </c>
      <c r="H264" s="10" t="s">
        <v>11</v>
      </c>
      <c r="I264" s="11" t="s">
        <v>11</v>
      </c>
      <c r="J264" s="12"/>
    </row>
    <row r="265" spans="1:10" ht="60" customHeight="1">
      <c r="A265" s="6" t="s">
        <v>982</v>
      </c>
      <c r="B265" s="6" t="s">
        <v>20</v>
      </c>
      <c r="C265" s="6" t="s">
        <v>11</v>
      </c>
      <c r="D265" s="7" t="s">
        <v>163</v>
      </c>
      <c r="E265" s="8" t="s">
        <v>983</v>
      </c>
      <c r="F265" s="6" t="s">
        <v>984</v>
      </c>
      <c r="G265" s="9">
        <f>IF(A265=1,"_",IF(C265="_","???",C265))</f>
        <v/>
      </c>
      <c r="H265" s="10" t="s">
        <v>11</v>
      </c>
      <c r="I265" s="11" t="s">
        <v>11</v>
      </c>
      <c r="J265" s="12"/>
    </row>
    <row r="266" spans="1:10" ht="60" customHeight="1">
      <c r="A266" s="6" t="s">
        <v>985</v>
      </c>
      <c r="B266" s="6" t="s">
        <v>10</v>
      </c>
      <c r="C266" s="6" t="s">
        <v>11</v>
      </c>
      <c r="D266" s="7" t="s">
        <v>185</v>
      </c>
      <c r="E266" s="8" t="s">
        <v>986</v>
      </c>
      <c r="F266" s="6" t="s">
        <v>987</v>
      </c>
      <c r="G266" s="9">
        <f>IF(A266=1,"_",IF(C266="_","???",C266))</f>
        <v/>
      </c>
      <c r="H266" s="10" t="s">
        <v>11</v>
      </c>
      <c r="I266" s="11" t="s">
        <v>11</v>
      </c>
      <c r="J266" s="12"/>
    </row>
    <row r="267" spans="1:10" ht="60" customHeight="1">
      <c r="A267" s="6" t="s">
        <v>988</v>
      </c>
      <c r="B267" s="6" t="s">
        <v>25</v>
      </c>
      <c r="C267" s="6" t="s">
        <v>11</v>
      </c>
      <c r="D267" s="7" t="s">
        <v>173</v>
      </c>
      <c r="E267" s="8" t="s">
        <v>989</v>
      </c>
      <c r="F267" s="6" t="s">
        <v>990</v>
      </c>
      <c r="G267" s="9">
        <f>IF(A267=1,"_",IF(C267="_","???",C267))</f>
        <v/>
      </c>
      <c r="H267" s="10" t="s">
        <v>11</v>
      </c>
      <c r="I267" s="11" t="s">
        <v>11</v>
      </c>
      <c r="J267" s="12"/>
    </row>
    <row r="268" spans="1:10" ht="60" customHeight="1">
      <c r="A268" s="6" t="s">
        <v>991</v>
      </c>
      <c r="B268" s="6" t="s">
        <v>41</v>
      </c>
      <c r="C268" s="6" t="s">
        <v>11</v>
      </c>
      <c r="D268" s="7" t="s">
        <v>163</v>
      </c>
      <c r="E268" s="8" t="s">
        <v>992</v>
      </c>
      <c r="F268" s="6" t="s">
        <v>993</v>
      </c>
      <c r="G268" s="9">
        <f>IF(A268=1,"_",IF(C268="_","???",C268))</f>
        <v/>
      </c>
      <c r="H268" s="10" t="s">
        <v>11</v>
      </c>
      <c r="I268" s="11" t="s">
        <v>11</v>
      </c>
      <c r="J268" s="12"/>
    </row>
    <row r="269" spans="1:10" ht="60" customHeight="1">
      <c r="A269" s="6" t="s">
        <v>994</v>
      </c>
      <c r="B269" s="6" t="s">
        <v>15</v>
      </c>
      <c r="C269" s="6" t="s">
        <v>11</v>
      </c>
      <c r="D269" s="7" t="s">
        <v>995</v>
      </c>
      <c r="E269" s="8" t="s">
        <v>996</v>
      </c>
      <c r="F269" s="6" t="s">
        <v>997</v>
      </c>
      <c r="G269" s="9">
        <f>IF(A269=1,"_",IF(C269="_","???",C269))</f>
        <v/>
      </c>
      <c r="H269" s="10" t="s">
        <v>11</v>
      </c>
      <c r="I269" s="11" t="s">
        <v>11</v>
      </c>
      <c r="J269" s="12"/>
    </row>
    <row r="270" spans="1:10" ht="60" customHeight="1">
      <c r="A270" s="6" t="s">
        <v>998</v>
      </c>
      <c r="B270" s="6" t="s">
        <v>52</v>
      </c>
      <c r="C270" s="6" t="s">
        <v>11</v>
      </c>
      <c r="D270" s="7" t="s">
        <v>999</v>
      </c>
      <c r="E270" s="8" t="s">
        <v>1000</v>
      </c>
      <c r="F270" s="6" t="s">
        <v>1001</v>
      </c>
      <c r="G270" s="9">
        <f>IF(A270=1,"_",IF(C270="_","???",C270))</f>
        <v/>
      </c>
      <c r="H270" s="10" t="s">
        <v>11</v>
      </c>
      <c r="I270" s="11" t="s">
        <v>11</v>
      </c>
      <c r="J270" s="12"/>
    </row>
    <row r="271" spans="1:10" ht="60" customHeight="1">
      <c r="A271" s="6" t="s">
        <v>1002</v>
      </c>
      <c r="B271" s="6" t="s">
        <v>68</v>
      </c>
      <c r="C271" s="6" t="s">
        <v>11</v>
      </c>
      <c r="D271" s="7" t="s">
        <v>215</v>
      </c>
      <c r="E271" s="8" t="s">
        <v>1003</v>
      </c>
      <c r="F271" s="6" t="s">
        <v>1004</v>
      </c>
      <c r="G271" s="9">
        <f>IF(A271=1,"_",IF(C271="_","???",C271))</f>
        <v/>
      </c>
      <c r="H271" s="10" t="s">
        <v>11</v>
      </c>
      <c r="I271" s="11" t="s">
        <v>11</v>
      </c>
      <c r="J271" s="12"/>
    </row>
    <row r="272" spans="1:10" ht="60" customHeight="1">
      <c r="A272" s="6" t="s">
        <v>1005</v>
      </c>
      <c r="B272" s="6" t="s">
        <v>15</v>
      </c>
      <c r="C272" s="6" t="s">
        <v>11</v>
      </c>
      <c r="D272" s="7" t="s">
        <v>1006</v>
      </c>
      <c r="E272" s="8" t="s">
        <v>1007</v>
      </c>
      <c r="F272" s="6" t="s">
        <v>1008</v>
      </c>
      <c r="G272" s="9">
        <f>IF(A272=1,"_",IF(C272="_","???",C272))</f>
        <v/>
      </c>
      <c r="H272" s="10" t="s">
        <v>11</v>
      </c>
      <c r="I272" s="11" t="s">
        <v>11</v>
      </c>
      <c r="J272" s="12"/>
    </row>
    <row r="273" spans="1:10" ht="60" customHeight="1">
      <c r="A273" s="6" t="s">
        <v>1009</v>
      </c>
      <c r="B273" s="6" t="s">
        <v>41</v>
      </c>
      <c r="C273" s="6" t="s">
        <v>11</v>
      </c>
      <c r="D273" s="7" t="s">
        <v>1010</v>
      </c>
      <c r="E273" s="8" t="s">
        <v>1011</v>
      </c>
      <c r="F273" s="6" t="s">
        <v>1012</v>
      </c>
      <c r="G273" s="9">
        <f>IF(A273=1,"_",IF(C273="_","???",C273))</f>
        <v/>
      </c>
      <c r="H273" s="10" t="s">
        <v>11</v>
      </c>
      <c r="I273" s="11" t="s">
        <v>11</v>
      </c>
      <c r="J273" s="12"/>
    </row>
    <row r="274" spans="1:10" ht="60" customHeight="1">
      <c r="A274" s="6" t="s">
        <v>1013</v>
      </c>
      <c r="B274" s="6" t="s">
        <v>29</v>
      </c>
      <c r="C274" s="6" t="s">
        <v>11</v>
      </c>
      <c r="D274" s="7" t="s">
        <v>1014</v>
      </c>
      <c r="E274" s="8" t="s">
        <v>1015</v>
      </c>
      <c r="F274" s="6" t="s">
        <v>1016</v>
      </c>
      <c r="G274" s="9">
        <f>IF(A274=1,"_",IF(C274="_","???",C274))</f>
        <v/>
      </c>
      <c r="H274" s="10" t="s">
        <v>11</v>
      </c>
      <c r="I274" s="11" t="s">
        <v>11</v>
      </c>
      <c r="J274" s="12"/>
    </row>
    <row r="275" spans="1:10" ht="60" customHeight="1">
      <c r="A275" s="6" t="s">
        <v>1017</v>
      </c>
      <c r="B275" s="6" t="s">
        <v>15</v>
      </c>
      <c r="C275" s="6" t="s">
        <v>11</v>
      </c>
      <c r="D275" s="7" t="s">
        <v>1018</v>
      </c>
      <c r="E275" s="8" t="s">
        <v>1019</v>
      </c>
      <c r="F275" s="6" t="s">
        <v>1020</v>
      </c>
      <c r="G275" s="9">
        <f>IF(A275=1,"_",IF(C275="_","???",C275))</f>
        <v/>
      </c>
      <c r="H275" s="10" t="s">
        <v>11</v>
      </c>
      <c r="I275" s="11" t="s">
        <v>11</v>
      </c>
      <c r="J275" s="12"/>
    </row>
    <row r="276" spans="1:10" ht="60" customHeight="1">
      <c r="A276" s="6" t="s">
        <v>1021</v>
      </c>
      <c r="B276" s="6" t="s">
        <v>20</v>
      </c>
      <c r="C276" s="6" t="s">
        <v>11</v>
      </c>
      <c r="D276" s="7" t="s">
        <v>1022</v>
      </c>
      <c r="E276" s="8" t="s">
        <v>1023</v>
      </c>
      <c r="F276" s="6" t="s">
        <v>1024</v>
      </c>
      <c r="G276" s="9">
        <f>IF(A276=1,"_",IF(C276="_","???",C276))</f>
        <v/>
      </c>
      <c r="H276" s="10" t="s">
        <v>11</v>
      </c>
      <c r="I276" s="11" t="s">
        <v>11</v>
      </c>
      <c r="J276" s="12"/>
    </row>
    <row r="277" spans="1:10" ht="60" customHeight="1">
      <c r="A277" s="6" t="s">
        <v>1025</v>
      </c>
      <c r="B277" s="6" t="s">
        <v>16</v>
      </c>
      <c r="C277" s="6" t="s">
        <v>1026</v>
      </c>
      <c r="D277" s="7" t="s">
        <v>1027</v>
      </c>
      <c r="E277" s="8" t="s">
        <v>1028</v>
      </c>
      <c r="F277" s="6" t="s">
        <v>1029</v>
      </c>
      <c r="G277" s="9">
        <f>IF(A277=1,"_",IF(C277="_","???",C277))</f>
        <v/>
      </c>
      <c r="H277" s="10" t="s">
        <v>11</v>
      </c>
      <c r="I277" s="11" t="s">
        <v>11</v>
      </c>
      <c r="J277" s="12"/>
    </row>
    <row r="278" spans="1:10" ht="60" customHeight="1">
      <c r="A278" s="6" t="s">
        <v>1030</v>
      </c>
      <c r="B278" s="6" t="s">
        <v>21</v>
      </c>
      <c r="C278" s="6" t="s">
        <v>11</v>
      </c>
      <c r="D278" s="7" t="s">
        <v>1031</v>
      </c>
      <c r="E278" s="8" t="s">
        <v>1032</v>
      </c>
      <c r="F278" s="6" t="s">
        <v>1033</v>
      </c>
      <c r="G278" s="9">
        <f>IF(A278=1,"_",IF(C278="_","???",C278))</f>
        <v/>
      </c>
      <c r="H278" s="10" t="s">
        <v>11</v>
      </c>
      <c r="I278" s="11" t="s">
        <v>11</v>
      </c>
      <c r="J278" s="12"/>
    </row>
    <row r="279" spans="1:10" ht="60" customHeight="1">
      <c r="A279" s="6" t="s">
        <v>1034</v>
      </c>
      <c r="B279" s="6" t="s">
        <v>10</v>
      </c>
      <c r="C279" s="6" t="s">
        <v>11</v>
      </c>
      <c r="D279" s="7" t="s">
        <v>185</v>
      </c>
      <c r="E279" s="8" t="s">
        <v>1035</v>
      </c>
      <c r="F279" s="6" t="s">
        <v>1036</v>
      </c>
      <c r="G279" s="9">
        <f>IF(A279=1,"_",IF(C279="_","???",C279))</f>
        <v/>
      </c>
      <c r="H279" s="10" t="s">
        <v>11</v>
      </c>
      <c r="I279" s="11" t="s">
        <v>11</v>
      </c>
      <c r="J279" s="12"/>
    </row>
    <row r="280" spans="1:10" ht="60" customHeight="1">
      <c r="A280" s="6" t="s">
        <v>1037</v>
      </c>
      <c r="B280" s="6" t="s">
        <v>20</v>
      </c>
      <c r="C280" s="6" t="s">
        <v>11</v>
      </c>
      <c r="D280" s="7" t="s">
        <v>1038</v>
      </c>
      <c r="E280" s="8" t="s">
        <v>1039</v>
      </c>
      <c r="F280" s="6" t="s">
        <v>1040</v>
      </c>
      <c r="G280" s="9">
        <f>IF(A280=1,"_",IF(C280="_","???",C280))</f>
        <v/>
      </c>
      <c r="H280" s="10" t="s">
        <v>11</v>
      </c>
      <c r="I280" s="11" t="s">
        <v>11</v>
      </c>
      <c r="J280" s="12"/>
    </row>
    <row r="281" spans="1:10" ht="60" customHeight="1">
      <c r="A281" s="6" t="s">
        <v>1041</v>
      </c>
      <c r="B281" s="6" t="s">
        <v>15</v>
      </c>
      <c r="C281" s="6" t="s">
        <v>11</v>
      </c>
      <c r="D281" s="7" t="s">
        <v>134</v>
      </c>
      <c r="E281" s="8" t="s">
        <v>1042</v>
      </c>
      <c r="F281" s="6" t="s">
        <v>1043</v>
      </c>
      <c r="G281" s="9">
        <f>IF(A281=1,"_",IF(C281="_","???",C281))</f>
        <v/>
      </c>
      <c r="H281" s="10" t="s">
        <v>11</v>
      </c>
      <c r="I281" s="11" t="s">
        <v>11</v>
      </c>
      <c r="J281" s="12"/>
    </row>
    <row r="282" spans="1:10" ht="60" customHeight="1">
      <c r="A282" s="6" t="s">
        <v>1044</v>
      </c>
      <c r="B282" s="6" t="s">
        <v>15</v>
      </c>
      <c r="C282" s="6" t="s">
        <v>11</v>
      </c>
      <c r="D282" s="7" t="s">
        <v>405</v>
      </c>
      <c r="E282" s="8" t="s">
        <v>1045</v>
      </c>
      <c r="F282" s="6" t="s">
        <v>1046</v>
      </c>
      <c r="G282" s="9">
        <f>IF(A282=1,"_",IF(C282="_","???",C282))</f>
        <v/>
      </c>
      <c r="H282" s="10" t="s">
        <v>11</v>
      </c>
      <c r="I282" s="11" t="s">
        <v>11</v>
      </c>
      <c r="J282" s="12"/>
    </row>
    <row r="283" spans="1:10" ht="60" customHeight="1">
      <c r="A283" s="6" t="s">
        <v>1047</v>
      </c>
      <c r="B283" s="6" t="s">
        <v>64</v>
      </c>
      <c r="C283" s="6" t="s">
        <v>11</v>
      </c>
      <c r="D283" s="7" t="s">
        <v>65</v>
      </c>
      <c r="E283" s="8" t="s">
        <v>1048</v>
      </c>
      <c r="F283" s="6" t="s">
        <v>1049</v>
      </c>
      <c r="G283" s="9">
        <f>IF(A283=1,"_",IF(C283="_","???",C283))</f>
        <v/>
      </c>
      <c r="H283" s="10" t="s">
        <v>11</v>
      </c>
      <c r="I283" s="11" t="s">
        <v>11</v>
      </c>
      <c r="J283" s="12"/>
    </row>
    <row r="284" spans="1:10" ht="60" customHeight="1">
      <c r="A284" s="6" t="s">
        <v>1050</v>
      </c>
      <c r="B284" s="6" t="s">
        <v>15</v>
      </c>
      <c r="C284" s="6" t="s">
        <v>162</v>
      </c>
      <c r="D284" s="7" t="s">
        <v>1051</v>
      </c>
      <c r="E284" s="8" t="s">
        <v>1052</v>
      </c>
      <c r="F284" s="6" t="s">
        <v>1053</v>
      </c>
      <c r="G284" s="9">
        <f>IF(A284=1,"_",IF(C284="_","???",C284))</f>
        <v/>
      </c>
      <c r="H284" s="10" t="s">
        <v>11</v>
      </c>
      <c r="I284" s="11" t="s">
        <v>11</v>
      </c>
      <c r="J284" s="12"/>
    </row>
    <row r="285" spans="1:10" ht="60" customHeight="1">
      <c r="A285" s="6" t="s">
        <v>1054</v>
      </c>
      <c r="B285" s="6" t="s">
        <v>20</v>
      </c>
      <c r="C285" s="6" t="s">
        <v>11</v>
      </c>
      <c r="D285" s="7" t="s">
        <v>134</v>
      </c>
      <c r="E285" s="8" t="s">
        <v>1055</v>
      </c>
      <c r="F285" s="6" t="s">
        <v>1056</v>
      </c>
      <c r="G285" s="9">
        <f>IF(A285=1,"_",IF(C285="_","???",C285))</f>
        <v/>
      </c>
      <c r="H285" s="10" t="s">
        <v>11</v>
      </c>
      <c r="I285" s="11" t="s">
        <v>11</v>
      </c>
      <c r="J285" s="12"/>
    </row>
    <row r="286" spans="1:10" ht="60" customHeight="1">
      <c r="A286" s="6" t="s">
        <v>1057</v>
      </c>
      <c r="B286" s="6" t="s">
        <v>15</v>
      </c>
      <c r="C286" s="6" t="s">
        <v>11</v>
      </c>
      <c r="D286" s="7" t="s">
        <v>1058</v>
      </c>
      <c r="E286" s="8" t="s">
        <v>1059</v>
      </c>
      <c r="F286" s="6" t="s">
        <v>1060</v>
      </c>
      <c r="G286" s="9">
        <f>IF(A286=1,"_",IF(C286="_","???",C286))</f>
        <v/>
      </c>
      <c r="H286" s="10" t="s">
        <v>11</v>
      </c>
      <c r="I286" s="11" t="s">
        <v>11</v>
      </c>
      <c r="J286" s="12"/>
    </row>
    <row r="287" spans="1:10" ht="60" customHeight="1">
      <c r="A287" s="6" t="s">
        <v>1061</v>
      </c>
      <c r="B287" s="6" t="s">
        <v>15</v>
      </c>
      <c r="C287" s="6" t="s">
        <v>11</v>
      </c>
      <c r="D287" s="7" t="s">
        <v>340</v>
      </c>
      <c r="E287" s="8" t="s">
        <v>1062</v>
      </c>
      <c r="F287" s="6" t="s">
        <v>1063</v>
      </c>
      <c r="G287" s="9">
        <f>IF(A287=1,"_",IF(C287="_","???",C287))</f>
        <v/>
      </c>
      <c r="H287" s="10" t="s">
        <v>11</v>
      </c>
      <c r="I287" s="11" t="s">
        <v>11</v>
      </c>
      <c r="J287" s="12"/>
    </row>
    <row r="288" spans="1:10" ht="60" customHeight="1">
      <c r="A288" s="6" t="s">
        <v>1064</v>
      </c>
      <c r="B288" s="6" t="s">
        <v>15</v>
      </c>
      <c r="C288" s="6" t="s">
        <v>11</v>
      </c>
      <c r="D288" s="7" t="s">
        <v>1065</v>
      </c>
      <c r="E288" s="8" t="s">
        <v>1066</v>
      </c>
      <c r="F288" s="6" t="s">
        <v>1067</v>
      </c>
      <c r="G288" s="9">
        <f>IF(A288=1,"_",IF(C288="_","???",C288))</f>
        <v/>
      </c>
      <c r="H288" s="10" t="s">
        <v>11</v>
      </c>
      <c r="I288" s="11" t="s">
        <v>11</v>
      </c>
      <c r="J288" s="12"/>
    </row>
    <row r="289" spans="1:10" ht="60" customHeight="1">
      <c r="A289" s="6" t="s">
        <v>1068</v>
      </c>
      <c r="B289" s="6" t="s">
        <v>15</v>
      </c>
      <c r="C289" s="6" t="s">
        <v>11</v>
      </c>
      <c r="D289" s="7" t="s">
        <v>1065</v>
      </c>
      <c r="E289" s="8" t="s">
        <v>1069</v>
      </c>
      <c r="F289" s="6" t="s">
        <v>1070</v>
      </c>
      <c r="G289" s="9">
        <f>IF(A289=1,"_",IF(C289="_","???",C289))</f>
        <v/>
      </c>
      <c r="H289" s="10" t="s">
        <v>11</v>
      </c>
      <c r="I289" s="11" t="s">
        <v>11</v>
      </c>
      <c r="J289" s="12"/>
    </row>
    <row r="290" spans="1:10" ht="60" customHeight="1">
      <c r="A290" s="6" t="s">
        <v>1071</v>
      </c>
      <c r="B290" s="6" t="s">
        <v>10</v>
      </c>
      <c r="C290" s="6" t="s">
        <v>11</v>
      </c>
      <c r="D290" s="7" t="s">
        <v>416</v>
      </c>
      <c r="E290" s="8" t="s">
        <v>1072</v>
      </c>
      <c r="F290" s="6" t="s">
        <v>1073</v>
      </c>
      <c r="G290" s="9">
        <f>IF(A290=1,"_",IF(C290="_","???",C290))</f>
        <v/>
      </c>
      <c r="H290" s="10" t="s">
        <v>11</v>
      </c>
      <c r="I290" s="11" t="s">
        <v>11</v>
      </c>
      <c r="J290" s="12"/>
    </row>
    <row r="291" spans="1:10" ht="60" customHeight="1">
      <c r="A291" s="6" t="s">
        <v>1074</v>
      </c>
      <c r="B291" s="6" t="s">
        <v>15</v>
      </c>
      <c r="C291" s="6" t="s">
        <v>11</v>
      </c>
      <c r="D291" s="7" t="s">
        <v>366</v>
      </c>
      <c r="E291" s="8" t="s">
        <v>1075</v>
      </c>
      <c r="F291" s="6" t="s">
        <v>1076</v>
      </c>
      <c r="G291" s="9">
        <f>IF(A291=1,"_",IF(C291="_","???",C291))</f>
        <v/>
      </c>
      <c r="H291" s="10" t="s">
        <v>11</v>
      </c>
      <c r="I291" s="11" t="s">
        <v>11</v>
      </c>
      <c r="J291" s="12"/>
    </row>
    <row r="292" spans="1:10" ht="60" customHeight="1">
      <c r="A292" s="6" t="s">
        <v>1077</v>
      </c>
      <c r="B292" s="6" t="s">
        <v>21</v>
      </c>
      <c r="C292" s="6" t="s">
        <v>11</v>
      </c>
      <c r="D292" s="7" t="s">
        <v>276</v>
      </c>
      <c r="E292" s="8" t="s">
        <v>1078</v>
      </c>
      <c r="F292" s="6" t="s">
        <v>1079</v>
      </c>
      <c r="G292" s="9">
        <f>IF(A292=1,"_",IF(C292="_","???",C292))</f>
        <v/>
      </c>
      <c r="H292" s="10" t="s">
        <v>11</v>
      </c>
      <c r="I292" s="11" t="s">
        <v>11</v>
      </c>
      <c r="J292" s="12"/>
    </row>
    <row r="293" spans="1:10" ht="60" customHeight="1">
      <c r="A293" s="6" t="s">
        <v>1080</v>
      </c>
      <c r="B293" s="6" t="s">
        <v>10</v>
      </c>
      <c r="C293" s="6" t="s">
        <v>11</v>
      </c>
      <c r="D293" s="7" t="s">
        <v>185</v>
      </c>
      <c r="E293" s="8" t="s">
        <v>1081</v>
      </c>
      <c r="F293" s="6" t="s">
        <v>1082</v>
      </c>
      <c r="G293" s="9">
        <f>IF(A293=1,"_",IF(C293="_","???",C293))</f>
        <v/>
      </c>
      <c r="H293" s="10" t="s">
        <v>11</v>
      </c>
      <c r="I293" s="11" t="s">
        <v>11</v>
      </c>
      <c r="J293" s="12"/>
    </row>
    <row r="294" spans="1:10" ht="60" customHeight="1">
      <c r="A294" s="6" t="s">
        <v>1083</v>
      </c>
      <c r="B294" s="6" t="s">
        <v>15</v>
      </c>
      <c r="C294" s="6" t="s">
        <v>11</v>
      </c>
      <c r="D294" s="7" t="s">
        <v>1084</v>
      </c>
      <c r="E294" s="8" t="s">
        <v>1085</v>
      </c>
      <c r="F294" s="6" t="s">
        <v>1086</v>
      </c>
      <c r="G294" s="9">
        <f>IF(A294=1,"_",IF(C294="_","???",C294))</f>
        <v/>
      </c>
      <c r="H294" s="10" t="s">
        <v>11</v>
      </c>
      <c r="I294" s="11" t="s">
        <v>11</v>
      </c>
      <c r="J294" s="12"/>
    </row>
    <row r="295" spans="1:10" ht="60" customHeight="1">
      <c r="A295" s="6" t="s">
        <v>1087</v>
      </c>
      <c r="B295" s="6" t="s">
        <v>20</v>
      </c>
      <c r="C295" s="6" t="s">
        <v>11</v>
      </c>
      <c r="D295" s="7" t="s">
        <v>1088</v>
      </c>
      <c r="E295" s="8" t="s">
        <v>1089</v>
      </c>
      <c r="F295" s="6" t="s">
        <v>1090</v>
      </c>
      <c r="G295" s="9">
        <f>IF(A295=1,"_",IF(C295="_","???",C295))</f>
        <v/>
      </c>
      <c r="H295" s="10" t="s">
        <v>11</v>
      </c>
      <c r="I295" s="11" t="s">
        <v>11</v>
      </c>
      <c r="J295" s="12"/>
    </row>
    <row r="296" spans="1:10" ht="60" customHeight="1">
      <c r="A296" s="6" t="s">
        <v>1091</v>
      </c>
      <c r="B296" s="6" t="s">
        <v>21</v>
      </c>
      <c r="C296" s="6" t="s">
        <v>11</v>
      </c>
      <c r="D296" s="7" t="s">
        <v>445</v>
      </c>
      <c r="E296" s="8" t="s">
        <v>1092</v>
      </c>
      <c r="F296" s="6" t="s">
        <v>1093</v>
      </c>
      <c r="G296" s="9">
        <f>IF(A296=1,"_",IF(C296="_","???",C296))</f>
        <v/>
      </c>
      <c r="H296" s="10" t="s">
        <v>11</v>
      </c>
      <c r="I296" s="11" t="s">
        <v>11</v>
      </c>
      <c r="J296" s="12"/>
    </row>
    <row r="297" spans="1:10" ht="60" customHeight="1">
      <c r="A297" s="6" t="s">
        <v>1094</v>
      </c>
      <c r="B297" s="6" t="s">
        <v>41</v>
      </c>
      <c r="C297" s="6" t="s">
        <v>11</v>
      </c>
      <c r="D297" s="7" t="s">
        <v>1095</v>
      </c>
      <c r="E297" s="8" t="s">
        <v>1096</v>
      </c>
      <c r="F297" s="6" t="s">
        <v>1097</v>
      </c>
      <c r="G297" s="9">
        <f>IF(A297=1,"_",IF(C297="_","???",C297))</f>
        <v/>
      </c>
      <c r="H297" s="10" t="s">
        <v>11</v>
      </c>
      <c r="I297" s="11" t="s">
        <v>11</v>
      </c>
      <c r="J297" s="12"/>
    </row>
    <row r="298" spans="1:10" ht="60" customHeight="1">
      <c r="A298" s="6" t="s">
        <v>1098</v>
      </c>
      <c r="B298" s="6" t="s">
        <v>10</v>
      </c>
      <c r="C298" s="6" t="s">
        <v>11</v>
      </c>
      <c r="D298" s="7" t="s">
        <v>185</v>
      </c>
      <c r="E298" s="8" t="s">
        <v>677</v>
      </c>
      <c r="F298" s="6" t="s">
        <v>1099</v>
      </c>
      <c r="G298" s="9">
        <f>IF(A298=1,"_",IF(C298="_","???",C298))</f>
        <v/>
      </c>
      <c r="H298" s="10" t="s">
        <v>11</v>
      </c>
      <c r="I298" s="11" t="s">
        <v>11</v>
      </c>
      <c r="J298" s="12"/>
    </row>
    <row r="299" spans="1:10" ht="60" customHeight="1">
      <c r="A299" s="6" t="s">
        <v>1100</v>
      </c>
      <c r="B299" s="6" t="s">
        <v>15</v>
      </c>
      <c r="C299" s="6" t="s">
        <v>11</v>
      </c>
      <c r="D299" s="7" t="s">
        <v>606</v>
      </c>
      <c r="E299" s="8" t="s">
        <v>1101</v>
      </c>
      <c r="F299" s="6" t="s">
        <v>1102</v>
      </c>
      <c r="G299" s="9">
        <f>IF(A299=1,"_",IF(C299="_","???",C299))</f>
        <v/>
      </c>
      <c r="H299" s="10" t="s">
        <v>11</v>
      </c>
      <c r="I299" s="11" t="s">
        <v>11</v>
      </c>
      <c r="J299" s="12"/>
    </row>
    <row r="300" spans="1:10" ht="60" customHeight="1">
      <c r="A300" s="6" t="s">
        <v>1103</v>
      </c>
      <c r="B300" s="6" t="s">
        <v>52</v>
      </c>
      <c r="C300" s="6" t="s">
        <v>11</v>
      </c>
      <c r="D300" s="7" t="s">
        <v>1104</v>
      </c>
      <c r="E300" s="8" t="s">
        <v>1105</v>
      </c>
      <c r="F300" s="6" t="s">
        <v>1106</v>
      </c>
      <c r="G300" s="9">
        <f>IF(A300=1,"_",IF(C300="_","???",C300))</f>
        <v/>
      </c>
      <c r="H300" s="10" t="s">
        <v>11</v>
      </c>
      <c r="I300" s="11" t="s">
        <v>11</v>
      </c>
      <c r="J300" s="12"/>
    </row>
    <row r="301" spans="1:10" ht="60" customHeight="1">
      <c r="A301" s="6" t="s">
        <v>1107</v>
      </c>
      <c r="B301" s="6" t="s">
        <v>15</v>
      </c>
      <c r="C301" s="6" t="s">
        <v>11</v>
      </c>
      <c r="D301" s="7" t="s">
        <v>215</v>
      </c>
      <c r="E301" s="8" t="s">
        <v>1108</v>
      </c>
      <c r="F301" s="6" t="s">
        <v>1109</v>
      </c>
      <c r="G301" s="9">
        <f>IF(A301=1,"_",IF(C301="_","???",C301))</f>
        <v/>
      </c>
      <c r="H301" s="10" t="s">
        <v>11</v>
      </c>
      <c r="I301" s="11" t="s">
        <v>11</v>
      </c>
      <c r="J301" s="12"/>
    </row>
    <row r="302" spans="1:10" ht="60" customHeight="1">
      <c r="A302" s="6" t="s">
        <v>1110</v>
      </c>
      <c r="B302" s="6" t="s">
        <v>45</v>
      </c>
      <c r="C302" s="6" t="s">
        <v>11</v>
      </c>
      <c r="D302" s="7" t="s">
        <v>1111</v>
      </c>
      <c r="E302" s="8" t="s">
        <v>1112</v>
      </c>
      <c r="F302" s="6" t="s">
        <v>1113</v>
      </c>
      <c r="G302" s="9">
        <f>IF(A302=1,"_",IF(C302="_","???",C302))</f>
        <v/>
      </c>
      <c r="H302" s="10" t="s">
        <v>11</v>
      </c>
      <c r="I302" s="11" t="s">
        <v>11</v>
      </c>
      <c r="J302" s="12"/>
    </row>
    <row r="303" spans="1:10" ht="60" customHeight="1">
      <c r="A303" s="6" t="s">
        <v>1114</v>
      </c>
      <c r="B303" s="6" t="s">
        <v>21</v>
      </c>
      <c r="C303" s="6" t="s">
        <v>11</v>
      </c>
      <c r="D303" s="7" t="s">
        <v>292</v>
      </c>
      <c r="E303" s="8" t="s">
        <v>1115</v>
      </c>
      <c r="F303" s="6" t="s">
        <v>1116</v>
      </c>
      <c r="G303" s="9">
        <f>IF(A303=1,"_",IF(C303="_","???",C303))</f>
        <v/>
      </c>
      <c r="H303" s="10" t="s">
        <v>11</v>
      </c>
      <c r="I303" s="11" t="s">
        <v>11</v>
      </c>
      <c r="J303" s="12"/>
    </row>
    <row r="304" spans="1:10" ht="60" customHeight="1">
      <c r="A304" s="6" t="s">
        <v>1117</v>
      </c>
      <c r="B304" s="6" t="s">
        <v>25</v>
      </c>
      <c r="C304" s="6" t="s">
        <v>11</v>
      </c>
      <c r="D304" s="7" t="s">
        <v>130</v>
      </c>
      <c r="E304" s="8" t="s">
        <v>1118</v>
      </c>
      <c r="F304" s="6" t="s">
        <v>1119</v>
      </c>
      <c r="G304" s="9">
        <f>IF(A304=1,"_",IF(C304="_","???",C304))</f>
        <v/>
      </c>
      <c r="H304" s="10" t="s">
        <v>11</v>
      </c>
      <c r="I304" s="11" t="s">
        <v>11</v>
      </c>
      <c r="J304" s="12"/>
    </row>
    <row r="305" spans="1:10" ht="60" customHeight="1">
      <c r="A305" s="6" t="s">
        <v>1120</v>
      </c>
      <c r="B305" s="6" t="s">
        <v>21</v>
      </c>
      <c r="C305" s="6" t="s">
        <v>11</v>
      </c>
      <c r="D305" s="7" t="s">
        <v>1121</v>
      </c>
      <c r="E305" s="8" t="s">
        <v>1122</v>
      </c>
      <c r="F305" s="6" t="s">
        <v>1123</v>
      </c>
      <c r="G305" s="9">
        <f>IF(A305=1,"_",IF(C305="_","???",C305))</f>
        <v/>
      </c>
      <c r="H305" s="10" t="s">
        <v>11</v>
      </c>
      <c r="I305" s="11" t="s">
        <v>11</v>
      </c>
      <c r="J305" s="12"/>
    </row>
    <row r="306" spans="1:10" ht="60" customHeight="1">
      <c r="A306" s="6" t="s">
        <v>1124</v>
      </c>
      <c r="B306" s="6" t="s">
        <v>15</v>
      </c>
      <c r="C306" s="6" t="s">
        <v>11</v>
      </c>
      <c r="D306" s="7" t="s">
        <v>1125</v>
      </c>
      <c r="E306" s="8" t="s">
        <v>1126</v>
      </c>
      <c r="F306" s="6" t="s">
        <v>1127</v>
      </c>
      <c r="G306" s="9">
        <f>IF(A306=1,"_",IF(C306="_","???",C306))</f>
        <v/>
      </c>
      <c r="H306" s="10" t="s">
        <v>11</v>
      </c>
      <c r="I306" s="11" t="s">
        <v>11</v>
      </c>
      <c r="J306" s="12"/>
    </row>
    <row r="307" spans="1:10" ht="60" customHeight="1">
      <c r="A307" s="6" t="s">
        <v>1128</v>
      </c>
      <c r="B307" s="6" t="s">
        <v>25</v>
      </c>
      <c r="C307" s="6" t="s">
        <v>11</v>
      </c>
      <c r="D307" s="7" t="s">
        <v>1129</v>
      </c>
      <c r="E307" s="8" t="s">
        <v>1130</v>
      </c>
      <c r="F307" s="6" t="s">
        <v>1131</v>
      </c>
      <c r="G307" s="9">
        <f>IF(A307=1,"_",IF(C307="_","???",C307))</f>
        <v/>
      </c>
      <c r="H307" s="10" t="s">
        <v>11</v>
      </c>
      <c r="I307" s="11" t="s">
        <v>11</v>
      </c>
      <c r="J307" s="12"/>
    </row>
    <row r="308" spans="1:10" ht="60" customHeight="1">
      <c r="A308" s="6" t="s">
        <v>1132</v>
      </c>
      <c r="B308" s="6" t="s">
        <v>15</v>
      </c>
      <c r="C308" s="6" t="s">
        <v>11</v>
      </c>
      <c r="D308" s="7" t="s">
        <v>1133</v>
      </c>
      <c r="E308" s="8" t="s">
        <v>1134</v>
      </c>
      <c r="F308" s="6" t="s">
        <v>1135</v>
      </c>
      <c r="G308" s="9">
        <f>IF(A308=1,"_",IF(C308="_","???",C308))</f>
        <v/>
      </c>
      <c r="H308" s="10" t="s">
        <v>11</v>
      </c>
      <c r="I308" s="11" t="s">
        <v>11</v>
      </c>
      <c r="J308" s="12"/>
    </row>
    <row r="309" spans="1:10" ht="60" customHeight="1">
      <c r="A309" s="6" t="s">
        <v>1136</v>
      </c>
      <c r="B309" s="6" t="s">
        <v>29</v>
      </c>
      <c r="C309" s="6" t="s">
        <v>11</v>
      </c>
      <c r="D309" s="7" t="s">
        <v>1137</v>
      </c>
      <c r="E309" s="8" t="s">
        <v>1138</v>
      </c>
      <c r="F309" s="6" t="s">
        <v>1139</v>
      </c>
      <c r="G309" s="9">
        <f>IF(A309=1,"_",IF(C309="_","???",C309))</f>
        <v/>
      </c>
      <c r="H309" s="10" t="s">
        <v>11</v>
      </c>
      <c r="I309" s="11" t="s">
        <v>11</v>
      </c>
      <c r="J309" s="12"/>
    </row>
    <row r="310" spans="1:10" ht="60" customHeight="1">
      <c r="A310" s="6" t="s">
        <v>1140</v>
      </c>
      <c r="B310" s="6" t="s">
        <v>41</v>
      </c>
      <c r="C310" s="6" t="s">
        <v>30</v>
      </c>
      <c r="D310" s="7" t="s">
        <v>1141</v>
      </c>
      <c r="E310" s="8" t="s">
        <v>1142</v>
      </c>
      <c r="F310" s="6" t="s">
        <v>1143</v>
      </c>
      <c r="G310" s="9">
        <f>IF(A310=1,"_",IF(C310="_","???",C310))</f>
        <v/>
      </c>
      <c r="H310" s="10" t="s">
        <v>11</v>
      </c>
      <c r="I310" s="11" t="s">
        <v>11</v>
      </c>
      <c r="J310" s="12"/>
    </row>
    <row r="311" spans="1:10" ht="60" customHeight="1">
      <c r="A311" s="6" t="s">
        <v>1144</v>
      </c>
      <c r="B311" s="6" t="s">
        <v>16</v>
      </c>
      <c r="C311" s="6" t="s">
        <v>11</v>
      </c>
      <c r="D311" s="7" t="s">
        <v>1145</v>
      </c>
      <c r="E311" s="8" t="s">
        <v>1146</v>
      </c>
      <c r="F311" s="6" t="s">
        <v>1147</v>
      </c>
      <c r="G311" s="9">
        <f>IF(A311=1,"_",IF(C311="_","???",C311))</f>
        <v/>
      </c>
      <c r="H311" s="10" t="s">
        <v>11</v>
      </c>
      <c r="I311" s="11" t="s">
        <v>11</v>
      </c>
      <c r="J311" s="12"/>
    </row>
    <row r="312" spans="1:10" ht="60" customHeight="1">
      <c r="A312" s="6" t="s">
        <v>1148</v>
      </c>
      <c r="B312" s="6" t="s">
        <v>34</v>
      </c>
      <c r="C312" s="6" t="s">
        <v>11</v>
      </c>
      <c r="D312" s="7" t="s">
        <v>1149</v>
      </c>
      <c r="E312" s="8" t="s">
        <v>1150</v>
      </c>
      <c r="F312" s="6" t="s">
        <v>1151</v>
      </c>
      <c r="G312" s="9">
        <f>IF(A312=1,"_",IF(C312="_","???",C312))</f>
        <v/>
      </c>
      <c r="H312" s="10" t="s">
        <v>11</v>
      </c>
      <c r="I312" s="11" t="s">
        <v>11</v>
      </c>
      <c r="J312" s="12"/>
    </row>
    <row r="313" spans="1:10" ht="60" customHeight="1">
      <c r="A313" s="6" t="s">
        <v>1152</v>
      </c>
      <c r="B313" s="6" t="s">
        <v>20</v>
      </c>
      <c r="C313" s="6" t="s">
        <v>11</v>
      </c>
      <c r="D313" s="7" t="s">
        <v>215</v>
      </c>
      <c r="E313" s="8" t="s">
        <v>1153</v>
      </c>
      <c r="F313" s="6" t="s">
        <v>1154</v>
      </c>
      <c r="G313" s="9">
        <f>IF(A313=1,"_",IF(C313="_","???",C313))</f>
        <v/>
      </c>
      <c r="H313" s="10" t="s">
        <v>11</v>
      </c>
      <c r="I313" s="11" t="s">
        <v>11</v>
      </c>
      <c r="J313" s="12"/>
    </row>
    <row r="314" spans="1:10" ht="60" customHeight="1">
      <c r="A314" s="6" t="s">
        <v>1155</v>
      </c>
      <c r="B314" s="6" t="s">
        <v>15</v>
      </c>
      <c r="C314" s="6" t="s">
        <v>11</v>
      </c>
      <c r="D314" s="7" t="s">
        <v>1156</v>
      </c>
      <c r="E314" s="8" t="s">
        <v>1157</v>
      </c>
      <c r="F314" s="6" t="s">
        <v>1158</v>
      </c>
      <c r="G314" s="9">
        <f>IF(A314=1,"_",IF(C314="_","???",C314))</f>
        <v/>
      </c>
      <c r="H314" s="10" t="s">
        <v>11</v>
      </c>
      <c r="I314" s="11" t="s">
        <v>11</v>
      </c>
      <c r="J314" s="12"/>
    </row>
    <row r="315" spans="1:10" ht="60" customHeight="1">
      <c r="A315" s="6" t="s">
        <v>1159</v>
      </c>
      <c r="B315" s="6" t="s">
        <v>15</v>
      </c>
      <c r="C315" s="6" t="s">
        <v>11</v>
      </c>
      <c r="D315" s="7" t="s">
        <v>1160</v>
      </c>
      <c r="E315" s="8" t="s">
        <v>1161</v>
      </c>
      <c r="F315" s="6" t="s">
        <v>1162</v>
      </c>
      <c r="G315" s="9">
        <f>IF(A315=1,"_",IF(C315="_","???",C315))</f>
        <v/>
      </c>
      <c r="H315" s="10" t="s">
        <v>11</v>
      </c>
      <c r="I315" s="11" t="s">
        <v>11</v>
      </c>
      <c r="J315" s="12"/>
    </row>
    <row r="316" spans="1:10" ht="60" customHeight="1">
      <c r="A316" s="6" t="s">
        <v>1163</v>
      </c>
      <c r="B316" s="6" t="s">
        <v>21</v>
      </c>
      <c r="C316" s="6" t="s">
        <v>11</v>
      </c>
      <c r="D316" s="7" t="s">
        <v>1160</v>
      </c>
      <c r="E316" s="8" t="s">
        <v>1164</v>
      </c>
      <c r="F316" s="6" t="s">
        <v>1165</v>
      </c>
      <c r="G316" s="9">
        <f>IF(A316=1,"_",IF(C316="_","???",C316))</f>
        <v/>
      </c>
      <c r="H316" s="10" t="s">
        <v>11</v>
      </c>
      <c r="I316" s="11" t="s">
        <v>11</v>
      </c>
      <c r="J31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68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1166</v>
      </c>
      <c r="B1" s="13" t="s">
        <v>1167</v>
      </c>
      <c r="C1" s="13" t="s">
        <v>1168</v>
      </c>
      <c r="D1" s="13" t="s">
        <v>1169</v>
      </c>
      <c r="E1" s="14" t="s">
        <v>1170</v>
      </c>
      <c r="F1" s="15" t="s">
        <v>1171</v>
      </c>
      <c r="G1" s="16" t="s">
        <v>1172</v>
      </c>
      <c r="H1" s="17" t="s">
        <v>1173</v>
      </c>
      <c r="I1" s="18" t="s">
        <v>1174</v>
      </c>
      <c r="J1" s="18" t="s">
        <v>1175</v>
      </c>
      <c r="K1" s="18" t="s">
        <v>1176</v>
      </c>
      <c r="L1" s="19" t="s">
        <v>9</v>
      </c>
    </row>
    <row r="2" spans="1:12">
      <c r="A2" s="20" t="s">
        <v>1177</v>
      </c>
    </row>
    <row r="3" spans="1:12">
      <c r="A3" s="20" t="s">
        <v>12</v>
      </c>
      <c r="B3" s="21" t="s">
        <v>1178</v>
      </c>
      <c r="C3" s="21" t="s">
        <v>1179</v>
      </c>
      <c r="D3" s="21" t="s">
        <v>1180</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1181</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1182</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1183</v>
      </c>
      <c r="B6" s="21" t="s">
        <v>1178</v>
      </c>
      <c r="C6" s="21" t="s">
        <v>1184</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1185</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1186</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1187</v>
      </c>
      <c r="B9" s="21" t="s">
        <v>1178</v>
      </c>
      <c r="C9" s="21" t="s">
        <v>1188</v>
      </c>
      <c r="D9" s="21" t="s">
        <v>1180</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1189</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1190</v>
      </c>
      <c r="B11" s="21" t="s">
        <v>1191</v>
      </c>
      <c r="C11" s="21" t="s">
        <v>1188</v>
      </c>
      <c r="D11" s="21" t="s">
        <v>1180</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818</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row>
    <row r="14" spans="1:12">
      <c r="A14" s="20" t="s">
        <v>1192</v>
      </c>
    </row>
    <row r="15" spans="1:12">
      <c r="A15" s="20" t="s">
        <v>1193</v>
      </c>
      <c r="B15" s="21" t="s">
        <v>1194</v>
      </c>
      <c r="C15" s="21" t="s">
        <v>1195</v>
      </c>
      <c r="D15" s="21" t="s">
        <v>1180</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1196</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1197</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1198</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1199</v>
      </c>
      <c r="B19" s="21" t="s">
        <v>1178</v>
      </c>
      <c r="C19" s="21" t="s">
        <v>1188</v>
      </c>
      <c r="D19" s="21" t="s">
        <v>1180</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1200</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1201</v>
      </c>
      <c r="B21" s="21" t="s">
        <v>1191</v>
      </c>
      <c r="C21" s="21" t="s">
        <v>1179</v>
      </c>
      <c r="D21" s="21" t="s">
        <v>1180</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1202</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1203</v>
      </c>
      <c r="B23" s="21" t="s">
        <v>1204</v>
      </c>
      <c r="C23" s="21" t="s">
        <v>1188</v>
      </c>
      <c r="D23" s="21" t="s">
        <v>1180</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1205</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1206</v>
      </c>
      <c r="B25" s="21" t="s">
        <v>1207</v>
      </c>
      <c r="C25" s="21" t="s">
        <v>1208</v>
      </c>
      <c r="D25" s="21" t="s">
        <v>1180</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1209</v>
      </c>
      <c r="B26" s="21" t="s">
        <v>1191</v>
      </c>
      <c r="C26" s="21" t="s">
        <v>1210</v>
      </c>
      <c r="D26" s="21" t="s">
        <v>1180</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17</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1182</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1211</v>
      </c>
      <c r="B29" s="21" t="s">
        <v>1178</v>
      </c>
      <c r="C29" s="21" t="s">
        <v>1179</v>
      </c>
      <c r="D29" s="21" t="s">
        <v>1180</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1212</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818</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row>
    <row r="33" spans="1:12">
      <c r="A33" s="20" t="s">
        <v>1213</v>
      </c>
    </row>
    <row r="34" spans="1:12">
      <c r="A34" s="20" t="s">
        <v>1214</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1215</v>
      </c>
      <c r="B35" s="21" t="s">
        <v>1178</v>
      </c>
      <c r="C35" s="21" t="s">
        <v>1179</v>
      </c>
      <c r="D35" s="21" t="s">
        <v>1180</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1216</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1211</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1217</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1218</v>
      </c>
      <c r="B39" s="21" t="s">
        <v>1204</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1219</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1220</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1221</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1222</v>
      </c>
      <c r="B43" s="21" t="s">
        <v>1178</v>
      </c>
      <c r="C43" s="21" t="s">
        <v>1223</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1224</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1225</v>
      </c>
      <c r="B45" s="21" t="s">
        <v>1191</v>
      </c>
      <c r="C45" s="21" t="s">
        <v>1179</v>
      </c>
      <c r="D45" s="21" t="s">
        <v>1180</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1197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818</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row>
    <row r="49" spans="1:12">
      <c r="A49" s="20" t="s">
        <v>1226</v>
      </c>
    </row>
    <row r="50" spans="1:12">
      <c r="A50" s="20" t="s">
        <v>1227</v>
      </c>
      <c r="B50" s="21" t="s">
        <v>1194</v>
      </c>
      <c r="C50" s="21" t="s">
        <v>1195</v>
      </c>
      <c r="D50" s="21" t="s">
        <v>1180</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1228</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1206</v>
      </c>
      <c r="B52" s="21" t="s">
        <v>1191</v>
      </c>
      <c r="C52" s="21" t="s">
        <v>1208</v>
      </c>
      <c r="D52" s="21" t="s">
        <v>1180</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1229</v>
      </c>
      <c r="B53" s="21" t="s">
        <v>1204</v>
      </c>
      <c r="C53" s="21" t="s">
        <v>1210</v>
      </c>
      <c r="D53" s="21" t="s">
        <v>1180</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1200</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1230</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1231</v>
      </c>
      <c r="B56" s="21" t="s">
        <v>1178</v>
      </c>
      <c r="C56" s="21" t="s">
        <v>1232</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1233</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818</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row>
    <row r="60" spans="1:12">
      <c r="A60" s="20" t="s">
        <v>1234</v>
      </c>
    </row>
    <row r="61" spans="1:12">
      <c r="A61" s="20" t="s">
        <v>1227</v>
      </c>
      <c r="B61" s="21" t="s">
        <v>1194</v>
      </c>
      <c r="C61" s="21" t="s">
        <v>1195</v>
      </c>
      <c r="D61" s="21" t="s">
        <v>1180</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1235</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1185</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1236</v>
      </c>
      <c r="B64" s="21" t="s">
        <v>1237</v>
      </c>
      <c r="C64" s="21" t="s">
        <v>1238</v>
      </c>
      <c r="D64" s="21" t="s">
        <v>1180</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1198</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1239</v>
      </c>
      <c r="B66" s="21" t="s">
        <v>1240</v>
      </c>
      <c r="C66" s="21" t="s">
        <v>1188</v>
      </c>
      <c r="D66" s="21" t="s">
        <v>1180</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1235</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818</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row>
    <row r="70" spans="1:12">
      <c r="A70" s="20" t="s">
        <v>1241</v>
      </c>
    </row>
    <row r="71" spans="1:12">
      <c r="A71" s="20" t="s">
        <v>1211</v>
      </c>
      <c r="B71" s="21" t="s">
        <v>1194</v>
      </c>
      <c r="C71" s="21" t="s">
        <v>1179</v>
      </c>
      <c r="D71" s="21" t="s">
        <v>1180</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1185</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35</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1242</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1201</v>
      </c>
      <c r="B75" s="21" t="s">
        <v>1178</v>
      </c>
      <c r="C75" s="21" t="s">
        <v>1179</v>
      </c>
      <c r="D75" s="21" t="s">
        <v>1180</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1243</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row>
    <row r="78" spans="1:12">
      <c r="A78" s="20" t="s">
        <v>1244</v>
      </c>
    </row>
    <row r="79" spans="1:12">
      <c r="A79" s="20" t="s">
        <v>1245</v>
      </c>
      <c r="B79" s="21" t="s">
        <v>1194</v>
      </c>
      <c r="C79" s="21" t="s">
        <v>1238</v>
      </c>
      <c r="D79" s="21" t="s">
        <v>1180</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1246</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57</v>
      </c>
      <c r="B81" s="21" t="s">
        <v>1194</v>
      </c>
      <c r="C81" s="21" t="s">
        <v>1195</v>
      </c>
      <c r="D81" s="21" t="s">
        <v>1180</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1247</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1248</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38</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1249</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row>
    <row r="87" spans="1:12">
      <c r="A87" s="20" t="s">
        <v>1250</v>
      </c>
    </row>
    <row r="88" spans="1:12">
      <c r="A88" s="20" t="s">
        <v>42</v>
      </c>
      <c r="B88" s="21" t="s">
        <v>1178</v>
      </c>
      <c r="C88" s="21" t="s">
        <v>1179</v>
      </c>
      <c r="D88" s="21" t="s">
        <v>1180</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1212</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1182</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row>
    <row r="92" spans="1:12">
      <c r="A92" s="20" t="s">
        <v>1251</v>
      </c>
    </row>
    <row r="93" spans="1:12">
      <c r="A93" s="20" t="s">
        <v>1193</v>
      </c>
      <c r="B93" s="21" t="s">
        <v>1194</v>
      </c>
      <c r="C93" s="21" t="s">
        <v>1195</v>
      </c>
      <c r="D93" s="21" t="s">
        <v>1180</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1252</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1253</v>
      </c>
      <c r="B95" s="21" t="s">
        <v>1204</v>
      </c>
      <c r="C95" s="21" t="s">
        <v>1254</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38</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818</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row>
    <row r="99" spans="1:12">
      <c r="A99" s="20" t="s">
        <v>1255</v>
      </c>
    </row>
    <row r="100" spans="1:12">
      <c r="A100" s="20" t="s">
        <v>1256</v>
      </c>
      <c r="B100" s="21" t="s">
        <v>1194</v>
      </c>
      <c r="C100" s="21" t="s">
        <v>1195</v>
      </c>
      <c r="D100" s="21" t="s">
        <v>1180</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1257</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1258</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818</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row>
    <row r="105" spans="1:12">
      <c r="A105" s="20" t="s">
        <v>1259</v>
      </c>
    </row>
    <row r="106" spans="1:12">
      <c r="A106" s="20" t="s">
        <v>1214</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53</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1224</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1260</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1261</v>
      </c>
      <c r="B110" s="21" t="s">
        <v>1178</v>
      </c>
      <c r="C110" s="21" t="s">
        <v>1188</v>
      </c>
      <c r="D110" s="21" t="s">
        <v>1180</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1216</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1262</v>
      </c>
      <c r="B112" s="21" t="s">
        <v>1178</v>
      </c>
      <c r="C112" s="21" t="s">
        <v>1179</v>
      </c>
      <c r="D112" s="21" t="s">
        <v>1180</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1182</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1211</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1185</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1263</v>
      </c>
      <c r="B116" s="21" t="s">
        <v>1240</v>
      </c>
      <c r="C116" s="21" t="s">
        <v>1195</v>
      </c>
      <c r="D116" s="21" t="s">
        <v>1180</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1264</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1265</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1266</v>
      </c>
      <c r="B119" s="21" t="s">
        <v>1207</v>
      </c>
      <c r="C119" s="21" t="s">
        <v>1254</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1267</v>
      </c>
      <c r="B120" s="21" t="s">
        <v>1237</v>
      </c>
      <c r="C120" s="21" t="s">
        <v>1223</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1219</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1268</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818</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row>
    <row r="125" spans="1:12">
      <c r="A125" s="20" t="s">
        <v>1269</v>
      </c>
    </row>
    <row r="126" spans="1:12">
      <c r="A126" s="20" t="s">
        <v>1270</v>
      </c>
      <c r="B126" s="21" t="s">
        <v>1194</v>
      </c>
      <c r="C126" s="21" t="s">
        <v>1254</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1271</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1268</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1272</v>
      </c>
      <c r="B129" s="21" t="s">
        <v>1240</v>
      </c>
      <c r="C129" s="21" t="s">
        <v>1254</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1273</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1224</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1202</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1274</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1275</v>
      </c>
      <c r="B134" s="21" t="s">
        <v>1191</v>
      </c>
      <c r="C134" s="21" t="s">
        <v>1188</v>
      </c>
      <c r="D134" s="21" t="s">
        <v>1180</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1182</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1276</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1277</v>
      </c>
      <c r="B137" s="21" t="s">
        <v>1207</v>
      </c>
      <c r="C137" s="21" t="s">
        <v>1223</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1185</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1276</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944</v>
      </c>
      <c r="B140" s="21" t="s">
        <v>1278</v>
      </c>
      <c r="C140" s="21" t="s">
        <v>1223</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1185</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1276</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1279</v>
      </c>
      <c r="B143" s="21" t="s">
        <v>1278</v>
      </c>
      <c r="C143" s="21" t="s">
        <v>1223</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818</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row>
    <row r="146" spans="1:12">
      <c r="A146" s="20" t="s">
        <v>1280</v>
      </c>
    </row>
    <row r="147" spans="1:12">
      <c r="A147" s="20" t="s">
        <v>1281</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1282</v>
      </c>
      <c r="B148" s="21" t="s">
        <v>1191</v>
      </c>
      <c r="C148" s="21" t="s">
        <v>1283</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1284</v>
      </c>
      <c r="B149" s="21" t="s">
        <v>1178</v>
      </c>
      <c r="C149" s="21" t="s">
        <v>1184</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1285</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57</v>
      </c>
      <c r="B151" s="21" t="s">
        <v>1194</v>
      </c>
      <c r="C151" s="21" t="s">
        <v>1195</v>
      </c>
      <c r="D151" s="21" t="s">
        <v>1180</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1268</v>
      </c>
      <c r="B152" s="21" t="s">
        <v>1204</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60</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1249</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row>
    <row r="156" spans="1:12">
      <c r="A156" s="20" t="s">
        <v>1286</v>
      </c>
    </row>
    <row r="157" spans="1:12">
      <c r="A157" s="20" t="s">
        <v>1287</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1182</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1288</v>
      </c>
      <c r="B159" s="21" t="s">
        <v>1194</v>
      </c>
      <c r="C159" s="21" t="s">
        <v>1254</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1185</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1198</v>
      </c>
      <c r="B161" s="21" t="s">
        <v>1289</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1219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1290</v>
      </c>
      <c r="B163" s="21" t="s">
        <v>1291</v>
      </c>
      <c r="C163" s="21" t="s">
        <v>1208</v>
      </c>
      <c r="D163" s="21" t="s">
        <v>1180</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154</v>
      </c>
      <c r="B164" s="21" t="s">
        <v>1278</v>
      </c>
      <c r="C164" s="21" t="s">
        <v>1210</v>
      </c>
      <c r="D164" s="21" t="s">
        <v>1180</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1292</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1257</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1185</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1271</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1218</v>
      </c>
      <c r="B169" s="21" t="s">
        <v>1204</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1293</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1294</v>
      </c>
      <c r="B171" s="21" t="s">
        <v>1178</v>
      </c>
      <c r="C171" s="21" t="s">
        <v>1195</v>
      </c>
      <c r="D171" s="21" t="s">
        <v>1180</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1295</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1296</v>
      </c>
      <c r="B173" s="21" t="s">
        <v>1207</v>
      </c>
      <c r="C173" s="21" t="s">
        <v>1297</v>
      </c>
      <c r="D173" s="21" t="s">
        <v>1180</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1298</v>
      </c>
      <c r="B174" s="21" t="s">
        <v>1191</v>
      </c>
      <c r="C174" s="21" t="s">
        <v>1184</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1299</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1295</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1300</v>
      </c>
      <c r="B177" s="21" t="s">
        <v>1178</v>
      </c>
      <c r="C177" s="21" t="s">
        <v>1301</v>
      </c>
      <c r="D177" s="21" t="s">
        <v>1180</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1185</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1302</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1303</v>
      </c>
      <c r="B180" s="21" t="s">
        <v>1304</v>
      </c>
      <c r="C180" s="21" t="s">
        <v>1254</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1305</v>
      </c>
      <c r="B181" s="21" t="s">
        <v>1306</v>
      </c>
      <c r="C181" s="21" t="s">
        <v>1195</v>
      </c>
      <c r="D181" s="21" t="s">
        <v>1180</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60</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1307</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818</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row>
    <row r="186" spans="1:12">
      <c r="A186" s="20" t="s">
        <v>1308</v>
      </c>
    </row>
    <row r="187" spans="1:12">
      <c r="A187" s="20" t="s">
        <v>1309</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1185</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1310</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1263</v>
      </c>
      <c r="B190" s="21" t="s">
        <v>1194</v>
      </c>
      <c r="C190" s="21" t="s">
        <v>1195</v>
      </c>
      <c r="D190" s="21" t="s">
        <v>1180</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1311</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1312</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1182</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1313</v>
      </c>
      <c r="B194" s="21" t="s">
        <v>1207</v>
      </c>
      <c r="C194" s="21" t="s">
        <v>1184</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1257</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1314</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1186</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1315</v>
      </c>
      <c r="B198" s="21" t="s">
        <v>1178</v>
      </c>
      <c r="C198" s="21" t="s">
        <v>1188</v>
      </c>
      <c r="D198" s="21" t="s">
        <v>1180</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1185</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1293</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1198</v>
      </c>
      <c r="B201" s="21" t="s">
        <v>1207</v>
      </c>
      <c r="C201" s="21" t="s">
        <v>1238</v>
      </c>
      <c r="D201" s="21" t="s">
        <v>1180</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427</v>
      </c>
      <c r="B202" s="21" t="s">
        <v>1304</v>
      </c>
      <c r="C202" s="21" t="s">
        <v>1238</v>
      </c>
      <c r="D202" s="21" t="s">
        <v>1180</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1316</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1317</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818</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row>
    <row r="207" spans="1:12">
      <c r="A207" s="20" t="s">
        <v>1318</v>
      </c>
    </row>
    <row r="208" spans="1:12">
      <c r="A208" s="20" t="s">
        <v>1319</v>
      </c>
      <c r="B208" s="21" t="s">
        <v>1289</v>
      </c>
      <c r="C208" s="21" t="s">
        <v>1283</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1263</v>
      </c>
      <c r="B209" s="21" t="s">
        <v>1304</v>
      </c>
      <c r="C209" s="21" t="s">
        <v>1195</v>
      </c>
      <c r="D209" s="21" t="s">
        <v>1180</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1320</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1185</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1321</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1322</v>
      </c>
      <c r="B213" s="21" t="s">
        <v>1191</v>
      </c>
      <c r="C213" s="21" t="s">
        <v>1238</v>
      </c>
      <c r="D213" s="21" t="s">
        <v>1180</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1323</v>
      </c>
      <c r="B214" s="21" t="s">
        <v>1204</v>
      </c>
      <c r="C214" s="21" t="s">
        <v>1324</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818</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row>
    <row r="217" spans="1:12">
      <c r="A217" s="20" t="s">
        <v>1325</v>
      </c>
    </row>
    <row r="218" spans="1:12">
      <c r="A218" s="20" t="s">
        <v>1326</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1263</v>
      </c>
      <c r="B219" s="21" t="s">
        <v>1240</v>
      </c>
      <c r="C219" s="21" t="s">
        <v>1195</v>
      </c>
      <c r="D219" s="21" t="s">
        <v>1180</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1198</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1327</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1328</v>
      </c>
      <c r="B222" s="21" t="s">
        <v>1240</v>
      </c>
      <c r="C222" s="21" t="s">
        <v>1188</v>
      </c>
      <c r="D222" s="21" t="s">
        <v>1180</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1198</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1329</v>
      </c>
      <c r="B224" s="21" t="s">
        <v>1207</v>
      </c>
      <c r="C224" s="21" t="s">
        <v>1188</v>
      </c>
      <c r="D224" s="21" t="s">
        <v>1180</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1320</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1185</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1252</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1303</v>
      </c>
      <c r="B228" s="21" t="s">
        <v>1194</v>
      </c>
      <c r="C228" s="21" t="s">
        <v>1254</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1305</v>
      </c>
      <c r="B229" s="21" t="s">
        <v>1204</v>
      </c>
      <c r="C229" s="21" t="s">
        <v>1195</v>
      </c>
      <c r="D229" s="21" t="s">
        <v>1180</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77</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1295</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1330</v>
      </c>
      <c r="B232" s="21" t="s">
        <v>1207</v>
      </c>
      <c r="C232" s="21" t="s">
        <v>1254</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1198</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1331</v>
      </c>
      <c r="B234" s="21" t="s">
        <v>1191</v>
      </c>
      <c r="C234" s="21" t="s">
        <v>1188</v>
      </c>
      <c r="D234" s="21" t="s">
        <v>1180</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348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818</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row>
    <row r="238" spans="1:12">
      <c r="A238" s="20" t="s">
        <v>1332</v>
      </c>
    </row>
    <row r="239" spans="1:12">
      <c r="A239" s="20" t="s">
        <v>1245</v>
      </c>
      <c r="B239" s="21" t="s">
        <v>1240</v>
      </c>
      <c r="C239" s="21" t="s">
        <v>1238</v>
      </c>
      <c r="D239" s="21" t="s">
        <v>1180</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1333</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1185</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1334</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1186</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1335</v>
      </c>
      <c r="B244" s="21" t="s">
        <v>1178</v>
      </c>
      <c r="C244" s="21" t="s">
        <v>1188</v>
      </c>
      <c r="D244" s="21" t="s">
        <v>1180</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818</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row>
    <row r="247" spans="1:12">
      <c r="A247" s="20" t="s">
        <v>1336</v>
      </c>
    </row>
    <row r="248" spans="1:12">
      <c r="A248" s="20" t="s">
        <v>1245</v>
      </c>
      <c r="B248" s="21" t="s">
        <v>1194</v>
      </c>
      <c r="C248" s="21" t="s">
        <v>1238</v>
      </c>
      <c r="D248" s="21" t="s">
        <v>1180</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1333</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1185</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1257</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1186</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1337</v>
      </c>
      <c r="B253" s="21" t="s">
        <v>1194</v>
      </c>
      <c r="C253" s="21" t="s">
        <v>1188</v>
      </c>
      <c r="D253" s="21" t="s">
        <v>1180</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1200</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1338</v>
      </c>
      <c r="B255" s="21" t="s">
        <v>1191</v>
      </c>
      <c r="C255" s="21" t="s">
        <v>1184</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1185</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1186</v>
      </c>
      <c r="B257" s="21" t="s">
        <v>1289</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427</v>
      </c>
      <c r="B258" s="21" t="s">
        <v>1289</v>
      </c>
      <c r="C258" s="21" t="s">
        <v>1238</v>
      </c>
      <c r="D258" s="21" t="s">
        <v>1180</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1339</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1185</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1186</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1337</v>
      </c>
      <c r="B262" s="21" t="s">
        <v>1340</v>
      </c>
      <c r="C262" s="21" t="s">
        <v>1188</v>
      </c>
      <c r="D262" s="21" t="s">
        <v>1180</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1200</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1190</v>
      </c>
      <c r="B264" s="21" t="s">
        <v>1291</v>
      </c>
      <c r="C264" s="21" t="s">
        <v>1184</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1185</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1186</v>
      </c>
      <c r="B266" s="21" t="s">
        <v>1341</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427</v>
      </c>
      <c r="B267" s="21" t="s">
        <v>1341</v>
      </c>
      <c r="C267" s="21" t="s">
        <v>1238</v>
      </c>
      <c r="D267" s="21" t="s">
        <v>1180</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1339</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1185</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1186</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1337</v>
      </c>
      <c r="B271" s="21" t="s">
        <v>1342</v>
      </c>
      <c r="C271" s="21" t="s">
        <v>1188</v>
      </c>
      <c r="D271" s="21" t="s">
        <v>1180</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1200</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1343</v>
      </c>
      <c r="B273" s="21" t="s">
        <v>1344</v>
      </c>
      <c r="C273" s="21" t="s">
        <v>1184</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1345</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1346</v>
      </c>
      <c r="B275" s="21" t="s">
        <v>1347</v>
      </c>
      <c r="C275" s="21" t="s">
        <v>1184</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1295</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1348</v>
      </c>
      <c r="B277" s="21" t="s">
        <v>1349</v>
      </c>
      <c r="C277" s="21" t="s">
        <v>1184</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818</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row>
    <row r="280" spans="1:12">
      <c r="A280" s="20" t="s">
        <v>1350</v>
      </c>
    </row>
    <row r="281" spans="1:12">
      <c r="A281" s="20" t="s">
        <v>1313</v>
      </c>
      <c r="B281" s="21" t="s">
        <v>1194</v>
      </c>
      <c r="C281" s="21" t="s">
        <v>1208</v>
      </c>
      <c r="D281" s="21" t="s">
        <v>1180</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1257</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1186</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1351</v>
      </c>
      <c r="B284" s="21" t="s">
        <v>1178</v>
      </c>
      <c r="C284" s="21" t="s">
        <v>1188</v>
      </c>
      <c r="D284" s="21" t="s">
        <v>1180</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1185</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1186</v>
      </c>
      <c r="B286" s="21" t="s">
        <v>1237</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1263</v>
      </c>
      <c r="B287" s="21" t="s">
        <v>1240</v>
      </c>
      <c r="C287" s="21" t="s">
        <v>1195</v>
      </c>
      <c r="D287" s="21" t="s">
        <v>1180</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1294</v>
      </c>
      <c r="B288" s="21" t="s">
        <v>1237</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1352</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1353</v>
      </c>
      <c r="B290" s="21" t="s">
        <v>1207</v>
      </c>
      <c r="C290" s="21" t="s">
        <v>1208</v>
      </c>
      <c r="D290" s="21" t="s">
        <v>1180</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1354</v>
      </c>
      <c r="B291" s="21" t="s">
        <v>1191</v>
      </c>
      <c r="C291" s="21" t="s">
        <v>1210</v>
      </c>
      <c r="D291" s="21" t="s">
        <v>1180</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1355</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818</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row>
    <row r="295" spans="1:12">
      <c r="A295" s="20" t="s">
        <v>1356</v>
      </c>
    </row>
    <row r="296" spans="1:12">
      <c r="A296" s="20" t="s">
        <v>1357</v>
      </c>
      <c r="B296" s="21" t="s">
        <v>1194</v>
      </c>
      <c r="C296" s="21" t="s">
        <v>1238</v>
      </c>
      <c r="D296" s="21" t="s">
        <v>1180</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163</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1358</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1185</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1359</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1360</v>
      </c>
      <c r="B301" s="21" t="s">
        <v>1240</v>
      </c>
      <c r="C301" s="21" t="s">
        <v>1208</v>
      </c>
      <c r="D301" s="21" t="s">
        <v>1180</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1361</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1198</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632</v>
      </c>
      <c r="B304" s="21" t="s">
        <v>1178</v>
      </c>
      <c r="C304" s="21" t="s">
        <v>1188</v>
      </c>
      <c r="D304" s="21" t="s">
        <v>1180</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1257</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818</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row>
    <row r="308" spans="1:12">
      <c r="A308" s="20" t="s">
        <v>1362</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1363</v>
      </c>
    </row>
    <row r="310" spans="1:12">
      <c r="A310" s="20" t="s">
        <v>1326</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1263</v>
      </c>
      <c r="B311" s="21" t="s">
        <v>1289</v>
      </c>
      <c r="C311" s="21" t="s">
        <v>1195</v>
      </c>
      <c r="D311" s="21" t="s">
        <v>1180</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1305</v>
      </c>
      <c r="B312" s="21" t="s">
        <v>1340</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60</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1364</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1185</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1365</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1263</v>
      </c>
      <c r="B317" s="21" t="s">
        <v>1304</v>
      </c>
      <c r="C317" s="21" t="s">
        <v>1195</v>
      </c>
      <c r="D317" s="21" t="s">
        <v>1180</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1322</v>
      </c>
      <c r="B318" s="21" t="s">
        <v>1207</v>
      </c>
      <c r="C318" s="21" t="s">
        <v>1238</v>
      </c>
      <c r="D318" s="21" t="s">
        <v>1180</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1366</v>
      </c>
      <c r="B319" s="21" t="s">
        <v>1237</v>
      </c>
      <c r="C319" s="21" t="s">
        <v>1324</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1302</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1367</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1368</v>
      </c>
      <c r="B322" s="21" t="s">
        <v>1191</v>
      </c>
      <c r="C322" s="21" t="s">
        <v>1179</v>
      </c>
      <c r="D322" s="21" t="s">
        <v>1180</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1367</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1369</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1185</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1193</v>
      </c>
      <c r="B326" s="21" t="s">
        <v>1194</v>
      </c>
      <c r="C326" s="21" t="s">
        <v>1195</v>
      </c>
      <c r="D326" s="21" t="s">
        <v>1180</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1365</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1314</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1367</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1370</v>
      </c>
      <c r="B330" s="21" t="s">
        <v>1204</v>
      </c>
      <c r="C330" s="21" t="s">
        <v>1184</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1367</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96</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1371</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1367</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944</v>
      </c>
      <c r="B335" s="21" t="s">
        <v>1178</v>
      </c>
      <c r="C335" s="21" t="s">
        <v>1184</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1367</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818</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row>
    <row r="339" spans="1:12">
      <c r="A339" s="20" t="s">
        <v>1372</v>
      </c>
    </row>
    <row r="340" spans="1:12">
      <c r="A340" s="20" t="s">
        <v>1193</v>
      </c>
      <c r="B340" s="21" t="s">
        <v>1194</v>
      </c>
      <c r="C340" s="21" t="s">
        <v>1195</v>
      </c>
      <c r="D340" s="21" t="s">
        <v>1180</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1365</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96</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1185</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1263</v>
      </c>
      <c r="B344" s="21" t="s">
        <v>1240</v>
      </c>
      <c r="C344" s="21" t="s">
        <v>1195</v>
      </c>
      <c r="D344" s="21" t="s">
        <v>1180</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1320</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1373</v>
      </c>
      <c r="B346" s="21" t="s">
        <v>1178</v>
      </c>
      <c r="C346" s="21" t="s">
        <v>1184</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1295</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1265</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1374</v>
      </c>
      <c r="B349" s="21" t="s">
        <v>1191</v>
      </c>
      <c r="C349" s="21" t="s">
        <v>1223</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1185</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1375</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1302</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1376</v>
      </c>
      <c r="B353" s="21" t="s">
        <v>1207</v>
      </c>
      <c r="C353" s="21" t="s">
        <v>1254</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1377</v>
      </c>
      <c r="B354" s="21" t="s">
        <v>1240</v>
      </c>
      <c r="C354" s="21" t="s">
        <v>1238</v>
      </c>
      <c r="D354" s="21" t="s">
        <v>1180</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1031</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818</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row>
    <row r="358" spans="1:12">
      <c r="A358" s="20" t="s">
        <v>1378</v>
      </c>
    </row>
    <row r="359" spans="1:12">
      <c r="A359" s="20" t="s">
        <v>1262</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1182</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1379</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1380</v>
      </c>
      <c r="B362" s="21" t="s">
        <v>1204</v>
      </c>
      <c r="C362" s="21" t="s">
        <v>1208</v>
      </c>
      <c r="D362" s="21" t="s">
        <v>1180</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1381</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1382</v>
      </c>
      <c r="B364" s="21" t="s">
        <v>1204</v>
      </c>
      <c r="C364" s="21" t="s">
        <v>1184</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1330</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102</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1185</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1186</v>
      </c>
      <c r="B368" s="21" t="s">
        <v>1240</v>
      </c>
      <c r="C368" s="21" t="s">
        <v>1238</v>
      </c>
      <c r="D368" s="21" t="s">
        <v>1180</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1314</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1293</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1198</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1383</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1384</v>
      </c>
      <c r="B373" s="21" t="s">
        <v>1191</v>
      </c>
      <c r="C373" s="21" t="s">
        <v>1188</v>
      </c>
      <c r="D373" s="21" t="s">
        <v>1180</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1385</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1334</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1182</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row>
    <row r="378" spans="1:12">
      <c r="A378" s="20" t="s">
        <v>1386</v>
      </c>
    </row>
    <row r="379" spans="1:12">
      <c r="A379" s="20" t="s">
        <v>1387</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1220</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1388</v>
      </c>
      <c r="B381" s="21" t="s">
        <v>1178</v>
      </c>
      <c r="C381" s="21" t="s">
        <v>1223</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1389</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57</v>
      </c>
      <c r="B383" s="21" t="s">
        <v>1194</v>
      </c>
      <c r="C383" s="21" t="s">
        <v>1195</v>
      </c>
      <c r="D383" s="21" t="s">
        <v>1180</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1390</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1224</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1391</v>
      </c>
      <c r="B386" s="21" t="s">
        <v>1178</v>
      </c>
      <c r="C386" s="21" t="s">
        <v>1179</v>
      </c>
      <c r="D386" s="21" t="s">
        <v>1180</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1295</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1392</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1224</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1260</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1393</v>
      </c>
      <c r="B391" s="21" t="s">
        <v>1191</v>
      </c>
      <c r="C391" s="21" t="s">
        <v>1394</v>
      </c>
      <c r="D391" s="21" t="s">
        <v>1180</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1198</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1395</v>
      </c>
      <c r="B393" s="21" t="s">
        <v>1207</v>
      </c>
      <c r="C393" s="21" t="s">
        <v>1179</v>
      </c>
      <c r="D393" s="21" t="s">
        <v>1180</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1396</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818</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row>
    <row r="397" spans="1:12">
      <c r="A397" s="20" t="s">
        <v>1397</v>
      </c>
    </row>
    <row r="398" spans="1:12">
      <c r="A398" s="20" t="s">
        <v>1398</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1399</v>
      </c>
      <c r="B399" s="21" t="s">
        <v>1178</v>
      </c>
      <c r="C399" s="21" t="s">
        <v>1184</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1400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57</v>
      </c>
      <c r="B401" s="21" t="s">
        <v>1194</v>
      </c>
      <c r="C401" s="21" t="s">
        <v>1195</v>
      </c>
      <c r="D401" s="21" t="s">
        <v>1180</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1401</v>
      </c>
      <c r="B402" s="21" t="s">
        <v>1204</v>
      </c>
      <c r="C402" s="21" t="s">
        <v>1184</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1330</v>
      </c>
      <c r="B403" s="21" t="s">
        <v>1207</v>
      </c>
      <c r="C403" s="21" t="s">
        <v>1254</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1402</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1403</v>
      </c>
      <c r="B405" s="21" t="s">
        <v>1191</v>
      </c>
      <c r="C405" s="21" t="s">
        <v>1232</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818</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row>
    <row r="408" spans="1:12">
      <c r="A408" s="20" t="s">
        <v>1404</v>
      </c>
    </row>
    <row r="409" spans="1:12">
      <c r="A409" s="20" t="s">
        <v>1405</v>
      </c>
      <c r="B409" s="21" t="s">
        <v>1194</v>
      </c>
      <c r="C409" s="21" t="s">
        <v>1195</v>
      </c>
      <c r="D409" s="21" t="s">
        <v>1180</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1392</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1406</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1185</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1407</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1408</v>
      </c>
      <c r="B414" s="21" t="s">
        <v>1204</v>
      </c>
      <c r="C414" s="21" t="s">
        <v>1184</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1409</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1410</v>
      </c>
      <c r="B416" s="21" t="s">
        <v>1191</v>
      </c>
      <c r="C416" s="21" t="s">
        <v>1184</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1330</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114</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818</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row>
    <row r="421" spans="1:12">
      <c r="A421" s="20" t="s">
        <v>1411</v>
      </c>
    </row>
    <row r="422" spans="1:12">
      <c r="A422" s="20" t="s">
        <v>1313</v>
      </c>
      <c r="B422" s="21" t="s">
        <v>1194</v>
      </c>
      <c r="C422" s="21" t="s">
        <v>1208</v>
      </c>
      <c r="D422" s="21" t="s">
        <v>1180</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1271</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1412</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1330</v>
      </c>
      <c r="B425" s="21" t="s">
        <v>1191</v>
      </c>
      <c r="C425" s="21" t="s">
        <v>1254</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1202</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1209</v>
      </c>
      <c r="B427" s="21" t="s">
        <v>1178</v>
      </c>
      <c r="C427" s="21" t="s">
        <v>1188</v>
      </c>
      <c r="D427" s="21" t="s">
        <v>1180</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1224</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1260</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1413</v>
      </c>
      <c r="B430" s="21" t="s">
        <v>1191</v>
      </c>
      <c r="C430" s="21" t="s">
        <v>1179</v>
      </c>
      <c r="D430" s="21" t="s">
        <v>1180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1414</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818</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row>
    <row r="434" spans="1:12">
      <c r="A434" s="20" t="s">
        <v>1415</v>
      </c>
    </row>
    <row r="435" spans="1:12">
      <c r="A435" s="20" t="s">
        <v>1245</v>
      </c>
      <c r="B435" s="21" t="s">
        <v>1194</v>
      </c>
      <c r="C435" s="21" t="s">
        <v>1238</v>
      </c>
      <c r="D435" s="21" t="s">
        <v>1180</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1271</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1268</v>
      </c>
      <c r="B437" s="21" t="s">
        <v>1194</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1416</v>
      </c>
      <c r="B438" s="21" t="s">
        <v>1178</v>
      </c>
      <c r="C438" s="21" t="s">
        <v>1301</v>
      </c>
      <c r="D438" s="21" t="s">
        <v>1180</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1417</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1249</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row>
    <row r="442" spans="1:12">
      <c r="A442" s="20" t="s">
        <v>1418</v>
      </c>
    </row>
    <row r="443" spans="1:12">
      <c r="A443" s="20" t="s">
        <v>1287</v>
      </c>
      <c r="B443" s="21" t="s">
        <v>1178</v>
      </c>
      <c r="C443" s="21" t="s">
        <v>1195</v>
      </c>
      <c r="D443" s="21" t="s">
        <v>1180</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1182</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1419</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57</v>
      </c>
      <c r="B446" s="21" t="s">
        <v>1194</v>
      </c>
      <c r="C446" s="21" t="s">
        <v>1195</v>
      </c>
      <c r="D446" s="21" t="s">
        <v>1180</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1185</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1420</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1263</v>
      </c>
      <c r="B449" s="21" t="s">
        <v>1240</v>
      </c>
      <c r="C449" s="21" t="s">
        <v>1195</v>
      </c>
      <c r="D449" s="21" t="s">
        <v>1180</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1197</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1391</v>
      </c>
      <c r="B451" s="21" t="s">
        <v>1191</v>
      </c>
      <c r="C451" s="21" t="s">
        <v>1179</v>
      </c>
      <c r="D451" s="21" t="s">
        <v>1180</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1421</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1185</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1295</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1224</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1202</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1422</v>
      </c>
      <c r="B457" s="21" t="s">
        <v>1207</v>
      </c>
      <c r="C457" s="21" t="s">
        <v>1188</v>
      </c>
      <c r="D457" s="21" t="s">
        <v>1180</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1423</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1185</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1420</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1263</v>
      </c>
      <c r="B461" s="21" t="s">
        <v>1289</v>
      </c>
      <c r="C461" s="21" t="s">
        <v>1195</v>
      </c>
      <c r="D461" s="21" t="s">
        <v>1180</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1352</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1186</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1424</v>
      </c>
      <c r="B464" s="21" t="s">
        <v>1278</v>
      </c>
      <c r="C464" s="21" t="s">
        <v>1188</v>
      </c>
      <c r="D464" s="21" t="s">
        <v>1180</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1425</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1185</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1426</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1263</v>
      </c>
      <c r="B468" s="21" t="s">
        <v>1304</v>
      </c>
      <c r="C468" s="21" t="s">
        <v>1195</v>
      </c>
      <c r="D468" s="21" t="s">
        <v>1180</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1427</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1428</v>
      </c>
      <c r="B470" s="21" t="s">
        <v>1306</v>
      </c>
      <c r="C470" s="21" t="s">
        <v>1324</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1185</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1186</v>
      </c>
      <c r="B472" s="21" t="s">
        <v>1429</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1305</v>
      </c>
      <c r="B473" s="21" t="s">
        <v>1430</v>
      </c>
      <c r="C473" s="21" t="s">
        <v>1195</v>
      </c>
      <c r="D473" s="21" t="s">
        <v>1180</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1431</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818</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row>
    <row r="477" spans="1:12">
      <c r="A477" s="20" t="s">
        <v>1432</v>
      </c>
    </row>
    <row r="478" spans="1:12">
      <c r="A478" s="20" t="s">
        <v>1357</v>
      </c>
      <c r="B478" s="21" t="s">
        <v>1194</v>
      </c>
      <c r="C478" s="21" t="s">
        <v>1238</v>
      </c>
      <c r="D478" s="21" t="s">
        <v>1180</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130</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1433</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1434</v>
      </c>
      <c r="B481" s="21" t="s">
        <v>1204</v>
      </c>
      <c r="C481" s="21" t="s">
        <v>1324</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1224</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1202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1435</v>
      </c>
      <c r="B484" s="21" t="s">
        <v>1178</v>
      </c>
      <c r="C484" s="21" t="s">
        <v>1188</v>
      </c>
      <c r="D484" s="21" t="s">
        <v>1180</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1185</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1428</v>
      </c>
      <c r="B486" s="21" t="s">
        <v>1191</v>
      </c>
      <c r="C486" s="21" t="s">
        <v>1184</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1185</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1186</v>
      </c>
      <c r="B488" s="21" t="s">
        <v>1289</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1436</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670</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1437</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1185</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1428</v>
      </c>
      <c r="B493" s="21" t="s">
        <v>1191</v>
      </c>
      <c r="C493" s="21" t="s">
        <v>1184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1185</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1186</v>
      </c>
      <c r="B495" s="21" t="s">
        <v>1304</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1438</v>
      </c>
      <c r="B496" s="21" t="s">
        <v>1306</v>
      </c>
      <c r="C496" s="21" t="s">
        <v>1254</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830</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818</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row>
    <row r="500" spans="1:12">
      <c r="A500" s="20" t="s">
        <v>1439</v>
      </c>
    </row>
    <row r="501" spans="1:12">
      <c r="A501" s="20" t="s">
        <v>1309</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185</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1440</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1031</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1428</v>
      </c>
      <c r="B505" s="21" t="s">
        <v>1194</v>
      </c>
      <c r="C505" s="21" t="s">
        <v>1184</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1185</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1186</v>
      </c>
      <c r="B507" s="21" t="s">
        <v>1304</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1330</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1441</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207</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818</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row>
    <row r="513" spans="1:12">
      <c r="A513" s="20" t="s">
        <v>1442</v>
      </c>
    </row>
    <row r="514" spans="1:12">
      <c r="A514" s="20" t="s">
        <v>1443</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1334</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1428</v>
      </c>
      <c r="B516" s="21" t="s">
        <v>1194</v>
      </c>
      <c r="C516" s="21" t="s">
        <v>1184</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1185</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1186</v>
      </c>
      <c r="B518" s="21" t="s">
        <v>1306</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1303</v>
      </c>
      <c r="B519" s="21" t="s">
        <v>1304</v>
      </c>
      <c r="C519" s="21" t="s">
        <v>1254</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1314</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130</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1307</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1185</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1295</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1444</v>
      </c>
      <c r="B525" s="21" t="s">
        <v>1178</v>
      </c>
      <c r="C525" s="21" t="s">
        <v>1184</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1185</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1186</v>
      </c>
      <c r="B527" s="21" t="s">
        <v>1240</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1224</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1260</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1445</v>
      </c>
      <c r="B530" s="21" t="s">
        <v>1191</v>
      </c>
      <c r="C530" s="21" t="s">
        <v>1188</v>
      </c>
      <c r="D530" s="21" t="s">
        <v>1180</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1446</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1447</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1185</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1200</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1448</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1186</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1449</v>
      </c>
      <c r="B537" s="21" t="s">
        <v>1304</v>
      </c>
      <c r="C537" s="21" t="s">
        <v>1188</v>
      </c>
      <c r="D537" s="21" t="s">
        <v>1180</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1450</v>
      </c>
      <c r="B538" s="21" t="s">
        <v>1306</v>
      </c>
      <c r="C538" s="21" t="s">
        <v>1238</v>
      </c>
      <c r="D538" s="21" t="s">
        <v>1180</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1451</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1185</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1452</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1453</v>
      </c>
      <c r="B542" s="21" t="s">
        <v>1207</v>
      </c>
      <c r="C542" s="21" t="s">
        <v>1184</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1198</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1449</v>
      </c>
      <c r="B544" s="21" t="s">
        <v>1278</v>
      </c>
      <c r="C544" s="21" t="s">
        <v>1188</v>
      </c>
      <c r="D544" s="21" t="s">
        <v>1180</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1185</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1295</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1454</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1455</v>
      </c>
      <c r="B548" s="21" t="s">
        <v>1291</v>
      </c>
      <c r="C548" s="21" t="s">
        <v>1297</v>
      </c>
      <c r="D548" s="21" t="s">
        <v>1180</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1456</v>
      </c>
      <c r="B549" s="21" t="s">
        <v>1289</v>
      </c>
      <c r="C549" s="21" t="s">
        <v>1184</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1457</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1450</v>
      </c>
      <c r="B551" s="21" t="s">
        <v>1340</v>
      </c>
      <c r="C551" s="21" t="s">
        <v>1238</v>
      </c>
      <c r="D551" s="21" t="s">
        <v>1180</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1200</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1206</v>
      </c>
      <c r="B553" s="21" t="s">
        <v>1291</v>
      </c>
      <c r="C553" s="21" t="s">
        <v>1208</v>
      </c>
      <c r="D553" s="21" t="s">
        <v>1180</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1458</v>
      </c>
      <c r="B554" s="21" t="s">
        <v>1278</v>
      </c>
      <c r="C554" s="21" t="s">
        <v>1210</v>
      </c>
      <c r="D554" s="21" t="s">
        <v>1180</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818</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row>
    <row r="557" spans="1:12">
      <c r="A557" s="20" t="s">
        <v>1459</v>
      </c>
    </row>
    <row r="558" spans="1:12">
      <c r="A558" s="20" t="s">
        <v>1398</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1263</v>
      </c>
      <c r="B559" s="21" t="s">
        <v>1240</v>
      </c>
      <c r="C559" s="21" t="s">
        <v>1195</v>
      </c>
      <c r="D559" s="21" t="s">
        <v>1180</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1460</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1185</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1305</v>
      </c>
      <c r="B562" s="21" t="s">
        <v>1237</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1219</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1206</v>
      </c>
      <c r="B564" s="21" t="s">
        <v>1207</v>
      </c>
      <c r="C564" s="21" t="s">
        <v>1208</v>
      </c>
      <c r="D564" s="21" t="s">
        <v>1180</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1461</v>
      </c>
      <c r="B565" s="21" t="s">
        <v>1191</v>
      </c>
      <c r="C565" s="21" t="s">
        <v>1210</v>
      </c>
      <c r="D565" s="21" t="s">
        <v>1180</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1330</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1462</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1185</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1264</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1263</v>
      </c>
      <c r="B570" s="21" t="s">
        <v>1194</v>
      </c>
      <c r="C570" s="21" t="s">
        <v>1195</v>
      </c>
      <c r="D570" s="21" t="s">
        <v>1180</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1305</v>
      </c>
      <c r="B571" s="21" t="s">
        <v>1204</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1463</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1182</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1464</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1252</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1263</v>
      </c>
      <c r="B576" s="21" t="s">
        <v>1240</v>
      </c>
      <c r="C576" s="21" t="s">
        <v>1195</v>
      </c>
      <c r="D576" s="21" t="s">
        <v>1180</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1353</v>
      </c>
      <c r="B577" s="21" t="s">
        <v>1207</v>
      </c>
      <c r="C577" s="21" t="s">
        <v>1208</v>
      </c>
      <c r="D577" s="21" t="s">
        <v>1180</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618</v>
      </c>
      <c r="B578" s="21" t="s">
        <v>1237</v>
      </c>
      <c r="C578" s="21" t="s">
        <v>1210</v>
      </c>
      <c r="D578" s="21" t="s">
        <v>1180</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1375</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1465</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1302</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1466</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1467</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1185</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1300</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1186</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1449</v>
      </c>
      <c r="B587" s="21" t="s">
        <v>1304</v>
      </c>
      <c r="C587" s="21" t="s">
        <v>1188</v>
      </c>
      <c r="D587" s="21" t="s">
        <v>1180</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1202</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1468</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1469</v>
      </c>
      <c r="B590" s="21" t="s">
        <v>1306</v>
      </c>
      <c r="C590" s="21" t="s">
        <v>1188</v>
      </c>
      <c r="D590" s="21" t="s">
        <v>1180</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1470</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1185</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1471</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1186</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1472</v>
      </c>
      <c r="B595" s="21" t="s">
        <v>1289</v>
      </c>
      <c r="C595" s="21" t="s">
        <v>1188</v>
      </c>
      <c r="D595" s="21" t="s">
        <v>1180</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1473</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1474</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1249</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row>
    <row r="600" spans="1:12">
      <c r="A600" s="20" t="s">
        <v>1362</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1475</v>
      </c>
    </row>
    <row r="602" spans="1:12">
      <c r="A602" s="20" t="s">
        <v>1476</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1438</v>
      </c>
      <c r="B603" s="21" t="s">
        <v>1191</v>
      </c>
      <c r="C603" s="21" t="s">
        <v>1254</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1477</v>
      </c>
      <c r="B604" s="21" t="s">
        <v>1178</v>
      </c>
      <c r="C604" s="21" t="s">
        <v>1324</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1185</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1186</v>
      </c>
      <c r="B606" s="21" t="s">
        <v>1304</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1294</v>
      </c>
      <c r="B607" s="21" t="s">
        <v>1306</v>
      </c>
      <c r="C607" s="21" t="s">
        <v>1195</v>
      </c>
      <c r="D607" s="21" t="s">
        <v>1180</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1478</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1185</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1479</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1367</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1193</v>
      </c>
      <c r="B612" s="21" t="s">
        <v>1194</v>
      </c>
      <c r="C612" s="21" t="s">
        <v>1195</v>
      </c>
      <c r="D612" s="21" t="s">
        <v>1180</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1480</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1305</v>
      </c>
      <c r="B614" s="21" t="s">
        <v>1204</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1219</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1202</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1481</v>
      </c>
      <c r="B617" s="21" t="s">
        <v>1178</v>
      </c>
      <c r="C617" s="21" t="s">
        <v>1188</v>
      </c>
      <c r="D617" s="21" t="s">
        <v>1180</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1367</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1185</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1310</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185</v>
      </c>
      <c r="B621" s="21" t="s">
        <v>1240</v>
      </c>
      <c r="C621" s="21" t="s">
        <v>1195</v>
      </c>
      <c r="D621" s="21" t="s">
        <v>1180</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1322</v>
      </c>
      <c r="B622" s="21" t="s">
        <v>1207</v>
      </c>
      <c r="C622" s="21" t="s">
        <v>1238</v>
      </c>
      <c r="D622" s="21" t="s">
        <v>1180</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1482</v>
      </c>
      <c r="B623" s="21" t="s">
        <v>1237</v>
      </c>
      <c r="C623" s="21" t="s">
        <v>1324</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1483</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1185</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1310</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185</v>
      </c>
      <c r="B627" s="21" t="s">
        <v>1289</v>
      </c>
      <c r="C627" s="21" t="s">
        <v>1195</v>
      </c>
      <c r="D627" s="21" t="s">
        <v>1180</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1484</v>
      </c>
      <c r="B628" s="21" t="s">
        <v>1291</v>
      </c>
      <c r="C628" s="21" t="s">
        <v>1238</v>
      </c>
      <c r="D628" s="21" t="s">
        <v>1180</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1485</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1486</v>
      </c>
      <c r="B630" s="21" t="s">
        <v>1340</v>
      </c>
      <c r="C630" s="21" t="s">
        <v>1324</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1483</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1352</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1487</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1488</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1489</v>
      </c>
      <c r="B635" s="21" t="s">
        <v>1278</v>
      </c>
      <c r="C635" s="21" t="s">
        <v>1223</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1185</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1352</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1276</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1490</v>
      </c>
      <c r="B639" s="21" t="s">
        <v>1291</v>
      </c>
      <c r="C639" s="21" t="s">
        <v>1223</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1224</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1260</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1491</v>
      </c>
      <c r="B642" s="21" t="s">
        <v>1492</v>
      </c>
      <c r="C642" s="21" t="s">
        <v>1188</v>
      </c>
      <c r="D642" s="21" t="s">
        <v>1180</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1302</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1305</v>
      </c>
      <c r="B644" s="21" t="s">
        <v>1493</v>
      </c>
      <c r="C644" s="21" t="s">
        <v>1195</v>
      </c>
      <c r="D644" s="21" t="s">
        <v>1180</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1185</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1494</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1495</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1496</v>
      </c>
      <c r="B648" s="21" t="s">
        <v>1304</v>
      </c>
      <c r="C648" s="21" t="s">
        <v>1188</v>
      </c>
      <c r="D648" s="21" t="s">
        <v>1180</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1185</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1359</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1303</v>
      </c>
      <c r="B651" s="21" t="s">
        <v>1429</v>
      </c>
      <c r="C651" s="21" t="s">
        <v>1254</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1305</v>
      </c>
      <c r="B652" s="21" t="s">
        <v>1430</v>
      </c>
      <c r="C652" s="21" t="s">
        <v>1195</v>
      </c>
      <c r="D652" s="21" t="s">
        <v>1180</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1293</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1198</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1497</v>
      </c>
      <c r="B655" s="21" t="s">
        <v>1291</v>
      </c>
      <c r="C655" s="21" t="s">
        <v>1188</v>
      </c>
      <c r="D655" s="21" t="s">
        <v>1180</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1498</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1365</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1185</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1452</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1359</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1186</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1449</v>
      </c>
      <c r="B662" s="21" t="s">
        <v>1289</v>
      </c>
      <c r="C662" s="21" t="s">
        <v>1188</v>
      </c>
      <c r="D662" s="21" t="s">
        <v>1180</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1499</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1500</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1501</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818</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row>
    <row r="668" spans="1:12">
      <c r="A668" s="20" t="s">
        <v>1502</v>
      </c>
    </row>
    <row r="669" spans="1:12">
      <c r="A669" s="20" t="s">
        <v>1309</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1198</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1503</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1504</v>
      </c>
      <c r="B672" s="21" t="s">
        <v>1194</v>
      </c>
      <c r="C672" s="21" t="s">
        <v>1188</v>
      </c>
      <c r="D672" s="21" t="s">
        <v>1180</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1198</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1505</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1506</v>
      </c>
      <c r="B675" s="21" t="s">
        <v>1191</v>
      </c>
      <c r="C675" s="21" t="s">
        <v>1188</v>
      </c>
      <c r="D675" s="21" t="s">
        <v>1180</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1507</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1508</v>
      </c>
      <c r="B677" s="21" t="s">
        <v>1204</v>
      </c>
      <c r="C677" s="21" t="s">
        <v>1238</v>
      </c>
      <c r="D677" s="21" t="s">
        <v>1180</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1186</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1509</v>
      </c>
      <c r="B679" s="21" t="s">
        <v>1204</v>
      </c>
      <c r="C679" s="21" t="s">
        <v>1188</v>
      </c>
      <c r="D679" s="21" t="s">
        <v>1180</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1233</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1510</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1511</v>
      </c>
      <c r="B682" s="21" t="s">
        <v>1178</v>
      </c>
      <c r="C682" s="21" t="s">
        <v>1184</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1185</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1512</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1513</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1487</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1514</v>
      </c>
      <c r="B687" s="21" t="s">
        <v>1237</v>
      </c>
      <c r="C687" s="21" t="s">
        <v>1223</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1330</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1515</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1185</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1186</v>
      </c>
      <c r="B691" s="21" t="s">
        <v>1304</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1516</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1257</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1185</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1186</v>
      </c>
      <c r="B695" s="21" t="s">
        <v>1240</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1186</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1338</v>
      </c>
      <c r="B697" s="21" t="s">
        <v>1237</v>
      </c>
      <c r="C697" s="21" t="s">
        <v>1188</v>
      </c>
      <c r="D697" s="21" t="s">
        <v>1180</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1517</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1185</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1471</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1031</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1293</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1198</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1338</v>
      </c>
      <c r="B704" s="21" t="s">
        <v>1207</v>
      </c>
      <c r="C704" s="21" t="s">
        <v>1188</v>
      </c>
      <c r="D704" s="21" t="s">
        <v>1180</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1518</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1185</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1513</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1519</v>
      </c>
      <c r="B708" s="21" t="s">
        <v>1340</v>
      </c>
      <c r="C708" s="21" t="s">
        <v>1184</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1295</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154</v>
      </c>
      <c r="B710" s="21" t="s">
        <v>1291</v>
      </c>
      <c r="C710" s="21" t="s">
        <v>1184</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1330</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1515</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1185</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1302</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427</v>
      </c>
      <c r="B715" s="21" t="s">
        <v>1429</v>
      </c>
      <c r="C715" s="21" t="s">
        <v>1238</v>
      </c>
      <c r="D715" s="21" t="s">
        <v>1180</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1186</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1449</v>
      </c>
      <c r="B717" s="21" t="s">
        <v>1430</v>
      </c>
      <c r="C717" s="21" t="s">
        <v>1188</v>
      </c>
      <c r="D717" s="21" t="s">
        <v>1180</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1520</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1521</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1267</v>
      </c>
      <c r="B720" s="21" t="s">
        <v>1291</v>
      </c>
      <c r="C720" s="21" t="s">
        <v>1184</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1522</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1523</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1185</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1452</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1186</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1524</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1525</v>
      </c>
      <c r="B727" s="21" t="s">
        <v>1526</v>
      </c>
      <c r="C727" s="21" t="s">
        <v>1188</v>
      </c>
      <c r="D727" s="21" t="s">
        <v>1180</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1330</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1527</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818</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row>
    <row r="732" spans="1:12">
      <c r="A732" s="20" t="s">
        <v>1528</v>
      </c>
    </row>
    <row r="733" spans="1:12">
      <c r="A733" s="20" t="s">
        <v>1529</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1263</v>
      </c>
      <c r="B734" s="21" t="s">
        <v>1240</v>
      </c>
      <c r="C734" s="21" t="s">
        <v>1195</v>
      </c>
      <c r="D734" s="21" t="s">
        <v>1180</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1293</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1410</v>
      </c>
      <c r="B736" s="21" t="s">
        <v>1191</v>
      </c>
      <c r="C736" s="21" t="s">
        <v>1184</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1396</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1264</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1185</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1530</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1263</v>
      </c>
      <c r="B741" s="21" t="s">
        <v>1240</v>
      </c>
      <c r="C741" s="21" t="s">
        <v>1195</v>
      </c>
      <c r="D741" s="21" t="s">
        <v>1180</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1531</v>
      </c>
      <c r="B742" s="21" t="s">
        <v>1207</v>
      </c>
      <c r="C742" s="21" t="s">
        <v>1254</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1532</v>
      </c>
      <c r="B743" s="21" t="s">
        <v>1207</v>
      </c>
      <c r="C743" s="21" t="s">
        <v>1297</v>
      </c>
      <c r="D743" s="21" t="s">
        <v>1180</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1533</v>
      </c>
      <c r="B744" s="21" t="s">
        <v>1237</v>
      </c>
      <c r="C744" s="21" t="s">
        <v>1324</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1260</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1505</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1534</v>
      </c>
      <c r="B747" s="21" t="s">
        <v>1237</v>
      </c>
      <c r="C747" s="21" t="s">
        <v>1188</v>
      </c>
      <c r="D747" s="21" t="s">
        <v>1180</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1535</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1264</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1185</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1536</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1537</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1197</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1305</v>
      </c>
      <c r="B754" s="21" t="s">
        <v>1278</v>
      </c>
      <c r="C754" s="21" t="s">
        <v>1195</v>
      </c>
      <c r="D754" s="21" t="s">
        <v>1180</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1538</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1330</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474</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1242</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1444</v>
      </c>
      <c r="B759" s="21" t="s">
        <v>1207</v>
      </c>
      <c r="C759" s="21" t="s">
        <v>1184</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1520</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1186</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1539</v>
      </c>
      <c r="B762" s="21" t="s">
        <v>1278</v>
      </c>
      <c r="C762" s="21" t="s">
        <v>1188</v>
      </c>
      <c r="D762" s="21" t="s">
        <v>1180</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1185</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1540</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427</v>
      </c>
      <c r="B765" s="21" t="s">
        <v>1194</v>
      </c>
      <c r="C765" s="21" t="s">
        <v>1238</v>
      </c>
      <c r="D765" s="21" t="s">
        <v>1180</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1487</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1541</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154</v>
      </c>
      <c r="B768" s="21" t="s">
        <v>1178</v>
      </c>
      <c r="C768" s="21" t="s">
        <v>1223</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1185</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1219</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1198</v>
      </c>
      <c r="B771" s="21" t="s">
        <v>1191</v>
      </c>
      <c r="C771" s="21" t="s">
        <v>1238</v>
      </c>
      <c r="D771" s="21" t="s">
        <v>1180</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1218</v>
      </c>
      <c r="B772" s="21" t="s">
        <v>1237</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1186</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1338</v>
      </c>
      <c r="B774" s="21" t="s">
        <v>1240</v>
      </c>
      <c r="C774" s="21" t="s">
        <v>1188</v>
      </c>
      <c r="D774" s="21" t="s">
        <v>1180</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1542</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1292</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1295</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1186</v>
      </c>
      <c r="B778" s="21" t="s">
        <v>1306</v>
      </c>
      <c r="C778" s="21" t="s">
        <v>1238</v>
      </c>
      <c r="D778" s="21" t="s">
        <v>1180</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1438</v>
      </c>
      <c r="B779" s="21" t="s">
        <v>1304</v>
      </c>
      <c r="C779" s="21" t="s">
        <v>1254</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1276</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1469</v>
      </c>
      <c r="B781" s="21" t="s">
        <v>1306</v>
      </c>
      <c r="C781" s="21" t="s">
        <v>1223</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1543</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1271</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818</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row>
    <row r="786" spans="1:12">
      <c r="A786" s="20" t="s">
        <v>1544</v>
      </c>
    </row>
    <row r="787" spans="1:12">
      <c r="A787" s="20" t="s">
        <v>1545</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1472</v>
      </c>
      <c r="B788" s="21" t="s">
        <v>1194</v>
      </c>
      <c r="C788" s="21" t="s">
        <v>1188</v>
      </c>
      <c r="D788" s="21" t="s">
        <v>1180</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1185</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1293</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1448</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1546</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1547</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1185</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1186</v>
      </c>
      <c r="B795" s="21" t="s">
        <v>1207</v>
      </c>
      <c r="C795" s="21" t="s">
        <v>1238</v>
      </c>
      <c r="D795" s="21" t="s">
        <v>1180</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1472</v>
      </c>
      <c r="B796" s="21" t="s">
        <v>1191</v>
      </c>
      <c r="C796" s="21" t="s">
        <v>1188</v>
      </c>
      <c r="D796" s="21" t="s">
        <v>1180</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1185</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1186</v>
      </c>
      <c r="B798" s="21" t="s">
        <v>1289</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1200</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1198</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1338</v>
      </c>
      <c r="B801" s="21" t="s">
        <v>1278</v>
      </c>
      <c r="C801" s="21" t="s">
        <v>1188</v>
      </c>
      <c r="D801" s="21" t="s">
        <v>1180</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1548</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1447</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1185</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163</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1218</v>
      </c>
      <c r="B806" s="21" t="s">
        <v>1204</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1549</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1550</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818</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row>
    <row r="811" spans="1:12">
      <c r="A811" s="20" t="s">
        <v>1551</v>
      </c>
    </row>
    <row r="812" spans="1:12">
      <c r="A812" s="20" t="s">
        <v>1357</v>
      </c>
      <c r="B812" s="21" t="s">
        <v>1194</v>
      </c>
      <c r="C812" s="21" t="s">
        <v>1238</v>
      </c>
      <c r="D812" s="21" t="s">
        <v>1180</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163</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1552</v>
      </c>
      <c r="B814" s="21" t="s">
        <v>1191</v>
      </c>
      <c r="C814" s="21" t="s">
        <v>1238</v>
      </c>
      <c r="D814" s="21" t="s">
        <v>1180</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1553</v>
      </c>
      <c r="B815" s="21" t="s">
        <v>1204</v>
      </c>
      <c r="C815" s="21" t="s">
        <v>1184</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1185</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1359</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1031</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1537</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1265</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1554</v>
      </c>
      <c r="B821" s="21" t="s">
        <v>1304</v>
      </c>
      <c r="C821" s="21" t="s">
        <v>1223</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1555</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1556</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1185</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1295</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1557</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1252</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1263</v>
      </c>
      <c r="B828" s="21" t="s">
        <v>1240</v>
      </c>
      <c r="C828" s="21" t="s">
        <v>1195</v>
      </c>
      <c r="D828" s="21" t="s">
        <v>1180</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1293</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1558</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1444</v>
      </c>
      <c r="B831" s="21" t="s">
        <v>1191</v>
      </c>
      <c r="C831" s="21" t="s">
        <v>1232</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1559</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666</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818</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row>
    <row r="836" spans="1:12">
      <c r="A836" s="20" t="s">
        <v>1560</v>
      </c>
    </row>
    <row r="837" spans="1:12">
      <c r="A837" s="20" t="s">
        <v>1262</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1182</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1561</v>
      </c>
      <c r="B839" s="21" t="s">
        <v>1194</v>
      </c>
      <c r="C839" s="21" t="s">
        <v>1179</v>
      </c>
      <c r="D839" s="21" t="s">
        <v>1180</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1305</v>
      </c>
      <c r="B840" s="21" t="s">
        <v>1204</v>
      </c>
      <c r="C840" s="21" t="s">
        <v>1195</v>
      </c>
      <c r="D840" s="21" t="s">
        <v>1180</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1260</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1261</v>
      </c>
      <c r="B842" s="21" t="s">
        <v>1204</v>
      </c>
      <c r="C842" s="21" t="s">
        <v>1188</v>
      </c>
      <c r="D842" s="21" t="s">
        <v>1180</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1265</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1266</v>
      </c>
      <c r="B844" s="21" t="s">
        <v>1191</v>
      </c>
      <c r="C844" s="21" t="s">
        <v>1254</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1562</v>
      </c>
      <c r="B845" s="21" t="s">
        <v>1204</v>
      </c>
      <c r="C845" s="21" t="s">
        <v>1223</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1352</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1563</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1209</v>
      </c>
      <c r="B848" s="21" t="s">
        <v>1191</v>
      </c>
      <c r="C848" s="21" t="s">
        <v>1232</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134</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818</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row>
    <row r="852" spans="1:12">
      <c r="A852" s="20" t="s">
        <v>1564</v>
      </c>
    </row>
    <row r="853" spans="1:12">
      <c r="A853" s="20" t="s">
        <v>1565</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427</v>
      </c>
      <c r="B854" s="21" t="s">
        <v>1194</v>
      </c>
      <c r="C854" s="21" t="s">
        <v>1238</v>
      </c>
      <c r="D854" s="21" t="s">
        <v>1180</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1566</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1567</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1495</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1568</v>
      </c>
      <c r="B858" s="21" t="s">
        <v>1204</v>
      </c>
      <c r="C858" s="21" t="s">
        <v>1188</v>
      </c>
      <c r="D858" s="21" t="s">
        <v>1180</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163</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1249</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row>
    <row r="862" spans="1:12">
      <c r="A862" s="20" t="s">
        <v>1569</v>
      </c>
    </row>
    <row r="863" spans="1:12">
      <c r="A863" s="20" t="s">
        <v>1211</v>
      </c>
      <c r="B863" s="21" t="s">
        <v>1194</v>
      </c>
      <c r="C863" s="21" t="s">
        <v>1179</v>
      </c>
      <c r="D863" s="21" t="s">
        <v>1180</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1185</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1263</v>
      </c>
      <c r="B865" s="21" t="s">
        <v>1304</v>
      </c>
      <c r="C865" s="21" t="s">
        <v>1195</v>
      </c>
      <c r="D865" s="21" t="s">
        <v>1180</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1570</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1314</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1185</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1571</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57</v>
      </c>
      <c r="B870" s="21" t="s">
        <v>1289</v>
      </c>
      <c r="C870" s="21" t="s">
        <v>1195</v>
      </c>
      <c r="D870" s="21" t="s">
        <v>1180</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1360</v>
      </c>
      <c r="B871" s="21" t="s">
        <v>1340</v>
      </c>
      <c r="C871" s="21" t="s">
        <v>1208</v>
      </c>
      <c r="D871" s="21" t="s">
        <v>1180</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38</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1246</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1182</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1545</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1572</v>
      </c>
      <c r="B876" s="21" t="s">
        <v>1191</v>
      </c>
      <c r="C876" s="21" t="s">
        <v>1188</v>
      </c>
      <c r="D876" s="21" t="s">
        <v>1180</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1198</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1573</v>
      </c>
      <c r="B878" s="21" t="s">
        <v>1207</v>
      </c>
      <c r="C878" s="21" t="s">
        <v>1188</v>
      </c>
      <c r="D878" s="21" t="s">
        <v>1180</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1334</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1574</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818</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row>
    <row r="883" spans="1:12">
      <c r="A883" s="20" t="s">
        <v>1575</v>
      </c>
    </row>
    <row r="884" spans="1:12">
      <c r="A884" s="20" t="s">
        <v>1576</v>
      </c>
      <c r="B884" s="21" t="s">
        <v>1191</v>
      </c>
      <c r="C884" s="21" t="s">
        <v>1208</v>
      </c>
      <c r="D884" s="21" t="s">
        <v>1180</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1577</v>
      </c>
      <c r="B885" s="21" t="s">
        <v>1194</v>
      </c>
      <c r="C885" s="21" t="s">
        <v>1210</v>
      </c>
      <c r="D885" s="21" t="s">
        <v>1180</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1578</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1495</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1579</v>
      </c>
      <c r="B888" s="21" t="s">
        <v>1204</v>
      </c>
      <c r="C888" s="21" t="s">
        <v>1188</v>
      </c>
      <c r="D888" s="21" t="s">
        <v>1180</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1580</v>
      </c>
      <c r="B889" s="21" t="s">
        <v>1191</v>
      </c>
      <c r="C889" s="21" t="s">
        <v>1179</v>
      </c>
      <c r="D889" s="21" t="s">
        <v>1180</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818</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row>
    <row r="892" spans="1:12">
      <c r="A892" s="20" t="s">
        <v>1581</v>
      </c>
    </row>
    <row r="893" spans="1:12">
      <c r="A893" s="20" t="s">
        <v>1582</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57</v>
      </c>
      <c r="B894" s="21" t="s">
        <v>1194</v>
      </c>
      <c r="C894" s="21" t="s">
        <v>1195</v>
      </c>
      <c r="D894" s="21" t="s">
        <v>1180</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1260</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1261</v>
      </c>
      <c r="B896" s="21" t="s">
        <v>1204</v>
      </c>
      <c r="C896" s="21" t="s">
        <v>1188</v>
      </c>
      <c r="D896" s="21" t="s">
        <v>1180</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181</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1185</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1236</v>
      </c>
      <c r="B899" s="21" t="s">
        <v>1240</v>
      </c>
      <c r="C899" s="21" t="s">
        <v>1238</v>
      </c>
      <c r="D899" s="21" t="s">
        <v>1180</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1311</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1583</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1547</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1249</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row>
    <row r="905" spans="1:12">
      <c r="A905" s="20" t="s">
        <v>1584</v>
      </c>
    </row>
    <row r="906" spans="1:12">
      <c r="A906" s="20" t="s">
        <v>1287</v>
      </c>
      <c r="B906" s="21" t="s">
        <v>1178</v>
      </c>
      <c r="C906" s="21" t="s">
        <v>1195</v>
      </c>
      <c r="D906" s="21" t="s">
        <v>1180</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1182</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1379</v>
      </c>
      <c r="B908" s="21" t="s">
        <v>1240</v>
      </c>
      <c r="C908" s="21" t="s">
        <v>1179</v>
      </c>
      <c r="D908" s="21" t="s">
        <v>1180</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1330</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1585</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1185</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1236</v>
      </c>
      <c r="B912" s="21" t="s">
        <v>1289</v>
      </c>
      <c r="C912" s="21" t="s">
        <v>1238</v>
      </c>
      <c r="D912" s="21" t="s">
        <v>1180</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1580</v>
      </c>
      <c r="B913" s="21" t="s">
        <v>1304</v>
      </c>
      <c r="C913" s="21" t="s">
        <v>1179</v>
      </c>
      <c r="D913" s="21" t="s">
        <v>1180</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1257</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1185</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11</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1586</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1574</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1587</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1303</v>
      </c>
      <c r="B920" s="21" t="s">
        <v>1289</v>
      </c>
      <c r="C920" s="21" t="s">
        <v>1254</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1588</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1589</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11</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1307</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1303</v>
      </c>
      <c r="B925" s="21" t="s">
        <v>1304</v>
      </c>
      <c r="C925" s="21" t="s">
        <v>1254</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1590</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1591</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1185</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1236</v>
      </c>
      <c r="B929" s="21" t="s">
        <v>1289</v>
      </c>
      <c r="C929" s="21" t="s">
        <v>1238</v>
      </c>
      <c r="D929" s="21" t="s">
        <v>1180</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185</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1314</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1257</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818</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row>
    <row r="935" spans="1:12">
      <c r="A935" s="20" t="s">
        <v>1592</v>
      </c>
    </row>
    <row r="936" spans="1:12">
      <c r="A936" s="20" t="s">
        <v>1593</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1594</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1595</v>
      </c>
      <c r="B938" s="21" t="s">
        <v>1194</v>
      </c>
      <c r="C938" s="21" t="s">
        <v>1223</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1198</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154</v>
      </c>
      <c r="B940" s="21" t="s">
        <v>1191</v>
      </c>
      <c r="C940" s="21" t="s">
        <v>1188</v>
      </c>
      <c r="D940" s="21" t="s">
        <v>1180</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1224</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1202</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1596</v>
      </c>
      <c r="B943" s="21" t="s">
        <v>1207</v>
      </c>
      <c r="C943" s="21" t="s">
        <v>1179</v>
      </c>
      <c r="D943" s="21" t="s">
        <v>1180</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1597</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1218</v>
      </c>
      <c r="B945" s="21" t="s">
        <v>1204</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1197</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1598</v>
      </c>
      <c r="B947" s="21" t="s">
        <v>1178</v>
      </c>
      <c r="C947" s="21" t="s">
        <v>1184</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818</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row>
    <row r="950" spans="1:12">
      <c r="A950" s="20" t="s">
        <v>1599</v>
      </c>
    </row>
    <row r="951" spans="1:12">
      <c r="A951" s="20" t="s">
        <v>1600</v>
      </c>
      <c r="B951" s="21" t="s">
        <v>1194</v>
      </c>
      <c r="C951" s="21" t="s">
        <v>1195</v>
      </c>
      <c r="D951" s="21" t="s">
        <v>1180</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1601</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1185</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185</v>
      </c>
      <c r="B954" s="21" t="s">
        <v>1240</v>
      </c>
      <c r="C954" s="21" t="s">
        <v>1195</v>
      </c>
      <c r="D954" s="21" t="s">
        <v>1180</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1602</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1537</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1598</v>
      </c>
      <c r="B957" s="21" t="s">
        <v>1178</v>
      </c>
      <c r="C957" s="21" t="s">
        <v>1184</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818</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row>
    <row r="960" spans="1:12">
      <c r="A960" s="20" t="s">
        <v>1603</v>
      </c>
    </row>
    <row r="961" spans="1:12">
      <c r="A961" s="20" t="s">
        <v>1600</v>
      </c>
      <c r="B961" s="21" t="s">
        <v>1194</v>
      </c>
      <c r="C961" s="21" t="s">
        <v>1195</v>
      </c>
      <c r="D961" s="21" t="s">
        <v>1180</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189</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1218</v>
      </c>
      <c r="B963" s="21" t="s">
        <v>1204</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1604</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1197</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1487</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1605</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1606</v>
      </c>
      <c r="B968" s="21" t="s">
        <v>1178</v>
      </c>
      <c r="C968" s="21" t="s">
        <v>1223</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1182</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1202</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1607</v>
      </c>
      <c r="B971" s="21" t="s">
        <v>1191</v>
      </c>
      <c r="C971" s="21" t="s">
        <v>1608</v>
      </c>
      <c r="D971" s="21" t="s">
        <v>1180</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800</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1189</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1370</v>
      </c>
      <c r="B974" s="21" t="s">
        <v>1207</v>
      </c>
      <c r="C974" s="21" t="s">
        <v>1188</v>
      </c>
      <c r="D974" s="21" t="s">
        <v>1180</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1609</v>
      </c>
      <c r="B975" s="21" t="s">
        <v>1278</v>
      </c>
      <c r="C975" s="21" t="s">
        <v>1179</v>
      </c>
      <c r="D975" s="21" t="s">
        <v>1180</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818</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row>
    <row r="978" spans="1:12">
      <c r="A978" s="20" t="s">
        <v>1610</v>
      </c>
    </row>
    <row r="979" spans="1:12">
      <c r="A979" s="20" t="s">
        <v>1227</v>
      </c>
      <c r="B979" s="21" t="s">
        <v>1194</v>
      </c>
      <c r="C979" s="21" t="s">
        <v>1195</v>
      </c>
      <c r="D979" s="21" t="s">
        <v>1180</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199</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1487</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1337</v>
      </c>
      <c r="B982" s="21" t="s">
        <v>1204</v>
      </c>
      <c r="C982" s="21" t="s">
        <v>1223</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1611</v>
      </c>
      <c r="B983" s="21" t="s">
        <v>1191</v>
      </c>
      <c r="C983" s="21" t="s">
        <v>1184</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1452</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1612</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1613</v>
      </c>
      <c r="B986" s="21" t="s">
        <v>1178</v>
      </c>
      <c r="C986" s="21" t="s">
        <v>1184</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1185</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1487</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1614</v>
      </c>
      <c r="B989" s="21" t="s">
        <v>1191</v>
      </c>
      <c r="C989" s="21" t="s">
        <v>1223</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1198</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1615</v>
      </c>
      <c r="B991" s="21" t="s">
        <v>1207</v>
      </c>
      <c r="C991" s="21" t="s">
        <v>1188</v>
      </c>
      <c r="D991" s="21" t="s">
        <v>1180</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1189</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1383</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1616</v>
      </c>
      <c r="B994" s="21" t="s">
        <v>1278</v>
      </c>
      <c r="C994" s="21" t="s">
        <v>1188</v>
      </c>
      <c r="D994" s="21" t="s">
        <v>1180</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1185</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1617</v>
      </c>
      <c r="B996" s="21" t="s">
        <v>1492</v>
      </c>
      <c r="C996" s="21" t="s">
        <v>1238</v>
      </c>
      <c r="D996" s="21" t="s">
        <v>1180</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1428</v>
      </c>
      <c r="B997" s="21" t="s">
        <v>1291</v>
      </c>
      <c r="C997" s="21" t="s">
        <v>1208</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1618</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1619</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1620</v>
      </c>
      <c r="B1000" s="21" t="s">
        <v>1191</v>
      </c>
      <c r="C1000" s="21" t="s">
        <v>1283</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57</v>
      </c>
      <c r="B1001" s="21" t="s">
        <v>1304</v>
      </c>
      <c r="C1001" s="21" t="s">
        <v>1195</v>
      </c>
      <c r="D1001" s="21" t="s">
        <v>1180</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1621</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1185</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1622</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57</v>
      </c>
      <c r="B1005" s="21" t="s">
        <v>1304</v>
      </c>
      <c r="C1005" s="21" t="s">
        <v>1195</v>
      </c>
      <c r="D1005" s="21" t="s">
        <v>1180</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1293</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1623</v>
      </c>
      <c r="B1007" s="21" t="s">
        <v>1278</v>
      </c>
      <c r="C1007" s="21" t="s">
        <v>1238</v>
      </c>
      <c r="D1007" s="21" t="s">
        <v>1180</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1621</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1185</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1624</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57</v>
      </c>
      <c r="B1011" s="21" t="s">
        <v>1240</v>
      </c>
      <c r="C1011" s="21" t="s">
        <v>1238</v>
      </c>
      <c r="D1011" s="21" t="s">
        <v>1180</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1625</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1626</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818</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row>
    <row r="1016" spans="1:12">
      <c r="A1016" s="20" t="s">
        <v>1627</v>
      </c>
    </row>
    <row r="1017" spans="1:12">
      <c r="A1017" s="20" t="s">
        <v>1628</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1495</v>
      </c>
      <c r="B1018" s="21" t="s">
        <v>1194</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1334</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1598</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11</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1629</v>
      </c>
      <c r="B1022" s="21" t="s">
        <v>1178</v>
      </c>
      <c r="C1022" s="21" t="s">
        <v>1232</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818</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row>
    <row r="1025" spans="1:12">
      <c r="A1025" s="20" t="s">
        <v>1630</v>
      </c>
    </row>
    <row r="1026" spans="1:12">
      <c r="A1026" s="20" t="s">
        <v>1476</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1580</v>
      </c>
      <c r="B1027" s="21" t="s">
        <v>1178</v>
      </c>
      <c r="C1027" s="21" t="s">
        <v>1179</v>
      </c>
      <c r="D1027" s="21" t="s">
        <v>1180</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1631</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185</v>
      </c>
      <c r="B1029" s="21" t="s">
        <v>1194</v>
      </c>
      <c r="C1029" s="21" t="s">
        <v>1195</v>
      </c>
      <c r="D1029" s="21" t="s">
        <v>1180</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1513</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1632</v>
      </c>
      <c r="B1031" s="21" t="s">
        <v>1178</v>
      </c>
      <c r="C1031" s="21" t="s">
        <v>1184</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818</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row>
    <row r="1034" spans="1:12">
      <c r="A1034" s="20" t="s">
        <v>1633</v>
      </c>
    </row>
    <row r="1035" spans="1:12">
      <c r="A1035" s="20" t="s">
        <v>1256</v>
      </c>
      <c r="B1035" s="21" t="s">
        <v>1194</v>
      </c>
      <c r="C1035" s="21" t="s">
        <v>1195</v>
      </c>
      <c r="D1035" s="21" t="s">
        <v>1180</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1257</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1265</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1579</v>
      </c>
      <c r="B1038" s="21" t="s">
        <v>1178</v>
      </c>
      <c r="C1038" s="21" t="s">
        <v>1223</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1185</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1293</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1260</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1186</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1338</v>
      </c>
      <c r="B1043" s="21" t="s">
        <v>1240</v>
      </c>
      <c r="C1043" s="21" t="s">
        <v>1188</v>
      </c>
      <c r="D1043" s="21" t="s">
        <v>1180</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1186</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578</v>
      </c>
      <c r="B1045" s="21" t="s">
        <v>1237</v>
      </c>
      <c r="C1045" s="21" t="s">
        <v>1188</v>
      </c>
      <c r="D1045" s="21" t="s">
        <v>1180</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1634</v>
      </c>
      <c r="B1046" s="21" t="s">
        <v>1207</v>
      </c>
      <c r="C1046" s="21" t="s">
        <v>1179</v>
      </c>
      <c r="D1046" s="21" t="s">
        <v>1180</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1635</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1252</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1185</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1219</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1636</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1637</v>
      </c>
      <c r="B1052" s="21" t="s">
        <v>1207</v>
      </c>
      <c r="C1052" s="21" t="s">
        <v>1232</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1295</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1224</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1638</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1639</v>
      </c>
      <c r="B1056" s="21" t="s">
        <v>1207</v>
      </c>
      <c r="C1056" s="21" t="s">
        <v>1232</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1186</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1640</v>
      </c>
      <c r="B1058" s="21" t="s">
        <v>1306</v>
      </c>
      <c r="C1058" s="21" t="s">
        <v>1188</v>
      </c>
      <c r="D1058" s="21" t="s">
        <v>1180</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1352</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1186</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1395</v>
      </c>
      <c r="B1061" s="21" t="s">
        <v>1278</v>
      </c>
      <c r="C1061" s="21" t="s">
        <v>1179</v>
      </c>
      <c r="D1061" s="21" t="s">
        <v>1180</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1330</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1641</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818</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row>
    <row r="1066" spans="1:12">
      <c r="A1066" s="20" t="s">
        <v>1642</v>
      </c>
    </row>
    <row r="1067" spans="1:12">
      <c r="A1067" s="20" t="s">
        <v>1643</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1218</v>
      </c>
      <c r="B1068" s="21" t="s">
        <v>1237</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1644</v>
      </c>
      <c r="B1069" s="21" t="s">
        <v>1207</v>
      </c>
      <c r="C1069" s="21" t="s">
        <v>1254</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578</v>
      </c>
      <c r="B1070" s="21" t="s">
        <v>1240</v>
      </c>
      <c r="C1070" s="21" t="s">
        <v>1324</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1645</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163</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1295</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1646</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1644</v>
      </c>
      <c r="B1075" s="21" t="s">
        <v>1178</v>
      </c>
      <c r="C1075" s="21" t="s">
        <v>1254</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11</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1263</v>
      </c>
      <c r="B1077" s="21" t="s">
        <v>1194</v>
      </c>
      <c r="C1077" s="21" t="s">
        <v>1195</v>
      </c>
      <c r="D1077" s="21" t="s">
        <v>1180</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1647</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1185</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1648</v>
      </c>
      <c r="B1080" s="21" t="s">
        <v>1240</v>
      </c>
      <c r="C1080" s="21" t="s">
        <v>1179</v>
      </c>
      <c r="D1080" s="21" t="s">
        <v>1180</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1587</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1649</v>
      </c>
      <c r="B1082" s="21" t="s">
        <v>1240</v>
      </c>
      <c r="C1082" s="21" t="s">
        <v>1254</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1200</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1650</v>
      </c>
      <c r="B1084" s="21" t="s">
        <v>1191</v>
      </c>
      <c r="C1084" s="21" t="s">
        <v>1195</v>
      </c>
      <c r="D1084" s="21" t="s">
        <v>1180</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11</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1651</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1652</v>
      </c>
      <c r="B1087" s="21" t="s">
        <v>1191</v>
      </c>
      <c r="C1087" s="21" t="s">
        <v>1184</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1653</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1185</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163</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1253</v>
      </c>
      <c r="B1091" s="21" t="s">
        <v>1304</v>
      </c>
      <c r="C1091" s="21" t="s">
        <v>1254</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1654</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1185</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1655</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1186</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1656</v>
      </c>
      <c r="B1096" s="21" t="s">
        <v>1289</v>
      </c>
      <c r="C1096" s="21" t="s">
        <v>1188</v>
      </c>
      <c r="D1096" s="21" t="s">
        <v>1180</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1549</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1657</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1658</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1447</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818</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row>
    <row r="1103" spans="1:12">
      <c r="A1103" s="20" t="s">
        <v>1659</v>
      </c>
    </row>
    <row r="1104" spans="1:12">
      <c r="A1104" s="20" t="s">
        <v>1660</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1661</v>
      </c>
      <c r="B1105" s="21" t="s">
        <v>1178</v>
      </c>
      <c r="C1105" s="21" t="s">
        <v>1238</v>
      </c>
      <c r="D1105" s="21" t="s">
        <v>1180</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1662</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1265</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1663</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1652</v>
      </c>
      <c r="B1109" s="21" t="s">
        <v>1194</v>
      </c>
      <c r="C1109" s="21" t="s">
        <v>1223</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818</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row>
    <row r="1112" spans="1:12">
      <c r="A1112" s="20" t="s">
        <v>1664</v>
      </c>
    </row>
    <row r="1113" spans="1:12">
      <c r="A1113" s="20" t="s">
        <v>1357</v>
      </c>
      <c r="B1113" s="21" t="s">
        <v>1240</v>
      </c>
      <c r="C1113" s="21" t="s">
        <v>1238</v>
      </c>
      <c r="D1113" s="21" t="s">
        <v>1180</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163</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1224</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1260</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1665</v>
      </c>
      <c r="B1117" s="21" t="s">
        <v>1178</v>
      </c>
      <c r="C1117" s="21" t="s">
        <v>1188</v>
      </c>
      <c r="D1117" s="21" t="s">
        <v>1180</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1293</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1666</v>
      </c>
      <c r="B1119" s="21" t="s">
        <v>1191</v>
      </c>
      <c r="C1119" s="21" t="s">
        <v>1184</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1381</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1667</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1185</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1495</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1263</v>
      </c>
      <c r="B1124" s="21" t="s">
        <v>1240</v>
      </c>
      <c r="C1124" s="21" t="s">
        <v>1195</v>
      </c>
      <c r="D1124" s="21" t="s">
        <v>1180</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1668</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1669</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1182</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row>
    <row r="1129" spans="1:12">
      <c r="A1129" s="20" t="s">
        <v>1670</v>
      </c>
    </row>
    <row r="1130" spans="1:12">
      <c r="A1130" s="20" t="s">
        <v>1256</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1483</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1671</v>
      </c>
      <c r="B1132" s="21" t="s">
        <v>1194</v>
      </c>
      <c r="C1132" s="21" t="s">
        <v>1184</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1224</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1198</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1672</v>
      </c>
      <c r="B1135" s="21" t="s">
        <v>1191</v>
      </c>
      <c r="C1135" s="21" t="s">
        <v>1179</v>
      </c>
      <c r="D1135" s="21" t="s">
        <v>1180</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11</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1338</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1185</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1224</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1448</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1673</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1547</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1185</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68</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1674</v>
      </c>
      <c r="B1145" s="21" t="s">
        <v>1240</v>
      </c>
      <c r="C1145" s="21" t="s">
        <v>1324</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1675</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1353</v>
      </c>
      <c r="B1147" s="21" t="s">
        <v>1207</v>
      </c>
      <c r="C1147" s="21" t="s">
        <v>1208</v>
      </c>
      <c r="D1147" s="21" t="s">
        <v>1180</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1676</v>
      </c>
      <c r="B1148" s="21" t="s">
        <v>1237</v>
      </c>
      <c r="C1148" s="21" t="s">
        <v>1210</v>
      </c>
      <c r="D1148" s="21" t="s">
        <v>1180</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1677</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1295</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1420</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1678</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1679</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818</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row>
    <row r="1156" spans="1:12">
      <c r="A1156" s="20" t="s">
        <v>1680</v>
      </c>
    </row>
    <row r="1157" spans="1:12">
      <c r="A1157" s="20" t="s">
        <v>1309</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1661</v>
      </c>
      <c r="B1158" s="21" t="s">
        <v>1194</v>
      </c>
      <c r="C1158" s="21" t="s">
        <v>1238</v>
      </c>
      <c r="D1158" s="21" t="s">
        <v>1180</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230</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1314</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1185</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1359</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1360</v>
      </c>
      <c r="B1163" s="21" t="s">
        <v>1304</v>
      </c>
      <c r="C1163" s="21" t="s">
        <v>1208</v>
      </c>
      <c r="D1163" s="21" t="s">
        <v>1180</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1681</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1682</v>
      </c>
      <c r="B1165" s="21" t="s">
        <v>1240</v>
      </c>
      <c r="C1165" s="21" t="s">
        <v>1184</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1334</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1224</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1220</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1683</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1652</v>
      </c>
      <c r="B1170" s="21" t="s">
        <v>1240</v>
      </c>
      <c r="C1170" s="21" t="s">
        <v>1223</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1185</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1495</v>
      </c>
      <c r="B1172" s="21" t="s">
        <v>1289</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1197</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1198</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1606</v>
      </c>
      <c r="B1175" s="21" t="s">
        <v>1278</v>
      </c>
      <c r="C1175" s="21" t="s">
        <v>1188</v>
      </c>
      <c r="D1175" s="21" t="s">
        <v>1180</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1684</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1685</v>
      </c>
      <c r="B1177" s="21" t="s">
        <v>1291</v>
      </c>
      <c r="C1177" s="21" t="s">
        <v>1184</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1520</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1686</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1687</v>
      </c>
      <c r="B1180" s="21" t="s">
        <v>1278</v>
      </c>
      <c r="C1180" s="21" t="s">
        <v>1324</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1688</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1271</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1224</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1260</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1689</v>
      </c>
      <c r="B1185" s="21" t="s">
        <v>1191</v>
      </c>
      <c r="C1185" s="21" t="s">
        <v>1188</v>
      </c>
      <c r="D1185" s="21" t="s">
        <v>1180</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1200</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137</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1422</v>
      </c>
      <c r="B1188" s="21" t="s">
        <v>1191</v>
      </c>
      <c r="C1188" s="21" t="s">
        <v>1324</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1295</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1224</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137</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1422</v>
      </c>
      <c r="B1192" s="21" t="s">
        <v>1191</v>
      </c>
      <c r="C1192" s="21" t="s">
        <v>1324</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1537</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1690</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1691</v>
      </c>
      <c r="B1195" s="21" t="s">
        <v>1237</v>
      </c>
      <c r="C1195" s="21" t="s">
        <v>1324</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1198</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1338</v>
      </c>
      <c r="B1197" s="21" t="s">
        <v>1207</v>
      </c>
      <c r="C1197" s="21" t="s">
        <v>1188</v>
      </c>
      <c r="D1197" s="21" t="s">
        <v>1180</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1692</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1271</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818</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row>
    <row r="1202" spans="1:12">
      <c r="A1202" s="20" t="s">
        <v>1693</v>
      </c>
    </row>
    <row r="1203" spans="1:12">
      <c r="A1203" s="20" t="s">
        <v>1694</v>
      </c>
      <c r="B1203" s="21" t="s">
        <v>1194</v>
      </c>
      <c r="C1203" s="21" t="s">
        <v>1208</v>
      </c>
      <c r="D1203" s="21" t="s">
        <v>1180</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1334</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1314</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1186</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1695</v>
      </c>
      <c r="B1207" s="21" t="s">
        <v>1178</v>
      </c>
      <c r="C1207" s="21" t="s">
        <v>1188</v>
      </c>
      <c r="D1207" s="21" t="s">
        <v>1180</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1185</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1186</v>
      </c>
      <c r="B1209" s="21" t="s">
        <v>1240</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427</v>
      </c>
      <c r="B1210" s="21" t="s">
        <v>1240</v>
      </c>
      <c r="C1210" s="21" t="s">
        <v>1238</v>
      </c>
      <c r="D1210" s="21" t="s">
        <v>1180</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1420</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1696</v>
      </c>
      <c r="B1212" s="21" t="s">
        <v>1191</v>
      </c>
      <c r="C1212" s="21" t="s">
        <v>1184</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1339</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1185</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1310</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185</v>
      </c>
      <c r="B1216" s="21" t="s">
        <v>1304</v>
      </c>
      <c r="C1216" s="21" t="s">
        <v>1195</v>
      </c>
      <c r="D1216" s="21" t="s">
        <v>1180</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1513</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1186</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1323</v>
      </c>
      <c r="B1219" s="21" t="s">
        <v>1306</v>
      </c>
      <c r="C1219" s="21" t="s">
        <v>1188</v>
      </c>
      <c r="D1219" s="21" t="s">
        <v>1180</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1697</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1698</v>
      </c>
      <c r="B1221" s="21" t="s">
        <v>1304</v>
      </c>
      <c r="C1221" s="21" t="s">
        <v>1184</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1224</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1220</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1699</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1295</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1700</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1190</v>
      </c>
      <c r="B1227" s="21" t="s">
        <v>1207</v>
      </c>
      <c r="C1227" s="21" t="s">
        <v>1223</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1631</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818</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row>
    <row r="1231" spans="1:12">
      <c r="A1231" s="20" t="s">
        <v>1701</v>
      </c>
    </row>
    <row r="1232" spans="1:12">
      <c r="A1232" s="20" t="s">
        <v>1262</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1182</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1545</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1577</v>
      </c>
      <c r="B1235" s="21" t="s">
        <v>1194</v>
      </c>
      <c r="C1235" s="21" t="s">
        <v>1188</v>
      </c>
      <c r="D1235" s="21" t="s">
        <v>1180</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1185</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1186</v>
      </c>
      <c r="B1237" s="21" t="s">
        <v>1304</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427</v>
      </c>
      <c r="B1238" s="21" t="s">
        <v>1304</v>
      </c>
      <c r="C1238" s="21" t="s">
        <v>1238</v>
      </c>
      <c r="D1238" s="21" t="s">
        <v>1180</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1702</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177</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1185</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1703</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1186</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1704</v>
      </c>
      <c r="B1244" s="21" t="s">
        <v>1204</v>
      </c>
      <c r="C1244" s="21" t="s">
        <v>1188</v>
      </c>
      <c r="D1244" s="21" t="s">
        <v>1180</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1197</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1185</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1622</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1705</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1706</v>
      </c>
      <c r="B1249" s="21" t="s">
        <v>1304</v>
      </c>
      <c r="C1249" s="21" t="s">
        <v>1184</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11</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1295</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1707</v>
      </c>
      <c r="B1252" s="21" t="s">
        <v>1278</v>
      </c>
      <c r="C1252" s="21" t="s">
        <v>1184</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1218</v>
      </c>
      <c r="B1253" s="21" t="s">
        <v>1306</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1260</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1579</v>
      </c>
      <c r="B1255" s="21" t="s">
        <v>1306</v>
      </c>
      <c r="C1255" s="21" t="s">
        <v>1188</v>
      </c>
      <c r="D1255" s="21" t="s">
        <v>1180</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1708</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1709</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1295</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1622</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1186</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1710</v>
      </c>
      <c r="B1261" s="21" t="s">
        <v>1237</v>
      </c>
      <c r="C1261" s="21" t="s">
        <v>1188</v>
      </c>
      <c r="D1261" s="21" t="s">
        <v>1180</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1200</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1704</v>
      </c>
      <c r="B1263" s="21" t="s">
        <v>1191</v>
      </c>
      <c r="C1263" s="21" t="s">
        <v>1184</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1242</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1650</v>
      </c>
      <c r="B1265" s="21" t="s">
        <v>1207</v>
      </c>
      <c r="C1265" s="21" t="s">
        <v>1195</v>
      </c>
      <c r="D1265" s="21" t="s">
        <v>1180</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1711</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818</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row>
    <row r="1269" spans="1:12">
      <c r="A1269" s="20" t="s">
        <v>1712</v>
      </c>
    </row>
    <row r="1270" spans="1:12">
      <c r="A1270" s="20" t="s">
        <v>1600</v>
      </c>
      <c r="B1270" s="21" t="s">
        <v>1240</v>
      </c>
      <c r="C1270" s="21" t="s">
        <v>1195</v>
      </c>
      <c r="D1270" s="21" t="s">
        <v>1180</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163</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1186</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1713</v>
      </c>
      <c r="B1273" s="21" t="s">
        <v>1204</v>
      </c>
      <c r="C1273" s="21" t="s">
        <v>1188</v>
      </c>
      <c r="D1273" s="21" t="s">
        <v>1180</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1293</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1198</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1395</v>
      </c>
      <c r="B1276" s="21" t="s">
        <v>1191</v>
      </c>
      <c r="C1276" s="21" t="s">
        <v>1179</v>
      </c>
      <c r="D1276" s="21" t="s">
        <v>1180</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1714</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818</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row>
    <row r="1280" spans="1:12">
      <c r="A1280" s="20" t="s">
        <v>1715</v>
      </c>
    </row>
    <row r="1281" spans="1:12">
      <c r="A1281" s="20" t="s">
        <v>1464</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1271</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1186</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1395</v>
      </c>
      <c r="B1284" s="21" t="s">
        <v>1194</v>
      </c>
      <c r="C1284" s="21" t="s">
        <v>1179</v>
      </c>
      <c r="D1284" s="21" t="s">
        <v>1180</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1353</v>
      </c>
      <c r="B1285" s="21" t="s">
        <v>1191</v>
      </c>
      <c r="C1285" s="21" t="s">
        <v>1208</v>
      </c>
      <c r="D1285" s="21" t="s">
        <v>1180</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1704</v>
      </c>
      <c r="B1286" s="21" t="s">
        <v>1204</v>
      </c>
      <c r="C1286" s="21" t="s">
        <v>1210</v>
      </c>
      <c r="D1286" s="21" t="s">
        <v>1180</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1716</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1249</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row>
    <row r="1290" spans="1:12">
      <c r="A1290" s="20" t="s">
        <v>1717</v>
      </c>
    </row>
    <row r="1291" spans="1:12">
      <c r="A1291" s="20" t="s">
        <v>1287</v>
      </c>
      <c r="B1291" s="21" t="s">
        <v>1178</v>
      </c>
      <c r="C1291" s="21" t="s">
        <v>1195</v>
      </c>
      <c r="D1291" s="21" t="s">
        <v>1180</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1182</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1545</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1718</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1719</v>
      </c>
      <c r="B1295" s="21" t="s">
        <v>1240</v>
      </c>
      <c r="C1295" s="21" t="s">
        <v>1394</v>
      </c>
      <c r="D1295" s="21" t="s">
        <v>1180</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1198</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1395</v>
      </c>
      <c r="B1297" s="21" t="s">
        <v>1207</v>
      </c>
      <c r="C1297" s="21" t="s">
        <v>1179</v>
      </c>
      <c r="D1297" s="21" t="s">
        <v>1180</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1720</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1495</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1420</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1721</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1401</v>
      </c>
      <c r="B1302" s="21" t="s">
        <v>1191</v>
      </c>
      <c r="C1302" s="21" t="s">
        <v>1188</v>
      </c>
      <c r="D1302" s="21" t="s">
        <v>1180</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818</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row>
    <row r="1305" spans="1:12">
      <c r="A1305" s="20" t="s">
        <v>1722</v>
      </c>
    </row>
    <row r="1306" spans="1:12">
      <c r="A1306" s="20" t="s">
        <v>1723</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1276</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1724</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1395</v>
      </c>
      <c r="B1309" s="21" t="s">
        <v>1178</v>
      </c>
      <c r="C1309" s="21" t="s">
        <v>1179</v>
      </c>
      <c r="D1309" s="21" t="s">
        <v>1180</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11</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1725</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1185</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1726</v>
      </c>
      <c r="B1313" s="21" t="s">
        <v>1191</v>
      </c>
      <c r="C1313" s="21" t="s">
        <v>1254</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1302</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1305</v>
      </c>
      <c r="B1315" s="21" t="s">
        <v>1306</v>
      </c>
      <c r="C1315" s="21" t="s">
        <v>1195</v>
      </c>
      <c r="D1315" s="21" t="s">
        <v>1180</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1185</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1198</v>
      </c>
      <c r="B1317" s="21" t="s">
        <v>1289</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1224</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1391</v>
      </c>
      <c r="B1319" s="21" t="s">
        <v>1278</v>
      </c>
      <c r="C1319" s="21" t="s">
        <v>1179</v>
      </c>
      <c r="D1319" s="21" t="s">
        <v>1180</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1420</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1727</v>
      </c>
      <c r="B1321" s="21" t="s">
        <v>1278</v>
      </c>
      <c r="C1321" s="21" t="s">
        <v>1184</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1352</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1202</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325</v>
      </c>
      <c r="B1324" s="21" t="s">
        <v>1278</v>
      </c>
      <c r="C1324" s="21" t="s">
        <v>1188</v>
      </c>
      <c r="D1324" s="21" t="s">
        <v>1180</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1728</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1729</v>
      </c>
      <c r="B1326" s="21" t="s">
        <v>1289</v>
      </c>
      <c r="C1326" s="21" t="s">
        <v>1179</v>
      </c>
      <c r="D1326" s="21" t="s">
        <v>1180</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11</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1730</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1371</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1731</v>
      </c>
      <c r="B1330" s="21" t="s">
        <v>1340</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1224</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1260</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1732</v>
      </c>
      <c r="B1333" s="21" t="s">
        <v>1278</v>
      </c>
      <c r="C1333" s="21" t="s">
        <v>1188</v>
      </c>
      <c r="D1333" s="21" t="s">
        <v>1180</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1733</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1185</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1734</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1495</v>
      </c>
      <c r="B1337" s="21" t="s">
        <v>1194</v>
      </c>
      <c r="C1337" s="21" t="s">
        <v>1208</v>
      </c>
      <c r="D1337" s="21" t="s">
        <v>1180</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1185</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1359</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1186</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1704</v>
      </c>
      <c r="B1341" s="21" t="s">
        <v>1240</v>
      </c>
      <c r="C1341" s="21" t="s">
        <v>1188</v>
      </c>
      <c r="D1341" s="21" t="s">
        <v>1180</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1735</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1200</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1402</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1736</v>
      </c>
      <c r="B1345" s="21" t="s">
        <v>1191</v>
      </c>
      <c r="C1345" s="21" t="s">
        <v>1232</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276</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818</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row>
    <row r="1349" spans="1:12">
      <c r="A1349" s="20" t="s">
        <v>1737</v>
      </c>
    </row>
    <row r="1350" spans="1:12">
      <c r="A1350" s="20" t="s">
        <v>1313</v>
      </c>
      <c r="B1350" s="21" t="s">
        <v>1194</v>
      </c>
      <c r="C1350" s="21" t="s">
        <v>1208</v>
      </c>
      <c r="D1350" s="21" t="s">
        <v>1180</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1738</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1314</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1185</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1359</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1487</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1739</v>
      </c>
      <c r="B1356" s="21" t="s">
        <v>1240</v>
      </c>
      <c r="C1356" s="21" t="s">
        <v>1394</v>
      </c>
      <c r="D1356" s="21" t="s">
        <v>1180</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1200</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1740</v>
      </c>
      <c r="B1358" s="21" t="s">
        <v>1207</v>
      </c>
      <c r="C1358" s="21" t="s">
        <v>1184</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1189</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1741</v>
      </c>
      <c r="B1360" s="21" t="s">
        <v>1278</v>
      </c>
      <c r="C1360" s="21" t="s">
        <v>1188</v>
      </c>
      <c r="D1360" s="21" t="s">
        <v>1180</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1293</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1198</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1395</v>
      </c>
      <c r="B1363" s="21" t="s">
        <v>1207</v>
      </c>
      <c r="C1363" s="21" t="s">
        <v>1179</v>
      </c>
      <c r="D1363" s="21" t="s">
        <v>1180</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1224</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1220</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1742</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1743</v>
      </c>
      <c r="B1367" s="21" t="s">
        <v>1191</v>
      </c>
      <c r="C1367" s="21" t="s">
        <v>1223</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1744</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1185</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1218</v>
      </c>
      <c r="B1370" s="21" t="s">
        <v>1306</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1745</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1295</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1224</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1260</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1746</v>
      </c>
      <c r="B1375" s="21" t="s">
        <v>1191</v>
      </c>
      <c r="C1375" s="21" t="s">
        <v>1188</v>
      </c>
      <c r="D1375" s="21" t="s">
        <v>1180</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1747</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1185</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1302</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1661</v>
      </c>
      <c r="B1379" s="21" t="s">
        <v>1304</v>
      </c>
      <c r="C1379" s="21" t="s">
        <v>1238</v>
      </c>
      <c r="D1379" s="21" t="s">
        <v>1180</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1748</v>
      </c>
      <c r="B1380" s="21" t="s">
        <v>1278</v>
      </c>
      <c r="C1380" s="21" t="s">
        <v>1208</v>
      </c>
      <c r="D1380" s="21" t="s">
        <v>1180</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1749</v>
      </c>
      <c r="B1381" s="21" t="s">
        <v>1306</v>
      </c>
      <c r="C1381" s="21" t="s">
        <v>1210</v>
      </c>
      <c r="D1381" s="21" t="s">
        <v>1180</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1750</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670</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818</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row>
    <row r="1386" spans="1:12">
      <c r="A1386" s="20" t="s">
        <v>1751</v>
      </c>
    </row>
    <row r="1387" spans="1:12">
      <c r="A1387" s="20" t="s">
        <v>1752</v>
      </c>
      <c r="B1387" s="21" t="s">
        <v>1191</v>
      </c>
      <c r="C1387" s="21" t="s">
        <v>1254</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578</v>
      </c>
      <c r="B1388" s="21" t="s">
        <v>1194</v>
      </c>
      <c r="C1388" s="21" t="s">
        <v>1184</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261</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1495</v>
      </c>
      <c r="B1390" s="21" t="s">
        <v>1204</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1753</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818</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row>
    <row r="1394" spans="1:12">
      <c r="A1394" s="20" t="s">
        <v>1754</v>
      </c>
    </row>
    <row r="1395" spans="1:12">
      <c r="A1395" s="20" t="s">
        <v>1755</v>
      </c>
      <c r="B1395" s="21" t="s">
        <v>1194</v>
      </c>
      <c r="C1395" s="21" t="s">
        <v>1254</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1334</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1465</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818</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row>
    <row r="1400" spans="1:12">
      <c r="A1400" s="20" t="s">
        <v>1756</v>
      </c>
    </row>
    <row r="1401" spans="1:12">
      <c r="A1401" s="20" t="s">
        <v>1755</v>
      </c>
      <c r="B1401" s="21" t="s">
        <v>1194</v>
      </c>
      <c r="C1401" s="21" t="s">
        <v>1254</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1334</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1381</v>
      </c>
      <c r="B1403" s="21" t="s">
        <v>1194</v>
      </c>
      <c r="C1403" s="21" t="s">
        <v>1238</v>
      </c>
      <c r="D1403" s="21" t="s">
        <v>1180</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1757</v>
      </c>
      <c r="B1404" s="21" t="s">
        <v>1204</v>
      </c>
      <c r="C1404" s="21" t="s">
        <v>1238</v>
      </c>
      <c r="D1404" s="21" t="s">
        <v>1180</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1465</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818</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row>
    <row r="1408" spans="1:12">
      <c r="A1408" s="20" t="s">
        <v>1758</v>
      </c>
    </row>
    <row r="1409" spans="1:12">
      <c r="A1409" s="20" t="s">
        <v>272</v>
      </c>
      <c r="B1409" s="21" t="s">
        <v>1178</v>
      </c>
      <c r="C1409" s="21" t="s">
        <v>1184</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1759</v>
      </c>
      <c r="B1410" s="21" t="s">
        <v>1178</v>
      </c>
      <c r="C1410" s="21" t="s">
        <v>1179</v>
      </c>
      <c r="D1410" s="21" t="s">
        <v>1180</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1471</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1185</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1310</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427</v>
      </c>
      <c r="B1414" s="21" t="s">
        <v>1240</v>
      </c>
      <c r="C1414" s="21" t="s">
        <v>1238</v>
      </c>
      <c r="D1414" s="21" t="s">
        <v>1180</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1499</v>
      </c>
      <c r="B1415" s="21" t="s">
        <v>1237</v>
      </c>
      <c r="C1415" s="21" t="s">
        <v>1301</v>
      </c>
      <c r="D1415" s="21" t="s">
        <v>1180</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797</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1185</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1302</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1353</v>
      </c>
      <c r="B1419" s="21" t="s">
        <v>1278</v>
      </c>
      <c r="C1419" s="21" t="s">
        <v>1208</v>
      </c>
      <c r="D1419" s="21" t="s">
        <v>1180</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1533</v>
      </c>
      <c r="B1420" s="21" t="s">
        <v>1304</v>
      </c>
      <c r="C1420" s="21" t="s">
        <v>1210</v>
      </c>
      <c r="D1420" s="21" t="s">
        <v>1180</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114</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670</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1182</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row>
    <row r="1425" spans="1:12">
      <c r="A1425" s="20" t="s">
        <v>1760</v>
      </c>
    </row>
    <row r="1426" spans="1:12">
      <c r="A1426" s="20" t="s">
        <v>1600</v>
      </c>
      <c r="B1426" s="21" t="s">
        <v>1194</v>
      </c>
      <c r="C1426" s="21" t="s">
        <v>1195</v>
      </c>
      <c r="D1426" s="21" t="s">
        <v>1180</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276</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1200</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1202</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578</v>
      </c>
      <c r="B1430" s="21" t="s">
        <v>1178</v>
      </c>
      <c r="C1430" s="21" t="s">
        <v>1188</v>
      </c>
      <c r="D1430" s="21" t="s">
        <v>1180</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1538</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818</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row>
    <row r="1434" spans="1:12">
      <c r="A1434" s="20" t="s">
        <v>1761</v>
      </c>
    </row>
    <row r="1435" spans="1:12">
      <c r="A1435" s="20" t="s">
        <v>1600</v>
      </c>
      <c r="B1435" s="21" t="s">
        <v>1194</v>
      </c>
      <c r="C1435" s="21" t="s">
        <v>1195</v>
      </c>
      <c r="D1435" s="21" t="s">
        <v>1180</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670</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1314</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1233</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1762</v>
      </c>
      <c r="B1439" s="21" t="s">
        <v>1178</v>
      </c>
      <c r="C1439" s="21" t="s">
        <v>1184</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1763</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818</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row>
    <row r="1443" spans="1:12">
      <c r="A1443" s="20" t="s">
        <v>1764</v>
      </c>
    </row>
    <row r="1444" spans="1:12">
      <c r="A1444" s="20" t="s">
        <v>1270</v>
      </c>
      <c r="B1444" s="21" t="s">
        <v>1194</v>
      </c>
      <c r="C1444" s="21" t="s">
        <v>1254</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1765</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1276</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1766</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1767</v>
      </c>
      <c r="B1448" s="21" t="s">
        <v>1204</v>
      </c>
      <c r="C1448" s="21" t="s">
        <v>1223</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1314</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284</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1182</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row>
    <row r="1453" spans="1:12">
      <c r="A1453" s="20" t="s">
        <v>1362</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1768</v>
      </c>
    </row>
    <row r="1455" spans="1:12">
      <c r="A1455" s="20" t="s">
        <v>1643</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1186</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578</v>
      </c>
      <c r="B1457" s="21" t="s">
        <v>1194</v>
      </c>
      <c r="C1457" s="21" t="s">
        <v>1188</v>
      </c>
      <c r="D1457" s="21" t="s">
        <v>1180</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1218</v>
      </c>
      <c r="B1458" s="21" t="s">
        <v>1204</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1769</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1185</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1646</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1186</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578</v>
      </c>
      <c r="B1463" s="21" t="s">
        <v>1240</v>
      </c>
      <c r="C1463" s="21" t="s">
        <v>1188</v>
      </c>
      <c r="D1463" s="21" t="s">
        <v>1180</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1770</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1182</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1367</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1771</v>
      </c>
      <c r="B1467" s="21" t="s">
        <v>1304</v>
      </c>
      <c r="C1467" s="21" t="s">
        <v>1179</v>
      </c>
      <c r="D1467" s="21" t="s">
        <v>1180</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1508</v>
      </c>
      <c r="B1468" s="21" t="s">
        <v>1340</v>
      </c>
      <c r="C1468" s="21" t="s">
        <v>1238</v>
      </c>
      <c r="D1468" s="21" t="s">
        <v>1180</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1495</v>
      </c>
      <c r="B1469" s="21" t="s">
        <v>1306</v>
      </c>
      <c r="C1469" s="21" t="s">
        <v>1238</v>
      </c>
      <c r="D1469" s="21" t="s">
        <v>1180</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1293</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1220</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1772</v>
      </c>
      <c r="B1472" s="21" t="s">
        <v>1207</v>
      </c>
      <c r="C1472" s="21" t="s">
        <v>1223</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292</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818</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row>
    <row r="1476" spans="1:12">
      <c r="A1476" s="20" t="s">
        <v>1362</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1773</v>
      </c>
    </row>
    <row r="1478" spans="1:12">
      <c r="A1478" s="20" t="s">
        <v>1771</v>
      </c>
      <c r="B1478" s="21" t="s">
        <v>1194</v>
      </c>
      <c r="C1478" s="21" t="s">
        <v>1179</v>
      </c>
      <c r="D1478" s="21" t="s">
        <v>1180</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1508</v>
      </c>
      <c r="B1479" s="21" t="s">
        <v>1237</v>
      </c>
      <c r="C1479" s="21" t="s">
        <v>1238</v>
      </c>
      <c r="D1479" s="21" t="s">
        <v>1180</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1495</v>
      </c>
      <c r="B1480" s="21" t="s">
        <v>1204</v>
      </c>
      <c r="C1480" s="21" t="s">
        <v>1238</v>
      </c>
      <c r="D1480" s="21" t="s">
        <v>1180</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1375</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292</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1185</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1359</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427</v>
      </c>
      <c r="B1485" s="21" t="s">
        <v>1240</v>
      </c>
      <c r="C1485" s="21" t="s">
        <v>1238</v>
      </c>
      <c r="D1485" s="21" t="s">
        <v>1180</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1487</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1337</v>
      </c>
      <c r="B1487" s="21" t="s">
        <v>1237</v>
      </c>
      <c r="C1487" s="21" t="s">
        <v>1223</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1774</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1775</v>
      </c>
      <c r="B1489" s="21" t="s">
        <v>1207</v>
      </c>
      <c r="C1489" s="21" t="s">
        <v>1232</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163</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1185</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1487</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1337</v>
      </c>
      <c r="B1493" s="21" t="s">
        <v>1304</v>
      </c>
      <c r="C1493" s="21" t="s">
        <v>1223</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1606</v>
      </c>
      <c r="B1494" s="21" t="s">
        <v>1306</v>
      </c>
      <c r="C1494" s="21" t="s">
        <v>1184</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1352</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1186</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1776</v>
      </c>
      <c r="B1497" s="21" t="s">
        <v>1278</v>
      </c>
      <c r="C1497" s="21" t="s">
        <v>1188</v>
      </c>
      <c r="D1497" s="21" t="s">
        <v>1180</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1200</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1777</v>
      </c>
      <c r="B1499" s="21" t="s">
        <v>1291</v>
      </c>
      <c r="C1499" s="21" t="s">
        <v>1184</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163</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818</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1367</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row>
    <row r="1504" spans="1:12">
      <c r="A1504" s="20" t="s">
        <v>1778</v>
      </c>
    </row>
    <row r="1505" spans="1:12">
      <c r="A1505" s="20" t="s">
        <v>1779</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1388</v>
      </c>
      <c r="B1506" s="21" t="s">
        <v>1178</v>
      </c>
      <c r="C1506" s="21" t="s">
        <v>1184</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1780</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1186</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1781</v>
      </c>
      <c r="B1509" s="21" t="s">
        <v>1194</v>
      </c>
      <c r="C1509" s="21" t="s">
        <v>1179</v>
      </c>
      <c r="D1509" s="21" t="s">
        <v>1180</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1782</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1783</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1185</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1186</v>
      </c>
      <c r="B1513" s="21" t="s">
        <v>1304</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1757</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1784</v>
      </c>
      <c r="B1515" s="21" t="s">
        <v>1306</v>
      </c>
      <c r="C1515" s="21" t="s">
        <v>1324</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1540</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1420</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1198</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1785</v>
      </c>
      <c r="B1519" s="21" t="s">
        <v>1207</v>
      </c>
      <c r="C1519" s="21" t="s">
        <v>1188</v>
      </c>
      <c r="D1519" s="21" t="s">
        <v>1180</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1520</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1666</v>
      </c>
      <c r="B1521" s="21" t="s">
        <v>1291</v>
      </c>
      <c r="C1521" s="21" t="s">
        <v>1179</v>
      </c>
      <c r="D1521" s="21" t="s">
        <v>1180</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1185</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1224</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1448</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185</v>
      </c>
      <c r="B1525" s="21" t="s">
        <v>1429</v>
      </c>
      <c r="C1525" s="21" t="s">
        <v>1195</v>
      </c>
      <c r="D1525" s="21" t="s">
        <v>1180</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1786</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1185</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1186</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1395</v>
      </c>
      <c r="B1529" s="21" t="s">
        <v>1341</v>
      </c>
      <c r="C1529" s="21" t="s">
        <v>1179</v>
      </c>
      <c r="D1529" s="21" t="s">
        <v>1180</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1787</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1224</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1186</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1788</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1789</v>
      </c>
      <c r="B1534" s="21" t="s">
        <v>1526</v>
      </c>
      <c r="C1534" s="21" t="s">
        <v>1188</v>
      </c>
      <c r="D1534" s="21" t="s">
        <v>1180</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1345</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1790</v>
      </c>
      <c r="B1536" s="21" t="s">
        <v>1493</v>
      </c>
      <c r="C1536" s="21" t="s">
        <v>1179</v>
      </c>
      <c r="D1536" s="21" t="s">
        <v>1180</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11</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1791</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1295</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1648</v>
      </c>
      <c r="B1540" s="21" t="s">
        <v>1344</v>
      </c>
      <c r="C1540" s="21" t="s">
        <v>1179</v>
      </c>
      <c r="D1540" s="21" t="s">
        <v>1180</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11</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1791</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1792</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818</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row>
    <row r="1546" spans="1:12">
      <c r="A1546" s="20" t="s">
        <v>1793</v>
      </c>
    </row>
    <row r="1547" spans="1:12">
      <c r="A1547" s="20" t="s">
        <v>1794</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1538</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1242</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578</v>
      </c>
      <c r="B1550" s="21" t="s">
        <v>1178</v>
      </c>
      <c r="C1550" s="21" t="s">
        <v>1184</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1185</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1186</v>
      </c>
      <c r="B1552" s="21" t="s">
        <v>1304</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11</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1795</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1796</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1797</v>
      </c>
      <c r="B1556" s="21" t="s">
        <v>1207</v>
      </c>
      <c r="C1556" s="21" t="s">
        <v>1184</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1185</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1471</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1197</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1798</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1799</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1800</v>
      </c>
      <c r="B1562" s="21" t="s">
        <v>1278</v>
      </c>
      <c r="C1562" s="21" t="s">
        <v>1184</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11</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1293</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1198</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1395</v>
      </c>
      <c r="B1566" s="21" t="s">
        <v>1207</v>
      </c>
      <c r="C1566" s="21" t="s">
        <v>1179</v>
      </c>
      <c r="D1566" s="21" t="s">
        <v>1180</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1801</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1185</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1440</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1218</v>
      </c>
      <c r="B1570" s="21" t="s">
        <v>1204</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1186</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1395</v>
      </c>
      <c r="B1572" s="21" t="s">
        <v>1194</v>
      </c>
      <c r="C1572" s="21" t="s">
        <v>1179</v>
      </c>
      <c r="D1572" s="21" t="s">
        <v>1180</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1300</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1314</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1802</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818</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row>
    <row r="1578" spans="1:12">
      <c r="A1578" s="20" t="s">
        <v>1803</v>
      </c>
    </row>
    <row r="1579" spans="1:12">
      <c r="A1579" s="20" t="s">
        <v>1804</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303</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427</v>
      </c>
      <c r="B1581" s="21" t="s">
        <v>1194</v>
      </c>
      <c r="C1581" s="21" t="s">
        <v>1238</v>
      </c>
      <c r="D1581" s="21" t="s">
        <v>1180</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578</v>
      </c>
      <c r="B1582" s="21" t="s">
        <v>1204</v>
      </c>
      <c r="C1582" s="21" t="s">
        <v>1184</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1185</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1186</v>
      </c>
      <c r="B1584" s="21" t="s">
        <v>1304</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1218</v>
      </c>
      <c r="B1585" s="21" t="s">
        <v>1306</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1542</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1805</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1185</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1513</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1330</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150</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1185</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1359</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1661</v>
      </c>
      <c r="B1594" s="21" t="s">
        <v>1429</v>
      </c>
      <c r="C1594" s="21" t="s">
        <v>1238</v>
      </c>
      <c r="D1594" s="21" t="s">
        <v>1180</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1186</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1806</v>
      </c>
      <c r="B1596" s="21" t="s">
        <v>1430</v>
      </c>
      <c r="C1596" s="21" t="s">
        <v>1188</v>
      </c>
      <c r="D1596" s="21" t="s">
        <v>1180</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1198</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1807</v>
      </c>
      <c r="B1598" s="21" t="s">
        <v>1492</v>
      </c>
      <c r="C1598" s="21" t="s">
        <v>1188</v>
      </c>
      <c r="D1598" s="21" t="s">
        <v>1180</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1808</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670</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1295</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1218</v>
      </c>
      <c r="B1602" s="21" t="s">
        <v>1526</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1352</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1186</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1809</v>
      </c>
      <c r="B1605" s="21" t="s">
        <v>1492</v>
      </c>
      <c r="C1605" s="21" t="s">
        <v>1188</v>
      </c>
      <c r="D1605" s="21" t="s">
        <v>1180</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1198</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1807</v>
      </c>
      <c r="B1607" s="21" t="s">
        <v>1493</v>
      </c>
      <c r="C1607" s="21" t="s">
        <v>1188</v>
      </c>
      <c r="D1607" s="21" t="s">
        <v>1180</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1810</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818</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row>
    <row r="1611" spans="1:12">
      <c r="A1611" s="20" t="s">
        <v>1811</v>
      </c>
    </row>
    <row r="1612" spans="1:12">
      <c r="A1612" s="20" t="s">
        <v>1281</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1260</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1274</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1388</v>
      </c>
      <c r="B1615" s="21" t="s">
        <v>1178</v>
      </c>
      <c r="C1615" s="21" t="s">
        <v>1188</v>
      </c>
      <c r="D1615" s="21" t="s">
        <v>1180</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163</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427</v>
      </c>
      <c r="B1617" s="21" t="s">
        <v>1194</v>
      </c>
      <c r="C1617" s="21" t="s">
        <v>1238</v>
      </c>
      <c r="D1617" s="21" t="s">
        <v>1180</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1358</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1185</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1359</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1186</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578</v>
      </c>
      <c r="B1622" s="21" t="s">
        <v>1240</v>
      </c>
      <c r="C1622" s="21" t="s">
        <v>1188</v>
      </c>
      <c r="D1622" s="21" t="s">
        <v>1180</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1224</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1202</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1666</v>
      </c>
      <c r="B1625" s="21" t="s">
        <v>1191</v>
      </c>
      <c r="C1625" s="21" t="s">
        <v>1179</v>
      </c>
      <c r="D1625" s="21" t="s">
        <v>1180</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11</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1719</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1812</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1813</v>
      </c>
      <c r="B1629" s="21" t="s">
        <v>1237</v>
      </c>
      <c r="C1629" s="21" t="s">
        <v>1184</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1814</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1185</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1495</v>
      </c>
      <c r="B1632" s="21" t="s">
        <v>1240</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1330</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130</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818</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row>
    <row r="1637" spans="1:12">
      <c r="A1637" s="20" t="s">
        <v>1815</v>
      </c>
    </row>
    <row r="1638" spans="1:12">
      <c r="A1638" s="20" t="s">
        <v>1193</v>
      </c>
      <c r="B1638" s="21" t="s">
        <v>1194</v>
      </c>
      <c r="C1638" s="21" t="s">
        <v>1195</v>
      </c>
      <c r="D1638" s="21" t="s">
        <v>1180</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1816</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1661</v>
      </c>
      <c r="B1640" s="21" t="s">
        <v>1204</v>
      </c>
      <c r="C1640" s="21" t="s">
        <v>1238</v>
      </c>
      <c r="D1640" s="21" t="s">
        <v>1180</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1185</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1817</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818</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row>
    <row r="1645" spans="1:12">
      <c r="A1645" s="20" t="s">
        <v>1818</v>
      </c>
    </row>
    <row r="1646" spans="1:12">
      <c r="A1646" s="20" t="s">
        <v>1262</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1182</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1245</v>
      </c>
      <c r="B1648" s="21" t="s">
        <v>1194</v>
      </c>
      <c r="C1648" s="21" t="s">
        <v>1238</v>
      </c>
      <c r="D1648" s="21" t="s">
        <v>1180</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1317</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1661</v>
      </c>
      <c r="B1650" s="21" t="s">
        <v>1194</v>
      </c>
      <c r="C1650" s="21" t="s">
        <v>1238</v>
      </c>
      <c r="D1650" s="21" t="s">
        <v>1180</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1586</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1390</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130</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1249</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row>
    <row r="1656" spans="1:12">
      <c r="A1656" s="20" t="s">
        <v>1819</v>
      </c>
    </row>
    <row r="1657" spans="1:12">
      <c r="A1657" s="20" t="s">
        <v>1287</v>
      </c>
      <c r="B1657" s="21" t="s">
        <v>1178</v>
      </c>
      <c r="C1657" s="21" t="s">
        <v>1195</v>
      </c>
      <c r="D1657" s="21" t="s">
        <v>1180</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1182</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1313</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1820</v>
      </c>
      <c r="B1660" s="21" t="s">
        <v>1204</v>
      </c>
      <c r="C1660" s="21" t="s">
        <v>1188</v>
      </c>
      <c r="D1660" s="21" t="s">
        <v>1180</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1185</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1236</v>
      </c>
      <c r="B1662" s="21" t="s">
        <v>1306</v>
      </c>
      <c r="C1662" s="21" t="s">
        <v>1238</v>
      </c>
      <c r="D1662" s="21" t="s">
        <v>1180</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1265</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1707</v>
      </c>
      <c r="B1664" s="21" t="s">
        <v>1306</v>
      </c>
      <c r="C1664" s="21" t="s">
        <v>1223</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1224</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1821</v>
      </c>
      <c r="B1666" s="21" t="s">
        <v>1278</v>
      </c>
      <c r="C1666" s="21" t="s">
        <v>1179</v>
      </c>
      <c r="D1666" s="21" t="s">
        <v>1180</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1566</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1295</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1822</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130</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1252</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1185</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1452</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1823</v>
      </c>
      <c r="B1674" s="21" t="s">
        <v>1178</v>
      </c>
      <c r="C1674" s="21" t="s">
        <v>1184</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1330</v>
      </c>
      <c r="B1675" s="21" t="s">
        <v>1207</v>
      </c>
      <c r="C1675" s="21" t="s">
        <v>1254</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1824</v>
      </c>
      <c r="B1676" s="21" t="s">
        <v>1191</v>
      </c>
      <c r="C1676" s="21" t="s">
        <v>1184</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1330</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314</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1185</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1513</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1186</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1809</v>
      </c>
      <c r="B1682" s="21" t="s">
        <v>1237</v>
      </c>
      <c r="C1682" s="21" t="s">
        <v>1188</v>
      </c>
      <c r="D1682" s="21" t="s">
        <v>1180</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1636</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1807</v>
      </c>
      <c r="B1684" s="21" t="s">
        <v>1207</v>
      </c>
      <c r="C1684" s="21" t="s">
        <v>1232</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1825</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1330</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918</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1185</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1257</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1495</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1826</v>
      </c>
      <c r="B1691" s="21" t="s">
        <v>1194</v>
      </c>
      <c r="C1691" s="21" t="s">
        <v>1188</v>
      </c>
      <c r="D1691" s="21" t="s">
        <v>1180</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1200</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1827</v>
      </c>
      <c r="B1693" s="21" t="s">
        <v>1191</v>
      </c>
      <c r="C1693" s="21" t="s">
        <v>1179</v>
      </c>
      <c r="D1693" s="21" t="s">
        <v>1180</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11</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1828</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1197</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1376</v>
      </c>
      <c r="B1697" s="21" t="s">
        <v>1207</v>
      </c>
      <c r="C1697" s="21" t="s">
        <v>1254</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1829</v>
      </c>
      <c r="B1698" s="21" t="s">
        <v>1191</v>
      </c>
      <c r="C1698" s="21" t="s">
        <v>1184</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1185</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1186</v>
      </c>
      <c r="B1700" s="21" t="s">
        <v>1340</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1303</v>
      </c>
      <c r="B1701" s="21" t="s">
        <v>1289</v>
      </c>
      <c r="C1701" s="21" t="s">
        <v>1254</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1830</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818</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row>
    <row r="1705" spans="1:12">
      <c r="A1705" s="20" t="s">
        <v>1362</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1831</v>
      </c>
    </row>
    <row r="1707" spans="1:12">
      <c r="A1707" s="20" t="s">
        <v>1832</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1511</v>
      </c>
      <c r="B1708" s="21" t="s">
        <v>1194</v>
      </c>
      <c r="C1708" s="21" t="s">
        <v>1188</v>
      </c>
      <c r="D1708" s="21" t="s">
        <v>1180</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1185</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1833</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1495</v>
      </c>
      <c r="B1711" s="21" t="s">
        <v>1194</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1834</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1257</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1182</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1326</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57</v>
      </c>
      <c r="B1716" s="21" t="s">
        <v>1304</v>
      </c>
      <c r="C1716" s="21" t="s">
        <v>1195</v>
      </c>
      <c r="D1716" s="21" t="s">
        <v>1180</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1835</v>
      </c>
      <c r="B1717" s="21" t="s">
        <v>1304</v>
      </c>
      <c r="C1717" s="21" t="s">
        <v>1195</v>
      </c>
      <c r="D1717" s="21" t="s">
        <v>1180</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1822</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1197</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1836</v>
      </c>
      <c r="B1720" s="21" t="s">
        <v>1207</v>
      </c>
      <c r="C1720" s="21" t="s">
        <v>1179</v>
      </c>
      <c r="D1720" s="21" t="s">
        <v>1180</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1487</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1837</v>
      </c>
      <c r="B1722" s="21" t="s">
        <v>1306</v>
      </c>
      <c r="C1722" s="21" t="s">
        <v>1223</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1200</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1367</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1838</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1367</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1839</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1185</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1252</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1186</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1395</v>
      </c>
      <c r="B1731" s="21" t="s">
        <v>1240</v>
      </c>
      <c r="C1731" s="21" t="s">
        <v>1179</v>
      </c>
      <c r="D1731" s="21" t="s">
        <v>1180</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1495</v>
      </c>
      <c r="B1732" s="21" t="s">
        <v>1237</v>
      </c>
      <c r="C1732" s="21" t="s">
        <v>1238</v>
      </c>
      <c r="D1732" s="21" t="s">
        <v>1180</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1224</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1220</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1840</v>
      </c>
      <c r="B1735" s="21" t="s">
        <v>1191</v>
      </c>
      <c r="C1735" s="21" t="s">
        <v>1223</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38</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818</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row>
    <row r="1739" spans="1:12">
      <c r="A1739" s="20" t="s">
        <v>1841</v>
      </c>
    </row>
    <row r="1740" spans="1:12">
      <c r="A1740" s="20" t="s">
        <v>1832</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1842</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325</v>
      </c>
      <c r="B1742" s="21" t="s">
        <v>1194</v>
      </c>
      <c r="C1742" s="21" t="s">
        <v>1188</v>
      </c>
      <c r="D1742" s="21" t="s">
        <v>1180</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1252</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1495</v>
      </c>
      <c r="B1744" s="21" t="s">
        <v>1204</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1224</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1220</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1840</v>
      </c>
      <c r="B1747" s="21" t="s">
        <v>1178</v>
      </c>
      <c r="C1747" s="21" t="s">
        <v>1223</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38</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818</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row>
    <row r="1751" spans="1:12">
      <c r="A1751" s="20" t="s">
        <v>1843</v>
      </c>
    </row>
    <row r="1752" spans="1:12">
      <c r="A1752" s="20" t="s">
        <v>1832</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1728</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325</v>
      </c>
      <c r="B1754" s="21" t="s">
        <v>1178</v>
      </c>
      <c r="C1754" s="21" t="s">
        <v>1188</v>
      </c>
      <c r="D1754" s="21" t="s">
        <v>1180</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1185</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1198</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1844</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1185</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1198</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1845</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1295</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1198</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325</v>
      </c>
      <c r="B1763" s="21" t="s">
        <v>1178</v>
      </c>
      <c r="C1763" s="21" t="s">
        <v>1188</v>
      </c>
      <c r="D1763" s="21" t="s">
        <v>1180</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1200</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1846</v>
      </c>
      <c r="B1765" s="21" t="s">
        <v>1191</v>
      </c>
      <c r="C1765" s="21" t="s">
        <v>1179</v>
      </c>
      <c r="D1765" s="21" t="s">
        <v>1180</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818</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row>
    <row r="1768" spans="1:12">
      <c r="A1768" s="20" t="s">
        <v>1847</v>
      </c>
    </row>
    <row r="1769" spans="1:12">
      <c r="A1769" s="20" t="s">
        <v>1600</v>
      </c>
      <c r="B1769" s="21" t="s">
        <v>1194</v>
      </c>
      <c r="C1769" s="21" t="s">
        <v>1195</v>
      </c>
      <c r="D1769" s="21" t="s">
        <v>1180</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1253</v>
      </c>
      <c r="B1770" s="21" t="s">
        <v>1191</v>
      </c>
      <c r="C1770" s="21" t="s">
        <v>1254</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1523</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1495</v>
      </c>
      <c r="B1772" s="21" t="s">
        <v>1194</v>
      </c>
      <c r="C1772" s="21" t="s">
        <v>1208</v>
      </c>
      <c r="D1772" s="21" t="s">
        <v>1180</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38</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1185</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1655</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185</v>
      </c>
      <c r="B1776" s="21" t="s">
        <v>1240</v>
      </c>
      <c r="C1776" s="21" t="s">
        <v>1195</v>
      </c>
      <c r="D1776" s="21" t="s">
        <v>1180</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1314</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1848</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1257</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818</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row>
    <row r="1782" spans="1:12">
      <c r="A1782" s="20" t="s">
        <v>1849</v>
      </c>
    </row>
    <row r="1783" spans="1:12">
      <c r="A1783" s="20" t="s">
        <v>1836</v>
      </c>
      <c r="B1783" s="21" t="s">
        <v>1194</v>
      </c>
      <c r="C1783" s="21" t="s">
        <v>1179</v>
      </c>
      <c r="D1783" s="21" t="s">
        <v>1180</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1257</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1186</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1850</v>
      </c>
      <c r="B1786" s="21" t="s">
        <v>1178</v>
      </c>
      <c r="C1786" s="21" t="s">
        <v>1188</v>
      </c>
      <c r="D1786" s="21" t="s">
        <v>1180</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1198</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1329</v>
      </c>
      <c r="B1788" s="21" t="s">
        <v>1178</v>
      </c>
      <c r="C1788" s="21" t="s">
        <v>1188</v>
      </c>
      <c r="D1788" s="21" t="s">
        <v>1180</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818</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row>
    <row r="1791" spans="1:12">
      <c r="A1791" s="20" t="s">
        <v>1851</v>
      </c>
    </row>
    <row r="1792" spans="1:12">
      <c r="A1792" s="20" t="s">
        <v>1309</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185</v>
      </c>
      <c r="B1793" s="21" t="s">
        <v>1194</v>
      </c>
      <c r="C1793" s="21" t="s">
        <v>1195</v>
      </c>
      <c r="D1793" s="21" t="s">
        <v>1180</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1852</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1314</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1537</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1197</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1853</v>
      </c>
      <c r="B1798" s="21" t="s">
        <v>1178</v>
      </c>
      <c r="C1798" s="21" t="s">
        <v>1184</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1420</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1854</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1855</v>
      </c>
      <c r="B1801" s="21" t="s">
        <v>1178</v>
      </c>
      <c r="C1801" s="21" t="s">
        <v>1184</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1185</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1303</v>
      </c>
      <c r="B1803" s="21" t="s">
        <v>1240</v>
      </c>
      <c r="C1803" s="21" t="s">
        <v>1254</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1252</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1031</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1853</v>
      </c>
      <c r="B1806" s="21" t="s">
        <v>1237</v>
      </c>
      <c r="C1806" s="21" t="s">
        <v>1184</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1314</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874</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1185</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1310</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1303</v>
      </c>
      <c r="B1811" s="21" t="s">
        <v>1304</v>
      </c>
      <c r="C1811" s="21" t="s">
        <v>1254</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1224</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1202</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1856</v>
      </c>
      <c r="B1814" s="21" t="s">
        <v>1207</v>
      </c>
      <c r="C1814" s="21" t="s">
        <v>1188</v>
      </c>
      <c r="D1814" s="21" t="s">
        <v>1180</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1857</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818</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row>
    <row r="1818" spans="1:12">
      <c r="A1818" s="20" t="s">
        <v>1858</v>
      </c>
    </row>
    <row r="1819" spans="1:12">
      <c r="A1819" s="20" t="s">
        <v>1313</v>
      </c>
      <c r="B1819" s="21" t="s">
        <v>1194</v>
      </c>
      <c r="C1819" s="21" t="s">
        <v>1208</v>
      </c>
      <c r="D1819" s="21" t="s">
        <v>1180</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1257</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1381</v>
      </c>
      <c r="B1821" s="21" t="s">
        <v>1178</v>
      </c>
      <c r="C1821" s="21" t="s">
        <v>1254</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1185</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1495</v>
      </c>
      <c r="B1823" s="21" t="s">
        <v>1237</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427</v>
      </c>
      <c r="B1824" s="21" t="s">
        <v>1240</v>
      </c>
      <c r="C1824" s="21" t="s">
        <v>1238</v>
      </c>
      <c r="D1824" s="21" t="s">
        <v>1180</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1859</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1437</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1185</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1314</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1537</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1242</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1860</v>
      </c>
      <c r="B1831" s="21" t="s">
        <v>1178</v>
      </c>
      <c r="C1831" s="21" t="s">
        <v>1179</v>
      </c>
      <c r="D1831" s="21" t="s">
        <v>1180</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818</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row>
    <row r="1834" spans="1:12">
      <c r="A1834" s="20" t="s">
        <v>1861</v>
      </c>
    </row>
    <row r="1835" spans="1:12">
      <c r="A1835" s="20" t="s">
        <v>1193</v>
      </c>
      <c r="B1835" s="21" t="s">
        <v>1194</v>
      </c>
      <c r="C1835" s="21" t="s">
        <v>1195</v>
      </c>
      <c r="D1835" s="21" t="s">
        <v>1180</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1196</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1186</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1829</v>
      </c>
      <c r="B1838" s="21" t="s">
        <v>1204</v>
      </c>
      <c r="C1838" s="21" t="s">
        <v>1188</v>
      </c>
      <c r="D1838" s="21" t="s">
        <v>1180</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1314</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344</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1185</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1471</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1661</v>
      </c>
      <c r="B1843" s="21" t="s">
        <v>1240</v>
      </c>
      <c r="C1843" s="21" t="s">
        <v>1238</v>
      </c>
      <c r="D1843" s="21" t="s">
        <v>1180</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1257</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1265</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1862</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1863</v>
      </c>
      <c r="B1847" s="21" t="s">
        <v>1178</v>
      </c>
      <c r="C1847" s="21" t="s">
        <v>1223</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818</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row>
    <row r="1850" spans="1:12">
      <c r="A1850" s="20" t="s">
        <v>1864</v>
      </c>
    </row>
    <row r="1851" spans="1:12">
      <c r="A1851" s="20" t="s">
        <v>1865</v>
      </c>
      <c r="B1851" s="21" t="s">
        <v>1191</v>
      </c>
      <c r="C1851" s="21" t="s">
        <v>1254</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578</v>
      </c>
      <c r="B1852" s="21" t="s">
        <v>1194</v>
      </c>
      <c r="C1852" s="21" t="s">
        <v>1324</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1437</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1330</v>
      </c>
      <c r="B1854" s="21" t="s">
        <v>1191</v>
      </c>
      <c r="C1854" s="21" t="s">
        <v>1254</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1260</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1866</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1867</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1868</v>
      </c>
      <c r="B1858" s="21" t="s">
        <v>1178</v>
      </c>
      <c r="C1858" s="21" t="s">
        <v>1188</v>
      </c>
      <c r="D1858" s="21" t="s">
        <v>1180</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1420</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1855</v>
      </c>
      <c r="B1860" s="21" t="s">
        <v>1178</v>
      </c>
      <c r="C1860" s="21" t="s">
        <v>1184</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348</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1352</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1253</v>
      </c>
      <c r="B1863" s="21" t="s">
        <v>1191</v>
      </c>
      <c r="C1863" s="21" t="s">
        <v>1254</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1807</v>
      </c>
      <c r="B1864" s="21" t="s">
        <v>1178</v>
      </c>
      <c r="C1864" s="21" t="s">
        <v>1324</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1185</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1186</v>
      </c>
      <c r="B1866" s="21" t="s">
        <v>1304</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1314</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1538</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1869</v>
      </c>
      <c r="B1869" s="21" t="s">
        <v>1304</v>
      </c>
      <c r="C1869" s="21" t="s">
        <v>1184</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1870</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1371</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1487</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1871</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1872</v>
      </c>
      <c r="B1874" s="21" t="s">
        <v>1340</v>
      </c>
      <c r="C1874" s="21" t="s">
        <v>1223</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1873</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163</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818</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row>
    <row r="1879" spans="1:12">
      <c r="A1879" s="20" t="s">
        <v>1874</v>
      </c>
    </row>
    <row r="1880" spans="1:12">
      <c r="A1880" s="20" t="s">
        <v>1313</v>
      </c>
      <c r="B1880" s="21" t="s">
        <v>1194</v>
      </c>
      <c r="C1880" s="21" t="s">
        <v>1208</v>
      </c>
      <c r="D1880" s="21" t="s">
        <v>1180</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1875</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1186</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1876</v>
      </c>
      <c r="B1883" s="21" t="s">
        <v>1204</v>
      </c>
      <c r="C1883" s="21" t="s">
        <v>1188</v>
      </c>
      <c r="D1883" s="21" t="s">
        <v>1180</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1295</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1186</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1809</v>
      </c>
      <c r="B1886" s="21" t="s">
        <v>1191</v>
      </c>
      <c r="C1886" s="21" t="s">
        <v>1188</v>
      </c>
      <c r="D1886" s="21" t="s">
        <v>1180</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1185</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1186</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1346</v>
      </c>
      <c r="B1889" s="21" t="s">
        <v>1240</v>
      </c>
      <c r="C1889" s="21" t="s">
        <v>1188</v>
      </c>
      <c r="D1889" s="21" t="s">
        <v>1180</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1825</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1877</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818</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row>
    <row r="1894" spans="1:12">
      <c r="A1894" s="20" t="s">
        <v>1878</v>
      </c>
    </row>
    <row r="1895" spans="1:12">
      <c r="A1895" s="20" t="s">
        <v>1262</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1182</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356</v>
      </c>
      <c r="B1897" s="21" t="s">
        <v>1178</v>
      </c>
      <c r="C1897" s="21" t="s">
        <v>1184</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1293</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1294</v>
      </c>
      <c r="B1899" s="21" t="s">
        <v>1178</v>
      </c>
      <c r="C1899" s="21" t="s">
        <v>1195</v>
      </c>
      <c r="D1899" s="21" t="s">
        <v>1180</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1197</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1353</v>
      </c>
      <c r="B1901" s="21" t="s">
        <v>1191</v>
      </c>
      <c r="C1901" s="21" t="s">
        <v>1208</v>
      </c>
      <c r="D1901" s="21" t="s">
        <v>1180</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1829</v>
      </c>
      <c r="B1902" s="21" t="s">
        <v>1178</v>
      </c>
      <c r="C1902" s="21" t="s">
        <v>1210</v>
      </c>
      <c r="D1902" s="21" t="s">
        <v>1180</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1198</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1199</v>
      </c>
      <c r="B1904" s="21" t="s">
        <v>1191</v>
      </c>
      <c r="C1904" s="21" t="s">
        <v>1188</v>
      </c>
      <c r="D1904" s="21" t="s">
        <v>1180</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818</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row>
    <row r="1907" spans="1:12">
      <c r="A1907" s="20" t="s">
        <v>1879</v>
      </c>
    </row>
    <row r="1908" spans="1:12">
      <c r="A1908" s="20" t="s">
        <v>1193</v>
      </c>
      <c r="B1908" s="21" t="s">
        <v>1194</v>
      </c>
      <c r="C1908" s="21" t="s">
        <v>1195</v>
      </c>
      <c r="D1908" s="21" t="s">
        <v>1180</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1196</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1835</v>
      </c>
      <c r="B1910" s="21" t="s">
        <v>1194</v>
      </c>
      <c r="C1910" s="21" t="s">
        <v>1195</v>
      </c>
      <c r="D1910" s="21" t="s">
        <v>1180</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1495</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1880</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1881</v>
      </c>
      <c r="B1913" s="21" t="s">
        <v>1204</v>
      </c>
      <c r="C1913" s="21" t="s">
        <v>1188</v>
      </c>
      <c r="D1913" s="21" t="s">
        <v>1180</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177</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818</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row>
    <row r="1917" spans="1:12">
      <c r="A1917" s="20" t="s">
        <v>1362</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1882</v>
      </c>
    </row>
    <row r="1919" spans="1:12">
      <c r="A1919" s="20" t="s">
        <v>1883</v>
      </c>
      <c r="B1919" s="21" t="s">
        <v>1191</v>
      </c>
      <c r="C1919" s="21" t="s">
        <v>1208</v>
      </c>
      <c r="D1919" s="21" t="s">
        <v>1180</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1579</v>
      </c>
      <c r="B1920" s="21" t="s">
        <v>1194</v>
      </c>
      <c r="C1920" s="21" t="s">
        <v>1210</v>
      </c>
      <c r="D1920" s="21" t="s">
        <v>1180</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1738</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1367</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1884</v>
      </c>
      <c r="B1923" s="21" t="s">
        <v>1178</v>
      </c>
      <c r="C1923" s="21" t="s">
        <v>1179</v>
      </c>
      <c r="D1923" s="21" t="s">
        <v>1180</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1885</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1367</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818</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row>
    <row r="1928" spans="1:12">
      <c r="A1928" s="20" t="s">
        <v>1886</v>
      </c>
    </row>
    <row r="1929" spans="1:12">
      <c r="A1929" s="20" t="s">
        <v>1245</v>
      </c>
      <c r="B1929" s="21" t="s">
        <v>1194</v>
      </c>
      <c r="C1929" s="21" t="s">
        <v>1238</v>
      </c>
      <c r="D1929" s="21" t="s">
        <v>1180</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1257</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1495</v>
      </c>
      <c r="B1931" s="21" t="s">
        <v>1194</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1249</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row>
    <row r="1934" spans="1:12">
      <c r="A1934" s="20" t="s">
        <v>1887</v>
      </c>
    </row>
    <row r="1935" spans="1:12">
      <c r="A1935" s="20" t="s">
        <v>1287</v>
      </c>
      <c r="B1935" s="21" t="s">
        <v>1178</v>
      </c>
      <c r="C1935" s="21" t="s">
        <v>1195</v>
      </c>
      <c r="D1935" s="21" t="s">
        <v>1180</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1182</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1193</v>
      </c>
      <c r="B1937" s="21" t="s">
        <v>1240</v>
      </c>
      <c r="C1937" s="21" t="s">
        <v>1195</v>
      </c>
      <c r="D1937" s="21" t="s">
        <v>1180</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1888</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1198</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1395</v>
      </c>
      <c r="B1940" s="21" t="s">
        <v>1240</v>
      </c>
      <c r="C1940" s="21" t="s">
        <v>1179</v>
      </c>
      <c r="D1940" s="21" t="s">
        <v>1180</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1702</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1889</v>
      </c>
      <c r="B1942" s="21" t="s">
        <v>1237</v>
      </c>
      <c r="C1942" s="21" t="s">
        <v>1184</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1890</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1352</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1186</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1891</v>
      </c>
      <c r="B1946" s="21" t="s">
        <v>1191</v>
      </c>
      <c r="C1946" s="21" t="s">
        <v>1188</v>
      </c>
      <c r="D1946" s="21" t="s">
        <v>1180</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1892</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1639</v>
      </c>
      <c r="B1948" s="21" t="s">
        <v>1207</v>
      </c>
      <c r="C1948" s="21" t="s">
        <v>1184</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818</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row>
    <row r="1951" spans="1:12">
      <c r="A1951" s="20" t="s">
        <v>1893</v>
      </c>
    </row>
    <row r="1952" spans="1:12">
      <c r="A1952" s="20" t="s">
        <v>1694</v>
      </c>
      <c r="B1952" s="21" t="s">
        <v>1194</v>
      </c>
      <c r="C1952" s="21" t="s">
        <v>1208</v>
      </c>
      <c r="D1952" s="21" t="s">
        <v>1180</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1257</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1894</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1296</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1895</v>
      </c>
      <c r="B1956" s="21" t="s">
        <v>1178</v>
      </c>
      <c r="C1956" s="21" t="s">
        <v>1394</v>
      </c>
      <c r="D1956" s="21" t="s">
        <v>1180</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1198</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1395</v>
      </c>
      <c r="B1958" s="21" t="s">
        <v>1178</v>
      </c>
      <c r="C1958" s="21" t="s">
        <v>1179</v>
      </c>
      <c r="D1958" s="21" t="s">
        <v>1180</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818</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row>
    <row r="1961" spans="1:12">
      <c r="A1961" s="20" t="s">
        <v>1362</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1896</v>
      </c>
    </row>
    <row r="1963" spans="1:12">
      <c r="A1963" s="20" t="s">
        <v>1367</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1884</v>
      </c>
      <c r="B1964" s="21" t="s">
        <v>1194</v>
      </c>
      <c r="C1964" s="21" t="s">
        <v>1179</v>
      </c>
      <c r="D1964" s="21" t="s">
        <v>1180</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1885</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1367</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1897</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1367</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1885</v>
      </c>
      <c r="B1969" s="21" t="s">
        <v>1191</v>
      </c>
      <c r="C1969" s="21" t="s">
        <v>1184</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1452</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1898</v>
      </c>
      <c r="B1971" s="21" t="s">
        <v>1207</v>
      </c>
      <c r="C1971" s="21" t="s">
        <v>1184</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1367</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1899</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1257</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1265</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1579</v>
      </c>
      <c r="B1976" s="21" t="s">
        <v>1178</v>
      </c>
      <c r="C1976" s="21" t="s">
        <v>1223</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1185</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1495</v>
      </c>
      <c r="B1978" s="21" t="s">
        <v>1240</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1186</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1395</v>
      </c>
      <c r="B1980" s="21" t="s">
        <v>1237</v>
      </c>
      <c r="C1980" s="21" t="s">
        <v>1179</v>
      </c>
      <c r="D1980" s="21" t="s">
        <v>1180</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1651</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1260</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1481</v>
      </c>
      <c r="B1983" s="21" t="s">
        <v>1191</v>
      </c>
      <c r="C1983" s="21" t="s">
        <v>1188</v>
      </c>
      <c r="D1983" s="21" t="s">
        <v>1180</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1900</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1901</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818</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row>
    <row r="1988" spans="1:12">
      <c r="A1988" s="20" t="s">
        <v>1902</v>
      </c>
    </row>
    <row r="1989" spans="1:12">
      <c r="A1989" s="20" t="s">
        <v>1832</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1481</v>
      </c>
      <c r="B1990" s="21" t="s">
        <v>1240</v>
      </c>
      <c r="C1990" s="21" t="s">
        <v>1188</v>
      </c>
      <c r="D1990" s="21" t="s">
        <v>1180</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1733</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1186</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1395</v>
      </c>
      <c r="B1993" s="21" t="s">
        <v>1194</v>
      </c>
      <c r="C1993" s="21" t="s">
        <v>1179</v>
      </c>
      <c r="D1993" s="21" t="s">
        <v>1180</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1224</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1260</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1903</v>
      </c>
      <c r="B1996" s="21" t="s">
        <v>1178</v>
      </c>
      <c r="C1996" s="21" t="s">
        <v>1188</v>
      </c>
      <c r="D1996" s="21" t="s">
        <v>1180</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1463</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1185</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1571</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1661</v>
      </c>
      <c r="B2000" s="21" t="s">
        <v>1240</v>
      </c>
      <c r="C2000" s="21" t="s">
        <v>1238</v>
      </c>
      <c r="D2000" s="21" t="s">
        <v>1180</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1904</v>
      </c>
      <c r="B2001" s="21" t="s">
        <v>1207</v>
      </c>
      <c r="C2001" s="21" t="s">
        <v>1254</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1905</v>
      </c>
      <c r="B2002" s="21" t="s">
        <v>1237</v>
      </c>
      <c r="C2002" s="21" t="s">
        <v>1184</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1906</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1185</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1487</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1907</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1908</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1909</v>
      </c>
      <c r="B2008" s="21" t="s">
        <v>1306</v>
      </c>
      <c r="C2008" s="21" t="s">
        <v>1223</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1910</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1520</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1202</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1911</v>
      </c>
      <c r="B2012" s="21" t="s">
        <v>1207</v>
      </c>
      <c r="C2012" s="21" t="s">
        <v>1188</v>
      </c>
      <c r="D2012" s="21" t="s">
        <v>1180</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1219</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1697</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1789</v>
      </c>
      <c r="B2015" s="21" t="s">
        <v>1278</v>
      </c>
      <c r="C2015" s="21" t="s">
        <v>1184</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1185</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1202</v>
      </c>
      <c r="B2017" s="21" t="s">
        <v>1526</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1661</v>
      </c>
      <c r="B2018" s="21" t="s">
        <v>1912</v>
      </c>
      <c r="C2018" s="21" t="s">
        <v>1238</v>
      </c>
      <c r="D2018" s="21" t="s">
        <v>1180</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1913</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818</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row>
    <row r="2022" spans="1:12">
      <c r="A2022" s="20" t="s">
        <v>1914</v>
      </c>
    </row>
    <row r="2023" spans="1:12">
      <c r="A2023" s="20" t="s">
        <v>1600</v>
      </c>
      <c r="B2023" s="21" t="s">
        <v>1194</v>
      </c>
      <c r="C2023" s="21" t="s">
        <v>1195</v>
      </c>
      <c r="D2023" s="21" t="s">
        <v>1180</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1915</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1182</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1916</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1185</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427</v>
      </c>
      <c r="B2028" s="21" t="s">
        <v>1304</v>
      </c>
      <c r="C2028" s="21" t="s">
        <v>1238</v>
      </c>
      <c r="D2028" s="21" t="s">
        <v>1180</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1917</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1353</v>
      </c>
      <c r="B2030" s="21" t="s">
        <v>1278</v>
      </c>
      <c r="C2030" s="21" t="s">
        <v>1208</v>
      </c>
      <c r="D2030" s="21" t="s">
        <v>1180</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1704</v>
      </c>
      <c r="B2031" s="21" t="s">
        <v>1306</v>
      </c>
      <c r="C2031" s="21" t="s">
        <v>1210</v>
      </c>
      <c r="D2031" s="21" t="s">
        <v>1180</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1314</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1295</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427</v>
      </c>
      <c r="B2034" s="21" t="s">
        <v>1289</v>
      </c>
      <c r="C2034" s="21" t="s">
        <v>1238</v>
      </c>
      <c r="D2034" s="21" t="s">
        <v>1180</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1523</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1353</v>
      </c>
      <c r="B2036" s="21" t="s">
        <v>1291</v>
      </c>
      <c r="C2036" s="21" t="s">
        <v>1208</v>
      </c>
      <c r="D2036" s="21" t="s">
        <v>1180</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1704</v>
      </c>
      <c r="B2037" s="21" t="s">
        <v>1289</v>
      </c>
      <c r="C2037" s="21" t="s">
        <v>1210</v>
      </c>
      <c r="D2037" s="21" t="s">
        <v>1180</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1314</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1917</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818</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row>
    <row r="2042" spans="1:12">
      <c r="A2042" s="20" t="s">
        <v>1918</v>
      </c>
    </row>
    <row r="2043" spans="1:12">
      <c r="A2043" s="20" t="s">
        <v>1357</v>
      </c>
      <c r="B2043" s="21" t="s">
        <v>1194</v>
      </c>
      <c r="C2043" s="21" t="s">
        <v>1238</v>
      </c>
      <c r="D2043" s="21" t="s">
        <v>1180</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1523</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1919</v>
      </c>
      <c r="B2045" s="21" t="s">
        <v>1204</v>
      </c>
      <c r="C2045" s="21" t="s">
        <v>1195</v>
      </c>
      <c r="D2045" s="21" t="s">
        <v>1180</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1314</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96</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1185</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1302</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1433</v>
      </c>
      <c r="B2050" s="21" t="s">
        <v>1207</v>
      </c>
      <c r="C2050" s="21" t="s">
        <v>1254</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1789</v>
      </c>
      <c r="B2051" s="21" t="s">
        <v>1237</v>
      </c>
      <c r="C2051" s="21" t="s">
        <v>1324</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427</v>
      </c>
      <c r="B2052" s="21" t="s">
        <v>1240</v>
      </c>
      <c r="C2052" s="21" t="s">
        <v>1238</v>
      </c>
      <c r="D2052" s="21" t="s">
        <v>1180</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1825</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1913</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1185</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1655</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427</v>
      </c>
      <c r="B2057" s="21" t="s">
        <v>1304</v>
      </c>
      <c r="C2057" s="21" t="s">
        <v>1238</v>
      </c>
      <c r="D2057" s="21" t="s">
        <v>1180</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1920</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1876</v>
      </c>
      <c r="B2059" s="21" t="s">
        <v>1306</v>
      </c>
      <c r="C2059" s="21" t="s">
        <v>1232</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1921</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1922</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1185</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1310</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427</v>
      </c>
      <c r="B2064" s="21" t="s">
        <v>1289</v>
      </c>
      <c r="C2064" s="21" t="s">
        <v>1238</v>
      </c>
      <c r="D2064" s="21" t="s">
        <v>1180</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1919</v>
      </c>
      <c r="B2065" s="21" t="s">
        <v>1340</v>
      </c>
      <c r="C2065" s="21" t="s">
        <v>1195</v>
      </c>
      <c r="D2065" s="21" t="s">
        <v>1180</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1495</v>
      </c>
      <c r="B2066" s="21" t="s">
        <v>1289</v>
      </c>
      <c r="C2066" s="21" t="s">
        <v>1238</v>
      </c>
      <c r="D2066" s="21" t="s">
        <v>1180</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1923</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818</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row>
    <row r="2070" spans="1:12">
      <c r="A2070" s="20" t="s">
        <v>1924</v>
      </c>
    </row>
    <row r="2071" spans="1:12">
      <c r="A2071" s="20" t="s">
        <v>1313</v>
      </c>
      <c r="B2071" s="21" t="s">
        <v>1194</v>
      </c>
      <c r="C2071" s="21" t="s">
        <v>1208</v>
      </c>
      <c r="D2071" s="21" t="s">
        <v>1180</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1257</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1487</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1925</v>
      </c>
      <c r="B2074" s="21" t="s">
        <v>1178</v>
      </c>
      <c r="C2074" s="21" t="s">
        <v>1223</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1185</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1186</v>
      </c>
      <c r="B2076" s="21" t="s">
        <v>1237</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1263</v>
      </c>
      <c r="B2077" s="21" t="s">
        <v>1240</v>
      </c>
      <c r="C2077" s="21" t="s">
        <v>1195</v>
      </c>
      <c r="D2077" s="21" t="s">
        <v>1180</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1926</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818</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row>
    <row r="2081" spans="1:12">
      <c r="A2081" s="20" t="s">
        <v>1927</v>
      </c>
    </row>
    <row r="2082" spans="1:12">
      <c r="A2082" s="20" t="s">
        <v>1928</v>
      </c>
      <c r="B2082" s="21" t="s">
        <v>1178</v>
      </c>
      <c r="C2082" s="21" t="s">
        <v>1184</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1471</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1257</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1185</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1302</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1353</v>
      </c>
      <c r="B2087" s="21" t="s">
        <v>1207</v>
      </c>
      <c r="C2087" s="21" t="s">
        <v>1208</v>
      </c>
      <c r="D2087" s="21" t="s">
        <v>1180</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1577</v>
      </c>
      <c r="B2088" s="21" t="s">
        <v>1240</v>
      </c>
      <c r="C2088" s="21" t="s">
        <v>1210</v>
      </c>
      <c r="D2088" s="21" t="s">
        <v>1180</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1578</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1185</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1359</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1661</v>
      </c>
      <c r="B2092" s="21" t="s">
        <v>1304</v>
      </c>
      <c r="C2092" s="21" t="s">
        <v>1238</v>
      </c>
      <c r="D2092" s="21" t="s">
        <v>1180</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1416</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1314</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1537</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1929</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1334</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1185</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1930</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1186</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1931</v>
      </c>
      <c r="B2101" s="21" t="s">
        <v>1289</v>
      </c>
      <c r="C2101" s="21" t="s">
        <v>1188</v>
      </c>
      <c r="D2101" s="21" t="s">
        <v>1180</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1538</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1932</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1933</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818</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row>
    <row r="2107" spans="1:12">
      <c r="A2107" s="20" t="s">
        <v>1934</v>
      </c>
    </row>
    <row r="2108" spans="1:12">
      <c r="A2108" s="20" t="s">
        <v>1600</v>
      </c>
      <c r="B2108" s="21" t="s">
        <v>1194</v>
      </c>
      <c r="C2108" s="21" t="s">
        <v>1195</v>
      </c>
      <c r="D2108" s="21" t="s">
        <v>1180</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1257</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1932</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1935</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818</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row>
    <row r="2114" spans="1:12">
      <c r="A2114" s="20" t="s">
        <v>1936</v>
      </c>
    </row>
    <row r="2115" spans="1:12">
      <c r="A2115" s="20" t="s">
        <v>1545</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1395</v>
      </c>
      <c r="B2116" s="21" t="s">
        <v>1194</v>
      </c>
      <c r="C2116" s="21" t="s">
        <v>1179</v>
      </c>
      <c r="D2116" s="21" t="s">
        <v>1180</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1937</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1265</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1938</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1939</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1940</v>
      </c>
      <c r="B2121" s="21" t="s">
        <v>1204</v>
      </c>
      <c r="C2121" s="21" t="s">
        <v>1223</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1185</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1495</v>
      </c>
      <c r="B2123" s="21" t="s">
        <v>1304</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1941</v>
      </c>
      <c r="B2124" s="21" t="s">
        <v>1278</v>
      </c>
      <c r="C2124" s="21" t="s">
        <v>1254</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1942</v>
      </c>
      <c r="B2125" s="21" t="s">
        <v>1306</v>
      </c>
      <c r="C2125" s="21" t="s">
        <v>1608</v>
      </c>
      <c r="D2125" s="21" t="s">
        <v>1180</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1894</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1789</v>
      </c>
      <c r="B2127" s="21" t="s">
        <v>1278</v>
      </c>
      <c r="C2127" s="21" t="s">
        <v>1223</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1943</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818</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row>
    <row r="2131" spans="1:12">
      <c r="A2131" s="20" t="s">
        <v>1944</v>
      </c>
    </row>
    <row r="2132" spans="1:12">
      <c r="A2132" s="20" t="s">
        <v>1326</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185</v>
      </c>
      <c r="B2133" s="21" t="s">
        <v>1194</v>
      </c>
      <c r="C2133" s="21" t="s">
        <v>1195</v>
      </c>
      <c r="D2133" s="21" t="s">
        <v>1180</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1945</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1185</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1359</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1186</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1789</v>
      </c>
      <c r="B2138" s="21" t="s">
        <v>1240</v>
      </c>
      <c r="C2138" s="21" t="s">
        <v>1188</v>
      </c>
      <c r="D2138" s="21" t="s">
        <v>1180</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1233</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1202</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1596</v>
      </c>
      <c r="B2141" s="21" t="s">
        <v>1207</v>
      </c>
      <c r="C2141" s="21" t="s">
        <v>1179</v>
      </c>
      <c r="D2141" s="21" t="s">
        <v>1180</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1946</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1185</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1412</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1523</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1661</v>
      </c>
      <c r="B2146" s="21" t="s">
        <v>1304</v>
      </c>
      <c r="C2146" s="21" t="s">
        <v>1238</v>
      </c>
      <c r="D2146" s="21" t="s">
        <v>1180</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1260</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1481</v>
      </c>
      <c r="B2148" s="21" t="s">
        <v>1306</v>
      </c>
      <c r="C2148" s="21" t="s">
        <v>1188</v>
      </c>
      <c r="D2148" s="21" t="s">
        <v>1180</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1031</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96</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1185</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1302</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1433</v>
      </c>
      <c r="B2153" s="21" t="s">
        <v>1289</v>
      </c>
      <c r="C2153" s="21" t="s">
        <v>1238</v>
      </c>
      <c r="D2153" s="21" t="s">
        <v>1180</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1947</v>
      </c>
      <c r="B2154" s="21" t="s">
        <v>1492</v>
      </c>
      <c r="C2154" s="21" t="s">
        <v>1254</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1789</v>
      </c>
      <c r="B2155" s="21" t="s">
        <v>1291</v>
      </c>
      <c r="C2155" s="21" t="s">
        <v>1208</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1661</v>
      </c>
      <c r="B2156" s="21" t="s">
        <v>1289</v>
      </c>
      <c r="C2156" s="21" t="s">
        <v>1238</v>
      </c>
      <c r="D2156" s="21" t="s">
        <v>1180</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163</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1185</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1822</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1185</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1224</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1948</v>
      </c>
      <c r="B2162" s="21" t="s">
        <v>1291</v>
      </c>
      <c r="C2162" s="21" t="s">
        <v>1208</v>
      </c>
      <c r="D2162" s="21" t="s">
        <v>1180</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790</v>
      </c>
      <c r="B2163" s="21" t="s">
        <v>1278</v>
      </c>
      <c r="C2163" s="21" t="s">
        <v>1210</v>
      </c>
      <c r="D2163" s="21" t="s">
        <v>1180</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818</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row>
    <row r="2166" spans="1:12">
      <c r="A2166" s="20" t="s">
        <v>1362</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1949</v>
      </c>
    </row>
    <row r="2168" spans="1:12">
      <c r="A2168" s="20" t="s">
        <v>1367</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1885</v>
      </c>
      <c r="B2169" s="21" t="s">
        <v>1194</v>
      </c>
      <c r="C2169" s="21" t="s">
        <v>1184</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1452</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1898</v>
      </c>
      <c r="B2171" s="21" t="s">
        <v>1191</v>
      </c>
      <c r="C2171" s="21" t="s">
        <v>1184</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1367</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1950</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1508</v>
      </c>
      <c r="B2174" s="21" t="s">
        <v>1204</v>
      </c>
      <c r="C2174" s="21" t="s">
        <v>1238</v>
      </c>
      <c r="D2174" s="21" t="s">
        <v>1180</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1185</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1359</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1951</v>
      </c>
      <c r="B2177" s="21" t="s">
        <v>1207</v>
      </c>
      <c r="C2177" s="21" t="s">
        <v>1254</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1789</v>
      </c>
      <c r="B2178" s="21" t="s">
        <v>1240</v>
      </c>
      <c r="C2178" s="21" t="s">
        <v>1184</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1952</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1953</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1185</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1224</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1821</v>
      </c>
      <c r="B2183" s="21" t="s">
        <v>1178</v>
      </c>
      <c r="C2183" s="21" t="s">
        <v>1179</v>
      </c>
      <c r="D2183" s="21" t="s">
        <v>1180</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1185</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1520</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1373</v>
      </c>
      <c r="B2186" s="21" t="s">
        <v>1178</v>
      </c>
      <c r="C2186" s="21" t="s">
        <v>1184</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1185</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1420</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1224</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1225</v>
      </c>
      <c r="B2190" s="21" t="s">
        <v>1178</v>
      </c>
      <c r="C2190" s="21" t="s">
        <v>1179</v>
      </c>
      <c r="D2190" s="21" t="s">
        <v>1180</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1520</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1954</v>
      </c>
      <c r="B2192" s="21" t="s">
        <v>1178</v>
      </c>
      <c r="C2192" s="21" t="s">
        <v>1179</v>
      </c>
      <c r="D2192" s="21" t="s">
        <v>1180</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818</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row>
    <row r="2195" spans="1:12">
      <c r="A2195" s="20" t="s">
        <v>1955</v>
      </c>
    </row>
    <row r="2196" spans="1:12">
      <c r="A2196" s="20" t="s">
        <v>1193</v>
      </c>
      <c r="B2196" s="21" t="s">
        <v>1194</v>
      </c>
      <c r="C2196" s="21" t="s">
        <v>1195</v>
      </c>
      <c r="D2196" s="21" t="s">
        <v>1180</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1320</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1314</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1956</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1185</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1571</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1360</v>
      </c>
      <c r="B2202" s="21" t="s">
        <v>1240</v>
      </c>
      <c r="C2202" s="21" t="s">
        <v>1208</v>
      </c>
      <c r="D2202" s="21" t="s">
        <v>1180</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1495</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1957</v>
      </c>
      <c r="B2204" s="21" t="s">
        <v>1178</v>
      </c>
      <c r="C2204" s="21" t="s">
        <v>1188</v>
      </c>
      <c r="D2204" s="21" t="s">
        <v>1180</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1649</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1958</v>
      </c>
      <c r="B2206" s="21" t="s">
        <v>1191</v>
      </c>
      <c r="C2206" s="21" t="s">
        <v>1223</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366</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1307</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818</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row>
    <row r="2211" spans="1:12">
      <c r="A2211" s="20" t="s">
        <v>1959</v>
      </c>
    </row>
    <row r="2212" spans="1:12">
      <c r="A2212" s="20" t="s">
        <v>1262</v>
      </c>
      <c r="B2212" s="21" t="s">
        <v>1178</v>
      </c>
      <c r="C2212" s="21" t="s">
        <v>1179</v>
      </c>
      <c r="D2212" s="21" t="s">
        <v>1180</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1182</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row>
    <row r="2215" spans="1:12">
      <c r="A2215" s="20" t="s">
        <v>1960</v>
      </c>
    </row>
    <row r="2216" spans="1:12">
      <c r="A2216" s="20" t="s">
        <v>1545</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1781</v>
      </c>
      <c r="B2217" s="21" t="s">
        <v>1240</v>
      </c>
      <c r="C2217" s="21" t="s">
        <v>1179</v>
      </c>
      <c r="D2217" s="21" t="s">
        <v>1180</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1782</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1271</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1276</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1961</v>
      </c>
      <c r="B2221" s="21" t="s">
        <v>1204</v>
      </c>
      <c r="C2221" s="21" t="s">
        <v>1223</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1543</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1185</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1198</v>
      </c>
      <c r="B2224" s="21" t="s">
        <v>1240</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1962</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1197</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1963</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1704</v>
      </c>
      <c r="B2228" s="21" t="s">
        <v>1191</v>
      </c>
      <c r="C2228" s="21" t="s">
        <v>1232</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1964</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818</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row>
    <row r="2232" spans="1:12">
      <c r="A2232" s="20" t="s">
        <v>1362</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1965</v>
      </c>
    </row>
    <row r="2234" spans="1:12">
      <c r="A2234" s="20" t="s">
        <v>1545</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1966</v>
      </c>
      <c r="B2235" s="21" t="s">
        <v>1194</v>
      </c>
      <c r="C2235" s="21" t="s">
        <v>1188</v>
      </c>
      <c r="D2235" s="21" t="s">
        <v>1180</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1967</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1182</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1367</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1545</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1395</v>
      </c>
      <c r="B2240" s="21" t="s">
        <v>1240</v>
      </c>
      <c r="C2240" s="21" t="s">
        <v>1179</v>
      </c>
      <c r="D2240" s="21" t="s">
        <v>1180</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1271</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1968</v>
      </c>
      <c r="B2242" s="21" t="s">
        <v>1304</v>
      </c>
      <c r="C2242" s="21" t="s">
        <v>1184</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1969</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1970</v>
      </c>
      <c r="B2244" s="21" t="s">
        <v>1207</v>
      </c>
      <c r="C2244" s="21" t="s">
        <v>1324</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1971</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1388</v>
      </c>
      <c r="B2246" s="21" t="s">
        <v>1207</v>
      </c>
      <c r="C2246" s="21" t="s">
        <v>1184</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1972</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818</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1367</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row>
    <row r="2251" spans="1:12">
      <c r="A2251" s="20" t="s">
        <v>1973</v>
      </c>
    </row>
    <row r="2252" spans="1:12">
      <c r="A2252" s="20" t="s">
        <v>1974</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1508</v>
      </c>
      <c r="B2253" s="21" t="s">
        <v>1178</v>
      </c>
      <c r="C2253" s="21" t="s">
        <v>1238</v>
      </c>
      <c r="D2253" s="21" t="s">
        <v>1180</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1311</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818</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row>
    <row r="2257" spans="1:12">
      <c r="A2257" s="20" t="s">
        <v>1975</v>
      </c>
    </row>
    <row r="2258" spans="1:12">
      <c r="A2258" s="20" t="s">
        <v>1287</v>
      </c>
      <c r="B2258" s="21" t="s">
        <v>1178</v>
      </c>
      <c r="C2258" s="21" t="s">
        <v>1195</v>
      </c>
      <c r="D2258" s="21" t="s">
        <v>1180</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1182</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1357</v>
      </c>
      <c r="B2260" s="21" t="s">
        <v>1240</v>
      </c>
      <c r="C2260" s="21" t="s">
        <v>1238</v>
      </c>
      <c r="D2260" s="21" t="s">
        <v>1180</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163</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1242</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1198</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1976</v>
      </c>
      <c r="B2264" s="21" t="s">
        <v>1191</v>
      </c>
      <c r="C2264" s="21" t="s">
        <v>1188</v>
      </c>
      <c r="D2264" s="21" t="s">
        <v>1180</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1224</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1260</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1977</v>
      </c>
      <c r="B2267" s="21" t="s">
        <v>1207</v>
      </c>
      <c r="C2267" s="21" t="s">
        <v>1179</v>
      </c>
      <c r="D2267" s="21" t="s">
        <v>1180</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1978</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1388</v>
      </c>
      <c r="B2269" s="21" t="s">
        <v>1191</v>
      </c>
      <c r="C2269" s="21" t="s">
        <v>1184</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1031</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1979</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11</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1295</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185</v>
      </c>
      <c r="B2274" s="21" t="s">
        <v>1289</v>
      </c>
      <c r="C2274" s="21" t="s">
        <v>1195</v>
      </c>
      <c r="D2274" s="21" t="s">
        <v>1180</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1271</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1305</v>
      </c>
      <c r="B2276" s="21" t="s">
        <v>1340</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1980</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1185</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1420</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1981</v>
      </c>
      <c r="B2280" s="21" t="s">
        <v>1429</v>
      </c>
      <c r="C2280" s="21" t="s">
        <v>1254</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1185</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1198</v>
      </c>
      <c r="B2282" s="21" t="s">
        <v>1430</v>
      </c>
      <c r="C2282" s="21" t="s">
        <v>1238</v>
      </c>
      <c r="D2282" s="21" t="s">
        <v>1180</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1200</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1198</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1395</v>
      </c>
      <c r="B2285" s="21" t="s">
        <v>1291</v>
      </c>
      <c r="C2285" s="21" t="s">
        <v>1179</v>
      </c>
      <c r="D2285" s="21" t="s">
        <v>1180</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1982</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1295</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1186</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1983</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1984</v>
      </c>
      <c r="B2290" s="21" t="s">
        <v>1526</v>
      </c>
      <c r="C2290" s="21" t="s">
        <v>1188</v>
      </c>
      <c r="D2290" s="21" t="s">
        <v>1180</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1358</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1271</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1295</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1570</v>
      </c>
      <c r="B2294" s="21" t="s">
        <v>1493</v>
      </c>
      <c r="C2294" s="21" t="s">
        <v>1184</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1185</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1236</v>
      </c>
      <c r="B2296" s="21" t="s">
        <v>1985</v>
      </c>
      <c r="C2296" s="21" t="s">
        <v>1238</v>
      </c>
      <c r="D2296" s="21" t="s">
        <v>1180</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1986</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1987</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1185</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1330</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1988</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1185</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1302</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1989</v>
      </c>
      <c r="B2304" s="21" t="s">
        <v>1347</v>
      </c>
      <c r="C2304" s="21" t="s">
        <v>1184</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1795</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1990</v>
      </c>
      <c r="B2306" s="21" t="s">
        <v>1991</v>
      </c>
      <c r="C2306" s="21" t="s">
        <v>1179</v>
      </c>
      <c r="D2306" s="21" t="s">
        <v>1180</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1992</v>
      </c>
      <c r="B2307" s="21" t="s">
        <v>1349</v>
      </c>
      <c r="C2307" s="21" t="s">
        <v>1179</v>
      </c>
      <c r="D2307" s="21" t="s">
        <v>1180</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1185</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11</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1359</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185</v>
      </c>
      <c r="B2311" s="21" t="s">
        <v>1993</v>
      </c>
      <c r="C2311" s="21" t="s">
        <v>1195</v>
      </c>
      <c r="D2311" s="21" t="s">
        <v>1180</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1484</v>
      </c>
      <c r="B2312" s="21" t="s">
        <v>1349</v>
      </c>
      <c r="C2312" s="21" t="s">
        <v>1238</v>
      </c>
      <c r="D2312" s="21" t="s">
        <v>1180</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1994</v>
      </c>
      <c r="B2313" s="21" t="s">
        <v>1995</v>
      </c>
      <c r="C2313" s="21" t="s">
        <v>1324</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1996</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1271</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1185</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1359</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1186</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1395</v>
      </c>
      <c r="B2319" s="21" t="s">
        <v>1997</v>
      </c>
      <c r="C2319" s="21" t="s">
        <v>1179</v>
      </c>
      <c r="D2319" s="21" t="s">
        <v>1180</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11</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1998</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1314</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1972</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1447</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1185</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1646</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427</v>
      </c>
      <c r="B2327" s="21" t="s">
        <v>1999</v>
      </c>
      <c r="C2327" s="21" t="s">
        <v>1238</v>
      </c>
      <c r="D2327" s="21" t="s">
        <v>1180</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1457</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1185</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1359</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1290</v>
      </c>
      <c r="B2331" s="21" t="s">
        <v>2000</v>
      </c>
      <c r="C2331" s="21" t="s">
        <v>1208</v>
      </c>
      <c r="D2331" s="21" t="s">
        <v>1180</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1961</v>
      </c>
      <c r="B2332" s="21" t="s">
        <v>2001</v>
      </c>
      <c r="C2332" s="21" t="s">
        <v>1210</v>
      </c>
      <c r="D2332" s="21" t="s">
        <v>1180</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276</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1365</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818</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row>
    <row r="2337" spans="1:12">
      <c r="A2337" s="20" t="s">
        <v>2002</v>
      </c>
    </row>
    <row r="2338" spans="1:12">
      <c r="A2338" s="20" t="s">
        <v>1309</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1236</v>
      </c>
      <c r="B2339" s="21" t="s">
        <v>1194</v>
      </c>
      <c r="C2339" s="21" t="s">
        <v>1238</v>
      </c>
      <c r="D2339" s="21" t="s">
        <v>1180</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2003</v>
      </c>
      <c r="B2340" s="21" t="s">
        <v>1194</v>
      </c>
      <c r="C2340" s="21" t="s">
        <v>1301</v>
      </c>
      <c r="D2340" s="21" t="s">
        <v>1180</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2004</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2005</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1257</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1185</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1219</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1198</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1928</v>
      </c>
      <c r="B2347" s="21" t="s">
        <v>1178</v>
      </c>
      <c r="C2347" s="21" t="s">
        <v>1188</v>
      </c>
      <c r="D2347" s="21" t="s">
        <v>1180</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1185</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1359</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1186</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1395</v>
      </c>
      <c r="B2351" s="21" t="s">
        <v>1304</v>
      </c>
      <c r="C2351" s="21" t="s">
        <v>1179</v>
      </c>
      <c r="D2351" s="21" t="s">
        <v>1180</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2006</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1718</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2007</v>
      </c>
      <c r="B2354" s="21" t="s">
        <v>1306</v>
      </c>
      <c r="C2354" s="21" t="s">
        <v>1232</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1185</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2006</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1482</v>
      </c>
      <c r="B2357" s="21" t="s">
        <v>1306</v>
      </c>
      <c r="C2357" s="21" t="s">
        <v>1232</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2008</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1970</v>
      </c>
      <c r="B2359" s="21" t="s">
        <v>1207</v>
      </c>
      <c r="C2359" s="21" t="s">
        <v>1184</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1224</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1220</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2009</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1388</v>
      </c>
      <c r="B2363" s="21" t="s">
        <v>1207</v>
      </c>
      <c r="C2363" s="21" t="s">
        <v>1223</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1972</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1185</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2010</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1265</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2011</v>
      </c>
      <c r="B2368" s="21" t="s">
        <v>1191</v>
      </c>
      <c r="C2368" s="21" t="s">
        <v>1223</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1185</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1198</v>
      </c>
      <c r="B2370" s="21" t="s">
        <v>1912</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1352</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1218</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2012</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1185</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1265</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2011</v>
      </c>
      <c r="B2376" s="21" t="s">
        <v>1289</v>
      </c>
      <c r="C2376" s="21" t="s">
        <v>1223</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1795</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1206</v>
      </c>
      <c r="B2378" s="21" t="s">
        <v>1278</v>
      </c>
      <c r="C2378" s="21" t="s">
        <v>1208</v>
      </c>
      <c r="D2378" s="21" t="s">
        <v>1180</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2013</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2014</v>
      </c>
      <c r="B2380" s="21" t="s">
        <v>1207</v>
      </c>
      <c r="C2380" s="21" t="s">
        <v>1210</v>
      </c>
      <c r="D2380" s="21" t="s">
        <v>1180</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1185</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1198</v>
      </c>
      <c r="B2382" s="21" t="s">
        <v>1289</v>
      </c>
      <c r="C2382" s="21" t="s">
        <v>1238</v>
      </c>
      <c r="D2382" s="21" t="s">
        <v>1180</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1520</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2015</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1346</v>
      </c>
      <c r="B2385" s="21" t="s">
        <v>1278</v>
      </c>
      <c r="C2385" s="21" t="s">
        <v>1324</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2016</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818</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row>
    <row r="2389" spans="1:12">
      <c r="A2389" s="20" t="s">
        <v>2017</v>
      </c>
    </row>
    <row r="2390" spans="1:12">
      <c r="A2390" s="20" t="s">
        <v>1281</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1220</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2018</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632</v>
      </c>
      <c r="B2393" s="21" t="s">
        <v>1178</v>
      </c>
      <c r="C2393" s="21" t="s">
        <v>1223</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163</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1661</v>
      </c>
      <c r="B2395" s="21" t="s">
        <v>1194</v>
      </c>
      <c r="C2395" s="21" t="s">
        <v>1238</v>
      </c>
      <c r="D2395" s="21" t="s">
        <v>1180</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1253</v>
      </c>
      <c r="B2396" s="21" t="s">
        <v>1191</v>
      </c>
      <c r="C2396" s="21" t="s">
        <v>1254</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2019</v>
      </c>
      <c r="B2397" s="21" t="s">
        <v>1204</v>
      </c>
      <c r="C2397" s="21" t="s">
        <v>1324</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1224</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1781</v>
      </c>
      <c r="B2399" s="21" t="s">
        <v>1191</v>
      </c>
      <c r="C2399" s="21" t="s">
        <v>1179</v>
      </c>
      <c r="D2399" s="21" t="s">
        <v>1180</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1185</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2020</v>
      </c>
      <c r="B2401" s="21" t="s">
        <v>1240</v>
      </c>
      <c r="C2401" s="21" t="s">
        <v>1179</v>
      </c>
      <c r="D2401" s="21" t="s">
        <v>1180</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1952</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11</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1233</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2021</v>
      </c>
      <c r="B2405" s="21" t="s">
        <v>1191</v>
      </c>
      <c r="C2405" s="21" t="s">
        <v>1184</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818</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row>
    <row r="2408" spans="1:12">
      <c r="A2408" s="20" t="s">
        <v>2022</v>
      </c>
    </row>
    <row r="2409" spans="1:12">
      <c r="A2409" s="20" t="s">
        <v>1245</v>
      </c>
      <c r="B2409" s="21" t="s">
        <v>1304</v>
      </c>
      <c r="C2409" s="21" t="s">
        <v>1238</v>
      </c>
      <c r="D2409" s="21" t="s">
        <v>1180</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1219</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1948</v>
      </c>
      <c r="B2411" s="21" t="s">
        <v>1278</v>
      </c>
      <c r="C2411" s="21" t="s">
        <v>1208</v>
      </c>
      <c r="D2411" s="21" t="s">
        <v>1180</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1785</v>
      </c>
      <c r="B2412" s="21" t="s">
        <v>1207</v>
      </c>
      <c r="C2412" s="21" t="s">
        <v>1210</v>
      </c>
      <c r="D2412" s="21" t="s">
        <v>1180</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2023</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1257</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1185</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1198</v>
      </c>
      <c r="B2416" s="21" t="s">
        <v>1429</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1352</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1218</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2012</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1314</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1433</v>
      </c>
      <c r="B2421" s="21" t="s">
        <v>1207</v>
      </c>
      <c r="C2421" s="21" t="s">
        <v>1254</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2024</v>
      </c>
      <c r="B2422" s="21" t="s">
        <v>1204</v>
      </c>
      <c r="C2422" s="21" t="s">
        <v>1184</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2025</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1185</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1257</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1314</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1537</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1185</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1359</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185</v>
      </c>
      <c r="B2430" s="21" t="s">
        <v>1240</v>
      </c>
      <c r="C2430" s="21" t="s">
        <v>1195</v>
      </c>
      <c r="D2430" s="21" t="s">
        <v>1180</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2013</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2026</v>
      </c>
      <c r="B2432" s="21" t="s">
        <v>1237</v>
      </c>
      <c r="C2432" s="21" t="s">
        <v>1324</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1483</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1185</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1930</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1185</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1359</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1186</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2027</v>
      </c>
      <c r="B2439" s="21" t="s">
        <v>1304</v>
      </c>
      <c r="C2439" s="21" t="s">
        <v>1188</v>
      </c>
      <c r="D2439" s="21" t="s">
        <v>1180</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1189</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2028</v>
      </c>
      <c r="B2441" s="21" t="s">
        <v>1278</v>
      </c>
      <c r="C2441" s="21" t="s">
        <v>1188</v>
      </c>
      <c r="D2441" s="21" t="s">
        <v>1180</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1352</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1424</v>
      </c>
      <c r="B2443" s="21" t="s">
        <v>1207</v>
      </c>
      <c r="C2443" s="21" t="s">
        <v>1184</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1185</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2029</v>
      </c>
      <c r="B2445" s="21" t="s">
        <v>1278</v>
      </c>
      <c r="C2445" s="21" t="s">
        <v>1179</v>
      </c>
      <c r="D2445" s="21" t="s">
        <v>1180</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2030</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1185</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1202</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1785</v>
      </c>
      <c r="B2449" s="21" t="s">
        <v>1306</v>
      </c>
      <c r="C2449" s="21" t="s">
        <v>1188</v>
      </c>
      <c r="D2449" s="21" t="s">
        <v>1180</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1314</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1358</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1733</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1185</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2031</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1186</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1781</v>
      </c>
      <c r="B2456" s="21" t="s">
        <v>1191</v>
      </c>
      <c r="C2456" s="21" t="s">
        <v>1179</v>
      </c>
      <c r="D2456" s="21" t="s">
        <v>1180</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1782</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1661</v>
      </c>
      <c r="B2458" s="21" t="s">
        <v>1240</v>
      </c>
      <c r="C2458" s="21" t="s">
        <v>1238</v>
      </c>
      <c r="D2458" s="21" t="s">
        <v>1180</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2032</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1295</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1513</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1487</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2033</v>
      </c>
      <c r="B2463" s="21" t="s">
        <v>1306</v>
      </c>
      <c r="C2463" s="21" t="s">
        <v>1223</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2034</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818</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row>
    <row r="2467" spans="1:12">
      <c r="A2467" s="20" t="s">
        <v>2035</v>
      </c>
    </row>
    <row r="2468" spans="1:12">
      <c r="A2468" s="20" t="s">
        <v>1600</v>
      </c>
      <c r="B2468" s="21" t="s">
        <v>1194</v>
      </c>
      <c r="C2468" s="21" t="s">
        <v>1195</v>
      </c>
      <c r="D2468" s="21" t="s">
        <v>1180</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2036</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2037</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1487</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2038</v>
      </c>
      <c r="B2472" s="21" t="s">
        <v>1204</v>
      </c>
      <c r="C2472" s="21" t="s">
        <v>1223</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1200</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1198</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1395</v>
      </c>
      <c r="B2475" s="21" t="s">
        <v>1191</v>
      </c>
      <c r="C2475" s="21" t="s">
        <v>1179</v>
      </c>
      <c r="D2475" s="21" t="s">
        <v>1180</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1219</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1295</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2039</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1661</v>
      </c>
      <c r="B2479" s="21" t="s">
        <v>1237</v>
      </c>
      <c r="C2479" s="21" t="s">
        <v>1238</v>
      </c>
      <c r="D2479" s="21" t="s">
        <v>1180</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1185</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1733</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1202</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1785</v>
      </c>
      <c r="B2483" s="21" t="s">
        <v>1306</v>
      </c>
      <c r="C2483" s="21" t="s">
        <v>1188</v>
      </c>
      <c r="D2483" s="21" t="s">
        <v>1180</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1471</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2040</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1549</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1358</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818</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row>
    <row r="2490" spans="1:12">
      <c r="A2490" s="20" t="s">
        <v>2041</v>
      </c>
    </row>
    <row r="2491" spans="1:12">
      <c r="A2491" s="20" t="s">
        <v>1245</v>
      </c>
      <c r="B2491" s="21" t="s">
        <v>1194</v>
      </c>
      <c r="C2491" s="21" t="s">
        <v>1238</v>
      </c>
      <c r="D2491" s="21" t="s">
        <v>1180</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2042</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1495</v>
      </c>
      <c r="B2493" s="21" t="s">
        <v>1240</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1520</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1202</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2043</v>
      </c>
      <c r="B2496" s="21" t="s">
        <v>1191</v>
      </c>
      <c r="C2496" s="21" t="s">
        <v>1188</v>
      </c>
      <c r="D2496" s="21" t="s">
        <v>1180</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1198</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2044</v>
      </c>
      <c r="B2498" s="21" t="s">
        <v>1207</v>
      </c>
      <c r="C2498" s="21" t="s">
        <v>1188</v>
      </c>
      <c r="D2498" s="21" t="s">
        <v>1180</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1520</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1202</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1505</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1491</v>
      </c>
      <c r="B2502" s="21" t="s">
        <v>1278</v>
      </c>
      <c r="C2502" s="21" t="s">
        <v>1188</v>
      </c>
      <c r="D2502" s="21" t="s">
        <v>1180</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1185</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1310</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1186</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2027</v>
      </c>
      <c r="B2506" s="21" t="s">
        <v>1240</v>
      </c>
      <c r="C2506" s="21" t="s">
        <v>1188</v>
      </c>
      <c r="D2506" s="21" t="s">
        <v>1180</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1189</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2045</v>
      </c>
      <c r="B2508" s="21" t="s">
        <v>1207</v>
      </c>
      <c r="C2508" s="21" t="s">
        <v>1188</v>
      </c>
      <c r="D2508" s="21" t="s">
        <v>1180</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1352</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1424</v>
      </c>
      <c r="B2510" s="21" t="s">
        <v>1207</v>
      </c>
      <c r="C2510" s="21" t="s">
        <v>1184</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1322</v>
      </c>
      <c r="B2511" s="21" t="s">
        <v>1207</v>
      </c>
      <c r="C2511" s="21" t="s">
        <v>1238</v>
      </c>
      <c r="D2511" s="21" t="s">
        <v>1180</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2046</v>
      </c>
      <c r="B2512" s="21" t="s">
        <v>1237</v>
      </c>
      <c r="C2512" s="21" t="s">
        <v>1324</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1499</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1271</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1185</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1359</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1186</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1998</v>
      </c>
      <c r="B2518" s="21" t="s">
        <v>1304</v>
      </c>
      <c r="C2518" s="21" t="s">
        <v>1188</v>
      </c>
      <c r="D2518" s="21" t="s">
        <v>1180</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2008</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1970</v>
      </c>
      <c r="B2520" s="21" t="s">
        <v>1207</v>
      </c>
      <c r="C2520" s="21" t="s">
        <v>1324</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2047</v>
      </c>
      <c r="B2521" s="21" t="s">
        <v>1278</v>
      </c>
      <c r="C2521" s="21" t="s">
        <v>1254</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1388</v>
      </c>
      <c r="B2522" s="21" t="s">
        <v>1207</v>
      </c>
      <c r="C2522" s="21" t="s">
        <v>1184</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1972</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670</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1249</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row>
    <row r="2527" spans="1:12">
      <c r="A2527" s="20" t="s">
        <v>2048</v>
      </c>
    </row>
    <row r="2528" spans="1:12">
      <c r="A2528" s="20" t="s">
        <v>1262</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1182</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1211</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1185</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1487</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2049</v>
      </c>
      <c r="B2533" s="21" t="s">
        <v>1191</v>
      </c>
      <c r="C2533" s="21" t="s">
        <v>1223</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1197</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1353</v>
      </c>
      <c r="B2535" s="21" t="s">
        <v>1278</v>
      </c>
      <c r="C2535" s="21" t="s">
        <v>1208</v>
      </c>
      <c r="D2535" s="21" t="s">
        <v>1180</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2050</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154</v>
      </c>
      <c r="B2537" s="21" t="s">
        <v>1207</v>
      </c>
      <c r="C2537" s="21" t="s">
        <v>1210</v>
      </c>
      <c r="D2537" s="21" t="s">
        <v>1180</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1257</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1182</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2051</v>
      </c>
      <c r="B2540" s="21" t="s">
        <v>1194</v>
      </c>
      <c r="C2540" s="21" t="s">
        <v>1283</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1307</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1508</v>
      </c>
      <c r="B2542" s="21" t="s">
        <v>1204</v>
      </c>
      <c r="C2542" s="21" t="s">
        <v>1238</v>
      </c>
      <c r="D2542" s="21" t="s">
        <v>1180</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1186</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2050</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2052</v>
      </c>
      <c r="B2545" s="21" t="s">
        <v>1204</v>
      </c>
      <c r="C2545" s="21" t="s">
        <v>1188</v>
      </c>
      <c r="D2545" s="21" t="s">
        <v>1180</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1381</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453</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1249</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row>
    <row r="2550" spans="1:12">
      <c r="A2550" s="20" t="s">
        <v>2053</v>
      </c>
    </row>
    <row r="2551" spans="1:12">
      <c r="A2551" s="20" t="s">
        <v>1326</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1303</v>
      </c>
      <c r="B2552" s="21" t="s">
        <v>1240</v>
      </c>
      <c r="C2552" s="21" t="s">
        <v>1254</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1450</v>
      </c>
      <c r="B2553" s="21" t="s">
        <v>1237</v>
      </c>
      <c r="C2553" s="21" t="s">
        <v>1238</v>
      </c>
      <c r="D2553" s="21" t="s">
        <v>1180</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2054</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1271</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1185</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1888</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1303</v>
      </c>
      <c r="B2558" s="21" t="s">
        <v>1194</v>
      </c>
      <c r="C2558" s="21" t="s">
        <v>1254</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1218</v>
      </c>
      <c r="B2559" s="21" t="s">
        <v>1204</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1031</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1322</v>
      </c>
      <c r="B2561" s="21" t="s">
        <v>1191</v>
      </c>
      <c r="C2561" s="21" t="s">
        <v>1238</v>
      </c>
      <c r="D2561" s="21" t="s">
        <v>1180</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2055</v>
      </c>
      <c r="B2562" s="21" t="s">
        <v>1204</v>
      </c>
      <c r="C2562" s="21" t="s">
        <v>1324</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292</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818</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row>
    <row r="2566" spans="1:12">
      <c r="A2566" s="20" t="s">
        <v>2056</v>
      </c>
    </row>
    <row r="2567" spans="1:12">
      <c r="A2567" s="20" t="s">
        <v>1245</v>
      </c>
      <c r="B2567" s="21" t="s">
        <v>1194</v>
      </c>
      <c r="C2567" s="21" t="s">
        <v>1238</v>
      </c>
      <c r="D2567" s="21" t="s">
        <v>1180</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1257</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1219</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1290</v>
      </c>
      <c r="B2570" s="21" t="s">
        <v>1191</v>
      </c>
      <c r="C2570" s="21" t="s">
        <v>1208</v>
      </c>
      <c r="D2570" s="21" t="s">
        <v>1180</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2057</v>
      </c>
      <c r="B2571" s="21" t="s">
        <v>1178</v>
      </c>
      <c r="C2571" s="21" t="s">
        <v>1210</v>
      </c>
      <c r="D2571" s="21" t="s">
        <v>1180</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2058</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1249</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row>
    <row r="2575" spans="1:12">
      <c r="A2575" s="20" t="s">
        <v>2059</v>
      </c>
    </row>
    <row r="2576" spans="1:12">
      <c r="A2576" s="20" t="s">
        <v>1287</v>
      </c>
      <c r="B2576" s="21" t="s">
        <v>1178</v>
      </c>
      <c r="C2576" s="21" t="s">
        <v>1195</v>
      </c>
      <c r="D2576" s="21" t="s">
        <v>1180</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1182</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1832</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1503</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1767</v>
      </c>
      <c r="B2580" s="21" t="s">
        <v>1240</v>
      </c>
      <c r="C2580" s="21" t="s">
        <v>1188</v>
      </c>
      <c r="D2580" s="21" t="s">
        <v>1180</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1257</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1182</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row>
    <row r="2584" spans="1:12">
      <c r="A2584" s="20" t="s">
        <v>2060</v>
      </c>
    </row>
    <row r="2585" spans="1:12">
      <c r="A2585" s="20" t="s">
        <v>1405</v>
      </c>
      <c r="B2585" s="21" t="s">
        <v>1194</v>
      </c>
      <c r="C2585" s="21" t="s">
        <v>1195</v>
      </c>
      <c r="D2585" s="21" t="s">
        <v>1180</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2061</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1197</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1563</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1809</v>
      </c>
      <c r="B2589" s="21" t="s">
        <v>1178</v>
      </c>
      <c r="C2589" s="21" t="s">
        <v>1232</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818</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row>
    <row r="2592" spans="1:12">
      <c r="A2592" s="20" t="s">
        <v>1362</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2062</v>
      </c>
    </row>
    <row r="2594" spans="1:12">
      <c r="A2594" s="20" t="s">
        <v>1405</v>
      </c>
      <c r="B2594" s="21" t="s">
        <v>1194</v>
      </c>
      <c r="C2594" s="21" t="s">
        <v>1195</v>
      </c>
      <c r="D2594" s="21" t="s">
        <v>1180</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2063</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1182</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1367</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1419</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57</v>
      </c>
      <c r="B2599" s="21" t="s">
        <v>1240</v>
      </c>
      <c r="C2599" s="21" t="s">
        <v>1195</v>
      </c>
      <c r="D2599" s="21" t="s">
        <v>1180</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1185</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1263</v>
      </c>
      <c r="B2601" s="21" t="s">
        <v>1304</v>
      </c>
      <c r="C2601" s="21" t="s">
        <v>1195</v>
      </c>
      <c r="D2601" s="21" t="s">
        <v>1180</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2064</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1185</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1263</v>
      </c>
      <c r="B2604" s="21" t="s">
        <v>1289</v>
      </c>
      <c r="C2604" s="21" t="s">
        <v>1195</v>
      </c>
      <c r="D2604" s="21" t="s">
        <v>1180</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2065</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1661</v>
      </c>
      <c r="B2606" s="21" t="s">
        <v>1289</v>
      </c>
      <c r="C2606" s="21" t="s">
        <v>1238</v>
      </c>
      <c r="D2606" s="21" t="s">
        <v>1180</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1314</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303</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818</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row>
    <row r="2611" spans="1:12">
      <c r="A2611" s="20" t="s">
        <v>2066</v>
      </c>
    </row>
    <row r="2612" spans="1:12">
      <c r="A2612" s="20" t="s">
        <v>1794</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2067</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1263</v>
      </c>
      <c r="B2614" s="21" t="s">
        <v>1194</v>
      </c>
      <c r="C2614" s="21" t="s">
        <v>1195</v>
      </c>
      <c r="D2614" s="21" t="s">
        <v>1180</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2068</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2069</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818</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row>
    <row r="2619" spans="1:12">
      <c r="A2619" s="20" t="s">
        <v>2070</v>
      </c>
    </row>
    <row r="2620" spans="1:12">
      <c r="A2620" s="20" t="s">
        <v>1357</v>
      </c>
      <c r="B2620" s="21" t="s">
        <v>1194</v>
      </c>
      <c r="C2620" s="21" t="s">
        <v>1238</v>
      </c>
      <c r="D2620" s="21" t="s">
        <v>1180</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478</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1661</v>
      </c>
      <c r="B2622" s="21" t="s">
        <v>1204</v>
      </c>
      <c r="C2622" s="21" t="s">
        <v>1238</v>
      </c>
      <c r="D2622" s="21" t="s">
        <v>1180</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2071</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1185</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185</v>
      </c>
      <c r="B2625" s="21" t="s">
        <v>1240</v>
      </c>
      <c r="C2625" s="21" t="s">
        <v>1195</v>
      </c>
      <c r="D2625" s="21" t="s">
        <v>1180</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1257</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1314</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1248</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1834</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818</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row>
    <row r="2632" spans="1:12">
      <c r="A2632" s="20" t="s">
        <v>1362</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2072</v>
      </c>
    </row>
    <row r="2634" spans="1:12">
      <c r="A2634" s="20" t="s">
        <v>1576</v>
      </c>
      <c r="B2634" s="21" t="s">
        <v>1191</v>
      </c>
      <c r="C2634" s="21" t="s">
        <v>1208</v>
      </c>
      <c r="D2634" s="21" t="s">
        <v>1180</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1695</v>
      </c>
      <c r="B2635" s="21" t="s">
        <v>1194</v>
      </c>
      <c r="C2635" s="21" t="s">
        <v>1210</v>
      </c>
      <c r="D2635" s="21" t="s">
        <v>1180</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670</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2073</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1495</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2074</v>
      </c>
      <c r="B2639" s="21" t="s">
        <v>1194</v>
      </c>
      <c r="C2639" s="21" t="s">
        <v>1188</v>
      </c>
      <c r="D2639" s="21" t="s">
        <v>1180</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130</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818</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1367</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row>
    <row r="2644" spans="1:12">
      <c r="A2644" s="20" t="s">
        <v>2075</v>
      </c>
    </row>
    <row r="2645" spans="1:12">
      <c r="A2645" s="20" t="s">
        <v>2076</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1809</v>
      </c>
      <c r="B2646" s="21" t="s">
        <v>1194</v>
      </c>
      <c r="C2646" s="21" t="s">
        <v>1232</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1334</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1834</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1185</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1655</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2077</v>
      </c>
      <c r="B2651" s="21" t="s">
        <v>1240</v>
      </c>
      <c r="C2651" s="21" t="s">
        <v>1195</v>
      </c>
      <c r="D2651" s="21" t="s">
        <v>1180</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1549</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2078</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1185</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1622</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2077</v>
      </c>
      <c r="B2656" s="21" t="s">
        <v>1237</v>
      </c>
      <c r="C2656" s="21" t="s">
        <v>1195</v>
      </c>
      <c r="D2656" s="21" t="s">
        <v>1180</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1661</v>
      </c>
      <c r="B2657" s="21" t="s">
        <v>1240</v>
      </c>
      <c r="C2657" s="21" t="s">
        <v>1238</v>
      </c>
      <c r="D2657" s="21" t="s">
        <v>1180</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303</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2079</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818</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row>
    <row r="2662" spans="1:12">
      <c r="A2662" s="20" t="s">
        <v>2080</v>
      </c>
    </row>
    <row r="2663" spans="1:12">
      <c r="A2663" s="20" t="s">
        <v>2081</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2082</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1257</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185</v>
      </c>
      <c r="B2666" s="21" t="s">
        <v>1194</v>
      </c>
      <c r="C2666" s="21" t="s">
        <v>1195</v>
      </c>
      <c r="D2666" s="21" t="s">
        <v>1180</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1595</v>
      </c>
      <c r="B2667" s="21" t="s">
        <v>1178</v>
      </c>
      <c r="C2667" s="21" t="s">
        <v>1184</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2083</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2084</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2085</v>
      </c>
      <c r="B2670" s="21" t="s">
        <v>1178</v>
      </c>
      <c r="C2670" s="21" t="s">
        <v>1184</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1185</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1314</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1537</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1224</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1821</v>
      </c>
      <c r="B2675" s="21" t="s">
        <v>1178</v>
      </c>
      <c r="C2675" s="21" t="s">
        <v>1179</v>
      </c>
      <c r="D2675" s="21" t="s">
        <v>1180</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1185</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1930</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1031</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1224</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2086</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1348</v>
      </c>
      <c r="B2681" s="21" t="s">
        <v>1178</v>
      </c>
      <c r="C2681" s="21" t="s">
        <v>1184</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1295</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1224</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2087</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1348</v>
      </c>
      <c r="B2685" s="21" t="s">
        <v>1191</v>
      </c>
      <c r="C2685" s="21" t="s">
        <v>1184</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1224</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1198</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1383</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1329</v>
      </c>
      <c r="B2689" s="21" t="s">
        <v>1207</v>
      </c>
      <c r="C2689" s="21" t="s">
        <v>1188</v>
      </c>
      <c r="D2689" s="21" t="s">
        <v>1180</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818</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row>
    <row r="2692" spans="1:12">
      <c r="A2692" s="20" t="s">
        <v>2088</v>
      </c>
    </row>
    <row r="2693" spans="1:12">
      <c r="A2693" s="20" t="s">
        <v>1695</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1317</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1224</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1198</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2089</v>
      </c>
      <c r="B2697" s="21" t="s">
        <v>1178</v>
      </c>
      <c r="C2697" s="21" t="s">
        <v>1188</v>
      </c>
      <c r="D2697" s="21" t="s">
        <v>1180</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366</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1185</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1276</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2090</v>
      </c>
      <c r="B2701" s="21" t="s">
        <v>1237</v>
      </c>
      <c r="C2701" s="21" t="s">
        <v>1223</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1224</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1186</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2091</v>
      </c>
      <c r="B2704" s="21" t="s">
        <v>1191</v>
      </c>
      <c r="C2704" s="21" t="s">
        <v>1188</v>
      </c>
      <c r="D2704" s="21" t="s">
        <v>1180</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1330</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2092</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1295</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2006</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2093</v>
      </c>
      <c r="B2709" s="21" t="s">
        <v>1237</v>
      </c>
      <c r="C2709" s="21" t="s">
        <v>1232</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2094</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2095</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row>
    <row r="2713" spans="1:12">
      <c r="A2713" s="20" t="s">
        <v>2096</v>
      </c>
    </row>
    <row r="2714" spans="1:12">
      <c r="A2714" s="20" t="s">
        <v>1402</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2097</v>
      </c>
      <c r="B2715" s="21" t="s">
        <v>1204</v>
      </c>
      <c r="C2715" s="21" t="s">
        <v>1232</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1487</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2098</v>
      </c>
      <c r="B2717" s="21" t="s">
        <v>1204</v>
      </c>
      <c r="C2717" s="21" t="s">
        <v>1223</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1330</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495</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2095</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row>
    <row r="2722" spans="1:12">
      <c r="A2722" s="20" t="s">
        <v>2099</v>
      </c>
    </row>
    <row r="2723" spans="1:12">
      <c r="A2723" s="20" t="s">
        <v>1695</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1317</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1224</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1198</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2089</v>
      </c>
      <c r="B2727" s="21" t="s">
        <v>1178</v>
      </c>
      <c r="C2727" s="21" t="s">
        <v>1188</v>
      </c>
      <c r="D2727" s="21" t="s">
        <v>1180</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366</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1185</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2100</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1265</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2101</v>
      </c>
      <c r="B2732" s="21" t="s">
        <v>1237</v>
      </c>
      <c r="C2732" s="21" t="s">
        <v>1223</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1330</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506</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2095</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row>
    <row r="2737" spans="1:12">
      <c r="A2737" s="20" t="s">
        <v>2102</v>
      </c>
    </row>
    <row r="2738" spans="1:12">
      <c r="A2738" s="20" t="s">
        <v>1661</v>
      </c>
      <c r="B2738" s="21" t="s">
        <v>1194</v>
      </c>
      <c r="C2738" s="21" t="s">
        <v>1238</v>
      </c>
      <c r="D2738" s="21" t="s">
        <v>1180</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1317</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1293</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1260</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2103</v>
      </c>
      <c r="B2742" s="21" t="s">
        <v>1178</v>
      </c>
      <c r="C2742" s="21" t="s">
        <v>1188</v>
      </c>
      <c r="D2742" s="21" t="s">
        <v>1180</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502</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1523</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2095</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row>
    <row r="2747" spans="1:12">
      <c r="A2747" s="20" t="s">
        <v>2104</v>
      </c>
    </row>
    <row r="2748" spans="1:12">
      <c r="A2748" s="20" t="s">
        <v>1661</v>
      </c>
      <c r="B2748" s="21" t="s">
        <v>1194</v>
      </c>
      <c r="C2748" s="21" t="s">
        <v>1238</v>
      </c>
      <c r="D2748" s="21" t="s">
        <v>1180</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1317</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1218</v>
      </c>
      <c r="B2750" s="21" t="s">
        <v>1204</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1265</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2105</v>
      </c>
      <c r="B2752" s="21" t="s">
        <v>1194</v>
      </c>
      <c r="C2752" s="21" t="s">
        <v>1223</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506</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1523</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1185</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1452</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1218</v>
      </c>
      <c r="B2757" s="21" t="s">
        <v>1237</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142</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1330</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1437</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1185</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1302</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1353</v>
      </c>
      <c r="B2763" s="21" t="s">
        <v>1278</v>
      </c>
      <c r="C2763" s="21" t="s">
        <v>1208</v>
      </c>
      <c r="D2763" s="21" t="s">
        <v>1180</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2106</v>
      </c>
      <c r="B2764" s="21" t="s">
        <v>1304</v>
      </c>
      <c r="C2764" s="21" t="s">
        <v>1210</v>
      </c>
      <c r="D2764" s="21" t="s">
        <v>1180</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1352</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1487</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2107</v>
      </c>
      <c r="B2767" s="21" t="s">
        <v>1207</v>
      </c>
      <c r="C2767" s="21" t="s">
        <v>1223</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1198</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1338</v>
      </c>
      <c r="B2769" s="21" t="s">
        <v>1278</v>
      </c>
      <c r="C2769" s="21" t="s">
        <v>1188</v>
      </c>
      <c r="D2769" s="21" t="s">
        <v>1180</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2108</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670</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1185</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2109</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1314</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2110</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2111</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1338</v>
      </c>
      <c r="B2777" s="21" t="s">
        <v>1207</v>
      </c>
      <c r="C2777" s="21" t="s">
        <v>1232</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1185</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2112</v>
      </c>
      <c r="B2779" s="21" t="s">
        <v>1278</v>
      </c>
      <c r="C2779" s="21" t="s">
        <v>1184</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1224</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1198</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1187</v>
      </c>
      <c r="B2782" s="21" t="s">
        <v>1291</v>
      </c>
      <c r="C2782" s="21" t="s">
        <v>1188</v>
      </c>
      <c r="D2782" s="21" t="s">
        <v>1180</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1185</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1302</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1661</v>
      </c>
      <c r="B2785" s="21" t="s">
        <v>1429</v>
      </c>
      <c r="C2785" s="21" t="s">
        <v>1238</v>
      </c>
      <c r="D2785" s="21" t="s">
        <v>1180</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2113</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670</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1185</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1295</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1302</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1661</v>
      </c>
      <c r="B2791" s="21" t="s">
        <v>1429</v>
      </c>
      <c r="C2791" s="21" t="s">
        <v>1238</v>
      </c>
      <c r="D2791" s="21" t="s">
        <v>1180</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1563</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2114</v>
      </c>
      <c r="B2793" s="21" t="s">
        <v>1430</v>
      </c>
      <c r="C2793" s="21" t="s">
        <v>1232</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2115</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818</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row>
    <row r="2797" spans="1:12">
      <c r="A2797" s="20" t="s">
        <v>2116</v>
      </c>
    </row>
    <row r="2798" spans="1:12">
      <c r="A2798" s="20" t="s">
        <v>1357</v>
      </c>
      <c r="B2798" s="21" t="s">
        <v>1194</v>
      </c>
      <c r="C2798" s="21" t="s">
        <v>1238</v>
      </c>
      <c r="D2798" s="21" t="s">
        <v>1180</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163</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1265</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2117</v>
      </c>
      <c r="B2801" s="21" t="s">
        <v>1204</v>
      </c>
      <c r="C2801" s="21" t="s">
        <v>1223</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1197</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1876</v>
      </c>
      <c r="B2803" s="21" t="s">
        <v>1191</v>
      </c>
      <c r="C2803" s="21" t="s">
        <v>1184</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818</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row>
    <row r="2806" spans="1:12">
      <c r="A2806" s="20" t="s">
        <v>2118</v>
      </c>
    </row>
    <row r="2807" spans="1:12">
      <c r="A2807" s="20" t="s">
        <v>1398</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1606</v>
      </c>
      <c r="B2808" s="21" t="s">
        <v>1178</v>
      </c>
      <c r="C2808" s="21" t="s">
        <v>1184</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1352</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1276</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2119</v>
      </c>
      <c r="B2811" s="21" t="s">
        <v>1191</v>
      </c>
      <c r="C2811" s="21" t="s">
        <v>1223</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513</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427</v>
      </c>
      <c r="B2813" s="21" t="s">
        <v>1194</v>
      </c>
      <c r="C2813" s="21" t="s">
        <v>1238</v>
      </c>
      <c r="D2813" s="21" t="s">
        <v>1180</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1276</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2120</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2121</v>
      </c>
      <c r="B2816" s="21" t="s">
        <v>1237</v>
      </c>
      <c r="C2816" s="21" t="s">
        <v>1223</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1371</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1487</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1337</v>
      </c>
      <c r="B2819" s="21" t="s">
        <v>1237</v>
      </c>
      <c r="C2819" s="21" t="s">
        <v>1223</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1200</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2121</v>
      </c>
      <c r="B2821" s="21" t="s">
        <v>1191</v>
      </c>
      <c r="C2821" s="21" t="s">
        <v>1184</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2122</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1265</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2123</v>
      </c>
      <c r="B2824" s="21" t="s">
        <v>1191</v>
      </c>
      <c r="C2824" s="21" t="s">
        <v>1223</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1185</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1655</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427</v>
      </c>
      <c r="B2827" s="21" t="s">
        <v>1240</v>
      </c>
      <c r="C2827" s="21" t="s">
        <v>1238</v>
      </c>
      <c r="D2827" s="21" t="s">
        <v>1180</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2124</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1185</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1359</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2125</v>
      </c>
      <c r="B2831" s="21" t="s">
        <v>1306</v>
      </c>
      <c r="C2831" s="21" t="s">
        <v>1238</v>
      </c>
      <c r="D2831" s="21" t="s">
        <v>1180</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1330</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474</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1185</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2126</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2127</v>
      </c>
      <c r="B2836" s="21" t="s">
        <v>1207</v>
      </c>
      <c r="C2836" s="21" t="s">
        <v>1232</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1185</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1310</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185</v>
      </c>
      <c r="B2839" s="21" t="s">
        <v>1429</v>
      </c>
      <c r="C2839" s="21" t="s">
        <v>1195</v>
      </c>
      <c r="D2839" s="21" t="s">
        <v>1180</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1513</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1186</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2128</v>
      </c>
      <c r="B2842" s="21" t="s">
        <v>1291</v>
      </c>
      <c r="C2842" s="21" t="s">
        <v>1188</v>
      </c>
      <c r="D2842" s="21" t="s">
        <v>1180</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2129</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2130</v>
      </c>
      <c r="B2844" s="21" t="s">
        <v>1492</v>
      </c>
      <c r="C2844" s="21" t="s">
        <v>1184</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1185</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1224</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1260</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1445</v>
      </c>
      <c r="B2848" s="21" t="s">
        <v>1493</v>
      </c>
      <c r="C2848" s="21" t="s">
        <v>1188</v>
      </c>
      <c r="D2848" s="21" t="s">
        <v>1180</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1295</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1452</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2044</v>
      </c>
      <c r="B2851" s="21" t="s">
        <v>1344</v>
      </c>
      <c r="C2851" s="21" t="s">
        <v>1184</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1631</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1185</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2068</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1487</v>
      </c>
      <c r="B2855" s="21" t="s">
        <v>1429</v>
      </c>
      <c r="C2855" s="21" t="s">
        <v>1238</v>
      </c>
      <c r="D2855" s="21" t="s">
        <v>1180</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1330</v>
      </c>
      <c r="B2856" s="21" t="s">
        <v>1492</v>
      </c>
      <c r="C2856" s="21" t="s">
        <v>1254</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1812</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2131</v>
      </c>
      <c r="B2858" s="21" t="s">
        <v>1291</v>
      </c>
      <c r="C2858" s="21" t="s">
        <v>1184</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2132</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1185</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1420</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1359</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427</v>
      </c>
      <c r="B2863" s="21" t="s">
        <v>1912</v>
      </c>
      <c r="C2863" s="21" t="s">
        <v>1238</v>
      </c>
      <c r="D2863" s="21" t="s">
        <v>1180</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1311</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2133</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2134</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818</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row>
    <row r="2869" spans="1:12">
      <c r="A2869" s="20" t="s">
        <v>2135</v>
      </c>
    </row>
    <row r="2870" spans="1:12">
      <c r="A2870" s="20" t="s">
        <v>1262</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1182</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2136</v>
      </c>
      <c r="B2872" s="21" t="s">
        <v>1191</v>
      </c>
      <c r="C2872" s="21" t="s">
        <v>1254</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1695</v>
      </c>
      <c r="B2873" s="21" t="s">
        <v>1194</v>
      </c>
      <c r="C2873" s="21" t="s">
        <v>1324</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1334</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1520</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1495</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1185</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1236</v>
      </c>
      <c r="B2878" s="21" t="s">
        <v>1306</v>
      </c>
      <c r="C2878" s="21" t="s">
        <v>1238</v>
      </c>
      <c r="D2878" s="21" t="s">
        <v>1180</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57</v>
      </c>
      <c r="B2879" s="21" t="s">
        <v>1304</v>
      </c>
      <c r="C2879" s="21" t="s">
        <v>1238</v>
      </c>
      <c r="D2879" s="21" t="s">
        <v>1180</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1436</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1392</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1185</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2137</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818</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row>
    <row r="2886" spans="1:12">
      <c r="A2886" s="20" t="s">
        <v>1362</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2138</v>
      </c>
    </row>
    <row r="2888" spans="1:12">
      <c r="A2888" s="20" t="s">
        <v>1193</v>
      </c>
      <c r="B2888" s="21" t="s">
        <v>1194</v>
      </c>
      <c r="C2888" s="21" t="s">
        <v>1195</v>
      </c>
      <c r="D2888" s="21" t="s">
        <v>1180</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1264</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2139</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1265</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2140</v>
      </c>
      <c r="B2892" s="21" t="s">
        <v>1204</v>
      </c>
      <c r="C2892" s="21" t="s">
        <v>1223</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1200</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2141</v>
      </c>
      <c r="B2894" s="21" t="s">
        <v>1191</v>
      </c>
      <c r="C2894" s="21" t="s">
        <v>1179</v>
      </c>
      <c r="D2894" s="21" t="s">
        <v>1180</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2142</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1979</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1185</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1198</v>
      </c>
      <c r="B2898" s="21" t="s">
        <v>1304</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1915</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1182</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1367</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2143</v>
      </c>
      <c r="B2902" s="21" t="s">
        <v>1240</v>
      </c>
      <c r="C2902" s="21" t="s">
        <v>1179</v>
      </c>
      <c r="D2902" s="21" t="s">
        <v>1180</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2144</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1587</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1265</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2145</v>
      </c>
      <c r="B2906" s="21" t="s">
        <v>1178</v>
      </c>
      <c r="C2906" s="21" t="s">
        <v>1223</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818</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row>
    <row r="2909" spans="1:12">
      <c r="A2909" s="20" t="s">
        <v>1362</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2146</v>
      </c>
    </row>
    <row r="2911" spans="1:12">
      <c r="A2911" s="20" t="s">
        <v>42</v>
      </c>
      <c r="B2911" s="21" t="s">
        <v>1194</v>
      </c>
      <c r="C2911" s="21" t="s">
        <v>1179</v>
      </c>
      <c r="D2911" s="21" t="s">
        <v>1180</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1212</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1257</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1198</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2147</v>
      </c>
      <c r="B2915" s="21" t="s">
        <v>1178</v>
      </c>
      <c r="C2915" s="21" t="s">
        <v>1188</v>
      </c>
      <c r="D2915" s="21" t="s">
        <v>1180</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1185</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1198</v>
      </c>
      <c r="B2917" s="21" t="s">
        <v>1240</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1260</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2148</v>
      </c>
      <c r="B2919" s="21" t="s">
        <v>1237</v>
      </c>
      <c r="C2919" s="21" t="s">
        <v>1188</v>
      </c>
      <c r="D2919" s="21" t="s">
        <v>1180</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1202</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2149</v>
      </c>
      <c r="B2921" s="21" t="s">
        <v>1237</v>
      </c>
      <c r="C2921" s="21" t="s">
        <v>1188</v>
      </c>
      <c r="D2921" s="21" t="s">
        <v>1180</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2150</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1271</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818</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1367</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row>
    <row r="2927" spans="1:12">
      <c r="A2927" s="20" t="s">
        <v>2151</v>
      </c>
    </row>
    <row r="2928" spans="1:12">
      <c r="A2928" s="20" t="s">
        <v>1227</v>
      </c>
      <c r="B2928" s="21" t="s">
        <v>1194</v>
      </c>
      <c r="C2928" s="21" t="s">
        <v>1195</v>
      </c>
      <c r="D2928" s="21" t="s">
        <v>1180</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2152</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1185</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57</v>
      </c>
      <c r="B2931" s="21" t="s">
        <v>1240</v>
      </c>
      <c r="C2931" s="21" t="s">
        <v>1195</v>
      </c>
      <c r="D2931" s="21" t="s">
        <v>1180</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2153</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1276</v>
      </c>
      <c r="B2933" s="21" t="s">
        <v>1237</v>
      </c>
      <c r="C2933" s="21" t="s">
        <v>1254</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1198</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2154</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2155</v>
      </c>
      <c r="B2936" s="21" t="s">
        <v>1237</v>
      </c>
      <c r="C2936" s="21" t="s">
        <v>1188</v>
      </c>
      <c r="D2936" s="21" t="s">
        <v>1180</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1189</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2156</v>
      </c>
      <c r="B2938" s="21" t="s">
        <v>1207</v>
      </c>
      <c r="C2938" s="21" t="s">
        <v>1188</v>
      </c>
      <c r="D2938" s="21" t="s">
        <v>1180</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1224</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1198</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1672</v>
      </c>
      <c r="B2941" s="21" t="s">
        <v>1278</v>
      </c>
      <c r="C2941" s="21" t="s">
        <v>1179</v>
      </c>
      <c r="D2941" s="21" t="s">
        <v>1180</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11</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1384</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2157</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818</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row>
    <row r="2947" spans="1:12">
      <c r="A2947" s="20" t="s">
        <v>2158</v>
      </c>
    </row>
    <row r="2948" spans="1:12">
      <c r="A2948" s="20" t="s">
        <v>1245</v>
      </c>
      <c r="B2948" s="21" t="s">
        <v>1204</v>
      </c>
      <c r="C2948" s="21" t="s">
        <v>1238</v>
      </c>
      <c r="D2948" s="21" t="s">
        <v>1180</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1285</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57</v>
      </c>
      <c r="B2950" s="21" t="s">
        <v>1194</v>
      </c>
      <c r="C2950" s="21" t="s">
        <v>1195</v>
      </c>
      <c r="D2950" s="21" t="s">
        <v>1180</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2159</v>
      </c>
      <c r="B2951" s="21" t="s">
        <v>1237</v>
      </c>
      <c r="C2951" s="21" t="s">
        <v>1184</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2160</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1185</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1186</v>
      </c>
      <c r="B2954" s="21" t="s">
        <v>1240</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1495</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215</v>
      </c>
      <c r="B2956" s="21" t="s">
        <v>1178</v>
      </c>
      <c r="C2956" s="21" t="s">
        <v>1210</v>
      </c>
      <c r="D2956" s="21" t="s">
        <v>1180</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1249</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row>
    <row r="2959" spans="1:12">
      <c r="A2959" s="20" t="s">
        <v>2161</v>
      </c>
    </row>
    <row r="2960" spans="1:12">
      <c r="A2960" s="20" t="s">
        <v>1287</v>
      </c>
      <c r="B2960" s="21" t="s">
        <v>1194</v>
      </c>
      <c r="C2960" s="21" t="s">
        <v>1179</v>
      </c>
      <c r="D2960" s="21" t="s">
        <v>1180</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1182</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2141</v>
      </c>
      <c r="B2962" s="21" t="s">
        <v>1191</v>
      </c>
      <c r="C2962" s="21" t="s">
        <v>1179</v>
      </c>
      <c r="D2962" s="21" t="s">
        <v>1180</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2142</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1257</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1487</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2162</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1871</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2163</v>
      </c>
      <c r="B2968" s="21" t="s">
        <v>1178</v>
      </c>
      <c r="C2968" s="21" t="s">
        <v>1223</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818</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row>
    <row r="2971" spans="1:12">
      <c r="A2971" s="20" t="s">
        <v>2164</v>
      </c>
    </row>
    <row r="2972" spans="1:12">
      <c r="A2972" s="20" t="s">
        <v>1214</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2165</v>
      </c>
      <c r="B2973" s="21" t="s">
        <v>1178</v>
      </c>
      <c r="C2973" s="21" t="s">
        <v>1184</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1216</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2166</v>
      </c>
      <c r="B2975" s="21" t="s">
        <v>1178</v>
      </c>
      <c r="C2975" s="21" t="s">
        <v>1184</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818</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row>
    <row r="2978" spans="1:12">
      <c r="A2978" s="20" t="s">
        <v>2167</v>
      </c>
    </row>
    <row r="2979" spans="1:12">
      <c r="A2979" s="20" t="s">
        <v>1256</v>
      </c>
      <c r="B2979" s="21" t="s">
        <v>1240</v>
      </c>
      <c r="C2979" s="21" t="s">
        <v>1195</v>
      </c>
      <c r="D2979" s="21" t="s">
        <v>1180</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1257</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2168</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1185</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1655</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2169</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1185</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1420</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2143</v>
      </c>
      <c r="B2987" s="21" t="s">
        <v>1304</v>
      </c>
      <c r="C2987" s="21" t="s">
        <v>1179</v>
      </c>
      <c r="D2987" s="21" t="s">
        <v>1180</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2144</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1644</v>
      </c>
      <c r="B2989" s="21" t="s">
        <v>1306</v>
      </c>
      <c r="C2989" s="21" t="s">
        <v>1254</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2170</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2171</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2172</v>
      </c>
      <c r="B2992" s="21" t="s">
        <v>1278</v>
      </c>
      <c r="C2992" s="21" t="s">
        <v>1232</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2173</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1185</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1915</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2141</v>
      </c>
      <c r="B2996" s="21" t="s">
        <v>1194</v>
      </c>
      <c r="C2996" s="21" t="s">
        <v>1179</v>
      </c>
      <c r="D2996" s="21" t="s">
        <v>1180</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2142</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1185</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1359</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2174</v>
      </c>
      <c r="B3000" s="21" t="s">
        <v>1240</v>
      </c>
      <c r="C3000" s="21" t="s">
        <v>1195</v>
      </c>
      <c r="D3000" s="21" t="s">
        <v>1180</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1495</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2175</v>
      </c>
      <c r="B3002" s="21" t="s">
        <v>1237</v>
      </c>
      <c r="C3002" s="21" t="s">
        <v>1188</v>
      </c>
      <c r="D3002" s="21" t="s">
        <v>1180</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1352</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2176</v>
      </c>
      <c r="B3004" s="21" t="s">
        <v>1191</v>
      </c>
      <c r="C3004" s="21" t="s">
        <v>1184</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1224</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2177</v>
      </c>
      <c r="B3006" s="21" t="s">
        <v>1278</v>
      </c>
      <c r="C3006" s="21" t="s">
        <v>1254</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1329</v>
      </c>
      <c r="B3007" s="21" t="s">
        <v>1207</v>
      </c>
      <c r="C3007" s="21" t="s">
        <v>1324</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2178</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1185</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1198</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2179</v>
      </c>
      <c r="B3011" s="21" t="s">
        <v>1304</v>
      </c>
      <c r="C3011" s="21" t="s">
        <v>1188</v>
      </c>
      <c r="D3011" s="21" t="s">
        <v>1180</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1365</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1224</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2180</v>
      </c>
      <c r="B3014" s="21" t="s">
        <v>1207</v>
      </c>
      <c r="C3014" s="21" t="s">
        <v>1184</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2181</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1295</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1186</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2182</v>
      </c>
      <c r="B3018" s="21" t="s">
        <v>1240</v>
      </c>
      <c r="C3018" s="21" t="s">
        <v>1188</v>
      </c>
      <c r="D3018" s="21" t="s">
        <v>1180</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1922</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2183</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1185</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1295</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2184</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2042</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2174</v>
      </c>
      <c r="B3025" s="21" t="s">
        <v>1240</v>
      </c>
      <c r="C3025" s="21" t="s">
        <v>1195</v>
      </c>
      <c r="D3025" s="21" t="s">
        <v>1180</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1185</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1495</v>
      </c>
      <c r="B3027" s="21" t="s">
        <v>1304</v>
      </c>
      <c r="C3027" s="21" t="s">
        <v>1208</v>
      </c>
      <c r="D3027" s="21" t="s">
        <v>1180</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1257</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1265</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2145</v>
      </c>
      <c r="B3030" s="21" t="s">
        <v>1191</v>
      </c>
      <c r="C3030" s="21" t="s">
        <v>1223</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818</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row>
    <row r="3033" spans="1:12">
      <c r="A3033" s="20" t="s">
        <v>2185</v>
      </c>
    </row>
    <row r="3034" spans="1:12">
      <c r="A3034" s="20" t="s">
        <v>1357</v>
      </c>
      <c r="B3034" s="21" t="s">
        <v>1194</v>
      </c>
      <c r="C3034" s="21" t="s">
        <v>1238</v>
      </c>
      <c r="D3034" s="21" t="s">
        <v>1180</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1317</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2186</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2187</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366</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1242</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2188</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2189</v>
      </c>
      <c r="B3041" s="21" t="s">
        <v>1191</v>
      </c>
      <c r="C3041" s="21" t="s">
        <v>1184</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1200</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2190</v>
      </c>
      <c r="B3043" s="21" t="s">
        <v>1278</v>
      </c>
      <c r="C3043" s="21" t="s">
        <v>1254</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2191</v>
      </c>
      <c r="B3044" s="21" t="s">
        <v>1207</v>
      </c>
      <c r="C3044" s="21" t="s">
        <v>1208</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1185</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1236</v>
      </c>
      <c r="B3046" s="21" t="s">
        <v>1429</v>
      </c>
      <c r="C3046" s="21" t="s">
        <v>1238</v>
      </c>
      <c r="D3046" s="21" t="s">
        <v>1180</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1202</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1554</v>
      </c>
      <c r="B3048" s="21" t="s">
        <v>1430</v>
      </c>
      <c r="C3048" s="21" t="s">
        <v>1188</v>
      </c>
      <c r="D3048" s="21" t="s">
        <v>1180</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1352</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1186</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1524</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1525</v>
      </c>
      <c r="B3052" s="21" t="s">
        <v>1291</v>
      </c>
      <c r="C3052" s="21" t="s">
        <v>1188</v>
      </c>
      <c r="D3052" s="21" t="s">
        <v>1180</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2192</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818</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row>
    <row r="3056" spans="1:12">
      <c r="A3056" s="20" t="s">
        <v>2193</v>
      </c>
    </row>
    <row r="3057" spans="1:12">
      <c r="A3057" s="20" t="s">
        <v>1309</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2194</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1185</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1353</v>
      </c>
      <c r="B3060" s="21" t="s">
        <v>1207</v>
      </c>
      <c r="C3060" s="21" t="s">
        <v>1208</v>
      </c>
      <c r="D3060" s="21" t="s">
        <v>1180</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1695</v>
      </c>
      <c r="B3061" s="21" t="s">
        <v>1240</v>
      </c>
      <c r="C3061" s="21" t="s">
        <v>1210</v>
      </c>
      <c r="D3061" s="21" t="s">
        <v>1180</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968</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1185</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1236</v>
      </c>
      <c r="B3064" s="21" t="s">
        <v>1304</v>
      </c>
      <c r="C3064" s="21" t="s">
        <v>1238</v>
      </c>
      <c r="D3064" s="21" t="s">
        <v>1180</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1661</v>
      </c>
      <c r="B3065" s="21" t="s">
        <v>1306</v>
      </c>
      <c r="C3065" s="21" t="s">
        <v>1238</v>
      </c>
      <c r="D3065" s="21" t="s">
        <v>1180</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96</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818</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row>
    <row r="3069" spans="1:12">
      <c r="A3069" s="20" t="s">
        <v>2195</v>
      </c>
    </row>
    <row r="3070" spans="1:12">
      <c r="A3070" s="20" t="s">
        <v>1193</v>
      </c>
      <c r="B3070" s="21" t="s">
        <v>1194</v>
      </c>
      <c r="C3070" s="21" t="s">
        <v>1195</v>
      </c>
      <c r="D3070" s="21" t="s">
        <v>1180</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1365</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556</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1185</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1359</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1661</v>
      </c>
      <c r="B3075" s="21" t="s">
        <v>1240</v>
      </c>
      <c r="C3075" s="21" t="s">
        <v>1238</v>
      </c>
      <c r="D3075" s="21" t="s">
        <v>1180</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1487</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2196</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2197</v>
      </c>
      <c r="B3078" s="21" t="s">
        <v>1237</v>
      </c>
      <c r="C3078" s="21" t="s">
        <v>1223</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1197</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1186</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1524</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1525</v>
      </c>
      <c r="B3082" s="21" t="s">
        <v>1191</v>
      </c>
      <c r="C3082" s="21" t="s">
        <v>1188</v>
      </c>
      <c r="D3082" s="21" t="s">
        <v>1180</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163</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818</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row>
    <row r="3086" spans="1:12">
      <c r="A3086" s="20" t="s">
        <v>2198</v>
      </c>
    </row>
    <row r="3087" spans="1:12">
      <c r="A3087" s="20" t="s">
        <v>1545</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2199</v>
      </c>
      <c r="B3088" s="21" t="s">
        <v>1194</v>
      </c>
      <c r="C3088" s="21" t="s">
        <v>1188</v>
      </c>
      <c r="D3088" s="21" t="s">
        <v>1180</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1200</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2159</v>
      </c>
      <c r="B3090" s="21" t="s">
        <v>1191</v>
      </c>
      <c r="C3090" s="21" t="s">
        <v>1184</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1302</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2141</v>
      </c>
      <c r="B3092" s="21" t="s">
        <v>1207</v>
      </c>
      <c r="C3092" s="21" t="s">
        <v>1179</v>
      </c>
      <c r="D3092" s="21" t="s">
        <v>1180</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2142</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560</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1314</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1330</v>
      </c>
      <c r="B3096" s="21" t="s">
        <v>1191</v>
      </c>
      <c r="C3096" s="21" t="s">
        <v>1254</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1198</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1525</v>
      </c>
      <c r="B3098" s="21" t="s">
        <v>1178</v>
      </c>
      <c r="C3098" s="21" t="s">
        <v>1188</v>
      </c>
      <c r="D3098" s="21" t="s">
        <v>1180</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1198</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2200</v>
      </c>
      <c r="B3100" s="21" t="s">
        <v>1191</v>
      </c>
      <c r="C3100" s="21" t="s">
        <v>1188</v>
      </c>
      <c r="D3100" s="21" t="s">
        <v>1180</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1242</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818</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row>
    <row r="3104" spans="1:12">
      <c r="A3104" s="20" t="s">
        <v>2201</v>
      </c>
    </row>
    <row r="3105" spans="1:12">
      <c r="A3105" s="20" t="s">
        <v>1313</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2202</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2203</v>
      </c>
      <c r="B3107" s="21" t="s">
        <v>1194</v>
      </c>
      <c r="C3107" s="21" t="s">
        <v>1188</v>
      </c>
      <c r="D3107" s="21" t="s">
        <v>1180</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2204</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1218</v>
      </c>
      <c r="B3109" s="21" t="s">
        <v>1204</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1314</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2205</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1293</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1260</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2206</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2203</v>
      </c>
      <c r="B3115" s="21" t="s">
        <v>1178</v>
      </c>
      <c r="C3115" s="21" t="s">
        <v>1188</v>
      </c>
      <c r="D3115" s="21" t="s">
        <v>1180</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818</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row>
    <row r="3118" spans="1:12">
      <c r="A3118" s="20" t="s">
        <v>2207</v>
      </c>
    </row>
    <row r="3119" spans="1:12">
      <c r="A3119" s="20" t="s">
        <v>1281</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1202</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2208</v>
      </c>
      <c r="B3121" s="21" t="s">
        <v>1178</v>
      </c>
      <c r="C3121" s="21" t="s">
        <v>1188</v>
      </c>
      <c r="D3121" s="21" t="s">
        <v>1180</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1330</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314</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1185</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2122</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1695</v>
      </c>
      <c r="B3126" s="21" t="s">
        <v>1178</v>
      </c>
      <c r="C3126" s="21" t="s">
        <v>1184</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1185</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1186</v>
      </c>
      <c r="B3128" s="21" t="s">
        <v>1304</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1314</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1455</v>
      </c>
      <c r="B3130" s="21" t="s">
        <v>1207</v>
      </c>
      <c r="C3130" s="21" t="s">
        <v>1297</v>
      </c>
      <c r="D3130" s="21" t="s">
        <v>1180</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2209</v>
      </c>
      <c r="B3131" s="21" t="s">
        <v>1191</v>
      </c>
      <c r="C3131" s="21" t="s">
        <v>1184</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1334</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1185</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1219</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2210</v>
      </c>
      <c r="B3135" s="21" t="s">
        <v>1207</v>
      </c>
      <c r="C3135" s="21" t="s">
        <v>1184</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1185</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1186</v>
      </c>
      <c r="B3137" s="21" t="s">
        <v>1429</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1322</v>
      </c>
      <c r="B3138" s="21" t="s">
        <v>1492</v>
      </c>
      <c r="C3138" s="21" t="s">
        <v>1238</v>
      </c>
      <c r="D3138" s="21" t="s">
        <v>1180</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2211</v>
      </c>
      <c r="B3139" s="21" t="s">
        <v>1430</v>
      </c>
      <c r="C3139" s="21" t="s">
        <v>1324</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2212</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1185</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1440</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1508</v>
      </c>
      <c r="B3143" s="21" t="s">
        <v>1237</v>
      </c>
      <c r="C3143" s="21" t="s">
        <v>1238</v>
      </c>
      <c r="D3143" s="21" t="s">
        <v>1180</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1322</v>
      </c>
      <c r="B3144" s="21" t="s">
        <v>1207</v>
      </c>
      <c r="C3144" s="21" t="s">
        <v>1238</v>
      </c>
      <c r="D3144" s="21" t="s">
        <v>1180</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1525</v>
      </c>
      <c r="B3145" s="21" t="s">
        <v>1240</v>
      </c>
      <c r="C3145" s="21" t="s">
        <v>1324</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1185</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1295</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1495</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2213</v>
      </c>
      <c r="B3149" s="21" t="s">
        <v>1178</v>
      </c>
      <c r="C3149" s="21" t="s">
        <v>1210</v>
      </c>
      <c r="D3149" s="21" t="s">
        <v>1180</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1330</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1185</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1571</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185</v>
      </c>
      <c r="B3153" s="21" t="s">
        <v>1304</v>
      </c>
      <c r="C3153" s="21" t="s">
        <v>1195</v>
      </c>
      <c r="D3153" s="21" t="s">
        <v>1180</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1224</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1260</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2214</v>
      </c>
      <c r="B3156" s="21" t="s">
        <v>1207</v>
      </c>
      <c r="C3156" s="21" t="s">
        <v>1179</v>
      </c>
      <c r="D3156" s="21" t="s">
        <v>1180</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1257</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1371</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1224</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1260</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1190</v>
      </c>
      <c r="B3161" s="21" t="s">
        <v>1207</v>
      </c>
      <c r="C3161" s="21" t="s">
        <v>1188</v>
      </c>
      <c r="D3161" s="21" t="s">
        <v>1180</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818</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row>
    <row r="3164" spans="1:12">
      <c r="A3164" s="20" t="s">
        <v>2215</v>
      </c>
    </row>
    <row r="3165" spans="1:12">
      <c r="A3165" s="20" t="s">
        <v>1313</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1190</v>
      </c>
      <c r="B3166" s="21" t="s">
        <v>1194</v>
      </c>
      <c r="C3166" s="21" t="s">
        <v>1188</v>
      </c>
      <c r="D3166" s="21" t="s">
        <v>1180</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1257</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1314</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1198</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2216</v>
      </c>
      <c r="B3170" s="21" t="s">
        <v>1178</v>
      </c>
      <c r="C3170" s="21" t="s">
        <v>1188</v>
      </c>
      <c r="D3170" s="21" t="s">
        <v>1180</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818</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row>
    <row r="3173" spans="1:12">
      <c r="A3173" s="20" t="s">
        <v>2217</v>
      </c>
    </row>
    <row r="3174" spans="1:12">
      <c r="A3174" s="20" t="s">
        <v>2218</v>
      </c>
      <c r="B3174" s="21" t="s">
        <v>1191</v>
      </c>
      <c r="C3174" s="21" t="s">
        <v>1297</v>
      </c>
      <c r="D3174" s="21" t="s">
        <v>1180</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2219</v>
      </c>
      <c r="B3175" s="21" t="s">
        <v>1194</v>
      </c>
      <c r="C3175" s="21" t="s">
        <v>1184</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1257</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1314</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1198</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2216</v>
      </c>
      <c r="B3179" s="21" t="s">
        <v>1178</v>
      </c>
      <c r="C3179" s="21" t="s">
        <v>1188</v>
      </c>
      <c r="D3179" s="21" t="s">
        <v>1180</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818</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row>
    <row r="3182" spans="1:12">
      <c r="A3182" s="20" t="s">
        <v>2220</v>
      </c>
    </row>
    <row r="3183" spans="1:12">
      <c r="A3183" s="20" t="s">
        <v>2221</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578</v>
      </c>
      <c r="B3184" s="21" t="s">
        <v>1178</v>
      </c>
      <c r="C3184" s="21" t="s">
        <v>1184</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1185</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1728</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578</v>
      </c>
      <c r="B3187" s="21" t="s">
        <v>1178</v>
      </c>
      <c r="C3187" s="21" t="s">
        <v>1184</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1295</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2047</v>
      </c>
      <c r="B3189" s="21" t="s">
        <v>1191</v>
      </c>
      <c r="C3189" s="21" t="s">
        <v>1254</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1377</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578</v>
      </c>
      <c r="B3191" s="21" t="s">
        <v>1178</v>
      </c>
      <c r="C3191" s="21" t="s">
        <v>1184</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1574</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2222</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1334</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1595</v>
      </c>
      <c r="B3195" s="21" t="s">
        <v>1191</v>
      </c>
      <c r="C3195" s="21" t="s">
        <v>1184</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2083</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2223</v>
      </c>
      <c r="B3197" s="21" t="s">
        <v>1207</v>
      </c>
      <c r="C3197" s="21" t="s">
        <v>1184</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818</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row>
    <row r="3200" spans="1:12">
      <c r="A3200" s="20" t="s">
        <v>2224</v>
      </c>
    </row>
    <row r="3201" spans="1:12">
      <c r="A3201" s="20" t="s">
        <v>1600</v>
      </c>
      <c r="B3201" s="21" t="s">
        <v>1194</v>
      </c>
      <c r="C3201" s="21" t="s">
        <v>1195</v>
      </c>
      <c r="D3201" s="21" t="s">
        <v>1180</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1334</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1595</v>
      </c>
      <c r="B3203" s="21" t="s">
        <v>1178</v>
      </c>
      <c r="C3203" s="21" t="s">
        <v>1184</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2083</v>
      </c>
      <c r="B3204" s="21" t="s">
        <v>1191</v>
      </c>
      <c r="C3204" s="21" t="s">
        <v>1297</v>
      </c>
      <c r="D3204" s="21" t="s">
        <v>1180</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2225</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1329</v>
      </c>
      <c r="B3206" s="21" t="s">
        <v>1178</v>
      </c>
      <c r="C3206" s="21" t="s">
        <v>1184</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818</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row>
    <row r="3209" spans="1:12">
      <c r="A3209" s="20" t="s">
        <v>2226</v>
      </c>
    </row>
    <row r="3210" spans="1:12">
      <c r="A3210" s="20" t="s">
        <v>1256</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1440</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2227</v>
      </c>
      <c r="B3212" s="21" t="s">
        <v>1194</v>
      </c>
      <c r="C3212" s="21" t="s">
        <v>1184</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1198</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2228</v>
      </c>
      <c r="B3214" s="21" t="s">
        <v>1191</v>
      </c>
      <c r="C3214" s="21" t="s">
        <v>1188</v>
      </c>
      <c r="D3214" s="21" t="s">
        <v>1180</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1185</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1186</v>
      </c>
      <c r="B3216" s="21" t="s">
        <v>1289</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1508</v>
      </c>
      <c r="B3217" s="21" t="s">
        <v>1340</v>
      </c>
      <c r="C3217" s="21" t="s">
        <v>1238</v>
      </c>
      <c r="D3217" s="21" t="s">
        <v>1180</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2229</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818</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row>
    <row r="3221" spans="1:12">
      <c r="A3221" s="20" t="s">
        <v>2230</v>
      </c>
    </row>
    <row r="3222" spans="1:12">
      <c r="A3222" s="20" t="s">
        <v>1326</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427</v>
      </c>
      <c r="B3223" s="21" t="s">
        <v>1194</v>
      </c>
      <c r="C3223" s="21" t="s">
        <v>1238</v>
      </c>
      <c r="D3223" s="21" t="s">
        <v>1180</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1353</v>
      </c>
      <c r="B3224" s="21" t="s">
        <v>1204</v>
      </c>
      <c r="C3224" s="21" t="s">
        <v>1208</v>
      </c>
      <c r="D3224" s="21" t="s">
        <v>1180</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588</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1185</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1224</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1260</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427</v>
      </c>
      <c r="B3229" s="21" t="s">
        <v>1429</v>
      </c>
      <c r="C3229" s="21" t="s">
        <v>1238</v>
      </c>
      <c r="D3229" s="21" t="s">
        <v>1180</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1186</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2231</v>
      </c>
      <c r="B3231" s="21" t="s">
        <v>1430</v>
      </c>
      <c r="C3231" s="21" t="s">
        <v>1188</v>
      </c>
      <c r="D3231" s="21" t="s">
        <v>1180</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2232</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1185</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1186</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1525</v>
      </c>
      <c r="B3235" s="21" t="s">
        <v>1191</v>
      </c>
      <c r="C3235" s="21" t="s">
        <v>1188</v>
      </c>
      <c r="D3235" s="21" t="s">
        <v>1180</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1185</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1186</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2233</v>
      </c>
      <c r="B3238" s="21" t="s">
        <v>1204</v>
      </c>
      <c r="C3238" s="21" t="s">
        <v>1188</v>
      </c>
      <c r="D3238" s="21" t="s">
        <v>1180</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1185</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1200</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1448</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2234</v>
      </c>
      <c r="B3242" s="21" t="s">
        <v>1278</v>
      </c>
      <c r="C3242" s="21" t="s">
        <v>1184</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1295</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1374</v>
      </c>
      <c r="B3244" s="21" t="s">
        <v>1291</v>
      </c>
      <c r="C3244" s="21" t="s">
        <v>1184</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1224</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2177</v>
      </c>
      <c r="B3246" s="21" t="s">
        <v>1492</v>
      </c>
      <c r="C3246" s="21" t="s">
        <v>1254</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1329</v>
      </c>
      <c r="B3247" s="21" t="s">
        <v>1291</v>
      </c>
      <c r="C3247" s="21" t="s">
        <v>1324</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2235</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1185</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1359</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427</v>
      </c>
      <c r="B3251" s="21" t="s">
        <v>1289</v>
      </c>
      <c r="C3251" s="21" t="s">
        <v>1238</v>
      </c>
      <c r="D3251" s="21" t="s">
        <v>1180</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1661</v>
      </c>
      <c r="B3252" s="21" t="s">
        <v>1340</v>
      </c>
      <c r="C3252" s="21" t="s">
        <v>1238</v>
      </c>
      <c r="D3252" s="21" t="s">
        <v>1180</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2236</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818</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row>
    <row r="3256" spans="1:12">
      <c r="A3256" s="20" t="s">
        <v>2237</v>
      </c>
    </row>
    <row r="3257" spans="1:12">
      <c r="A3257" s="20" t="s">
        <v>1262</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1182</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1270</v>
      </c>
      <c r="B3259" s="21" t="s">
        <v>1194</v>
      </c>
      <c r="C3259" s="21" t="s">
        <v>1254</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1271</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1835</v>
      </c>
      <c r="B3261" s="21" t="s">
        <v>1204</v>
      </c>
      <c r="C3261" s="21" t="s">
        <v>1195</v>
      </c>
      <c r="D3261" s="21" t="s">
        <v>1180</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2238</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1185</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57</v>
      </c>
      <c r="B3264" s="21" t="s">
        <v>1240</v>
      </c>
      <c r="C3264" s="21" t="s">
        <v>1195</v>
      </c>
      <c r="D3264" s="21" t="s">
        <v>1180</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2153</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2239</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2240</v>
      </c>
      <c r="B3267" s="21" t="s">
        <v>1207</v>
      </c>
      <c r="C3267" s="21" t="s">
        <v>1324</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1408</v>
      </c>
      <c r="B3268" s="21" t="s">
        <v>1237</v>
      </c>
      <c r="C3268" s="21" t="s">
        <v>1184</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1763</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818</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row>
    <row r="3272" spans="1:12">
      <c r="A3272" s="20" t="s">
        <v>2241</v>
      </c>
    </row>
    <row r="3273" spans="1:12">
      <c r="A3273" s="20" t="s">
        <v>1256</v>
      </c>
      <c r="B3273" s="21" t="s">
        <v>1194</v>
      </c>
      <c r="C3273" s="21" t="s">
        <v>1195</v>
      </c>
      <c r="D3273" s="21" t="s">
        <v>1180</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2242</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1185</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1420</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1602</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2243</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1537</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1265</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1266</v>
      </c>
      <c r="B3281" s="21" t="s">
        <v>1207</v>
      </c>
      <c r="C3281" s="21" t="s">
        <v>1254</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2244</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1219</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1410</v>
      </c>
      <c r="B3284" s="21" t="s">
        <v>1191</v>
      </c>
      <c r="C3284" s="21" t="s">
        <v>1184</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2245</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2246</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818</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row>
    <row r="3289" spans="1:12">
      <c r="A3289" s="20" t="s">
        <v>2247</v>
      </c>
    </row>
    <row r="3290" spans="1:12">
      <c r="A3290" s="20" t="s">
        <v>2248</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185</v>
      </c>
      <c r="B3291" s="21" t="s">
        <v>1194</v>
      </c>
      <c r="C3291" s="21" t="s">
        <v>1195</v>
      </c>
      <c r="D3291" s="21" t="s">
        <v>1180</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2249</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1209</v>
      </c>
      <c r="B3293" s="21" t="s">
        <v>1204</v>
      </c>
      <c r="C3293" s="21" t="s">
        <v>1184</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134</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1249</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row>
    <row r="3297" spans="1:12">
      <c r="A3297" s="20" t="s">
        <v>2250</v>
      </c>
    </row>
    <row r="3298" spans="1:12">
      <c r="A3298" s="20" t="s">
        <v>1287</v>
      </c>
      <c r="B3298" s="21" t="s">
        <v>1178</v>
      </c>
      <c r="C3298" s="21" t="s">
        <v>1195</v>
      </c>
      <c r="D3298" s="21" t="s">
        <v>1180</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1182</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1256</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1953</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1197</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2251</v>
      </c>
      <c r="B3303" s="21" t="s">
        <v>1207</v>
      </c>
      <c r="C3303" s="21" t="s">
        <v>1254</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632</v>
      </c>
      <c r="B3304" s="21" t="s">
        <v>1191</v>
      </c>
      <c r="C3304" s="21" t="s">
        <v>1184</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2249</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1209</v>
      </c>
      <c r="B3306" s="21" t="s">
        <v>1237</v>
      </c>
      <c r="C3306" s="21" t="s">
        <v>1184</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134</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818</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row>
    <row r="3310" spans="1:12">
      <c r="A3310" s="20" t="s">
        <v>2252</v>
      </c>
    </row>
    <row r="3311" spans="1:12">
      <c r="A3311" s="20" t="s">
        <v>1256</v>
      </c>
      <c r="B3311" s="21" t="s">
        <v>1194</v>
      </c>
      <c r="C3311" s="21" t="s">
        <v>1195</v>
      </c>
      <c r="D3311" s="21" t="s">
        <v>1180</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1987</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1479</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1315</v>
      </c>
      <c r="B3314" s="21" t="s">
        <v>1178</v>
      </c>
      <c r="C3314" s="21" t="s">
        <v>1184</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1185</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1359</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1644</v>
      </c>
      <c r="B3317" s="21" t="s">
        <v>1304</v>
      </c>
      <c r="C3317" s="21" t="s">
        <v>1254</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1198</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2171</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2253</v>
      </c>
      <c r="B3320" s="21" t="s">
        <v>1278</v>
      </c>
      <c r="C3320" s="21" t="s">
        <v>1188</v>
      </c>
      <c r="D3320" s="21" t="s">
        <v>1180</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1590</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1390</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276</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670</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818</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row>
    <row r="3327" spans="1:12">
      <c r="A3327" s="20" t="s">
        <v>2254</v>
      </c>
    </row>
    <row r="3328" spans="1:12">
      <c r="A3328" s="20" t="s">
        <v>1262</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1182</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356</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1702</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2255</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1185</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1263</v>
      </c>
      <c r="B3334" s="21" t="s">
        <v>1194</v>
      </c>
      <c r="C3334" s="21" t="s">
        <v>1195</v>
      </c>
      <c r="D3334" s="21" t="s">
        <v>1180</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1196</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1835</v>
      </c>
      <c r="B3336" s="21" t="s">
        <v>1204</v>
      </c>
      <c r="C3336" s="21" t="s">
        <v>1195</v>
      </c>
      <c r="D3336" s="21" t="s">
        <v>1180</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1487</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1315</v>
      </c>
      <c r="B3338" s="21" t="s">
        <v>1204</v>
      </c>
      <c r="C3338" s="21" t="s">
        <v>1223</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610</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1330</v>
      </c>
      <c r="B3340" s="21" t="s">
        <v>1191</v>
      </c>
      <c r="C3340" s="21" t="s">
        <v>1254</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1290</v>
      </c>
      <c r="B3341" s="21" t="s">
        <v>1191</v>
      </c>
      <c r="C3341" s="21" t="s">
        <v>1208</v>
      </c>
      <c r="D3341" s="21" t="s">
        <v>1180</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2256</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2257</v>
      </c>
      <c r="B3343" s="21" t="s">
        <v>1178</v>
      </c>
      <c r="C3343" s="21" t="s">
        <v>1210</v>
      </c>
      <c r="D3343" s="21" t="s">
        <v>1180</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818</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row>
    <row r="3346" spans="1:12">
      <c r="A3346" s="20" t="s">
        <v>2258</v>
      </c>
    </row>
    <row r="3347" spans="1:12">
      <c r="A3347" s="20" t="s">
        <v>356</v>
      </c>
      <c r="B3347" s="21" t="s">
        <v>1194</v>
      </c>
      <c r="C3347" s="21" t="s">
        <v>1184</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1295</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2259</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1835</v>
      </c>
      <c r="B3350" s="21" t="s">
        <v>1178</v>
      </c>
      <c r="C3350" s="21" t="s">
        <v>1195</v>
      </c>
      <c r="D3350" s="21" t="s">
        <v>1180</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1360</v>
      </c>
      <c r="B3351" s="21" t="s">
        <v>1204</v>
      </c>
      <c r="C3351" s="21" t="s">
        <v>1208</v>
      </c>
      <c r="D3351" s="21" t="s">
        <v>1180</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1219</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818</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row>
    <row r="3355" spans="1:12">
      <c r="A3355" s="20" t="s">
        <v>2260</v>
      </c>
    </row>
    <row r="3356" spans="1:12">
      <c r="A3356" s="20" t="s">
        <v>2261</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1257</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1353</v>
      </c>
      <c r="B3358" s="21" t="s">
        <v>1191</v>
      </c>
      <c r="C3358" s="21" t="s">
        <v>1208</v>
      </c>
      <c r="D3358" s="21" t="s">
        <v>1180</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1384</v>
      </c>
      <c r="B3359" s="21" t="s">
        <v>1194</v>
      </c>
      <c r="C3359" s="21" t="s">
        <v>1210</v>
      </c>
      <c r="D3359" s="21" t="s">
        <v>1180</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1352</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1186</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2262</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11</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2263</v>
      </c>
      <c r="B3364" s="21" t="s">
        <v>1191</v>
      </c>
      <c r="C3364" s="21" t="s">
        <v>1188</v>
      </c>
      <c r="D3364" s="21" t="s">
        <v>1180</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1224</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1948</v>
      </c>
      <c r="B3366" s="21" t="s">
        <v>1278</v>
      </c>
      <c r="C3366" s="21" t="s">
        <v>1208</v>
      </c>
      <c r="D3366" s="21" t="s">
        <v>1180</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1743</v>
      </c>
      <c r="B3367" s="21" t="s">
        <v>1207</v>
      </c>
      <c r="C3367" s="21" t="s">
        <v>1210</v>
      </c>
      <c r="D3367" s="21" t="s">
        <v>1180</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1186</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2264</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618</v>
      </c>
      <c r="B3370" s="21" t="s">
        <v>1178</v>
      </c>
      <c r="C3370" s="21" t="s">
        <v>1188</v>
      </c>
      <c r="D3370" s="21" t="s">
        <v>1180</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1185</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1186</v>
      </c>
      <c r="B3372" s="21" t="s">
        <v>1240</v>
      </c>
      <c r="C3372" s="21" t="s">
        <v>1238</v>
      </c>
      <c r="D3372" s="21" t="s">
        <v>1180</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1661</v>
      </c>
      <c r="B3373" s="21" t="s">
        <v>1240</v>
      </c>
      <c r="C3373" s="21" t="s">
        <v>1238</v>
      </c>
      <c r="D3373" s="21" t="s">
        <v>1180</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1224</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1202</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1274</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1275</v>
      </c>
      <c r="B3377" s="21" t="s">
        <v>1191</v>
      </c>
      <c r="C3377" s="21" t="s">
        <v>1188</v>
      </c>
      <c r="D3377" s="21" t="s">
        <v>1180</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1979</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163</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818</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row>
    <row r="3382" spans="1:12">
      <c r="A3382" s="20" t="s">
        <v>1362</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2265</v>
      </c>
    </row>
    <row r="3384" spans="1:12">
      <c r="A3384" s="20" t="s">
        <v>1256</v>
      </c>
      <c r="B3384" s="21" t="s">
        <v>1194</v>
      </c>
      <c r="C3384" s="21" t="s">
        <v>1195</v>
      </c>
      <c r="D3384" s="21" t="s">
        <v>1180</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1631</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1513</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1265</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1579</v>
      </c>
      <c r="B3388" s="21" t="s">
        <v>1178</v>
      </c>
      <c r="C3388" s="21" t="s">
        <v>1223</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2266</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1367</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2267</v>
      </c>
      <c r="B3391" s="21" t="s">
        <v>1191</v>
      </c>
      <c r="C3391" s="21" t="s">
        <v>1179</v>
      </c>
      <c r="D3391" s="21" t="s">
        <v>1180</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1367</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818</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row>
    <row r="3395" spans="1:12">
      <c r="A3395" s="20" t="s">
        <v>2268</v>
      </c>
    </row>
    <row r="3396" spans="1:12">
      <c r="A3396" s="20" t="s">
        <v>2269</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57</v>
      </c>
      <c r="B3397" s="21" t="s">
        <v>1194</v>
      </c>
      <c r="C3397" s="21" t="s">
        <v>1195</v>
      </c>
      <c r="D3397" s="21" t="s">
        <v>1180</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1508</v>
      </c>
      <c r="B3398" s="21" t="s">
        <v>1237</v>
      </c>
      <c r="C3398" s="21" t="s">
        <v>1238</v>
      </c>
      <c r="D3398" s="21" t="s">
        <v>1180</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625</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1185</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1236</v>
      </c>
      <c r="B3401" s="21" t="s">
        <v>1240</v>
      </c>
      <c r="C3401" s="21" t="s">
        <v>1238</v>
      </c>
      <c r="D3401" s="21" t="s">
        <v>1180</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1495</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1257</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1249</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row>
    <row r="3406" spans="1:12">
      <c r="A3406" s="20" t="s">
        <v>2270</v>
      </c>
    </row>
    <row r="3407" spans="1:12">
      <c r="A3407" s="20" t="s">
        <v>1287</v>
      </c>
      <c r="B3407" s="21" t="s">
        <v>1178</v>
      </c>
      <c r="C3407" s="21" t="s">
        <v>1195</v>
      </c>
      <c r="D3407" s="21" t="s">
        <v>1180</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1182</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2267</v>
      </c>
      <c r="B3409" s="21" t="s">
        <v>1178</v>
      </c>
      <c r="C3409" s="21" t="s">
        <v>1179</v>
      </c>
      <c r="D3409" s="21" t="s">
        <v>1180</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1185</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2186</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818</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row>
    <row r="3414" spans="1:12">
      <c r="A3414" s="20" t="s">
        <v>2271</v>
      </c>
    </row>
    <row r="3415" spans="1:12">
      <c r="A3415" s="20" t="s">
        <v>2272</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1265</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632</v>
      </c>
      <c r="B3417" s="21" t="s">
        <v>1178</v>
      </c>
      <c r="C3417" s="21" t="s">
        <v>1223</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1185</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2273</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1263</v>
      </c>
      <c r="B3420" s="21" t="s">
        <v>1240</v>
      </c>
      <c r="C3420" s="21" t="s">
        <v>1195</v>
      </c>
      <c r="D3420" s="21" t="s">
        <v>1180</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1198</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1395</v>
      </c>
      <c r="B3422" s="21" t="s">
        <v>1237</v>
      </c>
      <c r="C3422" s="21" t="s">
        <v>1179</v>
      </c>
      <c r="D3422" s="21" t="s">
        <v>1180</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1352</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2006</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2274</v>
      </c>
      <c r="B3425" s="21" t="s">
        <v>1191</v>
      </c>
      <c r="C3425" s="21" t="s">
        <v>1232</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2275</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818</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row>
    <row r="3429" spans="1:12">
      <c r="A3429" s="20" t="s">
        <v>2276</v>
      </c>
    </row>
    <row r="3430" spans="1:12">
      <c r="A3430" s="20" t="s">
        <v>1883</v>
      </c>
      <c r="B3430" s="21" t="s">
        <v>1191</v>
      </c>
      <c r="C3430" s="21" t="s">
        <v>1208</v>
      </c>
      <c r="D3430" s="21" t="s">
        <v>1180</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1579</v>
      </c>
      <c r="B3431" s="21" t="s">
        <v>1194</v>
      </c>
      <c r="C3431" s="21" t="s">
        <v>1210</v>
      </c>
      <c r="D3431" s="21" t="s">
        <v>1180</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1547</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2277</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1894</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2278</v>
      </c>
      <c r="B3435" s="21" t="s">
        <v>1178</v>
      </c>
      <c r="C3435" s="21" t="s">
        <v>1223</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1224</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1260</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1505</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2279</v>
      </c>
      <c r="B3439" s="21" t="s">
        <v>1178</v>
      </c>
      <c r="C3439" s="21" t="s">
        <v>1188</v>
      </c>
      <c r="D3439" s="21" t="s">
        <v>1180</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2280</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818</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row>
    <row r="3443" spans="1:12">
      <c r="A3443" s="20" t="s">
        <v>1362</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2281</v>
      </c>
    </row>
    <row r="3445" spans="1:12">
      <c r="A3445" s="20" t="s">
        <v>1313</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2282</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2283</v>
      </c>
      <c r="B3447" s="21" t="s">
        <v>1194</v>
      </c>
      <c r="C3447" s="21" t="s">
        <v>1188</v>
      </c>
      <c r="D3447" s="21" t="s">
        <v>1180</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1738</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1367</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2284</v>
      </c>
      <c r="B3450" s="21" t="s">
        <v>1178</v>
      </c>
      <c r="C3450" s="21" t="s">
        <v>1179</v>
      </c>
      <c r="D3450" s="21" t="s">
        <v>1180</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1367</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1185</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2277</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1894</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2285</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2286</v>
      </c>
      <c r="B3456" s="21" t="s">
        <v>1191</v>
      </c>
      <c r="C3456" s="21" t="s">
        <v>1223</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818</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row>
    <row r="3459" spans="1:12">
      <c r="A3459" s="20" t="s">
        <v>2287</v>
      </c>
    </row>
    <row r="3460" spans="1:12">
      <c r="A3460" s="20" t="s">
        <v>1193</v>
      </c>
      <c r="B3460" s="21" t="s">
        <v>1194</v>
      </c>
      <c r="C3460" s="21" t="s">
        <v>1195</v>
      </c>
      <c r="D3460" s="21" t="s">
        <v>1180</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1647</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1185</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1359</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1661</v>
      </c>
      <c r="B3464" s="21" t="s">
        <v>1240</v>
      </c>
      <c r="C3464" s="21" t="s">
        <v>1238</v>
      </c>
      <c r="D3464" s="21" t="s">
        <v>1180</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185</v>
      </c>
      <c r="B3465" s="21" t="s">
        <v>1237</v>
      </c>
      <c r="C3465" s="21" t="s">
        <v>1195</v>
      </c>
      <c r="D3465" s="21" t="s">
        <v>1180</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1375</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724</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1185</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1655</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1495</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1957</v>
      </c>
      <c r="B3471" s="21" t="s">
        <v>1304</v>
      </c>
      <c r="C3471" s="21" t="s">
        <v>1188</v>
      </c>
      <c r="D3471" s="21" t="s">
        <v>1180</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1455</v>
      </c>
      <c r="B3472" s="21" t="s">
        <v>1207</v>
      </c>
      <c r="C3472" s="21" t="s">
        <v>1297</v>
      </c>
      <c r="D3472" s="21" t="s">
        <v>1180</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1871</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2288</v>
      </c>
      <c r="B3474" s="21" t="s">
        <v>1191</v>
      </c>
      <c r="C3474" s="21" t="s">
        <v>1184</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1257</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818</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row>
    <row r="3478" spans="1:12">
      <c r="A3478" s="20" t="s">
        <v>2289</v>
      </c>
    </row>
    <row r="3479" spans="1:12">
      <c r="A3479" s="20" t="s">
        <v>1256</v>
      </c>
      <c r="B3479" s="21" t="s">
        <v>1194</v>
      </c>
      <c r="C3479" s="21" t="s">
        <v>1195</v>
      </c>
      <c r="D3479" s="21" t="s">
        <v>1180</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1334</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1676</v>
      </c>
      <c r="B3481" s="21" t="s">
        <v>1178</v>
      </c>
      <c r="C3481" s="21" t="s">
        <v>1184</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1185</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1293</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1448</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1186</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1395</v>
      </c>
      <c r="B3486" s="21" t="s">
        <v>1289</v>
      </c>
      <c r="C3486" s="21" t="s">
        <v>1179</v>
      </c>
      <c r="D3486" s="21" t="s">
        <v>1180</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2290</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2291</v>
      </c>
      <c r="B3488" s="21" t="s">
        <v>1240</v>
      </c>
      <c r="C3488" s="21" t="s">
        <v>1184</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1224</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1186</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2292</v>
      </c>
      <c r="B3491" s="21" t="s">
        <v>1191</v>
      </c>
      <c r="C3491" s="21" t="s">
        <v>1188</v>
      </c>
      <c r="D3491" s="21" t="s">
        <v>1180</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2293</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818</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row>
    <row r="3495" spans="1:12">
      <c r="A3495" s="20" t="s">
        <v>2294</v>
      </c>
    </row>
    <row r="3496" spans="1:12">
      <c r="A3496" s="20" t="s">
        <v>1600</v>
      </c>
      <c r="B3496" s="21" t="s">
        <v>1194</v>
      </c>
      <c r="C3496" s="21" t="s">
        <v>1195</v>
      </c>
      <c r="D3496" s="21" t="s">
        <v>1180</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96</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2291</v>
      </c>
      <c r="B3498" s="21" t="s">
        <v>1204</v>
      </c>
      <c r="C3498" s="21" t="s">
        <v>1184</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1185</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1359</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1360</v>
      </c>
      <c r="B3501" s="21" t="s">
        <v>1304</v>
      </c>
      <c r="C3501" s="21" t="s">
        <v>1208</v>
      </c>
      <c r="D3501" s="21" t="s">
        <v>1180</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2295</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2296</v>
      </c>
      <c r="B3503" s="21" t="s">
        <v>1191</v>
      </c>
      <c r="C3503" s="21" t="s">
        <v>1184</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1334</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818</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row>
    <row r="3507" spans="1:12">
      <c r="A3507" s="20" t="s">
        <v>1362</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2297</v>
      </c>
    </row>
    <row r="3509" spans="1:12">
      <c r="A3509" s="20" t="s">
        <v>1600</v>
      </c>
      <c r="B3509" s="21" t="s">
        <v>1194</v>
      </c>
      <c r="C3509" s="21" t="s">
        <v>1195</v>
      </c>
      <c r="D3509" s="21" t="s">
        <v>1180</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96</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1182</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1367</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1357</v>
      </c>
      <c r="B3513" s="21" t="s">
        <v>1240</v>
      </c>
      <c r="C3513" s="21" t="s">
        <v>1238</v>
      </c>
      <c r="D3513" s="21" t="s">
        <v>1180</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1437</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1293</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1835</v>
      </c>
      <c r="B3516" s="21" t="s">
        <v>1191</v>
      </c>
      <c r="C3516" s="21" t="s">
        <v>1195</v>
      </c>
      <c r="D3516" s="21" t="s">
        <v>1180</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2298</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1185</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1513</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1563</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2299</v>
      </c>
      <c r="B3521" s="21" t="s">
        <v>1306</v>
      </c>
      <c r="C3521" s="21" t="s">
        <v>1232</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2300</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818</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1367</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row>
    <row r="3526" spans="1:12">
      <c r="A3526" s="20" t="s">
        <v>2301</v>
      </c>
    </row>
    <row r="3527" spans="1:12">
      <c r="A3527" s="20" t="s">
        <v>1281</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2302</v>
      </c>
      <c r="B3528" s="21" t="s">
        <v>1178</v>
      </c>
      <c r="C3528" s="21" t="s">
        <v>1184</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134</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1661</v>
      </c>
      <c r="B3530" s="21" t="s">
        <v>1194</v>
      </c>
      <c r="C3530" s="21" t="s">
        <v>1238</v>
      </c>
      <c r="D3530" s="21" t="s">
        <v>1180</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1206</v>
      </c>
      <c r="B3531" s="21" t="s">
        <v>1191</v>
      </c>
      <c r="C3531" s="21" t="s">
        <v>1208</v>
      </c>
      <c r="D3531" s="21" t="s">
        <v>1180</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578</v>
      </c>
      <c r="B3532" s="21" t="s">
        <v>1204</v>
      </c>
      <c r="C3532" s="21" t="s">
        <v>1210</v>
      </c>
      <c r="D3532" s="21" t="s">
        <v>1180</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2303</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2304</v>
      </c>
      <c r="B3534" s="21" t="s">
        <v>1204</v>
      </c>
      <c r="C3534" s="21" t="s">
        <v>1184</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1185</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1186</v>
      </c>
      <c r="B3536" s="21" t="s">
        <v>1240</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1186</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1525</v>
      </c>
      <c r="B3538" s="21" t="s">
        <v>1237</v>
      </c>
      <c r="C3538" s="21" t="s">
        <v>1188</v>
      </c>
      <c r="D3538" s="21" t="s">
        <v>1180</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1636</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2299</v>
      </c>
      <c r="B3540" s="21" t="s">
        <v>1207</v>
      </c>
      <c r="C3540" s="21" t="s">
        <v>1232</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2305</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818</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row>
    <row r="3544" spans="1:12">
      <c r="A3544" s="20" t="s">
        <v>2306</v>
      </c>
    </row>
    <row r="3545" spans="1:12">
      <c r="A3545" s="20" t="s">
        <v>1600</v>
      </c>
      <c r="B3545" s="21" t="s">
        <v>1194</v>
      </c>
      <c r="C3545" s="21" t="s">
        <v>1195</v>
      </c>
      <c r="D3545" s="21" t="s">
        <v>1180</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658</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2307</v>
      </c>
      <c r="B3547" s="21" t="s">
        <v>1204</v>
      </c>
      <c r="C3547" s="21" t="s">
        <v>1184</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1265</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1185</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1186</v>
      </c>
      <c r="B3550" s="21" t="s">
        <v>1240</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1314</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1537</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1186</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1395</v>
      </c>
      <c r="B3554" s="21" t="s">
        <v>1240</v>
      </c>
      <c r="C3554" s="21" t="s">
        <v>1179</v>
      </c>
      <c r="D3554" s="21" t="s">
        <v>1180</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2308</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1252</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1185</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1930</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1376</v>
      </c>
      <c r="B3559" s="21" t="s">
        <v>1178</v>
      </c>
      <c r="C3559" s="21" t="s">
        <v>1254</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1185</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1198</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2309</v>
      </c>
      <c r="B3562" s="21" t="s">
        <v>1237</v>
      </c>
      <c r="C3562" s="21" t="s">
        <v>1188</v>
      </c>
      <c r="D3562" s="21" t="s">
        <v>1180</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1295</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2310</v>
      </c>
      <c r="B3564" s="21" t="s">
        <v>1207</v>
      </c>
      <c r="C3564" s="21" t="s">
        <v>1184</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1271</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1185</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1661</v>
      </c>
      <c r="B3567" s="21" t="s">
        <v>1240</v>
      </c>
      <c r="C3567" s="21" t="s">
        <v>1238</v>
      </c>
      <c r="D3567" s="21" t="s">
        <v>1180</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1330</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2311</v>
      </c>
      <c r="B3569" s="21" t="s">
        <v>1178</v>
      </c>
      <c r="C3569" s="21" t="s">
        <v>1184</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1295</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1330</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801</v>
      </c>
      <c r="B3572" s="21" t="s">
        <v>1191</v>
      </c>
      <c r="C3572" s="21" t="s">
        <v>1184</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1185</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1252</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1661</v>
      </c>
      <c r="B3575" s="21" t="s">
        <v>1240</v>
      </c>
      <c r="C3575" s="21" t="s">
        <v>1238</v>
      </c>
      <c r="D3575" s="21" t="s">
        <v>1180</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2312</v>
      </c>
      <c r="B3576" s="21" t="s">
        <v>1178</v>
      </c>
      <c r="C3576" s="21" t="s">
        <v>1184</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1185</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1513</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1218</v>
      </c>
      <c r="B3579" s="21" t="s">
        <v>1306</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1401</v>
      </c>
      <c r="B3580" s="21" t="s">
        <v>1306</v>
      </c>
      <c r="C3580" s="21" t="s">
        <v>1184</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1330</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2313</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1224</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1186</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2130</v>
      </c>
      <c r="B3585" s="21" t="s">
        <v>1191</v>
      </c>
      <c r="C3585" s="21" t="s">
        <v>1188</v>
      </c>
      <c r="D3585" s="21" t="s">
        <v>1180</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1198</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1329</v>
      </c>
      <c r="B3587" s="21" t="s">
        <v>1207</v>
      </c>
      <c r="C3587" s="21" t="s">
        <v>1188</v>
      </c>
      <c r="D3587" s="21" t="s">
        <v>1180</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818</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row>
    <row r="3590" spans="1:12">
      <c r="A3590" s="20" t="s">
        <v>2314</v>
      </c>
    </row>
    <row r="3591" spans="1:12">
      <c r="A3591" s="20" t="s">
        <v>1313</v>
      </c>
      <c r="B3591" s="21" t="s">
        <v>1194</v>
      </c>
      <c r="C3591" s="21" t="s">
        <v>1208</v>
      </c>
      <c r="D3591" s="21" t="s">
        <v>1180</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1257</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1248</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2315</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818</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row>
    <row r="3597" spans="1:12">
      <c r="A3597" s="20" t="s">
        <v>2316</v>
      </c>
    </row>
    <row r="3598" spans="1:12">
      <c r="A3598" s="20" t="s">
        <v>2317</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1310</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427</v>
      </c>
      <c r="B3600" s="21" t="s">
        <v>1240</v>
      </c>
      <c r="C3600" s="21" t="s">
        <v>1238</v>
      </c>
      <c r="D3600" s="21" t="s">
        <v>1180</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1031</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1537</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1276</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1855</v>
      </c>
      <c r="B3604" s="21" t="s">
        <v>1237</v>
      </c>
      <c r="C3604" s="21" t="s">
        <v>1223</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2318</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1185</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1310</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427</v>
      </c>
      <c r="B3608" s="21" t="s">
        <v>1304</v>
      </c>
      <c r="C3608" s="21" t="s">
        <v>1238</v>
      </c>
      <c r="D3608" s="21" t="s">
        <v>1180</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1495</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2319</v>
      </c>
      <c r="B3610" s="21" t="s">
        <v>1306</v>
      </c>
      <c r="C3610" s="21" t="s">
        <v>1188</v>
      </c>
      <c r="D3610" s="21" t="s">
        <v>1180</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1224</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1375</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1381</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1302</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1827</v>
      </c>
      <c r="B3615" s="21" t="s">
        <v>1207</v>
      </c>
      <c r="C3615" s="21" t="s">
        <v>1179</v>
      </c>
      <c r="D3615" s="21" t="s">
        <v>1180</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2318</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1185</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1495</v>
      </c>
      <c r="B3618" s="21" t="s">
        <v>1304</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1265</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2320</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1957</v>
      </c>
      <c r="B3621" s="21" t="s">
        <v>1191</v>
      </c>
      <c r="C3621" s="21" t="s">
        <v>1223</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1189</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2321</v>
      </c>
      <c r="B3623" s="21" t="s">
        <v>1207</v>
      </c>
      <c r="C3623" s="21" t="s">
        <v>1188</v>
      </c>
      <c r="D3623" s="21" t="s">
        <v>1180</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2267</v>
      </c>
      <c r="B3624" s="21" t="s">
        <v>1278</v>
      </c>
      <c r="C3624" s="21" t="s">
        <v>1179</v>
      </c>
      <c r="D3624" s="21" t="s">
        <v>1180</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1587</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1185</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670</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427</v>
      </c>
      <c r="B3628" s="21" t="s">
        <v>1194</v>
      </c>
      <c r="C3628" s="21" t="s">
        <v>1238</v>
      </c>
      <c r="D3628" s="21" t="s">
        <v>1180</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1224</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1894</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1329</v>
      </c>
      <c r="B3631" s="21" t="s">
        <v>1178</v>
      </c>
      <c r="C3631" s="21" t="s">
        <v>1223</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666</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1185</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1186</v>
      </c>
      <c r="B3634" s="21" t="s">
        <v>1240</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2322</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1757</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1956</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1257</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818</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row>
    <row r="3641" spans="1:12">
      <c r="A3641" s="20" t="s">
        <v>2323</v>
      </c>
    </row>
    <row r="3642" spans="1:12">
      <c r="A3642" s="20" t="s">
        <v>1357</v>
      </c>
      <c r="B3642" s="21" t="s">
        <v>1194</v>
      </c>
      <c r="C3642" s="21" t="s">
        <v>1238</v>
      </c>
      <c r="D3642" s="21" t="s">
        <v>1180</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670</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1484</v>
      </c>
      <c r="B3644" s="21" t="s">
        <v>1207</v>
      </c>
      <c r="C3644" s="21" t="s">
        <v>1238</v>
      </c>
      <c r="D3644" s="21" t="s">
        <v>1180</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2324</v>
      </c>
      <c r="B3645" s="21" t="s">
        <v>1237</v>
      </c>
      <c r="C3645" s="21" t="s">
        <v>1324</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1197</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1455</v>
      </c>
      <c r="B3647" s="21" t="s">
        <v>1278</v>
      </c>
      <c r="C3647" s="21" t="s">
        <v>1297</v>
      </c>
      <c r="D3647" s="21" t="s">
        <v>1180</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2325</v>
      </c>
      <c r="B3648" s="21" t="s">
        <v>1207</v>
      </c>
      <c r="C3648" s="21" t="s">
        <v>1184</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163</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1185</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427</v>
      </c>
      <c r="B3651" s="21" t="s">
        <v>1240</v>
      </c>
      <c r="C3651" s="21" t="s">
        <v>1238</v>
      </c>
      <c r="D3651" s="21" t="s">
        <v>1180</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670</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1484</v>
      </c>
      <c r="B3653" s="21" t="s">
        <v>1207</v>
      </c>
      <c r="C3653" s="21" t="s">
        <v>1238</v>
      </c>
      <c r="D3653" s="21" t="s">
        <v>1180</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1401</v>
      </c>
      <c r="B3654" s="21" t="s">
        <v>1237</v>
      </c>
      <c r="C3654" s="21" t="s">
        <v>1324</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1330</v>
      </c>
      <c r="B3655" s="21" t="s">
        <v>1278</v>
      </c>
      <c r="C3655" s="21" t="s">
        <v>1254</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1260</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2326</v>
      </c>
      <c r="B3657" s="21" t="s">
        <v>1207</v>
      </c>
      <c r="C3657" s="21" t="s">
        <v>1188</v>
      </c>
      <c r="D3657" s="21" t="s">
        <v>1180</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163</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1185</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1452</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1508</v>
      </c>
      <c r="B3661" s="21" t="s">
        <v>1237</v>
      </c>
      <c r="C3661" s="21" t="s">
        <v>1238</v>
      </c>
      <c r="D3661" s="21" t="s">
        <v>1180</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1520</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1695</v>
      </c>
      <c r="B3663" s="21" t="s">
        <v>1191</v>
      </c>
      <c r="C3663" s="21" t="s">
        <v>1184</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1330</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2327</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1185</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1186</v>
      </c>
      <c r="B3667" s="21" t="s">
        <v>1304</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1353</v>
      </c>
      <c r="B3668" s="21" t="s">
        <v>1278</v>
      </c>
      <c r="C3668" s="21" t="s">
        <v>1208</v>
      </c>
      <c r="D3668" s="21" t="s">
        <v>1180</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1789</v>
      </c>
      <c r="B3669" s="21" t="s">
        <v>1306</v>
      </c>
      <c r="C3669" s="21" t="s">
        <v>1210</v>
      </c>
      <c r="D3669" s="21" t="s">
        <v>1180</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1913</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1371</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1352</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2006</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2328</v>
      </c>
      <c r="B3674" s="21" t="s">
        <v>1278</v>
      </c>
      <c r="C3674" s="21" t="s">
        <v>1232</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2329</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2134</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818</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row>
    <row r="3679" spans="1:12">
      <c r="A3679" s="20" t="s">
        <v>2330</v>
      </c>
    </row>
    <row r="3680" spans="1:12">
      <c r="A3680" s="20" t="s">
        <v>1262</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1182</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951</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292</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2331</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1444</v>
      </c>
      <c r="B3685" s="21" t="s">
        <v>1194</v>
      </c>
      <c r="C3685" s="21" t="s">
        <v>1184</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1821</v>
      </c>
      <c r="B3686" s="21" t="s">
        <v>1191</v>
      </c>
      <c r="C3686" s="21" t="s">
        <v>1179</v>
      </c>
      <c r="D3686" s="21" t="s">
        <v>1180</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2332</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2333</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1352</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2334</v>
      </c>
      <c r="B3690" s="21" t="s">
        <v>1178</v>
      </c>
      <c r="C3690" s="21" t="s">
        <v>1184</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1200</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2335</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1829</v>
      </c>
      <c r="B3693" s="21" t="s">
        <v>1191</v>
      </c>
      <c r="C3693" s="21" t="s">
        <v>1184</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1249</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row>
    <row r="3696" spans="1:12">
      <c r="A3696" s="20" t="s">
        <v>2336</v>
      </c>
    </row>
    <row r="3697" spans="1:12">
      <c r="A3697" s="20" t="s">
        <v>1287</v>
      </c>
      <c r="B3697" s="21" t="s">
        <v>1178</v>
      </c>
      <c r="C3697" s="21" t="s">
        <v>1195</v>
      </c>
      <c r="D3697" s="21" t="s">
        <v>1180</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1182</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2337</v>
      </c>
      <c r="B3699" s="21" t="s">
        <v>1178</v>
      </c>
      <c r="C3699" s="21" t="s">
        <v>1179</v>
      </c>
      <c r="D3699" s="21" t="s">
        <v>1180</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818</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row>
    <row r="3702" spans="1:12">
      <c r="A3702" s="20" t="s">
        <v>2338</v>
      </c>
    </row>
    <row r="3703" spans="1:12">
      <c r="A3703" s="20" t="s">
        <v>2339</v>
      </c>
      <c r="B3703" s="21" t="s">
        <v>1194</v>
      </c>
      <c r="C3703" s="21" t="s">
        <v>1254</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1198</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2340</v>
      </c>
      <c r="B3705" s="21" t="s">
        <v>1191</v>
      </c>
      <c r="C3705" s="21" t="s">
        <v>1188</v>
      </c>
      <c r="D3705" s="21" t="s">
        <v>1180</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1185</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1649</v>
      </c>
      <c r="B3707" s="21" t="s">
        <v>1194</v>
      </c>
      <c r="C3707" s="21" t="s">
        <v>1254</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1198</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2341</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2342</v>
      </c>
      <c r="B3710" s="21" t="s">
        <v>1191</v>
      </c>
      <c r="C3710" s="21" t="s">
        <v>1188</v>
      </c>
      <c r="D3710" s="21" t="s">
        <v>1180</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1224</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1198</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2343</v>
      </c>
      <c r="B3713" s="21" t="s">
        <v>1207</v>
      </c>
      <c r="C3713" s="21" t="s">
        <v>1188</v>
      </c>
      <c r="D3713" s="21" t="s">
        <v>1180</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2277</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1260</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52</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818</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2344</v>
      </c>
      <c r="B3718" s="21" t="s">
        <v>1191</v>
      </c>
      <c r="C3718" s="21" t="s">
        <v>1179</v>
      </c>
      <c r="D3718" s="21" t="s">
        <v>1180</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1257</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1186</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2345</v>
      </c>
      <c r="B3721" s="21" t="s">
        <v>1178</v>
      </c>
      <c r="C3721" s="21" t="s">
        <v>1188</v>
      </c>
      <c r="D3721" s="21" t="s">
        <v>1180</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1185</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1359</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1186</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1395</v>
      </c>
      <c r="B3725" s="21" t="s">
        <v>1304</v>
      </c>
      <c r="C3725" s="21" t="s">
        <v>1179</v>
      </c>
      <c r="D3725" s="21" t="s">
        <v>1180</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2073</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2205</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2346</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2347</v>
      </c>
      <c r="B3729" s="21" t="s">
        <v>1237</v>
      </c>
      <c r="C3729" s="21" t="s">
        <v>1184</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1733</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818</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row>
    <row r="3733" spans="1:12">
      <c r="A3733" s="20" t="s">
        <v>2348</v>
      </c>
    </row>
    <row r="3734" spans="1:12">
      <c r="A3734" s="20" t="s">
        <v>1600</v>
      </c>
      <c r="B3734" s="21" t="s">
        <v>1194</v>
      </c>
      <c r="C3734" s="21" t="s">
        <v>1195</v>
      </c>
      <c r="D3734" s="21" t="s">
        <v>1180</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2349</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2350</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1352</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2351</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2352</v>
      </c>
      <c r="B3739" s="21" t="s">
        <v>1178</v>
      </c>
      <c r="C3739" s="21" t="s">
        <v>1184</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1185</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1224</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1448</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185</v>
      </c>
      <c r="B3743" s="21" t="s">
        <v>1304</v>
      </c>
      <c r="C3743" s="21" t="s">
        <v>1195</v>
      </c>
      <c r="D3743" s="21" t="s">
        <v>1180</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1513</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2353</v>
      </c>
      <c r="B3745" s="21" t="s">
        <v>1207</v>
      </c>
      <c r="C3745" s="21" t="s">
        <v>1179</v>
      </c>
      <c r="D3745" s="21" t="s">
        <v>1180</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2354</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818</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row>
    <row r="3749" spans="1:12">
      <c r="A3749" s="20" t="s">
        <v>2355</v>
      </c>
    </row>
    <row r="3750" spans="1:12">
      <c r="A3750" s="20" t="s">
        <v>1309</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1661</v>
      </c>
      <c r="B3751" s="21" t="s">
        <v>1194</v>
      </c>
      <c r="C3751" s="21" t="s">
        <v>1238</v>
      </c>
      <c r="D3751" s="21" t="s">
        <v>1180</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2356</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1031</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2357</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2352</v>
      </c>
      <c r="B3755" s="21" t="s">
        <v>1204</v>
      </c>
      <c r="C3755" s="21" t="s">
        <v>1184</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818</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row>
    <row r="3758" spans="1:12">
      <c r="A3758" s="20" t="s">
        <v>2358</v>
      </c>
    </row>
    <row r="3759" spans="1:12">
      <c r="A3759" s="20" t="s">
        <v>2359</v>
      </c>
      <c r="B3759" s="21" t="s">
        <v>1194</v>
      </c>
      <c r="C3759" s="21" t="s">
        <v>1184</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1271</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1186</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1395</v>
      </c>
      <c r="B3762" s="21" t="s">
        <v>1194</v>
      </c>
      <c r="C3762" s="21" t="s">
        <v>1179</v>
      </c>
      <c r="D3762" s="21" t="s">
        <v>1180</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2360</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1186</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2361</v>
      </c>
      <c r="B3765" s="21" t="s">
        <v>1204</v>
      </c>
      <c r="C3765" s="21" t="s">
        <v>1188</v>
      </c>
      <c r="D3765" s="21" t="s">
        <v>1180</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1198</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2362</v>
      </c>
      <c r="B3767" s="21" t="s">
        <v>1204</v>
      </c>
      <c r="C3767" s="21" t="s">
        <v>1188</v>
      </c>
      <c r="D3767" s="21" t="s">
        <v>1180</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2363</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1185</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2364</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1200</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1260</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2365</v>
      </c>
      <c r="B3773" s="21" t="s">
        <v>1191</v>
      </c>
      <c r="C3773" s="21" t="s">
        <v>1188</v>
      </c>
      <c r="D3773" s="21" t="s">
        <v>1180</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1185</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1359</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2366</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2367</v>
      </c>
      <c r="B3777" s="21" t="s">
        <v>1289</v>
      </c>
      <c r="C3777" s="21" t="s">
        <v>1184</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2368</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2369</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1334</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818</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row>
    <row r="3783" spans="1:12">
      <c r="A3783" s="20" t="s">
        <v>2370</v>
      </c>
    </row>
    <row r="3784" spans="1:12">
      <c r="A3784" s="20" t="s">
        <v>1326</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427</v>
      </c>
      <c r="B3785" s="21" t="s">
        <v>1304</v>
      </c>
      <c r="C3785" s="21" t="s">
        <v>1238</v>
      </c>
      <c r="D3785" s="21" t="s">
        <v>1180</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1265</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2371</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578</v>
      </c>
      <c r="B3788" s="21" t="s">
        <v>1306</v>
      </c>
      <c r="C3788" s="21" t="s">
        <v>1223</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2372</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1295</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2373</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2367</v>
      </c>
      <c r="B3792" s="21" t="s">
        <v>1340</v>
      </c>
      <c r="C3792" s="21" t="s">
        <v>1232</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280</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2095</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1310</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427</v>
      </c>
      <c r="B3796" s="21" t="s">
        <v>1240</v>
      </c>
      <c r="C3796" s="21" t="s">
        <v>1238</v>
      </c>
      <c r="D3796" s="21" t="s">
        <v>1180</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1487</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2127</v>
      </c>
      <c r="B3798" s="21" t="s">
        <v>1237</v>
      </c>
      <c r="C3798" s="21" t="s">
        <v>1223</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1224</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2374</v>
      </c>
      <c r="B3800" s="21" t="s">
        <v>1207</v>
      </c>
      <c r="C3800" s="21" t="s">
        <v>1179</v>
      </c>
      <c r="D3800" s="21" t="s">
        <v>1180</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2372</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1295</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2006</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2367</v>
      </c>
      <c r="B3804" s="21" t="s">
        <v>1306</v>
      </c>
      <c r="C3804" s="21" t="s">
        <v>1232</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280</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1185</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1412</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1257</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1495</v>
      </c>
      <c r="B3809" s="21" t="s">
        <v>1194</v>
      </c>
      <c r="C3809" s="21" t="s">
        <v>1238</v>
      </c>
      <c r="D3809" s="21" t="s">
        <v>1180</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1352</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1495</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2366</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1534</v>
      </c>
      <c r="B3813" s="21" t="s">
        <v>1178</v>
      </c>
      <c r="C3813" s="21" t="s">
        <v>1188</v>
      </c>
      <c r="D3813" s="21" t="s">
        <v>1180</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1757</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2375</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1185</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1420</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2376</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1185</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1359</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1186</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2377</v>
      </c>
      <c r="B3822" s="21" t="s">
        <v>1304</v>
      </c>
      <c r="C3822" s="21" t="s">
        <v>1188</v>
      </c>
      <c r="D3822" s="21" t="s">
        <v>1180</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1484</v>
      </c>
      <c r="B3823" s="21" t="s">
        <v>1278</v>
      </c>
      <c r="C3823" s="21" t="s">
        <v>1238</v>
      </c>
      <c r="D3823" s="21" t="s">
        <v>1180</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1401</v>
      </c>
      <c r="B3824" s="21" t="s">
        <v>1306</v>
      </c>
      <c r="C3824" s="21" t="s">
        <v>1324</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1330</v>
      </c>
      <c r="B3825" s="21" t="s">
        <v>1291</v>
      </c>
      <c r="C3825" s="21" t="s">
        <v>1254</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2378</v>
      </c>
      <c r="B3826" s="21" t="s">
        <v>1291</v>
      </c>
      <c r="C3826" s="21" t="s">
        <v>1297</v>
      </c>
      <c r="D3826" s="21" t="s">
        <v>1180</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2379</v>
      </c>
      <c r="B3827" s="21" t="s">
        <v>1278</v>
      </c>
      <c r="C3827" s="21" t="s">
        <v>1184</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163</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818</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row>
    <row r="3831" spans="1:12">
      <c r="A3831" s="20" t="s">
        <v>2380</v>
      </c>
    </row>
    <row r="3832" spans="1:12">
      <c r="A3832" s="20" t="s">
        <v>1794</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1530</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1661</v>
      </c>
      <c r="B3834" s="21" t="s">
        <v>1240</v>
      </c>
      <c r="C3834" s="21" t="s">
        <v>1238</v>
      </c>
      <c r="D3834" s="21" t="s">
        <v>1180</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1186</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1525</v>
      </c>
      <c r="B3836" s="21" t="s">
        <v>1237</v>
      </c>
      <c r="C3836" s="21" t="s">
        <v>1188</v>
      </c>
      <c r="D3836" s="21" t="s">
        <v>1180</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2083</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2130</v>
      </c>
      <c r="B3838" s="21" t="s">
        <v>1207</v>
      </c>
      <c r="C3838" s="21" t="s">
        <v>1184</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2305</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1185</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700</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1661</v>
      </c>
      <c r="B3842" s="21" t="s">
        <v>1194</v>
      </c>
      <c r="C3842" s="21" t="s">
        <v>1238</v>
      </c>
      <c r="D3842" s="21" t="s">
        <v>1180</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1314</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1537</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1186</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1329</v>
      </c>
      <c r="B3846" s="21" t="s">
        <v>1204</v>
      </c>
      <c r="C3846" s="21" t="s">
        <v>1188</v>
      </c>
      <c r="D3846" s="21" t="s">
        <v>1180</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1472</v>
      </c>
      <c r="B3847" s="21" t="s">
        <v>1191</v>
      </c>
      <c r="C3847" s="21" t="s">
        <v>1179</v>
      </c>
      <c r="D3847" s="21" t="s">
        <v>1180</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1233</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1185</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1661</v>
      </c>
      <c r="B3850" s="21" t="s">
        <v>1240</v>
      </c>
      <c r="C3850" s="21" t="s">
        <v>1238</v>
      </c>
      <c r="D3850" s="21" t="s">
        <v>1180</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1527</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1031</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1186</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1596</v>
      </c>
      <c r="B3854" s="21" t="s">
        <v>1237</v>
      </c>
      <c r="C3854" s="21" t="s">
        <v>1179</v>
      </c>
      <c r="D3854" s="21" t="s">
        <v>1180</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1197</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2381</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1800</v>
      </c>
      <c r="B3857" s="21" t="s">
        <v>1191</v>
      </c>
      <c r="C3857" s="21" t="s">
        <v>1184</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1185</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1655</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2382</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2383</v>
      </c>
      <c r="B3861" s="21" t="s">
        <v>1304</v>
      </c>
      <c r="C3861" s="21" t="s">
        <v>1184</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1186</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1606</v>
      </c>
      <c r="B3863" s="21" t="s">
        <v>1191</v>
      </c>
      <c r="C3863" s="21" t="s">
        <v>1188</v>
      </c>
      <c r="D3863" s="21" t="s">
        <v>1180</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2083</v>
      </c>
      <c r="B3864" s="21" t="s">
        <v>1278</v>
      </c>
      <c r="C3864" s="21" t="s">
        <v>1297</v>
      </c>
      <c r="D3864" s="21" t="s">
        <v>1180</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2219</v>
      </c>
      <c r="B3865" s="21" t="s">
        <v>1207</v>
      </c>
      <c r="C3865" s="21" t="s">
        <v>1184</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1257</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818</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row>
    <row r="3869" spans="1:12">
      <c r="A3869" s="20" t="s">
        <v>2384</v>
      </c>
    </row>
    <row r="3870" spans="1:12">
      <c r="A3870" s="20" t="s">
        <v>1326</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427</v>
      </c>
      <c r="B3871" s="21" t="s">
        <v>1240</v>
      </c>
      <c r="C3871" s="21" t="s">
        <v>1238</v>
      </c>
      <c r="D3871" s="21" t="s">
        <v>1180</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1495</v>
      </c>
      <c r="B3872" s="21" t="s">
        <v>1237</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2385</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2386</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1525</v>
      </c>
      <c r="B3875" s="21" t="s">
        <v>1191</v>
      </c>
      <c r="C3875" s="21" t="s">
        <v>1184</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1527</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1185</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670</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427</v>
      </c>
      <c r="B3879" s="21" t="s">
        <v>1194</v>
      </c>
      <c r="C3879" s="21" t="s">
        <v>1238</v>
      </c>
      <c r="D3879" s="21" t="s">
        <v>1180</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1197</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2112</v>
      </c>
      <c r="B3881" s="21" t="s">
        <v>1178</v>
      </c>
      <c r="C3881" s="21" t="s">
        <v>1184</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2082</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2387</v>
      </c>
      <c r="B3883" s="21" t="s">
        <v>1178</v>
      </c>
      <c r="C3883" s="21" t="s">
        <v>1301</v>
      </c>
      <c r="D3883" s="21" t="s">
        <v>1180</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704</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818</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row>
    <row r="3887" spans="1:12">
      <c r="A3887" s="20" t="s">
        <v>2388</v>
      </c>
    </row>
    <row r="3888" spans="1:12">
      <c r="A3888" s="20" t="s">
        <v>1262</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1182</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1309</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1186</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1395</v>
      </c>
      <c r="B3892" s="21" t="s">
        <v>1194</v>
      </c>
      <c r="C3892" s="21" t="s">
        <v>1179</v>
      </c>
      <c r="D3892" s="21" t="s">
        <v>1180</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1271</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1263</v>
      </c>
      <c r="B3894" s="21" t="s">
        <v>1194</v>
      </c>
      <c r="C3894" s="21" t="s">
        <v>1195</v>
      </c>
      <c r="D3894" s="21" t="s">
        <v>1180</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708</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1185</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1359</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185</v>
      </c>
      <c r="B3898" s="21" t="s">
        <v>1240</v>
      </c>
      <c r="C3898" s="21" t="s">
        <v>1195</v>
      </c>
      <c r="D3898" s="21" t="s">
        <v>1180</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1353</v>
      </c>
      <c r="B3899" s="21" t="s">
        <v>1207</v>
      </c>
      <c r="C3899" s="21" t="s">
        <v>1208</v>
      </c>
      <c r="D3899" s="21" t="s">
        <v>1180</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2389</v>
      </c>
      <c r="B3900" s="21" t="s">
        <v>1240</v>
      </c>
      <c r="C3900" s="21" t="s">
        <v>1210</v>
      </c>
      <c r="D3900" s="21" t="s">
        <v>1180</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1420</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1595</v>
      </c>
      <c r="B3902" s="21" t="s">
        <v>1191</v>
      </c>
      <c r="C3902" s="21" t="s">
        <v>1394</v>
      </c>
      <c r="D3902" s="21" t="s">
        <v>1180</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1198</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1672</v>
      </c>
      <c r="B3904" s="21" t="s">
        <v>1207</v>
      </c>
      <c r="C3904" s="21" t="s">
        <v>1179</v>
      </c>
      <c r="D3904" s="21" t="s">
        <v>1180</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11</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2390</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2122</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2391</v>
      </c>
      <c r="B3908" s="21" t="s">
        <v>1191</v>
      </c>
      <c r="C3908" s="21" t="s">
        <v>1184</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2392</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1257</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818</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row>
    <row r="3913" spans="1:12">
      <c r="A3913" s="20" t="s">
        <v>2393</v>
      </c>
    </row>
    <row r="3914" spans="1:12">
      <c r="A3914" s="20" t="s">
        <v>2394</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1257</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1495</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2395</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2396</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1265</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2397</v>
      </c>
      <c r="B3920" s="21" t="s">
        <v>1178</v>
      </c>
      <c r="C3920" s="21" t="s">
        <v>1188</v>
      </c>
      <c r="D3920" s="21" t="s">
        <v>1180</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1185</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1198</v>
      </c>
      <c r="B3922" s="21" t="s">
        <v>1240</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1218</v>
      </c>
      <c r="B3923" s="21" t="s">
        <v>1237</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2398</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818</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row>
    <row r="3927" spans="1:12">
      <c r="A3927" s="20" t="s">
        <v>2399</v>
      </c>
    </row>
    <row r="3928" spans="1:12">
      <c r="A3928" s="20" t="s">
        <v>1287</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1182</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1326</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1303</v>
      </c>
      <c r="B3931" s="21" t="s">
        <v>1240</v>
      </c>
      <c r="C3931" s="21" t="s">
        <v>1254</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1218</v>
      </c>
      <c r="B3932" s="21" t="s">
        <v>1237</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1186</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2400</v>
      </c>
      <c r="B3934" s="21" t="s">
        <v>1240</v>
      </c>
      <c r="C3934" s="21" t="s">
        <v>1394</v>
      </c>
      <c r="D3934" s="21" t="s">
        <v>1180</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1290</v>
      </c>
      <c r="B3935" s="21" t="s">
        <v>1278</v>
      </c>
      <c r="C3935" s="21" t="s">
        <v>1208</v>
      </c>
      <c r="D3935" s="21" t="s">
        <v>1180</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1676</v>
      </c>
      <c r="B3936" s="21" t="s">
        <v>1207</v>
      </c>
      <c r="C3936" s="21" t="s">
        <v>1210</v>
      </c>
      <c r="D3936" s="21" t="s">
        <v>1180</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1242</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1260</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2401</v>
      </c>
      <c r="B3939" s="21" t="s">
        <v>1191</v>
      </c>
      <c r="C3939" s="21" t="s">
        <v>1188</v>
      </c>
      <c r="D3939" s="21" t="s">
        <v>1180</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1200</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2391</v>
      </c>
      <c r="B3941" s="21" t="s">
        <v>1207</v>
      </c>
      <c r="C3941" s="21" t="s">
        <v>1184</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2402</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1185</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1235</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1303</v>
      </c>
      <c r="B3945" s="21" t="s">
        <v>1194</v>
      </c>
      <c r="C3945" s="21" t="s">
        <v>1254</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1185</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1359</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185</v>
      </c>
      <c r="B3948" s="21" t="s">
        <v>1240</v>
      </c>
      <c r="C3948" s="21" t="s">
        <v>1195</v>
      </c>
      <c r="D3948" s="21" t="s">
        <v>1180</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2387</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1322</v>
      </c>
      <c r="B3950" s="21" t="s">
        <v>1207</v>
      </c>
      <c r="C3950" s="21" t="s">
        <v>1238</v>
      </c>
      <c r="D3950" s="21" t="s">
        <v>1180</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2403</v>
      </c>
      <c r="B3951" s="21" t="s">
        <v>1240</v>
      </c>
      <c r="C3951" s="21" t="s">
        <v>1324</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1440</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818</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row>
    <row r="3955" spans="1:12">
      <c r="A3955" s="20" t="s">
        <v>2404</v>
      </c>
    </row>
    <row r="3956" spans="1:12">
      <c r="A3956" s="20" t="s">
        <v>1600</v>
      </c>
      <c r="B3956" s="21" t="s">
        <v>1194</v>
      </c>
      <c r="C3956" s="21" t="s">
        <v>1195</v>
      </c>
      <c r="D3956" s="21" t="s">
        <v>1180</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1437</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1218</v>
      </c>
      <c r="B3958" s="21" t="s">
        <v>1204</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1314</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1197</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2405</v>
      </c>
      <c r="B3961" s="21" t="s">
        <v>1191</v>
      </c>
      <c r="C3961" s="21" t="s">
        <v>1297</v>
      </c>
      <c r="D3961" s="21" t="s">
        <v>1180</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2406</v>
      </c>
      <c r="B3962" s="21" t="s">
        <v>1178</v>
      </c>
      <c r="C3962" s="21" t="s">
        <v>1184</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720</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1185</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1655</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427</v>
      </c>
      <c r="B3966" s="21" t="s">
        <v>1240</v>
      </c>
      <c r="C3966" s="21" t="s">
        <v>1238</v>
      </c>
      <c r="D3966" s="21" t="s">
        <v>1180</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1495</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1503</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2202</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2407</v>
      </c>
      <c r="B3970" s="21" t="s">
        <v>1237</v>
      </c>
      <c r="C3970" s="21" t="s">
        <v>1188</v>
      </c>
      <c r="D3970" s="21" t="s">
        <v>1180</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163</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818</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row>
    <row r="3974" spans="1:12">
      <c r="A3974" s="20" t="s">
        <v>2408</v>
      </c>
    </row>
    <row r="3975" spans="1:12">
      <c r="A3975" s="20" t="s">
        <v>1832</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1503</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2409</v>
      </c>
      <c r="B3977" s="21" t="s">
        <v>1194</v>
      </c>
      <c r="C3977" s="21" t="s">
        <v>1188</v>
      </c>
      <c r="D3977" s="21" t="s">
        <v>1180</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1185</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1198</v>
      </c>
      <c r="B3979" s="21" t="s">
        <v>1306</v>
      </c>
      <c r="C3979" s="21" t="s">
        <v>1238</v>
      </c>
      <c r="D3979" s="21" t="s">
        <v>1180</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1661</v>
      </c>
      <c r="B3980" s="21" t="s">
        <v>1304</v>
      </c>
      <c r="C3980" s="21" t="s">
        <v>1238</v>
      </c>
      <c r="D3980" s="21" t="s">
        <v>1180</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2410</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1198</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2411</v>
      </c>
      <c r="B3983" s="21" t="s">
        <v>1207</v>
      </c>
      <c r="C3983" s="21" t="s">
        <v>1188</v>
      </c>
      <c r="D3983" s="21" t="s">
        <v>1180</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2412</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1185</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2413</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1661</v>
      </c>
      <c r="B3987" s="21" t="s">
        <v>1194</v>
      </c>
      <c r="C3987" s="21" t="s">
        <v>1238</v>
      </c>
      <c r="D3987" s="21" t="s">
        <v>1180</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2414</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1676</v>
      </c>
      <c r="B3989" s="21" t="s">
        <v>1204</v>
      </c>
      <c r="C3989" s="21" t="s">
        <v>1184</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1295</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2415</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2416</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818</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row>
    <row r="3995" spans="1:12">
      <c r="A3995" s="20" t="s">
        <v>2417</v>
      </c>
    </row>
    <row r="3996" spans="1:12">
      <c r="A3996" s="20" t="s">
        <v>1832</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1481</v>
      </c>
      <c r="B3997" s="21" t="s">
        <v>1240</v>
      </c>
      <c r="C3997" s="21" t="s">
        <v>1188</v>
      </c>
      <c r="D3997" s="21" t="s">
        <v>1180</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1185</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1198</v>
      </c>
      <c r="B3999" s="21" t="s">
        <v>1289</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1224</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1206</v>
      </c>
      <c r="B4001" s="21" t="s">
        <v>1291</v>
      </c>
      <c r="C4001" s="21" t="s">
        <v>1208</v>
      </c>
      <c r="D4001" s="21" t="s">
        <v>1180</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2418</v>
      </c>
      <c r="B4002" s="21" t="s">
        <v>1278</v>
      </c>
      <c r="C4002" s="21" t="s">
        <v>1210</v>
      </c>
      <c r="D4002" s="21" t="s">
        <v>1180</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2419</v>
      </c>
      <c r="B4003" s="21" t="s">
        <v>1340</v>
      </c>
      <c r="C4003" s="21" t="s">
        <v>1184</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513</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1252</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1295</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2184</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1031</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2420</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1196</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1185</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1271</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1482</v>
      </c>
      <c r="B4013" s="21" t="s">
        <v>1204</v>
      </c>
      <c r="C4013" s="21" t="s">
        <v>1184</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2421</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1185</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1513</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185</v>
      </c>
      <c r="B4017" s="21" t="s">
        <v>1237</v>
      </c>
      <c r="C4017" s="21" t="s">
        <v>1195</v>
      </c>
      <c r="D4017" s="21" t="s">
        <v>1180</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1330</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2422</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818</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row>
    <row r="4022" spans="1:12">
      <c r="A4022" s="20" t="s">
        <v>2423</v>
      </c>
    </row>
    <row r="4023" spans="1:12">
      <c r="A4023" s="20" t="s">
        <v>2424</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2425</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2426</v>
      </c>
      <c r="B4025" s="21" t="s">
        <v>1204</v>
      </c>
      <c r="C4025" s="21" t="s">
        <v>1394</v>
      </c>
      <c r="D4025" s="21" t="s">
        <v>1180</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1189</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2427</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2428</v>
      </c>
      <c r="B4028" s="21" t="s">
        <v>1191</v>
      </c>
      <c r="C4028" s="21" t="s">
        <v>1179</v>
      </c>
      <c r="D4028" s="21" t="s">
        <v>1180</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1185</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1186</v>
      </c>
      <c r="B4030" s="21" t="s">
        <v>1289</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1531</v>
      </c>
      <c r="B4031" s="21" t="s">
        <v>1291</v>
      </c>
      <c r="C4031" s="21" t="s">
        <v>1254</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1495</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1407</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2429</v>
      </c>
      <c r="B4034" s="21" t="s">
        <v>1340</v>
      </c>
      <c r="C4034" s="21" t="s">
        <v>1188</v>
      </c>
      <c r="D4034" s="21" t="s">
        <v>1180</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2430</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163</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1185</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96</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1185</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1353</v>
      </c>
      <c r="B4040" s="21" t="s">
        <v>1278</v>
      </c>
      <c r="C4040" s="21" t="s">
        <v>1208</v>
      </c>
      <c r="D4040" s="21" t="s">
        <v>1180</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1676</v>
      </c>
      <c r="B4041" s="21" t="s">
        <v>1304</v>
      </c>
      <c r="C4041" s="21" t="s">
        <v>1210</v>
      </c>
      <c r="D4041" s="21" t="s">
        <v>1180</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163</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1549</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1031</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1537</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1276</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2431</v>
      </c>
      <c r="B4047" s="21" t="s">
        <v>1237</v>
      </c>
      <c r="C4047" s="21" t="s">
        <v>1223</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2432</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1185</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1198</v>
      </c>
      <c r="B4050" s="21" t="s">
        <v>1304</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1224</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1202</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1596</v>
      </c>
      <c r="B4053" s="21" t="s">
        <v>1207</v>
      </c>
      <c r="C4053" s="21" t="s">
        <v>1179</v>
      </c>
      <c r="D4053" s="21" t="s">
        <v>1180</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2433</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818</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row>
    <row r="4057" spans="1:12">
      <c r="A4057" s="20" t="s">
        <v>2434</v>
      </c>
    </row>
    <row r="4058" spans="1:12">
      <c r="A4058" s="20" t="s">
        <v>1794</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1257</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185</v>
      </c>
      <c r="B4060" s="21" t="s">
        <v>1194</v>
      </c>
      <c r="C4060" s="21" t="s">
        <v>1195</v>
      </c>
      <c r="D4060" s="21" t="s">
        <v>1180</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1248</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2391</v>
      </c>
      <c r="B4062" s="21" t="s">
        <v>1178</v>
      </c>
      <c r="C4062" s="21" t="s">
        <v>1184</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1185</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1202</v>
      </c>
      <c r="B4064" s="21" t="s">
        <v>1237</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427</v>
      </c>
      <c r="B4065" s="21" t="s">
        <v>1240</v>
      </c>
      <c r="C4065" s="21" t="s">
        <v>1238</v>
      </c>
      <c r="D4065" s="21" t="s">
        <v>1180</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2435</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1249</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row>
    <row r="4069" spans="1:12">
      <c r="A4069" s="20" t="s">
        <v>2436</v>
      </c>
    </row>
    <row r="4070" spans="1:12">
      <c r="A4070" s="20" t="s">
        <v>2437</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1353</v>
      </c>
      <c r="B4071" s="21" t="s">
        <v>1278</v>
      </c>
      <c r="C4071" s="21" t="s">
        <v>1208</v>
      </c>
      <c r="D4071" s="21" t="s">
        <v>1180</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1676</v>
      </c>
      <c r="B4072" s="21" t="s">
        <v>1304</v>
      </c>
      <c r="C4072" s="21" t="s">
        <v>1210</v>
      </c>
      <c r="D4072" s="21" t="s">
        <v>1180</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2438</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1276</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2439</v>
      </c>
      <c r="B4075" s="21" t="s">
        <v>1237</v>
      </c>
      <c r="C4075" s="21" t="s">
        <v>1223</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1249</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row>
    <row r="4078" spans="1:12">
      <c r="A4078" s="20" t="s">
        <v>2440</v>
      </c>
    </row>
    <row r="4079" spans="1:12">
      <c r="A4079" s="20" t="s">
        <v>1193</v>
      </c>
      <c r="B4079" s="21" t="s">
        <v>1194</v>
      </c>
      <c r="C4079" s="21" t="s">
        <v>1195</v>
      </c>
      <c r="D4079" s="21" t="s">
        <v>1180</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2441</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2442</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1185</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1295</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1031</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1253</v>
      </c>
      <c r="B4085" s="21" t="s">
        <v>1207</v>
      </c>
      <c r="C4085" s="21" t="s">
        <v>1254</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2443</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2444</v>
      </c>
      <c r="B4087" s="21" t="s">
        <v>1240</v>
      </c>
      <c r="C4087" s="21" t="s">
        <v>1324</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1198</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1505</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1338</v>
      </c>
      <c r="B4090" s="21" t="s">
        <v>1207</v>
      </c>
      <c r="C4090" s="21" t="s">
        <v>1188</v>
      </c>
      <c r="D4090" s="21" t="s">
        <v>1180</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96</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2442</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818</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row>
    <row r="4095" spans="1:12">
      <c r="A4095" s="20" t="s">
        <v>2445</v>
      </c>
    </row>
    <row r="4096" spans="1:12">
      <c r="A4096" s="20" t="s">
        <v>1262</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1182</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2446</v>
      </c>
      <c r="B4098" s="21" t="s">
        <v>1194</v>
      </c>
      <c r="C4098" s="21" t="s">
        <v>1179</v>
      </c>
      <c r="D4098" s="21" t="s">
        <v>1180</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57</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1185</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185</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1440</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1276</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2447</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2448</v>
      </c>
      <c r="B4105" s="21" t="s">
        <v>1204</v>
      </c>
      <c r="C4105" s="21" t="s">
        <v>1223</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1352</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1661</v>
      </c>
      <c r="B4107" s="21" t="s">
        <v>1191</v>
      </c>
      <c r="C4107" s="21" t="s">
        <v>1238</v>
      </c>
      <c r="D4107" s="21" t="s">
        <v>1180</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1420</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1202</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2208</v>
      </c>
      <c r="B4110" s="21" t="s">
        <v>1191</v>
      </c>
      <c r="C4110" s="21" t="s">
        <v>1188</v>
      </c>
      <c r="D4110" s="21" t="s">
        <v>1180</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2122</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1202</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2449</v>
      </c>
      <c r="B4113" s="21" t="s">
        <v>1207</v>
      </c>
      <c r="C4113" s="21" t="s">
        <v>1188</v>
      </c>
      <c r="D4113" s="21" t="s">
        <v>1180</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1249</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row>
    <row r="4116" spans="1:12">
      <c r="A4116" s="20" t="s">
        <v>2450</v>
      </c>
    </row>
    <row r="4117" spans="1:12">
      <c r="A4117" s="20" t="s">
        <v>1287</v>
      </c>
      <c r="B4117" s="21" t="s">
        <v>1178</v>
      </c>
      <c r="C4117" s="21" t="s">
        <v>1195</v>
      </c>
      <c r="D4117" s="21" t="s">
        <v>1180</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1182</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2451</v>
      </c>
      <c r="B4119" s="21" t="s">
        <v>1178</v>
      </c>
      <c r="C4119" s="21" t="s">
        <v>1184</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1185</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1263</v>
      </c>
      <c r="B4121" s="21" t="s">
        <v>1304</v>
      </c>
      <c r="C4121" s="21" t="s">
        <v>1195</v>
      </c>
      <c r="D4121" s="21" t="s">
        <v>1180</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2452</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1268</v>
      </c>
      <c r="B4123" s="21" t="s">
        <v>1306</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1314</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2453</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818</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row>
    <row r="4128" spans="1:12">
      <c r="A4128" s="20" t="s">
        <v>2454</v>
      </c>
    </row>
    <row r="4129" spans="1:12">
      <c r="A4129" s="20" t="s">
        <v>1582</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57</v>
      </c>
      <c r="B4130" s="21" t="s">
        <v>1194</v>
      </c>
      <c r="C4130" s="21" t="s">
        <v>1195</v>
      </c>
      <c r="D4130" s="21" t="s">
        <v>1180</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1495</v>
      </c>
      <c r="B4131" s="21" t="s">
        <v>1204</v>
      </c>
      <c r="C4131" s="21" t="s">
        <v>1208</v>
      </c>
      <c r="D4131" s="21" t="s">
        <v>1180</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751</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1249</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row>
    <row r="4135" spans="1:12">
      <c r="A4135" s="20" t="s">
        <v>2455</v>
      </c>
    </row>
    <row r="4136" spans="1:12">
      <c r="A4136" s="20" t="s">
        <v>1262</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1182</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2456</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818</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row>
    <row r="4141" spans="1:12">
      <c r="A4141" s="20" t="s">
        <v>2457</v>
      </c>
    </row>
    <row r="4142" spans="1:12">
      <c r="A4142" s="20" t="s">
        <v>2446</v>
      </c>
      <c r="B4142" s="21" t="s">
        <v>1194</v>
      </c>
      <c r="C4142" s="21" t="s">
        <v>1179</v>
      </c>
      <c r="D4142" s="21" t="s">
        <v>1180</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57</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1185</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185</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1440</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1276</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2018</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1185</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2458</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2448</v>
      </c>
      <c r="B4151" s="21" t="s">
        <v>1204</v>
      </c>
      <c r="C4151" s="21" t="s">
        <v>1223</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1287</v>
      </c>
      <c r="B4152" s="21" t="s">
        <v>1191</v>
      </c>
      <c r="C4152" s="21" t="s">
        <v>1195</v>
      </c>
      <c r="D4152" s="21" t="s">
        <v>1180</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1182</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2459</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818</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row>
    <row r="4157" spans="1:12">
      <c r="A4157" s="20" t="s">
        <v>2460</v>
      </c>
    </row>
    <row r="4158" spans="1:12">
      <c r="A4158" s="20" t="s">
        <v>272</v>
      </c>
      <c r="B4158" s="21" t="s">
        <v>1194</v>
      </c>
      <c r="C4158" s="21" t="s">
        <v>1184</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1759</v>
      </c>
      <c r="B4159" s="21" t="s">
        <v>1191</v>
      </c>
      <c r="C4159" s="21" t="s">
        <v>1179</v>
      </c>
      <c r="D4159" s="21" t="s">
        <v>1180</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1257</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2391</v>
      </c>
      <c r="B4161" s="21" t="s">
        <v>1178</v>
      </c>
      <c r="C4161" s="21" t="s">
        <v>1184</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2205</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1495</v>
      </c>
      <c r="B4163" s="21" t="s">
        <v>1240</v>
      </c>
      <c r="C4163" s="21" t="s">
        <v>1238</v>
      </c>
      <c r="D4163" s="21" t="s">
        <v>1180</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2461</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1185</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1236</v>
      </c>
      <c r="B4166" s="21" t="s">
        <v>1240</v>
      </c>
      <c r="C4166" s="21" t="s">
        <v>1238</v>
      </c>
      <c r="D4166" s="21" t="s">
        <v>1180</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427</v>
      </c>
      <c r="B4167" s="21" t="s">
        <v>1240</v>
      </c>
      <c r="C4167" s="21" t="s">
        <v>1238</v>
      </c>
      <c r="D4167" s="21" t="s">
        <v>1180</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1224</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1198</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1329</v>
      </c>
      <c r="B4170" s="21" t="s">
        <v>1191</v>
      </c>
      <c r="C4170" s="21" t="s">
        <v>1188</v>
      </c>
      <c r="D4170" s="21" t="s">
        <v>1180</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1198</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2462</v>
      </c>
      <c r="B4172" s="21" t="s">
        <v>1207</v>
      </c>
      <c r="C4172" s="21" t="s">
        <v>1188</v>
      </c>
      <c r="D4172" s="21" t="s">
        <v>1180</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1487</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2463</v>
      </c>
      <c r="B4174" s="21" t="s">
        <v>1237</v>
      </c>
      <c r="C4174" s="21" t="s">
        <v>1223</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724</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1922</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818</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row>
    <row r="4179" spans="1:12">
      <c r="A4179" s="20" t="s">
        <v>2464</v>
      </c>
    </row>
    <row r="4180" spans="1:12">
      <c r="A4180" s="20" t="s">
        <v>2391</v>
      </c>
      <c r="B4180" s="21" t="s">
        <v>1194</v>
      </c>
      <c r="C4180" s="21" t="s">
        <v>1184</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1257</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1381</v>
      </c>
      <c r="B4182" s="21" t="s">
        <v>1178</v>
      </c>
      <c r="C4182" s="21" t="s">
        <v>1254</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1185</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1495</v>
      </c>
      <c r="B4184" s="21" t="s">
        <v>1240</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1487</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2465</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2049</v>
      </c>
      <c r="B4187" s="21" t="s">
        <v>1237</v>
      </c>
      <c r="C4187" s="21" t="s">
        <v>1223</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2466</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1185</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1186</v>
      </c>
      <c r="B4190" s="21" t="s">
        <v>1304</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185</v>
      </c>
      <c r="B4191" s="21" t="s">
        <v>1306</v>
      </c>
      <c r="C4191" s="21" t="s">
        <v>1195</v>
      </c>
      <c r="D4191" s="21" t="s">
        <v>1180</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2159</v>
      </c>
      <c r="B4192" s="21" t="s">
        <v>1306</v>
      </c>
      <c r="C4192" s="21" t="s">
        <v>1184</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2467</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1185</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1495</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2468</v>
      </c>
      <c r="B4196" s="21" t="s">
        <v>1340</v>
      </c>
      <c r="C4196" s="21" t="s">
        <v>1188</v>
      </c>
      <c r="D4196" s="21" t="s">
        <v>1180</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1200</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2469</v>
      </c>
      <c r="B4198" s="21" t="s">
        <v>1291</v>
      </c>
      <c r="C4198" s="21" t="s">
        <v>1184</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1295</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1458</v>
      </c>
      <c r="B4200" s="21" t="s">
        <v>1492</v>
      </c>
      <c r="C4200" s="21" t="s">
        <v>1184</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1330</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2470</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1185</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1448</v>
      </c>
      <c r="B4204" s="21" t="s">
        <v>1306</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1661</v>
      </c>
      <c r="B4205" s="21" t="s">
        <v>1304</v>
      </c>
      <c r="C4205" s="21" t="s">
        <v>1238</v>
      </c>
      <c r="D4205" s="21" t="s">
        <v>1180</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2471</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1314</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2472</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1922</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818</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row>
    <row r="4212" spans="1:12">
      <c r="A4212" s="20" t="s">
        <v>2473</v>
      </c>
    </row>
    <row r="4213" spans="1:12">
      <c r="A4213" s="20" t="s">
        <v>1723</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1676</v>
      </c>
      <c r="B4214" s="21" t="s">
        <v>1178</v>
      </c>
      <c r="C4214" s="21" t="s">
        <v>1184</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1185</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1186</v>
      </c>
      <c r="B4216" s="21" t="s">
        <v>1304</v>
      </c>
      <c r="C4216" s="21" t="s">
        <v>1238</v>
      </c>
      <c r="D4216" s="21" t="s">
        <v>1180</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2267</v>
      </c>
      <c r="B4217" s="21" t="s">
        <v>1306</v>
      </c>
      <c r="C4217" s="21" t="s">
        <v>1179</v>
      </c>
      <c r="D4217" s="21" t="s">
        <v>1180</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1371</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2284</v>
      </c>
      <c r="B4219" s="21" t="s">
        <v>1278</v>
      </c>
      <c r="C4219" s="21" t="s">
        <v>1179</v>
      </c>
      <c r="D4219" s="21" t="s">
        <v>1180</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2474</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1185</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2034</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1186</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1395</v>
      </c>
      <c r="B4224" s="21" t="s">
        <v>1194</v>
      </c>
      <c r="C4224" s="21" t="s">
        <v>1179</v>
      </c>
      <c r="D4224" s="21" t="s">
        <v>1180</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1932</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1224</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1202</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2475</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11</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1422</v>
      </c>
      <c r="B4230" s="21" t="s">
        <v>1178</v>
      </c>
      <c r="C4230" s="21" t="s">
        <v>1188</v>
      </c>
      <c r="D4230" s="21" t="s">
        <v>1180</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1513</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2476</v>
      </c>
      <c r="B4232" s="21" t="s">
        <v>1178</v>
      </c>
      <c r="C4232" s="21" t="s">
        <v>1184</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818</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row>
    <row r="4235" spans="1:12">
      <c r="A4235" s="20" t="s">
        <v>2477</v>
      </c>
    </row>
    <row r="4236" spans="1:12">
      <c r="A4236" s="20" t="s">
        <v>1600</v>
      </c>
      <c r="B4236" s="21" t="s">
        <v>1194</v>
      </c>
      <c r="C4236" s="21" t="s">
        <v>1195</v>
      </c>
      <c r="D4236" s="21" t="s">
        <v>1180</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2034</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1495</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2478</v>
      </c>
      <c r="B4239" s="21" t="s">
        <v>1204</v>
      </c>
      <c r="C4239" s="21" t="s">
        <v>1188</v>
      </c>
      <c r="D4239" s="21" t="s">
        <v>1180</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1185</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1218</v>
      </c>
      <c r="B4241" s="21" t="s">
        <v>1306</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1242</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1260</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1481</v>
      </c>
      <c r="B4244" s="21" t="s">
        <v>1207</v>
      </c>
      <c r="C4244" s="21" t="s">
        <v>1188</v>
      </c>
      <c r="D4244" s="21" t="s">
        <v>1180</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2387</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2479</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818</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row>
    <row r="4249" spans="1:12">
      <c r="A4249" s="20" t="s">
        <v>2480</v>
      </c>
    </row>
    <row r="4250" spans="1:12">
      <c r="A4250" s="20" t="s">
        <v>951</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1495</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2478</v>
      </c>
      <c r="B4252" s="21" t="s">
        <v>1194</v>
      </c>
      <c r="C4252" s="21" t="s">
        <v>1179</v>
      </c>
      <c r="D4252" s="21" t="s">
        <v>1180</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2481</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1218</v>
      </c>
      <c r="B4254" s="21" t="s">
        <v>1204</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1242</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1260</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1481</v>
      </c>
      <c r="B4257" s="21" t="s">
        <v>1178</v>
      </c>
      <c r="C4257" s="21" t="s">
        <v>1188</v>
      </c>
      <c r="D4257" s="21" t="s">
        <v>1180</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2387</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1265</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818</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row>
    <row r="4262" spans="1:12">
      <c r="A4262" s="20" t="s">
        <v>2482</v>
      </c>
    </row>
    <row r="4263" spans="1:12">
      <c r="A4263" s="20" t="s">
        <v>1309</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1198</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1481</v>
      </c>
      <c r="B4265" s="21" t="s">
        <v>1194</v>
      </c>
      <c r="C4265" s="21" t="s">
        <v>1188</v>
      </c>
      <c r="D4265" s="21" t="s">
        <v>1180</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1295</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1495</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2366</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1534</v>
      </c>
      <c r="B4269" s="21" t="s">
        <v>1191</v>
      </c>
      <c r="C4269" s="21" t="s">
        <v>1188</v>
      </c>
      <c r="D4269" s="21" t="s">
        <v>1180</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1601</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2442</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818</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row>
    <row r="4274" spans="1:12">
      <c r="A4274" s="20" t="s">
        <v>2483</v>
      </c>
    </row>
    <row r="4275" spans="1:12">
      <c r="A4275" s="20" t="s">
        <v>1600</v>
      </c>
      <c r="B4275" s="21" t="s">
        <v>1194</v>
      </c>
      <c r="C4275" s="21" t="s">
        <v>1195</v>
      </c>
      <c r="D4275" s="21" t="s">
        <v>1180</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1601</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1185</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185</v>
      </c>
      <c r="B4278" s="21" t="s">
        <v>1304</v>
      </c>
      <c r="C4278" s="21" t="s">
        <v>1195</v>
      </c>
      <c r="D4278" s="21" t="s">
        <v>1180</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1787</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1495</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1496</v>
      </c>
      <c r="B4281" s="21" t="s">
        <v>1237</v>
      </c>
      <c r="C4281" s="21" t="s">
        <v>1188</v>
      </c>
      <c r="D4281" s="21" t="s">
        <v>1180</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1352</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1455</v>
      </c>
      <c r="B4283" s="21" t="s">
        <v>1278</v>
      </c>
      <c r="C4283" s="21" t="s">
        <v>1297</v>
      </c>
      <c r="D4283" s="21" t="s">
        <v>1180</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2219</v>
      </c>
      <c r="B4284" s="21" t="s">
        <v>1207</v>
      </c>
      <c r="C4284" s="21" t="s">
        <v>1184</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1314</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2392</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818</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row>
    <row r="4289" spans="1:12">
      <c r="A4289" s="20" t="s">
        <v>2484</v>
      </c>
    </row>
    <row r="4290" spans="1:12">
      <c r="A4290" s="20" t="s">
        <v>1600</v>
      </c>
      <c r="B4290" s="21" t="s">
        <v>1194</v>
      </c>
      <c r="C4290" s="21" t="s">
        <v>1195</v>
      </c>
      <c r="D4290" s="21" t="s">
        <v>1180</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1601</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1185</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1198</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1554</v>
      </c>
      <c r="B4294" s="21" t="s">
        <v>1240</v>
      </c>
      <c r="C4294" s="21" t="s">
        <v>1179</v>
      </c>
      <c r="D4294" s="21" t="s">
        <v>1180</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1352</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1186</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2223</v>
      </c>
      <c r="B4297" s="21" t="s">
        <v>1207</v>
      </c>
      <c r="C4297" s="21" t="s">
        <v>1188</v>
      </c>
      <c r="D4297" s="21" t="s">
        <v>1180</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1787</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1330</v>
      </c>
      <c r="B4299" s="21" t="s">
        <v>1191</v>
      </c>
      <c r="C4299" s="21" t="s">
        <v>1254</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2485</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1185</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1513</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1202</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1469</v>
      </c>
      <c r="B4304" s="21" t="s">
        <v>1306</v>
      </c>
      <c r="C4304" s="21" t="s">
        <v>1188</v>
      </c>
      <c r="D4304" s="21" t="s">
        <v>1180</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1330</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2486</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818</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row>
    <row r="4309" spans="1:12">
      <c r="A4309" s="20" t="s">
        <v>2487</v>
      </c>
    </row>
    <row r="4310" spans="1:12">
      <c r="A4310" s="20" t="s">
        <v>1309</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427</v>
      </c>
      <c r="B4311" s="21" t="s">
        <v>1194</v>
      </c>
      <c r="C4311" s="21" t="s">
        <v>1238</v>
      </c>
      <c r="D4311" s="21" t="s">
        <v>1180</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163</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1224</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1198</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2309</v>
      </c>
      <c r="B4315" s="21" t="s">
        <v>1191</v>
      </c>
      <c r="C4315" s="21" t="s">
        <v>1188</v>
      </c>
      <c r="D4315" s="21" t="s">
        <v>1180</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2277</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1260</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52</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818</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2344</v>
      </c>
      <c r="B4320" s="21" t="s">
        <v>1191</v>
      </c>
      <c r="C4320" s="21" t="s">
        <v>1179</v>
      </c>
      <c r="D4320" s="21" t="s">
        <v>1180</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1358</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1185</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1359</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1661</v>
      </c>
      <c r="B4324" s="21" t="s">
        <v>1304</v>
      </c>
      <c r="C4324" s="21" t="s">
        <v>1238</v>
      </c>
      <c r="D4324" s="21" t="s">
        <v>1180</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1330</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1198</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2488</v>
      </c>
      <c r="B4327" s="21" t="s">
        <v>1207</v>
      </c>
      <c r="C4327" s="21" t="s">
        <v>1188</v>
      </c>
      <c r="D4327" s="21" t="s">
        <v>1180</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2489</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1295</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1202</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2391</v>
      </c>
      <c r="B4331" s="21" t="s">
        <v>1340</v>
      </c>
      <c r="C4331" s="21" t="s">
        <v>1188</v>
      </c>
      <c r="D4331" s="21" t="s">
        <v>1180</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1420</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2490</v>
      </c>
      <c r="B4333" s="21" t="s">
        <v>1278</v>
      </c>
      <c r="C4333" s="21" t="s">
        <v>1184</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2491</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1185</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1513</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1186</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1676</v>
      </c>
      <c r="B4338" s="21" t="s">
        <v>1340</v>
      </c>
      <c r="C4338" s="21" t="s">
        <v>1188</v>
      </c>
      <c r="D4338" s="21" t="s">
        <v>1180</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1224</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1260</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1445</v>
      </c>
      <c r="B4341" s="21" t="s">
        <v>1291</v>
      </c>
      <c r="C4341" s="21" t="s">
        <v>1188</v>
      </c>
      <c r="D4341" s="21" t="s">
        <v>1180</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1330</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2492</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1185</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1452</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1202</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1481</v>
      </c>
      <c r="B4347" s="21" t="s">
        <v>1278</v>
      </c>
      <c r="C4347" s="21" t="s">
        <v>1188</v>
      </c>
      <c r="D4347" s="21" t="s">
        <v>1180</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1330</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142</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1185</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1452</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1495</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2366</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1534</v>
      </c>
      <c r="B4354" s="21" t="s">
        <v>1429</v>
      </c>
      <c r="C4354" s="21" t="s">
        <v>1188</v>
      </c>
      <c r="D4354" s="21" t="s">
        <v>1180</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1330</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142</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1185</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1295</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185</v>
      </c>
      <c r="B4359" s="21" t="s">
        <v>1240</v>
      </c>
      <c r="C4359" s="21" t="s">
        <v>1195</v>
      </c>
      <c r="D4359" s="21" t="s">
        <v>1180</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1257</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1353</v>
      </c>
      <c r="B4361" s="21" t="s">
        <v>1191</v>
      </c>
      <c r="C4361" s="21" t="s">
        <v>1208</v>
      </c>
      <c r="D4361" s="21" t="s">
        <v>1180</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1337</v>
      </c>
      <c r="B4362" s="21" t="s">
        <v>1178</v>
      </c>
      <c r="C4362" s="21" t="s">
        <v>1210</v>
      </c>
      <c r="D4362" s="21" t="s">
        <v>1180</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1200</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1338</v>
      </c>
      <c r="B4364" s="21" t="s">
        <v>1191</v>
      </c>
      <c r="C4364" s="21" t="s">
        <v>1184</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1205</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2493</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2494</v>
      </c>
      <c r="B4367" s="21" t="s">
        <v>1207</v>
      </c>
      <c r="C4367" s="21" t="s">
        <v>1184</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1185</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1651</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1198</v>
      </c>
      <c r="B4370" s="21" t="s">
        <v>1291</v>
      </c>
      <c r="C4370" s="21" t="s">
        <v>1238</v>
      </c>
      <c r="D4370" s="21" t="s">
        <v>1180</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427</v>
      </c>
      <c r="B4371" s="21" t="s">
        <v>1429</v>
      </c>
      <c r="C4371" s="21" t="s">
        <v>1238</v>
      </c>
      <c r="D4371" s="21" t="s">
        <v>1180</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1508</v>
      </c>
      <c r="B4372" s="21" t="s">
        <v>1430</v>
      </c>
      <c r="C4372" s="21" t="s">
        <v>1238</v>
      </c>
      <c r="D4372" s="21" t="s">
        <v>1180</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918</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1437</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1185</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1655</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1661</v>
      </c>
      <c r="B4377" s="21" t="s">
        <v>1912</v>
      </c>
      <c r="C4377" s="21" t="s">
        <v>1238</v>
      </c>
      <c r="D4377" s="21" t="s">
        <v>1180</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1455</v>
      </c>
      <c r="B4378" s="21" t="s">
        <v>1493</v>
      </c>
      <c r="C4378" s="21" t="s">
        <v>1297</v>
      </c>
      <c r="D4378" s="21" t="s">
        <v>1180</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1525</v>
      </c>
      <c r="B4379" s="21" t="s">
        <v>1526</v>
      </c>
      <c r="C4379" s="21" t="s">
        <v>1184</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2495</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1295</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1484</v>
      </c>
      <c r="B4382" s="21" t="s">
        <v>1344</v>
      </c>
      <c r="C4382" s="21" t="s">
        <v>1238</v>
      </c>
      <c r="D4382" s="21" t="s">
        <v>1180</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2496</v>
      </c>
      <c r="B4383" s="21" t="s">
        <v>1342</v>
      </c>
      <c r="C4383" s="21" t="s">
        <v>1324</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2497</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818</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row>
    <row r="4387" spans="1:12">
      <c r="A4387" s="20" t="s">
        <v>2498</v>
      </c>
    </row>
    <row r="4388" spans="1:12">
      <c r="A4388" s="20" t="s">
        <v>1262</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1182</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2499</v>
      </c>
      <c r="B4390" s="21" t="s">
        <v>1194</v>
      </c>
      <c r="C4390" s="21" t="s">
        <v>1179</v>
      </c>
      <c r="D4390" s="21" t="s">
        <v>1180</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57</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1276</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790</v>
      </c>
      <c r="B4393" s="21" t="s">
        <v>1178</v>
      </c>
      <c r="C4393" s="21" t="s">
        <v>1223</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1293</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1294</v>
      </c>
      <c r="B4395" s="21" t="s">
        <v>1178</v>
      </c>
      <c r="C4395" s="21" t="s">
        <v>1195</v>
      </c>
      <c r="D4395" s="21" t="s">
        <v>1180</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1249</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row>
    <row r="4398" spans="1:12">
      <c r="A4398" s="20" t="s">
        <v>2500</v>
      </c>
    </row>
    <row r="4399" spans="1:12">
      <c r="A4399" s="20" t="s">
        <v>1193</v>
      </c>
      <c r="B4399" s="21" t="s">
        <v>1194</v>
      </c>
      <c r="C4399" s="21" t="s">
        <v>1195</v>
      </c>
      <c r="D4399" s="21" t="s">
        <v>1180</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1264</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1487</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1381</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2501</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1315</v>
      </c>
      <c r="B4404" s="21" t="s">
        <v>1204</v>
      </c>
      <c r="C4404" s="21" t="s">
        <v>1223</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1219</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1268</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818</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row>
    <row r="4409" spans="1:12">
      <c r="A4409" s="20" t="s">
        <v>2502</v>
      </c>
    </row>
    <row r="4410" spans="1:12">
      <c r="A4410" s="20" t="s">
        <v>2503</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427</v>
      </c>
      <c r="B4411" s="21" t="s">
        <v>1194</v>
      </c>
      <c r="C4411" s="21" t="s">
        <v>1238</v>
      </c>
      <c r="D4411" s="21" t="s">
        <v>1180</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2504</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1200</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2449</v>
      </c>
      <c r="B4414" s="21" t="s">
        <v>1178</v>
      </c>
      <c r="C4414" s="21" t="s">
        <v>1184</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797</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1182</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row>
    <row r="4418" spans="1:12">
      <c r="A4418" s="20" t="s">
        <v>2505</v>
      </c>
    </row>
    <row r="4419" spans="1:12">
      <c r="A4419" s="20" t="s">
        <v>1545</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2506</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1695</v>
      </c>
      <c r="B4421" s="21" t="s">
        <v>1194</v>
      </c>
      <c r="C4421" s="21" t="s">
        <v>1188</v>
      </c>
      <c r="D4421" s="21" t="s">
        <v>1180</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801</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1563</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2507</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2508</v>
      </c>
      <c r="B4425" s="21" t="s">
        <v>1204</v>
      </c>
      <c r="C4425" s="21" t="s">
        <v>1232</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1224</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1225</v>
      </c>
      <c r="B4427" s="21" t="s">
        <v>1191</v>
      </c>
      <c r="C4427" s="21" t="s">
        <v>1179</v>
      </c>
      <c r="D4427" s="21" t="s">
        <v>1180</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2509</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2510</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818</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row>
    <row r="4432" spans="1:12">
      <c r="A4432" s="20" t="s">
        <v>2511</v>
      </c>
    </row>
    <row r="4433" spans="1:12">
      <c r="A4433" s="20" t="s">
        <v>1405</v>
      </c>
      <c r="B4433" s="21" t="s">
        <v>1194</v>
      </c>
      <c r="C4433" s="21" t="s">
        <v>1195</v>
      </c>
      <c r="D4433" s="21" t="s">
        <v>1180</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1392</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2512</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1979</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1185</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2513</v>
      </c>
      <c r="B4438" s="21" t="s">
        <v>1207</v>
      </c>
      <c r="C4438" s="21" t="s">
        <v>1238</v>
      </c>
      <c r="D4438" s="21" t="s">
        <v>1180</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2514</v>
      </c>
      <c r="B4439" s="21" t="s">
        <v>1240</v>
      </c>
      <c r="C4439" s="21" t="s">
        <v>1184</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2515</v>
      </c>
      <c r="B4440" s="21" t="s">
        <v>1207</v>
      </c>
      <c r="C4440" s="21" t="s">
        <v>1179</v>
      </c>
      <c r="D4440" s="21" t="s">
        <v>1180</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2516</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2517</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1257</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1185</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2518</v>
      </c>
      <c r="B4445" s="21" t="s">
        <v>1178</v>
      </c>
      <c r="C4445" s="21" t="s">
        <v>1179</v>
      </c>
      <c r="D4445" s="21" t="s">
        <v>1180</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2516</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1185</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1302</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1661</v>
      </c>
      <c r="B4449" s="21" t="s">
        <v>1304</v>
      </c>
      <c r="C4449" s="21" t="s">
        <v>1238</v>
      </c>
      <c r="D4449" s="21" t="s">
        <v>1180</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1566</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1738</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818</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row>
    <row r="4454" spans="1:12">
      <c r="A4454" s="20" t="s">
        <v>2519</v>
      </c>
    </row>
    <row r="4455" spans="1:12">
      <c r="A4455" s="20" t="s">
        <v>1593</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2520</v>
      </c>
      <c r="B4456" s="21" t="s">
        <v>1194</v>
      </c>
      <c r="C4456" s="21" t="s">
        <v>1223</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1197</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2521</v>
      </c>
      <c r="B4458" s="21" t="s">
        <v>1191</v>
      </c>
      <c r="C4458" s="21" t="s">
        <v>1179</v>
      </c>
      <c r="D4458" s="21" t="s">
        <v>1180</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2522</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1185</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185</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1440</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1695</v>
      </c>
      <c r="B4463" s="21" t="s">
        <v>1240</v>
      </c>
      <c r="C4463" s="21" t="s">
        <v>1184</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1224</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1198</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2523</v>
      </c>
      <c r="B4466" s="21" t="s">
        <v>1191</v>
      </c>
      <c r="C4466" s="21" t="s">
        <v>1188</v>
      </c>
      <c r="D4466" s="21" t="s">
        <v>1180</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1186</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1268</v>
      </c>
      <c r="B4468" s="21" t="s">
        <v>1304</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2524</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38</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2525</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818</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row>
    <row r="4474" spans="1:12">
      <c r="A4474" s="20" t="s">
        <v>2526</v>
      </c>
    </row>
    <row r="4475" spans="1:12">
      <c r="A4475" s="20" t="s">
        <v>1464</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2527</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57</v>
      </c>
      <c r="B4477" s="21" t="s">
        <v>1194</v>
      </c>
      <c r="C4477" s="21" t="s">
        <v>1195</v>
      </c>
      <c r="D4477" s="21" t="s">
        <v>1180</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1300</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1513</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1249</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row>
    <row r="4482" spans="1:12">
      <c r="A4482" s="20" t="s">
        <v>2528</v>
      </c>
    </row>
    <row r="4483" spans="1:12">
      <c r="A4483" s="20" t="s">
        <v>1464</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2527</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57</v>
      </c>
      <c r="B4485" s="21" t="s">
        <v>1194</v>
      </c>
      <c r="C4485" s="21" t="s">
        <v>1195</v>
      </c>
      <c r="D4485" s="21" t="s">
        <v>1180</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1293</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1198</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2529</v>
      </c>
      <c r="B4488" s="21" t="s">
        <v>1178</v>
      </c>
      <c r="C4488" s="21" t="s">
        <v>1188</v>
      </c>
      <c r="D4488" s="21" t="s">
        <v>1180</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1513</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1249</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row>
    <row r="4492" spans="1:12">
      <c r="A4492" s="20" t="s">
        <v>2530</v>
      </c>
    </row>
    <row r="4493" spans="1:12">
      <c r="A4493" s="20" t="s">
        <v>1287</v>
      </c>
      <c r="B4493" s="21" t="s">
        <v>1194</v>
      </c>
      <c r="C4493" s="21" t="s">
        <v>1195</v>
      </c>
      <c r="D4493" s="21" t="s">
        <v>1180</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1182</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1256</v>
      </c>
      <c r="B4495" s="21" t="s">
        <v>1304</v>
      </c>
      <c r="C4495" s="21" t="s">
        <v>1195</v>
      </c>
      <c r="D4495" s="21" t="s">
        <v>1180</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1257</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2531</v>
      </c>
      <c r="B4497" s="21" t="s">
        <v>1207</v>
      </c>
      <c r="C4497" s="21" t="s">
        <v>1238</v>
      </c>
      <c r="D4497" s="21" t="s">
        <v>1180</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2532</v>
      </c>
      <c r="B4498" s="21" t="s">
        <v>1191</v>
      </c>
      <c r="C4498" s="21" t="s">
        <v>1324</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1185</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1359</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185</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1574</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2222</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2176</v>
      </c>
      <c r="B4504" s="21" t="s">
        <v>1289</v>
      </c>
      <c r="C4504" s="21" t="s">
        <v>1184</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1440</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1185</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1186</v>
      </c>
      <c r="B4507" s="21" t="s">
        <v>1429</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1305</v>
      </c>
      <c r="B4508" s="21" t="s">
        <v>1430</v>
      </c>
      <c r="C4508" s="21" t="s">
        <v>1195</v>
      </c>
      <c r="D4508" s="21" t="s">
        <v>1180</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2524</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38</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2525</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818</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row>
    <row r="4514" spans="1:12">
      <c r="A4514" s="20" t="s">
        <v>2533</v>
      </c>
    </row>
    <row r="4515" spans="1:12">
      <c r="A4515" s="20" t="s">
        <v>1193</v>
      </c>
      <c r="B4515" s="21" t="s">
        <v>1194</v>
      </c>
      <c r="C4515" s="21" t="s">
        <v>1195</v>
      </c>
      <c r="D4515" s="21" t="s">
        <v>1180</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1264</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2205</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1295</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2205</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2534</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2535</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1185</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1359</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1263</v>
      </c>
      <c r="B4524" s="21" t="s">
        <v>1240</v>
      </c>
      <c r="C4524" s="21" t="s">
        <v>1195</v>
      </c>
      <c r="D4524" s="21" t="s">
        <v>1180</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2251</v>
      </c>
      <c r="B4525" s="21" t="s">
        <v>1207</v>
      </c>
      <c r="C4525" s="21" t="s">
        <v>1254</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2536</v>
      </c>
      <c r="B4526" s="21" t="s">
        <v>1237</v>
      </c>
      <c r="C4526" s="21" t="s">
        <v>1184</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1185</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1310</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1263</v>
      </c>
      <c r="B4529" s="21" t="s">
        <v>1289</v>
      </c>
      <c r="C4529" s="21" t="s">
        <v>1195</v>
      </c>
      <c r="D4529" s="21" t="s">
        <v>1180</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2537</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2538</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1185</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1311</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1312</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1185</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1236</v>
      </c>
      <c r="B4536" s="21" t="s">
        <v>1237</v>
      </c>
      <c r="C4536" s="21" t="s">
        <v>1238</v>
      </c>
      <c r="D4536" s="21" t="s">
        <v>1180</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1263</v>
      </c>
      <c r="B4537" s="21" t="s">
        <v>1240</v>
      </c>
      <c r="C4537" s="21" t="s">
        <v>1195</v>
      </c>
      <c r="D4537" s="21" t="s">
        <v>1180</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1352</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1495</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2366</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1534</v>
      </c>
      <c r="B4541" s="21" t="s">
        <v>1191</v>
      </c>
      <c r="C4541" s="21" t="s">
        <v>1188</v>
      </c>
      <c r="D4541" s="21" t="s">
        <v>1180</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130</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1252</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818</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row>
    <row r="4546" spans="1:12">
      <c r="A4546" s="20" t="s">
        <v>2539</v>
      </c>
    </row>
    <row r="4547" spans="1:12">
      <c r="A4547" s="20" t="s">
        <v>1193</v>
      </c>
      <c r="B4547" s="21" t="s">
        <v>1194</v>
      </c>
      <c r="C4547" s="21" t="s">
        <v>1195</v>
      </c>
      <c r="D4547" s="21" t="s">
        <v>1180</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1196</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1296</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1338</v>
      </c>
      <c r="B4550" s="21" t="s">
        <v>1204</v>
      </c>
      <c r="C4550" s="21" t="s">
        <v>1232</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1314</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826</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818</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row>
    <row r="4555" spans="1:12">
      <c r="A4555" s="20" t="s">
        <v>1362</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2540</v>
      </c>
    </row>
    <row r="4557" spans="1:12">
      <c r="A4557" s="20" t="s">
        <v>1193</v>
      </c>
      <c r="B4557" s="21" t="s">
        <v>1194</v>
      </c>
      <c r="C4557" s="21" t="s">
        <v>1195</v>
      </c>
      <c r="D4557" s="21" t="s">
        <v>1180</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1196</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1296</v>
      </c>
      <c r="B4559" s="21" t="s">
        <v>1191</v>
      </c>
      <c r="C4559" s="21" t="s">
        <v>1297</v>
      </c>
      <c r="D4559" s="21" t="s">
        <v>1180</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1338</v>
      </c>
      <c r="B4560" s="21" t="s">
        <v>1204</v>
      </c>
      <c r="C4560" s="21" t="s">
        <v>1184</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830</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1185</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1471</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1186</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1928</v>
      </c>
      <c r="B4565" s="21" t="s">
        <v>1191</v>
      </c>
      <c r="C4565" s="21" t="s">
        <v>1188</v>
      </c>
      <c r="D4565" s="21" t="s">
        <v>1180</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1185</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1359</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1661</v>
      </c>
      <c r="B4568" s="21" t="s">
        <v>1289</v>
      </c>
      <c r="C4568" s="21" t="s">
        <v>1238</v>
      </c>
      <c r="D4568" s="21" t="s">
        <v>1180</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2541</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1257</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1185</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1186</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2542</v>
      </c>
      <c r="B4573" s="21" t="s">
        <v>1430</v>
      </c>
      <c r="C4573" s="21" t="s">
        <v>1188</v>
      </c>
      <c r="D4573" s="21" t="s">
        <v>1180</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2543</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1330</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2544</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1185</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1359</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1661</v>
      </c>
      <c r="B4579" s="21" t="s">
        <v>1289</v>
      </c>
      <c r="C4579" s="21" t="s">
        <v>1238</v>
      </c>
      <c r="D4579" s="21" t="s">
        <v>1180</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2541</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1257</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1185</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1726</v>
      </c>
      <c r="B4583" s="21" t="s">
        <v>1430</v>
      </c>
      <c r="C4583" s="21" t="s">
        <v>1254</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2545</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1330</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625</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1185</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1452</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2546</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1265</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2547</v>
      </c>
      <c r="B4591" s="21" t="s">
        <v>1526</v>
      </c>
      <c r="C4591" s="21" t="s">
        <v>1223</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1330</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38</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1185</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1495</v>
      </c>
      <c r="B4595" s="21" t="s">
        <v>1289</v>
      </c>
      <c r="C4595" s="21" t="s">
        <v>1208</v>
      </c>
      <c r="D4595" s="21" t="s">
        <v>1180</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1334</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1428</v>
      </c>
      <c r="B4597" s="21" t="s">
        <v>1207</v>
      </c>
      <c r="C4597" s="21" t="s">
        <v>1184</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1185</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2122</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1186</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427</v>
      </c>
      <c r="B4601" s="21" t="s">
        <v>1429</v>
      </c>
      <c r="C4601" s="21" t="s">
        <v>1238</v>
      </c>
      <c r="D4601" s="21" t="s">
        <v>1180</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1508</v>
      </c>
      <c r="B4602" s="21" t="s">
        <v>1430</v>
      </c>
      <c r="C4602" s="21" t="s">
        <v>1238</v>
      </c>
      <c r="D4602" s="21" t="s">
        <v>1180</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1810</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1437</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1420</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2223</v>
      </c>
      <c r="B4606" s="21" t="s">
        <v>1291</v>
      </c>
      <c r="C4606" s="21" t="s">
        <v>1184</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1185</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1295</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96</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1182</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1367</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2548</v>
      </c>
      <c r="B4612" s="21" t="s">
        <v>1240</v>
      </c>
      <c r="C4612" s="21" t="s">
        <v>1179</v>
      </c>
      <c r="D4612" s="21" t="s">
        <v>1180</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1185</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1360</v>
      </c>
      <c r="B4614" s="21" t="s">
        <v>1289</v>
      </c>
      <c r="C4614" s="21" t="s">
        <v>1208</v>
      </c>
      <c r="D4614" s="21" t="s">
        <v>1180</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1257</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1314</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2549</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818</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1367</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row>
    <row r="4621" spans="1:12">
      <c r="A4621" s="20" t="s">
        <v>2550</v>
      </c>
    </row>
    <row r="4622" spans="1:12">
      <c r="A4622" s="20" t="s">
        <v>1357</v>
      </c>
      <c r="B4622" s="21" t="s">
        <v>1194</v>
      </c>
      <c r="C4622" s="21" t="s">
        <v>1238</v>
      </c>
      <c r="D4622" s="21" t="s">
        <v>1180</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1317</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2551</v>
      </c>
      <c r="B4624" s="21" t="s">
        <v>1194</v>
      </c>
      <c r="C4624" s="21" t="s">
        <v>1184</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1314</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834</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818</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row>
    <row r="4629" spans="1:12">
      <c r="A4629" s="20" t="s">
        <v>2552</v>
      </c>
    </row>
    <row r="4630" spans="1:12">
      <c r="A4630" s="20" t="s">
        <v>1357</v>
      </c>
      <c r="B4630" s="21" t="s">
        <v>1194</v>
      </c>
      <c r="C4630" s="21" t="s">
        <v>1238</v>
      </c>
      <c r="D4630" s="21" t="s">
        <v>1180</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1317</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2553</v>
      </c>
      <c r="B4632" s="21" t="s">
        <v>1194</v>
      </c>
      <c r="C4632" s="21" t="s">
        <v>1184</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1314</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838</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818</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row>
    <row r="4637" spans="1:12">
      <c r="A4637" s="20" t="s">
        <v>2554</v>
      </c>
    </row>
    <row r="4638" spans="1:12">
      <c r="A4638" s="20" t="s">
        <v>1245</v>
      </c>
      <c r="B4638" s="21" t="s">
        <v>1340</v>
      </c>
      <c r="C4638" s="21" t="s">
        <v>1238</v>
      </c>
      <c r="D4638" s="21" t="s">
        <v>1180</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1031</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2205</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1263</v>
      </c>
      <c r="B4641" s="21" t="s">
        <v>1289</v>
      </c>
      <c r="C4641" s="21" t="s">
        <v>1195</v>
      </c>
      <c r="D4641" s="21" t="s">
        <v>1180</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130</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1252</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1185</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1513</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1495</v>
      </c>
      <c r="B4646" s="21" t="s">
        <v>1430</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1330</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2555</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1185</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2556</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1263</v>
      </c>
      <c r="B4651" s="21" t="s">
        <v>1304</v>
      </c>
      <c r="C4651" s="21" t="s">
        <v>1195</v>
      </c>
      <c r="D4651" s="21" t="s">
        <v>1180</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2557</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1185</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842</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1198</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1472</v>
      </c>
      <c r="B4656" s="21" t="s">
        <v>1204</v>
      </c>
      <c r="C4656" s="21" t="s">
        <v>1188</v>
      </c>
      <c r="D4656" s="21" t="s">
        <v>1180</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818</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row>
    <row r="4659" spans="1:12">
      <c r="A4659" s="20" t="s">
        <v>2558</v>
      </c>
    </row>
    <row r="4660" spans="1:12">
      <c r="A4660" s="20" t="s">
        <v>1262</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1182</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1193</v>
      </c>
      <c r="B4662" s="21" t="s">
        <v>1194</v>
      </c>
      <c r="C4662" s="21" t="s">
        <v>1195</v>
      </c>
      <c r="D4662" s="21" t="s">
        <v>1180</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1196</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1219</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1290</v>
      </c>
      <c r="B4665" s="21" t="s">
        <v>1207</v>
      </c>
      <c r="C4665" s="21" t="s">
        <v>1208</v>
      </c>
      <c r="D4665" s="21" t="s">
        <v>1180</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1637</v>
      </c>
      <c r="B4666" s="21" t="s">
        <v>1191</v>
      </c>
      <c r="C4666" s="21" t="s">
        <v>1210</v>
      </c>
      <c r="D4666" s="21" t="s">
        <v>1180</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1513</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2559</v>
      </c>
      <c r="B4668" s="21" t="s">
        <v>1204</v>
      </c>
      <c r="C4668" s="21" t="s">
        <v>1184</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1233</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1260</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2560</v>
      </c>
      <c r="B4671" s="21" t="s">
        <v>1178</v>
      </c>
      <c r="C4671" s="21" t="s">
        <v>1188</v>
      </c>
      <c r="D4671" s="21" t="s">
        <v>1180</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768</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1185</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1655</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1263</v>
      </c>
      <c r="B4675" s="21" t="s">
        <v>1240</v>
      </c>
      <c r="C4675" s="21" t="s">
        <v>1195</v>
      </c>
      <c r="D4675" s="21" t="s">
        <v>1180</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1570</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1185</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1359</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185</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1907</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2561</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2562</v>
      </c>
      <c r="B4682" s="21" t="s">
        <v>1304</v>
      </c>
      <c r="C4682" s="21" t="s">
        <v>1184</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1197</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42</v>
      </c>
      <c r="B4684" s="21" t="s">
        <v>1278</v>
      </c>
      <c r="C4684" s="21" t="s">
        <v>1238</v>
      </c>
      <c r="D4684" s="21" t="s">
        <v>1180</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1212</v>
      </c>
      <c r="B4685" s="21" t="s">
        <v>1207</v>
      </c>
      <c r="C4685" s="21" t="s">
        <v>1184</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1440</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818</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row>
    <row r="4689" spans="1:12">
      <c r="A4689" s="20" t="s">
        <v>2563</v>
      </c>
    </row>
    <row r="4690" spans="1:12">
      <c r="A4690" s="20" t="s">
        <v>2564</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1600</v>
      </c>
      <c r="B4691" s="21" t="s">
        <v>1194</v>
      </c>
      <c r="C4691" s="21" t="s">
        <v>1195</v>
      </c>
      <c r="D4691" s="21" t="s">
        <v>1180</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1675</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1186</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2565</v>
      </c>
      <c r="B4694" s="21" t="s">
        <v>1237</v>
      </c>
      <c r="C4694" s="21" t="s">
        <v>1188</v>
      </c>
      <c r="D4694" s="21" t="s">
        <v>1180</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1345</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2346</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2566</v>
      </c>
      <c r="B4697" s="21" t="s">
        <v>1191</v>
      </c>
      <c r="C4697" s="21" t="s">
        <v>1324</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1182</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1600</v>
      </c>
      <c r="B4699" s="21" t="s">
        <v>1240</v>
      </c>
      <c r="C4699" s="21" t="s">
        <v>1195</v>
      </c>
      <c r="D4699" s="21" t="s">
        <v>1180</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2134</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1495</v>
      </c>
      <c r="B4701" s="21" t="s">
        <v>1240</v>
      </c>
      <c r="C4701" s="21" t="s">
        <v>1238</v>
      </c>
      <c r="D4701" s="21" t="s">
        <v>1180</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1185</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1236</v>
      </c>
      <c r="B4703" s="21" t="s">
        <v>1237</v>
      </c>
      <c r="C4703" s="21" t="s">
        <v>1238</v>
      </c>
      <c r="D4703" s="21" t="s">
        <v>1180</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2174</v>
      </c>
      <c r="B4704" s="21" t="s">
        <v>1240</v>
      </c>
      <c r="C4704" s="21" t="s">
        <v>1195</v>
      </c>
      <c r="D4704" s="21" t="s">
        <v>1180</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1436</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1271</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1185</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1420</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1224</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1260</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2567</v>
      </c>
      <c r="B4711" s="21" t="s">
        <v>1207</v>
      </c>
      <c r="C4711" s="21" t="s">
        <v>1188</v>
      </c>
      <c r="D4711" s="21" t="s">
        <v>1180</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2568</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2569</v>
      </c>
      <c r="B4713" s="21" t="s">
        <v>1306</v>
      </c>
      <c r="C4713" s="21" t="s">
        <v>1184</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38</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1185</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1186</v>
      </c>
      <c r="B4716" s="21" t="s">
        <v>1289</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1186</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1596</v>
      </c>
      <c r="B4718" s="21" t="s">
        <v>1340</v>
      </c>
      <c r="C4718" s="21" t="s">
        <v>1179</v>
      </c>
      <c r="D4718" s="21" t="s">
        <v>1180</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1224</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2570</v>
      </c>
      <c r="B4720" s="21" t="s">
        <v>1278</v>
      </c>
      <c r="C4720" s="21" t="s">
        <v>1184</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1543</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t="s">
        <v>1271</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1185</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1371</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1600</v>
      </c>
      <c r="B4725" s="21" t="s">
        <v>1429</v>
      </c>
      <c r="C4725" s="21" t="s">
        <v>1195</v>
      </c>
      <c r="D4725" s="21" t="s">
        <v>1180</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1523</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185</v>
      </c>
      <c r="B4727" s="21" t="s">
        <v>1429</v>
      </c>
      <c r="C4727" s="21" t="s">
        <v>1195</v>
      </c>
      <c r="D4727" s="21" t="s">
        <v>1180</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1224</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1260</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2567</v>
      </c>
      <c r="B4730" s="21" t="s">
        <v>1291</v>
      </c>
      <c r="C4730" s="21" t="s">
        <v>1188</v>
      </c>
      <c r="D4730" s="21" t="s">
        <v>1180</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1420</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2571</v>
      </c>
      <c r="B4732" s="21" t="s">
        <v>1492</v>
      </c>
      <c r="C4732" s="21" t="s">
        <v>1184</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38</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1185</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1186</v>
      </c>
      <c r="B4735" s="21" t="s">
        <v>1912</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1202</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1596</v>
      </c>
      <c r="B4737" s="21" t="s">
        <v>1526</v>
      </c>
      <c r="C4737" s="21" t="s">
        <v>1179</v>
      </c>
      <c r="D4737" s="21" t="s">
        <v>1180</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1295</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1295</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1198</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1329</v>
      </c>
      <c r="B4741" s="21" t="s">
        <v>1493</v>
      </c>
      <c r="C4741" s="21" t="s">
        <v>1188</v>
      </c>
      <c r="D4741" s="21" t="s">
        <v>1180</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2572</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1330</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1260</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t="s">
        <v>2573</v>
      </c>
      <c r="B4745" s="21" t="s">
        <v>1492</v>
      </c>
      <c r="C4745" s="21" t="s">
        <v>1188</v>
      </c>
      <c r="D4745" s="21" t="s">
        <v>1180</v>
      </c>
      <c r="E4745" s="22">
        <f>IF(D4745="?OLD","!!!","")</f>
        <v/>
      </c>
      <c r="F4745" s="23" t="str">
        <f>IF(OR(E4745="",E4745="!!!"),"",IF(NOT(ISNA(VLOOKUP(E4745,E$1:E4744,1,FALSE()))),"OLD",IF(AND(E4745&lt;&gt;"",E4745&lt;&gt;"!!!"),"NEW","")))</f>
        <v> </v>
      </c>
      <c r="G4745" s="24" t="str">
        <f>IF(OR(E4745="",E4745="!!!"),"",IF(OR(J4745=0,AND(J4745=1,K4745=1),AND(J4745=1,I4745="SBJ"),AND(J4745=1,I4745=0)),"?IN_FOCUS",IF(J4745&lt;=2,"?ACTIVATED",IF(J4745&lt;&gt;"","?FAMILIAR",IF(F4745="NEW",IF(ISNA(VLOOKUP(E4745,#REF!,1,FALSE())),"?TYPE_IDENTIFIABLE","?REFERENTIAL"),"_")))))</f>
        <v> </v>
      </c>
      <c r="H4745" s="25" t="str">
        <f>IF(J4745&lt;&gt;1,"",IF(I4745="SBJ","CB","?"))</f>
        <v> </v>
      </c>
      <c r="I4745" s="26" t="str">
        <f>IF(OR(E4745="",E4745="!!!",F4745="NEW"),"",INDEX(B4744:B$2,-1+SUMPRODUCT(MAX(ROW(E4744:E$2)*(E4745=E4744:E$2)))))</f>
        <v> </v>
      </c>
      <c r="J4745" s="26" t="str">
        <f>IF(OR(E4745="",E4745="!!!",F4745="NEW"),"",COUNTBLANK(OFFSET(A$1,,,SUMPRODUCT(MAX(ROW(E$2:E4745)*(E4745=E$2:E4745)))))-COUNTBLANK(OFFSET(A$1,,,SUMPRODUCT(MAX(ROW(E$1:E4744)*(E2=E$1:E4744))))))</f>
        <v> </v>
      </c>
      <c r="K4745" s="26" t="str">
        <f>IF(OR(E4745="",E4745="!!!",F4745="NEW"),"",INDEX(J$1:J4744,SUMPRODUCT(MAX(ROW(E$1:E4744)*(E4745=E$1:E4744)))))</f>
        <v> </v>
      </c>
      <c r="L4745" s="27"/>
    </row>
    <row r="4746" spans="1:12">
      <c r="A4746" s="20" t="s">
        <v>2574</v>
      </c>
      <c r="E4746" s="22">
        <f>IF(D4746="?OLD","!!!","")</f>
        <v/>
      </c>
      <c r="F4746" s="23" t="str">
        <f>IF(OR(E4746="",E4746="!!!"),"",IF(NOT(ISNA(VLOOKUP(E4746,E$1:E4745,1,FALSE()))),"OLD",IF(AND(E4746&lt;&gt;"",E4746&lt;&gt;"!!!"),"NEW","")))</f>
        <v> </v>
      </c>
      <c r="G4746" s="24" t="str">
        <f>IF(OR(E4746="",E4746="!!!"),"",IF(OR(J4746=0,AND(J4746=1,K4746=1),AND(J4746=1,I4746="SBJ"),AND(J4746=1,I4746=0)),"?IN_FOCUS",IF(J4746&lt;=2,"?ACTIVATED",IF(J4746&lt;&gt;"","?FAMILIAR",IF(F4746="NEW",IF(ISNA(VLOOKUP(E4746,#REF!,1,FALSE())),"?TYPE_IDENTIFIABLE","?REFERENTIAL"),"_")))))</f>
        <v> </v>
      </c>
      <c r="H4746" s="25" t="str">
        <f>IF(J4746&lt;&gt;1,"",IF(I4746="SBJ","CB","?"))</f>
        <v> </v>
      </c>
      <c r="I4746" s="26" t="str">
        <f>IF(OR(E4746="",E4746="!!!",F4746="NEW"),"",INDEX(B4745:B$2,-1+SUMPRODUCT(MAX(ROW(E4745:E$2)*(E4746=E4745:E$2)))))</f>
        <v> </v>
      </c>
      <c r="J4746" s="26" t="str">
        <f>IF(OR(E4746="",E4746="!!!",F4746="NEW"),"",COUNTBLANK(OFFSET(A$1,,,SUMPRODUCT(MAX(ROW(E$2:E4746)*(E4746=E$2:E4746)))))-COUNTBLANK(OFFSET(A$1,,,SUMPRODUCT(MAX(ROW(E$1:E4745)*(E2=E$1:E4745))))))</f>
        <v> </v>
      </c>
      <c r="K4746" s="26" t="str">
        <f>IF(OR(E4746="",E4746="!!!",F4746="NEW"),"",INDEX(J$1:J4745,SUMPRODUCT(MAX(ROW(E$1:E4745)*(E4746=E$1:E4745)))))</f>
        <v> </v>
      </c>
      <c r="L4746" s="27"/>
    </row>
    <row r="4747" spans="1:12">
      <c r="A4747" s="20" t="s">
        <v>1953</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1249</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row>
    <row r="4750" spans="1:12">
      <c r="A4750" s="20" t="s">
        <v>2575</v>
      </c>
    </row>
    <row r="4751" spans="1:12">
      <c r="A4751" s="20" t="s">
        <v>1694</v>
      </c>
      <c r="B4751" s="21" t="s">
        <v>1194</v>
      </c>
      <c r="C4751" s="21" t="s">
        <v>1208</v>
      </c>
      <c r="D4751" s="21" t="s">
        <v>1180</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1334</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2576</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2577</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2566</v>
      </c>
      <c r="B4755" s="21" t="s">
        <v>1178</v>
      </c>
      <c r="C4755" s="21" t="s">
        <v>1608</v>
      </c>
      <c r="D4755" s="21" t="s">
        <v>1180</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1185</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1186</v>
      </c>
      <c r="B4757" s="21" t="s">
        <v>1237</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1263</v>
      </c>
      <c r="B4758" s="21" t="s">
        <v>1240</v>
      </c>
      <c r="C4758" s="21" t="s">
        <v>1195</v>
      </c>
      <c r="D4758" s="21" t="s">
        <v>1180</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1919</v>
      </c>
      <c r="B4759" s="21" t="s">
        <v>1237</v>
      </c>
      <c r="C4759" s="21" t="s">
        <v>1195</v>
      </c>
      <c r="D4759" s="21" t="s">
        <v>1180</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t="s">
        <v>2578</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818</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row>
    <row r="4763" spans="1:12">
      <c r="A4763" s="20" t="s">
        <v>2579</v>
      </c>
    </row>
    <row r="4764" spans="1:12">
      <c r="A4764" s="20" t="s">
        <v>1193</v>
      </c>
      <c r="B4764" s="21" t="s">
        <v>1194</v>
      </c>
      <c r="C4764" s="21" t="s">
        <v>1195</v>
      </c>
      <c r="D4764" s="21" t="s">
        <v>1180</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1320</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2580</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1185</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1330</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38</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1185</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2581</v>
      </c>
      <c r="B4771" s="21" t="s">
        <v>1304</v>
      </c>
      <c r="C4771" s="21" t="s">
        <v>1283</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2541</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1257</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1185</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1186</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1503</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2582</v>
      </c>
      <c r="B4777" s="21" t="s">
        <v>1340</v>
      </c>
      <c r="C4777" s="21" t="s">
        <v>1188</v>
      </c>
      <c r="D4777" s="21" t="s">
        <v>1180</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1330</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874</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1185</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1359</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185</v>
      </c>
      <c r="B4782" s="21" t="s">
        <v>1429</v>
      </c>
      <c r="C4782" s="21" t="s">
        <v>1195</v>
      </c>
      <c r="D4782" s="21" t="s">
        <v>1180</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1487</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2568</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2583</v>
      </c>
      <c r="B4785" s="21" t="s">
        <v>1278</v>
      </c>
      <c r="C4785" s="21" t="s">
        <v>1223</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1587</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818</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row>
    <row r="4789" spans="1:12">
      <c r="A4789" s="20" t="s">
        <v>2584</v>
      </c>
    </row>
    <row r="4790" spans="1:12">
      <c r="A4790" s="20" t="s">
        <v>1443</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207</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1265</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1266</v>
      </c>
      <c r="B4793" s="21" t="s">
        <v>1191</v>
      </c>
      <c r="C4793" s="21" t="s">
        <v>1254</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2585</v>
      </c>
      <c r="B4794" s="21" t="s">
        <v>1194</v>
      </c>
      <c r="C4794" s="21" t="s">
        <v>1223</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936</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818</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row>
    <row r="4798" spans="1:12">
      <c r="A4798" s="20" t="s">
        <v>2586</v>
      </c>
    </row>
    <row r="4799" spans="1:12">
      <c r="A4799" s="20" t="s">
        <v>2136</v>
      </c>
      <c r="B4799" s="21" t="s">
        <v>1191</v>
      </c>
      <c r="C4799" s="21" t="s">
        <v>1254</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2585</v>
      </c>
      <c r="B4800" s="21" t="s">
        <v>1194</v>
      </c>
      <c r="C4800" s="21" t="s">
        <v>1324</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207</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936</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818</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row>
    <row r="4805" spans="1:12">
      <c r="A4805" s="20" t="s">
        <v>2587</v>
      </c>
    </row>
    <row r="4806" spans="1:12">
      <c r="A4806" s="20" t="s">
        <v>1256</v>
      </c>
      <c r="B4806" s="21" t="s">
        <v>1194</v>
      </c>
      <c r="C4806" s="21" t="s">
        <v>1195</v>
      </c>
      <c r="D4806" s="21" t="s">
        <v>1180</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1257</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2588</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1185</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2373</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2091</v>
      </c>
      <c r="B4811" s="21" t="s">
        <v>1237</v>
      </c>
      <c r="C4811" s="21" t="s">
        <v>1232</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1330</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2589</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1185</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1310</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1198</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1203</v>
      </c>
      <c r="B4817" s="21" t="s">
        <v>1240</v>
      </c>
      <c r="C4817" s="21" t="s">
        <v>1188</v>
      </c>
      <c r="D4817" s="21" t="s">
        <v>1180</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1735</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1702</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1987</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1185</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1471</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1263</v>
      </c>
      <c r="B4823" s="21" t="s">
        <v>1304</v>
      </c>
      <c r="C4823" s="21" t="s">
        <v>1195</v>
      </c>
      <c r="D4823" s="21" t="s">
        <v>1180</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2590</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1661</v>
      </c>
      <c r="B4825" s="21" t="s">
        <v>1306</v>
      </c>
      <c r="C4825" s="21" t="s">
        <v>1238</v>
      </c>
      <c r="D4825" s="21" t="s">
        <v>1180</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818</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row>
    <row r="4828" spans="1:12">
      <c r="A4828" s="20" t="s">
        <v>2591</v>
      </c>
    </row>
    <row r="4829" spans="1:12">
      <c r="A4829" s="20" t="s">
        <v>1287</v>
      </c>
      <c r="B4829" s="21" t="s">
        <v>1178</v>
      </c>
      <c r="C4829" s="21" t="s">
        <v>1195</v>
      </c>
      <c r="D4829" s="21" t="s">
        <v>1180</v>
      </c>
      <c r="E4829" s="22">
        <f>IF(D4829="?OLD","!!!","")</f>
        <v/>
      </c>
      <c r="F4829" s="23" t="str">
        <f>IF(OR(E4829="",E4829="!!!"),"",IF(NOT(ISNA(VLOOKUP(E4829,E$1:E4828,1,FALSE()))),"OLD",IF(AND(E4829&lt;&gt;"",E4829&lt;&gt;"!!!"),"NEW","")))</f>
        <v> </v>
      </c>
      <c r="G4829" s="24" t="str">
        <f>IF(OR(E4829="",E4829="!!!"),"",IF(OR(J4829=0,AND(J4829=1,K4829=1),AND(J4829=1,I4829="SBJ"),AND(J4829=1,I4829=0)),"?IN_FOCUS",IF(J4829&lt;=2,"?ACTIVATED",IF(J4829&lt;&gt;"","?FAMILIAR",IF(F4829="NEW",IF(ISNA(VLOOKUP(E4829,#REF!,1,FALSE())),"?TYPE_IDENTIFIABLE","?REFERENTIAL"),"_")))))</f>
        <v> </v>
      </c>
      <c r="H4829" s="25" t="str">
        <f>IF(J4829&lt;&gt;1,"",IF(I4829="SBJ","CB","?"))</f>
        <v> </v>
      </c>
      <c r="I4829" s="26" t="str">
        <f>IF(OR(E4829="",E4829="!!!",F4829="NEW"),"",INDEX(B4828:B$2,-1+SUMPRODUCT(MAX(ROW(E4828:E$2)*(E4829=E4828:E$2)))))</f>
        <v> </v>
      </c>
      <c r="J4829" s="26" t="str">
        <f>IF(OR(E4829="",E4829="!!!",F4829="NEW"),"",COUNTBLANK(OFFSET(A$1,,,SUMPRODUCT(MAX(ROW(E$2:E4829)*(E4829=E$2:E4829)))))-COUNTBLANK(OFFSET(A$1,,,SUMPRODUCT(MAX(ROW(E$1:E4828)*(E2=E$1:E4828))))))</f>
        <v> </v>
      </c>
      <c r="K4829" s="26" t="str">
        <f>IF(OR(E4829="",E4829="!!!",F4829="NEW"),"",INDEX(J$1:J4828,SUMPRODUCT(MAX(ROW(E$1:E4828)*(E4829=E$1:E4828)))))</f>
        <v> </v>
      </c>
      <c r="L4829" s="27"/>
    </row>
    <row r="4830" spans="1:12">
      <c r="A4830" s="20" t="s">
        <v>1182</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1193</v>
      </c>
      <c r="B4831" s="21" t="s">
        <v>1240</v>
      </c>
      <c r="C4831" s="21" t="s">
        <v>1195</v>
      </c>
      <c r="D4831" s="21" t="s">
        <v>1180</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1252</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2592</v>
      </c>
      <c r="B4833" s="21" t="s">
        <v>1240</v>
      </c>
      <c r="C4833" s="21" t="s">
        <v>1195</v>
      </c>
      <c r="D4833" s="21" t="s">
        <v>1180</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38</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818</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row>
    <row r="4837" spans="1:12">
      <c r="A4837" s="20" t="s">
        <v>2593</v>
      </c>
    </row>
    <row r="4838" spans="1:12">
      <c r="A4838" s="20" t="s">
        <v>1262</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1182</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951</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2581</v>
      </c>
      <c r="B4841" s="21" t="s">
        <v>1194</v>
      </c>
      <c r="C4841" s="21" t="s">
        <v>1283</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t="s">
        <v>2594</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1186</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2595</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2582</v>
      </c>
      <c r="B4845" s="21" t="s">
        <v>1204</v>
      </c>
      <c r="C4845" s="21" t="s">
        <v>1188</v>
      </c>
      <c r="D4845" s="21" t="s">
        <v>1180</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1185</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1359</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1360</v>
      </c>
      <c r="B4848" s="21" t="s">
        <v>1240</v>
      </c>
      <c r="C4848" s="21" t="s">
        <v>1208</v>
      </c>
      <c r="D4848" s="21" t="s">
        <v>1180</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1224</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1260</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2596</v>
      </c>
      <c r="B4851" s="21" t="s">
        <v>1191</v>
      </c>
      <c r="C4851" s="21" t="s">
        <v>1188</v>
      </c>
      <c r="D4851" s="21" t="s">
        <v>1180</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t="s">
        <v>1487</v>
      </c>
      <c r="E4852" s="22">
        <f>IF(D4852="?OLD","!!!","")</f>
        <v/>
      </c>
      <c r="F4852" s="23" t="str">
        <f>IF(OR(E4852="",E4852="!!!"),"",IF(NOT(ISNA(VLOOKUP(E4852,E$1:E4851,1,FALSE()))),"OLD",IF(AND(E4852&lt;&gt;"",E4852&lt;&gt;"!!!"),"NEW","")))</f>
        <v> </v>
      </c>
      <c r="G4852" s="24" t="str">
        <f>IF(OR(E4852="",E4852="!!!"),"",IF(OR(J4852=0,AND(J4852=1,K4852=1),AND(J4852=1,I4852="SBJ"),AND(J4852=1,I4852=0)),"?IN_FOCUS",IF(J4852&lt;=2,"?ACTIVATED",IF(J4852&lt;&gt;"","?FAMILIAR",IF(F4852="NEW",IF(ISNA(VLOOKUP(E4852,#REF!,1,FALSE())),"?TYPE_IDENTIFIABLE","?REFERENTIAL"),"_")))))</f>
        <v> </v>
      </c>
      <c r="H4852" s="25" t="str">
        <f>IF(J4852&lt;&gt;1,"",IF(I4852="SBJ","CB","?"))</f>
        <v> </v>
      </c>
      <c r="I4852" s="26" t="str">
        <f>IF(OR(E4852="",E4852="!!!",F4852="NEW"),"",INDEX(B4851:B$2,-1+SUMPRODUCT(MAX(ROW(E4851:E$2)*(E4852=E4851:E$2)))))</f>
        <v> </v>
      </c>
      <c r="J4852" s="26" t="str">
        <f>IF(OR(E4852="",E4852="!!!",F4852="NEW"),"",COUNTBLANK(OFFSET(A$1,,,SUMPRODUCT(MAX(ROW(E$2:E4852)*(E4852=E$2:E4852)))))-COUNTBLANK(OFFSET(A$1,,,SUMPRODUCT(MAX(ROW(E$1:E4851)*(E2=E$1:E4851))))))</f>
        <v> </v>
      </c>
      <c r="K4852" s="26" t="str">
        <f>IF(OR(E4852="",E4852="!!!",F4852="NEW"),"",INDEX(J$1:J4851,SUMPRODUCT(MAX(ROW(E$1:E4851)*(E4852=E$1:E4851)))))</f>
        <v> </v>
      </c>
      <c r="L4852" s="27"/>
    </row>
    <row r="4853" spans="1:12">
      <c r="A4853" s="20" t="s">
        <v>2571</v>
      </c>
      <c r="B4853" s="21" t="s">
        <v>1178</v>
      </c>
      <c r="C4853" s="21" t="s">
        <v>1223</v>
      </c>
      <c r="E4853" s="22">
        <f>IF(D4853="?OLD","!!!","")</f>
        <v/>
      </c>
      <c r="F4853" s="23" t="str">
        <f>IF(OR(E4853="",E4853="!!!"),"",IF(NOT(ISNA(VLOOKUP(E4853,E$1:E4852,1,FALSE()))),"OLD",IF(AND(E4853&lt;&gt;"",E4853&lt;&gt;"!!!"),"NEW","")))</f>
        <v> </v>
      </c>
      <c r="G4853" s="24" t="str">
        <f>IF(OR(E4853="",E4853="!!!"),"",IF(OR(J4853=0,AND(J4853=1,K4853=1),AND(J4853=1,I4853="SBJ"),AND(J4853=1,I4853=0)),"?IN_FOCUS",IF(J4853&lt;=2,"?ACTIVATED",IF(J4853&lt;&gt;"","?FAMILIAR",IF(F4853="NEW",IF(ISNA(VLOOKUP(E4853,#REF!,1,FALSE())),"?TYPE_IDENTIFIABLE","?REFERENTIAL"),"_")))))</f>
        <v> </v>
      </c>
      <c r="H4853" s="25" t="str">
        <f>IF(J4853&lt;&gt;1,"",IF(I4853="SBJ","CB","?"))</f>
        <v> </v>
      </c>
      <c r="I4853" s="26" t="str">
        <f>IF(OR(E4853="",E4853="!!!",F4853="NEW"),"",INDEX(B4852:B$2,-1+SUMPRODUCT(MAX(ROW(E4852:E$2)*(E4853=E4852:E$2)))))</f>
        <v> </v>
      </c>
      <c r="J4853" s="26" t="str">
        <f>IF(OR(E4853="",E4853="!!!",F4853="NEW"),"",COUNTBLANK(OFFSET(A$1,,,SUMPRODUCT(MAX(ROW(E$2:E4853)*(E4853=E$2:E4853)))))-COUNTBLANK(OFFSET(A$1,,,SUMPRODUCT(MAX(ROW(E$1:E4852)*(E2=E$1:E4852))))))</f>
        <v> </v>
      </c>
      <c r="K4853" s="26" t="str">
        <f>IF(OR(E4853="",E4853="!!!",F4853="NEW"),"",INDEX(J$1:J4852,SUMPRODUCT(MAX(ROW(E$1:E4852)*(E4853=E$1:E4852)))))</f>
        <v> </v>
      </c>
      <c r="L4853" s="27"/>
    </row>
    <row r="4854" spans="1:12">
      <c r="A4854" s="20" t="s">
        <v>1257</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1249</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row>
    <row r="4857" spans="1:12">
      <c r="A4857" s="20" t="s">
        <v>2597</v>
      </c>
    </row>
    <row r="4858" spans="1:12">
      <c r="A4858" s="20" t="s">
        <v>1214</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2598</v>
      </c>
      <c r="B4859" s="21" t="s">
        <v>1191</v>
      </c>
      <c r="C4859" s="21" t="s">
        <v>1184</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t="s">
        <v>1216</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1193</v>
      </c>
      <c r="B4861" s="21" t="s">
        <v>1194</v>
      </c>
      <c r="C4861" s="21" t="s">
        <v>1195</v>
      </c>
      <c r="D4861" s="21" t="s">
        <v>1180</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1647</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1185</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1574</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2349</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1427</v>
      </c>
      <c r="B4866" s="21" t="s">
        <v>1178</v>
      </c>
      <c r="C4866" s="21" t="s">
        <v>1238</v>
      </c>
      <c r="D4866" s="21" t="s">
        <v>1180</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1185</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1186</v>
      </c>
      <c r="B4868" s="21" t="s">
        <v>1240</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2006</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2091</v>
      </c>
      <c r="B4870" s="21" t="s">
        <v>1237</v>
      </c>
      <c r="C4870" s="21" t="s">
        <v>1232</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1314</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2599</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163</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1295</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1186</v>
      </c>
      <c r="B4875" s="21" t="s">
        <v>1207</v>
      </c>
      <c r="C4875" s="21" t="s">
        <v>1238</v>
      </c>
      <c r="D4875" s="21" t="s">
        <v>1180</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1185</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1302</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1263</v>
      </c>
      <c r="B4878" s="21" t="s">
        <v>1289</v>
      </c>
      <c r="C4878" s="21" t="s">
        <v>1195</v>
      </c>
      <c r="D4878" s="21" t="s">
        <v>1180</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2064</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1185</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1520</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1748</v>
      </c>
      <c r="B4882" s="21" t="s">
        <v>1278</v>
      </c>
      <c r="C4882" s="21" t="s">
        <v>1208</v>
      </c>
      <c r="D4882" s="21" t="s">
        <v>1180</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2600</v>
      </c>
      <c r="B4883" s="21" t="s">
        <v>1207</v>
      </c>
      <c r="C4883" s="21" t="s">
        <v>1210</v>
      </c>
      <c r="D4883" s="21" t="s">
        <v>1180</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1390</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2601</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1185</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t="s">
        <v>1655</v>
      </c>
      <c r="E4887" s="22">
        <f>IF(D4887="?OLD","!!!","")</f>
        <v/>
      </c>
      <c r="F4887" s="23" t="str">
        <f>IF(OR(E4887="",E4887="!!!"),"",IF(NOT(ISNA(VLOOKUP(E4887,E$1:E4886,1,FALSE()))),"OLD",IF(AND(E4887&lt;&gt;"",E4887&lt;&gt;"!!!"),"NEW","")))</f>
        <v> </v>
      </c>
      <c r="G4887" s="24" t="str">
        <f>IF(OR(E4887="",E4887="!!!"),"",IF(OR(J4887=0,AND(J4887=1,K4887=1),AND(J4887=1,I4887="SBJ"),AND(J4887=1,I4887=0)),"?IN_FOCUS",IF(J4887&lt;=2,"?ACTIVATED",IF(J4887&lt;&gt;"","?FAMILIAR",IF(F4887="NEW",IF(ISNA(VLOOKUP(E4887,#REF!,1,FALSE())),"?TYPE_IDENTIFIABLE","?REFERENTIAL"),"_")))))</f>
        <v> </v>
      </c>
      <c r="H4887" s="25" t="str">
        <f>IF(J4887&lt;&gt;1,"",IF(I4887="SBJ","CB","?"))</f>
        <v> </v>
      </c>
      <c r="I4887" s="26" t="str">
        <f>IF(OR(E4887="",E4887="!!!",F4887="NEW"),"",INDEX(B4886:B$2,-1+SUMPRODUCT(MAX(ROW(E4886:E$2)*(E4887=E4886:E$2)))))</f>
        <v> </v>
      </c>
      <c r="J4887" s="26" t="str">
        <f>IF(OR(E4887="",E4887="!!!",F4887="NEW"),"",COUNTBLANK(OFFSET(A$1,,,SUMPRODUCT(MAX(ROW(E$2:E4887)*(E4887=E$2:E4887)))))-COUNTBLANK(OFFSET(A$1,,,SUMPRODUCT(MAX(ROW(E$1:E4886)*(E2=E$1:E4886))))))</f>
        <v> </v>
      </c>
      <c r="K4887" s="26" t="str">
        <f>IF(OR(E4887="",E4887="!!!",F4887="NEW"),"",INDEX(J$1:J4886,SUMPRODUCT(MAX(ROW(E$1:E4886)*(E4887=E$1:E4886)))))</f>
        <v> </v>
      </c>
      <c r="L4887" s="27"/>
    </row>
    <row r="4888" spans="1:12">
      <c r="A4888" s="20" t="s">
        <v>1186</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154</v>
      </c>
      <c r="B4889" s="21" t="s">
        <v>1289</v>
      </c>
      <c r="C4889" s="21" t="s">
        <v>1188</v>
      </c>
      <c r="D4889" s="21" t="s">
        <v>1180</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t="s">
        <v>1513</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1268</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1185</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t="s">
        <v>1302</v>
      </c>
      <c r="E4893" s="22">
        <f>IF(D4893="?OLD","!!!","")</f>
        <v/>
      </c>
      <c r="F4893" s="23" t="str">
        <f>IF(OR(E4893="",E4893="!!!"),"",IF(NOT(ISNA(VLOOKUP(E4893,E$1:E4892,1,FALSE()))),"OLD",IF(AND(E4893&lt;&gt;"",E4893&lt;&gt;"!!!"),"NEW","")))</f>
        <v> </v>
      </c>
      <c r="G4893" s="24" t="str">
        <f>IF(OR(E4893="",E4893="!!!"),"",IF(OR(J4893=0,AND(J4893=1,K4893=1),AND(J4893=1,I4893="SBJ"),AND(J4893=1,I4893=0)),"?IN_FOCUS",IF(J4893&lt;=2,"?ACTIVATED",IF(J4893&lt;&gt;"","?FAMILIAR",IF(F4893="NEW",IF(ISNA(VLOOKUP(E4893,#REF!,1,FALSE())),"?TYPE_IDENTIFIABLE","?REFERENTIAL"),"_")))))</f>
        <v> </v>
      </c>
      <c r="H4893" s="25" t="str">
        <f>IF(J4893&lt;&gt;1,"",IF(I4893="SBJ","CB","?"))</f>
        <v> </v>
      </c>
      <c r="I4893" s="26" t="str">
        <f>IF(OR(E4893="",E4893="!!!",F4893="NEW"),"",INDEX(B4892:B$2,-1+SUMPRODUCT(MAX(ROW(E4892:E$2)*(E4893=E4892:E$2)))))</f>
        <v> </v>
      </c>
      <c r="J4893" s="26" t="str">
        <f>IF(OR(E4893="",E4893="!!!",F4893="NEW"),"",COUNTBLANK(OFFSET(A$1,,,SUMPRODUCT(MAX(ROW(E$2:E4893)*(E4893=E$2:E4893)))))-COUNTBLANK(OFFSET(A$1,,,SUMPRODUCT(MAX(ROW(E$1:E4892)*(E2=E$1:E4892))))))</f>
        <v> </v>
      </c>
      <c r="K4893" s="26" t="str">
        <f>IF(OR(E4893="",E4893="!!!",F4893="NEW"),"",INDEX(J$1:J4892,SUMPRODUCT(MAX(ROW(E$1:E4892)*(E4893=E$1:E4892)))))</f>
        <v> </v>
      </c>
      <c r="L4893" s="27"/>
    </row>
    <row r="4894" spans="1:12">
      <c r="A4894" s="20" t="s">
        <v>1294</v>
      </c>
      <c r="B4894" s="21" t="s">
        <v>1340</v>
      </c>
      <c r="C4894" s="21" t="s">
        <v>1195</v>
      </c>
      <c r="D4894" s="21" t="s">
        <v>1180</v>
      </c>
      <c r="E4894" s="22">
        <f>IF(D4894="?OLD","!!!","")</f>
        <v/>
      </c>
      <c r="F4894" s="23" t="str">
        <f>IF(OR(E4894="",E4894="!!!"),"",IF(NOT(ISNA(VLOOKUP(E4894,E$1:E4893,1,FALSE()))),"OLD",IF(AND(E4894&lt;&gt;"",E4894&lt;&gt;"!!!"),"NEW","")))</f>
        <v> </v>
      </c>
      <c r="G4894" s="24" t="str">
        <f>IF(OR(E4894="",E4894="!!!"),"",IF(OR(J4894=0,AND(J4894=1,K4894=1),AND(J4894=1,I4894="SBJ"),AND(J4894=1,I4894=0)),"?IN_FOCUS",IF(J4894&lt;=2,"?ACTIVATED",IF(J4894&lt;&gt;"","?FAMILIAR",IF(F4894="NEW",IF(ISNA(VLOOKUP(E4894,#REF!,1,FALSE())),"?TYPE_IDENTIFIABLE","?REFERENTIAL"),"_")))))</f>
        <v> </v>
      </c>
      <c r="H4894" s="25" t="str">
        <f>IF(J4894&lt;&gt;1,"",IF(I4894="SBJ","CB","?"))</f>
        <v> </v>
      </c>
      <c r="I4894" s="26" t="str">
        <f>IF(OR(E4894="",E4894="!!!",F4894="NEW"),"",INDEX(B4893:B$2,-1+SUMPRODUCT(MAX(ROW(E4893:E$2)*(E4894=E4893:E$2)))))</f>
        <v> </v>
      </c>
      <c r="J4894" s="26" t="str">
        <f>IF(OR(E4894="",E4894="!!!",F4894="NEW"),"",COUNTBLANK(OFFSET(A$1,,,SUMPRODUCT(MAX(ROW(E$2:E4894)*(E4894=E$2:E4894)))))-COUNTBLANK(OFFSET(A$1,,,SUMPRODUCT(MAX(ROW(E$1:E4893)*(E2=E$1:E4893))))))</f>
        <v> </v>
      </c>
      <c r="K4894" s="26" t="str">
        <f>IF(OR(E4894="",E4894="!!!",F4894="NEW"),"",INDEX(J$1:J4893,SUMPRODUCT(MAX(ROW(E$1:E4893)*(E4894=E$1:E4893)))))</f>
        <v> </v>
      </c>
      <c r="L4894" s="27"/>
    </row>
    <row r="4895" spans="1:12">
      <c r="A4895" s="20" t="s">
        <v>2242</v>
      </c>
      <c r="E4895" s="22">
        <f>IF(D4895="?OLD","!!!","")</f>
        <v/>
      </c>
      <c r="F4895" s="23" t="str">
        <f>IF(OR(E4895="",E4895="!!!"),"",IF(NOT(ISNA(VLOOKUP(E4895,E$1:E4894,1,FALSE()))),"OLD",IF(AND(E4895&lt;&gt;"",E4895&lt;&gt;"!!!"),"NEW","")))</f>
        <v> </v>
      </c>
      <c r="G4895" s="24" t="str">
        <f>IF(OR(E4895="",E4895="!!!"),"",IF(OR(J4895=0,AND(J4895=1,K4895=1),AND(J4895=1,I4895="SBJ"),AND(J4895=1,I4895=0)),"?IN_FOCUS",IF(J4895&lt;=2,"?ACTIVATED",IF(J4895&lt;&gt;"","?FAMILIAR",IF(F4895="NEW",IF(ISNA(VLOOKUP(E4895,#REF!,1,FALSE())),"?TYPE_IDENTIFIABLE","?REFERENTIAL"),"_")))))</f>
        <v> </v>
      </c>
      <c r="H4895" s="25" t="str">
        <f>IF(J4895&lt;&gt;1,"",IF(I4895="SBJ","CB","?"))</f>
        <v> </v>
      </c>
      <c r="I4895" s="26" t="str">
        <f>IF(OR(E4895="",E4895="!!!",F4895="NEW"),"",INDEX(B4894:B$2,-1+SUMPRODUCT(MAX(ROW(E4894:E$2)*(E4895=E4894:E$2)))))</f>
        <v> </v>
      </c>
      <c r="J4895" s="26" t="str">
        <f>IF(OR(E4895="",E4895="!!!",F4895="NEW"),"",COUNTBLANK(OFFSET(A$1,,,SUMPRODUCT(MAX(ROW(E$2:E4895)*(E4895=E$2:E4895)))))-COUNTBLANK(OFFSET(A$1,,,SUMPRODUCT(MAX(ROW(E$1:E4894)*(E2=E$1:E4894))))))</f>
        <v> </v>
      </c>
      <c r="K4895" s="26" t="str">
        <f>IF(OR(E4895="",E4895="!!!",F4895="NEW"),"",INDEX(J$1:J4894,SUMPRODUCT(MAX(ROW(E$1:E4894)*(E4895=E$1:E4894)))))</f>
        <v> </v>
      </c>
      <c r="L4895" s="27"/>
    </row>
    <row r="4896" spans="1:12">
      <c r="A4896" s="20" t="s">
        <v>1185</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1314</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1345</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2602</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2603</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2604</v>
      </c>
      <c r="B4901" s="21" t="s">
        <v>1291</v>
      </c>
      <c r="C4901" s="21" t="s">
        <v>1184</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2605</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818</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row>
    <row r="4905" spans="1:12">
      <c r="A4905" s="20" t="s">
        <v>2606</v>
      </c>
    </row>
    <row r="4906" spans="1:12">
      <c r="A4906" s="20" t="s">
        <v>1256</v>
      </c>
      <c r="B4906" s="21" t="s">
        <v>1194</v>
      </c>
      <c r="C4906" s="21" t="s">
        <v>1195</v>
      </c>
      <c r="D4906" s="21" t="s">
        <v>1180</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1631</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t="s">
        <v>1314</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1513</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2607</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1371</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t="s">
        <v>2608</v>
      </c>
      <c r="E4912" s="22">
        <f>IF(D4912="?OLD","!!!","")</f>
        <v/>
      </c>
      <c r="F4912" s="23" t="str">
        <f>IF(OR(E4912="",E4912="!!!"),"",IF(NOT(ISNA(VLOOKUP(E4912,E$1:E4911,1,FALSE()))),"OLD",IF(AND(E4912&lt;&gt;"",E4912&lt;&gt;"!!!"),"NEW","")))</f>
        <v> </v>
      </c>
      <c r="G4912" s="24" t="str">
        <f>IF(OR(E4912="",E4912="!!!"),"",IF(OR(J4912=0,AND(J4912=1,K4912=1),AND(J4912=1,I4912="SBJ"),AND(J4912=1,I4912=0)),"?IN_FOCUS",IF(J4912&lt;=2,"?ACTIVATED",IF(J4912&lt;&gt;"","?FAMILIAR",IF(F4912="NEW",IF(ISNA(VLOOKUP(E4912,#REF!,1,FALSE())),"?TYPE_IDENTIFIABLE","?REFERENTIAL"),"_")))))</f>
        <v> </v>
      </c>
      <c r="H4912" s="25" t="str">
        <f>IF(J4912&lt;&gt;1,"",IF(I4912="SBJ","CB","?"))</f>
        <v> </v>
      </c>
      <c r="I4912" s="26" t="str">
        <f>IF(OR(E4912="",E4912="!!!",F4912="NEW"),"",INDEX(B4911:B$2,-1+SUMPRODUCT(MAX(ROW(E4911:E$2)*(E4912=E4911:E$2)))))</f>
        <v> </v>
      </c>
      <c r="J4912" s="26" t="str">
        <f>IF(OR(E4912="",E4912="!!!",F4912="NEW"),"",COUNTBLANK(OFFSET(A$1,,,SUMPRODUCT(MAX(ROW(E$2:E4912)*(E4912=E$2:E4912)))))-COUNTBLANK(OFFSET(A$1,,,SUMPRODUCT(MAX(ROW(E$1:E4911)*(E2=E$1:E4911))))))</f>
        <v> </v>
      </c>
      <c r="K4912" s="26" t="str">
        <f>IF(OR(E4912="",E4912="!!!",F4912="NEW"),"",INDEX(J$1:J4911,SUMPRODUCT(MAX(ROW(E$1:E4911)*(E4912=E$1:E4911)))))</f>
        <v> </v>
      </c>
      <c r="L4912" s="27"/>
    </row>
    <row r="4913" spans="1:12">
      <c r="A4913" s="20" t="s">
        <v>1185</v>
      </c>
      <c r="E4913" s="22">
        <f>IF(D4913="?OLD","!!!","")</f>
        <v/>
      </c>
      <c r="F4913" s="23" t="str">
        <f>IF(OR(E4913="",E4913="!!!"),"",IF(NOT(ISNA(VLOOKUP(E4913,E$1:E4912,1,FALSE()))),"OLD",IF(AND(E4913&lt;&gt;"",E4913&lt;&gt;"!!!"),"NEW","")))</f>
        <v> </v>
      </c>
      <c r="G4913" s="24" t="str">
        <f>IF(OR(E4913="",E4913="!!!"),"",IF(OR(J4913=0,AND(J4913=1,K4913=1),AND(J4913=1,I4913="SBJ"),AND(J4913=1,I4913=0)),"?IN_FOCUS",IF(J4913&lt;=2,"?ACTIVATED",IF(J4913&lt;&gt;"","?FAMILIAR",IF(F4913="NEW",IF(ISNA(VLOOKUP(E4913,#REF!,1,FALSE())),"?TYPE_IDENTIFIABLE","?REFERENTIAL"),"_")))))</f>
        <v> </v>
      </c>
      <c r="H4913" s="25" t="str">
        <f>IF(J4913&lt;&gt;1,"",IF(I4913="SBJ","CB","?"))</f>
        <v> </v>
      </c>
      <c r="I4913" s="26" t="str">
        <f>IF(OR(E4913="",E4913="!!!",F4913="NEW"),"",INDEX(B4912:B$2,-1+SUMPRODUCT(MAX(ROW(E4912:E$2)*(E4913=E4912:E$2)))))</f>
        <v> </v>
      </c>
      <c r="J4913" s="26" t="str">
        <f>IF(OR(E4913="",E4913="!!!",F4913="NEW"),"",COUNTBLANK(OFFSET(A$1,,,SUMPRODUCT(MAX(ROW(E$2:E4913)*(E4913=E$2:E4913)))))-COUNTBLANK(OFFSET(A$1,,,SUMPRODUCT(MAX(ROW(E$1:E4912)*(E2=E$1:E4912))))))</f>
        <v> </v>
      </c>
      <c r="K4913" s="26" t="str">
        <f>IF(OR(E4913="",E4913="!!!",F4913="NEW"),"",INDEX(J$1:J4912,SUMPRODUCT(MAX(ROW(E$1:E4912)*(E4913=E$1:E4912)))))</f>
        <v> </v>
      </c>
      <c r="L4913" s="27"/>
    </row>
    <row r="4914" spans="1:12">
      <c r="A4914" s="20" t="s">
        <v>185</v>
      </c>
      <c r="B4914" s="21" t="s">
        <v>1240</v>
      </c>
      <c r="C4914" s="21" t="s">
        <v>1195</v>
      </c>
      <c r="D4914" s="21" t="s">
        <v>1180</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1631</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1314</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1248</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2609</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1185</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t="s">
        <v>1571</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57</v>
      </c>
      <c r="B4921" s="21" t="s">
        <v>1178</v>
      </c>
      <c r="C4921" s="21" t="s">
        <v>1195</v>
      </c>
      <c r="D4921" s="21" t="s">
        <v>1180</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1971</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1338</v>
      </c>
      <c r="B4923" s="21" t="s">
        <v>1191</v>
      </c>
      <c r="C4923" s="21" t="s">
        <v>1184</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1185</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2610</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t="s">
        <v>1626</v>
      </c>
      <c r="E4926" s="22">
        <f>IF(D4926="?OLD","!!!","")</f>
        <v/>
      </c>
      <c r="F4926" s="23" t="str">
        <f>IF(OR(E4926="",E4926="!!!"),"",IF(NOT(ISNA(VLOOKUP(E4926,E$1:E4925,1,FALSE()))),"OLD",IF(AND(E4926&lt;&gt;"",E4926&lt;&gt;"!!!"),"NEW","")))</f>
        <v> </v>
      </c>
      <c r="G4926" s="24" t="str">
        <f>IF(OR(E4926="",E4926="!!!"),"",IF(OR(J4926=0,AND(J4926=1,K4926=1),AND(J4926=1,I4926="SBJ"),AND(J4926=1,I4926=0)),"?IN_FOCUS",IF(J4926&lt;=2,"?ACTIVATED",IF(J4926&lt;&gt;"","?FAMILIAR",IF(F4926="NEW",IF(ISNA(VLOOKUP(E4926,#REF!,1,FALSE())),"?TYPE_IDENTIFIABLE","?REFERENTIAL"),"_")))))</f>
        <v> </v>
      </c>
      <c r="H4926" s="25" t="str">
        <f>IF(J4926&lt;&gt;1,"",IF(I4926="SBJ","CB","?"))</f>
        <v> </v>
      </c>
      <c r="I4926" s="26" t="str">
        <f>IF(OR(E4926="",E4926="!!!",F4926="NEW"),"",INDEX(B4925:B$2,-1+SUMPRODUCT(MAX(ROW(E4925:E$2)*(E4926=E4925:E$2)))))</f>
        <v> </v>
      </c>
      <c r="J4926" s="26" t="str">
        <f>IF(OR(E4926="",E4926="!!!",F4926="NEW"),"",COUNTBLANK(OFFSET(A$1,,,SUMPRODUCT(MAX(ROW(E$2:E4926)*(E4926=E$2:E4926)))))-COUNTBLANK(OFFSET(A$1,,,SUMPRODUCT(MAX(ROW(E$1:E4925)*(E2=E$1:E4925))))))</f>
        <v> </v>
      </c>
      <c r="K4926" s="26" t="str">
        <f>IF(OR(E4926="",E4926="!!!",F4926="NEW"),"",INDEX(J$1:J4925,SUMPRODUCT(MAX(ROW(E$1:E4925)*(E4926=E$1:E4925)))))</f>
        <v> </v>
      </c>
      <c r="L4926" s="27"/>
    </row>
    <row r="4927" spans="1:12">
      <c r="A4927" s="20" t="s">
        <v>1185</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1371</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1314</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1537</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2609</v>
      </c>
      <c r="B4931" s="21" t="s">
        <v>1191</v>
      </c>
      <c r="C4931" s="21" t="s">
        <v>1301</v>
      </c>
      <c r="D4931" s="21" t="s">
        <v>1180</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818</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row>
    <row r="4934" spans="1:12">
      <c r="A4934" s="20" t="s">
        <v>2611</v>
      </c>
    </row>
    <row r="4935" spans="1:12">
      <c r="A4935" s="20" t="s">
        <v>1593</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2612</v>
      </c>
      <c r="B4936" s="21" t="s">
        <v>1194</v>
      </c>
      <c r="C4936" s="21" t="s">
        <v>1223</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1499</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1257</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t="s">
        <v>2613</v>
      </c>
      <c r="E4939" s="22">
        <f>IF(D4939="?OLD","!!!","")</f>
        <v/>
      </c>
      <c r="F4939" s="23" t="str">
        <f>IF(OR(E4939="",E4939="!!!"),"",IF(NOT(ISNA(VLOOKUP(E4939,E$1:E4938,1,FALSE()))),"OLD",IF(AND(E4939&lt;&gt;"",E4939&lt;&gt;"!!!"),"NEW","")))</f>
        <v> </v>
      </c>
      <c r="G4939" s="24" t="str">
        <f>IF(OR(E4939="",E4939="!!!"),"",IF(OR(J4939=0,AND(J4939=1,K4939=1),AND(J4939=1,I4939="SBJ"),AND(J4939=1,I4939=0)),"?IN_FOCUS",IF(J4939&lt;=2,"?ACTIVATED",IF(J4939&lt;&gt;"","?FAMILIAR",IF(F4939="NEW",IF(ISNA(VLOOKUP(E4939,#REF!,1,FALSE())),"?TYPE_IDENTIFIABLE","?REFERENTIAL"),"_")))))</f>
        <v> </v>
      </c>
      <c r="H4939" s="25" t="str">
        <f>IF(J4939&lt;&gt;1,"",IF(I4939="SBJ","CB","?"))</f>
        <v> </v>
      </c>
      <c r="I4939" s="26" t="str">
        <f>IF(OR(E4939="",E4939="!!!",F4939="NEW"),"",INDEX(B4938:B$2,-1+SUMPRODUCT(MAX(ROW(E4938:E$2)*(E4939=E4938:E$2)))))</f>
        <v> </v>
      </c>
      <c r="J4939" s="26" t="str">
        <f>IF(OR(E4939="",E4939="!!!",F4939="NEW"),"",COUNTBLANK(OFFSET(A$1,,,SUMPRODUCT(MAX(ROW(E$2:E4939)*(E4939=E$2:E4939)))))-COUNTBLANK(OFFSET(A$1,,,SUMPRODUCT(MAX(ROW(E$1:E4938)*(E2=E$1:E4938))))))</f>
        <v> </v>
      </c>
      <c r="K4939" s="26" t="str">
        <f>IF(OR(E4939="",E4939="!!!",F4939="NEW"),"",INDEX(J$1:J4938,SUMPRODUCT(MAX(ROW(E$1:E4938)*(E4939=E$1:E4938)))))</f>
        <v> </v>
      </c>
      <c r="L4939" s="27"/>
    </row>
    <row r="4940" spans="1:12">
      <c r="A4940" s="20" t="s">
        <v>1487</v>
      </c>
      <c r="E4940" s="22">
        <f>IF(D4940="?OLD","!!!","")</f>
        <v/>
      </c>
      <c r="F4940" s="23" t="str">
        <f>IF(OR(E4940="",E4940="!!!"),"",IF(NOT(ISNA(VLOOKUP(E4940,E$1:E4939,1,FALSE()))),"OLD",IF(AND(E4940&lt;&gt;"",E4940&lt;&gt;"!!!"),"NEW","")))</f>
        <v> </v>
      </c>
      <c r="G4940" s="24" t="str">
        <f>IF(OR(E4940="",E4940="!!!"),"",IF(OR(J4940=0,AND(J4940=1,K4940=1),AND(J4940=1,I4940="SBJ"),AND(J4940=1,I4940=0)),"?IN_FOCUS",IF(J4940&lt;=2,"?ACTIVATED",IF(J4940&lt;&gt;"","?FAMILIAR",IF(F4940="NEW",IF(ISNA(VLOOKUP(E4940,#REF!,1,FALSE())),"?TYPE_IDENTIFIABLE","?REFERENTIAL"),"_")))))</f>
        <v> </v>
      </c>
      <c r="H4940" s="25" t="str">
        <f>IF(J4940&lt;&gt;1,"",IF(I4940="SBJ","CB","?"))</f>
        <v> </v>
      </c>
      <c r="I4940" s="26" t="str">
        <f>IF(OR(E4940="",E4940="!!!",F4940="NEW"),"",INDEX(B4939:B$2,-1+SUMPRODUCT(MAX(ROW(E4939:E$2)*(E4940=E4939:E$2)))))</f>
        <v> </v>
      </c>
      <c r="J4940" s="26" t="str">
        <f>IF(OR(E4940="",E4940="!!!",F4940="NEW"),"",COUNTBLANK(OFFSET(A$1,,,SUMPRODUCT(MAX(ROW(E$2:E4940)*(E4940=E$2:E4940)))))-COUNTBLANK(OFFSET(A$1,,,SUMPRODUCT(MAX(ROW(E$1:E4939)*(E2=E$1:E4939))))))</f>
        <v> </v>
      </c>
      <c r="K4940" s="26" t="str">
        <f>IF(OR(E4940="",E4940="!!!",F4940="NEW"),"",INDEX(J$1:J4939,SUMPRODUCT(MAX(ROW(E$1:E4939)*(E4940=E$1:E4939)))))</f>
        <v> </v>
      </c>
      <c r="L4940" s="27"/>
    </row>
    <row r="4941" spans="1:12">
      <c r="A4941" s="20" t="s">
        <v>2614</v>
      </c>
      <c r="B4941" s="21" t="s">
        <v>1178</v>
      </c>
      <c r="C4941" s="21" t="s">
        <v>1223</v>
      </c>
      <c r="E4941" s="22">
        <f>IF(D4941="?OLD","!!!","")</f>
        <v/>
      </c>
      <c r="F4941" s="23" t="str">
        <f>IF(OR(E4941="",E4941="!!!"),"",IF(NOT(ISNA(VLOOKUP(E4941,E$1:E4940,1,FALSE()))),"OLD",IF(AND(E4941&lt;&gt;"",E4941&lt;&gt;"!!!"),"NEW","")))</f>
        <v> </v>
      </c>
      <c r="G4941" s="24" t="str">
        <f>IF(OR(E4941="",E4941="!!!"),"",IF(OR(J4941=0,AND(J4941=1,K4941=1),AND(J4941=1,I4941="SBJ"),AND(J4941=1,I4941=0)),"?IN_FOCUS",IF(J4941&lt;=2,"?ACTIVATED",IF(J4941&lt;&gt;"","?FAMILIAR",IF(F4941="NEW",IF(ISNA(VLOOKUP(E4941,#REF!,1,FALSE())),"?TYPE_IDENTIFIABLE","?REFERENTIAL"),"_")))))</f>
        <v> </v>
      </c>
      <c r="H4941" s="25" t="str">
        <f>IF(J4941&lt;&gt;1,"",IF(I4941="SBJ","CB","?"))</f>
        <v> </v>
      </c>
      <c r="I4941" s="26" t="str">
        <f>IF(OR(E4941="",E4941="!!!",F4941="NEW"),"",INDEX(B4940:B$2,-1+SUMPRODUCT(MAX(ROW(E4940:E$2)*(E4941=E4940:E$2)))))</f>
        <v> </v>
      </c>
      <c r="J4941" s="26" t="str">
        <f>IF(OR(E4941="",E4941="!!!",F4941="NEW"),"",COUNTBLANK(OFFSET(A$1,,,SUMPRODUCT(MAX(ROW(E$2:E4941)*(E4941=E$2:E4941)))))-COUNTBLANK(OFFSET(A$1,,,SUMPRODUCT(MAX(ROW(E$1:E4940)*(E2=E$1:E4940))))))</f>
        <v> </v>
      </c>
      <c r="K4941" s="26" t="str">
        <f>IF(OR(E4941="",E4941="!!!",F4941="NEW"),"",INDEX(J$1:J4940,SUMPRODUCT(MAX(ROW(E$1:E4940)*(E4941=E$1:E4940)))))</f>
        <v> </v>
      </c>
      <c r="L4941" s="27"/>
    </row>
    <row r="4942" spans="1:12">
      <c r="A4942" s="20" t="s">
        <v>818</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row>
    <row r="4944" spans="1:12">
      <c r="A4944" s="20" t="s">
        <v>2615</v>
      </c>
    </row>
    <row r="4945" spans="1:12">
      <c r="A4945" s="20" t="s">
        <v>1405</v>
      </c>
      <c r="B4945" s="21" t="s">
        <v>1194</v>
      </c>
      <c r="C4945" s="21" t="s">
        <v>1195</v>
      </c>
      <c r="D4945" s="21" t="s">
        <v>1180</v>
      </c>
      <c r="E4945" s="22">
        <f>IF(D4945="?OLD","!!!","")</f>
        <v/>
      </c>
      <c r="F4945" s="23" t="str">
        <f>IF(OR(E4945="",E4945="!!!"),"",IF(NOT(ISNA(VLOOKUP(E4945,E$1:E4944,1,FALSE()))),"OLD",IF(AND(E4945&lt;&gt;"",E4945&lt;&gt;"!!!"),"NEW","")))</f>
        <v> </v>
      </c>
      <c r="G4945" s="24" t="str">
        <f>IF(OR(E4945="",E4945="!!!"),"",IF(OR(J4945=0,AND(J4945=1,K4945=1),AND(J4945=1,I4945="SBJ"),AND(J4945=1,I4945=0)),"?IN_FOCUS",IF(J4945&lt;=2,"?ACTIVATED",IF(J4945&lt;&gt;"","?FAMILIAR",IF(F4945="NEW",IF(ISNA(VLOOKUP(E4945,#REF!,1,FALSE())),"?TYPE_IDENTIFIABLE","?REFERENTIAL"),"_")))))</f>
        <v> </v>
      </c>
      <c r="H4945" s="25" t="str">
        <f>IF(J4945&lt;&gt;1,"",IF(I4945="SBJ","CB","?"))</f>
        <v> </v>
      </c>
      <c r="I4945" s="26" t="str">
        <f>IF(OR(E4945="",E4945="!!!",F4945="NEW"),"",INDEX(B4944:B$2,-1+SUMPRODUCT(MAX(ROW(E4944:E$2)*(E4945=E4944:E$2)))))</f>
        <v> </v>
      </c>
      <c r="J4945" s="26" t="str">
        <f>IF(OR(E4945="",E4945="!!!",F4945="NEW"),"",COUNTBLANK(OFFSET(A$1,,,SUMPRODUCT(MAX(ROW(E$2:E4945)*(E4945=E$2:E4945)))))-COUNTBLANK(OFFSET(A$1,,,SUMPRODUCT(MAX(ROW(E$1:E4944)*(E2=E$1:E4944))))))</f>
        <v> </v>
      </c>
      <c r="K4945" s="26" t="str">
        <f>IF(OR(E4945="",E4945="!!!",F4945="NEW"),"",INDEX(J$1:J4944,SUMPRODUCT(MAX(ROW(E$1:E4944)*(E4945=E$1:E4944)))))</f>
        <v> </v>
      </c>
      <c r="L4945" s="27"/>
    </row>
    <row r="4946" spans="1:12">
      <c r="A4946" s="20" t="s">
        <v>2616</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1894</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2617</v>
      </c>
      <c r="B4948" s="21" t="s">
        <v>1204</v>
      </c>
      <c r="C4948" s="21" t="s">
        <v>1223</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1219</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1185</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1186</v>
      </c>
      <c r="B4951" s="21" t="s">
        <v>1240</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1293</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1260</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t="s">
        <v>1190</v>
      </c>
      <c r="B4954" s="21" t="s">
        <v>1191</v>
      </c>
      <c r="C4954" s="21" t="s">
        <v>1188</v>
      </c>
      <c r="D4954" s="21" t="s">
        <v>1180</v>
      </c>
      <c r="E4954" s="22">
        <f>IF(D4954="?OLD","!!!","")</f>
        <v/>
      </c>
      <c r="F4954" s="23" t="str">
        <f>IF(OR(E4954="",E4954="!!!"),"",IF(NOT(ISNA(VLOOKUP(E4954,E$1:E4953,1,FALSE()))),"OLD",IF(AND(E4954&lt;&gt;"",E4954&lt;&gt;"!!!"),"NEW","")))</f>
        <v> </v>
      </c>
      <c r="G4954" s="24" t="str">
        <f>IF(OR(E4954="",E4954="!!!"),"",IF(OR(J4954=0,AND(J4954=1,K4954=1),AND(J4954=1,I4954="SBJ"),AND(J4954=1,I4954=0)),"?IN_FOCUS",IF(J4954&lt;=2,"?ACTIVATED",IF(J4954&lt;&gt;"","?FAMILIAR",IF(F4954="NEW",IF(ISNA(VLOOKUP(E4954,#REF!,1,FALSE())),"?TYPE_IDENTIFIABLE","?REFERENTIAL"),"_")))))</f>
        <v> </v>
      </c>
      <c r="H4954" s="25" t="str">
        <f>IF(J4954&lt;&gt;1,"",IF(I4954="SBJ","CB","?"))</f>
        <v> </v>
      </c>
      <c r="I4954" s="26" t="str">
        <f>IF(OR(E4954="",E4954="!!!",F4954="NEW"),"",INDEX(B4953:B$2,-1+SUMPRODUCT(MAX(ROW(E4953:E$2)*(E4954=E4953:E$2)))))</f>
        <v> </v>
      </c>
      <c r="J4954" s="26" t="str">
        <f>IF(OR(E4954="",E4954="!!!",F4954="NEW"),"",COUNTBLANK(OFFSET(A$1,,,SUMPRODUCT(MAX(ROW(E$2:E4954)*(E4954=E$2:E4954)))))-COUNTBLANK(OFFSET(A$1,,,SUMPRODUCT(MAX(ROW(E$1:E4953)*(E2=E$1:E4953))))))</f>
        <v> </v>
      </c>
      <c r="K4954" s="26" t="str">
        <f>IF(OR(E4954="",E4954="!!!",F4954="NEW"),"",INDEX(J$1:J4953,SUMPRODUCT(MAX(ROW(E$1:E4953)*(E4954=E$1:E4953)))))</f>
        <v> </v>
      </c>
      <c r="L4954" s="27"/>
    </row>
    <row r="4955" spans="1:12">
      <c r="A4955" s="20" t="s">
        <v>2618</v>
      </c>
      <c r="E4955" s="22">
        <f>IF(D4955="?OLD","!!!","")</f>
        <v/>
      </c>
      <c r="F4955" s="23" t="str">
        <f>IF(OR(E4955="",E4955="!!!"),"",IF(NOT(ISNA(VLOOKUP(E4955,E$1:E4954,1,FALSE()))),"OLD",IF(AND(E4955&lt;&gt;"",E4955&lt;&gt;"!!!"),"NEW","")))</f>
        <v> </v>
      </c>
      <c r="G4955" s="24" t="str">
        <f>IF(OR(E4955="",E4955="!!!"),"",IF(OR(J4955=0,AND(J4955=1,K4955=1),AND(J4955=1,I4955="SBJ"),AND(J4955=1,I4955=0)),"?IN_FOCUS",IF(J4955&lt;=2,"?ACTIVATED",IF(J4955&lt;&gt;"","?FAMILIAR",IF(F4955="NEW",IF(ISNA(VLOOKUP(E4955,#REF!,1,FALSE())),"?TYPE_IDENTIFIABLE","?REFERENTIAL"),"_")))))</f>
        <v> </v>
      </c>
      <c r="H4955" s="25" t="str">
        <f>IF(J4955&lt;&gt;1,"",IF(I4955="SBJ","CB","?"))</f>
        <v> </v>
      </c>
      <c r="I4955" s="26" t="str">
        <f>IF(OR(E4955="",E4955="!!!",F4955="NEW"),"",INDEX(B4954:B$2,-1+SUMPRODUCT(MAX(ROW(E4954:E$2)*(E4955=E4954:E$2)))))</f>
        <v> </v>
      </c>
      <c r="J4955" s="26" t="str">
        <f>IF(OR(E4955="",E4955="!!!",F4955="NEW"),"",COUNTBLANK(OFFSET(A$1,,,SUMPRODUCT(MAX(ROW(E$2:E4955)*(E4955=E$2:E4955)))))-COUNTBLANK(OFFSET(A$1,,,SUMPRODUCT(MAX(ROW(E$1:E4954)*(E2=E$1:E4954))))))</f>
        <v> </v>
      </c>
      <c r="K4955" s="26" t="str">
        <f>IF(OR(E4955="",E4955="!!!",F4955="NEW"),"",INDEX(J$1:J4954,SUMPRODUCT(MAX(ROW(E$1:E4954)*(E4955=E$1:E4954)))))</f>
        <v> </v>
      </c>
      <c r="L4955" s="27"/>
    </row>
    <row r="4956" spans="1:12">
      <c r="A4956" s="20" t="s">
        <v>1257</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t="s">
        <v>818</v>
      </c>
      <c r="E4957" s="22">
        <f>IF(D4957="?OLD","!!!","")</f>
        <v/>
      </c>
      <c r="F4957" s="23" t="str">
        <f>IF(OR(E4957="",E4957="!!!"),"",IF(NOT(ISNA(VLOOKUP(E4957,E$1:E4956,1,FALSE()))),"OLD",IF(AND(E4957&lt;&gt;"",E4957&lt;&gt;"!!!"),"NEW","")))</f>
        <v> </v>
      </c>
      <c r="G4957" s="24" t="str">
        <f>IF(OR(E4957="",E4957="!!!"),"",IF(OR(J4957=0,AND(J4957=1,K4957=1),AND(J4957=1,I4957="SBJ"),AND(J4957=1,I4957=0)),"?IN_FOCUS",IF(J4957&lt;=2,"?ACTIVATED",IF(J4957&lt;&gt;"","?FAMILIAR",IF(F4957="NEW",IF(ISNA(VLOOKUP(E4957,#REF!,1,FALSE())),"?TYPE_IDENTIFIABLE","?REFERENTIAL"),"_")))))</f>
        <v> </v>
      </c>
      <c r="H4957" s="25" t="str">
        <f>IF(J4957&lt;&gt;1,"",IF(I4957="SBJ","CB","?"))</f>
        <v> </v>
      </c>
      <c r="I4957" s="26" t="str">
        <f>IF(OR(E4957="",E4957="!!!",F4957="NEW"),"",INDEX(B4956:B$2,-1+SUMPRODUCT(MAX(ROW(E4956:E$2)*(E4957=E4956:E$2)))))</f>
        <v> </v>
      </c>
      <c r="J4957" s="26" t="str">
        <f>IF(OR(E4957="",E4957="!!!",F4957="NEW"),"",COUNTBLANK(OFFSET(A$1,,,SUMPRODUCT(MAX(ROW(E$2:E4957)*(E4957=E$2:E4957)))))-COUNTBLANK(OFFSET(A$1,,,SUMPRODUCT(MAX(ROW(E$1:E4956)*(E2=E$1:E4956))))))</f>
        <v> </v>
      </c>
      <c r="K4957" s="26" t="str">
        <f>IF(OR(E4957="",E4957="!!!",F4957="NEW"),"",INDEX(J$1:J4956,SUMPRODUCT(MAX(ROW(E$1:E4956)*(E4957=E$1:E4956)))))</f>
        <v> </v>
      </c>
      <c r="L4957" s="27"/>
    </row>
    <row r="4958" spans="1:12">
      <c r="A4958" s="20"/>
    </row>
    <row r="4959" spans="1:12">
      <c r="A4959" s="20" t="s">
        <v>2619</v>
      </c>
    </row>
    <row r="4960" spans="1:12">
      <c r="A4960" s="20" t="s">
        <v>1256</v>
      </c>
      <c r="B4960" s="21" t="s">
        <v>1194</v>
      </c>
      <c r="C4960" s="21" t="s">
        <v>1195</v>
      </c>
      <c r="D4960" s="21" t="s">
        <v>1180</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t="s">
        <v>2242</v>
      </c>
      <c r="E4961" s="22">
        <f>IF(D4961="?OLD","!!!","")</f>
        <v/>
      </c>
      <c r="F4961" s="23" t="str">
        <f>IF(OR(E4961="",E4961="!!!"),"",IF(NOT(ISNA(VLOOKUP(E4961,E$1:E4960,1,FALSE()))),"OLD",IF(AND(E4961&lt;&gt;"",E4961&lt;&gt;"!!!"),"NEW","")))</f>
        <v> </v>
      </c>
      <c r="G4961" s="24" t="str">
        <f>IF(OR(E4961="",E4961="!!!"),"",IF(OR(J4961=0,AND(J4961=1,K4961=1),AND(J4961=1,I4961="SBJ"),AND(J4961=1,I4961=0)),"?IN_FOCUS",IF(J4961&lt;=2,"?ACTIVATED",IF(J4961&lt;&gt;"","?FAMILIAR",IF(F4961="NEW",IF(ISNA(VLOOKUP(E4961,#REF!,1,FALSE())),"?TYPE_IDENTIFIABLE","?REFERENTIAL"),"_")))))</f>
        <v> </v>
      </c>
      <c r="H4961" s="25" t="str">
        <f>IF(J4961&lt;&gt;1,"",IF(I4961="SBJ","CB","?"))</f>
        <v> </v>
      </c>
      <c r="I4961" s="26" t="str">
        <f>IF(OR(E4961="",E4961="!!!",F4961="NEW"),"",INDEX(B4960:B$2,-1+SUMPRODUCT(MAX(ROW(E4960:E$2)*(E4961=E4960:E$2)))))</f>
        <v> </v>
      </c>
      <c r="J4961" s="26" t="str">
        <f>IF(OR(E4961="",E4961="!!!",F4961="NEW"),"",COUNTBLANK(OFFSET(A$1,,,SUMPRODUCT(MAX(ROW(E$2:E4961)*(E4961=E$2:E4961)))))-COUNTBLANK(OFFSET(A$1,,,SUMPRODUCT(MAX(ROW(E$1:E4960)*(E2=E$1:E4960))))))</f>
        <v> </v>
      </c>
      <c r="K4961" s="26" t="str">
        <f>IF(OR(E4961="",E4961="!!!",F4961="NEW"),"",INDEX(J$1:J4960,SUMPRODUCT(MAX(ROW(E$1:E4960)*(E4961=E$1:E4960)))))</f>
        <v> </v>
      </c>
      <c r="L4961" s="27"/>
    </row>
    <row r="4962" spans="1:12">
      <c r="A4962" s="20" t="s">
        <v>2620</v>
      </c>
      <c r="E4962" s="22">
        <f>IF(D4962="?OLD","!!!","")</f>
        <v/>
      </c>
      <c r="F4962" s="23" t="str">
        <f>IF(OR(E4962="",E4962="!!!"),"",IF(NOT(ISNA(VLOOKUP(E4962,E$1:E4961,1,FALSE()))),"OLD",IF(AND(E4962&lt;&gt;"",E4962&lt;&gt;"!!!"),"NEW","")))</f>
        <v> </v>
      </c>
      <c r="G4962" s="24" t="str">
        <f>IF(OR(E4962="",E4962="!!!"),"",IF(OR(J4962=0,AND(J4962=1,K4962=1),AND(J4962=1,I4962="SBJ"),AND(J4962=1,I4962=0)),"?IN_FOCUS",IF(J4962&lt;=2,"?ACTIVATED",IF(J4962&lt;&gt;"","?FAMILIAR",IF(F4962="NEW",IF(ISNA(VLOOKUP(E4962,#REF!,1,FALSE())),"?TYPE_IDENTIFIABLE","?REFERENTIAL"),"_")))))</f>
        <v> </v>
      </c>
      <c r="H4962" s="25" t="str">
        <f>IF(J4962&lt;&gt;1,"",IF(I4962="SBJ","CB","?"))</f>
        <v> </v>
      </c>
      <c r="I4962" s="26" t="str">
        <f>IF(OR(E4962="",E4962="!!!",F4962="NEW"),"",INDEX(B4961:B$2,-1+SUMPRODUCT(MAX(ROW(E4961:E$2)*(E4962=E4961:E$2)))))</f>
        <v> </v>
      </c>
      <c r="J4962" s="26" t="str">
        <f>IF(OR(E4962="",E4962="!!!",F4962="NEW"),"",COUNTBLANK(OFFSET(A$1,,,SUMPRODUCT(MAX(ROW(E$2:E4962)*(E4962=E$2:E4962)))))-COUNTBLANK(OFFSET(A$1,,,SUMPRODUCT(MAX(ROW(E$1:E4961)*(E2=E$1:E4961))))))</f>
        <v> </v>
      </c>
      <c r="K4962" s="26" t="str">
        <f>IF(OR(E4962="",E4962="!!!",F4962="NEW"),"",INDEX(J$1:J4961,SUMPRODUCT(MAX(ROW(E$1:E4961)*(E4962=E$1:E4961)))))</f>
        <v> </v>
      </c>
      <c r="L4962" s="27"/>
    </row>
    <row r="4963" spans="1:12">
      <c r="A4963" s="20" t="s">
        <v>1185</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1420</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1365</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185</v>
      </c>
      <c r="B4966" s="21" t="s">
        <v>1237</v>
      </c>
      <c r="C4966" s="21" t="s">
        <v>1195</v>
      </c>
      <c r="D4966" s="21" t="s">
        <v>1180</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1268</v>
      </c>
      <c r="B4967" s="21" t="s">
        <v>1237</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t="s">
        <v>2621</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t="s">
        <v>2622</v>
      </c>
      <c r="E4969" s="22">
        <f>IF(D4969="?OLD","!!!","")</f>
        <v/>
      </c>
      <c r="F4969" s="23" t="str">
        <f>IF(OR(E4969="",E4969="!!!"),"",IF(NOT(ISNA(VLOOKUP(E4969,E$1:E4968,1,FALSE()))),"OLD",IF(AND(E4969&lt;&gt;"",E4969&lt;&gt;"!!!"),"NEW","")))</f>
        <v> </v>
      </c>
      <c r="G4969" s="24" t="str">
        <f>IF(OR(E4969="",E4969="!!!"),"",IF(OR(J4969=0,AND(J4969=1,K4969=1),AND(J4969=1,I4969="SBJ"),AND(J4969=1,I4969=0)),"?IN_FOCUS",IF(J4969&lt;=2,"?ACTIVATED",IF(J4969&lt;&gt;"","?FAMILIAR",IF(F4969="NEW",IF(ISNA(VLOOKUP(E4969,#REF!,1,FALSE())),"?TYPE_IDENTIFIABLE","?REFERENTIAL"),"_")))))</f>
        <v> </v>
      </c>
      <c r="H4969" s="25" t="str">
        <f>IF(J4969&lt;&gt;1,"",IF(I4969="SBJ","CB","?"))</f>
        <v> </v>
      </c>
      <c r="I4969" s="26" t="str">
        <f>IF(OR(E4969="",E4969="!!!",F4969="NEW"),"",INDEX(B4968:B$2,-1+SUMPRODUCT(MAX(ROW(E4968:E$2)*(E4969=E4968:E$2)))))</f>
        <v> </v>
      </c>
      <c r="J4969" s="26" t="str">
        <f>IF(OR(E4969="",E4969="!!!",F4969="NEW"),"",COUNTBLANK(OFFSET(A$1,,,SUMPRODUCT(MAX(ROW(E$2:E4969)*(E4969=E$2:E4969)))))-COUNTBLANK(OFFSET(A$1,,,SUMPRODUCT(MAX(ROW(E$1:E4968)*(E2=E$1:E4968))))))</f>
        <v> </v>
      </c>
      <c r="K4969" s="26" t="str">
        <f>IF(OR(E4969="",E4969="!!!",F4969="NEW"),"",INDEX(J$1:J4968,SUMPRODUCT(MAX(ROW(E$1:E4968)*(E4969=E$1:E4968)))))</f>
        <v> </v>
      </c>
      <c r="L4969" s="27"/>
    </row>
    <row r="4970" spans="1:12">
      <c r="A4970" s="20" t="s">
        <v>1185</v>
      </c>
      <c r="E4970" s="22">
        <f>IF(D4970="?OLD","!!!","")</f>
        <v/>
      </c>
      <c r="F4970" s="23" t="str">
        <f>IF(OR(E4970="",E4970="!!!"),"",IF(NOT(ISNA(VLOOKUP(E4970,E$1:E4969,1,FALSE()))),"OLD",IF(AND(E4970&lt;&gt;"",E4970&lt;&gt;"!!!"),"NEW","")))</f>
        <v> </v>
      </c>
      <c r="G4970" s="24" t="str">
        <f>IF(OR(E4970="",E4970="!!!"),"",IF(OR(J4970=0,AND(J4970=1,K4970=1),AND(J4970=1,I4970="SBJ"),AND(J4970=1,I4970=0)),"?IN_FOCUS",IF(J4970&lt;=2,"?ACTIVATED",IF(J4970&lt;&gt;"","?FAMILIAR",IF(F4970="NEW",IF(ISNA(VLOOKUP(E4970,#REF!,1,FALSE())),"?TYPE_IDENTIFIABLE","?REFERENTIAL"),"_")))))</f>
        <v> </v>
      </c>
      <c r="H4970" s="25" t="str">
        <f>IF(J4970&lt;&gt;1,"",IF(I4970="SBJ","CB","?"))</f>
        <v> </v>
      </c>
      <c r="I4970" s="26" t="str">
        <f>IF(OR(E4970="",E4970="!!!",F4970="NEW"),"",INDEX(B4969:B$2,-1+SUMPRODUCT(MAX(ROW(E4969:E$2)*(E4970=E4969:E$2)))))</f>
        <v> </v>
      </c>
      <c r="J4970" s="26" t="str">
        <f>IF(OR(E4970="",E4970="!!!",F4970="NEW"),"",COUNTBLANK(OFFSET(A$1,,,SUMPRODUCT(MAX(ROW(E$2:E4970)*(E4970=E$2:E4970)))))-COUNTBLANK(OFFSET(A$1,,,SUMPRODUCT(MAX(ROW(E$1:E4969)*(E2=E$1:E4969))))))</f>
        <v> </v>
      </c>
      <c r="K4970" s="26" t="str">
        <f>IF(OR(E4970="",E4970="!!!",F4970="NEW"),"",INDEX(J$1:J4969,SUMPRODUCT(MAX(ROW(E$1:E4969)*(E4970=E$1:E4969)))))</f>
        <v> </v>
      </c>
      <c r="L4970" s="27"/>
    </row>
    <row r="4971" spans="1:12">
      <c r="A4971" s="20" t="s">
        <v>1310</v>
      </c>
      <c r="E4971" s="22">
        <f>IF(D4971="?OLD","!!!","")</f>
        <v/>
      </c>
      <c r="F4971" s="23" t="str">
        <f>IF(OR(E4971="",E4971="!!!"),"",IF(NOT(ISNA(VLOOKUP(E4971,E$1:E4970,1,FALSE()))),"OLD",IF(AND(E4971&lt;&gt;"",E4971&lt;&gt;"!!!"),"NEW","")))</f>
        <v> </v>
      </c>
      <c r="G4971" s="24" t="str">
        <f>IF(OR(E4971="",E4971="!!!"),"",IF(OR(J4971=0,AND(J4971=1,K4971=1),AND(J4971=1,I4971="SBJ"),AND(J4971=1,I4971=0)),"?IN_FOCUS",IF(J4971&lt;=2,"?ACTIVATED",IF(J4971&lt;&gt;"","?FAMILIAR",IF(F4971="NEW",IF(ISNA(VLOOKUP(E4971,#REF!,1,FALSE())),"?TYPE_IDENTIFIABLE","?REFERENTIAL"),"_")))))</f>
        <v> </v>
      </c>
      <c r="H4971" s="25" t="str">
        <f>IF(J4971&lt;&gt;1,"",IF(I4971="SBJ","CB","?"))</f>
        <v> </v>
      </c>
      <c r="I4971" s="26" t="str">
        <f>IF(OR(E4971="",E4971="!!!",F4971="NEW"),"",INDEX(B4970:B$2,-1+SUMPRODUCT(MAX(ROW(E4970:E$2)*(E4971=E4970:E$2)))))</f>
        <v> </v>
      </c>
      <c r="J4971" s="26" t="str">
        <f>IF(OR(E4971="",E4971="!!!",F4971="NEW"),"",COUNTBLANK(OFFSET(A$1,,,SUMPRODUCT(MAX(ROW(E$2:E4971)*(E4971=E$2:E4971)))))-COUNTBLANK(OFFSET(A$1,,,SUMPRODUCT(MAX(ROW(E$1:E4970)*(E2=E$1:E4970))))))</f>
        <v> </v>
      </c>
      <c r="K4971" s="26" t="str">
        <f>IF(OR(E4971="",E4971="!!!",F4971="NEW"),"",INDEX(J$1:J4970,SUMPRODUCT(MAX(ROW(E$1:E4970)*(E4971=E$1:E4970)))))</f>
        <v> </v>
      </c>
      <c r="L4971" s="27"/>
    </row>
    <row r="4972" spans="1:12">
      <c r="A4972" s="20" t="s">
        <v>57</v>
      </c>
      <c r="B4972" s="21" t="s">
        <v>1304</v>
      </c>
      <c r="C4972" s="21" t="s">
        <v>1195</v>
      </c>
      <c r="D4972" s="21" t="s">
        <v>1180</v>
      </c>
      <c r="E4972" s="22">
        <f>IF(D4972="?OLD","!!!","")</f>
        <v/>
      </c>
      <c r="F4972" s="23" t="str">
        <f>IF(OR(E4972="",E4972="!!!"),"",IF(NOT(ISNA(VLOOKUP(E4972,E$1:E4971,1,FALSE()))),"OLD",IF(AND(E4972&lt;&gt;"",E4972&lt;&gt;"!!!"),"NEW","")))</f>
        <v> </v>
      </c>
      <c r="G4972" s="24" t="str">
        <f>IF(OR(E4972="",E4972="!!!"),"",IF(OR(J4972=0,AND(J4972=1,K4972=1),AND(J4972=1,I4972="SBJ"),AND(J4972=1,I4972=0)),"?IN_FOCUS",IF(J4972&lt;=2,"?ACTIVATED",IF(J4972&lt;&gt;"","?FAMILIAR",IF(F4972="NEW",IF(ISNA(VLOOKUP(E4972,#REF!,1,FALSE())),"?TYPE_IDENTIFIABLE","?REFERENTIAL"),"_")))))</f>
        <v> </v>
      </c>
      <c r="H4972" s="25" t="str">
        <f>IF(J4972&lt;&gt;1,"",IF(I4972="SBJ","CB","?"))</f>
        <v> </v>
      </c>
      <c r="I4972" s="26" t="str">
        <f>IF(OR(E4972="",E4972="!!!",F4972="NEW"),"",INDEX(B4971:B$2,-1+SUMPRODUCT(MAX(ROW(E4971:E$2)*(E4972=E4971:E$2)))))</f>
        <v> </v>
      </c>
      <c r="J4972" s="26" t="str">
        <f>IF(OR(E4972="",E4972="!!!",F4972="NEW"),"",COUNTBLANK(OFFSET(A$1,,,SUMPRODUCT(MAX(ROW(E$2:E4972)*(E4972=E$2:E4972)))))-COUNTBLANK(OFFSET(A$1,,,SUMPRODUCT(MAX(ROW(E$1:E4971)*(E2=E$1:E4971))))))</f>
        <v> </v>
      </c>
      <c r="K4972" s="26" t="str">
        <f>IF(OR(E4972="",E4972="!!!",F4972="NEW"),"",INDEX(J$1:J4971,SUMPRODUCT(MAX(ROW(E$1:E4971)*(E4972=E$1:E4971)))))</f>
        <v> </v>
      </c>
      <c r="L4972" s="27"/>
    </row>
    <row r="4973" spans="1:12">
      <c r="A4973" s="20" t="s">
        <v>2623</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1185</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1302</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1381</v>
      </c>
      <c r="B4976" s="21" t="s">
        <v>1304</v>
      </c>
      <c r="C4976" s="21" t="s">
        <v>1238</v>
      </c>
      <c r="D4976" s="21" t="s">
        <v>1180</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t="s">
        <v>1436</v>
      </c>
      <c r="E4977" s="22">
        <f>IF(D4977="?OLD","!!!","")</f>
        <v/>
      </c>
      <c r="F4977" s="23" t="str">
        <f>IF(OR(E4977="",E4977="!!!"),"",IF(NOT(ISNA(VLOOKUP(E4977,E$1:E4976,1,FALSE()))),"OLD",IF(AND(E4977&lt;&gt;"",E4977&lt;&gt;"!!!"),"NEW","")))</f>
        <v> </v>
      </c>
      <c r="G4977" s="24" t="str">
        <f>IF(OR(E4977="",E4977="!!!"),"",IF(OR(J4977=0,AND(J4977=1,K4977=1),AND(J4977=1,I4977="SBJ"),AND(J4977=1,I4977=0)),"?IN_FOCUS",IF(J4977&lt;=2,"?ACTIVATED",IF(J4977&lt;&gt;"","?FAMILIAR",IF(F4977="NEW",IF(ISNA(VLOOKUP(E4977,#REF!,1,FALSE())),"?TYPE_IDENTIFIABLE","?REFERENTIAL"),"_")))))</f>
        <v> </v>
      </c>
      <c r="H4977" s="25" t="str">
        <f>IF(J4977&lt;&gt;1,"",IF(I4977="SBJ","CB","?"))</f>
        <v> </v>
      </c>
      <c r="I4977" s="26" t="str">
        <f>IF(OR(E4977="",E4977="!!!",F4977="NEW"),"",INDEX(B4976:B$2,-1+SUMPRODUCT(MAX(ROW(E4976:E$2)*(E4977=E4976:E$2)))))</f>
        <v> </v>
      </c>
      <c r="J4977" s="26" t="str">
        <f>IF(OR(E4977="",E4977="!!!",F4977="NEW"),"",COUNTBLANK(OFFSET(A$1,,,SUMPRODUCT(MAX(ROW(E$2:E4977)*(E4977=E$2:E4977)))))-COUNTBLANK(OFFSET(A$1,,,SUMPRODUCT(MAX(ROW(E$1:E4976)*(E2=E$1:E4976))))))</f>
        <v> </v>
      </c>
      <c r="K4977" s="26" t="str">
        <f>IF(OR(E4977="",E4977="!!!",F4977="NEW"),"",INDEX(J$1:J4976,SUMPRODUCT(MAX(ROW(E$1:E4976)*(E4977=E$1:E4976)))))</f>
        <v> </v>
      </c>
      <c r="L4977" s="27"/>
    </row>
    <row r="4978" spans="1:12">
      <c r="A4978" s="20" t="s">
        <v>1953</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t="s">
        <v>1185</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t="s">
        <v>1200</v>
      </c>
      <c r="E4980" s="22">
        <f>IF(D4980="?OLD","!!!","")</f>
        <v/>
      </c>
      <c r="F4980" s="23" t="str">
        <f>IF(OR(E4980="",E4980="!!!"),"",IF(NOT(ISNA(VLOOKUP(E4980,E$1:E4979,1,FALSE()))),"OLD",IF(AND(E4980&lt;&gt;"",E4980&lt;&gt;"!!!"),"NEW","")))</f>
        <v> </v>
      </c>
      <c r="G4980" s="24" t="str">
        <f>IF(OR(E4980="",E4980="!!!"),"",IF(OR(J4980=0,AND(J4980=1,K4980=1),AND(J4980=1,I4980="SBJ"),AND(J4980=1,I4980=0)),"?IN_FOCUS",IF(J4980&lt;=2,"?ACTIVATED",IF(J4980&lt;&gt;"","?FAMILIAR",IF(F4980="NEW",IF(ISNA(VLOOKUP(E4980,#REF!,1,FALSE())),"?TYPE_IDENTIFIABLE","?REFERENTIAL"),"_")))))</f>
        <v> </v>
      </c>
      <c r="H4980" s="25" t="str">
        <f>IF(J4980&lt;&gt;1,"",IF(I4980="SBJ","CB","?"))</f>
        <v> </v>
      </c>
      <c r="I4980" s="26" t="str">
        <f>IF(OR(E4980="",E4980="!!!",F4980="NEW"),"",INDEX(B4979:B$2,-1+SUMPRODUCT(MAX(ROW(E4979:E$2)*(E4980=E4979:E$2)))))</f>
        <v> </v>
      </c>
      <c r="J4980" s="26" t="str">
        <f>IF(OR(E4980="",E4980="!!!",F4980="NEW"),"",COUNTBLANK(OFFSET(A$1,,,SUMPRODUCT(MAX(ROW(E$2:E4980)*(E4980=E$2:E4980)))))-COUNTBLANK(OFFSET(A$1,,,SUMPRODUCT(MAX(ROW(E$1:E4979)*(E2=E$1:E4979))))))</f>
        <v> </v>
      </c>
      <c r="K4980" s="26" t="str">
        <f>IF(OR(E4980="",E4980="!!!",F4980="NEW"),"",INDEX(J$1:J4979,SUMPRODUCT(MAX(ROW(E$1:E4979)*(E4980=E$1:E4979)))))</f>
        <v> </v>
      </c>
      <c r="L4980" s="27"/>
    </row>
    <row r="4981" spans="1:12">
      <c r="A4981" s="20" t="s">
        <v>1260</v>
      </c>
      <c r="B4981" s="21" t="s">
        <v>1191</v>
      </c>
      <c r="C4981" s="21" t="s">
        <v>1238</v>
      </c>
      <c r="D4981" s="21" t="s">
        <v>1180</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57</v>
      </c>
      <c r="B4982" s="21" t="s">
        <v>1240</v>
      </c>
      <c r="C4982" s="21" t="s">
        <v>1195</v>
      </c>
      <c r="D4982" s="21" t="s">
        <v>1180</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2624</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t="s">
        <v>1185</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1359</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t="s">
        <v>185</v>
      </c>
      <c r="B4986" s="21" t="s">
        <v>1304</v>
      </c>
      <c r="C4986" s="21" t="s">
        <v>1195</v>
      </c>
      <c r="D4986" s="21" t="s">
        <v>1180</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t="s">
        <v>1260</v>
      </c>
      <c r="E4987" s="22">
        <f>IF(D4987="?OLD","!!!","")</f>
        <v/>
      </c>
      <c r="F4987" s="23" t="str">
        <f>IF(OR(E4987="",E4987="!!!"),"",IF(NOT(ISNA(VLOOKUP(E4987,E$1:E4986,1,FALSE()))),"OLD",IF(AND(E4987&lt;&gt;"",E4987&lt;&gt;"!!!"),"NEW","")))</f>
        <v> </v>
      </c>
      <c r="G4987" s="24" t="str">
        <f>IF(OR(E4987="",E4987="!!!"),"",IF(OR(J4987=0,AND(J4987=1,K4987=1),AND(J4987=1,I4987="SBJ"),AND(J4987=1,I4987=0)),"?IN_FOCUS",IF(J4987&lt;=2,"?ACTIVATED",IF(J4987&lt;&gt;"","?FAMILIAR",IF(F4987="NEW",IF(ISNA(VLOOKUP(E4987,#REF!,1,FALSE())),"?TYPE_IDENTIFIABLE","?REFERENTIAL"),"_")))))</f>
        <v> </v>
      </c>
      <c r="H4987" s="25" t="str">
        <f>IF(J4987&lt;&gt;1,"",IF(I4987="SBJ","CB","?"))</f>
        <v> </v>
      </c>
      <c r="I4987" s="26" t="str">
        <f>IF(OR(E4987="",E4987="!!!",F4987="NEW"),"",INDEX(B4986:B$2,-1+SUMPRODUCT(MAX(ROW(E4986:E$2)*(E4987=E4986:E$2)))))</f>
        <v> </v>
      </c>
      <c r="J4987" s="26" t="str">
        <f>IF(OR(E4987="",E4987="!!!",F4987="NEW"),"",COUNTBLANK(OFFSET(A$1,,,SUMPRODUCT(MAX(ROW(E$2:E4987)*(E4987=E$2:E4987)))))-COUNTBLANK(OFFSET(A$1,,,SUMPRODUCT(MAX(ROW(E$1:E4986)*(E2=E$1:E4986))))))</f>
        <v> </v>
      </c>
      <c r="K4987" s="26" t="str">
        <f>IF(OR(E4987="",E4987="!!!",F4987="NEW"),"",INDEX(J$1:J4986,SUMPRODUCT(MAX(ROW(E$1:E4986)*(E4987=E$1:E4986)))))</f>
        <v> </v>
      </c>
      <c r="L4987" s="27"/>
    </row>
    <row r="4988" spans="1:12">
      <c r="A4988" s="20" t="s">
        <v>1190</v>
      </c>
      <c r="B4988" s="21" t="s">
        <v>1306</v>
      </c>
      <c r="C4988" s="21" t="s">
        <v>1188</v>
      </c>
      <c r="D4988" s="21" t="s">
        <v>1180</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826</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1953</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818</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row>
    <row r="4993" spans="1:12">
      <c r="A4993" s="20" t="s">
        <v>2625</v>
      </c>
    </row>
    <row r="4994" spans="1:12">
      <c r="A4994" s="20" t="s">
        <v>2626</v>
      </c>
      <c r="E4994" s="22">
        <f>IF(D4994="?OLD","!!!","")</f>
        <v/>
      </c>
      <c r="F4994" s="23" t="str">
        <f>IF(OR(E4994="",E4994="!!!"),"",IF(NOT(ISNA(VLOOKUP(E4994,E$1:E4993,1,FALSE()))),"OLD",IF(AND(E4994&lt;&gt;"",E4994&lt;&gt;"!!!"),"NEW","")))</f>
        <v> </v>
      </c>
      <c r="G4994" s="24" t="str">
        <f>IF(OR(E4994="",E4994="!!!"),"",IF(OR(J4994=0,AND(J4994=1,K4994=1),AND(J4994=1,I4994="SBJ"),AND(J4994=1,I4994=0)),"?IN_FOCUS",IF(J4994&lt;=2,"?ACTIVATED",IF(J4994&lt;&gt;"","?FAMILIAR",IF(F4994="NEW",IF(ISNA(VLOOKUP(E4994,#REF!,1,FALSE())),"?TYPE_IDENTIFIABLE","?REFERENTIAL"),"_")))))</f>
        <v> </v>
      </c>
      <c r="H4994" s="25" t="str">
        <f>IF(J4994&lt;&gt;1,"",IF(I4994="SBJ","CB","?"))</f>
        <v> </v>
      </c>
      <c r="I4994" s="26" t="str">
        <f>IF(OR(E4994="",E4994="!!!",F4994="NEW"),"",INDEX(B4993:B$2,-1+SUMPRODUCT(MAX(ROW(E4993:E$2)*(E4994=E4993:E$2)))))</f>
        <v> </v>
      </c>
      <c r="J4994" s="26" t="str">
        <f>IF(OR(E4994="",E4994="!!!",F4994="NEW"),"",COUNTBLANK(OFFSET(A$1,,,SUMPRODUCT(MAX(ROW(E$2:E4994)*(E4994=E$2:E4994)))))-COUNTBLANK(OFFSET(A$1,,,SUMPRODUCT(MAX(ROW(E$1:E4993)*(E2=E$1:E4993))))))</f>
        <v> </v>
      </c>
      <c r="K4994" s="26" t="str">
        <f>IF(OR(E4994="",E4994="!!!",F4994="NEW"),"",INDEX(J$1:J4993,SUMPRODUCT(MAX(ROW(E$1:E4993)*(E4994=E$1:E4993)))))</f>
        <v> </v>
      </c>
      <c r="L4994" s="27"/>
    </row>
    <row r="4995" spans="1:12">
      <c r="A4995" s="20" t="s">
        <v>1574</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t="s">
        <v>1381</v>
      </c>
      <c r="E4996" s="22">
        <f>IF(D4996="?OLD","!!!","")</f>
        <v/>
      </c>
      <c r="F4996" s="23" t="str">
        <f>IF(OR(E4996="",E4996="!!!"),"",IF(NOT(ISNA(VLOOKUP(E4996,E$1:E4995,1,FALSE()))),"OLD",IF(AND(E4996&lt;&gt;"",E4996&lt;&gt;"!!!"),"NEW","")))</f>
        <v> </v>
      </c>
      <c r="G4996" s="24" t="str">
        <f>IF(OR(E4996="",E4996="!!!"),"",IF(OR(J4996=0,AND(J4996=1,K4996=1),AND(J4996=1,I4996="SBJ"),AND(J4996=1,I4996=0)),"?IN_FOCUS",IF(J4996&lt;=2,"?ACTIVATED",IF(J4996&lt;&gt;"","?FAMILIAR",IF(F4996="NEW",IF(ISNA(VLOOKUP(E4996,#REF!,1,FALSE())),"?TYPE_IDENTIFIABLE","?REFERENTIAL"),"_")))))</f>
        <v> </v>
      </c>
      <c r="H4996" s="25" t="str">
        <f>IF(J4996&lt;&gt;1,"",IF(I4996="SBJ","CB","?"))</f>
        <v> </v>
      </c>
      <c r="I4996" s="26" t="str">
        <f>IF(OR(E4996="",E4996="!!!",F4996="NEW"),"",INDEX(B4995:B$2,-1+SUMPRODUCT(MAX(ROW(E4995:E$2)*(E4996=E4995:E$2)))))</f>
        <v> </v>
      </c>
      <c r="J4996" s="26" t="str">
        <f>IF(OR(E4996="",E4996="!!!",F4996="NEW"),"",COUNTBLANK(OFFSET(A$1,,,SUMPRODUCT(MAX(ROW(E$2:E4996)*(E4996=E$2:E4996)))))-COUNTBLANK(OFFSET(A$1,,,SUMPRODUCT(MAX(ROW(E$1:E4995)*(E2=E$1:E4995))))))</f>
        <v> </v>
      </c>
      <c r="K4996" s="26" t="str">
        <f>IF(OR(E4996="",E4996="!!!",F4996="NEW"),"",INDEX(J$1:J4995,SUMPRODUCT(MAX(ROW(E$1:E4995)*(E4996=E$1:E4995)))))</f>
        <v> </v>
      </c>
      <c r="L4996" s="27"/>
    </row>
    <row r="4997" spans="1:12">
      <c r="A4997" s="20" t="s">
        <v>2627</v>
      </c>
      <c r="B4997" s="21" t="s">
        <v>1178</v>
      </c>
      <c r="C4997" s="21" t="s">
        <v>1301</v>
      </c>
      <c r="D4997" s="21" t="s">
        <v>1180</v>
      </c>
      <c r="E4997" s="22">
        <f>IF(D4997="?OLD","!!!","")</f>
        <v/>
      </c>
      <c r="F4997" s="23" t="str">
        <f>IF(OR(E4997="",E4997="!!!"),"",IF(NOT(ISNA(VLOOKUP(E4997,E$1:E4996,1,FALSE()))),"OLD",IF(AND(E4997&lt;&gt;"",E4997&lt;&gt;"!!!"),"NEW","")))</f>
        <v> </v>
      </c>
      <c r="G4997" s="24" t="str">
        <f>IF(OR(E4997="",E4997="!!!"),"",IF(OR(J4997=0,AND(J4997=1,K4997=1),AND(J4997=1,I4997="SBJ"),AND(J4997=1,I4997=0)),"?IN_FOCUS",IF(J4997&lt;=2,"?ACTIVATED",IF(J4997&lt;&gt;"","?FAMILIAR",IF(F4997="NEW",IF(ISNA(VLOOKUP(E4997,#REF!,1,FALSE())),"?TYPE_IDENTIFIABLE","?REFERENTIAL"),"_")))))</f>
        <v> </v>
      </c>
      <c r="H4997" s="25" t="str">
        <f>IF(J4997&lt;&gt;1,"",IF(I4997="SBJ","CB","?"))</f>
        <v> </v>
      </c>
      <c r="I4997" s="26" t="str">
        <f>IF(OR(E4997="",E4997="!!!",F4997="NEW"),"",INDEX(B4996:B$2,-1+SUMPRODUCT(MAX(ROW(E4996:E$2)*(E4997=E4996:E$2)))))</f>
        <v> </v>
      </c>
      <c r="J4997" s="26" t="str">
        <f>IF(OR(E4997="",E4997="!!!",F4997="NEW"),"",COUNTBLANK(OFFSET(A$1,,,SUMPRODUCT(MAX(ROW(E$2:E4997)*(E4997=E$2:E4997)))))-COUNTBLANK(OFFSET(A$1,,,SUMPRODUCT(MAX(ROW(E$1:E4996)*(E2=E$1:E4996))))))</f>
        <v> </v>
      </c>
      <c r="K4997" s="26" t="str">
        <f>IF(OR(E4997="",E4997="!!!",F4997="NEW"),"",INDEX(J$1:J4996,SUMPRODUCT(MAX(ROW(E$1:E4996)*(E4997=E$1:E4996)))))</f>
        <v> </v>
      </c>
      <c r="L4997" s="27"/>
    </row>
    <row r="4998" spans="1:12">
      <c r="A4998" s="20" t="s">
        <v>1249</v>
      </c>
      <c r="E4998" s="22">
        <f>IF(D4998="?OLD","!!!","")</f>
        <v/>
      </c>
      <c r="F4998" s="23" t="str">
        <f>IF(OR(E4998="",E4998="!!!"),"",IF(NOT(ISNA(VLOOKUP(E4998,E$1:E4997,1,FALSE()))),"OLD",IF(AND(E4998&lt;&gt;"",E4998&lt;&gt;"!!!"),"NEW","")))</f>
        <v> </v>
      </c>
      <c r="G4998" s="24" t="str">
        <f>IF(OR(E4998="",E4998="!!!"),"",IF(OR(J4998=0,AND(J4998=1,K4998=1),AND(J4998=1,I4998="SBJ"),AND(J4998=1,I4998=0)),"?IN_FOCUS",IF(J4998&lt;=2,"?ACTIVATED",IF(J4998&lt;&gt;"","?FAMILIAR",IF(F4998="NEW",IF(ISNA(VLOOKUP(E4998,#REF!,1,FALSE())),"?TYPE_IDENTIFIABLE","?REFERENTIAL"),"_")))))</f>
        <v> </v>
      </c>
      <c r="H4998" s="25" t="str">
        <f>IF(J4998&lt;&gt;1,"",IF(I4998="SBJ","CB","?"))</f>
        <v> </v>
      </c>
      <c r="I4998" s="26" t="str">
        <f>IF(OR(E4998="",E4998="!!!",F4998="NEW"),"",INDEX(B4997:B$2,-1+SUMPRODUCT(MAX(ROW(E4997:E$2)*(E4998=E4997:E$2)))))</f>
        <v> </v>
      </c>
      <c r="J4998" s="26" t="str">
        <f>IF(OR(E4998="",E4998="!!!",F4998="NEW"),"",COUNTBLANK(OFFSET(A$1,,,SUMPRODUCT(MAX(ROW(E$2:E4998)*(E4998=E$2:E4998)))))-COUNTBLANK(OFFSET(A$1,,,SUMPRODUCT(MAX(ROW(E$1:E4997)*(E2=E$1:E4997))))))</f>
        <v> </v>
      </c>
      <c r="K4998" s="26" t="str">
        <f>IF(OR(E4998="",E4998="!!!",F4998="NEW"),"",INDEX(J$1:J4997,SUMPRODUCT(MAX(ROW(E$1:E4997)*(E4998=E$1:E4997)))))</f>
        <v> </v>
      </c>
      <c r="L4998" s="27"/>
    </row>
    <row r="4999" spans="1:12">
      <c r="A4999" s="20"/>
    </row>
    <row r="5000" spans="1:12">
      <c r="A5000" s="20" t="s">
        <v>2628</v>
      </c>
    </row>
    <row r="5001" spans="1:12">
      <c r="A5001" s="20" t="s">
        <v>1287</v>
      </c>
      <c r="B5001" s="21" t="s">
        <v>1194</v>
      </c>
      <c r="C5001" s="21" t="s">
        <v>1195</v>
      </c>
      <c r="D5001" s="21" t="s">
        <v>1180</v>
      </c>
      <c r="E5001" s="22">
        <f>IF(D5001="?OLD","!!!","")</f>
        <v/>
      </c>
      <c r="F5001" s="23" t="str">
        <f>IF(OR(E5001="",E5001="!!!"),"",IF(NOT(ISNA(VLOOKUP(E5001,E$1:E5000,1,FALSE()))),"OLD",IF(AND(E5001&lt;&gt;"",E5001&lt;&gt;"!!!"),"NEW","")))</f>
        <v> </v>
      </c>
      <c r="G5001" s="24" t="str">
        <f>IF(OR(E5001="",E5001="!!!"),"",IF(OR(J5001=0,AND(J5001=1,K5001=1),AND(J5001=1,I5001="SBJ"),AND(J5001=1,I5001=0)),"?IN_FOCUS",IF(J5001&lt;=2,"?ACTIVATED",IF(J5001&lt;&gt;"","?FAMILIAR",IF(F5001="NEW",IF(ISNA(VLOOKUP(E5001,#REF!,1,FALSE())),"?TYPE_IDENTIFIABLE","?REFERENTIAL"),"_")))))</f>
        <v> </v>
      </c>
      <c r="H5001" s="25" t="str">
        <f>IF(J5001&lt;&gt;1,"",IF(I5001="SBJ","CB","?"))</f>
        <v> </v>
      </c>
      <c r="I5001" s="26" t="str">
        <f>IF(OR(E5001="",E5001="!!!",F5001="NEW"),"",INDEX(B5000:B$2,-1+SUMPRODUCT(MAX(ROW(E5000:E$2)*(E5001=E5000:E$2)))))</f>
        <v> </v>
      </c>
      <c r="J5001" s="26" t="str">
        <f>IF(OR(E5001="",E5001="!!!",F5001="NEW"),"",COUNTBLANK(OFFSET(A$1,,,SUMPRODUCT(MAX(ROW(E$2:E5001)*(E5001=E$2:E5001)))))-COUNTBLANK(OFFSET(A$1,,,SUMPRODUCT(MAX(ROW(E$1:E5000)*(E2=E$1:E5000))))))</f>
        <v> </v>
      </c>
      <c r="K5001" s="26" t="str">
        <f>IF(OR(E5001="",E5001="!!!",F5001="NEW"),"",INDEX(J$1:J5000,SUMPRODUCT(MAX(ROW(E$1:E5000)*(E5001=E$1:E5000)))))</f>
        <v> </v>
      </c>
      <c r="L5001" s="27"/>
    </row>
    <row r="5002" spans="1:12">
      <c r="A5002" s="20" t="s">
        <v>1182</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t="s">
        <v>1313</v>
      </c>
      <c r="B5003" s="21" t="s">
        <v>1240</v>
      </c>
      <c r="C5003" s="21" t="s">
        <v>1208</v>
      </c>
      <c r="D5003" s="21" t="s">
        <v>1180</v>
      </c>
      <c r="E5003" s="22">
        <f>IF(D5003="?OLD","!!!","")</f>
        <v/>
      </c>
      <c r="F5003" s="23" t="str">
        <f>IF(OR(E5003="",E5003="!!!"),"",IF(NOT(ISNA(VLOOKUP(E5003,E$1:E5002,1,FALSE()))),"OLD",IF(AND(E5003&lt;&gt;"",E5003&lt;&gt;"!!!"),"NEW","")))</f>
        <v> </v>
      </c>
      <c r="G5003" s="24" t="str">
        <f>IF(OR(E5003="",E5003="!!!"),"",IF(OR(J5003=0,AND(J5003=1,K5003=1),AND(J5003=1,I5003="SBJ"),AND(J5003=1,I5003=0)),"?IN_FOCUS",IF(J5003&lt;=2,"?ACTIVATED",IF(J5003&lt;&gt;"","?FAMILIAR",IF(F5003="NEW",IF(ISNA(VLOOKUP(E5003,#REF!,1,FALSE())),"?TYPE_IDENTIFIABLE","?REFERENTIAL"),"_")))))</f>
        <v> </v>
      </c>
      <c r="H5003" s="25" t="str">
        <f>IF(J5003&lt;&gt;1,"",IF(I5003="SBJ","CB","?"))</f>
        <v> </v>
      </c>
      <c r="I5003" s="26" t="str">
        <f>IF(OR(E5003="",E5003="!!!",F5003="NEW"),"",INDEX(B5002:B$2,-1+SUMPRODUCT(MAX(ROW(E5002:E$2)*(E5003=E5002:E$2)))))</f>
        <v> </v>
      </c>
      <c r="J5003" s="26" t="str">
        <f>IF(OR(E5003="",E5003="!!!",F5003="NEW"),"",COUNTBLANK(OFFSET(A$1,,,SUMPRODUCT(MAX(ROW(E$2:E5003)*(E5003=E$2:E5003)))))-COUNTBLANK(OFFSET(A$1,,,SUMPRODUCT(MAX(ROW(E$1:E5002)*(E2=E$1:E5002))))))</f>
        <v> </v>
      </c>
      <c r="K5003" s="26" t="str">
        <f>IF(OR(E5003="",E5003="!!!",F5003="NEW"),"",INDEX(J$1:J5002,SUMPRODUCT(MAX(ROW(E$1:E5002)*(E5003=E$1:E5002)))))</f>
        <v> </v>
      </c>
      <c r="L5003" s="27"/>
    </row>
    <row r="5004" spans="1:12">
      <c r="A5004" s="20" t="s">
        <v>1257</v>
      </c>
      <c r="E5004" s="22">
        <f>IF(D5004="?OLD","!!!","")</f>
        <v/>
      </c>
      <c r="F5004" s="23" t="str">
        <f>IF(OR(E5004="",E5004="!!!"),"",IF(NOT(ISNA(VLOOKUP(E5004,E$1:E5003,1,FALSE()))),"OLD",IF(AND(E5004&lt;&gt;"",E5004&lt;&gt;"!!!"),"NEW","")))</f>
        <v> </v>
      </c>
      <c r="G5004" s="24" t="str">
        <f>IF(OR(E5004="",E5004="!!!"),"",IF(OR(J5004=0,AND(J5004=1,K5004=1),AND(J5004=1,I5004="SBJ"),AND(J5004=1,I5004=0)),"?IN_FOCUS",IF(J5004&lt;=2,"?ACTIVATED",IF(J5004&lt;&gt;"","?FAMILIAR",IF(F5004="NEW",IF(ISNA(VLOOKUP(E5004,#REF!,1,FALSE())),"?TYPE_IDENTIFIABLE","?REFERENTIAL"),"_")))))</f>
        <v> </v>
      </c>
      <c r="H5004" s="25" t="str">
        <f>IF(J5004&lt;&gt;1,"",IF(I5004="SBJ","CB","?"))</f>
        <v> </v>
      </c>
      <c r="I5004" s="26" t="str">
        <f>IF(OR(E5004="",E5004="!!!",F5004="NEW"),"",INDEX(B5003:B$2,-1+SUMPRODUCT(MAX(ROW(E5003:E$2)*(E5004=E5003:E$2)))))</f>
        <v> </v>
      </c>
      <c r="J5004" s="26" t="str">
        <f>IF(OR(E5004="",E5004="!!!",F5004="NEW"),"",COUNTBLANK(OFFSET(A$1,,,SUMPRODUCT(MAX(ROW(E$2:E5004)*(E5004=E$2:E5004)))))-COUNTBLANK(OFFSET(A$1,,,SUMPRODUCT(MAX(ROW(E$1:E5003)*(E2=E$1:E5003))))))</f>
        <v> </v>
      </c>
      <c r="K5004" s="26" t="str">
        <f>IF(OR(E5004="",E5004="!!!",F5004="NEW"),"",INDEX(J$1:J5003,SUMPRODUCT(MAX(ROW(E$1:E5003)*(E5004=E$1:E5003)))))</f>
        <v> </v>
      </c>
      <c r="L5004" s="27"/>
    </row>
    <row r="5005" spans="1:12">
      <c r="A5005" s="20" t="s">
        <v>1375</v>
      </c>
      <c r="E5005" s="22">
        <f>IF(D5005="?OLD","!!!","")</f>
        <v/>
      </c>
      <c r="F5005" s="23" t="str">
        <f>IF(OR(E5005="",E5005="!!!"),"",IF(NOT(ISNA(VLOOKUP(E5005,E$1:E5004,1,FALSE()))),"OLD",IF(AND(E5005&lt;&gt;"",E5005&lt;&gt;"!!!"),"NEW","")))</f>
        <v> </v>
      </c>
      <c r="G5005" s="24" t="str">
        <f>IF(OR(E5005="",E5005="!!!"),"",IF(OR(J5005=0,AND(J5005=1,K5005=1),AND(J5005=1,I5005="SBJ"),AND(J5005=1,I5005=0)),"?IN_FOCUS",IF(J5005&lt;=2,"?ACTIVATED",IF(J5005&lt;&gt;"","?FAMILIAR",IF(F5005="NEW",IF(ISNA(VLOOKUP(E5005,#REF!,1,FALSE())),"?TYPE_IDENTIFIABLE","?REFERENTIAL"),"_")))))</f>
        <v> </v>
      </c>
      <c r="H5005" s="25" t="str">
        <f>IF(J5005&lt;&gt;1,"",IF(I5005="SBJ","CB","?"))</f>
        <v> </v>
      </c>
      <c r="I5005" s="26" t="str">
        <f>IF(OR(E5005="",E5005="!!!",F5005="NEW"),"",INDEX(B5004:B$2,-1+SUMPRODUCT(MAX(ROW(E5004:E$2)*(E5005=E5004:E$2)))))</f>
        <v> </v>
      </c>
      <c r="J5005" s="26" t="str">
        <f>IF(OR(E5005="",E5005="!!!",F5005="NEW"),"",COUNTBLANK(OFFSET(A$1,,,SUMPRODUCT(MAX(ROW(E$2:E5005)*(E5005=E$2:E5005)))))-COUNTBLANK(OFFSET(A$1,,,SUMPRODUCT(MAX(ROW(E$1:E5004)*(E2=E$1:E5004))))))</f>
        <v> </v>
      </c>
      <c r="K5005" s="26" t="str">
        <f>IF(OR(E5005="",E5005="!!!",F5005="NEW"),"",INDEX(J$1:J5004,SUMPRODUCT(MAX(ROW(E$1:E5004)*(E5005=E$1:E5004)))))</f>
        <v> </v>
      </c>
      <c r="L5005" s="27"/>
    </row>
    <row r="5006" spans="1:12">
      <c r="A5006" s="20" t="s">
        <v>1185</v>
      </c>
      <c r="E5006" s="22">
        <f>IF(D5006="?OLD","!!!","")</f>
        <v/>
      </c>
      <c r="F5006" s="23" t="str">
        <f>IF(OR(E5006="",E5006="!!!"),"",IF(NOT(ISNA(VLOOKUP(E5006,E$1:E5005,1,FALSE()))),"OLD",IF(AND(E5006&lt;&gt;"",E5006&lt;&gt;"!!!"),"NEW","")))</f>
        <v> </v>
      </c>
      <c r="G5006" s="24" t="str">
        <f>IF(OR(E5006="",E5006="!!!"),"",IF(OR(J5006=0,AND(J5006=1,K5006=1),AND(J5006=1,I5006="SBJ"),AND(J5006=1,I5006=0)),"?IN_FOCUS",IF(J5006&lt;=2,"?ACTIVATED",IF(J5006&lt;&gt;"","?FAMILIAR",IF(F5006="NEW",IF(ISNA(VLOOKUP(E5006,#REF!,1,FALSE())),"?TYPE_IDENTIFIABLE","?REFERENTIAL"),"_")))))</f>
        <v> </v>
      </c>
      <c r="H5006" s="25" t="str">
        <f>IF(J5006&lt;&gt;1,"",IF(I5006="SBJ","CB","?"))</f>
        <v> </v>
      </c>
      <c r="I5006" s="26" t="str">
        <f>IF(OR(E5006="",E5006="!!!",F5006="NEW"),"",INDEX(B5005:B$2,-1+SUMPRODUCT(MAX(ROW(E5005:E$2)*(E5006=E5005:E$2)))))</f>
        <v> </v>
      </c>
      <c r="J5006" s="26" t="str">
        <f>IF(OR(E5006="",E5006="!!!",F5006="NEW"),"",COUNTBLANK(OFFSET(A$1,,,SUMPRODUCT(MAX(ROW(E$2:E5006)*(E5006=E$2:E5006)))))-COUNTBLANK(OFFSET(A$1,,,SUMPRODUCT(MAX(ROW(E$1:E5005)*(E2=E$1:E5005))))))</f>
        <v> </v>
      </c>
      <c r="K5006" s="26" t="str">
        <f>IF(OR(E5006="",E5006="!!!",F5006="NEW"),"",INDEX(J$1:J5005,SUMPRODUCT(MAX(ROW(E$1:E5005)*(E5006=E$1:E5005)))))</f>
        <v> </v>
      </c>
      <c r="L5006" s="27"/>
    </row>
    <row r="5007" spans="1:12">
      <c r="A5007" s="20" t="s">
        <v>2629</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57</v>
      </c>
      <c r="B5008" s="21" t="s">
        <v>1194</v>
      </c>
      <c r="C5008" s="21" t="s">
        <v>1195</v>
      </c>
      <c r="D5008" s="21" t="s">
        <v>1180</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11</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t="s">
        <v>1313</v>
      </c>
      <c r="B5010" s="21" t="s">
        <v>1207</v>
      </c>
      <c r="C5010" s="21" t="s">
        <v>1208</v>
      </c>
      <c r="D5010" s="21" t="s">
        <v>1180</v>
      </c>
      <c r="E5010" s="22">
        <f>IF(D5010="?OLD","!!!","")</f>
        <v/>
      </c>
      <c r="F5010" s="23" t="str">
        <f>IF(OR(E5010="",E5010="!!!"),"",IF(NOT(ISNA(VLOOKUP(E5010,E$1:E5009,1,FALSE()))),"OLD",IF(AND(E5010&lt;&gt;"",E5010&lt;&gt;"!!!"),"NEW","")))</f>
        <v> </v>
      </c>
      <c r="G5010" s="24" t="str">
        <f>IF(OR(E5010="",E5010="!!!"),"",IF(OR(J5010=0,AND(J5010=1,K5010=1),AND(J5010=1,I5010="SBJ"),AND(J5010=1,I5010=0)),"?IN_FOCUS",IF(J5010&lt;=2,"?ACTIVATED",IF(J5010&lt;&gt;"","?FAMILIAR",IF(F5010="NEW",IF(ISNA(VLOOKUP(E5010,#REF!,1,FALSE())),"?TYPE_IDENTIFIABLE","?REFERENTIAL"),"_")))))</f>
        <v> </v>
      </c>
      <c r="H5010" s="25" t="str">
        <f>IF(J5010&lt;&gt;1,"",IF(I5010="SBJ","CB","?"))</f>
        <v> </v>
      </c>
      <c r="I5010" s="26" t="str">
        <f>IF(OR(E5010="",E5010="!!!",F5010="NEW"),"",INDEX(B5009:B$2,-1+SUMPRODUCT(MAX(ROW(E5009:E$2)*(E5010=E5009:E$2)))))</f>
        <v> </v>
      </c>
      <c r="J5010" s="26" t="str">
        <f>IF(OR(E5010="",E5010="!!!",F5010="NEW"),"",COUNTBLANK(OFFSET(A$1,,,SUMPRODUCT(MAX(ROW(E$2:E5010)*(E5010=E$2:E5010)))))-COUNTBLANK(OFFSET(A$1,,,SUMPRODUCT(MAX(ROW(E$1:E5009)*(E2=E$1:E5009))))))</f>
        <v> </v>
      </c>
      <c r="K5010" s="26" t="str">
        <f>IF(OR(E5010="",E5010="!!!",F5010="NEW"),"",INDEX(J$1:J5009,SUMPRODUCT(MAX(ROW(E$1:E5009)*(E5010=E$1:E5009)))))</f>
        <v> </v>
      </c>
      <c r="L5010" s="27"/>
    </row>
    <row r="5011" spans="1:12">
      <c r="A5011" s="20" t="s">
        <v>1257</v>
      </c>
      <c r="E5011" s="22">
        <f>IF(D5011="?OLD","!!!","")</f>
        <v/>
      </c>
      <c r="F5011" s="23" t="str">
        <f>IF(OR(E5011="",E5011="!!!"),"",IF(NOT(ISNA(VLOOKUP(E5011,E$1:E5010,1,FALSE()))),"OLD",IF(AND(E5011&lt;&gt;"",E5011&lt;&gt;"!!!"),"NEW","")))</f>
        <v> </v>
      </c>
      <c r="G5011" s="24" t="str">
        <f>IF(OR(E5011="",E5011="!!!"),"",IF(OR(J5011=0,AND(J5011=1,K5011=1),AND(J5011=1,I5011="SBJ"),AND(J5011=1,I5011=0)),"?IN_FOCUS",IF(J5011&lt;=2,"?ACTIVATED",IF(J5011&lt;&gt;"","?FAMILIAR",IF(F5011="NEW",IF(ISNA(VLOOKUP(E5011,#REF!,1,FALSE())),"?TYPE_IDENTIFIABLE","?REFERENTIAL"),"_")))))</f>
        <v> </v>
      </c>
      <c r="H5011" s="25" t="str">
        <f>IF(J5011&lt;&gt;1,"",IF(I5011="SBJ","CB","?"))</f>
        <v> </v>
      </c>
      <c r="I5011" s="26" t="str">
        <f>IF(OR(E5011="",E5011="!!!",F5011="NEW"),"",INDEX(B5010:B$2,-1+SUMPRODUCT(MAX(ROW(E5010:E$2)*(E5011=E5010:E$2)))))</f>
        <v> </v>
      </c>
      <c r="J5011" s="26" t="str">
        <f>IF(OR(E5011="",E5011="!!!",F5011="NEW"),"",COUNTBLANK(OFFSET(A$1,,,SUMPRODUCT(MAX(ROW(E$2:E5011)*(E5011=E$2:E5011)))))-COUNTBLANK(OFFSET(A$1,,,SUMPRODUCT(MAX(ROW(E$1:E5010)*(E2=E$1:E5010))))))</f>
        <v> </v>
      </c>
      <c r="K5011" s="26" t="str">
        <f>IF(OR(E5011="",E5011="!!!",F5011="NEW"),"",INDEX(J$1:J5010,SUMPRODUCT(MAX(ROW(E$1:E5010)*(E5011=E$1:E5010)))))</f>
        <v> </v>
      </c>
      <c r="L5011" s="27"/>
    </row>
    <row r="5012" spans="1:12">
      <c r="A5012" s="20" t="s">
        <v>1907</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t="s">
        <v>2630</v>
      </c>
      <c r="E5013" s="22">
        <f>IF(D5013="?OLD","!!!","")</f>
        <v/>
      </c>
      <c r="F5013" s="23" t="str">
        <f>IF(OR(E5013="",E5013="!!!"),"",IF(NOT(ISNA(VLOOKUP(E5013,E$1:E5012,1,FALSE()))),"OLD",IF(AND(E5013&lt;&gt;"",E5013&lt;&gt;"!!!"),"NEW","")))</f>
        <v> </v>
      </c>
      <c r="G5013" s="24" t="str">
        <f>IF(OR(E5013="",E5013="!!!"),"",IF(OR(J5013=0,AND(J5013=1,K5013=1),AND(J5013=1,I5013="SBJ"),AND(J5013=1,I5013=0)),"?IN_FOCUS",IF(J5013&lt;=2,"?ACTIVATED",IF(J5013&lt;&gt;"","?FAMILIAR",IF(F5013="NEW",IF(ISNA(VLOOKUP(E5013,#REF!,1,FALSE())),"?TYPE_IDENTIFIABLE","?REFERENTIAL"),"_")))))</f>
        <v> </v>
      </c>
      <c r="H5013" s="25" t="str">
        <f>IF(J5013&lt;&gt;1,"",IF(I5013="SBJ","CB","?"))</f>
        <v> </v>
      </c>
      <c r="I5013" s="26" t="str">
        <f>IF(OR(E5013="",E5013="!!!",F5013="NEW"),"",INDEX(B5012:B$2,-1+SUMPRODUCT(MAX(ROW(E5012:E$2)*(E5013=E5012:E$2)))))</f>
        <v> </v>
      </c>
      <c r="J5013" s="26" t="str">
        <f>IF(OR(E5013="",E5013="!!!",F5013="NEW"),"",COUNTBLANK(OFFSET(A$1,,,SUMPRODUCT(MAX(ROW(E$2:E5013)*(E5013=E$2:E5013)))))-COUNTBLANK(OFFSET(A$1,,,SUMPRODUCT(MAX(ROW(E$1:E5012)*(E2=E$1:E5012))))))</f>
        <v> </v>
      </c>
      <c r="K5013" s="26" t="str">
        <f>IF(OR(E5013="",E5013="!!!",F5013="NEW"),"",INDEX(J$1:J5012,SUMPRODUCT(MAX(ROW(E$1:E5012)*(E5013=E$1:E5012)))))</f>
        <v> </v>
      </c>
      <c r="L5013" s="27"/>
    </row>
    <row r="5014" spans="1:12">
      <c r="A5014" s="20" t="s">
        <v>818</v>
      </c>
      <c r="E5014" s="22">
        <f>IF(D5014="?OLD","!!!","")</f>
        <v/>
      </c>
      <c r="F5014" s="23" t="str">
        <f>IF(OR(E5014="",E5014="!!!"),"",IF(NOT(ISNA(VLOOKUP(E5014,E$1:E5013,1,FALSE()))),"OLD",IF(AND(E5014&lt;&gt;"",E5014&lt;&gt;"!!!"),"NEW","")))</f>
        <v> </v>
      </c>
      <c r="G5014" s="24" t="str">
        <f>IF(OR(E5014="",E5014="!!!"),"",IF(OR(J5014=0,AND(J5014=1,K5014=1),AND(J5014=1,I5014="SBJ"),AND(J5014=1,I5014=0)),"?IN_FOCUS",IF(J5014&lt;=2,"?ACTIVATED",IF(J5014&lt;&gt;"","?FAMILIAR",IF(F5014="NEW",IF(ISNA(VLOOKUP(E5014,#REF!,1,FALSE())),"?TYPE_IDENTIFIABLE","?REFERENTIAL"),"_")))))</f>
        <v> </v>
      </c>
      <c r="H5014" s="25" t="str">
        <f>IF(J5014&lt;&gt;1,"",IF(I5014="SBJ","CB","?"))</f>
        <v> </v>
      </c>
      <c r="I5014" s="26" t="str">
        <f>IF(OR(E5014="",E5014="!!!",F5014="NEW"),"",INDEX(B5013:B$2,-1+SUMPRODUCT(MAX(ROW(E5013:E$2)*(E5014=E5013:E$2)))))</f>
        <v> </v>
      </c>
      <c r="J5014" s="26" t="str">
        <f>IF(OR(E5014="",E5014="!!!",F5014="NEW"),"",COUNTBLANK(OFFSET(A$1,,,SUMPRODUCT(MAX(ROW(E$2:E5014)*(E5014=E$2:E5014)))))-COUNTBLANK(OFFSET(A$1,,,SUMPRODUCT(MAX(ROW(E$1:E5013)*(E2=E$1:E5013))))))</f>
        <v> </v>
      </c>
      <c r="K5014" s="26" t="str">
        <f>IF(OR(E5014="",E5014="!!!",F5014="NEW"),"",INDEX(J$1:J5013,SUMPRODUCT(MAX(ROW(E$1:E5013)*(E5014=E$1:E5013)))))</f>
        <v> </v>
      </c>
      <c r="L5014" s="27"/>
    </row>
    <row r="5015" spans="1:12">
      <c r="A5015" s="20"/>
    </row>
    <row r="5016" spans="1:12">
      <c r="A5016" s="20" t="s">
        <v>2631</v>
      </c>
    </row>
    <row r="5017" spans="1:12">
      <c r="A5017" s="20" t="s">
        <v>1256</v>
      </c>
      <c r="B5017" s="21" t="s">
        <v>1194</v>
      </c>
      <c r="C5017" s="21" t="s">
        <v>1195</v>
      </c>
      <c r="D5017" s="21" t="s">
        <v>1180</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t="s">
        <v>1257</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t="s">
        <v>1322</v>
      </c>
      <c r="B5019" s="21" t="s">
        <v>1178</v>
      </c>
      <c r="C5019" s="21" t="s">
        <v>1238</v>
      </c>
      <c r="D5019" s="21" t="s">
        <v>1180</v>
      </c>
      <c r="E5019" s="22">
        <f>IF(D5019="?OLD","!!!","")</f>
        <v/>
      </c>
      <c r="F5019" s="23" t="str">
        <f>IF(OR(E5019="",E5019="!!!"),"",IF(NOT(ISNA(VLOOKUP(E5019,E$1:E5018,1,FALSE()))),"OLD",IF(AND(E5019&lt;&gt;"",E5019&lt;&gt;"!!!"),"NEW","")))</f>
        <v> </v>
      </c>
      <c r="G5019" s="24" t="str">
        <f>IF(OR(E5019="",E5019="!!!"),"",IF(OR(J5019=0,AND(J5019=1,K5019=1),AND(J5019=1,I5019="SBJ"),AND(J5019=1,I5019=0)),"?IN_FOCUS",IF(J5019&lt;=2,"?ACTIVATED",IF(J5019&lt;&gt;"","?FAMILIAR",IF(F5019="NEW",IF(ISNA(VLOOKUP(E5019,#REF!,1,FALSE())),"?TYPE_IDENTIFIABLE","?REFERENTIAL"),"_")))))</f>
        <v> </v>
      </c>
      <c r="H5019" s="25" t="str">
        <f>IF(J5019&lt;&gt;1,"",IF(I5019="SBJ","CB","?"))</f>
        <v> </v>
      </c>
      <c r="I5019" s="26" t="str">
        <f>IF(OR(E5019="",E5019="!!!",F5019="NEW"),"",INDEX(B5018:B$2,-1+SUMPRODUCT(MAX(ROW(E5018:E$2)*(E5019=E5018:E$2)))))</f>
        <v> </v>
      </c>
      <c r="J5019" s="26" t="str">
        <f>IF(OR(E5019="",E5019="!!!",F5019="NEW"),"",COUNTBLANK(OFFSET(A$1,,,SUMPRODUCT(MAX(ROW(E$2:E5019)*(E5019=E$2:E5019)))))-COUNTBLANK(OFFSET(A$1,,,SUMPRODUCT(MAX(ROW(E$1:E5018)*(E2=E$1:E5018))))))</f>
        <v> </v>
      </c>
      <c r="K5019" s="26" t="str">
        <f>IF(OR(E5019="",E5019="!!!",F5019="NEW"),"",INDEX(J$1:J5018,SUMPRODUCT(MAX(ROW(E$1:E5018)*(E5019=E$1:E5018)))))</f>
        <v> </v>
      </c>
      <c r="L5019" s="27"/>
    </row>
    <row r="5020" spans="1:12">
      <c r="A5020" s="20" t="s">
        <v>1315</v>
      </c>
      <c r="B5020" s="21" t="s">
        <v>1178</v>
      </c>
      <c r="C5020" s="21" t="s">
        <v>1324</v>
      </c>
      <c r="E5020" s="22">
        <f>IF(D5020="?OLD","!!!","")</f>
        <v/>
      </c>
      <c r="F5020" s="23" t="str">
        <f>IF(OR(E5020="",E5020="!!!"),"",IF(NOT(ISNA(VLOOKUP(E5020,E$1:E5019,1,FALSE()))),"OLD",IF(AND(E5020&lt;&gt;"",E5020&lt;&gt;"!!!"),"NEW","")))</f>
        <v> </v>
      </c>
      <c r="G5020" s="24" t="str">
        <f>IF(OR(E5020="",E5020="!!!"),"",IF(OR(J5020=0,AND(J5020=1,K5020=1),AND(J5020=1,I5020="SBJ"),AND(J5020=1,I5020=0)),"?IN_FOCUS",IF(J5020&lt;=2,"?ACTIVATED",IF(J5020&lt;&gt;"","?FAMILIAR",IF(F5020="NEW",IF(ISNA(VLOOKUP(E5020,#REF!,1,FALSE())),"?TYPE_IDENTIFIABLE","?REFERENTIAL"),"_")))))</f>
        <v> </v>
      </c>
      <c r="H5020" s="25" t="str">
        <f>IF(J5020&lt;&gt;1,"",IF(I5020="SBJ","CB","?"))</f>
        <v> </v>
      </c>
      <c r="I5020" s="26" t="str">
        <f>IF(OR(E5020="",E5020="!!!",F5020="NEW"),"",INDEX(B5019:B$2,-1+SUMPRODUCT(MAX(ROW(E5019:E$2)*(E5020=E5019:E$2)))))</f>
        <v> </v>
      </c>
      <c r="J5020" s="26" t="str">
        <f>IF(OR(E5020="",E5020="!!!",F5020="NEW"),"",COUNTBLANK(OFFSET(A$1,,,SUMPRODUCT(MAX(ROW(E$2:E5020)*(E5020=E$2:E5020)))))-COUNTBLANK(OFFSET(A$1,,,SUMPRODUCT(MAX(ROW(E$1:E5019)*(E2=E$1:E5019))))))</f>
        <v> </v>
      </c>
      <c r="K5020" s="26" t="str">
        <f>IF(OR(E5020="",E5020="!!!",F5020="NEW"),"",INDEX(J$1:J5019,SUMPRODUCT(MAX(ROW(E$1:E5019)*(E5020=E$1:E5019)))))</f>
        <v> </v>
      </c>
      <c r="L5020" s="27"/>
    </row>
    <row r="5021" spans="1:12">
      <c r="A5021" s="20" t="s">
        <v>1200</v>
      </c>
      <c r="E5021" s="22">
        <f>IF(D5021="?OLD","!!!","")</f>
        <v/>
      </c>
      <c r="F5021" s="23" t="str">
        <f>IF(OR(E5021="",E5021="!!!"),"",IF(NOT(ISNA(VLOOKUP(E5021,E$1:E5020,1,FALSE()))),"OLD",IF(AND(E5021&lt;&gt;"",E5021&lt;&gt;"!!!"),"NEW","")))</f>
        <v> </v>
      </c>
      <c r="G5021" s="24" t="str">
        <f>IF(OR(E5021="",E5021="!!!"),"",IF(OR(J5021=0,AND(J5021=1,K5021=1),AND(J5021=1,I5021="SBJ"),AND(J5021=1,I5021=0)),"?IN_FOCUS",IF(J5021&lt;=2,"?ACTIVATED",IF(J5021&lt;&gt;"","?FAMILIAR",IF(F5021="NEW",IF(ISNA(VLOOKUP(E5021,#REF!,1,FALSE())),"?TYPE_IDENTIFIABLE","?REFERENTIAL"),"_")))))</f>
        <v> </v>
      </c>
      <c r="H5021" s="25" t="str">
        <f>IF(J5021&lt;&gt;1,"",IF(I5021="SBJ","CB","?"))</f>
        <v> </v>
      </c>
      <c r="I5021" s="26" t="str">
        <f>IF(OR(E5021="",E5021="!!!",F5021="NEW"),"",INDEX(B5020:B$2,-1+SUMPRODUCT(MAX(ROW(E5020:E$2)*(E5021=E5020:E$2)))))</f>
        <v> </v>
      </c>
      <c r="J5021" s="26" t="str">
        <f>IF(OR(E5021="",E5021="!!!",F5021="NEW"),"",COUNTBLANK(OFFSET(A$1,,,SUMPRODUCT(MAX(ROW(E$2:E5021)*(E5021=E$2:E5021)))))-COUNTBLANK(OFFSET(A$1,,,SUMPRODUCT(MAX(ROW(E$1:E5020)*(E2=E$1:E5020))))))</f>
        <v> </v>
      </c>
      <c r="K5021" s="26" t="str">
        <f>IF(OR(E5021="",E5021="!!!",F5021="NEW"),"",INDEX(J$1:J5020,SUMPRODUCT(MAX(ROW(E$1:E5020)*(E5021=E$1:E5020)))))</f>
        <v> </v>
      </c>
      <c r="L5021" s="27"/>
    </row>
    <row r="5022" spans="1:12">
      <c r="A5022" s="20" t="s">
        <v>2607</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1371</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2608</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818</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row>
    <row r="5027" spans="1:12">
      <c r="A5027" s="20" t="s">
        <v>1362</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2632</v>
      </c>
    </row>
    <row r="5029" spans="1:12">
      <c r="A5029" s="20" t="s">
        <v>2218</v>
      </c>
      <c r="B5029" s="21" t="s">
        <v>1178</v>
      </c>
      <c r="C5029" s="21" t="s">
        <v>1297</v>
      </c>
      <c r="D5029" s="21" t="s">
        <v>1180</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2633</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t="s">
        <v>2634</v>
      </c>
      <c r="B5031" s="21" t="s">
        <v>1178</v>
      </c>
      <c r="C5031" s="21" t="s">
        <v>1184</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1185</v>
      </c>
      <c r="E5032" s="22">
        <f>IF(D5032="?OLD","!!!","")</f>
        <v/>
      </c>
      <c r="F5032" s="23" t="str">
        <f>IF(OR(E5032="",E5032="!!!"),"",IF(NOT(ISNA(VLOOKUP(E5032,E$1:E5031,1,FALSE()))),"OLD",IF(AND(E5032&lt;&gt;"",E5032&lt;&gt;"!!!"),"NEW","")))</f>
        <v> </v>
      </c>
      <c r="G5032" s="24" t="str">
        <f>IF(OR(E5032="",E5032="!!!"),"",IF(OR(J5032=0,AND(J5032=1,K5032=1),AND(J5032=1,I5032="SBJ"),AND(J5032=1,I5032=0)),"?IN_FOCUS",IF(J5032&lt;=2,"?ACTIVATED",IF(J5032&lt;&gt;"","?FAMILIAR",IF(F5032="NEW",IF(ISNA(VLOOKUP(E5032,#REF!,1,FALSE())),"?TYPE_IDENTIFIABLE","?REFERENTIAL"),"_")))))</f>
        <v> </v>
      </c>
      <c r="H5032" s="25" t="str">
        <f>IF(J5032&lt;&gt;1,"",IF(I5032="SBJ","CB","?"))</f>
        <v> </v>
      </c>
      <c r="I5032" s="26" t="str">
        <f>IF(OR(E5032="",E5032="!!!",F5032="NEW"),"",INDEX(B5031:B$2,-1+SUMPRODUCT(MAX(ROW(E5031:E$2)*(E5032=E5031:E$2)))))</f>
        <v> </v>
      </c>
      <c r="J5032" s="26" t="str">
        <f>IF(OR(E5032="",E5032="!!!",F5032="NEW"),"",COUNTBLANK(OFFSET(A$1,,,SUMPRODUCT(MAX(ROW(E$2:E5032)*(E5032=E$2:E5032)))))-COUNTBLANK(OFFSET(A$1,,,SUMPRODUCT(MAX(ROW(E$1:E5031)*(E2=E$1:E5031))))))</f>
        <v> </v>
      </c>
      <c r="K5032" s="26" t="str">
        <f>IF(OR(E5032="",E5032="!!!",F5032="NEW"),"",INDEX(J$1:J5031,SUMPRODUCT(MAX(ROW(E$1:E5031)*(E5032=E$1:E5031)))))</f>
        <v> </v>
      </c>
      <c r="L5032" s="27"/>
    </row>
    <row r="5033" spans="1:12">
      <c r="A5033" s="20" t="s">
        <v>1295</v>
      </c>
      <c r="E5033" s="22">
        <f>IF(D5033="?OLD","!!!","")</f>
        <v/>
      </c>
      <c r="F5033" s="23" t="str">
        <f>IF(OR(E5033="",E5033="!!!"),"",IF(NOT(ISNA(VLOOKUP(E5033,E$1:E5032,1,FALSE()))),"OLD",IF(AND(E5033&lt;&gt;"",E5033&lt;&gt;"!!!"),"NEW","")))</f>
        <v> </v>
      </c>
      <c r="G5033" s="24" t="str">
        <f>IF(OR(E5033="",E5033="!!!"),"",IF(OR(J5033=0,AND(J5033=1,K5033=1),AND(J5033=1,I5033="SBJ"),AND(J5033=1,I5033=0)),"?IN_FOCUS",IF(J5033&lt;=2,"?ACTIVATED",IF(J5033&lt;&gt;"","?FAMILIAR",IF(F5033="NEW",IF(ISNA(VLOOKUP(E5033,#REF!,1,FALSE())),"?TYPE_IDENTIFIABLE","?REFERENTIAL"),"_")))))</f>
        <v> </v>
      </c>
      <c r="H5033" s="25" t="str">
        <f>IF(J5033&lt;&gt;1,"",IF(I5033="SBJ","CB","?"))</f>
        <v> </v>
      </c>
      <c r="I5033" s="26" t="str">
        <f>IF(OR(E5033="",E5033="!!!",F5033="NEW"),"",INDEX(B5032:B$2,-1+SUMPRODUCT(MAX(ROW(E5032:E$2)*(E5033=E5032:E$2)))))</f>
        <v> </v>
      </c>
      <c r="J5033" s="26" t="str">
        <f>IF(OR(E5033="",E5033="!!!",F5033="NEW"),"",COUNTBLANK(OFFSET(A$1,,,SUMPRODUCT(MAX(ROW(E$2:E5033)*(E5033=E$2:E5033)))))-COUNTBLANK(OFFSET(A$1,,,SUMPRODUCT(MAX(ROW(E$1:E5032)*(E2=E$1:E5032))))))</f>
        <v> </v>
      </c>
      <c r="K5033" s="26" t="str">
        <f>IF(OR(E5033="",E5033="!!!",F5033="NEW"),"",INDEX(J$1:J5032,SUMPRODUCT(MAX(ROW(E$1:E5032)*(E5033=E$1:E5032)))))</f>
        <v> </v>
      </c>
      <c r="L5033" s="27"/>
    </row>
    <row r="5034" spans="1:12">
      <c r="A5034" s="20" t="s">
        <v>1310</v>
      </c>
      <c r="E5034" s="22">
        <f>IF(D5034="?OLD","!!!","")</f>
        <v/>
      </c>
      <c r="F5034" s="23" t="str">
        <f>IF(OR(E5034="",E5034="!!!"),"",IF(NOT(ISNA(VLOOKUP(E5034,E$1:E5033,1,FALSE()))),"OLD",IF(AND(E5034&lt;&gt;"",E5034&lt;&gt;"!!!"),"NEW","")))</f>
        <v> </v>
      </c>
      <c r="G5034" s="24" t="str">
        <f>IF(OR(E5034="",E5034="!!!"),"",IF(OR(J5034=0,AND(J5034=1,K5034=1),AND(J5034=1,I5034="SBJ"),AND(J5034=1,I5034=0)),"?IN_FOCUS",IF(J5034&lt;=2,"?ACTIVATED",IF(J5034&lt;&gt;"","?FAMILIAR",IF(F5034="NEW",IF(ISNA(VLOOKUP(E5034,#REF!,1,FALSE())),"?TYPE_IDENTIFIABLE","?REFERENTIAL"),"_")))))</f>
        <v> </v>
      </c>
      <c r="H5034" s="25" t="str">
        <f>IF(J5034&lt;&gt;1,"",IF(I5034="SBJ","CB","?"))</f>
        <v> </v>
      </c>
      <c r="I5034" s="26" t="str">
        <f>IF(OR(E5034="",E5034="!!!",F5034="NEW"),"",INDEX(B5033:B$2,-1+SUMPRODUCT(MAX(ROW(E5033:E$2)*(E5034=E5033:E$2)))))</f>
        <v> </v>
      </c>
      <c r="J5034" s="26" t="str">
        <f>IF(OR(E5034="",E5034="!!!",F5034="NEW"),"",COUNTBLANK(OFFSET(A$1,,,SUMPRODUCT(MAX(ROW(E$2:E5034)*(E5034=E$2:E5034)))))-COUNTBLANK(OFFSET(A$1,,,SUMPRODUCT(MAX(ROW(E$1:E5033)*(E2=E$1:E5033))))))</f>
        <v> </v>
      </c>
      <c r="K5034" s="26" t="str">
        <f>IF(OR(E5034="",E5034="!!!",F5034="NEW"),"",INDEX(J$1:J5033,SUMPRODUCT(MAX(ROW(E$1:E5033)*(E5034=E$1:E5033)))))</f>
        <v> </v>
      </c>
      <c r="L5034" s="27"/>
    </row>
    <row r="5035" spans="1:12">
      <c r="A5035" s="20" t="s">
        <v>1263</v>
      </c>
      <c r="B5035" s="21" t="s">
        <v>1240</v>
      </c>
      <c r="C5035" s="21" t="s">
        <v>1195</v>
      </c>
      <c r="D5035" s="21" t="s">
        <v>1180</v>
      </c>
      <c r="E5035" s="22">
        <f>IF(D5035="?OLD","!!!","")</f>
        <v/>
      </c>
      <c r="F5035" s="23" t="str">
        <f>IF(OR(E5035="",E5035="!!!"),"",IF(NOT(ISNA(VLOOKUP(E5035,E$1:E5034,1,FALSE()))),"OLD",IF(AND(E5035&lt;&gt;"",E5035&lt;&gt;"!!!"),"NEW","")))</f>
        <v> </v>
      </c>
      <c r="G5035" s="24" t="str">
        <f>IF(OR(E5035="",E5035="!!!"),"",IF(OR(J5035=0,AND(J5035=1,K5035=1),AND(J5035=1,I5035="SBJ"),AND(J5035=1,I5035=0)),"?IN_FOCUS",IF(J5035&lt;=2,"?ACTIVATED",IF(J5035&lt;&gt;"","?FAMILIAR",IF(F5035="NEW",IF(ISNA(VLOOKUP(E5035,#REF!,1,FALSE())),"?TYPE_IDENTIFIABLE","?REFERENTIAL"),"_")))))</f>
        <v> </v>
      </c>
      <c r="H5035" s="25" t="str">
        <f>IF(J5035&lt;&gt;1,"",IF(I5035="SBJ","CB","?"))</f>
        <v> </v>
      </c>
      <c r="I5035" s="26" t="str">
        <f>IF(OR(E5035="",E5035="!!!",F5035="NEW"),"",INDEX(B5034:B$2,-1+SUMPRODUCT(MAX(ROW(E5034:E$2)*(E5035=E5034:E$2)))))</f>
        <v> </v>
      </c>
      <c r="J5035" s="26" t="str">
        <f>IF(OR(E5035="",E5035="!!!",F5035="NEW"),"",COUNTBLANK(OFFSET(A$1,,,SUMPRODUCT(MAX(ROW(E$2:E5035)*(E5035=E$2:E5035)))))-COUNTBLANK(OFFSET(A$1,,,SUMPRODUCT(MAX(ROW(E$1:E5034)*(E2=E$1:E5034))))))</f>
        <v> </v>
      </c>
      <c r="K5035" s="26" t="str">
        <f>IF(OR(E5035="",E5035="!!!",F5035="NEW"),"",INDEX(J$1:J5034,SUMPRODUCT(MAX(ROW(E$1:E5034)*(E5035=E$1:E5034)))))</f>
        <v> </v>
      </c>
      <c r="L5035" s="27"/>
    </row>
    <row r="5036" spans="1:12">
      <c r="A5036" s="20" t="s">
        <v>1367</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t="s">
        <v>1455</v>
      </c>
      <c r="B5037" s="21" t="s">
        <v>1191</v>
      </c>
      <c r="C5037" s="21" t="s">
        <v>1297</v>
      </c>
      <c r="D5037" s="21" t="s">
        <v>1180</v>
      </c>
      <c r="E5037" s="22">
        <f>IF(D5037="?OLD","!!!","")</f>
        <v/>
      </c>
      <c r="F5037" s="23" t="str">
        <f>IF(OR(E5037="",E5037="!!!"),"",IF(NOT(ISNA(VLOOKUP(E5037,E$1:E5036,1,FALSE()))),"OLD",IF(AND(E5037&lt;&gt;"",E5037&lt;&gt;"!!!"),"NEW","")))</f>
        <v> </v>
      </c>
      <c r="G5037" s="24" t="str">
        <f>IF(OR(E5037="",E5037="!!!"),"",IF(OR(J5037=0,AND(J5037=1,K5037=1),AND(J5037=1,I5037="SBJ"),AND(J5037=1,I5037=0)),"?IN_FOCUS",IF(J5037&lt;=2,"?ACTIVATED",IF(J5037&lt;&gt;"","?FAMILIAR",IF(F5037="NEW",IF(ISNA(VLOOKUP(E5037,#REF!,1,FALSE())),"?TYPE_IDENTIFIABLE","?REFERENTIAL"),"_")))))</f>
        <v> </v>
      </c>
      <c r="H5037" s="25" t="str">
        <f>IF(J5037&lt;&gt;1,"",IF(I5037="SBJ","CB","?"))</f>
        <v> </v>
      </c>
      <c r="I5037" s="26" t="str">
        <f>IF(OR(E5037="",E5037="!!!",F5037="NEW"),"",INDEX(B5036:B$2,-1+SUMPRODUCT(MAX(ROW(E5036:E$2)*(E5037=E5036:E$2)))))</f>
        <v> </v>
      </c>
      <c r="J5037" s="26" t="str">
        <f>IF(OR(E5037="",E5037="!!!",F5037="NEW"),"",COUNTBLANK(OFFSET(A$1,,,SUMPRODUCT(MAX(ROW(E$2:E5037)*(E5037=E$2:E5037)))))-COUNTBLANK(OFFSET(A$1,,,SUMPRODUCT(MAX(ROW(E$1:E5036)*(E2=E$1:E5036))))))</f>
        <v> </v>
      </c>
      <c r="K5037" s="26" t="str">
        <f>IF(OR(E5037="",E5037="!!!",F5037="NEW"),"",INDEX(J$1:J5036,SUMPRODUCT(MAX(ROW(E$1:E5036)*(E5037=E$1:E5036)))))</f>
        <v> </v>
      </c>
      <c r="L5037" s="27"/>
    </row>
    <row r="5038" spans="1:12">
      <c r="A5038" s="20" t="s">
        <v>1367</v>
      </c>
      <c r="E5038" s="22">
        <f>IF(D5038="?OLD","!!!","")</f>
        <v/>
      </c>
      <c r="F5038" s="23" t="str">
        <f>IF(OR(E5038="",E5038="!!!"),"",IF(NOT(ISNA(VLOOKUP(E5038,E$1:E5037,1,FALSE()))),"OLD",IF(AND(E5038&lt;&gt;"",E5038&lt;&gt;"!!!"),"NEW","")))</f>
        <v> </v>
      </c>
      <c r="G5038" s="24" t="str">
        <f>IF(OR(E5038="",E5038="!!!"),"",IF(OR(J5038=0,AND(J5038=1,K5038=1),AND(J5038=1,I5038="SBJ"),AND(J5038=1,I5038=0)),"?IN_FOCUS",IF(J5038&lt;=2,"?ACTIVATED",IF(J5038&lt;&gt;"","?FAMILIAR",IF(F5038="NEW",IF(ISNA(VLOOKUP(E5038,#REF!,1,FALSE())),"?TYPE_IDENTIFIABLE","?REFERENTIAL"),"_")))))</f>
        <v> </v>
      </c>
      <c r="H5038" s="25" t="str">
        <f>IF(J5038&lt;&gt;1,"",IF(I5038="SBJ","CB","?"))</f>
        <v> </v>
      </c>
      <c r="I5038" s="26" t="str">
        <f>IF(OR(E5038="",E5038="!!!",F5038="NEW"),"",INDEX(B5037:B$2,-1+SUMPRODUCT(MAX(ROW(E5037:E$2)*(E5038=E5037:E$2)))))</f>
        <v> </v>
      </c>
      <c r="J5038" s="26" t="str">
        <f>IF(OR(E5038="",E5038="!!!",F5038="NEW"),"",COUNTBLANK(OFFSET(A$1,,,SUMPRODUCT(MAX(ROW(E$2:E5038)*(E5038=E$2:E5038)))))-COUNTBLANK(OFFSET(A$1,,,SUMPRODUCT(MAX(ROW(E$1:E5037)*(E2=E$1:E5037))))))</f>
        <v> </v>
      </c>
      <c r="K5038" s="26" t="str">
        <f>IF(OR(E5038="",E5038="!!!",F5038="NEW"),"",INDEX(J$1:J5037,SUMPRODUCT(MAX(ROW(E$1:E5037)*(E5038=E$1:E5037)))))</f>
        <v> </v>
      </c>
      <c r="L5038" s="27"/>
    </row>
    <row r="5039" spans="1:12">
      <c r="A5039" s="20" t="s">
        <v>2441</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1185</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1532</v>
      </c>
      <c r="B5041" s="21" t="s">
        <v>1191</v>
      </c>
      <c r="C5041" s="21" t="s">
        <v>1297</v>
      </c>
      <c r="D5041" s="21" t="s">
        <v>1180</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1263</v>
      </c>
      <c r="B5042" s="21" t="s">
        <v>1240</v>
      </c>
      <c r="C5042" s="21" t="s">
        <v>1195</v>
      </c>
      <c r="D5042" s="21" t="s">
        <v>1180</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1314</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t="s">
        <v>1537</v>
      </c>
      <c r="E5044" s="22">
        <f>IF(D5044="?OLD","!!!","")</f>
        <v/>
      </c>
      <c r="F5044" s="23" t="str">
        <f>IF(OR(E5044="",E5044="!!!"),"",IF(NOT(ISNA(VLOOKUP(E5044,E$1:E5043,1,FALSE()))),"OLD",IF(AND(E5044&lt;&gt;"",E5044&lt;&gt;"!!!"),"NEW","")))</f>
        <v> </v>
      </c>
      <c r="G5044" s="24" t="str">
        <f>IF(OR(E5044="",E5044="!!!"),"",IF(OR(J5044=0,AND(J5044=1,K5044=1),AND(J5044=1,I5044="SBJ"),AND(J5044=1,I5044=0)),"?IN_FOCUS",IF(J5044&lt;=2,"?ACTIVATED",IF(J5044&lt;&gt;"","?FAMILIAR",IF(F5044="NEW",IF(ISNA(VLOOKUP(E5044,#REF!,1,FALSE())),"?TYPE_IDENTIFIABLE","?REFERENTIAL"),"_")))))</f>
        <v> </v>
      </c>
      <c r="H5044" s="25" t="str">
        <f>IF(J5044&lt;&gt;1,"",IF(I5044="SBJ","CB","?"))</f>
        <v> </v>
      </c>
      <c r="I5044" s="26" t="str">
        <f>IF(OR(E5044="",E5044="!!!",F5044="NEW"),"",INDEX(B5043:B$2,-1+SUMPRODUCT(MAX(ROW(E5043:E$2)*(E5044=E5043:E$2)))))</f>
        <v> </v>
      </c>
      <c r="J5044" s="26" t="str">
        <f>IF(OR(E5044="",E5044="!!!",F5044="NEW"),"",COUNTBLANK(OFFSET(A$1,,,SUMPRODUCT(MAX(ROW(E$2:E5044)*(E5044=E$2:E5044)))))-COUNTBLANK(OFFSET(A$1,,,SUMPRODUCT(MAX(ROW(E$1:E5043)*(E2=E$1:E5043))))))</f>
        <v> </v>
      </c>
      <c r="K5044" s="26" t="str">
        <f>IF(OR(E5044="",E5044="!!!",F5044="NEW"),"",INDEX(J$1:J5043,SUMPRODUCT(MAX(ROW(E$1:E5043)*(E5044=E$1:E5043)))))</f>
        <v> </v>
      </c>
      <c r="L5044" s="27"/>
    </row>
    <row r="5045" spans="1:12">
      <c r="A5045" s="20" t="s">
        <v>1373</v>
      </c>
      <c r="B5045" s="21" t="s">
        <v>1178</v>
      </c>
      <c r="C5045" s="21" t="s">
        <v>1184</v>
      </c>
      <c r="E5045" s="22">
        <f>IF(D5045="?OLD","!!!","")</f>
        <v/>
      </c>
      <c r="F5045" s="23" t="str">
        <f>IF(OR(E5045="",E5045="!!!"),"",IF(NOT(ISNA(VLOOKUP(E5045,E$1:E5044,1,FALSE()))),"OLD",IF(AND(E5045&lt;&gt;"",E5045&lt;&gt;"!!!"),"NEW","")))</f>
        <v> </v>
      </c>
      <c r="G5045" s="24" t="str">
        <f>IF(OR(E5045="",E5045="!!!"),"",IF(OR(J5045=0,AND(J5045=1,K5045=1),AND(J5045=1,I5045="SBJ"),AND(J5045=1,I5045=0)),"?IN_FOCUS",IF(J5045&lt;=2,"?ACTIVATED",IF(J5045&lt;&gt;"","?FAMILIAR",IF(F5045="NEW",IF(ISNA(VLOOKUP(E5045,#REF!,1,FALSE())),"?TYPE_IDENTIFIABLE","?REFERENTIAL"),"_")))))</f>
        <v> </v>
      </c>
      <c r="H5045" s="25" t="str">
        <f>IF(J5045&lt;&gt;1,"",IF(I5045="SBJ","CB","?"))</f>
        <v> </v>
      </c>
      <c r="I5045" s="26" t="str">
        <f>IF(OR(E5045="",E5045="!!!",F5045="NEW"),"",INDEX(B5044:B$2,-1+SUMPRODUCT(MAX(ROW(E5044:E$2)*(E5045=E5044:E$2)))))</f>
        <v> </v>
      </c>
      <c r="J5045" s="26" t="str">
        <f>IF(OR(E5045="",E5045="!!!",F5045="NEW"),"",COUNTBLANK(OFFSET(A$1,,,SUMPRODUCT(MAX(ROW(E$2:E5045)*(E5045=E$2:E5045)))))-COUNTBLANK(OFFSET(A$1,,,SUMPRODUCT(MAX(ROW(E$1:E5044)*(E2=E$1:E5044))))))</f>
        <v> </v>
      </c>
      <c r="K5045" s="26" t="str">
        <f>IF(OR(E5045="",E5045="!!!",F5045="NEW"),"",INDEX(J$1:J5044,SUMPRODUCT(MAX(ROW(E$1:E5044)*(E5045=E$1:E5044)))))</f>
        <v> </v>
      </c>
      <c r="L5045" s="27"/>
    </row>
    <row r="5046" spans="1:12">
      <c r="A5046" s="20" t="s">
        <v>1185</v>
      </c>
      <c r="E5046" s="22">
        <f>IF(D5046="?OLD","!!!","")</f>
        <v/>
      </c>
      <c r="F5046" s="23" t="str">
        <f>IF(OR(E5046="",E5046="!!!"),"",IF(NOT(ISNA(VLOOKUP(E5046,E$1:E5045,1,FALSE()))),"OLD",IF(AND(E5046&lt;&gt;"",E5046&lt;&gt;"!!!"),"NEW","")))</f>
        <v> </v>
      </c>
      <c r="G5046" s="24" t="str">
        <f>IF(OR(E5046="",E5046="!!!"),"",IF(OR(J5046=0,AND(J5046=1,K5046=1),AND(J5046=1,I5046="SBJ"),AND(J5046=1,I5046=0)),"?IN_FOCUS",IF(J5046&lt;=2,"?ACTIVATED",IF(J5046&lt;&gt;"","?FAMILIAR",IF(F5046="NEW",IF(ISNA(VLOOKUP(E5046,#REF!,1,FALSE())),"?TYPE_IDENTIFIABLE","?REFERENTIAL"),"_")))))</f>
        <v> </v>
      </c>
      <c r="H5046" s="25" t="str">
        <f>IF(J5046&lt;&gt;1,"",IF(I5046="SBJ","CB","?"))</f>
        <v> </v>
      </c>
      <c r="I5046" s="26" t="str">
        <f>IF(OR(E5046="",E5046="!!!",F5046="NEW"),"",INDEX(B5045:B$2,-1+SUMPRODUCT(MAX(ROW(E5045:E$2)*(E5046=E5045:E$2)))))</f>
        <v> </v>
      </c>
      <c r="J5046" s="26" t="str">
        <f>IF(OR(E5046="",E5046="!!!",F5046="NEW"),"",COUNTBLANK(OFFSET(A$1,,,SUMPRODUCT(MAX(ROW(E$2:E5046)*(E5046=E$2:E5046)))))-COUNTBLANK(OFFSET(A$1,,,SUMPRODUCT(MAX(ROW(E$1:E5045)*(E2=E$1:E5045))))))</f>
        <v> </v>
      </c>
      <c r="K5046" s="26" t="str">
        <f>IF(OR(E5046="",E5046="!!!",F5046="NEW"),"",INDEX(J$1:J5045,SUMPRODUCT(MAX(ROW(E$1:E5045)*(E5046=E$1:E5045)))))</f>
        <v> </v>
      </c>
      <c r="L5046" s="27"/>
    </row>
    <row r="5047" spans="1:12">
      <c r="A5047" s="20" t="s">
        <v>1263</v>
      </c>
      <c r="B5047" s="21" t="s">
        <v>1240</v>
      </c>
      <c r="C5047" s="21" t="s">
        <v>1195</v>
      </c>
      <c r="D5047" s="21" t="s">
        <v>1180</v>
      </c>
      <c r="E5047" s="22">
        <f>IF(D5047="?OLD","!!!","")</f>
        <v/>
      </c>
      <c r="F5047" s="23" t="str">
        <f>IF(OR(E5047="",E5047="!!!"),"",IF(NOT(ISNA(VLOOKUP(E5047,E$1:E5046,1,FALSE()))),"OLD",IF(AND(E5047&lt;&gt;"",E5047&lt;&gt;"!!!"),"NEW","")))</f>
        <v> </v>
      </c>
      <c r="G5047" s="24" t="str">
        <f>IF(OR(E5047="",E5047="!!!"),"",IF(OR(J5047=0,AND(J5047=1,K5047=1),AND(J5047=1,I5047="SBJ"),AND(J5047=1,I5047=0)),"?IN_FOCUS",IF(J5047&lt;=2,"?ACTIVATED",IF(J5047&lt;&gt;"","?FAMILIAR",IF(F5047="NEW",IF(ISNA(VLOOKUP(E5047,#REF!,1,FALSE())),"?TYPE_IDENTIFIABLE","?REFERENTIAL"),"_")))))</f>
        <v> </v>
      </c>
      <c r="H5047" s="25" t="str">
        <f>IF(J5047&lt;&gt;1,"",IF(I5047="SBJ","CB","?"))</f>
        <v> </v>
      </c>
      <c r="I5047" s="26" t="str">
        <f>IF(OR(E5047="",E5047="!!!",F5047="NEW"),"",INDEX(B5046:B$2,-1+SUMPRODUCT(MAX(ROW(E5046:E$2)*(E5047=E5046:E$2)))))</f>
        <v> </v>
      </c>
      <c r="J5047" s="26" t="str">
        <f>IF(OR(E5047="",E5047="!!!",F5047="NEW"),"",COUNTBLANK(OFFSET(A$1,,,SUMPRODUCT(MAX(ROW(E$2:E5047)*(E5047=E$2:E5047)))))-COUNTBLANK(OFFSET(A$1,,,SUMPRODUCT(MAX(ROW(E$1:E5046)*(E2=E$1:E5046))))))</f>
        <v> </v>
      </c>
      <c r="K5047" s="26" t="str">
        <f>IF(OR(E5047="",E5047="!!!",F5047="NEW"),"",INDEX(J$1:J5046,SUMPRODUCT(MAX(ROW(E$1:E5046)*(E5047=E$1:E5046)))))</f>
        <v> </v>
      </c>
      <c r="L5047" s="27"/>
    </row>
    <row r="5048" spans="1:12">
      <c r="A5048" s="20" t="s">
        <v>1532</v>
      </c>
      <c r="E5048" s="22">
        <f>IF(D5048="?OLD","!!!","")</f>
        <v/>
      </c>
      <c r="F5048" s="23" t="str">
        <f>IF(OR(E5048="",E5048="!!!"),"",IF(NOT(ISNA(VLOOKUP(E5048,E$1:E5047,1,FALSE()))),"OLD",IF(AND(E5048&lt;&gt;"",E5048&lt;&gt;"!!!"),"NEW","")))</f>
        <v> </v>
      </c>
      <c r="G5048" s="24" t="str">
        <f>IF(OR(E5048="",E5048="!!!"),"",IF(OR(J5048=0,AND(J5048=1,K5048=1),AND(J5048=1,I5048="SBJ"),AND(J5048=1,I5048=0)),"?IN_FOCUS",IF(J5048&lt;=2,"?ACTIVATED",IF(J5048&lt;&gt;"","?FAMILIAR",IF(F5048="NEW",IF(ISNA(VLOOKUP(E5048,#REF!,1,FALSE())),"?TYPE_IDENTIFIABLE","?REFERENTIAL"),"_")))))</f>
        <v> </v>
      </c>
      <c r="H5048" s="25" t="str">
        <f>IF(J5048&lt;&gt;1,"",IF(I5048="SBJ","CB","?"))</f>
        <v> </v>
      </c>
      <c r="I5048" s="26" t="str">
        <f>IF(OR(E5048="",E5048="!!!",F5048="NEW"),"",INDEX(B5047:B$2,-1+SUMPRODUCT(MAX(ROW(E5047:E$2)*(E5048=E5047:E$2)))))</f>
        <v> </v>
      </c>
      <c r="J5048" s="26" t="str">
        <f>IF(OR(E5048="",E5048="!!!",F5048="NEW"),"",COUNTBLANK(OFFSET(A$1,,,SUMPRODUCT(MAX(ROW(E$2:E5048)*(E5048=E$2:E5048)))))-COUNTBLANK(OFFSET(A$1,,,SUMPRODUCT(MAX(ROW(E$1:E5047)*(E2=E$1:E5047))))))</f>
        <v> </v>
      </c>
      <c r="K5048" s="26" t="str">
        <f>IF(OR(E5048="",E5048="!!!",F5048="NEW"),"",INDEX(J$1:J5047,SUMPRODUCT(MAX(ROW(E$1:E5047)*(E5048=E$1:E5047)))))</f>
        <v> </v>
      </c>
      <c r="L5048" s="27"/>
    </row>
    <row r="5049" spans="1:12">
      <c r="A5049" s="20" t="s">
        <v>1695</v>
      </c>
      <c r="B5049" s="21" t="s">
        <v>1240</v>
      </c>
      <c r="C5049" s="21" t="s">
        <v>1232</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2635</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1224</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1198</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1329</v>
      </c>
      <c r="B5053" s="21" t="s">
        <v>1207</v>
      </c>
      <c r="C5053" s="21" t="s">
        <v>1188</v>
      </c>
      <c r="D5053" s="21" t="s">
        <v>1180</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t="s">
        <v>1185</v>
      </c>
      <c r="E5054" s="22">
        <f>IF(D5054="?OLD","!!!","")</f>
        <v/>
      </c>
      <c r="F5054" s="23" t="str">
        <f>IF(OR(E5054="",E5054="!!!"),"",IF(NOT(ISNA(VLOOKUP(E5054,E$1:E5053,1,FALSE()))),"OLD",IF(AND(E5054&lt;&gt;"",E5054&lt;&gt;"!!!"),"NEW","")))</f>
        <v> </v>
      </c>
      <c r="G5054" s="24" t="str">
        <f>IF(OR(E5054="",E5054="!!!"),"",IF(OR(J5054=0,AND(J5054=1,K5054=1),AND(J5054=1,I5054="SBJ"),AND(J5054=1,I5054=0)),"?IN_FOCUS",IF(J5054&lt;=2,"?ACTIVATED",IF(J5054&lt;&gt;"","?FAMILIAR",IF(F5054="NEW",IF(ISNA(VLOOKUP(E5054,#REF!,1,FALSE())),"?TYPE_IDENTIFIABLE","?REFERENTIAL"),"_")))))</f>
        <v> </v>
      </c>
      <c r="H5054" s="25" t="str">
        <f>IF(J5054&lt;&gt;1,"",IF(I5054="SBJ","CB","?"))</f>
        <v> </v>
      </c>
      <c r="I5054" s="26" t="str">
        <f>IF(OR(E5054="",E5054="!!!",F5054="NEW"),"",INDEX(B5053:B$2,-1+SUMPRODUCT(MAX(ROW(E5053:E$2)*(E5054=E5053:E$2)))))</f>
        <v> </v>
      </c>
      <c r="J5054" s="26" t="str">
        <f>IF(OR(E5054="",E5054="!!!",F5054="NEW"),"",COUNTBLANK(OFFSET(A$1,,,SUMPRODUCT(MAX(ROW(E$2:E5054)*(E5054=E$2:E5054)))))-COUNTBLANK(OFFSET(A$1,,,SUMPRODUCT(MAX(ROW(E$1:E5053)*(E2=E$1:E5053))))))</f>
        <v> </v>
      </c>
      <c r="K5054" s="26" t="str">
        <f>IF(OR(E5054="",E5054="!!!",F5054="NEW"),"",INDEX(J$1:J5053,SUMPRODUCT(MAX(ROW(E$1:E5053)*(E5054=E$1:E5053)))))</f>
        <v> </v>
      </c>
      <c r="L5054" s="27"/>
    </row>
    <row r="5055" spans="1:12">
      <c r="A5055" s="20" t="s">
        <v>1334</v>
      </c>
      <c r="E5055" s="22">
        <f>IF(D5055="?OLD","!!!","")</f>
        <v/>
      </c>
      <c r="F5055" s="23" t="str">
        <f>IF(OR(E5055="",E5055="!!!"),"",IF(NOT(ISNA(VLOOKUP(E5055,E$1:E5054,1,FALSE()))),"OLD",IF(AND(E5055&lt;&gt;"",E5055&lt;&gt;"!!!"),"NEW","")))</f>
        <v> </v>
      </c>
      <c r="G5055" s="24" t="str">
        <f>IF(OR(E5055="",E5055="!!!"),"",IF(OR(J5055=0,AND(J5055=1,K5055=1),AND(J5055=1,I5055="SBJ"),AND(J5055=1,I5055=0)),"?IN_FOCUS",IF(J5055&lt;=2,"?ACTIVATED",IF(J5055&lt;&gt;"","?FAMILIAR",IF(F5055="NEW",IF(ISNA(VLOOKUP(E5055,#REF!,1,FALSE())),"?TYPE_IDENTIFIABLE","?REFERENTIAL"),"_")))))</f>
        <v> </v>
      </c>
      <c r="H5055" s="25" t="str">
        <f>IF(J5055&lt;&gt;1,"",IF(I5055="SBJ","CB","?"))</f>
        <v> </v>
      </c>
      <c r="I5055" s="26" t="str">
        <f>IF(OR(E5055="",E5055="!!!",F5055="NEW"),"",INDEX(B5054:B$2,-1+SUMPRODUCT(MAX(ROW(E5054:E$2)*(E5055=E5054:E$2)))))</f>
        <v> </v>
      </c>
      <c r="J5055" s="26" t="str">
        <f>IF(OR(E5055="",E5055="!!!",F5055="NEW"),"",COUNTBLANK(OFFSET(A$1,,,SUMPRODUCT(MAX(ROW(E$2:E5055)*(E5055=E$2:E5055)))))-COUNTBLANK(OFFSET(A$1,,,SUMPRODUCT(MAX(ROW(E$1:E5054)*(E2=E$1:E5054))))))</f>
        <v> </v>
      </c>
      <c r="K5055" s="26" t="str">
        <f>IF(OR(E5055="",E5055="!!!",F5055="NEW"),"",INDEX(J$1:J5054,SUMPRODUCT(MAX(ROW(E$1:E5054)*(E5055=E$1:E5054)))))</f>
        <v> </v>
      </c>
      <c r="L5055" s="27"/>
    </row>
    <row r="5056" spans="1:12">
      <c r="A5056" s="20" t="s">
        <v>1322</v>
      </c>
      <c r="B5056" s="21" t="s">
        <v>1191</v>
      </c>
      <c r="C5056" s="21" t="s">
        <v>1238</v>
      </c>
      <c r="D5056" s="21" t="s">
        <v>1180</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1315</v>
      </c>
      <c r="B5057" s="21" t="s">
        <v>1178</v>
      </c>
      <c r="C5057" s="21" t="s">
        <v>1324</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1198</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2636</v>
      </c>
      <c r="B5059" s="21" t="s">
        <v>1191</v>
      </c>
      <c r="C5059" s="21" t="s">
        <v>1188</v>
      </c>
      <c r="D5059" s="21" t="s">
        <v>1180</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818</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row>
    <row r="5062" spans="1:12">
      <c r="A5062" s="20" t="s">
        <v>2637</v>
      </c>
    </row>
    <row r="5063" spans="1:12">
      <c r="A5063" s="20" t="s">
        <v>1256</v>
      </c>
      <c r="B5063" s="21" t="s">
        <v>1194</v>
      </c>
      <c r="C5063" s="21" t="s">
        <v>1195</v>
      </c>
      <c r="D5063" s="21" t="s">
        <v>1180</v>
      </c>
      <c r="E5063" s="22">
        <f>IF(D5063="?OLD","!!!","")</f>
        <v/>
      </c>
      <c r="F5063" s="23" t="str">
        <f>IF(OR(E5063="",E5063="!!!"),"",IF(NOT(ISNA(VLOOKUP(E5063,E$1:E5062,1,FALSE()))),"OLD",IF(AND(E5063&lt;&gt;"",E5063&lt;&gt;"!!!"),"NEW","")))</f>
        <v> </v>
      </c>
      <c r="G5063" s="24" t="str">
        <f>IF(OR(E5063="",E5063="!!!"),"",IF(OR(J5063=0,AND(J5063=1,K5063=1),AND(J5063=1,I5063="SBJ"),AND(J5063=1,I5063=0)),"?IN_FOCUS",IF(J5063&lt;=2,"?ACTIVATED",IF(J5063&lt;&gt;"","?FAMILIAR",IF(F5063="NEW",IF(ISNA(VLOOKUP(E5063,#REF!,1,FALSE())),"?TYPE_IDENTIFIABLE","?REFERENTIAL"),"_")))))</f>
        <v> </v>
      </c>
      <c r="H5063" s="25" t="str">
        <f>IF(J5063&lt;&gt;1,"",IF(I5063="SBJ","CB","?"))</f>
        <v> </v>
      </c>
      <c r="I5063" s="26" t="str">
        <f>IF(OR(E5063="",E5063="!!!",F5063="NEW"),"",INDEX(B5062:B$2,-1+SUMPRODUCT(MAX(ROW(E5062:E$2)*(E5063=E5062:E$2)))))</f>
        <v> </v>
      </c>
      <c r="J5063" s="26" t="str">
        <f>IF(OR(E5063="",E5063="!!!",F5063="NEW"),"",COUNTBLANK(OFFSET(A$1,,,SUMPRODUCT(MAX(ROW(E$2:E5063)*(E5063=E$2:E5063)))))-COUNTBLANK(OFFSET(A$1,,,SUMPRODUCT(MAX(ROW(E$1:E5062)*(E2=E$1:E5062))))))</f>
        <v> </v>
      </c>
      <c r="K5063" s="26" t="str">
        <f>IF(OR(E5063="",E5063="!!!",F5063="NEW"),"",INDEX(J$1:J5062,SUMPRODUCT(MAX(ROW(E$1:E5062)*(E5063=E$1:E5062)))))</f>
        <v> </v>
      </c>
      <c r="L5063" s="27"/>
    </row>
    <row r="5064" spans="1:12">
      <c r="A5064" s="20" t="s">
        <v>1334</v>
      </c>
      <c r="E5064" s="22">
        <f>IF(D5064="?OLD","!!!","")</f>
        <v/>
      </c>
      <c r="F5064" s="23" t="str">
        <f>IF(OR(E5064="",E5064="!!!"),"",IF(NOT(ISNA(VLOOKUP(E5064,E$1:E5063,1,FALSE()))),"OLD",IF(AND(E5064&lt;&gt;"",E5064&lt;&gt;"!!!"),"NEW","")))</f>
        <v> </v>
      </c>
      <c r="G5064" s="24" t="str">
        <f>IF(OR(E5064="",E5064="!!!"),"",IF(OR(J5064=0,AND(J5064=1,K5064=1),AND(J5064=1,I5064="SBJ"),AND(J5064=1,I5064=0)),"?IN_FOCUS",IF(J5064&lt;=2,"?ACTIVATED",IF(J5064&lt;&gt;"","?FAMILIAR",IF(F5064="NEW",IF(ISNA(VLOOKUP(E5064,#REF!,1,FALSE())),"?TYPE_IDENTIFIABLE","?REFERENTIAL"),"_")))))</f>
        <v> </v>
      </c>
      <c r="H5064" s="25" t="str">
        <f>IF(J5064&lt;&gt;1,"",IF(I5064="SBJ","CB","?"))</f>
        <v> </v>
      </c>
      <c r="I5064" s="26" t="str">
        <f>IF(OR(E5064="",E5064="!!!",F5064="NEW"),"",INDEX(B5063:B$2,-1+SUMPRODUCT(MAX(ROW(E5063:E$2)*(E5064=E5063:E$2)))))</f>
        <v> </v>
      </c>
      <c r="J5064" s="26" t="str">
        <f>IF(OR(E5064="",E5064="!!!",F5064="NEW"),"",COUNTBLANK(OFFSET(A$1,,,SUMPRODUCT(MAX(ROW(E$2:E5064)*(E5064=E$2:E5064)))))-COUNTBLANK(OFFSET(A$1,,,SUMPRODUCT(MAX(ROW(E$1:E5063)*(E2=E$1:E5063))))))</f>
        <v> </v>
      </c>
      <c r="K5064" s="26" t="str">
        <f>IF(OR(E5064="",E5064="!!!",F5064="NEW"),"",INDEX(J$1:J5063,SUMPRODUCT(MAX(ROW(E$1:E5063)*(E5064=E$1:E5063)))))</f>
        <v> </v>
      </c>
      <c r="L5064" s="27"/>
    </row>
    <row r="5065" spans="1:12">
      <c r="A5065" s="20" t="s">
        <v>1186</v>
      </c>
      <c r="E5065" s="22">
        <f>IF(D5065="?OLD","!!!","")</f>
        <v/>
      </c>
      <c r="F5065" s="23" t="str">
        <f>IF(OR(E5065="",E5065="!!!"),"",IF(NOT(ISNA(VLOOKUP(E5065,E$1:E5064,1,FALSE()))),"OLD",IF(AND(E5065&lt;&gt;"",E5065&lt;&gt;"!!!"),"NEW","")))</f>
        <v> </v>
      </c>
      <c r="G5065" s="24" t="str">
        <f>IF(OR(E5065="",E5065="!!!"),"",IF(OR(J5065=0,AND(J5065=1,K5065=1),AND(J5065=1,I5065="SBJ"),AND(J5065=1,I5065=0)),"?IN_FOCUS",IF(J5065&lt;=2,"?ACTIVATED",IF(J5065&lt;&gt;"","?FAMILIAR",IF(F5065="NEW",IF(ISNA(VLOOKUP(E5065,#REF!,1,FALSE())),"?TYPE_IDENTIFIABLE","?REFERENTIAL"),"_")))))</f>
        <v> </v>
      </c>
      <c r="H5065" s="25" t="str">
        <f>IF(J5065&lt;&gt;1,"",IF(I5065="SBJ","CB","?"))</f>
        <v> </v>
      </c>
      <c r="I5065" s="26" t="str">
        <f>IF(OR(E5065="",E5065="!!!",F5065="NEW"),"",INDEX(B5064:B$2,-1+SUMPRODUCT(MAX(ROW(E5064:E$2)*(E5065=E5064:E$2)))))</f>
        <v> </v>
      </c>
      <c r="J5065" s="26" t="str">
        <f>IF(OR(E5065="",E5065="!!!",F5065="NEW"),"",COUNTBLANK(OFFSET(A$1,,,SUMPRODUCT(MAX(ROW(E$2:E5065)*(E5065=E$2:E5065)))))-COUNTBLANK(OFFSET(A$1,,,SUMPRODUCT(MAX(ROW(E$1:E5064)*(E2=E$1:E5064))))))</f>
        <v> </v>
      </c>
      <c r="K5065" s="26" t="str">
        <f>IF(OR(E5065="",E5065="!!!",F5065="NEW"),"",INDEX(J$1:J5064,SUMPRODUCT(MAX(ROW(E$1:E5064)*(E5065=E$1:E5064)))))</f>
        <v> </v>
      </c>
      <c r="L5065" s="27"/>
    </row>
    <row r="5066" spans="1:12">
      <c r="A5066" s="20" t="s">
        <v>1428</v>
      </c>
      <c r="B5066" s="21" t="s">
        <v>1178</v>
      </c>
      <c r="C5066" s="21" t="s">
        <v>1188</v>
      </c>
      <c r="D5066" s="21" t="s">
        <v>1180</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1185</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1219</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1186</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t="s">
        <v>1253</v>
      </c>
      <c r="B5070" s="21" t="s">
        <v>1207</v>
      </c>
      <c r="C5070" s="21" t="s">
        <v>1254</v>
      </c>
      <c r="E5070" s="22">
        <f>IF(D5070="?OLD","!!!","")</f>
        <v/>
      </c>
      <c r="F5070" s="23" t="str">
        <f>IF(OR(E5070="",E5070="!!!"),"",IF(NOT(ISNA(VLOOKUP(E5070,E$1:E5069,1,FALSE()))),"OLD",IF(AND(E5070&lt;&gt;"",E5070&lt;&gt;"!!!"),"NEW","")))</f>
        <v> </v>
      </c>
      <c r="G5070" s="24" t="str">
        <f>IF(OR(E5070="",E5070="!!!"),"",IF(OR(J5070=0,AND(J5070=1,K5070=1),AND(J5070=1,I5070="SBJ"),AND(J5070=1,I5070=0)),"?IN_FOCUS",IF(J5070&lt;=2,"?ACTIVATED",IF(J5070&lt;&gt;"","?FAMILIAR",IF(F5070="NEW",IF(ISNA(VLOOKUP(E5070,#REF!,1,FALSE())),"?TYPE_IDENTIFIABLE","?REFERENTIAL"),"_")))))</f>
        <v> </v>
      </c>
      <c r="H5070" s="25" t="str">
        <f>IF(J5070&lt;&gt;1,"",IF(I5070="SBJ","CB","?"))</f>
        <v> </v>
      </c>
      <c r="I5070" s="26" t="str">
        <f>IF(OR(E5070="",E5070="!!!",F5070="NEW"),"",INDEX(B5069:B$2,-1+SUMPRODUCT(MAX(ROW(E5069:E$2)*(E5070=E5069:E$2)))))</f>
        <v> </v>
      </c>
      <c r="J5070" s="26" t="str">
        <f>IF(OR(E5070="",E5070="!!!",F5070="NEW"),"",COUNTBLANK(OFFSET(A$1,,,SUMPRODUCT(MAX(ROW(E$2:E5070)*(E5070=E$2:E5070)))))-COUNTBLANK(OFFSET(A$1,,,SUMPRODUCT(MAX(ROW(E$1:E5069)*(E2=E$1:E5069))))))</f>
        <v> </v>
      </c>
      <c r="K5070" s="26" t="str">
        <f>IF(OR(E5070="",E5070="!!!",F5070="NEW"),"",INDEX(J$1:J5069,SUMPRODUCT(MAX(ROW(E$1:E5069)*(E5070=E$1:E5069)))))</f>
        <v> </v>
      </c>
      <c r="L5070" s="27"/>
    </row>
    <row r="5071" spans="1:12">
      <c r="A5071" s="20" t="s">
        <v>1346</v>
      </c>
      <c r="B5071" s="21" t="s">
        <v>1237</v>
      </c>
      <c r="C5071" s="21" t="s">
        <v>1188</v>
      </c>
      <c r="D5071" s="21" t="s">
        <v>1180</v>
      </c>
      <c r="E5071" s="22">
        <f>IF(D5071="?OLD","!!!","")</f>
        <v/>
      </c>
      <c r="F5071" s="23" t="str">
        <f>IF(OR(E5071="",E5071="!!!"),"",IF(NOT(ISNA(VLOOKUP(E5071,E$1:E5070,1,FALSE()))),"OLD",IF(AND(E5071&lt;&gt;"",E5071&lt;&gt;"!!!"),"NEW","")))</f>
        <v> </v>
      </c>
      <c r="G5071" s="24" t="str">
        <f>IF(OR(E5071="",E5071="!!!"),"",IF(OR(J5071=0,AND(J5071=1,K5071=1),AND(J5071=1,I5071="SBJ"),AND(J5071=1,I5071=0)),"?IN_FOCUS",IF(J5071&lt;=2,"?ACTIVATED",IF(J5071&lt;&gt;"","?FAMILIAR",IF(F5071="NEW",IF(ISNA(VLOOKUP(E5071,#REF!,1,FALSE())),"?TYPE_IDENTIFIABLE","?REFERENTIAL"),"_")))))</f>
        <v> </v>
      </c>
      <c r="H5071" s="25" t="str">
        <f>IF(J5071&lt;&gt;1,"",IF(I5071="SBJ","CB","?"))</f>
        <v> </v>
      </c>
      <c r="I5071" s="26" t="str">
        <f>IF(OR(E5071="",E5071="!!!",F5071="NEW"),"",INDEX(B5070:B$2,-1+SUMPRODUCT(MAX(ROW(E5070:E$2)*(E5071=E5070:E$2)))))</f>
        <v> </v>
      </c>
      <c r="J5071" s="26" t="str">
        <f>IF(OR(E5071="",E5071="!!!",F5071="NEW"),"",COUNTBLANK(OFFSET(A$1,,,SUMPRODUCT(MAX(ROW(E$2:E5071)*(E5071=E$2:E5071)))))-COUNTBLANK(OFFSET(A$1,,,SUMPRODUCT(MAX(ROW(E$1:E5070)*(E2=E$1:E5070))))))</f>
        <v> </v>
      </c>
      <c r="K5071" s="26" t="str">
        <f>IF(OR(E5071="",E5071="!!!",F5071="NEW"),"",INDEX(J$1:J5070,SUMPRODUCT(MAX(ROW(E$1:E5070)*(E5071=E$1:E5070)))))</f>
        <v> </v>
      </c>
      <c r="L5071" s="27"/>
    </row>
    <row r="5072" spans="1:12">
      <c r="A5072" s="20" t="s">
        <v>968</v>
      </c>
      <c r="E5072" s="22">
        <f>IF(D5072="?OLD","!!!","")</f>
        <v/>
      </c>
      <c r="F5072" s="23" t="str">
        <f>IF(OR(E5072="",E5072="!!!"),"",IF(NOT(ISNA(VLOOKUP(E5072,E$1:E5071,1,FALSE()))),"OLD",IF(AND(E5072&lt;&gt;"",E5072&lt;&gt;"!!!"),"NEW","")))</f>
        <v> </v>
      </c>
      <c r="G5072" s="24" t="str">
        <f>IF(OR(E5072="",E5072="!!!"),"",IF(OR(J5072=0,AND(J5072=1,K5072=1),AND(J5072=1,I5072="SBJ"),AND(J5072=1,I5072=0)),"?IN_FOCUS",IF(J5072&lt;=2,"?ACTIVATED",IF(J5072&lt;&gt;"","?FAMILIAR",IF(F5072="NEW",IF(ISNA(VLOOKUP(E5072,#REF!,1,FALSE())),"?TYPE_IDENTIFIABLE","?REFERENTIAL"),"_")))))</f>
        <v> </v>
      </c>
      <c r="H5072" s="25" t="str">
        <f>IF(J5072&lt;&gt;1,"",IF(I5072="SBJ","CB","?"))</f>
        <v> </v>
      </c>
      <c r="I5072" s="26" t="str">
        <f>IF(OR(E5072="",E5072="!!!",F5072="NEW"),"",INDEX(B5071:B$2,-1+SUMPRODUCT(MAX(ROW(E5071:E$2)*(E5072=E5071:E$2)))))</f>
        <v> </v>
      </c>
      <c r="J5072" s="26" t="str">
        <f>IF(OR(E5072="",E5072="!!!",F5072="NEW"),"",COUNTBLANK(OFFSET(A$1,,,SUMPRODUCT(MAX(ROW(E$2:E5072)*(E5072=E$2:E5072)))))-COUNTBLANK(OFFSET(A$1,,,SUMPRODUCT(MAX(ROW(E$1:E5071)*(E2=E$1:E5071))))))</f>
        <v> </v>
      </c>
      <c r="K5072" s="26" t="str">
        <f>IF(OR(E5072="",E5072="!!!",F5072="NEW"),"",INDEX(J$1:J5071,SUMPRODUCT(MAX(ROW(E$1:E5071)*(E5072=E$1:E5071)))))</f>
        <v> </v>
      </c>
      <c r="L5072" s="27"/>
    </row>
    <row r="5073" spans="1:12">
      <c r="A5073" s="20" t="s">
        <v>1185</v>
      </c>
      <c r="E5073" s="22">
        <f>IF(D5073="?OLD","!!!","")</f>
        <v/>
      </c>
      <c r="F5073" s="23" t="str">
        <f>IF(OR(E5073="",E5073="!!!"),"",IF(NOT(ISNA(VLOOKUP(E5073,E$1:E5072,1,FALSE()))),"OLD",IF(AND(E5073&lt;&gt;"",E5073&lt;&gt;"!!!"),"NEW","")))</f>
        <v> </v>
      </c>
      <c r="G5073" s="24" t="str">
        <f>IF(OR(E5073="",E5073="!!!"),"",IF(OR(J5073=0,AND(J5073=1,K5073=1),AND(J5073=1,I5073="SBJ"),AND(J5073=1,I5073=0)),"?IN_FOCUS",IF(J5073&lt;=2,"?ACTIVATED",IF(J5073&lt;&gt;"","?FAMILIAR",IF(F5073="NEW",IF(ISNA(VLOOKUP(E5073,#REF!,1,FALSE())),"?TYPE_IDENTIFIABLE","?REFERENTIAL"),"_")))))</f>
        <v> </v>
      </c>
      <c r="H5073" s="25" t="str">
        <f>IF(J5073&lt;&gt;1,"",IF(I5073="SBJ","CB","?"))</f>
        <v> </v>
      </c>
      <c r="I5073" s="26" t="str">
        <f>IF(OR(E5073="",E5073="!!!",F5073="NEW"),"",INDEX(B5072:B$2,-1+SUMPRODUCT(MAX(ROW(E5072:E$2)*(E5073=E5072:E$2)))))</f>
        <v> </v>
      </c>
      <c r="J5073" s="26" t="str">
        <f>IF(OR(E5073="",E5073="!!!",F5073="NEW"),"",COUNTBLANK(OFFSET(A$1,,,SUMPRODUCT(MAX(ROW(E$2:E5073)*(E5073=E$2:E5073)))))-COUNTBLANK(OFFSET(A$1,,,SUMPRODUCT(MAX(ROW(E$1:E5072)*(E2=E$1:E5072))))))</f>
        <v> </v>
      </c>
      <c r="K5073" s="26" t="str">
        <f>IF(OR(E5073="",E5073="!!!",F5073="NEW"),"",INDEX(J$1:J5072,SUMPRODUCT(MAX(ROW(E$1:E5072)*(E5073=E$1:E5072)))))</f>
        <v> </v>
      </c>
      <c r="L5073" s="27"/>
    </row>
    <row r="5074" spans="1:12">
      <c r="A5074" s="20" t="s">
        <v>1295</v>
      </c>
      <c r="E5074" s="22">
        <f>IF(D5074="?OLD","!!!","")</f>
        <v/>
      </c>
      <c r="F5074" s="23" t="str">
        <f>IF(OR(E5074="",E5074="!!!"),"",IF(NOT(ISNA(VLOOKUP(E5074,E$1:E5073,1,FALSE()))),"OLD",IF(AND(E5074&lt;&gt;"",E5074&lt;&gt;"!!!"),"NEW","")))</f>
        <v> </v>
      </c>
      <c r="G5074" s="24" t="str">
        <f>IF(OR(E5074="",E5074="!!!"),"",IF(OR(J5074=0,AND(J5074=1,K5074=1),AND(J5074=1,I5074="SBJ"),AND(J5074=1,I5074=0)),"?IN_FOCUS",IF(J5074&lt;=2,"?ACTIVATED",IF(J5074&lt;&gt;"","?FAMILIAR",IF(F5074="NEW",IF(ISNA(VLOOKUP(E5074,#REF!,1,FALSE())),"?TYPE_IDENTIFIABLE","?REFERENTIAL"),"_")))))</f>
        <v> </v>
      </c>
      <c r="H5074" s="25" t="str">
        <f>IF(J5074&lt;&gt;1,"",IF(I5074="SBJ","CB","?"))</f>
        <v> </v>
      </c>
      <c r="I5074" s="26" t="str">
        <f>IF(OR(E5074="",E5074="!!!",F5074="NEW"),"",INDEX(B5073:B$2,-1+SUMPRODUCT(MAX(ROW(E5073:E$2)*(E5074=E5073:E$2)))))</f>
        <v> </v>
      </c>
      <c r="J5074" s="26" t="str">
        <f>IF(OR(E5074="",E5074="!!!",F5074="NEW"),"",COUNTBLANK(OFFSET(A$1,,,SUMPRODUCT(MAX(ROW(E$2:E5074)*(E5074=E$2:E5074)))))-COUNTBLANK(OFFSET(A$1,,,SUMPRODUCT(MAX(ROW(E$1:E5073)*(E2=E$1:E5073))))))</f>
        <v> </v>
      </c>
      <c r="K5074" s="26" t="str">
        <f>IF(OR(E5074="",E5074="!!!",F5074="NEW"),"",INDEX(J$1:J5073,SUMPRODUCT(MAX(ROW(E$1:E5073)*(E5074=E$1:E5073)))))</f>
        <v> </v>
      </c>
      <c r="L5074" s="27"/>
    </row>
    <row r="5075" spans="1:12">
      <c r="A5075" s="20" t="s">
        <v>185</v>
      </c>
      <c r="B5075" s="21" t="s">
        <v>1240</v>
      </c>
      <c r="C5075" s="21" t="s">
        <v>1195</v>
      </c>
      <c r="D5075" s="21" t="s">
        <v>1180</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t="s">
        <v>2638</v>
      </c>
      <c r="E5076" s="22">
        <f>IF(D5076="?OLD","!!!","")</f>
        <v/>
      </c>
      <c r="F5076" s="23" t="str">
        <f>IF(OR(E5076="",E5076="!!!"),"",IF(NOT(ISNA(VLOOKUP(E5076,E$1:E5075,1,FALSE()))),"OLD",IF(AND(E5076&lt;&gt;"",E5076&lt;&gt;"!!!"),"NEW","")))</f>
        <v> </v>
      </c>
      <c r="G5076" s="24" t="str">
        <f>IF(OR(E5076="",E5076="!!!"),"",IF(OR(J5076=0,AND(J5076=1,K5076=1),AND(J5076=1,I5076="SBJ"),AND(J5076=1,I5076=0)),"?IN_FOCUS",IF(J5076&lt;=2,"?ACTIVATED",IF(J5076&lt;&gt;"","?FAMILIAR",IF(F5076="NEW",IF(ISNA(VLOOKUP(E5076,#REF!,1,FALSE())),"?TYPE_IDENTIFIABLE","?REFERENTIAL"),"_")))))</f>
        <v> </v>
      </c>
      <c r="H5076" s="25" t="str">
        <f>IF(J5076&lt;&gt;1,"",IF(I5076="SBJ","CB","?"))</f>
        <v> </v>
      </c>
      <c r="I5076" s="26" t="str">
        <f>IF(OR(E5076="",E5076="!!!",F5076="NEW"),"",INDEX(B5075:B$2,-1+SUMPRODUCT(MAX(ROW(E5075:E$2)*(E5076=E5075:E$2)))))</f>
        <v> </v>
      </c>
      <c r="J5076" s="26" t="str">
        <f>IF(OR(E5076="",E5076="!!!",F5076="NEW"),"",COUNTBLANK(OFFSET(A$1,,,SUMPRODUCT(MAX(ROW(E$2:E5076)*(E5076=E$2:E5076)))))-COUNTBLANK(OFFSET(A$1,,,SUMPRODUCT(MAX(ROW(E$1:E5075)*(E2=E$1:E5075))))))</f>
        <v> </v>
      </c>
      <c r="K5076" s="26" t="str">
        <f>IF(OR(E5076="",E5076="!!!",F5076="NEW"),"",INDEX(J$1:J5075,SUMPRODUCT(MAX(ROW(E$1:E5075)*(E5076=E$1:E5075)))))</f>
        <v> </v>
      </c>
      <c r="L5076" s="27"/>
    </row>
    <row r="5077" spans="1:12">
      <c r="A5077" s="20" t="s">
        <v>1219</v>
      </c>
      <c r="E5077" s="22">
        <f>IF(D5077="?OLD","!!!","")</f>
        <v/>
      </c>
      <c r="F5077" s="23" t="str">
        <f>IF(OR(E5077="",E5077="!!!"),"",IF(NOT(ISNA(VLOOKUP(E5077,E$1:E5076,1,FALSE()))),"OLD",IF(AND(E5077&lt;&gt;"",E5077&lt;&gt;"!!!"),"NEW","")))</f>
        <v> </v>
      </c>
      <c r="G5077" s="24" t="str">
        <f>IF(OR(E5077="",E5077="!!!"),"",IF(OR(J5077=0,AND(J5077=1,K5077=1),AND(J5077=1,I5077="SBJ"),AND(J5077=1,I5077=0)),"?IN_FOCUS",IF(J5077&lt;=2,"?ACTIVATED",IF(J5077&lt;&gt;"","?FAMILIAR",IF(F5077="NEW",IF(ISNA(VLOOKUP(E5077,#REF!,1,FALSE())),"?TYPE_IDENTIFIABLE","?REFERENTIAL"),"_")))))</f>
        <v> </v>
      </c>
      <c r="H5077" s="25" t="str">
        <f>IF(J5077&lt;&gt;1,"",IF(I5077="SBJ","CB","?"))</f>
        <v> </v>
      </c>
      <c r="I5077" s="26" t="str">
        <f>IF(OR(E5077="",E5077="!!!",F5077="NEW"),"",INDEX(B5076:B$2,-1+SUMPRODUCT(MAX(ROW(E5076:E$2)*(E5077=E5076:E$2)))))</f>
        <v> </v>
      </c>
      <c r="J5077" s="26" t="str">
        <f>IF(OR(E5077="",E5077="!!!",F5077="NEW"),"",COUNTBLANK(OFFSET(A$1,,,SUMPRODUCT(MAX(ROW(E$2:E5077)*(E5077=E$2:E5077)))))-COUNTBLANK(OFFSET(A$1,,,SUMPRODUCT(MAX(ROW(E$1:E5076)*(E2=E$1:E5076))))))</f>
        <v> </v>
      </c>
      <c r="K5077" s="26" t="str">
        <f>IF(OR(E5077="",E5077="!!!",F5077="NEW"),"",INDEX(J$1:J5076,SUMPRODUCT(MAX(ROW(E$1:E5076)*(E5077=E$1:E5076)))))</f>
        <v> </v>
      </c>
      <c r="L5077" s="27"/>
    </row>
    <row r="5078" spans="1:12">
      <c r="A5078" s="20" t="s">
        <v>1508</v>
      </c>
      <c r="B5078" s="21" t="s">
        <v>1191</v>
      </c>
      <c r="C5078" s="21" t="s">
        <v>1238</v>
      </c>
      <c r="D5078" s="21" t="s">
        <v>1180</v>
      </c>
      <c r="E5078" s="22">
        <f>IF(D5078="?OLD","!!!","")</f>
        <v/>
      </c>
      <c r="F5078" s="23" t="str">
        <f>IF(OR(E5078="",E5078="!!!"),"",IF(NOT(ISNA(VLOOKUP(E5078,E$1:E5077,1,FALSE()))),"OLD",IF(AND(E5078&lt;&gt;"",E5078&lt;&gt;"!!!"),"NEW","")))</f>
        <v> </v>
      </c>
      <c r="G5078" s="24" t="str">
        <f>IF(OR(E5078="",E5078="!!!"),"",IF(OR(J5078=0,AND(J5078=1,K5078=1),AND(J5078=1,I5078="SBJ"),AND(J5078=1,I5078=0)),"?IN_FOCUS",IF(J5078&lt;=2,"?ACTIVATED",IF(J5078&lt;&gt;"","?FAMILIAR",IF(F5078="NEW",IF(ISNA(VLOOKUP(E5078,#REF!,1,FALSE())),"?TYPE_IDENTIFIABLE","?REFERENTIAL"),"_")))))</f>
        <v> </v>
      </c>
      <c r="H5078" s="25" t="str">
        <f>IF(J5078&lt;&gt;1,"",IF(I5078="SBJ","CB","?"))</f>
        <v> </v>
      </c>
      <c r="I5078" s="26" t="str">
        <f>IF(OR(E5078="",E5078="!!!",F5078="NEW"),"",INDEX(B5077:B$2,-1+SUMPRODUCT(MAX(ROW(E5077:E$2)*(E5078=E5077:E$2)))))</f>
        <v> </v>
      </c>
      <c r="J5078" s="26" t="str">
        <f>IF(OR(E5078="",E5078="!!!",F5078="NEW"),"",COUNTBLANK(OFFSET(A$1,,,SUMPRODUCT(MAX(ROW(E$2:E5078)*(E5078=E$2:E5078)))))-COUNTBLANK(OFFSET(A$1,,,SUMPRODUCT(MAX(ROW(E$1:E5077)*(E2=E$1:E5077))))))</f>
        <v> </v>
      </c>
      <c r="K5078" s="26" t="str">
        <f>IF(OR(E5078="",E5078="!!!",F5078="NEW"),"",INDEX(J$1:J5077,SUMPRODUCT(MAX(ROW(E$1:E5077)*(E5078=E$1:E5077)))))</f>
        <v> </v>
      </c>
      <c r="L5078" s="27"/>
    </row>
    <row r="5079" spans="1:12">
      <c r="A5079" s="20" t="s">
        <v>1185</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1661</v>
      </c>
      <c r="B5080" s="21" t="s">
        <v>1240</v>
      </c>
      <c r="C5080" s="21" t="s">
        <v>1238</v>
      </c>
      <c r="D5080" s="21" t="s">
        <v>1180</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t="s">
        <v>1330</v>
      </c>
      <c r="E5081" s="22">
        <f>IF(D5081="?OLD","!!!","")</f>
        <v/>
      </c>
      <c r="F5081" s="23" t="str">
        <f>IF(OR(E5081="",E5081="!!!"),"",IF(NOT(ISNA(VLOOKUP(E5081,E$1:E5080,1,FALSE()))),"OLD",IF(AND(E5081&lt;&gt;"",E5081&lt;&gt;"!!!"),"NEW","")))</f>
        <v> </v>
      </c>
      <c r="G5081" s="24" t="str">
        <f>IF(OR(E5081="",E5081="!!!"),"",IF(OR(J5081=0,AND(J5081=1,K5081=1),AND(J5081=1,I5081="SBJ"),AND(J5081=1,I5081=0)),"?IN_FOCUS",IF(J5081&lt;=2,"?ACTIVATED",IF(J5081&lt;&gt;"","?FAMILIAR",IF(F5081="NEW",IF(ISNA(VLOOKUP(E5081,#REF!,1,FALSE())),"?TYPE_IDENTIFIABLE","?REFERENTIAL"),"_")))))</f>
        <v> </v>
      </c>
      <c r="H5081" s="25" t="str">
        <f>IF(J5081&lt;&gt;1,"",IF(I5081="SBJ","CB","?"))</f>
        <v> </v>
      </c>
      <c r="I5081" s="26" t="str">
        <f>IF(OR(E5081="",E5081="!!!",F5081="NEW"),"",INDEX(B5080:B$2,-1+SUMPRODUCT(MAX(ROW(E5080:E$2)*(E5081=E5080:E$2)))))</f>
        <v> </v>
      </c>
      <c r="J5081" s="26" t="str">
        <f>IF(OR(E5081="",E5081="!!!",F5081="NEW"),"",COUNTBLANK(OFFSET(A$1,,,SUMPRODUCT(MAX(ROW(E$2:E5081)*(E5081=E$2:E5081)))))-COUNTBLANK(OFFSET(A$1,,,SUMPRODUCT(MAX(ROW(E$1:E5080)*(E2=E$1:E5080))))))</f>
        <v> </v>
      </c>
      <c r="K5081" s="26" t="str">
        <f>IF(OR(E5081="",E5081="!!!",F5081="NEW"),"",INDEX(J$1:J5080,SUMPRODUCT(MAX(ROW(E$1:E5080)*(E5081=E$1:E5080)))))</f>
        <v> </v>
      </c>
      <c r="L5081" s="27"/>
    </row>
    <row r="5082" spans="1:12">
      <c r="A5082" s="20" t="s">
        <v>918</v>
      </c>
      <c r="E5082" s="22">
        <f>IF(D5082="?OLD","!!!","")</f>
        <v/>
      </c>
      <c r="F5082" s="23" t="str">
        <f>IF(OR(E5082="",E5082="!!!"),"",IF(NOT(ISNA(VLOOKUP(E5082,E$1:E5081,1,FALSE()))),"OLD",IF(AND(E5082&lt;&gt;"",E5082&lt;&gt;"!!!"),"NEW","")))</f>
        <v> </v>
      </c>
      <c r="G5082" s="24" t="str">
        <f>IF(OR(E5082="",E5082="!!!"),"",IF(OR(J5082=0,AND(J5082=1,K5082=1),AND(J5082=1,I5082="SBJ"),AND(J5082=1,I5082=0)),"?IN_FOCUS",IF(J5082&lt;=2,"?ACTIVATED",IF(J5082&lt;&gt;"","?FAMILIAR",IF(F5082="NEW",IF(ISNA(VLOOKUP(E5082,#REF!,1,FALSE())),"?TYPE_IDENTIFIABLE","?REFERENTIAL"),"_")))))</f>
        <v> </v>
      </c>
      <c r="H5082" s="25" t="str">
        <f>IF(J5082&lt;&gt;1,"",IF(I5082="SBJ","CB","?"))</f>
        <v> </v>
      </c>
      <c r="I5082" s="26" t="str">
        <f>IF(OR(E5082="",E5082="!!!",F5082="NEW"),"",INDEX(B5081:B$2,-1+SUMPRODUCT(MAX(ROW(E5081:E$2)*(E5082=E5081:E$2)))))</f>
        <v> </v>
      </c>
      <c r="J5082" s="26" t="str">
        <f>IF(OR(E5082="",E5082="!!!",F5082="NEW"),"",COUNTBLANK(OFFSET(A$1,,,SUMPRODUCT(MAX(ROW(E$2:E5082)*(E5082=E$2:E5082)))))-COUNTBLANK(OFFSET(A$1,,,SUMPRODUCT(MAX(ROW(E$1:E5081)*(E2=E$1:E5081))))))</f>
        <v> </v>
      </c>
      <c r="K5082" s="26" t="str">
        <f>IF(OR(E5082="",E5082="!!!",F5082="NEW"),"",INDEX(J$1:J5081,SUMPRODUCT(MAX(ROW(E$1:E5081)*(E5082=E$1:E5081)))))</f>
        <v> </v>
      </c>
      <c r="L5082" s="27"/>
    </row>
    <row r="5083" spans="1:12">
      <c r="A5083" s="20" t="s">
        <v>1185</v>
      </c>
      <c r="E5083" s="22">
        <f>IF(D5083="?OLD","!!!","")</f>
        <v/>
      </c>
      <c r="F5083" s="23" t="str">
        <f>IF(OR(E5083="",E5083="!!!"),"",IF(NOT(ISNA(VLOOKUP(E5083,E$1:E5082,1,FALSE()))),"OLD",IF(AND(E5083&lt;&gt;"",E5083&lt;&gt;"!!!"),"NEW","")))</f>
        <v> </v>
      </c>
      <c r="G5083" s="24" t="str">
        <f>IF(OR(E5083="",E5083="!!!"),"",IF(OR(J5083=0,AND(J5083=1,K5083=1),AND(J5083=1,I5083="SBJ"),AND(J5083=1,I5083=0)),"?IN_FOCUS",IF(J5083&lt;=2,"?ACTIVATED",IF(J5083&lt;&gt;"","?FAMILIAR",IF(F5083="NEW",IF(ISNA(VLOOKUP(E5083,#REF!,1,FALSE())),"?TYPE_IDENTIFIABLE","?REFERENTIAL"),"_")))))</f>
        <v> </v>
      </c>
      <c r="H5083" s="25" t="str">
        <f>IF(J5083&lt;&gt;1,"",IF(I5083="SBJ","CB","?"))</f>
        <v> </v>
      </c>
      <c r="I5083" s="26" t="str">
        <f>IF(OR(E5083="",E5083="!!!",F5083="NEW"),"",INDEX(B5082:B$2,-1+SUMPRODUCT(MAX(ROW(E5082:E$2)*(E5083=E5082:E$2)))))</f>
        <v> </v>
      </c>
      <c r="J5083" s="26" t="str">
        <f>IF(OR(E5083="",E5083="!!!",F5083="NEW"),"",COUNTBLANK(OFFSET(A$1,,,SUMPRODUCT(MAX(ROW(E$2:E5083)*(E5083=E$2:E5083)))))-COUNTBLANK(OFFSET(A$1,,,SUMPRODUCT(MAX(ROW(E$1:E5082)*(E2=E$1:E5082))))))</f>
        <v> </v>
      </c>
      <c r="K5083" s="26" t="str">
        <f>IF(OR(E5083="",E5083="!!!",F5083="NEW"),"",INDEX(J$1:J5082,SUMPRODUCT(MAX(ROW(E$1:E5082)*(E5083=E$1:E5082)))))</f>
        <v> </v>
      </c>
      <c r="L5083" s="27"/>
    </row>
    <row r="5084" spans="1:12">
      <c r="A5084" s="20" t="s">
        <v>1219</v>
      </c>
      <c r="E5084" s="22">
        <f>IF(D5084="?OLD","!!!","")</f>
        <v/>
      </c>
      <c r="F5084" s="23" t="str">
        <f>IF(OR(E5084="",E5084="!!!"),"",IF(NOT(ISNA(VLOOKUP(E5084,E$1:E5083,1,FALSE()))),"OLD",IF(AND(E5084&lt;&gt;"",E5084&lt;&gt;"!!!"),"NEW","")))</f>
        <v> </v>
      </c>
      <c r="G5084" s="24" t="str">
        <f>IF(OR(E5084="",E5084="!!!"),"",IF(OR(J5084=0,AND(J5084=1,K5084=1),AND(J5084=1,I5084="SBJ"),AND(J5084=1,I5084=0)),"?IN_FOCUS",IF(J5084&lt;=2,"?ACTIVATED",IF(J5084&lt;&gt;"","?FAMILIAR",IF(F5084="NEW",IF(ISNA(VLOOKUP(E5084,#REF!,1,FALSE())),"?TYPE_IDENTIFIABLE","?REFERENTIAL"),"_")))))</f>
        <v> </v>
      </c>
      <c r="H5084" s="25" t="str">
        <f>IF(J5084&lt;&gt;1,"",IF(I5084="SBJ","CB","?"))</f>
        <v> </v>
      </c>
      <c r="I5084" s="26" t="str">
        <f>IF(OR(E5084="",E5084="!!!",F5084="NEW"),"",INDEX(B5083:B$2,-1+SUMPRODUCT(MAX(ROW(E5083:E$2)*(E5084=E5083:E$2)))))</f>
        <v> </v>
      </c>
      <c r="J5084" s="26" t="str">
        <f>IF(OR(E5084="",E5084="!!!",F5084="NEW"),"",COUNTBLANK(OFFSET(A$1,,,SUMPRODUCT(MAX(ROW(E$2:E5084)*(E5084=E$2:E5084)))))-COUNTBLANK(OFFSET(A$1,,,SUMPRODUCT(MAX(ROW(E$1:E5083)*(E2=E$1:E5083))))))</f>
        <v> </v>
      </c>
      <c r="K5084" s="26" t="str">
        <f>IF(OR(E5084="",E5084="!!!",F5084="NEW"),"",INDEX(J$1:J5083,SUMPRODUCT(MAX(ROW(E$1:E5083)*(E5084=E$1:E5083)))))</f>
        <v> </v>
      </c>
      <c r="L5084" s="27"/>
    </row>
    <row r="5085" spans="1:12">
      <c r="A5085" s="20" t="s">
        <v>1448</v>
      </c>
      <c r="E5085" s="22">
        <f>IF(D5085="?OLD","!!!","")</f>
        <v/>
      </c>
      <c r="F5085" s="23" t="str">
        <f>IF(OR(E5085="",E5085="!!!"),"",IF(NOT(ISNA(VLOOKUP(E5085,E$1:E5084,1,FALSE()))),"OLD",IF(AND(E5085&lt;&gt;"",E5085&lt;&gt;"!!!"),"NEW","")))</f>
        <v> </v>
      </c>
      <c r="G5085" s="24" t="str">
        <f>IF(OR(E5085="",E5085="!!!"),"",IF(OR(J5085=0,AND(J5085=1,K5085=1),AND(J5085=1,I5085="SBJ"),AND(J5085=1,I5085=0)),"?IN_FOCUS",IF(J5085&lt;=2,"?ACTIVATED",IF(J5085&lt;&gt;"","?FAMILIAR",IF(F5085="NEW",IF(ISNA(VLOOKUP(E5085,#REF!,1,FALSE())),"?TYPE_IDENTIFIABLE","?REFERENTIAL"),"_")))))</f>
        <v> </v>
      </c>
      <c r="H5085" s="25" t="str">
        <f>IF(J5085&lt;&gt;1,"",IF(I5085="SBJ","CB","?"))</f>
        <v> </v>
      </c>
      <c r="I5085" s="26" t="str">
        <f>IF(OR(E5085="",E5085="!!!",F5085="NEW"),"",INDEX(B5084:B$2,-1+SUMPRODUCT(MAX(ROW(E5084:E$2)*(E5085=E5084:E$2)))))</f>
        <v> </v>
      </c>
      <c r="J5085" s="26" t="str">
        <f>IF(OR(E5085="",E5085="!!!",F5085="NEW"),"",COUNTBLANK(OFFSET(A$1,,,SUMPRODUCT(MAX(ROW(E$2:E5085)*(E5085=E$2:E5085)))))-COUNTBLANK(OFFSET(A$1,,,SUMPRODUCT(MAX(ROW(E$1:E5084)*(E2=E$1:E5084))))))</f>
        <v> </v>
      </c>
      <c r="K5085" s="26" t="str">
        <f>IF(OR(E5085="",E5085="!!!",F5085="NEW"),"",INDEX(J$1:J5084,SUMPRODUCT(MAX(ROW(E$1:E5084)*(E5085=E$1:E5084)))))</f>
        <v> </v>
      </c>
      <c r="L5085" s="27"/>
    </row>
    <row r="5086" spans="1:12">
      <c r="A5086" s="20" t="s">
        <v>1185</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t="s">
        <v>1186</v>
      </c>
      <c r="B5087" s="21" t="s">
        <v>1240</v>
      </c>
      <c r="E5087" s="22">
        <f>IF(D5087="?OLD","!!!","")</f>
        <v/>
      </c>
      <c r="F5087" s="23" t="str">
        <f>IF(OR(E5087="",E5087="!!!"),"",IF(NOT(ISNA(VLOOKUP(E5087,E$1:E5086,1,FALSE()))),"OLD",IF(AND(E5087&lt;&gt;"",E5087&lt;&gt;"!!!"),"NEW","")))</f>
        <v> </v>
      </c>
      <c r="G5087" s="24" t="str">
        <f>IF(OR(E5087="",E5087="!!!"),"",IF(OR(J5087=0,AND(J5087=1,K5087=1),AND(J5087=1,I5087="SBJ"),AND(J5087=1,I5087=0)),"?IN_FOCUS",IF(J5087&lt;=2,"?ACTIVATED",IF(J5087&lt;&gt;"","?FAMILIAR",IF(F5087="NEW",IF(ISNA(VLOOKUP(E5087,#REF!,1,FALSE())),"?TYPE_IDENTIFIABLE","?REFERENTIAL"),"_")))))</f>
        <v> </v>
      </c>
      <c r="H5087" s="25" t="str">
        <f>IF(J5087&lt;&gt;1,"",IF(I5087="SBJ","CB","?"))</f>
        <v> </v>
      </c>
      <c r="I5087" s="26" t="str">
        <f>IF(OR(E5087="",E5087="!!!",F5087="NEW"),"",INDEX(B5086:B$2,-1+SUMPRODUCT(MAX(ROW(E5086:E$2)*(E5087=E5086:E$2)))))</f>
        <v> </v>
      </c>
      <c r="J5087" s="26" t="str">
        <f>IF(OR(E5087="",E5087="!!!",F5087="NEW"),"",COUNTBLANK(OFFSET(A$1,,,SUMPRODUCT(MAX(ROW(E$2:E5087)*(E5087=E$2:E5087)))))-COUNTBLANK(OFFSET(A$1,,,SUMPRODUCT(MAX(ROW(E$1:E5086)*(E2=E$1:E5086))))))</f>
        <v> </v>
      </c>
      <c r="K5087" s="26" t="str">
        <f>IF(OR(E5087="",E5087="!!!",F5087="NEW"),"",INDEX(J$1:J5086,SUMPRODUCT(MAX(ROW(E$1:E5086)*(E5087=E$1:E5086)))))</f>
        <v> </v>
      </c>
      <c r="L5087" s="27"/>
    </row>
    <row r="5088" spans="1:12">
      <c r="A5088" s="20" t="s">
        <v>1265</v>
      </c>
      <c r="E5088" s="22">
        <f>IF(D5088="?OLD","!!!","")</f>
        <v/>
      </c>
      <c r="F5088" s="23" t="str">
        <f>IF(OR(E5088="",E5088="!!!"),"",IF(NOT(ISNA(VLOOKUP(E5088,E$1:E5087,1,FALSE()))),"OLD",IF(AND(E5088&lt;&gt;"",E5088&lt;&gt;"!!!"),"NEW","")))</f>
        <v> </v>
      </c>
      <c r="G5088" s="24" t="str">
        <f>IF(OR(E5088="",E5088="!!!"),"",IF(OR(J5088=0,AND(J5088=1,K5088=1),AND(J5088=1,I5088="SBJ"),AND(J5088=1,I5088=0)),"?IN_FOCUS",IF(J5088&lt;=2,"?ACTIVATED",IF(J5088&lt;&gt;"","?FAMILIAR",IF(F5088="NEW",IF(ISNA(VLOOKUP(E5088,#REF!,1,FALSE())),"?TYPE_IDENTIFIABLE","?REFERENTIAL"),"_")))))</f>
        <v> </v>
      </c>
      <c r="H5088" s="25" t="str">
        <f>IF(J5088&lt;&gt;1,"",IF(I5088="SBJ","CB","?"))</f>
        <v> </v>
      </c>
      <c r="I5088" s="26" t="str">
        <f>IF(OR(E5088="",E5088="!!!",F5088="NEW"),"",INDEX(B5087:B$2,-1+SUMPRODUCT(MAX(ROW(E5087:E$2)*(E5088=E5087:E$2)))))</f>
        <v> </v>
      </c>
      <c r="J5088" s="26" t="str">
        <f>IF(OR(E5088="",E5088="!!!",F5088="NEW"),"",COUNTBLANK(OFFSET(A$1,,,SUMPRODUCT(MAX(ROW(E$2:E5088)*(E5088=E$2:E5088)))))-COUNTBLANK(OFFSET(A$1,,,SUMPRODUCT(MAX(ROW(E$1:E5087)*(E2=E$1:E5087))))))</f>
        <v> </v>
      </c>
      <c r="K5088" s="26" t="str">
        <f>IF(OR(E5088="",E5088="!!!",F5088="NEW"),"",INDEX(J$1:J5087,SUMPRODUCT(MAX(ROW(E$1:E5087)*(E5088=E$1:E5087)))))</f>
        <v> </v>
      </c>
      <c r="L5088" s="27"/>
    </row>
    <row r="5089" spans="1:12">
      <c r="A5089" s="20" t="s">
        <v>2639</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1295</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2640</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t="s">
        <v>1190</v>
      </c>
      <c r="B5092" s="21" t="s">
        <v>1237</v>
      </c>
      <c r="C5092" s="21" t="s">
        <v>1223</v>
      </c>
      <c r="E5092" s="22">
        <f>IF(D5092="?OLD","!!!","")</f>
        <v/>
      </c>
      <c r="F5092" s="23" t="str">
        <f>IF(OR(E5092="",E5092="!!!"),"",IF(NOT(ISNA(VLOOKUP(E5092,E$1:E5091,1,FALSE()))),"OLD",IF(AND(E5092&lt;&gt;"",E5092&lt;&gt;"!!!"),"NEW","")))</f>
        <v> </v>
      </c>
      <c r="G5092" s="24" t="str">
        <f>IF(OR(E5092="",E5092="!!!"),"",IF(OR(J5092=0,AND(J5092=1,K5092=1),AND(J5092=1,I5092="SBJ"),AND(J5092=1,I5092=0)),"?IN_FOCUS",IF(J5092&lt;=2,"?ACTIVATED",IF(J5092&lt;&gt;"","?FAMILIAR",IF(F5092="NEW",IF(ISNA(VLOOKUP(E5092,#REF!,1,FALSE())),"?TYPE_IDENTIFIABLE","?REFERENTIAL"),"_")))))</f>
        <v> </v>
      </c>
      <c r="H5092" s="25" t="str">
        <f>IF(J5092&lt;&gt;1,"",IF(I5092="SBJ","CB","?"))</f>
        <v> </v>
      </c>
      <c r="I5092" s="26" t="str">
        <f>IF(OR(E5092="",E5092="!!!",F5092="NEW"),"",INDEX(B5091:B$2,-1+SUMPRODUCT(MAX(ROW(E5091:E$2)*(E5092=E5091:E$2)))))</f>
        <v> </v>
      </c>
      <c r="J5092" s="26" t="str">
        <f>IF(OR(E5092="",E5092="!!!",F5092="NEW"),"",COUNTBLANK(OFFSET(A$1,,,SUMPRODUCT(MAX(ROW(E$2:E5092)*(E5092=E$2:E5092)))))-COUNTBLANK(OFFSET(A$1,,,SUMPRODUCT(MAX(ROW(E$1:E5091)*(E2=E$1:E5091))))))</f>
        <v> </v>
      </c>
      <c r="K5092" s="26" t="str">
        <f>IF(OR(E5092="",E5092="!!!",F5092="NEW"),"",INDEX(J$1:J5091,SUMPRODUCT(MAX(ROW(E$1:E5091)*(E5092=E$1:E5091)))))</f>
        <v> </v>
      </c>
      <c r="L5092" s="27"/>
    </row>
    <row r="5093" spans="1:12">
      <c r="A5093" s="20" t="s">
        <v>1358</v>
      </c>
      <c r="E5093" s="22">
        <f>IF(D5093="?OLD","!!!","")</f>
        <v/>
      </c>
      <c r="F5093" s="23" t="str">
        <f>IF(OR(E5093="",E5093="!!!"),"",IF(NOT(ISNA(VLOOKUP(E5093,E$1:E5092,1,FALSE()))),"OLD",IF(AND(E5093&lt;&gt;"",E5093&lt;&gt;"!!!"),"NEW","")))</f>
        <v> </v>
      </c>
      <c r="G5093" s="24" t="str">
        <f>IF(OR(E5093="",E5093="!!!"),"",IF(OR(J5093=0,AND(J5093=1,K5093=1),AND(J5093=1,I5093="SBJ"),AND(J5093=1,I5093=0)),"?IN_FOCUS",IF(J5093&lt;=2,"?ACTIVATED",IF(J5093&lt;&gt;"","?FAMILIAR",IF(F5093="NEW",IF(ISNA(VLOOKUP(E5093,#REF!,1,FALSE())),"?TYPE_IDENTIFIABLE","?REFERENTIAL"),"_")))))</f>
        <v> </v>
      </c>
      <c r="H5093" s="25" t="str">
        <f>IF(J5093&lt;&gt;1,"",IF(I5093="SBJ","CB","?"))</f>
        <v> </v>
      </c>
      <c r="I5093" s="26" t="str">
        <f>IF(OR(E5093="",E5093="!!!",F5093="NEW"),"",INDEX(B5092:B$2,-1+SUMPRODUCT(MAX(ROW(E5092:E$2)*(E5093=E5092:E$2)))))</f>
        <v> </v>
      </c>
      <c r="J5093" s="26" t="str">
        <f>IF(OR(E5093="",E5093="!!!",F5093="NEW"),"",COUNTBLANK(OFFSET(A$1,,,SUMPRODUCT(MAX(ROW(E$2:E5093)*(E5093=E$2:E5093)))))-COUNTBLANK(OFFSET(A$1,,,SUMPRODUCT(MAX(ROW(E$1:E5092)*(E2=E$1:E5092))))))</f>
        <v> </v>
      </c>
      <c r="K5093" s="26" t="str">
        <f>IF(OR(E5093="",E5093="!!!",F5093="NEW"),"",INDEX(J$1:J5092,SUMPRODUCT(MAX(ROW(E$1:E5092)*(E5093=E$1:E5092)))))</f>
        <v> </v>
      </c>
      <c r="L5093" s="27"/>
    </row>
    <row r="5094" spans="1:12">
      <c r="A5094" s="20" t="s">
        <v>1295</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2641</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163</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t="s">
        <v>818</v>
      </c>
      <c r="E5097" s="22">
        <f>IF(D5097="?OLD","!!!","")</f>
        <v/>
      </c>
      <c r="F5097" s="23" t="str">
        <f>IF(OR(E5097="",E5097="!!!"),"",IF(NOT(ISNA(VLOOKUP(E5097,E$1:E5096,1,FALSE()))),"OLD",IF(AND(E5097&lt;&gt;"",E5097&lt;&gt;"!!!"),"NEW","")))</f>
        <v> </v>
      </c>
      <c r="G5097" s="24" t="str">
        <f>IF(OR(E5097="",E5097="!!!"),"",IF(OR(J5097=0,AND(J5097=1,K5097=1),AND(J5097=1,I5097="SBJ"),AND(J5097=1,I5097=0)),"?IN_FOCUS",IF(J5097&lt;=2,"?ACTIVATED",IF(J5097&lt;&gt;"","?FAMILIAR",IF(F5097="NEW",IF(ISNA(VLOOKUP(E5097,#REF!,1,FALSE())),"?TYPE_IDENTIFIABLE","?REFERENTIAL"),"_")))))</f>
        <v> </v>
      </c>
      <c r="H5097" s="25" t="str">
        <f>IF(J5097&lt;&gt;1,"",IF(I5097="SBJ","CB","?"))</f>
        <v> </v>
      </c>
      <c r="I5097" s="26" t="str">
        <f>IF(OR(E5097="",E5097="!!!",F5097="NEW"),"",INDEX(B5096:B$2,-1+SUMPRODUCT(MAX(ROW(E5096:E$2)*(E5097=E5096:E$2)))))</f>
        <v> </v>
      </c>
      <c r="J5097" s="26" t="str">
        <f>IF(OR(E5097="",E5097="!!!",F5097="NEW"),"",COUNTBLANK(OFFSET(A$1,,,SUMPRODUCT(MAX(ROW(E$2:E5097)*(E5097=E$2:E5097)))))-COUNTBLANK(OFFSET(A$1,,,SUMPRODUCT(MAX(ROW(E$1:E5096)*(E2=E$1:E5096))))))</f>
        <v> </v>
      </c>
      <c r="K5097" s="26" t="str">
        <f>IF(OR(E5097="",E5097="!!!",F5097="NEW"),"",INDEX(J$1:J5096,SUMPRODUCT(MAX(ROW(E$1:E5096)*(E5097=E$1:E5096)))))</f>
        <v> </v>
      </c>
      <c r="L5097" s="27"/>
    </row>
    <row r="5098" spans="1:12">
      <c r="A5098" s="20"/>
    </row>
    <row r="5099" spans="1:12">
      <c r="A5099" s="20" t="s">
        <v>2642</v>
      </c>
    </row>
    <row r="5100" spans="1:12">
      <c r="A5100" s="20" t="s">
        <v>1256</v>
      </c>
      <c r="B5100" s="21" t="s">
        <v>1194</v>
      </c>
      <c r="C5100" s="21" t="s">
        <v>1195</v>
      </c>
      <c r="D5100" s="21" t="s">
        <v>1180</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2638</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1219</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1508</v>
      </c>
      <c r="B5103" s="21" t="s">
        <v>1178</v>
      </c>
      <c r="C5103" s="21" t="s">
        <v>1238</v>
      </c>
      <c r="D5103" s="21" t="s">
        <v>1180</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1185</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1353</v>
      </c>
      <c r="B5105" s="21" t="s">
        <v>1207</v>
      </c>
      <c r="C5105" s="21" t="s">
        <v>1208</v>
      </c>
      <c r="D5105" s="21" t="s">
        <v>1180</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906</v>
      </c>
      <c r="B5106" s="21" t="s">
        <v>1237</v>
      </c>
      <c r="C5106" s="21" t="s">
        <v>1210</v>
      </c>
      <c r="D5106" s="21" t="s">
        <v>1180</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1330</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1006</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t="s">
        <v>1185</v>
      </c>
      <c r="E5109" s="22">
        <f>IF(D5109="?OLD","!!!","")</f>
        <v/>
      </c>
      <c r="F5109" s="23" t="str">
        <f>IF(OR(E5109="",E5109="!!!"),"",IF(NOT(ISNA(VLOOKUP(E5109,E$1:E5108,1,FALSE()))),"OLD",IF(AND(E5109&lt;&gt;"",E5109&lt;&gt;"!!!"),"NEW","")))</f>
        <v> </v>
      </c>
      <c r="G5109" s="24" t="str">
        <f>IF(OR(E5109="",E5109="!!!"),"",IF(OR(J5109=0,AND(J5109=1,K5109=1),AND(J5109=1,I5109="SBJ"),AND(J5109=1,I5109=0)),"?IN_FOCUS",IF(J5109&lt;=2,"?ACTIVATED",IF(J5109&lt;&gt;"","?FAMILIAR",IF(F5109="NEW",IF(ISNA(VLOOKUP(E5109,#REF!,1,FALSE())),"?TYPE_IDENTIFIABLE","?REFERENTIAL"),"_")))))</f>
        <v> </v>
      </c>
      <c r="H5109" s="25" t="str">
        <f>IF(J5109&lt;&gt;1,"",IF(I5109="SBJ","CB","?"))</f>
        <v> </v>
      </c>
      <c r="I5109" s="26" t="str">
        <f>IF(OR(E5109="",E5109="!!!",F5109="NEW"),"",INDEX(B5108:B$2,-1+SUMPRODUCT(MAX(ROW(E5108:E$2)*(E5109=E5108:E$2)))))</f>
        <v> </v>
      </c>
      <c r="J5109" s="26" t="str">
        <f>IF(OR(E5109="",E5109="!!!",F5109="NEW"),"",COUNTBLANK(OFFSET(A$1,,,SUMPRODUCT(MAX(ROW(E$2:E5109)*(E5109=E$2:E5109)))))-COUNTBLANK(OFFSET(A$1,,,SUMPRODUCT(MAX(ROW(E$1:E5108)*(E2=E$1:E5108))))))</f>
        <v> </v>
      </c>
      <c r="K5109" s="26" t="str">
        <f>IF(OR(E5109="",E5109="!!!",F5109="NEW"),"",INDEX(J$1:J5108,SUMPRODUCT(MAX(ROW(E$1:E5108)*(E5109=E$1:E5108)))))</f>
        <v> </v>
      </c>
      <c r="L5109" s="27"/>
    </row>
    <row r="5110" spans="1:12">
      <c r="A5110" s="20" t="s">
        <v>1300</v>
      </c>
      <c r="E5110" s="22">
        <f>IF(D5110="?OLD","!!!","")</f>
        <v/>
      </c>
      <c r="F5110" s="23" t="str">
        <f>IF(OR(E5110="",E5110="!!!"),"",IF(NOT(ISNA(VLOOKUP(E5110,E$1:E5109,1,FALSE()))),"OLD",IF(AND(E5110&lt;&gt;"",E5110&lt;&gt;"!!!"),"NEW","")))</f>
        <v> </v>
      </c>
      <c r="G5110" s="24" t="str">
        <f>IF(OR(E5110="",E5110="!!!"),"",IF(OR(J5110=0,AND(J5110=1,K5110=1),AND(J5110=1,I5110="SBJ"),AND(J5110=1,I5110=0)),"?IN_FOCUS",IF(J5110&lt;=2,"?ACTIVATED",IF(J5110&lt;&gt;"","?FAMILIAR",IF(F5110="NEW",IF(ISNA(VLOOKUP(E5110,#REF!,1,FALSE())),"?TYPE_IDENTIFIABLE","?REFERENTIAL"),"_")))))</f>
        <v> </v>
      </c>
      <c r="H5110" s="25" t="str">
        <f>IF(J5110&lt;&gt;1,"",IF(I5110="SBJ","CB","?"))</f>
        <v> </v>
      </c>
      <c r="I5110" s="26" t="str">
        <f>IF(OR(E5110="",E5110="!!!",F5110="NEW"),"",INDEX(B5109:B$2,-1+SUMPRODUCT(MAX(ROW(E5109:E$2)*(E5110=E5109:E$2)))))</f>
        <v> </v>
      </c>
      <c r="J5110" s="26" t="str">
        <f>IF(OR(E5110="",E5110="!!!",F5110="NEW"),"",COUNTBLANK(OFFSET(A$1,,,SUMPRODUCT(MAX(ROW(E$2:E5110)*(E5110=E$2:E5110)))))-COUNTBLANK(OFFSET(A$1,,,SUMPRODUCT(MAX(ROW(E$1:E5109)*(E2=E$1:E5109))))))</f>
        <v> </v>
      </c>
      <c r="K5110" s="26" t="str">
        <f>IF(OR(E5110="",E5110="!!!",F5110="NEW"),"",INDEX(J$1:J5109,SUMPRODUCT(MAX(ROW(E$1:E5109)*(E5110=E$1:E5109)))))</f>
        <v> </v>
      </c>
      <c r="L5110" s="27"/>
    </row>
    <row r="5111" spans="1:12">
      <c r="A5111" s="20" t="s">
        <v>1186</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1880</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2617</v>
      </c>
      <c r="B5113" s="21" t="s">
        <v>1304</v>
      </c>
      <c r="C5113" s="21" t="s">
        <v>1188</v>
      </c>
      <c r="D5113" s="21" t="s">
        <v>1180</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t="s">
        <v>1224</v>
      </c>
      <c r="E5114" s="22">
        <f>IF(D5114="?OLD","!!!","")</f>
        <v/>
      </c>
      <c r="F5114" s="23" t="str">
        <f>IF(OR(E5114="",E5114="!!!"),"",IF(NOT(ISNA(VLOOKUP(E5114,E$1:E5113,1,FALSE()))),"OLD",IF(AND(E5114&lt;&gt;"",E5114&lt;&gt;"!!!"),"NEW","")))</f>
        <v> </v>
      </c>
      <c r="G5114" s="24" t="str">
        <f>IF(OR(E5114="",E5114="!!!"),"",IF(OR(J5114=0,AND(J5114=1,K5114=1),AND(J5114=1,I5114="SBJ"),AND(J5114=1,I5114=0)),"?IN_FOCUS",IF(J5114&lt;=2,"?ACTIVATED",IF(J5114&lt;&gt;"","?FAMILIAR",IF(F5114="NEW",IF(ISNA(VLOOKUP(E5114,#REF!,1,FALSE())),"?TYPE_IDENTIFIABLE","?REFERENTIAL"),"_")))))</f>
        <v> </v>
      </c>
      <c r="H5114" s="25" t="str">
        <f>IF(J5114&lt;&gt;1,"",IF(I5114="SBJ","CB","?"))</f>
        <v> </v>
      </c>
      <c r="I5114" s="26" t="str">
        <f>IF(OR(E5114="",E5114="!!!",F5114="NEW"),"",INDEX(B5113:B$2,-1+SUMPRODUCT(MAX(ROW(E5113:E$2)*(E5114=E5113:E$2)))))</f>
        <v> </v>
      </c>
      <c r="J5114" s="26" t="str">
        <f>IF(OR(E5114="",E5114="!!!",F5114="NEW"),"",COUNTBLANK(OFFSET(A$1,,,SUMPRODUCT(MAX(ROW(E$2:E5114)*(E5114=E$2:E5114)))))-COUNTBLANK(OFFSET(A$1,,,SUMPRODUCT(MAX(ROW(E$1:E5113)*(E2=E$1:E5113))))))</f>
        <v> </v>
      </c>
      <c r="K5114" s="26" t="str">
        <f>IF(OR(E5114="",E5114="!!!",F5114="NEW"),"",INDEX(J$1:J5113,SUMPRODUCT(MAX(ROW(E$1:E5113)*(E5114=E$1:E5113)))))</f>
        <v> </v>
      </c>
      <c r="L5114" s="27"/>
    </row>
    <row r="5115" spans="1:12">
      <c r="A5115" s="20" t="s">
        <v>1402</v>
      </c>
      <c r="E5115" s="22">
        <f>IF(D5115="?OLD","!!!","")</f>
        <v/>
      </c>
      <c r="F5115" s="23" t="str">
        <f>IF(OR(E5115="",E5115="!!!"),"",IF(NOT(ISNA(VLOOKUP(E5115,E$1:E5114,1,FALSE()))),"OLD",IF(AND(E5115&lt;&gt;"",E5115&lt;&gt;"!!!"),"NEW","")))</f>
        <v> </v>
      </c>
      <c r="G5115" s="24" t="str">
        <f>IF(OR(E5115="",E5115="!!!"),"",IF(OR(J5115=0,AND(J5115=1,K5115=1),AND(J5115=1,I5115="SBJ"),AND(J5115=1,I5115=0)),"?IN_FOCUS",IF(J5115&lt;=2,"?ACTIVATED",IF(J5115&lt;&gt;"","?FAMILIAR",IF(F5115="NEW",IF(ISNA(VLOOKUP(E5115,#REF!,1,FALSE())),"?TYPE_IDENTIFIABLE","?REFERENTIAL"),"_")))))</f>
        <v> </v>
      </c>
      <c r="H5115" s="25" t="str">
        <f>IF(J5115&lt;&gt;1,"",IF(I5115="SBJ","CB","?"))</f>
        <v> </v>
      </c>
      <c r="I5115" s="26" t="str">
        <f>IF(OR(E5115="",E5115="!!!",F5115="NEW"),"",INDEX(B5114:B$2,-1+SUMPRODUCT(MAX(ROW(E5114:E$2)*(E5115=E5114:E$2)))))</f>
        <v> </v>
      </c>
      <c r="J5115" s="26" t="str">
        <f>IF(OR(E5115="",E5115="!!!",F5115="NEW"),"",COUNTBLANK(OFFSET(A$1,,,SUMPRODUCT(MAX(ROW(E$2:E5115)*(E5115=E$2:E5115)))))-COUNTBLANK(OFFSET(A$1,,,SUMPRODUCT(MAX(ROW(E$1:E5114)*(E2=E$1:E5114))))))</f>
        <v> </v>
      </c>
      <c r="K5115" s="26" t="str">
        <f>IF(OR(E5115="",E5115="!!!",F5115="NEW"),"",INDEX(J$1:J5114,SUMPRODUCT(MAX(ROW(E$1:E5114)*(E5115=E$1:E5114)))))</f>
        <v> </v>
      </c>
      <c r="L5115" s="27"/>
    </row>
    <row r="5116" spans="1:12">
      <c r="A5116" s="20" t="s">
        <v>2643</v>
      </c>
      <c r="B5116" s="21" t="s">
        <v>1207</v>
      </c>
      <c r="C5116" s="21" t="s">
        <v>1232</v>
      </c>
      <c r="E5116" s="22">
        <f>IF(D5116="?OLD","!!!","")</f>
        <v/>
      </c>
      <c r="F5116" s="23" t="str">
        <f>IF(OR(E5116="",E5116="!!!"),"",IF(NOT(ISNA(VLOOKUP(E5116,E$1:E5115,1,FALSE()))),"OLD",IF(AND(E5116&lt;&gt;"",E5116&lt;&gt;"!!!"),"NEW","")))</f>
        <v> </v>
      </c>
      <c r="G5116" s="24" t="str">
        <f>IF(OR(E5116="",E5116="!!!"),"",IF(OR(J5116=0,AND(J5116=1,K5116=1),AND(J5116=1,I5116="SBJ"),AND(J5116=1,I5116=0)),"?IN_FOCUS",IF(J5116&lt;=2,"?ACTIVATED",IF(J5116&lt;&gt;"","?FAMILIAR",IF(F5116="NEW",IF(ISNA(VLOOKUP(E5116,#REF!,1,FALSE())),"?TYPE_IDENTIFIABLE","?REFERENTIAL"),"_")))))</f>
        <v> </v>
      </c>
      <c r="H5116" s="25" t="str">
        <f>IF(J5116&lt;&gt;1,"",IF(I5116="SBJ","CB","?"))</f>
        <v> </v>
      </c>
      <c r="I5116" s="26" t="str">
        <f>IF(OR(E5116="",E5116="!!!",F5116="NEW"),"",INDEX(B5115:B$2,-1+SUMPRODUCT(MAX(ROW(E5115:E$2)*(E5116=E5115:E$2)))))</f>
        <v> </v>
      </c>
      <c r="J5116" s="26" t="str">
        <f>IF(OR(E5116="",E5116="!!!",F5116="NEW"),"",COUNTBLANK(OFFSET(A$1,,,SUMPRODUCT(MAX(ROW(E$2:E5116)*(E5116=E$2:E5116)))))-COUNTBLANK(OFFSET(A$1,,,SUMPRODUCT(MAX(ROW(E$1:E5115)*(E2=E$1:E5115))))))</f>
        <v> </v>
      </c>
      <c r="K5116" s="26" t="str">
        <f>IF(OR(E5116="",E5116="!!!",F5116="NEW"),"",INDEX(J$1:J5115,SUMPRODUCT(MAX(ROW(E$1:E5115)*(E5116=E$1:E5115)))))</f>
        <v> </v>
      </c>
      <c r="L5116" s="27"/>
    </row>
    <row r="5117" spans="1:12">
      <c r="A5117" s="20" t="s">
        <v>1946</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t="s">
        <v>818</v>
      </c>
      <c r="E5118" s="22">
        <f>IF(D5118="?OLD","!!!","")</f>
        <v/>
      </c>
      <c r="F5118" s="23" t="str">
        <f>IF(OR(E5118="",E5118="!!!"),"",IF(NOT(ISNA(VLOOKUP(E5118,E$1:E5117,1,FALSE()))),"OLD",IF(AND(E5118&lt;&gt;"",E5118&lt;&gt;"!!!"),"NEW","")))</f>
        <v> </v>
      </c>
      <c r="G5118" s="24" t="str">
        <f>IF(OR(E5118="",E5118="!!!"),"",IF(OR(J5118=0,AND(J5118=1,K5118=1),AND(J5118=1,I5118="SBJ"),AND(J5118=1,I5118=0)),"?IN_FOCUS",IF(J5118&lt;=2,"?ACTIVATED",IF(J5118&lt;&gt;"","?FAMILIAR",IF(F5118="NEW",IF(ISNA(VLOOKUP(E5118,#REF!,1,FALSE())),"?TYPE_IDENTIFIABLE","?REFERENTIAL"),"_")))))</f>
        <v> </v>
      </c>
      <c r="H5118" s="25" t="str">
        <f>IF(J5118&lt;&gt;1,"",IF(I5118="SBJ","CB","?"))</f>
        <v> </v>
      </c>
      <c r="I5118" s="26" t="str">
        <f>IF(OR(E5118="",E5118="!!!",F5118="NEW"),"",INDEX(B5117:B$2,-1+SUMPRODUCT(MAX(ROW(E5117:E$2)*(E5118=E5117:E$2)))))</f>
        <v> </v>
      </c>
      <c r="J5118" s="26" t="str">
        <f>IF(OR(E5118="",E5118="!!!",F5118="NEW"),"",COUNTBLANK(OFFSET(A$1,,,SUMPRODUCT(MAX(ROW(E$2:E5118)*(E5118=E$2:E5118)))))-COUNTBLANK(OFFSET(A$1,,,SUMPRODUCT(MAX(ROW(E$1:E5117)*(E2=E$1:E5117))))))</f>
        <v> </v>
      </c>
      <c r="K5118" s="26" t="str">
        <f>IF(OR(E5118="",E5118="!!!",F5118="NEW"),"",INDEX(J$1:J5117,SUMPRODUCT(MAX(ROW(E$1:E5117)*(E5118=E$1:E5117)))))</f>
        <v> </v>
      </c>
      <c r="L5118" s="27"/>
    </row>
    <row r="5119" spans="1:12">
      <c r="A5119" s="20"/>
    </row>
    <row r="5120" spans="1:12">
      <c r="A5120" s="20" t="s">
        <v>2644</v>
      </c>
    </row>
    <row r="5121" spans="1:12">
      <c r="A5121" s="20" t="s">
        <v>1326</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427</v>
      </c>
      <c r="B5122" s="21" t="s">
        <v>1240</v>
      </c>
      <c r="C5122" s="21" t="s">
        <v>1238</v>
      </c>
      <c r="D5122" s="21" t="s">
        <v>1180</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t="s">
        <v>1186</v>
      </c>
      <c r="E5123" s="22">
        <f>IF(D5123="?OLD","!!!","")</f>
        <v/>
      </c>
      <c r="F5123" s="23" t="str">
        <f>IF(OR(E5123="",E5123="!!!"),"",IF(NOT(ISNA(VLOOKUP(E5123,E$1:E5122,1,FALSE()))),"OLD",IF(AND(E5123&lt;&gt;"",E5123&lt;&gt;"!!!"),"NEW","")))</f>
        <v> </v>
      </c>
      <c r="G5123" s="24" t="str">
        <f>IF(OR(E5123="",E5123="!!!"),"",IF(OR(J5123=0,AND(J5123=1,K5123=1),AND(J5123=1,I5123="SBJ"),AND(J5123=1,I5123=0)),"?IN_FOCUS",IF(J5123&lt;=2,"?ACTIVATED",IF(J5123&lt;&gt;"","?FAMILIAR",IF(F5123="NEW",IF(ISNA(VLOOKUP(E5123,#REF!,1,FALSE())),"?TYPE_IDENTIFIABLE","?REFERENTIAL"),"_")))))</f>
        <v> </v>
      </c>
      <c r="H5123" s="25" t="str">
        <f>IF(J5123&lt;&gt;1,"",IF(I5123="SBJ","CB","?"))</f>
        <v> </v>
      </c>
      <c r="I5123" s="26" t="str">
        <f>IF(OR(E5123="",E5123="!!!",F5123="NEW"),"",INDEX(B5122:B$2,-1+SUMPRODUCT(MAX(ROW(E5122:E$2)*(E5123=E5122:E$2)))))</f>
        <v> </v>
      </c>
      <c r="J5123" s="26" t="str">
        <f>IF(OR(E5123="",E5123="!!!",F5123="NEW"),"",COUNTBLANK(OFFSET(A$1,,,SUMPRODUCT(MAX(ROW(E$2:E5123)*(E5123=E$2:E5123)))))-COUNTBLANK(OFFSET(A$1,,,SUMPRODUCT(MAX(ROW(E$1:E5122)*(E2=E$1:E5122))))))</f>
        <v> </v>
      </c>
      <c r="K5123" s="26" t="str">
        <f>IF(OR(E5123="",E5123="!!!",F5123="NEW"),"",INDEX(J$1:J5122,SUMPRODUCT(MAX(ROW(E$1:E5122)*(E5123=E$1:E5122)))))</f>
        <v> </v>
      </c>
      <c r="L5123" s="27"/>
    </row>
    <row r="5124" spans="1:12">
      <c r="A5124" s="20" t="s">
        <v>1428</v>
      </c>
      <c r="B5124" s="21" t="s">
        <v>1237</v>
      </c>
      <c r="C5124" s="21" t="s">
        <v>1188</v>
      </c>
      <c r="D5124" s="21" t="s">
        <v>1180</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1314</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2645</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1185</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t="s">
        <v>1310</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t="s">
        <v>427</v>
      </c>
      <c r="B5129" s="21" t="s">
        <v>1304</v>
      </c>
      <c r="C5129" s="21" t="s">
        <v>1238</v>
      </c>
      <c r="D5129" s="21" t="s">
        <v>1180</v>
      </c>
      <c r="E5129" s="22">
        <f>IF(D5129="?OLD","!!!","")</f>
        <v/>
      </c>
      <c r="F5129" s="23" t="str">
        <f>IF(OR(E5129="",E5129="!!!"),"",IF(NOT(ISNA(VLOOKUP(E5129,E$1:E5128,1,FALSE()))),"OLD",IF(AND(E5129&lt;&gt;"",E5129&lt;&gt;"!!!"),"NEW","")))</f>
        <v> </v>
      </c>
      <c r="G5129" s="24" t="str">
        <f>IF(OR(E5129="",E5129="!!!"),"",IF(OR(J5129=0,AND(J5129=1,K5129=1),AND(J5129=1,I5129="SBJ"),AND(J5129=1,I5129=0)),"?IN_FOCUS",IF(J5129&lt;=2,"?ACTIVATED",IF(J5129&lt;&gt;"","?FAMILIAR",IF(F5129="NEW",IF(ISNA(VLOOKUP(E5129,#REF!,1,FALSE())),"?TYPE_IDENTIFIABLE","?REFERENTIAL"),"_")))))</f>
        <v> </v>
      </c>
      <c r="H5129" s="25" t="str">
        <f>IF(J5129&lt;&gt;1,"",IF(I5129="SBJ","CB","?"))</f>
        <v> </v>
      </c>
      <c r="I5129" s="26" t="str">
        <f>IF(OR(E5129="",E5129="!!!",F5129="NEW"),"",INDEX(B5128:B$2,-1+SUMPRODUCT(MAX(ROW(E5128:E$2)*(E5129=E5128:E$2)))))</f>
        <v> </v>
      </c>
      <c r="J5129" s="26" t="str">
        <f>IF(OR(E5129="",E5129="!!!",F5129="NEW"),"",COUNTBLANK(OFFSET(A$1,,,SUMPRODUCT(MAX(ROW(E$2:E5129)*(E5129=E$2:E5129)))))-COUNTBLANK(OFFSET(A$1,,,SUMPRODUCT(MAX(ROW(E$1:E5128)*(E2=E$1:E5128))))))</f>
        <v> </v>
      </c>
      <c r="K5129" s="26" t="str">
        <f>IF(OR(E5129="",E5129="!!!",F5129="NEW"),"",INDEX(J$1:J5128,SUMPRODUCT(MAX(ROW(E$1:E5128)*(E5129=E$1:E5128)))))</f>
        <v> </v>
      </c>
      <c r="L5129" s="27"/>
    </row>
    <row r="5130" spans="1:12">
      <c r="A5130" s="20" t="s">
        <v>1314</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t="s">
        <v>1186</v>
      </c>
      <c r="E5131" s="22">
        <f>IF(D5131="?OLD","!!!","")</f>
        <v/>
      </c>
      <c r="F5131" s="23" t="str">
        <f>IF(OR(E5131="",E5131="!!!"),"",IF(NOT(ISNA(VLOOKUP(E5131,E$1:E5130,1,FALSE()))),"OLD",IF(AND(E5131&lt;&gt;"",E5131&lt;&gt;"!!!"),"NEW","")))</f>
        <v> </v>
      </c>
      <c r="G5131" s="24" t="str">
        <f>IF(OR(E5131="",E5131="!!!"),"",IF(OR(J5131=0,AND(J5131=1,K5131=1),AND(J5131=1,I5131="SBJ"),AND(J5131=1,I5131=0)),"?IN_FOCUS",IF(J5131&lt;=2,"?ACTIVATED",IF(J5131&lt;&gt;"","?FAMILIAR",IF(F5131="NEW",IF(ISNA(VLOOKUP(E5131,#REF!,1,FALSE())),"?TYPE_IDENTIFIABLE","?REFERENTIAL"),"_")))))</f>
        <v> </v>
      </c>
      <c r="H5131" s="25" t="str">
        <f>IF(J5131&lt;&gt;1,"",IF(I5131="SBJ","CB","?"))</f>
        <v> </v>
      </c>
      <c r="I5131" s="26" t="str">
        <f>IF(OR(E5131="",E5131="!!!",F5131="NEW"),"",INDEX(B5130:B$2,-1+SUMPRODUCT(MAX(ROW(E5130:E$2)*(E5131=E5130:E$2)))))</f>
        <v> </v>
      </c>
      <c r="J5131" s="26" t="str">
        <f>IF(OR(E5131="",E5131="!!!",F5131="NEW"),"",COUNTBLANK(OFFSET(A$1,,,SUMPRODUCT(MAX(ROW(E$2:E5131)*(E5131=E$2:E5131)))))-COUNTBLANK(OFFSET(A$1,,,SUMPRODUCT(MAX(ROW(E$1:E5130)*(E2=E$1:E5130))))))</f>
        <v> </v>
      </c>
      <c r="K5131" s="26" t="str">
        <f>IF(OR(E5131="",E5131="!!!",F5131="NEW"),"",INDEX(J$1:J5130,SUMPRODUCT(MAX(ROW(E$1:E5130)*(E5131=E$1:E5130)))))</f>
        <v> </v>
      </c>
      <c r="L5131" s="27"/>
    </row>
    <row r="5132" spans="1:12">
      <c r="A5132" s="20" t="s">
        <v>2646</v>
      </c>
      <c r="B5132" s="21" t="s">
        <v>1304</v>
      </c>
      <c r="C5132" s="21" t="s">
        <v>1188</v>
      </c>
      <c r="D5132" s="21" t="s">
        <v>1180</v>
      </c>
      <c r="E5132" s="22">
        <f>IF(D5132="?OLD","!!!","")</f>
        <v/>
      </c>
      <c r="F5132" s="23" t="str">
        <f>IF(OR(E5132="",E5132="!!!"),"",IF(NOT(ISNA(VLOOKUP(E5132,E$1:E5131,1,FALSE()))),"OLD",IF(AND(E5132&lt;&gt;"",E5132&lt;&gt;"!!!"),"NEW","")))</f>
        <v> </v>
      </c>
      <c r="G5132" s="24" t="str">
        <f>IF(OR(E5132="",E5132="!!!"),"",IF(OR(J5132=0,AND(J5132=1,K5132=1),AND(J5132=1,I5132="SBJ"),AND(J5132=1,I5132=0)),"?IN_FOCUS",IF(J5132&lt;=2,"?ACTIVATED",IF(J5132&lt;&gt;"","?FAMILIAR",IF(F5132="NEW",IF(ISNA(VLOOKUP(E5132,#REF!,1,FALSE())),"?TYPE_IDENTIFIABLE","?REFERENTIAL"),"_")))))</f>
        <v> </v>
      </c>
      <c r="H5132" s="25" t="str">
        <f>IF(J5132&lt;&gt;1,"",IF(I5132="SBJ","CB","?"))</f>
        <v> </v>
      </c>
      <c r="I5132" s="26" t="str">
        <f>IF(OR(E5132="",E5132="!!!",F5132="NEW"),"",INDEX(B5131:B$2,-1+SUMPRODUCT(MAX(ROW(E5131:E$2)*(E5132=E5131:E$2)))))</f>
        <v> </v>
      </c>
      <c r="J5132" s="26" t="str">
        <f>IF(OR(E5132="",E5132="!!!",F5132="NEW"),"",COUNTBLANK(OFFSET(A$1,,,SUMPRODUCT(MAX(ROW(E$2:E5132)*(E5132=E$2:E5132)))))-COUNTBLANK(OFFSET(A$1,,,SUMPRODUCT(MAX(ROW(E$1:E5131)*(E2=E$1:E5131))))))</f>
        <v> </v>
      </c>
      <c r="K5132" s="26" t="str">
        <f>IF(OR(E5132="",E5132="!!!",F5132="NEW"),"",INDEX(J$1:J5131,SUMPRODUCT(MAX(ROW(E$1:E5131)*(E5132=E$1:E5131)))))</f>
        <v> </v>
      </c>
      <c r="L5132" s="27"/>
    </row>
    <row r="5133" spans="1:12">
      <c r="A5133" s="20" t="s">
        <v>2647</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1185</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1513</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t="s">
        <v>1353</v>
      </c>
      <c r="B5136" s="21" t="s">
        <v>1291</v>
      </c>
      <c r="C5136" s="21" t="s">
        <v>1208</v>
      </c>
      <c r="D5136" s="21" t="s">
        <v>1180</v>
      </c>
      <c r="E5136" s="22">
        <f>IF(D5136="?OLD","!!!","")</f>
        <v/>
      </c>
      <c r="F5136" s="23" t="str">
        <f>IF(OR(E5136="",E5136="!!!"),"",IF(NOT(ISNA(VLOOKUP(E5136,E$1:E5135,1,FALSE()))),"OLD",IF(AND(E5136&lt;&gt;"",E5136&lt;&gt;"!!!"),"NEW","")))</f>
        <v> </v>
      </c>
      <c r="G5136" s="24" t="str">
        <f>IF(OR(E5136="",E5136="!!!"),"",IF(OR(J5136=0,AND(J5136=1,K5136=1),AND(J5136=1,I5136="SBJ"),AND(J5136=1,I5136=0)),"?IN_FOCUS",IF(J5136&lt;=2,"?ACTIVATED",IF(J5136&lt;&gt;"","?FAMILIAR",IF(F5136="NEW",IF(ISNA(VLOOKUP(E5136,#REF!,1,FALSE())),"?TYPE_IDENTIFIABLE","?REFERENTIAL"),"_")))))</f>
        <v> </v>
      </c>
      <c r="H5136" s="25" t="str">
        <f>IF(J5136&lt;&gt;1,"",IF(I5136="SBJ","CB","?"))</f>
        <v> </v>
      </c>
      <c r="I5136" s="26" t="str">
        <f>IF(OR(E5136="",E5136="!!!",F5136="NEW"),"",INDEX(B5135:B$2,-1+SUMPRODUCT(MAX(ROW(E5135:E$2)*(E5136=E5135:E$2)))))</f>
        <v> </v>
      </c>
      <c r="J5136" s="26" t="str">
        <f>IF(OR(E5136="",E5136="!!!",F5136="NEW"),"",COUNTBLANK(OFFSET(A$1,,,SUMPRODUCT(MAX(ROW(E$2:E5136)*(E5136=E$2:E5136)))))-COUNTBLANK(OFFSET(A$1,,,SUMPRODUCT(MAX(ROW(E$1:E5135)*(E2=E$1:E5135))))))</f>
        <v> </v>
      </c>
      <c r="K5136" s="26" t="str">
        <f>IF(OR(E5136="",E5136="!!!",F5136="NEW"),"",INDEX(J$1:J5135,SUMPRODUCT(MAX(ROW(E$1:E5135)*(E5136=E$1:E5135)))))</f>
        <v> </v>
      </c>
      <c r="L5136" s="27"/>
    </row>
    <row r="5137" spans="1:12">
      <c r="A5137" s="20" t="s">
        <v>2648</v>
      </c>
      <c r="B5137" s="21" t="s">
        <v>1340</v>
      </c>
      <c r="C5137" s="21" t="s">
        <v>1210</v>
      </c>
      <c r="D5137" s="21" t="s">
        <v>1180</v>
      </c>
      <c r="E5137" s="22">
        <f>IF(D5137="?OLD","!!!","")</f>
        <v/>
      </c>
      <c r="F5137" s="23" t="str">
        <f>IF(OR(E5137="",E5137="!!!"),"",IF(NOT(ISNA(VLOOKUP(E5137,E$1:E5136,1,FALSE()))),"OLD",IF(AND(E5137&lt;&gt;"",E5137&lt;&gt;"!!!"),"NEW","")))</f>
        <v> </v>
      </c>
      <c r="G5137" s="24" t="str">
        <f>IF(OR(E5137="",E5137="!!!"),"",IF(OR(J5137=0,AND(J5137=1,K5137=1),AND(J5137=1,I5137="SBJ"),AND(J5137=1,I5137=0)),"?IN_FOCUS",IF(J5137&lt;=2,"?ACTIVATED",IF(J5137&lt;&gt;"","?FAMILIAR",IF(F5137="NEW",IF(ISNA(VLOOKUP(E5137,#REF!,1,FALSE())),"?TYPE_IDENTIFIABLE","?REFERENTIAL"),"_")))))</f>
        <v> </v>
      </c>
      <c r="H5137" s="25" t="str">
        <f>IF(J5137&lt;&gt;1,"",IF(I5137="SBJ","CB","?"))</f>
        <v> </v>
      </c>
      <c r="I5137" s="26" t="str">
        <f>IF(OR(E5137="",E5137="!!!",F5137="NEW"),"",INDEX(B5136:B$2,-1+SUMPRODUCT(MAX(ROW(E5136:E$2)*(E5137=E5136:E$2)))))</f>
        <v> </v>
      </c>
      <c r="J5137" s="26" t="str">
        <f>IF(OR(E5137="",E5137="!!!",F5137="NEW"),"",COUNTBLANK(OFFSET(A$1,,,SUMPRODUCT(MAX(ROW(E$2:E5137)*(E5137=E$2:E5137)))))-COUNTBLANK(OFFSET(A$1,,,SUMPRODUCT(MAX(ROW(E$1:E5136)*(E2=E$1:E5136))))))</f>
        <v> </v>
      </c>
      <c r="K5137" s="26" t="str">
        <f>IF(OR(E5137="",E5137="!!!",F5137="NEW"),"",INDEX(J$1:J5136,SUMPRODUCT(MAX(ROW(E$1:E5136)*(E5137=E$1:E5136)))))</f>
        <v> </v>
      </c>
      <c r="L5137" s="27"/>
    </row>
    <row r="5138" spans="1:12">
      <c r="A5138" s="20" t="s">
        <v>1330</v>
      </c>
      <c r="E5138" s="22">
        <f>IF(D5138="?OLD","!!!","")</f>
        <v/>
      </c>
      <c r="F5138" s="23" t="str">
        <f>IF(OR(E5138="",E5138="!!!"),"",IF(NOT(ISNA(VLOOKUP(E5138,E$1:E5137,1,FALSE()))),"OLD",IF(AND(E5138&lt;&gt;"",E5138&lt;&gt;"!!!"),"NEW","")))</f>
        <v> </v>
      </c>
      <c r="G5138" s="24" t="str">
        <f>IF(OR(E5138="",E5138="!!!"),"",IF(OR(J5138=0,AND(J5138=1,K5138=1),AND(J5138=1,I5138="SBJ"),AND(J5138=1,I5138=0)),"?IN_FOCUS",IF(J5138&lt;=2,"?ACTIVATED",IF(J5138&lt;&gt;"","?FAMILIAR",IF(F5138="NEW",IF(ISNA(VLOOKUP(E5138,#REF!,1,FALSE())),"?TYPE_IDENTIFIABLE","?REFERENTIAL"),"_")))))</f>
        <v> </v>
      </c>
      <c r="H5138" s="25" t="str">
        <f>IF(J5138&lt;&gt;1,"",IF(I5138="SBJ","CB","?"))</f>
        <v> </v>
      </c>
      <c r="I5138" s="26" t="str">
        <f>IF(OR(E5138="",E5138="!!!",F5138="NEW"),"",INDEX(B5137:B$2,-1+SUMPRODUCT(MAX(ROW(E5137:E$2)*(E5138=E5137:E$2)))))</f>
        <v> </v>
      </c>
      <c r="J5138" s="26" t="str">
        <f>IF(OR(E5138="",E5138="!!!",F5138="NEW"),"",COUNTBLANK(OFFSET(A$1,,,SUMPRODUCT(MAX(ROW(E$2:E5138)*(E5138=E$2:E5138)))))-COUNTBLANK(OFFSET(A$1,,,SUMPRODUCT(MAX(ROW(E$1:E5137)*(E2=E$1:E5137))))))</f>
        <v> </v>
      </c>
      <c r="K5138" s="26" t="str">
        <f>IF(OR(E5138="",E5138="!!!",F5138="NEW"),"",INDEX(J$1:J5137,SUMPRODUCT(MAX(ROW(E$1:E5137)*(E5138=E$1:E5137)))))</f>
        <v> </v>
      </c>
      <c r="L5138" s="27"/>
    </row>
    <row r="5139" spans="1:12">
      <c r="A5139" s="20" t="s">
        <v>2555</v>
      </c>
      <c r="E5139" s="22">
        <f>IF(D5139="?OLD","!!!","")</f>
        <v/>
      </c>
      <c r="F5139" s="23" t="str">
        <f>IF(OR(E5139="",E5139="!!!"),"",IF(NOT(ISNA(VLOOKUP(E5139,E$1:E5138,1,FALSE()))),"OLD",IF(AND(E5139&lt;&gt;"",E5139&lt;&gt;"!!!"),"NEW","")))</f>
        <v> </v>
      </c>
      <c r="G5139" s="24" t="str">
        <f>IF(OR(E5139="",E5139="!!!"),"",IF(OR(J5139=0,AND(J5139=1,K5139=1),AND(J5139=1,I5139="SBJ"),AND(J5139=1,I5139=0)),"?IN_FOCUS",IF(J5139&lt;=2,"?ACTIVATED",IF(J5139&lt;&gt;"","?FAMILIAR",IF(F5139="NEW",IF(ISNA(VLOOKUP(E5139,#REF!,1,FALSE())),"?TYPE_IDENTIFIABLE","?REFERENTIAL"),"_")))))</f>
        <v> </v>
      </c>
      <c r="H5139" s="25" t="str">
        <f>IF(J5139&lt;&gt;1,"",IF(I5139="SBJ","CB","?"))</f>
        <v> </v>
      </c>
      <c r="I5139" s="26" t="str">
        <f>IF(OR(E5139="",E5139="!!!",F5139="NEW"),"",INDEX(B5138:B$2,-1+SUMPRODUCT(MAX(ROW(E5138:E$2)*(E5139=E5138:E$2)))))</f>
        <v> </v>
      </c>
      <c r="J5139" s="26" t="str">
        <f>IF(OR(E5139="",E5139="!!!",F5139="NEW"),"",COUNTBLANK(OFFSET(A$1,,,SUMPRODUCT(MAX(ROW(E$2:E5139)*(E5139=E$2:E5139)))))-COUNTBLANK(OFFSET(A$1,,,SUMPRODUCT(MAX(ROW(E$1:E5138)*(E2=E$1:E5138))))))</f>
        <v> </v>
      </c>
      <c r="K5139" s="26" t="str">
        <f>IF(OR(E5139="",E5139="!!!",F5139="NEW"),"",INDEX(J$1:J5138,SUMPRODUCT(MAX(ROW(E$1:E5138)*(E5139=E$1:E5138)))))</f>
        <v> </v>
      </c>
      <c r="L5139" s="27"/>
    </row>
    <row r="5140" spans="1:12">
      <c r="A5140" s="20" t="s">
        <v>11</v>
      </c>
      <c r="E5140" s="22">
        <f>IF(D5140="?OLD","!!!","")</f>
        <v/>
      </c>
      <c r="F5140" s="23" t="str">
        <f>IF(OR(E5140="",E5140="!!!"),"",IF(NOT(ISNA(VLOOKUP(E5140,E$1:E5139,1,FALSE()))),"OLD",IF(AND(E5140&lt;&gt;"",E5140&lt;&gt;"!!!"),"NEW","")))</f>
        <v> </v>
      </c>
      <c r="G5140" s="24" t="str">
        <f>IF(OR(E5140="",E5140="!!!"),"",IF(OR(J5140=0,AND(J5140=1,K5140=1),AND(J5140=1,I5140="SBJ"),AND(J5140=1,I5140=0)),"?IN_FOCUS",IF(J5140&lt;=2,"?ACTIVATED",IF(J5140&lt;&gt;"","?FAMILIAR",IF(F5140="NEW",IF(ISNA(VLOOKUP(E5140,#REF!,1,FALSE())),"?TYPE_IDENTIFIABLE","?REFERENTIAL"),"_")))))</f>
        <v> </v>
      </c>
      <c r="H5140" s="25" t="str">
        <f>IF(J5140&lt;&gt;1,"",IF(I5140="SBJ","CB","?"))</f>
        <v> </v>
      </c>
      <c r="I5140" s="26" t="str">
        <f>IF(OR(E5140="",E5140="!!!",F5140="NEW"),"",INDEX(B5139:B$2,-1+SUMPRODUCT(MAX(ROW(E5139:E$2)*(E5140=E5139:E$2)))))</f>
        <v> </v>
      </c>
      <c r="J5140" s="26" t="str">
        <f>IF(OR(E5140="",E5140="!!!",F5140="NEW"),"",COUNTBLANK(OFFSET(A$1,,,SUMPRODUCT(MAX(ROW(E$2:E5140)*(E5140=E$2:E5140)))))-COUNTBLANK(OFFSET(A$1,,,SUMPRODUCT(MAX(ROW(E$1:E5139)*(E2=E$1:E5139))))))</f>
        <v> </v>
      </c>
      <c r="K5140" s="26" t="str">
        <f>IF(OR(E5140="",E5140="!!!",F5140="NEW"),"",INDEX(J$1:J5139,SUMPRODUCT(MAX(ROW(E$1:E5139)*(E5140=E$1:E5139)))))</f>
        <v> </v>
      </c>
      <c r="L5140" s="27"/>
    </row>
    <row r="5141" spans="1:12">
      <c r="A5141" s="20" t="s">
        <v>427</v>
      </c>
      <c r="B5141" s="21" t="s">
        <v>1194</v>
      </c>
      <c r="C5141" s="21" t="s">
        <v>1238</v>
      </c>
      <c r="D5141" s="21" t="s">
        <v>1180</v>
      </c>
      <c r="E5141" s="22">
        <f>IF(D5141="?OLD","!!!","")</f>
        <v/>
      </c>
      <c r="F5141" s="23" t="str">
        <f>IF(OR(E5141="",E5141="!!!"),"",IF(NOT(ISNA(VLOOKUP(E5141,E$1:E5140,1,FALSE()))),"OLD",IF(AND(E5141&lt;&gt;"",E5141&lt;&gt;"!!!"),"NEW","")))</f>
        <v> </v>
      </c>
      <c r="G5141" s="24" t="str">
        <f>IF(OR(E5141="",E5141="!!!"),"",IF(OR(J5141=0,AND(J5141=1,K5141=1),AND(J5141=1,I5141="SBJ"),AND(J5141=1,I5141=0)),"?IN_FOCUS",IF(J5141&lt;=2,"?ACTIVATED",IF(J5141&lt;&gt;"","?FAMILIAR",IF(F5141="NEW",IF(ISNA(VLOOKUP(E5141,#REF!,1,FALSE())),"?TYPE_IDENTIFIABLE","?REFERENTIAL"),"_")))))</f>
        <v> </v>
      </c>
      <c r="H5141" s="25" t="str">
        <f>IF(J5141&lt;&gt;1,"",IF(I5141="SBJ","CB","?"))</f>
        <v> </v>
      </c>
      <c r="I5141" s="26" t="str">
        <f>IF(OR(E5141="",E5141="!!!",F5141="NEW"),"",INDEX(B5140:B$2,-1+SUMPRODUCT(MAX(ROW(E5140:E$2)*(E5141=E5140:E$2)))))</f>
        <v> </v>
      </c>
      <c r="J5141" s="26" t="str">
        <f>IF(OR(E5141="",E5141="!!!",F5141="NEW"),"",COUNTBLANK(OFFSET(A$1,,,SUMPRODUCT(MAX(ROW(E$2:E5141)*(E5141=E$2:E5141)))))-COUNTBLANK(OFFSET(A$1,,,SUMPRODUCT(MAX(ROW(E$1:E5140)*(E2=E$1:E5140))))))</f>
        <v> </v>
      </c>
      <c r="K5141" s="26" t="str">
        <f>IF(OR(E5141="",E5141="!!!",F5141="NEW"),"",INDEX(J$1:J5140,SUMPRODUCT(MAX(ROW(E$1:E5140)*(E5141=E$1:E5140)))))</f>
        <v> </v>
      </c>
      <c r="L5141" s="27"/>
    </row>
    <row r="5142" spans="1:12">
      <c r="A5142" s="20" t="s">
        <v>1437</v>
      </c>
      <c r="E5142" s="22">
        <f>IF(D5142="?OLD","!!!","")</f>
        <v/>
      </c>
      <c r="F5142" s="23" t="str">
        <f>IF(OR(E5142="",E5142="!!!"),"",IF(NOT(ISNA(VLOOKUP(E5142,E$1:E5141,1,FALSE()))),"OLD",IF(AND(E5142&lt;&gt;"",E5142&lt;&gt;"!!!"),"NEW","")))</f>
        <v> </v>
      </c>
      <c r="G5142" s="24" t="str">
        <f>IF(OR(E5142="",E5142="!!!"),"",IF(OR(J5142=0,AND(J5142=1,K5142=1),AND(J5142=1,I5142="SBJ"),AND(J5142=1,I5142=0)),"?IN_FOCUS",IF(J5142&lt;=2,"?ACTIVATED",IF(J5142&lt;&gt;"","?FAMILIAR",IF(F5142="NEW",IF(ISNA(VLOOKUP(E5142,#REF!,1,FALSE())),"?TYPE_IDENTIFIABLE","?REFERENTIAL"),"_")))))</f>
        <v> </v>
      </c>
      <c r="H5142" s="25" t="str">
        <f>IF(J5142&lt;&gt;1,"",IF(I5142="SBJ","CB","?"))</f>
        <v> </v>
      </c>
      <c r="I5142" s="26" t="str">
        <f>IF(OR(E5142="",E5142="!!!",F5142="NEW"),"",INDEX(B5141:B$2,-1+SUMPRODUCT(MAX(ROW(E5141:E$2)*(E5142=E5141:E$2)))))</f>
        <v> </v>
      </c>
      <c r="J5142" s="26" t="str">
        <f>IF(OR(E5142="",E5142="!!!",F5142="NEW"),"",COUNTBLANK(OFFSET(A$1,,,SUMPRODUCT(MAX(ROW(E$2:E5142)*(E5142=E$2:E5142)))))-COUNTBLANK(OFFSET(A$1,,,SUMPRODUCT(MAX(ROW(E$1:E5141)*(E2=E$1:E5141))))))</f>
        <v> </v>
      </c>
      <c r="K5142" s="26" t="str">
        <f>IF(OR(E5142="",E5142="!!!",F5142="NEW"),"",INDEX(J$1:J5141,SUMPRODUCT(MAX(ROW(E$1:E5141)*(E5142=E$1:E5141)))))</f>
        <v> </v>
      </c>
      <c r="L5142" s="27"/>
    </row>
    <row r="5143" spans="1:12">
      <c r="A5143" s="20" t="s">
        <v>1495</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t="s">
        <v>1190</v>
      </c>
      <c r="B5144" s="21" t="s">
        <v>1204</v>
      </c>
      <c r="C5144" s="21" t="s">
        <v>1188</v>
      </c>
      <c r="D5144" s="21" t="s">
        <v>1180</v>
      </c>
      <c r="E5144" s="22">
        <f>IF(D5144="?OLD","!!!","")</f>
        <v/>
      </c>
      <c r="F5144" s="23" t="str">
        <f>IF(OR(E5144="",E5144="!!!"),"",IF(NOT(ISNA(VLOOKUP(E5144,E$1:E5143,1,FALSE()))),"OLD",IF(AND(E5144&lt;&gt;"",E5144&lt;&gt;"!!!"),"NEW","")))</f>
        <v> </v>
      </c>
      <c r="G5144" s="24" t="str">
        <f>IF(OR(E5144="",E5144="!!!"),"",IF(OR(J5144=0,AND(J5144=1,K5144=1),AND(J5144=1,I5144="SBJ"),AND(J5144=1,I5144=0)),"?IN_FOCUS",IF(J5144&lt;=2,"?ACTIVATED",IF(J5144&lt;&gt;"","?FAMILIAR",IF(F5144="NEW",IF(ISNA(VLOOKUP(E5144,#REF!,1,FALSE())),"?TYPE_IDENTIFIABLE","?REFERENTIAL"),"_")))))</f>
        <v> </v>
      </c>
      <c r="H5144" s="25" t="str">
        <f>IF(J5144&lt;&gt;1,"",IF(I5144="SBJ","CB","?"))</f>
        <v> </v>
      </c>
      <c r="I5144" s="26" t="str">
        <f>IF(OR(E5144="",E5144="!!!",F5144="NEW"),"",INDEX(B5143:B$2,-1+SUMPRODUCT(MAX(ROW(E5143:E$2)*(E5144=E5143:E$2)))))</f>
        <v> </v>
      </c>
      <c r="J5144" s="26" t="str">
        <f>IF(OR(E5144="",E5144="!!!",F5144="NEW"),"",COUNTBLANK(OFFSET(A$1,,,SUMPRODUCT(MAX(ROW(E$2:E5144)*(E5144=E$2:E5144)))))-COUNTBLANK(OFFSET(A$1,,,SUMPRODUCT(MAX(ROW(E$1:E5143)*(E2=E$1:E5143))))))</f>
        <v> </v>
      </c>
      <c r="K5144" s="26" t="str">
        <f>IF(OR(E5144="",E5144="!!!",F5144="NEW"),"",INDEX(J$1:J5143,SUMPRODUCT(MAX(ROW(E$1:E5143)*(E5144=E$1:E5143)))))</f>
        <v> </v>
      </c>
      <c r="L5144" s="27"/>
    </row>
    <row r="5145" spans="1:12">
      <c r="A5145" s="20" t="s">
        <v>918</v>
      </c>
      <c r="E5145" s="22">
        <f>IF(D5145="?OLD","!!!","")</f>
        <v/>
      </c>
      <c r="F5145" s="23" t="str">
        <f>IF(OR(E5145="",E5145="!!!"),"",IF(NOT(ISNA(VLOOKUP(E5145,E$1:E5144,1,FALSE()))),"OLD",IF(AND(E5145&lt;&gt;"",E5145&lt;&gt;"!!!"),"NEW","")))</f>
        <v> </v>
      </c>
      <c r="G5145" s="24" t="str">
        <f>IF(OR(E5145="",E5145="!!!"),"",IF(OR(J5145=0,AND(J5145=1,K5145=1),AND(J5145=1,I5145="SBJ"),AND(J5145=1,I5145=0)),"?IN_FOCUS",IF(J5145&lt;=2,"?ACTIVATED",IF(J5145&lt;&gt;"","?FAMILIAR",IF(F5145="NEW",IF(ISNA(VLOOKUP(E5145,#REF!,1,FALSE())),"?TYPE_IDENTIFIABLE","?REFERENTIAL"),"_")))))</f>
        <v> </v>
      </c>
      <c r="H5145" s="25" t="str">
        <f>IF(J5145&lt;&gt;1,"",IF(I5145="SBJ","CB","?"))</f>
        <v> </v>
      </c>
      <c r="I5145" s="26" t="str">
        <f>IF(OR(E5145="",E5145="!!!",F5145="NEW"),"",INDEX(B5144:B$2,-1+SUMPRODUCT(MAX(ROW(E5144:E$2)*(E5145=E5144:E$2)))))</f>
        <v> </v>
      </c>
      <c r="J5145" s="26" t="str">
        <f>IF(OR(E5145="",E5145="!!!",F5145="NEW"),"",COUNTBLANK(OFFSET(A$1,,,SUMPRODUCT(MAX(ROW(E$2:E5145)*(E5145=E$2:E5145)))))-COUNTBLANK(OFFSET(A$1,,,SUMPRODUCT(MAX(ROW(E$1:E5144)*(E2=E$1:E5144))))))</f>
        <v> </v>
      </c>
      <c r="K5145" s="26" t="str">
        <f>IF(OR(E5145="",E5145="!!!",F5145="NEW"),"",INDEX(J$1:J5144,SUMPRODUCT(MAX(ROW(E$1:E5144)*(E5145=E$1:E5144)))))</f>
        <v> </v>
      </c>
      <c r="L5145" s="27"/>
    </row>
    <row r="5146" spans="1:12">
      <c r="A5146" s="20" t="s">
        <v>1185</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1314</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1537</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1352</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t="s">
        <v>1508</v>
      </c>
      <c r="B5150" s="21" t="s">
        <v>1178</v>
      </c>
      <c r="C5150" s="21" t="s">
        <v>1238</v>
      </c>
      <c r="D5150" s="21" t="s">
        <v>1180</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t="s">
        <v>1185</v>
      </c>
      <c r="E5151" s="22">
        <f>IF(D5151="?OLD","!!!","")</f>
        <v/>
      </c>
      <c r="F5151" s="23" t="str">
        <f>IF(OR(E5151="",E5151="!!!"),"",IF(NOT(ISNA(VLOOKUP(E5151,E$1:E5150,1,FALSE()))),"OLD",IF(AND(E5151&lt;&gt;"",E5151&lt;&gt;"!!!"),"NEW","")))</f>
        <v> </v>
      </c>
      <c r="G5151" s="24" t="str">
        <f>IF(OR(E5151="",E5151="!!!"),"",IF(OR(J5151=0,AND(J5151=1,K5151=1),AND(J5151=1,I5151="SBJ"),AND(J5151=1,I5151=0)),"?IN_FOCUS",IF(J5151&lt;=2,"?ACTIVATED",IF(J5151&lt;&gt;"","?FAMILIAR",IF(F5151="NEW",IF(ISNA(VLOOKUP(E5151,#REF!,1,FALSE())),"?TYPE_IDENTIFIABLE","?REFERENTIAL"),"_")))))</f>
        <v> </v>
      </c>
      <c r="H5151" s="25" t="str">
        <f>IF(J5151&lt;&gt;1,"",IF(I5151="SBJ","CB","?"))</f>
        <v> </v>
      </c>
      <c r="I5151" s="26" t="str">
        <f>IF(OR(E5151="",E5151="!!!",F5151="NEW"),"",INDEX(B5150:B$2,-1+SUMPRODUCT(MAX(ROW(E5150:E$2)*(E5151=E5150:E$2)))))</f>
        <v> </v>
      </c>
      <c r="J5151" s="26" t="str">
        <f>IF(OR(E5151="",E5151="!!!",F5151="NEW"),"",COUNTBLANK(OFFSET(A$1,,,SUMPRODUCT(MAX(ROW(E$2:E5151)*(E5151=E$2:E5151)))))-COUNTBLANK(OFFSET(A$1,,,SUMPRODUCT(MAX(ROW(E$1:E5150)*(E2=E$1:E5150))))))</f>
        <v> </v>
      </c>
      <c r="K5151" s="26" t="str">
        <f>IF(OR(E5151="",E5151="!!!",F5151="NEW"),"",INDEX(J$1:J5150,SUMPRODUCT(MAX(ROW(E$1:E5150)*(E5151=E$1:E5150)))))</f>
        <v> </v>
      </c>
      <c r="L5151" s="27"/>
    </row>
    <row r="5152" spans="1:12">
      <c r="A5152" s="20" t="s">
        <v>1930</v>
      </c>
      <c r="E5152" s="22">
        <f>IF(D5152="?OLD","!!!","")</f>
        <v/>
      </c>
      <c r="F5152" s="23" t="str">
        <f>IF(OR(E5152="",E5152="!!!"),"",IF(NOT(ISNA(VLOOKUP(E5152,E$1:E5151,1,FALSE()))),"OLD",IF(AND(E5152&lt;&gt;"",E5152&lt;&gt;"!!!"),"NEW","")))</f>
        <v> </v>
      </c>
      <c r="G5152" s="24" t="str">
        <f>IF(OR(E5152="",E5152="!!!"),"",IF(OR(J5152=0,AND(J5152=1,K5152=1),AND(J5152=1,I5152="SBJ"),AND(J5152=1,I5152=0)),"?IN_FOCUS",IF(J5152&lt;=2,"?ACTIVATED",IF(J5152&lt;&gt;"","?FAMILIAR",IF(F5152="NEW",IF(ISNA(VLOOKUP(E5152,#REF!,1,FALSE())),"?TYPE_IDENTIFIABLE","?REFERENTIAL"),"_")))))</f>
        <v> </v>
      </c>
      <c r="H5152" s="25" t="str">
        <f>IF(J5152&lt;&gt;1,"",IF(I5152="SBJ","CB","?"))</f>
        <v> </v>
      </c>
      <c r="I5152" s="26" t="str">
        <f>IF(OR(E5152="",E5152="!!!",F5152="NEW"),"",INDEX(B5151:B$2,-1+SUMPRODUCT(MAX(ROW(E5151:E$2)*(E5152=E5151:E$2)))))</f>
        <v> </v>
      </c>
      <c r="J5152" s="26" t="str">
        <f>IF(OR(E5152="",E5152="!!!",F5152="NEW"),"",COUNTBLANK(OFFSET(A$1,,,SUMPRODUCT(MAX(ROW(E$2:E5152)*(E5152=E$2:E5152)))))-COUNTBLANK(OFFSET(A$1,,,SUMPRODUCT(MAX(ROW(E$1:E5151)*(E2=E$1:E5151))))))</f>
        <v> </v>
      </c>
      <c r="K5152" s="26" t="str">
        <f>IF(OR(E5152="",E5152="!!!",F5152="NEW"),"",INDEX(J$1:J5151,SUMPRODUCT(MAX(ROW(E$1:E5151)*(E5152=E$1:E5151)))))</f>
        <v> </v>
      </c>
      <c r="L5152" s="27"/>
    </row>
    <row r="5153" spans="1:12">
      <c r="A5153" s="20" t="s">
        <v>1352</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1253</v>
      </c>
      <c r="B5154" s="21" t="s">
        <v>1178</v>
      </c>
      <c r="C5154" s="21" t="s">
        <v>1254</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11</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t="s">
        <v>670</v>
      </c>
      <c r="E5156" s="22">
        <f>IF(D5156="?OLD","!!!","")</f>
        <v/>
      </c>
      <c r="F5156" s="23" t="str">
        <f>IF(OR(E5156="",E5156="!!!"),"",IF(NOT(ISNA(VLOOKUP(E5156,E$1:E5155,1,FALSE()))),"OLD",IF(AND(E5156&lt;&gt;"",E5156&lt;&gt;"!!!"),"NEW","")))</f>
        <v> </v>
      </c>
      <c r="G5156" s="24" t="str">
        <f>IF(OR(E5156="",E5156="!!!"),"",IF(OR(J5156=0,AND(J5156=1,K5156=1),AND(J5156=1,I5156="SBJ"),AND(J5156=1,I5156=0)),"?IN_FOCUS",IF(J5156&lt;=2,"?ACTIVATED",IF(J5156&lt;&gt;"","?FAMILIAR",IF(F5156="NEW",IF(ISNA(VLOOKUP(E5156,#REF!,1,FALSE())),"?TYPE_IDENTIFIABLE","?REFERENTIAL"),"_")))))</f>
        <v> </v>
      </c>
      <c r="H5156" s="25" t="str">
        <f>IF(J5156&lt;&gt;1,"",IF(I5156="SBJ","CB","?"))</f>
        <v> </v>
      </c>
      <c r="I5156" s="26" t="str">
        <f>IF(OR(E5156="",E5156="!!!",F5156="NEW"),"",INDEX(B5155:B$2,-1+SUMPRODUCT(MAX(ROW(E5155:E$2)*(E5156=E5155:E$2)))))</f>
        <v> </v>
      </c>
      <c r="J5156" s="26" t="str">
        <f>IF(OR(E5156="",E5156="!!!",F5156="NEW"),"",COUNTBLANK(OFFSET(A$1,,,SUMPRODUCT(MAX(ROW(E$2:E5156)*(E5156=E$2:E5156)))))-COUNTBLANK(OFFSET(A$1,,,SUMPRODUCT(MAX(ROW(E$1:E5155)*(E2=E$1:E5155))))))</f>
        <v> </v>
      </c>
      <c r="K5156" s="26" t="str">
        <f>IF(OR(E5156="",E5156="!!!",F5156="NEW"),"",INDEX(J$1:J5155,SUMPRODUCT(MAX(ROW(E$1:E5155)*(E5156=E$1:E5155)))))</f>
        <v> </v>
      </c>
      <c r="L5156" s="27"/>
    </row>
    <row r="5157" spans="1:12">
      <c r="A5157" s="20" t="s">
        <v>427</v>
      </c>
      <c r="B5157" s="21" t="s">
        <v>1240</v>
      </c>
      <c r="C5157" s="21" t="s">
        <v>1238</v>
      </c>
      <c r="D5157" s="21" t="s">
        <v>1180</v>
      </c>
      <c r="E5157" s="22">
        <f>IF(D5157="?OLD","!!!","")</f>
        <v/>
      </c>
      <c r="F5157" s="23" t="str">
        <f>IF(OR(E5157="",E5157="!!!"),"",IF(NOT(ISNA(VLOOKUP(E5157,E$1:E5156,1,FALSE()))),"OLD",IF(AND(E5157&lt;&gt;"",E5157&lt;&gt;"!!!"),"NEW","")))</f>
        <v> </v>
      </c>
      <c r="G5157" s="24" t="str">
        <f>IF(OR(E5157="",E5157="!!!"),"",IF(OR(J5157=0,AND(J5157=1,K5157=1),AND(J5157=1,I5157="SBJ"),AND(J5157=1,I5157=0)),"?IN_FOCUS",IF(J5157&lt;=2,"?ACTIVATED",IF(J5157&lt;&gt;"","?FAMILIAR",IF(F5157="NEW",IF(ISNA(VLOOKUP(E5157,#REF!,1,FALSE())),"?TYPE_IDENTIFIABLE","?REFERENTIAL"),"_")))))</f>
        <v> </v>
      </c>
      <c r="H5157" s="25" t="str">
        <f>IF(J5157&lt;&gt;1,"",IF(I5157="SBJ","CB","?"))</f>
        <v> </v>
      </c>
      <c r="I5157" s="26" t="str">
        <f>IF(OR(E5157="",E5157="!!!",F5157="NEW"),"",INDEX(B5156:B$2,-1+SUMPRODUCT(MAX(ROW(E5156:E$2)*(E5157=E5156:E$2)))))</f>
        <v> </v>
      </c>
      <c r="J5157" s="26" t="str">
        <f>IF(OR(E5157="",E5157="!!!",F5157="NEW"),"",COUNTBLANK(OFFSET(A$1,,,SUMPRODUCT(MAX(ROW(E$2:E5157)*(E5157=E$2:E5157)))))-COUNTBLANK(OFFSET(A$1,,,SUMPRODUCT(MAX(ROW(E$1:E5156)*(E2=E$1:E5156))))))</f>
        <v> </v>
      </c>
      <c r="K5157" s="26" t="str">
        <f>IF(OR(E5157="",E5157="!!!",F5157="NEW"),"",INDEX(J$1:J5156,SUMPRODUCT(MAX(ROW(E$1:E5156)*(E5157=E$1:E5156)))))</f>
        <v> </v>
      </c>
      <c r="L5157" s="27"/>
    </row>
    <row r="5158" spans="1:12">
      <c r="A5158" s="20" t="s">
        <v>185</v>
      </c>
      <c r="B5158" s="21" t="s">
        <v>1237</v>
      </c>
      <c r="C5158" s="21" t="s">
        <v>1195</v>
      </c>
      <c r="D5158" s="21" t="s">
        <v>1180</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2318</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t="s">
        <v>1185</v>
      </c>
      <c r="E5160" s="22">
        <f>IF(D5160="?OLD","!!!","")</f>
        <v/>
      </c>
      <c r="F5160" s="23" t="str">
        <f>IF(OR(E5160="",E5160="!!!"),"",IF(NOT(ISNA(VLOOKUP(E5160,E$1:E5159,1,FALSE()))),"OLD",IF(AND(E5160&lt;&gt;"",E5160&lt;&gt;"!!!"),"NEW","")))</f>
        <v> </v>
      </c>
      <c r="G5160" s="24" t="str">
        <f>IF(OR(E5160="",E5160="!!!"),"",IF(OR(J5160=0,AND(J5160=1,K5160=1),AND(J5160=1,I5160="SBJ"),AND(J5160=1,I5160=0)),"?IN_FOCUS",IF(J5160&lt;=2,"?ACTIVATED",IF(J5160&lt;&gt;"","?FAMILIAR",IF(F5160="NEW",IF(ISNA(VLOOKUP(E5160,#REF!,1,FALSE())),"?TYPE_IDENTIFIABLE","?REFERENTIAL"),"_")))))</f>
        <v> </v>
      </c>
      <c r="H5160" s="25" t="str">
        <f>IF(J5160&lt;&gt;1,"",IF(I5160="SBJ","CB","?"))</f>
        <v> </v>
      </c>
      <c r="I5160" s="26" t="str">
        <f>IF(OR(E5160="",E5160="!!!",F5160="NEW"),"",INDEX(B5159:B$2,-1+SUMPRODUCT(MAX(ROW(E5159:E$2)*(E5160=E5159:E$2)))))</f>
        <v> </v>
      </c>
      <c r="J5160" s="26" t="str">
        <f>IF(OR(E5160="",E5160="!!!",F5160="NEW"),"",COUNTBLANK(OFFSET(A$1,,,SUMPRODUCT(MAX(ROW(E$2:E5160)*(E5160=E$2:E5160)))))-COUNTBLANK(OFFSET(A$1,,,SUMPRODUCT(MAX(ROW(E$1:E5159)*(E2=E$1:E5159))))))</f>
        <v> </v>
      </c>
      <c r="K5160" s="26" t="str">
        <f>IF(OR(E5160="",E5160="!!!",F5160="NEW"),"",INDEX(J$1:J5159,SUMPRODUCT(MAX(ROW(E$1:E5159)*(E5160=E$1:E5159)))))</f>
        <v> </v>
      </c>
      <c r="L5160" s="27"/>
    </row>
    <row r="5161" spans="1:12">
      <c r="A5161" s="20" t="s">
        <v>1313</v>
      </c>
      <c r="B5161" s="21" t="s">
        <v>1304</v>
      </c>
      <c r="C5161" s="21" t="s">
        <v>1238</v>
      </c>
      <c r="D5161" s="21" t="s">
        <v>1180</v>
      </c>
      <c r="E5161" s="22">
        <f>IF(D5161="?OLD","!!!","")</f>
        <v/>
      </c>
      <c r="F5161" s="23" t="str">
        <f>IF(OR(E5161="",E5161="!!!"),"",IF(NOT(ISNA(VLOOKUP(E5161,E$1:E5160,1,FALSE()))),"OLD",IF(AND(E5161&lt;&gt;"",E5161&lt;&gt;"!!!"),"NEW","")))</f>
        <v> </v>
      </c>
      <c r="G5161" s="24" t="str">
        <f>IF(OR(E5161="",E5161="!!!"),"",IF(OR(J5161=0,AND(J5161=1,K5161=1),AND(J5161=1,I5161="SBJ"),AND(J5161=1,I5161=0)),"?IN_FOCUS",IF(J5161&lt;=2,"?ACTIVATED",IF(J5161&lt;&gt;"","?FAMILIAR",IF(F5161="NEW",IF(ISNA(VLOOKUP(E5161,#REF!,1,FALSE())),"?TYPE_IDENTIFIABLE","?REFERENTIAL"),"_")))))</f>
        <v> </v>
      </c>
      <c r="H5161" s="25" t="str">
        <f>IF(J5161&lt;&gt;1,"",IF(I5161="SBJ","CB","?"))</f>
        <v> </v>
      </c>
      <c r="I5161" s="26" t="str">
        <f>IF(OR(E5161="",E5161="!!!",F5161="NEW"),"",INDEX(B5160:B$2,-1+SUMPRODUCT(MAX(ROW(E5160:E$2)*(E5161=E5160:E$2)))))</f>
        <v> </v>
      </c>
      <c r="J5161" s="26" t="str">
        <f>IF(OR(E5161="",E5161="!!!",F5161="NEW"),"",COUNTBLANK(OFFSET(A$1,,,SUMPRODUCT(MAX(ROW(E$2:E5161)*(E5161=E$2:E5161)))))-COUNTBLANK(OFFSET(A$1,,,SUMPRODUCT(MAX(ROW(E$1:E5160)*(E2=E$1:E5160))))))</f>
        <v> </v>
      </c>
      <c r="K5161" s="26" t="str">
        <f>IF(OR(E5161="",E5161="!!!",F5161="NEW"),"",INDEX(J$1:J5160,SUMPRODUCT(MAX(ROW(E$1:E5160)*(E5161=E$1:E5160)))))</f>
        <v> </v>
      </c>
      <c r="L5161" s="27"/>
    </row>
    <row r="5162" spans="1:12">
      <c r="A5162" s="20" t="s">
        <v>1556</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t="s">
        <v>1265</v>
      </c>
      <c r="E5163" s="22">
        <f>IF(D5163="?OLD","!!!","")</f>
        <v/>
      </c>
      <c r="F5163" s="23" t="str">
        <f>IF(OR(E5163="",E5163="!!!"),"",IF(NOT(ISNA(VLOOKUP(E5163,E$1:E5162,1,FALSE()))),"OLD",IF(AND(E5163&lt;&gt;"",E5163&lt;&gt;"!!!"),"NEW","")))</f>
        <v> </v>
      </c>
      <c r="G5163" s="24" t="str">
        <f>IF(OR(E5163="",E5163="!!!"),"",IF(OR(J5163=0,AND(J5163=1,K5163=1),AND(J5163=1,I5163="SBJ"),AND(J5163=1,I5163=0)),"?IN_FOCUS",IF(J5163&lt;=2,"?ACTIVATED",IF(J5163&lt;&gt;"","?FAMILIAR",IF(F5163="NEW",IF(ISNA(VLOOKUP(E5163,#REF!,1,FALSE())),"?TYPE_IDENTIFIABLE","?REFERENTIAL"),"_")))))</f>
        <v> </v>
      </c>
      <c r="H5163" s="25" t="str">
        <f>IF(J5163&lt;&gt;1,"",IF(I5163="SBJ","CB","?"))</f>
        <v> </v>
      </c>
      <c r="I5163" s="26" t="str">
        <f>IF(OR(E5163="",E5163="!!!",F5163="NEW"),"",INDEX(B5162:B$2,-1+SUMPRODUCT(MAX(ROW(E5162:E$2)*(E5163=E5162:E$2)))))</f>
        <v> </v>
      </c>
      <c r="J5163" s="26" t="str">
        <f>IF(OR(E5163="",E5163="!!!",F5163="NEW"),"",COUNTBLANK(OFFSET(A$1,,,SUMPRODUCT(MAX(ROW(E$2:E5163)*(E5163=E$2:E5163)))))-COUNTBLANK(OFFSET(A$1,,,SUMPRODUCT(MAX(ROW(E$1:E5162)*(E2=E$1:E5162))))))</f>
        <v> </v>
      </c>
      <c r="K5163" s="26" t="str">
        <f>IF(OR(E5163="",E5163="!!!",F5163="NEW"),"",INDEX(J$1:J5162,SUMPRODUCT(MAX(ROW(E$1:E5162)*(E5163=E$1:E5162)))))</f>
        <v> </v>
      </c>
      <c r="L5163" s="27"/>
    </row>
    <row r="5164" spans="1:12">
      <c r="A5164" s="20" t="s">
        <v>2649</v>
      </c>
      <c r="E5164" s="22">
        <f>IF(D5164="?OLD","!!!","")</f>
        <v/>
      </c>
      <c r="F5164" s="23" t="str">
        <f>IF(OR(E5164="",E5164="!!!"),"",IF(NOT(ISNA(VLOOKUP(E5164,E$1:E5163,1,FALSE()))),"OLD",IF(AND(E5164&lt;&gt;"",E5164&lt;&gt;"!!!"),"NEW","")))</f>
        <v> </v>
      </c>
      <c r="G5164" s="24" t="str">
        <f>IF(OR(E5164="",E5164="!!!"),"",IF(OR(J5164=0,AND(J5164=1,K5164=1),AND(J5164=1,I5164="SBJ"),AND(J5164=1,I5164=0)),"?IN_FOCUS",IF(J5164&lt;=2,"?ACTIVATED",IF(J5164&lt;&gt;"","?FAMILIAR",IF(F5164="NEW",IF(ISNA(VLOOKUP(E5164,#REF!,1,FALSE())),"?TYPE_IDENTIFIABLE","?REFERENTIAL"),"_")))))</f>
        <v> </v>
      </c>
      <c r="H5164" s="25" t="str">
        <f>IF(J5164&lt;&gt;1,"",IF(I5164="SBJ","CB","?"))</f>
        <v> </v>
      </c>
      <c r="I5164" s="26" t="str">
        <f>IF(OR(E5164="",E5164="!!!",F5164="NEW"),"",INDEX(B5163:B$2,-1+SUMPRODUCT(MAX(ROW(E5163:E$2)*(E5164=E5163:E$2)))))</f>
        <v> </v>
      </c>
      <c r="J5164" s="26" t="str">
        <f>IF(OR(E5164="",E5164="!!!",F5164="NEW"),"",COUNTBLANK(OFFSET(A$1,,,SUMPRODUCT(MAX(ROW(E$2:E5164)*(E5164=E$2:E5164)))))-COUNTBLANK(OFFSET(A$1,,,SUMPRODUCT(MAX(ROW(E$1:E5163)*(E2=E$1:E5163))))))</f>
        <v> </v>
      </c>
      <c r="K5164" s="26" t="str">
        <f>IF(OR(E5164="",E5164="!!!",F5164="NEW"),"",INDEX(J$1:J5163,SUMPRODUCT(MAX(ROW(E$1:E5163)*(E5164=E$1:E5163)))))</f>
        <v> </v>
      </c>
      <c r="L5164" s="27"/>
    </row>
    <row r="5165" spans="1:12">
      <c r="A5165" s="20" t="s">
        <v>2650</v>
      </c>
      <c r="B5165" s="21" t="s">
        <v>1237</v>
      </c>
      <c r="C5165" s="21" t="s">
        <v>1394</v>
      </c>
      <c r="D5165" s="21" t="s">
        <v>1180</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1185</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1314</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t="s">
        <v>1537</v>
      </c>
      <c r="E5168" s="22">
        <f>IF(D5168="?OLD","!!!","")</f>
        <v/>
      </c>
      <c r="F5168" s="23" t="str">
        <f>IF(OR(E5168="",E5168="!!!"),"",IF(NOT(ISNA(VLOOKUP(E5168,E$1:E5167,1,FALSE()))),"OLD",IF(AND(E5168&lt;&gt;"",E5168&lt;&gt;"!!!"),"NEW","")))</f>
        <v> </v>
      </c>
      <c r="G5168" s="24" t="str">
        <f>IF(OR(E5168="",E5168="!!!"),"",IF(OR(J5168=0,AND(J5168=1,K5168=1),AND(J5168=1,I5168="SBJ"),AND(J5168=1,I5168=0)),"?IN_FOCUS",IF(J5168&lt;=2,"?ACTIVATED",IF(J5168&lt;&gt;"","?FAMILIAR",IF(F5168="NEW",IF(ISNA(VLOOKUP(E5168,#REF!,1,FALSE())),"?TYPE_IDENTIFIABLE","?REFERENTIAL"),"_")))))</f>
        <v> </v>
      </c>
      <c r="H5168" s="25" t="str">
        <f>IF(J5168&lt;&gt;1,"",IF(I5168="SBJ","CB","?"))</f>
        <v> </v>
      </c>
      <c r="I5168" s="26" t="str">
        <f>IF(OR(E5168="",E5168="!!!",F5168="NEW"),"",INDEX(B5167:B$2,-1+SUMPRODUCT(MAX(ROW(E5167:E$2)*(E5168=E5167:E$2)))))</f>
        <v> </v>
      </c>
      <c r="J5168" s="26" t="str">
        <f>IF(OR(E5168="",E5168="!!!",F5168="NEW"),"",COUNTBLANK(OFFSET(A$1,,,SUMPRODUCT(MAX(ROW(E$2:E5168)*(E5168=E$2:E5168)))))-COUNTBLANK(OFFSET(A$1,,,SUMPRODUCT(MAX(ROW(E$1:E5167)*(E2=E$1:E5167))))))</f>
        <v> </v>
      </c>
      <c r="K5168" s="26" t="str">
        <f>IF(OR(E5168="",E5168="!!!",F5168="NEW"),"",INDEX(J$1:J5167,SUMPRODUCT(MAX(ROW(E$1:E5167)*(E5168=E$1:E5167)))))</f>
        <v> </v>
      </c>
      <c r="L5168" s="27"/>
    </row>
    <row r="5169" spans="1:12">
      <c r="A5169" s="20" t="s">
        <v>1352</v>
      </c>
      <c r="E5169" s="22">
        <f>IF(D5169="?OLD","!!!","")</f>
        <v/>
      </c>
      <c r="F5169" s="23" t="str">
        <f>IF(OR(E5169="",E5169="!!!"),"",IF(NOT(ISNA(VLOOKUP(E5169,E$1:E5168,1,FALSE()))),"OLD",IF(AND(E5169&lt;&gt;"",E5169&lt;&gt;"!!!"),"NEW","")))</f>
        <v> </v>
      </c>
      <c r="G5169" s="24" t="str">
        <f>IF(OR(E5169="",E5169="!!!"),"",IF(OR(J5169=0,AND(J5169=1,K5169=1),AND(J5169=1,I5169="SBJ"),AND(J5169=1,I5169=0)),"?IN_FOCUS",IF(J5169&lt;=2,"?ACTIVATED",IF(J5169&lt;&gt;"","?FAMILIAR",IF(F5169="NEW",IF(ISNA(VLOOKUP(E5169,#REF!,1,FALSE())),"?TYPE_IDENTIFIABLE","?REFERENTIAL"),"_")))))</f>
        <v> </v>
      </c>
      <c r="H5169" s="25" t="str">
        <f>IF(J5169&lt;&gt;1,"",IF(I5169="SBJ","CB","?"))</f>
        <v> </v>
      </c>
      <c r="I5169" s="26" t="str">
        <f>IF(OR(E5169="",E5169="!!!",F5169="NEW"),"",INDEX(B5168:B$2,-1+SUMPRODUCT(MAX(ROW(E5168:E$2)*(E5169=E5168:E$2)))))</f>
        <v> </v>
      </c>
      <c r="J5169" s="26" t="str">
        <f>IF(OR(E5169="",E5169="!!!",F5169="NEW"),"",COUNTBLANK(OFFSET(A$1,,,SUMPRODUCT(MAX(ROW(E$2:E5169)*(E5169=E$2:E5169)))))-COUNTBLANK(OFFSET(A$1,,,SUMPRODUCT(MAX(ROW(E$1:E5168)*(E2=E$1:E5168))))))</f>
        <v> </v>
      </c>
      <c r="K5169" s="26" t="str">
        <f>IF(OR(E5169="",E5169="!!!",F5169="NEW"),"",INDEX(J$1:J5168,SUMPRODUCT(MAX(ROW(E$1:E5168)*(E5169=E$1:E5168)))))</f>
        <v> </v>
      </c>
      <c r="L5169" s="27"/>
    </row>
    <row r="5170" spans="1:12">
      <c r="A5170" s="20" t="s">
        <v>1508</v>
      </c>
      <c r="B5170" s="21" t="s">
        <v>1207</v>
      </c>
      <c r="C5170" s="21" t="s">
        <v>1238</v>
      </c>
      <c r="D5170" s="21" t="s">
        <v>1180</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1185</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t="s">
        <v>1930</v>
      </c>
      <c r="E5172" s="22">
        <f>IF(D5172="?OLD","!!!","")</f>
        <v/>
      </c>
      <c r="F5172" s="23" t="str">
        <f>IF(OR(E5172="",E5172="!!!"),"",IF(NOT(ISNA(VLOOKUP(E5172,E$1:E5171,1,FALSE()))),"OLD",IF(AND(E5172&lt;&gt;"",E5172&lt;&gt;"!!!"),"NEW","")))</f>
        <v> </v>
      </c>
      <c r="G5172" s="24" t="str">
        <f>IF(OR(E5172="",E5172="!!!"),"",IF(OR(J5172=0,AND(J5172=1,K5172=1),AND(J5172=1,I5172="SBJ"),AND(J5172=1,I5172=0)),"?IN_FOCUS",IF(J5172&lt;=2,"?ACTIVATED",IF(J5172&lt;&gt;"","?FAMILIAR",IF(F5172="NEW",IF(ISNA(VLOOKUP(E5172,#REF!,1,FALSE())),"?TYPE_IDENTIFIABLE","?REFERENTIAL"),"_")))))</f>
        <v> </v>
      </c>
      <c r="H5172" s="25" t="str">
        <f>IF(J5172&lt;&gt;1,"",IF(I5172="SBJ","CB","?"))</f>
        <v> </v>
      </c>
      <c r="I5172" s="26" t="str">
        <f>IF(OR(E5172="",E5172="!!!",F5172="NEW"),"",INDEX(B5171:B$2,-1+SUMPRODUCT(MAX(ROW(E5171:E$2)*(E5172=E5171:E$2)))))</f>
        <v> </v>
      </c>
      <c r="J5172" s="26" t="str">
        <f>IF(OR(E5172="",E5172="!!!",F5172="NEW"),"",COUNTBLANK(OFFSET(A$1,,,SUMPRODUCT(MAX(ROW(E$2:E5172)*(E5172=E$2:E5172)))))-COUNTBLANK(OFFSET(A$1,,,SUMPRODUCT(MAX(ROW(E$1:E5171)*(E2=E$1:E5171))))))</f>
        <v> </v>
      </c>
      <c r="K5172" s="26" t="str">
        <f>IF(OR(E5172="",E5172="!!!",F5172="NEW"),"",INDEX(J$1:J5171,SUMPRODUCT(MAX(ROW(E$1:E5171)*(E5172=E$1:E5171)))))</f>
        <v> </v>
      </c>
      <c r="L5172" s="27"/>
    </row>
    <row r="5173" spans="1:12">
      <c r="A5173" s="20" t="s">
        <v>1352</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t="s">
        <v>1186</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t="s">
        <v>1329</v>
      </c>
      <c r="B5175" s="21" t="s">
        <v>1207</v>
      </c>
      <c r="C5175" s="21" t="s">
        <v>1188</v>
      </c>
      <c r="D5175" s="21" t="s">
        <v>1180</v>
      </c>
      <c r="E5175" s="22">
        <f>IF(D5175="?OLD","!!!","")</f>
        <v/>
      </c>
      <c r="F5175" s="23" t="str">
        <f>IF(OR(E5175="",E5175="!!!"),"",IF(NOT(ISNA(VLOOKUP(E5175,E$1:E5174,1,FALSE()))),"OLD",IF(AND(E5175&lt;&gt;"",E5175&lt;&gt;"!!!"),"NEW","")))</f>
        <v> </v>
      </c>
      <c r="G5175" s="24" t="str">
        <f>IF(OR(E5175="",E5175="!!!"),"",IF(OR(J5175=0,AND(J5175=1,K5175=1),AND(J5175=1,I5175="SBJ"),AND(J5175=1,I5175=0)),"?IN_FOCUS",IF(J5175&lt;=2,"?ACTIVATED",IF(J5175&lt;&gt;"","?FAMILIAR",IF(F5175="NEW",IF(ISNA(VLOOKUP(E5175,#REF!,1,FALSE())),"?TYPE_IDENTIFIABLE","?REFERENTIAL"),"_")))))</f>
        <v> </v>
      </c>
      <c r="H5175" s="25" t="str">
        <f>IF(J5175&lt;&gt;1,"",IF(I5175="SBJ","CB","?"))</f>
        <v> </v>
      </c>
      <c r="I5175" s="26" t="str">
        <f>IF(OR(E5175="",E5175="!!!",F5175="NEW"),"",INDEX(B5174:B$2,-1+SUMPRODUCT(MAX(ROW(E5174:E$2)*(E5175=E5174:E$2)))))</f>
        <v> </v>
      </c>
      <c r="J5175" s="26" t="str">
        <f>IF(OR(E5175="",E5175="!!!",F5175="NEW"),"",COUNTBLANK(OFFSET(A$1,,,SUMPRODUCT(MAX(ROW(E$2:E5175)*(E5175=E$2:E5175)))))-COUNTBLANK(OFFSET(A$1,,,SUMPRODUCT(MAX(ROW(E$1:E5174)*(E2=E$1:E5174))))))</f>
        <v> </v>
      </c>
      <c r="K5175" s="26" t="str">
        <f>IF(OR(E5175="",E5175="!!!",F5175="NEW"),"",INDEX(J$1:J5174,SUMPRODUCT(MAX(ROW(E$1:E5174)*(E5175=E$1:E5174)))))</f>
        <v> </v>
      </c>
      <c r="L5175" s="27"/>
    </row>
    <row r="5176" spans="1:12">
      <c r="A5176" s="20" t="s">
        <v>818</v>
      </c>
      <c r="E5176" s="22">
        <f>IF(D5176="?OLD","!!!","")</f>
        <v/>
      </c>
      <c r="F5176" s="23" t="str">
        <f>IF(OR(E5176="",E5176="!!!"),"",IF(NOT(ISNA(VLOOKUP(E5176,E$1:E5175,1,FALSE()))),"OLD",IF(AND(E5176&lt;&gt;"",E5176&lt;&gt;"!!!"),"NEW","")))</f>
        <v> </v>
      </c>
      <c r="G5176" s="24" t="str">
        <f>IF(OR(E5176="",E5176="!!!"),"",IF(OR(J5176=0,AND(J5176=1,K5176=1),AND(J5176=1,I5176="SBJ"),AND(J5176=1,I5176=0)),"?IN_FOCUS",IF(J5176&lt;=2,"?ACTIVATED",IF(J5176&lt;&gt;"","?FAMILIAR",IF(F5176="NEW",IF(ISNA(VLOOKUP(E5176,#REF!,1,FALSE())),"?TYPE_IDENTIFIABLE","?REFERENTIAL"),"_")))))</f>
        <v> </v>
      </c>
      <c r="H5176" s="25" t="str">
        <f>IF(J5176&lt;&gt;1,"",IF(I5176="SBJ","CB","?"))</f>
        <v> </v>
      </c>
      <c r="I5176" s="26" t="str">
        <f>IF(OR(E5176="",E5176="!!!",F5176="NEW"),"",INDEX(B5175:B$2,-1+SUMPRODUCT(MAX(ROW(E5175:E$2)*(E5176=E5175:E$2)))))</f>
        <v> </v>
      </c>
      <c r="J5176" s="26" t="str">
        <f>IF(OR(E5176="",E5176="!!!",F5176="NEW"),"",COUNTBLANK(OFFSET(A$1,,,SUMPRODUCT(MAX(ROW(E$2:E5176)*(E5176=E$2:E5176)))))-COUNTBLANK(OFFSET(A$1,,,SUMPRODUCT(MAX(ROW(E$1:E5175)*(E2=E$1:E5175))))))</f>
        <v> </v>
      </c>
      <c r="K5176" s="26" t="str">
        <f>IF(OR(E5176="",E5176="!!!",F5176="NEW"),"",INDEX(J$1:J5175,SUMPRODUCT(MAX(ROW(E$1:E5175)*(E5176=E$1:E5175)))))</f>
        <v> </v>
      </c>
      <c r="L5176" s="27"/>
    </row>
    <row r="5177" spans="1:12">
      <c r="A5177" s="20"/>
    </row>
    <row r="5178" spans="1:12">
      <c r="A5178" s="20" t="s">
        <v>2651</v>
      </c>
    </row>
    <row r="5179" spans="1:12">
      <c r="A5179" s="20" t="s">
        <v>1262</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1182</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1193</v>
      </c>
      <c r="B5181" s="21" t="s">
        <v>1194</v>
      </c>
      <c r="C5181" s="21" t="s">
        <v>1195</v>
      </c>
      <c r="D5181" s="21" t="s">
        <v>1180</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t="s">
        <v>1264</v>
      </c>
      <c r="E5182" s="22">
        <f>IF(D5182="?OLD","!!!","")</f>
        <v/>
      </c>
      <c r="F5182" s="23" t="str">
        <f>IF(OR(E5182="",E5182="!!!"),"",IF(NOT(ISNA(VLOOKUP(E5182,E$1:E5181,1,FALSE()))),"OLD",IF(AND(E5182&lt;&gt;"",E5182&lt;&gt;"!!!"),"NEW","")))</f>
        <v> </v>
      </c>
      <c r="G5182" s="24" t="str">
        <f>IF(OR(E5182="",E5182="!!!"),"",IF(OR(J5182=0,AND(J5182=1,K5182=1),AND(J5182=1,I5182="SBJ"),AND(J5182=1,I5182=0)),"?IN_FOCUS",IF(J5182&lt;=2,"?ACTIVATED",IF(J5182&lt;&gt;"","?FAMILIAR",IF(F5182="NEW",IF(ISNA(VLOOKUP(E5182,#REF!,1,FALSE())),"?TYPE_IDENTIFIABLE","?REFERENTIAL"),"_")))))</f>
        <v> </v>
      </c>
      <c r="H5182" s="25" t="str">
        <f>IF(J5182&lt;&gt;1,"",IF(I5182="SBJ","CB","?"))</f>
        <v> </v>
      </c>
      <c r="I5182" s="26" t="str">
        <f>IF(OR(E5182="",E5182="!!!",F5182="NEW"),"",INDEX(B5181:B$2,-1+SUMPRODUCT(MAX(ROW(E5181:E$2)*(E5182=E5181:E$2)))))</f>
        <v> </v>
      </c>
      <c r="J5182" s="26" t="str">
        <f>IF(OR(E5182="",E5182="!!!",F5182="NEW"),"",COUNTBLANK(OFFSET(A$1,,,SUMPRODUCT(MAX(ROW(E$2:E5182)*(E5182=E$2:E5182)))))-COUNTBLANK(OFFSET(A$1,,,SUMPRODUCT(MAX(ROW(E$1:E5181)*(E2=E$1:E5181))))))</f>
        <v> </v>
      </c>
      <c r="K5182" s="26" t="str">
        <f>IF(OR(E5182="",E5182="!!!",F5182="NEW"),"",INDEX(J$1:J5181,SUMPRODUCT(MAX(ROW(E$1:E5181)*(E5182=E$1:E5181)))))</f>
        <v> </v>
      </c>
      <c r="L5182" s="27"/>
    </row>
    <row r="5183" spans="1:12">
      <c r="A5183" s="20" t="s">
        <v>2652</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2653</v>
      </c>
      <c r="B5184" s="21" t="s">
        <v>1194</v>
      </c>
      <c r="C5184" s="21" t="s">
        <v>1184</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2139</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1200</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t="s">
        <v>1260</v>
      </c>
      <c r="E5187" s="22">
        <f>IF(D5187="?OLD","!!!","")</f>
        <v/>
      </c>
      <c r="F5187" s="23" t="str">
        <f>IF(OR(E5187="",E5187="!!!"),"",IF(NOT(ISNA(VLOOKUP(E5187,E$1:E5186,1,FALSE()))),"OLD",IF(AND(E5187&lt;&gt;"",E5187&lt;&gt;"!!!"),"NEW","")))</f>
        <v> </v>
      </c>
      <c r="G5187" s="24" t="str">
        <f>IF(OR(E5187="",E5187="!!!"),"",IF(OR(J5187=0,AND(J5187=1,K5187=1),AND(J5187=1,I5187="SBJ"),AND(J5187=1,I5187=0)),"?IN_FOCUS",IF(J5187&lt;=2,"?ACTIVATED",IF(J5187&lt;&gt;"","?FAMILIAR",IF(F5187="NEW",IF(ISNA(VLOOKUP(E5187,#REF!,1,FALSE())),"?TYPE_IDENTIFIABLE","?REFERENTIAL"),"_")))))</f>
        <v> </v>
      </c>
      <c r="H5187" s="25" t="str">
        <f>IF(J5187&lt;&gt;1,"",IF(I5187="SBJ","CB","?"))</f>
        <v> </v>
      </c>
      <c r="I5187" s="26" t="str">
        <f>IF(OR(E5187="",E5187="!!!",F5187="NEW"),"",INDEX(B5186:B$2,-1+SUMPRODUCT(MAX(ROW(E5186:E$2)*(E5187=E5186:E$2)))))</f>
        <v> </v>
      </c>
      <c r="J5187" s="26" t="str">
        <f>IF(OR(E5187="",E5187="!!!",F5187="NEW"),"",COUNTBLANK(OFFSET(A$1,,,SUMPRODUCT(MAX(ROW(E$2:E5187)*(E5187=E$2:E5187)))))-COUNTBLANK(OFFSET(A$1,,,SUMPRODUCT(MAX(ROW(E$1:E5186)*(E2=E$1:E5186))))))</f>
        <v> </v>
      </c>
      <c r="K5187" s="26" t="str">
        <f>IF(OR(E5187="",E5187="!!!",F5187="NEW"),"",INDEX(J$1:J5186,SUMPRODUCT(MAX(ROW(E$1:E5186)*(E5187=E$1:E5186)))))</f>
        <v> </v>
      </c>
      <c r="L5187" s="27"/>
    </row>
    <row r="5188" spans="1:12">
      <c r="A5188" s="20" t="s">
        <v>2654</v>
      </c>
      <c r="B5188" s="21" t="s">
        <v>1178</v>
      </c>
      <c r="C5188" s="21" t="s">
        <v>1394</v>
      </c>
      <c r="D5188" s="21" t="s">
        <v>1180</v>
      </c>
      <c r="E5188" s="22">
        <f>IF(D5188="?OLD","!!!","")</f>
        <v/>
      </c>
      <c r="F5188" s="23" t="str">
        <f>IF(OR(E5188="",E5188="!!!"),"",IF(NOT(ISNA(VLOOKUP(E5188,E$1:E5187,1,FALSE()))),"OLD",IF(AND(E5188&lt;&gt;"",E5188&lt;&gt;"!!!"),"NEW","")))</f>
        <v> </v>
      </c>
      <c r="G5188" s="24" t="str">
        <f>IF(OR(E5188="",E5188="!!!"),"",IF(OR(J5188=0,AND(J5188=1,K5188=1),AND(J5188=1,I5188="SBJ"),AND(J5188=1,I5188=0)),"?IN_FOCUS",IF(J5188&lt;=2,"?ACTIVATED",IF(J5188&lt;&gt;"","?FAMILIAR",IF(F5188="NEW",IF(ISNA(VLOOKUP(E5188,#REF!,1,FALSE())),"?TYPE_IDENTIFIABLE","?REFERENTIAL"),"_")))))</f>
        <v> </v>
      </c>
      <c r="H5188" s="25" t="str">
        <f>IF(J5188&lt;&gt;1,"",IF(I5188="SBJ","CB","?"))</f>
        <v> </v>
      </c>
      <c r="I5188" s="26" t="str">
        <f>IF(OR(E5188="",E5188="!!!",F5188="NEW"),"",INDEX(B5187:B$2,-1+SUMPRODUCT(MAX(ROW(E5187:E$2)*(E5188=E5187:E$2)))))</f>
        <v> </v>
      </c>
      <c r="J5188" s="26" t="str">
        <f>IF(OR(E5188="",E5188="!!!",F5188="NEW"),"",COUNTBLANK(OFFSET(A$1,,,SUMPRODUCT(MAX(ROW(E$2:E5188)*(E5188=E$2:E5188)))))-COUNTBLANK(OFFSET(A$1,,,SUMPRODUCT(MAX(ROW(E$1:E5187)*(E2=E$1:E5187))))))</f>
        <v> </v>
      </c>
      <c r="K5188" s="26" t="str">
        <f>IF(OR(E5188="",E5188="!!!",F5188="NEW"),"",INDEX(J$1:J5187,SUMPRODUCT(MAX(ROW(E$1:E5187)*(E5188=E$1:E5187)))))</f>
        <v> </v>
      </c>
      <c r="L5188" s="27"/>
    </row>
    <row r="5189" spans="1:12">
      <c r="A5189" s="20" t="s">
        <v>1189</v>
      </c>
      <c r="E5189" s="22">
        <f>IF(D5189="?OLD","!!!","")</f>
        <v/>
      </c>
      <c r="F5189" s="23" t="str">
        <f>IF(OR(E5189="",E5189="!!!"),"",IF(NOT(ISNA(VLOOKUP(E5189,E$1:E5188,1,FALSE()))),"OLD",IF(AND(E5189&lt;&gt;"",E5189&lt;&gt;"!!!"),"NEW","")))</f>
        <v> </v>
      </c>
      <c r="G5189" s="24" t="str">
        <f>IF(OR(E5189="",E5189="!!!"),"",IF(OR(J5189=0,AND(J5189=1,K5189=1),AND(J5189=1,I5189="SBJ"),AND(J5189=1,I5189=0)),"?IN_FOCUS",IF(J5189&lt;=2,"?ACTIVATED",IF(J5189&lt;&gt;"","?FAMILIAR",IF(F5189="NEW",IF(ISNA(VLOOKUP(E5189,#REF!,1,FALSE())),"?TYPE_IDENTIFIABLE","?REFERENTIAL"),"_")))))</f>
        <v> </v>
      </c>
      <c r="H5189" s="25" t="str">
        <f>IF(J5189&lt;&gt;1,"",IF(I5189="SBJ","CB","?"))</f>
        <v> </v>
      </c>
      <c r="I5189" s="26" t="str">
        <f>IF(OR(E5189="",E5189="!!!",F5189="NEW"),"",INDEX(B5188:B$2,-1+SUMPRODUCT(MAX(ROW(E5188:E$2)*(E5189=E5188:E$2)))))</f>
        <v> </v>
      </c>
      <c r="J5189" s="26" t="str">
        <f>IF(OR(E5189="",E5189="!!!",F5189="NEW"),"",COUNTBLANK(OFFSET(A$1,,,SUMPRODUCT(MAX(ROW(E$2:E5189)*(E5189=E$2:E5189)))))-COUNTBLANK(OFFSET(A$1,,,SUMPRODUCT(MAX(ROW(E$1:E5188)*(E2=E$1:E5188))))))</f>
        <v> </v>
      </c>
      <c r="K5189" s="26" t="str">
        <f>IF(OR(E5189="",E5189="!!!",F5189="NEW"),"",INDEX(J$1:J5188,SUMPRODUCT(MAX(ROW(E$1:E5188)*(E5189=E$1:E5188)))))</f>
        <v> </v>
      </c>
      <c r="L5189" s="27"/>
    </row>
    <row r="5190" spans="1:12">
      <c r="A5190" s="20" t="s">
        <v>2655</v>
      </c>
      <c r="B5190" s="21" t="s">
        <v>1191</v>
      </c>
      <c r="C5190" s="21" t="s">
        <v>1179</v>
      </c>
      <c r="D5190" s="21" t="s">
        <v>1180</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11</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t="s">
        <v>2656</v>
      </c>
      <c r="E5192" s="22">
        <f>IF(D5192="?OLD","!!!","")</f>
        <v/>
      </c>
      <c r="F5192" s="23" t="str">
        <f>IF(OR(E5192="",E5192="!!!"),"",IF(NOT(ISNA(VLOOKUP(E5192,E$1:E5191,1,FALSE()))),"OLD",IF(AND(E5192&lt;&gt;"",E5192&lt;&gt;"!!!"),"NEW","")))</f>
        <v> </v>
      </c>
      <c r="G5192" s="24" t="str">
        <f>IF(OR(E5192="",E5192="!!!"),"",IF(OR(J5192=0,AND(J5192=1,K5192=1),AND(J5192=1,I5192="SBJ"),AND(J5192=1,I5192=0)),"?IN_FOCUS",IF(J5192&lt;=2,"?ACTIVATED",IF(J5192&lt;&gt;"","?FAMILIAR",IF(F5192="NEW",IF(ISNA(VLOOKUP(E5192,#REF!,1,FALSE())),"?TYPE_IDENTIFIABLE","?REFERENTIAL"),"_")))))</f>
        <v> </v>
      </c>
      <c r="H5192" s="25" t="str">
        <f>IF(J5192&lt;&gt;1,"",IF(I5192="SBJ","CB","?"))</f>
        <v> </v>
      </c>
      <c r="I5192" s="26" t="str">
        <f>IF(OR(E5192="",E5192="!!!",F5192="NEW"),"",INDEX(B5191:B$2,-1+SUMPRODUCT(MAX(ROW(E5191:E$2)*(E5192=E5191:E$2)))))</f>
        <v> </v>
      </c>
      <c r="J5192" s="26" t="str">
        <f>IF(OR(E5192="",E5192="!!!",F5192="NEW"),"",COUNTBLANK(OFFSET(A$1,,,SUMPRODUCT(MAX(ROW(E$2:E5192)*(E5192=E$2:E5192)))))-COUNTBLANK(OFFSET(A$1,,,SUMPRODUCT(MAX(ROW(E$1:E5191)*(E2=E$1:E5191))))))</f>
        <v> </v>
      </c>
      <c r="K5192" s="26" t="str">
        <f>IF(OR(E5192="",E5192="!!!",F5192="NEW"),"",INDEX(J$1:J5191,SUMPRODUCT(MAX(ROW(E$1:E5191)*(E5192=E$1:E5191)))))</f>
        <v> </v>
      </c>
      <c r="L5192" s="27"/>
    </row>
    <row r="5193" spans="1:12">
      <c r="A5193" s="20" t="s">
        <v>11</v>
      </c>
      <c r="E5193" s="22">
        <f>IF(D5193="?OLD","!!!","")</f>
        <v/>
      </c>
      <c r="F5193" s="23" t="str">
        <f>IF(OR(E5193="",E5193="!!!"),"",IF(NOT(ISNA(VLOOKUP(E5193,E$1:E5192,1,FALSE()))),"OLD",IF(AND(E5193&lt;&gt;"",E5193&lt;&gt;"!!!"),"NEW","")))</f>
        <v> </v>
      </c>
      <c r="G5193" s="24" t="str">
        <f>IF(OR(E5193="",E5193="!!!"),"",IF(OR(J5193=0,AND(J5193=1,K5193=1),AND(J5193=1,I5193="SBJ"),AND(J5193=1,I5193=0)),"?IN_FOCUS",IF(J5193&lt;=2,"?ACTIVATED",IF(J5193&lt;&gt;"","?FAMILIAR",IF(F5193="NEW",IF(ISNA(VLOOKUP(E5193,#REF!,1,FALSE())),"?TYPE_IDENTIFIABLE","?REFERENTIAL"),"_")))))</f>
        <v> </v>
      </c>
      <c r="H5193" s="25" t="str">
        <f>IF(J5193&lt;&gt;1,"",IF(I5193="SBJ","CB","?"))</f>
        <v> </v>
      </c>
      <c r="I5193" s="26" t="str">
        <f>IF(OR(E5193="",E5193="!!!",F5193="NEW"),"",INDEX(B5192:B$2,-1+SUMPRODUCT(MAX(ROW(E5192:E$2)*(E5193=E5192:E$2)))))</f>
        <v> </v>
      </c>
      <c r="J5193" s="26" t="str">
        <f>IF(OR(E5193="",E5193="!!!",F5193="NEW"),"",COUNTBLANK(OFFSET(A$1,,,SUMPRODUCT(MAX(ROW(E$2:E5193)*(E5193=E$2:E5193)))))-COUNTBLANK(OFFSET(A$1,,,SUMPRODUCT(MAX(ROW(E$1:E5192)*(E2=E$1:E5192))))))</f>
        <v> </v>
      </c>
      <c r="K5193" s="26" t="str">
        <f>IF(OR(E5193="",E5193="!!!",F5193="NEW"),"",INDEX(J$1:J5192,SUMPRODUCT(MAX(ROW(E$1:E5192)*(E5193=E$1:E5192)))))</f>
        <v> </v>
      </c>
      <c r="L5193" s="27"/>
    </row>
    <row r="5194" spans="1:12">
      <c r="A5194" s="20" t="s">
        <v>2657</v>
      </c>
      <c r="E5194" s="22">
        <f>IF(D5194="?OLD","!!!","")</f>
        <v/>
      </c>
      <c r="F5194" s="23" t="str">
        <f>IF(OR(E5194="",E5194="!!!"),"",IF(NOT(ISNA(VLOOKUP(E5194,E$1:E5193,1,FALSE()))),"OLD",IF(AND(E5194&lt;&gt;"",E5194&lt;&gt;"!!!"),"NEW","")))</f>
        <v> </v>
      </c>
      <c r="G5194" s="24" t="str">
        <f>IF(OR(E5194="",E5194="!!!"),"",IF(OR(J5194=0,AND(J5194=1,K5194=1),AND(J5194=1,I5194="SBJ"),AND(J5194=1,I5194=0)),"?IN_FOCUS",IF(J5194&lt;=2,"?ACTIVATED",IF(J5194&lt;&gt;"","?FAMILIAR",IF(F5194="NEW",IF(ISNA(VLOOKUP(E5194,#REF!,1,FALSE())),"?TYPE_IDENTIFIABLE","?REFERENTIAL"),"_")))))</f>
        <v> </v>
      </c>
      <c r="H5194" s="25" t="str">
        <f>IF(J5194&lt;&gt;1,"",IF(I5194="SBJ","CB","?"))</f>
        <v> </v>
      </c>
      <c r="I5194" s="26" t="str">
        <f>IF(OR(E5194="",E5194="!!!",F5194="NEW"),"",INDEX(B5193:B$2,-1+SUMPRODUCT(MAX(ROW(E5193:E$2)*(E5194=E5193:E$2)))))</f>
        <v> </v>
      </c>
      <c r="J5194" s="26" t="str">
        <f>IF(OR(E5194="",E5194="!!!",F5194="NEW"),"",COUNTBLANK(OFFSET(A$1,,,SUMPRODUCT(MAX(ROW(E$2:E5194)*(E5194=E$2:E5194)))))-COUNTBLANK(OFFSET(A$1,,,SUMPRODUCT(MAX(ROW(E$1:E5193)*(E2=E$1:E5193))))))</f>
        <v> </v>
      </c>
      <c r="K5194" s="26" t="str">
        <f>IF(OR(E5194="",E5194="!!!",F5194="NEW"),"",INDEX(J$1:J5193,SUMPRODUCT(MAX(ROW(E$1:E5193)*(E5194=E$1:E5193)))))</f>
        <v> </v>
      </c>
      <c r="L5194" s="27"/>
    </row>
    <row r="5195" spans="1:12">
      <c r="A5195" s="20" t="s">
        <v>1979</v>
      </c>
      <c r="E5195" s="22">
        <f>IF(D5195="?OLD","!!!","")</f>
        <v/>
      </c>
      <c r="F5195" s="23" t="str">
        <f>IF(OR(E5195="",E5195="!!!"),"",IF(NOT(ISNA(VLOOKUP(E5195,E$1:E5194,1,FALSE()))),"OLD",IF(AND(E5195&lt;&gt;"",E5195&lt;&gt;"!!!"),"NEW","")))</f>
        <v> </v>
      </c>
      <c r="G5195" s="24" t="str">
        <f>IF(OR(E5195="",E5195="!!!"),"",IF(OR(J5195=0,AND(J5195=1,K5195=1),AND(J5195=1,I5195="SBJ"),AND(J5195=1,I5195=0)),"?IN_FOCUS",IF(J5195&lt;=2,"?ACTIVATED",IF(J5195&lt;&gt;"","?FAMILIAR",IF(F5195="NEW",IF(ISNA(VLOOKUP(E5195,#REF!,1,FALSE())),"?TYPE_IDENTIFIABLE","?REFERENTIAL"),"_")))))</f>
        <v> </v>
      </c>
      <c r="H5195" s="25" t="str">
        <f>IF(J5195&lt;&gt;1,"",IF(I5195="SBJ","CB","?"))</f>
        <v> </v>
      </c>
      <c r="I5195" s="26" t="str">
        <f>IF(OR(E5195="",E5195="!!!",F5195="NEW"),"",INDEX(B5194:B$2,-1+SUMPRODUCT(MAX(ROW(E5194:E$2)*(E5195=E5194:E$2)))))</f>
        <v> </v>
      </c>
      <c r="J5195" s="26" t="str">
        <f>IF(OR(E5195="",E5195="!!!",F5195="NEW"),"",COUNTBLANK(OFFSET(A$1,,,SUMPRODUCT(MAX(ROW(E$2:E5195)*(E5195=E$2:E5195)))))-COUNTBLANK(OFFSET(A$1,,,SUMPRODUCT(MAX(ROW(E$1:E5194)*(E2=E$1:E5194))))))</f>
        <v> </v>
      </c>
      <c r="K5195" s="26" t="str">
        <f>IF(OR(E5195="",E5195="!!!",F5195="NEW"),"",INDEX(J$1:J5194,SUMPRODUCT(MAX(ROW(E$1:E5194)*(E5195=E$1:E5194)))))</f>
        <v> </v>
      </c>
      <c r="L5195" s="27"/>
    </row>
    <row r="5196" spans="1:12">
      <c r="A5196" s="20" t="s">
        <v>1185</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1198</v>
      </c>
      <c r="B5197" s="21" t="s">
        <v>1240</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1185</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2064</v>
      </c>
      <c r="B5199" s="21" t="s">
        <v>1178</v>
      </c>
      <c r="C5199" s="21" t="s">
        <v>1394</v>
      </c>
      <c r="D5199" s="21" t="s">
        <v>1180</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1263</v>
      </c>
      <c r="B5200" s="21" t="s">
        <v>1240</v>
      </c>
      <c r="C5200" s="21" t="s">
        <v>1195</v>
      </c>
      <c r="D5200" s="21" t="s">
        <v>1180</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1185</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1454</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t="s">
        <v>1242</v>
      </c>
      <c r="E5203" s="22">
        <f>IF(D5203="?OLD","!!!","")</f>
        <v/>
      </c>
      <c r="F5203" s="23" t="str">
        <f>IF(OR(E5203="",E5203="!!!"),"",IF(NOT(ISNA(VLOOKUP(E5203,E$1:E5202,1,FALSE()))),"OLD",IF(AND(E5203&lt;&gt;"",E5203&lt;&gt;"!!!"),"NEW","")))</f>
        <v> </v>
      </c>
      <c r="G5203" s="24" t="str">
        <f>IF(OR(E5203="",E5203="!!!"),"",IF(OR(J5203=0,AND(J5203=1,K5203=1),AND(J5203=1,I5203="SBJ"),AND(J5203=1,I5203=0)),"?IN_FOCUS",IF(J5203&lt;=2,"?ACTIVATED",IF(J5203&lt;&gt;"","?FAMILIAR",IF(F5203="NEW",IF(ISNA(VLOOKUP(E5203,#REF!,1,FALSE())),"?TYPE_IDENTIFIABLE","?REFERENTIAL"),"_")))))</f>
        <v> </v>
      </c>
      <c r="H5203" s="25" t="str">
        <f>IF(J5203&lt;&gt;1,"",IF(I5203="SBJ","CB","?"))</f>
        <v> </v>
      </c>
      <c r="I5203" s="26" t="str">
        <f>IF(OR(E5203="",E5203="!!!",F5203="NEW"),"",INDEX(B5202:B$2,-1+SUMPRODUCT(MAX(ROW(E5202:E$2)*(E5203=E5202:E$2)))))</f>
        <v> </v>
      </c>
      <c r="J5203" s="26" t="str">
        <f>IF(OR(E5203="",E5203="!!!",F5203="NEW"),"",COUNTBLANK(OFFSET(A$1,,,SUMPRODUCT(MAX(ROW(E$2:E5203)*(E5203=E$2:E5203)))))-COUNTBLANK(OFFSET(A$1,,,SUMPRODUCT(MAX(ROW(E$1:E5202)*(E2=E$1:E5202))))))</f>
        <v> </v>
      </c>
      <c r="K5203" s="26" t="str">
        <f>IF(OR(E5203="",E5203="!!!",F5203="NEW"),"",INDEX(J$1:J5202,SUMPRODUCT(MAX(ROW(E$1:E5202)*(E5203=E$1:E5202)))))</f>
        <v> </v>
      </c>
      <c r="L5203" s="27"/>
    </row>
    <row r="5204" spans="1:12">
      <c r="A5204" s="20" t="s">
        <v>1508</v>
      </c>
      <c r="B5204" s="21" t="s">
        <v>1191</v>
      </c>
      <c r="C5204" s="21" t="s">
        <v>1238</v>
      </c>
      <c r="D5204" s="21" t="s">
        <v>1180</v>
      </c>
      <c r="E5204" s="22">
        <f>IF(D5204="?OLD","!!!","")</f>
        <v/>
      </c>
      <c r="F5204" s="23" t="str">
        <f>IF(OR(E5204="",E5204="!!!"),"",IF(NOT(ISNA(VLOOKUP(E5204,E$1:E5203,1,FALSE()))),"OLD",IF(AND(E5204&lt;&gt;"",E5204&lt;&gt;"!!!"),"NEW","")))</f>
        <v> </v>
      </c>
      <c r="G5204" s="24" t="str">
        <f>IF(OR(E5204="",E5204="!!!"),"",IF(OR(J5204=0,AND(J5204=1,K5204=1),AND(J5204=1,I5204="SBJ"),AND(J5204=1,I5204=0)),"?IN_FOCUS",IF(J5204&lt;=2,"?ACTIVATED",IF(J5204&lt;&gt;"","?FAMILIAR",IF(F5204="NEW",IF(ISNA(VLOOKUP(E5204,#REF!,1,FALSE())),"?TYPE_IDENTIFIABLE","?REFERENTIAL"),"_")))))</f>
        <v> </v>
      </c>
      <c r="H5204" s="25" t="str">
        <f>IF(J5204&lt;&gt;1,"",IF(I5204="SBJ","CB","?"))</f>
        <v> </v>
      </c>
      <c r="I5204" s="26" t="str">
        <f>IF(OR(E5204="",E5204="!!!",F5204="NEW"),"",INDEX(B5203:B$2,-1+SUMPRODUCT(MAX(ROW(E5203:E$2)*(E5204=E5203:E$2)))))</f>
        <v> </v>
      </c>
      <c r="J5204" s="26" t="str">
        <f>IF(OR(E5204="",E5204="!!!",F5204="NEW"),"",COUNTBLANK(OFFSET(A$1,,,SUMPRODUCT(MAX(ROW(E$2:E5204)*(E5204=E$2:E5204)))))-COUNTBLANK(OFFSET(A$1,,,SUMPRODUCT(MAX(ROW(E$1:E5203)*(E2=E$1:E5203))))))</f>
        <v> </v>
      </c>
      <c r="K5204" s="26" t="str">
        <f>IF(OR(E5204="",E5204="!!!",F5204="NEW"),"",INDEX(J$1:J5203,SUMPRODUCT(MAX(ROW(E$1:E5203)*(E5204=E$1:E5203)))))</f>
        <v> </v>
      </c>
      <c r="L5204" s="27"/>
    </row>
    <row r="5205" spans="1:12">
      <c r="A5205" s="20" t="s">
        <v>1257</v>
      </c>
      <c r="B5205" s="21" t="s">
        <v>1191</v>
      </c>
      <c r="C5205" s="21" t="s">
        <v>1179</v>
      </c>
      <c r="D5205" s="21" t="s">
        <v>1180</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t="s">
        <v>1182</v>
      </c>
      <c r="E5206" s="22">
        <f>IF(D5206="?OLD","!!!","")</f>
        <v/>
      </c>
      <c r="F5206" s="23" t="str">
        <f>IF(OR(E5206="",E5206="!!!"),"",IF(NOT(ISNA(VLOOKUP(E5206,E$1:E5205,1,FALSE()))),"OLD",IF(AND(E5206&lt;&gt;"",E5206&lt;&gt;"!!!"),"NEW","")))</f>
        <v> </v>
      </c>
      <c r="G5206" s="24" t="str">
        <f>IF(OR(E5206="",E5206="!!!"),"",IF(OR(J5206=0,AND(J5206=1,K5206=1),AND(J5206=1,I5206="SBJ"),AND(J5206=1,I5206=0)),"?IN_FOCUS",IF(J5206&lt;=2,"?ACTIVATED",IF(J5206&lt;&gt;"","?FAMILIAR",IF(F5206="NEW",IF(ISNA(VLOOKUP(E5206,#REF!,1,FALSE())),"?TYPE_IDENTIFIABLE","?REFERENTIAL"),"_")))))</f>
        <v> </v>
      </c>
      <c r="H5206" s="25" t="str">
        <f>IF(J5206&lt;&gt;1,"",IF(I5206="SBJ","CB","?"))</f>
        <v> </v>
      </c>
      <c r="I5206" s="26" t="str">
        <f>IF(OR(E5206="",E5206="!!!",F5206="NEW"),"",INDEX(B5205:B$2,-1+SUMPRODUCT(MAX(ROW(E5205:E$2)*(E5206=E5205:E$2)))))</f>
        <v> </v>
      </c>
      <c r="J5206" s="26" t="str">
        <f>IF(OR(E5206="",E5206="!!!",F5206="NEW"),"",COUNTBLANK(OFFSET(A$1,,,SUMPRODUCT(MAX(ROW(E$2:E5206)*(E5206=E$2:E5206)))))-COUNTBLANK(OFFSET(A$1,,,SUMPRODUCT(MAX(ROW(E$1:E5205)*(E2=E$1:E5205))))))</f>
        <v> </v>
      </c>
      <c r="K5206" s="26" t="str">
        <f>IF(OR(E5206="",E5206="!!!",F5206="NEW"),"",INDEX(J$1:J5205,SUMPRODUCT(MAX(ROW(E$1:E5205)*(E5206=E$1:E5205)))))</f>
        <v> </v>
      </c>
      <c r="L5206" s="27"/>
    </row>
    <row r="5207" spans="1:12">
      <c r="A5207" s="20" t="s">
        <v>2658</v>
      </c>
      <c r="B5207" s="21" t="s">
        <v>1178</v>
      </c>
      <c r="C5207" s="21" t="s">
        <v>1179</v>
      </c>
      <c r="D5207" s="21" t="s">
        <v>1180</v>
      </c>
      <c r="E5207" s="22">
        <f>IF(D5207="?OLD","!!!","")</f>
        <v/>
      </c>
      <c r="F5207" s="23" t="str">
        <f>IF(OR(E5207="",E5207="!!!"),"",IF(NOT(ISNA(VLOOKUP(E5207,E$1:E5206,1,FALSE()))),"OLD",IF(AND(E5207&lt;&gt;"",E5207&lt;&gt;"!!!"),"NEW","")))</f>
        <v> </v>
      </c>
      <c r="G5207" s="24" t="str">
        <f>IF(OR(E5207="",E5207="!!!"),"",IF(OR(J5207=0,AND(J5207=1,K5207=1),AND(J5207=1,I5207="SBJ"),AND(J5207=1,I5207=0)),"?IN_FOCUS",IF(J5207&lt;=2,"?ACTIVATED",IF(J5207&lt;&gt;"","?FAMILIAR",IF(F5207="NEW",IF(ISNA(VLOOKUP(E5207,#REF!,1,FALSE())),"?TYPE_IDENTIFIABLE","?REFERENTIAL"),"_")))))</f>
        <v> </v>
      </c>
      <c r="H5207" s="25" t="str">
        <f>IF(J5207&lt;&gt;1,"",IF(I5207="SBJ","CB","?"))</f>
        <v> </v>
      </c>
      <c r="I5207" s="26" t="str">
        <f>IF(OR(E5207="",E5207="!!!",F5207="NEW"),"",INDEX(B5206:B$2,-1+SUMPRODUCT(MAX(ROW(E5206:E$2)*(E5207=E5206:E$2)))))</f>
        <v> </v>
      </c>
      <c r="J5207" s="26" t="str">
        <f>IF(OR(E5207="",E5207="!!!",F5207="NEW"),"",COUNTBLANK(OFFSET(A$1,,,SUMPRODUCT(MAX(ROW(E$2:E5207)*(E5207=E$2:E5207)))))-COUNTBLANK(OFFSET(A$1,,,SUMPRODUCT(MAX(ROW(E$1:E5206)*(E2=E$1:E5206))))))</f>
        <v> </v>
      </c>
      <c r="K5207" s="26" t="str">
        <f>IF(OR(E5207="",E5207="!!!",F5207="NEW"),"",INDEX(J$1:J5206,SUMPRODUCT(MAX(ROW(E$1:E5206)*(E5207=E$1:E5206)))))</f>
        <v> </v>
      </c>
      <c r="L5207" s="27"/>
    </row>
    <row r="5208" spans="1:12">
      <c r="A5208" s="20" t="s">
        <v>925</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2659</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11</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2660</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t="s">
        <v>818</v>
      </c>
      <c r="E5212" s="22">
        <f>IF(D5212="?OLD","!!!","")</f>
        <v/>
      </c>
      <c r="F5212" s="23" t="str">
        <f>IF(OR(E5212="",E5212="!!!"),"",IF(NOT(ISNA(VLOOKUP(E5212,E$1:E5211,1,FALSE()))),"OLD",IF(AND(E5212&lt;&gt;"",E5212&lt;&gt;"!!!"),"NEW","")))</f>
        <v> </v>
      </c>
      <c r="G5212" s="24" t="str">
        <f>IF(OR(E5212="",E5212="!!!"),"",IF(OR(J5212=0,AND(J5212=1,K5212=1),AND(J5212=1,I5212="SBJ"),AND(J5212=1,I5212=0)),"?IN_FOCUS",IF(J5212&lt;=2,"?ACTIVATED",IF(J5212&lt;&gt;"","?FAMILIAR",IF(F5212="NEW",IF(ISNA(VLOOKUP(E5212,#REF!,1,FALSE())),"?TYPE_IDENTIFIABLE","?REFERENTIAL"),"_")))))</f>
        <v> </v>
      </c>
      <c r="H5212" s="25" t="str">
        <f>IF(J5212&lt;&gt;1,"",IF(I5212="SBJ","CB","?"))</f>
        <v> </v>
      </c>
      <c r="I5212" s="26" t="str">
        <f>IF(OR(E5212="",E5212="!!!",F5212="NEW"),"",INDEX(B5211:B$2,-1+SUMPRODUCT(MAX(ROW(E5211:E$2)*(E5212=E5211:E$2)))))</f>
        <v> </v>
      </c>
      <c r="J5212" s="26" t="str">
        <f>IF(OR(E5212="",E5212="!!!",F5212="NEW"),"",COUNTBLANK(OFFSET(A$1,,,SUMPRODUCT(MAX(ROW(E$2:E5212)*(E5212=E$2:E5212)))))-COUNTBLANK(OFFSET(A$1,,,SUMPRODUCT(MAX(ROW(E$1:E5211)*(E2=E$1:E5211))))))</f>
        <v> </v>
      </c>
      <c r="K5212" s="26" t="str">
        <f>IF(OR(E5212="",E5212="!!!",F5212="NEW"),"",INDEX(J$1:J5211,SUMPRODUCT(MAX(ROW(E$1:E5211)*(E5212=E$1:E5211)))))</f>
        <v> </v>
      </c>
      <c r="L5212" s="27"/>
    </row>
    <row r="5213" spans="1:12">
      <c r="A5213" s="20"/>
    </row>
    <row r="5214" spans="1:12">
      <c r="A5214" s="20" t="s">
        <v>2661</v>
      </c>
    </row>
    <row r="5215" spans="1:12">
      <c r="A5215" s="20" t="s">
        <v>925</v>
      </c>
      <c r="B5215" s="21" t="s">
        <v>1178</v>
      </c>
      <c r="C5215" s="21" t="s">
        <v>1179</v>
      </c>
      <c r="D5215" s="21" t="s">
        <v>1180</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t="s">
        <v>1185</v>
      </c>
      <c r="E5216" s="22">
        <f>IF(D5216="?OLD","!!!","")</f>
        <v/>
      </c>
      <c r="F5216" s="23" t="str">
        <f>IF(OR(E5216="",E5216="!!!"),"",IF(NOT(ISNA(VLOOKUP(E5216,E$1:E5215,1,FALSE()))),"OLD",IF(AND(E5216&lt;&gt;"",E5216&lt;&gt;"!!!"),"NEW","")))</f>
        <v> </v>
      </c>
      <c r="G5216" s="24" t="str">
        <f>IF(OR(E5216="",E5216="!!!"),"",IF(OR(J5216=0,AND(J5216=1,K5216=1),AND(J5216=1,I5216="SBJ"),AND(J5216=1,I5216=0)),"?IN_FOCUS",IF(J5216&lt;=2,"?ACTIVATED",IF(J5216&lt;&gt;"","?FAMILIAR",IF(F5216="NEW",IF(ISNA(VLOOKUP(E5216,#REF!,1,FALSE())),"?TYPE_IDENTIFIABLE","?REFERENTIAL"),"_")))))</f>
        <v> </v>
      </c>
      <c r="H5216" s="25" t="str">
        <f>IF(J5216&lt;&gt;1,"",IF(I5216="SBJ","CB","?"))</f>
        <v> </v>
      </c>
      <c r="I5216" s="26" t="str">
        <f>IF(OR(E5216="",E5216="!!!",F5216="NEW"),"",INDEX(B5215:B$2,-1+SUMPRODUCT(MAX(ROW(E5215:E$2)*(E5216=E5215:E$2)))))</f>
        <v> </v>
      </c>
      <c r="J5216" s="26" t="str">
        <f>IF(OR(E5216="",E5216="!!!",F5216="NEW"),"",COUNTBLANK(OFFSET(A$1,,,SUMPRODUCT(MAX(ROW(E$2:E5216)*(E5216=E$2:E5216)))))-COUNTBLANK(OFFSET(A$1,,,SUMPRODUCT(MAX(ROW(E$1:E5215)*(E2=E$1:E5215))))))</f>
        <v> </v>
      </c>
      <c r="K5216" s="26" t="str">
        <f>IF(OR(E5216="",E5216="!!!",F5216="NEW"),"",INDEX(J$1:J5215,SUMPRODUCT(MAX(ROW(E$1:E5215)*(E5216=E$1:E5215)))))</f>
        <v> </v>
      </c>
      <c r="L5216" s="27"/>
    </row>
    <row r="5217" spans="1:12">
      <c r="A5217" s="20" t="s">
        <v>2662</v>
      </c>
      <c r="E5217" s="22">
        <f>IF(D5217="?OLD","!!!","")</f>
        <v/>
      </c>
      <c r="F5217" s="23" t="str">
        <f>IF(OR(E5217="",E5217="!!!"),"",IF(NOT(ISNA(VLOOKUP(E5217,E$1:E5216,1,FALSE()))),"OLD",IF(AND(E5217&lt;&gt;"",E5217&lt;&gt;"!!!"),"NEW","")))</f>
        <v> </v>
      </c>
      <c r="G5217" s="24" t="str">
        <f>IF(OR(E5217="",E5217="!!!"),"",IF(OR(J5217=0,AND(J5217=1,K5217=1),AND(J5217=1,I5217="SBJ"),AND(J5217=1,I5217=0)),"?IN_FOCUS",IF(J5217&lt;=2,"?ACTIVATED",IF(J5217&lt;&gt;"","?FAMILIAR",IF(F5217="NEW",IF(ISNA(VLOOKUP(E5217,#REF!,1,FALSE())),"?TYPE_IDENTIFIABLE","?REFERENTIAL"),"_")))))</f>
        <v> </v>
      </c>
      <c r="H5217" s="25" t="str">
        <f>IF(J5217&lt;&gt;1,"",IF(I5217="SBJ","CB","?"))</f>
        <v> </v>
      </c>
      <c r="I5217" s="26" t="str">
        <f>IF(OR(E5217="",E5217="!!!",F5217="NEW"),"",INDEX(B5216:B$2,-1+SUMPRODUCT(MAX(ROW(E5216:E$2)*(E5217=E5216:E$2)))))</f>
        <v> </v>
      </c>
      <c r="J5217" s="26" t="str">
        <f>IF(OR(E5217="",E5217="!!!",F5217="NEW"),"",COUNTBLANK(OFFSET(A$1,,,SUMPRODUCT(MAX(ROW(E$2:E5217)*(E5217=E$2:E5217)))))-COUNTBLANK(OFFSET(A$1,,,SUMPRODUCT(MAX(ROW(E$1:E5216)*(E2=E$1:E5216))))))</f>
        <v> </v>
      </c>
      <c r="K5217" s="26" t="str">
        <f>IF(OR(E5217="",E5217="!!!",F5217="NEW"),"",INDEX(J$1:J5216,SUMPRODUCT(MAX(ROW(E$1:E5216)*(E5217=E$1:E5216)))))</f>
        <v> </v>
      </c>
      <c r="L5217" s="27"/>
    </row>
    <row r="5218" spans="1:12">
      <c r="A5218" s="20" t="s">
        <v>57</v>
      </c>
      <c r="B5218" s="21" t="s">
        <v>1240</v>
      </c>
      <c r="C5218" s="21" t="s">
        <v>1195</v>
      </c>
      <c r="D5218" s="21" t="s">
        <v>1180</v>
      </c>
      <c r="E5218" s="22">
        <f>IF(D5218="?OLD","!!!","")</f>
        <v/>
      </c>
      <c r="F5218" s="23" t="str">
        <f>IF(OR(E5218="",E5218="!!!"),"",IF(NOT(ISNA(VLOOKUP(E5218,E$1:E5217,1,FALSE()))),"OLD",IF(AND(E5218&lt;&gt;"",E5218&lt;&gt;"!!!"),"NEW","")))</f>
        <v> </v>
      </c>
      <c r="G5218" s="24" t="str">
        <f>IF(OR(E5218="",E5218="!!!"),"",IF(OR(J5218=0,AND(J5218=1,K5218=1),AND(J5218=1,I5218="SBJ"),AND(J5218=1,I5218=0)),"?IN_FOCUS",IF(J5218&lt;=2,"?ACTIVATED",IF(J5218&lt;&gt;"","?FAMILIAR",IF(F5218="NEW",IF(ISNA(VLOOKUP(E5218,#REF!,1,FALSE())),"?TYPE_IDENTIFIABLE","?REFERENTIAL"),"_")))))</f>
        <v> </v>
      </c>
      <c r="H5218" s="25" t="str">
        <f>IF(J5218&lt;&gt;1,"",IF(I5218="SBJ","CB","?"))</f>
        <v> </v>
      </c>
      <c r="I5218" s="26" t="str">
        <f>IF(OR(E5218="",E5218="!!!",F5218="NEW"),"",INDEX(B5217:B$2,-1+SUMPRODUCT(MAX(ROW(E5217:E$2)*(E5218=E5217:E$2)))))</f>
        <v> </v>
      </c>
      <c r="J5218" s="26" t="str">
        <f>IF(OR(E5218="",E5218="!!!",F5218="NEW"),"",COUNTBLANK(OFFSET(A$1,,,SUMPRODUCT(MAX(ROW(E$2:E5218)*(E5218=E$2:E5218)))))-COUNTBLANK(OFFSET(A$1,,,SUMPRODUCT(MAX(ROW(E$1:E5217)*(E2=E$1:E5217))))))</f>
        <v> </v>
      </c>
      <c r="K5218" s="26" t="str">
        <f>IF(OR(E5218="",E5218="!!!",F5218="NEW"),"",INDEX(J$1:J5217,SUMPRODUCT(MAX(ROW(E$1:E5217)*(E5218=E$1:E5217)))))</f>
        <v> </v>
      </c>
      <c r="L5218" s="27"/>
    </row>
    <row r="5219" spans="1:12">
      <c r="A5219" s="20" t="s">
        <v>2663</v>
      </c>
      <c r="E5219" s="22">
        <f>IF(D5219="?OLD","!!!","")</f>
        <v/>
      </c>
      <c r="F5219" s="23" t="str">
        <f>IF(OR(E5219="",E5219="!!!"),"",IF(NOT(ISNA(VLOOKUP(E5219,E$1:E5218,1,FALSE()))),"OLD",IF(AND(E5219&lt;&gt;"",E5219&lt;&gt;"!!!"),"NEW","")))</f>
        <v> </v>
      </c>
      <c r="G5219" s="24" t="str">
        <f>IF(OR(E5219="",E5219="!!!"),"",IF(OR(J5219=0,AND(J5219=1,K5219=1),AND(J5219=1,I5219="SBJ"),AND(J5219=1,I5219=0)),"?IN_FOCUS",IF(J5219&lt;=2,"?ACTIVATED",IF(J5219&lt;&gt;"","?FAMILIAR",IF(F5219="NEW",IF(ISNA(VLOOKUP(E5219,#REF!,1,FALSE())),"?TYPE_IDENTIFIABLE","?REFERENTIAL"),"_")))))</f>
        <v> </v>
      </c>
      <c r="H5219" s="25" t="str">
        <f>IF(J5219&lt;&gt;1,"",IF(I5219="SBJ","CB","?"))</f>
        <v> </v>
      </c>
      <c r="I5219" s="26" t="str">
        <f>IF(OR(E5219="",E5219="!!!",F5219="NEW"),"",INDEX(B5218:B$2,-1+SUMPRODUCT(MAX(ROW(E5218:E$2)*(E5219=E5218:E$2)))))</f>
        <v> </v>
      </c>
      <c r="J5219" s="26" t="str">
        <f>IF(OR(E5219="",E5219="!!!",F5219="NEW"),"",COUNTBLANK(OFFSET(A$1,,,SUMPRODUCT(MAX(ROW(E$2:E5219)*(E5219=E$2:E5219)))))-COUNTBLANK(OFFSET(A$1,,,SUMPRODUCT(MAX(ROW(E$1:E5218)*(E2=E$1:E5218))))))</f>
        <v> </v>
      </c>
      <c r="K5219" s="26" t="str">
        <f>IF(OR(E5219="",E5219="!!!",F5219="NEW"),"",INDEX(J$1:J5218,SUMPRODUCT(MAX(ROW(E$1:E5218)*(E5219=E$1:E5218)))))</f>
        <v> </v>
      </c>
      <c r="L5219" s="27"/>
    </row>
    <row r="5220" spans="1:12">
      <c r="A5220" s="20" t="s">
        <v>1295</v>
      </c>
      <c r="E5220" s="22">
        <f>IF(D5220="?OLD","!!!","")</f>
        <v/>
      </c>
      <c r="F5220" s="23" t="str">
        <f>IF(OR(E5220="",E5220="!!!"),"",IF(NOT(ISNA(VLOOKUP(E5220,E$1:E5219,1,FALSE()))),"OLD",IF(AND(E5220&lt;&gt;"",E5220&lt;&gt;"!!!"),"NEW","")))</f>
        <v> </v>
      </c>
      <c r="G5220" s="24" t="str">
        <f>IF(OR(E5220="",E5220="!!!"),"",IF(OR(J5220=0,AND(J5220=1,K5220=1),AND(J5220=1,I5220="SBJ"),AND(J5220=1,I5220=0)),"?IN_FOCUS",IF(J5220&lt;=2,"?ACTIVATED",IF(J5220&lt;&gt;"","?FAMILIAR",IF(F5220="NEW",IF(ISNA(VLOOKUP(E5220,#REF!,1,FALSE())),"?TYPE_IDENTIFIABLE","?REFERENTIAL"),"_")))))</f>
        <v> </v>
      </c>
      <c r="H5220" s="25" t="str">
        <f>IF(J5220&lt;&gt;1,"",IF(I5220="SBJ","CB","?"))</f>
        <v> </v>
      </c>
      <c r="I5220" s="26" t="str">
        <f>IF(OR(E5220="",E5220="!!!",F5220="NEW"),"",INDEX(B5219:B$2,-1+SUMPRODUCT(MAX(ROW(E5219:E$2)*(E5220=E5219:E$2)))))</f>
        <v> </v>
      </c>
      <c r="J5220" s="26" t="str">
        <f>IF(OR(E5220="",E5220="!!!",F5220="NEW"),"",COUNTBLANK(OFFSET(A$1,,,SUMPRODUCT(MAX(ROW(E$2:E5220)*(E5220=E$2:E5220)))))-COUNTBLANK(OFFSET(A$1,,,SUMPRODUCT(MAX(ROW(E$1:E5219)*(E2=E$1:E5219))))))</f>
        <v> </v>
      </c>
      <c r="K5220" s="26" t="str">
        <f>IF(OR(E5220="",E5220="!!!",F5220="NEW"),"",INDEX(J$1:J5219,SUMPRODUCT(MAX(ROW(E$1:E5219)*(E5220=E$1:E5219)))))</f>
        <v> </v>
      </c>
      <c r="L5220" s="27"/>
    </row>
    <row r="5221" spans="1:12">
      <c r="A5221" s="20" t="s">
        <v>1381</v>
      </c>
      <c r="B5221" s="21" t="s">
        <v>1237</v>
      </c>
      <c r="C5221" s="21" t="s">
        <v>1254</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96</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1249</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row>
    <row r="5225" spans="1:12">
      <c r="A5225" s="20" t="s">
        <v>2664</v>
      </c>
    </row>
    <row r="5226" spans="1:12">
      <c r="A5226" s="20" t="s">
        <v>2437</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t="s">
        <v>427</v>
      </c>
      <c r="B5227" s="21" t="s">
        <v>1194</v>
      </c>
      <c r="C5227" s="21" t="s">
        <v>1238</v>
      </c>
      <c r="D5227" s="21" t="s">
        <v>1180</v>
      </c>
      <c r="E5227" s="22">
        <f>IF(D5227="?OLD","!!!","")</f>
        <v/>
      </c>
      <c r="F5227" s="23" t="str">
        <f>IF(OR(E5227="",E5227="!!!"),"",IF(NOT(ISNA(VLOOKUP(E5227,E$1:E5226,1,FALSE()))),"OLD",IF(AND(E5227&lt;&gt;"",E5227&lt;&gt;"!!!"),"NEW","")))</f>
        <v> </v>
      </c>
      <c r="G5227" s="24" t="str">
        <f>IF(OR(E5227="",E5227="!!!"),"",IF(OR(J5227=0,AND(J5227=1,K5227=1),AND(J5227=1,I5227="SBJ"),AND(J5227=1,I5227=0)),"?IN_FOCUS",IF(J5227&lt;=2,"?ACTIVATED",IF(J5227&lt;&gt;"","?FAMILIAR",IF(F5227="NEW",IF(ISNA(VLOOKUP(E5227,#REF!,1,FALSE())),"?TYPE_IDENTIFIABLE","?REFERENTIAL"),"_")))))</f>
        <v> </v>
      </c>
      <c r="H5227" s="25" t="str">
        <f>IF(J5227&lt;&gt;1,"",IF(I5227="SBJ","CB","?"))</f>
        <v> </v>
      </c>
      <c r="I5227" s="26" t="str">
        <f>IF(OR(E5227="",E5227="!!!",F5227="NEW"),"",INDEX(B5226:B$2,-1+SUMPRODUCT(MAX(ROW(E5226:E$2)*(E5227=E5226:E$2)))))</f>
        <v> </v>
      </c>
      <c r="J5227" s="26" t="str">
        <f>IF(OR(E5227="",E5227="!!!",F5227="NEW"),"",COUNTBLANK(OFFSET(A$1,,,SUMPRODUCT(MAX(ROW(E$2:E5227)*(E5227=E$2:E5227)))))-COUNTBLANK(OFFSET(A$1,,,SUMPRODUCT(MAX(ROW(E$1:E5226)*(E2=E$1:E5226))))))</f>
        <v> </v>
      </c>
      <c r="K5227" s="26" t="str">
        <f>IF(OR(E5227="",E5227="!!!",F5227="NEW"),"",INDEX(J$1:J5226,SUMPRODUCT(MAX(ROW(E$1:E5226)*(E5227=E$1:E5226)))))</f>
        <v> </v>
      </c>
      <c r="L5227" s="27"/>
    </row>
    <row r="5228" spans="1:12">
      <c r="A5228" s="20" t="s">
        <v>1265</v>
      </c>
      <c r="E5228" s="22">
        <f>IF(D5228="?OLD","!!!","")</f>
        <v/>
      </c>
      <c r="F5228" s="23" t="str">
        <f>IF(OR(E5228="",E5228="!!!"),"",IF(NOT(ISNA(VLOOKUP(E5228,E$1:E5227,1,FALSE()))),"OLD",IF(AND(E5228&lt;&gt;"",E5228&lt;&gt;"!!!"),"NEW","")))</f>
        <v> </v>
      </c>
      <c r="G5228" s="24" t="str">
        <f>IF(OR(E5228="",E5228="!!!"),"",IF(OR(J5228=0,AND(J5228=1,K5228=1),AND(J5228=1,I5228="SBJ"),AND(J5228=1,I5228=0)),"?IN_FOCUS",IF(J5228&lt;=2,"?ACTIVATED",IF(J5228&lt;&gt;"","?FAMILIAR",IF(F5228="NEW",IF(ISNA(VLOOKUP(E5228,#REF!,1,FALSE())),"?TYPE_IDENTIFIABLE","?REFERENTIAL"),"_")))))</f>
        <v> </v>
      </c>
      <c r="H5228" s="25" t="str">
        <f>IF(J5228&lt;&gt;1,"",IF(I5228="SBJ","CB","?"))</f>
        <v> </v>
      </c>
      <c r="I5228" s="26" t="str">
        <f>IF(OR(E5228="",E5228="!!!",F5228="NEW"),"",INDEX(B5227:B$2,-1+SUMPRODUCT(MAX(ROW(E5227:E$2)*(E5228=E5227:E$2)))))</f>
        <v> </v>
      </c>
      <c r="J5228" s="26" t="str">
        <f>IF(OR(E5228="",E5228="!!!",F5228="NEW"),"",COUNTBLANK(OFFSET(A$1,,,SUMPRODUCT(MAX(ROW(E$2:E5228)*(E5228=E$2:E5228)))))-COUNTBLANK(OFFSET(A$1,,,SUMPRODUCT(MAX(ROW(E$1:E5227)*(E2=E$1:E5227))))))</f>
        <v> </v>
      </c>
      <c r="K5228" s="26" t="str">
        <f>IF(OR(E5228="",E5228="!!!",F5228="NEW"),"",INDEX(J$1:J5227,SUMPRODUCT(MAX(ROW(E$1:E5227)*(E5228=E$1:E5227)))))</f>
        <v> </v>
      </c>
      <c r="L5228" s="27"/>
    </row>
    <row r="5229" spans="1:12">
      <c r="A5229" s="20" t="s">
        <v>929</v>
      </c>
      <c r="B5229" s="21" t="s">
        <v>1178</v>
      </c>
      <c r="C5229" s="21" t="s">
        <v>1223</v>
      </c>
      <c r="E5229" s="22">
        <f>IF(D5229="?OLD","!!!","")</f>
        <v/>
      </c>
      <c r="F5229" s="23" t="str">
        <f>IF(OR(E5229="",E5229="!!!"),"",IF(NOT(ISNA(VLOOKUP(E5229,E$1:E5228,1,FALSE()))),"OLD",IF(AND(E5229&lt;&gt;"",E5229&lt;&gt;"!!!"),"NEW","")))</f>
        <v> </v>
      </c>
      <c r="G5229" s="24" t="str">
        <f>IF(OR(E5229="",E5229="!!!"),"",IF(OR(J5229=0,AND(J5229=1,K5229=1),AND(J5229=1,I5229="SBJ"),AND(J5229=1,I5229=0)),"?IN_FOCUS",IF(J5229&lt;=2,"?ACTIVATED",IF(J5229&lt;&gt;"","?FAMILIAR",IF(F5229="NEW",IF(ISNA(VLOOKUP(E5229,#REF!,1,FALSE())),"?TYPE_IDENTIFIABLE","?REFERENTIAL"),"_")))))</f>
        <v> </v>
      </c>
      <c r="H5229" s="25" t="str">
        <f>IF(J5229&lt;&gt;1,"",IF(I5229="SBJ","CB","?"))</f>
        <v> </v>
      </c>
      <c r="I5229" s="26" t="str">
        <f>IF(OR(E5229="",E5229="!!!",F5229="NEW"),"",INDEX(B5228:B$2,-1+SUMPRODUCT(MAX(ROW(E5228:E$2)*(E5229=E5228:E$2)))))</f>
        <v> </v>
      </c>
      <c r="J5229" s="26" t="str">
        <f>IF(OR(E5229="",E5229="!!!",F5229="NEW"),"",COUNTBLANK(OFFSET(A$1,,,SUMPRODUCT(MAX(ROW(E$2:E5229)*(E5229=E$2:E5229)))))-COUNTBLANK(OFFSET(A$1,,,SUMPRODUCT(MAX(ROW(E$1:E5228)*(E2=E$1:E5228))))))</f>
        <v> </v>
      </c>
      <c r="K5229" s="26" t="str">
        <f>IF(OR(E5229="",E5229="!!!",F5229="NEW"),"",INDEX(J$1:J5228,SUMPRODUCT(MAX(ROW(E$1:E5228)*(E5229=E$1:E5228)))))</f>
        <v> </v>
      </c>
      <c r="L5229" s="27"/>
    </row>
    <row r="5230" spans="1:12">
      <c r="A5230" s="20" t="s">
        <v>1352</v>
      </c>
      <c r="E5230" s="22">
        <f>IF(D5230="?OLD","!!!","")</f>
        <v/>
      </c>
      <c r="F5230" s="23" t="str">
        <f>IF(OR(E5230="",E5230="!!!"),"",IF(NOT(ISNA(VLOOKUP(E5230,E$1:E5229,1,FALSE()))),"OLD",IF(AND(E5230&lt;&gt;"",E5230&lt;&gt;"!!!"),"NEW","")))</f>
        <v> </v>
      </c>
      <c r="G5230" s="24" t="str">
        <f>IF(OR(E5230="",E5230="!!!"),"",IF(OR(J5230=0,AND(J5230=1,K5230=1),AND(J5230=1,I5230="SBJ"),AND(J5230=1,I5230=0)),"?IN_FOCUS",IF(J5230&lt;=2,"?ACTIVATED",IF(J5230&lt;&gt;"","?FAMILIAR",IF(F5230="NEW",IF(ISNA(VLOOKUP(E5230,#REF!,1,FALSE())),"?TYPE_IDENTIFIABLE","?REFERENTIAL"),"_")))))</f>
        <v> </v>
      </c>
      <c r="H5230" s="25" t="str">
        <f>IF(J5230&lt;&gt;1,"",IF(I5230="SBJ","CB","?"))</f>
        <v> </v>
      </c>
      <c r="I5230" s="26" t="str">
        <f>IF(OR(E5230="",E5230="!!!",F5230="NEW"),"",INDEX(B5229:B$2,-1+SUMPRODUCT(MAX(ROW(E5229:E$2)*(E5230=E5229:E$2)))))</f>
        <v> </v>
      </c>
      <c r="J5230" s="26" t="str">
        <f>IF(OR(E5230="",E5230="!!!",F5230="NEW"),"",COUNTBLANK(OFFSET(A$1,,,SUMPRODUCT(MAX(ROW(E$2:E5230)*(E5230=E$2:E5230)))))-COUNTBLANK(OFFSET(A$1,,,SUMPRODUCT(MAX(ROW(E$1:E5229)*(E2=E$1:E5229))))))</f>
        <v> </v>
      </c>
      <c r="K5230" s="26" t="str">
        <f>IF(OR(E5230="",E5230="!!!",F5230="NEW"),"",INDEX(J$1:J5229,SUMPRODUCT(MAX(ROW(E$1:E5229)*(E5230=E$1:E5229)))))</f>
        <v> </v>
      </c>
      <c r="L5230" s="27"/>
    </row>
    <row r="5231" spans="1:12">
      <c r="A5231" s="20" t="s">
        <v>925</v>
      </c>
      <c r="B5231" s="21" t="s">
        <v>1178</v>
      </c>
      <c r="C5231" s="21" t="s">
        <v>1179</v>
      </c>
      <c r="D5231" s="21" t="s">
        <v>1180</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1249</v>
      </c>
      <c r="E5232" s="22">
        <f>IF(D5232="?OLD","!!!","")</f>
        <v/>
      </c>
      <c r="F5232" s="23" t="str">
        <f>IF(OR(E5232="",E5232="!!!"),"",IF(NOT(ISNA(VLOOKUP(E5232,E$1:E5231,1,FALSE()))),"OLD",IF(AND(E5232&lt;&gt;"",E5232&lt;&gt;"!!!"),"NEW","")))</f>
        <v> </v>
      </c>
      <c r="G5232" s="24" t="str">
        <f>IF(OR(E5232="",E5232="!!!"),"",IF(OR(J5232=0,AND(J5232=1,K5232=1),AND(J5232=1,I5232="SBJ"),AND(J5232=1,I5232=0)),"?IN_FOCUS",IF(J5232&lt;=2,"?ACTIVATED",IF(J5232&lt;&gt;"","?FAMILIAR",IF(F5232="NEW",IF(ISNA(VLOOKUP(E5232,#REF!,1,FALSE())),"?TYPE_IDENTIFIABLE","?REFERENTIAL"),"_")))))</f>
        <v> </v>
      </c>
      <c r="H5232" s="25" t="str">
        <f>IF(J5232&lt;&gt;1,"",IF(I5232="SBJ","CB","?"))</f>
        <v> </v>
      </c>
      <c r="I5232" s="26" t="str">
        <f>IF(OR(E5232="",E5232="!!!",F5232="NEW"),"",INDEX(B5231:B$2,-1+SUMPRODUCT(MAX(ROW(E5231:E$2)*(E5232=E5231:E$2)))))</f>
        <v> </v>
      </c>
      <c r="J5232" s="26" t="str">
        <f>IF(OR(E5232="",E5232="!!!",F5232="NEW"),"",COUNTBLANK(OFFSET(A$1,,,SUMPRODUCT(MAX(ROW(E$2:E5232)*(E5232=E$2:E5232)))))-COUNTBLANK(OFFSET(A$1,,,SUMPRODUCT(MAX(ROW(E$1:E5231)*(E2=E$1:E5231))))))</f>
        <v> </v>
      </c>
      <c r="K5232" s="26" t="str">
        <f>IF(OR(E5232="",E5232="!!!",F5232="NEW"),"",INDEX(J$1:J5231,SUMPRODUCT(MAX(ROW(E$1:E5231)*(E5232=E$1:E5231)))))</f>
        <v> </v>
      </c>
      <c r="L5232" s="27"/>
    </row>
    <row r="5233" spans="1:12">
      <c r="A5233" s="20"/>
    </row>
    <row r="5234" spans="1:12">
      <c r="A5234" s="20" t="s">
        <v>2665</v>
      </c>
    </row>
    <row r="5235" spans="1:12">
      <c r="A5235" s="20" t="s">
        <v>925</v>
      </c>
      <c r="B5235" s="21" t="s">
        <v>1178</v>
      </c>
      <c r="C5235" s="21" t="s">
        <v>1179</v>
      </c>
      <c r="D5235" s="21" t="s">
        <v>1180</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t="s">
        <v>1185</v>
      </c>
      <c r="E5236" s="22">
        <f>IF(D5236="?OLD","!!!","")</f>
        <v/>
      </c>
      <c r="F5236" s="23" t="str">
        <f>IF(OR(E5236="",E5236="!!!"),"",IF(NOT(ISNA(VLOOKUP(E5236,E$1:E5235,1,FALSE()))),"OLD",IF(AND(E5236&lt;&gt;"",E5236&lt;&gt;"!!!"),"NEW","")))</f>
        <v> </v>
      </c>
      <c r="G5236" s="24" t="str">
        <f>IF(OR(E5236="",E5236="!!!"),"",IF(OR(J5236=0,AND(J5236=1,K5236=1),AND(J5236=1,I5236="SBJ"),AND(J5236=1,I5236=0)),"?IN_FOCUS",IF(J5236&lt;=2,"?ACTIVATED",IF(J5236&lt;&gt;"","?FAMILIAR",IF(F5236="NEW",IF(ISNA(VLOOKUP(E5236,#REF!,1,FALSE())),"?TYPE_IDENTIFIABLE","?REFERENTIAL"),"_")))))</f>
        <v> </v>
      </c>
      <c r="H5236" s="25" t="str">
        <f>IF(J5236&lt;&gt;1,"",IF(I5236="SBJ","CB","?"))</f>
        <v> </v>
      </c>
      <c r="I5236" s="26" t="str">
        <f>IF(OR(E5236="",E5236="!!!",F5236="NEW"),"",INDEX(B5235:B$2,-1+SUMPRODUCT(MAX(ROW(E5235:E$2)*(E5236=E5235:E$2)))))</f>
        <v> </v>
      </c>
      <c r="J5236" s="26" t="str">
        <f>IF(OR(E5236="",E5236="!!!",F5236="NEW"),"",COUNTBLANK(OFFSET(A$1,,,SUMPRODUCT(MAX(ROW(E$2:E5236)*(E5236=E$2:E5236)))))-COUNTBLANK(OFFSET(A$1,,,SUMPRODUCT(MAX(ROW(E$1:E5235)*(E2=E$1:E5235))))))</f>
        <v> </v>
      </c>
      <c r="K5236" s="26" t="str">
        <f>IF(OR(E5236="",E5236="!!!",F5236="NEW"),"",INDEX(J$1:J5235,SUMPRODUCT(MAX(ROW(E$1:E5235)*(E5236=E$1:E5235)))))</f>
        <v> </v>
      </c>
      <c r="L5236" s="27"/>
    </row>
    <row r="5237" spans="1:12">
      <c r="A5237" s="20" t="s">
        <v>1559</v>
      </c>
      <c r="E5237" s="22">
        <f>IF(D5237="?OLD","!!!","")</f>
        <v/>
      </c>
      <c r="F5237" s="23" t="str">
        <f>IF(OR(E5237="",E5237="!!!"),"",IF(NOT(ISNA(VLOOKUP(E5237,E$1:E5236,1,FALSE()))),"OLD",IF(AND(E5237&lt;&gt;"",E5237&lt;&gt;"!!!"),"NEW","")))</f>
        <v> </v>
      </c>
      <c r="G5237" s="24" t="str">
        <f>IF(OR(E5237="",E5237="!!!"),"",IF(OR(J5237=0,AND(J5237=1,K5237=1),AND(J5237=1,I5237="SBJ"),AND(J5237=1,I5237=0)),"?IN_FOCUS",IF(J5237&lt;=2,"?ACTIVATED",IF(J5237&lt;&gt;"","?FAMILIAR",IF(F5237="NEW",IF(ISNA(VLOOKUP(E5237,#REF!,1,FALSE())),"?TYPE_IDENTIFIABLE","?REFERENTIAL"),"_")))))</f>
        <v> </v>
      </c>
      <c r="H5237" s="25" t="str">
        <f>IF(J5237&lt;&gt;1,"",IF(I5237="SBJ","CB","?"))</f>
        <v> </v>
      </c>
      <c r="I5237" s="26" t="str">
        <f>IF(OR(E5237="",E5237="!!!",F5237="NEW"),"",INDEX(B5236:B$2,-1+SUMPRODUCT(MAX(ROW(E5236:E$2)*(E5237=E5236:E$2)))))</f>
        <v> </v>
      </c>
      <c r="J5237" s="26" t="str">
        <f>IF(OR(E5237="",E5237="!!!",F5237="NEW"),"",COUNTBLANK(OFFSET(A$1,,,SUMPRODUCT(MAX(ROW(E$2:E5237)*(E5237=E$2:E5237)))))-COUNTBLANK(OFFSET(A$1,,,SUMPRODUCT(MAX(ROW(E$1:E5236)*(E2=E$1:E5236))))))</f>
        <v> </v>
      </c>
      <c r="K5237" s="26" t="str">
        <f>IF(OR(E5237="",E5237="!!!",F5237="NEW"),"",INDEX(J$1:J5236,SUMPRODUCT(MAX(ROW(E$1:E5236)*(E5237=E$1:E5236)))))</f>
        <v> </v>
      </c>
      <c r="L5237" s="27"/>
    </row>
    <row r="5238" spans="1:12">
      <c r="A5238" s="20" t="s">
        <v>1268</v>
      </c>
      <c r="E5238" s="22">
        <f>IF(D5238="?OLD","!!!","")</f>
        <v/>
      </c>
      <c r="F5238" s="23" t="str">
        <f>IF(OR(E5238="",E5238="!!!"),"",IF(NOT(ISNA(VLOOKUP(E5238,E$1:E5237,1,FALSE()))),"OLD",IF(AND(E5238&lt;&gt;"",E5238&lt;&gt;"!!!"),"NEW","")))</f>
        <v> </v>
      </c>
      <c r="G5238" s="24" t="str">
        <f>IF(OR(E5238="",E5238="!!!"),"",IF(OR(J5238=0,AND(J5238=1,K5238=1),AND(J5238=1,I5238="SBJ"),AND(J5238=1,I5238=0)),"?IN_FOCUS",IF(J5238&lt;=2,"?ACTIVATED",IF(J5238&lt;&gt;"","?FAMILIAR",IF(F5238="NEW",IF(ISNA(VLOOKUP(E5238,#REF!,1,FALSE())),"?TYPE_IDENTIFIABLE","?REFERENTIAL"),"_")))))</f>
        <v> </v>
      </c>
      <c r="H5238" s="25" t="str">
        <f>IF(J5238&lt;&gt;1,"",IF(I5238="SBJ","CB","?"))</f>
        <v> </v>
      </c>
      <c r="I5238" s="26" t="str">
        <f>IF(OR(E5238="",E5238="!!!",F5238="NEW"),"",INDEX(B5237:B$2,-1+SUMPRODUCT(MAX(ROW(E5237:E$2)*(E5238=E5237:E$2)))))</f>
        <v> </v>
      </c>
      <c r="J5238" s="26" t="str">
        <f>IF(OR(E5238="",E5238="!!!",F5238="NEW"),"",COUNTBLANK(OFFSET(A$1,,,SUMPRODUCT(MAX(ROW(E$2:E5238)*(E5238=E$2:E5238)))))-COUNTBLANK(OFFSET(A$1,,,SUMPRODUCT(MAX(ROW(E$1:E5237)*(E2=E$1:E5237))))))</f>
        <v> </v>
      </c>
      <c r="K5238" s="26" t="str">
        <f>IF(OR(E5238="",E5238="!!!",F5238="NEW"),"",INDEX(J$1:J5237,SUMPRODUCT(MAX(ROW(E$1:E5237)*(E5238=E$1:E5237)))))</f>
        <v> </v>
      </c>
      <c r="L5238" s="27"/>
    </row>
    <row r="5239" spans="1:12">
      <c r="A5239" s="20" t="s">
        <v>1330</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38</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t="s">
        <v>818</v>
      </c>
      <c r="E5241" s="22">
        <f>IF(D5241="?OLD","!!!","")</f>
        <v/>
      </c>
      <c r="F5241" s="23" t="str">
        <f>IF(OR(E5241="",E5241="!!!"),"",IF(NOT(ISNA(VLOOKUP(E5241,E$1:E5240,1,FALSE()))),"OLD",IF(AND(E5241&lt;&gt;"",E5241&lt;&gt;"!!!"),"NEW","")))</f>
        <v> </v>
      </c>
      <c r="G5241" s="24" t="str">
        <f>IF(OR(E5241="",E5241="!!!"),"",IF(OR(J5241=0,AND(J5241=1,K5241=1),AND(J5241=1,I5241="SBJ"),AND(J5241=1,I5241=0)),"?IN_FOCUS",IF(J5241&lt;=2,"?ACTIVATED",IF(J5241&lt;&gt;"","?FAMILIAR",IF(F5241="NEW",IF(ISNA(VLOOKUP(E5241,#REF!,1,FALSE())),"?TYPE_IDENTIFIABLE","?REFERENTIAL"),"_")))))</f>
        <v> </v>
      </c>
      <c r="H5241" s="25" t="str">
        <f>IF(J5241&lt;&gt;1,"",IF(I5241="SBJ","CB","?"))</f>
        <v> </v>
      </c>
      <c r="I5241" s="26" t="str">
        <f>IF(OR(E5241="",E5241="!!!",F5241="NEW"),"",INDEX(B5240:B$2,-1+SUMPRODUCT(MAX(ROW(E5240:E$2)*(E5241=E5240:E$2)))))</f>
        <v> </v>
      </c>
      <c r="J5241" s="26" t="str">
        <f>IF(OR(E5241="",E5241="!!!",F5241="NEW"),"",COUNTBLANK(OFFSET(A$1,,,SUMPRODUCT(MAX(ROW(E$2:E5241)*(E5241=E$2:E5241)))))-COUNTBLANK(OFFSET(A$1,,,SUMPRODUCT(MAX(ROW(E$1:E5240)*(E2=E$1:E5240))))))</f>
        <v> </v>
      </c>
      <c r="K5241" s="26" t="str">
        <f>IF(OR(E5241="",E5241="!!!",F5241="NEW"),"",INDEX(J$1:J5240,SUMPRODUCT(MAX(ROW(E$1:E5240)*(E5241=E$1:E5240)))))</f>
        <v> </v>
      </c>
      <c r="L5241" s="27"/>
    </row>
    <row r="5242" spans="1:12">
      <c r="A5242" s="20"/>
    </row>
    <row r="5243" spans="1:12">
      <c r="A5243" s="20" t="s">
        <v>2666</v>
      </c>
    </row>
    <row r="5244" spans="1:12">
      <c r="A5244" s="20" t="s">
        <v>356</v>
      </c>
      <c r="B5244" s="21" t="s">
        <v>1194</v>
      </c>
      <c r="C5244" s="21" t="s">
        <v>1184</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2667</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936</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t="s">
        <v>818</v>
      </c>
      <c r="E5247" s="22">
        <f>IF(D5247="?OLD","!!!","")</f>
        <v/>
      </c>
      <c r="F5247" s="23" t="str">
        <f>IF(OR(E5247="",E5247="!!!"),"",IF(NOT(ISNA(VLOOKUP(E5247,E$1:E5246,1,FALSE()))),"OLD",IF(AND(E5247&lt;&gt;"",E5247&lt;&gt;"!!!"),"NEW","")))</f>
        <v> </v>
      </c>
      <c r="G5247" s="24" t="str">
        <f>IF(OR(E5247="",E5247="!!!"),"",IF(OR(J5247=0,AND(J5247=1,K5247=1),AND(J5247=1,I5247="SBJ"),AND(J5247=1,I5247=0)),"?IN_FOCUS",IF(J5247&lt;=2,"?ACTIVATED",IF(J5247&lt;&gt;"","?FAMILIAR",IF(F5247="NEW",IF(ISNA(VLOOKUP(E5247,#REF!,1,FALSE())),"?TYPE_IDENTIFIABLE","?REFERENTIAL"),"_")))))</f>
        <v> </v>
      </c>
      <c r="H5247" s="25" t="str">
        <f>IF(J5247&lt;&gt;1,"",IF(I5247="SBJ","CB","?"))</f>
        <v> </v>
      </c>
      <c r="I5247" s="26" t="str">
        <f>IF(OR(E5247="",E5247="!!!",F5247="NEW"),"",INDEX(B5246:B$2,-1+SUMPRODUCT(MAX(ROW(E5246:E$2)*(E5247=E5246:E$2)))))</f>
        <v> </v>
      </c>
      <c r="J5247" s="26" t="str">
        <f>IF(OR(E5247="",E5247="!!!",F5247="NEW"),"",COUNTBLANK(OFFSET(A$1,,,SUMPRODUCT(MAX(ROW(E$2:E5247)*(E5247=E$2:E5247)))))-COUNTBLANK(OFFSET(A$1,,,SUMPRODUCT(MAX(ROW(E$1:E5246)*(E2=E$1:E5246))))))</f>
        <v> </v>
      </c>
      <c r="K5247" s="26" t="str">
        <f>IF(OR(E5247="",E5247="!!!",F5247="NEW"),"",INDEX(J$1:J5246,SUMPRODUCT(MAX(ROW(E$1:E5246)*(E5247=E$1:E5246)))))</f>
        <v> </v>
      </c>
      <c r="L5247" s="27"/>
    </row>
    <row r="5248" spans="1:12">
      <c r="A5248" s="20"/>
    </row>
    <row r="5249" spans="1:12">
      <c r="A5249" s="20" t="s">
        <v>2668</v>
      </c>
    </row>
    <row r="5250" spans="1:12">
      <c r="A5250" s="20" t="s">
        <v>2669</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1185</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1224</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t="s">
        <v>2670</v>
      </c>
      <c r="B5253" s="21" t="s">
        <v>1191</v>
      </c>
      <c r="C5253" s="21" t="s">
        <v>1283</v>
      </c>
      <c r="E5253" s="22">
        <f>IF(D5253="?OLD","!!!","")</f>
        <v/>
      </c>
      <c r="F5253" s="23" t="str">
        <f>IF(OR(E5253="",E5253="!!!"),"",IF(NOT(ISNA(VLOOKUP(E5253,E$1:E5252,1,FALSE()))),"OLD",IF(AND(E5253&lt;&gt;"",E5253&lt;&gt;"!!!"),"NEW","")))</f>
        <v> </v>
      </c>
      <c r="G5253" s="24" t="str">
        <f>IF(OR(E5253="",E5253="!!!"),"",IF(OR(J5253=0,AND(J5253=1,K5253=1),AND(J5253=1,I5253="SBJ"),AND(J5253=1,I5253=0)),"?IN_FOCUS",IF(J5253&lt;=2,"?ACTIVATED",IF(J5253&lt;&gt;"","?FAMILIAR",IF(F5253="NEW",IF(ISNA(VLOOKUP(E5253,#REF!,1,FALSE())),"?TYPE_IDENTIFIABLE","?REFERENTIAL"),"_")))))</f>
        <v> </v>
      </c>
      <c r="H5253" s="25" t="str">
        <f>IF(J5253&lt;&gt;1,"",IF(I5253="SBJ","CB","?"))</f>
        <v> </v>
      </c>
      <c r="I5253" s="26" t="str">
        <f>IF(OR(E5253="",E5253="!!!",F5253="NEW"),"",INDEX(B5252:B$2,-1+SUMPRODUCT(MAX(ROW(E5252:E$2)*(E5253=E5252:E$2)))))</f>
        <v> </v>
      </c>
      <c r="J5253" s="26" t="str">
        <f>IF(OR(E5253="",E5253="!!!",F5253="NEW"),"",COUNTBLANK(OFFSET(A$1,,,SUMPRODUCT(MAX(ROW(E$2:E5253)*(E5253=E$2:E5253)))))-COUNTBLANK(OFFSET(A$1,,,SUMPRODUCT(MAX(ROW(E$1:E5252)*(E2=E$1:E5252))))))</f>
        <v> </v>
      </c>
      <c r="K5253" s="26" t="str">
        <f>IF(OR(E5253="",E5253="!!!",F5253="NEW"),"",INDEX(J$1:J5252,SUMPRODUCT(MAX(ROW(E$1:E5252)*(E5253=E$1:E5252)))))</f>
        <v> </v>
      </c>
      <c r="L5253" s="27"/>
    </row>
    <row r="5254" spans="1:12">
      <c r="A5254" s="20" t="s">
        <v>2671</v>
      </c>
      <c r="B5254" s="21" t="s">
        <v>1178</v>
      </c>
      <c r="C5254" s="21" t="s">
        <v>1184</v>
      </c>
      <c r="E5254" s="22">
        <f>IF(D5254="?OLD","!!!","")</f>
        <v/>
      </c>
      <c r="F5254" s="23" t="str">
        <f>IF(OR(E5254="",E5254="!!!"),"",IF(NOT(ISNA(VLOOKUP(E5254,E$1:E5253,1,FALSE()))),"OLD",IF(AND(E5254&lt;&gt;"",E5254&lt;&gt;"!!!"),"NEW","")))</f>
        <v> </v>
      </c>
      <c r="G5254" s="24" t="str">
        <f>IF(OR(E5254="",E5254="!!!"),"",IF(OR(J5254=0,AND(J5254=1,K5254=1),AND(J5254=1,I5254="SBJ"),AND(J5254=1,I5254=0)),"?IN_FOCUS",IF(J5254&lt;=2,"?ACTIVATED",IF(J5254&lt;&gt;"","?FAMILIAR",IF(F5254="NEW",IF(ISNA(VLOOKUP(E5254,#REF!,1,FALSE())),"?TYPE_IDENTIFIABLE","?REFERENTIAL"),"_")))))</f>
        <v> </v>
      </c>
      <c r="H5254" s="25" t="str">
        <f>IF(J5254&lt;&gt;1,"",IF(I5254="SBJ","CB","?"))</f>
        <v> </v>
      </c>
      <c r="I5254" s="26" t="str">
        <f>IF(OR(E5254="",E5254="!!!",F5254="NEW"),"",INDEX(B5253:B$2,-1+SUMPRODUCT(MAX(ROW(E5253:E$2)*(E5254=E5253:E$2)))))</f>
        <v> </v>
      </c>
      <c r="J5254" s="26" t="str">
        <f>IF(OR(E5254="",E5254="!!!",F5254="NEW"),"",COUNTBLANK(OFFSET(A$1,,,SUMPRODUCT(MAX(ROW(E$2:E5254)*(E5254=E$2:E5254)))))-COUNTBLANK(OFFSET(A$1,,,SUMPRODUCT(MAX(ROW(E$1:E5253)*(E2=E$1:E5253))))))</f>
        <v> </v>
      </c>
      <c r="K5254" s="26" t="str">
        <f>IF(OR(E5254="",E5254="!!!",F5254="NEW"),"",INDEX(J$1:J5253,SUMPRODUCT(MAX(ROW(E$1:E5253)*(E5254=E$1:E5253)))))</f>
        <v> </v>
      </c>
      <c r="L5254" s="27"/>
    </row>
    <row r="5255" spans="1:12">
      <c r="A5255" s="20" t="s">
        <v>1626</v>
      </c>
      <c r="E5255" s="22">
        <f>IF(D5255="?OLD","!!!","")</f>
        <v/>
      </c>
      <c r="F5255" s="23" t="str">
        <f>IF(OR(E5255="",E5255="!!!"),"",IF(NOT(ISNA(VLOOKUP(E5255,E$1:E5254,1,FALSE()))),"OLD",IF(AND(E5255&lt;&gt;"",E5255&lt;&gt;"!!!"),"NEW","")))</f>
        <v> </v>
      </c>
      <c r="G5255" s="24" t="str">
        <f>IF(OR(E5255="",E5255="!!!"),"",IF(OR(J5255=0,AND(J5255=1,K5255=1),AND(J5255=1,I5255="SBJ"),AND(J5255=1,I5255=0)),"?IN_FOCUS",IF(J5255&lt;=2,"?ACTIVATED",IF(J5255&lt;&gt;"","?FAMILIAR",IF(F5255="NEW",IF(ISNA(VLOOKUP(E5255,#REF!,1,FALSE())),"?TYPE_IDENTIFIABLE","?REFERENTIAL"),"_")))))</f>
        <v> </v>
      </c>
      <c r="H5255" s="25" t="str">
        <f>IF(J5255&lt;&gt;1,"",IF(I5255="SBJ","CB","?"))</f>
        <v> </v>
      </c>
      <c r="I5255" s="26" t="str">
        <f>IF(OR(E5255="",E5255="!!!",F5255="NEW"),"",INDEX(B5254:B$2,-1+SUMPRODUCT(MAX(ROW(E5254:E$2)*(E5255=E5254:E$2)))))</f>
        <v> </v>
      </c>
      <c r="J5255" s="26" t="str">
        <f>IF(OR(E5255="",E5255="!!!",F5255="NEW"),"",COUNTBLANK(OFFSET(A$1,,,SUMPRODUCT(MAX(ROW(E$2:E5255)*(E5255=E$2:E5255)))))-COUNTBLANK(OFFSET(A$1,,,SUMPRODUCT(MAX(ROW(E$1:E5254)*(E2=E$1:E5254))))))</f>
        <v> </v>
      </c>
      <c r="K5255" s="26" t="str">
        <f>IF(OR(E5255="",E5255="!!!",F5255="NEW"),"",INDEX(J$1:J5254,SUMPRODUCT(MAX(ROW(E$1:E5254)*(E5255=E$1:E5254)))))</f>
        <v> </v>
      </c>
      <c r="L5255" s="27"/>
    </row>
    <row r="5256" spans="1:12">
      <c r="A5256" s="20" t="s">
        <v>57</v>
      </c>
      <c r="B5256" s="21" t="s">
        <v>1178</v>
      </c>
      <c r="C5256" s="21" t="s">
        <v>1195</v>
      </c>
      <c r="D5256" s="21" t="s">
        <v>1180</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t="s">
        <v>1249</v>
      </c>
      <c r="E5257" s="22">
        <f>IF(D5257="?OLD","!!!","")</f>
        <v/>
      </c>
      <c r="F5257" s="23" t="str">
        <f>IF(OR(E5257="",E5257="!!!"),"",IF(NOT(ISNA(VLOOKUP(E5257,E$1:E5256,1,FALSE()))),"OLD",IF(AND(E5257&lt;&gt;"",E5257&lt;&gt;"!!!"),"NEW","")))</f>
        <v> </v>
      </c>
      <c r="G5257" s="24" t="str">
        <f>IF(OR(E5257="",E5257="!!!"),"",IF(OR(J5257=0,AND(J5257=1,K5257=1),AND(J5257=1,I5257="SBJ"),AND(J5257=1,I5257=0)),"?IN_FOCUS",IF(J5257&lt;=2,"?ACTIVATED",IF(J5257&lt;&gt;"","?FAMILIAR",IF(F5257="NEW",IF(ISNA(VLOOKUP(E5257,#REF!,1,FALSE())),"?TYPE_IDENTIFIABLE","?REFERENTIAL"),"_")))))</f>
        <v> </v>
      </c>
      <c r="H5257" s="25" t="str">
        <f>IF(J5257&lt;&gt;1,"",IF(I5257="SBJ","CB","?"))</f>
        <v> </v>
      </c>
      <c r="I5257" s="26" t="str">
        <f>IF(OR(E5257="",E5257="!!!",F5257="NEW"),"",INDEX(B5256:B$2,-1+SUMPRODUCT(MAX(ROW(E5256:E$2)*(E5257=E5256:E$2)))))</f>
        <v> </v>
      </c>
      <c r="J5257" s="26" t="str">
        <f>IF(OR(E5257="",E5257="!!!",F5257="NEW"),"",COUNTBLANK(OFFSET(A$1,,,SUMPRODUCT(MAX(ROW(E$2:E5257)*(E5257=E$2:E5257)))))-COUNTBLANK(OFFSET(A$1,,,SUMPRODUCT(MAX(ROW(E$1:E5256)*(E2=E$1:E5256))))))</f>
        <v> </v>
      </c>
      <c r="K5257" s="26" t="str">
        <f>IF(OR(E5257="",E5257="!!!",F5257="NEW"),"",INDEX(J$1:J5256,SUMPRODUCT(MAX(ROW(E$1:E5256)*(E5257=E$1:E5256)))))</f>
        <v> </v>
      </c>
      <c r="L5257" s="27"/>
    </row>
    <row r="5258" spans="1:12">
      <c r="A5258" s="20"/>
    </row>
    <row r="5259" spans="1:12">
      <c r="A5259" s="20" t="s">
        <v>2672</v>
      </c>
    </row>
    <row r="5260" spans="1:12">
      <c r="A5260" s="20" t="s">
        <v>944</v>
      </c>
      <c r="B5260" s="21" t="s">
        <v>1178</v>
      </c>
      <c r="C5260" s="21" t="s">
        <v>1184</v>
      </c>
      <c r="E5260" s="22">
        <f>IF(D5260="?OLD","!!!","")</f>
        <v/>
      </c>
      <c r="F5260" s="23" t="str">
        <f>IF(OR(E5260="",E5260="!!!"),"",IF(NOT(ISNA(VLOOKUP(E5260,E$1:E5259,1,FALSE()))),"OLD",IF(AND(E5260&lt;&gt;"",E5260&lt;&gt;"!!!"),"NEW","")))</f>
        <v> </v>
      </c>
      <c r="G5260" s="24" t="str">
        <f>IF(OR(E5260="",E5260="!!!"),"",IF(OR(J5260=0,AND(J5260=1,K5260=1),AND(J5260=1,I5260="SBJ"),AND(J5260=1,I5260=0)),"?IN_FOCUS",IF(J5260&lt;=2,"?ACTIVATED",IF(J5260&lt;&gt;"","?FAMILIAR",IF(F5260="NEW",IF(ISNA(VLOOKUP(E5260,#REF!,1,FALSE())),"?TYPE_IDENTIFIABLE","?REFERENTIAL"),"_")))))</f>
        <v> </v>
      </c>
      <c r="H5260" s="25" t="str">
        <f>IF(J5260&lt;&gt;1,"",IF(I5260="SBJ","CB","?"))</f>
        <v> </v>
      </c>
      <c r="I5260" s="26" t="str">
        <f>IF(OR(E5260="",E5260="!!!",F5260="NEW"),"",INDEX(B5259:B$2,-1+SUMPRODUCT(MAX(ROW(E5259:E$2)*(E5260=E5259:E$2)))))</f>
        <v> </v>
      </c>
      <c r="J5260" s="26" t="str">
        <f>IF(OR(E5260="",E5260="!!!",F5260="NEW"),"",COUNTBLANK(OFFSET(A$1,,,SUMPRODUCT(MAX(ROW(E$2:E5260)*(E5260=E$2:E5260)))))-COUNTBLANK(OFFSET(A$1,,,SUMPRODUCT(MAX(ROW(E$1:E5259)*(E2=E$1:E5259))))))</f>
        <v> </v>
      </c>
      <c r="K5260" s="26" t="str">
        <f>IF(OR(E5260="",E5260="!!!",F5260="NEW"),"",INDEX(J$1:J5259,SUMPRODUCT(MAX(ROW(E$1:E5259)*(E5260=E$1:E5259)))))</f>
        <v> </v>
      </c>
      <c r="L5260" s="27"/>
    </row>
    <row r="5261" spans="1:12">
      <c r="A5261" s="20" t="s">
        <v>1371</v>
      </c>
      <c r="E5261" s="22">
        <f>IF(D5261="?OLD","!!!","")</f>
        <v/>
      </c>
      <c r="F5261" s="23" t="str">
        <f>IF(OR(E5261="",E5261="!!!"),"",IF(NOT(ISNA(VLOOKUP(E5261,E$1:E5260,1,FALSE()))),"OLD",IF(AND(E5261&lt;&gt;"",E5261&lt;&gt;"!!!"),"NEW","")))</f>
        <v> </v>
      </c>
      <c r="G5261" s="24" t="str">
        <f>IF(OR(E5261="",E5261="!!!"),"",IF(OR(J5261=0,AND(J5261=1,K5261=1),AND(J5261=1,I5261="SBJ"),AND(J5261=1,I5261=0)),"?IN_FOCUS",IF(J5261&lt;=2,"?ACTIVATED",IF(J5261&lt;&gt;"","?FAMILIAR",IF(F5261="NEW",IF(ISNA(VLOOKUP(E5261,#REF!,1,FALSE())),"?TYPE_IDENTIFIABLE","?REFERENTIAL"),"_")))))</f>
        <v> </v>
      </c>
      <c r="H5261" s="25" t="str">
        <f>IF(J5261&lt;&gt;1,"",IF(I5261="SBJ","CB","?"))</f>
        <v> </v>
      </c>
      <c r="I5261" s="26" t="str">
        <f>IF(OR(E5261="",E5261="!!!",F5261="NEW"),"",INDEX(B5260:B$2,-1+SUMPRODUCT(MAX(ROW(E5260:E$2)*(E5261=E5260:E$2)))))</f>
        <v> </v>
      </c>
      <c r="J5261" s="26" t="str">
        <f>IF(OR(E5261="",E5261="!!!",F5261="NEW"),"",COUNTBLANK(OFFSET(A$1,,,SUMPRODUCT(MAX(ROW(E$2:E5261)*(E5261=E$2:E5261)))))-COUNTBLANK(OFFSET(A$1,,,SUMPRODUCT(MAX(ROW(E$1:E5260)*(E2=E$1:E5260))))))</f>
        <v> </v>
      </c>
      <c r="K5261" s="26" t="str">
        <f>IF(OR(E5261="",E5261="!!!",F5261="NEW"),"",INDEX(J$1:J5260,SUMPRODUCT(MAX(ROW(E$1:E5260)*(E5261=E$1:E5260)))))</f>
        <v> </v>
      </c>
      <c r="L5261" s="27"/>
    </row>
    <row r="5262" spans="1:12">
      <c r="A5262" s="20" t="s">
        <v>1368</v>
      </c>
      <c r="B5262" s="21" t="s">
        <v>1178</v>
      </c>
      <c r="C5262" s="21" t="s">
        <v>1184</v>
      </c>
      <c r="E5262" s="22">
        <f>IF(D5262="?OLD","!!!","")</f>
        <v/>
      </c>
      <c r="F5262" s="23" t="str">
        <f>IF(OR(E5262="",E5262="!!!"),"",IF(NOT(ISNA(VLOOKUP(E5262,E$1:E5261,1,FALSE()))),"OLD",IF(AND(E5262&lt;&gt;"",E5262&lt;&gt;"!!!"),"NEW","")))</f>
        <v> </v>
      </c>
      <c r="G5262" s="24" t="str">
        <f>IF(OR(E5262="",E5262="!!!"),"",IF(OR(J5262=0,AND(J5262=1,K5262=1),AND(J5262=1,I5262="SBJ"),AND(J5262=1,I5262=0)),"?IN_FOCUS",IF(J5262&lt;=2,"?ACTIVATED",IF(J5262&lt;&gt;"","?FAMILIAR",IF(F5262="NEW",IF(ISNA(VLOOKUP(E5262,#REF!,1,FALSE())),"?TYPE_IDENTIFIABLE","?REFERENTIAL"),"_")))))</f>
        <v> </v>
      </c>
      <c r="H5262" s="25" t="str">
        <f>IF(J5262&lt;&gt;1,"",IF(I5262="SBJ","CB","?"))</f>
        <v> </v>
      </c>
      <c r="I5262" s="26" t="str">
        <f>IF(OR(E5262="",E5262="!!!",F5262="NEW"),"",INDEX(B5261:B$2,-1+SUMPRODUCT(MAX(ROW(E5261:E$2)*(E5262=E5261:E$2)))))</f>
        <v> </v>
      </c>
      <c r="J5262" s="26" t="str">
        <f>IF(OR(E5262="",E5262="!!!",F5262="NEW"),"",COUNTBLANK(OFFSET(A$1,,,SUMPRODUCT(MAX(ROW(E$2:E5262)*(E5262=E$2:E5262)))))-COUNTBLANK(OFFSET(A$1,,,SUMPRODUCT(MAX(ROW(E$1:E5261)*(E2=E$1:E5261))))))</f>
        <v> </v>
      </c>
      <c r="K5262" s="26" t="str">
        <f>IF(OR(E5262="",E5262="!!!",F5262="NEW"),"",INDEX(J$1:J5261,SUMPRODUCT(MAX(ROW(E$1:E5261)*(E5262=E$1:E5261)))))</f>
        <v> </v>
      </c>
      <c r="L5262" s="27"/>
    </row>
    <row r="5263" spans="1:12">
      <c r="A5263" s="20" t="s">
        <v>1249</v>
      </c>
      <c r="E5263" s="22">
        <f>IF(D5263="?OLD","!!!","")</f>
        <v/>
      </c>
      <c r="F5263" s="23" t="str">
        <f>IF(OR(E5263="",E5263="!!!"),"",IF(NOT(ISNA(VLOOKUP(E5263,E$1:E5262,1,FALSE()))),"OLD",IF(AND(E5263&lt;&gt;"",E5263&lt;&gt;"!!!"),"NEW","")))</f>
        <v> </v>
      </c>
      <c r="G5263" s="24" t="str">
        <f>IF(OR(E5263="",E5263="!!!"),"",IF(OR(J5263=0,AND(J5263=1,K5263=1),AND(J5263=1,I5263="SBJ"),AND(J5263=1,I5263=0)),"?IN_FOCUS",IF(J5263&lt;=2,"?ACTIVATED",IF(J5263&lt;&gt;"","?FAMILIAR",IF(F5263="NEW",IF(ISNA(VLOOKUP(E5263,#REF!,1,FALSE())),"?TYPE_IDENTIFIABLE","?REFERENTIAL"),"_")))))</f>
        <v> </v>
      </c>
      <c r="H5263" s="25" t="str">
        <f>IF(J5263&lt;&gt;1,"",IF(I5263="SBJ","CB","?"))</f>
        <v> </v>
      </c>
      <c r="I5263" s="26" t="str">
        <f>IF(OR(E5263="",E5263="!!!",F5263="NEW"),"",INDEX(B5262:B$2,-1+SUMPRODUCT(MAX(ROW(E5262:E$2)*(E5263=E5262:E$2)))))</f>
        <v> </v>
      </c>
      <c r="J5263" s="26" t="str">
        <f>IF(OR(E5263="",E5263="!!!",F5263="NEW"),"",COUNTBLANK(OFFSET(A$1,,,SUMPRODUCT(MAX(ROW(E$2:E5263)*(E5263=E$2:E5263)))))-COUNTBLANK(OFFSET(A$1,,,SUMPRODUCT(MAX(ROW(E$1:E5262)*(E2=E$1:E5262))))))</f>
        <v> </v>
      </c>
      <c r="K5263" s="26" t="str">
        <f>IF(OR(E5263="",E5263="!!!",F5263="NEW"),"",INDEX(J$1:J5262,SUMPRODUCT(MAX(ROW(E$1:E5262)*(E5263=E$1:E5262)))))</f>
        <v> </v>
      </c>
      <c r="L5263" s="27"/>
    </row>
    <row r="5264" spans="1:12">
      <c r="A5264" s="20"/>
    </row>
    <row r="5265" spans="1:12">
      <c r="A5265" s="20" t="s">
        <v>1362</v>
      </c>
      <c r="E5265" s="22">
        <f>IF(D5265="?OLD","!!!","")</f>
        <v/>
      </c>
      <c r="F5265" s="23" t="str">
        <f>IF(OR(E5265="",E5265="!!!"),"",IF(NOT(ISNA(VLOOKUP(E5265,E$1:E5264,1,FALSE()))),"OLD",IF(AND(E5265&lt;&gt;"",E5265&lt;&gt;"!!!"),"NEW","")))</f>
        <v> </v>
      </c>
      <c r="G5265" s="24" t="str">
        <f>IF(OR(E5265="",E5265="!!!"),"",IF(OR(J5265=0,AND(J5265=1,K5265=1),AND(J5265=1,I5265="SBJ"),AND(J5265=1,I5265=0)),"?IN_FOCUS",IF(J5265&lt;=2,"?ACTIVATED",IF(J5265&lt;&gt;"","?FAMILIAR",IF(F5265="NEW",IF(ISNA(VLOOKUP(E5265,#REF!,1,FALSE())),"?TYPE_IDENTIFIABLE","?REFERENTIAL"),"_")))))</f>
        <v> </v>
      </c>
      <c r="H5265" s="25" t="str">
        <f>IF(J5265&lt;&gt;1,"",IF(I5265="SBJ","CB","?"))</f>
        <v> </v>
      </c>
      <c r="I5265" s="26" t="str">
        <f>IF(OR(E5265="",E5265="!!!",F5265="NEW"),"",INDEX(B5264:B$2,-1+SUMPRODUCT(MAX(ROW(E5264:E$2)*(E5265=E5264:E$2)))))</f>
        <v> </v>
      </c>
      <c r="J5265" s="26" t="str">
        <f>IF(OR(E5265="",E5265="!!!",F5265="NEW"),"",COUNTBLANK(OFFSET(A$1,,,SUMPRODUCT(MAX(ROW(E$2:E5265)*(E5265=E$2:E5265)))))-COUNTBLANK(OFFSET(A$1,,,SUMPRODUCT(MAX(ROW(E$1:E5264)*(E2=E$1:E5264))))))</f>
        <v> </v>
      </c>
      <c r="K5265" s="26" t="str">
        <f>IF(OR(E5265="",E5265="!!!",F5265="NEW"),"",INDEX(J$1:J5264,SUMPRODUCT(MAX(ROW(E$1:E5264)*(E5265=E$1:E5264)))))</f>
        <v> </v>
      </c>
      <c r="L5265" s="27"/>
    </row>
    <row r="5266" spans="1:12">
      <c r="A5266" s="20" t="s">
        <v>2673</v>
      </c>
    </row>
    <row r="5267" spans="1:12">
      <c r="A5267" s="20" t="s">
        <v>1193</v>
      </c>
      <c r="B5267" s="21" t="s">
        <v>1194</v>
      </c>
      <c r="C5267" s="21" t="s">
        <v>1195</v>
      </c>
      <c r="D5267" s="21" t="s">
        <v>1180</v>
      </c>
      <c r="E5267" s="22">
        <f>IF(D5267="?OLD","!!!","")</f>
        <v/>
      </c>
      <c r="F5267" s="23" t="str">
        <f>IF(OR(E5267="",E5267="!!!"),"",IF(NOT(ISNA(VLOOKUP(E5267,E$1:E5266,1,FALSE()))),"OLD",IF(AND(E5267&lt;&gt;"",E5267&lt;&gt;"!!!"),"NEW","")))</f>
        <v> </v>
      </c>
      <c r="G5267" s="24" t="str">
        <f>IF(OR(E5267="",E5267="!!!"),"",IF(OR(J5267=0,AND(J5267=1,K5267=1),AND(J5267=1,I5267="SBJ"),AND(J5267=1,I5267=0)),"?IN_FOCUS",IF(J5267&lt;=2,"?ACTIVATED",IF(J5267&lt;&gt;"","?FAMILIAR",IF(F5267="NEW",IF(ISNA(VLOOKUP(E5267,#REF!,1,FALSE())),"?TYPE_IDENTIFIABLE","?REFERENTIAL"),"_")))))</f>
        <v> </v>
      </c>
      <c r="H5267" s="25" t="str">
        <f>IF(J5267&lt;&gt;1,"",IF(I5267="SBJ","CB","?"))</f>
        <v> </v>
      </c>
      <c r="I5267" s="26" t="str">
        <f>IF(OR(E5267="",E5267="!!!",F5267="NEW"),"",INDEX(B5266:B$2,-1+SUMPRODUCT(MAX(ROW(E5266:E$2)*(E5267=E5266:E$2)))))</f>
        <v> </v>
      </c>
      <c r="J5267" s="26" t="str">
        <f>IF(OR(E5267="",E5267="!!!",F5267="NEW"),"",COUNTBLANK(OFFSET(A$1,,,SUMPRODUCT(MAX(ROW(E$2:E5267)*(E5267=E$2:E5267)))))-COUNTBLANK(OFFSET(A$1,,,SUMPRODUCT(MAX(ROW(E$1:E5266)*(E2=E$1:E5266))))))</f>
        <v> </v>
      </c>
      <c r="K5267" s="26" t="str">
        <f>IF(OR(E5267="",E5267="!!!",F5267="NEW"),"",INDEX(J$1:J5266,SUMPRODUCT(MAX(ROW(E$1:E5266)*(E5267=E$1:E5266)))))</f>
        <v> </v>
      </c>
      <c r="L5267" s="27"/>
    </row>
    <row r="5268" spans="1:12">
      <c r="A5268" s="20" t="s">
        <v>1264</v>
      </c>
      <c r="E5268" s="22">
        <f>IF(D5268="?OLD","!!!","")</f>
        <v/>
      </c>
      <c r="F5268" s="23" t="str">
        <f>IF(OR(E5268="",E5268="!!!"),"",IF(NOT(ISNA(VLOOKUP(E5268,E$1:E5267,1,FALSE()))),"OLD",IF(AND(E5268&lt;&gt;"",E5268&lt;&gt;"!!!"),"NEW","")))</f>
        <v> </v>
      </c>
      <c r="G5268" s="24" t="str">
        <f>IF(OR(E5268="",E5268="!!!"),"",IF(OR(J5268=0,AND(J5268=1,K5268=1),AND(J5268=1,I5268="SBJ"),AND(J5268=1,I5268=0)),"?IN_FOCUS",IF(J5268&lt;=2,"?ACTIVATED",IF(J5268&lt;&gt;"","?FAMILIAR",IF(F5268="NEW",IF(ISNA(VLOOKUP(E5268,#REF!,1,FALSE())),"?TYPE_IDENTIFIABLE","?REFERENTIAL"),"_")))))</f>
        <v> </v>
      </c>
      <c r="H5268" s="25" t="str">
        <f>IF(J5268&lt;&gt;1,"",IF(I5268="SBJ","CB","?"))</f>
        <v> </v>
      </c>
      <c r="I5268" s="26" t="str">
        <f>IF(OR(E5268="",E5268="!!!",F5268="NEW"),"",INDEX(B5267:B$2,-1+SUMPRODUCT(MAX(ROW(E5267:E$2)*(E5268=E5267:E$2)))))</f>
        <v> </v>
      </c>
      <c r="J5268" s="26" t="str">
        <f>IF(OR(E5268="",E5268="!!!",F5268="NEW"),"",COUNTBLANK(OFFSET(A$1,,,SUMPRODUCT(MAX(ROW(E$2:E5268)*(E5268=E$2:E5268)))))-COUNTBLANK(OFFSET(A$1,,,SUMPRODUCT(MAX(ROW(E$1:E5267)*(E2=E$1:E5267))))))</f>
        <v> </v>
      </c>
      <c r="K5268" s="26" t="str">
        <f>IF(OR(E5268="",E5268="!!!",F5268="NEW"),"",INDEX(J$1:J5267,SUMPRODUCT(MAX(ROW(E$1:E5267)*(E5268=E$1:E5267)))))</f>
        <v> </v>
      </c>
      <c r="L5268" s="27"/>
    </row>
    <row r="5269" spans="1:12">
      <c r="A5269" s="20" t="s">
        <v>1487</v>
      </c>
      <c r="E5269" s="22">
        <f>IF(D5269="?OLD","!!!","")</f>
        <v/>
      </c>
      <c r="F5269" s="23" t="str">
        <f>IF(OR(E5269="",E5269="!!!"),"",IF(NOT(ISNA(VLOOKUP(E5269,E$1:E5268,1,FALSE()))),"OLD",IF(AND(E5269&lt;&gt;"",E5269&lt;&gt;"!!!"),"NEW","")))</f>
        <v> </v>
      </c>
      <c r="G5269" s="24" t="str">
        <f>IF(OR(E5269="",E5269="!!!"),"",IF(OR(J5269=0,AND(J5269=1,K5269=1),AND(J5269=1,I5269="SBJ"),AND(J5269=1,I5269=0)),"?IN_FOCUS",IF(J5269&lt;=2,"?ACTIVATED",IF(J5269&lt;&gt;"","?FAMILIAR",IF(F5269="NEW",IF(ISNA(VLOOKUP(E5269,#REF!,1,FALSE())),"?TYPE_IDENTIFIABLE","?REFERENTIAL"),"_")))))</f>
        <v> </v>
      </c>
      <c r="H5269" s="25" t="str">
        <f>IF(J5269&lt;&gt;1,"",IF(I5269="SBJ","CB","?"))</f>
        <v> </v>
      </c>
      <c r="I5269" s="26" t="str">
        <f>IF(OR(E5269="",E5269="!!!",F5269="NEW"),"",INDEX(B5268:B$2,-1+SUMPRODUCT(MAX(ROW(E5268:E$2)*(E5269=E5268:E$2)))))</f>
        <v> </v>
      </c>
      <c r="J5269" s="26" t="str">
        <f>IF(OR(E5269="",E5269="!!!",F5269="NEW"),"",COUNTBLANK(OFFSET(A$1,,,SUMPRODUCT(MAX(ROW(E$2:E5269)*(E5269=E$2:E5269)))))-COUNTBLANK(OFFSET(A$1,,,SUMPRODUCT(MAX(ROW(E$1:E5268)*(E2=E$1:E5268))))))</f>
        <v> </v>
      </c>
      <c r="K5269" s="26" t="str">
        <f>IF(OR(E5269="",E5269="!!!",F5269="NEW"),"",INDEX(J$1:J5268,SUMPRODUCT(MAX(ROW(E$1:E5268)*(E5269=E$1:E5268)))))</f>
        <v> </v>
      </c>
      <c r="L5269" s="27"/>
    </row>
    <row r="5270" spans="1:12">
      <c r="A5270" s="20" t="s">
        <v>2674</v>
      </c>
      <c r="B5270" s="21" t="s">
        <v>1204</v>
      </c>
      <c r="C5270" s="21" t="s">
        <v>1223</v>
      </c>
      <c r="E5270" s="22">
        <f>IF(D5270="?OLD","!!!","")</f>
        <v/>
      </c>
      <c r="F5270" s="23" t="str">
        <f>IF(OR(E5270="",E5270="!!!"),"",IF(NOT(ISNA(VLOOKUP(E5270,E$1:E5269,1,FALSE()))),"OLD",IF(AND(E5270&lt;&gt;"",E5270&lt;&gt;"!!!"),"NEW","")))</f>
        <v> </v>
      </c>
      <c r="G5270" s="24" t="str">
        <f>IF(OR(E5270="",E5270="!!!"),"",IF(OR(J5270=0,AND(J5270=1,K5270=1),AND(J5270=1,I5270="SBJ"),AND(J5270=1,I5270=0)),"?IN_FOCUS",IF(J5270&lt;=2,"?ACTIVATED",IF(J5270&lt;&gt;"","?FAMILIAR",IF(F5270="NEW",IF(ISNA(VLOOKUP(E5270,#REF!,1,FALSE())),"?TYPE_IDENTIFIABLE","?REFERENTIAL"),"_")))))</f>
        <v> </v>
      </c>
      <c r="H5270" s="25" t="str">
        <f>IF(J5270&lt;&gt;1,"",IF(I5270="SBJ","CB","?"))</f>
        <v> </v>
      </c>
      <c r="I5270" s="26" t="str">
        <f>IF(OR(E5270="",E5270="!!!",F5270="NEW"),"",INDEX(B5269:B$2,-1+SUMPRODUCT(MAX(ROW(E5269:E$2)*(E5270=E5269:E$2)))))</f>
        <v> </v>
      </c>
      <c r="J5270" s="26" t="str">
        <f>IF(OR(E5270="",E5270="!!!",F5270="NEW"),"",COUNTBLANK(OFFSET(A$1,,,SUMPRODUCT(MAX(ROW(E$2:E5270)*(E5270=E$2:E5270)))))-COUNTBLANK(OFFSET(A$1,,,SUMPRODUCT(MAX(ROW(E$1:E5269)*(E2=E$1:E5269))))))</f>
        <v> </v>
      </c>
      <c r="K5270" s="26" t="str">
        <f>IF(OR(E5270="",E5270="!!!",F5270="NEW"),"",INDEX(J$1:J5269,SUMPRODUCT(MAX(ROW(E$1:E5269)*(E5270=E$1:E5269)))))</f>
        <v> </v>
      </c>
      <c r="L5270" s="27"/>
    </row>
    <row r="5271" spans="1:12">
      <c r="A5271" s="20" t="s">
        <v>1185</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1471</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1618</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925</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t="s">
        <v>2659</v>
      </c>
      <c r="E5275" s="22">
        <f>IF(D5275="?OLD","!!!","")</f>
        <v/>
      </c>
      <c r="F5275" s="23" t="str">
        <f>IF(OR(E5275="",E5275="!!!"),"",IF(NOT(ISNA(VLOOKUP(E5275,E$1:E5274,1,FALSE()))),"OLD",IF(AND(E5275&lt;&gt;"",E5275&lt;&gt;"!!!"),"NEW","")))</f>
        <v> </v>
      </c>
      <c r="G5275" s="24" t="str">
        <f>IF(OR(E5275="",E5275="!!!"),"",IF(OR(J5275=0,AND(J5275=1,K5275=1),AND(J5275=1,I5275="SBJ"),AND(J5275=1,I5275=0)),"?IN_FOCUS",IF(J5275&lt;=2,"?ACTIVATED",IF(J5275&lt;&gt;"","?FAMILIAR",IF(F5275="NEW",IF(ISNA(VLOOKUP(E5275,#REF!,1,FALSE())),"?TYPE_IDENTIFIABLE","?REFERENTIAL"),"_")))))</f>
        <v> </v>
      </c>
      <c r="H5275" s="25" t="str">
        <f>IF(J5275&lt;&gt;1,"",IF(I5275="SBJ","CB","?"))</f>
        <v> </v>
      </c>
      <c r="I5275" s="26" t="str">
        <f>IF(OR(E5275="",E5275="!!!",F5275="NEW"),"",INDEX(B5274:B$2,-1+SUMPRODUCT(MAX(ROW(E5274:E$2)*(E5275=E5274:E$2)))))</f>
        <v> </v>
      </c>
      <c r="J5275" s="26" t="str">
        <f>IF(OR(E5275="",E5275="!!!",F5275="NEW"),"",COUNTBLANK(OFFSET(A$1,,,SUMPRODUCT(MAX(ROW(E$2:E5275)*(E5275=E$2:E5275)))))-COUNTBLANK(OFFSET(A$1,,,SUMPRODUCT(MAX(ROW(E$1:E5274)*(E2=E$1:E5274))))))</f>
        <v> </v>
      </c>
      <c r="K5275" s="26" t="str">
        <f>IF(OR(E5275="",E5275="!!!",F5275="NEW"),"",INDEX(J$1:J5274,SUMPRODUCT(MAX(ROW(E$1:E5274)*(E5275=E$1:E5274)))))</f>
        <v> </v>
      </c>
      <c r="L5275" s="27"/>
    </row>
    <row r="5276" spans="1:12">
      <c r="A5276" s="20" t="s">
        <v>11</v>
      </c>
      <c r="E5276" s="22">
        <f>IF(D5276="?OLD","!!!","")</f>
        <v/>
      </c>
      <c r="F5276" s="23" t="str">
        <f>IF(OR(E5276="",E5276="!!!"),"",IF(NOT(ISNA(VLOOKUP(E5276,E$1:E5275,1,FALSE()))),"OLD",IF(AND(E5276&lt;&gt;"",E5276&lt;&gt;"!!!"),"NEW","")))</f>
        <v> </v>
      </c>
      <c r="G5276" s="24" t="str">
        <f>IF(OR(E5276="",E5276="!!!"),"",IF(OR(J5276=0,AND(J5276=1,K5276=1),AND(J5276=1,I5276="SBJ"),AND(J5276=1,I5276=0)),"?IN_FOCUS",IF(J5276&lt;=2,"?ACTIVATED",IF(J5276&lt;&gt;"","?FAMILIAR",IF(F5276="NEW",IF(ISNA(VLOOKUP(E5276,#REF!,1,FALSE())),"?TYPE_IDENTIFIABLE","?REFERENTIAL"),"_")))))</f>
        <v> </v>
      </c>
      <c r="H5276" s="25" t="str">
        <f>IF(J5276&lt;&gt;1,"",IF(I5276="SBJ","CB","?"))</f>
        <v> </v>
      </c>
      <c r="I5276" s="26" t="str">
        <f>IF(OR(E5276="",E5276="!!!",F5276="NEW"),"",INDEX(B5275:B$2,-1+SUMPRODUCT(MAX(ROW(E5275:E$2)*(E5276=E5275:E$2)))))</f>
        <v> </v>
      </c>
      <c r="J5276" s="26" t="str">
        <f>IF(OR(E5276="",E5276="!!!",F5276="NEW"),"",COUNTBLANK(OFFSET(A$1,,,SUMPRODUCT(MAX(ROW(E$2:E5276)*(E5276=E$2:E5276)))))-COUNTBLANK(OFFSET(A$1,,,SUMPRODUCT(MAX(ROW(E$1:E5275)*(E2=E$1:E5275))))))</f>
        <v> </v>
      </c>
      <c r="K5276" s="26" t="str">
        <f>IF(OR(E5276="",E5276="!!!",F5276="NEW"),"",INDEX(J$1:J5275,SUMPRODUCT(MAX(ROW(E$1:E5275)*(E5276=E$1:E5275)))))</f>
        <v> </v>
      </c>
      <c r="L5276" s="27"/>
    </row>
    <row r="5277" spans="1:12">
      <c r="A5277" s="20" t="s">
        <v>2660</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t="s">
        <v>1182</v>
      </c>
      <c r="E5278" s="22">
        <f>IF(D5278="?OLD","!!!","")</f>
        <v/>
      </c>
      <c r="F5278" s="23" t="str">
        <f>IF(OR(E5278="",E5278="!!!"),"",IF(NOT(ISNA(VLOOKUP(E5278,E$1:E5277,1,FALSE()))),"OLD",IF(AND(E5278&lt;&gt;"",E5278&lt;&gt;"!!!"),"NEW","")))</f>
        <v> </v>
      </c>
      <c r="G5278" s="24" t="str">
        <f>IF(OR(E5278="",E5278="!!!"),"",IF(OR(J5278=0,AND(J5278=1,K5278=1),AND(J5278=1,I5278="SBJ"),AND(J5278=1,I5278=0)),"?IN_FOCUS",IF(J5278&lt;=2,"?ACTIVATED",IF(J5278&lt;&gt;"","?FAMILIAR",IF(F5278="NEW",IF(ISNA(VLOOKUP(E5278,#REF!,1,FALSE())),"?TYPE_IDENTIFIABLE","?REFERENTIAL"),"_")))))</f>
        <v> </v>
      </c>
      <c r="H5278" s="25" t="str">
        <f>IF(J5278&lt;&gt;1,"",IF(I5278="SBJ","CB","?"))</f>
        <v> </v>
      </c>
      <c r="I5278" s="26" t="str">
        <f>IF(OR(E5278="",E5278="!!!",F5278="NEW"),"",INDEX(B5277:B$2,-1+SUMPRODUCT(MAX(ROW(E5277:E$2)*(E5278=E5277:E$2)))))</f>
        <v> </v>
      </c>
      <c r="J5278" s="26" t="str">
        <f>IF(OR(E5278="",E5278="!!!",F5278="NEW"),"",COUNTBLANK(OFFSET(A$1,,,SUMPRODUCT(MAX(ROW(E$2:E5278)*(E5278=E$2:E5278)))))-COUNTBLANK(OFFSET(A$1,,,SUMPRODUCT(MAX(ROW(E$1:E5277)*(E2=E$1:E5277))))))</f>
        <v> </v>
      </c>
      <c r="K5278" s="26" t="str">
        <f>IF(OR(E5278="",E5278="!!!",F5278="NEW"),"",INDEX(J$1:J5277,SUMPRODUCT(MAX(ROW(E$1:E5277)*(E5278=E$1:E5277)))))</f>
        <v> </v>
      </c>
      <c r="L5278" s="27"/>
    </row>
    <row r="5279" spans="1:12">
      <c r="A5279" s="20" t="s">
        <v>1193</v>
      </c>
      <c r="B5279" s="21" t="s">
        <v>1240</v>
      </c>
      <c r="C5279" s="21" t="s">
        <v>1195</v>
      </c>
      <c r="D5279" s="21" t="s">
        <v>1180</v>
      </c>
      <c r="E5279" s="22">
        <f>IF(D5279="?OLD","!!!","")</f>
        <v/>
      </c>
      <c r="F5279" s="23" t="str">
        <f>IF(OR(E5279="",E5279="!!!"),"",IF(NOT(ISNA(VLOOKUP(E5279,E$1:E5278,1,FALSE()))),"OLD",IF(AND(E5279&lt;&gt;"",E5279&lt;&gt;"!!!"),"NEW","")))</f>
        <v> </v>
      </c>
      <c r="G5279" s="24" t="str">
        <f>IF(OR(E5279="",E5279="!!!"),"",IF(OR(J5279=0,AND(J5279=1,K5279=1),AND(J5279=1,I5279="SBJ"),AND(J5279=1,I5279=0)),"?IN_FOCUS",IF(J5279&lt;=2,"?ACTIVATED",IF(J5279&lt;&gt;"","?FAMILIAR",IF(F5279="NEW",IF(ISNA(VLOOKUP(E5279,#REF!,1,FALSE())),"?TYPE_IDENTIFIABLE","?REFERENTIAL"),"_")))))</f>
        <v> </v>
      </c>
      <c r="H5279" s="25" t="str">
        <f>IF(J5279&lt;&gt;1,"",IF(I5279="SBJ","CB","?"))</f>
        <v> </v>
      </c>
      <c r="I5279" s="26" t="str">
        <f>IF(OR(E5279="",E5279="!!!",F5279="NEW"),"",INDEX(B5278:B$2,-1+SUMPRODUCT(MAX(ROW(E5278:E$2)*(E5279=E5278:E$2)))))</f>
        <v> </v>
      </c>
      <c r="J5279" s="26" t="str">
        <f>IF(OR(E5279="",E5279="!!!",F5279="NEW"),"",COUNTBLANK(OFFSET(A$1,,,SUMPRODUCT(MAX(ROW(E$2:E5279)*(E5279=E$2:E5279)))))-COUNTBLANK(OFFSET(A$1,,,SUMPRODUCT(MAX(ROW(E$1:E5278)*(E2=E$1:E5278))))))</f>
        <v> </v>
      </c>
      <c r="K5279" s="26" t="str">
        <f>IF(OR(E5279="",E5279="!!!",F5279="NEW"),"",INDEX(J$1:J5278,SUMPRODUCT(MAX(ROW(E$1:E5278)*(E5279=E$1:E5278)))))</f>
        <v> </v>
      </c>
      <c r="L5279" s="27"/>
    </row>
    <row r="5280" spans="1:12">
      <c r="A5280" s="20" t="s">
        <v>1264</v>
      </c>
      <c r="E5280" s="22">
        <f>IF(D5280="?OLD","!!!","")</f>
        <v/>
      </c>
      <c r="F5280" s="23" t="str">
        <f>IF(OR(E5280="",E5280="!!!"),"",IF(NOT(ISNA(VLOOKUP(E5280,E$1:E5279,1,FALSE()))),"OLD",IF(AND(E5280&lt;&gt;"",E5280&lt;&gt;"!!!"),"NEW","")))</f>
        <v> </v>
      </c>
      <c r="G5280" s="24" t="str">
        <f>IF(OR(E5280="",E5280="!!!"),"",IF(OR(J5280=0,AND(J5280=1,K5280=1),AND(J5280=1,I5280="SBJ"),AND(J5280=1,I5280=0)),"?IN_FOCUS",IF(J5280&lt;=2,"?ACTIVATED",IF(J5280&lt;&gt;"","?FAMILIAR",IF(F5280="NEW",IF(ISNA(VLOOKUP(E5280,#REF!,1,FALSE())),"?TYPE_IDENTIFIABLE","?REFERENTIAL"),"_")))))</f>
        <v> </v>
      </c>
      <c r="H5280" s="25" t="str">
        <f>IF(J5280&lt;&gt;1,"",IF(I5280="SBJ","CB","?"))</f>
        <v> </v>
      </c>
      <c r="I5280" s="26" t="str">
        <f>IF(OR(E5280="",E5280="!!!",F5280="NEW"),"",INDEX(B5279:B$2,-1+SUMPRODUCT(MAX(ROW(E5279:E$2)*(E5280=E5279:E$2)))))</f>
        <v> </v>
      </c>
      <c r="J5280" s="26" t="str">
        <f>IF(OR(E5280="",E5280="!!!",F5280="NEW"),"",COUNTBLANK(OFFSET(A$1,,,SUMPRODUCT(MAX(ROW(E$2:E5280)*(E5280=E$2:E5280)))))-COUNTBLANK(OFFSET(A$1,,,SUMPRODUCT(MAX(ROW(E$1:E5279)*(E2=E$1:E5279))))))</f>
        <v> </v>
      </c>
      <c r="K5280" s="26" t="str">
        <f>IF(OR(E5280="",E5280="!!!",F5280="NEW"),"",INDEX(J$1:J5279,SUMPRODUCT(MAX(ROW(E$1:E5279)*(E5280=E$1:E5279)))))</f>
        <v> </v>
      </c>
      <c r="L5280" s="27"/>
    </row>
    <row r="5281" spans="1:12">
      <c r="A5281" s="20" t="s">
        <v>1197</v>
      </c>
      <c r="E5281" s="22">
        <f>IF(D5281="?OLD","!!!","")</f>
        <v/>
      </c>
      <c r="F5281" s="23" t="str">
        <f>IF(OR(E5281="",E5281="!!!"),"",IF(NOT(ISNA(VLOOKUP(E5281,E$1:E5280,1,FALSE()))),"OLD",IF(AND(E5281&lt;&gt;"",E5281&lt;&gt;"!!!"),"NEW","")))</f>
        <v> </v>
      </c>
      <c r="G5281" s="24" t="str">
        <f>IF(OR(E5281="",E5281="!!!"),"",IF(OR(J5281=0,AND(J5281=1,K5281=1),AND(J5281=1,I5281="SBJ"),AND(J5281=1,I5281=0)),"?IN_FOCUS",IF(J5281&lt;=2,"?ACTIVATED",IF(J5281&lt;&gt;"","?FAMILIAR",IF(F5281="NEW",IF(ISNA(VLOOKUP(E5281,#REF!,1,FALSE())),"?TYPE_IDENTIFIABLE","?REFERENTIAL"),"_")))))</f>
        <v> </v>
      </c>
      <c r="H5281" s="25" t="str">
        <f>IF(J5281&lt;&gt;1,"",IF(I5281="SBJ","CB","?"))</f>
        <v> </v>
      </c>
      <c r="I5281" s="26" t="str">
        <f>IF(OR(E5281="",E5281="!!!",F5281="NEW"),"",INDEX(B5280:B$2,-1+SUMPRODUCT(MAX(ROW(E5280:E$2)*(E5281=E5280:E$2)))))</f>
        <v> </v>
      </c>
      <c r="J5281" s="26" t="str">
        <f>IF(OR(E5281="",E5281="!!!",F5281="NEW"),"",COUNTBLANK(OFFSET(A$1,,,SUMPRODUCT(MAX(ROW(E$2:E5281)*(E5281=E$2:E5281)))))-COUNTBLANK(OFFSET(A$1,,,SUMPRODUCT(MAX(ROW(E$1:E5280)*(E2=E$1:E5280))))))</f>
        <v> </v>
      </c>
      <c r="K5281" s="26" t="str">
        <f>IF(OR(E5281="",E5281="!!!",F5281="NEW"),"",INDEX(J$1:J5280,SUMPRODUCT(MAX(ROW(E$1:E5280)*(E5281=E$1:E5280)))))</f>
        <v> </v>
      </c>
      <c r="L5281" s="27"/>
    </row>
    <row r="5282" spans="1:12">
      <c r="A5282" s="20" t="s">
        <v>1353</v>
      </c>
      <c r="B5282" s="21" t="s">
        <v>1207</v>
      </c>
      <c r="C5282" s="21" t="s">
        <v>1208</v>
      </c>
      <c r="D5282" s="21" t="s">
        <v>1180</v>
      </c>
      <c r="E5282" s="22">
        <f>IF(D5282="?OLD","!!!","")</f>
        <v/>
      </c>
      <c r="F5282" s="23" t="str">
        <f>IF(OR(E5282="",E5282="!!!"),"",IF(NOT(ISNA(VLOOKUP(E5282,E$1:E5281,1,FALSE()))),"OLD",IF(AND(E5282&lt;&gt;"",E5282&lt;&gt;"!!!"),"NEW","")))</f>
        <v> </v>
      </c>
      <c r="G5282" s="24" t="str">
        <f>IF(OR(E5282="",E5282="!!!"),"",IF(OR(J5282=0,AND(J5282=1,K5282=1),AND(J5282=1,I5282="SBJ"),AND(J5282=1,I5282=0)),"?IN_FOCUS",IF(J5282&lt;=2,"?ACTIVATED",IF(J5282&lt;&gt;"","?FAMILIAR",IF(F5282="NEW",IF(ISNA(VLOOKUP(E5282,#REF!,1,FALSE())),"?TYPE_IDENTIFIABLE","?REFERENTIAL"),"_")))))</f>
        <v> </v>
      </c>
      <c r="H5282" s="25" t="str">
        <f>IF(J5282&lt;&gt;1,"",IF(I5282="SBJ","CB","?"))</f>
        <v> </v>
      </c>
      <c r="I5282" s="26" t="str">
        <f>IF(OR(E5282="",E5282="!!!",F5282="NEW"),"",INDEX(B5281:B$2,-1+SUMPRODUCT(MAX(ROW(E5281:E$2)*(E5282=E5281:E$2)))))</f>
        <v> </v>
      </c>
      <c r="J5282" s="26" t="str">
        <f>IF(OR(E5282="",E5282="!!!",F5282="NEW"),"",COUNTBLANK(OFFSET(A$1,,,SUMPRODUCT(MAX(ROW(E$2:E5282)*(E5282=E$2:E5282)))))-COUNTBLANK(OFFSET(A$1,,,SUMPRODUCT(MAX(ROW(E$1:E5281)*(E2=E$1:E5281))))))</f>
        <v> </v>
      </c>
      <c r="K5282" s="26" t="str">
        <f>IF(OR(E5282="",E5282="!!!",F5282="NEW"),"",INDEX(J$1:J5281,SUMPRODUCT(MAX(ROW(E$1:E5281)*(E5282=E$1:E5281)))))</f>
        <v> </v>
      </c>
      <c r="L5282" s="27"/>
    </row>
    <row r="5283" spans="1:12">
      <c r="A5283" s="20" t="s">
        <v>1315</v>
      </c>
      <c r="B5283" s="21" t="s">
        <v>1191</v>
      </c>
      <c r="C5283" s="21" t="s">
        <v>1210</v>
      </c>
      <c r="D5283" s="21" t="s">
        <v>1180</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2675</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t="s">
        <v>2676</v>
      </c>
      <c r="E5285" s="22">
        <f>IF(D5285="?OLD","!!!","")</f>
        <v/>
      </c>
      <c r="F5285" s="23" t="str">
        <f>IF(OR(E5285="",E5285="!!!"),"",IF(NOT(ISNA(VLOOKUP(E5285,E$1:E5284,1,FALSE()))),"OLD",IF(AND(E5285&lt;&gt;"",E5285&lt;&gt;"!!!"),"NEW","")))</f>
        <v> </v>
      </c>
      <c r="G5285" s="24" t="str">
        <f>IF(OR(E5285="",E5285="!!!"),"",IF(OR(J5285=0,AND(J5285=1,K5285=1),AND(J5285=1,I5285="SBJ"),AND(J5285=1,I5285=0)),"?IN_FOCUS",IF(J5285&lt;=2,"?ACTIVATED",IF(J5285&lt;&gt;"","?FAMILIAR",IF(F5285="NEW",IF(ISNA(VLOOKUP(E5285,#REF!,1,FALSE())),"?TYPE_IDENTIFIABLE","?REFERENTIAL"),"_")))))</f>
        <v> </v>
      </c>
      <c r="H5285" s="25" t="str">
        <f>IF(J5285&lt;&gt;1,"",IF(I5285="SBJ","CB","?"))</f>
        <v> </v>
      </c>
      <c r="I5285" s="26" t="str">
        <f>IF(OR(E5285="",E5285="!!!",F5285="NEW"),"",INDEX(B5284:B$2,-1+SUMPRODUCT(MAX(ROW(E5284:E$2)*(E5285=E5284:E$2)))))</f>
        <v> </v>
      </c>
      <c r="J5285" s="26" t="str">
        <f>IF(OR(E5285="",E5285="!!!",F5285="NEW"),"",COUNTBLANK(OFFSET(A$1,,,SUMPRODUCT(MAX(ROW(E$2:E5285)*(E5285=E$2:E5285)))))-COUNTBLANK(OFFSET(A$1,,,SUMPRODUCT(MAX(ROW(E$1:E5284)*(E2=E$1:E5284))))))</f>
        <v> </v>
      </c>
      <c r="K5285" s="26" t="str">
        <f>IF(OR(E5285="",E5285="!!!",F5285="NEW"),"",INDEX(J$1:J5284,SUMPRODUCT(MAX(ROW(E$1:E5284)*(E5285=E$1:E5284)))))</f>
        <v> </v>
      </c>
      <c r="L5285" s="27"/>
    </row>
    <row r="5286" spans="1:12">
      <c r="A5286" s="20" t="s">
        <v>2677</v>
      </c>
      <c r="B5286" s="21" t="s">
        <v>1237</v>
      </c>
      <c r="C5286" s="21" t="s">
        <v>1184</v>
      </c>
      <c r="E5286" s="22">
        <f>IF(D5286="?OLD","!!!","")</f>
        <v/>
      </c>
      <c r="F5286" s="23" t="str">
        <f>IF(OR(E5286="",E5286="!!!"),"",IF(NOT(ISNA(VLOOKUP(E5286,E$1:E5285,1,FALSE()))),"OLD",IF(AND(E5286&lt;&gt;"",E5286&lt;&gt;"!!!"),"NEW","")))</f>
        <v> </v>
      </c>
      <c r="G5286" s="24" t="str">
        <f>IF(OR(E5286="",E5286="!!!"),"",IF(OR(J5286=0,AND(J5286=1,K5286=1),AND(J5286=1,I5286="SBJ"),AND(J5286=1,I5286=0)),"?IN_FOCUS",IF(J5286&lt;=2,"?ACTIVATED",IF(J5286&lt;&gt;"","?FAMILIAR",IF(F5286="NEW",IF(ISNA(VLOOKUP(E5286,#REF!,1,FALSE())),"?TYPE_IDENTIFIABLE","?REFERENTIAL"),"_")))))</f>
        <v> </v>
      </c>
      <c r="H5286" s="25" t="str">
        <f>IF(J5286&lt;&gt;1,"",IF(I5286="SBJ","CB","?"))</f>
        <v> </v>
      </c>
      <c r="I5286" s="26" t="str">
        <f>IF(OR(E5286="",E5286="!!!",F5286="NEW"),"",INDEX(B5285:B$2,-1+SUMPRODUCT(MAX(ROW(E5285:E$2)*(E5286=E5285:E$2)))))</f>
        <v> </v>
      </c>
      <c r="J5286" s="26" t="str">
        <f>IF(OR(E5286="",E5286="!!!",F5286="NEW"),"",COUNTBLANK(OFFSET(A$1,,,SUMPRODUCT(MAX(ROW(E$2:E5286)*(E5286=E$2:E5286)))))-COUNTBLANK(OFFSET(A$1,,,SUMPRODUCT(MAX(ROW(E$1:E5285)*(E2=E$1:E5285))))))</f>
        <v> </v>
      </c>
      <c r="K5286" s="26" t="str">
        <f>IF(OR(E5286="",E5286="!!!",F5286="NEW"),"",INDEX(J$1:J5285,SUMPRODUCT(MAX(ROW(E$1:E5285)*(E5286=E$1:E5285)))))</f>
        <v> </v>
      </c>
      <c r="L5286" s="27"/>
    </row>
    <row r="5287" spans="1:12">
      <c r="A5287" s="20" t="s">
        <v>1996</v>
      </c>
      <c r="E5287" s="22">
        <f>IF(D5287="?OLD","!!!","")</f>
        <v/>
      </c>
      <c r="F5287" s="23" t="str">
        <f>IF(OR(E5287="",E5287="!!!"),"",IF(NOT(ISNA(VLOOKUP(E5287,E$1:E5286,1,FALSE()))),"OLD",IF(AND(E5287&lt;&gt;"",E5287&lt;&gt;"!!!"),"NEW","")))</f>
        <v> </v>
      </c>
      <c r="G5287" s="24" t="str">
        <f>IF(OR(E5287="",E5287="!!!"),"",IF(OR(J5287=0,AND(J5287=1,K5287=1),AND(J5287=1,I5287="SBJ"),AND(J5287=1,I5287=0)),"?IN_FOCUS",IF(J5287&lt;=2,"?ACTIVATED",IF(J5287&lt;&gt;"","?FAMILIAR",IF(F5287="NEW",IF(ISNA(VLOOKUP(E5287,#REF!,1,FALSE())),"?TYPE_IDENTIFIABLE","?REFERENTIAL"),"_")))))</f>
        <v> </v>
      </c>
      <c r="H5287" s="25" t="str">
        <f>IF(J5287&lt;&gt;1,"",IF(I5287="SBJ","CB","?"))</f>
        <v> </v>
      </c>
      <c r="I5287" s="26" t="str">
        <f>IF(OR(E5287="",E5287="!!!",F5287="NEW"),"",INDEX(B5286:B$2,-1+SUMPRODUCT(MAX(ROW(E5286:E$2)*(E5287=E5286:E$2)))))</f>
        <v> </v>
      </c>
      <c r="J5287" s="26" t="str">
        <f>IF(OR(E5287="",E5287="!!!",F5287="NEW"),"",COUNTBLANK(OFFSET(A$1,,,SUMPRODUCT(MAX(ROW(E$2:E5287)*(E5287=E$2:E5287)))))-COUNTBLANK(OFFSET(A$1,,,SUMPRODUCT(MAX(ROW(E$1:E5286)*(E2=E$1:E5286))))))</f>
        <v> </v>
      </c>
      <c r="K5287" s="26" t="str">
        <f>IF(OR(E5287="",E5287="!!!",F5287="NEW"),"",INDEX(J$1:J5286,SUMPRODUCT(MAX(ROW(E$1:E5286)*(E5287=E$1:E5286)))))</f>
        <v> </v>
      </c>
      <c r="L5287" s="27"/>
    </row>
    <row r="5288" spans="1:12">
      <c r="A5288" s="20" t="s">
        <v>1185</v>
      </c>
      <c r="E5288" s="22">
        <f>IF(D5288="?OLD","!!!","")</f>
        <v/>
      </c>
      <c r="F5288" s="23" t="str">
        <f>IF(OR(E5288="",E5288="!!!"),"",IF(NOT(ISNA(VLOOKUP(E5288,E$1:E5287,1,FALSE()))),"OLD",IF(AND(E5288&lt;&gt;"",E5288&lt;&gt;"!!!"),"NEW","")))</f>
        <v> </v>
      </c>
      <c r="G5288" s="24" t="str">
        <f>IF(OR(E5288="",E5288="!!!"),"",IF(OR(J5288=0,AND(J5288=1,K5288=1),AND(J5288=1,I5288="SBJ"),AND(J5288=1,I5288=0)),"?IN_FOCUS",IF(J5288&lt;=2,"?ACTIVATED",IF(J5288&lt;&gt;"","?FAMILIAR",IF(F5288="NEW",IF(ISNA(VLOOKUP(E5288,#REF!,1,FALSE())),"?TYPE_IDENTIFIABLE","?REFERENTIAL"),"_")))))</f>
        <v> </v>
      </c>
      <c r="H5288" s="25" t="str">
        <f>IF(J5288&lt;&gt;1,"",IF(I5288="SBJ","CB","?"))</f>
        <v> </v>
      </c>
      <c r="I5288" s="26" t="str">
        <f>IF(OR(E5288="",E5288="!!!",F5288="NEW"),"",INDEX(B5287:B$2,-1+SUMPRODUCT(MAX(ROW(E5287:E$2)*(E5288=E5287:E$2)))))</f>
        <v> </v>
      </c>
      <c r="J5288" s="26" t="str">
        <f>IF(OR(E5288="",E5288="!!!",F5288="NEW"),"",COUNTBLANK(OFFSET(A$1,,,SUMPRODUCT(MAX(ROW(E$2:E5288)*(E5288=E$2:E5288)))))-COUNTBLANK(OFFSET(A$1,,,SUMPRODUCT(MAX(ROW(E$1:E5287)*(E2=E$1:E5287))))))</f>
        <v> </v>
      </c>
      <c r="K5288" s="26" t="str">
        <f>IF(OR(E5288="",E5288="!!!",F5288="NEW"),"",INDEX(J$1:J5287,SUMPRODUCT(MAX(ROW(E$1:E5287)*(E5288=E$1:E5287)))))</f>
        <v> </v>
      </c>
      <c r="L5288" s="27"/>
    </row>
    <row r="5289" spans="1:12">
      <c r="A5289" s="20" t="s">
        <v>1471</v>
      </c>
      <c r="E5289" s="22">
        <f>IF(D5289="?OLD","!!!","")</f>
        <v/>
      </c>
      <c r="F5289" s="23" t="str">
        <f>IF(OR(E5289="",E5289="!!!"),"",IF(NOT(ISNA(VLOOKUP(E5289,E$1:E5288,1,FALSE()))),"OLD",IF(AND(E5289&lt;&gt;"",E5289&lt;&gt;"!!!"),"NEW","")))</f>
        <v> </v>
      </c>
      <c r="G5289" s="24" t="str">
        <f>IF(OR(E5289="",E5289="!!!"),"",IF(OR(J5289=0,AND(J5289=1,K5289=1),AND(J5289=1,I5289="SBJ"),AND(J5289=1,I5289=0)),"?IN_FOCUS",IF(J5289&lt;=2,"?ACTIVATED",IF(J5289&lt;&gt;"","?FAMILIAR",IF(F5289="NEW",IF(ISNA(VLOOKUP(E5289,#REF!,1,FALSE())),"?TYPE_IDENTIFIABLE","?REFERENTIAL"),"_")))))</f>
        <v> </v>
      </c>
      <c r="H5289" s="25" t="str">
        <f>IF(J5289&lt;&gt;1,"",IF(I5289="SBJ","CB","?"))</f>
        <v> </v>
      </c>
      <c r="I5289" s="26" t="str">
        <f>IF(OR(E5289="",E5289="!!!",F5289="NEW"),"",INDEX(B5288:B$2,-1+SUMPRODUCT(MAX(ROW(E5288:E$2)*(E5289=E5288:E$2)))))</f>
        <v> </v>
      </c>
      <c r="J5289" s="26" t="str">
        <f>IF(OR(E5289="",E5289="!!!",F5289="NEW"),"",COUNTBLANK(OFFSET(A$1,,,SUMPRODUCT(MAX(ROW(E$2:E5289)*(E5289=E$2:E5289)))))-COUNTBLANK(OFFSET(A$1,,,SUMPRODUCT(MAX(ROW(E$1:E5288)*(E2=E$1:E5288))))))</f>
        <v> </v>
      </c>
      <c r="K5289" s="26" t="str">
        <f>IF(OR(E5289="",E5289="!!!",F5289="NEW"),"",INDEX(J$1:J5288,SUMPRODUCT(MAX(ROW(E$1:E5288)*(E5289=E$1:E5288)))))</f>
        <v> </v>
      </c>
      <c r="L5289" s="27"/>
    </row>
    <row r="5290" spans="1:12">
      <c r="A5290" s="20" t="s">
        <v>1367</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1368</v>
      </c>
      <c r="B5291" s="21" t="s">
        <v>1191</v>
      </c>
      <c r="C5291" s="21" t="s">
        <v>1184</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1367</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1185</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t="s">
        <v>1310</v>
      </c>
      <c r="E5294" s="22">
        <f>IF(D5294="?OLD","!!!","")</f>
        <v/>
      </c>
      <c r="F5294" s="23" t="str">
        <f>IF(OR(E5294="",E5294="!!!"),"",IF(NOT(ISNA(VLOOKUP(E5294,E$1:E5293,1,FALSE()))),"OLD",IF(AND(E5294&lt;&gt;"",E5294&lt;&gt;"!!!"),"NEW","")))</f>
        <v> </v>
      </c>
      <c r="G5294" s="24" t="str">
        <f>IF(OR(E5294="",E5294="!!!"),"",IF(OR(J5294=0,AND(J5294=1,K5294=1),AND(J5294=1,I5294="SBJ"),AND(J5294=1,I5294=0)),"?IN_FOCUS",IF(J5294&lt;=2,"?ACTIVATED",IF(J5294&lt;&gt;"","?FAMILIAR",IF(F5294="NEW",IF(ISNA(VLOOKUP(E5294,#REF!,1,FALSE())),"?TYPE_IDENTIFIABLE","?REFERENTIAL"),"_")))))</f>
        <v> </v>
      </c>
      <c r="H5294" s="25" t="str">
        <f>IF(J5294&lt;&gt;1,"",IF(I5294="SBJ","CB","?"))</f>
        <v> </v>
      </c>
      <c r="I5294" s="26" t="str">
        <f>IF(OR(E5294="",E5294="!!!",F5294="NEW"),"",INDEX(B5293:B$2,-1+SUMPRODUCT(MAX(ROW(E5293:E$2)*(E5294=E5293:E$2)))))</f>
        <v> </v>
      </c>
      <c r="J5294" s="26" t="str">
        <f>IF(OR(E5294="",E5294="!!!",F5294="NEW"),"",COUNTBLANK(OFFSET(A$1,,,SUMPRODUCT(MAX(ROW(E$2:E5294)*(E5294=E$2:E5294)))))-COUNTBLANK(OFFSET(A$1,,,SUMPRODUCT(MAX(ROW(E$1:E5293)*(E2=E$1:E5293))))))</f>
        <v> </v>
      </c>
      <c r="K5294" s="26" t="str">
        <f>IF(OR(E5294="",E5294="!!!",F5294="NEW"),"",INDEX(J$1:J5293,SUMPRODUCT(MAX(ROW(E$1:E5293)*(E5294=E$1:E5293)))))</f>
        <v> </v>
      </c>
      <c r="L5294" s="27"/>
    </row>
    <row r="5295" spans="1:12">
      <c r="A5295" s="20" t="s">
        <v>1263</v>
      </c>
      <c r="B5295" s="21" t="s">
        <v>1304</v>
      </c>
      <c r="C5295" s="21" t="s">
        <v>1195</v>
      </c>
      <c r="D5295" s="21" t="s">
        <v>1180</v>
      </c>
      <c r="E5295" s="22">
        <f>IF(D5295="?OLD","!!!","")</f>
        <v/>
      </c>
      <c r="F5295" s="23" t="str">
        <f>IF(OR(E5295="",E5295="!!!"),"",IF(NOT(ISNA(VLOOKUP(E5295,E$1:E5294,1,FALSE()))),"OLD",IF(AND(E5295&lt;&gt;"",E5295&lt;&gt;"!!!"),"NEW","")))</f>
        <v> </v>
      </c>
      <c r="G5295" s="24" t="str">
        <f>IF(OR(E5295="",E5295="!!!"),"",IF(OR(J5295=0,AND(J5295=1,K5295=1),AND(J5295=1,I5295="SBJ"),AND(J5295=1,I5295=0)),"?IN_FOCUS",IF(J5295&lt;=2,"?ACTIVATED",IF(J5295&lt;&gt;"","?FAMILIAR",IF(F5295="NEW",IF(ISNA(VLOOKUP(E5295,#REF!,1,FALSE())),"?TYPE_IDENTIFIABLE","?REFERENTIAL"),"_")))))</f>
        <v> </v>
      </c>
      <c r="H5295" s="25" t="str">
        <f>IF(J5295&lt;&gt;1,"",IF(I5295="SBJ","CB","?"))</f>
        <v> </v>
      </c>
      <c r="I5295" s="26" t="str">
        <f>IF(OR(E5295="",E5295="!!!",F5295="NEW"),"",INDEX(B5294:B$2,-1+SUMPRODUCT(MAX(ROW(E5294:E$2)*(E5295=E5294:E$2)))))</f>
        <v> </v>
      </c>
      <c r="J5295" s="26" t="str">
        <f>IF(OR(E5295="",E5295="!!!",F5295="NEW"),"",COUNTBLANK(OFFSET(A$1,,,SUMPRODUCT(MAX(ROW(E$2:E5295)*(E5295=E$2:E5295)))))-COUNTBLANK(OFFSET(A$1,,,SUMPRODUCT(MAX(ROW(E$1:E5294)*(E2=E$1:E5294))))))</f>
        <v> </v>
      </c>
      <c r="K5295" s="26" t="str">
        <f>IF(OR(E5295="",E5295="!!!",F5295="NEW"),"",INDEX(J$1:J5294,SUMPRODUCT(MAX(ROW(E$1:E5294)*(E5295=E$1:E5294)))))</f>
        <v> </v>
      </c>
      <c r="L5295" s="27"/>
    </row>
    <row r="5296" spans="1:12">
      <c r="A5296" s="20" t="s">
        <v>1345</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1206</v>
      </c>
      <c r="B5297" s="21" t="s">
        <v>1207</v>
      </c>
      <c r="C5297" s="21" t="s">
        <v>1208</v>
      </c>
      <c r="D5297" s="21" t="s">
        <v>1180</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2577</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874</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t="s">
        <v>1888</v>
      </c>
      <c r="E5300" s="22">
        <f>IF(D5300="?OLD","!!!","")</f>
        <v/>
      </c>
      <c r="F5300" s="23" t="str">
        <f>IF(OR(E5300="",E5300="!!!"),"",IF(NOT(ISNA(VLOOKUP(E5300,E$1:E5299,1,FALSE()))),"OLD",IF(AND(E5300&lt;&gt;"",E5300&lt;&gt;"!!!"),"NEW","")))</f>
        <v> </v>
      </c>
      <c r="G5300" s="24" t="str">
        <f>IF(OR(E5300="",E5300="!!!"),"",IF(OR(J5300=0,AND(J5300=1,K5300=1),AND(J5300=1,I5300="SBJ"),AND(J5300=1,I5300=0)),"?IN_FOCUS",IF(J5300&lt;=2,"?ACTIVATED",IF(J5300&lt;&gt;"","?FAMILIAR",IF(F5300="NEW",IF(ISNA(VLOOKUP(E5300,#REF!,1,FALSE())),"?TYPE_IDENTIFIABLE","?REFERENTIAL"),"_")))))</f>
        <v> </v>
      </c>
      <c r="H5300" s="25" t="str">
        <f>IF(J5300&lt;&gt;1,"",IF(I5300="SBJ","CB","?"))</f>
        <v> </v>
      </c>
      <c r="I5300" s="26" t="str">
        <f>IF(OR(E5300="",E5300="!!!",F5300="NEW"),"",INDEX(B5299:B$2,-1+SUMPRODUCT(MAX(ROW(E5299:E$2)*(E5300=E5299:E$2)))))</f>
        <v> </v>
      </c>
      <c r="J5300" s="26" t="str">
        <f>IF(OR(E5300="",E5300="!!!",F5300="NEW"),"",COUNTBLANK(OFFSET(A$1,,,SUMPRODUCT(MAX(ROW(E$2:E5300)*(E5300=E$2:E5300)))))-COUNTBLANK(OFFSET(A$1,,,SUMPRODUCT(MAX(ROW(E$1:E5299)*(E2=E$1:E5299))))))</f>
        <v> </v>
      </c>
      <c r="K5300" s="26" t="str">
        <f>IF(OR(E5300="",E5300="!!!",F5300="NEW"),"",INDEX(J$1:J5299,SUMPRODUCT(MAX(ROW(E$1:E5299)*(E5300=E$1:E5299)))))</f>
        <v> </v>
      </c>
      <c r="L5300" s="27"/>
    </row>
    <row r="5301" spans="1:12">
      <c r="A5301" s="20" t="s">
        <v>818</v>
      </c>
      <c r="E5301" s="22">
        <f>IF(D5301="?OLD","!!!","")</f>
        <v/>
      </c>
      <c r="F5301" s="23" t="str">
        <f>IF(OR(E5301="",E5301="!!!"),"",IF(NOT(ISNA(VLOOKUP(E5301,E$1:E5300,1,FALSE()))),"OLD",IF(AND(E5301&lt;&gt;"",E5301&lt;&gt;"!!!"),"NEW","")))</f>
        <v> </v>
      </c>
      <c r="G5301" s="24" t="str">
        <f>IF(OR(E5301="",E5301="!!!"),"",IF(OR(J5301=0,AND(J5301=1,K5301=1),AND(J5301=1,I5301="SBJ"),AND(J5301=1,I5301=0)),"?IN_FOCUS",IF(J5301&lt;=2,"?ACTIVATED",IF(J5301&lt;&gt;"","?FAMILIAR",IF(F5301="NEW",IF(ISNA(VLOOKUP(E5301,#REF!,1,FALSE())),"?TYPE_IDENTIFIABLE","?REFERENTIAL"),"_")))))</f>
        <v> </v>
      </c>
      <c r="H5301" s="25" t="str">
        <f>IF(J5301&lt;&gt;1,"",IF(I5301="SBJ","CB","?"))</f>
        <v> </v>
      </c>
      <c r="I5301" s="26" t="str">
        <f>IF(OR(E5301="",E5301="!!!",F5301="NEW"),"",INDEX(B5300:B$2,-1+SUMPRODUCT(MAX(ROW(E5300:E$2)*(E5301=E5300:E$2)))))</f>
        <v> </v>
      </c>
      <c r="J5301" s="26" t="str">
        <f>IF(OR(E5301="",E5301="!!!",F5301="NEW"),"",COUNTBLANK(OFFSET(A$1,,,SUMPRODUCT(MAX(ROW(E$2:E5301)*(E5301=E$2:E5301)))))-COUNTBLANK(OFFSET(A$1,,,SUMPRODUCT(MAX(ROW(E$1:E5300)*(E2=E$1:E5300))))))</f>
        <v> </v>
      </c>
      <c r="K5301" s="26" t="str">
        <f>IF(OR(E5301="",E5301="!!!",F5301="NEW"),"",INDEX(J$1:J5300,SUMPRODUCT(MAX(ROW(E$1:E5300)*(E5301=E$1:E5300)))))</f>
        <v> </v>
      </c>
      <c r="L5301" s="27"/>
    </row>
    <row r="5302" spans="1:12">
      <c r="A5302" s="20"/>
    </row>
    <row r="5303" spans="1:12">
      <c r="A5303" s="20" t="s">
        <v>2678</v>
      </c>
    </row>
    <row r="5304" spans="1:12">
      <c r="A5304" s="20" t="s">
        <v>1262</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t="s">
        <v>1182</v>
      </c>
      <c r="E5305" s="22">
        <f>IF(D5305="?OLD","!!!","")</f>
        <v/>
      </c>
      <c r="F5305" s="23" t="str">
        <f>IF(OR(E5305="",E5305="!!!"),"",IF(NOT(ISNA(VLOOKUP(E5305,E$1:E5304,1,FALSE()))),"OLD",IF(AND(E5305&lt;&gt;"",E5305&lt;&gt;"!!!"),"NEW","")))</f>
        <v> </v>
      </c>
      <c r="G5305" s="24" t="str">
        <f>IF(OR(E5305="",E5305="!!!"),"",IF(OR(J5305=0,AND(J5305=1,K5305=1),AND(J5305=1,I5305="SBJ"),AND(J5305=1,I5305=0)),"?IN_FOCUS",IF(J5305&lt;=2,"?ACTIVATED",IF(J5305&lt;&gt;"","?FAMILIAR",IF(F5305="NEW",IF(ISNA(VLOOKUP(E5305,#REF!,1,FALSE())),"?TYPE_IDENTIFIABLE","?REFERENTIAL"),"_")))))</f>
        <v> </v>
      </c>
      <c r="H5305" s="25" t="str">
        <f>IF(J5305&lt;&gt;1,"",IF(I5305="SBJ","CB","?"))</f>
        <v> </v>
      </c>
      <c r="I5305" s="26" t="str">
        <f>IF(OR(E5305="",E5305="!!!",F5305="NEW"),"",INDEX(B5304:B$2,-1+SUMPRODUCT(MAX(ROW(E5304:E$2)*(E5305=E5304:E$2)))))</f>
        <v> </v>
      </c>
      <c r="J5305" s="26" t="str">
        <f>IF(OR(E5305="",E5305="!!!",F5305="NEW"),"",COUNTBLANK(OFFSET(A$1,,,SUMPRODUCT(MAX(ROW(E$2:E5305)*(E5305=E$2:E5305)))))-COUNTBLANK(OFFSET(A$1,,,SUMPRODUCT(MAX(ROW(E$1:E5304)*(E2=E$1:E5304))))))</f>
        <v> </v>
      </c>
      <c r="K5305" s="26" t="str">
        <f>IF(OR(E5305="",E5305="!!!",F5305="NEW"),"",INDEX(J$1:J5304,SUMPRODUCT(MAX(ROW(E$1:E5304)*(E5305=E$1:E5304)))))</f>
        <v> </v>
      </c>
      <c r="L5305" s="27"/>
    </row>
    <row r="5306" spans="1:12">
      <c r="A5306" s="20" t="s">
        <v>951</v>
      </c>
      <c r="B5306" s="21" t="s">
        <v>1178</v>
      </c>
      <c r="C5306" s="21" t="s">
        <v>1179</v>
      </c>
      <c r="D5306" s="21" t="s">
        <v>1180</v>
      </c>
      <c r="E5306" s="22">
        <f>IF(D5306="?OLD","!!!","")</f>
        <v/>
      </c>
      <c r="F5306" s="23" t="str">
        <f>IF(OR(E5306="",E5306="!!!"),"",IF(NOT(ISNA(VLOOKUP(E5306,E$1:E5305,1,FALSE()))),"OLD",IF(AND(E5306&lt;&gt;"",E5306&lt;&gt;"!!!"),"NEW","")))</f>
        <v> </v>
      </c>
      <c r="G5306" s="24" t="str">
        <f>IF(OR(E5306="",E5306="!!!"),"",IF(OR(J5306=0,AND(J5306=1,K5306=1),AND(J5306=1,I5306="SBJ"),AND(J5306=1,I5306=0)),"?IN_FOCUS",IF(J5306&lt;=2,"?ACTIVATED",IF(J5306&lt;&gt;"","?FAMILIAR",IF(F5306="NEW",IF(ISNA(VLOOKUP(E5306,#REF!,1,FALSE())),"?TYPE_IDENTIFIABLE","?REFERENTIAL"),"_")))))</f>
        <v> </v>
      </c>
      <c r="H5306" s="25" t="str">
        <f>IF(J5306&lt;&gt;1,"",IF(I5306="SBJ","CB","?"))</f>
        <v> </v>
      </c>
      <c r="I5306" s="26" t="str">
        <f>IF(OR(E5306="",E5306="!!!",F5306="NEW"),"",INDEX(B5305:B$2,-1+SUMPRODUCT(MAX(ROW(E5305:E$2)*(E5306=E5305:E$2)))))</f>
        <v> </v>
      </c>
      <c r="J5306" s="26" t="str">
        <f>IF(OR(E5306="",E5306="!!!",F5306="NEW"),"",COUNTBLANK(OFFSET(A$1,,,SUMPRODUCT(MAX(ROW(E$2:E5306)*(E5306=E$2:E5306)))))-COUNTBLANK(OFFSET(A$1,,,SUMPRODUCT(MAX(ROW(E$1:E5305)*(E2=E$1:E5305))))))</f>
        <v> </v>
      </c>
      <c r="K5306" s="26" t="str">
        <f>IF(OR(E5306="",E5306="!!!",F5306="NEW"),"",INDEX(J$1:J5305,SUMPRODUCT(MAX(ROW(E$1:E5305)*(E5306=E$1:E5305)))))</f>
        <v> </v>
      </c>
      <c r="L5306" s="27"/>
    </row>
    <row r="5307" spans="1:12">
      <c r="A5307" s="20" t="s">
        <v>1211</v>
      </c>
      <c r="E5307" s="22">
        <f>IF(D5307="?OLD","!!!","")</f>
        <v/>
      </c>
      <c r="F5307" s="23" t="str">
        <f>IF(OR(E5307="",E5307="!!!"),"",IF(NOT(ISNA(VLOOKUP(E5307,E$1:E5306,1,FALSE()))),"OLD",IF(AND(E5307&lt;&gt;"",E5307&lt;&gt;"!!!"),"NEW","")))</f>
        <v> </v>
      </c>
      <c r="G5307" s="24" t="str">
        <f>IF(OR(E5307="",E5307="!!!"),"",IF(OR(J5307=0,AND(J5307=1,K5307=1),AND(J5307=1,I5307="SBJ"),AND(J5307=1,I5307=0)),"?IN_FOCUS",IF(J5307&lt;=2,"?ACTIVATED",IF(J5307&lt;&gt;"","?FAMILIAR",IF(F5307="NEW",IF(ISNA(VLOOKUP(E5307,#REF!,1,FALSE())),"?TYPE_IDENTIFIABLE","?REFERENTIAL"),"_")))))</f>
        <v> </v>
      </c>
      <c r="H5307" s="25" t="str">
        <f>IF(J5307&lt;&gt;1,"",IF(I5307="SBJ","CB","?"))</f>
        <v> </v>
      </c>
      <c r="I5307" s="26" t="str">
        <f>IF(OR(E5307="",E5307="!!!",F5307="NEW"),"",INDEX(B5306:B$2,-1+SUMPRODUCT(MAX(ROW(E5306:E$2)*(E5307=E5306:E$2)))))</f>
        <v> </v>
      </c>
      <c r="J5307" s="26" t="str">
        <f>IF(OR(E5307="",E5307="!!!",F5307="NEW"),"",COUNTBLANK(OFFSET(A$1,,,SUMPRODUCT(MAX(ROW(E$2:E5307)*(E5307=E$2:E5307)))))-COUNTBLANK(OFFSET(A$1,,,SUMPRODUCT(MAX(ROW(E$1:E5306)*(E2=E$1:E5306))))))</f>
        <v> </v>
      </c>
      <c r="K5307" s="26" t="str">
        <f>IF(OR(E5307="",E5307="!!!",F5307="NEW"),"",INDEX(J$1:J5306,SUMPRODUCT(MAX(ROW(E$1:E5306)*(E5307=E$1:E5306)))))</f>
        <v> </v>
      </c>
      <c r="L5307" s="27"/>
    </row>
    <row r="5308" spans="1:12">
      <c r="A5308" s="20" t="s">
        <v>1185</v>
      </c>
      <c r="E5308" s="22">
        <f>IF(D5308="?OLD","!!!","")</f>
        <v/>
      </c>
      <c r="F5308" s="23" t="str">
        <f>IF(OR(E5308="",E5308="!!!"),"",IF(NOT(ISNA(VLOOKUP(E5308,E$1:E5307,1,FALSE()))),"OLD",IF(AND(E5308&lt;&gt;"",E5308&lt;&gt;"!!!"),"NEW","")))</f>
        <v> </v>
      </c>
      <c r="G5308" s="24" t="str">
        <f>IF(OR(E5308="",E5308="!!!"),"",IF(OR(J5308=0,AND(J5308=1,K5308=1),AND(J5308=1,I5308="SBJ"),AND(J5308=1,I5308=0)),"?IN_FOCUS",IF(J5308&lt;=2,"?ACTIVATED",IF(J5308&lt;&gt;"","?FAMILIAR",IF(F5308="NEW",IF(ISNA(VLOOKUP(E5308,#REF!,1,FALSE())),"?TYPE_IDENTIFIABLE","?REFERENTIAL"),"_")))))</f>
        <v> </v>
      </c>
      <c r="H5308" s="25" t="str">
        <f>IF(J5308&lt;&gt;1,"",IF(I5308="SBJ","CB","?"))</f>
        <v> </v>
      </c>
      <c r="I5308" s="26" t="str">
        <f>IF(OR(E5308="",E5308="!!!",F5308="NEW"),"",INDEX(B5307:B$2,-1+SUMPRODUCT(MAX(ROW(E5307:E$2)*(E5308=E5307:E$2)))))</f>
        <v> </v>
      </c>
      <c r="J5308" s="26" t="str">
        <f>IF(OR(E5308="",E5308="!!!",F5308="NEW"),"",COUNTBLANK(OFFSET(A$1,,,SUMPRODUCT(MAX(ROW(E$2:E5308)*(E5308=E$2:E5308)))))-COUNTBLANK(OFFSET(A$1,,,SUMPRODUCT(MAX(ROW(E$1:E5307)*(E2=E$1:E5307))))))</f>
        <v> </v>
      </c>
      <c r="K5308" s="26" t="str">
        <f>IF(OR(E5308="",E5308="!!!",F5308="NEW"),"",INDEX(J$1:J5307,SUMPRODUCT(MAX(ROW(E$1:E5307)*(E5308=E$1:E5307)))))</f>
        <v> </v>
      </c>
      <c r="L5308" s="27"/>
    </row>
    <row r="5309" spans="1:12">
      <c r="A5309" s="20" t="s">
        <v>1263</v>
      </c>
      <c r="B5309" s="21" t="s">
        <v>1240</v>
      </c>
      <c r="C5309" s="21" t="s">
        <v>1195</v>
      </c>
      <c r="D5309" s="21" t="s">
        <v>1180</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1647</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1185</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57</v>
      </c>
      <c r="B5312" s="21" t="s">
        <v>1289</v>
      </c>
      <c r="C5312" s="21" t="s">
        <v>1195</v>
      </c>
      <c r="D5312" s="21" t="s">
        <v>1180</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1392</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t="s">
        <v>1202</v>
      </c>
      <c r="E5314" s="22">
        <f>IF(D5314="?OLD","!!!","")</f>
        <v/>
      </c>
      <c r="F5314" s="23" t="str">
        <f>IF(OR(E5314="",E5314="!!!"),"",IF(NOT(ISNA(VLOOKUP(E5314,E$1:E5313,1,FALSE()))),"OLD",IF(AND(E5314&lt;&gt;"",E5314&lt;&gt;"!!!"),"NEW","")))</f>
        <v> </v>
      </c>
      <c r="G5314" s="24" t="str">
        <f>IF(OR(E5314="",E5314="!!!"),"",IF(OR(J5314=0,AND(J5314=1,K5314=1),AND(J5314=1,I5314="SBJ"),AND(J5314=1,I5314=0)),"?IN_FOCUS",IF(J5314&lt;=2,"?ACTIVATED",IF(J5314&lt;&gt;"","?FAMILIAR",IF(F5314="NEW",IF(ISNA(VLOOKUP(E5314,#REF!,1,FALSE())),"?TYPE_IDENTIFIABLE","?REFERENTIAL"),"_")))))</f>
        <v> </v>
      </c>
      <c r="H5314" s="25" t="str">
        <f>IF(J5314&lt;&gt;1,"",IF(I5314="SBJ","CB","?"))</f>
        <v> </v>
      </c>
      <c r="I5314" s="26" t="str">
        <f>IF(OR(E5314="",E5314="!!!",F5314="NEW"),"",INDEX(B5313:B$2,-1+SUMPRODUCT(MAX(ROW(E5313:E$2)*(E5314=E5313:E$2)))))</f>
        <v> </v>
      </c>
      <c r="J5314" s="26" t="str">
        <f>IF(OR(E5314="",E5314="!!!",F5314="NEW"),"",COUNTBLANK(OFFSET(A$1,,,SUMPRODUCT(MAX(ROW(E$2:E5314)*(E5314=E$2:E5314)))))-COUNTBLANK(OFFSET(A$1,,,SUMPRODUCT(MAX(ROW(E$1:E5313)*(E2=E$1:E5313))))))</f>
        <v> </v>
      </c>
      <c r="K5314" s="26" t="str">
        <f>IF(OR(E5314="",E5314="!!!",F5314="NEW"),"",INDEX(J$1:J5313,SUMPRODUCT(MAX(ROW(E$1:E5313)*(E5314=E$1:E5313)))))</f>
        <v> </v>
      </c>
      <c r="L5314" s="27"/>
    </row>
    <row r="5315" spans="1:12">
      <c r="A5315" s="20" t="s">
        <v>2679</v>
      </c>
      <c r="B5315" s="21" t="s">
        <v>1340</v>
      </c>
      <c r="C5315" s="21" t="s">
        <v>1188</v>
      </c>
      <c r="D5315" s="21" t="s">
        <v>1180</v>
      </c>
      <c r="E5315" s="22">
        <f>IF(D5315="?OLD","!!!","")</f>
        <v/>
      </c>
      <c r="F5315" s="23" t="str">
        <f>IF(OR(E5315="",E5315="!!!"),"",IF(NOT(ISNA(VLOOKUP(E5315,E$1:E5314,1,FALSE()))),"OLD",IF(AND(E5315&lt;&gt;"",E5315&lt;&gt;"!!!"),"NEW","")))</f>
        <v> </v>
      </c>
      <c r="G5315" s="24" t="str">
        <f>IF(OR(E5315="",E5315="!!!"),"",IF(OR(J5315=0,AND(J5315=1,K5315=1),AND(J5315=1,I5315="SBJ"),AND(J5315=1,I5315=0)),"?IN_FOCUS",IF(J5315&lt;=2,"?ACTIVATED",IF(J5315&lt;&gt;"","?FAMILIAR",IF(F5315="NEW",IF(ISNA(VLOOKUP(E5315,#REF!,1,FALSE())),"?TYPE_IDENTIFIABLE","?REFERENTIAL"),"_")))))</f>
        <v> </v>
      </c>
      <c r="H5315" s="25" t="str">
        <f>IF(J5315&lt;&gt;1,"",IF(I5315="SBJ","CB","?"))</f>
        <v> </v>
      </c>
      <c r="I5315" s="26" t="str">
        <f>IF(OR(E5315="",E5315="!!!",F5315="NEW"),"",INDEX(B5314:B$2,-1+SUMPRODUCT(MAX(ROW(E5314:E$2)*(E5315=E5314:E$2)))))</f>
        <v> </v>
      </c>
      <c r="J5315" s="26" t="str">
        <f>IF(OR(E5315="",E5315="!!!",F5315="NEW"),"",COUNTBLANK(OFFSET(A$1,,,SUMPRODUCT(MAX(ROW(E$2:E5315)*(E5315=E$2:E5315)))))-COUNTBLANK(OFFSET(A$1,,,SUMPRODUCT(MAX(ROW(E$1:E5314)*(E2=E$1:E5314))))))</f>
        <v> </v>
      </c>
      <c r="K5315" s="26" t="str">
        <f>IF(OR(E5315="",E5315="!!!",F5315="NEW"),"",INDEX(J$1:J5314,SUMPRODUCT(MAX(ROW(E$1:E5314)*(E5315=E$1:E5314)))))</f>
        <v> </v>
      </c>
      <c r="L5315" s="27"/>
    </row>
    <row r="5316" spans="1:12">
      <c r="A5316" s="20" t="s">
        <v>2680</v>
      </c>
      <c r="E5316" s="22">
        <f>IF(D5316="?OLD","!!!","")</f>
        <v/>
      </c>
      <c r="F5316" s="23" t="str">
        <f>IF(OR(E5316="",E5316="!!!"),"",IF(NOT(ISNA(VLOOKUP(E5316,E$1:E5315,1,FALSE()))),"OLD",IF(AND(E5316&lt;&gt;"",E5316&lt;&gt;"!!!"),"NEW","")))</f>
        <v> </v>
      </c>
      <c r="G5316" s="24" t="str">
        <f>IF(OR(E5316="",E5316="!!!"),"",IF(OR(J5316=0,AND(J5316=1,K5316=1),AND(J5316=1,I5316="SBJ"),AND(J5316=1,I5316=0)),"?IN_FOCUS",IF(J5316&lt;=2,"?ACTIVATED",IF(J5316&lt;&gt;"","?FAMILIAR",IF(F5316="NEW",IF(ISNA(VLOOKUP(E5316,#REF!,1,FALSE())),"?TYPE_IDENTIFIABLE","?REFERENTIAL"),"_")))))</f>
        <v> </v>
      </c>
      <c r="H5316" s="25" t="str">
        <f>IF(J5316&lt;&gt;1,"",IF(I5316="SBJ","CB","?"))</f>
        <v> </v>
      </c>
      <c r="I5316" s="26" t="str">
        <f>IF(OR(E5316="",E5316="!!!",F5316="NEW"),"",INDEX(B5315:B$2,-1+SUMPRODUCT(MAX(ROW(E5315:E$2)*(E5316=E5315:E$2)))))</f>
        <v> </v>
      </c>
      <c r="J5316" s="26" t="str">
        <f>IF(OR(E5316="",E5316="!!!",F5316="NEW"),"",COUNTBLANK(OFFSET(A$1,,,SUMPRODUCT(MAX(ROW(E$2:E5316)*(E5316=E$2:E5316)))))-COUNTBLANK(OFFSET(A$1,,,SUMPRODUCT(MAX(ROW(E$1:E5315)*(E2=E$1:E5315))))))</f>
        <v> </v>
      </c>
      <c r="K5316" s="26" t="str">
        <f>IF(OR(E5316="",E5316="!!!",F5316="NEW"),"",INDEX(J$1:J5315,SUMPRODUCT(MAX(ROW(E$1:E5315)*(E5316=E$1:E5315)))))</f>
        <v> </v>
      </c>
      <c r="L5316" s="27"/>
    </row>
    <row r="5317" spans="1:12">
      <c r="A5317" s="20" t="s">
        <v>1185</v>
      </c>
      <c r="E5317" s="22">
        <f>IF(D5317="?OLD","!!!","")</f>
        <v/>
      </c>
      <c r="F5317" s="23" t="str">
        <f>IF(OR(E5317="",E5317="!!!"),"",IF(NOT(ISNA(VLOOKUP(E5317,E$1:E5316,1,FALSE()))),"OLD",IF(AND(E5317&lt;&gt;"",E5317&lt;&gt;"!!!"),"NEW","")))</f>
        <v> </v>
      </c>
      <c r="G5317" s="24" t="str">
        <f>IF(OR(E5317="",E5317="!!!"),"",IF(OR(J5317=0,AND(J5317=1,K5317=1),AND(J5317=1,I5317="SBJ"),AND(J5317=1,I5317=0)),"?IN_FOCUS",IF(J5317&lt;=2,"?ACTIVATED",IF(J5317&lt;&gt;"","?FAMILIAR",IF(F5317="NEW",IF(ISNA(VLOOKUP(E5317,#REF!,1,FALSE())),"?TYPE_IDENTIFIABLE","?REFERENTIAL"),"_")))))</f>
        <v> </v>
      </c>
      <c r="H5317" s="25" t="str">
        <f>IF(J5317&lt;&gt;1,"",IF(I5317="SBJ","CB","?"))</f>
        <v> </v>
      </c>
      <c r="I5317" s="26" t="str">
        <f>IF(OR(E5317="",E5317="!!!",F5317="NEW"),"",INDEX(B5316:B$2,-1+SUMPRODUCT(MAX(ROW(E5316:E$2)*(E5317=E5316:E$2)))))</f>
        <v> </v>
      </c>
      <c r="J5317" s="26" t="str">
        <f>IF(OR(E5317="",E5317="!!!",F5317="NEW"),"",COUNTBLANK(OFFSET(A$1,,,SUMPRODUCT(MAX(ROW(E$2:E5317)*(E5317=E$2:E5317)))))-COUNTBLANK(OFFSET(A$1,,,SUMPRODUCT(MAX(ROW(E$1:E5316)*(E2=E$1:E5316))))))</f>
        <v> </v>
      </c>
      <c r="K5317" s="26" t="str">
        <f>IF(OR(E5317="",E5317="!!!",F5317="NEW"),"",INDEX(J$1:J5316,SUMPRODUCT(MAX(ROW(E$1:E5316)*(E5317=E$1:E5316)))))</f>
        <v> </v>
      </c>
      <c r="L5317" s="27"/>
    </row>
    <row r="5318" spans="1:12">
      <c r="A5318" s="20" t="s">
        <v>1200</v>
      </c>
      <c r="E5318" s="22">
        <f>IF(D5318="?OLD","!!!","")</f>
        <v/>
      </c>
      <c r="F5318" s="23" t="str">
        <f>IF(OR(E5318="",E5318="!!!"),"",IF(NOT(ISNA(VLOOKUP(E5318,E$1:E5317,1,FALSE()))),"OLD",IF(AND(E5318&lt;&gt;"",E5318&lt;&gt;"!!!"),"NEW","")))</f>
        <v> </v>
      </c>
      <c r="G5318" s="24" t="str">
        <f>IF(OR(E5318="",E5318="!!!"),"",IF(OR(J5318=0,AND(J5318=1,K5318=1),AND(J5318=1,I5318="SBJ"),AND(J5318=1,I5318=0)),"?IN_FOCUS",IF(J5318&lt;=2,"?ACTIVATED",IF(J5318&lt;&gt;"","?FAMILIAR",IF(F5318="NEW",IF(ISNA(VLOOKUP(E5318,#REF!,1,FALSE())),"?TYPE_IDENTIFIABLE","?REFERENTIAL"),"_")))))</f>
        <v> </v>
      </c>
      <c r="H5318" s="25" t="str">
        <f>IF(J5318&lt;&gt;1,"",IF(I5318="SBJ","CB","?"))</f>
        <v> </v>
      </c>
      <c r="I5318" s="26" t="str">
        <f>IF(OR(E5318="",E5318="!!!",F5318="NEW"),"",INDEX(B5317:B$2,-1+SUMPRODUCT(MAX(ROW(E5317:E$2)*(E5318=E5317:E$2)))))</f>
        <v> </v>
      </c>
      <c r="J5318" s="26" t="str">
        <f>IF(OR(E5318="",E5318="!!!",F5318="NEW"),"",COUNTBLANK(OFFSET(A$1,,,SUMPRODUCT(MAX(ROW(E$2:E5318)*(E5318=E$2:E5318)))))-COUNTBLANK(OFFSET(A$1,,,SUMPRODUCT(MAX(ROW(E$1:E5317)*(E2=E$1:E5317))))))</f>
        <v> </v>
      </c>
      <c r="K5318" s="26" t="str">
        <f>IF(OR(E5318="",E5318="!!!",F5318="NEW"),"",INDEX(J$1:J5317,SUMPRODUCT(MAX(ROW(E$1:E5317)*(E5318=E$1:E5317)))))</f>
        <v> </v>
      </c>
      <c r="L5318" s="27"/>
    </row>
    <row r="5319" spans="1:12">
      <c r="A5319" s="20" t="s">
        <v>1260</v>
      </c>
      <c r="E5319" s="22">
        <f>IF(D5319="?OLD","!!!","")</f>
        <v/>
      </c>
      <c r="F5319" s="23" t="str">
        <f>IF(OR(E5319="",E5319="!!!"),"",IF(NOT(ISNA(VLOOKUP(E5319,E$1:E5318,1,FALSE()))),"OLD",IF(AND(E5319&lt;&gt;"",E5319&lt;&gt;"!!!"),"NEW","")))</f>
        <v> </v>
      </c>
      <c r="G5319" s="24" t="str">
        <f>IF(OR(E5319="",E5319="!!!"),"",IF(OR(J5319=0,AND(J5319=1,K5319=1),AND(J5319=1,I5319="SBJ"),AND(J5319=1,I5319=0)),"?IN_FOCUS",IF(J5319&lt;=2,"?ACTIVATED",IF(J5319&lt;&gt;"","?FAMILIAR",IF(F5319="NEW",IF(ISNA(VLOOKUP(E5319,#REF!,1,FALSE())),"?TYPE_IDENTIFIABLE","?REFERENTIAL"),"_")))))</f>
        <v> </v>
      </c>
      <c r="H5319" s="25" t="str">
        <f>IF(J5319&lt;&gt;1,"",IF(I5319="SBJ","CB","?"))</f>
        <v> </v>
      </c>
      <c r="I5319" s="26" t="str">
        <f>IF(OR(E5319="",E5319="!!!",F5319="NEW"),"",INDEX(B5318:B$2,-1+SUMPRODUCT(MAX(ROW(E5318:E$2)*(E5319=E5318:E$2)))))</f>
        <v> </v>
      </c>
      <c r="J5319" s="26" t="str">
        <f>IF(OR(E5319="",E5319="!!!",F5319="NEW"),"",COUNTBLANK(OFFSET(A$1,,,SUMPRODUCT(MAX(ROW(E$2:E5319)*(E5319=E$2:E5319)))))-COUNTBLANK(OFFSET(A$1,,,SUMPRODUCT(MAX(ROW(E$1:E5318)*(E2=E$1:E5318))))))</f>
        <v> </v>
      </c>
      <c r="K5319" s="26" t="str">
        <f>IF(OR(E5319="",E5319="!!!",F5319="NEW"),"",INDEX(J$1:J5318,SUMPRODUCT(MAX(ROW(E$1:E5318)*(E5319=E$1:E5318)))))</f>
        <v> </v>
      </c>
      <c r="L5319" s="27"/>
    </row>
    <row r="5320" spans="1:12">
      <c r="A5320" s="20" t="s">
        <v>2658</v>
      </c>
      <c r="B5320" s="21" t="s">
        <v>1207</v>
      </c>
      <c r="C5320" s="21" t="s">
        <v>1179</v>
      </c>
      <c r="D5320" s="21" t="s">
        <v>1180</v>
      </c>
      <c r="E5320" s="22">
        <f>IF(D5320="?OLD","!!!","")</f>
        <v/>
      </c>
      <c r="F5320" s="23" t="str">
        <f>IF(OR(E5320="",E5320="!!!"),"",IF(NOT(ISNA(VLOOKUP(E5320,E$1:E5319,1,FALSE()))),"OLD",IF(AND(E5320&lt;&gt;"",E5320&lt;&gt;"!!!"),"NEW","")))</f>
        <v> </v>
      </c>
      <c r="G5320" s="24" t="str">
        <f>IF(OR(E5320="",E5320="!!!"),"",IF(OR(J5320=0,AND(J5320=1,K5320=1),AND(J5320=1,I5320="SBJ"),AND(J5320=1,I5320=0)),"?IN_FOCUS",IF(J5320&lt;=2,"?ACTIVATED",IF(J5320&lt;&gt;"","?FAMILIAR",IF(F5320="NEW",IF(ISNA(VLOOKUP(E5320,#REF!,1,FALSE())),"?TYPE_IDENTIFIABLE","?REFERENTIAL"),"_")))))</f>
        <v> </v>
      </c>
      <c r="H5320" s="25" t="str">
        <f>IF(J5320&lt;&gt;1,"",IF(I5320="SBJ","CB","?"))</f>
        <v> </v>
      </c>
      <c r="I5320" s="26" t="str">
        <f>IF(OR(E5320="",E5320="!!!",F5320="NEW"),"",INDEX(B5319:B$2,-1+SUMPRODUCT(MAX(ROW(E5319:E$2)*(E5320=E5319:E$2)))))</f>
        <v> </v>
      </c>
      <c r="J5320" s="26" t="str">
        <f>IF(OR(E5320="",E5320="!!!",F5320="NEW"),"",COUNTBLANK(OFFSET(A$1,,,SUMPRODUCT(MAX(ROW(E$2:E5320)*(E5320=E$2:E5320)))))-COUNTBLANK(OFFSET(A$1,,,SUMPRODUCT(MAX(ROW(E$1:E5319)*(E2=E$1:E5319))))))</f>
        <v> </v>
      </c>
      <c r="K5320" s="26" t="str">
        <f>IF(OR(E5320="",E5320="!!!",F5320="NEW"),"",INDEX(J$1:J5319,SUMPRODUCT(MAX(ROW(E$1:E5319)*(E5320=E$1:E5319)))))</f>
        <v> </v>
      </c>
      <c r="L5320" s="27"/>
    </row>
    <row r="5321" spans="1:12">
      <c r="A5321" s="20" t="s">
        <v>925</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t="s">
        <v>2681</v>
      </c>
      <c r="E5322" s="22">
        <f>IF(D5322="?OLD","!!!","")</f>
        <v/>
      </c>
      <c r="F5322" s="23" t="str">
        <f>IF(OR(E5322="",E5322="!!!"),"",IF(NOT(ISNA(VLOOKUP(E5322,E$1:E5321,1,FALSE()))),"OLD",IF(AND(E5322&lt;&gt;"",E5322&lt;&gt;"!!!"),"NEW","")))</f>
        <v> </v>
      </c>
      <c r="G5322" s="24" t="str">
        <f>IF(OR(E5322="",E5322="!!!"),"",IF(OR(J5322=0,AND(J5322=1,K5322=1),AND(J5322=1,I5322="SBJ"),AND(J5322=1,I5322=0)),"?IN_FOCUS",IF(J5322&lt;=2,"?ACTIVATED",IF(J5322&lt;&gt;"","?FAMILIAR",IF(F5322="NEW",IF(ISNA(VLOOKUP(E5322,#REF!,1,FALSE())),"?TYPE_IDENTIFIABLE","?REFERENTIAL"),"_")))))</f>
        <v> </v>
      </c>
      <c r="H5322" s="25" t="str">
        <f>IF(J5322&lt;&gt;1,"",IF(I5322="SBJ","CB","?"))</f>
        <v> </v>
      </c>
      <c r="I5322" s="26" t="str">
        <f>IF(OR(E5322="",E5322="!!!",F5322="NEW"),"",INDEX(B5321:B$2,-1+SUMPRODUCT(MAX(ROW(E5321:E$2)*(E5322=E5321:E$2)))))</f>
        <v> </v>
      </c>
      <c r="J5322" s="26" t="str">
        <f>IF(OR(E5322="",E5322="!!!",F5322="NEW"),"",COUNTBLANK(OFFSET(A$1,,,SUMPRODUCT(MAX(ROW(E$2:E5322)*(E5322=E$2:E5322)))))-COUNTBLANK(OFFSET(A$1,,,SUMPRODUCT(MAX(ROW(E$1:E5321)*(E2=E$1:E5321))))))</f>
        <v> </v>
      </c>
      <c r="K5322" s="26" t="str">
        <f>IF(OR(E5322="",E5322="!!!",F5322="NEW"),"",INDEX(J$1:J5321,SUMPRODUCT(MAX(ROW(E$1:E5321)*(E5322=E$1:E5321)))))</f>
        <v> </v>
      </c>
      <c r="L5322" s="27"/>
    </row>
    <row r="5323" spans="1:12">
      <c r="A5323" s="20" t="s">
        <v>1271</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t="s">
        <v>1185</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1520</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1487</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2682</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t="s">
        <v>2683</v>
      </c>
      <c r="B5328" s="21" t="s">
        <v>1207</v>
      </c>
      <c r="C5328" s="21" t="s">
        <v>1179</v>
      </c>
      <c r="D5328" s="21" t="s">
        <v>1180</v>
      </c>
      <c r="E5328" s="22">
        <f>IF(D5328="?OLD","!!!","")</f>
        <v/>
      </c>
      <c r="F5328" s="23" t="str">
        <f>IF(OR(E5328="",E5328="!!!"),"",IF(NOT(ISNA(VLOOKUP(E5328,E$1:E5327,1,FALSE()))),"OLD",IF(AND(E5328&lt;&gt;"",E5328&lt;&gt;"!!!"),"NEW","")))</f>
        <v> </v>
      </c>
      <c r="G5328" s="24" t="str">
        <f>IF(OR(E5328="",E5328="!!!"),"",IF(OR(J5328=0,AND(J5328=1,K5328=1),AND(J5328=1,I5328="SBJ"),AND(J5328=1,I5328=0)),"?IN_FOCUS",IF(J5328&lt;=2,"?ACTIVATED",IF(J5328&lt;&gt;"","?FAMILIAR",IF(F5328="NEW",IF(ISNA(VLOOKUP(E5328,#REF!,1,FALSE())),"?TYPE_IDENTIFIABLE","?REFERENTIAL"),"_")))))</f>
        <v> </v>
      </c>
      <c r="H5328" s="25" t="str">
        <f>IF(J5328&lt;&gt;1,"",IF(I5328="SBJ","CB","?"))</f>
        <v> </v>
      </c>
      <c r="I5328" s="26" t="str">
        <f>IF(OR(E5328="",E5328="!!!",F5328="NEW"),"",INDEX(B5327:B$2,-1+SUMPRODUCT(MAX(ROW(E5327:E$2)*(E5328=E5327:E$2)))))</f>
        <v> </v>
      </c>
      <c r="J5328" s="26" t="str">
        <f>IF(OR(E5328="",E5328="!!!",F5328="NEW"),"",COUNTBLANK(OFFSET(A$1,,,SUMPRODUCT(MAX(ROW(E$2:E5328)*(E5328=E$2:E5328)))))-COUNTBLANK(OFFSET(A$1,,,SUMPRODUCT(MAX(ROW(E$1:E5327)*(E2=E$1:E5327))))))</f>
        <v> </v>
      </c>
      <c r="K5328" s="26" t="str">
        <f>IF(OR(E5328="",E5328="!!!",F5328="NEW"),"",INDEX(J$1:J5327,SUMPRODUCT(MAX(ROW(E$1:E5327)*(E5328=E$1:E5327)))))</f>
        <v> </v>
      </c>
      <c r="L5328" s="27"/>
    </row>
    <row r="5329" spans="1:12">
      <c r="A5329" s="20" t="s">
        <v>2684</v>
      </c>
      <c r="E5329" s="22">
        <f>IF(D5329="?OLD","!!!","")</f>
        <v/>
      </c>
      <c r="F5329" s="23" t="str">
        <f>IF(OR(E5329="",E5329="!!!"),"",IF(NOT(ISNA(VLOOKUP(E5329,E$1:E5328,1,FALSE()))),"OLD",IF(AND(E5329&lt;&gt;"",E5329&lt;&gt;"!!!"),"NEW","")))</f>
        <v> </v>
      </c>
      <c r="G5329" s="24" t="str">
        <f>IF(OR(E5329="",E5329="!!!"),"",IF(OR(J5329=0,AND(J5329=1,K5329=1),AND(J5329=1,I5329="SBJ"),AND(J5329=1,I5329=0)),"?IN_FOCUS",IF(J5329&lt;=2,"?ACTIVATED",IF(J5329&lt;&gt;"","?FAMILIAR",IF(F5329="NEW",IF(ISNA(VLOOKUP(E5329,#REF!,1,FALSE())),"?TYPE_IDENTIFIABLE","?REFERENTIAL"),"_")))))</f>
        <v> </v>
      </c>
      <c r="H5329" s="25" t="str">
        <f>IF(J5329&lt;&gt;1,"",IF(I5329="SBJ","CB","?"))</f>
        <v> </v>
      </c>
      <c r="I5329" s="26" t="str">
        <f>IF(OR(E5329="",E5329="!!!",F5329="NEW"),"",INDEX(B5328:B$2,-1+SUMPRODUCT(MAX(ROW(E5328:E$2)*(E5329=E5328:E$2)))))</f>
        <v> </v>
      </c>
      <c r="J5329" s="26" t="str">
        <f>IF(OR(E5329="",E5329="!!!",F5329="NEW"),"",COUNTBLANK(OFFSET(A$1,,,SUMPRODUCT(MAX(ROW(E$2:E5329)*(E5329=E$2:E5329)))))-COUNTBLANK(OFFSET(A$1,,,SUMPRODUCT(MAX(ROW(E$1:E5328)*(E2=E$1:E5328))))))</f>
        <v> </v>
      </c>
      <c r="K5329" s="26" t="str">
        <f>IF(OR(E5329="",E5329="!!!",F5329="NEW"),"",INDEX(J$1:J5328,SUMPRODUCT(MAX(ROW(E$1:E5328)*(E5329=E$1:E5328)))))</f>
        <v> </v>
      </c>
      <c r="L5329" s="27"/>
    </row>
    <row r="5330" spans="1:12">
      <c r="A5330" s="20" t="s">
        <v>1185</v>
      </c>
      <c r="E5330" s="22">
        <f>IF(D5330="?OLD","!!!","")</f>
        <v/>
      </c>
      <c r="F5330" s="23" t="str">
        <f>IF(OR(E5330="",E5330="!!!"),"",IF(NOT(ISNA(VLOOKUP(E5330,E$1:E5329,1,FALSE()))),"OLD",IF(AND(E5330&lt;&gt;"",E5330&lt;&gt;"!!!"),"NEW","")))</f>
        <v> </v>
      </c>
      <c r="G5330" s="24" t="str">
        <f>IF(OR(E5330="",E5330="!!!"),"",IF(OR(J5330=0,AND(J5330=1,K5330=1),AND(J5330=1,I5330="SBJ"),AND(J5330=1,I5330=0)),"?IN_FOCUS",IF(J5330&lt;=2,"?ACTIVATED",IF(J5330&lt;&gt;"","?FAMILIAR",IF(F5330="NEW",IF(ISNA(VLOOKUP(E5330,#REF!,1,FALSE())),"?TYPE_IDENTIFIABLE","?REFERENTIAL"),"_")))))</f>
        <v> </v>
      </c>
      <c r="H5330" s="25" t="str">
        <f>IF(J5330&lt;&gt;1,"",IF(I5330="SBJ","CB","?"))</f>
        <v> </v>
      </c>
      <c r="I5330" s="26" t="str">
        <f>IF(OR(E5330="",E5330="!!!",F5330="NEW"),"",INDEX(B5329:B$2,-1+SUMPRODUCT(MAX(ROW(E5329:E$2)*(E5330=E5329:E$2)))))</f>
        <v> </v>
      </c>
      <c r="J5330" s="26" t="str">
        <f>IF(OR(E5330="",E5330="!!!",F5330="NEW"),"",COUNTBLANK(OFFSET(A$1,,,SUMPRODUCT(MAX(ROW(E$2:E5330)*(E5330=E$2:E5330)))))-COUNTBLANK(OFFSET(A$1,,,SUMPRODUCT(MAX(ROW(E$1:E5329)*(E2=E$1:E5329))))))</f>
        <v> </v>
      </c>
      <c r="K5330" s="26" t="str">
        <f>IF(OR(E5330="",E5330="!!!",F5330="NEW"),"",INDEX(J$1:J5329,SUMPRODUCT(MAX(ROW(E$1:E5329)*(E5330=E$1:E5329)))))</f>
        <v> </v>
      </c>
      <c r="L5330" s="27"/>
    </row>
    <row r="5331" spans="1:12">
      <c r="A5331" s="20" t="s">
        <v>1513</v>
      </c>
      <c r="E5331" s="22">
        <f>IF(D5331="?OLD","!!!","")</f>
        <v/>
      </c>
      <c r="F5331" s="23" t="str">
        <f>IF(OR(E5331="",E5331="!!!"),"",IF(NOT(ISNA(VLOOKUP(E5331,E$1:E5330,1,FALSE()))),"OLD",IF(AND(E5331&lt;&gt;"",E5331&lt;&gt;"!!!"),"NEW","")))</f>
        <v> </v>
      </c>
      <c r="G5331" s="24" t="str">
        <f>IF(OR(E5331="",E5331="!!!"),"",IF(OR(J5331=0,AND(J5331=1,K5331=1),AND(J5331=1,I5331="SBJ"),AND(J5331=1,I5331=0)),"?IN_FOCUS",IF(J5331&lt;=2,"?ACTIVATED",IF(J5331&lt;&gt;"","?FAMILIAR",IF(F5331="NEW",IF(ISNA(VLOOKUP(E5331,#REF!,1,FALSE())),"?TYPE_IDENTIFIABLE","?REFERENTIAL"),"_")))))</f>
        <v> </v>
      </c>
      <c r="H5331" s="25" t="str">
        <f>IF(J5331&lt;&gt;1,"",IF(I5331="SBJ","CB","?"))</f>
        <v> </v>
      </c>
      <c r="I5331" s="26" t="str">
        <f>IF(OR(E5331="",E5331="!!!",F5331="NEW"),"",INDEX(B5330:B$2,-1+SUMPRODUCT(MAX(ROW(E5330:E$2)*(E5331=E5330:E$2)))))</f>
        <v> </v>
      </c>
      <c r="J5331" s="26" t="str">
        <f>IF(OR(E5331="",E5331="!!!",F5331="NEW"),"",COUNTBLANK(OFFSET(A$1,,,SUMPRODUCT(MAX(ROW(E$2:E5331)*(E5331=E$2:E5331)))))-COUNTBLANK(OFFSET(A$1,,,SUMPRODUCT(MAX(ROW(E$1:E5330)*(E2=E$1:E5330))))))</f>
        <v> </v>
      </c>
      <c r="K5331" s="26" t="str">
        <f>IF(OR(E5331="",E5331="!!!",F5331="NEW"),"",INDEX(J$1:J5330,SUMPRODUCT(MAX(ROW(E$1:E5330)*(E5331=E$1:E5330)))))</f>
        <v> </v>
      </c>
      <c r="L5331" s="27"/>
    </row>
    <row r="5332" spans="1:12">
      <c r="A5332" s="20" t="s">
        <v>1495</v>
      </c>
      <c r="E5332" s="22">
        <f>IF(D5332="?OLD","!!!","")</f>
        <v/>
      </c>
      <c r="F5332" s="23" t="str">
        <f>IF(OR(E5332="",E5332="!!!"),"",IF(NOT(ISNA(VLOOKUP(E5332,E$1:E5331,1,FALSE()))),"OLD",IF(AND(E5332&lt;&gt;"",E5332&lt;&gt;"!!!"),"NEW","")))</f>
        <v> </v>
      </c>
      <c r="G5332" s="24" t="str">
        <f>IF(OR(E5332="",E5332="!!!"),"",IF(OR(J5332=0,AND(J5332=1,K5332=1),AND(J5332=1,I5332="SBJ"),AND(J5332=1,I5332=0)),"?IN_FOCUS",IF(J5332&lt;=2,"?ACTIVATED",IF(J5332&lt;&gt;"","?FAMILIAR",IF(F5332="NEW",IF(ISNA(VLOOKUP(E5332,#REF!,1,FALSE())),"?TYPE_IDENTIFIABLE","?REFERENTIAL"),"_")))))</f>
        <v> </v>
      </c>
      <c r="H5332" s="25" t="str">
        <f>IF(J5332&lt;&gt;1,"",IF(I5332="SBJ","CB","?"))</f>
        <v> </v>
      </c>
      <c r="I5332" s="26" t="str">
        <f>IF(OR(E5332="",E5332="!!!",F5332="NEW"),"",INDEX(B5331:B$2,-1+SUMPRODUCT(MAX(ROW(E5331:E$2)*(E5332=E5331:E$2)))))</f>
        <v> </v>
      </c>
      <c r="J5332" s="26" t="str">
        <f>IF(OR(E5332="",E5332="!!!",F5332="NEW"),"",COUNTBLANK(OFFSET(A$1,,,SUMPRODUCT(MAX(ROW(E$2:E5332)*(E5332=E$2:E5332)))))-COUNTBLANK(OFFSET(A$1,,,SUMPRODUCT(MAX(ROW(E$1:E5331)*(E2=E$1:E5331))))))</f>
        <v> </v>
      </c>
      <c r="K5332" s="26" t="str">
        <f>IF(OR(E5332="",E5332="!!!",F5332="NEW"),"",INDEX(J$1:J5331,SUMPRODUCT(MAX(ROW(E$1:E5331)*(E5332=E$1:E5331)))))</f>
        <v> </v>
      </c>
      <c r="L5332" s="27"/>
    </row>
    <row r="5333" spans="1:12">
      <c r="A5333" s="20" t="s">
        <v>1190</v>
      </c>
      <c r="B5333" s="21" t="s">
        <v>1430</v>
      </c>
      <c r="C5333" s="21" t="s">
        <v>1188</v>
      </c>
      <c r="D5333" s="21" t="s">
        <v>1180</v>
      </c>
      <c r="E5333" s="22">
        <f>IF(D5333="?OLD","!!!","")</f>
        <v/>
      </c>
      <c r="F5333" s="23" t="str">
        <f>IF(OR(E5333="",E5333="!!!"),"",IF(NOT(ISNA(VLOOKUP(E5333,E$1:E5332,1,FALSE()))),"OLD",IF(AND(E5333&lt;&gt;"",E5333&lt;&gt;"!!!"),"NEW","")))</f>
        <v> </v>
      </c>
      <c r="G5333" s="24" t="str">
        <f>IF(OR(E5333="",E5333="!!!"),"",IF(OR(J5333=0,AND(J5333=1,K5333=1),AND(J5333=1,I5333="SBJ"),AND(J5333=1,I5333=0)),"?IN_FOCUS",IF(J5333&lt;=2,"?ACTIVATED",IF(J5333&lt;&gt;"","?FAMILIAR",IF(F5333="NEW",IF(ISNA(VLOOKUP(E5333,#REF!,1,FALSE())),"?TYPE_IDENTIFIABLE","?REFERENTIAL"),"_")))))</f>
        <v> </v>
      </c>
      <c r="H5333" s="25" t="str">
        <f>IF(J5333&lt;&gt;1,"",IF(I5333="SBJ","CB","?"))</f>
        <v> </v>
      </c>
      <c r="I5333" s="26" t="str">
        <f>IF(OR(E5333="",E5333="!!!",F5333="NEW"),"",INDEX(B5332:B$2,-1+SUMPRODUCT(MAX(ROW(E5332:E$2)*(E5333=E5332:E$2)))))</f>
        <v> </v>
      </c>
      <c r="J5333" s="26" t="str">
        <f>IF(OR(E5333="",E5333="!!!",F5333="NEW"),"",COUNTBLANK(OFFSET(A$1,,,SUMPRODUCT(MAX(ROW(E$2:E5333)*(E5333=E$2:E5333)))))-COUNTBLANK(OFFSET(A$1,,,SUMPRODUCT(MAX(ROW(E$1:E5332)*(E2=E$1:E5332))))))</f>
        <v> </v>
      </c>
      <c r="K5333" s="26" t="str">
        <f>IF(OR(E5333="",E5333="!!!",F5333="NEW"),"",INDEX(J$1:J5332,SUMPRODUCT(MAX(ROW(E$1:E5332)*(E5333=E$1:E5332)))))</f>
        <v> </v>
      </c>
      <c r="L5333" s="27"/>
    </row>
    <row r="5334" spans="1:12">
      <c r="A5334" s="20" t="s">
        <v>2685</v>
      </c>
      <c r="E5334" s="22">
        <f>IF(D5334="?OLD","!!!","")</f>
        <v/>
      </c>
      <c r="F5334" s="23" t="str">
        <f>IF(OR(E5334="",E5334="!!!"),"",IF(NOT(ISNA(VLOOKUP(E5334,E$1:E5333,1,FALSE()))),"OLD",IF(AND(E5334&lt;&gt;"",E5334&lt;&gt;"!!!"),"NEW","")))</f>
        <v> </v>
      </c>
      <c r="G5334" s="24" t="str">
        <f>IF(OR(E5334="",E5334="!!!"),"",IF(OR(J5334=0,AND(J5334=1,K5334=1),AND(J5334=1,I5334="SBJ"),AND(J5334=1,I5334=0)),"?IN_FOCUS",IF(J5334&lt;=2,"?ACTIVATED",IF(J5334&lt;&gt;"","?FAMILIAR",IF(F5334="NEW",IF(ISNA(VLOOKUP(E5334,#REF!,1,FALSE())),"?TYPE_IDENTIFIABLE","?REFERENTIAL"),"_")))))</f>
        <v> </v>
      </c>
      <c r="H5334" s="25" t="str">
        <f>IF(J5334&lt;&gt;1,"",IF(I5334="SBJ","CB","?"))</f>
        <v> </v>
      </c>
      <c r="I5334" s="26" t="str">
        <f>IF(OR(E5334="",E5334="!!!",F5334="NEW"),"",INDEX(B5333:B$2,-1+SUMPRODUCT(MAX(ROW(E5333:E$2)*(E5334=E5333:E$2)))))</f>
        <v> </v>
      </c>
      <c r="J5334" s="26" t="str">
        <f>IF(OR(E5334="",E5334="!!!",F5334="NEW"),"",COUNTBLANK(OFFSET(A$1,,,SUMPRODUCT(MAX(ROW(E$2:E5334)*(E5334=E$2:E5334)))))-COUNTBLANK(OFFSET(A$1,,,SUMPRODUCT(MAX(ROW(E$1:E5333)*(E2=E$1:E5333))))))</f>
        <v> </v>
      </c>
      <c r="K5334" s="26" t="str">
        <f>IF(OR(E5334="",E5334="!!!",F5334="NEW"),"",INDEX(J$1:J5333,SUMPRODUCT(MAX(ROW(E$1:E5333)*(E5334=E$1:E5333)))))</f>
        <v> </v>
      </c>
      <c r="L5334" s="27"/>
    </row>
    <row r="5335" spans="1:12">
      <c r="A5335" s="20" t="s">
        <v>818</v>
      </c>
      <c r="E5335" s="22">
        <f>IF(D5335="?OLD","!!!","")</f>
        <v/>
      </c>
      <c r="F5335" s="23" t="str">
        <f>IF(OR(E5335="",E5335="!!!"),"",IF(NOT(ISNA(VLOOKUP(E5335,E$1:E5334,1,FALSE()))),"OLD",IF(AND(E5335&lt;&gt;"",E5335&lt;&gt;"!!!"),"NEW","")))</f>
        <v> </v>
      </c>
      <c r="G5335" s="24" t="str">
        <f>IF(OR(E5335="",E5335="!!!"),"",IF(OR(J5335=0,AND(J5335=1,K5335=1),AND(J5335=1,I5335="SBJ"),AND(J5335=1,I5335=0)),"?IN_FOCUS",IF(J5335&lt;=2,"?ACTIVATED",IF(J5335&lt;&gt;"","?FAMILIAR",IF(F5335="NEW",IF(ISNA(VLOOKUP(E5335,#REF!,1,FALSE())),"?TYPE_IDENTIFIABLE","?REFERENTIAL"),"_")))))</f>
        <v> </v>
      </c>
      <c r="H5335" s="25" t="str">
        <f>IF(J5335&lt;&gt;1,"",IF(I5335="SBJ","CB","?"))</f>
        <v> </v>
      </c>
      <c r="I5335" s="26" t="str">
        <f>IF(OR(E5335="",E5335="!!!",F5335="NEW"),"",INDEX(B5334:B$2,-1+SUMPRODUCT(MAX(ROW(E5334:E$2)*(E5335=E5334:E$2)))))</f>
        <v> </v>
      </c>
      <c r="J5335" s="26" t="str">
        <f>IF(OR(E5335="",E5335="!!!",F5335="NEW"),"",COUNTBLANK(OFFSET(A$1,,,SUMPRODUCT(MAX(ROW(E$2:E5335)*(E5335=E$2:E5335)))))-COUNTBLANK(OFFSET(A$1,,,SUMPRODUCT(MAX(ROW(E$1:E5334)*(E2=E$1:E5334))))))</f>
        <v> </v>
      </c>
      <c r="K5335" s="26" t="str">
        <f>IF(OR(E5335="",E5335="!!!",F5335="NEW"),"",INDEX(J$1:J5334,SUMPRODUCT(MAX(ROW(E$1:E5334)*(E5335=E$1:E5334)))))</f>
        <v> </v>
      </c>
      <c r="L5335" s="27"/>
    </row>
    <row r="5336" spans="1:12">
      <c r="A5336" s="20"/>
    </row>
    <row r="5337" spans="1:12">
      <c r="A5337" s="20" t="s">
        <v>2686</v>
      </c>
    </row>
    <row r="5338" spans="1:12">
      <c r="A5338" s="20" t="s">
        <v>2626</v>
      </c>
      <c r="E5338" s="22">
        <f>IF(D5338="?OLD","!!!","")</f>
        <v/>
      </c>
      <c r="F5338" s="23" t="str">
        <f>IF(OR(E5338="",E5338="!!!"),"",IF(NOT(ISNA(VLOOKUP(E5338,E$1:E5337,1,FALSE()))),"OLD",IF(AND(E5338&lt;&gt;"",E5338&lt;&gt;"!!!"),"NEW","")))</f>
        <v> </v>
      </c>
      <c r="G5338" s="24" t="str">
        <f>IF(OR(E5338="",E5338="!!!"),"",IF(OR(J5338=0,AND(J5338=1,K5338=1),AND(J5338=1,I5338="SBJ"),AND(J5338=1,I5338=0)),"?IN_FOCUS",IF(J5338&lt;=2,"?ACTIVATED",IF(J5338&lt;&gt;"","?FAMILIAR",IF(F5338="NEW",IF(ISNA(VLOOKUP(E5338,#REF!,1,FALSE())),"?TYPE_IDENTIFIABLE","?REFERENTIAL"),"_")))))</f>
        <v> </v>
      </c>
      <c r="H5338" s="25" t="str">
        <f>IF(J5338&lt;&gt;1,"",IF(I5338="SBJ","CB","?"))</f>
        <v> </v>
      </c>
      <c r="I5338" s="26" t="str">
        <f>IF(OR(E5338="",E5338="!!!",F5338="NEW"),"",INDEX(B5337:B$2,-1+SUMPRODUCT(MAX(ROW(E5337:E$2)*(E5338=E5337:E$2)))))</f>
        <v> </v>
      </c>
      <c r="J5338" s="26" t="str">
        <f>IF(OR(E5338="",E5338="!!!",F5338="NEW"),"",COUNTBLANK(OFFSET(A$1,,,SUMPRODUCT(MAX(ROW(E$2:E5338)*(E5338=E$2:E5338)))))-COUNTBLANK(OFFSET(A$1,,,SUMPRODUCT(MAX(ROW(E$1:E5337)*(E2=E$1:E5337))))))</f>
        <v> </v>
      </c>
      <c r="K5338" s="26" t="str">
        <f>IF(OR(E5338="",E5338="!!!",F5338="NEW"),"",INDEX(J$1:J5337,SUMPRODUCT(MAX(ROW(E$1:E5337)*(E5338=E$1:E5337)))))</f>
        <v> </v>
      </c>
      <c r="L5338" s="27"/>
    </row>
    <row r="5339" spans="1:12">
      <c r="A5339" s="20" t="s">
        <v>1495</v>
      </c>
      <c r="E5339" s="22">
        <f>IF(D5339="?OLD","!!!","")</f>
        <v/>
      </c>
      <c r="F5339" s="23" t="str">
        <f>IF(OR(E5339="",E5339="!!!"),"",IF(NOT(ISNA(VLOOKUP(E5339,E$1:E5338,1,FALSE()))),"OLD",IF(AND(E5339&lt;&gt;"",E5339&lt;&gt;"!!!"),"NEW","")))</f>
        <v> </v>
      </c>
      <c r="G5339" s="24" t="str">
        <f>IF(OR(E5339="",E5339="!!!"),"",IF(OR(J5339=0,AND(J5339=1,K5339=1),AND(J5339=1,I5339="SBJ"),AND(J5339=1,I5339=0)),"?IN_FOCUS",IF(J5339&lt;=2,"?ACTIVATED",IF(J5339&lt;&gt;"","?FAMILIAR",IF(F5339="NEW",IF(ISNA(VLOOKUP(E5339,#REF!,1,FALSE())),"?TYPE_IDENTIFIABLE","?REFERENTIAL"),"_")))))</f>
        <v> </v>
      </c>
      <c r="H5339" s="25" t="str">
        <f>IF(J5339&lt;&gt;1,"",IF(I5339="SBJ","CB","?"))</f>
        <v> </v>
      </c>
      <c r="I5339" s="26" t="str">
        <f>IF(OR(E5339="",E5339="!!!",F5339="NEW"),"",INDEX(B5338:B$2,-1+SUMPRODUCT(MAX(ROW(E5338:E$2)*(E5339=E5338:E$2)))))</f>
        <v> </v>
      </c>
      <c r="J5339" s="26" t="str">
        <f>IF(OR(E5339="",E5339="!!!",F5339="NEW"),"",COUNTBLANK(OFFSET(A$1,,,SUMPRODUCT(MAX(ROW(E$2:E5339)*(E5339=E$2:E5339)))))-COUNTBLANK(OFFSET(A$1,,,SUMPRODUCT(MAX(ROW(E$1:E5338)*(E2=E$1:E5338))))))</f>
        <v> </v>
      </c>
      <c r="K5339" s="26" t="str">
        <f>IF(OR(E5339="",E5339="!!!",F5339="NEW"),"",INDEX(J$1:J5338,SUMPRODUCT(MAX(ROW(E$1:E5338)*(E5339=E$1:E5338)))))</f>
        <v> </v>
      </c>
      <c r="L5339" s="27"/>
    </row>
    <row r="5340" spans="1:12">
      <c r="A5340" s="20" t="s">
        <v>1381</v>
      </c>
      <c r="B5340" s="21" t="s">
        <v>1178</v>
      </c>
      <c r="C5340" s="21" t="s">
        <v>1238</v>
      </c>
      <c r="D5340" s="21" t="s">
        <v>1180</v>
      </c>
      <c r="E5340" s="22">
        <f>IF(D5340="?OLD","!!!","")</f>
        <v/>
      </c>
      <c r="F5340" s="23" t="str">
        <f>IF(OR(E5340="",E5340="!!!"),"",IF(NOT(ISNA(VLOOKUP(E5340,E$1:E5339,1,FALSE()))),"OLD",IF(AND(E5340&lt;&gt;"",E5340&lt;&gt;"!!!"),"NEW","")))</f>
        <v> </v>
      </c>
      <c r="G5340" s="24" t="str">
        <f>IF(OR(E5340="",E5340="!!!"),"",IF(OR(J5340=0,AND(J5340=1,K5340=1),AND(J5340=1,I5340="SBJ"),AND(J5340=1,I5340=0)),"?IN_FOCUS",IF(J5340&lt;=2,"?ACTIVATED",IF(J5340&lt;&gt;"","?FAMILIAR",IF(F5340="NEW",IF(ISNA(VLOOKUP(E5340,#REF!,1,FALSE())),"?TYPE_IDENTIFIABLE","?REFERENTIAL"),"_")))))</f>
        <v> </v>
      </c>
      <c r="H5340" s="25" t="str">
        <f>IF(J5340&lt;&gt;1,"",IF(I5340="SBJ","CB","?"))</f>
        <v> </v>
      </c>
      <c r="I5340" s="26" t="str">
        <f>IF(OR(E5340="",E5340="!!!",F5340="NEW"),"",INDEX(B5339:B$2,-1+SUMPRODUCT(MAX(ROW(E5339:E$2)*(E5340=E5339:E$2)))))</f>
        <v> </v>
      </c>
      <c r="J5340" s="26" t="str">
        <f>IF(OR(E5340="",E5340="!!!",F5340="NEW"),"",COUNTBLANK(OFFSET(A$1,,,SUMPRODUCT(MAX(ROW(E$2:E5340)*(E5340=E$2:E5340)))))-COUNTBLANK(OFFSET(A$1,,,SUMPRODUCT(MAX(ROW(E$1:E5339)*(E2=E$1:E5339))))))</f>
        <v> </v>
      </c>
      <c r="K5340" s="26" t="str">
        <f>IF(OR(E5340="",E5340="!!!",F5340="NEW"),"",INDEX(J$1:J5339,SUMPRODUCT(MAX(ROW(E$1:E5339)*(E5340=E$1:E5339)))))</f>
        <v> </v>
      </c>
      <c r="L5340" s="27"/>
    </row>
    <row r="5341" spans="1:12">
      <c r="A5341" s="20" t="s">
        <v>1185</v>
      </c>
      <c r="E5341" s="22">
        <f>IF(D5341="?OLD","!!!","")</f>
        <v/>
      </c>
      <c r="F5341" s="23" t="str">
        <f>IF(OR(E5341="",E5341="!!!"),"",IF(NOT(ISNA(VLOOKUP(E5341,E$1:E5340,1,FALSE()))),"OLD",IF(AND(E5341&lt;&gt;"",E5341&lt;&gt;"!!!"),"NEW","")))</f>
        <v> </v>
      </c>
      <c r="G5341" s="24" t="str">
        <f>IF(OR(E5341="",E5341="!!!"),"",IF(OR(J5341=0,AND(J5341=1,K5341=1),AND(J5341=1,I5341="SBJ"),AND(J5341=1,I5341=0)),"?IN_FOCUS",IF(J5341&lt;=2,"?ACTIVATED",IF(J5341&lt;&gt;"","?FAMILIAR",IF(F5341="NEW",IF(ISNA(VLOOKUP(E5341,#REF!,1,FALSE())),"?TYPE_IDENTIFIABLE","?REFERENTIAL"),"_")))))</f>
        <v> </v>
      </c>
      <c r="H5341" s="25" t="str">
        <f>IF(J5341&lt;&gt;1,"",IF(I5341="SBJ","CB","?"))</f>
        <v> </v>
      </c>
      <c r="I5341" s="26" t="str">
        <f>IF(OR(E5341="",E5341="!!!",F5341="NEW"),"",INDEX(B5340:B$2,-1+SUMPRODUCT(MAX(ROW(E5340:E$2)*(E5341=E5340:E$2)))))</f>
        <v> </v>
      </c>
      <c r="J5341" s="26" t="str">
        <f>IF(OR(E5341="",E5341="!!!",F5341="NEW"),"",COUNTBLANK(OFFSET(A$1,,,SUMPRODUCT(MAX(ROW(E$2:E5341)*(E5341=E$2:E5341)))))-COUNTBLANK(OFFSET(A$1,,,SUMPRODUCT(MAX(ROW(E$1:E5340)*(E2=E$1:E5340))))))</f>
        <v> </v>
      </c>
      <c r="K5341" s="26" t="str">
        <f>IF(OR(E5341="",E5341="!!!",F5341="NEW"),"",INDEX(J$1:J5340,SUMPRODUCT(MAX(ROW(E$1:E5340)*(E5341=E$1:E5340)))))</f>
        <v> </v>
      </c>
      <c r="L5341" s="27"/>
    </row>
    <row r="5342" spans="1:12">
      <c r="A5342" s="20" t="s">
        <v>1495</v>
      </c>
      <c r="E5342" s="22">
        <f>IF(D5342="?OLD","!!!","")</f>
        <v/>
      </c>
      <c r="F5342" s="23" t="str">
        <f>IF(OR(E5342="",E5342="!!!"),"",IF(NOT(ISNA(VLOOKUP(E5342,E$1:E5341,1,FALSE()))),"OLD",IF(AND(E5342&lt;&gt;"",E5342&lt;&gt;"!!!"),"NEW","")))</f>
        <v> </v>
      </c>
      <c r="G5342" s="24" t="str">
        <f>IF(OR(E5342="",E5342="!!!"),"",IF(OR(J5342=0,AND(J5342=1,K5342=1),AND(J5342=1,I5342="SBJ"),AND(J5342=1,I5342=0)),"?IN_FOCUS",IF(J5342&lt;=2,"?ACTIVATED",IF(J5342&lt;&gt;"","?FAMILIAR",IF(F5342="NEW",IF(ISNA(VLOOKUP(E5342,#REF!,1,FALSE())),"?TYPE_IDENTIFIABLE","?REFERENTIAL"),"_")))))</f>
        <v> </v>
      </c>
      <c r="H5342" s="25" t="str">
        <f>IF(J5342&lt;&gt;1,"",IF(I5342="SBJ","CB","?"))</f>
        <v> </v>
      </c>
      <c r="I5342" s="26" t="str">
        <f>IF(OR(E5342="",E5342="!!!",F5342="NEW"),"",INDEX(B5341:B$2,-1+SUMPRODUCT(MAX(ROW(E5341:E$2)*(E5342=E5341:E$2)))))</f>
        <v> </v>
      </c>
      <c r="J5342" s="26" t="str">
        <f>IF(OR(E5342="",E5342="!!!",F5342="NEW"),"",COUNTBLANK(OFFSET(A$1,,,SUMPRODUCT(MAX(ROW(E$2:E5342)*(E5342=E$2:E5342)))))-COUNTBLANK(OFFSET(A$1,,,SUMPRODUCT(MAX(ROW(E$1:E5341)*(E2=E$1:E5341))))))</f>
        <v> </v>
      </c>
      <c r="K5342" s="26" t="str">
        <f>IF(OR(E5342="",E5342="!!!",F5342="NEW"),"",INDEX(J$1:J5341,SUMPRODUCT(MAX(ROW(E$1:E5341)*(E5342=E$1:E5341)))))</f>
        <v> </v>
      </c>
      <c r="L5342" s="27"/>
    </row>
    <row r="5343" spans="1:12">
      <c r="A5343" s="20" t="s">
        <v>2687</v>
      </c>
      <c r="B5343" s="21" t="s">
        <v>1304</v>
      </c>
      <c r="C5343" s="21" t="s">
        <v>1188</v>
      </c>
      <c r="D5343" s="21" t="s">
        <v>1180</v>
      </c>
      <c r="E5343" s="22">
        <f>IF(D5343="?OLD","!!!","")</f>
        <v/>
      </c>
      <c r="F5343" s="23" t="str">
        <f>IF(OR(E5343="",E5343="!!!"),"",IF(NOT(ISNA(VLOOKUP(E5343,E$1:E5342,1,FALSE()))),"OLD",IF(AND(E5343&lt;&gt;"",E5343&lt;&gt;"!!!"),"NEW","")))</f>
        <v> </v>
      </c>
      <c r="G5343" s="24" t="str">
        <f>IF(OR(E5343="",E5343="!!!"),"",IF(OR(J5343=0,AND(J5343=1,K5343=1),AND(J5343=1,I5343="SBJ"),AND(J5343=1,I5343=0)),"?IN_FOCUS",IF(J5343&lt;=2,"?ACTIVATED",IF(J5343&lt;&gt;"","?FAMILIAR",IF(F5343="NEW",IF(ISNA(VLOOKUP(E5343,#REF!,1,FALSE())),"?TYPE_IDENTIFIABLE","?REFERENTIAL"),"_")))))</f>
        <v> </v>
      </c>
      <c r="H5343" s="25" t="str">
        <f>IF(J5343&lt;&gt;1,"",IF(I5343="SBJ","CB","?"))</f>
        <v> </v>
      </c>
      <c r="I5343" s="26" t="str">
        <f>IF(OR(E5343="",E5343="!!!",F5343="NEW"),"",INDEX(B5342:B$2,-1+SUMPRODUCT(MAX(ROW(E5342:E$2)*(E5343=E5342:E$2)))))</f>
        <v> </v>
      </c>
      <c r="J5343" s="26" t="str">
        <f>IF(OR(E5343="",E5343="!!!",F5343="NEW"),"",COUNTBLANK(OFFSET(A$1,,,SUMPRODUCT(MAX(ROW(E$2:E5343)*(E5343=E$2:E5343)))))-COUNTBLANK(OFFSET(A$1,,,SUMPRODUCT(MAX(ROW(E$1:E5342)*(E2=E$1:E5342))))))</f>
        <v> </v>
      </c>
      <c r="K5343" s="26" t="str">
        <f>IF(OR(E5343="",E5343="!!!",F5343="NEW"),"",INDEX(J$1:J5342,SUMPRODUCT(MAX(ROW(E$1:E5342)*(E5343=E$1:E5342)))))</f>
        <v> </v>
      </c>
      <c r="L5343" s="27"/>
    </row>
    <row r="5344" spans="1:12">
      <c r="A5344" s="20" t="s">
        <v>2688</v>
      </c>
      <c r="E5344" s="22">
        <f>IF(D5344="?OLD","!!!","")</f>
        <v/>
      </c>
      <c r="F5344" s="23" t="str">
        <f>IF(OR(E5344="",E5344="!!!"),"",IF(NOT(ISNA(VLOOKUP(E5344,E$1:E5343,1,FALSE()))),"OLD",IF(AND(E5344&lt;&gt;"",E5344&lt;&gt;"!!!"),"NEW","")))</f>
        <v> </v>
      </c>
      <c r="G5344" s="24" t="str">
        <f>IF(OR(E5344="",E5344="!!!"),"",IF(OR(J5344=0,AND(J5344=1,K5344=1),AND(J5344=1,I5344="SBJ"),AND(J5344=1,I5344=0)),"?IN_FOCUS",IF(J5344&lt;=2,"?ACTIVATED",IF(J5344&lt;&gt;"","?FAMILIAR",IF(F5344="NEW",IF(ISNA(VLOOKUP(E5344,#REF!,1,FALSE())),"?TYPE_IDENTIFIABLE","?REFERENTIAL"),"_")))))</f>
        <v> </v>
      </c>
      <c r="H5344" s="25" t="str">
        <f>IF(J5344&lt;&gt;1,"",IF(I5344="SBJ","CB","?"))</f>
        <v> </v>
      </c>
      <c r="I5344" s="26" t="str">
        <f>IF(OR(E5344="",E5344="!!!",F5344="NEW"),"",INDEX(B5343:B$2,-1+SUMPRODUCT(MAX(ROW(E5343:E$2)*(E5344=E5343:E$2)))))</f>
        <v> </v>
      </c>
      <c r="J5344" s="26" t="str">
        <f>IF(OR(E5344="",E5344="!!!",F5344="NEW"),"",COUNTBLANK(OFFSET(A$1,,,SUMPRODUCT(MAX(ROW(E$2:E5344)*(E5344=E$2:E5344)))))-COUNTBLANK(OFFSET(A$1,,,SUMPRODUCT(MAX(ROW(E$1:E5343)*(E2=E$1:E5343))))))</f>
        <v> </v>
      </c>
      <c r="K5344" s="26" t="str">
        <f>IF(OR(E5344="",E5344="!!!",F5344="NEW"),"",INDEX(J$1:J5343,SUMPRODUCT(MAX(ROW(E$1:E5343)*(E5344=E$1:E5343)))))</f>
        <v> </v>
      </c>
      <c r="L5344" s="27"/>
    </row>
    <row r="5345" spans="1:12">
      <c r="A5345" s="20" t="s">
        <v>1249</v>
      </c>
      <c r="E5345" s="22">
        <f>IF(D5345="?OLD","!!!","")</f>
        <v/>
      </c>
      <c r="F5345" s="23" t="str">
        <f>IF(OR(E5345="",E5345="!!!"),"",IF(NOT(ISNA(VLOOKUP(E5345,E$1:E5344,1,FALSE()))),"OLD",IF(AND(E5345&lt;&gt;"",E5345&lt;&gt;"!!!"),"NEW","")))</f>
        <v> </v>
      </c>
      <c r="G5345" s="24" t="str">
        <f>IF(OR(E5345="",E5345="!!!"),"",IF(OR(J5345=0,AND(J5345=1,K5345=1),AND(J5345=1,I5345="SBJ"),AND(J5345=1,I5345=0)),"?IN_FOCUS",IF(J5345&lt;=2,"?ACTIVATED",IF(J5345&lt;&gt;"","?FAMILIAR",IF(F5345="NEW",IF(ISNA(VLOOKUP(E5345,#REF!,1,FALSE())),"?TYPE_IDENTIFIABLE","?REFERENTIAL"),"_")))))</f>
        <v> </v>
      </c>
      <c r="H5345" s="25" t="str">
        <f>IF(J5345&lt;&gt;1,"",IF(I5345="SBJ","CB","?"))</f>
        <v> </v>
      </c>
      <c r="I5345" s="26" t="str">
        <f>IF(OR(E5345="",E5345="!!!",F5345="NEW"),"",INDEX(B5344:B$2,-1+SUMPRODUCT(MAX(ROW(E5344:E$2)*(E5345=E5344:E$2)))))</f>
        <v> </v>
      </c>
      <c r="J5345" s="26" t="str">
        <f>IF(OR(E5345="",E5345="!!!",F5345="NEW"),"",COUNTBLANK(OFFSET(A$1,,,SUMPRODUCT(MAX(ROW(E$2:E5345)*(E5345=E$2:E5345)))))-COUNTBLANK(OFFSET(A$1,,,SUMPRODUCT(MAX(ROW(E$1:E5344)*(E2=E$1:E5344))))))</f>
        <v> </v>
      </c>
      <c r="K5345" s="26" t="str">
        <f>IF(OR(E5345="",E5345="!!!",F5345="NEW"),"",INDEX(J$1:J5344,SUMPRODUCT(MAX(ROW(E$1:E5344)*(E5345=E$1:E5344)))))</f>
        <v> </v>
      </c>
      <c r="L5345" s="27"/>
    </row>
    <row r="5346" spans="1:12">
      <c r="A5346" s="20"/>
    </row>
    <row r="5347" spans="1:12">
      <c r="A5347" s="20" t="s">
        <v>2336</v>
      </c>
    </row>
    <row r="5348" spans="1:12">
      <c r="A5348" s="20" t="s">
        <v>1287</v>
      </c>
      <c r="B5348" s="21" t="s">
        <v>1178</v>
      </c>
      <c r="C5348" s="21" t="s">
        <v>1195</v>
      </c>
      <c r="D5348" s="21" t="s">
        <v>1180</v>
      </c>
      <c r="E5348" s="22">
        <f>IF(D5348="?OLD","!!!","")</f>
        <v/>
      </c>
      <c r="F5348" s="23" t="str">
        <f>IF(OR(E5348="",E5348="!!!"),"",IF(NOT(ISNA(VLOOKUP(E5348,E$1:E5347,1,FALSE()))),"OLD",IF(AND(E5348&lt;&gt;"",E5348&lt;&gt;"!!!"),"NEW","")))</f>
        <v> </v>
      </c>
      <c r="G5348" s="24" t="str">
        <f>IF(OR(E5348="",E5348="!!!"),"",IF(OR(J5348=0,AND(J5348=1,K5348=1),AND(J5348=1,I5348="SBJ"),AND(J5348=1,I5348=0)),"?IN_FOCUS",IF(J5348&lt;=2,"?ACTIVATED",IF(J5348&lt;&gt;"","?FAMILIAR",IF(F5348="NEW",IF(ISNA(VLOOKUP(E5348,#REF!,1,FALSE())),"?TYPE_IDENTIFIABLE","?REFERENTIAL"),"_")))))</f>
        <v> </v>
      </c>
      <c r="H5348" s="25" t="str">
        <f>IF(J5348&lt;&gt;1,"",IF(I5348="SBJ","CB","?"))</f>
        <v> </v>
      </c>
      <c r="I5348" s="26" t="str">
        <f>IF(OR(E5348="",E5348="!!!",F5348="NEW"),"",INDEX(B5347:B$2,-1+SUMPRODUCT(MAX(ROW(E5347:E$2)*(E5348=E5347:E$2)))))</f>
        <v> </v>
      </c>
      <c r="J5348" s="26" t="str">
        <f>IF(OR(E5348="",E5348="!!!",F5348="NEW"),"",COUNTBLANK(OFFSET(A$1,,,SUMPRODUCT(MAX(ROW(E$2:E5348)*(E5348=E$2:E5348)))))-COUNTBLANK(OFFSET(A$1,,,SUMPRODUCT(MAX(ROW(E$1:E5347)*(E2=E$1:E5347))))))</f>
        <v> </v>
      </c>
      <c r="K5348" s="26" t="str">
        <f>IF(OR(E5348="",E5348="!!!",F5348="NEW"),"",INDEX(J$1:J5347,SUMPRODUCT(MAX(ROW(E$1:E5347)*(E5348=E$1:E5347)))))</f>
        <v> </v>
      </c>
      <c r="L5348" s="27"/>
    </row>
    <row r="5349" spans="1:12">
      <c r="A5349" s="20" t="s">
        <v>1182</v>
      </c>
      <c r="E5349" s="22">
        <f>IF(D5349="?OLD","!!!","")</f>
        <v/>
      </c>
      <c r="F5349" s="23" t="str">
        <f>IF(OR(E5349="",E5349="!!!"),"",IF(NOT(ISNA(VLOOKUP(E5349,E$1:E5348,1,FALSE()))),"OLD",IF(AND(E5349&lt;&gt;"",E5349&lt;&gt;"!!!"),"NEW","")))</f>
        <v> </v>
      </c>
      <c r="G5349" s="24" t="str">
        <f>IF(OR(E5349="",E5349="!!!"),"",IF(OR(J5349=0,AND(J5349=1,K5349=1),AND(J5349=1,I5349="SBJ"),AND(J5349=1,I5349=0)),"?IN_FOCUS",IF(J5349&lt;=2,"?ACTIVATED",IF(J5349&lt;&gt;"","?FAMILIAR",IF(F5349="NEW",IF(ISNA(VLOOKUP(E5349,#REF!,1,FALSE())),"?TYPE_IDENTIFIABLE","?REFERENTIAL"),"_")))))</f>
        <v> </v>
      </c>
      <c r="H5349" s="25" t="str">
        <f>IF(J5349&lt;&gt;1,"",IF(I5349="SBJ","CB","?"))</f>
        <v> </v>
      </c>
      <c r="I5349" s="26" t="str">
        <f>IF(OR(E5349="",E5349="!!!",F5349="NEW"),"",INDEX(B5348:B$2,-1+SUMPRODUCT(MAX(ROW(E5348:E$2)*(E5349=E5348:E$2)))))</f>
        <v> </v>
      </c>
      <c r="J5349" s="26" t="str">
        <f>IF(OR(E5349="",E5349="!!!",F5349="NEW"),"",COUNTBLANK(OFFSET(A$1,,,SUMPRODUCT(MAX(ROW(E$2:E5349)*(E5349=E$2:E5349)))))-COUNTBLANK(OFFSET(A$1,,,SUMPRODUCT(MAX(ROW(E$1:E5348)*(E2=E$1:E5348))))))</f>
        <v> </v>
      </c>
      <c r="K5349" s="26" t="str">
        <f>IF(OR(E5349="",E5349="!!!",F5349="NEW"),"",INDEX(J$1:J5348,SUMPRODUCT(MAX(ROW(E$1:E5348)*(E5349=E$1:E5348)))))</f>
        <v> </v>
      </c>
      <c r="L5349" s="27"/>
    </row>
    <row r="5350" spans="1:12">
      <c r="A5350" s="20" t="s">
        <v>2337</v>
      </c>
      <c r="B5350" s="21" t="s">
        <v>1178</v>
      </c>
      <c r="C5350" s="21" t="s">
        <v>1179</v>
      </c>
      <c r="D5350" s="21" t="s">
        <v>1180</v>
      </c>
      <c r="E5350" s="22">
        <f>IF(D5350="?OLD","!!!","")</f>
        <v/>
      </c>
      <c r="F5350" s="23" t="str">
        <f>IF(OR(E5350="",E5350="!!!"),"",IF(NOT(ISNA(VLOOKUP(E5350,E$1:E5349,1,FALSE()))),"OLD",IF(AND(E5350&lt;&gt;"",E5350&lt;&gt;"!!!"),"NEW","")))</f>
        <v> </v>
      </c>
      <c r="G5350" s="24" t="str">
        <f>IF(OR(E5350="",E5350="!!!"),"",IF(OR(J5350=0,AND(J5350=1,K5350=1),AND(J5350=1,I5350="SBJ"),AND(J5350=1,I5350=0)),"?IN_FOCUS",IF(J5350&lt;=2,"?ACTIVATED",IF(J5350&lt;&gt;"","?FAMILIAR",IF(F5350="NEW",IF(ISNA(VLOOKUP(E5350,#REF!,1,FALSE())),"?TYPE_IDENTIFIABLE","?REFERENTIAL"),"_")))))</f>
        <v> </v>
      </c>
      <c r="H5350" s="25" t="str">
        <f>IF(J5350&lt;&gt;1,"",IF(I5350="SBJ","CB","?"))</f>
        <v> </v>
      </c>
      <c r="I5350" s="26" t="str">
        <f>IF(OR(E5350="",E5350="!!!",F5350="NEW"),"",INDEX(B5349:B$2,-1+SUMPRODUCT(MAX(ROW(E5349:E$2)*(E5350=E5349:E$2)))))</f>
        <v> </v>
      </c>
      <c r="J5350" s="26" t="str">
        <f>IF(OR(E5350="",E5350="!!!",F5350="NEW"),"",COUNTBLANK(OFFSET(A$1,,,SUMPRODUCT(MAX(ROW(E$2:E5350)*(E5350=E$2:E5350)))))-COUNTBLANK(OFFSET(A$1,,,SUMPRODUCT(MAX(ROW(E$1:E5349)*(E2=E$1:E5349))))))</f>
        <v> </v>
      </c>
      <c r="K5350" s="26" t="str">
        <f>IF(OR(E5350="",E5350="!!!",F5350="NEW"),"",INDEX(J$1:J5349,SUMPRODUCT(MAX(ROW(E$1:E5349)*(E5350=E$1:E5349)))))</f>
        <v> </v>
      </c>
      <c r="L5350" s="27"/>
    </row>
    <row r="5351" spans="1:12">
      <c r="A5351" s="20" t="s">
        <v>818</v>
      </c>
      <c r="E5351" s="22">
        <f>IF(D5351="?OLD","!!!","")</f>
        <v/>
      </c>
      <c r="F5351" s="23" t="str">
        <f>IF(OR(E5351="",E5351="!!!"),"",IF(NOT(ISNA(VLOOKUP(E5351,E$1:E5350,1,FALSE()))),"OLD",IF(AND(E5351&lt;&gt;"",E5351&lt;&gt;"!!!"),"NEW","")))</f>
        <v> </v>
      </c>
      <c r="G5351" s="24" t="str">
        <f>IF(OR(E5351="",E5351="!!!"),"",IF(OR(J5351=0,AND(J5351=1,K5351=1),AND(J5351=1,I5351="SBJ"),AND(J5351=1,I5351=0)),"?IN_FOCUS",IF(J5351&lt;=2,"?ACTIVATED",IF(J5351&lt;&gt;"","?FAMILIAR",IF(F5351="NEW",IF(ISNA(VLOOKUP(E5351,#REF!,1,FALSE())),"?TYPE_IDENTIFIABLE","?REFERENTIAL"),"_")))))</f>
        <v> </v>
      </c>
      <c r="H5351" s="25" t="str">
        <f>IF(J5351&lt;&gt;1,"",IF(I5351="SBJ","CB","?"))</f>
        <v> </v>
      </c>
      <c r="I5351" s="26" t="str">
        <f>IF(OR(E5351="",E5351="!!!",F5351="NEW"),"",INDEX(B5350:B$2,-1+SUMPRODUCT(MAX(ROW(E5350:E$2)*(E5351=E5350:E$2)))))</f>
        <v> </v>
      </c>
      <c r="J5351" s="26" t="str">
        <f>IF(OR(E5351="",E5351="!!!",F5351="NEW"),"",COUNTBLANK(OFFSET(A$1,,,SUMPRODUCT(MAX(ROW(E$2:E5351)*(E5351=E$2:E5351)))))-COUNTBLANK(OFFSET(A$1,,,SUMPRODUCT(MAX(ROW(E$1:E5350)*(E2=E$1:E5350))))))</f>
        <v> </v>
      </c>
      <c r="K5351" s="26" t="str">
        <f>IF(OR(E5351="",E5351="!!!",F5351="NEW"),"",INDEX(J$1:J5350,SUMPRODUCT(MAX(ROW(E$1:E5350)*(E5351=E$1:E5350)))))</f>
        <v> </v>
      </c>
      <c r="L5351" s="27"/>
    </row>
    <row r="5352" spans="1:12">
      <c r="A5352" s="20"/>
    </row>
    <row r="5353" spans="1:12">
      <c r="A5353" s="20" t="s">
        <v>2689</v>
      </c>
    </row>
    <row r="5354" spans="1:12">
      <c r="A5354" s="20" t="s">
        <v>2690</v>
      </c>
      <c r="B5354" s="21" t="s">
        <v>1191</v>
      </c>
      <c r="C5354" s="21" t="s">
        <v>1297</v>
      </c>
      <c r="D5354" s="21" t="s">
        <v>1180</v>
      </c>
      <c r="E5354" s="22">
        <f>IF(D5354="?OLD","!!!","")</f>
        <v/>
      </c>
      <c r="F5354" s="23" t="str">
        <f>IF(OR(E5354="",E5354="!!!"),"",IF(NOT(ISNA(VLOOKUP(E5354,E$1:E5353,1,FALSE()))),"OLD",IF(AND(E5354&lt;&gt;"",E5354&lt;&gt;"!!!"),"NEW","")))</f>
        <v> </v>
      </c>
      <c r="G5354" s="24" t="str">
        <f>IF(OR(E5354="",E5354="!!!"),"",IF(OR(J5354=0,AND(J5354=1,K5354=1),AND(J5354=1,I5354="SBJ"),AND(J5354=1,I5354=0)),"?IN_FOCUS",IF(J5354&lt;=2,"?ACTIVATED",IF(J5354&lt;&gt;"","?FAMILIAR",IF(F5354="NEW",IF(ISNA(VLOOKUP(E5354,#REF!,1,FALSE())),"?TYPE_IDENTIFIABLE","?REFERENTIAL"),"_")))))</f>
        <v> </v>
      </c>
      <c r="H5354" s="25" t="str">
        <f>IF(J5354&lt;&gt;1,"",IF(I5354="SBJ","CB","?"))</f>
        <v> </v>
      </c>
      <c r="I5354" s="26" t="str">
        <f>IF(OR(E5354="",E5354="!!!",F5354="NEW"),"",INDEX(B5353:B$2,-1+SUMPRODUCT(MAX(ROW(E5353:E$2)*(E5354=E5353:E$2)))))</f>
        <v> </v>
      </c>
      <c r="J5354" s="26" t="str">
        <f>IF(OR(E5354="",E5354="!!!",F5354="NEW"),"",COUNTBLANK(OFFSET(A$1,,,SUMPRODUCT(MAX(ROW(E$2:E5354)*(E5354=E$2:E5354)))))-COUNTBLANK(OFFSET(A$1,,,SUMPRODUCT(MAX(ROW(E$1:E5353)*(E2=E$1:E5353))))))</f>
        <v> </v>
      </c>
      <c r="K5354" s="26" t="str">
        <f>IF(OR(E5354="",E5354="!!!",F5354="NEW"),"",INDEX(J$1:J5353,SUMPRODUCT(MAX(ROW(E$1:E5353)*(E5354=E$1:E5353)))))</f>
        <v> </v>
      </c>
      <c r="L5354" s="27"/>
    </row>
    <row r="5355" spans="1:12">
      <c r="A5355" s="20" t="s">
        <v>2617</v>
      </c>
      <c r="B5355" s="21" t="s">
        <v>1194</v>
      </c>
      <c r="C5355" s="21" t="s">
        <v>1184</v>
      </c>
      <c r="E5355" s="22">
        <f>IF(D5355="?OLD","!!!","")</f>
        <v/>
      </c>
      <c r="F5355" s="23" t="str">
        <f>IF(OR(E5355="",E5355="!!!"),"",IF(NOT(ISNA(VLOOKUP(E5355,E$1:E5354,1,FALSE()))),"OLD",IF(AND(E5355&lt;&gt;"",E5355&lt;&gt;"!!!"),"NEW","")))</f>
        <v> </v>
      </c>
      <c r="G5355" s="24" t="str">
        <f>IF(OR(E5355="",E5355="!!!"),"",IF(OR(J5355=0,AND(J5355=1,K5355=1),AND(J5355=1,I5355="SBJ"),AND(J5355=1,I5355=0)),"?IN_FOCUS",IF(J5355&lt;=2,"?ACTIVATED",IF(J5355&lt;&gt;"","?FAMILIAR",IF(F5355="NEW",IF(ISNA(VLOOKUP(E5355,#REF!,1,FALSE())),"?TYPE_IDENTIFIABLE","?REFERENTIAL"),"_")))))</f>
        <v> </v>
      </c>
      <c r="H5355" s="25" t="str">
        <f>IF(J5355&lt;&gt;1,"",IF(I5355="SBJ","CB","?"))</f>
        <v> </v>
      </c>
      <c r="I5355" s="26" t="str">
        <f>IF(OR(E5355="",E5355="!!!",F5355="NEW"),"",INDEX(B5354:B$2,-1+SUMPRODUCT(MAX(ROW(E5354:E$2)*(E5355=E5354:E$2)))))</f>
        <v> </v>
      </c>
      <c r="J5355" s="26" t="str">
        <f>IF(OR(E5355="",E5355="!!!",F5355="NEW"),"",COUNTBLANK(OFFSET(A$1,,,SUMPRODUCT(MAX(ROW(E$2:E5355)*(E5355=E$2:E5355)))))-COUNTBLANK(OFFSET(A$1,,,SUMPRODUCT(MAX(ROW(E$1:E5354)*(E2=E$1:E5354))))))</f>
        <v> </v>
      </c>
      <c r="K5355" s="26" t="str">
        <f>IF(OR(E5355="",E5355="!!!",F5355="NEW"),"",INDEX(J$1:J5354,SUMPRODUCT(MAX(ROW(E$1:E5354)*(E5355=E$1:E5354)))))</f>
        <v> </v>
      </c>
      <c r="L5355" s="27"/>
    </row>
    <row r="5356" spans="1:12">
      <c r="A5356" s="20" t="s">
        <v>1618</v>
      </c>
      <c r="E5356" s="22">
        <f>IF(D5356="?OLD","!!!","")</f>
        <v/>
      </c>
      <c r="F5356" s="23" t="str">
        <f>IF(OR(E5356="",E5356="!!!"),"",IF(NOT(ISNA(VLOOKUP(E5356,E$1:E5355,1,FALSE()))),"OLD",IF(AND(E5356&lt;&gt;"",E5356&lt;&gt;"!!!"),"NEW","")))</f>
        <v> </v>
      </c>
      <c r="G5356" s="24" t="str">
        <f>IF(OR(E5356="",E5356="!!!"),"",IF(OR(J5356=0,AND(J5356=1,K5356=1),AND(J5356=1,I5356="SBJ"),AND(J5356=1,I5356=0)),"?IN_FOCUS",IF(J5356&lt;=2,"?ACTIVATED",IF(J5356&lt;&gt;"","?FAMILIAR",IF(F5356="NEW",IF(ISNA(VLOOKUP(E5356,#REF!,1,FALSE())),"?TYPE_IDENTIFIABLE","?REFERENTIAL"),"_")))))</f>
        <v> </v>
      </c>
      <c r="H5356" s="25" t="str">
        <f>IF(J5356&lt;&gt;1,"",IF(I5356="SBJ","CB","?"))</f>
        <v> </v>
      </c>
      <c r="I5356" s="26" t="str">
        <f>IF(OR(E5356="",E5356="!!!",F5356="NEW"),"",INDEX(B5355:B$2,-1+SUMPRODUCT(MAX(ROW(E5355:E$2)*(E5356=E5355:E$2)))))</f>
        <v> </v>
      </c>
      <c r="J5356" s="26" t="str">
        <f>IF(OR(E5356="",E5356="!!!",F5356="NEW"),"",COUNTBLANK(OFFSET(A$1,,,SUMPRODUCT(MAX(ROW(E$2:E5356)*(E5356=E$2:E5356)))))-COUNTBLANK(OFFSET(A$1,,,SUMPRODUCT(MAX(ROW(E$1:E5355)*(E2=E$1:E5355))))))</f>
        <v> </v>
      </c>
      <c r="K5356" s="26" t="str">
        <f>IF(OR(E5356="",E5356="!!!",F5356="NEW"),"",INDEX(J$1:J5355,SUMPRODUCT(MAX(ROW(E$1:E5355)*(E5356=E$1:E5355)))))</f>
        <v> </v>
      </c>
      <c r="L5356" s="27"/>
    </row>
    <row r="5357" spans="1:12">
      <c r="A5357" s="20" t="s">
        <v>1193</v>
      </c>
      <c r="B5357" s="21" t="s">
        <v>1240</v>
      </c>
      <c r="C5357" s="21" t="s">
        <v>1195</v>
      </c>
      <c r="D5357" s="21" t="s">
        <v>1180</v>
      </c>
      <c r="E5357" s="22">
        <f>IF(D5357="?OLD","!!!","")</f>
        <v/>
      </c>
      <c r="F5357" s="23" t="str">
        <f>IF(OR(E5357="",E5357="!!!"),"",IF(NOT(ISNA(VLOOKUP(E5357,E$1:E5356,1,FALSE()))),"OLD",IF(AND(E5357&lt;&gt;"",E5357&lt;&gt;"!!!"),"NEW","")))</f>
        <v> </v>
      </c>
      <c r="G5357" s="24" t="str">
        <f>IF(OR(E5357="",E5357="!!!"),"",IF(OR(J5357=0,AND(J5357=1,K5357=1),AND(J5357=1,I5357="SBJ"),AND(J5357=1,I5357=0)),"?IN_FOCUS",IF(J5357&lt;=2,"?ACTIVATED",IF(J5357&lt;&gt;"","?FAMILIAR",IF(F5357="NEW",IF(ISNA(VLOOKUP(E5357,#REF!,1,FALSE())),"?TYPE_IDENTIFIABLE","?REFERENTIAL"),"_")))))</f>
        <v> </v>
      </c>
      <c r="H5357" s="25" t="str">
        <f>IF(J5357&lt;&gt;1,"",IF(I5357="SBJ","CB","?"))</f>
        <v> </v>
      </c>
      <c r="I5357" s="26" t="str">
        <f>IF(OR(E5357="",E5357="!!!",F5357="NEW"),"",INDEX(B5356:B$2,-1+SUMPRODUCT(MAX(ROW(E5356:E$2)*(E5357=E5356:E$2)))))</f>
        <v> </v>
      </c>
      <c r="J5357" s="26" t="str">
        <f>IF(OR(E5357="",E5357="!!!",F5357="NEW"),"",COUNTBLANK(OFFSET(A$1,,,SUMPRODUCT(MAX(ROW(E$2:E5357)*(E5357=E$2:E5357)))))-COUNTBLANK(OFFSET(A$1,,,SUMPRODUCT(MAX(ROW(E$1:E5356)*(E2=E$1:E5356))))))</f>
        <v> </v>
      </c>
      <c r="K5357" s="26" t="str">
        <f>IF(OR(E5357="",E5357="!!!",F5357="NEW"),"",INDEX(J$1:J5356,SUMPRODUCT(MAX(ROW(E$1:E5356)*(E5357=E$1:E5356)))))</f>
        <v> </v>
      </c>
      <c r="L5357" s="27"/>
    </row>
    <row r="5358" spans="1:12">
      <c r="A5358" s="20" t="s">
        <v>1320</v>
      </c>
      <c r="E5358" s="22">
        <f>IF(D5358="?OLD","!!!","")</f>
        <v/>
      </c>
      <c r="F5358" s="23" t="str">
        <f>IF(OR(E5358="",E5358="!!!"),"",IF(NOT(ISNA(VLOOKUP(E5358,E$1:E5357,1,FALSE()))),"OLD",IF(AND(E5358&lt;&gt;"",E5358&lt;&gt;"!!!"),"NEW","")))</f>
        <v> </v>
      </c>
      <c r="G5358" s="24" t="str">
        <f>IF(OR(E5358="",E5358="!!!"),"",IF(OR(J5358=0,AND(J5358=1,K5358=1),AND(J5358=1,I5358="SBJ"),AND(J5358=1,I5358=0)),"?IN_FOCUS",IF(J5358&lt;=2,"?ACTIVATED",IF(J5358&lt;&gt;"","?FAMILIAR",IF(F5358="NEW",IF(ISNA(VLOOKUP(E5358,#REF!,1,FALSE())),"?TYPE_IDENTIFIABLE","?REFERENTIAL"),"_")))))</f>
        <v> </v>
      </c>
      <c r="H5358" s="25" t="str">
        <f>IF(J5358&lt;&gt;1,"",IF(I5358="SBJ","CB","?"))</f>
        <v> </v>
      </c>
      <c r="I5358" s="26" t="str">
        <f>IF(OR(E5358="",E5358="!!!",F5358="NEW"),"",INDEX(B5357:B$2,-1+SUMPRODUCT(MAX(ROW(E5357:E$2)*(E5358=E5357:E$2)))))</f>
        <v> </v>
      </c>
      <c r="J5358" s="26" t="str">
        <f>IF(OR(E5358="",E5358="!!!",F5358="NEW"),"",COUNTBLANK(OFFSET(A$1,,,SUMPRODUCT(MAX(ROW(E$2:E5358)*(E5358=E$2:E5358)))))-COUNTBLANK(OFFSET(A$1,,,SUMPRODUCT(MAX(ROW(E$1:E5357)*(E2=E$1:E5357))))))</f>
        <v> </v>
      </c>
      <c r="K5358" s="26" t="str">
        <f>IF(OR(E5358="",E5358="!!!",F5358="NEW"),"",INDEX(J$1:J5357,SUMPRODUCT(MAX(ROW(E$1:E5357)*(E5358=E$1:E5357)))))</f>
        <v> </v>
      </c>
      <c r="L5358" s="27"/>
    </row>
    <row r="5359" spans="1:12">
      <c r="A5359" s="20" t="s">
        <v>1314</v>
      </c>
      <c r="E5359" s="22">
        <f>IF(D5359="?OLD","!!!","")</f>
        <v/>
      </c>
      <c r="F5359" s="23" t="str">
        <f>IF(OR(E5359="",E5359="!!!"),"",IF(NOT(ISNA(VLOOKUP(E5359,E$1:E5358,1,FALSE()))),"OLD",IF(AND(E5359&lt;&gt;"",E5359&lt;&gt;"!!!"),"NEW","")))</f>
        <v> </v>
      </c>
      <c r="G5359" s="24" t="str">
        <f>IF(OR(E5359="",E5359="!!!"),"",IF(OR(J5359=0,AND(J5359=1,K5359=1),AND(J5359=1,I5359="SBJ"),AND(J5359=1,I5359=0)),"?IN_FOCUS",IF(J5359&lt;=2,"?ACTIVATED",IF(J5359&lt;&gt;"","?FAMILIAR",IF(F5359="NEW",IF(ISNA(VLOOKUP(E5359,#REF!,1,FALSE())),"?TYPE_IDENTIFIABLE","?REFERENTIAL"),"_")))))</f>
        <v> </v>
      </c>
      <c r="H5359" s="25" t="str">
        <f>IF(J5359&lt;&gt;1,"",IF(I5359="SBJ","CB","?"))</f>
        <v> </v>
      </c>
      <c r="I5359" s="26" t="str">
        <f>IF(OR(E5359="",E5359="!!!",F5359="NEW"),"",INDEX(B5358:B$2,-1+SUMPRODUCT(MAX(ROW(E5358:E$2)*(E5359=E5358:E$2)))))</f>
        <v> </v>
      </c>
      <c r="J5359" s="26" t="str">
        <f>IF(OR(E5359="",E5359="!!!",F5359="NEW"),"",COUNTBLANK(OFFSET(A$1,,,SUMPRODUCT(MAX(ROW(E$2:E5359)*(E5359=E$2:E5359)))))-COUNTBLANK(OFFSET(A$1,,,SUMPRODUCT(MAX(ROW(E$1:E5358)*(E2=E$1:E5358))))))</f>
        <v> </v>
      </c>
      <c r="K5359" s="26" t="str">
        <f>IF(OR(E5359="",E5359="!!!",F5359="NEW"),"",INDEX(J$1:J5358,SUMPRODUCT(MAX(ROW(E$1:E5358)*(E5359=E$1:E5358)))))</f>
        <v> </v>
      </c>
      <c r="L5359" s="27"/>
    </row>
    <row r="5360" spans="1:12">
      <c r="A5360" s="20" t="s">
        <v>1537</v>
      </c>
      <c r="E5360" s="22">
        <f>IF(D5360="?OLD","!!!","")</f>
        <v/>
      </c>
      <c r="F5360" s="23" t="str">
        <f>IF(OR(E5360="",E5360="!!!"),"",IF(NOT(ISNA(VLOOKUP(E5360,E$1:E5359,1,FALSE()))),"OLD",IF(AND(E5360&lt;&gt;"",E5360&lt;&gt;"!!!"),"NEW","")))</f>
        <v> </v>
      </c>
      <c r="G5360" s="24" t="str">
        <f>IF(OR(E5360="",E5360="!!!"),"",IF(OR(J5360=0,AND(J5360=1,K5360=1),AND(J5360=1,I5360="SBJ"),AND(J5360=1,I5360=0)),"?IN_FOCUS",IF(J5360&lt;=2,"?ACTIVATED",IF(J5360&lt;&gt;"","?FAMILIAR",IF(F5360="NEW",IF(ISNA(VLOOKUP(E5360,#REF!,1,FALSE())),"?TYPE_IDENTIFIABLE","?REFERENTIAL"),"_")))))</f>
        <v> </v>
      </c>
      <c r="H5360" s="25" t="str">
        <f>IF(J5360&lt;&gt;1,"",IF(I5360="SBJ","CB","?"))</f>
        <v> </v>
      </c>
      <c r="I5360" s="26" t="str">
        <f>IF(OR(E5360="",E5360="!!!",F5360="NEW"),"",INDEX(B5359:B$2,-1+SUMPRODUCT(MAX(ROW(E5359:E$2)*(E5360=E5359:E$2)))))</f>
        <v> </v>
      </c>
      <c r="J5360" s="26" t="str">
        <f>IF(OR(E5360="",E5360="!!!",F5360="NEW"),"",COUNTBLANK(OFFSET(A$1,,,SUMPRODUCT(MAX(ROW(E$2:E5360)*(E5360=E$2:E5360)))))-COUNTBLANK(OFFSET(A$1,,,SUMPRODUCT(MAX(ROW(E$1:E5359)*(E2=E$1:E5359))))))</f>
        <v> </v>
      </c>
      <c r="K5360" s="26" t="str">
        <f>IF(OR(E5360="",E5360="!!!",F5360="NEW"),"",INDEX(J$1:J5359,SUMPRODUCT(MAX(ROW(E$1:E5359)*(E5360=E$1:E5359)))))</f>
        <v> </v>
      </c>
      <c r="L5360" s="27"/>
    </row>
    <row r="5361" spans="1:12">
      <c r="A5361" s="20" t="s">
        <v>1293</v>
      </c>
      <c r="E5361" s="22">
        <f>IF(D5361="?OLD","!!!","")</f>
        <v/>
      </c>
      <c r="F5361" s="23" t="str">
        <f>IF(OR(E5361="",E5361="!!!"),"",IF(NOT(ISNA(VLOOKUP(E5361,E$1:E5360,1,FALSE()))),"OLD",IF(AND(E5361&lt;&gt;"",E5361&lt;&gt;"!!!"),"NEW","")))</f>
        <v> </v>
      </c>
      <c r="G5361" s="24" t="str">
        <f>IF(OR(E5361="",E5361="!!!"),"",IF(OR(J5361=0,AND(J5361=1,K5361=1),AND(J5361=1,I5361="SBJ"),AND(J5361=1,I5361=0)),"?IN_FOCUS",IF(J5361&lt;=2,"?ACTIVATED",IF(J5361&lt;&gt;"","?FAMILIAR",IF(F5361="NEW",IF(ISNA(VLOOKUP(E5361,#REF!,1,FALSE())),"?TYPE_IDENTIFIABLE","?REFERENTIAL"),"_")))))</f>
        <v> </v>
      </c>
      <c r="H5361" s="25" t="str">
        <f>IF(J5361&lt;&gt;1,"",IF(I5361="SBJ","CB","?"))</f>
        <v> </v>
      </c>
      <c r="I5361" s="26" t="str">
        <f>IF(OR(E5361="",E5361="!!!",F5361="NEW"),"",INDEX(B5360:B$2,-1+SUMPRODUCT(MAX(ROW(E5360:E$2)*(E5361=E5360:E$2)))))</f>
        <v> </v>
      </c>
      <c r="J5361" s="26" t="str">
        <f>IF(OR(E5361="",E5361="!!!",F5361="NEW"),"",COUNTBLANK(OFFSET(A$1,,,SUMPRODUCT(MAX(ROW(E$2:E5361)*(E5361=E$2:E5361)))))-COUNTBLANK(OFFSET(A$1,,,SUMPRODUCT(MAX(ROW(E$1:E5360)*(E2=E$1:E5360))))))</f>
        <v> </v>
      </c>
      <c r="K5361" s="26" t="str">
        <f>IF(OR(E5361="",E5361="!!!",F5361="NEW"),"",INDEX(J$1:J5360,SUMPRODUCT(MAX(ROW(E$1:E5360)*(E5361=E$1:E5360)))))</f>
        <v> </v>
      </c>
      <c r="L5361" s="27"/>
    </row>
    <row r="5362" spans="1:12">
      <c r="A5362" s="20" t="s">
        <v>2055</v>
      </c>
      <c r="B5362" s="21" t="s">
        <v>1191</v>
      </c>
      <c r="C5362" s="21" t="s">
        <v>1184</v>
      </c>
      <c r="E5362" s="22">
        <f>IF(D5362="?OLD","!!!","")</f>
        <v/>
      </c>
      <c r="F5362" s="23" t="str">
        <f>IF(OR(E5362="",E5362="!!!"),"",IF(NOT(ISNA(VLOOKUP(E5362,E$1:E5361,1,FALSE()))),"OLD",IF(AND(E5362&lt;&gt;"",E5362&lt;&gt;"!!!"),"NEW","")))</f>
        <v> </v>
      </c>
      <c r="G5362" s="24" t="str">
        <f>IF(OR(E5362="",E5362="!!!"),"",IF(OR(J5362=0,AND(J5362=1,K5362=1),AND(J5362=1,I5362="SBJ"),AND(J5362=1,I5362=0)),"?IN_FOCUS",IF(J5362&lt;=2,"?ACTIVATED",IF(J5362&lt;&gt;"","?FAMILIAR",IF(F5362="NEW",IF(ISNA(VLOOKUP(E5362,#REF!,1,FALSE())),"?TYPE_IDENTIFIABLE","?REFERENTIAL"),"_")))))</f>
        <v> </v>
      </c>
      <c r="H5362" s="25" t="str">
        <f>IF(J5362&lt;&gt;1,"",IF(I5362="SBJ","CB","?"))</f>
        <v> </v>
      </c>
      <c r="I5362" s="26" t="str">
        <f>IF(OR(E5362="",E5362="!!!",F5362="NEW"),"",INDEX(B5361:B$2,-1+SUMPRODUCT(MAX(ROW(E5361:E$2)*(E5362=E5361:E$2)))))</f>
        <v> </v>
      </c>
      <c r="J5362" s="26" t="str">
        <f>IF(OR(E5362="",E5362="!!!",F5362="NEW"),"",COUNTBLANK(OFFSET(A$1,,,SUMPRODUCT(MAX(ROW(E$2:E5362)*(E5362=E$2:E5362)))))-COUNTBLANK(OFFSET(A$1,,,SUMPRODUCT(MAX(ROW(E$1:E5361)*(E2=E$1:E5361))))))</f>
        <v> </v>
      </c>
      <c r="K5362" s="26" t="str">
        <f>IF(OR(E5362="",E5362="!!!",F5362="NEW"),"",INDEX(J$1:J5361,SUMPRODUCT(MAX(ROW(E$1:E5361)*(E5362=E$1:E5361)))))</f>
        <v> </v>
      </c>
      <c r="L5362" s="27"/>
    </row>
    <row r="5363" spans="1:12">
      <c r="A5363" s="20" t="s">
        <v>1520</v>
      </c>
      <c r="E5363" s="22">
        <f>IF(D5363="?OLD","!!!","")</f>
        <v/>
      </c>
      <c r="F5363" s="23" t="str">
        <f>IF(OR(E5363="",E5363="!!!"),"",IF(NOT(ISNA(VLOOKUP(E5363,E$1:E5362,1,FALSE()))),"OLD",IF(AND(E5363&lt;&gt;"",E5363&lt;&gt;"!!!"),"NEW","")))</f>
        <v> </v>
      </c>
      <c r="G5363" s="24" t="str">
        <f>IF(OR(E5363="",E5363="!!!"),"",IF(OR(J5363=0,AND(J5363=1,K5363=1),AND(J5363=1,I5363="SBJ"),AND(J5363=1,I5363=0)),"?IN_FOCUS",IF(J5363&lt;=2,"?ACTIVATED",IF(J5363&lt;&gt;"","?FAMILIAR",IF(F5363="NEW",IF(ISNA(VLOOKUP(E5363,#REF!,1,FALSE())),"?TYPE_IDENTIFIABLE","?REFERENTIAL"),"_")))))</f>
        <v> </v>
      </c>
      <c r="H5363" s="25" t="str">
        <f>IF(J5363&lt;&gt;1,"",IF(I5363="SBJ","CB","?"))</f>
        <v> </v>
      </c>
      <c r="I5363" s="26" t="str">
        <f>IF(OR(E5363="",E5363="!!!",F5363="NEW"),"",INDEX(B5362:B$2,-1+SUMPRODUCT(MAX(ROW(E5362:E$2)*(E5363=E5362:E$2)))))</f>
        <v> </v>
      </c>
      <c r="J5363" s="26" t="str">
        <f>IF(OR(E5363="",E5363="!!!",F5363="NEW"),"",COUNTBLANK(OFFSET(A$1,,,SUMPRODUCT(MAX(ROW(E$2:E5363)*(E5363=E$2:E5363)))))-COUNTBLANK(OFFSET(A$1,,,SUMPRODUCT(MAX(ROW(E$1:E5362)*(E2=E$1:E5362))))))</f>
        <v> </v>
      </c>
      <c r="K5363" s="26" t="str">
        <f>IF(OR(E5363="",E5363="!!!",F5363="NEW"),"",INDEX(J$1:J5362,SUMPRODUCT(MAX(ROW(E$1:E5362)*(E5363=E$1:E5362)))))</f>
        <v> </v>
      </c>
      <c r="L5363" s="27"/>
    </row>
    <row r="5364" spans="1:12">
      <c r="A5364" s="20" t="s">
        <v>1495</v>
      </c>
      <c r="E5364" s="22">
        <f>IF(D5364="?OLD","!!!","")</f>
        <v/>
      </c>
      <c r="F5364" s="23" t="str">
        <f>IF(OR(E5364="",E5364="!!!"),"",IF(NOT(ISNA(VLOOKUP(E5364,E$1:E5363,1,FALSE()))),"OLD",IF(AND(E5364&lt;&gt;"",E5364&lt;&gt;"!!!"),"NEW","")))</f>
        <v> </v>
      </c>
      <c r="G5364" s="24" t="str">
        <f>IF(OR(E5364="",E5364="!!!"),"",IF(OR(J5364=0,AND(J5364=1,K5364=1),AND(J5364=1,I5364="SBJ"),AND(J5364=1,I5364=0)),"?IN_FOCUS",IF(J5364&lt;=2,"?ACTIVATED",IF(J5364&lt;&gt;"","?FAMILIAR",IF(F5364="NEW",IF(ISNA(VLOOKUP(E5364,#REF!,1,FALSE())),"?TYPE_IDENTIFIABLE","?REFERENTIAL"),"_")))))</f>
        <v> </v>
      </c>
      <c r="H5364" s="25" t="str">
        <f>IF(J5364&lt;&gt;1,"",IF(I5364="SBJ","CB","?"))</f>
        <v> </v>
      </c>
      <c r="I5364" s="26" t="str">
        <f>IF(OR(E5364="",E5364="!!!",F5364="NEW"),"",INDEX(B5363:B$2,-1+SUMPRODUCT(MAX(ROW(E5363:E$2)*(E5364=E5363:E$2)))))</f>
        <v> </v>
      </c>
      <c r="J5364" s="26" t="str">
        <f>IF(OR(E5364="",E5364="!!!",F5364="NEW"),"",COUNTBLANK(OFFSET(A$1,,,SUMPRODUCT(MAX(ROW(E$2:E5364)*(E5364=E$2:E5364)))))-COUNTBLANK(OFFSET(A$1,,,SUMPRODUCT(MAX(ROW(E$1:E5363)*(E2=E$1:E5363))))))</f>
        <v> </v>
      </c>
      <c r="K5364" s="26" t="str">
        <f>IF(OR(E5364="",E5364="!!!",F5364="NEW"),"",INDEX(J$1:J5363,SUMPRODUCT(MAX(ROW(E$1:E5363)*(E5364=E$1:E5363)))))</f>
        <v> </v>
      </c>
      <c r="L5364" s="27"/>
    </row>
    <row r="5365" spans="1:12">
      <c r="A5365" s="20" t="s">
        <v>1190</v>
      </c>
      <c r="B5365" s="21" t="s">
        <v>1178</v>
      </c>
      <c r="C5365" s="21" t="s">
        <v>1188</v>
      </c>
      <c r="D5365" s="21" t="s">
        <v>1180</v>
      </c>
      <c r="E5365" s="22">
        <f>IF(D5365="?OLD","!!!","")</f>
        <v/>
      </c>
      <c r="F5365" s="23" t="str">
        <f>IF(OR(E5365="",E5365="!!!"),"",IF(NOT(ISNA(VLOOKUP(E5365,E$1:E5364,1,FALSE()))),"OLD",IF(AND(E5365&lt;&gt;"",E5365&lt;&gt;"!!!"),"NEW","")))</f>
        <v> </v>
      </c>
      <c r="G5365" s="24" t="str">
        <f>IF(OR(E5365="",E5365="!!!"),"",IF(OR(J5365=0,AND(J5365=1,K5365=1),AND(J5365=1,I5365="SBJ"),AND(J5365=1,I5365=0)),"?IN_FOCUS",IF(J5365&lt;=2,"?ACTIVATED",IF(J5365&lt;&gt;"","?FAMILIAR",IF(F5365="NEW",IF(ISNA(VLOOKUP(E5365,#REF!,1,FALSE())),"?TYPE_IDENTIFIABLE","?REFERENTIAL"),"_")))))</f>
        <v> </v>
      </c>
      <c r="H5365" s="25" t="str">
        <f>IF(J5365&lt;&gt;1,"",IF(I5365="SBJ","CB","?"))</f>
        <v> </v>
      </c>
      <c r="I5365" s="26" t="str">
        <f>IF(OR(E5365="",E5365="!!!",F5365="NEW"),"",INDEX(B5364:B$2,-1+SUMPRODUCT(MAX(ROW(E5364:E$2)*(E5365=E5364:E$2)))))</f>
        <v> </v>
      </c>
      <c r="J5365" s="26" t="str">
        <f>IF(OR(E5365="",E5365="!!!",F5365="NEW"),"",COUNTBLANK(OFFSET(A$1,,,SUMPRODUCT(MAX(ROW(E$2:E5365)*(E5365=E$2:E5365)))))-COUNTBLANK(OFFSET(A$1,,,SUMPRODUCT(MAX(ROW(E$1:E5364)*(E2=E$1:E5364))))))</f>
        <v> </v>
      </c>
      <c r="K5365" s="26" t="str">
        <f>IF(OR(E5365="",E5365="!!!",F5365="NEW"),"",INDEX(J$1:J5364,SUMPRODUCT(MAX(ROW(E$1:E5364)*(E5365=E$1:E5364)))))</f>
        <v> </v>
      </c>
      <c r="L5365" s="27"/>
    </row>
    <row r="5366" spans="1:12">
      <c r="A5366" s="20" t="s">
        <v>2618</v>
      </c>
      <c r="E5366" s="22">
        <f>IF(D5366="?OLD","!!!","")</f>
        <v/>
      </c>
      <c r="F5366" s="23" t="str">
        <f>IF(OR(E5366="",E5366="!!!"),"",IF(NOT(ISNA(VLOOKUP(E5366,E$1:E5365,1,FALSE()))),"OLD",IF(AND(E5366&lt;&gt;"",E5366&lt;&gt;"!!!"),"NEW","")))</f>
        <v> </v>
      </c>
      <c r="G5366" s="24" t="str">
        <f>IF(OR(E5366="",E5366="!!!"),"",IF(OR(J5366=0,AND(J5366=1,K5366=1),AND(J5366=1,I5366="SBJ"),AND(J5366=1,I5366=0)),"?IN_FOCUS",IF(J5366&lt;=2,"?ACTIVATED",IF(J5366&lt;&gt;"","?FAMILIAR",IF(F5366="NEW",IF(ISNA(VLOOKUP(E5366,#REF!,1,FALSE())),"?TYPE_IDENTIFIABLE","?REFERENTIAL"),"_")))))</f>
        <v> </v>
      </c>
      <c r="H5366" s="25" t="str">
        <f>IF(J5366&lt;&gt;1,"",IF(I5366="SBJ","CB","?"))</f>
        <v> </v>
      </c>
      <c r="I5366" s="26" t="str">
        <f>IF(OR(E5366="",E5366="!!!",F5366="NEW"),"",INDEX(B5365:B$2,-1+SUMPRODUCT(MAX(ROW(E5365:E$2)*(E5366=E5365:E$2)))))</f>
        <v> </v>
      </c>
      <c r="J5366" s="26" t="str">
        <f>IF(OR(E5366="",E5366="!!!",F5366="NEW"),"",COUNTBLANK(OFFSET(A$1,,,SUMPRODUCT(MAX(ROW(E$2:E5366)*(E5366=E$2:E5366)))))-COUNTBLANK(OFFSET(A$1,,,SUMPRODUCT(MAX(ROW(E$1:E5365)*(E2=E$1:E5365))))))</f>
        <v> </v>
      </c>
      <c r="K5366" s="26" t="str">
        <f>IF(OR(E5366="",E5366="!!!",F5366="NEW"),"",INDEX(J$1:J5365,SUMPRODUCT(MAX(ROW(E$1:E5365)*(E5366=E$1:E5365)))))</f>
        <v> </v>
      </c>
      <c r="L5366" s="27"/>
    </row>
    <row r="5367" spans="1:12">
      <c r="A5367" s="20" t="s">
        <v>1185</v>
      </c>
      <c r="E5367" s="22">
        <f>IF(D5367="?OLD","!!!","")</f>
        <v/>
      </c>
      <c r="F5367" s="23" t="str">
        <f>IF(OR(E5367="",E5367="!!!"),"",IF(NOT(ISNA(VLOOKUP(E5367,E$1:E5366,1,FALSE()))),"OLD",IF(AND(E5367&lt;&gt;"",E5367&lt;&gt;"!!!"),"NEW","")))</f>
        <v> </v>
      </c>
      <c r="G5367" s="24" t="str">
        <f>IF(OR(E5367="",E5367="!!!"),"",IF(OR(J5367=0,AND(J5367=1,K5367=1),AND(J5367=1,I5367="SBJ"),AND(J5367=1,I5367=0)),"?IN_FOCUS",IF(J5367&lt;=2,"?ACTIVATED",IF(J5367&lt;&gt;"","?FAMILIAR",IF(F5367="NEW",IF(ISNA(VLOOKUP(E5367,#REF!,1,FALSE())),"?TYPE_IDENTIFIABLE","?REFERENTIAL"),"_")))))</f>
        <v> </v>
      </c>
      <c r="H5367" s="25" t="str">
        <f>IF(J5367&lt;&gt;1,"",IF(I5367="SBJ","CB","?"))</f>
        <v> </v>
      </c>
      <c r="I5367" s="26" t="str">
        <f>IF(OR(E5367="",E5367="!!!",F5367="NEW"),"",INDEX(B5366:B$2,-1+SUMPRODUCT(MAX(ROW(E5366:E$2)*(E5367=E5366:E$2)))))</f>
        <v> </v>
      </c>
      <c r="J5367" s="26" t="str">
        <f>IF(OR(E5367="",E5367="!!!",F5367="NEW"),"",COUNTBLANK(OFFSET(A$1,,,SUMPRODUCT(MAX(ROW(E$2:E5367)*(E5367=E$2:E5367)))))-COUNTBLANK(OFFSET(A$1,,,SUMPRODUCT(MAX(ROW(E$1:E5366)*(E2=E$1:E5366))))))</f>
        <v> </v>
      </c>
      <c r="K5367" s="26" t="str">
        <f>IF(OR(E5367="",E5367="!!!",F5367="NEW"),"",INDEX(J$1:J5366,SUMPRODUCT(MAX(ROW(E$1:E5366)*(E5367=E$1:E5366)))))</f>
        <v> </v>
      </c>
      <c r="L5367" s="27"/>
    </row>
    <row r="5368" spans="1:12">
      <c r="A5368" s="20" t="s">
        <v>1263</v>
      </c>
      <c r="B5368" s="21" t="s">
        <v>1240</v>
      </c>
      <c r="C5368" s="21" t="s">
        <v>1195</v>
      </c>
      <c r="D5368" s="21" t="s">
        <v>1180</v>
      </c>
      <c r="E5368" s="22">
        <f>IF(D5368="?OLD","!!!","")</f>
        <v/>
      </c>
      <c r="F5368" s="23" t="str">
        <f>IF(OR(E5368="",E5368="!!!"),"",IF(NOT(ISNA(VLOOKUP(E5368,E$1:E5367,1,FALSE()))),"OLD",IF(AND(E5368&lt;&gt;"",E5368&lt;&gt;"!!!"),"NEW","")))</f>
        <v> </v>
      </c>
      <c r="G5368" s="24" t="str">
        <f>IF(OR(E5368="",E5368="!!!"),"",IF(OR(J5368=0,AND(J5368=1,K5368=1),AND(J5368=1,I5368="SBJ"),AND(J5368=1,I5368=0)),"?IN_FOCUS",IF(J5368&lt;=2,"?ACTIVATED",IF(J5368&lt;&gt;"","?FAMILIAR",IF(F5368="NEW",IF(ISNA(VLOOKUP(E5368,#REF!,1,FALSE())),"?TYPE_IDENTIFIABLE","?REFERENTIAL"),"_")))))</f>
        <v> </v>
      </c>
      <c r="H5368" s="25" t="str">
        <f>IF(J5368&lt;&gt;1,"",IF(I5368="SBJ","CB","?"))</f>
        <v> </v>
      </c>
      <c r="I5368" s="26" t="str">
        <f>IF(OR(E5368="",E5368="!!!",F5368="NEW"),"",INDEX(B5367:B$2,-1+SUMPRODUCT(MAX(ROW(E5367:E$2)*(E5368=E5367:E$2)))))</f>
        <v> </v>
      </c>
      <c r="J5368" s="26" t="str">
        <f>IF(OR(E5368="",E5368="!!!",F5368="NEW"),"",COUNTBLANK(OFFSET(A$1,,,SUMPRODUCT(MAX(ROW(E$2:E5368)*(E5368=E$2:E5368)))))-COUNTBLANK(OFFSET(A$1,,,SUMPRODUCT(MAX(ROW(E$1:E5367)*(E2=E$1:E5367))))))</f>
        <v> </v>
      </c>
      <c r="K5368" s="26" t="str">
        <f>IF(OR(E5368="",E5368="!!!",F5368="NEW"),"",INDEX(J$1:J5367,SUMPRODUCT(MAX(ROW(E$1:E5367)*(E5368=E$1:E5367)))))</f>
        <v> </v>
      </c>
      <c r="L5368" s="27"/>
    </row>
    <row r="5369" spans="1:12">
      <c r="A5369" s="20" t="s">
        <v>1320</v>
      </c>
      <c r="E5369" s="22">
        <f>IF(D5369="?OLD","!!!","")</f>
        <v/>
      </c>
      <c r="F5369" s="23" t="str">
        <f>IF(OR(E5369="",E5369="!!!"),"",IF(NOT(ISNA(VLOOKUP(E5369,E$1:E5368,1,FALSE()))),"OLD",IF(AND(E5369&lt;&gt;"",E5369&lt;&gt;"!!!"),"NEW","")))</f>
        <v> </v>
      </c>
      <c r="G5369" s="24" t="str">
        <f>IF(OR(E5369="",E5369="!!!"),"",IF(OR(J5369=0,AND(J5369=1,K5369=1),AND(J5369=1,I5369="SBJ"),AND(J5369=1,I5369=0)),"?IN_FOCUS",IF(J5369&lt;=2,"?ACTIVATED",IF(J5369&lt;&gt;"","?FAMILIAR",IF(F5369="NEW",IF(ISNA(VLOOKUP(E5369,#REF!,1,FALSE())),"?TYPE_IDENTIFIABLE","?REFERENTIAL"),"_")))))</f>
        <v> </v>
      </c>
      <c r="H5369" s="25" t="str">
        <f>IF(J5369&lt;&gt;1,"",IF(I5369="SBJ","CB","?"))</f>
        <v> </v>
      </c>
      <c r="I5369" s="26" t="str">
        <f>IF(OR(E5369="",E5369="!!!",F5369="NEW"),"",INDEX(B5368:B$2,-1+SUMPRODUCT(MAX(ROW(E5368:E$2)*(E5369=E5368:E$2)))))</f>
        <v> </v>
      </c>
      <c r="J5369" s="26" t="str">
        <f>IF(OR(E5369="",E5369="!!!",F5369="NEW"),"",COUNTBLANK(OFFSET(A$1,,,SUMPRODUCT(MAX(ROW(E$2:E5369)*(E5369=E$2:E5369)))))-COUNTBLANK(OFFSET(A$1,,,SUMPRODUCT(MAX(ROW(E$1:E5368)*(E2=E$1:E5368))))))</f>
        <v> </v>
      </c>
      <c r="K5369" s="26" t="str">
        <f>IF(OR(E5369="",E5369="!!!",F5369="NEW"),"",INDEX(J$1:J5368,SUMPRODUCT(MAX(ROW(E$1:E5368)*(E5369=E$1:E5368)))))</f>
        <v> </v>
      </c>
      <c r="L5369" s="27"/>
    </row>
    <row r="5370" spans="1:12">
      <c r="A5370" s="20" t="s">
        <v>1224</v>
      </c>
      <c r="E5370" s="22">
        <f>IF(D5370="?OLD","!!!","")</f>
        <v/>
      </c>
      <c r="F5370" s="23" t="str">
        <f>IF(OR(E5370="",E5370="!!!"),"",IF(NOT(ISNA(VLOOKUP(E5370,E$1:E5369,1,FALSE()))),"OLD",IF(AND(E5370&lt;&gt;"",E5370&lt;&gt;"!!!"),"NEW","")))</f>
        <v> </v>
      </c>
      <c r="G5370" s="24" t="str">
        <f>IF(OR(E5370="",E5370="!!!"),"",IF(OR(J5370=0,AND(J5370=1,K5370=1),AND(J5370=1,I5370="SBJ"),AND(J5370=1,I5370=0)),"?IN_FOCUS",IF(J5370&lt;=2,"?ACTIVATED",IF(J5370&lt;&gt;"","?FAMILIAR",IF(F5370="NEW",IF(ISNA(VLOOKUP(E5370,#REF!,1,FALSE())),"?TYPE_IDENTIFIABLE","?REFERENTIAL"),"_")))))</f>
        <v> </v>
      </c>
      <c r="H5370" s="25" t="str">
        <f>IF(J5370&lt;&gt;1,"",IF(I5370="SBJ","CB","?"))</f>
        <v> </v>
      </c>
      <c r="I5370" s="26" t="str">
        <f>IF(OR(E5370="",E5370="!!!",F5370="NEW"),"",INDEX(B5369:B$2,-1+SUMPRODUCT(MAX(ROW(E5369:E$2)*(E5370=E5369:E$2)))))</f>
        <v> </v>
      </c>
      <c r="J5370" s="26" t="str">
        <f>IF(OR(E5370="",E5370="!!!",F5370="NEW"),"",COUNTBLANK(OFFSET(A$1,,,SUMPRODUCT(MAX(ROW(E$2:E5370)*(E5370=E$2:E5370)))))-COUNTBLANK(OFFSET(A$1,,,SUMPRODUCT(MAX(ROW(E$1:E5369)*(E2=E$1:E5369))))))</f>
        <v> </v>
      </c>
      <c r="K5370" s="26" t="str">
        <f>IF(OR(E5370="",E5370="!!!",F5370="NEW"),"",INDEX(J$1:J5369,SUMPRODUCT(MAX(ROW(E$1:E5369)*(E5370=E$1:E5369)))))</f>
        <v> </v>
      </c>
      <c r="L5370" s="27"/>
    </row>
    <row r="5371" spans="1:12">
      <c r="A5371" s="20" t="s">
        <v>1260</v>
      </c>
      <c r="E5371" s="22">
        <f>IF(D5371="?OLD","!!!","")</f>
        <v/>
      </c>
      <c r="F5371" s="23" t="str">
        <f>IF(OR(E5371="",E5371="!!!"),"",IF(NOT(ISNA(VLOOKUP(E5371,E$1:E5370,1,FALSE()))),"OLD",IF(AND(E5371&lt;&gt;"",E5371&lt;&gt;"!!!"),"NEW","")))</f>
        <v> </v>
      </c>
      <c r="G5371" s="24" t="str">
        <f>IF(OR(E5371="",E5371="!!!"),"",IF(OR(J5371=0,AND(J5371=1,K5371=1),AND(J5371=1,I5371="SBJ"),AND(J5371=1,I5371=0)),"?IN_FOCUS",IF(J5371&lt;=2,"?ACTIVATED",IF(J5371&lt;&gt;"","?FAMILIAR",IF(F5371="NEW",IF(ISNA(VLOOKUP(E5371,#REF!,1,FALSE())),"?TYPE_IDENTIFIABLE","?REFERENTIAL"),"_")))))</f>
        <v> </v>
      </c>
      <c r="H5371" s="25" t="str">
        <f>IF(J5371&lt;&gt;1,"",IF(I5371="SBJ","CB","?"))</f>
        <v> </v>
      </c>
      <c r="I5371" s="26" t="str">
        <f>IF(OR(E5371="",E5371="!!!",F5371="NEW"),"",INDEX(B5370:B$2,-1+SUMPRODUCT(MAX(ROW(E5370:E$2)*(E5371=E5370:E$2)))))</f>
        <v> </v>
      </c>
      <c r="J5371" s="26" t="str">
        <f>IF(OR(E5371="",E5371="!!!",F5371="NEW"),"",COUNTBLANK(OFFSET(A$1,,,SUMPRODUCT(MAX(ROW(E$2:E5371)*(E5371=E$2:E5371)))))-COUNTBLANK(OFFSET(A$1,,,SUMPRODUCT(MAX(ROW(E$1:E5370)*(E2=E$1:E5370))))))</f>
        <v> </v>
      </c>
      <c r="K5371" s="26" t="str">
        <f>IF(OR(E5371="",E5371="!!!",F5371="NEW"),"",INDEX(J$1:J5370,SUMPRODUCT(MAX(ROW(E$1:E5370)*(E5371=E$1:E5370)))))</f>
        <v> </v>
      </c>
      <c r="L5371" s="27"/>
    </row>
    <row r="5372" spans="1:12">
      <c r="A5372" s="20" t="s">
        <v>1190</v>
      </c>
      <c r="B5372" s="21" t="s">
        <v>1191</v>
      </c>
      <c r="C5372" s="21" t="s">
        <v>1188</v>
      </c>
      <c r="D5372" s="21" t="s">
        <v>1180</v>
      </c>
      <c r="E5372" s="22">
        <f>IF(D5372="?OLD","!!!","")</f>
        <v/>
      </c>
      <c r="F5372" s="23" t="str">
        <f>IF(OR(E5372="",E5372="!!!"),"",IF(NOT(ISNA(VLOOKUP(E5372,E$1:E5371,1,FALSE()))),"OLD",IF(AND(E5372&lt;&gt;"",E5372&lt;&gt;"!!!"),"NEW","")))</f>
        <v> </v>
      </c>
      <c r="G5372" s="24" t="str">
        <f>IF(OR(E5372="",E5372="!!!"),"",IF(OR(J5372=0,AND(J5372=1,K5372=1),AND(J5372=1,I5372="SBJ"),AND(J5372=1,I5372=0)),"?IN_FOCUS",IF(J5372&lt;=2,"?ACTIVATED",IF(J5372&lt;&gt;"","?FAMILIAR",IF(F5372="NEW",IF(ISNA(VLOOKUP(E5372,#REF!,1,FALSE())),"?TYPE_IDENTIFIABLE","?REFERENTIAL"),"_")))))</f>
        <v> </v>
      </c>
      <c r="H5372" s="25" t="str">
        <f>IF(J5372&lt;&gt;1,"",IF(I5372="SBJ","CB","?"))</f>
        <v> </v>
      </c>
      <c r="I5372" s="26" t="str">
        <f>IF(OR(E5372="",E5372="!!!",F5372="NEW"),"",INDEX(B5371:B$2,-1+SUMPRODUCT(MAX(ROW(E5371:E$2)*(E5372=E5371:E$2)))))</f>
        <v> </v>
      </c>
      <c r="J5372" s="26" t="str">
        <f>IF(OR(E5372="",E5372="!!!",F5372="NEW"),"",COUNTBLANK(OFFSET(A$1,,,SUMPRODUCT(MAX(ROW(E$2:E5372)*(E5372=E$2:E5372)))))-COUNTBLANK(OFFSET(A$1,,,SUMPRODUCT(MAX(ROW(E$1:E5371)*(E2=E$1:E5371))))))</f>
        <v> </v>
      </c>
      <c r="K5372" s="26" t="str">
        <f>IF(OR(E5372="",E5372="!!!",F5372="NEW"),"",INDEX(J$1:J5371,SUMPRODUCT(MAX(ROW(E$1:E5371)*(E5372=E$1:E5371)))))</f>
        <v> </v>
      </c>
      <c r="L5372" s="27"/>
    </row>
    <row r="5373" spans="1:12">
      <c r="A5373" s="20" t="s">
        <v>2618</v>
      </c>
      <c r="E5373" s="22">
        <f>IF(D5373="?OLD","!!!","")</f>
        <v/>
      </c>
      <c r="F5373" s="23" t="str">
        <f>IF(OR(E5373="",E5373="!!!"),"",IF(NOT(ISNA(VLOOKUP(E5373,E$1:E5372,1,FALSE()))),"OLD",IF(AND(E5373&lt;&gt;"",E5373&lt;&gt;"!!!"),"NEW","")))</f>
        <v> </v>
      </c>
      <c r="G5373" s="24" t="str">
        <f>IF(OR(E5373="",E5373="!!!"),"",IF(OR(J5373=0,AND(J5373=1,K5373=1),AND(J5373=1,I5373="SBJ"),AND(J5373=1,I5373=0)),"?IN_FOCUS",IF(J5373&lt;=2,"?ACTIVATED",IF(J5373&lt;&gt;"","?FAMILIAR",IF(F5373="NEW",IF(ISNA(VLOOKUP(E5373,#REF!,1,FALSE())),"?TYPE_IDENTIFIABLE","?REFERENTIAL"),"_")))))</f>
        <v> </v>
      </c>
      <c r="H5373" s="25" t="str">
        <f>IF(J5373&lt;&gt;1,"",IF(I5373="SBJ","CB","?"))</f>
        <v> </v>
      </c>
      <c r="I5373" s="26" t="str">
        <f>IF(OR(E5373="",E5373="!!!",F5373="NEW"),"",INDEX(B5372:B$2,-1+SUMPRODUCT(MAX(ROW(E5372:E$2)*(E5373=E5372:E$2)))))</f>
        <v> </v>
      </c>
      <c r="J5373" s="26" t="str">
        <f>IF(OR(E5373="",E5373="!!!",F5373="NEW"),"",COUNTBLANK(OFFSET(A$1,,,SUMPRODUCT(MAX(ROW(E$2:E5373)*(E5373=E$2:E5373)))))-COUNTBLANK(OFFSET(A$1,,,SUMPRODUCT(MAX(ROW(E$1:E5372)*(E2=E$1:E5372))))))</f>
        <v> </v>
      </c>
      <c r="K5373" s="26" t="str">
        <f>IF(OR(E5373="",E5373="!!!",F5373="NEW"),"",INDEX(J$1:J5372,SUMPRODUCT(MAX(ROW(E$1:E5372)*(E5373=E$1:E5372)))))</f>
        <v> </v>
      </c>
      <c r="L5373" s="27"/>
    </row>
    <row r="5374" spans="1:12">
      <c r="A5374" s="20" t="s">
        <v>1185</v>
      </c>
      <c r="E5374" s="22">
        <f>IF(D5374="?OLD","!!!","")</f>
        <v/>
      </c>
      <c r="F5374" s="23" t="str">
        <f>IF(OR(E5374="",E5374="!!!"),"",IF(NOT(ISNA(VLOOKUP(E5374,E$1:E5373,1,FALSE()))),"OLD",IF(AND(E5374&lt;&gt;"",E5374&lt;&gt;"!!!"),"NEW","")))</f>
        <v> </v>
      </c>
      <c r="G5374" s="24" t="str">
        <f>IF(OR(E5374="",E5374="!!!"),"",IF(OR(J5374=0,AND(J5374=1,K5374=1),AND(J5374=1,I5374="SBJ"),AND(J5374=1,I5374=0)),"?IN_FOCUS",IF(J5374&lt;=2,"?ACTIVATED",IF(J5374&lt;&gt;"","?FAMILIAR",IF(F5374="NEW",IF(ISNA(VLOOKUP(E5374,#REF!,1,FALSE())),"?TYPE_IDENTIFIABLE","?REFERENTIAL"),"_")))))</f>
        <v> </v>
      </c>
      <c r="H5374" s="25" t="str">
        <f>IF(J5374&lt;&gt;1,"",IF(I5374="SBJ","CB","?"))</f>
        <v> </v>
      </c>
      <c r="I5374" s="26" t="str">
        <f>IF(OR(E5374="",E5374="!!!",F5374="NEW"),"",INDEX(B5373:B$2,-1+SUMPRODUCT(MAX(ROW(E5373:E$2)*(E5374=E5373:E$2)))))</f>
        <v> </v>
      </c>
      <c r="J5374" s="26" t="str">
        <f>IF(OR(E5374="",E5374="!!!",F5374="NEW"),"",COUNTBLANK(OFFSET(A$1,,,SUMPRODUCT(MAX(ROW(E$2:E5374)*(E5374=E$2:E5374)))))-COUNTBLANK(OFFSET(A$1,,,SUMPRODUCT(MAX(ROW(E$1:E5373)*(E2=E$1:E5373))))))</f>
        <v> </v>
      </c>
      <c r="K5374" s="26" t="str">
        <f>IF(OR(E5374="",E5374="!!!",F5374="NEW"),"",INDEX(J$1:J5373,SUMPRODUCT(MAX(ROW(E$1:E5373)*(E5374=E$1:E5373)))))</f>
        <v> </v>
      </c>
      <c r="L5374" s="27"/>
    </row>
    <row r="5375" spans="1:12">
      <c r="A5375" s="20" t="s">
        <v>1295</v>
      </c>
      <c r="E5375" s="22">
        <f>IF(D5375="?OLD","!!!","")</f>
        <v/>
      </c>
      <c r="F5375" s="23" t="str">
        <f>IF(OR(E5375="",E5375="!!!"),"",IF(NOT(ISNA(VLOOKUP(E5375,E$1:E5374,1,FALSE()))),"OLD",IF(AND(E5375&lt;&gt;"",E5375&lt;&gt;"!!!"),"NEW","")))</f>
        <v> </v>
      </c>
      <c r="G5375" s="24" t="str">
        <f>IF(OR(E5375="",E5375="!!!"),"",IF(OR(J5375=0,AND(J5375=1,K5375=1),AND(J5375=1,I5375="SBJ"),AND(J5375=1,I5375=0)),"?IN_FOCUS",IF(J5375&lt;=2,"?ACTIVATED",IF(J5375&lt;&gt;"","?FAMILIAR",IF(F5375="NEW",IF(ISNA(VLOOKUP(E5375,#REF!,1,FALSE())),"?TYPE_IDENTIFIABLE","?REFERENTIAL"),"_")))))</f>
        <v> </v>
      </c>
      <c r="H5375" s="25" t="str">
        <f>IF(J5375&lt;&gt;1,"",IF(I5375="SBJ","CB","?"))</f>
        <v> </v>
      </c>
      <c r="I5375" s="26" t="str">
        <f>IF(OR(E5375="",E5375="!!!",F5375="NEW"),"",INDEX(B5374:B$2,-1+SUMPRODUCT(MAX(ROW(E5374:E$2)*(E5375=E5374:E$2)))))</f>
        <v> </v>
      </c>
      <c r="J5375" s="26" t="str">
        <f>IF(OR(E5375="",E5375="!!!",F5375="NEW"),"",COUNTBLANK(OFFSET(A$1,,,SUMPRODUCT(MAX(ROW(E$2:E5375)*(E5375=E$2:E5375)))))-COUNTBLANK(OFFSET(A$1,,,SUMPRODUCT(MAX(ROW(E$1:E5374)*(E2=E$1:E5374))))))</f>
        <v> </v>
      </c>
      <c r="K5375" s="26" t="str">
        <f>IF(OR(E5375="",E5375="!!!",F5375="NEW"),"",INDEX(J$1:J5374,SUMPRODUCT(MAX(ROW(E$1:E5374)*(E5375=E$1:E5374)))))</f>
        <v> </v>
      </c>
      <c r="L5375" s="27"/>
    </row>
    <row r="5376" spans="1:12">
      <c r="A5376" s="20" t="s">
        <v>1646</v>
      </c>
      <c r="E5376" s="22">
        <f>IF(D5376="?OLD","!!!","")</f>
        <v/>
      </c>
      <c r="F5376" s="23" t="str">
        <f>IF(OR(E5376="",E5376="!!!"),"",IF(NOT(ISNA(VLOOKUP(E5376,E$1:E5375,1,FALSE()))),"OLD",IF(AND(E5376&lt;&gt;"",E5376&lt;&gt;"!!!"),"NEW","")))</f>
        <v> </v>
      </c>
      <c r="G5376" s="24" t="str">
        <f>IF(OR(E5376="",E5376="!!!"),"",IF(OR(J5376=0,AND(J5376=1,K5376=1),AND(J5376=1,I5376="SBJ"),AND(J5376=1,I5376=0)),"?IN_FOCUS",IF(J5376&lt;=2,"?ACTIVATED",IF(J5376&lt;&gt;"","?FAMILIAR",IF(F5376="NEW",IF(ISNA(VLOOKUP(E5376,#REF!,1,FALSE())),"?TYPE_IDENTIFIABLE","?REFERENTIAL"),"_")))))</f>
        <v> </v>
      </c>
      <c r="H5376" s="25" t="str">
        <f>IF(J5376&lt;&gt;1,"",IF(I5376="SBJ","CB","?"))</f>
        <v> </v>
      </c>
      <c r="I5376" s="26" t="str">
        <f>IF(OR(E5376="",E5376="!!!",F5376="NEW"),"",INDEX(B5375:B$2,-1+SUMPRODUCT(MAX(ROW(E5375:E$2)*(E5376=E5375:E$2)))))</f>
        <v> </v>
      </c>
      <c r="J5376" s="26" t="str">
        <f>IF(OR(E5376="",E5376="!!!",F5376="NEW"),"",COUNTBLANK(OFFSET(A$1,,,SUMPRODUCT(MAX(ROW(E$2:E5376)*(E5376=E$2:E5376)))))-COUNTBLANK(OFFSET(A$1,,,SUMPRODUCT(MAX(ROW(E$1:E5375)*(E2=E$1:E5375))))))</f>
        <v> </v>
      </c>
      <c r="K5376" s="26" t="str">
        <f>IF(OR(E5376="",E5376="!!!",F5376="NEW"),"",INDEX(J$1:J5375,SUMPRODUCT(MAX(ROW(E$1:E5375)*(E5376=E$1:E5375)))))</f>
        <v> </v>
      </c>
      <c r="L5376" s="27"/>
    </row>
    <row r="5377" spans="1:12">
      <c r="A5377" s="20" t="s">
        <v>1263</v>
      </c>
      <c r="B5377" s="21" t="s">
        <v>1240</v>
      </c>
      <c r="C5377" s="21" t="s">
        <v>1195</v>
      </c>
      <c r="D5377" s="21" t="s">
        <v>1180</v>
      </c>
      <c r="E5377" s="22">
        <f>IF(D5377="?OLD","!!!","")</f>
        <v/>
      </c>
      <c r="F5377" s="23" t="str">
        <f>IF(OR(E5377="",E5377="!!!"),"",IF(NOT(ISNA(VLOOKUP(E5377,E$1:E5376,1,FALSE()))),"OLD",IF(AND(E5377&lt;&gt;"",E5377&lt;&gt;"!!!"),"NEW","")))</f>
        <v> </v>
      </c>
      <c r="G5377" s="24" t="str">
        <f>IF(OR(E5377="",E5377="!!!"),"",IF(OR(J5377=0,AND(J5377=1,K5377=1),AND(J5377=1,I5377="SBJ"),AND(J5377=1,I5377=0)),"?IN_FOCUS",IF(J5377&lt;=2,"?ACTIVATED",IF(J5377&lt;&gt;"","?FAMILIAR",IF(F5377="NEW",IF(ISNA(VLOOKUP(E5377,#REF!,1,FALSE())),"?TYPE_IDENTIFIABLE","?REFERENTIAL"),"_")))))</f>
        <v> </v>
      </c>
      <c r="H5377" s="25" t="str">
        <f>IF(J5377&lt;&gt;1,"",IF(I5377="SBJ","CB","?"))</f>
        <v> </v>
      </c>
      <c r="I5377" s="26" t="str">
        <f>IF(OR(E5377="",E5377="!!!",F5377="NEW"),"",INDEX(B5376:B$2,-1+SUMPRODUCT(MAX(ROW(E5376:E$2)*(E5377=E5376:E$2)))))</f>
        <v> </v>
      </c>
      <c r="J5377" s="26" t="str">
        <f>IF(OR(E5377="",E5377="!!!",F5377="NEW"),"",COUNTBLANK(OFFSET(A$1,,,SUMPRODUCT(MAX(ROW(E$2:E5377)*(E5377=E$2:E5377)))))-COUNTBLANK(OFFSET(A$1,,,SUMPRODUCT(MAX(ROW(E$1:E5376)*(E2=E$1:E5376))))))</f>
        <v> </v>
      </c>
      <c r="K5377" s="26" t="str">
        <f>IF(OR(E5377="",E5377="!!!",F5377="NEW"),"",INDEX(J$1:J5376,SUMPRODUCT(MAX(ROW(E$1:E5376)*(E5377=E$1:E5376)))))</f>
        <v> </v>
      </c>
      <c r="L5377" s="27"/>
    </row>
    <row r="5378" spans="1:12">
      <c r="A5378" s="20" t="s">
        <v>1549</v>
      </c>
      <c r="E5378" s="22">
        <f>IF(D5378="?OLD","!!!","")</f>
        <v/>
      </c>
      <c r="F5378" s="23" t="str">
        <f>IF(OR(E5378="",E5378="!!!"),"",IF(NOT(ISNA(VLOOKUP(E5378,E$1:E5377,1,FALSE()))),"OLD",IF(AND(E5378&lt;&gt;"",E5378&lt;&gt;"!!!"),"NEW","")))</f>
        <v> </v>
      </c>
      <c r="G5378" s="24" t="str">
        <f>IF(OR(E5378="",E5378="!!!"),"",IF(OR(J5378=0,AND(J5378=1,K5378=1),AND(J5378=1,I5378="SBJ"),AND(J5378=1,I5378=0)),"?IN_FOCUS",IF(J5378&lt;=2,"?ACTIVATED",IF(J5378&lt;&gt;"","?FAMILIAR",IF(F5378="NEW",IF(ISNA(VLOOKUP(E5378,#REF!,1,FALSE())),"?TYPE_IDENTIFIABLE","?REFERENTIAL"),"_")))))</f>
        <v> </v>
      </c>
      <c r="H5378" s="25" t="str">
        <f>IF(J5378&lt;&gt;1,"",IF(I5378="SBJ","CB","?"))</f>
        <v> </v>
      </c>
      <c r="I5378" s="26" t="str">
        <f>IF(OR(E5378="",E5378="!!!",F5378="NEW"),"",INDEX(B5377:B$2,-1+SUMPRODUCT(MAX(ROW(E5377:E$2)*(E5378=E5377:E$2)))))</f>
        <v> </v>
      </c>
      <c r="J5378" s="26" t="str">
        <f>IF(OR(E5378="",E5378="!!!",F5378="NEW"),"",COUNTBLANK(OFFSET(A$1,,,SUMPRODUCT(MAX(ROW(E$2:E5378)*(E5378=E$2:E5378)))))-COUNTBLANK(OFFSET(A$1,,,SUMPRODUCT(MAX(ROW(E$1:E5377)*(E2=E$1:E5377))))))</f>
        <v> </v>
      </c>
      <c r="K5378" s="26" t="str">
        <f>IF(OR(E5378="",E5378="!!!",F5378="NEW"),"",INDEX(J$1:J5377,SUMPRODUCT(MAX(ROW(E$1:E5377)*(E5378=E$1:E5377)))))</f>
        <v> </v>
      </c>
      <c r="L5378" s="27"/>
    </row>
    <row r="5379" spans="1:12">
      <c r="A5379" s="20" t="s">
        <v>2691</v>
      </c>
      <c r="E5379" s="22">
        <f>IF(D5379="?OLD","!!!","")</f>
        <v/>
      </c>
      <c r="F5379" s="23" t="str">
        <f>IF(OR(E5379="",E5379="!!!"),"",IF(NOT(ISNA(VLOOKUP(E5379,E$1:E5378,1,FALSE()))),"OLD",IF(AND(E5379&lt;&gt;"",E5379&lt;&gt;"!!!"),"NEW","")))</f>
        <v> </v>
      </c>
      <c r="G5379" s="24" t="str">
        <f>IF(OR(E5379="",E5379="!!!"),"",IF(OR(J5379=0,AND(J5379=1,K5379=1),AND(J5379=1,I5379="SBJ"),AND(J5379=1,I5379=0)),"?IN_FOCUS",IF(J5379&lt;=2,"?ACTIVATED",IF(J5379&lt;&gt;"","?FAMILIAR",IF(F5379="NEW",IF(ISNA(VLOOKUP(E5379,#REF!,1,FALSE())),"?TYPE_IDENTIFIABLE","?REFERENTIAL"),"_")))))</f>
        <v> </v>
      </c>
      <c r="H5379" s="25" t="str">
        <f>IF(J5379&lt;&gt;1,"",IF(I5379="SBJ","CB","?"))</f>
        <v> </v>
      </c>
      <c r="I5379" s="26" t="str">
        <f>IF(OR(E5379="",E5379="!!!",F5379="NEW"),"",INDEX(B5378:B$2,-1+SUMPRODUCT(MAX(ROW(E5378:E$2)*(E5379=E5378:E$2)))))</f>
        <v> </v>
      </c>
      <c r="J5379" s="26" t="str">
        <f>IF(OR(E5379="",E5379="!!!",F5379="NEW"),"",COUNTBLANK(OFFSET(A$1,,,SUMPRODUCT(MAX(ROW(E$2:E5379)*(E5379=E$2:E5379)))))-COUNTBLANK(OFFSET(A$1,,,SUMPRODUCT(MAX(ROW(E$1:E5378)*(E2=E$1:E5378))))))</f>
        <v> </v>
      </c>
      <c r="K5379" s="26" t="str">
        <f>IF(OR(E5379="",E5379="!!!",F5379="NEW"),"",INDEX(J$1:J5378,SUMPRODUCT(MAX(ROW(E$1:E5378)*(E5379=E$1:E5378)))))</f>
        <v> </v>
      </c>
      <c r="L5379" s="27"/>
    </row>
    <row r="5380" spans="1:12">
      <c r="A5380" s="20" t="s">
        <v>2692</v>
      </c>
      <c r="E5380" s="22">
        <f>IF(D5380="?OLD","!!!","")</f>
        <v/>
      </c>
      <c r="F5380" s="23" t="str">
        <f>IF(OR(E5380="",E5380="!!!"),"",IF(NOT(ISNA(VLOOKUP(E5380,E$1:E5379,1,FALSE()))),"OLD",IF(AND(E5380&lt;&gt;"",E5380&lt;&gt;"!!!"),"NEW","")))</f>
        <v> </v>
      </c>
      <c r="G5380" s="24" t="str">
        <f>IF(OR(E5380="",E5380="!!!"),"",IF(OR(J5380=0,AND(J5380=1,K5380=1),AND(J5380=1,I5380="SBJ"),AND(J5380=1,I5380=0)),"?IN_FOCUS",IF(J5380&lt;=2,"?ACTIVATED",IF(J5380&lt;&gt;"","?FAMILIAR",IF(F5380="NEW",IF(ISNA(VLOOKUP(E5380,#REF!,1,FALSE())),"?TYPE_IDENTIFIABLE","?REFERENTIAL"),"_")))))</f>
        <v> </v>
      </c>
      <c r="H5380" s="25" t="str">
        <f>IF(J5380&lt;&gt;1,"",IF(I5380="SBJ","CB","?"))</f>
        <v> </v>
      </c>
      <c r="I5380" s="26" t="str">
        <f>IF(OR(E5380="",E5380="!!!",F5380="NEW"),"",INDEX(B5379:B$2,-1+SUMPRODUCT(MAX(ROW(E5379:E$2)*(E5380=E5379:E$2)))))</f>
        <v> </v>
      </c>
      <c r="J5380" s="26" t="str">
        <f>IF(OR(E5380="",E5380="!!!",F5380="NEW"),"",COUNTBLANK(OFFSET(A$1,,,SUMPRODUCT(MAX(ROW(E$2:E5380)*(E5380=E$2:E5380)))))-COUNTBLANK(OFFSET(A$1,,,SUMPRODUCT(MAX(ROW(E$1:E5379)*(E2=E$1:E5379))))))</f>
        <v> </v>
      </c>
      <c r="K5380" s="26" t="str">
        <f>IF(OR(E5380="",E5380="!!!",F5380="NEW"),"",INDEX(J$1:J5379,SUMPRODUCT(MAX(ROW(E$1:E5379)*(E5380=E$1:E5379)))))</f>
        <v> </v>
      </c>
      <c r="L5380" s="27"/>
    </row>
    <row r="5381" spans="1:12">
      <c r="A5381" s="20" t="s">
        <v>1185</v>
      </c>
      <c r="E5381" s="22">
        <f>IF(D5381="?OLD","!!!","")</f>
        <v/>
      </c>
      <c r="F5381" s="23" t="str">
        <f>IF(OR(E5381="",E5381="!!!"),"",IF(NOT(ISNA(VLOOKUP(E5381,E$1:E5380,1,FALSE()))),"OLD",IF(AND(E5381&lt;&gt;"",E5381&lt;&gt;"!!!"),"NEW","")))</f>
        <v> </v>
      </c>
      <c r="G5381" s="24" t="str">
        <f>IF(OR(E5381="",E5381="!!!"),"",IF(OR(J5381=0,AND(J5381=1,K5381=1),AND(J5381=1,I5381="SBJ"),AND(J5381=1,I5381=0)),"?IN_FOCUS",IF(J5381&lt;=2,"?ACTIVATED",IF(J5381&lt;&gt;"","?FAMILIAR",IF(F5381="NEW",IF(ISNA(VLOOKUP(E5381,#REF!,1,FALSE())),"?TYPE_IDENTIFIABLE","?REFERENTIAL"),"_")))))</f>
        <v> </v>
      </c>
      <c r="H5381" s="25" t="str">
        <f>IF(J5381&lt;&gt;1,"",IF(I5381="SBJ","CB","?"))</f>
        <v> </v>
      </c>
      <c r="I5381" s="26" t="str">
        <f>IF(OR(E5381="",E5381="!!!",F5381="NEW"),"",INDEX(B5380:B$2,-1+SUMPRODUCT(MAX(ROW(E5380:E$2)*(E5381=E5380:E$2)))))</f>
        <v> </v>
      </c>
      <c r="J5381" s="26" t="str">
        <f>IF(OR(E5381="",E5381="!!!",F5381="NEW"),"",COUNTBLANK(OFFSET(A$1,,,SUMPRODUCT(MAX(ROW(E$2:E5381)*(E5381=E$2:E5381)))))-COUNTBLANK(OFFSET(A$1,,,SUMPRODUCT(MAX(ROW(E$1:E5380)*(E2=E$1:E5380))))))</f>
        <v> </v>
      </c>
      <c r="K5381" s="26" t="str">
        <f>IF(OR(E5381="",E5381="!!!",F5381="NEW"),"",INDEX(J$1:J5380,SUMPRODUCT(MAX(ROW(E$1:E5380)*(E5381=E$1:E5380)))))</f>
        <v> </v>
      </c>
      <c r="L5381" s="27"/>
    </row>
    <row r="5382" spans="1:12">
      <c r="A5382" s="20" t="s">
        <v>1186</v>
      </c>
      <c r="E5382" s="22">
        <f>IF(D5382="?OLD","!!!","")</f>
        <v/>
      </c>
      <c r="F5382" s="23" t="str">
        <f>IF(OR(E5382="",E5382="!!!"),"",IF(NOT(ISNA(VLOOKUP(E5382,E$1:E5381,1,FALSE()))),"OLD",IF(AND(E5382&lt;&gt;"",E5382&lt;&gt;"!!!"),"NEW","")))</f>
        <v> </v>
      </c>
      <c r="G5382" s="24" t="str">
        <f>IF(OR(E5382="",E5382="!!!"),"",IF(OR(J5382=0,AND(J5382=1,K5382=1),AND(J5382=1,I5382="SBJ"),AND(J5382=1,I5382=0)),"?IN_FOCUS",IF(J5382&lt;=2,"?ACTIVATED",IF(J5382&lt;&gt;"","?FAMILIAR",IF(F5382="NEW",IF(ISNA(VLOOKUP(E5382,#REF!,1,FALSE())),"?TYPE_IDENTIFIABLE","?REFERENTIAL"),"_")))))</f>
        <v> </v>
      </c>
      <c r="H5382" s="25" t="str">
        <f>IF(J5382&lt;&gt;1,"",IF(I5382="SBJ","CB","?"))</f>
        <v> </v>
      </c>
      <c r="I5382" s="26" t="str">
        <f>IF(OR(E5382="",E5382="!!!",F5382="NEW"),"",INDEX(B5381:B$2,-1+SUMPRODUCT(MAX(ROW(E5381:E$2)*(E5382=E5381:E$2)))))</f>
        <v> </v>
      </c>
      <c r="J5382" s="26" t="str">
        <f>IF(OR(E5382="",E5382="!!!",F5382="NEW"),"",COUNTBLANK(OFFSET(A$1,,,SUMPRODUCT(MAX(ROW(E$2:E5382)*(E5382=E$2:E5382)))))-COUNTBLANK(OFFSET(A$1,,,SUMPRODUCT(MAX(ROW(E$1:E5381)*(E2=E$1:E5381))))))</f>
        <v> </v>
      </c>
      <c r="K5382" s="26" t="str">
        <f>IF(OR(E5382="",E5382="!!!",F5382="NEW"),"",INDEX(J$1:J5381,SUMPRODUCT(MAX(ROW(E$1:E5381)*(E5382=E$1:E5381)))))</f>
        <v> </v>
      </c>
      <c r="L5382" s="27"/>
    </row>
    <row r="5383" spans="1:12">
      <c r="A5383" s="20" t="s">
        <v>2693</v>
      </c>
      <c r="B5383" s="21" t="s">
        <v>1237</v>
      </c>
      <c r="C5383" s="21" t="s">
        <v>1188</v>
      </c>
      <c r="D5383" s="21" t="s">
        <v>1180</v>
      </c>
      <c r="E5383" s="22">
        <f>IF(D5383="?OLD","!!!","")</f>
        <v/>
      </c>
      <c r="F5383" s="23" t="str">
        <f>IF(OR(E5383="",E5383="!!!"),"",IF(NOT(ISNA(VLOOKUP(E5383,E$1:E5382,1,FALSE()))),"OLD",IF(AND(E5383&lt;&gt;"",E5383&lt;&gt;"!!!"),"NEW","")))</f>
        <v> </v>
      </c>
      <c r="G5383" s="24" t="str">
        <f>IF(OR(E5383="",E5383="!!!"),"",IF(OR(J5383=0,AND(J5383=1,K5383=1),AND(J5383=1,I5383="SBJ"),AND(J5383=1,I5383=0)),"?IN_FOCUS",IF(J5383&lt;=2,"?ACTIVATED",IF(J5383&lt;&gt;"","?FAMILIAR",IF(F5383="NEW",IF(ISNA(VLOOKUP(E5383,#REF!,1,FALSE())),"?TYPE_IDENTIFIABLE","?REFERENTIAL"),"_")))))</f>
        <v> </v>
      </c>
      <c r="H5383" s="25" t="str">
        <f>IF(J5383&lt;&gt;1,"",IF(I5383="SBJ","CB","?"))</f>
        <v> </v>
      </c>
      <c r="I5383" s="26" t="str">
        <f>IF(OR(E5383="",E5383="!!!",F5383="NEW"),"",INDEX(B5382:B$2,-1+SUMPRODUCT(MAX(ROW(E5382:E$2)*(E5383=E5382:E$2)))))</f>
        <v> </v>
      </c>
      <c r="J5383" s="26" t="str">
        <f>IF(OR(E5383="",E5383="!!!",F5383="NEW"),"",COUNTBLANK(OFFSET(A$1,,,SUMPRODUCT(MAX(ROW(E$2:E5383)*(E5383=E$2:E5383)))))-COUNTBLANK(OFFSET(A$1,,,SUMPRODUCT(MAX(ROW(E$1:E5382)*(E2=E$1:E5382))))))</f>
        <v> </v>
      </c>
      <c r="K5383" s="26" t="str">
        <f>IF(OR(E5383="",E5383="!!!",F5383="NEW"),"",INDEX(J$1:J5382,SUMPRODUCT(MAX(ROW(E$1:E5382)*(E5383=E$1:E5382)))))</f>
        <v> </v>
      </c>
      <c r="L5383" s="27"/>
    </row>
    <row r="5384" spans="1:12">
      <c r="A5384" s="20" t="s">
        <v>1330</v>
      </c>
      <c r="E5384" s="22">
        <f>IF(D5384="?OLD","!!!","")</f>
        <v/>
      </c>
      <c r="F5384" s="23" t="str">
        <f>IF(OR(E5384="",E5384="!!!"),"",IF(NOT(ISNA(VLOOKUP(E5384,E$1:E5383,1,FALSE()))),"OLD",IF(AND(E5384&lt;&gt;"",E5384&lt;&gt;"!!!"),"NEW","")))</f>
        <v> </v>
      </c>
      <c r="G5384" s="24" t="str">
        <f>IF(OR(E5384="",E5384="!!!"),"",IF(OR(J5384=0,AND(J5384=1,K5384=1),AND(J5384=1,I5384="SBJ"),AND(J5384=1,I5384=0)),"?IN_FOCUS",IF(J5384&lt;=2,"?ACTIVATED",IF(J5384&lt;&gt;"","?FAMILIAR",IF(F5384="NEW",IF(ISNA(VLOOKUP(E5384,#REF!,1,FALSE())),"?TYPE_IDENTIFIABLE","?REFERENTIAL"),"_")))))</f>
        <v> </v>
      </c>
      <c r="H5384" s="25" t="str">
        <f>IF(J5384&lt;&gt;1,"",IF(I5384="SBJ","CB","?"))</f>
        <v> </v>
      </c>
      <c r="I5384" s="26" t="str">
        <f>IF(OR(E5384="",E5384="!!!",F5384="NEW"),"",INDEX(B5383:B$2,-1+SUMPRODUCT(MAX(ROW(E5383:E$2)*(E5384=E5383:E$2)))))</f>
        <v> </v>
      </c>
      <c r="J5384" s="26" t="str">
        <f>IF(OR(E5384="",E5384="!!!",F5384="NEW"),"",COUNTBLANK(OFFSET(A$1,,,SUMPRODUCT(MAX(ROW(E$2:E5384)*(E5384=E$2:E5384)))))-COUNTBLANK(OFFSET(A$1,,,SUMPRODUCT(MAX(ROW(E$1:E5383)*(E2=E$1:E5383))))))</f>
        <v> </v>
      </c>
      <c r="K5384" s="26" t="str">
        <f>IF(OR(E5384="",E5384="!!!",F5384="NEW"),"",INDEX(J$1:J5383,SUMPRODUCT(MAX(ROW(E$1:E5383)*(E5384=E$1:E5383)))))</f>
        <v> </v>
      </c>
      <c r="L5384" s="27"/>
    </row>
    <row r="5385" spans="1:12">
      <c r="A5385" s="20" t="s">
        <v>163</v>
      </c>
      <c r="E5385" s="22">
        <f>IF(D5385="?OLD","!!!","")</f>
        <v/>
      </c>
      <c r="F5385" s="23" t="str">
        <f>IF(OR(E5385="",E5385="!!!"),"",IF(NOT(ISNA(VLOOKUP(E5385,E$1:E5384,1,FALSE()))),"OLD",IF(AND(E5385&lt;&gt;"",E5385&lt;&gt;"!!!"),"NEW","")))</f>
        <v> </v>
      </c>
      <c r="G5385" s="24" t="str">
        <f>IF(OR(E5385="",E5385="!!!"),"",IF(OR(J5385=0,AND(J5385=1,K5385=1),AND(J5385=1,I5385="SBJ"),AND(J5385=1,I5385=0)),"?IN_FOCUS",IF(J5385&lt;=2,"?ACTIVATED",IF(J5385&lt;&gt;"","?FAMILIAR",IF(F5385="NEW",IF(ISNA(VLOOKUP(E5385,#REF!,1,FALSE())),"?TYPE_IDENTIFIABLE","?REFERENTIAL"),"_")))))</f>
        <v> </v>
      </c>
      <c r="H5385" s="25" t="str">
        <f>IF(J5385&lt;&gt;1,"",IF(I5385="SBJ","CB","?"))</f>
        <v> </v>
      </c>
      <c r="I5385" s="26" t="str">
        <f>IF(OR(E5385="",E5385="!!!",F5385="NEW"),"",INDEX(B5384:B$2,-1+SUMPRODUCT(MAX(ROW(E5384:E$2)*(E5385=E5384:E$2)))))</f>
        <v> </v>
      </c>
      <c r="J5385" s="26" t="str">
        <f>IF(OR(E5385="",E5385="!!!",F5385="NEW"),"",COUNTBLANK(OFFSET(A$1,,,SUMPRODUCT(MAX(ROW(E$2:E5385)*(E5385=E$2:E5385)))))-COUNTBLANK(OFFSET(A$1,,,SUMPRODUCT(MAX(ROW(E$1:E5384)*(E2=E$1:E5384))))))</f>
        <v> </v>
      </c>
      <c r="K5385" s="26" t="str">
        <f>IF(OR(E5385="",E5385="!!!",F5385="NEW"),"",INDEX(J$1:J5384,SUMPRODUCT(MAX(ROW(E$1:E5384)*(E5385=E$1:E5384)))))</f>
        <v> </v>
      </c>
      <c r="L5385" s="27"/>
    </row>
    <row r="5386" spans="1:12">
      <c r="A5386" s="20" t="s">
        <v>1185</v>
      </c>
      <c r="E5386" s="22">
        <f>IF(D5386="?OLD","!!!","")</f>
        <v/>
      </c>
      <c r="F5386" s="23" t="str">
        <f>IF(OR(E5386="",E5386="!!!"),"",IF(NOT(ISNA(VLOOKUP(E5386,E$1:E5385,1,FALSE()))),"OLD",IF(AND(E5386&lt;&gt;"",E5386&lt;&gt;"!!!"),"NEW","")))</f>
        <v> </v>
      </c>
      <c r="G5386" s="24" t="str">
        <f>IF(OR(E5386="",E5386="!!!"),"",IF(OR(J5386=0,AND(J5386=1,K5386=1),AND(J5386=1,I5386="SBJ"),AND(J5386=1,I5386=0)),"?IN_FOCUS",IF(J5386&lt;=2,"?ACTIVATED",IF(J5386&lt;&gt;"","?FAMILIAR",IF(F5386="NEW",IF(ISNA(VLOOKUP(E5386,#REF!,1,FALSE())),"?TYPE_IDENTIFIABLE","?REFERENTIAL"),"_")))))</f>
        <v> </v>
      </c>
      <c r="H5386" s="25" t="str">
        <f>IF(J5386&lt;&gt;1,"",IF(I5386="SBJ","CB","?"))</f>
        <v> </v>
      </c>
      <c r="I5386" s="26" t="str">
        <f>IF(OR(E5386="",E5386="!!!",F5386="NEW"),"",INDEX(B5385:B$2,-1+SUMPRODUCT(MAX(ROW(E5385:E$2)*(E5386=E5385:E$2)))))</f>
        <v> </v>
      </c>
      <c r="J5386" s="26" t="str">
        <f>IF(OR(E5386="",E5386="!!!",F5386="NEW"),"",COUNTBLANK(OFFSET(A$1,,,SUMPRODUCT(MAX(ROW(E$2:E5386)*(E5386=E$2:E5386)))))-COUNTBLANK(OFFSET(A$1,,,SUMPRODUCT(MAX(ROW(E$1:E5385)*(E2=E$1:E5385))))))</f>
        <v> </v>
      </c>
      <c r="K5386" s="26" t="str">
        <f>IF(OR(E5386="",E5386="!!!",F5386="NEW"),"",INDEX(J$1:J5385,SUMPRODUCT(MAX(ROW(E$1:E5385)*(E5386=E$1:E5385)))))</f>
        <v> </v>
      </c>
      <c r="L5386" s="27"/>
    </row>
    <row r="5387" spans="1:12">
      <c r="A5387" s="20" t="s">
        <v>185</v>
      </c>
      <c r="B5387" s="21" t="s">
        <v>1304</v>
      </c>
      <c r="C5387" s="21" t="s">
        <v>1195</v>
      </c>
      <c r="D5387" s="21" t="s">
        <v>1180</v>
      </c>
      <c r="E5387" s="22">
        <f>IF(D5387="?OLD","!!!","")</f>
        <v/>
      </c>
      <c r="F5387" s="23" t="str">
        <f>IF(OR(E5387="",E5387="!!!"),"",IF(NOT(ISNA(VLOOKUP(E5387,E$1:E5386,1,FALSE()))),"OLD",IF(AND(E5387&lt;&gt;"",E5387&lt;&gt;"!!!"),"NEW","")))</f>
        <v> </v>
      </c>
      <c r="G5387" s="24" t="str">
        <f>IF(OR(E5387="",E5387="!!!"),"",IF(OR(J5387=0,AND(J5387=1,K5387=1),AND(J5387=1,I5387="SBJ"),AND(J5387=1,I5387=0)),"?IN_FOCUS",IF(J5387&lt;=2,"?ACTIVATED",IF(J5387&lt;&gt;"","?FAMILIAR",IF(F5387="NEW",IF(ISNA(VLOOKUP(E5387,#REF!,1,FALSE())),"?TYPE_IDENTIFIABLE","?REFERENTIAL"),"_")))))</f>
        <v> </v>
      </c>
      <c r="H5387" s="25" t="str">
        <f>IF(J5387&lt;&gt;1,"",IF(I5387="SBJ","CB","?"))</f>
        <v> </v>
      </c>
      <c r="I5387" s="26" t="str">
        <f>IF(OR(E5387="",E5387="!!!",F5387="NEW"),"",INDEX(B5386:B$2,-1+SUMPRODUCT(MAX(ROW(E5386:E$2)*(E5387=E5386:E$2)))))</f>
        <v> </v>
      </c>
      <c r="J5387" s="26" t="str">
        <f>IF(OR(E5387="",E5387="!!!",F5387="NEW"),"",COUNTBLANK(OFFSET(A$1,,,SUMPRODUCT(MAX(ROW(E$2:E5387)*(E5387=E$2:E5387)))))-COUNTBLANK(OFFSET(A$1,,,SUMPRODUCT(MAX(ROW(E$1:E5386)*(E2=E$1:E5386))))))</f>
        <v> </v>
      </c>
      <c r="K5387" s="26" t="str">
        <f>IF(OR(E5387="",E5387="!!!",F5387="NEW"),"",INDEX(J$1:J5386,SUMPRODUCT(MAX(ROW(E$1:E5386)*(E5387=E$1:E5386)))))</f>
        <v> </v>
      </c>
      <c r="L5387" s="27"/>
    </row>
    <row r="5388" spans="1:12">
      <c r="A5388" s="20" t="s">
        <v>1197</v>
      </c>
      <c r="E5388" s="22">
        <f>IF(D5388="?OLD","!!!","")</f>
        <v/>
      </c>
      <c r="F5388" s="23" t="str">
        <f>IF(OR(E5388="",E5388="!!!"),"",IF(NOT(ISNA(VLOOKUP(E5388,E$1:E5387,1,FALSE()))),"OLD",IF(AND(E5388&lt;&gt;"",E5388&lt;&gt;"!!!"),"NEW","")))</f>
        <v> </v>
      </c>
      <c r="G5388" s="24" t="str">
        <f>IF(OR(E5388="",E5388="!!!"),"",IF(OR(J5388=0,AND(J5388=1,K5388=1),AND(J5388=1,I5388="SBJ"),AND(J5388=1,I5388=0)),"?IN_FOCUS",IF(J5388&lt;=2,"?ACTIVATED",IF(J5388&lt;&gt;"","?FAMILIAR",IF(F5388="NEW",IF(ISNA(VLOOKUP(E5388,#REF!,1,FALSE())),"?TYPE_IDENTIFIABLE","?REFERENTIAL"),"_")))))</f>
        <v> </v>
      </c>
      <c r="H5388" s="25" t="str">
        <f>IF(J5388&lt;&gt;1,"",IF(I5388="SBJ","CB","?"))</f>
        <v> </v>
      </c>
      <c r="I5388" s="26" t="str">
        <f>IF(OR(E5388="",E5388="!!!",F5388="NEW"),"",INDEX(B5387:B$2,-1+SUMPRODUCT(MAX(ROW(E5387:E$2)*(E5388=E5387:E$2)))))</f>
        <v> </v>
      </c>
      <c r="J5388" s="26" t="str">
        <f>IF(OR(E5388="",E5388="!!!",F5388="NEW"),"",COUNTBLANK(OFFSET(A$1,,,SUMPRODUCT(MAX(ROW(E$2:E5388)*(E5388=E$2:E5388)))))-COUNTBLANK(OFFSET(A$1,,,SUMPRODUCT(MAX(ROW(E$1:E5387)*(E2=E$1:E5387))))))</f>
        <v> </v>
      </c>
      <c r="K5388" s="26" t="str">
        <f>IF(OR(E5388="",E5388="!!!",F5388="NEW"),"",INDEX(J$1:J5387,SUMPRODUCT(MAX(ROW(E$1:E5387)*(E5388=E$1:E5387)))))</f>
        <v> </v>
      </c>
      <c r="L5388" s="27"/>
    </row>
    <row r="5389" spans="1:12">
      <c r="A5389" s="20" t="s">
        <v>1487</v>
      </c>
      <c r="E5389" s="22">
        <f>IF(D5389="?OLD","!!!","")</f>
        <v/>
      </c>
      <c r="F5389" s="23" t="str">
        <f>IF(OR(E5389="",E5389="!!!"),"",IF(NOT(ISNA(VLOOKUP(E5389,E$1:E5388,1,FALSE()))),"OLD",IF(AND(E5389&lt;&gt;"",E5389&lt;&gt;"!!!"),"NEW","")))</f>
        <v> </v>
      </c>
      <c r="G5389" s="24" t="str">
        <f>IF(OR(E5389="",E5389="!!!"),"",IF(OR(J5389=0,AND(J5389=1,K5389=1),AND(J5389=1,I5389="SBJ"),AND(J5389=1,I5389=0)),"?IN_FOCUS",IF(J5389&lt;=2,"?ACTIVATED",IF(J5389&lt;&gt;"","?FAMILIAR",IF(F5389="NEW",IF(ISNA(VLOOKUP(E5389,#REF!,1,FALSE())),"?TYPE_IDENTIFIABLE","?REFERENTIAL"),"_")))))</f>
        <v> </v>
      </c>
      <c r="H5389" s="25" t="str">
        <f>IF(J5389&lt;&gt;1,"",IF(I5389="SBJ","CB","?"))</f>
        <v> </v>
      </c>
      <c r="I5389" s="26" t="str">
        <f>IF(OR(E5389="",E5389="!!!",F5389="NEW"),"",INDEX(B5388:B$2,-1+SUMPRODUCT(MAX(ROW(E5388:E$2)*(E5389=E5388:E$2)))))</f>
        <v> </v>
      </c>
      <c r="J5389" s="26" t="str">
        <f>IF(OR(E5389="",E5389="!!!",F5389="NEW"),"",COUNTBLANK(OFFSET(A$1,,,SUMPRODUCT(MAX(ROW(E$2:E5389)*(E5389=E$2:E5389)))))-COUNTBLANK(OFFSET(A$1,,,SUMPRODUCT(MAX(ROW(E$1:E5388)*(E2=E$1:E5388))))))</f>
        <v> </v>
      </c>
      <c r="K5389" s="26" t="str">
        <f>IF(OR(E5389="",E5389="!!!",F5389="NEW"),"",INDEX(J$1:J5388,SUMPRODUCT(MAX(ROW(E$1:E5388)*(E5389=E$1:E5388)))))</f>
        <v> </v>
      </c>
      <c r="L5389" s="27"/>
    </row>
    <row r="5390" spans="1:12">
      <c r="A5390" s="20" t="s">
        <v>1375</v>
      </c>
      <c r="E5390" s="22">
        <f>IF(D5390="?OLD","!!!","")</f>
        <v/>
      </c>
      <c r="F5390" s="23" t="str">
        <f>IF(OR(E5390="",E5390="!!!"),"",IF(NOT(ISNA(VLOOKUP(E5390,E$1:E5389,1,FALSE()))),"OLD",IF(AND(E5390&lt;&gt;"",E5390&lt;&gt;"!!!"),"NEW","")))</f>
        <v> </v>
      </c>
      <c r="G5390" s="24" t="str">
        <f>IF(OR(E5390="",E5390="!!!"),"",IF(OR(J5390=0,AND(J5390=1,K5390=1),AND(J5390=1,I5390="SBJ"),AND(J5390=1,I5390=0)),"?IN_FOCUS",IF(J5390&lt;=2,"?ACTIVATED",IF(J5390&lt;&gt;"","?FAMILIAR",IF(F5390="NEW",IF(ISNA(VLOOKUP(E5390,#REF!,1,FALSE())),"?TYPE_IDENTIFIABLE","?REFERENTIAL"),"_")))))</f>
        <v> </v>
      </c>
      <c r="H5390" s="25" t="str">
        <f>IF(J5390&lt;&gt;1,"",IF(I5390="SBJ","CB","?"))</f>
        <v> </v>
      </c>
      <c r="I5390" s="26" t="str">
        <f>IF(OR(E5390="",E5390="!!!",F5390="NEW"),"",INDEX(B5389:B$2,-1+SUMPRODUCT(MAX(ROW(E5389:E$2)*(E5390=E5389:E$2)))))</f>
        <v> </v>
      </c>
      <c r="J5390" s="26" t="str">
        <f>IF(OR(E5390="",E5390="!!!",F5390="NEW"),"",COUNTBLANK(OFFSET(A$1,,,SUMPRODUCT(MAX(ROW(E$2:E5390)*(E5390=E$2:E5390)))))-COUNTBLANK(OFFSET(A$1,,,SUMPRODUCT(MAX(ROW(E$1:E5389)*(E2=E$1:E5389))))))</f>
        <v> </v>
      </c>
      <c r="K5390" s="26" t="str">
        <f>IF(OR(E5390="",E5390="!!!",F5390="NEW"),"",INDEX(J$1:J5389,SUMPRODUCT(MAX(ROW(E$1:E5389)*(E5390=E$1:E5389)))))</f>
        <v> </v>
      </c>
      <c r="L5390" s="27"/>
    </row>
    <row r="5391" spans="1:12">
      <c r="A5391" s="20" t="s">
        <v>2694</v>
      </c>
      <c r="E5391" s="22">
        <f>IF(D5391="?OLD","!!!","")</f>
        <v/>
      </c>
      <c r="F5391" s="23" t="str">
        <f>IF(OR(E5391="",E5391="!!!"),"",IF(NOT(ISNA(VLOOKUP(E5391,E$1:E5390,1,FALSE()))),"OLD",IF(AND(E5391&lt;&gt;"",E5391&lt;&gt;"!!!"),"NEW","")))</f>
        <v> </v>
      </c>
      <c r="G5391" s="24" t="str">
        <f>IF(OR(E5391="",E5391="!!!"),"",IF(OR(J5391=0,AND(J5391=1,K5391=1),AND(J5391=1,I5391="SBJ"),AND(J5391=1,I5391=0)),"?IN_FOCUS",IF(J5391&lt;=2,"?ACTIVATED",IF(J5391&lt;&gt;"","?FAMILIAR",IF(F5391="NEW",IF(ISNA(VLOOKUP(E5391,#REF!,1,FALSE())),"?TYPE_IDENTIFIABLE","?REFERENTIAL"),"_")))))</f>
        <v> </v>
      </c>
      <c r="H5391" s="25" t="str">
        <f>IF(J5391&lt;&gt;1,"",IF(I5391="SBJ","CB","?"))</f>
        <v> </v>
      </c>
      <c r="I5391" s="26" t="str">
        <f>IF(OR(E5391="",E5391="!!!",F5391="NEW"),"",INDEX(B5390:B$2,-1+SUMPRODUCT(MAX(ROW(E5390:E$2)*(E5391=E5390:E$2)))))</f>
        <v> </v>
      </c>
      <c r="J5391" s="26" t="str">
        <f>IF(OR(E5391="",E5391="!!!",F5391="NEW"),"",COUNTBLANK(OFFSET(A$1,,,SUMPRODUCT(MAX(ROW(E$2:E5391)*(E5391=E$2:E5391)))))-COUNTBLANK(OFFSET(A$1,,,SUMPRODUCT(MAX(ROW(E$1:E5390)*(E2=E$1:E5390))))))</f>
        <v> </v>
      </c>
      <c r="K5391" s="26" t="str">
        <f>IF(OR(E5391="",E5391="!!!",F5391="NEW"),"",INDEX(J$1:J5390,SUMPRODUCT(MAX(ROW(E$1:E5390)*(E5391=E$1:E5390)))))</f>
        <v> </v>
      </c>
      <c r="L5391" s="27"/>
    </row>
    <row r="5392" spans="1:12">
      <c r="A5392" s="20" t="s">
        <v>1295</v>
      </c>
      <c r="E5392" s="22">
        <f>IF(D5392="?OLD","!!!","")</f>
        <v/>
      </c>
      <c r="F5392" s="23" t="str">
        <f>IF(OR(E5392="",E5392="!!!"),"",IF(NOT(ISNA(VLOOKUP(E5392,E$1:E5391,1,FALSE()))),"OLD",IF(AND(E5392&lt;&gt;"",E5392&lt;&gt;"!!!"),"NEW","")))</f>
        <v> </v>
      </c>
      <c r="G5392" s="24" t="str">
        <f>IF(OR(E5392="",E5392="!!!"),"",IF(OR(J5392=0,AND(J5392=1,K5392=1),AND(J5392=1,I5392="SBJ"),AND(J5392=1,I5392=0)),"?IN_FOCUS",IF(J5392&lt;=2,"?ACTIVATED",IF(J5392&lt;&gt;"","?FAMILIAR",IF(F5392="NEW",IF(ISNA(VLOOKUP(E5392,#REF!,1,FALSE())),"?TYPE_IDENTIFIABLE","?REFERENTIAL"),"_")))))</f>
        <v> </v>
      </c>
      <c r="H5392" s="25" t="str">
        <f>IF(J5392&lt;&gt;1,"",IF(I5392="SBJ","CB","?"))</f>
        <v> </v>
      </c>
      <c r="I5392" s="26" t="str">
        <f>IF(OR(E5392="",E5392="!!!",F5392="NEW"),"",INDEX(B5391:B$2,-1+SUMPRODUCT(MAX(ROW(E5391:E$2)*(E5392=E5391:E$2)))))</f>
        <v> </v>
      </c>
      <c r="J5392" s="26" t="str">
        <f>IF(OR(E5392="",E5392="!!!",F5392="NEW"),"",COUNTBLANK(OFFSET(A$1,,,SUMPRODUCT(MAX(ROW(E$2:E5392)*(E5392=E$2:E5392)))))-COUNTBLANK(OFFSET(A$1,,,SUMPRODUCT(MAX(ROW(E$1:E5391)*(E2=E$1:E5391))))))</f>
        <v> </v>
      </c>
      <c r="K5392" s="26" t="str">
        <f>IF(OR(E5392="",E5392="!!!",F5392="NEW"),"",INDEX(J$1:J5391,SUMPRODUCT(MAX(ROW(E$1:E5391)*(E5392=E$1:E5391)))))</f>
        <v> </v>
      </c>
      <c r="L5392" s="27"/>
    </row>
    <row r="5393" spans="1:12">
      <c r="A5393" s="20" t="s">
        <v>2695</v>
      </c>
      <c r="E5393" s="22">
        <f>IF(D5393="?OLD","!!!","")</f>
        <v/>
      </c>
      <c r="F5393" s="23" t="str">
        <f>IF(OR(E5393="",E5393="!!!"),"",IF(NOT(ISNA(VLOOKUP(E5393,E$1:E5392,1,FALSE()))),"OLD",IF(AND(E5393&lt;&gt;"",E5393&lt;&gt;"!!!"),"NEW","")))</f>
        <v> </v>
      </c>
      <c r="G5393" s="24" t="str">
        <f>IF(OR(E5393="",E5393="!!!"),"",IF(OR(J5393=0,AND(J5393=1,K5393=1),AND(J5393=1,I5393="SBJ"),AND(J5393=1,I5393=0)),"?IN_FOCUS",IF(J5393&lt;=2,"?ACTIVATED",IF(J5393&lt;&gt;"","?FAMILIAR",IF(F5393="NEW",IF(ISNA(VLOOKUP(E5393,#REF!,1,FALSE())),"?TYPE_IDENTIFIABLE","?REFERENTIAL"),"_")))))</f>
        <v> </v>
      </c>
      <c r="H5393" s="25" t="str">
        <f>IF(J5393&lt;&gt;1,"",IF(I5393="SBJ","CB","?"))</f>
        <v> </v>
      </c>
      <c r="I5393" s="26" t="str">
        <f>IF(OR(E5393="",E5393="!!!",F5393="NEW"),"",INDEX(B5392:B$2,-1+SUMPRODUCT(MAX(ROW(E5392:E$2)*(E5393=E5392:E$2)))))</f>
        <v> </v>
      </c>
      <c r="J5393" s="26" t="str">
        <f>IF(OR(E5393="",E5393="!!!",F5393="NEW"),"",COUNTBLANK(OFFSET(A$1,,,SUMPRODUCT(MAX(ROW(E$2:E5393)*(E5393=E$2:E5393)))))-COUNTBLANK(OFFSET(A$1,,,SUMPRODUCT(MAX(ROW(E$1:E5392)*(E2=E$1:E5392))))))</f>
        <v> </v>
      </c>
      <c r="K5393" s="26" t="str">
        <f>IF(OR(E5393="",E5393="!!!",F5393="NEW"),"",INDEX(J$1:J5392,SUMPRODUCT(MAX(ROW(E$1:E5392)*(E5393=E$1:E5392)))))</f>
        <v> </v>
      </c>
      <c r="L5393" s="27"/>
    </row>
    <row r="5394" spans="1:12">
      <c r="A5394" s="20" t="s">
        <v>1337</v>
      </c>
      <c r="B5394" s="21" t="s">
        <v>1237</v>
      </c>
      <c r="C5394" s="21" t="s">
        <v>1223</v>
      </c>
      <c r="E5394" s="22">
        <f>IF(D5394="?OLD","!!!","")</f>
        <v/>
      </c>
      <c r="F5394" s="23" t="str">
        <f>IF(OR(E5394="",E5394="!!!"),"",IF(NOT(ISNA(VLOOKUP(E5394,E$1:E5393,1,FALSE()))),"OLD",IF(AND(E5394&lt;&gt;"",E5394&lt;&gt;"!!!"),"NEW","")))</f>
        <v> </v>
      </c>
      <c r="G5394" s="24" t="str">
        <f>IF(OR(E5394="",E5394="!!!"),"",IF(OR(J5394=0,AND(J5394=1,K5394=1),AND(J5394=1,I5394="SBJ"),AND(J5394=1,I5394=0)),"?IN_FOCUS",IF(J5394&lt;=2,"?ACTIVATED",IF(J5394&lt;&gt;"","?FAMILIAR",IF(F5394="NEW",IF(ISNA(VLOOKUP(E5394,#REF!,1,FALSE())),"?TYPE_IDENTIFIABLE","?REFERENTIAL"),"_")))))</f>
        <v> </v>
      </c>
      <c r="H5394" s="25" t="str">
        <f>IF(J5394&lt;&gt;1,"",IF(I5394="SBJ","CB","?"))</f>
        <v> </v>
      </c>
      <c r="I5394" s="26" t="str">
        <f>IF(OR(E5394="",E5394="!!!",F5394="NEW"),"",INDEX(B5393:B$2,-1+SUMPRODUCT(MAX(ROW(E5393:E$2)*(E5394=E5393:E$2)))))</f>
        <v> </v>
      </c>
      <c r="J5394" s="26" t="str">
        <f>IF(OR(E5394="",E5394="!!!",F5394="NEW"),"",COUNTBLANK(OFFSET(A$1,,,SUMPRODUCT(MAX(ROW(E$2:E5394)*(E5394=E$2:E5394)))))-COUNTBLANK(OFFSET(A$1,,,SUMPRODUCT(MAX(ROW(E$1:E5393)*(E2=E$1:E5393))))))</f>
        <v> </v>
      </c>
      <c r="K5394" s="26" t="str">
        <f>IF(OR(E5394="",E5394="!!!",F5394="NEW"),"",INDEX(J$1:J5393,SUMPRODUCT(MAX(ROW(E$1:E5393)*(E5394=E$1:E5393)))))</f>
        <v> </v>
      </c>
      <c r="L5394" s="27"/>
    </row>
    <row r="5395" spans="1:12">
      <c r="A5395" s="20" t="s">
        <v>1295</v>
      </c>
      <c r="E5395" s="22">
        <f>IF(D5395="?OLD","!!!","")</f>
        <v/>
      </c>
      <c r="F5395" s="23" t="str">
        <f>IF(OR(E5395="",E5395="!!!"),"",IF(NOT(ISNA(VLOOKUP(E5395,E$1:E5394,1,FALSE()))),"OLD",IF(AND(E5395&lt;&gt;"",E5395&lt;&gt;"!!!"),"NEW","")))</f>
        <v> </v>
      </c>
      <c r="G5395" s="24" t="str">
        <f>IF(OR(E5395="",E5395="!!!"),"",IF(OR(J5395=0,AND(J5395=1,K5395=1),AND(J5395=1,I5395="SBJ"),AND(J5395=1,I5395=0)),"?IN_FOCUS",IF(J5395&lt;=2,"?ACTIVATED",IF(J5395&lt;&gt;"","?FAMILIAR",IF(F5395="NEW",IF(ISNA(VLOOKUP(E5395,#REF!,1,FALSE())),"?TYPE_IDENTIFIABLE","?REFERENTIAL"),"_")))))</f>
        <v> </v>
      </c>
      <c r="H5395" s="25" t="str">
        <f>IF(J5395&lt;&gt;1,"",IF(I5395="SBJ","CB","?"))</f>
        <v> </v>
      </c>
      <c r="I5395" s="26" t="str">
        <f>IF(OR(E5395="",E5395="!!!",F5395="NEW"),"",INDEX(B5394:B$2,-1+SUMPRODUCT(MAX(ROW(E5394:E$2)*(E5395=E5394:E$2)))))</f>
        <v> </v>
      </c>
      <c r="J5395" s="26" t="str">
        <f>IF(OR(E5395="",E5395="!!!",F5395="NEW"),"",COUNTBLANK(OFFSET(A$1,,,SUMPRODUCT(MAX(ROW(E$2:E5395)*(E5395=E$2:E5395)))))-COUNTBLANK(OFFSET(A$1,,,SUMPRODUCT(MAX(ROW(E$1:E5394)*(E2=E$1:E5394))))))</f>
        <v> </v>
      </c>
      <c r="K5395" s="26" t="str">
        <f>IF(OR(E5395="",E5395="!!!",F5395="NEW"),"",INDEX(J$1:J5394,SUMPRODUCT(MAX(ROW(E$1:E5394)*(E5395=E$1:E5394)))))</f>
        <v> </v>
      </c>
      <c r="L5395" s="27"/>
    </row>
    <row r="5396" spans="1:12">
      <c r="A5396" s="20" t="s">
        <v>1800</v>
      </c>
      <c r="B5396" s="21" t="s">
        <v>1207</v>
      </c>
      <c r="C5396" s="21" t="s">
        <v>1184</v>
      </c>
      <c r="E5396" s="22">
        <f>IF(D5396="?OLD","!!!","")</f>
        <v/>
      </c>
      <c r="F5396" s="23" t="str">
        <f>IF(OR(E5396="",E5396="!!!"),"",IF(NOT(ISNA(VLOOKUP(E5396,E$1:E5395,1,FALSE()))),"OLD",IF(AND(E5396&lt;&gt;"",E5396&lt;&gt;"!!!"),"NEW","")))</f>
        <v> </v>
      </c>
      <c r="G5396" s="24" t="str">
        <f>IF(OR(E5396="",E5396="!!!"),"",IF(OR(J5396=0,AND(J5396=1,K5396=1),AND(J5396=1,I5396="SBJ"),AND(J5396=1,I5396=0)),"?IN_FOCUS",IF(J5396&lt;=2,"?ACTIVATED",IF(J5396&lt;&gt;"","?FAMILIAR",IF(F5396="NEW",IF(ISNA(VLOOKUP(E5396,#REF!,1,FALSE())),"?TYPE_IDENTIFIABLE","?REFERENTIAL"),"_")))))</f>
        <v> </v>
      </c>
      <c r="H5396" s="25" t="str">
        <f>IF(J5396&lt;&gt;1,"",IF(I5396="SBJ","CB","?"))</f>
        <v> </v>
      </c>
      <c r="I5396" s="26" t="str">
        <f>IF(OR(E5396="",E5396="!!!",F5396="NEW"),"",INDEX(B5395:B$2,-1+SUMPRODUCT(MAX(ROW(E5395:E$2)*(E5396=E5395:E$2)))))</f>
        <v> </v>
      </c>
      <c r="J5396" s="26" t="str">
        <f>IF(OR(E5396="",E5396="!!!",F5396="NEW"),"",COUNTBLANK(OFFSET(A$1,,,SUMPRODUCT(MAX(ROW(E$2:E5396)*(E5396=E$2:E5396)))))-COUNTBLANK(OFFSET(A$1,,,SUMPRODUCT(MAX(ROW(E$1:E5395)*(E2=E$1:E5395))))))</f>
        <v> </v>
      </c>
      <c r="K5396" s="26" t="str">
        <f>IF(OR(E5396="",E5396="!!!",F5396="NEW"),"",INDEX(J$1:J5395,SUMPRODUCT(MAX(ROW(E$1:E5395)*(E5396=E$1:E5395)))))</f>
        <v> </v>
      </c>
      <c r="L5396" s="27"/>
    </row>
    <row r="5397" spans="1:12">
      <c r="A5397" s="20" t="s">
        <v>1330</v>
      </c>
      <c r="E5397" s="22">
        <f>IF(D5397="?OLD","!!!","")</f>
        <v/>
      </c>
      <c r="F5397" s="23" t="str">
        <f>IF(OR(E5397="",E5397="!!!"),"",IF(NOT(ISNA(VLOOKUP(E5397,E$1:E5396,1,FALSE()))),"OLD",IF(AND(E5397&lt;&gt;"",E5397&lt;&gt;"!!!"),"NEW","")))</f>
        <v> </v>
      </c>
      <c r="G5397" s="24" t="str">
        <f>IF(OR(E5397="",E5397="!!!"),"",IF(OR(J5397=0,AND(J5397=1,K5397=1),AND(J5397=1,I5397="SBJ"),AND(J5397=1,I5397=0)),"?IN_FOCUS",IF(J5397&lt;=2,"?ACTIVATED",IF(J5397&lt;&gt;"","?FAMILIAR",IF(F5397="NEW",IF(ISNA(VLOOKUP(E5397,#REF!,1,FALSE())),"?TYPE_IDENTIFIABLE","?REFERENTIAL"),"_")))))</f>
        <v> </v>
      </c>
      <c r="H5397" s="25" t="str">
        <f>IF(J5397&lt;&gt;1,"",IF(I5397="SBJ","CB","?"))</f>
        <v> </v>
      </c>
      <c r="I5397" s="26" t="str">
        <f>IF(OR(E5397="",E5397="!!!",F5397="NEW"),"",INDEX(B5396:B$2,-1+SUMPRODUCT(MAX(ROW(E5396:E$2)*(E5397=E5396:E$2)))))</f>
        <v> </v>
      </c>
      <c r="J5397" s="26" t="str">
        <f>IF(OR(E5397="",E5397="!!!",F5397="NEW"),"",COUNTBLANK(OFFSET(A$1,,,SUMPRODUCT(MAX(ROW(E$2:E5397)*(E5397=E$2:E5397)))))-COUNTBLANK(OFFSET(A$1,,,SUMPRODUCT(MAX(ROW(E$1:E5396)*(E2=E$1:E5396))))))</f>
        <v> </v>
      </c>
      <c r="K5397" s="26" t="str">
        <f>IF(OR(E5397="",E5397="!!!",F5397="NEW"),"",INDEX(J$1:J5396,SUMPRODUCT(MAX(ROW(E$1:E5396)*(E5397=E$1:E5396)))))</f>
        <v> </v>
      </c>
      <c r="L5397" s="27"/>
    </row>
    <row r="5398" spans="1:12">
      <c r="A5398" s="20" t="s">
        <v>2696</v>
      </c>
      <c r="E5398" s="22">
        <f>IF(D5398="?OLD","!!!","")</f>
        <v/>
      </c>
      <c r="F5398" s="23" t="str">
        <f>IF(OR(E5398="",E5398="!!!"),"",IF(NOT(ISNA(VLOOKUP(E5398,E$1:E5397,1,FALSE()))),"OLD",IF(AND(E5398&lt;&gt;"",E5398&lt;&gt;"!!!"),"NEW","")))</f>
        <v> </v>
      </c>
      <c r="G5398" s="24" t="str">
        <f>IF(OR(E5398="",E5398="!!!"),"",IF(OR(J5398=0,AND(J5398=1,K5398=1),AND(J5398=1,I5398="SBJ"),AND(J5398=1,I5398=0)),"?IN_FOCUS",IF(J5398&lt;=2,"?ACTIVATED",IF(J5398&lt;&gt;"","?FAMILIAR",IF(F5398="NEW",IF(ISNA(VLOOKUP(E5398,#REF!,1,FALSE())),"?TYPE_IDENTIFIABLE","?REFERENTIAL"),"_")))))</f>
        <v> </v>
      </c>
      <c r="H5398" s="25" t="str">
        <f>IF(J5398&lt;&gt;1,"",IF(I5398="SBJ","CB","?"))</f>
        <v> </v>
      </c>
      <c r="I5398" s="26" t="str">
        <f>IF(OR(E5398="",E5398="!!!",F5398="NEW"),"",INDEX(B5397:B$2,-1+SUMPRODUCT(MAX(ROW(E5397:E$2)*(E5398=E5397:E$2)))))</f>
        <v> </v>
      </c>
      <c r="J5398" s="26" t="str">
        <f>IF(OR(E5398="",E5398="!!!",F5398="NEW"),"",COUNTBLANK(OFFSET(A$1,,,SUMPRODUCT(MAX(ROW(E$2:E5398)*(E5398=E$2:E5398)))))-COUNTBLANK(OFFSET(A$1,,,SUMPRODUCT(MAX(ROW(E$1:E5397)*(E2=E$1:E5397))))))</f>
        <v> </v>
      </c>
      <c r="K5398" s="26" t="str">
        <f>IF(OR(E5398="",E5398="!!!",F5398="NEW"),"",INDEX(J$1:J5397,SUMPRODUCT(MAX(ROW(E$1:E5397)*(E5398=E$1:E5397)))))</f>
        <v> </v>
      </c>
      <c r="L5398" s="27"/>
    </row>
    <row r="5399" spans="1:12">
      <c r="A5399" s="20" t="s">
        <v>1295</v>
      </c>
      <c r="E5399" s="22">
        <f>IF(D5399="?OLD","!!!","")</f>
        <v/>
      </c>
      <c r="F5399" s="23" t="str">
        <f>IF(OR(E5399="",E5399="!!!"),"",IF(NOT(ISNA(VLOOKUP(E5399,E$1:E5398,1,FALSE()))),"OLD",IF(AND(E5399&lt;&gt;"",E5399&lt;&gt;"!!!"),"NEW","")))</f>
        <v> </v>
      </c>
      <c r="G5399" s="24" t="str">
        <f>IF(OR(E5399="",E5399="!!!"),"",IF(OR(J5399=0,AND(J5399=1,K5399=1),AND(J5399=1,I5399="SBJ"),AND(J5399=1,I5399=0)),"?IN_FOCUS",IF(J5399&lt;=2,"?ACTIVATED",IF(J5399&lt;&gt;"","?FAMILIAR",IF(F5399="NEW",IF(ISNA(VLOOKUP(E5399,#REF!,1,FALSE())),"?TYPE_IDENTIFIABLE","?REFERENTIAL"),"_")))))</f>
        <v> </v>
      </c>
      <c r="H5399" s="25" t="str">
        <f>IF(J5399&lt;&gt;1,"",IF(I5399="SBJ","CB","?"))</f>
        <v> </v>
      </c>
      <c r="I5399" s="26" t="str">
        <f>IF(OR(E5399="",E5399="!!!",F5399="NEW"),"",INDEX(B5398:B$2,-1+SUMPRODUCT(MAX(ROW(E5398:E$2)*(E5399=E5398:E$2)))))</f>
        <v> </v>
      </c>
      <c r="J5399" s="26" t="str">
        <f>IF(OR(E5399="",E5399="!!!",F5399="NEW"),"",COUNTBLANK(OFFSET(A$1,,,SUMPRODUCT(MAX(ROW(E$2:E5399)*(E5399=E$2:E5399)))))-COUNTBLANK(OFFSET(A$1,,,SUMPRODUCT(MAX(ROW(E$1:E5398)*(E2=E$1:E5398))))))</f>
        <v> </v>
      </c>
      <c r="K5399" s="26" t="str">
        <f>IF(OR(E5399="",E5399="!!!",F5399="NEW"),"",INDEX(J$1:J5398,SUMPRODUCT(MAX(ROW(E$1:E5398)*(E5399=E$1:E5398)))))</f>
        <v> </v>
      </c>
      <c r="L5399" s="27"/>
    </row>
    <row r="5400" spans="1:12">
      <c r="A5400" s="20" t="s">
        <v>185</v>
      </c>
      <c r="B5400" s="21" t="s">
        <v>1306</v>
      </c>
      <c r="C5400" s="21" t="s">
        <v>1195</v>
      </c>
      <c r="D5400" s="21" t="s">
        <v>1180</v>
      </c>
      <c r="E5400" s="22">
        <f>IF(D5400="?OLD","!!!","")</f>
        <v/>
      </c>
      <c r="F5400" s="23" t="str">
        <f>IF(OR(E5400="",E5400="!!!"),"",IF(NOT(ISNA(VLOOKUP(E5400,E$1:E5399,1,FALSE()))),"OLD",IF(AND(E5400&lt;&gt;"",E5400&lt;&gt;"!!!"),"NEW","")))</f>
        <v> </v>
      </c>
      <c r="G5400" s="24" t="str">
        <f>IF(OR(E5400="",E5400="!!!"),"",IF(OR(J5400=0,AND(J5400=1,K5400=1),AND(J5400=1,I5400="SBJ"),AND(J5400=1,I5400=0)),"?IN_FOCUS",IF(J5400&lt;=2,"?ACTIVATED",IF(J5400&lt;&gt;"","?FAMILIAR",IF(F5400="NEW",IF(ISNA(VLOOKUP(E5400,#REF!,1,FALSE())),"?TYPE_IDENTIFIABLE","?REFERENTIAL"),"_")))))</f>
        <v> </v>
      </c>
      <c r="H5400" s="25" t="str">
        <f>IF(J5400&lt;&gt;1,"",IF(I5400="SBJ","CB","?"))</f>
        <v> </v>
      </c>
      <c r="I5400" s="26" t="str">
        <f>IF(OR(E5400="",E5400="!!!",F5400="NEW"),"",INDEX(B5399:B$2,-1+SUMPRODUCT(MAX(ROW(E5399:E$2)*(E5400=E5399:E$2)))))</f>
        <v> </v>
      </c>
      <c r="J5400" s="26" t="str">
        <f>IF(OR(E5400="",E5400="!!!",F5400="NEW"),"",COUNTBLANK(OFFSET(A$1,,,SUMPRODUCT(MAX(ROW(E$2:E5400)*(E5400=E$2:E5400)))))-COUNTBLANK(OFFSET(A$1,,,SUMPRODUCT(MAX(ROW(E$1:E5399)*(E2=E$1:E5399))))))</f>
        <v> </v>
      </c>
      <c r="K5400" s="26" t="str">
        <f>IF(OR(E5400="",E5400="!!!",F5400="NEW"),"",INDEX(J$1:J5399,SUMPRODUCT(MAX(ROW(E$1:E5399)*(E5400=E$1:E5399)))))</f>
        <v> </v>
      </c>
      <c r="L5400" s="27"/>
    </row>
    <row r="5401" spans="1:12">
      <c r="A5401" s="20" t="s">
        <v>1197</v>
      </c>
      <c r="E5401" s="22">
        <f>IF(D5401="?OLD","!!!","")</f>
        <v/>
      </c>
      <c r="F5401" s="23" t="str">
        <f>IF(OR(E5401="",E5401="!!!"),"",IF(NOT(ISNA(VLOOKUP(E5401,E$1:E5400,1,FALSE()))),"OLD",IF(AND(E5401&lt;&gt;"",E5401&lt;&gt;"!!!"),"NEW","")))</f>
        <v> </v>
      </c>
      <c r="G5401" s="24" t="str">
        <f>IF(OR(E5401="",E5401="!!!"),"",IF(OR(J5401=0,AND(J5401=1,K5401=1),AND(J5401=1,I5401="SBJ"),AND(J5401=1,I5401=0)),"?IN_FOCUS",IF(J5401&lt;=2,"?ACTIVATED",IF(J5401&lt;&gt;"","?FAMILIAR",IF(F5401="NEW",IF(ISNA(VLOOKUP(E5401,#REF!,1,FALSE())),"?TYPE_IDENTIFIABLE","?REFERENTIAL"),"_")))))</f>
        <v> </v>
      </c>
      <c r="H5401" s="25" t="str">
        <f>IF(J5401&lt;&gt;1,"",IF(I5401="SBJ","CB","?"))</f>
        <v> </v>
      </c>
      <c r="I5401" s="26" t="str">
        <f>IF(OR(E5401="",E5401="!!!",F5401="NEW"),"",INDEX(B5400:B$2,-1+SUMPRODUCT(MAX(ROW(E5400:E$2)*(E5401=E5400:E$2)))))</f>
        <v> </v>
      </c>
      <c r="J5401" s="26" t="str">
        <f>IF(OR(E5401="",E5401="!!!",F5401="NEW"),"",COUNTBLANK(OFFSET(A$1,,,SUMPRODUCT(MAX(ROW(E$2:E5401)*(E5401=E$2:E5401)))))-COUNTBLANK(OFFSET(A$1,,,SUMPRODUCT(MAX(ROW(E$1:E5400)*(E2=E$1:E5400))))))</f>
        <v> </v>
      </c>
      <c r="K5401" s="26" t="str">
        <f>IF(OR(E5401="",E5401="!!!",F5401="NEW"),"",INDEX(J$1:J5400,SUMPRODUCT(MAX(ROW(E$1:E5400)*(E5401=E$1:E5400)))))</f>
        <v> </v>
      </c>
      <c r="L5401" s="27"/>
    </row>
    <row r="5402" spans="1:12">
      <c r="A5402" s="20" t="s">
        <v>1375</v>
      </c>
      <c r="E5402" s="22">
        <f>IF(D5402="?OLD","!!!","")</f>
        <v/>
      </c>
      <c r="F5402" s="23" t="str">
        <f>IF(OR(E5402="",E5402="!!!"),"",IF(NOT(ISNA(VLOOKUP(E5402,E$1:E5401,1,FALSE()))),"OLD",IF(AND(E5402&lt;&gt;"",E5402&lt;&gt;"!!!"),"NEW","")))</f>
        <v> </v>
      </c>
      <c r="G5402" s="24" t="str">
        <f>IF(OR(E5402="",E5402="!!!"),"",IF(OR(J5402=0,AND(J5402=1,K5402=1),AND(J5402=1,I5402="SBJ"),AND(J5402=1,I5402=0)),"?IN_FOCUS",IF(J5402&lt;=2,"?ACTIVATED",IF(J5402&lt;&gt;"","?FAMILIAR",IF(F5402="NEW",IF(ISNA(VLOOKUP(E5402,#REF!,1,FALSE())),"?TYPE_IDENTIFIABLE","?REFERENTIAL"),"_")))))</f>
        <v> </v>
      </c>
      <c r="H5402" s="25" t="str">
        <f>IF(J5402&lt;&gt;1,"",IF(I5402="SBJ","CB","?"))</f>
        <v> </v>
      </c>
      <c r="I5402" s="26" t="str">
        <f>IF(OR(E5402="",E5402="!!!",F5402="NEW"),"",INDEX(B5401:B$2,-1+SUMPRODUCT(MAX(ROW(E5401:E$2)*(E5402=E5401:E$2)))))</f>
        <v> </v>
      </c>
      <c r="J5402" s="26" t="str">
        <f>IF(OR(E5402="",E5402="!!!",F5402="NEW"),"",COUNTBLANK(OFFSET(A$1,,,SUMPRODUCT(MAX(ROW(E$2:E5402)*(E5402=E$2:E5402)))))-COUNTBLANK(OFFSET(A$1,,,SUMPRODUCT(MAX(ROW(E$1:E5401)*(E2=E$1:E5401))))))</f>
        <v> </v>
      </c>
      <c r="K5402" s="26" t="str">
        <f>IF(OR(E5402="",E5402="!!!",F5402="NEW"),"",INDEX(J$1:J5401,SUMPRODUCT(MAX(ROW(E$1:E5401)*(E5402=E$1:E5401)))))</f>
        <v> </v>
      </c>
      <c r="L5402" s="27"/>
    </row>
    <row r="5403" spans="1:12">
      <c r="A5403" s="20" t="s">
        <v>2697</v>
      </c>
      <c r="E5403" s="22">
        <f>IF(D5403="?OLD","!!!","")</f>
        <v/>
      </c>
      <c r="F5403" s="23" t="str">
        <f>IF(OR(E5403="",E5403="!!!"),"",IF(NOT(ISNA(VLOOKUP(E5403,E$1:E5402,1,FALSE()))),"OLD",IF(AND(E5403&lt;&gt;"",E5403&lt;&gt;"!!!"),"NEW","")))</f>
        <v> </v>
      </c>
      <c r="G5403" s="24" t="str">
        <f>IF(OR(E5403="",E5403="!!!"),"",IF(OR(J5403=0,AND(J5403=1,K5403=1),AND(J5403=1,I5403="SBJ"),AND(J5403=1,I5403=0)),"?IN_FOCUS",IF(J5403&lt;=2,"?ACTIVATED",IF(J5403&lt;&gt;"","?FAMILIAR",IF(F5403="NEW",IF(ISNA(VLOOKUP(E5403,#REF!,1,FALSE())),"?TYPE_IDENTIFIABLE","?REFERENTIAL"),"_")))))</f>
        <v> </v>
      </c>
      <c r="H5403" s="25" t="str">
        <f>IF(J5403&lt;&gt;1,"",IF(I5403="SBJ","CB","?"))</f>
        <v> </v>
      </c>
      <c r="I5403" s="26" t="str">
        <f>IF(OR(E5403="",E5403="!!!",F5403="NEW"),"",INDEX(B5402:B$2,-1+SUMPRODUCT(MAX(ROW(E5402:E$2)*(E5403=E5402:E$2)))))</f>
        <v> </v>
      </c>
      <c r="J5403" s="26" t="str">
        <f>IF(OR(E5403="",E5403="!!!",F5403="NEW"),"",COUNTBLANK(OFFSET(A$1,,,SUMPRODUCT(MAX(ROW(E$2:E5403)*(E5403=E$2:E5403)))))-COUNTBLANK(OFFSET(A$1,,,SUMPRODUCT(MAX(ROW(E$1:E5402)*(E2=E$1:E5402))))))</f>
        <v> </v>
      </c>
      <c r="K5403" s="26" t="str">
        <f>IF(OR(E5403="",E5403="!!!",F5403="NEW"),"",INDEX(J$1:J5402,SUMPRODUCT(MAX(ROW(E$1:E5402)*(E5403=E$1:E5402)))))</f>
        <v> </v>
      </c>
      <c r="L5403" s="27"/>
    </row>
    <row r="5404" spans="1:12">
      <c r="A5404" s="20" t="s">
        <v>1800</v>
      </c>
      <c r="B5404" s="21" t="s">
        <v>1207</v>
      </c>
      <c r="C5404" s="21" t="s">
        <v>1184</v>
      </c>
      <c r="E5404" s="22">
        <f>IF(D5404="?OLD","!!!","")</f>
        <v/>
      </c>
      <c r="F5404" s="23" t="str">
        <f>IF(OR(E5404="",E5404="!!!"),"",IF(NOT(ISNA(VLOOKUP(E5404,E$1:E5403,1,FALSE()))),"OLD",IF(AND(E5404&lt;&gt;"",E5404&lt;&gt;"!!!"),"NEW","")))</f>
        <v> </v>
      </c>
      <c r="G5404" s="24" t="str">
        <f>IF(OR(E5404="",E5404="!!!"),"",IF(OR(J5404=0,AND(J5404=1,K5404=1),AND(J5404=1,I5404="SBJ"),AND(J5404=1,I5404=0)),"?IN_FOCUS",IF(J5404&lt;=2,"?ACTIVATED",IF(J5404&lt;&gt;"","?FAMILIAR",IF(F5404="NEW",IF(ISNA(VLOOKUP(E5404,#REF!,1,FALSE())),"?TYPE_IDENTIFIABLE","?REFERENTIAL"),"_")))))</f>
        <v> </v>
      </c>
      <c r="H5404" s="25" t="str">
        <f>IF(J5404&lt;&gt;1,"",IF(I5404="SBJ","CB","?"))</f>
        <v> </v>
      </c>
      <c r="I5404" s="26" t="str">
        <f>IF(OR(E5404="",E5404="!!!",F5404="NEW"),"",INDEX(B5403:B$2,-1+SUMPRODUCT(MAX(ROW(E5403:E$2)*(E5404=E5403:E$2)))))</f>
        <v> </v>
      </c>
      <c r="J5404" s="26" t="str">
        <f>IF(OR(E5404="",E5404="!!!",F5404="NEW"),"",COUNTBLANK(OFFSET(A$1,,,SUMPRODUCT(MAX(ROW(E$2:E5404)*(E5404=E$2:E5404)))))-COUNTBLANK(OFFSET(A$1,,,SUMPRODUCT(MAX(ROW(E$1:E5403)*(E2=E$1:E5403))))))</f>
        <v> </v>
      </c>
      <c r="K5404" s="26" t="str">
        <f>IF(OR(E5404="",E5404="!!!",F5404="NEW"),"",INDEX(J$1:J5403,SUMPRODUCT(MAX(ROW(E$1:E5403)*(E5404=E$1:E5403)))))</f>
        <v> </v>
      </c>
      <c r="L5404" s="27"/>
    </row>
    <row r="5405" spans="1:12">
      <c r="A5405" s="20" t="s">
        <v>2620</v>
      </c>
      <c r="E5405" s="22">
        <f>IF(D5405="?OLD","!!!","")</f>
        <v/>
      </c>
      <c r="F5405" s="23" t="str">
        <f>IF(OR(E5405="",E5405="!!!"),"",IF(NOT(ISNA(VLOOKUP(E5405,E$1:E5404,1,FALSE()))),"OLD",IF(AND(E5405&lt;&gt;"",E5405&lt;&gt;"!!!"),"NEW","")))</f>
        <v> </v>
      </c>
      <c r="G5405" s="24" t="str">
        <f>IF(OR(E5405="",E5405="!!!"),"",IF(OR(J5405=0,AND(J5405=1,K5405=1),AND(J5405=1,I5405="SBJ"),AND(J5405=1,I5405=0)),"?IN_FOCUS",IF(J5405&lt;=2,"?ACTIVATED",IF(J5405&lt;&gt;"","?FAMILIAR",IF(F5405="NEW",IF(ISNA(VLOOKUP(E5405,#REF!,1,FALSE())),"?TYPE_IDENTIFIABLE","?REFERENTIAL"),"_")))))</f>
        <v> </v>
      </c>
      <c r="H5405" s="25" t="str">
        <f>IF(J5405&lt;&gt;1,"",IF(I5405="SBJ","CB","?"))</f>
        <v> </v>
      </c>
      <c r="I5405" s="26" t="str">
        <f>IF(OR(E5405="",E5405="!!!",F5405="NEW"),"",INDEX(B5404:B$2,-1+SUMPRODUCT(MAX(ROW(E5404:E$2)*(E5405=E5404:E$2)))))</f>
        <v> </v>
      </c>
      <c r="J5405" s="26" t="str">
        <f>IF(OR(E5405="",E5405="!!!",F5405="NEW"),"",COUNTBLANK(OFFSET(A$1,,,SUMPRODUCT(MAX(ROW(E$2:E5405)*(E5405=E$2:E5405)))))-COUNTBLANK(OFFSET(A$1,,,SUMPRODUCT(MAX(ROW(E$1:E5404)*(E2=E$1:E5404))))))</f>
        <v> </v>
      </c>
      <c r="K5405" s="26" t="str">
        <f>IF(OR(E5405="",E5405="!!!",F5405="NEW"),"",INDEX(J$1:J5404,SUMPRODUCT(MAX(ROW(E$1:E5404)*(E5405=E$1:E5404)))))</f>
        <v> </v>
      </c>
      <c r="L5405" s="27"/>
    </row>
    <row r="5406" spans="1:12">
      <c r="A5406" s="20" t="s">
        <v>1302</v>
      </c>
      <c r="E5406" s="22">
        <f>IF(D5406="?OLD","!!!","")</f>
        <v/>
      </c>
      <c r="F5406" s="23" t="str">
        <f>IF(OR(E5406="",E5406="!!!"),"",IF(NOT(ISNA(VLOOKUP(E5406,E$1:E5405,1,FALSE()))),"OLD",IF(AND(E5406&lt;&gt;"",E5406&lt;&gt;"!!!"),"NEW","")))</f>
        <v> </v>
      </c>
      <c r="G5406" s="24" t="str">
        <f>IF(OR(E5406="",E5406="!!!"),"",IF(OR(J5406=0,AND(J5406=1,K5406=1),AND(J5406=1,I5406="SBJ"),AND(J5406=1,I5406=0)),"?IN_FOCUS",IF(J5406&lt;=2,"?ACTIVATED",IF(J5406&lt;&gt;"","?FAMILIAR",IF(F5406="NEW",IF(ISNA(VLOOKUP(E5406,#REF!,1,FALSE())),"?TYPE_IDENTIFIABLE","?REFERENTIAL"),"_")))))</f>
        <v> </v>
      </c>
      <c r="H5406" s="25" t="str">
        <f>IF(J5406&lt;&gt;1,"",IF(I5406="SBJ","CB","?"))</f>
        <v> </v>
      </c>
      <c r="I5406" s="26" t="str">
        <f>IF(OR(E5406="",E5406="!!!",F5406="NEW"),"",INDEX(B5405:B$2,-1+SUMPRODUCT(MAX(ROW(E5405:E$2)*(E5406=E5405:E$2)))))</f>
        <v> </v>
      </c>
      <c r="J5406" s="26" t="str">
        <f>IF(OR(E5406="",E5406="!!!",F5406="NEW"),"",COUNTBLANK(OFFSET(A$1,,,SUMPRODUCT(MAX(ROW(E$2:E5406)*(E5406=E$2:E5406)))))-COUNTBLANK(OFFSET(A$1,,,SUMPRODUCT(MAX(ROW(E$1:E5405)*(E2=E$1:E5405))))))</f>
        <v> </v>
      </c>
      <c r="K5406" s="26" t="str">
        <f>IF(OR(E5406="",E5406="!!!",F5406="NEW"),"",INDEX(J$1:J5405,SUMPRODUCT(MAX(ROW(E$1:E5405)*(E5406=E$1:E5405)))))</f>
        <v> </v>
      </c>
      <c r="L5406" s="27"/>
    </row>
    <row r="5407" spans="1:12">
      <c r="A5407" s="20" t="s">
        <v>1265</v>
      </c>
      <c r="E5407" s="22">
        <f>IF(D5407="?OLD","!!!","")</f>
        <v/>
      </c>
      <c r="F5407" s="23" t="str">
        <f>IF(OR(E5407="",E5407="!!!"),"",IF(NOT(ISNA(VLOOKUP(E5407,E$1:E5406,1,FALSE()))),"OLD",IF(AND(E5407&lt;&gt;"",E5407&lt;&gt;"!!!"),"NEW","")))</f>
        <v> </v>
      </c>
      <c r="G5407" s="24" t="str">
        <f>IF(OR(E5407="",E5407="!!!"),"",IF(OR(J5407=0,AND(J5407=1,K5407=1),AND(J5407=1,I5407="SBJ"),AND(J5407=1,I5407=0)),"?IN_FOCUS",IF(J5407&lt;=2,"?ACTIVATED",IF(J5407&lt;&gt;"","?FAMILIAR",IF(F5407="NEW",IF(ISNA(VLOOKUP(E5407,#REF!,1,FALSE())),"?TYPE_IDENTIFIABLE","?REFERENTIAL"),"_")))))</f>
        <v> </v>
      </c>
      <c r="H5407" s="25" t="str">
        <f>IF(J5407&lt;&gt;1,"",IF(I5407="SBJ","CB","?"))</f>
        <v> </v>
      </c>
      <c r="I5407" s="26" t="str">
        <f>IF(OR(E5407="",E5407="!!!",F5407="NEW"),"",INDEX(B5406:B$2,-1+SUMPRODUCT(MAX(ROW(E5406:E$2)*(E5407=E5406:E$2)))))</f>
        <v> </v>
      </c>
      <c r="J5407" s="26" t="str">
        <f>IF(OR(E5407="",E5407="!!!",F5407="NEW"),"",COUNTBLANK(OFFSET(A$1,,,SUMPRODUCT(MAX(ROW(E$2:E5407)*(E5407=E$2:E5407)))))-COUNTBLANK(OFFSET(A$1,,,SUMPRODUCT(MAX(ROW(E$1:E5406)*(E2=E$1:E5406))))))</f>
        <v> </v>
      </c>
      <c r="K5407" s="26" t="str">
        <f>IF(OR(E5407="",E5407="!!!",F5407="NEW"),"",INDEX(J$1:J5406,SUMPRODUCT(MAX(ROW(E$1:E5406)*(E5407=E$1:E5406)))))</f>
        <v> </v>
      </c>
      <c r="L5407" s="27"/>
    </row>
    <row r="5408" spans="1:12">
      <c r="A5408" s="20" t="s">
        <v>2698</v>
      </c>
      <c r="B5408" s="21" t="s">
        <v>1207</v>
      </c>
      <c r="C5408" s="21" t="s">
        <v>1223</v>
      </c>
      <c r="E5408" s="22">
        <f>IF(D5408="?OLD","!!!","")</f>
        <v/>
      </c>
      <c r="F5408" s="23" t="str">
        <f>IF(OR(E5408="",E5408="!!!"),"",IF(NOT(ISNA(VLOOKUP(E5408,E$1:E5407,1,FALSE()))),"OLD",IF(AND(E5408&lt;&gt;"",E5408&lt;&gt;"!!!"),"NEW","")))</f>
        <v> </v>
      </c>
      <c r="G5408" s="24" t="str">
        <f>IF(OR(E5408="",E5408="!!!"),"",IF(OR(J5408=0,AND(J5408=1,K5408=1),AND(J5408=1,I5408="SBJ"),AND(J5408=1,I5408=0)),"?IN_FOCUS",IF(J5408&lt;=2,"?ACTIVATED",IF(J5408&lt;&gt;"","?FAMILIAR",IF(F5408="NEW",IF(ISNA(VLOOKUP(E5408,#REF!,1,FALSE())),"?TYPE_IDENTIFIABLE","?REFERENTIAL"),"_")))))</f>
        <v> </v>
      </c>
      <c r="H5408" s="25" t="str">
        <f>IF(J5408&lt;&gt;1,"",IF(I5408="SBJ","CB","?"))</f>
        <v> </v>
      </c>
      <c r="I5408" s="26" t="str">
        <f>IF(OR(E5408="",E5408="!!!",F5408="NEW"),"",INDEX(B5407:B$2,-1+SUMPRODUCT(MAX(ROW(E5407:E$2)*(E5408=E5407:E$2)))))</f>
        <v> </v>
      </c>
      <c r="J5408" s="26" t="str">
        <f>IF(OR(E5408="",E5408="!!!",F5408="NEW"),"",COUNTBLANK(OFFSET(A$1,,,SUMPRODUCT(MAX(ROW(E$2:E5408)*(E5408=E$2:E5408)))))-COUNTBLANK(OFFSET(A$1,,,SUMPRODUCT(MAX(ROW(E$1:E5407)*(E2=E$1:E5407))))))</f>
        <v> </v>
      </c>
      <c r="K5408" s="26" t="str">
        <f>IF(OR(E5408="",E5408="!!!",F5408="NEW"),"",INDEX(J$1:J5407,SUMPRODUCT(MAX(ROW(E$1:E5407)*(E5408=E$1:E5407)))))</f>
        <v> </v>
      </c>
      <c r="L5408" s="27"/>
    </row>
    <row r="5409" spans="1:12">
      <c r="A5409" s="20" t="s">
        <v>1330</v>
      </c>
      <c r="E5409" s="22">
        <f>IF(D5409="?OLD","!!!","")</f>
        <v/>
      </c>
      <c r="F5409" s="23" t="str">
        <f>IF(OR(E5409="",E5409="!!!"),"",IF(NOT(ISNA(VLOOKUP(E5409,E$1:E5408,1,FALSE()))),"OLD",IF(AND(E5409&lt;&gt;"",E5409&lt;&gt;"!!!"),"NEW","")))</f>
        <v> </v>
      </c>
      <c r="G5409" s="24" t="str">
        <f>IF(OR(E5409="",E5409="!!!"),"",IF(OR(J5409=0,AND(J5409=1,K5409=1),AND(J5409=1,I5409="SBJ"),AND(J5409=1,I5409=0)),"?IN_FOCUS",IF(J5409&lt;=2,"?ACTIVATED",IF(J5409&lt;&gt;"","?FAMILIAR",IF(F5409="NEW",IF(ISNA(VLOOKUP(E5409,#REF!,1,FALSE())),"?TYPE_IDENTIFIABLE","?REFERENTIAL"),"_")))))</f>
        <v> </v>
      </c>
      <c r="H5409" s="25" t="str">
        <f>IF(J5409&lt;&gt;1,"",IF(I5409="SBJ","CB","?"))</f>
        <v> </v>
      </c>
      <c r="I5409" s="26" t="str">
        <f>IF(OR(E5409="",E5409="!!!",F5409="NEW"),"",INDEX(B5408:B$2,-1+SUMPRODUCT(MAX(ROW(E5408:E$2)*(E5409=E5408:E$2)))))</f>
        <v> </v>
      </c>
      <c r="J5409" s="26" t="str">
        <f>IF(OR(E5409="",E5409="!!!",F5409="NEW"),"",COUNTBLANK(OFFSET(A$1,,,SUMPRODUCT(MAX(ROW(E$2:E5409)*(E5409=E$2:E5409)))))-COUNTBLANK(OFFSET(A$1,,,SUMPRODUCT(MAX(ROW(E$1:E5408)*(E2=E$1:E5408))))))</f>
        <v> </v>
      </c>
      <c r="K5409" s="26" t="str">
        <f>IF(OR(E5409="",E5409="!!!",F5409="NEW"),"",INDEX(J$1:J5408,SUMPRODUCT(MAX(ROW(E$1:E5408)*(E5409=E$1:E5408)))))</f>
        <v> </v>
      </c>
      <c r="L5409" s="27"/>
    </row>
    <row r="5410" spans="1:12">
      <c r="A5410" s="20" t="s">
        <v>2699</v>
      </c>
      <c r="E5410" s="22">
        <f>IF(D5410="?OLD","!!!","")</f>
        <v/>
      </c>
      <c r="F5410" s="23" t="str">
        <f>IF(OR(E5410="",E5410="!!!"),"",IF(NOT(ISNA(VLOOKUP(E5410,E$1:E5409,1,FALSE()))),"OLD",IF(AND(E5410&lt;&gt;"",E5410&lt;&gt;"!!!"),"NEW","")))</f>
        <v> </v>
      </c>
      <c r="G5410" s="24" t="str">
        <f>IF(OR(E5410="",E5410="!!!"),"",IF(OR(J5410=0,AND(J5410=1,K5410=1),AND(J5410=1,I5410="SBJ"),AND(J5410=1,I5410=0)),"?IN_FOCUS",IF(J5410&lt;=2,"?ACTIVATED",IF(J5410&lt;&gt;"","?FAMILIAR",IF(F5410="NEW",IF(ISNA(VLOOKUP(E5410,#REF!,1,FALSE())),"?TYPE_IDENTIFIABLE","?REFERENTIAL"),"_")))))</f>
        <v> </v>
      </c>
      <c r="H5410" s="25" t="str">
        <f>IF(J5410&lt;&gt;1,"",IF(I5410="SBJ","CB","?"))</f>
        <v> </v>
      </c>
      <c r="I5410" s="26" t="str">
        <f>IF(OR(E5410="",E5410="!!!",F5410="NEW"),"",INDEX(B5409:B$2,-1+SUMPRODUCT(MAX(ROW(E5409:E$2)*(E5410=E5409:E$2)))))</f>
        <v> </v>
      </c>
      <c r="J5410" s="26" t="str">
        <f>IF(OR(E5410="",E5410="!!!",F5410="NEW"),"",COUNTBLANK(OFFSET(A$1,,,SUMPRODUCT(MAX(ROW(E$2:E5410)*(E5410=E$2:E5410)))))-COUNTBLANK(OFFSET(A$1,,,SUMPRODUCT(MAX(ROW(E$1:E5409)*(E2=E$1:E5409))))))</f>
        <v> </v>
      </c>
      <c r="K5410" s="26" t="str">
        <f>IF(OR(E5410="",E5410="!!!",F5410="NEW"),"",INDEX(J$1:J5409,SUMPRODUCT(MAX(ROW(E$1:E5409)*(E5410=E$1:E5409)))))</f>
        <v> </v>
      </c>
      <c r="L5410" s="27"/>
    </row>
    <row r="5411" spans="1:12">
      <c r="A5411" s="20" t="s">
        <v>818</v>
      </c>
      <c r="E5411" s="22">
        <f>IF(D5411="?OLD","!!!","")</f>
        <v/>
      </c>
      <c r="F5411" s="23" t="str">
        <f>IF(OR(E5411="",E5411="!!!"),"",IF(NOT(ISNA(VLOOKUP(E5411,E$1:E5410,1,FALSE()))),"OLD",IF(AND(E5411&lt;&gt;"",E5411&lt;&gt;"!!!"),"NEW","")))</f>
        <v> </v>
      </c>
      <c r="G5411" s="24" t="str">
        <f>IF(OR(E5411="",E5411="!!!"),"",IF(OR(J5411=0,AND(J5411=1,K5411=1),AND(J5411=1,I5411="SBJ"),AND(J5411=1,I5411=0)),"?IN_FOCUS",IF(J5411&lt;=2,"?ACTIVATED",IF(J5411&lt;&gt;"","?FAMILIAR",IF(F5411="NEW",IF(ISNA(VLOOKUP(E5411,#REF!,1,FALSE())),"?TYPE_IDENTIFIABLE","?REFERENTIAL"),"_")))))</f>
        <v> </v>
      </c>
      <c r="H5411" s="25" t="str">
        <f>IF(J5411&lt;&gt;1,"",IF(I5411="SBJ","CB","?"))</f>
        <v> </v>
      </c>
      <c r="I5411" s="26" t="str">
        <f>IF(OR(E5411="",E5411="!!!",F5411="NEW"),"",INDEX(B5410:B$2,-1+SUMPRODUCT(MAX(ROW(E5410:E$2)*(E5411=E5410:E$2)))))</f>
        <v> </v>
      </c>
      <c r="J5411" s="26" t="str">
        <f>IF(OR(E5411="",E5411="!!!",F5411="NEW"),"",COUNTBLANK(OFFSET(A$1,,,SUMPRODUCT(MAX(ROW(E$2:E5411)*(E5411=E$2:E5411)))))-COUNTBLANK(OFFSET(A$1,,,SUMPRODUCT(MAX(ROW(E$1:E5410)*(E2=E$1:E5410))))))</f>
        <v> </v>
      </c>
      <c r="K5411" s="26" t="str">
        <f>IF(OR(E5411="",E5411="!!!",F5411="NEW"),"",INDEX(J$1:J5410,SUMPRODUCT(MAX(ROW(E$1:E5410)*(E5411=E$1:E5410)))))</f>
        <v> </v>
      </c>
      <c r="L5411" s="27"/>
    </row>
    <row r="5412" spans="1:12">
      <c r="A5412" s="20"/>
    </row>
    <row r="5413" spans="1:12">
      <c r="A5413" s="20" t="s">
        <v>2700</v>
      </c>
    </row>
    <row r="5414" spans="1:12">
      <c r="A5414" s="20" t="s">
        <v>1256</v>
      </c>
      <c r="B5414" s="21" t="s">
        <v>1194</v>
      </c>
      <c r="C5414" s="21" t="s">
        <v>1195</v>
      </c>
      <c r="D5414" s="21" t="s">
        <v>1180</v>
      </c>
      <c r="E5414" s="22">
        <f>IF(D5414="?OLD","!!!","")</f>
        <v/>
      </c>
      <c r="F5414" s="23" t="str">
        <f>IF(OR(E5414="",E5414="!!!"),"",IF(NOT(ISNA(VLOOKUP(E5414,E$1:E5413,1,FALSE()))),"OLD",IF(AND(E5414&lt;&gt;"",E5414&lt;&gt;"!!!"),"NEW","")))</f>
        <v> </v>
      </c>
      <c r="G5414" s="24" t="str">
        <f>IF(OR(E5414="",E5414="!!!"),"",IF(OR(J5414=0,AND(J5414=1,K5414=1),AND(J5414=1,I5414="SBJ"),AND(J5414=1,I5414=0)),"?IN_FOCUS",IF(J5414&lt;=2,"?ACTIVATED",IF(J5414&lt;&gt;"","?FAMILIAR",IF(F5414="NEW",IF(ISNA(VLOOKUP(E5414,#REF!,1,FALSE())),"?TYPE_IDENTIFIABLE","?REFERENTIAL"),"_")))))</f>
        <v> </v>
      </c>
      <c r="H5414" s="25" t="str">
        <f>IF(J5414&lt;&gt;1,"",IF(I5414="SBJ","CB","?"))</f>
        <v> </v>
      </c>
      <c r="I5414" s="26" t="str">
        <f>IF(OR(E5414="",E5414="!!!",F5414="NEW"),"",INDEX(B5413:B$2,-1+SUMPRODUCT(MAX(ROW(E5413:E$2)*(E5414=E5413:E$2)))))</f>
        <v> </v>
      </c>
      <c r="J5414" s="26" t="str">
        <f>IF(OR(E5414="",E5414="!!!",F5414="NEW"),"",COUNTBLANK(OFFSET(A$1,,,SUMPRODUCT(MAX(ROW(E$2:E5414)*(E5414=E$2:E5414)))))-COUNTBLANK(OFFSET(A$1,,,SUMPRODUCT(MAX(ROW(E$1:E5413)*(E2=E$1:E5413))))))</f>
        <v> </v>
      </c>
      <c r="K5414" s="26" t="str">
        <f>IF(OR(E5414="",E5414="!!!",F5414="NEW"),"",INDEX(J$1:J5413,SUMPRODUCT(MAX(ROW(E$1:E5413)*(E5414=E$1:E5413)))))</f>
        <v> </v>
      </c>
      <c r="L5414" s="27"/>
    </row>
    <row r="5415" spans="1:12">
      <c r="A5415" s="20" t="s">
        <v>1257</v>
      </c>
      <c r="E5415" s="22">
        <f>IF(D5415="?OLD","!!!","")</f>
        <v/>
      </c>
      <c r="F5415" s="23" t="str">
        <f>IF(OR(E5415="",E5415="!!!"),"",IF(NOT(ISNA(VLOOKUP(E5415,E$1:E5414,1,FALSE()))),"OLD",IF(AND(E5415&lt;&gt;"",E5415&lt;&gt;"!!!"),"NEW","")))</f>
        <v> </v>
      </c>
      <c r="G5415" s="24" t="str">
        <f>IF(OR(E5415="",E5415="!!!"),"",IF(OR(J5415=0,AND(J5415=1,K5415=1),AND(J5415=1,I5415="SBJ"),AND(J5415=1,I5415=0)),"?IN_FOCUS",IF(J5415&lt;=2,"?ACTIVATED",IF(J5415&lt;&gt;"","?FAMILIAR",IF(F5415="NEW",IF(ISNA(VLOOKUP(E5415,#REF!,1,FALSE())),"?TYPE_IDENTIFIABLE","?REFERENTIAL"),"_")))))</f>
        <v> </v>
      </c>
      <c r="H5415" s="25" t="str">
        <f>IF(J5415&lt;&gt;1,"",IF(I5415="SBJ","CB","?"))</f>
        <v> </v>
      </c>
      <c r="I5415" s="26" t="str">
        <f>IF(OR(E5415="",E5415="!!!",F5415="NEW"),"",INDEX(B5414:B$2,-1+SUMPRODUCT(MAX(ROW(E5414:E$2)*(E5415=E5414:E$2)))))</f>
        <v> </v>
      </c>
      <c r="J5415" s="26" t="str">
        <f>IF(OR(E5415="",E5415="!!!",F5415="NEW"),"",COUNTBLANK(OFFSET(A$1,,,SUMPRODUCT(MAX(ROW(E$2:E5415)*(E5415=E$2:E5415)))))-COUNTBLANK(OFFSET(A$1,,,SUMPRODUCT(MAX(ROW(E$1:E5414)*(E2=E$1:E5414))))))</f>
        <v> </v>
      </c>
      <c r="K5415" s="26" t="str">
        <f>IF(OR(E5415="",E5415="!!!",F5415="NEW"),"",INDEX(J$1:J5414,SUMPRODUCT(MAX(ROW(E$1:E5414)*(E5415=E$1:E5414)))))</f>
        <v> </v>
      </c>
      <c r="L5415" s="27"/>
    </row>
    <row r="5416" spans="1:12">
      <c r="A5416" s="20" t="s">
        <v>1381</v>
      </c>
      <c r="B5416" s="21" t="s">
        <v>1178</v>
      </c>
      <c r="C5416" s="21" t="s">
        <v>1254</v>
      </c>
      <c r="E5416" s="22">
        <f>IF(D5416="?OLD","!!!","")</f>
        <v/>
      </c>
      <c r="F5416" s="23" t="str">
        <f>IF(OR(E5416="",E5416="!!!"),"",IF(NOT(ISNA(VLOOKUP(E5416,E$1:E5415,1,FALSE()))),"OLD",IF(AND(E5416&lt;&gt;"",E5416&lt;&gt;"!!!"),"NEW","")))</f>
        <v> </v>
      </c>
      <c r="G5416" s="24" t="str">
        <f>IF(OR(E5416="",E5416="!!!"),"",IF(OR(J5416=0,AND(J5416=1,K5416=1),AND(J5416=1,I5416="SBJ"),AND(J5416=1,I5416=0)),"?IN_FOCUS",IF(J5416&lt;=2,"?ACTIVATED",IF(J5416&lt;&gt;"","?FAMILIAR",IF(F5416="NEW",IF(ISNA(VLOOKUP(E5416,#REF!,1,FALSE())),"?TYPE_IDENTIFIABLE","?REFERENTIAL"),"_")))))</f>
        <v> </v>
      </c>
      <c r="H5416" s="25" t="str">
        <f>IF(J5416&lt;&gt;1,"",IF(I5416="SBJ","CB","?"))</f>
        <v> </v>
      </c>
      <c r="I5416" s="26" t="str">
        <f>IF(OR(E5416="",E5416="!!!",F5416="NEW"),"",INDEX(B5415:B$2,-1+SUMPRODUCT(MAX(ROW(E5415:E$2)*(E5416=E5415:E$2)))))</f>
        <v> </v>
      </c>
      <c r="J5416" s="26" t="str">
        <f>IF(OR(E5416="",E5416="!!!",F5416="NEW"),"",COUNTBLANK(OFFSET(A$1,,,SUMPRODUCT(MAX(ROW(E$2:E5416)*(E5416=E$2:E5416)))))-COUNTBLANK(OFFSET(A$1,,,SUMPRODUCT(MAX(ROW(E$1:E5415)*(E2=E$1:E5415))))))</f>
        <v> </v>
      </c>
      <c r="K5416" s="26" t="str">
        <f>IF(OR(E5416="",E5416="!!!",F5416="NEW"),"",INDEX(J$1:J5415,SUMPRODUCT(MAX(ROW(E$1:E5415)*(E5416=E$1:E5415)))))</f>
        <v> </v>
      </c>
      <c r="L5416" s="27"/>
    </row>
    <row r="5417" spans="1:12">
      <c r="A5417" s="20" t="s">
        <v>2701</v>
      </c>
      <c r="B5417" s="21" t="s">
        <v>1178</v>
      </c>
      <c r="C5417" s="21" t="s">
        <v>1324</v>
      </c>
      <c r="E5417" s="22">
        <f>IF(D5417="?OLD","!!!","")</f>
        <v/>
      </c>
      <c r="F5417" s="23" t="str">
        <f>IF(OR(E5417="",E5417="!!!"),"",IF(NOT(ISNA(VLOOKUP(E5417,E$1:E5416,1,FALSE()))),"OLD",IF(AND(E5417&lt;&gt;"",E5417&lt;&gt;"!!!"),"NEW","")))</f>
        <v> </v>
      </c>
      <c r="G5417" s="24" t="str">
        <f>IF(OR(E5417="",E5417="!!!"),"",IF(OR(J5417=0,AND(J5417=1,K5417=1),AND(J5417=1,I5417="SBJ"),AND(J5417=1,I5417=0)),"?IN_FOCUS",IF(J5417&lt;=2,"?ACTIVATED",IF(J5417&lt;&gt;"","?FAMILIAR",IF(F5417="NEW",IF(ISNA(VLOOKUP(E5417,#REF!,1,FALSE())),"?TYPE_IDENTIFIABLE","?REFERENTIAL"),"_")))))</f>
        <v> </v>
      </c>
      <c r="H5417" s="25" t="str">
        <f>IF(J5417&lt;&gt;1,"",IF(I5417="SBJ","CB","?"))</f>
        <v> </v>
      </c>
      <c r="I5417" s="26" t="str">
        <f>IF(OR(E5417="",E5417="!!!",F5417="NEW"),"",INDEX(B5416:B$2,-1+SUMPRODUCT(MAX(ROW(E5416:E$2)*(E5417=E5416:E$2)))))</f>
        <v> </v>
      </c>
      <c r="J5417" s="26" t="str">
        <f>IF(OR(E5417="",E5417="!!!",F5417="NEW"),"",COUNTBLANK(OFFSET(A$1,,,SUMPRODUCT(MAX(ROW(E$2:E5417)*(E5417=E$2:E5417)))))-COUNTBLANK(OFFSET(A$1,,,SUMPRODUCT(MAX(ROW(E$1:E5416)*(E2=E$1:E5416))))))</f>
        <v> </v>
      </c>
      <c r="K5417" s="26" t="str">
        <f>IF(OR(E5417="",E5417="!!!",F5417="NEW"),"",INDEX(J$1:J5416,SUMPRODUCT(MAX(ROW(E$1:E5416)*(E5417=E$1:E5416)))))</f>
        <v> </v>
      </c>
      <c r="L5417" s="27"/>
    </row>
    <row r="5418" spans="1:12">
      <c r="A5418" s="20" t="s">
        <v>1219</v>
      </c>
      <c r="E5418" s="22">
        <f>IF(D5418="?OLD","!!!","")</f>
        <v/>
      </c>
      <c r="F5418" s="23" t="str">
        <f>IF(OR(E5418="",E5418="!!!"),"",IF(NOT(ISNA(VLOOKUP(E5418,E$1:E5417,1,FALSE()))),"OLD",IF(AND(E5418&lt;&gt;"",E5418&lt;&gt;"!!!"),"NEW","")))</f>
        <v> </v>
      </c>
      <c r="G5418" s="24" t="str">
        <f>IF(OR(E5418="",E5418="!!!"),"",IF(OR(J5418=0,AND(J5418=1,K5418=1),AND(J5418=1,I5418="SBJ"),AND(J5418=1,I5418=0)),"?IN_FOCUS",IF(J5418&lt;=2,"?ACTIVATED",IF(J5418&lt;&gt;"","?FAMILIAR",IF(F5418="NEW",IF(ISNA(VLOOKUP(E5418,#REF!,1,FALSE())),"?TYPE_IDENTIFIABLE","?REFERENTIAL"),"_")))))</f>
        <v> </v>
      </c>
      <c r="H5418" s="25" t="str">
        <f>IF(J5418&lt;&gt;1,"",IF(I5418="SBJ","CB","?"))</f>
        <v> </v>
      </c>
      <c r="I5418" s="26" t="str">
        <f>IF(OR(E5418="",E5418="!!!",F5418="NEW"),"",INDEX(B5417:B$2,-1+SUMPRODUCT(MAX(ROW(E5417:E$2)*(E5418=E5417:E$2)))))</f>
        <v> </v>
      </c>
      <c r="J5418" s="26" t="str">
        <f>IF(OR(E5418="",E5418="!!!",F5418="NEW"),"",COUNTBLANK(OFFSET(A$1,,,SUMPRODUCT(MAX(ROW(E$2:E5418)*(E5418=E$2:E5418)))))-COUNTBLANK(OFFSET(A$1,,,SUMPRODUCT(MAX(ROW(E$1:E5417)*(E2=E$1:E5417))))))</f>
        <v> </v>
      </c>
      <c r="K5418" s="26" t="str">
        <f>IF(OR(E5418="",E5418="!!!",F5418="NEW"),"",INDEX(J$1:J5417,SUMPRODUCT(MAX(ROW(E$1:E5417)*(E5418=E$1:E5417)))))</f>
        <v> </v>
      </c>
      <c r="L5418" s="27"/>
    </row>
    <row r="5419" spans="1:12">
      <c r="A5419" s="20" t="s">
        <v>1198</v>
      </c>
      <c r="E5419" s="22">
        <f>IF(D5419="?OLD","!!!","")</f>
        <v/>
      </c>
      <c r="F5419" s="23" t="str">
        <f>IF(OR(E5419="",E5419="!!!"),"",IF(NOT(ISNA(VLOOKUP(E5419,E$1:E5418,1,FALSE()))),"OLD",IF(AND(E5419&lt;&gt;"",E5419&lt;&gt;"!!!"),"NEW","")))</f>
        <v> </v>
      </c>
      <c r="G5419" s="24" t="str">
        <f>IF(OR(E5419="",E5419="!!!"),"",IF(OR(J5419=0,AND(J5419=1,K5419=1),AND(J5419=1,I5419="SBJ"),AND(J5419=1,I5419=0)),"?IN_FOCUS",IF(J5419&lt;=2,"?ACTIVATED",IF(J5419&lt;&gt;"","?FAMILIAR",IF(F5419="NEW",IF(ISNA(VLOOKUP(E5419,#REF!,1,FALSE())),"?TYPE_IDENTIFIABLE","?REFERENTIAL"),"_")))))</f>
        <v> </v>
      </c>
      <c r="H5419" s="25" t="str">
        <f>IF(J5419&lt;&gt;1,"",IF(I5419="SBJ","CB","?"))</f>
        <v> </v>
      </c>
      <c r="I5419" s="26" t="str">
        <f>IF(OR(E5419="",E5419="!!!",F5419="NEW"),"",INDEX(B5418:B$2,-1+SUMPRODUCT(MAX(ROW(E5418:E$2)*(E5419=E5418:E$2)))))</f>
        <v> </v>
      </c>
      <c r="J5419" s="26" t="str">
        <f>IF(OR(E5419="",E5419="!!!",F5419="NEW"),"",COUNTBLANK(OFFSET(A$1,,,SUMPRODUCT(MAX(ROW(E$2:E5419)*(E5419=E$2:E5419)))))-COUNTBLANK(OFFSET(A$1,,,SUMPRODUCT(MAX(ROW(E$1:E5418)*(E2=E$1:E5418))))))</f>
        <v> </v>
      </c>
      <c r="K5419" s="26" t="str">
        <f>IF(OR(E5419="",E5419="!!!",F5419="NEW"),"",INDEX(J$1:J5418,SUMPRODUCT(MAX(ROW(E$1:E5418)*(E5419=E$1:E5418)))))</f>
        <v> </v>
      </c>
      <c r="L5419" s="27"/>
    </row>
    <row r="5420" spans="1:12">
      <c r="A5420" s="20" t="s">
        <v>1928</v>
      </c>
      <c r="B5420" s="21" t="s">
        <v>1178</v>
      </c>
      <c r="C5420" s="21" t="s">
        <v>1188</v>
      </c>
      <c r="D5420" s="21" t="s">
        <v>1180</v>
      </c>
      <c r="E5420" s="22">
        <f>IF(D5420="?OLD","!!!","")</f>
        <v/>
      </c>
      <c r="F5420" s="23" t="str">
        <f>IF(OR(E5420="",E5420="!!!"),"",IF(NOT(ISNA(VLOOKUP(E5420,E$1:E5419,1,FALSE()))),"OLD",IF(AND(E5420&lt;&gt;"",E5420&lt;&gt;"!!!"),"NEW","")))</f>
        <v> </v>
      </c>
      <c r="G5420" s="24" t="str">
        <f>IF(OR(E5420="",E5420="!!!"),"",IF(OR(J5420=0,AND(J5420=1,K5420=1),AND(J5420=1,I5420="SBJ"),AND(J5420=1,I5420=0)),"?IN_FOCUS",IF(J5420&lt;=2,"?ACTIVATED",IF(J5420&lt;&gt;"","?FAMILIAR",IF(F5420="NEW",IF(ISNA(VLOOKUP(E5420,#REF!,1,FALSE())),"?TYPE_IDENTIFIABLE","?REFERENTIAL"),"_")))))</f>
        <v> </v>
      </c>
      <c r="H5420" s="25" t="str">
        <f>IF(J5420&lt;&gt;1,"",IF(I5420="SBJ","CB","?"))</f>
        <v> </v>
      </c>
      <c r="I5420" s="26" t="str">
        <f>IF(OR(E5420="",E5420="!!!",F5420="NEW"),"",INDEX(B5419:B$2,-1+SUMPRODUCT(MAX(ROW(E5419:E$2)*(E5420=E5419:E$2)))))</f>
        <v> </v>
      </c>
      <c r="J5420" s="26" t="str">
        <f>IF(OR(E5420="",E5420="!!!",F5420="NEW"),"",COUNTBLANK(OFFSET(A$1,,,SUMPRODUCT(MAX(ROW(E$2:E5420)*(E5420=E$2:E5420)))))-COUNTBLANK(OFFSET(A$1,,,SUMPRODUCT(MAX(ROW(E$1:E5419)*(E2=E$1:E5419))))))</f>
        <v> </v>
      </c>
      <c r="K5420" s="26" t="str">
        <f>IF(OR(E5420="",E5420="!!!",F5420="NEW"),"",INDEX(J$1:J5419,SUMPRODUCT(MAX(ROW(E$1:E5419)*(E5420=E$1:E5419)))))</f>
        <v> </v>
      </c>
      <c r="L5420" s="27"/>
    </row>
    <row r="5421" spans="1:12">
      <c r="A5421" s="20" t="s">
        <v>1185</v>
      </c>
      <c r="E5421" s="22">
        <f>IF(D5421="?OLD","!!!","")</f>
        <v/>
      </c>
      <c r="F5421" s="23" t="str">
        <f>IF(OR(E5421="",E5421="!!!"),"",IF(NOT(ISNA(VLOOKUP(E5421,E$1:E5420,1,FALSE()))),"OLD",IF(AND(E5421&lt;&gt;"",E5421&lt;&gt;"!!!"),"NEW","")))</f>
        <v> </v>
      </c>
      <c r="G5421" s="24" t="str">
        <f>IF(OR(E5421="",E5421="!!!"),"",IF(OR(J5421=0,AND(J5421=1,K5421=1),AND(J5421=1,I5421="SBJ"),AND(J5421=1,I5421=0)),"?IN_FOCUS",IF(J5421&lt;=2,"?ACTIVATED",IF(J5421&lt;&gt;"","?FAMILIAR",IF(F5421="NEW",IF(ISNA(VLOOKUP(E5421,#REF!,1,FALSE())),"?TYPE_IDENTIFIABLE","?REFERENTIAL"),"_")))))</f>
        <v> </v>
      </c>
      <c r="H5421" s="25" t="str">
        <f>IF(J5421&lt;&gt;1,"",IF(I5421="SBJ","CB","?"))</f>
        <v> </v>
      </c>
      <c r="I5421" s="26" t="str">
        <f>IF(OR(E5421="",E5421="!!!",F5421="NEW"),"",INDEX(B5420:B$2,-1+SUMPRODUCT(MAX(ROW(E5420:E$2)*(E5421=E5420:E$2)))))</f>
        <v> </v>
      </c>
      <c r="J5421" s="26" t="str">
        <f>IF(OR(E5421="",E5421="!!!",F5421="NEW"),"",COUNTBLANK(OFFSET(A$1,,,SUMPRODUCT(MAX(ROW(E$2:E5421)*(E5421=E$2:E5421)))))-COUNTBLANK(OFFSET(A$1,,,SUMPRODUCT(MAX(ROW(E$1:E5420)*(E2=E$1:E5420))))))</f>
        <v> </v>
      </c>
      <c r="K5421" s="26" t="str">
        <f>IF(OR(E5421="",E5421="!!!",F5421="NEW"),"",INDEX(J$1:J5420,SUMPRODUCT(MAX(ROW(E$1:E5420)*(E5421=E$1:E5420)))))</f>
        <v> </v>
      </c>
      <c r="L5421" s="27"/>
    </row>
    <row r="5422" spans="1:12">
      <c r="A5422" s="20" t="s">
        <v>1359</v>
      </c>
      <c r="E5422" s="22">
        <f>IF(D5422="?OLD","!!!","")</f>
        <v/>
      </c>
      <c r="F5422" s="23" t="str">
        <f>IF(OR(E5422="",E5422="!!!"),"",IF(NOT(ISNA(VLOOKUP(E5422,E$1:E5421,1,FALSE()))),"OLD",IF(AND(E5422&lt;&gt;"",E5422&lt;&gt;"!!!"),"NEW","")))</f>
        <v> </v>
      </c>
      <c r="G5422" s="24" t="str">
        <f>IF(OR(E5422="",E5422="!!!"),"",IF(OR(J5422=0,AND(J5422=1,K5422=1),AND(J5422=1,I5422="SBJ"),AND(J5422=1,I5422=0)),"?IN_FOCUS",IF(J5422&lt;=2,"?ACTIVATED",IF(J5422&lt;&gt;"","?FAMILIAR",IF(F5422="NEW",IF(ISNA(VLOOKUP(E5422,#REF!,1,FALSE())),"?TYPE_IDENTIFIABLE","?REFERENTIAL"),"_")))))</f>
        <v> </v>
      </c>
      <c r="H5422" s="25" t="str">
        <f>IF(J5422&lt;&gt;1,"",IF(I5422="SBJ","CB","?"))</f>
        <v> </v>
      </c>
      <c r="I5422" s="26" t="str">
        <f>IF(OR(E5422="",E5422="!!!",F5422="NEW"),"",INDEX(B5421:B$2,-1+SUMPRODUCT(MAX(ROW(E5421:E$2)*(E5422=E5421:E$2)))))</f>
        <v> </v>
      </c>
      <c r="J5422" s="26" t="str">
        <f>IF(OR(E5422="",E5422="!!!",F5422="NEW"),"",COUNTBLANK(OFFSET(A$1,,,SUMPRODUCT(MAX(ROW(E$2:E5422)*(E5422=E$2:E5422)))))-COUNTBLANK(OFFSET(A$1,,,SUMPRODUCT(MAX(ROW(E$1:E5421)*(E2=E$1:E5421))))))</f>
        <v> </v>
      </c>
      <c r="K5422" s="26" t="str">
        <f>IF(OR(E5422="",E5422="!!!",F5422="NEW"),"",INDEX(J$1:J5421,SUMPRODUCT(MAX(ROW(E$1:E5421)*(E5422=E$1:E5421)))))</f>
        <v> </v>
      </c>
      <c r="L5422" s="27"/>
    </row>
    <row r="5423" spans="1:12">
      <c r="A5423" s="20" t="s">
        <v>1894</v>
      </c>
      <c r="B5423" s="21" t="s">
        <v>1304</v>
      </c>
      <c r="C5423" s="21" t="s">
        <v>1254</v>
      </c>
      <c r="E5423" s="22">
        <f>IF(D5423="?OLD","!!!","")</f>
        <v/>
      </c>
      <c r="F5423" s="23" t="str">
        <f>IF(OR(E5423="",E5423="!!!"),"",IF(NOT(ISNA(VLOOKUP(E5423,E$1:E5422,1,FALSE()))),"OLD",IF(AND(E5423&lt;&gt;"",E5423&lt;&gt;"!!!"),"NEW","")))</f>
        <v> </v>
      </c>
      <c r="G5423" s="24" t="str">
        <f>IF(OR(E5423="",E5423="!!!"),"",IF(OR(J5423=0,AND(J5423=1,K5423=1),AND(J5423=1,I5423="SBJ"),AND(J5423=1,I5423=0)),"?IN_FOCUS",IF(J5423&lt;=2,"?ACTIVATED",IF(J5423&lt;&gt;"","?FAMILIAR",IF(F5423="NEW",IF(ISNA(VLOOKUP(E5423,#REF!,1,FALSE())),"?TYPE_IDENTIFIABLE","?REFERENTIAL"),"_")))))</f>
        <v> </v>
      </c>
      <c r="H5423" s="25" t="str">
        <f>IF(J5423&lt;&gt;1,"",IF(I5423="SBJ","CB","?"))</f>
        <v> </v>
      </c>
      <c r="I5423" s="26" t="str">
        <f>IF(OR(E5423="",E5423="!!!",F5423="NEW"),"",INDEX(B5422:B$2,-1+SUMPRODUCT(MAX(ROW(E5422:E$2)*(E5423=E5422:E$2)))))</f>
        <v> </v>
      </c>
      <c r="J5423" s="26" t="str">
        <f>IF(OR(E5423="",E5423="!!!",F5423="NEW"),"",COUNTBLANK(OFFSET(A$1,,,SUMPRODUCT(MAX(ROW(E$2:E5423)*(E5423=E$2:E5423)))))-COUNTBLANK(OFFSET(A$1,,,SUMPRODUCT(MAX(ROW(E$1:E5422)*(E2=E$1:E5422))))))</f>
        <v> </v>
      </c>
      <c r="K5423" s="26" t="str">
        <f>IF(OR(E5423="",E5423="!!!",F5423="NEW"),"",INDEX(J$1:J5422,SUMPRODUCT(MAX(ROW(E$1:E5422)*(E5423=E$1:E5422)))))</f>
        <v> </v>
      </c>
      <c r="L5423" s="27"/>
    </row>
    <row r="5424" spans="1:12">
      <c r="A5424" s="20" t="s">
        <v>1198</v>
      </c>
      <c r="E5424" s="22">
        <f>IF(D5424="?OLD","!!!","")</f>
        <v/>
      </c>
      <c r="F5424" s="23" t="str">
        <f>IF(OR(E5424="",E5424="!!!"),"",IF(NOT(ISNA(VLOOKUP(E5424,E$1:E5423,1,FALSE()))),"OLD",IF(AND(E5424&lt;&gt;"",E5424&lt;&gt;"!!!"),"NEW","")))</f>
        <v> </v>
      </c>
      <c r="G5424" s="24" t="str">
        <f>IF(OR(E5424="",E5424="!!!"),"",IF(OR(J5424=0,AND(J5424=1,K5424=1),AND(J5424=1,I5424="SBJ"),AND(J5424=1,I5424=0)),"?IN_FOCUS",IF(J5424&lt;=2,"?ACTIVATED",IF(J5424&lt;&gt;"","?FAMILIAR",IF(F5424="NEW",IF(ISNA(VLOOKUP(E5424,#REF!,1,FALSE())),"?TYPE_IDENTIFIABLE","?REFERENTIAL"),"_")))))</f>
        <v> </v>
      </c>
      <c r="H5424" s="25" t="str">
        <f>IF(J5424&lt;&gt;1,"",IF(I5424="SBJ","CB","?"))</f>
        <v> </v>
      </c>
      <c r="I5424" s="26" t="str">
        <f>IF(OR(E5424="",E5424="!!!",F5424="NEW"),"",INDEX(B5423:B$2,-1+SUMPRODUCT(MAX(ROW(E5423:E$2)*(E5424=E5423:E$2)))))</f>
        <v> </v>
      </c>
      <c r="J5424" s="26" t="str">
        <f>IF(OR(E5424="",E5424="!!!",F5424="NEW"),"",COUNTBLANK(OFFSET(A$1,,,SUMPRODUCT(MAX(ROW(E$2:E5424)*(E5424=E$2:E5424)))))-COUNTBLANK(OFFSET(A$1,,,SUMPRODUCT(MAX(ROW(E$1:E5423)*(E2=E$1:E5423))))))</f>
        <v> </v>
      </c>
      <c r="K5424" s="26" t="str">
        <f>IF(OR(E5424="",E5424="!!!",F5424="NEW"),"",INDEX(J$1:J5423,SUMPRODUCT(MAX(ROW(E$1:E5423)*(E5424=E$1:E5423)))))</f>
        <v> </v>
      </c>
      <c r="L5424" s="27"/>
    </row>
    <row r="5425" spans="1:12">
      <c r="A5425" s="20" t="s">
        <v>2702</v>
      </c>
      <c r="B5425" s="21" t="s">
        <v>1278</v>
      </c>
      <c r="C5425" s="21" t="s">
        <v>1188</v>
      </c>
      <c r="D5425" s="21" t="s">
        <v>1180</v>
      </c>
      <c r="E5425" s="22">
        <f>IF(D5425="?OLD","!!!","")</f>
        <v/>
      </c>
      <c r="F5425" s="23" t="str">
        <f>IF(OR(E5425="",E5425="!!!"),"",IF(NOT(ISNA(VLOOKUP(E5425,E$1:E5424,1,FALSE()))),"OLD",IF(AND(E5425&lt;&gt;"",E5425&lt;&gt;"!!!"),"NEW","")))</f>
        <v> </v>
      </c>
      <c r="G5425" s="24" t="str">
        <f>IF(OR(E5425="",E5425="!!!"),"",IF(OR(J5425=0,AND(J5425=1,K5425=1),AND(J5425=1,I5425="SBJ"),AND(J5425=1,I5425=0)),"?IN_FOCUS",IF(J5425&lt;=2,"?ACTIVATED",IF(J5425&lt;&gt;"","?FAMILIAR",IF(F5425="NEW",IF(ISNA(VLOOKUP(E5425,#REF!,1,FALSE())),"?TYPE_IDENTIFIABLE","?REFERENTIAL"),"_")))))</f>
        <v> </v>
      </c>
      <c r="H5425" s="25" t="str">
        <f>IF(J5425&lt;&gt;1,"",IF(I5425="SBJ","CB","?"))</f>
        <v> </v>
      </c>
      <c r="I5425" s="26" t="str">
        <f>IF(OR(E5425="",E5425="!!!",F5425="NEW"),"",INDEX(B5424:B$2,-1+SUMPRODUCT(MAX(ROW(E5424:E$2)*(E5425=E5424:E$2)))))</f>
        <v> </v>
      </c>
      <c r="J5425" s="26" t="str">
        <f>IF(OR(E5425="",E5425="!!!",F5425="NEW"),"",COUNTBLANK(OFFSET(A$1,,,SUMPRODUCT(MAX(ROW(E$2:E5425)*(E5425=E$2:E5425)))))-COUNTBLANK(OFFSET(A$1,,,SUMPRODUCT(MAX(ROW(E$1:E5424)*(E2=E$1:E5424))))))</f>
        <v> </v>
      </c>
      <c r="K5425" s="26" t="str">
        <f>IF(OR(E5425="",E5425="!!!",F5425="NEW"),"",INDEX(J$1:J5424,SUMPRODUCT(MAX(ROW(E$1:E5424)*(E5425=E$1:E5424)))))</f>
        <v> </v>
      </c>
      <c r="L5425" s="27"/>
    </row>
    <row r="5426" spans="1:12">
      <c r="A5426" s="20" t="s">
        <v>1189</v>
      </c>
      <c r="E5426" s="22">
        <f>IF(D5426="?OLD","!!!","")</f>
        <v/>
      </c>
      <c r="F5426" s="23" t="str">
        <f>IF(OR(E5426="",E5426="!!!"),"",IF(NOT(ISNA(VLOOKUP(E5426,E$1:E5425,1,FALSE()))),"OLD",IF(AND(E5426&lt;&gt;"",E5426&lt;&gt;"!!!"),"NEW","")))</f>
        <v> </v>
      </c>
      <c r="G5426" s="24" t="str">
        <f>IF(OR(E5426="",E5426="!!!"),"",IF(OR(J5426=0,AND(J5426=1,K5426=1),AND(J5426=1,I5426="SBJ"),AND(J5426=1,I5426=0)),"?IN_FOCUS",IF(J5426&lt;=2,"?ACTIVATED",IF(J5426&lt;&gt;"","?FAMILIAR",IF(F5426="NEW",IF(ISNA(VLOOKUP(E5426,#REF!,1,FALSE())),"?TYPE_IDENTIFIABLE","?REFERENTIAL"),"_")))))</f>
        <v> </v>
      </c>
      <c r="H5426" s="25" t="str">
        <f>IF(J5426&lt;&gt;1,"",IF(I5426="SBJ","CB","?"))</f>
        <v> </v>
      </c>
      <c r="I5426" s="26" t="str">
        <f>IF(OR(E5426="",E5426="!!!",F5426="NEW"),"",INDEX(B5425:B$2,-1+SUMPRODUCT(MAX(ROW(E5425:E$2)*(E5426=E5425:E$2)))))</f>
        <v> </v>
      </c>
      <c r="J5426" s="26" t="str">
        <f>IF(OR(E5426="",E5426="!!!",F5426="NEW"),"",COUNTBLANK(OFFSET(A$1,,,SUMPRODUCT(MAX(ROW(E$2:E5426)*(E5426=E$2:E5426)))))-COUNTBLANK(OFFSET(A$1,,,SUMPRODUCT(MAX(ROW(E$1:E5425)*(E2=E$1:E5425))))))</f>
        <v> </v>
      </c>
      <c r="K5426" s="26" t="str">
        <f>IF(OR(E5426="",E5426="!!!",F5426="NEW"),"",INDEX(J$1:J5425,SUMPRODUCT(MAX(ROW(E$1:E5425)*(E5426=E$1:E5425)))))</f>
        <v> </v>
      </c>
      <c r="L5426" s="27"/>
    </row>
    <row r="5427" spans="1:12">
      <c r="A5427" s="20" t="s">
        <v>1190</v>
      </c>
      <c r="B5427" s="21" t="s">
        <v>1291</v>
      </c>
      <c r="C5427" s="21" t="s">
        <v>1188</v>
      </c>
      <c r="D5427" s="21" t="s">
        <v>1180</v>
      </c>
      <c r="E5427" s="22">
        <f>IF(D5427="?OLD","!!!","")</f>
        <v/>
      </c>
      <c r="F5427" s="23" t="str">
        <f>IF(OR(E5427="",E5427="!!!"),"",IF(NOT(ISNA(VLOOKUP(E5427,E$1:E5426,1,FALSE()))),"OLD",IF(AND(E5427&lt;&gt;"",E5427&lt;&gt;"!!!"),"NEW","")))</f>
        <v> </v>
      </c>
      <c r="G5427" s="24" t="str">
        <f>IF(OR(E5427="",E5427="!!!"),"",IF(OR(J5427=0,AND(J5427=1,K5427=1),AND(J5427=1,I5427="SBJ"),AND(J5427=1,I5427=0)),"?IN_FOCUS",IF(J5427&lt;=2,"?ACTIVATED",IF(J5427&lt;&gt;"","?FAMILIAR",IF(F5427="NEW",IF(ISNA(VLOOKUP(E5427,#REF!,1,FALSE())),"?TYPE_IDENTIFIABLE","?REFERENTIAL"),"_")))))</f>
        <v> </v>
      </c>
      <c r="H5427" s="25" t="str">
        <f>IF(J5427&lt;&gt;1,"",IF(I5427="SBJ","CB","?"))</f>
        <v> </v>
      </c>
      <c r="I5427" s="26" t="str">
        <f>IF(OR(E5427="",E5427="!!!",F5427="NEW"),"",INDEX(B5426:B$2,-1+SUMPRODUCT(MAX(ROW(E5426:E$2)*(E5427=E5426:E$2)))))</f>
        <v> </v>
      </c>
      <c r="J5427" s="26" t="str">
        <f>IF(OR(E5427="",E5427="!!!",F5427="NEW"),"",COUNTBLANK(OFFSET(A$1,,,SUMPRODUCT(MAX(ROW(E$2:E5427)*(E5427=E$2:E5427)))))-COUNTBLANK(OFFSET(A$1,,,SUMPRODUCT(MAX(ROW(E$1:E5426)*(E2=E$1:E5426))))))</f>
        <v> </v>
      </c>
      <c r="K5427" s="26" t="str">
        <f>IF(OR(E5427="",E5427="!!!",F5427="NEW"),"",INDEX(J$1:J5426,SUMPRODUCT(MAX(ROW(E$1:E5426)*(E5427=E$1:E5426)))))</f>
        <v> </v>
      </c>
      <c r="L5427" s="27"/>
    </row>
    <row r="5428" spans="1:12">
      <c r="A5428" s="20" t="s">
        <v>1260</v>
      </c>
      <c r="E5428" s="22">
        <f>IF(D5428="?OLD","!!!","")</f>
        <v/>
      </c>
      <c r="F5428" s="23" t="str">
        <f>IF(OR(E5428="",E5428="!!!"),"",IF(NOT(ISNA(VLOOKUP(E5428,E$1:E5427,1,FALSE()))),"OLD",IF(AND(E5428&lt;&gt;"",E5428&lt;&gt;"!!!"),"NEW","")))</f>
        <v> </v>
      </c>
      <c r="G5428" s="24" t="str">
        <f>IF(OR(E5428="",E5428="!!!"),"",IF(OR(J5428=0,AND(J5428=1,K5428=1),AND(J5428=1,I5428="SBJ"),AND(J5428=1,I5428=0)),"?IN_FOCUS",IF(J5428&lt;=2,"?ACTIVATED",IF(J5428&lt;&gt;"","?FAMILIAR",IF(F5428="NEW",IF(ISNA(VLOOKUP(E5428,#REF!,1,FALSE())),"?TYPE_IDENTIFIABLE","?REFERENTIAL"),"_")))))</f>
        <v> </v>
      </c>
      <c r="H5428" s="25" t="str">
        <f>IF(J5428&lt;&gt;1,"",IF(I5428="SBJ","CB","?"))</f>
        <v> </v>
      </c>
      <c r="I5428" s="26" t="str">
        <f>IF(OR(E5428="",E5428="!!!",F5428="NEW"),"",INDEX(B5427:B$2,-1+SUMPRODUCT(MAX(ROW(E5427:E$2)*(E5428=E5427:E$2)))))</f>
        <v> </v>
      </c>
      <c r="J5428" s="26" t="str">
        <f>IF(OR(E5428="",E5428="!!!",F5428="NEW"),"",COUNTBLANK(OFFSET(A$1,,,SUMPRODUCT(MAX(ROW(E$2:E5428)*(E5428=E$2:E5428)))))-COUNTBLANK(OFFSET(A$1,,,SUMPRODUCT(MAX(ROW(E$1:E5427)*(E2=E$1:E5427))))))</f>
        <v> </v>
      </c>
      <c r="K5428" s="26" t="str">
        <f>IF(OR(E5428="",E5428="!!!",F5428="NEW"),"",INDEX(J$1:J5427,SUMPRODUCT(MAX(ROW(E$1:E5427)*(E5428=E$1:E5427)))))</f>
        <v> </v>
      </c>
      <c r="L5428" s="27"/>
    </row>
    <row r="5429" spans="1:12">
      <c r="A5429" s="20" t="s">
        <v>1190</v>
      </c>
      <c r="B5429" s="21" t="s">
        <v>1340</v>
      </c>
      <c r="C5429" s="21" t="s">
        <v>1188</v>
      </c>
      <c r="D5429" s="21" t="s">
        <v>1180</v>
      </c>
      <c r="E5429" s="22">
        <f>IF(D5429="?OLD","!!!","")</f>
        <v/>
      </c>
      <c r="F5429" s="23" t="str">
        <f>IF(OR(E5429="",E5429="!!!"),"",IF(NOT(ISNA(VLOOKUP(E5429,E$1:E5428,1,FALSE()))),"OLD",IF(AND(E5429&lt;&gt;"",E5429&lt;&gt;"!!!"),"NEW","")))</f>
        <v> </v>
      </c>
      <c r="G5429" s="24" t="str">
        <f>IF(OR(E5429="",E5429="!!!"),"",IF(OR(J5429=0,AND(J5429=1,K5429=1),AND(J5429=1,I5429="SBJ"),AND(J5429=1,I5429=0)),"?IN_FOCUS",IF(J5429&lt;=2,"?ACTIVATED",IF(J5429&lt;&gt;"","?FAMILIAR",IF(F5429="NEW",IF(ISNA(VLOOKUP(E5429,#REF!,1,FALSE())),"?TYPE_IDENTIFIABLE","?REFERENTIAL"),"_")))))</f>
        <v> </v>
      </c>
      <c r="H5429" s="25" t="str">
        <f>IF(J5429&lt;&gt;1,"",IF(I5429="SBJ","CB","?"))</f>
        <v> </v>
      </c>
      <c r="I5429" s="26" t="str">
        <f>IF(OR(E5429="",E5429="!!!",F5429="NEW"),"",INDEX(B5428:B$2,-1+SUMPRODUCT(MAX(ROW(E5428:E$2)*(E5429=E5428:E$2)))))</f>
        <v> </v>
      </c>
      <c r="J5429" s="26" t="str">
        <f>IF(OR(E5429="",E5429="!!!",F5429="NEW"),"",COUNTBLANK(OFFSET(A$1,,,SUMPRODUCT(MAX(ROW(E$2:E5429)*(E5429=E$2:E5429)))))-COUNTBLANK(OFFSET(A$1,,,SUMPRODUCT(MAX(ROW(E$1:E5428)*(E2=E$1:E5428))))))</f>
        <v> </v>
      </c>
      <c r="K5429" s="26" t="str">
        <f>IF(OR(E5429="",E5429="!!!",F5429="NEW"),"",INDEX(J$1:J5428,SUMPRODUCT(MAX(ROW(E$1:E5428)*(E5429=E$1:E5428)))))</f>
        <v> </v>
      </c>
      <c r="L5429" s="27"/>
    </row>
    <row r="5430" spans="1:12">
      <c r="A5430" s="20" t="s">
        <v>1375</v>
      </c>
      <c r="E5430" s="22">
        <f>IF(D5430="?OLD","!!!","")</f>
        <v/>
      </c>
      <c r="F5430" s="23" t="str">
        <f>IF(OR(E5430="",E5430="!!!"),"",IF(NOT(ISNA(VLOOKUP(E5430,E$1:E5429,1,FALSE()))),"OLD",IF(AND(E5430&lt;&gt;"",E5430&lt;&gt;"!!!"),"NEW","")))</f>
        <v> </v>
      </c>
      <c r="G5430" s="24" t="str">
        <f>IF(OR(E5430="",E5430="!!!"),"",IF(OR(J5430=0,AND(J5430=1,K5430=1),AND(J5430=1,I5430="SBJ"),AND(J5430=1,I5430=0)),"?IN_FOCUS",IF(J5430&lt;=2,"?ACTIVATED",IF(J5430&lt;&gt;"","?FAMILIAR",IF(F5430="NEW",IF(ISNA(VLOOKUP(E5430,#REF!,1,FALSE())),"?TYPE_IDENTIFIABLE","?REFERENTIAL"),"_")))))</f>
        <v> </v>
      </c>
      <c r="H5430" s="25" t="str">
        <f>IF(J5430&lt;&gt;1,"",IF(I5430="SBJ","CB","?"))</f>
        <v> </v>
      </c>
      <c r="I5430" s="26" t="str">
        <f>IF(OR(E5430="",E5430="!!!",F5430="NEW"),"",INDEX(B5429:B$2,-1+SUMPRODUCT(MAX(ROW(E5429:E$2)*(E5430=E5429:E$2)))))</f>
        <v> </v>
      </c>
      <c r="J5430" s="26" t="str">
        <f>IF(OR(E5430="",E5430="!!!",F5430="NEW"),"",COUNTBLANK(OFFSET(A$1,,,SUMPRODUCT(MAX(ROW(E$2:E5430)*(E5430=E$2:E5430)))))-COUNTBLANK(OFFSET(A$1,,,SUMPRODUCT(MAX(ROW(E$1:E5429)*(E2=E$1:E5429))))))</f>
        <v> </v>
      </c>
      <c r="K5430" s="26" t="str">
        <f>IF(OR(E5430="",E5430="!!!",F5430="NEW"),"",INDEX(J$1:J5429,SUMPRODUCT(MAX(ROW(E$1:E5429)*(E5430=E$1:E5429)))))</f>
        <v> </v>
      </c>
      <c r="L5430" s="27"/>
    </row>
    <row r="5431" spans="1:12">
      <c r="A5431" s="20" t="s">
        <v>2703</v>
      </c>
      <c r="E5431" s="22">
        <f>IF(D5431="?OLD","!!!","")</f>
        <v/>
      </c>
      <c r="F5431" s="23" t="str">
        <f>IF(OR(E5431="",E5431="!!!"),"",IF(NOT(ISNA(VLOOKUP(E5431,E$1:E5430,1,FALSE()))),"OLD",IF(AND(E5431&lt;&gt;"",E5431&lt;&gt;"!!!"),"NEW","")))</f>
        <v> </v>
      </c>
      <c r="G5431" s="24" t="str">
        <f>IF(OR(E5431="",E5431="!!!"),"",IF(OR(J5431=0,AND(J5431=1,K5431=1),AND(J5431=1,I5431="SBJ"),AND(J5431=1,I5431=0)),"?IN_FOCUS",IF(J5431&lt;=2,"?ACTIVATED",IF(J5431&lt;&gt;"","?FAMILIAR",IF(F5431="NEW",IF(ISNA(VLOOKUP(E5431,#REF!,1,FALSE())),"?TYPE_IDENTIFIABLE","?REFERENTIAL"),"_")))))</f>
        <v> </v>
      </c>
      <c r="H5431" s="25" t="str">
        <f>IF(J5431&lt;&gt;1,"",IF(I5431="SBJ","CB","?"))</f>
        <v> </v>
      </c>
      <c r="I5431" s="26" t="str">
        <f>IF(OR(E5431="",E5431="!!!",F5431="NEW"),"",INDEX(B5430:B$2,-1+SUMPRODUCT(MAX(ROW(E5430:E$2)*(E5431=E5430:E$2)))))</f>
        <v> </v>
      </c>
      <c r="J5431" s="26" t="str">
        <f>IF(OR(E5431="",E5431="!!!",F5431="NEW"),"",COUNTBLANK(OFFSET(A$1,,,SUMPRODUCT(MAX(ROW(E$2:E5431)*(E5431=E$2:E5431)))))-COUNTBLANK(OFFSET(A$1,,,SUMPRODUCT(MAX(ROW(E$1:E5430)*(E2=E$1:E5430))))))</f>
        <v> </v>
      </c>
      <c r="K5431" s="26" t="str">
        <f>IF(OR(E5431="",E5431="!!!",F5431="NEW"),"",INDEX(J$1:J5430,SUMPRODUCT(MAX(ROW(E$1:E5430)*(E5431=E$1:E5430)))))</f>
        <v> </v>
      </c>
      <c r="L5431" s="27"/>
    </row>
    <row r="5432" spans="1:12">
      <c r="A5432" s="20" t="s">
        <v>2704</v>
      </c>
      <c r="E5432" s="22">
        <f>IF(D5432="?OLD","!!!","")</f>
        <v/>
      </c>
      <c r="F5432" s="23" t="str">
        <f>IF(OR(E5432="",E5432="!!!"),"",IF(NOT(ISNA(VLOOKUP(E5432,E$1:E5431,1,FALSE()))),"OLD",IF(AND(E5432&lt;&gt;"",E5432&lt;&gt;"!!!"),"NEW","")))</f>
        <v> </v>
      </c>
      <c r="G5432" s="24" t="str">
        <f>IF(OR(E5432="",E5432="!!!"),"",IF(OR(J5432=0,AND(J5432=1,K5432=1),AND(J5432=1,I5432="SBJ"),AND(J5432=1,I5432=0)),"?IN_FOCUS",IF(J5432&lt;=2,"?ACTIVATED",IF(J5432&lt;&gt;"","?FAMILIAR",IF(F5432="NEW",IF(ISNA(VLOOKUP(E5432,#REF!,1,FALSE())),"?TYPE_IDENTIFIABLE","?REFERENTIAL"),"_")))))</f>
        <v> </v>
      </c>
      <c r="H5432" s="25" t="str">
        <f>IF(J5432&lt;&gt;1,"",IF(I5432="SBJ","CB","?"))</f>
        <v> </v>
      </c>
      <c r="I5432" s="26" t="str">
        <f>IF(OR(E5432="",E5432="!!!",F5432="NEW"),"",INDEX(B5431:B$2,-1+SUMPRODUCT(MAX(ROW(E5431:E$2)*(E5432=E5431:E$2)))))</f>
        <v> </v>
      </c>
      <c r="J5432" s="26" t="str">
        <f>IF(OR(E5432="",E5432="!!!",F5432="NEW"),"",COUNTBLANK(OFFSET(A$1,,,SUMPRODUCT(MAX(ROW(E$2:E5432)*(E5432=E$2:E5432)))))-COUNTBLANK(OFFSET(A$1,,,SUMPRODUCT(MAX(ROW(E$1:E5431)*(E2=E$1:E5431))))))</f>
        <v> </v>
      </c>
      <c r="K5432" s="26" t="str">
        <f>IF(OR(E5432="",E5432="!!!",F5432="NEW"),"",INDEX(J$1:J5431,SUMPRODUCT(MAX(ROW(E$1:E5431)*(E5432=E$1:E5431)))))</f>
        <v> </v>
      </c>
      <c r="L5432" s="27"/>
    </row>
    <row r="5433" spans="1:12">
      <c r="A5433" s="20" t="s">
        <v>1257</v>
      </c>
      <c r="E5433" s="22">
        <f>IF(D5433="?OLD","!!!","")</f>
        <v/>
      </c>
      <c r="F5433" s="23" t="str">
        <f>IF(OR(E5433="",E5433="!!!"),"",IF(NOT(ISNA(VLOOKUP(E5433,E$1:E5432,1,FALSE()))),"OLD",IF(AND(E5433&lt;&gt;"",E5433&lt;&gt;"!!!"),"NEW","")))</f>
        <v> </v>
      </c>
      <c r="G5433" s="24" t="str">
        <f>IF(OR(E5433="",E5433="!!!"),"",IF(OR(J5433=0,AND(J5433=1,K5433=1),AND(J5433=1,I5433="SBJ"),AND(J5433=1,I5433=0)),"?IN_FOCUS",IF(J5433&lt;=2,"?ACTIVATED",IF(J5433&lt;&gt;"","?FAMILIAR",IF(F5433="NEW",IF(ISNA(VLOOKUP(E5433,#REF!,1,FALSE())),"?TYPE_IDENTIFIABLE","?REFERENTIAL"),"_")))))</f>
        <v> </v>
      </c>
      <c r="H5433" s="25" t="str">
        <f>IF(J5433&lt;&gt;1,"",IF(I5433="SBJ","CB","?"))</f>
        <v> </v>
      </c>
      <c r="I5433" s="26" t="str">
        <f>IF(OR(E5433="",E5433="!!!",F5433="NEW"),"",INDEX(B5432:B$2,-1+SUMPRODUCT(MAX(ROW(E5432:E$2)*(E5433=E5432:E$2)))))</f>
        <v> </v>
      </c>
      <c r="J5433" s="26" t="str">
        <f>IF(OR(E5433="",E5433="!!!",F5433="NEW"),"",COUNTBLANK(OFFSET(A$1,,,SUMPRODUCT(MAX(ROW(E$2:E5433)*(E5433=E$2:E5433)))))-COUNTBLANK(OFFSET(A$1,,,SUMPRODUCT(MAX(ROW(E$1:E5432)*(E2=E$1:E5432))))))</f>
        <v> </v>
      </c>
      <c r="K5433" s="26" t="str">
        <f>IF(OR(E5433="",E5433="!!!",F5433="NEW"),"",INDEX(J$1:J5432,SUMPRODUCT(MAX(ROW(E$1:E5432)*(E5433=E$1:E5432)))))</f>
        <v> </v>
      </c>
      <c r="L5433" s="27"/>
    </row>
    <row r="5434" spans="1:12">
      <c r="A5434" s="20" t="s">
        <v>2385</v>
      </c>
      <c r="E5434" s="22">
        <f>IF(D5434="?OLD","!!!","")</f>
        <v/>
      </c>
      <c r="F5434" s="23" t="str">
        <f>IF(OR(E5434="",E5434="!!!"),"",IF(NOT(ISNA(VLOOKUP(E5434,E$1:E5433,1,FALSE()))),"OLD",IF(AND(E5434&lt;&gt;"",E5434&lt;&gt;"!!!"),"NEW","")))</f>
        <v> </v>
      </c>
      <c r="G5434" s="24" t="str">
        <f>IF(OR(E5434="",E5434="!!!"),"",IF(OR(J5434=0,AND(J5434=1,K5434=1),AND(J5434=1,I5434="SBJ"),AND(J5434=1,I5434=0)),"?IN_FOCUS",IF(J5434&lt;=2,"?ACTIVATED",IF(J5434&lt;&gt;"","?FAMILIAR",IF(F5434="NEW",IF(ISNA(VLOOKUP(E5434,#REF!,1,FALSE())),"?TYPE_IDENTIFIABLE","?REFERENTIAL"),"_")))))</f>
        <v> </v>
      </c>
      <c r="H5434" s="25" t="str">
        <f>IF(J5434&lt;&gt;1,"",IF(I5434="SBJ","CB","?"))</f>
        <v> </v>
      </c>
      <c r="I5434" s="26" t="str">
        <f>IF(OR(E5434="",E5434="!!!",F5434="NEW"),"",INDEX(B5433:B$2,-1+SUMPRODUCT(MAX(ROW(E5433:E$2)*(E5434=E5433:E$2)))))</f>
        <v> </v>
      </c>
      <c r="J5434" s="26" t="str">
        <f>IF(OR(E5434="",E5434="!!!",F5434="NEW"),"",COUNTBLANK(OFFSET(A$1,,,SUMPRODUCT(MAX(ROW(E$2:E5434)*(E5434=E$2:E5434)))))-COUNTBLANK(OFFSET(A$1,,,SUMPRODUCT(MAX(ROW(E$1:E5433)*(E2=E$1:E5433))))))</f>
        <v> </v>
      </c>
      <c r="K5434" s="26" t="str">
        <f>IF(OR(E5434="",E5434="!!!",F5434="NEW"),"",INDEX(J$1:J5433,SUMPRODUCT(MAX(ROW(E$1:E5433)*(E5434=E$1:E5433)))))</f>
        <v> </v>
      </c>
      <c r="L5434" s="27"/>
    </row>
    <row r="5435" spans="1:12">
      <c r="A5435" s="20" t="s">
        <v>1487</v>
      </c>
      <c r="E5435" s="22">
        <f>IF(D5435="?OLD","!!!","")</f>
        <v/>
      </c>
      <c r="F5435" s="23" t="str">
        <f>IF(OR(E5435="",E5435="!!!"),"",IF(NOT(ISNA(VLOOKUP(E5435,E$1:E5434,1,FALSE()))),"OLD",IF(AND(E5435&lt;&gt;"",E5435&lt;&gt;"!!!"),"NEW","")))</f>
        <v> </v>
      </c>
      <c r="G5435" s="24" t="str">
        <f>IF(OR(E5435="",E5435="!!!"),"",IF(OR(J5435=0,AND(J5435=1,K5435=1),AND(J5435=1,I5435="SBJ"),AND(J5435=1,I5435=0)),"?IN_FOCUS",IF(J5435&lt;=2,"?ACTIVATED",IF(J5435&lt;&gt;"","?FAMILIAR",IF(F5435="NEW",IF(ISNA(VLOOKUP(E5435,#REF!,1,FALSE())),"?TYPE_IDENTIFIABLE","?REFERENTIAL"),"_")))))</f>
        <v> </v>
      </c>
      <c r="H5435" s="25" t="str">
        <f>IF(J5435&lt;&gt;1,"",IF(I5435="SBJ","CB","?"))</f>
        <v> </v>
      </c>
      <c r="I5435" s="26" t="str">
        <f>IF(OR(E5435="",E5435="!!!",F5435="NEW"),"",INDEX(B5434:B$2,-1+SUMPRODUCT(MAX(ROW(E5434:E$2)*(E5435=E5434:E$2)))))</f>
        <v> </v>
      </c>
      <c r="J5435" s="26" t="str">
        <f>IF(OR(E5435="",E5435="!!!",F5435="NEW"),"",COUNTBLANK(OFFSET(A$1,,,SUMPRODUCT(MAX(ROW(E$2:E5435)*(E5435=E$2:E5435)))))-COUNTBLANK(OFFSET(A$1,,,SUMPRODUCT(MAX(ROW(E$1:E5434)*(E2=E$1:E5434))))))</f>
        <v> </v>
      </c>
      <c r="K5435" s="26" t="str">
        <f>IF(OR(E5435="",E5435="!!!",F5435="NEW"),"",INDEX(J$1:J5434,SUMPRODUCT(MAX(ROW(E$1:E5434)*(E5435=E$1:E5434)))))</f>
        <v> </v>
      </c>
      <c r="L5435" s="27"/>
    </row>
    <row r="5436" spans="1:12">
      <c r="A5436" s="20" t="s">
        <v>2705</v>
      </c>
      <c r="E5436" s="22">
        <f>IF(D5436="?OLD","!!!","")</f>
        <v/>
      </c>
      <c r="F5436" s="23" t="str">
        <f>IF(OR(E5436="",E5436="!!!"),"",IF(NOT(ISNA(VLOOKUP(E5436,E$1:E5435,1,FALSE()))),"OLD",IF(AND(E5436&lt;&gt;"",E5436&lt;&gt;"!!!"),"NEW","")))</f>
        <v> </v>
      </c>
      <c r="G5436" s="24" t="str">
        <f>IF(OR(E5436="",E5436="!!!"),"",IF(OR(J5436=0,AND(J5436=1,K5436=1),AND(J5436=1,I5436="SBJ"),AND(J5436=1,I5436=0)),"?IN_FOCUS",IF(J5436&lt;=2,"?ACTIVATED",IF(J5436&lt;&gt;"","?FAMILIAR",IF(F5436="NEW",IF(ISNA(VLOOKUP(E5436,#REF!,1,FALSE())),"?TYPE_IDENTIFIABLE","?REFERENTIAL"),"_")))))</f>
        <v> </v>
      </c>
      <c r="H5436" s="25" t="str">
        <f>IF(J5436&lt;&gt;1,"",IF(I5436="SBJ","CB","?"))</f>
        <v> </v>
      </c>
      <c r="I5436" s="26" t="str">
        <f>IF(OR(E5436="",E5436="!!!",F5436="NEW"),"",INDEX(B5435:B$2,-1+SUMPRODUCT(MAX(ROW(E5435:E$2)*(E5436=E5435:E$2)))))</f>
        <v> </v>
      </c>
      <c r="J5436" s="26" t="str">
        <f>IF(OR(E5436="",E5436="!!!",F5436="NEW"),"",COUNTBLANK(OFFSET(A$1,,,SUMPRODUCT(MAX(ROW(E$2:E5436)*(E5436=E$2:E5436)))))-COUNTBLANK(OFFSET(A$1,,,SUMPRODUCT(MAX(ROW(E$1:E5435)*(E2=E$1:E5435))))))</f>
        <v> </v>
      </c>
      <c r="K5436" s="26" t="str">
        <f>IF(OR(E5436="",E5436="!!!",F5436="NEW"),"",INDEX(J$1:J5435,SUMPRODUCT(MAX(ROW(E$1:E5435)*(E5436=E$1:E5435)))))</f>
        <v> </v>
      </c>
      <c r="L5436" s="27"/>
    </row>
    <row r="5437" spans="1:12">
      <c r="A5437" s="20" t="s">
        <v>2706</v>
      </c>
      <c r="B5437" s="21" t="s">
        <v>1207</v>
      </c>
      <c r="C5437" s="21" t="s">
        <v>1223</v>
      </c>
      <c r="E5437" s="22">
        <f>IF(D5437="?OLD","!!!","")</f>
        <v/>
      </c>
      <c r="F5437" s="23" t="str">
        <f>IF(OR(E5437="",E5437="!!!"),"",IF(NOT(ISNA(VLOOKUP(E5437,E$1:E5436,1,FALSE()))),"OLD",IF(AND(E5437&lt;&gt;"",E5437&lt;&gt;"!!!"),"NEW","")))</f>
        <v> </v>
      </c>
      <c r="G5437" s="24" t="str">
        <f>IF(OR(E5437="",E5437="!!!"),"",IF(OR(J5437=0,AND(J5437=1,K5437=1),AND(J5437=1,I5437="SBJ"),AND(J5437=1,I5437=0)),"?IN_FOCUS",IF(J5437&lt;=2,"?ACTIVATED",IF(J5437&lt;&gt;"","?FAMILIAR",IF(F5437="NEW",IF(ISNA(VLOOKUP(E5437,#REF!,1,FALSE())),"?TYPE_IDENTIFIABLE","?REFERENTIAL"),"_")))))</f>
        <v> </v>
      </c>
      <c r="H5437" s="25" t="str">
        <f>IF(J5437&lt;&gt;1,"",IF(I5437="SBJ","CB","?"))</f>
        <v> </v>
      </c>
      <c r="I5437" s="26" t="str">
        <f>IF(OR(E5437="",E5437="!!!",F5437="NEW"),"",INDEX(B5436:B$2,-1+SUMPRODUCT(MAX(ROW(E5436:E$2)*(E5437=E5436:E$2)))))</f>
        <v> </v>
      </c>
      <c r="J5437" s="26" t="str">
        <f>IF(OR(E5437="",E5437="!!!",F5437="NEW"),"",COUNTBLANK(OFFSET(A$1,,,SUMPRODUCT(MAX(ROW(E$2:E5437)*(E5437=E$2:E5437)))))-COUNTBLANK(OFFSET(A$1,,,SUMPRODUCT(MAX(ROW(E$1:E5436)*(E2=E$1:E5436))))))</f>
        <v> </v>
      </c>
      <c r="K5437" s="26" t="str">
        <f>IF(OR(E5437="",E5437="!!!",F5437="NEW"),"",INDEX(J$1:J5436,SUMPRODUCT(MAX(ROW(E$1:E5436)*(E5437=E$1:E5436)))))</f>
        <v> </v>
      </c>
      <c r="L5437" s="27"/>
    </row>
    <row r="5438" spans="1:12">
      <c r="A5438" s="20" t="s">
        <v>818</v>
      </c>
      <c r="E5438" s="22">
        <f>IF(D5438="?OLD","!!!","")</f>
        <v/>
      </c>
      <c r="F5438" s="23" t="str">
        <f>IF(OR(E5438="",E5438="!!!"),"",IF(NOT(ISNA(VLOOKUP(E5438,E$1:E5437,1,FALSE()))),"OLD",IF(AND(E5438&lt;&gt;"",E5438&lt;&gt;"!!!"),"NEW","")))</f>
        <v> </v>
      </c>
      <c r="G5438" s="24" t="str">
        <f>IF(OR(E5438="",E5438="!!!"),"",IF(OR(J5438=0,AND(J5438=1,K5438=1),AND(J5438=1,I5438="SBJ"),AND(J5438=1,I5438=0)),"?IN_FOCUS",IF(J5438&lt;=2,"?ACTIVATED",IF(J5438&lt;&gt;"","?FAMILIAR",IF(F5438="NEW",IF(ISNA(VLOOKUP(E5438,#REF!,1,FALSE())),"?TYPE_IDENTIFIABLE","?REFERENTIAL"),"_")))))</f>
        <v> </v>
      </c>
      <c r="H5438" s="25" t="str">
        <f>IF(J5438&lt;&gt;1,"",IF(I5438="SBJ","CB","?"))</f>
        <v> </v>
      </c>
      <c r="I5438" s="26" t="str">
        <f>IF(OR(E5438="",E5438="!!!",F5438="NEW"),"",INDEX(B5437:B$2,-1+SUMPRODUCT(MAX(ROW(E5437:E$2)*(E5438=E5437:E$2)))))</f>
        <v> </v>
      </c>
      <c r="J5438" s="26" t="str">
        <f>IF(OR(E5438="",E5438="!!!",F5438="NEW"),"",COUNTBLANK(OFFSET(A$1,,,SUMPRODUCT(MAX(ROW(E$2:E5438)*(E5438=E$2:E5438)))))-COUNTBLANK(OFFSET(A$1,,,SUMPRODUCT(MAX(ROW(E$1:E5437)*(E2=E$1:E5437))))))</f>
        <v> </v>
      </c>
      <c r="K5438" s="26" t="str">
        <f>IF(OR(E5438="",E5438="!!!",F5438="NEW"),"",INDEX(J$1:J5437,SUMPRODUCT(MAX(ROW(E$1:E5437)*(E5438=E$1:E5437)))))</f>
        <v> </v>
      </c>
      <c r="L5438" s="27"/>
    </row>
    <row r="5439" spans="1:12">
      <c r="A5439" s="20"/>
    </row>
    <row r="5440" spans="1:12">
      <c r="A5440" s="20" t="s">
        <v>2707</v>
      </c>
    </row>
    <row r="5441" spans="1:12">
      <c r="A5441" s="20" t="s">
        <v>1193</v>
      </c>
      <c r="B5441" s="21" t="s">
        <v>1194</v>
      </c>
      <c r="C5441" s="21" t="s">
        <v>1195</v>
      </c>
      <c r="D5441" s="21" t="s">
        <v>1180</v>
      </c>
      <c r="E5441" s="22">
        <f>IF(D5441="?OLD","!!!","")</f>
        <v/>
      </c>
      <c r="F5441" s="23" t="str">
        <f>IF(OR(E5441="",E5441="!!!"),"",IF(NOT(ISNA(VLOOKUP(E5441,E$1:E5440,1,FALSE()))),"OLD",IF(AND(E5441&lt;&gt;"",E5441&lt;&gt;"!!!"),"NEW","")))</f>
        <v> </v>
      </c>
      <c r="G5441" s="24" t="str">
        <f>IF(OR(E5441="",E5441="!!!"),"",IF(OR(J5441=0,AND(J5441=1,K5441=1),AND(J5441=1,I5441="SBJ"),AND(J5441=1,I5441=0)),"?IN_FOCUS",IF(J5441&lt;=2,"?ACTIVATED",IF(J5441&lt;&gt;"","?FAMILIAR",IF(F5441="NEW",IF(ISNA(VLOOKUP(E5441,#REF!,1,FALSE())),"?TYPE_IDENTIFIABLE","?REFERENTIAL"),"_")))))</f>
        <v> </v>
      </c>
      <c r="H5441" s="25" t="str">
        <f>IF(J5441&lt;&gt;1,"",IF(I5441="SBJ","CB","?"))</f>
        <v> </v>
      </c>
      <c r="I5441" s="26" t="str">
        <f>IF(OR(E5441="",E5441="!!!",F5441="NEW"),"",INDEX(B5440:B$2,-1+SUMPRODUCT(MAX(ROW(E5440:E$2)*(E5441=E5440:E$2)))))</f>
        <v> </v>
      </c>
      <c r="J5441" s="26" t="str">
        <f>IF(OR(E5441="",E5441="!!!",F5441="NEW"),"",COUNTBLANK(OFFSET(A$1,,,SUMPRODUCT(MAX(ROW(E$2:E5441)*(E5441=E$2:E5441)))))-COUNTBLANK(OFFSET(A$1,,,SUMPRODUCT(MAX(ROW(E$1:E5440)*(E2=E$1:E5440))))))</f>
        <v> </v>
      </c>
      <c r="K5441" s="26" t="str">
        <f>IF(OR(E5441="",E5441="!!!",F5441="NEW"),"",INDEX(J$1:J5440,SUMPRODUCT(MAX(ROW(E$1:E5440)*(E5441=E$1:E5440)))))</f>
        <v> </v>
      </c>
      <c r="L5441" s="27"/>
    </row>
    <row r="5442" spans="1:12">
      <c r="A5442" s="20" t="s">
        <v>2064</v>
      </c>
      <c r="E5442" s="22">
        <f>IF(D5442="?OLD","!!!","")</f>
        <v/>
      </c>
      <c r="F5442" s="23" t="str">
        <f>IF(OR(E5442="",E5442="!!!"),"",IF(NOT(ISNA(VLOOKUP(E5442,E$1:E5441,1,FALSE()))),"OLD",IF(AND(E5442&lt;&gt;"",E5442&lt;&gt;"!!!"),"NEW","")))</f>
        <v> </v>
      </c>
      <c r="G5442" s="24" t="str">
        <f>IF(OR(E5442="",E5442="!!!"),"",IF(OR(J5442=0,AND(J5442=1,K5442=1),AND(J5442=1,I5442="SBJ"),AND(J5442=1,I5442=0)),"?IN_FOCUS",IF(J5442&lt;=2,"?ACTIVATED",IF(J5442&lt;&gt;"","?FAMILIAR",IF(F5442="NEW",IF(ISNA(VLOOKUP(E5442,#REF!,1,FALSE())),"?TYPE_IDENTIFIABLE","?REFERENTIAL"),"_")))))</f>
        <v> </v>
      </c>
      <c r="H5442" s="25" t="str">
        <f>IF(J5442&lt;&gt;1,"",IF(I5442="SBJ","CB","?"))</f>
        <v> </v>
      </c>
      <c r="I5442" s="26" t="str">
        <f>IF(OR(E5442="",E5442="!!!",F5442="NEW"),"",INDEX(B5441:B$2,-1+SUMPRODUCT(MAX(ROW(E5441:E$2)*(E5442=E5441:E$2)))))</f>
        <v> </v>
      </c>
      <c r="J5442" s="26" t="str">
        <f>IF(OR(E5442="",E5442="!!!",F5442="NEW"),"",COUNTBLANK(OFFSET(A$1,,,SUMPRODUCT(MAX(ROW(E$2:E5442)*(E5442=E$2:E5442)))))-COUNTBLANK(OFFSET(A$1,,,SUMPRODUCT(MAX(ROW(E$1:E5441)*(E2=E$1:E5441))))))</f>
        <v> </v>
      </c>
      <c r="K5442" s="26" t="str">
        <f>IF(OR(E5442="",E5442="!!!",F5442="NEW"),"",INDEX(J$1:J5441,SUMPRODUCT(MAX(ROW(E$1:E5441)*(E5442=E$1:E5441)))))</f>
        <v> </v>
      </c>
      <c r="L5442" s="27"/>
    </row>
    <row r="5443" spans="1:12">
      <c r="A5443" s="20" t="s">
        <v>1185</v>
      </c>
      <c r="E5443" s="22">
        <f>IF(D5443="?OLD","!!!","")</f>
        <v/>
      </c>
      <c r="F5443" s="23" t="str">
        <f>IF(OR(E5443="",E5443="!!!"),"",IF(NOT(ISNA(VLOOKUP(E5443,E$1:E5442,1,FALSE()))),"OLD",IF(AND(E5443&lt;&gt;"",E5443&lt;&gt;"!!!"),"NEW","")))</f>
        <v> </v>
      </c>
      <c r="G5443" s="24" t="str">
        <f>IF(OR(E5443="",E5443="!!!"),"",IF(OR(J5443=0,AND(J5443=1,K5443=1),AND(J5443=1,I5443="SBJ"),AND(J5443=1,I5443=0)),"?IN_FOCUS",IF(J5443&lt;=2,"?ACTIVATED",IF(J5443&lt;&gt;"","?FAMILIAR",IF(F5443="NEW",IF(ISNA(VLOOKUP(E5443,#REF!,1,FALSE())),"?TYPE_IDENTIFIABLE","?REFERENTIAL"),"_")))))</f>
        <v> </v>
      </c>
      <c r="H5443" s="25" t="str">
        <f>IF(J5443&lt;&gt;1,"",IF(I5443="SBJ","CB","?"))</f>
        <v> </v>
      </c>
      <c r="I5443" s="26" t="str">
        <f>IF(OR(E5443="",E5443="!!!",F5443="NEW"),"",INDEX(B5442:B$2,-1+SUMPRODUCT(MAX(ROW(E5442:E$2)*(E5443=E5442:E$2)))))</f>
        <v> </v>
      </c>
      <c r="J5443" s="26" t="str">
        <f>IF(OR(E5443="",E5443="!!!",F5443="NEW"),"",COUNTBLANK(OFFSET(A$1,,,SUMPRODUCT(MAX(ROW(E$2:E5443)*(E5443=E$2:E5443)))))-COUNTBLANK(OFFSET(A$1,,,SUMPRODUCT(MAX(ROW(E$1:E5442)*(E2=E$1:E5442))))))</f>
        <v> </v>
      </c>
      <c r="K5443" s="26" t="str">
        <f>IF(OR(E5443="",E5443="!!!",F5443="NEW"),"",INDEX(J$1:J5442,SUMPRODUCT(MAX(ROW(E$1:E5442)*(E5443=E$1:E5442)))))</f>
        <v> </v>
      </c>
      <c r="L5443" s="27"/>
    </row>
    <row r="5444" spans="1:12">
      <c r="A5444" s="20" t="s">
        <v>1487</v>
      </c>
      <c r="E5444" s="22">
        <f>IF(D5444="?OLD","!!!","")</f>
        <v/>
      </c>
      <c r="F5444" s="23" t="str">
        <f>IF(OR(E5444="",E5444="!!!"),"",IF(NOT(ISNA(VLOOKUP(E5444,E$1:E5443,1,FALSE()))),"OLD",IF(AND(E5444&lt;&gt;"",E5444&lt;&gt;"!!!"),"NEW","")))</f>
        <v> </v>
      </c>
      <c r="G5444" s="24" t="str">
        <f>IF(OR(E5444="",E5444="!!!"),"",IF(OR(J5444=0,AND(J5444=1,K5444=1),AND(J5444=1,I5444="SBJ"),AND(J5444=1,I5444=0)),"?IN_FOCUS",IF(J5444&lt;=2,"?ACTIVATED",IF(J5444&lt;&gt;"","?FAMILIAR",IF(F5444="NEW",IF(ISNA(VLOOKUP(E5444,#REF!,1,FALSE())),"?TYPE_IDENTIFIABLE","?REFERENTIAL"),"_")))))</f>
        <v> </v>
      </c>
      <c r="H5444" s="25" t="str">
        <f>IF(J5444&lt;&gt;1,"",IF(I5444="SBJ","CB","?"))</f>
        <v> </v>
      </c>
      <c r="I5444" s="26" t="str">
        <f>IF(OR(E5444="",E5444="!!!",F5444="NEW"),"",INDEX(B5443:B$2,-1+SUMPRODUCT(MAX(ROW(E5443:E$2)*(E5444=E5443:E$2)))))</f>
        <v> </v>
      </c>
      <c r="J5444" s="26" t="str">
        <f>IF(OR(E5444="",E5444="!!!",F5444="NEW"),"",COUNTBLANK(OFFSET(A$1,,,SUMPRODUCT(MAX(ROW(E$2:E5444)*(E5444=E$2:E5444)))))-COUNTBLANK(OFFSET(A$1,,,SUMPRODUCT(MAX(ROW(E$1:E5443)*(E2=E$1:E5443))))))</f>
        <v> </v>
      </c>
      <c r="K5444" s="26" t="str">
        <f>IF(OR(E5444="",E5444="!!!",F5444="NEW"),"",INDEX(J$1:J5443,SUMPRODUCT(MAX(ROW(E$1:E5443)*(E5444=E$1:E5443)))))</f>
        <v> </v>
      </c>
      <c r="L5444" s="27"/>
    </row>
    <row r="5445" spans="1:12">
      <c r="A5445" s="20" t="s">
        <v>2683</v>
      </c>
      <c r="B5445" s="21" t="s">
        <v>1240</v>
      </c>
      <c r="C5445" s="21" t="s">
        <v>1179</v>
      </c>
      <c r="D5445" s="21" t="s">
        <v>1180</v>
      </c>
      <c r="E5445" s="22">
        <f>IF(D5445="?OLD","!!!","")</f>
        <v/>
      </c>
      <c r="F5445" s="23" t="str">
        <f>IF(OR(E5445="",E5445="!!!"),"",IF(NOT(ISNA(VLOOKUP(E5445,E$1:E5444,1,FALSE()))),"OLD",IF(AND(E5445&lt;&gt;"",E5445&lt;&gt;"!!!"),"NEW","")))</f>
        <v> </v>
      </c>
      <c r="G5445" s="24" t="str">
        <f>IF(OR(E5445="",E5445="!!!"),"",IF(OR(J5445=0,AND(J5445=1,K5445=1),AND(J5445=1,I5445="SBJ"),AND(J5445=1,I5445=0)),"?IN_FOCUS",IF(J5445&lt;=2,"?ACTIVATED",IF(J5445&lt;&gt;"","?FAMILIAR",IF(F5445="NEW",IF(ISNA(VLOOKUP(E5445,#REF!,1,FALSE())),"?TYPE_IDENTIFIABLE","?REFERENTIAL"),"_")))))</f>
        <v> </v>
      </c>
      <c r="H5445" s="25" t="str">
        <f>IF(J5445&lt;&gt;1,"",IF(I5445="SBJ","CB","?"))</f>
        <v> </v>
      </c>
      <c r="I5445" s="26" t="str">
        <f>IF(OR(E5445="",E5445="!!!",F5445="NEW"),"",INDEX(B5444:B$2,-1+SUMPRODUCT(MAX(ROW(E5444:E$2)*(E5445=E5444:E$2)))))</f>
        <v> </v>
      </c>
      <c r="J5445" s="26" t="str">
        <f>IF(OR(E5445="",E5445="!!!",F5445="NEW"),"",COUNTBLANK(OFFSET(A$1,,,SUMPRODUCT(MAX(ROW(E$2:E5445)*(E5445=E$2:E5445)))))-COUNTBLANK(OFFSET(A$1,,,SUMPRODUCT(MAX(ROW(E$1:E5444)*(E2=E$1:E5444))))))</f>
        <v> </v>
      </c>
      <c r="K5445" s="26" t="str">
        <f>IF(OR(E5445="",E5445="!!!",F5445="NEW"),"",INDEX(J$1:J5444,SUMPRODUCT(MAX(ROW(E$1:E5444)*(E5445=E$1:E5444)))))</f>
        <v> </v>
      </c>
      <c r="L5445" s="27"/>
    </row>
    <row r="5446" spans="1:12">
      <c r="A5446" s="20" t="s">
        <v>2684</v>
      </c>
      <c r="E5446" s="22">
        <f>IF(D5446="?OLD","!!!","")</f>
        <v/>
      </c>
      <c r="F5446" s="23" t="str">
        <f>IF(OR(E5446="",E5446="!!!"),"",IF(NOT(ISNA(VLOOKUP(E5446,E$1:E5445,1,FALSE()))),"OLD",IF(AND(E5446&lt;&gt;"",E5446&lt;&gt;"!!!"),"NEW","")))</f>
        <v> </v>
      </c>
      <c r="G5446" s="24" t="str">
        <f>IF(OR(E5446="",E5446="!!!"),"",IF(OR(J5446=0,AND(J5446=1,K5446=1),AND(J5446=1,I5446="SBJ"),AND(J5446=1,I5446=0)),"?IN_FOCUS",IF(J5446&lt;=2,"?ACTIVATED",IF(J5446&lt;&gt;"","?FAMILIAR",IF(F5446="NEW",IF(ISNA(VLOOKUP(E5446,#REF!,1,FALSE())),"?TYPE_IDENTIFIABLE","?REFERENTIAL"),"_")))))</f>
        <v> </v>
      </c>
      <c r="H5446" s="25" t="str">
        <f>IF(J5446&lt;&gt;1,"",IF(I5446="SBJ","CB","?"))</f>
        <v> </v>
      </c>
      <c r="I5446" s="26" t="str">
        <f>IF(OR(E5446="",E5446="!!!",F5446="NEW"),"",INDEX(B5445:B$2,-1+SUMPRODUCT(MAX(ROW(E5445:E$2)*(E5446=E5445:E$2)))))</f>
        <v> </v>
      </c>
      <c r="J5446" s="26" t="str">
        <f>IF(OR(E5446="",E5446="!!!",F5446="NEW"),"",COUNTBLANK(OFFSET(A$1,,,SUMPRODUCT(MAX(ROW(E$2:E5446)*(E5446=E$2:E5446)))))-COUNTBLANK(OFFSET(A$1,,,SUMPRODUCT(MAX(ROW(E$1:E5445)*(E2=E$1:E5445))))))</f>
        <v> </v>
      </c>
      <c r="K5446" s="26" t="str">
        <f>IF(OR(E5446="",E5446="!!!",F5446="NEW"),"",INDEX(J$1:J5445,SUMPRODUCT(MAX(ROW(E$1:E5445)*(E5446=E$1:E5445)))))</f>
        <v> </v>
      </c>
      <c r="L5446" s="27"/>
    </row>
    <row r="5447" spans="1:12">
      <c r="A5447" s="20" t="s">
        <v>1352</v>
      </c>
      <c r="E5447" s="22">
        <f>IF(D5447="?OLD","!!!","")</f>
        <v/>
      </c>
      <c r="F5447" s="23" t="str">
        <f>IF(OR(E5447="",E5447="!!!"),"",IF(NOT(ISNA(VLOOKUP(E5447,E$1:E5446,1,FALSE()))),"OLD",IF(AND(E5447&lt;&gt;"",E5447&lt;&gt;"!!!"),"NEW","")))</f>
        <v> </v>
      </c>
      <c r="G5447" s="24" t="str">
        <f>IF(OR(E5447="",E5447="!!!"),"",IF(OR(J5447=0,AND(J5447=1,K5447=1),AND(J5447=1,I5447="SBJ"),AND(J5447=1,I5447=0)),"?IN_FOCUS",IF(J5447&lt;=2,"?ACTIVATED",IF(J5447&lt;&gt;"","?FAMILIAR",IF(F5447="NEW",IF(ISNA(VLOOKUP(E5447,#REF!,1,FALSE())),"?TYPE_IDENTIFIABLE","?REFERENTIAL"),"_")))))</f>
        <v> </v>
      </c>
      <c r="H5447" s="25" t="str">
        <f>IF(J5447&lt;&gt;1,"",IF(I5447="SBJ","CB","?"))</f>
        <v> </v>
      </c>
      <c r="I5447" s="26" t="str">
        <f>IF(OR(E5447="",E5447="!!!",F5447="NEW"),"",INDEX(B5446:B$2,-1+SUMPRODUCT(MAX(ROW(E5446:E$2)*(E5447=E5446:E$2)))))</f>
        <v> </v>
      </c>
      <c r="J5447" s="26" t="str">
        <f>IF(OR(E5447="",E5447="!!!",F5447="NEW"),"",COUNTBLANK(OFFSET(A$1,,,SUMPRODUCT(MAX(ROW(E$2:E5447)*(E5447=E$2:E5447)))))-COUNTBLANK(OFFSET(A$1,,,SUMPRODUCT(MAX(ROW(E$1:E5446)*(E2=E$1:E5446))))))</f>
        <v> </v>
      </c>
      <c r="K5447" s="26" t="str">
        <f>IF(OR(E5447="",E5447="!!!",F5447="NEW"),"",INDEX(J$1:J5446,SUMPRODUCT(MAX(ROW(E$1:E5446)*(E5447=E$1:E5446)))))</f>
        <v> </v>
      </c>
      <c r="L5447" s="27"/>
    </row>
    <row r="5448" spans="1:12">
      <c r="A5448" s="20" t="s">
        <v>1495</v>
      </c>
      <c r="E5448" s="22">
        <f>IF(D5448="?OLD","!!!","")</f>
        <v/>
      </c>
      <c r="F5448" s="23" t="str">
        <f>IF(OR(E5448="",E5448="!!!"),"",IF(NOT(ISNA(VLOOKUP(E5448,E$1:E5447,1,FALSE()))),"OLD",IF(AND(E5448&lt;&gt;"",E5448&lt;&gt;"!!!"),"NEW","")))</f>
        <v> </v>
      </c>
      <c r="G5448" s="24" t="str">
        <f>IF(OR(E5448="",E5448="!!!"),"",IF(OR(J5448=0,AND(J5448=1,K5448=1),AND(J5448=1,I5448="SBJ"),AND(J5448=1,I5448=0)),"?IN_FOCUS",IF(J5448&lt;=2,"?ACTIVATED",IF(J5448&lt;&gt;"","?FAMILIAR",IF(F5448="NEW",IF(ISNA(VLOOKUP(E5448,#REF!,1,FALSE())),"?TYPE_IDENTIFIABLE","?REFERENTIAL"),"_")))))</f>
        <v> </v>
      </c>
      <c r="H5448" s="25" t="str">
        <f>IF(J5448&lt;&gt;1,"",IF(I5448="SBJ","CB","?"))</f>
        <v> </v>
      </c>
      <c r="I5448" s="26" t="str">
        <f>IF(OR(E5448="",E5448="!!!",F5448="NEW"),"",INDEX(B5447:B$2,-1+SUMPRODUCT(MAX(ROW(E5447:E$2)*(E5448=E5447:E$2)))))</f>
        <v> </v>
      </c>
      <c r="J5448" s="26" t="str">
        <f>IF(OR(E5448="",E5448="!!!",F5448="NEW"),"",COUNTBLANK(OFFSET(A$1,,,SUMPRODUCT(MAX(ROW(E$2:E5448)*(E5448=E$2:E5448)))))-COUNTBLANK(OFFSET(A$1,,,SUMPRODUCT(MAX(ROW(E$1:E5447)*(E2=E$1:E5447))))))</f>
        <v> </v>
      </c>
      <c r="K5448" s="26" t="str">
        <f>IF(OR(E5448="",E5448="!!!",F5448="NEW"),"",INDEX(J$1:J5447,SUMPRODUCT(MAX(ROW(E$1:E5447)*(E5448=E$1:E5447)))))</f>
        <v> </v>
      </c>
      <c r="L5448" s="27"/>
    </row>
    <row r="5449" spans="1:12">
      <c r="A5449" s="20" t="s">
        <v>1190</v>
      </c>
      <c r="B5449" s="21" t="s">
        <v>1207</v>
      </c>
      <c r="C5449" s="21" t="s">
        <v>1188</v>
      </c>
      <c r="D5449" s="21" t="s">
        <v>1180</v>
      </c>
      <c r="E5449" s="22">
        <f>IF(D5449="?OLD","!!!","")</f>
        <v/>
      </c>
      <c r="F5449" s="23" t="str">
        <f>IF(OR(E5449="",E5449="!!!"),"",IF(NOT(ISNA(VLOOKUP(E5449,E$1:E5448,1,FALSE()))),"OLD",IF(AND(E5449&lt;&gt;"",E5449&lt;&gt;"!!!"),"NEW","")))</f>
        <v> </v>
      </c>
      <c r="G5449" s="24" t="str">
        <f>IF(OR(E5449="",E5449="!!!"),"",IF(OR(J5449=0,AND(J5449=1,K5449=1),AND(J5449=1,I5449="SBJ"),AND(J5449=1,I5449=0)),"?IN_FOCUS",IF(J5449&lt;=2,"?ACTIVATED",IF(J5449&lt;&gt;"","?FAMILIAR",IF(F5449="NEW",IF(ISNA(VLOOKUP(E5449,#REF!,1,FALSE())),"?TYPE_IDENTIFIABLE","?REFERENTIAL"),"_")))))</f>
        <v> </v>
      </c>
      <c r="H5449" s="25" t="str">
        <f>IF(J5449&lt;&gt;1,"",IF(I5449="SBJ","CB","?"))</f>
        <v> </v>
      </c>
      <c r="I5449" s="26" t="str">
        <f>IF(OR(E5449="",E5449="!!!",F5449="NEW"),"",INDEX(B5448:B$2,-1+SUMPRODUCT(MAX(ROW(E5448:E$2)*(E5449=E5448:E$2)))))</f>
        <v> </v>
      </c>
      <c r="J5449" s="26" t="str">
        <f>IF(OR(E5449="",E5449="!!!",F5449="NEW"),"",COUNTBLANK(OFFSET(A$1,,,SUMPRODUCT(MAX(ROW(E$2:E5449)*(E5449=E$2:E5449)))))-COUNTBLANK(OFFSET(A$1,,,SUMPRODUCT(MAX(ROW(E$1:E5448)*(E2=E$1:E5448))))))</f>
        <v> </v>
      </c>
      <c r="K5449" s="26" t="str">
        <f>IF(OR(E5449="",E5449="!!!",F5449="NEW"),"",INDEX(J$1:J5448,SUMPRODUCT(MAX(ROW(E$1:E5448)*(E5449=E$1:E5448)))))</f>
        <v> </v>
      </c>
      <c r="L5449" s="27"/>
    </row>
    <row r="5450" spans="1:12">
      <c r="A5450" s="20" t="s">
        <v>1257</v>
      </c>
      <c r="E5450" s="22">
        <f>IF(D5450="?OLD","!!!","")</f>
        <v/>
      </c>
      <c r="F5450" s="23" t="str">
        <f>IF(OR(E5450="",E5450="!!!"),"",IF(NOT(ISNA(VLOOKUP(E5450,E$1:E5449,1,FALSE()))),"OLD",IF(AND(E5450&lt;&gt;"",E5450&lt;&gt;"!!!"),"NEW","")))</f>
        <v> </v>
      </c>
      <c r="G5450" s="24" t="str">
        <f>IF(OR(E5450="",E5450="!!!"),"",IF(OR(J5450=0,AND(J5450=1,K5450=1),AND(J5450=1,I5450="SBJ"),AND(J5450=1,I5450=0)),"?IN_FOCUS",IF(J5450&lt;=2,"?ACTIVATED",IF(J5450&lt;&gt;"","?FAMILIAR",IF(F5450="NEW",IF(ISNA(VLOOKUP(E5450,#REF!,1,FALSE())),"?TYPE_IDENTIFIABLE","?REFERENTIAL"),"_")))))</f>
        <v> </v>
      </c>
      <c r="H5450" s="25" t="str">
        <f>IF(J5450&lt;&gt;1,"",IF(I5450="SBJ","CB","?"))</f>
        <v> </v>
      </c>
      <c r="I5450" s="26" t="str">
        <f>IF(OR(E5450="",E5450="!!!",F5450="NEW"),"",INDEX(B5449:B$2,-1+SUMPRODUCT(MAX(ROW(E5449:E$2)*(E5450=E5449:E$2)))))</f>
        <v> </v>
      </c>
      <c r="J5450" s="26" t="str">
        <f>IF(OR(E5450="",E5450="!!!",F5450="NEW"),"",COUNTBLANK(OFFSET(A$1,,,SUMPRODUCT(MAX(ROW(E$2:E5450)*(E5450=E$2:E5450)))))-COUNTBLANK(OFFSET(A$1,,,SUMPRODUCT(MAX(ROW(E$1:E5449)*(E2=E$1:E5449))))))</f>
        <v> </v>
      </c>
      <c r="K5450" s="26" t="str">
        <f>IF(OR(E5450="",E5450="!!!",F5450="NEW"),"",INDEX(J$1:J5449,SUMPRODUCT(MAX(ROW(E$1:E5449)*(E5450=E$1:E5449)))))</f>
        <v> </v>
      </c>
      <c r="L5450" s="27"/>
    </row>
    <row r="5451" spans="1:12">
      <c r="A5451" s="20" t="s">
        <v>2708</v>
      </c>
      <c r="E5451" s="22">
        <f>IF(D5451="?OLD","!!!","")</f>
        <v/>
      </c>
      <c r="F5451" s="23" t="str">
        <f>IF(OR(E5451="",E5451="!!!"),"",IF(NOT(ISNA(VLOOKUP(E5451,E$1:E5450,1,FALSE()))),"OLD",IF(AND(E5451&lt;&gt;"",E5451&lt;&gt;"!!!"),"NEW","")))</f>
        <v> </v>
      </c>
      <c r="G5451" s="24" t="str">
        <f>IF(OR(E5451="",E5451="!!!"),"",IF(OR(J5451=0,AND(J5451=1,K5451=1),AND(J5451=1,I5451="SBJ"),AND(J5451=1,I5451=0)),"?IN_FOCUS",IF(J5451&lt;=2,"?ACTIVATED",IF(J5451&lt;&gt;"","?FAMILIAR",IF(F5451="NEW",IF(ISNA(VLOOKUP(E5451,#REF!,1,FALSE())),"?TYPE_IDENTIFIABLE","?REFERENTIAL"),"_")))))</f>
        <v> </v>
      </c>
      <c r="H5451" s="25" t="str">
        <f>IF(J5451&lt;&gt;1,"",IF(I5451="SBJ","CB","?"))</f>
        <v> </v>
      </c>
      <c r="I5451" s="26" t="str">
        <f>IF(OR(E5451="",E5451="!!!",F5451="NEW"),"",INDEX(B5450:B$2,-1+SUMPRODUCT(MAX(ROW(E5450:E$2)*(E5451=E5450:E$2)))))</f>
        <v> </v>
      </c>
      <c r="J5451" s="26" t="str">
        <f>IF(OR(E5451="",E5451="!!!",F5451="NEW"),"",COUNTBLANK(OFFSET(A$1,,,SUMPRODUCT(MAX(ROW(E$2:E5451)*(E5451=E$2:E5451)))))-COUNTBLANK(OFFSET(A$1,,,SUMPRODUCT(MAX(ROW(E$1:E5450)*(E2=E$1:E5450))))))</f>
        <v> </v>
      </c>
      <c r="K5451" s="26" t="str">
        <f>IF(OR(E5451="",E5451="!!!",F5451="NEW"),"",INDEX(J$1:J5450,SUMPRODUCT(MAX(ROW(E$1:E5450)*(E5451=E$1:E5450)))))</f>
        <v> </v>
      </c>
      <c r="L5451" s="27"/>
    </row>
    <row r="5452" spans="1:12">
      <c r="A5452" s="20" t="s">
        <v>1185</v>
      </c>
      <c r="E5452" s="22">
        <f>IF(D5452="?OLD","!!!","")</f>
        <v/>
      </c>
      <c r="F5452" s="23" t="str">
        <f>IF(OR(E5452="",E5452="!!!"),"",IF(NOT(ISNA(VLOOKUP(E5452,E$1:E5451,1,FALSE()))),"OLD",IF(AND(E5452&lt;&gt;"",E5452&lt;&gt;"!!!"),"NEW","")))</f>
        <v> </v>
      </c>
      <c r="G5452" s="24" t="str">
        <f>IF(OR(E5452="",E5452="!!!"),"",IF(OR(J5452=0,AND(J5452=1,K5452=1),AND(J5452=1,I5452="SBJ"),AND(J5452=1,I5452=0)),"?IN_FOCUS",IF(J5452&lt;=2,"?ACTIVATED",IF(J5452&lt;&gt;"","?FAMILIAR",IF(F5452="NEW",IF(ISNA(VLOOKUP(E5452,#REF!,1,FALSE())),"?TYPE_IDENTIFIABLE","?REFERENTIAL"),"_")))))</f>
        <v> </v>
      </c>
      <c r="H5452" s="25" t="str">
        <f>IF(J5452&lt;&gt;1,"",IF(I5452="SBJ","CB","?"))</f>
        <v> </v>
      </c>
      <c r="I5452" s="26" t="str">
        <f>IF(OR(E5452="",E5452="!!!",F5452="NEW"),"",INDEX(B5451:B$2,-1+SUMPRODUCT(MAX(ROW(E5451:E$2)*(E5452=E5451:E$2)))))</f>
        <v> </v>
      </c>
      <c r="J5452" s="26" t="str">
        <f>IF(OR(E5452="",E5452="!!!",F5452="NEW"),"",COUNTBLANK(OFFSET(A$1,,,SUMPRODUCT(MAX(ROW(E$2:E5452)*(E5452=E$2:E5452)))))-COUNTBLANK(OFFSET(A$1,,,SUMPRODUCT(MAX(ROW(E$1:E5451)*(E2=E$1:E5451))))))</f>
        <v> </v>
      </c>
      <c r="K5452" s="26" t="str">
        <f>IF(OR(E5452="",E5452="!!!",F5452="NEW"),"",INDEX(J$1:J5451,SUMPRODUCT(MAX(ROW(E$1:E5451)*(E5452=E$1:E5451)))))</f>
        <v> </v>
      </c>
      <c r="L5452" s="27"/>
    </row>
    <row r="5453" spans="1:12">
      <c r="A5453" s="20" t="s">
        <v>1236</v>
      </c>
      <c r="B5453" s="21" t="s">
        <v>1306</v>
      </c>
      <c r="C5453" s="21" t="s">
        <v>1238</v>
      </c>
      <c r="D5453" s="21" t="s">
        <v>1180</v>
      </c>
      <c r="E5453" s="22">
        <f>IF(D5453="?OLD","!!!","")</f>
        <v/>
      </c>
      <c r="F5453" s="23" t="str">
        <f>IF(OR(E5453="",E5453="!!!"),"",IF(NOT(ISNA(VLOOKUP(E5453,E$1:E5452,1,FALSE()))),"OLD",IF(AND(E5453&lt;&gt;"",E5453&lt;&gt;"!!!"),"NEW","")))</f>
        <v> </v>
      </c>
      <c r="G5453" s="24" t="str">
        <f>IF(OR(E5453="",E5453="!!!"),"",IF(OR(J5453=0,AND(J5453=1,K5453=1),AND(J5453=1,I5453="SBJ"),AND(J5453=1,I5453=0)),"?IN_FOCUS",IF(J5453&lt;=2,"?ACTIVATED",IF(J5453&lt;&gt;"","?FAMILIAR",IF(F5453="NEW",IF(ISNA(VLOOKUP(E5453,#REF!,1,FALSE())),"?TYPE_IDENTIFIABLE","?REFERENTIAL"),"_")))))</f>
        <v> </v>
      </c>
      <c r="H5453" s="25" t="str">
        <f>IF(J5453&lt;&gt;1,"",IF(I5453="SBJ","CB","?"))</f>
        <v> </v>
      </c>
      <c r="I5453" s="26" t="str">
        <f>IF(OR(E5453="",E5453="!!!",F5453="NEW"),"",INDEX(B5452:B$2,-1+SUMPRODUCT(MAX(ROW(E5452:E$2)*(E5453=E5452:E$2)))))</f>
        <v> </v>
      </c>
      <c r="J5453" s="26" t="str">
        <f>IF(OR(E5453="",E5453="!!!",F5453="NEW"),"",COUNTBLANK(OFFSET(A$1,,,SUMPRODUCT(MAX(ROW(E$2:E5453)*(E5453=E$2:E5453)))))-COUNTBLANK(OFFSET(A$1,,,SUMPRODUCT(MAX(ROW(E$1:E5452)*(E2=E$1:E5452))))))</f>
        <v> </v>
      </c>
      <c r="K5453" s="26" t="str">
        <f>IF(OR(E5453="",E5453="!!!",F5453="NEW"),"",INDEX(J$1:J5452,SUMPRODUCT(MAX(ROW(E$1:E5452)*(E5453=E$1:E5452)))))</f>
        <v> </v>
      </c>
      <c r="L5453" s="27"/>
    </row>
    <row r="5454" spans="1:12">
      <c r="A5454" s="20" t="s">
        <v>427</v>
      </c>
      <c r="B5454" s="21" t="s">
        <v>1304</v>
      </c>
      <c r="C5454" s="21" t="s">
        <v>1238</v>
      </c>
      <c r="D5454" s="21" t="s">
        <v>1180</v>
      </c>
      <c r="E5454" s="22">
        <f>IF(D5454="?OLD","!!!","")</f>
        <v/>
      </c>
      <c r="F5454" s="23" t="str">
        <f>IF(OR(E5454="",E5454="!!!"),"",IF(NOT(ISNA(VLOOKUP(E5454,E$1:E5453,1,FALSE()))),"OLD",IF(AND(E5454&lt;&gt;"",E5454&lt;&gt;"!!!"),"NEW","")))</f>
        <v> </v>
      </c>
      <c r="G5454" s="24" t="str">
        <f>IF(OR(E5454="",E5454="!!!"),"",IF(OR(J5454=0,AND(J5454=1,K5454=1),AND(J5454=1,I5454="SBJ"),AND(J5454=1,I5454=0)),"?IN_FOCUS",IF(J5454&lt;=2,"?ACTIVATED",IF(J5454&lt;&gt;"","?FAMILIAR",IF(F5454="NEW",IF(ISNA(VLOOKUP(E5454,#REF!,1,FALSE())),"?TYPE_IDENTIFIABLE","?REFERENTIAL"),"_")))))</f>
        <v> </v>
      </c>
      <c r="H5454" s="25" t="str">
        <f>IF(J5454&lt;&gt;1,"",IF(I5454="SBJ","CB","?"))</f>
        <v> </v>
      </c>
      <c r="I5454" s="26" t="str">
        <f>IF(OR(E5454="",E5454="!!!",F5454="NEW"),"",INDEX(B5453:B$2,-1+SUMPRODUCT(MAX(ROW(E5453:E$2)*(E5454=E5453:E$2)))))</f>
        <v> </v>
      </c>
      <c r="J5454" s="26" t="str">
        <f>IF(OR(E5454="",E5454="!!!",F5454="NEW"),"",COUNTBLANK(OFFSET(A$1,,,SUMPRODUCT(MAX(ROW(E$2:E5454)*(E5454=E$2:E5454)))))-COUNTBLANK(OFFSET(A$1,,,SUMPRODUCT(MAX(ROW(E$1:E5453)*(E2=E$1:E5453))))))</f>
        <v> </v>
      </c>
      <c r="K5454" s="26" t="str">
        <f>IF(OR(E5454="",E5454="!!!",F5454="NEW"),"",INDEX(J$1:J5453,SUMPRODUCT(MAX(ROW(E$1:E5453)*(E5454=E$1:E5453)))))</f>
        <v> </v>
      </c>
      <c r="L5454" s="27"/>
    </row>
    <row r="5455" spans="1:12">
      <c r="A5455" s="20" t="s">
        <v>303</v>
      </c>
      <c r="E5455" s="22">
        <f>IF(D5455="?OLD","!!!","")</f>
        <v/>
      </c>
      <c r="F5455" s="23" t="str">
        <f>IF(OR(E5455="",E5455="!!!"),"",IF(NOT(ISNA(VLOOKUP(E5455,E$1:E5454,1,FALSE()))),"OLD",IF(AND(E5455&lt;&gt;"",E5455&lt;&gt;"!!!"),"NEW","")))</f>
        <v> </v>
      </c>
      <c r="G5455" s="24" t="str">
        <f>IF(OR(E5455="",E5455="!!!"),"",IF(OR(J5455=0,AND(J5455=1,K5455=1),AND(J5455=1,I5455="SBJ"),AND(J5455=1,I5455=0)),"?IN_FOCUS",IF(J5455&lt;=2,"?ACTIVATED",IF(J5455&lt;&gt;"","?FAMILIAR",IF(F5455="NEW",IF(ISNA(VLOOKUP(E5455,#REF!,1,FALSE())),"?TYPE_IDENTIFIABLE","?REFERENTIAL"),"_")))))</f>
        <v> </v>
      </c>
      <c r="H5455" s="25" t="str">
        <f>IF(J5455&lt;&gt;1,"",IF(I5455="SBJ","CB","?"))</f>
        <v> </v>
      </c>
      <c r="I5455" s="26" t="str">
        <f>IF(OR(E5455="",E5455="!!!",F5455="NEW"),"",INDEX(B5454:B$2,-1+SUMPRODUCT(MAX(ROW(E5454:E$2)*(E5455=E5454:E$2)))))</f>
        <v> </v>
      </c>
      <c r="J5455" s="26" t="str">
        <f>IF(OR(E5455="",E5455="!!!",F5455="NEW"),"",COUNTBLANK(OFFSET(A$1,,,SUMPRODUCT(MAX(ROW(E$2:E5455)*(E5455=E$2:E5455)))))-COUNTBLANK(OFFSET(A$1,,,SUMPRODUCT(MAX(ROW(E$1:E5454)*(E2=E$1:E5454))))))</f>
        <v> </v>
      </c>
      <c r="K5455" s="26" t="str">
        <f>IF(OR(E5455="",E5455="!!!",F5455="NEW"),"",INDEX(J$1:J5454,SUMPRODUCT(MAX(ROW(E$1:E5454)*(E5455=E$1:E5454)))))</f>
        <v> </v>
      </c>
      <c r="L5455" s="27"/>
    </row>
    <row r="5456" spans="1:12">
      <c r="A5456" s="20" t="s">
        <v>818</v>
      </c>
      <c r="E5456" s="22">
        <f>IF(D5456="?OLD","!!!","")</f>
        <v/>
      </c>
      <c r="F5456" s="23" t="str">
        <f>IF(OR(E5456="",E5456="!!!"),"",IF(NOT(ISNA(VLOOKUP(E5456,E$1:E5455,1,FALSE()))),"OLD",IF(AND(E5456&lt;&gt;"",E5456&lt;&gt;"!!!"),"NEW","")))</f>
        <v> </v>
      </c>
      <c r="G5456" s="24" t="str">
        <f>IF(OR(E5456="",E5456="!!!"),"",IF(OR(J5456=0,AND(J5456=1,K5456=1),AND(J5456=1,I5456="SBJ"),AND(J5456=1,I5456=0)),"?IN_FOCUS",IF(J5456&lt;=2,"?ACTIVATED",IF(J5456&lt;&gt;"","?FAMILIAR",IF(F5456="NEW",IF(ISNA(VLOOKUP(E5456,#REF!,1,FALSE())),"?TYPE_IDENTIFIABLE","?REFERENTIAL"),"_")))))</f>
        <v> </v>
      </c>
      <c r="H5456" s="25" t="str">
        <f>IF(J5456&lt;&gt;1,"",IF(I5456="SBJ","CB","?"))</f>
        <v> </v>
      </c>
      <c r="I5456" s="26" t="str">
        <f>IF(OR(E5456="",E5456="!!!",F5456="NEW"),"",INDEX(B5455:B$2,-1+SUMPRODUCT(MAX(ROW(E5455:E$2)*(E5456=E5455:E$2)))))</f>
        <v> </v>
      </c>
      <c r="J5456" s="26" t="str">
        <f>IF(OR(E5456="",E5456="!!!",F5456="NEW"),"",COUNTBLANK(OFFSET(A$1,,,SUMPRODUCT(MAX(ROW(E$2:E5456)*(E5456=E$2:E5456)))))-COUNTBLANK(OFFSET(A$1,,,SUMPRODUCT(MAX(ROW(E$1:E5455)*(E2=E$1:E5455))))))</f>
        <v> </v>
      </c>
      <c r="K5456" s="26" t="str">
        <f>IF(OR(E5456="",E5456="!!!",F5456="NEW"),"",INDEX(J$1:J5455,SUMPRODUCT(MAX(ROW(E$1:E5455)*(E5456=E$1:E5455)))))</f>
        <v> </v>
      </c>
      <c r="L5456" s="27"/>
    </row>
    <row r="5457" spans="1:12">
      <c r="A5457" s="20"/>
    </row>
    <row r="5458" spans="1:12">
      <c r="A5458" s="20" t="s">
        <v>2709</v>
      </c>
    </row>
    <row r="5459" spans="1:12">
      <c r="A5459" s="20" t="s">
        <v>1357</v>
      </c>
      <c r="B5459" s="21" t="s">
        <v>1194</v>
      </c>
      <c r="C5459" s="21" t="s">
        <v>1238</v>
      </c>
      <c r="D5459" s="21" t="s">
        <v>1180</v>
      </c>
      <c r="E5459" s="22">
        <f>IF(D5459="?OLD","!!!","")</f>
        <v/>
      </c>
      <c r="F5459" s="23" t="str">
        <f>IF(OR(E5459="",E5459="!!!"),"",IF(NOT(ISNA(VLOOKUP(E5459,E$1:E5458,1,FALSE()))),"OLD",IF(AND(E5459&lt;&gt;"",E5459&lt;&gt;"!!!"),"NEW","")))</f>
        <v> </v>
      </c>
      <c r="G5459" s="24" t="str">
        <f>IF(OR(E5459="",E5459="!!!"),"",IF(OR(J5459=0,AND(J5459=1,K5459=1),AND(J5459=1,I5459="SBJ"),AND(J5459=1,I5459=0)),"?IN_FOCUS",IF(J5459&lt;=2,"?ACTIVATED",IF(J5459&lt;&gt;"","?FAMILIAR",IF(F5459="NEW",IF(ISNA(VLOOKUP(E5459,#REF!,1,FALSE())),"?TYPE_IDENTIFIABLE","?REFERENTIAL"),"_")))))</f>
        <v> </v>
      </c>
      <c r="H5459" s="25" t="str">
        <f>IF(J5459&lt;&gt;1,"",IF(I5459="SBJ","CB","?"))</f>
        <v> </v>
      </c>
      <c r="I5459" s="26" t="str">
        <f>IF(OR(E5459="",E5459="!!!",F5459="NEW"),"",INDEX(B5458:B$2,-1+SUMPRODUCT(MAX(ROW(E5458:E$2)*(E5459=E5458:E$2)))))</f>
        <v> </v>
      </c>
      <c r="J5459" s="26" t="str">
        <f>IF(OR(E5459="",E5459="!!!",F5459="NEW"),"",COUNTBLANK(OFFSET(A$1,,,SUMPRODUCT(MAX(ROW(E$2:E5459)*(E5459=E$2:E5459)))))-COUNTBLANK(OFFSET(A$1,,,SUMPRODUCT(MAX(ROW(E$1:E5458)*(E2=E$1:E5458))))))</f>
        <v> </v>
      </c>
      <c r="K5459" s="26" t="str">
        <f>IF(OR(E5459="",E5459="!!!",F5459="NEW"),"",INDEX(J$1:J5458,SUMPRODUCT(MAX(ROW(E$1:E5458)*(E5459=E$1:E5458)))))</f>
        <v> </v>
      </c>
      <c r="L5459" s="27"/>
    </row>
    <row r="5460" spans="1:12">
      <c r="A5460" s="20" t="s">
        <v>1437</v>
      </c>
      <c r="E5460" s="22">
        <f>IF(D5460="?OLD","!!!","")</f>
        <v/>
      </c>
      <c r="F5460" s="23" t="str">
        <f>IF(OR(E5460="",E5460="!!!"),"",IF(NOT(ISNA(VLOOKUP(E5460,E$1:E5459,1,FALSE()))),"OLD",IF(AND(E5460&lt;&gt;"",E5460&lt;&gt;"!!!"),"NEW","")))</f>
        <v> </v>
      </c>
      <c r="G5460" s="24" t="str">
        <f>IF(OR(E5460="",E5460="!!!"),"",IF(OR(J5460=0,AND(J5460=1,K5460=1),AND(J5460=1,I5460="SBJ"),AND(J5460=1,I5460=0)),"?IN_FOCUS",IF(J5460&lt;=2,"?ACTIVATED",IF(J5460&lt;&gt;"","?FAMILIAR",IF(F5460="NEW",IF(ISNA(VLOOKUP(E5460,#REF!,1,FALSE())),"?TYPE_IDENTIFIABLE","?REFERENTIAL"),"_")))))</f>
        <v> </v>
      </c>
      <c r="H5460" s="25" t="str">
        <f>IF(J5460&lt;&gt;1,"",IF(I5460="SBJ","CB","?"))</f>
        <v> </v>
      </c>
      <c r="I5460" s="26" t="str">
        <f>IF(OR(E5460="",E5460="!!!",F5460="NEW"),"",INDEX(B5459:B$2,-1+SUMPRODUCT(MAX(ROW(E5459:E$2)*(E5460=E5459:E$2)))))</f>
        <v> </v>
      </c>
      <c r="J5460" s="26" t="str">
        <f>IF(OR(E5460="",E5460="!!!",F5460="NEW"),"",COUNTBLANK(OFFSET(A$1,,,SUMPRODUCT(MAX(ROW(E$2:E5460)*(E5460=E$2:E5460)))))-COUNTBLANK(OFFSET(A$1,,,SUMPRODUCT(MAX(ROW(E$1:E5459)*(E2=E$1:E5459))))))</f>
        <v> </v>
      </c>
      <c r="K5460" s="26" t="str">
        <f>IF(OR(E5460="",E5460="!!!",F5460="NEW"),"",INDEX(J$1:J5459,SUMPRODUCT(MAX(ROW(E$1:E5459)*(E5460=E$1:E5459)))))</f>
        <v> </v>
      </c>
      <c r="L5460" s="27"/>
    </row>
    <row r="5461" spans="1:12">
      <c r="A5461" s="20" t="s">
        <v>1455</v>
      </c>
      <c r="B5461" s="21" t="s">
        <v>1191</v>
      </c>
      <c r="C5461" s="21" t="s">
        <v>1297</v>
      </c>
      <c r="D5461" s="21" t="s">
        <v>1180</v>
      </c>
      <c r="E5461" s="22">
        <f>IF(D5461="?OLD","!!!","")</f>
        <v/>
      </c>
      <c r="F5461" s="23" t="str">
        <f>IF(OR(E5461="",E5461="!!!"),"",IF(NOT(ISNA(VLOOKUP(E5461,E$1:E5460,1,FALSE()))),"OLD",IF(AND(E5461&lt;&gt;"",E5461&lt;&gt;"!!!"),"NEW","")))</f>
        <v> </v>
      </c>
      <c r="G5461" s="24" t="str">
        <f>IF(OR(E5461="",E5461="!!!"),"",IF(OR(J5461=0,AND(J5461=1,K5461=1),AND(J5461=1,I5461="SBJ"),AND(J5461=1,I5461=0)),"?IN_FOCUS",IF(J5461&lt;=2,"?ACTIVATED",IF(J5461&lt;&gt;"","?FAMILIAR",IF(F5461="NEW",IF(ISNA(VLOOKUP(E5461,#REF!,1,FALSE())),"?TYPE_IDENTIFIABLE","?REFERENTIAL"),"_")))))</f>
        <v> </v>
      </c>
      <c r="H5461" s="25" t="str">
        <f>IF(J5461&lt;&gt;1,"",IF(I5461="SBJ","CB","?"))</f>
        <v> </v>
      </c>
      <c r="I5461" s="26" t="str">
        <f>IF(OR(E5461="",E5461="!!!",F5461="NEW"),"",INDEX(B5460:B$2,-1+SUMPRODUCT(MAX(ROW(E5460:E$2)*(E5461=E5460:E$2)))))</f>
        <v> </v>
      </c>
      <c r="J5461" s="26" t="str">
        <f>IF(OR(E5461="",E5461="!!!",F5461="NEW"),"",COUNTBLANK(OFFSET(A$1,,,SUMPRODUCT(MAX(ROW(E$2:E5461)*(E5461=E$2:E5461)))))-COUNTBLANK(OFFSET(A$1,,,SUMPRODUCT(MAX(ROW(E$1:E5460)*(E2=E$1:E5460))))))</f>
        <v> </v>
      </c>
      <c r="K5461" s="26" t="str">
        <f>IF(OR(E5461="",E5461="!!!",F5461="NEW"),"",INDEX(J$1:J5460,SUMPRODUCT(MAX(ROW(E$1:E5460)*(E5461=E$1:E5460)))))</f>
        <v> </v>
      </c>
      <c r="L5461" s="27"/>
    </row>
    <row r="5462" spans="1:12">
      <c r="A5462" s="20" t="s">
        <v>2710</v>
      </c>
      <c r="B5462" s="21" t="s">
        <v>1194</v>
      </c>
      <c r="C5462" s="21" t="s">
        <v>1184</v>
      </c>
      <c r="E5462" s="22">
        <f>IF(D5462="?OLD","!!!","")</f>
        <v/>
      </c>
      <c r="F5462" s="23" t="str">
        <f>IF(OR(E5462="",E5462="!!!"),"",IF(NOT(ISNA(VLOOKUP(E5462,E$1:E5461,1,FALSE()))),"OLD",IF(AND(E5462&lt;&gt;"",E5462&lt;&gt;"!!!"),"NEW","")))</f>
        <v> </v>
      </c>
      <c r="G5462" s="24" t="str">
        <f>IF(OR(E5462="",E5462="!!!"),"",IF(OR(J5462=0,AND(J5462=1,K5462=1),AND(J5462=1,I5462="SBJ"),AND(J5462=1,I5462=0)),"?IN_FOCUS",IF(J5462&lt;=2,"?ACTIVATED",IF(J5462&lt;&gt;"","?FAMILIAR",IF(F5462="NEW",IF(ISNA(VLOOKUP(E5462,#REF!,1,FALSE())),"?TYPE_IDENTIFIABLE","?REFERENTIAL"),"_")))))</f>
        <v> </v>
      </c>
      <c r="H5462" s="25" t="str">
        <f>IF(J5462&lt;&gt;1,"",IF(I5462="SBJ","CB","?"))</f>
        <v> </v>
      </c>
      <c r="I5462" s="26" t="str">
        <f>IF(OR(E5462="",E5462="!!!",F5462="NEW"),"",INDEX(B5461:B$2,-1+SUMPRODUCT(MAX(ROW(E5461:E$2)*(E5462=E5461:E$2)))))</f>
        <v> </v>
      </c>
      <c r="J5462" s="26" t="str">
        <f>IF(OR(E5462="",E5462="!!!",F5462="NEW"),"",COUNTBLANK(OFFSET(A$1,,,SUMPRODUCT(MAX(ROW(E$2:E5462)*(E5462=E$2:E5462)))))-COUNTBLANK(OFFSET(A$1,,,SUMPRODUCT(MAX(ROW(E$1:E5461)*(E2=E$1:E5461))))))</f>
        <v> </v>
      </c>
      <c r="K5462" s="26" t="str">
        <f>IF(OR(E5462="",E5462="!!!",F5462="NEW"),"",INDEX(J$1:J5461,SUMPRODUCT(MAX(ROW(E$1:E5461)*(E5462=E$1:E5461)))))</f>
        <v> </v>
      </c>
      <c r="L5462" s="27"/>
    </row>
    <row r="5463" spans="1:12">
      <c r="A5463" s="20" t="s">
        <v>972</v>
      </c>
      <c r="E5463" s="22">
        <f>IF(D5463="?OLD","!!!","")</f>
        <v/>
      </c>
      <c r="F5463" s="23" t="str">
        <f>IF(OR(E5463="",E5463="!!!"),"",IF(NOT(ISNA(VLOOKUP(E5463,E$1:E5462,1,FALSE()))),"OLD",IF(AND(E5463&lt;&gt;"",E5463&lt;&gt;"!!!"),"NEW","")))</f>
        <v> </v>
      </c>
      <c r="G5463" s="24" t="str">
        <f>IF(OR(E5463="",E5463="!!!"),"",IF(OR(J5463=0,AND(J5463=1,K5463=1),AND(J5463=1,I5463="SBJ"),AND(J5463=1,I5463=0)),"?IN_FOCUS",IF(J5463&lt;=2,"?ACTIVATED",IF(J5463&lt;&gt;"","?FAMILIAR",IF(F5463="NEW",IF(ISNA(VLOOKUP(E5463,#REF!,1,FALSE())),"?TYPE_IDENTIFIABLE","?REFERENTIAL"),"_")))))</f>
        <v> </v>
      </c>
      <c r="H5463" s="25" t="str">
        <f>IF(J5463&lt;&gt;1,"",IF(I5463="SBJ","CB","?"))</f>
        <v> </v>
      </c>
      <c r="I5463" s="26" t="str">
        <f>IF(OR(E5463="",E5463="!!!",F5463="NEW"),"",INDEX(B5462:B$2,-1+SUMPRODUCT(MAX(ROW(E5462:E$2)*(E5463=E5462:E$2)))))</f>
        <v> </v>
      </c>
      <c r="J5463" s="26" t="str">
        <f>IF(OR(E5463="",E5463="!!!",F5463="NEW"),"",COUNTBLANK(OFFSET(A$1,,,SUMPRODUCT(MAX(ROW(E$2:E5463)*(E5463=E$2:E5463)))))-COUNTBLANK(OFFSET(A$1,,,SUMPRODUCT(MAX(ROW(E$1:E5462)*(E2=E$1:E5462))))))</f>
        <v> </v>
      </c>
      <c r="K5463" s="26" t="str">
        <f>IF(OR(E5463="",E5463="!!!",F5463="NEW"),"",INDEX(J$1:J5462,SUMPRODUCT(MAX(ROW(E$1:E5462)*(E5463=E$1:E5462)))))</f>
        <v> </v>
      </c>
      <c r="L5463" s="27"/>
    </row>
    <row r="5464" spans="1:12">
      <c r="A5464" s="20" t="s">
        <v>1314</v>
      </c>
      <c r="E5464" s="22">
        <f>IF(D5464="?OLD","!!!","")</f>
        <v/>
      </c>
      <c r="F5464" s="23" t="str">
        <f>IF(OR(E5464="",E5464="!!!"),"",IF(NOT(ISNA(VLOOKUP(E5464,E$1:E5463,1,FALSE()))),"OLD",IF(AND(E5464&lt;&gt;"",E5464&lt;&gt;"!!!"),"NEW","")))</f>
        <v> </v>
      </c>
      <c r="G5464" s="24" t="str">
        <f>IF(OR(E5464="",E5464="!!!"),"",IF(OR(J5464=0,AND(J5464=1,K5464=1),AND(J5464=1,I5464="SBJ"),AND(J5464=1,I5464=0)),"?IN_FOCUS",IF(J5464&lt;=2,"?ACTIVATED",IF(J5464&lt;&gt;"","?FAMILIAR",IF(F5464="NEW",IF(ISNA(VLOOKUP(E5464,#REF!,1,FALSE())),"?TYPE_IDENTIFIABLE","?REFERENTIAL"),"_")))))</f>
        <v> </v>
      </c>
      <c r="H5464" s="25" t="str">
        <f>IF(J5464&lt;&gt;1,"",IF(I5464="SBJ","CB","?"))</f>
        <v> </v>
      </c>
      <c r="I5464" s="26" t="str">
        <f>IF(OR(E5464="",E5464="!!!",F5464="NEW"),"",INDEX(B5463:B$2,-1+SUMPRODUCT(MAX(ROW(E5463:E$2)*(E5464=E5463:E$2)))))</f>
        <v> </v>
      </c>
      <c r="J5464" s="26" t="str">
        <f>IF(OR(E5464="",E5464="!!!",F5464="NEW"),"",COUNTBLANK(OFFSET(A$1,,,SUMPRODUCT(MAX(ROW(E$2:E5464)*(E5464=E$2:E5464)))))-COUNTBLANK(OFFSET(A$1,,,SUMPRODUCT(MAX(ROW(E$1:E5463)*(E2=E$1:E5463))))))</f>
        <v> </v>
      </c>
      <c r="K5464" s="26" t="str">
        <f>IF(OR(E5464="",E5464="!!!",F5464="NEW"),"",INDEX(J$1:J5463,SUMPRODUCT(MAX(ROW(E$1:E5463)*(E5464=E$1:E5463)))))</f>
        <v> </v>
      </c>
      <c r="L5464" s="27"/>
    </row>
    <row r="5465" spans="1:12">
      <c r="A5465" s="20" t="s">
        <v>1537</v>
      </c>
      <c r="E5465" s="22">
        <f>IF(D5465="?OLD","!!!","")</f>
        <v/>
      </c>
      <c r="F5465" s="23" t="str">
        <f>IF(OR(E5465="",E5465="!!!"),"",IF(NOT(ISNA(VLOOKUP(E5465,E$1:E5464,1,FALSE()))),"OLD",IF(AND(E5465&lt;&gt;"",E5465&lt;&gt;"!!!"),"NEW","")))</f>
        <v> </v>
      </c>
      <c r="G5465" s="24" t="str">
        <f>IF(OR(E5465="",E5465="!!!"),"",IF(OR(J5465=0,AND(J5465=1,K5465=1),AND(J5465=1,I5465="SBJ"),AND(J5465=1,I5465=0)),"?IN_FOCUS",IF(J5465&lt;=2,"?ACTIVATED",IF(J5465&lt;&gt;"","?FAMILIAR",IF(F5465="NEW",IF(ISNA(VLOOKUP(E5465,#REF!,1,FALSE())),"?TYPE_IDENTIFIABLE","?REFERENTIAL"),"_")))))</f>
        <v> </v>
      </c>
      <c r="H5465" s="25" t="str">
        <f>IF(J5465&lt;&gt;1,"",IF(I5465="SBJ","CB","?"))</f>
        <v> </v>
      </c>
      <c r="I5465" s="26" t="str">
        <f>IF(OR(E5465="",E5465="!!!",F5465="NEW"),"",INDEX(B5464:B$2,-1+SUMPRODUCT(MAX(ROW(E5464:E$2)*(E5465=E5464:E$2)))))</f>
        <v> </v>
      </c>
      <c r="J5465" s="26" t="str">
        <f>IF(OR(E5465="",E5465="!!!",F5465="NEW"),"",COUNTBLANK(OFFSET(A$1,,,SUMPRODUCT(MAX(ROW(E$2:E5465)*(E5465=E$2:E5465)))))-COUNTBLANK(OFFSET(A$1,,,SUMPRODUCT(MAX(ROW(E$1:E5464)*(E2=E$1:E5464))))))</f>
        <v> </v>
      </c>
      <c r="K5465" s="26" t="str">
        <f>IF(OR(E5465="",E5465="!!!",F5465="NEW"),"",INDEX(J$1:J5464,SUMPRODUCT(MAX(ROW(E$1:E5464)*(E5465=E$1:E5464)))))</f>
        <v> </v>
      </c>
      <c r="L5465" s="27"/>
    </row>
    <row r="5466" spans="1:12">
      <c r="A5466" s="20" t="s">
        <v>1224</v>
      </c>
      <c r="E5466" s="22">
        <f>IF(D5466="?OLD","!!!","")</f>
        <v/>
      </c>
      <c r="F5466" s="23" t="str">
        <f>IF(OR(E5466="",E5466="!!!"),"",IF(NOT(ISNA(VLOOKUP(E5466,E$1:E5465,1,FALSE()))),"OLD",IF(AND(E5466&lt;&gt;"",E5466&lt;&gt;"!!!"),"NEW","")))</f>
        <v> </v>
      </c>
      <c r="G5466" s="24" t="str">
        <f>IF(OR(E5466="",E5466="!!!"),"",IF(OR(J5466=0,AND(J5466=1,K5466=1),AND(J5466=1,I5466="SBJ"),AND(J5466=1,I5466=0)),"?IN_FOCUS",IF(J5466&lt;=2,"?ACTIVATED",IF(J5466&lt;&gt;"","?FAMILIAR",IF(F5466="NEW",IF(ISNA(VLOOKUP(E5466,#REF!,1,FALSE())),"?TYPE_IDENTIFIABLE","?REFERENTIAL"),"_")))))</f>
        <v> </v>
      </c>
      <c r="H5466" s="25" t="str">
        <f>IF(J5466&lt;&gt;1,"",IF(I5466="SBJ","CB","?"))</f>
        <v> </v>
      </c>
      <c r="I5466" s="26" t="str">
        <f>IF(OR(E5466="",E5466="!!!",F5466="NEW"),"",INDEX(B5465:B$2,-1+SUMPRODUCT(MAX(ROW(E5465:E$2)*(E5466=E5465:E$2)))))</f>
        <v> </v>
      </c>
      <c r="J5466" s="26" t="str">
        <f>IF(OR(E5466="",E5466="!!!",F5466="NEW"),"",COUNTBLANK(OFFSET(A$1,,,SUMPRODUCT(MAX(ROW(E$2:E5466)*(E5466=E$2:E5466)))))-COUNTBLANK(OFFSET(A$1,,,SUMPRODUCT(MAX(ROW(E$1:E5465)*(E2=E$1:E5465))))))</f>
        <v> </v>
      </c>
      <c r="K5466" s="26" t="str">
        <f>IF(OR(E5466="",E5466="!!!",F5466="NEW"),"",INDEX(J$1:J5465,SUMPRODUCT(MAX(ROW(E$1:E5465)*(E5466=E$1:E5465)))))</f>
        <v> </v>
      </c>
      <c r="L5466" s="27"/>
    </row>
    <row r="5467" spans="1:12">
      <c r="A5467" s="20" t="s">
        <v>1284</v>
      </c>
      <c r="B5467" s="21" t="s">
        <v>1178</v>
      </c>
      <c r="C5467" s="21" t="s">
        <v>1184</v>
      </c>
      <c r="E5467" s="22">
        <f>IF(D5467="?OLD","!!!","")</f>
        <v/>
      </c>
      <c r="F5467" s="23" t="str">
        <f>IF(OR(E5467="",E5467="!!!"),"",IF(NOT(ISNA(VLOOKUP(E5467,E$1:E5466,1,FALSE()))),"OLD",IF(AND(E5467&lt;&gt;"",E5467&lt;&gt;"!!!"),"NEW","")))</f>
        <v> </v>
      </c>
      <c r="G5467" s="24" t="str">
        <f>IF(OR(E5467="",E5467="!!!"),"",IF(OR(J5467=0,AND(J5467=1,K5467=1),AND(J5467=1,I5467="SBJ"),AND(J5467=1,I5467=0)),"?IN_FOCUS",IF(J5467&lt;=2,"?ACTIVATED",IF(J5467&lt;&gt;"","?FAMILIAR",IF(F5467="NEW",IF(ISNA(VLOOKUP(E5467,#REF!,1,FALSE())),"?TYPE_IDENTIFIABLE","?REFERENTIAL"),"_")))))</f>
        <v> </v>
      </c>
      <c r="H5467" s="25" t="str">
        <f>IF(J5467&lt;&gt;1,"",IF(I5467="SBJ","CB","?"))</f>
        <v> </v>
      </c>
      <c r="I5467" s="26" t="str">
        <f>IF(OR(E5467="",E5467="!!!",F5467="NEW"),"",INDEX(B5466:B$2,-1+SUMPRODUCT(MAX(ROW(E5466:E$2)*(E5467=E5466:E$2)))))</f>
        <v> </v>
      </c>
      <c r="J5467" s="26" t="str">
        <f>IF(OR(E5467="",E5467="!!!",F5467="NEW"),"",COUNTBLANK(OFFSET(A$1,,,SUMPRODUCT(MAX(ROW(E$2:E5467)*(E5467=E$2:E5467)))))-COUNTBLANK(OFFSET(A$1,,,SUMPRODUCT(MAX(ROW(E$1:E5466)*(E2=E$1:E5466))))))</f>
        <v> </v>
      </c>
      <c r="K5467" s="26" t="str">
        <f>IF(OR(E5467="",E5467="!!!",F5467="NEW"),"",INDEX(J$1:J5466,SUMPRODUCT(MAX(ROW(E$1:E5466)*(E5467=E$1:E5466)))))</f>
        <v> </v>
      </c>
      <c r="L5467" s="27"/>
    </row>
    <row r="5468" spans="1:12">
      <c r="A5468" s="20" t="s">
        <v>1185</v>
      </c>
      <c r="E5468" s="22">
        <f>IF(D5468="?OLD","!!!","")</f>
        <v/>
      </c>
      <c r="F5468" s="23" t="str">
        <f>IF(OR(E5468="",E5468="!!!"),"",IF(NOT(ISNA(VLOOKUP(E5468,E$1:E5467,1,FALSE()))),"OLD",IF(AND(E5468&lt;&gt;"",E5468&lt;&gt;"!!!"),"NEW","")))</f>
        <v> </v>
      </c>
      <c r="G5468" s="24" t="str">
        <f>IF(OR(E5468="",E5468="!!!"),"",IF(OR(J5468=0,AND(J5468=1,K5468=1),AND(J5468=1,I5468="SBJ"),AND(J5468=1,I5468=0)),"?IN_FOCUS",IF(J5468&lt;=2,"?ACTIVATED",IF(J5468&lt;&gt;"","?FAMILIAR",IF(F5468="NEW",IF(ISNA(VLOOKUP(E5468,#REF!,1,FALSE())),"?TYPE_IDENTIFIABLE","?REFERENTIAL"),"_")))))</f>
        <v> </v>
      </c>
      <c r="H5468" s="25" t="str">
        <f>IF(J5468&lt;&gt;1,"",IF(I5468="SBJ","CB","?"))</f>
        <v> </v>
      </c>
      <c r="I5468" s="26" t="str">
        <f>IF(OR(E5468="",E5468="!!!",F5468="NEW"),"",INDEX(B5467:B$2,-1+SUMPRODUCT(MAX(ROW(E5467:E$2)*(E5468=E5467:E$2)))))</f>
        <v> </v>
      </c>
      <c r="J5468" s="26" t="str">
        <f>IF(OR(E5468="",E5468="!!!",F5468="NEW"),"",COUNTBLANK(OFFSET(A$1,,,SUMPRODUCT(MAX(ROW(E$2:E5468)*(E5468=E$2:E5468)))))-COUNTBLANK(OFFSET(A$1,,,SUMPRODUCT(MAX(ROW(E$1:E5467)*(E2=E$1:E5467))))))</f>
        <v> </v>
      </c>
      <c r="K5468" s="26" t="str">
        <f>IF(OR(E5468="",E5468="!!!",F5468="NEW"),"",INDEX(J$1:J5467,SUMPRODUCT(MAX(ROW(E$1:E5467)*(E5468=E$1:E5467)))))</f>
        <v> </v>
      </c>
      <c r="L5468" s="27"/>
    </row>
    <row r="5469" spans="1:12">
      <c r="A5469" s="20" t="s">
        <v>1930</v>
      </c>
      <c r="E5469" s="22">
        <f>IF(D5469="?OLD","!!!","")</f>
        <v/>
      </c>
      <c r="F5469" s="23" t="str">
        <f>IF(OR(E5469="",E5469="!!!"),"",IF(NOT(ISNA(VLOOKUP(E5469,E$1:E5468,1,FALSE()))),"OLD",IF(AND(E5469&lt;&gt;"",E5469&lt;&gt;"!!!"),"NEW","")))</f>
        <v> </v>
      </c>
      <c r="G5469" s="24" t="str">
        <f>IF(OR(E5469="",E5469="!!!"),"",IF(OR(J5469=0,AND(J5469=1,K5469=1),AND(J5469=1,I5469="SBJ"),AND(J5469=1,I5469=0)),"?IN_FOCUS",IF(J5469&lt;=2,"?ACTIVATED",IF(J5469&lt;&gt;"","?FAMILIAR",IF(F5469="NEW",IF(ISNA(VLOOKUP(E5469,#REF!,1,FALSE())),"?TYPE_IDENTIFIABLE","?REFERENTIAL"),"_")))))</f>
        <v> </v>
      </c>
      <c r="H5469" s="25" t="str">
        <f>IF(J5469&lt;&gt;1,"",IF(I5469="SBJ","CB","?"))</f>
        <v> </v>
      </c>
      <c r="I5469" s="26" t="str">
        <f>IF(OR(E5469="",E5469="!!!",F5469="NEW"),"",INDEX(B5468:B$2,-1+SUMPRODUCT(MAX(ROW(E5468:E$2)*(E5469=E5468:E$2)))))</f>
        <v> </v>
      </c>
      <c r="J5469" s="26" t="str">
        <f>IF(OR(E5469="",E5469="!!!",F5469="NEW"),"",COUNTBLANK(OFFSET(A$1,,,SUMPRODUCT(MAX(ROW(E$2:E5469)*(E5469=E$2:E5469)))))-COUNTBLANK(OFFSET(A$1,,,SUMPRODUCT(MAX(ROW(E$1:E5468)*(E2=E$1:E5468))))))</f>
        <v> </v>
      </c>
      <c r="K5469" s="26" t="str">
        <f>IF(OR(E5469="",E5469="!!!",F5469="NEW"),"",INDEX(J$1:J5468,SUMPRODUCT(MAX(ROW(E$1:E5468)*(E5469=E$1:E5468)))))</f>
        <v> </v>
      </c>
      <c r="L5469" s="27"/>
    </row>
    <row r="5470" spans="1:12">
      <c r="A5470" s="20" t="s">
        <v>1224</v>
      </c>
      <c r="E5470" s="22">
        <f>IF(D5470="?OLD","!!!","")</f>
        <v/>
      </c>
      <c r="F5470" s="23" t="str">
        <f>IF(OR(E5470="",E5470="!!!"),"",IF(NOT(ISNA(VLOOKUP(E5470,E$1:E5469,1,FALSE()))),"OLD",IF(AND(E5470&lt;&gt;"",E5470&lt;&gt;"!!!"),"NEW","")))</f>
        <v> </v>
      </c>
      <c r="G5470" s="24" t="str">
        <f>IF(OR(E5470="",E5470="!!!"),"",IF(OR(J5470=0,AND(J5470=1,K5470=1),AND(J5470=1,I5470="SBJ"),AND(J5470=1,I5470=0)),"?IN_FOCUS",IF(J5470&lt;=2,"?ACTIVATED",IF(J5470&lt;&gt;"","?FAMILIAR",IF(F5470="NEW",IF(ISNA(VLOOKUP(E5470,#REF!,1,FALSE())),"?TYPE_IDENTIFIABLE","?REFERENTIAL"),"_")))))</f>
        <v> </v>
      </c>
      <c r="H5470" s="25" t="str">
        <f>IF(J5470&lt;&gt;1,"",IF(I5470="SBJ","CB","?"))</f>
        <v> </v>
      </c>
      <c r="I5470" s="26" t="str">
        <f>IF(OR(E5470="",E5470="!!!",F5470="NEW"),"",INDEX(B5469:B$2,-1+SUMPRODUCT(MAX(ROW(E5469:E$2)*(E5470=E5469:E$2)))))</f>
        <v> </v>
      </c>
      <c r="J5470" s="26" t="str">
        <f>IF(OR(E5470="",E5470="!!!",F5470="NEW"),"",COUNTBLANK(OFFSET(A$1,,,SUMPRODUCT(MAX(ROW(E$2:E5470)*(E5470=E$2:E5470)))))-COUNTBLANK(OFFSET(A$1,,,SUMPRODUCT(MAX(ROW(E$1:E5469)*(E2=E$1:E5469))))))</f>
        <v> </v>
      </c>
      <c r="K5470" s="26" t="str">
        <f>IF(OR(E5470="",E5470="!!!",F5470="NEW"),"",INDEX(J$1:J5469,SUMPRODUCT(MAX(ROW(E$1:E5469)*(E5470=E$1:E5469)))))</f>
        <v> </v>
      </c>
      <c r="L5470" s="27"/>
    </row>
    <row r="5471" spans="1:12">
      <c r="A5471" s="20" t="s">
        <v>1198</v>
      </c>
      <c r="E5471" s="22">
        <f>IF(D5471="?OLD","!!!","")</f>
        <v/>
      </c>
      <c r="F5471" s="23" t="str">
        <f>IF(OR(E5471="",E5471="!!!"),"",IF(NOT(ISNA(VLOOKUP(E5471,E$1:E5470,1,FALSE()))),"OLD",IF(AND(E5471&lt;&gt;"",E5471&lt;&gt;"!!!"),"NEW","")))</f>
        <v> </v>
      </c>
      <c r="G5471" s="24" t="str">
        <f>IF(OR(E5471="",E5471="!!!"),"",IF(OR(J5471=0,AND(J5471=1,K5471=1),AND(J5471=1,I5471="SBJ"),AND(J5471=1,I5471=0)),"?IN_FOCUS",IF(J5471&lt;=2,"?ACTIVATED",IF(J5471&lt;&gt;"","?FAMILIAR",IF(F5471="NEW",IF(ISNA(VLOOKUP(E5471,#REF!,1,FALSE())),"?TYPE_IDENTIFIABLE","?REFERENTIAL"),"_")))))</f>
        <v> </v>
      </c>
      <c r="H5471" s="25" t="str">
        <f>IF(J5471&lt;&gt;1,"",IF(I5471="SBJ","CB","?"))</f>
        <v> </v>
      </c>
      <c r="I5471" s="26" t="str">
        <f>IF(OR(E5471="",E5471="!!!",F5471="NEW"),"",INDEX(B5470:B$2,-1+SUMPRODUCT(MAX(ROW(E5470:E$2)*(E5471=E5470:E$2)))))</f>
        <v> </v>
      </c>
      <c r="J5471" s="26" t="str">
        <f>IF(OR(E5471="",E5471="!!!",F5471="NEW"),"",COUNTBLANK(OFFSET(A$1,,,SUMPRODUCT(MAX(ROW(E$2:E5471)*(E5471=E$2:E5471)))))-COUNTBLANK(OFFSET(A$1,,,SUMPRODUCT(MAX(ROW(E$1:E5470)*(E2=E$1:E5470))))))</f>
        <v> </v>
      </c>
      <c r="K5471" s="26" t="str">
        <f>IF(OR(E5471="",E5471="!!!",F5471="NEW"),"",INDEX(J$1:J5470,SUMPRODUCT(MAX(ROW(E$1:E5470)*(E5471=E$1:E5470)))))</f>
        <v> </v>
      </c>
      <c r="L5471" s="27"/>
    </row>
    <row r="5472" spans="1:12">
      <c r="A5472" s="20" t="s">
        <v>2711</v>
      </c>
      <c r="B5472" s="21" t="s">
        <v>1178</v>
      </c>
      <c r="C5472" s="21" t="s">
        <v>1188</v>
      </c>
      <c r="D5472" s="21" t="s">
        <v>1180</v>
      </c>
      <c r="E5472" s="22">
        <f>IF(D5472="?OLD","!!!","")</f>
        <v/>
      </c>
      <c r="F5472" s="23" t="str">
        <f>IF(OR(E5472="",E5472="!!!"),"",IF(NOT(ISNA(VLOOKUP(E5472,E$1:E5471,1,FALSE()))),"OLD",IF(AND(E5472&lt;&gt;"",E5472&lt;&gt;"!!!"),"NEW","")))</f>
        <v> </v>
      </c>
      <c r="G5472" s="24" t="str">
        <f>IF(OR(E5472="",E5472="!!!"),"",IF(OR(J5472=0,AND(J5472=1,K5472=1),AND(J5472=1,I5472="SBJ"),AND(J5472=1,I5472=0)),"?IN_FOCUS",IF(J5472&lt;=2,"?ACTIVATED",IF(J5472&lt;&gt;"","?FAMILIAR",IF(F5472="NEW",IF(ISNA(VLOOKUP(E5472,#REF!,1,FALSE())),"?TYPE_IDENTIFIABLE","?REFERENTIAL"),"_")))))</f>
        <v> </v>
      </c>
      <c r="H5472" s="25" t="str">
        <f>IF(J5472&lt;&gt;1,"",IF(I5472="SBJ","CB","?"))</f>
        <v> </v>
      </c>
      <c r="I5472" s="26" t="str">
        <f>IF(OR(E5472="",E5472="!!!",F5472="NEW"),"",INDEX(B5471:B$2,-1+SUMPRODUCT(MAX(ROW(E5471:E$2)*(E5472=E5471:E$2)))))</f>
        <v> </v>
      </c>
      <c r="J5472" s="26" t="str">
        <f>IF(OR(E5472="",E5472="!!!",F5472="NEW"),"",COUNTBLANK(OFFSET(A$1,,,SUMPRODUCT(MAX(ROW(E$2:E5472)*(E5472=E$2:E5472)))))-COUNTBLANK(OFFSET(A$1,,,SUMPRODUCT(MAX(ROW(E$1:E5471)*(E2=E$1:E5471))))))</f>
        <v> </v>
      </c>
      <c r="K5472" s="26" t="str">
        <f>IF(OR(E5472="",E5472="!!!",F5472="NEW"),"",INDEX(J$1:J5471,SUMPRODUCT(MAX(ROW(E$1:E5471)*(E5472=E$1:E5471)))))</f>
        <v> </v>
      </c>
      <c r="L5472" s="27"/>
    </row>
    <row r="5473" spans="1:12">
      <c r="A5473" s="20" t="s">
        <v>1189</v>
      </c>
      <c r="E5473" s="22">
        <f>IF(D5473="?OLD","!!!","")</f>
        <v/>
      </c>
      <c r="F5473" s="23" t="str">
        <f>IF(OR(E5473="",E5473="!!!"),"",IF(NOT(ISNA(VLOOKUP(E5473,E$1:E5472,1,FALSE()))),"OLD",IF(AND(E5473&lt;&gt;"",E5473&lt;&gt;"!!!"),"NEW","")))</f>
        <v> </v>
      </c>
      <c r="G5473" s="24" t="str">
        <f>IF(OR(E5473="",E5473="!!!"),"",IF(OR(J5473=0,AND(J5473=1,K5473=1),AND(J5473=1,I5473="SBJ"),AND(J5473=1,I5473=0)),"?IN_FOCUS",IF(J5473&lt;=2,"?ACTIVATED",IF(J5473&lt;&gt;"","?FAMILIAR",IF(F5473="NEW",IF(ISNA(VLOOKUP(E5473,#REF!,1,FALSE())),"?TYPE_IDENTIFIABLE","?REFERENTIAL"),"_")))))</f>
        <v> </v>
      </c>
      <c r="H5473" s="25" t="str">
        <f>IF(J5473&lt;&gt;1,"",IF(I5473="SBJ","CB","?"))</f>
        <v> </v>
      </c>
      <c r="I5473" s="26" t="str">
        <f>IF(OR(E5473="",E5473="!!!",F5473="NEW"),"",INDEX(B5472:B$2,-1+SUMPRODUCT(MAX(ROW(E5472:E$2)*(E5473=E5472:E$2)))))</f>
        <v> </v>
      </c>
      <c r="J5473" s="26" t="str">
        <f>IF(OR(E5473="",E5473="!!!",F5473="NEW"),"",COUNTBLANK(OFFSET(A$1,,,SUMPRODUCT(MAX(ROW(E$2:E5473)*(E5473=E$2:E5473)))))-COUNTBLANK(OFFSET(A$1,,,SUMPRODUCT(MAX(ROW(E$1:E5472)*(E2=E$1:E5472))))))</f>
        <v> </v>
      </c>
      <c r="K5473" s="26" t="str">
        <f>IF(OR(E5473="",E5473="!!!",F5473="NEW"),"",INDEX(J$1:J5472,SUMPRODUCT(MAX(ROW(E$1:E5472)*(E5473=E$1:E5472)))))</f>
        <v> </v>
      </c>
      <c r="L5473" s="27"/>
    </row>
    <row r="5474" spans="1:12">
      <c r="A5474" s="20" t="s">
        <v>1190</v>
      </c>
      <c r="B5474" s="21" t="s">
        <v>1191</v>
      </c>
      <c r="C5474" s="21" t="s">
        <v>1188</v>
      </c>
      <c r="D5474" s="21" t="s">
        <v>1180</v>
      </c>
      <c r="E5474" s="22">
        <f>IF(D5474="?OLD","!!!","")</f>
        <v/>
      </c>
      <c r="F5474" s="23" t="str">
        <f>IF(OR(E5474="",E5474="!!!"),"",IF(NOT(ISNA(VLOOKUP(E5474,E$1:E5473,1,FALSE()))),"OLD",IF(AND(E5474&lt;&gt;"",E5474&lt;&gt;"!!!"),"NEW","")))</f>
        <v> </v>
      </c>
      <c r="G5474" s="24" t="str">
        <f>IF(OR(E5474="",E5474="!!!"),"",IF(OR(J5474=0,AND(J5474=1,K5474=1),AND(J5474=1,I5474="SBJ"),AND(J5474=1,I5474=0)),"?IN_FOCUS",IF(J5474&lt;=2,"?ACTIVATED",IF(J5474&lt;&gt;"","?FAMILIAR",IF(F5474="NEW",IF(ISNA(VLOOKUP(E5474,#REF!,1,FALSE())),"?TYPE_IDENTIFIABLE","?REFERENTIAL"),"_")))))</f>
        <v> </v>
      </c>
      <c r="H5474" s="25" t="str">
        <f>IF(J5474&lt;&gt;1,"",IF(I5474="SBJ","CB","?"))</f>
        <v> </v>
      </c>
      <c r="I5474" s="26" t="str">
        <f>IF(OR(E5474="",E5474="!!!",F5474="NEW"),"",INDEX(B5473:B$2,-1+SUMPRODUCT(MAX(ROW(E5473:E$2)*(E5474=E5473:E$2)))))</f>
        <v> </v>
      </c>
      <c r="J5474" s="26" t="str">
        <f>IF(OR(E5474="",E5474="!!!",F5474="NEW"),"",COUNTBLANK(OFFSET(A$1,,,SUMPRODUCT(MAX(ROW(E$2:E5474)*(E5474=E$2:E5474)))))-COUNTBLANK(OFFSET(A$1,,,SUMPRODUCT(MAX(ROW(E$1:E5473)*(E2=E$1:E5473))))))</f>
        <v> </v>
      </c>
      <c r="K5474" s="26" t="str">
        <f>IF(OR(E5474="",E5474="!!!",F5474="NEW"),"",INDEX(J$1:J5473,SUMPRODUCT(MAX(ROW(E$1:E5473)*(E5474=E$1:E5473)))))</f>
        <v> </v>
      </c>
      <c r="L5474" s="27"/>
    </row>
    <row r="5475" spans="1:12">
      <c r="A5475" s="20" t="s">
        <v>818</v>
      </c>
      <c r="E5475" s="22">
        <f>IF(D5475="?OLD","!!!","")</f>
        <v/>
      </c>
      <c r="F5475" s="23" t="str">
        <f>IF(OR(E5475="",E5475="!!!"),"",IF(NOT(ISNA(VLOOKUP(E5475,E$1:E5474,1,FALSE()))),"OLD",IF(AND(E5475&lt;&gt;"",E5475&lt;&gt;"!!!"),"NEW","")))</f>
        <v> </v>
      </c>
      <c r="G5475" s="24" t="str">
        <f>IF(OR(E5475="",E5475="!!!"),"",IF(OR(J5475=0,AND(J5475=1,K5475=1),AND(J5475=1,I5475="SBJ"),AND(J5475=1,I5475=0)),"?IN_FOCUS",IF(J5475&lt;=2,"?ACTIVATED",IF(J5475&lt;&gt;"","?FAMILIAR",IF(F5475="NEW",IF(ISNA(VLOOKUP(E5475,#REF!,1,FALSE())),"?TYPE_IDENTIFIABLE","?REFERENTIAL"),"_")))))</f>
        <v> </v>
      </c>
      <c r="H5475" s="25" t="str">
        <f>IF(J5475&lt;&gt;1,"",IF(I5475="SBJ","CB","?"))</f>
        <v> </v>
      </c>
      <c r="I5475" s="26" t="str">
        <f>IF(OR(E5475="",E5475="!!!",F5475="NEW"),"",INDEX(B5474:B$2,-1+SUMPRODUCT(MAX(ROW(E5474:E$2)*(E5475=E5474:E$2)))))</f>
        <v> </v>
      </c>
      <c r="J5475" s="26" t="str">
        <f>IF(OR(E5475="",E5475="!!!",F5475="NEW"),"",COUNTBLANK(OFFSET(A$1,,,SUMPRODUCT(MAX(ROW(E$2:E5475)*(E5475=E$2:E5475)))))-COUNTBLANK(OFFSET(A$1,,,SUMPRODUCT(MAX(ROW(E$1:E5474)*(E2=E$1:E5474))))))</f>
        <v> </v>
      </c>
      <c r="K5475" s="26" t="str">
        <f>IF(OR(E5475="",E5475="!!!",F5475="NEW"),"",INDEX(J$1:J5474,SUMPRODUCT(MAX(ROW(E$1:E5474)*(E5475=E$1:E5474)))))</f>
        <v> </v>
      </c>
      <c r="L5475" s="27"/>
    </row>
    <row r="5476" spans="1:12">
      <c r="A5476" s="20"/>
    </row>
    <row r="5477" spans="1:12">
      <c r="A5477" s="20" t="s">
        <v>2712</v>
      </c>
    </row>
    <row r="5478" spans="1:12">
      <c r="A5478" s="20" t="s">
        <v>1256</v>
      </c>
      <c r="B5478" s="21" t="s">
        <v>1194</v>
      </c>
      <c r="C5478" s="21" t="s">
        <v>1195</v>
      </c>
      <c r="D5478" s="21" t="s">
        <v>1180</v>
      </c>
      <c r="E5478" s="22">
        <f>IF(D5478="?OLD","!!!","")</f>
        <v/>
      </c>
      <c r="F5478" s="23" t="str">
        <f>IF(OR(E5478="",E5478="!!!"),"",IF(NOT(ISNA(VLOOKUP(E5478,E$1:E5477,1,FALSE()))),"OLD",IF(AND(E5478&lt;&gt;"",E5478&lt;&gt;"!!!"),"NEW","")))</f>
        <v> </v>
      </c>
      <c r="G5478" s="24" t="str">
        <f>IF(OR(E5478="",E5478="!!!"),"",IF(OR(J5478=0,AND(J5478=1,K5478=1),AND(J5478=1,I5478="SBJ"),AND(J5478=1,I5478=0)),"?IN_FOCUS",IF(J5478&lt;=2,"?ACTIVATED",IF(J5478&lt;&gt;"","?FAMILIAR",IF(F5478="NEW",IF(ISNA(VLOOKUP(E5478,#REF!,1,FALSE())),"?TYPE_IDENTIFIABLE","?REFERENTIAL"),"_")))))</f>
        <v> </v>
      </c>
      <c r="H5478" s="25" t="str">
        <f>IF(J5478&lt;&gt;1,"",IF(I5478="SBJ","CB","?"))</f>
        <v> </v>
      </c>
      <c r="I5478" s="26" t="str">
        <f>IF(OR(E5478="",E5478="!!!",F5478="NEW"),"",INDEX(B5477:B$2,-1+SUMPRODUCT(MAX(ROW(E5477:E$2)*(E5478=E5477:E$2)))))</f>
        <v> </v>
      </c>
      <c r="J5478" s="26" t="str">
        <f>IF(OR(E5478="",E5478="!!!",F5478="NEW"),"",COUNTBLANK(OFFSET(A$1,,,SUMPRODUCT(MAX(ROW(E$2:E5478)*(E5478=E$2:E5478)))))-COUNTBLANK(OFFSET(A$1,,,SUMPRODUCT(MAX(ROW(E$1:E5477)*(E2=E$1:E5477))))))</f>
        <v> </v>
      </c>
      <c r="K5478" s="26" t="str">
        <f>IF(OR(E5478="",E5478="!!!",F5478="NEW"),"",INDEX(J$1:J5477,SUMPRODUCT(MAX(ROW(E$1:E5477)*(E5478=E$1:E5477)))))</f>
        <v> </v>
      </c>
      <c r="L5478" s="27"/>
    </row>
    <row r="5479" spans="1:12">
      <c r="A5479" s="20" t="s">
        <v>1257</v>
      </c>
      <c r="E5479" s="22">
        <f>IF(D5479="?OLD","!!!","")</f>
        <v/>
      </c>
      <c r="F5479" s="23" t="str">
        <f>IF(OR(E5479="",E5479="!!!"),"",IF(NOT(ISNA(VLOOKUP(E5479,E$1:E5478,1,FALSE()))),"OLD",IF(AND(E5479&lt;&gt;"",E5479&lt;&gt;"!!!"),"NEW","")))</f>
        <v> </v>
      </c>
      <c r="G5479" s="24" t="str">
        <f>IF(OR(E5479="",E5479="!!!"),"",IF(OR(J5479=0,AND(J5479=1,K5479=1),AND(J5479=1,I5479="SBJ"),AND(J5479=1,I5479=0)),"?IN_FOCUS",IF(J5479&lt;=2,"?ACTIVATED",IF(J5479&lt;&gt;"","?FAMILIAR",IF(F5479="NEW",IF(ISNA(VLOOKUP(E5479,#REF!,1,FALSE())),"?TYPE_IDENTIFIABLE","?REFERENTIAL"),"_")))))</f>
        <v> </v>
      </c>
      <c r="H5479" s="25" t="str">
        <f>IF(J5479&lt;&gt;1,"",IF(I5479="SBJ","CB","?"))</f>
        <v> </v>
      </c>
      <c r="I5479" s="26" t="str">
        <f>IF(OR(E5479="",E5479="!!!",F5479="NEW"),"",INDEX(B5478:B$2,-1+SUMPRODUCT(MAX(ROW(E5478:E$2)*(E5479=E5478:E$2)))))</f>
        <v> </v>
      </c>
      <c r="J5479" s="26" t="str">
        <f>IF(OR(E5479="",E5479="!!!",F5479="NEW"),"",COUNTBLANK(OFFSET(A$1,,,SUMPRODUCT(MAX(ROW(E$2:E5479)*(E5479=E$2:E5479)))))-COUNTBLANK(OFFSET(A$1,,,SUMPRODUCT(MAX(ROW(E$1:E5478)*(E2=E$1:E5478))))))</f>
        <v> </v>
      </c>
      <c r="K5479" s="26" t="str">
        <f>IF(OR(E5479="",E5479="!!!",F5479="NEW"),"",INDEX(J$1:J5478,SUMPRODUCT(MAX(ROW(E$1:E5478)*(E5479=E$1:E5478)))))</f>
        <v> </v>
      </c>
      <c r="L5479" s="27"/>
    </row>
    <row r="5480" spans="1:12">
      <c r="A5480" s="20" t="s">
        <v>1381</v>
      </c>
      <c r="B5480" s="21" t="s">
        <v>1178</v>
      </c>
      <c r="C5480" s="21" t="s">
        <v>1254</v>
      </c>
      <c r="E5480" s="22">
        <f>IF(D5480="?OLD","!!!","")</f>
        <v/>
      </c>
      <c r="F5480" s="23" t="str">
        <f>IF(OR(E5480="",E5480="!!!"),"",IF(NOT(ISNA(VLOOKUP(E5480,E$1:E5479,1,FALSE()))),"OLD",IF(AND(E5480&lt;&gt;"",E5480&lt;&gt;"!!!"),"NEW","")))</f>
        <v> </v>
      </c>
      <c r="G5480" s="24" t="str">
        <f>IF(OR(E5480="",E5480="!!!"),"",IF(OR(J5480=0,AND(J5480=1,K5480=1),AND(J5480=1,I5480="SBJ"),AND(J5480=1,I5480=0)),"?IN_FOCUS",IF(J5480&lt;=2,"?ACTIVATED",IF(J5480&lt;&gt;"","?FAMILIAR",IF(F5480="NEW",IF(ISNA(VLOOKUP(E5480,#REF!,1,FALSE())),"?TYPE_IDENTIFIABLE","?REFERENTIAL"),"_")))))</f>
        <v> </v>
      </c>
      <c r="H5480" s="25" t="str">
        <f>IF(J5480&lt;&gt;1,"",IF(I5480="SBJ","CB","?"))</f>
        <v> </v>
      </c>
      <c r="I5480" s="26" t="str">
        <f>IF(OR(E5480="",E5480="!!!",F5480="NEW"),"",INDEX(B5479:B$2,-1+SUMPRODUCT(MAX(ROW(E5479:E$2)*(E5480=E5479:E$2)))))</f>
        <v> </v>
      </c>
      <c r="J5480" s="26" t="str">
        <f>IF(OR(E5480="",E5480="!!!",F5480="NEW"),"",COUNTBLANK(OFFSET(A$1,,,SUMPRODUCT(MAX(ROW(E$2:E5480)*(E5480=E$2:E5480)))))-COUNTBLANK(OFFSET(A$1,,,SUMPRODUCT(MAX(ROW(E$1:E5479)*(E2=E$1:E5479))))))</f>
        <v> </v>
      </c>
      <c r="K5480" s="26" t="str">
        <f>IF(OR(E5480="",E5480="!!!",F5480="NEW"),"",INDEX(J$1:J5479,SUMPRODUCT(MAX(ROW(E$1:E5479)*(E5480=E$1:E5479)))))</f>
        <v> </v>
      </c>
      <c r="L5480" s="27"/>
    </row>
    <row r="5481" spans="1:12">
      <c r="A5481" s="20" t="s">
        <v>1185</v>
      </c>
      <c r="E5481" s="22">
        <f>IF(D5481="?OLD","!!!","")</f>
        <v/>
      </c>
      <c r="F5481" s="23" t="str">
        <f>IF(OR(E5481="",E5481="!!!"),"",IF(NOT(ISNA(VLOOKUP(E5481,E$1:E5480,1,FALSE()))),"OLD",IF(AND(E5481&lt;&gt;"",E5481&lt;&gt;"!!!"),"NEW","")))</f>
        <v> </v>
      </c>
      <c r="G5481" s="24" t="str">
        <f>IF(OR(E5481="",E5481="!!!"),"",IF(OR(J5481=0,AND(J5481=1,K5481=1),AND(J5481=1,I5481="SBJ"),AND(J5481=1,I5481=0)),"?IN_FOCUS",IF(J5481&lt;=2,"?ACTIVATED",IF(J5481&lt;&gt;"","?FAMILIAR",IF(F5481="NEW",IF(ISNA(VLOOKUP(E5481,#REF!,1,FALSE())),"?TYPE_IDENTIFIABLE","?REFERENTIAL"),"_")))))</f>
        <v> </v>
      </c>
      <c r="H5481" s="25" t="str">
        <f>IF(J5481&lt;&gt;1,"",IF(I5481="SBJ","CB","?"))</f>
        <v> </v>
      </c>
      <c r="I5481" s="26" t="str">
        <f>IF(OR(E5481="",E5481="!!!",F5481="NEW"),"",INDEX(B5480:B$2,-1+SUMPRODUCT(MAX(ROW(E5480:E$2)*(E5481=E5480:E$2)))))</f>
        <v> </v>
      </c>
      <c r="J5481" s="26" t="str">
        <f>IF(OR(E5481="",E5481="!!!",F5481="NEW"),"",COUNTBLANK(OFFSET(A$1,,,SUMPRODUCT(MAX(ROW(E$2:E5481)*(E5481=E$2:E5481)))))-COUNTBLANK(OFFSET(A$1,,,SUMPRODUCT(MAX(ROW(E$1:E5480)*(E2=E$1:E5480))))))</f>
        <v> </v>
      </c>
      <c r="K5481" s="26" t="str">
        <f>IF(OR(E5481="",E5481="!!!",F5481="NEW"),"",INDEX(J$1:J5480,SUMPRODUCT(MAX(ROW(E$1:E5480)*(E5481=E$1:E5480)))))</f>
        <v> </v>
      </c>
      <c r="L5481" s="27"/>
    </row>
    <row r="5482" spans="1:12">
      <c r="A5482" s="20" t="s">
        <v>1197</v>
      </c>
      <c r="E5482" s="22">
        <f>IF(D5482="?OLD","!!!","")</f>
        <v/>
      </c>
      <c r="F5482" s="23" t="str">
        <f>IF(OR(E5482="",E5482="!!!"),"",IF(NOT(ISNA(VLOOKUP(E5482,E$1:E5481,1,FALSE()))),"OLD",IF(AND(E5482&lt;&gt;"",E5482&lt;&gt;"!!!"),"NEW","")))</f>
        <v> </v>
      </c>
      <c r="G5482" s="24" t="str">
        <f>IF(OR(E5482="",E5482="!!!"),"",IF(OR(J5482=0,AND(J5482=1,K5482=1),AND(J5482=1,I5482="SBJ"),AND(J5482=1,I5482=0)),"?IN_FOCUS",IF(J5482&lt;=2,"?ACTIVATED",IF(J5482&lt;&gt;"","?FAMILIAR",IF(F5482="NEW",IF(ISNA(VLOOKUP(E5482,#REF!,1,FALSE())),"?TYPE_IDENTIFIABLE","?REFERENTIAL"),"_")))))</f>
        <v> </v>
      </c>
      <c r="H5482" s="25" t="str">
        <f>IF(J5482&lt;&gt;1,"",IF(I5482="SBJ","CB","?"))</f>
        <v> </v>
      </c>
      <c r="I5482" s="26" t="str">
        <f>IF(OR(E5482="",E5482="!!!",F5482="NEW"),"",INDEX(B5481:B$2,-1+SUMPRODUCT(MAX(ROW(E5481:E$2)*(E5482=E5481:E$2)))))</f>
        <v> </v>
      </c>
      <c r="J5482" s="26" t="str">
        <f>IF(OR(E5482="",E5482="!!!",F5482="NEW"),"",COUNTBLANK(OFFSET(A$1,,,SUMPRODUCT(MAX(ROW(E$2:E5482)*(E5482=E$2:E5482)))))-COUNTBLANK(OFFSET(A$1,,,SUMPRODUCT(MAX(ROW(E$1:E5481)*(E2=E$1:E5481))))))</f>
        <v> </v>
      </c>
      <c r="K5482" s="26" t="str">
        <f>IF(OR(E5482="",E5482="!!!",F5482="NEW"),"",INDEX(J$1:J5481,SUMPRODUCT(MAX(ROW(E$1:E5481)*(E5482=E$1:E5481)))))</f>
        <v> </v>
      </c>
      <c r="L5482" s="27"/>
    </row>
    <row r="5483" spans="1:12">
      <c r="A5483" s="20" t="s">
        <v>1495</v>
      </c>
      <c r="B5483" s="21" t="s">
        <v>1191</v>
      </c>
      <c r="C5483" s="21" t="s">
        <v>1208</v>
      </c>
      <c r="D5483" s="21" t="s">
        <v>1180</v>
      </c>
      <c r="E5483" s="22">
        <f>IF(D5483="?OLD","!!!","")</f>
        <v/>
      </c>
      <c r="F5483" s="23" t="str">
        <f>IF(OR(E5483="",E5483="!!!"),"",IF(NOT(ISNA(VLOOKUP(E5483,E$1:E5482,1,FALSE()))),"OLD",IF(AND(E5483&lt;&gt;"",E5483&lt;&gt;"!!!"),"NEW","")))</f>
        <v> </v>
      </c>
      <c r="G5483" s="24" t="str">
        <f>IF(OR(E5483="",E5483="!!!"),"",IF(OR(J5483=0,AND(J5483=1,K5483=1),AND(J5483=1,I5483="SBJ"),AND(J5483=1,I5483=0)),"?IN_FOCUS",IF(J5483&lt;=2,"?ACTIVATED",IF(J5483&lt;&gt;"","?FAMILIAR",IF(F5483="NEW",IF(ISNA(VLOOKUP(E5483,#REF!,1,FALSE())),"?TYPE_IDENTIFIABLE","?REFERENTIAL"),"_")))))</f>
        <v> </v>
      </c>
      <c r="H5483" s="25" t="str">
        <f>IF(J5483&lt;&gt;1,"",IF(I5483="SBJ","CB","?"))</f>
        <v> </v>
      </c>
      <c r="I5483" s="26" t="str">
        <f>IF(OR(E5483="",E5483="!!!",F5483="NEW"),"",INDEX(B5482:B$2,-1+SUMPRODUCT(MAX(ROW(E5482:E$2)*(E5483=E5482:E$2)))))</f>
        <v> </v>
      </c>
      <c r="J5483" s="26" t="str">
        <f>IF(OR(E5483="",E5483="!!!",F5483="NEW"),"",COUNTBLANK(OFFSET(A$1,,,SUMPRODUCT(MAX(ROW(E$2:E5483)*(E5483=E$2:E5483)))))-COUNTBLANK(OFFSET(A$1,,,SUMPRODUCT(MAX(ROW(E$1:E5482)*(E2=E$1:E5482))))))</f>
        <v> </v>
      </c>
      <c r="K5483" s="26" t="str">
        <f>IF(OR(E5483="",E5483="!!!",F5483="NEW"),"",INDEX(J$1:J5482,SUMPRODUCT(MAX(ROW(E$1:E5482)*(E5483=E$1:E5482)))))</f>
        <v> </v>
      </c>
      <c r="L5483" s="27"/>
    </row>
    <row r="5484" spans="1:12">
      <c r="A5484" s="20" t="s">
        <v>1263</v>
      </c>
      <c r="B5484" s="21" t="s">
        <v>1240</v>
      </c>
      <c r="C5484" s="21" t="s">
        <v>1195</v>
      </c>
      <c r="D5484" s="21" t="s">
        <v>1180</v>
      </c>
      <c r="E5484" s="22">
        <f>IF(D5484="?OLD","!!!","")</f>
        <v/>
      </c>
      <c r="F5484" s="23" t="str">
        <f>IF(OR(E5484="",E5484="!!!"),"",IF(NOT(ISNA(VLOOKUP(E5484,E$1:E5483,1,FALSE()))),"OLD",IF(AND(E5484&lt;&gt;"",E5484&lt;&gt;"!!!"),"NEW","")))</f>
        <v> </v>
      </c>
      <c r="G5484" s="24" t="str">
        <f>IF(OR(E5484="",E5484="!!!"),"",IF(OR(J5484=0,AND(J5484=1,K5484=1),AND(J5484=1,I5484="SBJ"),AND(J5484=1,I5484=0)),"?IN_FOCUS",IF(J5484&lt;=2,"?ACTIVATED",IF(J5484&lt;&gt;"","?FAMILIAR",IF(F5484="NEW",IF(ISNA(VLOOKUP(E5484,#REF!,1,FALSE())),"?TYPE_IDENTIFIABLE","?REFERENTIAL"),"_")))))</f>
        <v> </v>
      </c>
      <c r="H5484" s="25" t="str">
        <f>IF(J5484&lt;&gt;1,"",IF(I5484="SBJ","CB","?"))</f>
        <v> </v>
      </c>
      <c r="I5484" s="26" t="str">
        <f>IF(OR(E5484="",E5484="!!!",F5484="NEW"),"",INDEX(B5483:B$2,-1+SUMPRODUCT(MAX(ROW(E5483:E$2)*(E5484=E5483:E$2)))))</f>
        <v> </v>
      </c>
      <c r="J5484" s="26" t="str">
        <f>IF(OR(E5484="",E5484="!!!",F5484="NEW"),"",COUNTBLANK(OFFSET(A$1,,,SUMPRODUCT(MAX(ROW(E$2:E5484)*(E5484=E$2:E5484)))))-COUNTBLANK(OFFSET(A$1,,,SUMPRODUCT(MAX(ROW(E$1:E5483)*(E2=E$1:E5483))))))</f>
        <v> </v>
      </c>
      <c r="K5484" s="26" t="str">
        <f>IF(OR(E5484="",E5484="!!!",F5484="NEW"),"",INDEX(J$1:J5483,SUMPRODUCT(MAX(ROW(E$1:E5483)*(E5484=E$1:E5483)))))</f>
        <v> </v>
      </c>
      <c r="L5484" s="27"/>
    </row>
    <row r="5485" spans="1:12">
      <c r="A5485" s="20" t="s">
        <v>2713</v>
      </c>
      <c r="E5485" s="22">
        <f>IF(D5485="?OLD","!!!","")</f>
        <v/>
      </c>
      <c r="F5485" s="23" t="str">
        <f>IF(OR(E5485="",E5485="!!!"),"",IF(NOT(ISNA(VLOOKUP(E5485,E$1:E5484,1,FALSE()))),"OLD",IF(AND(E5485&lt;&gt;"",E5485&lt;&gt;"!!!"),"NEW","")))</f>
        <v> </v>
      </c>
      <c r="G5485" s="24" t="str">
        <f>IF(OR(E5485="",E5485="!!!"),"",IF(OR(J5485=0,AND(J5485=1,K5485=1),AND(J5485=1,I5485="SBJ"),AND(J5485=1,I5485=0)),"?IN_FOCUS",IF(J5485&lt;=2,"?ACTIVATED",IF(J5485&lt;&gt;"","?FAMILIAR",IF(F5485="NEW",IF(ISNA(VLOOKUP(E5485,#REF!,1,FALSE())),"?TYPE_IDENTIFIABLE","?REFERENTIAL"),"_")))))</f>
        <v> </v>
      </c>
      <c r="H5485" s="25" t="str">
        <f>IF(J5485&lt;&gt;1,"",IF(I5485="SBJ","CB","?"))</f>
        <v> </v>
      </c>
      <c r="I5485" s="26" t="str">
        <f>IF(OR(E5485="",E5485="!!!",F5485="NEW"),"",INDEX(B5484:B$2,-1+SUMPRODUCT(MAX(ROW(E5484:E$2)*(E5485=E5484:E$2)))))</f>
        <v> </v>
      </c>
      <c r="J5485" s="26" t="str">
        <f>IF(OR(E5485="",E5485="!!!",F5485="NEW"),"",COUNTBLANK(OFFSET(A$1,,,SUMPRODUCT(MAX(ROW(E$2:E5485)*(E5485=E$2:E5485)))))-COUNTBLANK(OFFSET(A$1,,,SUMPRODUCT(MAX(ROW(E$1:E5484)*(E2=E$1:E5484))))))</f>
        <v> </v>
      </c>
      <c r="K5485" s="26" t="str">
        <f>IF(OR(E5485="",E5485="!!!",F5485="NEW"),"",INDEX(J$1:J5484,SUMPRODUCT(MAX(ROW(E$1:E5484)*(E5485=E$1:E5484)))))</f>
        <v> </v>
      </c>
      <c r="L5485" s="27"/>
    </row>
    <row r="5486" spans="1:12">
      <c r="A5486" s="20" t="s">
        <v>818</v>
      </c>
      <c r="E5486" s="22">
        <f>IF(D5486="?OLD","!!!","")</f>
        <v/>
      </c>
      <c r="F5486" s="23" t="str">
        <f>IF(OR(E5486="",E5486="!!!"),"",IF(NOT(ISNA(VLOOKUP(E5486,E$1:E5485,1,FALSE()))),"OLD",IF(AND(E5486&lt;&gt;"",E5486&lt;&gt;"!!!"),"NEW","")))</f>
        <v> </v>
      </c>
      <c r="G5486" s="24" t="str">
        <f>IF(OR(E5486="",E5486="!!!"),"",IF(OR(J5486=0,AND(J5486=1,K5486=1),AND(J5486=1,I5486="SBJ"),AND(J5486=1,I5486=0)),"?IN_FOCUS",IF(J5486&lt;=2,"?ACTIVATED",IF(J5486&lt;&gt;"","?FAMILIAR",IF(F5486="NEW",IF(ISNA(VLOOKUP(E5486,#REF!,1,FALSE())),"?TYPE_IDENTIFIABLE","?REFERENTIAL"),"_")))))</f>
        <v> </v>
      </c>
      <c r="H5486" s="25" t="str">
        <f>IF(J5486&lt;&gt;1,"",IF(I5486="SBJ","CB","?"))</f>
        <v> </v>
      </c>
      <c r="I5486" s="26" t="str">
        <f>IF(OR(E5486="",E5486="!!!",F5486="NEW"),"",INDEX(B5485:B$2,-1+SUMPRODUCT(MAX(ROW(E5485:E$2)*(E5486=E5485:E$2)))))</f>
        <v> </v>
      </c>
      <c r="J5486" s="26" t="str">
        <f>IF(OR(E5486="",E5486="!!!",F5486="NEW"),"",COUNTBLANK(OFFSET(A$1,,,SUMPRODUCT(MAX(ROW(E$2:E5486)*(E5486=E$2:E5486)))))-COUNTBLANK(OFFSET(A$1,,,SUMPRODUCT(MAX(ROW(E$1:E5485)*(E2=E$1:E5485))))))</f>
        <v> </v>
      </c>
      <c r="K5486" s="26" t="str">
        <f>IF(OR(E5486="",E5486="!!!",F5486="NEW"),"",INDEX(J$1:J5485,SUMPRODUCT(MAX(ROW(E$1:E5485)*(E5486=E$1:E5485)))))</f>
        <v> </v>
      </c>
      <c r="L5486" s="27"/>
    </row>
    <row r="5487" spans="1:12">
      <c r="A5487" s="20"/>
    </row>
    <row r="5488" spans="1:12">
      <c r="A5488" s="20" t="s">
        <v>2714</v>
      </c>
    </row>
    <row r="5489" spans="1:12">
      <c r="A5489" s="20" t="s">
        <v>1193</v>
      </c>
      <c r="B5489" s="21" t="s">
        <v>1194</v>
      </c>
      <c r="C5489" s="21" t="s">
        <v>1195</v>
      </c>
      <c r="D5489" s="21" t="s">
        <v>1180</v>
      </c>
      <c r="E5489" s="22">
        <f>IF(D5489="?OLD","!!!","")</f>
        <v/>
      </c>
      <c r="F5489" s="23" t="str">
        <f>IF(OR(E5489="",E5489="!!!"),"",IF(NOT(ISNA(VLOOKUP(E5489,E$1:E5488,1,FALSE()))),"OLD",IF(AND(E5489&lt;&gt;"",E5489&lt;&gt;"!!!"),"NEW","")))</f>
        <v> </v>
      </c>
      <c r="G5489" s="24" t="str">
        <f>IF(OR(E5489="",E5489="!!!"),"",IF(OR(J5489=0,AND(J5489=1,K5489=1),AND(J5489=1,I5489="SBJ"),AND(J5489=1,I5489=0)),"?IN_FOCUS",IF(J5489&lt;=2,"?ACTIVATED",IF(J5489&lt;&gt;"","?FAMILIAR",IF(F5489="NEW",IF(ISNA(VLOOKUP(E5489,#REF!,1,FALSE())),"?TYPE_IDENTIFIABLE","?REFERENTIAL"),"_")))))</f>
        <v> </v>
      </c>
      <c r="H5489" s="25" t="str">
        <f>IF(J5489&lt;&gt;1,"",IF(I5489="SBJ","CB","?"))</f>
        <v> </v>
      </c>
      <c r="I5489" s="26" t="str">
        <f>IF(OR(E5489="",E5489="!!!",F5489="NEW"),"",INDEX(B5488:B$2,-1+SUMPRODUCT(MAX(ROW(E5488:E$2)*(E5489=E5488:E$2)))))</f>
        <v> </v>
      </c>
      <c r="J5489" s="26" t="str">
        <f>IF(OR(E5489="",E5489="!!!",F5489="NEW"),"",COUNTBLANK(OFFSET(A$1,,,SUMPRODUCT(MAX(ROW(E$2:E5489)*(E5489=E$2:E5489)))))-COUNTBLANK(OFFSET(A$1,,,SUMPRODUCT(MAX(ROW(E$1:E5488)*(E2=E$1:E5488))))))</f>
        <v> </v>
      </c>
      <c r="K5489" s="26" t="str">
        <f>IF(OR(E5489="",E5489="!!!",F5489="NEW"),"",INDEX(J$1:J5488,SUMPRODUCT(MAX(ROW(E$1:E5488)*(E5489=E$1:E5488)))))</f>
        <v> </v>
      </c>
      <c r="L5489" s="27"/>
    </row>
    <row r="5490" spans="1:12">
      <c r="A5490" s="20" t="s">
        <v>979</v>
      </c>
      <c r="E5490" s="22">
        <f>IF(D5490="?OLD","!!!","")</f>
        <v/>
      </c>
      <c r="F5490" s="23" t="str">
        <f>IF(OR(E5490="",E5490="!!!"),"",IF(NOT(ISNA(VLOOKUP(E5490,E$1:E5489,1,FALSE()))),"OLD",IF(AND(E5490&lt;&gt;"",E5490&lt;&gt;"!!!"),"NEW","")))</f>
        <v> </v>
      </c>
      <c r="G5490" s="24" t="str">
        <f>IF(OR(E5490="",E5490="!!!"),"",IF(OR(J5490=0,AND(J5490=1,K5490=1),AND(J5490=1,I5490="SBJ"),AND(J5490=1,I5490=0)),"?IN_FOCUS",IF(J5490&lt;=2,"?ACTIVATED",IF(J5490&lt;&gt;"","?FAMILIAR",IF(F5490="NEW",IF(ISNA(VLOOKUP(E5490,#REF!,1,FALSE())),"?TYPE_IDENTIFIABLE","?REFERENTIAL"),"_")))))</f>
        <v> </v>
      </c>
      <c r="H5490" s="25" t="str">
        <f>IF(J5490&lt;&gt;1,"",IF(I5490="SBJ","CB","?"))</f>
        <v> </v>
      </c>
      <c r="I5490" s="26" t="str">
        <f>IF(OR(E5490="",E5490="!!!",F5490="NEW"),"",INDEX(B5489:B$2,-1+SUMPRODUCT(MAX(ROW(E5489:E$2)*(E5490=E5489:E$2)))))</f>
        <v> </v>
      </c>
      <c r="J5490" s="26" t="str">
        <f>IF(OR(E5490="",E5490="!!!",F5490="NEW"),"",COUNTBLANK(OFFSET(A$1,,,SUMPRODUCT(MAX(ROW(E$2:E5490)*(E5490=E$2:E5490)))))-COUNTBLANK(OFFSET(A$1,,,SUMPRODUCT(MAX(ROW(E$1:E5489)*(E2=E$1:E5489))))))</f>
        <v> </v>
      </c>
      <c r="K5490" s="26" t="str">
        <f>IF(OR(E5490="",E5490="!!!",F5490="NEW"),"",INDEX(J$1:J5489,SUMPRODUCT(MAX(ROW(E$1:E5489)*(E5490=E$1:E5489)))))</f>
        <v> </v>
      </c>
      <c r="L5490" s="27"/>
    </row>
    <row r="5491" spans="1:12">
      <c r="A5491" s="20" t="s">
        <v>2251</v>
      </c>
      <c r="B5491" s="21" t="s">
        <v>1204</v>
      </c>
      <c r="C5491" s="21" t="s">
        <v>1254</v>
      </c>
      <c r="E5491" s="22">
        <f>IF(D5491="?OLD","!!!","")</f>
        <v/>
      </c>
      <c r="F5491" s="23" t="str">
        <f>IF(OR(E5491="",E5491="!!!"),"",IF(NOT(ISNA(VLOOKUP(E5491,E$1:E5490,1,FALSE()))),"OLD",IF(AND(E5491&lt;&gt;"",E5491&lt;&gt;"!!!"),"NEW","")))</f>
        <v> </v>
      </c>
      <c r="G5491" s="24" t="str">
        <f>IF(OR(E5491="",E5491="!!!"),"",IF(OR(J5491=0,AND(J5491=1,K5491=1),AND(J5491=1,I5491="SBJ"),AND(J5491=1,I5491=0)),"?IN_FOCUS",IF(J5491&lt;=2,"?ACTIVATED",IF(J5491&lt;&gt;"","?FAMILIAR",IF(F5491="NEW",IF(ISNA(VLOOKUP(E5491,#REF!,1,FALSE())),"?TYPE_IDENTIFIABLE","?REFERENTIAL"),"_")))))</f>
        <v> </v>
      </c>
      <c r="H5491" s="25" t="str">
        <f>IF(J5491&lt;&gt;1,"",IF(I5491="SBJ","CB","?"))</f>
        <v> </v>
      </c>
      <c r="I5491" s="26" t="str">
        <f>IF(OR(E5491="",E5491="!!!",F5491="NEW"),"",INDEX(B5490:B$2,-1+SUMPRODUCT(MAX(ROW(E5490:E$2)*(E5491=E5490:E$2)))))</f>
        <v> </v>
      </c>
      <c r="J5491" s="26" t="str">
        <f>IF(OR(E5491="",E5491="!!!",F5491="NEW"),"",COUNTBLANK(OFFSET(A$1,,,SUMPRODUCT(MAX(ROW(E$2:E5491)*(E5491=E$2:E5491)))))-COUNTBLANK(OFFSET(A$1,,,SUMPRODUCT(MAX(ROW(E$1:E5490)*(E2=E$1:E5490))))))</f>
        <v> </v>
      </c>
      <c r="K5491" s="26" t="str">
        <f>IF(OR(E5491="",E5491="!!!",F5491="NEW"),"",INDEX(J$1:J5490,SUMPRODUCT(MAX(ROW(E$1:E5490)*(E5491=E$1:E5490)))))</f>
        <v> </v>
      </c>
      <c r="L5491" s="27"/>
    </row>
    <row r="5492" spans="1:12">
      <c r="A5492" s="20" t="s">
        <v>1224</v>
      </c>
      <c r="E5492" s="22">
        <f>IF(D5492="?OLD","!!!","")</f>
        <v/>
      </c>
      <c r="F5492" s="23" t="str">
        <f>IF(OR(E5492="",E5492="!!!"),"",IF(NOT(ISNA(VLOOKUP(E5492,E$1:E5491,1,FALSE()))),"OLD",IF(AND(E5492&lt;&gt;"",E5492&lt;&gt;"!!!"),"NEW","")))</f>
        <v> </v>
      </c>
      <c r="G5492" s="24" t="str">
        <f>IF(OR(E5492="",E5492="!!!"),"",IF(OR(J5492=0,AND(J5492=1,K5492=1),AND(J5492=1,I5492="SBJ"),AND(J5492=1,I5492=0)),"?IN_FOCUS",IF(J5492&lt;=2,"?ACTIVATED",IF(J5492&lt;&gt;"","?FAMILIAR",IF(F5492="NEW",IF(ISNA(VLOOKUP(E5492,#REF!,1,FALSE())),"?TYPE_IDENTIFIABLE","?REFERENTIAL"),"_")))))</f>
        <v> </v>
      </c>
      <c r="H5492" s="25" t="str">
        <f>IF(J5492&lt;&gt;1,"",IF(I5492="SBJ","CB","?"))</f>
        <v> </v>
      </c>
      <c r="I5492" s="26" t="str">
        <f>IF(OR(E5492="",E5492="!!!",F5492="NEW"),"",INDEX(B5491:B$2,-1+SUMPRODUCT(MAX(ROW(E5491:E$2)*(E5492=E5491:E$2)))))</f>
        <v> </v>
      </c>
      <c r="J5492" s="26" t="str">
        <f>IF(OR(E5492="",E5492="!!!",F5492="NEW"),"",COUNTBLANK(OFFSET(A$1,,,SUMPRODUCT(MAX(ROW(E$2:E5492)*(E5492=E$2:E5492)))))-COUNTBLANK(OFFSET(A$1,,,SUMPRODUCT(MAX(ROW(E$1:E5491)*(E2=E$1:E5491))))))</f>
        <v> </v>
      </c>
      <c r="K5492" s="26" t="str">
        <f>IF(OR(E5492="",E5492="!!!",F5492="NEW"),"",INDEX(J$1:J5491,SUMPRODUCT(MAX(ROW(E$1:E5491)*(E5492=E$1:E5491)))))</f>
        <v> </v>
      </c>
      <c r="L5492" s="27"/>
    </row>
    <row r="5493" spans="1:12">
      <c r="A5493" s="20" t="s">
        <v>1260</v>
      </c>
      <c r="E5493" s="22">
        <f>IF(D5493="?OLD","!!!","")</f>
        <v/>
      </c>
      <c r="F5493" s="23" t="str">
        <f>IF(OR(E5493="",E5493="!!!"),"",IF(NOT(ISNA(VLOOKUP(E5493,E$1:E5492,1,FALSE()))),"OLD",IF(AND(E5493&lt;&gt;"",E5493&lt;&gt;"!!!"),"NEW","")))</f>
        <v> </v>
      </c>
      <c r="G5493" s="24" t="str">
        <f>IF(OR(E5493="",E5493="!!!"),"",IF(OR(J5493=0,AND(J5493=1,K5493=1),AND(J5493=1,I5493="SBJ"),AND(J5493=1,I5493=0)),"?IN_FOCUS",IF(J5493&lt;=2,"?ACTIVATED",IF(J5493&lt;&gt;"","?FAMILIAR",IF(F5493="NEW",IF(ISNA(VLOOKUP(E5493,#REF!,1,FALSE())),"?TYPE_IDENTIFIABLE","?REFERENTIAL"),"_")))))</f>
        <v> </v>
      </c>
      <c r="H5493" s="25" t="str">
        <f>IF(J5493&lt;&gt;1,"",IF(I5493="SBJ","CB","?"))</f>
        <v> </v>
      </c>
      <c r="I5493" s="26" t="str">
        <f>IF(OR(E5493="",E5493="!!!",F5493="NEW"),"",INDEX(B5492:B$2,-1+SUMPRODUCT(MAX(ROW(E5492:E$2)*(E5493=E5492:E$2)))))</f>
        <v> </v>
      </c>
      <c r="J5493" s="26" t="str">
        <f>IF(OR(E5493="",E5493="!!!",F5493="NEW"),"",COUNTBLANK(OFFSET(A$1,,,SUMPRODUCT(MAX(ROW(E$2:E5493)*(E5493=E$2:E5493)))))-COUNTBLANK(OFFSET(A$1,,,SUMPRODUCT(MAX(ROW(E$1:E5492)*(E2=E$1:E5492))))))</f>
        <v> </v>
      </c>
      <c r="K5493" s="26" t="str">
        <f>IF(OR(E5493="",E5493="!!!",F5493="NEW"),"",INDEX(J$1:J5492,SUMPRODUCT(MAX(ROW(E$1:E5492)*(E5493=E$1:E5492)))))</f>
        <v> </v>
      </c>
      <c r="L5493" s="27"/>
    </row>
    <row r="5494" spans="1:12">
      <c r="A5494" s="20" t="s">
        <v>1261</v>
      </c>
      <c r="B5494" s="21" t="s">
        <v>1191</v>
      </c>
      <c r="C5494" s="21" t="s">
        <v>1188</v>
      </c>
      <c r="D5494" s="21" t="s">
        <v>1180</v>
      </c>
      <c r="E5494" s="22">
        <f>IF(D5494="?OLD","!!!","")</f>
        <v/>
      </c>
      <c r="F5494" s="23" t="str">
        <f>IF(OR(E5494="",E5494="!!!"),"",IF(NOT(ISNA(VLOOKUP(E5494,E$1:E5493,1,FALSE()))),"OLD",IF(AND(E5494&lt;&gt;"",E5494&lt;&gt;"!!!"),"NEW","")))</f>
        <v> </v>
      </c>
      <c r="G5494" s="24" t="str">
        <f>IF(OR(E5494="",E5494="!!!"),"",IF(OR(J5494=0,AND(J5494=1,K5494=1),AND(J5494=1,I5494="SBJ"),AND(J5494=1,I5494=0)),"?IN_FOCUS",IF(J5494&lt;=2,"?ACTIVATED",IF(J5494&lt;&gt;"","?FAMILIAR",IF(F5494="NEW",IF(ISNA(VLOOKUP(E5494,#REF!,1,FALSE())),"?TYPE_IDENTIFIABLE","?REFERENTIAL"),"_")))))</f>
        <v> </v>
      </c>
      <c r="H5494" s="25" t="str">
        <f>IF(J5494&lt;&gt;1,"",IF(I5494="SBJ","CB","?"))</f>
        <v> </v>
      </c>
      <c r="I5494" s="26" t="str">
        <f>IF(OR(E5494="",E5494="!!!",F5494="NEW"),"",INDEX(B5493:B$2,-1+SUMPRODUCT(MAX(ROW(E5493:E$2)*(E5494=E5493:E$2)))))</f>
        <v> </v>
      </c>
      <c r="J5494" s="26" t="str">
        <f>IF(OR(E5494="",E5494="!!!",F5494="NEW"),"",COUNTBLANK(OFFSET(A$1,,,SUMPRODUCT(MAX(ROW(E$2:E5494)*(E5494=E$2:E5494)))))-COUNTBLANK(OFFSET(A$1,,,SUMPRODUCT(MAX(ROW(E$1:E5493)*(E2=E$1:E5493))))))</f>
        <v> </v>
      </c>
      <c r="K5494" s="26" t="str">
        <f>IF(OR(E5494="",E5494="!!!",F5494="NEW"),"",INDEX(J$1:J5493,SUMPRODUCT(MAX(ROW(E$1:E5493)*(E5494=E$1:E5493)))))</f>
        <v> </v>
      </c>
      <c r="L5494" s="27"/>
    </row>
    <row r="5495" spans="1:12">
      <c r="A5495" s="20" t="s">
        <v>1185</v>
      </c>
      <c r="E5495" s="22">
        <f>IF(D5495="?OLD","!!!","")</f>
        <v/>
      </c>
      <c r="F5495" s="23" t="str">
        <f>IF(OR(E5495="",E5495="!!!"),"",IF(NOT(ISNA(VLOOKUP(E5495,E$1:E5494,1,FALSE()))),"OLD",IF(AND(E5495&lt;&gt;"",E5495&lt;&gt;"!!!"),"NEW","")))</f>
        <v> </v>
      </c>
      <c r="G5495" s="24" t="str">
        <f>IF(OR(E5495="",E5495="!!!"),"",IF(OR(J5495=0,AND(J5495=1,K5495=1),AND(J5495=1,I5495="SBJ"),AND(J5495=1,I5495=0)),"?IN_FOCUS",IF(J5495&lt;=2,"?ACTIVATED",IF(J5495&lt;&gt;"","?FAMILIAR",IF(F5495="NEW",IF(ISNA(VLOOKUP(E5495,#REF!,1,FALSE())),"?TYPE_IDENTIFIABLE","?REFERENTIAL"),"_")))))</f>
        <v> </v>
      </c>
      <c r="H5495" s="25" t="str">
        <f>IF(J5495&lt;&gt;1,"",IF(I5495="SBJ","CB","?"))</f>
        <v> </v>
      </c>
      <c r="I5495" s="26" t="str">
        <f>IF(OR(E5495="",E5495="!!!",F5495="NEW"),"",INDEX(B5494:B$2,-1+SUMPRODUCT(MAX(ROW(E5494:E$2)*(E5495=E5494:E$2)))))</f>
        <v> </v>
      </c>
      <c r="J5495" s="26" t="str">
        <f>IF(OR(E5495="",E5495="!!!",F5495="NEW"),"",COUNTBLANK(OFFSET(A$1,,,SUMPRODUCT(MAX(ROW(E$2:E5495)*(E5495=E$2:E5495)))))-COUNTBLANK(OFFSET(A$1,,,SUMPRODUCT(MAX(ROW(E$1:E5494)*(E2=E$1:E5494))))))</f>
        <v> </v>
      </c>
      <c r="K5495" s="26" t="str">
        <f>IF(OR(E5495="",E5495="!!!",F5495="NEW"),"",INDEX(J$1:J5494,SUMPRODUCT(MAX(ROW(E$1:E5494)*(E5495=E$1:E5494)))))</f>
        <v> </v>
      </c>
      <c r="L5495" s="27"/>
    </row>
    <row r="5496" spans="1:12">
      <c r="A5496" s="20" t="s">
        <v>1314</v>
      </c>
      <c r="E5496" s="22">
        <f>IF(D5496="?OLD","!!!","")</f>
        <v/>
      </c>
      <c r="F5496" s="23" t="str">
        <f>IF(OR(E5496="",E5496="!!!"),"",IF(NOT(ISNA(VLOOKUP(E5496,E$1:E5495,1,FALSE()))),"OLD",IF(AND(E5496&lt;&gt;"",E5496&lt;&gt;"!!!"),"NEW","")))</f>
        <v> </v>
      </c>
      <c r="G5496" s="24" t="str">
        <f>IF(OR(E5496="",E5496="!!!"),"",IF(OR(J5496=0,AND(J5496=1,K5496=1),AND(J5496=1,I5496="SBJ"),AND(J5496=1,I5496=0)),"?IN_FOCUS",IF(J5496&lt;=2,"?ACTIVATED",IF(J5496&lt;&gt;"","?FAMILIAR",IF(F5496="NEW",IF(ISNA(VLOOKUP(E5496,#REF!,1,FALSE())),"?TYPE_IDENTIFIABLE","?REFERENTIAL"),"_")))))</f>
        <v> </v>
      </c>
      <c r="H5496" s="25" t="str">
        <f>IF(J5496&lt;&gt;1,"",IF(I5496="SBJ","CB","?"))</f>
        <v> </v>
      </c>
      <c r="I5496" s="26" t="str">
        <f>IF(OR(E5496="",E5496="!!!",F5496="NEW"),"",INDEX(B5495:B$2,-1+SUMPRODUCT(MAX(ROW(E5495:E$2)*(E5496=E5495:E$2)))))</f>
        <v> </v>
      </c>
      <c r="J5496" s="26" t="str">
        <f>IF(OR(E5496="",E5496="!!!",F5496="NEW"),"",COUNTBLANK(OFFSET(A$1,,,SUMPRODUCT(MAX(ROW(E$2:E5496)*(E5496=E$2:E5496)))))-COUNTBLANK(OFFSET(A$1,,,SUMPRODUCT(MAX(ROW(E$1:E5495)*(E2=E$1:E5495))))))</f>
        <v> </v>
      </c>
      <c r="K5496" s="26" t="str">
        <f>IF(OR(E5496="",E5496="!!!",F5496="NEW"),"",INDEX(J$1:J5495,SUMPRODUCT(MAX(ROW(E$1:E5495)*(E5496=E$1:E5495)))))</f>
        <v> </v>
      </c>
      <c r="L5496" s="27"/>
    </row>
    <row r="5497" spans="1:12">
      <c r="A5497" s="20" t="s">
        <v>1537</v>
      </c>
      <c r="E5497" s="22">
        <f>IF(D5497="?OLD","!!!","")</f>
        <v/>
      </c>
      <c r="F5497" s="23" t="str">
        <f>IF(OR(E5497="",E5497="!!!"),"",IF(NOT(ISNA(VLOOKUP(E5497,E$1:E5496,1,FALSE()))),"OLD",IF(AND(E5497&lt;&gt;"",E5497&lt;&gt;"!!!"),"NEW","")))</f>
        <v> </v>
      </c>
      <c r="G5497" s="24" t="str">
        <f>IF(OR(E5497="",E5497="!!!"),"",IF(OR(J5497=0,AND(J5497=1,K5497=1),AND(J5497=1,I5497="SBJ"),AND(J5497=1,I5497=0)),"?IN_FOCUS",IF(J5497&lt;=2,"?ACTIVATED",IF(J5497&lt;&gt;"","?FAMILIAR",IF(F5497="NEW",IF(ISNA(VLOOKUP(E5497,#REF!,1,FALSE())),"?TYPE_IDENTIFIABLE","?REFERENTIAL"),"_")))))</f>
        <v> </v>
      </c>
      <c r="H5497" s="25" t="str">
        <f>IF(J5497&lt;&gt;1,"",IF(I5497="SBJ","CB","?"))</f>
        <v> </v>
      </c>
      <c r="I5497" s="26" t="str">
        <f>IF(OR(E5497="",E5497="!!!",F5497="NEW"),"",INDEX(B5496:B$2,-1+SUMPRODUCT(MAX(ROW(E5496:E$2)*(E5497=E5496:E$2)))))</f>
        <v> </v>
      </c>
      <c r="J5497" s="26" t="str">
        <f>IF(OR(E5497="",E5497="!!!",F5497="NEW"),"",COUNTBLANK(OFFSET(A$1,,,SUMPRODUCT(MAX(ROW(E$2:E5497)*(E5497=E$2:E5497)))))-COUNTBLANK(OFFSET(A$1,,,SUMPRODUCT(MAX(ROW(E$1:E5496)*(E2=E$1:E5496))))))</f>
        <v> </v>
      </c>
      <c r="K5497" s="26" t="str">
        <f>IF(OR(E5497="",E5497="!!!",F5497="NEW"),"",INDEX(J$1:J5496,SUMPRODUCT(MAX(ROW(E$1:E5496)*(E5497=E$1:E5496)))))</f>
        <v> </v>
      </c>
      <c r="L5497" s="27"/>
    </row>
    <row r="5498" spans="1:12">
      <c r="A5498" s="20" t="s">
        <v>1702</v>
      </c>
      <c r="E5498" s="22">
        <f>IF(D5498="?OLD","!!!","")</f>
        <v/>
      </c>
      <c r="F5498" s="23" t="str">
        <f>IF(OR(E5498="",E5498="!!!"),"",IF(NOT(ISNA(VLOOKUP(E5498,E$1:E5497,1,FALSE()))),"OLD",IF(AND(E5498&lt;&gt;"",E5498&lt;&gt;"!!!"),"NEW","")))</f>
        <v> </v>
      </c>
      <c r="G5498" s="24" t="str">
        <f>IF(OR(E5498="",E5498="!!!"),"",IF(OR(J5498=0,AND(J5498=1,K5498=1),AND(J5498=1,I5498="SBJ"),AND(J5498=1,I5498=0)),"?IN_FOCUS",IF(J5498&lt;=2,"?ACTIVATED",IF(J5498&lt;&gt;"","?FAMILIAR",IF(F5498="NEW",IF(ISNA(VLOOKUP(E5498,#REF!,1,FALSE())),"?TYPE_IDENTIFIABLE","?REFERENTIAL"),"_")))))</f>
        <v> </v>
      </c>
      <c r="H5498" s="25" t="str">
        <f>IF(J5498&lt;&gt;1,"",IF(I5498="SBJ","CB","?"))</f>
        <v> </v>
      </c>
      <c r="I5498" s="26" t="str">
        <f>IF(OR(E5498="",E5498="!!!",F5498="NEW"),"",INDEX(B5497:B$2,-1+SUMPRODUCT(MAX(ROW(E5497:E$2)*(E5498=E5497:E$2)))))</f>
        <v> </v>
      </c>
      <c r="J5498" s="26" t="str">
        <f>IF(OR(E5498="",E5498="!!!",F5498="NEW"),"",COUNTBLANK(OFFSET(A$1,,,SUMPRODUCT(MAX(ROW(E$2:E5498)*(E5498=E$2:E5498)))))-COUNTBLANK(OFFSET(A$1,,,SUMPRODUCT(MAX(ROW(E$1:E5497)*(E2=E$1:E5497))))))</f>
        <v> </v>
      </c>
      <c r="K5498" s="26" t="str">
        <f>IF(OR(E5498="",E5498="!!!",F5498="NEW"),"",INDEX(J$1:J5497,SUMPRODUCT(MAX(ROW(E$1:E5497)*(E5498=E$1:E5497)))))</f>
        <v> </v>
      </c>
      <c r="L5498" s="27"/>
    </row>
    <row r="5499" spans="1:12">
      <c r="A5499" s="20" t="s">
        <v>1224</v>
      </c>
      <c r="E5499" s="22">
        <f>IF(D5499="?OLD","!!!","")</f>
        <v/>
      </c>
      <c r="F5499" s="23" t="str">
        <f>IF(OR(E5499="",E5499="!!!"),"",IF(NOT(ISNA(VLOOKUP(E5499,E$1:E5498,1,FALSE()))),"OLD",IF(AND(E5499&lt;&gt;"",E5499&lt;&gt;"!!!"),"NEW","")))</f>
        <v> </v>
      </c>
      <c r="G5499" s="24" t="str">
        <f>IF(OR(E5499="",E5499="!!!"),"",IF(OR(J5499=0,AND(J5499=1,K5499=1),AND(J5499=1,I5499="SBJ"),AND(J5499=1,I5499=0)),"?IN_FOCUS",IF(J5499&lt;=2,"?ACTIVATED",IF(J5499&lt;&gt;"","?FAMILIAR",IF(F5499="NEW",IF(ISNA(VLOOKUP(E5499,#REF!,1,FALSE())),"?TYPE_IDENTIFIABLE","?REFERENTIAL"),"_")))))</f>
        <v> </v>
      </c>
      <c r="H5499" s="25" t="str">
        <f>IF(J5499&lt;&gt;1,"",IF(I5499="SBJ","CB","?"))</f>
        <v> </v>
      </c>
      <c r="I5499" s="26" t="str">
        <f>IF(OR(E5499="",E5499="!!!",F5499="NEW"),"",INDEX(B5498:B$2,-1+SUMPRODUCT(MAX(ROW(E5498:E$2)*(E5499=E5498:E$2)))))</f>
        <v> </v>
      </c>
      <c r="J5499" s="26" t="str">
        <f>IF(OR(E5499="",E5499="!!!",F5499="NEW"),"",COUNTBLANK(OFFSET(A$1,,,SUMPRODUCT(MAX(ROW(E$2:E5499)*(E5499=E$2:E5499)))))-COUNTBLANK(OFFSET(A$1,,,SUMPRODUCT(MAX(ROW(E$1:E5498)*(E2=E$1:E5498))))))</f>
        <v> </v>
      </c>
      <c r="K5499" s="26" t="str">
        <f>IF(OR(E5499="",E5499="!!!",F5499="NEW"),"",INDEX(J$1:J5498,SUMPRODUCT(MAX(ROW(E$1:E5498)*(E5499=E$1:E5498)))))</f>
        <v> </v>
      </c>
      <c r="L5499" s="27"/>
    </row>
    <row r="5500" spans="1:12">
      <c r="A5500" s="20" t="s">
        <v>2715</v>
      </c>
      <c r="B5500" s="21" t="s">
        <v>1178</v>
      </c>
      <c r="C5500" s="21" t="s">
        <v>1179</v>
      </c>
      <c r="D5500" s="21" t="s">
        <v>1180</v>
      </c>
      <c r="E5500" s="22">
        <f>IF(D5500="?OLD","!!!","")</f>
        <v/>
      </c>
      <c r="F5500" s="23" t="str">
        <f>IF(OR(E5500="",E5500="!!!"),"",IF(NOT(ISNA(VLOOKUP(E5500,E$1:E5499,1,FALSE()))),"OLD",IF(AND(E5500&lt;&gt;"",E5500&lt;&gt;"!!!"),"NEW","")))</f>
        <v> </v>
      </c>
      <c r="G5500" s="24" t="str">
        <f>IF(OR(E5500="",E5500="!!!"),"",IF(OR(J5500=0,AND(J5500=1,K5500=1),AND(J5500=1,I5500="SBJ"),AND(J5500=1,I5500=0)),"?IN_FOCUS",IF(J5500&lt;=2,"?ACTIVATED",IF(J5500&lt;&gt;"","?FAMILIAR",IF(F5500="NEW",IF(ISNA(VLOOKUP(E5500,#REF!,1,FALSE())),"?TYPE_IDENTIFIABLE","?REFERENTIAL"),"_")))))</f>
        <v> </v>
      </c>
      <c r="H5500" s="25" t="str">
        <f>IF(J5500&lt;&gt;1,"",IF(I5500="SBJ","CB","?"))</f>
        <v> </v>
      </c>
      <c r="I5500" s="26" t="str">
        <f>IF(OR(E5500="",E5500="!!!",F5500="NEW"),"",INDEX(B5499:B$2,-1+SUMPRODUCT(MAX(ROW(E5499:E$2)*(E5500=E5499:E$2)))))</f>
        <v> </v>
      </c>
      <c r="J5500" s="26" t="str">
        <f>IF(OR(E5500="",E5500="!!!",F5500="NEW"),"",COUNTBLANK(OFFSET(A$1,,,SUMPRODUCT(MAX(ROW(E$2:E5500)*(E5500=E$2:E5500)))))-COUNTBLANK(OFFSET(A$1,,,SUMPRODUCT(MAX(ROW(E$1:E5499)*(E2=E$1:E5499))))))</f>
        <v> </v>
      </c>
      <c r="K5500" s="26" t="str">
        <f>IF(OR(E5500="",E5500="!!!",F5500="NEW"),"",INDEX(J$1:J5499,SUMPRODUCT(MAX(ROW(E$1:E5499)*(E5500=E$1:E5499)))))</f>
        <v> </v>
      </c>
      <c r="L5500" s="27"/>
    </row>
    <row r="5501" spans="1:12">
      <c r="A5501" s="20" t="s">
        <v>1185</v>
      </c>
      <c r="E5501" s="22">
        <f>IF(D5501="?OLD","!!!","")</f>
        <v/>
      </c>
      <c r="F5501" s="23" t="str">
        <f>IF(OR(E5501="",E5501="!!!"),"",IF(NOT(ISNA(VLOOKUP(E5501,E$1:E5500,1,FALSE()))),"OLD",IF(AND(E5501&lt;&gt;"",E5501&lt;&gt;"!!!"),"NEW","")))</f>
        <v> </v>
      </c>
      <c r="G5501" s="24" t="str">
        <f>IF(OR(E5501="",E5501="!!!"),"",IF(OR(J5501=0,AND(J5501=1,K5501=1),AND(J5501=1,I5501="SBJ"),AND(J5501=1,I5501=0)),"?IN_FOCUS",IF(J5501&lt;=2,"?ACTIVATED",IF(J5501&lt;&gt;"","?FAMILIAR",IF(F5501="NEW",IF(ISNA(VLOOKUP(E5501,#REF!,1,FALSE())),"?TYPE_IDENTIFIABLE","?REFERENTIAL"),"_")))))</f>
        <v> </v>
      </c>
      <c r="H5501" s="25" t="str">
        <f>IF(J5501&lt;&gt;1,"",IF(I5501="SBJ","CB","?"))</f>
        <v> </v>
      </c>
      <c r="I5501" s="26" t="str">
        <f>IF(OR(E5501="",E5501="!!!",F5501="NEW"),"",INDEX(B5500:B$2,-1+SUMPRODUCT(MAX(ROW(E5500:E$2)*(E5501=E5500:E$2)))))</f>
        <v> </v>
      </c>
      <c r="J5501" s="26" t="str">
        <f>IF(OR(E5501="",E5501="!!!",F5501="NEW"),"",COUNTBLANK(OFFSET(A$1,,,SUMPRODUCT(MAX(ROW(E$2:E5501)*(E5501=E$2:E5501)))))-COUNTBLANK(OFFSET(A$1,,,SUMPRODUCT(MAX(ROW(E$1:E5500)*(E2=E$1:E5500))))))</f>
        <v> </v>
      </c>
      <c r="K5501" s="26" t="str">
        <f>IF(OR(E5501="",E5501="!!!",F5501="NEW"),"",INDEX(J$1:J5500,SUMPRODUCT(MAX(ROW(E$1:E5500)*(E5501=E$1:E5500)))))</f>
        <v> </v>
      </c>
      <c r="L5501" s="27"/>
    </row>
    <row r="5502" spans="1:12">
      <c r="A5502" s="20" t="s">
        <v>1930</v>
      </c>
      <c r="E5502" s="22">
        <f>IF(D5502="?OLD","!!!","")</f>
        <v/>
      </c>
      <c r="F5502" s="23" t="str">
        <f>IF(OR(E5502="",E5502="!!!"),"",IF(NOT(ISNA(VLOOKUP(E5502,E$1:E5501,1,FALSE()))),"OLD",IF(AND(E5502&lt;&gt;"",E5502&lt;&gt;"!!!"),"NEW","")))</f>
        <v> </v>
      </c>
      <c r="G5502" s="24" t="str">
        <f>IF(OR(E5502="",E5502="!!!"),"",IF(OR(J5502=0,AND(J5502=1,K5502=1),AND(J5502=1,I5502="SBJ"),AND(J5502=1,I5502=0)),"?IN_FOCUS",IF(J5502&lt;=2,"?ACTIVATED",IF(J5502&lt;&gt;"","?FAMILIAR",IF(F5502="NEW",IF(ISNA(VLOOKUP(E5502,#REF!,1,FALSE())),"?TYPE_IDENTIFIABLE","?REFERENTIAL"),"_")))))</f>
        <v> </v>
      </c>
      <c r="H5502" s="25" t="str">
        <f>IF(J5502&lt;&gt;1,"",IF(I5502="SBJ","CB","?"))</f>
        <v> </v>
      </c>
      <c r="I5502" s="26" t="str">
        <f>IF(OR(E5502="",E5502="!!!",F5502="NEW"),"",INDEX(B5501:B$2,-1+SUMPRODUCT(MAX(ROW(E5501:E$2)*(E5502=E5501:E$2)))))</f>
        <v> </v>
      </c>
      <c r="J5502" s="26" t="str">
        <f>IF(OR(E5502="",E5502="!!!",F5502="NEW"),"",COUNTBLANK(OFFSET(A$1,,,SUMPRODUCT(MAX(ROW(E$2:E5502)*(E5502=E$2:E5502)))))-COUNTBLANK(OFFSET(A$1,,,SUMPRODUCT(MAX(ROW(E$1:E5501)*(E2=E$1:E5501))))))</f>
        <v> </v>
      </c>
      <c r="K5502" s="26" t="str">
        <f>IF(OR(E5502="",E5502="!!!",F5502="NEW"),"",INDEX(J$1:J5501,SUMPRODUCT(MAX(ROW(E$1:E5501)*(E5502=E$1:E5501)))))</f>
        <v> </v>
      </c>
      <c r="L5502" s="27"/>
    </row>
    <row r="5503" spans="1:12">
      <c r="A5503" s="20" t="s">
        <v>1224</v>
      </c>
      <c r="E5503" s="22">
        <f>IF(D5503="?OLD","!!!","")</f>
        <v/>
      </c>
      <c r="F5503" s="23" t="str">
        <f>IF(OR(E5503="",E5503="!!!"),"",IF(NOT(ISNA(VLOOKUP(E5503,E$1:E5502,1,FALSE()))),"OLD",IF(AND(E5503&lt;&gt;"",E5503&lt;&gt;"!!!"),"NEW","")))</f>
        <v> </v>
      </c>
      <c r="G5503" s="24" t="str">
        <f>IF(OR(E5503="",E5503="!!!"),"",IF(OR(J5503=0,AND(J5503=1,K5503=1),AND(J5503=1,I5503="SBJ"),AND(J5503=1,I5503=0)),"?IN_FOCUS",IF(J5503&lt;=2,"?ACTIVATED",IF(J5503&lt;&gt;"","?FAMILIAR",IF(F5503="NEW",IF(ISNA(VLOOKUP(E5503,#REF!,1,FALSE())),"?TYPE_IDENTIFIABLE","?REFERENTIAL"),"_")))))</f>
        <v> </v>
      </c>
      <c r="H5503" s="25" t="str">
        <f>IF(J5503&lt;&gt;1,"",IF(I5503="SBJ","CB","?"))</f>
        <v> </v>
      </c>
      <c r="I5503" s="26" t="str">
        <f>IF(OR(E5503="",E5503="!!!",F5503="NEW"),"",INDEX(B5502:B$2,-1+SUMPRODUCT(MAX(ROW(E5502:E$2)*(E5503=E5502:E$2)))))</f>
        <v> </v>
      </c>
      <c r="J5503" s="26" t="str">
        <f>IF(OR(E5503="",E5503="!!!",F5503="NEW"),"",COUNTBLANK(OFFSET(A$1,,,SUMPRODUCT(MAX(ROW(E$2:E5503)*(E5503=E$2:E5503)))))-COUNTBLANK(OFFSET(A$1,,,SUMPRODUCT(MAX(ROW(E$1:E5502)*(E2=E$1:E5502))))))</f>
        <v> </v>
      </c>
      <c r="K5503" s="26" t="str">
        <f>IF(OR(E5503="",E5503="!!!",F5503="NEW"),"",INDEX(J$1:J5502,SUMPRODUCT(MAX(ROW(E$1:E5502)*(E5503=E$1:E5502)))))</f>
        <v> </v>
      </c>
      <c r="L5503" s="27"/>
    </row>
    <row r="5504" spans="1:12">
      <c r="A5504" s="20" t="s">
        <v>1198</v>
      </c>
      <c r="E5504" s="22">
        <f>IF(D5504="?OLD","!!!","")</f>
        <v/>
      </c>
      <c r="F5504" s="23" t="str">
        <f>IF(OR(E5504="",E5504="!!!"),"",IF(NOT(ISNA(VLOOKUP(E5504,E$1:E5503,1,FALSE()))),"OLD",IF(AND(E5504&lt;&gt;"",E5504&lt;&gt;"!!!"),"NEW","")))</f>
        <v> </v>
      </c>
      <c r="G5504" s="24" t="str">
        <f>IF(OR(E5504="",E5504="!!!"),"",IF(OR(J5504=0,AND(J5504=1,K5504=1),AND(J5504=1,I5504="SBJ"),AND(J5504=1,I5504=0)),"?IN_FOCUS",IF(J5504&lt;=2,"?ACTIVATED",IF(J5504&lt;&gt;"","?FAMILIAR",IF(F5504="NEW",IF(ISNA(VLOOKUP(E5504,#REF!,1,FALSE())),"?TYPE_IDENTIFIABLE","?REFERENTIAL"),"_")))))</f>
        <v> </v>
      </c>
      <c r="H5504" s="25" t="str">
        <f>IF(J5504&lt;&gt;1,"",IF(I5504="SBJ","CB","?"))</f>
        <v> </v>
      </c>
      <c r="I5504" s="26" t="str">
        <f>IF(OR(E5504="",E5504="!!!",F5504="NEW"),"",INDEX(B5503:B$2,-1+SUMPRODUCT(MAX(ROW(E5503:E$2)*(E5504=E5503:E$2)))))</f>
        <v> </v>
      </c>
      <c r="J5504" s="26" t="str">
        <f>IF(OR(E5504="",E5504="!!!",F5504="NEW"),"",COUNTBLANK(OFFSET(A$1,,,SUMPRODUCT(MAX(ROW(E$2:E5504)*(E5504=E$2:E5504)))))-COUNTBLANK(OFFSET(A$1,,,SUMPRODUCT(MAX(ROW(E$1:E5503)*(E2=E$1:E5503))))))</f>
        <v> </v>
      </c>
      <c r="K5504" s="26" t="str">
        <f>IF(OR(E5504="",E5504="!!!",F5504="NEW"),"",INDEX(J$1:J5503,SUMPRODUCT(MAX(ROW(E$1:E5503)*(E5504=E$1:E5503)))))</f>
        <v> </v>
      </c>
      <c r="L5504" s="27"/>
    </row>
    <row r="5505" spans="1:12">
      <c r="A5505" s="20" t="s">
        <v>1383</v>
      </c>
      <c r="E5505" s="22">
        <f>IF(D5505="?OLD","!!!","")</f>
        <v/>
      </c>
      <c r="F5505" s="23" t="str">
        <f>IF(OR(E5505="",E5505="!!!"),"",IF(NOT(ISNA(VLOOKUP(E5505,E$1:E5504,1,FALSE()))),"OLD",IF(AND(E5505&lt;&gt;"",E5505&lt;&gt;"!!!"),"NEW","")))</f>
        <v> </v>
      </c>
      <c r="G5505" s="24" t="str">
        <f>IF(OR(E5505="",E5505="!!!"),"",IF(OR(J5505=0,AND(J5505=1,K5505=1),AND(J5505=1,I5505="SBJ"),AND(J5505=1,I5505=0)),"?IN_FOCUS",IF(J5505&lt;=2,"?ACTIVATED",IF(J5505&lt;&gt;"","?FAMILIAR",IF(F5505="NEW",IF(ISNA(VLOOKUP(E5505,#REF!,1,FALSE())),"?TYPE_IDENTIFIABLE","?REFERENTIAL"),"_")))))</f>
        <v> </v>
      </c>
      <c r="H5505" s="25" t="str">
        <f>IF(J5505&lt;&gt;1,"",IF(I5505="SBJ","CB","?"))</f>
        <v> </v>
      </c>
      <c r="I5505" s="26" t="str">
        <f>IF(OR(E5505="",E5505="!!!",F5505="NEW"),"",INDEX(B5504:B$2,-1+SUMPRODUCT(MAX(ROW(E5504:E$2)*(E5505=E5504:E$2)))))</f>
        <v> </v>
      </c>
      <c r="J5505" s="26" t="str">
        <f>IF(OR(E5505="",E5505="!!!",F5505="NEW"),"",COUNTBLANK(OFFSET(A$1,,,SUMPRODUCT(MAX(ROW(E$2:E5505)*(E5505=E$2:E5505)))))-COUNTBLANK(OFFSET(A$1,,,SUMPRODUCT(MAX(ROW(E$1:E5504)*(E2=E$1:E5504))))))</f>
        <v> </v>
      </c>
      <c r="K5505" s="26" t="str">
        <f>IF(OR(E5505="",E5505="!!!",F5505="NEW"),"",INDEX(J$1:J5504,SUMPRODUCT(MAX(ROW(E$1:E5504)*(E5505=E$1:E5504)))))</f>
        <v> </v>
      </c>
      <c r="L5505" s="27"/>
    </row>
    <row r="5506" spans="1:12">
      <c r="A5506" s="20" t="s">
        <v>1329</v>
      </c>
      <c r="B5506" s="21" t="s">
        <v>1178</v>
      </c>
      <c r="C5506" s="21" t="s">
        <v>1188</v>
      </c>
      <c r="D5506" s="21" t="s">
        <v>1180</v>
      </c>
      <c r="E5506" s="22">
        <f>IF(D5506="?OLD","!!!","")</f>
        <v/>
      </c>
      <c r="F5506" s="23" t="str">
        <f>IF(OR(E5506="",E5506="!!!"),"",IF(NOT(ISNA(VLOOKUP(E5506,E$1:E5505,1,FALSE()))),"OLD",IF(AND(E5506&lt;&gt;"",E5506&lt;&gt;"!!!"),"NEW","")))</f>
        <v> </v>
      </c>
      <c r="G5506" s="24" t="str">
        <f>IF(OR(E5506="",E5506="!!!"),"",IF(OR(J5506=0,AND(J5506=1,K5506=1),AND(J5506=1,I5506="SBJ"),AND(J5506=1,I5506=0)),"?IN_FOCUS",IF(J5506&lt;=2,"?ACTIVATED",IF(J5506&lt;&gt;"","?FAMILIAR",IF(F5506="NEW",IF(ISNA(VLOOKUP(E5506,#REF!,1,FALSE())),"?TYPE_IDENTIFIABLE","?REFERENTIAL"),"_")))))</f>
        <v> </v>
      </c>
      <c r="H5506" s="25" t="str">
        <f>IF(J5506&lt;&gt;1,"",IF(I5506="SBJ","CB","?"))</f>
        <v> </v>
      </c>
      <c r="I5506" s="26" t="str">
        <f>IF(OR(E5506="",E5506="!!!",F5506="NEW"),"",INDEX(B5505:B$2,-1+SUMPRODUCT(MAX(ROW(E5505:E$2)*(E5506=E5505:E$2)))))</f>
        <v> </v>
      </c>
      <c r="J5506" s="26" t="str">
        <f>IF(OR(E5506="",E5506="!!!",F5506="NEW"),"",COUNTBLANK(OFFSET(A$1,,,SUMPRODUCT(MAX(ROW(E$2:E5506)*(E5506=E$2:E5506)))))-COUNTBLANK(OFFSET(A$1,,,SUMPRODUCT(MAX(ROW(E$1:E5505)*(E2=E$1:E5505))))))</f>
        <v> </v>
      </c>
      <c r="K5506" s="26" t="str">
        <f>IF(OR(E5506="",E5506="!!!",F5506="NEW"),"",INDEX(J$1:J5505,SUMPRODUCT(MAX(ROW(E$1:E5505)*(E5506=E$1:E5505)))))</f>
        <v> </v>
      </c>
      <c r="L5506" s="27"/>
    </row>
    <row r="5507" spans="1:12">
      <c r="A5507" s="20" t="s">
        <v>1265</v>
      </c>
      <c r="E5507" s="22">
        <f>IF(D5507="?OLD","!!!","")</f>
        <v/>
      </c>
      <c r="F5507" s="23" t="str">
        <f>IF(OR(E5507="",E5507="!!!"),"",IF(NOT(ISNA(VLOOKUP(E5507,E$1:E5506,1,FALSE()))),"OLD",IF(AND(E5507&lt;&gt;"",E5507&lt;&gt;"!!!"),"NEW","")))</f>
        <v> </v>
      </c>
      <c r="G5507" s="24" t="str">
        <f>IF(OR(E5507="",E5507="!!!"),"",IF(OR(J5507=0,AND(J5507=1,K5507=1),AND(J5507=1,I5507="SBJ"),AND(J5507=1,I5507=0)),"?IN_FOCUS",IF(J5507&lt;=2,"?ACTIVATED",IF(J5507&lt;&gt;"","?FAMILIAR",IF(F5507="NEW",IF(ISNA(VLOOKUP(E5507,#REF!,1,FALSE())),"?TYPE_IDENTIFIABLE","?REFERENTIAL"),"_")))))</f>
        <v> </v>
      </c>
      <c r="H5507" s="25" t="str">
        <f>IF(J5507&lt;&gt;1,"",IF(I5507="SBJ","CB","?"))</f>
        <v> </v>
      </c>
      <c r="I5507" s="26" t="str">
        <f>IF(OR(E5507="",E5507="!!!",F5507="NEW"),"",INDEX(B5506:B$2,-1+SUMPRODUCT(MAX(ROW(E5506:E$2)*(E5507=E5506:E$2)))))</f>
        <v> </v>
      </c>
      <c r="J5507" s="26" t="str">
        <f>IF(OR(E5507="",E5507="!!!",F5507="NEW"),"",COUNTBLANK(OFFSET(A$1,,,SUMPRODUCT(MAX(ROW(E$2:E5507)*(E5507=E$2:E5507)))))-COUNTBLANK(OFFSET(A$1,,,SUMPRODUCT(MAX(ROW(E$1:E5506)*(E2=E$1:E5506))))))</f>
        <v> </v>
      </c>
      <c r="K5507" s="26" t="str">
        <f>IF(OR(E5507="",E5507="!!!",F5507="NEW"),"",INDEX(J$1:J5506,SUMPRODUCT(MAX(ROW(E$1:E5506)*(E5507=E$1:E5506)))))</f>
        <v> </v>
      </c>
      <c r="L5507" s="27"/>
    </row>
    <row r="5508" spans="1:12">
      <c r="A5508" s="20" t="s">
        <v>1185</v>
      </c>
      <c r="E5508" s="22">
        <f>IF(D5508="?OLD","!!!","")</f>
        <v/>
      </c>
      <c r="F5508" s="23" t="str">
        <f>IF(OR(E5508="",E5508="!!!"),"",IF(NOT(ISNA(VLOOKUP(E5508,E$1:E5507,1,FALSE()))),"OLD",IF(AND(E5508&lt;&gt;"",E5508&lt;&gt;"!!!"),"NEW","")))</f>
        <v> </v>
      </c>
      <c r="G5508" s="24" t="str">
        <f>IF(OR(E5508="",E5508="!!!"),"",IF(OR(J5508=0,AND(J5508=1,K5508=1),AND(J5508=1,I5508="SBJ"),AND(J5508=1,I5508=0)),"?IN_FOCUS",IF(J5508&lt;=2,"?ACTIVATED",IF(J5508&lt;&gt;"","?FAMILIAR",IF(F5508="NEW",IF(ISNA(VLOOKUP(E5508,#REF!,1,FALSE())),"?TYPE_IDENTIFIABLE","?REFERENTIAL"),"_")))))</f>
        <v> </v>
      </c>
      <c r="H5508" s="25" t="str">
        <f>IF(J5508&lt;&gt;1,"",IF(I5508="SBJ","CB","?"))</f>
        <v> </v>
      </c>
      <c r="I5508" s="26" t="str">
        <f>IF(OR(E5508="",E5508="!!!",F5508="NEW"),"",INDEX(B5507:B$2,-1+SUMPRODUCT(MAX(ROW(E5507:E$2)*(E5508=E5507:E$2)))))</f>
        <v> </v>
      </c>
      <c r="J5508" s="26" t="str">
        <f>IF(OR(E5508="",E5508="!!!",F5508="NEW"),"",COUNTBLANK(OFFSET(A$1,,,SUMPRODUCT(MAX(ROW(E$2:E5508)*(E5508=E$2:E5508)))))-COUNTBLANK(OFFSET(A$1,,,SUMPRODUCT(MAX(ROW(E$1:E5507)*(E2=E$1:E5507))))))</f>
        <v> </v>
      </c>
      <c r="K5508" s="26" t="str">
        <f>IF(OR(E5508="",E5508="!!!",F5508="NEW"),"",INDEX(J$1:J5507,SUMPRODUCT(MAX(ROW(E$1:E5507)*(E5508=E$1:E5507)))))</f>
        <v> </v>
      </c>
      <c r="L5508" s="27"/>
    </row>
    <row r="5509" spans="1:12">
      <c r="A5509" s="20" t="s">
        <v>1218</v>
      </c>
      <c r="B5509" s="21" t="s">
        <v>1237</v>
      </c>
      <c r="E5509" s="22">
        <f>IF(D5509="?OLD","!!!","")</f>
        <v/>
      </c>
      <c r="F5509" s="23" t="str">
        <f>IF(OR(E5509="",E5509="!!!"),"",IF(NOT(ISNA(VLOOKUP(E5509,E$1:E5508,1,FALSE()))),"OLD",IF(AND(E5509&lt;&gt;"",E5509&lt;&gt;"!!!"),"NEW","")))</f>
        <v> </v>
      </c>
      <c r="G5509" s="24" t="str">
        <f>IF(OR(E5509="",E5509="!!!"),"",IF(OR(J5509=0,AND(J5509=1,K5509=1),AND(J5509=1,I5509="SBJ"),AND(J5509=1,I5509=0)),"?IN_FOCUS",IF(J5509&lt;=2,"?ACTIVATED",IF(J5509&lt;&gt;"","?FAMILIAR",IF(F5509="NEW",IF(ISNA(VLOOKUP(E5509,#REF!,1,FALSE())),"?TYPE_IDENTIFIABLE","?REFERENTIAL"),"_")))))</f>
        <v> </v>
      </c>
      <c r="H5509" s="25" t="str">
        <f>IF(J5509&lt;&gt;1,"",IF(I5509="SBJ","CB","?"))</f>
        <v> </v>
      </c>
      <c r="I5509" s="26" t="str">
        <f>IF(OR(E5509="",E5509="!!!",F5509="NEW"),"",INDEX(B5508:B$2,-1+SUMPRODUCT(MAX(ROW(E5508:E$2)*(E5509=E5508:E$2)))))</f>
        <v> </v>
      </c>
      <c r="J5509" s="26" t="str">
        <f>IF(OR(E5509="",E5509="!!!",F5509="NEW"),"",COUNTBLANK(OFFSET(A$1,,,SUMPRODUCT(MAX(ROW(E$2:E5509)*(E5509=E$2:E5509)))))-COUNTBLANK(OFFSET(A$1,,,SUMPRODUCT(MAX(ROW(E$1:E5508)*(E2=E$1:E5508))))))</f>
        <v> </v>
      </c>
      <c r="K5509" s="26" t="str">
        <f>IF(OR(E5509="",E5509="!!!",F5509="NEW"),"",INDEX(J$1:J5508,SUMPRODUCT(MAX(ROW(E$1:E5508)*(E5509=E$1:E5508)))))</f>
        <v> </v>
      </c>
      <c r="L5509" s="27"/>
    </row>
    <row r="5510" spans="1:12">
      <c r="A5510" s="20" t="s">
        <v>2716</v>
      </c>
      <c r="E5510" s="22">
        <f>IF(D5510="?OLD","!!!","")</f>
        <v/>
      </c>
      <c r="F5510" s="23" t="str">
        <f>IF(OR(E5510="",E5510="!!!"),"",IF(NOT(ISNA(VLOOKUP(E5510,E$1:E5509,1,FALSE()))),"OLD",IF(AND(E5510&lt;&gt;"",E5510&lt;&gt;"!!!"),"NEW","")))</f>
        <v> </v>
      </c>
      <c r="G5510" s="24" t="str">
        <f>IF(OR(E5510="",E5510="!!!"),"",IF(OR(J5510=0,AND(J5510=1,K5510=1),AND(J5510=1,I5510="SBJ"),AND(J5510=1,I5510=0)),"?IN_FOCUS",IF(J5510&lt;=2,"?ACTIVATED",IF(J5510&lt;&gt;"","?FAMILIAR",IF(F5510="NEW",IF(ISNA(VLOOKUP(E5510,#REF!,1,FALSE())),"?TYPE_IDENTIFIABLE","?REFERENTIAL"),"_")))))</f>
        <v> </v>
      </c>
      <c r="H5510" s="25" t="str">
        <f>IF(J5510&lt;&gt;1,"",IF(I5510="SBJ","CB","?"))</f>
        <v> </v>
      </c>
      <c r="I5510" s="26" t="str">
        <f>IF(OR(E5510="",E5510="!!!",F5510="NEW"),"",INDEX(B5509:B$2,-1+SUMPRODUCT(MAX(ROW(E5509:E$2)*(E5510=E5509:E$2)))))</f>
        <v> </v>
      </c>
      <c r="J5510" s="26" t="str">
        <f>IF(OR(E5510="",E5510="!!!",F5510="NEW"),"",COUNTBLANK(OFFSET(A$1,,,SUMPRODUCT(MAX(ROW(E$2:E5510)*(E5510=E$2:E5510)))))-COUNTBLANK(OFFSET(A$1,,,SUMPRODUCT(MAX(ROW(E$1:E5509)*(E2=E$1:E5509))))))</f>
        <v> </v>
      </c>
      <c r="K5510" s="26" t="str">
        <f>IF(OR(E5510="",E5510="!!!",F5510="NEW"),"",INDEX(J$1:J5509,SUMPRODUCT(MAX(ROW(E$1:E5509)*(E5510=E$1:E5509)))))</f>
        <v> </v>
      </c>
      <c r="L5510" s="27"/>
    </row>
    <row r="5511" spans="1:12">
      <c r="A5511" s="20" t="s">
        <v>1295</v>
      </c>
      <c r="E5511" s="22">
        <f>IF(D5511="?OLD","!!!","")</f>
        <v/>
      </c>
      <c r="F5511" s="23" t="str">
        <f>IF(OR(E5511="",E5511="!!!"),"",IF(NOT(ISNA(VLOOKUP(E5511,E$1:E5510,1,FALSE()))),"OLD",IF(AND(E5511&lt;&gt;"",E5511&lt;&gt;"!!!"),"NEW","")))</f>
        <v> </v>
      </c>
      <c r="G5511" s="24" t="str">
        <f>IF(OR(E5511="",E5511="!!!"),"",IF(OR(J5511=0,AND(J5511=1,K5511=1),AND(J5511=1,I5511="SBJ"),AND(J5511=1,I5511=0)),"?IN_FOCUS",IF(J5511&lt;=2,"?ACTIVATED",IF(J5511&lt;&gt;"","?FAMILIAR",IF(F5511="NEW",IF(ISNA(VLOOKUP(E5511,#REF!,1,FALSE())),"?TYPE_IDENTIFIABLE","?REFERENTIAL"),"_")))))</f>
        <v> </v>
      </c>
      <c r="H5511" s="25" t="str">
        <f>IF(J5511&lt;&gt;1,"",IF(I5511="SBJ","CB","?"))</f>
        <v> </v>
      </c>
      <c r="I5511" s="26" t="str">
        <f>IF(OR(E5511="",E5511="!!!",F5511="NEW"),"",INDEX(B5510:B$2,-1+SUMPRODUCT(MAX(ROW(E5510:E$2)*(E5511=E5510:E$2)))))</f>
        <v> </v>
      </c>
      <c r="J5511" s="26" t="str">
        <f>IF(OR(E5511="",E5511="!!!",F5511="NEW"),"",COUNTBLANK(OFFSET(A$1,,,SUMPRODUCT(MAX(ROW(E$2:E5511)*(E5511=E$2:E5511)))))-COUNTBLANK(OFFSET(A$1,,,SUMPRODUCT(MAX(ROW(E$1:E5510)*(E2=E$1:E5510))))))</f>
        <v> </v>
      </c>
      <c r="K5511" s="26" t="str">
        <f>IF(OR(E5511="",E5511="!!!",F5511="NEW"),"",INDEX(J$1:J5510,SUMPRODUCT(MAX(ROW(E$1:E5510)*(E5511=E$1:E5510)))))</f>
        <v> </v>
      </c>
      <c r="L5511" s="27"/>
    </row>
    <row r="5512" spans="1:12">
      <c r="A5512" s="20" t="s">
        <v>2717</v>
      </c>
      <c r="E5512" s="22">
        <f>IF(D5512="?OLD","!!!","")</f>
        <v/>
      </c>
      <c r="F5512" s="23" t="str">
        <f>IF(OR(E5512="",E5512="!!!"),"",IF(NOT(ISNA(VLOOKUP(E5512,E$1:E5511,1,FALSE()))),"OLD",IF(AND(E5512&lt;&gt;"",E5512&lt;&gt;"!!!"),"NEW","")))</f>
        <v> </v>
      </c>
      <c r="G5512" s="24" t="str">
        <f>IF(OR(E5512="",E5512="!!!"),"",IF(OR(J5512=0,AND(J5512=1,K5512=1),AND(J5512=1,I5512="SBJ"),AND(J5512=1,I5512=0)),"?IN_FOCUS",IF(J5512&lt;=2,"?ACTIVATED",IF(J5512&lt;&gt;"","?FAMILIAR",IF(F5512="NEW",IF(ISNA(VLOOKUP(E5512,#REF!,1,FALSE())),"?TYPE_IDENTIFIABLE","?REFERENTIAL"),"_")))))</f>
        <v> </v>
      </c>
      <c r="H5512" s="25" t="str">
        <f>IF(J5512&lt;&gt;1,"",IF(I5512="SBJ","CB","?"))</f>
        <v> </v>
      </c>
      <c r="I5512" s="26" t="str">
        <f>IF(OR(E5512="",E5512="!!!",F5512="NEW"),"",INDEX(B5511:B$2,-1+SUMPRODUCT(MAX(ROW(E5511:E$2)*(E5512=E5511:E$2)))))</f>
        <v> </v>
      </c>
      <c r="J5512" s="26" t="str">
        <f>IF(OR(E5512="",E5512="!!!",F5512="NEW"),"",COUNTBLANK(OFFSET(A$1,,,SUMPRODUCT(MAX(ROW(E$2:E5512)*(E5512=E$2:E5512)))))-COUNTBLANK(OFFSET(A$1,,,SUMPRODUCT(MAX(ROW(E$1:E5511)*(E2=E$1:E5511))))))</f>
        <v> </v>
      </c>
      <c r="K5512" s="26" t="str">
        <f>IF(OR(E5512="",E5512="!!!",F5512="NEW"),"",INDEX(J$1:J5511,SUMPRODUCT(MAX(ROW(E$1:E5511)*(E5512=E$1:E5511)))))</f>
        <v> </v>
      </c>
      <c r="L5512" s="27"/>
    </row>
    <row r="5513" spans="1:12">
      <c r="A5513" s="20" t="s">
        <v>818</v>
      </c>
      <c r="E5513" s="22">
        <f>IF(D5513="?OLD","!!!","")</f>
        <v/>
      </c>
      <c r="F5513" s="23" t="str">
        <f>IF(OR(E5513="",E5513="!!!"),"",IF(NOT(ISNA(VLOOKUP(E5513,E$1:E5512,1,FALSE()))),"OLD",IF(AND(E5513&lt;&gt;"",E5513&lt;&gt;"!!!"),"NEW","")))</f>
        <v> </v>
      </c>
      <c r="G5513" s="24" t="str">
        <f>IF(OR(E5513="",E5513="!!!"),"",IF(OR(J5513=0,AND(J5513=1,K5513=1),AND(J5513=1,I5513="SBJ"),AND(J5513=1,I5513=0)),"?IN_FOCUS",IF(J5513&lt;=2,"?ACTIVATED",IF(J5513&lt;&gt;"","?FAMILIAR",IF(F5513="NEW",IF(ISNA(VLOOKUP(E5513,#REF!,1,FALSE())),"?TYPE_IDENTIFIABLE","?REFERENTIAL"),"_")))))</f>
        <v> </v>
      </c>
      <c r="H5513" s="25" t="str">
        <f>IF(J5513&lt;&gt;1,"",IF(I5513="SBJ","CB","?"))</f>
        <v> </v>
      </c>
      <c r="I5513" s="26" t="str">
        <f>IF(OR(E5513="",E5513="!!!",F5513="NEW"),"",INDEX(B5512:B$2,-1+SUMPRODUCT(MAX(ROW(E5512:E$2)*(E5513=E5512:E$2)))))</f>
        <v> </v>
      </c>
      <c r="J5513" s="26" t="str">
        <f>IF(OR(E5513="",E5513="!!!",F5513="NEW"),"",COUNTBLANK(OFFSET(A$1,,,SUMPRODUCT(MAX(ROW(E$2:E5513)*(E5513=E$2:E5513)))))-COUNTBLANK(OFFSET(A$1,,,SUMPRODUCT(MAX(ROW(E$1:E5512)*(E2=E$1:E5512))))))</f>
        <v> </v>
      </c>
      <c r="K5513" s="26" t="str">
        <f>IF(OR(E5513="",E5513="!!!",F5513="NEW"),"",INDEX(J$1:J5512,SUMPRODUCT(MAX(ROW(E$1:E5512)*(E5513=E$1:E5512)))))</f>
        <v> </v>
      </c>
      <c r="L5513" s="27"/>
    </row>
    <row r="5514" spans="1:12">
      <c r="A5514" s="20"/>
    </row>
    <row r="5515" spans="1:12">
      <c r="A5515" s="20" t="s">
        <v>2718</v>
      </c>
    </row>
    <row r="5516" spans="1:12">
      <c r="A5516" s="20" t="s">
        <v>1262</v>
      </c>
      <c r="E5516" s="22">
        <f>IF(D5516="?OLD","!!!","")</f>
        <v/>
      </c>
      <c r="F5516" s="23" t="str">
        <f>IF(OR(E5516="",E5516="!!!"),"",IF(NOT(ISNA(VLOOKUP(E5516,E$1:E5515,1,FALSE()))),"OLD",IF(AND(E5516&lt;&gt;"",E5516&lt;&gt;"!!!"),"NEW","")))</f>
        <v> </v>
      </c>
      <c r="G5516" s="24" t="str">
        <f>IF(OR(E5516="",E5516="!!!"),"",IF(OR(J5516=0,AND(J5516=1,K5516=1),AND(J5516=1,I5516="SBJ"),AND(J5516=1,I5516=0)),"?IN_FOCUS",IF(J5516&lt;=2,"?ACTIVATED",IF(J5516&lt;&gt;"","?FAMILIAR",IF(F5516="NEW",IF(ISNA(VLOOKUP(E5516,#REF!,1,FALSE())),"?TYPE_IDENTIFIABLE","?REFERENTIAL"),"_")))))</f>
        <v> </v>
      </c>
      <c r="H5516" s="25" t="str">
        <f>IF(J5516&lt;&gt;1,"",IF(I5516="SBJ","CB","?"))</f>
        <v> </v>
      </c>
      <c r="I5516" s="26" t="str">
        <f>IF(OR(E5516="",E5516="!!!",F5516="NEW"),"",INDEX(B5515:B$2,-1+SUMPRODUCT(MAX(ROW(E5515:E$2)*(E5516=E5515:E$2)))))</f>
        <v> </v>
      </c>
      <c r="J5516" s="26" t="str">
        <f>IF(OR(E5516="",E5516="!!!",F5516="NEW"),"",COUNTBLANK(OFFSET(A$1,,,SUMPRODUCT(MAX(ROW(E$2:E5516)*(E5516=E$2:E5516)))))-COUNTBLANK(OFFSET(A$1,,,SUMPRODUCT(MAX(ROW(E$1:E5515)*(E2=E$1:E5515))))))</f>
        <v> </v>
      </c>
      <c r="K5516" s="26" t="str">
        <f>IF(OR(E5516="",E5516="!!!",F5516="NEW"),"",INDEX(J$1:J5515,SUMPRODUCT(MAX(ROW(E$1:E5515)*(E5516=E$1:E5515)))))</f>
        <v> </v>
      </c>
      <c r="L5516" s="27"/>
    </row>
    <row r="5517" spans="1:12">
      <c r="A5517" s="20" t="s">
        <v>1182</v>
      </c>
      <c r="E5517" s="22">
        <f>IF(D5517="?OLD","!!!","")</f>
        <v/>
      </c>
      <c r="F5517" s="23" t="str">
        <f>IF(OR(E5517="",E5517="!!!"),"",IF(NOT(ISNA(VLOOKUP(E5517,E$1:E5516,1,FALSE()))),"OLD",IF(AND(E5517&lt;&gt;"",E5517&lt;&gt;"!!!"),"NEW","")))</f>
        <v> </v>
      </c>
      <c r="G5517" s="24" t="str">
        <f>IF(OR(E5517="",E5517="!!!"),"",IF(OR(J5517=0,AND(J5517=1,K5517=1),AND(J5517=1,I5517="SBJ"),AND(J5517=1,I5517=0)),"?IN_FOCUS",IF(J5517&lt;=2,"?ACTIVATED",IF(J5517&lt;&gt;"","?FAMILIAR",IF(F5517="NEW",IF(ISNA(VLOOKUP(E5517,#REF!,1,FALSE())),"?TYPE_IDENTIFIABLE","?REFERENTIAL"),"_")))))</f>
        <v> </v>
      </c>
      <c r="H5517" s="25" t="str">
        <f>IF(J5517&lt;&gt;1,"",IF(I5517="SBJ","CB","?"))</f>
        <v> </v>
      </c>
      <c r="I5517" s="26" t="str">
        <f>IF(OR(E5517="",E5517="!!!",F5517="NEW"),"",INDEX(B5516:B$2,-1+SUMPRODUCT(MAX(ROW(E5516:E$2)*(E5517=E5516:E$2)))))</f>
        <v> </v>
      </c>
      <c r="J5517" s="26" t="str">
        <f>IF(OR(E5517="",E5517="!!!",F5517="NEW"),"",COUNTBLANK(OFFSET(A$1,,,SUMPRODUCT(MAX(ROW(E$2:E5517)*(E5517=E$2:E5517)))))-COUNTBLANK(OFFSET(A$1,,,SUMPRODUCT(MAX(ROW(E$1:E5516)*(E2=E$1:E5516))))))</f>
        <v> </v>
      </c>
      <c r="K5517" s="26" t="str">
        <f>IF(OR(E5517="",E5517="!!!",F5517="NEW"),"",INDEX(J$1:J5516,SUMPRODUCT(MAX(ROW(E$1:E5516)*(E5517=E$1:E5516)))))</f>
        <v> </v>
      </c>
      <c r="L5517" s="27"/>
    </row>
    <row r="5518" spans="1:12">
      <c r="A5518" s="20" t="s">
        <v>2719</v>
      </c>
      <c r="E5518" s="22">
        <f>IF(D5518="?OLD","!!!","")</f>
        <v/>
      </c>
      <c r="F5518" s="23" t="str">
        <f>IF(OR(E5518="",E5518="!!!"),"",IF(NOT(ISNA(VLOOKUP(E5518,E$1:E5517,1,FALSE()))),"OLD",IF(AND(E5518&lt;&gt;"",E5518&lt;&gt;"!!!"),"NEW","")))</f>
        <v> </v>
      </c>
      <c r="G5518" s="24" t="str">
        <f>IF(OR(E5518="",E5518="!!!"),"",IF(OR(J5518=0,AND(J5518=1,K5518=1),AND(J5518=1,I5518="SBJ"),AND(J5518=1,I5518=0)),"?IN_FOCUS",IF(J5518&lt;=2,"?ACTIVATED",IF(J5518&lt;&gt;"","?FAMILIAR",IF(F5518="NEW",IF(ISNA(VLOOKUP(E5518,#REF!,1,FALSE())),"?TYPE_IDENTIFIABLE","?REFERENTIAL"),"_")))))</f>
        <v> </v>
      </c>
      <c r="H5518" s="25" t="str">
        <f>IF(J5518&lt;&gt;1,"",IF(I5518="SBJ","CB","?"))</f>
        <v> </v>
      </c>
      <c r="I5518" s="26" t="str">
        <f>IF(OR(E5518="",E5518="!!!",F5518="NEW"),"",INDEX(B5517:B$2,-1+SUMPRODUCT(MAX(ROW(E5517:E$2)*(E5518=E5517:E$2)))))</f>
        <v> </v>
      </c>
      <c r="J5518" s="26" t="str">
        <f>IF(OR(E5518="",E5518="!!!",F5518="NEW"),"",COUNTBLANK(OFFSET(A$1,,,SUMPRODUCT(MAX(ROW(E$2:E5518)*(E5518=E$2:E5518)))))-COUNTBLANK(OFFSET(A$1,,,SUMPRODUCT(MAX(ROW(E$1:E5517)*(E2=E$1:E5517))))))</f>
        <v> </v>
      </c>
      <c r="K5518" s="26" t="str">
        <f>IF(OR(E5518="",E5518="!!!",F5518="NEW"),"",INDEX(J$1:J5517,SUMPRODUCT(MAX(ROW(E$1:E5517)*(E5518=E$1:E5517)))))</f>
        <v> </v>
      </c>
      <c r="L5518" s="27"/>
    </row>
    <row r="5519" spans="1:12">
      <c r="A5519" s="20" t="s">
        <v>57</v>
      </c>
      <c r="B5519" s="21" t="s">
        <v>1194</v>
      </c>
      <c r="C5519" s="21" t="s">
        <v>1195</v>
      </c>
      <c r="D5519" s="21" t="s">
        <v>1180</v>
      </c>
      <c r="E5519" s="22">
        <f>IF(D5519="?OLD","!!!","")</f>
        <v/>
      </c>
      <c r="F5519" s="23" t="str">
        <f>IF(OR(E5519="",E5519="!!!"),"",IF(NOT(ISNA(VLOOKUP(E5519,E$1:E5518,1,FALSE()))),"OLD",IF(AND(E5519&lt;&gt;"",E5519&lt;&gt;"!!!"),"NEW","")))</f>
        <v> </v>
      </c>
      <c r="G5519" s="24" t="str">
        <f>IF(OR(E5519="",E5519="!!!"),"",IF(OR(J5519=0,AND(J5519=1,K5519=1),AND(J5519=1,I5519="SBJ"),AND(J5519=1,I5519=0)),"?IN_FOCUS",IF(J5519&lt;=2,"?ACTIVATED",IF(J5519&lt;&gt;"","?FAMILIAR",IF(F5519="NEW",IF(ISNA(VLOOKUP(E5519,#REF!,1,FALSE())),"?TYPE_IDENTIFIABLE","?REFERENTIAL"),"_")))))</f>
        <v> </v>
      </c>
      <c r="H5519" s="25" t="str">
        <f>IF(J5519&lt;&gt;1,"",IF(I5519="SBJ","CB","?"))</f>
        <v> </v>
      </c>
      <c r="I5519" s="26" t="str">
        <f>IF(OR(E5519="",E5519="!!!",F5519="NEW"),"",INDEX(B5518:B$2,-1+SUMPRODUCT(MAX(ROW(E5518:E$2)*(E5519=E5518:E$2)))))</f>
        <v> </v>
      </c>
      <c r="J5519" s="26" t="str">
        <f>IF(OR(E5519="",E5519="!!!",F5519="NEW"),"",COUNTBLANK(OFFSET(A$1,,,SUMPRODUCT(MAX(ROW(E$2:E5519)*(E5519=E$2:E5519)))))-COUNTBLANK(OFFSET(A$1,,,SUMPRODUCT(MAX(ROW(E$1:E5518)*(E2=E$1:E5518))))))</f>
        <v> </v>
      </c>
      <c r="K5519" s="26" t="str">
        <f>IF(OR(E5519="",E5519="!!!",F5519="NEW"),"",INDEX(J$1:J5518,SUMPRODUCT(MAX(ROW(E$1:E5518)*(E5519=E$1:E5518)))))</f>
        <v> </v>
      </c>
      <c r="L5519" s="27"/>
    </row>
    <row r="5520" spans="1:12">
      <c r="A5520" s="20" t="s">
        <v>1487</v>
      </c>
      <c r="E5520" s="22">
        <f>IF(D5520="?OLD","!!!","")</f>
        <v/>
      </c>
      <c r="F5520" s="23" t="str">
        <f>IF(OR(E5520="",E5520="!!!"),"",IF(NOT(ISNA(VLOOKUP(E5520,E$1:E5519,1,FALSE()))),"OLD",IF(AND(E5520&lt;&gt;"",E5520&lt;&gt;"!!!"),"NEW","")))</f>
        <v> </v>
      </c>
      <c r="G5520" s="24" t="str">
        <f>IF(OR(E5520="",E5520="!!!"),"",IF(OR(J5520=0,AND(J5520=1,K5520=1),AND(J5520=1,I5520="SBJ"),AND(J5520=1,I5520=0)),"?IN_FOCUS",IF(J5520&lt;=2,"?ACTIVATED",IF(J5520&lt;&gt;"","?FAMILIAR",IF(F5520="NEW",IF(ISNA(VLOOKUP(E5520,#REF!,1,FALSE())),"?TYPE_IDENTIFIABLE","?REFERENTIAL"),"_")))))</f>
        <v> </v>
      </c>
      <c r="H5520" s="25" t="str">
        <f>IF(J5520&lt;&gt;1,"",IF(I5520="SBJ","CB","?"))</f>
        <v> </v>
      </c>
      <c r="I5520" s="26" t="str">
        <f>IF(OR(E5520="",E5520="!!!",F5520="NEW"),"",INDEX(B5519:B$2,-1+SUMPRODUCT(MAX(ROW(E5519:E$2)*(E5520=E5519:E$2)))))</f>
        <v> </v>
      </c>
      <c r="J5520" s="26" t="str">
        <f>IF(OR(E5520="",E5520="!!!",F5520="NEW"),"",COUNTBLANK(OFFSET(A$1,,,SUMPRODUCT(MAX(ROW(E$2:E5520)*(E5520=E$2:E5520)))))-COUNTBLANK(OFFSET(A$1,,,SUMPRODUCT(MAX(ROW(E$1:E5519)*(E2=E$1:E5519))))))</f>
        <v> </v>
      </c>
      <c r="K5520" s="26" t="str">
        <f>IF(OR(E5520="",E5520="!!!",F5520="NEW"),"",INDEX(J$1:J5519,SUMPRODUCT(MAX(ROW(E$1:E5519)*(E5520=E$1:E5519)))))</f>
        <v> </v>
      </c>
      <c r="L5520" s="27"/>
    </row>
    <row r="5521" spans="1:12">
      <c r="A5521" s="20" t="s">
        <v>1315</v>
      </c>
      <c r="B5521" s="21" t="s">
        <v>1204</v>
      </c>
      <c r="C5521" s="21" t="s">
        <v>1223</v>
      </c>
      <c r="E5521" s="22">
        <f>IF(D5521="?OLD","!!!","")</f>
        <v/>
      </c>
      <c r="F5521" s="23" t="str">
        <f>IF(OR(E5521="",E5521="!!!"),"",IF(NOT(ISNA(VLOOKUP(E5521,E$1:E5520,1,FALSE()))),"OLD",IF(AND(E5521&lt;&gt;"",E5521&lt;&gt;"!!!"),"NEW","")))</f>
        <v> </v>
      </c>
      <c r="G5521" s="24" t="str">
        <f>IF(OR(E5521="",E5521="!!!"),"",IF(OR(J5521=0,AND(J5521=1,K5521=1),AND(J5521=1,I5521="SBJ"),AND(J5521=1,I5521=0)),"?IN_FOCUS",IF(J5521&lt;=2,"?ACTIVATED",IF(J5521&lt;&gt;"","?FAMILIAR",IF(F5521="NEW",IF(ISNA(VLOOKUP(E5521,#REF!,1,FALSE())),"?TYPE_IDENTIFIABLE","?REFERENTIAL"),"_")))))</f>
        <v> </v>
      </c>
      <c r="H5521" s="25" t="str">
        <f>IF(J5521&lt;&gt;1,"",IF(I5521="SBJ","CB","?"))</f>
        <v> </v>
      </c>
      <c r="I5521" s="26" t="str">
        <f>IF(OR(E5521="",E5521="!!!",F5521="NEW"),"",INDEX(B5520:B$2,-1+SUMPRODUCT(MAX(ROW(E5520:E$2)*(E5521=E5520:E$2)))))</f>
        <v> </v>
      </c>
      <c r="J5521" s="26" t="str">
        <f>IF(OR(E5521="",E5521="!!!",F5521="NEW"),"",COUNTBLANK(OFFSET(A$1,,,SUMPRODUCT(MAX(ROW(E$2:E5521)*(E5521=E$2:E5521)))))-COUNTBLANK(OFFSET(A$1,,,SUMPRODUCT(MAX(ROW(E$1:E5520)*(E2=E$1:E5520))))))</f>
        <v> </v>
      </c>
      <c r="K5521" s="26" t="str">
        <f>IF(OR(E5521="",E5521="!!!",F5521="NEW"),"",INDEX(J$1:J5520,SUMPRODUCT(MAX(ROW(E$1:E5520)*(E5521=E$1:E5520)))))</f>
        <v> </v>
      </c>
      <c r="L5521" s="27"/>
    </row>
    <row r="5522" spans="1:12">
      <c r="A5522" s="20" t="s">
        <v>1219</v>
      </c>
      <c r="E5522" s="22">
        <f>IF(D5522="?OLD","!!!","")</f>
        <v/>
      </c>
      <c r="F5522" s="23" t="str">
        <f>IF(OR(E5522="",E5522="!!!"),"",IF(NOT(ISNA(VLOOKUP(E5522,E$1:E5521,1,FALSE()))),"OLD",IF(AND(E5522&lt;&gt;"",E5522&lt;&gt;"!!!"),"NEW","")))</f>
        <v> </v>
      </c>
      <c r="G5522" s="24" t="str">
        <f>IF(OR(E5522="",E5522="!!!"),"",IF(OR(J5522=0,AND(J5522=1,K5522=1),AND(J5522=1,I5522="SBJ"),AND(J5522=1,I5522=0)),"?IN_FOCUS",IF(J5522&lt;=2,"?ACTIVATED",IF(J5522&lt;&gt;"","?FAMILIAR",IF(F5522="NEW",IF(ISNA(VLOOKUP(E5522,#REF!,1,FALSE())),"?TYPE_IDENTIFIABLE","?REFERENTIAL"),"_")))))</f>
        <v> </v>
      </c>
      <c r="H5522" s="25" t="str">
        <f>IF(J5522&lt;&gt;1,"",IF(I5522="SBJ","CB","?"))</f>
        <v> </v>
      </c>
      <c r="I5522" s="26" t="str">
        <f>IF(OR(E5522="",E5522="!!!",F5522="NEW"),"",INDEX(B5521:B$2,-1+SUMPRODUCT(MAX(ROW(E5521:E$2)*(E5522=E5521:E$2)))))</f>
        <v> </v>
      </c>
      <c r="J5522" s="26" t="str">
        <f>IF(OR(E5522="",E5522="!!!",F5522="NEW"),"",COUNTBLANK(OFFSET(A$1,,,SUMPRODUCT(MAX(ROW(E$2:E5522)*(E5522=E$2:E5522)))))-COUNTBLANK(OFFSET(A$1,,,SUMPRODUCT(MAX(ROW(E$1:E5521)*(E2=E$1:E5521))))))</f>
        <v> </v>
      </c>
      <c r="K5522" s="26" t="str">
        <f>IF(OR(E5522="",E5522="!!!",F5522="NEW"),"",INDEX(J$1:J5521,SUMPRODUCT(MAX(ROW(E$1:E5521)*(E5522=E$1:E5521)))))</f>
        <v> </v>
      </c>
      <c r="L5522" s="27"/>
    </row>
    <row r="5523" spans="1:12">
      <c r="A5523" s="20" t="s">
        <v>1211</v>
      </c>
      <c r="B5523" s="21" t="s">
        <v>1191</v>
      </c>
      <c r="C5523" s="21" t="s">
        <v>1179</v>
      </c>
      <c r="D5523" s="21" t="s">
        <v>1180</v>
      </c>
      <c r="E5523" s="22">
        <f>IF(D5523="?OLD","!!!","")</f>
        <v/>
      </c>
      <c r="F5523" s="23" t="str">
        <f>IF(OR(E5523="",E5523="!!!"),"",IF(NOT(ISNA(VLOOKUP(E5523,E$1:E5522,1,FALSE()))),"OLD",IF(AND(E5523&lt;&gt;"",E5523&lt;&gt;"!!!"),"NEW","")))</f>
        <v> </v>
      </c>
      <c r="G5523" s="24" t="str">
        <f>IF(OR(E5523="",E5523="!!!"),"",IF(OR(J5523=0,AND(J5523=1,K5523=1),AND(J5523=1,I5523="SBJ"),AND(J5523=1,I5523=0)),"?IN_FOCUS",IF(J5523&lt;=2,"?ACTIVATED",IF(J5523&lt;&gt;"","?FAMILIAR",IF(F5523="NEW",IF(ISNA(VLOOKUP(E5523,#REF!,1,FALSE())),"?TYPE_IDENTIFIABLE","?REFERENTIAL"),"_")))))</f>
        <v> </v>
      </c>
      <c r="H5523" s="25" t="str">
        <f>IF(J5523&lt;&gt;1,"",IF(I5523="SBJ","CB","?"))</f>
        <v> </v>
      </c>
      <c r="I5523" s="26" t="str">
        <f>IF(OR(E5523="",E5523="!!!",F5523="NEW"),"",INDEX(B5522:B$2,-1+SUMPRODUCT(MAX(ROW(E5522:E$2)*(E5523=E5522:E$2)))))</f>
        <v> </v>
      </c>
      <c r="J5523" s="26" t="str">
        <f>IF(OR(E5523="",E5523="!!!",F5523="NEW"),"",COUNTBLANK(OFFSET(A$1,,,SUMPRODUCT(MAX(ROW(E$2:E5523)*(E5523=E$2:E5523)))))-COUNTBLANK(OFFSET(A$1,,,SUMPRODUCT(MAX(ROW(E$1:E5522)*(E2=E$1:E5522))))))</f>
        <v> </v>
      </c>
      <c r="K5523" s="26" t="str">
        <f>IF(OR(E5523="",E5523="!!!",F5523="NEW"),"",INDEX(J$1:J5522,SUMPRODUCT(MAX(ROW(E$1:E5522)*(E5523=E$1:E5522)))))</f>
        <v> </v>
      </c>
      <c r="L5523" s="27"/>
    </row>
    <row r="5524" spans="1:12">
      <c r="A5524" s="20" t="s">
        <v>1249</v>
      </c>
      <c r="E5524" s="22">
        <f>IF(D5524="?OLD","!!!","")</f>
        <v/>
      </c>
      <c r="F5524" s="23" t="str">
        <f>IF(OR(E5524="",E5524="!!!"),"",IF(NOT(ISNA(VLOOKUP(E5524,E$1:E5523,1,FALSE()))),"OLD",IF(AND(E5524&lt;&gt;"",E5524&lt;&gt;"!!!"),"NEW","")))</f>
        <v> </v>
      </c>
      <c r="G5524" s="24" t="str">
        <f>IF(OR(E5524="",E5524="!!!"),"",IF(OR(J5524=0,AND(J5524=1,K5524=1),AND(J5524=1,I5524="SBJ"),AND(J5524=1,I5524=0)),"?IN_FOCUS",IF(J5524&lt;=2,"?ACTIVATED",IF(J5524&lt;&gt;"","?FAMILIAR",IF(F5524="NEW",IF(ISNA(VLOOKUP(E5524,#REF!,1,FALSE())),"?TYPE_IDENTIFIABLE","?REFERENTIAL"),"_")))))</f>
        <v> </v>
      </c>
      <c r="H5524" s="25" t="str">
        <f>IF(J5524&lt;&gt;1,"",IF(I5524="SBJ","CB","?"))</f>
        <v> </v>
      </c>
      <c r="I5524" s="26" t="str">
        <f>IF(OR(E5524="",E5524="!!!",F5524="NEW"),"",INDEX(B5523:B$2,-1+SUMPRODUCT(MAX(ROW(E5523:E$2)*(E5524=E5523:E$2)))))</f>
        <v> </v>
      </c>
      <c r="J5524" s="26" t="str">
        <f>IF(OR(E5524="",E5524="!!!",F5524="NEW"),"",COUNTBLANK(OFFSET(A$1,,,SUMPRODUCT(MAX(ROW(E$2:E5524)*(E5524=E$2:E5524)))))-COUNTBLANK(OFFSET(A$1,,,SUMPRODUCT(MAX(ROW(E$1:E5523)*(E2=E$1:E5523))))))</f>
        <v> </v>
      </c>
      <c r="K5524" s="26" t="str">
        <f>IF(OR(E5524="",E5524="!!!",F5524="NEW"),"",INDEX(J$1:J5523,SUMPRODUCT(MAX(ROW(E$1:E5523)*(E5524=E$1:E5523)))))</f>
        <v> </v>
      </c>
      <c r="L5524" s="27"/>
    </row>
    <row r="5525" spans="1:12">
      <c r="A5525" s="20" t="s">
        <v>2720</v>
      </c>
      <c r="E5525" s="22">
        <f>IF(D5525="?OLD","!!!","")</f>
        <v/>
      </c>
      <c r="F5525" s="23" t="str">
        <f>IF(OR(E5525="",E5525="!!!"),"",IF(NOT(ISNA(VLOOKUP(E5525,E$1:E5524,1,FALSE()))),"OLD",IF(AND(E5525&lt;&gt;"",E5525&lt;&gt;"!!!"),"NEW","")))</f>
        <v> </v>
      </c>
      <c r="G5525" s="24" t="str">
        <f>IF(OR(E5525="",E5525="!!!"),"",IF(OR(J5525=0,AND(J5525=1,K5525=1),AND(J5525=1,I5525="SBJ"),AND(J5525=1,I5525=0)),"?IN_FOCUS",IF(J5525&lt;=2,"?ACTIVATED",IF(J5525&lt;&gt;"","?FAMILIAR",IF(F5525="NEW",IF(ISNA(VLOOKUP(E5525,#REF!,1,FALSE())),"?TYPE_IDENTIFIABLE","?REFERENTIAL"),"_")))))</f>
        <v> </v>
      </c>
      <c r="H5525" s="25" t="str">
        <f>IF(J5525&lt;&gt;1,"",IF(I5525="SBJ","CB","?"))</f>
        <v> </v>
      </c>
      <c r="I5525" s="26" t="str">
        <f>IF(OR(E5525="",E5525="!!!",F5525="NEW"),"",INDEX(B5524:B$2,-1+SUMPRODUCT(MAX(ROW(E5524:E$2)*(E5525=E5524:E$2)))))</f>
        <v> </v>
      </c>
      <c r="J5525" s="26" t="str">
        <f>IF(OR(E5525="",E5525="!!!",F5525="NEW"),"",COUNTBLANK(OFFSET(A$1,,,SUMPRODUCT(MAX(ROW(E$2:E5525)*(E5525=E$2:E5525)))))-COUNTBLANK(OFFSET(A$1,,,SUMPRODUCT(MAX(ROW(E$1:E5524)*(E2=E$1:E5524))))))</f>
        <v> </v>
      </c>
      <c r="K5525" s="26" t="str">
        <f>IF(OR(E5525="",E5525="!!!",F5525="NEW"),"",INDEX(J$1:J5524,SUMPRODUCT(MAX(ROW(E$1:E5524)*(E5525=E$1:E5524)))))</f>
        <v> </v>
      </c>
      <c r="L5525" s="27"/>
    </row>
    <row r="5526" spans="1:12">
      <c r="A5526" s="20" t="s">
        <v>1182</v>
      </c>
      <c r="E5526" s="22">
        <f>IF(D5526="?OLD","!!!","")</f>
        <v/>
      </c>
      <c r="F5526" s="23" t="str">
        <f>IF(OR(E5526="",E5526="!!!"),"",IF(NOT(ISNA(VLOOKUP(E5526,E$1:E5525,1,FALSE()))),"OLD",IF(AND(E5526&lt;&gt;"",E5526&lt;&gt;"!!!"),"NEW","")))</f>
        <v> </v>
      </c>
      <c r="G5526" s="24" t="str">
        <f>IF(OR(E5526="",E5526="!!!"),"",IF(OR(J5526=0,AND(J5526=1,K5526=1),AND(J5526=1,I5526="SBJ"),AND(J5526=1,I5526=0)),"?IN_FOCUS",IF(J5526&lt;=2,"?ACTIVATED",IF(J5526&lt;&gt;"","?FAMILIAR",IF(F5526="NEW",IF(ISNA(VLOOKUP(E5526,#REF!,1,FALSE())),"?TYPE_IDENTIFIABLE","?REFERENTIAL"),"_")))))</f>
        <v> </v>
      </c>
      <c r="H5526" s="25" t="str">
        <f>IF(J5526&lt;&gt;1,"",IF(I5526="SBJ","CB","?"))</f>
        <v> </v>
      </c>
      <c r="I5526" s="26" t="str">
        <f>IF(OR(E5526="",E5526="!!!",F5526="NEW"),"",INDEX(B5525:B$2,-1+SUMPRODUCT(MAX(ROW(E5525:E$2)*(E5526=E5525:E$2)))))</f>
        <v> </v>
      </c>
      <c r="J5526" s="26" t="str">
        <f>IF(OR(E5526="",E5526="!!!",F5526="NEW"),"",COUNTBLANK(OFFSET(A$1,,,SUMPRODUCT(MAX(ROW(E$2:E5526)*(E5526=E$2:E5526)))))-COUNTBLANK(OFFSET(A$1,,,SUMPRODUCT(MAX(ROW(E$1:E5525)*(E2=E$1:E5525))))))</f>
        <v> </v>
      </c>
      <c r="K5526" s="26" t="str">
        <f>IF(OR(E5526="",E5526="!!!",F5526="NEW"),"",INDEX(J$1:J5525,SUMPRODUCT(MAX(ROW(E$1:E5525)*(E5526=E$1:E5525)))))</f>
        <v> </v>
      </c>
      <c r="L5526" s="27"/>
    </row>
    <row r="5527" spans="1:12">
      <c r="A5527" s="20" t="s">
        <v>2424</v>
      </c>
      <c r="E5527" s="22">
        <f>IF(D5527="?OLD","!!!","")</f>
        <v/>
      </c>
      <c r="F5527" s="23" t="str">
        <f>IF(OR(E5527="",E5527="!!!"),"",IF(NOT(ISNA(VLOOKUP(E5527,E$1:E5526,1,FALSE()))),"OLD",IF(AND(E5527&lt;&gt;"",E5527&lt;&gt;"!!!"),"NEW","")))</f>
        <v> </v>
      </c>
      <c r="G5527" s="24" t="str">
        <f>IF(OR(E5527="",E5527="!!!"),"",IF(OR(J5527=0,AND(J5527=1,K5527=1),AND(J5527=1,I5527="SBJ"),AND(J5527=1,I5527=0)),"?IN_FOCUS",IF(J5527&lt;=2,"?ACTIVATED",IF(J5527&lt;&gt;"","?FAMILIAR",IF(F5527="NEW",IF(ISNA(VLOOKUP(E5527,#REF!,1,FALSE())),"?TYPE_IDENTIFIABLE","?REFERENTIAL"),"_")))))</f>
        <v> </v>
      </c>
      <c r="H5527" s="25" t="str">
        <f>IF(J5527&lt;&gt;1,"",IF(I5527="SBJ","CB","?"))</f>
        <v> </v>
      </c>
      <c r="I5527" s="26" t="str">
        <f>IF(OR(E5527="",E5527="!!!",F5527="NEW"),"",INDEX(B5526:B$2,-1+SUMPRODUCT(MAX(ROW(E5526:E$2)*(E5527=E5526:E$2)))))</f>
        <v> </v>
      </c>
      <c r="J5527" s="26" t="str">
        <f>IF(OR(E5527="",E5527="!!!",F5527="NEW"),"",COUNTBLANK(OFFSET(A$1,,,SUMPRODUCT(MAX(ROW(E$2:E5527)*(E5527=E$2:E5527)))))-COUNTBLANK(OFFSET(A$1,,,SUMPRODUCT(MAX(ROW(E$1:E5526)*(E2=E$1:E5526))))))</f>
        <v> </v>
      </c>
      <c r="K5527" s="26" t="str">
        <f>IF(OR(E5527="",E5527="!!!",F5527="NEW"),"",INDEX(J$1:J5526,SUMPRODUCT(MAX(ROW(E$1:E5526)*(E5527=E$1:E5526)))))</f>
        <v> </v>
      </c>
      <c r="L5527" s="27"/>
    </row>
    <row r="5528" spans="1:12">
      <c r="A5528" s="20" t="s">
        <v>1267</v>
      </c>
      <c r="B5528" s="21" t="s">
        <v>1306</v>
      </c>
      <c r="C5528" s="21" t="s">
        <v>1324</v>
      </c>
      <c r="E5528" s="22">
        <f>IF(D5528="?OLD","!!!","")</f>
        <v/>
      </c>
      <c r="F5528" s="23" t="str">
        <f>IF(OR(E5528="",E5528="!!!"),"",IF(NOT(ISNA(VLOOKUP(E5528,E$1:E5527,1,FALSE()))),"OLD",IF(AND(E5528&lt;&gt;"",E5528&lt;&gt;"!!!"),"NEW","")))</f>
        <v> </v>
      </c>
      <c r="G5528" s="24" t="str">
        <f>IF(OR(E5528="",E5528="!!!"),"",IF(OR(J5528=0,AND(J5528=1,K5528=1),AND(J5528=1,I5528="SBJ"),AND(J5528=1,I5528=0)),"?IN_FOCUS",IF(J5528&lt;=2,"?ACTIVATED",IF(J5528&lt;&gt;"","?FAMILIAR",IF(F5528="NEW",IF(ISNA(VLOOKUP(E5528,#REF!,1,FALSE())),"?TYPE_IDENTIFIABLE","?REFERENTIAL"),"_")))))</f>
        <v> </v>
      </c>
      <c r="H5528" s="25" t="str">
        <f>IF(J5528&lt;&gt;1,"",IF(I5528="SBJ","CB","?"))</f>
        <v> </v>
      </c>
      <c r="I5528" s="26" t="str">
        <f>IF(OR(E5528="",E5528="!!!",F5528="NEW"),"",INDEX(B5527:B$2,-1+SUMPRODUCT(MAX(ROW(E5527:E$2)*(E5528=E5527:E$2)))))</f>
        <v> </v>
      </c>
      <c r="J5528" s="26" t="str">
        <f>IF(OR(E5528="",E5528="!!!",F5528="NEW"),"",COUNTBLANK(OFFSET(A$1,,,SUMPRODUCT(MAX(ROW(E$2:E5528)*(E5528=E$2:E5528)))))-COUNTBLANK(OFFSET(A$1,,,SUMPRODUCT(MAX(ROW(E$1:E5527)*(E2=E$1:E5527))))))</f>
        <v> </v>
      </c>
      <c r="K5528" s="26" t="str">
        <f>IF(OR(E5528="",E5528="!!!",F5528="NEW"),"",INDEX(J$1:J5527,SUMPRODUCT(MAX(ROW(E$1:E5527)*(E5528=E$1:E5527)))))</f>
        <v> </v>
      </c>
      <c r="L5528" s="27"/>
    </row>
    <row r="5529" spans="1:12">
      <c r="A5529" s="20" t="s">
        <v>1182</v>
      </c>
      <c r="E5529" s="22">
        <f>IF(D5529="?OLD","!!!","")</f>
        <v/>
      </c>
      <c r="F5529" s="23" t="str">
        <f>IF(OR(E5529="",E5529="!!!"),"",IF(NOT(ISNA(VLOOKUP(E5529,E$1:E5528,1,FALSE()))),"OLD",IF(AND(E5529&lt;&gt;"",E5529&lt;&gt;"!!!"),"NEW","")))</f>
        <v> </v>
      </c>
      <c r="G5529" s="24" t="str">
        <f>IF(OR(E5529="",E5529="!!!"),"",IF(OR(J5529=0,AND(J5529=1,K5529=1),AND(J5529=1,I5529="SBJ"),AND(J5529=1,I5529=0)),"?IN_FOCUS",IF(J5529&lt;=2,"?ACTIVATED",IF(J5529&lt;&gt;"","?FAMILIAR",IF(F5529="NEW",IF(ISNA(VLOOKUP(E5529,#REF!,1,FALSE())),"?TYPE_IDENTIFIABLE","?REFERENTIAL"),"_")))))</f>
        <v> </v>
      </c>
      <c r="H5529" s="25" t="str">
        <f>IF(J5529&lt;&gt;1,"",IF(I5529="SBJ","CB","?"))</f>
        <v> </v>
      </c>
      <c r="I5529" s="26" t="str">
        <f>IF(OR(E5529="",E5529="!!!",F5529="NEW"),"",INDEX(B5528:B$2,-1+SUMPRODUCT(MAX(ROW(E5528:E$2)*(E5529=E5528:E$2)))))</f>
        <v> </v>
      </c>
      <c r="J5529" s="26" t="str">
        <f>IF(OR(E5529="",E5529="!!!",F5529="NEW"),"",COUNTBLANK(OFFSET(A$1,,,SUMPRODUCT(MAX(ROW(E$2:E5529)*(E5529=E$2:E5529)))))-COUNTBLANK(OFFSET(A$1,,,SUMPRODUCT(MAX(ROW(E$1:E5528)*(E2=E$1:E5528))))))</f>
        <v> </v>
      </c>
      <c r="K5529" s="26" t="str">
        <f>IF(OR(E5529="",E5529="!!!",F5529="NEW"),"",INDEX(J$1:J5528,SUMPRODUCT(MAX(ROW(E$1:E5528)*(E5529=E$1:E5528)))))</f>
        <v> </v>
      </c>
      <c r="L5529" s="27"/>
    </row>
    <row r="5530" spans="1:12">
      <c r="A5530" s="20" t="s">
        <v>1487</v>
      </c>
      <c r="E5530" s="22">
        <f>IF(D5530="?OLD","!!!","")</f>
        <v/>
      </c>
      <c r="F5530" s="23" t="str">
        <f>IF(OR(E5530="",E5530="!!!"),"",IF(NOT(ISNA(VLOOKUP(E5530,E$1:E5529,1,FALSE()))),"OLD",IF(AND(E5530&lt;&gt;"",E5530&lt;&gt;"!!!"),"NEW","")))</f>
        <v> </v>
      </c>
      <c r="G5530" s="24" t="str">
        <f>IF(OR(E5530="",E5530="!!!"),"",IF(OR(J5530=0,AND(J5530=1,K5530=1),AND(J5530=1,I5530="SBJ"),AND(J5530=1,I5530=0)),"?IN_FOCUS",IF(J5530&lt;=2,"?ACTIVATED",IF(J5530&lt;&gt;"","?FAMILIAR",IF(F5530="NEW",IF(ISNA(VLOOKUP(E5530,#REF!,1,FALSE())),"?TYPE_IDENTIFIABLE","?REFERENTIAL"),"_")))))</f>
        <v> </v>
      </c>
      <c r="H5530" s="25" t="str">
        <f>IF(J5530&lt;&gt;1,"",IF(I5530="SBJ","CB","?"))</f>
        <v> </v>
      </c>
      <c r="I5530" s="26" t="str">
        <f>IF(OR(E5530="",E5530="!!!",F5530="NEW"),"",INDEX(B5529:B$2,-1+SUMPRODUCT(MAX(ROW(E5529:E$2)*(E5530=E5529:E$2)))))</f>
        <v> </v>
      </c>
      <c r="J5530" s="26" t="str">
        <f>IF(OR(E5530="",E5530="!!!",F5530="NEW"),"",COUNTBLANK(OFFSET(A$1,,,SUMPRODUCT(MAX(ROW(E$2:E5530)*(E5530=E$2:E5530)))))-COUNTBLANK(OFFSET(A$1,,,SUMPRODUCT(MAX(ROW(E$1:E5529)*(E2=E$1:E5529))))))</f>
        <v> </v>
      </c>
      <c r="K5530" s="26" t="str">
        <f>IF(OR(E5530="",E5530="!!!",F5530="NEW"),"",INDEX(J$1:J5529,SUMPRODUCT(MAX(ROW(E$1:E5529)*(E5530=E$1:E5529)))))</f>
        <v> </v>
      </c>
      <c r="L5530" s="27"/>
    </row>
    <row r="5531" spans="1:12">
      <c r="A5531" s="20" t="s">
        <v>2721</v>
      </c>
      <c r="E5531" s="22">
        <f>IF(D5531="?OLD","!!!","")</f>
        <v/>
      </c>
      <c r="F5531" s="23" t="str">
        <f>IF(OR(E5531="",E5531="!!!"),"",IF(NOT(ISNA(VLOOKUP(E5531,E$1:E5530,1,FALSE()))),"OLD",IF(AND(E5531&lt;&gt;"",E5531&lt;&gt;"!!!"),"NEW","")))</f>
        <v> </v>
      </c>
      <c r="G5531" s="24" t="str">
        <f>IF(OR(E5531="",E5531="!!!"),"",IF(OR(J5531=0,AND(J5531=1,K5531=1),AND(J5531=1,I5531="SBJ"),AND(J5531=1,I5531=0)),"?IN_FOCUS",IF(J5531&lt;=2,"?ACTIVATED",IF(J5531&lt;&gt;"","?FAMILIAR",IF(F5531="NEW",IF(ISNA(VLOOKUP(E5531,#REF!,1,FALSE())),"?TYPE_IDENTIFIABLE","?REFERENTIAL"),"_")))))</f>
        <v> </v>
      </c>
      <c r="H5531" s="25" t="str">
        <f>IF(J5531&lt;&gt;1,"",IF(I5531="SBJ","CB","?"))</f>
        <v> </v>
      </c>
      <c r="I5531" s="26" t="str">
        <f>IF(OR(E5531="",E5531="!!!",F5531="NEW"),"",INDEX(B5530:B$2,-1+SUMPRODUCT(MAX(ROW(E5530:E$2)*(E5531=E5530:E$2)))))</f>
        <v> </v>
      </c>
      <c r="J5531" s="26" t="str">
        <f>IF(OR(E5531="",E5531="!!!",F5531="NEW"),"",COUNTBLANK(OFFSET(A$1,,,SUMPRODUCT(MAX(ROW(E$2:E5531)*(E5531=E$2:E5531)))))-COUNTBLANK(OFFSET(A$1,,,SUMPRODUCT(MAX(ROW(E$1:E5530)*(E2=E$1:E5530))))))</f>
        <v> </v>
      </c>
      <c r="K5531" s="26" t="str">
        <f>IF(OR(E5531="",E5531="!!!",F5531="NEW"),"",INDEX(J$1:J5530,SUMPRODUCT(MAX(ROW(E$1:E5530)*(E5531=E$1:E5530)))))</f>
        <v> </v>
      </c>
      <c r="L5531" s="27"/>
    </row>
    <row r="5532" spans="1:12">
      <c r="A5532" s="20" t="s">
        <v>1315</v>
      </c>
      <c r="B5532" s="21" t="s">
        <v>1278</v>
      </c>
      <c r="C5532" s="21" t="s">
        <v>1223</v>
      </c>
      <c r="E5532" s="22">
        <f>IF(D5532="?OLD","!!!","")</f>
        <v/>
      </c>
      <c r="F5532" s="23" t="str">
        <f>IF(OR(E5532="",E5532="!!!"),"",IF(NOT(ISNA(VLOOKUP(E5532,E$1:E5531,1,FALSE()))),"OLD",IF(AND(E5532&lt;&gt;"",E5532&lt;&gt;"!!!"),"NEW","")))</f>
        <v> </v>
      </c>
      <c r="G5532" s="24" t="str">
        <f>IF(OR(E5532="",E5532="!!!"),"",IF(OR(J5532=0,AND(J5532=1,K5532=1),AND(J5532=1,I5532="SBJ"),AND(J5532=1,I5532=0)),"?IN_FOCUS",IF(J5532&lt;=2,"?ACTIVATED",IF(J5532&lt;&gt;"","?FAMILIAR",IF(F5532="NEW",IF(ISNA(VLOOKUP(E5532,#REF!,1,FALSE())),"?TYPE_IDENTIFIABLE","?REFERENTIAL"),"_")))))</f>
        <v> </v>
      </c>
      <c r="H5532" s="25" t="str">
        <f>IF(J5532&lt;&gt;1,"",IF(I5532="SBJ","CB","?"))</f>
        <v> </v>
      </c>
      <c r="I5532" s="26" t="str">
        <f>IF(OR(E5532="",E5532="!!!",F5532="NEW"),"",INDEX(B5531:B$2,-1+SUMPRODUCT(MAX(ROW(E5531:E$2)*(E5532=E5531:E$2)))))</f>
        <v> </v>
      </c>
      <c r="J5532" s="26" t="str">
        <f>IF(OR(E5532="",E5532="!!!",F5532="NEW"),"",COUNTBLANK(OFFSET(A$1,,,SUMPRODUCT(MAX(ROW(E$2:E5532)*(E5532=E$2:E5532)))))-COUNTBLANK(OFFSET(A$1,,,SUMPRODUCT(MAX(ROW(E$1:E5531)*(E2=E$1:E5531))))))</f>
        <v> </v>
      </c>
      <c r="K5532" s="26" t="str">
        <f>IF(OR(E5532="",E5532="!!!",F5532="NEW"),"",INDEX(J$1:J5531,SUMPRODUCT(MAX(ROW(E$1:E5531)*(E5532=E$1:E5531)))))</f>
        <v> </v>
      </c>
      <c r="L5532" s="27"/>
    </row>
    <row r="5533" spans="1:12">
      <c r="A5533" s="20" t="s">
        <v>1618</v>
      </c>
      <c r="E5533" s="22">
        <f>IF(D5533="?OLD","!!!","")</f>
        <v/>
      </c>
      <c r="F5533" s="23" t="str">
        <f>IF(OR(E5533="",E5533="!!!"),"",IF(NOT(ISNA(VLOOKUP(E5533,E$1:E5532,1,FALSE()))),"OLD",IF(AND(E5533&lt;&gt;"",E5533&lt;&gt;"!!!"),"NEW","")))</f>
        <v> </v>
      </c>
      <c r="G5533" s="24" t="str">
        <f>IF(OR(E5533="",E5533="!!!"),"",IF(OR(J5533=0,AND(J5533=1,K5533=1),AND(J5533=1,I5533="SBJ"),AND(J5533=1,I5533=0)),"?IN_FOCUS",IF(J5533&lt;=2,"?ACTIVATED",IF(J5533&lt;&gt;"","?FAMILIAR",IF(F5533="NEW",IF(ISNA(VLOOKUP(E5533,#REF!,1,FALSE())),"?TYPE_IDENTIFIABLE","?REFERENTIAL"),"_")))))</f>
        <v> </v>
      </c>
      <c r="H5533" s="25" t="str">
        <f>IF(J5533&lt;&gt;1,"",IF(I5533="SBJ","CB","?"))</f>
        <v> </v>
      </c>
      <c r="I5533" s="26" t="str">
        <f>IF(OR(E5533="",E5533="!!!",F5533="NEW"),"",INDEX(B5532:B$2,-1+SUMPRODUCT(MAX(ROW(E5532:E$2)*(E5533=E5532:E$2)))))</f>
        <v> </v>
      </c>
      <c r="J5533" s="26" t="str">
        <f>IF(OR(E5533="",E5533="!!!",F5533="NEW"),"",COUNTBLANK(OFFSET(A$1,,,SUMPRODUCT(MAX(ROW(E$2:E5533)*(E5533=E$2:E5533)))))-COUNTBLANK(OFFSET(A$1,,,SUMPRODUCT(MAX(ROW(E$1:E5532)*(E2=E$1:E5532))))))</f>
        <v> </v>
      </c>
      <c r="K5533" s="26" t="str">
        <f>IF(OR(E5533="",E5533="!!!",F5533="NEW"),"",INDEX(J$1:J5532,SUMPRODUCT(MAX(ROW(E$1:E5532)*(E5533=E$1:E5532)))))</f>
        <v> </v>
      </c>
      <c r="L5533" s="27"/>
    </row>
    <row r="5534" spans="1:12">
      <c r="A5534" s="20" t="s">
        <v>1262</v>
      </c>
      <c r="E5534" s="22">
        <f>IF(D5534="?OLD","!!!","")</f>
        <v/>
      </c>
      <c r="F5534" s="23" t="str">
        <f>IF(OR(E5534="",E5534="!!!"),"",IF(NOT(ISNA(VLOOKUP(E5534,E$1:E5533,1,FALSE()))),"OLD",IF(AND(E5534&lt;&gt;"",E5534&lt;&gt;"!!!"),"NEW","")))</f>
        <v> </v>
      </c>
      <c r="G5534" s="24" t="str">
        <f>IF(OR(E5534="",E5534="!!!"),"",IF(OR(J5534=0,AND(J5534=1,K5534=1),AND(J5534=1,I5534="SBJ"),AND(J5534=1,I5534=0)),"?IN_FOCUS",IF(J5534&lt;=2,"?ACTIVATED",IF(J5534&lt;&gt;"","?FAMILIAR",IF(F5534="NEW",IF(ISNA(VLOOKUP(E5534,#REF!,1,FALSE())),"?TYPE_IDENTIFIABLE","?REFERENTIAL"),"_")))))</f>
        <v> </v>
      </c>
      <c r="H5534" s="25" t="str">
        <f>IF(J5534&lt;&gt;1,"",IF(I5534="SBJ","CB","?"))</f>
        <v> </v>
      </c>
      <c r="I5534" s="26" t="str">
        <f>IF(OR(E5534="",E5534="!!!",F5534="NEW"),"",INDEX(B5533:B$2,-1+SUMPRODUCT(MAX(ROW(E5533:E$2)*(E5534=E5533:E$2)))))</f>
        <v> </v>
      </c>
      <c r="J5534" s="26" t="str">
        <f>IF(OR(E5534="",E5534="!!!",F5534="NEW"),"",COUNTBLANK(OFFSET(A$1,,,SUMPRODUCT(MAX(ROW(E$2:E5534)*(E5534=E$2:E5534)))))-COUNTBLANK(OFFSET(A$1,,,SUMPRODUCT(MAX(ROW(E$1:E5533)*(E2=E$1:E5533))))))</f>
        <v> </v>
      </c>
      <c r="K5534" s="26" t="str">
        <f>IF(OR(E5534="",E5534="!!!",F5534="NEW"),"",INDEX(J$1:J5533,SUMPRODUCT(MAX(ROW(E$1:E5533)*(E5534=E$1:E5533)))))</f>
        <v> </v>
      </c>
      <c r="L5534" s="27"/>
    </row>
    <row r="5535" spans="1:12">
      <c r="A5535" s="20" t="s">
        <v>1182</v>
      </c>
      <c r="E5535" s="22">
        <f>IF(D5535="?OLD","!!!","")</f>
        <v/>
      </c>
      <c r="F5535" s="23" t="str">
        <f>IF(OR(E5535="",E5535="!!!"),"",IF(NOT(ISNA(VLOOKUP(E5535,E$1:E5534,1,FALSE()))),"OLD",IF(AND(E5535&lt;&gt;"",E5535&lt;&gt;"!!!"),"NEW","")))</f>
        <v> </v>
      </c>
      <c r="G5535" s="24" t="str">
        <f>IF(OR(E5535="",E5535="!!!"),"",IF(OR(J5535=0,AND(J5535=1,K5535=1),AND(J5535=1,I5535="SBJ"),AND(J5535=1,I5535=0)),"?IN_FOCUS",IF(J5535&lt;=2,"?ACTIVATED",IF(J5535&lt;&gt;"","?FAMILIAR",IF(F5535="NEW",IF(ISNA(VLOOKUP(E5535,#REF!,1,FALSE())),"?TYPE_IDENTIFIABLE","?REFERENTIAL"),"_")))))</f>
        <v> </v>
      </c>
      <c r="H5535" s="25" t="str">
        <f>IF(J5535&lt;&gt;1,"",IF(I5535="SBJ","CB","?"))</f>
        <v> </v>
      </c>
      <c r="I5535" s="26" t="str">
        <f>IF(OR(E5535="",E5535="!!!",F5535="NEW"),"",INDEX(B5534:B$2,-1+SUMPRODUCT(MAX(ROW(E5534:E$2)*(E5535=E5534:E$2)))))</f>
        <v> </v>
      </c>
      <c r="J5535" s="26" t="str">
        <f>IF(OR(E5535="",E5535="!!!",F5535="NEW"),"",COUNTBLANK(OFFSET(A$1,,,SUMPRODUCT(MAX(ROW(E$2:E5535)*(E5535=E$2:E5535)))))-COUNTBLANK(OFFSET(A$1,,,SUMPRODUCT(MAX(ROW(E$1:E5534)*(E2=E$1:E5534))))))</f>
        <v> </v>
      </c>
      <c r="K5535" s="26" t="str">
        <f>IF(OR(E5535="",E5535="!!!",F5535="NEW"),"",INDEX(J$1:J5534,SUMPRODUCT(MAX(ROW(E$1:E5534)*(E5535=E$1:E5534)))))</f>
        <v> </v>
      </c>
      <c r="L5535" s="27"/>
    </row>
    <row r="5536" spans="1:12">
      <c r="A5536" s="20" t="s">
        <v>1211</v>
      </c>
      <c r="B5536" s="21" t="s">
        <v>1278</v>
      </c>
      <c r="C5536" s="21" t="s">
        <v>1179</v>
      </c>
      <c r="D5536" s="21" t="s">
        <v>1180</v>
      </c>
      <c r="E5536" s="22">
        <f>IF(D5536="?OLD","!!!","")</f>
        <v/>
      </c>
      <c r="F5536" s="23" t="str">
        <f>IF(OR(E5536="",E5536="!!!"),"",IF(NOT(ISNA(VLOOKUP(E5536,E$1:E5535,1,FALSE()))),"OLD",IF(AND(E5536&lt;&gt;"",E5536&lt;&gt;"!!!"),"NEW","")))</f>
        <v> </v>
      </c>
      <c r="G5536" s="24" t="str">
        <f>IF(OR(E5536="",E5536="!!!"),"",IF(OR(J5536=0,AND(J5536=1,K5536=1),AND(J5536=1,I5536="SBJ"),AND(J5536=1,I5536=0)),"?IN_FOCUS",IF(J5536&lt;=2,"?ACTIVATED",IF(J5536&lt;&gt;"","?FAMILIAR",IF(F5536="NEW",IF(ISNA(VLOOKUP(E5536,#REF!,1,FALSE())),"?TYPE_IDENTIFIABLE","?REFERENTIAL"),"_")))))</f>
        <v> </v>
      </c>
      <c r="H5536" s="25" t="str">
        <f>IF(J5536&lt;&gt;1,"",IF(I5536="SBJ","CB","?"))</f>
        <v> </v>
      </c>
      <c r="I5536" s="26" t="str">
        <f>IF(OR(E5536="",E5536="!!!",F5536="NEW"),"",INDEX(B5535:B$2,-1+SUMPRODUCT(MAX(ROW(E5535:E$2)*(E5536=E5535:E$2)))))</f>
        <v> </v>
      </c>
      <c r="J5536" s="26" t="str">
        <f>IF(OR(E5536="",E5536="!!!",F5536="NEW"),"",COUNTBLANK(OFFSET(A$1,,,SUMPRODUCT(MAX(ROW(E$2:E5536)*(E5536=E$2:E5536)))))-COUNTBLANK(OFFSET(A$1,,,SUMPRODUCT(MAX(ROW(E$1:E5535)*(E2=E$1:E5535))))))</f>
        <v> </v>
      </c>
      <c r="K5536" s="26" t="str">
        <f>IF(OR(E5536="",E5536="!!!",F5536="NEW"),"",INDEX(J$1:J5535,SUMPRODUCT(MAX(ROW(E$1:E5535)*(E5536=E$1:E5535)))))</f>
        <v> </v>
      </c>
      <c r="L5536" s="27"/>
    </row>
    <row r="5537" spans="1:12">
      <c r="A5537" s="20" t="s">
        <v>1185</v>
      </c>
      <c r="E5537" s="22">
        <f>IF(D5537="?OLD","!!!","")</f>
        <v/>
      </c>
      <c r="F5537" s="23" t="str">
        <f>IF(OR(E5537="",E5537="!!!"),"",IF(NOT(ISNA(VLOOKUP(E5537,E$1:E5536,1,FALSE()))),"OLD",IF(AND(E5537&lt;&gt;"",E5537&lt;&gt;"!!!"),"NEW","")))</f>
        <v> </v>
      </c>
      <c r="G5537" s="24" t="str">
        <f>IF(OR(E5537="",E5537="!!!"),"",IF(OR(J5537=0,AND(J5537=1,K5537=1),AND(J5537=1,I5537="SBJ"),AND(J5537=1,I5537=0)),"?IN_FOCUS",IF(J5537&lt;=2,"?ACTIVATED",IF(J5537&lt;&gt;"","?FAMILIAR",IF(F5537="NEW",IF(ISNA(VLOOKUP(E5537,#REF!,1,FALSE())),"?TYPE_IDENTIFIABLE","?REFERENTIAL"),"_")))))</f>
        <v> </v>
      </c>
      <c r="H5537" s="25" t="str">
        <f>IF(J5537&lt;&gt;1,"",IF(I5537="SBJ","CB","?"))</f>
        <v> </v>
      </c>
      <c r="I5537" s="26" t="str">
        <f>IF(OR(E5537="",E5537="!!!",F5537="NEW"),"",INDEX(B5536:B$2,-1+SUMPRODUCT(MAX(ROW(E5536:E$2)*(E5537=E5536:E$2)))))</f>
        <v> </v>
      </c>
      <c r="J5537" s="26" t="str">
        <f>IF(OR(E5537="",E5537="!!!",F5537="NEW"),"",COUNTBLANK(OFFSET(A$1,,,SUMPRODUCT(MAX(ROW(E$2:E5537)*(E5537=E$2:E5537)))))-COUNTBLANK(OFFSET(A$1,,,SUMPRODUCT(MAX(ROW(E$1:E5536)*(E2=E$1:E5536))))))</f>
        <v> </v>
      </c>
      <c r="K5537" s="26" t="str">
        <f>IF(OR(E5537="",E5537="!!!",F5537="NEW"),"",INDEX(J$1:J5536,SUMPRODUCT(MAX(ROW(E$1:E5536)*(E5537=E$1:E5536)))))</f>
        <v> </v>
      </c>
      <c r="L5537" s="27"/>
    </row>
    <row r="5538" spans="1:12">
      <c r="A5538" s="20" t="s">
        <v>1246</v>
      </c>
      <c r="E5538" s="22">
        <f>IF(D5538="?OLD","!!!","")</f>
        <v/>
      </c>
      <c r="F5538" s="23" t="str">
        <f>IF(OR(E5538="",E5538="!!!"),"",IF(NOT(ISNA(VLOOKUP(E5538,E$1:E5537,1,FALSE()))),"OLD",IF(AND(E5538&lt;&gt;"",E5538&lt;&gt;"!!!"),"NEW","")))</f>
        <v> </v>
      </c>
      <c r="G5538" s="24" t="str">
        <f>IF(OR(E5538="",E5538="!!!"),"",IF(OR(J5538=0,AND(J5538=1,K5538=1),AND(J5538=1,I5538="SBJ"),AND(J5538=1,I5538=0)),"?IN_FOCUS",IF(J5538&lt;=2,"?ACTIVATED",IF(J5538&lt;&gt;"","?FAMILIAR",IF(F5538="NEW",IF(ISNA(VLOOKUP(E5538,#REF!,1,FALSE())),"?TYPE_IDENTIFIABLE","?REFERENTIAL"),"_")))))</f>
        <v> </v>
      </c>
      <c r="H5538" s="25" t="str">
        <f>IF(J5538&lt;&gt;1,"",IF(I5538="SBJ","CB","?"))</f>
        <v> </v>
      </c>
      <c r="I5538" s="26" t="str">
        <f>IF(OR(E5538="",E5538="!!!",F5538="NEW"),"",INDEX(B5537:B$2,-1+SUMPRODUCT(MAX(ROW(E5537:E$2)*(E5538=E5537:E$2)))))</f>
        <v> </v>
      </c>
      <c r="J5538" s="26" t="str">
        <f>IF(OR(E5538="",E5538="!!!",F5538="NEW"),"",COUNTBLANK(OFFSET(A$1,,,SUMPRODUCT(MAX(ROW(E$2:E5538)*(E5538=E$2:E5538)))))-COUNTBLANK(OFFSET(A$1,,,SUMPRODUCT(MAX(ROW(E$1:E5537)*(E2=E$1:E5537))))))</f>
        <v> </v>
      </c>
      <c r="K5538" s="26" t="str">
        <f>IF(OR(E5538="",E5538="!!!",F5538="NEW"),"",INDEX(J$1:J5537,SUMPRODUCT(MAX(ROW(E$1:E5537)*(E5538=E$1:E5537)))))</f>
        <v> </v>
      </c>
      <c r="L5538" s="27"/>
    </row>
    <row r="5539" spans="1:12">
      <c r="A5539" s="20" t="s">
        <v>57</v>
      </c>
      <c r="B5539" s="21" t="s">
        <v>1304</v>
      </c>
      <c r="C5539" s="21" t="s">
        <v>1195</v>
      </c>
      <c r="D5539" s="21" t="s">
        <v>1180</v>
      </c>
      <c r="E5539" s="22">
        <f>IF(D5539="?OLD","!!!","")</f>
        <v/>
      </c>
      <c r="F5539" s="23" t="str">
        <f>IF(OR(E5539="",E5539="!!!"),"",IF(NOT(ISNA(VLOOKUP(E5539,E$1:E5538,1,FALSE()))),"OLD",IF(AND(E5539&lt;&gt;"",E5539&lt;&gt;"!!!"),"NEW","")))</f>
        <v> </v>
      </c>
      <c r="G5539" s="24" t="str">
        <f>IF(OR(E5539="",E5539="!!!"),"",IF(OR(J5539=0,AND(J5539=1,K5539=1),AND(J5539=1,I5539="SBJ"),AND(J5539=1,I5539=0)),"?IN_FOCUS",IF(J5539&lt;=2,"?ACTIVATED",IF(J5539&lt;&gt;"","?FAMILIAR",IF(F5539="NEW",IF(ISNA(VLOOKUP(E5539,#REF!,1,FALSE())),"?TYPE_IDENTIFIABLE","?REFERENTIAL"),"_")))))</f>
        <v> </v>
      </c>
      <c r="H5539" s="25" t="str">
        <f>IF(J5539&lt;&gt;1,"",IF(I5539="SBJ","CB","?"))</f>
        <v> </v>
      </c>
      <c r="I5539" s="26" t="str">
        <f>IF(OR(E5539="",E5539="!!!",F5539="NEW"),"",INDEX(B5538:B$2,-1+SUMPRODUCT(MAX(ROW(E5538:E$2)*(E5539=E5538:E$2)))))</f>
        <v> </v>
      </c>
      <c r="J5539" s="26" t="str">
        <f>IF(OR(E5539="",E5539="!!!",F5539="NEW"),"",COUNTBLANK(OFFSET(A$1,,,SUMPRODUCT(MAX(ROW(E$2:E5539)*(E5539=E$2:E5539)))))-COUNTBLANK(OFFSET(A$1,,,SUMPRODUCT(MAX(ROW(E$1:E5538)*(E2=E$1:E5538))))))</f>
        <v> </v>
      </c>
      <c r="K5539" s="26" t="str">
        <f>IF(OR(E5539="",E5539="!!!",F5539="NEW"),"",INDEX(J$1:J5538,SUMPRODUCT(MAX(ROW(E$1:E5538)*(E5539=E$1:E5538)))))</f>
        <v> </v>
      </c>
      <c r="L5539" s="27"/>
    </row>
    <row r="5540" spans="1:12">
      <c r="A5540" s="20" t="s">
        <v>1508</v>
      </c>
      <c r="B5540" s="21" t="s">
        <v>1340</v>
      </c>
      <c r="C5540" s="21" t="s">
        <v>1238</v>
      </c>
      <c r="D5540" s="21" t="s">
        <v>1180</v>
      </c>
      <c r="E5540" s="22">
        <f>IF(D5540="?OLD","!!!","")</f>
        <v/>
      </c>
      <c r="F5540" s="23" t="str">
        <f>IF(OR(E5540="",E5540="!!!"),"",IF(NOT(ISNA(VLOOKUP(E5540,E$1:E5539,1,FALSE()))),"OLD",IF(AND(E5540&lt;&gt;"",E5540&lt;&gt;"!!!"),"NEW","")))</f>
        <v> </v>
      </c>
      <c r="G5540" s="24" t="str">
        <f>IF(OR(E5540="",E5540="!!!"),"",IF(OR(J5540=0,AND(J5540=1,K5540=1),AND(J5540=1,I5540="SBJ"),AND(J5540=1,I5540=0)),"?IN_FOCUS",IF(J5540&lt;=2,"?ACTIVATED",IF(J5540&lt;&gt;"","?FAMILIAR",IF(F5540="NEW",IF(ISNA(VLOOKUP(E5540,#REF!,1,FALSE())),"?TYPE_IDENTIFIABLE","?REFERENTIAL"),"_")))))</f>
        <v> </v>
      </c>
      <c r="H5540" s="25" t="str">
        <f>IF(J5540&lt;&gt;1,"",IF(I5540="SBJ","CB","?"))</f>
        <v> </v>
      </c>
      <c r="I5540" s="26" t="str">
        <f>IF(OR(E5540="",E5540="!!!",F5540="NEW"),"",INDEX(B5539:B$2,-1+SUMPRODUCT(MAX(ROW(E5539:E$2)*(E5540=E5539:E$2)))))</f>
        <v> </v>
      </c>
      <c r="J5540" s="26" t="str">
        <f>IF(OR(E5540="",E5540="!!!",F5540="NEW"),"",COUNTBLANK(OFFSET(A$1,,,SUMPRODUCT(MAX(ROW(E$2:E5540)*(E5540=E$2:E5540)))))-COUNTBLANK(OFFSET(A$1,,,SUMPRODUCT(MAX(ROW(E$1:E5539)*(E2=E$1:E5539))))))</f>
        <v> </v>
      </c>
      <c r="K5540" s="26" t="str">
        <f>IF(OR(E5540="",E5540="!!!",F5540="NEW"),"",INDEX(J$1:J5539,SUMPRODUCT(MAX(ROW(E$1:E5539)*(E5540=E$1:E5539)))))</f>
        <v> </v>
      </c>
      <c r="L5540" s="27"/>
    </row>
    <row r="5541" spans="1:12">
      <c r="A5541" s="20" t="s">
        <v>1390</v>
      </c>
      <c r="E5541" s="22">
        <f>IF(D5541="?OLD","!!!","")</f>
        <v/>
      </c>
      <c r="F5541" s="23" t="str">
        <f>IF(OR(E5541="",E5541="!!!"),"",IF(NOT(ISNA(VLOOKUP(E5541,E$1:E5540,1,FALSE()))),"OLD",IF(AND(E5541&lt;&gt;"",E5541&lt;&gt;"!!!"),"NEW","")))</f>
        <v> </v>
      </c>
      <c r="G5541" s="24" t="str">
        <f>IF(OR(E5541="",E5541="!!!"),"",IF(OR(J5541=0,AND(J5541=1,K5541=1),AND(J5541=1,I5541="SBJ"),AND(J5541=1,I5541=0)),"?IN_FOCUS",IF(J5541&lt;=2,"?ACTIVATED",IF(J5541&lt;&gt;"","?FAMILIAR",IF(F5541="NEW",IF(ISNA(VLOOKUP(E5541,#REF!,1,FALSE())),"?TYPE_IDENTIFIABLE","?REFERENTIAL"),"_")))))</f>
        <v> </v>
      </c>
      <c r="H5541" s="25" t="str">
        <f>IF(J5541&lt;&gt;1,"",IF(I5541="SBJ","CB","?"))</f>
        <v> </v>
      </c>
      <c r="I5541" s="26" t="str">
        <f>IF(OR(E5541="",E5541="!!!",F5541="NEW"),"",INDEX(B5540:B$2,-1+SUMPRODUCT(MAX(ROW(E5540:E$2)*(E5541=E5540:E$2)))))</f>
        <v> </v>
      </c>
      <c r="J5541" s="26" t="str">
        <f>IF(OR(E5541="",E5541="!!!",F5541="NEW"),"",COUNTBLANK(OFFSET(A$1,,,SUMPRODUCT(MAX(ROW(E$2:E5541)*(E5541=E$2:E5541)))))-COUNTBLANK(OFFSET(A$1,,,SUMPRODUCT(MAX(ROW(E$1:E5540)*(E2=E$1:E5540))))))</f>
        <v> </v>
      </c>
      <c r="K5541" s="26" t="str">
        <f>IF(OR(E5541="",E5541="!!!",F5541="NEW"),"",INDEX(J$1:J5540,SUMPRODUCT(MAX(ROW(E$1:E5540)*(E5541=E$1:E5540)))))</f>
        <v> </v>
      </c>
      <c r="L5541" s="27"/>
    </row>
    <row r="5542" spans="1:12">
      <c r="A5542" s="20" t="s">
        <v>2453</v>
      </c>
      <c r="E5542" s="22">
        <f>IF(D5542="?OLD","!!!","")</f>
        <v/>
      </c>
      <c r="F5542" s="23" t="str">
        <f>IF(OR(E5542="",E5542="!!!"),"",IF(NOT(ISNA(VLOOKUP(E5542,E$1:E5541,1,FALSE()))),"OLD",IF(AND(E5542&lt;&gt;"",E5542&lt;&gt;"!!!"),"NEW","")))</f>
        <v> </v>
      </c>
      <c r="G5542" s="24" t="str">
        <f>IF(OR(E5542="",E5542="!!!"),"",IF(OR(J5542=0,AND(J5542=1,K5542=1),AND(J5542=1,I5542="SBJ"),AND(J5542=1,I5542=0)),"?IN_FOCUS",IF(J5542&lt;=2,"?ACTIVATED",IF(J5542&lt;&gt;"","?FAMILIAR",IF(F5542="NEW",IF(ISNA(VLOOKUP(E5542,#REF!,1,FALSE())),"?TYPE_IDENTIFIABLE","?REFERENTIAL"),"_")))))</f>
        <v> </v>
      </c>
      <c r="H5542" s="25" t="str">
        <f>IF(J5542&lt;&gt;1,"",IF(I5542="SBJ","CB","?"))</f>
        <v> </v>
      </c>
      <c r="I5542" s="26" t="str">
        <f>IF(OR(E5542="",E5542="!!!",F5542="NEW"),"",INDEX(B5541:B$2,-1+SUMPRODUCT(MAX(ROW(E5541:E$2)*(E5542=E5541:E$2)))))</f>
        <v> </v>
      </c>
      <c r="J5542" s="26" t="str">
        <f>IF(OR(E5542="",E5542="!!!",F5542="NEW"),"",COUNTBLANK(OFFSET(A$1,,,SUMPRODUCT(MAX(ROW(E$2:E5542)*(E5542=E$2:E5542)))))-COUNTBLANK(OFFSET(A$1,,,SUMPRODUCT(MAX(ROW(E$1:E5541)*(E2=E$1:E5541))))))</f>
        <v> </v>
      </c>
      <c r="K5542" s="26" t="str">
        <f>IF(OR(E5542="",E5542="!!!",F5542="NEW"),"",INDEX(J$1:J5541,SUMPRODUCT(MAX(ROW(E$1:E5541)*(E5542=E$1:E5541)))))</f>
        <v> </v>
      </c>
      <c r="L5542" s="27"/>
    </row>
    <row r="5543" spans="1:12">
      <c r="A5543" s="20" t="s">
        <v>1249</v>
      </c>
      <c r="E5543" s="22">
        <f>IF(D5543="?OLD","!!!","")</f>
        <v/>
      </c>
      <c r="F5543" s="23" t="str">
        <f>IF(OR(E5543="",E5543="!!!"),"",IF(NOT(ISNA(VLOOKUP(E5543,E$1:E5542,1,FALSE()))),"OLD",IF(AND(E5543&lt;&gt;"",E5543&lt;&gt;"!!!"),"NEW","")))</f>
        <v> </v>
      </c>
      <c r="G5543" s="24" t="str">
        <f>IF(OR(E5543="",E5543="!!!"),"",IF(OR(J5543=0,AND(J5543=1,K5543=1),AND(J5543=1,I5543="SBJ"),AND(J5543=1,I5543=0)),"?IN_FOCUS",IF(J5543&lt;=2,"?ACTIVATED",IF(J5543&lt;&gt;"","?FAMILIAR",IF(F5543="NEW",IF(ISNA(VLOOKUP(E5543,#REF!,1,FALSE())),"?TYPE_IDENTIFIABLE","?REFERENTIAL"),"_")))))</f>
        <v> </v>
      </c>
      <c r="H5543" s="25" t="str">
        <f>IF(J5543&lt;&gt;1,"",IF(I5543="SBJ","CB","?"))</f>
        <v> </v>
      </c>
      <c r="I5543" s="26" t="str">
        <f>IF(OR(E5543="",E5543="!!!",F5543="NEW"),"",INDEX(B5542:B$2,-1+SUMPRODUCT(MAX(ROW(E5542:E$2)*(E5543=E5542:E$2)))))</f>
        <v> </v>
      </c>
      <c r="J5543" s="26" t="str">
        <f>IF(OR(E5543="",E5543="!!!",F5543="NEW"),"",COUNTBLANK(OFFSET(A$1,,,SUMPRODUCT(MAX(ROW(E$2:E5543)*(E5543=E$2:E5543)))))-COUNTBLANK(OFFSET(A$1,,,SUMPRODUCT(MAX(ROW(E$1:E5542)*(E2=E$1:E5542))))))</f>
        <v> </v>
      </c>
      <c r="K5543" s="26" t="str">
        <f>IF(OR(E5543="",E5543="!!!",F5543="NEW"),"",INDEX(J$1:J5542,SUMPRODUCT(MAX(ROW(E$1:E5542)*(E5543=E$1:E5542)))))</f>
        <v> </v>
      </c>
      <c r="L5543" s="27"/>
    </row>
    <row r="5544" spans="1:12">
      <c r="A5544" s="20"/>
    </row>
    <row r="5545" spans="1:12">
      <c r="A5545" s="20" t="s">
        <v>2722</v>
      </c>
    </row>
    <row r="5546" spans="1:12">
      <c r="A5546" s="20" t="s">
        <v>1287</v>
      </c>
      <c r="B5546" s="21" t="s">
        <v>1178</v>
      </c>
      <c r="C5546" s="21" t="s">
        <v>1195</v>
      </c>
      <c r="D5546" s="21" t="s">
        <v>1180</v>
      </c>
      <c r="E5546" s="22">
        <f>IF(D5546="?OLD","!!!","")</f>
        <v/>
      </c>
      <c r="F5546" s="23" t="str">
        <f>IF(OR(E5546="",E5546="!!!"),"",IF(NOT(ISNA(VLOOKUP(E5546,E$1:E5545,1,FALSE()))),"OLD",IF(AND(E5546&lt;&gt;"",E5546&lt;&gt;"!!!"),"NEW","")))</f>
        <v> </v>
      </c>
      <c r="G5546" s="24" t="str">
        <f>IF(OR(E5546="",E5546="!!!"),"",IF(OR(J5546=0,AND(J5546=1,K5546=1),AND(J5546=1,I5546="SBJ"),AND(J5546=1,I5546=0)),"?IN_FOCUS",IF(J5546&lt;=2,"?ACTIVATED",IF(J5546&lt;&gt;"","?FAMILIAR",IF(F5546="NEW",IF(ISNA(VLOOKUP(E5546,#REF!,1,FALSE())),"?TYPE_IDENTIFIABLE","?REFERENTIAL"),"_")))))</f>
        <v> </v>
      </c>
      <c r="H5546" s="25" t="str">
        <f>IF(J5546&lt;&gt;1,"",IF(I5546="SBJ","CB","?"))</f>
        <v> </v>
      </c>
      <c r="I5546" s="26" t="str">
        <f>IF(OR(E5546="",E5546="!!!",F5546="NEW"),"",INDEX(B5545:B$2,-1+SUMPRODUCT(MAX(ROW(E5545:E$2)*(E5546=E5545:E$2)))))</f>
        <v> </v>
      </c>
      <c r="J5546" s="26" t="str">
        <f>IF(OR(E5546="",E5546="!!!",F5546="NEW"),"",COUNTBLANK(OFFSET(A$1,,,SUMPRODUCT(MAX(ROW(E$2:E5546)*(E5546=E$2:E5546)))))-COUNTBLANK(OFFSET(A$1,,,SUMPRODUCT(MAX(ROW(E$1:E5545)*(E2=E$1:E5545))))))</f>
        <v> </v>
      </c>
      <c r="K5546" s="26" t="str">
        <f>IF(OR(E5546="",E5546="!!!",F5546="NEW"),"",INDEX(J$1:J5545,SUMPRODUCT(MAX(ROW(E$1:E5545)*(E5546=E$1:E5545)))))</f>
        <v> </v>
      </c>
      <c r="L5546" s="27"/>
    </row>
    <row r="5547" spans="1:12">
      <c r="A5547" s="20" t="s">
        <v>1182</v>
      </c>
      <c r="E5547" s="22">
        <f>IF(D5547="?OLD","!!!","")</f>
        <v/>
      </c>
      <c r="F5547" s="23" t="str">
        <f>IF(OR(E5547="",E5547="!!!"),"",IF(NOT(ISNA(VLOOKUP(E5547,E$1:E5546,1,FALSE()))),"OLD",IF(AND(E5547&lt;&gt;"",E5547&lt;&gt;"!!!"),"NEW","")))</f>
        <v> </v>
      </c>
      <c r="G5547" s="24" t="str">
        <f>IF(OR(E5547="",E5547="!!!"),"",IF(OR(J5547=0,AND(J5547=1,K5547=1),AND(J5547=1,I5547="SBJ"),AND(J5547=1,I5547=0)),"?IN_FOCUS",IF(J5547&lt;=2,"?ACTIVATED",IF(J5547&lt;&gt;"","?FAMILIAR",IF(F5547="NEW",IF(ISNA(VLOOKUP(E5547,#REF!,1,FALSE())),"?TYPE_IDENTIFIABLE","?REFERENTIAL"),"_")))))</f>
        <v> </v>
      </c>
      <c r="H5547" s="25" t="str">
        <f>IF(J5547&lt;&gt;1,"",IF(I5547="SBJ","CB","?"))</f>
        <v> </v>
      </c>
      <c r="I5547" s="26" t="str">
        <f>IF(OR(E5547="",E5547="!!!",F5547="NEW"),"",INDEX(B5546:B$2,-1+SUMPRODUCT(MAX(ROW(E5546:E$2)*(E5547=E5546:E$2)))))</f>
        <v> </v>
      </c>
      <c r="J5547" s="26" t="str">
        <f>IF(OR(E5547="",E5547="!!!",F5547="NEW"),"",COUNTBLANK(OFFSET(A$1,,,SUMPRODUCT(MAX(ROW(E$2:E5547)*(E5547=E$2:E5547)))))-COUNTBLANK(OFFSET(A$1,,,SUMPRODUCT(MAX(ROW(E$1:E5546)*(E2=E$1:E5546))))))</f>
        <v> </v>
      </c>
      <c r="K5547" s="26" t="str">
        <f>IF(OR(E5547="",E5547="!!!",F5547="NEW"),"",INDEX(J$1:J5546,SUMPRODUCT(MAX(ROW(E$1:E5546)*(E5547=E$1:E5546)))))</f>
        <v> </v>
      </c>
      <c r="L5547" s="27"/>
    </row>
    <row r="5548" spans="1:12">
      <c r="A5548" s="20" t="s">
        <v>2459</v>
      </c>
      <c r="E5548" s="22">
        <f>IF(D5548="?OLD","!!!","")</f>
        <v/>
      </c>
      <c r="F5548" s="23" t="str">
        <f>IF(OR(E5548="",E5548="!!!"),"",IF(NOT(ISNA(VLOOKUP(E5548,E$1:E5547,1,FALSE()))),"OLD",IF(AND(E5548&lt;&gt;"",E5548&lt;&gt;"!!!"),"NEW","")))</f>
        <v> </v>
      </c>
      <c r="G5548" s="24" t="str">
        <f>IF(OR(E5548="",E5548="!!!"),"",IF(OR(J5548=0,AND(J5548=1,K5548=1),AND(J5548=1,I5548="SBJ"),AND(J5548=1,I5548=0)),"?IN_FOCUS",IF(J5548&lt;=2,"?ACTIVATED",IF(J5548&lt;&gt;"","?FAMILIAR",IF(F5548="NEW",IF(ISNA(VLOOKUP(E5548,#REF!,1,FALSE())),"?TYPE_IDENTIFIABLE","?REFERENTIAL"),"_")))))</f>
        <v> </v>
      </c>
      <c r="H5548" s="25" t="str">
        <f>IF(J5548&lt;&gt;1,"",IF(I5548="SBJ","CB","?"))</f>
        <v> </v>
      </c>
      <c r="I5548" s="26" t="str">
        <f>IF(OR(E5548="",E5548="!!!",F5548="NEW"),"",INDEX(B5547:B$2,-1+SUMPRODUCT(MAX(ROW(E5547:E$2)*(E5548=E5547:E$2)))))</f>
        <v> </v>
      </c>
      <c r="J5548" s="26" t="str">
        <f>IF(OR(E5548="",E5548="!!!",F5548="NEW"),"",COUNTBLANK(OFFSET(A$1,,,SUMPRODUCT(MAX(ROW(E$2:E5548)*(E5548=E$2:E5548)))))-COUNTBLANK(OFFSET(A$1,,,SUMPRODUCT(MAX(ROW(E$1:E5547)*(E2=E$1:E5547))))))</f>
        <v> </v>
      </c>
      <c r="K5548" s="26" t="str">
        <f>IF(OR(E5548="",E5548="!!!",F5548="NEW"),"",INDEX(J$1:J5547,SUMPRODUCT(MAX(ROW(E$1:E5547)*(E5548=E$1:E5547)))))</f>
        <v> </v>
      </c>
      <c r="L5548" s="27"/>
    </row>
    <row r="5549" spans="1:12">
      <c r="A5549" s="20" t="s">
        <v>1185</v>
      </c>
      <c r="E5549" s="22">
        <f>IF(D5549="?OLD","!!!","")</f>
        <v/>
      </c>
      <c r="F5549" s="23" t="str">
        <f>IF(OR(E5549="",E5549="!!!"),"",IF(NOT(ISNA(VLOOKUP(E5549,E$1:E5548,1,FALSE()))),"OLD",IF(AND(E5549&lt;&gt;"",E5549&lt;&gt;"!!!"),"NEW","")))</f>
        <v> </v>
      </c>
      <c r="G5549" s="24" t="str">
        <f>IF(OR(E5549="",E5549="!!!"),"",IF(OR(J5549=0,AND(J5549=1,K5549=1),AND(J5549=1,I5549="SBJ"),AND(J5549=1,I5549=0)),"?IN_FOCUS",IF(J5549&lt;=2,"?ACTIVATED",IF(J5549&lt;&gt;"","?FAMILIAR",IF(F5549="NEW",IF(ISNA(VLOOKUP(E5549,#REF!,1,FALSE())),"?TYPE_IDENTIFIABLE","?REFERENTIAL"),"_")))))</f>
        <v> </v>
      </c>
      <c r="H5549" s="25" t="str">
        <f>IF(J5549&lt;&gt;1,"",IF(I5549="SBJ","CB","?"))</f>
        <v> </v>
      </c>
      <c r="I5549" s="26" t="str">
        <f>IF(OR(E5549="",E5549="!!!",F5549="NEW"),"",INDEX(B5548:B$2,-1+SUMPRODUCT(MAX(ROW(E5548:E$2)*(E5549=E5548:E$2)))))</f>
        <v> </v>
      </c>
      <c r="J5549" s="26" t="str">
        <f>IF(OR(E5549="",E5549="!!!",F5549="NEW"),"",COUNTBLANK(OFFSET(A$1,,,SUMPRODUCT(MAX(ROW(E$2:E5549)*(E5549=E$2:E5549)))))-COUNTBLANK(OFFSET(A$1,,,SUMPRODUCT(MAX(ROW(E$1:E5548)*(E2=E$1:E5548))))))</f>
        <v> </v>
      </c>
      <c r="K5549" s="26" t="str">
        <f>IF(OR(E5549="",E5549="!!!",F5549="NEW"),"",INDEX(J$1:J5548,SUMPRODUCT(MAX(ROW(E$1:E5548)*(E5549=E$1:E5548)))))</f>
        <v> </v>
      </c>
      <c r="L5549" s="27"/>
    </row>
    <row r="5550" spans="1:12">
      <c r="A5550" s="20" t="s">
        <v>1263</v>
      </c>
      <c r="B5550" s="21" t="s">
        <v>1240</v>
      </c>
      <c r="C5550" s="21" t="s">
        <v>1195</v>
      </c>
      <c r="D5550" s="21" t="s">
        <v>1180</v>
      </c>
      <c r="E5550" s="22">
        <f>IF(D5550="?OLD","!!!","")</f>
        <v/>
      </c>
      <c r="F5550" s="23" t="str">
        <f>IF(OR(E5550="",E5550="!!!"),"",IF(NOT(ISNA(VLOOKUP(E5550,E$1:E5549,1,FALSE()))),"OLD",IF(AND(E5550&lt;&gt;"",E5550&lt;&gt;"!!!"),"NEW","")))</f>
        <v> </v>
      </c>
      <c r="G5550" s="24" t="str">
        <f>IF(OR(E5550="",E5550="!!!"),"",IF(OR(J5550=0,AND(J5550=1,K5550=1),AND(J5550=1,I5550="SBJ"),AND(J5550=1,I5550=0)),"?IN_FOCUS",IF(J5550&lt;=2,"?ACTIVATED",IF(J5550&lt;&gt;"","?FAMILIAR",IF(F5550="NEW",IF(ISNA(VLOOKUP(E5550,#REF!,1,FALSE())),"?TYPE_IDENTIFIABLE","?REFERENTIAL"),"_")))))</f>
        <v> </v>
      </c>
      <c r="H5550" s="25" t="str">
        <f>IF(J5550&lt;&gt;1,"",IF(I5550="SBJ","CB","?"))</f>
        <v> </v>
      </c>
      <c r="I5550" s="26" t="str">
        <f>IF(OR(E5550="",E5550="!!!",F5550="NEW"),"",INDEX(B5549:B$2,-1+SUMPRODUCT(MAX(ROW(E5549:E$2)*(E5550=E5549:E$2)))))</f>
        <v> </v>
      </c>
      <c r="J5550" s="26" t="str">
        <f>IF(OR(E5550="",E5550="!!!",F5550="NEW"),"",COUNTBLANK(OFFSET(A$1,,,SUMPRODUCT(MAX(ROW(E$2:E5550)*(E5550=E$2:E5550)))))-COUNTBLANK(OFFSET(A$1,,,SUMPRODUCT(MAX(ROW(E$1:E5549)*(E2=E$1:E5549))))))</f>
        <v> </v>
      </c>
      <c r="K5550" s="26" t="str">
        <f>IF(OR(E5550="",E5550="!!!",F5550="NEW"),"",INDEX(J$1:J5549,SUMPRODUCT(MAX(ROW(E$1:E5549)*(E5550=E$1:E5549)))))</f>
        <v> </v>
      </c>
      <c r="L5550" s="27"/>
    </row>
    <row r="5551" spans="1:12">
      <c r="A5551" s="20" t="s">
        <v>1252</v>
      </c>
      <c r="E5551" s="22">
        <f>IF(D5551="?OLD","!!!","")</f>
        <v/>
      </c>
      <c r="F5551" s="23" t="str">
        <f>IF(OR(E5551="",E5551="!!!"),"",IF(NOT(ISNA(VLOOKUP(E5551,E$1:E5550,1,FALSE()))),"OLD",IF(AND(E5551&lt;&gt;"",E5551&lt;&gt;"!!!"),"NEW","")))</f>
        <v> </v>
      </c>
      <c r="G5551" s="24" t="str">
        <f>IF(OR(E5551="",E5551="!!!"),"",IF(OR(J5551=0,AND(J5551=1,K5551=1),AND(J5551=1,I5551="SBJ"),AND(J5551=1,I5551=0)),"?IN_FOCUS",IF(J5551&lt;=2,"?ACTIVATED",IF(J5551&lt;&gt;"","?FAMILIAR",IF(F5551="NEW",IF(ISNA(VLOOKUP(E5551,#REF!,1,FALSE())),"?TYPE_IDENTIFIABLE","?REFERENTIAL"),"_")))))</f>
        <v> </v>
      </c>
      <c r="H5551" s="25" t="str">
        <f>IF(J5551&lt;&gt;1,"",IF(I5551="SBJ","CB","?"))</f>
        <v> </v>
      </c>
      <c r="I5551" s="26" t="str">
        <f>IF(OR(E5551="",E5551="!!!",F5551="NEW"),"",INDEX(B5550:B$2,-1+SUMPRODUCT(MAX(ROW(E5550:E$2)*(E5551=E5550:E$2)))))</f>
        <v> </v>
      </c>
      <c r="J5551" s="26" t="str">
        <f>IF(OR(E5551="",E5551="!!!",F5551="NEW"),"",COUNTBLANK(OFFSET(A$1,,,SUMPRODUCT(MAX(ROW(E$2:E5551)*(E5551=E$2:E5551)))))-COUNTBLANK(OFFSET(A$1,,,SUMPRODUCT(MAX(ROW(E$1:E5550)*(E2=E$1:E5550))))))</f>
        <v> </v>
      </c>
      <c r="K5551" s="26" t="str">
        <f>IF(OR(E5551="",E5551="!!!",F5551="NEW"),"",INDEX(J$1:J5550,SUMPRODUCT(MAX(ROW(E$1:E5550)*(E5551=E$1:E5550)))))</f>
        <v> </v>
      </c>
      <c r="L5551" s="27"/>
    </row>
    <row r="5552" spans="1:12">
      <c r="A5552" s="20" t="s">
        <v>1268</v>
      </c>
      <c r="B5552" s="21" t="s">
        <v>1237</v>
      </c>
      <c r="E5552" s="22">
        <f>IF(D5552="?OLD","!!!","")</f>
        <v/>
      </c>
      <c r="F5552" s="23" t="str">
        <f>IF(OR(E5552="",E5552="!!!"),"",IF(NOT(ISNA(VLOOKUP(E5552,E$1:E5551,1,FALSE()))),"OLD",IF(AND(E5552&lt;&gt;"",E5552&lt;&gt;"!!!"),"NEW","")))</f>
        <v> </v>
      </c>
      <c r="G5552" s="24" t="str">
        <f>IF(OR(E5552="",E5552="!!!"),"",IF(OR(J5552=0,AND(J5552=1,K5552=1),AND(J5552=1,I5552="SBJ"),AND(J5552=1,I5552=0)),"?IN_FOCUS",IF(J5552&lt;=2,"?ACTIVATED",IF(J5552&lt;&gt;"","?FAMILIAR",IF(F5552="NEW",IF(ISNA(VLOOKUP(E5552,#REF!,1,FALSE())),"?TYPE_IDENTIFIABLE","?REFERENTIAL"),"_")))))</f>
        <v> </v>
      </c>
      <c r="H5552" s="25" t="str">
        <f>IF(J5552&lt;&gt;1,"",IF(I5552="SBJ","CB","?"))</f>
        <v> </v>
      </c>
      <c r="I5552" s="26" t="str">
        <f>IF(OR(E5552="",E5552="!!!",F5552="NEW"),"",INDEX(B5551:B$2,-1+SUMPRODUCT(MAX(ROW(E5551:E$2)*(E5552=E5551:E$2)))))</f>
        <v> </v>
      </c>
      <c r="J5552" s="26" t="str">
        <f>IF(OR(E5552="",E5552="!!!",F5552="NEW"),"",COUNTBLANK(OFFSET(A$1,,,SUMPRODUCT(MAX(ROW(E$2:E5552)*(E5552=E$2:E5552)))))-COUNTBLANK(OFFSET(A$1,,,SUMPRODUCT(MAX(ROW(E$1:E5551)*(E2=E$1:E5551))))))</f>
        <v> </v>
      </c>
      <c r="K5552" s="26" t="str">
        <f>IF(OR(E5552="",E5552="!!!",F5552="NEW"),"",INDEX(J$1:J5551,SUMPRODUCT(MAX(ROW(E$1:E5551)*(E5552=E$1:E5551)))))</f>
        <v> </v>
      </c>
      <c r="L5552" s="27"/>
    </row>
    <row r="5553" spans="1:12">
      <c r="A5553" s="20" t="s">
        <v>2453</v>
      </c>
      <c r="E5553" s="22">
        <f>IF(D5553="?OLD","!!!","")</f>
        <v/>
      </c>
      <c r="F5553" s="23" t="str">
        <f>IF(OR(E5553="",E5553="!!!"),"",IF(NOT(ISNA(VLOOKUP(E5553,E$1:E5552,1,FALSE()))),"OLD",IF(AND(E5553&lt;&gt;"",E5553&lt;&gt;"!!!"),"NEW","")))</f>
        <v> </v>
      </c>
      <c r="G5553" s="24" t="str">
        <f>IF(OR(E5553="",E5553="!!!"),"",IF(OR(J5553=0,AND(J5553=1,K5553=1),AND(J5553=1,I5553="SBJ"),AND(J5553=1,I5553=0)),"?IN_FOCUS",IF(J5553&lt;=2,"?ACTIVATED",IF(J5553&lt;&gt;"","?FAMILIAR",IF(F5553="NEW",IF(ISNA(VLOOKUP(E5553,#REF!,1,FALSE())),"?TYPE_IDENTIFIABLE","?REFERENTIAL"),"_")))))</f>
        <v> </v>
      </c>
      <c r="H5553" s="25" t="str">
        <f>IF(J5553&lt;&gt;1,"",IF(I5553="SBJ","CB","?"))</f>
        <v> </v>
      </c>
      <c r="I5553" s="26" t="str">
        <f>IF(OR(E5553="",E5553="!!!",F5553="NEW"),"",INDEX(B5552:B$2,-1+SUMPRODUCT(MAX(ROW(E5552:E$2)*(E5553=E5552:E$2)))))</f>
        <v> </v>
      </c>
      <c r="J5553" s="26" t="str">
        <f>IF(OR(E5553="",E5553="!!!",F5553="NEW"),"",COUNTBLANK(OFFSET(A$1,,,SUMPRODUCT(MAX(ROW(E$2:E5553)*(E5553=E$2:E5553)))))-COUNTBLANK(OFFSET(A$1,,,SUMPRODUCT(MAX(ROW(E$1:E5552)*(E2=E$1:E5552))))))</f>
        <v> </v>
      </c>
      <c r="K5553" s="26" t="str">
        <f>IF(OR(E5553="",E5553="!!!",F5553="NEW"),"",INDEX(J$1:J5552,SUMPRODUCT(MAX(ROW(E$1:E5552)*(E5553=E$1:E5552)))))</f>
        <v> </v>
      </c>
      <c r="L5553" s="27"/>
    </row>
    <row r="5554" spans="1:12">
      <c r="A5554" s="20" t="s">
        <v>818</v>
      </c>
      <c r="E5554" s="22">
        <f>IF(D5554="?OLD","!!!","")</f>
        <v/>
      </c>
      <c r="F5554" s="23" t="str">
        <f>IF(OR(E5554="",E5554="!!!"),"",IF(NOT(ISNA(VLOOKUP(E5554,E$1:E5553,1,FALSE()))),"OLD",IF(AND(E5554&lt;&gt;"",E5554&lt;&gt;"!!!"),"NEW","")))</f>
        <v> </v>
      </c>
      <c r="G5554" s="24" t="str">
        <f>IF(OR(E5554="",E5554="!!!"),"",IF(OR(J5554=0,AND(J5554=1,K5554=1),AND(J5554=1,I5554="SBJ"),AND(J5554=1,I5554=0)),"?IN_FOCUS",IF(J5554&lt;=2,"?ACTIVATED",IF(J5554&lt;&gt;"","?FAMILIAR",IF(F5554="NEW",IF(ISNA(VLOOKUP(E5554,#REF!,1,FALSE())),"?TYPE_IDENTIFIABLE","?REFERENTIAL"),"_")))))</f>
        <v> </v>
      </c>
      <c r="H5554" s="25" t="str">
        <f>IF(J5554&lt;&gt;1,"",IF(I5554="SBJ","CB","?"))</f>
        <v> </v>
      </c>
      <c r="I5554" s="26" t="str">
        <f>IF(OR(E5554="",E5554="!!!",F5554="NEW"),"",INDEX(B5553:B$2,-1+SUMPRODUCT(MAX(ROW(E5553:E$2)*(E5554=E5553:E$2)))))</f>
        <v> </v>
      </c>
      <c r="J5554" s="26" t="str">
        <f>IF(OR(E5554="",E5554="!!!",F5554="NEW"),"",COUNTBLANK(OFFSET(A$1,,,SUMPRODUCT(MAX(ROW(E$2:E5554)*(E5554=E$2:E5554)))))-COUNTBLANK(OFFSET(A$1,,,SUMPRODUCT(MAX(ROW(E$1:E5553)*(E2=E$1:E5553))))))</f>
        <v> </v>
      </c>
      <c r="K5554" s="26" t="str">
        <f>IF(OR(E5554="",E5554="!!!",F5554="NEW"),"",INDEX(J$1:J5553,SUMPRODUCT(MAX(ROW(E$1:E5553)*(E5554=E$1:E5553)))))</f>
        <v> </v>
      </c>
      <c r="L5554" s="27"/>
    </row>
    <row r="5555" spans="1:12">
      <c r="A5555" s="20"/>
    </row>
    <row r="5556" spans="1:12">
      <c r="A5556" s="20" t="s">
        <v>2723</v>
      </c>
    </row>
    <row r="5557" spans="1:12">
      <c r="A5557" s="20" t="s">
        <v>1262</v>
      </c>
      <c r="E5557" s="22">
        <f>IF(D5557="?OLD","!!!","")</f>
        <v/>
      </c>
      <c r="F5557" s="23" t="str">
        <f>IF(OR(E5557="",E5557="!!!"),"",IF(NOT(ISNA(VLOOKUP(E5557,E$1:E5556,1,FALSE()))),"OLD",IF(AND(E5557&lt;&gt;"",E5557&lt;&gt;"!!!"),"NEW","")))</f>
        <v> </v>
      </c>
      <c r="G5557" s="24" t="str">
        <f>IF(OR(E5557="",E5557="!!!"),"",IF(OR(J5557=0,AND(J5557=1,K5557=1),AND(J5557=1,I5557="SBJ"),AND(J5557=1,I5557=0)),"?IN_FOCUS",IF(J5557&lt;=2,"?ACTIVATED",IF(J5557&lt;&gt;"","?FAMILIAR",IF(F5557="NEW",IF(ISNA(VLOOKUP(E5557,#REF!,1,FALSE())),"?TYPE_IDENTIFIABLE","?REFERENTIAL"),"_")))))</f>
        <v> </v>
      </c>
      <c r="H5557" s="25" t="str">
        <f>IF(J5557&lt;&gt;1,"",IF(I5557="SBJ","CB","?"))</f>
        <v> </v>
      </c>
      <c r="I5557" s="26" t="str">
        <f>IF(OR(E5557="",E5557="!!!",F5557="NEW"),"",INDEX(B5556:B$2,-1+SUMPRODUCT(MAX(ROW(E5556:E$2)*(E5557=E5556:E$2)))))</f>
        <v> </v>
      </c>
      <c r="J5557" s="26" t="str">
        <f>IF(OR(E5557="",E5557="!!!",F5557="NEW"),"",COUNTBLANK(OFFSET(A$1,,,SUMPRODUCT(MAX(ROW(E$2:E5557)*(E5557=E$2:E5557)))))-COUNTBLANK(OFFSET(A$1,,,SUMPRODUCT(MAX(ROW(E$1:E5556)*(E2=E$1:E5556))))))</f>
        <v> </v>
      </c>
      <c r="K5557" s="26" t="str">
        <f>IF(OR(E5557="",E5557="!!!",F5557="NEW"),"",INDEX(J$1:J5556,SUMPRODUCT(MAX(ROW(E$1:E5556)*(E5557=E$1:E5556)))))</f>
        <v> </v>
      </c>
      <c r="L5557" s="27"/>
    </row>
    <row r="5558" spans="1:12">
      <c r="A5558" s="20" t="s">
        <v>1182</v>
      </c>
      <c r="E5558" s="22">
        <f>IF(D5558="?OLD","!!!","")</f>
        <v/>
      </c>
      <c r="F5558" s="23" t="str">
        <f>IF(OR(E5558="",E5558="!!!"),"",IF(NOT(ISNA(VLOOKUP(E5558,E$1:E5557,1,FALSE()))),"OLD",IF(AND(E5558&lt;&gt;"",E5558&lt;&gt;"!!!"),"NEW","")))</f>
        <v> </v>
      </c>
      <c r="G5558" s="24" t="str">
        <f>IF(OR(E5558="",E5558="!!!"),"",IF(OR(J5558=0,AND(J5558=1,K5558=1),AND(J5558=1,I5558="SBJ"),AND(J5558=1,I5558=0)),"?IN_FOCUS",IF(J5558&lt;=2,"?ACTIVATED",IF(J5558&lt;&gt;"","?FAMILIAR",IF(F5558="NEW",IF(ISNA(VLOOKUP(E5558,#REF!,1,FALSE())),"?TYPE_IDENTIFIABLE","?REFERENTIAL"),"_")))))</f>
        <v> </v>
      </c>
      <c r="H5558" s="25" t="str">
        <f>IF(J5558&lt;&gt;1,"",IF(I5558="SBJ","CB","?"))</f>
        <v> </v>
      </c>
      <c r="I5558" s="26" t="str">
        <f>IF(OR(E5558="",E5558="!!!",F5558="NEW"),"",INDEX(B5557:B$2,-1+SUMPRODUCT(MAX(ROW(E5557:E$2)*(E5558=E5557:E$2)))))</f>
        <v> </v>
      </c>
      <c r="J5558" s="26" t="str">
        <f>IF(OR(E5558="",E5558="!!!",F5558="NEW"),"",COUNTBLANK(OFFSET(A$1,,,SUMPRODUCT(MAX(ROW(E$2:E5558)*(E5558=E$2:E5558)))))-COUNTBLANK(OFFSET(A$1,,,SUMPRODUCT(MAX(ROW(E$1:E5557)*(E2=E$1:E5557))))))</f>
        <v> </v>
      </c>
      <c r="K5558" s="26" t="str">
        <f>IF(OR(E5558="",E5558="!!!",F5558="NEW"),"",INDEX(J$1:J5557,SUMPRODUCT(MAX(ROW(E$1:E5557)*(E5558=E$1:E5557)))))</f>
        <v> </v>
      </c>
      <c r="L5558" s="27"/>
    </row>
    <row r="5559" spans="1:12">
      <c r="A5559" s="20" t="s">
        <v>1227</v>
      </c>
      <c r="B5559" s="21" t="s">
        <v>1194</v>
      </c>
      <c r="C5559" s="21" t="s">
        <v>1195</v>
      </c>
      <c r="D5559" s="21" t="s">
        <v>1180</v>
      </c>
      <c r="E5559" s="22">
        <f>IF(D5559="?OLD","!!!","")</f>
        <v/>
      </c>
      <c r="F5559" s="23" t="str">
        <f>IF(OR(E5559="",E5559="!!!"),"",IF(NOT(ISNA(VLOOKUP(E5559,E$1:E5558,1,FALSE()))),"OLD",IF(AND(E5559&lt;&gt;"",E5559&lt;&gt;"!!!"),"NEW","")))</f>
        <v> </v>
      </c>
      <c r="G5559" s="24" t="str">
        <f>IF(OR(E5559="",E5559="!!!"),"",IF(OR(J5559=0,AND(J5559=1,K5559=1),AND(J5559=1,I5559="SBJ"),AND(J5559=1,I5559=0)),"?IN_FOCUS",IF(J5559&lt;=2,"?ACTIVATED",IF(J5559&lt;&gt;"","?FAMILIAR",IF(F5559="NEW",IF(ISNA(VLOOKUP(E5559,#REF!,1,FALSE())),"?TYPE_IDENTIFIABLE","?REFERENTIAL"),"_")))))</f>
        <v> </v>
      </c>
      <c r="H5559" s="25" t="str">
        <f>IF(J5559&lt;&gt;1,"",IF(I5559="SBJ","CB","?"))</f>
        <v> </v>
      </c>
      <c r="I5559" s="26" t="str">
        <f>IF(OR(E5559="",E5559="!!!",F5559="NEW"),"",INDEX(B5558:B$2,-1+SUMPRODUCT(MAX(ROW(E5558:E$2)*(E5559=E5558:E$2)))))</f>
        <v> </v>
      </c>
      <c r="J5559" s="26" t="str">
        <f>IF(OR(E5559="",E5559="!!!",F5559="NEW"),"",COUNTBLANK(OFFSET(A$1,,,SUMPRODUCT(MAX(ROW(E$2:E5559)*(E5559=E$2:E5559)))))-COUNTBLANK(OFFSET(A$1,,,SUMPRODUCT(MAX(ROW(E$1:E5558)*(E2=E$1:E5558))))))</f>
        <v> </v>
      </c>
      <c r="K5559" s="26" t="str">
        <f>IF(OR(E5559="",E5559="!!!",F5559="NEW"),"",INDEX(J$1:J5558,SUMPRODUCT(MAX(ROW(E$1:E5558)*(E5559=E$1:E5558)))))</f>
        <v> </v>
      </c>
      <c r="L5559" s="27"/>
    </row>
    <row r="5560" spans="1:12">
      <c r="A5560" s="20" t="s">
        <v>1257</v>
      </c>
      <c r="E5560" s="22">
        <f>IF(D5560="?OLD","!!!","")</f>
        <v/>
      </c>
      <c r="F5560" s="23" t="str">
        <f>IF(OR(E5560="",E5560="!!!"),"",IF(NOT(ISNA(VLOOKUP(E5560,E$1:E5559,1,FALSE()))),"OLD",IF(AND(E5560&lt;&gt;"",E5560&lt;&gt;"!!!"),"NEW","")))</f>
        <v> </v>
      </c>
      <c r="G5560" s="24" t="str">
        <f>IF(OR(E5560="",E5560="!!!"),"",IF(OR(J5560=0,AND(J5560=1,K5560=1),AND(J5560=1,I5560="SBJ"),AND(J5560=1,I5560=0)),"?IN_FOCUS",IF(J5560&lt;=2,"?ACTIVATED",IF(J5560&lt;&gt;"","?FAMILIAR",IF(F5560="NEW",IF(ISNA(VLOOKUP(E5560,#REF!,1,FALSE())),"?TYPE_IDENTIFIABLE","?REFERENTIAL"),"_")))))</f>
        <v> </v>
      </c>
      <c r="H5560" s="25" t="str">
        <f>IF(J5560&lt;&gt;1,"",IF(I5560="SBJ","CB","?"))</f>
        <v> </v>
      </c>
      <c r="I5560" s="26" t="str">
        <f>IF(OR(E5560="",E5560="!!!",F5560="NEW"),"",INDEX(B5559:B$2,-1+SUMPRODUCT(MAX(ROW(E5559:E$2)*(E5560=E5559:E$2)))))</f>
        <v> </v>
      </c>
      <c r="J5560" s="26" t="str">
        <f>IF(OR(E5560="",E5560="!!!",F5560="NEW"),"",COUNTBLANK(OFFSET(A$1,,,SUMPRODUCT(MAX(ROW(E$2:E5560)*(E5560=E$2:E5560)))))-COUNTBLANK(OFFSET(A$1,,,SUMPRODUCT(MAX(ROW(E$1:E5559)*(E2=E$1:E5559))))))</f>
        <v> </v>
      </c>
      <c r="K5560" s="26" t="str">
        <f>IF(OR(E5560="",E5560="!!!",F5560="NEW"),"",INDEX(J$1:J5559,SUMPRODUCT(MAX(ROW(E$1:E5559)*(E5560=E$1:E5559)))))</f>
        <v> </v>
      </c>
      <c r="L5560" s="27"/>
    </row>
    <row r="5561" spans="1:12">
      <c r="A5561" s="20" t="s">
        <v>2534</v>
      </c>
      <c r="E5561" s="22">
        <f>IF(D5561="?OLD","!!!","")</f>
        <v/>
      </c>
      <c r="F5561" s="23" t="str">
        <f>IF(OR(E5561="",E5561="!!!"),"",IF(NOT(ISNA(VLOOKUP(E5561,E$1:E5560,1,FALSE()))),"OLD",IF(AND(E5561&lt;&gt;"",E5561&lt;&gt;"!!!"),"NEW","")))</f>
        <v> </v>
      </c>
      <c r="G5561" s="24" t="str">
        <f>IF(OR(E5561="",E5561="!!!"),"",IF(OR(J5561=0,AND(J5561=1,K5561=1),AND(J5561=1,I5561="SBJ"),AND(J5561=1,I5561=0)),"?IN_FOCUS",IF(J5561&lt;=2,"?ACTIVATED",IF(J5561&lt;&gt;"","?FAMILIAR",IF(F5561="NEW",IF(ISNA(VLOOKUP(E5561,#REF!,1,FALSE())),"?TYPE_IDENTIFIABLE","?REFERENTIAL"),"_")))))</f>
        <v> </v>
      </c>
      <c r="H5561" s="25" t="str">
        <f>IF(J5561&lt;&gt;1,"",IF(I5561="SBJ","CB","?"))</f>
        <v> </v>
      </c>
      <c r="I5561" s="26" t="str">
        <f>IF(OR(E5561="",E5561="!!!",F5561="NEW"),"",INDEX(B5560:B$2,-1+SUMPRODUCT(MAX(ROW(E5560:E$2)*(E5561=E5560:E$2)))))</f>
        <v> </v>
      </c>
      <c r="J5561" s="26" t="str">
        <f>IF(OR(E5561="",E5561="!!!",F5561="NEW"),"",COUNTBLANK(OFFSET(A$1,,,SUMPRODUCT(MAX(ROW(E$2:E5561)*(E5561=E$2:E5561)))))-COUNTBLANK(OFFSET(A$1,,,SUMPRODUCT(MAX(ROW(E$1:E5560)*(E2=E$1:E5560))))))</f>
        <v> </v>
      </c>
      <c r="K5561" s="26" t="str">
        <f>IF(OR(E5561="",E5561="!!!",F5561="NEW"),"",INDEX(J$1:J5560,SUMPRODUCT(MAX(ROW(E$1:E5560)*(E5561=E$1:E5560)))))</f>
        <v> </v>
      </c>
      <c r="L5561" s="27"/>
    </row>
    <row r="5562" spans="1:12">
      <c r="A5562" s="20" t="s">
        <v>1574</v>
      </c>
      <c r="E5562" s="22">
        <f>IF(D5562="?OLD","!!!","")</f>
        <v/>
      </c>
      <c r="F5562" s="23" t="str">
        <f>IF(OR(E5562="",E5562="!!!"),"",IF(NOT(ISNA(VLOOKUP(E5562,E$1:E5561,1,FALSE()))),"OLD",IF(AND(E5562&lt;&gt;"",E5562&lt;&gt;"!!!"),"NEW","")))</f>
        <v> </v>
      </c>
      <c r="G5562" s="24" t="str">
        <f>IF(OR(E5562="",E5562="!!!"),"",IF(OR(J5562=0,AND(J5562=1,K5562=1),AND(J5562=1,I5562="SBJ"),AND(J5562=1,I5562=0)),"?IN_FOCUS",IF(J5562&lt;=2,"?ACTIVATED",IF(J5562&lt;&gt;"","?FAMILIAR",IF(F5562="NEW",IF(ISNA(VLOOKUP(E5562,#REF!,1,FALSE())),"?TYPE_IDENTIFIABLE","?REFERENTIAL"),"_")))))</f>
        <v> </v>
      </c>
      <c r="H5562" s="25" t="str">
        <f>IF(J5562&lt;&gt;1,"",IF(I5562="SBJ","CB","?"))</f>
        <v> </v>
      </c>
      <c r="I5562" s="26" t="str">
        <f>IF(OR(E5562="",E5562="!!!",F5562="NEW"),"",INDEX(B5561:B$2,-1+SUMPRODUCT(MAX(ROW(E5561:E$2)*(E5562=E5561:E$2)))))</f>
        <v> </v>
      </c>
      <c r="J5562" s="26" t="str">
        <f>IF(OR(E5562="",E5562="!!!",F5562="NEW"),"",COUNTBLANK(OFFSET(A$1,,,SUMPRODUCT(MAX(ROW(E$2:E5562)*(E5562=E$2:E5562)))))-COUNTBLANK(OFFSET(A$1,,,SUMPRODUCT(MAX(ROW(E$1:E5561)*(E2=E$1:E5561))))))</f>
        <v> </v>
      </c>
      <c r="K5562" s="26" t="str">
        <f>IF(OR(E5562="",E5562="!!!",F5562="NEW"),"",INDEX(J$1:J5561,SUMPRODUCT(MAX(ROW(E$1:E5561)*(E5562=E$1:E5561)))))</f>
        <v> </v>
      </c>
      <c r="L5562" s="27"/>
    </row>
    <row r="5563" spans="1:12">
      <c r="A5563" s="20" t="s">
        <v>818</v>
      </c>
      <c r="E5563" s="22">
        <f>IF(D5563="?OLD","!!!","")</f>
        <v/>
      </c>
      <c r="F5563" s="23" t="str">
        <f>IF(OR(E5563="",E5563="!!!"),"",IF(NOT(ISNA(VLOOKUP(E5563,E$1:E5562,1,FALSE()))),"OLD",IF(AND(E5563&lt;&gt;"",E5563&lt;&gt;"!!!"),"NEW","")))</f>
        <v> </v>
      </c>
      <c r="G5563" s="24" t="str">
        <f>IF(OR(E5563="",E5563="!!!"),"",IF(OR(J5563=0,AND(J5563=1,K5563=1),AND(J5563=1,I5563="SBJ"),AND(J5563=1,I5563=0)),"?IN_FOCUS",IF(J5563&lt;=2,"?ACTIVATED",IF(J5563&lt;&gt;"","?FAMILIAR",IF(F5563="NEW",IF(ISNA(VLOOKUP(E5563,#REF!,1,FALSE())),"?TYPE_IDENTIFIABLE","?REFERENTIAL"),"_")))))</f>
        <v> </v>
      </c>
      <c r="H5563" s="25" t="str">
        <f>IF(J5563&lt;&gt;1,"",IF(I5563="SBJ","CB","?"))</f>
        <v> </v>
      </c>
      <c r="I5563" s="26" t="str">
        <f>IF(OR(E5563="",E5563="!!!",F5563="NEW"),"",INDEX(B5562:B$2,-1+SUMPRODUCT(MAX(ROW(E5562:E$2)*(E5563=E5562:E$2)))))</f>
        <v> </v>
      </c>
      <c r="J5563" s="26" t="str">
        <f>IF(OR(E5563="",E5563="!!!",F5563="NEW"),"",COUNTBLANK(OFFSET(A$1,,,SUMPRODUCT(MAX(ROW(E$2:E5563)*(E5563=E$2:E5563)))))-COUNTBLANK(OFFSET(A$1,,,SUMPRODUCT(MAX(ROW(E$1:E5562)*(E2=E$1:E5562))))))</f>
        <v> </v>
      </c>
      <c r="K5563" s="26" t="str">
        <f>IF(OR(E5563="",E5563="!!!",F5563="NEW"),"",INDEX(J$1:J5562,SUMPRODUCT(MAX(ROW(E$1:E5562)*(E5563=E$1:E5562)))))</f>
        <v> </v>
      </c>
      <c r="L5563" s="27"/>
    </row>
    <row r="5564" spans="1:12">
      <c r="A5564" s="20"/>
    </row>
    <row r="5565" spans="1:12">
      <c r="A5565" s="20" t="s">
        <v>2724</v>
      </c>
    </row>
    <row r="5566" spans="1:12">
      <c r="A5566" s="20" t="s">
        <v>2720</v>
      </c>
      <c r="B5566" s="21" t="s">
        <v>1194</v>
      </c>
      <c r="C5566" s="21" t="s">
        <v>1179</v>
      </c>
      <c r="D5566" s="21" t="s">
        <v>1180</v>
      </c>
      <c r="E5566" s="22">
        <f>IF(D5566="?OLD","!!!","")</f>
        <v/>
      </c>
      <c r="F5566" s="23" t="str">
        <f>IF(OR(E5566="",E5566="!!!"),"",IF(NOT(ISNA(VLOOKUP(E5566,E$1:E5565,1,FALSE()))),"OLD",IF(AND(E5566&lt;&gt;"",E5566&lt;&gt;"!!!"),"NEW","")))</f>
        <v> </v>
      </c>
      <c r="G5566" s="24" t="str">
        <f>IF(OR(E5566="",E5566="!!!"),"",IF(OR(J5566=0,AND(J5566=1,K5566=1),AND(J5566=1,I5566="SBJ"),AND(J5566=1,I5566=0)),"?IN_FOCUS",IF(J5566&lt;=2,"?ACTIVATED",IF(J5566&lt;&gt;"","?FAMILIAR",IF(F5566="NEW",IF(ISNA(VLOOKUP(E5566,#REF!,1,FALSE())),"?TYPE_IDENTIFIABLE","?REFERENTIAL"),"_")))))</f>
        <v> </v>
      </c>
      <c r="H5566" s="25" t="str">
        <f>IF(J5566&lt;&gt;1,"",IF(I5566="SBJ","CB","?"))</f>
        <v> </v>
      </c>
      <c r="I5566" s="26" t="str">
        <f>IF(OR(E5566="",E5566="!!!",F5566="NEW"),"",INDEX(B5565:B$2,-1+SUMPRODUCT(MAX(ROW(E5565:E$2)*(E5566=E5565:E$2)))))</f>
        <v> </v>
      </c>
      <c r="J5566" s="26" t="str">
        <f>IF(OR(E5566="",E5566="!!!",F5566="NEW"),"",COUNTBLANK(OFFSET(A$1,,,SUMPRODUCT(MAX(ROW(E$2:E5566)*(E5566=E$2:E5566)))))-COUNTBLANK(OFFSET(A$1,,,SUMPRODUCT(MAX(ROW(E$1:E5565)*(E2=E$1:E5565))))))</f>
        <v> </v>
      </c>
      <c r="K5566" s="26" t="str">
        <f>IF(OR(E5566="",E5566="!!!",F5566="NEW"),"",INDEX(J$1:J5565,SUMPRODUCT(MAX(ROW(E$1:E5565)*(E5566=E$1:E5565)))))</f>
        <v> </v>
      </c>
      <c r="L5566" s="27"/>
    </row>
    <row r="5567" spans="1:12">
      <c r="A5567" s="20" t="s">
        <v>1182</v>
      </c>
      <c r="E5567" s="22">
        <f>IF(D5567="?OLD","!!!","")</f>
        <v/>
      </c>
      <c r="F5567" s="23" t="str">
        <f>IF(OR(E5567="",E5567="!!!"),"",IF(NOT(ISNA(VLOOKUP(E5567,E$1:E5566,1,FALSE()))),"OLD",IF(AND(E5567&lt;&gt;"",E5567&lt;&gt;"!!!"),"NEW","")))</f>
        <v> </v>
      </c>
      <c r="G5567" s="24" t="str">
        <f>IF(OR(E5567="",E5567="!!!"),"",IF(OR(J5567=0,AND(J5567=1,K5567=1),AND(J5567=1,I5567="SBJ"),AND(J5567=1,I5567=0)),"?IN_FOCUS",IF(J5567&lt;=2,"?ACTIVATED",IF(J5567&lt;&gt;"","?FAMILIAR",IF(F5567="NEW",IF(ISNA(VLOOKUP(E5567,#REF!,1,FALSE())),"?TYPE_IDENTIFIABLE","?REFERENTIAL"),"_")))))</f>
        <v> </v>
      </c>
      <c r="H5567" s="25" t="str">
        <f>IF(J5567&lt;&gt;1,"",IF(I5567="SBJ","CB","?"))</f>
        <v> </v>
      </c>
      <c r="I5567" s="26" t="str">
        <f>IF(OR(E5567="",E5567="!!!",F5567="NEW"),"",INDEX(B5566:B$2,-1+SUMPRODUCT(MAX(ROW(E5566:E$2)*(E5567=E5566:E$2)))))</f>
        <v> </v>
      </c>
      <c r="J5567" s="26" t="str">
        <f>IF(OR(E5567="",E5567="!!!",F5567="NEW"),"",COUNTBLANK(OFFSET(A$1,,,SUMPRODUCT(MAX(ROW(E$2:E5567)*(E5567=E$2:E5567)))))-COUNTBLANK(OFFSET(A$1,,,SUMPRODUCT(MAX(ROW(E$1:E5566)*(E2=E$1:E5566))))))</f>
        <v> </v>
      </c>
      <c r="K5567" s="26" t="str">
        <f>IF(OR(E5567="",E5567="!!!",F5567="NEW"),"",INDEX(J$1:J5566,SUMPRODUCT(MAX(ROW(E$1:E5566)*(E5567=E$1:E5566)))))</f>
        <v> </v>
      </c>
      <c r="L5567" s="27"/>
    </row>
    <row r="5568" spans="1:12">
      <c r="A5568" s="20" t="s">
        <v>1545</v>
      </c>
      <c r="E5568" s="22">
        <f>IF(D5568="?OLD","!!!","")</f>
        <v/>
      </c>
      <c r="F5568" s="23" t="str">
        <f>IF(OR(E5568="",E5568="!!!"),"",IF(NOT(ISNA(VLOOKUP(E5568,E$1:E5567,1,FALSE()))),"OLD",IF(AND(E5568&lt;&gt;"",E5568&lt;&gt;"!!!"),"NEW","")))</f>
        <v> </v>
      </c>
      <c r="G5568" s="24" t="str">
        <f>IF(OR(E5568="",E5568="!!!"),"",IF(OR(J5568=0,AND(J5568=1,K5568=1),AND(J5568=1,I5568="SBJ"),AND(J5568=1,I5568=0)),"?IN_FOCUS",IF(J5568&lt;=2,"?ACTIVATED",IF(J5568&lt;&gt;"","?FAMILIAR",IF(F5568="NEW",IF(ISNA(VLOOKUP(E5568,#REF!,1,FALSE())),"?TYPE_IDENTIFIABLE","?REFERENTIAL"),"_")))))</f>
        <v> </v>
      </c>
      <c r="H5568" s="25" t="str">
        <f>IF(J5568&lt;&gt;1,"",IF(I5568="SBJ","CB","?"))</f>
        <v> </v>
      </c>
      <c r="I5568" s="26" t="str">
        <f>IF(OR(E5568="",E5568="!!!",F5568="NEW"),"",INDEX(B5567:B$2,-1+SUMPRODUCT(MAX(ROW(E5567:E$2)*(E5568=E5567:E$2)))))</f>
        <v> </v>
      </c>
      <c r="J5568" s="26" t="str">
        <f>IF(OR(E5568="",E5568="!!!",F5568="NEW"),"",COUNTBLANK(OFFSET(A$1,,,SUMPRODUCT(MAX(ROW(E$2:E5568)*(E5568=E$2:E5568)))))-COUNTBLANK(OFFSET(A$1,,,SUMPRODUCT(MAX(ROW(E$1:E5567)*(E2=E$1:E5567))))))</f>
        <v> </v>
      </c>
      <c r="K5568" s="26" t="str">
        <f>IF(OR(E5568="",E5568="!!!",F5568="NEW"),"",INDEX(J$1:J5567,SUMPRODUCT(MAX(ROW(E$1:E5567)*(E5568=E$1:E5567)))))</f>
        <v> </v>
      </c>
      <c r="L5568" s="27"/>
    </row>
    <row r="5569" spans="1:12">
      <c r="A5569" s="20" t="s">
        <v>2725</v>
      </c>
      <c r="B5569" s="21" t="s">
        <v>1191</v>
      </c>
      <c r="C5569" s="21" t="s">
        <v>1188</v>
      </c>
      <c r="D5569" s="21" t="s">
        <v>1180</v>
      </c>
      <c r="E5569" s="22">
        <f>IF(D5569="?OLD","!!!","")</f>
        <v/>
      </c>
      <c r="F5569" s="23" t="str">
        <f>IF(OR(E5569="",E5569="!!!"),"",IF(NOT(ISNA(VLOOKUP(E5569,E$1:E5568,1,FALSE()))),"OLD",IF(AND(E5569&lt;&gt;"",E5569&lt;&gt;"!!!"),"NEW","")))</f>
        <v> </v>
      </c>
      <c r="G5569" s="24" t="str">
        <f>IF(OR(E5569="",E5569="!!!"),"",IF(OR(J5569=0,AND(J5569=1,K5569=1),AND(J5569=1,I5569="SBJ"),AND(J5569=1,I5569=0)),"?IN_FOCUS",IF(J5569&lt;=2,"?ACTIVATED",IF(J5569&lt;&gt;"","?FAMILIAR",IF(F5569="NEW",IF(ISNA(VLOOKUP(E5569,#REF!,1,FALSE())),"?TYPE_IDENTIFIABLE","?REFERENTIAL"),"_")))))</f>
        <v> </v>
      </c>
      <c r="H5569" s="25" t="str">
        <f>IF(J5569&lt;&gt;1,"",IF(I5569="SBJ","CB","?"))</f>
        <v> </v>
      </c>
      <c r="I5569" s="26" t="str">
        <f>IF(OR(E5569="",E5569="!!!",F5569="NEW"),"",INDEX(B5568:B$2,-1+SUMPRODUCT(MAX(ROW(E5568:E$2)*(E5569=E5568:E$2)))))</f>
        <v> </v>
      </c>
      <c r="J5569" s="26" t="str">
        <f>IF(OR(E5569="",E5569="!!!",F5569="NEW"),"",COUNTBLANK(OFFSET(A$1,,,SUMPRODUCT(MAX(ROW(E$2:E5569)*(E5569=E$2:E5569)))))-COUNTBLANK(OFFSET(A$1,,,SUMPRODUCT(MAX(ROW(E$1:E5568)*(E2=E$1:E5568))))))</f>
        <v> </v>
      </c>
      <c r="K5569" s="26" t="str">
        <f>IF(OR(E5569="",E5569="!!!",F5569="NEW"),"",INDEX(J$1:J5568,SUMPRODUCT(MAX(ROW(E$1:E5568)*(E5569=E$1:E5568)))))</f>
        <v> </v>
      </c>
      <c r="L5569" s="27"/>
    </row>
    <row r="5570" spans="1:12">
      <c r="A5570" s="20" t="s">
        <v>1219</v>
      </c>
      <c r="E5570" s="22">
        <f>IF(D5570="?OLD","!!!","")</f>
        <v/>
      </c>
      <c r="F5570" s="23" t="str">
        <f>IF(OR(E5570="",E5570="!!!"),"",IF(NOT(ISNA(VLOOKUP(E5570,E$1:E5569,1,FALSE()))),"OLD",IF(AND(E5570&lt;&gt;"",E5570&lt;&gt;"!!!"),"NEW","")))</f>
        <v> </v>
      </c>
      <c r="G5570" s="24" t="str">
        <f>IF(OR(E5570="",E5570="!!!"),"",IF(OR(J5570=0,AND(J5570=1,K5570=1),AND(J5570=1,I5570="SBJ"),AND(J5570=1,I5570=0)),"?IN_FOCUS",IF(J5570&lt;=2,"?ACTIVATED",IF(J5570&lt;&gt;"","?FAMILIAR",IF(F5570="NEW",IF(ISNA(VLOOKUP(E5570,#REF!,1,FALSE())),"?TYPE_IDENTIFIABLE","?REFERENTIAL"),"_")))))</f>
        <v> </v>
      </c>
      <c r="H5570" s="25" t="str">
        <f>IF(J5570&lt;&gt;1,"",IF(I5570="SBJ","CB","?"))</f>
        <v> </v>
      </c>
      <c r="I5570" s="26" t="str">
        <f>IF(OR(E5570="",E5570="!!!",F5570="NEW"),"",INDEX(B5569:B$2,-1+SUMPRODUCT(MAX(ROW(E5569:E$2)*(E5570=E5569:E$2)))))</f>
        <v> </v>
      </c>
      <c r="J5570" s="26" t="str">
        <f>IF(OR(E5570="",E5570="!!!",F5570="NEW"),"",COUNTBLANK(OFFSET(A$1,,,SUMPRODUCT(MAX(ROW(E$2:E5570)*(E5570=E$2:E5570)))))-COUNTBLANK(OFFSET(A$1,,,SUMPRODUCT(MAX(ROW(E$1:E5569)*(E2=E$1:E5569))))))</f>
        <v> </v>
      </c>
      <c r="K5570" s="26" t="str">
        <f>IF(OR(E5570="",E5570="!!!",F5570="NEW"),"",INDEX(J$1:J5569,SUMPRODUCT(MAX(ROW(E$1:E5569)*(E5570=E$1:E5569)))))</f>
        <v> </v>
      </c>
      <c r="L5570" s="27"/>
    </row>
    <row r="5571" spans="1:12">
      <c r="A5571" s="20" t="s">
        <v>2111</v>
      </c>
      <c r="E5571" s="22">
        <f>IF(D5571="?OLD","!!!","")</f>
        <v/>
      </c>
      <c r="F5571" s="23" t="str">
        <f>IF(OR(E5571="",E5571="!!!"),"",IF(NOT(ISNA(VLOOKUP(E5571,E$1:E5570,1,FALSE()))),"OLD",IF(AND(E5571&lt;&gt;"",E5571&lt;&gt;"!!!"),"NEW","")))</f>
        <v> </v>
      </c>
      <c r="G5571" s="24" t="str">
        <f>IF(OR(E5571="",E5571="!!!"),"",IF(OR(J5571=0,AND(J5571=1,K5571=1),AND(J5571=1,I5571="SBJ"),AND(J5571=1,I5571=0)),"?IN_FOCUS",IF(J5571&lt;=2,"?ACTIVATED",IF(J5571&lt;&gt;"","?FAMILIAR",IF(F5571="NEW",IF(ISNA(VLOOKUP(E5571,#REF!,1,FALSE())),"?TYPE_IDENTIFIABLE","?REFERENTIAL"),"_")))))</f>
        <v> </v>
      </c>
      <c r="H5571" s="25" t="str">
        <f>IF(J5571&lt;&gt;1,"",IF(I5571="SBJ","CB","?"))</f>
        <v> </v>
      </c>
      <c r="I5571" s="26" t="str">
        <f>IF(OR(E5571="",E5571="!!!",F5571="NEW"),"",INDEX(B5570:B$2,-1+SUMPRODUCT(MAX(ROW(E5570:E$2)*(E5571=E5570:E$2)))))</f>
        <v> </v>
      </c>
      <c r="J5571" s="26" t="str">
        <f>IF(OR(E5571="",E5571="!!!",F5571="NEW"),"",COUNTBLANK(OFFSET(A$1,,,SUMPRODUCT(MAX(ROW(E$2:E5571)*(E5571=E$2:E5571)))))-COUNTBLANK(OFFSET(A$1,,,SUMPRODUCT(MAX(ROW(E$1:E5570)*(E2=E$1:E5570))))))</f>
        <v> </v>
      </c>
      <c r="K5571" s="26" t="str">
        <f>IF(OR(E5571="",E5571="!!!",F5571="NEW"),"",INDEX(J$1:J5570,SUMPRODUCT(MAX(ROW(E$1:E5570)*(E5571=E$1:E5570)))))</f>
        <v> </v>
      </c>
      <c r="L5571" s="27"/>
    </row>
    <row r="5572" spans="1:12">
      <c r="A5572" s="20" t="s">
        <v>2726</v>
      </c>
      <c r="B5572" s="21" t="s">
        <v>1207</v>
      </c>
      <c r="C5572" s="21" t="s">
        <v>1232</v>
      </c>
      <c r="E5572" s="22">
        <f>IF(D5572="?OLD","!!!","")</f>
        <v/>
      </c>
      <c r="F5572" s="23" t="str">
        <f>IF(OR(E5572="",E5572="!!!"),"",IF(NOT(ISNA(VLOOKUP(E5572,E$1:E5571,1,FALSE()))),"OLD",IF(AND(E5572&lt;&gt;"",E5572&lt;&gt;"!!!"),"NEW","")))</f>
        <v> </v>
      </c>
      <c r="G5572" s="24" t="str">
        <f>IF(OR(E5572="",E5572="!!!"),"",IF(OR(J5572=0,AND(J5572=1,K5572=1),AND(J5572=1,I5572="SBJ"),AND(J5572=1,I5572=0)),"?IN_FOCUS",IF(J5572&lt;=2,"?ACTIVATED",IF(J5572&lt;&gt;"","?FAMILIAR",IF(F5572="NEW",IF(ISNA(VLOOKUP(E5572,#REF!,1,FALSE())),"?TYPE_IDENTIFIABLE","?REFERENTIAL"),"_")))))</f>
        <v> </v>
      </c>
      <c r="H5572" s="25" t="str">
        <f>IF(J5572&lt;&gt;1,"",IF(I5572="SBJ","CB","?"))</f>
        <v> </v>
      </c>
      <c r="I5572" s="26" t="str">
        <f>IF(OR(E5572="",E5572="!!!",F5572="NEW"),"",INDEX(B5571:B$2,-1+SUMPRODUCT(MAX(ROW(E5571:E$2)*(E5572=E5571:E$2)))))</f>
        <v> </v>
      </c>
      <c r="J5572" s="26" t="str">
        <f>IF(OR(E5572="",E5572="!!!",F5572="NEW"),"",COUNTBLANK(OFFSET(A$1,,,SUMPRODUCT(MAX(ROW(E$2:E5572)*(E5572=E$2:E5572)))))-COUNTBLANK(OFFSET(A$1,,,SUMPRODUCT(MAX(ROW(E$1:E5571)*(E2=E$1:E5571))))))</f>
        <v> </v>
      </c>
      <c r="K5572" s="26" t="str">
        <f>IF(OR(E5572="",E5572="!!!",F5572="NEW"),"",INDEX(J$1:J5571,SUMPRODUCT(MAX(ROW(E$1:E5571)*(E5572=E$1:E5571)))))</f>
        <v> </v>
      </c>
      <c r="L5572" s="27"/>
    </row>
    <row r="5573" spans="1:12">
      <c r="A5573" s="20" t="s">
        <v>1733</v>
      </c>
      <c r="E5573" s="22">
        <f>IF(D5573="?OLD","!!!","")</f>
        <v/>
      </c>
      <c r="F5573" s="23" t="str">
        <f>IF(OR(E5573="",E5573="!!!"),"",IF(NOT(ISNA(VLOOKUP(E5573,E$1:E5572,1,FALSE()))),"OLD",IF(AND(E5573&lt;&gt;"",E5573&lt;&gt;"!!!"),"NEW","")))</f>
        <v> </v>
      </c>
      <c r="G5573" s="24" t="str">
        <f>IF(OR(E5573="",E5573="!!!"),"",IF(OR(J5573=0,AND(J5573=1,K5573=1),AND(J5573=1,I5573="SBJ"),AND(J5573=1,I5573=0)),"?IN_FOCUS",IF(J5573&lt;=2,"?ACTIVATED",IF(J5573&lt;&gt;"","?FAMILIAR",IF(F5573="NEW",IF(ISNA(VLOOKUP(E5573,#REF!,1,FALSE())),"?TYPE_IDENTIFIABLE","?REFERENTIAL"),"_")))))</f>
        <v> </v>
      </c>
      <c r="H5573" s="25" t="str">
        <f>IF(J5573&lt;&gt;1,"",IF(I5573="SBJ","CB","?"))</f>
        <v> </v>
      </c>
      <c r="I5573" s="26" t="str">
        <f>IF(OR(E5573="",E5573="!!!",F5573="NEW"),"",INDEX(B5572:B$2,-1+SUMPRODUCT(MAX(ROW(E5572:E$2)*(E5573=E5572:E$2)))))</f>
        <v> </v>
      </c>
      <c r="J5573" s="26" t="str">
        <f>IF(OR(E5573="",E5573="!!!",F5573="NEW"),"",COUNTBLANK(OFFSET(A$1,,,SUMPRODUCT(MAX(ROW(E$2:E5573)*(E5573=E$2:E5573)))))-COUNTBLANK(OFFSET(A$1,,,SUMPRODUCT(MAX(ROW(E$1:E5572)*(E2=E$1:E5572))))))</f>
        <v> </v>
      </c>
      <c r="K5573" s="26" t="str">
        <f>IF(OR(E5573="",E5573="!!!",F5573="NEW"),"",INDEX(J$1:J5572,SUMPRODUCT(MAX(ROW(E$1:E5572)*(E5573=E$1:E5572)))))</f>
        <v> </v>
      </c>
      <c r="L5573" s="27"/>
    </row>
    <row r="5574" spans="1:12">
      <c r="A5574" s="20" t="s">
        <v>1352</v>
      </c>
      <c r="E5574" s="22">
        <f>IF(D5574="?OLD","!!!","")</f>
        <v/>
      </c>
      <c r="F5574" s="23" t="str">
        <f>IF(OR(E5574="",E5574="!!!"),"",IF(NOT(ISNA(VLOOKUP(E5574,E$1:E5573,1,FALSE()))),"OLD",IF(AND(E5574&lt;&gt;"",E5574&lt;&gt;"!!!"),"NEW","")))</f>
        <v> </v>
      </c>
      <c r="G5574" s="24" t="str">
        <f>IF(OR(E5574="",E5574="!!!"),"",IF(OR(J5574=0,AND(J5574=1,K5574=1),AND(J5574=1,I5574="SBJ"),AND(J5574=1,I5574=0)),"?IN_FOCUS",IF(J5574&lt;=2,"?ACTIVATED",IF(J5574&lt;&gt;"","?FAMILIAR",IF(F5574="NEW",IF(ISNA(VLOOKUP(E5574,#REF!,1,FALSE())),"?TYPE_IDENTIFIABLE","?REFERENTIAL"),"_")))))</f>
        <v> </v>
      </c>
      <c r="H5574" s="25" t="str">
        <f>IF(J5574&lt;&gt;1,"",IF(I5574="SBJ","CB","?"))</f>
        <v> </v>
      </c>
      <c r="I5574" s="26" t="str">
        <f>IF(OR(E5574="",E5574="!!!",F5574="NEW"),"",INDEX(B5573:B$2,-1+SUMPRODUCT(MAX(ROW(E5573:E$2)*(E5574=E5573:E$2)))))</f>
        <v> </v>
      </c>
      <c r="J5574" s="26" t="str">
        <f>IF(OR(E5574="",E5574="!!!",F5574="NEW"),"",COUNTBLANK(OFFSET(A$1,,,SUMPRODUCT(MAX(ROW(E$2:E5574)*(E5574=E$2:E5574)))))-COUNTBLANK(OFFSET(A$1,,,SUMPRODUCT(MAX(ROW(E$1:E5573)*(E2=E$1:E5573))))))</f>
        <v> </v>
      </c>
      <c r="K5574" s="26" t="str">
        <f>IF(OR(E5574="",E5574="!!!",F5574="NEW"),"",INDEX(J$1:J5573,SUMPRODUCT(MAX(ROW(E$1:E5573)*(E5574=E$1:E5573)))))</f>
        <v> </v>
      </c>
      <c r="L5574" s="27"/>
    </row>
    <row r="5575" spans="1:12">
      <c r="A5575" s="20" t="s">
        <v>1276</v>
      </c>
      <c r="E5575" s="22">
        <f>IF(D5575="?OLD","!!!","")</f>
        <v/>
      </c>
      <c r="F5575" s="23" t="str">
        <f>IF(OR(E5575="",E5575="!!!"),"",IF(NOT(ISNA(VLOOKUP(E5575,E$1:E5574,1,FALSE()))),"OLD",IF(AND(E5575&lt;&gt;"",E5575&lt;&gt;"!!!"),"NEW","")))</f>
        <v> </v>
      </c>
      <c r="G5575" s="24" t="str">
        <f>IF(OR(E5575="",E5575="!!!"),"",IF(OR(J5575=0,AND(J5575=1,K5575=1),AND(J5575=1,I5575="SBJ"),AND(J5575=1,I5575=0)),"?IN_FOCUS",IF(J5575&lt;=2,"?ACTIVATED",IF(J5575&lt;&gt;"","?FAMILIAR",IF(F5575="NEW",IF(ISNA(VLOOKUP(E5575,#REF!,1,FALSE())),"?TYPE_IDENTIFIABLE","?REFERENTIAL"),"_")))))</f>
        <v> </v>
      </c>
      <c r="H5575" s="25" t="str">
        <f>IF(J5575&lt;&gt;1,"",IF(I5575="SBJ","CB","?"))</f>
        <v> </v>
      </c>
      <c r="I5575" s="26" t="str">
        <f>IF(OR(E5575="",E5575="!!!",F5575="NEW"),"",INDEX(B5574:B$2,-1+SUMPRODUCT(MAX(ROW(E5574:E$2)*(E5575=E5574:E$2)))))</f>
        <v> </v>
      </c>
      <c r="J5575" s="26" t="str">
        <f>IF(OR(E5575="",E5575="!!!",F5575="NEW"),"",COUNTBLANK(OFFSET(A$1,,,SUMPRODUCT(MAX(ROW(E$2:E5575)*(E5575=E$2:E5575)))))-COUNTBLANK(OFFSET(A$1,,,SUMPRODUCT(MAX(ROW(E$1:E5574)*(E2=E$1:E5574))))))</f>
        <v> </v>
      </c>
      <c r="K5575" s="26" t="str">
        <f>IF(OR(E5575="",E5575="!!!",F5575="NEW"),"",INDEX(J$1:J5574,SUMPRODUCT(MAX(ROW(E$1:E5574)*(E5575=E$1:E5574)))))</f>
        <v> </v>
      </c>
      <c r="L5575" s="27"/>
    </row>
    <row r="5576" spans="1:12">
      <c r="A5576" s="20" t="s">
        <v>790</v>
      </c>
      <c r="B5576" s="21" t="s">
        <v>1178</v>
      </c>
      <c r="C5576" s="21" t="s">
        <v>1223</v>
      </c>
      <c r="E5576" s="22">
        <f>IF(D5576="?OLD","!!!","")</f>
        <v/>
      </c>
      <c r="F5576" s="23" t="str">
        <f>IF(OR(E5576="",E5576="!!!"),"",IF(NOT(ISNA(VLOOKUP(E5576,E$1:E5575,1,FALSE()))),"OLD",IF(AND(E5576&lt;&gt;"",E5576&lt;&gt;"!!!"),"NEW","")))</f>
        <v> </v>
      </c>
      <c r="G5576" s="24" t="str">
        <f>IF(OR(E5576="",E5576="!!!"),"",IF(OR(J5576=0,AND(J5576=1,K5576=1),AND(J5576=1,I5576="SBJ"),AND(J5576=1,I5576=0)),"?IN_FOCUS",IF(J5576&lt;=2,"?ACTIVATED",IF(J5576&lt;&gt;"","?FAMILIAR",IF(F5576="NEW",IF(ISNA(VLOOKUP(E5576,#REF!,1,FALSE())),"?TYPE_IDENTIFIABLE","?REFERENTIAL"),"_")))))</f>
        <v> </v>
      </c>
      <c r="H5576" s="25" t="str">
        <f>IF(J5576&lt;&gt;1,"",IF(I5576="SBJ","CB","?"))</f>
        <v> </v>
      </c>
      <c r="I5576" s="26" t="str">
        <f>IF(OR(E5576="",E5576="!!!",F5576="NEW"),"",INDEX(B5575:B$2,-1+SUMPRODUCT(MAX(ROW(E5575:E$2)*(E5576=E5575:E$2)))))</f>
        <v> </v>
      </c>
      <c r="J5576" s="26" t="str">
        <f>IF(OR(E5576="",E5576="!!!",F5576="NEW"),"",COUNTBLANK(OFFSET(A$1,,,SUMPRODUCT(MAX(ROW(E$2:E5576)*(E5576=E$2:E5576)))))-COUNTBLANK(OFFSET(A$1,,,SUMPRODUCT(MAX(ROW(E$1:E5575)*(E2=E$1:E5575))))))</f>
        <v> </v>
      </c>
      <c r="K5576" s="26" t="str">
        <f>IF(OR(E5576="",E5576="!!!",F5576="NEW"),"",INDEX(J$1:J5575,SUMPRODUCT(MAX(ROW(E$1:E5575)*(E5576=E$1:E5575)))))</f>
        <v> </v>
      </c>
      <c r="L5576" s="27"/>
    </row>
    <row r="5577" spans="1:12">
      <c r="A5577" s="20" t="s">
        <v>2727</v>
      </c>
      <c r="B5577" s="21" t="s">
        <v>1191</v>
      </c>
      <c r="C5577" s="21" t="s">
        <v>1179</v>
      </c>
      <c r="D5577" s="21" t="s">
        <v>1180</v>
      </c>
      <c r="E5577" s="22">
        <f>IF(D5577="?OLD","!!!","")</f>
        <v/>
      </c>
      <c r="F5577" s="23" t="str">
        <f>IF(OR(E5577="",E5577="!!!"),"",IF(NOT(ISNA(VLOOKUP(E5577,E$1:E5576,1,FALSE()))),"OLD",IF(AND(E5577&lt;&gt;"",E5577&lt;&gt;"!!!"),"NEW","")))</f>
        <v> </v>
      </c>
      <c r="G5577" s="24" t="str">
        <f>IF(OR(E5577="",E5577="!!!"),"",IF(OR(J5577=0,AND(J5577=1,K5577=1),AND(J5577=1,I5577="SBJ"),AND(J5577=1,I5577=0)),"?IN_FOCUS",IF(J5577&lt;=2,"?ACTIVATED",IF(J5577&lt;&gt;"","?FAMILIAR",IF(F5577="NEW",IF(ISNA(VLOOKUP(E5577,#REF!,1,FALSE())),"?TYPE_IDENTIFIABLE","?REFERENTIAL"),"_")))))</f>
        <v> </v>
      </c>
      <c r="H5577" s="25" t="str">
        <f>IF(J5577&lt;&gt;1,"",IF(I5577="SBJ","CB","?"))</f>
        <v> </v>
      </c>
      <c r="I5577" s="26" t="str">
        <f>IF(OR(E5577="",E5577="!!!",F5577="NEW"),"",INDEX(B5576:B$2,-1+SUMPRODUCT(MAX(ROW(E5576:E$2)*(E5577=E5576:E$2)))))</f>
        <v> </v>
      </c>
      <c r="J5577" s="26" t="str">
        <f>IF(OR(E5577="",E5577="!!!",F5577="NEW"),"",COUNTBLANK(OFFSET(A$1,,,SUMPRODUCT(MAX(ROW(E$2:E5577)*(E5577=E$2:E5577)))))-COUNTBLANK(OFFSET(A$1,,,SUMPRODUCT(MAX(ROW(E$1:E5576)*(E2=E$1:E5576))))))</f>
        <v> </v>
      </c>
      <c r="K5577" s="26" t="str">
        <f>IF(OR(E5577="",E5577="!!!",F5577="NEW"),"",INDEX(J$1:J5576,SUMPRODUCT(MAX(ROW(E$1:E5576)*(E5577=E$1:E5576)))))</f>
        <v> </v>
      </c>
      <c r="L5577" s="27"/>
    </row>
    <row r="5578" spans="1:12">
      <c r="A5578" s="20" t="s">
        <v>818</v>
      </c>
      <c r="E5578" s="22">
        <f>IF(D5578="?OLD","!!!","")</f>
        <v/>
      </c>
      <c r="F5578" s="23" t="str">
        <f>IF(OR(E5578="",E5578="!!!"),"",IF(NOT(ISNA(VLOOKUP(E5578,E$1:E5577,1,FALSE()))),"OLD",IF(AND(E5578&lt;&gt;"",E5578&lt;&gt;"!!!"),"NEW","")))</f>
        <v> </v>
      </c>
      <c r="G5578" s="24" t="str">
        <f>IF(OR(E5578="",E5578="!!!"),"",IF(OR(J5578=0,AND(J5578=1,K5578=1),AND(J5578=1,I5578="SBJ"),AND(J5578=1,I5578=0)),"?IN_FOCUS",IF(J5578&lt;=2,"?ACTIVATED",IF(J5578&lt;&gt;"","?FAMILIAR",IF(F5578="NEW",IF(ISNA(VLOOKUP(E5578,#REF!,1,FALSE())),"?TYPE_IDENTIFIABLE","?REFERENTIAL"),"_")))))</f>
        <v> </v>
      </c>
      <c r="H5578" s="25" t="str">
        <f>IF(J5578&lt;&gt;1,"",IF(I5578="SBJ","CB","?"))</f>
        <v> </v>
      </c>
      <c r="I5578" s="26" t="str">
        <f>IF(OR(E5578="",E5578="!!!",F5578="NEW"),"",INDEX(B5577:B$2,-1+SUMPRODUCT(MAX(ROW(E5577:E$2)*(E5578=E5577:E$2)))))</f>
        <v> </v>
      </c>
      <c r="J5578" s="26" t="str">
        <f>IF(OR(E5578="",E5578="!!!",F5578="NEW"),"",COUNTBLANK(OFFSET(A$1,,,SUMPRODUCT(MAX(ROW(E$2:E5578)*(E5578=E$2:E5578)))))-COUNTBLANK(OFFSET(A$1,,,SUMPRODUCT(MAX(ROW(E$1:E5577)*(E2=E$1:E5577))))))</f>
        <v> </v>
      </c>
      <c r="K5578" s="26" t="str">
        <f>IF(OR(E5578="",E5578="!!!",F5578="NEW"),"",INDEX(J$1:J5577,SUMPRODUCT(MAX(ROW(E$1:E5577)*(E5578=E$1:E5577)))))</f>
        <v> </v>
      </c>
      <c r="L5578" s="27"/>
    </row>
    <row r="5579" spans="1:12">
      <c r="A5579" s="20"/>
    </row>
    <row r="5580" spans="1:12">
      <c r="A5580" s="20" t="s">
        <v>2728</v>
      </c>
    </row>
    <row r="5581" spans="1:12">
      <c r="A5581" s="20" t="s">
        <v>1214</v>
      </c>
      <c r="E5581" s="22">
        <f>IF(D5581="?OLD","!!!","")</f>
        <v/>
      </c>
      <c r="F5581" s="23" t="str">
        <f>IF(OR(E5581="",E5581="!!!"),"",IF(NOT(ISNA(VLOOKUP(E5581,E$1:E5580,1,FALSE()))),"OLD",IF(AND(E5581&lt;&gt;"",E5581&lt;&gt;"!!!"),"NEW","")))</f>
        <v> </v>
      </c>
      <c r="G5581" s="24" t="str">
        <f>IF(OR(E5581="",E5581="!!!"),"",IF(OR(J5581=0,AND(J5581=1,K5581=1),AND(J5581=1,I5581="SBJ"),AND(J5581=1,I5581=0)),"?IN_FOCUS",IF(J5581&lt;=2,"?ACTIVATED",IF(J5581&lt;&gt;"","?FAMILIAR",IF(F5581="NEW",IF(ISNA(VLOOKUP(E5581,#REF!,1,FALSE())),"?TYPE_IDENTIFIABLE","?REFERENTIAL"),"_")))))</f>
        <v> </v>
      </c>
      <c r="H5581" s="25" t="str">
        <f>IF(J5581&lt;&gt;1,"",IF(I5581="SBJ","CB","?"))</f>
        <v> </v>
      </c>
      <c r="I5581" s="26" t="str">
        <f>IF(OR(E5581="",E5581="!!!",F5581="NEW"),"",INDEX(B5580:B$2,-1+SUMPRODUCT(MAX(ROW(E5580:E$2)*(E5581=E5580:E$2)))))</f>
        <v> </v>
      </c>
      <c r="J5581" s="26" t="str">
        <f>IF(OR(E5581="",E5581="!!!",F5581="NEW"),"",COUNTBLANK(OFFSET(A$1,,,SUMPRODUCT(MAX(ROW(E$2:E5581)*(E5581=E$2:E5581)))))-COUNTBLANK(OFFSET(A$1,,,SUMPRODUCT(MAX(ROW(E$1:E5580)*(E2=E$1:E5580))))))</f>
        <v> </v>
      </c>
      <c r="K5581" s="26" t="str">
        <f>IF(OR(E5581="",E5581="!!!",F5581="NEW"),"",INDEX(J$1:J5580,SUMPRODUCT(MAX(ROW(E$1:E5580)*(E5581=E$1:E5580)))))</f>
        <v> </v>
      </c>
      <c r="L5581" s="27"/>
    </row>
    <row r="5582" spans="1:12">
      <c r="A5582" s="20" t="s">
        <v>53</v>
      </c>
      <c r="B5582" s="21" t="s">
        <v>1178</v>
      </c>
      <c r="C5582" s="21" t="s">
        <v>1179</v>
      </c>
      <c r="D5582" s="21" t="s">
        <v>1180</v>
      </c>
      <c r="E5582" s="22">
        <f>IF(D5582="?OLD","!!!","")</f>
        <v/>
      </c>
      <c r="F5582" s="23" t="str">
        <f>IF(OR(E5582="",E5582="!!!"),"",IF(NOT(ISNA(VLOOKUP(E5582,E$1:E5581,1,FALSE()))),"OLD",IF(AND(E5582&lt;&gt;"",E5582&lt;&gt;"!!!"),"NEW","")))</f>
        <v> </v>
      </c>
      <c r="G5582" s="24" t="str">
        <f>IF(OR(E5582="",E5582="!!!"),"",IF(OR(J5582=0,AND(J5582=1,K5582=1),AND(J5582=1,I5582="SBJ"),AND(J5582=1,I5582=0)),"?IN_FOCUS",IF(J5582&lt;=2,"?ACTIVATED",IF(J5582&lt;&gt;"","?FAMILIAR",IF(F5582="NEW",IF(ISNA(VLOOKUP(E5582,#REF!,1,FALSE())),"?TYPE_IDENTIFIABLE","?REFERENTIAL"),"_")))))</f>
        <v> </v>
      </c>
      <c r="H5582" s="25" t="str">
        <f>IF(J5582&lt;&gt;1,"",IF(I5582="SBJ","CB","?"))</f>
        <v> </v>
      </c>
      <c r="I5582" s="26" t="str">
        <f>IF(OR(E5582="",E5582="!!!",F5582="NEW"),"",INDEX(B5581:B$2,-1+SUMPRODUCT(MAX(ROW(E5581:E$2)*(E5582=E5581:E$2)))))</f>
        <v> </v>
      </c>
      <c r="J5582" s="26" t="str">
        <f>IF(OR(E5582="",E5582="!!!",F5582="NEW"),"",COUNTBLANK(OFFSET(A$1,,,SUMPRODUCT(MAX(ROW(E$2:E5582)*(E5582=E$2:E5582)))))-COUNTBLANK(OFFSET(A$1,,,SUMPRODUCT(MAX(ROW(E$1:E5581)*(E2=E$1:E5581))))))</f>
        <v> </v>
      </c>
      <c r="K5582" s="26" t="str">
        <f>IF(OR(E5582="",E5582="!!!",F5582="NEW"),"",INDEX(J$1:J5581,SUMPRODUCT(MAX(ROW(E$1:E5581)*(E5582=E$1:E5581)))))</f>
        <v> </v>
      </c>
      <c r="L5582" s="27"/>
    </row>
    <row r="5583" spans="1:12">
      <c r="A5583" s="20" t="s">
        <v>1216</v>
      </c>
      <c r="E5583" s="22">
        <f>IF(D5583="?OLD","!!!","")</f>
        <v/>
      </c>
      <c r="F5583" s="23" t="str">
        <f>IF(OR(E5583="",E5583="!!!"),"",IF(NOT(ISNA(VLOOKUP(E5583,E$1:E5582,1,FALSE()))),"OLD",IF(AND(E5583&lt;&gt;"",E5583&lt;&gt;"!!!"),"NEW","")))</f>
        <v> </v>
      </c>
      <c r="G5583" s="24" t="str">
        <f>IF(OR(E5583="",E5583="!!!"),"",IF(OR(J5583=0,AND(J5583=1,K5583=1),AND(J5583=1,I5583="SBJ"),AND(J5583=1,I5583=0)),"?IN_FOCUS",IF(J5583&lt;=2,"?ACTIVATED",IF(J5583&lt;&gt;"","?FAMILIAR",IF(F5583="NEW",IF(ISNA(VLOOKUP(E5583,#REF!,1,FALSE())),"?TYPE_IDENTIFIABLE","?REFERENTIAL"),"_")))))</f>
        <v> </v>
      </c>
      <c r="H5583" s="25" t="str">
        <f>IF(J5583&lt;&gt;1,"",IF(I5583="SBJ","CB","?"))</f>
        <v> </v>
      </c>
      <c r="I5583" s="26" t="str">
        <f>IF(OR(E5583="",E5583="!!!",F5583="NEW"),"",INDEX(B5582:B$2,-1+SUMPRODUCT(MAX(ROW(E5582:E$2)*(E5583=E5582:E$2)))))</f>
        <v> </v>
      </c>
      <c r="J5583" s="26" t="str">
        <f>IF(OR(E5583="",E5583="!!!",F5583="NEW"),"",COUNTBLANK(OFFSET(A$1,,,SUMPRODUCT(MAX(ROW(E$2:E5583)*(E5583=E$2:E5583)))))-COUNTBLANK(OFFSET(A$1,,,SUMPRODUCT(MAX(ROW(E$1:E5582)*(E2=E$1:E5582))))))</f>
        <v> </v>
      </c>
      <c r="K5583" s="26" t="str">
        <f>IF(OR(E5583="",E5583="!!!",F5583="NEW"),"",INDEX(J$1:J5582,SUMPRODUCT(MAX(ROW(E$1:E5582)*(E5583=E$1:E5582)))))</f>
        <v> </v>
      </c>
      <c r="L5583" s="27"/>
    </row>
    <row r="5584" spans="1:12">
      <c r="A5584" s="20" t="s">
        <v>1287</v>
      </c>
      <c r="E5584" s="22">
        <f>IF(D5584="?OLD","!!!","")</f>
        <v/>
      </c>
      <c r="F5584" s="23" t="str">
        <f>IF(OR(E5584="",E5584="!!!"),"",IF(NOT(ISNA(VLOOKUP(E5584,E$1:E5583,1,FALSE()))),"OLD",IF(AND(E5584&lt;&gt;"",E5584&lt;&gt;"!!!"),"NEW","")))</f>
        <v> </v>
      </c>
      <c r="G5584" s="24" t="str">
        <f>IF(OR(E5584="",E5584="!!!"),"",IF(OR(J5584=0,AND(J5584=1,K5584=1),AND(J5584=1,I5584="SBJ"),AND(J5584=1,I5584=0)),"?IN_FOCUS",IF(J5584&lt;=2,"?ACTIVATED",IF(J5584&lt;&gt;"","?FAMILIAR",IF(F5584="NEW",IF(ISNA(VLOOKUP(E5584,#REF!,1,FALSE())),"?TYPE_IDENTIFIABLE","?REFERENTIAL"),"_")))))</f>
        <v> </v>
      </c>
      <c r="H5584" s="25" t="str">
        <f>IF(J5584&lt;&gt;1,"",IF(I5584="SBJ","CB","?"))</f>
        <v> </v>
      </c>
      <c r="I5584" s="26" t="str">
        <f>IF(OR(E5584="",E5584="!!!",F5584="NEW"),"",INDEX(B5583:B$2,-1+SUMPRODUCT(MAX(ROW(E5583:E$2)*(E5584=E5583:E$2)))))</f>
        <v> </v>
      </c>
      <c r="J5584" s="26" t="str">
        <f>IF(OR(E5584="",E5584="!!!",F5584="NEW"),"",COUNTBLANK(OFFSET(A$1,,,SUMPRODUCT(MAX(ROW(E$2:E5584)*(E5584=E$2:E5584)))))-COUNTBLANK(OFFSET(A$1,,,SUMPRODUCT(MAX(ROW(E$1:E5583)*(E2=E$1:E5583))))))</f>
        <v> </v>
      </c>
      <c r="K5584" s="26" t="str">
        <f>IF(OR(E5584="",E5584="!!!",F5584="NEW"),"",INDEX(J$1:J5583,SUMPRODUCT(MAX(ROW(E$1:E5583)*(E5584=E$1:E5583)))))</f>
        <v> </v>
      </c>
      <c r="L5584" s="27"/>
    </row>
    <row r="5585" spans="1:12">
      <c r="A5585" s="20" t="s">
        <v>1182</v>
      </c>
      <c r="E5585" s="22">
        <f>IF(D5585="?OLD","!!!","")</f>
        <v/>
      </c>
      <c r="F5585" s="23" t="str">
        <f>IF(OR(E5585="",E5585="!!!"),"",IF(NOT(ISNA(VLOOKUP(E5585,E$1:E5584,1,FALSE()))),"OLD",IF(AND(E5585&lt;&gt;"",E5585&lt;&gt;"!!!"),"NEW","")))</f>
        <v> </v>
      </c>
      <c r="G5585" s="24" t="str">
        <f>IF(OR(E5585="",E5585="!!!"),"",IF(OR(J5585=0,AND(J5585=1,K5585=1),AND(J5585=1,I5585="SBJ"),AND(J5585=1,I5585=0)),"?IN_FOCUS",IF(J5585&lt;=2,"?ACTIVATED",IF(J5585&lt;&gt;"","?FAMILIAR",IF(F5585="NEW",IF(ISNA(VLOOKUP(E5585,#REF!,1,FALSE())),"?TYPE_IDENTIFIABLE","?REFERENTIAL"),"_")))))</f>
        <v> </v>
      </c>
      <c r="H5585" s="25" t="str">
        <f>IF(J5585&lt;&gt;1,"",IF(I5585="SBJ","CB","?"))</f>
        <v> </v>
      </c>
      <c r="I5585" s="26" t="str">
        <f>IF(OR(E5585="",E5585="!!!",F5585="NEW"),"",INDEX(B5584:B$2,-1+SUMPRODUCT(MAX(ROW(E5584:E$2)*(E5585=E5584:E$2)))))</f>
        <v> </v>
      </c>
      <c r="J5585" s="26" t="str">
        <f>IF(OR(E5585="",E5585="!!!",F5585="NEW"),"",COUNTBLANK(OFFSET(A$1,,,SUMPRODUCT(MAX(ROW(E$2:E5585)*(E5585=E$2:E5585)))))-COUNTBLANK(OFFSET(A$1,,,SUMPRODUCT(MAX(ROW(E$1:E5584)*(E2=E$1:E5584))))))</f>
        <v> </v>
      </c>
      <c r="K5585" s="26" t="str">
        <f>IF(OR(E5585="",E5585="!!!",F5585="NEW"),"",INDEX(J$1:J5584,SUMPRODUCT(MAX(ROW(E$1:E5584)*(E5585=E$1:E5584)))))</f>
        <v> </v>
      </c>
      <c r="L5585" s="27"/>
    </row>
    <row r="5586" spans="1:12">
      <c r="A5586" s="20" t="s">
        <v>1256</v>
      </c>
      <c r="B5586" s="21" t="s">
        <v>1240</v>
      </c>
      <c r="C5586" s="21" t="s">
        <v>1195</v>
      </c>
      <c r="D5586" s="21" t="s">
        <v>1180</v>
      </c>
      <c r="E5586" s="22">
        <f>IF(D5586="?OLD","!!!","")</f>
        <v/>
      </c>
      <c r="F5586" s="23" t="str">
        <f>IF(OR(E5586="",E5586="!!!"),"",IF(NOT(ISNA(VLOOKUP(E5586,E$1:E5585,1,FALSE()))),"OLD",IF(AND(E5586&lt;&gt;"",E5586&lt;&gt;"!!!"),"NEW","")))</f>
        <v> </v>
      </c>
      <c r="G5586" s="24" t="str">
        <f>IF(OR(E5586="",E5586="!!!"),"",IF(OR(J5586=0,AND(J5586=1,K5586=1),AND(J5586=1,I5586="SBJ"),AND(J5586=1,I5586=0)),"?IN_FOCUS",IF(J5586&lt;=2,"?ACTIVATED",IF(J5586&lt;&gt;"","?FAMILIAR",IF(F5586="NEW",IF(ISNA(VLOOKUP(E5586,#REF!,1,FALSE())),"?TYPE_IDENTIFIABLE","?REFERENTIAL"),"_")))))</f>
        <v> </v>
      </c>
      <c r="H5586" s="25" t="str">
        <f>IF(J5586&lt;&gt;1,"",IF(I5586="SBJ","CB","?"))</f>
        <v> </v>
      </c>
      <c r="I5586" s="26" t="str">
        <f>IF(OR(E5586="",E5586="!!!",F5586="NEW"),"",INDEX(B5585:B$2,-1+SUMPRODUCT(MAX(ROW(E5585:E$2)*(E5586=E5585:E$2)))))</f>
        <v> </v>
      </c>
      <c r="J5586" s="26" t="str">
        <f>IF(OR(E5586="",E5586="!!!",F5586="NEW"),"",COUNTBLANK(OFFSET(A$1,,,SUMPRODUCT(MAX(ROW(E$2:E5586)*(E5586=E$2:E5586)))))-COUNTBLANK(OFFSET(A$1,,,SUMPRODUCT(MAX(ROW(E$1:E5585)*(E2=E$1:E5585))))))</f>
        <v> </v>
      </c>
      <c r="K5586" s="26" t="str">
        <f>IF(OR(E5586="",E5586="!!!",F5586="NEW"),"",INDEX(J$1:J5585,SUMPRODUCT(MAX(ROW(E$1:E5585)*(E5586=E$1:E5585)))))</f>
        <v> </v>
      </c>
      <c r="L5586" s="27"/>
    </row>
    <row r="5587" spans="1:12">
      <c r="A5587" s="20" t="s">
        <v>1257</v>
      </c>
      <c r="E5587" s="22">
        <f>IF(D5587="?OLD","!!!","")</f>
        <v/>
      </c>
      <c r="F5587" s="23" t="str">
        <f>IF(OR(E5587="",E5587="!!!"),"",IF(NOT(ISNA(VLOOKUP(E5587,E$1:E5586,1,FALSE()))),"OLD",IF(AND(E5587&lt;&gt;"",E5587&lt;&gt;"!!!"),"NEW","")))</f>
        <v> </v>
      </c>
      <c r="G5587" s="24" t="str">
        <f>IF(OR(E5587="",E5587="!!!"),"",IF(OR(J5587=0,AND(J5587=1,K5587=1),AND(J5587=1,I5587="SBJ"),AND(J5587=1,I5587=0)),"?IN_FOCUS",IF(J5587&lt;=2,"?ACTIVATED",IF(J5587&lt;&gt;"","?FAMILIAR",IF(F5587="NEW",IF(ISNA(VLOOKUP(E5587,#REF!,1,FALSE())),"?TYPE_IDENTIFIABLE","?REFERENTIAL"),"_")))))</f>
        <v> </v>
      </c>
      <c r="H5587" s="25" t="str">
        <f>IF(J5587&lt;&gt;1,"",IF(I5587="SBJ","CB","?"))</f>
        <v> </v>
      </c>
      <c r="I5587" s="26" t="str">
        <f>IF(OR(E5587="",E5587="!!!",F5587="NEW"),"",INDEX(B5586:B$2,-1+SUMPRODUCT(MAX(ROW(E5586:E$2)*(E5587=E5586:E$2)))))</f>
        <v> </v>
      </c>
      <c r="J5587" s="26" t="str">
        <f>IF(OR(E5587="",E5587="!!!",F5587="NEW"),"",COUNTBLANK(OFFSET(A$1,,,SUMPRODUCT(MAX(ROW(E$2:E5587)*(E5587=E$2:E5587)))))-COUNTBLANK(OFFSET(A$1,,,SUMPRODUCT(MAX(ROW(E$1:E5586)*(E2=E$1:E5586))))))</f>
        <v> </v>
      </c>
      <c r="K5587" s="26" t="str">
        <f>IF(OR(E5587="",E5587="!!!",F5587="NEW"),"",INDEX(J$1:J5586,SUMPRODUCT(MAX(ROW(E$1:E5586)*(E5587=E$1:E5586)))))</f>
        <v> </v>
      </c>
      <c r="L5587" s="27"/>
    </row>
    <row r="5588" spans="1:12">
      <c r="A5588" s="20" t="s">
        <v>1265</v>
      </c>
      <c r="E5588" s="22">
        <f>IF(D5588="?OLD","!!!","")</f>
        <v/>
      </c>
      <c r="F5588" s="23" t="str">
        <f>IF(OR(E5588="",E5588="!!!"),"",IF(NOT(ISNA(VLOOKUP(E5588,E$1:E5587,1,FALSE()))),"OLD",IF(AND(E5588&lt;&gt;"",E5588&lt;&gt;"!!!"),"NEW","")))</f>
        <v> </v>
      </c>
      <c r="G5588" s="24" t="str">
        <f>IF(OR(E5588="",E5588="!!!"),"",IF(OR(J5588=0,AND(J5588=1,K5588=1),AND(J5588=1,I5588="SBJ"),AND(J5588=1,I5588=0)),"?IN_FOCUS",IF(J5588&lt;=2,"?ACTIVATED",IF(J5588&lt;&gt;"","?FAMILIAR",IF(F5588="NEW",IF(ISNA(VLOOKUP(E5588,#REF!,1,FALSE())),"?TYPE_IDENTIFIABLE","?REFERENTIAL"),"_")))))</f>
        <v> </v>
      </c>
      <c r="H5588" s="25" t="str">
        <f>IF(J5588&lt;&gt;1,"",IF(I5588="SBJ","CB","?"))</f>
        <v> </v>
      </c>
      <c r="I5588" s="26" t="str">
        <f>IF(OR(E5588="",E5588="!!!",F5588="NEW"),"",INDEX(B5587:B$2,-1+SUMPRODUCT(MAX(ROW(E5587:E$2)*(E5588=E5587:E$2)))))</f>
        <v> </v>
      </c>
      <c r="J5588" s="26" t="str">
        <f>IF(OR(E5588="",E5588="!!!",F5588="NEW"),"",COUNTBLANK(OFFSET(A$1,,,SUMPRODUCT(MAX(ROW(E$2:E5588)*(E5588=E$2:E5588)))))-COUNTBLANK(OFFSET(A$1,,,SUMPRODUCT(MAX(ROW(E$1:E5587)*(E2=E$1:E5587))))))</f>
        <v> </v>
      </c>
      <c r="K5588" s="26" t="str">
        <f>IF(OR(E5588="",E5588="!!!",F5588="NEW"),"",INDEX(J$1:J5587,SUMPRODUCT(MAX(ROW(E$1:E5587)*(E5588=E$1:E5587)))))</f>
        <v> </v>
      </c>
      <c r="L5588" s="27"/>
    </row>
    <row r="5589" spans="1:12">
      <c r="A5589" s="20" t="s">
        <v>2729</v>
      </c>
      <c r="E5589" s="22">
        <f>IF(D5589="?OLD","!!!","")</f>
        <v/>
      </c>
      <c r="F5589" s="23" t="str">
        <f>IF(OR(E5589="",E5589="!!!"),"",IF(NOT(ISNA(VLOOKUP(E5589,E$1:E5588,1,FALSE()))),"OLD",IF(AND(E5589&lt;&gt;"",E5589&lt;&gt;"!!!"),"NEW","")))</f>
        <v> </v>
      </c>
      <c r="G5589" s="24" t="str">
        <f>IF(OR(E5589="",E5589="!!!"),"",IF(OR(J5589=0,AND(J5589=1,K5589=1),AND(J5589=1,I5589="SBJ"),AND(J5589=1,I5589=0)),"?IN_FOCUS",IF(J5589&lt;=2,"?ACTIVATED",IF(J5589&lt;&gt;"","?FAMILIAR",IF(F5589="NEW",IF(ISNA(VLOOKUP(E5589,#REF!,1,FALSE())),"?TYPE_IDENTIFIABLE","?REFERENTIAL"),"_")))))</f>
        <v> </v>
      </c>
      <c r="H5589" s="25" t="str">
        <f>IF(J5589&lt;&gt;1,"",IF(I5589="SBJ","CB","?"))</f>
        <v> </v>
      </c>
      <c r="I5589" s="26" t="str">
        <f>IF(OR(E5589="",E5589="!!!",F5589="NEW"),"",INDEX(B5588:B$2,-1+SUMPRODUCT(MAX(ROW(E5588:E$2)*(E5589=E5588:E$2)))))</f>
        <v> </v>
      </c>
      <c r="J5589" s="26" t="str">
        <f>IF(OR(E5589="",E5589="!!!",F5589="NEW"),"",COUNTBLANK(OFFSET(A$1,,,SUMPRODUCT(MAX(ROW(E$2:E5589)*(E5589=E$2:E5589)))))-COUNTBLANK(OFFSET(A$1,,,SUMPRODUCT(MAX(ROW(E$1:E5588)*(E2=E$1:E5588))))))</f>
        <v> </v>
      </c>
      <c r="K5589" s="26" t="str">
        <f>IF(OR(E5589="",E5589="!!!",F5589="NEW"),"",INDEX(J$1:J5588,SUMPRODUCT(MAX(ROW(E$1:E5588)*(E5589=E$1:E5588)))))</f>
        <v> </v>
      </c>
      <c r="L5589" s="27"/>
    </row>
    <row r="5590" spans="1:12">
      <c r="A5590" s="20" t="s">
        <v>1395</v>
      </c>
      <c r="B5590" s="21" t="s">
        <v>1178</v>
      </c>
      <c r="C5590" s="21" t="s">
        <v>1179</v>
      </c>
      <c r="D5590" s="21" t="s">
        <v>1180</v>
      </c>
      <c r="E5590" s="22">
        <f>IF(D5590="?OLD","!!!","")</f>
        <v/>
      </c>
      <c r="F5590" s="23" t="str">
        <f>IF(OR(E5590="",E5590="!!!"),"",IF(NOT(ISNA(VLOOKUP(E5590,E$1:E5589,1,FALSE()))),"OLD",IF(AND(E5590&lt;&gt;"",E5590&lt;&gt;"!!!"),"NEW","")))</f>
        <v> </v>
      </c>
      <c r="G5590" s="24" t="str">
        <f>IF(OR(E5590="",E5590="!!!"),"",IF(OR(J5590=0,AND(J5590=1,K5590=1),AND(J5590=1,I5590="SBJ"),AND(J5590=1,I5590=0)),"?IN_FOCUS",IF(J5590&lt;=2,"?ACTIVATED",IF(J5590&lt;&gt;"","?FAMILIAR",IF(F5590="NEW",IF(ISNA(VLOOKUP(E5590,#REF!,1,FALSE())),"?TYPE_IDENTIFIABLE","?REFERENTIAL"),"_")))))</f>
        <v> </v>
      </c>
      <c r="H5590" s="25" t="str">
        <f>IF(J5590&lt;&gt;1,"",IF(I5590="SBJ","CB","?"))</f>
        <v> </v>
      </c>
      <c r="I5590" s="26" t="str">
        <f>IF(OR(E5590="",E5590="!!!",F5590="NEW"),"",INDEX(B5589:B$2,-1+SUMPRODUCT(MAX(ROW(E5589:E$2)*(E5590=E5589:E$2)))))</f>
        <v> </v>
      </c>
      <c r="J5590" s="26" t="str">
        <f>IF(OR(E5590="",E5590="!!!",F5590="NEW"),"",COUNTBLANK(OFFSET(A$1,,,SUMPRODUCT(MAX(ROW(E$2:E5590)*(E5590=E$2:E5590)))))-COUNTBLANK(OFFSET(A$1,,,SUMPRODUCT(MAX(ROW(E$1:E5589)*(E2=E$1:E5589))))))</f>
        <v> </v>
      </c>
      <c r="K5590" s="26" t="str">
        <f>IF(OR(E5590="",E5590="!!!",F5590="NEW"),"",INDEX(J$1:J5589,SUMPRODUCT(MAX(ROW(E$1:E5589)*(E5590=E$1:E5589)))))</f>
        <v> </v>
      </c>
      <c r="L5590" s="27"/>
    </row>
    <row r="5591" spans="1:12">
      <c r="A5591" s="20" t="s">
        <v>11</v>
      </c>
      <c r="E5591" s="22">
        <f>IF(D5591="?OLD","!!!","")</f>
        <v/>
      </c>
      <c r="F5591" s="23" t="str">
        <f>IF(OR(E5591="",E5591="!!!"),"",IF(NOT(ISNA(VLOOKUP(E5591,E$1:E5590,1,FALSE()))),"OLD",IF(AND(E5591&lt;&gt;"",E5591&lt;&gt;"!!!"),"NEW","")))</f>
        <v> </v>
      </c>
      <c r="G5591" s="24" t="str">
        <f>IF(OR(E5591="",E5591="!!!"),"",IF(OR(J5591=0,AND(J5591=1,K5591=1),AND(J5591=1,I5591="SBJ"),AND(J5591=1,I5591=0)),"?IN_FOCUS",IF(J5591&lt;=2,"?ACTIVATED",IF(J5591&lt;&gt;"","?FAMILIAR",IF(F5591="NEW",IF(ISNA(VLOOKUP(E5591,#REF!,1,FALSE())),"?TYPE_IDENTIFIABLE","?REFERENTIAL"),"_")))))</f>
        <v> </v>
      </c>
      <c r="H5591" s="25" t="str">
        <f>IF(J5591&lt;&gt;1,"",IF(I5591="SBJ","CB","?"))</f>
        <v> </v>
      </c>
      <c r="I5591" s="26" t="str">
        <f>IF(OR(E5591="",E5591="!!!",F5591="NEW"),"",INDEX(B5590:B$2,-1+SUMPRODUCT(MAX(ROW(E5590:E$2)*(E5591=E5590:E$2)))))</f>
        <v> </v>
      </c>
      <c r="J5591" s="26" t="str">
        <f>IF(OR(E5591="",E5591="!!!",F5591="NEW"),"",COUNTBLANK(OFFSET(A$1,,,SUMPRODUCT(MAX(ROW(E$2:E5591)*(E5591=E$2:E5591)))))-COUNTBLANK(OFFSET(A$1,,,SUMPRODUCT(MAX(ROW(E$1:E5590)*(E2=E$1:E5590))))))</f>
        <v> </v>
      </c>
      <c r="K5591" s="26" t="str">
        <f>IF(OR(E5591="",E5591="!!!",F5591="NEW"),"",INDEX(J$1:J5590,SUMPRODUCT(MAX(ROW(E$1:E5590)*(E5591=E$1:E5590)))))</f>
        <v> </v>
      </c>
      <c r="L5591" s="27"/>
    </row>
    <row r="5592" spans="1:12">
      <c r="A5592" s="20" t="s">
        <v>2730</v>
      </c>
      <c r="E5592" s="22">
        <f>IF(D5592="?OLD","!!!","")</f>
        <v/>
      </c>
      <c r="F5592" s="23" t="str">
        <f>IF(OR(E5592="",E5592="!!!"),"",IF(NOT(ISNA(VLOOKUP(E5592,E$1:E5591,1,FALSE()))),"OLD",IF(AND(E5592&lt;&gt;"",E5592&lt;&gt;"!!!"),"NEW","")))</f>
        <v> </v>
      </c>
      <c r="G5592" s="24" t="str">
        <f>IF(OR(E5592="",E5592="!!!"),"",IF(OR(J5592=0,AND(J5592=1,K5592=1),AND(J5592=1,I5592="SBJ"),AND(J5592=1,I5592=0)),"?IN_FOCUS",IF(J5592&lt;=2,"?ACTIVATED",IF(J5592&lt;&gt;"","?FAMILIAR",IF(F5592="NEW",IF(ISNA(VLOOKUP(E5592,#REF!,1,FALSE())),"?TYPE_IDENTIFIABLE","?REFERENTIAL"),"_")))))</f>
        <v> </v>
      </c>
      <c r="H5592" s="25" t="str">
        <f>IF(J5592&lt;&gt;1,"",IF(I5592="SBJ","CB","?"))</f>
        <v> </v>
      </c>
      <c r="I5592" s="26" t="str">
        <f>IF(OR(E5592="",E5592="!!!",F5592="NEW"),"",INDEX(B5591:B$2,-1+SUMPRODUCT(MAX(ROW(E5591:E$2)*(E5592=E5591:E$2)))))</f>
        <v> </v>
      </c>
      <c r="J5592" s="26" t="str">
        <f>IF(OR(E5592="",E5592="!!!",F5592="NEW"),"",COUNTBLANK(OFFSET(A$1,,,SUMPRODUCT(MAX(ROW(E$2:E5592)*(E5592=E$2:E5592)))))-COUNTBLANK(OFFSET(A$1,,,SUMPRODUCT(MAX(ROW(E$1:E5591)*(E2=E$1:E5591))))))</f>
        <v> </v>
      </c>
      <c r="K5592" s="26" t="str">
        <f>IF(OR(E5592="",E5592="!!!",F5592="NEW"),"",INDEX(J$1:J5591,SUMPRODUCT(MAX(ROW(E$1:E5591)*(E5592=E$1:E5591)))))</f>
        <v> </v>
      </c>
      <c r="L5592" s="27"/>
    </row>
    <row r="5593" spans="1:12">
      <c r="A5593" s="20" t="s">
        <v>818</v>
      </c>
      <c r="E5593" s="22">
        <f>IF(D5593="?OLD","!!!","")</f>
        <v/>
      </c>
      <c r="F5593" s="23" t="str">
        <f>IF(OR(E5593="",E5593="!!!"),"",IF(NOT(ISNA(VLOOKUP(E5593,E$1:E5592,1,FALSE()))),"OLD",IF(AND(E5593&lt;&gt;"",E5593&lt;&gt;"!!!"),"NEW","")))</f>
        <v> </v>
      </c>
      <c r="G5593" s="24" t="str">
        <f>IF(OR(E5593="",E5593="!!!"),"",IF(OR(J5593=0,AND(J5593=1,K5593=1),AND(J5593=1,I5593="SBJ"),AND(J5593=1,I5593=0)),"?IN_FOCUS",IF(J5593&lt;=2,"?ACTIVATED",IF(J5593&lt;&gt;"","?FAMILIAR",IF(F5593="NEW",IF(ISNA(VLOOKUP(E5593,#REF!,1,FALSE())),"?TYPE_IDENTIFIABLE","?REFERENTIAL"),"_")))))</f>
        <v> </v>
      </c>
      <c r="H5593" s="25" t="str">
        <f>IF(J5593&lt;&gt;1,"",IF(I5593="SBJ","CB","?"))</f>
        <v> </v>
      </c>
      <c r="I5593" s="26" t="str">
        <f>IF(OR(E5593="",E5593="!!!",F5593="NEW"),"",INDEX(B5592:B$2,-1+SUMPRODUCT(MAX(ROW(E5592:E$2)*(E5593=E5592:E$2)))))</f>
        <v> </v>
      </c>
      <c r="J5593" s="26" t="str">
        <f>IF(OR(E5593="",E5593="!!!",F5593="NEW"),"",COUNTBLANK(OFFSET(A$1,,,SUMPRODUCT(MAX(ROW(E$2:E5593)*(E5593=E$2:E5593)))))-COUNTBLANK(OFFSET(A$1,,,SUMPRODUCT(MAX(ROW(E$1:E5592)*(E2=E$1:E5592))))))</f>
        <v> </v>
      </c>
      <c r="K5593" s="26" t="str">
        <f>IF(OR(E5593="",E5593="!!!",F5593="NEW"),"",INDEX(J$1:J5592,SUMPRODUCT(MAX(ROW(E$1:E5592)*(E5593=E$1:E5592)))))</f>
        <v> </v>
      </c>
      <c r="L5593" s="27"/>
    </row>
    <row r="5594" spans="1:12">
      <c r="A5594" s="20"/>
    </row>
    <row r="5595" spans="1:12">
      <c r="A5595" s="20" t="s">
        <v>2731</v>
      </c>
    </row>
    <row r="5596" spans="1:12">
      <c r="A5596" s="20" t="s">
        <v>2720</v>
      </c>
      <c r="B5596" s="21" t="s">
        <v>1194</v>
      </c>
      <c r="C5596" s="21" t="s">
        <v>1179</v>
      </c>
      <c r="D5596" s="21" t="s">
        <v>1180</v>
      </c>
      <c r="E5596" s="22">
        <f>IF(D5596="?OLD","!!!","")</f>
        <v/>
      </c>
      <c r="F5596" s="23" t="str">
        <f>IF(OR(E5596="",E5596="!!!"),"",IF(NOT(ISNA(VLOOKUP(E5596,E$1:E5595,1,FALSE()))),"OLD",IF(AND(E5596&lt;&gt;"",E5596&lt;&gt;"!!!"),"NEW","")))</f>
        <v> </v>
      </c>
      <c r="G5596" s="24" t="str">
        <f>IF(OR(E5596="",E5596="!!!"),"",IF(OR(J5596=0,AND(J5596=1,K5596=1),AND(J5596=1,I5596="SBJ"),AND(J5596=1,I5596=0)),"?IN_FOCUS",IF(J5596&lt;=2,"?ACTIVATED",IF(J5596&lt;&gt;"","?FAMILIAR",IF(F5596="NEW",IF(ISNA(VLOOKUP(E5596,#REF!,1,FALSE())),"?TYPE_IDENTIFIABLE","?REFERENTIAL"),"_")))))</f>
        <v> </v>
      </c>
      <c r="H5596" s="25" t="str">
        <f>IF(J5596&lt;&gt;1,"",IF(I5596="SBJ","CB","?"))</f>
        <v> </v>
      </c>
      <c r="I5596" s="26" t="str">
        <f>IF(OR(E5596="",E5596="!!!",F5596="NEW"),"",INDEX(B5595:B$2,-1+SUMPRODUCT(MAX(ROW(E5595:E$2)*(E5596=E5595:E$2)))))</f>
        <v> </v>
      </c>
      <c r="J5596" s="26" t="str">
        <f>IF(OR(E5596="",E5596="!!!",F5596="NEW"),"",COUNTBLANK(OFFSET(A$1,,,SUMPRODUCT(MAX(ROW(E$2:E5596)*(E5596=E$2:E5596)))))-COUNTBLANK(OFFSET(A$1,,,SUMPRODUCT(MAX(ROW(E$1:E5595)*(E2=E$1:E5595))))))</f>
        <v> </v>
      </c>
      <c r="K5596" s="26" t="str">
        <f>IF(OR(E5596="",E5596="!!!",F5596="NEW"),"",INDEX(J$1:J5595,SUMPRODUCT(MAX(ROW(E$1:E5595)*(E5596=E$1:E5595)))))</f>
        <v> </v>
      </c>
      <c r="L5596" s="27"/>
    </row>
    <row r="5597" spans="1:12">
      <c r="A5597" s="20" t="s">
        <v>1182</v>
      </c>
      <c r="E5597" s="22">
        <f>IF(D5597="?OLD","!!!","")</f>
        <v/>
      </c>
      <c r="F5597" s="23" t="str">
        <f>IF(OR(E5597="",E5597="!!!"),"",IF(NOT(ISNA(VLOOKUP(E5597,E$1:E5596,1,FALSE()))),"OLD",IF(AND(E5597&lt;&gt;"",E5597&lt;&gt;"!!!"),"NEW","")))</f>
        <v> </v>
      </c>
      <c r="G5597" s="24" t="str">
        <f>IF(OR(E5597="",E5597="!!!"),"",IF(OR(J5597=0,AND(J5597=1,K5597=1),AND(J5597=1,I5597="SBJ"),AND(J5597=1,I5597=0)),"?IN_FOCUS",IF(J5597&lt;=2,"?ACTIVATED",IF(J5597&lt;&gt;"","?FAMILIAR",IF(F5597="NEW",IF(ISNA(VLOOKUP(E5597,#REF!,1,FALSE())),"?TYPE_IDENTIFIABLE","?REFERENTIAL"),"_")))))</f>
        <v> </v>
      </c>
      <c r="H5597" s="25" t="str">
        <f>IF(J5597&lt;&gt;1,"",IF(I5597="SBJ","CB","?"))</f>
        <v> </v>
      </c>
      <c r="I5597" s="26" t="str">
        <f>IF(OR(E5597="",E5597="!!!",F5597="NEW"),"",INDEX(B5596:B$2,-1+SUMPRODUCT(MAX(ROW(E5596:E$2)*(E5597=E5596:E$2)))))</f>
        <v> </v>
      </c>
      <c r="J5597" s="26" t="str">
        <f>IF(OR(E5597="",E5597="!!!",F5597="NEW"),"",COUNTBLANK(OFFSET(A$1,,,SUMPRODUCT(MAX(ROW(E$2:E5597)*(E5597=E$2:E5597)))))-COUNTBLANK(OFFSET(A$1,,,SUMPRODUCT(MAX(ROW(E$1:E5596)*(E2=E$1:E5596))))))</f>
        <v> </v>
      </c>
      <c r="K5597" s="26" t="str">
        <f>IF(OR(E5597="",E5597="!!!",F5597="NEW"),"",INDEX(J$1:J5596,SUMPRODUCT(MAX(ROW(E$1:E5596)*(E5597=E$1:E5596)))))</f>
        <v> </v>
      </c>
      <c r="L5597" s="27"/>
    </row>
    <row r="5598" spans="1:12">
      <c r="A5598" s="20" t="s">
        <v>1326</v>
      </c>
      <c r="E5598" s="22">
        <f>IF(D5598="?OLD","!!!","")</f>
        <v/>
      </c>
      <c r="F5598" s="23" t="str">
        <f>IF(OR(E5598="",E5598="!!!"),"",IF(NOT(ISNA(VLOOKUP(E5598,E$1:E5597,1,FALSE()))),"OLD",IF(AND(E5598&lt;&gt;"",E5598&lt;&gt;"!!!"),"NEW","")))</f>
        <v> </v>
      </c>
      <c r="G5598" s="24" t="str">
        <f>IF(OR(E5598="",E5598="!!!"),"",IF(OR(J5598=0,AND(J5598=1,K5598=1),AND(J5598=1,I5598="SBJ"),AND(J5598=1,I5598=0)),"?IN_FOCUS",IF(J5598&lt;=2,"?ACTIVATED",IF(J5598&lt;&gt;"","?FAMILIAR",IF(F5598="NEW",IF(ISNA(VLOOKUP(E5598,#REF!,1,FALSE())),"?TYPE_IDENTIFIABLE","?REFERENTIAL"),"_")))))</f>
        <v> </v>
      </c>
      <c r="H5598" s="25" t="str">
        <f>IF(J5598&lt;&gt;1,"",IF(I5598="SBJ","CB","?"))</f>
        <v> </v>
      </c>
      <c r="I5598" s="26" t="str">
        <f>IF(OR(E5598="",E5598="!!!",F5598="NEW"),"",INDEX(B5597:B$2,-1+SUMPRODUCT(MAX(ROW(E5597:E$2)*(E5598=E5597:E$2)))))</f>
        <v> </v>
      </c>
      <c r="J5598" s="26" t="str">
        <f>IF(OR(E5598="",E5598="!!!",F5598="NEW"),"",COUNTBLANK(OFFSET(A$1,,,SUMPRODUCT(MAX(ROW(E$2:E5598)*(E5598=E$2:E5598)))))-COUNTBLANK(OFFSET(A$1,,,SUMPRODUCT(MAX(ROW(E$1:E5597)*(E2=E$1:E5597))))))</f>
        <v> </v>
      </c>
      <c r="K5598" s="26" t="str">
        <f>IF(OR(E5598="",E5598="!!!",F5598="NEW"),"",INDEX(J$1:J5597,SUMPRODUCT(MAX(ROW(E$1:E5597)*(E5598=E$1:E5597)))))</f>
        <v> </v>
      </c>
      <c r="L5598" s="27"/>
    </row>
    <row r="5599" spans="1:12">
      <c r="A5599" s="20" t="s">
        <v>427</v>
      </c>
      <c r="B5599" s="21" t="s">
        <v>1194</v>
      </c>
      <c r="C5599" s="21" t="s">
        <v>1238</v>
      </c>
      <c r="D5599" s="21" t="s">
        <v>1180</v>
      </c>
      <c r="E5599" s="22">
        <f>IF(D5599="?OLD","!!!","")</f>
        <v/>
      </c>
      <c r="F5599" s="23" t="str">
        <f>IF(OR(E5599="",E5599="!!!"),"",IF(NOT(ISNA(VLOOKUP(E5599,E$1:E5598,1,FALSE()))),"OLD",IF(AND(E5599&lt;&gt;"",E5599&lt;&gt;"!!!"),"NEW","")))</f>
        <v> </v>
      </c>
      <c r="G5599" s="24" t="str">
        <f>IF(OR(E5599="",E5599="!!!"),"",IF(OR(J5599=0,AND(J5599=1,K5599=1),AND(J5599=1,I5599="SBJ"),AND(J5599=1,I5599=0)),"?IN_FOCUS",IF(J5599&lt;=2,"?ACTIVATED",IF(J5599&lt;&gt;"","?FAMILIAR",IF(F5599="NEW",IF(ISNA(VLOOKUP(E5599,#REF!,1,FALSE())),"?TYPE_IDENTIFIABLE","?REFERENTIAL"),"_")))))</f>
        <v> </v>
      </c>
      <c r="H5599" s="25" t="str">
        <f>IF(J5599&lt;&gt;1,"",IF(I5599="SBJ","CB","?"))</f>
        <v> </v>
      </c>
      <c r="I5599" s="26" t="str">
        <f>IF(OR(E5599="",E5599="!!!",F5599="NEW"),"",INDEX(B5598:B$2,-1+SUMPRODUCT(MAX(ROW(E5598:E$2)*(E5599=E5598:E$2)))))</f>
        <v> </v>
      </c>
      <c r="J5599" s="26" t="str">
        <f>IF(OR(E5599="",E5599="!!!",F5599="NEW"),"",COUNTBLANK(OFFSET(A$1,,,SUMPRODUCT(MAX(ROW(E$2:E5599)*(E5599=E$2:E5599)))))-COUNTBLANK(OFFSET(A$1,,,SUMPRODUCT(MAX(ROW(E$1:E5598)*(E2=E$1:E5598))))))</f>
        <v> </v>
      </c>
      <c r="K5599" s="26" t="str">
        <f>IF(OR(E5599="",E5599="!!!",F5599="NEW"),"",INDEX(J$1:J5598,SUMPRODUCT(MAX(ROW(E$1:E5598)*(E5599=E$1:E5598)))))</f>
        <v> </v>
      </c>
      <c r="L5599" s="27"/>
    </row>
    <row r="5600" spans="1:12">
      <c r="A5600" s="20" t="s">
        <v>1200</v>
      </c>
      <c r="E5600" s="22">
        <f>IF(D5600="?OLD","!!!","")</f>
        <v/>
      </c>
      <c r="F5600" s="23" t="str">
        <f>IF(OR(E5600="",E5600="!!!"),"",IF(NOT(ISNA(VLOOKUP(E5600,E$1:E5599,1,FALSE()))),"OLD",IF(AND(E5600&lt;&gt;"",E5600&lt;&gt;"!!!"),"NEW","")))</f>
        <v> </v>
      </c>
      <c r="G5600" s="24" t="str">
        <f>IF(OR(E5600="",E5600="!!!"),"",IF(OR(J5600=0,AND(J5600=1,K5600=1),AND(J5600=1,I5600="SBJ"),AND(J5600=1,I5600=0)),"?IN_FOCUS",IF(J5600&lt;=2,"?ACTIVATED",IF(J5600&lt;&gt;"","?FAMILIAR",IF(F5600="NEW",IF(ISNA(VLOOKUP(E5600,#REF!,1,FALSE())),"?TYPE_IDENTIFIABLE","?REFERENTIAL"),"_")))))</f>
        <v> </v>
      </c>
      <c r="H5600" s="25" t="str">
        <f>IF(J5600&lt;&gt;1,"",IF(I5600="SBJ","CB","?"))</f>
        <v> </v>
      </c>
      <c r="I5600" s="26" t="str">
        <f>IF(OR(E5600="",E5600="!!!",F5600="NEW"),"",INDEX(B5599:B$2,-1+SUMPRODUCT(MAX(ROW(E5599:E$2)*(E5600=E5599:E$2)))))</f>
        <v> </v>
      </c>
      <c r="J5600" s="26" t="str">
        <f>IF(OR(E5600="",E5600="!!!",F5600="NEW"),"",COUNTBLANK(OFFSET(A$1,,,SUMPRODUCT(MAX(ROW(E$2:E5600)*(E5600=E$2:E5600)))))-COUNTBLANK(OFFSET(A$1,,,SUMPRODUCT(MAX(ROW(E$1:E5599)*(E2=E$1:E5599))))))</f>
        <v> </v>
      </c>
      <c r="K5600" s="26" t="str">
        <f>IF(OR(E5600="",E5600="!!!",F5600="NEW"),"",INDEX(J$1:J5599,SUMPRODUCT(MAX(ROW(E$1:E5599)*(E5600=E$1:E5599)))))</f>
        <v> </v>
      </c>
      <c r="L5600" s="27"/>
    </row>
    <row r="5601" spans="1:12">
      <c r="A5601" s="20" t="s">
        <v>1202</v>
      </c>
      <c r="E5601" s="22">
        <f>IF(D5601="?OLD","!!!","")</f>
        <v/>
      </c>
      <c r="F5601" s="23" t="str">
        <f>IF(OR(E5601="",E5601="!!!"),"",IF(NOT(ISNA(VLOOKUP(E5601,E$1:E5600,1,FALSE()))),"OLD",IF(AND(E5601&lt;&gt;"",E5601&lt;&gt;"!!!"),"NEW","")))</f>
        <v> </v>
      </c>
      <c r="G5601" s="24" t="str">
        <f>IF(OR(E5601="",E5601="!!!"),"",IF(OR(J5601=0,AND(J5601=1,K5601=1),AND(J5601=1,I5601="SBJ"),AND(J5601=1,I5601=0)),"?IN_FOCUS",IF(J5601&lt;=2,"?ACTIVATED",IF(J5601&lt;&gt;"","?FAMILIAR",IF(F5601="NEW",IF(ISNA(VLOOKUP(E5601,#REF!,1,FALSE())),"?TYPE_IDENTIFIABLE","?REFERENTIAL"),"_")))))</f>
        <v> </v>
      </c>
      <c r="H5601" s="25" t="str">
        <f>IF(J5601&lt;&gt;1,"",IF(I5601="SBJ","CB","?"))</f>
        <v> </v>
      </c>
      <c r="I5601" s="26" t="str">
        <f>IF(OR(E5601="",E5601="!!!",F5601="NEW"),"",INDEX(B5600:B$2,-1+SUMPRODUCT(MAX(ROW(E5600:E$2)*(E5601=E5600:E$2)))))</f>
        <v> </v>
      </c>
      <c r="J5601" s="26" t="str">
        <f>IF(OR(E5601="",E5601="!!!",F5601="NEW"),"",COUNTBLANK(OFFSET(A$1,,,SUMPRODUCT(MAX(ROW(E$2:E5601)*(E5601=E$2:E5601)))))-COUNTBLANK(OFFSET(A$1,,,SUMPRODUCT(MAX(ROW(E$1:E5600)*(E2=E$1:E5600))))))</f>
        <v> </v>
      </c>
      <c r="K5601" s="26" t="str">
        <f>IF(OR(E5601="",E5601="!!!",F5601="NEW"),"",INDEX(J$1:J5600,SUMPRODUCT(MAX(ROW(E$1:E5600)*(E5601=E$1:E5600)))))</f>
        <v> </v>
      </c>
      <c r="L5601" s="27"/>
    </row>
    <row r="5602" spans="1:12">
      <c r="A5602" s="20" t="s">
        <v>105</v>
      </c>
      <c r="E5602" s="22">
        <f>IF(D5602="?OLD","!!!","")</f>
        <v/>
      </c>
      <c r="F5602" s="23" t="str">
        <f>IF(OR(E5602="",E5602="!!!"),"",IF(NOT(ISNA(VLOOKUP(E5602,E$1:E5601,1,FALSE()))),"OLD",IF(AND(E5602&lt;&gt;"",E5602&lt;&gt;"!!!"),"NEW","")))</f>
        <v> </v>
      </c>
      <c r="G5602" s="24" t="str">
        <f>IF(OR(E5602="",E5602="!!!"),"",IF(OR(J5602=0,AND(J5602=1,K5602=1),AND(J5602=1,I5602="SBJ"),AND(J5602=1,I5602=0)),"?IN_FOCUS",IF(J5602&lt;=2,"?ACTIVATED",IF(J5602&lt;&gt;"","?FAMILIAR",IF(F5602="NEW",IF(ISNA(VLOOKUP(E5602,#REF!,1,FALSE())),"?TYPE_IDENTIFIABLE","?REFERENTIAL"),"_")))))</f>
        <v> </v>
      </c>
      <c r="H5602" s="25" t="str">
        <f>IF(J5602&lt;&gt;1,"",IF(I5602="SBJ","CB","?"))</f>
        <v> </v>
      </c>
      <c r="I5602" s="26" t="str">
        <f>IF(OR(E5602="",E5602="!!!",F5602="NEW"),"",INDEX(B5601:B$2,-1+SUMPRODUCT(MAX(ROW(E5601:E$2)*(E5602=E5601:E$2)))))</f>
        <v> </v>
      </c>
      <c r="J5602" s="26" t="str">
        <f>IF(OR(E5602="",E5602="!!!",F5602="NEW"),"",COUNTBLANK(OFFSET(A$1,,,SUMPRODUCT(MAX(ROW(E$2:E5602)*(E5602=E$2:E5602)))))-COUNTBLANK(OFFSET(A$1,,,SUMPRODUCT(MAX(ROW(E$1:E5601)*(E2=E$1:E5601))))))</f>
        <v> </v>
      </c>
      <c r="K5602" s="26" t="str">
        <f>IF(OR(E5602="",E5602="!!!",F5602="NEW"),"",INDEX(J$1:J5601,SUMPRODUCT(MAX(ROW(E$1:E5601)*(E5602=E$1:E5601)))))</f>
        <v> </v>
      </c>
      <c r="L5602" s="27"/>
    </row>
    <row r="5603" spans="1:12">
      <c r="A5603" s="20" t="s">
        <v>1422</v>
      </c>
      <c r="B5603" s="21" t="s">
        <v>1178</v>
      </c>
      <c r="C5603" s="21" t="s">
        <v>1608</v>
      </c>
      <c r="D5603" s="21" t="s">
        <v>1180</v>
      </c>
      <c r="E5603" s="22">
        <f>IF(D5603="?OLD","!!!","")</f>
        <v/>
      </c>
      <c r="F5603" s="23" t="str">
        <f>IF(OR(E5603="",E5603="!!!"),"",IF(NOT(ISNA(VLOOKUP(E5603,E$1:E5602,1,FALSE()))),"OLD",IF(AND(E5603&lt;&gt;"",E5603&lt;&gt;"!!!"),"NEW","")))</f>
        <v> </v>
      </c>
      <c r="G5603" s="24" t="str">
        <f>IF(OR(E5603="",E5603="!!!"),"",IF(OR(J5603=0,AND(J5603=1,K5603=1),AND(J5603=1,I5603="SBJ"),AND(J5603=1,I5603=0)),"?IN_FOCUS",IF(J5603&lt;=2,"?ACTIVATED",IF(J5603&lt;&gt;"","?FAMILIAR",IF(F5603="NEW",IF(ISNA(VLOOKUP(E5603,#REF!,1,FALSE())),"?TYPE_IDENTIFIABLE","?REFERENTIAL"),"_")))))</f>
        <v> </v>
      </c>
      <c r="H5603" s="25" t="str">
        <f>IF(J5603&lt;&gt;1,"",IF(I5603="SBJ","CB","?"))</f>
        <v> </v>
      </c>
      <c r="I5603" s="26" t="str">
        <f>IF(OR(E5603="",E5603="!!!",F5603="NEW"),"",INDEX(B5602:B$2,-1+SUMPRODUCT(MAX(ROW(E5602:E$2)*(E5603=E5602:E$2)))))</f>
        <v> </v>
      </c>
      <c r="J5603" s="26" t="str">
        <f>IF(OR(E5603="",E5603="!!!",F5603="NEW"),"",COUNTBLANK(OFFSET(A$1,,,SUMPRODUCT(MAX(ROW(E$2:E5603)*(E5603=E$2:E5603)))))-COUNTBLANK(OFFSET(A$1,,,SUMPRODUCT(MAX(ROW(E$1:E5602)*(E2=E$1:E5602))))))</f>
        <v> </v>
      </c>
      <c r="K5603" s="26" t="str">
        <f>IF(OR(E5603="",E5603="!!!",F5603="NEW"),"",INDEX(J$1:J5602,SUMPRODUCT(MAX(ROW(E$1:E5602)*(E5603=E$1:E5602)))))</f>
        <v> </v>
      </c>
      <c r="L5603" s="27"/>
    </row>
    <row r="5604" spans="1:12">
      <c r="A5604" s="20" t="s">
        <v>1276</v>
      </c>
      <c r="E5604" s="22">
        <f>IF(D5604="?OLD","!!!","")</f>
        <v/>
      </c>
      <c r="F5604" s="23" t="str">
        <f>IF(OR(E5604="",E5604="!!!"),"",IF(NOT(ISNA(VLOOKUP(E5604,E$1:E5603,1,FALSE()))),"OLD",IF(AND(E5604&lt;&gt;"",E5604&lt;&gt;"!!!"),"NEW","")))</f>
        <v> </v>
      </c>
      <c r="G5604" s="24" t="str">
        <f>IF(OR(E5604="",E5604="!!!"),"",IF(OR(J5604=0,AND(J5604=1,K5604=1),AND(J5604=1,I5604="SBJ"),AND(J5604=1,I5604=0)),"?IN_FOCUS",IF(J5604&lt;=2,"?ACTIVATED",IF(J5604&lt;&gt;"","?FAMILIAR",IF(F5604="NEW",IF(ISNA(VLOOKUP(E5604,#REF!,1,FALSE())),"?TYPE_IDENTIFIABLE","?REFERENTIAL"),"_")))))</f>
        <v> </v>
      </c>
      <c r="H5604" s="25" t="str">
        <f>IF(J5604&lt;&gt;1,"",IF(I5604="SBJ","CB","?"))</f>
        <v> </v>
      </c>
      <c r="I5604" s="26" t="str">
        <f>IF(OR(E5604="",E5604="!!!",F5604="NEW"),"",INDEX(B5603:B$2,-1+SUMPRODUCT(MAX(ROW(E5603:E$2)*(E5604=E5603:E$2)))))</f>
        <v> </v>
      </c>
      <c r="J5604" s="26" t="str">
        <f>IF(OR(E5604="",E5604="!!!",F5604="NEW"),"",COUNTBLANK(OFFSET(A$1,,,SUMPRODUCT(MAX(ROW(E$2:E5604)*(E5604=E$2:E5604)))))-COUNTBLANK(OFFSET(A$1,,,SUMPRODUCT(MAX(ROW(E$1:E5603)*(E2=E$1:E5603))))))</f>
        <v> </v>
      </c>
      <c r="K5604" s="26" t="str">
        <f>IF(OR(E5604="",E5604="!!!",F5604="NEW"),"",INDEX(J$1:J5603,SUMPRODUCT(MAX(ROW(E$1:E5603)*(E5604=E$1:E5603)))))</f>
        <v> </v>
      </c>
      <c r="L5604" s="27"/>
    </row>
    <row r="5605" spans="1:12">
      <c r="A5605" s="20" t="s">
        <v>2732</v>
      </c>
      <c r="B5605" s="21" t="s">
        <v>1204</v>
      </c>
      <c r="C5605" s="21" t="s">
        <v>1223</v>
      </c>
      <c r="E5605" s="22">
        <f>IF(D5605="?OLD","!!!","")</f>
        <v/>
      </c>
      <c r="F5605" s="23" t="str">
        <f>IF(OR(E5605="",E5605="!!!"),"",IF(NOT(ISNA(VLOOKUP(E5605,E$1:E5604,1,FALSE()))),"OLD",IF(AND(E5605&lt;&gt;"",E5605&lt;&gt;"!!!"),"NEW","")))</f>
        <v> </v>
      </c>
      <c r="G5605" s="24" t="str">
        <f>IF(OR(E5605="",E5605="!!!"),"",IF(OR(J5605=0,AND(J5605=1,K5605=1),AND(J5605=1,I5605="SBJ"),AND(J5605=1,I5605=0)),"?IN_FOCUS",IF(J5605&lt;=2,"?ACTIVATED",IF(J5605&lt;&gt;"","?FAMILIAR",IF(F5605="NEW",IF(ISNA(VLOOKUP(E5605,#REF!,1,FALSE())),"?TYPE_IDENTIFIABLE","?REFERENTIAL"),"_")))))</f>
        <v> </v>
      </c>
      <c r="H5605" s="25" t="str">
        <f>IF(J5605&lt;&gt;1,"",IF(I5605="SBJ","CB","?"))</f>
        <v> </v>
      </c>
      <c r="I5605" s="26" t="str">
        <f>IF(OR(E5605="",E5605="!!!",F5605="NEW"),"",INDEX(B5604:B$2,-1+SUMPRODUCT(MAX(ROW(E5604:E$2)*(E5605=E5604:E$2)))))</f>
        <v> </v>
      </c>
      <c r="J5605" s="26" t="str">
        <f>IF(OR(E5605="",E5605="!!!",F5605="NEW"),"",COUNTBLANK(OFFSET(A$1,,,SUMPRODUCT(MAX(ROW(E$2:E5605)*(E5605=E$2:E5605)))))-COUNTBLANK(OFFSET(A$1,,,SUMPRODUCT(MAX(ROW(E$1:E5604)*(E2=E$1:E5604))))))</f>
        <v> </v>
      </c>
      <c r="K5605" s="26" t="str">
        <f>IF(OR(E5605="",E5605="!!!",F5605="NEW"),"",INDEX(J$1:J5604,SUMPRODUCT(MAX(ROW(E$1:E5604)*(E5605=E$1:E5604)))))</f>
        <v> </v>
      </c>
      <c r="L5605" s="27"/>
    </row>
    <row r="5606" spans="1:12">
      <c r="A5606" s="20" t="s">
        <v>999</v>
      </c>
      <c r="E5606" s="22">
        <f>IF(D5606="?OLD","!!!","")</f>
        <v/>
      </c>
      <c r="F5606" s="23" t="str">
        <f>IF(OR(E5606="",E5606="!!!"),"",IF(NOT(ISNA(VLOOKUP(E5606,E$1:E5605,1,FALSE()))),"OLD",IF(AND(E5606&lt;&gt;"",E5606&lt;&gt;"!!!"),"NEW","")))</f>
        <v> </v>
      </c>
      <c r="G5606" s="24" t="str">
        <f>IF(OR(E5606="",E5606="!!!"),"",IF(OR(J5606=0,AND(J5606=1,K5606=1),AND(J5606=1,I5606="SBJ"),AND(J5606=1,I5606=0)),"?IN_FOCUS",IF(J5606&lt;=2,"?ACTIVATED",IF(J5606&lt;&gt;"","?FAMILIAR",IF(F5606="NEW",IF(ISNA(VLOOKUP(E5606,#REF!,1,FALSE())),"?TYPE_IDENTIFIABLE","?REFERENTIAL"),"_")))))</f>
        <v> </v>
      </c>
      <c r="H5606" s="25" t="str">
        <f>IF(J5606&lt;&gt;1,"",IF(I5606="SBJ","CB","?"))</f>
        <v> </v>
      </c>
      <c r="I5606" s="26" t="str">
        <f>IF(OR(E5606="",E5606="!!!",F5606="NEW"),"",INDEX(B5605:B$2,-1+SUMPRODUCT(MAX(ROW(E5605:E$2)*(E5606=E5605:E$2)))))</f>
        <v> </v>
      </c>
      <c r="J5606" s="26" t="str">
        <f>IF(OR(E5606="",E5606="!!!",F5606="NEW"),"",COUNTBLANK(OFFSET(A$1,,,SUMPRODUCT(MAX(ROW(E$2:E5606)*(E5606=E$2:E5606)))))-COUNTBLANK(OFFSET(A$1,,,SUMPRODUCT(MAX(ROW(E$1:E5605)*(E2=E$1:E5605))))))</f>
        <v> </v>
      </c>
      <c r="K5606" s="26" t="str">
        <f>IF(OR(E5606="",E5606="!!!",F5606="NEW"),"",INDEX(J$1:J5605,SUMPRODUCT(MAX(ROW(E$1:E5605)*(E5606=E$1:E5605)))))</f>
        <v> </v>
      </c>
      <c r="L5606" s="27"/>
    </row>
    <row r="5607" spans="1:12">
      <c r="A5607" s="20" t="s">
        <v>1295</v>
      </c>
      <c r="E5607" s="22">
        <f>IF(D5607="?OLD","!!!","")</f>
        <v/>
      </c>
      <c r="F5607" s="23" t="str">
        <f>IF(OR(E5607="",E5607="!!!"),"",IF(NOT(ISNA(VLOOKUP(E5607,E$1:E5606,1,FALSE()))),"OLD",IF(AND(E5607&lt;&gt;"",E5607&lt;&gt;"!!!"),"NEW","")))</f>
        <v> </v>
      </c>
      <c r="G5607" s="24" t="str">
        <f>IF(OR(E5607="",E5607="!!!"),"",IF(OR(J5607=0,AND(J5607=1,K5607=1),AND(J5607=1,I5607="SBJ"),AND(J5607=1,I5607=0)),"?IN_FOCUS",IF(J5607&lt;=2,"?ACTIVATED",IF(J5607&lt;&gt;"","?FAMILIAR",IF(F5607="NEW",IF(ISNA(VLOOKUP(E5607,#REF!,1,FALSE())),"?TYPE_IDENTIFIABLE","?REFERENTIAL"),"_")))))</f>
        <v> </v>
      </c>
      <c r="H5607" s="25" t="str">
        <f>IF(J5607&lt;&gt;1,"",IF(I5607="SBJ","CB","?"))</f>
        <v> </v>
      </c>
      <c r="I5607" s="26" t="str">
        <f>IF(OR(E5607="",E5607="!!!",F5607="NEW"),"",INDEX(B5606:B$2,-1+SUMPRODUCT(MAX(ROW(E5606:E$2)*(E5607=E5606:E$2)))))</f>
        <v> </v>
      </c>
      <c r="J5607" s="26" t="str">
        <f>IF(OR(E5607="",E5607="!!!",F5607="NEW"),"",COUNTBLANK(OFFSET(A$1,,,SUMPRODUCT(MAX(ROW(E$2:E5607)*(E5607=E$2:E5607)))))-COUNTBLANK(OFFSET(A$1,,,SUMPRODUCT(MAX(ROW(E$1:E5606)*(E2=E$1:E5606))))))</f>
        <v> </v>
      </c>
      <c r="K5607" s="26" t="str">
        <f>IF(OR(E5607="",E5607="!!!",F5607="NEW"),"",INDEX(J$1:J5606,SUMPRODUCT(MAX(ROW(E$1:E5606)*(E5607=E$1:E5606)))))</f>
        <v> </v>
      </c>
      <c r="L5607" s="27"/>
    </row>
    <row r="5608" spans="1:12">
      <c r="A5608" s="20" t="s">
        <v>2601</v>
      </c>
      <c r="E5608" s="22">
        <f>IF(D5608="?OLD","!!!","")</f>
        <v/>
      </c>
      <c r="F5608" s="23" t="str">
        <f>IF(OR(E5608="",E5608="!!!"),"",IF(NOT(ISNA(VLOOKUP(E5608,E$1:E5607,1,FALSE()))),"OLD",IF(AND(E5608&lt;&gt;"",E5608&lt;&gt;"!!!"),"NEW","")))</f>
        <v> </v>
      </c>
      <c r="G5608" s="24" t="str">
        <f>IF(OR(E5608="",E5608="!!!"),"",IF(OR(J5608=0,AND(J5608=1,K5608=1),AND(J5608=1,I5608="SBJ"),AND(J5608=1,I5608=0)),"?IN_FOCUS",IF(J5608&lt;=2,"?ACTIVATED",IF(J5608&lt;&gt;"","?FAMILIAR",IF(F5608="NEW",IF(ISNA(VLOOKUP(E5608,#REF!,1,FALSE())),"?TYPE_IDENTIFIABLE","?REFERENTIAL"),"_")))))</f>
        <v> </v>
      </c>
      <c r="H5608" s="25" t="str">
        <f>IF(J5608&lt;&gt;1,"",IF(I5608="SBJ","CB","?"))</f>
        <v> </v>
      </c>
      <c r="I5608" s="26" t="str">
        <f>IF(OR(E5608="",E5608="!!!",F5608="NEW"),"",INDEX(B5607:B$2,-1+SUMPRODUCT(MAX(ROW(E5607:E$2)*(E5608=E5607:E$2)))))</f>
        <v> </v>
      </c>
      <c r="J5608" s="26" t="str">
        <f>IF(OR(E5608="",E5608="!!!",F5608="NEW"),"",COUNTBLANK(OFFSET(A$1,,,SUMPRODUCT(MAX(ROW(E$2:E5608)*(E5608=E$2:E5608)))))-COUNTBLANK(OFFSET(A$1,,,SUMPRODUCT(MAX(ROW(E$1:E5607)*(E2=E$1:E5607))))))</f>
        <v> </v>
      </c>
      <c r="K5608" s="26" t="str">
        <f>IF(OR(E5608="",E5608="!!!",F5608="NEW"),"",INDEX(J$1:J5607,SUMPRODUCT(MAX(ROW(E$1:E5607)*(E5608=E$1:E5607)))))</f>
        <v> </v>
      </c>
      <c r="L5608" s="27"/>
    </row>
    <row r="5609" spans="1:12">
      <c r="A5609" s="20" t="s">
        <v>1185</v>
      </c>
      <c r="E5609" s="22">
        <f>IF(D5609="?OLD","!!!","")</f>
        <v/>
      </c>
      <c r="F5609" s="23" t="str">
        <f>IF(OR(E5609="",E5609="!!!"),"",IF(NOT(ISNA(VLOOKUP(E5609,E$1:E5608,1,FALSE()))),"OLD",IF(AND(E5609&lt;&gt;"",E5609&lt;&gt;"!!!"),"NEW","")))</f>
        <v> </v>
      </c>
      <c r="G5609" s="24" t="str">
        <f>IF(OR(E5609="",E5609="!!!"),"",IF(OR(J5609=0,AND(J5609=1,K5609=1),AND(J5609=1,I5609="SBJ"),AND(J5609=1,I5609=0)),"?IN_FOCUS",IF(J5609&lt;=2,"?ACTIVATED",IF(J5609&lt;&gt;"","?FAMILIAR",IF(F5609="NEW",IF(ISNA(VLOOKUP(E5609,#REF!,1,FALSE())),"?TYPE_IDENTIFIABLE","?REFERENTIAL"),"_")))))</f>
        <v> </v>
      </c>
      <c r="H5609" s="25" t="str">
        <f>IF(J5609&lt;&gt;1,"",IF(I5609="SBJ","CB","?"))</f>
        <v> </v>
      </c>
      <c r="I5609" s="26" t="str">
        <f>IF(OR(E5609="",E5609="!!!",F5609="NEW"),"",INDEX(B5608:B$2,-1+SUMPRODUCT(MAX(ROW(E5608:E$2)*(E5609=E5608:E$2)))))</f>
        <v> </v>
      </c>
      <c r="J5609" s="26" t="str">
        <f>IF(OR(E5609="",E5609="!!!",F5609="NEW"),"",COUNTBLANK(OFFSET(A$1,,,SUMPRODUCT(MAX(ROW(E$2:E5609)*(E5609=E$2:E5609)))))-COUNTBLANK(OFFSET(A$1,,,SUMPRODUCT(MAX(ROW(E$1:E5608)*(E2=E$1:E5608))))))</f>
        <v> </v>
      </c>
      <c r="K5609" s="26" t="str">
        <f>IF(OR(E5609="",E5609="!!!",F5609="NEW"),"",INDEX(J$1:J5608,SUMPRODUCT(MAX(ROW(E$1:E5608)*(E5609=E$1:E5608)))))</f>
        <v> </v>
      </c>
      <c r="L5609" s="27"/>
    </row>
    <row r="5610" spans="1:12">
      <c r="A5610" s="20" t="s">
        <v>1236</v>
      </c>
      <c r="B5610" s="21" t="s">
        <v>1304</v>
      </c>
      <c r="C5610" s="21" t="s">
        <v>1238</v>
      </c>
      <c r="D5610" s="21" t="s">
        <v>1180</v>
      </c>
      <c r="E5610" s="22">
        <f>IF(D5610="?OLD","!!!","")</f>
        <v/>
      </c>
      <c r="F5610" s="23" t="str">
        <f>IF(OR(E5610="",E5610="!!!"),"",IF(NOT(ISNA(VLOOKUP(E5610,E$1:E5609,1,FALSE()))),"OLD",IF(AND(E5610&lt;&gt;"",E5610&lt;&gt;"!!!"),"NEW","")))</f>
        <v> </v>
      </c>
      <c r="G5610" s="24" t="str">
        <f>IF(OR(E5610="",E5610="!!!"),"",IF(OR(J5610=0,AND(J5610=1,K5610=1),AND(J5610=1,I5610="SBJ"),AND(J5610=1,I5610=0)),"?IN_FOCUS",IF(J5610&lt;=2,"?ACTIVATED",IF(J5610&lt;&gt;"","?FAMILIAR",IF(F5610="NEW",IF(ISNA(VLOOKUP(E5610,#REF!,1,FALSE())),"?TYPE_IDENTIFIABLE","?REFERENTIAL"),"_")))))</f>
        <v> </v>
      </c>
      <c r="H5610" s="25" t="str">
        <f>IF(J5610&lt;&gt;1,"",IF(I5610="SBJ","CB","?"))</f>
        <v> </v>
      </c>
      <c r="I5610" s="26" t="str">
        <f>IF(OR(E5610="",E5610="!!!",F5610="NEW"),"",INDEX(B5609:B$2,-1+SUMPRODUCT(MAX(ROW(E5609:E$2)*(E5610=E5609:E$2)))))</f>
        <v> </v>
      </c>
      <c r="J5610" s="26" t="str">
        <f>IF(OR(E5610="",E5610="!!!",F5610="NEW"),"",COUNTBLANK(OFFSET(A$1,,,SUMPRODUCT(MAX(ROW(E$2:E5610)*(E5610=E$2:E5610)))))-COUNTBLANK(OFFSET(A$1,,,SUMPRODUCT(MAX(ROW(E$1:E5609)*(E2=E$1:E5609))))))</f>
        <v> </v>
      </c>
      <c r="K5610" s="26" t="str">
        <f>IF(OR(E5610="",E5610="!!!",F5610="NEW"),"",INDEX(J$1:J5609,SUMPRODUCT(MAX(ROW(E$1:E5609)*(E5610=E$1:E5609)))))</f>
        <v> </v>
      </c>
      <c r="L5610" s="27"/>
    </row>
    <row r="5611" spans="1:12">
      <c r="A5611" s="20" t="s">
        <v>2624</v>
      </c>
      <c r="E5611" s="22">
        <f>IF(D5611="?OLD","!!!","")</f>
        <v/>
      </c>
      <c r="F5611" s="23" t="str">
        <f>IF(OR(E5611="",E5611="!!!"),"",IF(NOT(ISNA(VLOOKUP(E5611,E$1:E5610,1,FALSE()))),"OLD",IF(AND(E5611&lt;&gt;"",E5611&lt;&gt;"!!!"),"NEW","")))</f>
        <v> </v>
      </c>
      <c r="G5611" s="24" t="str">
        <f>IF(OR(E5611="",E5611="!!!"),"",IF(OR(J5611=0,AND(J5611=1,K5611=1),AND(J5611=1,I5611="SBJ"),AND(J5611=1,I5611=0)),"?IN_FOCUS",IF(J5611&lt;=2,"?ACTIVATED",IF(J5611&lt;&gt;"","?FAMILIAR",IF(F5611="NEW",IF(ISNA(VLOOKUP(E5611,#REF!,1,FALSE())),"?TYPE_IDENTIFIABLE","?REFERENTIAL"),"_")))))</f>
        <v> </v>
      </c>
      <c r="H5611" s="25" t="str">
        <f>IF(J5611&lt;&gt;1,"",IF(I5611="SBJ","CB","?"))</f>
        <v> </v>
      </c>
      <c r="I5611" s="26" t="str">
        <f>IF(OR(E5611="",E5611="!!!",F5611="NEW"),"",INDEX(B5610:B$2,-1+SUMPRODUCT(MAX(ROW(E5610:E$2)*(E5611=E5610:E$2)))))</f>
        <v> </v>
      </c>
      <c r="J5611" s="26" t="str">
        <f>IF(OR(E5611="",E5611="!!!",F5611="NEW"),"",COUNTBLANK(OFFSET(A$1,,,SUMPRODUCT(MAX(ROW(E$2:E5611)*(E5611=E$2:E5611)))))-COUNTBLANK(OFFSET(A$1,,,SUMPRODUCT(MAX(ROW(E$1:E5610)*(E2=E$1:E5610))))))</f>
        <v> </v>
      </c>
      <c r="K5611" s="26" t="str">
        <f>IF(OR(E5611="",E5611="!!!",F5611="NEW"),"",INDEX(J$1:J5610,SUMPRODUCT(MAX(ROW(E$1:E5610)*(E5611=E$1:E5610)))))</f>
        <v> </v>
      </c>
      <c r="L5611" s="27"/>
    </row>
    <row r="5612" spans="1:12">
      <c r="A5612" s="20" t="s">
        <v>57</v>
      </c>
      <c r="B5612" s="21" t="s">
        <v>1240</v>
      </c>
      <c r="C5612" s="21" t="s">
        <v>1195</v>
      </c>
      <c r="D5612" s="21" t="s">
        <v>1180</v>
      </c>
      <c r="E5612" s="22">
        <f>IF(D5612="?OLD","!!!","")</f>
        <v/>
      </c>
      <c r="F5612" s="23" t="str">
        <f>IF(OR(E5612="",E5612="!!!"),"",IF(NOT(ISNA(VLOOKUP(E5612,E$1:E5611,1,FALSE()))),"OLD",IF(AND(E5612&lt;&gt;"",E5612&lt;&gt;"!!!"),"NEW","")))</f>
        <v> </v>
      </c>
      <c r="G5612" s="24" t="str">
        <f>IF(OR(E5612="",E5612="!!!"),"",IF(OR(J5612=0,AND(J5612=1,K5612=1),AND(J5612=1,I5612="SBJ"),AND(J5612=1,I5612=0)),"?IN_FOCUS",IF(J5612&lt;=2,"?ACTIVATED",IF(J5612&lt;&gt;"","?FAMILIAR",IF(F5612="NEW",IF(ISNA(VLOOKUP(E5612,#REF!,1,FALSE())),"?TYPE_IDENTIFIABLE","?REFERENTIAL"),"_")))))</f>
        <v> </v>
      </c>
      <c r="H5612" s="25" t="str">
        <f>IF(J5612&lt;&gt;1,"",IF(I5612="SBJ","CB","?"))</f>
        <v> </v>
      </c>
      <c r="I5612" s="26" t="str">
        <f>IF(OR(E5612="",E5612="!!!",F5612="NEW"),"",INDEX(B5611:B$2,-1+SUMPRODUCT(MAX(ROW(E5611:E$2)*(E5612=E5611:E$2)))))</f>
        <v> </v>
      </c>
      <c r="J5612" s="26" t="str">
        <f>IF(OR(E5612="",E5612="!!!",F5612="NEW"),"",COUNTBLANK(OFFSET(A$1,,,SUMPRODUCT(MAX(ROW(E$2:E5612)*(E5612=E$2:E5612)))))-COUNTBLANK(OFFSET(A$1,,,SUMPRODUCT(MAX(ROW(E$1:E5611)*(E2=E$1:E5611))))))</f>
        <v> </v>
      </c>
      <c r="K5612" s="26" t="str">
        <f>IF(OR(E5612="",E5612="!!!",F5612="NEW"),"",INDEX(J$1:J5611,SUMPRODUCT(MAX(ROW(E$1:E5611)*(E5612=E$1:E5611)))))</f>
        <v> </v>
      </c>
      <c r="L5612" s="27"/>
    </row>
    <row r="5613" spans="1:12">
      <c r="A5613" s="20" t="s">
        <v>1185</v>
      </c>
      <c r="E5613" s="22">
        <f>IF(D5613="?OLD","!!!","")</f>
        <v/>
      </c>
      <c r="F5613" s="23" t="str">
        <f>IF(OR(E5613="",E5613="!!!"),"",IF(NOT(ISNA(VLOOKUP(E5613,E$1:E5612,1,FALSE()))),"OLD",IF(AND(E5613&lt;&gt;"",E5613&lt;&gt;"!!!"),"NEW","")))</f>
        <v> </v>
      </c>
      <c r="G5613" s="24" t="str">
        <f>IF(OR(E5613="",E5613="!!!"),"",IF(OR(J5613=0,AND(J5613=1,K5613=1),AND(J5613=1,I5613="SBJ"),AND(J5613=1,I5613=0)),"?IN_FOCUS",IF(J5613&lt;=2,"?ACTIVATED",IF(J5613&lt;&gt;"","?FAMILIAR",IF(F5613="NEW",IF(ISNA(VLOOKUP(E5613,#REF!,1,FALSE())),"?TYPE_IDENTIFIABLE","?REFERENTIAL"),"_")))))</f>
        <v> </v>
      </c>
      <c r="H5613" s="25" t="str">
        <f>IF(J5613&lt;&gt;1,"",IF(I5613="SBJ","CB","?"))</f>
        <v> </v>
      </c>
      <c r="I5613" s="26" t="str">
        <f>IF(OR(E5613="",E5613="!!!",F5613="NEW"),"",INDEX(B5612:B$2,-1+SUMPRODUCT(MAX(ROW(E5612:E$2)*(E5613=E5612:E$2)))))</f>
        <v> </v>
      </c>
      <c r="J5613" s="26" t="str">
        <f>IF(OR(E5613="",E5613="!!!",F5613="NEW"),"",COUNTBLANK(OFFSET(A$1,,,SUMPRODUCT(MAX(ROW(E$2:E5613)*(E5613=E$2:E5613)))))-COUNTBLANK(OFFSET(A$1,,,SUMPRODUCT(MAX(ROW(E$1:E5612)*(E2=E$1:E5612))))))</f>
        <v> </v>
      </c>
      <c r="K5613" s="26" t="str">
        <f>IF(OR(E5613="",E5613="!!!",F5613="NEW"),"",INDEX(J$1:J5612,SUMPRODUCT(MAX(ROW(E$1:E5612)*(E5613=E$1:E5612)))))</f>
        <v> </v>
      </c>
      <c r="L5613" s="27"/>
    </row>
    <row r="5614" spans="1:12">
      <c r="A5614" s="20" t="s">
        <v>1556</v>
      </c>
      <c r="E5614" s="22">
        <f>IF(D5614="?OLD","!!!","")</f>
        <v/>
      </c>
      <c r="F5614" s="23" t="str">
        <f>IF(OR(E5614="",E5614="!!!"),"",IF(NOT(ISNA(VLOOKUP(E5614,E$1:E5613,1,FALSE()))),"OLD",IF(AND(E5614&lt;&gt;"",E5614&lt;&gt;"!!!"),"NEW","")))</f>
        <v> </v>
      </c>
      <c r="G5614" s="24" t="str">
        <f>IF(OR(E5614="",E5614="!!!"),"",IF(OR(J5614=0,AND(J5614=1,K5614=1),AND(J5614=1,I5614="SBJ"),AND(J5614=1,I5614=0)),"?IN_FOCUS",IF(J5614&lt;=2,"?ACTIVATED",IF(J5614&lt;&gt;"","?FAMILIAR",IF(F5614="NEW",IF(ISNA(VLOOKUP(E5614,#REF!,1,FALSE())),"?TYPE_IDENTIFIABLE","?REFERENTIAL"),"_")))))</f>
        <v> </v>
      </c>
      <c r="H5614" s="25" t="str">
        <f>IF(J5614&lt;&gt;1,"",IF(I5614="SBJ","CB","?"))</f>
        <v> </v>
      </c>
      <c r="I5614" s="26" t="str">
        <f>IF(OR(E5614="",E5614="!!!",F5614="NEW"),"",INDEX(B5613:B$2,-1+SUMPRODUCT(MAX(ROW(E5613:E$2)*(E5614=E5613:E$2)))))</f>
        <v> </v>
      </c>
      <c r="J5614" s="26" t="str">
        <f>IF(OR(E5614="",E5614="!!!",F5614="NEW"),"",COUNTBLANK(OFFSET(A$1,,,SUMPRODUCT(MAX(ROW(E$2:E5614)*(E5614=E$2:E5614)))))-COUNTBLANK(OFFSET(A$1,,,SUMPRODUCT(MAX(ROW(E$1:E5613)*(E2=E$1:E5613))))))</f>
        <v> </v>
      </c>
      <c r="K5614" s="26" t="str">
        <f>IF(OR(E5614="",E5614="!!!",F5614="NEW"),"",INDEX(J$1:J5613,SUMPRODUCT(MAX(ROW(E$1:E5613)*(E5614=E$1:E5613)))))</f>
        <v> </v>
      </c>
      <c r="L5614" s="27"/>
    </row>
    <row r="5615" spans="1:12">
      <c r="A5615" s="20" t="s">
        <v>1495</v>
      </c>
      <c r="E5615" s="22">
        <f>IF(D5615="?OLD","!!!","")</f>
        <v/>
      </c>
      <c r="F5615" s="23" t="str">
        <f>IF(OR(E5615="",E5615="!!!"),"",IF(NOT(ISNA(VLOOKUP(E5615,E$1:E5614,1,FALSE()))),"OLD",IF(AND(E5615&lt;&gt;"",E5615&lt;&gt;"!!!"),"NEW","")))</f>
        <v> </v>
      </c>
      <c r="G5615" s="24" t="str">
        <f>IF(OR(E5615="",E5615="!!!"),"",IF(OR(J5615=0,AND(J5615=1,K5615=1),AND(J5615=1,I5615="SBJ"),AND(J5615=1,I5615=0)),"?IN_FOCUS",IF(J5615&lt;=2,"?ACTIVATED",IF(J5615&lt;&gt;"","?FAMILIAR",IF(F5615="NEW",IF(ISNA(VLOOKUP(E5615,#REF!,1,FALSE())),"?TYPE_IDENTIFIABLE","?REFERENTIAL"),"_")))))</f>
        <v> </v>
      </c>
      <c r="H5615" s="25" t="str">
        <f>IF(J5615&lt;&gt;1,"",IF(I5615="SBJ","CB","?"))</f>
        <v> </v>
      </c>
      <c r="I5615" s="26" t="str">
        <f>IF(OR(E5615="",E5615="!!!",F5615="NEW"),"",INDEX(B5614:B$2,-1+SUMPRODUCT(MAX(ROW(E5614:E$2)*(E5615=E5614:E$2)))))</f>
        <v> </v>
      </c>
      <c r="J5615" s="26" t="str">
        <f>IF(OR(E5615="",E5615="!!!",F5615="NEW"),"",COUNTBLANK(OFFSET(A$1,,,SUMPRODUCT(MAX(ROW(E$2:E5615)*(E5615=E$2:E5615)))))-COUNTBLANK(OFFSET(A$1,,,SUMPRODUCT(MAX(ROW(E$1:E5614)*(E2=E$1:E5614))))))</f>
        <v> </v>
      </c>
      <c r="K5615" s="26" t="str">
        <f>IF(OR(E5615="",E5615="!!!",F5615="NEW"),"",INDEX(J$1:J5614,SUMPRODUCT(MAX(ROW(E$1:E5614)*(E5615=E$1:E5614)))))</f>
        <v> </v>
      </c>
      <c r="L5615" s="27"/>
    </row>
    <row r="5616" spans="1:12">
      <c r="A5616" s="20" t="s">
        <v>2733</v>
      </c>
      <c r="B5616" s="21" t="s">
        <v>1178</v>
      </c>
      <c r="C5616" s="21" t="s">
        <v>1210</v>
      </c>
      <c r="D5616" s="21" t="s">
        <v>1180</v>
      </c>
      <c r="E5616" s="22">
        <f>IF(D5616="?OLD","!!!","")</f>
        <v/>
      </c>
      <c r="F5616" s="23" t="str">
        <f>IF(OR(E5616="",E5616="!!!"),"",IF(NOT(ISNA(VLOOKUP(E5616,E$1:E5615,1,FALSE()))),"OLD",IF(AND(E5616&lt;&gt;"",E5616&lt;&gt;"!!!"),"NEW","")))</f>
        <v> </v>
      </c>
      <c r="G5616" s="24" t="str">
        <f>IF(OR(E5616="",E5616="!!!"),"",IF(OR(J5616=0,AND(J5616=1,K5616=1),AND(J5616=1,I5616="SBJ"),AND(J5616=1,I5616=0)),"?IN_FOCUS",IF(J5616&lt;=2,"?ACTIVATED",IF(J5616&lt;&gt;"","?FAMILIAR",IF(F5616="NEW",IF(ISNA(VLOOKUP(E5616,#REF!,1,FALSE())),"?TYPE_IDENTIFIABLE","?REFERENTIAL"),"_")))))</f>
        <v> </v>
      </c>
      <c r="H5616" s="25" t="str">
        <f>IF(J5616&lt;&gt;1,"",IF(I5616="SBJ","CB","?"))</f>
        <v> </v>
      </c>
      <c r="I5616" s="26" t="str">
        <f>IF(OR(E5616="",E5616="!!!",F5616="NEW"),"",INDEX(B5615:B$2,-1+SUMPRODUCT(MAX(ROW(E5615:E$2)*(E5616=E5615:E$2)))))</f>
        <v> </v>
      </c>
      <c r="J5616" s="26" t="str">
        <f>IF(OR(E5616="",E5616="!!!",F5616="NEW"),"",COUNTBLANK(OFFSET(A$1,,,SUMPRODUCT(MAX(ROW(E$2:E5616)*(E5616=E$2:E5616)))))-COUNTBLANK(OFFSET(A$1,,,SUMPRODUCT(MAX(ROW(E$1:E5615)*(E2=E$1:E5615))))))</f>
        <v> </v>
      </c>
      <c r="K5616" s="26" t="str">
        <f>IF(OR(E5616="",E5616="!!!",F5616="NEW"),"",INDEX(J$1:J5615,SUMPRODUCT(MAX(ROW(E$1:E5615)*(E5616=E$1:E5615)))))</f>
        <v> </v>
      </c>
      <c r="L5616" s="27"/>
    </row>
    <row r="5617" spans="1:12">
      <c r="A5617" s="20" t="s">
        <v>1185</v>
      </c>
      <c r="E5617" s="22">
        <f>IF(D5617="?OLD","!!!","")</f>
        <v/>
      </c>
      <c r="F5617" s="23" t="str">
        <f>IF(OR(E5617="",E5617="!!!"),"",IF(NOT(ISNA(VLOOKUP(E5617,E$1:E5616,1,FALSE()))),"OLD",IF(AND(E5617&lt;&gt;"",E5617&lt;&gt;"!!!"),"NEW","")))</f>
        <v> </v>
      </c>
      <c r="G5617" s="24" t="str">
        <f>IF(OR(E5617="",E5617="!!!"),"",IF(OR(J5617=0,AND(J5617=1,K5617=1),AND(J5617=1,I5617="SBJ"),AND(J5617=1,I5617=0)),"?IN_FOCUS",IF(J5617&lt;=2,"?ACTIVATED",IF(J5617&lt;&gt;"","?FAMILIAR",IF(F5617="NEW",IF(ISNA(VLOOKUP(E5617,#REF!,1,FALSE())),"?TYPE_IDENTIFIABLE","?REFERENTIAL"),"_")))))</f>
        <v> </v>
      </c>
      <c r="H5617" s="25" t="str">
        <f>IF(J5617&lt;&gt;1,"",IF(I5617="SBJ","CB","?"))</f>
        <v> </v>
      </c>
      <c r="I5617" s="26" t="str">
        <f>IF(OR(E5617="",E5617="!!!",F5617="NEW"),"",INDEX(B5616:B$2,-1+SUMPRODUCT(MAX(ROW(E5616:E$2)*(E5617=E5616:E$2)))))</f>
        <v> </v>
      </c>
      <c r="J5617" s="26" t="str">
        <f>IF(OR(E5617="",E5617="!!!",F5617="NEW"),"",COUNTBLANK(OFFSET(A$1,,,SUMPRODUCT(MAX(ROW(E$2:E5617)*(E5617=E$2:E5617)))))-COUNTBLANK(OFFSET(A$1,,,SUMPRODUCT(MAX(ROW(E$1:E5616)*(E2=E$1:E5616))))))</f>
        <v> </v>
      </c>
      <c r="K5617" s="26" t="str">
        <f>IF(OR(E5617="",E5617="!!!",F5617="NEW"),"",INDEX(J$1:J5616,SUMPRODUCT(MAX(ROW(E$1:E5616)*(E5617=E$1:E5616)))))</f>
        <v> </v>
      </c>
      <c r="L5617" s="27"/>
    </row>
    <row r="5618" spans="1:12">
      <c r="A5618" s="20" t="s">
        <v>1236</v>
      </c>
      <c r="B5618" s="21" t="s">
        <v>1306</v>
      </c>
      <c r="C5618" s="21" t="s">
        <v>1238</v>
      </c>
      <c r="D5618" s="21" t="s">
        <v>1180</v>
      </c>
      <c r="E5618" s="22">
        <f>IF(D5618="?OLD","!!!","")</f>
        <v/>
      </c>
      <c r="F5618" s="23" t="str">
        <f>IF(OR(E5618="",E5618="!!!"),"",IF(NOT(ISNA(VLOOKUP(E5618,E$1:E5617,1,FALSE()))),"OLD",IF(AND(E5618&lt;&gt;"",E5618&lt;&gt;"!!!"),"NEW","")))</f>
        <v> </v>
      </c>
      <c r="G5618" s="24" t="str">
        <f>IF(OR(E5618="",E5618="!!!"),"",IF(OR(J5618=0,AND(J5618=1,K5618=1),AND(J5618=1,I5618="SBJ"),AND(J5618=1,I5618=0)),"?IN_FOCUS",IF(J5618&lt;=2,"?ACTIVATED",IF(J5618&lt;&gt;"","?FAMILIAR",IF(F5618="NEW",IF(ISNA(VLOOKUP(E5618,#REF!,1,FALSE())),"?TYPE_IDENTIFIABLE","?REFERENTIAL"),"_")))))</f>
        <v> </v>
      </c>
      <c r="H5618" s="25" t="str">
        <f>IF(J5618&lt;&gt;1,"",IF(I5618="SBJ","CB","?"))</f>
        <v> </v>
      </c>
      <c r="I5618" s="26" t="str">
        <f>IF(OR(E5618="",E5618="!!!",F5618="NEW"),"",INDEX(B5617:B$2,-1+SUMPRODUCT(MAX(ROW(E5617:E$2)*(E5618=E5617:E$2)))))</f>
        <v> </v>
      </c>
      <c r="J5618" s="26" t="str">
        <f>IF(OR(E5618="",E5618="!!!",F5618="NEW"),"",COUNTBLANK(OFFSET(A$1,,,SUMPRODUCT(MAX(ROW(E$2:E5618)*(E5618=E$2:E5618)))))-COUNTBLANK(OFFSET(A$1,,,SUMPRODUCT(MAX(ROW(E$1:E5617)*(E2=E$1:E5617))))))</f>
        <v> </v>
      </c>
      <c r="K5618" s="26" t="str">
        <f>IF(OR(E5618="",E5618="!!!",F5618="NEW"),"",INDEX(J$1:J5617,SUMPRODUCT(MAX(ROW(E$1:E5617)*(E5618=E$1:E5617)))))</f>
        <v> </v>
      </c>
      <c r="L5618" s="27"/>
    </row>
    <row r="5619" spans="1:12">
      <c r="A5619" s="20" t="s">
        <v>427</v>
      </c>
      <c r="B5619" s="21" t="s">
        <v>1304</v>
      </c>
      <c r="C5619" s="21" t="s">
        <v>1238</v>
      </c>
      <c r="D5619" s="21" t="s">
        <v>1180</v>
      </c>
      <c r="E5619" s="22">
        <f>IF(D5619="?OLD","!!!","")</f>
        <v/>
      </c>
      <c r="F5619" s="23" t="str">
        <f>IF(OR(E5619="",E5619="!!!"),"",IF(NOT(ISNA(VLOOKUP(E5619,E$1:E5618,1,FALSE()))),"OLD",IF(AND(E5619&lt;&gt;"",E5619&lt;&gt;"!!!"),"NEW","")))</f>
        <v> </v>
      </c>
      <c r="G5619" s="24" t="str">
        <f>IF(OR(E5619="",E5619="!!!"),"",IF(OR(J5619=0,AND(J5619=1,K5619=1),AND(J5619=1,I5619="SBJ"),AND(J5619=1,I5619=0)),"?IN_FOCUS",IF(J5619&lt;=2,"?ACTIVATED",IF(J5619&lt;&gt;"","?FAMILIAR",IF(F5619="NEW",IF(ISNA(VLOOKUP(E5619,#REF!,1,FALSE())),"?TYPE_IDENTIFIABLE","?REFERENTIAL"),"_")))))</f>
        <v> </v>
      </c>
      <c r="H5619" s="25" t="str">
        <f>IF(J5619&lt;&gt;1,"",IF(I5619="SBJ","CB","?"))</f>
        <v> </v>
      </c>
      <c r="I5619" s="26" t="str">
        <f>IF(OR(E5619="",E5619="!!!",F5619="NEW"),"",INDEX(B5618:B$2,-1+SUMPRODUCT(MAX(ROW(E5618:E$2)*(E5619=E5618:E$2)))))</f>
        <v> </v>
      </c>
      <c r="J5619" s="26" t="str">
        <f>IF(OR(E5619="",E5619="!!!",F5619="NEW"),"",COUNTBLANK(OFFSET(A$1,,,SUMPRODUCT(MAX(ROW(E$2:E5619)*(E5619=E$2:E5619)))))-COUNTBLANK(OFFSET(A$1,,,SUMPRODUCT(MAX(ROW(E$1:E5618)*(E2=E$1:E5618))))))</f>
        <v> </v>
      </c>
      <c r="K5619" s="26" t="str">
        <f>IF(OR(E5619="",E5619="!!!",F5619="NEW"),"",INDEX(J$1:J5618,SUMPRODUCT(MAX(ROW(E$1:E5618)*(E5619=E$1:E5618)))))</f>
        <v> </v>
      </c>
      <c r="L5619" s="27"/>
    </row>
    <row r="5620" spans="1:12">
      <c r="A5620" s="20" t="s">
        <v>2555</v>
      </c>
      <c r="E5620" s="22">
        <f>IF(D5620="?OLD","!!!","")</f>
        <v/>
      </c>
      <c r="F5620" s="23" t="str">
        <f>IF(OR(E5620="",E5620="!!!"),"",IF(NOT(ISNA(VLOOKUP(E5620,E$1:E5619,1,FALSE()))),"OLD",IF(AND(E5620&lt;&gt;"",E5620&lt;&gt;"!!!"),"NEW","")))</f>
        <v> </v>
      </c>
      <c r="G5620" s="24" t="str">
        <f>IF(OR(E5620="",E5620="!!!"),"",IF(OR(J5620=0,AND(J5620=1,K5620=1),AND(J5620=1,I5620="SBJ"),AND(J5620=1,I5620=0)),"?IN_FOCUS",IF(J5620&lt;=2,"?ACTIVATED",IF(J5620&lt;&gt;"","?FAMILIAR",IF(F5620="NEW",IF(ISNA(VLOOKUP(E5620,#REF!,1,FALSE())),"?TYPE_IDENTIFIABLE","?REFERENTIAL"),"_")))))</f>
        <v> </v>
      </c>
      <c r="H5620" s="25" t="str">
        <f>IF(J5620&lt;&gt;1,"",IF(I5620="SBJ","CB","?"))</f>
        <v> </v>
      </c>
      <c r="I5620" s="26" t="str">
        <f>IF(OR(E5620="",E5620="!!!",F5620="NEW"),"",INDEX(B5619:B$2,-1+SUMPRODUCT(MAX(ROW(E5619:E$2)*(E5620=E5619:E$2)))))</f>
        <v> </v>
      </c>
      <c r="J5620" s="26" t="str">
        <f>IF(OR(E5620="",E5620="!!!",F5620="NEW"),"",COUNTBLANK(OFFSET(A$1,,,SUMPRODUCT(MAX(ROW(E$2:E5620)*(E5620=E$2:E5620)))))-COUNTBLANK(OFFSET(A$1,,,SUMPRODUCT(MAX(ROW(E$1:E5619)*(E2=E$1:E5619))))))</f>
        <v> </v>
      </c>
      <c r="K5620" s="26" t="str">
        <f>IF(OR(E5620="",E5620="!!!",F5620="NEW"),"",INDEX(J$1:J5619,SUMPRODUCT(MAX(ROW(E$1:E5619)*(E5620=E$1:E5619)))))</f>
        <v> </v>
      </c>
      <c r="L5620" s="27"/>
    </row>
    <row r="5621" spans="1:12">
      <c r="A5621" s="20" t="s">
        <v>2134</v>
      </c>
      <c r="E5621" s="22">
        <f>IF(D5621="?OLD","!!!","")</f>
        <v/>
      </c>
      <c r="F5621" s="23" t="str">
        <f>IF(OR(E5621="",E5621="!!!"),"",IF(NOT(ISNA(VLOOKUP(E5621,E$1:E5620,1,FALSE()))),"OLD",IF(AND(E5621&lt;&gt;"",E5621&lt;&gt;"!!!"),"NEW","")))</f>
        <v> </v>
      </c>
      <c r="G5621" s="24" t="str">
        <f>IF(OR(E5621="",E5621="!!!"),"",IF(OR(J5621=0,AND(J5621=1,K5621=1),AND(J5621=1,I5621="SBJ"),AND(J5621=1,I5621=0)),"?IN_FOCUS",IF(J5621&lt;=2,"?ACTIVATED",IF(J5621&lt;&gt;"","?FAMILIAR",IF(F5621="NEW",IF(ISNA(VLOOKUP(E5621,#REF!,1,FALSE())),"?TYPE_IDENTIFIABLE","?REFERENTIAL"),"_")))))</f>
        <v> </v>
      </c>
      <c r="H5621" s="25" t="str">
        <f>IF(J5621&lt;&gt;1,"",IF(I5621="SBJ","CB","?"))</f>
        <v> </v>
      </c>
      <c r="I5621" s="26" t="str">
        <f>IF(OR(E5621="",E5621="!!!",F5621="NEW"),"",INDEX(B5620:B$2,-1+SUMPRODUCT(MAX(ROW(E5620:E$2)*(E5621=E5620:E$2)))))</f>
        <v> </v>
      </c>
      <c r="J5621" s="26" t="str">
        <f>IF(OR(E5621="",E5621="!!!",F5621="NEW"),"",COUNTBLANK(OFFSET(A$1,,,SUMPRODUCT(MAX(ROW(E$2:E5621)*(E5621=E$2:E5621)))))-COUNTBLANK(OFFSET(A$1,,,SUMPRODUCT(MAX(ROW(E$1:E5620)*(E2=E$1:E5620))))))</f>
        <v> </v>
      </c>
      <c r="K5621" s="26" t="str">
        <f>IF(OR(E5621="",E5621="!!!",F5621="NEW"),"",INDEX(J$1:J5620,SUMPRODUCT(MAX(ROW(E$1:E5620)*(E5621=E$1:E5620)))))</f>
        <v> </v>
      </c>
      <c r="L5621" s="27"/>
    </row>
    <row r="5622" spans="1:12">
      <c r="A5622" s="20" t="s">
        <v>1185</v>
      </c>
      <c r="E5622" s="22">
        <f>IF(D5622="?OLD","!!!","")</f>
        <v/>
      </c>
      <c r="F5622" s="23" t="str">
        <f>IF(OR(E5622="",E5622="!!!"),"",IF(NOT(ISNA(VLOOKUP(E5622,E$1:E5621,1,FALSE()))),"OLD",IF(AND(E5622&lt;&gt;"",E5622&lt;&gt;"!!!"),"NEW","")))</f>
        <v> </v>
      </c>
      <c r="G5622" s="24" t="str">
        <f>IF(OR(E5622="",E5622="!!!"),"",IF(OR(J5622=0,AND(J5622=1,K5622=1),AND(J5622=1,I5622="SBJ"),AND(J5622=1,I5622=0)),"?IN_FOCUS",IF(J5622&lt;=2,"?ACTIVATED",IF(J5622&lt;&gt;"","?FAMILIAR",IF(F5622="NEW",IF(ISNA(VLOOKUP(E5622,#REF!,1,FALSE())),"?TYPE_IDENTIFIABLE","?REFERENTIAL"),"_")))))</f>
        <v> </v>
      </c>
      <c r="H5622" s="25" t="str">
        <f>IF(J5622&lt;&gt;1,"",IF(I5622="SBJ","CB","?"))</f>
        <v> </v>
      </c>
      <c r="I5622" s="26" t="str">
        <f>IF(OR(E5622="",E5622="!!!",F5622="NEW"),"",INDEX(B5621:B$2,-1+SUMPRODUCT(MAX(ROW(E5621:E$2)*(E5622=E5621:E$2)))))</f>
        <v> </v>
      </c>
      <c r="J5622" s="26" t="str">
        <f>IF(OR(E5622="",E5622="!!!",F5622="NEW"),"",COUNTBLANK(OFFSET(A$1,,,SUMPRODUCT(MAX(ROW(E$2:E5622)*(E5622=E$2:E5622)))))-COUNTBLANK(OFFSET(A$1,,,SUMPRODUCT(MAX(ROW(E$1:E5621)*(E2=E$1:E5621))))))</f>
        <v> </v>
      </c>
      <c r="K5622" s="26" t="str">
        <f>IF(OR(E5622="",E5622="!!!",F5622="NEW"),"",INDEX(J$1:J5621,SUMPRODUCT(MAX(ROW(E$1:E5621)*(E5622=E$1:E5621)))))</f>
        <v> </v>
      </c>
      <c r="L5622" s="27"/>
    </row>
    <row r="5623" spans="1:12">
      <c r="A5623" s="20" t="s">
        <v>1233</v>
      </c>
      <c r="E5623" s="22">
        <f>IF(D5623="?OLD","!!!","")</f>
        <v/>
      </c>
      <c r="F5623" s="23" t="str">
        <f>IF(OR(E5623="",E5623="!!!"),"",IF(NOT(ISNA(VLOOKUP(E5623,E$1:E5622,1,FALSE()))),"OLD",IF(AND(E5623&lt;&gt;"",E5623&lt;&gt;"!!!"),"NEW","")))</f>
        <v> </v>
      </c>
      <c r="G5623" s="24" t="str">
        <f>IF(OR(E5623="",E5623="!!!"),"",IF(OR(J5623=0,AND(J5623=1,K5623=1),AND(J5623=1,I5623="SBJ"),AND(J5623=1,I5623=0)),"?IN_FOCUS",IF(J5623&lt;=2,"?ACTIVATED",IF(J5623&lt;&gt;"","?FAMILIAR",IF(F5623="NEW",IF(ISNA(VLOOKUP(E5623,#REF!,1,FALSE())),"?TYPE_IDENTIFIABLE","?REFERENTIAL"),"_")))))</f>
        <v> </v>
      </c>
      <c r="H5623" s="25" t="str">
        <f>IF(J5623&lt;&gt;1,"",IF(I5623="SBJ","CB","?"))</f>
        <v> </v>
      </c>
      <c r="I5623" s="26" t="str">
        <f>IF(OR(E5623="",E5623="!!!",F5623="NEW"),"",INDEX(B5622:B$2,-1+SUMPRODUCT(MAX(ROW(E5622:E$2)*(E5623=E5622:E$2)))))</f>
        <v> </v>
      </c>
      <c r="J5623" s="26" t="str">
        <f>IF(OR(E5623="",E5623="!!!",F5623="NEW"),"",COUNTBLANK(OFFSET(A$1,,,SUMPRODUCT(MAX(ROW(E$2:E5623)*(E5623=E$2:E5623)))))-COUNTBLANK(OFFSET(A$1,,,SUMPRODUCT(MAX(ROW(E$1:E5622)*(E2=E$1:E5622))))))</f>
        <v> </v>
      </c>
      <c r="K5623" s="26" t="str">
        <f>IF(OR(E5623="",E5623="!!!",F5623="NEW"),"",INDEX(J$1:J5622,SUMPRODUCT(MAX(ROW(E$1:E5622)*(E5623=E$1:E5622)))))</f>
        <v> </v>
      </c>
      <c r="L5623" s="27"/>
    </row>
    <row r="5624" spans="1:12">
      <c r="A5624" s="20" t="s">
        <v>1531</v>
      </c>
      <c r="B5624" s="21" t="s">
        <v>1191</v>
      </c>
      <c r="C5624" s="21" t="s">
        <v>1254</v>
      </c>
      <c r="E5624" s="22">
        <f>IF(D5624="?OLD","!!!","")</f>
        <v/>
      </c>
      <c r="F5624" s="23" t="str">
        <f>IF(OR(E5624="",E5624="!!!"),"",IF(NOT(ISNA(VLOOKUP(E5624,E$1:E5623,1,FALSE()))),"OLD",IF(AND(E5624&lt;&gt;"",E5624&lt;&gt;"!!!"),"NEW","")))</f>
        <v> </v>
      </c>
      <c r="G5624" s="24" t="str">
        <f>IF(OR(E5624="",E5624="!!!"),"",IF(OR(J5624=0,AND(J5624=1,K5624=1),AND(J5624=1,I5624="SBJ"),AND(J5624=1,I5624=0)),"?IN_FOCUS",IF(J5624&lt;=2,"?ACTIVATED",IF(J5624&lt;&gt;"","?FAMILIAR",IF(F5624="NEW",IF(ISNA(VLOOKUP(E5624,#REF!,1,FALSE())),"?TYPE_IDENTIFIABLE","?REFERENTIAL"),"_")))))</f>
        <v> </v>
      </c>
      <c r="H5624" s="25" t="str">
        <f>IF(J5624&lt;&gt;1,"",IF(I5624="SBJ","CB","?"))</f>
        <v> </v>
      </c>
      <c r="I5624" s="26" t="str">
        <f>IF(OR(E5624="",E5624="!!!",F5624="NEW"),"",INDEX(B5623:B$2,-1+SUMPRODUCT(MAX(ROW(E5623:E$2)*(E5624=E5623:E$2)))))</f>
        <v> </v>
      </c>
      <c r="J5624" s="26" t="str">
        <f>IF(OR(E5624="",E5624="!!!",F5624="NEW"),"",COUNTBLANK(OFFSET(A$1,,,SUMPRODUCT(MAX(ROW(E$2:E5624)*(E5624=E$2:E5624)))))-COUNTBLANK(OFFSET(A$1,,,SUMPRODUCT(MAX(ROW(E$1:E5623)*(E2=E$1:E5623))))))</f>
        <v> </v>
      </c>
      <c r="K5624" s="26" t="str">
        <f>IF(OR(E5624="",E5624="!!!",F5624="NEW"),"",INDEX(J$1:J5623,SUMPRODUCT(MAX(ROW(E$1:E5623)*(E5624=E$1:E5623)))))</f>
        <v> </v>
      </c>
      <c r="L5624" s="27"/>
    </row>
    <row r="5625" spans="1:12">
      <c r="A5625" s="20" t="s">
        <v>1202</v>
      </c>
      <c r="E5625" s="22">
        <f>IF(D5625="?OLD","!!!","")</f>
        <v/>
      </c>
      <c r="F5625" s="23" t="str">
        <f>IF(OR(E5625="",E5625="!!!"),"",IF(NOT(ISNA(VLOOKUP(E5625,E$1:E5624,1,FALSE()))),"OLD",IF(AND(E5625&lt;&gt;"",E5625&lt;&gt;"!!!"),"NEW","")))</f>
        <v> </v>
      </c>
      <c r="G5625" s="24" t="str">
        <f>IF(OR(E5625="",E5625="!!!"),"",IF(OR(J5625=0,AND(J5625=1,K5625=1),AND(J5625=1,I5625="SBJ"),AND(J5625=1,I5625=0)),"?IN_FOCUS",IF(J5625&lt;=2,"?ACTIVATED",IF(J5625&lt;&gt;"","?FAMILIAR",IF(F5625="NEW",IF(ISNA(VLOOKUP(E5625,#REF!,1,FALSE())),"?TYPE_IDENTIFIABLE","?REFERENTIAL"),"_")))))</f>
        <v> </v>
      </c>
      <c r="H5625" s="25" t="str">
        <f>IF(J5625&lt;&gt;1,"",IF(I5625="SBJ","CB","?"))</f>
        <v> </v>
      </c>
      <c r="I5625" s="26" t="str">
        <f>IF(OR(E5625="",E5625="!!!",F5625="NEW"),"",INDEX(B5624:B$2,-1+SUMPRODUCT(MAX(ROW(E5624:E$2)*(E5625=E5624:E$2)))))</f>
        <v> </v>
      </c>
      <c r="J5625" s="26" t="str">
        <f>IF(OR(E5625="",E5625="!!!",F5625="NEW"),"",COUNTBLANK(OFFSET(A$1,,,SUMPRODUCT(MAX(ROW(E$2:E5625)*(E5625=E$2:E5625)))))-COUNTBLANK(OFFSET(A$1,,,SUMPRODUCT(MAX(ROW(E$1:E5624)*(E2=E$1:E5624))))))</f>
        <v> </v>
      </c>
      <c r="K5625" s="26" t="str">
        <f>IF(OR(E5625="",E5625="!!!",F5625="NEW"),"",INDEX(J$1:J5624,SUMPRODUCT(MAX(ROW(E$1:E5624)*(E5625=E$1:E5624)))))</f>
        <v> </v>
      </c>
      <c r="L5625" s="27"/>
    </row>
    <row r="5626" spans="1:12">
      <c r="A5626" s="20" t="s">
        <v>2734</v>
      </c>
      <c r="B5626" s="21" t="s">
        <v>1178</v>
      </c>
      <c r="C5626" s="21" t="s">
        <v>1188</v>
      </c>
      <c r="D5626" s="21" t="s">
        <v>1180</v>
      </c>
      <c r="E5626" s="22">
        <f>IF(D5626="?OLD","!!!","")</f>
        <v/>
      </c>
      <c r="F5626" s="23" t="str">
        <f>IF(OR(E5626="",E5626="!!!"),"",IF(NOT(ISNA(VLOOKUP(E5626,E$1:E5625,1,FALSE()))),"OLD",IF(AND(E5626&lt;&gt;"",E5626&lt;&gt;"!!!"),"NEW","")))</f>
        <v> </v>
      </c>
      <c r="G5626" s="24" t="str">
        <f>IF(OR(E5626="",E5626="!!!"),"",IF(OR(J5626=0,AND(J5626=1,K5626=1),AND(J5626=1,I5626="SBJ"),AND(J5626=1,I5626=0)),"?IN_FOCUS",IF(J5626&lt;=2,"?ACTIVATED",IF(J5626&lt;&gt;"","?FAMILIAR",IF(F5626="NEW",IF(ISNA(VLOOKUP(E5626,#REF!,1,FALSE())),"?TYPE_IDENTIFIABLE","?REFERENTIAL"),"_")))))</f>
        <v> </v>
      </c>
      <c r="H5626" s="25" t="str">
        <f>IF(J5626&lt;&gt;1,"",IF(I5626="SBJ","CB","?"))</f>
        <v> </v>
      </c>
      <c r="I5626" s="26" t="str">
        <f>IF(OR(E5626="",E5626="!!!",F5626="NEW"),"",INDEX(B5625:B$2,-1+SUMPRODUCT(MAX(ROW(E5625:E$2)*(E5626=E5625:E$2)))))</f>
        <v> </v>
      </c>
      <c r="J5626" s="26" t="str">
        <f>IF(OR(E5626="",E5626="!!!",F5626="NEW"),"",COUNTBLANK(OFFSET(A$1,,,SUMPRODUCT(MAX(ROW(E$2:E5626)*(E5626=E$2:E5626)))))-COUNTBLANK(OFFSET(A$1,,,SUMPRODUCT(MAX(ROW(E$1:E5625)*(E2=E$1:E5625))))))</f>
        <v> </v>
      </c>
      <c r="K5626" s="26" t="str">
        <f>IF(OR(E5626="",E5626="!!!",F5626="NEW"),"",INDEX(J$1:J5625,SUMPRODUCT(MAX(ROW(E$1:E5625)*(E5626=E$1:E5625)))))</f>
        <v> </v>
      </c>
      <c r="L5626" s="27"/>
    </row>
    <row r="5627" spans="1:12">
      <c r="A5627" s="20" t="s">
        <v>1185</v>
      </c>
      <c r="E5627" s="22">
        <f>IF(D5627="?OLD","!!!","")</f>
        <v/>
      </c>
      <c r="F5627" s="23" t="str">
        <f>IF(OR(E5627="",E5627="!!!"),"",IF(NOT(ISNA(VLOOKUP(E5627,E$1:E5626,1,FALSE()))),"OLD",IF(AND(E5627&lt;&gt;"",E5627&lt;&gt;"!!!"),"NEW","")))</f>
        <v> </v>
      </c>
      <c r="G5627" s="24" t="str">
        <f>IF(OR(E5627="",E5627="!!!"),"",IF(OR(J5627=0,AND(J5627=1,K5627=1),AND(J5627=1,I5627="SBJ"),AND(J5627=1,I5627=0)),"?IN_FOCUS",IF(J5627&lt;=2,"?ACTIVATED",IF(J5627&lt;&gt;"","?FAMILIAR",IF(F5627="NEW",IF(ISNA(VLOOKUP(E5627,#REF!,1,FALSE())),"?TYPE_IDENTIFIABLE","?REFERENTIAL"),"_")))))</f>
        <v> </v>
      </c>
      <c r="H5627" s="25" t="str">
        <f>IF(J5627&lt;&gt;1,"",IF(I5627="SBJ","CB","?"))</f>
        <v> </v>
      </c>
      <c r="I5627" s="26" t="str">
        <f>IF(OR(E5627="",E5627="!!!",F5627="NEW"),"",INDEX(B5626:B$2,-1+SUMPRODUCT(MAX(ROW(E5626:E$2)*(E5627=E5626:E$2)))))</f>
        <v> </v>
      </c>
      <c r="J5627" s="26" t="str">
        <f>IF(OR(E5627="",E5627="!!!",F5627="NEW"),"",COUNTBLANK(OFFSET(A$1,,,SUMPRODUCT(MAX(ROW(E$2:E5627)*(E5627=E$2:E5627)))))-COUNTBLANK(OFFSET(A$1,,,SUMPRODUCT(MAX(ROW(E$1:E5626)*(E2=E$1:E5626))))))</f>
        <v> </v>
      </c>
      <c r="K5627" s="26" t="str">
        <f>IF(OR(E5627="",E5627="!!!",F5627="NEW"),"",INDEX(J$1:J5626,SUMPRODUCT(MAX(ROW(E$1:E5626)*(E5627=E$1:E5626)))))</f>
        <v> </v>
      </c>
      <c r="L5627" s="27"/>
    </row>
    <row r="5628" spans="1:12">
      <c r="A5628" s="20" t="s">
        <v>1186</v>
      </c>
      <c r="B5628" s="21" t="s">
        <v>1306</v>
      </c>
      <c r="E5628" s="22">
        <f>IF(D5628="?OLD","!!!","")</f>
        <v/>
      </c>
      <c r="F5628" s="23" t="str">
        <f>IF(OR(E5628="",E5628="!!!"),"",IF(NOT(ISNA(VLOOKUP(E5628,E$1:E5627,1,FALSE()))),"OLD",IF(AND(E5628&lt;&gt;"",E5628&lt;&gt;"!!!"),"NEW","")))</f>
        <v> </v>
      </c>
      <c r="G5628" s="24" t="str">
        <f>IF(OR(E5628="",E5628="!!!"),"",IF(OR(J5628=0,AND(J5628=1,K5628=1),AND(J5628=1,I5628="SBJ"),AND(J5628=1,I5628=0)),"?IN_FOCUS",IF(J5628&lt;=2,"?ACTIVATED",IF(J5628&lt;&gt;"","?FAMILIAR",IF(F5628="NEW",IF(ISNA(VLOOKUP(E5628,#REF!,1,FALSE())),"?TYPE_IDENTIFIABLE","?REFERENTIAL"),"_")))))</f>
        <v> </v>
      </c>
      <c r="H5628" s="25" t="str">
        <f>IF(J5628&lt;&gt;1,"",IF(I5628="SBJ","CB","?"))</f>
        <v> </v>
      </c>
      <c r="I5628" s="26" t="str">
        <f>IF(OR(E5628="",E5628="!!!",F5628="NEW"),"",INDEX(B5627:B$2,-1+SUMPRODUCT(MAX(ROW(E5627:E$2)*(E5628=E5627:E$2)))))</f>
        <v> </v>
      </c>
      <c r="J5628" s="26" t="str">
        <f>IF(OR(E5628="",E5628="!!!",F5628="NEW"),"",COUNTBLANK(OFFSET(A$1,,,SUMPRODUCT(MAX(ROW(E$2:E5628)*(E5628=E$2:E5628)))))-COUNTBLANK(OFFSET(A$1,,,SUMPRODUCT(MAX(ROW(E$1:E5627)*(E2=E$1:E5627))))))</f>
        <v> </v>
      </c>
      <c r="K5628" s="26" t="str">
        <f>IF(OR(E5628="",E5628="!!!",F5628="NEW"),"",INDEX(J$1:J5627,SUMPRODUCT(MAX(ROW(E$1:E5627)*(E5628=E$1:E5627)))))</f>
        <v> </v>
      </c>
      <c r="L5628" s="27"/>
    </row>
    <row r="5629" spans="1:12">
      <c r="A5629" s="20" t="s">
        <v>427</v>
      </c>
      <c r="B5629" s="21" t="s">
        <v>1304</v>
      </c>
      <c r="C5629" s="21" t="s">
        <v>1238</v>
      </c>
      <c r="D5629" s="21" t="s">
        <v>1180</v>
      </c>
      <c r="E5629" s="22">
        <f>IF(D5629="?OLD","!!!","")</f>
        <v/>
      </c>
      <c r="F5629" s="23" t="str">
        <f>IF(OR(E5629="",E5629="!!!"),"",IF(NOT(ISNA(VLOOKUP(E5629,E$1:E5628,1,FALSE()))),"OLD",IF(AND(E5629&lt;&gt;"",E5629&lt;&gt;"!!!"),"NEW","")))</f>
        <v> </v>
      </c>
      <c r="G5629" s="24" t="str">
        <f>IF(OR(E5629="",E5629="!!!"),"",IF(OR(J5629=0,AND(J5629=1,K5629=1),AND(J5629=1,I5629="SBJ"),AND(J5629=1,I5629=0)),"?IN_FOCUS",IF(J5629&lt;=2,"?ACTIVATED",IF(J5629&lt;&gt;"","?FAMILIAR",IF(F5629="NEW",IF(ISNA(VLOOKUP(E5629,#REF!,1,FALSE())),"?TYPE_IDENTIFIABLE","?REFERENTIAL"),"_")))))</f>
        <v> </v>
      </c>
      <c r="H5629" s="25" t="str">
        <f>IF(J5629&lt;&gt;1,"",IF(I5629="SBJ","CB","?"))</f>
        <v> </v>
      </c>
      <c r="I5629" s="26" t="str">
        <f>IF(OR(E5629="",E5629="!!!",F5629="NEW"),"",INDEX(B5628:B$2,-1+SUMPRODUCT(MAX(ROW(E5628:E$2)*(E5629=E5628:E$2)))))</f>
        <v> </v>
      </c>
      <c r="J5629" s="26" t="str">
        <f>IF(OR(E5629="",E5629="!!!",F5629="NEW"),"",COUNTBLANK(OFFSET(A$1,,,SUMPRODUCT(MAX(ROW(E$2:E5629)*(E5629=E$2:E5629)))))-COUNTBLANK(OFFSET(A$1,,,SUMPRODUCT(MAX(ROW(E$1:E5628)*(E2=E$1:E5628))))))</f>
        <v> </v>
      </c>
      <c r="K5629" s="26" t="str">
        <f>IF(OR(E5629="",E5629="!!!",F5629="NEW"),"",INDEX(J$1:J5628,SUMPRODUCT(MAX(ROW(E$1:E5628)*(E5629=E$1:E5628)))))</f>
        <v> </v>
      </c>
      <c r="L5629" s="27"/>
    </row>
    <row r="5630" spans="1:12">
      <c r="A5630" s="20" t="s">
        <v>1520</v>
      </c>
      <c r="E5630" s="22">
        <f>IF(D5630="?OLD","!!!","")</f>
        <v/>
      </c>
      <c r="F5630" s="23" t="str">
        <f>IF(OR(E5630="",E5630="!!!"),"",IF(NOT(ISNA(VLOOKUP(E5630,E$1:E5629,1,FALSE()))),"OLD",IF(AND(E5630&lt;&gt;"",E5630&lt;&gt;"!!!"),"NEW","")))</f>
        <v> </v>
      </c>
      <c r="G5630" s="24" t="str">
        <f>IF(OR(E5630="",E5630="!!!"),"",IF(OR(J5630=0,AND(J5630=1,K5630=1),AND(J5630=1,I5630="SBJ"),AND(J5630=1,I5630=0)),"?IN_FOCUS",IF(J5630&lt;=2,"?ACTIVATED",IF(J5630&lt;&gt;"","?FAMILIAR",IF(F5630="NEW",IF(ISNA(VLOOKUP(E5630,#REF!,1,FALSE())),"?TYPE_IDENTIFIABLE","?REFERENTIAL"),"_")))))</f>
        <v> </v>
      </c>
      <c r="H5630" s="25" t="str">
        <f>IF(J5630&lt;&gt;1,"",IF(I5630="SBJ","CB","?"))</f>
        <v> </v>
      </c>
      <c r="I5630" s="26" t="str">
        <f>IF(OR(E5630="",E5630="!!!",F5630="NEW"),"",INDEX(B5629:B$2,-1+SUMPRODUCT(MAX(ROW(E5629:E$2)*(E5630=E5629:E$2)))))</f>
        <v> </v>
      </c>
      <c r="J5630" s="26" t="str">
        <f>IF(OR(E5630="",E5630="!!!",F5630="NEW"),"",COUNTBLANK(OFFSET(A$1,,,SUMPRODUCT(MAX(ROW(E$2:E5630)*(E5630=E$2:E5630)))))-COUNTBLANK(OFFSET(A$1,,,SUMPRODUCT(MAX(ROW(E$1:E5629)*(E2=E$1:E5629))))))</f>
        <v> </v>
      </c>
      <c r="K5630" s="26" t="str">
        <f>IF(OR(E5630="",E5630="!!!",F5630="NEW"),"",INDEX(J$1:J5629,SUMPRODUCT(MAX(ROW(E$1:E5629)*(E5630=E$1:E5629)))))</f>
        <v> </v>
      </c>
      <c r="L5630" s="27"/>
    </row>
    <row r="5631" spans="1:12">
      <c r="A5631" s="20" t="s">
        <v>1495</v>
      </c>
      <c r="E5631" s="22">
        <f>IF(D5631="?OLD","!!!","")</f>
        <v/>
      </c>
      <c r="F5631" s="23" t="str">
        <f>IF(OR(E5631="",E5631="!!!"),"",IF(NOT(ISNA(VLOOKUP(E5631,E$1:E5630,1,FALSE()))),"OLD",IF(AND(E5631&lt;&gt;"",E5631&lt;&gt;"!!!"),"NEW","")))</f>
        <v> </v>
      </c>
      <c r="G5631" s="24" t="str">
        <f>IF(OR(E5631="",E5631="!!!"),"",IF(OR(J5631=0,AND(J5631=1,K5631=1),AND(J5631=1,I5631="SBJ"),AND(J5631=1,I5631=0)),"?IN_FOCUS",IF(J5631&lt;=2,"?ACTIVATED",IF(J5631&lt;&gt;"","?FAMILIAR",IF(F5631="NEW",IF(ISNA(VLOOKUP(E5631,#REF!,1,FALSE())),"?TYPE_IDENTIFIABLE","?REFERENTIAL"),"_")))))</f>
        <v> </v>
      </c>
      <c r="H5631" s="25" t="str">
        <f>IF(J5631&lt;&gt;1,"",IF(I5631="SBJ","CB","?"))</f>
        <v> </v>
      </c>
      <c r="I5631" s="26" t="str">
        <f>IF(OR(E5631="",E5631="!!!",F5631="NEW"),"",INDEX(B5630:B$2,-1+SUMPRODUCT(MAX(ROW(E5630:E$2)*(E5631=E5630:E$2)))))</f>
        <v> </v>
      </c>
      <c r="J5631" s="26" t="str">
        <f>IF(OR(E5631="",E5631="!!!",F5631="NEW"),"",COUNTBLANK(OFFSET(A$1,,,SUMPRODUCT(MAX(ROW(E$2:E5631)*(E5631=E$2:E5631)))))-COUNTBLANK(OFFSET(A$1,,,SUMPRODUCT(MAX(ROW(E$1:E5630)*(E2=E$1:E5630))))))</f>
        <v> </v>
      </c>
      <c r="K5631" s="26" t="str">
        <f>IF(OR(E5631="",E5631="!!!",F5631="NEW"),"",INDEX(J$1:J5630,SUMPRODUCT(MAX(ROW(E$1:E5630)*(E5631=E$1:E5630)))))</f>
        <v> </v>
      </c>
      <c r="L5631" s="27"/>
    </row>
    <row r="5632" spans="1:12">
      <c r="A5632" s="20" t="s">
        <v>2735</v>
      </c>
      <c r="B5632" s="21" t="s">
        <v>1207</v>
      </c>
      <c r="C5632" s="21" t="s">
        <v>1188</v>
      </c>
      <c r="D5632" s="21" t="s">
        <v>1180</v>
      </c>
      <c r="E5632" s="22">
        <f>IF(D5632="?OLD","!!!","")</f>
        <v/>
      </c>
      <c r="F5632" s="23" t="str">
        <f>IF(OR(E5632="",E5632="!!!"),"",IF(NOT(ISNA(VLOOKUP(E5632,E$1:E5631,1,FALSE()))),"OLD",IF(AND(E5632&lt;&gt;"",E5632&lt;&gt;"!!!"),"NEW","")))</f>
        <v> </v>
      </c>
      <c r="G5632" s="24" t="str">
        <f>IF(OR(E5632="",E5632="!!!"),"",IF(OR(J5632=0,AND(J5632=1,K5632=1),AND(J5632=1,I5632="SBJ"),AND(J5632=1,I5632=0)),"?IN_FOCUS",IF(J5632&lt;=2,"?ACTIVATED",IF(J5632&lt;&gt;"","?FAMILIAR",IF(F5632="NEW",IF(ISNA(VLOOKUP(E5632,#REF!,1,FALSE())),"?TYPE_IDENTIFIABLE","?REFERENTIAL"),"_")))))</f>
        <v> </v>
      </c>
      <c r="H5632" s="25" t="str">
        <f>IF(J5632&lt;&gt;1,"",IF(I5632="SBJ","CB","?"))</f>
        <v> </v>
      </c>
      <c r="I5632" s="26" t="str">
        <f>IF(OR(E5632="",E5632="!!!",F5632="NEW"),"",INDEX(B5631:B$2,-1+SUMPRODUCT(MAX(ROW(E5631:E$2)*(E5632=E5631:E$2)))))</f>
        <v> </v>
      </c>
      <c r="J5632" s="26" t="str">
        <f>IF(OR(E5632="",E5632="!!!",F5632="NEW"),"",COUNTBLANK(OFFSET(A$1,,,SUMPRODUCT(MAX(ROW(E$2:E5632)*(E5632=E$2:E5632)))))-COUNTBLANK(OFFSET(A$1,,,SUMPRODUCT(MAX(ROW(E$1:E5631)*(E2=E$1:E5631))))))</f>
        <v> </v>
      </c>
      <c r="K5632" s="26" t="str">
        <f>IF(OR(E5632="",E5632="!!!",F5632="NEW"),"",INDEX(J$1:J5631,SUMPRODUCT(MAX(ROW(E$1:E5631)*(E5632=E$1:E5631)))))</f>
        <v> </v>
      </c>
      <c r="L5632" s="27"/>
    </row>
    <row r="5633" spans="1:12">
      <c r="A5633" s="20" t="s">
        <v>118</v>
      </c>
      <c r="E5633" s="22">
        <f>IF(D5633="?OLD","!!!","")</f>
        <v/>
      </c>
      <c r="F5633" s="23" t="str">
        <f>IF(OR(E5633="",E5633="!!!"),"",IF(NOT(ISNA(VLOOKUP(E5633,E$1:E5632,1,FALSE()))),"OLD",IF(AND(E5633&lt;&gt;"",E5633&lt;&gt;"!!!"),"NEW","")))</f>
        <v> </v>
      </c>
      <c r="G5633" s="24" t="str">
        <f>IF(OR(E5633="",E5633="!!!"),"",IF(OR(J5633=0,AND(J5633=1,K5633=1),AND(J5633=1,I5633="SBJ"),AND(J5633=1,I5633=0)),"?IN_FOCUS",IF(J5633&lt;=2,"?ACTIVATED",IF(J5633&lt;&gt;"","?FAMILIAR",IF(F5633="NEW",IF(ISNA(VLOOKUP(E5633,#REF!,1,FALSE())),"?TYPE_IDENTIFIABLE","?REFERENTIAL"),"_")))))</f>
        <v> </v>
      </c>
      <c r="H5633" s="25" t="str">
        <f>IF(J5633&lt;&gt;1,"",IF(I5633="SBJ","CB","?"))</f>
        <v> </v>
      </c>
      <c r="I5633" s="26" t="str">
        <f>IF(OR(E5633="",E5633="!!!",F5633="NEW"),"",INDEX(B5632:B$2,-1+SUMPRODUCT(MAX(ROW(E5632:E$2)*(E5633=E5632:E$2)))))</f>
        <v> </v>
      </c>
      <c r="J5633" s="26" t="str">
        <f>IF(OR(E5633="",E5633="!!!",F5633="NEW"),"",COUNTBLANK(OFFSET(A$1,,,SUMPRODUCT(MAX(ROW(E$2:E5633)*(E5633=E$2:E5633)))))-COUNTBLANK(OFFSET(A$1,,,SUMPRODUCT(MAX(ROW(E$1:E5632)*(E2=E$1:E5632))))))</f>
        <v> </v>
      </c>
      <c r="K5633" s="26" t="str">
        <f>IF(OR(E5633="",E5633="!!!",F5633="NEW"),"",INDEX(J$1:J5632,SUMPRODUCT(MAX(ROW(E$1:E5632)*(E5633=E$1:E5632)))))</f>
        <v> </v>
      </c>
      <c r="L5633" s="27"/>
    </row>
    <row r="5634" spans="1:12">
      <c r="A5634" s="20" t="s">
        <v>1185</v>
      </c>
      <c r="E5634" s="22">
        <f>IF(D5634="?OLD","!!!","")</f>
        <v/>
      </c>
      <c r="F5634" s="23" t="str">
        <f>IF(OR(E5634="",E5634="!!!"),"",IF(NOT(ISNA(VLOOKUP(E5634,E$1:E5633,1,FALSE()))),"OLD",IF(AND(E5634&lt;&gt;"",E5634&lt;&gt;"!!!"),"NEW","")))</f>
        <v> </v>
      </c>
      <c r="G5634" s="24" t="str">
        <f>IF(OR(E5634="",E5634="!!!"),"",IF(OR(J5634=0,AND(J5634=1,K5634=1),AND(J5634=1,I5634="SBJ"),AND(J5634=1,I5634=0)),"?IN_FOCUS",IF(J5634&lt;=2,"?ACTIVATED",IF(J5634&lt;&gt;"","?FAMILIAR",IF(F5634="NEW",IF(ISNA(VLOOKUP(E5634,#REF!,1,FALSE())),"?TYPE_IDENTIFIABLE","?REFERENTIAL"),"_")))))</f>
        <v> </v>
      </c>
      <c r="H5634" s="25" t="str">
        <f>IF(J5634&lt;&gt;1,"",IF(I5634="SBJ","CB","?"))</f>
        <v> </v>
      </c>
      <c r="I5634" s="26" t="str">
        <f>IF(OR(E5634="",E5634="!!!",F5634="NEW"),"",INDEX(B5633:B$2,-1+SUMPRODUCT(MAX(ROW(E5633:E$2)*(E5634=E5633:E$2)))))</f>
        <v> </v>
      </c>
      <c r="J5634" s="26" t="str">
        <f>IF(OR(E5634="",E5634="!!!",F5634="NEW"),"",COUNTBLANK(OFFSET(A$1,,,SUMPRODUCT(MAX(ROW(E$2:E5634)*(E5634=E$2:E5634)))))-COUNTBLANK(OFFSET(A$1,,,SUMPRODUCT(MAX(ROW(E$1:E5633)*(E2=E$1:E5633))))))</f>
        <v> </v>
      </c>
      <c r="K5634" s="26" t="str">
        <f>IF(OR(E5634="",E5634="!!!",F5634="NEW"),"",INDEX(J$1:J5633,SUMPRODUCT(MAX(ROW(E$1:E5633)*(E5634=E$1:E5633)))))</f>
        <v> </v>
      </c>
      <c r="L5634" s="27"/>
    </row>
    <row r="5635" spans="1:12">
      <c r="A5635" s="20" t="s">
        <v>1495</v>
      </c>
      <c r="B5635" s="21" t="s">
        <v>1306</v>
      </c>
      <c r="E5635" s="22">
        <f>IF(D5635="?OLD","!!!","")</f>
        <v/>
      </c>
      <c r="F5635" s="23" t="str">
        <f>IF(OR(E5635="",E5635="!!!"),"",IF(NOT(ISNA(VLOOKUP(E5635,E$1:E5634,1,FALSE()))),"OLD",IF(AND(E5635&lt;&gt;"",E5635&lt;&gt;"!!!"),"NEW","")))</f>
        <v> </v>
      </c>
      <c r="G5635" s="24" t="str">
        <f>IF(OR(E5635="",E5635="!!!"),"",IF(OR(J5635=0,AND(J5635=1,K5635=1),AND(J5635=1,I5635="SBJ"),AND(J5635=1,I5635=0)),"?IN_FOCUS",IF(J5635&lt;=2,"?ACTIVATED",IF(J5635&lt;&gt;"","?FAMILIAR",IF(F5635="NEW",IF(ISNA(VLOOKUP(E5635,#REF!,1,FALSE())),"?TYPE_IDENTIFIABLE","?REFERENTIAL"),"_")))))</f>
        <v> </v>
      </c>
      <c r="H5635" s="25" t="str">
        <f>IF(J5635&lt;&gt;1,"",IF(I5635="SBJ","CB","?"))</f>
        <v> </v>
      </c>
      <c r="I5635" s="26" t="str">
        <f>IF(OR(E5635="",E5635="!!!",F5635="NEW"),"",INDEX(B5634:B$2,-1+SUMPRODUCT(MAX(ROW(E5634:E$2)*(E5635=E5634:E$2)))))</f>
        <v> </v>
      </c>
      <c r="J5635" s="26" t="str">
        <f>IF(OR(E5635="",E5635="!!!",F5635="NEW"),"",COUNTBLANK(OFFSET(A$1,,,SUMPRODUCT(MAX(ROW(E$2:E5635)*(E5635=E$2:E5635)))))-COUNTBLANK(OFFSET(A$1,,,SUMPRODUCT(MAX(ROW(E$1:E5634)*(E2=E$1:E5634))))))</f>
        <v> </v>
      </c>
      <c r="K5635" s="26" t="str">
        <f>IF(OR(E5635="",E5635="!!!",F5635="NEW"),"",INDEX(J$1:J5634,SUMPRODUCT(MAX(ROW(E$1:E5634)*(E5635=E$1:E5634)))))</f>
        <v> </v>
      </c>
      <c r="L5635" s="27"/>
    </row>
    <row r="5636" spans="1:12">
      <c r="A5636" s="20" t="s">
        <v>427</v>
      </c>
      <c r="B5636" s="21" t="s">
        <v>1304</v>
      </c>
      <c r="C5636" s="21" t="s">
        <v>1238</v>
      </c>
      <c r="D5636" s="21" t="s">
        <v>1180</v>
      </c>
      <c r="E5636" s="22">
        <f>IF(D5636="?OLD","!!!","")</f>
        <v/>
      </c>
      <c r="F5636" s="23" t="str">
        <f>IF(OR(E5636="",E5636="!!!"),"",IF(NOT(ISNA(VLOOKUP(E5636,E$1:E5635,1,FALSE()))),"OLD",IF(AND(E5636&lt;&gt;"",E5636&lt;&gt;"!!!"),"NEW","")))</f>
        <v> </v>
      </c>
      <c r="G5636" s="24" t="str">
        <f>IF(OR(E5636="",E5636="!!!"),"",IF(OR(J5636=0,AND(J5636=1,K5636=1),AND(J5636=1,I5636="SBJ"),AND(J5636=1,I5636=0)),"?IN_FOCUS",IF(J5636&lt;=2,"?ACTIVATED",IF(J5636&lt;&gt;"","?FAMILIAR",IF(F5636="NEW",IF(ISNA(VLOOKUP(E5636,#REF!,1,FALSE())),"?TYPE_IDENTIFIABLE","?REFERENTIAL"),"_")))))</f>
        <v> </v>
      </c>
      <c r="H5636" s="25" t="str">
        <f>IF(J5636&lt;&gt;1,"",IF(I5636="SBJ","CB","?"))</f>
        <v> </v>
      </c>
      <c r="I5636" s="26" t="str">
        <f>IF(OR(E5636="",E5636="!!!",F5636="NEW"),"",INDEX(B5635:B$2,-1+SUMPRODUCT(MAX(ROW(E5635:E$2)*(E5636=E5635:E$2)))))</f>
        <v> </v>
      </c>
      <c r="J5636" s="26" t="str">
        <f>IF(OR(E5636="",E5636="!!!",F5636="NEW"),"",COUNTBLANK(OFFSET(A$1,,,SUMPRODUCT(MAX(ROW(E$2:E5636)*(E5636=E$2:E5636)))))-COUNTBLANK(OFFSET(A$1,,,SUMPRODUCT(MAX(ROW(E$1:E5635)*(E2=E$1:E5635))))))</f>
        <v> </v>
      </c>
      <c r="K5636" s="26" t="str">
        <f>IF(OR(E5636="",E5636="!!!",F5636="NEW"),"",INDEX(J$1:J5635,SUMPRODUCT(MAX(ROW(E$1:E5635)*(E5636=E$1:E5635)))))</f>
        <v> </v>
      </c>
      <c r="L5636" s="27"/>
    </row>
    <row r="5637" spans="1:12">
      <c r="A5637" s="20" t="s">
        <v>163</v>
      </c>
      <c r="E5637" s="22">
        <f>IF(D5637="?OLD","!!!","")</f>
        <v/>
      </c>
      <c r="F5637" s="23" t="str">
        <f>IF(OR(E5637="",E5637="!!!"),"",IF(NOT(ISNA(VLOOKUP(E5637,E$1:E5636,1,FALSE()))),"OLD",IF(AND(E5637&lt;&gt;"",E5637&lt;&gt;"!!!"),"NEW","")))</f>
        <v> </v>
      </c>
      <c r="G5637" s="24" t="str">
        <f>IF(OR(E5637="",E5637="!!!"),"",IF(OR(J5637=0,AND(J5637=1,K5637=1),AND(J5637=1,I5637="SBJ"),AND(J5637=1,I5637=0)),"?IN_FOCUS",IF(J5637&lt;=2,"?ACTIVATED",IF(J5637&lt;&gt;"","?FAMILIAR",IF(F5637="NEW",IF(ISNA(VLOOKUP(E5637,#REF!,1,FALSE())),"?TYPE_IDENTIFIABLE","?REFERENTIAL"),"_")))))</f>
        <v> </v>
      </c>
      <c r="H5637" s="25" t="str">
        <f>IF(J5637&lt;&gt;1,"",IF(I5637="SBJ","CB","?"))</f>
        <v> </v>
      </c>
      <c r="I5637" s="26" t="str">
        <f>IF(OR(E5637="",E5637="!!!",F5637="NEW"),"",INDEX(B5636:B$2,-1+SUMPRODUCT(MAX(ROW(E5636:E$2)*(E5637=E5636:E$2)))))</f>
        <v> </v>
      </c>
      <c r="J5637" s="26" t="str">
        <f>IF(OR(E5637="",E5637="!!!",F5637="NEW"),"",COUNTBLANK(OFFSET(A$1,,,SUMPRODUCT(MAX(ROW(E$2:E5637)*(E5637=E$2:E5637)))))-COUNTBLANK(OFFSET(A$1,,,SUMPRODUCT(MAX(ROW(E$1:E5636)*(E2=E$1:E5636))))))</f>
        <v> </v>
      </c>
      <c r="K5637" s="26" t="str">
        <f>IF(OR(E5637="",E5637="!!!",F5637="NEW"),"",INDEX(J$1:J5636,SUMPRODUCT(MAX(ROW(E$1:E5636)*(E5637=E$1:E5636)))))</f>
        <v> </v>
      </c>
      <c r="L5637" s="27"/>
    </row>
    <row r="5638" spans="1:12">
      <c r="A5638" s="20" t="s">
        <v>1339</v>
      </c>
      <c r="E5638" s="22">
        <f>IF(D5638="?OLD","!!!","")</f>
        <v/>
      </c>
      <c r="F5638" s="23" t="str">
        <f>IF(OR(E5638="",E5638="!!!"),"",IF(NOT(ISNA(VLOOKUP(E5638,E$1:E5637,1,FALSE()))),"OLD",IF(AND(E5638&lt;&gt;"",E5638&lt;&gt;"!!!"),"NEW","")))</f>
        <v> </v>
      </c>
      <c r="G5638" s="24" t="str">
        <f>IF(OR(E5638="",E5638="!!!"),"",IF(OR(J5638=0,AND(J5638=1,K5638=1),AND(J5638=1,I5638="SBJ"),AND(J5638=1,I5638=0)),"?IN_FOCUS",IF(J5638&lt;=2,"?ACTIVATED",IF(J5638&lt;&gt;"","?FAMILIAR",IF(F5638="NEW",IF(ISNA(VLOOKUP(E5638,#REF!,1,FALSE())),"?TYPE_IDENTIFIABLE","?REFERENTIAL"),"_")))))</f>
        <v> </v>
      </c>
      <c r="H5638" s="25" t="str">
        <f>IF(J5638&lt;&gt;1,"",IF(I5638="SBJ","CB","?"))</f>
        <v> </v>
      </c>
      <c r="I5638" s="26" t="str">
        <f>IF(OR(E5638="",E5638="!!!",F5638="NEW"),"",INDEX(B5637:B$2,-1+SUMPRODUCT(MAX(ROW(E5637:E$2)*(E5638=E5637:E$2)))))</f>
        <v> </v>
      </c>
      <c r="J5638" s="26" t="str">
        <f>IF(OR(E5638="",E5638="!!!",F5638="NEW"),"",COUNTBLANK(OFFSET(A$1,,,SUMPRODUCT(MAX(ROW(E$2:E5638)*(E5638=E$2:E5638)))))-COUNTBLANK(OFFSET(A$1,,,SUMPRODUCT(MAX(ROW(E$1:E5637)*(E2=E$1:E5637))))))</f>
        <v> </v>
      </c>
      <c r="K5638" s="26" t="str">
        <f>IF(OR(E5638="",E5638="!!!",F5638="NEW"),"",INDEX(J$1:J5637,SUMPRODUCT(MAX(ROW(E$1:E5637)*(E5638=E$1:E5637)))))</f>
        <v> </v>
      </c>
      <c r="L5638" s="27"/>
    </row>
    <row r="5639" spans="1:12">
      <c r="A5639" s="20" t="s">
        <v>1249</v>
      </c>
      <c r="E5639" s="22">
        <f>IF(D5639="?OLD","!!!","")</f>
        <v/>
      </c>
      <c r="F5639" s="23" t="str">
        <f>IF(OR(E5639="",E5639="!!!"),"",IF(NOT(ISNA(VLOOKUP(E5639,E$1:E5638,1,FALSE()))),"OLD",IF(AND(E5639&lt;&gt;"",E5639&lt;&gt;"!!!"),"NEW","")))</f>
        <v> </v>
      </c>
      <c r="G5639" s="24" t="str">
        <f>IF(OR(E5639="",E5639="!!!"),"",IF(OR(J5639=0,AND(J5639=1,K5639=1),AND(J5639=1,I5639="SBJ"),AND(J5639=1,I5639=0)),"?IN_FOCUS",IF(J5639&lt;=2,"?ACTIVATED",IF(J5639&lt;&gt;"","?FAMILIAR",IF(F5639="NEW",IF(ISNA(VLOOKUP(E5639,#REF!,1,FALSE())),"?TYPE_IDENTIFIABLE","?REFERENTIAL"),"_")))))</f>
        <v> </v>
      </c>
      <c r="H5639" s="25" t="str">
        <f>IF(J5639&lt;&gt;1,"",IF(I5639="SBJ","CB","?"))</f>
        <v> </v>
      </c>
      <c r="I5639" s="26" t="str">
        <f>IF(OR(E5639="",E5639="!!!",F5639="NEW"),"",INDEX(B5638:B$2,-1+SUMPRODUCT(MAX(ROW(E5638:E$2)*(E5639=E5638:E$2)))))</f>
        <v> </v>
      </c>
      <c r="J5639" s="26" t="str">
        <f>IF(OR(E5639="",E5639="!!!",F5639="NEW"),"",COUNTBLANK(OFFSET(A$1,,,SUMPRODUCT(MAX(ROW(E$2:E5639)*(E5639=E$2:E5639)))))-COUNTBLANK(OFFSET(A$1,,,SUMPRODUCT(MAX(ROW(E$1:E5638)*(E2=E$1:E5638))))))</f>
        <v> </v>
      </c>
      <c r="K5639" s="26" t="str">
        <f>IF(OR(E5639="",E5639="!!!",F5639="NEW"),"",INDEX(J$1:J5638,SUMPRODUCT(MAX(ROW(E$1:E5638)*(E5639=E$1:E5638)))))</f>
        <v> </v>
      </c>
      <c r="L5639" s="27"/>
    </row>
    <row r="5640" spans="1:12">
      <c r="A5640" s="20"/>
    </row>
    <row r="5641" spans="1:12">
      <c r="A5641" s="20" t="s">
        <v>2736</v>
      </c>
    </row>
    <row r="5642" spans="1:12">
      <c r="A5642" s="20" t="s">
        <v>1287</v>
      </c>
      <c r="E5642" s="22">
        <f>IF(D5642="?OLD","!!!","")</f>
        <v/>
      </c>
      <c r="F5642" s="23" t="str">
        <f>IF(OR(E5642="",E5642="!!!"),"",IF(NOT(ISNA(VLOOKUP(E5642,E$1:E5641,1,FALSE()))),"OLD",IF(AND(E5642&lt;&gt;"",E5642&lt;&gt;"!!!"),"NEW","")))</f>
        <v> </v>
      </c>
      <c r="G5642" s="24" t="str">
        <f>IF(OR(E5642="",E5642="!!!"),"",IF(OR(J5642=0,AND(J5642=1,K5642=1),AND(J5642=1,I5642="SBJ"),AND(J5642=1,I5642=0)),"?IN_FOCUS",IF(J5642&lt;=2,"?ACTIVATED",IF(J5642&lt;&gt;"","?FAMILIAR",IF(F5642="NEW",IF(ISNA(VLOOKUP(E5642,#REF!,1,FALSE())),"?TYPE_IDENTIFIABLE","?REFERENTIAL"),"_")))))</f>
        <v> </v>
      </c>
      <c r="H5642" s="25" t="str">
        <f>IF(J5642&lt;&gt;1,"",IF(I5642="SBJ","CB","?"))</f>
        <v> </v>
      </c>
      <c r="I5642" s="26" t="str">
        <f>IF(OR(E5642="",E5642="!!!",F5642="NEW"),"",INDEX(B5641:B$2,-1+SUMPRODUCT(MAX(ROW(E5641:E$2)*(E5642=E5641:E$2)))))</f>
        <v> </v>
      </c>
      <c r="J5642" s="26" t="str">
        <f>IF(OR(E5642="",E5642="!!!",F5642="NEW"),"",COUNTBLANK(OFFSET(A$1,,,SUMPRODUCT(MAX(ROW(E$2:E5642)*(E5642=E$2:E5642)))))-COUNTBLANK(OFFSET(A$1,,,SUMPRODUCT(MAX(ROW(E$1:E5641)*(E2=E$1:E5641))))))</f>
        <v> </v>
      </c>
      <c r="K5642" s="26" t="str">
        <f>IF(OR(E5642="",E5642="!!!",F5642="NEW"),"",INDEX(J$1:J5641,SUMPRODUCT(MAX(ROW(E$1:E5641)*(E5642=E$1:E5641)))))</f>
        <v> </v>
      </c>
      <c r="L5642" s="27"/>
    </row>
    <row r="5643" spans="1:12">
      <c r="A5643" s="20" t="s">
        <v>1182</v>
      </c>
      <c r="E5643" s="22">
        <f>IF(D5643="?OLD","!!!","")</f>
        <v/>
      </c>
      <c r="F5643" s="23" t="str">
        <f>IF(OR(E5643="",E5643="!!!"),"",IF(NOT(ISNA(VLOOKUP(E5643,E$1:E5642,1,FALSE()))),"OLD",IF(AND(E5643&lt;&gt;"",E5643&lt;&gt;"!!!"),"NEW","")))</f>
        <v> </v>
      </c>
      <c r="G5643" s="24" t="str">
        <f>IF(OR(E5643="",E5643="!!!"),"",IF(OR(J5643=0,AND(J5643=1,K5643=1),AND(J5643=1,I5643="SBJ"),AND(J5643=1,I5643=0)),"?IN_FOCUS",IF(J5643&lt;=2,"?ACTIVATED",IF(J5643&lt;&gt;"","?FAMILIAR",IF(F5643="NEW",IF(ISNA(VLOOKUP(E5643,#REF!,1,FALSE())),"?TYPE_IDENTIFIABLE","?REFERENTIAL"),"_")))))</f>
        <v> </v>
      </c>
      <c r="H5643" s="25" t="str">
        <f>IF(J5643&lt;&gt;1,"",IF(I5643="SBJ","CB","?"))</f>
        <v> </v>
      </c>
      <c r="I5643" s="26" t="str">
        <f>IF(OR(E5643="",E5643="!!!",F5643="NEW"),"",INDEX(B5642:B$2,-1+SUMPRODUCT(MAX(ROW(E5642:E$2)*(E5643=E5642:E$2)))))</f>
        <v> </v>
      </c>
      <c r="J5643" s="26" t="str">
        <f>IF(OR(E5643="",E5643="!!!",F5643="NEW"),"",COUNTBLANK(OFFSET(A$1,,,SUMPRODUCT(MAX(ROW(E$2:E5643)*(E5643=E$2:E5643)))))-COUNTBLANK(OFFSET(A$1,,,SUMPRODUCT(MAX(ROW(E$1:E5642)*(E2=E$1:E5642))))))</f>
        <v> </v>
      </c>
      <c r="K5643" s="26" t="str">
        <f>IF(OR(E5643="",E5643="!!!",F5643="NEW"),"",INDEX(J$1:J5642,SUMPRODUCT(MAX(ROW(E$1:E5642)*(E5643=E$1:E5642)))))</f>
        <v> </v>
      </c>
      <c r="L5643" s="27"/>
    </row>
    <row r="5644" spans="1:12">
      <c r="A5644" s="20" t="s">
        <v>1326</v>
      </c>
      <c r="E5644" s="22">
        <f>IF(D5644="?OLD","!!!","")</f>
        <v/>
      </c>
      <c r="F5644" s="23" t="str">
        <f>IF(OR(E5644="",E5644="!!!"),"",IF(NOT(ISNA(VLOOKUP(E5644,E$1:E5643,1,FALSE()))),"OLD",IF(AND(E5644&lt;&gt;"",E5644&lt;&gt;"!!!"),"NEW","")))</f>
        <v> </v>
      </c>
      <c r="G5644" s="24" t="str">
        <f>IF(OR(E5644="",E5644="!!!"),"",IF(OR(J5644=0,AND(J5644=1,K5644=1),AND(J5644=1,I5644="SBJ"),AND(J5644=1,I5644=0)),"?IN_FOCUS",IF(J5644&lt;=2,"?ACTIVATED",IF(J5644&lt;&gt;"","?FAMILIAR",IF(F5644="NEW",IF(ISNA(VLOOKUP(E5644,#REF!,1,FALSE())),"?TYPE_IDENTIFIABLE","?REFERENTIAL"),"_")))))</f>
        <v> </v>
      </c>
      <c r="H5644" s="25" t="str">
        <f>IF(J5644&lt;&gt;1,"",IF(I5644="SBJ","CB","?"))</f>
        <v> </v>
      </c>
      <c r="I5644" s="26" t="str">
        <f>IF(OR(E5644="",E5644="!!!",F5644="NEW"),"",INDEX(B5643:B$2,-1+SUMPRODUCT(MAX(ROW(E5643:E$2)*(E5644=E5643:E$2)))))</f>
        <v> </v>
      </c>
      <c r="J5644" s="26" t="str">
        <f>IF(OR(E5644="",E5644="!!!",F5644="NEW"),"",COUNTBLANK(OFFSET(A$1,,,SUMPRODUCT(MAX(ROW(E$2:E5644)*(E5644=E$2:E5644)))))-COUNTBLANK(OFFSET(A$1,,,SUMPRODUCT(MAX(ROW(E$1:E5643)*(E2=E$1:E5643))))))</f>
        <v> </v>
      </c>
      <c r="K5644" s="26" t="str">
        <f>IF(OR(E5644="",E5644="!!!",F5644="NEW"),"",INDEX(J$1:J5643,SUMPRODUCT(MAX(ROW(E$1:E5643)*(E5644=E$1:E5643)))))</f>
        <v> </v>
      </c>
      <c r="L5644" s="27"/>
    </row>
    <row r="5645" spans="1:12">
      <c r="A5645" s="20" t="s">
        <v>427</v>
      </c>
      <c r="B5645" s="21" t="s">
        <v>1240</v>
      </c>
      <c r="C5645" s="21" t="s">
        <v>1238</v>
      </c>
      <c r="D5645" s="21" t="s">
        <v>1180</v>
      </c>
      <c r="E5645" s="22">
        <f>IF(D5645="?OLD","!!!","")</f>
        <v/>
      </c>
      <c r="F5645" s="23" t="str">
        <f>IF(OR(E5645="",E5645="!!!"),"",IF(NOT(ISNA(VLOOKUP(E5645,E$1:E5644,1,FALSE()))),"OLD",IF(AND(E5645&lt;&gt;"",E5645&lt;&gt;"!!!"),"NEW","")))</f>
        <v> </v>
      </c>
      <c r="G5645" s="24" t="str">
        <f>IF(OR(E5645="",E5645="!!!"),"",IF(OR(J5645=0,AND(J5645=1,K5645=1),AND(J5645=1,I5645="SBJ"),AND(J5645=1,I5645=0)),"?IN_FOCUS",IF(J5645&lt;=2,"?ACTIVATED",IF(J5645&lt;&gt;"","?FAMILIAR",IF(F5645="NEW",IF(ISNA(VLOOKUP(E5645,#REF!,1,FALSE())),"?TYPE_IDENTIFIABLE","?REFERENTIAL"),"_")))))</f>
        <v> </v>
      </c>
      <c r="H5645" s="25" t="str">
        <f>IF(J5645&lt;&gt;1,"",IF(I5645="SBJ","CB","?"))</f>
        <v> </v>
      </c>
      <c r="I5645" s="26" t="str">
        <f>IF(OR(E5645="",E5645="!!!",F5645="NEW"),"",INDEX(B5644:B$2,-1+SUMPRODUCT(MAX(ROW(E5644:E$2)*(E5645=E5644:E$2)))))</f>
        <v> </v>
      </c>
      <c r="J5645" s="26" t="str">
        <f>IF(OR(E5645="",E5645="!!!",F5645="NEW"),"",COUNTBLANK(OFFSET(A$1,,,SUMPRODUCT(MAX(ROW(E$2:E5645)*(E5645=E$2:E5645)))))-COUNTBLANK(OFFSET(A$1,,,SUMPRODUCT(MAX(ROW(E$1:E5644)*(E2=E$1:E5644))))))</f>
        <v> </v>
      </c>
      <c r="K5645" s="26" t="str">
        <f>IF(OR(E5645="",E5645="!!!",F5645="NEW"),"",INDEX(J$1:J5644,SUMPRODUCT(MAX(ROW(E$1:E5644)*(E5645=E$1:E5644)))))</f>
        <v> </v>
      </c>
      <c r="L5645" s="27"/>
    </row>
    <row r="5646" spans="1:12">
      <c r="A5646" s="20" t="s">
        <v>1311</v>
      </c>
      <c r="E5646" s="22">
        <f>IF(D5646="?OLD","!!!","")</f>
        <v/>
      </c>
      <c r="F5646" s="23" t="str">
        <f>IF(OR(E5646="",E5646="!!!"),"",IF(NOT(ISNA(VLOOKUP(E5646,E$1:E5645,1,FALSE()))),"OLD",IF(AND(E5646&lt;&gt;"",E5646&lt;&gt;"!!!"),"NEW","")))</f>
        <v> </v>
      </c>
      <c r="G5646" s="24" t="str">
        <f>IF(OR(E5646="",E5646="!!!"),"",IF(OR(J5646=0,AND(J5646=1,K5646=1),AND(J5646=1,I5646="SBJ"),AND(J5646=1,I5646=0)),"?IN_FOCUS",IF(J5646&lt;=2,"?ACTIVATED",IF(J5646&lt;&gt;"","?FAMILIAR",IF(F5646="NEW",IF(ISNA(VLOOKUP(E5646,#REF!,1,FALSE())),"?TYPE_IDENTIFIABLE","?REFERENTIAL"),"_")))))</f>
        <v> </v>
      </c>
      <c r="H5646" s="25" t="str">
        <f>IF(J5646&lt;&gt;1,"",IF(I5646="SBJ","CB","?"))</f>
        <v> </v>
      </c>
      <c r="I5646" s="26" t="str">
        <f>IF(OR(E5646="",E5646="!!!",F5646="NEW"),"",INDEX(B5645:B$2,-1+SUMPRODUCT(MAX(ROW(E5645:E$2)*(E5646=E5645:E$2)))))</f>
        <v> </v>
      </c>
      <c r="J5646" s="26" t="str">
        <f>IF(OR(E5646="",E5646="!!!",F5646="NEW"),"",COUNTBLANK(OFFSET(A$1,,,SUMPRODUCT(MAX(ROW(E$2:E5646)*(E5646=E$2:E5646)))))-COUNTBLANK(OFFSET(A$1,,,SUMPRODUCT(MAX(ROW(E$1:E5645)*(E2=E$1:E5645))))))</f>
        <v> </v>
      </c>
      <c r="K5646" s="26" t="str">
        <f>IF(OR(E5646="",E5646="!!!",F5646="NEW"),"",INDEX(J$1:J5645,SUMPRODUCT(MAX(ROW(E$1:E5645)*(E5646=E$1:E5645)))))</f>
        <v> </v>
      </c>
      <c r="L5646" s="27"/>
    </row>
    <row r="5647" spans="1:12">
      <c r="A5647" s="20" t="s">
        <v>2601</v>
      </c>
      <c r="E5647" s="22">
        <f>IF(D5647="?OLD","!!!","")</f>
        <v/>
      </c>
      <c r="F5647" s="23" t="str">
        <f>IF(OR(E5647="",E5647="!!!"),"",IF(NOT(ISNA(VLOOKUP(E5647,E$1:E5646,1,FALSE()))),"OLD",IF(AND(E5647&lt;&gt;"",E5647&lt;&gt;"!!!"),"NEW","")))</f>
        <v> </v>
      </c>
      <c r="G5647" s="24" t="str">
        <f>IF(OR(E5647="",E5647="!!!"),"",IF(OR(J5647=0,AND(J5647=1,K5647=1),AND(J5647=1,I5647="SBJ"),AND(J5647=1,I5647=0)),"?IN_FOCUS",IF(J5647&lt;=2,"?ACTIVATED",IF(J5647&lt;&gt;"","?FAMILIAR",IF(F5647="NEW",IF(ISNA(VLOOKUP(E5647,#REF!,1,FALSE())),"?TYPE_IDENTIFIABLE","?REFERENTIAL"),"_")))))</f>
        <v> </v>
      </c>
      <c r="H5647" s="25" t="str">
        <f>IF(J5647&lt;&gt;1,"",IF(I5647="SBJ","CB","?"))</f>
        <v> </v>
      </c>
      <c r="I5647" s="26" t="str">
        <f>IF(OR(E5647="",E5647="!!!",F5647="NEW"),"",INDEX(B5646:B$2,-1+SUMPRODUCT(MAX(ROW(E5646:E$2)*(E5647=E5646:E$2)))))</f>
        <v> </v>
      </c>
      <c r="J5647" s="26" t="str">
        <f>IF(OR(E5647="",E5647="!!!",F5647="NEW"),"",COUNTBLANK(OFFSET(A$1,,,SUMPRODUCT(MAX(ROW(E$2:E5647)*(E5647=E$2:E5647)))))-COUNTBLANK(OFFSET(A$1,,,SUMPRODUCT(MAX(ROW(E$1:E5646)*(E2=E$1:E5646))))))</f>
        <v> </v>
      </c>
      <c r="K5647" s="26" t="str">
        <f>IF(OR(E5647="",E5647="!!!",F5647="NEW"),"",INDEX(J$1:J5646,SUMPRODUCT(MAX(ROW(E$1:E5646)*(E5647=E$1:E5646)))))</f>
        <v> </v>
      </c>
      <c r="L5647" s="27"/>
    </row>
    <row r="5648" spans="1:12">
      <c r="A5648" s="20" t="s">
        <v>1185</v>
      </c>
      <c r="E5648" s="22">
        <f>IF(D5648="?OLD","!!!","")</f>
        <v/>
      </c>
      <c r="F5648" s="23" t="str">
        <f>IF(OR(E5648="",E5648="!!!"),"",IF(NOT(ISNA(VLOOKUP(E5648,E$1:E5647,1,FALSE()))),"OLD",IF(AND(E5648&lt;&gt;"",E5648&lt;&gt;"!!!"),"NEW","")))</f>
        <v> </v>
      </c>
      <c r="G5648" s="24" t="str">
        <f>IF(OR(E5648="",E5648="!!!"),"",IF(OR(J5648=0,AND(J5648=1,K5648=1),AND(J5648=1,I5648="SBJ"),AND(J5648=1,I5648=0)),"?IN_FOCUS",IF(J5648&lt;=2,"?ACTIVATED",IF(J5648&lt;&gt;"","?FAMILIAR",IF(F5648="NEW",IF(ISNA(VLOOKUP(E5648,#REF!,1,FALSE())),"?TYPE_IDENTIFIABLE","?REFERENTIAL"),"_")))))</f>
        <v> </v>
      </c>
      <c r="H5648" s="25" t="str">
        <f>IF(J5648&lt;&gt;1,"",IF(I5648="SBJ","CB","?"))</f>
        <v> </v>
      </c>
      <c r="I5648" s="26" t="str">
        <f>IF(OR(E5648="",E5648="!!!",F5648="NEW"),"",INDEX(B5647:B$2,-1+SUMPRODUCT(MAX(ROW(E5647:E$2)*(E5648=E5647:E$2)))))</f>
        <v> </v>
      </c>
      <c r="J5648" s="26" t="str">
        <f>IF(OR(E5648="",E5648="!!!",F5648="NEW"),"",COUNTBLANK(OFFSET(A$1,,,SUMPRODUCT(MAX(ROW(E$2:E5648)*(E5648=E$2:E5648)))))-COUNTBLANK(OFFSET(A$1,,,SUMPRODUCT(MAX(ROW(E$1:E5647)*(E2=E$1:E5647))))))</f>
        <v> </v>
      </c>
      <c r="K5648" s="26" t="str">
        <f>IF(OR(E5648="",E5648="!!!",F5648="NEW"),"",INDEX(J$1:J5647,SUMPRODUCT(MAX(ROW(E$1:E5647)*(E5648=E$1:E5647)))))</f>
        <v> </v>
      </c>
      <c r="L5648" s="27"/>
    </row>
    <row r="5649" spans="1:12">
      <c r="A5649" s="20" t="s">
        <v>1236</v>
      </c>
      <c r="B5649" s="21" t="s">
        <v>1306</v>
      </c>
      <c r="C5649" s="21" t="s">
        <v>1238</v>
      </c>
      <c r="D5649" s="21" t="s">
        <v>1180</v>
      </c>
      <c r="E5649" s="22">
        <f>IF(D5649="?OLD","!!!","")</f>
        <v/>
      </c>
      <c r="F5649" s="23" t="str">
        <f>IF(OR(E5649="",E5649="!!!"),"",IF(NOT(ISNA(VLOOKUP(E5649,E$1:E5648,1,FALSE()))),"OLD",IF(AND(E5649&lt;&gt;"",E5649&lt;&gt;"!!!"),"NEW","")))</f>
        <v> </v>
      </c>
      <c r="G5649" s="24" t="str">
        <f>IF(OR(E5649="",E5649="!!!"),"",IF(OR(J5649=0,AND(J5649=1,K5649=1),AND(J5649=1,I5649="SBJ"),AND(J5649=1,I5649=0)),"?IN_FOCUS",IF(J5649&lt;=2,"?ACTIVATED",IF(J5649&lt;&gt;"","?FAMILIAR",IF(F5649="NEW",IF(ISNA(VLOOKUP(E5649,#REF!,1,FALSE())),"?TYPE_IDENTIFIABLE","?REFERENTIAL"),"_")))))</f>
        <v> </v>
      </c>
      <c r="H5649" s="25" t="str">
        <f>IF(J5649&lt;&gt;1,"",IF(I5649="SBJ","CB","?"))</f>
        <v> </v>
      </c>
      <c r="I5649" s="26" t="str">
        <f>IF(OR(E5649="",E5649="!!!",F5649="NEW"),"",INDEX(B5648:B$2,-1+SUMPRODUCT(MAX(ROW(E5648:E$2)*(E5649=E5648:E$2)))))</f>
        <v> </v>
      </c>
      <c r="J5649" s="26" t="str">
        <f>IF(OR(E5649="",E5649="!!!",F5649="NEW"),"",COUNTBLANK(OFFSET(A$1,,,SUMPRODUCT(MAX(ROW(E$2:E5649)*(E5649=E$2:E5649)))))-COUNTBLANK(OFFSET(A$1,,,SUMPRODUCT(MAX(ROW(E$1:E5648)*(E2=E$1:E5648))))))</f>
        <v> </v>
      </c>
      <c r="K5649" s="26" t="str">
        <f>IF(OR(E5649="",E5649="!!!",F5649="NEW"),"",INDEX(J$1:J5648,SUMPRODUCT(MAX(ROW(E$1:E5648)*(E5649=E$1:E5648)))))</f>
        <v> </v>
      </c>
      <c r="L5649" s="27"/>
    </row>
    <row r="5650" spans="1:12">
      <c r="A5650" s="20" t="s">
        <v>427</v>
      </c>
      <c r="B5650" s="21" t="s">
        <v>1304</v>
      </c>
      <c r="C5650" s="21" t="s">
        <v>1238</v>
      </c>
      <c r="D5650" s="21" t="s">
        <v>1180</v>
      </c>
      <c r="E5650" s="22">
        <f>IF(D5650="?OLD","!!!","")</f>
        <v/>
      </c>
      <c r="F5650" s="23" t="str">
        <f>IF(OR(E5650="",E5650="!!!"),"",IF(NOT(ISNA(VLOOKUP(E5650,E$1:E5649,1,FALSE()))),"OLD",IF(AND(E5650&lt;&gt;"",E5650&lt;&gt;"!!!"),"NEW","")))</f>
        <v> </v>
      </c>
      <c r="G5650" s="24" t="str">
        <f>IF(OR(E5650="",E5650="!!!"),"",IF(OR(J5650=0,AND(J5650=1,K5650=1),AND(J5650=1,I5650="SBJ"),AND(J5650=1,I5650=0)),"?IN_FOCUS",IF(J5650&lt;=2,"?ACTIVATED",IF(J5650&lt;&gt;"","?FAMILIAR",IF(F5650="NEW",IF(ISNA(VLOOKUP(E5650,#REF!,1,FALSE())),"?TYPE_IDENTIFIABLE","?REFERENTIAL"),"_")))))</f>
        <v> </v>
      </c>
      <c r="H5650" s="25" t="str">
        <f>IF(J5650&lt;&gt;1,"",IF(I5650="SBJ","CB","?"))</f>
        <v> </v>
      </c>
      <c r="I5650" s="26" t="str">
        <f>IF(OR(E5650="",E5650="!!!",F5650="NEW"),"",INDEX(B5649:B$2,-1+SUMPRODUCT(MAX(ROW(E5649:E$2)*(E5650=E5649:E$2)))))</f>
        <v> </v>
      </c>
      <c r="J5650" s="26" t="str">
        <f>IF(OR(E5650="",E5650="!!!",F5650="NEW"),"",COUNTBLANK(OFFSET(A$1,,,SUMPRODUCT(MAX(ROW(E$2:E5650)*(E5650=E$2:E5650)))))-COUNTBLANK(OFFSET(A$1,,,SUMPRODUCT(MAX(ROW(E$1:E5649)*(E2=E$1:E5649))))))</f>
        <v> </v>
      </c>
      <c r="K5650" s="26" t="str">
        <f>IF(OR(E5650="",E5650="!!!",F5650="NEW"),"",INDEX(J$1:J5649,SUMPRODUCT(MAX(ROW(E$1:E5649)*(E5650=E$1:E5649)))))</f>
        <v> </v>
      </c>
      <c r="L5650" s="27"/>
    </row>
    <row r="5651" spans="1:12">
      <c r="A5651" s="20" t="s">
        <v>2555</v>
      </c>
      <c r="E5651" s="22">
        <f>IF(D5651="?OLD","!!!","")</f>
        <v/>
      </c>
      <c r="F5651" s="23" t="str">
        <f>IF(OR(E5651="",E5651="!!!"),"",IF(NOT(ISNA(VLOOKUP(E5651,E$1:E5650,1,FALSE()))),"OLD",IF(AND(E5651&lt;&gt;"",E5651&lt;&gt;"!!!"),"NEW","")))</f>
        <v> </v>
      </c>
      <c r="G5651" s="24" t="str">
        <f>IF(OR(E5651="",E5651="!!!"),"",IF(OR(J5651=0,AND(J5651=1,K5651=1),AND(J5651=1,I5651="SBJ"),AND(J5651=1,I5651=0)),"?IN_FOCUS",IF(J5651&lt;=2,"?ACTIVATED",IF(J5651&lt;&gt;"","?FAMILIAR",IF(F5651="NEW",IF(ISNA(VLOOKUP(E5651,#REF!,1,FALSE())),"?TYPE_IDENTIFIABLE","?REFERENTIAL"),"_")))))</f>
        <v> </v>
      </c>
      <c r="H5651" s="25" t="str">
        <f>IF(J5651&lt;&gt;1,"",IF(I5651="SBJ","CB","?"))</f>
        <v> </v>
      </c>
      <c r="I5651" s="26" t="str">
        <f>IF(OR(E5651="",E5651="!!!",F5651="NEW"),"",INDEX(B5650:B$2,-1+SUMPRODUCT(MAX(ROW(E5650:E$2)*(E5651=E5650:E$2)))))</f>
        <v> </v>
      </c>
      <c r="J5651" s="26" t="str">
        <f>IF(OR(E5651="",E5651="!!!",F5651="NEW"),"",COUNTBLANK(OFFSET(A$1,,,SUMPRODUCT(MAX(ROW(E$2:E5651)*(E5651=E$2:E5651)))))-COUNTBLANK(OFFSET(A$1,,,SUMPRODUCT(MAX(ROW(E$1:E5650)*(E2=E$1:E5650))))))</f>
        <v> </v>
      </c>
      <c r="K5651" s="26" t="str">
        <f>IF(OR(E5651="",E5651="!!!",F5651="NEW"),"",INDEX(J$1:J5650,SUMPRODUCT(MAX(ROW(E$1:E5650)*(E5651=E$1:E5650)))))</f>
        <v> </v>
      </c>
      <c r="L5651" s="27"/>
    </row>
    <row r="5652" spans="1:12">
      <c r="A5652" s="20" t="s">
        <v>1523</v>
      </c>
      <c r="E5652" s="22">
        <f>IF(D5652="?OLD","!!!","")</f>
        <v/>
      </c>
      <c r="F5652" s="23" t="str">
        <f>IF(OR(E5652="",E5652="!!!"),"",IF(NOT(ISNA(VLOOKUP(E5652,E$1:E5651,1,FALSE()))),"OLD",IF(AND(E5652&lt;&gt;"",E5652&lt;&gt;"!!!"),"NEW","")))</f>
        <v> </v>
      </c>
      <c r="G5652" s="24" t="str">
        <f>IF(OR(E5652="",E5652="!!!"),"",IF(OR(J5652=0,AND(J5652=1,K5652=1),AND(J5652=1,I5652="SBJ"),AND(J5652=1,I5652=0)),"?IN_FOCUS",IF(J5652&lt;=2,"?ACTIVATED",IF(J5652&lt;&gt;"","?FAMILIAR",IF(F5652="NEW",IF(ISNA(VLOOKUP(E5652,#REF!,1,FALSE())),"?TYPE_IDENTIFIABLE","?REFERENTIAL"),"_")))))</f>
        <v> </v>
      </c>
      <c r="H5652" s="25" t="str">
        <f>IF(J5652&lt;&gt;1,"",IF(I5652="SBJ","CB","?"))</f>
        <v> </v>
      </c>
      <c r="I5652" s="26" t="str">
        <f>IF(OR(E5652="",E5652="!!!",F5652="NEW"),"",INDEX(B5651:B$2,-1+SUMPRODUCT(MAX(ROW(E5651:E$2)*(E5652=E5651:E$2)))))</f>
        <v> </v>
      </c>
      <c r="J5652" s="26" t="str">
        <f>IF(OR(E5652="",E5652="!!!",F5652="NEW"),"",COUNTBLANK(OFFSET(A$1,,,SUMPRODUCT(MAX(ROW(E$2:E5652)*(E5652=E$2:E5652)))))-COUNTBLANK(OFFSET(A$1,,,SUMPRODUCT(MAX(ROW(E$1:E5651)*(E2=E$1:E5651))))))</f>
        <v> </v>
      </c>
      <c r="K5652" s="26" t="str">
        <f>IF(OR(E5652="",E5652="!!!",F5652="NEW"),"",INDEX(J$1:J5651,SUMPRODUCT(MAX(ROW(E$1:E5651)*(E5652=E$1:E5651)))))</f>
        <v> </v>
      </c>
      <c r="L5652" s="27"/>
    </row>
    <row r="5653" spans="1:12">
      <c r="A5653" s="20" t="s">
        <v>1185</v>
      </c>
      <c r="E5653" s="22">
        <f>IF(D5653="?OLD","!!!","")</f>
        <v/>
      </c>
      <c r="F5653" s="23" t="str">
        <f>IF(OR(E5653="",E5653="!!!"),"",IF(NOT(ISNA(VLOOKUP(E5653,E$1:E5652,1,FALSE()))),"OLD",IF(AND(E5653&lt;&gt;"",E5653&lt;&gt;"!!!"),"NEW","")))</f>
        <v> </v>
      </c>
      <c r="G5653" s="24" t="str">
        <f>IF(OR(E5653="",E5653="!!!"),"",IF(OR(J5653=0,AND(J5653=1,K5653=1),AND(J5653=1,I5653="SBJ"),AND(J5653=1,I5653=0)),"?IN_FOCUS",IF(J5653&lt;=2,"?ACTIVATED",IF(J5653&lt;&gt;"","?FAMILIAR",IF(F5653="NEW",IF(ISNA(VLOOKUP(E5653,#REF!,1,FALSE())),"?TYPE_IDENTIFIABLE","?REFERENTIAL"),"_")))))</f>
        <v> </v>
      </c>
      <c r="H5653" s="25" t="str">
        <f>IF(J5653&lt;&gt;1,"",IF(I5653="SBJ","CB","?"))</f>
        <v> </v>
      </c>
      <c r="I5653" s="26" t="str">
        <f>IF(OR(E5653="",E5653="!!!",F5653="NEW"),"",INDEX(B5652:B$2,-1+SUMPRODUCT(MAX(ROW(E5652:E$2)*(E5653=E5652:E$2)))))</f>
        <v> </v>
      </c>
      <c r="J5653" s="26" t="str">
        <f>IF(OR(E5653="",E5653="!!!",F5653="NEW"),"",COUNTBLANK(OFFSET(A$1,,,SUMPRODUCT(MAX(ROW(E$2:E5653)*(E5653=E$2:E5653)))))-COUNTBLANK(OFFSET(A$1,,,SUMPRODUCT(MAX(ROW(E$1:E5652)*(E2=E$1:E5652))))))</f>
        <v> </v>
      </c>
      <c r="K5653" s="26" t="str">
        <f>IF(OR(E5653="",E5653="!!!",F5653="NEW"),"",INDEX(J$1:J5652,SUMPRODUCT(MAX(ROW(E$1:E5652)*(E5653=E$1:E5652)))))</f>
        <v> </v>
      </c>
      <c r="L5653" s="27"/>
    </row>
    <row r="5654" spans="1:12">
      <c r="A5654" s="20" t="s">
        <v>1412</v>
      </c>
      <c r="E5654" s="22">
        <f>IF(D5654="?OLD","!!!","")</f>
        <v/>
      </c>
      <c r="F5654" s="23" t="str">
        <f>IF(OR(E5654="",E5654="!!!"),"",IF(NOT(ISNA(VLOOKUP(E5654,E$1:E5653,1,FALSE()))),"OLD",IF(AND(E5654&lt;&gt;"",E5654&lt;&gt;"!!!"),"NEW","")))</f>
        <v> </v>
      </c>
      <c r="G5654" s="24" t="str">
        <f>IF(OR(E5654="",E5654="!!!"),"",IF(OR(J5654=0,AND(J5654=1,K5654=1),AND(J5654=1,I5654="SBJ"),AND(J5654=1,I5654=0)),"?IN_FOCUS",IF(J5654&lt;=2,"?ACTIVATED",IF(J5654&lt;&gt;"","?FAMILIAR",IF(F5654="NEW",IF(ISNA(VLOOKUP(E5654,#REF!,1,FALSE())),"?TYPE_IDENTIFIABLE","?REFERENTIAL"),"_")))))</f>
        <v> </v>
      </c>
      <c r="H5654" s="25" t="str">
        <f>IF(J5654&lt;&gt;1,"",IF(I5654="SBJ","CB","?"))</f>
        <v> </v>
      </c>
      <c r="I5654" s="26" t="str">
        <f>IF(OR(E5654="",E5654="!!!",F5654="NEW"),"",INDEX(B5653:B$2,-1+SUMPRODUCT(MAX(ROW(E5653:E$2)*(E5654=E5653:E$2)))))</f>
        <v> </v>
      </c>
      <c r="J5654" s="26" t="str">
        <f>IF(OR(E5654="",E5654="!!!",F5654="NEW"),"",COUNTBLANK(OFFSET(A$1,,,SUMPRODUCT(MAX(ROW(E$2:E5654)*(E5654=E$2:E5654)))))-COUNTBLANK(OFFSET(A$1,,,SUMPRODUCT(MAX(ROW(E$1:E5653)*(E2=E$1:E5653))))))</f>
        <v> </v>
      </c>
      <c r="K5654" s="26" t="str">
        <f>IF(OR(E5654="",E5654="!!!",F5654="NEW"),"",INDEX(J$1:J5653,SUMPRODUCT(MAX(ROW(E$1:E5653)*(E5654=E$1:E5653)))))</f>
        <v> </v>
      </c>
      <c r="L5654" s="27"/>
    </row>
    <row r="5655" spans="1:12">
      <c r="A5655" s="20" t="s">
        <v>1185</v>
      </c>
      <c r="E5655" s="22">
        <f>IF(D5655="?OLD","!!!","")</f>
        <v/>
      </c>
      <c r="F5655" s="23" t="str">
        <f>IF(OR(E5655="",E5655="!!!"),"",IF(NOT(ISNA(VLOOKUP(E5655,E$1:E5654,1,FALSE()))),"OLD",IF(AND(E5655&lt;&gt;"",E5655&lt;&gt;"!!!"),"NEW","")))</f>
        <v> </v>
      </c>
      <c r="G5655" s="24" t="str">
        <f>IF(OR(E5655="",E5655="!!!"),"",IF(OR(J5655=0,AND(J5655=1,K5655=1),AND(J5655=1,I5655="SBJ"),AND(J5655=1,I5655=0)),"?IN_FOCUS",IF(J5655&lt;=2,"?ACTIVATED",IF(J5655&lt;&gt;"","?FAMILIAR",IF(F5655="NEW",IF(ISNA(VLOOKUP(E5655,#REF!,1,FALSE())),"?TYPE_IDENTIFIABLE","?REFERENTIAL"),"_")))))</f>
        <v> </v>
      </c>
      <c r="H5655" s="25" t="str">
        <f>IF(J5655&lt;&gt;1,"",IF(I5655="SBJ","CB","?"))</f>
        <v> </v>
      </c>
      <c r="I5655" s="26" t="str">
        <f>IF(OR(E5655="",E5655="!!!",F5655="NEW"),"",INDEX(B5654:B$2,-1+SUMPRODUCT(MAX(ROW(E5654:E$2)*(E5655=E5654:E$2)))))</f>
        <v> </v>
      </c>
      <c r="J5655" s="26" t="str">
        <f>IF(OR(E5655="",E5655="!!!",F5655="NEW"),"",COUNTBLANK(OFFSET(A$1,,,SUMPRODUCT(MAX(ROW(E$2:E5655)*(E5655=E$2:E5655)))))-COUNTBLANK(OFFSET(A$1,,,SUMPRODUCT(MAX(ROW(E$1:E5654)*(E2=E$1:E5654))))))</f>
        <v> </v>
      </c>
      <c r="K5655" s="26" t="str">
        <f>IF(OR(E5655="",E5655="!!!",F5655="NEW"),"",INDEX(J$1:J5654,SUMPRODUCT(MAX(ROW(E$1:E5654)*(E5655=E$1:E5654)))))</f>
        <v> </v>
      </c>
      <c r="L5655" s="27"/>
    </row>
    <row r="5656" spans="1:12">
      <c r="A5656" s="20" t="s">
        <v>1647</v>
      </c>
      <c r="E5656" s="22">
        <f>IF(D5656="?OLD","!!!","")</f>
        <v/>
      </c>
      <c r="F5656" s="23" t="str">
        <f>IF(OR(E5656="",E5656="!!!"),"",IF(NOT(ISNA(VLOOKUP(E5656,E$1:E5655,1,FALSE()))),"OLD",IF(AND(E5656&lt;&gt;"",E5656&lt;&gt;"!!!"),"NEW","")))</f>
        <v> </v>
      </c>
      <c r="G5656" s="24" t="str">
        <f>IF(OR(E5656="",E5656="!!!"),"",IF(OR(J5656=0,AND(J5656=1,K5656=1),AND(J5656=1,I5656="SBJ"),AND(J5656=1,I5656=0)),"?IN_FOCUS",IF(J5656&lt;=2,"?ACTIVATED",IF(J5656&lt;&gt;"","?FAMILIAR",IF(F5656="NEW",IF(ISNA(VLOOKUP(E5656,#REF!,1,FALSE())),"?TYPE_IDENTIFIABLE","?REFERENTIAL"),"_")))))</f>
        <v> </v>
      </c>
      <c r="H5656" s="25" t="str">
        <f>IF(J5656&lt;&gt;1,"",IF(I5656="SBJ","CB","?"))</f>
        <v> </v>
      </c>
      <c r="I5656" s="26" t="str">
        <f>IF(OR(E5656="",E5656="!!!",F5656="NEW"),"",INDEX(B5655:B$2,-1+SUMPRODUCT(MAX(ROW(E5655:E$2)*(E5656=E5655:E$2)))))</f>
        <v> </v>
      </c>
      <c r="J5656" s="26" t="str">
        <f>IF(OR(E5656="",E5656="!!!",F5656="NEW"),"",COUNTBLANK(OFFSET(A$1,,,SUMPRODUCT(MAX(ROW(E$2:E5656)*(E5656=E$2:E5656)))))-COUNTBLANK(OFFSET(A$1,,,SUMPRODUCT(MAX(ROW(E$1:E5655)*(E2=E$1:E5655))))))</f>
        <v> </v>
      </c>
      <c r="K5656" s="26" t="str">
        <f>IF(OR(E5656="",E5656="!!!",F5656="NEW"),"",INDEX(J$1:J5655,SUMPRODUCT(MAX(ROW(E$1:E5655)*(E5656=E$1:E5655)))))</f>
        <v> </v>
      </c>
      <c r="L5656" s="27"/>
    </row>
    <row r="5657" spans="1:12">
      <c r="A5657" s="20" t="s">
        <v>1263</v>
      </c>
      <c r="B5657" s="21" t="s">
        <v>1194</v>
      </c>
      <c r="C5657" s="21" t="s">
        <v>1195</v>
      </c>
      <c r="D5657" s="21" t="s">
        <v>1180</v>
      </c>
      <c r="E5657" s="22">
        <f>IF(D5657="?OLD","!!!","")</f>
        <v/>
      </c>
      <c r="F5657" s="23" t="str">
        <f>IF(OR(E5657="",E5657="!!!"),"",IF(NOT(ISNA(VLOOKUP(E5657,E$1:E5656,1,FALSE()))),"OLD",IF(AND(E5657&lt;&gt;"",E5657&lt;&gt;"!!!"),"NEW","")))</f>
        <v> </v>
      </c>
      <c r="G5657" s="24" t="str">
        <f>IF(OR(E5657="",E5657="!!!"),"",IF(OR(J5657=0,AND(J5657=1,K5657=1),AND(J5657=1,I5657="SBJ"),AND(J5657=1,I5657=0)),"?IN_FOCUS",IF(J5657&lt;=2,"?ACTIVATED",IF(J5657&lt;&gt;"","?FAMILIAR",IF(F5657="NEW",IF(ISNA(VLOOKUP(E5657,#REF!,1,FALSE())),"?TYPE_IDENTIFIABLE","?REFERENTIAL"),"_")))))</f>
        <v> </v>
      </c>
      <c r="H5657" s="25" t="str">
        <f>IF(J5657&lt;&gt;1,"",IF(I5657="SBJ","CB","?"))</f>
        <v> </v>
      </c>
      <c r="I5657" s="26" t="str">
        <f>IF(OR(E5657="",E5657="!!!",F5657="NEW"),"",INDEX(B5656:B$2,-1+SUMPRODUCT(MAX(ROW(E5656:E$2)*(E5657=E5656:E$2)))))</f>
        <v> </v>
      </c>
      <c r="J5657" s="26" t="str">
        <f>IF(OR(E5657="",E5657="!!!",F5657="NEW"),"",COUNTBLANK(OFFSET(A$1,,,SUMPRODUCT(MAX(ROW(E$2:E5657)*(E5657=E$2:E5657)))))-COUNTBLANK(OFFSET(A$1,,,SUMPRODUCT(MAX(ROW(E$1:E5656)*(E2=E$1:E5656))))))</f>
        <v> </v>
      </c>
      <c r="K5657" s="26" t="str">
        <f>IF(OR(E5657="",E5657="!!!",F5657="NEW"),"",INDEX(J$1:J5656,SUMPRODUCT(MAX(ROW(E$1:E5656)*(E5657=E$1:E5656)))))</f>
        <v> </v>
      </c>
      <c r="L5657" s="27"/>
    </row>
    <row r="5658" spans="1:12">
      <c r="A5658" s="20" t="s">
        <v>1185</v>
      </c>
      <c r="E5658" s="22">
        <f>IF(D5658="?OLD","!!!","")</f>
        <v/>
      </c>
      <c r="F5658" s="23" t="str">
        <f>IF(OR(E5658="",E5658="!!!"),"",IF(NOT(ISNA(VLOOKUP(E5658,E$1:E5657,1,FALSE()))),"OLD",IF(AND(E5658&lt;&gt;"",E5658&lt;&gt;"!!!"),"NEW","")))</f>
        <v> </v>
      </c>
      <c r="G5658" s="24" t="str">
        <f>IF(OR(E5658="",E5658="!!!"),"",IF(OR(J5658=0,AND(J5658=1,K5658=1),AND(J5658=1,I5658="SBJ"),AND(J5658=1,I5658=0)),"?IN_FOCUS",IF(J5658&lt;=2,"?ACTIVATED",IF(J5658&lt;&gt;"","?FAMILIAR",IF(F5658="NEW",IF(ISNA(VLOOKUP(E5658,#REF!,1,FALSE())),"?TYPE_IDENTIFIABLE","?REFERENTIAL"),"_")))))</f>
        <v> </v>
      </c>
      <c r="H5658" s="25" t="str">
        <f>IF(J5658&lt;&gt;1,"",IF(I5658="SBJ","CB","?"))</f>
        <v> </v>
      </c>
      <c r="I5658" s="26" t="str">
        <f>IF(OR(E5658="",E5658="!!!",F5658="NEW"),"",INDEX(B5657:B$2,-1+SUMPRODUCT(MAX(ROW(E5657:E$2)*(E5658=E5657:E$2)))))</f>
        <v> </v>
      </c>
      <c r="J5658" s="26" t="str">
        <f>IF(OR(E5658="",E5658="!!!",F5658="NEW"),"",COUNTBLANK(OFFSET(A$1,,,SUMPRODUCT(MAX(ROW(E$2:E5658)*(E5658=E$2:E5658)))))-COUNTBLANK(OFFSET(A$1,,,SUMPRODUCT(MAX(ROW(E$1:E5657)*(E2=E$1:E5657))))))</f>
        <v> </v>
      </c>
      <c r="K5658" s="26" t="str">
        <f>IF(OR(E5658="",E5658="!!!",F5658="NEW"),"",INDEX(J$1:J5657,SUMPRODUCT(MAX(ROW(E$1:E5657)*(E5658=E$1:E5657)))))</f>
        <v> </v>
      </c>
      <c r="L5658" s="27"/>
    </row>
    <row r="5659" spans="1:12">
      <c r="A5659" s="20" t="s">
        <v>1953</v>
      </c>
      <c r="E5659" s="22">
        <f>IF(D5659="?OLD","!!!","")</f>
        <v/>
      </c>
      <c r="F5659" s="23" t="str">
        <f>IF(OR(E5659="",E5659="!!!"),"",IF(NOT(ISNA(VLOOKUP(E5659,E$1:E5658,1,FALSE()))),"OLD",IF(AND(E5659&lt;&gt;"",E5659&lt;&gt;"!!!"),"NEW","")))</f>
        <v> </v>
      </c>
      <c r="G5659" s="24" t="str">
        <f>IF(OR(E5659="",E5659="!!!"),"",IF(OR(J5659=0,AND(J5659=1,K5659=1),AND(J5659=1,I5659="SBJ"),AND(J5659=1,I5659=0)),"?IN_FOCUS",IF(J5659&lt;=2,"?ACTIVATED",IF(J5659&lt;&gt;"","?FAMILIAR",IF(F5659="NEW",IF(ISNA(VLOOKUP(E5659,#REF!,1,FALSE())),"?TYPE_IDENTIFIABLE","?REFERENTIAL"),"_")))))</f>
        <v> </v>
      </c>
      <c r="H5659" s="25" t="str">
        <f>IF(J5659&lt;&gt;1,"",IF(I5659="SBJ","CB","?"))</f>
        <v> </v>
      </c>
      <c r="I5659" s="26" t="str">
        <f>IF(OR(E5659="",E5659="!!!",F5659="NEW"),"",INDEX(B5658:B$2,-1+SUMPRODUCT(MAX(ROW(E5658:E$2)*(E5659=E5658:E$2)))))</f>
        <v> </v>
      </c>
      <c r="J5659" s="26" t="str">
        <f>IF(OR(E5659="",E5659="!!!",F5659="NEW"),"",COUNTBLANK(OFFSET(A$1,,,SUMPRODUCT(MAX(ROW(E$2:E5659)*(E5659=E$2:E5659)))))-COUNTBLANK(OFFSET(A$1,,,SUMPRODUCT(MAX(ROW(E$1:E5658)*(E2=E$1:E5658))))))</f>
        <v> </v>
      </c>
      <c r="K5659" s="26" t="str">
        <f>IF(OR(E5659="",E5659="!!!",F5659="NEW"),"",INDEX(J$1:J5658,SUMPRODUCT(MAX(ROW(E$1:E5658)*(E5659=E$1:E5658)))))</f>
        <v> </v>
      </c>
      <c r="L5659" s="27"/>
    </row>
    <row r="5660" spans="1:12">
      <c r="A5660" s="20" t="s">
        <v>1495</v>
      </c>
      <c r="E5660" s="22">
        <f>IF(D5660="?OLD","!!!","")</f>
        <v/>
      </c>
      <c r="F5660" s="23" t="str">
        <f>IF(OR(E5660="",E5660="!!!"),"",IF(NOT(ISNA(VLOOKUP(E5660,E$1:E5659,1,FALSE()))),"OLD",IF(AND(E5660&lt;&gt;"",E5660&lt;&gt;"!!!"),"NEW","")))</f>
        <v> </v>
      </c>
      <c r="G5660" s="24" t="str">
        <f>IF(OR(E5660="",E5660="!!!"),"",IF(OR(J5660=0,AND(J5660=1,K5660=1),AND(J5660=1,I5660="SBJ"),AND(J5660=1,I5660=0)),"?IN_FOCUS",IF(J5660&lt;=2,"?ACTIVATED",IF(J5660&lt;&gt;"","?FAMILIAR",IF(F5660="NEW",IF(ISNA(VLOOKUP(E5660,#REF!,1,FALSE())),"?TYPE_IDENTIFIABLE","?REFERENTIAL"),"_")))))</f>
        <v> </v>
      </c>
      <c r="H5660" s="25" t="str">
        <f>IF(J5660&lt;&gt;1,"",IF(I5660="SBJ","CB","?"))</f>
        <v> </v>
      </c>
      <c r="I5660" s="26" t="str">
        <f>IF(OR(E5660="",E5660="!!!",F5660="NEW"),"",INDEX(B5659:B$2,-1+SUMPRODUCT(MAX(ROW(E5659:E$2)*(E5660=E5659:E$2)))))</f>
        <v> </v>
      </c>
      <c r="J5660" s="26" t="str">
        <f>IF(OR(E5660="",E5660="!!!",F5660="NEW"),"",COUNTBLANK(OFFSET(A$1,,,SUMPRODUCT(MAX(ROW(E$2:E5660)*(E5660=E$2:E5660)))))-COUNTBLANK(OFFSET(A$1,,,SUMPRODUCT(MAX(ROW(E$1:E5659)*(E2=E$1:E5659))))))</f>
        <v> </v>
      </c>
      <c r="K5660" s="26" t="str">
        <f>IF(OR(E5660="",E5660="!!!",F5660="NEW"),"",INDEX(J$1:J5659,SUMPRODUCT(MAX(ROW(E$1:E5659)*(E5660=E$1:E5659)))))</f>
        <v> </v>
      </c>
      <c r="L5660" s="27"/>
    </row>
    <row r="5661" spans="1:12">
      <c r="A5661" s="20" t="s">
        <v>1537</v>
      </c>
      <c r="E5661" s="22">
        <f>IF(D5661="?OLD","!!!","")</f>
        <v/>
      </c>
      <c r="F5661" s="23" t="str">
        <f>IF(OR(E5661="",E5661="!!!"),"",IF(NOT(ISNA(VLOOKUP(E5661,E$1:E5660,1,FALSE()))),"OLD",IF(AND(E5661&lt;&gt;"",E5661&lt;&gt;"!!!"),"NEW","")))</f>
        <v> </v>
      </c>
      <c r="G5661" s="24" t="str">
        <f>IF(OR(E5661="",E5661="!!!"),"",IF(OR(J5661=0,AND(J5661=1,K5661=1),AND(J5661=1,I5661="SBJ"),AND(J5661=1,I5661=0)),"?IN_FOCUS",IF(J5661&lt;=2,"?ACTIVATED",IF(J5661&lt;&gt;"","?FAMILIAR",IF(F5661="NEW",IF(ISNA(VLOOKUP(E5661,#REF!,1,FALSE())),"?TYPE_IDENTIFIABLE","?REFERENTIAL"),"_")))))</f>
        <v> </v>
      </c>
      <c r="H5661" s="25" t="str">
        <f>IF(J5661&lt;&gt;1,"",IF(I5661="SBJ","CB","?"))</f>
        <v> </v>
      </c>
      <c r="I5661" s="26" t="str">
        <f>IF(OR(E5661="",E5661="!!!",F5661="NEW"),"",INDEX(B5660:B$2,-1+SUMPRODUCT(MAX(ROW(E5660:E$2)*(E5661=E5660:E$2)))))</f>
        <v> </v>
      </c>
      <c r="J5661" s="26" t="str">
        <f>IF(OR(E5661="",E5661="!!!",F5661="NEW"),"",COUNTBLANK(OFFSET(A$1,,,SUMPRODUCT(MAX(ROW(E$2:E5661)*(E5661=E$2:E5661)))))-COUNTBLANK(OFFSET(A$1,,,SUMPRODUCT(MAX(ROW(E$1:E5660)*(E2=E$1:E5660))))))</f>
        <v> </v>
      </c>
      <c r="K5661" s="26" t="str">
        <f>IF(OR(E5661="",E5661="!!!",F5661="NEW"),"",INDEX(J$1:J5660,SUMPRODUCT(MAX(ROW(E$1:E5660)*(E5661=E$1:E5660)))))</f>
        <v> </v>
      </c>
      <c r="L5661" s="27"/>
    </row>
    <row r="5662" spans="1:12">
      <c r="A5662" s="20" t="s">
        <v>2737</v>
      </c>
      <c r="E5662" s="22">
        <f>IF(D5662="?OLD","!!!","")</f>
        <v/>
      </c>
      <c r="F5662" s="23" t="str">
        <f>IF(OR(E5662="",E5662="!!!"),"",IF(NOT(ISNA(VLOOKUP(E5662,E$1:E5661,1,FALSE()))),"OLD",IF(AND(E5662&lt;&gt;"",E5662&lt;&gt;"!!!"),"NEW","")))</f>
        <v> </v>
      </c>
      <c r="G5662" s="24" t="str">
        <f>IF(OR(E5662="",E5662="!!!"),"",IF(OR(J5662=0,AND(J5662=1,K5662=1),AND(J5662=1,I5662="SBJ"),AND(J5662=1,I5662=0)),"?IN_FOCUS",IF(J5662&lt;=2,"?ACTIVATED",IF(J5662&lt;&gt;"","?FAMILIAR",IF(F5662="NEW",IF(ISNA(VLOOKUP(E5662,#REF!,1,FALSE())),"?TYPE_IDENTIFIABLE","?REFERENTIAL"),"_")))))</f>
        <v> </v>
      </c>
      <c r="H5662" s="25" t="str">
        <f>IF(J5662&lt;&gt;1,"",IF(I5662="SBJ","CB","?"))</f>
        <v> </v>
      </c>
      <c r="I5662" s="26" t="str">
        <f>IF(OR(E5662="",E5662="!!!",F5662="NEW"),"",INDEX(B5661:B$2,-1+SUMPRODUCT(MAX(ROW(E5661:E$2)*(E5662=E5661:E$2)))))</f>
        <v> </v>
      </c>
      <c r="J5662" s="26" t="str">
        <f>IF(OR(E5662="",E5662="!!!",F5662="NEW"),"",COUNTBLANK(OFFSET(A$1,,,SUMPRODUCT(MAX(ROW(E$2:E5662)*(E5662=E$2:E5662)))))-COUNTBLANK(OFFSET(A$1,,,SUMPRODUCT(MAX(ROW(E$1:E5661)*(E2=E$1:E5661))))))</f>
        <v> </v>
      </c>
      <c r="K5662" s="26" t="str">
        <f>IF(OR(E5662="",E5662="!!!",F5662="NEW"),"",INDEX(J$1:J5661,SUMPRODUCT(MAX(ROW(E$1:E5661)*(E5662=E$1:E5661)))))</f>
        <v> </v>
      </c>
      <c r="L5662" s="27"/>
    </row>
    <row r="5663" spans="1:12">
      <c r="A5663" s="20" t="s">
        <v>2385</v>
      </c>
      <c r="E5663" s="22">
        <f>IF(D5663="?OLD","!!!","")</f>
        <v/>
      </c>
      <c r="F5663" s="23" t="str">
        <f>IF(OR(E5663="",E5663="!!!"),"",IF(NOT(ISNA(VLOOKUP(E5663,E$1:E5662,1,FALSE()))),"OLD",IF(AND(E5663&lt;&gt;"",E5663&lt;&gt;"!!!"),"NEW","")))</f>
        <v> </v>
      </c>
      <c r="G5663" s="24" t="str">
        <f>IF(OR(E5663="",E5663="!!!"),"",IF(OR(J5663=0,AND(J5663=1,K5663=1),AND(J5663=1,I5663="SBJ"),AND(J5663=1,I5663=0)),"?IN_FOCUS",IF(J5663&lt;=2,"?ACTIVATED",IF(J5663&lt;&gt;"","?FAMILIAR",IF(F5663="NEW",IF(ISNA(VLOOKUP(E5663,#REF!,1,FALSE())),"?TYPE_IDENTIFIABLE","?REFERENTIAL"),"_")))))</f>
        <v> </v>
      </c>
      <c r="H5663" s="25" t="str">
        <f>IF(J5663&lt;&gt;1,"",IF(I5663="SBJ","CB","?"))</f>
        <v> </v>
      </c>
      <c r="I5663" s="26" t="str">
        <f>IF(OR(E5663="",E5663="!!!",F5663="NEW"),"",INDEX(B5662:B$2,-1+SUMPRODUCT(MAX(ROW(E5662:E$2)*(E5663=E5662:E$2)))))</f>
        <v> </v>
      </c>
      <c r="J5663" s="26" t="str">
        <f>IF(OR(E5663="",E5663="!!!",F5663="NEW"),"",COUNTBLANK(OFFSET(A$1,,,SUMPRODUCT(MAX(ROW(E$2:E5663)*(E5663=E$2:E5663)))))-COUNTBLANK(OFFSET(A$1,,,SUMPRODUCT(MAX(ROW(E$1:E5662)*(E2=E$1:E5662))))))</f>
        <v> </v>
      </c>
      <c r="K5663" s="26" t="str">
        <f>IF(OR(E5663="",E5663="!!!",F5663="NEW"),"",INDEX(J$1:J5662,SUMPRODUCT(MAX(ROW(E$1:E5662)*(E5663=E$1:E5662)))))</f>
        <v> </v>
      </c>
      <c r="L5663" s="27"/>
    </row>
    <row r="5664" spans="1:12">
      <c r="A5664" s="20" t="s">
        <v>1495</v>
      </c>
      <c r="E5664" s="22">
        <f>IF(D5664="?OLD","!!!","")</f>
        <v/>
      </c>
      <c r="F5664" s="23" t="str">
        <f>IF(OR(E5664="",E5664="!!!"),"",IF(NOT(ISNA(VLOOKUP(E5664,E$1:E5663,1,FALSE()))),"OLD",IF(AND(E5664&lt;&gt;"",E5664&lt;&gt;"!!!"),"NEW","")))</f>
        <v> </v>
      </c>
      <c r="G5664" s="24" t="str">
        <f>IF(OR(E5664="",E5664="!!!"),"",IF(OR(J5664=0,AND(J5664=1,K5664=1),AND(J5664=1,I5664="SBJ"),AND(J5664=1,I5664=0)),"?IN_FOCUS",IF(J5664&lt;=2,"?ACTIVATED",IF(J5664&lt;&gt;"","?FAMILIAR",IF(F5664="NEW",IF(ISNA(VLOOKUP(E5664,#REF!,1,FALSE())),"?TYPE_IDENTIFIABLE","?REFERENTIAL"),"_")))))</f>
        <v> </v>
      </c>
      <c r="H5664" s="25" t="str">
        <f>IF(J5664&lt;&gt;1,"",IF(I5664="SBJ","CB","?"))</f>
        <v> </v>
      </c>
      <c r="I5664" s="26" t="str">
        <f>IF(OR(E5664="",E5664="!!!",F5664="NEW"),"",INDEX(B5663:B$2,-1+SUMPRODUCT(MAX(ROW(E5663:E$2)*(E5664=E5663:E$2)))))</f>
        <v> </v>
      </c>
      <c r="J5664" s="26" t="str">
        <f>IF(OR(E5664="",E5664="!!!",F5664="NEW"),"",COUNTBLANK(OFFSET(A$1,,,SUMPRODUCT(MAX(ROW(E$2:E5664)*(E5664=E$2:E5664)))))-COUNTBLANK(OFFSET(A$1,,,SUMPRODUCT(MAX(ROW(E$1:E5663)*(E2=E$1:E5663))))))</f>
        <v> </v>
      </c>
      <c r="K5664" s="26" t="str">
        <f>IF(OR(E5664="",E5664="!!!",F5664="NEW"),"",INDEX(J$1:J5663,SUMPRODUCT(MAX(ROW(E$1:E5663)*(E5664=E$1:E5663)))))</f>
        <v> </v>
      </c>
      <c r="L5664" s="27"/>
    </row>
    <row r="5665" spans="1:12">
      <c r="A5665" s="20" t="s">
        <v>1185</v>
      </c>
      <c r="E5665" s="22">
        <f>IF(D5665="?OLD","!!!","")</f>
        <v/>
      </c>
      <c r="F5665" s="23" t="str">
        <f>IF(OR(E5665="",E5665="!!!"),"",IF(NOT(ISNA(VLOOKUP(E5665,E$1:E5664,1,FALSE()))),"OLD",IF(AND(E5665&lt;&gt;"",E5665&lt;&gt;"!!!"),"NEW","")))</f>
        <v> </v>
      </c>
      <c r="G5665" s="24" t="str">
        <f>IF(OR(E5665="",E5665="!!!"),"",IF(OR(J5665=0,AND(J5665=1,K5665=1),AND(J5665=1,I5665="SBJ"),AND(J5665=1,I5665=0)),"?IN_FOCUS",IF(J5665&lt;=2,"?ACTIVATED",IF(J5665&lt;&gt;"","?FAMILIAR",IF(F5665="NEW",IF(ISNA(VLOOKUP(E5665,#REF!,1,FALSE())),"?TYPE_IDENTIFIABLE","?REFERENTIAL"),"_")))))</f>
        <v> </v>
      </c>
      <c r="H5665" s="25" t="str">
        <f>IF(J5665&lt;&gt;1,"",IF(I5665="SBJ","CB","?"))</f>
        <v> </v>
      </c>
      <c r="I5665" s="26" t="str">
        <f>IF(OR(E5665="",E5665="!!!",F5665="NEW"),"",INDEX(B5664:B$2,-1+SUMPRODUCT(MAX(ROW(E5664:E$2)*(E5665=E5664:E$2)))))</f>
        <v> </v>
      </c>
      <c r="J5665" s="26" t="str">
        <f>IF(OR(E5665="",E5665="!!!",F5665="NEW"),"",COUNTBLANK(OFFSET(A$1,,,SUMPRODUCT(MAX(ROW(E$2:E5665)*(E5665=E$2:E5665)))))-COUNTBLANK(OFFSET(A$1,,,SUMPRODUCT(MAX(ROW(E$1:E5664)*(E2=E$1:E5664))))))</f>
        <v> </v>
      </c>
      <c r="K5665" s="26" t="str">
        <f>IF(OR(E5665="",E5665="!!!",F5665="NEW"),"",INDEX(J$1:J5664,SUMPRODUCT(MAX(ROW(E$1:E5664)*(E5665=E$1:E5664)))))</f>
        <v> </v>
      </c>
      <c r="L5665" s="27"/>
    </row>
    <row r="5666" spans="1:12">
      <c r="A5666" s="20" t="s">
        <v>1236</v>
      </c>
      <c r="B5666" s="21" t="s">
        <v>1526</v>
      </c>
      <c r="C5666" s="21" t="s">
        <v>1238</v>
      </c>
      <c r="D5666" s="21" t="s">
        <v>1180</v>
      </c>
      <c r="E5666" s="22">
        <f>IF(D5666="?OLD","!!!","")</f>
        <v/>
      </c>
      <c r="F5666" s="23" t="str">
        <f>IF(OR(E5666="",E5666="!!!"),"",IF(NOT(ISNA(VLOOKUP(E5666,E$1:E5665,1,FALSE()))),"OLD",IF(AND(E5666&lt;&gt;"",E5666&lt;&gt;"!!!"),"NEW","")))</f>
        <v> </v>
      </c>
      <c r="G5666" s="24" t="str">
        <f>IF(OR(E5666="",E5666="!!!"),"",IF(OR(J5666=0,AND(J5666=1,K5666=1),AND(J5666=1,I5666="SBJ"),AND(J5666=1,I5666=0)),"?IN_FOCUS",IF(J5666&lt;=2,"?ACTIVATED",IF(J5666&lt;&gt;"","?FAMILIAR",IF(F5666="NEW",IF(ISNA(VLOOKUP(E5666,#REF!,1,FALSE())),"?TYPE_IDENTIFIABLE","?REFERENTIAL"),"_")))))</f>
        <v> </v>
      </c>
      <c r="H5666" s="25" t="str">
        <f>IF(J5666&lt;&gt;1,"",IF(I5666="SBJ","CB","?"))</f>
        <v> </v>
      </c>
      <c r="I5666" s="26" t="str">
        <f>IF(OR(E5666="",E5666="!!!",F5666="NEW"),"",INDEX(B5665:B$2,-1+SUMPRODUCT(MAX(ROW(E5665:E$2)*(E5666=E5665:E$2)))))</f>
        <v> </v>
      </c>
      <c r="J5666" s="26" t="str">
        <f>IF(OR(E5666="",E5666="!!!",F5666="NEW"),"",COUNTBLANK(OFFSET(A$1,,,SUMPRODUCT(MAX(ROW(E$2:E5666)*(E5666=E$2:E5666)))))-COUNTBLANK(OFFSET(A$1,,,SUMPRODUCT(MAX(ROW(E$1:E5665)*(E2=E$1:E5665))))))</f>
        <v> </v>
      </c>
      <c r="K5666" s="26" t="str">
        <f>IF(OR(E5666="",E5666="!!!",F5666="NEW"),"",INDEX(J$1:J5665,SUMPRODUCT(MAX(ROW(E$1:E5665)*(E5666=E$1:E5665)))))</f>
        <v> </v>
      </c>
      <c r="L5666" s="27"/>
    </row>
    <row r="5667" spans="1:12">
      <c r="A5667" s="20" t="s">
        <v>427</v>
      </c>
      <c r="B5667" s="21" t="s">
        <v>1912</v>
      </c>
      <c r="C5667" s="21" t="s">
        <v>1238</v>
      </c>
      <c r="D5667" s="21" t="s">
        <v>1180</v>
      </c>
      <c r="E5667" s="22">
        <f>IF(D5667="?OLD","!!!","")</f>
        <v/>
      </c>
      <c r="F5667" s="23" t="str">
        <f>IF(OR(E5667="",E5667="!!!"),"",IF(NOT(ISNA(VLOOKUP(E5667,E$1:E5666,1,FALSE()))),"OLD",IF(AND(E5667&lt;&gt;"",E5667&lt;&gt;"!!!"),"NEW","")))</f>
        <v> </v>
      </c>
      <c r="G5667" s="24" t="str">
        <f>IF(OR(E5667="",E5667="!!!"),"",IF(OR(J5667=0,AND(J5667=1,K5667=1),AND(J5667=1,I5667="SBJ"),AND(J5667=1,I5667=0)),"?IN_FOCUS",IF(J5667&lt;=2,"?ACTIVATED",IF(J5667&lt;&gt;"","?FAMILIAR",IF(F5667="NEW",IF(ISNA(VLOOKUP(E5667,#REF!,1,FALSE())),"?TYPE_IDENTIFIABLE","?REFERENTIAL"),"_")))))</f>
        <v> </v>
      </c>
      <c r="H5667" s="25" t="str">
        <f>IF(J5667&lt;&gt;1,"",IF(I5667="SBJ","CB","?"))</f>
        <v> </v>
      </c>
      <c r="I5667" s="26" t="str">
        <f>IF(OR(E5667="",E5667="!!!",F5667="NEW"),"",INDEX(B5666:B$2,-1+SUMPRODUCT(MAX(ROW(E5666:E$2)*(E5667=E5666:E$2)))))</f>
        <v> </v>
      </c>
      <c r="J5667" s="26" t="str">
        <f>IF(OR(E5667="",E5667="!!!",F5667="NEW"),"",COUNTBLANK(OFFSET(A$1,,,SUMPRODUCT(MAX(ROW(E$2:E5667)*(E5667=E$2:E5667)))))-COUNTBLANK(OFFSET(A$1,,,SUMPRODUCT(MAX(ROW(E$1:E5666)*(E2=E$1:E5666))))))</f>
        <v> </v>
      </c>
      <c r="K5667" s="26" t="str">
        <f>IF(OR(E5667="",E5667="!!!",F5667="NEW"),"",INDEX(J$1:J5666,SUMPRODUCT(MAX(ROW(E$1:E5666)*(E5667=E$1:E5666)))))</f>
        <v> </v>
      </c>
      <c r="L5667" s="27"/>
    </row>
    <row r="5668" spans="1:12">
      <c r="A5668" s="20" t="s">
        <v>2541</v>
      </c>
      <c r="E5668" s="22">
        <f>IF(D5668="?OLD","!!!","")</f>
        <v/>
      </c>
      <c r="F5668" s="23" t="str">
        <f>IF(OR(E5668="",E5668="!!!"),"",IF(NOT(ISNA(VLOOKUP(E5668,E$1:E5667,1,FALSE()))),"OLD",IF(AND(E5668&lt;&gt;"",E5668&lt;&gt;"!!!"),"NEW","")))</f>
        <v> </v>
      </c>
      <c r="G5668" s="24" t="str">
        <f>IF(OR(E5668="",E5668="!!!"),"",IF(OR(J5668=0,AND(J5668=1,K5668=1),AND(J5668=1,I5668="SBJ"),AND(J5668=1,I5668=0)),"?IN_FOCUS",IF(J5668&lt;=2,"?ACTIVATED",IF(J5668&lt;&gt;"","?FAMILIAR",IF(F5668="NEW",IF(ISNA(VLOOKUP(E5668,#REF!,1,FALSE())),"?TYPE_IDENTIFIABLE","?REFERENTIAL"),"_")))))</f>
        <v> </v>
      </c>
      <c r="H5668" s="25" t="str">
        <f>IF(J5668&lt;&gt;1,"",IF(I5668="SBJ","CB","?"))</f>
        <v> </v>
      </c>
      <c r="I5668" s="26" t="str">
        <f>IF(OR(E5668="",E5668="!!!",F5668="NEW"),"",INDEX(B5667:B$2,-1+SUMPRODUCT(MAX(ROW(E5667:E$2)*(E5668=E5667:E$2)))))</f>
        <v> </v>
      </c>
      <c r="J5668" s="26" t="str">
        <f>IF(OR(E5668="",E5668="!!!",F5668="NEW"),"",COUNTBLANK(OFFSET(A$1,,,SUMPRODUCT(MAX(ROW(E$2:E5668)*(E5668=E$2:E5668)))))-COUNTBLANK(OFFSET(A$1,,,SUMPRODUCT(MAX(ROW(E$1:E5667)*(E2=E$1:E5667))))))</f>
        <v> </v>
      </c>
      <c r="K5668" s="26" t="str">
        <f>IF(OR(E5668="",E5668="!!!",F5668="NEW"),"",INDEX(J$1:J5667,SUMPRODUCT(MAX(ROW(E$1:E5667)*(E5668=E$1:E5667)))))</f>
        <v> </v>
      </c>
      <c r="L5668" s="27"/>
    </row>
    <row r="5669" spans="1:12">
      <c r="A5669" s="20" t="s">
        <v>1334</v>
      </c>
      <c r="E5669" s="22">
        <f>IF(D5669="?OLD","!!!","")</f>
        <v/>
      </c>
      <c r="F5669" s="23" t="str">
        <f>IF(OR(E5669="",E5669="!!!"),"",IF(NOT(ISNA(VLOOKUP(E5669,E$1:E5668,1,FALSE()))),"OLD",IF(AND(E5669&lt;&gt;"",E5669&lt;&gt;"!!!"),"NEW","")))</f>
        <v> </v>
      </c>
      <c r="G5669" s="24" t="str">
        <f>IF(OR(E5669="",E5669="!!!"),"",IF(OR(J5669=0,AND(J5669=1,K5669=1),AND(J5669=1,I5669="SBJ"),AND(J5669=1,I5669=0)),"?IN_FOCUS",IF(J5669&lt;=2,"?ACTIVATED",IF(J5669&lt;&gt;"","?FAMILIAR",IF(F5669="NEW",IF(ISNA(VLOOKUP(E5669,#REF!,1,FALSE())),"?TYPE_IDENTIFIABLE","?REFERENTIAL"),"_")))))</f>
        <v> </v>
      </c>
      <c r="H5669" s="25" t="str">
        <f>IF(J5669&lt;&gt;1,"",IF(I5669="SBJ","CB","?"))</f>
        <v> </v>
      </c>
      <c r="I5669" s="26" t="str">
        <f>IF(OR(E5669="",E5669="!!!",F5669="NEW"),"",INDEX(B5668:B$2,-1+SUMPRODUCT(MAX(ROW(E5668:E$2)*(E5669=E5668:E$2)))))</f>
        <v> </v>
      </c>
      <c r="J5669" s="26" t="str">
        <f>IF(OR(E5669="",E5669="!!!",F5669="NEW"),"",COUNTBLANK(OFFSET(A$1,,,SUMPRODUCT(MAX(ROW(E$2:E5669)*(E5669=E$2:E5669)))))-COUNTBLANK(OFFSET(A$1,,,SUMPRODUCT(MAX(ROW(E$1:E5668)*(E2=E$1:E5668))))))</f>
        <v> </v>
      </c>
      <c r="K5669" s="26" t="str">
        <f>IF(OR(E5669="",E5669="!!!",F5669="NEW"),"",INDEX(J$1:J5668,SUMPRODUCT(MAX(ROW(E$1:E5668)*(E5669=E$1:E5668)))))</f>
        <v> </v>
      </c>
      <c r="L5669" s="27"/>
    </row>
    <row r="5670" spans="1:12">
      <c r="A5670" s="20" t="s">
        <v>1185</v>
      </c>
      <c r="E5670" s="22">
        <f>IF(D5670="?OLD","!!!","")</f>
        <v/>
      </c>
      <c r="F5670" s="23" t="str">
        <f>IF(OR(E5670="",E5670="!!!"),"",IF(NOT(ISNA(VLOOKUP(E5670,E$1:E5669,1,FALSE()))),"OLD",IF(AND(E5670&lt;&gt;"",E5670&lt;&gt;"!!!"),"NEW","")))</f>
        <v> </v>
      </c>
      <c r="G5670" s="24" t="str">
        <f>IF(OR(E5670="",E5670="!!!"),"",IF(OR(J5670=0,AND(J5670=1,K5670=1),AND(J5670=1,I5670="SBJ"),AND(J5670=1,I5670=0)),"?IN_FOCUS",IF(J5670&lt;=2,"?ACTIVATED",IF(J5670&lt;&gt;"","?FAMILIAR",IF(F5670="NEW",IF(ISNA(VLOOKUP(E5670,#REF!,1,FALSE())),"?TYPE_IDENTIFIABLE","?REFERENTIAL"),"_")))))</f>
        <v> </v>
      </c>
      <c r="H5670" s="25" t="str">
        <f>IF(J5670&lt;&gt;1,"",IF(I5670="SBJ","CB","?"))</f>
        <v> </v>
      </c>
      <c r="I5670" s="26" t="str">
        <f>IF(OR(E5670="",E5670="!!!",F5670="NEW"),"",INDEX(B5669:B$2,-1+SUMPRODUCT(MAX(ROW(E5669:E$2)*(E5670=E5669:E$2)))))</f>
        <v> </v>
      </c>
      <c r="J5670" s="26" t="str">
        <f>IF(OR(E5670="",E5670="!!!",F5670="NEW"),"",COUNTBLANK(OFFSET(A$1,,,SUMPRODUCT(MAX(ROW(E$2:E5670)*(E5670=E$2:E5670)))))-COUNTBLANK(OFFSET(A$1,,,SUMPRODUCT(MAX(ROW(E$1:E5669)*(E2=E$1:E5669))))))</f>
        <v> </v>
      </c>
      <c r="K5670" s="26" t="str">
        <f>IF(OR(E5670="",E5670="!!!",F5670="NEW"),"",INDEX(J$1:J5669,SUMPRODUCT(MAX(ROW(E$1:E5669)*(E5670=E$1:E5669)))))</f>
        <v> </v>
      </c>
      <c r="L5670" s="27"/>
    </row>
    <row r="5671" spans="1:12">
      <c r="A5671" s="20" t="s">
        <v>2738</v>
      </c>
      <c r="E5671" s="22">
        <f>IF(D5671="?OLD","!!!","")</f>
        <v/>
      </c>
      <c r="F5671" s="23" t="str">
        <f>IF(OR(E5671="",E5671="!!!"),"",IF(NOT(ISNA(VLOOKUP(E5671,E$1:E5670,1,FALSE()))),"OLD",IF(AND(E5671&lt;&gt;"",E5671&lt;&gt;"!!!"),"NEW","")))</f>
        <v> </v>
      </c>
      <c r="G5671" s="24" t="str">
        <f>IF(OR(E5671="",E5671="!!!"),"",IF(OR(J5671=0,AND(J5671=1,K5671=1),AND(J5671=1,I5671="SBJ"),AND(J5671=1,I5671=0)),"?IN_FOCUS",IF(J5671&lt;=2,"?ACTIVATED",IF(J5671&lt;&gt;"","?FAMILIAR",IF(F5671="NEW",IF(ISNA(VLOOKUP(E5671,#REF!,1,FALSE())),"?TYPE_IDENTIFIABLE","?REFERENTIAL"),"_")))))</f>
        <v> </v>
      </c>
      <c r="H5671" s="25" t="str">
        <f>IF(J5671&lt;&gt;1,"",IF(I5671="SBJ","CB","?"))</f>
        <v> </v>
      </c>
      <c r="I5671" s="26" t="str">
        <f>IF(OR(E5671="",E5671="!!!",F5671="NEW"),"",INDEX(B5670:B$2,-1+SUMPRODUCT(MAX(ROW(E5670:E$2)*(E5671=E5670:E$2)))))</f>
        <v> </v>
      </c>
      <c r="J5671" s="26" t="str">
        <f>IF(OR(E5671="",E5671="!!!",F5671="NEW"),"",COUNTBLANK(OFFSET(A$1,,,SUMPRODUCT(MAX(ROW(E$2:E5671)*(E5671=E$2:E5671)))))-COUNTBLANK(OFFSET(A$1,,,SUMPRODUCT(MAX(ROW(E$1:E5670)*(E2=E$1:E5670))))))</f>
        <v> </v>
      </c>
      <c r="K5671" s="26" t="str">
        <f>IF(OR(E5671="",E5671="!!!",F5671="NEW"),"",INDEX(J$1:J5670,SUMPRODUCT(MAX(ROW(E$1:E5670)*(E5671=E$1:E5670)))))</f>
        <v> </v>
      </c>
      <c r="L5671" s="27"/>
    </row>
    <row r="5672" spans="1:12">
      <c r="A5672" s="20" t="s">
        <v>1193</v>
      </c>
      <c r="B5672" s="21" t="s">
        <v>1429</v>
      </c>
      <c r="C5672" s="21" t="s">
        <v>1195</v>
      </c>
      <c r="D5672" s="21" t="s">
        <v>1180</v>
      </c>
      <c r="E5672" s="22">
        <f>IF(D5672="?OLD","!!!","")</f>
        <v/>
      </c>
      <c r="F5672" s="23" t="str">
        <f>IF(OR(E5672="",E5672="!!!"),"",IF(NOT(ISNA(VLOOKUP(E5672,E$1:E5671,1,FALSE()))),"OLD",IF(AND(E5672&lt;&gt;"",E5672&lt;&gt;"!!!"),"NEW","")))</f>
        <v> </v>
      </c>
      <c r="G5672" s="24" t="str">
        <f>IF(OR(E5672="",E5672="!!!"),"",IF(OR(J5672=0,AND(J5672=1,K5672=1),AND(J5672=1,I5672="SBJ"),AND(J5672=1,I5672=0)),"?IN_FOCUS",IF(J5672&lt;=2,"?ACTIVATED",IF(J5672&lt;&gt;"","?FAMILIAR",IF(F5672="NEW",IF(ISNA(VLOOKUP(E5672,#REF!,1,FALSE())),"?TYPE_IDENTIFIABLE","?REFERENTIAL"),"_")))))</f>
        <v> </v>
      </c>
      <c r="H5672" s="25" t="str">
        <f>IF(J5672&lt;&gt;1,"",IF(I5672="SBJ","CB","?"))</f>
        <v> </v>
      </c>
      <c r="I5672" s="26" t="str">
        <f>IF(OR(E5672="",E5672="!!!",F5672="NEW"),"",INDEX(B5671:B$2,-1+SUMPRODUCT(MAX(ROW(E5671:E$2)*(E5672=E5671:E$2)))))</f>
        <v> </v>
      </c>
      <c r="J5672" s="26" t="str">
        <f>IF(OR(E5672="",E5672="!!!",F5672="NEW"),"",COUNTBLANK(OFFSET(A$1,,,SUMPRODUCT(MAX(ROW(E$2:E5672)*(E5672=E$2:E5672)))))-COUNTBLANK(OFFSET(A$1,,,SUMPRODUCT(MAX(ROW(E$1:E5671)*(E2=E$1:E5671))))))</f>
        <v> </v>
      </c>
      <c r="K5672" s="26" t="str">
        <f>IF(OR(E5672="",E5672="!!!",F5672="NEW"),"",INDEX(J$1:J5671,SUMPRODUCT(MAX(ROW(E$1:E5671)*(E5672=E$1:E5671)))))</f>
        <v> </v>
      </c>
      <c r="L5672" s="27"/>
    </row>
    <row r="5673" spans="1:12">
      <c r="A5673" s="20" t="s">
        <v>1647</v>
      </c>
      <c r="E5673" s="22">
        <f>IF(D5673="?OLD","!!!","")</f>
        <v/>
      </c>
      <c r="F5673" s="23" t="str">
        <f>IF(OR(E5673="",E5673="!!!"),"",IF(NOT(ISNA(VLOOKUP(E5673,E$1:E5672,1,FALSE()))),"OLD",IF(AND(E5673&lt;&gt;"",E5673&lt;&gt;"!!!"),"NEW","")))</f>
        <v> </v>
      </c>
      <c r="G5673" s="24" t="str">
        <f>IF(OR(E5673="",E5673="!!!"),"",IF(OR(J5673=0,AND(J5673=1,K5673=1),AND(J5673=1,I5673="SBJ"),AND(J5673=1,I5673=0)),"?IN_FOCUS",IF(J5673&lt;=2,"?ACTIVATED",IF(J5673&lt;&gt;"","?FAMILIAR",IF(F5673="NEW",IF(ISNA(VLOOKUP(E5673,#REF!,1,FALSE())),"?TYPE_IDENTIFIABLE","?REFERENTIAL"),"_")))))</f>
        <v> </v>
      </c>
      <c r="H5673" s="25" t="str">
        <f>IF(J5673&lt;&gt;1,"",IF(I5673="SBJ","CB","?"))</f>
        <v> </v>
      </c>
      <c r="I5673" s="26" t="str">
        <f>IF(OR(E5673="",E5673="!!!",F5673="NEW"),"",INDEX(B5672:B$2,-1+SUMPRODUCT(MAX(ROW(E5672:E$2)*(E5673=E5672:E$2)))))</f>
        <v> </v>
      </c>
      <c r="J5673" s="26" t="str">
        <f>IF(OR(E5673="",E5673="!!!",F5673="NEW"),"",COUNTBLANK(OFFSET(A$1,,,SUMPRODUCT(MAX(ROW(E$2:E5673)*(E5673=E$2:E5673)))))-COUNTBLANK(OFFSET(A$1,,,SUMPRODUCT(MAX(ROW(E$1:E5672)*(E2=E$1:E5672))))))</f>
        <v> </v>
      </c>
      <c r="K5673" s="26" t="str">
        <f>IF(OR(E5673="",E5673="!!!",F5673="NEW"),"",INDEX(J$1:J5672,SUMPRODUCT(MAX(ROW(E$1:E5672)*(E5673=E$1:E5672)))))</f>
        <v> </v>
      </c>
      <c r="L5673" s="27"/>
    </row>
    <row r="5674" spans="1:12">
      <c r="A5674" s="20" t="s">
        <v>1185</v>
      </c>
      <c r="E5674" s="22">
        <f>IF(D5674="?OLD","!!!","")</f>
        <v/>
      </c>
      <c r="F5674" s="23" t="str">
        <f>IF(OR(E5674="",E5674="!!!"),"",IF(NOT(ISNA(VLOOKUP(E5674,E$1:E5673,1,FALSE()))),"OLD",IF(AND(E5674&lt;&gt;"",E5674&lt;&gt;"!!!"),"NEW","")))</f>
        <v> </v>
      </c>
      <c r="G5674" s="24" t="str">
        <f>IF(OR(E5674="",E5674="!!!"),"",IF(OR(J5674=0,AND(J5674=1,K5674=1),AND(J5674=1,I5674="SBJ"),AND(J5674=1,I5674=0)),"?IN_FOCUS",IF(J5674&lt;=2,"?ACTIVATED",IF(J5674&lt;&gt;"","?FAMILIAR",IF(F5674="NEW",IF(ISNA(VLOOKUP(E5674,#REF!,1,FALSE())),"?TYPE_IDENTIFIABLE","?REFERENTIAL"),"_")))))</f>
        <v> </v>
      </c>
      <c r="H5674" s="25" t="str">
        <f>IF(J5674&lt;&gt;1,"",IF(I5674="SBJ","CB","?"))</f>
        <v> </v>
      </c>
      <c r="I5674" s="26" t="str">
        <f>IF(OR(E5674="",E5674="!!!",F5674="NEW"),"",INDEX(B5673:B$2,-1+SUMPRODUCT(MAX(ROW(E5673:E$2)*(E5674=E5673:E$2)))))</f>
        <v> </v>
      </c>
      <c r="J5674" s="26" t="str">
        <f>IF(OR(E5674="",E5674="!!!",F5674="NEW"),"",COUNTBLANK(OFFSET(A$1,,,SUMPRODUCT(MAX(ROW(E$2:E5674)*(E5674=E$2:E5674)))))-COUNTBLANK(OFFSET(A$1,,,SUMPRODUCT(MAX(ROW(E$1:E5673)*(E2=E$1:E5673))))))</f>
        <v> </v>
      </c>
      <c r="K5674" s="26" t="str">
        <f>IF(OR(E5674="",E5674="!!!",F5674="NEW"),"",INDEX(J$1:J5673,SUMPRODUCT(MAX(ROW(E$1:E5673)*(E5674=E$1:E5673)))))</f>
        <v> </v>
      </c>
      <c r="L5674" s="27"/>
    </row>
    <row r="5675" spans="1:12">
      <c r="A5675" s="20" t="s">
        <v>1495</v>
      </c>
      <c r="E5675" s="22">
        <f>IF(D5675="?OLD","!!!","")</f>
        <v/>
      </c>
      <c r="F5675" s="23" t="str">
        <f>IF(OR(E5675="",E5675="!!!"),"",IF(NOT(ISNA(VLOOKUP(E5675,E$1:E5674,1,FALSE()))),"OLD",IF(AND(E5675&lt;&gt;"",E5675&lt;&gt;"!!!"),"NEW","")))</f>
        <v> </v>
      </c>
      <c r="G5675" s="24" t="str">
        <f>IF(OR(E5675="",E5675="!!!"),"",IF(OR(J5675=0,AND(J5675=1,K5675=1),AND(J5675=1,I5675="SBJ"),AND(J5675=1,I5675=0)),"?IN_FOCUS",IF(J5675&lt;=2,"?ACTIVATED",IF(J5675&lt;&gt;"","?FAMILIAR",IF(F5675="NEW",IF(ISNA(VLOOKUP(E5675,#REF!,1,FALSE())),"?TYPE_IDENTIFIABLE","?REFERENTIAL"),"_")))))</f>
        <v> </v>
      </c>
      <c r="H5675" s="25" t="str">
        <f>IF(J5675&lt;&gt;1,"",IF(I5675="SBJ","CB","?"))</f>
        <v> </v>
      </c>
      <c r="I5675" s="26" t="str">
        <f>IF(OR(E5675="",E5675="!!!",F5675="NEW"),"",INDEX(B5674:B$2,-1+SUMPRODUCT(MAX(ROW(E5674:E$2)*(E5675=E5674:E$2)))))</f>
        <v> </v>
      </c>
      <c r="J5675" s="26" t="str">
        <f>IF(OR(E5675="",E5675="!!!",F5675="NEW"),"",COUNTBLANK(OFFSET(A$1,,,SUMPRODUCT(MAX(ROW(E$2:E5675)*(E5675=E$2:E5675)))))-COUNTBLANK(OFFSET(A$1,,,SUMPRODUCT(MAX(ROW(E$1:E5674)*(E2=E$1:E5674))))))</f>
        <v> </v>
      </c>
      <c r="K5675" s="26" t="str">
        <f>IF(OR(E5675="",E5675="!!!",F5675="NEW"),"",INDEX(J$1:J5674,SUMPRODUCT(MAX(ROW(E$1:E5674)*(E5675=E$1:E5674)))))</f>
        <v> </v>
      </c>
      <c r="L5675" s="27"/>
    </row>
    <row r="5676" spans="1:12">
      <c r="A5676" s="20" t="s">
        <v>1190</v>
      </c>
      <c r="B5676" s="21" t="s">
        <v>1430</v>
      </c>
      <c r="C5676" s="21" t="s">
        <v>1188</v>
      </c>
      <c r="D5676" s="21" t="s">
        <v>1180</v>
      </c>
      <c r="E5676" s="22">
        <f>IF(D5676="?OLD","!!!","")</f>
        <v/>
      </c>
      <c r="F5676" s="23" t="str">
        <f>IF(OR(E5676="",E5676="!!!"),"",IF(NOT(ISNA(VLOOKUP(E5676,E$1:E5675,1,FALSE()))),"OLD",IF(AND(E5676&lt;&gt;"",E5676&lt;&gt;"!!!"),"NEW","")))</f>
        <v> </v>
      </c>
      <c r="G5676" s="24" t="str">
        <f>IF(OR(E5676="",E5676="!!!"),"",IF(OR(J5676=0,AND(J5676=1,K5676=1),AND(J5676=1,I5676="SBJ"),AND(J5676=1,I5676=0)),"?IN_FOCUS",IF(J5676&lt;=2,"?ACTIVATED",IF(J5676&lt;&gt;"","?FAMILIAR",IF(F5676="NEW",IF(ISNA(VLOOKUP(E5676,#REF!,1,FALSE())),"?TYPE_IDENTIFIABLE","?REFERENTIAL"),"_")))))</f>
        <v> </v>
      </c>
      <c r="H5676" s="25" t="str">
        <f>IF(J5676&lt;&gt;1,"",IF(I5676="SBJ","CB","?"))</f>
        <v> </v>
      </c>
      <c r="I5676" s="26" t="str">
        <f>IF(OR(E5676="",E5676="!!!",F5676="NEW"),"",INDEX(B5675:B$2,-1+SUMPRODUCT(MAX(ROW(E5675:E$2)*(E5676=E5675:E$2)))))</f>
        <v> </v>
      </c>
      <c r="J5676" s="26" t="str">
        <f>IF(OR(E5676="",E5676="!!!",F5676="NEW"),"",COUNTBLANK(OFFSET(A$1,,,SUMPRODUCT(MAX(ROW(E$2:E5676)*(E5676=E$2:E5676)))))-COUNTBLANK(OFFSET(A$1,,,SUMPRODUCT(MAX(ROW(E$1:E5675)*(E2=E$1:E5675))))))</f>
        <v> </v>
      </c>
      <c r="K5676" s="26" t="str">
        <f>IF(OR(E5676="",E5676="!!!",F5676="NEW"),"",INDEX(J$1:J5675,SUMPRODUCT(MAX(ROW(E$1:E5675)*(E5676=E$1:E5675)))))</f>
        <v> </v>
      </c>
      <c r="L5676" s="27"/>
    </row>
    <row r="5677" spans="1:12">
      <c r="A5677" s="20" t="s">
        <v>1185</v>
      </c>
      <c r="E5677" s="22">
        <f>IF(D5677="?OLD","!!!","")</f>
        <v/>
      </c>
      <c r="F5677" s="23" t="str">
        <f>IF(OR(E5677="",E5677="!!!"),"",IF(NOT(ISNA(VLOOKUP(E5677,E$1:E5676,1,FALSE()))),"OLD",IF(AND(E5677&lt;&gt;"",E5677&lt;&gt;"!!!"),"NEW","")))</f>
        <v> </v>
      </c>
      <c r="G5677" s="24" t="str">
        <f>IF(OR(E5677="",E5677="!!!"),"",IF(OR(J5677=0,AND(J5677=1,K5677=1),AND(J5677=1,I5677="SBJ"),AND(J5677=1,I5677=0)),"?IN_FOCUS",IF(J5677&lt;=2,"?ACTIVATED",IF(J5677&lt;&gt;"","?FAMILIAR",IF(F5677="NEW",IF(ISNA(VLOOKUP(E5677,#REF!,1,FALSE())),"?TYPE_IDENTIFIABLE","?REFERENTIAL"),"_")))))</f>
        <v> </v>
      </c>
      <c r="H5677" s="25" t="str">
        <f>IF(J5677&lt;&gt;1,"",IF(I5677="SBJ","CB","?"))</f>
        <v> </v>
      </c>
      <c r="I5677" s="26" t="str">
        <f>IF(OR(E5677="",E5677="!!!",F5677="NEW"),"",INDEX(B5676:B$2,-1+SUMPRODUCT(MAX(ROW(E5676:E$2)*(E5677=E5676:E$2)))))</f>
        <v> </v>
      </c>
      <c r="J5677" s="26" t="str">
        <f>IF(OR(E5677="",E5677="!!!",F5677="NEW"),"",COUNTBLANK(OFFSET(A$1,,,SUMPRODUCT(MAX(ROW(E$2:E5677)*(E5677=E$2:E5677)))))-COUNTBLANK(OFFSET(A$1,,,SUMPRODUCT(MAX(ROW(E$1:E5676)*(E2=E$1:E5676))))))</f>
        <v> </v>
      </c>
      <c r="K5677" s="26" t="str">
        <f>IF(OR(E5677="",E5677="!!!",F5677="NEW"),"",INDEX(J$1:J5676,SUMPRODUCT(MAX(ROW(E$1:E5676)*(E5677=E$1:E5676)))))</f>
        <v> </v>
      </c>
      <c r="L5677" s="27"/>
    </row>
    <row r="5678" spans="1:12">
      <c r="A5678" s="20" t="s">
        <v>1224</v>
      </c>
      <c r="E5678" s="22">
        <f>IF(D5678="?OLD","!!!","")</f>
        <v/>
      </c>
      <c r="F5678" s="23" t="str">
        <f>IF(OR(E5678="",E5678="!!!"),"",IF(NOT(ISNA(VLOOKUP(E5678,E$1:E5677,1,FALSE()))),"OLD",IF(AND(E5678&lt;&gt;"",E5678&lt;&gt;"!!!"),"NEW","")))</f>
        <v> </v>
      </c>
      <c r="G5678" s="24" t="str">
        <f>IF(OR(E5678="",E5678="!!!"),"",IF(OR(J5678=0,AND(J5678=1,K5678=1),AND(J5678=1,I5678="SBJ"),AND(J5678=1,I5678=0)),"?IN_FOCUS",IF(J5678&lt;=2,"?ACTIVATED",IF(J5678&lt;&gt;"","?FAMILIAR",IF(F5678="NEW",IF(ISNA(VLOOKUP(E5678,#REF!,1,FALSE())),"?TYPE_IDENTIFIABLE","?REFERENTIAL"),"_")))))</f>
        <v> </v>
      </c>
      <c r="H5678" s="25" t="str">
        <f>IF(J5678&lt;&gt;1,"",IF(I5678="SBJ","CB","?"))</f>
        <v> </v>
      </c>
      <c r="I5678" s="26" t="str">
        <f>IF(OR(E5678="",E5678="!!!",F5678="NEW"),"",INDEX(B5677:B$2,-1+SUMPRODUCT(MAX(ROW(E5677:E$2)*(E5678=E5677:E$2)))))</f>
        <v> </v>
      </c>
      <c r="J5678" s="26" t="str">
        <f>IF(OR(E5678="",E5678="!!!",F5678="NEW"),"",COUNTBLANK(OFFSET(A$1,,,SUMPRODUCT(MAX(ROW(E$2:E5678)*(E5678=E$2:E5678)))))-COUNTBLANK(OFFSET(A$1,,,SUMPRODUCT(MAX(ROW(E$1:E5677)*(E2=E$1:E5677))))))</f>
        <v> </v>
      </c>
      <c r="K5678" s="26" t="str">
        <f>IF(OR(E5678="",E5678="!!!",F5678="NEW"),"",INDEX(J$1:J5677,SUMPRODUCT(MAX(ROW(E$1:E5677)*(E5678=E$1:E5677)))))</f>
        <v> </v>
      </c>
      <c r="L5678" s="27"/>
    </row>
    <row r="5679" spans="1:12">
      <c r="A5679" s="20" t="s">
        <v>2739</v>
      </c>
      <c r="E5679" s="22">
        <f>IF(D5679="?OLD","!!!","")</f>
        <v/>
      </c>
      <c r="F5679" s="23" t="str">
        <f>IF(OR(E5679="",E5679="!!!"),"",IF(NOT(ISNA(VLOOKUP(E5679,E$1:E5678,1,FALSE()))),"OLD",IF(AND(E5679&lt;&gt;"",E5679&lt;&gt;"!!!"),"NEW","")))</f>
        <v> </v>
      </c>
      <c r="G5679" s="24" t="str">
        <f>IF(OR(E5679="",E5679="!!!"),"",IF(OR(J5679=0,AND(J5679=1,K5679=1),AND(J5679=1,I5679="SBJ"),AND(J5679=1,I5679=0)),"?IN_FOCUS",IF(J5679&lt;=2,"?ACTIVATED",IF(J5679&lt;&gt;"","?FAMILIAR",IF(F5679="NEW",IF(ISNA(VLOOKUP(E5679,#REF!,1,FALSE())),"?TYPE_IDENTIFIABLE","?REFERENTIAL"),"_")))))</f>
        <v> </v>
      </c>
      <c r="H5679" s="25" t="str">
        <f>IF(J5679&lt;&gt;1,"",IF(I5679="SBJ","CB","?"))</f>
        <v> </v>
      </c>
      <c r="I5679" s="26" t="str">
        <f>IF(OR(E5679="",E5679="!!!",F5679="NEW"),"",INDEX(B5678:B$2,-1+SUMPRODUCT(MAX(ROW(E5678:E$2)*(E5679=E5678:E$2)))))</f>
        <v> </v>
      </c>
      <c r="J5679" s="26" t="str">
        <f>IF(OR(E5679="",E5679="!!!",F5679="NEW"),"",COUNTBLANK(OFFSET(A$1,,,SUMPRODUCT(MAX(ROW(E$2:E5679)*(E5679=E$2:E5679)))))-COUNTBLANK(OFFSET(A$1,,,SUMPRODUCT(MAX(ROW(E$1:E5678)*(E2=E$1:E5678))))))</f>
        <v> </v>
      </c>
      <c r="K5679" s="26" t="str">
        <f>IF(OR(E5679="",E5679="!!!",F5679="NEW"),"",INDEX(J$1:J5678,SUMPRODUCT(MAX(ROW(E$1:E5678)*(E5679=E$1:E5678)))))</f>
        <v> </v>
      </c>
      <c r="L5679" s="27"/>
    </row>
    <row r="5680" spans="1:12">
      <c r="A5680" s="20" t="s">
        <v>2643</v>
      </c>
      <c r="B5680" s="21" t="s">
        <v>1493</v>
      </c>
      <c r="C5680" s="21" t="s">
        <v>1210</v>
      </c>
      <c r="D5680" s="21" t="s">
        <v>1180</v>
      </c>
      <c r="E5680" s="22">
        <f>IF(D5680="?OLD","!!!","")</f>
        <v/>
      </c>
      <c r="F5680" s="23" t="str">
        <f>IF(OR(E5680="",E5680="!!!"),"",IF(NOT(ISNA(VLOOKUP(E5680,E$1:E5679,1,FALSE()))),"OLD",IF(AND(E5680&lt;&gt;"",E5680&lt;&gt;"!!!"),"NEW","")))</f>
        <v> </v>
      </c>
      <c r="G5680" s="24" t="str">
        <f>IF(OR(E5680="",E5680="!!!"),"",IF(OR(J5680=0,AND(J5680=1,K5680=1),AND(J5680=1,I5680="SBJ"),AND(J5680=1,I5680=0)),"?IN_FOCUS",IF(J5680&lt;=2,"?ACTIVATED",IF(J5680&lt;&gt;"","?FAMILIAR",IF(F5680="NEW",IF(ISNA(VLOOKUP(E5680,#REF!,1,FALSE())),"?TYPE_IDENTIFIABLE","?REFERENTIAL"),"_")))))</f>
        <v> </v>
      </c>
      <c r="H5680" s="25" t="str">
        <f>IF(J5680&lt;&gt;1,"",IF(I5680="SBJ","CB","?"))</f>
        <v> </v>
      </c>
      <c r="I5680" s="26" t="str">
        <f>IF(OR(E5680="",E5680="!!!",F5680="NEW"),"",INDEX(B5679:B$2,-1+SUMPRODUCT(MAX(ROW(E5679:E$2)*(E5680=E5679:E$2)))))</f>
        <v> </v>
      </c>
      <c r="J5680" s="26" t="str">
        <f>IF(OR(E5680="",E5680="!!!",F5680="NEW"),"",COUNTBLANK(OFFSET(A$1,,,SUMPRODUCT(MAX(ROW(E$2:E5680)*(E5680=E$2:E5680)))))-COUNTBLANK(OFFSET(A$1,,,SUMPRODUCT(MAX(ROW(E$1:E5679)*(E2=E$1:E5679))))))</f>
        <v> </v>
      </c>
      <c r="K5680" s="26" t="str">
        <f>IF(OR(E5680="",E5680="!!!",F5680="NEW"),"",INDEX(J$1:J5679,SUMPRODUCT(MAX(ROW(E$1:E5679)*(E5680=E$1:E5679)))))</f>
        <v> </v>
      </c>
      <c r="L5680" s="27"/>
    </row>
    <row r="5681" spans="1:12">
      <c r="A5681" s="20" t="s">
        <v>427</v>
      </c>
      <c r="B5681" s="21" t="s">
        <v>1341</v>
      </c>
      <c r="C5681" s="21" t="s">
        <v>1238</v>
      </c>
      <c r="D5681" s="21" t="s">
        <v>1180</v>
      </c>
      <c r="E5681" s="22">
        <f>IF(D5681="?OLD","!!!","")</f>
        <v/>
      </c>
      <c r="F5681" s="23" t="str">
        <f>IF(OR(E5681="",E5681="!!!"),"",IF(NOT(ISNA(VLOOKUP(E5681,E$1:E5680,1,FALSE()))),"OLD",IF(AND(E5681&lt;&gt;"",E5681&lt;&gt;"!!!"),"NEW","")))</f>
        <v> </v>
      </c>
      <c r="G5681" s="24" t="str">
        <f>IF(OR(E5681="",E5681="!!!"),"",IF(OR(J5681=0,AND(J5681=1,K5681=1),AND(J5681=1,I5681="SBJ"),AND(J5681=1,I5681=0)),"?IN_FOCUS",IF(J5681&lt;=2,"?ACTIVATED",IF(J5681&lt;&gt;"","?FAMILIAR",IF(F5681="NEW",IF(ISNA(VLOOKUP(E5681,#REF!,1,FALSE())),"?TYPE_IDENTIFIABLE","?REFERENTIAL"),"_")))))</f>
        <v> </v>
      </c>
      <c r="H5681" s="25" t="str">
        <f>IF(J5681&lt;&gt;1,"",IF(I5681="SBJ","CB","?"))</f>
        <v> </v>
      </c>
      <c r="I5681" s="26" t="str">
        <f>IF(OR(E5681="",E5681="!!!",F5681="NEW"),"",INDEX(B5680:B$2,-1+SUMPRODUCT(MAX(ROW(E5680:E$2)*(E5681=E5680:E$2)))))</f>
        <v> </v>
      </c>
      <c r="J5681" s="26" t="str">
        <f>IF(OR(E5681="",E5681="!!!",F5681="NEW"),"",COUNTBLANK(OFFSET(A$1,,,SUMPRODUCT(MAX(ROW(E$2:E5681)*(E5681=E$2:E5681)))))-COUNTBLANK(OFFSET(A$1,,,SUMPRODUCT(MAX(ROW(E$1:E5680)*(E2=E$1:E5680))))))</f>
        <v> </v>
      </c>
      <c r="K5681" s="26" t="str">
        <f>IF(OR(E5681="",E5681="!!!",F5681="NEW"),"",INDEX(J$1:J5680,SUMPRODUCT(MAX(ROW(E$1:E5680)*(E5681=E$1:E5680)))))</f>
        <v> </v>
      </c>
      <c r="L5681" s="27"/>
    </row>
    <row r="5682" spans="1:12">
      <c r="A5682" s="20" t="s">
        <v>1224</v>
      </c>
      <c r="E5682" s="22">
        <f>IF(D5682="?OLD","!!!","")</f>
        <v/>
      </c>
      <c r="F5682" s="23" t="str">
        <f>IF(OR(E5682="",E5682="!!!"),"",IF(NOT(ISNA(VLOOKUP(E5682,E$1:E5681,1,FALSE()))),"OLD",IF(AND(E5682&lt;&gt;"",E5682&lt;&gt;"!!!"),"NEW","")))</f>
        <v> </v>
      </c>
      <c r="G5682" s="24" t="str">
        <f>IF(OR(E5682="",E5682="!!!"),"",IF(OR(J5682=0,AND(J5682=1,K5682=1),AND(J5682=1,I5682="SBJ"),AND(J5682=1,I5682=0)),"?IN_FOCUS",IF(J5682&lt;=2,"?ACTIVATED",IF(J5682&lt;&gt;"","?FAMILIAR",IF(F5682="NEW",IF(ISNA(VLOOKUP(E5682,#REF!,1,FALSE())),"?TYPE_IDENTIFIABLE","?REFERENTIAL"),"_")))))</f>
        <v> </v>
      </c>
      <c r="H5682" s="25" t="str">
        <f>IF(J5682&lt;&gt;1,"",IF(I5682="SBJ","CB","?"))</f>
        <v> </v>
      </c>
      <c r="I5682" s="26" t="str">
        <f>IF(OR(E5682="",E5682="!!!",F5682="NEW"),"",INDEX(B5681:B$2,-1+SUMPRODUCT(MAX(ROW(E5681:E$2)*(E5682=E5681:E$2)))))</f>
        <v> </v>
      </c>
      <c r="J5682" s="26" t="str">
        <f>IF(OR(E5682="",E5682="!!!",F5682="NEW"),"",COUNTBLANK(OFFSET(A$1,,,SUMPRODUCT(MAX(ROW(E$2:E5682)*(E5682=E$2:E5682)))))-COUNTBLANK(OFFSET(A$1,,,SUMPRODUCT(MAX(ROW(E$1:E5681)*(E2=E$1:E5681))))))</f>
        <v> </v>
      </c>
      <c r="K5682" s="26" t="str">
        <f>IF(OR(E5682="",E5682="!!!",F5682="NEW"),"",INDEX(J$1:J5681,SUMPRODUCT(MAX(ROW(E$1:E5681)*(E5682=E$1:E5681)))))</f>
        <v> </v>
      </c>
      <c r="L5682" s="27"/>
    </row>
    <row r="5683" spans="1:12">
      <c r="A5683" s="20" t="s">
        <v>1198</v>
      </c>
      <c r="E5683" s="22">
        <f>IF(D5683="?OLD","!!!","")</f>
        <v/>
      </c>
      <c r="F5683" s="23" t="str">
        <f>IF(OR(E5683="",E5683="!!!"),"",IF(NOT(ISNA(VLOOKUP(E5683,E$1:E5682,1,FALSE()))),"OLD",IF(AND(E5683&lt;&gt;"",E5683&lt;&gt;"!!!"),"NEW","")))</f>
        <v> </v>
      </c>
      <c r="G5683" s="24" t="str">
        <f>IF(OR(E5683="",E5683="!!!"),"",IF(OR(J5683=0,AND(J5683=1,K5683=1),AND(J5683=1,I5683="SBJ"),AND(J5683=1,I5683=0)),"?IN_FOCUS",IF(J5683&lt;=2,"?ACTIVATED",IF(J5683&lt;&gt;"","?FAMILIAR",IF(F5683="NEW",IF(ISNA(VLOOKUP(E5683,#REF!,1,FALSE())),"?TYPE_IDENTIFIABLE","?REFERENTIAL"),"_")))))</f>
        <v> </v>
      </c>
      <c r="H5683" s="25" t="str">
        <f>IF(J5683&lt;&gt;1,"",IF(I5683="SBJ","CB","?"))</f>
        <v> </v>
      </c>
      <c r="I5683" s="26" t="str">
        <f>IF(OR(E5683="",E5683="!!!",F5683="NEW"),"",INDEX(B5682:B$2,-1+SUMPRODUCT(MAX(ROW(E5682:E$2)*(E5683=E5682:E$2)))))</f>
        <v> </v>
      </c>
      <c r="J5683" s="26" t="str">
        <f>IF(OR(E5683="",E5683="!!!",F5683="NEW"),"",COUNTBLANK(OFFSET(A$1,,,SUMPRODUCT(MAX(ROW(E$2:E5683)*(E5683=E$2:E5683)))))-COUNTBLANK(OFFSET(A$1,,,SUMPRODUCT(MAX(ROW(E$1:E5682)*(E2=E$1:E5682))))))</f>
        <v> </v>
      </c>
      <c r="K5683" s="26" t="str">
        <f>IF(OR(E5683="",E5683="!!!",F5683="NEW"),"",INDEX(J$1:J5682,SUMPRODUCT(MAX(ROW(E$1:E5682)*(E5683=E$1:E5682)))))</f>
        <v> </v>
      </c>
      <c r="L5683" s="27"/>
    </row>
    <row r="5684" spans="1:12">
      <c r="A5684" s="20" t="s">
        <v>2740</v>
      </c>
      <c r="B5684" s="21" t="s">
        <v>1493</v>
      </c>
      <c r="C5684" s="21" t="s">
        <v>1188</v>
      </c>
      <c r="D5684" s="21" t="s">
        <v>1180</v>
      </c>
      <c r="E5684" s="22">
        <f>IF(D5684="?OLD","!!!","")</f>
        <v/>
      </c>
      <c r="F5684" s="23" t="str">
        <f>IF(OR(E5684="",E5684="!!!"),"",IF(NOT(ISNA(VLOOKUP(E5684,E$1:E5683,1,FALSE()))),"OLD",IF(AND(E5684&lt;&gt;"",E5684&lt;&gt;"!!!"),"NEW","")))</f>
        <v> </v>
      </c>
      <c r="G5684" s="24" t="str">
        <f>IF(OR(E5684="",E5684="!!!"),"",IF(OR(J5684=0,AND(J5684=1,K5684=1),AND(J5684=1,I5684="SBJ"),AND(J5684=1,I5684=0)),"?IN_FOCUS",IF(J5684&lt;=2,"?ACTIVATED",IF(J5684&lt;&gt;"","?FAMILIAR",IF(F5684="NEW",IF(ISNA(VLOOKUP(E5684,#REF!,1,FALSE())),"?TYPE_IDENTIFIABLE","?REFERENTIAL"),"_")))))</f>
        <v> </v>
      </c>
      <c r="H5684" s="25" t="str">
        <f>IF(J5684&lt;&gt;1,"",IF(I5684="SBJ","CB","?"))</f>
        <v> </v>
      </c>
      <c r="I5684" s="26" t="str">
        <f>IF(OR(E5684="",E5684="!!!",F5684="NEW"),"",INDEX(B5683:B$2,-1+SUMPRODUCT(MAX(ROW(E5683:E$2)*(E5684=E5683:E$2)))))</f>
        <v> </v>
      </c>
      <c r="J5684" s="26" t="str">
        <f>IF(OR(E5684="",E5684="!!!",F5684="NEW"),"",COUNTBLANK(OFFSET(A$1,,,SUMPRODUCT(MAX(ROW(E$2:E5684)*(E5684=E$2:E5684)))))-COUNTBLANK(OFFSET(A$1,,,SUMPRODUCT(MAX(ROW(E$1:E5683)*(E2=E$1:E5683))))))</f>
        <v> </v>
      </c>
      <c r="K5684" s="26" t="str">
        <f>IF(OR(E5684="",E5684="!!!",F5684="NEW"),"",INDEX(J$1:J5683,SUMPRODUCT(MAX(ROW(E$1:E5683)*(E5684=E$1:E5683)))))</f>
        <v> </v>
      </c>
      <c r="L5684" s="27"/>
    </row>
    <row r="5685" spans="1:12">
      <c r="A5685" s="20" t="s">
        <v>2704</v>
      </c>
      <c r="E5685" s="22">
        <f>IF(D5685="?OLD","!!!","")</f>
        <v/>
      </c>
      <c r="F5685" s="23" t="str">
        <f>IF(OR(E5685="",E5685="!!!"),"",IF(NOT(ISNA(VLOOKUP(E5685,E$1:E5684,1,FALSE()))),"OLD",IF(AND(E5685&lt;&gt;"",E5685&lt;&gt;"!!!"),"NEW","")))</f>
        <v> </v>
      </c>
      <c r="G5685" s="24" t="str">
        <f>IF(OR(E5685="",E5685="!!!"),"",IF(OR(J5685=0,AND(J5685=1,K5685=1),AND(J5685=1,I5685="SBJ"),AND(J5685=1,I5685=0)),"?IN_FOCUS",IF(J5685&lt;=2,"?ACTIVATED",IF(J5685&lt;&gt;"","?FAMILIAR",IF(F5685="NEW",IF(ISNA(VLOOKUP(E5685,#REF!,1,FALSE())),"?TYPE_IDENTIFIABLE","?REFERENTIAL"),"_")))))</f>
        <v> </v>
      </c>
      <c r="H5685" s="25" t="str">
        <f>IF(J5685&lt;&gt;1,"",IF(I5685="SBJ","CB","?"))</f>
        <v> </v>
      </c>
      <c r="I5685" s="26" t="str">
        <f>IF(OR(E5685="",E5685="!!!",F5685="NEW"),"",INDEX(B5684:B$2,-1+SUMPRODUCT(MAX(ROW(E5684:E$2)*(E5685=E5684:E$2)))))</f>
        <v> </v>
      </c>
      <c r="J5685" s="26" t="str">
        <f>IF(OR(E5685="",E5685="!!!",F5685="NEW"),"",COUNTBLANK(OFFSET(A$1,,,SUMPRODUCT(MAX(ROW(E$2:E5685)*(E5685=E$2:E5685)))))-COUNTBLANK(OFFSET(A$1,,,SUMPRODUCT(MAX(ROW(E$1:E5684)*(E2=E$1:E5684))))))</f>
        <v> </v>
      </c>
      <c r="K5685" s="26" t="str">
        <f>IF(OR(E5685="",E5685="!!!",F5685="NEW"),"",INDEX(J$1:J5684,SUMPRODUCT(MAX(ROW(E$1:E5684)*(E5685=E$1:E5684)))))</f>
        <v> </v>
      </c>
      <c r="L5685" s="27"/>
    </row>
    <row r="5686" spans="1:12">
      <c r="A5686" s="20" t="s">
        <v>1334</v>
      </c>
      <c r="E5686" s="22">
        <f>IF(D5686="?OLD","!!!","")</f>
        <v/>
      </c>
      <c r="F5686" s="23" t="str">
        <f>IF(OR(E5686="",E5686="!!!"),"",IF(NOT(ISNA(VLOOKUP(E5686,E$1:E5685,1,FALSE()))),"OLD",IF(AND(E5686&lt;&gt;"",E5686&lt;&gt;"!!!"),"NEW","")))</f>
        <v> </v>
      </c>
      <c r="G5686" s="24" t="str">
        <f>IF(OR(E5686="",E5686="!!!"),"",IF(OR(J5686=0,AND(J5686=1,K5686=1),AND(J5686=1,I5686="SBJ"),AND(J5686=1,I5686=0)),"?IN_FOCUS",IF(J5686&lt;=2,"?ACTIVATED",IF(J5686&lt;&gt;"","?FAMILIAR",IF(F5686="NEW",IF(ISNA(VLOOKUP(E5686,#REF!,1,FALSE())),"?TYPE_IDENTIFIABLE","?REFERENTIAL"),"_")))))</f>
        <v> </v>
      </c>
      <c r="H5686" s="25" t="str">
        <f>IF(J5686&lt;&gt;1,"",IF(I5686="SBJ","CB","?"))</f>
        <v> </v>
      </c>
      <c r="I5686" s="26" t="str">
        <f>IF(OR(E5686="",E5686="!!!",F5686="NEW"),"",INDEX(B5685:B$2,-1+SUMPRODUCT(MAX(ROW(E5685:E$2)*(E5686=E5685:E$2)))))</f>
        <v> </v>
      </c>
      <c r="J5686" s="26" t="str">
        <f>IF(OR(E5686="",E5686="!!!",F5686="NEW"),"",COUNTBLANK(OFFSET(A$1,,,SUMPRODUCT(MAX(ROW(E$2:E5686)*(E5686=E$2:E5686)))))-COUNTBLANK(OFFSET(A$1,,,SUMPRODUCT(MAX(ROW(E$1:E5685)*(E2=E$1:E5685))))))</f>
        <v> </v>
      </c>
      <c r="K5686" s="26" t="str">
        <f>IF(OR(E5686="",E5686="!!!",F5686="NEW"),"",INDEX(J$1:J5685,SUMPRODUCT(MAX(ROW(E$1:E5685)*(E5686=E$1:E5685)))))</f>
        <v> </v>
      </c>
      <c r="L5686" s="27"/>
    </row>
    <row r="5687" spans="1:12">
      <c r="A5687" s="20" t="s">
        <v>1185</v>
      </c>
      <c r="E5687" s="22">
        <f>IF(D5687="?OLD","!!!","")</f>
        <v/>
      </c>
      <c r="F5687" s="23" t="str">
        <f>IF(OR(E5687="",E5687="!!!"),"",IF(NOT(ISNA(VLOOKUP(E5687,E$1:E5686,1,FALSE()))),"OLD",IF(AND(E5687&lt;&gt;"",E5687&lt;&gt;"!!!"),"NEW","")))</f>
        <v> </v>
      </c>
      <c r="G5687" s="24" t="str">
        <f>IF(OR(E5687="",E5687="!!!"),"",IF(OR(J5687=0,AND(J5687=1,K5687=1),AND(J5687=1,I5687="SBJ"),AND(J5687=1,I5687=0)),"?IN_FOCUS",IF(J5687&lt;=2,"?ACTIVATED",IF(J5687&lt;&gt;"","?FAMILIAR",IF(F5687="NEW",IF(ISNA(VLOOKUP(E5687,#REF!,1,FALSE())),"?TYPE_IDENTIFIABLE","?REFERENTIAL"),"_")))))</f>
        <v> </v>
      </c>
      <c r="H5687" s="25" t="str">
        <f>IF(J5687&lt;&gt;1,"",IF(I5687="SBJ","CB","?"))</f>
        <v> </v>
      </c>
      <c r="I5687" s="26" t="str">
        <f>IF(OR(E5687="",E5687="!!!",F5687="NEW"),"",INDEX(B5686:B$2,-1+SUMPRODUCT(MAX(ROW(E5686:E$2)*(E5687=E5686:E$2)))))</f>
        <v> </v>
      </c>
      <c r="J5687" s="26" t="str">
        <f>IF(OR(E5687="",E5687="!!!",F5687="NEW"),"",COUNTBLANK(OFFSET(A$1,,,SUMPRODUCT(MAX(ROW(E$2:E5687)*(E5687=E$2:E5687)))))-COUNTBLANK(OFFSET(A$1,,,SUMPRODUCT(MAX(ROW(E$1:E5686)*(E2=E$1:E5686))))))</f>
        <v> </v>
      </c>
      <c r="K5687" s="26" t="str">
        <f>IF(OR(E5687="",E5687="!!!",F5687="NEW"),"",INDEX(J$1:J5686,SUMPRODUCT(MAX(ROW(E$1:E5686)*(E5687=E$1:E5686)))))</f>
        <v> </v>
      </c>
      <c r="L5687" s="27"/>
    </row>
    <row r="5688" spans="1:12">
      <c r="A5688" s="20" t="s">
        <v>1257</v>
      </c>
      <c r="E5688" s="22">
        <f>IF(D5688="?OLD","!!!","")</f>
        <v/>
      </c>
      <c r="F5688" s="23" t="str">
        <f>IF(OR(E5688="",E5688="!!!"),"",IF(NOT(ISNA(VLOOKUP(E5688,E$1:E5687,1,FALSE()))),"OLD",IF(AND(E5688&lt;&gt;"",E5688&lt;&gt;"!!!"),"NEW","")))</f>
        <v> </v>
      </c>
      <c r="G5688" s="24" t="str">
        <f>IF(OR(E5688="",E5688="!!!"),"",IF(OR(J5688=0,AND(J5688=1,K5688=1),AND(J5688=1,I5688="SBJ"),AND(J5688=1,I5688=0)),"?IN_FOCUS",IF(J5688&lt;=2,"?ACTIVATED",IF(J5688&lt;&gt;"","?FAMILIAR",IF(F5688="NEW",IF(ISNA(VLOOKUP(E5688,#REF!,1,FALSE())),"?TYPE_IDENTIFIABLE","?REFERENTIAL"),"_")))))</f>
        <v> </v>
      </c>
      <c r="H5688" s="25" t="str">
        <f>IF(J5688&lt;&gt;1,"",IF(I5688="SBJ","CB","?"))</f>
        <v> </v>
      </c>
      <c r="I5688" s="26" t="str">
        <f>IF(OR(E5688="",E5688="!!!",F5688="NEW"),"",INDEX(B5687:B$2,-1+SUMPRODUCT(MAX(ROW(E5687:E$2)*(E5688=E5687:E$2)))))</f>
        <v> </v>
      </c>
      <c r="J5688" s="26" t="str">
        <f>IF(OR(E5688="",E5688="!!!",F5688="NEW"),"",COUNTBLANK(OFFSET(A$1,,,SUMPRODUCT(MAX(ROW(E$2:E5688)*(E5688=E$2:E5688)))))-COUNTBLANK(OFFSET(A$1,,,SUMPRODUCT(MAX(ROW(E$1:E5687)*(E2=E$1:E5687))))))</f>
        <v> </v>
      </c>
      <c r="K5688" s="26" t="str">
        <f>IF(OR(E5688="",E5688="!!!",F5688="NEW"),"",INDEX(J$1:J5687,SUMPRODUCT(MAX(ROW(E$1:E5687)*(E5688=E$1:E5687)))))</f>
        <v> </v>
      </c>
      <c r="L5688" s="27"/>
    </row>
    <row r="5689" spans="1:12">
      <c r="A5689" s="20" t="s">
        <v>2708</v>
      </c>
      <c r="E5689" s="22">
        <f>IF(D5689="?OLD","!!!","")</f>
        <v/>
      </c>
      <c r="F5689" s="23" t="str">
        <f>IF(OR(E5689="",E5689="!!!"),"",IF(NOT(ISNA(VLOOKUP(E5689,E$1:E5688,1,FALSE()))),"OLD",IF(AND(E5689&lt;&gt;"",E5689&lt;&gt;"!!!"),"NEW","")))</f>
        <v> </v>
      </c>
      <c r="G5689" s="24" t="str">
        <f>IF(OR(E5689="",E5689="!!!"),"",IF(OR(J5689=0,AND(J5689=1,K5689=1),AND(J5689=1,I5689="SBJ"),AND(J5689=1,I5689=0)),"?IN_FOCUS",IF(J5689&lt;=2,"?ACTIVATED",IF(J5689&lt;&gt;"","?FAMILIAR",IF(F5689="NEW",IF(ISNA(VLOOKUP(E5689,#REF!,1,FALSE())),"?TYPE_IDENTIFIABLE","?REFERENTIAL"),"_")))))</f>
        <v> </v>
      </c>
      <c r="H5689" s="25" t="str">
        <f>IF(J5689&lt;&gt;1,"",IF(I5689="SBJ","CB","?"))</f>
        <v> </v>
      </c>
      <c r="I5689" s="26" t="str">
        <f>IF(OR(E5689="",E5689="!!!",F5689="NEW"),"",INDEX(B5688:B$2,-1+SUMPRODUCT(MAX(ROW(E5688:E$2)*(E5689=E5688:E$2)))))</f>
        <v> </v>
      </c>
      <c r="J5689" s="26" t="str">
        <f>IF(OR(E5689="",E5689="!!!",F5689="NEW"),"",COUNTBLANK(OFFSET(A$1,,,SUMPRODUCT(MAX(ROW(E$2:E5689)*(E5689=E$2:E5689)))))-COUNTBLANK(OFFSET(A$1,,,SUMPRODUCT(MAX(ROW(E$1:E5688)*(E2=E$1:E5688))))))</f>
        <v> </v>
      </c>
      <c r="K5689" s="26" t="str">
        <f>IF(OR(E5689="",E5689="!!!",F5689="NEW"),"",INDEX(J$1:J5688,SUMPRODUCT(MAX(ROW(E$1:E5688)*(E5689=E$1:E5688)))))</f>
        <v> </v>
      </c>
      <c r="L5689" s="27"/>
    </row>
    <row r="5690" spans="1:12">
      <c r="A5690" s="20" t="s">
        <v>1495</v>
      </c>
      <c r="B5690" s="21" t="s">
        <v>1207</v>
      </c>
      <c r="C5690" s="21" t="s">
        <v>1238</v>
      </c>
      <c r="D5690" s="21" t="s">
        <v>1180</v>
      </c>
      <c r="E5690" s="22">
        <f>IF(D5690="?OLD","!!!","")</f>
        <v/>
      </c>
      <c r="F5690" s="23" t="str">
        <f>IF(OR(E5690="",E5690="!!!"),"",IF(NOT(ISNA(VLOOKUP(E5690,E$1:E5689,1,FALSE()))),"OLD",IF(AND(E5690&lt;&gt;"",E5690&lt;&gt;"!!!"),"NEW","")))</f>
        <v> </v>
      </c>
      <c r="G5690" s="24" t="str">
        <f>IF(OR(E5690="",E5690="!!!"),"",IF(OR(J5690=0,AND(J5690=1,K5690=1),AND(J5690=1,I5690="SBJ"),AND(J5690=1,I5690=0)),"?IN_FOCUS",IF(J5690&lt;=2,"?ACTIVATED",IF(J5690&lt;&gt;"","?FAMILIAR",IF(F5690="NEW",IF(ISNA(VLOOKUP(E5690,#REF!,1,FALSE())),"?TYPE_IDENTIFIABLE","?REFERENTIAL"),"_")))))</f>
        <v> </v>
      </c>
      <c r="H5690" s="25" t="str">
        <f>IF(J5690&lt;&gt;1,"",IF(I5690="SBJ","CB","?"))</f>
        <v> </v>
      </c>
      <c r="I5690" s="26" t="str">
        <f>IF(OR(E5690="",E5690="!!!",F5690="NEW"),"",INDEX(B5689:B$2,-1+SUMPRODUCT(MAX(ROW(E5689:E$2)*(E5690=E5689:E$2)))))</f>
        <v> </v>
      </c>
      <c r="J5690" s="26" t="str">
        <f>IF(OR(E5690="",E5690="!!!",F5690="NEW"),"",COUNTBLANK(OFFSET(A$1,,,SUMPRODUCT(MAX(ROW(E$2:E5690)*(E5690=E$2:E5690)))))-COUNTBLANK(OFFSET(A$1,,,SUMPRODUCT(MAX(ROW(E$1:E5689)*(E2=E$1:E5689))))))</f>
        <v> </v>
      </c>
      <c r="K5690" s="26" t="str">
        <f>IF(OR(E5690="",E5690="!!!",F5690="NEW"),"",INDEX(J$1:J5689,SUMPRODUCT(MAX(ROW(E$1:E5689)*(E5690=E$1:E5689)))))</f>
        <v> </v>
      </c>
      <c r="L5690" s="27"/>
    </row>
    <row r="5691" spans="1:12">
      <c r="A5691" s="20" t="s">
        <v>1185</v>
      </c>
      <c r="E5691" s="22">
        <f>IF(D5691="?OLD","!!!","")</f>
        <v/>
      </c>
      <c r="F5691" s="23" t="str">
        <f>IF(OR(E5691="",E5691="!!!"),"",IF(NOT(ISNA(VLOOKUP(E5691,E$1:E5690,1,FALSE()))),"OLD",IF(AND(E5691&lt;&gt;"",E5691&lt;&gt;"!!!"),"NEW","")))</f>
        <v> </v>
      </c>
      <c r="G5691" s="24" t="str">
        <f>IF(OR(E5691="",E5691="!!!"),"",IF(OR(J5691=0,AND(J5691=1,K5691=1),AND(J5691=1,I5691="SBJ"),AND(J5691=1,I5691=0)),"?IN_FOCUS",IF(J5691&lt;=2,"?ACTIVATED",IF(J5691&lt;&gt;"","?FAMILIAR",IF(F5691="NEW",IF(ISNA(VLOOKUP(E5691,#REF!,1,FALSE())),"?TYPE_IDENTIFIABLE","?REFERENTIAL"),"_")))))</f>
        <v> </v>
      </c>
      <c r="H5691" s="25" t="str">
        <f>IF(J5691&lt;&gt;1,"",IF(I5691="SBJ","CB","?"))</f>
        <v> </v>
      </c>
      <c r="I5691" s="26" t="str">
        <f>IF(OR(E5691="",E5691="!!!",F5691="NEW"),"",INDEX(B5690:B$2,-1+SUMPRODUCT(MAX(ROW(E5690:E$2)*(E5691=E5690:E$2)))))</f>
        <v> </v>
      </c>
      <c r="J5691" s="26" t="str">
        <f>IF(OR(E5691="",E5691="!!!",F5691="NEW"),"",COUNTBLANK(OFFSET(A$1,,,SUMPRODUCT(MAX(ROW(E$2:E5691)*(E5691=E$2:E5691)))))-COUNTBLANK(OFFSET(A$1,,,SUMPRODUCT(MAX(ROW(E$1:E5690)*(E2=E$1:E5690))))))</f>
        <v> </v>
      </c>
      <c r="K5691" s="26" t="str">
        <f>IF(OR(E5691="",E5691="!!!",F5691="NEW"),"",INDEX(J$1:J5690,SUMPRODUCT(MAX(ROW(E$1:E5690)*(E5691=E$1:E5690)))))</f>
        <v> </v>
      </c>
      <c r="L5691" s="27"/>
    </row>
    <row r="5692" spans="1:12">
      <c r="A5692" s="20" t="s">
        <v>1236</v>
      </c>
      <c r="B5692" s="21" t="s">
        <v>1526</v>
      </c>
      <c r="C5692" s="21" t="s">
        <v>1238</v>
      </c>
      <c r="D5692" s="21" t="s">
        <v>1180</v>
      </c>
      <c r="E5692" s="22">
        <f>IF(D5692="?OLD","!!!","")</f>
        <v/>
      </c>
      <c r="F5692" s="23" t="str">
        <f>IF(OR(E5692="",E5692="!!!"),"",IF(NOT(ISNA(VLOOKUP(E5692,E$1:E5691,1,FALSE()))),"OLD",IF(AND(E5692&lt;&gt;"",E5692&lt;&gt;"!!!"),"NEW","")))</f>
        <v> </v>
      </c>
      <c r="G5692" s="24" t="str">
        <f>IF(OR(E5692="",E5692="!!!"),"",IF(OR(J5692=0,AND(J5692=1,K5692=1),AND(J5692=1,I5692="SBJ"),AND(J5692=1,I5692=0)),"?IN_FOCUS",IF(J5692&lt;=2,"?ACTIVATED",IF(J5692&lt;&gt;"","?FAMILIAR",IF(F5692="NEW",IF(ISNA(VLOOKUP(E5692,#REF!,1,FALSE())),"?TYPE_IDENTIFIABLE","?REFERENTIAL"),"_")))))</f>
        <v> </v>
      </c>
      <c r="H5692" s="25" t="str">
        <f>IF(J5692&lt;&gt;1,"",IF(I5692="SBJ","CB","?"))</f>
        <v> </v>
      </c>
      <c r="I5692" s="26" t="str">
        <f>IF(OR(E5692="",E5692="!!!",F5692="NEW"),"",INDEX(B5691:B$2,-1+SUMPRODUCT(MAX(ROW(E5691:E$2)*(E5692=E5691:E$2)))))</f>
        <v> </v>
      </c>
      <c r="J5692" s="26" t="str">
        <f>IF(OR(E5692="",E5692="!!!",F5692="NEW"),"",COUNTBLANK(OFFSET(A$1,,,SUMPRODUCT(MAX(ROW(E$2:E5692)*(E5692=E$2:E5692)))))-COUNTBLANK(OFFSET(A$1,,,SUMPRODUCT(MAX(ROW(E$1:E5691)*(E2=E$1:E5691))))))</f>
        <v> </v>
      </c>
      <c r="K5692" s="26" t="str">
        <f>IF(OR(E5692="",E5692="!!!",F5692="NEW"),"",INDEX(J$1:J5691,SUMPRODUCT(MAX(ROW(E$1:E5691)*(E5692=E$1:E5691)))))</f>
        <v> </v>
      </c>
      <c r="L5692" s="27"/>
    </row>
    <row r="5693" spans="1:12">
      <c r="A5693" s="20" t="s">
        <v>427</v>
      </c>
      <c r="B5693" s="21" t="s">
        <v>1912</v>
      </c>
      <c r="C5693" s="21" t="s">
        <v>1238</v>
      </c>
      <c r="D5693" s="21" t="s">
        <v>1180</v>
      </c>
      <c r="E5693" s="22">
        <f>IF(D5693="?OLD","!!!","")</f>
        <v/>
      </c>
      <c r="F5693" s="23" t="str">
        <f>IF(OR(E5693="",E5693="!!!"),"",IF(NOT(ISNA(VLOOKUP(E5693,E$1:E5692,1,FALSE()))),"OLD",IF(AND(E5693&lt;&gt;"",E5693&lt;&gt;"!!!"),"NEW","")))</f>
        <v> </v>
      </c>
      <c r="G5693" s="24" t="str">
        <f>IF(OR(E5693="",E5693="!!!"),"",IF(OR(J5693=0,AND(J5693=1,K5693=1),AND(J5693=1,I5693="SBJ"),AND(J5693=1,I5693=0)),"?IN_FOCUS",IF(J5693&lt;=2,"?ACTIVATED",IF(J5693&lt;&gt;"","?FAMILIAR",IF(F5693="NEW",IF(ISNA(VLOOKUP(E5693,#REF!,1,FALSE())),"?TYPE_IDENTIFIABLE","?REFERENTIAL"),"_")))))</f>
        <v> </v>
      </c>
      <c r="H5693" s="25" t="str">
        <f>IF(J5693&lt;&gt;1,"",IF(I5693="SBJ","CB","?"))</f>
        <v> </v>
      </c>
      <c r="I5693" s="26" t="str">
        <f>IF(OR(E5693="",E5693="!!!",F5693="NEW"),"",INDEX(B5692:B$2,-1+SUMPRODUCT(MAX(ROW(E5692:E$2)*(E5693=E5692:E$2)))))</f>
        <v> </v>
      </c>
      <c r="J5693" s="26" t="str">
        <f>IF(OR(E5693="",E5693="!!!",F5693="NEW"),"",COUNTBLANK(OFFSET(A$1,,,SUMPRODUCT(MAX(ROW(E$2:E5693)*(E5693=E$2:E5693)))))-COUNTBLANK(OFFSET(A$1,,,SUMPRODUCT(MAX(ROW(E$1:E5692)*(E2=E$1:E5692))))))</f>
        <v> </v>
      </c>
      <c r="K5693" s="26" t="str">
        <f>IF(OR(E5693="",E5693="!!!",F5693="NEW"),"",INDEX(J$1:J5692,SUMPRODUCT(MAX(ROW(E$1:E5692)*(E5693=E$1:E5692)))))</f>
        <v> </v>
      </c>
      <c r="L5693" s="27"/>
    </row>
    <row r="5694" spans="1:12">
      <c r="A5694" s="20" t="s">
        <v>11</v>
      </c>
      <c r="E5694" s="22">
        <f>IF(D5694="?OLD","!!!","")</f>
        <v/>
      </c>
      <c r="F5694" s="23" t="str">
        <f>IF(OR(E5694="",E5694="!!!"),"",IF(NOT(ISNA(VLOOKUP(E5694,E$1:E5693,1,FALSE()))),"OLD",IF(AND(E5694&lt;&gt;"",E5694&lt;&gt;"!!!"),"NEW","")))</f>
        <v> </v>
      </c>
      <c r="G5694" s="24" t="str">
        <f>IF(OR(E5694="",E5694="!!!"),"",IF(OR(J5694=0,AND(J5694=1,K5694=1),AND(J5694=1,I5694="SBJ"),AND(J5694=1,I5694=0)),"?IN_FOCUS",IF(J5694&lt;=2,"?ACTIVATED",IF(J5694&lt;&gt;"","?FAMILIAR",IF(F5694="NEW",IF(ISNA(VLOOKUP(E5694,#REF!,1,FALSE())),"?TYPE_IDENTIFIABLE","?REFERENTIAL"),"_")))))</f>
        <v> </v>
      </c>
      <c r="H5694" s="25" t="str">
        <f>IF(J5694&lt;&gt;1,"",IF(I5694="SBJ","CB","?"))</f>
        <v> </v>
      </c>
      <c r="I5694" s="26" t="str">
        <f>IF(OR(E5694="",E5694="!!!",F5694="NEW"),"",INDEX(B5693:B$2,-1+SUMPRODUCT(MAX(ROW(E5693:E$2)*(E5694=E5693:E$2)))))</f>
        <v> </v>
      </c>
      <c r="J5694" s="26" t="str">
        <f>IF(OR(E5694="",E5694="!!!",F5694="NEW"),"",COUNTBLANK(OFFSET(A$1,,,SUMPRODUCT(MAX(ROW(E$2:E5694)*(E5694=E$2:E5694)))))-COUNTBLANK(OFFSET(A$1,,,SUMPRODUCT(MAX(ROW(E$1:E5693)*(E2=E$1:E5693))))))</f>
        <v> </v>
      </c>
      <c r="K5694" s="26" t="str">
        <f>IF(OR(E5694="",E5694="!!!",F5694="NEW"),"",INDEX(J$1:J5693,SUMPRODUCT(MAX(ROW(E$1:E5693)*(E5694=E$1:E5693)))))</f>
        <v> </v>
      </c>
      <c r="L5694" s="27"/>
    </row>
    <row r="5695" spans="1:12">
      <c r="A5695" s="20" t="s">
        <v>1314</v>
      </c>
      <c r="E5695" s="22">
        <f>IF(D5695="?OLD","!!!","")</f>
        <v/>
      </c>
      <c r="F5695" s="23" t="str">
        <f>IF(OR(E5695="",E5695="!!!"),"",IF(NOT(ISNA(VLOOKUP(E5695,E$1:E5694,1,FALSE()))),"OLD",IF(AND(E5695&lt;&gt;"",E5695&lt;&gt;"!!!"),"NEW","")))</f>
        <v> </v>
      </c>
      <c r="G5695" s="24" t="str">
        <f>IF(OR(E5695="",E5695="!!!"),"",IF(OR(J5695=0,AND(J5695=1,K5695=1),AND(J5695=1,I5695="SBJ"),AND(J5695=1,I5695=0)),"?IN_FOCUS",IF(J5695&lt;=2,"?ACTIVATED",IF(J5695&lt;&gt;"","?FAMILIAR",IF(F5695="NEW",IF(ISNA(VLOOKUP(E5695,#REF!,1,FALSE())),"?TYPE_IDENTIFIABLE","?REFERENTIAL"),"_")))))</f>
        <v> </v>
      </c>
      <c r="H5695" s="25" t="str">
        <f>IF(J5695&lt;&gt;1,"",IF(I5695="SBJ","CB","?"))</f>
        <v> </v>
      </c>
      <c r="I5695" s="26" t="str">
        <f>IF(OR(E5695="",E5695="!!!",F5695="NEW"),"",INDEX(B5694:B$2,-1+SUMPRODUCT(MAX(ROW(E5694:E$2)*(E5695=E5694:E$2)))))</f>
        <v> </v>
      </c>
      <c r="J5695" s="26" t="str">
        <f>IF(OR(E5695="",E5695="!!!",F5695="NEW"),"",COUNTBLANK(OFFSET(A$1,,,SUMPRODUCT(MAX(ROW(E$2:E5695)*(E5695=E$2:E5695)))))-COUNTBLANK(OFFSET(A$1,,,SUMPRODUCT(MAX(ROW(E$1:E5694)*(E2=E$1:E5694))))))</f>
        <v> </v>
      </c>
      <c r="K5695" s="26" t="str">
        <f>IF(OR(E5695="",E5695="!!!",F5695="NEW"),"",INDEX(J$1:J5694,SUMPRODUCT(MAX(ROW(E$1:E5694)*(E5695=E$1:E5694)))))</f>
        <v> </v>
      </c>
      <c r="L5695" s="27"/>
    </row>
    <row r="5696" spans="1:12">
      <c r="A5696" s="20" t="s">
        <v>1537</v>
      </c>
      <c r="E5696" s="22">
        <f>IF(D5696="?OLD","!!!","")</f>
        <v/>
      </c>
      <c r="F5696" s="23" t="str">
        <f>IF(OR(E5696="",E5696="!!!"),"",IF(NOT(ISNA(VLOOKUP(E5696,E$1:E5695,1,FALSE()))),"OLD",IF(AND(E5696&lt;&gt;"",E5696&lt;&gt;"!!!"),"NEW","")))</f>
        <v> </v>
      </c>
      <c r="G5696" s="24" t="str">
        <f>IF(OR(E5696="",E5696="!!!"),"",IF(OR(J5696=0,AND(J5696=1,K5696=1),AND(J5696=1,I5696="SBJ"),AND(J5696=1,I5696=0)),"?IN_FOCUS",IF(J5696&lt;=2,"?ACTIVATED",IF(J5696&lt;&gt;"","?FAMILIAR",IF(F5696="NEW",IF(ISNA(VLOOKUP(E5696,#REF!,1,FALSE())),"?TYPE_IDENTIFIABLE","?REFERENTIAL"),"_")))))</f>
        <v> </v>
      </c>
      <c r="H5696" s="25" t="str">
        <f>IF(J5696&lt;&gt;1,"",IF(I5696="SBJ","CB","?"))</f>
        <v> </v>
      </c>
      <c r="I5696" s="26" t="str">
        <f>IF(OR(E5696="",E5696="!!!",F5696="NEW"),"",INDEX(B5695:B$2,-1+SUMPRODUCT(MAX(ROW(E5695:E$2)*(E5696=E5695:E$2)))))</f>
        <v> </v>
      </c>
      <c r="J5696" s="26" t="str">
        <f>IF(OR(E5696="",E5696="!!!",F5696="NEW"),"",COUNTBLANK(OFFSET(A$1,,,SUMPRODUCT(MAX(ROW(E$2:E5696)*(E5696=E$2:E5696)))))-COUNTBLANK(OFFSET(A$1,,,SUMPRODUCT(MAX(ROW(E$1:E5695)*(E2=E$1:E5695))))))</f>
        <v> </v>
      </c>
      <c r="K5696" s="26" t="str">
        <f>IF(OR(E5696="",E5696="!!!",F5696="NEW"),"",INDEX(J$1:J5695,SUMPRODUCT(MAX(ROW(E$1:E5695)*(E5696=E$1:E5695)))))</f>
        <v> </v>
      </c>
      <c r="L5696" s="27"/>
    </row>
    <row r="5697" spans="1:12">
      <c r="A5697" s="20" t="s">
        <v>1420</v>
      </c>
      <c r="E5697" s="22">
        <f>IF(D5697="?OLD","!!!","")</f>
        <v/>
      </c>
      <c r="F5697" s="23" t="str">
        <f>IF(OR(E5697="",E5697="!!!"),"",IF(NOT(ISNA(VLOOKUP(E5697,E$1:E5696,1,FALSE()))),"OLD",IF(AND(E5697&lt;&gt;"",E5697&lt;&gt;"!!!"),"NEW","")))</f>
        <v> </v>
      </c>
      <c r="G5697" s="24" t="str">
        <f>IF(OR(E5697="",E5697="!!!"),"",IF(OR(J5697=0,AND(J5697=1,K5697=1),AND(J5697=1,I5697="SBJ"),AND(J5697=1,I5697=0)),"?IN_FOCUS",IF(J5697&lt;=2,"?ACTIVATED",IF(J5697&lt;&gt;"","?FAMILIAR",IF(F5697="NEW",IF(ISNA(VLOOKUP(E5697,#REF!,1,FALSE())),"?TYPE_IDENTIFIABLE","?REFERENTIAL"),"_")))))</f>
        <v> </v>
      </c>
      <c r="H5697" s="25" t="str">
        <f>IF(J5697&lt;&gt;1,"",IF(I5697="SBJ","CB","?"))</f>
        <v> </v>
      </c>
      <c r="I5697" s="26" t="str">
        <f>IF(OR(E5697="",E5697="!!!",F5697="NEW"),"",INDEX(B5696:B$2,-1+SUMPRODUCT(MAX(ROW(E5696:E$2)*(E5697=E5696:E$2)))))</f>
        <v> </v>
      </c>
      <c r="J5697" s="26" t="str">
        <f>IF(OR(E5697="",E5697="!!!",F5697="NEW"),"",COUNTBLANK(OFFSET(A$1,,,SUMPRODUCT(MAX(ROW(E$2:E5697)*(E5697=E$2:E5697)))))-COUNTBLANK(OFFSET(A$1,,,SUMPRODUCT(MAX(ROW(E$1:E5696)*(E2=E$1:E5696))))))</f>
        <v> </v>
      </c>
      <c r="K5697" s="26" t="str">
        <f>IF(OR(E5697="",E5697="!!!",F5697="NEW"),"",INDEX(J$1:J5696,SUMPRODUCT(MAX(ROW(E$1:E5696)*(E5697=E$1:E5696)))))</f>
        <v> </v>
      </c>
      <c r="L5697" s="27"/>
    </row>
    <row r="5698" spans="1:12">
      <c r="A5698" s="20" t="s">
        <v>2200</v>
      </c>
      <c r="B5698" s="21" t="s">
        <v>1429</v>
      </c>
      <c r="C5698" s="21" t="s">
        <v>1184</v>
      </c>
      <c r="E5698" s="22">
        <f>IF(D5698="?OLD","!!!","")</f>
        <v/>
      </c>
      <c r="F5698" s="23" t="str">
        <f>IF(OR(E5698="",E5698="!!!"),"",IF(NOT(ISNA(VLOOKUP(E5698,E$1:E5697,1,FALSE()))),"OLD",IF(AND(E5698&lt;&gt;"",E5698&lt;&gt;"!!!"),"NEW","")))</f>
        <v> </v>
      </c>
      <c r="G5698" s="24" t="str">
        <f>IF(OR(E5698="",E5698="!!!"),"",IF(OR(J5698=0,AND(J5698=1,K5698=1),AND(J5698=1,I5698="SBJ"),AND(J5698=1,I5698=0)),"?IN_FOCUS",IF(J5698&lt;=2,"?ACTIVATED",IF(J5698&lt;&gt;"","?FAMILIAR",IF(F5698="NEW",IF(ISNA(VLOOKUP(E5698,#REF!,1,FALSE())),"?TYPE_IDENTIFIABLE","?REFERENTIAL"),"_")))))</f>
        <v> </v>
      </c>
      <c r="H5698" s="25" t="str">
        <f>IF(J5698&lt;&gt;1,"",IF(I5698="SBJ","CB","?"))</f>
        <v> </v>
      </c>
      <c r="I5698" s="26" t="str">
        <f>IF(OR(E5698="",E5698="!!!",F5698="NEW"),"",INDEX(B5697:B$2,-1+SUMPRODUCT(MAX(ROW(E5697:E$2)*(E5698=E5697:E$2)))))</f>
        <v> </v>
      </c>
      <c r="J5698" s="26" t="str">
        <f>IF(OR(E5698="",E5698="!!!",F5698="NEW"),"",COUNTBLANK(OFFSET(A$1,,,SUMPRODUCT(MAX(ROW(E$2:E5698)*(E5698=E$2:E5698)))))-COUNTBLANK(OFFSET(A$1,,,SUMPRODUCT(MAX(ROW(E$1:E5697)*(E2=E$1:E5697))))))</f>
        <v> </v>
      </c>
      <c r="K5698" s="26" t="str">
        <f>IF(OR(E5698="",E5698="!!!",F5698="NEW"),"",INDEX(J$1:J5697,SUMPRODUCT(MAX(ROW(E$1:E5697)*(E5698=E$1:E5697)))))</f>
        <v> </v>
      </c>
      <c r="L5698" s="27"/>
    </row>
    <row r="5699" spans="1:12">
      <c r="A5699" s="20" t="s">
        <v>1185</v>
      </c>
      <c r="E5699" s="22">
        <f>IF(D5699="?OLD","!!!","")</f>
        <v/>
      </c>
      <c r="F5699" s="23" t="str">
        <f>IF(OR(E5699="",E5699="!!!"),"",IF(NOT(ISNA(VLOOKUP(E5699,E$1:E5698,1,FALSE()))),"OLD",IF(AND(E5699&lt;&gt;"",E5699&lt;&gt;"!!!"),"NEW","")))</f>
        <v> </v>
      </c>
      <c r="G5699" s="24" t="str">
        <f>IF(OR(E5699="",E5699="!!!"),"",IF(OR(J5699=0,AND(J5699=1,K5699=1),AND(J5699=1,I5699="SBJ"),AND(J5699=1,I5699=0)),"?IN_FOCUS",IF(J5699&lt;=2,"?ACTIVATED",IF(J5699&lt;&gt;"","?FAMILIAR",IF(F5699="NEW",IF(ISNA(VLOOKUP(E5699,#REF!,1,FALSE())),"?TYPE_IDENTIFIABLE","?REFERENTIAL"),"_")))))</f>
        <v> </v>
      </c>
      <c r="H5699" s="25" t="str">
        <f>IF(J5699&lt;&gt;1,"",IF(I5699="SBJ","CB","?"))</f>
        <v> </v>
      </c>
      <c r="I5699" s="26" t="str">
        <f>IF(OR(E5699="",E5699="!!!",F5699="NEW"),"",INDEX(B5698:B$2,-1+SUMPRODUCT(MAX(ROW(E5698:E$2)*(E5699=E5698:E$2)))))</f>
        <v> </v>
      </c>
      <c r="J5699" s="26" t="str">
        <f>IF(OR(E5699="",E5699="!!!",F5699="NEW"),"",COUNTBLANK(OFFSET(A$1,,,SUMPRODUCT(MAX(ROW(E$2:E5699)*(E5699=E$2:E5699)))))-COUNTBLANK(OFFSET(A$1,,,SUMPRODUCT(MAX(ROW(E$1:E5698)*(E2=E$1:E5698))))))</f>
        <v> </v>
      </c>
      <c r="K5699" s="26" t="str">
        <f>IF(OR(E5699="",E5699="!!!",F5699="NEW"),"",INDEX(J$1:J5698,SUMPRODUCT(MAX(ROW(E$1:E5698)*(E5699=E$1:E5698)))))</f>
        <v> </v>
      </c>
      <c r="L5699" s="27"/>
    </row>
    <row r="5700" spans="1:12">
      <c r="A5700" s="20" t="s">
        <v>1930</v>
      </c>
      <c r="E5700" s="22">
        <f>IF(D5700="?OLD","!!!","")</f>
        <v/>
      </c>
      <c r="F5700" s="23" t="str">
        <f>IF(OR(E5700="",E5700="!!!"),"",IF(NOT(ISNA(VLOOKUP(E5700,E$1:E5699,1,FALSE()))),"OLD",IF(AND(E5700&lt;&gt;"",E5700&lt;&gt;"!!!"),"NEW","")))</f>
        <v> </v>
      </c>
      <c r="G5700" s="24" t="str">
        <f>IF(OR(E5700="",E5700="!!!"),"",IF(OR(J5700=0,AND(J5700=1,K5700=1),AND(J5700=1,I5700="SBJ"),AND(J5700=1,I5700=0)),"?IN_FOCUS",IF(J5700&lt;=2,"?ACTIVATED",IF(J5700&lt;&gt;"","?FAMILIAR",IF(F5700="NEW",IF(ISNA(VLOOKUP(E5700,#REF!,1,FALSE())),"?TYPE_IDENTIFIABLE","?REFERENTIAL"),"_")))))</f>
        <v> </v>
      </c>
      <c r="H5700" s="25" t="str">
        <f>IF(J5700&lt;&gt;1,"",IF(I5700="SBJ","CB","?"))</f>
        <v> </v>
      </c>
      <c r="I5700" s="26" t="str">
        <f>IF(OR(E5700="",E5700="!!!",F5700="NEW"),"",INDEX(B5699:B$2,-1+SUMPRODUCT(MAX(ROW(E5699:E$2)*(E5700=E5699:E$2)))))</f>
        <v> </v>
      </c>
      <c r="J5700" s="26" t="str">
        <f>IF(OR(E5700="",E5700="!!!",F5700="NEW"),"",COUNTBLANK(OFFSET(A$1,,,SUMPRODUCT(MAX(ROW(E$2:E5700)*(E5700=E$2:E5700)))))-COUNTBLANK(OFFSET(A$1,,,SUMPRODUCT(MAX(ROW(E$1:E5699)*(E2=E$1:E5699))))))</f>
        <v> </v>
      </c>
      <c r="K5700" s="26" t="str">
        <f>IF(OR(E5700="",E5700="!!!",F5700="NEW"),"",INDEX(J$1:J5699,SUMPRODUCT(MAX(ROW(E$1:E5699)*(E5700=E$1:E5699)))))</f>
        <v> </v>
      </c>
      <c r="L5700" s="27"/>
    </row>
    <row r="5701" spans="1:12">
      <c r="A5701" s="20" t="s">
        <v>1420</v>
      </c>
      <c r="E5701" s="22">
        <f>IF(D5701="?OLD","!!!","")</f>
        <v/>
      </c>
      <c r="F5701" s="23" t="str">
        <f>IF(OR(E5701="",E5701="!!!"),"",IF(NOT(ISNA(VLOOKUP(E5701,E$1:E5700,1,FALSE()))),"OLD",IF(AND(E5701&lt;&gt;"",E5701&lt;&gt;"!!!"),"NEW","")))</f>
        <v> </v>
      </c>
      <c r="G5701" s="24" t="str">
        <f>IF(OR(E5701="",E5701="!!!"),"",IF(OR(J5701=0,AND(J5701=1,K5701=1),AND(J5701=1,I5701="SBJ"),AND(J5701=1,I5701=0)),"?IN_FOCUS",IF(J5701&lt;=2,"?ACTIVATED",IF(J5701&lt;&gt;"","?FAMILIAR",IF(F5701="NEW",IF(ISNA(VLOOKUP(E5701,#REF!,1,FALSE())),"?TYPE_IDENTIFIABLE","?REFERENTIAL"),"_")))))</f>
        <v> </v>
      </c>
      <c r="H5701" s="25" t="str">
        <f>IF(J5701&lt;&gt;1,"",IF(I5701="SBJ","CB","?"))</f>
        <v> </v>
      </c>
      <c r="I5701" s="26" t="str">
        <f>IF(OR(E5701="",E5701="!!!",F5701="NEW"),"",INDEX(B5700:B$2,-1+SUMPRODUCT(MAX(ROW(E5700:E$2)*(E5701=E5700:E$2)))))</f>
        <v> </v>
      </c>
      <c r="J5701" s="26" t="str">
        <f>IF(OR(E5701="",E5701="!!!",F5701="NEW"),"",COUNTBLANK(OFFSET(A$1,,,SUMPRODUCT(MAX(ROW(E$2:E5701)*(E5701=E$2:E5701)))))-COUNTBLANK(OFFSET(A$1,,,SUMPRODUCT(MAX(ROW(E$1:E5700)*(E2=E$1:E5700))))))</f>
        <v> </v>
      </c>
      <c r="K5701" s="26" t="str">
        <f>IF(OR(E5701="",E5701="!!!",F5701="NEW"),"",INDEX(J$1:J5700,SUMPRODUCT(MAX(ROW(E$1:E5700)*(E5701=E$1:E5700)))))</f>
        <v> </v>
      </c>
      <c r="L5701" s="27"/>
    </row>
    <row r="5702" spans="1:12">
      <c r="A5702" s="20" t="s">
        <v>1265</v>
      </c>
      <c r="E5702" s="22">
        <f>IF(D5702="?OLD","!!!","")</f>
        <v/>
      </c>
      <c r="F5702" s="23" t="str">
        <f>IF(OR(E5702="",E5702="!!!"),"",IF(NOT(ISNA(VLOOKUP(E5702,E$1:E5701,1,FALSE()))),"OLD",IF(AND(E5702&lt;&gt;"",E5702&lt;&gt;"!!!"),"NEW","")))</f>
        <v> </v>
      </c>
      <c r="G5702" s="24" t="str">
        <f>IF(OR(E5702="",E5702="!!!"),"",IF(OR(J5702=0,AND(J5702=1,K5702=1),AND(J5702=1,I5702="SBJ"),AND(J5702=1,I5702=0)),"?IN_FOCUS",IF(J5702&lt;=2,"?ACTIVATED",IF(J5702&lt;&gt;"","?FAMILIAR",IF(F5702="NEW",IF(ISNA(VLOOKUP(E5702,#REF!,1,FALSE())),"?TYPE_IDENTIFIABLE","?REFERENTIAL"),"_")))))</f>
        <v> </v>
      </c>
      <c r="H5702" s="25" t="str">
        <f>IF(J5702&lt;&gt;1,"",IF(I5702="SBJ","CB","?"))</f>
        <v> </v>
      </c>
      <c r="I5702" s="26" t="str">
        <f>IF(OR(E5702="",E5702="!!!",F5702="NEW"),"",INDEX(B5701:B$2,-1+SUMPRODUCT(MAX(ROW(E5701:E$2)*(E5702=E5701:E$2)))))</f>
        <v> </v>
      </c>
      <c r="J5702" s="26" t="str">
        <f>IF(OR(E5702="",E5702="!!!",F5702="NEW"),"",COUNTBLANK(OFFSET(A$1,,,SUMPRODUCT(MAX(ROW(E$2:E5702)*(E5702=E$2:E5702)))))-COUNTBLANK(OFFSET(A$1,,,SUMPRODUCT(MAX(ROW(E$1:E5701)*(E2=E$1:E5701))))))</f>
        <v> </v>
      </c>
      <c r="K5702" s="26" t="str">
        <f>IF(OR(E5702="",E5702="!!!",F5702="NEW"),"",INDEX(J$1:J5701,SUMPRODUCT(MAX(ROW(E$1:E5701)*(E5702=E$1:E5701)))))</f>
        <v> </v>
      </c>
      <c r="L5702" s="27"/>
    </row>
    <row r="5703" spans="1:12">
      <c r="A5703" s="20" t="s">
        <v>1534</v>
      </c>
      <c r="B5703" s="21" t="s">
        <v>1492</v>
      </c>
      <c r="C5703" s="21" t="s">
        <v>1223</v>
      </c>
      <c r="E5703" s="22">
        <f>IF(D5703="?OLD","!!!","")</f>
        <v/>
      </c>
      <c r="F5703" s="23" t="str">
        <f>IF(OR(E5703="",E5703="!!!"),"",IF(NOT(ISNA(VLOOKUP(E5703,E$1:E5702,1,FALSE()))),"OLD",IF(AND(E5703&lt;&gt;"",E5703&lt;&gt;"!!!"),"NEW","")))</f>
        <v> </v>
      </c>
      <c r="G5703" s="24" t="str">
        <f>IF(OR(E5703="",E5703="!!!"),"",IF(OR(J5703=0,AND(J5703=1,K5703=1),AND(J5703=1,I5703="SBJ"),AND(J5703=1,I5703=0)),"?IN_FOCUS",IF(J5703&lt;=2,"?ACTIVATED",IF(J5703&lt;&gt;"","?FAMILIAR",IF(F5703="NEW",IF(ISNA(VLOOKUP(E5703,#REF!,1,FALSE())),"?TYPE_IDENTIFIABLE","?REFERENTIAL"),"_")))))</f>
        <v> </v>
      </c>
      <c r="H5703" s="25" t="str">
        <f>IF(J5703&lt;&gt;1,"",IF(I5703="SBJ","CB","?"))</f>
        <v> </v>
      </c>
      <c r="I5703" s="26" t="str">
        <f>IF(OR(E5703="",E5703="!!!",F5703="NEW"),"",INDEX(B5702:B$2,-1+SUMPRODUCT(MAX(ROW(E5702:E$2)*(E5703=E5702:E$2)))))</f>
        <v> </v>
      </c>
      <c r="J5703" s="26" t="str">
        <f>IF(OR(E5703="",E5703="!!!",F5703="NEW"),"",COUNTBLANK(OFFSET(A$1,,,SUMPRODUCT(MAX(ROW(E$2:E5703)*(E5703=E$2:E5703)))))-COUNTBLANK(OFFSET(A$1,,,SUMPRODUCT(MAX(ROW(E$1:E5702)*(E2=E$1:E5702))))))</f>
        <v> </v>
      </c>
      <c r="K5703" s="26" t="str">
        <f>IF(OR(E5703="",E5703="!!!",F5703="NEW"),"",INDEX(J$1:J5702,SUMPRODUCT(MAX(ROW(E$1:E5702)*(E5703=E$1:E5702)))))</f>
        <v> </v>
      </c>
      <c r="L5703" s="27"/>
    </row>
    <row r="5704" spans="1:12">
      <c r="A5704" s="20" t="s">
        <v>1224</v>
      </c>
      <c r="E5704" s="22">
        <f>IF(D5704="?OLD","!!!","")</f>
        <v/>
      </c>
      <c r="F5704" s="23" t="str">
        <f>IF(OR(E5704="",E5704="!!!"),"",IF(NOT(ISNA(VLOOKUP(E5704,E$1:E5703,1,FALSE()))),"OLD",IF(AND(E5704&lt;&gt;"",E5704&lt;&gt;"!!!"),"NEW","")))</f>
        <v> </v>
      </c>
      <c r="G5704" s="24" t="str">
        <f>IF(OR(E5704="",E5704="!!!"),"",IF(OR(J5704=0,AND(J5704=1,K5704=1),AND(J5704=1,I5704="SBJ"),AND(J5704=1,I5704=0)),"?IN_FOCUS",IF(J5704&lt;=2,"?ACTIVATED",IF(J5704&lt;&gt;"","?FAMILIAR",IF(F5704="NEW",IF(ISNA(VLOOKUP(E5704,#REF!,1,FALSE())),"?TYPE_IDENTIFIABLE","?REFERENTIAL"),"_")))))</f>
        <v> </v>
      </c>
      <c r="H5704" s="25" t="str">
        <f>IF(J5704&lt;&gt;1,"",IF(I5704="SBJ","CB","?"))</f>
        <v> </v>
      </c>
      <c r="I5704" s="26" t="str">
        <f>IF(OR(E5704="",E5704="!!!",F5704="NEW"),"",INDEX(B5703:B$2,-1+SUMPRODUCT(MAX(ROW(E5703:E$2)*(E5704=E5703:E$2)))))</f>
        <v> </v>
      </c>
      <c r="J5704" s="26" t="str">
        <f>IF(OR(E5704="",E5704="!!!",F5704="NEW"),"",COUNTBLANK(OFFSET(A$1,,,SUMPRODUCT(MAX(ROW(E$2:E5704)*(E5704=E$2:E5704)))))-COUNTBLANK(OFFSET(A$1,,,SUMPRODUCT(MAX(ROW(E$1:E5703)*(E2=E$1:E5703))))))</f>
        <v> </v>
      </c>
      <c r="K5704" s="26" t="str">
        <f>IF(OR(E5704="",E5704="!!!",F5704="NEW"),"",INDEX(J$1:J5703,SUMPRODUCT(MAX(ROW(E$1:E5703)*(E5704=E$1:E5703)))))</f>
        <v> </v>
      </c>
      <c r="L5704" s="27"/>
    </row>
    <row r="5705" spans="1:12">
      <c r="A5705" s="20" t="s">
        <v>2177</v>
      </c>
      <c r="B5705" s="21" t="s">
        <v>1344</v>
      </c>
      <c r="C5705" s="21" t="s">
        <v>1254</v>
      </c>
      <c r="E5705" s="22">
        <f>IF(D5705="?OLD","!!!","")</f>
        <v/>
      </c>
      <c r="F5705" s="23" t="str">
        <f>IF(OR(E5705="",E5705="!!!"),"",IF(NOT(ISNA(VLOOKUP(E5705,E$1:E5704,1,FALSE()))),"OLD",IF(AND(E5705&lt;&gt;"",E5705&lt;&gt;"!!!"),"NEW","")))</f>
        <v> </v>
      </c>
      <c r="G5705" s="24" t="str">
        <f>IF(OR(E5705="",E5705="!!!"),"",IF(OR(J5705=0,AND(J5705=1,K5705=1),AND(J5705=1,I5705="SBJ"),AND(J5705=1,I5705=0)),"?IN_FOCUS",IF(J5705&lt;=2,"?ACTIVATED",IF(J5705&lt;&gt;"","?FAMILIAR",IF(F5705="NEW",IF(ISNA(VLOOKUP(E5705,#REF!,1,FALSE())),"?TYPE_IDENTIFIABLE","?REFERENTIAL"),"_")))))</f>
        <v> </v>
      </c>
      <c r="H5705" s="25" t="str">
        <f>IF(J5705&lt;&gt;1,"",IF(I5705="SBJ","CB","?"))</f>
        <v> </v>
      </c>
      <c r="I5705" s="26" t="str">
        <f>IF(OR(E5705="",E5705="!!!",F5705="NEW"),"",INDEX(B5704:B$2,-1+SUMPRODUCT(MAX(ROW(E5704:E$2)*(E5705=E5704:E$2)))))</f>
        <v> </v>
      </c>
      <c r="J5705" s="26" t="str">
        <f>IF(OR(E5705="",E5705="!!!",F5705="NEW"),"",COUNTBLANK(OFFSET(A$1,,,SUMPRODUCT(MAX(ROW(E$2:E5705)*(E5705=E$2:E5705)))))-COUNTBLANK(OFFSET(A$1,,,SUMPRODUCT(MAX(ROW(E$1:E5704)*(E2=E$1:E5704))))))</f>
        <v> </v>
      </c>
      <c r="K5705" s="26" t="str">
        <f>IF(OR(E5705="",E5705="!!!",F5705="NEW"),"",INDEX(J$1:J5704,SUMPRODUCT(MAX(ROW(E$1:E5704)*(E5705=E$1:E5704)))))</f>
        <v> </v>
      </c>
      <c r="L5705" s="27"/>
    </row>
    <row r="5706" spans="1:12">
      <c r="A5706" s="20" t="s">
        <v>1329</v>
      </c>
      <c r="B5706" s="21" t="s">
        <v>1493</v>
      </c>
      <c r="C5706" s="21" t="s">
        <v>1324</v>
      </c>
      <c r="E5706" s="22">
        <f>IF(D5706="?OLD","!!!","")</f>
        <v/>
      </c>
      <c r="F5706" s="23" t="str">
        <f>IF(OR(E5706="",E5706="!!!"),"",IF(NOT(ISNA(VLOOKUP(E5706,E$1:E5705,1,FALSE()))),"OLD",IF(AND(E5706&lt;&gt;"",E5706&lt;&gt;"!!!"),"NEW","")))</f>
        <v> </v>
      </c>
      <c r="G5706" s="24" t="str">
        <f>IF(OR(E5706="",E5706="!!!"),"",IF(OR(J5706=0,AND(J5706=1,K5706=1),AND(J5706=1,I5706="SBJ"),AND(J5706=1,I5706=0)),"?IN_FOCUS",IF(J5706&lt;=2,"?ACTIVATED",IF(J5706&lt;&gt;"","?FAMILIAR",IF(F5706="NEW",IF(ISNA(VLOOKUP(E5706,#REF!,1,FALSE())),"?TYPE_IDENTIFIABLE","?REFERENTIAL"),"_")))))</f>
        <v> </v>
      </c>
      <c r="H5706" s="25" t="str">
        <f>IF(J5706&lt;&gt;1,"",IF(I5706="SBJ","CB","?"))</f>
        <v> </v>
      </c>
      <c r="I5706" s="26" t="str">
        <f>IF(OR(E5706="",E5706="!!!",F5706="NEW"),"",INDEX(B5705:B$2,-1+SUMPRODUCT(MAX(ROW(E5705:E$2)*(E5706=E5705:E$2)))))</f>
        <v> </v>
      </c>
      <c r="J5706" s="26" t="str">
        <f>IF(OR(E5706="",E5706="!!!",F5706="NEW"),"",COUNTBLANK(OFFSET(A$1,,,SUMPRODUCT(MAX(ROW(E$2:E5706)*(E5706=E$2:E5706)))))-COUNTBLANK(OFFSET(A$1,,,SUMPRODUCT(MAX(ROW(E$1:E5705)*(E2=E$1:E5705))))))</f>
        <v> </v>
      </c>
      <c r="K5706" s="26" t="str">
        <f>IF(OR(E5706="",E5706="!!!",F5706="NEW"),"",INDEX(J$1:J5705,SUMPRODUCT(MAX(ROW(E$1:E5705)*(E5706=E$1:E5705)))))</f>
        <v> </v>
      </c>
      <c r="L5706" s="27"/>
    </row>
    <row r="5707" spans="1:12">
      <c r="A5707" s="20" t="s">
        <v>11</v>
      </c>
      <c r="E5707" s="22">
        <f>IF(D5707="?OLD","!!!","")</f>
        <v/>
      </c>
      <c r="F5707" s="23" t="str">
        <f>IF(OR(E5707="",E5707="!!!"),"",IF(NOT(ISNA(VLOOKUP(E5707,E$1:E5706,1,FALSE()))),"OLD",IF(AND(E5707&lt;&gt;"",E5707&lt;&gt;"!!!"),"NEW","")))</f>
        <v> </v>
      </c>
      <c r="G5707" s="24" t="str">
        <f>IF(OR(E5707="",E5707="!!!"),"",IF(OR(J5707=0,AND(J5707=1,K5707=1),AND(J5707=1,I5707="SBJ"),AND(J5707=1,I5707=0)),"?IN_FOCUS",IF(J5707&lt;=2,"?ACTIVATED",IF(J5707&lt;&gt;"","?FAMILIAR",IF(F5707="NEW",IF(ISNA(VLOOKUP(E5707,#REF!,1,FALSE())),"?TYPE_IDENTIFIABLE","?REFERENTIAL"),"_")))))</f>
        <v> </v>
      </c>
      <c r="H5707" s="25" t="str">
        <f>IF(J5707&lt;&gt;1,"",IF(I5707="SBJ","CB","?"))</f>
        <v> </v>
      </c>
      <c r="I5707" s="26" t="str">
        <f>IF(OR(E5707="",E5707="!!!",F5707="NEW"),"",INDEX(B5706:B$2,-1+SUMPRODUCT(MAX(ROW(E5706:E$2)*(E5707=E5706:E$2)))))</f>
        <v> </v>
      </c>
      <c r="J5707" s="26" t="str">
        <f>IF(OR(E5707="",E5707="!!!",F5707="NEW"),"",COUNTBLANK(OFFSET(A$1,,,SUMPRODUCT(MAX(ROW(E$2:E5707)*(E5707=E$2:E5707)))))-COUNTBLANK(OFFSET(A$1,,,SUMPRODUCT(MAX(ROW(E$1:E5706)*(E2=E$1:E5706))))))</f>
        <v> </v>
      </c>
      <c r="K5707" s="26" t="str">
        <f>IF(OR(E5707="",E5707="!!!",F5707="NEW"),"",INDEX(J$1:J5706,SUMPRODUCT(MAX(ROW(E$1:E5706)*(E5707=E$1:E5706)))))</f>
        <v> </v>
      </c>
      <c r="L5707" s="27"/>
    </row>
    <row r="5708" spans="1:12">
      <c r="A5708" s="20" t="s">
        <v>303</v>
      </c>
      <c r="E5708" s="22">
        <f>IF(D5708="?OLD","!!!","")</f>
        <v/>
      </c>
      <c r="F5708" s="23" t="str">
        <f>IF(OR(E5708="",E5708="!!!"),"",IF(NOT(ISNA(VLOOKUP(E5708,E$1:E5707,1,FALSE()))),"OLD",IF(AND(E5708&lt;&gt;"",E5708&lt;&gt;"!!!"),"NEW","")))</f>
        <v> </v>
      </c>
      <c r="G5708" s="24" t="str">
        <f>IF(OR(E5708="",E5708="!!!"),"",IF(OR(J5708=0,AND(J5708=1,K5708=1),AND(J5708=1,I5708="SBJ"),AND(J5708=1,I5708=0)),"?IN_FOCUS",IF(J5708&lt;=2,"?ACTIVATED",IF(J5708&lt;&gt;"","?FAMILIAR",IF(F5708="NEW",IF(ISNA(VLOOKUP(E5708,#REF!,1,FALSE())),"?TYPE_IDENTIFIABLE","?REFERENTIAL"),"_")))))</f>
        <v> </v>
      </c>
      <c r="H5708" s="25" t="str">
        <f>IF(J5708&lt;&gt;1,"",IF(I5708="SBJ","CB","?"))</f>
        <v> </v>
      </c>
      <c r="I5708" s="26" t="str">
        <f>IF(OR(E5708="",E5708="!!!",F5708="NEW"),"",INDEX(B5707:B$2,-1+SUMPRODUCT(MAX(ROW(E5707:E$2)*(E5708=E5707:E$2)))))</f>
        <v> </v>
      </c>
      <c r="J5708" s="26" t="str">
        <f>IF(OR(E5708="",E5708="!!!",F5708="NEW"),"",COUNTBLANK(OFFSET(A$1,,,SUMPRODUCT(MAX(ROW(E$2:E5708)*(E5708=E$2:E5708)))))-COUNTBLANK(OFFSET(A$1,,,SUMPRODUCT(MAX(ROW(E$1:E5707)*(E2=E$1:E5707))))))</f>
        <v> </v>
      </c>
      <c r="K5708" s="26" t="str">
        <f>IF(OR(E5708="",E5708="!!!",F5708="NEW"),"",INDEX(J$1:J5707,SUMPRODUCT(MAX(ROW(E$1:E5707)*(E5708=E$1:E5707)))))</f>
        <v> </v>
      </c>
      <c r="L5708" s="27"/>
    </row>
    <row r="5709" spans="1:12">
      <c r="A5709" s="20" t="s">
        <v>1295</v>
      </c>
      <c r="E5709" s="22">
        <f>IF(D5709="?OLD","!!!","")</f>
        <v/>
      </c>
      <c r="F5709" s="23" t="str">
        <f>IF(OR(E5709="",E5709="!!!"),"",IF(NOT(ISNA(VLOOKUP(E5709,E$1:E5708,1,FALSE()))),"OLD",IF(AND(E5709&lt;&gt;"",E5709&lt;&gt;"!!!"),"NEW","")))</f>
        <v> </v>
      </c>
      <c r="G5709" s="24" t="str">
        <f>IF(OR(E5709="",E5709="!!!"),"",IF(OR(J5709=0,AND(J5709=1,K5709=1),AND(J5709=1,I5709="SBJ"),AND(J5709=1,I5709=0)),"?IN_FOCUS",IF(J5709&lt;=2,"?ACTIVATED",IF(J5709&lt;&gt;"","?FAMILIAR",IF(F5709="NEW",IF(ISNA(VLOOKUP(E5709,#REF!,1,FALSE())),"?TYPE_IDENTIFIABLE","?REFERENTIAL"),"_")))))</f>
        <v> </v>
      </c>
      <c r="H5709" s="25" t="str">
        <f>IF(J5709&lt;&gt;1,"",IF(I5709="SBJ","CB","?"))</f>
        <v> </v>
      </c>
      <c r="I5709" s="26" t="str">
        <f>IF(OR(E5709="",E5709="!!!",F5709="NEW"),"",INDEX(B5708:B$2,-1+SUMPRODUCT(MAX(ROW(E5708:E$2)*(E5709=E5708:E$2)))))</f>
        <v> </v>
      </c>
      <c r="J5709" s="26" t="str">
        <f>IF(OR(E5709="",E5709="!!!",F5709="NEW"),"",COUNTBLANK(OFFSET(A$1,,,SUMPRODUCT(MAX(ROW(E$2:E5709)*(E5709=E$2:E5709)))))-COUNTBLANK(OFFSET(A$1,,,SUMPRODUCT(MAX(ROW(E$1:E5708)*(E2=E$1:E5708))))))</f>
        <v> </v>
      </c>
      <c r="K5709" s="26" t="str">
        <f>IF(OR(E5709="",E5709="!!!",F5709="NEW"),"",INDEX(J$1:J5708,SUMPRODUCT(MAX(ROW(E$1:E5708)*(E5709=E$1:E5708)))))</f>
        <v> </v>
      </c>
      <c r="L5709" s="27"/>
    </row>
    <row r="5710" spans="1:12">
      <c r="A5710" s="20" t="s">
        <v>1495</v>
      </c>
      <c r="B5710" s="21" t="s">
        <v>1526</v>
      </c>
      <c r="E5710" s="22">
        <f>IF(D5710="?OLD","!!!","")</f>
        <v/>
      </c>
      <c r="F5710" s="23" t="str">
        <f>IF(OR(E5710="",E5710="!!!"),"",IF(NOT(ISNA(VLOOKUP(E5710,E$1:E5709,1,FALSE()))),"OLD",IF(AND(E5710&lt;&gt;"",E5710&lt;&gt;"!!!"),"NEW","")))</f>
        <v> </v>
      </c>
      <c r="G5710" s="24" t="str">
        <f>IF(OR(E5710="",E5710="!!!"),"",IF(OR(J5710=0,AND(J5710=1,K5710=1),AND(J5710=1,I5710="SBJ"),AND(J5710=1,I5710=0)),"?IN_FOCUS",IF(J5710&lt;=2,"?ACTIVATED",IF(J5710&lt;&gt;"","?FAMILIAR",IF(F5710="NEW",IF(ISNA(VLOOKUP(E5710,#REF!,1,FALSE())),"?TYPE_IDENTIFIABLE","?REFERENTIAL"),"_")))))</f>
        <v> </v>
      </c>
      <c r="H5710" s="25" t="str">
        <f>IF(J5710&lt;&gt;1,"",IF(I5710="SBJ","CB","?"))</f>
        <v> </v>
      </c>
      <c r="I5710" s="26" t="str">
        <f>IF(OR(E5710="",E5710="!!!",F5710="NEW"),"",INDEX(B5709:B$2,-1+SUMPRODUCT(MAX(ROW(E5709:E$2)*(E5710=E5709:E$2)))))</f>
        <v> </v>
      </c>
      <c r="J5710" s="26" t="str">
        <f>IF(OR(E5710="",E5710="!!!",F5710="NEW"),"",COUNTBLANK(OFFSET(A$1,,,SUMPRODUCT(MAX(ROW(E$2:E5710)*(E5710=E$2:E5710)))))-COUNTBLANK(OFFSET(A$1,,,SUMPRODUCT(MAX(ROW(E$1:E5709)*(E2=E$1:E5709))))))</f>
        <v> </v>
      </c>
      <c r="K5710" s="26" t="str">
        <f>IF(OR(E5710="",E5710="!!!",F5710="NEW"),"",INDEX(J$1:J5709,SUMPRODUCT(MAX(ROW(E$1:E5709)*(E5710=E$1:E5709)))))</f>
        <v> </v>
      </c>
      <c r="L5710" s="27"/>
    </row>
    <row r="5711" spans="1:12">
      <c r="A5711" s="20" t="s">
        <v>427</v>
      </c>
      <c r="B5711" s="21" t="s">
        <v>1912</v>
      </c>
      <c r="C5711" s="21" t="s">
        <v>1238</v>
      </c>
      <c r="D5711" s="21" t="s">
        <v>1180</v>
      </c>
      <c r="E5711" s="22">
        <f>IF(D5711="?OLD","!!!","")</f>
        <v/>
      </c>
      <c r="F5711" s="23" t="str">
        <f>IF(OR(E5711="",E5711="!!!"),"",IF(NOT(ISNA(VLOOKUP(E5711,E$1:E5710,1,FALSE()))),"OLD",IF(AND(E5711&lt;&gt;"",E5711&lt;&gt;"!!!"),"NEW","")))</f>
        <v> </v>
      </c>
      <c r="G5711" s="24" t="str">
        <f>IF(OR(E5711="",E5711="!!!"),"",IF(OR(J5711=0,AND(J5711=1,K5711=1),AND(J5711=1,I5711="SBJ"),AND(J5711=1,I5711=0)),"?IN_FOCUS",IF(J5711&lt;=2,"?ACTIVATED",IF(J5711&lt;&gt;"","?FAMILIAR",IF(F5711="NEW",IF(ISNA(VLOOKUP(E5711,#REF!,1,FALSE())),"?TYPE_IDENTIFIABLE","?REFERENTIAL"),"_")))))</f>
        <v> </v>
      </c>
      <c r="H5711" s="25" t="str">
        <f>IF(J5711&lt;&gt;1,"",IF(I5711="SBJ","CB","?"))</f>
        <v> </v>
      </c>
      <c r="I5711" s="26" t="str">
        <f>IF(OR(E5711="",E5711="!!!",F5711="NEW"),"",INDEX(B5710:B$2,-1+SUMPRODUCT(MAX(ROW(E5710:E$2)*(E5711=E5710:E$2)))))</f>
        <v> </v>
      </c>
      <c r="J5711" s="26" t="str">
        <f>IF(OR(E5711="",E5711="!!!",F5711="NEW"),"",COUNTBLANK(OFFSET(A$1,,,SUMPRODUCT(MAX(ROW(E$2:E5711)*(E5711=E$2:E5711)))))-COUNTBLANK(OFFSET(A$1,,,SUMPRODUCT(MAX(ROW(E$1:E5710)*(E2=E$1:E5710))))))</f>
        <v> </v>
      </c>
      <c r="K5711" s="26" t="str">
        <f>IF(OR(E5711="",E5711="!!!",F5711="NEW"),"",INDEX(J$1:J5710,SUMPRODUCT(MAX(ROW(E$1:E5710)*(E5711=E$1:E5710)))))</f>
        <v> </v>
      </c>
      <c r="L5711" s="27"/>
    </row>
    <row r="5712" spans="1:12">
      <c r="A5712" s="20" t="s">
        <v>2696</v>
      </c>
      <c r="E5712" s="22">
        <f>IF(D5712="?OLD","!!!","")</f>
        <v/>
      </c>
      <c r="F5712" s="23" t="str">
        <f>IF(OR(E5712="",E5712="!!!"),"",IF(NOT(ISNA(VLOOKUP(E5712,E$1:E5711,1,FALSE()))),"OLD",IF(AND(E5712&lt;&gt;"",E5712&lt;&gt;"!!!"),"NEW","")))</f>
        <v> </v>
      </c>
      <c r="G5712" s="24" t="str">
        <f>IF(OR(E5712="",E5712="!!!"),"",IF(OR(J5712=0,AND(J5712=1,K5712=1),AND(J5712=1,I5712="SBJ"),AND(J5712=1,I5712=0)),"?IN_FOCUS",IF(J5712&lt;=2,"?ACTIVATED",IF(J5712&lt;&gt;"","?FAMILIAR",IF(F5712="NEW",IF(ISNA(VLOOKUP(E5712,#REF!,1,FALSE())),"?TYPE_IDENTIFIABLE","?REFERENTIAL"),"_")))))</f>
        <v> </v>
      </c>
      <c r="H5712" s="25" t="str">
        <f>IF(J5712&lt;&gt;1,"",IF(I5712="SBJ","CB","?"))</f>
        <v> </v>
      </c>
      <c r="I5712" s="26" t="str">
        <f>IF(OR(E5712="",E5712="!!!",F5712="NEW"),"",INDEX(B5711:B$2,-1+SUMPRODUCT(MAX(ROW(E5711:E$2)*(E5712=E5711:E$2)))))</f>
        <v> </v>
      </c>
      <c r="J5712" s="26" t="str">
        <f>IF(OR(E5712="",E5712="!!!",F5712="NEW"),"",COUNTBLANK(OFFSET(A$1,,,SUMPRODUCT(MAX(ROW(E$2:E5712)*(E5712=E$2:E5712)))))-COUNTBLANK(OFFSET(A$1,,,SUMPRODUCT(MAX(ROW(E$1:E5711)*(E2=E$1:E5711))))))</f>
        <v> </v>
      </c>
      <c r="K5712" s="26" t="str">
        <f>IF(OR(E5712="",E5712="!!!",F5712="NEW"),"",INDEX(J$1:J5711,SUMPRODUCT(MAX(ROW(E$1:E5711)*(E5712=E$1:E5711)))))</f>
        <v> </v>
      </c>
      <c r="L5712" s="27"/>
    </row>
    <row r="5713" spans="1:12">
      <c r="A5713" s="20" t="s">
        <v>1437</v>
      </c>
      <c r="E5713" s="22">
        <f>IF(D5713="?OLD","!!!","")</f>
        <v/>
      </c>
      <c r="F5713" s="23" t="str">
        <f>IF(OR(E5713="",E5713="!!!"),"",IF(NOT(ISNA(VLOOKUP(E5713,E$1:E5712,1,FALSE()))),"OLD",IF(AND(E5713&lt;&gt;"",E5713&lt;&gt;"!!!"),"NEW","")))</f>
        <v> </v>
      </c>
      <c r="G5713" s="24" t="str">
        <f>IF(OR(E5713="",E5713="!!!"),"",IF(OR(J5713=0,AND(J5713=1,K5713=1),AND(J5713=1,I5713="SBJ"),AND(J5713=1,I5713=0)),"?IN_FOCUS",IF(J5713&lt;=2,"?ACTIVATED",IF(J5713&lt;&gt;"","?FAMILIAR",IF(F5713="NEW",IF(ISNA(VLOOKUP(E5713,#REF!,1,FALSE())),"?TYPE_IDENTIFIABLE","?REFERENTIAL"),"_")))))</f>
        <v> </v>
      </c>
      <c r="H5713" s="25" t="str">
        <f>IF(J5713&lt;&gt;1,"",IF(I5713="SBJ","CB","?"))</f>
        <v> </v>
      </c>
      <c r="I5713" s="26" t="str">
        <f>IF(OR(E5713="",E5713="!!!",F5713="NEW"),"",INDEX(B5712:B$2,-1+SUMPRODUCT(MAX(ROW(E5712:E$2)*(E5713=E5712:E$2)))))</f>
        <v> </v>
      </c>
      <c r="J5713" s="26" t="str">
        <f>IF(OR(E5713="",E5713="!!!",F5713="NEW"),"",COUNTBLANK(OFFSET(A$1,,,SUMPRODUCT(MAX(ROW(E$2:E5713)*(E5713=E$2:E5713)))))-COUNTBLANK(OFFSET(A$1,,,SUMPRODUCT(MAX(ROW(E$1:E5712)*(E2=E$1:E5712))))))</f>
        <v> </v>
      </c>
      <c r="K5713" s="26" t="str">
        <f>IF(OR(E5713="",E5713="!!!",F5713="NEW"),"",INDEX(J$1:J5712,SUMPRODUCT(MAX(ROW(E$1:E5712)*(E5713=E$1:E5712)))))</f>
        <v> </v>
      </c>
      <c r="L5713" s="27"/>
    </row>
    <row r="5714" spans="1:12">
      <c r="A5714" s="20" t="s">
        <v>1185</v>
      </c>
      <c r="E5714" s="22">
        <f>IF(D5714="?OLD","!!!","")</f>
        <v/>
      </c>
      <c r="F5714" s="23" t="str">
        <f>IF(OR(E5714="",E5714="!!!"),"",IF(NOT(ISNA(VLOOKUP(E5714,E$1:E5713,1,FALSE()))),"OLD",IF(AND(E5714&lt;&gt;"",E5714&lt;&gt;"!!!"),"NEW","")))</f>
        <v> </v>
      </c>
      <c r="G5714" s="24" t="str">
        <f>IF(OR(E5714="",E5714="!!!"),"",IF(OR(J5714=0,AND(J5714=1,K5714=1),AND(J5714=1,I5714="SBJ"),AND(J5714=1,I5714=0)),"?IN_FOCUS",IF(J5714&lt;=2,"?ACTIVATED",IF(J5714&lt;&gt;"","?FAMILIAR",IF(F5714="NEW",IF(ISNA(VLOOKUP(E5714,#REF!,1,FALSE())),"?TYPE_IDENTIFIABLE","?REFERENTIAL"),"_")))))</f>
        <v> </v>
      </c>
      <c r="H5714" s="25" t="str">
        <f>IF(J5714&lt;&gt;1,"",IF(I5714="SBJ","CB","?"))</f>
        <v> </v>
      </c>
      <c r="I5714" s="26" t="str">
        <f>IF(OR(E5714="",E5714="!!!",F5714="NEW"),"",INDEX(B5713:B$2,-1+SUMPRODUCT(MAX(ROW(E5713:E$2)*(E5714=E5713:E$2)))))</f>
        <v> </v>
      </c>
      <c r="J5714" s="26" t="str">
        <f>IF(OR(E5714="",E5714="!!!",F5714="NEW"),"",COUNTBLANK(OFFSET(A$1,,,SUMPRODUCT(MAX(ROW(E$2:E5714)*(E5714=E$2:E5714)))))-COUNTBLANK(OFFSET(A$1,,,SUMPRODUCT(MAX(ROW(E$1:E5713)*(E2=E$1:E5713))))))</f>
        <v> </v>
      </c>
      <c r="K5714" s="26" t="str">
        <f>IF(OR(E5714="",E5714="!!!",F5714="NEW"),"",INDEX(J$1:J5713,SUMPRODUCT(MAX(ROW(E$1:E5713)*(E5714=E$1:E5713)))))</f>
        <v> </v>
      </c>
      <c r="L5714" s="27"/>
    </row>
    <row r="5715" spans="1:12">
      <c r="A5715" s="20" t="s">
        <v>1530</v>
      </c>
      <c r="E5715" s="22">
        <f>IF(D5715="?OLD","!!!","")</f>
        <v/>
      </c>
      <c r="F5715" s="23" t="str">
        <f>IF(OR(E5715="",E5715="!!!"),"",IF(NOT(ISNA(VLOOKUP(E5715,E$1:E5714,1,FALSE()))),"OLD",IF(AND(E5715&lt;&gt;"",E5715&lt;&gt;"!!!"),"NEW","")))</f>
        <v> </v>
      </c>
      <c r="G5715" s="24" t="str">
        <f>IF(OR(E5715="",E5715="!!!"),"",IF(OR(J5715=0,AND(J5715=1,K5715=1),AND(J5715=1,I5715="SBJ"),AND(J5715=1,I5715=0)),"?IN_FOCUS",IF(J5715&lt;=2,"?ACTIVATED",IF(J5715&lt;&gt;"","?FAMILIAR",IF(F5715="NEW",IF(ISNA(VLOOKUP(E5715,#REF!,1,FALSE())),"?TYPE_IDENTIFIABLE","?REFERENTIAL"),"_")))))</f>
        <v> </v>
      </c>
      <c r="H5715" s="25" t="str">
        <f>IF(J5715&lt;&gt;1,"",IF(I5715="SBJ","CB","?"))</f>
        <v> </v>
      </c>
      <c r="I5715" s="26" t="str">
        <f>IF(OR(E5715="",E5715="!!!",F5715="NEW"),"",INDEX(B5714:B$2,-1+SUMPRODUCT(MAX(ROW(E5714:E$2)*(E5715=E5714:E$2)))))</f>
        <v> </v>
      </c>
      <c r="J5715" s="26" t="str">
        <f>IF(OR(E5715="",E5715="!!!",F5715="NEW"),"",COUNTBLANK(OFFSET(A$1,,,SUMPRODUCT(MAX(ROW(E$2:E5715)*(E5715=E$2:E5715)))))-COUNTBLANK(OFFSET(A$1,,,SUMPRODUCT(MAX(ROW(E$1:E5714)*(E2=E$1:E5714))))))</f>
        <v> </v>
      </c>
      <c r="K5715" s="26" t="str">
        <f>IF(OR(E5715="",E5715="!!!",F5715="NEW"),"",INDEX(J$1:J5714,SUMPRODUCT(MAX(ROW(E$1:E5714)*(E5715=E$1:E5714)))))</f>
        <v> </v>
      </c>
      <c r="L5715" s="27"/>
    </row>
    <row r="5716" spans="1:12">
      <c r="A5716" s="20" t="s">
        <v>427</v>
      </c>
      <c r="B5716" s="21" t="s">
        <v>1912</v>
      </c>
      <c r="C5716" s="21" t="s">
        <v>1238</v>
      </c>
      <c r="D5716" s="21" t="s">
        <v>1180</v>
      </c>
      <c r="E5716" s="22">
        <f>IF(D5716="?OLD","!!!","")</f>
        <v/>
      </c>
      <c r="F5716" s="23" t="str">
        <f>IF(OR(E5716="",E5716="!!!"),"",IF(NOT(ISNA(VLOOKUP(E5716,E$1:E5715,1,FALSE()))),"OLD",IF(AND(E5716&lt;&gt;"",E5716&lt;&gt;"!!!"),"NEW","")))</f>
        <v> </v>
      </c>
      <c r="G5716" s="24" t="str">
        <f>IF(OR(E5716="",E5716="!!!"),"",IF(OR(J5716=0,AND(J5716=1,K5716=1),AND(J5716=1,I5716="SBJ"),AND(J5716=1,I5716=0)),"?IN_FOCUS",IF(J5716&lt;=2,"?ACTIVATED",IF(J5716&lt;&gt;"","?FAMILIAR",IF(F5716="NEW",IF(ISNA(VLOOKUP(E5716,#REF!,1,FALSE())),"?TYPE_IDENTIFIABLE","?REFERENTIAL"),"_")))))</f>
        <v> </v>
      </c>
      <c r="H5716" s="25" t="str">
        <f>IF(J5716&lt;&gt;1,"",IF(I5716="SBJ","CB","?"))</f>
        <v> </v>
      </c>
      <c r="I5716" s="26" t="str">
        <f>IF(OR(E5716="",E5716="!!!",F5716="NEW"),"",INDEX(B5715:B$2,-1+SUMPRODUCT(MAX(ROW(E5715:E$2)*(E5716=E5715:E$2)))))</f>
        <v> </v>
      </c>
      <c r="J5716" s="26" t="str">
        <f>IF(OR(E5716="",E5716="!!!",F5716="NEW"),"",COUNTBLANK(OFFSET(A$1,,,SUMPRODUCT(MAX(ROW(E$2:E5716)*(E5716=E$2:E5716)))))-COUNTBLANK(OFFSET(A$1,,,SUMPRODUCT(MAX(ROW(E$1:E5715)*(E2=E$1:E5715))))))</f>
        <v> </v>
      </c>
      <c r="K5716" s="26" t="str">
        <f>IF(OR(E5716="",E5716="!!!",F5716="NEW"),"",INDEX(J$1:J5715,SUMPRODUCT(MAX(ROW(E$1:E5715)*(E5716=E$1:E5715)))))</f>
        <v> </v>
      </c>
      <c r="L5716" s="27"/>
    </row>
    <row r="5717" spans="1:12">
      <c r="A5717" s="20" t="s">
        <v>1801</v>
      </c>
      <c r="E5717" s="22">
        <f>IF(D5717="?OLD","!!!","")</f>
        <v/>
      </c>
      <c r="F5717" s="23" t="str">
        <f>IF(OR(E5717="",E5717="!!!"),"",IF(NOT(ISNA(VLOOKUP(E5717,E$1:E5716,1,FALSE()))),"OLD",IF(AND(E5717&lt;&gt;"",E5717&lt;&gt;"!!!"),"NEW","")))</f>
        <v> </v>
      </c>
      <c r="G5717" s="24" t="str">
        <f>IF(OR(E5717="",E5717="!!!"),"",IF(OR(J5717=0,AND(J5717=1,K5717=1),AND(J5717=1,I5717="SBJ"),AND(J5717=1,I5717=0)),"?IN_FOCUS",IF(J5717&lt;=2,"?ACTIVATED",IF(J5717&lt;&gt;"","?FAMILIAR",IF(F5717="NEW",IF(ISNA(VLOOKUP(E5717,#REF!,1,FALSE())),"?TYPE_IDENTIFIABLE","?REFERENTIAL"),"_")))))</f>
        <v> </v>
      </c>
      <c r="H5717" s="25" t="str">
        <f>IF(J5717&lt;&gt;1,"",IF(I5717="SBJ","CB","?"))</f>
        <v> </v>
      </c>
      <c r="I5717" s="26" t="str">
        <f>IF(OR(E5717="",E5717="!!!",F5717="NEW"),"",INDEX(B5716:B$2,-1+SUMPRODUCT(MAX(ROW(E5716:E$2)*(E5717=E5716:E$2)))))</f>
        <v> </v>
      </c>
      <c r="J5717" s="26" t="str">
        <f>IF(OR(E5717="",E5717="!!!",F5717="NEW"),"",COUNTBLANK(OFFSET(A$1,,,SUMPRODUCT(MAX(ROW(E$2:E5717)*(E5717=E$2:E5717)))))-COUNTBLANK(OFFSET(A$1,,,SUMPRODUCT(MAX(ROW(E$1:E5716)*(E2=E$1:E5716))))))</f>
        <v> </v>
      </c>
      <c r="K5717" s="26" t="str">
        <f>IF(OR(E5717="",E5717="!!!",F5717="NEW"),"",INDEX(J$1:J5716,SUMPRODUCT(MAX(ROW(E$1:E5716)*(E5717=E$1:E5716)))))</f>
        <v> </v>
      </c>
      <c r="L5717" s="27"/>
    </row>
    <row r="5718" spans="1:12">
      <c r="A5718" s="20" t="s">
        <v>1185</v>
      </c>
      <c r="E5718" s="22">
        <f>IF(D5718="?OLD","!!!","")</f>
        <v/>
      </c>
      <c r="F5718" s="23" t="str">
        <f>IF(OR(E5718="",E5718="!!!"),"",IF(NOT(ISNA(VLOOKUP(E5718,E$1:E5717,1,FALSE()))),"OLD",IF(AND(E5718&lt;&gt;"",E5718&lt;&gt;"!!!"),"NEW","")))</f>
        <v> </v>
      </c>
      <c r="G5718" s="24" t="str">
        <f>IF(OR(E5718="",E5718="!!!"),"",IF(OR(J5718=0,AND(J5718=1,K5718=1),AND(J5718=1,I5718="SBJ"),AND(J5718=1,I5718=0)),"?IN_FOCUS",IF(J5718&lt;=2,"?ACTIVATED",IF(J5718&lt;&gt;"","?FAMILIAR",IF(F5718="NEW",IF(ISNA(VLOOKUP(E5718,#REF!,1,FALSE())),"?TYPE_IDENTIFIABLE","?REFERENTIAL"),"_")))))</f>
        <v> </v>
      </c>
      <c r="H5718" s="25" t="str">
        <f>IF(J5718&lt;&gt;1,"",IF(I5718="SBJ","CB","?"))</f>
        <v> </v>
      </c>
      <c r="I5718" s="26" t="str">
        <f>IF(OR(E5718="",E5718="!!!",F5718="NEW"),"",INDEX(B5717:B$2,-1+SUMPRODUCT(MAX(ROW(E5717:E$2)*(E5718=E5717:E$2)))))</f>
        <v> </v>
      </c>
      <c r="J5718" s="26" t="str">
        <f>IF(OR(E5718="",E5718="!!!",F5718="NEW"),"",COUNTBLANK(OFFSET(A$1,,,SUMPRODUCT(MAX(ROW(E$2:E5718)*(E5718=E$2:E5718)))))-COUNTBLANK(OFFSET(A$1,,,SUMPRODUCT(MAX(ROW(E$1:E5717)*(E2=E$1:E5717))))))</f>
        <v> </v>
      </c>
      <c r="K5718" s="26" t="str">
        <f>IF(OR(E5718="",E5718="!!!",F5718="NEW"),"",INDEX(J$1:J5717,SUMPRODUCT(MAX(ROW(E$1:E5717)*(E5718=E$1:E5717)))))</f>
        <v> </v>
      </c>
      <c r="L5718" s="27"/>
    </row>
    <row r="5719" spans="1:12">
      <c r="A5719" s="20" t="s">
        <v>1530</v>
      </c>
      <c r="E5719" s="22">
        <f>IF(D5719="?OLD","!!!","")</f>
        <v/>
      </c>
      <c r="F5719" s="23" t="str">
        <f>IF(OR(E5719="",E5719="!!!"),"",IF(NOT(ISNA(VLOOKUP(E5719,E$1:E5718,1,FALSE()))),"OLD",IF(AND(E5719&lt;&gt;"",E5719&lt;&gt;"!!!"),"NEW","")))</f>
        <v> </v>
      </c>
      <c r="G5719" s="24" t="str">
        <f>IF(OR(E5719="",E5719="!!!"),"",IF(OR(J5719=0,AND(J5719=1,K5719=1),AND(J5719=1,I5719="SBJ"),AND(J5719=1,I5719=0)),"?IN_FOCUS",IF(J5719&lt;=2,"?ACTIVATED",IF(J5719&lt;&gt;"","?FAMILIAR",IF(F5719="NEW",IF(ISNA(VLOOKUP(E5719,#REF!,1,FALSE())),"?TYPE_IDENTIFIABLE","?REFERENTIAL"),"_")))))</f>
        <v> </v>
      </c>
      <c r="H5719" s="25" t="str">
        <f>IF(J5719&lt;&gt;1,"",IF(I5719="SBJ","CB","?"))</f>
        <v> </v>
      </c>
      <c r="I5719" s="26" t="str">
        <f>IF(OR(E5719="",E5719="!!!",F5719="NEW"),"",INDEX(B5718:B$2,-1+SUMPRODUCT(MAX(ROW(E5718:E$2)*(E5719=E5718:E$2)))))</f>
        <v> </v>
      </c>
      <c r="J5719" s="26" t="str">
        <f>IF(OR(E5719="",E5719="!!!",F5719="NEW"),"",COUNTBLANK(OFFSET(A$1,,,SUMPRODUCT(MAX(ROW(E$2:E5719)*(E5719=E$2:E5719)))))-COUNTBLANK(OFFSET(A$1,,,SUMPRODUCT(MAX(ROW(E$1:E5718)*(E2=E$1:E5718))))))</f>
        <v> </v>
      </c>
      <c r="K5719" s="26" t="str">
        <f>IF(OR(E5719="",E5719="!!!",F5719="NEW"),"",INDEX(J$1:J5718,SUMPRODUCT(MAX(ROW(E$1:E5718)*(E5719=E$1:E5718)))))</f>
        <v> </v>
      </c>
      <c r="L5719" s="27"/>
    </row>
    <row r="5720" spans="1:12">
      <c r="A5720" s="20" t="s">
        <v>427</v>
      </c>
      <c r="B5720" s="21" t="s">
        <v>1341</v>
      </c>
      <c r="C5720" s="21" t="s">
        <v>1238</v>
      </c>
      <c r="D5720" s="21" t="s">
        <v>1180</v>
      </c>
      <c r="E5720" s="22">
        <f>IF(D5720="?OLD","!!!","")</f>
        <v/>
      </c>
      <c r="F5720" s="23" t="str">
        <f>IF(OR(E5720="",E5720="!!!"),"",IF(NOT(ISNA(VLOOKUP(E5720,E$1:E5719,1,FALSE()))),"OLD",IF(AND(E5720&lt;&gt;"",E5720&lt;&gt;"!!!"),"NEW","")))</f>
        <v> </v>
      </c>
      <c r="G5720" s="24" t="str">
        <f>IF(OR(E5720="",E5720="!!!"),"",IF(OR(J5720=0,AND(J5720=1,K5720=1),AND(J5720=1,I5720="SBJ"),AND(J5720=1,I5720=0)),"?IN_FOCUS",IF(J5720&lt;=2,"?ACTIVATED",IF(J5720&lt;&gt;"","?FAMILIAR",IF(F5720="NEW",IF(ISNA(VLOOKUP(E5720,#REF!,1,FALSE())),"?TYPE_IDENTIFIABLE","?REFERENTIAL"),"_")))))</f>
        <v> </v>
      </c>
      <c r="H5720" s="25" t="str">
        <f>IF(J5720&lt;&gt;1,"",IF(I5720="SBJ","CB","?"))</f>
        <v> </v>
      </c>
      <c r="I5720" s="26" t="str">
        <f>IF(OR(E5720="",E5720="!!!",F5720="NEW"),"",INDEX(B5719:B$2,-1+SUMPRODUCT(MAX(ROW(E5719:E$2)*(E5720=E5719:E$2)))))</f>
        <v> </v>
      </c>
      <c r="J5720" s="26" t="str">
        <f>IF(OR(E5720="",E5720="!!!",F5720="NEW"),"",COUNTBLANK(OFFSET(A$1,,,SUMPRODUCT(MAX(ROW(E$2:E5720)*(E5720=E$2:E5720)))))-COUNTBLANK(OFFSET(A$1,,,SUMPRODUCT(MAX(ROW(E$1:E5719)*(E2=E$1:E5719))))))</f>
        <v> </v>
      </c>
      <c r="K5720" s="26" t="str">
        <f>IF(OR(E5720="",E5720="!!!",F5720="NEW"),"",INDEX(J$1:J5719,SUMPRODUCT(MAX(ROW(E$1:E5719)*(E5720=E$1:E5719)))))</f>
        <v> </v>
      </c>
      <c r="L5720" s="27"/>
    </row>
    <row r="5721" spans="1:12">
      <c r="A5721" s="20" t="s">
        <v>1314</v>
      </c>
      <c r="E5721" s="22">
        <f>IF(D5721="?OLD","!!!","")</f>
        <v/>
      </c>
      <c r="F5721" s="23" t="str">
        <f>IF(OR(E5721="",E5721="!!!"),"",IF(NOT(ISNA(VLOOKUP(E5721,E$1:E5720,1,FALSE()))),"OLD",IF(AND(E5721&lt;&gt;"",E5721&lt;&gt;"!!!"),"NEW","")))</f>
        <v> </v>
      </c>
      <c r="G5721" s="24" t="str">
        <f>IF(OR(E5721="",E5721="!!!"),"",IF(OR(J5721=0,AND(J5721=1,K5721=1),AND(J5721=1,I5721="SBJ"),AND(J5721=1,I5721=0)),"?IN_FOCUS",IF(J5721&lt;=2,"?ACTIVATED",IF(J5721&lt;&gt;"","?FAMILIAR",IF(F5721="NEW",IF(ISNA(VLOOKUP(E5721,#REF!,1,FALSE())),"?TYPE_IDENTIFIABLE","?REFERENTIAL"),"_")))))</f>
        <v> </v>
      </c>
      <c r="H5721" s="25" t="str">
        <f>IF(J5721&lt;&gt;1,"",IF(I5721="SBJ","CB","?"))</f>
        <v> </v>
      </c>
      <c r="I5721" s="26" t="str">
        <f>IF(OR(E5721="",E5721="!!!",F5721="NEW"),"",INDEX(B5720:B$2,-1+SUMPRODUCT(MAX(ROW(E5720:E$2)*(E5721=E5720:E$2)))))</f>
        <v> </v>
      </c>
      <c r="J5721" s="26" t="str">
        <f>IF(OR(E5721="",E5721="!!!",F5721="NEW"),"",COUNTBLANK(OFFSET(A$1,,,SUMPRODUCT(MAX(ROW(E$2:E5721)*(E5721=E$2:E5721)))))-COUNTBLANK(OFFSET(A$1,,,SUMPRODUCT(MAX(ROW(E$1:E5720)*(E2=E$1:E5720))))))</f>
        <v> </v>
      </c>
      <c r="K5721" s="26" t="str">
        <f>IF(OR(E5721="",E5721="!!!",F5721="NEW"),"",INDEX(J$1:J5720,SUMPRODUCT(MAX(ROW(E$1:E5720)*(E5721=E$1:E5720)))))</f>
        <v> </v>
      </c>
      <c r="L5721" s="27"/>
    </row>
    <row r="5722" spans="1:12">
      <c r="A5722" s="20" t="s">
        <v>1537</v>
      </c>
      <c r="E5722" s="22">
        <f>IF(D5722="?OLD","!!!","")</f>
        <v/>
      </c>
      <c r="F5722" s="23" t="str">
        <f>IF(OR(E5722="",E5722="!!!"),"",IF(NOT(ISNA(VLOOKUP(E5722,E$1:E5721,1,FALSE()))),"OLD",IF(AND(E5722&lt;&gt;"",E5722&lt;&gt;"!!!"),"NEW","")))</f>
        <v> </v>
      </c>
      <c r="G5722" s="24" t="str">
        <f>IF(OR(E5722="",E5722="!!!"),"",IF(OR(J5722=0,AND(J5722=1,K5722=1),AND(J5722=1,I5722="SBJ"),AND(J5722=1,I5722=0)),"?IN_FOCUS",IF(J5722&lt;=2,"?ACTIVATED",IF(J5722&lt;&gt;"","?FAMILIAR",IF(F5722="NEW",IF(ISNA(VLOOKUP(E5722,#REF!,1,FALSE())),"?TYPE_IDENTIFIABLE","?REFERENTIAL"),"_")))))</f>
        <v> </v>
      </c>
      <c r="H5722" s="25" t="str">
        <f>IF(J5722&lt;&gt;1,"",IF(I5722="SBJ","CB","?"))</f>
        <v> </v>
      </c>
      <c r="I5722" s="26" t="str">
        <f>IF(OR(E5722="",E5722="!!!",F5722="NEW"),"",INDEX(B5721:B$2,-1+SUMPRODUCT(MAX(ROW(E5721:E$2)*(E5722=E5721:E$2)))))</f>
        <v> </v>
      </c>
      <c r="J5722" s="26" t="str">
        <f>IF(OR(E5722="",E5722="!!!",F5722="NEW"),"",COUNTBLANK(OFFSET(A$1,,,SUMPRODUCT(MAX(ROW(E$2:E5722)*(E5722=E$2:E5722)))))-COUNTBLANK(OFFSET(A$1,,,SUMPRODUCT(MAX(ROW(E$1:E5721)*(E2=E$1:E5721))))))</f>
        <v> </v>
      </c>
      <c r="K5722" s="26" t="str">
        <f>IF(OR(E5722="",E5722="!!!",F5722="NEW"),"",INDEX(J$1:J5721,SUMPRODUCT(MAX(ROW(E$1:E5721)*(E5722=E$1:E5721)))))</f>
        <v> </v>
      </c>
      <c r="L5722" s="27"/>
    </row>
    <row r="5723" spans="1:12">
      <c r="A5723" s="20" t="s">
        <v>1186</v>
      </c>
      <c r="E5723" s="22">
        <f>IF(D5723="?OLD","!!!","")</f>
        <v/>
      </c>
      <c r="F5723" s="23" t="str">
        <f>IF(OR(E5723="",E5723="!!!"),"",IF(NOT(ISNA(VLOOKUP(E5723,E$1:E5722,1,FALSE()))),"OLD",IF(AND(E5723&lt;&gt;"",E5723&lt;&gt;"!!!"),"NEW","")))</f>
        <v> </v>
      </c>
      <c r="G5723" s="24" t="str">
        <f>IF(OR(E5723="",E5723="!!!"),"",IF(OR(J5723=0,AND(J5723=1,K5723=1),AND(J5723=1,I5723="SBJ"),AND(J5723=1,I5723=0)),"?IN_FOCUS",IF(J5723&lt;=2,"?ACTIVATED",IF(J5723&lt;&gt;"","?FAMILIAR",IF(F5723="NEW",IF(ISNA(VLOOKUP(E5723,#REF!,1,FALSE())),"?TYPE_IDENTIFIABLE","?REFERENTIAL"),"_")))))</f>
        <v> </v>
      </c>
      <c r="H5723" s="25" t="str">
        <f>IF(J5723&lt;&gt;1,"",IF(I5723="SBJ","CB","?"))</f>
        <v> </v>
      </c>
      <c r="I5723" s="26" t="str">
        <f>IF(OR(E5723="",E5723="!!!",F5723="NEW"),"",INDEX(B5722:B$2,-1+SUMPRODUCT(MAX(ROW(E5722:E$2)*(E5723=E5722:E$2)))))</f>
        <v> </v>
      </c>
      <c r="J5723" s="26" t="str">
        <f>IF(OR(E5723="",E5723="!!!",F5723="NEW"),"",COUNTBLANK(OFFSET(A$1,,,SUMPRODUCT(MAX(ROW(E$2:E5723)*(E5723=E$2:E5723)))))-COUNTBLANK(OFFSET(A$1,,,SUMPRODUCT(MAX(ROW(E$1:E5722)*(E2=E$1:E5722))))))</f>
        <v> </v>
      </c>
      <c r="K5723" s="26" t="str">
        <f>IF(OR(E5723="",E5723="!!!",F5723="NEW"),"",INDEX(J$1:J5722,SUMPRODUCT(MAX(ROW(E$1:E5722)*(E5723=E$1:E5722)))))</f>
        <v> </v>
      </c>
      <c r="L5723" s="27"/>
    </row>
    <row r="5724" spans="1:12">
      <c r="A5724" s="20" t="s">
        <v>2741</v>
      </c>
      <c r="E5724" s="22">
        <f>IF(D5724="?OLD","!!!","")</f>
        <v/>
      </c>
      <c r="F5724" s="23" t="str">
        <f>IF(OR(E5724="",E5724="!!!"),"",IF(NOT(ISNA(VLOOKUP(E5724,E$1:E5723,1,FALSE()))),"OLD",IF(AND(E5724&lt;&gt;"",E5724&lt;&gt;"!!!"),"NEW","")))</f>
        <v> </v>
      </c>
      <c r="G5724" s="24" t="str">
        <f>IF(OR(E5724="",E5724="!!!"),"",IF(OR(J5724=0,AND(J5724=1,K5724=1),AND(J5724=1,I5724="SBJ"),AND(J5724=1,I5724=0)),"?IN_FOCUS",IF(J5724&lt;=2,"?ACTIVATED",IF(J5724&lt;&gt;"","?FAMILIAR",IF(F5724="NEW",IF(ISNA(VLOOKUP(E5724,#REF!,1,FALSE())),"?TYPE_IDENTIFIABLE","?REFERENTIAL"),"_")))))</f>
        <v> </v>
      </c>
      <c r="H5724" s="25" t="str">
        <f>IF(J5724&lt;&gt;1,"",IF(I5724="SBJ","CB","?"))</f>
        <v> </v>
      </c>
      <c r="I5724" s="26" t="str">
        <f>IF(OR(E5724="",E5724="!!!",F5724="NEW"),"",INDEX(B5723:B$2,-1+SUMPRODUCT(MAX(ROW(E5723:E$2)*(E5724=E5723:E$2)))))</f>
        <v> </v>
      </c>
      <c r="J5724" s="26" t="str">
        <f>IF(OR(E5724="",E5724="!!!",F5724="NEW"),"",COUNTBLANK(OFFSET(A$1,,,SUMPRODUCT(MAX(ROW(E$2:E5724)*(E5724=E$2:E5724)))))-COUNTBLANK(OFFSET(A$1,,,SUMPRODUCT(MAX(ROW(E$1:E5723)*(E2=E$1:E5723))))))</f>
        <v> </v>
      </c>
      <c r="K5724" s="26" t="str">
        <f>IF(OR(E5724="",E5724="!!!",F5724="NEW"),"",INDEX(J$1:J5723,SUMPRODUCT(MAX(ROW(E$1:E5723)*(E5724=E$1:E5723)))))</f>
        <v> </v>
      </c>
      <c r="L5724" s="27"/>
    </row>
    <row r="5725" spans="1:12">
      <c r="A5725" s="20" t="s">
        <v>2742</v>
      </c>
      <c r="B5725" s="21" t="s">
        <v>1342</v>
      </c>
      <c r="C5725" s="21" t="s">
        <v>1188</v>
      </c>
      <c r="D5725" s="21" t="s">
        <v>1180</v>
      </c>
      <c r="E5725" s="22">
        <f>IF(D5725="?OLD","!!!","")</f>
        <v/>
      </c>
      <c r="F5725" s="23" t="str">
        <f>IF(OR(E5725="",E5725="!!!"),"",IF(NOT(ISNA(VLOOKUP(E5725,E$1:E5724,1,FALSE()))),"OLD",IF(AND(E5725&lt;&gt;"",E5725&lt;&gt;"!!!"),"NEW","")))</f>
        <v> </v>
      </c>
      <c r="G5725" s="24" t="str">
        <f>IF(OR(E5725="",E5725="!!!"),"",IF(OR(J5725=0,AND(J5725=1,K5725=1),AND(J5725=1,I5725="SBJ"),AND(J5725=1,I5725=0)),"?IN_FOCUS",IF(J5725&lt;=2,"?ACTIVATED",IF(J5725&lt;&gt;"","?FAMILIAR",IF(F5725="NEW",IF(ISNA(VLOOKUP(E5725,#REF!,1,FALSE())),"?TYPE_IDENTIFIABLE","?REFERENTIAL"),"_")))))</f>
        <v> </v>
      </c>
      <c r="H5725" s="25" t="str">
        <f>IF(J5725&lt;&gt;1,"",IF(I5725="SBJ","CB","?"))</f>
        <v> </v>
      </c>
      <c r="I5725" s="26" t="str">
        <f>IF(OR(E5725="",E5725="!!!",F5725="NEW"),"",INDEX(B5724:B$2,-1+SUMPRODUCT(MAX(ROW(E5724:E$2)*(E5725=E5724:E$2)))))</f>
        <v> </v>
      </c>
      <c r="J5725" s="26" t="str">
        <f>IF(OR(E5725="",E5725="!!!",F5725="NEW"),"",COUNTBLANK(OFFSET(A$1,,,SUMPRODUCT(MAX(ROW(E$2:E5725)*(E5725=E$2:E5725)))))-COUNTBLANK(OFFSET(A$1,,,SUMPRODUCT(MAX(ROW(E$1:E5724)*(E2=E$1:E5724))))))</f>
        <v> </v>
      </c>
      <c r="K5725" s="26" t="str">
        <f>IF(OR(E5725="",E5725="!!!",F5725="NEW"),"",INDEX(J$1:J5724,SUMPRODUCT(MAX(ROW(E$1:E5724)*(E5725=E$1:E5724)))))</f>
        <v> </v>
      </c>
      <c r="L5725" s="27"/>
    </row>
    <row r="5726" spans="1:12">
      <c r="A5726" s="20" t="s">
        <v>2743</v>
      </c>
      <c r="E5726" s="22">
        <f>IF(D5726="?OLD","!!!","")</f>
        <v/>
      </c>
      <c r="F5726" s="23" t="str">
        <f>IF(OR(E5726="",E5726="!!!"),"",IF(NOT(ISNA(VLOOKUP(E5726,E$1:E5725,1,FALSE()))),"OLD",IF(AND(E5726&lt;&gt;"",E5726&lt;&gt;"!!!"),"NEW","")))</f>
        <v> </v>
      </c>
      <c r="G5726" s="24" t="str">
        <f>IF(OR(E5726="",E5726="!!!"),"",IF(OR(J5726=0,AND(J5726=1,K5726=1),AND(J5726=1,I5726="SBJ"),AND(J5726=1,I5726=0)),"?IN_FOCUS",IF(J5726&lt;=2,"?ACTIVATED",IF(J5726&lt;&gt;"","?FAMILIAR",IF(F5726="NEW",IF(ISNA(VLOOKUP(E5726,#REF!,1,FALSE())),"?TYPE_IDENTIFIABLE","?REFERENTIAL"),"_")))))</f>
        <v> </v>
      </c>
      <c r="H5726" s="25" t="str">
        <f>IF(J5726&lt;&gt;1,"",IF(I5726="SBJ","CB","?"))</f>
        <v> </v>
      </c>
      <c r="I5726" s="26" t="str">
        <f>IF(OR(E5726="",E5726="!!!",F5726="NEW"),"",INDEX(B5725:B$2,-1+SUMPRODUCT(MAX(ROW(E5725:E$2)*(E5726=E5725:E$2)))))</f>
        <v> </v>
      </c>
      <c r="J5726" s="26" t="str">
        <f>IF(OR(E5726="",E5726="!!!",F5726="NEW"),"",COUNTBLANK(OFFSET(A$1,,,SUMPRODUCT(MAX(ROW(E$2:E5726)*(E5726=E$2:E5726)))))-COUNTBLANK(OFFSET(A$1,,,SUMPRODUCT(MAX(ROW(E$1:E5725)*(E2=E$1:E5725))))))</f>
        <v> </v>
      </c>
      <c r="K5726" s="26" t="str">
        <f>IF(OR(E5726="",E5726="!!!",F5726="NEW"),"",INDEX(J$1:J5725,SUMPRODUCT(MAX(ROW(E$1:E5725)*(E5726=E$1:E5725)))))</f>
        <v> </v>
      </c>
      <c r="L5726" s="27"/>
    </row>
    <row r="5727" spans="1:12">
      <c r="A5727" s="20" t="s">
        <v>1185</v>
      </c>
      <c r="E5727" s="22">
        <f>IF(D5727="?OLD","!!!","")</f>
        <v/>
      </c>
      <c r="F5727" s="23" t="str">
        <f>IF(OR(E5727="",E5727="!!!"),"",IF(NOT(ISNA(VLOOKUP(E5727,E$1:E5726,1,FALSE()))),"OLD",IF(AND(E5727&lt;&gt;"",E5727&lt;&gt;"!!!"),"NEW","")))</f>
        <v> </v>
      </c>
      <c r="G5727" s="24" t="str">
        <f>IF(OR(E5727="",E5727="!!!"),"",IF(OR(J5727=0,AND(J5727=1,K5727=1),AND(J5727=1,I5727="SBJ"),AND(J5727=1,I5727=0)),"?IN_FOCUS",IF(J5727&lt;=2,"?ACTIVATED",IF(J5727&lt;&gt;"","?FAMILIAR",IF(F5727="NEW",IF(ISNA(VLOOKUP(E5727,#REF!,1,FALSE())),"?TYPE_IDENTIFIABLE","?REFERENTIAL"),"_")))))</f>
        <v> </v>
      </c>
      <c r="H5727" s="25" t="str">
        <f>IF(J5727&lt;&gt;1,"",IF(I5727="SBJ","CB","?"))</f>
        <v> </v>
      </c>
      <c r="I5727" s="26" t="str">
        <f>IF(OR(E5727="",E5727="!!!",F5727="NEW"),"",INDEX(B5726:B$2,-1+SUMPRODUCT(MAX(ROW(E5726:E$2)*(E5727=E5726:E$2)))))</f>
        <v> </v>
      </c>
      <c r="J5727" s="26" t="str">
        <f>IF(OR(E5727="",E5727="!!!",F5727="NEW"),"",COUNTBLANK(OFFSET(A$1,,,SUMPRODUCT(MAX(ROW(E$2:E5727)*(E5727=E$2:E5727)))))-COUNTBLANK(OFFSET(A$1,,,SUMPRODUCT(MAX(ROW(E$1:E5726)*(E2=E$1:E5726))))))</f>
        <v> </v>
      </c>
      <c r="K5727" s="26" t="str">
        <f>IF(OR(E5727="",E5727="!!!",F5727="NEW"),"",INDEX(J$1:J5726,SUMPRODUCT(MAX(ROW(E$1:E5726)*(E5727=E$1:E5726)))))</f>
        <v> </v>
      </c>
      <c r="L5727" s="27"/>
    </row>
    <row r="5728" spans="1:12">
      <c r="A5728" s="20" t="s">
        <v>1930</v>
      </c>
      <c r="E5728" s="22">
        <f>IF(D5728="?OLD","!!!","")</f>
        <v/>
      </c>
      <c r="F5728" s="23" t="str">
        <f>IF(OR(E5728="",E5728="!!!"),"",IF(NOT(ISNA(VLOOKUP(E5728,E$1:E5727,1,FALSE()))),"OLD",IF(AND(E5728&lt;&gt;"",E5728&lt;&gt;"!!!"),"NEW","")))</f>
        <v> </v>
      </c>
      <c r="G5728" s="24" t="str">
        <f>IF(OR(E5728="",E5728="!!!"),"",IF(OR(J5728=0,AND(J5728=1,K5728=1),AND(J5728=1,I5728="SBJ"),AND(J5728=1,I5728=0)),"?IN_FOCUS",IF(J5728&lt;=2,"?ACTIVATED",IF(J5728&lt;&gt;"","?FAMILIAR",IF(F5728="NEW",IF(ISNA(VLOOKUP(E5728,#REF!,1,FALSE())),"?TYPE_IDENTIFIABLE","?REFERENTIAL"),"_")))))</f>
        <v> </v>
      </c>
      <c r="H5728" s="25" t="str">
        <f>IF(J5728&lt;&gt;1,"",IF(I5728="SBJ","CB","?"))</f>
        <v> </v>
      </c>
      <c r="I5728" s="26" t="str">
        <f>IF(OR(E5728="",E5728="!!!",F5728="NEW"),"",INDEX(B5727:B$2,-1+SUMPRODUCT(MAX(ROW(E5727:E$2)*(E5728=E5727:E$2)))))</f>
        <v> </v>
      </c>
      <c r="J5728" s="26" t="str">
        <f>IF(OR(E5728="",E5728="!!!",F5728="NEW"),"",COUNTBLANK(OFFSET(A$1,,,SUMPRODUCT(MAX(ROW(E$2:E5728)*(E5728=E$2:E5728)))))-COUNTBLANK(OFFSET(A$1,,,SUMPRODUCT(MAX(ROW(E$1:E5727)*(E2=E$1:E5727))))))</f>
        <v> </v>
      </c>
      <c r="K5728" s="26" t="str">
        <f>IF(OR(E5728="",E5728="!!!",F5728="NEW"),"",INDEX(J$1:J5727,SUMPRODUCT(MAX(ROW(E$1:E5727)*(E5728=E$1:E5727)))))</f>
        <v> </v>
      </c>
      <c r="L5728" s="27"/>
    </row>
    <row r="5729" spans="1:12">
      <c r="A5729" s="20" t="s">
        <v>1185</v>
      </c>
      <c r="E5729" s="22">
        <f>IF(D5729="?OLD","!!!","")</f>
        <v/>
      </c>
      <c r="F5729" s="23" t="str">
        <f>IF(OR(E5729="",E5729="!!!"),"",IF(NOT(ISNA(VLOOKUP(E5729,E$1:E5728,1,FALSE()))),"OLD",IF(AND(E5729&lt;&gt;"",E5729&lt;&gt;"!!!"),"NEW","")))</f>
        <v> </v>
      </c>
      <c r="G5729" s="24" t="str">
        <f>IF(OR(E5729="",E5729="!!!"),"",IF(OR(J5729=0,AND(J5729=1,K5729=1),AND(J5729=1,I5729="SBJ"),AND(J5729=1,I5729=0)),"?IN_FOCUS",IF(J5729&lt;=2,"?ACTIVATED",IF(J5729&lt;&gt;"","?FAMILIAR",IF(F5729="NEW",IF(ISNA(VLOOKUP(E5729,#REF!,1,FALSE())),"?TYPE_IDENTIFIABLE","?REFERENTIAL"),"_")))))</f>
        <v> </v>
      </c>
      <c r="H5729" s="25" t="str">
        <f>IF(J5729&lt;&gt;1,"",IF(I5729="SBJ","CB","?"))</f>
        <v> </v>
      </c>
      <c r="I5729" s="26" t="str">
        <f>IF(OR(E5729="",E5729="!!!",F5729="NEW"),"",INDEX(B5728:B$2,-1+SUMPRODUCT(MAX(ROW(E5728:E$2)*(E5729=E5728:E$2)))))</f>
        <v> </v>
      </c>
      <c r="J5729" s="26" t="str">
        <f>IF(OR(E5729="",E5729="!!!",F5729="NEW"),"",COUNTBLANK(OFFSET(A$1,,,SUMPRODUCT(MAX(ROW(E$2:E5729)*(E5729=E$2:E5729)))))-COUNTBLANK(OFFSET(A$1,,,SUMPRODUCT(MAX(ROW(E$1:E5728)*(E2=E$1:E5728))))))</f>
        <v> </v>
      </c>
      <c r="K5729" s="26" t="str">
        <f>IF(OR(E5729="",E5729="!!!",F5729="NEW"),"",INDEX(J$1:J5728,SUMPRODUCT(MAX(ROW(E$1:E5728)*(E5729=E$1:E5728)))))</f>
        <v> </v>
      </c>
      <c r="L5729" s="27"/>
    </row>
    <row r="5730" spans="1:12">
      <c r="A5730" s="20" t="s">
        <v>1302</v>
      </c>
      <c r="E5730" s="22">
        <f>IF(D5730="?OLD","!!!","")</f>
        <v/>
      </c>
      <c r="F5730" s="23" t="str">
        <f>IF(OR(E5730="",E5730="!!!"),"",IF(NOT(ISNA(VLOOKUP(E5730,E$1:E5729,1,FALSE()))),"OLD",IF(AND(E5730&lt;&gt;"",E5730&lt;&gt;"!!!"),"NEW","")))</f>
        <v> </v>
      </c>
      <c r="G5730" s="24" t="str">
        <f>IF(OR(E5730="",E5730="!!!"),"",IF(OR(J5730=0,AND(J5730=1,K5730=1),AND(J5730=1,I5730="SBJ"),AND(J5730=1,I5730=0)),"?IN_FOCUS",IF(J5730&lt;=2,"?ACTIVATED",IF(J5730&lt;&gt;"","?FAMILIAR",IF(F5730="NEW",IF(ISNA(VLOOKUP(E5730,#REF!,1,FALSE())),"?TYPE_IDENTIFIABLE","?REFERENTIAL"),"_")))))</f>
        <v> </v>
      </c>
      <c r="H5730" s="25" t="str">
        <f>IF(J5730&lt;&gt;1,"",IF(I5730="SBJ","CB","?"))</f>
        <v> </v>
      </c>
      <c r="I5730" s="26" t="str">
        <f>IF(OR(E5730="",E5730="!!!",F5730="NEW"),"",INDEX(B5729:B$2,-1+SUMPRODUCT(MAX(ROW(E5729:E$2)*(E5730=E5729:E$2)))))</f>
        <v> </v>
      </c>
      <c r="J5730" s="26" t="str">
        <f>IF(OR(E5730="",E5730="!!!",F5730="NEW"),"",COUNTBLANK(OFFSET(A$1,,,SUMPRODUCT(MAX(ROW(E$2:E5730)*(E5730=E$2:E5730)))))-COUNTBLANK(OFFSET(A$1,,,SUMPRODUCT(MAX(ROW(E$1:E5729)*(E2=E$1:E5729))))))</f>
        <v> </v>
      </c>
      <c r="K5730" s="26" t="str">
        <f>IF(OR(E5730="",E5730="!!!",F5730="NEW"),"",INDEX(J$1:J5729,SUMPRODUCT(MAX(ROW(E$1:E5729)*(E5730=E$1:E5729)))))</f>
        <v> </v>
      </c>
      <c r="L5730" s="27"/>
    </row>
    <row r="5731" spans="1:12">
      <c r="A5731" s="20" t="s">
        <v>57</v>
      </c>
      <c r="B5731" s="21" t="s">
        <v>1344</v>
      </c>
      <c r="C5731" s="21" t="s">
        <v>1195</v>
      </c>
      <c r="D5731" s="21" t="s">
        <v>1180</v>
      </c>
      <c r="E5731" s="22">
        <f>IF(D5731="?OLD","!!!","")</f>
        <v/>
      </c>
      <c r="F5731" s="23" t="str">
        <f>IF(OR(E5731="",E5731="!!!"),"",IF(NOT(ISNA(VLOOKUP(E5731,E$1:E5730,1,FALSE()))),"OLD",IF(AND(E5731&lt;&gt;"",E5731&lt;&gt;"!!!"),"NEW","")))</f>
        <v> </v>
      </c>
      <c r="G5731" s="24" t="str">
        <f>IF(OR(E5731="",E5731="!!!"),"",IF(OR(J5731=0,AND(J5731=1,K5731=1),AND(J5731=1,I5731="SBJ"),AND(J5731=1,I5731=0)),"?IN_FOCUS",IF(J5731&lt;=2,"?ACTIVATED",IF(J5731&lt;&gt;"","?FAMILIAR",IF(F5731="NEW",IF(ISNA(VLOOKUP(E5731,#REF!,1,FALSE())),"?TYPE_IDENTIFIABLE","?REFERENTIAL"),"_")))))</f>
        <v> </v>
      </c>
      <c r="H5731" s="25" t="str">
        <f>IF(J5731&lt;&gt;1,"",IF(I5731="SBJ","CB","?"))</f>
        <v> </v>
      </c>
      <c r="I5731" s="26" t="str">
        <f>IF(OR(E5731="",E5731="!!!",F5731="NEW"),"",INDEX(B5730:B$2,-1+SUMPRODUCT(MAX(ROW(E5730:E$2)*(E5731=E5730:E$2)))))</f>
        <v> </v>
      </c>
      <c r="J5731" s="26" t="str">
        <f>IF(OR(E5731="",E5731="!!!",F5731="NEW"),"",COUNTBLANK(OFFSET(A$1,,,SUMPRODUCT(MAX(ROW(E$2:E5731)*(E5731=E$2:E5731)))))-COUNTBLANK(OFFSET(A$1,,,SUMPRODUCT(MAX(ROW(E$1:E5730)*(E2=E$1:E5730))))))</f>
        <v> </v>
      </c>
      <c r="K5731" s="26" t="str">
        <f>IF(OR(E5731="",E5731="!!!",F5731="NEW"),"",INDEX(J$1:J5730,SUMPRODUCT(MAX(ROW(E$1:E5730)*(E5731=E$1:E5730)))))</f>
        <v> </v>
      </c>
      <c r="L5731" s="27"/>
    </row>
    <row r="5732" spans="1:12">
      <c r="A5732" s="20" t="s">
        <v>2744</v>
      </c>
      <c r="E5732" s="22">
        <f>IF(D5732="?OLD","!!!","")</f>
        <v/>
      </c>
      <c r="F5732" s="23" t="str">
        <f>IF(OR(E5732="",E5732="!!!"),"",IF(NOT(ISNA(VLOOKUP(E5732,E$1:E5731,1,FALSE()))),"OLD",IF(AND(E5732&lt;&gt;"",E5732&lt;&gt;"!!!"),"NEW","")))</f>
        <v> </v>
      </c>
      <c r="G5732" s="24" t="str">
        <f>IF(OR(E5732="",E5732="!!!"),"",IF(OR(J5732=0,AND(J5732=1,K5732=1),AND(J5732=1,I5732="SBJ"),AND(J5732=1,I5732=0)),"?IN_FOCUS",IF(J5732&lt;=2,"?ACTIVATED",IF(J5732&lt;&gt;"","?FAMILIAR",IF(F5732="NEW",IF(ISNA(VLOOKUP(E5732,#REF!,1,FALSE())),"?TYPE_IDENTIFIABLE","?REFERENTIAL"),"_")))))</f>
        <v> </v>
      </c>
      <c r="H5732" s="25" t="str">
        <f>IF(J5732&lt;&gt;1,"",IF(I5732="SBJ","CB","?"))</f>
        <v> </v>
      </c>
      <c r="I5732" s="26" t="str">
        <f>IF(OR(E5732="",E5732="!!!",F5732="NEW"),"",INDEX(B5731:B$2,-1+SUMPRODUCT(MAX(ROW(E5731:E$2)*(E5732=E5731:E$2)))))</f>
        <v> </v>
      </c>
      <c r="J5732" s="26" t="str">
        <f>IF(OR(E5732="",E5732="!!!",F5732="NEW"),"",COUNTBLANK(OFFSET(A$1,,,SUMPRODUCT(MAX(ROW(E$2:E5732)*(E5732=E$2:E5732)))))-COUNTBLANK(OFFSET(A$1,,,SUMPRODUCT(MAX(ROW(E$1:E5731)*(E2=E$1:E5731))))))</f>
        <v> </v>
      </c>
      <c r="K5732" s="26" t="str">
        <f>IF(OR(E5732="",E5732="!!!",F5732="NEW"),"",INDEX(J$1:J5731,SUMPRODUCT(MAX(ROW(E$1:E5731)*(E5732=E$1:E5731)))))</f>
        <v> </v>
      </c>
      <c r="L5732" s="27"/>
    </row>
    <row r="5733" spans="1:12">
      <c r="A5733" s="20" t="s">
        <v>1185</v>
      </c>
      <c r="E5733" s="22">
        <f>IF(D5733="?OLD","!!!","")</f>
        <v/>
      </c>
      <c r="F5733" s="23" t="str">
        <f>IF(OR(E5733="",E5733="!!!"),"",IF(NOT(ISNA(VLOOKUP(E5733,E$1:E5732,1,FALSE()))),"OLD",IF(AND(E5733&lt;&gt;"",E5733&lt;&gt;"!!!"),"NEW","")))</f>
        <v> </v>
      </c>
      <c r="G5733" s="24" t="str">
        <f>IF(OR(E5733="",E5733="!!!"),"",IF(OR(J5733=0,AND(J5733=1,K5733=1),AND(J5733=1,I5733="SBJ"),AND(J5733=1,I5733=0)),"?IN_FOCUS",IF(J5733&lt;=2,"?ACTIVATED",IF(J5733&lt;&gt;"","?FAMILIAR",IF(F5733="NEW",IF(ISNA(VLOOKUP(E5733,#REF!,1,FALSE())),"?TYPE_IDENTIFIABLE","?REFERENTIAL"),"_")))))</f>
        <v> </v>
      </c>
      <c r="H5733" s="25" t="str">
        <f>IF(J5733&lt;&gt;1,"",IF(I5733="SBJ","CB","?"))</f>
        <v> </v>
      </c>
      <c r="I5733" s="26" t="str">
        <f>IF(OR(E5733="",E5733="!!!",F5733="NEW"),"",INDEX(B5732:B$2,-1+SUMPRODUCT(MAX(ROW(E5732:E$2)*(E5733=E5732:E$2)))))</f>
        <v> </v>
      </c>
      <c r="J5733" s="26" t="str">
        <f>IF(OR(E5733="",E5733="!!!",F5733="NEW"),"",COUNTBLANK(OFFSET(A$1,,,SUMPRODUCT(MAX(ROW(E$2:E5733)*(E5733=E$2:E5733)))))-COUNTBLANK(OFFSET(A$1,,,SUMPRODUCT(MAX(ROW(E$1:E5732)*(E2=E$1:E5732))))))</f>
        <v> </v>
      </c>
      <c r="K5733" s="26" t="str">
        <f>IF(OR(E5733="",E5733="!!!",F5733="NEW"),"",INDEX(J$1:J5732,SUMPRODUCT(MAX(ROW(E$1:E5732)*(E5733=E$1:E5732)))))</f>
        <v> </v>
      </c>
      <c r="L5733" s="27"/>
    </row>
    <row r="5734" spans="1:12">
      <c r="A5734" s="20" t="s">
        <v>1186</v>
      </c>
      <c r="E5734" s="22">
        <f>IF(D5734="?OLD","!!!","")</f>
        <v/>
      </c>
      <c r="F5734" s="23" t="str">
        <f>IF(OR(E5734="",E5734="!!!"),"",IF(NOT(ISNA(VLOOKUP(E5734,E$1:E5733,1,FALSE()))),"OLD",IF(AND(E5734&lt;&gt;"",E5734&lt;&gt;"!!!"),"NEW","")))</f>
        <v> </v>
      </c>
      <c r="G5734" s="24" t="str">
        <f>IF(OR(E5734="",E5734="!!!"),"",IF(OR(J5734=0,AND(J5734=1,K5734=1),AND(J5734=1,I5734="SBJ"),AND(J5734=1,I5734=0)),"?IN_FOCUS",IF(J5734&lt;=2,"?ACTIVATED",IF(J5734&lt;&gt;"","?FAMILIAR",IF(F5734="NEW",IF(ISNA(VLOOKUP(E5734,#REF!,1,FALSE())),"?TYPE_IDENTIFIABLE","?REFERENTIAL"),"_")))))</f>
        <v> </v>
      </c>
      <c r="H5734" s="25" t="str">
        <f>IF(J5734&lt;&gt;1,"",IF(I5734="SBJ","CB","?"))</f>
        <v> </v>
      </c>
      <c r="I5734" s="26" t="str">
        <f>IF(OR(E5734="",E5734="!!!",F5734="NEW"),"",INDEX(B5733:B$2,-1+SUMPRODUCT(MAX(ROW(E5733:E$2)*(E5734=E5733:E$2)))))</f>
        <v> </v>
      </c>
      <c r="J5734" s="26" t="str">
        <f>IF(OR(E5734="",E5734="!!!",F5734="NEW"),"",COUNTBLANK(OFFSET(A$1,,,SUMPRODUCT(MAX(ROW(E$2:E5734)*(E5734=E$2:E5734)))))-COUNTBLANK(OFFSET(A$1,,,SUMPRODUCT(MAX(ROW(E$1:E5733)*(E2=E$1:E5733))))))</f>
        <v> </v>
      </c>
      <c r="K5734" s="26" t="str">
        <f>IF(OR(E5734="",E5734="!!!",F5734="NEW"),"",INDEX(J$1:J5733,SUMPRODUCT(MAX(ROW(E$1:E5733)*(E5734=E$1:E5733)))))</f>
        <v> </v>
      </c>
      <c r="L5734" s="27"/>
    </row>
    <row r="5735" spans="1:12">
      <c r="A5735" s="20" t="s">
        <v>1807</v>
      </c>
      <c r="B5735" s="21" t="s">
        <v>1291</v>
      </c>
      <c r="C5735" s="21" t="s">
        <v>1188</v>
      </c>
      <c r="D5735" s="21" t="s">
        <v>1180</v>
      </c>
      <c r="E5735" s="22">
        <f>IF(D5735="?OLD","!!!","")</f>
        <v/>
      </c>
      <c r="F5735" s="23" t="str">
        <f>IF(OR(E5735="",E5735="!!!"),"",IF(NOT(ISNA(VLOOKUP(E5735,E$1:E5734,1,FALSE()))),"OLD",IF(AND(E5735&lt;&gt;"",E5735&lt;&gt;"!!!"),"NEW","")))</f>
        <v> </v>
      </c>
      <c r="G5735" s="24" t="str">
        <f>IF(OR(E5735="",E5735="!!!"),"",IF(OR(J5735=0,AND(J5735=1,K5735=1),AND(J5735=1,I5735="SBJ"),AND(J5735=1,I5735=0)),"?IN_FOCUS",IF(J5735&lt;=2,"?ACTIVATED",IF(J5735&lt;&gt;"","?FAMILIAR",IF(F5735="NEW",IF(ISNA(VLOOKUP(E5735,#REF!,1,FALSE())),"?TYPE_IDENTIFIABLE","?REFERENTIAL"),"_")))))</f>
        <v> </v>
      </c>
      <c r="H5735" s="25" t="str">
        <f>IF(J5735&lt;&gt;1,"",IF(I5735="SBJ","CB","?"))</f>
        <v> </v>
      </c>
      <c r="I5735" s="26" t="str">
        <f>IF(OR(E5735="",E5735="!!!",F5735="NEW"),"",INDEX(B5734:B$2,-1+SUMPRODUCT(MAX(ROW(E5734:E$2)*(E5735=E5734:E$2)))))</f>
        <v> </v>
      </c>
      <c r="J5735" s="26" t="str">
        <f>IF(OR(E5735="",E5735="!!!",F5735="NEW"),"",COUNTBLANK(OFFSET(A$1,,,SUMPRODUCT(MAX(ROW(E$2:E5735)*(E5735=E$2:E5735)))))-COUNTBLANK(OFFSET(A$1,,,SUMPRODUCT(MAX(ROW(E$1:E5734)*(E2=E$1:E5734))))))</f>
        <v> </v>
      </c>
      <c r="K5735" s="26" t="str">
        <f>IF(OR(E5735="",E5735="!!!",F5735="NEW"),"",INDEX(J$1:J5734,SUMPRODUCT(MAX(ROW(E$1:E5734)*(E5735=E$1:E5734)))))</f>
        <v> </v>
      </c>
      <c r="L5735" s="27"/>
    </row>
    <row r="5736" spans="1:12">
      <c r="A5736" s="20" t="s">
        <v>1185</v>
      </c>
      <c r="E5736" s="22">
        <f>IF(D5736="?OLD","!!!","")</f>
        <v/>
      </c>
      <c r="F5736" s="23" t="str">
        <f>IF(OR(E5736="",E5736="!!!"),"",IF(NOT(ISNA(VLOOKUP(E5736,E$1:E5735,1,FALSE()))),"OLD",IF(AND(E5736&lt;&gt;"",E5736&lt;&gt;"!!!"),"NEW","")))</f>
        <v> </v>
      </c>
      <c r="G5736" s="24" t="str">
        <f>IF(OR(E5736="",E5736="!!!"),"",IF(OR(J5736=0,AND(J5736=1,K5736=1),AND(J5736=1,I5736="SBJ"),AND(J5736=1,I5736=0)),"?IN_FOCUS",IF(J5736&lt;=2,"?ACTIVATED",IF(J5736&lt;&gt;"","?FAMILIAR",IF(F5736="NEW",IF(ISNA(VLOOKUP(E5736,#REF!,1,FALSE())),"?TYPE_IDENTIFIABLE","?REFERENTIAL"),"_")))))</f>
        <v> </v>
      </c>
      <c r="H5736" s="25" t="str">
        <f>IF(J5736&lt;&gt;1,"",IF(I5736="SBJ","CB","?"))</f>
        <v> </v>
      </c>
      <c r="I5736" s="26" t="str">
        <f>IF(OR(E5736="",E5736="!!!",F5736="NEW"),"",INDEX(B5735:B$2,-1+SUMPRODUCT(MAX(ROW(E5735:E$2)*(E5736=E5735:E$2)))))</f>
        <v> </v>
      </c>
      <c r="J5736" s="26" t="str">
        <f>IF(OR(E5736="",E5736="!!!",F5736="NEW"),"",COUNTBLANK(OFFSET(A$1,,,SUMPRODUCT(MAX(ROW(E$2:E5736)*(E5736=E$2:E5736)))))-COUNTBLANK(OFFSET(A$1,,,SUMPRODUCT(MAX(ROW(E$1:E5735)*(E2=E$1:E5735))))))</f>
        <v> </v>
      </c>
      <c r="K5736" s="26" t="str">
        <f>IF(OR(E5736="",E5736="!!!",F5736="NEW"),"",INDEX(J$1:J5735,SUMPRODUCT(MAX(ROW(E$1:E5735)*(E5736=E$1:E5735)))))</f>
        <v> </v>
      </c>
      <c r="L5736" s="27"/>
    </row>
    <row r="5737" spans="1:12">
      <c r="A5737" s="20" t="s">
        <v>1186</v>
      </c>
      <c r="E5737" s="22">
        <f>IF(D5737="?OLD","!!!","")</f>
        <v/>
      </c>
      <c r="F5737" s="23" t="str">
        <f>IF(OR(E5737="",E5737="!!!"),"",IF(NOT(ISNA(VLOOKUP(E5737,E$1:E5736,1,FALSE()))),"OLD",IF(AND(E5737&lt;&gt;"",E5737&lt;&gt;"!!!"),"NEW","")))</f>
        <v> </v>
      </c>
      <c r="G5737" s="24" t="str">
        <f>IF(OR(E5737="",E5737="!!!"),"",IF(OR(J5737=0,AND(J5737=1,K5737=1),AND(J5737=1,I5737="SBJ"),AND(J5737=1,I5737=0)),"?IN_FOCUS",IF(J5737&lt;=2,"?ACTIVATED",IF(J5737&lt;&gt;"","?FAMILIAR",IF(F5737="NEW",IF(ISNA(VLOOKUP(E5737,#REF!,1,FALSE())),"?TYPE_IDENTIFIABLE","?REFERENTIAL"),"_")))))</f>
        <v> </v>
      </c>
      <c r="H5737" s="25" t="str">
        <f>IF(J5737&lt;&gt;1,"",IF(I5737="SBJ","CB","?"))</f>
        <v> </v>
      </c>
      <c r="I5737" s="26" t="str">
        <f>IF(OR(E5737="",E5737="!!!",F5737="NEW"),"",INDEX(B5736:B$2,-1+SUMPRODUCT(MAX(ROW(E5736:E$2)*(E5737=E5736:E$2)))))</f>
        <v> </v>
      </c>
      <c r="J5737" s="26" t="str">
        <f>IF(OR(E5737="",E5737="!!!",F5737="NEW"),"",COUNTBLANK(OFFSET(A$1,,,SUMPRODUCT(MAX(ROW(E$2:E5737)*(E5737=E$2:E5737)))))-COUNTBLANK(OFFSET(A$1,,,SUMPRODUCT(MAX(ROW(E$1:E5736)*(E2=E$1:E5736))))))</f>
        <v> </v>
      </c>
      <c r="K5737" s="26" t="str">
        <f>IF(OR(E5737="",E5737="!!!",F5737="NEW"),"",INDEX(J$1:J5736,SUMPRODUCT(MAX(ROW(E$1:E5736)*(E5737=E$1:E5736)))))</f>
        <v> </v>
      </c>
      <c r="L5737" s="27"/>
    </row>
    <row r="5738" spans="1:12">
      <c r="A5738" s="20" t="s">
        <v>1695</v>
      </c>
      <c r="B5738" s="21" t="s">
        <v>1291</v>
      </c>
      <c r="C5738" s="21" t="s">
        <v>1188</v>
      </c>
      <c r="D5738" s="21" t="s">
        <v>1180</v>
      </c>
      <c r="E5738" s="22">
        <f>IF(D5738="?OLD","!!!","")</f>
        <v/>
      </c>
      <c r="F5738" s="23" t="str">
        <f>IF(OR(E5738="",E5738="!!!"),"",IF(NOT(ISNA(VLOOKUP(E5738,E$1:E5737,1,FALSE()))),"OLD",IF(AND(E5738&lt;&gt;"",E5738&lt;&gt;"!!!"),"NEW","")))</f>
        <v> </v>
      </c>
      <c r="G5738" s="24" t="str">
        <f>IF(OR(E5738="",E5738="!!!"),"",IF(OR(J5738=0,AND(J5738=1,K5738=1),AND(J5738=1,I5738="SBJ"),AND(J5738=1,I5738=0)),"?IN_FOCUS",IF(J5738&lt;=2,"?ACTIVATED",IF(J5738&lt;&gt;"","?FAMILIAR",IF(F5738="NEW",IF(ISNA(VLOOKUP(E5738,#REF!,1,FALSE())),"?TYPE_IDENTIFIABLE","?REFERENTIAL"),"_")))))</f>
        <v> </v>
      </c>
      <c r="H5738" s="25" t="str">
        <f>IF(J5738&lt;&gt;1,"",IF(I5738="SBJ","CB","?"))</f>
        <v> </v>
      </c>
      <c r="I5738" s="26" t="str">
        <f>IF(OR(E5738="",E5738="!!!",F5738="NEW"),"",INDEX(B5737:B$2,-1+SUMPRODUCT(MAX(ROW(E5737:E$2)*(E5738=E5737:E$2)))))</f>
        <v> </v>
      </c>
      <c r="J5738" s="26" t="str">
        <f>IF(OR(E5738="",E5738="!!!",F5738="NEW"),"",COUNTBLANK(OFFSET(A$1,,,SUMPRODUCT(MAX(ROW(E$2:E5738)*(E5738=E$2:E5738)))))-COUNTBLANK(OFFSET(A$1,,,SUMPRODUCT(MAX(ROW(E$1:E5737)*(E2=E$1:E5737))))))</f>
        <v> </v>
      </c>
      <c r="K5738" s="26" t="str">
        <f>IF(OR(E5738="",E5738="!!!",F5738="NEW"),"",INDEX(J$1:J5737,SUMPRODUCT(MAX(ROW(E$1:E5737)*(E5738=E$1:E5737)))))</f>
        <v> </v>
      </c>
      <c r="L5738" s="27"/>
    </row>
    <row r="5739" spans="1:12">
      <c r="A5739" s="20" t="s">
        <v>1224</v>
      </c>
      <c r="E5739" s="22">
        <f>IF(D5739="?OLD","!!!","")</f>
        <v/>
      </c>
      <c r="F5739" s="23" t="str">
        <f>IF(OR(E5739="",E5739="!!!"),"",IF(NOT(ISNA(VLOOKUP(E5739,E$1:E5738,1,FALSE()))),"OLD",IF(AND(E5739&lt;&gt;"",E5739&lt;&gt;"!!!"),"NEW","")))</f>
        <v> </v>
      </c>
      <c r="G5739" s="24" t="str">
        <f>IF(OR(E5739="",E5739="!!!"),"",IF(OR(J5739=0,AND(J5739=1,K5739=1),AND(J5739=1,I5739="SBJ"),AND(J5739=1,I5739=0)),"?IN_FOCUS",IF(J5739&lt;=2,"?ACTIVATED",IF(J5739&lt;&gt;"","?FAMILIAR",IF(F5739="NEW",IF(ISNA(VLOOKUP(E5739,#REF!,1,FALSE())),"?TYPE_IDENTIFIABLE","?REFERENTIAL"),"_")))))</f>
        <v> </v>
      </c>
      <c r="H5739" s="25" t="str">
        <f>IF(J5739&lt;&gt;1,"",IF(I5739="SBJ","CB","?"))</f>
        <v> </v>
      </c>
      <c r="I5739" s="26" t="str">
        <f>IF(OR(E5739="",E5739="!!!",F5739="NEW"),"",INDEX(B5738:B$2,-1+SUMPRODUCT(MAX(ROW(E5738:E$2)*(E5739=E5738:E$2)))))</f>
        <v> </v>
      </c>
      <c r="J5739" s="26" t="str">
        <f>IF(OR(E5739="",E5739="!!!",F5739="NEW"),"",COUNTBLANK(OFFSET(A$1,,,SUMPRODUCT(MAX(ROW(E$2:E5739)*(E5739=E$2:E5739)))))-COUNTBLANK(OFFSET(A$1,,,SUMPRODUCT(MAX(ROW(E$1:E5738)*(E2=E$1:E5738))))))</f>
        <v> </v>
      </c>
      <c r="K5739" s="26" t="str">
        <f>IF(OR(E5739="",E5739="!!!",F5739="NEW"),"",INDEX(J$1:J5738,SUMPRODUCT(MAX(ROW(E$1:E5738)*(E5739=E$1:E5738)))))</f>
        <v> </v>
      </c>
      <c r="L5739" s="27"/>
    </row>
    <row r="5740" spans="1:12">
      <c r="A5740" s="20" t="s">
        <v>2177</v>
      </c>
      <c r="B5740" s="21" t="s">
        <v>1493</v>
      </c>
      <c r="C5740" s="21" t="s">
        <v>1254</v>
      </c>
      <c r="E5740" s="22">
        <f>IF(D5740="?OLD","!!!","")</f>
        <v/>
      </c>
      <c r="F5740" s="23" t="str">
        <f>IF(OR(E5740="",E5740="!!!"),"",IF(NOT(ISNA(VLOOKUP(E5740,E$1:E5739,1,FALSE()))),"OLD",IF(AND(E5740&lt;&gt;"",E5740&lt;&gt;"!!!"),"NEW","")))</f>
        <v> </v>
      </c>
      <c r="G5740" s="24" t="str">
        <f>IF(OR(E5740="",E5740="!!!"),"",IF(OR(J5740=0,AND(J5740=1,K5740=1),AND(J5740=1,I5740="SBJ"),AND(J5740=1,I5740=0)),"?IN_FOCUS",IF(J5740&lt;=2,"?ACTIVATED",IF(J5740&lt;&gt;"","?FAMILIAR",IF(F5740="NEW",IF(ISNA(VLOOKUP(E5740,#REF!,1,FALSE())),"?TYPE_IDENTIFIABLE","?REFERENTIAL"),"_")))))</f>
        <v> </v>
      </c>
      <c r="H5740" s="25" t="str">
        <f>IF(J5740&lt;&gt;1,"",IF(I5740="SBJ","CB","?"))</f>
        <v> </v>
      </c>
      <c r="I5740" s="26" t="str">
        <f>IF(OR(E5740="",E5740="!!!",F5740="NEW"),"",INDEX(B5739:B$2,-1+SUMPRODUCT(MAX(ROW(E5739:E$2)*(E5740=E5739:E$2)))))</f>
        <v> </v>
      </c>
      <c r="J5740" s="26" t="str">
        <f>IF(OR(E5740="",E5740="!!!",F5740="NEW"),"",COUNTBLANK(OFFSET(A$1,,,SUMPRODUCT(MAX(ROW(E$2:E5740)*(E5740=E$2:E5740)))))-COUNTBLANK(OFFSET(A$1,,,SUMPRODUCT(MAX(ROW(E$1:E5739)*(E2=E$1:E5739))))))</f>
        <v> </v>
      </c>
      <c r="K5740" s="26" t="str">
        <f>IF(OR(E5740="",E5740="!!!",F5740="NEW"),"",INDEX(J$1:J5739,SUMPRODUCT(MAX(ROW(E$1:E5739)*(E5740=E$1:E5739)))))</f>
        <v> </v>
      </c>
      <c r="L5740" s="27"/>
    </row>
    <row r="5741" spans="1:12">
      <c r="A5741" s="20" t="s">
        <v>1329</v>
      </c>
      <c r="B5741" s="21" t="s">
        <v>1492</v>
      </c>
      <c r="C5741" s="21" t="s">
        <v>1324</v>
      </c>
      <c r="E5741" s="22">
        <f>IF(D5741="?OLD","!!!","")</f>
        <v/>
      </c>
      <c r="F5741" s="23" t="str">
        <f>IF(OR(E5741="",E5741="!!!"),"",IF(NOT(ISNA(VLOOKUP(E5741,E$1:E5740,1,FALSE()))),"OLD",IF(AND(E5741&lt;&gt;"",E5741&lt;&gt;"!!!"),"NEW","")))</f>
        <v> </v>
      </c>
      <c r="G5741" s="24" t="str">
        <f>IF(OR(E5741="",E5741="!!!"),"",IF(OR(J5741=0,AND(J5741=1,K5741=1),AND(J5741=1,I5741="SBJ"),AND(J5741=1,I5741=0)),"?IN_FOCUS",IF(J5741&lt;=2,"?ACTIVATED",IF(J5741&lt;&gt;"","?FAMILIAR",IF(F5741="NEW",IF(ISNA(VLOOKUP(E5741,#REF!,1,FALSE())),"?TYPE_IDENTIFIABLE","?REFERENTIAL"),"_")))))</f>
        <v> </v>
      </c>
      <c r="H5741" s="25" t="str">
        <f>IF(J5741&lt;&gt;1,"",IF(I5741="SBJ","CB","?"))</f>
        <v> </v>
      </c>
      <c r="I5741" s="26" t="str">
        <f>IF(OR(E5741="",E5741="!!!",F5741="NEW"),"",INDEX(B5740:B$2,-1+SUMPRODUCT(MAX(ROW(E5740:E$2)*(E5741=E5740:E$2)))))</f>
        <v> </v>
      </c>
      <c r="J5741" s="26" t="str">
        <f>IF(OR(E5741="",E5741="!!!",F5741="NEW"),"",COUNTBLANK(OFFSET(A$1,,,SUMPRODUCT(MAX(ROW(E$2:E5741)*(E5741=E$2:E5741)))))-COUNTBLANK(OFFSET(A$1,,,SUMPRODUCT(MAX(ROW(E$1:E5740)*(E2=E$1:E5740))))))</f>
        <v> </v>
      </c>
      <c r="K5741" s="26" t="str">
        <f>IF(OR(E5741="",E5741="!!!",F5741="NEW"),"",INDEX(J$1:J5740,SUMPRODUCT(MAX(ROW(E$1:E5740)*(E5741=E$1:E5740)))))</f>
        <v> </v>
      </c>
      <c r="L5741" s="27"/>
    </row>
    <row r="5742" spans="1:12">
      <c r="A5742" s="20" t="s">
        <v>1185</v>
      </c>
      <c r="E5742" s="22">
        <f>IF(D5742="?OLD","!!!","")</f>
        <v/>
      </c>
      <c r="F5742" s="23" t="str">
        <f>IF(OR(E5742="",E5742="!!!"),"",IF(NOT(ISNA(VLOOKUP(E5742,E$1:E5741,1,FALSE()))),"OLD",IF(AND(E5742&lt;&gt;"",E5742&lt;&gt;"!!!"),"NEW","")))</f>
        <v> </v>
      </c>
      <c r="G5742" s="24" t="str">
        <f>IF(OR(E5742="",E5742="!!!"),"",IF(OR(J5742=0,AND(J5742=1,K5742=1),AND(J5742=1,I5742="SBJ"),AND(J5742=1,I5742=0)),"?IN_FOCUS",IF(J5742&lt;=2,"?ACTIVATED",IF(J5742&lt;&gt;"","?FAMILIAR",IF(F5742="NEW",IF(ISNA(VLOOKUP(E5742,#REF!,1,FALSE())),"?TYPE_IDENTIFIABLE","?REFERENTIAL"),"_")))))</f>
        <v> </v>
      </c>
      <c r="H5742" s="25" t="str">
        <f>IF(J5742&lt;&gt;1,"",IF(I5742="SBJ","CB","?"))</f>
        <v> </v>
      </c>
      <c r="I5742" s="26" t="str">
        <f>IF(OR(E5742="",E5742="!!!",F5742="NEW"),"",INDEX(B5741:B$2,-1+SUMPRODUCT(MAX(ROW(E5741:E$2)*(E5742=E5741:E$2)))))</f>
        <v> </v>
      </c>
      <c r="J5742" s="26" t="str">
        <f>IF(OR(E5742="",E5742="!!!",F5742="NEW"),"",COUNTBLANK(OFFSET(A$1,,,SUMPRODUCT(MAX(ROW(E$2:E5742)*(E5742=E$2:E5742)))))-COUNTBLANK(OFFSET(A$1,,,SUMPRODUCT(MAX(ROW(E$1:E5741)*(E2=E$1:E5741))))))</f>
        <v> </v>
      </c>
      <c r="K5742" s="26" t="str">
        <f>IF(OR(E5742="",E5742="!!!",F5742="NEW"),"",INDEX(J$1:J5741,SUMPRODUCT(MAX(ROW(E$1:E5741)*(E5742=E$1:E5741)))))</f>
        <v> </v>
      </c>
      <c r="L5742" s="27"/>
    </row>
    <row r="5743" spans="1:12">
      <c r="A5743" s="20" t="s">
        <v>1186</v>
      </c>
      <c r="B5743" s="21" t="s">
        <v>1985</v>
      </c>
      <c r="E5743" s="22">
        <f>IF(D5743="?OLD","!!!","")</f>
        <v/>
      </c>
      <c r="F5743" s="23" t="str">
        <f>IF(OR(E5743="",E5743="!!!"),"",IF(NOT(ISNA(VLOOKUP(E5743,E$1:E5742,1,FALSE()))),"OLD",IF(AND(E5743&lt;&gt;"",E5743&lt;&gt;"!!!"),"NEW","")))</f>
        <v> </v>
      </c>
      <c r="G5743" s="24" t="str">
        <f>IF(OR(E5743="",E5743="!!!"),"",IF(OR(J5743=0,AND(J5743=1,K5743=1),AND(J5743=1,I5743="SBJ"),AND(J5743=1,I5743=0)),"?IN_FOCUS",IF(J5743&lt;=2,"?ACTIVATED",IF(J5743&lt;&gt;"","?FAMILIAR",IF(F5743="NEW",IF(ISNA(VLOOKUP(E5743,#REF!,1,FALSE())),"?TYPE_IDENTIFIABLE","?REFERENTIAL"),"_")))))</f>
        <v> </v>
      </c>
      <c r="H5743" s="25" t="str">
        <f>IF(J5743&lt;&gt;1,"",IF(I5743="SBJ","CB","?"))</f>
        <v> </v>
      </c>
      <c r="I5743" s="26" t="str">
        <f>IF(OR(E5743="",E5743="!!!",F5743="NEW"),"",INDEX(B5742:B$2,-1+SUMPRODUCT(MAX(ROW(E5742:E$2)*(E5743=E5742:E$2)))))</f>
        <v> </v>
      </c>
      <c r="J5743" s="26" t="str">
        <f>IF(OR(E5743="",E5743="!!!",F5743="NEW"),"",COUNTBLANK(OFFSET(A$1,,,SUMPRODUCT(MAX(ROW(E$2:E5743)*(E5743=E$2:E5743)))))-COUNTBLANK(OFFSET(A$1,,,SUMPRODUCT(MAX(ROW(E$1:E5742)*(E2=E$1:E5742))))))</f>
        <v> </v>
      </c>
      <c r="K5743" s="26" t="str">
        <f>IF(OR(E5743="",E5743="!!!",F5743="NEW"),"",INDEX(J$1:J5742,SUMPRODUCT(MAX(ROW(E$1:E5742)*(E5743=E$1:E5742)))))</f>
        <v> </v>
      </c>
      <c r="L5743" s="27"/>
    </row>
    <row r="5744" spans="1:12">
      <c r="A5744" s="20" t="s">
        <v>2745</v>
      </c>
      <c r="E5744" s="22">
        <f>IF(D5744="?OLD","!!!","")</f>
        <v/>
      </c>
      <c r="F5744" s="23" t="str">
        <f>IF(OR(E5744="",E5744="!!!"),"",IF(NOT(ISNA(VLOOKUP(E5744,E$1:E5743,1,FALSE()))),"OLD",IF(AND(E5744&lt;&gt;"",E5744&lt;&gt;"!!!"),"NEW","")))</f>
        <v> </v>
      </c>
      <c r="G5744" s="24" t="str">
        <f>IF(OR(E5744="",E5744="!!!"),"",IF(OR(J5744=0,AND(J5744=1,K5744=1),AND(J5744=1,I5744="SBJ"),AND(J5744=1,I5744=0)),"?IN_FOCUS",IF(J5744&lt;=2,"?ACTIVATED",IF(J5744&lt;&gt;"","?FAMILIAR",IF(F5744="NEW",IF(ISNA(VLOOKUP(E5744,#REF!,1,FALSE())),"?TYPE_IDENTIFIABLE","?REFERENTIAL"),"_")))))</f>
        <v> </v>
      </c>
      <c r="H5744" s="25" t="str">
        <f>IF(J5744&lt;&gt;1,"",IF(I5744="SBJ","CB","?"))</f>
        <v> </v>
      </c>
      <c r="I5744" s="26" t="str">
        <f>IF(OR(E5744="",E5744="!!!",F5744="NEW"),"",INDEX(B5743:B$2,-1+SUMPRODUCT(MAX(ROW(E5743:E$2)*(E5744=E5743:E$2)))))</f>
        <v> </v>
      </c>
      <c r="J5744" s="26" t="str">
        <f>IF(OR(E5744="",E5744="!!!",F5744="NEW"),"",COUNTBLANK(OFFSET(A$1,,,SUMPRODUCT(MAX(ROW(E$2:E5744)*(E5744=E$2:E5744)))))-COUNTBLANK(OFFSET(A$1,,,SUMPRODUCT(MAX(ROW(E$1:E5743)*(E2=E$1:E5743))))))</f>
        <v> </v>
      </c>
      <c r="K5744" s="26" t="str">
        <f>IF(OR(E5744="",E5744="!!!",F5744="NEW"),"",INDEX(J$1:J5743,SUMPRODUCT(MAX(ROW(E$1:E5743)*(E5744=E$1:E5743)))))</f>
        <v> </v>
      </c>
      <c r="L5744" s="27"/>
    </row>
    <row r="5745" spans="1:12">
      <c r="A5745" s="20" t="s">
        <v>2385</v>
      </c>
      <c r="E5745" s="22">
        <f>IF(D5745="?OLD","!!!","")</f>
        <v/>
      </c>
      <c r="F5745" s="23" t="str">
        <f>IF(OR(E5745="",E5745="!!!"),"",IF(NOT(ISNA(VLOOKUP(E5745,E$1:E5744,1,FALSE()))),"OLD",IF(AND(E5745&lt;&gt;"",E5745&lt;&gt;"!!!"),"NEW","")))</f>
        <v> </v>
      </c>
      <c r="G5745" s="24" t="str">
        <f>IF(OR(E5745="",E5745="!!!"),"",IF(OR(J5745=0,AND(J5745=1,K5745=1),AND(J5745=1,I5745="SBJ"),AND(J5745=1,I5745=0)),"?IN_FOCUS",IF(J5745&lt;=2,"?ACTIVATED",IF(J5745&lt;&gt;"","?FAMILIAR",IF(F5745="NEW",IF(ISNA(VLOOKUP(E5745,#REF!,1,FALSE())),"?TYPE_IDENTIFIABLE","?REFERENTIAL"),"_")))))</f>
        <v> </v>
      </c>
      <c r="H5745" s="25" t="str">
        <f>IF(J5745&lt;&gt;1,"",IF(I5745="SBJ","CB","?"))</f>
        <v> </v>
      </c>
      <c r="I5745" s="26" t="str">
        <f>IF(OR(E5745="",E5745="!!!",F5745="NEW"),"",INDEX(B5744:B$2,-1+SUMPRODUCT(MAX(ROW(E5744:E$2)*(E5745=E5744:E$2)))))</f>
        <v> </v>
      </c>
      <c r="J5745" s="26" t="str">
        <f>IF(OR(E5745="",E5745="!!!",F5745="NEW"),"",COUNTBLANK(OFFSET(A$1,,,SUMPRODUCT(MAX(ROW(E$2:E5745)*(E5745=E$2:E5745)))))-COUNTBLANK(OFFSET(A$1,,,SUMPRODUCT(MAX(ROW(E$1:E5744)*(E2=E$1:E5744))))))</f>
        <v> </v>
      </c>
      <c r="K5745" s="26" t="str">
        <f>IF(OR(E5745="",E5745="!!!",F5745="NEW"),"",INDEX(J$1:J5744,SUMPRODUCT(MAX(ROW(E$1:E5744)*(E5745=E$1:E5744)))))</f>
        <v> </v>
      </c>
      <c r="L5745" s="27"/>
    </row>
    <row r="5746" spans="1:12">
      <c r="A5746" s="20" t="s">
        <v>1495</v>
      </c>
      <c r="E5746" s="22">
        <f>IF(D5746="?OLD","!!!","")</f>
        <v/>
      </c>
      <c r="F5746" s="23" t="str">
        <f>IF(OR(E5746="",E5746="!!!"),"",IF(NOT(ISNA(VLOOKUP(E5746,E$1:E5745,1,FALSE()))),"OLD",IF(AND(E5746&lt;&gt;"",E5746&lt;&gt;"!!!"),"NEW","")))</f>
        <v> </v>
      </c>
      <c r="G5746" s="24" t="str">
        <f>IF(OR(E5746="",E5746="!!!"),"",IF(OR(J5746=0,AND(J5746=1,K5746=1),AND(J5746=1,I5746="SBJ"),AND(J5746=1,I5746=0)),"?IN_FOCUS",IF(J5746&lt;=2,"?ACTIVATED",IF(J5746&lt;&gt;"","?FAMILIAR",IF(F5746="NEW",IF(ISNA(VLOOKUP(E5746,#REF!,1,FALSE())),"?TYPE_IDENTIFIABLE","?REFERENTIAL"),"_")))))</f>
        <v> </v>
      </c>
      <c r="H5746" s="25" t="str">
        <f>IF(J5746&lt;&gt;1,"",IF(I5746="SBJ","CB","?"))</f>
        <v> </v>
      </c>
      <c r="I5746" s="26" t="str">
        <f>IF(OR(E5746="",E5746="!!!",F5746="NEW"),"",INDEX(B5745:B$2,-1+SUMPRODUCT(MAX(ROW(E5745:E$2)*(E5746=E5745:E$2)))))</f>
        <v> </v>
      </c>
      <c r="J5746" s="26" t="str">
        <f>IF(OR(E5746="",E5746="!!!",F5746="NEW"),"",COUNTBLANK(OFFSET(A$1,,,SUMPRODUCT(MAX(ROW(E$2:E5746)*(E5746=E$2:E5746)))))-COUNTBLANK(OFFSET(A$1,,,SUMPRODUCT(MAX(ROW(E$1:E5745)*(E2=E$1:E5745))))))</f>
        <v> </v>
      </c>
      <c r="K5746" s="26" t="str">
        <f>IF(OR(E5746="",E5746="!!!",F5746="NEW"),"",INDEX(J$1:J5745,SUMPRODUCT(MAX(ROW(E$1:E5745)*(E5746=E$1:E5745)))))</f>
        <v> </v>
      </c>
      <c r="L5746" s="27"/>
    </row>
    <row r="5747" spans="1:12">
      <c r="A5747" s="20" t="s">
        <v>1190</v>
      </c>
      <c r="B5747" s="21" t="s">
        <v>1344</v>
      </c>
      <c r="C5747" s="21" t="s">
        <v>1188</v>
      </c>
      <c r="D5747" s="21" t="s">
        <v>1180</v>
      </c>
      <c r="E5747" s="22">
        <f>IF(D5747="?OLD","!!!","")</f>
        <v/>
      </c>
      <c r="F5747" s="23" t="str">
        <f>IF(OR(E5747="",E5747="!!!"),"",IF(NOT(ISNA(VLOOKUP(E5747,E$1:E5746,1,FALSE()))),"OLD",IF(AND(E5747&lt;&gt;"",E5747&lt;&gt;"!!!"),"NEW","")))</f>
        <v> </v>
      </c>
      <c r="G5747" s="24" t="str">
        <f>IF(OR(E5747="",E5747="!!!"),"",IF(OR(J5747=0,AND(J5747=1,K5747=1),AND(J5747=1,I5747="SBJ"),AND(J5747=1,I5747=0)),"?IN_FOCUS",IF(J5747&lt;=2,"?ACTIVATED",IF(J5747&lt;&gt;"","?FAMILIAR",IF(F5747="NEW",IF(ISNA(VLOOKUP(E5747,#REF!,1,FALSE())),"?TYPE_IDENTIFIABLE","?REFERENTIAL"),"_")))))</f>
        <v> </v>
      </c>
      <c r="H5747" s="25" t="str">
        <f>IF(J5747&lt;&gt;1,"",IF(I5747="SBJ","CB","?"))</f>
        <v> </v>
      </c>
      <c r="I5747" s="26" t="str">
        <f>IF(OR(E5747="",E5747="!!!",F5747="NEW"),"",INDEX(B5746:B$2,-1+SUMPRODUCT(MAX(ROW(E5746:E$2)*(E5747=E5746:E$2)))))</f>
        <v> </v>
      </c>
      <c r="J5747" s="26" t="str">
        <f>IF(OR(E5747="",E5747="!!!",F5747="NEW"),"",COUNTBLANK(OFFSET(A$1,,,SUMPRODUCT(MAX(ROW(E$2:E5747)*(E5747=E$2:E5747)))))-COUNTBLANK(OFFSET(A$1,,,SUMPRODUCT(MAX(ROW(E$1:E5746)*(E2=E$1:E5746))))))</f>
        <v> </v>
      </c>
      <c r="K5747" s="26" t="str">
        <f>IF(OR(E5747="",E5747="!!!",F5747="NEW"),"",INDEX(J$1:J5746,SUMPRODUCT(MAX(ROW(E$1:E5746)*(E5747=E$1:E5746)))))</f>
        <v> </v>
      </c>
      <c r="L5747" s="27"/>
    </row>
    <row r="5748" spans="1:12">
      <c r="A5748" s="20" t="s">
        <v>1185</v>
      </c>
      <c r="E5748" s="22">
        <f>IF(D5748="?OLD","!!!","")</f>
        <v/>
      </c>
      <c r="F5748" s="23" t="str">
        <f>IF(OR(E5748="",E5748="!!!"),"",IF(NOT(ISNA(VLOOKUP(E5748,E$1:E5747,1,FALSE()))),"OLD",IF(AND(E5748&lt;&gt;"",E5748&lt;&gt;"!!!"),"NEW","")))</f>
        <v> </v>
      </c>
      <c r="G5748" s="24" t="str">
        <f>IF(OR(E5748="",E5748="!!!"),"",IF(OR(J5748=0,AND(J5748=1,K5748=1),AND(J5748=1,I5748="SBJ"),AND(J5748=1,I5748=0)),"?IN_FOCUS",IF(J5748&lt;=2,"?ACTIVATED",IF(J5748&lt;&gt;"","?FAMILIAR",IF(F5748="NEW",IF(ISNA(VLOOKUP(E5748,#REF!,1,FALSE())),"?TYPE_IDENTIFIABLE","?REFERENTIAL"),"_")))))</f>
        <v> </v>
      </c>
      <c r="H5748" s="25" t="str">
        <f>IF(J5748&lt;&gt;1,"",IF(I5748="SBJ","CB","?"))</f>
        <v> </v>
      </c>
      <c r="I5748" s="26" t="str">
        <f>IF(OR(E5748="",E5748="!!!",F5748="NEW"),"",INDEX(B5747:B$2,-1+SUMPRODUCT(MAX(ROW(E5747:E$2)*(E5748=E5747:E$2)))))</f>
        <v> </v>
      </c>
      <c r="J5748" s="26" t="str">
        <f>IF(OR(E5748="",E5748="!!!",F5748="NEW"),"",COUNTBLANK(OFFSET(A$1,,,SUMPRODUCT(MAX(ROW(E$2:E5748)*(E5748=E$2:E5748)))))-COUNTBLANK(OFFSET(A$1,,,SUMPRODUCT(MAX(ROW(E$1:E5747)*(E2=E$1:E5747))))))</f>
        <v> </v>
      </c>
      <c r="K5748" s="26" t="str">
        <f>IF(OR(E5748="",E5748="!!!",F5748="NEW"),"",INDEX(J$1:J5747,SUMPRODUCT(MAX(ROW(E$1:E5747)*(E5748=E$1:E5747)))))</f>
        <v> </v>
      </c>
      <c r="L5748" s="27"/>
    </row>
    <row r="5749" spans="1:12">
      <c r="A5749" s="20" t="s">
        <v>2385</v>
      </c>
      <c r="E5749" s="22">
        <f>IF(D5749="?OLD","!!!","")</f>
        <v/>
      </c>
      <c r="F5749" s="23" t="str">
        <f>IF(OR(E5749="",E5749="!!!"),"",IF(NOT(ISNA(VLOOKUP(E5749,E$1:E5748,1,FALSE()))),"OLD",IF(AND(E5749&lt;&gt;"",E5749&lt;&gt;"!!!"),"NEW","")))</f>
        <v> </v>
      </c>
      <c r="G5749" s="24" t="str">
        <f>IF(OR(E5749="",E5749="!!!"),"",IF(OR(J5749=0,AND(J5749=1,K5749=1),AND(J5749=1,I5749="SBJ"),AND(J5749=1,I5749=0)),"?IN_FOCUS",IF(J5749&lt;=2,"?ACTIVATED",IF(J5749&lt;&gt;"","?FAMILIAR",IF(F5749="NEW",IF(ISNA(VLOOKUP(E5749,#REF!,1,FALSE())),"?TYPE_IDENTIFIABLE","?REFERENTIAL"),"_")))))</f>
        <v> </v>
      </c>
      <c r="H5749" s="25" t="str">
        <f>IF(J5749&lt;&gt;1,"",IF(I5749="SBJ","CB","?"))</f>
        <v> </v>
      </c>
      <c r="I5749" s="26" t="str">
        <f>IF(OR(E5749="",E5749="!!!",F5749="NEW"),"",INDEX(B5748:B$2,-1+SUMPRODUCT(MAX(ROW(E5748:E$2)*(E5749=E5748:E$2)))))</f>
        <v> </v>
      </c>
      <c r="J5749" s="26" t="str">
        <f>IF(OR(E5749="",E5749="!!!",F5749="NEW"),"",COUNTBLANK(OFFSET(A$1,,,SUMPRODUCT(MAX(ROW(E$2:E5749)*(E5749=E$2:E5749)))))-COUNTBLANK(OFFSET(A$1,,,SUMPRODUCT(MAX(ROW(E$1:E5748)*(E2=E$1:E5748))))))</f>
        <v> </v>
      </c>
      <c r="K5749" s="26" t="str">
        <f>IF(OR(E5749="",E5749="!!!",F5749="NEW"),"",INDEX(J$1:J5748,SUMPRODUCT(MAX(ROW(E$1:E5748)*(E5749=E$1:E5748)))))</f>
        <v> </v>
      </c>
      <c r="L5749" s="27"/>
    </row>
    <row r="5750" spans="1:12">
      <c r="A5750" s="20" t="s">
        <v>2746</v>
      </c>
      <c r="E5750" s="22">
        <f>IF(D5750="?OLD","!!!","")</f>
        <v/>
      </c>
      <c r="F5750" s="23" t="str">
        <f>IF(OR(E5750="",E5750="!!!"),"",IF(NOT(ISNA(VLOOKUP(E5750,E$1:E5749,1,FALSE()))),"OLD",IF(AND(E5750&lt;&gt;"",E5750&lt;&gt;"!!!"),"NEW","")))</f>
        <v> </v>
      </c>
      <c r="G5750" s="24" t="str">
        <f>IF(OR(E5750="",E5750="!!!"),"",IF(OR(J5750=0,AND(J5750=1,K5750=1),AND(J5750=1,I5750="SBJ"),AND(J5750=1,I5750=0)),"?IN_FOCUS",IF(J5750&lt;=2,"?ACTIVATED",IF(J5750&lt;&gt;"","?FAMILIAR",IF(F5750="NEW",IF(ISNA(VLOOKUP(E5750,#REF!,1,FALSE())),"?TYPE_IDENTIFIABLE","?REFERENTIAL"),"_")))))</f>
        <v> </v>
      </c>
      <c r="H5750" s="25" t="str">
        <f>IF(J5750&lt;&gt;1,"",IF(I5750="SBJ","CB","?"))</f>
        <v> </v>
      </c>
      <c r="I5750" s="26" t="str">
        <f>IF(OR(E5750="",E5750="!!!",F5750="NEW"),"",INDEX(B5749:B$2,-1+SUMPRODUCT(MAX(ROW(E5749:E$2)*(E5750=E5749:E$2)))))</f>
        <v> </v>
      </c>
      <c r="J5750" s="26" t="str">
        <f>IF(OR(E5750="",E5750="!!!",F5750="NEW"),"",COUNTBLANK(OFFSET(A$1,,,SUMPRODUCT(MAX(ROW(E$2:E5750)*(E5750=E$2:E5750)))))-COUNTBLANK(OFFSET(A$1,,,SUMPRODUCT(MAX(ROW(E$1:E5749)*(E2=E$1:E5749))))))</f>
        <v> </v>
      </c>
      <c r="K5750" s="26" t="str">
        <f>IF(OR(E5750="",E5750="!!!",F5750="NEW"),"",INDEX(J$1:J5749,SUMPRODUCT(MAX(ROW(E$1:E5749)*(E5750=E$1:E5749)))))</f>
        <v> </v>
      </c>
      <c r="L5750" s="27"/>
    </row>
    <row r="5751" spans="1:12">
      <c r="A5751" s="20" t="s">
        <v>2747</v>
      </c>
      <c r="B5751" s="21" t="s">
        <v>1347</v>
      </c>
      <c r="C5751" s="21" t="s">
        <v>1184</v>
      </c>
      <c r="E5751" s="22">
        <f>IF(D5751="?OLD","!!!","")</f>
        <v/>
      </c>
      <c r="F5751" s="23" t="str">
        <f>IF(OR(E5751="",E5751="!!!"),"",IF(NOT(ISNA(VLOOKUP(E5751,E$1:E5750,1,FALSE()))),"OLD",IF(AND(E5751&lt;&gt;"",E5751&lt;&gt;"!!!"),"NEW","")))</f>
        <v> </v>
      </c>
      <c r="G5751" s="24" t="str">
        <f>IF(OR(E5751="",E5751="!!!"),"",IF(OR(J5751=0,AND(J5751=1,K5751=1),AND(J5751=1,I5751="SBJ"),AND(J5751=1,I5751=0)),"?IN_FOCUS",IF(J5751&lt;=2,"?ACTIVATED",IF(J5751&lt;&gt;"","?FAMILIAR",IF(F5751="NEW",IF(ISNA(VLOOKUP(E5751,#REF!,1,FALSE())),"?TYPE_IDENTIFIABLE","?REFERENTIAL"),"_")))))</f>
        <v> </v>
      </c>
      <c r="H5751" s="25" t="str">
        <f>IF(J5751&lt;&gt;1,"",IF(I5751="SBJ","CB","?"))</f>
        <v> </v>
      </c>
      <c r="I5751" s="26" t="str">
        <f>IF(OR(E5751="",E5751="!!!",F5751="NEW"),"",INDEX(B5750:B$2,-1+SUMPRODUCT(MAX(ROW(E5750:E$2)*(E5751=E5750:E$2)))))</f>
        <v> </v>
      </c>
      <c r="J5751" s="26" t="str">
        <f>IF(OR(E5751="",E5751="!!!",F5751="NEW"),"",COUNTBLANK(OFFSET(A$1,,,SUMPRODUCT(MAX(ROW(E$2:E5751)*(E5751=E$2:E5751)))))-COUNTBLANK(OFFSET(A$1,,,SUMPRODUCT(MAX(ROW(E$1:E5750)*(E2=E$1:E5750))))))</f>
        <v> </v>
      </c>
      <c r="K5751" s="26" t="str">
        <f>IF(OR(E5751="",E5751="!!!",F5751="NEW"),"",INDEX(J$1:J5750,SUMPRODUCT(MAX(ROW(E$1:E5750)*(E5751=E$1:E5750)))))</f>
        <v> </v>
      </c>
      <c r="L5751" s="27"/>
    </row>
    <row r="5752" spans="1:12">
      <c r="A5752" s="20" t="s">
        <v>1185</v>
      </c>
      <c r="E5752" s="22">
        <f>IF(D5752="?OLD","!!!","")</f>
        <v/>
      </c>
      <c r="F5752" s="23" t="str">
        <f>IF(OR(E5752="",E5752="!!!"),"",IF(NOT(ISNA(VLOOKUP(E5752,E$1:E5751,1,FALSE()))),"OLD",IF(AND(E5752&lt;&gt;"",E5752&lt;&gt;"!!!"),"NEW","")))</f>
        <v> </v>
      </c>
      <c r="G5752" s="24" t="str">
        <f>IF(OR(E5752="",E5752="!!!"),"",IF(OR(J5752=0,AND(J5752=1,K5752=1),AND(J5752=1,I5752="SBJ"),AND(J5752=1,I5752=0)),"?IN_FOCUS",IF(J5752&lt;=2,"?ACTIVATED",IF(J5752&lt;&gt;"","?FAMILIAR",IF(F5752="NEW",IF(ISNA(VLOOKUP(E5752,#REF!,1,FALSE())),"?TYPE_IDENTIFIABLE","?REFERENTIAL"),"_")))))</f>
        <v> </v>
      </c>
      <c r="H5752" s="25" t="str">
        <f>IF(J5752&lt;&gt;1,"",IF(I5752="SBJ","CB","?"))</f>
        <v> </v>
      </c>
      <c r="I5752" s="26" t="str">
        <f>IF(OR(E5752="",E5752="!!!",F5752="NEW"),"",INDEX(B5751:B$2,-1+SUMPRODUCT(MAX(ROW(E5751:E$2)*(E5752=E5751:E$2)))))</f>
        <v> </v>
      </c>
      <c r="J5752" s="26" t="str">
        <f>IF(OR(E5752="",E5752="!!!",F5752="NEW"),"",COUNTBLANK(OFFSET(A$1,,,SUMPRODUCT(MAX(ROW(E$2:E5752)*(E5752=E$2:E5752)))))-COUNTBLANK(OFFSET(A$1,,,SUMPRODUCT(MAX(ROW(E$1:E5751)*(E2=E$1:E5751))))))</f>
        <v> </v>
      </c>
      <c r="K5752" s="26" t="str">
        <f>IF(OR(E5752="",E5752="!!!",F5752="NEW"),"",INDEX(J$1:J5751,SUMPRODUCT(MAX(ROW(E$1:E5751)*(E5752=E$1:E5751)))))</f>
        <v> </v>
      </c>
      <c r="L5752" s="27"/>
    </row>
    <row r="5753" spans="1:12">
      <c r="A5753" s="20" t="s">
        <v>1186</v>
      </c>
      <c r="B5753" s="21" t="s">
        <v>1999</v>
      </c>
      <c r="E5753" s="22">
        <f>IF(D5753="?OLD","!!!","")</f>
        <v/>
      </c>
      <c r="F5753" s="23" t="str">
        <f>IF(OR(E5753="",E5753="!!!"),"",IF(NOT(ISNA(VLOOKUP(E5753,E$1:E5752,1,FALSE()))),"OLD",IF(AND(E5753&lt;&gt;"",E5753&lt;&gt;"!!!"),"NEW","")))</f>
        <v> </v>
      </c>
      <c r="G5753" s="24" t="str">
        <f>IF(OR(E5753="",E5753="!!!"),"",IF(OR(J5753=0,AND(J5753=1,K5753=1),AND(J5753=1,I5753="SBJ"),AND(J5753=1,I5753=0)),"?IN_FOCUS",IF(J5753&lt;=2,"?ACTIVATED",IF(J5753&lt;&gt;"","?FAMILIAR",IF(F5753="NEW",IF(ISNA(VLOOKUP(E5753,#REF!,1,FALSE())),"?TYPE_IDENTIFIABLE","?REFERENTIAL"),"_")))))</f>
        <v> </v>
      </c>
      <c r="H5753" s="25" t="str">
        <f>IF(J5753&lt;&gt;1,"",IF(I5753="SBJ","CB","?"))</f>
        <v> </v>
      </c>
      <c r="I5753" s="26" t="str">
        <f>IF(OR(E5753="",E5753="!!!",F5753="NEW"),"",INDEX(B5752:B$2,-1+SUMPRODUCT(MAX(ROW(E5752:E$2)*(E5753=E5752:E$2)))))</f>
        <v> </v>
      </c>
      <c r="J5753" s="26" t="str">
        <f>IF(OR(E5753="",E5753="!!!",F5753="NEW"),"",COUNTBLANK(OFFSET(A$1,,,SUMPRODUCT(MAX(ROW(E$2:E5753)*(E5753=E$2:E5753)))))-COUNTBLANK(OFFSET(A$1,,,SUMPRODUCT(MAX(ROW(E$1:E5752)*(E2=E$1:E5752))))))</f>
        <v> </v>
      </c>
      <c r="K5753" s="26" t="str">
        <f>IF(OR(E5753="",E5753="!!!",F5753="NEW"),"",INDEX(J$1:J5752,SUMPRODUCT(MAX(ROW(E$1:E5752)*(E5753=E$1:E5752)))))</f>
        <v> </v>
      </c>
      <c r="L5753" s="27"/>
    </row>
    <row r="5754" spans="1:12">
      <c r="A5754" s="20" t="s">
        <v>1537</v>
      </c>
      <c r="E5754" s="22">
        <f>IF(D5754="?OLD","!!!","")</f>
        <v/>
      </c>
      <c r="F5754" s="23" t="str">
        <f>IF(OR(E5754="",E5754="!!!"),"",IF(NOT(ISNA(VLOOKUP(E5754,E$1:E5753,1,FALSE()))),"OLD",IF(AND(E5754&lt;&gt;"",E5754&lt;&gt;"!!!"),"NEW","")))</f>
        <v> </v>
      </c>
      <c r="G5754" s="24" t="str">
        <f>IF(OR(E5754="",E5754="!!!"),"",IF(OR(J5754=0,AND(J5754=1,K5754=1),AND(J5754=1,I5754="SBJ"),AND(J5754=1,I5754=0)),"?IN_FOCUS",IF(J5754&lt;=2,"?ACTIVATED",IF(J5754&lt;&gt;"","?FAMILIAR",IF(F5754="NEW",IF(ISNA(VLOOKUP(E5754,#REF!,1,FALSE())),"?TYPE_IDENTIFIABLE","?REFERENTIAL"),"_")))))</f>
        <v> </v>
      </c>
      <c r="H5754" s="25" t="str">
        <f>IF(J5754&lt;&gt;1,"",IF(I5754="SBJ","CB","?"))</f>
        <v> </v>
      </c>
      <c r="I5754" s="26" t="str">
        <f>IF(OR(E5754="",E5754="!!!",F5754="NEW"),"",INDEX(B5753:B$2,-1+SUMPRODUCT(MAX(ROW(E5753:E$2)*(E5754=E5753:E$2)))))</f>
        <v> </v>
      </c>
      <c r="J5754" s="26" t="str">
        <f>IF(OR(E5754="",E5754="!!!",F5754="NEW"),"",COUNTBLANK(OFFSET(A$1,,,SUMPRODUCT(MAX(ROW(E$2:E5754)*(E5754=E$2:E5754)))))-COUNTBLANK(OFFSET(A$1,,,SUMPRODUCT(MAX(ROW(E$1:E5753)*(E2=E$1:E5753))))))</f>
        <v> </v>
      </c>
      <c r="K5754" s="26" t="str">
        <f>IF(OR(E5754="",E5754="!!!",F5754="NEW"),"",INDEX(J$1:J5753,SUMPRODUCT(MAX(ROW(E$1:E5753)*(E5754=E$1:E5753)))))</f>
        <v> </v>
      </c>
      <c r="L5754" s="27"/>
    </row>
    <row r="5755" spans="1:12">
      <c r="A5755" s="20" t="s">
        <v>2277</v>
      </c>
      <c r="E5755" s="22">
        <f>IF(D5755="?OLD","!!!","")</f>
        <v/>
      </c>
      <c r="F5755" s="23" t="str">
        <f>IF(OR(E5755="",E5755="!!!"),"",IF(NOT(ISNA(VLOOKUP(E5755,E$1:E5754,1,FALSE()))),"OLD",IF(AND(E5755&lt;&gt;"",E5755&lt;&gt;"!!!"),"NEW","")))</f>
        <v> </v>
      </c>
      <c r="G5755" s="24" t="str">
        <f>IF(OR(E5755="",E5755="!!!"),"",IF(OR(J5755=0,AND(J5755=1,K5755=1),AND(J5755=1,I5755="SBJ"),AND(J5755=1,I5755=0)),"?IN_FOCUS",IF(J5755&lt;=2,"?ACTIVATED",IF(J5755&lt;&gt;"","?FAMILIAR",IF(F5755="NEW",IF(ISNA(VLOOKUP(E5755,#REF!,1,FALSE())),"?TYPE_IDENTIFIABLE","?REFERENTIAL"),"_")))))</f>
        <v> </v>
      </c>
      <c r="H5755" s="25" t="str">
        <f>IF(J5755&lt;&gt;1,"",IF(I5755="SBJ","CB","?"))</f>
        <v> </v>
      </c>
      <c r="I5755" s="26" t="str">
        <f>IF(OR(E5755="",E5755="!!!",F5755="NEW"),"",INDEX(B5754:B$2,-1+SUMPRODUCT(MAX(ROW(E5754:E$2)*(E5755=E5754:E$2)))))</f>
        <v> </v>
      </c>
      <c r="J5755" s="26" t="str">
        <f>IF(OR(E5755="",E5755="!!!",F5755="NEW"),"",COUNTBLANK(OFFSET(A$1,,,SUMPRODUCT(MAX(ROW(E$2:E5755)*(E5755=E$2:E5755)))))-COUNTBLANK(OFFSET(A$1,,,SUMPRODUCT(MAX(ROW(E$1:E5754)*(E2=E$1:E5754))))))</f>
        <v> </v>
      </c>
      <c r="K5755" s="26" t="str">
        <f>IF(OR(E5755="",E5755="!!!",F5755="NEW"),"",INDEX(J$1:J5754,SUMPRODUCT(MAX(ROW(E$1:E5754)*(E5755=E$1:E5754)))))</f>
        <v> </v>
      </c>
      <c r="L5755" s="27"/>
    </row>
    <row r="5756" spans="1:12">
      <c r="A5756" s="20" t="s">
        <v>1260</v>
      </c>
      <c r="E5756" s="22">
        <f>IF(D5756="?OLD","!!!","")</f>
        <v/>
      </c>
      <c r="F5756" s="23" t="str">
        <f>IF(OR(E5756="",E5756="!!!"),"",IF(NOT(ISNA(VLOOKUP(E5756,E$1:E5755,1,FALSE()))),"OLD",IF(AND(E5756&lt;&gt;"",E5756&lt;&gt;"!!!"),"NEW","")))</f>
        <v> </v>
      </c>
      <c r="G5756" s="24" t="str">
        <f>IF(OR(E5756="",E5756="!!!"),"",IF(OR(J5756=0,AND(J5756=1,K5756=1),AND(J5756=1,I5756="SBJ"),AND(J5756=1,I5756=0)),"?IN_FOCUS",IF(J5756&lt;=2,"?ACTIVATED",IF(J5756&lt;&gt;"","?FAMILIAR",IF(F5756="NEW",IF(ISNA(VLOOKUP(E5756,#REF!,1,FALSE())),"?TYPE_IDENTIFIABLE","?REFERENTIAL"),"_")))))</f>
        <v> </v>
      </c>
      <c r="H5756" s="25" t="str">
        <f>IF(J5756&lt;&gt;1,"",IF(I5756="SBJ","CB","?"))</f>
        <v> </v>
      </c>
      <c r="I5756" s="26" t="str">
        <f>IF(OR(E5756="",E5756="!!!",F5756="NEW"),"",INDEX(B5755:B$2,-1+SUMPRODUCT(MAX(ROW(E5755:E$2)*(E5756=E5755:E$2)))))</f>
        <v> </v>
      </c>
      <c r="J5756" s="26" t="str">
        <f>IF(OR(E5756="",E5756="!!!",F5756="NEW"),"",COUNTBLANK(OFFSET(A$1,,,SUMPRODUCT(MAX(ROW(E$2:E5756)*(E5756=E$2:E5756)))))-COUNTBLANK(OFFSET(A$1,,,SUMPRODUCT(MAX(ROW(E$1:E5755)*(E2=E$1:E5755))))))</f>
        <v> </v>
      </c>
      <c r="K5756" s="26" t="str">
        <f>IF(OR(E5756="",E5756="!!!",F5756="NEW"),"",INDEX(J$1:J5755,SUMPRODUCT(MAX(ROW(E$1:E5755)*(E5756=E$1:E5755)))))</f>
        <v> </v>
      </c>
      <c r="L5756" s="27"/>
    </row>
    <row r="5757" spans="1:12">
      <c r="A5757" s="20" t="s">
        <v>2748</v>
      </c>
      <c r="B5757" s="21" t="s">
        <v>1991</v>
      </c>
      <c r="C5757" s="21" t="s">
        <v>1188</v>
      </c>
      <c r="D5757" s="21" t="s">
        <v>1180</v>
      </c>
      <c r="E5757" s="22">
        <f>IF(D5757="?OLD","!!!","")</f>
        <v/>
      </c>
      <c r="F5757" s="23" t="str">
        <f>IF(OR(E5757="",E5757="!!!"),"",IF(NOT(ISNA(VLOOKUP(E5757,E$1:E5756,1,FALSE()))),"OLD",IF(AND(E5757&lt;&gt;"",E5757&lt;&gt;"!!!"),"NEW","")))</f>
        <v> </v>
      </c>
      <c r="G5757" s="24" t="str">
        <f>IF(OR(E5757="",E5757="!!!"),"",IF(OR(J5757=0,AND(J5757=1,K5757=1),AND(J5757=1,I5757="SBJ"),AND(J5757=1,I5757=0)),"?IN_FOCUS",IF(J5757&lt;=2,"?ACTIVATED",IF(J5757&lt;&gt;"","?FAMILIAR",IF(F5757="NEW",IF(ISNA(VLOOKUP(E5757,#REF!,1,FALSE())),"?TYPE_IDENTIFIABLE","?REFERENTIAL"),"_")))))</f>
        <v> </v>
      </c>
      <c r="H5757" s="25" t="str">
        <f>IF(J5757&lt;&gt;1,"",IF(I5757="SBJ","CB","?"))</f>
        <v> </v>
      </c>
      <c r="I5757" s="26" t="str">
        <f>IF(OR(E5757="",E5757="!!!",F5757="NEW"),"",INDEX(B5756:B$2,-1+SUMPRODUCT(MAX(ROW(E5756:E$2)*(E5757=E5756:E$2)))))</f>
        <v> </v>
      </c>
      <c r="J5757" s="26" t="str">
        <f>IF(OR(E5757="",E5757="!!!",F5757="NEW"),"",COUNTBLANK(OFFSET(A$1,,,SUMPRODUCT(MAX(ROW(E$2:E5757)*(E5757=E$2:E5757)))))-COUNTBLANK(OFFSET(A$1,,,SUMPRODUCT(MAX(ROW(E$1:E5756)*(E2=E$1:E5756))))))</f>
        <v> </v>
      </c>
      <c r="K5757" s="26" t="str">
        <f>IF(OR(E5757="",E5757="!!!",F5757="NEW"),"",INDEX(J$1:J5756,SUMPRODUCT(MAX(ROW(E$1:E5756)*(E5757=E$1:E5756)))))</f>
        <v> </v>
      </c>
      <c r="L5757" s="27"/>
    </row>
    <row r="5758" spans="1:12">
      <c r="A5758" s="20" t="s">
        <v>38</v>
      </c>
      <c r="E5758" s="22">
        <f>IF(D5758="?OLD","!!!","")</f>
        <v/>
      </c>
      <c r="F5758" s="23" t="str">
        <f>IF(OR(E5758="",E5758="!!!"),"",IF(NOT(ISNA(VLOOKUP(E5758,E$1:E5757,1,FALSE()))),"OLD",IF(AND(E5758&lt;&gt;"",E5758&lt;&gt;"!!!"),"NEW","")))</f>
        <v> </v>
      </c>
      <c r="G5758" s="24" t="str">
        <f>IF(OR(E5758="",E5758="!!!"),"",IF(OR(J5758=0,AND(J5758=1,K5758=1),AND(J5758=1,I5758="SBJ"),AND(J5758=1,I5758=0)),"?IN_FOCUS",IF(J5758&lt;=2,"?ACTIVATED",IF(J5758&lt;&gt;"","?FAMILIAR",IF(F5758="NEW",IF(ISNA(VLOOKUP(E5758,#REF!,1,FALSE())),"?TYPE_IDENTIFIABLE","?REFERENTIAL"),"_")))))</f>
        <v> </v>
      </c>
      <c r="H5758" s="25" t="str">
        <f>IF(J5758&lt;&gt;1,"",IF(I5758="SBJ","CB","?"))</f>
        <v> </v>
      </c>
      <c r="I5758" s="26" t="str">
        <f>IF(OR(E5758="",E5758="!!!",F5758="NEW"),"",INDEX(B5757:B$2,-1+SUMPRODUCT(MAX(ROW(E5757:E$2)*(E5758=E5757:E$2)))))</f>
        <v> </v>
      </c>
      <c r="J5758" s="26" t="str">
        <f>IF(OR(E5758="",E5758="!!!",F5758="NEW"),"",COUNTBLANK(OFFSET(A$1,,,SUMPRODUCT(MAX(ROW(E$2:E5758)*(E5758=E$2:E5758)))))-COUNTBLANK(OFFSET(A$1,,,SUMPRODUCT(MAX(ROW(E$1:E5757)*(E2=E$1:E5757))))))</f>
        <v> </v>
      </c>
      <c r="K5758" s="26" t="str">
        <f>IF(OR(E5758="",E5758="!!!",F5758="NEW"),"",INDEX(J$1:J5757,SUMPRODUCT(MAX(ROW(E$1:E5757)*(E5758=E$1:E5757)))))</f>
        <v> </v>
      </c>
      <c r="L5758" s="27"/>
    </row>
    <row r="5759" spans="1:12">
      <c r="A5759" s="20" t="s">
        <v>1185</v>
      </c>
      <c r="E5759" s="22">
        <f>IF(D5759="?OLD","!!!","")</f>
        <v/>
      </c>
      <c r="F5759" s="23" t="str">
        <f>IF(OR(E5759="",E5759="!!!"),"",IF(NOT(ISNA(VLOOKUP(E5759,E$1:E5758,1,FALSE()))),"OLD",IF(AND(E5759&lt;&gt;"",E5759&lt;&gt;"!!!"),"NEW","")))</f>
        <v> </v>
      </c>
      <c r="G5759" s="24" t="str">
        <f>IF(OR(E5759="",E5759="!!!"),"",IF(OR(J5759=0,AND(J5759=1,K5759=1),AND(J5759=1,I5759="SBJ"),AND(J5759=1,I5759=0)),"?IN_FOCUS",IF(J5759&lt;=2,"?ACTIVATED",IF(J5759&lt;&gt;"","?FAMILIAR",IF(F5759="NEW",IF(ISNA(VLOOKUP(E5759,#REF!,1,FALSE())),"?TYPE_IDENTIFIABLE","?REFERENTIAL"),"_")))))</f>
        <v> </v>
      </c>
      <c r="H5759" s="25" t="str">
        <f>IF(J5759&lt;&gt;1,"",IF(I5759="SBJ","CB","?"))</f>
        <v> </v>
      </c>
      <c r="I5759" s="26" t="str">
        <f>IF(OR(E5759="",E5759="!!!",F5759="NEW"),"",INDEX(B5758:B$2,-1+SUMPRODUCT(MAX(ROW(E5758:E$2)*(E5759=E5758:E$2)))))</f>
        <v> </v>
      </c>
      <c r="J5759" s="26" t="str">
        <f>IF(OR(E5759="",E5759="!!!",F5759="NEW"),"",COUNTBLANK(OFFSET(A$1,,,SUMPRODUCT(MAX(ROW(E$2:E5759)*(E5759=E$2:E5759)))))-COUNTBLANK(OFFSET(A$1,,,SUMPRODUCT(MAX(ROW(E$1:E5758)*(E2=E$1:E5758))))))</f>
        <v> </v>
      </c>
      <c r="K5759" s="26" t="str">
        <f>IF(OR(E5759="",E5759="!!!",F5759="NEW"),"",INDEX(J$1:J5758,SUMPRODUCT(MAX(ROW(E$1:E5758)*(E5759=E$1:E5758)))))</f>
        <v> </v>
      </c>
      <c r="L5759" s="27"/>
    </row>
    <row r="5760" spans="1:12">
      <c r="A5760" s="20" t="s">
        <v>1186</v>
      </c>
      <c r="B5760" s="21" t="s">
        <v>2001</v>
      </c>
      <c r="E5760" s="22">
        <f>IF(D5760="?OLD","!!!","")</f>
        <v/>
      </c>
      <c r="F5760" s="23" t="str">
        <f>IF(OR(E5760="",E5760="!!!"),"",IF(NOT(ISNA(VLOOKUP(E5760,E$1:E5759,1,FALSE()))),"OLD",IF(AND(E5760&lt;&gt;"",E5760&lt;&gt;"!!!"),"NEW","")))</f>
        <v> </v>
      </c>
      <c r="G5760" s="24" t="str">
        <f>IF(OR(E5760="",E5760="!!!"),"",IF(OR(J5760=0,AND(J5760=1,K5760=1),AND(J5760=1,I5760="SBJ"),AND(J5760=1,I5760=0)),"?IN_FOCUS",IF(J5760&lt;=2,"?ACTIVATED",IF(J5760&lt;&gt;"","?FAMILIAR",IF(F5760="NEW",IF(ISNA(VLOOKUP(E5760,#REF!,1,FALSE())),"?TYPE_IDENTIFIABLE","?REFERENTIAL"),"_")))))</f>
        <v> </v>
      </c>
      <c r="H5760" s="25" t="str">
        <f>IF(J5760&lt;&gt;1,"",IF(I5760="SBJ","CB","?"))</f>
        <v> </v>
      </c>
      <c r="I5760" s="26" t="str">
        <f>IF(OR(E5760="",E5760="!!!",F5760="NEW"),"",INDEX(B5759:B$2,-1+SUMPRODUCT(MAX(ROW(E5759:E$2)*(E5760=E5759:E$2)))))</f>
        <v> </v>
      </c>
      <c r="J5760" s="26" t="str">
        <f>IF(OR(E5760="",E5760="!!!",F5760="NEW"),"",COUNTBLANK(OFFSET(A$1,,,SUMPRODUCT(MAX(ROW(E$2:E5760)*(E5760=E$2:E5760)))))-COUNTBLANK(OFFSET(A$1,,,SUMPRODUCT(MAX(ROW(E$1:E5759)*(E2=E$1:E5759))))))</f>
        <v> </v>
      </c>
      <c r="K5760" s="26" t="str">
        <f>IF(OR(E5760="",E5760="!!!",F5760="NEW"),"",INDEX(J$1:J5759,SUMPRODUCT(MAX(ROW(E$1:E5759)*(E5760=E$1:E5759)))))</f>
        <v> </v>
      </c>
      <c r="L5760" s="27"/>
    </row>
    <row r="5761" spans="1:12">
      <c r="A5761" s="20" t="s">
        <v>2069</v>
      </c>
      <c r="E5761" s="22">
        <f>IF(D5761="?OLD","!!!","")</f>
        <v/>
      </c>
      <c r="F5761" s="23" t="str">
        <f>IF(OR(E5761="",E5761="!!!"),"",IF(NOT(ISNA(VLOOKUP(E5761,E$1:E5760,1,FALSE()))),"OLD",IF(AND(E5761&lt;&gt;"",E5761&lt;&gt;"!!!"),"NEW","")))</f>
        <v> </v>
      </c>
      <c r="G5761" s="24" t="str">
        <f>IF(OR(E5761="",E5761="!!!"),"",IF(OR(J5761=0,AND(J5761=1,K5761=1),AND(J5761=1,I5761="SBJ"),AND(J5761=1,I5761=0)),"?IN_FOCUS",IF(J5761&lt;=2,"?ACTIVATED",IF(J5761&lt;&gt;"","?FAMILIAR",IF(F5761="NEW",IF(ISNA(VLOOKUP(E5761,#REF!,1,FALSE())),"?TYPE_IDENTIFIABLE","?REFERENTIAL"),"_")))))</f>
        <v> </v>
      </c>
      <c r="H5761" s="25" t="str">
        <f>IF(J5761&lt;&gt;1,"",IF(I5761="SBJ","CB","?"))</f>
        <v> </v>
      </c>
      <c r="I5761" s="26" t="str">
        <f>IF(OR(E5761="",E5761="!!!",F5761="NEW"),"",INDEX(B5760:B$2,-1+SUMPRODUCT(MAX(ROW(E5760:E$2)*(E5761=E5760:E$2)))))</f>
        <v> </v>
      </c>
      <c r="J5761" s="26" t="str">
        <f>IF(OR(E5761="",E5761="!!!",F5761="NEW"),"",COUNTBLANK(OFFSET(A$1,,,SUMPRODUCT(MAX(ROW(E$2:E5761)*(E5761=E$2:E5761)))))-COUNTBLANK(OFFSET(A$1,,,SUMPRODUCT(MAX(ROW(E$1:E5760)*(E2=E$1:E5760))))))</f>
        <v> </v>
      </c>
      <c r="K5761" s="26" t="str">
        <f>IF(OR(E5761="",E5761="!!!",F5761="NEW"),"",INDEX(J$1:J5760,SUMPRODUCT(MAX(ROW(E$1:E5760)*(E5761=E$1:E5760)))))</f>
        <v> </v>
      </c>
      <c r="L5761" s="27"/>
    </row>
    <row r="5762" spans="1:12">
      <c r="A5762" s="20" t="s">
        <v>1420</v>
      </c>
      <c r="E5762" s="22">
        <f>IF(D5762="?OLD","!!!","")</f>
        <v/>
      </c>
      <c r="F5762" s="23" t="str">
        <f>IF(OR(E5762="",E5762="!!!"),"",IF(NOT(ISNA(VLOOKUP(E5762,E$1:E5761,1,FALSE()))),"OLD",IF(AND(E5762&lt;&gt;"",E5762&lt;&gt;"!!!"),"NEW","")))</f>
        <v> </v>
      </c>
      <c r="G5762" s="24" t="str">
        <f>IF(OR(E5762="",E5762="!!!"),"",IF(OR(J5762=0,AND(J5762=1,K5762=1),AND(J5762=1,I5762="SBJ"),AND(J5762=1,I5762=0)),"?IN_FOCUS",IF(J5762&lt;=2,"?ACTIVATED",IF(J5762&lt;&gt;"","?FAMILIAR",IF(F5762="NEW",IF(ISNA(VLOOKUP(E5762,#REF!,1,FALSE())),"?TYPE_IDENTIFIABLE","?REFERENTIAL"),"_")))))</f>
        <v> </v>
      </c>
      <c r="H5762" s="25" t="str">
        <f>IF(J5762&lt;&gt;1,"",IF(I5762="SBJ","CB","?"))</f>
        <v> </v>
      </c>
      <c r="I5762" s="26" t="str">
        <f>IF(OR(E5762="",E5762="!!!",F5762="NEW"),"",INDEX(B5761:B$2,-1+SUMPRODUCT(MAX(ROW(E5761:E$2)*(E5762=E5761:E$2)))))</f>
        <v> </v>
      </c>
      <c r="J5762" s="26" t="str">
        <f>IF(OR(E5762="",E5762="!!!",F5762="NEW"),"",COUNTBLANK(OFFSET(A$1,,,SUMPRODUCT(MAX(ROW(E$2:E5762)*(E5762=E$2:E5762)))))-COUNTBLANK(OFFSET(A$1,,,SUMPRODUCT(MAX(ROW(E$1:E5761)*(E2=E$1:E5761))))))</f>
        <v> </v>
      </c>
      <c r="K5762" s="26" t="str">
        <f>IF(OR(E5762="",E5762="!!!",F5762="NEW"),"",INDEX(J$1:J5761,SUMPRODUCT(MAX(ROW(E$1:E5761)*(E5762=E$1:E5761)))))</f>
        <v> </v>
      </c>
      <c r="L5762" s="27"/>
    </row>
    <row r="5763" spans="1:12">
      <c r="A5763" s="20" t="s">
        <v>2749</v>
      </c>
      <c r="E5763" s="22">
        <f>IF(D5763="?OLD","!!!","")</f>
        <v/>
      </c>
      <c r="F5763" s="23" t="str">
        <f>IF(OR(E5763="",E5763="!!!"),"",IF(NOT(ISNA(VLOOKUP(E5763,E$1:E5762,1,FALSE()))),"OLD",IF(AND(E5763&lt;&gt;"",E5763&lt;&gt;"!!!"),"NEW","")))</f>
        <v> </v>
      </c>
      <c r="G5763" s="24" t="str">
        <f>IF(OR(E5763="",E5763="!!!"),"",IF(OR(J5763=0,AND(J5763=1,K5763=1),AND(J5763=1,I5763="SBJ"),AND(J5763=1,I5763=0)),"?IN_FOCUS",IF(J5763&lt;=2,"?ACTIVATED",IF(J5763&lt;&gt;"","?FAMILIAR",IF(F5763="NEW",IF(ISNA(VLOOKUP(E5763,#REF!,1,FALSE())),"?TYPE_IDENTIFIABLE","?REFERENTIAL"),"_")))))</f>
        <v> </v>
      </c>
      <c r="H5763" s="25" t="str">
        <f>IF(J5763&lt;&gt;1,"",IF(I5763="SBJ","CB","?"))</f>
        <v> </v>
      </c>
      <c r="I5763" s="26" t="str">
        <f>IF(OR(E5763="",E5763="!!!",F5763="NEW"),"",INDEX(B5762:B$2,-1+SUMPRODUCT(MAX(ROW(E5762:E$2)*(E5763=E5762:E$2)))))</f>
        <v> </v>
      </c>
      <c r="J5763" s="26" t="str">
        <f>IF(OR(E5763="",E5763="!!!",F5763="NEW"),"",COUNTBLANK(OFFSET(A$1,,,SUMPRODUCT(MAX(ROW(E$2:E5763)*(E5763=E$2:E5763)))))-COUNTBLANK(OFFSET(A$1,,,SUMPRODUCT(MAX(ROW(E$1:E5762)*(E2=E$1:E5762))))))</f>
        <v> </v>
      </c>
      <c r="K5763" s="26" t="str">
        <f>IF(OR(E5763="",E5763="!!!",F5763="NEW"),"",INDEX(J$1:J5762,SUMPRODUCT(MAX(ROW(E$1:E5762)*(E5763=E$1:E5762)))))</f>
        <v> </v>
      </c>
      <c r="L5763" s="27"/>
    </row>
    <row r="5764" spans="1:12">
      <c r="A5764" s="20" t="s">
        <v>1595</v>
      </c>
      <c r="B5764" s="21" t="s">
        <v>2750</v>
      </c>
      <c r="C5764" s="21" t="s">
        <v>1184</v>
      </c>
      <c r="E5764" s="22">
        <f>IF(D5764="?OLD","!!!","")</f>
        <v/>
      </c>
      <c r="F5764" s="23" t="str">
        <f>IF(OR(E5764="",E5764="!!!"),"",IF(NOT(ISNA(VLOOKUP(E5764,E$1:E5763,1,FALSE()))),"OLD",IF(AND(E5764&lt;&gt;"",E5764&lt;&gt;"!!!"),"NEW","")))</f>
        <v> </v>
      </c>
      <c r="G5764" s="24" t="str">
        <f>IF(OR(E5764="",E5764="!!!"),"",IF(OR(J5764=0,AND(J5764=1,K5764=1),AND(J5764=1,I5764="SBJ"),AND(J5764=1,I5764=0)),"?IN_FOCUS",IF(J5764&lt;=2,"?ACTIVATED",IF(J5764&lt;&gt;"","?FAMILIAR",IF(F5764="NEW",IF(ISNA(VLOOKUP(E5764,#REF!,1,FALSE())),"?TYPE_IDENTIFIABLE","?REFERENTIAL"),"_")))))</f>
        <v> </v>
      </c>
      <c r="H5764" s="25" t="str">
        <f>IF(J5764&lt;&gt;1,"",IF(I5764="SBJ","CB","?"))</f>
        <v> </v>
      </c>
      <c r="I5764" s="26" t="str">
        <f>IF(OR(E5764="",E5764="!!!",F5764="NEW"),"",INDEX(B5763:B$2,-1+SUMPRODUCT(MAX(ROW(E5763:E$2)*(E5764=E5763:E$2)))))</f>
        <v> </v>
      </c>
      <c r="J5764" s="26" t="str">
        <f>IF(OR(E5764="",E5764="!!!",F5764="NEW"),"",COUNTBLANK(OFFSET(A$1,,,SUMPRODUCT(MAX(ROW(E$2:E5764)*(E5764=E$2:E5764)))))-COUNTBLANK(OFFSET(A$1,,,SUMPRODUCT(MAX(ROW(E$1:E5763)*(E2=E$1:E5763))))))</f>
        <v> </v>
      </c>
      <c r="K5764" s="26" t="str">
        <f>IF(OR(E5764="",E5764="!!!",F5764="NEW"),"",INDEX(J$1:J5763,SUMPRODUCT(MAX(ROW(E$1:E5763)*(E5764=E$1:E5763)))))</f>
        <v> </v>
      </c>
      <c r="L5764" s="27"/>
    </row>
    <row r="5765" spans="1:12">
      <c r="A5765" s="20" t="s">
        <v>2751</v>
      </c>
      <c r="E5765" s="22">
        <f>IF(D5765="?OLD","!!!","")</f>
        <v/>
      </c>
      <c r="F5765" s="23" t="str">
        <f>IF(OR(E5765="",E5765="!!!"),"",IF(NOT(ISNA(VLOOKUP(E5765,E$1:E5764,1,FALSE()))),"OLD",IF(AND(E5765&lt;&gt;"",E5765&lt;&gt;"!!!"),"NEW","")))</f>
        <v> </v>
      </c>
      <c r="G5765" s="24" t="str">
        <f>IF(OR(E5765="",E5765="!!!"),"",IF(OR(J5765=0,AND(J5765=1,K5765=1),AND(J5765=1,I5765="SBJ"),AND(J5765=1,I5765=0)),"?IN_FOCUS",IF(J5765&lt;=2,"?ACTIVATED",IF(J5765&lt;&gt;"","?FAMILIAR",IF(F5765="NEW",IF(ISNA(VLOOKUP(E5765,#REF!,1,FALSE())),"?TYPE_IDENTIFIABLE","?REFERENTIAL"),"_")))))</f>
        <v> </v>
      </c>
      <c r="H5765" s="25" t="str">
        <f>IF(J5765&lt;&gt;1,"",IF(I5765="SBJ","CB","?"))</f>
        <v> </v>
      </c>
      <c r="I5765" s="26" t="str">
        <f>IF(OR(E5765="",E5765="!!!",F5765="NEW"),"",INDEX(B5764:B$2,-1+SUMPRODUCT(MAX(ROW(E5764:E$2)*(E5765=E5764:E$2)))))</f>
        <v> </v>
      </c>
      <c r="J5765" s="26" t="str">
        <f>IF(OR(E5765="",E5765="!!!",F5765="NEW"),"",COUNTBLANK(OFFSET(A$1,,,SUMPRODUCT(MAX(ROW(E$2:E5765)*(E5765=E$2:E5765)))))-COUNTBLANK(OFFSET(A$1,,,SUMPRODUCT(MAX(ROW(E$1:E5764)*(E2=E$1:E5764))))))</f>
        <v> </v>
      </c>
      <c r="K5765" s="26" t="str">
        <f>IF(OR(E5765="",E5765="!!!",F5765="NEW"),"",INDEX(J$1:J5764,SUMPRODUCT(MAX(ROW(E$1:E5764)*(E5765=E$1:E5764)))))</f>
        <v> </v>
      </c>
      <c r="L5765" s="27"/>
    </row>
    <row r="5766" spans="1:12">
      <c r="A5766" s="20" t="s">
        <v>2752</v>
      </c>
      <c r="B5766" s="21" t="s">
        <v>2000</v>
      </c>
      <c r="C5766" s="21" t="s">
        <v>1232</v>
      </c>
      <c r="E5766" s="22">
        <f>IF(D5766="?OLD","!!!","")</f>
        <v/>
      </c>
      <c r="F5766" s="23" t="str">
        <f>IF(OR(E5766="",E5766="!!!"),"",IF(NOT(ISNA(VLOOKUP(E5766,E$1:E5765,1,FALSE()))),"OLD",IF(AND(E5766&lt;&gt;"",E5766&lt;&gt;"!!!"),"NEW","")))</f>
        <v> </v>
      </c>
      <c r="G5766" s="24" t="str">
        <f>IF(OR(E5766="",E5766="!!!"),"",IF(OR(J5766=0,AND(J5766=1,K5766=1),AND(J5766=1,I5766="SBJ"),AND(J5766=1,I5766=0)),"?IN_FOCUS",IF(J5766&lt;=2,"?ACTIVATED",IF(J5766&lt;&gt;"","?FAMILIAR",IF(F5766="NEW",IF(ISNA(VLOOKUP(E5766,#REF!,1,FALSE())),"?TYPE_IDENTIFIABLE","?REFERENTIAL"),"_")))))</f>
        <v> </v>
      </c>
      <c r="H5766" s="25" t="str">
        <f>IF(J5766&lt;&gt;1,"",IF(I5766="SBJ","CB","?"))</f>
        <v> </v>
      </c>
      <c r="I5766" s="26" t="str">
        <f>IF(OR(E5766="",E5766="!!!",F5766="NEW"),"",INDEX(B5765:B$2,-1+SUMPRODUCT(MAX(ROW(E5765:E$2)*(E5766=E5765:E$2)))))</f>
        <v> </v>
      </c>
      <c r="J5766" s="26" t="str">
        <f>IF(OR(E5766="",E5766="!!!",F5766="NEW"),"",COUNTBLANK(OFFSET(A$1,,,SUMPRODUCT(MAX(ROW(E$2:E5766)*(E5766=E$2:E5766)))))-COUNTBLANK(OFFSET(A$1,,,SUMPRODUCT(MAX(ROW(E$1:E5765)*(E2=E$1:E5765))))))</f>
        <v> </v>
      </c>
      <c r="K5766" s="26" t="str">
        <f>IF(OR(E5766="",E5766="!!!",F5766="NEW"),"",INDEX(J$1:J5765,SUMPRODUCT(MAX(ROW(E$1:E5765)*(E5766=E$1:E5765)))))</f>
        <v> </v>
      </c>
      <c r="L5766" s="27"/>
    </row>
    <row r="5767" spans="1:12">
      <c r="A5767" s="20" t="s">
        <v>2753</v>
      </c>
      <c r="E5767" s="22">
        <f>IF(D5767="?OLD","!!!","")</f>
        <v/>
      </c>
      <c r="F5767" s="23" t="str">
        <f>IF(OR(E5767="",E5767="!!!"),"",IF(NOT(ISNA(VLOOKUP(E5767,E$1:E5766,1,FALSE()))),"OLD",IF(AND(E5767&lt;&gt;"",E5767&lt;&gt;"!!!"),"NEW","")))</f>
        <v> </v>
      </c>
      <c r="G5767" s="24" t="str">
        <f>IF(OR(E5767="",E5767="!!!"),"",IF(OR(J5767=0,AND(J5767=1,K5767=1),AND(J5767=1,I5767="SBJ"),AND(J5767=1,I5767=0)),"?IN_FOCUS",IF(J5767&lt;=2,"?ACTIVATED",IF(J5767&lt;&gt;"","?FAMILIAR",IF(F5767="NEW",IF(ISNA(VLOOKUP(E5767,#REF!,1,FALSE())),"?TYPE_IDENTIFIABLE","?REFERENTIAL"),"_")))))</f>
        <v> </v>
      </c>
      <c r="H5767" s="25" t="str">
        <f>IF(J5767&lt;&gt;1,"",IF(I5767="SBJ","CB","?"))</f>
        <v> </v>
      </c>
      <c r="I5767" s="26" t="str">
        <f>IF(OR(E5767="",E5767="!!!",F5767="NEW"),"",INDEX(B5766:B$2,-1+SUMPRODUCT(MAX(ROW(E5766:E$2)*(E5767=E5766:E$2)))))</f>
        <v> </v>
      </c>
      <c r="J5767" s="26" t="str">
        <f>IF(OR(E5767="",E5767="!!!",F5767="NEW"),"",COUNTBLANK(OFFSET(A$1,,,SUMPRODUCT(MAX(ROW(E$2:E5767)*(E5767=E$2:E5767)))))-COUNTBLANK(OFFSET(A$1,,,SUMPRODUCT(MAX(ROW(E$1:E5766)*(E2=E$1:E5766))))))</f>
        <v> </v>
      </c>
      <c r="K5767" s="26" t="str">
        <f>IF(OR(E5767="",E5767="!!!",F5767="NEW"),"",INDEX(J$1:J5766,SUMPRODUCT(MAX(ROW(E$1:E5766)*(E5767=E$1:E5766)))))</f>
        <v> </v>
      </c>
      <c r="L5767" s="27"/>
    </row>
    <row r="5768" spans="1:12">
      <c r="A5768" s="20" t="s">
        <v>1334</v>
      </c>
      <c r="E5768" s="22">
        <f>IF(D5768="?OLD","!!!","")</f>
        <v/>
      </c>
      <c r="F5768" s="23" t="str">
        <f>IF(OR(E5768="",E5768="!!!"),"",IF(NOT(ISNA(VLOOKUP(E5768,E$1:E5767,1,FALSE()))),"OLD",IF(AND(E5768&lt;&gt;"",E5768&lt;&gt;"!!!"),"NEW","")))</f>
        <v> </v>
      </c>
      <c r="G5768" s="24" t="str">
        <f>IF(OR(E5768="",E5768="!!!"),"",IF(OR(J5768=0,AND(J5768=1,K5768=1),AND(J5768=1,I5768="SBJ"),AND(J5768=1,I5768=0)),"?IN_FOCUS",IF(J5768&lt;=2,"?ACTIVATED",IF(J5768&lt;&gt;"","?FAMILIAR",IF(F5768="NEW",IF(ISNA(VLOOKUP(E5768,#REF!,1,FALSE())),"?TYPE_IDENTIFIABLE","?REFERENTIAL"),"_")))))</f>
        <v> </v>
      </c>
      <c r="H5768" s="25" t="str">
        <f>IF(J5768&lt;&gt;1,"",IF(I5768="SBJ","CB","?"))</f>
        <v> </v>
      </c>
      <c r="I5768" s="26" t="str">
        <f>IF(OR(E5768="",E5768="!!!",F5768="NEW"),"",INDEX(B5767:B$2,-1+SUMPRODUCT(MAX(ROW(E5767:E$2)*(E5768=E5767:E$2)))))</f>
        <v> </v>
      </c>
      <c r="J5768" s="26" t="str">
        <f>IF(OR(E5768="",E5768="!!!",F5768="NEW"),"",COUNTBLANK(OFFSET(A$1,,,SUMPRODUCT(MAX(ROW(E$2:E5768)*(E5768=E$2:E5768)))))-COUNTBLANK(OFFSET(A$1,,,SUMPRODUCT(MAX(ROW(E$1:E5767)*(E2=E$1:E5767))))))</f>
        <v> </v>
      </c>
      <c r="K5768" s="26" t="str">
        <f>IF(OR(E5768="",E5768="!!!",F5768="NEW"),"",INDEX(J$1:J5767,SUMPRODUCT(MAX(ROW(E$1:E5767)*(E5768=E$1:E5767)))))</f>
        <v> </v>
      </c>
      <c r="L5768" s="27"/>
    </row>
    <row r="5769" spans="1:12">
      <c r="A5769" s="20" t="s">
        <v>818</v>
      </c>
      <c r="E5769" s="22">
        <f>IF(D5769="?OLD","!!!","")</f>
        <v/>
      </c>
      <c r="F5769" s="23" t="str">
        <f>IF(OR(E5769="",E5769="!!!"),"",IF(NOT(ISNA(VLOOKUP(E5769,E$1:E5768,1,FALSE()))),"OLD",IF(AND(E5769&lt;&gt;"",E5769&lt;&gt;"!!!"),"NEW","")))</f>
        <v> </v>
      </c>
      <c r="G5769" s="24" t="str">
        <f>IF(OR(E5769="",E5769="!!!"),"",IF(OR(J5769=0,AND(J5769=1,K5769=1),AND(J5769=1,I5769="SBJ"),AND(J5769=1,I5769=0)),"?IN_FOCUS",IF(J5769&lt;=2,"?ACTIVATED",IF(J5769&lt;&gt;"","?FAMILIAR",IF(F5769="NEW",IF(ISNA(VLOOKUP(E5769,#REF!,1,FALSE())),"?TYPE_IDENTIFIABLE","?REFERENTIAL"),"_")))))</f>
        <v> </v>
      </c>
      <c r="H5769" s="25" t="str">
        <f>IF(J5769&lt;&gt;1,"",IF(I5769="SBJ","CB","?"))</f>
        <v> </v>
      </c>
      <c r="I5769" s="26" t="str">
        <f>IF(OR(E5769="",E5769="!!!",F5769="NEW"),"",INDEX(B5768:B$2,-1+SUMPRODUCT(MAX(ROW(E5768:E$2)*(E5769=E5768:E$2)))))</f>
        <v> </v>
      </c>
      <c r="J5769" s="26" t="str">
        <f>IF(OR(E5769="",E5769="!!!",F5769="NEW"),"",COUNTBLANK(OFFSET(A$1,,,SUMPRODUCT(MAX(ROW(E$2:E5769)*(E5769=E$2:E5769)))))-COUNTBLANK(OFFSET(A$1,,,SUMPRODUCT(MAX(ROW(E$1:E5768)*(E2=E$1:E5768))))))</f>
        <v> </v>
      </c>
      <c r="K5769" s="26" t="str">
        <f>IF(OR(E5769="",E5769="!!!",F5769="NEW"),"",INDEX(J$1:J5768,SUMPRODUCT(MAX(ROW(E$1:E5768)*(E5769=E$1:E5768)))))</f>
        <v> </v>
      </c>
      <c r="L5769" s="27"/>
    </row>
    <row r="5770" spans="1:12">
      <c r="A5770" s="20"/>
    </row>
    <row r="5771" spans="1:12">
      <c r="A5771" s="20" t="s">
        <v>2754</v>
      </c>
    </row>
    <row r="5772" spans="1:12">
      <c r="A5772" s="20" t="s">
        <v>1357</v>
      </c>
      <c r="B5772" s="21" t="s">
        <v>1194</v>
      </c>
      <c r="C5772" s="21" t="s">
        <v>1238</v>
      </c>
      <c r="D5772" s="21" t="s">
        <v>1180</v>
      </c>
      <c r="E5772" s="22">
        <f>IF(D5772="?OLD","!!!","")</f>
        <v/>
      </c>
      <c r="F5772" s="23" t="str">
        <f>IF(OR(E5772="",E5772="!!!"),"",IF(NOT(ISNA(VLOOKUP(E5772,E$1:E5771,1,FALSE()))),"OLD",IF(AND(E5772&lt;&gt;"",E5772&lt;&gt;"!!!"),"NEW","")))</f>
        <v> </v>
      </c>
      <c r="G5772" s="24" t="str">
        <f>IF(OR(E5772="",E5772="!!!"),"",IF(OR(J5772=0,AND(J5772=1,K5772=1),AND(J5772=1,I5772="SBJ"),AND(J5772=1,I5772=0)),"?IN_FOCUS",IF(J5772&lt;=2,"?ACTIVATED",IF(J5772&lt;&gt;"","?FAMILIAR",IF(F5772="NEW",IF(ISNA(VLOOKUP(E5772,#REF!,1,FALSE())),"?TYPE_IDENTIFIABLE","?REFERENTIAL"),"_")))))</f>
        <v> </v>
      </c>
      <c r="H5772" s="25" t="str">
        <f>IF(J5772&lt;&gt;1,"",IF(I5772="SBJ","CB","?"))</f>
        <v> </v>
      </c>
      <c r="I5772" s="26" t="str">
        <f>IF(OR(E5772="",E5772="!!!",F5772="NEW"),"",INDEX(B5771:B$2,-1+SUMPRODUCT(MAX(ROW(E5771:E$2)*(E5772=E5771:E$2)))))</f>
        <v> </v>
      </c>
      <c r="J5772" s="26" t="str">
        <f>IF(OR(E5772="",E5772="!!!",F5772="NEW"),"",COUNTBLANK(OFFSET(A$1,,,SUMPRODUCT(MAX(ROW(E$2:E5772)*(E5772=E$2:E5772)))))-COUNTBLANK(OFFSET(A$1,,,SUMPRODUCT(MAX(ROW(E$1:E5771)*(E2=E$1:E5771))))))</f>
        <v> </v>
      </c>
      <c r="K5772" s="26" t="str">
        <f>IF(OR(E5772="",E5772="!!!",F5772="NEW"),"",INDEX(J$1:J5771,SUMPRODUCT(MAX(ROW(E$1:E5771)*(E5772=E$1:E5771)))))</f>
        <v> </v>
      </c>
      <c r="L5772" s="27"/>
    </row>
    <row r="5773" spans="1:12">
      <c r="A5773" s="20" t="s">
        <v>1006</v>
      </c>
      <c r="E5773" s="22">
        <f>IF(D5773="?OLD","!!!","")</f>
        <v/>
      </c>
      <c r="F5773" s="23" t="str">
        <f>IF(OR(E5773="",E5773="!!!"),"",IF(NOT(ISNA(VLOOKUP(E5773,E$1:E5772,1,FALSE()))),"OLD",IF(AND(E5773&lt;&gt;"",E5773&lt;&gt;"!!!"),"NEW","")))</f>
        <v> </v>
      </c>
      <c r="G5773" s="24" t="str">
        <f>IF(OR(E5773="",E5773="!!!"),"",IF(OR(J5773=0,AND(J5773=1,K5773=1),AND(J5773=1,I5773="SBJ"),AND(J5773=1,I5773=0)),"?IN_FOCUS",IF(J5773&lt;=2,"?ACTIVATED",IF(J5773&lt;&gt;"","?FAMILIAR",IF(F5773="NEW",IF(ISNA(VLOOKUP(E5773,#REF!,1,FALSE())),"?TYPE_IDENTIFIABLE","?REFERENTIAL"),"_")))))</f>
        <v> </v>
      </c>
      <c r="H5773" s="25" t="str">
        <f>IF(J5773&lt;&gt;1,"",IF(I5773="SBJ","CB","?"))</f>
        <v> </v>
      </c>
      <c r="I5773" s="26" t="str">
        <f>IF(OR(E5773="",E5773="!!!",F5773="NEW"),"",INDEX(B5772:B$2,-1+SUMPRODUCT(MAX(ROW(E5772:E$2)*(E5773=E5772:E$2)))))</f>
        <v> </v>
      </c>
      <c r="J5773" s="26" t="str">
        <f>IF(OR(E5773="",E5773="!!!",F5773="NEW"),"",COUNTBLANK(OFFSET(A$1,,,SUMPRODUCT(MAX(ROW(E$2:E5773)*(E5773=E$2:E5773)))))-COUNTBLANK(OFFSET(A$1,,,SUMPRODUCT(MAX(ROW(E$1:E5772)*(E2=E$1:E5772))))))</f>
        <v> </v>
      </c>
      <c r="K5773" s="26" t="str">
        <f>IF(OR(E5773="",E5773="!!!",F5773="NEW"),"",INDEX(J$1:J5772,SUMPRODUCT(MAX(ROW(E$1:E5772)*(E5773=E$1:E5772)))))</f>
        <v> </v>
      </c>
      <c r="L5773" s="27"/>
    </row>
    <row r="5774" spans="1:12">
      <c r="A5774" s="20" t="s">
        <v>1314</v>
      </c>
      <c r="E5774" s="22">
        <f>IF(D5774="?OLD","!!!","")</f>
        <v/>
      </c>
      <c r="F5774" s="23" t="str">
        <f>IF(OR(E5774="",E5774="!!!"),"",IF(NOT(ISNA(VLOOKUP(E5774,E$1:E5773,1,FALSE()))),"OLD",IF(AND(E5774&lt;&gt;"",E5774&lt;&gt;"!!!"),"NEW","")))</f>
        <v> </v>
      </c>
      <c r="G5774" s="24" t="str">
        <f>IF(OR(E5774="",E5774="!!!"),"",IF(OR(J5774=0,AND(J5774=1,K5774=1),AND(J5774=1,I5774="SBJ"),AND(J5774=1,I5774=0)),"?IN_FOCUS",IF(J5774&lt;=2,"?ACTIVATED",IF(J5774&lt;&gt;"","?FAMILIAR",IF(F5774="NEW",IF(ISNA(VLOOKUP(E5774,#REF!,1,FALSE())),"?TYPE_IDENTIFIABLE","?REFERENTIAL"),"_")))))</f>
        <v> </v>
      </c>
      <c r="H5774" s="25" t="str">
        <f>IF(J5774&lt;&gt;1,"",IF(I5774="SBJ","CB","?"))</f>
        <v> </v>
      </c>
      <c r="I5774" s="26" t="str">
        <f>IF(OR(E5774="",E5774="!!!",F5774="NEW"),"",INDEX(B5773:B$2,-1+SUMPRODUCT(MAX(ROW(E5773:E$2)*(E5774=E5773:E$2)))))</f>
        <v> </v>
      </c>
      <c r="J5774" s="26" t="str">
        <f>IF(OR(E5774="",E5774="!!!",F5774="NEW"),"",COUNTBLANK(OFFSET(A$1,,,SUMPRODUCT(MAX(ROW(E$2:E5774)*(E5774=E$2:E5774)))))-COUNTBLANK(OFFSET(A$1,,,SUMPRODUCT(MAX(ROW(E$1:E5773)*(E2=E$1:E5773))))))</f>
        <v> </v>
      </c>
      <c r="K5774" s="26" t="str">
        <f>IF(OR(E5774="",E5774="!!!",F5774="NEW"),"",INDEX(J$1:J5773,SUMPRODUCT(MAX(ROW(E$1:E5773)*(E5774=E$1:E5773)))))</f>
        <v> </v>
      </c>
      <c r="L5774" s="27"/>
    </row>
    <row r="5775" spans="1:12">
      <c r="A5775" s="20" t="s">
        <v>1537</v>
      </c>
      <c r="E5775" s="22">
        <f>IF(D5775="?OLD","!!!","")</f>
        <v/>
      </c>
      <c r="F5775" s="23" t="str">
        <f>IF(OR(E5775="",E5775="!!!"),"",IF(NOT(ISNA(VLOOKUP(E5775,E$1:E5774,1,FALSE()))),"OLD",IF(AND(E5775&lt;&gt;"",E5775&lt;&gt;"!!!"),"NEW","")))</f>
        <v> </v>
      </c>
      <c r="G5775" s="24" t="str">
        <f>IF(OR(E5775="",E5775="!!!"),"",IF(OR(J5775=0,AND(J5775=1,K5775=1),AND(J5775=1,I5775="SBJ"),AND(J5775=1,I5775=0)),"?IN_FOCUS",IF(J5775&lt;=2,"?ACTIVATED",IF(J5775&lt;&gt;"","?FAMILIAR",IF(F5775="NEW",IF(ISNA(VLOOKUP(E5775,#REF!,1,FALSE())),"?TYPE_IDENTIFIABLE","?REFERENTIAL"),"_")))))</f>
        <v> </v>
      </c>
      <c r="H5775" s="25" t="str">
        <f>IF(J5775&lt;&gt;1,"",IF(I5775="SBJ","CB","?"))</f>
        <v> </v>
      </c>
      <c r="I5775" s="26" t="str">
        <f>IF(OR(E5775="",E5775="!!!",F5775="NEW"),"",INDEX(B5774:B$2,-1+SUMPRODUCT(MAX(ROW(E5774:E$2)*(E5775=E5774:E$2)))))</f>
        <v> </v>
      </c>
      <c r="J5775" s="26" t="str">
        <f>IF(OR(E5775="",E5775="!!!",F5775="NEW"),"",COUNTBLANK(OFFSET(A$1,,,SUMPRODUCT(MAX(ROW(E$2:E5775)*(E5775=E$2:E5775)))))-COUNTBLANK(OFFSET(A$1,,,SUMPRODUCT(MAX(ROW(E$1:E5774)*(E2=E$1:E5774))))))</f>
        <v> </v>
      </c>
      <c r="K5775" s="26" t="str">
        <f>IF(OR(E5775="",E5775="!!!",F5775="NEW"),"",INDEX(J$1:J5774,SUMPRODUCT(MAX(ROW(E$1:E5774)*(E5775=E$1:E5774)))))</f>
        <v> </v>
      </c>
      <c r="L5775" s="27"/>
    </row>
    <row r="5776" spans="1:12">
      <c r="A5776" s="20" t="s">
        <v>1495</v>
      </c>
      <c r="E5776" s="22">
        <f>IF(D5776="?OLD","!!!","")</f>
        <v/>
      </c>
      <c r="F5776" s="23" t="str">
        <f>IF(OR(E5776="",E5776="!!!"),"",IF(NOT(ISNA(VLOOKUP(E5776,E$1:E5775,1,FALSE()))),"OLD",IF(AND(E5776&lt;&gt;"",E5776&lt;&gt;"!!!"),"NEW","")))</f>
        <v> </v>
      </c>
      <c r="G5776" s="24" t="str">
        <f>IF(OR(E5776="",E5776="!!!"),"",IF(OR(J5776=0,AND(J5776=1,K5776=1),AND(J5776=1,I5776="SBJ"),AND(J5776=1,I5776=0)),"?IN_FOCUS",IF(J5776&lt;=2,"?ACTIVATED",IF(J5776&lt;&gt;"","?FAMILIAR",IF(F5776="NEW",IF(ISNA(VLOOKUP(E5776,#REF!,1,FALSE())),"?TYPE_IDENTIFIABLE","?REFERENTIAL"),"_")))))</f>
        <v> </v>
      </c>
      <c r="H5776" s="25" t="str">
        <f>IF(J5776&lt;&gt;1,"",IF(I5776="SBJ","CB","?"))</f>
        <v> </v>
      </c>
      <c r="I5776" s="26" t="str">
        <f>IF(OR(E5776="",E5776="!!!",F5776="NEW"),"",INDEX(B5775:B$2,-1+SUMPRODUCT(MAX(ROW(E5775:E$2)*(E5776=E5775:E$2)))))</f>
        <v> </v>
      </c>
      <c r="J5776" s="26" t="str">
        <f>IF(OR(E5776="",E5776="!!!",F5776="NEW"),"",COUNTBLANK(OFFSET(A$1,,,SUMPRODUCT(MAX(ROW(E$2:E5776)*(E5776=E$2:E5776)))))-COUNTBLANK(OFFSET(A$1,,,SUMPRODUCT(MAX(ROW(E$1:E5775)*(E2=E$1:E5775))))))</f>
        <v> </v>
      </c>
      <c r="K5776" s="26" t="str">
        <f>IF(OR(E5776="",E5776="!!!",F5776="NEW"),"",INDEX(J$1:J5775,SUMPRODUCT(MAX(ROW(E$1:E5775)*(E5776=E$1:E5775)))))</f>
        <v> </v>
      </c>
      <c r="L5776" s="27"/>
    </row>
    <row r="5777" spans="1:12">
      <c r="A5777" s="20" t="s">
        <v>1190</v>
      </c>
      <c r="B5777" s="21" t="s">
        <v>1204</v>
      </c>
      <c r="C5777" s="21" t="s">
        <v>1188</v>
      </c>
      <c r="D5777" s="21" t="s">
        <v>1180</v>
      </c>
      <c r="E5777" s="22">
        <f>IF(D5777="?OLD","!!!","")</f>
        <v/>
      </c>
      <c r="F5777" s="23" t="str">
        <f>IF(OR(E5777="",E5777="!!!"),"",IF(NOT(ISNA(VLOOKUP(E5777,E$1:E5776,1,FALSE()))),"OLD",IF(AND(E5777&lt;&gt;"",E5777&lt;&gt;"!!!"),"NEW","")))</f>
        <v> </v>
      </c>
      <c r="G5777" s="24" t="str">
        <f>IF(OR(E5777="",E5777="!!!"),"",IF(OR(J5777=0,AND(J5777=1,K5777=1),AND(J5777=1,I5777="SBJ"),AND(J5777=1,I5777=0)),"?IN_FOCUS",IF(J5777&lt;=2,"?ACTIVATED",IF(J5777&lt;&gt;"","?FAMILIAR",IF(F5777="NEW",IF(ISNA(VLOOKUP(E5777,#REF!,1,FALSE())),"?TYPE_IDENTIFIABLE","?REFERENTIAL"),"_")))))</f>
        <v> </v>
      </c>
      <c r="H5777" s="25" t="str">
        <f>IF(J5777&lt;&gt;1,"",IF(I5777="SBJ","CB","?"))</f>
        <v> </v>
      </c>
      <c r="I5777" s="26" t="str">
        <f>IF(OR(E5777="",E5777="!!!",F5777="NEW"),"",INDEX(B5776:B$2,-1+SUMPRODUCT(MAX(ROW(E5776:E$2)*(E5777=E5776:E$2)))))</f>
        <v> </v>
      </c>
      <c r="J5777" s="26" t="str">
        <f>IF(OR(E5777="",E5777="!!!",F5777="NEW"),"",COUNTBLANK(OFFSET(A$1,,,SUMPRODUCT(MAX(ROW(E$2:E5777)*(E5777=E$2:E5777)))))-COUNTBLANK(OFFSET(A$1,,,SUMPRODUCT(MAX(ROW(E$1:E5776)*(E2=E$1:E5776))))))</f>
        <v> </v>
      </c>
      <c r="K5777" s="26" t="str">
        <f>IF(OR(E5777="",E5777="!!!",F5777="NEW"),"",INDEX(J$1:J5776,SUMPRODUCT(MAX(ROW(E$1:E5776)*(E5777=E$1:E5776)))))</f>
        <v> </v>
      </c>
      <c r="L5777" s="27"/>
    </row>
    <row r="5778" spans="1:12">
      <c r="A5778" s="20" t="s">
        <v>1185</v>
      </c>
      <c r="E5778" s="22">
        <f>IF(D5778="?OLD","!!!","")</f>
        <v/>
      </c>
      <c r="F5778" s="23" t="str">
        <f>IF(OR(E5778="",E5778="!!!"),"",IF(NOT(ISNA(VLOOKUP(E5778,E$1:E5777,1,FALSE()))),"OLD",IF(AND(E5778&lt;&gt;"",E5778&lt;&gt;"!!!"),"NEW","")))</f>
        <v> </v>
      </c>
      <c r="G5778" s="24" t="str">
        <f>IF(OR(E5778="",E5778="!!!"),"",IF(OR(J5778=0,AND(J5778=1,K5778=1),AND(J5778=1,I5778="SBJ"),AND(J5778=1,I5778=0)),"?IN_FOCUS",IF(J5778&lt;=2,"?ACTIVATED",IF(J5778&lt;&gt;"","?FAMILIAR",IF(F5778="NEW",IF(ISNA(VLOOKUP(E5778,#REF!,1,FALSE())),"?TYPE_IDENTIFIABLE","?REFERENTIAL"),"_")))))</f>
        <v> </v>
      </c>
      <c r="H5778" s="25" t="str">
        <f>IF(J5778&lt;&gt;1,"",IF(I5778="SBJ","CB","?"))</f>
        <v> </v>
      </c>
      <c r="I5778" s="26" t="str">
        <f>IF(OR(E5778="",E5778="!!!",F5778="NEW"),"",INDEX(B5777:B$2,-1+SUMPRODUCT(MAX(ROW(E5777:E$2)*(E5778=E5777:E$2)))))</f>
        <v> </v>
      </c>
      <c r="J5778" s="26" t="str">
        <f>IF(OR(E5778="",E5778="!!!",F5778="NEW"),"",COUNTBLANK(OFFSET(A$1,,,SUMPRODUCT(MAX(ROW(E$2:E5778)*(E5778=E$2:E5778)))))-COUNTBLANK(OFFSET(A$1,,,SUMPRODUCT(MAX(ROW(E$1:E5777)*(E2=E$1:E5777))))))</f>
        <v> </v>
      </c>
      <c r="K5778" s="26" t="str">
        <f>IF(OR(E5778="",E5778="!!!",F5778="NEW"),"",INDEX(J$1:J5777,SUMPRODUCT(MAX(ROW(E$1:E5777)*(E5778=E$1:E5777)))))</f>
        <v> </v>
      </c>
      <c r="L5778" s="27"/>
    </row>
    <row r="5779" spans="1:12">
      <c r="A5779" s="20" t="s">
        <v>1495</v>
      </c>
      <c r="B5779" s="21" t="s">
        <v>1306</v>
      </c>
      <c r="E5779" s="22">
        <f>IF(D5779="?OLD","!!!","")</f>
        <v/>
      </c>
      <c r="F5779" s="23" t="str">
        <f>IF(OR(E5779="",E5779="!!!"),"",IF(NOT(ISNA(VLOOKUP(E5779,E$1:E5778,1,FALSE()))),"OLD",IF(AND(E5779&lt;&gt;"",E5779&lt;&gt;"!!!"),"NEW","")))</f>
        <v> </v>
      </c>
      <c r="G5779" s="24" t="str">
        <f>IF(OR(E5779="",E5779="!!!"),"",IF(OR(J5779=0,AND(J5779=1,K5779=1),AND(J5779=1,I5779="SBJ"),AND(J5779=1,I5779=0)),"?IN_FOCUS",IF(J5779&lt;=2,"?ACTIVATED",IF(J5779&lt;&gt;"","?FAMILIAR",IF(F5779="NEW",IF(ISNA(VLOOKUP(E5779,#REF!,1,FALSE())),"?TYPE_IDENTIFIABLE","?REFERENTIAL"),"_")))))</f>
        <v> </v>
      </c>
      <c r="H5779" s="25" t="str">
        <f>IF(J5779&lt;&gt;1,"",IF(I5779="SBJ","CB","?"))</f>
        <v> </v>
      </c>
      <c r="I5779" s="26" t="str">
        <f>IF(OR(E5779="",E5779="!!!",F5779="NEW"),"",INDEX(B5778:B$2,-1+SUMPRODUCT(MAX(ROW(E5778:E$2)*(E5779=E5778:E$2)))))</f>
        <v> </v>
      </c>
      <c r="J5779" s="26" t="str">
        <f>IF(OR(E5779="",E5779="!!!",F5779="NEW"),"",COUNTBLANK(OFFSET(A$1,,,SUMPRODUCT(MAX(ROW(E$2:E5779)*(E5779=E$2:E5779)))))-COUNTBLANK(OFFSET(A$1,,,SUMPRODUCT(MAX(ROW(E$1:E5778)*(E2=E$1:E5778))))))</f>
        <v> </v>
      </c>
      <c r="K5779" s="26" t="str">
        <f>IF(OR(E5779="",E5779="!!!",F5779="NEW"),"",INDEX(J$1:J5778,SUMPRODUCT(MAX(ROW(E$1:E5778)*(E5779=E$1:E5778)))))</f>
        <v> </v>
      </c>
      <c r="L5779" s="27"/>
    </row>
    <row r="5780" spans="1:12">
      <c r="A5780" s="20" t="s">
        <v>427</v>
      </c>
      <c r="B5780" s="21" t="s">
        <v>1304</v>
      </c>
      <c r="C5780" s="21" t="s">
        <v>1238</v>
      </c>
      <c r="D5780" s="21" t="s">
        <v>1180</v>
      </c>
      <c r="E5780" s="22">
        <f>IF(D5780="?OLD","!!!","")</f>
        <v/>
      </c>
      <c r="F5780" s="23" t="str">
        <f>IF(OR(E5780="",E5780="!!!"),"",IF(NOT(ISNA(VLOOKUP(E5780,E$1:E5779,1,FALSE()))),"OLD",IF(AND(E5780&lt;&gt;"",E5780&lt;&gt;"!!!"),"NEW","")))</f>
        <v> </v>
      </c>
      <c r="G5780" s="24" t="str">
        <f>IF(OR(E5780="",E5780="!!!"),"",IF(OR(J5780=0,AND(J5780=1,K5780=1),AND(J5780=1,I5780="SBJ"),AND(J5780=1,I5780=0)),"?IN_FOCUS",IF(J5780&lt;=2,"?ACTIVATED",IF(J5780&lt;&gt;"","?FAMILIAR",IF(F5780="NEW",IF(ISNA(VLOOKUP(E5780,#REF!,1,FALSE())),"?TYPE_IDENTIFIABLE","?REFERENTIAL"),"_")))))</f>
        <v> </v>
      </c>
      <c r="H5780" s="25" t="str">
        <f>IF(J5780&lt;&gt;1,"",IF(I5780="SBJ","CB","?"))</f>
        <v> </v>
      </c>
      <c r="I5780" s="26" t="str">
        <f>IF(OR(E5780="",E5780="!!!",F5780="NEW"),"",INDEX(B5779:B$2,-1+SUMPRODUCT(MAX(ROW(E5779:E$2)*(E5780=E5779:E$2)))))</f>
        <v> </v>
      </c>
      <c r="J5780" s="26" t="str">
        <f>IF(OR(E5780="",E5780="!!!",F5780="NEW"),"",COUNTBLANK(OFFSET(A$1,,,SUMPRODUCT(MAX(ROW(E$2:E5780)*(E5780=E$2:E5780)))))-COUNTBLANK(OFFSET(A$1,,,SUMPRODUCT(MAX(ROW(E$1:E5779)*(E2=E$1:E5779))))))</f>
        <v> </v>
      </c>
      <c r="K5780" s="26" t="str">
        <f>IF(OR(E5780="",E5780="!!!",F5780="NEW"),"",INDEX(J$1:J5779,SUMPRODUCT(MAX(ROW(E$1:E5779)*(E5780=E$1:E5779)))))</f>
        <v> </v>
      </c>
      <c r="L5780" s="27"/>
    </row>
    <row r="5781" spans="1:12">
      <c r="A5781" s="20" t="s">
        <v>1540</v>
      </c>
      <c r="E5781" s="22">
        <f>IF(D5781="?OLD","!!!","")</f>
        <v/>
      </c>
      <c r="F5781" s="23" t="str">
        <f>IF(OR(E5781="",E5781="!!!"),"",IF(NOT(ISNA(VLOOKUP(E5781,E$1:E5780,1,FALSE()))),"OLD",IF(AND(E5781&lt;&gt;"",E5781&lt;&gt;"!!!"),"NEW","")))</f>
        <v> </v>
      </c>
      <c r="G5781" s="24" t="str">
        <f>IF(OR(E5781="",E5781="!!!"),"",IF(OR(J5781=0,AND(J5781=1,K5781=1),AND(J5781=1,I5781="SBJ"),AND(J5781=1,I5781=0)),"?IN_FOCUS",IF(J5781&lt;=2,"?ACTIVATED",IF(J5781&lt;&gt;"","?FAMILIAR",IF(F5781="NEW",IF(ISNA(VLOOKUP(E5781,#REF!,1,FALSE())),"?TYPE_IDENTIFIABLE","?REFERENTIAL"),"_")))))</f>
        <v> </v>
      </c>
      <c r="H5781" s="25" t="str">
        <f>IF(J5781&lt;&gt;1,"",IF(I5781="SBJ","CB","?"))</f>
        <v> </v>
      </c>
      <c r="I5781" s="26" t="str">
        <f>IF(OR(E5781="",E5781="!!!",F5781="NEW"),"",INDEX(B5780:B$2,-1+SUMPRODUCT(MAX(ROW(E5780:E$2)*(E5781=E5780:E$2)))))</f>
        <v> </v>
      </c>
      <c r="J5781" s="26" t="str">
        <f>IF(OR(E5781="",E5781="!!!",F5781="NEW"),"",COUNTBLANK(OFFSET(A$1,,,SUMPRODUCT(MAX(ROW(E$2:E5781)*(E5781=E$2:E5781)))))-COUNTBLANK(OFFSET(A$1,,,SUMPRODUCT(MAX(ROW(E$1:E5780)*(E2=E$1:E5780))))))</f>
        <v> </v>
      </c>
      <c r="K5781" s="26" t="str">
        <f>IF(OR(E5781="",E5781="!!!",F5781="NEW"),"",INDEX(J$1:J5780,SUMPRODUCT(MAX(ROW(E$1:E5780)*(E5781=E$1:E5780)))))</f>
        <v> </v>
      </c>
      <c r="L5781" s="27"/>
    </row>
    <row r="5782" spans="1:12">
      <c r="A5782" s="20" t="s">
        <v>1185</v>
      </c>
      <c r="E5782" s="22">
        <f>IF(D5782="?OLD","!!!","")</f>
        <v/>
      </c>
      <c r="F5782" s="23" t="str">
        <f>IF(OR(E5782="",E5782="!!!"),"",IF(NOT(ISNA(VLOOKUP(E5782,E$1:E5781,1,FALSE()))),"OLD",IF(AND(E5782&lt;&gt;"",E5782&lt;&gt;"!!!"),"NEW","")))</f>
        <v> </v>
      </c>
      <c r="G5782" s="24" t="str">
        <f>IF(OR(E5782="",E5782="!!!"),"",IF(OR(J5782=0,AND(J5782=1,K5782=1),AND(J5782=1,I5782="SBJ"),AND(J5782=1,I5782=0)),"?IN_FOCUS",IF(J5782&lt;=2,"?ACTIVATED",IF(J5782&lt;&gt;"","?FAMILIAR",IF(F5782="NEW",IF(ISNA(VLOOKUP(E5782,#REF!,1,FALSE())),"?TYPE_IDENTIFIABLE","?REFERENTIAL"),"_")))))</f>
        <v> </v>
      </c>
      <c r="H5782" s="25" t="str">
        <f>IF(J5782&lt;&gt;1,"",IF(I5782="SBJ","CB","?"))</f>
        <v> </v>
      </c>
      <c r="I5782" s="26" t="str">
        <f>IF(OR(E5782="",E5782="!!!",F5782="NEW"),"",INDEX(B5781:B$2,-1+SUMPRODUCT(MAX(ROW(E5781:E$2)*(E5782=E5781:E$2)))))</f>
        <v> </v>
      </c>
      <c r="J5782" s="26" t="str">
        <f>IF(OR(E5782="",E5782="!!!",F5782="NEW"),"",COUNTBLANK(OFFSET(A$1,,,SUMPRODUCT(MAX(ROW(E$2:E5782)*(E5782=E$2:E5782)))))-COUNTBLANK(OFFSET(A$1,,,SUMPRODUCT(MAX(ROW(E$1:E5781)*(E2=E$1:E5781))))))</f>
        <v> </v>
      </c>
      <c r="K5782" s="26" t="str">
        <f>IF(OR(E5782="",E5782="!!!",F5782="NEW"),"",INDEX(J$1:J5781,SUMPRODUCT(MAX(ROW(E$1:E5781)*(E5782=E$1:E5781)))))</f>
        <v> </v>
      </c>
      <c r="L5782" s="27"/>
    </row>
    <row r="5783" spans="1:12">
      <c r="A5783" s="20" t="s">
        <v>1930</v>
      </c>
      <c r="E5783" s="22">
        <f>IF(D5783="?OLD","!!!","")</f>
        <v/>
      </c>
      <c r="F5783" s="23" t="str">
        <f>IF(OR(E5783="",E5783="!!!"),"",IF(NOT(ISNA(VLOOKUP(E5783,E$1:E5782,1,FALSE()))),"OLD",IF(AND(E5783&lt;&gt;"",E5783&lt;&gt;"!!!"),"NEW","")))</f>
        <v> </v>
      </c>
      <c r="G5783" s="24" t="str">
        <f>IF(OR(E5783="",E5783="!!!"),"",IF(OR(J5783=0,AND(J5783=1,K5783=1),AND(J5783=1,I5783="SBJ"),AND(J5783=1,I5783=0)),"?IN_FOCUS",IF(J5783&lt;=2,"?ACTIVATED",IF(J5783&lt;&gt;"","?FAMILIAR",IF(F5783="NEW",IF(ISNA(VLOOKUP(E5783,#REF!,1,FALSE())),"?TYPE_IDENTIFIABLE","?REFERENTIAL"),"_")))))</f>
        <v> </v>
      </c>
      <c r="H5783" s="25" t="str">
        <f>IF(J5783&lt;&gt;1,"",IF(I5783="SBJ","CB","?"))</f>
        <v> </v>
      </c>
      <c r="I5783" s="26" t="str">
        <f>IF(OR(E5783="",E5783="!!!",F5783="NEW"),"",INDEX(B5782:B$2,-1+SUMPRODUCT(MAX(ROW(E5782:E$2)*(E5783=E5782:E$2)))))</f>
        <v> </v>
      </c>
      <c r="J5783" s="26" t="str">
        <f>IF(OR(E5783="",E5783="!!!",F5783="NEW"),"",COUNTBLANK(OFFSET(A$1,,,SUMPRODUCT(MAX(ROW(E$2:E5783)*(E5783=E$2:E5783)))))-COUNTBLANK(OFFSET(A$1,,,SUMPRODUCT(MAX(ROW(E$1:E5782)*(E2=E$1:E5782))))))</f>
        <v> </v>
      </c>
      <c r="K5783" s="26" t="str">
        <f>IF(OR(E5783="",E5783="!!!",F5783="NEW"),"",INDEX(J$1:J5782,SUMPRODUCT(MAX(ROW(E$1:E5782)*(E5783=E$1:E5782)))))</f>
        <v> </v>
      </c>
      <c r="L5783" s="27"/>
    </row>
    <row r="5784" spans="1:12">
      <c r="A5784" s="20" t="s">
        <v>1265</v>
      </c>
      <c r="E5784" s="22">
        <f>IF(D5784="?OLD","!!!","")</f>
        <v/>
      </c>
      <c r="F5784" s="23" t="str">
        <f>IF(OR(E5784="",E5784="!!!"),"",IF(NOT(ISNA(VLOOKUP(E5784,E$1:E5783,1,FALSE()))),"OLD",IF(AND(E5784&lt;&gt;"",E5784&lt;&gt;"!!!"),"NEW","")))</f>
        <v> </v>
      </c>
      <c r="G5784" s="24" t="str">
        <f>IF(OR(E5784="",E5784="!!!"),"",IF(OR(J5784=0,AND(J5784=1,K5784=1),AND(J5784=1,I5784="SBJ"),AND(J5784=1,I5784=0)),"?IN_FOCUS",IF(J5784&lt;=2,"?ACTIVATED",IF(J5784&lt;&gt;"","?FAMILIAR",IF(F5784="NEW",IF(ISNA(VLOOKUP(E5784,#REF!,1,FALSE())),"?TYPE_IDENTIFIABLE","?REFERENTIAL"),"_")))))</f>
        <v> </v>
      </c>
      <c r="H5784" s="25" t="str">
        <f>IF(J5784&lt;&gt;1,"",IF(I5784="SBJ","CB","?"))</f>
        <v> </v>
      </c>
      <c r="I5784" s="26" t="str">
        <f>IF(OR(E5784="",E5784="!!!",F5784="NEW"),"",INDEX(B5783:B$2,-1+SUMPRODUCT(MAX(ROW(E5783:E$2)*(E5784=E5783:E$2)))))</f>
        <v> </v>
      </c>
      <c r="J5784" s="26" t="str">
        <f>IF(OR(E5784="",E5784="!!!",F5784="NEW"),"",COUNTBLANK(OFFSET(A$1,,,SUMPRODUCT(MAX(ROW(E$2:E5784)*(E5784=E$2:E5784)))))-COUNTBLANK(OFFSET(A$1,,,SUMPRODUCT(MAX(ROW(E$1:E5783)*(E2=E$1:E5783))))))</f>
        <v> </v>
      </c>
      <c r="K5784" s="26" t="str">
        <f>IF(OR(E5784="",E5784="!!!",F5784="NEW"),"",INDEX(J$1:J5783,SUMPRODUCT(MAX(ROW(E$1:E5783)*(E5784=E$1:E5783)))))</f>
        <v> </v>
      </c>
      <c r="L5784" s="27"/>
    </row>
    <row r="5785" spans="1:12">
      <c r="A5785" s="20" t="s">
        <v>2755</v>
      </c>
      <c r="E5785" s="22">
        <f>IF(D5785="?OLD","!!!","")</f>
        <v/>
      </c>
      <c r="F5785" s="23" t="str">
        <f>IF(OR(E5785="",E5785="!!!"),"",IF(NOT(ISNA(VLOOKUP(E5785,E$1:E5784,1,FALSE()))),"OLD",IF(AND(E5785&lt;&gt;"",E5785&lt;&gt;"!!!"),"NEW","")))</f>
        <v> </v>
      </c>
      <c r="G5785" s="24" t="str">
        <f>IF(OR(E5785="",E5785="!!!"),"",IF(OR(J5785=0,AND(J5785=1,K5785=1),AND(J5785=1,I5785="SBJ"),AND(J5785=1,I5785=0)),"?IN_FOCUS",IF(J5785&lt;=2,"?ACTIVATED",IF(J5785&lt;&gt;"","?FAMILIAR",IF(F5785="NEW",IF(ISNA(VLOOKUP(E5785,#REF!,1,FALSE())),"?TYPE_IDENTIFIABLE","?REFERENTIAL"),"_")))))</f>
        <v> </v>
      </c>
      <c r="H5785" s="25" t="str">
        <f>IF(J5785&lt;&gt;1,"",IF(I5785="SBJ","CB","?"))</f>
        <v> </v>
      </c>
      <c r="I5785" s="26" t="str">
        <f>IF(OR(E5785="",E5785="!!!",F5785="NEW"),"",INDEX(B5784:B$2,-1+SUMPRODUCT(MAX(ROW(E5784:E$2)*(E5785=E5784:E$2)))))</f>
        <v> </v>
      </c>
      <c r="J5785" s="26" t="str">
        <f>IF(OR(E5785="",E5785="!!!",F5785="NEW"),"",COUNTBLANK(OFFSET(A$1,,,SUMPRODUCT(MAX(ROW(E$2:E5785)*(E5785=E$2:E5785)))))-COUNTBLANK(OFFSET(A$1,,,SUMPRODUCT(MAX(ROW(E$1:E5784)*(E2=E$1:E5784))))))</f>
        <v> </v>
      </c>
      <c r="K5785" s="26" t="str">
        <f>IF(OR(E5785="",E5785="!!!",F5785="NEW"),"",INDEX(J$1:J5784,SUMPRODUCT(MAX(ROW(E$1:E5784)*(E5785=E$1:E5784)))))</f>
        <v> </v>
      </c>
      <c r="L5785" s="27"/>
    </row>
    <row r="5786" spans="1:12">
      <c r="A5786" s="20" t="s">
        <v>1190</v>
      </c>
      <c r="B5786" s="21" t="s">
        <v>1207</v>
      </c>
      <c r="C5786" s="21" t="s">
        <v>1223</v>
      </c>
      <c r="E5786" s="22">
        <f>IF(D5786="?OLD","!!!","")</f>
        <v/>
      </c>
      <c r="F5786" s="23" t="str">
        <f>IF(OR(E5786="",E5786="!!!"),"",IF(NOT(ISNA(VLOOKUP(E5786,E$1:E5785,1,FALSE()))),"OLD",IF(AND(E5786&lt;&gt;"",E5786&lt;&gt;"!!!"),"NEW","")))</f>
        <v> </v>
      </c>
      <c r="G5786" s="24" t="str">
        <f>IF(OR(E5786="",E5786="!!!"),"",IF(OR(J5786=0,AND(J5786=1,K5786=1),AND(J5786=1,I5786="SBJ"),AND(J5786=1,I5786=0)),"?IN_FOCUS",IF(J5786&lt;=2,"?ACTIVATED",IF(J5786&lt;&gt;"","?FAMILIAR",IF(F5786="NEW",IF(ISNA(VLOOKUP(E5786,#REF!,1,FALSE())),"?TYPE_IDENTIFIABLE","?REFERENTIAL"),"_")))))</f>
        <v> </v>
      </c>
      <c r="H5786" s="25" t="str">
        <f>IF(J5786&lt;&gt;1,"",IF(I5786="SBJ","CB","?"))</f>
        <v> </v>
      </c>
      <c r="I5786" s="26" t="str">
        <f>IF(OR(E5786="",E5786="!!!",F5786="NEW"),"",INDEX(B5785:B$2,-1+SUMPRODUCT(MAX(ROW(E5785:E$2)*(E5786=E5785:E$2)))))</f>
        <v> </v>
      </c>
      <c r="J5786" s="26" t="str">
        <f>IF(OR(E5786="",E5786="!!!",F5786="NEW"),"",COUNTBLANK(OFFSET(A$1,,,SUMPRODUCT(MAX(ROW(E$2:E5786)*(E5786=E$2:E5786)))))-COUNTBLANK(OFFSET(A$1,,,SUMPRODUCT(MAX(ROW(E$1:E5785)*(E2=E$1:E5785))))))</f>
        <v> </v>
      </c>
      <c r="K5786" s="26" t="str">
        <f>IF(OR(E5786="",E5786="!!!",F5786="NEW"),"",INDEX(J$1:J5785,SUMPRODUCT(MAX(ROW(E$1:E5785)*(E5786=E$1:E5785)))))</f>
        <v> </v>
      </c>
      <c r="L5786" s="27"/>
    </row>
    <row r="5787" spans="1:12">
      <c r="A5787" s="20" t="s">
        <v>1185</v>
      </c>
      <c r="E5787" s="22">
        <f>IF(D5787="?OLD","!!!","")</f>
        <v/>
      </c>
      <c r="F5787" s="23" t="str">
        <f>IF(OR(E5787="",E5787="!!!"),"",IF(NOT(ISNA(VLOOKUP(E5787,E$1:E5786,1,FALSE()))),"OLD",IF(AND(E5787&lt;&gt;"",E5787&lt;&gt;"!!!"),"NEW","")))</f>
        <v> </v>
      </c>
      <c r="G5787" s="24" t="str">
        <f>IF(OR(E5787="",E5787="!!!"),"",IF(OR(J5787=0,AND(J5787=1,K5787=1),AND(J5787=1,I5787="SBJ"),AND(J5787=1,I5787=0)),"?IN_FOCUS",IF(J5787&lt;=2,"?ACTIVATED",IF(J5787&lt;&gt;"","?FAMILIAR",IF(F5787="NEW",IF(ISNA(VLOOKUP(E5787,#REF!,1,FALSE())),"?TYPE_IDENTIFIABLE","?REFERENTIAL"),"_")))))</f>
        <v> </v>
      </c>
      <c r="H5787" s="25" t="str">
        <f>IF(J5787&lt;&gt;1,"",IF(I5787="SBJ","CB","?"))</f>
        <v> </v>
      </c>
      <c r="I5787" s="26" t="str">
        <f>IF(OR(E5787="",E5787="!!!",F5787="NEW"),"",INDEX(B5786:B$2,-1+SUMPRODUCT(MAX(ROW(E5786:E$2)*(E5787=E5786:E$2)))))</f>
        <v> </v>
      </c>
      <c r="J5787" s="26" t="str">
        <f>IF(OR(E5787="",E5787="!!!",F5787="NEW"),"",COUNTBLANK(OFFSET(A$1,,,SUMPRODUCT(MAX(ROW(E$2:E5787)*(E5787=E$2:E5787)))))-COUNTBLANK(OFFSET(A$1,,,SUMPRODUCT(MAX(ROW(E$1:E5786)*(E2=E$1:E5786))))))</f>
        <v> </v>
      </c>
      <c r="K5787" s="26" t="str">
        <f>IF(OR(E5787="",E5787="!!!",F5787="NEW"),"",INDEX(J$1:J5786,SUMPRODUCT(MAX(ROW(E$1:E5786)*(E5787=E$1:E5786)))))</f>
        <v> </v>
      </c>
      <c r="L5787" s="27"/>
    </row>
    <row r="5788" spans="1:12">
      <c r="A5788" s="20" t="s">
        <v>1265</v>
      </c>
      <c r="E5788" s="22">
        <f>IF(D5788="?OLD","!!!","")</f>
        <v/>
      </c>
      <c r="F5788" s="23" t="str">
        <f>IF(OR(E5788="",E5788="!!!"),"",IF(NOT(ISNA(VLOOKUP(E5788,E$1:E5787,1,FALSE()))),"OLD",IF(AND(E5788&lt;&gt;"",E5788&lt;&gt;"!!!"),"NEW","")))</f>
        <v> </v>
      </c>
      <c r="G5788" s="24" t="str">
        <f>IF(OR(E5788="",E5788="!!!"),"",IF(OR(J5788=0,AND(J5788=1,K5788=1),AND(J5788=1,I5788="SBJ"),AND(J5788=1,I5788=0)),"?IN_FOCUS",IF(J5788&lt;=2,"?ACTIVATED",IF(J5788&lt;&gt;"","?FAMILIAR",IF(F5788="NEW",IF(ISNA(VLOOKUP(E5788,#REF!,1,FALSE())),"?TYPE_IDENTIFIABLE","?REFERENTIAL"),"_")))))</f>
        <v> </v>
      </c>
      <c r="H5788" s="25" t="str">
        <f>IF(J5788&lt;&gt;1,"",IF(I5788="SBJ","CB","?"))</f>
        <v> </v>
      </c>
      <c r="I5788" s="26" t="str">
        <f>IF(OR(E5788="",E5788="!!!",F5788="NEW"),"",INDEX(B5787:B$2,-1+SUMPRODUCT(MAX(ROW(E5787:E$2)*(E5788=E5787:E$2)))))</f>
        <v> </v>
      </c>
      <c r="J5788" s="26" t="str">
        <f>IF(OR(E5788="",E5788="!!!",F5788="NEW"),"",COUNTBLANK(OFFSET(A$1,,,SUMPRODUCT(MAX(ROW(E$2:E5788)*(E5788=E$2:E5788)))))-COUNTBLANK(OFFSET(A$1,,,SUMPRODUCT(MAX(ROW(E$1:E5787)*(E2=E$1:E5787))))))</f>
        <v> </v>
      </c>
      <c r="K5788" s="26" t="str">
        <f>IF(OR(E5788="",E5788="!!!",F5788="NEW"),"",INDEX(J$1:J5787,SUMPRODUCT(MAX(ROW(E$1:E5787)*(E5788=E$1:E5787)))))</f>
        <v> </v>
      </c>
      <c r="L5788" s="27"/>
    </row>
    <row r="5789" spans="1:12">
      <c r="A5789" s="20" t="s">
        <v>2755</v>
      </c>
      <c r="E5789" s="22">
        <f>IF(D5789="?OLD","!!!","")</f>
        <v/>
      </c>
      <c r="F5789" s="23" t="str">
        <f>IF(OR(E5789="",E5789="!!!"),"",IF(NOT(ISNA(VLOOKUP(E5789,E$1:E5788,1,FALSE()))),"OLD",IF(AND(E5789&lt;&gt;"",E5789&lt;&gt;"!!!"),"NEW","")))</f>
        <v> </v>
      </c>
      <c r="G5789" s="24" t="str">
        <f>IF(OR(E5789="",E5789="!!!"),"",IF(OR(J5789=0,AND(J5789=1,K5789=1),AND(J5789=1,I5789="SBJ"),AND(J5789=1,I5789=0)),"?IN_FOCUS",IF(J5789&lt;=2,"?ACTIVATED",IF(J5789&lt;&gt;"","?FAMILIAR",IF(F5789="NEW",IF(ISNA(VLOOKUP(E5789,#REF!,1,FALSE())),"?TYPE_IDENTIFIABLE","?REFERENTIAL"),"_")))))</f>
        <v> </v>
      </c>
      <c r="H5789" s="25" t="str">
        <f>IF(J5789&lt;&gt;1,"",IF(I5789="SBJ","CB","?"))</f>
        <v> </v>
      </c>
      <c r="I5789" s="26" t="str">
        <f>IF(OR(E5789="",E5789="!!!",F5789="NEW"),"",INDEX(B5788:B$2,-1+SUMPRODUCT(MAX(ROW(E5788:E$2)*(E5789=E5788:E$2)))))</f>
        <v> </v>
      </c>
      <c r="J5789" s="26" t="str">
        <f>IF(OR(E5789="",E5789="!!!",F5789="NEW"),"",COUNTBLANK(OFFSET(A$1,,,SUMPRODUCT(MAX(ROW(E$2:E5789)*(E5789=E$2:E5789)))))-COUNTBLANK(OFFSET(A$1,,,SUMPRODUCT(MAX(ROW(E$1:E5788)*(E2=E$1:E5788))))))</f>
        <v> </v>
      </c>
      <c r="K5789" s="26" t="str">
        <f>IF(OR(E5789="",E5789="!!!",F5789="NEW"),"",INDEX(J$1:J5788,SUMPRODUCT(MAX(ROW(E$1:E5788)*(E5789=E$1:E5788)))))</f>
        <v> </v>
      </c>
      <c r="L5789" s="27"/>
    </row>
    <row r="5790" spans="1:12">
      <c r="A5790" s="20" t="s">
        <v>2756</v>
      </c>
      <c r="E5790" s="22">
        <f>IF(D5790="?OLD","!!!","")</f>
        <v/>
      </c>
      <c r="F5790" s="23" t="str">
        <f>IF(OR(E5790="",E5790="!!!"),"",IF(NOT(ISNA(VLOOKUP(E5790,E$1:E5789,1,FALSE()))),"OLD",IF(AND(E5790&lt;&gt;"",E5790&lt;&gt;"!!!"),"NEW","")))</f>
        <v> </v>
      </c>
      <c r="G5790" s="24" t="str">
        <f>IF(OR(E5790="",E5790="!!!"),"",IF(OR(J5790=0,AND(J5790=1,K5790=1),AND(J5790=1,I5790="SBJ"),AND(J5790=1,I5790=0)),"?IN_FOCUS",IF(J5790&lt;=2,"?ACTIVATED",IF(J5790&lt;&gt;"","?FAMILIAR",IF(F5790="NEW",IF(ISNA(VLOOKUP(E5790,#REF!,1,FALSE())),"?TYPE_IDENTIFIABLE","?REFERENTIAL"),"_")))))</f>
        <v> </v>
      </c>
      <c r="H5790" s="25" t="str">
        <f>IF(J5790&lt;&gt;1,"",IF(I5790="SBJ","CB","?"))</f>
        <v> </v>
      </c>
      <c r="I5790" s="26" t="str">
        <f>IF(OR(E5790="",E5790="!!!",F5790="NEW"),"",INDEX(B5789:B$2,-1+SUMPRODUCT(MAX(ROW(E5789:E$2)*(E5790=E5789:E$2)))))</f>
        <v> </v>
      </c>
      <c r="J5790" s="26" t="str">
        <f>IF(OR(E5790="",E5790="!!!",F5790="NEW"),"",COUNTBLANK(OFFSET(A$1,,,SUMPRODUCT(MAX(ROW(E$2:E5790)*(E5790=E$2:E5790)))))-COUNTBLANK(OFFSET(A$1,,,SUMPRODUCT(MAX(ROW(E$1:E5789)*(E2=E$1:E5789))))))</f>
        <v> </v>
      </c>
      <c r="K5790" s="26" t="str">
        <f>IF(OR(E5790="",E5790="!!!",F5790="NEW"),"",INDEX(J$1:J5789,SUMPRODUCT(MAX(ROW(E$1:E5789)*(E5790=E$1:E5789)))))</f>
        <v> </v>
      </c>
      <c r="L5790" s="27"/>
    </row>
    <row r="5791" spans="1:12">
      <c r="A5791" s="20" t="s">
        <v>1185</v>
      </c>
      <c r="E5791" s="22">
        <f>IF(D5791="?OLD","!!!","")</f>
        <v/>
      </c>
      <c r="F5791" s="23" t="str">
        <f>IF(OR(E5791="",E5791="!!!"),"",IF(NOT(ISNA(VLOOKUP(E5791,E$1:E5790,1,FALSE()))),"OLD",IF(AND(E5791&lt;&gt;"",E5791&lt;&gt;"!!!"),"NEW","")))</f>
        <v> </v>
      </c>
      <c r="G5791" s="24" t="str">
        <f>IF(OR(E5791="",E5791="!!!"),"",IF(OR(J5791=0,AND(J5791=1,K5791=1),AND(J5791=1,I5791="SBJ"),AND(J5791=1,I5791=0)),"?IN_FOCUS",IF(J5791&lt;=2,"?ACTIVATED",IF(J5791&lt;&gt;"","?FAMILIAR",IF(F5791="NEW",IF(ISNA(VLOOKUP(E5791,#REF!,1,FALSE())),"?TYPE_IDENTIFIABLE","?REFERENTIAL"),"_")))))</f>
        <v> </v>
      </c>
      <c r="H5791" s="25" t="str">
        <f>IF(J5791&lt;&gt;1,"",IF(I5791="SBJ","CB","?"))</f>
        <v> </v>
      </c>
      <c r="I5791" s="26" t="str">
        <f>IF(OR(E5791="",E5791="!!!",F5791="NEW"),"",INDEX(B5790:B$2,-1+SUMPRODUCT(MAX(ROW(E5790:E$2)*(E5791=E5790:E$2)))))</f>
        <v> </v>
      </c>
      <c r="J5791" s="26" t="str">
        <f>IF(OR(E5791="",E5791="!!!",F5791="NEW"),"",COUNTBLANK(OFFSET(A$1,,,SUMPRODUCT(MAX(ROW(E$2:E5791)*(E5791=E$2:E5791)))))-COUNTBLANK(OFFSET(A$1,,,SUMPRODUCT(MAX(ROW(E$1:E5790)*(E2=E$1:E5790))))))</f>
        <v> </v>
      </c>
      <c r="K5791" s="26" t="str">
        <f>IF(OR(E5791="",E5791="!!!",F5791="NEW"),"",INDEX(J$1:J5790,SUMPRODUCT(MAX(ROW(E$1:E5790)*(E5791=E$1:E5790)))))</f>
        <v> </v>
      </c>
      <c r="L5791" s="27"/>
    </row>
    <row r="5792" spans="1:12">
      <c r="A5792" s="20" t="s">
        <v>1381</v>
      </c>
      <c r="B5792" s="21" t="s">
        <v>1291</v>
      </c>
      <c r="C5792" s="21" t="s">
        <v>1254</v>
      </c>
      <c r="E5792" s="22">
        <f>IF(D5792="?OLD","!!!","")</f>
        <v/>
      </c>
      <c r="F5792" s="23" t="str">
        <f>IF(OR(E5792="",E5792="!!!"),"",IF(NOT(ISNA(VLOOKUP(E5792,E$1:E5791,1,FALSE()))),"OLD",IF(AND(E5792&lt;&gt;"",E5792&lt;&gt;"!!!"),"NEW","")))</f>
        <v> </v>
      </c>
      <c r="G5792" s="24" t="str">
        <f>IF(OR(E5792="",E5792="!!!"),"",IF(OR(J5792=0,AND(J5792=1,K5792=1),AND(J5792=1,I5792="SBJ"),AND(J5792=1,I5792=0)),"?IN_FOCUS",IF(J5792&lt;=2,"?ACTIVATED",IF(J5792&lt;&gt;"","?FAMILIAR",IF(F5792="NEW",IF(ISNA(VLOOKUP(E5792,#REF!,1,FALSE())),"?TYPE_IDENTIFIABLE","?REFERENTIAL"),"_")))))</f>
        <v> </v>
      </c>
      <c r="H5792" s="25" t="str">
        <f>IF(J5792&lt;&gt;1,"",IF(I5792="SBJ","CB","?"))</f>
        <v> </v>
      </c>
      <c r="I5792" s="26" t="str">
        <f>IF(OR(E5792="",E5792="!!!",F5792="NEW"),"",INDEX(B5791:B$2,-1+SUMPRODUCT(MAX(ROW(E5791:E$2)*(E5792=E5791:E$2)))))</f>
        <v> </v>
      </c>
      <c r="J5792" s="26" t="str">
        <f>IF(OR(E5792="",E5792="!!!",F5792="NEW"),"",COUNTBLANK(OFFSET(A$1,,,SUMPRODUCT(MAX(ROW(E$2:E5792)*(E5792=E$2:E5792)))))-COUNTBLANK(OFFSET(A$1,,,SUMPRODUCT(MAX(ROW(E$1:E5791)*(E2=E$1:E5791))))))</f>
        <v> </v>
      </c>
      <c r="K5792" s="26" t="str">
        <f>IF(OR(E5792="",E5792="!!!",F5792="NEW"),"",INDEX(J$1:J5791,SUMPRODUCT(MAX(ROW(E$1:E5791)*(E5792=E$1:E5791)))))</f>
        <v> </v>
      </c>
      <c r="L5792" s="27"/>
    </row>
    <row r="5793" spans="1:12">
      <c r="A5793" s="20" t="s">
        <v>1185</v>
      </c>
      <c r="E5793" s="22">
        <f>IF(D5793="?OLD","!!!","")</f>
        <v/>
      </c>
      <c r="F5793" s="23" t="str">
        <f>IF(OR(E5793="",E5793="!!!"),"",IF(NOT(ISNA(VLOOKUP(E5793,E$1:E5792,1,FALSE()))),"OLD",IF(AND(E5793&lt;&gt;"",E5793&lt;&gt;"!!!"),"NEW","")))</f>
        <v> </v>
      </c>
      <c r="G5793" s="24" t="str">
        <f>IF(OR(E5793="",E5793="!!!"),"",IF(OR(J5793=0,AND(J5793=1,K5793=1),AND(J5793=1,I5793="SBJ"),AND(J5793=1,I5793=0)),"?IN_FOCUS",IF(J5793&lt;=2,"?ACTIVATED",IF(J5793&lt;&gt;"","?FAMILIAR",IF(F5793="NEW",IF(ISNA(VLOOKUP(E5793,#REF!,1,FALSE())),"?TYPE_IDENTIFIABLE","?REFERENTIAL"),"_")))))</f>
        <v> </v>
      </c>
      <c r="H5793" s="25" t="str">
        <f>IF(J5793&lt;&gt;1,"",IF(I5793="SBJ","CB","?"))</f>
        <v> </v>
      </c>
      <c r="I5793" s="26" t="str">
        <f>IF(OR(E5793="",E5793="!!!",F5793="NEW"),"",INDEX(B5792:B$2,-1+SUMPRODUCT(MAX(ROW(E5792:E$2)*(E5793=E5792:E$2)))))</f>
        <v> </v>
      </c>
      <c r="J5793" s="26" t="str">
        <f>IF(OR(E5793="",E5793="!!!",F5793="NEW"),"",COUNTBLANK(OFFSET(A$1,,,SUMPRODUCT(MAX(ROW(E$2:E5793)*(E5793=E$2:E5793)))))-COUNTBLANK(OFFSET(A$1,,,SUMPRODUCT(MAX(ROW(E$1:E5792)*(E2=E$1:E5792))))))</f>
        <v> </v>
      </c>
      <c r="K5793" s="26" t="str">
        <f>IF(OR(E5793="",E5793="!!!",F5793="NEW"),"",INDEX(J$1:J5792,SUMPRODUCT(MAX(ROW(E$1:E5792)*(E5793=E$1:E5792)))))</f>
        <v> </v>
      </c>
      <c r="L5793" s="27"/>
    </row>
    <row r="5794" spans="1:12">
      <c r="A5794" s="20" t="s">
        <v>1495</v>
      </c>
      <c r="E5794" s="22">
        <f>IF(D5794="?OLD","!!!","")</f>
        <v/>
      </c>
      <c r="F5794" s="23" t="str">
        <f>IF(OR(E5794="",E5794="!!!"),"",IF(NOT(ISNA(VLOOKUP(E5794,E$1:E5793,1,FALSE()))),"OLD",IF(AND(E5794&lt;&gt;"",E5794&lt;&gt;"!!!"),"NEW","")))</f>
        <v> </v>
      </c>
      <c r="G5794" s="24" t="str">
        <f>IF(OR(E5794="",E5794="!!!"),"",IF(OR(J5794=0,AND(J5794=1,K5794=1),AND(J5794=1,I5794="SBJ"),AND(J5794=1,I5794=0)),"?IN_FOCUS",IF(J5794&lt;=2,"?ACTIVATED",IF(J5794&lt;&gt;"","?FAMILIAR",IF(F5794="NEW",IF(ISNA(VLOOKUP(E5794,#REF!,1,FALSE())),"?TYPE_IDENTIFIABLE","?REFERENTIAL"),"_")))))</f>
        <v> </v>
      </c>
      <c r="H5794" s="25" t="str">
        <f>IF(J5794&lt;&gt;1,"",IF(I5794="SBJ","CB","?"))</f>
        <v> </v>
      </c>
      <c r="I5794" s="26" t="str">
        <f>IF(OR(E5794="",E5794="!!!",F5794="NEW"),"",INDEX(B5793:B$2,-1+SUMPRODUCT(MAX(ROW(E5793:E$2)*(E5794=E5793:E$2)))))</f>
        <v> </v>
      </c>
      <c r="J5794" s="26" t="str">
        <f>IF(OR(E5794="",E5794="!!!",F5794="NEW"),"",COUNTBLANK(OFFSET(A$1,,,SUMPRODUCT(MAX(ROW(E$2:E5794)*(E5794=E$2:E5794)))))-COUNTBLANK(OFFSET(A$1,,,SUMPRODUCT(MAX(ROW(E$1:E5793)*(E2=E$1:E5793))))))</f>
        <v> </v>
      </c>
      <c r="K5794" s="26" t="str">
        <f>IF(OR(E5794="",E5794="!!!",F5794="NEW"),"",INDEX(J$1:J5793,SUMPRODUCT(MAX(ROW(E$1:E5793)*(E5794=E$1:E5793)))))</f>
        <v> </v>
      </c>
      <c r="L5794" s="27"/>
    </row>
    <row r="5795" spans="1:12">
      <c r="A5795" s="20" t="s">
        <v>427</v>
      </c>
      <c r="B5795" s="21" t="s">
        <v>1429</v>
      </c>
      <c r="C5795" s="21" t="s">
        <v>1238</v>
      </c>
      <c r="D5795" s="21" t="s">
        <v>1180</v>
      </c>
      <c r="E5795" s="22">
        <f>IF(D5795="?OLD","!!!","")</f>
        <v/>
      </c>
      <c r="F5795" s="23" t="str">
        <f>IF(OR(E5795="",E5795="!!!"),"",IF(NOT(ISNA(VLOOKUP(E5795,E$1:E5794,1,FALSE()))),"OLD",IF(AND(E5795&lt;&gt;"",E5795&lt;&gt;"!!!"),"NEW","")))</f>
        <v> </v>
      </c>
      <c r="G5795" s="24" t="str">
        <f>IF(OR(E5795="",E5795="!!!"),"",IF(OR(J5795=0,AND(J5795=1,K5795=1),AND(J5795=1,I5795="SBJ"),AND(J5795=1,I5795=0)),"?IN_FOCUS",IF(J5795&lt;=2,"?ACTIVATED",IF(J5795&lt;&gt;"","?FAMILIAR",IF(F5795="NEW",IF(ISNA(VLOOKUP(E5795,#REF!,1,FALSE())),"?TYPE_IDENTIFIABLE","?REFERENTIAL"),"_")))))</f>
        <v> </v>
      </c>
      <c r="H5795" s="25" t="str">
        <f>IF(J5795&lt;&gt;1,"",IF(I5795="SBJ","CB","?"))</f>
        <v> </v>
      </c>
      <c r="I5795" s="26" t="str">
        <f>IF(OR(E5795="",E5795="!!!",F5795="NEW"),"",INDEX(B5794:B$2,-1+SUMPRODUCT(MAX(ROW(E5794:E$2)*(E5795=E5794:E$2)))))</f>
        <v> </v>
      </c>
      <c r="J5795" s="26" t="str">
        <f>IF(OR(E5795="",E5795="!!!",F5795="NEW"),"",COUNTBLANK(OFFSET(A$1,,,SUMPRODUCT(MAX(ROW(E$2:E5795)*(E5795=E$2:E5795)))))-COUNTBLANK(OFFSET(A$1,,,SUMPRODUCT(MAX(ROW(E$1:E5794)*(E2=E$1:E5794))))))</f>
        <v> </v>
      </c>
      <c r="K5795" s="26" t="str">
        <f>IF(OR(E5795="",E5795="!!!",F5795="NEW"),"",INDEX(J$1:J5794,SUMPRODUCT(MAX(ROW(E$1:E5794)*(E5795=E$1:E5794)))))</f>
        <v> </v>
      </c>
      <c r="L5795" s="27"/>
    </row>
    <row r="5796" spans="1:12">
      <c r="A5796" s="20" t="s">
        <v>2312</v>
      </c>
      <c r="E5796" s="22">
        <f>IF(D5796="?OLD","!!!","")</f>
        <v/>
      </c>
      <c r="F5796" s="23" t="str">
        <f>IF(OR(E5796="",E5796="!!!"),"",IF(NOT(ISNA(VLOOKUP(E5796,E$1:E5795,1,FALSE()))),"OLD",IF(AND(E5796&lt;&gt;"",E5796&lt;&gt;"!!!"),"NEW","")))</f>
        <v> </v>
      </c>
      <c r="G5796" s="24" t="str">
        <f>IF(OR(E5796="",E5796="!!!"),"",IF(OR(J5796=0,AND(J5796=1,K5796=1),AND(J5796=1,I5796="SBJ"),AND(J5796=1,I5796=0)),"?IN_FOCUS",IF(J5796&lt;=2,"?ACTIVATED",IF(J5796&lt;&gt;"","?FAMILIAR",IF(F5796="NEW",IF(ISNA(VLOOKUP(E5796,#REF!,1,FALSE())),"?TYPE_IDENTIFIABLE","?REFERENTIAL"),"_")))))</f>
        <v> </v>
      </c>
      <c r="H5796" s="25" t="str">
        <f>IF(J5796&lt;&gt;1,"",IF(I5796="SBJ","CB","?"))</f>
        <v> </v>
      </c>
      <c r="I5796" s="26" t="str">
        <f>IF(OR(E5796="",E5796="!!!",F5796="NEW"),"",INDEX(B5795:B$2,-1+SUMPRODUCT(MAX(ROW(E5795:E$2)*(E5796=E5795:E$2)))))</f>
        <v> </v>
      </c>
      <c r="J5796" s="26" t="str">
        <f>IF(OR(E5796="",E5796="!!!",F5796="NEW"),"",COUNTBLANK(OFFSET(A$1,,,SUMPRODUCT(MAX(ROW(E$2:E5796)*(E5796=E$2:E5796)))))-COUNTBLANK(OFFSET(A$1,,,SUMPRODUCT(MAX(ROW(E$1:E5795)*(E2=E$1:E5795))))))</f>
        <v> </v>
      </c>
      <c r="K5796" s="26" t="str">
        <f>IF(OR(E5796="",E5796="!!!",F5796="NEW"),"",INDEX(J$1:J5795,SUMPRODUCT(MAX(ROW(E$1:E5795)*(E5796=E$1:E5795)))))</f>
        <v> </v>
      </c>
      <c r="L5796" s="27"/>
    </row>
    <row r="5797" spans="1:12">
      <c r="A5797" s="20" t="s">
        <v>1523</v>
      </c>
      <c r="E5797" s="22">
        <f>IF(D5797="?OLD","!!!","")</f>
        <v/>
      </c>
      <c r="F5797" s="23" t="str">
        <f>IF(OR(E5797="",E5797="!!!"),"",IF(NOT(ISNA(VLOOKUP(E5797,E$1:E5796,1,FALSE()))),"OLD",IF(AND(E5797&lt;&gt;"",E5797&lt;&gt;"!!!"),"NEW","")))</f>
        <v> </v>
      </c>
      <c r="G5797" s="24" t="str">
        <f>IF(OR(E5797="",E5797="!!!"),"",IF(OR(J5797=0,AND(J5797=1,K5797=1),AND(J5797=1,I5797="SBJ"),AND(J5797=1,I5797=0)),"?IN_FOCUS",IF(J5797&lt;=2,"?ACTIVATED",IF(J5797&lt;&gt;"","?FAMILIAR",IF(F5797="NEW",IF(ISNA(VLOOKUP(E5797,#REF!,1,FALSE())),"?TYPE_IDENTIFIABLE","?REFERENTIAL"),"_")))))</f>
        <v> </v>
      </c>
      <c r="H5797" s="25" t="str">
        <f>IF(J5797&lt;&gt;1,"",IF(I5797="SBJ","CB","?"))</f>
        <v> </v>
      </c>
      <c r="I5797" s="26" t="str">
        <f>IF(OR(E5797="",E5797="!!!",F5797="NEW"),"",INDEX(B5796:B$2,-1+SUMPRODUCT(MAX(ROW(E5796:E$2)*(E5797=E5796:E$2)))))</f>
        <v> </v>
      </c>
      <c r="J5797" s="26" t="str">
        <f>IF(OR(E5797="",E5797="!!!",F5797="NEW"),"",COUNTBLANK(OFFSET(A$1,,,SUMPRODUCT(MAX(ROW(E$2:E5797)*(E5797=E$2:E5797)))))-COUNTBLANK(OFFSET(A$1,,,SUMPRODUCT(MAX(ROW(E$1:E5796)*(E2=E$1:E5796))))))</f>
        <v> </v>
      </c>
      <c r="K5797" s="26" t="str">
        <f>IF(OR(E5797="",E5797="!!!",F5797="NEW"),"",INDEX(J$1:J5796,SUMPRODUCT(MAX(ROW(E$1:E5796)*(E5797=E$1:E5796)))))</f>
        <v> </v>
      </c>
      <c r="L5797" s="27"/>
    </row>
    <row r="5798" spans="1:12">
      <c r="A5798" s="20" t="s">
        <v>1185</v>
      </c>
      <c r="E5798" s="22">
        <f>IF(D5798="?OLD","!!!","")</f>
        <v/>
      </c>
      <c r="F5798" s="23" t="str">
        <f>IF(OR(E5798="",E5798="!!!"),"",IF(NOT(ISNA(VLOOKUP(E5798,E$1:E5797,1,FALSE()))),"OLD",IF(AND(E5798&lt;&gt;"",E5798&lt;&gt;"!!!"),"NEW","")))</f>
        <v> </v>
      </c>
      <c r="G5798" s="24" t="str">
        <f>IF(OR(E5798="",E5798="!!!"),"",IF(OR(J5798=0,AND(J5798=1,K5798=1),AND(J5798=1,I5798="SBJ"),AND(J5798=1,I5798=0)),"?IN_FOCUS",IF(J5798&lt;=2,"?ACTIVATED",IF(J5798&lt;&gt;"","?FAMILIAR",IF(F5798="NEW",IF(ISNA(VLOOKUP(E5798,#REF!,1,FALSE())),"?TYPE_IDENTIFIABLE","?REFERENTIAL"),"_")))))</f>
        <v> </v>
      </c>
      <c r="H5798" s="25" t="str">
        <f>IF(J5798&lt;&gt;1,"",IF(I5798="SBJ","CB","?"))</f>
        <v> </v>
      </c>
      <c r="I5798" s="26" t="str">
        <f>IF(OR(E5798="",E5798="!!!",F5798="NEW"),"",INDEX(B5797:B$2,-1+SUMPRODUCT(MAX(ROW(E5797:E$2)*(E5798=E5797:E$2)))))</f>
        <v> </v>
      </c>
      <c r="J5798" s="26" t="str">
        <f>IF(OR(E5798="",E5798="!!!",F5798="NEW"),"",COUNTBLANK(OFFSET(A$1,,,SUMPRODUCT(MAX(ROW(E$2:E5798)*(E5798=E$2:E5798)))))-COUNTBLANK(OFFSET(A$1,,,SUMPRODUCT(MAX(ROW(E$1:E5797)*(E2=E$1:E5797))))))</f>
        <v> </v>
      </c>
      <c r="K5798" s="26" t="str">
        <f>IF(OR(E5798="",E5798="!!!",F5798="NEW"),"",INDEX(J$1:J5797,SUMPRODUCT(MAX(ROW(E$1:E5797)*(E5798=E$1:E5797)))))</f>
        <v> </v>
      </c>
      <c r="L5798" s="27"/>
    </row>
    <row r="5799" spans="1:12">
      <c r="A5799" s="20" t="s">
        <v>1513</v>
      </c>
      <c r="E5799" s="22">
        <f>IF(D5799="?OLD","!!!","")</f>
        <v/>
      </c>
      <c r="F5799" s="23" t="str">
        <f>IF(OR(E5799="",E5799="!!!"),"",IF(NOT(ISNA(VLOOKUP(E5799,E$1:E5798,1,FALSE()))),"OLD",IF(AND(E5799&lt;&gt;"",E5799&lt;&gt;"!!!"),"NEW","")))</f>
        <v> </v>
      </c>
      <c r="G5799" s="24" t="str">
        <f>IF(OR(E5799="",E5799="!!!"),"",IF(OR(J5799=0,AND(J5799=1,K5799=1),AND(J5799=1,I5799="SBJ"),AND(J5799=1,I5799=0)),"?IN_FOCUS",IF(J5799&lt;=2,"?ACTIVATED",IF(J5799&lt;&gt;"","?FAMILIAR",IF(F5799="NEW",IF(ISNA(VLOOKUP(E5799,#REF!,1,FALSE())),"?TYPE_IDENTIFIABLE","?REFERENTIAL"),"_")))))</f>
        <v> </v>
      </c>
      <c r="H5799" s="25" t="str">
        <f>IF(J5799&lt;&gt;1,"",IF(I5799="SBJ","CB","?"))</f>
        <v> </v>
      </c>
      <c r="I5799" s="26" t="str">
        <f>IF(OR(E5799="",E5799="!!!",F5799="NEW"),"",INDEX(B5798:B$2,-1+SUMPRODUCT(MAX(ROW(E5798:E$2)*(E5799=E5798:E$2)))))</f>
        <v> </v>
      </c>
      <c r="J5799" s="26" t="str">
        <f>IF(OR(E5799="",E5799="!!!",F5799="NEW"),"",COUNTBLANK(OFFSET(A$1,,,SUMPRODUCT(MAX(ROW(E$2:E5799)*(E5799=E$2:E5799)))))-COUNTBLANK(OFFSET(A$1,,,SUMPRODUCT(MAX(ROW(E$1:E5798)*(E2=E$1:E5798))))))</f>
        <v> </v>
      </c>
      <c r="K5799" s="26" t="str">
        <f>IF(OR(E5799="",E5799="!!!",F5799="NEW"),"",INDEX(J$1:J5798,SUMPRODUCT(MAX(ROW(E$1:E5798)*(E5799=E$1:E5798)))))</f>
        <v> </v>
      </c>
      <c r="L5799" s="27"/>
    </row>
    <row r="5800" spans="1:12">
      <c r="A5800" s="20" t="s">
        <v>1487</v>
      </c>
      <c r="E5800" s="22">
        <f>IF(D5800="?OLD","!!!","")</f>
        <v/>
      </c>
      <c r="F5800" s="23" t="str">
        <f>IF(OR(E5800="",E5800="!!!"),"",IF(NOT(ISNA(VLOOKUP(E5800,E$1:E5799,1,FALSE()))),"OLD",IF(AND(E5800&lt;&gt;"",E5800&lt;&gt;"!!!"),"NEW","")))</f>
        <v> </v>
      </c>
      <c r="G5800" s="24" t="str">
        <f>IF(OR(E5800="",E5800="!!!"),"",IF(OR(J5800=0,AND(J5800=1,K5800=1),AND(J5800=1,I5800="SBJ"),AND(J5800=1,I5800=0)),"?IN_FOCUS",IF(J5800&lt;=2,"?ACTIVATED",IF(J5800&lt;&gt;"","?FAMILIAR",IF(F5800="NEW",IF(ISNA(VLOOKUP(E5800,#REF!,1,FALSE())),"?TYPE_IDENTIFIABLE","?REFERENTIAL"),"_")))))</f>
        <v> </v>
      </c>
      <c r="H5800" s="25" t="str">
        <f>IF(J5800&lt;&gt;1,"",IF(I5800="SBJ","CB","?"))</f>
        <v> </v>
      </c>
      <c r="I5800" s="26" t="str">
        <f>IF(OR(E5800="",E5800="!!!",F5800="NEW"),"",INDEX(B5799:B$2,-1+SUMPRODUCT(MAX(ROW(E5799:E$2)*(E5800=E5799:E$2)))))</f>
        <v> </v>
      </c>
      <c r="J5800" s="26" t="str">
        <f>IF(OR(E5800="",E5800="!!!",F5800="NEW"),"",COUNTBLANK(OFFSET(A$1,,,SUMPRODUCT(MAX(ROW(E$2:E5800)*(E5800=E$2:E5800)))))-COUNTBLANK(OFFSET(A$1,,,SUMPRODUCT(MAX(ROW(E$1:E5799)*(E2=E$1:E5799))))))</f>
        <v> </v>
      </c>
      <c r="K5800" s="26" t="str">
        <f>IF(OR(E5800="",E5800="!!!",F5800="NEW"),"",INDEX(J$1:J5799,SUMPRODUCT(MAX(ROW(E$1:E5799)*(E5800=E$1:E5799)))))</f>
        <v> </v>
      </c>
      <c r="L5800" s="27"/>
    </row>
    <row r="5801" spans="1:12">
      <c r="A5801" s="20" t="s">
        <v>1187</v>
      </c>
      <c r="B5801" s="21" t="s">
        <v>1526</v>
      </c>
      <c r="C5801" s="21" t="s">
        <v>1223</v>
      </c>
      <c r="E5801" s="22">
        <f>IF(D5801="?OLD","!!!","")</f>
        <v/>
      </c>
      <c r="F5801" s="23" t="str">
        <f>IF(OR(E5801="",E5801="!!!"),"",IF(NOT(ISNA(VLOOKUP(E5801,E$1:E5800,1,FALSE()))),"OLD",IF(AND(E5801&lt;&gt;"",E5801&lt;&gt;"!!!"),"NEW","")))</f>
        <v> </v>
      </c>
      <c r="G5801" s="24" t="str">
        <f>IF(OR(E5801="",E5801="!!!"),"",IF(OR(J5801=0,AND(J5801=1,K5801=1),AND(J5801=1,I5801="SBJ"),AND(J5801=1,I5801=0)),"?IN_FOCUS",IF(J5801&lt;=2,"?ACTIVATED",IF(J5801&lt;&gt;"","?FAMILIAR",IF(F5801="NEW",IF(ISNA(VLOOKUP(E5801,#REF!,1,FALSE())),"?TYPE_IDENTIFIABLE","?REFERENTIAL"),"_")))))</f>
        <v> </v>
      </c>
      <c r="H5801" s="25" t="str">
        <f>IF(J5801&lt;&gt;1,"",IF(I5801="SBJ","CB","?"))</f>
        <v> </v>
      </c>
      <c r="I5801" s="26" t="str">
        <f>IF(OR(E5801="",E5801="!!!",F5801="NEW"),"",INDEX(B5800:B$2,-1+SUMPRODUCT(MAX(ROW(E5800:E$2)*(E5801=E5800:E$2)))))</f>
        <v> </v>
      </c>
      <c r="J5801" s="26" t="str">
        <f>IF(OR(E5801="",E5801="!!!",F5801="NEW"),"",COUNTBLANK(OFFSET(A$1,,,SUMPRODUCT(MAX(ROW(E$2:E5801)*(E5801=E$2:E5801)))))-COUNTBLANK(OFFSET(A$1,,,SUMPRODUCT(MAX(ROW(E$1:E5800)*(E2=E$1:E5800))))))</f>
        <v> </v>
      </c>
      <c r="K5801" s="26" t="str">
        <f>IF(OR(E5801="",E5801="!!!",F5801="NEW"),"",INDEX(J$1:J5800,SUMPRODUCT(MAX(ROW(E$1:E5800)*(E5801=E$1:E5800)))))</f>
        <v> </v>
      </c>
      <c r="L5801" s="27"/>
    </row>
    <row r="5802" spans="1:12">
      <c r="A5802" s="20" t="s">
        <v>2757</v>
      </c>
      <c r="E5802" s="22">
        <f>IF(D5802="?OLD","!!!","")</f>
        <v/>
      </c>
      <c r="F5802" s="23" t="str">
        <f>IF(OR(E5802="",E5802="!!!"),"",IF(NOT(ISNA(VLOOKUP(E5802,E$1:E5801,1,FALSE()))),"OLD",IF(AND(E5802&lt;&gt;"",E5802&lt;&gt;"!!!"),"NEW","")))</f>
        <v> </v>
      </c>
      <c r="G5802" s="24" t="str">
        <f>IF(OR(E5802="",E5802="!!!"),"",IF(OR(J5802=0,AND(J5802=1,K5802=1),AND(J5802=1,I5802="SBJ"),AND(J5802=1,I5802=0)),"?IN_FOCUS",IF(J5802&lt;=2,"?ACTIVATED",IF(J5802&lt;&gt;"","?FAMILIAR",IF(F5802="NEW",IF(ISNA(VLOOKUP(E5802,#REF!,1,FALSE())),"?TYPE_IDENTIFIABLE","?REFERENTIAL"),"_")))))</f>
        <v> </v>
      </c>
      <c r="H5802" s="25" t="str">
        <f>IF(J5802&lt;&gt;1,"",IF(I5802="SBJ","CB","?"))</f>
        <v> </v>
      </c>
      <c r="I5802" s="26" t="str">
        <f>IF(OR(E5802="",E5802="!!!",F5802="NEW"),"",INDEX(B5801:B$2,-1+SUMPRODUCT(MAX(ROW(E5801:E$2)*(E5802=E5801:E$2)))))</f>
        <v> </v>
      </c>
      <c r="J5802" s="26" t="str">
        <f>IF(OR(E5802="",E5802="!!!",F5802="NEW"),"",COUNTBLANK(OFFSET(A$1,,,SUMPRODUCT(MAX(ROW(E$2:E5802)*(E5802=E$2:E5802)))))-COUNTBLANK(OFFSET(A$1,,,SUMPRODUCT(MAX(ROW(E$1:E5801)*(E2=E$1:E5801))))))</f>
        <v> </v>
      </c>
      <c r="K5802" s="26" t="str">
        <f>IF(OR(E5802="",E5802="!!!",F5802="NEW"),"",INDEX(J$1:J5801,SUMPRODUCT(MAX(ROW(E$1:E5801)*(E5802=E$1:E5801)))))</f>
        <v> </v>
      </c>
      <c r="L5802" s="27"/>
    </row>
    <row r="5803" spans="1:12">
      <c r="A5803" s="20" t="s">
        <v>1185</v>
      </c>
      <c r="E5803" s="22">
        <f>IF(D5803="?OLD","!!!","")</f>
        <v/>
      </c>
      <c r="F5803" s="23" t="str">
        <f>IF(OR(E5803="",E5803="!!!"),"",IF(NOT(ISNA(VLOOKUP(E5803,E$1:E5802,1,FALSE()))),"OLD",IF(AND(E5803&lt;&gt;"",E5803&lt;&gt;"!!!"),"NEW","")))</f>
        <v> </v>
      </c>
      <c r="G5803" s="24" t="str">
        <f>IF(OR(E5803="",E5803="!!!"),"",IF(OR(J5803=0,AND(J5803=1,K5803=1),AND(J5803=1,I5803="SBJ"),AND(J5803=1,I5803=0)),"?IN_FOCUS",IF(J5803&lt;=2,"?ACTIVATED",IF(J5803&lt;&gt;"","?FAMILIAR",IF(F5803="NEW",IF(ISNA(VLOOKUP(E5803,#REF!,1,FALSE())),"?TYPE_IDENTIFIABLE","?REFERENTIAL"),"_")))))</f>
        <v> </v>
      </c>
      <c r="H5803" s="25" t="str">
        <f>IF(J5803&lt;&gt;1,"",IF(I5803="SBJ","CB","?"))</f>
        <v> </v>
      </c>
      <c r="I5803" s="26" t="str">
        <f>IF(OR(E5803="",E5803="!!!",F5803="NEW"),"",INDEX(B5802:B$2,-1+SUMPRODUCT(MAX(ROW(E5802:E$2)*(E5803=E5802:E$2)))))</f>
        <v> </v>
      </c>
      <c r="J5803" s="26" t="str">
        <f>IF(OR(E5803="",E5803="!!!",F5803="NEW"),"",COUNTBLANK(OFFSET(A$1,,,SUMPRODUCT(MAX(ROW(E$2:E5803)*(E5803=E$2:E5803)))))-COUNTBLANK(OFFSET(A$1,,,SUMPRODUCT(MAX(ROW(E$1:E5802)*(E2=E$1:E5802))))))</f>
        <v> </v>
      </c>
      <c r="K5803" s="26" t="str">
        <f>IF(OR(E5803="",E5803="!!!",F5803="NEW"),"",INDEX(J$1:J5802,SUMPRODUCT(MAX(ROW(E$1:E5802)*(E5803=E$1:E5802)))))</f>
        <v> </v>
      </c>
      <c r="L5803" s="27"/>
    </row>
    <row r="5804" spans="1:12">
      <c r="A5804" s="20" t="s">
        <v>1186</v>
      </c>
      <c r="B5804" s="21" t="s">
        <v>1429</v>
      </c>
      <c r="E5804" s="22">
        <f>IF(D5804="?OLD","!!!","")</f>
        <v/>
      </c>
      <c r="F5804" s="23" t="str">
        <f>IF(OR(E5804="",E5804="!!!"),"",IF(NOT(ISNA(VLOOKUP(E5804,E$1:E5803,1,FALSE()))),"OLD",IF(AND(E5804&lt;&gt;"",E5804&lt;&gt;"!!!"),"NEW","")))</f>
        <v> </v>
      </c>
      <c r="G5804" s="24" t="str">
        <f>IF(OR(E5804="",E5804="!!!"),"",IF(OR(J5804=0,AND(J5804=1,K5804=1),AND(J5804=1,I5804="SBJ"),AND(J5804=1,I5804=0)),"?IN_FOCUS",IF(J5804&lt;=2,"?ACTIVATED",IF(J5804&lt;&gt;"","?FAMILIAR",IF(F5804="NEW",IF(ISNA(VLOOKUP(E5804,#REF!,1,FALSE())),"?TYPE_IDENTIFIABLE","?REFERENTIAL"),"_")))))</f>
        <v> </v>
      </c>
      <c r="H5804" s="25" t="str">
        <f>IF(J5804&lt;&gt;1,"",IF(I5804="SBJ","CB","?"))</f>
        <v> </v>
      </c>
      <c r="I5804" s="26" t="str">
        <f>IF(OR(E5804="",E5804="!!!",F5804="NEW"),"",INDEX(B5803:B$2,-1+SUMPRODUCT(MAX(ROW(E5803:E$2)*(E5804=E5803:E$2)))))</f>
        <v> </v>
      </c>
      <c r="J5804" s="26" t="str">
        <f>IF(OR(E5804="",E5804="!!!",F5804="NEW"),"",COUNTBLANK(OFFSET(A$1,,,SUMPRODUCT(MAX(ROW(E$2:E5804)*(E5804=E$2:E5804)))))-COUNTBLANK(OFFSET(A$1,,,SUMPRODUCT(MAX(ROW(E$1:E5803)*(E2=E$1:E5803))))))</f>
        <v> </v>
      </c>
      <c r="K5804" s="26" t="str">
        <f>IF(OR(E5804="",E5804="!!!",F5804="NEW"),"",INDEX(J$1:J5803,SUMPRODUCT(MAX(ROW(E$1:E5803)*(E5804=E$1:E5803)))))</f>
        <v> </v>
      </c>
      <c r="L5804" s="27"/>
    </row>
    <row r="5805" spans="1:12">
      <c r="A5805" s="20" t="s">
        <v>1314</v>
      </c>
      <c r="E5805" s="22">
        <f>IF(D5805="?OLD","!!!","")</f>
        <v/>
      </c>
      <c r="F5805" s="23" t="str">
        <f>IF(OR(E5805="",E5805="!!!"),"",IF(NOT(ISNA(VLOOKUP(E5805,E$1:E5804,1,FALSE()))),"OLD",IF(AND(E5805&lt;&gt;"",E5805&lt;&gt;"!!!"),"NEW","")))</f>
        <v> </v>
      </c>
      <c r="G5805" s="24" t="str">
        <f>IF(OR(E5805="",E5805="!!!"),"",IF(OR(J5805=0,AND(J5805=1,K5805=1),AND(J5805=1,I5805="SBJ"),AND(J5805=1,I5805=0)),"?IN_FOCUS",IF(J5805&lt;=2,"?ACTIVATED",IF(J5805&lt;&gt;"","?FAMILIAR",IF(F5805="NEW",IF(ISNA(VLOOKUP(E5805,#REF!,1,FALSE())),"?TYPE_IDENTIFIABLE","?REFERENTIAL"),"_")))))</f>
        <v> </v>
      </c>
      <c r="H5805" s="25" t="str">
        <f>IF(J5805&lt;&gt;1,"",IF(I5805="SBJ","CB","?"))</f>
        <v> </v>
      </c>
      <c r="I5805" s="26" t="str">
        <f>IF(OR(E5805="",E5805="!!!",F5805="NEW"),"",INDEX(B5804:B$2,-1+SUMPRODUCT(MAX(ROW(E5804:E$2)*(E5805=E5804:E$2)))))</f>
        <v> </v>
      </c>
      <c r="J5805" s="26" t="str">
        <f>IF(OR(E5805="",E5805="!!!",F5805="NEW"),"",COUNTBLANK(OFFSET(A$1,,,SUMPRODUCT(MAX(ROW(E$2:E5805)*(E5805=E$2:E5805)))))-COUNTBLANK(OFFSET(A$1,,,SUMPRODUCT(MAX(ROW(E$1:E5804)*(E2=E$1:E5804))))))</f>
        <v> </v>
      </c>
      <c r="K5805" s="26" t="str">
        <f>IF(OR(E5805="",E5805="!!!",F5805="NEW"),"",INDEX(J$1:J5804,SUMPRODUCT(MAX(ROW(E$1:E5804)*(E5805=E$1:E5804)))))</f>
        <v> </v>
      </c>
      <c r="L5805" s="27"/>
    </row>
    <row r="5806" spans="1:12">
      <c r="A5806" s="20" t="s">
        <v>1537</v>
      </c>
      <c r="E5806" s="22">
        <f>IF(D5806="?OLD","!!!","")</f>
        <v/>
      </c>
      <c r="F5806" s="23" t="str">
        <f>IF(OR(E5806="",E5806="!!!"),"",IF(NOT(ISNA(VLOOKUP(E5806,E$1:E5805,1,FALSE()))),"OLD",IF(AND(E5806&lt;&gt;"",E5806&lt;&gt;"!!!"),"NEW","")))</f>
        <v> </v>
      </c>
      <c r="G5806" s="24" t="str">
        <f>IF(OR(E5806="",E5806="!!!"),"",IF(OR(J5806=0,AND(J5806=1,K5806=1),AND(J5806=1,I5806="SBJ"),AND(J5806=1,I5806=0)),"?IN_FOCUS",IF(J5806&lt;=2,"?ACTIVATED",IF(J5806&lt;&gt;"","?FAMILIAR",IF(F5806="NEW",IF(ISNA(VLOOKUP(E5806,#REF!,1,FALSE())),"?TYPE_IDENTIFIABLE","?REFERENTIAL"),"_")))))</f>
        <v> </v>
      </c>
      <c r="H5806" s="25" t="str">
        <f>IF(J5806&lt;&gt;1,"",IF(I5806="SBJ","CB","?"))</f>
        <v> </v>
      </c>
      <c r="I5806" s="26" t="str">
        <f>IF(OR(E5806="",E5806="!!!",F5806="NEW"),"",INDEX(B5805:B$2,-1+SUMPRODUCT(MAX(ROW(E5805:E$2)*(E5806=E5805:E$2)))))</f>
        <v> </v>
      </c>
      <c r="J5806" s="26" t="str">
        <f>IF(OR(E5806="",E5806="!!!",F5806="NEW"),"",COUNTBLANK(OFFSET(A$1,,,SUMPRODUCT(MAX(ROW(E$2:E5806)*(E5806=E$2:E5806)))))-COUNTBLANK(OFFSET(A$1,,,SUMPRODUCT(MAX(ROW(E$1:E5805)*(E2=E$1:E5805))))))</f>
        <v> </v>
      </c>
      <c r="K5806" s="26" t="str">
        <f>IF(OR(E5806="",E5806="!!!",F5806="NEW"),"",INDEX(J$1:J5805,SUMPRODUCT(MAX(ROW(E$1:E5805)*(E5806=E$1:E5805)))))</f>
        <v> </v>
      </c>
      <c r="L5806" s="27"/>
    </row>
    <row r="5807" spans="1:12">
      <c r="A5807" s="20" t="s">
        <v>2758</v>
      </c>
      <c r="E5807" s="22">
        <f>IF(D5807="?OLD","!!!","")</f>
        <v/>
      </c>
      <c r="F5807" s="23" t="str">
        <f>IF(OR(E5807="",E5807="!!!"),"",IF(NOT(ISNA(VLOOKUP(E5807,E$1:E5806,1,FALSE()))),"OLD",IF(AND(E5807&lt;&gt;"",E5807&lt;&gt;"!!!"),"NEW","")))</f>
        <v> </v>
      </c>
      <c r="G5807" s="24" t="str">
        <f>IF(OR(E5807="",E5807="!!!"),"",IF(OR(J5807=0,AND(J5807=1,K5807=1),AND(J5807=1,I5807="SBJ"),AND(J5807=1,I5807=0)),"?IN_FOCUS",IF(J5807&lt;=2,"?ACTIVATED",IF(J5807&lt;&gt;"","?FAMILIAR",IF(F5807="NEW",IF(ISNA(VLOOKUP(E5807,#REF!,1,FALSE())),"?TYPE_IDENTIFIABLE","?REFERENTIAL"),"_")))))</f>
        <v> </v>
      </c>
      <c r="H5807" s="25" t="str">
        <f>IF(J5807&lt;&gt;1,"",IF(I5807="SBJ","CB","?"))</f>
        <v> </v>
      </c>
      <c r="I5807" s="26" t="str">
        <f>IF(OR(E5807="",E5807="!!!",F5807="NEW"),"",INDEX(B5806:B$2,-1+SUMPRODUCT(MAX(ROW(E5806:E$2)*(E5807=E5806:E$2)))))</f>
        <v> </v>
      </c>
      <c r="J5807" s="26" t="str">
        <f>IF(OR(E5807="",E5807="!!!",F5807="NEW"),"",COUNTBLANK(OFFSET(A$1,,,SUMPRODUCT(MAX(ROW(E$2:E5807)*(E5807=E$2:E5807)))))-COUNTBLANK(OFFSET(A$1,,,SUMPRODUCT(MAX(ROW(E$1:E5806)*(E2=E$1:E5806))))))</f>
        <v> </v>
      </c>
      <c r="K5807" s="26" t="str">
        <f>IF(OR(E5807="",E5807="!!!",F5807="NEW"),"",INDEX(J$1:J5806,SUMPRODUCT(MAX(ROW(E$1:E5806)*(E5807=E$1:E5806)))))</f>
        <v> </v>
      </c>
      <c r="L5807" s="27"/>
    </row>
    <row r="5808" spans="1:12">
      <c r="A5808" s="20" t="s">
        <v>366</v>
      </c>
      <c r="E5808" s="22">
        <f>IF(D5808="?OLD","!!!","")</f>
        <v/>
      </c>
      <c r="F5808" s="23" t="str">
        <f>IF(OR(E5808="",E5808="!!!"),"",IF(NOT(ISNA(VLOOKUP(E5808,E$1:E5807,1,FALSE()))),"OLD",IF(AND(E5808&lt;&gt;"",E5808&lt;&gt;"!!!"),"NEW","")))</f>
        <v> </v>
      </c>
      <c r="G5808" s="24" t="str">
        <f>IF(OR(E5808="",E5808="!!!"),"",IF(OR(J5808=0,AND(J5808=1,K5808=1),AND(J5808=1,I5808="SBJ"),AND(J5808=1,I5808=0)),"?IN_FOCUS",IF(J5808&lt;=2,"?ACTIVATED",IF(J5808&lt;&gt;"","?FAMILIAR",IF(F5808="NEW",IF(ISNA(VLOOKUP(E5808,#REF!,1,FALSE())),"?TYPE_IDENTIFIABLE","?REFERENTIAL"),"_")))))</f>
        <v> </v>
      </c>
      <c r="H5808" s="25" t="str">
        <f>IF(J5808&lt;&gt;1,"",IF(I5808="SBJ","CB","?"))</f>
        <v> </v>
      </c>
      <c r="I5808" s="26" t="str">
        <f>IF(OR(E5808="",E5808="!!!",F5808="NEW"),"",INDEX(B5807:B$2,-1+SUMPRODUCT(MAX(ROW(E5807:E$2)*(E5808=E5807:E$2)))))</f>
        <v> </v>
      </c>
      <c r="J5808" s="26" t="str">
        <f>IF(OR(E5808="",E5808="!!!",F5808="NEW"),"",COUNTBLANK(OFFSET(A$1,,,SUMPRODUCT(MAX(ROW(E$2:E5808)*(E5808=E$2:E5808)))))-COUNTBLANK(OFFSET(A$1,,,SUMPRODUCT(MAX(ROW(E$1:E5807)*(E2=E$1:E5807))))))</f>
        <v> </v>
      </c>
      <c r="K5808" s="26" t="str">
        <f>IF(OR(E5808="",E5808="!!!",F5808="NEW"),"",INDEX(J$1:J5807,SUMPRODUCT(MAX(ROW(E$1:E5807)*(E5808=E$1:E5807)))))</f>
        <v> </v>
      </c>
      <c r="L5808" s="27"/>
    </row>
    <row r="5809" spans="1:12">
      <c r="A5809" s="20" t="s">
        <v>1953</v>
      </c>
      <c r="E5809" s="22">
        <f>IF(D5809="?OLD","!!!","")</f>
        <v/>
      </c>
      <c r="F5809" s="23" t="str">
        <f>IF(OR(E5809="",E5809="!!!"),"",IF(NOT(ISNA(VLOOKUP(E5809,E$1:E5808,1,FALSE()))),"OLD",IF(AND(E5809&lt;&gt;"",E5809&lt;&gt;"!!!"),"NEW","")))</f>
        <v> </v>
      </c>
      <c r="G5809" s="24" t="str">
        <f>IF(OR(E5809="",E5809="!!!"),"",IF(OR(J5809=0,AND(J5809=1,K5809=1),AND(J5809=1,I5809="SBJ"),AND(J5809=1,I5809=0)),"?IN_FOCUS",IF(J5809&lt;=2,"?ACTIVATED",IF(J5809&lt;&gt;"","?FAMILIAR",IF(F5809="NEW",IF(ISNA(VLOOKUP(E5809,#REF!,1,FALSE())),"?TYPE_IDENTIFIABLE","?REFERENTIAL"),"_")))))</f>
        <v> </v>
      </c>
      <c r="H5809" s="25" t="str">
        <f>IF(J5809&lt;&gt;1,"",IF(I5809="SBJ","CB","?"))</f>
        <v> </v>
      </c>
      <c r="I5809" s="26" t="str">
        <f>IF(OR(E5809="",E5809="!!!",F5809="NEW"),"",INDEX(B5808:B$2,-1+SUMPRODUCT(MAX(ROW(E5808:E$2)*(E5809=E5808:E$2)))))</f>
        <v> </v>
      </c>
      <c r="J5809" s="26" t="str">
        <f>IF(OR(E5809="",E5809="!!!",F5809="NEW"),"",COUNTBLANK(OFFSET(A$1,,,SUMPRODUCT(MAX(ROW(E$2:E5809)*(E5809=E$2:E5809)))))-COUNTBLANK(OFFSET(A$1,,,SUMPRODUCT(MAX(ROW(E$1:E5808)*(E2=E$1:E5808))))))</f>
        <v> </v>
      </c>
      <c r="K5809" s="26" t="str">
        <f>IF(OR(E5809="",E5809="!!!",F5809="NEW"),"",INDEX(J$1:J5808,SUMPRODUCT(MAX(ROW(E$1:E5808)*(E5809=E$1:E5808)))))</f>
        <v> </v>
      </c>
      <c r="L5809" s="27"/>
    </row>
    <row r="5810" spans="1:12">
      <c r="A5810" s="20" t="s">
        <v>1185</v>
      </c>
      <c r="E5810" s="22">
        <f>IF(D5810="?OLD","!!!","")</f>
        <v/>
      </c>
      <c r="F5810" s="23" t="str">
        <f>IF(OR(E5810="",E5810="!!!"),"",IF(NOT(ISNA(VLOOKUP(E5810,E$1:E5809,1,FALSE()))),"OLD",IF(AND(E5810&lt;&gt;"",E5810&lt;&gt;"!!!"),"NEW","")))</f>
        <v> </v>
      </c>
      <c r="G5810" s="24" t="str">
        <f>IF(OR(E5810="",E5810="!!!"),"",IF(OR(J5810=0,AND(J5810=1,K5810=1),AND(J5810=1,I5810="SBJ"),AND(J5810=1,I5810=0)),"?IN_FOCUS",IF(J5810&lt;=2,"?ACTIVATED",IF(J5810&lt;&gt;"","?FAMILIAR",IF(F5810="NEW",IF(ISNA(VLOOKUP(E5810,#REF!,1,FALSE())),"?TYPE_IDENTIFIABLE","?REFERENTIAL"),"_")))))</f>
        <v> </v>
      </c>
      <c r="H5810" s="25" t="str">
        <f>IF(J5810&lt;&gt;1,"",IF(I5810="SBJ","CB","?"))</f>
        <v> </v>
      </c>
      <c r="I5810" s="26" t="str">
        <f>IF(OR(E5810="",E5810="!!!",F5810="NEW"),"",INDEX(B5809:B$2,-1+SUMPRODUCT(MAX(ROW(E5809:E$2)*(E5810=E5809:E$2)))))</f>
        <v> </v>
      </c>
      <c r="J5810" s="26" t="str">
        <f>IF(OR(E5810="",E5810="!!!",F5810="NEW"),"",COUNTBLANK(OFFSET(A$1,,,SUMPRODUCT(MAX(ROW(E$2:E5810)*(E5810=E$2:E5810)))))-COUNTBLANK(OFFSET(A$1,,,SUMPRODUCT(MAX(ROW(E$1:E5809)*(E2=E$1:E5809))))))</f>
        <v> </v>
      </c>
      <c r="K5810" s="26" t="str">
        <f>IF(OR(E5810="",E5810="!!!",F5810="NEW"),"",INDEX(J$1:J5809,SUMPRODUCT(MAX(ROW(E$1:E5809)*(E5810=E$1:E5809)))))</f>
        <v> </v>
      </c>
      <c r="L5810" s="27"/>
    </row>
    <row r="5811" spans="1:12">
      <c r="A5811" s="20" t="s">
        <v>1420</v>
      </c>
      <c r="E5811" s="22">
        <f>IF(D5811="?OLD","!!!","")</f>
        <v/>
      </c>
      <c r="F5811" s="23" t="str">
        <f>IF(OR(E5811="",E5811="!!!"),"",IF(NOT(ISNA(VLOOKUP(E5811,E$1:E5810,1,FALSE()))),"OLD",IF(AND(E5811&lt;&gt;"",E5811&lt;&gt;"!!!"),"NEW","")))</f>
        <v> </v>
      </c>
      <c r="G5811" s="24" t="str">
        <f>IF(OR(E5811="",E5811="!!!"),"",IF(OR(J5811=0,AND(J5811=1,K5811=1),AND(J5811=1,I5811="SBJ"),AND(J5811=1,I5811=0)),"?IN_FOCUS",IF(J5811&lt;=2,"?ACTIVATED",IF(J5811&lt;&gt;"","?FAMILIAR",IF(F5811="NEW",IF(ISNA(VLOOKUP(E5811,#REF!,1,FALSE())),"?TYPE_IDENTIFIABLE","?REFERENTIAL"),"_")))))</f>
        <v> </v>
      </c>
      <c r="H5811" s="25" t="str">
        <f>IF(J5811&lt;&gt;1,"",IF(I5811="SBJ","CB","?"))</f>
        <v> </v>
      </c>
      <c r="I5811" s="26" t="str">
        <f>IF(OR(E5811="",E5811="!!!",F5811="NEW"),"",INDEX(B5810:B$2,-1+SUMPRODUCT(MAX(ROW(E5810:E$2)*(E5811=E5810:E$2)))))</f>
        <v> </v>
      </c>
      <c r="J5811" s="26" t="str">
        <f>IF(OR(E5811="",E5811="!!!",F5811="NEW"),"",COUNTBLANK(OFFSET(A$1,,,SUMPRODUCT(MAX(ROW(E$2:E5811)*(E5811=E$2:E5811)))))-COUNTBLANK(OFFSET(A$1,,,SUMPRODUCT(MAX(ROW(E$1:E5810)*(E2=E$1:E5810))))))</f>
        <v> </v>
      </c>
      <c r="K5811" s="26" t="str">
        <f>IF(OR(E5811="",E5811="!!!",F5811="NEW"),"",INDEX(J$1:J5810,SUMPRODUCT(MAX(ROW(E$1:E5810)*(E5811=E$1:E5810)))))</f>
        <v> </v>
      </c>
      <c r="L5811" s="27"/>
    </row>
    <row r="5812" spans="1:12">
      <c r="A5812" s="20" t="s">
        <v>427</v>
      </c>
      <c r="B5812" s="21" t="s">
        <v>1912</v>
      </c>
      <c r="C5812" s="21" t="s">
        <v>1238</v>
      </c>
      <c r="D5812" s="21" t="s">
        <v>1180</v>
      </c>
      <c r="E5812" s="22">
        <f>IF(D5812="?OLD","!!!","")</f>
        <v/>
      </c>
      <c r="F5812" s="23" t="str">
        <f>IF(OR(E5812="",E5812="!!!"),"",IF(NOT(ISNA(VLOOKUP(E5812,E$1:E5811,1,FALSE()))),"OLD",IF(AND(E5812&lt;&gt;"",E5812&lt;&gt;"!!!"),"NEW","")))</f>
        <v> </v>
      </c>
      <c r="G5812" s="24" t="str">
        <f>IF(OR(E5812="",E5812="!!!"),"",IF(OR(J5812=0,AND(J5812=1,K5812=1),AND(J5812=1,I5812="SBJ"),AND(J5812=1,I5812=0)),"?IN_FOCUS",IF(J5812&lt;=2,"?ACTIVATED",IF(J5812&lt;&gt;"","?FAMILIAR",IF(F5812="NEW",IF(ISNA(VLOOKUP(E5812,#REF!,1,FALSE())),"?TYPE_IDENTIFIABLE","?REFERENTIAL"),"_")))))</f>
        <v> </v>
      </c>
      <c r="H5812" s="25" t="str">
        <f>IF(J5812&lt;&gt;1,"",IF(I5812="SBJ","CB","?"))</f>
        <v> </v>
      </c>
      <c r="I5812" s="26" t="str">
        <f>IF(OR(E5812="",E5812="!!!",F5812="NEW"),"",INDEX(B5811:B$2,-1+SUMPRODUCT(MAX(ROW(E5811:E$2)*(E5812=E5811:E$2)))))</f>
        <v> </v>
      </c>
      <c r="J5812" s="26" t="str">
        <f>IF(OR(E5812="",E5812="!!!",F5812="NEW"),"",COUNTBLANK(OFFSET(A$1,,,SUMPRODUCT(MAX(ROW(E$2:E5812)*(E5812=E$2:E5812)))))-COUNTBLANK(OFFSET(A$1,,,SUMPRODUCT(MAX(ROW(E$1:E5811)*(E2=E$1:E5811))))))</f>
        <v> </v>
      </c>
      <c r="K5812" s="26" t="str">
        <f>IF(OR(E5812="",E5812="!!!",F5812="NEW"),"",INDEX(J$1:J5811,SUMPRODUCT(MAX(ROW(E$1:E5811)*(E5812=E$1:E5811)))))</f>
        <v> </v>
      </c>
      <c r="L5812" s="27"/>
    </row>
    <row r="5813" spans="1:12">
      <c r="A5813" s="20" t="s">
        <v>2759</v>
      </c>
      <c r="E5813" s="22">
        <f>IF(D5813="?OLD","!!!","")</f>
        <v/>
      </c>
      <c r="F5813" s="23" t="str">
        <f>IF(OR(E5813="",E5813="!!!"),"",IF(NOT(ISNA(VLOOKUP(E5813,E$1:E5812,1,FALSE()))),"OLD",IF(AND(E5813&lt;&gt;"",E5813&lt;&gt;"!!!"),"NEW","")))</f>
        <v> </v>
      </c>
      <c r="G5813" s="24" t="str">
        <f>IF(OR(E5813="",E5813="!!!"),"",IF(OR(J5813=0,AND(J5813=1,K5813=1),AND(J5813=1,I5813="SBJ"),AND(J5813=1,I5813=0)),"?IN_FOCUS",IF(J5813&lt;=2,"?ACTIVATED",IF(J5813&lt;&gt;"","?FAMILIAR",IF(F5813="NEW",IF(ISNA(VLOOKUP(E5813,#REF!,1,FALSE())),"?TYPE_IDENTIFIABLE","?REFERENTIAL"),"_")))))</f>
        <v> </v>
      </c>
      <c r="H5813" s="25" t="str">
        <f>IF(J5813&lt;&gt;1,"",IF(I5813="SBJ","CB","?"))</f>
        <v> </v>
      </c>
      <c r="I5813" s="26" t="str">
        <f>IF(OR(E5813="",E5813="!!!",F5813="NEW"),"",INDEX(B5812:B$2,-1+SUMPRODUCT(MAX(ROW(E5812:E$2)*(E5813=E5812:E$2)))))</f>
        <v> </v>
      </c>
      <c r="J5813" s="26" t="str">
        <f>IF(OR(E5813="",E5813="!!!",F5813="NEW"),"",COUNTBLANK(OFFSET(A$1,,,SUMPRODUCT(MAX(ROW(E$2:E5813)*(E5813=E$2:E5813)))))-COUNTBLANK(OFFSET(A$1,,,SUMPRODUCT(MAX(ROW(E$1:E5812)*(E2=E$1:E5812))))))</f>
        <v> </v>
      </c>
      <c r="K5813" s="26" t="str">
        <f>IF(OR(E5813="",E5813="!!!",F5813="NEW"),"",INDEX(J$1:J5812,SUMPRODUCT(MAX(ROW(E$1:E5812)*(E5813=E$1:E5812)))))</f>
        <v> </v>
      </c>
      <c r="L5813" s="27"/>
    </row>
    <row r="5814" spans="1:12">
      <c r="A5814" s="20" t="s">
        <v>1185</v>
      </c>
      <c r="E5814" s="22">
        <f>IF(D5814="?OLD","!!!","")</f>
        <v/>
      </c>
      <c r="F5814" s="23" t="str">
        <f>IF(OR(E5814="",E5814="!!!"),"",IF(NOT(ISNA(VLOOKUP(E5814,E$1:E5813,1,FALSE()))),"OLD",IF(AND(E5814&lt;&gt;"",E5814&lt;&gt;"!!!"),"NEW","")))</f>
        <v> </v>
      </c>
      <c r="G5814" s="24" t="str">
        <f>IF(OR(E5814="",E5814="!!!"),"",IF(OR(J5814=0,AND(J5814=1,K5814=1),AND(J5814=1,I5814="SBJ"),AND(J5814=1,I5814=0)),"?IN_FOCUS",IF(J5814&lt;=2,"?ACTIVATED",IF(J5814&lt;&gt;"","?FAMILIAR",IF(F5814="NEW",IF(ISNA(VLOOKUP(E5814,#REF!,1,FALSE())),"?TYPE_IDENTIFIABLE","?REFERENTIAL"),"_")))))</f>
        <v> </v>
      </c>
      <c r="H5814" s="25" t="str">
        <f>IF(J5814&lt;&gt;1,"",IF(I5814="SBJ","CB","?"))</f>
        <v> </v>
      </c>
      <c r="I5814" s="26" t="str">
        <f>IF(OR(E5814="",E5814="!!!",F5814="NEW"),"",INDEX(B5813:B$2,-1+SUMPRODUCT(MAX(ROW(E5813:E$2)*(E5814=E5813:E$2)))))</f>
        <v> </v>
      </c>
      <c r="J5814" s="26" t="str">
        <f>IF(OR(E5814="",E5814="!!!",F5814="NEW"),"",COUNTBLANK(OFFSET(A$1,,,SUMPRODUCT(MAX(ROW(E$2:E5814)*(E5814=E$2:E5814)))))-COUNTBLANK(OFFSET(A$1,,,SUMPRODUCT(MAX(ROW(E$1:E5813)*(E2=E$1:E5813))))))</f>
        <v> </v>
      </c>
      <c r="K5814" s="26" t="str">
        <f>IF(OR(E5814="",E5814="!!!",F5814="NEW"),"",INDEX(J$1:J5813,SUMPRODUCT(MAX(ROW(E$1:E5813)*(E5814=E$1:E5813)))))</f>
        <v> </v>
      </c>
      <c r="L5814" s="27"/>
    </row>
    <row r="5815" spans="1:12">
      <c r="A5815" s="20" t="s">
        <v>1930</v>
      </c>
      <c r="E5815" s="22">
        <f>IF(D5815="?OLD","!!!","")</f>
        <v/>
      </c>
      <c r="F5815" s="23" t="str">
        <f>IF(OR(E5815="",E5815="!!!"),"",IF(NOT(ISNA(VLOOKUP(E5815,E$1:E5814,1,FALSE()))),"OLD",IF(AND(E5815&lt;&gt;"",E5815&lt;&gt;"!!!"),"NEW","")))</f>
        <v> </v>
      </c>
      <c r="G5815" s="24" t="str">
        <f>IF(OR(E5815="",E5815="!!!"),"",IF(OR(J5815=0,AND(J5815=1,K5815=1),AND(J5815=1,I5815="SBJ"),AND(J5815=1,I5815=0)),"?IN_FOCUS",IF(J5815&lt;=2,"?ACTIVATED",IF(J5815&lt;&gt;"","?FAMILIAR",IF(F5815="NEW",IF(ISNA(VLOOKUP(E5815,#REF!,1,FALSE())),"?TYPE_IDENTIFIABLE","?REFERENTIAL"),"_")))))</f>
        <v> </v>
      </c>
      <c r="H5815" s="25" t="str">
        <f>IF(J5815&lt;&gt;1,"",IF(I5815="SBJ","CB","?"))</f>
        <v> </v>
      </c>
      <c r="I5815" s="26" t="str">
        <f>IF(OR(E5815="",E5815="!!!",F5815="NEW"),"",INDEX(B5814:B$2,-1+SUMPRODUCT(MAX(ROW(E5814:E$2)*(E5815=E5814:E$2)))))</f>
        <v> </v>
      </c>
      <c r="J5815" s="26" t="str">
        <f>IF(OR(E5815="",E5815="!!!",F5815="NEW"),"",COUNTBLANK(OFFSET(A$1,,,SUMPRODUCT(MAX(ROW(E$2:E5815)*(E5815=E$2:E5815)))))-COUNTBLANK(OFFSET(A$1,,,SUMPRODUCT(MAX(ROW(E$1:E5814)*(E2=E$1:E5814))))))</f>
        <v> </v>
      </c>
      <c r="K5815" s="26" t="str">
        <f>IF(OR(E5815="",E5815="!!!",F5815="NEW"),"",INDEX(J$1:J5814,SUMPRODUCT(MAX(ROW(E$1:E5814)*(E5815=E$1:E5814)))))</f>
        <v> </v>
      </c>
      <c r="L5815" s="27"/>
    </row>
    <row r="5816" spans="1:12">
      <c r="A5816" s="20" t="s">
        <v>2758</v>
      </c>
      <c r="E5816" s="22">
        <f>IF(D5816="?OLD","!!!","")</f>
        <v/>
      </c>
      <c r="F5816" s="23" t="str">
        <f>IF(OR(E5816="",E5816="!!!"),"",IF(NOT(ISNA(VLOOKUP(E5816,E$1:E5815,1,FALSE()))),"OLD",IF(AND(E5816&lt;&gt;"",E5816&lt;&gt;"!!!"),"NEW","")))</f>
        <v> </v>
      </c>
      <c r="G5816" s="24" t="str">
        <f>IF(OR(E5816="",E5816="!!!"),"",IF(OR(J5816=0,AND(J5816=1,K5816=1),AND(J5816=1,I5816="SBJ"),AND(J5816=1,I5816=0)),"?IN_FOCUS",IF(J5816&lt;=2,"?ACTIVATED",IF(J5816&lt;&gt;"","?FAMILIAR",IF(F5816="NEW",IF(ISNA(VLOOKUP(E5816,#REF!,1,FALSE())),"?TYPE_IDENTIFIABLE","?REFERENTIAL"),"_")))))</f>
        <v> </v>
      </c>
      <c r="H5816" s="25" t="str">
        <f>IF(J5816&lt;&gt;1,"",IF(I5816="SBJ","CB","?"))</f>
        <v> </v>
      </c>
      <c r="I5816" s="26" t="str">
        <f>IF(OR(E5816="",E5816="!!!",F5816="NEW"),"",INDEX(B5815:B$2,-1+SUMPRODUCT(MAX(ROW(E5815:E$2)*(E5816=E5815:E$2)))))</f>
        <v> </v>
      </c>
      <c r="J5816" s="26" t="str">
        <f>IF(OR(E5816="",E5816="!!!",F5816="NEW"),"",COUNTBLANK(OFFSET(A$1,,,SUMPRODUCT(MAX(ROW(E$2:E5816)*(E5816=E$2:E5816)))))-COUNTBLANK(OFFSET(A$1,,,SUMPRODUCT(MAX(ROW(E$1:E5815)*(E2=E$1:E5815))))))</f>
        <v> </v>
      </c>
      <c r="K5816" s="26" t="str">
        <f>IF(OR(E5816="",E5816="!!!",F5816="NEW"),"",INDEX(J$1:J5815,SUMPRODUCT(MAX(ROW(E$1:E5815)*(E5816=E$1:E5815)))))</f>
        <v> </v>
      </c>
      <c r="L5816" s="27"/>
    </row>
    <row r="5817" spans="1:12">
      <c r="A5817" s="20" t="s">
        <v>1185</v>
      </c>
      <c r="E5817" s="22">
        <f>IF(D5817="?OLD","!!!","")</f>
        <v/>
      </c>
      <c r="F5817" s="23" t="str">
        <f>IF(OR(E5817="",E5817="!!!"),"",IF(NOT(ISNA(VLOOKUP(E5817,E$1:E5816,1,FALSE()))),"OLD",IF(AND(E5817&lt;&gt;"",E5817&lt;&gt;"!!!"),"NEW","")))</f>
        <v> </v>
      </c>
      <c r="G5817" s="24" t="str">
        <f>IF(OR(E5817="",E5817="!!!"),"",IF(OR(J5817=0,AND(J5817=1,K5817=1),AND(J5817=1,I5817="SBJ"),AND(J5817=1,I5817=0)),"?IN_FOCUS",IF(J5817&lt;=2,"?ACTIVATED",IF(J5817&lt;&gt;"","?FAMILIAR",IF(F5817="NEW",IF(ISNA(VLOOKUP(E5817,#REF!,1,FALSE())),"?TYPE_IDENTIFIABLE","?REFERENTIAL"),"_")))))</f>
        <v> </v>
      </c>
      <c r="H5817" s="25" t="str">
        <f>IF(J5817&lt;&gt;1,"",IF(I5817="SBJ","CB","?"))</f>
        <v> </v>
      </c>
      <c r="I5817" s="26" t="str">
        <f>IF(OR(E5817="",E5817="!!!",F5817="NEW"),"",INDEX(B5816:B$2,-1+SUMPRODUCT(MAX(ROW(E5816:E$2)*(E5817=E5816:E$2)))))</f>
        <v> </v>
      </c>
      <c r="J5817" s="26" t="str">
        <f>IF(OR(E5817="",E5817="!!!",F5817="NEW"),"",COUNTBLANK(OFFSET(A$1,,,SUMPRODUCT(MAX(ROW(E$2:E5817)*(E5817=E$2:E5817)))))-COUNTBLANK(OFFSET(A$1,,,SUMPRODUCT(MAX(ROW(E$1:E5816)*(E2=E$1:E5816))))))</f>
        <v> </v>
      </c>
      <c r="K5817" s="26" t="str">
        <f>IF(OR(E5817="",E5817="!!!",F5817="NEW"),"",INDEX(J$1:J5816,SUMPRODUCT(MAX(ROW(E$1:E5816)*(E5817=E$1:E5816)))))</f>
        <v> </v>
      </c>
      <c r="L5817" s="27"/>
    </row>
    <row r="5818" spans="1:12">
      <c r="A5818" s="20" t="s">
        <v>1420</v>
      </c>
      <c r="E5818" s="22">
        <f>IF(D5818="?OLD","!!!","")</f>
        <v/>
      </c>
      <c r="F5818" s="23" t="str">
        <f>IF(OR(E5818="",E5818="!!!"),"",IF(NOT(ISNA(VLOOKUP(E5818,E$1:E5817,1,FALSE()))),"OLD",IF(AND(E5818&lt;&gt;"",E5818&lt;&gt;"!!!"),"NEW","")))</f>
        <v> </v>
      </c>
      <c r="G5818" s="24" t="str">
        <f>IF(OR(E5818="",E5818="!!!"),"",IF(OR(J5818=0,AND(J5818=1,K5818=1),AND(J5818=1,I5818="SBJ"),AND(J5818=1,I5818=0)),"?IN_FOCUS",IF(J5818&lt;=2,"?ACTIVATED",IF(J5818&lt;&gt;"","?FAMILIAR",IF(F5818="NEW",IF(ISNA(VLOOKUP(E5818,#REF!,1,FALSE())),"?TYPE_IDENTIFIABLE","?REFERENTIAL"),"_")))))</f>
        <v> </v>
      </c>
      <c r="H5818" s="25" t="str">
        <f>IF(J5818&lt;&gt;1,"",IF(I5818="SBJ","CB","?"))</f>
        <v> </v>
      </c>
      <c r="I5818" s="26" t="str">
        <f>IF(OR(E5818="",E5818="!!!",F5818="NEW"),"",INDEX(B5817:B$2,-1+SUMPRODUCT(MAX(ROW(E5817:E$2)*(E5818=E5817:E$2)))))</f>
        <v> </v>
      </c>
      <c r="J5818" s="26" t="str">
        <f>IF(OR(E5818="",E5818="!!!",F5818="NEW"),"",COUNTBLANK(OFFSET(A$1,,,SUMPRODUCT(MAX(ROW(E$2:E5818)*(E5818=E$2:E5818)))))-COUNTBLANK(OFFSET(A$1,,,SUMPRODUCT(MAX(ROW(E$1:E5817)*(E2=E$1:E5817))))))</f>
        <v> </v>
      </c>
      <c r="K5818" s="26" t="str">
        <f>IF(OR(E5818="",E5818="!!!",F5818="NEW"),"",INDEX(J$1:J5817,SUMPRODUCT(MAX(ROW(E$1:E5817)*(E5818=E$1:E5817)))))</f>
        <v> </v>
      </c>
      <c r="L5818" s="27"/>
    </row>
    <row r="5819" spans="1:12">
      <c r="A5819" s="20" t="s">
        <v>427</v>
      </c>
      <c r="B5819" s="21" t="s">
        <v>1985</v>
      </c>
      <c r="C5819" s="21" t="s">
        <v>1238</v>
      </c>
      <c r="D5819" s="21" t="s">
        <v>1180</v>
      </c>
      <c r="E5819" s="22">
        <f>IF(D5819="?OLD","!!!","")</f>
        <v/>
      </c>
      <c r="F5819" s="23" t="str">
        <f>IF(OR(E5819="",E5819="!!!"),"",IF(NOT(ISNA(VLOOKUP(E5819,E$1:E5818,1,FALSE()))),"OLD",IF(AND(E5819&lt;&gt;"",E5819&lt;&gt;"!!!"),"NEW","")))</f>
        <v> </v>
      </c>
      <c r="G5819" s="24" t="str">
        <f>IF(OR(E5819="",E5819="!!!"),"",IF(OR(J5819=0,AND(J5819=1,K5819=1),AND(J5819=1,I5819="SBJ"),AND(J5819=1,I5819=0)),"?IN_FOCUS",IF(J5819&lt;=2,"?ACTIVATED",IF(J5819&lt;&gt;"","?FAMILIAR",IF(F5819="NEW",IF(ISNA(VLOOKUP(E5819,#REF!,1,FALSE())),"?TYPE_IDENTIFIABLE","?REFERENTIAL"),"_")))))</f>
        <v> </v>
      </c>
      <c r="H5819" s="25" t="str">
        <f>IF(J5819&lt;&gt;1,"",IF(I5819="SBJ","CB","?"))</f>
        <v> </v>
      </c>
      <c r="I5819" s="26" t="str">
        <f>IF(OR(E5819="",E5819="!!!",F5819="NEW"),"",INDEX(B5818:B$2,-1+SUMPRODUCT(MAX(ROW(E5818:E$2)*(E5819=E5818:E$2)))))</f>
        <v> </v>
      </c>
      <c r="J5819" s="26" t="str">
        <f>IF(OR(E5819="",E5819="!!!",F5819="NEW"),"",COUNTBLANK(OFFSET(A$1,,,SUMPRODUCT(MAX(ROW(E$2:E5819)*(E5819=E$2:E5819)))))-COUNTBLANK(OFFSET(A$1,,,SUMPRODUCT(MAX(ROW(E$1:E5818)*(E2=E$1:E5818))))))</f>
        <v> </v>
      </c>
      <c r="K5819" s="26" t="str">
        <f>IF(OR(E5819="",E5819="!!!",F5819="NEW"),"",INDEX(J$1:J5818,SUMPRODUCT(MAX(ROW(E$1:E5818)*(E5819=E$1:E5818)))))</f>
        <v> </v>
      </c>
      <c r="L5819" s="27"/>
    </row>
    <row r="5820" spans="1:12">
      <c r="A5820" s="20" t="s">
        <v>1508</v>
      </c>
      <c r="B5820" s="21" t="s">
        <v>2760</v>
      </c>
      <c r="C5820" s="21" t="s">
        <v>1238</v>
      </c>
      <c r="D5820" s="21" t="s">
        <v>1180</v>
      </c>
      <c r="E5820" s="22">
        <f>IF(D5820="?OLD","!!!","")</f>
        <v/>
      </c>
      <c r="F5820" s="23" t="str">
        <f>IF(OR(E5820="",E5820="!!!"),"",IF(NOT(ISNA(VLOOKUP(E5820,E$1:E5819,1,FALSE()))),"OLD",IF(AND(E5820&lt;&gt;"",E5820&lt;&gt;"!!!"),"NEW","")))</f>
        <v> </v>
      </c>
      <c r="G5820" s="24" t="str">
        <f>IF(OR(E5820="",E5820="!!!"),"",IF(OR(J5820=0,AND(J5820=1,K5820=1),AND(J5820=1,I5820="SBJ"),AND(J5820=1,I5820=0)),"?IN_FOCUS",IF(J5820&lt;=2,"?ACTIVATED",IF(J5820&lt;&gt;"","?FAMILIAR",IF(F5820="NEW",IF(ISNA(VLOOKUP(E5820,#REF!,1,FALSE())),"?TYPE_IDENTIFIABLE","?REFERENTIAL"),"_")))))</f>
        <v> </v>
      </c>
      <c r="H5820" s="25" t="str">
        <f>IF(J5820&lt;&gt;1,"",IF(I5820="SBJ","CB","?"))</f>
        <v> </v>
      </c>
      <c r="I5820" s="26" t="str">
        <f>IF(OR(E5820="",E5820="!!!",F5820="NEW"),"",INDEX(B5819:B$2,-1+SUMPRODUCT(MAX(ROW(E5819:E$2)*(E5820=E5819:E$2)))))</f>
        <v> </v>
      </c>
      <c r="J5820" s="26" t="str">
        <f>IF(OR(E5820="",E5820="!!!",F5820="NEW"),"",COUNTBLANK(OFFSET(A$1,,,SUMPRODUCT(MAX(ROW(E$2:E5820)*(E5820=E$2:E5820)))))-COUNTBLANK(OFFSET(A$1,,,SUMPRODUCT(MAX(ROW(E$1:E5819)*(E2=E$1:E5819))))))</f>
        <v> </v>
      </c>
      <c r="K5820" s="26" t="str">
        <f>IF(OR(E5820="",E5820="!!!",F5820="NEW"),"",INDEX(J$1:J5819,SUMPRODUCT(MAX(ROW(E$1:E5819)*(E5820=E$1:E5819)))))</f>
        <v> </v>
      </c>
      <c r="L5820" s="27"/>
    </row>
    <row r="5821" spans="1:12">
      <c r="A5821" s="20" t="s">
        <v>2761</v>
      </c>
      <c r="E5821" s="22">
        <f>IF(D5821="?OLD","!!!","")</f>
        <v/>
      </c>
      <c r="F5821" s="23" t="str">
        <f>IF(OR(E5821="",E5821="!!!"),"",IF(NOT(ISNA(VLOOKUP(E5821,E$1:E5820,1,FALSE()))),"OLD",IF(AND(E5821&lt;&gt;"",E5821&lt;&gt;"!!!"),"NEW","")))</f>
        <v> </v>
      </c>
      <c r="G5821" s="24" t="str">
        <f>IF(OR(E5821="",E5821="!!!"),"",IF(OR(J5821=0,AND(J5821=1,K5821=1),AND(J5821=1,I5821="SBJ"),AND(J5821=1,I5821=0)),"?IN_FOCUS",IF(J5821&lt;=2,"?ACTIVATED",IF(J5821&lt;&gt;"","?FAMILIAR",IF(F5821="NEW",IF(ISNA(VLOOKUP(E5821,#REF!,1,FALSE())),"?TYPE_IDENTIFIABLE","?REFERENTIAL"),"_")))))</f>
        <v> </v>
      </c>
      <c r="H5821" s="25" t="str">
        <f>IF(J5821&lt;&gt;1,"",IF(I5821="SBJ","CB","?"))</f>
        <v> </v>
      </c>
      <c r="I5821" s="26" t="str">
        <f>IF(OR(E5821="",E5821="!!!",F5821="NEW"),"",INDEX(B5820:B$2,-1+SUMPRODUCT(MAX(ROW(E5820:E$2)*(E5821=E5820:E$2)))))</f>
        <v> </v>
      </c>
      <c r="J5821" s="26" t="str">
        <f>IF(OR(E5821="",E5821="!!!",F5821="NEW"),"",COUNTBLANK(OFFSET(A$1,,,SUMPRODUCT(MAX(ROW(E$2:E5821)*(E5821=E$2:E5821)))))-COUNTBLANK(OFFSET(A$1,,,SUMPRODUCT(MAX(ROW(E$1:E5820)*(E2=E$1:E5820))))))</f>
        <v> </v>
      </c>
      <c r="K5821" s="26" t="str">
        <f>IF(OR(E5821="",E5821="!!!",F5821="NEW"),"",INDEX(J$1:J5820,SUMPRODUCT(MAX(ROW(E$1:E5820)*(E5821=E$1:E5820)))))</f>
        <v> </v>
      </c>
      <c r="L5821" s="27"/>
    </row>
    <row r="5822" spans="1:12">
      <c r="A5822" s="20" t="s">
        <v>1523</v>
      </c>
      <c r="E5822" s="22">
        <f>IF(D5822="?OLD","!!!","")</f>
        <v/>
      </c>
      <c r="F5822" s="23" t="str">
        <f>IF(OR(E5822="",E5822="!!!"),"",IF(NOT(ISNA(VLOOKUP(E5822,E$1:E5821,1,FALSE()))),"OLD",IF(AND(E5822&lt;&gt;"",E5822&lt;&gt;"!!!"),"NEW","")))</f>
        <v> </v>
      </c>
      <c r="G5822" s="24" t="str">
        <f>IF(OR(E5822="",E5822="!!!"),"",IF(OR(J5822=0,AND(J5822=1,K5822=1),AND(J5822=1,I5822="SBJ"),AND(J5822=1,I5822=0)),"?IN_FOCUS",IF(J5822&lt;=2,"?ACTIVATED",IF(J5822&lt;&gt;"","?FAMILIAR",IF(F5822="NEW",IF(ISNA(VLOOKUP(E5822,#REF!,1,FALSE())),"?TYPE_IDENTIFIABLE","?REFERENTIAL"),"_")))))</f>
        <v> </v>
      </c>
      <c r="H5822" s="25" t="str">
        <f>IF(J5822&lt;&gt;1,"",IF(I5822="SBJ","CB","?"))</f>
        <v> </v>
      </c>
      <c r="I5822" s="26" t="str">
        <f>IF(OR(E5822="",E5822="!!!",F5822="NEW"),"",INDEX(B5821:B$2,-1+SUMPRODUCT(MAX(ROW(E5821:E$2)*(E5822=E5821:E$2)))))</f>
        <v> </v>
      </c>
      <c r="J5822" s="26" t="str">
        <f>IF(OR(E5822="",E5822="!!!",F5822="NEW"),"",COUNTBLANK(OFFSET(A$1,,,SUMPRODUCT(MAX(ROW(E$2:E5822)*(E5822=E$2:E5822)))))-COUNTBLANK(OFFSET(A$1,,,SUMPRODUCT(MAX(ROW(E$1:E5821)*(E2=E$1:E5821))))))</f>
        <v> </v>
      </c>
      <c r="K5822" s="26" t="str">
        <f>IF(OR(E5822="",E5822="!!!",F5822="NEW"),"",INDEX(J$1:J5821,SUMPRODUCT(MAX(ROW(E$1:E5821)*(E5822=E$1:E5821)))))</f>
        <v> </v>
      </c>
      <c r="L5822" s="27"/>
    </row>
    <row r="5823" spans="1:12">
      <c r="A5823" s="20" t="s">
        <v>818</v>
      </c>
      <c r="E5823" s="22">
        <f>IF(D5823="?OLD","!!!","")</f>
        <v/>
      </c>
      <c r="F5823" s="23" t="str">
        <f>IF(OR(E5823="",E5823="!!!"),"",IF(NOT(ISNA(VLOOKUP(E5823,E$1:E5822,1,FALSE()))),"OLD",IF(AND(E5823&lt;&gt;"",E5823&lt;&gt;"!!!"),"NEW","")))</f>
        <v> </v>
      </c>
      <c r="G5823" s="24" t="str">
        <f>IF(OR(E5823="",E5823="!!!"),"",IF(OR(J5823=0,AND(J5823=1,K5823=1),AND(J5823=1,I5823="SBJ"),AND(J5823=1,I5823=0)),"?IN_FOCUS",IF(J5823&lt;=2,"?ACTIVATED",IF(J5823&lt;&gt;"","?FAMILIAR",IF(F5823="NEW",IF(ISNA(VLOOKUP(E5823,#REF!,1,FALSE())),"?TYPE_IDENTIFIABLE","?REFERENTIAL"),"_")))))</f>
        <v> </v>
      </c>
      <c r="H5823" s="25" t="str">
        <f>IF(J5823&lt;&gt;1,"",IF(I5823="SBJ","CB","?"))</f>
        <v> </v>
      </c>
      <c r="I5823" s="26" t="str">
        <f>IF(OR(E5823="",E5823="!!!",F5823="NEW"),"",INDEX(B5822:B$2,-1+SUMPRODUCT(MAX(ROW(E5822:E$2)*(E5823=E5822:E$2)))))</f>
        <v> </v>
      </c>
      <c r="J5823" s="26" t="str">
        <f>IF(OR(E5823="",E5823="!!!",F5823="NEW"),"",COUNTBLANK(OFFSET(A$1,,,SUMPRODUCT(MAX(ROW(E$2:E5823)*(E5823=E$2:E5823)))))-COUNTBLANK(OFFSET(A$1,,,SUMPRODUCT(MAX(ROW(E$1:E5822)*(E2=E$1:E5822))))))</f>
        <v> </v>
      </c>
      <c r="K5823" s="26" t="str">
        <f>IF(OR(E5823="",E5823="!!!",F5823="NEW"),"",INDEX(J$1:J5822,SUMPRODUCT(MAX(ROW(E$1:E5822)*(E5823=E$1:E5822)))))</f>
        <v> </v>
      </c>
      <c r="L5823" s="27"/>
    </row>
    <row r="5824" spans="1:12">
      <c r="A5824" s="20"/>
    </row>
    <row r="5825" spans="1:12">
      <c r="A5825" s="20" t="s">
        <v>2762</v>
      </c>
    </row>
    <row r="5826" spans="1:12">
      <c r="A5826" s="20" t="s">
        <v>1262</v>
      </c>
      <c r="E5826" s="22">
        <f>IF(D5826="?OLD","!!!","")</f>
        <v/>
      </c>
      <c r="F5826" s="23" t="str">
        <f>IF(OR(E5826="",E5826="!!!"),"",IF(NOT(ISNA(VLOOKUP(E5826,E$1:E5825,1,FALSE()))),"OLD",IF(AND(E5826&lt;&gt;"",E5826&lt;&gt;"!!!"),"NEW","")))</f>
        <v> </v>
      </c>
      <c r="G5826" s="24" t="str">
        <f>IF(OR(E5826="",E5826="!!!"),"",IF(OR(J5826=0,AND(J5826=1,K5826=1),AND(J5826=1,I5826="SBJ"),AND(J5826=1,I5826=0)),"?IN_FOCUS",IF(J5826&lt;=2,"?ACTIVATED",IF(J5826&lt;&gt;"","?FAMILIAR",IF(F5826="NEW",IF(ISNA(VLOOKUP(E5826,#REF!,1,FALSE())),"?TYPE_IDENTIFIABLE","?REFERENTIAL"),"_")))))</f>
        <v> </v>
      </c>
      <c r="H5826" s="25" t="str">
        <f>IF(J5826&lt;&gt;1,"",IF(I5826="SBJ","CB","?"))</f>
        <v> </v>
      </c>
      <c r="I5826" s="26" t="str">
        <f>IF(OR(E5826="",E5826="!!!",F5826="NEW"),"",INDEX(B5825:B$2,-1+SUMPRODUCT(MAX(ROW(E5825:E$2)*(E5826=E5825:E$2)))))</f>
        <v> </v>
      </c>
      <c r="J5826" s="26" t="str">
        <f>IF(OR(E5826="",E5826="!!!",F5826="NEW"),"",COUNTBLANK(OFFSET(A$1,,,SUMPRODUCT(MAX(ROW(E$2:E5826)*(E5826=E$2:E5826)))))-COUNTBLANK(OFFSET(A$1,,,SUMPRODUCT(MAX(ROW(E$1:E5825)*(E2=E$1:E5825))))))</f>
        <v> </v>
      </c>
      <c r="K5826" s="26" t="str">
        <f>IF(OR(E5826="",E5826="!!!",F5826="NEW"),"",INDEX(J$1:J5825,SUMPRODUCT(MAX(ROW(E$1:E5825)*(E5826=E$1:E5825)))))</f>
        <v> </v>
      </c>
      <c r="L5826" s="27"/>
    </row>
    <row r="5827" spans="1:12">
      <c r="A5827" s="20" t="s">
        <v>1182</v>
      </c>
      <c r="E5827" s="22">
        <f>IF(D5827="?OLD","!!!","")</f>
        <v/>
      </c>
      <c r="F5827" s="23" t="str">
        <f>IF(OR(E5827="",E5827="!!!"),"",IF(NOT(ISNA(VLOOKUP(E5827,E$1:E5826,1,FALSE()))),"OLD",IF(AND(E5827&lt;&gt;"",E5827&lt;&gt;"!!!"),"NEW","")))</f>
        <v> </v>
      </c>
      <c r="G5827" s="24" t="str">
        <f>IF(OR(E5827="",E5827="!!!"),"",IF(OR(J5827=0,AND(J5827=1,K5827=1),AND(J5827=1,I5827="SBJ"),AND(J5827=1,I5827=0)),"?IN_FOCUS",IF(J5827&lt;=2,"?ACTIVATED",IF(J5827&lt;&gt;"","?FAMILIAR",IF(F5827="NEW",IF(ISNA(VLOOKUP(E5827,#REF!,1,FALSE())),"?TYPE_IDENTIFIABLE","?REFERENTIAL"),"_")))))</f>
        <v> </v>
      </c>
      <c r="H5827" s="25" t="str">
        <f>IF(J5827&lt;&gt;1,"",IF(I5827="SBJ","CB","?"))</f>
        <v> </v>
      </c>
      <c r="I5827" s="26" t="str">
        <f>IF(OR(E5827="",E5827="!!!",F5827="NEW"),"",INDEX(B5826:B$2,-1+SUMPRODUCT(MAX(ROW(E5826:E$2)*(E5827=E5826:E$2)))))</f>
        <v> </v>
      </c>
      <c r="J5827" s="26" t="str">
        <f>IF(OR(E5827="",E5827="!!!",F5827="NEW"),"",COUNTBLANK(OFFSET(A$1,,,SUMPRODUCT(MAX(ROW(E$2:E5827)*(E5827=E$2:E5827)))))-COUNTBLANK(OFFSET(A$1,,,SUMPRODUCT(MAX(ROW(E$1:E5826)*(E2=E$1:E5826))))))</f>
        <v> </v>
      </c>
      <c r="K5827" s="26" t="str">
        <f>IF(OR(E5827="",E5827="!!!",F5827="NEW"),"",INDEX(J$1:J5826,SUMPRODUCT(MAX(ROW(E$1:E5826)*(E5827=E$1:E5826)))))</f>
        <v> </v>
      </c>
      <c r="L5827" s="27"/>
    </row>
    <row r="5828" spans="1:12">
      <c r="A5828" s="20" t="s">
        <v>1387</v>
      </c>
      <c r="E5828" s="22">
        <f>IF(D5828="?OLD","!!!","")</f>
        <v/>
      </c>
      <c r="F5828" s="23" t="str">
        <f>IF(OR(E5828="",E5828="!!!"),"",IF(NOT(ISNA(VLOOKUP(E5828,E$1:E5827,1,FALSE()))),"OLD",IF(AND(E5828&lt;&gt;"",E5828&lt;&gt;"!!!"),"NEW","")))</f>
        <v> </v>
      </c>
      <c r="G5828" s="24" t="str">
        <f>IF(OR(E5828="",E5828="!!!"),"",IF(OR(J5828=0,AND(J5828=1,K5828=1),AND(J5828=1,I5828="SBJ"),AND(J5828=1,I5828=0)),"?IN_FOCUS",IF(J5828&lt;=2,"?ACTIVATED",IF(J5828&lt;&gt;"","?FAMILIAR",IF(F5828="NEW",IF(ISNA(VLOOKUP(E5828,#REF!,1,FALSE())),"?TYPE_IDENTIFIABLE","?REFERENTIAL"),"_")))))</f>
        <v> </v>
      </c>
      <c r="H5828" s="25" t="str">
        <f>IF(J5828&lt;&gt;1,"",IF(I5828="SBJ","CB","?"))</f>
        <v> </v>
      </c>
      <c r="I5828" s="26" t="str">
        <f>IF(OR(E5828="",E5828="!!!",F5828="NEW"),"",INDEX(B5827:B$2,-1+SUMPRODUCT(MAX(ROW(E5827:E$2)*(E5828=E5827:E$2)))))</f>
        <v> </v>
      </c>
      <c r="J5828" s="26" t="str">
        <f>IF(OR(E5828="",E5828="!!!",F5828="NEW"),"",COUNTBLANK(OFFSET(A$1,,,SUMPRODUCT(MAX(ROW(E$2:E5828)*(E5828=E$2:E5828)))))-COUNTBLANK(OFFSET(A$1,,,SUMPRODUCT(MAX(ROW(E$1:E5827)*(E2=E$1:E5827))))))</f>
        <v> </v>
      </c>
      <c r="K5828" s="26" t="str">
        <f>IF(OR(E5828="",E5828="!!!",F5828="NEW"),"",INDEX(J$1:J5827,SUMPRODUCT(MAX(ROW(E$1:E5827)*(E5828=E$1:E5827)))))</f>
        <v> </v>
      </c>
      <c r="L5828" s="27"/>
    </row>
    <row r="5829" spans="1:12">
      <c r="A5829" s="20" t="s">
        <v>125</v>
      </c>
      <c r="E5829" s="22">
        <f>IF(D5829="?OLD","!!!","")</f>
        <v/>
      </c>
      <c r="F5829" s="23" t="str">
        <f>IF(OR(E5829="",E5829="!!!"),"",IF(NOT(ISNA(VLOOKUP(E5829,E$1:E5828,1,FALSE()))),"OLD",IF(AND(E5829&lt;&gt;"",E5829&lt;&gt;"!!!"),"NEW","")))</f>
        <v> </v>
      </c>
      <c r="G5829" s="24" t="str">
        <f>IF(OR(E5829="",E5829="!!!"),"",IF(OR(J5829=0,AND(J5829=1,K5829=1),AND(J5829=1,I5829="SBJ"),AND(J5829=1,I5829=0)),"?IN_FOCUS",IF(J5829&lt;=2,"?ACTIVATED",IF(J5829&lt;&gt;"","?FAMILIAR",IF(F5829="NEW",IF(ISNA(VLOOKUP(E5829,#REF!,1,FALSE())),"?TYPE_IDENTIFIABLE","?REFERENTIAL"),"_")))))</f>
        <v> </v>
      </c>
      <c r="H5829" s="25" t="str">
        <f>IF(J5829&lt;&gt;1,"",IF(I5829="SBJ","CB","?"))</f>
        <v> </v>
      </c>
      <c r="I5829" s="26" t="str">
        <f>IF(OR(E5829="",E5829="!!!",F5829="NEW"),"",INDEX(B5828:B$2,-1+SUMPRODUCT(MAX(ROW(E5828:E$2)*(E5829=E5828:E$2)))))</f>
        <v> </v>
      </c>
      <c r="J5829" s="26" t="str">
        <f>IF(OR(E5829="",E5829="!!!",F5829="NEW"),"",COUNTBLANK(OFFSET(A$1,,,SUMPRODUCT(MAX(ROW(E$2:E5829)*(E5829=E$2:E5829)))))-COUNTBLANK(OFFSET(A$1,,,SUMPRODUCT(MAX(ROW(E$1:E5828)*(E2=E$1:E5828))))))</f>
        <v> </v>
      </c>
      <c r="K5829" s="26" t="str">
        <f>IF(OR(E5829="",E5829="!!!",F5829="NEW"),"",INDEX(J$1:J5828,SUMPRODUCT(MAX(ROW(E$1:E5828)*(E5829=E$1:E5828)))))</f>
        <v> </v>
      </c>
      <c r="L5829" s="27"/>
    </row>
    <row r="5830" spans="1:12">
      <c r="A5830" s="20" t="s">
        <v>1422</v>
      </c>
      <c r="B5830" s="21" t="s">
        <v>1178</v>
      </c>
      <c r="C5830" s="21" t="s">
        <v>1324</v>
      </c>
      <c r="E5830" s="22">
        <f>IF(D5830="?OLD","!!!","")</f>
        <v/>
      </c>
      <c r="F5830" s="23" t="str">
        <f>IF(OR(E5830="",E5830="!!!"),"",IF(NOT(ISNA(VLOOKUP(E5830,E$1:E5829,1,FALSE()))),"OLD",IF(AND(E5830&lt;&gt;"",E5830&lt;&gt;"!!!"),"NEW","")))</f>
        <v> </v>
      </c>
      <c r="G5830" s="24" t="str">
        <f>IF(OR(E5830="",E5830="!!!"),"",IF(OR(J5830=0,AND(J5830=1,K5830=1),AND(J5830=1,I5830="SBJ"),AND(J5830=1,I5830=0)),"?IN_FOCUS",IF(J5830&lt;=2,"?ACTIVATED",IF(J5830&lt;&gt;"","?FAMILIAR",IF(F5830="NEW",IF(ISNA(VLOOKUP(E5830,#REF!,1,FALSE())),"?TYPE_IDENTIFIABLE","?REFERENTIAL"),"_")))))</f>
        <v> </v>
      </c>
      <c r="H5830" s="25" t="str">
        <f>IF(J5830&lt;&gt;1,"",IF(I5830="SBJ","CB","?"))</f>
        <v> </v>
      </c>
      <c r="I5830" s="26" t="str">
        <f>IF(OR(E5830="",E5830="!!!",F5830="NEW"),"",INDEX(B5829:B$2,-1+SUMPRODUCT(MAX(ROW(E5829:E$2)*(E5830=E5829:E$2)))))</f>
        <v> </v>
      </c>
      <c r="J5830" s="26" t="str">
        <f>IF(OR(E5830="",E5830="!!!",F5830="NEW"),"",COUNTBLANK(OFFSET(A$1,,,SUMPRODUCT(MAX(ROW(E$2:E5830)*(E5830=E$2:E5830)))))-COUNTBLANK(OFFSET(A$1,,,SUMPRODUCT(MAX(ROW(E$1:E5829)*(E2=E$1:E5829))))))</f>
        <v> </v>
      </c>
      <c r="K5830" s="26" t="str">
        <f>IF(OR(E5830="",E5830="!!!",F5830="NEW"),"",INDEX(J$1:J5829,SUMPRODUCT(MAX(ROW(E$1:E5829)*(E5830=E$1:E5829)))))</f>
        <v> </v>
      </c>
      <c r="L5830" s="27"/>
    </row>
    <row r="5831" spans="1:12">
      <c r="A5831" s="20" t="s">
        <v>1547</v>
      </c>
      <c r="E5831" s="22">
        <f>IF(D5831="?OLD","!!!","")</f>
        <v/>
      </c>
      <c r="F5831" s="23" t="str">
        <f>IF(OR(E5831="",E5831="!!!"),"",IF(NOT(ISNA(VLOOKUP(E5831,E$1:E5830,1,FALSE()))),"OLD",IF(AND(E5831&lt;&gt;"",E5831&lt;&gt;"!!!"),"NEW","")))</f>
        <v> </v>
      </c>
      <c r="G5831" s="24" t="str">
        <f>IF(OR(E5831="",E5831="!!!"),"",IF(OR(J5831=0,AND(J5831=1,K5831=1),AND(J5831=1,I5831="SBJ"),AND(J5831=1,I5831=0)),"?IN_FOCUS",IF(J5831&lt;=2,"?ACTIVATED",IF(J5831&lt;&gt;"","?FAMILIAR",IF(F5831="NEW",IF(ISNA(VLOOKUP(E5831,#REF!,1,FALSE())),"?TYPE_IDENTIFIABLE","?REFERENTIAL"),"_")))))</f>
        <v> </v>
      </c>
      <c r="H5831" s="25" t="str">
        <f>IF(J5831&lt;&gt;1,"",IF(I5831="SBJ","CB","?"))</f>
        <v> </v>
      </c>
      <c r="I5831" s="26" t="str">
        <f>IF(OR(E5831="",E5831="!!!",F5831="NEW"),"",INDEX(B5830:B$2,-1+SUMPRODUCT(MAX(ROW(E5830:E$2)*(E5831=E5830:E$2)))))</f>
        <v> </v>
      </c>
      <c r="J5831" s="26" t="str">
        <f>IF(OR(E5831="",E5831="!!!",F5831="NEW"),"",COUNTBLANK(OFFSET(A$1,,,SUMPRODUCT(MAX(ROW(E$2:E5831)*(E5831=E$2:E5831)))))-COUNTBLANK(OFFSET(A$1,,,SUMPRODUCT(MAX(ROW(E$1:E5830)*(E2=E$1:E5830))))))</f>
        <v> </v>
      </c>
      <c r="K5831" s="26" t="str">
        <f>IF(OR(E5831="",E5831="!!!",F5831="NEW"),"",INDEX(J$1:J5830,SUMPRODUCT(MAX(ROW(E$1:E5830)*(E5831=E$1:E5830)))))</f>
        <v> </v>
      </c>
      <c r="L5831" s="27"/>
    </row>
    <row r="5832" spans="1:12">
      <c r="A5832" s="20" t="s">
        <v>1201</v>
      </c>
      <c r="B5832" s="21" t="s">
        <v>1194</v>
      </c>
      <c r="C5832" s="21" t="s">
        <v>1179</v>
      </c>
      <c r="D5832" s="21" t="s">
        <v>1180</v>
      </c>
      <c r="E5832" s="22">
        <f>IF(D5832="?OLD","!!!","")</f>
        <v/>
      </c>
      <c r="F5832" s="23" t="str">
        <f>IF(OR(E5832="",E5832="!!!"),"",IF(NOT(ISNA(VLOOKUP(E5832,E$1:E5831,1,FALSE()))),"OLD",IF(AND(E5832&lt;&gt;"",E5832&lt;&gt;"!!!"),"NEW","")))</f>
        <v> </v>
      </c>
      <c r="G5832" s="24" t="str">
        <f>IF(OR(E5832="",E5832="!!!"),"",IF(OR(J5832=0,AND(J5832=1,K5832=1),AND(J5832=1,I5832="SBJ"),AND(J5832=1,I5832=0)),"?IN_FOCUS",IF(J5832&lt;=2,"?ACTIVATED",IF(J5832&lt;&gt;"","?FAMILIAR",IF(F5832="NEW",IF(ISNA(VLOOKUP(E5832,#REF!,1,FALSE())),"?TYPE_IDENTIFIABLE","?REFERENTIAL"),"_")))))</f>
        <v> </v>
      </c>
      <c r="H5832" s="25" t="str">
        <f>IF(J5832&lt;&gt;1,"",IF(I5832="SBJ","CB","?"))</f>
        <v> </v>
      </c>
      <c r="I5832" s="26" t="str">
        <f>IF(OR(E5832="",E5832="!!!",F5832="NEW"),"",INDEX(B5831:B$2,-1+SUMPRODUCT(MAX(ROW(E5831:E$2)*(E5832=E5831:E$2)))))</f>
        <v> </v>
      </c>
      <c r="J5832" s="26" t="str">
        <f>IF(OR(E5832="",E5832="!!!",F5832="NEW"),"",COUNTBLANK(OFFSET(A$1,,,SUMPRODUCT(MAX(ROW(E$2:E5832)*(E5832=E$2:E5832)))))-COUNTBLANK(OFFSET(A$1,,,SUMPRODUCT(MAX(ROW(E$1:E5831)*(E2=E$1:E5831))))))</f>
        <v> </v>
      </c>
      <c r="K5832" s="26" t="str">
        <f>IF(OR(E5832="",E5832="!!!",F5832="NEW"),"",INDEX(J$1:J5831,SUMPRODUCT(MAX(ROW(E$1:E5831)*(E5832=E$1:E5831)))))</f>
        <v> </v>
      </c>
      <c r="L5832" s="27"/>
    </row>
    <row r="5833" spans="1:12">
      <c r="A5833" s="20" t="s">
        <v>2763</v>
      </c>
      <c r="E5833" s="22">
        <f>IF(D5833="?OLD","!!!","")</f>
        <v/>
      </c>
      <c r="F5833" s="23" t="str">
        <f>IF(OR(E5833="",E5833="!!!"),"",IF(NOT(ISNA(VLOOKUP(E5833,E$1:E5832,1,FALSE()))),"OLD",IF(AND(E5833&lt;&gt;"",E5833&lt;&gt;"!!!"),"NEW","")))</f>
        <v> </v>
      </c>
      <c r="G5833" s="24" t="str">
        <f>IF(OR(E5833="",E5833="!!!"),"",IF(OR(J5833=0,AND(J5833=1,K5833=1),AND(J5833=1,I5833="SBJ"),AND(J5833=1,I5833=0)),"?IN_FOCUS",IF(J5833&lt;=2,"?ACTIVATED",IF(J5833&lt;&gt;"","?FAMILIAR",IF(F5833="NEW",IF(ISNA(VLOOKUP(E5833,#REF!,1,FALSE())),"?TYPE_IDENTIFIABLE","?REFERENTIAL"),"_")))))</f>
        <v> </v>
      </c>
      <c r="H5833" s="25" t="str">
        <f>IF(J5833&lt;&gt;1,"",IF(I5833="SBJ","CB","?"))</f>
        <v> </v>
      </c>
      <c r="I5833" s="26" t="str">
        <f>IF(OR(E5833="",E5833="!!!",F5833="NEW"),"",INDEX(B5832:B$2,-1+SUMPRODUCT(MAX(ROW(E5832:E$2)*(E5833=E5832:E$2)))))</f>
        <v> </v>
      </c>
      <c r="J5833" s="26" t="str">
        <f>IF(OR(E5833="",E5833="!!!",F5833="NEW"),"",COUNTBLANK(OFFSET(A$1,,,SUMPRODUCT(MAX(ROW(E$2:E5833)*(E5833=E$2:E5833)))))-COUNTBLANK(OFFSET(A$1,,,SUMPRODUCT(MAX(ROW(E$1:E5832)*(E2=E$1:E5832))))))</f>
        <v> </v>
      </c>
      <c r="K5833" s="26" t="str">
        <f>IF(OR(E5833="",E5833="!!!",F5833="NEW"),"",INDEX(J$1:J5832,SUMPRODUCT(MAX(ROW(E$1:E5832)*(E5833=E$1:E5832)))))</f>
        <v> </v>
      </c>
      <c r="L5833" s="27"/>
    </row>
    <row r="5834" spans="1:12">
      <c r="A5834" s="20" t="s">
        <v>1185</v>
      </c>
      <c r="E5834" s="22">
        <f>IF(D5834="?OLD","!!!","")</f>
        <v/>
      </c>
      <c r="F5834" s="23" t="str">
        <f>IF(OR(E5834="",E5834="!!!"),"",IF(NOT(ISNA(VLOOKUP(E5834,E$1:E5833,1,FALSE()))),"OLD",IF(AND(E5834&lt;&gt;"",E5834&lt;&gt;"!!!"),"NEW","")))</f>
        <v> </v>
      </c>
      <c r="G5834" s="24" t="str">
        <f>IF(OR(E5834="",E5834="!!!"),"",IF(OR(J5834=0,AND(J5834=1,K5834=1),AND(J5834=1,I5834="SBJ"),AND(J5834=1,I5834=0)),"?IN_FOCUS",IF(J5834&lt;=2,"?ACTIVATED",IF(J5834&lt;&gt;"","?FAMILIAR",IF(F5834="NEW",IF(ISNA(VLOOKUP(E5834,#REF!,1,FALSE())),"?TYPE_IDENTIFIABLE","?REFERENTIAL"),"_")))))</f>
        <v> </v>
      </c>
      <c r="H5834" s="25" t="str">
        <f>IF(J5834&lt;&gt;1,"",IF(I5834="SBJ","CB","?"))</f>
        <v> </v>
      </c>
      <c r="I5834" s="26" t="str">
        <f>IF(OR(E5834="",E5834="!!!",F5834="NEW"),"",INDEX(B5833:B$2,-1+SUMPRODUCT(MAX(ROW(E5833:E$2)*(E5834=E5833:E$2)))))</f>
        <v> </v>
      </c>
      <c r="J5834" s="26" t="str">
        <f>IF(OR(E5834="",E5834="!!!",F5834="NEW"),"",COUNTBLANK(OFFSET(A$1,,,SUMPRODUCT(MAX(ROW(E$2:E5834)*(E5834=E$2:E5834)))))-COUNTBLANK(OFFSET(A$1,,,SUMPRODUCT(MAX(ROW(E$1:E5833)*(E2=E$1:E5833))))))</f>
        <v> </v>
      </c>
      <c r="K5834" s="26" t="str">
        <f>IF(OR(E5834="",E5834="!!!",F5834="NEW"),"",INDEX(J$1:J5833,SUMPRODUCT(MAX(ROW(E$1:E5833)*(E5834=E$1:E5833)))))</f>
        <v> </v>
      </c>
      <c r="L5834" s="27"/>
    </row>
    <row r="5835" spans="1:12">
      <c r="A5835" s="20" t="s">
        <v>1838</v>
      </c>
      <c r="E5835" s="22">
        <f>IF(D5835="?OLD","!!!","")</f>
        <v/>
      </c>
      <c r="F5835" s="23" t="str">
        <f>IF(OR(E5835="",E5835="!!!"),"",IF(NOT(ISNA(VLOOKUP(E5835,E$1:E5834,1,FALSE()))),"OLD",IF(AND(E5835&lt;&gt;"",E5835&lt;&gt;"!!!"),"NEW","")))</f>
        <v> </v>
      </c>
      <c r="G5835" s="24" t="str">
        <f>IF(OR(E5835="",E5835="!!!"),"",IF(OR(J5835=0,AND(J5835=1,K5835=1),AND(J5835=1,I5835="SBJ"),AND(J5835=1,I5835=0)),"?IN_FOCUS",IF(J5835&lt;=2,"?ACTIVATED",IF(J5835&lt;&gt;"","?FAMILIAR",IF(F5835="NEW",IF(ISNA(VLOOKUP(E5835,#REF!,1,FALSE())),"?TYPE_IDENTIFIABLE","?REFERENTIAL"),"_")))))</f>
        <v> </v>
      </c>
      <c r="H5835" s="25" t="str">
        <f>IF(J5835&lt;&gt;1,"",IF(I5835="SBJ","CB","?"))</f>
        <v> </v>
      </c>
      <c r="I5835" s="26" t="str">
        <f>IF(OR(E5835="",E5835="!!!",F5835="NEW"),"",INDEX(B5834:B$2,-1+SUMPRODUCT(MAX(ROW(E5834:E$2)*(E5835=E5834:E$2)))))</f>
        <v> </v>
      </c>
      <c r="J5835" s="26" t="str">
        <f>IF(OR(E5835="",E5835="!!!",F5835="NEW"),"",COUNTBLANK(OFFSET(A$1,,,SUMPRODUCT(MAX(ROW(E$2:E5835)*(E5835=E$2:E5835)))))-COUNTBLANK(OFFSET(A$1,,,SUMPRODUCT(MAX(ROW(E$1:E5834)*(E2=E$1:E5834))))))</f>
        <v> </v>
      </c>
      <c r="K5835" s="26" t="str">
        <f>IF(OR(E5835="",E5835="!!!",F5835="NEW"),"",INDEX(J$1:J5834,SUMPRODUCT(MAX(ROW(E$1:E5834)*(E5835=E$1:E5834)))))</f>
        <v> </v>
      </c>
      <c r="L5835" s="27"/>
    </row>
    <row r="5836" spans="1:12">
      <c r="A5836" s="20" t="s">
        <v>818</v>
      </c>
      <c r="E5836" s="22">
        <f>IF(D5836="?OLD","!!!","")</f>
        <v/>
      </c>
      <c r="F5836" s="23" t="str">
        <f>IF(OR(E5836="",E5836="!!!"),"",IF(NOT(ISNA(VLOOKUP(E5836,E$1:E5835,1,FALSE()))),"OLD",IF(AND(E5836&lt;&gt;"",E5836&lt;&gt;"!!!"),"NEW","")))</f>
        <v> </v>
      </c>
      <c r="G5836" s="24" t="str">
        <f>IF(OR(E5836="",E5836="!!!"),"",IF(OR(J5836=0,AND(J5836=1,K5836=1),AND(J5836=1,I5836="SBJ"),AND(J5836=1,I5836=0)),"?IN_FOCUS",IF(J5836&lt;=2,"?ACTIVATED",IF(J5836&lt;&gt;"","?FAMILIAR",IF(F5836="NEW",IF(ISNA(VLOOKUP(E5836,#REF!,1,FALSE())),"?TYPE_IDENTIFIABLE","?REFERENTIAL"),"_")))))</f>
        <v> </v>
      </c>
      <c r="H5836" s="25" t="str">
        <f>IF(J5836&lt;&gt;1,"",IF(I5836="SBJ","CB","?"))</f>
        <v> </v>
      </c>
      <c r="I5836" s="26" t="str">
        <f>IF(OR(E5836="",E5836="!!!",F5836="NEW"),"",INDEX(B5835:B$2,-1+SUMPRODUCT(MAX(ROW(E5835:E$2)*(E5836=E5835:E$2)))))</f>
        <v> </v>
      </c>
      <c r="J5836" s="26" t="str">
        <f>IF(OR(E5836="",E5836="!!!",F5836="NEW"),"",COUNTBLANK(OFFSET(A$1,,,SUMPRODUCT(MAX(ROW(E$2:E5836)*(E5836=E$2:E5836)))))-COUNTBLANK(OFFSET(A$1,,,SUMPRODUCT(MAX(ROW(E$1:E5835)*(E2=E$1:E5835))))))</f>
        <v> </v>
      </c>
      <c r="K5836" s="26" t="str">
        <f>IF(OR(E5836="",E5836="!!!",F5836="NEW"),"",INDEX(J$1:J5835,SUMPRODUCT(MAX(ROW(E$1:E5835)*(E5836=E$1:E5835)))))</f>
        <v> </v>
      </c>
      <c r="L5836" s="27"/>
    </row>
    <row r="5837" spans="1:12">
      <c r="A5837" s="20"/>
    </row>
    <row r="5838" spans="1:12">
      <c r="A5838" s="20" t="s">
        <v>2764</v>
      </c>
    </row>
    <row r="5839" spans="1:12">
      <c r="A5839" s="20" t="s">
        <v>2765</v>
      </c>
      <c r="B5839" s="21" t="s">
        <v>1191</v>
      </c>
      <c r="C5839" s="21" t="s">
        <v>1238</v>
      </c>
      <c r="D5839" s="21" t="s">
        <v>1180</v>
      </c>
      <c r="E5839" s="22">
        <f>IF(D5839="?OLD","!!!","")</f>
        <v/>
      </c>
      <c r="F5839" s="23" t="str">
        <f>IF(OR(E5839="",E5839="!!!"),"",IF(NOT(ISNA(VLOOKUP(E5839,E$1:E5838,1,FALSE()))),"OLD",IF(AND(E5839&lt;&gt;"",E5839&lt;&gt;"!!!"),"NEW","")))</f>
        <v> </v>
      </c>
      <c r="G5839" s="24" t="str">
        <f>IF(OR(E5839="",E5839="!!!"),"",IF(OR(J5839=0,AND(J5839=1,K5839=1),AND(J5839=1,I5839="SBJ"),AND(J5839=1,I5839=0)),"?IN_FOCUS",IF(J5839&lt;=2,"?ACTIVATED",IF(J5839&lt;&gt;"","?FAMILIAR",IF(F5839="NEW",IF(ISNA(VLOOKUP(E5839,#REF!,1,FALSE())),"?TYPE_IDENTIFIABLE","?REFERENTIAL"),"_")))))</f>
        <v> </v>
      </c>
      <c r="H5839" s="25" t="str">
        <f>IF(J5839&lt;&gt;1,"",IF(I5839="SBJ","CB","?"))</f>
        <v> </v>
      </c>
      <c r="I5839" s="26" t="str">
        <f>IF(OR(E5839="",E5839="!!!",F5839="NEW"),"",INDEX(B5838:B$2,-1+SUMPRODUCT(MAX(ROW(E5838:E$2)*(E5839=E5838:E$2)))))</f>
        <v> </v>
      </c>
      <c r="J5839" s="26" t="str">
        <f>IF(OR(E5839="",E5839="!!!",F5839="NEW"),"",COUNTBLANK(OFFSET(A$1,,,SUMPRODUCT(MAX(ROW(E$2:E5839)*(E5839=E$2:E5839)))))-COUNTBLANK(OFFSET(A$1,,,SUMPRODUCT(MAX(ROW(E$1:E5838)*(E2=E$1:E5838))))))</f>
        <v> </v>
      </c>
      <c r="K5839" s="26" t="str">
        <f>IF(OR(E5839="",E5839="!!!",F5839="NEW"),"",INDEX(J$1:J5838,SUMPRODUCT(MAX(ROW(E$1:E5838)*(E5839=E$1:E5838)))))</f>
        <v> </v>
      </c>
      <c r="L5839" s="27"/>
    </row>
    <row r="5840" spans="1:12">
      <c r="A5840" s="20" t="s">
        <v>1671</v>
      </c>
      <c r="B5840" s="21" t="s">
        <v>1194</v>
      </c>
      <c r="C5840" s="21" t="s">
        <v>1324</v>
      </c>
      <c r="E5840" s="22">
        <f>IF(D5840="?OLD","!!!","")</f>
        <v/>
      </c>
      <c r="F5840" s="23" t="str">
        <f>IF(OR(E5840="",E5840="!!!"),"",IF(NOT(ISNA(VLOOKUP(E5840,E$1:E5839,1,FALSE()))),"OLD",IF(AND(E5840&lt;&gt;"",E5840&lt;&gt;"!!!"),"NEW","")))</f>
        <v> </v>
      </c>
      <c r="G5840" s="24" t="str">
        <f>IF(OR(E5840="",E5840="!!!"),"",IF(OR(J5840=0,AND(J5840=1,K5840=1),AND(J5840=1,I5840="SBJ"),AND(J5840=1,I5840=0)),"?IN_FOCUS",IF(J5840&lt;=2,"?ACTIVATED",IF(J5840&lt;&gt;"","?FAMILIAR",IF(F5840="NEW",IF(ISNA(VLOOKUP(E5840,#REF!,1,FALSE())),"?TYPE_IDENTIFIABLE","?REFERENTIAL"),"_")))))</f>
        <v> </v>
      </c>
      <c r="H5840" s="25" t="str">
        <f>IF(J5840&lt;&gt;1,"",IF(I5840="SBJ","CB","?"))</f>
        <v> </v>
      </c>
      <c r="I5840" s="26" t="str">
        <f>IF(OR(E5840="",E5840="!!!",F5840="NEW"),"",INDEX(B5839:B$2,-1+SUMPRODUCT(MAX(ROW(E5839:E$2)*(E5840=E5839:E$2)))))</f>
        <v> </v>
      </c>
      <c r="J5840" s="26" t="str">
        <f>IF(OR(E5840="",E5840="!!!",F5840="NEW"),"",COUNTBLANK(OFFSET(A$1,,,SUMPRODUCT(MAX(ROW(E$2:E5840)*(E5840=E$2:E5840)))))-COUNTBLANK(OFFSET(A$1,,,SUMPRODUCT(MAX(ROW(E$1:E5839)*(E2=E$1:E5839))))))</f>
        <v> </v>
      </c>
      <c r="K5840" s="26" t="str">
        <f>IF(OR(E5840="",E5840="!!!",F5840="NEW"),"",INDEX(J$1:J5839,SUMPRODUCT(MAX(ROW(E$1:E5839)*(E5840=E$1:E5839)))))</f>
        <v> </v>
      </c>
      <c r="L5840" s="27"/>
    </row>
    <row r="5841" spans="1:12">
      <c r="A5841" s="20" t="s">
        <v>1264</v>
      </c>
      <c r="E5841" s="22">
        <f>IF(D5841="?OLD","!!!","")</f>
        <v/>
      </c>
      <c r="F5841" s="23" t="str">
        <f>IF(OR(E5841="",E5841="!!!"),"",IF(NOT(ISNA(VLOOKUP(E5841,E$1:E5840,1,FALSE()))),"OLD",IF(AND(E5841&lt;&gt;"",E5841&lt;&gt;"!!!"),"NEW","")))</f>
        <v> </v>
      </c>
      <c r="G5841" s="24" t="str">
        <f>IF(OR(E5841="",E5841="!!!"),"",IF(OR(J5841=0,AND(J5841=1,K5841=1),AND(J5841=1,I5841="SBJ"),AND(J5841=1,I5841=0)),"?IN_FOCUS",IF(J5841&lt;=2,"?ACTIVATED",IF(J5841&lt;&gt;"","?FAMILIAR",IF(F5841="NEW",IF(ISNA(VLOOKUP(E5841,#REF!,1,FALSE())),"?TYPE_IDENTIFIABLE","?REFERENTIAL"),"_")))))</f>
        <v> </v>
      </c>
      <c r="H5841" s="25" t="str">
        <f>IF(J5841&lt;&gt;1,"",IF(I5841="SBJ","CB","?"))</f>
        <v> </v>
      </c>
      <c r="I5841" s="26" t="str">
        <f>IF(OR(E5841="",E5841="!!!",F5841="NEW"),"",INDEX(B5840:B$2,-1+SUMPRODUCT(MAX(ROW(E5840:E$2)*(E5841=E5840:E$2)))))</f>
        <v> </v>
      </c>
      <c r="J5841" s="26" t="str">
        <f>IF(OR(E5841="",E5841="!!!",F5841="NEW"),"",COUNTBLANK(OFFSET(A$1,,,SUMPRODUCT(MAX(ROW(E$2:E5841)*(E5841=E$2:E5841)))))-COUNTBLANK(OFFSET(A$1,,,SUMPRODUCT(MAX(ROW(E$1:E5840)*(E2=E$1:E5840))))))</f>
        <v> </v>
      </c>
      <c r="K5841" s="26" t="str">
        <f>IF(OR(E5841="",E5841="!!!",F5841="NEW"),"",INDEX(J$1:J5840,SUMPRODUCT(MAX(ROW(E$1:E5840)*(E5841=E$1:E5840)))))</f>
        <v> </v>
      </c>
      <c r="L5841" s="27"/>
    </row>
    <row r="5842" spans="1:12">
      <c r="A5842" s="20" t="s">
        <v>1218</v>
      </c>
      <c r="B5842" s="21" t="s">
        <v>1204</v>
      </c>
      <c r="E5842" s="22">
        <f>IF(D5842="?OLD","!!!","")</f>
        <v/>
      </c>
      <c r="F5842" s="23" t="str">
        <f>IF(OR(E5842="",E5842="!!!"),"",IF(NOT(ISNA(VLOOKUP(E5842,E$1:E5841,1,FALSE()))),"OLD",IF(AND(E5842&lt;&gt;"",E5842&lt;&gt;"!!!"),"NEW","")))</f>
        <v> </v>
      </c>
      <c r="G5842" s="24" t="str">
        <f>IF(OR(E5842="",E5842="!!!"),"",IF(OR(J5842=0,AND(J5842=1,K5842=1),AND(J5842=1,I5842="SBJ"),AND(J5842=1,I5842=0)),"?IN_FOCUS",IF(J5842&lt;=2,"?ACTIVATED",IF(J5842&lt;&gt;"","?FAMILIAR",IF(F5842="NEW",IF(ISNA(VLOOKUP(E5842,#REF!,1,FALSE())),"?TYPE_IDENTIFIABLE","?REFERENTIAL"),"_")))))</f>
        <v> </v>
      </c>
      <c r="H5842" s="25" t="str">
        <f>IF(J5842&lt;&gt;1,"",IF(I5842="SBJ","CB","?"))</f>
        <v> </v>
      </c>
      <c r="I5842" s="26" t="str">
        <f>IF(OR(E5842="",E5842="!!!",F5842="NEW"),"",INDEX(B5841:B$2,-1+SUMPRODUCT(MAX(ROW(E5841:E$2)*(E5842=E5841:E$2)))))</f>
        <v> </v>
      </c>
      <c r="J5842" s="26" t="str">
        <f>IF(OR(E5842="",E5842="!!!",F5842="NEW"),"",COUNTBLANK(OFFSET(A$1,,,SUMPRODUCT(MAX(ROW(E$2:E5842)*(E5842=E$2:E5842)))))-COUNTBLANK(OFFSET(A$1,,,SUMPRODUCT(MAX(ROW(E$1:E5841)*(E2=E$1:E5841))))))</f>
        <v> </v>
      </c>
      <c r="K5842" s="26" t="str">
        <f>IF(OR(E5842="",E5842="!!!",F5842="NEW"),"",INDEX(J$1:J5841,SUMPRODUCT(MAX(ROW(E$1:E5841)*(E5842=E$1:E5841)))))</f>
        <v> </v>
      </c>
      <c r="L5842" s="27"/>
    </row>
    <row r="5843" spans="1:12">
      <c r="A5843" s="20" t="s">
        <v>2766</v>
      </c>
      <c r="E5843" s="22">
        <f>IF(D5843="?OLD","!!!","")</f>
        <v/>
      </c>
      <c r="F5843" s="23" t="str">
        <f>IF(OR(E5843="",E5843="!!!"),"",IF(NOT(ISNA(VLOOKUP(E5843,E$1:E5842,1,FALSE()))),"OLD",IF(AND(E5843&lt;&gt;"",E5843&lt;&gt;"!!!"),"NEW","")))</f>
        <v> </v>
      </c>
      <c r="G5843" s="24" t="str">
        <f>IF(OR(E5843="",E5843="!!!"),"",IF(OR(J5843=0,AND(J5843=1,K5843=1),AND(J5843=1,I5843="SBJ"),AND(J5843=1,I5843=0)),"?IN_FOCUS",IF(J5843&lt;=2,"?ACTIVATED",IF(J5843&lt;&gt;"","?FAMILIAR",IF(F5843="NEW",IF(ISNA(VLOOKUP(E5843,#REF!,1,FALSE())),"?TYPE_IDENTIFIABLE","?REFERENTIAL"),"_")))))</f>
        <v> </v>
      </c>
      <c r="H5843" s="25" t="str">
        <f>IF(J5843&lt;&gt;1,"",IF(I5843="SBJ","CB","?"))</f>
        <v> </v>
      </c>
      <c r="I5843" s="26" t="str">
        <f>IF(OR(E5843="",E5843="!!!",F5843="NEW"),"",INDEX(B5842:B$2,-1+SUMPRODUCT(MAX(ROW(E5842:E$2)*(E5843=E5842:E$2)))))</f>
        <v> </v>
      </c>
      <c r="J5843" s="26" t="str">
        <f>IF(OR(E5843="",E5843="!!!",F5843="NEW"),"",COUNTBLANK(OFFSET(A$1,,,SUMPRODUCT(MAX(ROW(E$2:E5843)*(E5843=E$2:E5843)))))-COUNTBLANK(OFFSET(A$1,,,SUMPRODUCT(MAX(ROW(E$1:E5842)*(E2=E$1:E5842))))))</f>
        <v> </v>
      </c>
      <c r="K5843" s="26" t="str">
        <f>IF(OR(E5843="",E5843="!!!",F5843="NEW"),"",INDEX(J$1:J5842,SUMPRODUCT(MAX(ROW(E$1:E5842)*(E5843=E$1:E5842)))))</f>
        <v> </v>
      </c>
      <c r="L5843" s="27"/>
    </row>
    <row r="5844" spans="1:12">
      <c r="A5844" s="20" t="s">
        <v>2609</v>
      </c>
      <c r="E5844" s="22">
        <f>IF(D5844="?OLD","!!!","")</f>
        <v/>
      </c>
      <c r="F5844" s="23" t="str">
        <f>IF(OR(E5844="",E5844="!!!"),"",IF(NOT(ISNA(VLOOKUP(E5844,E$1:E5843,1,FALSE()))),"OLD",IF(AND(E5844&lt;&gt;"",E5844&lt;&gt;"!!!"),"NEW","")))</f>
        <v> </v>
      </c>
      <c r="G5844" s="24" t="str">
        <f>IF(OR(E5844="",E5844="!!!"),"",IF(OR(J5844=0,AND(J5844=1,K5844=1),AND(J5844=1,I5844="SBJ"),AND(J5844=1,I5844=0)),"?IN_FOCUS",IF(J5844&lt;=2,"?ACTIVATED",IF(J5844&lt;&gt;"","?FAMILIAR",IF(F5844="NEW",IF(ISNA(VLOOKUP(E5844,#REF!,1,FALSE())),"?TYPE_IDENTIFIABLE","?REFERENTIAL"),"_")))))</f>
        <v> </v>
      </c>
      <c r="H5844" s="25" t="str">
        <f>IF(J5844&lt;&gt;1,"",IF(I5844="SBJ","CB","?"))</f>
        <v> </v>
      </c>
      <c r="I5844" s="26" t="str">
        <f>IF(OR(E5844="",E5844="!!!",F5844="NEW"),"",INDEX(B5843:B$2,-1+SUMPRODUCT(MAX(ROW(E5843:E$2)*(E5844=E5843:E$2)))))</f>
        <v> </v>
      </c>
      <c r="J5844" s="26" t="str">
        <f>IF(OR(E5844="",E5844="!!!",F5844="NEW"),"",COUNTBLANK(OFFSET(A$1,,,SUMPRODUCT(MAX(ROW(E$2:E5844)*(E5844=E$2:E5844)))))-COUNTBLANK(OFFSET(A$1,,,SUMPRODUCT(MAX(ROW(E$1:E5843)*(E2=E$1:E5843))))))</f>
        <v> </v>
      </c>
      <c r="K5844" s="26" t="str">
        <f>IF(OR(E5844="",E5844="!!!",F5844="NEW"),"",INDEX(J$1:J5843,SUMPRODUCT(MAX(ROW(E$1:E5843)*(E5844=E$1:E5843)))))</f>
        <v> </v>
      </c>
      <c r="L5844" s="27"/>
    </row>
    <row r="5845" spans="1:12">
      <c r="A5845" s="20" t="s">
        <v>2767</v>
      </c>
      <c r="E5845" s="22">
        <f>IF(D5845="?OLD","!!!","")</f>
        <v/>
      </c>
      <c r="F5845" s="23" t="str">
        <f>IF(OR(E5845="",E5845="!!!"),"",IF(NOT(ISNA(VLOOKUP(E5845,E$1:E5844,1,FALSE()))),"OLD",IF(AND(E5845&lt;&gt;"",E5845&lt;&gt;"!!!"),"NEW","")))</f>
        <v> </v>
      </c>
      <c r="G5845" s="24" t="str">
        <f>IF(OR(E5845="",E5845="!!!"),"",IF(OR(J5845=0,AND(J5845=1,K5845=1),AND(J5845=1,I5845="SBJ"),AND(J5845=1,I5845=0)),"?IN_FOCUS",IF(J5845&lt;=2,"?ACTIVATED",IF(J5845&lt;&gt;"","?FAMILIAR",IF(F5845="NEW",IF(ISNA(VLOOKUP(E5845,#REF!,1,FALSE())),"?TYPE_IDENTIFIABLE","?REFERENTIAL"),"_")))))</f>
        <v> </v>
      </c>
      <c r="H5845" s="25" t="str">
        <f>IF(J5845&lt;&gt;1,"",IF(I5845="SBJ","CB","?"))</f>
        <v> </v>
      </c>
      <c r="I5845" s="26" t="str">
        <f>IF(OR(E5845="",E5845="!!!",F5845="NEW"),"",INDEX(B5844:B$2,-1+SUMPRODUCT(MAX(ROW(E5844:E$2)*(E5845=E5844:E$2)))))</f>
        <v> </v>
      </c>
      <c r="J5845" s="26" t="str">
        <f>IF(OR(E5845="",E5845="!!!",F5845="NEW"),"",COUNTBLANK(OFFSET(A$1,,,SUMPRODUCT(MAX(ROW(E$2:E5845)*(E5845=E$2:E5845)))))-COUNTBLANK(OFFSET(A$1,,,SUMPRODUCT(MAX(ROW(E$1:E5844)*(E2=E$1:E5844))))))</f>
        <v> </v>
      </c>
      <c r="K5845" s="26" t="str">
        <f>IF(OR(E5845="",E5845="!!!",F5845="NEW"),"",INDEX(J$1:J5844,SUMPRODUCT(MAX(ROW(E$1:E5844)*(E5845=E$1:E5844)))))</f>
        <v> </v>
      </c>
      <c r="L5845" s="27"/>
    </row>
    <row r="5846" spans="1:12">
      <c r="A5846" s="20" t="s">
        <v>1185</v>
      </c>
      <c r="E5846" s="22">
        <f>IF(D5846="?OLD","!!!","")</f>
        <v/>
      </c>
      <c r="F5846" s="23" t="str">
        <f>IF(OR(E5846="",E5846="!!!"),"",IF(NOT(ISNA(VLOOKUP(E5846,E$1:E5845,1,FALSE()))),"OLD",IF(AND(E5846&lt;&gt;"",E5846&lt;&gt;"!!!"),"NEW","")))</f>
        <v> </v>
      </c>
      <c r="G5846" s="24" t="str">
        <f>IF(OR(E5846="",E5846="!!!"),"",IF(OR(J5846=0,AND(J5846=1,K5846=1),AND(J5846=1,I5846="SBJ"),AND(J5846=1,I5846=0)),"?IN_FOCUS",IF(J5846&lt;=2,"?ACTIVATED",IF(J5846&lt;&gt;"","?FAMILIAR",IF(F5846="NEW",IF(ISNA(VLOOKUP(E5846,#REF!,1,FALSE())),"?TYPE_IDENTIFIABLE","?REFERENTIAL"),"_")))))</f>
        <v> </v>
      </c>
      <c r="H5846" s="25" t="str">
        <f>IF(J5846&lt;&gt;1,"",IF(I5846="SBJ","CB","?"))</f>
        <v> </v>
      </c>
      <c r="I5846" s="26" t="str">
        <f>IF(OR(E5846="",E5846="!!!",F5846="NEW"),"",INDEX(B5845:B$2,-1+SUMPRODUCT(MAX(ROW(E5845:E$2)*(E5846=E5845:E$2)))))</f>
        <v> </v>
      </c>
      <c r="J5846" s="26" t="str">
        <f>IF(OR(E5846="",E5846="!!!",F5846="NEW"),"",COUNTBLANK(OFFSET(A$1,,,SUMPRODUCT(MAX(ROW(E$2:E5846)*(E5846=E$2:E5846)))))-COUNTBLANK(OFFSET(A$1,,,SUMPRODUCT(MAX(ROW(E$1:E5845)*(E2=E$1:E5845))))))</f>
        <v> </v>
      </c>
      <c r="K5846" s="26" t="str">
        <f>IF(OR(E5846="",E5846="!!!",F5846="NEW"),"",INDEX(J$1:J5845,SUMPRODUCT(MAX(ROW(E$1:E5845)*(E5846=E$1:E5845)))))</f>
        <v> </v>
      </c>
      <c r="L5846" s="27"/>
    </row>
    <row r="5847" spans="1:12">
      <c r="A5847" s="20" t="s">
        <v>1359</v>
      </c>
      <c r="E5847" s="22">
        <f>IF(D5847="?OLD","!!!","")</f>
        <v/>
      </c>
      <c r="F5847" s="23" t="str">
        <f>IF(OR(E5847="",E5847="!!!"),"",IF(NOT(ISNA(VLOOKUP(E5847,E$1:E5846,1,FALSE()))),"OLD",IF(AND(E5847&lt;&gt;"",E5847&lt;&gt;"!!!"),"NEW","")))</f>
        <v> </v>
      </c>
      <c r="G5847" s="24" t="str">
        <f>IF(OR(E5847="",E5847="!!!"),"",IF(OR(J5847=0,AND(J5847=1,K5847=1),AND(J5847=1,I5847="SBJ"),AND(J5847=1,I5847=0)),"?IN_FOCUS",IF(J5847&lt;=2,"?ACTIVATED",IF(J5847&lt;&gt;"","?FAMILIAR",IF(F5847="NEW",IF(ISNA(VLOOKUP(E5847,#REF!,1,FALSE())),"?TYPE_IDENTIFIABLE","?REFERENTIAL"),"_")))))</f>
        <v> </v>
      </c>
      <c r="H5847" s="25" t="str">
        <f>IF(J5847&lt;&gt;1,"",IF(I5847="SBJ","CB","?"))</f>
        <v> </v>
      </c>
      <c r="I5847" s="26" t="str">
        <f>IF(OR(E5847="",E5847="!!!",F5847="NEW"),"",INDEX(B5846:B$2,-1+SUMPRODUCT(MAX(ROW(E5846:E$2)*(E5847=E5846:E$2)))))</f>
        <v> </v>
      </c>
      <c r="J5847" s="26" t="str">
        <f>IF(OR(E5847="",E5847="!!!",F5847="NEW"),"",COUNTBLANK(OFFSET(A$1,,,SUMPRODUCT(MAX(ROW(E$2:E5847)*(E5847=E$2:E5847)))))-COUNTBLANK(OFFSET(A$1,,,SUMPRODUCT(MAX(ROW(E$1:E5846)*(E2=E$1:E5846))))))</f>
        <v> </v>
      </c>
      <c r="K5847" s="26" t="str">
        <f>IF(OR(E5847="",E5847="!!!",F5847="NEW"),"",INDEX(J$1:J5846,SUMPRODUCT(MAX(ROW(E$1:E5846)*(E5847=E$1:E5846)))))</f>
        <v> </v>
      </c>
      <c r="L5847" s="27"/>
    </row>
    <row r="5848" spans="1:12">
      <c r="A5848" s="20" t="s">
        <v>2768</v>
      </c>
      <c r="B5848" s="21" t="s">
        <v>1240</v>
      </c>
      <c r="C5848" s="21" t="s">
        <v>1179</v>
      </c>
      <c r="D5848" s="21" t="s">
        <v>1180</v>
      </c>
      <c r="E5848" s="22">
        <f>IF(D5848="?OLD","!!!","")</f>
        <v/>
      </c>
      <c r="F5848" s="23" t="str">
        <f>IF(OR(E5848="",E5848="!!!"),"",IF(NOT(ISNA(VLOOKUP(E5848,E$1:E5847,1,FALSE()))),"OLD",IF(AND(E5848&lt;&gt;"",E5848&lt;&gt;"!!!"),"NEW","")))</f>
        <v> </v>
      </c>
      <c r="G5848" s="24" t="str">
        <f>IF(OR(E5848="",E5848="!!!"),"",IF(OR(J5848=0,AND(J5848=1,K5848=1),AND(J5848=1,I5848="SBJ"),AND(J5848=1,I5848=0)),"?IN_FOCUS",IF(J5848&lt;=2,"?ACTIVATED",IF(J5848&lt;&gt;"","?FAMILIAR",IF(F5848="NEW",IF(ISNA(VLOOKUP(E5848,#REF!,1,FALSE())),"?TYPE_IDENTIFIABLE","?REFERENTIAL"),"_")))))</f>
        <v> </v>
      </c>
      <c r="H5848" s="25" t="str">
        <f>IF(J5848&lt;&gt;1,"",IF(I5848="SBJ","CB","?"))</f>
        <v> </v>
      </c>
      <c r="I5848" s="26" t="str">
        <f>IF(OR(E5848="",E5848="!!!",F5848="NEW"),"",INDEX(B5847:B$2,-1+SUMPRODUCT(MAX(ROW(E5847:E$2)*(E5848=E5847:E$2)))))</f>
        <v> </v>
      </c>
      <c r="J5848" s="26" t="str">
        <f>IF(OR(E5848="",E5848="!!!",F5848="NEW"),"",COUNTBLANK(OFFSET(A$1,,,SUMPRODUCT(MAX(ROW(E$2:E5848)*(E5848=E$2:E5848)))))-COUNTBLANK(OFFSET(A$1,,,SUMPRODUCT(MAX(ROW(E$1:E5847)*(E2=E$1:E5847))))))</f>
        <v> </v>
      </c>
      <c r="K5848" s="26" t="str">
        <f>IF(OR(E5848="",E5848="!!!",F5848="NEW"),"",INDEX(J$1:J5847,SUMPRODUCT(MAX(ROW(E$1:E5847)*(E5848=E$1:E5847)))))</f>
        <v> </v>
      </c>
      <c r="L5848" s="27"/>
    </row>
    <row r="5849" spans="1:12">
      <c r="A5849" s="20" t="s">
        <v>2769</v>
      </c>
      <c r="E5849" s="22">
        <f>IF(D5849="?OLD","!!!","")</f>
        <v/>
      </c>
      <c r="F5849" s="23" t="str">
        <f>IF(OR(E5849="",E5849="!!!"),"",IF(NOT(ISNA(VLOOKUP(E5849,E$1:E5848,1,FALSE()))),"OLD",IF(AND(E5849&lt;&gt;"",E5849&lt;&gt;"!!!"),"NEW","")))</f>
        <v> </v>
      </c>
      <c r="G5849" s="24" t="str">
        <f>IF(OR(E5849="",E5849="!!!"),"",IF(OR(J5849=0,AND(J5849=1,K5849=1),AND(J5849=1,I5849="SBJ"),AND(J5849=1,I5849=0)),"?IN_FOCUS",IF(J5849&lt;=2,"?ACTIVATED",IF(J5849&lt;&gt;"","?FAMILIAR",IF(F5849="NEW",IF(ISNA(VLOOKUP(E5849,#REF!,1,FALSE())),"?TYPE_IDENTIFIABLE","?REFERENTIAL"),"_")))))</f>
        <v> </v>
      </c>
      <c r="H5849" s="25" t="str">
        <f>IF(J5849&lt;&gt;1,"",IF(I5849="SBJ","CB","?"))</f>
        <v> </v>
      </c>
      <c r="I5849" s="26" t="str">
        <f>IF(OR(E5849="",E5849="!!!",F5849="NEW"),"",INDEX(B5848:B$2,-1+SUMPRODUCT(MAX(ROW(E5848:E$2)*(E5849=E5848:E$2)))))</f>
        <v> </v>
      </c>
      <c r="J5849" s="26" t="str">
        <f>IF(OR(E5849="",E5849="!!!",F5849="NEW"),"",COUNTBLANK(OFFSET(A$1,,,SUMPRODUCT(MAX(ROW(E$2:E5849)*(E5849=E$2:E5849)))))-COUNTBLANK(OFFSET(A$1,,,SUMPRODUCT(MAX(ROW(E$1:E5848)*(E2=E$1:E5848))))))</f>
        <v> </v>
      </c>
      <c r="K5849" s="26" t="str">
        <f>IF(OR(E5849="",E5849="!!!",F5849="NEW"),"",INDEX(J$1:J5848,SUMPRODUCT(MAX(ROW(E$1:E5848)*(E5849=E$1:E5848)))))</f>
        <v> </v>
      </c>
      <c r="L5849" s="27"/>
    </row>
    <row r="5850" spans="1:12">
      <c r="A5850" s="20" t="s">
        <v>1218</v>
      </c>
      <c r="B5850" s="21" t="s">
        <v>1237</v>
      </c>
      <c r="E5850" s="22">
        <f>IF(D5850="?OLD","!!!","")</f>
        <v/>
      </c>
      <c r="F5850" s="23" t="str">
        <f>IF(OR(E5850="",E5850="!!!"),"",IF(NOT(ISNA(VLOOKUP(E5850,E$1:E5849,1,FALSE()))),"OLD",IF(AND(E5850&lt;&gt;"",E5850&lt;&gt;"!!!"),"NEW","")))</f>
        <v> </v>
      </c>
      <c r="G5850" s="24" t="str">
        <f>IF(OR(E5850="",E5850="!!!"),"",IF(OR(J5850=0,AND(J5850=1,K5850=1),AND(J5850=1,I5850="SBJ"),AND(J5850=1,I5850=0)),"?IN_FOCUS",IF(J5850&lt;=2,"?ACTIVATED",IF(J5850&lt;&gt;"","?FAMILIAR",IF(F5850="NEW",IF(ISNA(VLOOKUP(E5850,#REF!,1,FALSE())),"?TYPE_IDENTIFIABLE","?REFERENTIAL"),"_")))))</f>
        <v> </v>
      </c>
      <c r="H5850" s="25" t="str">
        <f>IF(J5850&lt;&gt;1,"",IF(I5850="SBJ","CB","?"))</f>
        <v> </v>
      </c>
      <c r="I5850" s="26" t="str">
        <f>IF(OR(E5850="",E5850="!!!",F5850="NEW"),"",INDEX(B5849:B$2,-1+SUMPRODUCT(MAX(ROW(E5849:E$2)*(E5850=E5849:E$2)))))</f>
        <v> </v>
      </c>
      <c r="J5850" s="26" t="str">
        <f>IF(OR(E5850="",E5850="!!!",F5850="NEW"),"",COUNTBLANK(OFFSET(A$1,,,SUMPRODUCT(MAX(ROW(E$2:E5850)*(E5850=E$2:E5850)))))-COUNTBLANK(OFFSET(A$1,,,SUMPRODUCT(MAX(ROW(E$1:E5849)*(E2=E$1:E5849))))))</f>
        <v> </v>
      </c>
      <c r="K5850" s="26" t="str">
        <f>IF(OR(E5850="",E5850="!!!",F5850="NEW"),"",INDEX(J$1:J5849,SUMPRODUCT(MAX(ROW(E$1:E5849)*(E5850=E$1:E5849)))))</f>
        <v> </v>
      </c>
      <c r="L5850" s="27"/>
    </row>
    <row r="5851" spans="1:12">
      <c r="A5851" s="20" t="s">
        <v>2770</v>
      </c>
      <c r="E5851" s="22">
        <f>IF(D5851="?OLD","!!!","")</f>
        <v/>
      </c>
      <c r="F5851" s="23" t="str">
        <f>IF(OR(E5851="",E5851="!!!"),"",IF(NOT(ISNA(VLOOKUP(E5851,E$1:E5850,1,FALSE()))),"OLD",IF(AND(E5851&lt;&gt;"",E5851&lt;&gt;"!!!"),"NEW","")))</f>
        <v> </v>
      </c>
      <c r="G5851" s="24" t="str">
        <f>IF(OR(E5851="",E5851="!!!"),"",IF(OR(J5851=0,AND(J5851=1,K5851=1),AND(J5851=1,I5851="SBJ"),AND(J5851=1,I5851=0)),"?IN_FOCUS",IF(J5851&lt;=2,"?ACTIVATED",IF(J5851&lt;&gt;"","?FAMILIAR",IF(F5851="NEW",IF(ISNA(VLOOKUP(E5851,#REF!,1,FALSE())),"?TYPE_IDENTIFIABLE","?REFERENTIAL"),"_")))))</f>
        <v> </v>
      </c>
      <c r="H5851" s="25" t="str">
        <f>IF(J5851&lt;&gt;1,"",IF(I5851="SBJ","CB","?"))</f>
        <v> </v>
      </c>
      <c r="I5851" s="26" t="str">
        <f>IF(OR(E5851="",E5851="!!!",F5851="NEW"),"",INDEX(B5850:B$2,-1+SUMPRODUCT(MAX(ROW(E5850:E$2)*(E5851=E5850:E$2)))))</f>
        <v> </v>
      </c>
      <c r="J5851" s="26" t="str">
        <f>IF(OR(E5851="",E5851="!!!",F5851="NEW"),"",COUNTBLANK(OFFSET(A$1,,,SUMPRODUCT(MAX(ROW(E$2:E5851)*(E5851=E$2:E5851)))))-COUNTBLANK(OFFSET(A$1,,,SUMPRODUCT(MAX(ROW(E$1:E5850)*(E2=E$1:E5850))))))</f>
        <v> </v>
      </c>
      <c r="K5851" s="26" t="str">
        <f>IF(OR(E5851="",E5851="!!!",F5851="NEW"),"",INDEX(J$1:J5850,SUMPRODUCT(MAX(ROW(E$1:E5850)*(E5851=E$1:E5850)))))</f>
        <v> </v>
      </c>
      <c r="L5851" s="27"/>
    </row>
    <row r="5852" spans="1:12">
      <c r="A5852" s="20" t="s">
        <v>1271</v>
      </c>
      <c r="E5852" s="22">
        <f>IF(D5852="?OLD","!!!","")</f>
        <v/>
      </c>
      <c r="F5852" s="23" t="str">
        <f>IF(OR(E5852="",E5852="!!!"),"",IF(NOT(ISNA(VLOOKUP(E5852,E$1:E5851,1,FALSE()))),"OLD",IF(AND(E5852&lt;&gt;"",E5852&lt;&gt;"!!!"),"NEW","")))</f>
        <v> </v>
      </c>
      <c r="G5852" s="24" t="str">
        <f>IF(OR(E5852="",E5852="!!!"),"",IF(OR(J5852=0,AND(J5852=1,K5852=1),AND(J5852=1,I5852="SBJ"),AND(J5852=1,I5852=0)),"?IN_FOCUS",IF(J5852&lt;=2,"?ACTIVATED",IF(J5852&lt;&gt;"","?FAMILIAR",IF(F5852="NEW",IF(ISNA(VLOOKUP(E5852,#REF!,1,FALSE())),"?TYPE_IDENTIFIABLE","?REFERENTIAL"),"_")))))</f>
        <v> </v>
      </c>
      <c r="H5852" s="25" t="str">
        <f>IF(J5852&lt;&gt;1,"",IF(I5852="SBJ","CB","?"))</f>
        <v> </v>
      </c>
      <c r="I5852" s="26" t="str">
        <f>IF(OR(E5852="",E5852="!!!",F5852="NEW"),"",INDEX(B5851:B$2,-1+SUMPRODUCT(MAX(ROW(E5851:E$2)*(E5852=E5851:E$2)))))</f>
        <v> </v>
      </c>
      <c r="J5852" s="26" t="str">
        <f>IF(OR(E5852="",E5852="!!!",F5852="NEW"),"",COUNTBLANK(OFFSET(A$1,,,SUMPRODUCT(MAX(ROW(E$2:E5852)*(E5852=E$2:E5852)))))-COUNTBLANK(OFFSET(A$1,,,SUMPRODUCT(MAX(ROW(E$1:E5851)*(E2=E$1:E5851))))))</f>
        <v> </v>
      </c>
      <c r="K5852" s="26" t="str">
        <f>IF(OR(E5852="",E5852="!!!",F5852="NEW"),"",INDEX(J$1:J5851,SUMPRODUCT(MAX(ROW(E$1:E5851)*(E5852=E$1:E5851)))))</f>
        <v> </v>
      </c>
      <c r="L5852" s="27"/>
    </row>
    <row r="5853" spans="1:12">
      <c r="A5853" s="20" t="s">
        <v>818</v>
      </c>
      <c r="E5853" s="22">
        <f>IF(D5853="?OLD","!!!","")</f>
        <v/>
      </c>
      <c r="F5853" s="23" t="str">
        <f>IF(OR(E5853="",E5853="!!!"),"",IF(NOT(ISNA(VLOOKUP(E5853,E$1:E5852,1,FALSE()))),"OLD",IF(AND(E5853&lt;&gt;"",E5853&lt;&gt;"!!!"),"NEW","")))</f>
        <v> </v>
      </c>
      <c r="G5853" s="24" t="str">
        <f>IF(OR(E5853="",E5853="!!!"),"",IF(OR(J5853=0,AND(J5853=1,K5853=1),AND(J5853=1,I5853="SBJ"),AND(J5853=1,I5853=0)),"?IN_FOCUS",IF(J5853&lt;=2,"?ACTIVATED",IF(J5853&lt;&gt;"","?FAMILIAR",IF(F5853="NEW",IF(ISNA(VLOOKUP(E5853,#REF!,1,FALSE())),"?TYPE_IDENTIFIABLE","?REFERENTIAL"),"_")))))</f>
        <v> </v>
      </c>
      <c r="H5853" s="25" t="str">
        <f>IF(J5853&lt;&gt;1,"",IF(I5853="SBJ","CB","?"))</f>
        <v> </v>
      </c>
      <c r="I5853" s="26" t="str">
        <f>IF(OR(E5853="",E5853="!!!",F5853="NEW"),"",INDEX(B5852:B$2,-1+SUMPRODUCT(MAX(ROW(E5852:E$2)*(E5853=E5852:E$2)))))</f>
        <v> </v>
      </c>
      <c r="J5853" s="26" t="str">
        <f>IF(OR(E5853="",E5853="!!!",F5853="NEW"),"",COUNTBLANK(OFFSET(A$1,,,SUMPRODUCT(MAX(ROW(E$2:E5853)*(E5853=E$2:E5853)))))-COUNTBLANK(OFFSET(A$1,,,SUMPRODUCT(MAX(ROW(E$1:E5852)*(E2=E$1:E5852))))))</f>
        <v> </v>
      </c>
      <c r="K5853" s="26" t="str">
        <f>IF(OR(E5853="",E5853="!!!",F5853="NEW"),"",INDEX(J$1:J5852,SUMPRODUCT(MAX(ROW(E$1:E5852)*(E5853=E$1:E5852)))))</f>
        <v> </v>
      </c>
      <c r="L5853" s="27"/>
    </row>
    <row r="5854" spans="1:12">
      <c r="A5854" s="20"/>
    </row>
    <row r="5855" spans="1:12">
      <c r="A5855" s="20" t="s">
        <v>2771</v>
      </c>
    </row>
    <row r="5856" spans="1:12">
      <c r="A5856" s="20" t="s">
        <v>1256</v>
      </c>
      <c r="B5856" s="21" t="s">
        <v>1194</v>
      </c>
      <c r="C5856" s="21" t="s">
        <v>1195</v>
      </c>
      <c r="D5856" s="21" t="s">
        <v>1180</v>
      </c>
      <c r="E5856" s="22">
        <f>IF(D5856="?OLD","!!!","")</f>
        <v/>
      </c>
      <c r="F5856" s="23" t="str">
        <f>IF(OR(E5856="",E5856="!!!"),"",IF(NOT(ISNA(VLOOKUP(E5856,E$1:E5855,1,FALSE()))),"OLD",IF(AND(E5856&lt;&gt;"",E5856&lt;&gt;"!!!"),"NEW","")))</f>
        <v> </v>
      </c>
      <c r="G5856" s="24" t="str">
        <f>IF(OR(E5856="",E5856="!!!"),"",IF(OR(J5856=0,AND(J5856=1,K5856=1),AND(J5856=1,I5856="SBJ"),AND(J5856=1,I5856=0)),"?IN_FOCUS",IF(J5856&lt;=2,"?ACTIVATED",IF(J5856&lt;&gt;"","?FAMILIAR",IF(F5856="NEW",IF(ISNA(VLOOKUP(E5856,#REF!,1,FALSE())),"?TYPE_IDENTIFIABLE","?REFERENTIAL"),"_")))))</f>
        <v> </v>
      </c>
      <c r="H5856" s="25" t="str">
        <f>IF(J5856&lt;&gt;1,"",IF(I5856="SBJ","CB","?"))</f>
        <v> </v>
      </c>
      <c r="I5856" s="26" t="str">
        <f>IF(OR(E5856="",E5856="!!!",F5856="NEW"),"",INDEX(B5855:B$2,-1+SUMPRODUCT(MAX(ROW(E5855:E$2)*(E5856=E5855:E$2)))))</f>
        <v> </v>
      </c>
      <c r="J5856" s="26" t="str">
        <f>IF(OR(E5856="",E5856="!!!",F5856="NEW"),"",COUNTBLANK(OFFSET(A$1,,,SUMPRODUCT(MAX(ROW(E$2:E5856)*(E5856=E$2:E5856)))))-COUNTBLANK(OFFSET(A$1,,,SUMPRODUCT(MAX(ROW(E$1:E5855)*(E2=E$1:E5855))))))</f>
        <v> </v>
      </c>
      <c r="K5856" s="26" t="str">
        <f>IF(OR(E5856="",E5856="!!!",F5856="NEW"),"",INDEX(J$1:J5855,SUMPRODUCT(MAX(ROW(E$1:E5855)*(E5856=E$1:E5855)))))</f>
        <v> </v>
      </c>
      <c r="L5856" s="27"/>
    </row>
    <row r="5857" spans="1:12">
      <c r="A5857" s="20" t="s">
        <v>1257</v>
      </c>
      <c r="E5857" s="22">
        <f>IF(D5857="?OLD","!!!","")</f>
        <v/>
      </c>
      <c r="F5857" s="23" t="str">
        <f>IF(OR(E5857="",E5857="!!!"),"",IF(NOT(ISNA(VLOOKUP(E5857,E$1:E5856,1,FALSE()))),"OLD",IF(AND(E5857&lt;&gt;"",E5857&lt;&gt;"!!!"),"NEW","")))</f>
        <v> </v>
      </c>
      <c r="G5857" s="24" t="str">
        <f>IF(OR(E5857="",E5857="!!!"),"",IF(OR(J5857=0,AND(J5857=1,K5857=1),AND(J5857=1,I5857="SBJ"),AND(J5857=1,I5857=0)),"?IN_FOCUS",IF(J5857&lt;=2,"?ACTIVATED",IF(J5857&lt;&gt;"","?FAMILIAR",IF(F5857="NEW",IF(ISNA(VLOOKUP(E5857,#REF!,1,FALSE())),"?TYPE_IDENTIFIABLE","?REFERENTIAL"),"_")))))</f>
        <v> </v>
      </c>
      <c r="H5857" s="25" t="str">
        <f>IF(J5857&lt;&gt;1,"",IF(I5857="SBJ","CB","?"))</f>
        <v> </v>
      </c>
      <c r="I5857" s="26" t="str">
        <f>IF(OR(E5857="",E5857="!!!",F5857="NEW"),"",INDEX(B5856:B$2,-1+SUMPRODUCT(MAX(ROW(E5856:E$2)*(E5857=E5856:E$2)))))</f>
        <v> </v>
      </c>
      <c r="J5857" s="26" t="str">
        <f>IF(OR(E5857="",E5857="!!!",F5857="NEW"),"",COUNTBLANK(OFFSET(A$1,,,SUMPRODUCT(MAX(ROW(E$2:E5857)*(E5857=E$2:E5857)))))-COUNTBLANK(OFFSET(A$1,,,SUMPRODUCT(MAX(ROW(E$1:E5856)*(E2=E$1:E5856))))))</f>
        <v> </v>
      </c>
      <c r="K5857" s="26" t="str">
        <f>IF(OR(E5857="",E5857="!!!",F5857="NEW"),"",INDEX(J$1:J5856,SUMPRODUCT(MAX(ROW(E$1:E5856)*(E5857=E$1:E5856)))))</f>
        <v> </v>
      </c>
      <c r="L5857" s="27"/>
    </row>
    <row r="5858" spans="1:12">
      <c r="A5858" s="20" t="s">
        <v>1314</v>
      </c>
      <c r="E5858" s="22">
        <f>IF(D5858="?OLD","!!!","")</f>
        <v/>
      </c>
      <c r="F5858" s="23" t="str">
        <f>IF(OR(E5858="",E5858="!!!"),"",IF(NOT(ISNA(VLOOKUP(E5858,E$1:E5857,1,FALSE()))),"OLD",IF(AND(E5858&lt;&gt;"",E5858&lt;&gt;"!!!"),"NEW","")))</f>
        <v> </v>
      </c>
      <c r="G5858" s="24" t="str">
        <f>IF(OR(E5858="",E5858="!!!"),"",IF(OR(J5858=0,AND(J5858=1,K5858=1),AND(J5858=1,I5858="SBJ"),AND(J5858=1,I5858=0)),"?IN_FOCUS",IF(J5858&lt;=2,"?ACTIVATED",IF(J5858&lt;&gt;"","?FAMILIAR",IF(F5858="NEW",IF(ISNA(VLOOKUP(E5858,#REF!,1,FALSE())),"?TYPE_IDENTIFIABLE","?REFERENTIAL"),"_")))))</f>
        <v> </v>
      </c>
      <c r="H5858" s="25" t="str">
        <f>IF(J5858&lt;&gt;1,"",IF(I5858="SBJ","CB","?"))</f>
        <v> </v>
      </c>
      <c r="I5858" s="26" t="str">
        <f>IF(OR(E5858="",E5858="!!!",F5858="NEW"),"",INDEX(B5857:B$2,-1+SUMPRODUCT(MAX(ROW(E5857:E$2)*(E5858=E5857:E$2)))))</f>
        <v> </v>
      </c>
      <c r="J5858" s="26" t="str">
        <f>IF(OR(E5858="",E5858="!!!",F5858="NEW"),"",COUNTBLANK(OFFSET(A$1,,,SUMPRODUCT(MAX(ROW(E$2:E5858)*(E5858=E$2:E5858)))))-COUNTBLANK(OFFSET(A$1,,,SUMPRODUCT(MAX(ROW(E$1:E5857)*(E2=E$1:E5857))))))</f>
        <v> </v>
      </c>
      <c r="K5858" s="26" t="str">
        <f>IF(OR(E5858="",E5858="!!!",F5858="NEW"),"",INDEX(J$1:J5857,SUMPRODUCT(MAX(ROW(E$1:E5857)*(E5858=E$1:E5857)))))</f>
        <v> </v>
      </c>
      <c r="L5858" s="27"/>
    </row>
    <row r="5859" spans="1:12">
      <c r="A5859" s="20" t="s">
        <v>1198</v>
      </c>
      <c r="E5859" s="22">
        <f>IF(D5859="?OLD","!!!","")</f>
        <v/>
      </c>
      <c r="F5859" s="23" t="str">
        <f>IF(OR(E5859="",E5859="!!!"),"",IF(NOT(ISNA(VLOOKUP(E5859,E$1:E5858,1,FALSE()))),"OLD",IF(AND(E5859&lt;&gt;"",E5859&lt;&gt;"!!!"),"NEW","")))</f>
        <v> </v>
      </c>
      <c r="G5859" s="24" t="str">
        <f>IF(OR(E5859="",E5859="!!!"),"",IF(OR(J5859=0,AND(J5859=1,K5859=1),AND(J5859=1,I5859="SBJ"),AND(J5859=1,I5859=0)),"?IN_FOCUS",IF(J5859&lt;=2,"?ACTIVATED",IF(J5859&lt;&gt;"","?FAMILIAR",IF(F5859="NEW",IF(ISNA(VLOOKUP(E5859,#REF!,1,FALSE())),"?TYPE_IDENTIFIABLE","?REFERENTIAL"),"_")))))</f>
        <v> </v>
      </c>
      <c r="H5859" s="25" t="str">
        <f>IF(J5859&lt;&gt;1,"",IF(I5859="SBJ","CB","?"))</f>
        <v> </v>
      </c>
      <c r="I5859" s="26" t="str">
        <f>IF(OR(E5859="",E5859="!!!",F5859="NEW"),"",INDEX(B5858:B$2,-1+SUMPRODUCT(MAX(ROW(E5858:E$2)*(E5859=E5858:E$2)))))</f>
        <v> </v>
      </c>
      <c r="J5859" s="26" t="str">
        <f>IF(OR(E5859="",E5859="!!!",F5859="NEW"),"",COUNTBLANK(OFFSET(A$1,,,SUMPRODUCT(MAX(ROW(E$2:E5859)*(E5859=E$2:E5859)))))-COUNTBLANK(OFFSET(A$1,,,SUMPRODUCT(MAX(ROW(E$1:E5858)*(E2=E$1:E5858))))))</f>
        <v> </v>
      </c>
      <c r="K5859" s="26" t="str">
        <f>IF(OR(E5859="",E5859="!!!",F5859="NEW"),"",INDEX(J$1:J5858,SUMPRODUCT(MAX(ROW(E$1:E5858)*(E5859=E$1:E5858)))))</f>
        <v> </v>
      </c>
      <c r="L5859" s="27"/>
    </row>
    <row r="5860" spans="1:12">
      <c r="A5860" s="20" t="s">
        <v>2772</v>
      </c>
      <c r="E5860" s="22">
        <f>IF(D5860="?OLD","!!!","")</f>
        <v/>
      </c>
      <c r="F5860" s="23" t="str">
        <f>IF(OR(E5860="",E5860="!!!"),"",IF(NOT(ISNA(VLOOKUP(E5860,E$1:E5859,1,FALSE()))),"OLD",IF(AND(E5860&lt;&gt;"",E5860&lt;&gt;"!!!"),"NEW","")))</f>
        <v> </v>
      </c>
      <c r="G5860" s="24" t="str">
        <f>IF(OR(E5860="",E5860="!!!"),"",IF(OR(J5860=0,AND(J5860=1,K5860=1),AND(J5860=1,I5860="SBJ"),AND(J5860=1,I5860=0)),"?IN_FOCUS",IF(J5860&lt;=2,"?ACTIVATED",IF(J5860&lt;&gt;"","?FAMILIAR",IF(F5860="NEW",IF(ISNA(VLOOKUP(E5860,#REF!,1,FALSE())),"?TYPE_IDENTIFIABLE","?REFERENTIAL"),"_")))))</f>
        <v> </v>
      </c>
      <c r="H5860" s="25" t="str">
        <f>IF(J5860&lt;&gt;1,"",IF(I5860="SBJ","CB","?"))</f>
        <v> </v>
      </c>
      <c r="I5860" s="26" t="str">
        <f>IF(OR(E5860="",E5860="!!!",F5860="NEW"),"",INDEX(B5859:B$2,-1+SUMPRODUCT(MAX(ROW(E5859:E$2)*(E5860=E5859:E$2)))))</f>
        <v> </v>
      </c>
      <c r="J5860" s="26" t="str">
        <f>IF(OR(E5860="",E5860="!!!",F5860="NEW"),"",COUNTBLANK(OFFSET(A$1,,,SUMPRODUCT(MAX(ROW(E$2:E5860)*(E5860=E$2:E5860)))))-COUNTBLANK(OFFSET(A$1,,,SUMPRODUCT(MAX(ROW(E$1:E5859)*(E2=E$1:E5859))))))</f>
        <v> </v>
      </c>
      <c r="K5860" s="26" t="str">
        <f>IF(OR(E5860="",E5860="!!!",F5860="NEW"),"",INDEX(J$1:J5859,SUMPRODUCT(MAX(ROW(E$1:E5859)*(E5860=E$1:E5859)))))</f>
        <v> </v>
      </c>
      <c r="L5860" s="27"/>
    </row>
    <row r="5861" spans="1:12">
      <c r="A5861" s="20" t="s">
        <v>2773</v>
      </c>
      <c r="B5861" s="21" t="s">
        <v>1178</v>
      </c>
      <c r="C5861" s="21" t="s">
        <v>1188</v>
      </c>
      <c r="D5861" s="21" t="s">
        <v>1180</v>
      </c>
      <c r="E5861" s="22">
        <f>IF(D5861="?OLD","!!!","")</f>
        <v/>
      </c>
      <c r="F5861" s="23" t="str">
        <f>IF(OR(E5861="",E5861="!!!"),"",IF(NOT(ISNA(VLOOKUP(E5861,E$1:E5860,1,FALSE()))),"OLD",IF(AND(E5861&lt;&gt;"",E5861&lt;&gt;"!!!"),"NEW","")))</f>
        <v> </v>
      </c>
      <c r="G5861" s="24" t="str">
        <f>IF(OR(E5861="",E5861="!!!"),"",IF(OR(J5861=0,AND(J5861=1,K5861=1),AND(J5861=1,I5861="SBJ"),AND(J5861=1,I5861=0)),"?IN_FOCUS",IF(J5861&lt;=2,"?ACTIVATED",IF(J5861&lt;&gt;"","?FAMILIAR",IF(F5861="NEW",IF(ISNA(VLOOKUP(E5861,#REF!,1,FALSE())),"?TYPE_IDENTIFIABLE","?REFERENTIAL"),"_")))))</f>
        <v> </v>
      </c>
      <c r="H5861" s="25" t="str">
        <f>IF(J5861&lt;&gt;1,"",IF(I5861="SBJ","CB","?"))</f>
        <v> </v>
      </c>
      <c r="I5861" s="26" t="str">
        <f>IF(OR(E5861="",E5861="!!!",F5861="NEW"),"",INDEX(B5860:B$2,-1+SUMPRODUCT(MAX(ROW(E5860:E$2)*(E5861=E5860:E$2)))))</f>
        <v> </v>
      </c>
      <c r="J5861" s="26" t="str">
        <f>IF(OR(E5861="",E5861="!!!",F5861="NEW"),"",COUNTBLANK(OFFSET(A$1,,,SUMPRODUCT(MAX(ROW(E$2:E5861)*(E5861=E$2:E5861)))))-COUNTBLANK(OFFSET(A$1,,,SUMPRODUCT(MAX(ROW(E$1:E5860)*(E2=E$1:E5860))))))</f>
        <v> </v>
      </c>
      <c r="K5861" s="26" t="str">
        <f>IF(OR(E5861="",E5861="!!!",F5861="NEW"),"",INDEX(J$1:J5860,SUMPRODUCT(MAX(ROW(E$1:E5860)*(E5861=E$1:E5860)))))</f>
        <v> </v>
      </c>
      <c r="L5861" s="27"/>
    </row>
    <row r="5862" spans="1:12">
      <c r="A5862" s="20" t="s">
        <v>1185</v>
      </c>
      <c r="E5862" s="22">
        <f>IF(D5862="?OLD","!!!","")</f>
        <v/>
      </c>
      <c r="F5862" s="23" t="str">
        <f>IF(OR(E5862="",E5862="!!!"),"",IF(NOT(ISNA(VLOOKUP(E5862,E$1:E5861,1,FALSE()))),"OLD",IF(AND(E5862&lt;&gt;"",E5862&lt;&gt;"!!!"),"NEW","")))</f>
        <v> </v>
      </c>
      <c r="G5862" s="24" t="str">
        <f>IF(OR(E5862="",E5862="!!!"),"",IF(OR(J5862=0,AND(J5862=1,K5862=1),AND(J5862=1,I5862="SBJ"),AND(J5862=1,I5862=0)),"?IN_FOCUS",IF(J5862&lt;=2,"?ACTIVATED",IF(J5862&lt;&gt;"","?FAMILIAR",IF(F5862="NEW",IF(ISNA(VLOOKUP(E5862,#REF!,1,FALSE())),"?TYPE_IDENTIFIABLE","?REFERENTIAL"),"_")))))</f>
        <v> </v>
      </c>
      <c r="H5862" s="25" t="str">
        <f>IF(J5862&lt;&gt;1,"",IF(I5862="SBJ","CB","?"))</f>
        <v> </v>
      </c>
      <c r="I5862" s="26" t="str">
        <f>IF(OR(E5862="",E5862="!!!",F5862="NEW"),"",INDEX(B5861:B$2,-1+SUMPRODUCT(MAX(ROW(E5861:E$2)*(E5862=E5861:E$2)))))</f>
        <v> </v>
      </c>
      <c r="J5862" s="26" t="str">
        <f>IF(OR(E5862="",E5862="!!!",F5862="NEW"),"",COUNTBLANK(OFFSET(A$1,,,SUMPRODUCT(MAX(ROW(E$2:E5862)*(E5862=E$2:E5862)))))-COUNTBLANK(OFFSET(A$1,,,SUMPRODUCT(MAX(ROW(E$1:E5861)*(E2=E$1:E5861))))))</f>
        <v> </v>
      </c>
      <c r="K5862" s="26" t="str">
        <f>IF(OR(E5862="",E5862="!!!",F5862="NEW"),"",INDEX(J$1:J5861,SUMPRODUCT(MAX(ROW(E$1:E5861)*(E5862=E$1:E5861)))))</f>
        <v> </v>
      </c>
      <c r="L5862" s="27"/>
    </row>
    <row r="5863" spans="1:12">
      <c r="A5863" s="20" t="s">
        <v>1198</v>
      </c>
      <c r="B5863" s="21" t="s">
        <v>1240</v>
      </c>
      <c r="C5863" s="21" t="s">
        <v>1238</v>
      </c>
      <c r="D5863" s="21" t="s">
        <v>1180</v>
      </c>
      <c r="E5863" s="22">
        <f>IF(D5863="?OLD","!!!","")</f>
        <v/>
      </c>
      <c r="F5863" s="23" t="str">
        <f>IF(OR(E5863="",E5863="!!!"),"",IF(NOT(ISNA(VLOOKUP(E5863,E$1:E5862,1,FALSE()))),"OLD",IF(AND(E5863&lt;&gt;"",E5863&lt;&gt;"!!!"),"NEW","")))</f>
        <v> </v>
      </c>
      <c r="G5863" s="24" t="str">
        <f>IF(OR(E5863="",E5863="!!!"),"",IF(OR(J5863=0,AND(J5863=1,K5863=1),AND(J5863=1,I5863="SBJ"),AND(J5863=1,I5863=0)),"?IN_FOCUS",IF(J5863&lt;=2,"?ACTIVATED",IF(J5863&lt;&gt;"","?FAMILIAR",IF(F5863="NEW",IF(ISNA(VLOOKUP(E5863,#REF!,1,FALSE())),"?TYPE_IDENTIFIABLE","?REFERENTIAL"),"_")))))</f>
        <v> </v>
      </c>
      <c r="H5863" s="25" t="str">
        <f>IF(J5863&lt;&gt;1,"",IF(I5863="SBJ","CB","?"))</f>
        <v> </v>
      </c>
      <c r="I5863" s="26" t="str">
        <f>IF(OR(E5863="",E5863="!!!",F5863="NEW"),"",INDEX(B5862:B$2,-1+SUMPRODUCT(MAX(ROW(E5862:E$2)*(E5863=E5862:E$2)))))</f>
        <v> </v>
      </c>
      <c r="J5863" s="26" t="str">
        <f>IF(OR(E5863="",E5863="!!!",F5863="NEW"),"",COUNTBLANK(OFFSET(A$1,,,SUMPRODUCT(MAX(ROW(E$2:E5863)*(E5863=E$2:E5863)))))-COUNTBLANK(OFFSET(A$1,,,SUMPRODUCT(MAX(ROW(E$1:E5862)*(E2=E$1:E5862))))))</f>
        <v> </v>
      </c>
      <c r="K5863" s="26" t="str">
        <f>IF(OR(E5863="",E5863="!!!",F5863="NEW"),"",INDEX(J$1:J5862,SUMPRODUCT(MAX(ROW(E$1:E5862)*(E5863=E$1:E5862)))))</f>
        <v> </v>
      </c>
      <c r="L5863" s="27"/>
    </row>
    <row r="5864" spans="1:12">
      <c r="A5864" s="20" t="s">
        <v>1508</v>
      </c>
      <c r="B5864" s="21" t="s">
        <v>1237</v>
      </c>
      <c r="C5864" s="21" t="s">
        <v>1238</v>
      </c>
      <c r="D5864" s="21" t="s">
        <v>1180</v>
      </c>
      <c r="E5864" s="22">
        <f>IF(D5864="?OLD","!!!","")</f>
        <v/>
      </c>
      <c r="F5864" s="23" t="str">
        <f>IF(OR(E5864="",E5864="!!!"),"",IF(NOT(ISNA(VLOOKUP(E5864,E$1:E5863,1,FALSE()))),"OLD",IF(AND(E5864&lt;&gt;"",E5864&lt;&gt;"!!!"),"NEW","")))</f>
        <v> </v>
      </c>
      <c r="G5864" s="24" t="str">
        <f>IF(OR(E5864="",E5864="!!!"),"",IF(OR(J5864=0,AND(J5864=1,K5864=1),AND(J5864=1,I5864="SBJ"),AND(J5864=1,I5864=0)),"?IN_FOCUS",IF(J5864&lt;=2,"?ACTIVATED",IF(J5864&lt;&gt;"","?FAMILIAR",IF(F5864="NEW",IF(ISNA(VLOOKUP(E5864,#REF!,1,FALSE())),"?TYPE_IDENTIFIABLE","?REFERENTIAL"),"_")))))</f>
        <v> </v>
      </c>
      <c r="H5864" s="25" t="str">
        <f>IF(J5864&lt;&gt;1,"",IF(I5864="SBJ","CB","?"))</f>
        <v> </v>
      </c>
      <c r="I5864" s="26" t="str">
        <f>IF(OR(E5864="",E5864="!!!",F5864="NEW"),"",INDEX(B5863:B$2,-1+SUMPRODUCT(MAX(ROW(E5863:E$2)*(E5864=E5863:E$2)))))</f>
        <v> </v>
      </c>
      <c r="J5864" s="26" t="str">
        <f>IF(OR(E5864="",E5864="!!!",F5864="NEW"),"",COUNTBLANK(OFFSET(A$1,,,SUMPRODUCT(MAX(ROW(E$2:E5864)*(E5864=E$2:E5864)))))-COUNTBLANK(OFFSET(A$1,,,SUMPRODUCT(MAX(ROW(E$1:E5863)*(E2=E$1:E5863))))))</f>
        <v> </v>
      </c>
      <c r="K5864" s="26" t="str">
        <f>IF(OR(E5864="",E5864="!!!",F5864="NEW"),"",INDEX(J$1:J5863,SUMPRODUCT(MAX(ROW(E$1:E5863)*(E5864=E$1:E5863)))))</f>
        <v> </v>
      </c>
      <c r="L5864" s="27"/>
    </row>
    <row r="5865" spans="1:12">
      <c r="A5865" s="20" t="s">
        <v>2774</v>
      </c>
      <c r="E5865" s="22">
        <f>IF(D5865="?OLD","!!!","")</f>
        <v/>
      </c>
      <c r="F5865" s="23" t="str">
        <f>IF(OR(E5865="",E5865="!!!"),"",IF(NOT(ISNA(VLOOKUP(E5865,E$1:E5864,1,FALSE()))),"OLD",IF(AND(E5865&lt;&gt;"",E5865&lt;&gt;"!!!"),"NEW","")))</f>
        <v> </v>
      </c>
      <c r="G5865" s="24" t="str">
        <f>IF(OR(E5865="",E5865="!!!"),"",IF(OR(J5865=0,AND(J5865=1,K5865=1),AND(J5865=1,I5865="SBJ"),AND(J5865=1,I5865=0)),"?IN_FOCUS",IF(J5865&lt;=2,"?ACTIVATED",IF(J5865&lt;&gt;"","?FAMILIAR",IF(F5865="NEW",IF(ISNA(VLOOKUP(E5865,#REF!,1,FALSE())),"?TYPE_IDENTIFIABLE","?REFERENTIAL"),"_")))))</f>
        <v> </v>
      </c>
      <c r="H5865" s="25" t="str">
        <f>IF(J5865&lt;&gt;1,"",IF(I5865="SBJ","CB","?"))</f>
        <v> </v>
      </c>
      <c r="I5865" s="26" t="str">
        <f>IF(OR(E5865="",E5865="!!!",F5865="NEW"),"",INDEX(B5864:B$2,-1+SUMPRODUCT(MAX(ROW(E5864:E$2)*(E5865=E5864:E$2)))))</f>
        <v> </v>
      </c>
      <c r="J5865" s="26" t="str">
        <f>IF(OR(E5865="",E5865="!!!",F5865="NEW"),"",COUNTBLANK(OFFSET(A$1,,,SUMPRODUCT(MAX(ROW(E$2:E5865)*(E5865=E$2:E5865)))))-COUNTBLANK(OFFSET(A$1,,,SUMPRODUCT(MAX(ROW(E$1:E5864)*(E2=E$1:E5864))))))</f>
        <v> </v>
      </c>
      <c r="K5865" s="26" t="str">
        <f>IF(OR(E5865="",E5865="!!!",F5865="NEW"),"",INDEX(J$1:J5864,SUMPRODUCT(MAX(ROW(E$1:E5864)*(E5865=E$1:E5864)))))</f>
        <v> </v>
      </c>
      <c r="L5865" s="27"/>
    </row>
    <row r="5866" spans="1:12">
      <c r="A5866" s="20" t="s">
        <v>818</v>
      </c>
      <c r="E5866" s="22">
        <f>IF(D5866="?OLD","!!!","")</f>
        <v/>
      </c>
      <c r="F5866" s="23" t="str">
        <f>IF(OR(E5866="",E5866="!!!"),"",IF(NOT(ISNA(VLOOKUP(E5866,E$1:E5865,1,FALSE()))),"OLD",IF(AND(E5866&lt;&gt;"",E5866&lt;&gt;"!!!"),"NEW","")))</f>
        <v> </v>
      </c>
      <c r="G5866" s="24" t="str">
        <f>IF(OR(E5866="",E5866="!!!"),"",IF(OR(J5866=0,AND(J5866=1,K5866=1),AND(J5866=1,I5866="SBJ"),AND(J5866=1,I5866=0)),"?IN_FOCUS",IF(J5866&lt;=2,"?ACTIVATED",IF(J5866&lt;&gt;"","?FAMILIAR",IF(F5866="NEW",IF(ISNA(VLOOKUP(E5866,#REF!,1,FALSE())),"?TYPE_IDENTIFIABLE","?REFERENTIAL"),"_")))))</f>
        <v> </v>
      </c>
      <c r="H5866" s="25" t="str">
        <f>IF(J5866&lt;&gt;1,"",IF(I5866="SBJ","CB","?"))</f>
        <v> </v>
      </c>
      <c r="I5866" s="26" t="str">
        <f>IF(OR(E5866="",E5866="!!!",F5866="NEW"),"",INDEX(B5865:B$2,-1+SUMPRODUCT(MAX(ROW(E5865:E$2)*(E5866=E5865:E$2)))))</f>
        <v> </v>
      </c>
      <c r="J5866" s="26" t="str">
        <f>IF(OR(E5866="",E5866="!!!",F5866="NEW"),"",COUNTBLANK(OFFSET(A$1,,,SUMPRODUCT(MAX(ROW(E$2:E5866)*(E5866=E$2:E5866)))))-COUNTBLANK(OFFSET(A$1,,,SUMPRODUCT(MAX(ROW(E$1:E5865)*(E2=E$1:E5865))))))</f>
        <v> </v>
      </c>
      <c r="K5866" s="26" t="str">
        <f>IF(OR(E5866="",E5866="!!!",F5866="NEW"),"",INDEX(J$1:J5865,SUMPRODUCT(MAX(ROW(E$1:E5865)*(E5866=E$1:E5865)))))</f>
        <v> </v>
      </c>
      <c r="L5866" s="27"/>
    </row>
    <row r="5867" spans="1:12">
      <c r="A5867" s="20"/>
    </row>
    <row r="5868" spans="1:12">
      <c r="A5868" s="20" t="s">
        <v>2775</v>
      </c>
    </row>
    <row r="5869" spans="1:12">
      <c r="A5869" s="20" t="s">
        <v>1357</v>
      </c>
      <c r="B5869" s="21" t="s">
        <v>1194</v>
      </c>
      <c r="C5869" s="21" t="s">
        <v>1238</v>
      </c>
      <c r="D5869" s="21" t="s">
        <v>1180</v>
      </c>
      <c r="E5869" s="22">
        <f>IF(D5869="?OLD","!!!","")</f>
        <v/>
      </c>
      <c r="F5869" s="23" t="str">
        <f>IF(OR(E5869="",E5869="!!!"),"",IF(NOT(ISNA(VLOOKUP(E5869,E$1:E5868,1,FALSE()))),"OLD",IF(AND(E5869&lt;&gt;"",E5869&lt;&gt;"!!!"),"NEW","")))</f>
        <v> </v>
      </c>
      <c r="G5869" s="24" t="str">
        <f>IF(OR(E5869="",E5869="!!!"),"",IF(OR(J5869=0,AND(J5869=1,K5869=1),AND(J5869=1,I5869="SBJ"),AND(J5869=1,I5869=0)),"?IN_FOCUS",IF(J5869&lt;=2,"?ACTIVATED",IF(J5869&lt;&gt;"","?FAMILIAR",IF(F5869="NEW",IF(ISNA(VLOOKUP(E5869,#REF!,1,FALSE())),"?TYPE_IDENTIFIABLE","?REFERENTIAL"),"_")))))</f>
        <v> </v>
      </c>
      <c r="H5869" s="25" t="str">
        <f>IF(J5869&lt;&gt;1,"",IF(I5869="SBJ","CB","?"))</f>
        <v> </v>
      </c>
      <c r="I5869" s="26" t="str">
        <f>IF(OR(E5869="",E5869="!!!",F5869="NEW"),"",INDEX(B5868:B$2,-1+SUMPRODUCT(MAX(ROW(E5868:E$2)*(E5869=E5868:E$2)))))</f>
        <v> </v>
      </c>
      <c r="J5869" s="26" t="str">
        <f>IF(OR(E5869="",E5869="!!!",F5869="NEW"),"",COUNTBLANK(OFFSET(A$1,,,SUMPRODUCT(MAX(ROW(E$2:E5869)*(E5869=E$2:E5869)))))-COUNTBLANK(OFFSET(A$1,,,SUMPRODUCT(MAX(ROW(E$1:E5868)*(E2=E$1:E5868))))))</f>
        <v> </v>
      </c>
      <c r="K5869" s="26" t="str">
        <f>IF(OR(E5869="",E5869="!!!",F5869="NEW"),"",INDEX(J$1:J5868,SUMPRODUCT(MAX(ROW(E$1:E5868)*(E5869=E$1:E5868)))))</f>
        <v> </v>
      </c>
      <c r="L5869" s="27"/>
    </row>
    <row r="5870" spans="1:12">
      <c r="A5870" s="20" t="s">
        <v>1185</v>
      </c>
      <c r="E5870" s="22">
        <f>IF(D5870="?OLD","!!!","")</f>
        <v/>
      </c>
      <c r="F5870" s="23" t="str">
        <f>IF(OR(E5870="",E5870="!!!"),"",IF(NOT(ISNA(VLOOKUP(E5870,E$1:E5869,1,FALSE()))),"OLD",IF(AND(E5870&lt;&gt;"",E5870&lt;&gt;"!!!"),"NEW","")))</f>
        <v> </v>
      </c>
      <c r="G5870" s="24" t="str">
        <f>IF(OR(E5870="",E5870="!!!"),"",IF(OR(J5870=0,AND(J5870=1,K5870=1),AND(J5870=1,I5870="SBJ"),AND(J5870=1,I5870=0)),"?IN_FOCUS",IF(J5870&lt;=2,"?ACTIVATED",IF(J5870&lt;&gt;"","?FAMILIAR",IF(F5870="NEW",IF(ISNA(VLOOKUP(E5870,#REF!,1,FALSE())),"?TYPE_IDENTIFIABLE","?REFERENTIAL"),"_")))))</f>
        <v> </v>
      </c>
      <c r="H5870" s="25" t="str">
        <f>IF(J5870&lt;&gt;1,"",IF(I5870="SBJ","CB","?"))</f>
        <v> </v>
      </c>
      <c r="I5870" s="26" t="str">
        <f>IF(OR(E5870="",E5870="!!!",F5870="NEW"),"",INDEX(B5869:B$2,-1+SUMPRODUCT(MAX(ROW(E5869:E$2)*(E5870=E5869:E$2)))))</f>
        <v> </v>
      </c>
      <c r="J5870" s="26" t="str">
        <f>IF(OR(E5870="",E5870="!!!",F5870="NEW"),"",COUNTBLANK(OFFSET(A$1,,,SUMPRODUCT(MAX(ROW(E$2:E5870)*(E5870=E$2:E5870)))))-COUNTBLANK(OFFSET(A$1,,,SUMPRODUCT(MAX(ROW(E$1:E5869)*(E2=E$1:E5869))))))</f>
        <v> </v>
      </c>
      <c r="K5870" s="26" t="str">
        <f>IF(OR(E5870="",E5870="!!!",F5870="NEW"),"",INDEX(J$1:J5869,SUMPRODUCT(MAX(ROW(E$1:E5869)*(E5870=E$1:E5869)))))</f>
        <v> </v>
      </c>
      <c r="L5870" s="27"/>
    </row>
    <row r="5871" spans="1:12">
      <c r="A5871" s="20" t="s">
        <v>2776</v>
      </c>
      <c r="E5871" s="22">
        <f>IF(D5871="?OLD","!!!","")</f>
        <v/>
      </c>
      <c r="F5871" s="23" t="str">
        <f>IF(OR(E5871="",E5871="!!!"),"",IF(NOT(ISNA(VLOOKUP(E5871,E$1:E5870,1,FALSE()))),"OLD",IF(AND(E5871&lt;&gt;"",E5871&lt;&gt;"!!!"),"NEW","")))</f>
        <v> </v>
      </c>
      <c r="G5871" s="24" t="str">
        <f>IF(OR(E5871="",E5871="!!!"),"",IF(OR(J5871=0,AND(J5871=1,K5871=1),AND(J5871=1,I5871="SBJ"),AND(J5871=1,I5871=0)),"?IN_FOCUS",IF(J5871&lt;=2,"?ACTIVATED",IF(J5871&lt;&gt;"","?FAMILIAR",IF(F5871="NEW",IF(ISNA(VLOOKUP(E5871,#REF!,1,FALSE())),"?TYPE_IDENTIFIABLE","?REFERENTIAL"),"_")))))</f>
        <v> </v>
      </c>
      <c r="H5871" s="25" t="str">
        <f>IF(J5871&lt;&gt;1,"",IF(I5871="SBJ","CB","?"))</f>
        <v> </v>
      </c>
      <c r="I5871" s="26" t="str">
        <f>IF(OR(E5871="",E5871="!!!",F5871="NEW"),"",INDEX(B5870:B$2,-1+SUMPRODUCT(MAX(ROW(E5870:E$2)*(E5871=E5870:E$2)))))</f>
        <v> </v>
      </c>
      <c r="J5871" s="26" t="str">
        <f>IF(OR(E5871="",E5871="!!!",F5871="NEW"),"",COUNTBLANK(OFFSET(A$1,,,SUMPRODUCT(MAX(ROW(E$2:E5871)*(E5871=E$2:E5871)))))-COUNTBLANK(OFFSET(A$1,,,SUMPRODUCT(MAX(ROW(E$1:E5870)*(E2=E$1:E5870))))))</f>
        <v> </v>
      </c>
      <c r="K5871" s="26" t="str">
        <f>IF(OR(E5871="",E5871="!!!",F5871="NEW"),"",INDEX(J$1:J5870,SUMPRODUCT(MAX(ROW(E$1:E5870)*(E5871=E$1:E5870)))))</f>
        <v> </v>
      </c>
      <c r="L5871" s="27"/>
    </row>
    <row r="5872" spans="1:12">
      <c r="A5872" s="20" t="s">
        <v>1198</v>
      </c>
      <c r="E5872" s="22">
        <f>IF(D5872="?OLD","!!!","")</f>
        <v/>
      </c>
      <c r="F5872" s="23" t="str">
        <f>IF(OR(E5872="",E5872="!!!"),"",IF(NOT(ISNA(VLOOKUP(E5872,E$1:E5871,1,FALSE()))),"OLD",IF(AND(E5872&lt;&gt;"",E5872&lt;&gt;"!!!"),"NEW","")))</f>
        <v> </v>
      </c>
      <c r="G5872" s="24" t="str">
        <f>IF(OR(E5872="",E5872="!!!"),"",IF(OR(J5872=0,AND(J5872=1,K5872=1),AND(J5872=1,I5872="SBJ"),AND(J5872=1,I5872=0)),"?IN_FOCUS",IF(J5872&lt;=2,"?ACTIVATED",IF(J5872&lt;&gt;"","?FAMILIAR",IF(F5872="NEW",IF(ISNA(VLOOKUP(E5872,#REF!,1,FALSE())),"?TYPE_IDENTIFIABLE","?REFERENTIAL"),"_")))))</f>
        <v> </v>
      </c>
      <c r="H5872" s="25" t="str">
        <f>IF(J5872&lt;&gt;1,"",IF(I5872="SBJ","CB","?"))</f>
        <v> </v>
      </c>
      <c r="I5872" s="26" t="str">
        <f>IF(OR(E5872="",E5872="!!!",F5872="NEW"),"",INDEX(B5871:B$2,-1+SUMPRODUCT(MAX(ROW(E5871:E$2)*(E5872=E5871:E$2)))))</f>
        <v> </v>
      </c>
      <c r="J5872" s="26" t="str">
        <f>IF(OR(E5872="",E5872="!!!",F5872="NEW"),"",COUNTBLANK(OFFSET(A$1,,,SUMPRODUCT(MAX(ROW(E$2:E5872)*(E5872=E$2:E5872)))))-COUNTBLANK(OFFSET(A$1,,,SUMPRODUCT(MAX(ROW(E$1:E5871)*(E2=E$1:E5871))))))</f>
        <v> </v>
      </c>
      <c r="K5872" s="26" t="str">
        <f>IF(OR(E5872="",E5872="!!!",F5872="NEW"),"",INDEX(J$1:J5871,SUMPRODUCT(MAX(ROW(E$1:E5871)*(E5872=E$1:E5871)))))</f>
        <v> </v>
      </c>
      <c r="L5872" s="27"/>
    </row>
    <row r="5873" spans="1:12">
      <c r="A5873" s="20" t="s">
        <v>2777</v>
      </c>
      <c r="B5873" s="21" t="s">
        <v>1204</v>
      </c>
      <c r="C5873" s="21" t="s">
        <v>1188</v>
      </c>
      <c r="D5873" s="21" t="s">
        <v>1180</v>
      </c>
      <c r="E5873" s="22">
        <f>IF(D5873="?OLD","!!!","")</f>
        <v/>
      </c>
      <c r="F5873" s="23" t="str">
        <f>IF(OR(E5873="",E5873="!!!"),"",IF(NOT(ISNA(VLOOKUP(E5873,E$1:E5872,1,FALSE()))),"OLD",IF(AND(E5873&lt;&gt;"",E5873&lt;&gt;"!!!"),"NEW","")))</f>
        <v> </v>
      </c>
      <c r="G5873" s="24" t="str">
        <f>IF(OR(E5873="",E5873="!!!"),"",IF(OR(J5873=0,AND(J5873=1,K5873=1),AND(J5873=1,I5873="SBJ"),AND(J5873=1,I5873=0)),"?IN_FOCUS",IF(J5873&lt;=2,"?ACTIVATED",IF(J5873&lt;&gt;"","?FAMILIAR",IF(F5873="NEW",IF(ISNA(VLOOKUP(E5873,#REF!,1,FALSE())),"?TYPE_IDENTIFIABLE","?REFERENTIAL"),"_")))))</f>
        <v> </v>
      </c>
      <c r="H5873" s="25" t="str">
        <f>IF(J5873&lt;&gt;1,"",IF(I5873="SBJ","CB","?"))</f>
        <v> </v>
      </c>
      <c r="I5873" s="26" t="str">
        <f>IF(OR(E5873="",E5873="!!!",F5873="NEW"),"",INDEX(B5872:B$2,-1+SUMPRODUCT(MAX(ROW(E5872:E$2)*(E5873=E5872:E$2)))))</f>
        <v> </v>
      </c>
      <c r="J5873" s="26" t="str">
        <f>IF(OR(E5873="",E5873="!!!",F5873="NEW"),"",COUNTBLANK(OFFSET(A$1,,,SUMPRODUCT(MAX(ROW(E$2:E5873)*(E5873=E$2:E5873)))))-COUNTBLANK(OFFSET(A$1,,,SUMPRODUCT(MAX(ROW(E$1:E5872)*(E2=E$1:E5872))))))</f>
        <v> </v>
      </c>
      <c r="K5873" s="26" t="str">
        <f>IF(OR(E5873="",E5873="!!!",F5873="NEW"),"",INDEX(J$1:J5872,SUMPRODUCT(MAX(ROW(E$1:E5872)*(E5873=E$1:E5872)))))</f>
        <v> </v>
      </c>
      <c r="L5873" s="27"/>
    </row>
    <row r="5874" spans="1:12">
      <c r="A5874" s="20" t="s">
        <v>1189</v>
      </c>
      <c r="E5874" s="22">
        <f>IF(D5874="?OLD","!!!","")</f>
        <v/>
      </c>
      <c r="F5874" s="23" t="str">
        <f>IF(OR(E5874="",E5874="!!!"),"",IF(NOT(ISNA(VLOOKUP(E5874,E$1:E5873,1,FALSE()))),"OLD",IF(AND(E5874&lt;&gt;"",E5874&lt;&gt;"!!!"),"NEW","")))</f>
        <v> </v>
      </c>
      <c r="G5874" s="24" t="str">
        <f>IF(OR(E5874="",E5874="!!!"),"",IF(OR(J5874=0,AND(J5874=1,K5874=1),AND(J5874=1,I5874="SBJ"),AND(J5874=1,I5874=0)),"?IN_FOCUS",IF(J5874&lt;=2,"?ACTIVATED",IF(J5874&lt;&gt;"","?FAMILIAR",IF(F5874="NEW",IF(ISNA(VLOOKUP(E5874,#REF!,1,FALSE())),"?TYPE_IDENTIFIABLE","?REFERENTIAL"),"_")))))</f>
        <v> </v>
      </c>
      <c r="H5874" s="25" t="str">
        <f>IF(J5874&lt;&gt;1,"",IF(I5874="SBJ","CB","?"))</f>
        <v> </v>
      </c>
      <c r="I5874" s="26" t="str">
        <f>IF(OR(E5874="",E5874="!!!",F5874="NEW"),"",INDEX(B5873:B$2,-1+SUMPRODUCT(MAX(ROW(E5873:E$2)*(E5874=E5873:E$2)))))</f>
        <v> </v>
      </c>
      <c r="J5874" s="26" t="str">
        <f>IF(OR(E5874="",E5874="!!!",F5874="NEW"),"",COUNTBLANK(OFFSET(A$1,,,SUMPRODUCT(MAX(ROW(E$2:E5874)*(E5874=E$2:E5874)))))-COUNTBLANK(OFFSET(A$1,,,SUMPRODUCT(MAX(ROW(E$1:E5873)*(E2=E$1:E5873))))))</f>
        <v> </v>
      </c>
      <c r="K5874" s="26" t="str">
        <f>IF(OR(E5874="",E5874="!!!",F5874="NEW"),"",INDEX(J$1:J5873,SUMPRODUCT(MAX(ROW(E$1:E5873)*(E5874=E$1:E5873)))))</f>
        <v> </v>
      </c>
      <c r="L5874" s="27"/>
    </row>
    <row r="5875" spans="1:12">
      <c r="A5875" s="20" t="s">
        <v>2778</v>
      </c>
      <c r="B5875" s="21" t="s">
        <v>1191</v>
      </c>
      <c r="C5875" s="21" t="s">
        <v>1188</v>
      </c>
      <c r="D5875" s="21" t="s">
        <v>1180</v>
      </c>
      <c r="E5875" s="22">
        <f>IF(D5875="?OLD","!!!","")</f>
        <v/>
      </c>
      <c r="F5875" s="23" t="str">
        <f>IF(OR(E5875="",E5875="!!!"),"",IF(NOT(ISNA(VLOOKUP(E5875,E$1:E5874,1,FALSE()))),"OLD",IF(AND(E5875&lt;&gt;"",E5875&lt;&gt;"!!!"),"NEW","")))</f>
        <v> </v>
      </c>
      <c r="G5875" s="24" t="str">
        <f>IF(OR(E5875="",E5875="!!!"),"",IF(OR(J5875=0,AND(J5875=1,K5875=1),AND(J5875=1,I5875="SBJ"),AND(J5875=1,I5875=0)),"?IN_FOCUS",IF(J5875&lt;=2,"?ACTIVATED",IF(J5875&lt;&gt;"","?FAMILIAR",IF(F5875="NEW",IF(ISNA(VLOOKUP(E5875,#REF!,1,FALSE())),"?TYPE_IDENTIFIABLE","?REFERENTIAL"),"_")))))</f>
        <v> </v>
      </c>
      <c r="H5875" s="25" t="str">
        <f>IF(J5875&lt;&gt;1,"",IF(I5875="SBJ","CB","?"))</f>
        <v> </v>
      </c>
      <c r="I5875" s="26" t="str">
        <f>IF(OR(E5875="",E5875="!!!",F5875="NEW"),"",INDEX(B5874:B$2,-1+SUMPRODUCT(MAX(ROW(E5874:E$2)*(E5875=E5874:E$2)))))</f>
        <v> </v>
      </c>
      <c r="J5875" s="26" t="str">
        <f>IF(OR(E5875="",E5875="!!!",F5875="NEW"),"",COUNTBLANK(OFFSET(A$1,,,SUMPRODUCT(MAX(ROW(E$2:E5875)*(E5875=E$2:E5875)))))-COUNTBLANK(OFFSET(A$1,,,SUMPRODUCT(MAX(ROW(E$1:E5874)*(E2=E$1:E5874))))))</f>
        <v> </v>
      </c>
      <c r="K5875" s="26" t="str">
        <f>IF(OR(E5875="",E5875="!!!",F5875="NEW"),"",INDEX(J$1:J5874,SUMPRODUCT(MAX(ROW(E$1:E5874)*(E5875=E$1:E5874)))))</f>
        <v> </v>
      </c>
      <c r="L5875" s="27"/>
    </row>
    <row r="5876" spans="1:12">
      <c r="A5876" s="20" t="s">
        <v>1295</v>
      </c>
      <c r="E5876" s="22">
        <f>IF(D5876="?OLD","!!!","")</f>
        <v/>
      </c>
      <c r="F5876" s="23" t="str">
        <f>IF(OR(E5876="",E5876="!!!"),"",IF(NOT(ISNA(VLOOKUP(E5876,E$1:E5875,1,FALSE()))),"OLD",IF(AND(E5876&lt;&gt;"",E5876&lt;&gt;"!!!"),"NEW","")))</f>
        <v> </v>
      </c>
      <c r="G5876" s="24" t="str">
        <f>IF(OR(E5876="",E5876="!!!"),"",IF(OR(J5876=0,AND(J5876=1,K5876=1),AND(J5876=1,I5876="SBJ"),AND(J5876=1,I5876=0)),"?IN_FOCUS",IF(J5876&lt;=2,"?ACTIVATED",IF(J5876&lt;&gt;"","?FAMILIAR",IF(F5876="NEW",IF(ISNA(VLOOKUP(E5876,#REF!,1,FALSE())),"?TYPE_IDENTIFIABLE","?REFERENTIAL"),"_")))))</f>
        <v> </v>
      </c>
      <c r="H5876" s="25" t="str">
        <f>IF(J5876&lt;&gt;1,"",IF(I5876="SBJ","CB","?"))</f>
        <v> </v>
      </c>
      <c r="I5876" s="26" t="str">
        <f>IF(OR(E5876="",E5876="!!!",F5876="NEW"),"",INDEX(B5875:B$2,-1+SUMPRODUCT(MAX(ROW(E5875:E$2)*(E5876=E5875:E$2)))))</f>
        <v> </v>
      </c>
      <c r="J5876" s="26" t="str">
        <f>IF(OR(E5876="",E5876="!!!",F5876="NEW"),"",COUNTBLANK(OFFSET(A$1,,,SUMPRODUCT(MAX(ROW(E$2:E5876)*(E5876=E$2:E5876)))))-COUNTBLANK(OFFSET(A$1,,,SUMPRODUCT(MAX(ROW(E$1:E5875)*(E2=E$1:E5875))))))</f>
        <v> </v>
      </c>
      <c r="K5876" s="26" t="str">
        <f>IF(OR(E5876="",E5876="!!!",F5876="NEW"),"",INDEX(J$1:J5875,SUMPRODUCT(MAX(ROW(E$1:E5875)*(E5876=E$1:E5875)))))</f>
        <v> </v>
      </c>
      <c r="L5876" s="27"/>
    </row>
    <row r="5877" spans="1:12">
      <c r="A5877" s="20" t="s">
        <v>1198</v>
      </c>
      <c r="E5877" s="22">
        <f>IF(D5877="?OLD","!!!","")</f>
        <v/>
      </c>
      <c r="F5877" s="23" t="str">
        <f>IF(OR(E5877="",E5877="!!!"),"",IF(NOT(ISNA(VLOOKUP(E5877,E$1:E5876,1,FALSE()))),"OLD",IF(AND(E5877&lt;&gt;"",E5877&lt;&gt;"!!!"),"NEW","")))</f>
        <v> </v>
      </c>
      <c r="G5877" s="24" t="str">
        <f>IF(OR(E5877="",E5877="!!!"),"",IF(OR(J5877=0,AND(J5877=1,K5877=1),AND(J5877=1,I5877="SBJ"),AND(J5877=1,I5877=0)),"?IN_FOCUS",IF(J5877&lt;=2,"?ACTIVATED",IF(J5877&lt;&gt;"","?FAMILIAR",IF(F5877="NEW",IF(ISNA(VLOOKUP(E5877,#REF!,1,FALSE())),"?TYPE_IDENTIFIABLE","?REFERENTIAL"),"_")))))</f>
        <v> </v>
      </c>
      <c r="H5877" s="25" t="str">
        <f>IF(J5877&lt;&gt;1,"",IF(I5877="SBJ","CB","?"))</f>
        <v> </v>
      </c>
      <c r="I5877" s="26" t="str">
        <f>IF(OR(E5877="",E5877="!!!",F5877="NEW"),"",INDEX(B5876:B$2,-1+SUMPRODUCT(MAX(ROW(E5876:E$2)*(E5877=E5876:E$2)))))</f>
        <v> </v>
      </c>
      <c r="J5877" s="26" t="str">
        <f>IF(OR(E5877="",E5877="!!!",F5877="NEW"),"",COUNTBLANK(OFFSET(A$1,,,SUMPRODUCT(MAX(ROW(E$2:E5877)*(E5877=E$2:E5877)))))-COUNTBLANK(OFFSET(A$1,,,SUMPRODUCT(MAX(ROW(E$1:E5876)*(E2=E$1:E5876))))))</f>
        <v> </v>
      </c>
      <c r="K5877" s="26" t="str">
        <f>IF(OR(E5877="",E5877="!!!",F5877="NEW"),"",INDEX(J$1:J5876,SUMPRODUCT(MAX(ROW(E$1:E5876)*(E5877=E$1:E5876)))))</f>
        <v> </v>
      </c>
      <c r="L5877" s="27"/>
    </row>
    <row r="5878" spans="1:12">
      <c r="A5878" s="20" t="s">
        <v>2779</v>
      </c>
      <c r="B5878" s="21" t="s">
        <v>1207</v>
      </c>
      <c r="C5878" s="21" t="s">
        <v>1188</v>
      </c>
      <c r="D5878" s="21" t="s">
        <v>1180</v>
      </c>
      <c r="E5878" s="22">
        <f>IF(D5878="?OLD","!!!","")</f>
        <v/>
      </c>
      <c r="F5878" s="23" t="str">
        <f>IF(OR(E5878="",E5878="!!!"),"",IF(NOT(ISNA(VLOOKUP(E5878,E$1:E5877,1,FALSE()))),"OLD",IF(AND(E5878&lt;&gt;"",E5878&lt;&gt;"!!!"),"NEW","")))</f>
        <v> </v>
      </c>
      <c r="G5878" s="24" t="str">
        <f>IF(OR(E5878="",E5878="!!!"),"",IF(OR(J5878=0,AND(J5878=1,K5878=1),AND(J5878=1,I5878="SBJ"),AND(J5878=1,I5878=0)),"?IN_FOCUS",IF(J5878&lt;=2,"?ACTIVATED",IF(J5878&lt;&gt;"","?FAMILIAR",IF(F5878="NEW",IF(ISNA(VLOOKUP(E5878,#REF!,1,FALSE())),"?TYPE_IDENTIFIABLE","?REFERENTIAL"),"_")))))</f>
        <v> </v>
      </c>
      <c r="H5878" s="25" t="str">
        <f>IF(J5878&lt;&gt;1,"",IF(I5878="SBJ","CB","?"))</f>
        <v> </v>
      </c>
      <c r="I5878" s="26" t="str">
        <f>IF(OR(E5878="",E5878="!!!",F5878="NEW"),"",INDEX(B5877:B$2,-1+SUMPRODUCT(MAX(ROW(E5877:E$2)*(E5878=E5877:E$2)))))</f>
        <v> </v>
      </c>
      <c r="J5878" s="26" t="str">
        <f>IF(OR(E5878="",E5878="!!!",F5878="NEW"),"",COUNTBLANK(OFFSET(A$1,,,SUMPRODUCT(MAX(ROW(E$2:E5878)*(E5878=E$2:E5878)))))-COUNTBLANK(OFFSET(A$1,,,SUMPRODUCT(MAX(ROW(E$1:E5877)*(E2=E$1:E5877))))))</f>
        <v> </v>
      </c>
      <c r="K5878" s="26" t="str">
        <f>IF(OR(E5878="",E5878="!!!",F5878="NEW"),"",INDEX(J$1:J5877,SUMPRODUCT(MAX(ROW(E$1:E5877)*(E5878=E$1:E5877)))))</f>
        <v> </v>
      </c>
      <c r="L5878" s="27"/>
    </row>
    <row r="5879" spans="1:12">
      <c r="A5879" s="20" t="s">
        <v>1185</v>
      </c>
      <c r="E5879" s="22">
        <f>IF(D5879="?OLD","!!!","")</f>
        <v/>
      </c>
      <c r="F5879" s="23" t="str">
        <f>IF(OR(E5879="",E5879="!!!"),"",IF(NOT(ISNA(VLOOKUP(E5879,E$1:E5878,1,FALSE()))),"OLD",IF(AND(E5879&lt;&gt;"",E5879&lt;&gt;"!!!"),"NEW","")))</f>
        <v> </v>
      </c>
      <c r="G5879" s="24" t="str">
        <f>IF(OR(E5879="",E5879="!!!"),"",IF(OR(J5879=0,AND(J5879=1,K5879=1),AND(J5879=1,I5879="SBJ"),AND(J5879=1,I5879=0)),"?IN_FOCUS",IF(J5879&lt;=2,"?ACTIVATED",IF(J5879&lt;&gt;"","?FAMILIAR",IF(F5879="NEW",IF(ISNA(VLOOKUP(E5879,#REF!,1,FALSE())),"?TYPE_IDENTIFIABLE","?REFERENTIAL"),"_")))))</f>
        <v> </v>
      </c>
      <c r="H5879" s="25" t="str">
        <f>IF(J5879&lt;&gt;1,"",IF(I5879="SBJ","CB","?"))</f>
        <v> </v>
      </c>
      <c r="I5879" s="26" t="str">
        <f>IF(OR(E5879="",E5879="!!!",F5879="NEW"),"",INDEX(B5878:B$2,-1+SUMPRODUCT(MAX(ROW(E5878:E$2)*(E5879=E5878:E$2)))))</f>
        <v> </v>
      </c>
      <c r="J5879" s="26" t="str">
        <f>IF(OR(E5879="",E5879="!!!",F5879="NEW"),"",COUNTBLANK(OFFSET(A$1,,,SUMPRODUCT(MAX(ROW(E$2:E5879)*(E5879=E$2:E5879)))))-COUNTBLANK(OFFSET(A$1,,,SUMPRODUCT(MAX(ROW(E$1:E5878)*(E2=E$1:E5878))))))</f>
        <v> </v>
      </c>
      <c r="K5879" s="26" t="str">
        <f>IF(OR(E5879="",E5879="!!!",F5879="NEW"),"",INDEX(J$1:J5878,SUMPRODUCT(MAX(ROW(E$1:E5878)*(E5879=E$1:E5878)))))</f>
        <v> </v>
      </c>
      <c r="L5879" s="27"/>
    </row>
    <row r="5880" spans="1:12">
      <c r="A5880" s="20" t="s">
        <v>1913</v>
      </c>
      <c r="E5880" s="22">
        <f>IF(D5880="?OLD","!!!","")</f>
        <v/>
      </c>
      <c r="F5880" s="23" t="str">
        <f>IF(OR(E5880="",E5880="!!!"),"",IF(NOT(ISNA(VLOOKUP(E5880,E$1:E5879,1,FALSE()))),"OLD",IF(AND(E5880&lt;&gt;"",E5880&lt;&gt;"!!!"),"NEW","")))</f>
        <v> </v>
      </c>
      <c r="G5880" s="24" t="str">
        <f>IF(OR(E5880="",E5880="!!!"),"",IF(OR(J5880=0,AND(J5880=1,K5880=1),AND(J5880=1,I5880="SBJ"),AND(J5880=1,I5880=0)),"?IN_FOCUS",IF(J5880&lt;=2,"?ACTIVATED",IF(J5880&lt;&gt;"","?FAMILIAR",IF(F5880="NEW",IF(ISNA(VLOOKUP(E5880,#REF!,1,FALSE())),"?TYPE_IDENTIFIABLE","?REFERENTIAL"),"_")))))</f>
        <v> </v>
      </c>
      <c r="H5880" s="25" t="str">
        <f>IF(J5880&lt;&gt;1,"",IF(I5880="SBJ","CB","?"))</f>
        <v> </v>
      </c>
      <c r="I5880" s="26" t="str">
        <f>IF(OR(E5880="",E5880="!!!",F5880="NEW"),"",INDEX(B5879:B$2,-1+SUMPRODUCT(MAX(ROW(E5879:E$2)*(E5880=E5879:E$2)))))</f>
        <v> </v>
      </c>
      <c r="J5880" s="26" t="str">
        <f>IF(OR(E5880="",E5880="!!!",F5880="NEW"),"",COUNTBLANK(OFFSET(A$1,,,SUMPRODUCT(MAX(ROW(E$2:E5880)*(E5880=E$2:E5880)))))-COUNTBLANK(OFFSET(A$1,,,SUMPRODUCT(MAX(ROW(E$1:E5879)*(E2=E$1:E5879))))))</f>
        <v> </v>
      </c>
      <c r="K5880" s="26" t="str">
        <f>IF(OR(E5880="",E5880="!!!",F5880="NEW"),"",INDEX(J$1:J5879,SUMPRODUCT(MAX(ROW(E$1:E5879)*(E5880=E$1:E5879)))))</f>
        <v> </v>
      </c>
      <c r="L5880" s="27"/>
    </row>
    <row r="5881" spans="1:12">
      <c r="A5881" s="20" t="s">
        <v>2184</v>
      </c>
      <c r="E5881" s="22">
        <f>IF(D5881="?OLD","!!!","")</f>
        <v/>
      </c>
      <c r="F5881" s="23" t="str">
        <f>IF(OR(E5881="",E5881="!!!"),"",IF(NOT(ISNA(VLOOKUP(E5881,E$1:E5880,1,FALSE()))),"OLD",IF(AND(E5881&lt;&gt;"",E5881&lt;&gt;"!!!"),"NEW","")))</f>
        <v> </v>
      </c>
      <c r="G5881" s="24" t="str">
        <f>IF(OR(E5881="",E5881="!!!"),"",IF(OR(J5881=0,AND(J5881=1,K5881=1),AND(J5881=1,I5881="SBJ"),AND(J5881=1,I5881=0)),"?IN_FOCUS",IF(J5881&lt;=2,"?ACTIVATED",IF(J5881&lt;&gt;"","?FAMILIAR",IF(F5881="NEW",IF(ISNA(VLOOKUP(E5881,#REF!,1,FALSE())),"?TYPE_IDENTIFIABLE","?REFERENTIAL"),"_")))))</f>
        <v> </v>
      </c>
      <c r="H5881" s="25" t="str">
        <f>IF(J5881&lt;&gt;1,"",IF(I5881="SBJ","CB","?"))</f>
        <v> </v>
      </c>
      <c r="I5881" s="26" t="str">
        <f>IF(OR(E5881="",E5881="!!!",F5881="NEW"),"",INDEX(B5880:B$2,-1+SUMPRODUCT(MAX(ROW(E5880:E$2)*(E5881=E5880:E$2)))))</f>
        <v> </v>
      </c>
      <c r="J5881" s="26" t="str">
        <f>IF(OR(E5881="",E5881="!!!",F5881="NEW"),"",COUNTBLANK(OFFSET(A$1,,,SUMPRODUCT(MAX(ROW(E$2:E5881)*(E5881=E$2:E5881)))))-COUNTBLANK(OFFSET(A$1,,,SUMPRODUCT(MAX(ROW(E$1:E5880)*(E2=E$1:E5880))))))</f>
        <v> </v>
      </c>
      <c r="K5881" s="26" t="str">
        <f>IF(OR(E5881="",E5881="!!!",F5881="NEW"),"",INDEX(J$1:J5880,SUMPRODUCT(MAX(ROW(E$1:E5880)*(E5881=E$1:E5880)))))</f>
        <v> </v>
      </c>
      <c r="L5881" s="27"/>
    </row>
    <row r="5882" spans="1:12">
      <c r="A5882" s="20" t="s">
        <v>1202</v>
      </c>
      <c r="E5882" s="22">
        <f>IF(D5882="?OLD","!!!","")</f>
        <v/>
      </c>
      <c r="F5882" s="23" t="str">
        <f>IF(OR(E5882="",E5882="!!!"),"",IF(NOT(ISNA(VLOOKUP(E5882,E$1:E5881,1,FALSE()))),"OLD",IF(AND(E5882&lt;&gt;"",E5882&lt;&gt;"!!!"),"NEW","")))</f>
        <v> </v>
      </c>
      <c r="G5882" s="24" t="str">
        <f>IF(OR(E5882="",E5882="!!!"),"",IF(OR(J5882=0,AND(J5882=1,K5882=1),AND(J5882=1,I5882="SBJ"),AND(J5882=1,I5882=0)),"?IN_FOCUS",IF(J5882&lt;=2,"?ACTIVATED",IF(J5882&lt;&gt;"","?FAMILIAR",IF(F5882="NEW",IF(ISNA(VLOOKUP(E5882,#REF!,1,FALSE())),"?TYPE_IDENTIFIABLE","?REFERENTIAL"),"_")))))</f>
        <v> </v>
      </c>
      <c r="H5882" s="25" t="str">
        <f>IF(J5882&lt;&gt;1,"",IF(I5882="SBJ","CB","?"))</f>
        <v> </v>
      </c>
      <c r="I5882" s="26" t="str">
        <f>IF(OR(E5882="",E5882="!!!",F5882="NEW"),"",INDEX(B5881:B$2,-1+SUMPRODUCT(MAX(ROW(E5881:E$2)*(E5882=E5881:E$2)))))</f>
        <v> </v>
      </c>
      <c r="J5882" s="26" t="str">
        <f>IF(OR(E5882="",E5882="!!!",F5882="NEW"),"",COUNTBLANK(OFFSET(A$1,,,SUMPRODUCT(MAX(ROW(E$2:E5882)*(E5882=E$2:E5882)))))-COUNTBLANK(OFFSET(A$1,,,SUMPRODUCT(MAX(ROW(E$1:E5881)*(E2=E$1:E5881))))))</f>
        <v> </v>
      </c>
      <c r="K5882" s="26" t="str">
        <f>IF(OR(E5882="",E5882="!!!",F5882="NEW"),"",INDEX(J$1:J5881,SUMPRODUCT(MAX(ROW(E$1:E5881)*(E5882=E$1:E5881)))))</f>
        <v> </v>
      </c>
      <c r="L5882" s="27"/>
    </row>
    <row r="5883" spans="1:12">
      <c r="A5883" s="20" t="s">
        <v>2780</v>
      </c>
      <c r="E5883" s="22">
        <f>IF(D5883="?OLD","!!!","")</f>
        <v/>
      </c>
      <c r="F5883" s="23" t="str">
        <f>IF(OR(E5883="",E5883="!!!"),"",IF(NOT(ISNA(VLOOKUP(E5883,E$1:E5882,1,FALSE()))),"OLD",IF(AND(E5883&lt;&gt;"",E5883&lt;&gt;"!!!"),"NEW","")))</f>
        <v> </v>
      </c>
      <c r="G5883" s="24" t="str">
        <f>IF(OR(E5883="",E5883="!!!"),"",IF(OR(J5883=0,AND(J5883=1,K5883=1),AND(J5883=1,I5883="SBJ"),AND(J5883=1,I5883=0)),"?IN_FOCUS",IF(J5883&lt;=2,"?ACTIVATED",IF(J5883&lt;&gt;"","?FAMILIAR",IF(F5883="NEW",IF(ISNA(VLOOKUP(E5883,#REF!,1,FALSE())),"?TYPE_IDENTIFIABLE","?REFERENTIAL"),"_")))))</f>
        <v> </v>
      </c>
      <c r="H5883" s="25" t="str">
        <f>IF(J5883&lt;&gt;1,"",IF(I5883="SBJ","CB","?"))</f>
        <v> </v>
      </c>
      <c r="I5883" s="26" t="str">
        <f>IF(OR(E5883="",E5883="!!!",F5883="NEW"),"",INDEX(B5882:B$2,-1+SUMPRODUCT(MAX(ROW(E5882:E$2)*(E5883=E5882:E$2)))))</f>
        <v> </v>
      </c>
      <c r="J5883" s="26" t="str">
        <f>IF(OR(E5883="",E5883="!!!",F5883="NEW"),"",COUNTBLANK(OFFSET(A$1,,,SUMPRODUCT(MAX(ROW(E$2:E5883)*(E5883=E$2:E5883)))))-COUNTBLANK(OFFSET(A$1,,,SUMPRODUCT(MAX(ROW(E$1:E5882)*(E2=E$1:E5882))))))</f>
        <v> </v>
      </c>
      <c r="K5883" s="26" t="str">
        <f>IF(OR(E5883="",E5883="!!!",F5883="NEW"),"",INDEX(J$1:J5882,SUMPRODUCT(MAX(ROW(E$1:E5882)*(E5883=E$1:E5882)))))</f>
        <v> </v>
      </c>
      <c r="L5883" s="27"/>
    </row>
    <row r="5884" spans="1:12">
      <c r="A5884" s="20" t="s">
        <v>2773</v>
      </c>
      <c r="B5884" s="21" t="s">
        <v>1237</v>
      </c>
      <c r="C5884" s="21" t="s">
        <v>1188</v>
      </c>
      <c r="D5884" s="21" t="s">
        <v>1180</v>
      </c>
      <c r="E5884" s="22">
        <f>IF(D5884="?OLD","!!!","")</f>
        <v/>
      </c>
      <c r="F5884" s="23" t="str">
        <f>IF(OR(E5884="",E5884="!!!"),"",IF(NOT(ISNA(VLOOKUP(E5884,E$1:E5883,1,FALSE()))),"OLD",IF(AND(E5884&lt;&gt;"",E5884&lt;&gt;"!!!"),"NEW","")))</f>
        <v> </v>
      </c>
      <c r="G5884" s="24" t="str">
        <f>IF(OR(E5884="",E5884="!!!"),"",IF(OR(J5884=0,AND(J5884=1,K5884=1),AND(J5884=1,I5884="SBJ"),AND(J5884=1,I5884=0)),"?IN_FOCUS",IF(J5884&lt;=2,"?ACTIVATED",IF(J5884&lt;&gt;"","?FAMILIAR",IF(F5884="NEW",IF(ISNA(VLOOKUP(E5884,#REF!,1,FALSE())),"?TYPE_IDENTIFIABLE","?REFERENTIAL"),"_")))))</f>
        <v> </v>
      </c>
      <c r="H5884" s="25" t="str">
        <f>IF(J5884&lt;&gt;1,"",IF(I5884="SBJ","CB","?"))</f>
        <v> </v>
      </c>
      <c r="I5884" s="26" t="str">
        <f>IF(OR(E5884="",E5884="!!!",F5884="NEW"),"",INDEX(B5883:B$2,-1+SUMPRODUCT(MAX(ROW(E5883:E$2)*(E5884=E5883:E$2)))))</f>
        <v> </v>
      </c>
      <c r="J5884" s="26" t="str">
        <f>IF(OR(E5884="",E5884="!!!",F5884="NEW"),"",COUNTBLANK(OFFSET(A$1,,,SUMPRODUCT(MAX(ROW(E$2:E5884)*(E5884=E$2:E5884)))))-COUNTBLANK(OFFSET(A$1,,,SUMPRODUCT(MAX(ROW(E$1:E5883)*(E2=E$1:E5883))))))</f>
        <v> </v>
      </c>
      <c r="K5884" s="26" t="str">
        <f>IF(OR(E5884="",E5884="!!!",F5884="NEW"),"",INDEX(J$1:J5883,SUMPRODUCT(MAX(ROW(E$1:E5883)*(E5884=E$1:E5883)))))</f>
        <v> </v>
      </c>
      <c r="L5884" s="27"/>
    </row>
    <row r="5885" spans="1:12">
      <c r="A5885" s="20" t="s">
        <v>818</v>
      </c>
      <c r="E5885" s="22">
        <f>IF(D5885="?OLD","!!!","")</f>
        <v/>
      </c>
      <c r="F5885" s="23" t="str">
        <f>IF(OR(E5885="",E5885="!!!"),"",IF(NOT(ISNA(VLOOKUP(E5885,E$1:E5884,1,FALSE()))),"OLD",IF(AND(E5885&lt;&gt;"",E5885&lt;&gt;"!!!"),"NEW","")))</f>
        <v> </v>
      </c>
      <c r="G5885" s="24" t="str">
        <f>IF(OR(E5885="",E5885="!!!"),"",IF(OR(J5885=0,AND(J5885=1,K5885=1),AND(J5885=1,I5885="SBJ"),AND(J5885=1,I5885=0)),"?IN_FOCUS",IF(J5885&lt;=2,"?ACTIVATED",IF(J5885&lt;&gt;"","?FAMILIAR",IF(F5885="NEW",IF(ISNA(VLOOKUP(E5885,#REF!,1,FALSE())),"?TYPE_IDENTIFIABLE","?REFERENTIAL"),"_")))))</f>
        <v> </v>
      </c>
      <c r="H5885" s="25" t="str">
        <f>IF(J5885&lt;&gt;1,"",IF(I5885="SBJ","CB","?"))</f>
        <v> </v>
      </c>
      <c r="I5885" s="26" t="str">
        <f>IF(OR(E5885="",E5885="!!!",F5885="NEW"),"",INDEX(B5884:B$2,-1+SUMPRODUCT(MAX(ROW(E5884:E$2)*(E5885=E5884:E$2)))))</f>
        <v> </v>
      </c>
      <c r="J5885" s="26" t="str">
        <f>IF(OR(E5885="",E5885="!!!",F5885="NEW"),"",COUNTBLANK(OFFSET(A$1,,,SUMPRODUCT(MAX(ROW(E$2:E5885)*(E5885=E$2:E5885)))))-COUNTBLANK(OFFSET(A$1,,,SUMPRODUCT(MAX(ROW(E$1:E5884)*(E2=E$1:E5884))))))</f>
        <v> </v>
      </c>
      <c r="K5885" s="26" t="str">
        <f>IF(OR(E5885="",E5885="!!!",F5885="NEW"),"",INDEX(J$1:J5884,SUMPRODUCT(MAX(ROW(E$1:E5884)*(E5885=E$1:E5884)))))</f>
        <v> </v>
      </c>
      <c r="L5885" s="27"/>
    </row>
    <row r="5886" spans="1:12">
      <c r="A5886" s="20"/>
    </row>
    <row r="5887" spans="1:12">
      <c r="A5887" s="20" t="s">
        <v>2781</v>
      </c>
    </row>
    <row r="5888" spans="1:12">
      <c r="A5888" s="20" t="s">
        <v>2782</v>
      </c>
      <c r="E5888" s="22">
        <f>IF(D5888="?OLD","!!!","")</f>
        <v/>
      </c>
      <c r="F5888" s="23" t="str">
        <f>IF(OR(E5888="",E5888="!!!"),"",IF(NOT(ISNA(VLOOKUP(E5888,E$1:E5887,1,FALSE()))),"OLD",IF(AND(E5888&lt;&gt;"",E5888&lt;&gt;"!!!"),"NEW","")))</f>
        <v> </v>
      </c>
      <c r="G5888" s="24" t="str">
        <f>IF(OR(E5888="",E5888="!!!"),"",IF(OR(J5888=0,AND(J5888=1,K5888=1),AND(J5888=1,I5888="SBJ"),AND(J5888=1,I5888=0)),"?IN_FOCUS",IF(J5888&lt;=2,"?ACTIVATED",IF(J5888&lt;&gt;"","?FAMILIAR",IF(F5888="NEW",IF(ISNA(VLOOKUP(E5888,#REF!,1,FALSE())),"?TYPE_IDENTIFIABLE","?REFERENTIAL"),"_")))))</f>
        <v> </v>
      </c>
      <c r="H5888" s="25" t="str">
        <f>IF(J5888&lt;&gt;1,"",IF(I5888="SBJ","CB","?"))</f>
        <v> </v>
      </c>
      <c r="I5888" s="26" t="str">
        <f>IF(OR(E5888="",E5888="!!!",F5888="NEW"),"",INDEX(B5887:B$2,-1+SUMPRODUCT(MAX(ROW(E5887:E$2)*(E5888=E5887:E$2)))))</f>
        <v> </v>
      </c>
      <c r="J5888" s="26" t="str">
        <f>IF(OR(E5888="",E5888="!!!",F5888="NEW"),"",COUNTBLANK(OFFSET(A$1,,,SUMPRODUCT(MAX(ROW(E$2:E5888)*(E5888=E$2:E5888)))))-COUNTBLANK(OFFSET(A$1,,,SUMPRODUCT(MAX(ROW(E$1:E5887)*(E2=E$1:E5887))))))</f>
        <v> </v>
      </c>
      <c r="K5888" s="26" t="str">
        <f>IF(OR(E5888="",E5888="!!!",F5888="NEW"),"",INDEX(J$1:J5887,SUMPRODUCT(MAX(ROW(E$1:E5887)*(E5888=E$1:E5887)))))</f>
        <v> </v>
      </c>
      <c r="L5888" s="27"/>
    </row>
    <row r="5889" spans="1:12">
      <c r="A5889" s="20" t="s">
        <v>1209</v>
      </c>
      <c r="B5889" s="21" t="s">
        <v>1240</v>
      </c>
      <c r="C5889" s="21" t="s">
        <v>1232</v>
      </c>
      <c r="E5889" s="22">
        <f>IF(D5889="?OLD","!!!","")</f>
        <v/>
      </c>
      <c r="F5889" s="23" t="str">
        <f>IF(OR(E5889="",E5889="!!!"),"",IF(NOT(ISNA(VLOOKUP(E5889,E$1:E5888,1,FALSE()))),"OLD",IF(AND(E5889&lt;&gt;"",E5889&lt;&gt;"!!!"),"NEW","")))</f>
        <v> </v>
      </c>
      <c r="G5889" s="24" t="str">
        <f>IF(OR(E5889="",E5889="!!!"),"",IF(OR(J5889=0,AND(J5889=1,K5889=1),AND(J5889=1,I5889="SBJ"),AND(J5889=1,I5889=0)),"?IN_FOCUS",IF(J5889&lt;=2,"?ACTIVATED",IF(J5889&lt;&gt;"","?FAMILIAR",IF(F5889="NEW",IF(ISNA(VLOOKUP(E5889,#REF!,1,FALSE())),"?TYPE_IDENTIFIABLE","?REFERENTIAL"),"_")))))</f>
        <v> </v>
      </c>
      <c r="H5889" s="25" t="str">
        <f>IF(J5889&lt;&gt;1,"",IF(I5889="SBJ","CB","?"))</f>
        <v> </v>
      </c>
      <c r="I5889" s="26" t="str">
        <f>IF(OR(E5889="",E5889="!!!",F5889="NEW"),"",INDEX(B5888:B$2,-1+SUMPRODUCT(MAX(ROW(E5888:E$2)*(E5889=E5888:E$2)))))</f>
        <v> </v>
      </c>
      <c r="J5889" s="26" t="str">
        <f>IF(OR(E5889="",E5889="!!!",F5889="NEW"),"",COUNTBLANK(OFFSET(A$1,,,SUMPRODUCT(MAX(ROW(E$2:E5889)*(E5889=E$2:E5889)))))-COUNTBLANK(OFFSET(A$1,,,SUMPRODUCT(MAX(ROW(E$1:E5888)*(E2=E$1:E5888))))))</f>
        <v> </v>
      </c>
      <c r="K5889" s="26" t="str">
        <f>IF(OR(E5889="",E5889="!!!",F5889="NEW"),"",INDEX(J$1:J5888,SUMPRODUCT(MAX(ROW(E$1:E5888)*(E5889=E$1:E5888)))))</f>
        <v> </v>
      </c>
      <c r="L5889" s="27"/>
    </row>
    <row r="5890" spans="1:12">
      <c r="A5890" s="20" t="s">
        <v>163</v>
      </c>
      <c r="E5890" s="22">
        <f>IF(D5890="?OLD","!!!","")</f>
        <v/>
      </c>
      <c r="F5890" s="23" t="str">
        <f>IF(OR(E5890="",E5890="!!!"),"",IF(NOT(ISNA(VLOOKUP(E5890,E$1:E5889,1,FALSE()))),"OLD",IF(AND(E5890&lt;&gt;"",E5890&lt;&gt;"!!!"),"NEW","")))</f>
        <v> </v>
      </c>
      <c r="G5890" s="24" t="str">
        <f>IF(OR(E5890="",E5890="!!!"),"",IF(OR(J5890=0,AND(J5890=1,K5890=1),AND(J5890=1,I5890="SBJ"),AND(J5890=1,I5890=0)),"?IN_FOCUS",IF(J5890&lt;=2,"?ACTIVATED",IF(J5890&lt;&gt;"","?FAMILIAR",IF(F5890="NEW",IF(ISNA(VLOOKUP(E5890,#REF!,1,FALSE())),"?TYPE_IDENTIFIABLE","?REFERENTIAL"),"_")))))</f>
        <v> </v>
      </c>
      <c r="H5890" s="25" t="str">
        <f>IF(J5890&lt;&gt;1,"",IF(I5890="SBJ","CB","?"))</f>
        <v> </v>
      </c>
      <c r="I5890" s="26" t="str">
        <f>IF(OR(E5890="",E5890="!!!",F5890="NEW"),"",INDEX(B5889:B$2,-1+SUMPRODUCT(MAX(ROW(E5889:E$2)*(E5890=E5889:E$2)))))</f>
        <v> </v>
      </c>
      <c r="J5890" s="26" t="str">
        <f>IF(OR(E5890="",E5890="!!!",F5890="NEW"),"",COUNTBLANK(OFFSET(A$1,,,SUMPRODUCT(MAX(ROW(E$2:E5890)*(E5890=E$2:E5890)))))-COUNTBLANK(OFFSET(A$1,,,SUMPRODUCT(MAX(ROW(E$1:E5889)*(E2=E$1:E5889))))))</f>
        <v> </v>
      </c>
      <c r="K5890" s="26" t="str">
        <f>IF(OR(E5890="",E5890="!!!",F5890="NEW"),"",INDEX(J$1:J5889,SUMPRODUCT(MAX(ROW(E$1:E5889)*(E5890=E$1:E5889)))))</f>
        <v> </v>
      </c>
      <c r="L5890" s="27"/>
    </row>
    <row r="5891" spans="1:12">
      <c r="A5891" s="20" t="s">
        <v>1276</v>
      </c>
      <c r="E5891" s="22">
        <f>IF(D5891="?OLD","!!!","")</f>
        <v/>
      </c>
      <c r="F5891" s="23" t="str">
        <f>IF(OR(E5891="",E5891="!!!"),"",IF(NOT(ISNA(VLOOKUP(E5891,E$1:E5890,1,FALSE()))),"OLD",IF(AND(E5891&lt;&gt;"",E5891&lt;&gt;"!!!"),"NEW","")))</f>
        <v> </v>
      </c>
      <c r="G5891" s="24" t="str">
        <f>IF(OR(E5891="",E5891="!!!"),"",IF(OR(J5891=0,AND(J5891=1,K5891=1),AND(J5891=1,I5891="SBJ"),AND(J5891=1,I5891=0)),"?IN_FOCUS",IF(J5891&lt;=2,"?ACTIVATED",IF(J5891&lt;&gt;"","?FAMILIAR",IF(F5891="NEW",IF(ISNA(VLOOKUP(E5891,#REF!,1,FALSE())),"?TYPE_IDENTIFIABLE","?REFERENTIAL"),"_")))))</f>
        <v> </v>
      </c>
      <c r="H5891" s="25" t="str">
        <f>IF(J5891&lt;&gt;1,"",IF(I5891="SBJ","CB","?"))</f>
        <v> </v>
      </c>
      <c r="I5891" s="26" t="str">
        <f>IF(OR(E5891="",E5891="!!!",F5891="NEW"),"",INDEX(B5890:B$2,-1+SUMPRODUCT(MAX(ROW(E5890:E$2)*(E5891=E5890:E$2)))))</f>
        <v> </v>
      </c>
      <c r="J5891" s="26" t="str">
        <f>IF(OR(E5891="",E5891="!!!",F5891="NEW"),"",COUNTBLANK(OFFSET(A$1,,,SUMPRODUCT(MAX(ROW(E$2:E5891)*(E5891=E$2:E5891)))))-COUNTBLANK(OFFSET(A$1,,,SUMPRODUCT(MAX(ROW(E$1:E5890)*(E2=E$1:E5890))))))</f>
        <v> </v>
      </c>
      <c r="K5891" s="26" t="str">
        <f>IF(OR(E5891="",E5891="!!!",F5891="NEW"),"",INDEX(J$1:J5890,SUMPRODUCT(MAX(ROW(E$1:E5890)*(E5891=E$1:E5890)))))</f>
        <v> </v>
      </c>
      <c r="L5891" s="27"/>
    </row>
    <row r="5892" spans="1:12">
      <c r="A5892" s="20" t="s">
        <v>2783</v>
      </c>
      <c r="B5892" s="21" t="s">
        <v>1204</v>
      </c>
      <c r="C5892" s="21" t="s">
        <v>1223</v>
      </c>
      <c r="E5892" s="22">
        <f>IF(D5892="?OLD","!!!","")</f>
        <v/>
      </c>
      <c r="F5892" s="23" t="str">
        <f>IF(OR(E5892="",E5892="!!!"),"",IF(NOT(ISNA(VLOOKUP(E5892,E$1:E5891,1,FALSE()))),"OLD",IF(AND(E5892&lt;&gt;"",E5892&lt;&gt;"!!!"),"NEW","")))</f>
        <v> </v>
      </c>
      <c r="G5892" s="24" t="str">
        <f>IF(OR(E5892="",E5892="!!!"),"",IF(OR(J5892=0,AND(J5892=1,K5892=1),AND(J5892=1,I5892="SBJ"),AND(J5892=1,I5892=0)),"?IN_FOCUS",IF(J5892&lt;=2,"?ACTIVATED",IF(J5892&lt;&gt;"","?FAMILIAR",IF(F5892="NEW",IF(ISNA(VLOOKUP(E5892,#REF!,1,FALSE())),"?TYPE_IDENTIFIABLE","?REFERENTIAL"),"_")))))</f>
        <v> </v>
      </c>
      <c r="H5892" s="25" t="str">
        <f>IF(J5892&lt;&gt;1,"",IF(I5892="SBJ","CB","?"))</f>
        <v> </v>
      </c>
      <c r="I5892" s="26" t="str">
        <f>IF(OR(E5892="",E5892="!!!",F5892="NEW"),"",INDEX(B5891:B$2,-1+SUMPRODUCT(MAX(ROW(E5891:E$2)*(E5892=E5891:E$2)))))</f>
        <v> </v>
      </c>
      <c r="J5892" s="26" t="str">
        <f>IF(OR(E5892="",E5892="!!!",F5892="NEW"),"",COUNTBLANK(OFFSET(A$1,,,SUMPRODUCT(MAX(ROW(E$2:E5892)*(E5892=E$2:E5892)))))-COUNTBLANK(OFFSET(A$1,,,SUMPRODUCT(MAX(ROW(E$1:E5891)*(E2=E$1:E5891))))))</f>
        <v> </v>
      </c>
      <c r="K5892" s="26" t="str">
        <f>IF(OR(E5892="",E5892="!!!",F5892="NEW"),"",INDEX(J$1:J5891,SUMPRODUCT(MAX(ROW(E$1:E5891)*(E5892=E$1:E5891)))))</f>
        <v> </v>
      </c>
      <c r="L5892" s="27"/>
    </row>
    <row r="5893" spans="1:12">
      <c r="A5893" s="20" t="s">
        <v>2385</v>
      </c>
      <c r="E5893" s="22">
        <f>IF(D5893="?OLD","!!!","")</f>
        <v/>
      </c>
      <c r="F5893" s="23" t="str">
        <f>IF(OR(E5893="",E5893="!!!"),"",IF(NOT(ISNA(VLOOKUP(E5893,E$1:E5892,1,FALSE()))),"OLD",IF(AND(E5893&lt;&gt;"",E5893&lt;&gt;"!!!"),"NEW","")))</f>
        <v> </v>
      </c>
      <c r="G5893" s="24" t="str">
        <f>IF(OR(E5893="",E5893="!!!"),"",IF(OR(J5893=0,AND(J5893=1,K5893=1),AND(J5893=1,I5893="SBJ"),AND(J5893=1,I5893=0)),"?IN_FOCUS",IF(J5893&lt;=2,"?ACTIVATED",IF(J5893&lt;&gt;"","?FAMILIAR",IF(F5893="NEW",IF(ISNA(VLOOKUP(E5893,#REF!,1,FALSE())),"?TYPE_IDENTIFIABLE","?REFERENTIAL"),"_")))))</f>
        <v> </v>
      </c>
      <c r="H5893" s="25" t="str">
        <f>IF(J5893&lt;&gt;1,"",IF(I5893="SBJ","CB","?"))</f>
        <v> </v>
      </c>
      <c r="I5893" s="26" t="str">
        <f>IF(OR(E5893="",E5893="!!!",F5893="NEW"),"",INDEX(B5892:B$2,-1+SUMPRODUCT(MAX(ROW(E5892:E$2)*(E5893=E5892:E$2)))))</f>
        <v> </v>
      </c>
      <c r="J5893" s="26" t="str">
        <f>IF(OR(E5893="",E5893="!!!",F5893="NEW"),"",COUNTBLANK(OFFSET(A$1,,,SUMPRODUCT(MAX(ROW(E$2:E5893)*(E5893=E$2:E5893)))))-COUNTBLANK(OFFSET(A$1,,,SUMPRODUCT(MAX(ROW(E$1:E5892)*(E2=E$1:E5892))))))</f>
        <v> </v>
      </c>
      <c r="K5893" s="26" t="str">
        <f>IF(OR(E5893="",E5893="!!!",F5893="NEW"),"",INDEX(J$1:J5892,SUMPRODUCT(MAX(ROW(E$1:E5892)*(E5893=E$1:E5892)))))</f>
        <v> </v>
      </c>
      <c r="L5893" s="27"/>
    </row>
    <row r="5894" spans="1:12">
      <c r="A5894" s="20" t="s">
        <v>1495</v>
      </c>
      <c r="E5894" s="22">
        <f>IF(D5894="?OLD","!!!","")</f>
        <v/>
      </c>
      <c r="F5894" s="23" t="str">
        <f>IF(OR(E5894="",E5894="!!!"),"",IF(NOT(ISNA(VLOOKUP(E5894,E$1:E5893,1,FALSE()))),"OLD",IF(AND(E5894&lt;&gt;"",E5894&lt;&gt;"!!!"),"NEW","")))</f>
        <v> </v>
      </c>
      <c r="G5894" s="24" t="str">
        <f>IF(OR(E5894="",E5894="!!!"),"",IF(OR(J5894=0,AND(J5894=1,K5894=1),AND(J5894=1,I5894="SBJ"),AND(J5894=1,I5894=0)),"?IN_FOCUS",IF(J5894&lt;=2,"?ACTIVATED",IF(J5894&lt;&gt;"","?FAMILIAR",IF(F5894="NEW",IF(ISNA(VLOOKUP(E5894,#REF!,1,FALSE())),"?TYPE_IDENTIFIABLE","?REFERENTIAL"),"_")))))</f>
        <v> </v>
      </c>
      <c r="H5894" s="25" t="str">
        <f>IF(J5894&lt;&gt;1,"",IF(I5894="SBJ","CB","?"))</f>
        <v> </v>
      </c>
      <c r="I5894" s="26" t="str">
        <f>IF(OR(E5894="",E5894="!!!",F5894="NEW"),"",INDEX(B5893:B$2,-1+SUMPRODUCT(MAX(ROW(E5893:E$2)*(E5894=E5893:E$2)))))</f>
        <v> </v>
      </c>
      <c r="J5894" s="26" t="str">
        <f>IF(OR(E5894="",E5894="!!!",F5894="NEW"),"",COUNTBLANK(OFFSET(A$1,,,SUMPRODUCT(MAX(ROW(E$2:E5894)*(E5894=E$2:E5894)))))-COUNTBLANK(OFFSET(A$1,,,SUMPRODUCT(MAX(ROW(E$1:E5893)*(E2=E$1:E5893))))))</f>
        <v> </v>
      </c>
      <c r="K5894" s="26" t="str">
        <f>IF(OR(E5894="",E5894="!!!",F5894="NEW"),"",INDEX(J$1:J5893,SUMPRODUCT(MAX(ROW(E$1:E5893)*(E5894=E$1:E5893)))))</f>
        <v> </v>
      </c>
      <c r="L5894" s="27"/>
    </row>
    <row r="5895" spans="1:12">
      <c r="A5895" s="20" t="s">
        <v>2784</v>
      </c>
      <c r="B5895" s="21" t="s">
        <v>1178</v>
      </c>
      <c r="C5895" s="21" t="s">
        <v>1188</v>
      </c>
      <c r="D5895" s="21" t="s">
        <v>1180</v>
      </c>
      <c r="E5895" s="22">
        <f>IF(D5895="?OLD","!!!","")</f>
        <v/>
      </c>
      <c r="F5895" s="23" t="str">
        <f>IF(OR(E5895="",E5895="!!!"),"",IF(NOT(ISNA(VLOOKUP(E5895,E$1:E5894,1,FALSE()))),"OLD",IF(AND(E5895&lt;&gt;"",E5895&lt;&gt;"!!!"),"NEW","")))</f>
        <v> </v>
      </c>
      <c r="G5895" s="24" t="str">
        <f>IF(OR(E5895="",E5895="!!!"),"",IF(OR(J5895=0,AND(J5895=1,K5895=1),AND(J5895=1,I5895="SBJ"),AND(J5895=1,I5895=0)),"?IN_FOCUS",IF(J5895&lt;=2,"?ACTIVATED",IF(J5895&lt;&gt;"","?FAMILIAR",IF(F5895="NEW",IF(ISNA(VLOOKUP(E5895,#REF!,1,FALSE())),"?TYPE_IDENTIFIABLE","?REFERENTIAL"),"_")))))</f>
        <v> </v>
      </c>
      <c r="H5895" s="25" t="str">
        <f>IF(J5895&lt;&gt;1,"",IF(I5895="SBJ","CB","?"))</f>
        <v> </v>
      </c>
      <c r="I5895" s="26" t="str">
        <f>IF(OR(E5895="",E5895="!!!",F5895="NEW"),"",INDEX(B5894:B$2,-1+SUMPRODUCT(MAX(ROW(E5894:E$2)*(E5895=E5894:E$2)))))</f>
        <v> </v>
      </c>
      <c r="J5895" s="26" t="str">
        <f>IF(OR(E5895="",E5895="!!!",F5895="NEW"),"",COUNTBLANK(OFFSET(A$1,,,SUMPRODUCT(MAX(ROW(E$2:E5895)*(E5895=E$2:E5895)))))-COUNTBLANK(OFFSET(A$1,,,SUMPRODUCT(MAX(ROW(E$1:E5894)*(E2=E$1:E5894))))))</f>
        <v> </v>
      </c>
      <c r="K5895" s="26" t="str">
        <f>IF(OR(E5895="",E5895="!!!",F5895="NEW"),"",INDEX(J$1:J5894,SUMPRODUCT(MAX(ROW(E$1:E5894)*(E5895=E$1:E5894)))))</f>
        <v> </v>
      </c>
      <c r="L5895" s="27"/>
    </row>
    <row r="5896" spans="1:12">
      <c r="A5896" s="20" t="s">
        <v>1290</v>
      </c>
      <c r="B5896" s="21" t="s">
        <v>1207</v>
      </c>
      <c r="C5896" s="21" t="s">
        <v>1208</v>
      </c>
      <c r="D5896" s="21" t="s">
        <v>1180</v>
      </c>
      <c r="E5896" s="22">
        <f>IF(D5896="?OLD","!!!","")</f>
        <v/>
      </c>
      <c r="F5896" s="23" t="str">
        <f>IF(OR(E5896="",E5896="!!!"),"",IF(NOT(ISNA(VLOOKUP(E5896,E$1:E5895,1,FALSE()))),"OLD",IF(AND(E5896&lt;&gt;"",E5896&lt;&gt;"!!!"),"NEW","")))</f>
        <v> </v>
      </c>
      <c r="G5896" s="24" t="str">
        <f>IF(OR(E5896="",E5896="!!!"),"",IF(OR(J5896=0,AND(J5896=1,K5896=1),AND(J5896=1,I5896="SBJ"),AND(J5896=1,I5896=0)),"?IN_FOCUS",IF(J5896&lt;=2,"?ACTIVATED",IF(J5896&lt;&gt;"","?FAMILIAR",IF(F5896="NEW",IF(ISNA(VLOOKUP(E5896,#REF!,1,FALSE())),"?TYPE_IDENTIFIABLE","?REFERENTIAL"),"_")))))</f>
        <v> </v>
      </c>
      <c r="H5896" s="25" t="str">
        <f>IF(J5896&lt;&gt;1,"",IF(I5896="SBJ","CB","?"))</f>
        <v> </v>
      </c>
      <c r="I5896" s="26" t="str">
        <f>IF(OR(E5896="",E5896="!!!",F5896="NEW"),"",INDEX(B5895:B$2,-1+SUMPRODUCT(MAX(ROW(E5895:E$2)*(E5896=E5895:E$2)))))</f>
        <v> </v>
      </c>
      <c r="J5896" s="26" t="str">
        <f>IF(OR(E5896="",E5896="!!!",F5896="NEW"),"",COUNTBLANK(OFFSET(A$1,,,SUMPRODUCT(MAX(ROW(E$2:E5896)*(E5896=E$2:E5896)))))-COUNTBLANK(OFFSET(A$1,,,SUMPRODUCT(MAX(ROW(E$1:E5895)*(E2=E$1:E5895))))))</f>
        <v> </v>
      </c>
      <c r="K5896" s="26" t="str">
        <f>IF(OR(E5896="",E5896="!!!",F5896="NEW"),"",INDEX(J$1:J5895,SUMPRODUCT(MAX(ROW(E$1:E5895)*(E5896=E$1:E5895)))))</f>
        <v> </v>
      </c>
      <c r="L5896" s="27"/>
    </row>
    <row r="5897" spans="1:12">
      <c r="A5897" s="20" t="s">
        <v>2509</v>
      </c>
      <c r="E5897" s="22">
        <f>IF(D5897="?OLD","!!!","")</f>
        <v/>
      </c>
      <c r="F5897" s="23" t="str">
        <f>IF(OR(E5897="",E5897="!!!"),"",IF(NOT(ISNA(VLOOKUP(E5897,E$1:E5896,1,FALSE()))),"OLD",IF(AND(E5897&lt;&gt;"",E5897&lt;&gt;"!!!"),"NEW","")))</f>
        <v> </v>
      </c>
      <c r="G5897" s="24" t="str">
        <f>IF(OR(E5897="",E5897="!!!"),"",IF(OR(J5897=0,AND(J5897=1,K5897=1),AND(J5897=1,I5897="SBJ"),AND(J5897=1,I5897=0)),"?IN_FOCUS",IF(J5897&lt;=2,"?ACTIVATED",IF(J5897&lt;&gt;"","?FAMILIAR",IF(F5897="NEW",IF(ISNA(VLOOKUP(E5897,#REF!,1,FALSE())),"?TYPE_IDENTIFIABLE","?REFERENTIAL"),"_")))))</f>
        <v> </v>
      </c>
      <c r="H5897" s="25" t="str">
        <f>IF(J5897&lt;&gt;1,"",IF(I5897="SBJ","CB","?"))</f>
        <v> </v>
      </c>
      <c r="I5897" s="26" t="str">
        <f>IF(OR(E5897="",E5897="!!!",F5897="NEW"),"",INDEX(B5896:B$2,-1+SUMPRODUCT(MAX(ROW(E5896:E$2)*(E5897=E5896:E$2)))))</f>
        <v> </v>
      </c>
      <c r="J5897" s="26" t="str">
        <f>IF(OR(E5897="",E5897="!!!",F5897="NEW"),"",COUNTBLANK(OFFSET(A$1,,,SUMPRODUCT(MAX(ROW(E$2:E5897)*(E5897=E$2:E5897)))))-COUNTBLANK(OFFSET(A$1,,,SUMPRODUCT(MAX(ROW(E$1:E5896)*(E2=E$1:E5896))))))</f>
        <v> </v>
      </c>
      <c r="K5897" s="26" t="str">
        <f>IF(OR(E5897="",E5897="!!!",F5897="NEW"),"",INDEX(J$1:J5896,SUMPRODUCT(MAX(ROW(E$1:E5896)*(E5897=E$1:E5896)))))</f>
        <v> </v>
      </c>
      <c r="L5897" s="27"/>
    </row>
    <row r="5898" spans="1:12">
      <c r="A5898" s="20" t="s">
        <v>2785</v>
      </c>
      <c r="E5898" s="22">
        <f>IF(D5898="?OLD","!!!","")</f>
        <v/>
      </c>
      <c r="F5898" s="23" t="str">
        <f>IF(OR(E5898="",E5898="!!!"),"",IF(NOT(ISNA(VLOOKUP(E5898,E$1:E5897,1,FALSE()))),"OLD",IF(AND(E5898&lt;&gt;"",E5898&lt;&gt;"!!!"),"NEW","")))</f>
        <v> </v>
      </c>
      <c r="G5898" s="24" t="str">
        <f>IF(OR(E5898="",E5898="!!!"),"",IF(OR(J5898=0,AND(J5898=1,K5898=1),AND(J5898=1,I5898="SBJ"),AND(J5898=1,I5898=0)),"?IN_FOCUS",IF(J5898&lt;=2,"?ACTIVATED",IF(J5898&lt;&gt;"","?FAMILIAR",IF(F5898="NEW",IF(ISNA(VLOOKUP(E5898,#REF!,1,FALSE())),"?TYPE_IDENTIFIABLE","?REFERENTIAL"),"_")))))</f>
        <v> </v>
      </c>
      <c r="H5898" s="25" t="str">
        <f>IF(J5898&lt;&gt;1,"",IF(I5898="SBJ","CB","?"))</f>
        <v> </v>
      </c>
      <c r="I5898" s="26" t="str">
        <f>IF(OR(E5898="",E5898="!!!",F5898="NEW"),"",INDEX(B5897:B$2,-1+SUMPRODUCT(MAX(ROW(E5897:E$2)*(E5898=E5897:E$2)))))</f>
        <v> </v>
      </c>
      <c r="J5898" s="26" t="str">
        <f>IF(OR(E5898="",E5898="!!!",F5898="NEW"),"",COUNTBLANK(OFFSET(A$1,,,SUMPRODUCT(MAX(ROW(E$2:E5898)*(E5898=E$2:E5898)))))-COUNTBLANK(OFFSET(A$1,,,SUMPRODUCT(MAX(ROW(E$1:E5897)*(E2=E$1:E5897))))))</f>
        <v> </v>
      </c>
      <c r="K5898" s="26" t="str">
        <f>IF(OR(E5898="",E5898="!!!",F5898="NEW"),"",INDEX(J$1:J5897,SUMPRODUCT(MAX(ROW(E$1:E5897)*(E5898=E$1:E5897)))))</f>
        <v> </v>
      </c>
      <c r="L5898" s="27"/>
    </row>
    <row r="5899" spans="1:12">
      <c r="A5899" s="20" t="s">
        <v>2197</v>
      </c>
      <c r="B5899" s="21" t="s">
        <v>1191</v>
      </c>
      <c r="C5899" s="21" t="s">
        <v>1210</v>
      </c>
      <c r="D5899" s="21" t="s">
        <v>1180</v>
      </c>
      <c r="E5899" s="22">
        <f>IF(D5899="?OLD","!!!","")</f>
        <v/>
      </c>
      <c r="F5899" s="23" t="str">
        <f>IF(OR(E5899="",E5899="!!!"),"",IF(NOT(ISNA(VLOOKUP(E5899,E$1:E5898,1,FALSE()))),"OLD",IF(AND(E5899&lt;&gt;"",E5899&lt;&gt;"!!!"),"NEW","")))</f>
        <v> </v>
      </c>
      <c r="G5899" s="24" t="str">
        <f>IF(OR(E5899="",E5899="!!!"),"",IF(OR(J5899=0,AND(J5899=1,K5899=1),AND(J5899=1,I5899="SBJ"),AND(J5899=1,I5899=0)),"?IN_FOCUS",IF(J5899&lt;=2,"?ACTIVATED",IF(J5899&lt;&gt;"","?FAMILIAR",IF(F5899="NEW",IF(ISNA(VLOOKUP(E5899,#REF!,1,FALSE())),"?TYPE_IDENTIFIABLE","?REFERENTIAL"),"_")))))</f>
        <v> </v>
      </c>
      <c r="H5899" s="25" t="str">
        <f>IF(J5899&lt;&gt;1,"",IF(I5899="SBJ","CB","?"))</f>
        <v> </v>
      </c>
      <c r="I5899" s="26" t="str">
        <f>IF(OR(E5899="",E5899="!!!",F5899="NEW"),"",INDEX(B5898:B$2,-1+SUMPRODUCT(MAX(ROW(E5898:E$2)*(E5899=E5898:E$2)))))</f>
        <v> </v>
      </c>
      <c r="J5899" s="26" t="str">
        <f>IF(OR(E5899="",E5899="!!!",F5899="NEW"),"",COUNTBLANK(OFFSET(A$1,,,SUMPRODUCT(MAX(ROW(E$2:E5899)*(E5899=E$2:E5899)))))-COUNTBLANK(OFFSET(A$1,,,SUMPRODUCT(MAX(ROW(E$1:E5898)*(E2=E$1:E5898))))))</f>
        <v> </v>
      </c>
      <c r="K5899" s="26" t="str">
        <f>IF(OR(E5899="",E5899="!!!",F5899="NEW"),"",INDEX(J$1:J5898,SUMPRODUCT(MAX(ROW(E$1:E5898)*(E5899=E$1:E5898)))))</f>
        <v> </v>
      </c>
      <c r="L5899" s="27"/>
    </row>
    <row r="5900" spans="1:12">
      <c r="A5900" s="20" t="s">
        <v>2786</v>
      </c>
      <c r="E5900" s="22">
        <f>IF(D5900="?OLD","!!!","")</f>
        <v/>
      </c>
      <c r="F5900" s="23" t="str">
        <f>IF(OR(E5900="",E5900="!!!"),"",IF(NOT(ISNA(VLOOKUP(E5900,E$1:E5899,1,FALSE()))),"OLD",IF(AND(E5900&lt;&gt;"",E5900&lt;&gt;"!!!"),"NEW","")))</f>
        <v> </v>
      </c>
      <c r="G5900" s="24" t="str">
        <f>IF(OR(E5900="",E5900="!!!"),"",IF(OR(J5900=0,AND(J5900=1,K5900=1),AND(J5900=1,I5900="SBJ"),AND(J5900=1,I5900=0)),"?IN_FOCUS",IF(J5900&lt;=2,"?ACTIVATED",IF(J5900&lt;&gt;"","?FAMILIAR",IF(F5900="NEW",IF(ISNA(VLOOKUP(E5900,#REF!,1,FALSE())),"?TYPE_IDENTIFIABLE","?REFERENTIAL"),"_")))))</f>
        <v> </v>
      </c>
      <c r="H5900" s="25" t="str">
        <f>IF(J5900&lt;&gt;1,"",IF(I5900="SBJ","CB","?"))</f>
        <v> </v>
      </c>
      <c r="I5900" s="26" t="str">
        <f>IF(OR(E5900="",E5900="!!!",F5900="NEW"),"",INDEX(B5899:B$2,-1+SUMPRODUCT(MAX(ROW(E5899:E$2)*(E5900=E5899:E$2)))))</f>
        <v> </v>
      </c>
      <c r="J5900" s="26" t="str">
        <f>IF(OR(E5900="",E5900="!!!",F5900="NEW"),"",COUNTBLANK(OFFSET(A$1,,,SUMPRODUCT(MAX(ROW(E$2:E5900)*(E5900=E$2:E5900)))))-COUNTBLANK(OFFSET(A$1,,,SUMPRODUCT(MAX(ROW(E$1:E5899)*(E2=E$1:E5899))))))</f>
        <v> </v>
      </c>
      <c r="K5900" s="26" t="str">
        <f>IF(OR(E5900="",E5900="!!!",F5900="NEW"),"",INDEX(J$1:J5899,SUMPRODUCT(MAX(ROW(E$1:E5899)*(E5900=E$1:E5899)))))</f>
        <v> </v>
      </c>
      <c r="L5900" s="27"/>
    </row>
    <row r="5901" spans="1:12">
      <c r="A5901" s="20" t="s">
        <v>1185</v>
      </c>
      <c r="E5901" s="22">
        <f>IF(D5901="?OLD","!!!","")</f>
        <v/>
      </c>
      <c r="F5901" s="23" t="str">
        <f>IF(OR(E5901="",E5901="!!!"),"",IF(NOT(ISNA(VLOOKUP(E5901,E$1:E5900,1,FALSE()))),"OLD",IF(AND(E5901&lt;&gt;"",E5901&lt;&gt;"!!!"),"NEW","")))</f>
        <v> </v>
      </c>
      <c r="G5901" s="24" t="str">
        <f>IF(OR(E5901="",E5901="!!!"),"",IF(OR(J5901=0,AND(J5901=1,K5901=1),AND(J5901=1,I5901="SBJ"),AND(J5901=1,I5901=0)),"?IN_FOCUS",IF(J5901&lt;=2,"?ACTIVATED",IF(J5901&lt;&gt;"","?FAMILIAR",IF(F5901="NEW",IF(ISNA(VLOOKUP(E5901,#REF!,1,FALSE())),"?TYPE_IDENTIFIABLE","?REFERENTIAL"),"_")))))</f>
        <v> </v>
      </c>
      <c r="H5901" s="25" t="str">
        <f>IF(J5901&lt;&gt;1,"",IF(I5901="SBJ","CB","?"))</f>
        <v> </v>
      </c>
      <c r="I5901" s="26" t="str">
        <f>IF(OR(E5901="",E5901="!!!",F5901="NEW"),"",INDEX(B5900:B$2,-1+SUMPRODUCT(MAX(ROW(E5900:E$2)*(E5901=E5900:E$2)))))</f>
        <v> </v>
      </c>
      <c r="J5901" s="26" t="str">
        <f>IF(OR(E5901="",E5901="!!!",F5901="NEW"),"",COUNTBLANK(OFFSET(A$1,,,SUMPRODUCT(MAX(ROW(E$2:E5901)*(E5901=E$2:E5901)))))-COUNTBLANK(OFFSET(A$1,,,SUMPRODUCT(MAX(ROW(E$1:E5900)*(E2=E$1:E5900))))))</f>
        <v> </v>
      </c>
      <c r="K5901" s="26" t="str">
        <f>IF(OR(E5901="",E5901="!!!",F5901="NEW"),"",INDEX(J$1:J5900,SUMPRODUCT(MAX(ROW(E$1:E5900)*(E5901=E$1:E5900)))))</f>
        <v> </v>
      </c>
      <c r="L5901" s="27"/>
    </row>
    <row r="5902" spans="1:12">
      <c r="A5902" s="20" t="s">
        <v>1471</v>
      </c>
      <c r="E5902" s="22">
        <f>IF(D5902="?OLD","!!!","")</f>
        <v/>
      </c>
      <c r="F5902" s="23" t="str">
        <f>IF(OR(E5902="",E5902="!!!"),"",IF(NOT(ISNA(VLOOKUP(E5902,E$1:E5901,1,FALSE()))),"OLD",IF(AND(E5902&lt;&gt;"",E5902&lt;&gt;"!!!"),"NEW","")))</f>
        <v> </v>
      </c>
      <c r="G5902" s="24" t="str">
        <f>IF(OR(E5902="",E5902="!!!"),"",IF(OR(J5902=0,AND(J5902=1,K5902=1),AND(J5902=1,I5902="SBJ"),AND(J5902=1,I5902=0)),"?IN_FOCUS",IF(J5902&lt;=2,"?ACTIVATED",IF(J5902&lt;&gt;"","?FAMILIAR",IF(F5902="NEW",IF(ISNA(VLOOKUP(E5902,#REF!,1,FALSE())),"?TYPE_IDENTIFIABLE","?REFERENTIAL"),"_")))))</f>
        <v> </v>
      </c>
      <c r="H5902" s="25" t="str">
        <f>IF(J5902&lt;&gt;1,"",IF(I5902="SBJ","CB","?"))</f>
        <v> </v>
      </c>
      <c r="I5902" s="26" t="str">
        <f>IF(OR(E5902="",E5902="!!!",F5902="NEW"),"",INDEX(B5901:B$2,-1+SUMPRODUCT(MAX(ROW(E5901:E$2)*(E5902=E5901:E$2)))))</f>
        <v> </v>
      </c>
      <c r="J5902" s="26" t="str">
        <f>IF(OR(E5902="",E5902="!!!",F5902="NEW"),"",COUNTBLANK(OFFSET(A$1,,,SUMPRODUCT(MAX(ROW(E$2:E5902)*(E5902=E$2:E5902)))))-COUNTBLANK(OFFSET(A$1,,,SUMPRODUCT(MAX(ROW(E$1:E5901)*(E2=E$1:E5901))))))</f>
        <v> </v>
      </c>
      <c r="K5902" s="26" t="str">
        <f>IF(OR(E5902="",E5902="!!!",F5902="NEW"),"",INDEX(J$1:J5901,SUMPRODUCT(MAX(ROW(E$1:E5901)*(E5902=E$1:E5901)))))</f>
        <v> </v>
      </c>
      <c r="L5902" s="27"/>
    </row>
    <row r="5903" spans="1:12">
      <c r="A5903" s="20" t="s">
        <v>57</v>
      </c>
      <c r="B5903" s="21" t="s">
        <v>1178</v>
      </c>
      <c r="C5903" s="21" t="s">
        <v>1195</v>
      </c>
      <c r="D5903" s="21" t="s">
        <v>1180</v>
      </c>
      <c r="E5903" s="22">
        <f>IF(D5903="?OLD","!!!","")</f>
        <v/>
      </c>
      <c r="F5903" s="23" t="str">
        <f>IF(OR(E5903="",E5903="!!!"),"",IF(NOT(ISNA(VLOOKUP(E5903,E$1:E5902,1,FALSE()))),"OLD",IF(AND(E5903&lt;&gt;"",E5903&lt;&gt;"!!!"),"NEW","")))</f>
        <v> </v>
      </c>
      <c r="G5903" s="24" t="str">
        <f>IF(OR(E5903="",E5903="!!!"),"",IF(OR(J5903=0,AND(J5903=1,K5903=1),AND(J5903=1,I5903="SBJ"),AND(J5903=1,I5903=0)),"?IN_FOCUS",IF(J5903&lt;=2,"?ACTIVATED",IF(J5903&lt;&gt;"","?FAMILIAR",IF(F5903="NEW",IF(ISNA(VLOOKUP(E5903,#REF!,1,FALSE())),"?TYPE_IDENTIFIABLE","?REFERENTIAL"),"_")))))</f>
        <v> </v>
      </c>
      <c r="H5903" s="25" t="str">
        <f>IF(J5903&lt;&gt;1,"",IF(I5903="SBJ","CB","?"))</f>
        <v> </v>
      </c>
      <c r="I5903" s="26" t="str">
        <f>IF(OR(E5903="",E5903="!!!",F5903="NEW"),"",INDEX(B5902:B$2,-1+SUMPRODUCT(MAX(ROW(E5902:E$2)*(E5903=E5902:E$2)))))</f>
        <v> </v>
      </c>
      <c r="J5903" s="26" t="str">
        <f>IF(OR(E5903="",E5903="!!!",F5903="NEW"),"",COUNTBLANK(OFFSET(A$1,,,SUMPRODUCT(MAX(ROW(E$2:E5903)*(E5903=E$2:E5903)))))-COUNTBLANK(OFFSET(A$1,,,SUMPRODUCT(MAX(ROW(E$1:E5902)*(E2=E$1:E5902))))))</f>
        <v> </v>
      </c>
      <c r="K5903" s="26" t="str">
        <f>IF(OR(E5903="",E5903="!!!",F5903="NEW"),"",INDEX(J$1:J5902,SUMPRODUCT(MAX(ROW(E$1:E5902)*(E5903=E$1:E5902)))))</f>
        <v> </v>
      </c>
      <c r="L5903" s="27"/>
    </row>
    <row r="5904" spans="1:12">
      <c r="A5904" s="20" t="s">
        <v>2787</v>
      </c>
      <c r="E5904" s="22">
        <f>IF(D5904="?OLD","!!!","")</f>
        <v/>
      </c>
      <c r="F5904" s="23" t="str">
        <f>IF(OR(E5904="",E5904="!!!"),"",IF(NOT(ISNA(VLOOKUP(E5904,E$1:E5903,1,FALSE()))),"OLD",IF(AND(E5904&lt;&gt;"",E5904&lt;&gt;"!!!"),"NEW","")))</f>
        <v> </v>
      </c>
      <c r="G5904" s="24" t="str">
        <f>IF(OR(E5904="",E5904="!!!"),"",IF(OR(J5904=0,AND(J5904=1,K5904=1),AND(J5904=1,I5904="SBJ"),AND(J5904=1,I5904=0)),"?IN_FOCUS",IF(J5904&lt;=2,"?ACTIVATED",IF(J5904&lt;&gt;"","?FAMILIAR",IF(F5904="NEW",IF(ISNA(VLOOKUP(E5904,#REF!,1,FALSE())),"?TYPE_IDENTIFIABLE","?REFERENTIAL"),"_")))))</f>
        <v> </v>
      </c>
      <c r="H5904" s="25" t="str">
        <f>IF(J5904&lt;&gt;1,"",IF(I5904="SBJ","CB","?"))</f>
        <v> </v>
      </c>
      <c r="I5904" s="26" t="str">
        <f>IF(OR(E5904="",E5904="!!!",F5904="NEW"),"",INDEX(B5903:B$2,-1+SUMPRODUCT(MAX(ROW(E5903:E$2)*(E5904=E5903:E$2)))))</f>
        <v> </v>
      </c>
      <c r="J5904" s="26" t="str">
        <f>IF(OR(E5904="",E5904="!!!",F5904="NEW"),"",COUNTBLANK(OFFSET(A$1,,,SUMPRODUCT(MAX(ROW(E$2:E5904)*(E5904=E$2:E5904)))))-COUNTBLANK(OFFSET(A$1,,,SUMPRODUCT(MAX(ROW(E$1:E5903)*(E2=E$1:E5903))))))</f>
        <v> </v>
      </c>
      <c r="K5904" s="26" t="str">
        <f>IF(OR(E5904="",E5904="!!!",F5904="NEW"),"",INDEX(J$1:J5903,SUMPRODUCT(MAX(ROW(E$1:E5903)*(E5904=E$1:E5903)))))</f>
        <v> </v>
      </c>
      <c r="L5904" s="27"/>
    </row>
    <row r="5905" spans="1:12">
      <c r="A5905" s="20" t="s">
        <v>2788</v>
      </c>
      <c r="E5905" s="22">
        <f>IF(D5905="?OLD","!!!","")</f>
        <v/>
      </c>
      <c r="F5905" s="23" t="str">
        <f>IF(OR(E5905="",E5905="!!!"),"",IF(NOT(ISNA(VLOOKUP(E5905,E$1:E5904,1,FALSE()))),"OLD",IF(AND(E5905&lt;&gt;"",E5905&lt;&gt;"!!!"),"NEW","")))</f>
        <v> </v>
      </c>
      <c r="G5905" s="24" t="str">
        <f>IF(OR(E5905="",E5905="!!!"),"",IF(OR(J5905=0,AND(J5905=1,K5905=1),AND(J5905=1,I5905="SBJ"),AND(J5905=1,I5905=0)),"?IN_FOCUS",IF(J5905&lt;=2,"?ACTIVATED",IF(J5905&lt;&gt;"","?FAMILIAR",IF(F5905="NEW",IF(ISNA(VLOOKUP(E5905,#REF!,1,FALSE())),"?TYPE_IDENTIFIABLE","?REFERENTIAL"),"_")))))</f>
        <v> </v>
      </c>
      <c r="H5905" s="25" t="str">
        <f>IF(J5905&lt;&gt;1,"",IF(I5905="SBJ","CB","?"))</f>
        <v> </v>
      </c>
      <c r="I5905" s="26" t="str">
        <f>IF(OR(E5905="",E5905="!!!",F5905="NEW"),"",INDEX(B5904:B$2,-1+SUMPRODUCT(MAX(ROW(E5904:E$2)*(E5905=E5904:E$2)))))</f>
        <v> </v>
      </c>
      <c r="J5905" s="26" t="str">
        <f>IF(OR(E5905="",E5905="!!!",F5905="NEW"),"",COUNTBLANK(OFFSET(A$1,,,SUMPRODUCT(MAX(ROW(E$2:E5905)*(E5905=E$2:E5905)))))-COUNTBLANK(OFFSET(A$1,,,SUMPRODUCT(MAX(ROW(E$1:E5904)*(E2=E$1:E5904))))))</f>
        <v> </v>
      </c>
      <c r="K5905" s="26" t="str">
        <f>IF(OR(E5905="",E5905="!!!",F5905="NEW"),"",INDEX(J$1:J5904,SUMPRODUCT(MAX(ROW(E$1:E5904)*(E5905=E$1:E5904)))))</f>
        <v> </v>
      </c>
      <c r="L5905" s="27"/>
    </row>
    <row r="5906" spans="1:12">
      <c r="A5906" s="20" t="s">
        <v>1185</v>
      </c>
      <c r="E5906" s="22">
        <f>IF(D5906="?OLD","!!!","")</f>
        <v/>
      </c>
      <c r="F5906" s="23" t="str">
        <f>IF(OR(E5906="",E5906="!!!"),"",IF(NOT(ISNA(VLOOKUP(E5906,E$1:E5905,1,FALSE()))),"OLD",IF(AND(E5906&lt;&gt;"",E5906&lt;&gt;"!!!"),"NEW","")))</f>
        <v> </v>
      </c>
      <c r="G5906" s="24" t="str">
        <f>IF(OR(E5906="",E5906="!!!"),"",IF(OR(J5906=0,AND(J5906=1,K5906=1),AND(J5906=1,I5906="SBJ"),AND(J5906=1,I5906=0)),"?IN_FOCUS",IF(J5906&lt;=2,"?ACTIVATED",IF(J5906&lt;&gt;"","?FAMILIAR",IF(F5906="NEW",IF(ISNA(VLOOKUP(E5906,#REF!,1,FALSE())),"?TYPE_IDENTIFIABLE","?REFERENTIAL"),"_")))))</f>
        <v> </v>
      </c>
      <c r="H5906" s="25" t="str">
        <f>IF(J5906&lt;&gt;1,"",IF(I5906="SBJ","CB","?"))</f>
        <v> </v>
      </c>
      <c r="I5906" s="26" t="str">
        <f>IF(OR(E5906="",E5906="!!!",F5906="NEW"),"",INDEX(B5905:B$2,-1+SUMPRODUCT(MAX(ROW(E5905:E$2)*(E5906=E5905:E$2)))))</f>
        <v> </v>
      </c>
      <c r="J5906" s="26" t="str">
        <f>IF(OR(E5906="",E5906="!!!",F5906="NEW"),"",COUNTBLANK(OFFSET(A$1,,,SUMPRODUCT(MAX(ROW(E$2:E5906)*(E5906=E$2:E5906)))))-COUNTBLANK(OFFSET(A$1,,,SUMPRODUCT(MAX(ROW(E$1:E5905)*(E2=E$1:E5905))))))</f>
        <v> </v>
      </c>
      <c r="K5906" s="26" t="str">
        <f>IF(OR(E5906="",E5906="!!!",F5906="NEW"),"",INDEX(J$1:J5905,SUMPRODUCT(MAX(ROW(E$1:E5905)*(E5906=E$1:E5905)))))</f>
        <v> </v>
      </c>
      <c r="L5906" s="27"/>
    </row>
    <row r="5907" spans="1:12">
      <c r="A5907" s="20" t="s">
        <v>1359</v>
      </c>
      <c r="E5907" s="22">
        <f>IF(D5907="?OLD","!!!","")</f>
        <v/>
      </c>
      <c r="F5907" s="23" t="str">
        <f>IF(OR(E5907="",E5907="!!!"),"",IF(NOT(ISNA(VLOOKUP(E5907,E$1:E5906,1,FALSE()))),"OLD",IF(AND(E5907&lt;&gt;"",E5907&lt;&gt;"!!!"),"NEW","")))</f>
        <v> </v>
      </c>
      <c r="G5907" s="24" t="str">
        <f>IF(OR(E5907="",E5907="!!!"),"",IF(OR(J5907=0,AND(J5907=1,K5907=1),AND(J5907=1,I5907="SBJ"),AND(J5907=1,I5907=0)),"?IN_FOCUS",IF(J5907&lt;=2,"?ACTIVATED",IF(J5907&lt;&gt;"","?FAMILIAR",IF(F5907="NEW",IF(ISNA(VLOOKUP(E5907,#REF!,1,FALSE())),"?TYPE_IDENTIFIABLE","?REFERENTIAL"),"_")))))</f>
        <v> </v>
      </c>
      <c r="H5907" s="25" t="str">
        <f>IF(J5907&lt;&gt;1,"",IF(I5907="SBJ","CB","?"))</f>
        <v> </v>
      </c>
      <c r="I5907" s="26" t="str">
        <f>IF(OR(E5907="",E5907="!!!",F5907="NEW"),"",INDEX(B5906:B$2,-1+SUMPRODUCT(MAX(ROW(E5906:E$2)*(E5907=E5906:E$2)))))</f>
        <v> </v>
      </c>
      <c r="J5907" s="26" t="str">
        <f>IF(OR(E5907="",E5907="!!!",F5907="NEW"),"",COUNTBLANK(OFFSET(A$1,,,SUMPRODUCT(MAX(ROW(E$2:E5907)*(E5907=E$2:E5907)))))-COUNTBLANK(OFFSET(A$1,,,SUMPRODUCT(MAX(ROW(E$1:E5906)*(E2=E$1:E5906))))))</f>
        <v> </v>
      </c>
      <c r="K5907" s="26" t="str">
        <f>IF(OR(E5907="",E5907="!!!",F5907="NEW"),"",INDEX(J$1:J5906,SUMPRODUCT(MAX(ROW(E$1:E5906)*(E5907=E$1:E5906)))))</f>
        <v> </v>
      </c>
      <c r="L5907" s="27"/>
    </row>
    <row r="5908" spans="1:12">
      <c r="A5908" s="20" t="s">
        <v>185</v>
      </c>
      <c r="B5908" s="21" t="s">
        <v>1240</v>
      </c>
      <c r="C5908" s="21" t="s">
        <v>1195</v>
      </c>
      <c r="D5908" s="21" t="s">
        <v>1180</v>
      </c>
      <c r="E5908" s="22">
        <f>IF(D5908="?OLD","!!!","")</f>
        <v/>
      </c>
      <c r="F5908" s="23" t="str">
        <f>IF(OR(E5908="",E5908="!!!"),"",IF(NOT(ISNA(VLOOKUP(E5908,E$1:E5907,1,FALSE()))),"OLD",IF(AND(E5908&lt;&gt;"",E5908&lt;&gt;"!!!"),"NEW","")))</f>
        <v> </v>
      </c>
      <c r="G5908" s="24" t="str">
        <f>IF(OR(E5908="",E5908="!!!"),"",IF(OR(J5908=0,AND(J5908=1,K5908=1),AND(J5908=1,I5908="SBJ"),AND(J5908=1,I5908=0)),"?IN_FOCUS",IF(J5908&lt;=2,"?ACTIVATED",IF(J5908&lt;&gt;"","?FAMILIAR",IF(F5908="NEW",IF(ISNA(VLOOKUP(E5908,#REF!,1,FALSE())),"?TYPE_IDENTIFIABLE","?REFERENTIAL"),"_")))))</f>
        <v> </v>
      </c>
      <c r="H5908" s="25" t="str">
        <f>IF(J5908&lt;&gt;1,"",IF(I5908="SBJ","CB","?"))</f>
        <v> </v>
      </c>
      <c r="I5908" s="26" t="str">
        <f>IF(OR(E5908="",E5908="!!!",F5908="NEW"),"",INDEX(B5907:B$2,-1+SUMPRODUCT(MAX(ROW(E5907:E$2)*(E5908=E5907:E$2)))))</f>
        <v> </v>
      </c>
      <c r="J5908" s="26" t="str">
        <f>IF(OR(E5908="",E5908="!!!",F5908="NEW"),"",COUNTBLANK(OFFSET(A$1,,,SUMPRODUCT(MAX(ROW(E$2:E5908)*(E5908=E$2:E5908)))))-COUNTBLANK(OFFSET(A$1,,,SUMPRODUCT(MAX(ROW(E$1:E5907)*(E2=E$1:E5907))))))</f>
        <v> </v>
      </c>
      <c r="K5908" s="26" t="str">
        <f>IF(OR(E5908="",E5908="!!!",F5908="NEW"),"",INDEX(J$1:J5907,SUMPRODUCT(MAX(ROW(E$1:E5907)*(E5908=E$1:E5907)))))</f>
        <v> </v>
      </c>
      <c r="L5908" s="27"/>
    </row>
    <row r="5909" spans="1:12">
      <c r="A5909" s="20" t="s">
        <v>1276</v>
      </c>
      <c r="E5909" s="22">
        <f>IF(D5909="?OLD","!!!","")</f>
        <v/>
      </c>
      <c r="F5909" s="23" t="str">
        <f>IF(OR(E5909="",E5909="!!!"),"",IF(NOT(ISNA(VLOOKUP(E5909,E$1:E5908,1,FALSE()))),"OLD",IF(AND(E5909&lt;&gt;"",E5909&lt;&gt;"!!!"),"NEW","")))</f>
        <v> </v>
      </c>
      <c r="G5909" s="24" t="str">
        <f>IF(OR(E5909="",E5909="!!!"),"",IF(OR(J5909=0,AND(J5909=1,K5909=1),AND(J5909=1,I5909="SBJ"),AND(J5909=1,I5909=0)),"?IN_FOCUS",IF(J5909&lt;=2,"?ACTIVATED",IF(J5909&lt;&gt;"","?FAMILIAR",IF(F5909="NEW",IF(ISNA(VLOOKUP(E5909,#REF!,1,FALSE())),"?TYPE_IDENTIFIABLE","?REFERENTIAL"),"_")))))</f>
        <v> </v>
      </c>
      <c r="H5909" s="25" t="str">
        <f>IF(J5909&lt;&gt;1,"",IF(I5909="SBJ","CB","?"))</f>
        <v> </v>
      </c>
      <c r="I5909" s="26" t="str">
        <f>IF(OR(E5909="",E5909="!!!",F5909="NEW"),"",INDEX(B5908:B$2,-1+SUMPRODUCT(MAX(ROW(E5908:E$2)*(E5909=E5908:E$2)))))</f>
        <v> </v>
      </c>
      <c r="J5909" s="26" t="str">
        <f>IF(OR(E5909="",E5909="!!!",F5909="NEW"),"",COUNTBLANK(OFFSET(A$1,,,SUMPRODUCT(MAX(ROW(E$2:E5909)*(E5909=E$2:E5909)))))-COUNTBLANK(OFFSET(A$1,,,SUMPRODUCT(MAX(ROW(E$1:E5908)*(E2=E$1:E5908))))))</f>
        <v> </v>
      </c>
      <c r="K5909" s="26" t="str">
        <f>IF(OR(E5909="",E5909="!!!",F5909="NEW"),"",INDEX(J$1:J5908,SUMPRODUCT(MAX(ROW(E$1:E5908)*(E5909=E$1:E5908)))))</f>
        <v> </v>
      </c>
      <c r="L5909" s="27"/>
    </row>
    <row r="5910" spans="1:12">
      <c r="A5910" s="20" t="s">
        <v>2789</v>
      </c>
      <c r="B5910" s="21" t="s">
        <v>1237</v>
      </c>
      <c r="C5910" s="21" t="s">
        <v>1223</v>
      </c>
      <c r="E5910" s="22">
        <f>IF(D5910="?OLD","!!!","")</f>
        <v/>
      </c>
      <c r="F5910" s="23" t="str">
        <f>IF(OR(E5910="",E5910="!!!"),"",IF(NOT(ISNA(VLOOKUP(E5910,E$1:E5909,1,FALSE()))),"OLD",IF(AND(E5910&lt;&gt;"",E5910&lt;&gt;"!!!"),"NEW","")))</f>
        <v> </v>
      </c>
      <c r="G5910" s="24" t="str">
        <f>IF(OR(E5910="",E5910="!!!"),"",IF(OR(J5910=0,AND(J5910=1,K5910=1),AND(J5910=1,I5910="SBJ"),AND(J5910=1,I5910=0)),"?IN_FOCUS",IF(J5910&lt;=2,"?ACTIVATED",IF(J5910&lt;&gt;"","?FAMILIAR",IF(F5910="NEW",IF(ISNA(VLOOKUP(E5910,#REF!,1,FALSE())),"?TYPE_IDENTIFIABLE","?REFERENTIAL"),"_")))))</f>
        <v> </v>
      </c>
      <c r="H5910" s="25" t="str">
        <f>IF(J5910&lt;&gt;1,"",IF(I5910="SBJ","CB","?"))</f>
        <v> </v>
      </c>
      <c r="I5910" s="26" t="str">
        <f>IF(OR(E5910="",E5910="!!!",F5910="NEW"),"",INDEX(B5909:B$2,-1+SUMPRODUCT(MAX(ROW(E5909:E$2)*(E5910=E5909:E$2)))))</f>
        <v> </v>
      </c>
      <c r="J5910" s="26" t="str">
        <f>IF(OR(E5910="",E5910="!!!",F5910="NEW"),"",COUNTBLANK(OFFSET(A$1,,,SUMPRODUCT(MAX(ROW(E$2:E5910)*(E5910=E$2:E5910)))))-COUNTBLANK(OFFSET(A$1,,,SUMPRODUCT(MAX(ROW(E$1:E5909)*(E2=E$1:E5909))))))</f>
        <v> </v>
      </c>
      <c r="K5910" s="26" t="str">
        <f>IF(OR(E5910="",E5910="!!!",F5910="NEW"),"",INDEX(J$1:J5909,SUMPRODUCT(MAX(ROW(E$1:E5909)*(E5910=E$1:E5909)))))</f>
        <v> </v>
      </c>
      <c r="L5910" s="27"/>
    </row>
    <row r="5911" spans="1:12">
      <c r="A5911" s="20" t="s">
        <v>1440</v>
      </c>
      <c r="E5911" s="22">
        <f>IF(D5911="?OLD","!!!","")</f>
        <v/>
      </c>
      <c r="F5911" s="23" t="str">
        <f>IF(OR(E5911="",E5911="!!!"),"",IF(NOT(ISNA(VLOOKUP(E5911,E$1:E5910,1,FALSE()))),"OLD",IF(AND(E5911&lt;&gt;"",E5911&lt;&gt;"!!!"),"NEW","")))</f>
        <v> </v>
      </c>
      <c r="G5911" s="24" t="str">
        <f>IF(OR(E5911="",E5911="!!!"),"",IF(OR(J5911=0,AND(J5911=1,K5911=1),AND(J5911=1,I5911="SBJ"),AND(J5911=1,I5911=0)),"?IN_FOCUS",IF(J5911&lt;=2,"?ACTIVATED",IF(J5911&lt;&gt;"","?FAMILIAR",IF(F5911="NEW",IF(ISNA(VLOOKUP(E5911,#REF!,1,FALSE())),"?TYPE_IDENTIFIABLE","?REFERENTIAL"),"_")))))</f>
        <v> </v>
      </c>
      <c r="H5911" s="25" t="str">
        <f>IF(J5911&lt;&gt;1,"",IF(I5911="SBJ","CB","?"))</f>
        <v> </v>
      </c>
      <c r="I5911" s="26" t="str">
        <f>IF(OR(E5911="",E5911="!!!",F5911="NEW"),"",INDEX(B5910:B$2,-1+SUMPRODUCT(MAX(ROW(E5910:E$2)*(E5911=E5910:E$2)))))</f>
        <v> </v>
      </c>
      <c r="J5911" s="26" t="str">
        <f>IF(OR(E5911="",E5911="!!!",F5911="NEW"),"",COUNTBLANK(OFFSET(A$1,,,SUMPRODUCT(MAX(ROW(E$2:E5911)*(E5911=E$2:E5911)))))-COUNTBLANK(OFFSET(A$1,,,SUMPRODUCT(MAX(ROW(E$1:E5910)*(E2=E$1:E5910))))))</f>
        <v> </v>
      </c>
      <c r="K5911" s="26" t="str">
        <f>IF(OR(E5911="",E5911="!!!",F5911="NEW"),"",INDEX(J$1:J5910,SUMPRODUCT(MAX(ROW(E$1:E5910)*(E5911=E$1:E5910)))))</f>
        <v> </v>
      </c>
      <c r="L5911" s="27"/>
    </row>
    <row r="5912" spans="1:12">
      <c r="A5912" s="20" t="s">
        <v>1185</v>
      </c>
      <c r="E5912" s="22">
        <f>IF(D5912="?OLD","!!!","")</f>
        <v/>
      </c>
      <c r="F5912" s="23" t="str">
        <f>IF(OR(E5912="",E5912="!!!"),"",IF(NOT(ISNA(VLOOKUP(E5912,E$1:E5911,1,FALSE()))),"OLD",IF(AND(E5912&lt;&gt;"",E5912&lt;&gt;"!!!"),"NEW","")))</f>
        <v> </v>
      </c>
      <c r="G5912" s="24" t="str">
        <f>IF(OR(E5912="",E5912="!!!"),"",IF(OR(J5912=0,AND(J5912=1,K5912=1),AND(J5912=1,I5912="SBJ"),AND(J5912=1,I5912=0)),"?IN_FOCUS",IF(J5912&lt;=2,"?ACTIVATED",IF(J5912&lt;&gt;"","?FAMILIAR",IF(F5912="NEW",IF(ISNA(VLOOKUP(E5912,#REF!,1,FALSE())),"?TYPE_IDENTIFIABLE","?REFERENTIAL"),"_")))))</f>
        <v> </v>
      </c>
      <c r="H5912" s="25" t="str">
        <f>IF(J5912&lt;&gt;1,"",IF(I5912="SBJ","CB","?"))</f>
        <v> </v>
      </c>
      <c r="I5912" s="26" t="str">
        <f>IF(OR(E5912="",E5912="!!!",F5912="NEW"),"",INDEX(B5911:B$2,-1+SUMPRODUCT(MAX(ROW(E5911:E$2)*(E5912=E5911:E$2)))))</f>
        <v> </v>
      </c>
      <c r="J5912" s="26" t="str">
        <f>IF(OR(E5912="",E5912="!!!",F5912="NEW"),"",COUNTBLANK(OFFSET(A$1,,,SUMPRODUCT(MAX(ROW(E$2:E5912)*(E5912=E$2:E5912)))))-COUNTBLANK(OFFSET(A$1,,,SUMPRODUCT(MAX(ROW(E$1:E5911)*(E2=E$1:E5911))))))</f>
        <v> </v>
      </c>
      <c r="K5912" s="26" t="str">
        <f>IF(OR(E5912="",E5912="!!!",F5912="NEW"),"",INDEX(J$1:J5911,SUMPRODUCT(MAX(ROW(E$1:E5911)*(E5912=E$1:E5911)))))</f>
        <v> </v>
      </c>
      <c r="L5912" s="27"/>
    </row>
    <row r="5913" spans="1:12">
      <c r="A5913" s="20" t="s">
        <v>1381</v>
      </c>
      <c r="B5913" s="21" t="s">
        <v>1306</v>
      </c>
      <c r="C5913" s="21" t="s">
        <v>1254</v>
      </c>
      <c r="E5913" s="22">
        <f>IF(D5913="?OLD","!!!","")</f>
        <v/>
      </c>
      <c r="F5913" s="23" t="str">
        <f>IF(OR(E5913="",E5913="!!!"),"",IF(NOT(ISNA(VLOOKUP(E5913,E$1:E5912,1,FALSE()))),"OLD",IF(AND(E5913&lt;&gt;"",E5913&lt;&gt;"!!!"),"NEW","")))</f>
        <v> </v>
      </c>
      <c r="G5913" s="24" t="str">
        <f>IF(OR(E5913="",E5913="!!!"),"",IF(OR(J5913=0,AND(J5913=1,K5913=1),AND(J5913=1,I5913="SBJ"),AND(J5913=1,I5913=0)),"?IN_FOCUS",IF(J5913&lt;=2,"?ACTIVATED",IF(J5913&lt;&gt;"","?FAMILIAR",IF(F5913="NEW",IF(ISNA(VLOOKUP(E5913,#REF!,1,FALSE())),"?TYPE_IDENTIFIABLE","?REFERENTIAL"),"_")))))</f>
        <v> </v>
      </c>
      <c r="H5913" s="25" t="str">
        <f>IF(J5913&lt;&gt;1,"",IF(I5913="SBJ","CB","?"))</f>
        <v> </v>
      </c>
      <c r="I5913" s="26" t="str">
        <f>IF(OR(E5913="",E5913="!!!",F5913="NEW"),"",INDEX(B5912:B$2,-1+SUMPRODUCT(MAX(ROW(E5912:E$2)*(E5913=E5912:E$2)))))</f>
        <v> </v>
      </c>
      <c r="J5913" s="26" t="str">
        <f>IF(OR(E5913="",E5913="!!!",F5913="NEW"),"",COUNTBLANK(OFFSET(A$1,,,SUMPRODUCT(MAX(ROW(E$2:E5913)*(E5913=E$2:E5913)))))-COUNTBLANK(OFFSET(A$1,,,SUMPRODUCT(MAX(ROW(E$1:E5912)*(E2=E$1:E5912))))))</f>
        <v> </v>
      </c>
      <c r="K5913" s="26" t="str">
        <f>IF(OR(E5913="",E5913="!!!",F5913="NEW"),"",INDEX(J$1:J5912,SUMPRODUCT(MAX(ROW(E$1:E5912)*(E5913=E$1:E5912)))))</f>
        <v> </v>
      </c>
      <c r="L5913" s="27"/>
    </row>
    <row r="5914" spans="1:12">
      <c r="A5914" s="20" t="s">
        <v>2790</v>
      </c>
      <c r="E5914" s="22">
        <f>IF(D5914="?OLD","!!!","")</f>
        <v/>
      </c>
      <c r="F5914" s="23" t="str">
        <f>IF(OR(E5914="",E5914="!!!"),"",IF(NOT(ISNA(VLOOKUP(E5914,E$1:E5913,1,FALSE()))),"OLD",IF(AND(E5914&lt;&gt;"",E5914&lt;&gt;"!!!"),"NEW","")))</f>
        <v> </v>
      </c>
      <c r="G5914" s="24" t="str">
        <f>IF(OR(E5914="",E5914="!!!"),"",IF(OR(J5914=0,AND(J5914=1,K5914=1),AND(J5914=1,I5914="SBJ"),AND(J5914=1,I5914=0)),"?IN_FOCUS",IF(J5914&lt;=2,"?ACTIVATED",IF(J5914&lt;&gt;"","?FAMILIAR",IF(F5914="NEW",IF(ISNA(VLOOKUP(E5914,#REF!,1,FALSE())),"?TYPE_IDENTIFIABLE","?REFERENTIAL"),"_")))))</f>
        <v> </v>
      </c>
      <c r="H5914" s="25" t="str">
        <f>IF(J5914&lt;&gt;1,"",IF(I5914="SBJ","CB","?"))</f>
        <v> </v>
      </c>
      <c r="I5914" s="26" t="str">
        <f>IF(OR(E5914="",E5914="!!!",F5914="NEW"),"",INDEX(B5913:B$2,-1+SUMPRODUCT(MAX(ROW(E5913:E$2)*(E5914=E5913:E$2)))))</f>
        <v> </v>
      </c>
      <c r="J5914" s="26" t="str">
        <f>IF(OR(E5914="",E5914="!!!",F5914="NEW"),"",COUNTBLANK(OFFSET(A$1,,,SUMPRODUCT(MAX(ROW(E$2:E5914)*(E5914=E$2:E5914)))))-COUNTBLANK(OFFSET(A$1,,,SUMPRODUCT(MAX(ROW(E$1:E5913)*(E2=E$1:E5913))))))</f>
        <v> </v>
      </c>
      <c r="K5914" s="26" t="str">
        <f>IF(OR(E5914="",E5914="!!!",F5914="NEW"),"",INDEX(J$1:J5913,SUMPRODUCT(MAX(ROW(E$1:E5913)*(E5914=E$1:E5913)))))</f>
        <v> </v>
      </c>
      <c r="L5914" s="27"/>
    </row>
    <row r="5915" spans="1:12">
      <c r="A5915" s="20" t="s">
        <v>1330</v>
      </c>
      <c r="E5915" s="22">
        <f>IF(D5915="?OLD","!!!","")</f>
        <v/>
      </c>
      <c r="F5915" s="23" t="str">
        <f>IF(OR(E5915="",E5915="!!!"),"",IF(NOT(ISNA(VLOOKUP(E5915,E$1:E5914,1,FALSE()))),"OLD",IF(AND(E5915&lt;&gt;"",E5915&lt;&gt;"!!!"),"NEW","")))</f>
        <v> </v>
      </c>
      <c r="G5915" s="24" t="str">
        <f>IF(OR(E5915="",E5915="!!!"),"",IF(OR(J5915=0,AND(J5915=1,K5915=1),AND(J5915=1,I5915="SBJ"),AND(J5915=1,I5915=0)),"?IN_FOCUS",IF(J5915&lt;=2,"?ACTIVATED",IF(J5915&lt;&gt;"","?FAMILIAR",IF(F5915="NEW",IF(ISNA(VLOOKUP(E5915,#REF!,1,FALSE())),"?TYPE_IDENTIFIABLE","?REFERENTIAL"),"_")))))</f>
        <v> </v>
      </c>
      <c r="H5915" s="25" t="str">
        <f>IF(J5915&lt;&gt;1,"",IF(I5915="SBJ","CB","?"))</f>
        <v> </v>
      </c>
      <c r="I5915" s="26" t="str">
        <f>IF(OR(E5915="",E5915="!!!",F5915="NEW"),"",INDEX(B5914:B$2,-1+SUMPRODUCT(MAX(ROW(E5914:E$2)*(E5915=E5914:E$2)))))</f>
        <v> </v>
      </c>
      <c r="J5915" s="26" t="str">
        <f>IF(OR(E5915="",E5915="!!!",F5915="NEW"),"",COUNTBLANK(OFFSET(A$1,,,SUMPRODUCT(MAX(ROW(E$2:E5915)*(E5915=E$2:E5915)))))-COUNTBLANK(OFFSET(A$1,,,SUMPRODUCT(MAX(ROW(E$1:E5914)*(E2=E$1:E5914))))))</f>
        <v> </v>
      </c>
      <c r="K5915" s="26" t="str">
        <f>IF(OR(E5915="",E5915="!!!",F5915="NEW"),"",INDEX(J$1:J5914,SUMPRODUCT(MAX(ROW(E$1:E5914)*(E5915=E$1:E5914)))))</f>
        <v> </v>
      </c>
      <c r="L5915" s="27"/>
    </row>
    <row r="5916" spans="1:12">
      <c r="A5916" s="20" t="s">
        <v>130</v>
      </c>
      <c r="E5916" s="22">
        <f>IF(D5916="?OLD","!!!","")</f>
        <v/>
      </c>
      <c r="F5916" s="23" t="str">
        <f>IF(OR(E5916="",E5916="!!!"),"",IF(NOT(ISNA(VLOOKUP(E5916,E$1:E5915,1,FALSE()))),"OLD",IF(AND(E5916&lt;&gt;"",E5916&lt;&gt;"!!!"),"NEW","")))</f>
        <v> </v>
      </c>
      <c r="G5916" s="24" t="str">
        <f>IF(OR(E5916="",E5916="!!!"),"",IF(OR(J5916=0,AND(J5916=1,K5916=1),AND(J5916=1,I5916="SBJ"),AND(J5916=1,I5916=0)),"?IN_FOCUS",IF(J5916&lt;=2,"?ACTIVATED",IF(J5916&lt;&gt;"","?FAMILIAR",IF(F5916="NEW",IF(ISNA(VLOOKUP(E5916,#REF!,1,FALSE())),"?TYPE_IDENTIFIABLE","?REFERENTIAL"),"_")))))</f>
        <v> </v>
      </c>
      <c r="H5916" s="25" t="str">
        <f>IF(J5916&lt;&gt;1,"",IF(I5916="SBJ","CB","?"))</f>
        <v> </v>
      </c>
      <c r="I5916" s="26" t="str">
        <f>IF(OR(E5916="",E5916="!!!",F5916="NEW"),"",INDEX(B5915:B$2,-1+SUMPRODUCT(MAX(ROW(E5915:E$2)*(E5916=E5915:E$2)))))</f>
        <v> </v>
      </c>
      <c r="J5916" s="26" t="str">
        <f>IF(OR(E5916="",E5916="!!!",F5916="NEW"),"",COUNTBLANK(OFFSET(A$1,,,SUMPRODUCT(MAX(ROW(E$2:E5916)*(E5916=E$2:E5916)))))-COUNTBLANK(OFFSET(A$1,,,SUMPRODUCT(MAX(ROW(E$1:E5915)*(E2=E$1:E5915))))))</f>
        <v> </v>
      </c>
      <c r="K5916" s="26" t="str">
        <f>IF(OR(E5916="",E5916="!!!",F5916="NEW"),"",INDEX(J$1:J5915,SUMPRODUCT(MAX(ROW(E$1:E5915)*(E5916=E$1:E5915)))))</f>
        <v> </v>
      </c>
      <c r="L5916" s="27"/>
    </row>
    <row r="5917" spans="1:12">
      <c r="A5917" s="20" t="s">
        <v>818</v>
      </c>
      <c r="E5917" s="22">
        <f>IF(D5917="?OLD","!!!","")</f>
        <v/>
      </c>
      <c r="F5917" s="23" t="str">
        <f>IF(OR(E5917="",E5917="!!!"),"",IF(NOT(ISNA(VLOOKUP(E5917,E$1:E5916,1,FALSE()))),"OLD",IF(AND(E5917&lt;&gt;"",E5917&lt;&gt;"!!!"),"NEW","")))</f>
        <v> </v>
      </c>
      <c r="G5917" s="24" t="str">
        <f>IF(OR(E5917="",E5917="!!!"),"",IF(OR(J5917=0,AND(J5917=1,K5917=1),AND(J5917=1,I5917="SBJ"),AND(J5917=1,I5917=0)),"?IN_FOCUS",IF(J5917&lt;=2,"?ACTIVATED",IF(J5917&lt;&gt;"","?FAMILIAR",IF(F5917="NEW",IF(ISNA(VLOOKUP(E5917,#REF!,1,FALSE())),"?TYPE_IDENTIFIABLE","?REFERENTIAL"),"_")))))</f>
        <v> </v>
      </c>
      <c r="H5917" s="25" t="str">
        <f>IF(J5917&lt;&gt;1,"",IF(I5917="SBJ","CB","?"))</f>
        <v> </v>
      </c>
      <c r="I5917" s="26" t="str">
        <f>IF(OR(E5917="",E5917="!!!",F5917="NEW"),"",INDEX(B5916:B$2,-1+SUMPRODUCT(MAX(ROW(E5916:E$2)*(E5917=E5916:E$2)))))</f>
        <v> </v>
      </c>
      <c r="J5917" s="26" t="str">
        <f>IF(OR(E5917="",E5917="!!!",F5917="NEW"),"",COUNTBLANK(OFFSET(A$1,,,SUMPRODUCT(MAX(ROW(E$2:E5917)*(E5917=E$2:E5917)))))-COUNTBLANK(OFFSET(A$1,,,SUMPRODUCT(MAX(ROW(E$1:E5916)*(E2=E$1:E5916))))))</f>
        <v> </v>
      </c>
      <c r="K5917" s="26" t="str">
        <f>IF(OR(E5917="",E5917="!!!",F5917="NEW"),"",INDEX(J$1:J5916,SUMPRODUCT(MAX(ROW(E$1:E5916)*(E5917=E$1:E5916)))))</f>
        <v> </v>
      </c>
      <c r="L5917" s="27"/>
    </row>
    <row r="5918" spans="1:12">
      <c r="A5918" s="20"/>
    </row>
    <row r="5919" spans="1:12">
      <c r="A5919" s="20" t="s">
        <v>2791</v>
      </c>
    </row>
    <row r="5920" spans="1:12">
      <c r="A5920" s="20" t="s">
        <v>951</v>
      </c>
      <c r="E5920" s="22">
        <f>IF(D5920="?OLD","!!!","")</f>
        <v/>
      </c>
      <c r="F5920" s="23" t="str">
        <f>IF(OR(E5920="",E5920="!!!"),"",IF(NOT(ISNA(VLOOKUP(E5920,E$1:E5919,1,FALSE()))),"OLD",IF(AND(E5920&lt;&gt;"",E5920&lt;&gt;"!!!"),"NEW","")))</f>
        <v> </v>
      </c>
      <c r="G5920" s="24" t="str">
        <f>IF(OR(E5920="",E5920="!!!"),"",IF(OR(J5920=0,AND(J5920=1,K5920=1),AND(J5920=1,I5920="SBJ"),AND(J5920=1,I5920=0)),"?IN_FOCUS",IF(J5920&lt;=2,"?ACTIVATED",IF(J5920&lt;&gt;"","?FAMILIAR",IF(F5920="NEW",IF(ISNA(VLOOKUP(E5920,#REF!,1,FALSE())),"?TYPE_IDENTIFIABLE","?REFERENTIAL"),"_")))))</f>
        <v> </v>
      </c>
      <c r="H5920" s="25" t="str">
        <f>IF(J5920&lt;&gt;1,"",IF(I5920="SBJ","CB","?"))</f>
        <v> </v>
      </c>
      <c r="I5920" s="26" t="str">
        <f>IF(OR(E5920="",E5920="!!!",F5920="NEW"),"",INDEX(B5919:B$2,-1+SUMPRODUCT(MAX(ROW(E5919:E$2)*(E5920=E5919:E$2)))))</f>
        <v> </v>
      </c>
      <c r="J5920" s="26" t="str">
        <f>IF(OR(E5920="",E5920="!!!",F5920="NEW"),"",COUNTBLANK(OFFSET(A$1,,,SUMPRODUCT(MAX(ROW(E$2:E5920)*(E5920=E$2:E5920)))))-COUNTBLANK(OFFSET(A$1,,,SUMPRODUCT(MAX(ROW(E$1:E5919)*(E2=E$1:E5919))))))</f>
        <v> </v>
      </c>
      <c r="K5920" s="26" t="str">
        <f>IF(OR(E5920="",E5920="!!!",F5920="NEW"),"",INDEX(J$1:J5919,SUMPRODUCT(MAX(ROW(E$1:E5919)*(E5920=E$1:E5919)))))</f>
        <v> </v>
      </c>
      <c r="L5920" s="27"/>
    </row>
    <row r="5921" spans="1:12">
      <c r="A5921" s="20" t="s">
        <v>1495</v>
      </c>
      <c r="E5921" s="22">
        <f>IF(D5921="?OLD","!!!","")</f>
        <v/>
      </c>
      <c r="F5921" s="23" t="str">
        <f>IF(OR(E5921="",E5921="!!!"),"",IF(NOT(ISNA(VLOOKUP(E5921,E$1:E5920,1,FALSE()))),"OLD",IF(AND(E5921&lt;&gt;"",E5921&lt;&gt;"!!!"),"NEW","")))</f>
        <v> </v>
      </c>
      <c r="G5921" s="24" t="str">
        <f>IF(OR(E5921="",E5921="!!!"),"",IF(OR(J5921=0,AND(J5921=1,K5921=1),AND(J5921=1,I5921="SBJ"),AND(J5921=1,I5921=0)),"?IN_FOCUS",IF(J5921&lt;=2,"?ACTIVATED",IF(J5921&lt;&gt;"","?FAMILIAR",IF(F5921="NEW",IF(ISNA(VLOOKUP(E5921,#REF!,1,FALSE())),"?TYPE_IDENTIFIABLE","?REFERENTIAL"),"_")))))</f>
        <v> </v>
      </c>
      <c r="H5921" s="25" t="str">
        <f>IF(J5921&lt;&gt;1,"",IF(I5921="SBJ","CB","?"))</f>
        <v> </v>
      </c>
      <c r="I5921" s="26" t="str">
        <f>IF(OR(E5921="",E5921="!!!",F5921="NEW"),"",INDEX(B5920:B$2,-1+SUMPRODUCT(MAX(ROW(E5920:E$2)*(E5921=E5920:E$2)))))</f>
        <v> </v>
      </c>
      <c r="J5921" s="26" t="str">
        <f>IF(OR(E5921="",E5921="!!!",F5921="NEW"),"",COUNTBLANK(OFFSET(A$1,,,SUMPRODUCT(MAX(ROW(E$2:E5921)*(E5921=E$2:E5921)))))-COUNTBLANK(OFFSET(A$1,,,SUMPRODUCT(MAX(ROW(E$1:E5920)*(E2=E$1:E5920))))))</f>
        <v> </v>
      </c>
      <c r="K5921" s="26" t="str">
        <f>IF(OR(E5921="",E5921="!!!",F5921="NEW"),"",INDEX(J$1:J5920,SUMPRODUCT(MAX(ROW(E$1:E5920)*(E5921=E$1:E5920)))))</f>
        <v> </v>
      </c>
      <c r="L5921" s="27"/>
    </row>
    <row r="5922" spans="1:12">
      <c r="A5922" s="20" t="s">
        <v>2792</v>
      </c>
      <c r="B5922" s="21" t="s">
        <v>1194</v>
      </c>
      <c r="C5922" s="21" t="s">
        <v>1179</v>
      </c>
      <c r="D5922" s="21" t="s">
        <v>1180</v>
      </c>
      <c r="E5922" s="22">
        <f>IF(D5922="?OLD","!!!","")</f>
        <v/>
      </c>
      <c r="F5922" s="23" t="str">
        <f>IF(OR(E5922="",E5922="!!!"),"",IF(NOT(ISNA(VLOOKUP(E5922,E$1:E5921,1,FALSE()))),"OLD",IF(AND(E5922&lt;&gt;"",E5922&lt;&gt;"!!!"),"NEW","")))</f>
        <v> </v>
      </c>
      <c r="G5922" s="24" t="str">
        <f>IF(OR(E5922="",E5922="!!!"),"",IF(OR(J5922=0,AND(J5922=1,K5922=1),AND(J5922=1,I5922="SBJ"),AND(J5922=1,I5922=0)),"?IN_FOCUS",IF(J5922&lt;=2,"?ACTIVATED",IF(J5922&lt;&gt;"","?FAMILIAR",IF(F5922="NEW",IF(ISNA(VLOOKUP(E5922,#REF!,1,FALSE())),"?TYPE_IDENTIFIABLE","?REFERENTIAL"),"_")))))</f>
        <v> </v>
      </c>
      <c r="H5922" s="25" t="str">
        <f>IF(J5922&lt;&gt;1,"",IF(I5922="SBJ","CB","?"))</f>
        <v> </v>
      </c>
      <c r="I5922" s="26" t="str">
        <f>IF(OR(E5922="",E5922="!!!",F5922="NEW"),"",INDEX(B5921:B$2,-1+SUMPRODUCT(MAX(ROW(E5921:E$2)*(E5922=E5921:E$2)))))</f>
        <v> </v>
      </c>
      <c r="J5922" s="26" t="str">
        <f>IF(OR(E5922="",E5922="!!!",F5922="NEW"),"",COUNTBLANK(OFFSET(A$1,,,SUMPRODUCT(MAX(ROW(E$2:E5922)*(E5922=E$2:E5922)))))-COUNTBLANK(OFFSET(A$1,,,SUMPRODUCT(MAX(ROW(E$1:E5921)*(E2=E$1:E5921))))))</f>
        <v> </v>
      </c>
      <c r="K5922" s="26" t="str">
        <f>IF(OR(E5922="",E5922="!!!",F5922="NEW"),"",INDEX(J$1:J5921,SUMPRODUCT(MAX(ROW(E$1:E5921)*(E5922=E$1:E5921)))))</f>
        <v> </v>
      </c>
      <c r="L5922" s="27"/>
    </row>
    <row r="5923" spans="1:12">
      <c r="A5923" s="20" t="s">
        <v>57</v>
      </c>
      <c r="E5923" s="22">
        <f>IF(D5923="?OLD","!!!","")</f>
        <v/>
      </c>
      <c r="F5923" s="23" t="str">
        <f>IF(OR(E5923="",E5923="!!!"),"",IF(NOT(ISNA(VLOOKUP(E5923,E$1:E5922,1,FALSE()))),"OLD",IF(AND(E5923&lt;&gt;"",E5923&lt;&gt;"!!!"),"NEW","")))</f>
        <v> </v>
      </c>
      <c r="G5923" s="24" t="str">
        <f>IF(OR(E5923="",E5923="!!!"),"",IF(OR(J5923=0,AND(J5923=1,K5923=1),AND(J5923=1,I5923="SBJ"),AND(J5923=1,I5923=0)),"?IN_FOCUS",IF(J5923&lt;=2,"?ACTIVATED",IF(J5923&lt;&gt;"","?FAMILIAR",IF(F5923="NEW",IF(ISNA(VLOOKUP(E5923,#REF!,1,FALSE())),"?TYPE_IDENTIFIABLE","?REFERENTIAL"),"_")))))</f>
        <v> </v>
      </c>
      <c r="H5923" s="25" t="str">
        <f>IF(J5923&lt;&gt;1,"",IF(I5923="SBJ","CB","?"))</f>
        <v> </v>
      </c>
      <c r="I5923" s="26" t="str">
        <f>IF(OR(E5923="",E5923="!!!",F5923="NEW"),"",INDEX(B5922:B$2,-1+SUMPRODUCT(MAX(ROW(E5922:E$2)*(E5923=E5922:E$2)))))</f>
        <v> </v>
      </c>
      <c r="J5923" s="26" t="str">
        <f>IF(OR(E5923="",E5923="!!!",F5923="NEW"),"",COUNTBLANK(OFFSET(A$1,,,SUMPRODUCT(MAX(ROW(E$2:E5923)*(E5923=E$2:E5923)))))-COUNTBLANK(OFFSET(A$1,,,SUMPRODUCT(MAX(ROW(E$1:E5922)*(E2=E$1:E5922))))))</f>
        <v> </v>
      </c>
      <c r="K5923" s="26" t="str">
        <f>IF(OR(E5923="",E5923="!!!",F5923="NEW"),"",INDEX(J$1:J5922,SUMPRODUCT(MAX(ROW(E$1:E5922)*(E5923=E$1:E5922)))))</f>
        <v> </v>
      </c>
      <c r="L5923" s="27"/>
    </row>
    <row r="5924" spans="1:12">
      <c r="A5924" s="20" t="s">
        <v>1031</v>
      </c>
      <c r="E5924" s="22">
        <f>IF(D5924="?OLD","!!!","")</f>
        <v/>
      </c>
      <c r="F5924" s="23" t="str">
        <f>IF(OR(E5924="",E5924="!!!"),"",IF(NOT(ISNA(VLOOKUP(E5924,E$1:E5923,1,FALSE()))),"OLD",IF(AND(E5924&lt;&gt;"",E5924&lt;&gt;"!!!"),"NEW","")))</f>
        <v> </v>
      </c>
      <c r="G5924" s="24" t="str">
        <f>IF(OR(E5924="",E5924="!!!"),"",IF(OR(J5924=0,AND(J5924=1,K5924=1),AND(J5924=1,I5924="SBJ"),AND(J5924=1,I5924=0)),"?IN_FOCUS",IF(J5924&lt;=2,"?ACTIVATED",IF(J5924&lt;&gt;"","?FAMILIAR",IF(F5924="NEW",IF(ISNA(VLOOKUP(E5924,#REF!,1,FALSE())),"?TYPE_IDENTIFIABLE","?REFERENTIAL"),"_")))))</f>
        <v> </v>
      </c>
      <c r="H5924" s="25" t="str">
        <f>IF(J5924&lt;&gt;1,"",IF(I5924="SBJ","CB","?"))</f>
        <v> </v>
      </c>
      <c r="I5924" s="26" t="str">
        <f>IF(OR(E5924="",E5924="!!!",F5924="NEW"),"",INDEX(B5923:B$2,-1+SUMPRODUCT(MAX(ROW(E5923:E$2)*(E5924=E5923:E$2)))))</f>
        <v> </v>
      </c>
      <c r="J5924" s="26" t="str">
        <f>IF(OR(E5924="",E5924="!!!",F5924="NEW"),"",COUNTBLANK(OFFSET(A$1,,,SUMPRODUCT(MAX(ROW(E$2:E5924)*(E5924=E$2:E5924)))))-COUNTBLANK(OFFSET(A$1,,,SUMPRODUCT(MAX(ROW(E$1:E5923)*(E2=E$1:E5923))))))</f>
        <v> </v>
      </c>
      <c r="K5924" s="26" t="str">
        <f>IF(OR(E5924="",E5924="!!!",F5924="NEW"),"",INDEX(J$1:J5923,SUMPRODUCT(MAX(ROW(E$1:E5923)*(E5924=E$1:E5923)))))</f>
        <v> </v>
      </c>
      <c r="L5924" s="27"/>
    </row>
    <row r="5925" spans="1:12">
      <c r="A5925" s="20" t="s">
        <v>818</v>
      </c>
      <c r="E5925" s="22">
        <f>IF(D5925="?OLD","!!!","")</f>
        <v/>
      </c>
      <c r="F5925" s="23" t="str">
        <f>IF(OR(E5925="",E5925="!!!"),"",IF(NOT(ISNA(VLOOKUP(E5925,E$1:E5924,1,FALSE()))),"OLD",IF(AND(E5925&lt;&gt;"",E5925&lt;&gt;"!!!"),"NEW","")))</f>
        <v> </v>
      </c>
      <c r="G5925" s="24" t="str">
        <f>IF(OR(E5925="",E5925="!!!"),"",IF(OR(J5925=0,AND(J5925=1,K5925=1),AND(J5925=1,I5925="SBJ"),AND(J5925=1,I5925=0)),"?IN_FOCUS",IF(J5925&lt;=2,"?ACTIVATED",IF(J5925&lt;&gt;"","?FAMILIAR",IF(F5925="NEW",IF(ISNA(VLOOKUP(E5925,#REF!,1,FALSE())),"?TYPE_IDENTIFIABLE","?REFERENTIAL"),"_")))))</f>
        <v> </v>
      </c>
      <c r="H5925" s="25" t="str">
        <f>IF(J5925&lt;&gt;1,"",IF(I5925="SBJ","CB","?"))</f>
        <v> </v>
      </c>
      <c r="I5925" s="26" t="str">
        <f>IF(OR(E5925="",E5925="!!!",F5925="NEW"),"",INDEX(B5924:B$2,-1+SUMPRODUCT(MAX(ROW(E5924:E$2)*(E5925=E5924:E$2)))))</f>
        <v> </v>
      </c>
      <c r="J5925" s="26" t="str">
        <f>IF(OR(E5925="",E5925="!!!",F5925="NEW"),"",COUNTBLANK(OFFSET(A$1,,,SUMPRODUCT(MAX(ROW(E$2:E5925)*(E5925=E$2:E5925)))))-COUNTBLANK(OFFSET(A$1,,,SUMPRODUCT(MAX(ROW(E$1:E5924)*(E2=E$1:E5924))))))</f>
        <v> </v>
      </c>
      <c r="K5925" s="26" t="str">
        <f>IF(OR(E5925="",E5925="!!!",F5925="NEW"),"",INDEX(J$1:J5924,SUMPRODUCT(MAX(ROW(E$1:E5924)*(E5925=E$1:E5924)))))</f>
        <v> </v>
      </c>
      <c r="L5925" s="27"/>
    </row>
    <row r="5926" spans="1:12">
      <c r="A5926" s="20"/>
    </row>
    <row r="5927" spans="1:12">
      <c r="A5927" s="20" t="s">
        <v>2793</v>
      </c>
    </row>
    <row r="5928" spans="1:12">
      <c r="A5928" s="20" t="s">
        <v>1287</v>
      </c>
      <c r="B5928" s="21" t="s">
        <v>1178</v>
      </c>
      <c r="C5928" s="21" t="s">
        <v>1195</v>
      </c>
      <c r="D5928" s="21" t="s">
        <v>1180</v>
      </c>
      <c r="E5928" s="22">
        <f>IF(D5928="?OLD","!!!","")</f>
        <v/>
      </c>
      <c r="F5928" s="23" t="str">
        <f>IF(OR(E5928="",E5928="!!!"),"",IF(NOT(ISNA(VLOOKUP(E5928,E$1:E5927,1,FALSE()))),"OLD",IF(AND(E5928&lt;&gt;"",E5928&lt;&gt;"!!!"),"NEW","")))</f>
        <v> </v>
      </c>
      <c r="G5928" s="24" t="str">
        <f>IF(OR(E5928="",E5928="!!!"),"",IF(OR(J5928=0,AND(J5928=1,K5928=1),AND(J5928=1,I5928="SBJ"),AND(J5928=1,I5928=0)),"?IN_FOCUS",IF(J5928&lt;=2,"?ACTIVATED",IF(J5928&lt;&gt;"","?FAMILIAR",IF(F5928="NEW",IF(ISNA(VLOOKUP(E5928,#REF!,1,FALSE())),"?TYPE_IDENTIFIABLE","?REFERENTIAL"),"_")))))</f>
        <v> </v>
      </c>
      <c r="H5928" s="25" t="str">
        <f>IF(J5928&lt;&gt;1,"",IF(I5928="SBJ","CB","?"))</f>
        <v> </v>
      </c>
      <c r="I5928" s="26" t="str">
        <f>IF(OR(E5928="",E5928="!!!",F5928="NEW"),"",INDEX(B5927:B$2,-1+SUMPRODUCT(MAX(ROW(E5927:E$2)*(E5928=E5927:E$2)))))</f>
        <v> </v>
      </c>
      <c r="J5928" s="26" t="str">
        <f>IF(OR(E5928="",E5928="!!!",F5928="NEW"),"",COUNTBLANK(OFFSET(A$1,,,SUMPRODUCT(MAX(ROW(E$2:E5928)*(E5928=E$2:E5928)))))-COUNTBLANK(OFFSET(A$1,,,SUMPRODUCT(MAX(ROW(E$1:E5927)*(E2=E$1:E5927))))))</f>
        <v> </v>
      </c>
      <c r="K5928" s="26" t="str">
        <f>IF(OR(E5928="",E5928="!!!",F5928="NEW"),"",INDEX(J$1:J5927,SUMPRODUCT(MAX(ROW(E$1:E5927)*(E5928=E$1:E5927)))))</f>
        <v> </v>
      </c>
      <c r="L5928" s="27"/>
    </row>
    <row r="5929" spans="1:12">
      <c r="A5929" s="20" t="s">
        <v>1182</v>
      </c>
      <c r="E5929" s="22">
        <f>IF(D5929="?OLD","!!!","")</f>
        <v/>
      </c>
      <c r="F5929" s="23" t="str">
        <f>IF(OR(E5929="",E5929="!!!"),"",IF(NOT(ISNA(VLOOKUP(E5929,E$1:E5928,1,FALSE()))),"OLD",IF(AND(E5929&lt;&gt;"",E5929&lt;&gt;"!!!"),"NEW","")))</f>
        <v> </v>
      </c>
      <c r="G5929" s="24" t="str">
        <f>IF(OR(E5929="",E5929="!!!"),"",IF(OR(J5929=0,AND(J5929=1,K5929=1),AND(J5929=1,I5929="SBJ"),AND(J5929=1,I5929=0)),"?IN_FOCUS",IF(J5929&lt;=2,"?ACTIVATED",IF(J5929&lt;&gt;"","?FAMILIAR",IF(F5929="NEW",IF(ISNA(VLOOKUP(E5929,#REF!,1,FALSE())),"?TYPE_IDENTIFIABLE","?REFERENTIAL"),"_")))))</f>
        <v> </v>
      </c>
      <c r="H5929" s="25" t="str">
        <f>IF(J5929&lt;&gt;1,"",IF(I5929="SBJ","CB","?"))</f>
        <v> </v>
      </c>
      <c r="I5929" s="26" t="str">
        <f>IF(OR(E5929="",E5929="!!!",F5929="NEW"),"",INDEX(B5928:B$2,-1+SUMPRODUCT(MAX(ROW(E5928:E$2)*(E5929=E5928:E$2)))))</f>
        <v> </v>
      </c>
      <c r="J5929" s="26" t="str">
        <f>IF(OR(E5929="",E5929="!!!",F5929="NEW"),"",COUNTBLANK(OFFSET(A$1,,,SUMPRODUCT(MAX(ROW(E$2:E5929)*(E5929=E$2:E5929)))))-COUNTBLANK(OFFSET(A$1,,,SUMPRODUCT(MAX(ROW(E$1:E5928)*(E2=E$1:E5928))))))</f>
        <v> </v>
      </c>
      <c r="K5929" s="26" t="str">
        <f>IF(OR(E5929="",E5929="!!!",F5929="NEW"),"",INDEX(J$1:J5928,SUMPRODUCT(MAX(ROW(E$1:E5928)*(E5929=E$1:E5928)))))</f>
        <v> </v>
      </c>
      <c r="L5929" s="27"/>
    </row>
    <row r="5930" spans="1:12">
      <c r="A5930" s="20" t="s">
        <v>2794</v>
      </c>
      <c r="B5930" s="21" t="s">
        <v>1178</v>
      </c>
      <c r="C5930" s="21" t="s">
        <v>1179</v>
      </c>
      <c r="D5930" s="21" t="s">
        <v>1180</v>
      </c>
      <c r="E5930" s="22">
        <f>IF(D5930="?OLD","!!!","")</f>
        <v/>
      </c>
      <c r="F5930" s="23" t="str">
        <f>IF(OR(E5930="",E5930="!!!"),"",IF(NOT(ISNA(VLOOKUP(E5930,E$1:E5929,1,FALSE()))),"OLD",IF(AND(E5930&lt;&gt;"",E5930&lt;&gt;"!!!"),"NEW","")))</f>
        <v> </v>
      </c>
      <c r="G5930" s="24" t="str">
        <f>IF(OR(E5930="",E5930="!!!"),"",IF(OR(J5930=0,AND(J5930=1,K5930=1),AND(J5930=1,I5930="SBJ"),AND(J5930=1,I5930=0)),"?IN_FOCUS",IF(J5930&lt;=2,"?ACTIVATED",IF(J5930&lt;&gt;"","?FAMILIAR",IF(F5930="NEW",IF(ISNA(VLOOKUP(E5930,#REF!,1,FALSE())),"?TYPE_IDENTIFIABLE","?REFERENTIAL"),"_")))))</f>
        <v> </v>
      </c>
      <c r="H5930" s="25" t="str">
        <f>IF(J5930&lt;&gt;1,"",IF(I5930="SBJ","CB","?"))</f>
        <v> </v>
      </c>
      <c r="I5930" s="26" t="str">
        <f>IF(OR(E5930="",E5930="!!!",F5930="NEW"),"",INDEX(B5929:B$2,-1+SUMPRODUCT(MAX(ROW(E5929:E$2)*(E5930=E5929:E$2)))))</f>
        <v> </v>
      </c>
      <c r="J5930" s="26" t="str">
        <f>IF(OR(E5930="",E5930="!!!",F5930="NEW"),"",COUNTBLANK(OFFSET(A$1,,,SUMPRODUCT(MAX(ROW(E$2:E5930)*(E5930=E$2:E5930)))))-COUNTBLANK(OFFSET(A$1,,,SUMPRODUCT(MAX(ROW(E$1:E5929)*(E2=E$1:E5929))))))</f>
        <v> </v>
      </c>
      <c r="K5930" s="26" t="str">
        <f>IF(OR(E5930="",E5930="!!!",F5930="NEW"),"",INDEX(J$1:J5929,SUMPRODUCT(MAX(ROW(E$1:E5929)*(E5930=E$1:E5929)))))</f>
        <v> </v>
      </c>
      <c r="L5930" s="27"/>
    </row>
    <row r="5931" spans="1:12">
      <c r="A5931" s="20" t="s">
        <v>818</v>
      </c>
      <c r="E5931" s="22">
        <f>IF(D5931="?OLD","!!!","")</f>
        <v/>
      </c>
      <c r="F5931" s="23" t="str">
        <f>IF(OR(E5931="",E5931="!!!"),"",IF(NOT(ISNA(VLOOKUP(E5931,E$1:E5930,1,FALSE()))),"OLD",IF(AND(E5931&lt;&gt;"",E5931&lt;&gt;"!!!"),"NEW","")))</f>
        <v> </v>
      </c>
      <c r="G5931" s="24" t="str">
        <f>IF(OR(E5931="",E5931="!!!"),"",IF(OR(J5931=0,AND(J5931=1,K5931=1),AND(J5931=1,I5931="SBJ"),AND(J5931=1,I5931=0)),"?IN_FOCUS",IF(J5931&lt;=2,"?ACTIVATED",IF(J5931&lt;&gt;"","?FAMILIAR",IF(F5931="NEW",IF(ISNA(VLOOKUP(E5931,#REF!,1,FALSE())),"?TYPE_IDENTIFIABLE","?REFERENTIAL"),"_")))))</f>
        <v> </v>
      </c>
      <c r="H5931" s="25" t="str">
        <f>IF(J5931&lt;&gt;1,"",IF(I5931="SBJ","CB","?"))</f>
        <v> </v>
      </c>
      <c r="I5931" s="26" t="str">
        <f>IF(OR(E5931="",E5931="!!!",F5931="NEW"),"",INDEX(B5930:B$2,-1+SUMPRODUCT(MAX(ROW(E5930:E$2)*(E5931=E5930:E$2)))))</f>
        <v> </v>
      </c>
      <c r="J5931" s="26" t="str">
        <f>IF(OR(E5931="",E5931="!!!",F5931="NEW"),"",COUNTBLANK(OFFSET(A$1,,,SUMPRODUCT(MAX(ROW(E$2:E5931)*(E5931=E$2:E5931)))))-COUNTBLANK(OFFSET(A$1,,,SUMPRODUCT(MAX(ROW(E$1:E5930)*(E2=E$1:E5930))))))</f>
        <v> </v>
      </c>
      <c r="K5931" s="26" t="str">
        <f>IF(OR(E5931="",E5931="!!!",F5931="NEW"),"",INDEX(J$1:J5930,SUMPRODUCT(MAX(ROW(E$1:E5930)*(E5931=E$1:E5930)))))</f>
        <v> </v>
      </c>
      <c r="L5931" s="27"/>
    </row>
    <row r="5932" spans="1:12">
      <c r="A5932" s="20"/>
    </row>
    <row r="5933" spans="1:12">
      <c r="A5933" s="20" t="s">
        <v>2795</v>
      </c>
    </row>
    <row r="5934" spans="1:12">
      <c r="A5934" s="20" t="s">
        <v>1270</v>
      </c>
      <c r="B5934" s="21" t="s">
        <v>1194</v>
      </c>
      <c r="C5934" s="21" t="s">
        <v>1254</v>
      </c>
      <c r="E5934" s="22">
        <f>IF(D5934="?OLD","!!!","")</f>
        <v/>
      </c>
      <c r="F5934" s="23" t="str">
        <f>IF(OR(E5934="",E5934="!!!"),"",IF(NOT(ISNA(VLOOKUP(E5934,E$1:E5933,1,FALSE()))),"OLD",IF(AND(E5934&lt;&gt;"",E5934&lt;&gt;"!!!"),"NEW","")))</f>
        <v> </v>
      </c>
      <c r="G5934" s="24" t="str">
        <f>IF(OR(E5934="",E5934="!!!"),"",IF(OR(J5934=0,AND(J5934=1,K5934=1),AND(J5934=1,I5934="SBJ"),AND(J5934=1,I5934=0)),"?IN_FOCUS",IF(J5934&lt;=2,"?ACTIVATED",IF(J5934&lt;&gt;"","?FAMILIAR",IF(F5934="NEW",IF(ISNA(VLOOKUP(E5934,#REF!,1,FALSE())),"?TYPE_IDENTIFIABLE","?REFERENTIAL"),"_")))))</f>
        <v> </v>
      </c>
      <c r="H5934" s="25" t="str">
        <f>IF(J5934&lt;&gt;1,"",IF(I5934="SBJ","CB","?"))</f>
        <v> </v>
      </c>
      <c r="I5934" s="26" t="str">
        <f>IF(OR(E5934="",E5934="!!!",F5934="NEW"),"",INDEX(B5933:B$2,-1+SUMPRODUCT(MAX(ROW(E5933:E$2)*(E5934=E5933:E$2)))))</f>
        <v> </v>
      </c>
      <c r="J5934" s="26" t="str">
        <f>IF(OR(E5934="",E5934="!!!",F5934="NEW"),"",COUNTBLANK(OFFSET(A$1,,,SUMPRODUCT(MAX(ROW(E$2:E5934)*(E5934=E$2:E5934)))))-COUNTBLANK(OFFSET(A$1,,,SUMPRODUCT(MAX(ROW(E$1:E5933)*(E2=E$1:E5933))))))</f>
        <v> </v>
      </c>
      <c r="K5934" s="26" t="str">
        <f>IF(OR(E5934="",E5934="!!!",F5934="NEW"),"",INDEX(J$1:J5933,SUMPRODUCT(MAX(ROW(E$1:E5933)*(E5934=E$1:E5933)))))</f>
        <v> </v>
      </c>
      <c r="L5934" s="27"/>
    </row>
    <row r="5935" spans="1:12">
      <c r="A5935" s="20" t="s">
        <v>1252</v>
      </c>
      <c r="E5935" s="22">
        <f>IF(D5935="?OLD","!!!","")</f>
        <v/>
      </c>
      <c r="F5935" s="23" t="str">
        <f>IF(OR(E5935="",E5935="!!!"),"",IF(NOT(ISNA(VLOOKUP(E5935,E$1:E5934,1,FALSE()))),"OLD",IF(AND(E5935&lt;&gt;"",E5935&lt;&gt;"!!!"),"NEW","")))</f>
        <v> </v>
      </c>
      <c r="G5935" s="24" t="str">
        <f>IF(OR(E5935="",E5935="!!!"),"",IF(OR(J5935=0,AND(J5935=1,K5935=1),AND(J5935=1,I5935="SBJ"),AND(J5935=1,I5935=0)),"?IN_FOCUS",IF(J5935&lt;=2,"?ACTIVATED",IF(J5935&lt;&gt;"","?FAMILIAR",IF(F5935="NEW",IF(ISNA(VLOOKUP(E5935,#REF!,1,FALSE())),"?TYPE_IDENTIFIABLE","?REFERENTIAL"),"_")))))</f>
        <v> </v>
      </c>
      <c r="H5935" s="25" t="str">
        <f>IF(J5935&lt;&gt;1,"",IF(I5935="SBJ","CB","?"))</f>
        <v> </v>
      </c>
      <c r="I5935" s="26" t="str">
        <f>IF(OR(E5935="",E5935="!!!",F5935="NEW"),"",INDEX(B5934:B$2,-1+SUMPRODUCT(MAX(ROW(E5934:E$2)*(E5935=E5934:E$2)))))</f>
        <v> </v>
      </c>
      <c r="J5935" s="26" t="str">
        <f>IF(OR(E5935="",E5935="!!!",F5935="NEW"),"",COUNTBLANK(OFFSET(A$1,,,SUMPRODUCT(MAX(ROW(E$2:E5935)*(E5935=E$2:E5935)))))-COUNTBLANK(OFFSET(A$1,,,SUMPRODUCT(MAX(ROW(E$1:E5934)*(E2=E$1:E5934))))))</f>
        <v> </v>
      </c>
      <c r="K5935" s="26" t="str">
        <f>IF(OR(E5935="",E5935="!!!",F5935="NEW"),"",INDEX(J$1:J5934,SUMPRODUCT(MAX(ROW(E$1:E5934)*(E5935=E$1:E5934)))))</f>
        <v> </v>
      </c>
      <c r="L5935" s="27"/>
    </row>
    <row r="5936" spans="1:12">
      <c r="A5936" s="20" t="s">
        <v>1038</v>
      </c>
      <c r="E5936" s="22">
        <f>IF(D5936="?OLD","!!!","")</f>
        <v/>
      </c>
      <c r="F5936" s="23" t="str">
        <f>IF(OR(E5936="",E5936="!!!"),"",IF(NOT(ISNA(VLOOKUP(E5936,E$1:E5935,1,FALSE()))),"OLD",IF(AND(E5936&lt;&gt;"",E5936&lt;&gt;"!!!"),"NEW","")))</f>
        <v> </v>
      </c>
      <c r="G5936" s="24" t="str">
        <f>IF(OR(E5936="",E5936="!!!"),"",IF(OR(J5936=0,AND(J5936=1,K5936=1),AND(J5936=1,I5936="SBJ"),AND(J5936=1,I5936=0)),"?IN_FOCUS",IF(J5936&lt;=2,"?ACTIVATED",IF(J5936&lt;&gt;"","?FAMILIAR",IF(F5936="NEW",IF(ISNA(VLOOKUP(E5936,#REF!,1,FALSE())),"?TYPE_IDENTIFIABLE","?REFERENTIAL"),"_")))))</f>
        <v> </v>
      </c>
      <c r="H5936" s="25" t="str">
        <f>IF(J5936&lt;&gt;1,"",IF(I5936="SBJ","CB","?"))</f>
        <v> </v>
      </c>
      <c r="I5936" s="26" t="str">
        <f>IF(OR(E5936="",E5936="!!!",F5936="NEW"),"",INDEX(B5935:B$2,-1+SUMPRODUCT(MAX(ROW(E5935:E$2)*(E5936=E5935:E$2)))))</f>
        <v> </v>
      </c>
      <c r="J5936" s="26" t="str">
        <f>IF(OR(E5936="",E5936="!!!",F5936="NEW"),"",COUNTBLANK(OFFSET(A$1,,,SUMPRODUCT(MAX(ROW(E$2:E5936)*(E5936=E$2:E5936)))))-COUNTBLANK(OFFSET(A$1,,,SUMPRODUCT(MAX(ROW(E$1:E5935)*(E2=E$1:E5935))))))</f>
        <v> </v>
      </c>
      <c r="K5936" s="26" t="str">
        <f>IF(OR(E5936="",E5936="!!!",F5936="NEW"),"",INDEX(J$1:J5935,SUMPRODUCT(MAX(ROW(E$1:E5935)*(E5936=E$1:E5935)))))</f>
        <v> </v>
      </c>
      <c r="L5936" s="27"/>
    </row>
    <row r="5937" spans="1:12">
      <c r="A5937" s="20" t="s">
        <v>1185</v>
      </c>
      <c r="E5937" s="22">
        <f>IF(D5937="?OLD","!!!","")</f>
        <v/>
      </c>
      <c r="F5937" s="23" t="str">
        <f>IF(OR(E5937="",E5937="!!!"),"",IF(NOT(ISNA(VLOOKUP(E5937,E$1:E5936,1,FALSE()))),"OLD",IF(AND(E5937&lt;&gt;"",E5937&lt;&gt;"!!!"),"NEW","")))</f>
        <v> </v>
      </c>
      <c r="G5937" s="24" t="str">
        <f>IF(OR(E5937="",E5937="!!!"),"",IF(OR(J5937=0,AND(J5937=1,K5937=1),AND(J5937=1,I5937="SBJ"),AND(J5937=1,I5937=0)),"?IN_FOCUS",IF(J5937&lt;=2,"?ACTIVATED",IF(J5937&lt;&gt;"","?FAMILIAR",IF(F5937="NEW",IF(ISNA(VLOOKUP(E5937,#REF!,1,FALSE())),"?TYPE_IDENTIFIABLE","?REFERENTIAL"),"_")))))</f>
        <v> </v>
      </c>
      <c r="H5937" s="25" t="str">
        <f>IF(J5937&lt;&gt;1,"",IF(I5937="SBJ","CB","?"))</f>
        <v> </v>
      </c>
      <c r="I5937" s="26" t="str">
        <f>IF(OR(E5937="",E5937="!!!",F5937="NEW"),"",INDEX(B5936:B$2,-1+SUMPRODUCT(MAX(ROW(E5936:E$2)*(E5937=E5936:E$2)))))</f>
        <v> </v>
      </c>
      <c r="J5937" s="26" t="str">
        <f>IF(OR(E5937="",E5937="!!!",F5937="NEW"),"",COUNTBLANK(OFFSET(A$1,,,SUMPRODUCT(MAX(ROW(E$2:E5937)*(E5937=E$2:E5937)))))-COUNTBLANK(OFFSET(A$1,,,SUMPRODUCT(MAX(ROW(E$1:E5936)*(E2=E$1:E5936))))))</f>
        <v> </v>
      </c>
      <c r="K5937" s="26" t="str">
        <f>IF(OR(E5937="",E5937="!!!",F5937="NEW"),"",INDEX(J$1:J5936,SUMPRODUCT(MAX(ROW(E$1:E5936)*(E5937=E$1:E5936)))))</f>
        <v> </v>
      </c>
      <c r="L5937" s="27"/>
    </row>
    <row r="5938" spans="1:12">
      <c r="A5938" s="20" t="s">
        <v>1359</v>
      </c>
      <c r="E5938" s="22">
        <f>IF(D5938="?OLD","!!!","")</f>
        <v/>
      </c>
      <c r="F5938" s="23" t="str">
        <f>IF(OR(E5938="",E5938="!!!"),"",IF(NOT(ISNA(VLOOKUP(E5938,E$1:E5937,1,FALSE()))),"OLD",IF(AND(E5938&lt;&gt;"",E5938&lt;&gt;"!!!"),"NEW","")))</f>
        <v> </v>
      </c>
      <c r="G5938" s="24" t="str">
        <f>IF(OR(E5938="",E5938="!!!"),"",IF(OR(J5938=0,AND(J5938=1,K5938=1),AND(J5938=1,I5938="SBJ"),AND(J5938=1,I5938=0)),"?IN_FOCUS",IF(J5938&lt;=2,"?ACTIVATED",IF(J5938&lt;&gt;"","?FAMILIAR",IF(F5938="NEW",IF(ISNA(VLOOKUP(E5938,#REF!,1,FALSE())),"?TYPE_IDENTIFIABLE","?REFERENTIAL"),"_")))))</f>
        <v> </v>
      </c>
      <c r="H5938" s="25" t="str">
        <f>IF(J5938&lt;&gt;1,"",IF(I5938="SBJ","CB","?"))</f>
        <v> </v>
      </c>
      <c r="I5938" s="26" t="str">
        <f>IF(OR(E5938="",E5938="!!!",F5938="NEW"),"",INDEX(B5937:B$2,-1+SUMPRODUCT(MAX(ROW(E5937:E$2)*(E5938=E5937:E$2)))))</f>
        <v> </v>
      </c>
      <c r="J5938" s="26" t="str">
        <f>IF(OR(E5938="",E5938="!!!",F5938="NEW"),"",COUNTBLANK(OFFSET(A$1,,,SUMPRODUCT(MAX(ROW(E$2:E5938)*(E5938=E$2:E5938)))))-COUNTBLANK(OFFSET(A$1,,,SUMPRODUCT(MAX(ROW(E$1:E5937)*(E2=E$1:E5937))))))</f>
        <v> </v>
      </c>
      <c r="K5938" s="26" t="str">
        <f>IF(OR(E5938="",E5938="!!!",F5938="NEW"),"",INDEX(J$1:J5937,SUMPRODUCT(MAX(ROW(E$1:E5937)*(E5938=E$1:E5937)))))</f>
        <v> </v>
      </c>
      <c r="L5938" s="27"/>
    </row>
    <row r="5939" spans="1:12">
      <c r="A5939" s="20" t="s">
        <v>1186</v>
      </c>
      <c r="E5939" s="22">
        <f>IF(D5939="?OLD","!!!","")</f>
        <v/>
      </c>
      <c r="F5939" s="23" t="str">
        <f>IF(OR(E5939="",E5939="!!!"),"",IF(NOT(ISNA(VLOOKUP(E5939,E$1:E5938,1,FALSE()))),"OLD",IF(AND(E5939&lt;&gt;"",E5939&lt;&gt;"!!!"),"NEW","")))</f>
        <v> </v>
      </c>
      <c r="G5939" s="24" t="str">
        <f>IF(OR(E5939="",E5939="!!!"),"",IF(OR(J5939=0,AND(J5939=1,K5939=1),AND(J5939=1,I5939="SBJ"),AND(J5939=1,I5939=0)),"?IN_FOCUS",IF(J5939&lt;=2,"?ACTIVATED",IF(J5939&lt;&gt;"","?FAMILIAR",IF(F5939="NEW",IF(ISNA(VLOOKUP(E5939,#REF!,1,FALSE())),"?TYPE_IDENTIFIABLE","?REFERENTIAL"),"_")))))</f>
        <v> </v>
      </c>
      <c r="H5939" s="25" t="str">
        <f>IF(J5939&lt;&gt;1,"",IF(I5939="SBJ","CB","?"))</f>
        <v> </v>
      </c>
      <c r="I5939" s="26" t="str">
        <f>IF(OR(E5939="",E5939="!!!",F5939="NEW"),"",INDEX(B5938:B$2,-1+SUMPRODUCT(MAX(ROW(E5938:E$2)*(E5939=E5938:E$2)))))</f>
        <v> </v>
      </c>
      <c r="J5939" s="26" t="str">
        <f>IF(OR(E5939="",E5939="!!!",F5939="NEW"),"",COUNTBLANK(OFFSET(A$1,,,SUMPRODUCT(MAX(ROW(E$2:E5939)*(E5939=E$2:E5939)))))-COUNTBLANK(OFFSET(A$1,,,SUMPRODUCT(MAX(ROW(E$1:E5938)*(E2=E$1:E5938))))))</f>
        <v> </v>
      </c>
      <c r="K5939" s="26" t="str">
        <f>IF(OR(E5939="",E5939="!!!",F5939="NEW"),"",INDEX(J$1:J5938,SUMPRODUCT(MAX(ROW(E$1:E5938)*(E5939=E$1:E5938)))))</f>
        <v> </v>
      </c>
      <c r="L5939" s="27"/>
    </row>
    <row r="5940" spans="1:12">
      <c r="A5940" s="20" t="s">
        <v>2796</v>
      </c>
      <c r="B5940" s="21" t="s">
        <v>1240</v>
      </c>
      <c r="C5940" s="21" t="s">
        <v>1394</v>
      </c>
      <c r="D5940" s="21" t="s">
        <v>1180</v>
      </c>
      <c r="E5940" s="22">
        <f>IF(D5940="?OLD","!!!","")</f>
        <v/>
      </c>
      <c r="F5940" s="23" t="str">
        <f>IF(OR(E5940="",E5940="!!!"),"",IF(NOT(ISNA(VLOOKUP(E5940,E$1:E5939,1,FALSE()))),"OLD",IF(AND(E5940&lt;&gt;"",E5940&lt;&gt;"!!!"),"NEW","")))</f>
        <v> </v>
      </c>
      <c r="G5940" s="24" t="str">
        <f>IF(OR(E5940="",E5940="!!!"),"",IF(OR(J5940=0,AND(J5940=1,K5940=1),AND(J5940=1,I5940="SBJ"),AND(J5940=1,I5940=0)),"?IN_FOCUS",IF(J5940&lt;=2,"?ACTIVATED",IF(J5940&lt;&gt;"","?FAMILIAR",IF(F5940="NEW",IF(ISNA(VLOOKUP(E5940,#REF!,1,FALSE())),"?TYPE_IDENTIFIABLE","?REFERENTIAL"),"_")))))</f>
        <v> </v>
      </c>
      <c r="H5940" s="25" t="str">
        <f>IF(J5940&lt;&gt;1,"",IF(I5940="SBJ","CB","?"))</f>
        <v> </v>
      </c>
      <c r="I5940" s="26" t="str">
        <f>IF(OR(E5940="",E5940="!!!",F5940="NEW"),"",INDEX(B5939:B$2,-1+SUMPRODUCT(MAX(ROW(E5939:E$2)*(E5940=E5939:E$2)))))</f>
        <v> </v>
      </c>
      <c r="J5940" s="26" t="str">
        <f>IF(OR(E5940="",E5940="!!!",F5940="NEW"),"",COUNTBLANK(OFFSET(A$1,,,SUMPRODUCT(MAX(ROW(E$2:E5940)*(E5940=E$2:E5940)))))-COUNTBLANK(OFFSET(A$1,,,SUMPRODUCT(MAX(ROW(E$1:E5939)*(E2=E$1:E5939))))))</f>
        <v> </v>
      </c>
      <c r="K5940" s="26" t="str">
        <f>IF(OR(E5940="",E5940="!!!",F5940="NEW"),"",INDEX(J$1:J5939,SUMPRODUCT(MAX(ROW(E$1:E5939)*(E5940=E$1:E5939)))))</f>
        <v> </v>
      </c>
      <c r="L5940" s="27"/>
    </row>
    <row r="5941" spans="1:12">
      <c r="A5941" s="20" t="s">
        <v>1189</v>
      </c>
      <c r="E5941" s="22">
        <f>IF(D5941="?OLD","!!!","")</f>
        <v/>
      </c>
      <c r="F5941" s="23" t="str">
        <f>IF(OR(E5941="",E5941="!!!"),"",IF(NOT(ISNA(VLOOKUP(E5941,E$1:E5940,1,FALSE()))),"OLD",IF(AND(E5941&lt;&gt;"",E5941&lt;&gt;"!!!"),"NEW","")))</f>
        <v> </v>
      </c>
      <c r="G5941" s="24" t="str">
        <f>IF(OR(E5941="",E5941="!!!"),"",IF(OR(J5941=0,AND(J5941=1,K5941=1),AND(J5941=1,I5941="SBJ"),AND(J5941=1,I5941=0)),"?IN_FOCUS",IF(J5941&lt;=2,"?ACTIVATED",IF(J5941&lt;&gt;"","?FAMILIAR",IF(F5941="NEW",IF(ISNA(VLOOKUP(E5941,#REF!,1,FALSE())),"?TYPE_IDENTIFIABLE","?REFERENTIAL"),"_")))))</f>
        <v> </v>
      </c>
      <c r="H5941" s="25" t="str">
        <f>IF(J5941&lt;&gt;1,"",IF(I5941="SBJ","CB","?"))</f>
        <v> </v>
      </c>
      <c r="I5941" s="26" t="str">
        <f>IF(OR(E5941="",E5941="!!!",F5941="NEW"),"",INDEX(B5940:B$2,-1+SUMPRODUCT(MAX(ROW(E5940:E$2)*(E5941=E5940:E$2)))))</f>
        <v> </v>
      </c>
      <c r="J5941" s="26" t="str">
        <f>IF(OR(E5941="",E5941="!!!",F5941="NEW"),"",COUNTBLANK(OFFSET(A$1,,,SUMPRODUCT(MAX(ROW(E$2:E5941)*(E5941=E$2:E5941)))))-COUNTBLANK(OFFSET(A$1,,,SUMPRODUCT(MAX(ROW(E$1:E5940)*(E2=E$1:E5940))))))</f>
        <v> </v>
      </c>
      <c r="K5941" s="26" t="str">
        <f>IF(OR(E5941="",E5941="!!!",F5941="NEW"),"",INDEX(J$1:J5940,SUMPRODUCT(MAX(ROW(E$1:E5940)*(E5941=E$1:E5940)))))</f>
        <v> </v>
      </c>
      <c r="L5941" s="27"/>
    </row>
    <row r="5942" spans="1:12">
      <c r="A5942" s="20" t="s">
        <v>2780</v>
      </c>
      <c r="E5942" s="22">
        <f>IF(D5942="?OLD","!!!","")</f>
        <v/>
      </c>
      <c r="F5942" s="23" t="str">
        <f>IF(OR(E5942="",E5942="!!!"),"",IF(NOT(ISNA(VLOOKUP(E5942,E$1:E5941,1,FALSE()))),"OLD",IF(AND(E5942&lt;&gt;"",E5942&lt;&gt;"!!!"),"NEW","")))</f>
        <v> </v>
      </c>
      <c r="G5942" s="24" t="str">
        <f>IF(OR(E5942="",E5942="!!!"),"",IF(OR(J5942=0,AND(J5942=1,K5942=1),AND(J5942=1,I5942="SBJ"),AND(J5942=1,I5942=0)),"?IN_FOCUS",IF(J5942&lt;=2,"?ACTIVATED",IF(J5942&lt;&gt;"","?FAMILIAR",IF(F5942="NEW",IF(ISNA(VLOOKUP(E5942,#REF!,1,FALSE())),"?TYPE_IDENTIFIABLE","?REFERENTIAL"),"_")))))</f>
        <v> </v>
      </c>
      <c r="H5942" s="25" t="str">
        <f>IF(J5942&lt;&gt;1,"",IF(I5942="SBJ","CB","?"))</f>
        <v> </v>
      </c>
      <c r="I5942" s="26" t="str">
        <f>IF(OR(E5942="",E5942="!!!",F5942="NEW"),"",INDEX(B5941:B$2,-1+SUMPRODUCT(MAX(ROW(E5941:E$2)*(E5942=E5941:E$2)))))</f>
        <v> </v>
      </c>
      <c r="J5942" s="26" t="str">
        <f>IF(OR(E5942="",E5942="!!!",F5942="NEW"),"",COUNTBLANK(OFFSET(A$1,,,SUMPRODUCT(MAX(ROW(E$2:E5942)*(E5942=E$2:E5942)))))-COUNTBLANK(OFFSET(A$1,,,SUMPRODUCT(MAX(ROW(E$1:E5941)*(E2=E$1:E5941))))))</f>
        <v> </v>
      </c>
      <c r="K5942" s="26" t="str">
        <f>IF(OR(E5942="",E5942="!!!",F5942="NEW"),"",INDEX(J$1:J5941,SUMPRODUCT(MAX(ROW(E$1:E5941)*(E5942=E$1:E5941)))))</f>
        <v> </v>
      </c>
      <c r="L5942" s="27"/>
    </row>
    <row r="5943" spans="1:12">
      <c r="A5943" s="20" t="s">
        <v>2797</v>
      </c>
      <c r="B5943" s="21" t="s">
        <v>1207</v>
      </c>
      <c r="C5943" s="21" t="s">
        <v>1179</v>
      </c>
      <c r="D5943" s="21" t="s">
        <v>1180</v>
      </c>
      <c r="E5943" s="22">
        <f>IF(D5943="?OLD","!!!","")</f>
        <v/>
      </c>
      <c r="F5943" s="23" t="str">
        <f>IF(OR(E5943="",E5943="!!!"),"",IF(NOT(ISNA(VLOOKUP(E5943,E$1:E5942,1,FALSE()))),"OLD",IF(AND(E5943&lt;&gt;"",E5943&lt;&gt;"!!!"),"NEW","")))</f>
        <v> </v>
      </c>
      <c r="G5943" s="24" t="str">
        <f>IF(OR(E5943="",E5943="!!!"),"",IF(OR(J5943=0,AND(J5943=1,K5943=1),AND(J5943=1,I5943="SBJ"),AND(J5943=1,I5943=0)),"?IN_FOCUS",IF(J5943&lt;=2,"?ACTIVATED",IF(J5943&lt;&gt;"","?FAMILIAR",IF(F5943="NEW",IF(ISNA(VLOOKUP(E5943,#REF!,1,FALSE())),"?TYPE_IDENTIFIABLE","?REFERENTIAL"),"_")))))</f>
        <v> </v>
      </c>
      <c r="H5943" s="25" t="str">
        <f>IF(J5943&lt;&gt;1,"",IF(I5943="SBJ","CB","?"))</f>
        <v> </v>
      </c>
      <c r="I5943" s="26" t="str">
        <f>IF(OR(E5943="",E5943="!!!",F5943="NEW"),"",INDEX(B5942:B$2,-1+SUMPRODUCT(MAX(ROW(E5942:E$2)*(E5943=E5942:E$2)))))</f>
        <v> </v>
      </c>
      <c r="J5943" s="26" t="str">
        <f>IF(OR(E5943="",E5943="!!!",F5943="NEW"),"",COUNTBLANK(OFFSET(A$1,,,SUMPRODUCT(MAX(ROW(E$2:E5943)*(E5943=E$2:E5943)))))-COUNTBLANK(OFFSET(A$1,,,SUMPRODUCT(MAX(ROW(E$1:E5942)*(E2=E$1:E5942))))))</f>
        <v> </v>
      </c>
      <c r="K5943" s="26" t="str">
        <f>IF(OR(E5943="",E5943="!!!",F5943="NEW"),"",INDEX(J$1:J5942,SUMPRODUCT(MAX(ROW(E$1:E5942)*(E5943=E$1:E5942)))))</f>
        <v> </v>
      </c>
      <c r="L5943" s="27"/>
    </row>
    <row r="5944" spans="1:12">
      <c r="A5944" s="20" t="s">
        <v>2798</v>
      </c>
      <c r="E5944" s="22">
        <f>IF(D5944="?OLD","!!!","")</f>
        <v/>
      </c>
      <c r="F5944" s="23" t="str">
        <f>IF(OR(E5944="",E5944="!!!"),"",IF(NOT(ISNA(VLOOKUP(E5944,E$1:E5943,1,FALSE()))),"OLD",IF(AND(E5944&lt;&gt;"",E5944&lt;&gt;"!!!"),"NEW","")))</f>
        <v> </v>
      </c>
      <c r="G5944" s="24" t="str">
        <f>IF(OR(E5944="",E5944="!!!"),"",IF(OR(J5944=0,AND(J5944=1,K5944=1),AND(J5944=1,I5944="SBJ"),AND(J5944=1,I5944=0)),"?IN_FOCUS",IF(J5944&lt;=2,"?ACTIVATED",IF(J5944&lt;&gt;"","?FAMILIAR",IF(F5944="NEW",IF(ISNA(VLOOKUP(E5944,#REF!,1,FALSE())),"?TYPE_IDENTIFIABLE","?REFERENTIAL"),"_")))))</f>
        <v> </v>
      </c>
      <c r="H5944" s="25" t="str">
        <f>IF(J5944&lt;&gt;1,"",IF(I5944="SBJ","CB","?"))</f>
        <v> </v>
      </c>
      <c r="I5944" s="26" t="str">
        <f>IF(OR(E5944="",E5944="!!!",F5944="NEW"),"",INDEX(B5943:B$2,-1+SUMPRODUCT(MAX(ROW(E5943:E$2)*(E5944=E5943:E$2)))))</f>
        <v> </v>
      </c>
      <c r="J5944" s="26" t="str">
        <f>IF(OR(E5944="",E5944="!!!",F5944="NEW"),"",COUNTBLANK(OFFSET(A$1,,,SUMPRODUCT(MAX(ROW(E$2:E5944)*(E5944=E$2:E5944)))))-COUNTBLANK(OFFSET(A$1,,,SUMPRODUCT(MAX(ROW(E$1:E5943)*(E2=E$1:E5943))))))</f>
        <v> </v>
      </c>
      <c r="K5944" s="26" t="str">
        <f>IF(OR(E5944="",E5944="!!!",F5944="NEW"),"",INDEX(J$1:J5943,SUMPRODUCT(MAX(ROW(E$1:E5943)*(E5944=E$1:E5943)))))</f>
        <v> </v>
      </c>
      <c r="L5944" s="27"/>
    </row>
    <row r="5945" spans="1:12">
      <c r="A5945" s="20" t="s">
        <v>2799</v>
      </c>
      <c r="E5945" s="22">
        <f>IF(D5945="?OLD","!!!","")</f>
        <v/>
      </c>
      <c r="F5945" s="23" t="str">
        <f>IF(OR(E5945="",E5945="!!!"),"",IF(NOT(ISNA(VLOOKUP(E5945,E$1:E5944,1,FALSE()))),"OLD",IF(AND(E5945&lt;&gt;"",E5945&lt;&gt;"!!!"),"NEW","")))</f>
        <v> </v>
      </c>
      <c r="G5945" s="24" t="str">
        <f>IF(OR(E5945="",E5945="!!!"),"",IF(OR(J5945=0,AND(J5945=1,K5945=1),AND(J5945=1,I5945="SBJ"),AND(J5945=1,I5945=0)),"?IN_FOCUS",IF(J5945&lt;=2,"?ACTIVATED",IF(J5945&lt;&gt;"","?FAMILIAR",IF(F5945="NEW",IF(ISNA(VLOOKUP(E5945,#REF!,1,FALSE())),"?TYPE_IDENTIFIABLE","?REFERENTIAL"),"_")))))</f>
        <v> </v>
      </c>
      <c r="H5945" s="25" t="str">
        <f>IF(J5945&lt;&gt;1,"",IF(I5945="SBJ","CB","?"))</f>
        <v> </v>
      </c>
      <c r="I5945" s="26" t="str">
        <f>IF(OR(E5945="",E5945="!!!",F5945="NEW"),"",INDEX(B5944:B$2,-1+SUMPRODUCT(MAX(ROW(E5944:E$2)*(E5945=E5944:E$2)))))</f>
        <v> </v>
      </c>
      <c r="J5945" s="26" t="str">
        <f>IF(OR(E5945="",E5945="!!!",F5945="NEW"),"",COUNTBLANK(OFFSET(A$1,,,SUMPRODUCT(MAX(ROW(E$2:E5945)*(E5945=E$2:E5945)))))-COUNTBLANK(OFFSET(A$1,,,SUMPRODUCT(MAX(ROW(E$1:E5944)*(E2=E$1:E5944))))))</f>
        <v> </v>
      </c>
      <c r="K5945" s="26" t="str">
        <f>IF(OR(E5945="",E5945="!!!",F5945="NEW"),"",INDEX(J$1:J5944,SUMPRODUCT(MAX(ROW(E$1:E5944)*(E5945=E$1:E5944)))))</f>
        <v> </v>
      </c>
      <c r="L5945" s="27"/>
    </row>
    <row r="5946" spans="1:12">
      <c r="A5946" s="20" t="s">
        <v>163</v>
      </c>
      <c r="E5946" s="22">
        <f>IF(D5946="?OLD","!!!","")</f>
        <v/>
      </c>
      <c r="F5946" s="23" t="str">
        <f>IF(OR(E5946="",E5946="!!!"),"",IF(NOT(ISNA(VLOOKUP(E5946,E$1:E5945,1,FALSE()))),"OLD",IF(AND(E5946&lt;&gt;"",E5946&lt;&gt;"!!!"),"NEW","")))</f>
        <v> </v>
      </c>
      <c r="G5946" s="24" t="str">
        <f>IF(OR(E5946="",E5946="!!!"),"",IF(OR(J5946=0,AND(J5946=1,K5946=1),AND(J5946=1,I5946="SBJ"),AND(J5946=1,I5946=0)),"?IN_FOCUS",IF(J5946&lt;=2,"?ACTIVATED",IF(J5946&lt;&gt;"","?FAMILIAR",IF(F5946="NEW",IF(ISNA(VLOOKUP(E5946,#REF!,1,FALSE())),"?TYPE_IDENTIFIABLE","?REFERENTIAL"),"_")))))</f>
        <v> </v>
      </c>
      <c r="H5946" s="25" t="str">
        <f>IF(J5946&lt;&gt;1,"",IF(I5946="SBJ","CB","?"))</f>
        <v> </v>
      </c>
      <c r="I5946" s="26" t="str">
        <f>IF(OR(E5946="",E5946="!!!",F5946="NEW"),"",INDEX(B5945:B$2,-1+SUMPRODUCT(MAX(ROW(E5945:E$2)*(E5946=E5945:E$2)))))</f>
        <v> </v>
      </c>
      <c r="J5946" s="26" t="str">
        <f>IF(OR(E5946="",E5946="!!!",F5946="NEW"),"",COUNTBLANK(OFFSET(A$1,,,SUMPRODUCT(MAX(ROW(E$2:E5946)*(E5946=E$2:E5946)))))-COUNTBLANK(OFFSET(A$1,,,SUMPRODUCT(MAX(ROW(E$1:E5945)*(E2=E$1:E5945))))))</f>
        <v> </v>
      </c>
      <c r="K5946" s="26" t="str">
        <f>IF(OR(E5946="",E5946="!!!",F5946="NEW"),"",INDEX(J$1:J5945,SUMPRODUCT(MAX(ROW(E$1:E5945)*(E5946=E$1:E5945)))))</f>
        <v> </v>
      </c>
      <c r="L5946" s="27"/>
    </row>
    <row r="5947" spans="1:12">
      <c r="A5947" s="20" t="s">
        <v>818</v>
      </c>
      <c r="E5947" s="22">
        <f>IF(D5947="?OLD","!!!","")</f>
        <v/>
      </c>
      <c r="F5947" s="23" t="str">
        <f>IF(OR(E5947="",E5947="!!!"),"",IF(NOT(ISNA(VLOOKUP(E5947,E$1:E5946,1,FALSE()))),"OLD",IF(AND(E5947&lt;&gt;"",E5947&lt;&gt;"!!!"),"NEW","")))</f>
        <v> </v>
      </c>
      <c r="G5947" s="24" t="str">
        <f>IF(OR(E5947="",E5947="!!!"),"",IF(OR(J5947=0,AND(J5947=1,K5947=1),AND(J5947=1,I5947="SBJ"),AND(J5947=1,I5947=0)),"?IN_FOCUS",IF(J5947&lt;=2,"?ACTIVATED",IF(J5947&lt;&gt;"","?FAMILIAR",IF(F5947="NEW",IF(ISNA(VLOOKUP(E5947,#REF!,1,FALSE())),"?TYPE_IDENTIFIABLE","?REFERENTIAL"),"_")))))</f>
        <v> </v>
      </c>
      <c r="H5947" s="25" t="str">
        <f>IF(J5947&lt;&gt;1,"",IF(I5947="SBJ","CB","?"))</f>
        <v> </v>
      </c>
      <c r="I5947" s="26" t="str">
        <f>IF(OR(E5947="",E5947="!!!",F5947="NEW"),"",INDEX(B5946:B$2,-1+SUMPRODUCT(MAX(ROW(E5946:E$2)*(E5947=E5946:E$2)))))</f>
        <v> </v>
      </c>
      <c r="J5947" s="26" t="str">
        <f>IF(OR(E5947="",E5947="!!!",F5947="NEW"),"",COUNTBLANK(OFFSET(A$1,,,SUMPRODUCT(MAX(ROW(E$2:E5947)*(E5947=E$2:E5947)))))-COUNTBLANK(OFFSET(A$1,,,SUMPRODUCT(MAX(ROW(E$1:E5946)*(E2=E$1:E5946))))))</f>
        <v> </v>
      </c>
      <c r="K5947" s="26" t="str">
        <f>IF(OR(E5947="",E5947="!!!",F5947="NEW"),"",INDEX(J$1:J5946,SUMPRODUCT(MAX(ROW(E$1:E5946)*(E5947=E$1:E5946)))))</f>
        <v> </v>
      </c>
      <c r="L5947" s="27"/>
    </row>
    <row r="5948" spans="1:12">
      <c r="A5948" s="20"/>
    </row>
    <row r="5949" spans="1:12">
      <c r="A5949" s="20" t="s">
        <v>2800</v>
      </c>
    </row>
    <row r="5950" spans="1:12">
      <c r="A5950" s="20" t="s">
        <v>1256</v>
      </c>
      <c r="B5950" s="21" t="s">
        <v>1194</v>
      </c>
      <c r="C5950" s="21" t="s">
        <v>1195</v>
      </c>
      <c r="D5950" s="21" t="s">
        <v>1180</v>
      </c>
      <c r="E5950" s="22">
        <f>IF(D5950="?OLD","!!!","")</f>
        <v/>
      </c>
      <c r="F5950" s="23" t="str">
        <f>IF(OR(E5950="",E5950="!!!"),"",IF(NOT(ISNA(VLOOKUP(E5950,E$1:E5949,1,FALSE()))),"OLD",IF(AND(E5950&lt;&gt;"",E5950&lt;&gt;"!!!"),"NEW","")))</f>
        <v> </v>
      </c>
      <c r="G5950" s="24" t="str">
        <f>IF(OR(E5950="",E5950="!!!"),"",IF(OR(J5950=0,AND(J5950=1,K5950=1),AND(J5950=1,I5950="SBJ"),AND(J5950=1,I5950=0)),"?IN_FOCUS",IF(J5950&lt;=2,"?ACTIVATED",IF(J5950&lt;&gt;"","?FAMILIAR",IF(F5950="NEW",IF(ISNA(VLOOKUP(E5950,#REF!,1,FALSE())),"?TYPE_IDENTIFIABLE","?REFERENTIAL"),"_")))))</f>
        <v> </v>
      </c>
      <c r="H5950" s="25" t="str">
        <f>IF(J5950&lt;&gt;1,"",IF(I5950="SBJ","CB","?"))</f>
        <v> </v>
      </c>
      <c r="I5950" s="26" t="str">
        <f>IF(OR(E5950="",E5950="!!!",F5950="NEW"),"",INDEX(B5949:B$2,-1+SUMPRODUCT(MAX(ROW(E5949:E$2)*(E5950=E5949:E$2)))))</f>
        <v> </v>
      </c>
      <c r="J5950" s="26" t="str">
        <f>IF(OR(E5950="",E5950="!!!",F5950="NEW"),"",COUNTBLANK(OFFSET(A$1,,,SUMPRODUCT(MAX(ROW(E$2:E5950)*(E5950=E$2:E5950)))))-COUNTBLANK(OFFSET(A$1,,,SUMPRODUCT(MAX(ROW(E$1:E5949)*(E2=E$1:E5949))))))</f>
        <v> </v>
      </c>
      <c r="K5950" s="26" t="str">
        <f>IF(OR(E5950="",E5950="!!!",F5950="NEW"),"",INDEX(J$1:J5949,SUMPRODUCT(MAX(ROW(E$1:E5949)*(E5950=E$1:E5949)))))</f>
        <v> </v>
      </c>
      <c r="L5950" s="27"/>
    </row>
    <row r="5951" spans="1:12">
      <c r="A5951" s="20" t="s">
        <v>1483</v>
      </c>
      <c r="E5951" s="22">
        <f>IF(D5951="?OLD","!!!","")</f>
        <v/>
      </c>
      <c r="F5951" s="23" t="str">
        <f>IF(OR(E5951="",E5951="!!!"),"",IF(NOT(ISNA(VLOOKUP(E5951,E$1:E5950,1,FALSE()))),"OLD",IF(AND(E5951&lt;&gt;"",E5951&lt;&gt;"!!!"),"NEW","")))</f>
        <v> </v>
      </c>
      <c r="G5951" s="24" t="str">
        <f>IF(OR(E5951="",E5951="!!!"),"",IF(OR(J5951=0,AND(J5951=1,K5951=1),AND(J5951=1,I5951="SBJ"),AND(J5951=1,I5951=0)),"?IN_FOCUS",IF(J5951&lt;=2,"?ACTIVATED",IF(J5951&lt;&gt;"","?FAMILIAR",IF(F5951="NEW",IF(ISNA(VLOOKUP(E5951,#REF!,1,FALSE())),"?TYPE_IDENTIFIABLE","?REFERENTIAL"),"_")))))</f>
        <v> </v>
      </c>
      <c r="H5951" s="25" t="str">
        <f>IF(J5951&lt;&gt;1,"",IF(I5951="SBJ","CB","?"))</f>
        <v> </v>
      </c>
      <c r="I5951" s="26" t="str">
        <f>IF(OR(E5951="",E5951="!!!",F5951="NEW"),"",INDEX(B5950:B$2,-1+SUMPRODUCT(MAX(ROW(E5950:E$2)*(E5951=E5950:E$2)))))</f>
        <v> </v>
      </c>
      <c r="J5951" s="26" t="str">
        <f>IF(OR(E5951="",E5951="!!!",F5951="NEW"),"",COUNTBLANK(OFFSET(A$1,,,SUMPRODUCT(MAX(ROW(E$2:E5951)*(E5951=E$2:E5951)))))-COUNTBLANK(OFFSET(A$1,,,SUMPRODUCT(MAX(ROW(E$1:E5950)*(E2=E$1:E5950))))))</f>
        <v> </v>
      </c>
      <c r="K5951" s="26" t="str">
        <f>IF(OR(E5951="",E5951="!!!",F5951="NEW"),"",INDEX(J$1:J5950,SUMPRODUCT(MAX(ROW(E$1:E5950)*(E5951=E$1:E5950)))))</f>
        <v> </v>
      </c>
      <c r="L5951" s="27"/>
    </row>
    <row r="5952" spans="1:12">
      <c r="A5952" s="20" t="s">
        <v>2139</v>
      </c>
      <c r="E5952" s="22">
        <f>IF(D5952="?OLD","!!!","")</f>
        <v/>
      </c>
      <c r="F5952" s="23" t="str">
        <f>IF(OR(E5952="",E5952="!!!"),"",IF(NOT(ISNA(VLOOKUP(E5952,E$1:E5951,1,FALSE()))),"OLD",IF(AND(E5952&lt;&gt;"",E5952&lt;&gt;"!!!"),"NEW","")))</f>
        <v> </v>
      </c>
      <c r="G5952" s="24" t="str">
        <f>IF(OR(E5952="",E5952="!!!"),"",IF(OR(J5952=0,AND(J5952=1,K5952=1),AND(J5952=1,I5952="SBJ"),AND(J5952=1,I5952=0)),"?IN_FOCUS",IF(J5952&lt;=2,"?ACTIVATED",IF(J5952&lt;&gt;"","?FAMILIAR",IF(F5952="NEW",IF(ISNA(VLOOKUP(E5952,#REF!,1,FALSE())),"?TYPE_IDENTIFIABLE","?REFERENTIAL"),"_")))))</f>
        <v> </v>
      </c>
      <c r="H5952" s="25" t="str">
        <f>IF(J5952&lt;&gt;1,"",IF(I5952="SBJ","CB","?"))</f>
        <v> </v>
      </c>
      <c r="I5952" s="26" t="str">
        <f>IF(OR(E5952="",E5952="!!!",F5952="NEW"),"",INDEX(B5951:B$2,-1+SUMPRODUCT(MAX(ROW(E5951:E$2)*(E5952=E5951:E$2)))))</f>
        <v> </v>
      </c>
      <c r="J5952" s="26" t="str">
        <f>IF(OR(E5952="",E5952="!!!",F5952="NEW"),"",COUNTBLANK(OFFSET(A$1,,,SUMPRODUCT(MAX(ROW(E$2:E5952)*(E5952=E$2:E5952)))))-COUNTBLANK(OFFSET(A$1,,,SUMPRODUCT(MAX(ROW(E$1:E5951)*(E2=E$1:E5951))))))</f>
        <v> </v>
      </c>
      <c r="K5952" s="26" t="str">
        <f>IF(OR(E5952="",E5952="!!!",F5952="NEW"),"",INDEX(J$1:J5951,SUMPRODUCT(MAX(ROW(E$1:E5951)*(E5952=E$1:E5951)))))</f>
        <v> </v>
      </c>
      <c r="L5952" s="27"/>
    </row>
    <row r="5953" spans="1:12">
      <c r="A5953" s="20" t="s">
        <v>1276</v>
      </c>
      <c r="E5953" s="22">
        <f>IF(D5953="?OLD","!!!","")</f>
        <v/>
      </c>
      <c r="F5953" s="23" t="str">
        <f>IF(OR(E5953="",E5953="!!!"),"",IF(NOT(ISNA(VLOOKUP(E5953,E$1:E5952,1,FALSE()))),"OLD",IF(AND(E5953&lt;&gt;"",E5953&lt;&gt;"!!!"),"NEW","")))</f>
        <v> </v>
      </c>
      <c r="G5953" s="24" t="str">
        <f>IF(OR(E5953="",E5953="!!!"),"",IF(OR(J5953=0,AND(J5953=1,K5953=1),AND(J5953=1,I5953="SBJ"),AND(J5953=1,I5953=0)),"?IN_FOCUS",IF(J5953&lt;=2,"?ACTIVATED",IF(J5953&lt;&gt;"","?FAMILIAR",IF(F5953="NEW",IF(ISNA(VLOOKUP(E5953,#REF!,1,FALSE())),"?TYPE_IDENTIFIABLE","?REFERENTIAL"),"_")))))</f>
        <v> </v>
      </c>
      <c r="H5953" s="25" t="str">
        <f>IF(J5953&lt;&gt;1,"",IF(I5953="SBJ","CB","?"))</f>
        <v> </v>
      </c>
      <c r="I5953" s="26" t="str">
        <f>IF(OR(E5953="",E5953="!!!",F5953="NEW"),"",INDEX(B5952:B$2,-1+SUMPRODUCT(MAX(ROW(E5952:E$2)*(E5953=E5952:E$2)))))</f>
        <v> </v>
      </c>
      <c r="J5953" s="26" t="str">
        <f>IF(OR(E5953="",E5953="!!!",F5953="NEW"),"",COUNTBLANK(OFFSET(A$1,,,SUMPRODUCT(MAX(ROW(E$2:E5953)*(E5953=E$2:E5953)))))-COUNTBLANK(OFFSET(A$1,,,SUMPRODUCT(MAX(ROW(E$1:E5952)*(E2=E$1:E5952))))))</f>
        <v> </v>
      </c>
      <c r="K5953" s="26" t="str">
        <f>IF(OR(E5953="",E5953="!!!",F5953="NEW"),"",INDEX(J$1:J5952,SUMPRODUCT(MAX(ROW(E$1:E5952)*(E5953=E$1:E5952)))))</f>
        <v> </v>
      </c>
      <c r="L5953" s="27"/>
    </row>
    <row r="5954" spans="1:12">
      <c r="A5954" s="20" t="s">
        <v>2801</v>
      </c>
      <c r="E5954" s="22">
        <f>IF(D5954="?OLD","!!!","")</f>
        <v/>
      </c>
      <c r="F5954" s="23" t="str">
        <f>IF(OR(E5954="",E5954="!!!"),"",IF(NOT(ISNA(VLOOKUP(E5954,E$1:E5953,1,FALSE()))),"OLD",IF(AND(E5954&lt;&gt;"",E5954&lt;&gt;"!!!"),"NEW","")))</f>
        <v> </v>
      </c>
      <c r="G5954" s="24" t="str">
        <f>IF(OR(E5954="",E5954="!!!"),"",IF(OR(J5954=0,AND(J5954=1,K5954=1),AND(J5954=1,I5954="SBJ"),AND(J5954=1,I5954=0)),"?IN_FOCUS",IF(J5954&lt;=2,"?ACTIVATED",IF(J5954&lt;&gt;"","?FAMILIAR",IF(F5954="NEW",IF(ISNA(VLOOKUP(E5954,#REF!,1,FALSE())),"?TYPE_IDENTIFIABLE","?REFERENTIAL"),"_")))))</f>
        <v> </v>
      </c>
      <c r="H5954" s="25" t="str">
        <f>IF(J5954&lt;&gt;1,"",IF(I5954="SBJ","CB","?"))</f>
        <v> </v>
      </c>
      <c r="I5954" s="26" t="str">
        <f>IF(OR(E5954="",E5954="!!!",F5954="NEW"),"",INDEX(B5953:B$2,-1+SUMPRODUCT(MAX(ROW(E5953:E$2)*(E5954=E5953:E$2)))))</f>
        <v> </v>
      </c>
      <c r="J5954" s="26" t="str">
        <f>IF(OR(E5954="",E5954="!!!",F5954="NEW"),"",COUNTBLANK(OFFSET(A$1,,,SUMPRODUCT(MAX(ROW(E$2:E5954)*(E5954=E$2:E5954)))))-COUNTBLANK(OFFSET(A$1,,,SUMPRODUCT(MAX(ROW(E$1:E5953)*(E2=E$1:E5953))))))</f>
        <v> </v>
      </c>
      <c r="K5954" s="26" t="str">
        <f>IF(OR(E5954="",E5954="!!!",F5954="NEW"),"",INDEX(J$1:J5953,SUMPRODUCT(MAX(ROW(E$1:E5953)*(E5954=E$1:E5953)))))</f>
        <v> </v>
      </c>
      <c r="L5954" s="27"/>
    </row>
    <row r="5955" spans="1:12">
      <c r="A5955" s="20" t="s">
        <v>2802</v>
      </c>
      <c r="B5955" s="21" t="s">
        <v>1204</v>
      </c>
      <c r="C5955" s="21" t="s">
        <v>1223</v>
      </c>
      <c r="E5955" s="22">
        <f>IF(D5955="?OLD","!!!","")</f>
        <v/>
      </c>
      <c r="F5955" s="23" t="str">
        <f>IF(OR(E5955="",E5955="!!!"),"",IF(NOT(ISNA(VLOOKUP(E5955,E$1:E5954,1,FALSE()))),"OLD",IF(AND(E5955&lt;&gt;"",E5955&lt;&gt;"!!!"),"NEW","")))</f>
        <v> </v>
      </c>
      <c r="G5955" s="24" t="str">
        <f>IF(OR(E5955="",E5955="!!!"),"",IF(OR(J5955=0,AND(J5955=1,K5955=1),AND(J5955=1,I5955="SBJ"),AND(J5955=1,I5955=0)),"?IN_FOCUS",IF(J5955&lt;=2,"?ACTIVATED",IF(J5955&lt;&gt;"","?FAMILIAR",IF(F5955="NEW",IF(ISNA(VLOOKUP(E5955,#REF!,1,FALSE())),"?TYPE_IDENTIFIABLE","?REFERENTIAL"),"_")))))</f>
        <v> </v>
      </c>
      <c r="H5955" s="25" t="str">
        <f>IF(J5955&lt;&gt;1,"",IF(I5955="SBJ","CB","?"))</f>
        <v> </v>
      </c>
      <c r="I5955" s="26" t="str">
        <f>IF(OR(E5955="",E5955="!!!",F5955="NEW"),"",INDEX(B5954:B$2,-1+SUMPRODUCT(MAX(ROW(E5954:E$2)*(E5955=E5954:E$2)))))</f>
        <v> </v>
      </c>
      <c r="J5955" s="26" t="str">
        <f>IF(OR(E5955="",E5955="!!!",F5955="NEW"),"",COUNTBLANK(OFFSET(A$1,,,SUMPRODUCT(MAX(ROW(E$2:E5955)*(E5955=E$2:E5955)))))-COUNTBLANK(OFFSET(A$1,,,SUMPRODUCT(MAX(ROW(E$1:E5954)*(E2=E$1:E5954))))))</f>
        <v> </v>
      </c>
      <c r="K5955" s="26" t="str">
        <f>IF(OR(E5955="",E5955="!!!",F5955="NEW"),"",INDEX(J$1:J5954,SUMPRODUCT(MAX(ROW(E$1:E5954)*(E5955=E$1:E5954)))))</f>
        <v> </v>
      </c>
      <c r="L5955" s="27"/>
    </row>
    <row r="5956" spans="1:12">
      <c r="A5956" s="20" t="s">
        <v>1224</v>
      </c>
      <c r="E5956" s="22">
        <f>IF(D5956="?OLD","!!!","")</f>
        <v/>
      </c>
      <c r="F5956" s="23" t="str">
        <f>IF(OR(E5956="",E5956="!!!"),"",IF(NOT(ISNA(VLOOKUP(E5956,E$1:E5955,1,FALSE()))),"OLD",IF(AND(E5956&lt;&gt;"",E5956&lt;&gt;"!!!"),"NEW","")))</f>
        <v> </v>
      </c>
      <c r="G5956" s="24" t="str">
        <f>IF(OR(E5956="",E5956="!!!"),"",IF(OR(J5956=0,AND(J5956=1,K5956=1),AND(J5956=1,I5956="SBJ"),AND(J5956=1,I5956=0)),"?IN_FOCUS",IF(J5956&lt;=2,"?ACTIVATED",IF(J5956&lt;&gt;"","?FAMILIAR",IF(F5956="NEW",IF(ISNA(VLOOKUP(E5956,#REF!,1,FALSE())),"?TYPE_IDENTIFIABLE","?REFERENTIAL"),"_")))))</f>
        <v> </v>
      </c>
      <c r="H5956" s="25" t="str">
        <f>IF(J5956&lt;&gt;1,"",IF(I5956="SBJ","CB","?"))</f>
        <v> </v>
      </c>
      <c r="I5956" s="26" t="str">
        <f>IF(OR(E5956="",E5956="!!!",F5956="NEW"),"",INDEX(B5955:B$2,-1+SUMPRODUCT(MAX(ROW(E5955:E$2)*(E5956=E5955:E$2)))))</f>
        <v> </v>
      </c>
      <c r="J5956" s="26" t="str">
        <f>IF(OR(E5956="",E5956="!!!",F5956="NEW"),"",COUNTBLANK(OFFSET(A$1,,,SUMPRODUCT(MAX(ROW(E$2:E5956)*(E5956=E$2:E5956)))))-COUNTBLANK(OFFSET(A$1,,,SUMPRODUCT(MAX(ROW(E$1:E5955)*(E2=E$1:E5955))))))</f>
        <v> </v>
      </c>
      <c r="K5956" s="26" t="str">
        <f>IF(OR(E5956="",E5956="!!!",F5956="NEW"),"",INDEX(J$1:J5955,SUMPRODUCT(MAX(ROW(E$1:E5955)*(E5956=E$1:E5955)))))</f>
        <v> </v>
      </c>
      <c r="L5956" s="27"/>
    </row>
    <row r="5957" spans="1:12">
      <c r="A5957" s="20" t="s">
        <v>2803</v>
      </c>
      <c r="B5957" s="21" t="s">
        <v>1191</v>
      </c>
      <c r="C5957" s="21" t="s">
        <v>1179</v>
      </c>
      <c r="D5957" s="21" t="s">
        <v>1180</v>
      </c>
      <c r="E5957" s="22">
        <f>IF(D5957="?OLD","!!!","")</f>
        <v/>
      </c>
      <c r="F5957" s="23" t="str">
        <f>IF(OR(E5957="",E5957="!!!"),"",IF(NOT(ISNA(VLOOKUP(E5957,E$1:E5956,1,FALSE()))),"OLD",IF(AND(E5957&lt;&gt;"",E5957&lt;&gt;"!!!"),"NEW","")))</f>
        <v> </v>
      </c>
      <c r="G5957" s="24" t="str">
        <f>IF(OR(E5957="",E5957="!!!"),"",IF(OR(J5957=0,AND(J5957=1,K5957=1),AND(J5957=1,I5957="SBJ"),AND(J5957=1,I5957=0)),"?IN_FOCUS",IF(J5957&lt;=2,"?ACTIVATED",IF(J5957&lt;&gt;"","?FAMILIAR",IF(F5957="NEW",IF(ISNA(VLOOKUP(E5957,#REF!,1,FALSE())),"?TYPE_IDENTIFIABLE","?REFERENTIAL"),"_")))))</f>
        <v> </v>
      </c>
      <c r="H5957" s="25" t="str">
        <f>IF(J5957&lt;&gt;1,"",IF(I5957="SBJ","CB","?"))</f>
        <v> </v>
      </c>
      <c r="I5957" s="26" t="str">
        <f>IF(OR(E5957="",E5957="!!!",F5957="NEW"),"",INDEX(B5956:B$2,-1+SUMPRODUCT(MAX(ROW(E5956:E$2)*(E5957=E5956:E$2)))))</f>
        <v> </v>
      </c>
      <c r="J5957" s="26" t="str">
        <f>IF(OR(E5957="",E5957="!!!",F5957="NEW"),"",COUNTBLANK(OFFSET(A$1,,,SUMPRODUCT(MAX(ROW(E$2:E5957)*(E5957=E$2:E5957)))))-COUNTBLANK(OFFSET(A$1,,,SUMPRODUCT(MAX(ROW(E$1:E5956)*(E2=E$1:E5956))))))</f>
        <v> </v>
      </c>
      <c r="K5957" s="26" t="str">
        <f>IF(OR(E5957="",E5957="!!!",F5957="NEW"),"",INDEX(J$1:J5956,SUMPRODUCT(MAX(ROW(E$1:E5956)*(E5957=E$1:E5956)))))</f>
        <v> </v>
      </c>
      <c r="L5957" s="27"/>
    </row>
    <row r="5958" spans="1:12">
      <c r="A5958" s="20" t="s">
        <v>1185</v>
      </c>
      <c r="E5958" s="22">
        <f>IF(D5958="?OLD","!!!","")</f>
        <v/>
      </c>
      <c r="F5958" s="23" t="str">
        <f>IF(OR(E5958="",E5958="!!!"),"",IF(NOT(ISNA(VLOOKUP(E5958,E$1:E5957,1,FALSE()))),"OLD",IF(AND(E5958&lt;&gt;"",E5958&lt;&gt;"!!!"),"NEW","")))</f>
        <v> </v>
      </c>
      <c r="G5958" s="24" t="str">
        <f>IF(OR(E5958="",E5958="!!!"),"",IF(OR(J5958=0,AND(J5958=1,K5958=1),AND(J5958=1,I5958="SBJ"),AND(J5958=1,I5958=0)),"?IN_FOCUS",IF(J5958&lt;=2,"?ACTIVATED",IF(J5958&lt;&gt;"","?FAMILIAR",IF(F5958="NEW",IF(ISNA(VLOOKUP(E5958,#REF!,1,FALSE())),"?TYPE_IDENTIFIABLE","?REFERENTIAL"),"_")))))</f>
        <v> </v>
      </c>
      <c r="H5958" s="25" t="str">
        <f>IF(J5958&lt;&gt;1,"",IF(I5958="SBJ","CB","?"))</f>
        <v> </v>
      </c>
      <c r="I5958" s="26" t="str">
        <f>IF(OR(E5958="",E5958="!!!",F5958="NEW"),"",INDEX(B5957:B$2,-1+SUMPRODUCT(MAX(ROW(E5957:E$2)*(E5958=E5957:E$2)))))</f>
        <v> </v>
      </c>
      <c r="J5958" s="26" t="str">
        <f>IF(OR(E5958="",E5958="!!!",F5958="NEW"),"",COUNTBLANK(OFFSET(A$1,,,SUMPRODUCT(MAX(ROW(E$2:E5958)*(E5958=E$2:E5958)))))-COUNTBLANK(OFFSET(A$1,,,SUMPRODUCT(MAX(ROW(E$1:E5957)*(E2=E$1:E5957))))))</f>
        <v> </v>
      </c>
      <c r="K5958" s="26" t="str">
        <f>IF(OR(E5958="",E5958="!!!",F5958="NEW"),"",INDEX(J$1:J5957,SUMPRODUCT(MAX(ROW(E$1:E5957)*(E5958=E$1:E5957)))))</f>
        <v> </v>
      </c>
      <c r="L5958" s="27"/>
    </row>
    <row r="5959" spans="1:12">
      <c r="A5959" s="20" t="s">
        <v>1198</v>
      </c>
      <c r="B5959" s="21" t="s">
        <v>1289</v>
      </c>
      <c r="E5959" s="22">
        <f>IF(D5959="?OLD","!!!","")</f>
        <v/>
      </c>
      <c r="F5959" s="23" t="str">
        <f>IF(OR(E5959="",E5959="!!!"),"",IF(NOT(ISNA(VLOOKUP(E5959,E$1:E5958,1,FALSE()))),"OLD",IF(AND(E5959&lt;&gt;"",E5959&lt;&gt;"!!!"),"NEW","")))</f>
        <v> </v>
      </c>
      <c r="G5959" s="24" t="str">
        <f>IF(OR(E5959="",E5959="!!!"),"",IF(OR(J5959=0,AND(J5959=1,K5959=1),AND(J5959=1,I5959="SBJ"),AND(J5959=1,I5959=0)),"?IN_FOCUS",IF(J5959&lt;=2,"?ACTIVATED",IF(J5959&lt;&gt;"","?FAMILIAR",IF(F5959="NEW",IF(ISNA(VLOOKUP(E5959,#REF!,1,FALSE())),"?TYPE_IDENTIFIABLE","?REFERENTIAL"),"_")))))</f>
        <v> </v>
      </c>
      <c r="H5959" s="25" t="str">
        <f>IF(J5959&lt;&gt;1,"",IF(I5959="SBJ","CB","?"))</f>
        <v> </v>
      </c>
      <c r="I5959" s="26" t="str">
        <f>IF(OR(E5959="",E5959="!!!",F5959="NEW"),"",INDEX(B5958:B$2,-1+SUMPRODUCT(MAX(ROW(E5958:E$2)*(E5959=E5958:E$2)))))</f>
        <v> </v>
      </c>
      <c r="J5959" s="26" t="str">
        <f>IF(OR(E5959="",E5959="!!!",F5959="NEW"),"",COUNTBLANK(OFFSET(A$1,,,SUMPRODUCT(MAX(ROW(E$2:E5959)*(E5959=E$2:E5959)))))-COUNTBLANK(OFFSET(A$1,,,SUMPRODUCT(MAX(ROW(E$1:E5958)*(E2=E$1:E5958))))))</f>
        <v> </v>
      </c>
      <c r="K5959" s="26" t="str">
        <f>IF(OR(E5959="",E5959="!!!",F5959="NEW"),"",INDEX(J$1:J5958,SUMPRODUCT(MAX(ROW(E$1:E5958)*(E5959=E$1:E5958)))))</f>
        <v> </v>
      </c>
      <c r="L5959" s="27"/>
    </row>
    <row r="5960" spans="1:12">
      <c r="A5960" s="20" t="s">
        <v>1495</v>
      </c>
      <c r="E5960" s="22">
        <f>IF(D5960="?OLD","!!!","")</f>
        <v/>
      </c>
      <c r="F5960" s="23" t="str">
        <f>IF(OR(E5960="",E5960="!!!"),"",IF(NOT(ISNA(VLOOKUP(E5960,E$1:E5959,1,FALSE()))),"OLD",IF(AND(E5960&lt;&gt;"",E5960&lt;&gt;"!!!"),"NEW","")))</f>
        <v> </v>
      </c>
      <c r="G5960" s="24" t="str">
        <f>IF(OR(E5960="",E5960="!!!"),"",IF(OR(J5960=0,AND(J5960=1,K5960=1),AND(J5960=1,I5960="SBJ"),AND(J5960=1,I5960=0)),"?IN_FOCUS",IF(J5960&lt;=2,"?ACTIVATED",IF(J5960&lt;&gt;"","?FAMILIAR",IF(F5960="NEW",IF(ISNA(VLOOKUP(E5960,#REF!,1,FALSE())),"?TYPE_IDENTIFIABLE","?REFERENTIAL"),"_")))))</f>
        <v> </v>
      </c>
      <c r="H5960" s="25" t="str">
        <f>IF(J5960&lt;&gt;1,"",IF(I5960="SBJ","CB","?"))</f>
        <v> </v>
      </c>
      <c r="I5960" s="26" t="str">
        <f>IF(OR(E5960="",E5960="!!!",F5960="NEW"),"",INDEX(B5959:B$2,-1+SUMPRODUCT(MAX(ROW(E5959:E$2)*(E5960=E5959:E$2)))))</f>
        <v> </v>
      </c>
      <c r="J5960" s="26" t="str">
        <f>IF(OR(E5960="",E5960="!!!",F5960="NEW"),"",COUNTBLANK(OFFSET(A$1,,,SUMPRODUCT(MAX(ROW(E$2:E5960)*(E5960=E$2:E5960)))))-COUNTBLANK(OFFSET(A$1,,,SUMPRODUCT(MAX(ROW(E$1:E5959)*(E2=E$1:E5959))))))</f>
        <v> </v>
      </c>
      <c r="K5960" s="26" t="str">
        <f>IF(OR(E5960="",E5960="!!!",F5960="NEW"),"",INDEX(J$1:J5959,SUMPRODUCT(MAX(ROW(E$1:E5959)*(E5960=E$1:E5959)))))</f>
        <v> </v>
      </c>
      <c r="L5960" s="27"/>
    </row>
    <row r="5961" spans="1:12">
      <c r="A5961" s="20" t="s">
        <v>2804</v>
      </c>
      <c r="E5961" s="22">
        <f>IF(D5961="?OLD","!!!","")</f>
        <v/>
      </c>
      <c r="F5961" s="23" t="str">
        <f>IF(OR(E5961="",E5961="!!!"),"",IF(NOT(ISNA(VLOOKUP(E5961,E$1:E5960,1,FALSE()))),"OLD",IF(AND(E5961&lt;&gt;"",E5961&lt;&gt;"!!!"),"NEW","")))</f>
        <v> </v>
      </c>
      <c r="G5961" s="24" t="str">
        <f>IF(OR(E5961="",E5961="!!!"),"",IF(OR(J5961=0,AND(J5961=1,K5961=1),AND(J5961=1,I5961="SBJ"),AND(J5961=1,I5961=0)),"?IN_FOCUS",IF(J5961&lt;=2,"?ACTIVATED",IF(J5961&lt;&gt;"","?FAMILIAR",IF(F5961="NEW",IF(ISNA(VLOOKUP(E5961,#REF!,1,FALSE())),"?TYPE_IDENTIFIABLE","?REFERENTIAL"),"_")))))</f>
        <v> </v>
      </c>
      <c r="H5961" s="25" t="str">
        <f>IF(J5961&lt;&gt;1,"",IF(I5961="SBJ","CB","?"))</f>
        <v> </v>
      </c>
      <c r="I5961" s="26" t="str">
        <f>IF(OR(E5961="",E5961="!!!",F5961="NEW"),"",INDEX(B5960:B$2,-1+SUMPRODUCT(MAX(ROW(E5960:E$2)*(E5961=E5960:E$2)))))</f>
        <v> </v>
      </c>
      <c r="J5961" s="26" t="str">
        <f>IF(OR(E5961="",E5961="!!!",F5961="NEW"),"",COUNTBLANK(OFFSET(A$1,,,SUMPRODUCT(MAX(ROW(E$2:E5961)*(E5961=E$2:E5961)))))-COUNTBLANK(OFFSET(A$1,,,SUMPRODUCT(MAX(ROW(E$1:E5960)*(E2=E$1:E5960))))))</f>
        <v> </v>
      </c>
      <c r="K5961" s="26" t="str">
        <f>IF(OR(E5961="",E5961="!!!",F5961="NEW"),"",INDEX(J$1:J5960,SUMPRODUCT(MAX(ROW(E$1:E5960)*(E5961=E$1:E5960)))))</f>
        <v> </v>
      </c>
      <c r="L5961" s="27"/>
    </row>
    <row r="5962" spans="1:12">
      <c r="A5962" s="20" t="s">
        <v>2805</v>
      </c>
      <c r="B5962" s="21" t="s">
        <v>1340</v>
      </c>
      <c r="C5962" s="21" t="s">
        <v>1179</v>
      </c>
      <c r="D5962" s="21" t="s">
        <v>1180</v>
      </c>
      <c r="E5962" s="22">
        <f>IF(D5962="?OLD","!!!","")</f>
        <v/>
      </c>
      <c r="F5962" s="23" t="str">
        <f>IF(OR(E5962="",E5962="!!!"),"",IF(NOT(ISNA(VLOOKUP(E5962,E$1:E5961,1,FALSE()))),"OLD",IF(AND(E5962&lt;&gt;"",E5962&lt;&gt;"!!!"),"NEW","")))</f>
        <v> </v>
      </c>
      <c r="G5962" s="24" t="str">
        <f>IF(OR(E5962="",E5962="!!!"),"",IF(OR(J5962=0,AND(J5962=1,K5962=1),AND(J5962=1,I5962="SBJ"),AND(J5962=1,I5962=0)),"?IN_FOCUS",IF(J5962&lt;=2,"?ACTIVATED",IF(J5962&lt;&gt;"","?FAMILIAR",IF(F5962="NEW",IF(ISNA(VLOOKUP(E5962,#REF!,1,FALSE())),"?TYPE_IDENTIFIABLE","?REFERENTIAL"),"_")))))</f>
        <v> </v>
      </c>
      <c r="H5962" s="25" t="str">
        <f>IF(J5962&lt;&gt;1,"",IF(I5962="SBJ","CB","?"))</f>
        <v> </v>
      </c>
      <c r="I5962" s="26" t="str">
        <f>IF(OR(E5962="",E5962="!!!",F5962="NEW"),"",INDEX(B5961:B$2,-1+SUMPRODUCT(MAX(ROW(E5961:E$2)*(E5962=E5961:E$2)))))</f>
        <v> </v>
      </c>
      <c r="J5962" s="26" t="str">
        <f>IF(OR(E5962="",E5962="!!!",F5962="NEW"),"",COUNTBLANK(OFFSET(A$1,,,SUMPRODUCT(MAX(ROW(E$2:E5962)*(E5962=E$2:E5962)))))-COUNTBLANK(OFFSET(A$1,,,SUMPRODUCT(MAX(ROW(E$1:E5961)*(E2=E$1:E5961))))))</f>
        <v> </v>
      </c>
      <c r="K5962" s="26" t="str">
        <f>IF(OR(E5962="",E5962="!!!",F5962="NEW"),"",INDEX(J$1:J5961,SUMPRODUCT(MAX(ROW(E$1:E5961)*(E5962=E$1:E5961)))))</f>
        <v> </v>
      </c>
      <c r="L5962" s="27"/>
    </row>
    <row r="5963" spans="1:12">
      <c r="A5963" s="20" t="s">
        <v>11</v>
      </c>
      <c r="E5963" s="22">
        <f>IF(D5963="?OLD","!!!","")</f>
        <v/>
      </c>
      <c r="F5963" s="23" t="str">
        <f>IF(OR(E5963="",E5963="!!!"),"",IF(NOT(ISNA(VLOOKUP(E5963,E$1:E5962,1,FALSE()))),"OLD",IF(AND(E5963&lt;&gt;"",E5963&lt;&gt;"!!!"),"NEW","")))</f>
        <v> </v>
      </c>
      <c r="G5963" s="24" t="str">
        <f>IF(OR(E5963="",E5963="!!!"),"",IF(OR(J5963=0,AND(J5963=1,K5963=1),AND(J5963=1,I5963="SBJ"),AND(J5963=1,I5963=0)),"?IN_FOCUS",IF(J5963&lt;=2,"?ACTIVATED",IF(J5963&lt;&gt;"","?FAMILIAR",IF(F5963="NEW",IF(ISNA(VLOOKUP(E5963,#REF!,1,FALSE())),"?TYPE_IDENTIFIABLE","?REFERENTIAL"),"_")))))</f>
        <v> </v>
      </c>
      <c r="H5963" s="25" t="str">
        <f>IF(J5963&lt;&gt;1,"",IF(I5963="SBJ","CB","?"))</f>
        <v> </v>
      </c>
      <c r="I5963" s="26" t="str">
        <f>IF(OR(E5963="",E5963="!!!",F5963="NEW"),"",INDEX(B5962:B$2,-1+SUMPRODUCT(MAX(ROW(E5962:E$2)*(E5963=E5962:E$2)))))</f>
        <v> </v>
      </c>
      <c r="J5963" s="26" t="str">
        <f>IF(OR(E5963="",E5963="!!!",F5963="NEW"),"",COUNTBLANK(OFFSET(A$1,,,SUMPRODUCT(MAX(ROW(E$2:E5963)*(E5963=E$2:E5963)))))-COUNTBLANK(OFFSET(A$1,,,SUMPRODUCT(MAX(ROW(E$1:E5962)*(E2=E$1:E5962))))))</f>
        <v> </v>
      </c>
      <c r="K5963" s="26" t="str">
        <f>IF(OR(E5963="",E5963="!!!",F5963="NEW"),"",INDEX(J$1:J5962,SUMPRODUCT(MAX(ROW(E$1:E5962)*(E5963=E$1:E5962)))))</f>
        <v> </v>
      </c>
      <c r="L5963" s="27"/>
    </row>
    <row r="5964" spans="1:12">
      <c r="A5964" s="20" t="s">
        <v>2806</v>
      </c>
      <c r="E5964" s="22">
        <f>IF(D5964="?OLD","!!!","")</f>
        <v/>
      </c>
      <c r="F5964" s="23" t="str">
        <f>IF(OR(E5964="",E5964="!!!"),"",IF(NOT(ISNA(VLOOKUP(E5964,E$1:E5963,1,FALSE()))),"OLD",IF(AND(E5964&lt;&gt;"",E5964&lt;&gt;"!!!"),"NEW","")))</f>
        <v> </v>
      </c>
      <c r="G5964" s="24" t="str">
        <f>IF(OR(E5964="",E5964="!!!"),"",IF(OR(J5964=0,AND(J5964=1,K5964=1),AND(J5964=1,I5964="SBJ"),AND(J5964=1,I5964=0)),"?IN_FOCUS",IF(J5964&lt;=2,"?ACTIVATED",IF(J5964&lt;&gt;"","?FAMILIAR",IF(F5964="NEW",IF(ISNA(VLOOKUP(E5964,#REF!,1,FALSE())),"?TYPE_IDENTIFIABLE","?REFERENTIAL"),"_")))))</f>
        <v> </v>
      </c>
      <c r="H5964" s="25" t="str">
        <f>IF(J5964&lt;&gt;1,"",IF(I5964="SBJ","CB","?"))</f>
        <v> </v>
      </c>
      <c r="I5964" s="26" t="str">
        <f>IF(OR(E5964="",E5964="!!!",F5964="NEW"),"",INDEX(B5963:B$2,-1+SUMPRODUCT(MAX(ROW(E5963:E$2)*(E5964=E5963:E$2)))))</f>
        <v> </v>
      </c>
      <c r="J5964" s="26" t="str">
        <f>IF(OR(E5964="",E5964="!!!",F5964="NEW"),"",COUNTBLANK(OFFSET(A$1,,,SUMPRODUCT(MAX(ROW(E$2:E5964)*(E5964=E$2:E5964)))))-COUNTBLANK(OFFSET(A$1,,,SUMPRODUCT(MAX(ROW(E$1:E5963)*(E2=E$1:E5963))))))</f>
        <v> </v>
      </c>
      <c r="K5964" s="26" t="str">
        <f>IF(OR(E5964="",E5964="!!!",F5964="NEW"),"",INDEX(J$1:J5963,SUMPRODUCT(MAX(ROW(E$1:E5963)*(E5964=E$1:E5963)))))</f>
        <v> </v>
      </c>
      <c r="L5964" s="27"/>
    </row>
    <row r="5965" spans="1:12">
      <c r="A5965" s="20" t="s">
        <v>11</v>
      </c>
      <c r="E5965" s="22">
        <f>IF(D5965="?OLD","!!!","")</f>
        <v/>
      </c>
      <c r="F5965" s="23" t="str">
        <f>IF(OR(E5965="",E5965="!!!"),"",IF(NOT(ISNA(VLOOKUP(E5965,E$1:E5964,1,FALSE()))),"OLD",IF(AND(E5965&lt;&gt;"",E5965&lt;&gt;"!!!"),"NEW","")))</f>
        <v> </v>
      </c>
      <c r="G5965" s="24" t="str">
        <f>IF(OR(E5965="",E5965="!!!"),"",IF(OR(J5965=0,AND(J5965=1,K5965=1),AND(J5965=1,I5965="SBJ"),AND(J5965=1,I5965=0)),"?IN_FOCUS",IF(J5965&lt;=2,"?ACTIVATED",IF(J5965&lt;&gt;"","?FAMILIAR",IF(F5965="NEW",IF(ISNA(VLOOKUP(E5965,#REF!,1,FALSE())),"?TYPE_IDENTIFIABLE","?REFERENTIAL"),"_")))))</f>
        <v> </v>
      </c>
      <c r="H5965" s="25" t="str">
        <f>IF(J5965&lt;&gt;1,"",IF(I5965="SBJ","CB","?"))</f>
        <v> </v>
      </c>
      <c r="I5965" s="26" t="str">
        <f>IF(OR(E5965="",E5965="!!!",F5965="NEW"),"",INDEX(B5964:B$2,-1+SUMPRODUCT(MAX(ROW(E5964:E$2)*(E5965=E5964:E$2)))))</f>
        <v> </v>
      </c>
      <c r="J5965" s="26" t="str">
        <f>IF(OR(E5965="",E5965="!!!",F5965="NEW"),"",COUNTBLANK(OFFSET(A$1,,,SUMPRODUCT(MAX(ROW(E$2:E5965)*(E5965=E$2:E5965)))))-COUNTBLANK(OFFSET(A$1,,,SUMPRODUCT(MAX(ROW(E$1:E5964)*(E2=E$1:E5964))))))</f>
        <v> </v>
      </c>
      <c r="K5965" s="26" t="str">
        <f>IF(OR(E5965="",E5965="!!!",F5965="NEW"),"",INDEX(J$1:J5964,SUMPRODUCT(MAX(ROW(E$1:E5964)*(E5965=E$1:E5964)))))</f>
        <v> </v>
      </c>
      <c r="L5965" s="27"/>
    </row>
    <row r="5966" spans="1:12">
      <c r="A5966" s="20" t="s">
        <v>2365</v>
      </c>
      <c r="E5966" s="22">
        <f>IF(D5966="?OLD","!!!","")</f>
        <v/>
      </c>
      <c r="F5966" s="23" t="str">
        <f>IF(OR(E5966="",E5966="!!!"),"",IF(NOT(ISNA(VLOOKUP(E5966,E$1:E5965,1,FALSE()))),"OLD",IF(AND(E5966&lt;&gt;"",E5966&lt;&gt;"!!!"),"NEW","")))</f>
        <v> </v>
      </c>
      <c r="G5966" s="24" t="str">
        <f>IF(OR(E5966="",E5966="!!!"),"",IF(OR(J5966=0,AND(J5966=1,K5966=1),AND(J5966=1,I5966="SBJ"),AND(J5966=1,I5966=0)),"?IN_FOCUS",IF(J5966&lt;=2,"?ACTIVATED",IF(J5966&lt;&gt;"","?FAMILIAR",IF(F5966="NEW",IF(ISNA(VLOOKUP(E5966,#REF!,1,FALSE())),"?TYPE_IDENTIFIABLE","?REFERENTIAL"),"_")))))</f>
        <v> </v>
      </c>
      <c r="H5966" s="25" t="str">
        <f>IF(J5966&lt;&gt;1,"",IF(I5966="SBJ","CB","?"))</f>
        <v> </v>
      </c>
      <c r="I5966" s="26" t="str">
        <f>IF(OR(E5966="",E5966="!!!",F5966="NEW"),"",INDEX(B5965:B$2,-1+SUMPRODUCT(MAX(ROW(E5965:E$2)*(E5966=E5965:E$2)))))</f>
        <v> </v>
      </c>
      <c r="J5966" s="26" t="str">
        <f>IF(OR(E5966="",E5966="!!!",F5966="NEW"),"",COUNTBLANK(OFFSET(A$1,,,SUMPRODUCT(MAX(ROW(E$2:E5966)*(E5966=E$2:E5966)))))-COUNTBLANK(OFFSET(A$1,,,SUMPRODUCT(MAX(ROW(E$1:E5965)*(E2=E$1:E5965))))))</f>
        <v> </v>
      </c>
      <c r="K5966" s="26" t="str">
        <f>IF(OR(E5966="",E5966="!!!",F5966="NEW"),"",INDEX(J$1:J5965,SUMPRODUCT(MAX(ROW(E$1:E5965)*(E5966=E$1:E5965)))))</f>
        <v> </v>
      </c>
      <c r="L5966" s="27"/>
    </row>
    <row r="5967" spans="1:12">
      <c r="A5967" s="20" t="s">
        <v>2807</v>
      </c>
      <c r="E5967" s="22">
        <f>IF(D5967="?OLD","!!!","")</f>
        <v/>
      </c>
      <c r="F5967" s="23" t="str">
        <f>IF(OR(E5967="",E5967="!!!"),"",IF(NOT(ISNA(VLOOKUP(E5967,E$1:E5966,1,FALSE()))),"OLD",IF(AND(E5967&lt;&gt;"",E5967&lt;&gt;"!!!"),"NEW","")))</f>
        <v> </v>
      </c>
      <c r="G5967" s="24" t="str">
        <f>IF(OR(E5967="",E5967="!!!"),"",IF(OR(J5967=0,AND(J5967=1,K5967=1),AND(J5967=1,I5967="SBJ"),AND(J5967=1,I5967=0)),"?IN_FOCUS",IF(J5967&lt;=2,"?ACTIVATED",IF(J5967&lt;&gt;"","?FAMILIAR",IF(F5967="NEW",IF(ISNA(VLOOKUP(E5967,#REF!,1,FALSE())),"?TYPE_IDENTIFIABLE","?REFERENTIAL"),"_")))))</f>
        <v> </v>
      </c>
      <c r="H5967" s="25" t="str">
        <f>IF(J5967&lt;&gt;1,"",IF(I5967="SBJ","CB","?"))</f>
        <v> </v>
      </c>
      <c r="I5967" s="26" t="str">
        <f>IF(OR(E5967="",E5967="!!!",F5967="NEW"),"",INDEX(B5966:B$2,-1+SUMPRODUCT(MAX(ROW(E5966:E$2)*(E5967=E5966:E$2)))))</f>
        <v> </v>
      </c>
      <c r="J5967" s="26" t="str">
        <f>IF(OR(E5967="",E5967="!!!",F5967="NEW"),"",COUNTBLANK(OFFSET(A$1,,,SUMPRODUCT(MAX(ROW(E$2:E5967)*(E5967=E$2:E5967)))))-COUNTBLANK(OFFSET(A$1,,,SUMPRODUCT(MAX(ROW(E$1:E5966)*(E2=E$1:E5966))))))</f>
        <v> </v>
      </c>
      <c r="K5967" s="26" t="str">
        <f>IF(OR(E5967="",E5967="!!!",F5967="NEW"),"",INDEX(J$1:J5966,SUMPRODUCT(MAX(ROW(E$1:E5966)*(E5967=E$1:E5966)))))</f>
        <v> </v>
      </c>
      <c r="L5967" s="27"/>
    </row>
    <row r="5968" spans="1:12">
      <c r="A5968" s="20" t="s">
        <v>818</v>
      </c>
      <c r="E5968" s="22">
        <f>IF(D5968="?OLD","!!!","")</f>
        <v/>
      </c>
      <c r="F5968" s="23" t="str">
        <f>IF(OR(E5968="",E5968="!!!"),"",IF(NOT(ISNA(VLOOKUP(E5968,E$1:E5967,1,FALSE()))),"OLD",IF(AND(E5968&lt;&gt;"",E5968&lt;&gt;"!!!"),"NEW","")))</f>
        <v> </v>
      </c>
      <c r="G5968" s="24" t="str">
        <f>IF(OR(E5968="",E5968="!!!"),"",IF(OR(J5968=0,AND(J5968=1,K5968=1),AND(J5968=1,I5968="SBJ"),AND(J5968=1,I5968=0)),"?IN_FOCUS",IF(J5968&lt;=2,"?ACTIVATED",IF(J5968&lt;&gt;"","?FAMILIAR",IF(F5968="NEW",IF(ISNA(VLOOKUP(E5968,#REF!,1,FALSE())),"?TYPE_IDENTIFIABLE","?REFERENTIAL"),"_")))))</f>
        <v> </v>
      </c>
      <c r="H5968" s="25" t="str">
        <f>IF(J5968&lt;&gt;1,"",IF(I5968="SBJ","CB","?"))</f>
        <v> </v>
      </c>
      <c r="I5968" s="26" t="str">
        <f>IF(OR(E5968="",E5968="!!!",F5968="NEW"),"",INDEX(B5967:B$2,-1+SUMPRODUCT(MAX(ROW(E5967:E$2)*(E5968=E5967:E$2)))))</f>
        <v> </v>
      </c>
      <c r="J5968" s="26" t="str">
        <f>IF(OR(E5968="",E5968="!!!",F5968="NEW"),"",COUNTBLANK(OFFSET(A$1,,,SUMPRODUCT(MAX(ROW(E$2:E5968)*(E5968=E$2:E5968)))))-COUNTBLANK(OFFSET(A$1,,,SUMPRODUCT(MAX(ROW(E$1:E5967)*(E2=E$1:E5967))))))</f>
        <v> </v>
      </c>
      <c r="K5968" s="26" t="str">
        <f>IF(OR(E5968="",E5968="!!!",F5968="NEW"),"",INDEX(J$1:J5967,SUMPRODUCT(MAX(ROW(E$1:E5967)*(E5968=E$1:E5967)))))</f>
        <v> </v>
      </c>
      <c r="L5968" s="27"/>
    </row>
    <row r="5969" spans="1:12">
      <c r="A5969" s="20"/>
    </row>
    <row r="5970" spans="1:12">
      <c r="A5970" s="20" t="s">
        <v>2808</v>
      </c>
    </row>
    <row r="5971" spans="1:12">
      <c r="A5971" s="20" t="s">
        <v>1256</v>
      </c>
      <c r="E5971" s="22">
        <f>IF(D5971="?OLD","!!!","")</f>
        <v/>
      </c>
      <c r="F5971" s="23" t="str">
        <f>IF(OR(E5971="",E5971="!!!"),"",IF(NOT(ISNA(VLOOKUP(E5971,E$1:E5970,1,FALSE()))),"OLD",IF(AND(E5971&lt;&gt;"",E5971&lt;&gt;"!!!"),"NEW","")))</f>
        <v> </v>
      </c>
      <c r="G5971" s="24" t="str">
        <f>IF(OR(E5971="",E5971="!!!"),"",IF(OR(J5971=0,AND(J5971=1,K5971=1),AND(J5971=1,I5971="SBJ"),AND(J5971=1,I5971=0)),"?IN_FOCUS",IF(J5971&lt;=2,"?ACTIVATED",IF(J5971&lt;&gt;"","?FAMILIAR",IF(F5971="NEW",IF(ISNA(VLOOKUP(E5971,#REF!,1,FALSE())),"?TYPE_IDENTIFIABLE","?REFERENTIAL"),"_")))))</f>
        <v> </v>
      </c>
      <c r="H5971" s="25" t="str">
        <f>IF(J5971&lt;&gt;1,"",IF(I5971="SBJ","CB","?"))</f>
        <v> </v>
      </c>
      <c r="I5971" s="26" t="str">
        <f>IF(OR(E5971="",E5971="!!!",F5971="NEW"),"",INDEX(B5970:B$2,-1+SUMPRODUCT(MAX(ROW(E5970:E$2)*(E5971=E5970:E$2)))))</f>
        <v> </v>
      </c>
      <c r="J5971" s="26" t="str">
        <f>IF(OR(E5971="",E5971="!!!",F5971="NEW"),"",COUNTBLANK(OFFSET(A$1,,,SUMPRODUCT(MAX(ROW(E$2:E5971)*(E5971=E$2:E5971)))))-COUNTBLANK(OFFSET(A$1,,,SUMPRODUCT(MAX(ROW(E$1:E5970)*(E2=E$1:E5970))))))</f>
        <v> </v>
      </c>
      <c r="K5971" s="26" t="str">
        <f>IF(OR(E5971="",E5971="!!!",F5971="NEW"),"",INDEX(J$1:J5970,SUMPRODUCT(MAX(ROW(E$1:E5970)*(E5971=E$1:E5970)))))</f>
        <v> </v>
      </c>
      <c r="L5971" s="27"/>
    </row>
    <row r="5972" spans="1:12">
      <c r="A5972" s="20" t="s">
        <v>1945</v>
      </c>
      <c r="E5972" s="22">
        <f>IF(D5972="?OLD","!!!","")</f>
        <v/>
      </c>
      <c r="F5972" s="23" t="str">
        <f>IF(OR(E5972="",E5972="!!!"),"",IF(NOT(ISNA(VLOOKUP(E5972,E$1:E5971,1,FALSE()))),"OLD",IF(AND(E5972&lt;&gt;"",E5972&lt;&gt;"!!!"),"NEW","")))</f>
        <v> </v>
      </c>
      <c r="G5972" s="24" t="str">
        <f>IF(OR(E5972="",E5972="!!!"),"",IF(OR(J5972=0,AND(J5972=1,K5972=1),AND(J5972=1,I5972="SBJ"),AND(J5972=1,I5972=0)),"?IN_FOCUS",IF(J5972&lt;=2,"?ACTIVATED",IF(J5972&lt;&gt;"","?FAMILIAR",IF(F5972="NEW",IF(ISNA(VLOOKUP(E5972,#REF!,1,FALSE())),"?TYPE_IDENTIFIABLE","?REFERENTIAL"),"_")))))</f>
        <v> </v>
      </c>
      <c r="H5972" s="25" t="str">
        <f>IF(J5972&lt;&gt;1,"",IF(I5972="SBJ","CB","?"))</f>
        <v> </v>
      </c>
      <c r="I5972" s="26" t="str">
        <f>IF(OR(E5972="",E5972="!!!",F5972="NEW"),"",INDEX(B5971:B$2,-1+SUMPRODUCT(MAX(ROW(E5971:E$2)*(E5972=E5971:E$2)))))</f>
        <v> </v>
      </c>
      <c r="J5972" s="26" t="str">
        <f>IF(OR(E5972="",E5972="!!!",F5972="NEW"),"",COUNTBLANK(OFFSET(A$1,,,SUMPRODUCT(MAX(ROW(E$2:E5972)*(E5972=E$2:E5972)))))-COUNTBLANK(OFFSET(A$1,,,SUMPRODUCT(MAX(ROW(E$1:E5971)*(E2=E$1:E5971))))))</f>
        <v> </v>
      </c>
      <c r="K5972" s="26" t="str">
        <f>IF(OR(E5972="",E5972="!!!",F5972="NEW"),"",INDEX(J$1:J5971,SUMPRODUCT(MAX(ROW(E$1:E5971)*(E5972=E$1:E5971)))))</f>
        <v> </v>
      </c>
      <c r="L5972" s="27"/>
    </row>
    <row r="5973" spans="1:12">
      <c r="A5973" s="20" t="s">
        <v>1185</v>
      </c>
      <c r="E5973" s="22">
        <f>IF(D5973="?OLD","!!!","")</f>
        <v/>
      </c>
      <c r="F5973" s="23" t="str">
        <f>IF(OR(E5973="",E5973="!!!"),"",IF(NOT(ISNA(VLOOKUP(E5973,E$1:E5972,1,FALSE()))),"OLD",IF(AND(E5973&lt;&gt;"",E5973&lt;&gt;"!!!"),"NEW","")))</f>
        <v> </v>
      </c>
      <c r="G5973" s="24" t="str">
        <f>IF(OR(E5973="",E5973="!!!"),"",IF(OR(J5973=0,AND(J5973=1,K5973=1),AND(J5973=1,I5973="SBJ"),AND(J5973=1,I5973=0)),"?IN_FOCUS",IF(J5973&lt;=2,"?ACTIVATED",IF(J5973&lt;&gt;"","?FAMILIAR",IF(F5973="NEW",IF(ISNA(VLOOKUP(E5973,#REF!,1,FALSE())),"?TYPE_IDENTIFIABLE","?REFERENTIAL"),"_")))))</f>
        <v> </v>
      </c>
      <c r="H5973" s="25" t="str">
        <f>IF(J5973&lt;&gt;1,"",IF(I5973="SBJ","CB","?"))</f>
        <v> </v>
      </c>
      <c r="I5973" s="26" t="str">
        <f>IF(OR(E5973="",E5973="!!!",F5973="NEW"),"",INDEX(B5972:B$2,-1+SUMPRODUCT(MAX(ROW(E5972:E$2)*(E5973=E5972:E$2)))))</f>
        <v> </v>
      </c>
      <c r="J5973" s="26" t="str">
        <f>IF(OR(E5973="",E5973="!!!",F5973="NEW"),"",COUNTBLANK(OFFSET(A$1,,,SUMPRODUCT(MAX(ROW(E$2:E5973)*(E5973=E$2:E5973)))))-COUNTBLANK(OFFSET(A$1,,,SUMPRODUCT(MAX(ROW(E$1:E5972)*(E2=E$1:E5972))))))</f>
        <v> </v>
      </c>
      <c r="K5973" s="26" t="str">
        <f>IF(OR(E5973="",E5973="!!!",F5973="NEW"),"",INDEX(J$1:J5972,SUMPRODUCT(MAX(ROW(E$1:E5972)*(E5973=E$1:E5972)))))</f>
        <v> </v>
      </c>
      <c r="L5973" s="27"/>
    </row>
    <row r="5974" spans="1:12">
      <c r="A5974" s="20" t="s">
        <v>1359</v>
      </c>
      <c r="E5974" s="22">
        <f>IF(D5974="?OLD","!!!","")</f>
        <v/>
      </c>
      <c r="F5974" s="23" t="str">
        <f>IF(OR(E5974="",E5974="!!!"),"",IF(NOT(ISNA(VLOOKUP(E5974,E$1:E5973,1,FALSE()))),"OLD",IF(AND(E5974&lt;&gt;"",E5974&lt;&gt;"!!!"),"NEW","")))</f>
        <v> </v>
      </c>
      <c r="G5974" s="24" t="str">
        <f>IF(OR(E5974="",E5974="!!!"),"",IF(OR(J5974=0,AND(J5974=1,K5974=1),AND(J5974=1,I5974="SBJ"),AND(J5974=1,I5974=0)),"?IN_FOCUS",IF(J5974&lt;=2,"?ACTIVATED",IF(J5974&lt;&gt;"","?FAMILIAR",IF(F5974="NEW",IF(ISNA(VLOOKUP(E5974,#REF!,1,FALSE())),"?TYPE_IDENTIFIABLE","?REFERENTIAL"),"_")))))</f>
        <v> </v>
      </c>
      <c r="H5974" s="25" t="str">
        <f>IF(J5974&lt;&gt;1,"",IF(I5974="SBJ","CB","?"))</f>
        <v> </v>
      </c>
      <c r="I5974" s="26" t="str">
        <f>IF(OR(E5974="",E5974="!!!",F5974="NEW"),"",INDEX(B5973:B$2,-1+SUMPRODUCT(MAX(ROW(E5973:E$2)*(E5974=E5973:E$2)))))</f>
        <v> </v>
      </c>
      <c r="J5974" s="26" t="str">
        <f>IF(OR(E5974="",E5974="!!!",F5974="NEW"),"",COUNTBLANK(OFFSET(A$1,,,SUMPRODUCT(MAX(ROW(E$2:E5974)*(E5974=E$2:E5974)))))-COUNTBLANK(OFFSET(A$1,,,SUMPRODUCT(MAX(ROW(E$1:E5973)*(E2=E$1:E5973))))))</f>
        <v> </v>
      </c>
      <c r="K5974" s="26" t="str">
        <f>IF(OR(E5974="",E5974="!!!",F5974="NEW"),"",INDEX(J$1:J5973,SUMPRODUCT(MAX(ROW(E$1:E5973)*(E5974=E$1:E5973)))))</f>
        <v> </v>
      </c>
      <c r="L5974" s="27"/>
    </row>
    <row r="5975" spans="1:12">
      <c r="A5975" s="20" t="s">
        <v>2809</v>
      </c>
      <c r="B5975" s="21" t="s">
        <v>1207</v>
      </c>
      <c r="C5975" s="21" t="s">
        <v>1297</v>
      </c>
      <c r="D5975" s="21" t="s">
        <v>1180</v>
      </c>
      <c r="E5975" s="22">
        <f>IF(D5975="?OLD","!!!","")</f>
        <v/>
      </c>
      <c r="F5975" s="23" t="str">
        <f>IF(OR(E5975="",E5975="!!!"),"",IF(NOT(ISNA(VLOOKUP(E5975,E$1:E5974,1,FALSE()))),"OLD",IF(AND(E5975&lt;&gt;"",E5975&lt;&gt;"!!!"),"NEW","")))</f>
        <v> </v>
      </c>
      <c r="G5975" s="24" t="str">
        <f>IF(OR(E5975="",E5975="!!!"),"",IF(OR(J5975=0,AND(J5975=1,K5975=1),AND(J5975=1,I5975="SBJ"),AND(J5975=1,I5975=0)),"?IN_FOCUS",IF(J5975&lt;=2,"?ACTIVATED",IF(J5975&lt;&gt;"","?FAMILIAR",IF(F5975="NEW",IF(ISNA(VLOOKUP(E5975,#REF!,1,FALSE())),"?TYPE_IDENTIFIABLE","?REFERENTIAL"),"_")))))</f>
        <v> </v>
      </c>
      <c r="H5975" s="25" t="str">
        <f>IF(J5975&lt;&gt;1,"",IF(I5975="SBJ","CB","?"))</f>
        <v> </v>
      </c>
      <c r="I5975" s="26" t="str">
        <f>IF(OR(E5975="",E5975="!!!",F5975="NEW"),"",INDEX(B5974:B$2,-1+SUMPRODUCT(MAX(ROW(E5974:E$2)*(E5975=E5974:E$2)))))</f>
        <v> </v>
      </c>
      <c r="J5975" s="26" t="str">
        <f>IF(OR(E5975="",E5975="!!!",F5975="NEW"),"",COUNTBLANK(OFFSET(A$1,,,SUMPRODUCT(MAX(ROW(E$2:E5975)*(E5975=E$2:E5975)))))-COUNTBLANK(OFFSET(A$1,,,SUMPRODUCT(MAX(ROW(E$1:E5974)*(E2=E$1:E5974))))))</f>
        <v> </v>
      </c>
      <c r="K5975" s="26" t="str">
        <f>IF(OR(E5975="",E5975="!!!",F5975="NEW"),"",INDEX(J$1:J5974,SUMPRODUCT(MAX(ROW(E$1:E5974)*(E5975=E$1:E5974)))))</f>
        <v> </v>
      </c>
      <c r="L5975" s="27"/>
    </row>
    <row r="5976" spans="1:12">
      <c r="A5976" s="20" t="s">
        <v>2810</v>
      </c>
      <c r="B5976" s="21" t="s">
        <v>1240</v>
      </c>
      <c r="C5976" s="21" t="s">
        <v>1184</v>
      </c>
      <c r="E5976" s="22">
        <f>IF(D5976="?OLD","!!!","")</f>
        <v/>
      </c>
      <c r="F5976" s="23" t="str">
        <f>IF(OR(E5976="",E5976="!!!"),"",IF(NOT(ISNA(VLOOKUP(E5976,E$1:E5975,1,FALSE()))),"OLD",IF(AND(E5976&lt;&gt;"",E5976&lt;&gt;"!!!"),"NEW","")))</f>
        <v> </v>
      </c>
      <c r="G5976" s="24" t="str">
        <f>IF(OR(E5976="",E5976="!!!"),"",IF(OR(J5976=0,AND(J5976=1,K5976=1),AND(J5976=1,I5976="SBJ"),AND(J5976=1,I5976=0)),"?IN_FOCUS",IF(J5976&lt;=2,"?ACTIVATED",IF(J5976&lt;&gt;"","?FAMILIAR",IF(F5976="NEW",IF(ISNA(VLOOKUP(E5976,#REF!,1,FALSE())),"?TYPE_IDENTIFIABLE","?REFERENTIAL"),"_")))))</f>
        <v> </v>
      </c>
      <c r="H5976" s="25" t="str">
        <f>IF(J5976&lt;&gt;1,"",IF(I5976="SBJ","CB","?"))</f>
        <v> </v>
      </c>
      <c r="I5976" s="26" t="str">
        <f>IF(OR(E5976="",E5976="!!!",F5976="NEW"),"",INDEX(B5975:B$2,-1+SUMPRODUCT(MAX(ROW(E5975:E$2)*(E5976=E5975:E$2)))))</f>
        <v> </v>
      </c>
      <c r="J5976" s="26" t="str">
        <f>IF(OR(E5976="",E5976="!!!",F5976="NEW"),"",COUNTBLANK(OFFSET(A$1,,,SUMPRODUCT(MAX(ROW(E$2:E5976)*(E5976=E$2:E5976)))))-COUNTBLANK(OFFSET(A$1,,,SUMPRODUCT(MAX(ROW(E$1:E5975)*(E2=E$1:E5975))))))</f>
        <v> </v>
      </c>
      <c r="K5976" s="26" t="str">
        <f>IF(OR(E5976="",E5976="!!!",F5976="NEW"),"",INDEX(J$1:J5975,SUMPRODUCT(MAX(ROW(E$1:E5975)*(E5976=E$1:E5975)))))</f>
        <v> </v>
      </c>
      <c r="L5976" s="27"/>
    </row>
    <row r="5977" spans="1:12">
      <c r="A5977" s="20" t="s">
        <v>1197</v>
      </c>
      <c r="E5977" s="22">
        <f>IF(D5977="?OLD","!!!","")</f>
        <v/>
      </c>
      <c r="F5977" s="23" t="str">
        <f>IF(OR(E5977="",E5977="!!!"),"",IF(NOT(ISNA(VLOOKUP(E5977,E$1:E5976,1,FALSE()))),"OLD",IF(AND(E5977&lt;&gt;"",E5977&lt;&gt;"!!!"),"NEW","")))</f>
        <v> </v>
      </c>
      <c r="G5977" s="24" t="str">
        <f>IF(OR(E5977="",E5977="!!!"),"",IF(OR(J5977=0,AND(J5977=1,K5977=1),AND(J5977=1,I5977="SBJ"),AND(J5977=1,I5977=0)),"?IN_FOCUS",IF(J5977&lt;=2,"?ACTIVATED",IF(J5977&lt;&gt;"","?FAMILIAR",IF(F5977="NEW",IF(ISNA(VLOOKUP(E5977,#REF!,1,FALSE())),"?TYPE_IDENTIFIABLE","?REFERENTIAL"),"_")))))</f>
        <v> </v>
      </c>
      <c r="H5977" s="25" t="str">
        <f>IF(J5977&lt;&gt;1,"",IF(I5977="SBJ","CB","?"))</f>
        <v> </v>
      </c>
      <c r="I5977" s="26" t="str">
        <f>IF(OR(E5977="",E5977="!!!",F5977="NEW"),"",INDEX(B5976:B$2,-1+SUMPRODUCT(MAX(ROW(E5976:E$2)*(E5977=E5976:E$2)))))</f>
        <v> </v>
      </c>
      <c r="J5977" s="26" t="str">
        <f>IF(OR(E5977="",E5977="!!!",F5977="NEW"),"",COUNTBLANK(OFFSET(A$1,,,SUMPRODUCT(MAX(ROW(E$2:E5977)*(E5977=E$2:E5977)))))-COUNTBLANK(OFFSET(A$1,,,SUMPRODUCT(MAX(ROW(E$1:E5976)*(E2=E$1:E5976))))))</f>
        <v> </v>
      </c>
      <c r="K5977" s="26" t="str">
        <f>IF(OR(E5977="",E5977="!!!",F5977="NEW"),"",INDEX(J$1:J5976,SUMPRODUCT(MAX(ROW(E$1:E5976)*(E5977=E$1:E5976)))))</f>
        <v> </v>
      </c>
      <c r="L5977" s="27"/>
    </row>
    <row r="5978" spans="1:12">
      <c r="A5978" s="20" t="s">
        <v>1876</v>
      </c>
      <c r="B5978" s="21" t="s">
        <v>1191</v>
      </c>
      <c r="C5978" s="21" t="s">
        <v>1184</v>
      </c>
      <c r="E5978" s="22">
        <f>IF(D5978="?OLD","!!!","")</f>
        <v/>
      </c>
      <c r="F5978" s="23" t="str">
        <f>IF(OR(E5978="",E5978="!!!"),"",IF(NOT(ISNA(VLOOKUP(E5978,E$1:E5977,1,FALSE()))),"OLD",IF(AND(E5978&lt;&gt;"",E5978&lt;&gt;"!!!"),"NEW","")))</f>
        <v> </v>
      </c>
      <c r="G5978" s="24" t="str">
        <f>IF(OR(E5978="",E5978="!!!"),"",IF(OR(J5978=0,AND(J5978=1,K5978=1),AND(J5978=1,I5978="SBJ"),AND(J5978=1,I5978=0)),"?IN_FOCUS",IF(J5978&lt;=2,"?ACTIVATED",IF(J5978&lt;&gt;"","?FAMILIAR",IF(F5978="NEW",IF(ISNA(VLOOKUP(E5978,#REF!,1,FALSE())),"?TYPE_IDENTIFIABLE","?REFERENTIAL"),"_")))))</f>
        <v> </v>
      </c>
      <c r="H5978" s="25" t="str">
        <f>IF(J5978&lt;&gt;1,"",IF(I5978="SBJ","CB","?"))</f>
        <v> </v>
      </c>
      <c r="I5978" s="26" t="str">
        <f>IF(OR(E5978="",E5978="!!!",F5978="NEW"),"",INDEX(B5977:B$2,-1+SUMPRODUCT(MAX(ROW(E5977:E$2)*(E5978=E5977:E$2)))))</f>
        <v> </v>
      </c>
      <c r="J5978" s="26" t="str">
        <f>IF(OR(E5978="",E5978="!!!",F5978="NEW"),"",COUNTBLANK(OFFSET(A$1,,,SUMPRODUCT(MAX(ROW(E$2:E5978)*(E5978=E$2:E5978)))))-COUNTBLANK(OFFSET(A$1,,,SUMPRODUCT(MAX(ROW(E$1:E5977)*(E2=E$1:E5977))))))</f>
        <v> </v>
      </c>
      <c r="K5978" s="26" t="str">
        <f>IF(OR(E5978="",E5978="!!!",F5978="NEW"),"",INDEX(J$1:J5977,SUMPRODUCT(MAX(ROW(E$1:E5977)*(E5978=E$1:E5977)))))</f>
        <v> </v>
      </c>
      <c r="L5978" s="27"/>
    </row>
    <row r="5979" spans="1:12">
      <c r="A5979" s="20" t="s">
        <v>1972</v>
      </c>
      <c r="E5979" s="22">
        <f>IF(D5979="?OLD","!!!","")</f>
        <v/>
      </c>
      <c r="F5979" s="23" t="str">
        <f>IF(OR(E5979="",E5979="!!!"),"",IF(NOT(ISNA(VLOOKUP(E5979,E$1:E5978,1,FALSE()))),"OLD",IF(AND(E5979&lt;&gt;"",E5979&lt;&gt;"!!!"),"NEW","")))</f>
        <v> </v>
      </c>
      <c r="G5979" s="24" t="str">
        <f>IF(OR(E5979="",E5979="!!!"),"",IF(OR(J5979=0,AND(J5979=1,K5979=1),AND(J5979=1,I5979="SBJ"),AND(J5979=1,I5979=0)),"?IN_FOCUS",IF(J5979&lt;=2,"?ACTIVATED",IF(J5979&lt;&gt;"","?FAMILIAR",IF(F5979="NEW",IF(ISNA(VLOOKUP(E5979,#REF!,1,FALSE())),"?TYPE_IDENTIFIABLE","?REFERENTIAL"),"_")))))</f>
        <v> </v>
      </c>
      <c r="H5979" s="25" t="str">
        <f>IF(J5979&lt;&gt;1,"",IF(I5979="SBJ","CB","?"))</f>
        <v> </v>
      </c>
      <c r="I5979" s="26" t="str">
        <f>IF(OR(E5979="",E5979="!!!",F5979="NEW"),"",INDEX(B5978:B$2,-1+SUMPRODUCT(MAX(ROW(E5978:E$2)*(E5979=E5978:E$2)))))</f>
        <v> </v>
      </c>
      <c r="J5979" s="26" t="str">
        <f>IF(OR(E5979="",E5979="!!!",F5979="NEW"),"",COUNTBLANK(OFFSET(A$1,,,SUMPRODUCT(MAX(ROW(E$2:E5979)*(E5979=E$2:E5979)))))-COUNTBLANK(OFFSET(A$1,,,SUMPRODUCT(MAX(ROW(E$1:E5978)*(E2=E$1:E5978))))))</f>
        <v> </v>
      </c>
      <c r="K5979" s="26" t="str">
        <f>IF(OR(E5979="",E5979="!!!",F5979="NEW"),"",INDEX(J$1:J5978,SUMPRODUCT(MAX(ROW(E$1:E5978)*(E5979=E$1:E5978)))))</f>
        <v> </v>
      </c>
      <c r="L5979" s="27"/>
    </row>
    <row r="5980" spans="1:12">
      <c r="A5980" s="20" t="s">
        <v>1953</v>
      </c>
      <c r="E5980" s="22">
        <f>IF(D5980="?OLD","!!!","")</f>
        <v/>
      </c>
      <c r="F5980" s="23" t="str">
        <f>IF(OR(E5980="",E5980="!!!"),"",IF(NOT(ISNA(VLOOKUP(E5980,E$1:E5979,1,FALSE()))),"OLD",IF(AND(E5980&lt;&gt;"",E5980&lt;&gt;"!!!"),"NEW","")))</f>
        <v> </v>
      </c>
      <c r="G5980" s="24" t="str">
        <f>IF(OR(E5980="",E5980="!!!"),"",IF(OR(J5980=0,AND(J5980=1,K5980=1),AND(J5980=1,I5980="SBJ"),AND(J5980=1,I5980=0)),"?IN_FOCUS",IF(J5980&lt;=2,"?ACTIVATED",IF(J5980&lt;&gt;"","?FAMILIAR",IF(F5980="NEW",IF(ISNA(VLOOKUP(E5980,#REF!,1,FALSE())),"?TYPE_IDENTIFIABLE","?REFERENTIAL"),"_")))))</f>
        <v> </v>
      </c>
      <c r="H5980" s="25" t="str">
        <f>IF(J5980&lt;&gt;1,"",IF(I5980="SBJ","CB","?"))</f>
        <v> </v>
      </c>
      <c r="I5980" s="26" t="str">
        <f>IF(OR(E5980="",E5980="!!!",F5980="NEW"),"",INDEX(B5979:B$2,-1+SUMPRODUCT(MAX(ROW(E5979:E$2)*(E5980=E5979:E$2)))))</f>
        <v> </v>
      </c>
      <c r="J5980" s="26" t="str">
        <f>IF(OR(E5980="",E5980="!!!",F5980="NEW"),"",COUNTBLANK(OFFSET(A$1,,,SUMPRODUCT(MAX(ROW(E$2:E5980)*(E5980=E$2:E5980)))))-COUNTBLANK(OFFSET(A$1,,,SUMPRODUCT(MAX(ROW(E$1:E5979)*(E2=E$1:E5979))))))</f>
        <v> </v>
      </c>
      <c r="K5980" s="26" t="str">
        <f>IF(OR(E5980="",E5980="!!!",F5980="NEW"),"",INDEX(J$1:J5979,SUMPRODUCT(MAX(ROW(E$1:E5979)*(E5980=E$1:E5979)))))</f>
        <v> </v>
      </c>
      <c r="L5980" s="27"/>
    </row>
    <row r="5981" spans="1:12">
      <c r="A5981" s="20" t="s">
        <v>1185</v>
      </c>
      <c r="E5981" s="22">
        <f>IF(D5981="?OLD","!!!","")</f>
        <v/>
      </c>
      <c r="F5981" s="23" t="str">
        <f>IF(OR(E5981="",E5981="!!!"),"",IF(NOT(ISNA(VLOOKUP(E5981,E$1:E5980,1,FALSE()))),"OLD",IF(AND(E5981&lt;&gt;"",E5981&lt;&gt;"!!!"),"NEW","")))</f>
        <v> </v>
      </c>
      <c r="G5981" s="24" t="str">
        <f>IF(OR(E5981="",E5981="!!!"),"",IF(OR(J5981=0,AND(J5981=1,K5981=1),AND(J5981=1,I5981="SBJ"),AND(J5981=1,I5981=0)),"?IN_FOCUS",IF(J5981&lt;=2,"?ACTIVATED",IF(J5981&lt;&gt;"","?FAMILIAR",IF(F5981="NEW",IF(ISNA(VLOOKUP(E5981,#REF!,1,FALSE())),"?TYPE_IDENTIFIABLE","?REFERENTIAL"),"_")))))</f>
        <v> </v>
      </c>
      <c r="H5981" s="25" t="str">
        <f>IF(J5981&lt;&gt;1,"",IF(I5981="SBJ","CB","?"))</f>
        <v> </v>
      </c>
      <c r="I5981" s="26" t="str">
        <f>IF(OR(E5981="",E5981="!!!",F5981="NEW"),"",INDEX(B5980:B$2,-1+SUMPRODUCT(MAX(ROW(E5980:E$2)*(E5981=E5980:E$2)))))</f>
        <v> </v>
      </c>
      <c r="J5981" s="26" t="str">
        <f>IF(OR(E5981="",E5981="!!!",F5981="NEW"),"",COUNTBLANK(OFFSET(A$1,,,SUMPRODUCT(MAX(ROW(E$2:E5981)*(E5981=E$2:E5981)))))-COUNTBLANK(OFFSET(A$1,,,SUMPRODUCT(MAX(ROW(E$1:E5980)*(E2=E$1:E5980))))))</f>
        <v> </v>
      </c>
      <c r="K5981" s="26" t="str">
        <f>IF(OR(E5981="",E5981="!!!",F5981="NEW"),"",INDEX(J$1:J5980,SUMPRODUCT(MAX(ROW(E$1:E5980)*(E5981=E$1:E5980)))))</f>
        <v> </v>
      </c>
      <c r="L5981" s="27"/>
    </row>
    <row r="5982" spans="1:12">
      <c r="A5982" s="20" t="s">
        <v>1310</v>
      </c>
      <c r="E5982" s="22">
        <f>IF(D5982="?OLD","!!!","")</f>
        <v/>
      </c>
      <c r="F5982" s="23" t="str">
        <f>IF(OR(E5982="",E5982="!!!"),"",IF(NOT(ISNA(VLOOKUP(E5982,E$1:E5981,1,FALSE()))),"OLD",IF(AND(E5982&lt;&gt;"",E5982&lt;&gt;"!!!"),"NEW","")))</f>
        <v> </v>
      </c>
      <c r="G5982" s="24" t="str">
        <f>IF(OR(E5982="",E5982="!!!"),"",IF(OR(J5982=0,AND(J5982=1,K5982=1),AND(J5982=1,I5982="SBJ"),AND(J5982=1,I5982=0)),"?IN_FOCUS",IF(J5982&lt;=2,"?ACTIVATED",IF(J5982&lt;&gt;"","?FAMILIAR",IF(F5982="NEW",IF(ISNA(VLOOKUP(E5982,#REF!,1,FALSE())),"?TYPE_IDENTIFIABLE","?REFERENTIAL"),"_")))))</f>
        <v> </v>
      </c>
      <c r="H5982" s="25" t="str">
        <f>IF(J5982&lt;&gt;1,"",IF(I5982="SBJ","CB","?"))</f>
        <v> </v>
      </c>
      <c r="I5982" s="26" t="str">
        <f>IF(OR(E5982="",E5982="!!!",F5982="NEW"),"",INDEX(B5981:B$2,-1+SUMPRODUCT(MAX(ROW(E5981:E$2)*(E5982=E5981:E$2)))))</f>
        <v> </v>
      </c>
      <c r="J5982" s="26" t="str">
        <f>IF(OR(E5982="",E5982="!!!",F5982="NEW"),"",COUNTBLANK(OFFSET(A$1,,,SUMPRODUCT(MAX(ROW(E$2:E5982)*(E5982=E$2:E5982)))))-COUNTBLANK(OFFSET(A$1,,,SUMPRODUCT(MAX(ROW(E$1:E5981)*(E2=E$1:E5981))))))</f>
        <v> </v>
      </c>
      <c r="K5982" s="26" t="str">
        <f>IF(OR(E5982="",E5982="!!!",F5982="NEW"),"",INDEX(J$1:J5981,SUMPRODUCT(MAX(ROW(E$1:E5981)*(E5982=E$1:E5981)))))</f>
        <v> </v>
      </c>
      <c r="L5982" s="27"/>
    </row>
    <row r="5983" spans="1:12">
      <c r="A5983" s="20" t="s">
        <v>1186</v>
      </c>
      <c r="E5983" s="22">
        <f>IF(D5983="?OLD","!!!","")</f>
        <v/>
      </c>
      <c r="F5983" s="23" t="str">
        <f>IF(OR(E5983="",E5983="!!!"),"",IF(NOT(ISNA(VLOOKUP(E5983,E$1:E5982,1,FALSE()))),"OLD",IF(AND(E5983&lt;&gt;"",E5983&lt;&gt;"!!!"),"NEW","")))</f>
        <v> </v>
      </c>
      <c r="G5983" s="24" t="str">
        <f>IF(OR(E5983="",E5983="!!!"),"",IF(OR(J5983=0,AND(J5983=1,K5983=1),AND(J5983=1,I5983="SBJ"),AND(J5983=1,I5983=0)),"?IN_FOCUS",IF(J5983&lt;=2,"?ACTIVATED",IF(J5983&lt;&gt;"","?FAMILIAR",IF(F5983="NEW",IF(ISNA(VLOOKUP(E5983,#REF!,1,FALSE())),"?TYPE_IDENTIFIABLE","?REFERENTIAL"),"_")))))</f>
        <v> </v>
      </c>
      <c r="H5983" s="25" t="str">
        <f>IF(J5983&lt;&gt;1,"",IF(I5983="SBJ","CB","?"))</f>
        <v> </v>
      </c>
      <c r="I5983" s="26" t="str">
        <f>IF(OR(E5983="",E5983="!!!",F5983="NEW"),"",INDEX(B5982:B$2,-1+SUMPRODUCT(MAX(ROW(E5982:E$2)*(E5983=E5982:E$2)))))</f>
        <v> </v>
      </c>
      <c r="J5983" s="26" t="str">
        <f>IF(OR(E5983="",E5983="!!!",F5983="NEW"),"",COUNTBLANK(OFFSET(A$1,,,SUMPRODUCT(MAX(ROW(E$2:E5983)*(E5983=E$2:E5983)))))-COUNTBLANK(OFFSET(A$1,,,SUMPRODUCT(MAX(ROW(E$1:E5982)*(E2=E$1:E5982))))))</f>
        <v> </v>
      </c>
      <c r="K5983" s="26" t="str">
        <f>IF(OR(E5983="",E5983="!!!",F5983="NEW"),"",INDEX(J$1:J5982,SUMPRODUCT(MAX(ROW(E$1:E5982)*(E5983=E$1:E5982)))))</f>
        <v> </v>
      </c>
      <c r="L5983" s="27"/>
    </row>
    <row r="5984" spans="1:12">
      <c r="A5984" s="20" t="s">
        <v>2811</v>
      </c>
      <c r="B5984" s="21" t="s">
        <v>1304</v>
      </c>
      <c r="C5984" s="21" t="s">
        <v>1188</v>
      </c>
      <c r="D5984" s="21" t="s">
        <v>1180</v>
      </c>
      <c r="E5984" s="22">
        <f>IF(D5984="?OLD","!!!","")</f>
        <v/>
      </c>
      <c r="F5984" s="23" t="str">
        <f>IF(OR(E5984="",E5984="!!!"),"",IF(NOT(ISNA(VLOOKUP(E5984,E$1:E5983,1,FALSE()))),"OLD",IF(AND(E5984&lt;&gt;"",E5984&lt;&gt;"!!!"),"NEW","")))</f>
        <v> </v>
      </c>
      <c r="G5984" s="24" t="str">
        <f>IF(OR(E5984="",E5984="!!!"),"",IF(OR(J5984=0,AND(J5984=1,K5984=1),AND(J5984=1,I5984="SBJ"),AND(J5984=1,I5984=0)),"?IN_FOCUS",IF(J5984&lt;=2,"?ACTIVATED",IF(J5984&lt;&gt;"","?FAMILIAR",IF(F5984="NEW",IF(ISNA(VLOOKUP(E5984,#REF!,1,FALSE())),"?TYPE_IDENTIFIABLE","?REFERENTIAL"),"_")))))</f>
        <v> </v>
      </c>
      <c r="H5984" s="25" t="str">
        <f>IF(J5984&lt;&gt;1,"",IF(I5984="SBJ","CB","?"))</f>
        <v> </v>
      </c>
      <c r="I5984" s="26" t="str">
        <f>IF(OR(E5984="",E5984="!!!",F5984="NEW"),"",INDEX(B5983:B$2,-1+SUMPRODUCT(MAX(ROW(E5983:E$2)*(E5984=E5983:E$2)))))</f>
        <v> </v>
      </c>
      <c r="J5984" s="26" t="str">
        <f>IF(OR(E5984="",E5984="!!!",F5984="NEW"),"",COUNTBLANK(OFFSET(A$1,,,SUMPRODUCT(MAX(ROW(E$2:E5984)*(E5984=E$2:E5984)))))-COUNTBLANK(OFFSET(A$1,,,SUMPRODUCT(MAX(ROW(E$1:E5983)*(E2=E$1:E5983))))))</f>
        <v> </v>
      </c>
      <c r="K5984" s="26" t="str">
        <f>IF(OR(E5984="",E5984="!!!",F5984="NEW"),"",INDEX(J$1:J5983,SUMPRODUCT(MAX(ROW(E$1:E5983)*(E5984=E$1:E5983)))))</f>
        <v> </v>
      </c>
      <c r="L5984" s="27"/>
    </row>
    <row r="5985" spans="1:12">
      <c r="A5985" s="20" t="s">
        <v>2812</v>
      </c>
      <c r="E5985" s="22">
        <f>IF(D5985="?OLD","!!!","")</f>
        <v/>
      </c>
      <c r="F5985" s="23" t="str">
        <f>IF(OR(E5985="",E5985="!!!"),"",IF(NOT(ISNA(VLOOKUP(E5985,E$1:E5984,1,FALSE()))),"OLD",IF(AND(E5985&lt;&gt;"",E5985&lt;&gt;"!!!"),"NEW","")))</f>
        <v> </v>
      </c>
      <c r="G5985" s="24" t="str">
        <f>IF(OR(E5985="",E5985="!!!"),"",IF(OR(J5985=0,AND(J5985=1,K5985=1),AND(J5985=1,I5985="SBJ"),AND(J5985=1,I5985=0)),"?IN_FOCUS",IF(J5985&lt;=2,"?ACTIVATED",IF(J5985&lt;&gt;"","?FAMILIAR",IF(F5985="NEW",IF(ISNA(VLOOKUP(E5985,#REF!,1,FALSE())),"?TYPE_IDENTIFIABLE","?REFERENTIAL"),"_")))))</f>
        <v> </v>
      </c>
      <c r="H5985" s="25" t="str">
        <f>IF(J5985&lt;&gt;1,"",IF(I5985="SBJ","CB","?"))</f>
        <v> </v>
      </c>
      <c r="I5985" s="26" t="str">
        <f>IF(OR(E5985="",E5985="!!!",F5985="NEW"),"",INDEX(B5984:B$2,-1+SUMPRODUCT(MAX(ROW(E5984:E$2)*(E5985=E5984:E$2)))))</f>
        <v> </v>
      </c>
      <c r="J5985" s="26" t="str">
        <f>IF(OR(E5985="",E5985="!!!",F5985="NEW"),"",COUNTBLANK(OFFSET(A$1,,,SUMPRODUCT(MAX(ROW(E$2:E5985)*(E5985=E$2:E5985)))))-COUNTBLANK(OFFSET(A$1,,,SUMPRODUCT(MAX(ROW(E$1:E5984)*(E2=E$1:E5984))))))</f>
        <v> </v>
      </c>
      <c r="K5985" s="26" t="str">
        <f>IF(OR(E5985="",E5985="!!!",F5985="NEW"),"",INDEX(J$1:J5984,SUMPRODUCT(MAX(ROW(E$1:E5984)*(E5985=E$1:E5984)))))</f>
        <v> </v>
      </c>
      <c r="L5985" s="27"/>
    </row>
    <row r="5986" spans="1:12">
      <c r="A5986" s="20" t="s">
        <v>2052</v>
      </c>
      <c r="B5986" s="21" t="s">
        <v>1278</v>
      </c>
      <c r="C5986" s="21" t="s">
        <v>1184</v>
      </c>
      <c r="E5986" s="22">
        <f>IF(D5986="?OLD","!!!","")</f>
        <v/>
      </c>
      <c r="F5986" s="23" t="str">
        <f>IF(OR(E5986="",E5986="!!!"),"",IF(NOT(ISNA(VLOOKUP(E5986,E$1:E5985,1,FALSE()))),"OLD",IF(AND(E5986&lt;&gt;"",E5986&lt;&gt;"!!!"),"NEW","")))</f>
        <v> </v>
      </c>
      <c r="G5986" s="24" t="str">
        <f>IF(OR(E5986="",E5986="!!!"),"",IF(OR(J5986=0,AND(J5986=1,K5986=1),AND(J5986=1,I5986="SBJ"),AND(J5986=1,I5986=0)),"?IN_FOCUS",IF(J5986&lt;=2,"?ACTIVATED",IF(J5986&lt;&gt;"","?FAMILIAR",IF(F5986="NEW",IF(ISNA(VLOOKUP(E5986,#REF!,1,FALSE())),"?TYPE_IDENTIFIABLE","?REFERENTIAL"),"_")))))</f>
        <v> </v>
      </c>
      <c r="H5986" s="25" t="str">
        <f>IF(J5986&lt;&gt;1,"",IF(I5986="SBJ","CB","?"))</f>
        <v> </v>
      </c>
      <c r="I5986" s="26" t="str">
        <f>IF(OR(E5986="",E5986="!!!",F5986="NEW"),"",INDEX(B5985:B$2,-1+SUMPRODUCT(MAX(ROW(E5985:E$2)*(E5986=E5985:E$2)))))</f>
        <v> </v>
      </c>
      <c r="J5986" s="26" t="str">
        <f>IF(OR(E5986="",E5986="!!!",F5986="NEW"),"",COUNTBLANK(OFFSET(A$1,,,SUMPRODUCT(MAX(ROW(E$2:E5986)*(E5986=E$2:E5986)))))-COUNTBLANK(OFFSET(A$1,,,SUMPRODUCT(MAX(ROW(E$1:E5985)*(E2=E$1:E5985))))))</f>
        <v> </v>
      </c>
      <c r="K5986" s="26" t="str">
        <f>IF(OR(E5986="",E5986="!!!",F5986="NEW"),"",INDEX(J$1:J5985,SUMPRODUCT(MAX(ROW(E$1:E5985)*(E5986=E$1:E5985)))))</f>
        <v> </v>
      </c>
      <c r="L5986" s="27"/>
    </row>
    <row r="5987" spans="1:12">
      <c r="A5987" s="20" t="s">
        <v>1513</v>
      </c>
      <c r="E5987" s="22">
        <f>IF(D5987="?OLD","!!!","")</f>
        <v/>
      </c>
      <c r="F5987" s="23" t="str">
        <f>IF(OR(E5987="",E5987="!!!"),"",IF(NOT(ISNA(VLOOKUP(E5987,E$1:E5986,1,FALSE()))),"OLD",IF(AND(E5987&lt;&gt;"",E5987&lt;&gt;"!!!"),"NEW","")))</f>
        <v> </v>
      </c>
      <c r="G5987" s="24" t="str">
        <f>IF(OR(E5987="",E5987="!!!"),"",IF(OR(J5987=0,AND(J5987=1,K5987=1),AND(J5987=1,I5987="SBJ"),AND(J5987=1,I5987=0)),"?IN_FOCUS",IF(J5987&lt;=2,"?ACTIVATED",IF(J5987&lt;&gt;"","?FAMILIAR",IF(F5987="NEW",IF(ISNA(VLOOKUP(E5987,#REF!,1,FALSE())),"?TYPE_IDENTIFIABLE","?REFERENTIAL"),"_")))))</f>
        <v> </v>
      </c>
      <c r="H5987" s="25" t="str">
        <f>IF(J5987&lt;&gt;1,"",IF(I5987="SBJ","CB","?"))</f>
        <v> </v>
      </c>
      <c r="I5987" s="26" t="str">
        <f>IF(OR(E5987="",E5987="!!!",F5987="NEW"),"",INDEX(B5986:B$2,-1+SUMPRODUCT(MAX(ROW(E5986:E$2)*(E5987=E5986:E$2)))))</f>
        <v> </v>
      </c>
      <c r="J5987" s="26" t="str">
        <f>IF(OR(E5987="",E5987="!!!",F5987="NEW"),"",COUNTBLANK(OFFSET(A$1,,,SUMPRODUCT(MAX(ROW(E$2:E5987)*(E5987=E$2:E5987)))))-COUNTBLANK(OFFSET(A$1,,,SUMPRODUCT(MAX(ROW(E$1:E5986)*(E2=E$1:E5986))))))</f>
        <v> </v>
      </c>
      <c r="K5987" s="26" t="str">
        <f>IF(OR(E5987="",E5987="!!!",F5987="NEW"),"",INDEX(J$1:J5986,SUMPRODUCT(MAX(ROW(E$1:E5986)*(E5987=E$1:E5986)))))</f>
        <v> </v>
      </c>
      <c r="L5987" s="27"/>
    </row>
    <row r="5988" spans="1:12">
      <c r="A5988" s="20" t="s">
        <v>1276</v>
      </c>
      <c r="E5988" s="22">
        <f>IF(D5988="?OLD","!!!","")</f>
        <v/>
      </c>
      <c r="F5988" s="23" t="str">
        <f>IF(OR(E5988="",E5988="!!!"),"",IF(NOT(ISNA(VLOOKUP(E5988,E$1:E5987,1,FALSE()))),"OLD",IF(AND(E5988&lt;&gt;"",E5988&lt;&gt;"!!!"),"NEW","")))</f>
        <v> </v>
      </c>
      <c r="G5988" s="24" t="str">
        <f>IF(OR(E5988="",E5988="!!!"),"",IF(OR(J5988=0,AND(J5988=1,K5988=1),AND(J5988=1,I5988="SBJ"),AND(J5988=1,I5988=0)),"?IN_FOCUS",IF(J5988&lt;=2,"?ACTIVATED",IF(J5988&lt;&gt;"","?FAMILIAR",IF(F5988="NEW",IF(ISNA(VLOOKUP(E5988,#REF!,1,FALSE())),"?TYPE_IDENTIFIABLE","?REFERENTIAL"),"_")))))</f>
        <v> </v>
      </c>
      <c r="H5988" s="25" t="str">
        <f>IF(J5988&lt;&gt;1,"",IF(I5988="SBJ","CB","?"))</f>
        <v> </v>
      </c>
      <c r="I5988" s="26" t="str">
        <f>IF(OR(E5988="",E5988="!!!",F5988="NEW"),"",INDEX(B5987:B$2,-1+SUMPRODUCT(MAX(ROW(E5987:E$2)*(E5988=E5987:E$2)))))</f>
        <v> </v>
      </c>
      <c r="J5988" s="26" t="str">
        <f>IF(OR(E5988="",E5988="!!!",F5988="NEW"),"",COUNTBLANK(OFFSET(A$1,,,SUMPRODUCT(MAX(ROW(E$2:E5988)*(E5988=E$2:E5988)))))-COUNTBLANK(OFFSET(A$1,,,SUMPRODUCT(MAX(ROW(E$1:E5987)*(E2=E$1:E5987))))))</f>
        <v> </v>
      </c>
      <c r="K5988" s="26" t="str">
        <f>IF(OR(E5988="",E5988="!!!",F5988="NEW"),"",INDEX(J$1:J5987,SUMPRODUCT(MAX(ROW(E$1:E5987)*(E5988=E$1:E5987)))))</f>
        <v> </v>
      </c>
      <c r="L5988" s="27"/>
    </row>
    <row r="5989" spans="1:12">
      <c r="A5989" s="20" t="s">
        <v>2813</v>
      </c>
      <c r="B5989" s="21" t="s">
        <v>1207</v>
      </c>
      <c r="C5989" s="21" t="s">
        <v>1223</v>
      </c>
      <c r="E5989" s="22">
        <f>IF(D5989="?OLD","!!!","")</f>
        <v/>
      </c>
      <c r="F5989" s="23" t="str">
        <f>IF(OR(E5989="",E5989="!!!"),"",IF(NOT(ISNA(VLOOKUP(E5989,E$1:E5988,1,FALSE()))),"OLD",IF(AND(E5989&lt;&gt;"",E5989&lt;&gt;"!!!"),"NEW","")))</f>
        <v> </v>
      </c>
      <c r="G5989" s="24" t="str">
        <f>IF(OR(E5989="",E5989="!!!"),"",IF(OR(J5989=0,AND(J5989=1,K5989=1),AND(J5989=1,I5989="SBJ"),AND(J5989=1,I5989=0)),"?IN_FOCUS",IF(J5989&lt;=2,"?ACTIVATED",IF(J5989&lt;&gt;"","?FAMILIAR",IF(F5989="NEW",IF(ISNA(VLOOKUP(E5989,#REF!,1,FALSE())),"?TYPE_IDENTIFIABLE","?REFERENTIAL"),"_")))))</f>
        <v> </v>
      </c>
      <c r="H5989" s="25" t="str">
        <f>IF(J5989&lt;&gt;1,"",IF(I5989="SBJ","CB","?"))</f>
        <v> </v>
      </c>
      <c r="I5989" s="26" t="str">
        <f>IF(OR(E5989="",E5989="!!!",F5989="NEW"),"",INDEX(B5988:B$2,-1+SUMPRODUCT(MAX(ROW(E5988:E$2)*(E5989=E5988:E$2)))))</f>
        <v> </v>
      </c>
      <c r="J5989" s="26" t="str">
        <f>IF(OR(E5989="",E5989="!!!",F5989="NEW"),"",COUNTBLANK(OFFSET(A$1,,,SUMPRODUCT(MAX(ROW(E$2:E5989)*(E5989=E$2:E5989)))))-COUNTBLANK(OFFSET(A$1,,,SUMPRODUCT(MAX(ROW(E$1:E5988)*(E2=E$1:E5988))))))</f>
        <v> </v>
      </c>
      <c r="K5989" s="26" t="str">
        <f>IF(OR(E5989="",E5989="!!!",F5989="NEW"),"",INDEX(J$1:J5988,SUMPRODUCT(MAX(ROW(E$1:E5988)*(E5989=E$1:E5988)))))</f>
        <v> </v>
      </c>
      <c r="L5989" s="27"/>
    </row>
    <row r="5990" spans="1:12">
      <c r="A5990" s="20" t="s">
        <v>2814</v>
      </c>
      <c r="B5990" s="21" t="s">
        <v>1304</v>
      </c>
      <c r="E5990" s="22">
        <f>IF(D5990="?OLD","!!!","")</f>
        <v/>
      </c>
      <c r="F5990" s="23" t="str">
        <f>IF(OR(E5990="",E5990="!!!"),"",IF(NOT(ISNA(VLOOKUP(E5990,E$1:E5989,1,FALSE()))),"OLD",IF(AND(E5990&lt;&gt;"",E5990&lt;&gt;"!!!"),"NEW","")))</f>
        <v> </v>
      </c>
      <c r="G5990" s="24" t="str">
        <f>IF(OR(E5990="",E5990="!!!"),"",IF(OR(J5990=0,AND(J5990=1,K5990=1),AND(J5990=1,I5990="SBJ"),AND(J5990=1,I5990=0)),"?IN_FOCUS",IF(J5990&lt;=2,"?ACTIVATED",IF(J5990&lt;&gt;"","?FAMILIAR",IF(F5990="NEW",IF(ISNA(VLOOKUP(E5990,#REF!,1,FALSE())),"?TYPE_IDENTIFIABLE","?REFERENTIAL"),"_")))))</f>
        <v> </v>
      </c>
      <c r="H5990" s="25" t="str">
        <f>IF(J5990&lt;&gt;1,"",IF(I5990="SBJ","CB","?"))</f>
        <v> </v>
      </c>
      <c r="I5990" s="26" t="str">
        <f>IF(OR(E5990="",E5990="!!!",F5990="NEW"),"",INDEX(B5989:B$2,-1+SUMPRODUCT(MAX(ROW(E5989:E$2)*(E5990=E5989:E$2)))))</f>
        <v> </v>
      </c>
      <c r="J5990" s="26" t="str">
        <f>IF(OR(E5990="",E5990="!!!",F5990="NEW"),"",COUNTBLANK(OFFSET(A$1,,,SUMPRODUCT(MAX(ROW(E$2:E5990)*(E5990=E$2:E5990)))))-COUNTBLANK(OFFSET(A$1,,,SUMPRODUCT(MAX(ROW(E$1:E5989)*(E2=E$1:E5989))))))</f>
        <v> </v>
      </c>
      <c r="K5990" s="26" t="str">
        <f>IF(OR(E5990="",E5990="!!!",F5990="NEW"),"",INDEX(J$1:J5989,SUMPRODUCT(MAX(ROW(E$1:E5989)*(E5990=E$1:E5989)))))</f>
        <v> </v>
      </c>
      <c r="L5990" s="27"/>
    </row>
    <row r="5991" spans="1:12">
      <c r="A5991" s="20" t="s">
        <v>2815</v>
      </c>
      <c r="E5991" s="22">
        <f>IF(D5991="?OLD","!!!","")</f>
        <v/>
      </c>
      <c r="F5991" s="23" t="str">
        <f>IF(OR(E5991="",E5991="!!!"),"",IF(NOT(ISNA(VLOOKUP(E5991,E$1:E5990,1,FALSE()))),"OLD",IF(AND(E5991&lt;&gt;"",E5991&lt;&gt;"!!!"),"NEW","")))</f>
        <v> </v>
      </c>
      <c r="G5991" s="24" t="str">
        <f>IF(OR(E5991="",E5991="!!!"),"",IF(OR(J5991=0,AND(J5991=1,K5991=1),AND(J5991=1,I5991="SBJ"),AND(J5991=1,I5991=0)),"?IN_FOCUS",IF(J5991&lt;=2,"?ACTIVATED",IF(J5991&lt;&gt;"","?FAMILIAR",IF(F5991="NEW",IF(ISNA(VLOOKUP(E5991,#REF!,1,FALSE())),"?TYPE_IDENTIFIABLE","?REFERENTIAL"),"_")))))</f>
        <v> </v>
      </c>
      <c r="H5991" s="25" t="str">
        <f>IF(J5991&lt;&gt;1,"",IF(I5991="SBJ","CB","?"))</f>
        <v> </v>
      </c>
      <c r="I5991" s="26" t="str">
        <f>IF(OR(E5991="",E5991="!!!",F5991="NEW"),"",INDEX(B5990:B$2,-1+SUMPRODUCT(MAX(ROW(E5990:E$2)*(E5991=E5990:E$2)))))</f>
        <v> </v>
      </c>
      <c r="J5991" s="26" t="str">
        <f>IF(OR(E5991="",E5991="!!!",F5991="NEW"),"",COUNTBLANK(OFFSET(A$1,,,SUMPRODUCT(MAX(ROW(E$2:E5991)*(E5991=E$2:E5991)))))-COUNTBLANK(OFFSET(A$1,,,SUMPRODUCT(MAX(ROW(E$1:E5990)*(E2=E$1:E5990))))))</f>
        <v> </v>
      </c>
      <c r="K5991" s="26" t="str">
        <f>IF(OR(E5991="",E5991="!!!",F5991="NEW"),"",INDEX(J$1:J5990,SUMPRODUCT(MAX(ROW(E$1:E5990)*(E5991=E$1:E5990)))))</f>
        <v> </v>
      </c>
      <c r="L5991" s="27"/>
    </row>
    <row r="5992" spans="1:12">
      <c r="A5992" s="20" t="s">
        <v>2816</v>
      </c>
      <c r="E5992" s="22">
        <f>IF(D5992="?OLD","!!!","")</f>
        <v/>
      </c>
      <c r="F5992" s="23" t="str">
        <f>IF(OR(E5992="",E5992="!!!"),"",IF(NOT(ISNA(VLOOKUP(E5992,E$1:E5991,1,FALSE()))),"OLD",IF(AND(E5992&lt;&gt;"",E5992&lt;&gt;"!!!"),"NEW","")))</f>
        <v> </v>
      </c>
      <c r="G5992" s="24" t="str">
        <f>IF(OR(E5992="",E5992="!!!"),"",IF(OR(J5992=0,AND(J5992=1,K5992=1),AND(J5992=1,I5992="SBJ"),AND(J5992=1,I5992=0)),"?IN_FOCUS",IF(J5992&lt;=2,"?ACTIVATED",IF(J5992&lt;&gt;"","?FAMILIAR",IF(F5992="NEW",IF(ISNA(VLOOKUP(E5992,#REF!,1,FALSE())),"?TYPE_IDENTIFIABLE","?REFERENTIAL"),"_")))))</f>
        <v> </v>
      </c>
      <c r="H5992" s="25" t="str">
        <f>IF(J5992&lt;&gt;1,"",IF(I5992="SBJ","CB","?"))</f>
        <v> </v>
      </c>
      <c r="I5992" s="26" t="str">
        <f>IF(OR(E5992="",E5992="!!!",F5992="NEW"),"",INDEX(B5991:B$2,-1+SUMPRODUCT(MAX(ROW(E5991:E$2)*(E5992=E5991:E$2)))))</f>
        <v> </v>
      </c>
      <c r="J5992" s="26" t="str">
        <f>IF(OR(E5992="",E5992="!!!",F5992="NEW"),"",COUNTBLANK(OFFSET(A$1,,,SUMPRODUCT(MAX(ROW(E$2:E5992)*(E5992=E$2:E5992)))))-COUNTBLANK(OFFSET(A$1,,,SUMPRODUCT(MAX(ROW(E$1:E5991)*(E2=E$1:E5991))))))</f>
        <v> </v>
      </c>
      <c r="K5992" s="26" t="str">
        <f>IF(OR(E5992="",E5992="!!!",F5992="NEW"),"",INDEX(J$1:J5991,SUMPRODUCT(MAX(ROW(E$1:E5991)*(E5992=E$1:E5991)))))</f>
        <v> </v>
      </c>
      <c r="L5992" s="27"/>
    </row>
    <row r="5993" spans="1:12">
      <c r="A5993" s="20" t="s">
        <v>1334</v>
      </c>
      <c r="E5993" s="22">
        <f>IF(D5993="?OLD","!!!","")</f>
        <v/>
      </c>
      <c r="F5993" s="23" t="str">
        <f>IF(OR(E5993="",E5993="!!!"),"",IF(NOT(ISNA(VLOOKUP(E5993,E$1:E5992,1,FALSE()))),"OLD",IF(AND(E5993&lt;&gt;"",E5993&lt;&gt;"!!!"),"NEW","")))</f>
        <v> </v>
      </c>
      <c r="G5993" s="24" t="str">
        <f>IF(OR(E5993="",E5993="!!!"),"",IF(OR(J5993=0,AND(J5993=1,K5993=1),AND(J5993=1,I5993="SBJ"),AND(J5993=1,I5993=0)),"?IN_FOCUS",IF(J5993&lt;=2,"?ACTIVATED",IF(J5993&lt;&gt;"","?FAMILIAR",IF(F5993="NEW",IF(ISNA(VLOOKUP(E5993,#REF!,1,FALSE())),"?TYPE_IDENTIFIABLE","?REFERENTIAL"),"_")))))</f>
        <v> </v>
      </c>
      <c r="H5993" s="25" t="str">
        <f>IF(J5993&lt;&gt;1,"",IF(I5993="SBJ","CB","?"))</f>
        <v> </v>
      </c>
      <c r="I5993" s="26" t="str">
        <f>IF(OR(E5993="",E5993="!!!",F5993="NEW"),"",INDEX(B5992:B$2,-1+SUMPRODUCT(MAX(ROW(E5992:E$2)*(E5993=E5992:E$2)))))</f>
        <v> </v>
      </c>
      <c r="J5993" s="26" t="str">
        <f>IF(OR(E5993="",E5993="!!!",F5993="NEW"),"",COUNTBLANK(OFFSET(A$1,,,SUMPRODUCT(MAX(ROW(E$2:E5993)*(E5993=E$2:E5993)))))-COUNTBLANK(OFFSET(A$1,,,SUMPRODUCT(MAX(ROW(E$1:E5992)*(E2=E$1:E5992))))))</f>
        <v> </v>
      </c>
      <c r="K5993" s="26" t="str">
        <f>IF(OR(E5993="",E5993="!!!",F5993="NEW"),"",INDEX(J$1:J5992,SUMPRODUCT(MAX(ROW(E$1:E5992)*(E5993=E$1:E5992)))))</f>
        <v> </v>
      </c>
      <c r="L5993" s="27"/>
    </row>
    <row r="5994" spans="1:12">
      <c r="A5994" s="20" t="s">
        <v>818</v>
      </c>
      <c r="E5994" s="22">
        <f>IF(D5994="?OLD","!!!","")</f>
        <v/>
      </c>
      <c r="F5994" s="23" t="str">
        <f>IF(OR(E5994="",E5994="!!!"),"",IF(NOT(ISNA(VLOOKUP(E5994,E$1:E5993,1,FALSE()))),"OLD",IF(AND(E5994&lt;&gt;"",E5994&lt;&gt;"!!!"),"NEW","")))</f>
        <v> </v>
      </c>
      <c r="G5994" s="24" t="str">
        <f>IF(OR(E5994="",E5994="!!!"),"",IF(OR(J5994=0,AND(J5994=1,K5994=1),AND(J5994=1,I5994="SBJ"),AND(J5994=1,I5994=0)),"?IN_FOCUS",IF(J5994&lt;=2,"?ACTIVATED",IF(J5994&lt;&gt;"","?FAMILIAR",IF(F5994="NEW",IF(ISNA(VLOOKUP(E5994,#REF!,1,FALSE())),"?TYPE_IDENTIFIABLE","?REFERENTIAL"),"_")))))</f>
        <v> </v>
      </c>
      <c r="H5994" s="25" t="str">
        <f>IF(J5994&lt;&gt;1,"",IF(I5994="SBJ","CB","?"))</f>
        <v> </v>
      </c>
      <c r="I5994" s="26" t="str">
        <f>IF(OR(E5994="",E5994="!!!",F5994="NEW"),"",INDEX(B5993:B$2,-1+SUMPRODUCT(MAX(ROW(E5993:E$2)*(E5994=E5993:E$2)))))</f>
        <v> </v>
      </c>
      <c r="J5994" s="26" t="str">
        <f>IF(OR(E5994="",E5994="!!!",F5994="NEW"),"",COUNTBLANK(OFFSET(A$1,,,SUMPRODUCT(MAX(ROW(E$2:E5994)*(E5994=E$2:E5994)))))-COUNTBLANK(OFFSET(A$1,,,SUMPRODUCT(MAX(ROW(E$1:E5993)*(E2=E$1:E5993))))))</f>
        <v> </v>
      </c>
      <c r="K5994" s="26" t="str">
        <f>IF(OR(E5994="",E5994="!!!",F5994="NEW"),"",INDEX(J$1:J5993,SUMPRODUCT(MAX(ROW(E$1:E5993)*(E5994=E$1:E5993)))))</f>
        <v> </v>
      </c>
      <c r="L5994" s="27"/>
    </row>
    <row r="5995" spans="1:12">
      <c r="A5995" s="20"/>
    </row>
    <row r="5996" spans="1:12">
      <c r="A5996" s="20" t="s">
        <v>2817</v>
      </c>
    </row>
    <row r="5997" spans="1:12">
      <c r="A5997" s="20" t="s">
        <v>1752</v>
      </c>
      <c r="B5997" s="21" t="s">
        <v>1191</v>
      </c>
      <c r="C5997" s="21" t="s">
        <v>1254</v>
      </c>
      <c r="E5997" s="22">
        <f>IF(D5997="?OLD","!!!","")</f>
        <v/>
      </c>
      <c r="F5997" s="23" t="str">
        <f>IF(OR(E5997="",E5997="!!!"),"",IF(NOT(ISNA(VLOOKUP(E5997,E$1:E5996,1,FALSE()))),"OLD",IF(AND(E5997&lt;&gt;"",E5997&lt;&gt;"!!!"),"NEW","")))</f>
        <v> </v>
      </c>
      <c r="G5997" s="24" t="str">
        <f>IF(OR(E5997="",E5997="!!!"),"",IF(OR(J5997=0,AND(J5997=1,K5997=1),AND(J5997=1,I5997="SBJ"),AND(J5997=1,I5997=0)),"?IN_FOCUS",IF(J5997&lt;=2,"?ACTIVATED",IF(J5997&lt;&gt;"","?FAMILIAR",IF(F5997="NEW",IF(ISNA(VLOOKUP(E5997,#REF!,1,FALSE())),"?TYPE_IDENTIFIABLE","?REFERENTIAL"),"_")))))</f>
        <v> </v>
      </c>
      <c r="H5997" s="25" t="str">
        <f>IF(J5997&lt;&gt;1,"",IF(I5997="SBJ","CB","?"))</f>
        <v> </v>
      </c>
      <c r="I5997" s="26" t="str">
        <f>IF(OR(E5997="",E5997="!!!",F5997="NEW"),"",INDEX(B5996:B$2,-1+SUMPRODUCT(MAX(ROW(E5996:E$2)*(E5997=E5996:E$2)))))</f>
        <v> </v>
      </c>
      <c r="J5997" s="26" t="str">
        <f>IF(OR(E5997="",E5997="!!!",F5997="NEW"),"",COUNTBLANK(OFFSET(A$1,,,SUMPRODUCT(MAX(ROW(E$2:E5997)*(E5997=E$2:E5997)))))-COUNTBLANK(OFFSET(A$1,,,SUMPRODUCT(MAX(ROW(E$1:E5996)*(E2=E$1:E5996))))))</f>
        <v> </v>
      </c>
      <c r="K5997" s="26" t="str">
        <f>IF(OR(E5997="",E5997="!!!",F5997="NEW"),"",INDEX(J$1:J5996,SUMPRODUCT(MAX(ROW(E$1:E5996)*(E5997=E$1:E5996)))))</f>
        <v> </v>
      </c>
      <c r="L5997" s="27"/>
    </row>
    <row r="5998" spans="1:12">
      <c r="A5998" s="20" t="s">
        <v>2818</v>
      </c>
      <c r="B5998" s="21" t="s">
        <v>1178</v>
      </c>
      <c r="C5998" s="21" t="s">
        <v>1184</v>
      </c>
      <c r="E5998" s="22">
        <f>IF(D5998="?OLD","!!!","")</f>
        <v/>
      </c>
      <c r="F5998" s="23" t="str">
        <f>IF(OR(E5998="",E5998="!!!"),"",IF(NOT(ISNA(VLOOKUP(E5998,E$1:E5997,1,FALSE()))),"OLD",IF(AND(E5998&lt;&gt;"",E5998&lt;&gt;"!!!"),"NEW","")))</f>
        <v> </v>
      </c>
      <c r="G5998" s="24" t="str">
        <f>IF(OR(E5998="",E5998="!!!"),"",IF(OR(J5998=0,AND(J5998=1,K5998=1),AND(J5998=1,I5998="SBJ"),AND(J5998=1,I5998=0)),"?IN_FOCUS",IF(J5998&lt;=2,"?ACTIVATED",IF(J5998&lt;&gt;"","?FAMILIAR",IF(F5998="NEW",IF(ISNA(VLOOKUP(E5998,#REF!,1,FALSE())),"?TYPE_IDENTIFIABLE","?REFERENTIAL"),"_")))))</f>
        <v> </v>
      </c>
      <c r="H5998" s="25" t="str">
        <f>IF(J5998&lt;&gt;1,"",IF(I5998="SBJ","CB","?"))</f>
        <v> </v>
      </c>
      <c r="I5998" s="26" t="str">
        <f>IF(OR(E5998="",E5998="!!!",F5998="NEW"),"",INDEX(B5997:B$2,-1+SUMPRODUCT(MAX(ROW(E5997:E$2)*(E5998=E5997:E$2)))))</f>
        <v> </v>
      </c>
      <c r="J5998" s="26" t="str">
        <f>IF(OR(E5998="",E5998="!!!",F5998="NEW"),"",COUNTBLANK(OFFSET(A$1,,,SUMPRODUCT(MAX(ROW(E$2:E5998)*(E5998=E$2:E5998)))))-COUNTBLANK(OFFSET(A$1,,,SUMPRODUCT(MAX(ROW(E$1:E5997)*(E2=E$1:E5997))))))</f>
        <v> </v>
      </c>
      <c r="K5998" s="26" t="str">
        <f>IF(OR(E5998="",E5998="!!!",F5998="NEW"),"",INDEX(J$1:J5997,SUMPRODUCT(MAX(ROW(E$1:E5997)*(E5998=E$1:E5997)))))</f>
        <v> </v>
      </c>
      <c r="L5998" s="27"/>
    </row>
    <row r="5999" spans="1:12">
      <c r="A5999" s="20" t="s">
        <v>1185</v>
      </c>
      <c r="E5999" s="22">
        <f>IF(D5999="?OLD","!!!","")</f>
        <v/>
      </c>
      <c r="F5999" s="23" t="str">
        <f>IF(OR(E5999="",E5999="!!!"),"",IF(NOT(ISNA(VLOOKUP(E5999,E$1:E5998,1,FALSE()))),"OLD",IF(AND(E5999&lt;&gt;"",E5999&lt;&gt;"!!!"),"NEW","")))</f>
        <v> </v>
      </c>
      <c r="G5999" s="24" t="str">
        <f>IF(OR(E5999="",E5999="!!!"),"",IF(OR(J5999=0,AND(J5999=1,K5999=1),AND(J5999=1,I5999="SBJ"),AND(J5999=1,I5999=0)),"?IN_FOCUS",IF(J5999&lt;=2,"?ACTIVATED",IF(J5999&lt;&gt;"","?FAMILIAR",IF(F5999="NEW",IF(ISNA(VLOOKUP(E5999,#REF!,1,FALSE())),"?TYPE_IDENTIFIABLE","?REFERENTIAL"),"_")))))</f>
        <v> </v>
      </c>
      <c r="H5999" s="25" t="str">
        <f>IF(J5999&lt;&gt;1,"",IF(I5999="SBJ","CB","?"))</f>
        <v> </v>
      </c>
      <c r="I5999" s="26" t="str">
        <f>IF(OR(E5999="",E5999="!!!",F5999="NEW"),"",INDEX(B5998:B$2,-1+SUMPRODUCT(MAX(ROW(E5998:E$2)*(E5999=E5998:E$2)))))</f>
        <v> </v>
      </c>
      <c r="J5999" s="26" t="str">
        <f>IF(OR(E5999="",E5999="!!!",F5999="NEW"),"",COUNTBLANK(OFFSET(A$1,,,SUMPRODUCT(MAX(ROW(E$2:E5999)*(E5999=E$2:E5999)))))-COUNTBLANK(OFFSET(A$1,,,SUMPRODUCT(MAX(ROW(E$1:E5998)*(E2=E$1:E5998))))))</f>
        <v> </v>
      </c>
      <c r="K5999" s="26" t="str">
        <f>IF(OR(E5999="",E5999="!!!",F5999="NEW"),"",INDEX(J$1:J5998,SUMPRODUCT(MAX(ROW(E$1:E5998)*(E5999=E$1:E5998)))))</f>
        <v> </v>
      </c>
      <c r="L5999" s="27"/>
    </row>
    <row r="6000" spans="1:12">
      <c r="A6000" s="20" t="s">
        <v>1310</v>
      </c>
      <c r="E6000" s="22">
        <f>IF(D6000="?OLD","!!!","")</f>
        <v/>
      </c>
      <c r="F6000" s="23" t="str">
        <f>IF(OR(E6000="",E6000="!!!"),"",IF(NOT(ISNA(VLOOKUP(E6000,E$1:E5999,1,FALSE()))),"OLD",IF(AND(E6000&lt;&gt;"",E6000&lt;&gt;"!!!"),"NEW","")))</f>
        <v> </v>
      </c>
      <c r="G6000" s="24" t="str">
        <f>IF(OR(E6000="",E6000="!!!"),"",IF(OR(J6000=0,AND(J6000=1,K6000=1),AND(J6000=1,I6000="SBJ"),AND(J6000=1,I6000=0)),"?IN_FOCUS",IF(J6000&lt;=2,"?ACTIVATED",IF(J6000&lt;&gt;"","?FAMILIAR",IF(F6000="NEW",IF(ISNA(VLOOKUP(E6000,#REF!,1,FALSE())),"?TYPE_IDENTIFIABLE","?REFERENTIAL"),"_")))))</f>
        <v> </v>
      </c>
      <c r="H6000" s="25" t="str">
        <f>IF(J6000&lt;&gt;1,"",IF(I6000="SBJ","CB","?"))</f>
        <v> </v>
      </c>
      <c r="I6000" s="26" t="str">
        <f>IF(OR(E6000="",E6000="!!!",F6000="NEW"),"",INDEX(B5999:B$2,-1+SUMPRODUCT(MAX(ROW(E5999:E$2)*(E6000=E5999:E$2)))))</f>
        <v> </v>
      </c>
      <c r="J6000" s="26" t="str">
        <f>IF(OR(E6000="",E6000="!!!",F6000="NEW"),"",COUNTBLANK(OFFSET(A$1,,,SUMPRODUCT(MAX(ROW(E$2:E6000)*(E6000=E$2:E6000)))))-COUNTBLANK(OFFSET(A$1,,,SUMPRODUCT(MAX(ROW(E$1:E5999)*(E2=E$1:E5999))))))</f>
        <v> </v>
      </c>
      <c r="K6000" s="26" t="str">
        <f>IF(OR(E6000="",E6000="!!!",F6000="NEW"),"",INDEX(J$1:J5999,SUMPRODUCT(MAX(ROW(E$1:E5999)*(E6000=E$1:E5999)))))</f>
        <v> </v>
      </c>
      <c r="L6000" s="27"/>
    </row>
    <row r="6001" spans="1:12">
      <c r="A6001" s="20" t="s">
        <v>1495</v>
      </c>
      <c r="B6001" s="21" t="s">
        <v>1240</v>
      </c>
      <c r="C6001" s="21" t="s">
        <v>1208</v>
      </c>
      <c r="D6001" s="21" t="s">
        <v>1180</v>
      </c>
      <c r="E6001" s="22">
        <f>IF(D6001="?OLD","!!!","")</f>
        <v/>
      </c>
      <c r="F6001" s="23" t="str">
        <f>IF(OR(E6001="",E6001="!!!"),"",IF(NOT(ISNA(VLOOKUP(E6001,E$1:E6000,1,FALSE()))),"OLD",IF(AND(E6001&lt;&gt;"",E6001&lt;&gt;"!!!"),"NEW","")))</f>
        <v> </v>
      </c>
      <c r="G6001" s="24" t="str">
        <f>IF(OR(E6001="",E6001="!!!"),"",IF(OR(J6001=0,AND(J6001=1,K6001=1),AND(J6001=1,I6001="SBJ"),AND(J6001=1,I6001=0)),"?IN_FOCUS",IF(J6001&lt;=2,"?ACTIVATED",IF(J6001&lt;&gt;"","?FAMILIAR",IF(F6001="NEW",IF(ISNA(VLOOKUP(E6001,#REF!,1,FALSE())),"?TYPE_IDENTIFIABLE","?REFERENTIAL"),"_")))))</f>
        <v> </v>
      </c>
      <c r="H6001" s="25" t="str">
        <f>IF(J6001&lt;&gt;1,"",IF(I6001="SBJ","CB","?"))</f>
        <v> </v>
      </c>
      <c r="I6001" s="26" t="str">
        <f>IF(OR(E6001="",E6001="!!!",F6001="NEW"),"",INDEX(B6000:B$2,-1+SUMPRODUCT(MAX(ROW(E6000:E$2)*(E6001=E6000:E$2)))))</f>
        <v> </v>
      </c>
      <c r="J6001" s="26" t="str">
        <f>IF(OR(E6001="",E6001="!!!",F6001="NEW"),"",COUNTBLANK(OFFSET(A$1,,,SUMPRODUCT(MAX(ROW(E$2:E6001)*(E6001=E$2:E6001)))))-COUNTBLANK(OFFSET(A$1,,,SUMPRODUCT(MAX(ROW(E$1:E6000)*(E2=E$1:E6000))))))</f>
        <v> </v>
      </c>
      <c r="K6001" s="26" t="str">
        <f>IF(OR(E6001="",E6001="!!!",F6001="NEW"),"",INDEX(J$1:J6000,SUMPRODUCT(MAX(ROW(E$1:E6000)*(E6001=E$1:E6000)))))</f>
        <v> </v>
      </c>
      <c r="L6001" s="27"/>
    </row>
    <row r="6002" spans="1:12">
      <c r="A6002" s="20" t="s">
        <v>2819</v>
      </c>
      <c r="E6002" s="22">
        <f>IF(D6002="?OLD","!!!","")</f>
        <v/>
      </c>
      <c r="F6002" s="23" t="str">
        <f>IF(OR(E6002="",E6002="!!!"),"",IF(NOT(ISNA(VLOOKUP(E6002,E$1:E6001,1,FALSE()))),"OLD",IF(AND(E6002&lt;&gt;"",E6002&lt;&gt;"!!!"),"NEW","")))</f>
        <v> </v>
      </c>
      <c r="G6002" s="24" t="str">
        <f>IF(OR(E6002="",E6002="!!!"),"",IF(OR(J6002=0,AND(J6002=1,K6002=1),AND(J6002=1,I6002="SBJ"),AND(J6002=1,I6002=0)),"?IN_FOCUS",IF(J6002&lt;=2,"?ACTIVATED",IF(J6002&lt;&gt;"","?FAMILIAR",IF(F6002="NEW",IF(ISNA(VLOOKUP(E6002,#REF!,1,FALSE())),"?TYPE_IDENTIFIABLE","?REFERENTIAL"),"_")))))</f>
        <v> </v>
      </c>
      <c r="H6002" s="25" t="str">
        <f>IF(J6002&lt;&gt;1,"",IF(I6002="SBJ","CB","?"))</f>
        <v> </v>
      </c>
      <c r="I6002" s="26" t="str">
        <f>IF(OR(E6002="",E6002="!!!",F6002="NEW"),"",INDEX(B6001:B$2,-1+SUMPRODUCT(MAX(ROW(E6001:E$2)*(E6002=E6001:E$2)))))</f>
        <v> </v>
      </c>
      <c r="J6002" s="26" t="str">
        <f>IF(OR(E6002="",E6002="!!!",F6002="NEW"),"",COUNTBLANK(OFFSET(A$1,,,SUMPRODUCT(MAX(ROW(E$2:E6002)*(E6002=E$2:E6002)))))-COUNTBLANK(OFFSET(A$1,,,SUMPRODUCT(MAX(ROW(E$1:E6001)*(E2=E$1:E6001))))))</f>
        <v> </v>
      </c>
      <c r="K6002" s="26" t="str">
        <f>IF(OR(E6002="",E6002="!!!",F6002="NEW"),"",INDEX(J$1:J6001,SUMPRODUCT(MAX(ROW(E$1:E6001)*(E6002=E$1:E6001)))))</f>
        <v> </v>
      </c>
      <c r="L6002" s="27"/>
    </row>
    <row r="6003" spans="1:12">
      <c r="A6003" s="20" t="s">
        <v>1185</v>
      </c>
      <c r="E6003" s="22">
        <f>IF(D6003="?OLD","!!!","")</f>
        <v/>
      </c>
      <c r="F6003" s="23" t="str">
        <f>IF(OR(E6003="",E6003="!!!"),"",IF(NOT(ISNA(VLOOKUP(E6003,E$1:E6002,1,FALSE()))),"OLD",IF(AND(E6003&lt;&gt;"",E6003&lt;&gt;"!!!"),"NEW","")))</f>
        <v> </v>
      </c>
      <c r="G6003" s="24" t="str">
        <f>IF(OR(E6003="",E6003="!!!"),"",IF(OR(J6003=0,AND(J6003=1,K6003=1),AND(J6003=1,I6003="SBJ"),AND(J6003=1,I6003=0)),"?IN_FOCUS",IF(J6003&lt;=2,"?ACTIVATED",IF(J6003&lt;&gt;"","?FAMILIAR",IF(F6003="NEW",IF(ISNA(VLOOKUP(E6003,#REF!,1,FALSE())),"?TYPE_IDENTIFIABLE","?REFERENTIAL"),"_")))))</f>
        <v> </v>
      </c>
      <c r="H6003" s="25" t="str">
        <f>IF(J6003&lt;&gt;1,"",IF(I6003="SBJ","CB","?"))</f>
        <v> </v>
      </c>
      <c r="I6003" s="26" t="str">
        <f>IF(OR(E6003="",E6003="!!!",F6003="NEW"),"",INDEX(B6002:B$2,-1+SUMPRODUCT(MAX(ROW(E6002:E$2)*(E6003=E6002:E$2)))))</f>
        <v> </v>
      </c>
      <c r="J6003" s="26" t="str">
        <f>IF(OR(E6003="",E6003="!!!",F6003="NEW"),"",COUNTBLANK(OFFSET(A$1,,,SUMPRODUCT(MAX(ROW(E$2:E6003)*(E6003=E$2:E6003)))))-COUNTBLANK(OFFSET(A$1,,,SUMPRODUCT(MAX(ROW(E$1:E6002)*(E2=E$1:E6002))))))</f>
        <v> </v>
      </c>
      <c r="K6003" s="26" t="str">
        <f>IF(OR(E6003="",E6003="!!!",F6003="NEW"),"",INDEX(J$1:J6002,SUMPRODUCT(MAX(ROW(E$1:E6002)*(E6003=E$1:E6002)))))</f>
        <v> </v>
      </c>
      <c r="L6003" s="27"/>
    </row>
    <row r="6004" spans="1:12">
      <c r="A6004" s="20" t="s">
        <v>1437</v>
      </c>
      <c r="E6004" s="22">
        <f>IF(D6004="?OLD","!!!","")</f>
        <v/>
      </c>
      <c r="F6004" s="23" t="str">
        <f>IF(OR(E6004="",E6004="!!!"),"",IF(NOT(ISNA(VLOOKUP(E6004,E$1:E6003,1,FALSE()))),"OLD",IF(AND(E6004&lt;&gt;"",E6004&lt;&gt;"!!!"),"NEW","")))</f>
        <v> </v>
      </c>
      <c r="G6004" s="24" t="str">
        <f>IF(OR(E6004="",E6004="!!!"),"",IF(OR(J6004=0,AND(J6004=1,K6004=1),AND(J6004=1,I6004="SBJ"),AND(J6004=1,I6004=0)),"?IN_FOCUS",IF(J6004&lt;=2,"?ACTIVATED",IF(J6004&lt;&gt;"","?FAMILIAR",IF(F6004="NEW",IF(ISNA(VLOOKUP(E6004,#REF!,1,FALSE())),"?TYPE_IDENTIFIABLE","?REFERENTIAL"),"_")))))</f>
        <v> </v>
      </c>
      <c r="H6004" s="25" t="str">
        <f>IF(J6004&lt;&gt;1,"",IF(I6004="SBJ","CB","?"))</f>
        <v> </v>
      </c>
      <c r="I6004" s="26" t="str">
        <f>IF(OR(E6004="",E6004="!!!",F6004="NEW"),"",INDEX(B6003:B$2,-1+SUMPRODUCT(MAX(ROW(E6003:E$2)*(E6004=E6003:E$2)))))</f>
        <v> </v>
      </c>
      <c r="J6004" s="26" t="str">
        <f>IF(OR(E6004="",E6004="!!!",F6004="NEW"),"",COUNTBLANK(OFFSET(A$1,,,SUMPRODUCT(MAX(ROW(E$2:E6004)*(E6004=E$2:E6004)))))-COUNTBLANK(OFFSET(A$1,,,SUMPRODUCT(MAX(ROW(E$1:E6003)*(E2=E$1:E6003))))))</f>
        <v> </v>
      </c>
      <c r="K6004" s="26" t="str">
        <f>IF(OR(E6004="",E6004="!!!",F6004="NEW"),"",INDEX(J$1:J6003,SUMPRODUCT(MAX(ROW(E$1:E6003)*(E6004=E$1:E6003)))))</f>
        <v> </v>
      </c>
      <c r="L6004" s="27"/>
    </row>
    <row r="6005" spans="1:12">
      <c r="A6005" s="20" t="s">
        <v>427</v>
      </c>
      <c r="B6005" s="21" t="s">
        <v>1194</v>
      </c>
      <c r="C6005" s="21" t="s">
        <v>1238</v>
      </c>
      <c r="D6005" s="21" t="s">
        <v>1180</v>
      </c>
      <c r="E6005" s="22">
        <f>IF(D6005="?OLD","!!!","")</f>
        <v/>
      </c>
      <c r="F6005" s="23" t="str">
        <f>IF(OR(E6005="",E6005="!!!"),"",IF(NOT(ISNA(VLOOKUP(E6005,E$1:E6004,1,FALSE()))),"OLD",IF(AND(E6005&lt;&gt;"",E6005&lt;&gt;"!!!"),"NEW","")))</f>
        <v> </v>
      </c>
      <c r="G6005" s="24" t="str">
        <f>IF(OR(E6005="",E6005="!!!"),"",IF(OR(J6005=0,AND(J6005=1,K6005=1),AND(J6005=1,I6005="SBJ"),AND(J6005=1,I6005=0)),"?IN_FOCUS",IF(J6005&lt;=2,"?ACTIVATED",IF(J6005&lt;&gt;"","?FAMILIAR",IF(F6005="NEW",IF(ISNA(VLOOKUP(E6005,#REF!,1,FALSE())),"?TYPE_IDENTIFIABLE","?REFERENTIAL"),"_")))))</f>
        <v> </v>
      </c>
      <c r="H6005" s="25" t="str">
        <f>IF(J6005&lt;&gt;1,"",IF(I6005="SBJ","CB","?"))</f>
        <v> </v>
      </c>
      <c r="I6005" s="26" t="str">
        <f>IF(OR(E6005="",E6005="!!!",F6005="NEW"),"",INDEX(B6004:B$2,-1+SUMPRODUCT(MAX(ROW(E6004:E$2)*(E6005=E6004:E$2)))))</f>
        <v> </v>
      </c>
      <c r="J6005" s="26" t="str">
        <f>IF(OR(E6005="",E6005="!!!",F6005="NEW"),"",COUNTBLANK(OFFSET(A$1,,,SUMPRODUCT(MAX(ROW(E$2:E6005)*(E6005=E$2:E6005)))))-COUNTBLANK(OFFSET(A$1,,,SUMPRODUCT(MAX(ROW(E$1:E6004)*(E2=E$1:E6004))))))</f>
        <v> </v>
      </c>
      <c r="K6005" s="26" t="str">
        <f>IF(OR(E6005="",E6005="!!!",F6005="NEW"),"",INDEX(J$1:J6004,SUMPRODUCT(MAX(ROW(E$1:E6004)*(E6005=E$1:E6004)))))</f>
        <v> </v>
      </c>
      <c r="L6005" s="27"/>
    </row>
    <row r="6006" spans="1:12">
      <c r="A6006" s="20" t="s">
        <v>1508</v>
      </c>
      <c r="B6006" s="21" t="s">
        <v>1204</v>
      </c>
      <c r="C6006" s="21" t="s">
        <v>1238</v>
      </c>
      <c r="D6006" s="21" t="s">
        <v>1180</v>
      </c>
      <c r="E6006" s="22">
        <f>IF(D6006="?OLD","!!!","")</f>
        <v/>
      </c>
      <c r="F6006" s="23" t="str">
        <f>IF(OR(E6006="",E6006="!!!"),"",IF(NOT(ISNA(VLOOKUP(E6006,E$1:E6005,1,FALSE()))),"OLD",IF(AND(E6006&lt;&gt;"",E6006&lt;&gt;"!!!"),"NEW","")))</f>
        <v> </v>
      </c>
      <c r="G6006" s="24" t="str">
        <f>IF(OR(E6006="",E6006="!!!"),"",IF(OR(J6006=0,AND(J6006=1,K6006=1),AND(J6006=1,I6006="SBJ"),AND(J6006=1,I6006=0)),"?IN_FOCUS",IF(J6006&lt;=2,"?ACTIVATED",IF(J6006&lt;&gt;"","?FAMILIAR",IF(F6006="NEW",IF(ISNA(VLOOKUP(E6006,#REF!,1,FALSE())),"?TYPE_IDENTIFIABLE","?REFERENTIAL"),"_")))))</f>
        <v> </v>
      </c>
      <c r="H6006" s="25" t="str">
        <f>IF(J6006&lt;&gt;1,"",IF(I6006="SBJ","CB","?"))</f>
        <v> </v>
      </c>
      <c r="I6006" s="26" t="str">
        <f>IF(OR(E6006="",E6006="!!!",F6006="NEW"),"",INDEX(B6005:B$2,-1+SUMPRODUCT(MAX(ROW(E6005:E$2)*(E6006=E6005:E$2)))))</f>
        <v> </v>
      </c>
      <c r="J6006" s="26" t="str">
        <f>IF(OR(E6006="",E6006="!!!",F6006="NEW"),"",COUNTBLANK(OFFSET(A$1,,,SUMPRODUCT(MAX(ROW(E$2:E6006)*(E6006=E$2:E6006)))))-COUNTBLANK(OFFSET(A$1,,,SUMPRODUCT(MAX(ROW(E$1:E6005)*(E2=E$1:E6005))))))</f>
        <v> </v>
      </c>
      <c r="K6006" s="26" t="str">
        <f>IF(OR(E6006="",E6006="!!!",F6006="NEW"),"",INDEX(J$1:J6005,SUMPRODUCT(MAX(ROW(E$1:E6005)*(E6006=E$1:E6005)))))</f>
        <v> </v>
      </c>
      <c r="L6006" s="27"/>
    </row>
    <row r="6007" spans="1:12">
      <c r="A6007" s="20" t="s">
        <v>1197</v>
      </c>
      <c r="E6007" s="22">
        <f>IF(D6007="?OLD","!!!","")</f>
        <v/>
      </c>
      <c r="F6007" s="23" t="str">
        <f>IF(OR(E6007="",E6007="!!!"),"",IF(NOT(ISNA(VLOOKUP(E6007,E$1:E6006,1,FALSE()))),"OLD",IF(AND(E6007&lt;&gt;"",E6007&lt;&gt;"!!!"),"NEW","")))</f>
        <v> </v>
      </c>
      <c r="G6007" s="24" t="str">
        <f>IF(OR(E6007="",E6007="!!!"),"",IF(OR(J6007=0,AND(J6007=1,K6007=1),AND(J6007=1,I6007="SBJ"),AND(J6007=1,I6007=0)),"?IN_FOCUS",IF(J6007&lt;=2,"?ACTIVATED",IF(J6007&lt;&gt;"","?FAMILIAR",IF(F6007="NEW",IF(ISNA(VLOOKUP(E6007,#REF!,1,FALSE())),"?TYPE_IDENTIFIABLE","?REFERENTIAL"),"_")))))</f>
        <v> </v>
      </c>
      <c r="H6007" s="25" t="str">
        <f>IF(J6007&lt;&gt;1,"",IF(I6007="SBJ","CB","?"))</f>
        <v> </v>
      </c>
      <c r="I6007" s="26" t="str">
        <f>IF(OR(E6007="",E6007="!!!",F6007="NEW"),"",INDEX(B6006:B$2,-1+SUMPRODUCT(MAX(ROW(E6006:E$2)*(E6007=E6006:E$2)))))</f>
        <v> </v>
      </c>
      <c r="J6007" s="26" t="str">
        <f>IF(OR(E6007="",E6007="!!!",F6007="NEW"),"",COUNTBLANK(OFFSET(A$1,,,SUMPRODUCT(MAX(ROW(E$2:E6007)*(E6007=E$2:E6007)))))-COUNTBLANK(OFFSET(A$1,,,SUMPRODUCT(MAX(ROW(E$1:E6006)*(E2=E$1:E6006))))))</f>
        <v> </v>
      </c>
      <c r="K6007" s="26" t="str">
        <f>IF(OR(E6007="",E6007="!!!",F6007="NEW"),"",INDEX(J$1:J6006,SUMPRODUCT(MAX(ROW(E$1:E6006)*(E6007=E$1:E6006)))))</f>
        <v> </v>
      </c>
      <c r="L6007" s="27"/>
    </row>
    <row r="6008" spans="1:12">
      <c r="A6008" s="20" t="s">
        <v>1495</v>
      </c>
      <c r="E6008" s="22">
        <f>IF(D6008="?OLD","!!!","")</f>
        <v/>
      </c>
      <c r="F6008" s="23" t="str">
        <f>IF(OR(E6008="",E6008="!!!"),"",IF(NOT(ISNA(VLOOKUP(E6008,E$1:E6007,1,FALSE()))),"OLD",IF(AND(E6008&lt;&gt;"",E6008&lt;&gt;"!!!"),"NEW","")))</f>
        <v> </v>
      </c>
      <c r="G6008" s="24" t="str">
        <f>IF(OR(E6008="",E6008="!!!"),"",IF(OR(J6008=0,AND(J6008=1,K6008=1),AND(J6008=1,I6008="SBJ"),AND(J6008=1,I6008=0)),"?IN_FOCUS",IF(J6008&lt;=2,"?ACTIVATED",IF(J6008&lt;&gt;"","?FAMILIAR",IF(F6008="NEW",IF(ISNA(VLOOKUP(E6008,#REF!,1,FALSE())),"?TYPE_IDENTIFIABLE","?REFERENTIAL"),"_")))))</f>
        <v> </v>
      </c>
      <c r="H6008" s="25" t="str">
        <f>IF(J6008&lt;&gt;1,"",IF(I6008="SBJ","CB","?"))</f>
        <v> </v>
      </c>
      <c r="I6008" s="26" t="str">
        <f>IF(OR(E6008="",E6008="!!!",F6008="NEW"),"",INDEX(B6007:B$2,-1+SUMPRODUCT(MAX(ROW(E6007:E$2)*(E6008=E6007:E$2)))))</f>
        <v> </v>
      </c>
      <c r="J6008" s="26" t="str">
        <f>IF(OR(E6008="",E6008="!!!",F6008="NEW"),"",COUNTBLANK(OFFSET(A$1,,,SUMPRODUCT(MAX(ROW(E$2:E6008)*(E6008=E$2:E6008)))))-COUNTBLANK(OFFSET(A$1,,,SUMPRODUCT(MAX(ROW(E$1:E6007)*(E2=E$1:E6007))))))</f>
        <v> </v>
      </c>
      <c r="K6008" s="26" t="str">
        <f>IF(OR(E6008="",E6008="!!!",F6008="NEW"),"",INDEX(J$1:J6007,SUMPRODUCT(MAX(ROW(E$1:E6007)*(E6008=E$1:E6007)))))</f>
        <v> </v>
      </c>
      <c r="L6008" s="27"/>
    </row>
    <row r="6009" spans="1:12">
      <c r="A6009" s="20" t="s">
        <v>2820</v>
      </c>
      <c r="B6009" s="21" t="s">
        <v>1178</v>
      </c>
      <c r="C6009" s="21" t="s">
        <v>1188</v>
      </c>
      <c r="D6009" s="21" t="s">
        <v>1180</v>
      </c>
      <c r="E6009" s="22">
        <f>IF(D6009="?OLD","!!!","")</f>
        <v/>
      </c>
      <c r="F6009" s="23" t="str">
        <f>IF(OR(E6009="",E6009="!!!"),"",IF(NOT(ISNA(VLOOKUP(E6009,E$1:E6008,1,FALSE()))),"OLD",IF(AND(E6009&lt;&gt;"",E6009&lt;&gt;"!!!"),"NEW","")))</f>
        <v> </v>
      </c>
      <c r="G6009" s="24" t="str">
        <f>IF(OR(E6009="",E6009="!!!"),"",IF(OR(J6009=0,AND(J6009=1,K6009=1),AND(J6009=1,I6009="SBJ"),AND(J6009=1,I6009=0)),"?IN_FOCUS",IF(J6009&lt;=2,"?ACTIVATED",IF(J6009&lt;&gt;"","?FAMILIAR",IF(F6009="NEW",IF(ISNA(VLOOKUP(E6009,#REF!,1,FALSE())),"?TYPE_IDENTIFIABLE","?REFERENTIAL"),"_")))))</f>
        <v> </v>
      </c>
      <c r="H6009" s="25" t="str">
        <f>IF(J6009&lt;&gt;1,"",IF(I6009="SBJ","CB","?"))</f>
        <v> </v>
      </c>
      <c r="I6009" s="26" t="str">
        <f>IF(OR(E6009="",E6009="!!!",F6009="NEW"),"",INDEX(B6008:B$2,-1+SUMPRODUCT(MAX(ROW(E6008:E$2)*(E6009=E6008:E$2)))))</f>
        <v> </v>
      </c>
      <c r="J6009" s="26" t="str">
        <f>IF(OR(E6009="",E6009="!!!",F6009="NEW"),"",COUNTBLANK(OFFSET(A$1,,,SUMPRODUCT(MAX(ROW(E$2:E6009)*(E6009=E$2:E6009)))))-COUNTBLANK(OFFSET(A$1,,,SUMPRODUCT(MAX(ROW(E$1:E6008)*(E2=E$1:E6008))))))</f>
        <v> </v>
      </c>
      <c r="K6009" s="26" t="str">
        <f>IF(OR(E6009="",E6009="!!!",F6009="NEW"),"",INDEX(J$1:J6008,SUMPRODUCT(MAX(ROW(E$1:E6008)*(E6009=E$1:E6008)))))</f>
        <v> </v>
      </c>
      <c r="L6009" s="27"/>
    </row>
    <row r="6010" spans="1:12">
      <c r="A6010" s="20" t="s">
        <v>1293</v>
      </c>
      <c r="E6010" s="22">
        <f>IF(D6010="?OLD","!!!","")</f>
        <v/>
      </c>
      <c r="F6010" s="23" t="str">
        <f>IF(OR(E6010="",E6010="!!!"),"",IF(NOT(ISNA(VLOOKUP(E6010,E$1:E6009,1,FALSE()))),"OLD",IF(AND(E6010&lt;&gt;"",E6010&lt;&gt;"!!!"),"NEW","")))</f>
        <v> </v>
      </c>
      <c r="G6010" s="24" t="str">
        <f>IF(OR(E6010="",E6010="!!!"),"",IF(OR(J6010=0,AND(J6010=1,K6010=1),AND(J6010=1,I6010="SBJ"),AND(J6010=1,I6010=0)),"?IN_FOCUS",IF(J6010&lt;=2,"?ACTIVATED",IF(J6010&lt;&gt;"","?FAMILIAR",IF(F6010="NEW",IF(ISNA(VLOOKUP(E6010,#REF!,1,FALSE())),"?TYPE_IDENTIFIABLE","?REFERENTIAL"),"_")))))</f>
        <v> </v>
      </c>
      <c r="H6010" s="25" t="str">
        <f>IF(J6010&lt;&gt;1,"",IF(I6010="SBJ","CB","?"))</f>
        <v> </v>
      </c>
      <c r="I6010" s="26" t="str">
        <f>IF(OR(E6010="",E6010="!!!",F6010="NEW"),"",INDEX(B6009:B$2,-1+SUMPRODUCT(MAX(ROW(E6009:E$2)*(E6010=E6009:E$2)))))</f>
        <v> </v>
      </c>
      <c r="J6010" s="26" t="str">
        <f>IF(OR(E6010="",E6010="!!!",F6010="NEW"),"",COUNTBLANK(OFFSET(A$1,,,SUMPRODUCT(MAX(ROW(E$2:E6010)*(E6010=E$2:E6010)))))-COUNTBLANK(OFFSET(A$1,,,SUMPRODUCT(MAX(ROW(E$1:E6009)*(E2=E$1:E6009))))))</f>
        <v> </v>
      </c>
      <c r="K6010" s="26" t="str">
        <f>IF(OR(E6010="",E6010="!!!",F6010="NEW"),"",INDEX(J$1:J6009,SUMPRODUCT(MAX(ROW(E$1:E6009)*(E6010=E$1:E6009)))))</f>
        <v> </v>
      </c>
      <c r="L6010" s="27"/>
    </row>
    <row r="6011" spans="1:12">
      <c r="A6011" s="20" t="s">
        <v>2821</v>
      </c>
      <c r="B6011" s="21" t="s">
        <v>1207</v>
      </c>
      <c r="C6011" s="21" t="s">
        <v>1297</v>
      </c>
      <c r="D6011" s="21" t="s">
        <v>1180</v>
      </c>
      <c r="E6011" s="22">
        <f>IF(D6011="?OLD","!!!","")</f>
        <v/>
      </c>
      <c r="F6011" s="23" t="str">
        <f>IF(OR(E6011="",E6011="!!!"),"",IF(NOT(ISNA(VLOOKUP(E6011,E$1:E6010,1,FALSE()))),"OLD",IF(AND(E6011&lt;&gt;"",E6011&lt;&gt;"!!!"),"NEW","")))</f>
        <v> </v>
      </c>
      <c r="G6011" s="24" t="str">
        <f>IF(OR(E6011="",E6011="!!!"),"",IF(OR(J6011=0,AND(J6011=1,K6011=1),AND(J6011=1,I6011="SBJ"),AND(J6011=1,I6011=0)),"?IN_FOCUS",IF(J6011&lt;=2,"?ACTIVATED",IF(J6011&lt;&gt;"","?FAMILIAR",IF(F6011="NEW",IF(ISNA(VLOOKUP(E6011,#REF!,1,FALSE())),"?TYPE_IDENTIFIABLE","?REFERENTIAL"),"_")))))</f>
        <v> </v>
      </c>
      <c r="H6011" s="25" t="str">
        <f>IF(J6011&lt;&gt;1,"",IF(I6011="SBJ","CB","?"))</f>
        <v> </v>
      </c>
      <c r="I6011" s="26" t="str">
        <f>IF(OR(E6011="",E6011="!!!",F6011="NEW"),"",INDEX(B6010:B$2,-1+SUMPRODUCT(MAX(ROW(E6010:E$2)*(E6011=E6010:E$2)))))</f>
        <v> </v>
      </c>
      <c r="J6011" s="26" t="str">
        <f>IF(OR(E6011="",E6011="!!!",F6011="NEW"),"",COUNTBLANK(OFFSET(A$1,,,SUMPRODUCT(MAX(ROW(E$2:E6011)*(E6011=E$2:E6011)))))-COUNTBLANK(OFFSET(A$1,,,SUMPRODUCT(MAX(ROW(E$1:E6010)*(E2=E$1:E6010))))))</f>
        <v> </v>
      </c>
      <c r="K6011" s="26" t="str">
        <f>IF(OR(E6011="",E6011="!!!",F6011="NEW"),"",INDEX(J$1:J6010,SUMPRODUCT(MAX(ROW(E$1:E6010)*(E6011=E$1:E6010)))))</f>
        <v> </v>
      </c>
      <c r="L6011" s="27"/>
    </row>
    <row r="6012" spans="1:12">
      <c r="A6012" s="20" t="s">
        <v>2117</v>
      </c>
      <c r="B6012" s="21" t="s">
        <v>1191</v>
      </c>
      <c r="C6012" s="21" t="s">
        <v>1184</v>
      </c>
      <c r="E6012" s="22">
        <f>IF(D6012="?OLD","!!!","")</f>
        <v/>
      </c>
      <c r="F6012" s="23" t="str">
        <f>IF(OR(E6012="",E6012="!!!"),"",IF(NOT(ISNA(VLOOKUP(E6012,E$1:E6011,1,FALSE()))),"OLD",IF(AND(E6012&lt;&gt;"",E6012&lt;&gt;"!!!"),"NEW","")))</f>
        <v> </v>
      </c>
      <c r="G6012" s="24" t="str">
        <f>IF(OR(E6012="",E6012="!!!"),"",IF(OR(J6012=0,AND(J6012=1,K6012=1),AND(J6012=1,I6012="SBJ"),AND(J6012=1,I6012=0)),"?IN_FOCUS",IF(J6012&lt;=2,"?ACTIVATED",IF(J6012&lt;&gt;"","?FAMILIAR",IF(F6012="NEW",IF(ISNA(VLOOKUP(E6012,#REF!,1,FALSE())),"?TYPE_IDENTIFIABLE","?REFERENTIAL"),"_")))))</f>
        <v> </v>
      </c>
      <c r="H6012" s="25" t="str">
        <f>IF(J6012&lt;&gt;1,"",IF(I6012="SBJ","CB","?"))</f>
        <v> </v>
      </c>
      <c r="I6012" s="26" t="str">
        <f>IF(OR(E6012="",E6012="!!!",F6012="NEW"),"",INDEX(B6011:B$2,-1+SUMPRODUCT(MAX(ROW(E6011:E$2)*(E6012=E6011:E$2)))))</f>
        <v> </v>
      </c>
      <c r="J6012" s="26" t="str">
        <f>IF(OR(E6012="",E6012="!!!",F6012="NEW"),"",COUNTBLANK(OFFSET(A$1,,,SUMPRODUCT(MAX(ROW(E$2:E6012)*(E6012=E$2:E6012)))))-COUNTBLANK(OFFSET(A$1,,,SUMPRODUCT(MAX(ROW(E$1:E6011)*(E2=E$1:E6011))))))</f>
        <v> </v>
      </c>
      <c r="K6012" s="26" t="str">
        <f>IF(OR(E6012="",E6012="!!!",F6012="NEW"),"",INDEX(J$1:J6011,SUMPRODUCT(MAX(ROW(E$1:E6011)*(E6012=E$1:E6011)))))</f>
        <v> </v>
      </c>
      <c r="L6012" s="27"/>
    </row>
    <row r="6013" spans="1:12">
      <c r="A6013" s="20" t="s">
        <v>1197</v>
      </c>
      <c r="E6013" s="22">
        <f>IF(D6013="?OLD","!!!","")</f>
        <v/>
      </c>
      <c r="F6013" s="23" t="str">
        <f>IF(OR(E6013="",E6013="!!!"),"",IF(NOT(ISNA(VLOOKUP(E6013,E$1:E6012,1,FALSE()))),"OLD",IF(AND(E6013&lt;&gt;"",E6013&lt;&gt;"!!!"),"NEW","")))</f>
        <v> </v>
      </c>
      <c r="G6013" s="24" t="str">
        <f>IF(OR(E6013="",E6013="!!!"),"",IF(OR(J6013=0,AND(J6013=1,K6013=1),AND(J6013=1,I6013="SBJ"),AND(J6013=1,I6013=0)),"?IN_FOCUS",IF(J6013&lt;=2,"?ACTIVATED",IF(J6013&lt;&gt;"","?FAMILIAR",IF(F6013="NEW",IF(ISNA(VLOOKUP(E6013,#REF!,1,FALSE())),"?TYPE_IDENTIFIABLE","?REFERENTIAL"),"_")))))</f>
        <v> </v>
      </c>
      <c r="H6013" s="25" t="str">
        <f>IF(J6013&lt;&gt;1,"",IF(I6013="SBJ","CB","?"))</f>
        <v> </v>
      </c>
      <c r="I6013" s="26" t="str">
        <f>IF(OR(E6013="",E6013="!!!",F6013="NEW"),"",INDEX(B6012:B$2,-1+SUMPRODUCT(MAX(ROW(E6012:E$2)*(E6013=E6012:E$2)))))</f>
        <v> </v>
      </c>
      <c r="J6013" s="26" t="str">
        <f>IF(OR(E6013="",E6013="!!!",F6013="NEW"),"",COUNTBLANK(OFFSET(A$1,,,SUMPRODUCT(MAX(ROW(E$2:E6013)*(E6013=E$2:E6013)))))-COUNTBLANK(OFFSET(A$1,,,SUMPRODUCT(MAX(ROW(E$1:E6012)*(E2=E$1:E6012))))))</f>
        <v> </v>
      </c>
      <c r="K6013" s="26" t="str">
        <f>IF(OR(E6013="",E6013="!!!",F6013="NEW"),"",INDEX(J$1:J6012,SUMPRODUCT(MAX(ROW(E$1:E6012)*(E6013=E$1:E6012)))))</f>
        <v> </v>
      </c>
      <c r="L6013" s="27"/>
    </row>
    <row r="6014" spans="1:12">
      <c r="A6014" s="20" t="s">
        <v>2822</v>
      </c>
      <c r="B6014" s="21" t="s">
        <v>1178</v>
      </c>
      <c r="C6014" s="21" t="s">
        <v>1184</v>
      </c>
      <c r="E6014" s="22">
        <f>IF(D6014="?OLD","!!!","")</f>
        <v/>
      </c>
      <c r="F6014" s="23" t="str">
        <f>IF(OR(E6014="",E6014="!!!"),"",IF(NOT(ISNA(VLOOKUP(E6014,E$1:E6013,1,FALSE()))),"OLD",IF(AND(E6014&lt;&gt;"",E6014&lt;&gt;"!!!"),"NEW","")))</f>
        <v> </v>
      </c>
      <c r="G6014" s="24" t="str">
        <f>IF(OR(E6014="",E6014="!!!"),"",IF(OR(J6014=0,AND(J6014=1,K6014=1),AND(J6014=1,I6014="SBJ"),AND(J6014=1,I6014=0)),"?IN_FOCUS",IF(J6014&lt;=2,"?ACTIVATED",IF(J6014&lt;&gt;"","?FAMILIAR",IF(F6014="NEW",IF(ISNA(VLOOKUP(E6014,#REF!,1,FALSE())),"?TYPE_IDENTIFIABLE","?REFERENTIAL"),"_")))))</f>
        <v> </v>
      </c>
      <c r="H6014" s="25" t="str">
        <f>IF(J6014&lt;&gt;1,"",IF(I6014="SBJ","CB","?"))</f>
        <v> </v>
      </c>
      <c r="I6014" s="26" t="str">
        <f>IF(OR(E6014="",E6014="!!!",F6014="NEW"),"",INDEX(B6013:B$2,-1+SUMPRODUCT(MAX(ROW(E6013:E$2)*(E6014=E6013:E$2)))))</f>
        <v> </v>
      </c>
      <c r="J6014" s="26" t="str">
        <f>IF(OR(E6014="",E6014="!!!",F6014="NEW"),"",COUNTBLANK(OFFSET(A$1,,,SUMPRODUCT(MAX(ROW(E$2:E6014)*(E6014=E$2:E6014)))))-COUNTBLANK(OFFSET(A$1,,,SUMPRODUCT(MAX(ROW(E$1:E6013)*(E2=E$1:E6013))))))</f>
        <v> </v>
      </c>
      <c r="K6014" s="26" t="str">
        <f>IF(OR(E6014="",E6014="!!!",F6014="NEW"),"",INDEX(J$1:J6013,SUMPRODUCT(MAX(ROW(E$1:E6013)*(E6014=E$1:E6013)))))</f>
        <v> </v>
      </c>
      <c r="L6014" s="27"/>
    </row>
    <row r="6015" spans="1:12">
      <c r="A6015" s="20" t="s">
        <v>65</v>
      </c>
      <c r="E6015" s="22">
        <f>IF(D6015="?OLD","!!!","")</f>
        <v/>
      </c>
      <c r="F6015" s="23" t="str">
        <f>IF(OR(E6015="",E6015="!!!"),"",IF(NOT(ISNA(VLOOKUP(E6015,E$1:E6014,1,FALSE()))),"OLD",IF(AND(E6015&lt;&gt;"",E6015&lt;&gt;"!!!"),"NEW","")))</f>
        <v> </v>
      </c>
      <c r="G6015" s="24" t="str">
        <f>IF(OR(E6015="",E6015="!!!"),"",IF(OR(J6015=0,AND(J6015=1,K6015=1),AND(J6015=1,I6015="SBJ"),AND(J6015=1,I6015=0)),"?IN_FOCUS",IF(J6015&lt;=2,"?ACTIVATED",IF(J6015&lt;&gt;"","?FAMILIAR",IF(F6015="NEW",IF(ISNA(VLOOKUP(E6015,#REF!,1,FALSE())),"?TYPE_IDENTIFIABLE","?REFERENTIAL"),"_")))))</f>
        <v> </v>
      </c>
      <c r="H6015" s="25" t="str">
        <f>IF(J6015&lt;&gt;1,"",IF(I6015="SBJ","CB","?"))</f>
        <v> </v>
      </c>
      <c r="I6015" s="26" t="str">
        <f>IF(OR(E6015="",E6015="!!!",F6015="NEW"),"",INDEX(B6014:B$2,-1+SUMPRODUCT(MAX(ROW(E6014:E$2)*(E6015=E6014:E$2)))))</f>
        <v> </v>
      </c>
      <c r="J6015" s="26" t="str">
        <f>IF(OR(E6015="",E6015="!!!",F6015="NEW"),"",COUNTBLANK(OFFSET(A$1,,,SUMPRODUCT(MAX(ROW(E$2:E6015)*(E6015=E$2:E6015)))))-COUNTBLANK(OFFSET(A$1,,,SUMPRODUCT(MAX(ROW(E$1:E6014)*(E2=E$1:E6014))))))</f>
        <v> </v>
      </c>
      <c r="K6015" s="26" t="str">
        <f>IF(OR(E6015="",E6015="!!!",F6015="NEW"),"",INDEX(J$1:J6014,SUMPRODUCT(MAX(ROW(E$1:E6014)*(E6015=E$1:E6014)))))</f>
        <v> </v>
      </c>
      <c r="L6015" s="27"/>
    </row>
    <row r="6016" spans="1:12">
      <c r="A6016" s="20" t="s">
        <v>1295</v>
      </c>
      <c r="E6016" s="22">
        <f>IF(D6016="?OLD","!!!","")</f>
        <v/>
      </c>
      <c r="F6016" s="23" t="str">
        <f>IF(OR(E6016="",E6016="!!!"),"",IF(NOT(ISNA(VLOOKUP(E6016,E$1:E6015,1,FALSE()))),"OLD",IF(AND(E6016&lt;&gt;"",E6016&lt;&gt;"!!!"),"NEW","")))</f>
        <v> </v>
      </c>
      <c r="G6016" s="24" t="str">
        <f>IF(OR(E6016="",E6016="!!!"),"",IF(OR(J6016=0,AND(J6016=1,K6016=1),AND(J6016=1,I6016="SBJ"),AND(J6016=1,I6016=0)),"?IN_FOCUS",IF(J6016&lt;=2,"?ACTIVATED",IF(J6016&lt;&gt;"","?FAMILIAR",IF(F6016="NEW",IF(ISNA(VLOOKUP(E6016,#REF!,1,FALSE())),"?TYPE_IDENTIFIABLE","?REFERENTIAL"),"_")))))</f>
        <v> </v>
      </c>
      <c r="H6016" s="25" t="str">
        <f>IF(J6016&lt;&gt;1,"",IF(I6016="SBJ","CB","?"))</f>
        <v> </v>
      </c>
      <c r="I6016" s="26" t="str">
        <f>IF(OR(E6016="",E6016="!!!",F6016="NEW"),"",INDEX(B6015:B$2,-1+SUMPRODUCT(MAX(ROW(E6015:E$2)*(E6016=E6015:E$2)))))</f>
        <v> </v>
      </c>
      <c r="J6016" s="26" t="str">
        <f>IF(OR(E6016="",E6016="!!!",F6016="NEW"),"",COUNTBLANK(OFFSET(A$1,,,SUMPRODUCT(MAX(ROW(E$2:E6016)*(E6016=E$2:E6016)))))-COUNTBLANK(OFFSET(A$1,,,SUMPRODUCT(MAX(ROW(E$1:E6015)*(E2=E$1:E6015))))))</f>
        <v> </v>
      </c>
      <c r="K6016" s="26" t="str">
        <f>IF(OR(E6016="",E6016="!!!",F6016="NEW"),"",INDEX(J$1:J6015,SUMPRODUCT(MAX(ROW(E$1:E6015)*(E6016=E$1:E6015)))))</f>
        <v> </v>
      </c>
      <c r="L6016" s="27"/>
    </row>
    <row r="6017" spans="1:12">
      <c r="A6017" s="20" t="s">
        <v>185</v>
      </c>
      <c r="B6017" s="21" t="s">
        <v>1237</v>
      </c>
      <c r="C6017" s="21" t="s">
        <v>1195</v>
      </c>
      <c r="D6017" s="21" t="s">
        <v>1180</v>
      </c>
      <c r="E6017" s="22">
        <f>IF(D6017="?OLD","!!!","")</f>
        <v/>
      </c>
      <c r="F6017" s="23" t="str">
        <f>IF(OR(E6017="",E6017="!!!"),"",IF(NOT(ISNA(VLOOKUP(E6017,E$1:E6016,1,FALSE()))),"OLD",IF(AND(E6017&lt;&gt;"",E6017&lt;&gt;"!!!"),"NEW","")))</f>
        <v> </v>
      </c>
      <c r="G6017" s="24" t="str">
        <f>IF(OR(E6017="",E6017="!!!"),"",IF(OR(J6017=0,AND(J6017=1,K6017=1),AND(J6017=1,I6017="SBJ"),AND(J6017=1,I6017=0)),"?IN_FOCUS",IF(J6017&lt;=2,"?ACTIVATED",IF(J6017&lt;&gt;"","?FAMILIAR",IF(F6017="NEW",IF(ISNA(VLOOKUP(E6017,#REF!,1,FALSE())),"?TYPE_IDENTIFIABLE","?REFERENTIAL"),"_")))))</f>
        <v> </v>
      </c>
      <c r="H6017" s="25" t="str">
        <f>IF(J6017&lt;&gt;1,"",IF(I6017="SBJ","CB","?"))</f>
        <v> </v>
      </c>
      <c r="I6017" s="26" t="str">
        <f>IF(OR(E6017="",E6017="!!!",F6017="NEW"),"",INDEX(B6016:B$2,-1+SUMPRODUCT(MAX(ROW(E6016:E$2)*(E6017=E6016:E$2)))))</f>
        <v> </v>
      </c>
      <c r="J6017" s="26" t="str">
        <f>IF(OR(E6017="",E6017="!!!",F6017="NEW"),"",COUNTBLANK(OFFSET(A$1,,,SUMPRODUCT(MAX(ROW(E$2:E6017)*(E6017=E$2:E6017)))))-COUNTBLANK(OFFSET(A$1,,,SUMPRODUCT(MAX(ROW(E$1:E6016)*(E2=E$1:E6016))))))</f>
        <v> </v>
      </c>
      <c r="K6017" s="26" t="str">
        <f>IF(OR(E6017="",E6017="!!!",F6017="NEW"),"",INDEX(J$1:J6016,SUMPRODUCT(MAX(ROW(E$1:E6016)*(E6017=E$1:E6016)))))</f>
        <v> </v>
      </c>
      <c r="L6017" s="27"/>
    </row>
    <row r="6018" spans="1:12">
      <c r="A6018" s="20" t="s">
        <v>2823</v>
      </c>
      <c r="E6018" s="22">
        <f>IF(D6018="?OLD","!!!","")</f>
        <v/>
      </c>
      <c r="F6018" s="23" t="str">
        <f>IF(OR(E6018="",E6018="!!!"),"",IF(NOT(ISNA(VLOOKUP(E6018,E$1:E6017,1,FALSE()))),"OLD",IF(AND(E6018&lt;&gt;"",E6018&lt;&gt;"!!!"),"NEW","")))</f>
        <v> </v>
      </c>
      <c r="G6018" s="24" t="str">
        <f>IF(OR(E6018="",E6018="!!!"),"",IF(OR(J6018=0,AND(J6018=1,K6018=1),AND(J6018=1,I6018="SBJ"),AND(J6018=1,I6018=0)),"?IN_FOCUS",IF(J6018&lt;=2,"?ACTIVATED",IF(J6018&lt;&gt;"","?FAMILIAR",IF(F6018="NEW",IF(ISNA(VLOOKUP(E6018,#REF!,1,FALSE())),"?TYPE_IDENTIFIABLE","?REFERENTIAL"),"_")))))</f>
        <v> </v>
      </c>
      <c r="H6018" s="25" t="str">
        <f>IF(J6018&lt;&gt;1,"",IF(I6018="SBJ","CB","?"))</f>
        <v> </v>
      </c>
      <c r="I6018" s="26" t="str">
        <f>IF(OR(E6018="",E6018="!!!",F6018="NEW"),"",INDEX(B6017:B$2,-1+SUMPRODUCT(MAX(ROW(E6017:E$2)*(E6018=E6017:E$2)))))</f>
        <v> </v>
      </c>
      <c r="J6018" s="26" t="str">
        <f>IF(OR(E6018="",E6018="!!!",F6018="NEW"),"",COUNTBLANK(OFFSET(A$1,,,SUMPRODUCT(MAX(ROW(E$2:E6018)*(E6018=E$2:E6018)))))-COUNTBLANK(OFFSET(A$1,,,SUMPRODUCT(MAX(ROW(E$1:E6017)*(E2=E$1:E6017))))))</f>
        <v> </v>
      </c>
      <c r="K6018" s="26" t="str">
        <f>IF(OR(E6018="",E6018="!!!",F6018="NEW"),"",INDEX(J$1:J6017,SUMPRODUCT(MAX(ROW(E$1:E6017)*(E6018=E$1:E6017)))))</f>
        <v> </v>
      </c>
      <c r="L6018" s="27"/>
    </row>
    <row r="6019" spans="1:12">
      <c r="A6019" s="20" t="s">
        <v>818</v>
      </c>
      <c r="E6019" s="22">
        <f>IF(D6019="?OLD","!!!","")</f>
        <v/>
      </c>
      <c r="F6019" s="23" t="str">
        <f>IF(OR(E6019="",E6019="!!!"),"",IF(NOT(ISNA(VLOOKUP(E6019,E$1:E6018,1,FALSE()))),"OLD",IF(AND(E6019&lt;&gt;"",E6019&lt;&gt;"!!!"),"NEW","")))</f>
        <v> </v>
      </c>
      <c r="G6019" s="24" t="str">
        <f>IF(OR(E6019="",E6019="!!!"),"",IF(OR(J6019=0,AND(J6019=1,K6019=1),AND(J6019=1,I6019="SBJ"),AND(J6019=1,I6019=0)),"?IN_FOCUS",IF(J6019&lt;=2,"?ACTIVATED",IF(J6019&lt;&gt;"","?FAMILIAR",IF(F6019="NEW",IF(ISNA(VLOOKUP(E6019,#REF!,1,FALSE())),"?TYPE_IDENTIFIABLE","?REFERENTIAL"),"_")))))</f>
        <v> </v>
      </c>
      <c r="H6019" s="25" t="str">
        <f>IF(J6019&lt;&gt;1,"",IF(I6019="SBJ","CB","?"))</f>
        <v> </v>
      </c>
      <c r="I6019" s="26" t="str">
        <f>IF(OR(E6019="",E6019="!!!",F6019="NEW"),"",INDEX(B6018:B$2,-1+SUMPRODUCT(MAX(ROW(E6018:E$2)*(E6019=E6018:E$2)))))</f>
        <v> </v>
      </c>
      <c r="J6019" s="26" t="str">
        <f>IF(OR(E6019="",E6019="!!!",F6019="NEW"),"",COUNTBLANK(OFFSET(A$1,,,SUMPRODUCT(MAX(ROW(E$2:E6019)*(E6019=E$2:E6019)))))-COUNTBLANK(OFFSET(A$1,,,SUMPRODUCT(MAX(ROW(E$1:E6018)*(E2=E$1:E6018))))))</f>
        <v> </v>
      </c>
      <c r="K6019" s="26" t="str">
        <f>IF(OR(E6019="",E6019="!!!",F6019="NEW"),"",INDEX(J$1:J6018,SUMPRODUCT(MAX(ROW(E$1:E6018)*(E6019=E$1:E6018)))))</f>
        <v> </v>
      </c>
      <c r="L6019" s="27"/>
    </row>
    <row r="6020" spans="1:12">
      <c r="A6020" s="20"/>
    </row>
    <row r="6021" spans="1:12">
      <c r="A6021" s="20" t="s">
        <v>2824</v>
      </c>
    </row>
    <row r="6022" spans="1:12">
      <c r="A6022" s="20" t="s">
        <v>2825</v>
      </c>
      <c r="E6022" s="22">
        <f>IF(D6022="?OLD","!!!","")</f>
        <v/>
      </c>
      <c r="F6022" s="23" t="str">
        <f>IF(OR(E6022="",E6022="!!!"),"",IF(NOT(ISNA(VLOOKUP(E6022,E$1:E6021,1,FALSE()))),"OLD",IF(AND(E6022&lt;&gt;"",E6022&lt;&gt;"!!!"),"NEW","")))</f>
        <v> </v>
      </c>
      <c r="G6022" s="24" t="str">
        <f>IF(OR(E6022="",E6022="!!!"),"",IF(OR(J6022=0,AND(J6022=1,K6022=1),AND(J6022=1,I6022="SBJ"),AND(J6022=1,I6022=0)),"?IN_FOCUS",IF(J6022&lt;=2,"?ACTIVATED",IF(J6022&lt;&gt;"","?FAMILIAR",IF(F6022="NEW",IF(ISNA(VLOOKUP(E6022,#REF!,1,FALSE())),"?TYPE_IDENTIFIABLE","?REFERENTIAL"),"_")))))</f>
        <v> </v>
      </c>
      <c r="H6022" s="25" t="str">
        <f>IF(J6022&lt;&gt;1,"",IF(I6022="SBJ","CB","?"))</f>
        <v> </v>
      </c>
      <c r="I6022" s="26" t="str">
        <f>IF(OR(E6022="",E6022="!!!",F6022="NEW"),"",INDEX(B6021:B$2,-1+SUMPRODUCT(MAX(ROW(E6021:E$2)*(E6022=E6021:E$2)))))</f>
        <v> </v>
      </c>
      <c r="J6022" s="26" t="str">
        <f>IF(OR(E6022="",E6022="!!!",F6022="NEW"),"",COUNTBLANK(OFFSET(A$1,,,SUMPRODUCT(MAX(ROW(E$2:E6022)*(E6022=E$2:E6022)))))-COUNTBLANK(OFFSET(A$1,,,SUMPRODUCT(MAX(ROW(E$1:E6021)*(E2=E$1:E6021))))))</f>
        <v> </v>
      </c>
      <c r="K6022" s="26" t="str">
        <f>IF(OR(E6022="",E6022="!!!",F6022="NEW"),"",INDEX(J$1:J6021,SUMPRODUCT(MAX(ROW(E$1:E6021)*(E6022=E$1:E6021)))))</f>
        <v> </v>
      </c>
      <c r="L6022" s="27"/>
    </row>
    <row r="6023" spans="1:12">
      <c r="A6023" s="20" t="s">
        <v>1257</v>
      </c>
      <c r="E6023" s="22">
        <f>IF(D6023="?OLD","!!!","")</f>
        <v/>
      </c>
      <c r="F6023" s="23" t="str">
        <f>IF(OR(E6023="",E6023="!!!"),"",IF(NOT(ISNA(VLOOKUP(E6023,E$1:E6022,1,FALSE()))),"OLD",IF(AND(E6023&lt;&gt;"",E6023&lt;&gt;"!!!"),"NEW","")))</f>
        <v> </v>
      </c>
      <c r="G6023" s="24" t="str">
        <f>IF(OR(E6023="",E6023="!!!"),"",IF(OR(J6023=0,AND(J6023=1,K6023=1),AND(J6023=1,I6023="SBJ"),AND(J6023=1,I6023=0)),"?IN_FOCUS",IF(J6023&lt;=2,"?ACTIVATED",IF(J6023&lt;&gt;"","?FAMILIAR",IF(F6023="NEW",IF(ISNA(VLOOKUP(E6023,#REF!,1,FALSE())),"?TYPE_IDENTIFIABLE","?REFERENTIAL"),"_")))))</f>
        <v> </v>
      </c>
      <c r="H6023" s="25" t="str">
        <f>IF(J6023&lt;&gt;1,"",IF(I6023="SBJ","CB","?"))</f>
        <v> </v>
      </c>
      <c r="I6023" s="26" t="str">
        <f>IF(OR(E6023="",E6023="!!!",F6023="NEW"),"",INDEX(B6022:B$2,-1+SUMPRODUCT(MAX(ROW(E6022:E$2)*(E6023=E6022:E$2)))))</f>
        <v> </v>
      </c>
      <c r="J6023" s="26" t="str">
        <f>IF(OR(E6023="",E6023="!!!",F6023="NEW"),"",COUNTBLANK(OFFSET(A$1,,,SUMPRODUCT(MAX(ROW(E$2:E6023)*(E6023=E$2:E6023)))))-COUNTBLANK(OFFSET(A$1,,,SUMPRODUCT(MAX(ROW(E$1:E6022)*(E2=E$1:E6022))))))</f>
        <v> </v>
      </c>
      <c r="K6023" s="26" t="str">
        <f>IF(OR(E6023="",E6023="!!!",F6023="NEW"),"",INDEX(J$1:J6022,SUMPRODUCT(MAX(ROW(E$1:E6022)*(E6023=E$1:E6022)))))</f>
        <v> </v>
      </c>
      <c r="L6023" s="27"/>
    </row>
    <row r="6024" spans="1:12">
      <c r="A6024" s="20" t="s">
        <v>1495</v>
      </c>
      <c r="B6024" s="21" t="s">
        <v>1194</v>
      </c>
      <c r="C6024" s="21" t="s">
        <v>1238</v>
      </c>
      <c r="D6024" s="21" t="s">
        <v>1180</v>
      </c>
      <c r="E6024" s="22">
        <f>IF(D6024="?OLD","!!!","")</f>
        <v/>
      </c>
      <c r="F6024" s="23" t="str">
        <f>IF(OR(E6024="",E6024="!!!"),"",IF(NOT(ISNA(VLOOKUP(E6024,E$1:E6023,1,FALSE()))),"OLD",IF(AND(E6024&lt;&gt;"",E6024&lt;&gt;"!!!"),"NEW","")))</f>
        <v> </v>
      </c>
      <c r="G6024" s="24" t="str">
        <f>IF(OR(E6024="",E6024="!!!"),"",IF(OR(J6024=0,AND(J6024=1,K6024=1),AND(J6024=1,I6024="SBJ"),AND(J6024=1,I6024=0)),"?IN_FOCUS",IF(J6024&lt;=2,"?ACTIVATED",IF(J6024&lt;&gt;"","?FAMILIAR",IF(F6024="NEW",IF(ISNA(VLOOKUP(E6024,#REF!,1,FALSE())),"?TYPE_IDENTIFIABLE","?REFERENTIAL"),"_")))))</f>
        <v> </v>
      </c>
      <c r="H6024" s="25" t="str">
        <f>IF(J6024&lt;&gt;1,"",IF(I6024="SBJ","CB","?"))</f>
        <v> </v>
      </c>
      <c r="I6024" s="26" t="str">
        <f>IF(OR(E6024="",E6024="!!!",F6024="NEW"),"",INDEX(B6023:B$2,-1+SUMPRODUCT(MAX(ROW(E6023:E$2)*(E6024=E6023:E$2)))))</f>
        <v> </v>
      </c>
      <c r="J6024" s="26" t="str">
        <f>IF(OR(E6024="",E6024="!!!",F6024="NEW"),"",COUNTBLANK(OFFSET(A$1,,,SUMPRODUCT(MAX(ROW(E$2:E6024)*(E6024=E$2:E6024)))))-COUNTBLANK(OFFSET(A$1,,,SUMPRODUCT(MAX(ROW(E$1:E6023)*(E2=E$1:E6023))))))</f>
        <v> </v>
      </c>
      <c r="K6024" s="26" t="str">
        <f>IF(OR(E6024="",E6024="!!!",F6024="NEW"),"",INDEX(J$1:J6023,SUMPRODUCT(MAX(ROW(E$1:E6023)*(E6024=E$1:E6023)))))</f>
        <v> </v>
      </c>
      <c r="L6024" s="27"/>
    </row>
    <row r="6025" spans="1:12">
      <c r="A6025" s="20" t="s">
        <v>1314</v>
      </c>
      <c r="E6025" s="22">
        <f>IF(D6025="?OLD","!!!","")</f>
        <v/>
      </c>
      <c r="F6025" s="23" t="str">
        <f>IF(OR(E6025="",E6025="!!!"),"",IF(NOT(ISNA(VLOOKUP(E6025,E$1:E6024,1,FALSE()))),"OLD",IF(AND(E6025&lt;&gt;"",E6025&lt;&gt;"!!!"),"NEW","")))</f>
        <v> </v>
      </c>
      <c r="G6025" s="24" t="str">
        <f>IF(OR(E6025="",E6025="!!!"),"",IF(OR(J6025=0,AND(J6025=1,K6025=1),AND(J6025=1,I6025="SBJ"),AND(J6025=1,I6025=0)),"?IN_FOCUS",IF(J6025&lt;=2,"?ACTIVATED",IF(J6025&lt;&gt;"","?FAMILIAR",IF(F6025="NEW",IF(ISNA(VLOOKUP(E6025,#REF!,1,FALSE())),"?TYPE_IDENTIFIABLE","?REFERENTIAL"),"_")))))</f>
        <v> </v>
      </c>
      <c r="H6025" s="25" t="str">
        <f>IF(J6025&lt;&gt;1,"",IF(I6025="SBJ","CB","?"))</f>
        <v> </v>
      </c>
      <c r="I6025" s="26" t="str">
        <f>IF(OR(E6025="",E6025="!!!",F6025="NEW"),"",INDEX(B6024:B$2,-1+SUMPRODUCT(MAX(ROW(E6024:E$2)*(E6025=E6024:E$2)))))</f>
        <v> </v>
      </c>
      <c r="J6025" s="26" t="str">
        <f>IF(OR(E6025="",E6025="!!!",F6025="NEW"),"",COUNTBLANK(OFFSET(A$1,,,SUMPRODUCT(MAX(ROW(E$2:E6025)*(E6025=E$2:E6025)))))-COUNTBLANK(OFFSET(A$1,,,SUMPRODUCT(MAX(ROW(E$1:E6024)*(E2=E$1:E6024))))))</f>
        <v> </v>
      </c>
      <c r="K6025" s="26" t="str">
        <f>IF(OR(E6025="",E6025="!!!",F6025="NEW"),"",INDEX(J$1:J6024,SUMPRODUCT(MAX(ROW(E$1:E6024)*(E6025=E$1:E6024)))))</f>
        <v> </v>
      </c>
      <c r="L6025" s="27"/>
    </row>
    <row r="6026" spans="1:12">
      <c r="A6026" s="20" t="s">
        <v>1951</v>
      </c>
      <c r="E6026" s="22">
        <f>IF(D6026="?OLD","!!!","")</f>
        <v/>
      </c>
      <c r="F6026" s="23" t="str">
        <f>IF(OR(E6026="",E6026="!!!"),"",IF(NOT(ISNA(VLOOKUP(E6026,E$1:E6025,1,FALSE()))),"OLD",IF(AND(E6026&lt;&gt;"",E6026&lt;&gt;"!!!"),"NEW","")))</f>
        <v> </v>
      </c>
      <c r="G6026" s="24" t="str">
        <f>IF(OR(E6026="",E6026="!!!"),"",IF(OR(J6026=0,AND(J6026=1,K6026=1),AND(J6026=1,I6026="SBJ"),AND(J6026=1,I6026=0)),"?IN_FOCUS",IF(J6026&lt;=2,"?ACTIVATED",IF(J6026&lt;&gt;"","?FAMILIAR",IF(F6026="NEW",IF(ISNA(VLOOKUP(E6026,#REF!,1,FALSE())),"?TYPE_IDENTIFIABLE","?REFERENTIAL"),"_")))))</f>
        <v> </v>
      </c>
      <c r="H6026" s="25" t="str">
        <f>IF(J6026&lt;&gt;1,"",IF(I6026="SBJ","CB","?"))</f>
        <v> </v>
      </c>
      <c r="I6026" s="26" t="str">
        <f>IF(OR(E6026="",E6026="!!!",F6026="NEW"),"",INDEX(B6025:B$2,-1+SUMPRODUCT(MAX(ROW(E6025:E$2)*(E6026=E6025:E$2)))))</f>
        <v> </v>
      </c>
      <c r="J6026" s="26" t="str">
        <f>IF(OR(E6026="",E6026="!!!",F6026="NEW"),"",COUNTBLANK(OFFSET(A$1,,,SUMPRODUCT(MAX(ROW(E$2:E6026)*(E6026=E$2:E6026)))))-COUNTBLANK(OFFSET(A$1,,,SUMPRODUCT(MAX(ROW(E$1:E6025)*(E2=E$1:E6025))))))</f>
        <v> </v>
      </c>
      <c r="K6026" s="26" t="str">
        <f>IF(OR(E6026="",E6026="!!!",F6026="NEW"),"",INDEX(J$1:J6025,SUMPRODUCT(MAX(ROW(E$1:E6025)*(E6026=E$1:E6025)))))</f>
        <v> </v>
      </c>
      <c r="L6026" s="27"/>
    </row>
    <row r="6027" spans="1:12">
      <c r="A6027" s="20" t="s">
        <v>2826</v>
      </c>
      <c r="E6027" s="22">
        <f>IF(D6027="?OLD","!!!","")</f>
        <v/>
      </c>
      <c r="F6027" s="23" t="str">
        <f>IF(OR(E6027="",E6027="!!!"),"",IF(NOT(ISNA(VLOOKUP(E6027,E$1:E6026,1,FALSE()))),"OLD",IF(AND(E6027&lt;&gt;"",E6027&lt;&gt;"!!!"),"NEW","")))</f>
        <v> </v>
      </c>
      <c r="G6027" s="24" t="str">
        <f>IF(OR(E6027="",E6027="!!!"),"",IF(OR(J6027=0,AND(J6027=1,K6027=1),AND(J6027=1,I6027="SBJ"),AND(J6027=1,I6027=0)),"?IN_FOCUS",IF(J6027&lt;=2,"?ACTIVATED",IF(J6027&lt;&gt;"","?FAMILIAR",IF(F6027="NEW",IF(ISNA(VLOOKUP(E6027,#REF!,1,FALSE())),"?TYPE_IDENTIFIABLE","?REFERENTIAL"),"_")))))</f>
        <v> </v>
      </c>
      <c r="H6027" s="25" t="str">
        <f>IF(J6027&lt;&gt;1,"",IF(I6027="SBJ","CB","?"))</f>
        <v> </v>
      </c>
      <c r="I6027" s="26" t="str">
        <f>IF(OR(E6027="",E6027="!!!",F6027="NEW"),"",INDEX(B6026:B$2,-1+SUMPRODUCT(MAX(ROW(E6026:E$2)*(E6027=E6026:E$2)))))</f>
        <v> </v>
      </c>
      <c r="J6027" s="26" t="str">
        <f>IF(OR(E6027="",E6027="!!!",F6027="NEW"),"",COUNTBLANK(OFFSET(A$1,,,SUMPRODUCT(MAX(ROW(E$2:E6027)*(E6027=E$2:E6027)))))-COUNTBLANK(OFFSET(A$1,,,SUMPRODUCT(MAX(ROW(E$1:E6026)*(E2=E$1:E6026))))))</f>
        <v> </v>
      </c>
      <c r="K6027" s="26" t="str">
        <f>IF(OR(E6027="",E6027="!!!",F6027="NEW"),"",INDEX(J$1:J6026,SUMPRODUCT(MAX(ROW(E$1:E6026)*(E6027=E$1:E6026)))))</f>
        <v> </v>
      </c>
      <c r="L6027" s="27"/>
    </row>
    <row r="6028" spans="1:12">
      <c r="A6028" s="20" t="s">
        <v>1185</v>
      </c>
      <c r="E6028" s="22">
        <f>IF(D6028="?OLD","!!!","")</f>
        <v/>
      </c>
      <c r="F6028" s="23" t="str">
        <f>IF(OR(E6028="",E6028="!!!"),"",IF(NOT(ISNA(VLOOKUP(E6028,E$1:E6027,1,FALSE()))),"OLD",IF(AND(E6028&lt;&gt;"",E6028&lt;&gt;"!!!"),"NEW","")))</f>
        <v> </v>
      </c>
      <c r="G6028" s="24" t="str">
        <f>IF(OR(E6028="",E6028="!!!"),"",IF(OR(J6028=0,AND(J6028=1,K6028=1),AND(J6028=1,I6028="SBJ"),AND(J6028=1,I6028=0)),"?IN_FOCUS",IF(J6028&lt;=2,"?ACTIVATED",IF(J6028&lt;&gt;"","?FAMILIAR",IF(F6028="NEW",IF(ISNA(VLOOKUP(E6028,#REF!,1,FALSE())),"?TYPE_IDENTIFIABLE","?REFERENTIAL"),"_")))))</f>
        <v> </v>
      </c>
      <c r="H6028" s="25" t="str">
        <f>IF(J6028&lt;&gt;1,"",IF(I6028="SBJ","CB","?"))</f>
        <v> </v>
      </c>
      <c r="I6028" s="26" t="str">
        <f>IF(OR(E6028="",E6028="!!!",F6028="NEW"),"",INDEX(B6027:B$2,-1+SUMPRODUCT(MAX(ROW(E6027:E$2)*(E6028=E6027:E$2)))))</f>
        <v> </v>
      </c>
      <c r="J6028" s="26" t="str">
        <f>IF(OR(E6028="",E6028="!!!",F6028="NEW"),"",COUNTBLANK(OFFSET(A$1,,,SUMPRODUCT(MAX(ROW(E$2:E6028)*(E6028=E$2:E6028)))))-COUNTBLANK(OFFSET(A$1,,,SUMPRODUCT(MAX(ROW(E$1:E6027)*(E2=E$1:E6027))))))</f>
        <v> </v>
      </c>
      <c r="K6028" s="26" t="str">
        <f>IF(OR(E6028="",E6028="!!!",F6028="NEW"),"",INDEX(J$1:J6027,SUMPRODUCT(MAX(ROW(E$1:E6027)*(E6028=E$1:E6027)))))</f>
        <v> </v>
      </c>
      <c r="L6028" s="27"/>
    </row>
    <row r="6029" spans="1:12">
      <c r="A6029" s="20" t="s">
        <v>2827</v>
      </c>
      <c r="E6029" s="22">
        <f>IF(D6029="?OLD","!!!","")</f>
        <v/>
      </c>
      <c r="F6029" s="23" t="str">
        <f>IF(OR(E6029="",E6029="!!!"),"",IF(NOT(ISNA(VLOOKUP(E6029,E$1:E6028,1,FALSE()))),"OLD",IF(AND(E6029&lt;&gt;"",E6029&lt;&gt;"!!!"),"NEW","")))</f>
        <v> </v>
      </c>
      <c r="G6029" s="24" t="str">
        <f>IF(OR(E6029="",E6029="!!!"),"",IF(OR(J6029=0,AND(J6029=1,K6029=1),AND(J6029=1,I6029="SBJ"),AND(J6029=1,I6029=0)),"?IN_FOCUS",IF(J6029&lt;=2,"?ACTIVATED",IF(J6029&lt;&gt;"","?FAMILIAR",IF(F6029="NEW",IF(ISNA(VLOOKUP(E6029,#REF!,1,FALSE())),"?TYPE_IDENTIFIABLE","?REFERENTIAL"),"_")))))</f>
        <v> </v>
      </c>
      <c r="H6029" s="25" t="str">
        <f>IF(J6029&lt;&gt;1,"",IF(I6029="SBJ","CB","?"))</f>
        <v> </v>
      </c>
      <c r="I6029" s="26" t="str">
        <f>IF(OR(E6029="",E6029="!!!",F6029="NEW"),"",INDEX(B6028:B$2,-1+SUMPRODUCT(MAX(ROW(E6028:E$2)*(E6029=E6028:E$2)))))</f>
        <v> </v>
      </c>
      <c r="J6029" s="26" t="str">
        <f>IF(OR(E6029="",E6029="!!!",F6029="NEW"),"",COUNTBLANK(OFFSET(A$1,,,SUMPRODUCT(MAX(ROW(E$2:E6029)*(E6029=E$2:E6029)))))-COUNTBLANK(OFFSET(A$1,,,SUMPRODUCT(MAX(ROW(E$1:E6028)*(E2=E$1:E6028))))))</f>
        <v> </v>
      </c>
      <c r="K6029" s="26" t="str">
        <f>IF(OR(E6029="",E6029="!!!",F6029="NEW"),"",INDEX(J$1:J6028,SUMPRODUCT(MAX(ROW(E$1:E6028)*(E6029=E$1:E6028)))))</f>
        <v> </v>
      </c>
      <c r="L6029" s="27"/>
    </row>
    <row r="6030" spans="1:12">
      <c r="A6030" s="20" t="s">
        <v>1186</v>
      </c>
      <c r="E6030" s="22">
        <f>IF(D6030="?OLD","!!!","")</f>
        <v/>
      </c>
      <c r="F6030" s="23" t="str">
        <f>IF(OR(E6030="",E6030="!!!"),"",IF(NOT(ISNA(VLOOKUP(E6030,E$1:E6029,1,FALSE()))),"OLD",IF(AND(E6030&lt;&gt;"",E6030&lt;&gt;"!!!"),"NEW","")))</f>
        <v> </v>
      </c>
      <c r="G6030" s="24" t="str">
        <f>IF(OR(E6030="",E6030="!!!"),"",IF(OR(J6030=0,AND(J6030=1,K6030=1),AND(J6030=1,I6030="SBJ"),AND(J6030=1,I6030=0)),"?IN_FOCUS",IF(J6030&lt;=2,"?ACTIVATED",IF(J6030&lt;&gt;"","?FAMILIAR",IF(F6030="NEW",IF(ISNA(VLOOKUP(E6030,#REF!,1,FALSE())),"?TYPE_IDENTIFIABLE","?REFERENTIAL"),"_")))))</f>
        <v> </v>
      </c>
      <c r="H6030" s="25" t="str">
        <f>IF(J6030&lt;&gt;1,"",IF(I6030="SBJ","CB","?"))</f>
        <v> </v>
      </c>
      <c r="I6030" s="26" t="str">
        <f>IF(OR(E6030="",E6030="!!!",F6030="NEW"),"",INDEX(B6029:B$2,-1+SUMPRODUCT(MAX(ROW(E6029:E$2)*(E6030=E6029:E$2)))))</f>
        <v> </v>
      </c>
      <c r="J6030" s="26" t="str">
        <f>IF(OR(E6030="",E6030="!!!",F6030="NEW"),"",COUNTBLANK(OFFSET(A$1,,,SUMPRODUCT(MAX(ROW(E$2:E6030)*(E6030=E$2:E6030)))))-COUNTBLANK(OFFSET(A$1,,,SUMPRODUCT(MAX(ROW(E$1:E6029)*(E2=E$1:E6029))))))</f>
        <v> </v>
      </c>
      <c r="K6030" s="26" t="str">
        <f>IF(OR(E6030="",E6030="!!!",F6030="NEW"),"",INDEX(J$1:J6029,SUMPRODUCT(MAX(ROW(E$1:E6029)*(E6030=E$1:E6029)))))</f>
        <v> </v>
      </c>
      <c r="L6030" s="27"/>
    </row>
    <row r="6031" spans="1:12">
      <c r="A6031" s="20" t="s">
        <v>2828</v>
      </c>
      <c r="B6031" s="21" t="s">
        <v>1240</v>
      </c>
      <c r="C6031" s="21" t="s">
        <v>1188</v>
      </c>
      <c r="D6031" s="21" t="s">
        <v>1180</v>
      </c>
      <c r="E6031" s="22">
        <f>IF(D6031="?OLD","!!!","")</f>
        <v/>
      </c>
      <c r="F6031" s="23" t="str">
        <f>IF(OR(E6031="",E6031="!!!"),"",IF(NOT(ISNA(VLOOKUP(E6031,E$1:E6030,1,FALSE()))),"OLD",IF(AND(E6031&lt;&gt;"",E6031&lt;&gt;"!!!"),"NEW","")))</f>
        <v> </v>
      </c>
      <c r="G6031" s="24" t="str">
        <f>IF(OR(E6031="",E6031="!!!"),"",IF(OR(J6031=0,AND(J6031=1,K6031=1),AND(J6031=1,I6031="SBJ"),AND(J6031=1,I6031=0)),"?IN_FOCUS",IF(J6031&lt;=2,"?ACTIVATED",IF(J6031&lt;&gt;"","?FAMILIAR",IF(F6031="NEW",IF(ISNA(VLOOKUP(E6031,#REF!,1,FALSE())),"?TYPE_IDENTIFIABLE","?REFERENTIAL"),"_")))))</f>
        <v> </v>
      </c>
      <c r="H6031" s="25" t="str">
        <f>IF(J6031&lt;&gt;1,"",IF(I6031="SBJ","CB","?"))</f>
        <v> </v>
      </c>
      <c r="I6031" s="26" t="str">
        <f>IF(OR(E6031="",E6031="!!!",F6031="NEW"),"",INDEX(B6030:B$2,-1+SUMPRODUCT(MAX(ROW(E6030:E$2)*(E6031=E6030:E$2)))))</f>
        <v> </v>
      </c>
      <c r="J6031" s="26" t="str">
        <f>IF(OR(E6031="",E6031="!!!",F6031="NEW"),"",COUNTBLANK(OFFSET(A$1,,,SUMPRODUCT(MAX(ROW(E$2:E6031)*(E6031=E$2:E6031)))))-COUNTBLANK(OFFSET(A$1,,,SUMPRODUCT(MAX(ROW(E$1:E6030)*(E2=E$1:E6030))))))</f>
        <v> </v>
      </c>
      <c r="K6031" s="26" t="str">
        <f>IF(OR(E6031="",E6031="!!!",F6031="NEW"),"",INDEX(J$1:J6030,SUMPRODUCT(MAX(ROW(E$1:E6030)*(E6031=E$1:E6030)))))</f>
        <v> </v>
      </c>
      <c r="L6031" s="27"/>
    </row>
    <row r="6032" spans="1:12">
      <c r="A6032" s="20" t="s">
        <v>1198</v>
      </c>
      <c r="E6032" s="22">
        <f>IF(D6032="?OLD","!!!","")</f>
        <v/>
      </c>
      <c r="F6032" s="23" t="str">
        <f>IF(OR(E6032="",E6032="!!!"),"",IF(NOT(ISNA(VLOOKUP(E6032,E$1:E6031,1,FALSE()))),"OLD",IF(AND(E6032&lt;&gt;"",E6032&lt;&gt;"!!!"),"NEW","")))</f>
        <v> </v>
      </c>
      <c r="G6032" s="24" t="str">
        <f>IF(OR(E6032="",E6032="!!!"),"",IF(OR(J6032=0,AND(J6032=1,K6032=1),AND(J6032=1,I6032="SBJ"),AND(J6032=1,I6032=0)),"?IN_FOCUS",IF(J6032&lt;=2,"?ACTIVATED",IF(J6032&lt;&gt;"","?FAMILIAR",IF(F6032="NEW",IF(ISNA(VLOOKUP(E6032,#REF!,1,FALSE())),"?TYPE_IDENTIFIABLE","?REFERENTIAL"),"_")))))</f>
        <v> </v>
      </c>
      <c r="H6032" s="25" t="str">
        <f>IF(J6032&lt;&gt;1,"",IF(I6032="SBJ","CB","?"))</f>
        <v> </v>
      </c>
      <c r="I6032" s="26" t="str">
        <f>IF(OR(E6032="",E6032="!!!",F6032="NEW"),"",INDEX(B6031:B$2,-1+SUMPRODUCT(MAX(ROW(E6031:E$2)*(E6032=E6031:E$2)))))</f>
        <v> </v>
      </c>
      <c r="J6032" s="26" t="str">
        <f>IF(OR(E6032="",E6032="!!!",F6032="NEW"),"",COUNTBLANK(OFFSET(A$1,,,SUMPRODUCT(MAX(ROW(E$2:E6032)*(E6032=E$2:E6032)))))-COUNTBLANK(OFFSET(A$1,,,SUMPRODUCT(MAX(ROW(E$1:E6031)*(E2=E$1:E6031))))))</f>
        <v> </v>
      </c>
      <c r="K6032" s="26" t="str">
        <f>IF(OR(E6032="",E6032="!!!",F6032="NEW"),"",INDEX(J$1:J6031,SUMPRODUCT(MAX(ROW(E$1:E6031)*(E6032=E$1:E6031)))))</f>
        <v> </v>
      </c>
      <c r="L6032" s="27"/>
    </row>
    <row r="6033" spans="1:12">
      <c r="A6033" s="20" t="s">
        <v>1338</v>
      </c>
      <c r="B6033" s="21" t="s">
        <v>1207</v>
      </c>
      <c r="C6033" s="21" t="s">
        <v>1188</v>
      </c>
      <c r="D6033" s="21" t="s">
        <v>1180</v>
      </c>
      <c r="E6033" s="22">
        <f>IF(D6033="?OLD","!!!","")</f>
        <v/>
      </c>
      <c r="F6033" s="23" t="str">
        <f>IF(OR(E6033="",E6033="!!!"),"",IF(NOT(ISNA(VLOOKUP(E6033,E$1:E6032,1,FALSE()))),"OLD",IF(AND(E6033&lt;&gt;"",E6033&lt;&gt;"!!!"),"NEW","")))</f>
        <v> </v>
      </c>
      <c r="G6033" s="24" t="str">
        <f>IF(OR(E6033="",E6033="!!!"),"",IF(OR(J6033=0,AND(J6033=1,K6033=1),AND(J6033=1,I6033="SBJ"),AND(J6033=1,I6033=0)),"?IN_FOCUS",IF(J6033&lt;=2,"?ACTIVATED",IF(J6033&lt;&gt;"","?FAMILIAR",IF(F6033="NEW",IF(ISNA(VLOOKUP(E6033,#REF!,1,FALSE())),"?TYPE_IDENTIFIABLE","?REFERENTIAL"),"_")))))</f>
        <v> </v>
      </c>
      <c r="H6033" s="25" t="str">
        <f>IF(J6033&lt;&gt;1,"",IF(I6033="SBJ","CB","?"))</f>
        <v> </v>
      </c>
      <c r="I6033" s="26" t="str">
        <f>IF(OR(E6033="",E6033="!!!",F6033="NEW"),"",INDEX(B6032:B$2,-1+SUMPRODUCT(MAX(ROW(E6032:E$2)*(E6033=E6032:E$2)))))</f>
        <v> </v>
      </c>
      <c r="J6033" s="26" t="str">
        <f>IF(OR(E6033="",E6033="!!!",F6033="NEW"),"",COUNTBLANK(OFFSET(A$1,,,SUMPRODUCT(MAX(ROW(E$2:E6033)*(E6033=E$2:E6033)))))-COUNTBLANK(OFFSET(A$1,,,SUMPRODUCT(MAX(ROW(E$1:E6032)*(E2=E$1:E6032))))))</f>
        <v> </v>
      </c>
      <c r="K6033" s="26" t="str">
        <f>IF(OR(E6033="",E6033="!!!",F6033="NEW"),"",INDEX(J$1:J6032,SUMPRODUCT(MAX(ROW(E$1:E6032)*(E6033=E$1:E6032)))))</f>
        <v> </v>
      </c>
      <c r="L6033" s="27"/>
    </row>
    <row r="6034" spans="1:12">
      <c r="A6034" s="20" t="s">
        <v>1513</v>
      </c>
      <c r="E6034" s="22">
        <f>IF(D6034="?OLD","!!!","")</f>
        <v/>
      </c>
      <c r="F6034" s="23" t="str">
        <f>IF(OR(E6034="",E6034="!!!"),"",IF(NOT(ISNA(VLOOKUP(E6034,E$1:E6033,1,FALSE()))),"OLD",IF(AND(E6034&lt;&gt;"",E6034&lt;&gt;"!!!"),"NEW","")))</f>
        <v> </v>
      </c>
      <c r="G6034" s="24" t="str">
        <f>IF(OR(E6034="",E6034="!!!"),"",IF(OR(J6034=0,AND(J6034=1,K6034=1),AND(J6034=1,I6034="SBJ"),AND(J6034=1,I6034=0)),"?IN_FOCUS",IF(J6034&lt;=2,"?ACTIVATED",IF(J6034&lt;&gt;"","?FAMILIAR",IF(F6034="NEW",IF(ISNA(VLOOKUP(E6034,#REF!,1,FALSE())),"?TYPE_IDENTIFIABLE","?REFERENTIAL"),"_")))))</f>
        <v> </v>
      </c>
      <c r="H6034" s="25" t="str">
        <f>IF(J6034&lt;&gt;1,"",IF(I6034="SBJ","CB","?"))</f>
        <v> </v>
      </c>
      <c r="I6034" s="26" t="str">
        <f>IF(OR(E6034="",E6034="!!!",F6034="NEW"),"",INDEX(B6033:B$2,-1+SUMPRODUCT(MAX(ROW(E6033:E$2)*(E6034=E6033:E$2)))))</f>
        <v> </v>
      </c>
      <c r="J6034" s="26" t="str">
        <f>IF(OR(E6034="",E6034="!!!",F6034="NEW"),"",COUNTBLANK(OFFSET(A$1,,,SUMPRODUCT(MAX(ROW(E$2:E6034)*(E6034=E$2:E6034)))))-COUNTBLANK(OFFSET(A$1,,,SUMPRODUCT(MAX(ROW(E$1:E6033)*(E2=E$1:E6033))))))</f>
        <v> </v>
      </c>
      <c r="K6034" s="26" t="str">
        <f>IF(OR(E6034="",E6034="!!!",F6034="NEW"),"",INDEX(J$1:J6033,SUMPRODUCT(MAX(ROW(E$1:E6033)*(E6034=E$1:E6033)))))</f>
        <v> </v>
      </c>
      <c r="L6034" s="27"/>
    </row>
    <row r="6035" spans="1:12">
      <c r="A6035" s="20" t="s">
        <v>1265</v>
      </c>
      <c r="E6035" s="22">
        <f>IF(D6035="?OLD","!!!","")</f>
        <v/>
      </c>
      <c r="F6035" s="23" t="str">
        <f>IF(OR(E6035="",E6035="!!!"),"",IF(NOT(ISNA(VLOOKUP(E6035,E$1:E6034,1,FALSE()))),"OLD",IF(AND(E6035&lt;&gt;"",E6035&lt;&gt;"!!!"),"NEW","")))</f>
        <v> </v>
      </c>
      <c r="G6035" s="24" t="str">
        <f>IF(OR(E6035="",E6035="!!!"),"",IF(OR(J6035=0,AND(J6035=1,K6035=1),AND(J6035=1,I6035="SBJ"),AND(J6035=1,I6035=0)),"?IN_FOCUS",IF(J6035&lt;=2,"?ACTIVATED",IF(J6035&lt;&gt;"","?FAMILIAR",IF(F6035="NEW",IF(ISNA(VLOOKUP(E6035,#REF!,1,FALSE())),"?TYPE_IDENTIFIABLE","?REFERENTIAL"),"_")))))</f>
        <v> </v>
      </c>
      <c r="H6035" s="25" t="str">
        <f>IF(J6035&lt;&gt;1,"",IF(I6035="SBJ","CB","?"))</f>
        <v> </v>
      </c>
      <c r="I6035" s="26" t="str">
        <f>IF(OR(E6035="",E6035="!!!",F6035="NEW"),"",INDEX(B6034:B$2,-1+SUMPRODUCT(MAX(ROW(E6034:E$2)*(E6035=E6034:E$2)))))</f>
        <v> </v>
      </c>
      <c r="J6035" s="26" t="str">
        <f>IF(OR(E6035="",E6035="!!!",F6035="NEW"),"",COUNTBLANK(OFFSET(A$1,,,SUMPRODUCT(MAX(ROW(E$2:E6035)*(E6035=E$2:E6035)))))-COUNTBLANK(OFFSET(A$1,,,SUMPRODUCT(MAX(ROW(E$1:E6034)*(E2=E$1:E6034))))))</f>
        <v> </v>
      </c>
      <c r="K6035" s="26" t="str">
        <f>IF(OR(E6035="",E6035="!!!",F6035="NEW"),"",INDEX(J$1:J6034,SUMPRODUCT(MAX(ROW(E$1:E6034)*(E6035=E$1:E6034)))))</f>
        <v> </v>
      </c>
      <c r="L6035" s="27"/>
    </row>
    <row r="6036" spans="1:12">
      <c r="A6036" s="20" t="s">
        <v>2829</v>
      </c>
      <c r="B6036" s="21" t="s">
        <v>1237</v>
      </c>
      <c r="C6036" s="21" t="s">
        <v>1223</v>
      </c>
      <c r="E6036" s="22">
        <f>IF(D6036="?OLD","!!!","")</f>
        <v/>
      </c>
      <c r="F6036" s="23" t="str">
        <f>IF(OR(E6036="",E6036="!!!"),"",IF(NOT(ISNA(VLOOKUP(E6036,E$1:E6035,1,FALSE()))),"OLD",IF(AND(E6036&lt;&gt;"",E6036&lt;&gt;"!!!"),"NEW","")))</f>
        <v> </v>
      </c>
      <c r="G6036" s="24" t="str">
        <f>IF(OR(E6036="",E6036="!!!"),"",IF(OR(J6036=0,AND(J6036=1,K6036=1),AND(J6036=1,I6036="SBJ"),AND(J6036=1,I6036=0)),"?IN_FOCUS",IF(J6036&lt;=2,"?ACTIVATED",IF(J6036&lt;&gt;"","?FAMILIAR",IF(F6036="NEW",IF(ISNA(VLOOKUP(E6036,#REF!,1,FALSE())),"?TYPE_IDENTIFIABLE","?REFERENTIAL"),"_")))))</f>
        <v> </v>
      </c>
      <c r="H6036" s="25" t="str">
        <f>IF(J6036&lt;&gt;1,"",IF(I6036="SBJ","CB","?"))</f>
        <v> </v>
      </c>
      <c r="I6036" s="26" t="str">
        <f>IF(OR(E6036="",E6036="!!!",F6036="NEW"),"",INDEX(B6035:B$2,-1+SUMPRODUCT(MAX(ROW(E6035:E$2)*(E6036=E6035:E$2)))))</f>
        <v> </v>
      </c>
      <c r="J6036" s="26" t="str">
        <f>IF(OR(E6036="",E6036="!!!",F6036="NEW"),"",COUNTBLANK(OFFSET(A$1,,,SUMPRODUCT(MAX(ROW(E$2:E6036)*(E6036=E$2:E6036)))))-COUNTBLANK(OFFSET(A$1,,,SUMPRODUCT(MAX(ROW(E$1:E6035)*(E2=E$1:E6035))))))</f>
        <v> </v>
      </c>
      <c r="K6036" s="26" t="str">
        <f>IF(OR(E6036="",E6036="!!!",F6036="NEW"),"",INDEX(J$1:J6035,SUMPRODUCT(MAX(ROW(E$1:E6035)*(E6036=E$1:E6035)))))</f>
        <v> </v>
      </c>
      <c r="L6036" s="27"/>
    </row>
    <row r="6037" spans="1:12">
      <c r="A6037" s="20" t="s">
        <v>1189</v>
      </c>
      <c r="E6037" s="22">
        <f>IF(D6037="?OLD","!!!","")</f>
        <v/>
      </c>
      <c r="F6037" s="23" t="str">
        <f>IF(OR(E6037="",E6037="!!!"),"",IF(NOT(ISNA(VLOOKUP(E6037,E$1:E6036,1,FALSE()))),"OLD",IF(AND(E6037&lt;&gt;"",E6037&lt;&gt;"!!!"),"NEW","")))</f>
        <v> </v>
      </c>
      <c r="G6037" s="24" t="str">
        <f>IF(OR(E6037="",E6037="!!!"),"",IF(OR(J6037=0,AND(J6037=1,K6037=1),AND(J6037=1,I6037="SBJ"),AND(J6037=1,I6037=0)),"?IN_FOCUS",IF(J6037&lt;=2,"?ACTIVATED",IF(J6037&lt;&gt;"","?FAMILIAR",IF(F6037="NEW",IF(ISNA(VLOOKUP(E6037,#REF!,1,FALSE())),"?TYPE_IDENTIFIABLE","?REFERENTIAL"),"_")))))</f>
        <v> </v>
      </c>
      <c r="H6037" s="25" t="str">
        <f>IF(J6037&lt;&gt;1,"",IF(I6037="SBJ","CB","?"))</f>
        <v> </v>
      </c>
      <c r="I6037" s="26" t="str">
        <f>IF(OR(E6037="",E6037="!!!",F6037="NEW"),"",INDEX(B6036:B$2,-1+SUMPRODUCT(MAX(ROW(E6036:E$2)*(E6037=E6036:E$2)))))</f>
        <v> </v>
      </c>
      <c r="J6037" s="26" t="str">
        <f>IF(OR(E6037="",E6037="!!!",F6037="NEW"),"",COUNTBLANK(OFFSET(A$1,,,SUMPRODUCT(MAX(ROW(E$2:E6037)*(E6037=E$2:E6037)))))-COUNTBLANK(OFFSET(A$1,,,SUMPRODUCT(MAX(ROW(E$1:E6036)*(E2=E$1:E6036))))))</f>
        <v> </v>
      </c>
      <c r="K6037" s="26" t="str">
        <f>IF(OR(E6037="",E6037="!!!",F6037="NEW"),"",INDEX(J$1:J6036,SUMPRODUCT(MAX(ROW(E$1:E6036)*(E6037=E$1:E6036)))))</f>
        <v> </v>
      </c>
      <c r="L6037" s="27"/>
    </row>
    <row r="6038" spans="1:12">
      <c r="A6038" s="20" t="s">
        <v>2830</v>
      </c>
      <c r="B6038" s="21" t="s">
        <v>1207</v>
      </c>
      <c r="C6038" s="21" t="s">
        <v>1608</v>
      </c>
      <c r="D6038" s="21" t="s">
        <v>1180</v>
      </c>
      <c r="E6038" s="22">
        <f>IF(D6038="?OLD","!!!","")</f>
        <v/>
      </c>
      <c r="F6038" s="23" t="str">
        <f>IF(OR(E6038="",E6038="!!!"),"",IF(NOT(ISNA(VLOOKUP(E6038,E$1:E6037,1,FALSE()))),"OLD",IF(AND(E6038&lt;&gt;"",E6038&lt;&gt;"!!!"),"NEW","")))</f>
        <v> </v>
      </c>
      <c r="G6038" s="24" t="str">
        <f>IF(OR(E6038="",E6038="!!!"),"",IF(OR(J6038=0,AND(J6038=1,K6038=1),AND(J6038=1,I6038="SBJ"),AND(J6038=1,I6038=0)),"?IN_FOCUS",IF(J6038&lt;=2,"?ACTIVATED",IF(J6038&lt;&gt;"","?FAMILIAR",IF(F6038="NEW",IF(ISNA(VLOOKUP(E6038,#REF!,1,FALSE())),"?TYPE_IDENTIFIABLE","?REFERENTIAL"),"_")))))</f>
        <v> </v>
      </c>
      <c r="H6038" s="25" t="str">
        <f>IF(J6038&lt;&gt;1,"",IF(I6038="SBJ","CB","?"))</f>
        <v> </v>
      </c>
      <c r="I6038" s="26" t="str">
        <f>IF(OR(E6038="",E6038="!!!",F6038="NEW"),"",INDEX(B6037:B$2,-1+SUMPRODUCT(MAX(ROW(E6037:E$2)*(E6038=E6037:E$2)))))</f>
        <v> </v>
      </c>
      <c r="J6038" s="26" t="str">
        <f>IF(OR(E6038="",E6038="!!!",F6038="NEW"),"",COUNTBLANK(OFFSET(A$1,,,SUMPRODUCT(MAX(ROW(E$2:E6038)*(E6038=E$2:E6038)))))-COUNTBLANK(OFFSET(A$1,,,SUMPRODUCT(MAX(ROW(E$1:E6037)*(E2=E$1:E6037))))))</f>
        <v> </v>
      </c>
      <c r="K6038" s="26" t="str">
        <f>IF(OR(E6038="",E6038="!!!",F6038="NEW"),"",INDEX(J$1:J6037,SUMPRODUCT(MAX(ROW(E$1:E6037)*(E6038=E$1:E6037)))))</f>
        <v> </v>
      </c>
      <c r="L6038" s="27"/>
    </row>
    <row r="6039" spans="1:12">
      <c r="A6039" s="20" t="s">
        <v>2814</v>
      </c>
      <c r="E6039" s="22">
        <f>IF(D6039="?OLD","!!!","")</f>
        <v/>
      </c>
      <c r="F6039" s="23" t="str">
        <f>IF(OR(E6039="",E6039="!!!"),"",IF(NOT(ISNA(VLOOKUP(E6039,E$1:E6038,1,FALSE()))),"OLD",IF(AND(E6039&lt;&gt;"",E6039&lt;&gt;"!!!"),"NEW","")))</f>
        <v> </v>
      </c>
      <c r="G6039" s="24" t="str">
        <f>IF(OR(E6039="",E6039="!!!"),"",IF(OR(J6039=0,AND(J6039=1,K6039=1),AND(J6039=1,I6039="SBJ"),AND(J6039=1,I6039=0)),"?IN_FOCUS",IF(J6039&lt;=2,"?ACTIVATED",IF(J6039&lt;&gt;"","?FAMILIAR",IF(F6039="NEW",IF(ISNA(VLOOKUP(E6039,#REF!,1,FALSE())),"?TYPE_IDENTIFIABLE","?REFERENTIAL"),"_")))))</f>
        <v> </v>
      </c>
      <c r="H6039" s="25" t="str">
        <f>IF(J6039&lt;&gt;1,"",IF(I6039="SBJ","CB","?"))</f>
        <v> </v>
      </c>
      <c r="I6039" s="26" t="str">
        <f>IF(OR(E6039="",E6039="!!!",F6039="NEW"),"",INDEX(B6038:B$2,-1+SUMPRODUCT(MAX(ROW(E6038:E$2)*(E6039=E6038:E$2)))))</f>
        <v> </v>
      </c>
      <c r="J6039" s="26" t="str">
        <f>IF(OR(E6039="",E6039="!!!",F6039="NEW"),"",COUNTBLANK(OFFSET(A$1,,,SUMPRODUCT(MAX(ROW(E$2:E6039)*(E6039=E$2:E6039)))))-COUNTBLANK(OFFSET(A$1,,,SUMPRODUCT(MAX(ROW(E$1:E6038)*(E2=E$1:E6038))))))</f>
        <v> </v>
      </c>
      <c r="K6039" s="26" t="str">
        <f>IF(OR(E6039="",E6039="!!!",F6039="NEW"),"",INDEX(J$1:J6038,SUMPRODUCT(MAX(ROW(E$1:E6038)*(E6039=E$1:E6038)))))</f>
        <v> </v>
      </c>
      <c r="L6039" s="27"/>
    </row>
    <row r="6040" spans="1:12">
      <c r="A6040" s="20" t="s">
        <v>2799</v>
      </c>
      <c r="E6040" s="22">
        <f>IF(D6040="?OLD","!!!","")</f>
        <v/>
      </c>
      <c r="F6040" s="23" t="str">
        <f>IF(OR(E6040="",E6040="!!!"),"",IF(NOT(ISNA(VLOOKUP(E6040,E$1:E6039,1,FALSE()))),"OLD",IF(AND(E6040&lt;&gt;"",E6040&lt;&gt;"!!!"),"NEW","")))</f>
        <v> </v>
      </c>
      <c r="G6040" s="24" t="str">
        <f>IF(OR(E6040="",E6040="!!!"),"",IF(OR(J6040=0,AND(J6040=1,K6040=1),AND(J6040=1,I6040="SBJ"),AND(J6040=1,I6040=0)),"?IN_FOCUS",IF(J6040&lt;=2,"?ACTIVATED",IF(J6040&lt;&gt;"","?FAMILIAR",IF(F6040="NEW",IF(ISNA(VLOOKUP(E6040,#REF!,1,FALSE())),"?TYPE_IDENTIFIABLE","?REFERENTIAL"),"_")))))</f>
        <v> </v>
      </c>
      <c r="H6040" s="25" t="str">
        <f>IF(J6040&lt;&gt;1,"",IF(I6040="SBJ","CB","?"))</f>
        <v> </v>
      </c>
      <c r="I6040" s="26" t="str">
        <f>IF(OR(E6040="",E6040="!!!",F6040="NEW"),"",INDEX(B6039:B$2,-1+SUMPRODUCT(MAX(ROW(E6039:E$2)*(E6040=E6039:E$2)))))</f>
        <v> </v>
      </c>
      <c r="J6040" s="26" t="str">
        <f>IF(OR(E6040="",E6040="!!!",F6040="NEW"),"",COUNTBLANK(OFFSET(A$1,,,SUMPRODUCT(MAX(ROW(E$2:E6040)*(E6040=E$2:E6040)))))-COUNTBLANK(OFFSET(A$1,,,SUMPRODUCT(MAX(ROW(E$1:E6039)*(E2=E$1:E6039))))))</f>
        <v> </v>
      </c>
      <c r="K6040" s="26" t="str">
        <f>IF(OR(E6040="",E6040="!!!",F6040="NEW"),"",INDEX(J$1:J6039,SUMPRODUCT(MAX(ROW(E$1:E6039)*(E6040=E$1:E6039)))))</f>
        <v> </v>
      </c>
      <c r="L6040" s="27"/>
    </row>
    <row r="6041" spans="1:12">
      <c r="A6041" s="20" t="s">
        <v>163</v>
      </c>
      <c r="E6041" s="22">
        <f>IF(D6041="?OLD","!!!","")</f>
        <v/>
      </c>
      <c r="F6041" s="23" t="str">
        <f>IF(OR(E6041="",E6041="!!!"),"",IF(NOT(ISNA(VLOOKUP(E6041,E$1:E6040,1,FALSE()))),"OLD",IF(AND(E6041&lt;&gt;"",E6041&lt;&gt;"!!!"),"NEW","")))</f>
        <v> </v>
      </c>
      <c r="G6041" s="24" t="str">
        <f>IF(OR(E6041="",E6041="!!!"),"",IF(OR(J6041=0,AND(J6041=1,K6041=1),AND(J6041=1,I6041="SBJ"),AND(J6041=1,I6041=0)),"?IN_FOCUS",IF(J6041&lt;=2,"?ACTIVATED",IF(J6041&lt;&gt;"","?FAMILIAR",IF(F6041="NEW",IF(ISNA(VLOOKUP(E6041,#REF!,1,FALSE())),"?TYPE_IDENTIFIABLE","?REFERENTIAL"),"_")))))</f>
        <v> </v>
      </c>
      <c r="H6041" s="25" t="str">
        <f>IF(J6041&lt;&gt;1,"",IF(I6041="SBJ","CB","?"))</f>
        <v> </v>
      </c>
      <c r="I6041" s="26" t="str">
        <f>IF(OR(E6041="",E6041="!!!",F6041="NEW"),"",INDEX(B6040:B$2,-1+SUMPRODUCT(MAX(ROW(E6040:E$2)*(E6041=E6040:E$2)))))</f>
        <v> </v>
      </c>
      <c r="J6041" s="26" t="str">
        <f>IF(OR(E6041="",E6041="!!!",F6041="NEW"),"",COUNTBLANK(OFFSET(A$1,,,SUMPRODUCT(MAX(ROW(E$2:E6041)*(E6041=E$2:E6041)))))-COUNTBLANK(OFFSET(A$1,,,SUMPRODUCT(MAX(ROW(E$1:E6040)*(E2=E$1:E6040))))))</f>
        <v> </v>
      </c>
      <c r="K6041" s="26" t="str">
        <f>IF(OR(E6041="",E6041="!!!",F6041="NEW"),"",INDEX(J$1:J6040,SUMPRODUCT(MAX(ROW(E$1:E6040)*(E6041=E$1:E6040)))))</f>
        <v> </v>
      </c>
      <c r="L6041" s="27"/>
    </row>
    <row r="6042" spans="1:12">
      <c r="A6042" s="20" t="s">
        <v>1185</v>
      </c>
      <c r="E6042" s="22">
        <f>IF(D6042="?OLD","!!!","")</f>
        <v/>
      </c>
      <c r="F6042" s="23" t="str">
        <f>IF(OR(E6042="",E6042="!!!"),"",IF(NOT(ISNA(VLOOKUP(E6042,E$1:E6041,1,FALSE()))),"OLD",IF(AND(E6042&lt;&gt;"",E6042&lt;&gt;"!!!"),"NEW","")))</f>
        <v> </v>
      </c>
      <c r="G6042" s="24" t="str">
        <f>IF(OR(E6042="",E6042="!!!"),"",IF(OR(J6042=0,AND(J6042=1,K6042=1),AND(J6042=1,I6042="SBJ"),AND(J6042=1,I6042=0)),"?IN_FOCUS",IF(J6042&lt;=2,"?ACTIVATED",IF(J6042&lt;&gt;"","?FAMILIAR",IF(F6042="NEW",IF(ISNA(VLOOKUP(E6042,#REF!,1,FALSE())),"?TYPE_IDENTIFIABLE","?REFERENTIAL"),"_")))))</f>
        <v> </v>
      </c>
      <c r="H6042" s="25" t="str">
        <f>IF(J6042&lt;&gt;1,"",IF(I6042="SBJ","CB","?"))</f>
        <v> </v>
      </c>
      <c r="I6042" s="26" t="str">
        <f>IF(OR(E6042="",E6042="!!!",F6042="NEW"),"",INDEX(B6041:B$2,-1+SUMPRODUCT(MAX(ROW(E6041:E$2)*(E6042=E6041:E$2)))))</f>
        <v> </v>
      </c>
      <c r="J6042" s="26" t="str">
        <f>IF(OR(E6042="",E6042="!!!",F6042="NEW"),"",COUNTBLANK(OFFSET(A$1,,,SUMPRODUCT(MAX(ROW(E$2:E6042)*(E6042=E$2:E6042)))))-COUNTBLANK(OFFSET(A$1,,,SUMPRODUCT(MAX(ROW(E$1:E6041)*(E2=E$1:E6041))))))</f>
        <v> </v>
      </c>
      <c r="K6042" s="26" t="str">
        <f>IF(OR(E6042="",E6042="!!!",F6042="NEW"),"",INDEX(J$1:J6041,SUMPRODUCT(MAX(ROW(E$1:E6041)*(E6042=E$1:E6041)))))</f>
        <v> </v>
      </c>
      <c r="L6042" s="27"/>
    </row>
    <row r="6043" spans="1:12">
      <c r="A6043" s="20" t="s">
        <v>1295</v>
      </c>
      <c r="E6043" s="22">
        <f>IF(D6043="?OLD","!!!","")</f>
        <v/>
      </c>
      <c r="F6043" s="23" t="str">
        <f>IF(OR(E6043="",E6043="!!!"),"",IF(NOT(ISNA(VLOOKUP(E6043,E$1:E6042,1,FALSE()))),"OLD",IF(AND(E6043&lt;&gt;"",E6043&lt;&gt;"!!!"),"NEW","")))</f>
        <v> </v>
      </c>
      <c r="G6043" s="24" t="str">
        <f>IF(OR(E6043="",E6043="!!!"),"",IF(OR(J6043=0,AND(J6043=1,K6043=1),AND(J6043=1,I6043="SBJ"),AND(J6043=1,I6043=0)),"?IN_FOCUS",IF(J6043&lt;=2,"?ACTIVATED",IF(J6043&lt;&gt;"","?FAMILIAR",IF(F6043="NEW",IF(ISNA(VLOOKUP(E6043,#REF!,1,FALSE())),"?TYPE_IDENTIFIABLE","?REFERENTIAL"),"_")))))</f>
        <v> </v>
      </c>
      <c r="H6043" s="25" t="str">
        <f>IF(J6043&lt;&gt;1,"",IF(I6043="SBJ","CB","?"))</f>
        <v> </v>
      </c>
      <c r="I6043" s="26" t="str">
        <f>IF(OR(E6043="",E6043="!!!",F6043="NEW"),"",INDEX(B6042:B$2,-1+SUMPRODUCT(MAX(ROW(E6042:E$2)*(E6043=E6042:E$2)))))</f>
        <v> </v>
      </c>
      <c r="J6043" s="26" t="str">
        <f>IF(OR(E6043="",E6043="!!!",F6043="NEW"),"",COUNTBLANK(OFFSET(A$1,,,SUMPRODUCT(MAX(ROW(E$2:E6043)*(E6043=E$2:E6043)))))-COUNTBLANK(OFFSET(A$1,,,SUMPRODUCT(MAX(ROW(E$1:E6042)*(E2=E$1:E6042))))))</f>
        <v> </v>
      </c>
      <c r="K6043" s="26" t="str">
        <f>IF(OR(E6043="",E6043="!!!",F6043="NEW"),"",INDEX(J$1:J6042,SUMPRODUCT(MAX(ROW(E$1:E6042)*(E6043=E$1:E6042)))))</f>
        <v> </v>
      </c>
      <c r="L6043" s="27"/>
    </row>
    <row r="6044" spans="1:12">
      <c r="A6044" s="20" t="s">
        <v>1557</v>
      </c>
      <c r="E6044" s="22">
        <f>IF(D6044="?OLD","!!!","")</f>
        <v/>
      </c>
      <c r="F6044" s="23" t="str">
        <f>IF(OR(E6044="",E6044="!!!"),"",IF(NOT(ISNA(VLOOKUP(E6044,E$1:E6043,1,FALSE()))),"OLD",IF(AND(E6044&lt;&gt;"",E6044&lt;&gt;"!!!"),"NEW","")))</f>
        <v> </v>
      </c>
      <c r="G6044" s="24" t="str">
        <f>IF(OR(E6044="",E6044="!!!"),"",IF(OR(J6044=0,AND(J6044=1,K6044=1),AND(J6044=1,I6044="SBJ"),AND(J6044=1,I6044=0)),"?IN_FOCUS",IF(J6044&lt;=2,"?ACTIVATED",IF(J6044&lt;&gt;"","?FAMILIAR",IF(F6044="NEW",IF(ISNA(VLOOKUP(E6044,#REF!,1,FALSE())),"?TYPE_IDENTIFIABLE","?REFERENTIAL"),"_")))))</f>
        <v> </v>
      </c>
      <c r="H6044" s="25" t="str">
        <f>IF(J6044&lt;&gt;1,"",IF(I6044="SBJ","CB","?"))</f>
        <v> </v>
      </c>
      <c r="I6044" s="26" t="str">
        <f>IF(OR(E6044="",E6044="!!!",F6044="NEW"),"",INDEX(B6043:B$2,-1+SUMPRODUCT(MAX(ROW(E6043:E$2)*(E6044=E6043:E$2)))))</f>
        <v> </v>
      </c>
      <c r="J6044" s="26" t="str">
        <f>IF(OR(E6044="",E6044="!!!",F6044="NEW"),"",COUNTBLANK(OFFSET(A$1,,,SUMPRODUCT(MAX(ROW(E$2:E6044)*(E6044=E$2:E6044)))))-COUNTBLANK(OFFSET(A$1,,,SUMPRODUCT(MAX(ROW(E$1:E6043)*(E2=E$1:E6043))))))</f>
        <v> </v>
      </c>
      <c r="K6044" s="26" t="str">
        <f>IF(OR(E6044="",E6044="!!!",F6044="NEW"),"",INDEX(J$1:J6043,SUMPRODUCT(MAX(ROW(E$1:E6043)*(E6044=E$1:E6043)))))</f>
        <v> </v>
      </c>
      <c r="L6044" s="27"/>
    </row>
    <row r="6045" spans="1:12">
      <c r="A6045" s="20" t="s">
        <v>2831</v>
      </c>
      <c r="E6045" s="22">
        <f>IF(D6045="?OLD","!!!","")</f>
        <v/>
      </c>
      <c r="F6045" s="23" t="str">
        <f>IF(OR(E6045="",E6045="!!!"),"",IF(NOT(ISNA(VLOOKUP(E6045,E$1:E6044,1,FALSE()))),"OLD",IF(AND(E6045&lt;&gt;"",E6045&lt;&gt;"!!!"),"NEW","")))</f>
        <v> </v>
      </c>
      <c r="G6045" s="24" t="str">
        <f>IF(OR(E6045="",E6045="!!!"),"",IF(OR(J6045=0,AND(J6045=1,K6045=1),AND(J6045=1,I6045="SBJ"),AND(J6045=1,I6045=0)),"?IN_FOCUS",IF(J6045&lt;=2,"?ACTIVATED",IF(J6045&lt;&gt;"","?FAMILIAR",IF(F6045="NEW",IF(ISNA(VLOOKUP(E6045,#REF!,1,FALSE())),"?TYPE_IDENTIFIABLE","?REFERENTIAL"),"_")))))</f>
        <v> </v>
      </c>
      <c r="H6045" s="25" t="str">
        <f>IF(J6045&lt;&gt;1,"",IF(I6045="SBJ","CB","?"))</f>
        <v> </v>
      </c>
      <c r="I6045" s="26" t="str">
        <f>IF(OR(E6045="",E6045="!!!",F6045="NEW"),"",INDEX(B6044:B$2,-1+SUMPRODUCT(MAX(ROW(E6044:E$2)*(E6045=E6044:E$2)))))</f>
        <v> </v>
      </c>
      <c r="J6045" s="26" t="str">
        <f>IF(OR(E6045="",E6045="!!!",F6045="NEW"),"",COUNTBLANK(OFFSET(A$1,,,SUMPRODUCT(MAX(ROW(E$2:E6045)*(E6045=E$2:E6045)))))-COUNTBLANK(OFFSET(A$1,,,SUMPRODUCT(MAX(ROW(E$1:E6044)*(E2=E$1:E6044))))))</f>
        <v> </v>
      </c>
      <c r="K6045" s="26" t="str">
        <f>IF(OR(E6045="",E6045="!!!",F6045="NEW"),"",INDEX(J$1:J6044,SUMPRODUCT(MAX(ROW(E$1:E6044)*(E6045=E$1:E6044)))))</f>
        <v> </v>
      </c>
      <c r="L6045" s="27"/>
    </row>
    <row r="6046" spans="1:12">
      <c r="A6046" s="20" t="s">
        <v>427</v>
      </c>
      <c r="B6046" s="21" t="s">
        <v>1240</v>
      </c>
      <c r="C6046" s="21" t="s">
        <v>1238</v>
      </c>
      <c r="D6046" s="21" t="s">
        <v>1180</v>
      </c>
      <c r="E6046" s="22">
        <f>IF(D6046="?OLD","!!!","")</f>
        <v/>
      </c>
      <c r="F6046" s="23" t="str">
        <f>IF(OR(E6046="",E6046="!!!"),"",IF(NOT(ISNA(VLOOKUP(E6046,E$1:E6045,1,FALSE()))),"OLD",IF(AND(E6046&lt;&gt;"",E6046&lt;&gt;"!!!"),"NEW","")))</f>
        <v> </v>
      </c>
      <c r="G6046" s="24" t="str">
        <f>IF(OR(E6046="",E6046="!!!"),"",IF(OR(J6046=0,AND(J6046=1,K6046=1),AND(J6046=1,I6046="SBJ"),AND(J6046=1,I6046=0)),"?IN_FOCUS",IF(J6046&lt;=2,"?ACTIVATED",IF(J6046&lt;&gt;"","?FAMILIAR",IF(F6046="NEW",IF(ISNA(VLOOKUP(E6046,#REF!,1,FALSE())),"?TYPE_IDENTIFIABLE","?REFERENTIAL"),"_")))))</f>
        <v> </v>
      </c>
      <c r="H6046" s="25" t="str">
        <f>IF(J6046&lt;&gt;1,"",IF(I6046="SBJ","CB","?"))</f>
        <v> </v>
      </c>
      <c r="I6046" s="26" t="str">
        <f>IF(OR(E6046="",E6046="!!!",F6046="NEW"),"",INDEX(B6045:B$2,-1+SUMPRODUCT(MAX(ROW(E6045:E$2)*(E6046=E6045:E$2)))))</f>
        <v> </v>
      </c>
      <c r="J6046" s="26" t="str">
        <f>IF(OR(E6046="",E6046="!!!",F6046="NEW"),"",COUNTBLANK(OFFSET(A$1,,,SUMPRODUCT(MAX(ROW(E$2:E6046)*(E6046=E$2:E6046)))))-COUNTBLANK(OFFSET(A$1,,,SUMPRODUCT(MAX(ROW(E$1:E6045)*(E2=E$1:E6045))))))</f>
        <v> </v>
      </c>
      <c r="K6046" s="26" t="str">
        <f>IF(OR(E6046="",E6046="!!!",F6046="NEW"),"",INDEX(J$1:J6045,SUMPRODUCT(MAX(ROW(E$1:E6045)*(E6046=E$1:E6045)))))</f>
        <v> </v>
      </c>
      <c r="L6046" s="27"/>
    </row>
    <row r="6047" spans="1:12">
      <c r="A6047" s="20" t="s">
        <v>1224</v>
      </c>
      <c r="E6047" s="22">
        <f>IF(D6047="?OLD","!!!","")</f>
        <v/>
      </c>
      <c r="F6047" s="23" t="str">
        <f>IF(OR(E6047="",E6047="!!!"),"",IF(NOT(ISNA(VLOOKUP(E6047,E$1:E6046,1,FALSE()))),"OLD",IF(AND(E6047&lt;&gt;"",E6047&lt;&gt;"!!!"),"NEW","")))</f>
        <v> </v>
      </c>
      <c r="G6047" s="24" t="str">
        <f>IF(OR(E6047="",E6047="!!!"),"",IF(OR(J6047=0,AND(J6047=1,K6047=1),AND(J6047=1,I6047="SBJ"),AND(J6047=1,I6047=0)),"?IN_FOCUS",IF(J6047&lt;=2,"?ACTIVATED",IF(J6047&lt;&gt;"","?FAMILIAR",IF(F6047="NEW",IF(ISNA(VLOOKUP(E6047,#REF!,1,FALSE())),"?TYPE_IDENTIFIABLE","?REFERENTIAL"),"_")))))</f>
        <v> </v>
      </c>
      <c r="H6047" s="25" t="str">
        <f>IF(J6047&lt;&gt;1,"",IF(I6047="SBJ","CB","?"))</f>
        <v> </v>
      </c>
      <c r="I6047" s="26" t="str">
        <f>IF(OR(E6047="",E6047="!!!",F6047="NEW"),"",INDEX(B6046:B$2,-1+SUMPRODUCT(MAX(ROW(E6046:E$2)*(E6047=E6046:E$2)))))</f>
        <v> </v>
      </c>
      <c r="J6047" s="26" t="str">
        <f>IF(OR(E6047="",E6047="!!!",F6047="NEW"),"",COUNTBLANK(OFFSET(A$1,,,SUMPRODUCT(MAX(ROW(E$2:E6047)*(E6047=E$2:E6047)))))-COUNTBLANK(OFFSET(A$1,,,SUMPRODUCT(MAX(ROW(E$1:E6046)*(E2=E$1:E6046))))))</f>
        <v> </v>
      </c>
      <c r="K6047" s="26" t="str">
        <f>IF(OR(E6047="",E6047="!!!",F6047="NEW"),"",INDEX(J$1:J6046,SUMPRODUCT(MAX(ROW(E$1:E6046)*(E6047=E$1:E6046)))))</f>
        <v> </v>
      </c>
      <c r="L6047" s="27"/>
    </row>
    <row r="6048" spans="1:12">
      <c r="A6048" s="20" t="s">
        <v>1202</v>
      </c>
      <c r="E6048" s="22">
        <f>IF(D6048="?OLD","!!!","")</f>
        <v/>
      </c>
      <c r="F6048" s="23" t="str">
        <f>IF(OR(E6048="",E6048="!!!"),"",IF(NOT(ISNA(VLOOKUP(E6048,E$1:E6047,1,FALSE()))),"OLD",IF(AND(E6048&lt;&gt;"",E6048&lt;&gt;"!!!"),"NEW","")))</f>
        <v> </v>
      </c>
      <c r="G6048" s="24" t="str">
        <f>IF(OR(E6048="",E6048="!!!"),"",IF(OR(J6048=0,AND(J6048=1,K6048=1),AND(J6048=1,I6048="SBJ"),AND(J6048=1,I6048=0)),"?IN_FOCUS",IF(J6048&lt;=2,"?ACTIVATED",IF(J6048&lt;&gt;"","?FAMILIAR",IF(F6048="NEW",IF(ISNA(VLOOKUP(E6048,#REF!,1,FALSE())),"?TYPE_IDENTIFIABLE","?REFERENTIAL"),"_")))))</f>
        <v> </v>
      </c>
      <c r="H6048" s="25" t="str">
        <f>IF(J6048&lt;&gt;1,"",IF(I6048="SBJ","CB","?"))</f>
        <v> </v>
      </c>
      <c r="I6048" s="26" t="str">
        <f>IF(OR(E6048="",E6048="!!!",F6048="NEW"),"",INDEX(B6047:B$2,-1+SUMPRODUCT(MAX(ROW(E6047:E$2)*(E6048=E6047:E$2)))))</f>
        <v> </v>
      </c>
      <c r="J6048" s="26" t="str">
        <f>IF(OR(E6048="",E6048="!!!",F6048="NEW"),"",COUNTBLANK(OFFSET(A$1,,,SUMPRODUCT(MAX(ROW(E$2:E6048)*(E6048=E$2:E6048)))))-COUNTBLANK(OFFSET(A$1,,,SUMPRODUCT(MAX(ROW(E$1:E6047)*(E2=E$1:E6047))))))</f>
        <v> </v>
      </c>
      <c r="K6048" s="26" t="str">
        <f>IF(OR(E6048="",E6048="!!!",F6048="NEW"),"",INDEX(J$1:J6047,SUMPRODUCT(MAX(ROW(E$1:E6047)*(E6048=E$1:E6047)))))</f>
        <v> </v>
      </c>
      <c r="L6048" s="27"/>
    </row>
    <row r="6049" spans="1:12">
      <c r="A6049" s="20" t="s">
        <v>2832</v>
      </c>
      <c r="E6049" s="22">
        <f>IF(D6049="?OLD","!!!","")</f>
        <v/>
      </c>
      <c r="F6049" s="23" t="str">
        <f>IF(OR(E6049="",E6049="!!!"),"",IF(NOT(ISNA(VLOOKUP(E6049,E$1:E6048,1,FALSE()))),"OLD",IF(AND(E6049&lt;&gt;"",E6049&lt;&gt;"!!!"),"NEW","")))</f>
        <v> </v>
      </c>
      <c r="G6049" s="24" t="str">
        <f>IF(OR(E6049="",E6049="!!!"),"",IF(OR(J6049=0,AND(J6049=1,K6049=1),AND(J6049=1,I6049="SBJ"),AND(J6049=1,I6049=0)),"?IN_FOCUS",IF(J6049&lt;=2,"?ACTIVATED",IF(J6049&lt;&gt;"","?FAMILIAR",IF(F6049="NEW",IF(ISNA(VLOOKUP(E6049,#REF!,1,FALSE())),"?TYPE_IDENTIFIABLE","?REFERENTIAL"),"_")))))</f>
        <v> </v>
      </c>
      <c r="H6049" s="25" t="str">
        <f>IF(J6049&lt;&gt;1,"",IF(I6049="SBJ","CB","?"))</f>
        <v> </v>
      </c>
      <c r="I6049" s="26" t="str">
        <f>IF(OR(E6049="",E6049="!!!",F6049="NEW"),"",INDEX(B6048:B$2,-1+SUMPRODUCT(MAX(ROW(E6048:E$2)*(E6049=E6048:E$2)))))</f>
        <v> </v>
      </c>
      <c r="J6049" s="26" t="str">
        <f>IF(OR(E6049="",E6049="!!!",F6049="NEW"),"",COUNTBLANK(OFFSET(A$1,,,SUMPRODUCT(MAX(ROW(E$2:E6049)*(E6049=E$2:E6049)))))-COUNTBLANK(OFFSET(A$1,,,SUMPRODUCT(MAX(ROW(E$1:E6048)*(E2=E$1:E6048))))))</f>
        <v> </v>
      </c>
      <c r="K6049" s="26" t="str">
        <f>IF(OR(E6049="",E6049="!!!",F6049="NEW"),"",INDEX(J$1:J6048,SUMPRODUCT(MAX(ROW(E$1:E6048)*(E6049=E$1:E6048)))))</f>
        <v> </v>
      </c>
      <c r="L6049" s="27"/>
    </row>
    <row r="6050" spans="1:12">
      <c r="A6050" s="20" t="s">
        <v>2833</v>
      </c>
      <c r="B6050" s="21" t="s">
        <v>1191</v>
      </c>
      <c r="C6050" s="21" t="s">
        <v>1188</v>
      </c>
      <c r="D6050" s="21" t="s">
        <v>1180</v>
      </c>
      <c r="E6050" s="22">
        <f>IF(D6050="?OLD","!!!","")</f>
        <v/>
      </c>
      <c r="F6050" s="23" t="str">
        <f>IF(OR(E6050="",E6050="!!!"),"",IF(NOT(ISNA(VLOOKUP(E6050,E$1:E6049,1,FALSE()))),"OLD",IF(AND(E6050&lt;&gt;"",E6050&lt;&gt;"!!!"),"NEW","")))</f>
        <v> </v>
      </c>
      <c r="G6050" s="24" t="str">
        <f>IF(OR(E6050="",E6050="!!!"),"",IF(OR(J6050=0,AND(J6050=1,K6050=1),AND(J6050=1,I6050="SBJ"),AND(J6050=1,I6050=0)),"?IN_FOCUS",IF(J6050&lt;=2,"?ACTIVATED",IF(J6050&lt;&gt;"","?FAMILIAR",IF(F6050="NEW",IF(ISNA(VLOOKUP(E6050,#REF!,1,FALSE())),"?TYPE_IDENTIFIABLE","?REFERENTIAL"),"_")))))</f>
        <v> </v>
      </c>
      <c r="H6050" s="25" t="str">
        <f>IF(J6050&lt;&gt;1,"",IF(I6050="SBJ","CB","?"))</f>
        <v> </v>
      </c>
      <c r="I6050" s="26" t="str">
        <f>IF(OR(E6050="",E6050="!!!",F6050="NEW"),"",INDEX(B6049:B$2,-1+SUMPRODUCT(MAX(ROW(E6049:E$2)*(E6050=E6049:E$2)))))</f>
        <v> </v>
      </c>
      <c r="J6050" s="26" t="str">
        <f>IF(OR(E6050="",E6050="!!!",F6050="NEW"),"",COUNTBLANK(OFFSET(A$1,,,SUMPRODUCT(MAX(ROW(E$2:E6050)*(E6050=E$2:E6050)))))-COUNTBLANK(OFFSET(A$1,,,SUMPRODUCT(MAX(ROW(E$1:E6049)*(E2=E$1:E6049))))))</f>
        <v> </v>
      </c>
      <c r="K6050" s="26" t="str">
        <f>IF(OR(E6050="",E6050="!!!",F6050="NEW"),"",INDEX(J$1:J6049,SUMPRODUCT(MAX(ROW(E$1:E6049)*(E6050=E$1:E6049)))))</f>
        <v> </v>
      </c>
      <c r="L6050" s="27"/>
    </row>
    <row r="6051" spans="1:12">
      <c r="A6051" s="20" t="s">
        <v>818</v>
      </c>
      <c r="E6051" s="22">
        <f>IF(D6051="?OLD","!!!","")</f>
        <v/>
      </c>
      <c r="F6051" s="23" t="str">
        <f>IF(OR(E6051="",E6051="!!!"),"",IF(NOT(ISNA(VLOOKUP(E6051,E$1:E6050,1,FALSE()))),"OLD",IF(AND(E6051&lt;&gt;"",E6051&lt;&gt;"!!!"),"NEW","")))</f>
        <v> </v>
      </c>
      <c r="G6051" s="24" t="str">
        <f>IF(OR(E6051="",E6051="!!!"),"",IF(OR(J6051=0,AND(J6051=1,K6051=1),AND(J6051=1,I6051="SBJ"),AND(J6051=1,I6051=0)),"?IN_FOCUS",IF(J6051&lt;=2,"?ACTIVATED",IF(J6051&lt;&gt;"","?FAMILIAR",IF(F6051="NEW",IF(ISNA(VLOOKUP(E6051,#REF!,1,FALSE())),"?TYPE_IDENTIFIABLE","?REFERENTIAL"),"_")))))</f>
        <v> </v>
      </c>
      <c r="H6051" s="25" t="str">
        <f>IF(J6051&lt;&gt;1,"",IF(I6051="SBJ","CB","?"))</f>
        <v> </v>
      </c>
      <c r="I6051" s="26" t="str">
        <f>IF(OR(E6051="",E6051="!!!",F6051="NEW"),"",INDEX(B6050:B$2,-1+SUMPRODUCT(MAX(ROW(E6050:E$2)*(E6051=E6050:E$2)))))</f>
        <v> </v>
      </c>
      <c r="J6051" s="26" t="str">
        <f>IF(OR(E6051="",E6051="!!!",F6051="NEW"),"",COUNTBLANK(OFFSET(A$1,,,SUMPRODUCT(MAX(ROW(E$2:E6051)*(E6051=E$2:E6051)))))-COUNTBLANK(OFFSET(A$1,,,SUMPRODUCT(MAX(ROW(E$1:E6050)*(E2=E$1:E6050))))))</f>
        <v> </v>
      </c>
      <c r="K6051" s="26" t="str">
        <f>IF(OR(E6051="",E6051="!!!",F6051="NEW"),"",INDEX(J$1:J6050,SUMPRODUCT(MAX(ROW(E$1:E6050)*(E6051=E$1:E6050)))))</f>
        <v> </v>
      </c>
      <c r="L6051" s="27"/>
    </row>
    <row r="6052" spans="1:12">
      <c r="A6052" s="20"/>
    </row>
    <row r="6053" spans="1:12">
      <c r="A6053" s="20" t="s">
        <v>2834</v>
      </c>
    </row>
    <row r="6054" spans="1:12">
      <c r="A6054" s="20" t="s">
        <v>1309</v>
      </c>
      <c r="E6054" s="22">
        <f>IF(D6054="?OLD","!!!","")</f>
        <v/>
      </c>
      <c r="F6054" s="23" t="str">
        <f>IF(OR(E6054="",E6054="!!!"),"",IF(NOT(ISNA(VLOOKUP(E6054,E$1:E6053,1,FALSE()))),"OLD",IF(AND(E6054&lt;&gt;"",E6054&lt;&gt;"!!!"),"NEW","")))</f>
        <v> </v>
      </c>
      <c r="G6054" s="24" t="str">
        <f>IF(OR(E6054="",E6054="!!!"),"",IF(OR(J6054=0,AND(J6054=1,K6054=1),AND(J6054=1,I6054="SBJ"),AND(J6054=1,I6054=0)),"?IN_FOCUS",IF(J6054&lt;=2,"?ACTIVATED",IF(J6054&lt;&gt;"","?FAMILIAR",IF(F6054="NEW",IF(ISNA(VLOOKUP(E6054,#REF!,1,FALSE())),"?TYPE_IDENTIFIABLE","?REFERENTIAL"),"_")))))</f>
        <v> </v>
      </c>
      <c r="H6054" s="25" t="str">
        <f>IF(J6054&lt;&gt;1,"",IF(I6054="SBJ","CB","?"))</f>
        <v> </v>
      </c>
      <c r="I6054" s="26" t="str">
        <f>IF(OR(E6054="",E6054="!!!",F6054="NEW"),"",INDEX(B6053:B$2,-1+SUMPRODUCT(MAX(ROW(E6053:E$2)*(E6054=E6053:E$2)))))</f>
        <v> </v>
      </c>
      <c r="J6054" s="26" t="str">
        <f>IF(OR(E6054="",E6054="!!!",F6054="NEW"),"",COUNTBLANK(OFFSET(A$1,,,SUMPRODUCT(MAX(ROW(E$2:E6054)*(E6054=E$2:E6054)))))-COUNTBLANK(OFFSET(A$1,,,SUMPRODUCT(MAX(ROW(E$1:E6053)*(E2=E$1:E6053))))))</f>
        <v> </v>
      </c>
      <c r="K6054" s="26" t="str">
        <f>IF(OR(E6054="",E6054="!!!",F6054="NEW"),"",INDEX(J$1:J6053,SUMPRODUCT(MAX(ROW(E$1:E6053)*(E6054=E$1:E6053)))))</f>
        <v> </v>
      </c>
      <c r="L6054" s="27"/>
    </row>
    <row r="6055" spans="1:12">
      <c r="A6055" s="20" t="s">
        <v>185</v>
      </c>
      <c r="B6055" s="21" t="s">
        <v>1194</v>
      </c>
      <c r="C6055" s="21" t="s">
        <v>1195</v>
      </c>
      <c r="D6055" s="21" t="s">
        <v>1180</v>
      </c>
      <c r="E6055" s="22">
        <f>IF(D6055="?OLD","!!!","")</f>
        <v/>
      </c>
      <c r="F6055" s="23" t="str">
        <f>IF(OR(E6055="",E6055="!!!"),"",IF(NOT(ISNA(VLOOKUP(E6055,E$1:E6054,1,FALSE()))),"OLD",IF(AND(E6055&lt;&gt;"",E6055&lt;&gt;"!!!"),"NEW","")))</f>
        <v> </v>
      </c>
      <c r="G6055" s="24" t="str">
        <f>IF(OR(E6055="",E6055="!!!"),"",IF(OR(J6055=0,AND(J6055=1,K6055=1),AND(J6055=1,I6055="SBJ"),AND(J6055=1,I6055=0)),"?IN_FOCUS",IF(J6055&lt;=2,"?ACTIVATED",IF(J6055&lt;&gt;"","?FAMILIAR",IF(F6055="NEW",IF(ISNA(VLOOKUP(E6055,#REF!,1,FALSE())),"?TYPE_IDENTIFIABLE","?REFERENTIAL"),"_")))))</f>
        <v> </v>
      </c>
      <c r="H6055" s="25" t="str">
        <f>IF(J6055&lt;&gt;1,"",IF(I6055="SBJ","CB","?"))</f>
        <v> </v>
      </c>
      <c r="I6055" s="26" t="str">
        <f>IF(OR(E6055="",E6055="!!!",F6055="NEW"),"",INDEX(B6054:B$2,-1+SUMPRODUCT(MAX(ROW(E6054:E$2)*(E6055=E6054:E$2)))))</f>
        <v> </v>
      </c>
      <c r="J6055" s="26" t="str">
        <f>IF(OR(E6055="",E6055="!!!",F6055="NEW"),"",COUNTBLANK(OFFSET(A$1,,,SUMPRODUCT(MAX(ROW(E$2:E6055)*(E6055=E$2:E6055)))))-COUNTBLANK(OFFSET(A$1,,,SUMPRODUCT(MAX(ROW(E$1:E6054)*(E2=E$1:E6054))))))</f>
        <v> </v>
      </c>
      <c r="K6055" s="26" t="str">
        <f>IF(OR(E6055="",E6055="!!!",F6055="NEW"),"",INDEX(J$1:J6054,SUMPRODUCT(MAX(ROW(E$1:E6054)*(E6055=E$1:E6054)))))</f>
        <v> </v>
      </c>
      <c r="L6055" s="27"/>
    </row>
    <row r="6056" spans="1:12">
      <c r="A6056" s="20" t="s">
        <v>1440</v>
      </c>
      <c r="E6056" s="22">
        <f>IF(D6056="?OLD","!!!","")</f>
        <v/>
      </c>
      <c r="F6056" s="23" t="str">
        <f>IF(OR(E6056="",E6056="!!!"),"",IF(NOT(ISNA(VLOOKUP(E6056,E$1:E6055,1,FALSE()))),"OLD",IF(AND(E6056&lt;&gt;"",E6056&lt;&gt;"!!!"),"NEW","")))</f>
        <v> </v>
      </c>
      <c r="G6056" s="24" t="str">
        <f>IF(OR(E6056="",E6056="!!!"),"",IF(OR(J6056=0,AND(J6056=1,K6056=1),AND(J6056=1,I6056="SBJ"),AND(J6056=1,I6056=0)),"?IN_FOCUS",IF(J6056&lt;=2,"?ACTIVATED",IF(J6056&lt;&gt;"","?FAMILIAR",IF(F6056="NEW",IF(ISNA(VLOOKUP(E6056,#REF!,1,FALSE())),"?TYPE_IDENTIFIABLE","?REFERENTIAL"),"_")))))</f>
        <v> </v>
      </c>
      <c r="H6056" s="25" t="str">
        <f>IF(J6056&lt;&gt;1,"",IF(I6056="SBJ","CB","?"))</f>
        <v> </v>
      </c>
      <c r="I6056" s="26" t="str">
        <f>IF(OR(E6056="",E6056="!!!",F6056="NEW"),"",INDEX(B6055:B$2,-1+SUMPRODUCT(MAX(ROW(E6055:E$2)*(E6056=E6055:E$2)))))</f>
        <v> </v>
      </c>
      <c r="J6056" s="26" t="str">
        <f>IF(OR(E6056="",E6056="!!!",F6056="NEW"),"",COUNTBLANK(OFFSET(A$1,,,SUMPRODUCT(MAX(ROW(E$2:E6056)*(E6056=E$2:E6056)))))-COUNTBLANK(OFFSET(A$1,,,SUMPRODUCT(MAX(ROW(E$1:E6055)*(E2=E$1:E6055))))))</f>
        <v> </v>
      </c>
      <c r="K6056" s="26" t="str">
        <f>IF(OR(E6056="",E6056="!!!",F6056="NEW"),"",INDEX(J$1:J6055,SUMPRODUCT(MAX(ROW(E$1:E6055)*(E6056=E$1:E6055)))))</f>
        <v> </v>
      </c>
      <c r="L6056" s="27"/>
    </row>
    <row r="6057" spans="1:12">
      <c r="A6057" s="20" t="s">
        <v>2205</v>
      </c>
      <c r="E6057" s="22">
        <f>IF(D6057="?OLD","!!!","")</f>
        <v/>
      </c>
      <c r="F6057" s="23" t="str">
        <f>IF(OR(E6057="",E6057="!!!"),"",IF(NOT(ISNA(VLOOKUP(E6057,E$1:E6056,1,FALSE()))),"OLD",IF(AND(E6057&lt;&gt;"",E6057&lt;&gt;"!!!"),"NEW","")))</f>
        <v> </v>
      </c>
      <c r="G6057" s="24" t="str">
        <f>IF(OR(E6057="",E6057="!!!"),"",IF(OR(J6057=0,AND(J6057=1,K6057=1),AND(J6057=1,I6057="SBJ"),AND(J6057=1,I6057=0)),"?IN_FOCUS",IF(J6057&lt;=2,"?ACTIVATED",IF(J6057&lt;&gt;"","?FAMILIAR",IF(F6057="NEW",IF(ISNA(VLOOKUP(E6057,#REF!,1,FALSE())),"?TYPE_IDENTIFIABLE","?REFERENTIAL"),"_")))))</f>
        <v> </v>
      </c>
      <c r="H6057" s="25" t="str">
        <f>IF(J6057&lt;&gt;1,"",IF(I6057="SBJ","CB","?"))</f>
        <v> </v>
      </c>
      <c r="I6057" s="26" t="str">
        <f>IF(OR(E6057="",E6057="!!!",F6057="NEW"),"",INDEX(B6056:B$2,-1+SUMPRODUCT(MAX(ROW(E6056:E$2)*(E6057=E6056:E$2)))))</f>
        <v> </v>
      </c>
      <c r="J6057" s="26" t="str">
        <f>IF(OR(E6057="",E6057="!!!",F6057="NEW"),"",COUNTBLANK(OFFSET(A$1,,,SUMPRODUCT(MAX(ROW(E$2:E6057)*(E6057=E$2:E6057)))))-COUNTBLANK(OFFSET(A$1,,,SUMPRODUCT(MAX(ROW(E$1:E6056)*(E2=E$1:E6056))))))</f>
        <v> </v>
      </c>
      <c r="K6057" s="26" t="str">
        <f>IF(OR(E6057="",E6057="!!!",F6057="NEW"),"",INDEX(J$1:J6056,SUMPRODUCT(MAX(ROW(E$1:E6056)*(E6057=E$1:E6056)))))</f>
        <v> </v>
      </c>
      <c r="L6057" s="27"/>
    </row>
    <row r="6058" spans="1:12">
      <c r="A6058" s="20" t="s">
        <v>1390</v>
      </c>
      <c r="E6058" s="22">
        <f>IF(D6058="?OLD","!!!","")</f>
        <v/>
      </c>
      <c r="F6058" s="23" t="str">
        <f>IF(OR(E6058="",E6058="!!!"),"",IF(NOT(ISNA(VLOOKUP(E6058,E$1:E6057,1,FALSE()))),"OLD",IF(AND(E6058&lt;&gt;"",E6058&lt;&gt;"!!!"),"NEW","")))</f>
        <v> </v>
      </c>
      <c r="G6058" s="24" t="str">
        <f>IF(OR(E6058="",E6058="!!!"),"",IF(OR(J6058=0,AND(J6058=1,K6058=1),AND(J6058=1,I6058="SBJ"),AND(J6058=1,I6058=0)),"?IN_FOCUS",IF(J6058&lt;=2,"?ACTIVATED",IF(J6058&lt;&gt;"","?FAMILIAR",IF(F6058="NEW",IF(ISNA(VLOOKUP(E6058,#REF!,1,FALSE())),"?TYPE_IDENTIFIABLE","?REFERENTIAL"),"_")))))</f>
        <v> </v>
      </c>
      <c r="H6058" s="25" t="str">
        <f>IF(J6058&lt;&gt;1,"",IF(I6058="SBJ","CB","?"))</f>
        <v> </v>
      </c>
      <c r="I6058" s="26" t="str">
        <f>IF(OR(E6058="",E6058="!!!",F6058="NEW"),"",INDEX(B6057:B$2,-1+SUMPRODUCT(MAX(ROW(E6057:E$2)*(E6058=E6057:E$2)))))</f>
        <v> </v>
      </c>
      <c r="J6058" s="26" t="str">
        <f>IF(OR(E6058="",E6058="!!!",F6058="NEW"),"",COUNTBLANK(OFFSET(A$1,,,SUMPRODUCT(MAX(ROW(E$2:E6058)*(E6058=E$2:E6058)))))-COUNTBLANK(OFFSET(A$1,,,SUMPRODUCT(MAX(ROW(E$1:E6057)*(E2=E$1:E6057))))))</f>
        <v> </v>
      </c>
      <c r="K6058" s="26" t="str">
        <f>IF(OR(E6058="",E6058="!!!",F6058="NEW"),"",INDEX(J$1:J6057,SUMPRODUCT(MAX(ROW(E$1:E6057)*(E6058=E$1:E6057)))))</f>
        <v> </v>
      </c>
      <c r="L6058" s="27"/>
    </row>
    <row r="6059" spans="1:12">
      <c r="A6059" s="20" t="s">
        <v>2835</v>
      </c>
      <c r="B6059" s="21" t="s">
        <v>1204</v>
      </c>
      <c r="C6059" s="21" t="s">
        <v>1184</v>
      </c>
      <c r="E6059" s="22">
        <f>IF(D6059="?OLD","!!!","")</f>
        <v/>
      </c>
      <c r="F6059" s="23" t="str">
        <f>IF(OR(E6059="",E6059="!!!"),"",IF(NOT(ISNA(VLOOKUP(E6059,E$1:E6058,1,FALSE()))),"OLD",IF(AND(E6059&lt;&gt;"",E6059&lt;&gt;"!!!"),"NEW","")))</f>
        <v> </v>
      </c>
      <c r="G6059" s="24" t="str">
        <f>IF(OR(E6059="",E6059="!!!"),"",IF(OR(J6059=0,AND(J6059=1,K6059=1),AND(J6059=1,I6059="SBJ"),AND(J6059=1,I6059=0)),"?IN_FOCUS",IF(J6059&lt;=2,"?ACTIVATED",IF(J6059&lt;&gt;"","?FAMILIAR",IF(F6059="NEW",IF(ISNA(VLOOKUP(E6059,#REF!,1,FALSE())),"?TYPE_IDENTIFIABLE","?REFERENTIAL"),"_")))))</f>
        <v> </v>
      </c>
      <c r="H6059" s="25" t="str">
        <f>IF(J6059&lt;&gt;1,"",IF(I6059="SBJ","CB","?"))</f>
        <v> </v>
      </c>
      <c r="I6059" s="26" t="str">
        <f>IF(OR(E6059="",E6059="!!!",F6059="NEW"),"",INDEX(B6058:B$2,-1+SUMPRODUCT(MAX(ROW(E6058:E$2)*(E6059=E6058:E$2)))))</f>
        <v> </v>
      </c>
      <c r="J6059" s="26" t="str">
        <f>IF(OR(E6059="",E6059="!!!",F6059="NEW"),"",COUNTBLANK(OFFSET(A$1,,,SUMPRODUCT(MAX(ROW(E$2:E6059)*(E6059=E$2:E6059)))))-COUNTBLANK(OFFSET(A$1,,,SUMPRODUCT(MAX(ROW(E$1:E6058)*(E2=E$1:E6058))))))</f>
        <v> </v>
      </c>
      <c r="K6059" s="26" t="str">
        <f>IF(OR(E6059="",E6059="!!!",F6059="NEW"),"",INDEX(J$1:J6058,SUMPRODUCT(MAX(ROW(E$1:E6058)*(E6059=E$1:E6058)))))</f>
        <v> </v>
      </c>
      <c r="L6059" s="27"/>
    </row>
    <row r="6060" spans="1:12">
      <c r="A6060" s="20" t="s">
        <v>1185</v>
      </c>
      <c r="E6060" s="22">
        <f>IF(D6060="?OLD","!!!","")</f>
        <v/>
      </c>
      <c r="F6060" s="23" t="str">
        <f>IF(OR(E6060="",E6060="!!!"),"",IF(NOT(ISNA(VLOOKUP(E6060,E$1:E6059,1,FALSE()))),"OLD",IF(AND(E6060&lt;&gt;"",E6060&lt;&gt;"!!!"),"NEW","")))</f>
        <v> </v>
      </c>
      <c r="G6060" s="24" t="str">
        <f>IF(OR(E6060="",E6060="!!!"),"",IF(OR(J6060=0,AND(J6060=1,K6060=1),AND(J6060=1,I6060="SBJ"),AND(J6060=1,I6060=0)),"?IN_FOCUS",IF(J6060&lt;=2,"?ACTIVATED",IF(J6060&lt;&gt;"","?FAMILIAR",IF(F6060="NEW",IF(ISNA(VLOOKUP(E6060,#REF!,1,FALSE())),"?TYPE_IDENTIFIABLE","?REFERENTIAL"),"_")))))</f>
        <v> </v>
      </c>
      <c r="H6060" s="25" t="str">
        <f>IF(J6060&lt;&gt;1,"",IF(I6060="SBJ","CB","?"))</f>
        <v> </v>
      </c>
      <c r="I6060" s="26" t="str">
        <f>IF(OR(E6060="",E6060="!!!",F6060="NEW"),"",INDEX(B6059:B$2,-1+SUMPRODUCT(MAX(ROW(E6059:E$2)*(E6060=E6059:E$2)))))</f>
        <v> </v>
      </c>
      <c r="J6060" s="26" t="str">
        <f>IF(OR(E6060="",E6060="!!!",F6060="NEW"),"",COUNTBLANK(OFFSET(A$1,,,SUMPRODUCT(MAX(ROW(E$2:E6060)*(E6060=E$2:E6060)))))-COUNTBLANK(OFFSET(A$1,,,SUMPRODUCT(MAX(ROW(E$1:E6059)*(E2=E$1:E6059))))))</f>
        <v> </v>
      </c>
      <c r="K6060" s="26" t="str">
        <f>IF(OR(E6060="",E6060="!!!",F6060="NEW"),"",INDEX(J$1:J6059,SUMPRODUCT(MAX(ROW(E$1:E6059)*(E6060=E$1:E6059)))))</f>
        <v> </v>
      </c>
      <c r="L6060" s="27"/>
    </row>
    <row r="6061" spans="1:12">
      <c r="A6061" s="20" t="s">
        <v>1655</v>
      </c>
      <c r="E6061" s="22">
        <f>IF(D6061="?OLD","!!!","")</f>
        <v/>
      </c>
      <c r="F6061" s="23" t="str">
        <f>IF(OR(E6061="",E6061="!!!"),"",IF(NOT(ISNA(VLOOKUP(E6061,E$1:E6060,1,FALSE()))),"OLD",IF(AND(E6061&lt;&gt;"",E6061&lt;&gt;"!!!"),"NEW","")))</f>
        <v> </v>
      </c>
      <c r="G6061" s="24" t="str">
        <f>IF(OR(E6061="",E6061="!!!"),"",IF(OR(J6061=0,AND(J6061=1,K6061=1),AND(J6061=1,I6061="SBJ"),AND(J6061=1,I6061=0)),"?IN_FOCUS",IF(J6061&lt;=2,"?ACTIVATED",IF(J6061&lt;&gt;"","?FAMILIAR",IF(F6061="NEW",IF(ISNA(VLOOKUP(E6061,#REF!,1,FALSE())),"?TYPE_IDENTIFIABLE","?REFERENTIAL"),"_")))))</f>
        <v> </v>
      </c>
      <c r="H6061" s="25" t="str">
        <f>IF(J6061&lt;&gt;1,"",IF(I6061="SBJ","CB","?"))</f>
        <v> </v>
      </c>
      <c r="I6061" s="26" t="str">
        <f>IF(OR(E6061="",E6061="!!!",F6061="NEW"),"",INDEX(B6060:B$2,-1+SUMPRODUCT(MAX(ROW(E6060:E$2)*(E6061=E6060:E$2)))))</f>
        <v> </v>
      </c>
      <c r="J6061" s="26" t="str">
        <f>IF(OR(E6061="",E6061="!!!",F6061="NEW"),"",COUNTBLANK(OFFSET(A$1,,,SUMPRODUCT(MAX(ROW(E$2:E6061)*(E6061=E$2:E6061)))))-COUNTBLANK(OFFSET(A$1,,,SUMPRODUCT(MAX(ROW(E$1:E6060)*(E2=E$1:E6060))))))</f>
        <v> </v>
      </c>
      <c r="K6061" s="26" t="str">
        <f>IF(OR(E6061="",E6061="!!!",F6061="NEW"),"",INDEX(J$1:J6060,SUMPRODUCT(MAX(ROW(E$1:E6060)*(E6061=E$1:E6060)))))</f>
        <v> </v>
      </c>
      <c r="L6061" s="27"/>
    </row>
    <row r="6062" spans="1:12">
      <c r="A6062" s="20" t="s">
        <v>1031</v>
      </c>
      <c r="E6062" s="22">
        <f>IF(D6062="?OLD","!!!","")</f>
        <v/>
      </c>
      <c r="F6062" s="23" t="str">
        <f>IF(OR(E6062="",E6062="!!!"),"",IF(NOT(ISNA(VLOOKUP(E6062,E$1:E6061,1,FALSE()))),"OLD",IF(AND(E6062&lt;&gt;"",E6062&lt;&gt;"!!!"),"NEW","")))</f>
        <v> </v>
      </c>
      <c r="G6062" s="24" t="str">
        <f>IF(OR(E6062="",E6062="!!!"),"",IF(OR(J6062=0,AND(J6062=1,K6062=1),AND(J6062=1,I6062="SBJ"),AND(J6062=1,I6062=0)),"?IN_FOCUS",IF(J6062&lt;=2,"?ACTIVATED",IF(J6062&lt;&gt;"","?FAMILIAR",IF(F6062="NEW",IF(ISNA(VLOOKUP(E6062,#REF!,1,FALSE())),"?TYPE_IDENTIFIABLE","?REFERENTIAL"),"_")))))</f>
        <v> </v>
      </c>
      <c r="H6062" s="25" t="str">
        <f>IF(J6062&lt;&gt;1,"",IF(I6062="SBJ","CB","?"))</f>
        <v> </v>
      </c>
      <c r="I6062" s="26" t="str">
        <f>IF(OR(E6062="",E6062="!!!",F6062="NEW"),"",INDEX(B6061:B$2,-1+SUMPRODUCT(MAX(ROW(E6061:E$2)*(E6062=E6061:E$2)))))</f>
        <v> </v>
      </c>
      <c r="J6062" s="26" t="str">
        <f>IF(OR(E6062="",E6062="!!!",F6062="NEW"),"",COUNTBLANK(OFFSET(A$1,,,SUMPRODUCT(MAX(ROW(E$2:E6062)*(E6062=E$2:E6062)))))-COUNTBLANK(OFFSET(A$1,,,SUMPRODUCT(MAX(ROW(E$1:E6061)*(E2=E$1:E6061))))))</f>
        <v> </v>
      </c>
      <c r="K6062" s="26" t="str">
        <f>IF(OR(E6062="",E6062="!!!",F6062="NEW"),"",INDEX(J$1:J6061,SUMPRODUCT(MAX(ROW(E$1:E6061)*(E6062=E$1:E6061)))))</f>
        <v> </v>
      </c>
      <c r="L6062" s="27"/>
    </row>
    <row r="6063" spans="1:12">
      <c r="A6063" s="20" t="s">
        <v>1186</v>
      </c>
      <c r="E6063" s="22">
        <f>IF(D6063="?OLD","!!!","")</f>
        <v/>
      </c>
      <c r="F6063" s="23" t="str">
        <f>IF(OR(E6063="",E6063="!!!"),"",IF(NOT(ISNA(VLOOKUP(E6063,E$1:E6062,1,FALSE()))),"OLD",IF(AND(E6063&lt;&gt;"",E6063&lt;&gt;"!!!"),"NEW","")))</f>
        <v> </v>
      </c>
      <c r="G6063" s="24" t="str">
        <f>IF(OR(E6063="",E6063="!!!"),"",IF(OR(J6063=0,AND(J6063=1,K6063=1),AND(J6063=1,I6063="SBJ"),AND(J6063=1,I6063=0)),"?IN_FOCUS",IF(J6063&lt;=2,"?ACTIVATED",IF(J6063&lt;&gt;"","?FAMILIAR",IF(F6063="NEW",IF(ISNA(VLOOKUP(E6063,#REF!,1,FALSE())),"?TYPE_IDENTIFIABLE","?REFERENTIAL"),"_")))))</f>
        <v> </v>
      </c>
      <c r="H6063" s="25" t="str">
        <f>IF(J6063&lt;&gt;1,"",IF(I6063="SBJ","CB","?"))</f>
        <v> </v>
      </c>
      <c r="I6063" s="26" t="str">
        <f>IF(OR(E6063="",E6063="!!!",F6063="NEW"),"",INDEX(B6062:B$2,-1+SUMPRODUCT(MAX(ROW(E6062:E$2)*(E6063=E6062:E$2)))))</f>
        <v> </v>
      </c>
      <c r="J6063" s="26" t="str">
        <f>IF(OR(E6063="",E6063="!!!",F6063="NEW"),"",COUNTBLANK(OFFSET(A$1,,,SUMPRODUCT(MAX(ROW(E$2:E6063)*(E6063=E$2:E6063)))))-COUNTBLANK(OFFSET(A$1,,,SUMPRODUCT(MAX(ROW(E$1:E6062)*(E2=E$1:E6062))))))</f>
        <v> </v>
      </c>
      <c r="K6063" s="26" t="str">
        <f>IF(OR(E6063="",E6063="!!!",F6063="NEW"),"",INDEX(J$1:J6062,SUMPRODUCT(MAX(ROW(E$1:E6062)*(E6063=E$1:E6062)))))</f>
        <v> </v>
      </c>
      <c r="L6063" s="27"/>
    </row>
    <row r="6064" spans="1:12">
      <c r="A6064" s="20" t="s">
        <v>2777</v>
      </c>
      <c r="B6064" s="21" t="s">
        <v>1306</v>
      </c>
      <c r="C6064" s="21" t="s">
        <v>1188</v>
      </c>
      <c r="D6064" s="21" t="s">
        <v>1180</v>
      </c>
      <c r="E6064" s="22">
        <f>IF(D6064="?OLD","!!!","")</f>
        <v/>
      </c>
      <c r="F6064" s="23" t="str">
        <f>IF(OR(E6064="",E6064="!!!"),"",IF(NOT(ISNA(VLOOKUP(E6064,E$1:E6063,1,FALSE()))),"OLD",IF(AND(E6064&lt;&gt;"",E6064&lt;&gt;"!!!"),"NEW","")))</f>
        <v> </v>
      </c>
      <c r="G6064" s="24" t="str">
        <f>IF(OR(E6064="",E6064="!!!"),"",IF(OR(J6064=0,AND(J6064=1,K6064=1),AND(J6064=1,I6064="SBJ"),AND(J6064=1,I6064=0)),"?IN_FOCUS",IF(J6064&lt;=2,"?ACTIVATED",IF(J6064&lt;&gt;"","?FAMILIAR",IF(F6064="NEW",IF(ISNA(VLOOKUP(E6064,#REF!,1,FALSE())),"?TYPE_IDENTIFIABLE","?REFERENTIAL"),"_")))))</f>
        <v> </v>
      </c>
      <c r="H6064" s="25" t="str">
        <f>IF(J6064&lt;&gt;1,"",IF(I6064="SBJ","CB","?"))</f>
        <v> </v>
      </c>
      <c r="I6064" s="26" t="str">
        <f>IF(OR(E6064="",E6064="!!!",F6064="NEW"),"",INDEX(B6063:B$2,-1+SUMPRODUCT(MAX(ROW(E6063:E$2)*(E6064=E6063:E$2)))))</f>
        <v> </v>
      </c>
      <c r="J6064" s="26" t="str">
        <f>IF(OR(E6064="",E6064="!!!",F6064="NEW"),"",COUNTBLANK(OFFSET(A$1,,,SUMPRODUCT(MAX(ROW(E$2:E6064)*(E6064=E$2:E6064)))))-COUNTBLANK(OFFSET(A$1,,,SUMPRODUCT(MAX(ROW(E$1:E6063)*(E2=E$1:E6063))))))</f>
        <v> </v>
      </c>
      <c r="K6064" s="26" t="str">
        <f>IF(OR(E6064="",E6064="!!!",F6064="NEW"),"",INDEX(J$1:J6063,SUMPRODUCT(MAX(ROW(E$1:E6063)*(E6064=E$1:E6063)))))</f>
        <v> </v>
      </c>
      <c r="L6064" s="27"/>
    </row>
    <row r="6065" spans="1:12">
      <c r="A6065" s="20" t="s">
        <v>1189</v>
      </c>
      <c r="E6065" s="22">
        <f>IF(D6065="?OLD","!!!","")</f>
        <v/>
      </c>
      <c r="F6065" s="23" t="str">
        <f>IF(OR(E6065="",E6065="!!!"),"",IF(NOT(ISNA(VLOOKUP(E6065,E$1:E6064,1,FALSE()))),"OLD",IF(AND(E6065&lt;&gt;"",E6065&lt;&gt;"!!!"),"NEW","")))</f>
        <v> </v>
      </c>
      <c r="G6065" s="24" t="str">
        <f>IF(OR(E6065="",E6065="!!!"),"",IF(OR(J6065=0,AND(J6065=1,K6065=1),AND(J6065=1,I6065="SBJ"),AND(J6065=1,I6065=0)),"?IN_FOCUS",IF(J6065&lt;=2,"?ACTIVATED",IF(J6065&lt;&gt;"","?FAMILIAR",IF(F6065="NEW",IF(ISNA(VLOOKUP(E6065,#REF!,1,FALSE())),"?TYPE_IDENTIFIABLE","?REFERENTIAL"),"_")))))</f>
        <v> </v>
      </c>
      <c r="H6065" s="25" t="str">
        <f>IF(J6065&lt;&gt;1,"",IF(I6065="SBJ","CB","?"))</f>
        <v> </v>
      </c>
      <c r="I6065" s="26" t="str">
        <f>IF(OR(E6065="",E6065="!!!",F6065="NEW"),"",INDEX(B6064:B$2,-1+SUMPRODUCT(MAX(ROW(E6064:E$2)*(E6065=E6064:E$2)))))</f>
        <v> </v>
      </c>
      <c r="J6065" s="26" t="str">
        <f>IF(OR(E6065="",E6065="!!!",F6065="NEW"),"",COUNTBLANK(OFFSET(A$1,,,SUMPRODUCT(MAX(ROW(E$2:E6065)*(E6065=E$2:E6065)))))-COUNTBLANK(OFFSET(A$1,,,SUMPRODUCT(MAX(ROW(E$1:E6064)*(E2=E$1:E6064))))))</f>
        <v> </v>
      </c>
      <c r="K6065" s="26" t="str">
        <f>IF(OR(E6065="",E6065="!!!",F6065="NEW"),"",INDEX(J$1:J6064,SUMPRODUCT(MAX(ROW(E$1:E6064)*(E6065=E$1:E6064)))))</f>
        <v> </v>
      </c>
      <c r="L6065" s="27"/>
    </row>
    <row r="6066" spans="1:12">
      <c r="A6066" s="20" t="s">
        <v>2836</v>
      </c>
      <c r="B6066" s="21" t="s">
        <v>1278</v>
      </c>
      <c r="C6066" s="21" t="s">
        <v>1188</v>
      </c>
      <c r="D6066" s="21" t="s">
        <v>1180</v>
      </c>
      <c r="E6066" s="22">
        <f>IF(D6066="?OLD","!!!","")</f>
        <v/>
      </c>
      <c r="F6066" s="23" t="str">
        <f>IF(OR(E6066="",E6066="!!!"),"",IF(NOT(ISNA(VLOOKUP(E6066,E$1:E6065,1,FALSE()))),"OLD",IF(AND(E6066&lt;&gt;"",E6066&lt;&gt;"!!!"),"NEW","")))</f>
        <v> </v>
      </c>
      <c r="G6066" s="24" t="str">
        <f>IF(OR(E6066="",E6066="!!!"),"",IF(OR(J6066=0,AND(J6066=1,K6066=1),AND(J6066=1,I6066="SBJ"),AND(J6066=1,I6066=0)),"?IN_FOCUS",IF(J6066&lt;=2,"?ACTIVATED",IF(J6066&lt;&gt;"","?FAMILIAR",IF(F6066="NEW",IF(ISNA(VLOOKUP(E6066,#REF!,1,FALSE())),"?TYPE_IDENTIFIABLE","?REFERENTIAL"),"_")))))</f>
        <v> </v>
      </c>
      <c r="H6066" s="25" t="str">
        <f>IF(J6066&lt;&gt;1,"",IF(I6066="SBJ","CB","?"))</f>
        <v> </v>
      </c>
      <c r="I6066" s="26" t="str">
        <f>IF(OR(E6066="",E6066="!!!",F6066="NEW"),"",INDEX(B6065:B$2,-1+SUMPRODUCT(MAX(ROW(E6065:E$2)*(E6066=E6065:E$2)))))</f>
        <v> </v>
      </c>
      <c r="J6066" s="26" t="str">
        <f>IF(OR(E6066="",E6066="!!!",F6066="NEW"),"",COUNTBLANK(OFFSET(A$1,,,SUMPRODUCT(MAX(ROW(E$2:E6066)*(E6066=E$2:E6066)))))-COUNTBLANK(OFFSET(A$1,,,SUMPRODUCT(MAX(ROW(E$1:E6065)*(E2=E$1:E6065))))))</f>
        <v> </v>
      </c>
      <c r="K6066" s="26" t="str">
        <f>IF(OR(E6066="",E6066="!!!",F6066="NEW"),"",INDEX(J$1:J6065,SUMPRODUCT(MAX(ROW(E$1:E6065)*(E6066=E$1:E6065)))))</f>
        <v> </v>
      </c>
      <c r="L6066" s="27"/>
    </row>
    <row r="6067" spans="1:12">
      <c r="A6067" s="20" t="s">
        <v>2385</v>
      </c>
      <c r="E6067" s="22">
        <f>IF(D6067="?OLD","!!!","")</f>
        <v/>
      </c>
      <c r="F6067" s="23" t="str">
        <f>IF(OR(E6067="",E6067="!!!"),"",IF(NOT(ISNA(VLOOKUP(E6067,E$1:E6066,1,FALSE()))),"OLD",IF(AND(E6067&lt;&gt;"",E6067&lt;&gt;"!!!"),"NEW","")))</f>
        <v> </v>
      </c>
      <c r="G6067" s="24" t="str">
        <f>IF(OR(E6067="",E6067="!!!"),"",IF(OR(J6067=0,AND(J6067=1,K6067=1),AND(J6067=1,I6067="SBJ"),AND(J6067=1,I6067=0)),"?IN_FOCUS",IF(J6067&lt;=2,"?ACTIVATED",IF(J6067&lt;&gt;"","?FAMILIAR",IF(F6067="NEW",IF(ISNA(VLOOKUP(E6067,#REF!,1,FALSE())),"?TYPE_IDENTIFIABLE","?REFERENTIAL"),"_")))))</f>
        <v> </v>
      </c>
      <c r="H6067" s="25" t="str">
        <f>IF(J6067&lt;&gt;1,"",IF(I6067="SBJ","CB","?"))</f>
        <v> </v>
      </c>
      <c r="I6067" s="26" t="str">
        <f>IF(OR(E6067="",E6067="!!!",F6067="NEW"),"",INDEX(B6066:B$2,-1+SUMPRODUCT(MAX(ROW(E6066:E$2)*(E6067=E6066:E$2)))))</f>
        <v> </v>
      </c>
      <c r="J6067" s="26" t="str">
        <f>IF(OR(E6067="",E6067="!!!",F6067="NEW"),"",COUNTBLANK(OFFSET(A$1,,,SUMPRODUCT(MAX(ROW(E$2:E6067)*(E6067=E$2:E6067)))))-COUNTBLANK(OFFSET(A$1,,,SUMPRODUCT(MAX(ROW(E$1:E6066)*(E2=E$1:E6066))))))</f>
        <v> </v>
      </c>
      <c r="K6067" s="26" t="str">
        <f>IF(OR(E6067="",E6067="!!!",F6067="NEW"),"",INDEX(J$1:J6066,SUMPRODUCT(MAX(ROW(E$1:E6066)*(E6067=E$1:E6066)))))</f>
        <v> </v>
      </c>
      <c r="L6067" s="27"/>
    </row>
    <row r="6068" spans="1:12">
      <c r="A6068" s="20" t="s">
        <v>1706</v>
      </c>
      <c r="B6068" s="21" t="s">
        <v>1207</v>
      </c>
      <c r="C6068" s="21" t="s">
        <v>1184</v>
      </c>
      <c r="E6068" s="22">
        <f>IF(D6068="?OLD","!!!","")</f>
        <v/>
      </c>
      <c r="F6068" s="23" t="str">
        <f>IF(OR(E6068="",E6068="!!!"),"",IF(NOT(ISNA(VLOOKUP(E6068,E$1:E6067,1,FALSE()))),"OLD",IF(AND(E6068&lt;&gt;"",E6068&lt;&gt;"!!!"),"NEW","")))</f>
        <v> </v>
      </c>
      <c r="G6068" s="24" t="str">
        <f>IF(OR(E6068="",E6068="!!!"),"",IF(OR(J6068=0,AND(J6068=1,K6068=1),AND(J6068=1,I6068="SBJ"),AND(J6068=1,I6068=0)),"?IN_FOCUS",IF(J6068&lt;=2,"?ACTIVATED",IF(J6068&lt;&gt;"","?FAMILIAR",IF(F6068="NEW",IF(ISNA(VLOOKUP(E6068,#REF!,1,FALSE())),"?TYPE_IDENTIFIABLE","?REFERENTIAL"),"_")))))</f>
        <v> </v>
      </c>
      <c r="H6068" s="25" t="str">
        <f>IF(J6068&lt;&gt;1,"",IF(I6068="SBJ","CB","?"))</f>
        <v> </v>
      </c>
      <c r="I6068" s="26" t="str">
        <f>IF(OR(E6068="",E6068="!!!",F6068="NEW"),"",INDEX(B6067:B$2,-1+SUMPRODUCT(MAX(ROW(E6067:E$2)*(E6068=E6067:E$2)))))</f>
        <v> </v>
      </c>
      <c r="J6068" s="26" t="str">
        <f>IF(OR(E6068="",E6068="!!!",F6068="NEW"),"",COUNTBLANK(OFFSET(A$1,,,SUMPRODUCT(MAX(ROW(E$2:E6068)*(E6068=E$2:E6068)))))-COUNTBLANK(OFFSET(A$1,,,SUMPRODUCT(MAX(ROW(E$1:E6067)*(E2=E$1:E6067))))))</f>
        <v> </v>
      </c>
      <c r="K6068" s="26" t="str">
        <f>IF(OR(E6068="",E6068="!!!",F6068="NEW"),"",INDEX(J$1:J6067,SUMPRODUCT(MAX(ROW(E$1:E6067)*(E6068=E$1:E6067)))))</f>
        <v> </v>
      </c>
      <c r="L6068" s="27"/>
    </row>
    <row r="6069" spans="1:12">
      <c r="A6069" s="20" t="s">
        <v>2799</v>
      </c>
      <c r="E6069" s="22">
        <f>IF(D6069="?OLD","!!!","")</f>
        <v/>
      </c>
      <c r="F6069" s="23" t="str">
        <f>IF(OR(E6069="",E6069="!!!"),"",IF(NOT(ISNA(VLOOKUP(E6069,E$1:E6068,1,FALSE()))),"OLD",IF(AND(E6069&lt;&gt;"",E6069&lt;&gt;"!!!"),"NEW","")))</f>
        <v> </v>
      </c>
      <c r="G6069" s="24" t="str">
        <f>IF(OR(E6069="",E6069="!!!"),"",IF(OR(J6069=0,AND(J6069=1,K6069=1),AND(J6069=1,I6069="SBJ"),AND(J6069=1,I6069=0)),"?IN_FOCUS",IF(J6069&lt;=2,"?ACTIVATED",IF(J6069&lt;&gt;"","?FAMILIAR",IF(F6069="NEW",IF(ISNA(VLOOKUP(E6069,#REF!,1,FALSE())),"?TYPE_IDENTIFIABLE","?REFERENTIAL"),"_")))))</f>
        <v> </v>
      </c>
      <c r="H6069" s="25" t="str">
        <f>IF(J6069&lt;&gt;1,"",IF(I6069="SBJ","CB","?"))</f>
        <v> </v>
      </c>
      <c r="I6069" s="26" t="str">
        <f>IF(OR(E6069="",E6069="!!!",F6069="NEW"),"",INDEX(B6068:B$2,-1+SUMPRODUCT(MAX(ROW(E6068:E$2)*(E6069=E6068:E$2)))))</f>
        <v> </v>
      </c>
      <c r="J6069" s="26" t="str">
        <f>IF(OR(E6069="",E6069="!!!",F6069="NEW"),"",COUNTBLANK(OFFSET(A$1,,,SUMPRODUCT(MAX(ROW(E$2:E6069)*(E6069=E$2:E6069)))))-COUNTBLANK(OFFSET(A$1,,,SUMPRODUCT(MAX(ROW(E$1:E6068)*(E2=E$1:E6068))))))</f>
        <v> </v>
      </c>
      <c r="K6069" s="26" t="str">
        <f>IF(OR(E6069="",E6069="!!!",F6069="NEW"),"",INDEX(J$1:J6068,SUMPRODUCT(MAX(ROW(E$1:E6068)*(E6069=E$1:E6068)))))</f>
        <v> </v>
      </c>
      <c r="L6069" s="27"/>
    </row>
    <row r="6070" spans="1:12">
      <c r="A6070" s="20" t="s">
        <v>1271</v>
      </c>
      <c r="E6070" s="22">
        <f>IF(D6070="?OLD","!!!","")</f>
        <v/>
      </c>
      <c r="F6070" s="23" t="str">
        <f>IF(OR(E6070="",E6070="!!!"),"",IF(NOT(ISNA(VLOOKUP(E6070,E$1:E6069,1,FALSE()))),"OLD",IF(AND(E6070&lt;&gt;"",E6070&lt;&gt;"!!!"),"NEW","")))</f>
        <v> </v>
      </c>
      <c r="G6070" s="24" t="str">
        <f>IF(OR(E6070="",E6070="!!!"),"",IF(OR(J6070=0,AND(J6070=1,K6070=1),AND(J6070=1,I6070="SBJ"),AND(J6070=1,I6070=0)),"?IN_FOCUS",IF(J6070&lt;=2,"?ACTIVATED",IF(J6070&lt;&gt;"","?FAMILIAR",IF(F6070="NEW",IF(ISNA(VLOOKUP(E6070,#REF!,1,FALSE())),"?TYPE_IDENTIFIABLE","?REFERENTIAL"),"_")))))</f>
        <v> </v>
      </c>
      <c r="H6070" s="25" t="str">
        <f>IF(J6070&lt;&gt;1,"",IF(I6070="SBJ","CB","?"))</f>
        <v> </v>
      </c>
      <c r="I6070" s="26" t="str">
        <f>IF(OR(E6070="",E6070="!!!",F6070="NEW"),"",INDEX(B6069:B$2,-1+SUMPRODUCT(MAX(ROW(E6069:E$2)*(E6070=E6069:E$2)))))</f>
        <v> </v>
      </c>
      <c r="J6070" s="26" t="str">
        <f>IF(OR(E6070="",E6070="!!!",F6070="NEW"),"",COUNTBLANK(OFFSET(A$1,,,SUMPRODUCT(MAX(ROW(E$2:E6070)*(E6070=E$2:E6070)))))-COUNTBLANK(OFFSET(A$1,,,SUMPRODUCT(MAX(ROW(E$1:E6069)*(E2=E$1:E6069))))))</f>
        <v> </v>
      </c>
      <c r="K6070" s="26" t="str">
        <f>IF(OR(E6070="",E6070="!!!",F6070="NEW"),"",INDEX(J$1:J6069,SUMPRODUCT(MAX(ROW(E$1:E6069)*(E6070=E$1:E6069)))))</f>
        <v> </v>
      </c>
      <c r="L6070" s="27"/>
    </row>
    <row r="6071" spans="1:12">
      <c r="A6071" s="20" t="s">
        <v>818</v>
      </c>
      <c r="E6071" s="22">
        <f>IF(D6071="?OLD","!!!","")</f>
        <v/>
      </c>
      <c r="F6071" s="23" t="str">
        <f>IF(OR(E6071="",E6071="!!!"),"",IF(NOT(ISNA(VLOOKUP(E6071,E$1:E6070,1,FALSE()))),"OLD",IF(AND(E6071&lt;&gt;"",E6071&lt;&gt;"!!!"),"NEW","")))</f>
        <v> </v>
      </c>
      <c r="G6071" s="24" t="str">
        <f>IF(OR(E6071="",E6071="!!!"),"",IF(OR(J6071=0,AND(J6071=1,K6071=1),AND(J6071=1,I6071="SBJ"),AND(J6071=1,I6071=0)),"?IN_FOCUS",IF(J6071&lt;=2,"?ACTIVATED",IF(J6071&lt;&gt;"","?FAMILIAR",IF(F6071="NEW",IF(ISNA(VLOOKUP(E6071,#REF!,1,FALSE())),"?TYPE_IDENTIFIABLE","?REFERENTIAL"),"_")))))</f>
        <v> </v>
      </c>
      <c r="H6071" s="25" t="str">
        <f>IF(J6071&lt;&gt;1,"",IF(I6071="SBJ","CB","?"))</f>
        <v> </v>
      </c>
      <c r="I6071" s="26" t="str">
        <f>IF(OR(E6071="",E6071="!!!",F6071="NEW"),"",INDEX(B6070:B$2,-1+SUMPRODUCT(MAX(ROW(E6070:E$2)*(E6071=E6070:E$2)))))</f>
        <v> </v>
      </c>
      <c r="J6071" s="26" t="str">
        <f>IF(OR(E6071="",E6071="!!!",F6071="NEW"),"",COUNTBLANK(OFFSET(A$1,,,SUMPRODUCT(MAX(ROW(E$2:E6071)*(E6071=E$2:E6071)))))-COUNTBLANK(OFFSET(A$1,,,SUMPRODUCT(MAX(ROW(E$1:E6070)*(E2=E$1:E6070))))))</f>
        <v> </v>
      </c>
      <c r="K6071" s="26" t="str">
        <f>IF(OR(E6071="",E6071="!!!",F6071="NEW"),"",INDEX(J$1:J6070,SUMPRODUCT(MAX(ROW(E$1:E6070)*(E6071=E$1:E6070)))))</f>
        <v> </v>
      </c>
      <c r="L6071" s="27"/>
    </row>
    <row r="6072" spans="1:12">
      <c r="A6072" s="20"/>
    </row>
    <row r="6073" spans="1:12">
      <c r="A6073" s="20" t="s">
        <v>2837</v>
      </c>
    </row>
    <row r="6074" spans="1:12">
      <c r="A6074" s="20" t="s">
        <v>1193</v>
      </c>
      <c r="B6074" s="21" t="s">
        <v>1194</v>
      </c>
      <c r="C6074" s="21" t="s">
        <v>1195</v>
      </c>
      <c r="D6074" s="21" t="s">
        <v>1180</v>
      </c>
      <c r="E6074" s="22">
        <f>IF(D6074="?OLD","!!!","")</f>
        <v/>
      </c>
      <c r="F6074" s="23" t="str">
        <f>IF(OR(E6074="",E6074="!!!"),"",IF(NOT(ISNA(VLOOKUP(E6074,E$1:E6073,1,FALSE()))),"OLD",IF(AND(E6074&lt;&gt;"",E6074&lt;&gt;"!!!"),"NEW","")))</f>
        <v> </v>
      </c>
      <c r="G6074" s="24" t="str">
        <f>IF(OR(E6074="",E6074="!!!"),"",IF(OR(J6074=0,AND(J6074=1,K6074=1),AND(J6074=1,I6074="SBJ"),AND(J6074=1,I6074=0)),"?IN_FOCUS",IF(J6074&lt;=2,"?ACTIVATED",IF(J6074&lt;&gt;"","?FAMILIAR",IF(F6074="NEW",IF(ISNA(VLOOKUP(E6074,#REF!,1,FALSE())),"?TYPE_IDENTIFIABLE","?REFERENTIAL"),"_")))))</f>
        <v> </v>
      </c>
      <c r="H6074" s="25" t="str">
        <f>IF(J6074&lt;&gt;1,"",IF(I6074="SBJ","CB","?"))</f>
        <v> </v>
      </c>
      <c r="I6074" s="26" t="str">
        <f>IF(OR(E6074="",E6074="!!!",F6074="NEW"),"",INDEX(B6073:B$2,-1+SUMPRODUCT(MAX(ROW(E6073:E$2)*(E6074=E6073:E$2)))))</f>
        <v> </v>
      </c>
      <c r="J6074" s="26" t="str">
        <f>IF(OR(E6074="",E6074="!!!",F6074="NEW"),"",COUNTBLANK(OFFSET(A$1,,,SUMPRODUCT(MAX(ROW(E$2:E6074)*(E6074=E$2:E6074)))))-COUNTBLANK(OFFSET(A$1,,,SUMPRODUCT(MAX(ROW(E$1:E6073)*(E2=E$1:E6073))))))</f>
        <v> </v>
      </c>
      <c r="K6074" s="26" t="str">
        <f>IF(OR(E6074="",E6074="!!!",F6074="NEW"),"",INDEX(J$1:J6073,SUMPRODUCT(MAX(ROW(E$1:E6073)*(E6074=E$1:E6073)))))</f>
        <v> </v>
      </c>
      <c r="L6074" s="27"/>
    </row>
    <row r="6075" spans="1:12">
      <c r="A6075" s="20" t="s">
        <v>1320</v>
      </c>
      <c r="E6075" s="22">
        <f>IF(D6075="?OLD","!!!","")</f>
        <v/>
      </c>
      <c r="F6075" s="23" t="str">
        <f>IF(OR(E6075="",E6075="!!!"),"",IF(NOT(ISNA(VLOOKUP(E6075,E$1:E6074,1,FALSE()))),"OLD",IF(AND(E6075&lt;&gt;"",E6075&lt;&gt;"!!!"),"NEW","")))</f>
        <v> </v>
      </c>
      <c r="G6075" s="24" t="str">
        <f>IF(OR(E6075="",E6075="!!!"),"",IF(OR(J6075=0,AND(J6075=1,K6075=1),AND(J6075=1,I6075="SBJ"),AND(J6075=1,I6075=0)),"?IN_FOCUS",IF(J6075&lt;=2,"?ACTIVATED",IF(J6075&lt;&gt;"","?FAMILIAR",IF(F6075="NEW",IF(ISNA(VLOOKUP(E6075,#REF!,1,FALSE())),"?TYPE_IDENTIFIABLE","?REFERENTIAL"),"_")))))</f>
        <v> </v>
      </c>
      <c r="H6075" s="25" t="str">
        <f>IF(J6075&lt;&gt;1,"",IF(I6075="SBJ","CB","?"))</f>
        <v> </v>
      </c>
      <c r="I6075" s="26" t="str">
        <f>IF(OR(E6075="",E6075="!!!",F6075="NEW"),"",INDEX(B6074:B$2,-1+SUMPRODUCT(MAX(ROW(E6074:E$2)*(E6075=E6074:E$2)))))</f>
        <v> </v>
      </c>
      <c r="J6075" s="26" t="str">
        <f>IF(OR(E6075="",E6075="!!!",F6075="NEW"),"",COUNTBLANK(OFFSET(A$1,,,SUMPRODUCT(MAX(ROW(E$2:E6075)*(E6075=E$2:E6075)))))-COUNTBLANK(OFFSET(A$1,,,SUMPRODUCT(MAX(ROW(E$1:E6074)*(E2=E$1:E6074))))))</f>
        <v> </v>
      </c>
      <c r="K6075" s="26" t="str">
        <f>IF(OR(E6075="",E6075="!!!",F6075="NEW"),"",INDEX(J$1:J6074,SUMPRODUCT(MAX(ROW(E$1:E6074)*(E6075=E$1:E6074)))))</f>
        <v> </v>
      </c>
      <c r="L6075" s="27"/>
    </row>
    <row r="6076" spans="1:12">
      <c r="A6076" s="20" t="s">
        <v>1198</v>
      </c>
      <c r="E6076" s="22">
        <f>IF(D6076="?OLD","!!!","")</f>
        <v/>
      </c>
      <c r="F6076" s="23" t="str">
        <f>IF(OR(E6076="",E6076="!!!"),"",IF(NOT(ISNA(VLOOKUP(E6076,E$1:E6075,1,FALSE()))),"OLD",IF(AND(E6076&lt;&gt;"",E6076&lt;&gt;"!!!"),"NEW","")))</f>
        <v> </v>
      </c>
      <c r="G6076" s="24" t="str">
        <f>IF(OR(E6076="",E6076="!!!"),"",IF(OR(J6076=0,AND(J6076=1,K6076=1),AND(J6076=1,I6076="SBJ"),AND(J6076=1,I6076=0)),"?IN_FOCUS",IF(J6076&lt;=2,"?ACTIVATED",IF(J6076&lt;&gt;"","?FAMILIAR",IF(F6076="NEW",IF(ISNA(VLOOKUP(E6076,#REF!,1,FALSE())),"?TYPE_IDENTIFIABLE","?REFERENTIAL"),"_")))))</f>
        <v> </v>
      </c>
      <c r="H6076" s="25" t="str">
        <f>IF(J6076&lt;&gt;1,"",IF(I6076="SBJ","CB","?"))</f>
        <v> </v>
      </c>
      <c r="I6076" s="26" t="str">
        <f>IF(OR(E6076="",E6076="!!!",F6076="NEW"),"",INDEX(B6075:B$2,-1+SUMPRODUCT(MAX(ROW(E6075:E$2)*(E6076=E6075:E$2)))))</f>
        <v> </v>
      </c>
      <c r="J6076" s="26" t="str">
        <f>IF(OR(E6076="",E6076="!!!",F6076="NEW"),"",COUNTBLANK(OFFSET(A$1,,,SUMPRODUCT(MAX(ROW(E$2:E6076)*(E6076=E$2:E6076)))))-COUNTBLANK(OFFSET(A$1,,,SUMPRODUCT(MAX(ROW(E$1:E6075)*(E2=E$1:E6075))))))</f>
        <v> </v>
      </c>
      <c r="K6076" s="26" t="str">
        <f>IF(OR(E6076="",E6076="!!!",F6076="NEW"),"",INDEX(J$1:J6075,SUMPRODUCT(MAX(ROW(E$1:E6075)*(E6076=E$1:E6075)))))</f>
        <v> </v>
      </c>
      <c r="L6076" s="27"/>
    </row>
    <row r="6077" spans="1:12">
      <c r="A6077" s="20" t="s">
        <v>2838</v>
      </c>
      <c r="E6077" s="22">
        <f>IF(D6077="?OLD","!!!","")</f>
        <v/>
      </c>
      <c r="F6077" s="23" t="str">
        <f>IF(OR(E6077="",E6077="!!!"),"",IF(NOT(ISNA(VLOOKUP(E6077,E$1:E6076,1,FALSE()))),"OLD",IF(AND(E6077&lt;&gt;"",E6077&lt;&gt;"!!!"),"NEW","")))</f>
        <v> </v>
      </c>
      <c r="G6077" s="24" t="str">
        <f>IF(OR(E6077="",E6077="!!!"),"",IF(OR(J6077=0,AND(J6077=1,K6077=1),AND(J6077=1,I6077="SBJ"),AND(J6077=1,I6077=0)),"?IN_FOCUS",IF(J6077&lt;=2,"?ACTIVATED",IF(J6077&lt;&gt;"","?FAMILIAR",IF(F6077="NEW",IF(ISNA(VLOOKUP(E6077,#REF!,1,FALSE())),"?TYPE_IDENTIFIABLE","?REFERENTIAL"),"_")))))</f>
        <v> </v>
      </c>
      <c r="H6077" s="25" t="str">
        <f>IF(J6077&lt;&gt;1,"",IF(I6077="SBJ","CB","?"))</f>
        <v> </v>
      </c>
      <c r="I6077" s="26" t="str">
        <f>IF(OR(E6077="",E6077="!!!",F6077="NEW"),"",INDEX(B6076:B$2,-1+SUMPRODUCT(MAX(ROW(E6076:E$2)*(E6077=E6076:E$2)))))</f>
        <v> </v>
      </c>
      <c r="J6077" s="26" t="str">
        <f>IF(OR(E6077="",E6077="!!!",F6077="NEW"),"",COUNTBLANK(OFFSET(A$1,,,SUMPRODUCT(MAX(ROW(E$2:E6077)*(E6077=E$2:E6077)))))-COUNTBLANK(OFFSET(A$1,,,SUMPRODUCT(MAX(ROW(E$1:E6076)*(E2=E$1:E6076))))))</f>
        <v> </v>
      </c>
      <c r="K6077" s="26" t="str">
        <f>IF(OR(E6077="",E6077="!!!",F6077="NEW"),"",INDEX(J$1:J6076,SUMPRODUCT(MAX(ROW(E$1:E6076)*(E6077=E$1:E6076)))))</f>
        <v> </v>
      </c>
      <c r="L6077" s="27"/>
    </row>
    <row r="6078" spans="1:12">
      <c r="A6078" s="20" t="s">
        <v>2839</v>
      </c>
      <c r="B6078" s="21" t="s">
        <v>1178</v>
      </c>
      <c r="C6078" s="21" t="s">
        <v>1188</v>
      </c>
      <c r="D6078" s="21" t="s">
        <v>1180</v>
      </c>
      <c r="E6078" s="22">
        <f>IF(D6078="?OLD","!!!","")</f>
        <v/>
      </c>
      <c r="F6078" s="23" t="str">
        <f>IF(OR(E6078="",E6078="!!!"),"",IF(NOT(ISNA(VLOOKUP(E6078,E$1:E6077,1,FALSE()))),"OLD",IF(AND(E6078&lt;&gt;"",E6078&lt;&gt;"!!!"),"NEW","")))</f>
        <v> </v>
      </c>
      <c r="G6078" s="24" t="str">
        <f>IF(OR(E6078="",E6078="!!!"),"",IF(OR(J6078=0,AND(J6078=1,K6078=1),AND(J6078=1,I6078="SBJ"),AND(J6078=1,I6078=0)),"?IN_FOCUS",IF(J6078&lt;=2,"?ACTIVATED",IF(J6078&lt;&gt;"","?FAMILIAR",IF(F6078="NEW",IF(ISNA(VLOOKUP(E6078,#REF!,1,FALSE())),"?TYPE_IDENTIFIABLE","?REFERENTIAL"),"_")))))</f>
        <v> </v>
      </c>
      <c r="H6078" s="25" t="str">
        <f>IF(J6078&lt;&gt;1,"",IF(I6078="SBJ","CB","?"))</f>
        <v> </v>
      </c>
      <c r="I6078" s="26" t="str">
        <f>IF(OR(E6078="",E6078="!!!",F6078="NEW"),"",INDEX(B6077:B$2,-1+SUMPRODUCT(MAX(ROW(E6077:E$2)*(E6078=E6077:E$2)))))</f>
        <v> </v>
      </c>
      <c r="J6078" s="26" t="str">
        <f>IF(OR(E6078="",E6078="!!!",F6078="NEW"),"",COUNTBLANK(OFFSET(A$1,,,SUMPRODUCT(MAX(ROW(E$2:E6078)*(E6078=E$2:E6078)))))-COUNTBLANK(OFFSET(A$1,,,SUMPRODUCT(MAX(ROW(E$1:E6077)*(E2=E$1:E6077))))))</f>
        <v> </v>
      </c>
      <c r="K6078" s="26" t="str">
        <f>IF(OR(E6078="",E6078="!!!",F6078="NEW"),"",INDEX(J$1:J6077,SUMPRODUCT(MAX(ROW(E$1:E6077)*(E6078=E$1:E6077)))))</f>
        <v> </v>
      </c>
      <c r="L6078" s="27"/>
    </row>
    <row r="6079" spans="1:12">
      <c r="A6079" s="20" t="s">
        <v>1185</v>
      </c>
      <c r="E6079" s="22">
        <f>IF(D6079="?OLD","!!!","")</f>
        <v/>
      </c>
      <c r="F6079" s="23" t="str">
        <f>IF(OR(E6079="",E6079="!!!"),"",IF(NOT(ISNA(VLOOKUP(E6079,E$1:E6078,1,FALSE()))),"OLD",IF(AND(E6079&lt;&gt;"",E6079&lt;&gt;"!!!"),"NEW","")))</f>
        <v> </v>
      </c>
      <c r="G6079" s="24" t="str">
        <f>IF(OR(E6079="",E6079="!!!"),"",IF(OR(J6079=0,AND(J6079=1,K6079=1),AND(J6079=1,I6079="SBJ"),AND(J6079=1,I6079=0)),"?IN_FOCUS",IF(J6079&lt;=2,"?ACTIVATED",IF(J6079&lt;&gt;"","?FAMILIAR",IF(F6079="NEW",IF(ISNA(VLOOKUP(E6079,#REF!,1,FALSE())),"?TYPE_IDENTIFIABLE","?REFERENTIAL"),"_")))))</f>
        <v> </v>
      </c>
      <c r="H6079" s="25" t="str">
        <f>IF(J6079&lt;&gt;1,"",IF(I6079="SBJ","CB","?"))</f>
        <v> </v>
      </c>
      <c r="I6079" s="26" t="str">
        <f>IF(OR(E6079="",E6079="!!!",F6079="NEW"),"",INDEX(B6078:B$2,-1+SUMPRODUCT(MAX(ROW(E6078:E$2)*(E6079=E6078:E$2)))))</f>
        <v> </v>
      </c>
      <c r="J6079" s="26" t="str">
        <f>IF(OR(E6079="",E6079="!!!",F6079="NEW"),"",COUNTBLANK(OFFSET(A$1,,,SUMPRODUCT(MAX(ROW(E$2:E6079)*(E6079=E$2:E6079)))))-COUNTBLANK(OFFSET(A$1,,,SUMPRODUCT(MAX(ROW(E$1:E6078)*(E2=E$1:E6078))))))</f>
        <v> </v>
      </c>
      <c r="K6079" s="26" t="str">
        <f>IF(OR(E6079="",E6079="!!!",F6079="NEW"),"",INDEX(J$1:J6078,SUMPRODUCT(MAX(ROW(E$1:E6078)*(E6079=E$1:E6078)))))</f>
        <v> </v>
      </c>
      <c r="L6079" s="27"/>
    </row>
    <row r="6080" spans="1:12">
      <c r="A6080" s="20" t="s">
        <v>1359</v>
      </c>
      <c r="E6080" s="22">
        <f>IF(D6080="?OLD","!!!","")</f>
        <v/>
      </c>
      <c r="F6080" s="23" t="str">
        <f>IF(OR(E6080="",E6080="!!!"),"",IF(NOT(ISNA(VLOOKUP(E6080,E$1:E6079,1,FALSE()))),"OLD",IF(AND(E6080&lt;&gt;"",E6080&lt;&gt;"!!!"),"NEW","")))</f>
        <v> </v>
      </c>
      <c r="G6080" s="24" t="str">
        <f>IF(OR(E6080="",E6080="!!!"),"",IF(OR(J6080=0,AND(J6080=1,K6080=1),AND(J6080=1,I6080="SBJ"),AND(J6080=1,I6080=0)),"?IN_FOCUS",IF(J6080&lt;=2,"?ACTIVATED",IF(J6080&lt;&gt;"","?FAMILIAR",IF(F6080="NEW",IF(ISNA(VLOOKUP(E6080,#REF!,1,FALSE())),"?TYPE_IDENTIFIABLE","?REFERENTIAL"),"_")))))</f>
        <v> </v>
      </c>
      <c r="H6080" s="25" t="str">
        <f>IF(J6080&lt;&gt;1,"",IF(I6080="SBJ","CB","?"))</f>
        <v> </v>
      </c>
      <c r="I6080" s="26" t="str">
        <f>IF(OR(E6080="",E6080="!!!",F6080="NEW"),"",INDEX(B6079:B$2,-1+SUMPRODUCT(MAX(ROW(E6079:E$2)*(E6080=E6079:E$2)))))</f>
        <v> </v>
      </c>
      <c r="J6080" s="26" t="str">
        <f>IF(OR(E6080="",E6080="!!!",F6080="NEW"),"",COUNTBLANK(OFFSET(A$1,,,SUMPRODUCT(MAX(ROW(E$2:E6080)*(E6080=E$2:E6080)))))-COUNTBLANK(OFFSET(A$1,,,SUMPRODUCT(MAX(ROW(E$1:E6079)*(E2=E$1:E6079))))))</f>
        <v> </v>
      </c>
      <c r="K6080" s="26" t="str">
        <f>IF(OR(E6080="",E6080="!!!",F6080="NEW"),"",INDEX(J$1:J6079,SUMPRODUCT(MAX(ROW(E$1:E6079)*(E6080=E$1:E6079)))))</f>
        <v> </v>
      </c>
      <c r="L6080" s="27"/>
    </row>
    <row r="6081" spans="1:12">
      <c r="A6081" s="20" t="s">
        <v>1265</v>
      </c>
      <c r="E6081" s="22">
        <f>IF(D6081="?OLD","!!!","")</f>
        <v/>
      </c>
      <c r="F6081" s="23" t="str">
        <f>IF(OR(E6081="",E6081="!!!"),"",IF(NOT(ISNA(VLOOKUP(E6081,E$1:E6080,1,FALSE()))),"OLD",IF(AND(E6081&lt;&gt;"",E6081&lt;&gt;"!!!"),"NEW","")))</f>
        <v> </v>
      </c>
      <c r="G6081" s="24" t="str">
        <f>IF(OR(E6081="",E6081="!!!"),"",IF(OR(J6081=0,AND(J6081=1,K6081=1),AND(J6081=1,I6081="SBJ"),AND(J6081=1,I6081=0)),"?IN_FOCUS",IF(J6081&lt;=2,"?ACTIVATED",IF(J6081&lt;&gt;"","?FAMILIAR",IF(F6081="NEW",IF(ISNA(VLOOKUP(E6081,#REF!,1,FALSE())),"?TYPE_IDENTIFIABLE","?REFERENTIAL"),"_")))))</f>
        <v> </v>
      </c>
      <c r="H6081" s="25" t="str">
        <f>IF(J6081&lt;&gt;1,"",IF(I6081="SBJ","CB","?"))</f>
        <v> </v>
      </c>
      <c r="I6081" s="26" t="str">
        <f>IF(OR(E6081="",E6081="!!!",F6081="NEW"),"",INDEX(B6080:B$2,-1+SUMPRODUCT(MAX(ROW(E6080:E$2)*(E6081=E6080:E$2)))))</f>
        <v> </v>
      </c>
      <c r="J6081" s="26" t="str">
        <f>IF(OR(E6081="",E6081="!!!",F6081="NEW"),"",COUNTBLANK(OFFSET(A$1,,,SUMPRODUCT(MAX(ROW(E$2:E6081)*(E6081=E$2:E6081)))))-COUNTBLANK(OFFSET(A$1,,,SUMPRODUCT(MAX(ROW(E$1:E6080)*(E2=E$1:E6080))))))</f>
        <v> </v>
      </c>
      <c r="K6081" s="26" t="str">
        <f>IF(OR(E6081="",E6081="!!!",F6081="NEW"),"",INDEX(J$1:J6080,SUMPRODUCT(MAX(ROW(E$1:E6080)*(E6081=E$1:E6080)))))</f>
        <v> </v>
      </c>
      <c r="L6081" s="27"/>
    </row>
    <row r="6082" spans="1:12">
      <c r="A6082" s="20" t="s">
        <v>2840</v>
      </c>
      <c r="B6082" s="21" t="s">
        <v>1240</v>
      </c>
      <c r="C6082" s="21" t="s">
        <v>1223</v>
      </c>
      <c r="E6082" s="22">
        <f>IF(D6082="?OLD","!!!","")</f>
        <v/>
      </c>
      <c r="F6082" s="23" t="str">
        <f>IF(OR(E6082="",E6082="!!!"),"",IF(NOT(ISNA(VLOOKUP(E6082,E$1:E6081,1,FALSE()))),"OLD",IF(AND(E6082&lt;&gt;"",E6082&lt;&gt;"!!!"),"NEW","")))</f>
        <v> </v>
      </c>
      <c r="G6082" s="24" t="str">
        <f>IF(OR(E6082="",E6082="!!!"),"",IF(OR(J6082=0,AND(J6082=1,K6082=1),AND(J6082=1,I6082="SBJ"),AND(J6082=1,I6082=0)),"?IN_FOCUS",IF(J6082&lt;=2,"?ACTIVATED",IF(J6082&lt;&gt;"","?FAMILIAR",IF(F6082="NEW",IF(ISNA(VLOOKUP(E6082,#REF!,1,FALSE())),"?TYPE_IDENTIFIABLE","?REFERENTIAL"),"_")))))</f>
        <v> </v>
      </c>
      <c r="H6082" s="25" t="str">
        <f>IF(J6082&lt;&gt;1,"",IF(I6082="SBJ","CB","?"))</f>
        <v> </v>
      </c>
      <c r="I6082" s="26" t="str">
        <f>IF(OR(E6082="",E6082="!!!",F6082="NEW"),"",INDEX(B6081:B$2,-1+SUMPRODUCT(MAX(ROW(E6081:E$2)*(E6082=E6081:E$2)))))</f>
        <v> </v>
      </c>
      <c r="J6082" s="26" t="str">
        <f>IF(OR(E6082="",E6082="!!!",F6082="NEW"),"",COUNTBLANK(OFFSET(A$1,,,SUMPRODUCT(MAX(ROW(E$2:E6082)*(E6082=E$2:E6082)))))-COUNTBLANK(OFFSET(A$1,,,SUMPRODUCT(MAX(ROW(E$1:E6081)*(E2=E$1:E6081))))))</f>
        <v> </v>
      </c>
      <c r="K6082" s="26" t="str">
        <f>IF(OR(E6082="",E6082="!!!",F6082="NEW"),"",INDEX(J$1:J6081,SUMPRODUCT(MAX(ROW(E$1:E6081)*(E6082=E$1:E6081)))))</f>
        <v> </v>
      </c>
      <c r="L6082" s="27"/>
    </row>
    <row r="6083" spans="1:12">
      <c r="A6083" s="20" t="s">
        <v>1202</v>
      </c>
      <c r="E6083" s="22">
        <f>IF(D6083="?OLD","!!!","")</f>
        <v/>
      </c>
      <c r="F6083" s="23" t="str">
        <f>IF(OR(E6083="",E6083="!!!"),"",IF(NOT(ISNA(VLOOKUP(E6083,E$1:E6082,1,FALSE()))),"OLD",IF(AND(E6083&lt;&gt;"",E6083&lt;&gt;"!!!"),"NEW","")))</f>
        <v> </v>
      </c>
      <c r="G6083" s="24" t="str">
        <f>IF(OR(E6083="",E6083="!!!"),"",IF(OR(J6083=0,AND(J6083=1,K6083=1),AND(J6083=1,I6083="SBJ"),AND(J6083=1,I6083=0)),"?IN_FOCUS",IF(J6083&lt;=2,"?ACTIVATED",IF(J6083&lt;&gt;"","?FAMILIAR",IF(F6083="NEW",IF(ISNA(VLOOKUP(E6083,#REF!,1,FALSE())),"?TYPE_IDENTIFIABLE","?REFERENTIAL"),"_")))))</f>
        <v> </v>
      </c>
      <c r="H6083" s="25" t="str">
        <f>IF(J6083&lt;&gt;1,"",IF(I6083="SBJ","CB","?"))</f>
        <v> </v>
      </c>
      <c r="I6083" s="26" t="str">
        <f>IF(OR(E6083="",E6083="!!!",F6083="NEW"),"",INDEX(B6082:B$2,-1+SUMPRODUCT(MAX(ROW(E6082:E$2)*(E6083=E6082:E$2)))))</f>
        <v> </v>
      </c>
      <c r="J6083" s="26" t="str">
        <f>IF(OR(E6083="",E6083="!!!",F6083="NEW"),"",COUNTBLANK(OFFSET(A$1,,,SUMPRODUCT(MAX(ROW(E$2:E6083)*(E6083=E$2:E6083)))))-COUNTBLANK(OFFSET(A$1,,,SUMPRODUCT(MAX(ROW(E$1:E6082)*(E2=E$1:E6082))))))</f>
        <v> </v>
      </c>
      <c r="K6083" s="26" t="str">
        <f>IF(OR(E6083="",E6083="!!!",F6083="NEW"),"",INDEX(J$1:J6082,SUMPRODUCT(MAX(ROW(E$1:E6082)*(E6083=E$1:E6082)))))</f>
        <v> </v>
      </c>
      <c r="L6083" s="27"/>
    </row>
    <row r="6084" spans="1:12">
      <c r="A6084" s="20" t="s">
        <v>2841</v>
      </c>
      <c r="E6084" s="22">
        <f>IF(D6084="?OLD","!!!","")</f>
        <v/>
      </c>
      <c r="F6084" s="23" t="str">
        <f>IF(OR(E6084="",E6084="!!!"),"",IF(NOT(ISNA(VLOOKUP(E6084,E$1:E6083,1,FALSE()))),"OLD",IF(AND(E6084&lt;&gt;"",E6084&lt;&gt;"!!!"),"NEW","")))</f>
        <v> </v>
      </c>
      <c r="G6084" s="24" t="str">
        <f>IF(OR(E6084="",E6084="!!!"),"",IF(OR(J6084=0,AND(J6084=1,K6084=1),AND(J6084=1,I6084="SBJ"),AND(J6084=1,I6084=0)),"?IN_FOCUS",IF(J6084&lt;=2,"?ACTIVATED",IF(J6084&lt;&gt;"","?FAMILIAR",IF(F6084="NEW",IF(ISNA(VLOOKUP(E6084,#REF!,1,FALSE())),"?TYPE_IDENTIFIABLE","?REFERENTIAL"),"_")))))</f>
        <v> </v>
      </c>
      <c r="H6084" s="25" t="str">
        <f>IF(J6084&lt;&gt;1,"",IF(I6084="SBJ","CB","?"))</f>
        <v> </v>
      </c>
      <c r="I6084" s="26" t="str">
        <f>IF(OR(E6084="",E6084="!!!",F6084="NEW"),"",INDEX(B6083:B$2,-1+SUMPRODUCT(MAX(ROW(E6083:E$2)*(E6084=E6083:E$2)))))</f>
        <v> </v>
      </c>
      <c r="J6084" s="26" t="str">
        <f>IF(OR(E6084="",E6084="!!!",F6084="NEW"),"",COUNTBLANK(OFFSET(A$1,,,SUMPRODUCT(MAX(ROW(E$2:E6084)*(E6084=E$2:E6084)))))-COUNTBLANK(OFFSET(A$1,,,SUMPRODUCT(MAX(ROW(E$1:E6083)*(E2=E$1:E6083))))))</f>
        <v> </v>
      </c>
      <c r="K6084" s="26" t="str">
        <f>IF(OR(E6084="",E6084="!!!",F6084="NEW"),"",INDEX(J$1:J6083,SUMPRODUCT(MAX(ROW(E$1:E6083)*(E6084=E$1:E6083)))))</f>
        <v> </v>
      </c>
      <c r="L6084" s="27"/>
    </row>
    <row r="6085" spans="1:12">
      <c r="A6085" s="20" t="s">
        <v>2842</v>
      </c>
      <c r="B6085" s="21" t="s">
        <v>1237</v>
      </c>
      <c r="C6085" s="21" t="s">
        <v>1188</v>
      </c>
      <c r="D6085" s="21" t="s">
        <v>1180</v>
      </c>
      <c r="E6085" s="22">
        <f>IF(D6085="?OLD","!!!","")</f>
        <v/>
      </c>
      <c r="F6085" s="23" t="str">
        <f>IF(OR(E6085="",E6085="!!!"),"",IF(NOT(ISNA(VLOOKUP(E6085,E$1:E6084,1,FALSE()))),"OLD",IF(AND(E6085&lt;&gt;"",E6085&lt;&gt;"!!!"),"NEW","")))</f>
        <v> </v>
      </c>
      <c r="G6085" s="24" t="str">
        <f>IF(OR(E6085="",E6085="!!!"),"",IF(OR(J6085=0,AND(J6085=1,K6085=1),AND(J6085=1,I6085="SBJ"),AND(J6085=1,I6085=0)),"?IN_FOCUS",IF(J6085&lt;=2,"?ACTIVATED",IF(J6085&lt;&gt;"","?FAMILIAR",IF(F6085="NEW",IF(ISNA(VLOOKUP(E6085,#REF!,1,FALSE())),"?TYPE_IDENTIFIABLE","?REFERENTIAL"),"_")))))</f>
        <v> </v>
      </c>
      <c r="H6085" s="25" t="str">
        <f>IF(J6085&lt;&gt;1,"",IF(I6085="SBJ","CB","?"))</f>
        <v> </v>
      </c>
      <c r="I6085" s="26" t="str">
        <f>IF(OR(E6085="",E6085="!!!",F6085="NEW"),"",INDEX(B6084:B$2,-1+SUMPRODUCT(MAX(ROW(E6084:E$2)*(E6085=E6084:E$2)))))</f>
        <v> </v>
      </c>
      <c r="J6085" s="26" t="str">
        <f>IF(OR(E6085="",E6085="!!!",F6085="NEW"),"",COUNTBLANK(OFFSET(A$1,,,SUMPRODUCT(MAX(ROW(E$2:E6085)*(E6085=E$2:E6085)))))-COUNTBLANK(OFFSET(A$1,,,SUMPRODUCT(MAX(ROW(E$1:E6084)*(E2=E$1:E6084))))))</f>
        <v> </v>
      </c>
      <c r="K6085" s="26" t="str">
        <f>IF(OR(E6085="",E6085="!!!",F6085="NEW"),"",INDEX(J$1:J6084,SUMPRODUCT(MAX(ROW(E$1:E6084)*(E6085=E$1:E6084)))))</f>
        <v> </v>
      </c>
      <c r="L6085" s="27"/>
    </row>
    <row r="6086" spans="1:12">
      <c r="A6086" s="20" t="s">
        <v>1186</v>
      </c>
      <c r="E6086" s="22">
        <f>IF(D6086="?OLD","!!!","")</f>
        <v/>
      </c>
      <c r="F6086" s="23" t="str">
        <f>IF(OR(E6086="",E6086="!!!"),"",IF(NOT(ISNA(VLOOKUP(E6086,E$1:E6085,1,FALSE()))),"OLD",IF(AND(E6086&lt;&gt;"",E6086&lt;&gt;"!!!"),"NEW","")))</f>
        <v> </v>
      </c>
      <c r="G6086" s="24" t="str">
        <f>IF(OR(E6086="",E6086="!!!"),"",IF(OR(J6086=0,AND(J6086=1,K6086=1),AND(J6086=1,I6086="SBJ"),AND(J6086=1,I6086=0)),"?IN_FOCUS",IF(J6086&lt;=2,"?ACTIVATED",IF(J6086&lt;&gt;"","?FAMILIAR",IF(F6086="NEW",IF(ISNA(VLOOKUP(E6086,#REF!,1,FALSE())),"?TYPE_IDENTIFIABLE","?REFERENTIAL"),"_")))))</f>
        <v> </v>
      </c>
      <c r="H6086" s="25" t="str">
        <f>IF(J6086&lt;&gt;1,"",IF(I6086="SBJ","CB","?"))</f>
        <v> </v>
      </c>
      <c r="I6086" s="26" t="str">
        <f>IF(OR(E6086="",E6086="!!!",F6086="NEW"),"",INDEX(B6085:B$2,-1+SUMPRODUCT(MAX(ROW(E6085:E$2)*(E6086=E6085:E$2)))))</f>
        <v> </v>
      </c>
      <c r="J6086" s="26" t="str">
        <f>IF(OR(E6086="",E6086="!!!",F6086="NEW"),"",COUNTBLANK(OFFSET(A$1,,,SUMPRODUCT(MAX(ROW(E$2:E6086)*(E6086=E$2:E6086)))))-COUNTBLANK(OFFSET(A$1,,,SUMPRODUCT(MAX(ROW(E$1:E6085)*(E2=E$1:E6085))))))</f>
        <v> </v>
      </c>
      <c r="K6086" s="26" t="str">
        <f>IF(OR(E6086="",E6086="!!!",F6086="NEW"),"",INDEX(J$1:J6085,SUMPRODUCT(MAX(ROW(E$1:E6085)*(E6086=E$1:E6085)))))</f>
        <v> </v>
      </c>
      <c r="L6086" s="27"/>
    </row>
    <row r="6087" spans="1:12">
      <c r="A6087" s="20" t="s">
        <v>2646</v>
      </c>
      <c r="B6087" s="21" t="s">
        <v>1237</v>
      </c>
      <c r="C6087" s="21" t="s">
        <v>1188</v>
      </c>
      <c r="D6087" s="21" t="s">
        <v>1180</v>
      </c>
      <c r="E6087" s="22">
        <f>IF(D6087="?OLD","!!!","")</f>
        <v/>
      </c>
      <c r="F6087" s="23" t="str">
        <f>IF(OR(E6087="",E6087="!!!"),"",IF(NOT(ISNA(VLOOKUP(E6087,E$1:E6086,1,FALSE()))),"OLD",IF(AND(E6087&lt;&gt;"",E6087&lt;&gt;"!!!"),"NEW","")))</f>
        <v> </v>
      </c>
      <c r="G6087" s="24" t="str">
        <f>IF(OR(E6087="",E6087="!!!"),"",IF(OR(J6087=0,AND(J6087=1,K6087=1),AND(J6087=1,I6087="SBJ"),AND(J6087=1,I6087=0)),"?IN_FOCUS",IF(J6087&lt;=2,"?ACTIVATED",IF(J6087&lt;&gt;"","?FAMILIAR",IF(F6087="NEW",IF(ISNA(VLOOKUP(E6087,#REF!,1,FALSE())),"?TYPE_IDENTIFIABLE","?REFERENTIAL"),"_")))))</f>
        <v> </v>
      </c>
      <c r="H6087" s="25" t="str">
        <f>IF(J6087&lt;&gt;1,"",IF(I6087="SBJ","CB","?"))</f>
        <v> </v>
      </c>
      <c r="I6087" s="26" t="str">
        <f>IF(OR(E6087="",E6087="!!!",F6087="NEW"),"",INDEX(B6086:B$2,-1+SUMPRODUCT(MAX(ROW(E6086:E$2)*(E6087=E6086:E$2)))))</f>
        <v> </v>
      </c>
      <c r="J6087" s="26" t="str">
        <f>IF(OR(E6087="",E6087="!!!",F6087="NEW"),"",COUNTBLANK(OFFSET(A$1,,,SUMPRODUCT(MAX(ROW(E$2:E6087)*(E6087=E$2:E6087)))))-COUNTBLANK(OFFSET(A$1,,,SUMPRODUCT(MAX(ROW(E$1:E6086)*(E2=E$1:E6086))))))</f>
        <v> </v>
      </c>
      <c r="K6087" s="26" t="str">
        <f>IF(OR(E6087="",E6087="!!!",F6087="NEW"),"",INDEX(J$1:J6086,SUMPRODUCT(MAX(ROW(E$1:E6086)*(E6087=E$1:E6086)))))</f>
        <v> </v>
      </c>
      <c r="L6087" s="27"/>
    </row>
    <row r="6088" spans="1:12">
      <c r="A6088" s="20" t="s">
        <v>2647</v>
      </c>
      <c r="E6088" s="22">
        <f>IF(D6088="?OLD","!!!","")</f>
        <v/>
      </c>
      <c r="F6088" s="23" t="str">
        <f>IF(OR(E6088="",E6088="!!!"),"",IF(NOT(ISNA(VLOOKUP(E6088,E$1:E6087,1,FALSE()))),"OLD",IF(AND(E6088&lt;&gt;"",E6088&lt;&gt;"!!!"),"NEW","")))</f>
        <v> </v>
      </c>
      <c r="G6088" s="24" t="str">
        <f>IF(OR(E6088="",E6088="!!!"),"",IF(OR(J6088=0,AND(J6088=1,K6088=1),AND(J6088=1,I6088="SBJ"),AND(J6088=1,I6088=0)),"?IN_FOCUS",IF(J6088&lt;=2,"?ACTIVATED",IF(J6088&lt;&gt;"","?FAMILIAR",IF(F6088="NEW",IF(ISNA(VLOOKUP(E6088,#REF!,1,FALSE())),"?TYPE_IDENTIFIABLE","?REFERENTIAL"),"_")))))</f>
        <v> </v>
      </c>
      <c r="H6088" s="25" t="str">
        <f>IF(J6088&lt;&gt;1,"",IF(I6088="SBJ","CB","?"))</f>
        <v> </v>
      </c>
      <c r="I6088" s="26" t="str">
        <f>IF(OR(E6088="",E6088="!!!",F6088="NEW"),"",INDEX(B6087:B$2,-1+SUMPRODUCT(MAX(ROW(E6087:E$2)*(E6088=E6087:E$2)))))</f>
        <v> </v>
      </c>
      <c r="J6088" s="26" t="str">
        <f>IF(OR(E6088="",E6088="!!!",F6088="NEW"),"",COUNTBLANK(OFFSET(A$1,,,SUMPRODUCT(MAX(ROW(E$2:E6088)*(E6088=E$2:E6088)))))-COUNTBLANK(OFFSET(A$1,,,SUMPRODUCT(MAX(ROW(E$1:E6087)*(E2=E$1:E6087))))))</f>
        <v> </v>
      </c>
      <c r="K6088" s="26" t="str">
        <f>IF(OR(E6088="",E6088="!!!",F6088="NEW"),"",INDEX(J$1:J6087,SUMPRODUCT(MAX(ROW(E$1:E6087)*(E6088=E$1:E6087)))))</f>
        <v> </v>
      </c>
      <c r="L6088" s="27"/>
    </row>
    <row r="6089" spans="1:12">
      <c r="A6089" s="20" t="s">
        <v>1252</v>
      </c>
      <c r="E6089" s="22">
        <f>IF(D6089="?OLD","!!!","")</f>
        <v/>
      </c>
      <c r="F6089" s="23" t="str">
        <f>IF(OR(E6089="",E6089="!!!"),"",IF(NOT(ISNA(VLOOKUP(E6089,E$1:E6088,1,FALSE()))),"OLD",IF(AND(E6089&lt;&gt;"",E6089&lt;&gt;"!!!"),"NEW","")))</f>
        <v> </v>
      </c>
      <c r="G6089" s="24" t="str">
        <f>IF(OR(E6089="",E6089="!!!"),"",IF(OR(J6089=0,AND(J6089=1,K6089=1),AND(J6089=1,I6089="SBJ"),AND(J6089=1,I6089=0)),"?IN_FOCUS",IF(J6089&lt;=2,"?ACTIVATED",IF(J6089&lt;&gt;"","?FAMILIAR",IF(F6089="NEW",IF(ISNA(VLOOKUP(E6089,#REF!,1,FALSE())),"?TYPE_IDENTIFIABLE","?REFERENTIAL"),"_")))))</f>
        <v> </v>
      </c>
      <c r="H6089" s="25" t="str">
        <f>IF(J6089&lt;&gt;1,"",IF(I6089="SBJ","CB","?"))</f>
        <v> </v>
      </c>
      <c r="I6089" s="26" t="str">
        <f>IF(OR(E6089="",E6089="!!!",F6089="NEW"),"",INDEX(B6088:B$2,-1+SUMPRODUCT(MAX(ROW(E6088:E$2)*(E6089=E6088:E$2)))))</f>
        <v> </v>
      </c>
      <c r="J6089" s="26" t="str">
        <f>IF(OR(E6089="",E6089="!!!",F6089="NEW"),"",COUNTBLANK(OFFSET(A$1,,,SUMPRODUCT(MAX(ROW(E$2:E6089)*(E6089=E$2:E6089)))))-COUNTBLANK(OFFSET(A$1,,,SUMPRODUCT(MAX(ROW(E$1:E6088)*(E2=E$1:E6088))))))</f>
        <v> </v>
      </c>
      <c r="K6089" s="26" t="str">
        <f>IF(OR(E6089="",E6089="!!!",F6089="NEW"),"",INDEX(J$1:J6088,SUMPRODUCT(MAX(ROW(E$1:E6088)*(E6089=E$1:E6088)))))</f>
        <v> </v>
      </c>
      <c r="L6089" s="27"/>
    </row>
    <row r="6090" spans="1:12">
      <c r="A6090" s="20" t="s">
        <v>1185</v>
      </c>
      <c r="E6090" s="22">
        <f>IF(D6090="?OLD","!!!","")</f>
        <v/>
      </c>
      <c r="F6090" s="23" t="str">
        <f>IF(OR(E6090="",E6090="!!!"),"",IF(NOT(ISNA(VLOOKUP(E6090,E$1:E6089,1,FALSE()))),"OLD",IF(AND(E6090&lt;&gt;"",E6090&lt;&gt;"!!!"),"NEW","")))</f>
        <v> </v>
      </c>
      <c r="G6090" s="24" t="str">
        <f>IF(OR(E6090="",E6090="!!!"),"",IF(OR(J6090=0,AND(J6090=1,K6090=1),AND(J6090=1,I6090="SBJ"),AND(J6090=1,I6090=0)),"?IN_FOCUS",IF(J6090&lt;=2,"?ACTIVATED",IF(J6090&lt;&gt;"","?FAMILIAR",IF(F6090="NEW",IF(ISNA(VLOOKUP(E6090,#REF!,1,FALSE())),"?TYPE_IDENTIFIABLE","?REFERENTIAL"),"_")))))</f>
        <v> </v>
      </c>
      <c r="H6090" s="25" t="str">
        <f>IF(J6090&lt;&gt;1,"",IF(I6090="SBJ","CB","?"))</f>
        <v> </v>
      </c>
      <c r="I6090" s="26" t="str">
        <f>IF(OR(E6090="",E6090="!!!",F6090="NEW"),"",INDEX(B6089:B$2,-1+SUMPRODUCT(MAX(ROW(E6089:E$2)*(E6090=E6089:E$2)))))</f>
        <v> </v>
      </c>
      <c r="J6090" s="26" t="str">
        <f>IF(OR(E6090="",E6090="!!!",F6090="NEW"),"",COUNTBLANK(OFFSET(A$1,,,SUMPRODUCT(MAX(ROW(E$2:E6090)*(E6090=E$2:E6090)))))-COUNTBLANK(OFFSET(A$1,,,SUMPRODUCT(MAX(ROW(E$1:E6089)*(E2=E$1:E6089))))))</f>
        <v> </v>
      </c>
      <c r="K6090" s="26" t="str">
        <f>IF(OR(E6090="",E6090="!!!",F6090="NEW"),"",INDEX(J$1:J6089,SUMPRODUCT(MAX(ROW(E$1:E6089)*(E6090=E$1:E6089)))))</f>
        <v> </v>
      </c>
      <c r="L6090" s="27"/>
    </row>
    <row r="6091" spans="1:12">
      <c r="A6091" s="20" t="s">
        <v>1202</v>
      </c>
      <c r="E6091" s="22">
        <f>IF(D6091="?OLD","!!!","")</f>
        <v/>
      </c>
      <c r="F6091" s="23" t="str">
        <f>IF(OR(E6091="",E6091="!!!"),"",IF(NOT(ISNA(VLOOKUP(E6091,E$1:E6090,1,FALSE()))),"OLD",IF(AND(E6091&lt;&gt;"",E6091&lt;&gt;"!!!"),"NEW","")))</f>
        <v> </v>
      </c>
      <c r="G6091" s="24" t="str">
        <f>IF(OR(E6091="",E6091="!!!"),"",IF(OR(J6091=0,AND(J6091=1,K6091=1),AND(J6091=1,I6091="SBJ"),AND(J6091=1,I6091=0)),"?IN_FOCUS",IF(J6091&lt;=2,"?ACTIVATED",IF(J6091&lt;&gt;"","?FAMILIAR",IF(F6091="NEW",IF(ISNA(VLOOKUP(E6091,#REF!,1,FALSE())),"?TYPE_IDENTIFIABLE","?REFERENTIAL"),"_")))))</f>
        <v> </v>
      </c>
      <c r="H6091" s="25" t="str">
        <f>IF(J6091&lt;&gt;1,"",IF(I6091="SBJ","CB","?"))</f>
        <v> </v>
      </c>
      <c r="I6091" s="26" t="str">
        <f>IF(OR(E6091="",E6091="!!!",F6091="NEW"),"",INDEX(B6090:B$2,-1+SUMPRODUCT(MAX(ROW(E6090:E$2)*(E6091=E6090:E$2)))))</f>
        <v> </v>
      </c>
      <c r="J6091" s="26" t="str">
        <f>IF(OR(E6091="",E6091="!!!",F6091="NEW"),"",COUNTBLANK(OFFSET(A$1,,,SUMPRODUCT(MAX(ROW(E$2:E6091)*(E6091=E$2:E6091)))))-COUNTBLANK(OFFSET(A$1,,,SUMPRODUCT(MAX(ROW(E$1:E6090)*(E2=E$1:E6090))))))</f>
        <v> </v>
      </c>
      <c r="K6091" s="26" t="str">
        <f>IF(OR(E6091="",E6091="!!!",F6091="NEW"),"",INDEX(J$1:J6090,SUMPRODUCT(MAX(ROW(E$1:E6090)*(E6091=E$1:E6090)))))</f>
        <v> </v>
      </c>
      <c r="L6091" s="27"/>
    </row>
    <row r="6092" spans="1:12">
      <c r="A6092" s="20" t="s">
        <v>2841</v>
      </c>
      <c r="E6092" s="22">
        <f>IF(D6092="?OLD","!!!","")</f>
        <v/>
      </c>
      <c r="F6092" s="23" t="str">
        <f>IF(OR(E6092="",E6092="!!!"),"",IF(NOT(ISNA(VLOOKUP(E6092,E$1:E6091,1,FALSE()))),"OLD",IF(AND(E6092&lt;&gt;"",E6092&lt;&gt;"!!!"),"NEW","")))</f>
        <v> </v>
      </c>
      <c r="G6092" s="24" t="str">
        <f>IF(OR(E6092="",E6092="!!!"),"",IF(OR(J6092=0,AND(J6092=1,K6092=1),AND(J6092=1,I6092="SBJ"),AND(J6092=1,I6092=0)),"?IN_FOCUS",IF(J6092&lt;=2,"?ACTIVATED",IF(J6092&lt;&gt;"","?FAMILIAR",IF(F6092="NEW",IF(ISNA(VLOOKUP(E6092,#REF!,1,FALSE())),"?TYPE_IDENTIFIABLE","?REFERENTIAL"),"_")))))</f>
        <v> </v>
      </c>
      <c r="H6092" s="25" t="str">
        <f>IF(J6092&lt;&gt;1,"",IF(I6092="SBJ","CB","?"))</f>
        <v> </v>
      </c>
      <c r="I6092" s="26" t="str">
        <f>IF(OR(E6092="",E6092="!!!",F6092="NEW"),"",INDEX(B6091:B$2,-1+SUMPRODUCT(MAX(ROW(E6091:E$2)*(E6092=E6091:E$2)))))</f>
        <v> </v>
      </c>
      <c r="J6092" s="26" t="str">
        <f>IF(OR(E6092="",E6092="!!!",F6092="NEW"),"",COUNTBLANK(OFFSET(A$1,,,SUMPRODUCT(MAX(ROW(E$2:E6092)*(E6092=E$2:E6092)))))-COUNTBLANK(OFFSET(A$1,,,SUMPRODUCT(MAX(ROW(E$1:E6091)*(E2=E$1:E6091))))))</f>
        <v> </v>
      </c>
      <c r="K6092" s="26" t="str">
        <f>IF(OR(E6092="",E6092="!!!",F6092="NEW"),"",INDEX(J$1:J6091,SUMPRODUCT(MAX(ROW(E$1:E6091)*(E6092=E$1:E6091)))))</f>
        <v> </v>
      </c>
      <c r="L6092" s="27"/>
    </row>
    <row r="6093" spans="1:12">
      <c r="A6093" s="20" t="s">
        <v>1435</v>
      </c>
      <c r="B6093" s="21" t="s">
        <v>1237</v>
      </c>
      <c r="C6093" s="21" t="s">
        <v>1188</v>
      </c>
      <c r="D6093" s="21" t="s">
        <v>1180</v>
      </c>
      <c r="E6093" s="22">
        <f>IF(D6093="?OLD","!!!","")</f>
        <v/>
      </c>
      <c r="F6093" s="23" t="str">
        <f>IF(OR(E6093="",E6093="!!!"),"",IF(NOT(ISNA(VLOOKUP(E6093,E$1:E6092,1,FALSE()))),"OLD",IF(AND(E6093&lt;&gt;"",E6093&lt;&gt;"!!!"),"NEW","")))</f>
        <v> </v>
      </c>
      <c r="G6093" s="24" t="str">
        <f>IF(OR(E6093="",E6093="!!!"),"",IF(OR(J6093=0,AND(J6093=1,K6093=1),AND(J6093=1,I6093="SBJ"),AND(J6093=1,I6093=0)),"?IN_FOCUS",IF(J6093&lt;=2,"?ACTIVATED",IF(J6093&lt;&gt;"","?FAMILIAR",IF(F6093="NEW",IF(ISNA(VLOOKUP(E6093,#REF!,1,FALSE())),"?TYPE_IDENTIFIABLE","?REFERENTIAL"),"_")))))</f>
        <v> </v>
      </c>
      <c r="H6093" s="25" t="str">
        <f>IF(J6093&lt;&gt;1,"",IF(I6093="SBJ","CB","?"))</f>
        <v> </v>
      </c>
      <c r="I6093" s="26" t="str">
        <f>IF(OR(E6093="",E6093="!!!",F6093="NEW"),"",INDEX(B6092:B$2,-1+SUMPRODUCT(MAX(ROW(E6092:E$2)*(E6093=E6092:E$2)))))</f>
        <v> </v>
      </c>
      <c r="J6093" s="26" t="str">
        <f>IF(OR(E6093="",E6093="!!!",F6093="NEW"),"",COUNTBLANK(OFFSET(A$1,,,SUMPRODUCT(MAX(ROW(E$2:E6093)*(E6093=E$2:E6093)))))-COUNTBLANK(OFFSET(A$1,,,SUMPRODUCT(MAX(ROW(E$1:E6092)*(E2=E$1:E6092))))))</f>
        <v> </v>
      </c>
      <c r="K6093" s="26" t="str">
        <f>IF(OR(E6093="",E6093="!!!",F6093="NEW"),"",INDEX(J$1:J6092,SUMPRODUCT(MAX(ROW(E$1:E6092)*(E6093=E$1:E6092)))))</f>
        <v> </v>
      </c>
      <c r="L6093" s="27"/>
    </row>
    <row r="6094" spans="1:12">
      <c r="A6094" s="20" t="s">
        <v>1198</v>
      </c>
      <c r="E6094" s="22">
        <f>IF(D6094="?OLD","!!!","")</f>
        <v/>
      </c>
      <c r="F6094" s="23" t="str">
        <f>IF(OR(E6094="",E6094="!!!"),"",IF(NOT(ISNA(VLOOKUP(E6094,E$1:E6093,1,FALSE()))),"OLD",IF(AND(E6094&lt;&gt;"",E6094&lt;&gt;"!!!"),"NEW","")))</f>
        <v> </v>
      </c>
      <c r="G6094" s="24" t="str">
        <f>IF(OR(E6094="",E6094="!!!"),"",IF(OR(J6094=0,AND(J6094=1,K6094=1),AND(J6094=1,I6094="SBJ"),AND(J6094=1,I6094=0)),"?IN_FOCUS",IF(J6094&lt;=2,"?ACTIVATED",IF(J6094&lt;&gt;"","?FAMILIAR",IF(F6094="NEW",IF(ISNA(VLOOKUP(E6094,#REF!,1,FALSE())),"?TYPE_IDENTIFIABLE","?REFERENTIAL"),"_")))))</f>
        <v> </v>
      </c>
      <c r="H6094" s="25" t="str">
        <f>IF(J6094&lt;&gt;1,"",IF(I6094="SBJ","CB","?"))</f>
        <v> </v>
      </c>
      <c r="I6094" s="26" t="str">
        <f>IF(OR(E6094="",E6094="!!!",F6094="NEW"),"",INDEX(B6093:B$2,-1+SUMPRODUCT(MAX(ROW(E6093:E$2)*(E6094=E6093:E$2)))))</f>
        <v> </v>
      </c>
      <c r="J6094" s="26" t="str">
        <f>IF(OR(E6094="",E6094="!!!",F6094="NEW"),"",COUNTBLANK(OFFSET(A$1,,,SUMPRODUCT(MAX(ROW(E$2:E6094)*(E6094=E$2:E6094)))))-COUNTBLANK(OFFSET(A$1,,,SUMPRODUCT(MAX(ROW(E$1:E6093)*(E2=E$1:E6093))))))</f>
        <v> </v>
      </c>
      <c r="K6094" s="26" t="str">
        <f>IF(OR(E6094="",E6094="!!!",F6094="NEW"),"",INDEX(J$1:J6093,SUMPRODUCT(MAX(ROW(E$1:E6093)*(E6094=E$1:E6093)))))</f>
        <v> </v>
      </c>
      <c r="L6094" s="27"/>
    </row>
    <row r="6095" spans="1:12">
      <c r="A6095" s="20" t="s">
        <v>1329</v>
      </c>
      <c r="B6095" s="21" t="s">
        <v>1207</v>
      </c>
      <c r="C6095" s="21" t="s">
        <v>1188</v>
      </c>
      <c r="D6095" s="21" t="s">
        <v>1180</v>
      </c>
      <c r="E6095" s="22">
        <f>IF(D6095="?OLD","!!!","")</f>
        <v/>
      </c>
      <c r="F6095" s="23" t="str">
        <f>IF(OR(E6095="",E6095="!!!"),"",IF(NOT(ISNA(VLOOKUP(E6095,E$1:E6094,1,FALSE()))),"OLD",IF(AND(E6095&lt;&gt;"",E6095&lt;&gt;"!!!"),"NEW","")))</f>
        <v> </v>
      </c>
      <c r="G6095" s="24" t="str">
        <f>IF(OR(E6095="",E6095="!!!"),"",IF(OR(J6095=0,AND(J6095=1,K6095=1),AND(J6095=1,I6095="SBJ"),AND(J6095=1,I6095=0)),"?IN_FOCUS",IF(J6095&lt;=2,"?ACTIVATED",IF(J6095&lt;&gt;"","?FAMILIAR",IF(F6095="NEW",IF(ISNA(VLOOKUP(E6095,#REF!,1,FALSE())),"?TYPE_IDENTIFIABLE","?REFERENTIAL"),"_")))))</f>
        <v> </v>
      </c>
      <c r="H6095" s="25" t="str">
        <f>IF(J6095&lt;&gt;1,"",IF(I6095="SBJ","CB","?"))</f>
        <v> </v>
      </c>
      <c r="I6095" s="26" t="str">
        <f>IF(OR(E6095="",E6095="!!!",F6095="NEW"),"",INDEX(B6094:B$2,-1+SUMPRODUCT(MAX(ROW(E6094:E$2)*(E6095=E6094:E$2)))))</f>
        <v> </v>
      </c>
      <c r="J6095" s="26" t="str">
        <f>IF(OR(E6095="",E6095="!!!",F6095="NEW"),"",COUNTBLANK(OFFSET(A$1,,,SUMPRODUCT(MAX(ROW(E$2:E6095)*(E6095=E$2:E6095)))))-COUNTBLANK(OFFSET(A$1,,,SUMPRODUCT(MAX(ROW(E$1:E6094)*(E2=E$1:E6094))))))</f>
        <v> </v>
      </c>
      <c r="K6095" s="26" t="str">
        <f>IF(OR(E6095="",E6095="!!!",F6095="NEW"),"",INDEX(J$1:J6094,SUMPRODUCT(MAX(ROW(E$1:E6094)*(E6095=E$1:E6094)))))</f>
        <v> </v>
      </c>
      <c r="L6095" s="27"/>
    </row>
    <row r="6096" spans="1:12">
      <c r="A6096" s="20" t="s">
        <v>1185</v>
      </c>
      <c r="E6096" s="22">
        <f>IF(D6096="?OLD","!!!","")</f>
        <v/>
      </c>
      <c r="F6096" s="23" t="str">
        <f>IF(OR(E6096="",E6096="!!!"),"",IF(NOT(ISNA(VLOOKUP(E6096,E$1:E6095,1,FALSE()))),"OLD",IF(AND(E6096&lt;&gt;"",E6096&lt;&gt;"!!!"),"NEW","")))</f>
        <v> </v>
      </c>
      <c r="G6096" s="24" t="str">
        <f>IF(OR(E6096="",E6096="!!!"),"",IF(OR(J6096=0,AND(J6096=1,K6096=1),AND(J6096=1,I6096="SBJ"),AND(J6096=1,I6096=0)),"?IN_FOCUS",IF(J6096&lt;=2,"?ACTIVATED",IF(J6096&lt;&gt;"","?FAMILIAR",IF(F6096="NEW",IF(ISNA(VLOOKUP(E6096,#REF!,1,FALSE())),"?TYPE_IDENTIFIABLE","?REFERENTIAL"),"_")))))</f>
        <v> </v>
      </c>
      <c r="H6096" s="25" t="str">
        <f>IF(J6096&lt;&gt;1,"",IF(I6096="SBJ","CB","?"))</f>
        <v> </v>
      </c>
      <c r="I6096" s="26" t="str">
        <f>IF(OR(E6096="",E6096="!!!",F6096="NEW"),"",INDEX(B6095:B$2,-1+SUMPRODUCT(MAX(ROW(E6095:E$2)*(E6096=E6095:E$2)))))</f>
        <v> </v>
      </c>
      <c r="J6096" s="26" t="str">
        <f>IF(OR(E6096="",E6096="!!!",F6096="NEW"),"",COUNTBLANK(OFFSET(A$1,,,SUMPRODUCT(MAX(ROW(E$2:E6096)*(E6096=E$2:E6096)))))-COUNTBLANK(OFFSET(A$1,,,SUMPRODUCT(MAX(ROW(E$1:E6095)*(E2=E$1:E6095))))))</f>
        <v> </v>
      </c>
      <c r="K6096" s="26" t="str">
        <f>IF(OR(E6096="",E6096="!!!",F6096="NEW"),"",INDEX(J$1:J6095,SUMPRODUCT(MAX(ROW(E$1:E6095)*(E6096=E$1:E6095)))))</f>
        <v> </v>
      </c>
      <c r="L6096" s="27"/>
    </row>
    <row r="6097" spans="1:12">
      <c r="A6097" s="20" t="s">
        <v>1295</v>
      </c>
      <c r="E6097" s="22">
        <f>IF(D6097="?OLD","!!!","")</f>
        <v/>
      </c>
      <c r="F6097" s="23" t="str">
        <f>IF(OR(E6097="",E6097="!!!"),"",IF(NOT(ISNA(VLOOKUP(E6097,E$1:E6096,1,FALSE()))),"OLD",IF(AND(E6097&lt;&gt;"",E6097&lt;&gt;"!!!"),"NEW","")))</f>
        <v> </v>
      </c>
      <c r="G6097" s="24" t="str">
        <f>IF(OR(E6097="",E6097="!!!"),"",IF(OR(J6097=0,AND(J6097=1,K6097=1),AND(J6097=1,I6097="SBJ"),AND(J6097=1,I6097=0)),"?IN_FOCUS",IF(J6097&lt;=2,"?ACTIVATED",IF(J6097&lt;&gt;"","?FAMILIAR",IF(F6097="NEW",IF(ISNA(VLOOKUP(E6097,#REF!,1,FALSE())),"?TYPE_IDENTIFIABLE","?REFERENTIAL"),"_")))))</f>
        <v> </v>
      </c>
      <c r="H6097" s="25" t="str">
        <f>IF(J6097&lt;&gt;1,"",IF(I6097="SBJ","CB","?"))</f>
        <v> </v>
      </c>
      <c r="I6097" s="26" t="str">
        <f>IF(OR(E6097="",E6097="!!!",F6097="NEW"),"",INDEX(B6096:B$2,-1+SUMPRODUCT(MAX(ROW(E6096:E$2)*(E6097=E6096:E$2)))))</f>
        <v> </v>
      </c>
      <c r="J6097" s="26" t="str">
        <f>IF(OR(E6097="",E6097="!!!",F6097="NEW"),"",COUNTBLANK(OFFSET(A$1,,,SUMPRODUCT(MAX(ROW(E$2:E6097)*(E6097=E$2:E6097)))))-COUNTBLANK(OFFSET(A$1,,,SUMPRODUCT(MAX(ROW(E$1:E6096)*(E2=E$1:E6096))))))</f>
        <v> </v>
      </c>
      <c r="K6097" s="26" t="str">
        <f>IF(OR(E6097="",E6097="!!!",F6097="NEW"),"",INDEX(J$1:J6096,SUMPRODUCT(MAX(ROW(E$1:E6096)*(E6097=E$1:E6096)))))</f>
        <v> </v>
      </c>
      <c r="L6097" s="27"/>
    </row>
    <row r="6098" spans="1:12">
      <c r="A6098" s="20" t="s">
        <v>2843</v>
      </c>
      <c r="E6098" s="22">
        <f>IF(D6098="?OLD","!!!","")</f>
        <v/>
      </c>
      <c r="F6098" s="23" t="str">
        <f>IF(OR(E6098="",E6098="!!!"),"",IF(NOT(ISNA(VLOOKUP(E6098,E$1:E6097,1,FALSE()))),"OLD",IF(AND(E6098&lt;&gt;"",E6098&lt;&gt;"!!!"),"NEW","")))</f>
        <v> </v>
      </c>
      <c r="G6098" s="24" t="str">
        <f>IF(OR(E6098="",E6098="!!!"),"",IF(OR(J6098=0,AND(J6098=1,K6098=1),AND(J6098=1,I6098="SBJ"),AND(J6098=1,I6098=0)),"?IN_FOCUS",IF(J6098&lt;=2,"?ACTIVATED",IF(J6098&lt;&gt;"","?FAMILIAR",IF(F6098="NEW",IF(ISNA(VLOOKUP(E6098,#REF!,1,FALSE())),"?TYPE_IDENTIFIABLE","?REFERENTIAL"),"_")))))</f>
        <v> </v>
      </c>
      <c r="H6098" s="25" t="str">
        <f>IF(J6098&lt;&gt;1,"",IF(I6098="SBJ","CB","?"))</f>
        <v> </v>
      </c>
      <c r="I6098" s="26" t="str">
        <f>IF(OR(E6098="",E6098="!!!",F6098="NEW"),"",INDEX(B6097:B$2,-1+SUMPRODUCT(MAX(ROW(E6097:E$2)*(E6098=E6097:E$2)))))</f>
        <v> </v>
      </c>
      <c r="J6098" s="26" t="str">
        <f>IF(OR(E6098="",E6098="!!!",F6098="NEW"),"",COUNTBLANK(OFFSET(A$1,,,SUMPRODUCT(MAX(ROW(E$2:E6098)*(E6098=E$2:E6098)))))-COUNTBLANK(OFFSET(A$1,,,SUMPRODUCT(MAX(ROW(E$1:E6097)*(E2=E$1:E6097))))))</f>
        <v> </v>
      </c>
      <c r="K6098" s="26" t="str">
        <f>IF(OR(E6098="",E6098="!!!",F6098="NEW"),"",INDEX(J$1:J6097,SUMPRODUCT(MAX(ROW(E$1:E6097)*(E6098=E$1:E6097)))))</f>
        <v> </v>
      </c>
      <c r="L6098" s="27"/>
    </row>
    <row r="6099" spans="1:12">
      <c r="A6099" s="20" t="s">
        <v>1252</v>
      </c>
      <c r="E6099" s="22">
        <f>IF(D6099="?OLD","!!!","")</f>
        <v/>
      </c>
      <c r="F6099" s="23" t="str">
        <f>IF(OR(E6099="",E6099="!!!"),"",IF(NOT(ISNA(VLOOKUP(E6099,E$1:E6098,1,FALSE()))),"OLD",IF(AND(E6099&lt;&gt;"",E6099&lt;&gt;"!!!"),"NEW","")))</f>
        <v> </v>
      </c>
      <c r="G6099" s="24" t="str">
        <f>IF(OR(E6099="",E6099="!!!"),"",IF(OR(J6099=0,AND(J6099=1,K6099=1),AND(J6099=1,I6099="SBJ"),AND(J6099=1,I6099=0)),"?IN_FOCUS",IF(J6099&lt;=2,"?ACTIVATED",IF(J6099&lt;&gt;"","?FAMILIAR",IF(F6099="NEW",IF(ISNA(VLOOKUP(E6099,#REF!,1,FALSE())),"?TYPE_IDENTIFIABLE","?REFERENTIAL"),"_")))))</f>
        <v> </v>
      </c>
      <c r="H6099" s="25" t="str">
        <f>IF(J6099&lt;&gt;1,"",IF(I6099="SBJ","CB","?"))</f>
        <v> </v>
      </c>
      <c r="I6099" s="26" t="str">
        <f>IF(OR(E6099="",E6099="!!!",F6099="NEW"),"",INDEX(B6098:B$2,-1+SUMPRODUCT(MAX(ROW(E6098:E$2)*(E6099=E6098:E$2)))))</f>
        <v> </v>
      </c>
      <c r="J6099" s="26" t="str">
        <f>IF(OR(E6099="",E6099="!!!",F6099="NEW"),"",COUNTBLANK(OFFSET(A$1,,,SUMPRODUCT(MAX(ROW(E$2:E6099)*(E6099=E$2:E6099)))))-COUNTBLANK(OFFSET(A$1,,,SUMPRODUCT(MAX(ROW(E$1:E6098)*(E2=E$1:E6098))))))</f>
        <v> </v>
      </c>
      <c r="K6099" s="26" t="str">
        <f>IF(OR(E6099="",E6099="!!!",F6099="NEW"),"",INDEX(J$1:J6098,SUMPRODUCT(MAX(ROW(E$1:E6098)*(E6099=E$1:E6098)))))</f>
        <v> </v>
      </c>
      <c r="L6099" s="27"/>
    </row>
    <row r="6100" spans="1:12">
      <c r="A6100" s="20" t="s">
        <v>818</v>
      </c>
      <c r="E6100" s="22">
        <f>IF(D6100="?OLD","!!!","")</f>
        <v/>
      </c>
      <c r="F6100" s="23" t="str">
        <f>IF(OR(E6100="",E6100="!!!"),"",IF(NOT(ISNA(VLOOKUP(E6100,E$1:E6099,1,FALSE()))),"OLD",IF(AND(E6100&lt;&gt;"",E6100&lt;&gt;"!!!"),"NEW","")))</f>
        <v> </v>
      </c>
      <c r="G6100" s="24" t="str">
        <f>IF(OR(E6100="",E6100="!!!"),"",IF(OR(J6100=0,AND(J6100=1,K6100=1),AND(J6100=1,I6100="SBJ"),AND(J6100=1,I6100=0)),"?IN_FOCUS",IF(J6100&lt;=2,"?ACTIVATED",IF(J6100&lt;&gt;"","?FAMILIAR",IF(F6100="NEW",IF(ISNA(VLOOKUP(E6100,#REF!,1,FALSE())),"?TYPE_IDENTIFIABLE","?REFERENTIAL"),"_")))))</f>
        <v> </v>
      </c>
      <c r="H6100" s="25" t="str">
        <f>IF(J6100&lt;&gt;1,"",IF(I6100="SBJ","CB","?"))</f>
        <v> </v>
      </c>
      <c r="I6100" s="26" t="str">
        <f>IF(OR(E6100="",E6100="!!!",F6100="NEW"),"",INDEX(B6099:B$2,-1+SUMPRODUCT(MAX(ROW(E6099:E$2)*(E6100=E6099:E$2)))))</f>
        <v> </v>
      </c>
      <c r="J6100" s="26" t="str">
        <f>IF(OR(E6100="",E6100="!!!",F6100="NEW"),"",COUNTBLANK(OFFSET(A$1,,,SUMPRODUCT(MAX(ROW(E$2:E6100)*(E6100=E$2:E6100)))))-COUNTBLANK(OFFSET(A$1,,,SUMPRODUCT(MAX(ROW(E$1:E6099)*(E2=E$1:E6099))))))</f>
        <v> </v>
      </c>
      <c r="K6100" s="26" t="str">
        <f>IF(OR(E6100="",E6100="!!!",F6100="NEW"),"",INDEX(J$1:J6099,SUMPRODUCT(MAX(ROW(E$1:E6099)*(E6100=E$1:E6099)))))</f>
        <v> </v>
      </c>
      <c r="L6100" s="27"/>
    </row>
    <row r="6101" spans="1:12">
      <c r="A6101" s="20"/>
    </row>
    <row r="6102" spans="1:12">
      <c r="A6102" s="20" t="s">
        <v>2844</v>
      </c>
    </row>
    <row r="6103" spans="1:12">
      <c r="A6103" s="20" t="s">
        <v>1313</v>
      </c>
      <c r="B6103" s="21" t="s">
        <v>1194</v>
      </c>
      <c r="C6103" s="21" t="s">
        <v>1208</v>
      </c>
      <c r="D6103" s="21" t="s">
        <v>1180</v>
      </c>
      <c r="E6103" s="22">
        <f>IF(D6103="?OLD","!!!","")</f>
        <v/>
      </c>
      <c r="F6103" s="23" t="str">
        <f>IF(OR(E6103="",E6103="!!!"),"",IF(NOT(ISNA(VLOOKUP(E6103,E$1:E6102,1,FALSE()))),"OLD",IF(AND(E6103&lt;&gt;"",E6103&lt;&gt;"!!!"),"NEW","")))</f>
        <v> </v>
      </c>
      <c r="G6103" s="24" t="str">
        <f>IF(OR(E6103="",E6103="!!!"),"",IF(OR(J6103=0,AND(J6103=1,K6103=1),AND(J6103=1,I6103="SBJ"),AND(J6103=1,I6103=0)),"?IN_FOCUS",IF(J6103&lt;=2,"?ACTIVATED",IF(J6103&lt;&gt;"","?FAMILIAR",IF(F6103="NEW",IF(ISNA(VLOOKUP(E6103,#REF!,1,FALSE())),"?TYPE_IDENTIFIABLE","?REFERENTIAL"),"_")))))</f>
        <v> </v>
      </c>
      <c r="H6103" s="25" t="str">
        <f>IF(J6103&lt;&gt;1,"",IF(I6103="SBJ","CB","?"))</f>
        <v> </v>
      </c>
      <c r="I6103" s="26" t="str">
        <f>IF(OR(E6103="",E6103="!!!",F6103="NEW"),"",INDEX(B6102:B$2,-1+SUMPRODUCT(MAX(ROW(E6102:E$2)*(E6103=E6102:E$2)))))</f>
        <v> </v>
      </c>
      <c r="J6103" s="26" t="str">
        <f>IF(OR(E6103="",E6103="!!!",F6103="NEW"),"",COUNTBLANK(OFFSET(A$1,,,SUMPRODUCT(MAX(ROW(E$2:E6103)*(E6103=E$2:E6103)))))-COUNTBLANK(OFFSET(A$1,,,SUMPRODUCT(MAX(ROW(E$1:E6102)*(E2=E$1:E6102))))))</f>
        <v> </v>
      </c>
      <c r="K6103" s="26" t="str">
        <f>IF(OR(E6103="",E6103="!!!",F6103="NEW"),"",INDEX(J$1:J6102,SUMPRODUCT(MAX(ROW(E$1:E6102)*(E6103=E$1:E6102)))))</f>
        <v> </v>
      </c>
      <c r="L6103" s="27"/>
    </row>
    <row r="6104" spans="1:12">
      <c r="A6104" s="20" t="s">
        <v>1257</v>
      </c>
      <c r="E6104" s="22">
        <f>IF(D6104="?OLD","!!!","")</f>
        <v/>
      </c>
      <c r="F6104" s="23" t="str">
        <f>IF(OR(E6104="",E6104="!!!"),"",IF(NOT(ISNA(VLOOKUP(E6104,E$1:E6103,1,FALSE()))),"OLD",IF(AND(E6104&lt;&gt;"",E6104&lt;&gt;"!!!"),"NEW","")))</f>
        <v> </v>
      </c>
      <c r="G6104" s="24" t="str">
        <f>IF(OR(E6104="",E6104="!!!"),"",IF(OR(J6104=0,AND(J6104=1,K6104=1),AND(J6104=1,I6104="SBJ"),AND(J6104=1,I6104=0)),"?IN_FOCUS",IF(J6104&lt;=2,"?ACTIVATED",IF(J6104&lt;&gt;"","?FAMILIAR",IF(F6104="NEW",IF(ISNA(VLOOKUP(E6104,#REF!,1,FALSE())),"?TYPE_IDENTIFIABLE","?REFERENTIAL"),"_")))))</f>
        <v> </v>
      </c>
      <c r="H6104" s="25" t="str">
        <f>IF(J6104&lt;&gt;1,"",IF(I6104="SBJ","CB","?"))</f>
        <v> </v>
      </c>
      <c r="I6104" s="26" t="str">
        <f>IF(OR(E6104="",E6104="!!!",F6104="NEW"),"",INDEX(B6103:B$2,-1+SUMPRODUCT(MAX(ROW(E6103:E$2)*(E6104=E6103:E$2)))))</f>
        <v> </v>
      </c>
      <c r="J6104" s="26" t="str">
        <f>IF(OR(E6104="",E6104="!!!",F6104="NEW"),"",COUNTBLANK(OFFSET(A$1,,,SUMPRODUCT(MAX(ROW(E$2:E6104)*(E6104=E$2:E6104)))))-COUNTBLANK(OFFSET(A$1,,,SUMPRODUCT(MAX(ROW(E$1:E6103)*(E2=E$1:E6103))))))</f>
        <v> </v>
      </c>
      <c r="K6104" s="26" t="str">
        <f>IF(OR(E6104="",E6104="!!!",F6104="NEW"),"",INDEX(J$1:J6103,SUMPRODUCT(MAX(ROW(E$1:E6103)*(E6104=E$1:E6103)))))</f>
        <v> </v>
      </c>
      <c r="L6104" s="27"/>
    </row>
    <row r="6105" spans="1:12">
      <c r="A6105" s="20" t="s">
        <v>1381</v>
      </c>
      <c r="B6105" s="21" t="s">
        <v>1178</v>
      </c>
      <c r="C6105" s="21" t="s">
        <v>1254</v>
      </c>
      <c r="E6105" s="22">
        <f>IF(D6105="?OLD","!!!","")</f>
        <v/>
      </c>
      <c r="F6105" s="23" t="str">
        <f>IF(OR(E6105="",E6105="!!!"),"",IF(NOT(ISNA(VLOOKUP(E6105,E$1:E6104,1,FALSE()))),"OLD",IF(AND(E6105&lt;&gt;"",E6105&lt;&gt;"!!!"),"NEW","")))</f>
        <v> </v>
      </c>
      <c r="G6105" s="24" t="str">
        <f>IF(OR(E6105="",E6105="!!!"),"",IF(OR(J6105=0,AND(J6105=1,K6105=1),AND(J6105=1,I6105="SBJ"),AND(J6105=1,I6105=0)),"?IN_FOCUS",IF(J6105&lt;=2,"?ACTIVATED",IF(J6105&lt;&gt;"","?FAMILIAR",IF(F6105="NEW",IF(ISNA(VLOOKUP(E6105,#REF!,1,FALSE())),"?TYPE_IDENTIFIABLE","?REFERENTIAL"),"_")))))</f>
        <v> </v>
      </c>
      <c r="H6105" s="25" t="str">
        <f>IF(J6105&lt;&gt;1,"",IF(I6105="SBJ","CB","?"))</f>
        <v> </v>
      </c>
      <c r="I6105" s="26" t="str">
        <f>IF(OR(E6105="",E6105="!!!",F6105="NEW"),"",INDEX(B6104:B$2,-1+SUMPRODUCT(MAX(ROW(E6104:E$2)*(E6105=E6104:E$2)))))</f>
        <v> </v>
      </c>
      <c r="J6105" s="26" t="str">
        <f>IF(OR(E6105="",E6105="!!!",F6105="NEW"),"",COUNTBLANK(OFFSET(A$1,,,SUMPRODUCT(MAX(ROW(E$2:E6105)*(E6105=E$2:E6105)))))-COUNTBLANK(OFFSET(A$1,,,SUMPRODUCT(MAX(ROW(E$1:E6104)*(E2=E$1:E6104))))))</f>
        <v> </v>
      </c>
      <c r="K6105" s="26" t="str">
        <f>IF(OR(E6105="",E6105="!!!",F6105="NEW"),"",INDEX(J$1:J6104,SUMPRODUCT(MAX(ROW(E$1:E6104)*(E6105=E$1:E6104)))))</f>
        <v> </v>
      </c>
      <c r="L6105" s="27"/>
    </row>
    <row r="6106" spans="1:12">
      <c r="A6106" s="20" t="s">
        <v>1185</v>
      </c>
      <c r="E6106" s="22">
        <f>IF(D6106="?OLD","!!!","")</f>
        <v/>
      </c>
      <c r="F6106" s="23" t="str">
        <f>IF(OR(E6106="",E6106="!!!"),"",IF(NOT(ISNA(VLOOKUP(E6106,E$1:E6105,1,FALSE()))),"OLD",IF(AND(E6106&lt;&gt;"",E6106&lt;&gt;"!!!"),"NEW","")))</f>
        <v> </v>
      </c>
      <c r="G6106" s="24" t="str">
        <f>IF(OR(E6106="",E6106="!!!"),"",IF(OR(J6106=0,AND(J6106=1,K6106=1),AND(J6106=1,I6106="SBJ"),AND(J6106=1,I6106=0)),"?IN_FOCUS",IF(J6106&lt;=2,"?ACTIVATED",IF(J6106&lt;&gt;"","?FAMILIAR",IF(F6106="NEW",IF(ISNA(VLOOKUP(E6106,#REF!,1,FALSE())),"?TYPE_IDENTIFIABLE","?REFERENTIAL"),"_")))))</f>
        <v> </v>
      </c>
      <c r="H6106" s="25" t="str">
        <f>IF(J6106&lt;&gt;1,"",IF(I6106="SBJ","CB","?"))</f>
        <v> </v>
      </c>
      <c r="I6106" s="26" t="str">
        <f>IF(OR(E6106="",E6106="!!!",F6106="NEW"),"",INDEX(B6105:B$2,-1+SUMPRODUCT(MAX(ROW(E6105:E$2)*(E6106=E6105:E$2)))))</f>
        <v> </v>
      </c>
      <c r="J6106" s="26" t="str">
        <f>IF(OR(E6106="",E6106="!!!",F6106="NEW"),"",COUNTBLANK(OFFSET(A$1,,,SUMPRODUCT(MAX(ROW(E$2:E6106)*(E6106=E$2:E6106)))))-COUNTBLANK(OFFSET(A$1,,,SUMPRODUCT(MAX(ROW(E$1:E6105)*(E2=E$1:E6105))))))</f>
        <v> </v>
      </c>
      <c r="K6106" s="26" t="str">
        <f>IF(OR(E6106="",E6106="!!!",F6106="NEW"),"",INDEX(J$1:J6105,SUMPRODUCT(MAX(ROW(E$1:E6105)*(E6106=E$1:E6105)))))</f>
        <v> </v>
      </c>
      <c r="L6106" s="27"/>
    </row>
    <row r="6107" spans="1:12">
      <c r="A6107" s="20" t="s">
        <v>1495</v>
      </c>
      <c r="B6107" s="21" t="s">
        <v>1237</v>
      </c>
      <c r="E6107" s="22">
        <f>IF(D6107="?OLD","!!!","")</f>
        <v/>
      </c>
      <c r="F6107" s="23" t="str">
        <f>IF(OR(E6107="",E6107="!!!"),"",IF(NOT(ISNA(VLOOKUP(E6107,E$1:E6106,1,FALSE()))),"OLD",IF(AND(E6107&lt;&gt;"",E6107&lt;&gt;"!!!"),"NEW","")))</f>
        <v> </v>
      </c>
      <c r="G6107" s="24" t="str">
        <f>IF(OR(E6107="",E6107="!!!"),"",IF(OR(J6107=0,AND(J6107=1,K6107=1),AND(J6107=1,I6107="SBJ"),AND(J6107=1,I6107=0)),"?IN_FOCUS",IF(J6107&lt;=2,"?ACTIVATED",IF(J6107&lt;&gt;"","?FAMILIAR",IF(F6107="NEW",IF(ISNA(VLOOKUP(E6107,#REF!,1,FALSE())),"?TYPE_IDENTIFIABLE","?REFERENTIAL"),"_")))))</f>
        <v> </v>
      </c>
      <c r="H6107" s="25" t="str">
        <f>IF(J6107&lt;&gt;1,"",IF(I6107="SBJ","CB","?"))</f>
        <v> </v>
      </c>
      <c r="I6107" s="26" t="str">
        <f>IF(OR(E6107="",E6107="!!!",F6107="NEW"),"",INDEX(B6106:B$2,-1+SUMPRODUCT(MAX(ROW(E6106:E$2)*(E6107=E6106:E$2)))))</f>
        <v> </v>
      </c>
      <c r="J6107" s="26" t="str">
        <f>IF(OR(E6107="",E6107="!!!",F6107="NEW"),"",COUNTBLANK(OFFSET(A$1,,,SUMPRODUCT(MAX(ROW(E$2:E6107)*(E6107=E$2:E6107)))))-COUNTBLANK(OFFSET(A$1,,,SUMPRODUCT(MAX(ROW(E$1:E6106)*(E2=E$1:E6106))))))</f>
        <v> </v>
      </c>
      <c r="K6107" s="26" t="str">
        <f>IF(OR(E6107="",E6107="!!!",F6107="NEW"),"",INDEX(J$1:J6106,SUMPRODUCT(MAX(ROW(E$1:E6106)*(E6107=E$1:E6106)))))</f>
        <v> </v>
      </c>
      <c r="L6107" s="27"/>
    </row>
    <row r="6108" spans="1:12">
      <c r="A6108" s="20" t="s">
        <v>427</v>
      </c>
      <c r="B6108" s="21" t="s">
        <v>1240</v>
      </c>
      <c r="C6108" s="21" t="s">
        <v>1238</v>
      </c>
      <c r="D6108" s="21" t="s">
        <v>1180</v>
      </c>
      <c r="E6108" s="22">
        <f>IF(D6108="?OLD","!!!","")</f>
        <v/>
      </c>
      <c r="F6108" s="23" t="str">
        <f>IF(OR(E6108="",E6108="!!!"),"",IF(NOT(ISNA(VLOOKUP(E6108,E$1:E6107,1,FALSE()))),"OLD",IF(AND(E6108&lt;&gt;"",E6108&lt;&gt;"!!!"),"NEW","")))</f>
        <v> </v>
      </c>
      <c r="G6108" s="24" t="str">
        <f>IF(OR(E6108="",E6108="!!!"),"",IF(OR(J6108=0,AND(J6108=1,K6108=1),AND(J6108=1,I6108="SBJ"),AND(J6108=1,I6108=0)),"?IN_FOCUS",IF(J6108&lt;=2,"?ACTIVATED",IF(J6108&lt;&gt;"","?FAMILIAR",IF(F6108="NEW",IF(ISNA(VLOOKUP(E6108,#REF!,1,FALSE())),"?TYPE_IDENTIFIABLE","?REFERENTIAL"),"_")))))</f>
        <v> </v>
      </c>
      <c r="H6108" s="25" t="str">
        <f>IF(J6108&lt;&gt;1,"",IF(I6108="SBJ","CB","?"))</f>
        <v> </v>
      </c>
      <c r="I6108" s="26" t="str">
        <f>IF(OR(E6108="",E6108="!!!",F6108="NEW"),"",INDEX(B6107:B$2,-1+SUMPRODUCT(MAX(ROW(E6107:E$2)*(E6108=E6107:E$2)))))</f>
        <v> </v>
      </c>
      <c r="J6108" s="26" t="str">
        <f>IF(OR(E6108="",E6108="!!!",F6108="NEW"),"",COUNTBLANK(OFFSET(A$1,,,SUMPRODUCT(MAX(ROW(E$2:E6108)*(E6108=E$2:E6108)))))-COUNTBLANK(OFFSET(A$1,,,SUMPRODUCT(MAX(ROW(E$1:E6107)*(E2=E$1:E6107))))))</f>
        <v> </v>
      </c>
      <c r="K6108" s="26" t="str">
        <f>IF(OR(E6108="",E6108="!!!",F6108="NEW"),"",INDEX(J$1:J6107,SUMPRODUCT(MAX(ROW(E$1:E6107)*(E6108=E$1:E6107)))))</f>
        <v> </v>
      </c>
      <c r="L6108" s="27"/>
    </row>
    <row r="6109" spans="1:12">
      <c r="A6109" s="20" t="s">
        <v>303</v>
      </c>
      <c r="E6109" s="22">
        <f>IF(D6109="?OLD","!!!","")</f>
        <v/>
      </c>
      <c r="F6109" s="23" t="str">
        <f>IF(OR(E6109="",E6109="!!!"),"",IF(NOT(ISNA(VLOOKUP(E6109,E$1:E6108,1,FALSE()))),"OLD",IF(AND(E6109&lt;&gt;"",E6109&lt;&gt;"!!!"),"NEW","")))</f>
        <v> </v>
      </c>
      <c r="G6109" s="24" t="str">
        <f>IF(OR(E6109="",E6109="!!!"),"",IF(OR(J6109=0,AND(J6109=1,K6109=1),AND(J6109=1,I6109="SBJ"),AND(J6109=1,I6109=0)),"?IN_FOCUS",IF(J6109&lt;=2,"?ACTIVATED",IF(J6109&lt;&gt;"","?FAMILIAR",IF(F6109="NEW",IF(ISNA(VLOOKUP(E6109,#REF!,1,FALSE())),"?TYPE_IDENTIFIABLE","?REFERENTIAL"),"_")))))</f>
        <v> </v>
      </c>
      <c r="H6109" s="25" t="str">
        <f>IF(J6109&lt;&gt;1,"",IF(I6109="SBJ","CB","?"))</f>
        <v> </v>
      </c>
      <c r="I6109" s="26" t="str">
        <f>IF(OR(E6109="",E6109="!!!",F6109="NEW"),"",INDEX(B6108:B$2,-1+SUMPRODUCT(MAX(ROW(E6108:E$2)*(E6109=E6108:E$2)))))</f>
        <v> </v>
      </c>
      <c r="J6109" s="26" t="str">
        <f>IF(OR(E6109="",E6109="!!!",F6109="NEW"),"",COUNTBLANK(OFFSET(A$1,,,SUMPRODUCT(MAX(ROW(E$2:E6109)*(E6109=E$2:E6109)))))-COUNTBLANK(OFFSET(A$1,,,SUMPRODUCT(MAX(ROW(E$1:E6108)*(E2=E$1:E6108))))))</f>
        <v> </v>
      </c>
      <c r="K6109" s="26" t="str">
        <f>IF(OR(E6109="",E6109="!!!",F6109="NEW"),"",INDEX(J$1:J6108,SUMPRODUCT(MAX(ROW(E$1:E6108)*(E6109=E$1:E6108)))))</f>
        <v> </v>
      </c>
      <c r="L6109" s="27"/>
    </row>
    <row r="6110" spans="1:12">
      <c r="A6110" s="20" t="s">
        <v>1185</v>
      </c>
      <c r="E6110" s="22">
        <f>IF(D6110="?OLD","!!!","")</f>
        <v/>
      </c>
      <c r="F6110" s="23" t="str">
        <f>IF(OR(E6110="",E6110="!!!"),"",IF(NOT(ISNA(VLOOKUP(E6110,E$1:E6109,1,FALSE()))),"OLD",IF(AND(E6110&lt;&gt;"",E6110&lt;&gt;"!!!"),"NEW","")))</f>
        <v> </v>
      </c>
      <c r="G6110" s="24" t="str">
        <f>IF(OR(E6110="",E6110="!!!"),"",IF(OR(J6110=0,AND(J6110=1,K6110=1),AND(J6110=1,I6110="SBJ"),AND(J6110=1,I6110=0)),"?IN_FOCUS",IF(J6110&lt;=2,"?ACTIVATED",IF(J6110&lt;&gt;"","?FAMILIAR",IF(F6110="NEW",IF(ISNA(VLOOKUP(E6110,#REF!,1,FALSE())),"?TYPE_IDENTIFIABLE","?REFERENTIAL"),"_")))))</f>
        <v> </v>
      </c>
      <c r="H6110" s="25" t="str">
        <f>IF(J6110&lt;&gt;1,"",IF(I6110="SBJ","CB","?"))</f>
        <v> </v>
      </c>
      <c r="I6110" s="26" t="str">
        <f>IF(OR(E6110="",E6110="!!!",F6110="NEW"),"",INDEX(B6109:B$2,-1+SUMPRODUCT(MAX(ROW(E6109:E$2)*(E6110=E6109:E$2)))))</f>
        <v> </v>
      </c>
      <c r="J6110" s="26" t="str">
        <f>IF(OR(E6110="",E6110="!!!",F6110="NEW"),"",COUNTBLANK(OFFSET(A$1,,,SUMPRODUCT(MAX(ROW(E$2:E6110)*(E6110=E$2:E6110)))))-COUNTBLANK(OFFSET(A$1,,,SUMPRODUCT(MAX(ROW(E$1:E6109)*(E2=E$1:E6109))))))</f>
        <v> </v>
      </c>
      <c r="K6110" s="26" t="str">
        <f>IF(OR(E6110="",E6110="!!!",F6110="NEW"),"",INDEX(J$1:J6109,SUMPRODUCT(MAX(ROW(E$1:E6109)*(E6110=E$1:E6109)))))</f>
        <v> </v>
      </c>
      <c r="L6110" s="27"/>
    </row>
    <row r="6111" spans="1:12">
      <c r="A6111" s="20" t="s">
        <v>1513</v>
      </c>
      <c r="E6111" s="22">
        <f>IF(D6111="?OLD","!!!","")</f>
        <v/>
      </c>
      <c r="F6111" s="23" t="str">
        <f>IF(OR(E6111="",E6111="!!!"),"",IF(NOT(ISNA(VLOOKUP(E6111,E$1:E6110,1,FALSE()))),"OLD",IF(AND(E6111&lt;&gt;"",E6111&lt;&gt;"!!!"),"NEW","")))</f>
        <v> </v>
      </c>
      <c r="G6111" s="24" t="str">
        <f>IF(OR(E6111="",E6111="!!!"),"",IF(OR(J6111=0,AND(J6111=1,K6111=1),AND(J6111=1,I6111="SBJ"),AND(J6111=1,I6111=0)),"?IN_FOCUS",IF(J6111&lt;=2,"?ACTIVATED",IF(J6111&lt;&gt;"","?FAMILIAR",IF(F6111="NEW",IF(ISNA(VLOOKUP(E6111,#REF!,1,FALSE())),"?TYPE_IDENTIFIABLE","?REFERENTIAL"),"_")))))</f>
        <v> </v>
      </c>
      <c r="H6111" s="25" t="str">
        <f>IF(J6111&lt;&gt;1,"",IF(I6111="SBJ","CB","?"))</f>
        <v> </v>
      </c>
      <c r="I6111" s="26" t="str">
        <f>IF(OR(E6111="",E6111="!!!",F6111="NEW"),"",INDEX(B6110:B$2,-1+SUMPRODUCT(MAX(ROW(E6110:E$2)*(E6111=E6110:E$2)))))</f>
        <v> </v>
      </c>
      <c r="J6111" s="26" t="str">
        <f>IF(OR(E6111="",E6111="!!!",F6111="NEW"),"",COUNTBLANK(OFFSET(A$1,,,SUMPRODUCT(MAX(ROW(E$2:E6111)*(E6111=E$2:E6111)))))-COUNTBLANK(OFFSET(A$1,,,SUMPRODUCT(MAX(ROW(E$1:E6110)*(E2=E$1:E6110))))))</f>
        <v> </v>
      </c>
      <c r="K6111" s="26" t="str">
        <f>IF(OR(E6111="",E6111="!!!",F6111="NEW"),"",INDEX(J$1:J6110,SUMPRODUCT(MAX(ROW(E$1:E6110)*(E6111=E$1:E6110)))))</f>
        <v> </v>
      </c>
      <c r="L6111" s="27"/>
    </row>
    <row r="6112" spans="1:12">
      <c r="A6112" s="20" t="s">
        <v>2845</v>
      </c>
      <c r="E6112" s="22">
        <f>IF(D6112="?OLD","!!!","")</f>
        <v/>
      </c>
      <c r="F6112" s="23" t="str">
        <f>IF(OR(E6112="",E6112="!!!"),"",IF(NOT(ISNA(VLOOKUP(E6112,E$1:E6111,1,FALSE()))),"OLD",IF(AND(E6112&lt;&gt;"",E6112&lt;&gt;"!!!"),"NEW","")))</f>
        <v> </v>
      </c>
      <c r="G6112" s="24" t="str">
        <f>IF(OR(E6112="",E6112="!!!"),"",IF(OR(J6112=0,AND(J6112=1,K6112=1),AND(J6112=1,I6112="SBJ"),AND(J6112=1,I6112=0)),"?IN_FOCUS",IF(J6112&lt;=2,"?ACTIVATED",IF(J6112&lt;&gt;"","?FAMILIAR",IF(F6112="NEW",IF(ISNA(VLOOKUP(E6112,#REF!,1,FALSE())),"?TYPE_IDENTIFIABLE","?REFERENTIAL"),"_")))))</f>
        <v> </v>
      </c>
      <c r="H6112" s="25" t="str">
        <f>IF(J6112&lt;&gt;1,"",IF(I6112="SBJ","CB","?"))</f>
        <v> </v>
      </c>
      <c r="I6112" s="26" t="str">
        <f>IF(OR(E6112="",E6112="!!!",F6112="NEW"),"",INDEX(B6111:B$2,-1+SUMPRODUCT(MAX(ROW(E6111:E$2)*(E6112=E6111:E$2)))))</f>
        <v> </v>
      </c>
      <c r="J6112" s="26" t="str">
        <f>IF(OR(E6112="",E6112="!!!",F6112="NEW"),"",COUNTBLANK(OFFSET(A$1,,,SUMPRODUCT(MAX(ROW(E$2:E6112)*(E6112=E$2:E6112)))))-COUNTBLANK(OFFSET(A$1,,,SUMPRODUCT(MAX(ROW(E$1:E6111)*(E2=E$1:E6111))))))</f>
        <v> </v>
      </c>
      <c r="K6112" s="26" t="str">
        <f>IF(OR(E6112="",E6112="!!!",F6112="NEW"),"",INDEX(J$1:J6111,SUMPRODUCT(MAX(ROW(E$1:E6111)*(E6112=E$1:E6111)))))</f>
        <v> </v>
      </c>
      <c r="L6112" s="27"/>
    </row>
    <row r="6113" spans="1:12">
      <c r="A6113" s="20" t="s">
        <v>2835</v>
      </c>
      <c r="B6113" s="21" t="s">
        <v>1306</v>
      </c>
      <c r="C6113" s="21" t="s">
        <v>1184</v>
      </c>
      <c r="E6113" s="22">
        <f>IF(D6113="?OLD","!!!","")</f>
        <v/>
      </c>
      <c r="F6113" s="23" t="str">
        <f>IF(OR(E6113="",E6113="!!!"),"",IF(NOT(ISNA(VLOOKUP(E6113,E$1:E6112,1,FALSE()))),"OLD",IF(AND(E6113&lt;&gt;"",E6113&lt;&gt;"!!!"),"NEW","")))</f>
        <v> </v>
      </c>
      <c r="G6113" s="24" t="str">
        <f>IF(OR(E6113="",E6113="!!!"),"",IF(OR(J6113=0,AND(J6113=1,K6113=1),AND(J6113=1,I6113="SBJ"),AND(J6113=1,I6113=0)),"?IN_FOCUS",IF(J6113&lt;=2,"?ACTIVATED",IF(J6113&lt;&gt;"","?FAMILIAR",IF(F6113="NEW",IF(ISNA(VLOOKUP(E6113,#REF!,1,FALSE())),"?TYPE_IDENTIFIABLE","?REFERENTIAL"),"_")))))</f>
        <v> </v>
      </c>
      <c r="H6113" s="25" t="str">
        <f>IF(J6113&lt;&gt;1,"",IF(I6113="SBJ","CB","?"))</f>
        <v> </v>
      </c>
      <c r="I6113" s="26" t="str">
        <f>IF(OR(E6113="",E6113="!!!",F6113="NEW"),"",INDEX(B6112:B$2,-1+SUMPRODUCT(MAX(ROW(E6112:E$2)*(E6113=E6112:E$2)))))</f>
        <v> </v>
      </c>
      <c r="J6113" s="26" t="str">
        <f>IF(OR(E6113="",E6113="!!!",F6113="NEW"),"",COUNTBLANK(OFFSET(A$1,,,SUMPRODUCT(MAX(ROW(E$2:E6113)*(E6113=E$2:E6113)))))-COUNTBLANK(OFFSET(A$1,,,SUMPRODUCT(MAX(ROW(E$1:E6112)*(E2=E$1:E6112))))))</f>
        <v> </v>
      </c>
      <c r="K6113" s="26" t="str">
        <f>IF(OR(E6113="",E6113="!!!",F6113="NEW"),"",INDEX(J$1:J6112,SUMPRODUCT(MAX(ROW(E$1:E6112)*(E6113=E$1:E6112)))))</f>
        <v> </v>
      </c>
      <c r="L6113" s="27"/>
    </row>
    <row r="6114" spans="1:12">
      <c r="A6114" s="20" t="s">
        <v>1330</v>
      </c>
      <c r="E6114" s="22">
        <f>IF(D6114="?OLD","!!!","")</f>
        <v/>
      </c>
      <c r="F6114" s="23" t="str">
        <f>IF(OR(E6114="",E6114="!!!"),"",IF(NOT(ISNA(VLOOKUP(E6114,E$1:E6113,1,FALSE()))),"OLD",IF(AND(E6114&lt;&gt;"",E6114&lt;&gt;"!!!"),"NEW","")))</f>
        <v> </v>
      </c>
      <c r="G6114" s="24" t="str">
        <f>IF(OR(E6114="",E6114="!!!"),"",IF(OR(J6114=0,AND(J6114=1,K6114=1),AND(J6114=1,I6114="SBJ"),AND(J6114=1,I6114=0)),"?IN_FOCUS",IF(J6114&lt;=2,"?ACTIVATED",IF(J6114&lt;&gt;"","?FAMILIAR",IF(F6114="NEW",IF(ISNA(VLOOKUP(E6114,#REF!,1,FALSE())),"?TYPE_IDENTIFIABLE","?REFERENTIAL"),"_")))))</f>
        <v> </v>
      </c>
      <c r="H6114" s="25" t="str">
        <f>IF(J6114&lt;&gt;1,"",IF(I6114="SBJ","CB","?"))</f>
        <v> </v>
      </c>
      <c r="I6114" s="26" t="str">
        <f>IF(OR(E6114="",E6114="!!!",F6114="NEW"),"",INDEX(B6113:B$2,-1+SUMPRODUCT(MAX(ROW(E6113:E$2)*(E6114=E6113:E$2)))))</f>
        <v> </v>
      </c>
      <c r="J6114" s="26" t="str">
        <f>IF(OR(E6114="",E6114="!!!",F6114="NEW"),"",COUNTBLANK(OFFSET(A$1,,,SUMPRODUCT(MAX(ROW(E$2:E6114)*(E6114=E$2:E6114)))))-COUNTBLANK(OFFSET(A$1,,,SUMPRODUCT(MAX(ROW(E$1:E6113)*(E2=E$1:E6113))))))</f>
        <v> </v>
      </c>
      <c r="K6114" s="26" t="str">
        <f>IF(OR(E6114="",E6114="!!!",F6114="NEW"),"",INDEX(J$1:J6113,SUMPRODUCT(MAX(ROW(E$1:E6113)*(E6114=E$1:E6113)))))</f>
        <v> </v>
      </c>
      <c r="L6114" s="27"/>
    </row>
    <row r="6115" spans="1:12">
      <c r="A6115" s="20" t="s">
        <v>2846</v>
      </c>
      <c r="E6115" s="22">
        <f>IF(D6115="?OLD","!!!","")</f>
        <v/>
      </c>
      <c r="F6115" s="23" t="str">
        <f>IF(OR(E6115="",E6115="!!!"),"",IF(NOT(ISNA(VLOOKUP(E6115,E$1:E6114,1,FALSE()))),"OLD",IF(AND(E6115&lt;&gt;"",E6115&lt;&gt;"!!!"),"NEW","")))</f>
        <v> </v>
      </c>
      <c r="G6115" s="24" t="str">
        <f>IF(OR(E6115="",E6115="!!!"),"",IF(OR(J6115=0,AND(J6115=1,K6115=1),AND(J6115=1,I6115="SBJ"),AND(J6115=1,I6115=0)),"?IN_FOCUS",IF(J6115&lt;=2,"?ACTIVATED",IF(J6115&lt;&gt;"","?FAMILIAR",IF(F6115="NEW",IF(ISNA(VLOOKUP(E6115,#REF!,1,FALSE())),"?TYPE_IDENTIFIABLE","?REFERENTIAL"),"_")))))</f>
        <v> </v>
      </c>
      <c r="H6115" s="25" t="str">
        <f>IF(J6115&lt;&gt;1,"",IF(I6115="SBJ","CB","?"))</f>
        <v> </v>
      </c>
      <c r="I6115" s="26" t="str">
        <f>IF(OR(E6115="",E6115="!!!",F6115="NEW"),"",INDEX(B6114:B$2,-1+SUMPRODUCT(MAX(ROW(E6114:E$2)*(E6115=E6114:E$2)))))</f>
        <v> </v>
      </c>
      <c r="J6115" s="26" t="str">
        <f>IF(OR(E6115="",E6115="!!!",F6115="NEW"),"",COUNTBLANK(OFFSET(A$1,,,SUMPRODUCT(MAX(ROW(E$2:E6115)*(E6115=E$2:E6115)))))-COUNTBLANK(OFFSET(A$1,,,SUMPRODUCT(MAX(ROW(E$1:E6114)*(E2=E$1:E6114))))))</f>
        <v> </v>
      </c>
      <c r="K6115" s="26" t="str">
        <f>IF(OR(E6115="",E6115="!!!",F6115="NEW"),"",INDEX(J$1:J6114,SUMPRODUCT(MAX(ROW(E$1:E6114)*(E6115=E$1:E6114)))))</f>
        <v> </v>
      </c>
      <c r="L6115" s="27"/>
    </row>
    <row r="6116" spans="1:12">
      <c r="A6116" s="20" t="s">
        <v>1295</v>
      </c>
      <c r="E6116" s="22">
        <f>IF(D6116="?OLD","!!!","")</f>
        <v/>
      </c>
      <c r="F6116" s="23" t="str">
        <f>IF(OR(E6116="",E6116="!!!"),"",IF(NOT(ISNA(VLOOKUP(E6116,E$1:E6115,1,FALSE()))),"OLD",IF(AND(E6116&lt;&gt;"",E6116&lt;&gt;"!!!"),"NEW","")))</f>
        <v> </v>
      </c>
      <c r="G6116" s="24" t="str">
        <f>IF(OR(E6116="",E6116="!!!"),"",IF(OR(J6116=0,AND(J6116=1,K6116=1),AND(J6116=1,I6116="SBJ"),AND(J6116=1,I6116=0)),"?IN_FOCUS",IF(J6116&lt;=2,"?ACTIVATED",IF(J6116&lt;&gt;"","?FAMILIAR",IF(F6116="NEW",IF(ISNA(VLOOKUP(E6116,#REF!,1,FALSE())),"?TYPE_IDENTIFIABLE","?REFERENTIAL"),"_")))))</f>
        <v> </v>
      </c>
      <c r="H6116" s="25" t="str">
        <f>IF(J6116&lt;&gt;1,"",IF(I6116="SBJ","CB","?"))</f>
        <v> </v>
      </c>
      <c r="I6116" s="26" t="str">
        <f>IF(OR(E6116="",E6116="!!!",F6116="NEW"),"",INDEX(B6115:B$2,-1+SUMPRODUCT(MAX(ROW(E6115:E$2)*(E6116=E6115:E$2)))))</f>
        <v> </v>
      </c>
      <c r="J6116" s="26" t="str">
        <f>IF(OR(E6116="",E6116="!!!",F6116="NEW"),"",COUNTBLANK(OFFSET(A$1,,,SUMPRODUCT(MAX(ROW(E$2:E6116)*(E6116=E$2:E6116)))))-COUNTBLANK(OFFSET(A$1,,,SUMPRODUCT(MAX(ROW(E$1:E6115)*(E2=E$1:E6115))))))</f>
        <v> </v>
      </c>
      <c r="K6116" s="26" t="str">
        <f>IF(OR(E6116="",E6116="!!!",F6116="NEW"),"",INDEX(J$1:J6115,SUMPRODUCT(MAX(ROW(E$1:E6115)*(E6116=E$1:E6115)))))</f>
        <v> </v>
      </c>
      <c r="L6116" s="27"/>
    </row>
    <row r="6117" spans="1:12">
      <c r="A6117" s="20" t="s">
        <v>2069</v>
      </c>
      <c r="B6117" s="21" t="s">
        <v>1278</v>
      </c>
      <c r="C6117" s="21" t="s">
        <v>1301</v>
      </c>
      <c r="D6117" s="21" t="s">
        <v>1180</v>
      </c>
      <c r="E6117" s="22">
        <f>IF(D6117="?OLD","!!!","")</f>
        <v/>
      </c>
      <c r="F6117" s="23" t="str">
        <f>IF(OR(E6117="",E6117="!!!"),"",IF(NOT(ISNA(VLOOKUP(E6117,E$1:E6116,1,FALSE()))),"OLD",IF(AND(E6117&lt;&gt;"",E6117&lt;&gt;"!!!"),"NEW","")))</f>
        <v> </v>
      </c>
      <c r="G6117" s="24" t="str">
        <f>IF(OR(E6117="",E6117="!!!"),"",IF(OR(J6117=0,AND(J6117=1,K6117=1),AND(J6117=1,I6117="SBJ"),AND(J6117=1,I6117=0)),"?IN_FOCUS",IF(J6117&lt;=2,"?ACTIVATED",IF(J6117&lt;&gt;"","?FAMILIAR",IF(F6117="NEW",IF(ISNA(VLOOKUP(E6117,#REF!,1,FALSE())),"?TYPE_IDENTIFIABLE","?REFERENTIAL"),"_")))))</f>
        <v> </v>
      </c>
      <c r="H6117" s="25" t="str">
        <f>IF(J6117&lt;&gt;1,"",IF(I6117="SBJ","CB","?"))</f>
        <v> </v>
      </c>
      <c r="I6117" s="26" t="str">
        <f>IF(OR(E6117="",E6117="!!!",F6117="NEW"),"",INDEX(B6116:B$2,-1+SUMPRODUCT(MAX(ROW(E6116:E$2)*(E6117=E6116:E$2)))))</f>
        <v> </v>
      </c>
      <c r="J6117" s="26" t="str">
        <f>IF(OR(E6117="",E6117="!!!",F6117="NEW"),"",COUNTBLANK(OFFSET(A$1,,,SUMPRODUCT(MAX(ROW(E$2:E6117)*(E6117=E$2:E6117)))))-COUNTBLANK(OFFSET(A$1,,,SUMPRODUCT(MAX(ROW(E$1:E6116)*(E2=E$1:E6116))))))</f>
        <v> </v>
      </c>
      <c r="K6117" s="26" t="str">
        <f>IF(OR(E6117="",E6117="!!!",F6117="NEW"),"",INDEX(J$1:J6116,SUMPRODUCT(MAX(ROW(E$1:E6116)*(E6117=E$1:E6116)))))</f>
        <v> </v>
      </c>
      <c r="L6117" s="27"/>
    </row>
    <row r="6118" spans="1:12">
      <c r="A6118" s="20" t="s">
        <v>2757</v>
      </c>
      <c r="E6118" s="22">
        <f>IF(D6118="?OLD","!!!","")</f>
        <v/>
      </c>
      <c r="F6118" s="23" t="str">
        <f>IF(OR(E6118="",E6118="!!!"),"",IF(NOT(ISNA(VLOOKUP(E6118,E$1:E6117,1,FALSE()))),"OLD",IF(AND(E6118&lt;&gt;"",E6118&lt;&gt;"!!!"),"NEW","")))</f>
        <v> </v>
      </c>
      <c r="G6118" s="24" t="str">
        <f>IF(OR(E6118="",E6118="!!!"),"",IF(OR(J6118=0,AND(J6118=1,K6118=1),AND(J6118=1,I6118="SBJ"),AND(J6118=1,I6118=0)),"?IN_FOCUS",IF(J6118&lt;=2,"?ACTIVATED",IF(J6118&lt;&gt;"","?FAMILIAR",IF(F6118="NEW",IF(ISNA(VLOOKUP(E6118,#REF!,1,FALSE())),"?TYPE_IDENTIFIABLE","?REFERENTIAL"),"_")))))</f>
        <v> </v>
      </c>
      <c r="H6118" s="25" t="str">
        <f>IF(J6118&lt;&gt;1,"",IF(I6118="SBJ","CB","?"))</f>
        <v> </v>
      </c>
      <c r="I6118" s="26" t="str">
        <f>IF(OR(E6118="",E6118="!!!",F6118="NEW"),"",INDEX(B6117:B$2,-1+SUMPRODUCT(MAX(ROW(E6117:E$2)*(E6118=E6117:E$2)))))</f>
        <v> </v>
      </c>
      <c r="J6118" s="26" t="str">
        <f>IF(OR(E6118="",E6118="!!!",F6118="NEW"),"",COUNTBLANK(OFFSET(A$1,,,SUMPRODUCT(MAX(ROW(E$2:E6118)*(E6118=E$2:E6118)))))-COUNTBLANK(OFFSET(A$1,,,SUMPRODUCT(MAX(ROW(E$1:E6117)*(E2=E$1:E6117))))))</f>
        <v> </v>
      </c>
      <c r="K6118" s="26" t="str">
        <f>IF(OR(E6118="",E6118="!!!",F6118="NEW"),"",INDEX(J$1:J6117,SUMPRODUCT(MAX(ROW(E$1:E6117)*(E6118=E$1:E6117)))))</f>
        <v> </v>
      </c>
      <c r="L6118" s="27"/>
    </row>
    <row r="6119" spans="1:12">
      <c r="A6119" s="20" t="s">
        <v>1185</v>
      </c>
      <c r="E6119" s="22">
        <f>IF(D6119="?OLD","!!!","")</f>
        <v/>
      </c>
      <c r="F6119" s="23" t="str">
        <f>IF(OR(E6119="",E6119="!!!"),"",IF(NOT(ISNA(VLOOKUP(E6119,E$1:E6118,1,FALSE()))),"OLD",IF(AND(E6119&lt;&gt;"",E6119&lt;&gt;"!!!"),"NEW","")))</f>
        <v> </v>
      </c>
      <c r="G6119" s="24" t="str">
        <f>IF(OR(E6119="",E6119="!!!"),"",IF(OR(J6119=0,AND(J6119=1,K6119=1),AND(J6119=1,I6119="SBJ"),AND(J6119=1,I6119=0)),"?IN_FOCUS",IF(J6119&lt;=2,"?ACTIVATED",IF(J6119&lt;&gt;"","?FAMILIAR",IF(F6119="NEW",IF(ISNA(VLOOKUP(E6119,#REF!,1,FALSE())),"?TYPE_IDENTIFIABLE","?REFERENTIAL"),"_")))))</f>
        <v> </v>
      </c>
      <c r="H6119" s="25" t="str">
        <f>IF(J6119&lt;&gt;1,"",IF(I6119="SBJ","CB","?"))</f>
        <v> </v>
      </c>
      <c r="I6119" s="26" t="str">
        <f>IF(OR(E6119="",E6119="!!!",F6119="NEW"),"",INDEX(B6118:B$2,-1+SUMPRODUCT(MAX(ROW(E6118:E$2)*(E6119=E6118:E$2)))))</f>
        <v> </v>
      </c>
      <c r="J6119" s="26" t="str">
        <f>IF(OR(E6119="",E6119="!!!",F6119="NEW"),"",COUNTBLANK(OFFSET(A$1,,,SUMPRODUCT(MAX(ROW(E$2:E6119)*(E6119=E$2:E6119)))))-COUNTBLANK(OFFSET(A$1,,,SUMPRODUCT(MAX(ROW(E$1:E6118)*(E2=E$1:E6118))))))</f>
        <v> </v>
      </c>
      <c r="K6119" s="26" t="str">
        <f>IF(OR(E6119="",E6119="!!!",F6119="NEW"),"",INDEX(J$1:J6118,SUMPRODUCT(MAX(ROW(E$1:E6118)*(E6119=E$1:E6118)))))</f>
        <v> </v>
      </c>
      <c r="L6119" s="27"/>
    </row>
    <row r="6120" spans="1:12">
      <c r="A6120" s="20" t="s">
        <v>1513</v>
      </c>
      <c r="E6120" s="22">
        <f>IF(D6120="?OLD","!!!","")</f>
        <v/>
      </c>
      <c r="F6120" s="23" t="str">
        <f>IF(OR(E6120="",E6120="!!!"),"",IF(NOT(ISNA(VLOOKUP(E6120,E$1:E6119,1,FALSE()))),"OLD",IF(AND(E6120&lt;&gt;"",E6120&lt;&gt;"!!!"),"NEW","")))</f>
        <v> </v>
      </c>
      <c r="G6120" s="24" t="str">
        <f>IF(OR(E6120="",E6120="!!!"),"",IF(OR(J6120=0,AND(J6120=1,K6120=1),AND(J6120=1,I6120="SBJ"),AND(J6120=1,I6120=0)),"?IN_FOCUS",IF(J6120&lt;=2,"?ACTIVATED",IF(J6120&lt;&gt;"","?FAMILIAR",IF(F6120="NEW",IF(ISNA(VLOOKUP(E6120,#REF!,1,FALSE())),"?TYPE_IDENTIFIABLE","?REFERENTIAL"),"_")))))</f>
        <v> </v>
      </c>
      <c r="H6120" s="25" t="str">
        <f>IF(J6120&lt;&gt;1,"",IF(I6120="SBJ","CB","?"))</f>
        <v> </v>
      </c>
      <c r="I6120" s="26" t="str">
        <f>IF(OR(E6120="",E6120="!!!",F6120="NEW"),"",INDEX(B6119:B$2,-1+SUMPRODUCT(MAX(ROW(E6119:E$2)*(E6120=E6119:E$2)))))</f>
        <v> </v>
      </c>
      <c r="J6120" s="26" t="str">
        <f>IF(OR(E6120="",E6120="!!!",F6120="NEW"),"",COUNTBLANK(OFFSET(A$1,,,SUMPRODUCT(MAX(ROW(E$2:E6120)*(E6120=E$2:E6120)))))-COUNTBLANK(OFFSET(A$1,,,SUMPRODUCT(MAX(ROW(E$1:E6119)*(E2=E$1:E6119))))))</f>
        <v> </v>
      </c>
      <c r="K6120" s="26" t="str">
        <f>IF(OR(E6120="",E6120="!!!",F6120="NEW"),"",INDEX(J$1:J6119,SUMPRODUCT(MAX(ROW(E$1:E6119)*(E6120=E$1:E6119)))))</f>
        <v> </v>
      </c>
      <c r="L6120" s="27"/>
    </row>
    <row r="6121" spans="1:12">
      <c r="A6121" s="20" t="s">
        <v>185</v>
      </c>
      <c r="B6121" s="21" t="s">
        <v>1289</v>
      </c>
      <c r="C6121" s="21" t="s">
        <v>1195</v>
      </c>
      <c r="D6121" s="21" t="s">
        <v>1180</v>
      </c>
      <c r="E6121" s="22">
        <f>IF(D6121="?OLD","!!!","")</f>
        <v/>
      </c>
      <c r="F6121" s="23" t="str">
        <f>IF(OR(E6121="",E6121="!!!"),"",IF(NOT(ISNA(VLOOKUP(E6121,E$1:E6120,1,FALSE()))),"OLD",IF(AND(E6121&lt;&gt;"",E6121&lt;&gt;"!!!"),"NEW","")))</f>
        <v> </v>
      </c>
      <c r="G6121" s="24" t="str">
        <f>IF(OR(E6121="",E6121="!!!"),"",IF(OR(J6121=0,AND(J6121=1,K6121=1),AND(J6121=1,I6121="SBJ"),AND(J6121=1,I6121=0)),"?IN_FOCUS",IF(J6121&lt;=2,"?ACTIVATED",IF(J6121&lt;&gt;"","?FAMILIAR",IF(F6121="NEW",IF(ISNA(VLOOKUP(E6121,#REF!,1,FALSE())),"?TYPE_IDENTIFIABLE","?REFERENTIAL"),"_")))))</f>
        <v> </v>
      </c>
      <c r="H6121" s="25" t="str">
        <f>IF(J6121&lt;&gt;1,"",IF(I6121="SBJ","CB","?"))</f>
        <v> </v>
      </c>
      <c r="I6121" s="26" t="str">
        <f>IF(OR(E6121="",E6121="!!!",F6121="NEW"),"",INDEX(B6120:B$2,-1+SUMPRODUCT(MAX(ROW(E6120:E$2)*(E6121=E6120:E$2)))))</f>
        <v> </v>
      </c>
      <c r="J6121" s="26" t="str">
        <f>IF(OR(E6121="",E6121="!!!",F6121="NEW"),"",COUNTBLANK(OFFSET(A$1,,,SUMPRODUCT(MAX(ROW(E$2:E6121)*(E6121=E$2:E6121)))))-COUNTBLANK(OFFSET(A$1,,,SUMPRODUCT(MAX(ROW(E$1:E6120)*(E2=E$1:E6120))))))</f>
        <v> </v>
      </c>
      <c r="K6121" s="26" t="str">
        <f>IF(OR(E6121="",E6121="!!!",F6121="NEW"),"",INDEX(J$1:J6120,SUMPRODUCT(MAX(ROW(E$1:E6120)*(E6121=E$1:E6120)))))</f>
        <v> </v>
      </c>
      <c r="L6121" s="27"/>
    </row>
    <row r="6122" spans="1:12">
      <c r="A6122" s="20" t="s">
        <v>1314</v>
      </c>
      <c r="E6122" s="22">
        <f>IF(D6122="?OLD","!!!","")</f>
        <v/>
      </c>
      <c r="F6122" s="23" t="str">
        <f>IF(OR(E6122="",E6122="!!!"),"",IF(NOT(ISNA(VLOOKUP(E6122,E$1:E6121,1,FALSE()))),"OLD",IF(AND(E6122&lt;&gt;"",E6122&lt;&gt;"!!!"),"NEW","")))</f>
        <v> </v>
      </c>
      <c r="G6122" s="24" t="str">
        <f>IF(OR(E6122="",E6122="!!!"),"",IF(OR(J6122=0,AND(J6122=1,K6122=1),AND(J6122=1,I6122="SBJ"),AND(J6122=1,I6122=0)),"?IN_FOCUS",IF(J6122&lt;=2,"?ACTIVATED",IF(J6122&lt;&gt;"","?FAMILIAR",IF(F6122="NEW",IF(ISNA(VLOOKUP(E6122,#REF!,1,FALSE())),"?TYPE_IDENTIFIABLE","?REFERENTIAL"),"_")))))</f>
        <v> </v>
      </c>
      <c r="H6122" s="25" t="str">
        <f>IF(J6122&lt;&gt;1,"",IF(I6122="SBJ","CB","?"))</f>
        <v> </v>
      </c>
      <c r="I6122" s="26" t="str">
        <f>IF(OR(E6122="",E6122="!!!",F6122="NEW"),"",INDEX(B6121:B$2,-1+SUMPRODUCT(MAX(ROW(E6121:E$2)*(E6122=E6121:E$2)))))</f>
        <v> </v>
      </c>
      <c r="J6122" s="26" t="str">
        <f>IF(OR(E6122="",E6122="!!!",F6122="NEW"),"",COUNTBLANK(OFFSET(A$1,,,SUMPRODUCT(MAX(ROW(E$2:E6122)*(E6122=E$2:E6122)))))-COUNTBLANK(OFFSET(A$1,,,SUMPRODUCT(MAX(ROW(E$1:E6121)*(E2=E$1:E6121))))))</f>
        <v> </v>
      </c>
      <c r="K6122" s="26" t="str">
        <f>IF(OR(E6122="",E6122="!!!",F6122="NEW"),"",INDEX(J$1:J6121,SUMPRODUCT(MAX(ROW(E$1:E6121)*(E6122=E$1:E6121)))))</f>
        <v> </v>
      </c>
      <c r="L6122" s="27"/>
    </row>
    <row r="6123" spans="1:12">
      <c r="A6123" s="20" t="s">
        <v>1537</v>
      </c>
      <c r="E6123" s="22">
        <f>IF(D6123="?OLD","!!!","")</f>
        <v/>
      </c>
      <c r="F6123" s="23" t="str">
        <f>IF(OR(E6123="",E6123="!!!"),"",IF(NOT(ISNA(VLOOKUP(E6123,E$1:E6122,1,FALSE()))),"OLD",IF(AND(E6123&lt;&gt;"",E6123&lt;&gt;"!!!"),"NEW","")))</f>
        <v> </v>
      </c>
      <c r="G6123" s="24" t="str">
        <f>IF(OR(E6123="",E6123="!!!"),"",IF(OR(J6123=0,AND(J6123=1,K6123=1),AND(J6123=1,I6123="SBJ"),AND(J6123=1,I6123=0)),"?IN_FOCUS",IF(J6123&lt;=2,"?ACTIVATED",IF(J6123&lt;&gt;"","?FAMILIAR",IF(F6123="NEW",IF(ISNA(VLOOKUP(E6123,#REF!,1,FALSE())),"?TYPE_IDENTIFIABLE","?REFERENTIAL"),"_")))))</f>
        <v> </v>
      </c>
      <c r="H6123" s="25" t="str">
        <f>IF(J6123&lt;&gt;1,"",IF(I6123="SBJ","CB","?"))</f>
        <v> </v>
      </c>
      <c r="I6123" s="26" t="str">
        <f>IF(OR(E6123="",E6123="!!!",F6123="NEW"),"",INDEX(B6122:B$2,-1+SUMPRODUCT(MAX(ROW(E6122:E$2)*(E6123=E6122:E$2)))))</f>
        <v> </v>
      </c>
      <c r="J6123" s="26" t="str">
        <f>IF(OR(E6123="",E6123="!!!",F6123="NEW"),"",COUNTBLANK(OFFSET(A$1,,,SUMPRODUCT(MAX(ROW(E$2:E6123)*(E6123=E$2:E6123)))))-COUNTBLANK(OFFSET(A$1,,,SUMPRODUCT(MAX(ROW(E$1:E6122)*(E2=E$1:E6122))))))</f>
        <v> </v>
      </c>
      <c r="K6123" s="26" t="str">
        <f>IF(OR(E6123="",E6123="!!!",F6123="NEW"),"",INDEX(J$1:J6122,SUMPRODUCT(MAX(ROW(E$1:E6122)*(E6123=E$1:E6122)))))</f>
        <v> </v>
      </c>
      <c r="L6123" s="27"/>
    </row>
    <row r="6124" spans="1:12">
      <c r="A6124" s="20" t="s">
        <v>2847</v>
      </c>
      <c r="E6124" s="22">
        <f>IF(D6124="?OLD","!!!","")</f>
        <v/>
      </c>
      <c r="F6124" s="23" t="str">
        <f>IF(OR(E6124="",E6124="!!!"),"",IF(NOT(ISNA(VLOOKUP(E6124,E$1:E6123,1,FALSE()))),"OLD",IF(AND(E6124&lt;&gt;"",E6124&lt;&gt;"!!!"),"NEW","")))</f>
        <v> </v>
      </c>
      <c r="G6124" s="24" t="str">
        <f>IF(OR(E6124="",E6124="!!!"),"",IF(OR(J6124=0,AND(J6124=1,K6124=1),AND(J6124=1,I6124="SBJ"),AND(J6124=1,I6124=0)),"?IN_FOCUS",IF(J6124&lt;=2,"?ACTIVATED",IF(J6124&lt;&gt;"","?FAMILIAR",IF(F6124="NEW",IF(ISNA(VLOOKUP(E6124,#REF!,1,FALSE())),"?TYPE_IDENTIFIABLE","?REFERENTIAL"),"_")))))</f>
        <v> </v>
      </c>
      <c r="H6124" s="25" t="str">
        <f>IF(J6124&lt;&gt;1,"",IF(I6124="SBJ","CB","?"))</f>
        <v> </v>
      </c>
      <c r="I6124" s="26" t="str">
        <f>IF(OR(E6124="",E6124="!!!",F6124="NEW"),"",INDEX(B6123:B$2,-1+SUMPRODUCT(MAX(ROW(E6123:E$2)*(E6124=E6123:E$2)))))</f>
        <v> </v>
      </c>
      <c r="J6124" s="26" t="str">
        <f>IF(OR(E6124="",E6124="!!!",F6124="NEW"),"",COUNTBLANK(OFFSET(A$1,,,SUMPRODUCT(MAX(ROW(E$2:E6124)*(E6124=E$2:E6124)))))-COUNTBLANK(OFFSET(A$1,,,SUMPRODUCT(MAX(ROW(E$1:E6123)*(E2=E$1:E6123))))))</f>
        <v> </v>
      </c>
      <c r="K6124" s="26" t="str">
        <f>IF(OR(E6124="",E6124="!!!",F6124="NEW"),"",INDEX(J$1:J6123,SUMPRODUCT(MAX(ROW(E$1:E6123)*(E6124=E$1:E6123)))))</f>
        <v> </v>
      </c>
      <c r="L6124" s="27"/>
    </row>
    <row r="6125" spans="1:12">
      <c r="A6125" s="20" t="s">
        <v>2848</v>
      </c>
      <c r="B6125" s="21" t="s">
        <v>1340</v>
      </c>
      <c r="C6125" s="21" t="s">
        <v>1184</v>
      </c>
      <c r="E6125" s="22">
        <f>IF(D6125="?OLD","!!!","")</f>
        <v/>
      </c>
      <c r="F6125" s="23" t="str">
        <f>IF(OR(E6125="",E6125="!!!"),"",IF(NOT(ISNA(VLOOKUP(E6125,E$1:E6124,1,FALSE()))),"OLD",IF(AND(E6125&lt;&gt;"",E6125&lt;&gt;"!!!"),"NEW","")))</f>
        <v> </v>
      </c>
      <c r="G6125" s="24" t="str">
        <f>IF(OR(E6125="",E6125="!!!"),"",IF(OR(J6125=0,AND(J6125=1,K6125=1),AND(J6125=1,I6125="SBJ"),AND(J6125=1,I6125=0)),"?IN_FOCUS",IF(J6125&lt;=2,"?ACTIVATED",IF(J6125&lt;&gt;"","?FAMILIAR",IF(F6125="NEW",IF(ISNA(VLOOKUP(E6125,#REF!,1,FALSE())),"?TYPE_IDENTIFIABLE","?REFERENTIAL"),"_")))))</f>
        <v> </v>
      </c>
      <c r="H6125" s="25" t="str">
        <f>IF(J6125&lt;&gt;1,"",IF(I6125="SBJ","CB","?"))</f>
        <v> </v>
      </c>
      <c r="I6125" s="26" t="str">
        <f>IF(OR(E6125="",E6125="!!!",F6125="NEW"),"",INDEX(B6124:B$2,-1+SUMPRODUCT(MAX(ROW(E6124:E$2)*(E6125=E6124:E$2)))))</f>
        <v> </v>
      </c>
      <c r="J6125" s="26" t="str">
        <f>IF(OR(E6125="",E6125="!!!",F6125="NEW"),"",COUNTBLANK(OFFSET(A$1,,,SUMPRODUCT(MAX(ROW(E$2:E6125)*(E6125=E$2:E6125)))))-COUNTBLANK(OFFSET(A$1,,,SUMPRODUCT(MAX(ROW(E$1:E6124)*(E2=E$1:E6124))))))</f>
        <v> </v>
      </c>
      <c r="K6125" s="26" t="str">
        <f>IF(OR(E6125="",E6125="!!!",F6125="NEW"),"",INDEX(J$1:J6124,SUMPRODUCT(MAX(ROW(E$1:E6124)*(E6125=E$1:E6124)))))</f>
        <v> </v>
      </c>
      <c r="L6125" s="27"/>
    </row>
    <row r="6126" spans="1:12">
      <c r="A6126" s="20" t="s">
        <v>2849</v>
      </c>
      <c r="E6126" s="22">
        <f>IF(D6126="?OLD","!!!","")</f>
        <v/>
      </c>
      <c r="F6126" s="23" t="str">
        <f>IF(OR(E6126="",E6126="!!!"),"",IF(NOT(ISNA(VLOOKUP(E6126,E$1:E6125,1,FALSE()))),"OLD",IF(AND(E6126&lt;&gt;"",E6126&lt;&gt;"!!!"),"NEW","")))</f>
        <v> </v>
      </c>
      <c r="G6126" s="24" t="str">
        <f>IF(OR(E6126="",E6126="!!!"),"",IF(OR(J6126=0,AND(J6126=1,K6126=1),AND(J6126=1,I6126="SBJ"),AND(J6126=1,I6126=0)),"?IN_FOCUS",IF(J6126&lt;=2,"?ACTIVATED",IF(J6126&lt;&gt;"","?FAMILIAR",IF(F6126="NEW",IF(ISNA(VLOOKUP(E6126,#REF!,1,FALSE())),"?TYPE_IDENTIFIABLE","?REFERENTIAL"),"_")))))</f>
        <v> </v>
      </c>
      <c r="H6126" s="25" t="str">
        <f>IF(J6126&lt;&gt;1,"",IF(I6126="SBJ","CB","?"))</f>
        <v> </v>
      </c>
      <c r="I6126" s="26" t="str">
        <f>IF(OR(E6126="",E6126="!!!",F6126="NEW"),"",INDEX(B6125:B$2,-1+SUMPRODUCT(MAX(ROW(E6125:E$2)*(E6126=E6125:E$2)))))</f>
        <v> </v>
      </c>
      <c r="J6126" s="26" t="str">
        <f>IF(OR(E6126="",E6126="!!!",F6126="NEW"),"",COUNTBLANK(OFFSET(A$1,,,SUMPRODUCT(MAX(ROW(E$2:E6126)*(E6126=E$2:E6126)))))-COUNTBLANK(OFFSET(A$1,,,SUMPRODUCT(MAX(ROW(E$1:E6125)*(E2=E$1:E6125))))))</f>
        <v> </v>
      </c>
      <c r="K6126" s="26" t="str">
        <f>IF(OR(E6126="",E6126="!!!",F6126="NEW"),"",INDEX(J$1:J6125,SUMPRODUCT(MAX(ROW(E$1:E6125)*(E6126=E$1:E6125)))))</f>
        <v> </v>
      </c>
      <c r="L6126" s="27"/>
    </row>
    <row r="6127" spans="1:12">
      <c r="A6127" s="20" t="s">
        <v>1330</v>
      </c>
      <c r="E6127" s="22">
        <f>IF(D6127="?OLD","!!!","")</f>
        <v/>
      </c>
      <c r="F6127" s="23" t="str">
        <f>IF(OR(E6127="",E6127="!!!"),"",IF(NOT(ISNA(VLOOKUP(E6127,E$1:E6126,1,FALSE()))),"OLD",IF(AND(E6127&lt;&gt;"",E6127&lt;&gt;"!!!"),"NEW","")))</f>
        <v> </v>
      </c>
      <c r="G6127" s="24" t="str">
        <f>IF(OR(E6127="",E6127="!!!"),"",IF(OR(J6127=0,AND(J6127=1,K6127=1),AND(J6127=1,I6127="SBJ"),AND(J6127=1,I6127=0)),"?IN_FOCUS",IF(J6127&lt;=2,"?ACTIVATED",IF(J6127&lt;&gt;"","?FAMILIAR",IF(F6127="NEW",IF(ISNA(VLOOKUP(E6127,#REF!,1,FALSE())),"?TYPE_IDENTIFIABLE","?REFERENTIAL"),"_")))))</f>
        <v> </v>
      </c>
      <c r="H6127" s="25" t="str">
        <f>IF(J6127&lt;&gt;1,"",IF(I6127="SBJ","CB","?"))</f>
        <v> </v>
      </c>
      <c r="I6127" s="26" t="str">
        <f>IF(OR(E6127="",E6127="!!!",F6127="NEW"),"",INDEX(B6126:B$2,-1+SUMPRODUCT(MAX(ROW(E6126:E$2)*(E6127=E6126:E$2)))))</f>
        <v> </v>
      </c>
      <c r="J6127" s="26" t="str">
        <f>IF(OR(E6127="",E6127="!!!",F6127="NEW"),"",COUNTBLANK(OFFSET(A$1,,,SUMPRODUCT(MAX(ROW(E$2:E6127)*(E6127=E$2:E6127)))))-COUNTBLANK(OFFSET(A$1,,,SUMPRODUCT(MAX(ROW(E$1:E6126)*(E2=E$1:E6126))))))</f>
        <v> </v>
      </c>
      <c r="K6127" s="26" t="str">
        <f>IF(OR(E6127="",E6127="!!!",F6127="NEW"),"",INDEX(J$1:J6126,SUMPRODUCT(MAX(ROW(E$1:E6126)*(E6127=E$1:E6126)))))</f>
        <v> </v>
      </c>
      <c r="L6127" s="27"/>
    </row>
    <row r="6128" spans="1:12">
      <c r="A6128" s="20" t="s">
        <v>292</v>
      </c>
      <c r="E6128" s="22">
        <f>IF(D6128="?OLD","!!!","")</f>
        <v/>
      </c>
      <c r="F6128" s="23" t="str">
        <f>IF(OR(E6128="",E6128="!!!"),"",IF(NOT(ISNA(VLOOKUP(E6128,E$1:E6127,1,FALSE()))),"OLD",IF(AND(E6128&lt;&gt;"",E6128&lt;&gt;"!!!"),"NEW","")))</f>
        <v> </v>
      </c>
      <c r="G6128" s="24" t="str">
        <f>IF(OR(E6128="",E6128="!!!"),"",IF(OR(J6128=0,AND(J6128=1,K6128=1),AND(J6128=1,I6128="SBJ"),AND(J6128=1,I6128=0)),"?IN_FOCUS",IF(J6128&lt;=2,"?ACTIVATED",IF(J6128&lt;&gt;"","?FAMILIAR",IF(F6128="NEW",IF(ISNA(VLOOKUP(E6128,#REF!,1,FALSE())),"?TYPE_IDENTIFIABLE","?REFERENTIAL"),"_")))))</f>
        <v> </v>
      </c>
      <c r="H6128" s="25" t="str">
        <f>IF(J6128&lt;&gt;1,"",IF(I6128="SBJ","CB","?"))</f>
        <v> </v>
      </c>
      <c r="I6128" s="26" t="str">
        <f>IF(OR(E6128="",E6128="!!!",F6128="NEW"),"",INDEX(B6127:B$2,-1+SUMPRODUCT(MAX(ROW(E6127:E$2)*(E6128=E6127:E$2)))))</f>
        <v> </v>
      </c>
      <c r="J6128" s="26" t="str">
        <f>IF(OR(E6128="",E6128="!!!",F6128="NEW"),"",COUNTBLANK(OFFSET(A$1,,,SUMPRODUCT(MAX(ROW(E$2:E6128)*(E6128=E$2:E6128)))))-COUNTBLANK(OFFSET(A$1,,,SUMPRODUCT(MAX(ROW(E$1:E6127)*(E2=E$1:E6127))))))</f>
        <v> </v>
      </c>
      <c r="K6128" s="26" t="str">
        <f>IF(OR(E6128="",E6128="!!!",F6128="NEW"),"",INDEX(J$1:J6127,SUMPRODUCT(MAX(ROW(E$1:E6127)*(E6128=E$1:E6127)))))</f>
        <v> </v>
      </c>
      <c r="L6128" s="27"/>
    </row>
    <row r="6129" spans="1:12">
      <c r="A6129" s="20" t="s">
        <v>1185</v>
      </c>
      <c r="E6129" s="22">
        <f>IF(D6129="?OLD","!!!","")</f>
        <v/>
      </c>
      <c r="F6129" s="23" t="str">
        <f>IF(OR(E6129="",E6129="!!!"),"",IF(NOT(ISNA(VLOOKUP(E6129,E$1:E6128,1,FALSE()))),"OLD",IF(AND(E6129&lt;&gt;"",E6129&lt;&gt;"!!!"),"NEW","")))</f>
        <v> </v>
      </c>
      <c r="G6129" s="24" t="str">
        <f>IF(OR(E6129="",E6129="!!!"),"",IF(OR(J6129=0,AND(J6129=1,K6129=1),AND(J6129=1,I6129="SBJ"),AND(J6129=1,I6129=0)),"?IN_FOCUS",IF(J6129&lt;=2,"?ACTIVATED",IF(J6129&lt;&gt;"","?FAMILIAR",IF(F6129="NEW",IF(ISNA(VLOOKUP(E6129,#REF!,1,FALSE())),"?TYPE_IDENTIFIABLE","?REFERENTIAL"),"_")))))</f>
        <v> </v>
      </c>
      <c r="H6129" s="25" t="str">
        <f>IF(J6129&lt;&gt;1,"",IF(I6129="SBJ","CB","?"))</f>
        <v> </v>
      </c>
      <c r="I6129" s="26" t="str">
        <f>IF(OR(E6129="",E6129="!!!",F6129="NEW"),"",INDEX(B6128:B$2,-1+SUMPRODUCT(MAX(ROW(E6128:E$2)*(E6129=E6128:E$2)))))</f>
        <v> </v>
      </c>
      <c r="J6129" s="26" t="str">
        <f>IF(OR(E6129="",E6129="!!!",F6129="NEW"),"",COUNTBLANK(OFFSET(A$1,,,SUMPRODUCT(MAX(ROW(E$2:E6129)*(E6129=E$2:E6129)))))-COUNTBLANK(OFFSET(A$1,,,SUMPRODUCT(MAX(ROW(E$1:E6128)*(E2=E$1:E6128))))))</f>
        <v> </v>
      </c>
      <c r="K6129" s="26" t="str">
        <f>IF(OR(E6129="",E6129="!!!",F6129="NEW"),"",INDEX(J$1:J6128,SUMPRODUCT(MAX(ROW(E$1:E6128)*(E6129=E$1:E6128)))))</f>
        <v> </v>
      </c>
      <c r="L6129" s="27"/>
    </row>
    <row r="6130" spans="1:12">
      <c r="A6130" s="20" t="s">
        <v>1930</v>
      </c>
      <c r="E6130" s="22">
        <f>IF(D6130="?OLD","!!!","")</f>
        <v/>
      </c>
      <c r="F6130" s="23" t="str">
        <f>IF(OR(E6130="",E6130="!!!"),"",IF(NOT(ISNA(VLOOKUP(E6130,E$1:E6129,1,FALSE()))),"OLD",IF(AND(E6130&lt;&gt;"",E6130&lt;&gt;"!!!"),"NEW","")))</f>
        <v> </v>
      </c>
      <c r="G6130" s="24" t="str">
        <f>IF(OR(E6130="",E6130="!!!"),"",IF(OR(J6130=0,AND(J6130=1,K6130=1),AND(J6130=1,I6130="SBJ"),AND(J6130=1,I6130=0)),"?IN_FOCUS",IF(J6130&lt;=2,"?ACTIVATED",IF(J6130&lt;&gt;"","?FAMILIAR",IF(F6130="NEW",IF(ISNA(VLOOKUP(E6130,#REF!,1,FALSE())),"?TYPE_IDENTIFIABLE","?REFERENTIAL"),"_")))))</f>
        <v> </v>
      </c>
      <c r="H6130" s="25" t="str">
        <f>IF(J6130&lt;&gt;1,"",IF(I6130="SBJ","CB","?"))</f>
        <v> </v>
      </c>
      <c r="I6130" s="26" t="str">
        <f>IF(OR(E6130="",E6130="!!!",F6130="NEW"),"",INDEX(B6129:B$2,-1+SUMPRODUCT(MAX(ROW(E6129:E$2)*(E6130=E6129:E$2)))))</f>
        <v> </v>
      </c>
      <c r="J6130" s="26" t="str">
        <f>IF(OR(E6130="",E6130="!!!",F6130="NEW"),"",COUNTBLANK(OFFSET(A$1,,,SUMPRODUCT(MAX(ROW(E$2:E6130)*(E6130=E$2:E6130)))))-COUNTBLANK(OFFSET(A$1,,,SUMPRODUCT(MAX(ROW(E$1:E6129)*(E2=E$1:E6129))))))</f>
        <v> </v>
      </c>
      <c r="K6130" s="26" t="str">
        <f>IF(OR(E6130="",E6130="!!!",F6130="NEW"),"",INDEX(J$1:J6129,SUMPRODUCT(MAX(ROW(E$1:E6129)*(E6130=E$1:E6129)))))</f>
        <v> </v>
      </c>
      <c r="L6130" s="27"/>
    </row>
    <row r="6131" spans="1:12">
      <c r="A6131" s="20" t="s">
        <v>2850</v>
      </c>
      <c r="E6131" s="22">
        <f>IF(D6131="?OLD","!!!","")</f>
        <v/>
      </c>
      <c r="F6131" s="23" t="str">
        <f>IF(OR(E6131="",E6131="!!!"),"",IF(NOT(ISNA(VLOOKUP(E6131,E$1:E6130,1,FALSE()))),"OLD",IF(AND(E6131&lt;&gt;"",E6131&lt;&gt;"!!!"),"NEW","")))</f>
        <v> </v>
      </c>
      <c r="G6131" s="24" t="str">
        <f>IF(OR(E6131="",E6131="!!!"),"",IF(OR(J6131=0,AND(J6131=1,K6131=1),AND(J6131=1,I6131="SBJ"),AND(J6131=1,I6131=0)),"?IN_FOCUS",IF(J6131&lt;=2,"?ACTIVATED",IF(J6131&lt;&gt;"","?FAMILIAR",IF(F6131="NEW",IF(ISNA(VLOOKUP(E6131,#REF!,1,FALSE())),"?TYPE_IDENTIFIABLE","?REFERENTIAL"),"_")))))</f>
        <v> </v>
      </c>
      <c r="H6131" s="25" t="str">
        <f>IF(J6131&lt;&gt;1,"",IF(I6131="SBJ","CB","?"))</f>
        <v> </v>
      </c>
      <c r="I6131" s="26" t="str">
        <f>IF(OR(E6131="",E6131="!!!",F6131="NEW"),"",INDEX(B6130:B$2,-1+SUMPRODUCT(MAX(ROW(E6130:E$2)*(E6131=E6130:E$2)))))</f>
        <v> </v>
      </c>
      <c r="J6131" s="26" t="str">
        <f>IF(OR(E6131="",E6131="!!!",F6131="NEW"),"",COUNTBLANK(OFFSET(A$1,,,SUMPRODUCT(MAX(ROW(E$2:E6131)*(E6131=E$2:E6131)))))-COUNTBLANK(OFFSET(A$1,,,SUMPRODUCT(MAX(ROW(E$1:E6130)*(E2=E$1:E6130))))))</f>
        <v> </v>
      </c>
      <c r="K6131" s="26" t="str">
        <f>IF(OR(E6131="",E6131="!!!",F6131="NEW"),"",INDEX(J$1:J6130,SUMPRODUCT(MAX(ROW(E$1:E6130)*(E6131=E$1:E6130)))))</f>
        <v> </v>
      </c>
      <c r="L6131" s="27"/>
    </row>
    <row r="6132" spans="1:12">
      <c r="A6132" s="20" t="s">
        <v>2851</v>
      </c>
      <c r="B6132" s="21" t="s">
        <v>1178</v>
      </c>
      <c r="C6132" s="21" t="s">
        <v>1184</v>
      </c>
      <c r="E6132" s="22">
        <f>IF(D6132="?OLD","!!!","")</f>
        <v/>
      </c>
      <c r="F6132" s="23" t="str">
        <f>IF(OR(E6132="",E6132="!!!"),"",IF(NOT(ISNA(VLOOKUP(E6132,E$1:E6131,1,FALSE()))),"OLD",IF(AND(E6132&lt;&gt;"",E6132&lt;&gt;"!!!"),"NEW","")))</f>
        <v> </v>
      </c>
      <c r="G6132" s="24" t="str">
        <f>IF(OR(E6132="",E6132="!!!"),"",IF(OR(J6132=0,AND(J6132=1,K6132=1),AND(J6132=1,I6132="SBJ"),AND(J6132=1,I6132=0)),"?IN_FOCUS",IF(J6132&lt;=2,"?ACTIVATED",IF(J6132&lt;&gt;"","?FAMILIAR",IF(F6132="NEW",IF(ISNA(VLOOKUP(E6132,#REF!,1,FALSE())),"?TYPE_IDENTIFIABLE","?REFERENTIAL"),"_")))))</f>
        <v> </v>
      </c>
      <c r="H6132" s="25" t="str">
        <f>IF(J6132&lt;&gt;1,"",IF(I6132="SBJ","CB","?"))</f>
        <v> </v>
      </c>
      <c r="I6132" s="26" t="str">
        <f>IF(OR(E6132="",E6132="!!!",F6132="NEW"),"",INDEX(B6131:B$2,-1+SUMPRODUCT(MAX(ROW(E6131:E$2)*(E6132=E6131:E$2)))))</f>
        <v> </v>
      </c>
      <c r="J6132" s="26" t="str">
        <f>IF(OR(E6132="",E6132="!!!",F6132="NEW"),"",COUNTBLANK(OFFSET(A$1,,,SUMPRODUCT(MAX(ROW(E$2:E6132)*(E6132=E$2:E6132)))))-COUNTBLANK(OFFSET(A$1,,,SUMPRODUCT(MAX(ROW(E$1:E6131)*(E2=E$1:E6131))))))</f>
        <v> </v>
      </c>
      <c r="K6132" s="26" t="str">
        <f>IF(OR(E6132="",E6132="!!!",F6132="NEW"),"",INDEX(J$1:J6131,SUMPRODUCT(MAX(ROW(E$1:E6131)*(E6132=E$1:E6131)))))</f>
        <v> </v>
      </c>
      <c r="L6132" s="27"/>
    </row>
    <row r="6133" spans="1:12">
      <c r="A6133" s="20" t="s">
        <v>1224</v>
      </c>
      <c r="E6133" s="22">
        <f>IF(D6133="?OLD","!!!","")</f>
        <v/>
      </c>
      <c r="F6133" s="23" t="str">
        <f>IF(OR(E6133="",E6133="!!!"),"",IF(NOT(ISNA(VLOOKUP(E6133,E$1:E6132,1,FALSE()))),"OLD",IF(AND(E6133&lt;&gt;"",E6133&lt;&gt;"!!!"),"NEW","")))</f>
        <v> </v>
      </c>
      <c r="G6133" s="24" t="str">
        <f>IF(OR(E6133="",E6133="!!!"),"",IF(OR(J6133=0,AND(J6133=1,K6133=1),AND(J6133=1,I6133="SBJ"),AND(J6133=1,I6133=0)),"?IN_FOCUS",IF(J6133&lt;=2,"?ACTIVATED",IF(J6133&lt;&gt;"","?FAMILIAR",IF(F6133="NEW",IF(ISNA(VLOOKUP(E6133,#REF!,1,FALSE())),"?TYPE_IDENTIFIABLE","?REFERENTIAL"),"_")))))</f>
        <v> </v>
      </c>
      <c r="H6133" s="25" t="str">
        <f>IF(J6133&lt;&gt;1,"",IF(I6133="SBJ","CB","?"))</f>
        <v> </v>
      </c>
      <c r="I6133" s="26" t="str">
        <f>IF(OR(E6133="",E6133="!!!",F6133="NEW"),"",INDEX(B6132:B$2,-1+SUMPRODUCT(MAX(ROW(E6132:E$2)*(E6133=E6132:E$2)))))</f>
        <v> </v>
      </c>
      <c r="J6133" s="26" t="str">
        <f>IF(OR(E6133="",E6133="!!!",F6133="NEW"),"",COUNTBLANK(OFFSET(A$1,,,SUMPRODUCT(MAX(ROW(E$2:E6133)*(E6133=E$2:E6133)))))-COUNTBLANK(OFFSET(A$1,,,SUMPRODUCT(MAX(ROW(E$1:E6132)*(E2=E$1:E6132))))))</f>
        <v> </v>
      </c>
      <c r="K6133" s="26" t="str">
        <f>IF(OR(E6133="",E6133="!!!",F6133="NEW"),"",INDEX(J$1:J6132,SUMPRODUCT(MAX(ROW(E$1:E6132)*(E6133=E$1:E6132)))))</f>
        <v> </v>
      </c>
      <c r="L6133" s="27"/>
    </row>
    <row r="6134" spans="1:12">
      <c r="A6134" s="20" t="s">
        <v>2177</v>
      </c>
      <c r="B6134" s="21" t="s">
        <v>1207</v>
      </c>
      <c r="C6134" s="21" t="s">
        <v>1254</v>
      </c>
      <c r="E6134" s="22">
        <f>IF(D6134="?OLD","!!!","")</f>
        <v/>
      </c>
      <c r="F6134" s="23" t="str">
        <f>IF(OR(E6134="",E6134="!!!"),"",IF(NOT(ISNA(VLOOKUP(E6134,E$1:E6133,1,FALSE()))),"OLD",IF(AND(E6134&lt;&gt;"",E6134&lt;&gt;"!!!"),"NEW","")))</f>
        <v> </v>
      </c>
      <c r="G6134" s="24" t="str">
        <f>IF(OR(E6134="",E6134="!!!"),"",IF(OR(J6134=0,AND(J6134=1,K6134=1),AND(J6134=1,I6134="SBJ"),AND(J6134=1,I6134=0)),"?IN_FOCUS",IF(J6134&lt;=2,"?ACTIVATED",IF(J6134&lt;&gt;"","?FAMILIAR",IF(F6134="NEW",IF(ISNA(VLOOKUP(E6134,#REF!,1,FALSE())),"?TYPE_IDENTIFIABLE","?REFERENTIAL"),"_")))))</f>
        <v> </v>
      </c>
      <c r="H6134" s="25" t="str">
        <f>IF(J6134&lt;&gt;1,"",IF(I6134="SBJ","CB","?"))</f>
        <v> </v>
      </c>
      <c r="I6134" s="26" t="str">
        <f>IF(OR(E6134="",E6134="!!!",F6134="NEW"),"",INDEX(B6133:B$2,-1+SUMPRODUCT(MAX(ROW(E6133:E$2)*(E6134=E6133:E$2)))))</f>
        <v> </v>
      </c>
      <c r="J6134" s="26" t="str">
        <f>IF(OR(E6134="",E6134="!!!",F6134="NEW"),"",COUNTBLANK(OFFSET(A$1,,,SUMPRODUCT(MAX(ROW(E$2:E6134)*(E6134=E$2:E6134)))))-COUNTBLANK(OFFSET(A$1,,,SUMPRODUCT(MAX(ROW(E$1:E6133)*(E2=E$1:E6133))))))</f>
        <v> </v>
      </c>
      <c r="K6134" s="26" t="str">
        <f>IF(OR(E6134="",E6134="!!!",F6134="NEW"),"",INDEX(J$1:J6133,SUMPRODUCT(MAX(ROW(E$1:E6133)*(E6134=E$1:E6133)))))</f>
        <v> </v>
      </c>
      <c r="L6134" s="27"/>
    </row>
    <row r="6135" spans="1:12">
      <c r="A6135" s="20" t="s">
        <v>1329</v>
      </c>
      <c r="B6135" s="21" t="s">
        <v>1191</v>
      </c>
      <c r="C6135" s="21" t="s">
        <v>1324</v>
      </c>
      <c r="E6135" s="22">
        <f>IF(D6135="?OLD","!!!","")</f>
        <v/>
      </c>
      <c r="F6135" s="23" t="str">
        <f>IF(OR(E6135="",E6135="!!!"),"",IF(NOT(ISNA(VLOOKUP(E6135,E$1:E6134,1,FALSE()))),"OLD",IF(AND(E6135&lt;&gt;"",E6135&lt;&gt;"!!!"),"NEW","")))</f>
        <v> </v>
      </c>
      <c r="G6135" s="24" t="str">
        <f>IF(OR(E6135="",E6135="!!!"),"",IF(OR(J6135=0,AND(J6135=1,K6135=1),AND(J6135=1,I6135="SBJ"),AND(J6135=1,I6135=0)),"?IN_FOCUS",IF(J6135&lt;=2,"?ACTIVATED",IF(J6135&lt;&gt;"","?FAMILIAR",IF(F6135="NEW",IF(ISNA(VLOOKUP(E6135,#REF!,1,FALSE())),"?TYPE_IDENTIFIABLE","?REFERENTIAL"),"_")))))</f>
        <v> </v>
      </c>
      <c r="H6135" s="25" t="str">
        <f>IF(J6135&lt;&gt;1,"",IF(I6135="SBJ","CB","?"))</f>
        <v> </v>
      </c>
      <c r="I6135" s="26" t="str">
        <f>IF(OR(E6135="",E6135="!!!",F6135="NEW"),"",INDEX(B6134:B$2,-1+SUMPRODUCT(MAX(ROW(E6134:E$2)*(E6135=E6134:E$2)))))</f>
        <v> </v>
      </c>
      <c r="J6135" s="26" t="str">
        <f>IF(OR(E6135="",E6135="!!!",F6135="NEW"),"",COUNTBLANK(OFFSET(A$1,,,SUMPRODUCT(MAX(ROW(E$2:E6135)*(E6135=E$2:E6135)))))-COUNTBLANK(OFFSET(A$1,,,SUMPRODUCT(MAX(ROW(E$1:E6134)*(E2=E$1:E6134))))))</f>
        <v> </v>
      </c>
      <c r="K6135" s="26" t="str">
        <f>IF(OR(E6135="",E6135="!!!",F6135="NEW"),"",INDEX(J$1:J6134,SUMPRODUCT(MAX(ROW(E$1:E6134)*(E6135=E$1:E6134)))))</f>
        <v> </v>
      </c>
      <c r="L6135" s="27"/>
    </row>
    <row r="6136" spans="1:12">
      <c r="A6136" s="20" t="s">
        <v>818</v>
      </c>
      <c r="E6136" s="22">
        <f>IF(D6136="?OLD","!!!","")</f>
        <v/>
      </c>
      <c r="F6136" s="23" t="str">
        <f>IF(OR(E6136="",E6136="!!!"),"",IF(NOT(ISNA(VLOOKUP(E6136,E$1:E6135,1,FALSE()))),"OLD",IF(AND(E6136&lt;&gt;"",E6136&lt;&gt;"!!!"),"NEW","")))</f>
        <v> </v>
      </c>
      <c r="G6136" s="24" t="str">
        <f>IF(OR(E6136="",E6136="!!!"),"",IF(OR(J6136=0,AND(J6136=1,K6136=1),AND(J6136=1,I6136="SBJ"),AND(J6136=1,I6136=0)),"?IN_FOCUS",IF(J6136&lt;=2,"?ACTIVATED",IF(J6136&lt;&gt;"","?FAMILIAR",IF(F6136="NEW",IF(ISNA(VLOOKUP(E6136,#REF!,1,FALSE())),"?TYPE_IDENTIFIABLE","?REFERENTIAL"),"_")))))</f>
        <v> </v>
      </c>
      <c r="H6136" s="25" t="str">
        <f>IF(J6136&lt;&gt;1,"",IF(I6136="SBJ","CB","?"))</f>
        <v> </v>
      </c>
      <c r="I6136" s="26" t="str">
        <f>IF(OR(E6136="",E6136="!!!",F6136="NEW"),"",INDEX(B6135:B$2,-1+SUMPRODUCT(MAX(ROW(E6135:E$2)*(E6136=E6135:E$2)))))</f>
        <v> </v>
      </c>
      <c r="J6136" s="26" t="str">
        <f>IF(OR(E6136="",E6136="!!!",F6136="NEW"),"",COUNTBLANK(OFFSET(A$1,,,SUMPRODUCT(MAX(ROW(E$2:E6136)*(E6136=E$2:E6136)))))-COUNTBLANK(OFFSET(A$1,,,SUMPRODUCT(MAX(ROW(E$1:E6135)*(E2=E$1:E6135))))))</f>
        <v> </v>
      </c>
      <c r="K6136" s="26" t="str">
        <f>IF(OR(E6136="",E6136="!!!",F6136="NEW"),"",INDEX(J$1:J6135,SUMPRODUCT(MAX(ROW(E$1:E6135)*(E6136=E$1:E6135)))))</f>
        <v> </v>
      </c>
      <c r="L6136" s="27"/>
    </row>
    <row r="6137" spans="1:12">
      <c r="A6137" s="20"/>
    </row>
    <row r="6138" spans="1:12">
      <c r="A6138" s="20" t="s">
        <v>2852</v>
      </c>
    </row>
    <row r="6139" spans="1:12">
      <c r="A6139" s="20" t="s">
        <v>2553</v>
      </c>
      <c r="B6139" s="21" t="s">
        <v>1194</v>
      </c>
      <c r="C6139" s="21" t="s">
        <v>1184</v>
      </c>
      <c r="E6139" s="22">
        <f>IF(D6139="?OLD","!!!","")</f>
        <v/>
      </c>
      <c r="F6139" s="23" t="str">
        <f>IF(OR(E6139="",E6139="!!!"),"",IF(NOT(ISNA(VLOOKUP(E6139,E$1:E6138,1,FALSE()))),"OLD",IF(AND(E6139&lt;&gt;"",E6139&lt;&gt;"!!!"),"NEW","")))</f>
        <v> </v>
      </c>
      <c r="G6139" s="24" t="str">
        <f>IF(OR(E6139="",E6139="!!!"),"",IF(OR(J6139=0,AND(J6139=1,K6139=1),AND(J6139=1,I6139="SBJ"),AND(J6139=1,I6139=0)),"?IN_FOCUS",IF(J6139&lt;=2,"?ACTIVATED",IF(J6139&lt;&gt;"","?FAMILIAR",IF(F6139="NEW",IF(ISNA(VLOOKUP(E6139,#REF!,1,FALSE())),"?TYPE_IDENTIFIABLE","?REFERENTIAL"),"_")))))</f>
        <v> </v>
      </c>
      <c r="H6139" s="25" t="str">
        <f>IF(J6139&lt;&gt;1,"",IF(I6139="SBJ","CB","?"))</f>
        <v> </v>
      </c>
      <c r="I6139" s="26" t="str">
        <f>IF(OR(E6139="",E6139="!!!",F6139="NEW"),"",INDEX(B6138:B$2,-1+SUMPRODUCT(MAX(ROW(E6138:E$2)*(E6139=E6138:E$2)))))</f>
        <v> </v>
      </c>
      <c r="J6139" s="26" t="str">
        <f>IF(OR(E6139="",E6139="!!!",F6139="NEW"),"",COUNTBLANK(OFFSET(A$1,,,SUMPRODUCT(MAX(ROW(E$2:E6139)*(E6139=E$2:E6139)))))-COUNTBLANK(OFFSET(A$1,,,SUMPRODUCT(MAX(ROW(E$1:E6138)*(E2=E$1:E6138))))))</f>
        <v> </v>
      </c>
      <c r="K6139" s="26" t="str">
        <f>IF(OR(E6139="",E6139="!!!",F6139="NEW"),"",INDEX(J$1:J6138,SUMPRODUCT(MAX(ROW(E$1:E6138)*(E6139=E$1:E6138)))))</f>
        <v> </v>
      </c>
      <c r="L6139" s="27"/>
    </row>
    <row r="6140" spans="1:12">
      <c r="A6140" s="20" t="s">
        <v>1257</v>
      </c>
      <c r="E6140" s="22">
        <f>IF(D6140="?OLD","!!!","")</f>
        <v/>
      </c>
      <c r="F6140" s="23" t="str">
        <f>IF(OR(E6140="",E6140="!!!"),"",IF(NOT(ISNA(VLOOKUP(E6140,E$1:E6139,1,FALSE()))),"OLD",IF(AND(E6140&lt;&gt;"",E6140&lt;&gt;"!!!"),"NEW","")))</f>
        <v> </v>
      </c>
      <c r="G6140" s="24" t="str">
        <f>IF(OR(E6140="",E6140="!!!"),"",IF(OR(J6140=0,AND(J6140=1,K6140=1),AND(J6140=1,I6140="SBJ"),AND(J6140=1,I6140=0)),"?IN_FOCUS",IF(J6140&lt;=2,"?ACTIVATED",IF(J6140&lt;&gt;"","?FAMILIAR",IF(F6140="NEW",IF(ISNA(VLOOKUP(E6140,#REF!,1,FALSE())),"?TYPE_IDENTIFIABLE","?REFERENTIAL"),"_")))))</f>
        <v> </v>
      </c>
      <c r="H6140" s="25" t="str">
        <f>IF(J6140&lt;&gt;1,"",IF(I6140="SBJ","CB","?"))</f>
        <v> </v>
      </c>
      <c r="I6140" s="26" t="str">
        <f>IF(OR(E6140="",E6140="!!!",F6140="NEW"),"",INDEX(B6139:B$2,-1+SUMPRODUCT(MAX(ROW(E6139:E$2)*(E6140=E6139:E$2)))))</f>
        <v> </v>
      </c>
      <c r="J6140" s="26" t="str">
        <f>IF(OR(E6140="",E6140="!!!",F6140="NEW"),"",COUNTBLANK(OFFSET(A$1,,,SUMPRODUCT(MAX(ROW(E$2:E6140)*(E6140=E$2:E6140)))))-COUNTBLANK(OFFSET(A$1,,,SUMPRODUCT(MAX(ROW(E$1:E6139)*(E2=E$1:E6139))))))</f>
        <v> </v>
      </c>
      <c r="K6140" s="26" t="str">
        <f>IF(OR(E6140="",E6140="!!!",F6140="NEW"),"",INDEX(J$1:J6139,SUMPRODUCT(MAX(ROW(E$1:E6139)*(E6140=E$1:E6139)))))</f>
        <v> </v>
      </c>
      <c r="L6140" s="27"/>
    </row>
    <row r="6141" spans="1:12">
      <c r="A6141" s="20" t="s">
        <v>2531</v>
      </c>
      <c r="B6141" s="21" t="s">
        <v>1178</v>
      </c>
      <c r="C6141" s="21" t="s">
        <v>1238</v>
      </c>
      <c r="D6141" s="21" t="s">
        <v>1180</v>
      </c>
      <c r="E6141" s="22">
        <f>IF(D6141="?OLD","!!!","")</f>
        <v/>
      </c>
      <c r="F6141" s="23" t="str">
        <f>IF(OR(E6141="",E6141="!!!"),"",IF(NOT(ISNA(VLOOKUP(E6141,E$1:E6140,1,FALSE()))),"OLD",IF(AND(E6141&lt;&gt;"",E6141&lt;&gt;"!!!"),"NEW","")))</f>
        <v> </v>
      </c>
      <c r="G6141" s="24" t="str">
        <f>IF(OR(E6141="",E6141="!!!"),"",IF(OR(J6141=0,AND(J6141=1,K6141=1),AND(J6141=1,I6141="SBJ"),AND(J6141=1,I6141=0)),"?IN_FOCUS",IF(J6141&lt;=2,"?ACTIVATED",IF(J6141&lt;&gt;"","?FAMILIAR",IF(F6141="NEW",IF(ISNA(VLOOKUP(E6141,#REF!,1,FALSE())),"?TYPE_IDENTIFIABLE","?REFERENTIAL"),"_")))))</f>
        <v> </v>
      </c>
      <c r="H6141" s="25" t="str">
        <f>IF(J6141&lt;&gt;1,"",IF(I6141="SBJ","CB","?"))</f>
        <v> </v>
      </c>
      <c r="I6141" s="26" t="str">
        <f>IF(OR(E6141="",E6141="!!!",F6141="NEW"),"",INDEX(B6140:B$2,-1+SUMPRODUCT(MAX(ROW(E6140:E$2)*(E6141=E6140:E$2)))))</f>
        <v> </v>
      </c>
      <c r="J6141" s="26" t="str">
        <f>IF(OR(E6141="",E6141="!!!",F6141="NEW"),"",COUNTBLANK(OFFSET(A$1,,,SUMPRODUCT(MAX(ROW(E$2:E6141)*(E6141=E$2:E6141)))))-COUNTBLANK(OFFSET(A$1,,,SUMPRODUCT(MAX(ROW(E$1:E6140)*(E2=E$1:E6140))))))</f>
        <v> </v>
      </c>
      <c r="K6141" s="26" t="str">
        <f>IF(OR(E6141="",E6141="!!!",F6141="NEW"),"",INDEX(J$1:J6140,SUMPRODUCT(MAX(ROW(E$1:E6140)*(E6141=E$1:E6140)))))</f>
        <v> </v>
      </c>
      <c r="L6141" s="27"/>
    </row>
    <row r="6142" spans="1:12">
      <c r="A6142" s="20" t="s">
        <v>2853</v>
      </c>
      <c r="B6142" s="21" t="s">
        <v>1178</v>
      </c>
      <c r="C6142" s="21" t="s">
        <v>1324</v>
      </c>
      <c r="E6142" s="22">
        <f>IF(D6142="?OLD","!!!","")</f>
        <v/>
      </c>
      <c r="F6142" s="23" t="str">
        <f>IF(OR(E6142="",E6142="!!!"),"",IF(NOT(ISNA(VLOOKUP(E6142,E$1:E6141,1,FALSE()))),"OLD",IF(AND(E6142&lt;&gt;"",E6142&lt;&gt;"!!!"),"NEW","")))</f>
        <v> </v>
      </c>
      <c r="G6142" s="24" t="str">
        <f>IF(OR(E6142="",E6142="!!!"),"",IF(OR(J6142=0,AND(J6142=1,K6142=1),AND(J6142=1,I6142="SBJ"),AND(J6142=1,I6142=0)),"?IN_FOCUS",IF(J6142&lt;=2,"?ACTIVATED",IF(J6142&lt;&gt;"","?FAMILIAR",IF(F6142="NEW",IF(ISNA(VLOOKUP(E6142,#REF!,1,FALSE())),"?TYPE_IDENTIFIABLE","?REFERENTIAL"),"_")))))</f>
        <v> </v>
      </c>
      <c r="H6142" s="25" t="str">
        <f>IF(J6142&lt;&gt;1,"",IF(I6142="SBJ","CB","?"))</f>
        <v> </v>
      </c>
      <c r="I6142" s="26" t="str">
        <f>IF(OR(E6142="",E6142="!!!",F6142="NEW"),"",INDEX(B6141:B$2,-1+SUMPRODUCT(MAX(ROW(E6141:E$2)*(E6142=E6141:E$2)))))</f>
        <v> </v>
      </c>
      <c r="J6142" s="26" t="str">
        <f>IF(OR(E6142="",E6142="!!!",F6142="NEW"),"",COUNTBLANK(OFFSET(A$1,,,SUMPRODUCT(MAX(ROW(E$2:E6142)*(E6142=E$2:E6142)))))-COUNTBLANK(OFFSET(A$1,,,SUMPRODUCT(MAX(ROW(E$1:E6141)*(E2=E$1:E6141))))))</f>
        <v> </v>
      </c>
      <c r="K6142" s="26" t="str">
        <f>IF(OR(E6142="",E6142="!!!",F6142="NEW"),"",INDEX(J$1:J6141,SUMPRODUCT(MAX(ROW(E$1:E6141)*(E6142=E$1:E6141)))))</f>
        <v> </v>
      </c>
      <c r="L6142" s="27"/>
    </row>
    <row r="6143" spans="1:12">
      <c r="A6143" s="20" t="s">
        <v>818</v>
      </c>
      <c r="E6143" s="22">
        <f>IF(D6143="?OLD","!!!","")</f>
        <v/>
      </c>
      <c r="F6143" s="23" t="str">
        <f>IF(OR(E6143="",E6143="!!!"),"",IF(NOT(ISNA(VLOOKUP(E6143,E$1:E6142,1,FALSE()))),"OLD",IF(AND(E6143&lt;&gt;"",E6143&lt;&gt;"!!!"),"NEW","")))</f>
        <v> </v>
      </c>
      <c r="G6143" s="24" t="str">
        <f>IF(OR(E6143="",E6143="!!!"),"",IF(OR(J6143=0,AND(J6143=1,K6143=1),AND(J6143=1,I6143="SBJ"),AND(J6143=1,I6143=0)),"?IN_FOCUS",IF(J6143&lt;=2,"?ACTIVATED",IF(J6143&lt;&gt;"","?FAMILIAR",IF(F6143="NEW",IF(ISNA(VLOOKUP(E6143,#REF!,1,FALSE())),"?TYPE_IDENTIFIABLE","?REFERENTIAL"),"_")))))</f>
        <v> </v>
      </c>
      <c r="H6143" s="25" t="str">
        <f>IF(J6143&lt;&gt;1,"",IF(I6143="SBJ","CB","?"))</f>
        <v> </v>
      </c>
      <c r="I6143" s="26" t="str">
        <f>IF(OR(E6143="",E6143="!!!",F6143="NEW"),"",INDEX(B6142:B$2,-1+SUMPRODUCT(MAX(ROW(E6142:E$2)*(E6143=E6142:E$2)))))</f>
        <v> </v>
      </c>
      <c r="J6143" s="26" t="str">
        <f>IF(OR(E6143="",E6143="!!!",F6143="NEW"),"",COUNTBLANK(OFFSET(A$1,,,SUMPRODUCT(MAX(ROW(E$2:E6143)*(E6143=E$2:E6143)))))-COUNTBLANK(OFFSET(A$1,,,SUMPRODUCT(MAX(ROW(E$1:E6142)*(E2=E$1:E6142))))))</f>
        <v> </v>
      </c>
      <c r="K6143" s="26" t="str">
        <f>IF(OR(E6143="",E6143="!!!",F6143="NEW"),"",INDEX(J$1:J6142,SUMPRODUCT(MAX(ROW(E$1:E6142)*(E6143=E$1:E6142)))))</f>
        <v> </v>
      </c>
      <c r="L6143" s="27"/>
    </row>
    <row r="6144" spans="1:12">
      <c r="A6144" s="20"/>
    </row>
    <row r="6145" spans="1:12">
      <c r="A6145" s="20" t="s">
        <v>2854</v>
      </c>
    </row>
    <row r="6146" spans="1:12">
      <c r="A6146" s="20" t="s">
        <v>1789</v>
      </c>
      <c r="B6146" s="21" t="s">
        <v>1194</v>
      </c>
      <c r="C6146" s="21" t="s">
        <v>1184</v>
      </c>
      <c r="E6146" s="22">
        <f>IF(D6146="?OLD","!!!","")</f>
        <v/>
      </c>
      <c r="F6146" s="23" t="str">
        <f>IF(OR(E6146="",E6146="!!!"),"",IF(NOT(ISNA(VLOOKUP(E6146,E$1:E6145,1,FALSE()))),"OLD",IF(AND(E6146&lt;&gt;"",E6146&lt;&gt;"!!!"),"NEW","")))</f>
        <v> </v>
      </c>
      <c r="G6146" s="24" t="str">
        <f>IF(OR(E6146="",E6146="!!!"),"",IF(OR(J6146=0,AND(J6146=1,K6146=1),AND(J6146=1,I6146="SBJ"),AND(J6146=1,I6146=0)),"?IN_FOCUS",IF(J6146&lt;=2,"?ACTIVATED",IF(J6146&lt;&gt;"","?FAMILIAR",IF(F6146="NEW",IF(ISNA(VLOOKUP(E6146,#REF!,1,FALSE())),"?TYPE_IDENTIFIABLE","?REFERENTIAL"),"_")))))</f>
        <v> </v>
      </c>
      <c r="H6146" s="25" t="str">
        <f>IF(J6146&lt;&gt;1,"",IF(I6146="SBJ","CB","?"))</f>
        <v> </v>
      </c>
      <c r="I6146" s="26" t="str">
        <f>IF(OR(E6146="",E6146="!!!",F6146="NEW"),"",INDEX(B6145:B$2,-1+SUMPRODUCT(MAX(ROW(E6145:E$2)*(E6146=E6145:E$2)))))</f>
        <v> </v>
      </c>
      <c r="J6146" s="26" t="str">
        <f>IF(OR(E6146="",E6146="!!!",F6146="NEW"),"",COUNTBLANK(OFFSET(A$1,,,SUMPRODUCT(MAX(ROW(E$2:E6146)*(E6146=E$2:E6146)))))-COUNTBLANK(OFFSET(A$1,,,SUMPRODUCT(MAX(ROW(E$1:E6145)*(E2=E$1:E6145))))))</f>
        <v> </v>
      </c>
      <c r="K6146" s="26" t="str">
        <f>IF(OR(E6146="",E6146="!!!",F6146="NEW"),"",INDEX(J$1:J6145,SUMPRODUCT(MAX(ROW(E$1:E6145)*(E6146=E$1:E6145)))))</f>
        <v> </v>
      </c>
      <c r="L6146" s="27"/>
    </row>
    <row r="6147" spans="1:12">
      <c r="A6147" s="20" t="s">
        <v>1257</v>
      </c>
      <c r="E6147" s="22">
        <f>IF(D6147="?OLD","!!!","")</f>
        <v/>
      </c>
      <c r="F6147" s="23" t="str">
        <f>IF(OR(E6147="",E6147="!!!"),"",IF(NOT(ISNA(VLOOKUP(E6147,E$1:E6146,1,FALSE()))),"OLD",IF(AND(E6147&lt;&gt;"",E6147&lt;&gt;"!!!"),"NEW","")))</f>
        <v> </v>
      </c>
      <c r="G6147" s="24" t="str">
        <f>IF(OR(E6147="",E6147="!!!"),"",IF(OR(J6147=0,AND(J6147=1,K6147=1),AND(J6147=1,I6147="SBJ"),AND(J6147=1,I6147=0)),"?IN_FOCUS",IF(J6147&lt;=2,"?ACTIVATED",IF(J6147&lt;&gt;"","?FAMILIAR",IF(F6147="NEW",IF(ISNA(VLOOKUP(E6147,#REF!,1,FALSE())),"?TYPE_IDENTIFIABLE","?REFERENTIAL"),"_")))))</f>
        <v> </v>
      </c>
      <c r="H6147" s="25" t="str">
        <f>IF(J6147&lt;&gt;1,"",IF(I6147="SBJ","CB","?"))</f>
        <v> </v>
      </c>
      <c r="I6147" s="26" t="str">
        <f>IF(OR(E6147="",E6147="!!!",F6147="NEW"),"",INDEX(B6146:B$2,-1+SUMPRODUCT(MAX(ROW(E6146:E$2)*(E6147=E6146:E$2)))))</f>
        <v> </v>
      </c>
      <c r="J6147" s="26" t="str">
        <f>IF(OR(E6147="",E6147="!!!",F6147="NEW"),"",COUNTBLANK(OFFSET(A$1,,,SUMPRODUCT(MAX(ROW(E$2:E6147)*(E6147=E$2:E6147)))))-COUNTBLANK(OFFSET(A$1,,,SUMPRODUCT(MAX(ROW(E$1:E6146)*(E2=E$1:E6146))))))</f>
        <v> </v>
      </c>
      <c r="K6147" s="26" t="str">
        <f>IF(OR(E6147="",E6147="!!!",F6147="NEW"),"",INDEX(J$1:J6146,SUMPRODUCT(MAX(ROW(E$1:E6146)*(E6147=E$1:E6146)))))</f>
        <v> </v>
      </c>
      <c r="L6147" s="27"/>
    </row>
    <row r="6148" spans="1:12">
      <c r="A6148" s="20" t="s">
        <v>2531</v>
      </c>
      <c r="B6148" s="21" t="s">
        <v>1178</v>
      </c>
      <c r="C6148" s="21" t="s">
        <v>1238</v>
      </c>
      <c r="D6148" s="21" t="s">
        <v>1180</v>
      </c>
      <c r="E6148" s="22">
        <f>IF(D6148="?OLD","!!!","")</f>
        <v/>
      </c>
      <c r="F6148" s="23" t="str">
        <f>IF(OR(E6148="",E6148="!!!"),"",IF(NOT(ISNA(VLOOKUP(E6148,E$1:E6147,1,FALSE()))),"OLD",IF(AND(E6148&lt;&gt;"",E6148&lt;&gt;"!!!"),"NEW","")))</f>
        <v> </v>
      </c>
      <c r="G6148" s="24" t="str">
        <f>IF(OR(E6148="",E6148="!!!"),"",IF(OR(J6148=0,AND(J6148=1,K6148=1),AND(J6148=1,I6148="SBJ"),AND(J6148=1,I6148=0)),"?IN_FOCUS",IF(J6148&lt;=2,"?ACTIVATED",IF(J6148&lt;&gt;"","?FAMILIAR",IF(F6148="NEW",IF(ISNA(VLOOKUP(E6148,#REF!,1,FALSE())),"?TYPE_IDENTIFIABLE","?REFERENTIAL"),"_")))))</f>
        <v> </v>
      </c>
      <c r="H6148" s="25" t="str">
        <f>IF(J6148&lt;&gt;1,"",IF(I6148="SBJ","CB","?"))</f>
        <v> </v>
      </c>
      <c r="I6148" s="26" t="str">
        <f>IF(OR(E6148="",E6148="!!!",F6148="NEW"),"",INDEX(B6147:B$2,-1+SUMPRODUCT(MAX(ROW(E6147:E$2)*(E6148=E6147:E$2)))))</f>
        <v> </v>
      </c>
      <c r="J6148" s="26" t="str">
        <f>IF(OR(E6148="",E6148="!!!",F6148="NEW"),"",COUNTBLANK(OFFSET(A$1,,,SUMPRODUCT(MAX(ROW(E$2:E6148)*(E6148=E$2:E6148)))))-COUNTBLANK(OFFSET(A$1,,,SUMPRODUCT(MAX(ROW(E$1:E6147)*(E2=E$1:E6147))))))</f>
        <v> </v>
      </c>
      <c r="K6148" s="26" t="str">
        <f>IF(OR(E6148="",E6148="!!!",F6148="NEW"),"",INDEX(J$1:J6147,SUMPRODUCT(MAX(ROW(E$1:E6147)*(E6148=E$1:E6147)))))</f>
        <v> </v>
      </c>
      <c r="L6148" s="27"/>
    </row>
    <row r="6149" spans="1:12">
      <c r="A6149" s="20" t="s">
        <v>2853</v>
      </c>
      <c r="B6149" s="21" t="s">
        <v>1178</v>
      </c>
      <c r="C6149" s="21" t="s">
        <v>1324</v>
      </c>
      <c r="E6149" s="22">
        <f>IF(D6149="?OLD","!!!","")</f>
        <v/>
      </c>
      <c r="F6149" s="23" t="str">
        <f>IF(OR(E6149="",E6149="!!!"),"",IF(NOT(ISNA(VLOOKUP(E6149,E$1:E6148,1,FALSE()))),"OLD",IF(AND(E6149&lt;&gt;"",E6149&lt;&gt;"!!!"),"NEW","")))</f>
        <v> </v>
      </c>
      <c r="G6149" s="24" t="str">
        <f>IF(OR(E6149="",E6149="!!!"),"",IF(OR(J6149=0,AND(J6149=1,K6149=1),AND(J6149=1,I6149="SBJ"),AND(J6149=1,I6149=0)),"?IN_FOCUS",IF(J6149&lt;=2,"?ACTIVATED",IF(J6149&lt;&gt;"","?FAMILIAR",IF(F6149="NEW",IF(ISNA(VLOOKUP(E6149,#REF!,1,FALSE())),"?TYPE_IDENTIFIABLE","?REFERENTIAL"),"_")))))</f>
        <v> </v>
      </c>
      <c r="H6149" s="25" t="str">
        <f>IF(J6149&lt;&gt;1,"",IF(I6149="SBJ","CB","?"))</f>
        <v> </v>
      </c>
      <c r="I6149" s="26" t="str">
        <f>IF(OR(E6149="",E6149="!!!",F6149="NEW"),"",INDEX(B6148:B$2,-1+SUMPRODUCT(MAX(ROW(E6148:E$2)*(E6149=E6148:E$2)))))</f>
        <v> </v>
      </c>
      <c r="J6149" s="26" t="str">
        <f>IF(OR(E6149="",E6149="!!!",F6149="NEW"),"",COUNTBLANK(OFFSET(A$1,,,SUMPRODUCT(MAX(ROW(E$2:E6149)*(E6149=E$2:E6149)))))-COUNTBLANK(OFFSET(A$1,,,SUMPRODUCT(MAX(ROW(E$1:E6148)*(E2=E$1:E6148))))))</f>
        <v> </v>
      </c>
      <c r="K6149" s="26" t="str">
        <f>IF(OR(E6149="",E6149="!!!",F6149="NEW"),"",INDEX(J$1:J6148,SUMPRODUCT(MAX(ROW(E$1:E6148)*(E6149=E$1:E6148)))))</f>
        <v> </v>
      </c>
      <c r="L6149" s="27"/>
    </row>
    <row r="6150" spans="1:12">
      <c r="A6150" s="20" t="s">
        <v>1185</v>
      </c>
      <c r="E6150" s="22">
        <f>IF(D6150="?OLD","!!!","")</f>
        <v/>
      </c>
      <c r="F6150" s="23" t="str">
        <f>IF(OR(E6150="",E6150="!!!"),"",IF(NOT(ISNA(VLOOKUP(E6150,E$1:E6149,1,FALSE()))),"OLD",IF(AND(E6150&lt;&gt;"",E6150&lt;&gt;"!!!"),"NEW","")))</f>
        <v> </v>
      </c>
      <c r="G6150" s="24" t="str">
        <f>IF(OR(E6150="",E6150="!!!"),"",IF(OR(J6150=0,AND(J6150=1,K6150=1),AND(J6150=1,I6150="SBJ"),AND(J6150=1,I6150=0)),"?IN_FOCUS",IF(J6150&lt;=2,"?ACTIVATED",IF(J6150&lt;&gt;"","?FAMILIAR",IF(F6150="NEW",IF(ISNA(VLOOKUP(E6150,#REF!,1,FALSE())),"?TYPE_IDENTIFIABLE","?REFERENTIAL"),"_")))))</f>
        <v> </v>
      </c>
      <c r="H6150" s="25" t="str">
        <f>IF(J6150&lt;&gt;1,"",IF(I6150="SBJ","CB","?"))</f>
        <v> </v>
      </c>
      <c r="I6150" s="26" t="str">
        <f>IF(OR(E6150="",E6150="!!!",F6150="NEW"),"",INDEX(B6149:B$2,-1+SUMPRODUCT(MAX(ROW(E6149:E$2)*(E6150=E6149:E$2)))))</f>
        <v> </v>
      </c>
      <c r="J6150" s="26" t="str">
        <f>IF(OR(E6150="",E6150="!!!",F6150="NEW"),"",COUNTBLANK(OFFSET(A$1,,,SUMPRODUCT(MAX(ROW(E$2:E6150)*(E6150=E$2:E6150)))))-COUNTBLANK(OFFSET(A$1,,,SUMPRODUCT(MAX(ROW(E$1:E6149)*(E2=E$1:E6149))))))</f>
        <v> </v>
      </c>
      <c r="K6150" s="26" t="str">
        <f>IF(OR(E6150="",E6150="!!!",F6150="NEW"),"",INDEX(J$1:J6149,SUMPRODUCT(MAX(ROW(E$1:E6149)*(E6150=E$1:E6149)))))</f>
        <v> </v>
      </c>
      <c r="L6150" s="27"/>
    </row>
    <row r="6151" spans="1:12">
      <c r="A6151" s="20" t="s">
        <v>1295</v>
      </c>
      <c r="E6151" s="22">
        <f>IF(D6151="?OLD","!!!","")</f>
        <v/>
      </c>
      <c r="F6151" s="23" t="str">
        <f>IF(OR(E6151="",E6151="!!!"),"",IF(NOT(ISNA(VLOOKUP(E6151,E$1:E6150,1,FALSE()))),"OLD",IF(AND(E6151&lt;&gt;"",E6151&lt;&gt;"!!!"),"NEW","")))</f>
        <v> </v>
      </c>
      <c r="G6151" s="24" t="str">
        <f>IF(OR(E6151="",E6151="!!!"),"",IF(OR(J6151=0,AND(J6151=1,K6151=1),AND(J6151=1,I6151="SBJ"),AND(J6151=1,I6151=0)),"?IN_FOCUS",IF(J6151&lt;=2,"?ACTIVATED",IF(J6151&lt;&gt;"","?FAMILIAR",IF(F6151="NEW",IF(ISNA(VLOOKUP(E6151,#REF!,1,FALSE())),"?TYPE_IDENTIFIABLE","?REFERENTIAL"),"_")))))</f>
        <v> </v>
      </c>
      <c r="H6151" s="25" t="str">
        <f>IF(J6151&lt;&gt;1,"",IF(I6151="SBJ","CB","?"))</f>
        <v> </v>
      </c>
      <c r="I6151" s="26" t="str">
        <f>IF(OR(E6151="",E6151="!!!",F6151="NEW"),"",INDEX(B6150:B$2,-1+SUMPRODUCT(MAX(ROW(E6150:E$2)*(E6151=E6150:E$2)))))</f>
        <v> </v>
      </c>
      <c r="J6151" s="26" t="str">
        <f>IF(OR(E6151="",E6151="!!!",F6151="NEW"),"",COUNTBLANK(OFFSET(A$1,,,SUMPRODUCT(MAX(ROW(E$2:E6151)*(E6151=E$2:E6151)))))-COUNTBLANK(OFFSET(A$1,,,SUMPRODUCT(MAX(ROW(E$1:E6150)*(E2=E$1:E6150))))))</f>
        <v> </v>
      </c>
      <c r="K6151" s="26" t="str">
        <f>IF(OR(E6151="",E6151="!!!",F6151="NEW"),"",INDEX(J$1:J6150,SUMPRODUCT(MAX(ROW(E$1:E6150)*(E6151=E$1:E6150)))))</f>
        <v> </v>
      </c>
      <c r="L6151" s="27"/>
    </row>
    <row r="6152" spans="1:12">
      <c r="A6152" s="20" t="s">
        <v>427</v>
      </c>
      <c r="B6152" s="21" t="s">
        <v>1240</v>
      </c>
      <c r="C6152" s="21" t="s">
        <v>1238</v>
      </c>
      <c r="D6152" s="21" t="s">
        <v>1180</v>
      </c>
      <c r="E6152" s="22">
        <f>IF(D6152="?OLD","!!!","")</f>
        <v/>
      </c>
      <c r="F6152" s="23" t="str">
        <f>IF(OR(E6152="",E6152="!!!"),"",IF(NOT(ISNA(VLOOKUP(E6152,E$1:E6151,1,FALSE()))),"OLD",IF(AND(E6152&lt;&gt;"",E6152&lt;&gt;"!!!"),"NEW","")))</f>
        <v> </v>
      </c>
      <c r="G6152" s="24" t="str">
        <f>IF(OR(E6152="",E6152="!!!"),"",IF(OR(J6152=0,AND(J6152=1,K6152=1),AND(J6152=1,I6152="SBJ"),AND(J6152=1,I6152=0)),"?IN_FOCUS",IF(J6152&lt;=2,"?ACTIVATED",IF(J6152&lt;&gt;"","?FAMILIAR",IF(F6152="NEW",IF(ISNA(VLOOKUP(E6152,#REF!,1,FALSE())),"?TYPE_IDENTIFIABLE","?REFERENTIAL"),"_")))))</f>
        <v> </v>
      </c>
      <c r="H6152" s="25" t="str">
        <f>IF(J6152&lt;&gt;1,"",IF(I6152="SBJ","CB","?"))</f>
        <v> </v>
      </c>
      <c r="I6152" s="26" t="str">
        <f>IF(OR(E6152="",E6152="!!!",F6152="NEW"),"",INDEX(B6151:B$2,-1+SUMPRODUCT(MAX(ROW(E6151:E$2)*(E6152=E6151:E$2)))))</f>
        <v> </v>
      </c>
      <c r="J6152" s="26" t="str">
        <f>IF(OR(E6152="",E6152="!!!",F6152="NEW"),"",COUNTBLANK(OFFSET(A$1,,,SUMPRODUCT(MAX(ROW(E$2:E6152)*(E6152=E$2:E6152)))))-COUNTBLANK(OFFSET(A$1,,,SUMPRODUCT(MAX(ROW(E$1:E6151)*(E2=E$1:E6151))))))</f>
        <v> </v>
      </c>
      <c r="K6152" s="26" t="str">
        <f>IF(OR(E6152="",E6152="!!!",F6152="NEW"),"",INDEX(J$1:J6151,SUMPRODUCT(MAX(ROW(E$1:E6151)*(E6152=E$1:E6151)))))</f>
        <v> </v>
      </c>
      <c r="L6152" s="27"/>
    </row>
    <row r="6153" spans="1:12">
      <c r="A6153" s="20" t="s">
        <v>1317</v>
      </c>
      <c r="E6153" s="22">
        <f>IF(D6153="?OLD","!!!","")</f>
        <v/>
      </c>
      <c r="F6153" s="23" t="str">
        <f>IF(OR(E6153="",E6153="!!!"),"",IF(NOT(ISNA(VLOOKUP(E6153,E$1:E6152,1,FALSE()))),"OLD",IF(AND(E6153&lt;&gt;"",E6153&lt;&gt;"!!!"),"NEW","")))</f>
        <v> </v>
      </c>
      <c r="G6153" s="24" t="str">
        <f>IF(OR(E6153="",E6153="!!!"),"",IF(OR(J6153=0,AND(J6153=1,K6153=1),AND(J6153=1,I6153="SBJ"),AND(J6153=1,I6153=0)),"?IN_FOCUS",IF(J6153&lt;=2,"?ACTIVATED",IF(J6153&lt;&gt;"","?FAMILIAR",IF(F6153="NEW",IF(ISNA(VLOOKUP(E6153,#REF!,1,FALSE())),"?TYPE_IDENTIFIABLE","?REFERENTIAL"),"_")))))</f>
        <v> </v>
      </c>
      <c r="H6153" s="25" t="str">
        <f>IF(J6153&lt;&gt;1,"",IF(I6153="SBJ","CB","?"))</f>
        <v> </v>
      </c>
      <c r="I6153" s="26" t="str">
        <f>IF(OR(E6153="",E6153="!!!",F6153="NEW"),"",INDEX(B6152:B$2,-1+SUMPRODUCT(MAX(ROW(E6152:E$2)*(E6153=E6152:E$2)))))</f>
        <v> </v>
      </c>
      <c r="J6153" s="26" t="str">
        <f>IF(OR(E6153="",E6153="!!!",F6153="NEW"),"",COUNTBLANK(OFFSET(A$1,,,SUMPRODUCT(MAX(ROW(E$2:E6153)*(E6153=E$2:E6153)))))-COUNTBLANK(OFFSET(A$1,,,SUMPRODUCT(MAX(ROW(E$1:E6152)*(E2=E$1:E6152))))))</f>
        <v> </v>
      </c>
      <c r="K6153" s="26" t="str">
        <f>IF(OR(E6153="",E6153="!!!",F6153="NEW"),"",INDEX(J$1:J6152,SUMPRODUCT(MAX(ROW(E$1:E6152)*(E6153=E$1:E6152)))))</f>
        <v> </v>
      </c>
      <c r="L6153" s="27"/>
    </row>
    <row r="6154" spans="1:12">
      <c r="A6154" s="20" t="s">
        <v>1242</v>
      </c>
      <c r="E6154" s="22">
        <f>IF(D6154="?OLD","!!!","")</f>
        <v/>
      </c>
      <c r="F6154" s="23" t="str">
        <f>IF(OR(E6154="",E6154="!!!"),"",IF(NOT(ISNA(VLOOKUP(E6154,E$1:E6153,1,FALSE()))),"OLD",IF(AND(E6154&lt;&gt;"",E6154&lt;&gt;"!!!"),"NEW","")))</f>
        <v> </v>
      </c>
      <c r="G6154" s="24" t="str">
        <f>IF(OR(E6154="",E6154="!!!"),"",IF(OR(J6154=0,AND(J6154=1,K6154=1),AND(J6154=1,I6154="SBJ"),AND(J6154=1,I6154=0)),"?IN_FOCUS",IF(J6154&lt;=2,"?ACTIVATED",IF(J6154&lt;&gt;"","?FAMILIAR",IF(F6154="NEW",IF(ISNA(VLOOKUP(E6154,#REF!,1,FALSE())),"?TYPE_IDENTIFIABLE","?REFERENTIAL"),"_")))))</f>
        <v> </v>
      </c>
      <c r="H6154" s="25" t="str">
        <f>IF(J6154&lt;&gt;1,"",IF(I6154="SBJ","CB","?"))</f>
        <v> </v>
      </c>
      <c r="I6154" s="26" t="str">
        <f>IF(OR(E6154="",E6154="!!!",F6154="NEW"),"",INDEX(B6153:B$2,-1+SUMPRODUCT(MAX(ROW(E6153:E$2)*(E6154=E6153:E$2)))))</f>
        <v> </v>
      </c>
      <c r="J6154" s="26" t="str">
        <f>IF(OR(E6154="",E6154="!!!",F6154="NEW"),"",COUNTBLANK(OFFSET(A$1,,,SUMPRODUCT(MAX(ROW(E$2:E6154)*(E6154=E$2:E6154)))))-COUNTBLANK(OFFSET(A$1,,,SUMPRODUCT(MAX(ROW(E$1:E6153)*(E2=E$1:E6153))))))</f>
        <v> </v>
      </c>
      <c r="K6154" s="26" t="str">
        <f>IF(OR(E6154="",E6154="!!!",F6154="NEW"),"",INDEX(J$1:J6153,SUMPRODUCT(MAX(ROW(E$1:E6153)*(E6154=E$1:E6153)))))</f>
        <v> </v>
      </c>
      <c r="L6154" s="27"/>
    </row>
    <row r="6155" spans="1:12">
      <c r="A6155" s="20" t="s">
        <v>2378</v>
      </c>
      <c r="B6155" s="21" t="s">
        <v>1207</v>
      </c>
      <c r="C6155" s="21" t="s">
        <v>1297</v>
      </c>
      <c r="D6155" s="21" t="s">
        <v>1180</v>
      </c>
      <c r="E6155" s="22">
        <f>IF(D6155="?OLD","!!!","")</f>
        <v/>
      </c>
      <c r="F6155" s="23" t="str">
        <f>IF(OR(E6155="",E6155="!!!"),"",IF(NOT(ISNA(VLOOKUP(E6155,E$1:E6154,1,FALSE()))),"OLD",IF(AND(E6155&lt;&gt;"",E6155&lt;&gt;"!!!"),"NEW","")))</f>
        <v> </v>
      </c>
      <c r="G6155" s="24" t="str">
        <f>IF(OR(E6155="",E6155="!!!"),"",IF(OR(J6155=0,AND(J6155=1,K6155=1),AND(J6155=1,I6155="SBJ"),AND(J6155=1,I6155=0)),"?IN_FOCUS",IF(J6155&lt;=2,"?ACTIVATED",IF(J6155&lt;&gt;"","?FAMILIAR",IF(F6155="NEW",IF(ISNA(VLOOKUP(E6155,#REF!,1,FALSE())),"?TYPE_IDENTIFIABLE","?REFERENTIAL"),"_")))))</f>
        <v> </v>
      </c>
      <c r="H6155" s="25" t="str">
        <f>IF(J6155&lt;&gt;1,"",IF(I6155="SBJ","CB","?"))</f>
        <v> </v>
      </c>
      <c r="I6155" s="26" t="str">
        <f>IF(OR(E6155="",E6155="!!!",F6155="NEW"),"",INDEX(B6154:B$2,-1+SUMPRODUCT(MAX(ROW(E6154:E$2)*(E6155=E6154:E$2)))))</f>
        <v> </v>
      </c>
      <c r="J6155" s="26" t="str">
        <f>IF(OR(E6155="",E6155="!!!",F6155="NEW"),"",COUNTBLANK(OFFSET(A$1,,,SUMPRODUCT(MAX(ROW(E$2:E6155)*(E6155=E$2:E6155)))))-COUNTBLANK(OFFSET(A$1,,,SUMPRODUCT(MAX(ROW(E$1:E6154)*(E2=E$1:E6154))))))</f>
        <v> </v>
      </c>
      <c r="K6155" s="26" t="str">
        <f>IF(OR(E6155="",E6155="!!!",F6155="NEW"),"",INDEX(J$1:J6154,SUMPRODUCT(MAX(ROW(E$1:E6154)*(E6155=E$1:E6154)))))</f>
        <v> </v>
      </c>
      <c r="L6155" s="27"/>
    </row>
    <row r="6156" spans="1:12">
      <c r="A6156" s="20" t="s">
        <v>2855</v>
      </c>
      <c r="B6156" s="21" t="s">
        <v>1191</v>
      </c>
      <c r="C6156" s="21" t="s">
        <v>1184</v>
      </c>
      <c r="E6156" s="22">
        <f>IF(D6156="?OLD","!!!","")</f>
        <v/>
      </c>
      <c r="F6156" s="23" t="str">
        <f>IF(OR(E6156="",E6156="!!!"),"",IF(NOT(ISNA(VLOOKUP(E6156,E$1:E6155,1,FALSE()))),"OLD",IF(AND(E6156&lt;&gt;"",E6156&lt;&gt;"!!!"),"NEW","")))</f>
        <v> </v>
      </c>
      <c r="G6156" s="24" t="str">
        <f>IF(OR(E6156="",E6156="!!!"),"",IF(OR(J6156=0,AND(J6156=1,K6156=1),AND(J6156=1,I6156="SBJ"),AND(J6156=1,I6156=0)),"?IN_FOCUS",IF(J6156&lt;=2,"?ACTIVATED",IF(J6156&lt;&gt;"","?FAMILIAR",IF(F6156="NEW",IF(ISNA(VLOOKUP(E6156,#REF!,1,FALSE())),"?TYPE_IDENTIFIABLE","?REFERENTIAL"),"_")))))</f>
        <v> </v>
      </c>
      <c r="H6156" s="25" t="str">
        <f>IF(J6156&lt;&gt;1,"",IF(I6156="SBJ","CB","?"))</f>
        <v> </v>
      </c>
      <c r="I6156" s="26" t="str">
        <f>IF(OR(E6156="",E6156="!!!",F6156="NEW"),"",INDEX(B6155:B$2,-1+SUMPRODUCT(MAX(ROW(E6155:E$2)*(E6156=E6155:E$2)))))</f>
        <v> </v>
      </c>
      <c r="J6156" s="26" t="str">
        <f>IF(OR(E6156="",E6156="!!!",F6156="NEW"),"",COUNTBLANK(OFFSET(A$1,,,SUMPRODUCT(MAX(ROW(E$2:E6156)*(E6156=E$2:E6156)))))-COUNTBLANK(OFFSET(A$1,,,SUMPRODUCT(MAX(ROW(E$1:E6155)*(E2=E$1:E6155))))))</f>
        <v> </v>
      </c>
      <c r="K6156" s="26" t="str">
        <f>IF(OR(E6156="",E6156="!!!",F6156="NEW"),"",INDEX(J$1:J6155,SUMPRODUCT(MAX(ROW(E$1:E6155)*(E6156=E$1:E6155)))))</f>
        <v> </v>
      </c>
      <c r="L6156" s="27"/>
    </row>
    <row r="6157" spans="1:12">
      <c r="A6157" s="20" t="s">
        <v>1224</v>
      </c>
      <c r="E6157" s="22">
        <f>IF(D6157="?OLD","!!!","")</f>
        <v/>
      </c>
      <c r="F6157" s="23" t="str">
        <f>IF(OR(E6157="",E6157="!!!"),"",IF(NOT(ISNA(VLOOKUP(E6157,E$1:E6156,1,FALSE()))),"OLD",IF(AND(E6157&lt;&gt;"",E6157&lt;&gt;"!!!"),"NEW","")))</f>
        <v> </v>
      </c>
      <c r="G6157" s="24" t="str">
        <f>IF(OR(E6157="",E6157="!!!"),"",IF(OR(J6157=0,AND(J6157=1,K6157=1),AND(J6157=1,I6157="SBJ"),AND(J6157=1,I6157=0)),"?IN_FOCUS",IF(J6157&lt;=2,"?ACTIVATED",IF(J6157&lt;&gt;"","?FAMILIAR",IF(F6157="NEW",IF(ISNA(VLOOKUP(E6157,#REF!,1,FALSE())),"?TYPE_IDENTIFIABLE","?REFERENTIAL"),"_")))))</f>
        <v> </v>
      </c>
      <c r="H6157" s="25" t="str">
        <f>IF(J6157&lt;&gt;1,"",IF(I6157="SBJ","CB","?"))</f>
        <v> </v>
      </c>
      <c r="I6157" s="26" t="str">
        <f>IF(OR(E6157="",E6157="!!!",F6157="NEW"),"",INDEX(B6156:B$2,-1+SUMPRODUCT(MAX(ROW(E6156:E$2)*(E6157=E6156:E$2)))))</f>
        <v> </v>
      </c>
      <c r="J6157" s="26" t="str">
        <f>IF(OR(E6157="",E6157="!!!",F6157="NEW"),"",COUNTBLANK(OFFSET(A$1,,,SUMPRODUCT(MAX(ROW(E$2:E6157)*(E6157=E$2:E6157)))))-COUNTBLANK(OFFSET(A$1,,,SUMPRODUCT(MAX(ROW(E$1:E6156)*(E2=E$1:E6156))))))</f>
        <v> </v>
      </c>
      <c r="K6157" s="26" t="str">
        <f>IF(OR(E6157="",E6157="!!!",F6157="NEW"),"",INDEX(J$1:J6156,SUMPRODUCT(MAX(ROW(E$1:E6156)*(E6157=E$1:E6156)))))</f>
        <v> </v>
      </c>
      <c r="L6157" s="27"/>
    </row>
    <row r="6158" spans="1:12">
      <c r="A6158" s="20" t="s">
        <v>1260</v>
      </c>
      <c r="E6158" s="22">
        <f>IF(D6158="?OLD","!!!","")</f>
        <v/>
      </c>
      <c r="F6158" s="23" t="str">
        <f>IF(OR(E6158="",E6158="!!!"),"",IF(NOT(ISNA(VLOOKUP(E6158,E$1:E6157,1,FALSE()))),"OLD",IF(AND(E6158&lt;&gt;"",E6158&lt;&gt;"!!!"),"NEW","")))</f>
        <v> </v>
      </c>
      <c r="G6158" s="24" t="str">
        <f>IF(OR(E6158="",E6158="!!!"),"",IF(OR(J6158=0,AND(J6158=1,K6158=1),AND(J6158=1,I6158="SBJ"),AND(J6158=1,I6158=0)),"?IN_FOCUS",IF(J6158&lt;=2,"?ACTIVATED",IF(J6158&lt;&gt;"","?FAMILIAR",IF(F6158="NEW",IF(ISNA(VLOOKUP(E6158,#REF!,1,FALSE())),"?TYPE_IDENTIFIABLE","?REFERENTIAL"),"_")))))</f>
        <v> </v>
      </c>
      <c r="H6158" s="25" t="str">
        <f>IF(J6158&lt;&gt;1,"",IF(I6158="SBJ","CB","?"))</f>
        <v> </v>
      </c>
      <c r="I6158" s="26" t="str">
        <f>IF(OR(E6158="",E6158="!!!",F6158="NEW"),"",INDEX(B6157:B$2,-1+SUMPRODUCT(MAX(ROW(E6157:E$2)*(E6158=E6157:E$2)))))</f>
        <v> </v>
      </c>
      <c r="J6158" s="26" t="str">
        <f>IF(OR(E6158="",E6158="!!!",F6158="NEW"),"",COUNTBLANK(OFFSET(A$1,,,SUMPRODUCT(MAX(ROW(E$2:E6158)*(E6158=E$2:E6158)))))-COUNTBLANK(OFFSET(A$1,,,SUMPRODUCT(MAX(ROW(E$1:E6157)*(E2=E$1:E6157))))))</f>
        <v> </v>
      </c>
      <c r="K6158" s="26" t="str">
        <f>IF(OR(E6158="",E6158="!!!",F6158="NEW"),"",INDEX(J$1:J6157,SUMPRODUCT(MAX(ROW(E$1:E6157)*(E6158=E$1:E6157)))))</f>
        <v> </v>
      </c>
      <c r="L6158" s="27"/>
    </row>
    <row r="6159" spans="1:12">
      <c r="A6159" s="20" t="s">
        <v>2856</v>
      </c>
      <c r="B6159" s="21" t="s">
        <v>1191</v>
      </c>
      <c r="C6159" s="21" t="s">
        <v>1188</v>
      </c>
      <c r="D6159" s="21" t="s">
        <v>1180</v>
      </c>
      <c r="E6159" s="22">
        <f>IF(D6159="?OLD","!!!","")</f>
        <v/>
      </c>
      <c r="F6159" s="23" t="str">
        <f>IF(OR(E6159="",E6159="!!!"),"",IF(NOT(ISNA(VLOOKUP(E6159,E$1:E6158,1,FALSE()))),"OLD",IF(AND(E6159&lt;&gt;"",E6159&lt;&gt;"!!!"),"NEW","")))</f>
        <v> </v>
      </c>
      <c r="G6159" s="24" t="str">
        <f>IF(OR(E6159="",E6159="!!!"),"",IF(OR(J6159=0,AND(J6159=1,K6159=1),AND(J6159=1,I6159="SBJ"),AND(J6159=1,I6159=0)),"?IN_FOCUS",IF(J6159&lt;=2,"?ACTIVATED",IF(J6159&lt;&gt;"","?FAMILIAR",IF(F6159="NEW",IF(ISNA(VLOOKUP(E6159,#REF!,1,FALSE())),"?TYPE_IDENTIFIABLE","?REFERENTIAL"),"_")))))</f>
        <v> </v>
      </c>
      <c r="H6159" s="25" t="str">
        <f>IF(J6159&lt;&gt;1,"",IF(I6159="SBJ","CB","?"))</f>
        <v> </v>
      </c>
      <c r="I6159" s="26" t="str">
        <f>IF(OR(E6159="",E6159="!!!",F6159="NEW"),"",INDEX(B6158:B$2,-1+SUMPRODUCT(MAX(ROW(E6158:E$2)*(E6159=E6158:E$2)))))</f>
        <v> </v>
      </c>
      <c r="J6159" s="26" t="str">
        <f>IF(OR(E6159="",E6159="!!!",F6159="NEW"),"",COUNTBLANK(OFFSET(A$1,,,SUMPRODUCT(MAX(ROW(E$2:E6159)*(E6159=E$2:E6159)))))-COUNTBLANK(OFFSET(A$1,,,SUMPRODUCT(MAX(ROW(E$1:E6158)*(E2=E$1:E6158))))))</f>
        <v> </v>
      </c>
      <c r="K6159" s="26" t="str">
        <f>IF(OR(E6159="",E6159="!!!",F6159="NEW"),"",INDEX(J$1:J6158,SUMPRODUCT(MAX(ROW(E$1:E6158)*(E6159=E$1:E6158)))))</f>
        <v> </v>
      </c>
      <c r="L6159" s="27"/>
    </row>
    <row r="6160" spans="1:12">
      <c r="A6160" s="20" t="s">
        <v>1314</v>
      </c>
      <c r="E6160" s="22">
        <f>IF(D6160="?OLD","!!!","")</f>
        <v/>
      </c>
      <c r="F6160" s="23" t="str">
        <f>IF(OR(E6160="",E6160="!!!"),"",IF(NOT(ISNA(VLOOKUP(E6160,E$1:E6159,1,FALSE()))),"OLD",IF(AND(E6160&lt;&gt;"",E6160&lt;&gt;"!!!"),"NEW","")))</f>
        <v> </v>
      </c>
      <c r="G6160" s="24" t="str">
        <f>IF(OR(E6160="",E6160="!!!"),"",IF(OR(J6160=0,AND(J6160=1,K6160=1),AND(J6160=1,I6160="SBJ"),AND(J6160=1,I6160=0)),"?IN_FOCUS",IF(J6160&lt;=2,"?ACTIVATED",IF(J6160&lt;&gt;"","?FAMILIAR",IF(F6160="NEW",IF(ISNA(VLOOKUP(E6160,#REF!,1,FALSE())),"?TYPE_IDENTIFIABLE","?REFERENTIAL"),"_")))))</f>
        <v> </v>
      </c>
      <c r="H6160" s="25" t="str">
        <f>IF(J6160&lt;&gt;1,"",IF(I6160="SBJ","CB","?"))</f>
        <v> </v>
      </c>
      <c r="I6160" s="26" t="str">
        <f>IF(OR(E6160="",E6160="!!!",F6160="NEW"),"",INDEX(B6159:B$2,-1+SUMPRODUCT(MAX(ROW(E6159:E$2)*(E6160=E6159:E$2)))))</f>
        <v> </v>
      </c>
      <c r="J6160" s="26" t="str">
        <f>IF(OR(E6160="",E6160="!!!",F6160="NEW"),"",COUNTBLANK(OFFSET(A$1,,,SUMPRODUCT(MAX(ROW(E$2:E6160)*(E6160=E$2:E6160)))))-COUNTBLANK(OFFSET(A$1,,,SUMPRODUCT(MAX(ROW(E$1:E6159)*(E2=E$1:E6159))))))</f>
        <v> </v>
      </c>
      <c r="K6160" s="26" t="str">
        <f>IF(OR(E6160="",E6160="!!!",F6160="NEW"),"",INDEX(J$1:J6159,SUMPRODUCT(MAX(ROW(E$1:E6159)*(E6160=E$1:E6159)))))</f>
        <v> </v>
      </c>
      <c r="L6160" s="27"/>
    </row>
    <row r="6161" spans="1:12">
      <c r="A6161" s="20" t="s">
        <v>2774</v>
      </c>
      <c r="E6161" s="22">
        <f>IF(D6161="?OLD","!!!","")</f>
        <v/>
      </c>
      <c r="F6161" s="23" t="str">
        <f>IF(OR(E6161="",E6161="!!!"),"",IF(NOT(ISNA(VLOOKUP(E6161,E$1:E6160,1,FALSE()))),"OLD",IF(AND(E6161&lt;&gt;"",E6161&lt;&gt;"!!!"),"NEW","")))</f>
        <v> </v>
      </c>
      <c r="G6161" s="24" t="str">
        <f>IF(OR(E6161="",E6161="!!!"),"",IF(OR(J6161=0,AND(J6161=1,K6161=1),AND(J6161=1,I6161="SBJ"),AND(J6161=1,I6161=0)),"?IN_FOCUS",IF(J6161&lt;=2,"?ACTIVATED",IF(J6161&lt;&gt;"","?FAMILIAR",IF(F6161="NEW",IF(ISNA(VLOOKUP(E6161,#REF!,1,FALSE())),"?TYPE_IDENTIFIABLE","?REFERENTIAL"),"_")))))</f>
        <v> </v>
      </c>
      <c r="H6161" s="25" t="str">
        <f>IF(J6161&lt;&gt;1,"",IF(I6161="SBJ","CB","?"))</f>
        <v> </v>
      </c>
      <c r="I6161" s="26" t="str">
        <f>IF(OR(E6161="",E6161="!!!",F6161="NEW"),"",INDEX(B6160:B$2,-1+SUMPRODUCT(MAX(ROW(E6160:E$2)*(E6161=E6160:E$2)))))</f>
        <v> </v>
      </c>
      <c r="J6161" s="26" t="str">
        <f>IF(OR(E6161="",E6161="!!!",F6161="NEW"),"",COUNTBLANK(OFFSET(A$1,,,SUMPRODUCT(MAX(ROW(E$2:E6161)*(E6161=E$2:E6161)))))-COUNTBLANK(OFFSET(A$1,,,SUMPRODUCT(MAX(ROW(E$1:E6160)*(E2=E$1:E6160))))))</f>
        <v> </v>
      </c>
      <c r="K6161" s="26" t="str">
        <f>IF(OR(E6161="",E6161="!!!",F6161="NEW"),"",INDEX(J$1:J6160,SUMPRODUCT(MAX(ROW(E$1:E6160)*(E6161=E$1:E6160)))))</f>
        <v> </v>
      </c>
      <c r="L6161" s="27"/>
    </row>
    <row r="6162" spans="1:12">
      <c r="A6162" s="20" t="s">
        <v>670</v>
      </c>
      <c r="E6162" s="22">
        <f>IF(D6162="?OLD","!!!","")</f>
        <v/>
      </c>
      <c r="F6162" s="23" t="str">
        <f>IF(OR(E6162="",E6162="!!!"),"",IF(NOT(ISNA(VLOOKUP(E6162,E$1:E6161,1,FALSE()))),"OLD",IF(AND(E6162&lt;&gt;"",E6162&lt;&gt;"!!!"),"NEW","")))</f>
        <v> </v>
      </c>
      <c r="G6162" s="24" t="str">
        <f>IF(OR(E6162="",E6162="!!!"),"",IF(OR(J6162=0,AND(J6162=1,K6162=1),AND(J6162=1,I6162="SBJ"),AND(J6162=1,I6162=0)),"?IN_FOCUS",IF(J6162&lt;=2,"?ACTIVATED",IF(J6162&lt;&gt;"","?FAMILIAR",IF(F6162="NEW",IF(ISNA(VLOOKUP(E6162,#REF!,1,FALSE())),"?TYPE_IDENTIFIABLE","?REFERENTIAL"),"_")))))</f>
        <v> </v>
      </c>
      <c r="H6162" s="25" t="str">
        <f>IF(J6162&lt;&gt;1,"",IF(I6162="SBJ","CB","?"))</f>
        <v> </v>
      </c>
      <c r="I6162" s="26" t="str">
        <f>IF(OR(E6162="",E6162="!!!",F6162="NEW"),"",INDEX(B6161:B$2,-1+SUMPRODUCT(MAX(ROW(E6161:E$2)*(E6162=E6161:E$2)))))</f>
        <v> </v>
      </c>
      <c r="J6162" s="26" t="str">
        <f>IF(OR(E6162="",E6162="!!!",F6162="NEW"),"",COUNTBLANK(OFFSET(A$1,,,SUMPRODUCT(MAX(ROW(E$2:E6162)*(E6162=E$2:E6162)))))-COUNTBLANK(OFFSET(A$1,,,SUMPRODUCT(MAX(ROW(E$1:E6161)*(E2=E$1:E6161))))))</f>
        <v> </v>
      </c>
      <c r="K6162" s="26" t="str">
        <f>IF(OR(E6162="",E6162="!!!",F6162="NEW"),"",INDEX(J$1:J6161,SUMPRODUCT(MAX(ROW(E$1:E6161)*(E6162=E$1:E6161)))))</f>
        <v> </v>
      </c>
      <c r="L6162" s="27"/>
    </row>
    <row r="6163" spans="1:12">
      <c r="A6163" s="20" t="s">
        <v>818</v>
      </c>
      <c r="E6163" s="22">
        <f>IF(D6163="?OLD","!!!","")</f>
        <v/>
      </c>
      <c r="F6163" s="23" t="str">
        <f>IF(OR(E6163="",E6163="!!!"),"",IF(NOT(ISNA(VLOOKUP(E6163,E$1:E6162,1,FALSE()))),"OLD",IF(AND(E6163&lt;&gt;"",E6163&lt;&gt;"!!!"),"NEW","")))</f>
        <v> </v>
      </c>
      <c r="G6163" s="24" t="str">
        <f>IF(OR(E6163="",E6163="!!!"),"",IF(OR(J6163=0,AND(J6163=1,K6163=1),AND(J6163=1,I6163="SBJ"),AND(J6163=1,I6163=0)),"?IN_FOCUS",IF(J6163&lt;=2,"?ACTIVATED",IF(J6163&lt;&gt;"","?FAMILIAR",IF(F6163="NEW",IF(ISNA(VLOOKUP(E6163,#REF!,1,FALSE())),"?TYPE_IDENTIFIABLE","?REFERENTIAL"),"_")))))</f>
        <v> </v>
      </c>
      <c r="H6163" s="25" t="str">
        <f>IF(J6163&lt;&gt;1,"",IF(I6163="SBJ","CB","?"))</f>
        <v> </v>
      </c>
      <c r="I6163" s="26" t="str">
        <f>IF(OR(E6163="",E6163="!!!",F6163="NEW"),"",INDEX(B6162:B$2,-1+SUMPRODUCT(MAX(ROW(E6162:E$2)*(E6163=E6162:E$2)))))</f>
        <v> </v>
      </c>
      <c r="J6163" s="26" t="str">
        <f>IF(OR(E6163="",E6163="!!!",F6163="NEW"),"",COUNTBLANK(OFFSET(A$1,,,SUMPRODUCT(MAX(ROW(E$2:E6163)*(E6163=E$2:E6163)))))-COUNTBLANK(OFFSET(A$1,,,SUMPRODUCT(MAX(ROW(E$1:E6162)*(E2=E$1:E6162))))))</f>
        <v> </v>
      </c>
      <c r="K6163" s="26" t="str">
        <f>IF(OR(E6163="",E6163="!!!",F6163="NEW"),"",INDEX(J$1:J6162,SUMPRODUCT(MAX(ROW(E$1:E6162)*(E6163=E$1:E6162)))))</f>
        <v> </v>
      </c>
      <c r="L6163" s="27"/>
    </row>
    <row r="6164" spans="1:12">
      <c r="A6164" s="20"/>
    </row>
    <row r="6165" spans="1:12">
      <c r="A6165" s="20" t="s">
        <v>2857</v>
      </c>
    </row>
    <row r="6166" spans="1:12">
      <c r="A6166" s="20" t="s">
        <v>1262</v>
      </c>
      <c r="B6166" s="21" t="s">
        <v>1178</v>
      </c>
      <c r="C6166" s="21" t="s">
        <v>1179</v>
      </c>
      <c r="D6166" s="21" t="s">
        <v>1180</v>
      </c>
      <c r="E6166" s="22">
        <f>IF(D6166="?OLD","!!!","")</f>
        <v/>
      </c>
      <c r="F6166" s="23" t="str">
        <f>IF(OR(E6166="",E6166="!!!"),"",IF(NOT(ISNA(VLOOKUP(E6166,E$1:E6165,1,FALSE()))),"OLD",IF(AND(E6166&lt;&gt;"",E6166&lt;&gt;"!!!"),"NEW","")))</f>
        <v> </v>
      </c>
      <c r="G6166" s="24" t="str">
        <f>IF(OR(E6166="",E6166="!!!"),"",IF(OR(J6166=0,AND(J6166=1,K6166=1),AND(J6166=1,I6166="SBJ"),AND(J6166=1,I6166=0)),"?IN_FOCUS",IF(J6166&lt;=2,"?ACTIVATED",IF(J6166&lt;&gt;"","?FAMILIAR",IF(F6166="NEW",IF(ISNA(VLOOKUP(E6166,#REF!,1,FALSE())),"?TYPE_IDENTIFIABLE","?REFERENTIAL"),"_")))))</f>
        <v> </v>
      </c>
      <c r="H6166" s="25" t="str">
        <f>IF(J6166&lt;&gt;1,"",IF(I6166="SBJ","CB","?"))</f>
        <v> </v>
      </c>
      <c r="I6166" s="26" t="str">
        <f>IF(OR(E6166="",E6166="!!!",F6166="NEW"),"",INDEX(B6165:B$2,-1+SUMPRODUCT(MAX(ROW(E6165:E$2)*(E6166=E6165:E$2)))))</f>
        <v> </v>
      </c>
      <c r="J6166" s="26" t="str">
        <f>IF(OR(E6166="",E6166="!!!",F6166="NEW"),"",COUNTBLANK(OFFSET(A$1,,,SUMPRODUCT(MAX(ROW(E$2:E6166)*(E6166=E$2:E6166)))))-COUNTBLANK(OFFSET(A$1,,,SUMPRODUCT(MAX(ROW(E$1:E6165)*(E2=E$1:E6165))))))</f>
        <v> </v>
      </c>
      <c r="K6166" s="26" t="str">
        <f>IF(OR(E6166="",E6166="!!!",F6166="NEW"),"",INDEX(J$1:J6165,SUMPRODUCT(MAX(ROW(E$1:E6165)*(E6166=E$1:E6165)))))</f>
        <v> </v>
      </c>
      <c r="L6166" s="27"/>
    </row>
    <row r="6167" spans="1:12">
      <c r="A6167" s="20" t="s">
        <v>818</v>
      </c>
      <c r="E6167" s="22">
        <f>IF(D6167="?OLD","!!!","")</f>
        <v/>
      </c>
      <c r="F6167" s="23" t="str">
        <f>IF(OR(E6167="",E6167="!!!"),"",IF(NOT(ISNA(VLOOKUP(E6167,E$1:E6166,1,FALSE()))),"OLD",IF(AND(E6167&lt;&gt;"",E6167&lt;&gt;"!!!"),"NEW","")))</f>
        <v> </v>
      </c>
      <c r="G6167" s="24" t="str">
        <f>IF(OR(E6167="",E6167="!!!"),"",IF(OR(J6167=0,AND(J6167=1,K6167=1),AND(J6167=1,I6167="SBJ"),AND(J6167=1,I6167=0)),"?IN_FOCUS",IF(J6167&lt;=2,"?ACTIVATED",IF(J6167&lt;&gt;"","?FAMILIAR",IF(F6167="NEW",IF(ISNA(VLOOKUP(E6167,#REF!,1,FALSE())),"?TYPE_IDENTIFIABLE","?REFERENTIAL"),"_")))))</f>
        <v> </v>
      </c>
      <c r="H6167" s="25" t="str">
        <f>IF(J6167&lt;&gt;1,"",IF(I6167="SBJ","CB","?"))</f>
        <v> </v>
      </c>
      <c r="I6167" s="26" t="str">
        <f>IF(OR(E6167="",E6167="!!!",F6167="NEW"),"",INDEX(B6166:B$2,-1+SUMPRODUCT(MAX(ROW(E6166:E$2)*(E6167=E6166:E$2)))))</f>
        <v> </v>
      </c>
      <c r="J6167" s="26" t="str">
        <f>IF(OR(E6167="",E6167="!!!",F6167="NEW"),"",COUNTBLANK(OFFSET(A$1,,,SUMPRODUCT(MAX(ROW(E$2:E6167)*(E6167=E$2:E6167)))))-COUNTBLANK(OFFSET(A$1,,,SUMPRODUCT(MAX(ROW(E$1:E6166)*(E2=E$1:E6166))))))</f>
        <v> </v>
      </c>
      <c r="K6167" s="26" t="str">
        <f>IF(OR(E6167="",E6167="!!!",F6167="NEW"),"",INDEX(J$1:J6166,SUMPRODUCT(MAX(ROW(E$1:E6166)*(E6167=E$1:E6166)))))</f>
        <v> </v>
      </c>
      <c r="L6167" s="27"/>
    </row>
    <row r="6168" spans="1:12">
      <c r="A6168" s="20"/>
    </row>
    <row r="6169" spans="1:12">
      <c r="A6169" s="20" t="s">
        <v>2858</v>
      </c>
    </row>
    <row r="6170" spans="1:12">
      <c r="A6170" s="20" t="s">
        <v>1193</v>
      </c>
      <c r="B6170" s="21" t="s">
        <v>1194</v>
      </c>
      <c r="C6170" s="21" t="s">
        <v>1195</v>
      </c>
      <c r="D6170" s="21" t="s">
        <v>1180</v>
      </c>
      <c r="E6170" s="22">
        <f>IF(D6170="?OLD","!!!","")</f>
        <v/>
      </c>
      <c r="F6170" s="23" t="str">
        <f>IF(OR(E6170="",E6170="!!!"),"",IF(NOT(ISNA(VLOOKUP(E6170,E$1:E6169,1,FALSE()))),"OLD",IF(AND(E6170&lt;&gt;"",E6170&lt;&gt;"!!!"),"NEW","")))</f>
        <v> </v>
      </c>
      <c r="G6170" s="24" t="str">
        <f>IF(OR(E6170="",E6170="!!!"),"",IF(OR(J6170=0,AND(J6170=1,K6170=1),AND(J6170=1,I6170="SBJ"),AND(J6170=1,I6170=0)),"?IN_FOCUS",IF(J6170&lt;=2,"?ACTIVATED",IF(J6170&lt;&gt;"","?FAMILIAR",IF(F6170="NEW",IF(ISNA(VLOOKUP(E6170,#REF!,1,FALSE())),"?TYPE_IDENTIFIABLE","?REFERENTIAL"),"_")))))</f>
        <v> </v>
      </c>
      <c r="H6170" s="25" t="str">
        <f>IF(J6170&lt;&gt;1,"",IF(I6170="SBJ","CB","?"))</f>
        <v> </v>
      </c>
      <c r="I6170" s="26" t="str">
        <f>IF(OR(E6170="",E6170="!!!",F6170="NEW"),"",INDEX(B6169:B$2,-1+SUMPRODUCT(MAX(ROW(E6169:E$2)*(E6170=E6169:E$2)))))</f>
        <v> </v>
      </c>
      <c r="J6170" s="26" t="str">
        <f>IF(OR(E6170="",E6170="!!!",F6170="NEW"),"",COUNTBLANK(OFFSET(A$1,,,SUMPRODUCT(MAX(ROW(E$2:E6170)*(E6170=E$2:E6170)))))-COUNTBLANK(OFFSET(A$1,,,SUMPRODUCT(MAX(ROW(E$1:E6169)*(E2=E$1:E6169))))))</f>
        <v> </v>
      </c>
      <c r="K6170" s="26" t="str">
        <f>IF(OR(E6170="",E6170="!!!",F6170="NEW"),"",INDEX(J$1:J6169,SUMPRODUCT(MAX(ROW(E$1:E6169)*(E6170=E$1:E6169)))))</f>
        <v> </v>
      </c>
      <c r="L6170" s="27"/>
    </row>
    <row r="6171" spans="1:12">
      <c r="A6171" s="20" t="s">
        <v>1320</v>
      </c>
      <c r="E6171" s="22">
        <f>IF(D6171="?OLD","!!!","")</f>
        <v/>
      </c>
      <c r="F6171" s="23" t="str">
        <f>IF(OR(E6171="",E6171="!!!"),"",IF(NOT(ISNA(VLOOKUP(E6171,E$1:E6170,1,FALSE()))),"OLD",IF(AND(E6171&lt;&gt;"",E6171&lt;&gt;"!!!"),"NEW","")))</f>
        <v> </v>
      </c>
      <c r="G6171" s="24" t="str">
        <f>IF(OR(E6171="",E6171="!!!"),"",IF(OR(J6171=0,AND(J6171=1,K6171=1),AND(J6171=1,I6171="SBJ"),AND(J6171=1,I6171=0)),"?IN_FOCUS",IF(J6171&lt;=2,"?ACTIVATED",IF(J6171&lt;&gt;"","?FAMILIAR",IF(F6171="NEW",IF(ISNA(VLOOKUP(E6171,#REF!,1,FALSE())),"?TYPE_IDENTIFIABLE","?REFERENTIAL"),"_")))))</f>
        <v> </v>
      </c>
      <c r="H6171" s="25" t="str">
        <f>IF(J6171&lt;&gt;1,"",IF(I6171="SBJ","CB","?"))</f>
        <v> </v>
      </c>
      <c r="I6171" s="26" t="str">
        <f>IF(OR(E6171="",E6171="!!!",F6171="NEW"),"",INDEX(B6170:B$2,-1+SUMPRODUCT(MAX(ROW(E6170:E$2)*(E6171=E6170:E$2)))))</f>
        <v> </v>
      </c>
      <c r="J6171" s="26" t="str">
        <f>IF(OR(E6171="",E6171="!!!",F6171="NEW"),"",COUNTBLANK(OFFSET(A$1,,,SUMPRODUCT(MAX(ROW(E$2:E6171)*(E6171=E$2:E6171)))))-COUNTBLANK(OFFSET(A$1,,,SUMPRODUCT(MAX(ROW(E$1:E6170)*(E2=E$1:E6170))))))</f>
        <v> </v>
      </c>
      <c r="K6171" s="26" t="str">
        <f>IF(OR(E6171="",E6171="!!!",F6171="NEW"),"",INDEX(J$1:J6170,SUMPRODUCT(MAX(ROW(E$1:E6170)*(E6171=E$1:E6170)))))</f>
        <v> </v>
      </c>
      <c r="L6171" s="27"/>
    </row>
    <row r="6172" spans="1:12">
      <c r="A6172" s="20" t="s">
        <v>1293</v>
      </c>
      <c r="E6172" s="22">
        <f>IF(D6172="?OLD","!!!","")</f>
        <v/>
      </c>
      <c r="F6172" s="23" t="str">
        <f>IF(OR(E6172="",E6172="!!!"),"",IF(NOT(ISNA(VLOOKUP(E6172,E$1:E6171,1,FALSE()))),"OLD",IF(AND(E6172&lt;&gt;"",E6172&lt;&gt;"!!!"),"NEW","")))</f>
        <v> </v>
      </c>
      <c r="G6172" s="24" t="str">
        <f>IF(OR(E6172="",E6172="!!!"),"",IF(OR(J6172=0,AND(J6172=1,K6172=1),AND(J6172=1,I6172="SBJ"),AND(J6172=1,I6172=0)),"?IN_FOCUS",IF(J6172&lt;=2,"?ACTIVATED",IF(J6172&lt;&gt;"","?FAMILIAR",IF(F6172="NEW",IF(ISNA(VLOOKUP(E6172,#REF!,1,FALSE())),"?TYPE_IDENTIFIABLE","?REFERENTIAL"),"_")))))</f>
        <v> </v>
      </c>
      <c r="H6172" s="25" t="str">
        <f>IF(J6172&lt;&gt;1,"",IF(I6172="SBJ","CB","?"))</f>
        <v> </v>
      </c>
      <c r="I6172" s="26" t="str">
        <f>IF(OR(E6172="",E6172="!!!",F6172="NEW"),"",INDEX(B6171:B$2,-1+SUMPRODUCT(MAX(ROW(E6171:E$2)*(E6172=E6171:E$2)))))</f>
        <v> </v>
      </c>
      <c r="J6172" s="26" t="str">
        <f>IF(OR(E6172="",E6172="!!!",F6172="NEW"),"",COUNTBLANK(OFFSET(A$1,,,SUMPRODUCT(MAX(ROW(E$2:E6172)*(E6172=E$2:E6172)))))-COUNTBLANK(OFFSET(A$1,,,SUMPRODUCT(MAX(ROW(E$1:E6171)*(E2=E$1:E6171))))))</f>
        <v> </v>
      </c>
      <c r="K6172" s="26" t="str">
        <f>IF(OR(E6172="",E6172="!!!",F6172="NEW"),"",INDEX(J$1:J6171,SUMPRODUCT(MAX(ROW(E$1:E6171)*(E6172=E$1:E6171)))))</f>
        <v> </v>
      </c>
      <c r="L6172" s="27"/>
    </row>
    <row r="6173" spans="1:12">
      <c r="A6173" s="20" t="s">
        <v>1314</v>
      </c>
      <c r="E6173" s="22">
        <f>IF(D6173="?OLD","!!!","")</f>
        <v/>
      </c>
      <c r="F6173" s="23" t="str">
        <f>IF(OR(E6173="",E6173="!!!"),"",IF(NOT(ISNA(VLOOKUP(E6173,E$1:E6172,1,FALSE()))),"OLD",IF(AND(E6173&lt;&gt;"",E6173&lt;&gt;"!!!"),"NEW","")))</f>
        <v> </v>
      </c>
      <c r="G6173" s="24" t="str">
        <f>IF(OR(E6173="",E6173="!!!"),"",IF(OR(J6173=0,AND(J6173=1,K6173=1),AND(J6173=1,I6173="SBJ"),AND(J6173=1,I6173=0)),"?IN_FOCUS",IF(J6173&lt;=2,"?ACTIVATED",IF(J6173&lt;&gt;"","?FAMILIAR",IF(F6173="NEW",IF(ISNA(VLOOKUP(E6173,#REF!,1,FALSE())),"?TYPE_IDENTIFIABLE","?REFERENTIAL"),"_")))))</f>
        <v> </v>
      </c>
      <c r="H6173" s="25" t="str">
        <f>IF(J6173&lt;&gt;1,"",IF(I6173="SBJ","CB","?"))</f>
        <v> </v>
      </c>
      <c r="I6173" s="26" t="str">
        <f>IF(OR(E6173="",E6173="!!!",F6173="NEW"),"",INDEX(B6172:B$2,-1+SUMPRODUCT(MAX(ROW(E6172:E$2)*(E6173=E6172:E$2)))))</f>
        <v> </v>
      </c>
      <c r="J6173" s="26" t="str">
        <f>IF(OR(E6173="",E6173="!!!",F6173="NEW"),"",COUNTBLANK(OFFSET(A$1,,,SUMPRODUCT(MAX(ROW(E$2:E6173)*(E6173=E$2:E6173)))))-COUNTBLANK(OFFSET(A$1,,,SUMPRODUCT(MAX(ROW(E$1:E6172)*(E2=E$1:E6172))))))</f>
        <v> </v>
      </c>
      <c r="K6173" s="26" t="str">
        <f>IF(OR(E6173="",E6173="!!!",F6173="NEW"),"",INDEX(J$1:J6172,SUMPRODUCT(MAX(ROW(E$1:E6172)*(E6173=E$1:E6172)))))</f>
        <v> </v>
      </c>
      <c r="L6173" s="27"/>
    </row>
    <row r="6174" spans="1:12">
      <c r="A6174" s="20" t="s">
        <v>1956</v>
      </c>
      <c r="E6174" s="22">
        <f>IF(D6174="?OLD","!!!","")</f>
        <v/>
      </c>
      <c r="F6174" s="23" t="str">
        <f>IF(OR(E6174="",E6174="!!!"),"",IF(NOT(ISNA(VLOOKUP(E6174,E$1:E6173,1,FALSE()))),"OLD",IF(AND(E6174&lt;&gt;"",E6174&lt;&gt;"!!!"),"NEW","")))</f>
        <v> </v>
      </c>
      <c r="G6174" s="24" t="str">
        <f>IF(OR(E6174="",E6174="!!!"),"",IF(OR(J6174=0,AND(J6174=1,K6174=1),AND(J6174=1,I6174="SBJ"),AND(J6174=1,I6174=0)),"?IN_FOCUS",IF(J6174&lt;=2,"?ACTIVATED",IF(J6174&lt;&gt;"","?FAMILIAR",IF(F6174="NEW",IF(ISNA(VLOOKUP(E6174,#REF!,1,FALSE())),"?TYPE_IDENTIFIABLE","?REFERENTIAL"),"_")))))</f>
        <v> </v>
      </c>
      <c r="H6174" s="25" t="str">
        <f>IF(J6174&lt;&gt;1,"",IF(I6174="SBJ","CB","?"))</f>
        <v> </v>
      </c>
      <c r="I6174" s="26" t="str">
        <f>IF(OR(E6174="",E6174="!!!",F6174="NEW"),"",INDEX(B6173:B$2,-1+SUMPRODUCT(MAX(ROW(E6173:E$2)*(E6174=E6173:E$2)))))</f>
        <v> </v>
      </c>
      <c r="J6174" s="26" t="str">
        <f>IF(OR(E6174="",E6174="!!!",F6174="NEW"),"",COUNTBLANK(OFFSET(A$1,,,SUMPRODUCT(MAX(ROW(E$2:E6174)*(E6174=E$2:E6174)))))-COUNTBLANK(OFFSET(A$1,,,SUMPRODUCT(MAX(ROW(E$1:E6173)*(E2=E$1:E6173))))))</f>
        <v> </v>
      </c>
      <c r="K6174" s="26" t="str">
        <f>IF(OR(E6174="",E6174="!!!",F6174="NEW"),"",INDEX(J$1:J6173,SUMPRODUCT(MAX(ROW(E$1:E6173)*(E6174=E$1:E6173)))))</f>
        <v> </v>
      </c>
      <c r="L6174" s="27"/>
    </row>
    <row r="6175" spans="1:12">
      <c r="A6175" s="20" t="s">
        <v>1185</v>
      </c>
      <c r="E6175" s="22">
        <f>IF(D6175="?OLD","!!!","")</f>
        <v/>
      </c>
      <c r="F6175" s="23" t="str">
        <f>IF(OR(E6175="",E6175="!!!"),"",IF(NOT(ISNA(VLOOKUP(E6175,E$1:E6174,1,FALSE()))),"OLD",IF(AND(E6175&lt;&gt;"",E6175&lt;&gt;"!!!"),"NEW","")))</f>
        <v> </v>
      </c>
      <c r="G6175" s="24" t="str">
        <f>IF(OR(E6175="",E6175="!!!"),"",IF(OR(J6175=0,AND(J6175=1,K6175=1),AND(J6175=1,I6175="SBJ"),AND(J6175=1,I6175=0)),"?IN_FOCUS",IF(J6175&lt;=2,"?ACTIVATED",IF(J6175&lt;&gt;"","?FAMILIAR",IF(F6175="NEW",IF(ISNA(VLOOKUP(E6175,#REF!,1,FALSE())),"?TYPE_IDENTIFIABLE","?REFERENTIAL"),"_")))))</f>
        <v> </v>
      </c>
      <c r="H6175" s="25" t="str">
        <f>IF(J6175&lt;&gt;1,"",IF(I6175="SBJ","CB","?"))</f>
        <v> </v>
      </c>
      <c r="I6175" s="26" t="str">
        <f>IF(OR(E6175="",E6175="!!!",F6175="NEW"),"",INDEX(B6174:B$2,-1+SUMPRODUCT(MAX(ROW(E6174:E$2)*(E6175=E6174:E$2)))))</f>
        <v> </v>
      </c>
      <c r="J6175" s="26" t="str">
        <f>IF(OR(E6175="",E6175="!!!",F6175="NEW"),"",COUNTBLANK(OFFSET(A$1,,,SUMPRODUCT(MAX(ROW(E$2:E6175)*(E6175=E$2:E6175)))))-COUNTBLANK(OFFSET(A$1,,,SUMPRODUCT(MAX(ROW(E$1:E6174)*(E2=E$1:E6174))))))</f>
        <v> </v>
      </c>
      <c r="K6175" s="26" t="str">
        <f>IF(OR(E6175="",E6175="!!!",F6175="NEW"),"",INDEX(J$1:J6174,SUMPRODUCT(MAX(ROW(E$1:E6174)*(E6175=E$1:E6174)))))</f>
        <v> </v>
      </c>
      <c r="L6175" s="27"/>
    </row>
    <row r="6176" spans="1:12">
      <c r="A6176" s="20" t="s">
        <v>1302</v>
      </c>
      <c r="E6176" s="22">
        <f>IF(D6176="?OLD","!!!","")</f>
        <v/>
      </c>
      <c r="F6176" s="23" t="str">
        <f>IF(OR(E6176="",E6176="!!!"),"",IF(NOT(ISNA(VLOOKUP(E6176,E$1:E6175,1,FALSE()))),"OLD",IF(AND(E6176&lt;&gt;"",E6176&lt;&gt;"!!!"),"NEW","")))</f>
        <v> </v>
      </c>
      <c r="G6176" s="24" t="str">
        <f>IF(OR(E6176="",E6176="!!!"),"",IF(OR(J6176=0,AND(J6176=1,K6176=1),AND(J6176=1,I6176="SBJ"),AND(J6176=1,I6176=0)),"?IN_FOCUS",IF(J6176&lt;=2,"?ACTIVATED",IF(J6176&lt;&gt;"","?FAMILIAR",IF(F6176="NEW",IF(ISNA(VLOOKUP(E6176,#REF!,1,FALSE())),"?TYPE_IDENTIFIABLE","?REFERENTIAL"),"_")))))</f>
        <v> </v>
      </c>
      <c r="H6176" s="25" t="str">
        <f>IF(J6176&lt;&gt;1,"",IF(I6176="SBJ","CB","?"))</f>
        <v> </v>
      </c>
      <c r="I6176" s="26" t="str">
        <f>IF(OR(E6176="",E6176="!!!",F6176="NEW"),"",INDEX(B6175:B$2,-1+SUMPRODUCT(MAX(ROW(E6175:E$2)*(E6176=E6175:E$2)))))</f>
        <v> </v>
      </c>
      <c r="J6176" s="26" t="str">
        <f>IF(OR(E6176="",E6176="!!!",F6176="NEW"),"",COUNTBLANK(OFFSET(A$1,,,SUMPRODUCT(MAX(ROW(E$2:E6176)*(E6176=E$2:E6176)))))-COUNTBLANK(OFFSET(A$1,,,SUMPRODUCT(MAX(ROW(E$1:E6175)*(E2=E$1:E6175))))))</f>
        <v> </v>
      </c>
      <c r="K6176" s="26" t="str">
        <f>IF(OR(E6176="",E6176="!!!",F6176="NEW"),"",INDEX(J$1:J6175,SUMPRODUCT(MAX(ROW(E$1:E6175)*(E6176=E$1:E6175)))))</f>
        <v> </v>
      </c>
      <c r="L6176" s="27"/>
    </row>
    <row r="6177" spans="1:12">
      <c r="A6177" s="20" t="s">
        <v>1303</v>
      </c>
      <c r="B6177" s="21" t="s">
        <v>1289</v>
      </c>
      <c r="C6177" s="21" t="s">
        <v>1254</v>
      </c>
      <c r="E6177" s="22">
        <f>IF(D6177="?OLD","!!!","")</f>
        <v/>
      </c>
      <c r="F6177" s="23" t="str">
        <f>IF(OR(E6177="",E6177="!!!"),"",IF(NOT(ISNA(VLOOKUP(E6177,E$1:E6176,1,FALSE()))),"OLD",IF(AND(E6177&lt;&gt;"",E6177&lt;&gt;"!!!"),"NEW","")))</f>
        <v> </v>
      </c>
      <c r="G6177" s="24" t="str">
        <f>IF(OR(E6177="",E6177="!!!"),"",IF(OR(J6177=0,AND(J6177=1,K6177=1),AND(J6177=1,I6177="SBJ"),AND(J6177=1,I6177=0)),"?IN_FOCUS",IF(J6177&lt;=2,"?ACTIVATED",IF(J6177&lt;&gt;"","?FAMILIAR",IF(F6177="NEW",IF(ISNA(VLOOKUP(E6177,#REF!,1,FALSE())),"?TYPE_IDENTIFIABLE","?REFERENTIAL"),"_")))))</f>
        <v> </v>
      </c>
      <c r="H6177" s="25" t="str">
        <f>IF(J6177&lt;&gt;1,"",IF(I6177="SBJ","CB","?"))</f>
        <v> </v>
      </c>
      <c r="I6177" s="26" t="str">
        <f>IF(OR(E6177="",E6177="!!!",F6177="NEW"),"",INDEX(B6176:B$2,-1+SUMPRODUCT(MAX(ROW(E6176:E$2)*(E6177=E6176:E$2)))))</f>
        <v> </v>
      </c>
      <c r="J6177" s="26" t="str">
        <f>IF(OR(E6177="",E6177="!!!",F6177="NEW"),"",COUNTBLANK(OFFSET(A$1,,,SUMPRODUCT(MAX(ROW(E$2:E6177)*(E6177=E$2:E6177)))))-COUNTBLANK(OFFSET(A$1,,,SUMPRODUCT(MAX(ROW(E$1:E6176)*(E2=E$1:E6176))))))</f>
        <v> </v>
      </c>
      <c r="K6177" s="26" t="str">
        <f>IF(OR(E6177="",E6177="!!!",F6177="NEW"),"",INDEX(J$1:J6176,SUMPRODUCT(MAX(ROW(E$1:E6176)*(E6177=E$1:E6176)))))</f>
        <v> </v>
      </c>
      <c r="L6177" s="27"/>
    </row>
    <row r="6178" spans="1:12">
      <c r="A6178" s="20" t="s">
        <v>1220</v>
      </c>
      <c r="E6178" s="22">
        <f>IF(D6178="?OLD","!!!","")</f>
        <v/>
      </c>
      <c r="F6178" s="23" t="str">
        <f>IF(OR(E6178="",E6178="!!!"),"",IF(NOT(ISNA(VLOOKUP(E6178,E$1:E6177,1,FALSE()))),"OLD",IF(AND(E6178&lt;&gt;"",E6178&lt;&gt;"!!!"),"NEW","")))</f>
        <v> </v>
      </c>
      <c r="G6178" s="24" t="str">
        <f>IF(OR(E6178="",E6178="!!!"),"",IF(OR(J6178=0,AND(J6178=1,K6178=1),AND(J6178=1,I6178="SBJ"),AND(J6178=1,I6178=0)),"?IN_FOCUS",IF(J6178&lt;=2,"?ACTIVATED",IF(J6178&lt;&gt;"","?FAMILIAR",IF(F6178="NEW",IF(ISNA(VLOOKUP(E6178,#REF!,1,FALSE())),"?TYPE_IDENTIFIABLE","?REFERENTIAL"),"_")))))</f>
        <v> </v>
      </c>
      <c r="H6178" s="25" t="str">
        <f>IF(J6178&lt;&gt;1,"",IF(I6178="SBJ","CB","?"))</f>
        <v> </v>
      </c>
      <c r="I6178" s="26" t="str">
        <f>IF(OR(E6178="",E6178="!!!",F6178="NEW"),"",INDEX(B6177:B$2,-1+SUMPRODUCT(MAX(ROW(E6177:E$2)*(E6178=E6177:E$2)))))</f>
        <v> </v>
      </c>
      <c r="J6178" s="26" t="str">
        <f>IF(OR(E6178="",E6178="!!!",F6178="NEW"),"",COUNTBLANK(OFFSET(A$1,,,SUMPRODUCT(MAX(ROW(E$2:E6178)*(E6178=E$2:E6178)))))-COUNTBLANK(OFFSET(A$1,,,SUMPRODUCT(MAX(ROW(E$1:E6177)*(E2=E$1:E6177))))))</f>
        <v> </v>
      </c>
      <c r="K6178" s="26" t="str">
        <f>IF(OR(E6178="",E6178="!!!",F6178="NEW"),"",INDEX(J$1:J6177,SUMPRODUCT(MAX(ROW(E$1:E6177)*(E6178=E$1:E6177)))))</f>
        <v> </v>
      </c>
      <c r="L6178" s="27"/>
    </row>
    <row r="6179" spans="1:12">
      <c r="A6179" s="20" t="s">
        <v>1239</v>
      </c>
      <c r="B6179" s="21" t="s">
        <v>1340</v>
      </c>
      <c r="C6179" s="21" t="s">
        <v>1223</v>
      </c>
      <c r="E6179" s="22">
        <f>IF(D6179="?OLD","!!!","")</f>
        <v/>
      </c>
      <c r="F6179" s="23" t="str">
        <f>IF(OR(E6179="",E6179="!!!"),"",IF(NOT(ISNA(VLOOKUP(E6179,E$1:E6178,1,FALSE()))),"OLD",IF(AND(E6179&lt;&gt;"",E6179&lt;&gt;"!!!"),"NEW","")))</f>
        <v> </v>
      </c>
      <c r="G6179" s="24" t="str">
        <f>IF(OR(E6179="",E6179="!!!"),"",IF(OR(J6179=0,AND(J6179=1,K6179=1),AND(J6179=1,I6179="SBJ"),AND(J6179=1,I6179=0)),"?IN_FOCUS",IF(J6179&lt;=2,"?ACTIVATED",IF(J6179&lt;&gt;"","?FAMILIAR",IF(F6179="NEW",IF(ISNA(VLOOKUP(E6179,#REF!,1,FALSE())),"?TYPE_IDENTIFIABLE","?REFERENTIAL"),"_")))))</f>
        <v> </v>
      </c>
      <c r="H6179" s="25" t="str">
        <f>IF(J6179&lt;&gt;1,"",IF(I6179="SBJ","CB","?"))</f>
        <v> </v>
      </c>
      <c r="I6179" s="26" t="str">
        <f>IF(OR(E6179="",E6179="!!!",F6179="NEW"),"",INDEX(B6178:B$2,-1+SUMPRODUCT(MAX(ROW(E6178:E$2)*(E6179=E6178:E$2)))))</f>
        <v> </v>
      </c>
      <c r="J6179" s="26" t="str">
        <f>IF(OR(E6179="",E6179="!!!",F6179="NEW"),"",COUNTBLANK(OFFSET(A$1,,,SUMPRODUCT(MAX(ROW(E$2:E6179)*(E6179=E$2:E6179)))))-COUNTBLANK(OFFSET(A$1,,,SUMPRODUCT(MAX(ROW(E$1:E6178)*(E2=E$1:E6178))))))</f>
        <v> </v>
      </c>
      <c r="K6179" s="26" t="str">
        <f>IF(OR(E6179="",E6179="!!!",F6179="NEW"),"",INDEX(J$1:J6178,SUMPRODUCT(MAX(ROW(E$1:E6178)*(E6179=E$1:E6178)))))</f>
        <v> </v>
      </c>
      <c r="L6179" s="27"/>
    </row>
    <row r="6180" spans="1:12">
      <c r="A6180" s="20" t="s">
        <v>1186</v>
      </c>
      <c r="E6180" s="22">
        <f>IF(D6180="?OLD","!!!","")</f>
        <v/>
      </c>
      <c r="F6180" s="23" t="str">
        <f>IF(OR(E6180="",E6180="!!!"),"",IF(NOT(ISNA(VLOOKUP(E6180,E$1:E6179,1,FALSE()))),"OLD",IF(AND(E6180&lt;&gt;"",E6180&lt;&gt;"!!!"),"NEW","")))</f>
        <v> </v>
      </c>
      <c r="G6180" s="24" t="str">
        <f>IF(OR(E6180="",E6180="!!!"),"",IF(OR(J6180=0,AND(J6180=1,K6180=1),AND(J6180=1,I6180="SBJ"),AND(J6180=1,I6180=0)),"?IN_FOCUS",IF(J6180&lt;=2,"?ACTIVATED",IF(J6180&lt;&gt;"","?FAMILIAR",IF(F6180="NEW",IF(ISNA(VLOOKUP(E6180,#REF!,1,FALSE())),"?TYPE_IDENTIFIABLE","?REFERENTIAL"),"_")))))</f>
        <v> </v>
      </c>
      <c r="H6180" s="25" t="str">
        <f>IF(J6180&lt;&gt;1,"",IF(I6180="SBJ","CB","?"))</f>
        <v> </v>
      </c>
      <c r="I6180" s="26" t="str">
        <f>IF(OR(E6180="",E6180="!!!",F6180="NEW"),"",INDEX(B6179:B$2,-1+SUMPRODUCT(MAX(ROW(E6179:E$2)*(E6180=E6179:E$2)))))</f>
        <v> </v>
      </c>
      <c r="J6180" s="26" t="str">
        <f>IF(OR(E6180="",E6180="!!!",F6180="NEW"),"",COUNTBLANK(OFFSET(A$1,,,SUMPRODUCT(MAX(ROW(E$2:E6180)*(E6180=E$2:E6180)))))-COUNTBLANK(OFFSET(A$1,,,SUMPRODUCT(MAX(ROW(E$1:E6179)*(E2=E$1:E6179))))))</f>
        <v> </v>
      </c>
      <c r="K6180" s="26" t="str">
        <f>IF(OR(E6180="",E6180="!!!",F6180="NEW"),"",INDEX(J$1:J6179,SUMPRODUCT(MAX(ROW(E$1:E6179)*(E6180=E$1:E6179)))))</f>
        <v> </v>
      </c>
      <c r="L6180" s="27"/>
    </row>
    <row r="6181" spans="1:12">
      <c r="A6181" s="20" t="s">
        <v>2091</v>
      </c>
      <c r="B6181" s="21" t="s">
        <v>1340</v>
      </c>
      <c r="C6181" s="21" t="s">
        <v>1188</v>
      </c>
      <c r="D6181" s="21" t="s">
        <v>1180</v>
      </c>
      <c r="E6181" s="22">
        <f>IF(D6181="?OLD","!!!","")</f>
        <v/>
      </c>
      <c r="F6181" s="23" t="str">
        <f>IF(OR(E6181="",E6181="!!!"),"",IF(NOT(ISNA(VLOOKUP(E6181,E$1:E6180,1,FALSE()))),"OLD",IF(AND(E6181&lt;&gt;"",E6181&lt;&gt;"!!!"),"NEW","")))</f>
        <v> </v>
      </c>
      <c r="G6181" s="24" t="str">
        <f>IF(OR(E6181="",E6181="!!!"),"",IF(OR(J6181=0,AND(J6181=1,K6181=1),AND(J6181=1,I6181="SBJ"),AND(J6181=1,I6181=0)),"?IN_FOCUS",IF(J6181&lt;=2,"?ACTIVATED",IF(J6181&lt;&gt;"","?FAMILIAR",IF(F6181="NEW",IF(ISNA(VLOOKUP(E6181,#REF!,1,FALSE())),"?TYPE_IDENTIFIABLE","?REFERENTIAL"),"_")))))</f>
        <v> </v>
      </c>
      <c r="H6181" s="25" t="str">
        <f>IF(J6181&lt;&gt;1,"",IF(I6181="SBJ","CB","?"))</f>
        <v> </v>
      </c>
      <c r="I6181" s="26" t="str">
        <f>IF(OR(E6181="",E6181="!!!",F6181="NEW"),"",INDEX(B6180:B$2,-1+SUMPRODUCT(MAX(ROW(E6180:E$2)*(E6181=E6180:E$2)))))</f>
        <v> </v>
      </c>
      <c r="J6181" s="26" t="str">
        <f>IF(OR(E6181="",E6181="!!!",F6181="NEW"),"",COUNTBLANK(OFFSET(A$1,,,SUMPRODUCT(MAX(ROW(E$2:E6181)*(E6181=E$2:E6181)))))-COUNTBLANK(OFFSET(A$1,,,SUMPRODUCT(MAX(ROW(E$1:E6180)*(E2=E$1:E6180))))))</f>
        <v> </v>
      </c>
      <c r="K6181" s="26" t="str">
        <f>IF(OR(E6181="",E6181="!!!",F6181="NEW"),"",INDEX(J$1:J6180,SUMPRODUCT(MAX(ROW(E$1:E6180)*(E6181=E$1:E6180)))))</f>
        <v> </v>
      </c>
      <c r="L6181" s="27"/>
    </row>
    <row r="6182" spans="1:12">
      <c r="A6182" s="20" t="s">
        <v>2859</v>
      </c>
      <c r="E6182" s="22">
        <f>IF(D6182="?OLD","!!!","")</f>
        <v/>
      </c>
      <c r="F6182" s="23" t="str">
        <f>IF(OR(E6182="",E6182="!!!"),"",IF(NOT(ISNA(VLOOKUP(E6182,E$1:E6181,1,FALSE()))),"OLD",IF(AND(E6182&lt;&gt;"",E6182&lt;&gt;"!!!"),"NEW","")))</f>
        <v> </v>
      </c>
      <c r="G6182" s="24" t="str">
        <f>IF(OR(E6182="",E6182="!!!"),"",IF(OR(J6182=0,AND(J6182=1,K6182=1),AND(J6182=1,I6182="SBJ"),AND(J6182=1,I6182=0)),"?IN_FOCUS",IF(J6182&lt;=2,"?ACTIVATED",IF(J6182&lt;&gt;"","?FAMILIAR",IF(F6182="NEW",IF(ISNA(VLOOKUP(E6182,#REF!,1,FALSE())),"?TYPE_IDENTIFIABLE","?REFERENTIAL"),"_")))))</f>
        <v> </v>
      </c>
      <c r="H6182" s="25" t="str">
        <f>IF(J6182&lt;&gt;1,"",IF(I6182="SBJ","CB","?"))</f>
        <v> </v>
      </c>
      <c r="I6182" s="26" t="str">
        <f>IF(OR(E6182="",E6182="!!!",F6182="NEW"),"",INDEX(B6181:B$2,-1+SUMPRODUCT(MAX(ROW(E6181:E$2)*(E6182=E6181:E$2)))))</f>
        <v> </v>
      </c>
      <c r="J6182" s="26" t="str">
        <f>IF(OR(E6182="",E6182="!!!",F6182="NEW"),"",COUNTBLANK(OFFSET(A$1,,,SUMPRODUCT(MAX(ROW(E$2:E6182)*(E6182=E$2:E6182)))))-COUNTBLANK(OFFSET(A$1,,,SUMPRODUCT(MAX(ROW(E$1:E6181)*(E2=E$1:E6181))))))</f>
        <v> </v>
      </c>
      <c r="K6182" s="26" t="str">
        <f>IF(OR(E6182="",E6182="!!!",F6182="NEW"),"",INDEX(J$1:J6181,SUMPRODUCT(MAX(ROW(E$1:E6181)*(E6182=E$1:E6181)))))</f>
        <v> </v>
      </c>
      <c r="L6182" s="27"/>
    </row>
    <row r="6183" spans="1:12">
      <c r="A6183" s="20" t="s">
        <v>1185</v>
      </c>
      <c r="E6183" s="22">
        <f>IF(D6183="?OLD","!!!","")</f>
        <v/>
      </c>
      <c r="F6183" s="23" t="str">
        <f>IF(OR(E6183="",E6183="!!!"),"",IF(NOT(ISNA(VLOOKUP(E6183,E$1:E6182,1,FALSE()))),"OLD",IF(AND(E6183&lt;&gt;"",E6183&lt;&gt;"!!!"),"NEW","")))</f>
        <v> </v>
      </c>
      <c r="G6183" s="24" t="str">
        <f>IF(OR(E6183="",E6183="!!!"),"",IF(OR(J6183=0,AND(J6183=1,K6183=1),AND(J6183=1,I6183="SBJ"),AND(J6183=1,I6183=0)),"?IN_FOCUS",IF(J6183&lt;=2,"?ACTIVATED",IF(J6183&lt;&gt;"","?FAMILIAR",IF(F6183="NEW",IF(ISNA(VLOOKUP(E6183,#REF!,1,FALSE())),"?TYPE_IDENTIFIABLE","?REFERENTIAL"),"_")))))</f>
        <v> </v>
      </c>
      <c r="H6183" s="25" t="str">
        <f>IF(J6183&lt;&gt;1,"",IF(I6183="SBJ","CB","?"))</f>
        <v> </v>
      </c>
      <c r="I6183" s="26" t="str">
        <f>IF(OR(E6183="",E6183="!!!",F6183="NEW"),"",INDEX(B6182:B$2,-1+SUMPRODUCT(MAX(ROW(E6182:E$2)*(E6183=E6182:E$2)))))</f>
        <v> </v>
      </c>
      <c r="J6183" s="26" t="str">
        <f>IF(OR(E6183="",E6183="!!!",F6183="NEW"),"",COUNTBLANK(OFFSET(A$1,,,SUMPRODUCT(MAX(ROW(E$2:E6183)*(E6183=E$2:E6183)))))-COUNTBLANK(OFFSET(A$1,,,SUMPRODUCT(MAX(ROW(E$1:E6182)*(E2=E$1:E6182))))))</f>
        <v> </v>
      </c>
      <c r="K6183" s="26" t="str">
        <f>IF(OR(E6183="",E6183="!!!",F6183="NEW"),"",INDEX(J$1:J6182,SUMPRODUCT(MAX(ROW(E$1:E6182)*(E6183=E$1:E6182)))))</f>
        <v> </v>
      </c>
      <c r="L6183" s="27"/>
    </row>
    <row r="6184" spans="1:12">
      <c r="A6184" s="20" t="s">
        <v>1471</v>
      </c>
      <c r="E6184" s="22">
        <f>IF(D6184="?OLD","!!!","")</f>
        <v/>
      </c>
      <c r="F6184" s="23" t="str">
        <f>IF(OR(E6184="",E6184="!!!"),"",IF(NOT(ISNA(VLOOKUP(E6184,E$1:E6183,1,FALSE()))),"OLD",IF(AND(E6184&lt;&gt;"",E6184&lt;&gt;"!!!"),"NEW","")))</f>
        <v> </v>
      </c>
      <c r="G6184" s="24" t="str">
        <f>IF(OR(E6184="",E6184="!!!"),"",IF(OR(J6184=0,AND(J6184=1,K6184=1),AND(J6184=1,I6184="SBJ"),AND(J6184=1,I6184=0)),"?IN_FOCUS",IF(J6184&lt;=2,"?ACTIVATED",IF(J6184&lt;&gt;"","?FAMILIAR",IF(F6184="NEW",IF(ISNA(VLOOKUP(E6184,#REF!,1,FALSE())),"?TYPE_IDENTIFIABLE","?REFERENTIAL"),"_")))))</f>
        <v> </v>
      </c>
      <c r="H6184" s="25" t="str">
        <f>IF(J6184&lt;&gt;1,"",IF(I6184="SBJ","CB","?"))</f>
        <v> </v>
      </c>
      <c r="I6184" s="26" t="str">
        <f>IF(OR(E6184="",E6184="!!!",F6184="NEW"),"",INDEX(B6183:B$2,-1+SUMPRODUCT(MAX(ROW(E6183:E$2)*(E6184=E6183:E$2)))))</f>
        <v> </v>
      </c>
      <c r="J6184" s="26" t="str">
        <f>IF(OR(E6184="",E6184="!!!",F6184="NEW"),"",COUNTBLANK(OFFSET(A$1,,,SUMPRODUCT(MAX(ROW(E$2:E6184)*(E6184=E$2:E6184)))))-COUNTBLANK(OFFSET(A$1,,,SUMPRODUCT(MAX(ROW(E$1:E6183)*(E2=E$1:E6183))))))</f>
        <v> </v>
      </c>
      <c r="K6184" s="26" t="str">
        <f>IF(OR(E6184="",E6184="!!!",F6184="NEW"),"",INDEX(J$1:J6183,SUMPRODUCT(MAX(ROW(E$1:E6183)*(E6184=E$1:E6183)))))</f>
        <v> </v>
      </c>
      <c r="L6184" s="27"/>
    </row>
    <row r="6185" spans="1:12">
      <c r="A6185" s="20" t="s">
        <v>1263</v>
      </c>
      <c r="B6185" s="21" t="s">
        <v>1289</v>
      </c>
      <c r="C6185" s="21" t="s">
        <v>1195</v>
      </c>
      <c r="D6185" s="21" t="s">
        <v>1180</v>
      </c>
      <c r="E6185" s="22">
        <f>IF(D6185="?OLD","!!!","")</f>
        <v/>
      </c>
      <c r="F6185" s="23" t="str">
        <f>IF(OR(E6185="",E6185="!!!"),"",IF(NOT(ISNA(VLOOKUP(E6185,E$1:E6184,1,FALSE()))),"OLD",IF(AND(E6185&lt;&gt;"",E6185&lt;&gt;"!!!"),"NEW","")))</f>
        <v> </v>
      </c>
      <c r="G6185" s="24" t="str">
        <f>IF(OR(E6185="",E6185="!!!"),"",IF(OR(J6185=0,AND(J6185=1,K6185=1),AND(J6185=1,I6185="SBJ"),AND(J6185=1,I6185=0)),"?IN_FOCUS",IF(J6185&lt;=2,"?ACTIVATED",IF(J6185&lt;&gt;"","?FAMILIAR",IF(F6185="NEW",IF(ISNA(VLOOKUP(E6185,#REF!,1,FALSE())),"?TYPE_IDENTIFIABLE","?REFERENTIAL"),"_")))))</f>
        <v> </v>
      </c>
      <c r="H6185" s="25" t="str">
        <f>IF(J6185&lt;&gt;1,"",IF(I6185="SBJ","CB","?"))</f>
        <v> </v>
      </c>
      <c r="I6185" s="26" t="str">
        <f>IF(OR(E6185="",E6185="!!!",F6185="NEW"),"",INDEX(B6184:B$2,-1+SUMPRODUCT(MAX(ROW(E6184:E$2)*(E6185=E6184:E$2)))))</f>
        <v> </v>
      </c>
      <c r="J6185" s="26" t="str">
        <f>IF(OR(E6185="",E6185="!!!",F6185="NEW"),"",COUNTBLANK(OFFSET(A$1,,,SUMPRODUCT(MAX(ROW(E$2:E6185)*(E6185=E$2:E6185)))))-COUNTBLANK(OFFSET(A$1,,,SUMPRODUCT(MAX(ROW(E$1:E6184)*(E2=E$1:E6184))))))</f>
        <v> </v>
      </c>
      <c r="K6185" s="26" t="str">
        <f>IF(OR(E6185="",E6185="!!!",F6185="NEW"),"",INDEX(J$1:J6184,SUMPRODUCT(MAX(ROW(E$1:E6184)*(E6185=E$1:E6184)))))</f>
        <v> </v>
      </c>
      <c r="L6185" s="27"/>
    </row>
    <row r="6186" spans="1:12">
      <c r="A6186" s="20" t="s">
        <v>2860</v>
      </c>
      <c r="E6186" s="22">
        <f>IF(D6186="?OLD","!!!","")</f>
        <v/>
      </c>
      <c r="F6186" s="23" t="str">
        <f>IF(OR(E6186="",E6186="!!!"),"",IF(NOT(ISNA(VLOOKUP(E6186,E$1:E6185,1,FALSE()))),"OLD",IF(AND(E6186&lt;&gt;"",E6186&lt;&gt;"!!!"),"NEW","")))</f>
        <v> </v>
      </c>
      <c r="G6186" s="24" t="str">
        <f>IF(OR(E6186="",E6186="!!!"),"",IF(OR(J6186=0,AND(J6186=1,K6186=1),AND(J6186=1,I6186="SBJ"),AND(J6186=1,I6186=0)),"?IN_FOCUS",IF(J6186&lt;=2,"?ACTIVATED",IF(J6186&lt;&gt;"","?FAMILIAR",IF(F6186="NEW",IF(ISNA(VLOOKUP(E6186,#REF!,1,FALSE())),"?TYPE_IDENTIFIABLE","?REFERENTIAL"),"_")))))</f>
        <v> </v>
      </c>
      <c r="H6186" s="25" t="str">
        <f>IF(J6186&lt;&gt;1,"",IF(I6186="SBJ","CB","?"))</f>
        <v> </v>
      </c>
      <c r="I6186" s="26" t="str">
        <f>IF(OR(E6186="",E6186="!!!",F6186="NEW"),"",INDEX(B6185:B$2,-1+SUMPRODUCT(MAX(ROW(E6185:E$2)*(E6186=E6185:E$2)))))</f>
        <v> </v>
      </c>
      <c r="J6186" s="26" t="str">
        <f>IF(OR(E6186="",E6186="!!!",F6186="NEW"),"",COUNTBLANK(OFFSET(A$1,,,SUMPRODUCT(MAX(ROW(E$2:E6186)*(E6186=E$2:E6186)))))-COUNTBLANK(OFFSET(A$1,,,SUMPRODUCT(MAX(ROW(E$1:E6185)*(E2=E$1:E6185))))))</f>
        <v> </v>
      </c>
      <c r="K6186" s="26" t="str">
        <f>IF(OR(E6186="",E6186="!!!",F6186="NEW"),"",INDEX(J$1:J6185,SUMPRODUCT(MAX(ROW(E$1:E6185)*(E6186=E$1:E6185)))))</f>
        <v> </v>
      </c>
      <c r="L6186" s="27"/>
    </row>
    <row r="6187" spans="1:12">
      <c r="A6187" s="20" t="s">
        <v>1185</v>
      </c>
      <c r="E6187" s="22">
        <f>IF(D6187="?OLD","!!!","")</f>
        <v/>
      </c>
      <c r="F6187" s="23" t="str">
        <f>IF(OR(E6187="",E6187="!!!"),"",IF(NOT(ISNA(VLOOKUP(E6187,E$1:E6186,1,FALSE()))),"OLD",IF(AND(E6187&lt;&gt;"",E6187&lt;&gt;"!!!"),"NEW","")))</f>
        <v> </v>
      </c>
      <c r="G6187" s="24" t="str">
        <f>IF(OR(E6187="",E6187="!!!"),"",IF(OR(J6187=0,AND(J6187=1,K6187=1),AND(J6187=1,I6187="SBJ"),AND(J6187=1,I6187=0)),"?IN_FOCUS",IF(J6187&lt;=2,"?ACTIVATED",IF(J6187&lt;&gt;"","?FAMILIAR",IF(F6187="NEW",IF(ISNA(VLOOKUP(E6187,#REF!,1,FALSE())),"?TYPE_IDENTIFIABLE","?REFERENTIAL"),"_")))))</f>
        <v> </v>
      </c>
      <c r="H6187" s="25" t="str">
        <f>IF(J6187&lt;&gt;1,"",IF(I6187="SBJ","CB","?"))</f>
        <v> </v>
      </c>
      <c r="I6187" s="26" t="str">
        <f>IF(OR(E6187="",E6187="!!!",F6187="NEW"),"",INDEX(B6186:B$2,-1+SUMPRODUCT(MAX(ROW(E6186:E$2)*(E6187=E6186:E$2)))))</f>
        <v> </v>
      </c>
      <c r="J6187" s="26" t="str">
        <f>IF(OR(E6187="",E6187="!!!",F6187="NEW"),"",COUNTBLANK(OFFSET(A$1,,,SUMPRODUCT(MAX(ROW(E$2:E6187)*(E6187=E$2:E6187)))))-COUNTBLANK(OFFSET(A$1,,,SUMPRODUCT(MAX(ROW(E$1:E6186)*(E2=E$1:E6186))))))</f>
        <v> </v>
      </c>
      <c r="K6187" s="26" t="str">
        <f>IF(OR(E6187="",E6187="!!!",F6187="NEW"),"",INDEX(J$1:J6186,SUMPRODUCT(MAX(ROW(E$1:E6186)*(E6187=E$1:E6186)))))</f>
        <v> </v>
      </c>
      <c r="L6187" s="27"/>
    </row>
    <row r="6188" spans="1:12">
      <c r="A6188" s="20" t="s">
        <v>1495</v>
      </c>
      <c r="B6188" s="21" t="s">
        <v>1240</v>
      </c>
      <c r="E6188" s="22">
        <f>IF(D6188="?OLD","!!!","")</f>
        <v/>
      </c>
      <c r="F6188" s="23" t="str">
        <f>IF(OR(E6188="",E6188="!!!"),"",IF(NOT(ISNA(VLOOKUP(E6188,E$1:E6187,1,FALSE()))),"OLD",IF(AND(E6188&lt;&gt;"",E6188&lt;&gt;"!!!"),"NEW","")))</f>
        <v> </v>
      </c>
      <c r="G6188" s="24" t="str">
        <f>IF(OR(E6188="",E6188="!!!"),"",IF(OR(J6188=0,AND(J6188=1,K6188=1),AND(J6188=1,I6188="SBJ"),AND(J6188=1,I6188=0)),"?IN_FOCUS",IF(J6188&lt;=2,"?ACTIVATED",IF(J6188&lt;&gt;"","?FAMILIAR",IF(F6188="NEW",IF(ISNA(VLOOKUP(E6188,#REF!,1,FALSE())),"?TYPE_IDENTIFIABLE","?REFERENTIAL"),"_")))))</f>
        <v> </v>
      </c>
      <c r="H6188" s="25" t="str">
        <f>IF(J6188&lt;&gt;1,"",IF(I6188="SBJ","CB","?"))</f>
        <v> </v>
      </c>
      <c r="I6188" s="26" t="str">
        <f>IF(OR(E6188="",E6188="!!!",F6188="NEW"),"",INDEX(B6187:B$2,-1+SUMPRODUCT(MAX(ROW(E6187:E$2)*(E6188=E6187:E$2)))))</f>
        <v> </v>
      </c>
      <c r="J6188" s="26" t="str">
        <f>IF(OR(E6188="",E6188="!!!",F6188="NEW"),"",COUNTBLANK(OFFSET(A$1,,,SUMPRODUCT(MAX(ROW(E$2:E6188)*(E6188=E$2:E6188)))))-COUNTBLANK(OFFSET(A$1,,,SUMPRODUCT(MAX(ROW(E$1:E6187)*(E2=E$1:E6187))))))</f>
        <v> </v>
      </c>
      <c r="K6188" s="26" t="str">
        <f>IF(OR(E6188="",E6188="!!!",F6188="NEW"),"",INDEX(J$1:J6187,SUMPRODUCT(MAX(ROW(E$1:E6187)*(E6188=E$1:E6187)))))</f>
        <v> </v>
      </c>
      <c r="L6188" s="27"/>
    </row>
    <row r="6189" spans="1:12">
      <c r="A6189" s="20" t="s">
        <v>1702</v>
      </c>
      <c r="E6189" s="22">
        <f>IF(D6189="?OLD","!!!","")</f>
        <v/>
      </c>
      <c r="F6189" s="23" t="str">
        <f>IF(OR(E6189="",E6189="!!!"),"",IF(NOT(ISNA(VLOOKUP(E6189,E$1:E6188,1,FALSE()))),"OLD",IF(AND(E6189&lt;&gt;"",E6189&lt;&gt;"!!!"),"NEW","")))</f>
        <v> </v>
      </c>
      <c r="G6189" s="24" t="str">
        <f>IF(OR(E6189="",E6189="!!!"),"",IF(OR(J6189=0,AND(J6189=1,K6189=1),AND(J6189=1,I6189="SBJ"),AND(J6189=1,I6189=0)),"?IN_FOCUS",IF(J6189&lt;=2,"?ACTIVATED",IF(J6189&lt;&gt;"","?FAMILIAR",IF(F6189="NEW",IF(ISNA(VLOOKUP(E6189,#REF!,1,FALSE())),"?TYPE_IDENTIFIABLE","?REFERENTIAL"),"_")))))</f>
        <v> </v>
      </c>
      <c r="H6189" s="25" t="str">
        <f>IF(J6189&lt;&gt;1,"",IF(I6189="SBJ","CB","?"))</f>
        <v> </v>
      </c>
      <c r="I6189" s="26" t="str">
        <f>IF(OR(E6189="",E6189="!!!",F6189="NEW"),"",INDEX(B6188:B$2,-1+SUMPRODUCT(MAX(ROW(E6188:E$2)*(E6189=E6188:E$2)))))</f>
        <v> </v>
      </c>
      <c r="J6189" s="26" t="str">
        <f>IF(OR(E6189="",E6189="!!!",F6189="NEW"),"",COUNTBLANK(OFFSET(A$1,,,SUMPRODUCT(MAX(ROW(E$2:E6189)*(E6189=E$2:E6189)))))-COUNTBLANK(OFFSET(A$1,,,SUMPRODUCT(MAX(ROW(E$1:E6188)*(E2=E$1:E6188))))))</f>
        <v> </v>
      </c>
      <c r="K6189" s="26" t="str">
        <f>IF(OR(E6189="",E6189="!!!",F6189="NEW"),"",INDEX(J$1:J6188,SUMPRODUCT(MAX(ROW(E$1:E6188)*(E6189=E$1:E6188)))))</f>
        <v> </v>
      </c>
      <c r="L6189" s="27"/>
    </row>
    <row r="6190" spans="1:12">
      <c r="A6190" s="20" t="s">
        <v>1257</v>
      </c>
      <c r="E6190" s="22">
        <f>IF(D6190="?OLD","!!!","")</f>
        <v/>
      </c>
      <c r="F6190" s="23" t="str">
        <f>IF(OR(E6190="",E6190="!!!"),"",IF(NOT(ISNA(VLOOKUP(E6190,E$1:E6189,1,FALSE()))),"OLD",IF(AND(E6190&lt;&gt;"",E6190&lt;&gt;"!!!"),"NEW","")))</f>
        <v> </v>
      </c>
      <c r="G6190" s="24" t="str">
        <f>IF(OR(E6190="",E6190="!!!"),"",IF(OR(J6190=0,AND(J6190=1,K6190=1),AND(J6190=1,I6190="SBJ"),AND(J6190=1,I6190=0)),"?IN_FOCUS",IF(J6190&lt;=2,"?ACTIVATED",IF(J6190&lt;&gt;"","?FAMILIAR",IF(F6190="NEW",IF(ISNA(VLOOKUP(E6190,#REF!,1,FALSE())),"?TYPE_IDENTIFIABLE","?REFERENTIAL"),"_")))))</f>
        <v> </v>
      </c>
      <c r="H6190" s="25" t="str">
        <f>IF(J6190&lt;&gt;1,"",IF(I6190="SBJ","CB","?"))</f>
        <v> </v>
      </c>
      <c r="I6190" s="26" t="str">
        <f>IF(OR(E6190="",E6190="!!!",F6190="NEW"),"",INDEX(B6189:B$2,-1+SUMPRODUCT(MAX(ROW(E6189:E$2)*(E6190=E6189:E$2)))))</f>
        <v> </v>
      </c>
      <c r="J6190" s="26" t="str">
        <f>IF(OR(E6190="",E6190="!!!",F6190="NEW"),"",COUNTBLANK(OFFSET(A$1,,,SUMPRODUCT(MAX(ROW(E$2:E6190)*(E6190=E$2:E6190)))))-COUNTBLANK(OFFSET(A$1,,,SUMPRODUCT(MAX(ROW(E$1:E6189)*(E2=E$1:E6189))))))</f>
        <v> </v>
      </c>
      <c r="K6190" s="26" t="str">
        <f>IF(OR(E6190="",E6190="!!!",F6190="NEW"),"",INDEX(J$1:J6189,SUMPRODUCT(MAX(ROW(E$1:E6189)*(E6190=E$1:E6189)))))</f>
        <v> </v>
      </c>
      <c r="L6190" s="27"/>
    </row>
    <row r="6191" spans="1:12">
      <c r="A6191" s="20" t="s">
        <v>1186</v>
      </c>
      <c r="E6191" s="22">
        <f>IF(D6191="?OLD","!!!","")</f>
        <v/>
      </c>
      <c r="F6191" s="23" t="str">
        <f>IF(OR(E6191="",E6191="!!!"),"",IF(NOT(ISNA(VLOOKUP(E6191,E$1:E6190,1,FALSE()))),"OLD",IF(AND(E6191&lt;&gt;"",E6191&lt;&gt;"!!!"),"NEW","")))</f>
        <v> </v>
      </c>
      <c r="G6191" s="24" t="str">
        <f>IF(OR(E6191="",E6191="!!!"),"",IF(OR(J6191=0,AND(J6191=1,K6191=1),AND(J6191=1,I6191="SBJ"),AND(J6191=1,I6191=0)),"?IN_FOCUS",IF(J6191&lt;=2,"?ACTIVATED",IF(J6191&lt;&gt;"","?FAMILIAR",IF(F6191="NEW",IF(ISNA(VLOOKUP(E6191,#REF!,1,FALSE())),"?TYPE_IDENTIFIABLE","?REFERENTIAL"),"_")))))</f>
        <v> </v>
      </c>
      <c r="H6191" s="25" t="str">
        <f>IF(J6191&lt;&gt;1,"",IF(I6191="SBJ","CB","?"))</f>
        <v> </v>
      </c>
      <c r="I6191" s="26" t="str">
        <f>IF(OR(E6191="",E6191="!!!",F6191="NEW"),"",INDEX(B6190:B$2,-1+SUMPRODUCT(MAX(ROW(E6190:E$2)*(E6191=E6190:E$2)))))</f>
        <v> </v>
      </c>
      <c r="J6191" s="26" t="str">
        <f>IF(OR(E6191="",E6191="!!!",F6191="NEW"),"",COUNTBLANK(OFFSET(A$1,,,SUMPRODUCT(MAX(ROW(E$2:E6191)*(E6191=E$2:E6191)))))-COUNTBLANK(OFFSET(A$1,,,SUMPRODUCT(MAX(ROW(E$1:E6190)*(E2=E$1:E6190))))))</f>
        <v> </v>
      </c>
      <c r="K6191" s="26" t="str">
        <f>IF(OR(E6191="",E6191="!!!",F6191="NEW"),"",INDEX(J$1:J6190,SUMPRODUCT(MAX(ROW(E$1:E6190)*(E6191=E$1:E6190)))))</f>
        <v> </v>
      </c>
      <c r="L6191" s="27"/>
    </row>
    <row r="6192" spans="1:12">
      <c r="A6192" s="20" t="s">
        <v>2091</v>
      </c>
      <c r="B6192" s="21" t="s">
        <v>1178</v>
      </c>
      <c r="C6192" s="21" t="s">
        <v>1188</v>
      </c>
      <c r="D6192" s="21" t="s">
        <v>1180</v>
      </c>
      <c r="E6192" s="22">
        <f>IF(D6192="?OLD","!!!","")</f>
        <v/>
      </c>
      <c r="F6192" s="23" t="str">
        <f>IF(OR(E6192="",E6192="!!!"),"",IF(NOT(ISNA(VLOOKUP(E6192,E$1:E6191,1,FALSE()))),"OLD",IF(AND(E6192&lt;&gt;"",E6192&lt;&gt;"!!!"),"NEW","")))</f>
        <v> </v>
      </c>
      <c r="G6192" s="24" t="str">
        <f>IF(OR(E6192="",E6192="!!!"),"",IF(OR(J6192=0,AND(J6192=1,K6192=1),AND(J6192=1,I6192="SBJ"),AND(J6192=1,I6192=0)),"?IN_FOCUS",IF(J6192&lt;=2,"?ACTIVATED",IF(J6192&lt;&gt;"","?FAMILIAR",IF(F6192="NEW",IF(ISNA(VLOOKUP(E6192,#REF!,1,FALSE())),"?TYPE_IDENTIFIABLE","?REFERENTIAL"),"_")))))</f>
        <v> </v>
      </c>
      <c r="H6192" s="25" t="str">
        <f>IF(J6192&lt;&gt;1,"",IF(I6192="SBJ","CB","?"))</f>
        <v> </v>
      </c>
      <c r="I6192" s="26" t="str">
        <f>IF(OR(E6192="",E6192="!!!",F6192="NEW"),"",INDEX(B6191:B$2,-1+SUMPRODUCT(MAX(ROW(E6191:E$2)*(E6192=E6191:E$2)))))</f>
        <v> </v>
      </c>
      <c r="J6192" s="26" t="str">
        <f>IF(OR(E6192="",E6192="!!!",F6192="NEW"),"",COUNTBLANK(OFFSET(A$1,,,SUMPRODUCT(MAX(ROW(E$2:E6192)*(E6192=E$2:E6192)))))-COUNTBLANK(OFFSET(A$1,,,SUMPRODUCT(MAX(ROW(E$1:E6191)*(E2=E$1:E6191))))))</f>
        <v> </v>
      </c>
      <c r="K6192" s="26" t="str">
        <f>IF(OR(E6192="",E6192="!!!",F6192="NEW"),"",INDEX(J$1:J6191,SUMPRODUCT(MAX(ROW(E$1:E6191)*(E6192=E$1:E6191)))))</f>
        <v> </v>
      </c>
      <c r="L6192" s="27"/>
    </row>
    <row r="6193" spans="1:12">
      <c r="A6193" s="20" t="s">
        <v>818</v>
      </c>
      <c r="E6193" s="22">
        <f>IF(D6193="?OLD","!!!","")</f>
        <v/>
      </c>
      <c r="F6193" s="23" t="str">
        <f>IF(OR(E6193="",E6193="!!!"),"",IF(NOT(ISNA(VLOOKUP(E6193,E$1:E6192,1,FALSE()))),"OLD",IF(AND(E6193&lt;&gt;"",E6193&lt;&gt;"!!!"),"NEW","")))</f>
        <v> </v>
      </c>
      <c r="G6193" s="24" t="str">
        <f>IF(OR(E6193="",E6193="!!!"),"",IF(OR(J6193=0,AND(J6193=1,K6193=1),AND(J6193=1,I6193="SBJ"),AND(J6193=1,I6193=0)),"?IN_FOCUS",IF(J6193&lt;=2,"?ACTIVATED",IF(J6193&lt;&gt;"","?FAMILIAR",IF(F6193="NEW",IF(ISNA(VLOOKUP(E6193,#REF!,1,FALSE())),"?TYPE_IDENTIFIABLE","?REFERENTIAL"),"_")))))</f>
        <v> </v>
      </c>
      <c r="H6193" s="25" t="str">
        <f>IF(J6193&lt;&gt;1,"",IF(I6193="SBJ","CB","?"))</f>
        <v> </v>
      </c>
      <c r="I6193" s="26" t="str">
        <f>IF(OR(E6193="",E6193="!!!",F6193="NEW"),"",INDEX(B6192:B$2,-1+SUMPRODUCT(MAX(ROW(E6192:E$2)*(E6193=E6192:E$2)))))</f>
        <v> </v>
      </c>
      <c r="J6193" s="26" t="str">
        <f>IF(OR(E6193="",E6193="!!!",F6193="NEW"),"",COUNTBLANK(OFFSET(A$1,,,SUMPRODUCT(MAX(ROW(E$2:E6193)*(E6193=E$2:E6193)))))-COUNTBLANK(OFFSET(A$1,,,SUMPRODUCT(MAX(ROW(E$1:E6192)*(E2=E$1:E6192))))))</f>
        <v> </v>
      </c>
      <c r="K6193" s="26" t="str">
        <f>IF(OR(E6193="",E6193="!!!",F6193="NEW"),"",INDEX(J$1:J6192,SUMPRODUCT(MAX(ROW(E$1:E6192)*(E6193=E$1:E6192)))))</f>
        <v> </v>
      </c>
      <c r="L6193" s="27"/>
    </row>
    <row r="6194" spans="1:12">
      <c r="A6194" s="20"/>
    </row>
    <row r="6195" spans="1:12">
      <c r="A6195" s="20" t="s">
        <v>2861</v>
      </c>
    </row>
    <row r="6196" spans="1:12">
      <c r="A6196" s="20" t="s">
        <v>2720</v>
      </c>
      <c r="B6196" s="21" t="s">
        <v>1194</v>
      </c>
      <c r="C6196" s="21" t="s">
        <v>1179</v>
      </c>
      <c r="D6196" s="21" t="s">
        <v>1180</v>
      </c>
      <c r="E6196" s="22">
        <f>IF(D6196="?OLD","!!!","")</f>
        <v/>
      </c>
      <c r="F6196" s="23" t="str">
        <f>IF(OR(E6196="",E6196="!!!"),"",IF(NOT(ISNA(VLOOKUP(E6196,E$1:E6195,1,FALSE()))),"OLD",IF(AND(E6196&lt;&gt;"",E6196&lt;&gt;"!!!"),"NEW","")))</f>
        <v> </v>
      </c>
      <c r="G6196" s="24" t="str">
        <f>IF(OR(E6196="",E6196="!!!"),"",IF(OR(J6196=0,AND(J6196=1,K6196=1),AND(J6196=1,I6196="SBJ"),AND(J6196=1,I6196=0)),"?IN_FOCUS",IF(J6196&lt;=2,"?ACTIVATED",IF(J6196&lt;&gt;"","?FAMILIAR",IF(F6196="NEW",IF(ISNA(VLOOKUP(E6196,#REF!,1,FALSE())),"?TYPE_IDENTIFIABLE","?REFERENTIAL"),"_")))))</f>
        <v> </v>
      </c>
      <c r="H6196" s="25" t="str">
        <f>IF(J6196&lt;&gt;1,"",IF(I6196="SBJ","CB","?"))</f>
        <v> </v>
      </c>
      <c r="I6196" s="26" t="str">
        <f>IF(OR(E6196="",E6196="!!!",F6196="NEW"),"",INDEX(B6195:B$2,-1+SUMPRODUCT(MAX(ROW(E6195:E$2)*(E6196=E6195:E$2)))))</f>
        <v> </v>
      </c>
      <c r="J6196" s="26" t="str">
        <f>IF(OR(E6196="",E6196="!!!",F6196="NEW"),"",COUNTBLANK(OFFSET(A$1,,,SUMPRODUCT(MAX(ROW(E$2:E6196)*(E6196=E$2:E6196)))))-COUNTBLANK(OFFSET(A$1,,,SUMPRODUCT(MAX(ROW(E$1:E6195)*(E2=E$1:E6195))))))</f>
        <v> </v>
      </c>
      <c r="K6196" s="26" t="str">
        <f>IF(OR(E6196="",E6196="!!!",F6196="NEW"),"",INDEX(J$1:J6195,SUMPRODUCT(MAX(ROW(E$1:E6195)*(E6196=E$1:E6195)))))</f>
        <v> </v>
      </c>
      <c r="L6196" s="27"/>
    </row>
    <row r="6197" spans="1:12">
      <c r="A6197" s="20" t="s">
        <v>1182</v>
      </c>
      <c r="E6197" s="22">
        <f>IF(D6197="?OLD","!!!","")</f>
        <v/>
      </c>
      <c r="F6197" s="23" t="str">
        <f>IF(OR(E6197="",E6197="!!!"),"",IF(NOT(ISNA(VLOOKUP(E6197,E$1:E6196,1,FALSE()))),"OLD",IF(AND(E6197&lt;&gt;"",E6197&lt;&gt;"!!!"),"NEW","")))</f>
        <v> </v>
      </c>
      <c r="G6197" s="24" t="str">
        <f>IF(OR(E6197="",E6197="!!!"),"",IF(OR(J6197=0,AND(J6197=1,K6197=1),AND(J6197=1,I6197="SBJ"),AND(J6197=1,I6197=0)),"?IN_FOCUS",IF(J6197&lt;=2,"?ACTIVATED",IF(J6197&lt;&gt;"","?FAMILIAR",IF(F6197="NEW",IF(ISNA(VLOOKUP(E6197,#REF!,1,FALSE())),"?TYPE_IDENTIFIABLE","?REFERENTIAL"),"_")))))</f>
        <v> </v>
      </c>
      <c r="H6197" s="25" t="str">
        <f>IF(J6197&lt;&gt;1,"",IF(I6197="SBJ","CB","?"))</f>
        <v> </v>
      </c>
      <c r="I6197" s="26" t="str">
        <f>IF(OR(E6197="",E6197="!!!",F6197="NEW"),"",INDEX(B6196:B$2,-1+SUMPRODUCT(MAX(ROW(E6196:E$2)*(E6197=E6196:E$2)))))</f>
        <v> </v>
      </c>
      <c r="J6197" s="26" t="str">
        <f>IF(OR(E6197="",E6197="!!!",F6197="NEW"),"",COUNTBLANK(OFFSET(A$1,,,SUMPRODUCT(MAX(ROW(E$2:E6197)*(E6197=E$2:E6197)))))-COUNTBLANK(OFFSET(A$1,,,SUMPRODUCT(MAX(ROW(E$1:E6196)*(E2=E$1:E6196))))))</f>
        <v> </v>
      </c>
      <c r="K6197" s="26" t="str">
        <f>IF(OR(E6197="",E6197="!!!",F6197="NEW"),"",INDEX(J$1:J6196,SUMPRODUCT(MAX(ROW(E$1:E6196)*(E6197=E$1:E6196)))))</f>
        <v> </v>
      </c>
      <c r="L6197" s="27"/>
    </row>
    <row r="6198" spans="1:12">
      <c r="A6198" s="20" t="s">
        <v>2862</v>
      </c>
      <c r="E6198" s="22">
        <f>IF(D6198="?OLD","!!!","")</f>
        <v/>
      </c>
      <c r="F6198" s="23" t="str">
        <f>IF(OR(E6198="",E6198="!!!"),"",IF(NOT(ISNA(VLOOKUP(E6198,E$1:E6197,1,FALSE()))),"OLD",IF(AND(E6198&lt;&gt;"",E6198&lt;&gt;"!!!"),"NEW","")))</f>
        <v> </v>
      </c>
      <c r="G6198" s="24" t="str">
        <f>IF(OR(E6198="",E6198="!!!"),"",IF(OR(J6198=0,AND(J6198=1,K6198=1),AND(J6198=1,I6198="SBJ"),AND(J6198=1,I6198=0)),"?IN_FOCUS",IF(J6198&lt;=2,"?ACTIVATED",IF(J6198&lt;&gt;"","?FAMILIAR",IF(F6198="NEW",IF(ISNA(VLOOKUP(E6198,#REF!,1,FALSE())),"?TYPE_IDENTIFIABLE","?REFERENTIAL"),"_")))))</f>
        <v> </v>
      </c>
      <c r="H6198" s="25" t="str">
        <f>IF(J6198&lt;&gt;1,"",IF(I6198="SBJ","CB","?"))</f>
        <v> </v>
      </c>
      <c r="I6198" s="26" t="str">
        <f>IF(OR(E6198="",E6198="!!!",F6198="NEW"),"",INDEX(B6197:B$2,-1+SUMPRODUCT(MAX(ROW(E6197:E$2)*(E6198=E6197:E$2)))))</f>
        <v> </v>
      </c>
      <c r="J6198" s="26" t="str">
        <f>IF(OR(E6198="",E6198="!!!",F6198="NEW"),"",COUNTBLANK(OFFSET(A$1,,,SUMPRODUCT(MAX(ROW(E$2:E6198)*(E6198=E$2:E6198)))))-COUNTBLANK(OFFSET(A$1,,,SUMPRODUCT(MAX(ROW(E$1:E6197)*(E2=E$1:E6197))))))</f>
        <v> </v>
      </c>
      <c r="K6198" s="26" t="str">
        <f>IF(OR(E6198="",E6198="!!!",F6198="NEW"),"",INDEX(J$1:J6197,SUMPRODUCT(MAX(ROW(E$1:E6197)*(E6198=E$1:E6197)))))</f>
        <v> </v>
      </c>
      <c r="L6198" s="27"/>
    </row>
    <row r="6199" spans="1:12">
      <c r="A6199" s="20" t="s">
        <v>1186</v>
      </c>
      <c r="B6199" s="21" t="s">
        <v>1194</v>
      </c>
      <c r="C6199" s="21" t="s">
        <v>1238</v>
      </c>
      <c r="D6199" s="21" t="s">
        <v>1180</v>
      </c>
      <c r="E6199" s="22">
        <f>IF(D6199="?OLD","!!!","")</f>
        <v/>
      </c>
      <c r="F6199" s="23" t="str">
        <f>IF(OR(E6199="",E6199="!!!"),"",IF(NOT(ISNA(VLOOKUP(E6199,E$1:E6198,1,FALSE()))),"OLD",IF(AND(E6199&lt;&gt;"",E6199&lt;&gt;"!!!"),"NEW","")))</f>
        <v> </v>
      </c>
      <c r="G6199" s="24" t="str">
        <f>IF(OR(E6199="",E6199="!!!"),"",IF(OR(J6199=0,AND(J6199=1,K6199=1),AND(J6199=1,I6199="SBJ"),AND(J6199=1,I6199=0)),"?IN_FOCUS",IF(J6199&lt;=2,"?ACTIVATED",IF(J6199&lt;&gt;"","?FAMILIAR",IF(F6199="NEW",IF(ISNA(VLOOKUP(E6199,#REF!,1,FALSE())),"?TYPE_IDENTIFIABLE","?REFERENTIAL"),"_")))))</f>
        <v> </v>
      </c>
      <c r="H6199" s="25" t="str">
        <f>IF(J6199&lt;&gt;1,"",IF(I6199="SBJ","CB","?"))</f>
        <v> </v>
      </c>
      <c r="I6199" s="26" t="str">
        <f>IF(OR(E6199="",E6199="!!!",F6199="NEW"),"",INDEX(B6198:B$2,-1+SUMPRODUCT(MAX(ROW(E6198:E$2)*(E6199=E6198:E$2)))))</f>
        <v> </v>
      </c>
      <c r="J6199" s="26" t="str">
        <f>IF(OR(E6199="",E6199="!!!",F6199="NEW"),"",COUNTBLANK(OFFSET(A$1,,,SUMPRODUCT(MAX(ROW(E$2:E6199)*(E6199=E$2:E6199)))))-COUNTBLANK(OFFSET(A$1,,,SUMPRODUCT(MAX(ROW(E$1:E6198)*(E2=E$1:E6198))))))</f>
        <v> </v>
      </c>
      <c r="K6199" s="26" t="str">
        <f>IF(OR(E6199="",E6199="!!!",F6199="NEW"),"",INDEX(J$1:J6198,SUMPRODUCT(MAX(ROW(E$1:E6198)*(E6199=E$1:E6198)))))</f>
        <v> </v>
      </c>
      <c r="L6199" s="27"/>
    </row>
    <row r="6200" spans="1:12">
      <c r="A6200" s="20" t="s">
        <v>1946</v>
      </c>
      <c r="E6200" s="22">
        <f>IF(D6200="?OLD","!!!","")</f>
        <v/>
      </c>
      <c r="F6200" s="23" t="str">
        <f>IF(OR(E6200="",E6200="!!!"),"",IF(NOT(ISNA(VLOOKUP(E6200,E$1:E6199,1,FALSE()))),"OLD",IF(AND(E6200&lt;&gt;"",E6200&lt;&gt;"!!!"),"NEW","")))</f>
        <v> </v>
      </c>
      <c r="G6200" s="24" t="str">
        <f>IF(OR(E6200="",E6200="!!!"),"",IF(OR(J6200=0,AND(J6200=1,K6200=1),AND(J6200=1,I6200="SBJ"),AND(J6200=1,I6200=0)),"?IN_FOCUS",IF(J6200&lt;=2,"?ACTIVATED",IF(J6200&lt;&gt;"","?FAMILIAR",IF(F6200="NEW",IF(ISNA(VLOOKUP(E6200,#REF!,1,FALSE())),"?TYPE_IDENTIFIABLE","?REFERENTIAL"),"_")))))</f>
        <v> </v>
      </c>
      <c r="H6200" s="25" t="str">
        <f>IF(J6200&lt;&gt;1,"",IF(I6200="SBJ","CB","?"))</f>
        <v> </v>
      </c>
      <c r="I6200" s="26" t="str">
        <f>IF(OR(E6200="",E6200="!!!",F6200="NEW"),"",INDEX(B6199:B$2,-1+SUMPRODUCT(MAX(ROW(E6199:E$2)*(E6200=E6199:E$2)))))</f>
        <v> </v>
      </c>
      <c r="J6200" s="26" t="str">
        <f>IF(OR(E6200="",E6200="!!!",F6200="NEW"),"",COUNTBLANK(OFFSET(A$1,,,SUMPRODUCT(MAX(ROW(E$2:E6200)*(E6200=E$2:E6200)))))-COUNTBLANK(OFFSET(A$1,,,SUMPRODUCT(MAX(ROW(E$1:E6199)*(E2=E$1:E6199))))))</f>
        <v> </v>
      </c>
      <c r="K6200" s="26" t="str">
        <f>IF(OR(E6200="",E6200="!!!",F6200="NEW"),"",INDEX(J$1:J6199,SUMPRODUCT(MAX(ROW(E$1:E6199)*(E6200=E$1:E6199)))))</f>
        <v> </v>
      </c>
      <c r="L6200" s="27"/>
    </row>
    <row r="6201" spans="1:12">
      <c r="A6201" s="20" t="s">
        <v>1907</v>
      </c>
      <c r="E6201" s="22">
        <f>IF(D6201="?OLD","!!!","")</f>
        <v/>
      </c>
      <c r="F6201" s="23" t="str">
        <f>IF(OR(E6201="",E6201="!!!"),"",IF(NOT(ISNA(VLOOKUP(E6201,E$1:E6200,1,FALSE()))),"OLD",IF(AND(E6201&lt;&gt;"",E6201&lt;&gt;"!!!"),"NEW","")))</f>
        <v> </v>
      </c>
      <c r="G6201" s="24" t="str">
        <f>IF(OR(E6201="",E6201="!!!"),"",IF(OR(J6201=0,AND(J6201=1,K6201=1),AND(J6201=1,I6201="SBJ"),AND(J6201=1,I6201=0)),"?IN_FOCUS",IF(J6201&lt;=2,"?ACTIVATED",IF(J6201&lt;&gt;"","?FAMILIAR",IF(F6201="NEW",IF(ISNA(VLOOKUP(E6201,#REF!,1,FALSE())),"?TYPE_IDENTIFIABLE","?REFERENTIAL"),"_")))))</f>
        <v> </v>
      </c>
      <c r="H6201" s="25" t="str">
        <f>IF(J6201&lt;&gt;1,"",IF(I6201="SBJ","CB","?"))</f>
        <v> </v>
      </c>
      <c r="I6201" s="26" t="str">
        <f>IF(OR(E6201="",E6201="!!!",F6201="NEW"),"",INDEX(B6200:B$2,-1+SUMPRODUCT(MAX(ROW(E6200:E$2)*(E6201=E6200:E$2)))))</f>
        <v> </v>
      </c>
      <c r="J6201" s="26" t="str">
        <f>IF(OR(E6201="",E6201="!!!",F6201="NEW"),"",COUNTBLANK(OFFSET(A$1,,,SUMPRODUCT(MAX(ROW(E$2:E6201)*(E6201=E$2:E6201)))))-COUNTBLANK(OFFSET(A$1,,,SUMPRODUCT(MAX(ROW(E$1:E6200)*(E2=E$1:E6200))))))</f>
        <v> </v>
      </c>
      <c r="K6201" s="26" t="str">
        <f>IF(OR(E6201="",E6201="!!!",F6201="NEW"),"",INDEX(J$1:J6200,SUMPRODUCT(MAX(ROW(E$1:E6200)*(E6201=E$1:E6200)))))</f>
        <v> </v>
      </c>
      <c r="L6201" s="27"/>
    </row>
    <row r="6202" spans="1:12">
      <c r="A6202" s="20" t="s">
        <v>2863</v>
      </c>
      <c r="E6202" s="22">
        <f>IF(D6202="?OLD","!!!","")</f>
        <v/>
      </c>
      <c r="F6202" s="23" t="str">
        <f>IF(OR(E6202="",E6202="!!!"),"",IF(NOT(ISNA(VLOOKUP(E6202,E$1:E6201,1,FALSE()))),"OLD",IF(AND(E6202&lt;&gt;"",E6202&lt;&gt;"!!!"),"NEW","")))</f>
        <v> </v>
      </c>
      <c r="G6202" s="24" t="str">
        <f>IF(OR(E6202="",E6202="!!!"),"",IF(OR(J6202=0,AND(J6202=1,K6202=1),AND(J6202=1,I6202="SBJ"),AND(J6202=1,I6202=0)),"?IN_FOCUS",IF(J6202&lt;=2,"?ACTIVATED",IF(J6202&lt;&gt;"","?FAMILIAR",IF(F6202="NEW",IF(ISNA(VLOOKUP(E6202,#REF!,1,FALSE())),"?TYPE_IDENTIFIABLE","?REFERENTIAL"),"_")))))</f>
        <v> </v>
      </c>
      <c r="H6202" s="25" t="str">
        <f>IF(J6202&lt;&gt;1,"",IF(I6202="SBJ","CB","?"))</f>
        <v> </v>
      </c>
      <c r="I6202" s="26" t="str">
        <f>IF(OR(E6202="",E6202="!!!",F6202="NEW"),"",INDEX(B6201:B$2,-1+SUMPRODUCT(MAX(ROW(E6201:E$2)*(E6202=E6201:E$2)))))</f>
        <v> </v>
      </c>
      <c r="J6202" s="26" t="str">
        <f>IF(OR(E6202="",E6202="!!!",F6202="NEW"),"",COUNTBLANK(OFFSET(A$1,,,SUMPRODUCT(MAX(ROW(E$2:E6202)*(E6202=E$2:E6202)))))-COUNTBLANK(OFFSET(A$1,,,SUMPRODUCT(MAX(ROW(E$1:E6201)*(E2=E$1:E6201))))))</f>
        <v> </v>
      </c>
      <c r="K6202" s="26" t="str">
        <f>IF(OR(E6202="",E6202="!!!",F6202="NEW"),"",INDEX(J$1:J6201,SUMPRODUCT(MAX(ROW(E$1:E6201)*(E6202=E$1:E6201)))))</f>
        <v> </v>
      </c>
      <c r="L6202" s="27"/>
    </row>
    <row r="6203" spans="1:12">
      <c r="A6203" s="20" t="s">
        <v>818</v>
      </c>
      <c r="E6203" s="22">
        <f>IF(D6203="?OLD","!!!","")</f>
        <v/>
      </c>
      <c r="F6203" s="23" t="str">
        <f>IF(OR(E6203="",E6203="!!!"),"",IF(NOT(ISNA(VLOOKUP(E6203,E$1:E6202,1,FALSE()))),"OLD",IF(AND(E6203&lt;&gt;"",E6203&lt;&gt;"!!!"),"NEW","")))</f>
        <v> </v>
      </c>
      <c r="G6203" s="24" t="str">
        <f>IF(OR(E6203="",E6203="!!!"),"",IF(OR(J6203=0,AND(J6203=1,K6203=1),AND(J6203=1,I6203="SBJ"),AND(J6203=1,I6203=0)),"?IN_FOCUS",IF(J6203&lt;=2,"?ACTIVATED",IF(J6203&lt;&gt;"","?FAMILIAR",IF(F6203="NEW",IF(ISNA(VLOOKUP(E6203,#REF!,1,FALSE())),"?TYPE_IDENTIFIABLE","?REFERENTIAL"),"_")))))</f>
        <v> </v>
      </c>
      <c r="H6203" s="25" t="str">
        <f>IF(J6203&lt;&gt;1,"",IF(I6203="SBJ","CB","?"))</f>
        <v> </v>
      </c>
      <c r="I6203" s="26" t="str">
        <f>IF(OR(E6203="",E6203="!!!",F6203="NEW"),"",INDEX(B6202:B$2,-1+SUMPRODUCT(MAX(ROW(E6202:E$2)*(E6203=E6202:E$2)))))</f>
        <v> </v>
      </c>
      <c r="J6203" s="26" t="str">
        <f>IF(OR(E6203="",E6203="!!!",F6203="NEW"),"",COUNTBLANK(OFFSET(A$1,,,SUMPRODUCT(MAX(ROW(E$2:E6203)*(E6203=E$2:E6203)))))-COUNTBLANK(OFFSET(A$1,,,SUMPRODUCT(MAX(ROW(E$1:E6202)*(E2=E$1:E6202))))))</f>
        <v> </v>
      </c>
      <c r="K6203" s="26" t="str">
        <f>IF(OR(E6203="",E6203="!!!",F6203="NEW"),"",INDEX(J$1:J6202,SUMPRODUCT(MAX(ROW(E$1:E6202)*(E6203=E$1:E6202)))))</f>
        <v> </v>
      </c>
      <c r="L6203" s="27"/>
    </row>
    <row r="6204" spans="1:12">
      <c r="A6204" s="20"/>
    </row>
    <row r="6205" spans="1:12">
      <c r="A6205" s="20" t="s">
        <v>2864</v>
      </c>
    </row>
    <row r="6206" spans="1:12">
      <c r="A6206" s="20" t="s">
        <v>1287</v>
      </c>
      <c r="B6206" s="21" t="s">
        <v>1178</v>
      </c>
      <c r="C6206" s="21" t="s">
        <v>1195</v>
      </c>
      <c r="D6206" s="21" t="s">
        <v>1180</v>
      </c>
      <c r="E6206" s="22">
        <f>IF(D6206="?OLD","!!!","")</f>
        <v/>
      </c>
      <c r="F6206" s="23" t="str">
        <f>IF(OR(E6206="",E6206="!!!"),"",IF(NOT(ISNA(VLOOKUP(E6206,E$1:E6205,1,FALSE()))),"OLD",IF(AND(E6206&lt;&gt;"",E6206&lt;&gt;"!!!"),"NEW","")))</f>
        <v> </v>
      </c>
      <c r="G6206" s="24" t="str">
        <f>IF(OR(E6206="",E6206="!!!"),"",IF(OR(J6206=0,AND(J6206=1,K6206=1),AND(J6206=1,I6206="SBJ"),AND(J6206=1,I6206=0)),"?IN_FOCUS",IF(J6206&lt;=2,"?ACTIVATED",IF(J6206&lt;&gt;"","?FAMILIAR",IF(F6206="NEW",IF(ISNA(VLOOKUP(E6206,#REF!,1,FALSE())),"?TYPE_IDENTIFIABLE","?REFERENTIAL"),"_")))))</f>
        <v> </v>
      </c>
      <c r="H6206" s="25" t="str">
        <f>IF(J6206&lt;&gt;1,"",IF(I6206="SBJ","CB","?"))</f>
        <v> </v>
      </c>
      <c r="I6206" s="26" t="str">
        <f>IF(OR(E6206="",E6206="!!!",F6206="NEW"),"",INDEX(B6205:B$2,-1+SUMPRODUCT(MAX(ROW(E6205:E$2)*(E6206=E6205:E$2)))))</f>
        <v> </v>
      </c>
      <c r="J6206" s="26" t="str">
        <f>IF(OR(E6206="",E6206="!!!",F6206="NEW"),"",COUNTBLANK(OFFSET(A$1,,,SUMPRODUCT(MAX(ROW(E$2:E6206)*(E6206=E$2:E6206)))))-COUNTBLANK(OFFSET(A$1,,,SUMPRODUCT(MAX(ROW(E$1:E6205)*(E2=E$1:E6205))))))</f>
        <v> </v>
      </c>
      <c r="K6206" s="26" t="str">
        <f>IF(OR(E6206="",E6206="!!!",F6206="NEW"),"",INDEX(J$1:J6205,SUMPRODUCT(MAX(ROW(E$1:E6205)*(E6206=E$1:E6205)))))</f>
        <v> </v>
      </c>
      <c r="L6206" s="27"/>
    </row>
    <row r="6207" spans="1:12">
      <c r="A6207" s="20" t="s">
        <v>1182</v>
      </c>
      <c r="E6207" s="22">
        <f>IF(D6207="?OLD","!!!","")</f>
        <v/>
      </c>
      <c r="F6207" s="23" t="str">
        <f>IF(OR(E6207="",E6207="!!!"),"",IF(NOT(ISNA(VLOOKUP(E6207,E$1:E6206,1,FALSE()))),"OLD",IF(AND(E6207&lt;&gt;"",E6207&lt;&gt;"!!!"),"NEW","")))</f>
        <v> </v>
      </c>
      <c r="G6207" s="24" t="str">
        <f>IF(OR(E6207="",E6207="!!!"),"",IF(OR(J6207=0,AND(J6207=1,K6207=1),AND(J6207=1,I6207="SBJ"),AND(J6207=1,I6207=0)),"?IN_FOCUS",IF(J6207&lt;=2,"?ACTIVATED",IF(J6207&lt;&gt;"","?FAMILIAR",IF(F6207="NEW",IF(ISNA(VLOOKUP(E6207,#REF!,1,FALSE())),"?TYPE_IDENTIFIABLE","?REFERENTIAL"),"_")))))</f>
        <v> </v>
      </c>
      <c r="H6207" s="25" t="str">
        <f>IF(J6207&lt;&gt;1,"",IF(I6207="SBJ","CB","?"))</f>
        <v> </v>
      </c>
      <c r="I6207" s="26" t="str">
        <f>IF(OR(E6207="",E6207="!!!",F6207="NEW"),"",INDEX(B6206:B$2,-1+SUMPRODUCT(MAX(ROW(E6206:E$2)*(E6207=E6206:E$2)))))</f>
        <v> </v>
      </c>
      <c r="J6207" s="26" t="str">
        <f>IF(OR(E6207="",E6207="!!!",F6207="NEW"),"",COUNTBLANK(OFFSET(A$1,,,SUMPRODUCT(MAX(ROW(E$2:E6207)*(E6207=E$2:E6207)))))-COUNTBLANK(OFFSET(A$1,,,SUMPRODUCT(MAX(ROW(E$1:E6206)*(E2=E$1:E6206))))))</f>
        <v> </v>
      </c>
      <c r="K6207" s="26" t="str">
        <f>IF(OR(E6207="",E6207="!!!",F6207="NEW"),"",INDEX(J$1:J6206,SUMPRODUCT(MAX(ROW(E$1:E6206)*(E6207=E$1:E6206)))))</f>
        <v> </v>
      </c>
      <c r="L6207" s="27"/>
    </row>
    <row r="6208" spans="1:12">
      <c r="A6208" s="20" t="s">
        <v>1256</v>
      </c>
      <c r="B6208" s="21" t="s">
        <v>1240</v>
      </c>
      <c r="C6208" s="21" t="s">
        <v>1195</v>
      </c>
      <c r="D6208" s="21" t="s">
        <v>1180</v>
      </c>
      <c r="E6208" s="22">
        <f>IF(D6208="?OLD","!!!","")</f>
        <v/>
      </c>
      <c r="F6208" s="23" t="str">
        <f>IF(OR(E6208="",E6208="!!!"),"",IF(NOT(ISNA(VLOOKUP(E6208,E$1:E6207,1,FALSE()))),"OLD",IF(AND(E6208&lt;&gt;"",E6208&lt;&gt;"!!!"),"NEW","")))</f>
        <v> </v>
      </c>
      <c r="G6208" s="24" t="str">
        <f>IF(OR(E6208="",E6208="!!!"),"",IF(OR(J6208=0,AND(J6208=1,K6208=1),AND(J6208=1,I6208="SBJ"),AND(J6208=1,I6208=0)),"?IN_FOCUS",IF(J6208&lt;=2,"?ACTIVATED",IF(J6208&lt;&gt;"","?FAMILIAR",IF(F6208="NEW",IF(ISNA(VLOOKUP(E6208,#REF!,1,FALSE())),"?TYPE_IDENTIFIABLE","?REFERENTIAL"),"_")))))</f>
        <v> </v>
      </c>
      <c r="H6208" s="25" t="str">
        <f>IF(J6208&lt;&gt;1,"",IF(I6208="SBJ","CB","?"))</f>
        <v> </v>
      </c>
      <c r="I6208" s="26" t="str">
        <f>IF(OR(E6208="",E6208="!!!",F6208="NEW"),"",INDEX(B6207:B$2,-1+SUMPRODUCT(MAX(ROW(E6207:E$2)*(E6208=E6207:E$2)))))</f>
        <v> </v>
      </c>
      <c r="J6208" s="26" t="str">
        <f>IF(OR(E6208="",E6208="!!!",F6208="NEW"),"",COUNTBLANK(OFFSET(A$1,,,SUMPRODUCT(MAX(ROW(E$2:E6208)*(E6208=E$2:E6208)))))-COUNTBLANK(OFFSET(A$1,,,SUMPRODUCT(MAX(ROW(E$1:E6207)*(E2=E$1:E6207))))))</f>
        <v> </v>
      </c>
      <c r="K6208" s="26" t="str">
        <f>IF(OR(E6208="",E6208="!!!",F6208="NEW"),"",INDEX(J$1:J6207,SUMPRODUCT(MAX(ROW(E$1:E6207)*(E6208=E$1:E6207)))))</f>
        <v> </v>
      </c>
      <c r="L6208" s="27"/>
    </row>
    <row r="6209" spans="1:12">
      <c r="A6209" s="20" t="s">
        <v>2865</v>
      </c>
      <c r="E6209" s="22">
        <f>IF(D6209="?OLD","!!!","")</f>
        <v/>
      </c>
      <c r="F6209" s="23" t="str">
        <f>IF(OR(E6209="",E6209="!!!"),"",IF(NOT(ISNA(VLOOKUP(E6209,E$1:E6208,1,FALSE()))),"OLD",IF(AND(E6209&lt;&gt;"",E6209&lt;&gt;"!!!"),"NEW","")))</f>
        <v> </v>
      </c>
      <c r="G6209" s="24" t="str">
        <f>IF(OR(E6209="",E6209="!!!"),"",IF(OR(J6209=0,AND(J6209=1,K6209=1),AND(J6209=1,I6209="SBJ"),AND(J6209=1,I6209=0)),"?IN_FOCUS",IF(J6209&lt;=2,"?ACTIVATED",IF(J6209&lt;&gt;"","?FAMILIAR",IF(F6209="NEW",IF(ISNA(VLOOKUP(E6209,#REF!,1,FALSE())),"?TYPE_IDENTIFIABLE","?REFERENTIAL"),"_")))))</f>
        <v> </v>
      </c>
      <c r="H6209" s="25" t="str">
        <f>IF(J6209&lt;&gt;1,"",IF(I6209="SBJ","CB","?"))</f>
        <v> </v>
      </c>
      <c r="I6209" s="26" t="str">
        <f>IF(OR(E6209="",E6209="!!!",F6209="NEW"),"",INDEX(B6208:B$2,-1+SUMPRODUCT(MAX(ROW(E6208:E$2)*(E6209=E6208:E$2)))))</f>
        <v> </v>
      </c>
      <c r="J6209" s="26" t="str">
        <f>IF(OR(E6209="",E6209="!!!",F6209="NEW"),"",COUNTBLANK(OFFSET(A$1,,,SUMPRODUCT(MAX(ROW(E$2:E6209)*(E6209=E$2:E6209)))))-COUNTBLANK(OFFSET(A$1,,,SUMPRODUCT(MAX(ROW(E$1:E6208)*(E2=E$1:E6208))))))</f>
        <v> </v>
      </c>
      <c r="K6209" s="26" t="str">
        <f>IF(OR(E6209="",E6209="!!!",F6209="NEW"),"",INDEX(J$1:J6208,SUMPRODUCT(MAX(ROW(E$1:E6208)*(E6209=E$1:E6208)))))</f>
        <v> </v>
      </c>
      <c r="L6209" s="27"/>
    </row>
    <row r="6210" spans="1:12">
      <c r="A6210" s="20" t="s">
        <v>1305</v>
      </c>
      <c r="B6210" s="21" t="s">
        <v>1237</v>
      </c>
      <c r="E6210" s="22">
        <f>IF(D6210="?OLD","!!!","")</f>
        <v/>
      </c>
      <c r="F6210" s="23" t="str">
        <f>IF(OR(E6210="",E6210="!!!"),"",IF(NOT(ISNA(VLOOKUP(E6210,E$1:E6209,1,FALSE()))),"OLD",IF(AND(E6210&lt;&gt;"",E6210&lt;&gt;"!!!"),"NEW","")))</f>
        <v> </v>
      </c>
      <c r="G6210" s="24" t="str">
        <f>IF(OR(E6210="",E6210="!!!"),"",IF(OR(J6210=0,AND(J6210=1,K6210=1),AND(J6210=1,I6210="SBJ"),AND(J6210=1,I6210=0)),"?IN_FOCUS",IF(J6210&lt;=2,"?ACTIVATED",IF(J6210&lt;&gt;"","?FAMILIAR",IF(F6210="NEW",IF(ISNA(VLOOKUP(E6210,#REF!,1,FALSE())),"?TYPE_IDENTIFIABLE","?REFERENTIAL"),"_")))))</f>
        <v> </v>
      </c>
      <c r="H6210" s="25" t="str">
        <f>IF(J6210&lt;&gt;1,"",IF(I6210="SBJ","CB","?"))</f>
        <v> </v>
      </c>
      <c r="I6210" s="26" t="str">
        <f>IF(OR(E6210="",E6210="!!!",F6210="NEW"),"",INDEX(B6209:B$2,-1+SUMPRODUCT(MAX(ROW(E6209:E$2)*(E6210=E6209:E$2)))))</f>
        <v> </v>
      </c>
      <c r="J6210" s="26" t="str">
        <f>IF(OR(E6210="",E6210="!!!",F6210="NEW"),"",COUNTBLANK(OFFSET(A$1,,,SUMPRODUCT(MAX(ROW(E$2:E6210)*(E6210=E$2:E6210)))))-COUNTBLANK(OFFSET(A$1,,,SUMPRODUCT(MAX(ROW(E$1:E6209)*(E2=E$1:E6209))))))</f>
        <v> </v>
      </c>
      <c r="K6210" s="26" t="str">
        <f>IF(OR(E6210="",E6210="!!!",F6210="NEW"),"",INDEX(J$1:J6209,SUMPRODUCT(MAX(ROW(E$1:E6209)*(E6210=E$1:E6209)))))</f>
        <v> </v>
      </c>
      <c r="L6210" s="27"/>
    </row>
    <row r="6211" spans="1:12">
      <c r="A6211" s="20" t="s">
        <v>1185</v>
      </c>
      <c r="E6211" s="22">
        <f>IF(D6211="?OLD","!!!","")</f>
        <v/>
      </c>
      <c r="F6211" s="23" t="str">
        <f>IF(OR(E6211="",E6211="!!!"),"",IF(NOT(ISNA(VLOOKUP(E6211,E$1:E6210,1,FALSE()))),"OLD",IF(AND(E6211&lt;&gt;"",E6211&lt;&gt;"!!!"),"NEW","")))</f>
        <v> </v>
      </c>
      <c r="G6211" s="24" t="str">
        <f>IF(OR(E6211="",E6211="!!!"),"",IF(OR(J6211=0,AND(J6211=1,K6211=1),AND(J6211=1,I6211="SBJ"),AND(J6211=1,I6211=0)),"?IN_FOCUS",IF(J6211&lt;=2,"?ACTIVATED",IF(J6211&lt;&gt;"","?FAMILIAR",IF(F6211="NEW",IF(ISNA(VLOOKUP(E6211,#REF!,1,FALSE())),"?TYPE_IDENTIFIABLE","?REFERENTIAL"),"_")))))</f>
        <v> </v>
      </c>
      <c r="H6211" s="25" t="str">
        <f>IF(J6211&lt;&gt;1,"",IF(I6211="SBJ","CB","?"))</f>
        <v> </v>
      </c>
      <c r="I6211" s="26" t="str">
        <f>IF(OR(E6211="",E6211="!!!",F6211="NEW"),"",INDEX(B6210:B$2,-1+SUMPRODUCT(MAX(ROW(E6210:E$2)*(E6211=E6210:E$2)))))</f>
        <v> </v>
      </c>
      <c r="J6211" s="26" t="str">
        <f>IF(OR(E6211="",E6211="!!!",F6211="NEW"),"",COUNTBLANK(OFFSET(A$1,,,SUMPRODUCT(MAX(ROW(E$2:E6211)*(E6211=E$2:E6211)))))-COUNTBLANK(OFFSET(A$1,,,SUMPRODUCT(MAX(ROW(E$1:E6210)*(E2=E$1:E6210))))))</f>
        <v> </v>
      </c>
      <c r="K6211" s="26" t="str">
        <f>IF(OR(E6211="",E6211="!!!",F6211="NEW"),"",INDEX(J$1:J6210,SUMPRODUCT(MAX(ROW(E$1:E6210)*(E6211=E$1:E6210)))))</f>
        <v> </v>
      </c>
      <c r="L6211" s="27"/>
    </row>
    <row r="6212" spans="1:12">
      <c r="A6212" s="20" t="s">
        <v>1600</v>
      </c>
      <c r="B6212" s="21" t="s">
        <v>1304</v>
      </c>
      <c r="C6212" s="21" t="s">
        <v>1195</v>
      </c>
      <c r="D6212" s="21" t="s">
        <v>1180</v>
      </c>
      <c r="E6212" s="22">
        <f>IF(D6212="?OLD","!!!","")</f>
        <v/>
      </c>
      <c r="F6212" s="23" t="str">
        <f>IF(OR(E6212="",E6212="!!!"),"",IF(NOT(ISNA(VLOOKUP(E6212,E$1:E6211,1,FALSE()))),"OLD",IF(AND(E6212&lt;&gt;"",E6212&lt;&gt;"!!!"),"NEW","")))</f>
        <v> </v>
      </c>
      <c r="G6212" s="24" t="str">
        <f>IF(OR(E6212="",E6212="!!!"),"",IF(OR(J6212=0,AND(J6212=1,K6212=1),AND(J6212=1,I6212="SBJ"),AND(J6212=1,I6212=0)),"?IN_FOCUS",IF(J6212&lt;=2,"?ACTIVATED",IF(J6212&lt;&gt;"","?FAMILIAR",IF(F6212="NEW",IF(ISNA(VLOOKUP(E6212,#REF!,1,FALSE())),"?TYPE_IDENTIFIABLE","?REFERENTIAL"),"_")))))</f>
        <v> </v>
      </c>
      <c r="H6212" s="25" t="str">
        <f>IF(J6212&lt;&gt;1,"",IF(I6212="SBJ","CB","?"))</f>
        <v> </v>
      </c>
      <c r="I6212" s="26" t="str">
        <f>IF(OR(E6212="",E6212="!!!",F6212="NEW"),"",INDEX(B6211:B$2,-1+SUMPRODUCT(MAX(ROW(E6211:E$2)*(E6212=E6211:E$2)))))</f>
        <v> </v>
      </c>
      <c r="J6212" s="26" t="str">
        <f>IF(OR(E6212="",E6212="!!!",F6212="NEW"),"",COUNTBLANK(OFFSET(A$1,,,SUMPRODUCT(MAX(ROW(E$2:E6212)*(E6212=E$2:E6212)))))-COUNTBLANK(OFFSET(A$1,,,SUMPRODUCT(MAX(ROW(E$1:E6211)*(E2=E$1:E6211))))))</f>
        <v> </v>
      </c>
      <c r="K6212" s="26" t="str">
        <f>IF(OR(E6212="",E6212="!!!",F6212="NEW"),"",INDEX(J$1:J6211,SUMPRODUCT(MAX(ROW(E$1:E6211)*(E6212=E$1:E6211)))))</f>
        <v> </v>
      </c>
      <c r="L6212" s="27"/>
    </row>
    <row r="6213" spans="1:12">
      <c r="A6213" s="20" t="s">
        <v>2866</v>
      </c>
      <c r="E6213" s="22">
        <f>IF(D6213="?OLD","!!!","")</f>
        <v/>
      </c>
      <c r="F6213" s="23" t="str">
        <f>IF(OR(E6213="",E6213="!!!"),"",IF(NOT(ISNA(VLOOKUP(E6213,E$1:E6212,1,FALSE()))),"OLD",IF(AND(E6213&lt;&gt;"",E6213&lt;&gt;"!!!"),"NEW","")))</f>
        <v> </v>
      </c>
      <c r="G6213" s="24" t="str">
        <f>IF(OR(E6213="",E6213="!!!"),"",IF(OR(J6213=0,AND(J6213=1,K6213=1),AND(J6213=1,I6213="SBJ"),AND(J6213=1,I6213=0)),"?IN_FOCUS",IF(J6213&lt;=2,"?ACTIVATED",IF(J6213&lt;&gt;"","?FAMILIAR",IF(F6213="NEW",IF(ISNA(VLOOKUP(E6213,#REF!,1,FALSE())),"?TYPE_IDENTIFIABLE","?REFERENTIAL"),"_")))))</f>
        <v> </v>
      </c>
      <c r="H6213" s="25" t="str">
        <f>IF(J6213&lt;&gt;1,"",IF(I6213="SBJ","CB","?"))</f>
        <v> </v>
      </c>
      <c r="I6213" s="26" t="str">
        <f>IF(OR(E6213="",E6213="!!!",F6213="NEW"),"",INDEX(B6212:B$2,-1+SUMPRODUCT(MAX(ROW(E6212:E$2)*(E6213=E6212:E$2)))))</f>
        <v> </v>
      </c>
      <c r="J6213" s="26" t="str">
        <f>IF(OR(E6213="",E6213="!!!",F6213="NEW"),"",COUNTBLANK(OFFSET(A$1,,,SUMPRODUCT(MAX(ROW(E$2:E6213)*(E6213=E$2:E6213)))))-COUNTBLANK(OFFSET(A$1,,,SUMPRODUCT(MAX(ROW(E$1:E6212)*(E2=E$1:E6212))))))</f>
        <v> </v>
      </c>
      <c r="K6213" s="26" t="str">
        <f>IF(OR(E6213="",E6213="!!!",F6213="NEW"),"",INDEX(J$1:J6212,SUMPRODUCT(MAX(ROW(E$1:E6212)*(E6213=E$1:E6212)))))</f>
        <v> </v>
      </c>
      <c r="L6213" s="27"/>
    </row>
    <row r="6214" spans="1:12">
      <c r="A6214" s="20" t="s">
        <v>818</v>
      </c>
      <c r="E6214" s="22">
        <f>IF(D6214="?OLD","!!!","")</f>
        <v/>
      </c>
      <c r="F6214" s="23" t="str">
        <f>IF(OR(E6214="",E6214="!!!"),"",IF(NOT(ISNA(VLOOKUP(E6214,E$1:E6213,1,FALSE()))),"OLD",IF(AND(E6214&lt;&gt;"",E6214&lt;&gt;"!!!"),"NEW","")))</f>
        <v> </v>
      </c>
      <c r="G6214" s="24" t="str">
        <f>IF(OR(E6214="",E6214="!!!"),"",IF(OR(J6214=0,AND(J6214=1,K6214=1),AND(J6214=1,I6214="SBJ"),AND(J6214=1,I6214=0)),"?IN_FOCUS",IF(J6214&lt;=2,"?ACTIVATED",IF(J6214&lt;&gt;"","?FAMILIAR",IF(F6214="NEW",IF(ISNA(VLOOKUP(E6214,#REF!,1,FALSE())),"?TYPE_IDENTIFIABLE","?REFERENTIAL"),"_")))))</f>
        <v> </v>
      </c>
      <c r="H6214" s="25" t="str">
        <f>IF(J6214&lt;&gt;1,"",IF(I6214="SBJ","CB","?"))</f>
        <v> </v>
      </c>
      <c r="I6214" s="26" t="str">
        <f>IF(OR(E6214="",E6214="!!!",F6214="NEW"),"",INDEX(B6213:B$2,-1+SUMPRODUCT(MAX(ROW(E6213:E$2)*(E6214=E6213:E$2)))))</f>
        <v> </v>
      </c>
      <c r="J6214" s="26" t="str">
        <f>IF(OR(E6214="",E6214="!!!",F6214="NEW"),"",COUNTBLANK(OFFSET(A$1,,,SUMPRODUCT(MAX(ROW(E$2:E6214)*(E6214=E$2:E6214)))))-COUNTBLANK(OFFSET(A$1,,,SUMPRODUCT(MAX(ROW(E$1:E6213)*(E2=E$1:E6213))))))</f>
        <v> </v>
      </c>
      <c r="K6214" s="26" t="str">
        <f>IF(OR(E6214="",E6214="!!!",F6214="NEW"),"",INDEX(J$1:J6213,SUMPRODUCT(MAX(ROW(E$1:E6213)*(E6214=E$1:E6213)))))</f>
        <v> </v>
      </c>
      <c r="L6214" s="27"/>
    </row>
    <row r="6215" spans="1:12">
      <c r="A6215" s="20"/>
    </row>
    <row r="6216" spans="1:12">
      <c r="A6216" s="20" t="s">
        <v>2867</v>
      </c>
    </row>
    <row r="6217" spans="1:12">
      <c r="A6217" s="20" t="s">
        <v>1193</v>
      </c>
      <c r="B6217" s="21" t="s">
        <v>1194</v>
      </c>
      <c r="C6217" s="21" t="s">
        <v>1195</v>
      </c>
      <c r="D6217" s="21" t="s">
        <v>1180</v>
      </c>
      <c r="E6217" s="22">
        <f>IF(D6217="?OLD","!!!","")</f>
        <v/>
      </c>
      <c r="F6217" s="23" t="str">
        <f>IF(OR(E6217="",E6217="!!!"),"",IF(NOT(ISNA(VLOOKUP(E6217,E$1:E6216,1,FALSE()))),"OLD",IF(AND(E6217&lt;&gt;"",E6217&lt;&gt;"!!!"),"NEW","")))</f>
        <v> </v>
      </c>
      <c r="G6217" s="24" t="str">
        <f>IF(OR(E6217="",E6217="!!!"),"",IF(OR(J6217=0,AND(J6217=1,K6217=1),AND(J6217=1,I6217="SBJ"),AND(J6217=1,I6217=0)),"?IN_FOCUS",IF(J6217&lt;=2,"?ACTIVATED",IF(J6217&lt;&gt;"","?FAMILIAR",IF(F6217="NEW",IF(ISNA(VLOOKUP(E6217,#REF!,1,FALSE())),"?TYPE_IDENTIFIABLE","?REFERENTIAL"),"_")))))</f>
        <v> </v>
      </c>
      <c r="H6217" s="25" t="str">
        <f>IF(J6217&lt;&gt;1,"",IF(I6217="SBJ","CB","?"))</f>
        <v> </v>
      </c>
      <c r="I6217" s="26" t="str">
        <f>IF(OR(E6217="",E6217="!!!",F6217="NEW"),"",INDEX(B6216:B$2,-1+SUMPRODUCT(MAX(ROW(E6216:E$2)*(E6217=E6216:E$2)))))</f>
        <v> </v>
      </c>
      <c r="J6217" s="26" t="str">
        <f>IF(OR(E6217="",E6217="!!!",F6217="NEW"),"",COUNTBLANK(OFFSET(A$1,,,SUMPRODUCT(MAX(ROW(E$2:E6217)*(E6217=E$2:E6217)))))-COUNTBLANK(OFFSET(A$1,,,SUMPRODUCT(MAX(ROW(E$1:E6216)*(E2=E$1:E6216))))))</f>
        <v> </v>
      </c>
      <c r="K6217" s="26" t="str">
        <f>IF(OR(E6217="",E6217="!!!",F6217="NEW"),"",INDEX(J$1:J6216,SUMPRODUCT(MAX(ROW(E$1:E6216)*(E6217=E$1:E6216)))))</f>
        <v> </v>
      </c>
      <c r="L6217" s="27"/>
    </row>
    <row r="6218" spans="1:12">
      <c r="A6218" s="20" t="s">
        <v>2713</v>
      </c>
      <c r="E6218" s="22">
        <f>IF(D6218="?OLD","!!!","")</f>
        <v/>
      </c>
      <c r="F6218" s="23" t="str">
        <f>IF(OR(E6218="",E6218="!!!"),"",IF(NOT(ISNA(VLOOKUP(E6218,E$1:E6217,1,FALSE()))),"OLD",IF(AND(E6218&lt;&gt;"",E6218&lt;&gt;"!!!"),"NEW","")))</f>
        <v> </v>
      </c>
      <c r="G6218" s="24" t="str">
        <f>IF(OR(E6218="",E6218="!!!"),"",IF(OR(J6218=0,AND(J6218=1,K6218=1),AND(J6218=1,I6218="SBJ"),AND(J6218=1,I6218=0)),"?IN_FOCUS",IF(J6218&lt;=2,"?ACTIVATED",IF(J6218&lt;&gt;"","?FAMILIAR",IF(F6218="NEW",IF(ISNA(VLOOKUP(E6218,#REF!,1,FALSE())),"?TYPE_IDENTIFIABLE","?REFERENTIAL"),"_")))))</f>
        <v> </v>
      </c>
      <c r="H6218" s="25" t="str">
        <f>IF(J6218&lt;&gt;1,"",IF(I6218="SBJ","CB","?"))</f>
        <v> </v>
      </c>
      <c r="I6218" s="26" t="str">
        <f>IF(OR(E6218="",E6218="!!!",F6218="NEW"),"",INDEX(B6217:B$2,-1+SUMPRODUCT(MAX(ROW(E6217:E$2)*(E6218=E6217:E$2)))))</f>
        <v> </v>
      </c>
      <c r="J6218" s="26" t="str">
        <f>IF(OR(E6218="",E6218="!!!",F6218="NEW"),"",COUNTBLANK(OFFSET(A$1,,,SUMPRODUCT(MAX(ROW(E$2:E6218)*(E6218=E$2:E6218)))))-COUNTBLANK(OFFSET(A$1,,,SUMPRODUCT(MAX(ROW(E$1:E6217)*(E2=E$1:E6217))))))</f>
        <v> </v>
      </c>
      <c r="K6218" s="26" t="str">
        <f>IF(OR(E6218="",E6218="!!!",F6218="NEW"),"",INDEX(J$1:J6217,SUMPRODUCT(MAX(ROW(E$1:E6217)*(E6218=E$1:E6217)))))</f>
        <v> </v>
      </c>
      <c r="L6218" s="27"/>
    </row>
    <row r="6219" spans="1:12">
      <c r="A6219" s="20" t="s">
        <v>1185</v>
      </c>
      <c r="E6219" s="22">
        <f>IF(D6219="?OLD","!!!","")</f>
        <v/>
      </c>
      <c r="F6219" s="23" t="str">
        <f>IF(OR(E6219="",E6219="!!!"),"",IF(NOT(ISNA(VLOOKUP(E6219,E$1:E6218,1,FALSE()))),"OLD",IF(AND(E6219&lt;&gt;"",E6219&lt;&gt;"!!!"),"NEW","")))</f>
        <v> </v>
      </c>
      <c r="G6219" s="24" t="str">
        <f>IF(OR(E6219="",E6219="!!!"),"",IF(OR(J6219=0,AND(J6219=1,K6219=1),AND(J6219=1,I6219="SBJ"),AND(J6219=1,I6219=0)),"?IN_FOCUS",IF(J6219&lt;=2,"?ACTIVATED",IF(J6219&lt;&gt;"","?FAMILIAR",IF(F6219="NEW",IF(ISNA(VLOOKUP(E6219,#REF!,1,FALSE())),"?TYPE_IDENTIFIABLE","?REFERENTIAL"),"_")))))</f>
        <v> </v>
      </c>
      <c r="H6219" s="25" t="str">
        <f>IF(J6219&lt;&gt;1,"",IF(I6219="SBJ","CB","?"))</f>
        <v> </v>
      </c>
      <c r="I6219" s="26" t="str">
        <f>IF(OR(E6219="",E6219="!!!",F6219="NEW"),"",INDEX(B6218:B$2,-1+SUMPRODUCT(MAX(ROW(E6218:E$2)*(E6219=E6218:E$2)))))</f>
        <v> </v>
      </c>
      <c r="J6219" s="26" t="str">
        <f>IF(OR(E6219="",E6219="!!!",F6219="NEW"),"",COUNTBLANK(OFFSET(A$1,,,SUMPRODUCT(MAX(ROW(E$2:E6219)*(E6219=E$2:E6219)))))-COUNTBLANK(OFFSET(A$1,,,SUMPRODUCT(MAX(ROW(E$1:E6218)*(E2=E$1:E6218))))))</f>
        <v> </v>
      </c>
      <c r="K6219" s="26" t="str">
        <f>IF(OR(E6219="",E6219="!!!",F6219="NEW"),"",INDEX(J$1:J6218,SUMPRODUCT(MAX(ROW(E$1:E6218)*(E6219=E$1:E6218)))))</f>
        <v> </v>
      </c>
      <c r="L6219" s="27"/>
    </row>
    <row r="6220" spans="1:12">
      <c r="A6220" s="20" t="s">
        <v>1532</v>
      </c>
      <c r="B6220" s="21" t="s">
        <v>1207</v>
      </c>
      <c r="C6220" s="21" t="s">
        <v>1297</v>
      </c>
      <c r="D6220" s="21" t="s">
        <v>1180</v>
      </c>
      <c r="E6220" s="22">
        <f>IF(D6220="?OLD","!!!","")</f>
        <v/>
      </c>
      <c r="F6220" s="23" t="str">
        <f>IF(OR(E6220="",E6220="!!!"),"",IF(NOT(ISNA(VLOOKUP(E6220,E$1:E6219,1,FALSE()))),"OLD",IF(AND(E6220&lt;&gt;"",E6220&lt;&gt;"!!!"),"NEW","")))</f>
        <v> </v>
      </c>
      <c r="G6220" s="24" t="str">
        <f>IF(OR(E6220="",E6220="!!!"),"",IF(OR(J6220=0,AND(J6220=1,K6220=1),AND(J6220=1,I6220="SBJ"),AND(J6220=1,I6220=0)),"?IN_FOCUS",IF(J6220&lt;=2,"?ACTIVATED",IF(J6220&lt;&gt;"","?FAMILIAR",IF(F6220="NEW",IF(ISNA(VLOOKUP(E6220,#REF!,1,FALSE())),"?TYPE_IDENTIFIABLE","?REFERENTIAL"),"_")))))</f>
        <v> </v>
      </c>
      <c r="H6220" s="25" t="str">
        <f>IF(J6220&lt;&gt;1,"",IF(I6220="SBJ","CB","?"))</f>
        <v> </v>
      </c>
      <c r="I6220" s="26" t="str">
        <f>IF(OR(E6220="",E6220="!!!",F6220="NEW"),"",INDEX(B6219:B$2,-1+SUMPRODUCT(MAX(ROW(E6219:E$2)*(E6220=E6219:E$2)))))</f>
        <v> </v>
      </c>
      <c r="J6220" s="26" t="str">
        <f>IF(OR(E6220="",E6220="!!!",F6220="NEW"),"",COUNTBLANK(OFFSET(A$1,,,SUMPRODUCT(MAX(ROW(E$2:E6220)*(E6220=E$2:E6220)))))-COUNTBLANK(OFFSET(A$1,,,SUMPRODUCT(MAX(ROW(E$1:E6219)*(E2=E$1:E6219))))))</f>
        <v> </v>
      </c>
      <c r="K6220" s="26" t="str">
        <f>IF(OR(E6220="",E6220="!!!",F6220="NEW"),"",INDEX(J$1:J6219,SUMPRODUCT(MAX(ROW(E$1:E6219)*(E6220=E$1:E6219)))))</f>
        <v> </v>
      </c>
      <c r="L6220" s="27"/>
    </row>
    <row r="6221" spans="1:12">
      <c r="A6221" s="20" t="s">
        <v>2868</v>
      </c>
      <c r="B6221" s="21" t="s">
        <v>1240</v>
      </c>
      <c r="C6221" s="21" t="s">
        <v>1184</v>
      </c>
      <c r="E6221" s="22">
        <f>IF(D6221="?OLD","!!!","")</f>
        <v/>
      </c>
      <c r="F6221" s="23" t="str">
        <f>IF(OR(E6221="",E6221="!!!"),"",IF(NOT(ISNA(VLOOKUP(E6221,E$1:E6220,1,FALSE()))),"OLD",IF(AND(E6221&lt;&gt;"",E6221&lt;&gt;"!!!"),"NEW","")))</f>
        <v> </v>
      </c>
      <c r="G6221" s="24" t="str">
        <f>IF(OR(E6221="",E6221="!!!"),"",IF(OR(J6221=0,AND(J6221=1,K6221=1),AND(J6221=1,I6221="SBJ"),AND(J6221=1,I6221=0)),"?IN_FOCUS",IF(J6221&lt;=2,"?ACTIVATED",IF(J6221&lt;&gt;"","?FAMILIAR",IF(F6221="NEW",IF(ISNA(VLOOKUP(E6221,#REF!,1,FALSE())),"?TYPE_IDENTIFIABLE","?REFERENTIAL"),"_")))))</f>
        <v> </v>
      </c>
      <c r="H6221" s="25" t="str">
        <f>IF(J6221&lt;&gt;1,"",IF(I6221="SBJ","CB","?"))</f>
        <v> </v>
      </c>
      <c r="I6221" s="26" t="str">
        <f>IF(OR(E6221="",E6221="!!!",F6221="NEW"),"",INDEX(B6220:B$2,-1+SUMPRODUCT(MAX(ROW(E6220:E$2)*(E6221=E6220:E$2)))))</f>
        <v> </v>
      </c>
      <c r="J6221" s="26" t="str">
        <f>IF(OR(E6221="",E6221="!!!",F6221="NEW"),"",COUNTBLANK(OFFSET(A$1,,,SUMPRODUCT(MAX(ROW(E$2:E6221)*(E6221=E$2:E6221)))))-COUNTBLANK(OFFSET(A$1,,,SUMPRODUCT(MAX(ROW(E$1:E6220)*(E2=E$1:E6220))))))</f>
        <v> </v>
      </c>
      <c r="K6221" s="26" t="str">
        <f>IF(OR(E6221="",E6221="!!!",F6221="NEW"),"",INDEX(J$1:J6220,SUMPRODUCT(MAX(ROW(E$1:E6220)*(E6221=E$1:E6220)))))</f>
        <v> </v>
      </c>
      <c r="L6221" s="27"/>
    </row>
    <row r="6222" spans="1:12">
      <c r="A6222" s="20" t="s">
        <v>1235</v>
      </c>
      <c r="E6222" s="22">
        <f>IF(D6222="?OLD","!!!","")</f>
        <v/>
      </c>
      <c r="F6222" s="23" t="str">
        <f>IF(OR(E6222="",E6222="!!!"),"",IF(NOT(ISNA(VLOOKUP(E6222,E$1:E6221,1,FALSE()))),"OLD",IF(AND(E6222&lt;&gt;"",E6222&lt;&gt;"!!!"),"NEW","")))</f>
        <v> </v>
      </c>
      <c r="G6222" s="24" t="str">
        <f>IF(OR(E6222="",E6222="!!!"),"",IF(OR(J6222=0,AND(J6222=1,K6222=1),AND(J6222=1,I6222="SBJ"),AND(J6222=1,I6222=0)),"?IN_FOCUS",IF(J6222&lt;=2,"?ACTIVATED",IF(J6222&lt;&gt;"","?FAMILIAR",IF(F6222="NEW",IF(ISNA(VLOOKUP(E6222,#REF!,1,FALSE())),"?TYPE_IDENTIFIABLE","?REFERENTIAL"),"_")))))</f>
        <v> </v>
      </c>
      <c r="H6222" s="25" t="str">
        <f>IF(J6222&lt;&gt;1,"",IF(I6222="SBJ","CB","?"))</f>
        <v> </v>
      </c>
      <c r="I6222" s="26" t="str">
        <f>IF(OR(E6222="",E6222="!!!",F6222="NEW"),"",INDEX(B6221:B$2,-1+SUMPRODUCT(MAX(ROW(E6221:E$2)*(E6222=E6221:E$2)))))</f>
        <v> </v>
      </c>
      <c r="J6222" s="26" t="str">
        <f>IF(OR(E6222="",E6222="!!!",F6222="NEW"),"",COUNTBLANK(OFFSET(A$1,,,SUMPRODUCT(MAX(ROW(E$2:E6222)*(E6222=E$2:E6222)))))-COUNTBLANK(OFFSET(A$1,,,SUMPRODUCT(MAX(ROW(E$1:E6221)*(E2=E$1:E6221))))))</f>
        <v> </v>
      </c>
      <c r="K6222" s="26" t="str">
        <f>IF(OR(E6222="",E6222="!!!",F6222="NEW"),"",INDEX(J$1:J6221,SUMPRODUCT(MAX(ROW(E$1:E6221)*(E6222=E$1:E6221)))))</f>
        <v> </v>
      </c>
      <c r="L6222" s="27"/>
    </row>
    <row r="6223" spans="1:12">
      <c r="A6223" s="20" t="s">
        <v>1375</v>
      </c>
      <c r="E6223" s="22">
        <f>IF(D6223="?OLD","!!!","")</f>
        <v/>
      </c>
      <c r="F6223" s="23" t="str">
        <f>IF(OR(E6223="",E6223="!!!"),"",IF(NOT(ISNA(VLOOKUP(E6223,E$1:E6222,1,FALSE()))),"OLD",IF(AND(E6223&lt;&gt;"",E6223&lt;&gt;"!!!"),"NEW","")))</f>
        <v> </v>
      </c>
      <c r="G6223" s="24" t="str">
        <f>IF(OR(E6223="",E6223="!!!"),"",IF(OR(J6223=0,AND(J6223=1,K6223=1),AND(J6223=1,I6223="SBJ"),AND(J6223=1,I6223=0)),"?IN_FOCUS",IF(J6223&lt;=2,"?ACTIVATED",IF(J6223&lt;&gt;"","?FAMILIAR",IF(F6223="NEW",IF(ISNA(VLOOKUP(E6223,#REF!,1,FALSE())),"?TYPE_IDENTIFIABLE","?REFERENTIAL"),"_")))))</f>
        <v> </v>
      </c>
      <c r="H6223" s="25" t="str">
        <f>IF(J6223&lt;&gt;1,"",IF(I6223="SBJ","CB","?"))</f>
        <v> </v>
      </c>
      <c r="I6223" s="26" t="str">
        <f>IF(OR(E6223="",E6223="!!!",F6223="NEW"),"",INDEX(B6222:B$2,-1+SUMPRODUCT(MAX(ROW(E6222:E$2)*(E6223=E6222:E$2)))))</f>
        <v> </v>
      </c>
      <c r="J6223" s="26" t="str">
        <f>IF(OR(E6223="",E6223="!!!",F6223="NEW"),"",COUNTBLANK(OFFSET(A$1,,,SUMPRODUCT(MAX(ROW(E$2:E6223)*(E6223=E$2:E6223)))))-COUNTBLANK(OFFSET(A$1,,,SUMPRODUCT(MAX(ROW(E$1:E6222)*(E2=E$1:E6222))))))</f>
        <v> </v>
      </c>
      <c r="K6223" s="26" t="str">
        <f>IF(OR(E6223="",E6223="!!!",F6223="NEW"),"",INDEX(J$1:J6222,SUMPRODUCT(MAX(ROW(E$1:E6222)*(E6223=E$1:E6222)))))</f>
        <v> </v>
      </c>
      <c r="L6223" s="27"/>
    </row>
    <row r="6224" spans="1:12">
      <c r="A6224" s="20" t="s">
        <v>1559</v>
      </c>
      <c r="E6224" s="22">
        <f>IF(D6224="?OLD","!!!","")</f>
        <v/>
      </c>
      <c r="F6224" s="23" t="str">
        <f>IF(OR(E6224="",E6224="!!!"),"",IF(NOT(ISNA(VLOOKUP(E6224,E$1:E6223,1,FALSE()))),"OLD",IF(AND(E6224&lt;&gt;"",E6224&lt;&gt;"!!!"),"NEW","")))</f>
        <v> </v>
      </c>
      <c r="G6224" s="24" t="str">
        <f>IF(OR(E6224="",E6224="!!!"),"",IF(OR(J6224=0,AND(J6224=1,K6224=1),AND(J6224=1,I6224="SBJ"),AND(J6224=1,I6224=0)),"?IN_FOCUS",IF(J6224&lt;=2,"?ACTIVATED",IF(J6224&lt;&gt;"","?FAMILIAR",IF(F6224="NEW",IF(ISNA(VLOOKUP(E6224,#REF!,1,FALSE())),"?TYPE_IDENTIFIABLE","?REFERENTIAL"),"_")))))</f>
        <v> </v>
      </c>
      <c r="H6224" s="25" t="str">
        <f>IF(J6224&lt;&gt;1,"",IF(I6224="SBJ","CB","?"))</f>
        <v> </v>
      </c>
      <c r="I6224" s="26" t="str">
        <f>IF(OR(E6224="",E6224="!!!",F6224="NEW"),"",INDEX(B6223:B$2,-1+SUMPRODUCT(MAX(ROW(E6223:E$2)*(E6224=E6223:E$2)))))</f>
        <v> </v>
      </c>
      <c r="J6224" s="26" t="str">
        <f>IF(OR(E6224="",E6224="!!!",F6224="NEW"),"",COUNTBLANK(OFFSET(A$1,,,SUMPRODUCT(MAX(ROW(E$2:E6224)*(E6224=E$2:E6224)))))-COUNTBLANK(OFFSET(A$1,,,SUMPRODUCT(MAX(ROW(E$1:E6223)*(E2=E$1:E6223))))))</f>
        <v> </v>
      </c>
      <c r="K6224" s="26" t="str">
        <f>IF(OR(E6224="",E6224="!!!",F6224="NEW"),"",INDEX(J$1:J6223,SUMPRODUCT(MAX(ROW(E$1:E6223)*(E6224=E$1:E6223)))))</f>
        <v> </v>
      </c>
      <c r="L6224" s="27"/>
    </row>
    <row r="6225" spans="1:12">
      <c r="A6225" s="20" t="s">
        <v>1233</v>
      </c>
      <c r="E6225" s="22">
        <f>IF(D6225="?OLD","!!!","")</f>
        <v/>
      </c>
      <c r="F6225" s="23" t="str">
        <f>IF(OR(E6225="",E6225="!!!"),"",IF(NOT(ISNA(VLOOKUP(E6225,E$1:E6224,1,FALSE()))),"OLD",IF(AND(E6225&lt;&gt;"",E6225&lt;&gt;"!!!"),"NEW","")))</f>
        <v> </v>
      </c>
      <c r="G6225" s="24" t="str">
        <f>IF(OR(E6225="",E6225="!!!"),"",IF(OR(J6225=0,AND(J6225=1,K6225=1),AND(J6225=1,I6225="SBJ"),AND(J6225=1,I6225=0)),"?IN_FOCUS",IF(J6225&lt;=2,"?ACTIVATED",IF(J6225&lt;&gt;"","?FAMILIAR",IF(F6225="NEW",IF(ISNA(VLOOKUP(E6225,#REF!,1,FALSE())),"?TYPE_IDENTIFIABLE","?REFERENTIAL"),"_")))))</f>
        <v> </v>
      </c>
      <c r="H6225" s="25" t="str">
        <f>IF(J6225&lt;&gt;1,"",IF(I6225="SBJ","CB","?"))</f>
        <v> </v>
      </c>
      <c r="I6225" s="26" t="str">
        <f>IF(OR(E6225="",E6225="!!!",F6225="NEW"),"",INDEX(B6224:B$2,-1+SUMPRODUCT(MAX(ROW(E6224:E$2)*(E6225=E6224:E$2)))))</f>
        <v> </v>
      </c>
      <c r="J6225" s="26" t="str">
        <f>IF(OR(E6225="",E6225="!!!",F6225="NEW"),"",COUNTBLANK(OFFSET(A$1,,,SUMPRODUCT(MAX(ROW(E$2:E6225)*(E6225=E$2:E6225)))))-COUNTBLANK(OFFSET(A$1,,,SUMPRODUCT(MAX(ROW(E$1:E6224)*(E2=E$1:E6224))))))</f>
        <v> </v>
      </c>
      <c r="K6225" s="26" t="str">
        <f>IF(OR(E6225="",E6225="!!!",F6225="NEW"),"",INDEX(J$1:J6224,SUMPRODUCT(MAX(ROW(E$1:E6224)*(E6225=E$1:E6224)))))</f>
        <v> </v>
      </c>
      <c r="L6225" s="27"/>
    </row>
    <row r="6226" spans="1:12">
      <c r="A6226" s="20" t="s">
        <v>1302</v>
      </c>
      <c r="E6226" s="22">
        <f>IF(D6226="?OLD","!!!","")</f>
        <v/>
      </c>
      <c r="F6226" s="23" t="str">
        <f>IF(OR(E6226="",E6226="!!!"),"",IF(NOT(ISNA(VLOOKUP(E6226,E$1:E6225,1,FALSE()))),"OLD",IF(AND(E6226&lt;&gt;"",E6226&lt;&gt;"!!!"),"NEW","")))</f>
        <v> </v>
      </c>
      <c r="G6226" s="24" t="str">
        <f>IF(OR(E6226="",E6226="!!!"),"",IF(OR(J6226=0,AND(J6226=1,K6226=1),AND(J6226=1,I6226="SBJ"),AND(J6226=1,I6226=0)),"?IN_FOCUS",IF(J6226&lt;=2,"?ACTIVATED",IF(J6226&lt;&gt;"","?FAMILIAR",IF(F6226="NEW",IF(ISNA(VLOOKUP(E6226,#REF!,1,FALSE())),"?TYPE_IDENTIFIABLE","?REFERENTIAL"),"_")))))</f>
        <v> </v>
      </c>
      <c r="H6226" s="25" t="str">
        <f>IF(J6226&lt;&gt;1,"",IF(I6226="SBJ","CB","?"))</f>
        <v> </v>
      </c>
      <c r="I6226" s="26" t="str">
        <f>IF(OR(E6226="",E6226="!!!",F6226="NEW"),"",INDEX(B6225:B$2,-1+SUMPRODUCT(MAX(ROW(E6225:E$2)*(E6226=E6225:E$2)))))</f>
        <v> </v>
      </c>
      <c r="J6226" s="26" t="str">
        <f>IF(OR(E6226="",E6226="!!!",F6226="NEW"),"",COUNTBLANK(OFFSET(A$1,,,SUMPRODUCT(MAX(ROW(E$2:E6226)*(E6226=E$2:E6226)))))-COUNTBLANK(OFFSET(A$1,,,SUMPRODUCT(MAX(ROW(E$1:E6225)*(E2=E$1:E6225))))))</f>
        <v> </v>
      </c>
      <c r="K6226" s="26" t="str">
        <f>IF(OR(E6226="",E6226="!!!",F6226="NEW"),"",INDEX(J$1:J6225,SUMPRODUCT(MAX(ROW(E$1:E6225)*(E6226=E$1:E6225)))))</f>
        <v> </v>
      </c>
      <c r="L6226" s="27"/>
    </row>
    <row r="6227" spans="1:12">
      <c r="A6227" s="20" t="s">
        <v>2405</v>
      </c>
      <c r="B6227" s="21" t="s">
        <v>1207</v>
      </c>
      <c r="C6227" s="21" t="s">
        <v>1297</v>
      </c>
      <c r="D6227" s="21" t="s">
        <v>1180</v>
      </c>
      <c r="E6227" s="22">
        <f>IF(D6227="?OLD","!!!","")</f>
        <v/>
      </c>
      <c r="F6227" s="23" t="str">
        <f>IF(OR(E6227="",E6227="!!!"),"",IF(NOT(ISNA(VLOOKUP(E6227,E$1:E6226,1,FALSE()))),"OLD",IF(AND(E6227&lt;&gt;"",E6227&lt;&gt;"!!!"),"NEW","")))</f>
        <v> </v>
      </c>
      <c r="G6227" s="24" t="str">
        <f>IF(OR(E6227="",E6227="!!!"),"",IF(OR(J6227=0,AND(J6227=1,K6227=1),AND(J6227=1,I6227="SBJ"),AND(J6227=1,I6227=0)),"?IN_FOCUS",IF(J6227&lt;=2,"?ACTIVATED",IF(J6227&lt;&gt;"","?FAMILIAR",IF(F6227="NEW",IF(ISNA(VLOOKUP(E6227,#REF!,1,FALSE())),"?TYPE_IDENTIFIABLE","?REFERENTIAL"),"_")))))</f>
        <v> </v>
      </c>
      <c r="H6227" s="25" t="str">
        <f>IF(J6227&lt;&gt;1,"",IF(I6227="SBJ","CB","?"))</f>
        <v> </v>
      </c>
      <c r="I6227" s="26" t="str">
        <f>IF(OR(E6227="",E6227="!!!",F6227="NEW"),"",INDEX(B6226:B$2,-1+SUMPRODUCT(MAX(ROW(E6226:E$2)*(E6227=E6226:E$2)))))</f>
        <v> </v>
      </c>
      <c r="J6227" s="26" t="str">
        <f>IF(OR(E6227="",E6227="!!!",F6227="NEW"),"",COUNTBLANK(OFFSET(A$1,,,SUMPRODUCT(MAX(ROW(E$2:E6227)*(E6227=E$2:E6227)))))-COUNTBLANK(OFFSET(A$1,,,SUMPRODUCT(MAX(ROW(E$1:E6226)*(E2=E$1:E6226))))))</f>
        <v> </v>
      </c>
      <c r="K6227" s="26" t="str">
        <f>IF(OR(E6227="",E6227="!!!",F6227="NEW"),"",INDEX(J$1:J6226,SUMPRODUCT(MAX(ROW(E$1:E6226)*(E6227=E$1:E6226)))))</f>
        <v> </v>
      </c>
      <c r="L6227" s="27"/>
    </row>
    <row r="6228" spans="1:12">
      <c r="A6228" s="20" t="s">
        <v>1881</v>
      </c>
      <c r="B6228" s="21" t="s">
        <v>1191</v>
      </c>
      <c r="C6228" s="21" t="s">
        <v>1324</v>
      </c>
      <c r="E6228" s="22">
        <f>IF(D6228="?OLD","!!!","")</f>
        <v/>
      </c>
      <c r="F6228" s="23" t="str">
        <f>IF(OR(E6228="",E6228="!!!"),"",IF(NOT(ISNA(VLOOKUP(E6228,E$1:E6227,1,FALSE()))),"OLD",IF(AND(E6228&lt;&gt;"",E6228&lt;&gt;"!!!"),"NEW","")))</f>
        <v> </v>
      </c>
      <c r="G6228" s="24" t="str">
        <f>IF(OR(E6228="",E6228="!!!"),"",IF(OR(J6228=0,AND(J6228=1,K6228=1),AND(J6228=1,I6228="SBJ"),AND(J6228=1,I6228=0)),"?IN_FOCUS",IF(J6228&lt;=2,"?ACTIVATED",IF(J6228&lt;&gt;"","?FAMILIAR",IF(F6228="NEW",IF(ISNA(VLOOKUP(E6228,#REF!,1,FALSE())),"?TYPE_IDENTIFIABLE","?REFERENTIAL"),"_")))))</f>
        <v> </v>
      </c>
      <c r="H6228" s="25" t="str">
        <f>IF(J6228&lt;&gt;1,"",IF(I6228="SBJ","CB","?"))</f>
        <v> </v>
      </c>
      <c r="I6228" s="26" t="str">
        <f>IF(OR(E6228="",E6228="!!!",F6228="NEW"),"",INDEX(B6227:B$2,-1+SUMPRODUCT(MAX(ROW(E6227:E$2)*(E6228=E6227:E$2)))))</f>
        <v> </v>
      </c>
      <c r="J6228" s="26" t="str">
        <f>IF(OR(E6228="",E6228="!!!",F6228="NEW"),"",COUNTBLANK(OFFSET(A$1,,,SUMPRODUCT(MAX(ROW(E$2:E6228)*(E6228=E$2:E6228)))))-COUNTBLANK(OFFSET(A$1,,,SUMPRODUCT(MAX(ROW(E$1:E6227)*(E2=E$1:E6227))))))</f>
        <v> </v>
      </c>
      <c r="K6228" s="26" t="str">
        <f>IF(OR(E6228="",E6228="!!!",F6228="NEW"),"",INDEX(J$1:J6227,SUMPRODUCT(MAX(ROW(E$1:E6227)*(E6228=E$1:E6227)))))</f>
        <v> </v>
      </c>
      <c r="L6228" s="27"/>
    </row>
    <row r="6229" spans="1:12">
      <c r="A6229" s="20" t="s">
        <v>1200</v>
      </c>
      <c r="E6229" s="22">
        <f>IF(D6229="?OLD","!!!","")</f>
        <v/>
      </c>
      <c r="F6229" s="23" t="str">
        <f>IF(OR(E6229="",E6229="!!!"),"",IF(NOT(ISNA(VLOOKUP(E6229,E$1:E6228,1,FALSE()))),"OLD",IF(AND(E6229&lt;&gt;"",E6229&lt;&gt;"!!!"),"NEW","")))</f>
        <v> </v>
      </c>
      <c r="G6229" s="24" t="str">
        <f>IF(OR(E6229="",E6229="!!!"),"",IF(OR(J6229=0,AND(J6229=1,K6229=1),AND(J6229=1,I6229="SBJ"),AND(J6229=1,I6229=0)),"?IN_FOCUS",IF(J6229&lt;=2,"?ACTIVATED",IF(J6229&lt;&gt;"","?FAMILIAR",IF(F6229="NEW",IF(ISNA(VLOOKUP(E6229,#REF!,1,FALSE())),"?TYPE_IDENTIFIABLE","?REFERENTIAL"),"_")))))</f>
        <v> </v>
      </c>
      <c r="H6229" s="25" t="str">
        <f>IF(J6229&lt;&gt;1,"",IF(I6229="SBJ","CB","?"))</f>
        <v> </v>
      </c>
      <c r="I6229" s="26" t="str">
        <f>IF(OR(E6229="",E6229="!!!",F6229="NEW"),"",INDEX(B6228:B$2,-1+SUMPRODUCT(MAX(ROW(E6228:E$2)*(E6229=E6228:E$2)))))</f>
        <v> </v>
      </c>
      <c r="J6229" s="26" t="str">
        <f>IF(OR(E6229="",E6229="!!!",F6229="NEW"),"",COUNTBLANK(OFFSET(A$1,,,SUMPRODUCT(MAX(ROW(E$2:E6229)*(E6229=E$2:E6229)))))-COUNTBLANK(OFFSET(A$1,,,SUMPRODUCT(MAX(ROW(E$1:E6228)*(E2=E$1:E6228))))))</f>
        <v> </v>
      </c>
      <c r="K6229" s="26" t="str">
        <f>IF(OR(E6229="",E6229="!!!",F6229="NEW"),"",INDEX(J$1:J6228,SUMPRODUCT(MAX(ROW(E$1:E6228)*(E6229=E$1:E6228)))))</f>
        <v> </v>
      </c>
      <c r="L6229" s="27"/>
    </row>
    <row r="6230" spans="1:12">
      <c r="A6230" s="20" t="s">
        <v>2592</v>
      </c>
      <c r="B6230" s="21" t="s">
        <v>1278</v>
      </c>
      <c r="C6230" s="21" t="s">
        <v>1195</v>
      </c>
      <c r="D6230" s="21" t="s">
        <v>1180</v>
      </c>
      <c r="E6230" s="22">
        <f>IF(D6230="?OLD","!!!","")</f>
        <v/>
      </c>
      <c r="F6230" s="23" t="str">
        <f>IF(OR(E6230="",E6230="!!!"),"",IF(NOT(ISNA(VLOOKUP(E6230,E$1:E6229,1,FALSE()))),"OLD",IF(AND(E6230&lt;&gt;"",E6230&lt;&gt;"!!!"),"NEW","")))</f>
        <v> </v>
      </c>
      <c r="G6230" s="24" t="str">
        <f>IF(OR(E6230="",E6230="!!!"),"",IF(OR(J6230=0,AND(J6230=1,K6230=1),AND(J6230=1,I6230="SBJ"),AND(J6230=1,I6230=0)),"?IN_FOCUS",IF(J6230&lt;=2,"?ACTIVATED",IF(J6230&lt;&gt;"","?FAMILIAR",IF(F6230="NEW",IF(ISNA(VLOOKUP(E6230,#REF!,1,FALSE())),"?TYPE_IDENTIFIABLE","?REFERENTIAL"),"_")))))</f>
        <v> </v>
      </c>
      <c r="H6230" s="25" t="str">
        <f>IF(J6230&lt;&gt;1,"",IF(I6230="SBJ","CB","?"))</f>
        <v> </v>
      </c>
      <c r="I6230" s="26" t="str">
        <f>IF(OR(E6230="",E6230="!!!",F6230="NEW"),"",INDEX(B6229:B$2,-1+SUMPRODUCT(MAX(ROW(E6229:E$2)*(E6230=E6229:E$2)))))</f>
        <v> </v>
      </c>
      <c r="J6230" s="26" t="str">
        <f>IF(OR(E6230="",E6230="!!!",F6230="NEW"),"",COUNTBLANK(OFFSET(A$1,,,SUMPRODUCT(MAX(ROW(E$2:E6230)*(E6230=E$2:E6230)))))-COUNTBLANK(OFFSET(A$1,,,SUMPRODUCT(MAX(ROW(E$1:E6229)*(E2=E$1:E6229))))))</f>
        <v> </v>
      </c>
      <c r="K6230" s="26" t="str">
        <f>IF(OR(E6230="",E6230="!!!",F6230="NEW"),"",INDEX(J$1:J6229,SUMPRODUCT(MAX(ROW(E$1:E6229)*(E6230=E$1:E6229)))))</f>
        <v> </v>
      </c>
      <c r="L6230" s="27"/>
    </row>
    <row r="6231" spans="1:12">
      <c r="A6231" s="20" t="s">
        <v>2346</v>
      </c>
      <c r="E6231" s="22">
        <f>IF(D6231="?OLD","!!!","")</f>
        <v/>
      </c>
      <c r="F6231" s="23" t="str">
        <f>IF(OR(E6231="",E6231="!!!"),"",IF(NOT(ISNA(VLOOKUP(E6231,E$1:E6230,1,FALSE()))),"OLD",IF(AND(E6231&lt;&gt;"",E6231&lt;&gt;"!!!"),"NEW","")))</f>
        <v> </v>
      </c>
      <c r="G6231" s="24" t="str">
        <f>IF(OR(E6231="",E6231="!!!"),"",IF(OR(J6231=0,AND(J6231=1,K6231=1),AND(J6231=1,I6231="SBJ"),AND(J6231=1,I6231=0)),"?IN_FOCUS",IF(J6231&lt;=2,"?ACTIVATED",IF(J6231&lt;&gt;"","?FAMILIAR",IF(F6231="NEW",IF(ISNA(VLOOKUP(E6231,#REF!,1,FALSE())),"?TYPE_IDENTIFIABLE","?REFERENTIAL"),"_")))))</f>
        <v> </v>
      </c>
      <c r="H6231" s="25" t="str">
        <f>IF(J6231&lt;&gt;1,"",IF(I6231="SBJ","CB","?"))</f>
        <v> </v>
      </c>
      <c r="I6231" s="26" t="str">
        <f>IF(OR(E6231="",E6231="!!!",F6231="NEW"),"",INDEX(B6230:B$2,-1+SUMPRODUCT(MAX(ROW(E6230:E$2)*(E6231=E6230:E$2)))))</f>
        <v> </v>
      </c>
      <c r="J6231" s="26" t="str">
        <f>IF(OR(E6231="",E6231="!!!",F6231="NEW"),"",COUNTBLANK(OFFSET(A$1,,,SUMPRODUCT(MAX(ROW(E$2:E6231)*(E6231=E$2:E6231)))))-COUNTBLANK(OFFSET(A$1,,,SUMPRODUCT(MAX(ROW(E$1:E6230)*(E2=E$1:E6230))))))</f>
        <v> </v>
      </c>
      <c r="K6231" s="26" t="str">
        <f>IF(OR(E6231="",E6231="!!!",F6231="NEW"),"",INDEX(J$1:J6230,SUMPRODUCT(MAX(ROW(E$1:E6230)*(E6231=E$1:E6230)))))</f>
        <v> </v>
      </c>
      <c r="L6231" s="27"/>
    </row>
    <row r="6232" spans="1:12">
      <c r="A6232" s="20" t="s">
        <v>818</v>
      </c>
      <c r="E6232" s="22">
        <f>IF(D6232="?OLD","!!!","")</f>
        <v/>
      </c>
      <c r="F6232" s="23" t="str">
        <f>IF(OR(E6232="",E6232="!!!"),"",IF(NOT(ISNA(VLOOKUP(E6232,E$1:E6231,1,FALSE()))),"OLD",IF(AND(E6232&lt;&gt;"",E6232&lt;&gt;"!!!"),"NEW","")))</f>
        <v> </v>
      </c>
      <c r="G6232" s="24" t="str">
        <f>IF(OR(E6232="",E6232="!!!"),"",IF(OR(J6232=0,AND(J6232=1,K6232=1),AND(J6232=1,I6232="SBJ"),AND(J6232=1,I6232=0)),"?IN_FOCUS",IF(J6232&lt;=2,"?ACTIVATED",IF(J6232&lt;&gt;"","?FAMILIAR",IF(F6232="NEW",IF(ISNA(VLOOKUP(E6232,#REF!,1,FALSE())),"?TYPE_IDENTIFIABLE","?REFERENTIAL"),"_")))))</f>
        <v> </v>
      </c>
      <c r="H6232" s="25" t="str">
        <f>IF(J6232&lt;&gt;1,"",IF(I6232="SBJ","CB","?"))</f>
        <v> </v>
      </c>
      <c r="I6232" s="26" t="str">
        <f>IF(OR(E6232="",E6232="!!!",F6232="NEW"),"",INDEX(B6231:B$2,-1+SUMPRODUCT(MAX(ROW(E6231:E$2)*(E6232=E6231:E$2)))))</f>
        <v> </v>
      </c>
      <c r="J6232" s="26" t="str">
        <f>IF(OR(E6232="",E6232="!!!",F6232="NEW"),"",COUNTBLANK(OFFSET(A$1,,,SUMPRODUCT(MAX(ROW(E$2:E6232)*(E6232=E$2:E6232)))))-COUNTBLANK(OFFSET(A$1,,,SUMPRODUCT(MAX(ROW(E$1:E6231)*(E2=E$1:E6231))))))</f>
        <v> </v>
      </c>
      <c r="K6232" s="26" t="str">
        <f>IF(OR(E6232="",E6232="!!!",F6232="NEW"),"",INDEX(J$1:J6231,SUMPRODUCT(MAX(ROW(E$1:E6231)*(E6232=E$1:E6231)))))</f>
        <v> </v>
      </c>
      <c r="L6232" s="27"/>
    </row>
    <row r="6233" spans="1:12">
      <c r="A6233" s="20"/>
    </row>
    <row r="6234" spans="1:12">
      <c r="A6234" s="20" t="s">
        <v>2869</v>
      </c>
    </row>
    <row r="6235" spans="1:12">
      <c r="A6235" s="20" t="s">
        <v>1262</v>
      </c>
      <c r="E6235" s="22">
        <f>IF(D6235="?OLD","!!!","")</f>
        <v/>
      </c>
      <c r="F6235" s="23" t="str">
        <f>IF(OR(E6235="",E6235="!!!"),"",IF(NOT(ISNA(VLOOKUP(E6235,E$1:E6234,1,FALSE()))),"OLD",IF(AND(E6235&lt;&gt;"",E6235&lt;&gt;"!!!"),"NEW","")))</f>
        <v> </v>
      </c>
      <c r="G6235" s="24" t="str">
        <f>IF(OR(E6235="",E6235="!!!"),"",IF(OR(J6235=0,AND(J6235=1,K6235=1),AND(J6235=1,I6235="SBJ"),AND(J6235=1,I6235=0)),"?IN_FOCUS",IF(J6235&lt;=2,"?ACTIVATED",IF(J6235&lt;&gt;"","?FAMILIAR",IF(F6235="NEW",IF(ISNA(VLOOKUP(E6235,#REF!,1,FALSE())),"?TYPE_IDENTIFIABLE","?REFERENTIAL"),"_")))))</f>
        <v> </v>
      </c>
      <c r="H6235" s="25" t="str">
        <f>IF(J6235&lt;&gt;1,"",IF(I6235="SBJ","CB","?"))</f>
        <v> </v>
      </c>
      <c r="I6235" s="26" t="str">
        <f>IF(OR(E6235="",E6235="!!!",F6235="NEW"),"",INDEX(B6234:B$2,-1+SUMPRODUCT(MAX(ROW(E6234:E$2)*(E6235=E6234:E$2)))))</f>
        <v> </v>
      </c>
      <c r="J6235" s="26" t="str">
        <f>IF(OR(E6235="",E6235="!!!",F6235="NEW"),"",COUNTBLANK(OFFSET(A$1,,,SUMPRODUCT(MAX(ROW(E$2:E6235)*(E6235=E$2:E6235)))))-COUNTBLANK(OFFSET(A$1,,,SUMPRODUCT(MAX(ROW(E$1:E6234)*(E2=E$1:E6234))))))</f>
        <v> </v>
      </c>
      <c r="K6235" s="26" t="str">
        <f>IF(OR(E6235="",E6235="!!!",F6235="NEW"),"",INDEX(J$1:J6234,SUMPRODUCT(MAX(ROW(E$1:E6234)*(E6235=E$1:E6234)))))</f>
        <v> </v>
      </c>
      <c r="L6235" s="27"/>
    </row>
    <row r="6236" spans="1:12">
      <c r="A6236" s="20" t="s">
        <v>1182</v>
      </c>
      <c r="E6236" s="22">
        <f>IF(D6236="?OLD","!!!","")</f>
        <v/>
      </c>
      <c r="F6236" s="23" t="str">
        <f>IF(OR(E6236="",E6236="!!!"),"",IF(NOT(ISNA(VLOOKUP(E6236,E$1:E6235,1,FALSE()))),"OLD",IF(AND(E6236&lt;&gt;"",E6236&lt;&gt;"!!!"),"NEW","")))</f>
        <v> </v>
      </c>
      <c r="G6236" s="24" t="str">
        <f>IF(OR(E6236="",E6236="!!!"),"",IF(OR(J6236=0,AND(J6236=1,K6236=1),AND(J6236=1,I6236="SBJ"),AND(J6236=1,I6236=0)),"?IN_FOCUS",IF(J6236&lt;=2,"?ACTIVATED",IF(J6236&lt;&gt;"","?FAMILIAR",IF(F6236="NEW",IF(ISNA(VLOOKUP(E6236,#REF!,1,FALSE())),"?TYPE_IDENTIFIABLE","?REFERENTIAL"),"_")))))</f>
        <v> </v>
      </c>
      <c r="H6236" s="25" t="str">
        <f>IF(J6236&lt;&gt;1,"",IF(I6236="SBJ","CB","?"))</f>
        <v> </v>
      </c>
      <c r="I6236" s="26" t="str">
        <f>IF(OR(E6236="",E6236="!!!",F6236="NEW"),"",INDEX(B6235:B$2,-1+SUMPRODUCT(MAX(ROW(E6235:E$2)*(E6236=E6235:E$2)))))</f>
        <v> </v>
      </c>
      <c r="J6236" s="26" t="str">
        <f>IF(OR(E6236="",E6236="!!!",F6236="NEW"),"",COUNTBLANK(OFFSET(A$1,,,SUMPRODUCT(MAX(ROW(E$2:E6236)*(E6236=E$2:E6236)))))-COUNTBLANK(OFFSET(A$1,,,SUMPRODUCT(MAX(ROW(E$1:E6235)*(E2=E$1:E6235))))))</f>
        <v> </v>
      </c>
      <c r="K6236" s="26" t="str">
        <f>IF(OR(E6236="",E6236="!!!",F6236="NEW"),"",INDEX(J$1:J6235,SUMPRODUCT(MAX(ROW(E$1:E6235)*(E6236=E$1:E6235)))))</f>
        <v> </v>
      </c>
      <c r="L6236" s="27"/>
    </row>
    <row r="6237" spans="1:12">
      <c r="A6237" s="20" t="s">
        <v>2166</v>
      </c>
      <c r="B6237" s="21" t="s">
        <v>1178</v>
      </c>
      <c r="C6237" s="21" t="s">
        <v>1179</v>
      </c>
      <c r="D6237" s="21" t="s">
        <v>1180</v>
      </c>
      <c r="E6237" s="22">
        <f>IF(D6237="?OLD","!!!","")</f>
        <v/>
      </c>
      <c r="F6237" s="23" t="str">
        <f>IF(OR(E6237="",E6237="!!!"),"",IF(NOT(ISNA(VLOOKUP(E6237,E$1:E6236,1,FALSE()))),"OLD",IF(AND(E6237&lt;&gt;"",E6237&lt;&gt;"!!!"),"NEW","")))</f>
        <v> </v>
      </c>
      <c r="G6237" s="24" t="str">
        <f>IF(OR(E6237="",E6237="!!!"),"",IF(OR(J6237=0,AND(J6237=1,K6237=1),AND(J6237=1,I6237="SBJ"),AND(J6237=1,I6237=0)),"?IN_FOCUS",IF(J6237&lt;=2,"?ACTIVATED",IF(J6237&lt;&gt;"","?FAMILIAR",IF(F6237="NEW",IF(ISNA(VLOOKUP(E6237,#REF!,1,FALSE())),"?TYPE_IDENTIFIABLE","?REFERENTIAL"),"_")))))</f>
        <v> </v>
      </c>
      <c r="H6237" s="25" t="str">
        <f>IF(J6237&lt;&gt;1,"",IF(I6237="SBJ","CB","?"))</f>
        <v> </v>
      </c>
      <c r="I6237" s="26" t="str">
        <f>IF(OR(E6237="",E6237="!!!",F6237="NEW"),"",INDEX(B6236:B$2,-1+SUMPRODUCT(MAX(ROW(E6236:E$2)*(E6237=E6236:E$2)))))</f>
        <v> </v>
      </c>
      <c r="J6237" s="26" t="str">
        <f>IF(OR(E6237="",E6237="!!!",F6237="NEW"),"",COUNTBLANK(OFFSET(A$1,,,SUMPRODUCT(MAX(ROW(E$2:E6237)*(E6237=E$2:E6237)))))-COUNTBLANK(OFFSET(A$1,,,SUMPRODUCT(MAX(ROW(E$1:E6236)*(E2=E$1:E6236))))))</f>
        <v> </v>
      </c>
      <c r="K6237" s="26" t="str">
        <f>IF(OR(E6237="",E6237="!!!",F6237="NEW"),"",INDEX(J$1:J6236,SUMPRODUCT(MAX(ROW(E$1:E6236)*(E6237=E$1:E6236)))))</f>
        <v> </v>
      </c>
      <c r="L6237" s="27"/>
    </row>
    <row r="6238" spans="1:12">
      <c r="A6238" s="20" t="s">
        <v>1185</v>
      </c>
      <c r="E6238" s="22">
        <f>IF(D6238="?OLD","!!!","")</f>
        <v/>
      </c>
      <c r="F6238" s="23" t="str">
        <f>IF(OR(E6238="",E6238="!!!"),"",IF(NOT(ISNA(VLOOKUP(E6238,E$1:E6237,1,FALSE()))),"OLD",IF(AND(E6238&lt;&gt;"",E6238&lt;&gt;"!!!"),"NEW","")))</f>
        <v> </v>
      </c>
      <c r="G6238" s="24" t="str">
        <f>IF(OR(E6238="",E6238="!!!"),"",IF(OR(J6238=0,AND(J6238=1,K6238=1),AND(J6238=1,I6238="SBJ"),AND(J6238=1,I6238=0)),"?IN_FOCUS",IF(J6238&lt;=2,"?ACTIVATED",IF(J6238&lt;&gt;"","?FAMILIAR",IF(F6238="NEW",IF(ISNA(VLOOKUP(E6238,#REF!,1,FALSE())),"?TYPE_IDENTIFIABLE","?REFERENTIAL"),"_")))))</f>
        <v> </v>
      </c>
      <c r="H6238" s="25" t="str">
        <f>IF(J6238&lt;&gt;1,"",IF(I6238="SBJ","CB","?"))</f>
        <v> </v>
      </c>
      <c r="I6238" s="26" t="str">
        <f>IF(OR(E6238="",E6238="!!!",F6238="NEW"),"",INDEX(B6237:B$2,-1+SUMPRODUCT(MAX(ROW(E6237:E$2)*(E6238=E6237:E$2)))))</f>
        <v> </v>
      </c>
      <c r="J6238" s="26" t="str">
        <f>IF(OR(E6238="",E6238="!!!",F6238="NEW"),"",COUNTBLANK(OFFSET(A$1,,,SUMPRODUCT(MAX(ROW(E$2:E6238)*(E6238=E$2:E6238)))))-COUNTBLANK(OFFSET(A$1,,,SUMPRODUCT(MAX(ROW(E$1:E6237)*(E2=E$1:E6237))))))</f>
        <v> </v>
      </c>
      <c r="K6238" s="26" t="str">
        <f>IF(OR(E6238="",E6238="!!!",F6238="NEW"),"",INDEX(J$1:J6237,SUMPRODUCT(MAX(ROW(E$1:E6237)*(E6238=E$1:E6237)))))</f>
        <v> </v>
      </c>
      <c r="L6238" s="27"/>
    </row>
    <row r="6239" spans="1:12">
      <c r="A6239" s="20" t="s">
        <v>925</v>
      </c>
      <c r="B6239" s="21" t="s">
        <v>1178</v>
      </c>
      <c r="C6239" s="21" t="s">
        <v>1179</v>
      </c>
      <c r="D6239" s="21" t="s">
        <v>1180</v>
      </c>
      <c r="E6239" s="22">
        <f>IF(D6239="?OLD","!!!","")</f>
        <v/>
      </c>
      <c r="F6239" s="23" t="str">
        <f>IF(OR(E6239="",E6239="!!!"),"",IF(NOT(ISNA(VLOOKUP(E6239,E$1:E6238,1,FALSE()))),"OLD",IF(AND(E6239&lt;&gt;"",E6239&lt;&gt;"!!!"),"NEW","")))</f>
        <v> </v>
      </c>
      <c r="G6239" s="24" t="str">
        <f>IF(OR(E6239="",E6239="!!!"),"",IF(OR(J6239=0,AND(J6239=1,K6239=1),AND(J6239=1,I6239="SBJ"),AND(J6239=1,I6239=0)),"?IN_FOCUS",IF(J6239&lt;=2,"?ACTIVATED",IF(J6239&lt;&gt;"","?FAMILIAR",IF(F6239="NEW",IF(ISNA(VLOOKUP(E6239,#REF!,1,FALSE())),"?TYPE_IDENTIFIABLE","?REFERENTIAL"),"_")))))</f>
        <v> </v>
      </c>
      <c r="H6239" s="25" t="str">
        <f>IF(J6239&lt;&gt;1,"",IF(I6239="SBJ","CB","?"))</f>
        <v> </v>
      </c>
      <c r="I6239" s="26" t="str">
        <f>IF(OR(E6239="",E6239="!!!",F6239="NEW"),"",INDEX(B6238:B$2,-1+SUMPRODUCT(MAX(ROW(E6238:E$2)*(E6239=E6238:E$2)))))</f>
        <v> </v>
      </c>
      <c r="J6239" s="26" t="str">
        <f>IF(OR(E6239="",E6239="!!!",F6239="NEW"),"",COUNTBLANK(OFFSET(A$1,,,SUMPRODUCT(MAX(ROW(E$2:E6239)*(E6239=E$2:E6239)))))-COUNTBLANK(OFFSET(A$1,,,SUMPRODUCT(MAX(ROW(E$1:E6238)*(E2=E$1:E6238))))))</f>
        <v> </v>
      </c>
      <c r="K6239" s="26" t="str">
        <f>IF(OR(E6239="",E6239="!!!",F6239="NEW"),"",INDEX(J$1:J6238,SUMPRODUCT(MAX(ROW(E$1:E6238)*(E6239=E$1:E6238)))))</f>
        <v> </v>
      </c>
      <c r="L6239" s="27"/>
    </row>
    <row r="6240" spans="1:12">
      <c r="A6240" s="20" t="s">
        <v>818</v>
      </c>
      <c r="E6240" s="22">
        <f>IF(D6240="?OLD","!!!","")</f>
        <v/>
      </c>
      <c r="F6240" s="23" t="str">
        <f>IF(OR(E6240="",E6240="!!!"),"",IF(NOT(ISNA(VLOOKUP(E6240,E$1:E6239,1,FALSE()))),"OLD",IF(AND(E6240&lt;&gt;"",E6240&lt;&gt;"!!!"),"NEW","")))</f>
        <v> </v>
      </c>
      <c r="G6240" s="24" t="str">
        <f>IF(OR(E6240="",E6240="!!!"),"",IF(OR(J6240=0,AND(J6240=1,K6240=1),AND(J6240=1,I6240="SBJ"),AND(J6240=1,I6240=0)),"?IN_FOCUS",IF(J6240&lt;=2,"?ACTIVATED",IF(J6240&lt;&gt;"","?FAMILIAR",IF(F6240="NEW",IF(ISNA(VLOOKUP(E6240,#REF!,1,FALSE())),"?TYPE_IDENTIFIABLE","?REFERENTIAL"),"_")))))</f>
        <v> </v>
      </c>
      <c r="H6240" s="25" t="str">
        <f>IF(J6240&lt;&gt;1,"",IF(I6240="SBJ","CB","?"))</f>
        <v> </v>
      </c>
      <c r="I6240" s="26" t="str">
        <f>IF(OR(E6240="",E6240="!!!",F6240="NEW"),"",INDEX(B6239:B$2,-1+SUMPRODUCT(MAX(ROW(E6239:E$2)*(E6240=E6239:E$2)))))</f>
        <v> </v>
      </c>
      <c r="J6240" s="26" t="str">
        <f>IF(OR(E6240="",E6240="!!!",F6240="NEW"),"",COUNTBLANK(OFFSET(A$1,,,SUMPRODUCT(MAX(ROW(E$2:E6240)*(E6240=E$2:E6240)))))-COUNTBLANK(OFFSET(A$1,,,SUMPRODUCT(MAX(ROW(E$1:E6239)*(E2=E$1:E6239))))))</f>
        <v> </v>
      </c>
      <c r="K6240" s="26" t="str">
        <f>IF(OR(E6240="",E6240="!!!",F6240="NEW"),"",INDEX(J$1:J6239,SUMPRODUCT(MAX(ROW(E$1:E6239)*(E6240=E$1:E6239)))))</f>
        <v> </v>
      </c>
      <c r="L6240" s="27"/>
    </row>
    <row r="6241" spans="1:12">
      <c r="A6241" s="20"/>
    </row>
    <row r="6242" spans="1:12">
      <c r="A6242" s="20" t="s">
        <v>2870</v>
      </c>
    </row>
    <row r="6243" spans="1:12">
      <c r="A6243" s="20" t="s">
        <v>1545</v>
      </c>
      <c r="E6243" s="22">
        <f>IF(D6243="?OLD","!!!","")</f>
        <v/>
      </c>
      <c r="F6243" s="23" t="str">
        <f>IF(OR(E6243="",E6243="!!!"),"",IF(NOT(ISNA(VLOOKUP(E6243,E$1:E6242,1,FALSE()))),"OLD",IF(AND(E6243&lt;&gt;"",E6243&lt;&gt;"!!!"),"NEW","")))</f>
        <v> </v>
      </c>
      <c r="G6243" s="24" t="str">
        <f>IF(OR(E6243="",E6243="!!!"),"",IF(OR(J6243=0,AND(J6243=1,K6243=1),AND(J6243=1,I6243="SBJ"),AND(J6243=1,I6243=0)),"?IN_FOCUS",IF(J6243&lt;=2,"?ACTIVATED",IF(J6243&lt;&gt;"","?FAMILIAR",IF(F6243="NEW",IF(ISNA(VLOOKUP(E6243,#REF!,1,FALSE())),"?TYPE_IDENTIFIABLE","?REFERENTIAL"),"_")))))</f>
        <v> </v>
      </c>
      <c r="H6243" s="25" t="str">
        <f>IF(J6243&lt;&gt;1,"",IF(I6243="SBJ","CB","?"))</f>
        <v> </v>
      </c>
      <c r="I6243" s="26" t="str">
        <f>IF(OR(E6243="",E6243="!!!",F6243="NEW"),"",INDEX(B6242:B$2,-1+SUMPRODUCT(MAX(ROW(E6242:E$2)*(E6243=E6242:E$2)))))</f>
        <v> </v>
      </c>
      <c r="J6243" s="26" t="str">
        <f>IF(OR(E6243="",E6243="!!!",F6243="NEW"),"",COUNTBLANK(OFFSET(A$1,,,SUMPRODUCT(MAX(ROW(E$2:E6243)*(E6243=E$2:E6243)))))-COUNTBLANK(OFFSET(A$1,,,SUMPRODUCT(MAX(ROW(E$1:E6242)*(E2=E$1:E6242))))))</f>
        <v> </v>
      </c>
      <c r="K6243" s="26" t="str">
        <f>IF(OR(E6243="",E6243="!!!",F6243="NEW"),"",INDEX(J$1:J6242,SUMPRODUCT(MAX(ROW(E$1:E6242)*(E6243=E$1:E6242)))))</f>
        <v> </v>
      </c>
      <c r="L6243" s="27"/>
    </row>
    <row r="6244" spans="1:12">
      <c r="A6244" s="20" t="s">
        <v>2871</v>
      </c>
      <c r="B6244" s="21" t="s">
        <v>1194</v>
      </c>
      <c r="C6244" s="21" t="s">
        <v>1179</v>
      </c>
      <c r="D6244" s="21" t="s">
        <v>1180</v>
      </c>
      <c r="E6244" s="22">
        <f>IF(D6244="?OLD","!!!","")</f>
        <v/>
      </c>
      <c r="F6244" s="23" t="str">
        <f>IF(OR(E6244="",E6244="!!!"),"",IF(NOT(ISNA(VLOOKUP(E6244,E$1:E6243,1,FALSE()))),"OLD",IF(AND(E6244&lt;&gt;"",E6244&lt;&gt;"!!!"),"NEW","")))</f>
        <v> </v>
      </c>
      <c r="G6244" s="24" t="str">
        <f>IF(OR(E6244="",E6244="!!!"),"",IF(OR(J6244=0,AND(J6244=1,K6244=1),AND(J6244=1,I6244="SBJ"),AND(J6244=1,I6244=0)),"?IN_FOCUS",IF(J6244&lt;=2,"?ACTIVATED",IF(J6244&lt;&gt;"","?FAMILIAR",IF(F6244="NEW",IF(ISNA(VLOOKUP(E6244,#REF!,1,FALSE())),"?TYPE_IDENTIFIABLE","?REFERENTIAL"),"_")))))</f>
        <v> </v>
      </c>
      <c r="H6244" s="25" t="str">
        <f>IF(J6244&lt;&gt;1,"",IF(I6244="SBJ","CB","?"))</f>
        <v> </v>
      </c>
      <c r="I6244" s="26" t="str">
        <f>IF(OR(E6244="",E6244="!!!",F6244="NEW"),"",INDEX(B6243:B$2,-1+SUMPRODUCT(MAX(ROW(E6243:E$2)*(E6244=E6243:E$2)))))</f>
        <v> </v>
      </c>
      <c r="J6244" s="26" t="str">
        <f>IF(OR(E6244="",E6244="!!!",F6244="NEW"),"",COUNTBLANK(OFFSET(A$1,,,SUMPRODUCT(MAX(ROW(E$2:E6244)*(E6244=E$2:E6244)))))-COUNTBLANK(OFFSET(A$1,,,SUMPRODUCT(MAX(ROW(E$1:E6243)*(E2=E$1:E6243))))))</f>
        <v> </v>
      </c>
      <c r="K6244" s="26" t="str">
        <f>IF(OR(E6244="",E6244="!!!",F6244="NEW"),"",INDEX(J$1:J6243,SUMPRODUCT(MAX(ROW(E$1:E6243)*(E6244=E$1:E6243)))))</f>
        <v> </v>
      </c>
      <c r="L6244" s="27"/>
    </row>
    <row r="6245" spans="1:12">
      <c r="A6245" s="20" t="s">
        <v>2872</v>
      </c>
      <c r="E6245" s="22">
        <f>IF(D6245="?OLD","!!!","")</f>
        <v/>
      </c>
      <c r="F6245" s="23" t="str">
        <f>IF(OR(E6245="",E6245="!!!"),"",IF(NOT(ISNA(VLOOKUP(E6245,E$1:E6244,1,FALSE()))),"OLD",IF(AND(E6245&lt;&gt;"",E6245&lt;&gt;"!!!"),"NEW","")))</f>
        <v> </v>
      </c>
      <c r="G6245" s="24" t="str">
        <f>IF(OR(E6245="",E6245="!!!"),"",IF(OR(J6245=0,AND(J6245=1,K6245=1),AND(J6245=1,I6245="SBJ"),AND(J6245=1,I6245=0)),"?IN_FOCUS",IF(J6245&lt;=2,"?ACTIVATED",IF(J6245&lt;&gt;"","?FAMILIAR",IF(F6245="NEW",IF(ISNA(VLOOKUP(E6245,#REF!,1,FALSE())),"?TYPE_IDENTIFIABLE","?REFERENTIAL"),"_")))))</f>
        <v> </v>
      </c>
      <c r="H6245" s="25" t="str">
        <f>IF(J6245&lt;&gt;1,"",IF(I6245="SBJ","CB","?"))</f>
        <v> </v>
      </c>
      <c r="I6245" s="26" t="str">
        <f>IF(OR(E6245="",E6245="!!!",F6245="NEW"),"",INDEX(B6244:B$2,-1+SUMPRODUCT(MAX(ROW(E6244:E$2)*(E6245=E6244:E$2)))))</f>
        <v> </v>
      </c>
      <c r="J6245" s="26" t="str">
        <f>IF(OR(E6245="",E6245="!!!",F6245="NEW"),"",COUNTBLANK(OFFSET(A$1,,,SUMPRODUCT(MAX(ROW(E$2:E6245)*(E6245=E$2:E6245)))))-COUNTBLANK(OFFSET(A$1,,,SUMPRODUCT(MAX(ROW(E$1:E6244)*(E2=E$1:E6244))))))</f>
        <v> </v>
      </c>
      <c r="K6245" s="26" t="str">
        <f>IF(OR(E6245="",E6245="!!!",F6245="NEW"),"",INDEX(J$1:J6244,SUMPRODUCT(MAX(ROW(E$1:E6244)*(E6245=E$1:E6244)))))</f>
        <v> </v>
      </c>
      <c r="L6245" s="27"/>
    </row>
    <row r="6246" spans="1:12">
      <c r="A6246" s="20" t="s">
        <v>2873</v>
      </c>
      <c r="E6246" s="22">
        <f>IF(D6246="?OLD","!!!","")</f>
        <v/>
      </c>
      <c r="F6246" s="23" t="str">
        <f>IF(OR(E6246="",E6246="!!!"),"",IF(NOT(ISNA(VLOOKUP(E6246,E$1:E6245,1,FALSE()))),"OLD",IF(AND(E6246&lt;&gt;"",E6246&lt;&gt;"!!!"),"NEW","")))</f>
        <v> </v>
      </c>
      <c r="G6246" s="24" t="str">
        <f>IF(OR(E6246="",E6246="!!!"),"",IF(OR(J6246=0,AND(J6246=1,K6246=1),AND(J6246=1,I6246="SBJ"),AND(J6246=1,I6246=0)),"?IN_FOCUS",IF(J6246&lt;=2,"?ACTIVATED",IF(J6246&lt;&gt;"","?FAMILIAR",IF(F6246="NEW",IF(ISNA(VLOOKUP(E6246,#REF!,1,FALSE())),"?TYPE_IDENTIFIABLE","?REFERENTIAL"),"_")))))</f>
        <v> </v>
      </c>
      <c r="H6246" s="25" t="str">
        <f>IF(J6246&lt;&gt;1,"",IF(I6246="SBJ","CB","?"))</f>
        <v> </v>
      </c>
      <c r="I6246" s="26" t="str">
        <f>IF(OR(E6246="",E6246="!!!",F6246="NEW"),"",INDEX(B6245:B$2,-1+SUMPRODUCT(MAX(ROW(E6245:E$2)*(E6246=E6245:E$2)))))</f>
        <v> </v>
      </c>
      <c r="J6246" s="26" t="str">
        <f>IF(OR(E6246="",E6246="!!!",F6246="NEW"),"",COUNTBLANK(OFFSET(A$1,,,SUMPRODUCT(MAX(ROW(E$2:E6246)*(E6246=E$2:E6246)))))-COUNTBLANK(OFFSET(A$1,,,SUMPRODUCT(MAX(ROW(E$1:E6245)*(E2=E$1:E6245))))))</f>
        <v> </v>
      </c>
      <c r="K6246" s="26" t="str">
        <f>IF(OR(E6246="",E6246="!!!",F6246="NEW"),"",INDEX(J$1:J6245,SUMPRODUCT(MAX(ROW(E$1:E6245)*(E6246=E$1:E6245)))))</f>
        <v> </v>
      </c>
      <c r="L6246" s="27"/>
    </row>
    <row r="6247" spans="1:12">
      <c r="A6247" s="20" t="s">
        <v>2036</v>
      </c>
      <c r="E6247" s="22">
        <f>IF(D6247="?OLD","!!!","")</f>
        <v/>
      </c>
      <c r="F6247" s="23" t="str">
        <f>IF(OR(E6247="",E6247="!!!"),"",IF(NOT(ISNA(VLOOKUP(E6247,E$1:E6246,1,FALSE()))),"OLD",IF(AND(E6247&lt;&gt;"",E6247&lt;&gt;"!!!"),"NEW","")))</f>
        <v> </v>
      </c>
      <c r="G6247" s="24" t="str">
        <f>IF(OR(E6247="",E6247="!!!"),"",IF(OR(J6247=0,AND(J6247=1,K6247=1),AND(J6247=1,I6247="SBJ"),AND(J6247=1,I6247=0)),"?IN_FOCUS",IF(J6247&lt;=2,"?ACTIVATED",IF(J6247&lt;&gt;"","?FAMILIAR",IF(F6247="NEW",IF(ISNA(VLOOKUP(E6247,#REF!,1,FALSE())),"?TYPE_IDENTIFIABLE","?REFERENTIAL"),"_")))))</f>
        <v> </v>
      </c>
      <c r="H6247" s="25" t="str">
        <f>IF(J6247&lt;&gt;1,"",IF(I6247="SBJ","CB","?"))</f>
        <v> </v>
      </c>
      <c r="I6247" s="26" t="str">
        <f>IF(OR(E6247="",E6247="!!!",F6247="NEW"),"",INDEX(B6246:B$2,-1+SUMPRODUCT(MAX(ROW(E6246:E$2)*(E6247=E6246:E$2)))))</f>
        <v> </v>
      </c>
      <c r="J6247" s="26" t="str">
        <f>IF(OR(E6247="",E6247="!!!",F6247="NEW"),"",COUNTBLANK(OFFSET(A$1,,,SUMPRODUCT(MAX(ROW(E$2:E6247)*(E6247=E$2:E6247)))))-COUNTBLANK(OFFSET(A$1,,,SUMPRODUCT(MAX(ROW(E$1:E6246)*(E2=E$1:E6246))))))</f>
        <v> </v>
      </c>
      <c r="K6247" s="26" t="str">
        <f>IF(OR(E6247="",E6247="!!!",F6247="NEW"),"",INDEX(J$1:J6246,SUMPRODUCT(MAX(ROW(E$1:E6246)*(E6247=E$1:E6246)))))</f>
        <v> </v>
      </c>
      <c r="L6247" s="27"/>
    </row>
    <row r="6248" spans="1:12">
      <c r="A6248" s="20" t="s">
        <v>2139</v>
      </c>
      <c r="E6248" s="22">
        <f>IF(D6248="?OLD","!!!","")</f>
        <v/>
      </c>
      <c r="F6248" s="23" t="str">
        <f>IF(OR(E6248="",E6248="!!!"),"",IF(NOT(ISNA(VLOOKUP(E6248,E$1:E6247,1,FALSE()))),"OLD",IF(AND(E6248&lt;&gt;"",E6248&lt;&gt;"!!!"),"NEW","")))</f>
        <v> </v>
      </c>
      <c r="G6248" s="24" t="str">
        <f>IF(OR(E6248="",E6248="!!!"),"",IF(OR(J6248=0,AND(J6248=1,K6248=1),AND(J6248=1,I6248="SBJ"),AND(J6248=1,I6248=0)),"?IN_FOCUS",IF(J6248&lt;=2,"?ACTIVATED",IF(J6248&lt;&gt;"","?FAMILIAR",IF(F6248="NEW",IF(ISNA(VLOOKUP(E6248,#REF!,1,FALSE())),"?TYPE_IDENTIFIABLE","?REFERENTIAL"),"_")))))</f>
        <v> </v>
      </c>
      <c r="H6248" s="25" t="str">
        <f>IF(J6248&lt;&gt;1,"",IF(I6248="SBJ","CB","?"))</f>
        <v> </v>
      </c>
      <c r="I6248" s="26" t="str">
        <f>IF(OR(E6248="",E6248="!!!",F6248="NEW"),"",INDEX(B6247:B$2,-1+SUMPRODUCT(MAX(ROW(E6247:E$2)*(E6248=E6247:E$2)))))</f>
        <v> </v>
      </c>
      <c r="J6248" s="26" t="str">
        <f>IF(OR(E6248="",E6248="!!!",F6248="NEW"),"",COUNTBLANK(OFFSET(A$1,,,SUMPRODUCT(MAX(ROW(E$2:E6248)*(E6248=E$2:E6248)))))-COUNTBLANK(OFFSET(A$1,,,SUMPRODUCT(MAX(ROW(E$1:E6247)*(E2=E$1:E6247))))))</f>
        <v> </v>
      </c>
      <c r="K6248" s="26" t="str">
        <f>IF(OR(E6248="",E6248="!!!",F6248="NEW"),"",INDEX(J$1:J6247,SUMPRODUCT(MAX(ROW(E$1:E6247)*(E6248=E$1:E6247)))))</f>
        <v> </v>
      </c>
      <c r="L6248" s="27"/>
    </row>
    <row r="6249" spans="1:12">
      <c r="A6249" s="20" t="s">
        <v>1487</v>
      </c>
      <c r="E6249" s="22">
        <f>IF(D6249="?OLD","!!!","")</f>
        <v/>
      </c>
      <c r="F6249" s="23" t="str">
        <f>IF(OR(E6249="",E6249="!!!"),"",IF(NOT(ISNA(VLOOKUP(E6249,E$1:E6248,1,FALSE()))),"OLD",IF(AND(E6249&lt;&gt;"",E6249&lt;&gt;"!!!"),"NEW","")))</f>
        <v> </v>
      </c>
      <c r="G6249" s="24" t="str">
        <f>IF(OR(E6249="",E6249="!!!"),"",IF(OR(J6249=0,AND(J6249=1,K6249=1),AND(J6249=1,I6249="SBJ"),AND(J6249=1,I6249=0)),"?IN_FOCUS",IF(J6249&lt;=2,"?ACTIVATED",IF(J6249&lt;&gt;"","?FAMILIAR",IF(F6249="NEW",IF(ISNA(VLOOKUP(E6249,#REF!,1,FALSE())),"?TYPE_IDENTIFIABLE","?REFERENTIAL"),"_")))))</f>
        <v> </v>
      </c>
      <c r="H6249" s="25" t="str">
        <f>IF(J6249&lt;&gt;1,"",IF(I6249="SBJ","CB","?"))</f>
        <v> </v>
      </c>
      <c r="I6249" s="26" t="str">
        <f>IF(OR(E6249="",E6249="!!!",F6249="NEW"),"",INDEX(B6248:B$2,-1+SUMPRODUCT(MAX(ROW(E6248:E$2)*(E6249=E6248:E$2)))))</f>
        <v> </v>
      </c>
      <c r="J6249" s="26" t="str">
        <f>IF(OR(E6249="",E6249="!!!",F6249="NEW"),"",COUNTBLANK(OFFSET(A$1,,,SUMPRODUCT(MAX(ROW(E$2:E6249)*(E6249=E$2:E6249)))))-COUNTBLANK(OFFSET(A$1,,,SUMPRODUCT(MAX(ROW(E$1:E6248)*(E2=E$1:E6248))))))</f>
        <v> </v>
      </c>
      <c r="K6249" s="26" t="str">
        <f>IF(OR(E6249="",E6249="!!!",F6249="NEW"),"",INDEX(J$1:J6248,SUMPRODUCT(MAX(ROW(E$1:E6248)*(E6249=E$1:E6248)))))</f>
        <v> </v>
      </c>
      <c r="L6249" s="27"/>
    </row>
    <row r="6250" spans="1:12">
      <c r="A6250" s="20" t="s">
        <v>2874</v>
      </c>
      <c r="B6250" s="21" t="s">
        <v>1204</v>
      </c>
      <c r="C6250" s="21" t="s">
        <v>1223</v>
      </c>
      <c r="E6250" s="22">
        <f>IF(D6250="?OLD","!!!","")</f>
        <v/>
      </c>
      <c r="F6250" s="23" t="str">
        <f>IF(OR(E6250="",E6250="!!!"),"",IF(NOT(ISNA(VLOOKUP(E6250,E$1:E6249,1,FALSE()))),"OLD",IF(AND(E6250&lt;&gt;"",E6250&lt;&gt;"!!!"),"NEW","")))</f>
        <v> </v>
      </c>
      <c r="G6250" s="24" t="str">
        <f>IF(OR(E6250="",E6250="!!!"),"",IF(OR(J6250=0,AND(J6250=1,K6250=1),AND(J6250=1,I6250="SBJ"),AND(J6250=1,I6250=0)),"?IN_FOCUS",IF(J6250&lt;=2,"?ACTIVATED",IF(J6250&lt;&gt;"","?FAMILIAR",IF(F6250="NEW",IF(ISNA(VLOOKUP(E6250,#REF!,1,FALSE())),"?TYPE_IDENTIFIABLE","?REFERENTIAL"),"_")))))</f>
        <v> </v>
      </c>
      <c r="H6250" s="25" t="str">
        <f>IF(J6250&lt;&gt;1,"",IF(I6250="SBJ","CB","?"))</f>
        <v> </v>
      </c>
      <c r="I6250" s="26" t="str">
        <f>IF(OR(E6250="",E6250="!!!",F6250="NEW"),"",INDEX(B6249:B$2,-1+SUMPRODUCT(MAX(ROW(E6249:E$2)*(E6250=E6249:E$2)))))</f>
        <v> </v>
      </c>
      <c r="J6250" s="26" t="str">
        <f>IF(OR(E6250="",E6250="!!!",F6250="NEW"),"",COUNTBLANK(OFFSET(A$1,,,SUMPRODUCT(MAX(ROW(E$2:E6250)*(E6250=E$2:E6250)))))-COUNTBLANK(OFFSET(A$1,,,SUMPRODUCT(MAX(ROW(E$1:E6249)*(E2=E$1:E6249))))))</f>
        <v> </v>
      </c>
      <c r="K6250" s="26" t="str">
        <f>IF(OR(E6250="",E6250="!!!",F6250="NEW"),"",INDEX(J$1:J6249,SUMPRODUCT(MAX(ROW(E$1:E6249)*(E6250=E$1:E6249)))))</f>
        <v> </v>
      </c>
      <c r="L6250" s="27"/>
    </row>
    <row r="6251" spans="1:12">
      <c r="A6251" s="20" t="s">
        <v>1352</v>
      </c>
      <c r="E6251" s="22">
        <f>IF(D6251="?OLD","!!!","")</f>
        <v/>
      </c>
      <c r="F6251" s="23" t="str">
        <f>IF(OR(E6251="",E6251="!!!"),"",IF(NOT(ISNA(VLOOKUP(E6251,E$1:E6250,1,FALSE()))),"OLD",IF(AND(E6251&lt;&gt;"",E6251&lt;&gt;"!!!"),"NEW","")))</f>
        <v> </v>
      </c>
      <c r="G6251" s="24" t="str">
        <f>IF(OR(E6251="",E6251="!!!"),"",IF(OR(J6251=0,AND(J6251=1,K6251=1),AND(J6251=1,I6251="SBJ"),AND(J6251=1,I6251=0)),"?IN_FOCUS",IF(J6251&lt;=2,"?ACTIVATED",IF(J6251&lt;&gt;"","?FAMILIAR",IF(F6251="NEW",IF(ISNA(VLOOKUP(E6251,#REF!,1,FALSE())),"?TYPE_IDENTIFIABLE","?REFERENTIAL"),"_")))))</f>
        <v> </v>
      </c>
      <c r="H6251" s="25" t="str">
        <f>IF(J6251&lt;&gt;1,"",IF(I6251="SBJ","CB","?"))</f>
        <v> </v>
      </c>
      <c r="I6251" s="26" t="str">
        <f>IF(OR(E6251="",E6251="!!!",F6251="NEW"),"",INDEX(B6250:B$2,-1+SUMPRODUCT(MAX(ROW(E6250:E$2)*(E6251=E6250:E$2)))))</f>
        <v> </v>
      </c>
      <c r="J6251" s="26" t="str">
        <f>IF(OR(E6251="",E6251="!!!",F6251="NEW"),"",COUNTBLANK(OFFSET(A$1,,,SUMPRODUCT(MAX(ROW(E$2:E6251)*(E6251=E$2:E6251)))))-COUNTBLANK(OFFSET(A$1,,,SUMPRODUCT(MAX(ROW(E$1:E6250)*(E2=E$1:E6250))))))</f>
        <v> </v>
      </c>
      <c r="K6251" s="26" t="str">
        <f>IF(OR(E6251="",E6251="!!!",F6251="NEW"),"",INDEX(J$1:J6250,SUMPRODUCT(MAX(ROW(E$1:E6250)*(E6251=E$1:E6250)))))</f>
        <v> </v>
      </c>
      <c r="L6251" s="27"/>
    </row>
    <row r="6252" spans="1:12">
      <c r="A6252" s="20" t="s">
        <v>1268</v>
      </c>
      <c r="E6252" s="22">
        <f>IF(D6252="?OLD","!!!","")</f>
        <v/>
      </c>
      <c r="F6252" s="23" t="str">
        <f>IF(OR(E6252="",E6252="!!!"),"",IF(NOT(ISNA(VLOOKUP(E6252,E$1:E6251,1,FALSE()))),"OLD",IF(AND(E6252&lt;&gt;"",E6252&lt;&gt;"!!!"),"NEW","")))</f>
        <v> </v>
      </c>
      <c r="G6252" s="24" t="str">
        <f>IF(OR(E6252="",E6252="!!!"),"",IF(OR(J6252=0,AND(J6252=1,K6252=1),AND(J6252=1,I6252="SBJ"),AND(J6252=1,I6252=0)),"?IN_FOCUS",IF(J6252&lt;=2,"?ACTIVATED",IF(J6252&lt;&gt;"","?FAMILIAR",IF(F6252="NEW",IF(ISNA(VLOOKUP(E6252,#REF!,1,FALSE())),"?TYPE_IDENTIFIABLE","?REFERENTIAL"),"_")))))</f>
        <v> </v>
      </c>
      <c r="H6252" s="25" t="str">
        <f>IF(J6252&lt;&gt;1,"",IF(I6252="SBJ","CB","?"))</f>
        <v> </v>
      </c>
      <c r="I6252" s="26" t="str">
        <f>IF(OR(E6252="",E6252="!!!",F6252="NEW"),"",INDEX(B6251:B$2,-1+SUMPRODUCT(MAX(ROW(E6251:E$2)*(E6252=E6251:E$2)))))</f>
        <v> </v>
      </c>
      <c r="J6252" s="26" t="str">
        <f>IF(OR(E6252="",E6252="!!!",F6252="NEW"),"",COUNTBLANK(OFFSET(A$1,,,SUMPRODUCT(MAX(ROW(E$2:E6252)*(E6252=E$2:E6252)))))-COUNTBLANK(OFFSET(A$1,,,SUMPRODUCT(MAX(ROW(E$1:E6251)*(E2=E$1:E6251))))))</f>
        <v> </v>
      </c>
      <c r="K6252" s="26" t="str">
        <f>IF(OR(E6252="",E6252="!!!",F6252="NEW"),"",INDEX(J$1:J6251,SUMPRODUCT(MAX(ROW(E$1:E6251)*(E6252=E$1:E6251)))))</f>
        <v> </v>
      </c>
      <c r="L6252" s="27"/>
    </row>
    <row r="6253" spans="1:12">
      <c r="A6253" s="20" t="s">
        <v>818</v>
      </c>
      <c r="E6253" s="22">
        <f>IF(D6253="?OLD","!!!","")</f>
        <v/>
      </c>
      <c r="F6253" s="23" t="str">
        <f>IF(OR(E6253="",E6253="!!!"),"",IF(NOT(ISNA(VLOOKUP(E6253,E$1:E6252,1,FALSE()))),"OLD",IF(AND(E6253&lt;&gt;"",E6253&lt;&gt;"!!!"),"NEW","")))</f>
        <v> </v>
      </c>
      <c r="G6253" s="24" t="str">
        <f>IF(OR(E6253="",E6253="!!!"),"",IF(OR(J6253=0,AND(J6253=1,K6253=1),AND(J6253=1,I6253="SBJ"),AND(J6253=1,I6253=0)),"?IN_FOCUS",IF(J6253&lt;=2,"?ACTIVATED",IF(J6253&lt;&gt;"","?FAMILIAR",IF(F6253="NEW",IF(ISNA(VLOOKUP(E6253,#REF!,1,FALSE())),"?TYPE_IDENTIFIABLE","?REFERENTIAL"),"_")))))</f>
        <v> </v>
      </c>
      <c r="H6253" s="25" t="str">
        <f>IF(J6253&lt;&gt;1,"",IF(I6253="SBJ","CB","?"))</f>
        <v> </v>
      </c>
      <c r="I6253" s="26" t="str">
        <f>IF(OR(E6253="",E6253="!!!",F6253="NEW"),"",INDEX(B6252:B$2,-1+SUMPRODUCT(MAX(ROW(E6252:E$2)*(E6253=E6252:E$2)))))</f>
        <v> </v>
      </c>
      <c r="J6253" s="26" t="str">
        <f>IF(OR(E6253="",E6253="!!!",F6253="NEW"),"",COUNTBLANK(OFFSET(A$1,,,SUMPRODUCT(MAX(ROW(E$2:E6253)*(E6253=E$2:E6253)))))-COUNTBLANK(OFFSET(A$1,,,SUMPRODUCT(MAX(ROW(E$1:E6252)*(E2=E$1:E6252))))))</f>
        <v> </v>
      </c>
      <c r="K6253" s="26" t="str">
        <f>IF(OR(E6253="",E6253="!!!",F6253="NEW"),"",INDEX(J$1:J6252,SUMPRODUCT(MAX(ROW(E$1:E6252)*(E6253=E$1:E6252)))))</f>
        <v> </v>
      </c>
      <c r="L6253" s="27"/>
    </row>
    <row r="6254" spans="1:12">
      <c r="A6254" s="20"/>
    </row>
    <row r="6255" spans="1:12">
      <c r="A6255" s="20" t="s">
        <v>2875</v>
      </c>
    </row>
    <row r="6256" spans="1:12">
      <c r="A6256" s="20" t="s">
        <v>2876</v>
      </c>
      <c r="E6256" s="22">
        <f>IF(D6256="?OLD","!!!","")</f>
        <v/>
      </c>
      <c r="F6256" s="23" t="str">
        <f>IF(OR(E6256="",E6256="!!!"),"",IF(NOT(ISNA(VLOOKUP(E6256,E$1:E6255,1,FALSE()))),"OLD",IF(AND(E6256&lt;&gt;"",E6256&lt;&gt;"!!!"),"NEW","")))</f>
        <v> </v>
      </c>
      <c r="G6256" s="24" t="str">
        <f>IF(OR(E6256="",E6256="!!!"),"",IF(OR(J6256=0,AND(J6256=1,K6256=1),AND(J6256=1,I6256="SBJ"),AND(J6256=1,I6256=0)),"?IN_FOCUS",IF(J6256&lt;=2,"?ACTIVATED",IF(J6256&lt;&gt;"","?FAMILIAR",IF(F6256="NEW",IF(ISNA(VLOOKUP(E6256,#REF!,1,FALSE())),"?TYPE_IDENTIFIABLE","?REFERENTIAL"),"_")))))</f>
        <v> </v>
      </c>
      <c r="H6256" s="25" t="str">
        <f>IF(J6256&lt;&gt;1,"",IF(I6256="SBJ","CB","?"))</f>
        <v> </v>
      </c>
      <c r="I6256" s="26" t="str">
        <f>IF(OR(E6256="",E6256="!!!",F6256="NEW"),"",INDEX(B6255:B$2,-1+SUMPRODUCT(MAX(ROW(E6255:E$2)*(E6256=E6255:E$2)))))</f>
        <v> </v>
      </c>
      <c r="J6256" s="26" t="str">
        <f>IF(OR(E6256="",E6256="!!!",F6256="NEW"),"",COUNTBLANK(OFFSET(A$1,,,SUMPRODUCT(MAX(ROW(E$2:E6256)*(E6256=E$2:E6256)))))-COUNTBLANK(OFFSET(A$1,,,SUMPRODUCT(MAX(ROW(E$1:E6255)*(E2=E$1:E6255))))))</f>
        <v> </v>
      </c>
      <c r="K6256" s="26" t="str">
        <f>IF(OR(E6256="",E6256="!!!",F6256="NEW"),"",INDEX(J$1:J6255,SUMPRODUCT(MAX(ROW(E$1:E6255)*(E6256=E$1:E6255)))))</f>
        <v> </v>
      </c>
      <c r="L6256" s="27"/>
    </row>
    <row r="6257" spans="1:12">
      <c r="A6257" s="20" t="s">
        <v>57</v>
      </c>
      <c r="B6257" s="21" t="s">
        <v>1194</v>
      </c>
      <c r="C6257" s="21" t="s">
        <v>1195</v>
      </c>
      <c r="D6257" s="21" t="s">
        <v>1180</v>
      </c>
      <c r="E6257" s="22">
        <f>IF(D6257="?OLD","!!!","")</f>
        <v/>
      </c>
      <c r="F6257" s="23" t="str">
        <f>IF(OR(E6257="",E6257="!!!"),"",IF(NOT(ISNA(VLOOKUP(E6257,E$1:E6256,1,FALSE()))),"OLD",IF(AND(E6257&lt;&gt;"",E6257&lt;&gt;"!!!"),"NEW","")))</f>
        <v> </v>
      </c>
      <c r="G6257" s="24" t="str">
        <f>IF(OR(E6257="",E6257="!!!"),"",IF(OR(J6257=0,AND(J6257=1,K6257=1),AND(J6257=1,I6257="SBJ"),AND(J6257=1,I6257=0)),"?IN_FOCUS",IF(J6257&lt;=2,"?ACTIVATED",IF(J6257&lt;&gt;"","?FAMILIAR",IF(F6257="NEW",IF(ISNA(VLOOKUP(E6257,#REF!,1,FALSE())),"?TYPE_IDENTIFIABLE","?REFERENTIAL"),"_")))))</f>
        <v> </v>
      </c>
      <c r="H6257" s="25" t="str">
        <f>IF(J6257&lt;&gt;1,"",IF(I6257="SBJ","CB","?"))</f>
        <v> </v>
      </c>
      <c r="I6257" s="26" t="str">
        <f>IF(OR(E6257="",E6257="!!!",F6257="NEW"),"",INDEX(B6256:B$2,-1+SUMPRODUCT(MAX(ROW(E6256:E$2)*(E6257=E6256:E$2)))))</f>
        <v> </v>
      </c>
      <c r="J6257" s="26" t="str">
        <f>IF(OR(E6257="",E6257="!!!",F6257="NEW"),"",COUNTBLANK(OFFSET(A$1,,,SUMPRODUCT(MAX(ROW(E$2:E6257)*(E6257=E$2:E6257)))))-COUNTBLANK(OFFSET(A$1,,,SUMPRODUCT(MAX(ROW(E$1:E6256)*(E2=E$1:E6256))))))</f>
        <v> </v>
      </c>
      <c r="K6257" s="26" t="str">
        <f>IF(OR(E6257="",E6257="!!!",F6257="NEW"),"",INDEX(J$1:J6256,SUMPRODUCT(MAX(ROW(E$1:E6256)*(E6257=E$1:E6256)))))</f>
        <v> </v>
      </c>
      <c r="L6257" s="27"/>
    </row>
    <row r="6258" spans="1:12">
      <c r="A6258" s="20" t="s">
        <v>1186</v>
      </c>
      <c r="E6258" s="22">
        <f>IF(D6258="?OLD","!!!","")</f>
        <v/>
      </c>
      <c r="F6258" s="23" t="str">
        <f>IF(OR(E6258="",E6258="!!!"),"",IF(NOT(ISNA(VLOOKUP(E6258,E$1:E6257,1,FALSE()))),"OLD",IF(AND(E6258&lt;&gt;"",E6258&lt;&gt;"!!!"),"NEW","")))</f>
        <v> </v>
      </c>
      <c r="G6258" s="24" t="str">
        <f>IF(OR(E6258="",E6258="!!!"),"",IF(OR(J6258=0,AND(J6258=1,K6258=1),AND(J6258=1,I6258="SBJ"),AND(J6258=1,I6258=0)),"?IN_FOCUS",IF(J6258&lt;=2,"?ACTIVATED",IF(J6258&lt;&gt;"","?FAMILIAR",IF(F6258="NEW",IF(ISNA(VLOOKUP(E6258,#REF!,1,FALSE())),"?TYPE_IDENTIFIABLE","?REFERENTIAL"),"_")))))</f>
        <v> </v>
      </c>
      <c r="H6258" s="25" t="str">
        <f>IF(J6258&lt;&gt;1,"",IF(I6258="SBJ","CB","?"))</f>
        <v> </v>
      </c>
      <c r="I6258" s="26" t="str">
        <f>IF(OR(E6258="",E6258="!!!",F6258="NEW"),"",INDEX(B6257:B$2,-1+SUMPRODUCT(MAX(ROW(E6257:E$2)*(E6258=E6257:E$2)))))</f>
        <v> </v>
      </c>
      <c r="J6258" s="26" t="str">
        <f>IF(OR(E6258="",E6258="!!!",F6258="NEW"),"",COUNTBLANK(OFFSET(A$1,,,SUMPRODUCT(MAX(ROW(E$2:E6258)*(E6258=E$2:E6258)))))-COUNTBLANK(OFFSET(A$1,,,SUMPRODUCT(MAX(ROW(E$1:E6257)*(E2=E$1:E6257))))))</f>
        <v> </v>
      </c>
      <c r="K6258" s="26" t="str">
        <f>IF(OR(E6258="",E6258="!!!",F6258="NEW"),"",INDEX(J$1:J6257,SUMPRODUCT(MAX(ROW(E$1:E6257)*(E6258=E$1:E6257)))))</f>
        <v> </v>
      </c>
      <c r="L6258" s="27"/>
    </row>
    <row r="6259" spans="1:12">
      <c r="A6259" s="20" t="s">
        <v>2693</v>
      </c>
      <c r="B6259" s="21" t="s">
        <v>1204</v>
      </c>
      <c r="C6259" s="21" t="s">
        <v>1188</v>
      </c>
      <c r="D6259" s="21" t="s">
        <v>1180</v>
      </c>
      <c r="E6259" s="22">
        <f>IF(D6259="?OLD","!!!","")</f>
        <v/>
      </c>
      <c r="F6259" s="23" t="str">
        <f>IF(OR(E6259="",E6259="!!!"),"",IF(NOT(ISNA(VLOOKUP(E6259,E$1:E6258,1,FALSE()))),"OLD",IF(AND(E6259&lt;&gt;"",E6259&lt;&gt;"!!!"),"NEW","")))</f>
        <v> </v>
      </c>
      <c r="G6259" s="24" t="str">
        <f>IF(OR(E6259="",E6259="!!!"),"",IF(OR(J6259=0,AND(J6259=1,K6259=1),AND(J6259=1,I6259="SBJ"),AND(J6259=1,I6259=0)),"?IN_FOCUS",IF(J6259&lt;=2,"?ACTIVATED",IF(J6259&lt;&gt;"","?FAMILIAR",IF(F6259="NEW",IF(ISNA(VLOOKUP(E6259,#REF!,1,FALSE())),"?TYPE_IDENTIFIABLE","?REFERENTIAL"),"_")))))</f>
        <v> </v>
      </c>
      <c r="H6259" s="25" t="str">
        <f>IF(J6259&lt;&gt;1,"",IF(I6259="SBJ","CB","?"))</f>
        <v> </v>
      </c>
      <c r="I6259" s="26" t="str">
        <f>IF(OR(E6259="",E6259="!!!",F6259="NEW"),"",INDEX(B6258:B$2,-1+SUMPRODUCT(MAX(ROW(E6258:E$2)*(E6259=E6258:E$2)))))</f>
        <v> </v>
      </c>
      <c r="J6259" s="26" t="str">
        <f>IF(OR(E6259="",E6259="!!!",F6259="NEW"),"",COUNTBLANK(OFFSET(A$1,,,SUMPRODUCT(MAX(ROW(E$2:E6259)*(E6259=E$2:E6259)))))-COUNTBLANK(OFFSET(A$1,,,SUMPRODUCT(MAX(ROW(E$1:E6258)*(E2=E$1:E6258))))))</f>
        <v> </v>
      </c>
      <c r="K6259" s="26" t="str">
        <f>IF(OR(E6259="",E6259="!!!",F6259="NEW"),"",INDEX(J$1:J6258,SUMPRODUCT(MAX(ROW(E$1:E6258)*(E6259=E$1:E6258)))))</f>
        <v> </v>
      </c>
      <c r="L6259" s="27"/>
    </row>
    <row r="6260" spans="1:12">
      <c r="A6260" s="20" t="s">
        <v>1185</v>
      </c>
      <c r="E6260" s="22">
        <f>IF(D6260="?OLD","!!!","")</f>
        <v/>
      </c>
      <c r="F6260" s="23" t="str">
        <f>IF(OR(E6260="",E6260="!!!"),"",IF(NOT(ISNA(VLOOKUP(E6260,E$1:E6259,1,FALSE()))),"OLD",IF(AND(E6260&lt;&gt;"",E6260&lt;&gt;"!!!"),"NEW","")))</f>
        <v> </v>
      </c>
      <c r="G6260" s="24" t="str">
        <f>IF(OR(E6260="",E6260="!!!"),"",IF(OR(J6260=0,AND(J6260=1,K6260=1),AND(J6260=1,I6260="SBJ"),AND(J6260=1,I6260=0)),"?IN_FOCUS",IF(J6260&lt;=2,"?ACTIVATED",IF(J6260&lt;&gt;"","?FAMILIAR",IF(F6260="NEW",IF(ISNA(VLOOKUP(E6260,#REF!,1,FALSE())),"?TYPE_IDENTIFIABLE","?REFERENTIAL"),"_")))))</f>
        <v> </v>
      </c>
      <c r="H6260" s="25" t="str">
        <f>IF(J6260&lt;&gt;1,"",IF(I6260="SBJ","CB","?"))</f>
        <v> </v>
      </c>
      <c r="I6260" s="26" t="str">
        <f>IF(OR(E6260="",E6260="!!!",F6260="NEW"),"",INDEX(B6259:B$2,-1+SUMPRODUCT(MAX(ROW(E6259:E$2)*(E6260=E6259:E$2)))))</f>
        <v> </v>
      </c>
      <c r="J6260" s="26" t="str">
        <f>IF(OR(E6260="",E6260="!!!",F6260="NEW"),"",COUNTBLANK(OFFSET(A$1,,,SUMPRODUCT(MAX(ROW(E$2:E6260)*(E6260=E$2:E6260)))))-COUNTBLANK(OFFSET(A$1,,,SUMPRODUCT(MAX(ROW(E$1:E6259)*(E2=E$1:E6259))))))</f>
        <v> </v>
      </c>
      <c r="K6260" s="26" t="str">
        <f>IF(OR(E6260="",E6260="!!!",F6260="NEW"),"",INDEX(J$1:J6259,SUMPRODUCT(MAX(ROW(E$1:E6259)*(E6260=E$1:E6259)))))</f>
        <v> </v>
      </c>
      <c r="L6260" s="27"/>
    </row>
    <row r="6261" spans="1:12">
      <c r="A6261" s="20" t="s">
        <v>2277</v>
      </c>
      <c r="E6261" s="22">
        <f>IF(D6261="?OLD","!!!","")</f>
        <v/>
      </c>
      <c r="F6261" s="23" t="str">
        <f>IF(OR(E6261="",E6261="!!!"),"",IF(NOT(ISNA(VLOOKUP(E6261,E$1:E6260,1,FALSE()))),"OLD",IF(AND(E6261&lt;&gt;"",E6261&lt;&gt;"!!!"),"NEW","")))</f>
        <v> </v>
      </c>
      <c r="G6261" s="24" t="str">
        <f>IF(OR(E6261="",E6261="!!!"),"",IF(OR(J6261=0,AND(J6261=1,K6261=1),AND(J6261=1,I6261="SBJ"),AND(J6261=1,I6261=0)),"?IN_FOCUS",IF(J6261&lt;=2,"?ACTIVATED",IF(J6261&lt;&gt;"","?FAMILIAR",IF(F6261="NEW",IF(ISNA(VLOOKUP(E6261,#REF!,1,FALSE())),"?TYPE_IDENTIFIABLE","?REFERENTIAL"),"_")))))</f>
        <v> </v>
      </c>
      <c r="H6261" s="25" t="str">
        <f>IF(J6261&lt;&gt;1,"",IF(I6261="SBJ","CB","?"))</f>
        <v> </v>
      </c>
      <c r="I6261" s="26" t="str">
        <f>IF(OR(E6261="",E6261="!!!",F6261="NEW"),"",INDEX(B6260:B$2,-1+SUMPRODUCT(MAX(ROW(E6260:E$2)*(E6261=E6260:E$2)))))</f>
        <v> </v>
      </c>
      <c r="J6261" s="26" t="str">
        <f>IF(OR(E6261="",E6261="!!!",F6261="NEW"),"",COUNTBLANK(OFFSET(A$1,,,SUMPRODUCT(MAX(ROW(E$2:E6261)*(E6261=E$2:E6261)))))-COUNTBLANK(OFFSET(A$1,,,SUMPRODUCT(MAX(ROW(E$1:E6260)*(E2=E$1:E6260))))))</f>
        <v> </v>
      </c>
      <c r="K6261" s="26" t="str">
        <f>IF(OR(E6261="",E6261="!!!",F6261="NEW"),"",INDEX(J$1:J6260,SUMPRODUCT(MAX(ROW(E$1:E6260)*(E6261=E$1:E6260)))))</f>
        <v> </v>
      </c>
      <c r="L6261" s="27"/>
    </row>
    <row r="6262" spans="1:12">
      <c r="A6262" s="20" t="s">
        <v>1821</v>
      </c>
      <c r="B6262" s="21" t="s">
        <v>1178</v>
      </c>
      <c r="C6262" s="21" t="s">
        <v>1179</v>
      </c>
      <c r="D6262" s="21" t="s">
        <v>1180</v>
      </c>
      <c r="E6262" s="22">
        <f>IF(D6262="?OLD","!!!","")</f>
        <v/>
      </c>
      <c r="F6262" s="23" t="str">
        <f>IF(OR(E6262="",E6262="!!!"),"",IF(NOT(ISNA(VLOOKUP(E6262,E$1:E6261,1,FALSE()))),"OLD",IF(AND(E6262&lt;&gt;"",E6262&lt;&gt;"!!!"),"NEW","")))</f>
        <v> </v>
      </c>
      <c r="G6262" s="24" t="str">
        <f>IF(OR(E6262="",E6262="!!!"),"",IF(OR(J6262=0,AND(J6262=1,K6262=1),AND(J6262=1,I6262="SBJ"),AND(J6262=1,I6262=0)),"?IN_FOCUS",IF(J6262&lt;=2,"?ACTIVATED",IF(J6262&lt;&gt;"","?FAMILIAR",IF(F6262="NEW",IF(ISNA(VLOOKUP(E6262,#REF!,1,FALSE())),"?TYPE_IDENTIFIABLE","?REFERENTIAL"),"_")))))</f>
        <v> </v>
      </c>
      <c r="H6262" s="25" t="str">
        <f>IF(J6262&lt;&gt;1,"",IF(I6262="SBJ","CB","?"))</f>
        <v> </v>
      </c>
      <c r="I6262" s="26" t="str">
        <f>IF(OR(E6262="",E6262="!!!",F6262="NEW"),"",INDEX(B6261:B$2,-1+SUMPRODUCT(MAX(ROW(E6261:E$2)*(E6262=E6261:E$2)))))</f>
        <v> </v>
      </c>
      <c r="J6262" s="26" t="str">
        <f>IF(OR(E6262="",E6262="!!!",F6262="NEW"),"",COUNTBLANK(OFFSET(A$1,,,SUMPRODUCT(MAX(ROW(E$2:E6262)*(E6262=E$2:E6262)))))-COUNTBLANK(OFFSET(A$1,,,SUMPRODUCT(MAX(ROW(E$1:E6261)*(E2=E$1:E6261))))))</f>
        <v> </v>
      </c>
      <c r="K6262" s="26" t="str">
        <f>IF(OR(E6262="",E6262="!!!",F6262="NEW"),"",INDEX(J$1:J6261,SUMPRODUCT(MAX(ROW(E$1:E6261)*(E6262=E$1:E6261)))))</f>
        <v> </v>
      </c>
      <c r="L6262" s="27"/>
    </row>
    <row r="6263" spans="1:12">
      <c r="A6263" s="20" t="s">
        <v>1095</v>
      </c>
      <c r="E6263" s="22">
        <f>IF(D6263="?OLD","!!!","")</f>
        <v/>
      </c>
      <c r="F6263" s="23" t="str">
        <f>IF(OR(E6263="",E6263="!!!"),"",IF(NOT(ISNA(VLOOKUP(E6263,E$1:E6262,1,FALSE()))),"OLD",IF(AND(E6263&lt;&gt;"",E6263&lt;&gt;"!!!"),"NEW","")))</f>
        <v> </v>
      </c>
      <c r="G6263" s="24" t="str">
        <f>IF(OR(E6263="",E6263="!!!"),"",IF(OR(J6263=0,AND(J6263=1,K6263=1),AND(J6263=1,I6263="SBJ"),AND(J6263=1,I6263=0)),"?IN_FOCUS",IF(J6263&lt;=2,"?ACTIVATED",IF(J6263&lt;&gt;"","?FAMILIAR",IF(F6263="NEW",IF(ISNA(VLOOKUP(E6263,#REF!,1,FALSE())),"?TYPE_IDENTIFIABLE","?REFERENTIAL"),"_")))))</f>
        <v> </v>
      </c>
      <c r="H6263" s="25" t="str">
        <f>IF(J6263&lt;&gt;1,"",IF(I6263="SBJ","CB","?"))</f>
        <v> </v>
      </c>
      <c r="I6263" s="26" t="str">
        <f>IF(OR(E6263="",E6263="!!!",F6263="NEW"),"",INDEX(B6262:B$2,-1+SUMPRODUCT(MAX(ROW(E6262:E$2)*(E6263=E6262:E$2)))))</f>
        <v> </v>
      </c>
      <c r="J6263" s="26" t="str">
        <f>IF(OR(E6263="",E6263="!!!",F6263="NEW"),"",COUNTBLANK(OFFSET(A$1,,,SUMPRODUCT(MAX(ROW(E$2:E6263)*(E6263=E$2:E6263)))))-COUNTBLANK(OFFSET(A$1,,,SUMPRODUCT(MAX(ROW(E$1:E6262)*(E2=E$1:E6262))))))</f>
        <v> </v>
      </c>
      <c r="K6263" s="26" t="str">
        <f>IF(OR(E6263="",E6263="!!!",F6263="NEW"),"",INDEX(J$1:J6262,SUMPRODUCT(MAX(ROW(E$1:E6262)*(E6263=E$1:E6262)))))</f>
        <v> </v>
      </c>
      <c r="L6263" s="27"/>
    </row>
    <row r="6264" spans="1:12">
      <c r="A6264" s="20" t="s">
        <v>1185</v>
      </c>
      <c r="E6264" s="22">
        <f>IF(D6264="?OLD","!!!","")</f>
        <v/>
      </c>
      <c r="F6264" s="23" t="str">
        <f>IF(OR(E6264="",E6264="!!!"),"",IF(NOT(ISNA(VLOOKUP(E6264,E$1:E6263,1,FALSE()))),"OLD",IF(AND(E6264&lt;&gt;"",E6264&lt;&gt;"!!!"),"NEW","")))</f>
        <v> </v>
      </c>
      <c r="G6264" s="24" t="str">
        <f>IF(OR(E6264="",E6264="!!!"),"",IF(OR(J6264=0,AND(J6264=1,K6264=1),AND(J6264=1,I6264="SBJ"),AND(J6264=1,I6264=0)),"?IN_FOCUS",IF(J6264&lt;=2,"?ACTIVATED",IF(J6264&lt;&gt;"","?FAMILIAR",IF(F6264="NEW",IF(ISNA(VLOOKUP(E6264,#REF!,1,FALSE())),"?TYPE_IDENTIFIABLE","?REFERENTIAL"),"_")))))</f>
        <v> </v>
      </c>
      <c r="H6264" s="25" t="str">
        <f>IF(J6264&lt;&gt;1,"",IF(I6264="SBJ","CB","?"))</f>
        <v> </v>
      </c>
      <c r="I6264" s="26" t="str">
        <f>IF(OR(E6264="",E6264="!!!",F6264="NEW"),"",INDEX(B6263:B$2,-1+SUMPRODUCT(MAX(ROW(E6263:E$2)*(E6264=E6263:E$2)))))</f>
        <v> </v>
      </c>
      <c r="J6264" s="26" t="str">
        <f>IF(OR(E6264="",E6264="!!!",F6264="NEW"),"",COUNTBLANK(OFFSET(A$1,,,SUMPRODUCT(MAX(ROW(E$2:E6264)*(E6264=E$2:E6264)))))-COUNTBLANK(OFFSET(A$1,,,SUMPRODUCT(MAX(ROW(E$1:E6263)*(E2=E$1:E6263))))))</f>
        <v> </v>
      </c>
      <c r="K6264" s="26" t="str">
        <f>IF(OR(E6264="",E6264="!!!",F6264="NEW"),"",INDEX(J$1:J6263,SUMPRODUCT(MAX(ROW(E$1:E6263)*(E6264=E$1:E6263)))))</f>
        <v> </v>
      </c>
      <c r="L6264" s="27"/>
    </row>
    <row r="6265" spans="1:12">
      <c r="A6265" s="20" t="s">
        <v>17</v>
      </c>
      <c r="E6265" s="22">
        <f>IF(D6265="?OLD","!!!","")</f>
        <v/>
      </c>
      <c r="F6265" s="23" t="str">
        <f>IF(OR(E6265="",E6265="!!!"),"",IF(NOT(ISNA(VLOOKUP(E6265,E$1:E6264,1,FALSE()))),"OLD",IF(AND(E6265&lt;&gt;"",E6265&lt;&gt;"!!!"),"NEW","")))</f>
        <v> </v>
      </c>
      <c r="G6265" s="24" t="str">
        <f>IF(OR(E6265="",E6265="!!!"),"",IF(OR(J6265=0,AND(J6265=1,K6265=1),AND(J6265=1,I6265="SBJ"),AND(J6265=1,I6265=0)),"?IN_FOCUS",IF(J6265&lt;=2,"?ACTIVATED",IF(J6265&lt;&gt;"","?FAMILIAR",IF(F6265="NEW",IF(ISNA(VLOOKUP(E6265,#REF!,1,FALSE())),"?TYPE_IDENTIFIABLE","?REFERENTIAL"),"_")))))</f>
        <v> </v>
      </c>
      <c r="H6265" s="25" t="str">
        <f>IF(J6265&lt;&gt;1,"",IF(I6265="SBJ","CB","?"))</f>
        <v> </v>
      </c>
      <c r="I6265" s="26" t="str">
        <f>IF(OR(E6265="",E6265="!!!",F6265="NEW"),"",INDEX(B6264:B$2,-1+SUMPRODUCT(MAX(ROW(E6264:E$2)*(E6265=E6264:E$2)))))</f>
        <v> </v>
      </c>
      <c r="J6265" s="26" t="str">
        <f>IF(OR(E6265="",E6265="!!!",F6265="NEW"),"",COUNTBLANK(OFFSET(A$1,,,SUMPRODUCT(MAX(ROW(E$2:E6265)*(E6265=E$2:E6265)))))-COUNTBLANK(OFFSET(A$1,,,SUMPRODUCT(MAX(ROW(E$1:E6264)*(E2=E$1:E6264))))))</f>
        <v> </v>
      </c>
      <c r="K6265" s="26" t="str">
        <f>IF(OR(E6265="",E6265="!!!",F6265="NEW"),"",INDEX(J$1:J6264,SUMPRODUCT(MAX(ROW(E$1:E6264)*(E6265=E$1:E6264)))))</f>
        <v> </v>
      </c>
      <c r="L6265" s="27"/>
    </row>
    <row r="6266" spans="1:12">
      <c r="A6266" s="20" t="s">
        <v>1249</v>
      </c>
      <c r="E6266" s="22">
        <f>IF(D6266="?OLD","!!!","")</f>
        <v/>
      </c>
      <c r="F6266" s="23" t="str">
        <f>IF(OR(E6266="",E6266="!!!"),"",IF(NOT(ISNA(VLOOKUP(E6266,E$1:E6265,1,FALSE()))),"OLD",IF(AND(E6266&lt;&gt;"",E6266&lt;&gt;"!!!"),"NEW","")))</f>
        <v> </v>
      </c>
      <c r="G6266" s="24" t="str">
        <f>IF(OR(E6266="",E6266="!!!"),"",IF(OR(J6266=0,AND(J6266=1,K6266=1),AND(J6266=1,I6266="SBJ"),AND(J6266=1,I6266=0)),"?IN_FOCUS",IF(J6266&lt;=2,"?ACTIVATED",IF(J6266&lt;&gt;"","?FAMILIAR",IF(F6266="NEW",IF(ISNA(VLOOKUP(E6266,#REF!,1,FALSE())),"?TYPE_IDENTIFIABLE","?REFERENTIAL"),"_")))))</f>
        <v> </v>
      </c>
      <c r="H6266" s="25" t="str">
        <f>IF(J6266&lt;&gt;1,"",IF(I6266="SBJ","CB","?"))</f>
        <v> </v>
      </c>
      <c r="I6266" s="26" t="str">
        <f>IF(OR(E6266="",E6266="!!!",F6266="NEW"),"",INDEX(B6265:B$2,-1+SUMPRODUCT(MAX(ROW(E6265:E$2)*(E6266=E6265:E$2)))))</f>
        <v> </v>
      </c>
      <c r="J6266" s="26" t="str">
        <f>IF(OR(E6266="",E6266="!!!",F6266="NEW"),"",COUNTBLANK(OFFSET(A$1,,,SUMPRODUCT(MAX(ROW(E$2:E6266)*(E6266=E$2:E6266)))))-COUNTBLANK(OFFSET(A$1,,,SUMPRODUCT(MAX(ROW(E$1:E6265)*(E2=E$1:E6265))))))</f>
        <v> </v>
      </c>
      <c r="K6266" s="26" t="str">
        <f>IF(OR(E6266="",E6266="!!!",F6266="NEW"),"",INDEX(J$1:J6265,SUMPRODUCT(MAX(ROW(E$1:E6265)*(E6266=E$1:E6265)))))</f>
        <v> </v>
      </c>
      <c r="L6266" s="27"/>
    </row>
    <row r="6267" spans="1:12">
      <c r="A6267" s="20"/>
    </row>
    <row r="6268" spans="1:12">
      <c r="A6268" s="20" t="s">
        <v>2336</v>
      </c>
    </row>
    <row r="6269" spans="1:12">
      <c r="A6269" s="20" t="s">
        <v>1287</v>
      </c>
      <c r="B6269" s="21" t="s">
        <v>1178</v>
      </c>
      <c r="C6269" s="21" t="s">
        <v>1195</v>
      </c>
      <c r="D6269" s="21" t="s">
        <v>1180</v>
      </c>
      <c r="E6269" s="22">
        <f>IF(D6269="?OLD","!!!","")</f>
        <v/>
      </c>
      <c r="F6269" s="23" t="str">
        <f>IF(OR(E6269="",E6269="!!!"),"",IF(NOT(ISNA(VLOOKUP(E6269,E$1:E6268,1,FALSE()))),"OLD",IF(AND(E6269&lt;&gt;"",E6269&lt;&gt;"!!!"),"NEW","")))</f>
        <v> </v>
      </c>
      <c r="G6269" s="24" t="str">
        <f>IF(OR(E6269="",E6269="!!!"),"",IF(OR(J6269=0,AND(J6269=1,K6269=1),AND(J6269=1,I6269="SBJ"),AND(J6269=1,I6269=0)),"?IN_FOCUS",IF(J6269&lt;=2,"?ACTIVATED",IF(J6269&lt;&gt;"","?FAMILIAR",IF(F6269="NEW",IF(ISNA(VLOOKUP(E6269,#REF!,1,FALSE())),"?TYPE_IDENTIFIABLE","?REFERENTIAL"),"_")))))</f>
        <v> </v>
      </c>
      <c r="H6269" s="25" t="str">
        <f>IF(J6269&lt;&gt;1,"",IF(I6269="SBJ","CB","?"))</f>
        <v> </v>
      </c>
      <c r="I6269" s="26" t="str">
        <f>IF(OR(E6269="",E6269="!!!",F6269="NEW"),"",INDEX(B6268:B$2,-1+SUMPRODUCT(MAX(ROW(E6268:E$2)*(E6269=E6268:E$2)))))</f>
        <v> </v>
      </c>
      <c r="J6269" s="26" t="str">
        <f>IF(OR(E6269="",E6269="!!!",F6269="NEW"),"",COUNTBLANK(OFFSET(A$1,,,SUMPRODUCT(MAX(ROW(E$2:E6269)*(E6269=E$2:E6269)))))-COUNTBLANK(OFFSET(A$1,,,SUMPRODUCT(MAX(ROW(E$1:E6268)*(E2=E$1:E6268))))))</f>
        <v> </v>
      </c>
      <c r="K6269" s="26" t="str">
        <f>IF(OR(E6269="",E6269="!!!",F6269="NEW"),"",INDEX(J$1:J6268,SUMPRODUCT(MAX(ROW(E$1:E6268)*(E6269=E$1:E6268)))))</f>
        <v> </v>
      </c>
      <c r="L6269" s="27"/>
    </row>
    <row r="6270" spans="1:12">
      <c r="A6270" s="20" t="s">
        <v>1182</v>
      </c>
      <c r="E6270" s="22">
        <f>IF(D6270="?OLD","!!!","")</f>
        <v/>
      </c>
      <c r="F6270" s="23" t="str">
        <f>IF(OR(E6270="",E6270="!!!"),"",IF(NOT(ISNA(VLOOKUP(E6270,E$1:E6269,1,FALSE()))),"OLD",IF(AND(E6270&lt;&gt;"",E6270&lt;&gt;"!!!"),"NEW","")))</f>
        <v> </v>
      </c>
      <c r="G6270" s="24" t="str">
        <f>IF(OR(E6270="",E6270="!!!"),"",IF(OR(J6270=0,AND(J6270=1,K6270=1),AND(J6270=1,I6270="SBJ"),AND(J6270=1,I6270=0)),"?IN_FOCUS",IF(J6270&lt;=2,"?ACTIVATED",IF(J6270&lt;&gt;"","?FAMILIAR",IF(F6270="NEW",IF(ISNA(VLOOKUP(E6270,#REF!,1,FALSE())),"?TYPE_IDENTIFIABLE","?REFERENTIAL"),"_")))))</f>
        <v> </v>
      </c>
      <c r="H6270" s="25" t="str">
        <f>IF(J6270&lt;&gt;1,"",IF(I6270="SBJ","CB","?"))</f>
        <v> </v>
      </c>
      <c r="I6270" s="26" t="str">
        <f>IF(OR(E6270="",E6270="!!!",F6270="NEW"),"",INDEX(B6269:B$2,-1+SUMPRODUCT(MAX(ROW(E6269:E$2)*(E6270=E6269:E$2)))))</f>
        <v> </v>
      </c>
      <c r="J6270" s="26" t="str">
        <f>IF(OR(E6270="",E6270="!!!",F6270="NEW"),"",COUNTBLANK(OFFSET(A$1,,,SUMPRODUCT(MAX(ROW(E$2:E6270)*(E6270=E$2:E6270)))))-COUNTBLANK(OFFSET(A$1,,,SUMPRODUCT(MAX(ROW(E$1:E6269)*(E2=E$1:E6269))))))</f>
        <v> </v>
      </c>
      <c r="K6270" s="26" t="str">
        <f>IF(OR(E6270="",E6270="!!!",F6270="NEW"),"",INDEX(J$1:J6269,SUMPRODUCT(MAX(ROW(E$1:E6269)*(E6270=E$1:E6269)))))</f>
        <v> </v>
      </c>
      <c r="L6270" s="27"/>
    </row>
    <row r="6271" spans="1:12">
      <c r="A6271" s="20" t="s">
        <v>2337</v>
      </c>
      <c r="B6271" s="21" t="s">
        <v>1178</v>
      </c>
      <c r="C6271" s="21" t="s">
        <v>1179</v>
      </c>
      <c r="D6271" s="21" t="s">
        <v>1180</v>
      </c>
      <c r="E6271" s="22">
        <f>IF(D6271="?OLD","!!!","")</f>
        <v/>
      </c>
      <c r="F6271" s="23" t="str">
        <f>IF(OR(E6271="",E6271="!!!"),"",IF(NOT(ISNA(VLOOKUP(E6271,E$1:E6270,1,FALSE()))),"OLD",IF(AND(E6271&lt;&gt;"",E6271&lt;&gt;"!!!"),"NEW","")))</f>
        <v> </v>
      </c>
      <c r="G6271" s="24" t="str">
        <f>IF(OR(E6271="",E6271="!!!"),"",IF(OR(J6271=0,AND(J6271=1,K6271=1),AND(J6271=1,I6271="SBJ"),AND(J6271=1,I6271=0)),"?IN_FOCUS",IF(J6271&lt;=2,"?ACTIVATED",IF(J6271&lt;&gt;"","?FAMILIAR",IF(F6271="NEW",IF(ISNA(VLOOKUP(E6271,#REF!,1,FALSE())),"?TYPE_IDENTIFIABLE","?REFERENTIAL"),"_")))))</f>
        <v> </v>
      </c>
      <c r="H6271" s="25" t="str">
        <f>IF(J6271&lt;&gt;1,"",IF(I6271="SBJ","CB","?"))</f>
        <v> </v>
      </c>
      <c r="I6271" s="26" t="str">
        <f>IF(OR(E6271="",E6271="!!!",F6271="NEW"),"",INDEX(B6270:B$2,-1+SUMPRODUCT(MAX(ROW(E6270:E$2)*(E6271=E6270:E$2)))))</f>
        <v> </v>
      </c>
      <c r="J6271" s="26" t="str">
        <f>IF(OR(E6271="",E6271="!!!",F6271="NEW"),"",COUNTBLANK(OFFSET(A$1,,,SUMPRODUCT(MAX(ROW(E$2:E6271)*(E6271=E$2:E6271)))))-COUNTBLANK(OFFSET(A$1,,,SUMPRODUCT(MAX(ROW(E$1:E6270)*(E2=E$1:E6270))))))</f>
        <v> </v>
      </c>
      <c r="K6271" s="26" t="str">
        <f>IF(OR(E6271="",E6271="!!!",F6271="NEW"),"",INDEX(J$1:J6270,SUMPRODUCT(MAX(ROW(E$1:E6270)*(E6271=E$1:E6270)))))</f>
        <v> </v>
      </c>
      <c r="L6271" s="27"/>
    </row>
    <row r="6272" spans="1:12">
      <c r="A6272" s="20" t="s">
        <v>818</v>
      </c>
      <c r="E6272" s="22">
        <f>IF(D6272="?OLD","!!!","")</f>
        <v/>
      </c>
      <c r="F6272" s="23" t="str">
        <f>IF(OR(E6272="",E6272="!!!"),"",IF(NOT(ISNA(VLOOKUP(E6272,E$1:E6271,1,FALSE()))),"OLD",IF(AND(E6272&lt;&gt;"",E6272&lt;&gt;"!!!"),"NEW","")))</f>
        <v> </v>
      </c>
      <c r="G6272" s="24" t="str">
        <f>IF(OR(E6272="",E6272="!!!"),"",IF(OR(J6272=0,AND(J6272=1,K6272=1),AND(J6272=1,I6272="SBJ"),AND(J6272=1,I6272=0)),"?IN_FOCUS",IF(J6272&lt;=2,"?ACTIVATED",IF(J6272&lt;&gt;"","?FAMILIAR",IF(F6272="NEW",IF(ISNA(VLOOKUP(E6272,#REF!,1,FALSE())),"?TYPE_IDENTIFIABLE","?REFERENTIAL"),"_")))))</f>
        <v> </v>
      </c>
      <c r="H6272" s="25" t="str">
        <f>IF(J6272&lt;&gt;1,"",IF(I6272="SBJ","CB","?"))</f>
        <v> </v>
      </c>
      <c r="I6272" s="26" t="str">
        <f>IF(OR(E6272="",E6272="!!!",F6272="NEW"),"",INDEX(B6271:B$2,-1+SUMPRODUCT(MAX(ROW(E6271:E$2)*(E6272=E6271:E$2)))))</f>
        <v> </v>
      </c>
      <c r="J6272" s="26" t="str">
        <f>IF(OR(E6272="",E6272="!!!",F6272="NEW"),"",COUNTBLANK(OFFSET(A$1,,,SUMPRODUCT(MAX(ROW(E$2:E6272)*(E6272=E$2:E6272)))))-COUNTBLANK(OFFSET(A$1,,,SUMPRODUCT(MAX(ROW(E$1:E6271)*(E2=E$1:E6271))))))</f>
        <v> </v>
      </c>
      <c r="K6272" s="26" t="str">
        <f>IF(OR(E6272="",E6272="!!!",F6272="NEW"),"",INDEX(J$1:J6271,SUMPRODUCT(MAX(ROW(E$1:E6271)*(E6272=E$1:E6271)))))</f>
        <v> </v>
      </c>
      <c r="L6272" s="27"/>
    </row>
    <row r="6273" spans="1:12">
      <c r="A6273" s="20"/>
    </row>
    <row r="6274" spans="1:12">
      <c r="A6274" s="20" t="s">
        <v>2877</v>
      </c>
    </row>
    <row r="6275" spans="1:12">
      <c r="A6275" s="20" t="s">
        <v>1313</v>
      </c>
      <c r="B6275" s="21" t="s">
        <v>1194</v>
      </c>
      <c r="C6275" s="21" t="s">
        <v>1208</v>
      </c>
      <c r="D6275" s="21" t="s">
        <v>1180</v>
      </c>
      <c r="E6275" s="22">
        <f>IF(D6275="?OLD","!!!","")</f>
        <v/>
      </c>
      <c r="F6275" s="23" t="str">
        <f>IF(OR(E6275="",E6275="!!!"),"",IF(NOT(ISNA(VLOOKUP(E6275,E$1:E6274,1,FALSE()))),"OLD",IF(AND(E6275&lt;&gt;"",E6275&lt;&gt;"!!!"),"NEW","")))</f>
        <v> </v>
      </c>
      <c r="G6275" s="24" t="str">
        <f>IF(OR(E6275="",E6275="!!!"),"",IF(OR(J6275=0,AND(J6275=1,K6275=1),AND(J6275=1,I6275="SBJ"),AND(J6275=1,I6275=0)),"?IN_FOCUS",IF(J6275&lt;=2,"?ACTIVATED",IF(J6275&lt;&gt;"","?FAMILIAR",IF(F6275="NEW",IF(ISNA(VLOOKUP(E6275,#REF!,1,FALSE())),"?TYPE_IDENTIFIABLE","?REFERENTIAL"),"_")))))</f>
        <v> </v>
      </c>
      <c r="H6275" s="25" t="str">
        <f>IF(J6275&lt;&gt;1,"",IF(I6275="SBJ","CB","?"))</f>
        <v> </v>
      </c>
      <c r="I6275" s="26" t="str">
        <f>IF(OR(E6275="",E6275="!!!",F6275="NEW"),"",INDEX(B6274:B$2,-1+SUMPRODUCT(MAX(ROW(E6274:E$2)*(E6275=E6274:E$2)))))</f>
        <v> </v>
      </c>
      <c r="J6275" s="26" t="str">
        <f>IF(OR(E6275="",E6275="!!!",F6275="NEW"),"",COUNTBLANK(OFFSET(A$1,,,SUMPRODUCT(MAX(ROW(E$2:E6275)*(E6275=E$2:E6275)))))-COUNTBLANK(OFFSET(A$1,,,SUMPRODUCT(MAX(ROW(E$1:E6274)*(E2=E$1:E6274))))))</f>
        <v> </v>
      </c>
      <c r="K6275" s="26" t="str">
        <f>IF(OR(E6275="",E6275="!!!",F6275="NEW"),"",INDEX(J$1:J6274,SUMPRODUCT(MAX(ROW(E$1:E6274)*(E6275=E$1:E6274)))))</f>
        <v> </v>
      </c>
      <c r="L6275" s="27"/>
    </row>
    <row r="6276" spans="1:12">
      <c r="A6276" s="20" t="s">
        <v>1987</v>
      </c>
      <c r="E6276" s="22">
        <f>IF(D6276="?OLD","!!!","")</f>
        <v/>
      </c>
      <c r="F6276" s="23" t="str">
        <f>IF(OR(E6276="",E6276="!!!"),"",IF(NOT(ISNA(VLOOKUP(E6276,E$1:E6275,1,FALSE()))),"OLD",IF(AND(E6276&lt;&gt;"",E6276&lt;&gt;"!!!"),"NEW","")))</f>
        <v> </v>
      </c>
      <c r="G6276" s="24" t="str">
        <f>IF(OR(E6276="",E6276="!!!"),"",IF(OR(J6276=0,AND(J6276=1,K6276=1),AND(J6276=1,I6276="SBJ"),AND(J6276=1,I6276=0)),"?IN_FOCUS",IF(J6276&lt;=2,"?ACTIVATED",IF(J6276&lt;&gt;"","?FAMILIAR",IF(F6276="NEW",IF(ISNA(VLOOKUP(E6276,#REF!,1,FALSE())),"?TYPE_IDENTIFIABLE","?REFERENTIAL"),"_")))))</f>
        <v> </v>
      </c>
      <c r="H6276" s="25" t="str">
        <f>IF(J6276&lt;&gt;1,"",IF(I6276="SBJ","CB","?"))</f>
        <v> </v>
      </c>
      <c r="I6276" s="26" t="str">
        <f>IF(OR(E6276="",E6276="!!!",F6276="NEW"),"",INDEX(B6275:B$2,-1+SUMPRODUCT(MAX(ROW(E6275:E$2)*(E6276=E6275:E$2)))))</f>
        <v> </v>
      </c>
      <c r="J6276" s="26" t="str">
        <f>IF(OR(E6276="",E6276="!!!",F6276="NEW"),"",COUNTBLANK(OFFSET(A$1,,,SUMPRODUCT(MAX(ROW(E$2:E6276)*(E6276=E$2:E6276)))))-COUNTBLANK(OFFSET(A$1,,,SUMPRODUCT(MAX(ROW(E$1:E6275)*(E2=E$1:E6275))))))</f>
        <v> </v>
      </c>
      <c r="K6276" s="26" t="str">
        <f>IF(OR(E6276="",E6276="!!!",F6276="NEW"),"",INDEX(J$1:J6275,SUMPRODUCT(MAX(ROW(E$1:E6275)*(E6276=E$1:E6275)))))</f>
        <v> </v>
      </c>
      <c r="L6276" s="27"/>
    </row>
    <row r="6277" spans="1:12">
      <c r="A6277" s="20" t="s">
        <v>1479</v>
      </c>
      <c r="E6277" s="22">
        <f>IF(D6277="?OLD","!!!","")</f>
        <v/>
      </c>
      <c r="F6277" s="23" t="str">
        <f>IF(OR(E6277="",E6277="!!!"),"",IF(NOT(ISNA(VLOOKUP(E6277,E$1:E6276,1,FALSE()))),"OLD",IF(AND(E6277&lt;&gt;"",E6277&lt;&gt;"!!!"),"NEW","")))</f>
        <v> </v>
      </c>
      <c r="G6277" s="24" t="str">
        <f>IF(OR(E6277="",E6277="!!!"),"",IF(OR(J6277=0,AND(J6277=1,K6277=1),AND(J6277=1,I6277="SBJ"),AND(J6277=1,I6277=0)),"?IN_FOCUS",IF(J6277&lt;=2,"?ACTIVATED",IF(J6277&lt;&gt;"","?FAMILIAR",IF(F6277="NEW",IF(ISNA(VLOOKUP(E6277,#REF!,1,FALSE())),"?TYPE_IDENTIFIABLE","?REFERENTIAL"),"_")))))</f>
        <v> </v>
      </c>
      <c r="H6277" s="25" t="str">
        <f>IF(J6277&lt;&gt;1,"",IF(I6277="SBJ","CB","?"))</f>
        <v> </v>
      </c>
      <c r="I6277" s="26" t="str">
        <f>IF(OR(E6277="",E6277="!!!",F6277="NEW"),"",INDEX(B6276:B$2,-1+SUMPRODUCT(MAX(ROW(E6276:E$2)*(E6277=E6276:E$2)))))</f>
        <v> </v>
      </c>
      <c r="J6277" s="26" t="str">
        <f>IF(OR(E6277="",E6277="!!!",F6277="NEW"),"",COUNTBLANK(OFFSET(A$1,,,SUMPRODUCT(MAX(ROW(E$2:E6277)*(E6277=E$2:E6277)))))-COUNTBLANK(OFFSET(A$1,,,SUMPRODUCT(MAX(ROW(E$1:E6276)*(E2=E$1:E6276))))))</f>
        <v> </v>
      </c>
      <c r="K6277" s="26" t="str">
        <f>IF(OR(E6277="",E6277="!!!",F6277="NEW"),"",INDEX(J$1:J6276,SUMPRODUCT(MAX(ROW(E$1:E6276)*(E6277=E$1:E6276)))))</f>
        <v> </v>
      </c>
      <c r="L6277" s="27"/>
    </row>
    <row r="6278" spans="1:12">
      <c r="A6278" s="20" t="s">
        <v>1315</v>
      </c>
      <c r="B6278" s="21" t="s">
        <v>1178</v>
      </c>
      <c r="C6278" s="21" t="s">
        <v>1184</v>
      </c>
      <c r="E6278" s="22">
        <f>IF(D6278="?OLD","!!!","")</f>
        <v/>
      </c>
      <c r="F6278" s="23" t="str">
        <f>IF(OR(E6278="",E6278="!!!"),"",IF(NOT(ISNA(VLOOKUP(E6278,E$1:E6277,1,FALSE()))),"OLD",IF(AND(E6278&lt;&gt;"",E6278&lt;&gt;"!!!"),"NEW","")))</f>
        <v> </v>
      </c>
      <c r="G6278" s="24" t="str">
        <f>IF(OR(E6278="",E6278="!!!"),"",IF(OR(J6278=0,AND(J6278=1,K6278=1),AND(J6278=1,I6278="SBJ"),AND(J6278=1,I6278=0)),"?IN_FOCUS",IF(J6278&lt;=2,"?ACTIVATED",IF(J6278&lt;&gt;"","?FAMILIAR",IF(F6278="NEW",IF(ISNA(VLOOKUP(E6278,#REF!,1,FALSE())),"?TYPE_IDENTIFIABLE","?REFERENTIAL"),"_")))))</f>
        <v> </v>
      </c>
      <c r="H6278" s="25" t="str">
        <f>IF(J6278&lt;&gt;1,"",IF(I6278="SBJ","CB","?"))</f>
        <v> </v>
      </c>
      <c r="I6278" s="26" t="str">
        <f>IF(OR(E6278="",E6278="!!!",F6278="NEW"),"",INDEX(B6277:B$2,-1+SUMPRODUCT(MAX(ROW(E6277:E$2)*(E6278=E6277:E$2)))))</f>
        <v> </v>
      </c>
      <c r="J6278" s="26" t="str">
        <f>IF(OR(E6278="",E6278="!!!",F6278="NEW"),"",COUNTBLANK(OFFSET(A$1,,,SUMPRODUCT(MAX(ROW(E$2:E6278)*(E6278=E$2:E6278)))))-COUNTBLANK(OFFSET(A$1,,,SUMPRODUCT(MAX(ROW(E$1:E6277)*(E2=E$1:E6277))))))</f>
        <v> </v>
      </c>
      <c r="K6278" s="26" t="str">
        <f>IF(OR(E6278="",E6278="!!!",F6278="NEW"),"",INDEX(J$1:J6277,SUMPRODUCT(MAX(ROW(E$1:E6277)*(E6278=E$1:E6277)))))</f>
        <v> </v>
      </c>
      <c r="L6278" s="27"/>
    </row>
    <row r="6279" spans="1:12">
      <c r="A6279" s="20" t="s">
        <v>818</v>
      </c>
      <c r="E6279" s="22">
        <f>IF(D6279="?OLD","!!!","")</f>
        <v/>
      </c>
      <c r="F6279" s="23" t="str">
        <f>IF(OR(E6279="",E6279="!!!"),"",IF(NOT(ISNA(VLOOKUP(E6279,E$1:E6278,1,FALSE()))),"OLD",IF(AND(E6279&lt;&gt;"",E6279&lt;&gt;"!!!"),"NEW","")))</f>
        <v> </v>
      </c>
      <c r="G6279" s="24" t="str">
        <f>IF(OR(E6279="",E6279="!!!"),"",IF(OR(J6279=0,AND(J6279=1,K6279=1),AND(J6279=1,I6279="SBJ"),AND(J6279=1,I6279=0)),"?IN_FOCUS",IF(J6279&lt;=2,"?ACTIVATED",IF(J6279&lt;&gt;"","?FAMILIAR",IF(F6279="NEW",IF(ISNA(VLOOKUP(E6279,#REF!,1,FALSE())),"?TYPE_IDENTIFIABLE","?REFERENTIAL"),"_")))))</f>
        <v> </v>
      </c>
      <c r="H6279" s="25" t="str">
        <f>IF(J6279&lt;&gt;1,"",IF(I6279="SBJ","CB","?"))</f>
        <v> </v>
      </c>
      <c r="I6279" s="26" t="str">
        <f>IF(OR(E6279="",E6279="!!!",F6279="NEW"),"",INDEX(B6278:B$2,-1+SUMPRODUCT(MAX(ROW(E6278:E$2)*(E6279=E6278:E$2)))))</f>
        <v> </v>
      </c>
      <c r="J6279" s="26" t="str">
        <f>IF(OR(E6279="",E6279="!!!",F6279="NEW"),"",COUNTBLANK(OFFSET(A$1,,,SUMPRODUCT(MAX(ROW(E$2:E6279)*(E6279=E$2:E6279)))))-COUNTBLANK(OFFSET(A$1,,,SUMPRODUCT(MAX(ROW(E$1:E6278)*(E2=E$1:E6278))))))</f>
        <v> </v>
      </c>
      <c r="K6279" s="26" t="str">
        <f>IF(OR(E6279="",E6279="!!!",F6279="NEW"),"",INDEX(J$1:J6278,SUMPRODUCT(MAX(ROW(E$1:E6278)*(E6279=E$1:E6278)))))</f>
        <v> </v>
      </c>
      <c r="L6279" s="27"/>
    </row>
    <row r="6280" spans="1:12">
      <c r="A6280" s="20"/>
    </row>
    <row r="6281" spans="1:12">
      <c r="A6281" s="20" t="s">
        <v>2878</v>
      </c>
    </row>
    <row r="6282" spans="1:12">
      <c r="A6282" s="20" t="s">
        <v>1545</v>
      </c>
      <c r="E6282" s="22">
        <f>IF(D6282="?OLD","!!!","")</f>
        <v/>
      </c>
      <c r="F6282" s="23" t="str">
        <f>IF(OR(E6282="",E6282="!!!"),"",IF(NOT(ISNA(VLOOKUP(E6282,E$1:E6281,1,FALSE()))),"OLD",IF(AND(E6282&lt;&gt;"",E6282&lt;&gt;"!!!"),"NEW","")))</f>
        <v> </v>
      </c>
      <c r="G6282" s="24" t="str">
        <f>IF(OR(E6282="",E6282="!!!"),"",IF(OR(J6282=0,AND(J6282=1,K6282=1),AND(J6282=1,I6282="SBJ"),AND(J6282=1,I6282=0)),"?IN_FOCUS",IF(J6282&lt;=2,"?ACTIVATED",IF(J6282&lt;&gt;"","?FAMILIAR",IF(F6282="NEW",IF(ISNA(VLOOKUP(E6282,#REF!,1,FALSE())),"?TYPE_IDENTIFIABLE","?REFERENTIAL"),"_")))))</f>
        <v> </v>
      </c>
      <c r="H6282" s="25" t="str">
        <f>IF(J6282&lt;&gt;1,"",IF(I6282="SBJ","CB","?"))</f>
        <v> </v>
      </c>
      <c r="I6282" s="26" t="str">
        <f>IF(OR(E6282="",E6282="!!!",F6282="NEW"),"",INDEX(B6281:B$2,-1+SUMPRODUCT(MAX(ROW(E6281:E$2)*(E6282=E6281:E$2)))))</f>
        <v> </v>
      </c>
      <c r="J6282" s="26" t="str">
        <f>IF(OR(E6282="",E6282="!!!",F6282="NEW"),"",COUNTBLANK(OFFSET(A$1,,,SUMPRODUCT(MAX(ROW(E$2:E6282)*(E6282=E$2:E6282)))))-COUNTBLANK(OFFSET(A$1,,,SUMPRODUCT(MAX(ROW(E$1:E6281)*(E2=E$1:E6281))))))</f>
        <v> </v>
      </c>
      <c r="K6282" s="26" t="str">
        <f>IF(OR(E6282="",E6282="!!!",F6282="NEW"),"",INDEX(J$1:J6281,SUMPRODUCT(MAX(ROW(E$1:E6281)*(E6282=E$1:E6281)))))</f>
        <v> </v>
      </c>
      <c r="L6282" s="27"/>
    </row>
    <row r="6283" spans="1:12">
      <c r="A6283" s="20" t="s">
        <v>2879</v>
      </c>
      <c r="B6283" s="21" t="s">
        <v>1194</v>
      </c>
      <c r="C6283" s="21" t="s">
        <v>1188</v>
      </c>
      <c r="D6283" s="21" t="s">
        <v>1180</v>
      </c>
      <c r="E6283" s="22">
        <f>IF(D6283="?OLD","!!!","")</f>
        <v/>
      </c>
      <c r="F6283" s="23" t="str">
        <f>IF(OR(E6283="",E6283="!!!"),"",IF(NOT(ISNA(VLOOKUP(E6283,E$1:E6282,1,FALSE()))),"OLD",IF(AND(E6283&lt;&gt;"",E6283&lt;&gt;"!!!"),"NEW","")))</f>
        <v> </v>
      </c>
      <c r="G6283" s="24" t="str">
        <f>IF(OR(E6283="",E6283="!!!"),"",IF(OR(J6283=0,AND(J6283=1,K6283=1),AND(J6283=1,I6283="SBJ"),AND(J6283=1,I6283=0)),"?IN_FOCUS",IF(J6283&lt;=2,"?ACTIVATED",IF(J6283&lt;&gt;"","?FAMILIAR",IF(F6283="NEW",IF(ISNA(VLOOKUP(E6283,#REF!,1,FALSE())),"?TYPE_IDENTIFIABLE","?REFERENTIAL"),"_")))))</f>
        <v> </v>
      </c>
      <c r="H6283" s="25" t="str">
        <f>IF(J6283&lt;&gt;1,"",IF(I6283="SBJ","CB","?"))</f>
        <v> </v>
      </c>
      <c r="I6283" s="26" t="str">
        <f>IF(OR(E6283="",E6283="!!!",F6283="NEW"),"",INDEX(B6282:B$2,-1+SUMPRODUCT(MAX(ROW(E6282:E$2)*(E6283=E6282:E$2)))))</f>
        <v> </v>
      </c>
      <c r="J6283" s="26" t="str">
        <f>IF(OR(E6283="",E6283="!!!",F6283="NEW"),"",COUNTBLANK(OFFSET(A$1,,,SUMPRODUCT(MAX(ROW(E$2:E6283)*(E6283=E$2:E6283)))))-COUNTBLANK(OFFSET(A$1,,,SUMPRODUCT(MAX(ROW(E$1:E6282)*(E2=E$1:E6282))))))</f>
        <v> </v>
      </c>
      <c r="K6283" s="26" t="str">
        <f>IF(OR(E6283="",E6283="!!!",F6283="NEW"),"",INDEX(J$1:J6282,SUMPRODUCT(MAX(ROW(E$1:E6282)*(E6283=E$1:E6282)))))</f>
        <v> </v>
      </c>
      <c r="L6283" s="27"/>
    </row>
    <row r="6284" spans="1:12">
      <c r="A6284" s="20" t="s">
        <v>1185</v>
      </c>
      <c r="E6284" s="22">
        <f>IF(D6284="?OLD","!!!","")</f>
        <v/>
      </c>
      <c r="F6284" s="23" t="str">
        <f>IF(OR(E6284="",E6284="!!!"),"",IF(NOT(ISNA(VLOOKUP(E6284,E$1:E6283,1,FALSE()))),"OLD",IF(AND(E6284&lt;&gt;"",E6284&lt;&gt;"!!!"),"NEW","")))</f>
        <v> </v>
      </c>
      <c r="G6284" s="24" t="str">
        <f>IF(OR(E6284="",E6284="!!!"),"",IF(OR(J6284=0,AND(J6284=1,K6284=1),AND(J6284=1,I6284="SBJ"),AND(J6284=1,I6284=0)),"?IN_FOCUS",IF(J6284&lt;=2,"?ACTIVATED",IF(J6284&lt;&gt;"","?FAMILIAR",IF(F6284="NEW",IF(ISNA(VLOOKUP(E6284,#REF!,1,FALSE())),"?TYPE_IDENTIFIABLE","?REFERENTIAL"),"_")))))</f>
        <v> </v>
      </c>
      <c r="H6284" s="25" t="str">
        <f>IF(J6284&lt;&gt;1,"",IF(I6284="SBJ","CB","?"))</f>
        <v> </v>
      </c>
      <c r="I6284" s="26" t="str">
        <f>IF(OR(E6284="",E6284="!!!",F6284="NEW"),"",INDEX(B6283:B$2,-1+SUMPRODUCT(MAX(ROW(E6283:E$2)*(E6284=E6283:E$2)))))</f>
        <v> </v>
      </c>
      <c r="J6284" s="26" t="str">
        <f>IF(OR(E6284="",E6284="!!!",F6284="NEW"),"",COUNTBLANK(OFFSET(A$1,,,SUMPRODUCT(MAX(ROW(E$2:E6284)*(E6284=E$2:E6284)))))-COUNTBLANK(OFFSET(A$1,,,SUMPRODUCT(MAX(ROW(E$1:E6283)*(E2=E$1:E6283))))))</f>
        <v> </v>
      </c>
      <c r="K6284" s="26" t="str">
        <f>IF(OR(E6284="",E6284="!!!",F6284="NEW"),"",INDEX(J$1:J6283,SUMPRODUCT(MAX(ROW(E$1:E6283)*(E6284=E$1:E6283)))))</f>
        <v> </v>
      </c>
      <c r="L6284" s="27"/>
    </row>
    <row r="6285" spans="1:12">
      <c r="A6285" s="20" t="s">
        <v>1186</v>
      </c>
      <c r="B6285" s="21" t="s">
        <v>1304</v>
      </c>
      <c r="E6285" s="22">
        <f>IF(D6285="?OLD","!!!","")</f>
        <v/>
      </c>
      <c r="F6285" s="23" t="str">
        <f>IF(OR(E6285="",E6285="!!!"),"",IF(NOT(ISNA(VLOOKUP(E6285,E$1:E6284,1,FALSE()))),"OLD",IF(AND(E6285&lt;&gt;"",E6285&lt;&gt;"!!!"),"NEW","")))</f>
        <v> </v>
      </c>
      <c r="G6285" s="24" t="str">
        <f>IF(OR(E6285="",E6285="!!!"),"",IF(OR(J6285=0,AND(J6285=1,K6285=1),AND(J6285=1,I6285="SBJ"),AND(J6285=1,I6285=0)),"?IN_FOCUS",IF(J6285&lt;=2,"?ACTIVATED",IF(J6285&lt;&gt;"","?FAMILIAR",IF(F6285="NEW",IF(ISNA(VLOOKUP(E6285,#REF!,1,FALSE())),"?TYPE_IDENTIFIABLE","?REFERENTIAL"),"_")))))</f>
        <v> </v>
      </c>
      <c r="H6285" s="25" t="str">
        <f>IF(J6285&lt;&gt;1,"",IF(I6285="SBJ","CB","?"))</f>
        <v> </v>
      </c>
      <c r="I6285" s="26" t="str">
        <f>IF(OR(E6285="",E6285="!!!",F6285="NEW"),"",INDEX(B6284:B$2,-1+SUMPRODUCT(MAX(ROW(E6284:E$2)*(E6285=E6284:E$2)))))</f>
        <v> </v>
      </c>
      <c r="J6285" s="26" t="str">
        <f>IF(OR(E6285="",E6285="!!!",F6285="NEW"),"",COUNTBLANK(OFFSET(A$1,,,SUMPRODUCT(MAX(ROW(E$2:E6285)*(E6285=E$2:E6285)))))-COUNTBLANK(OFFSET(A$1,,,SUMPRODUCT(MAX(ROW(E$1:E6284)*(E2=E$1:E6284))))))</f>
        <v> </v>
      </c>
      <c r="K6285" s="26" t="str">
        <f>IF(OR(E6285="",E6285="!!!",F6285="NEW"),"",INDEX(J$1:J6284,SUMPRODUCT(MAX(ROW(E$1:E6284)*(E6285=E$1:E6284)))))</f>
        <v> </v>
      </c>
      <c r="L6285" s="27"/>
    </row>
    <row r="6286" spans="1:12">
      <c r="A6286" s="20" t="s">
        <v>1186</v>
      </c>
      <c r="E6286" s="22">
        <f>IF(D6286="?OLD","!!!","")</f>
        <v/>
      </c>
      <c r="F6286" s="23" t="str">
        <f>IF(OR(E6286="",E6286="!!!"),"",IF(NOT(ISNA(VLOOKUP(E6286,E$1:E6285,1,FALSE()))),"OLD",IF(AND(E6286&lt;&gt;"",E6286&lt;&gt;"!!!"),"NEW","")))</f>
        <v> </v>
      </c>
      <c r="G6286" s="24" t="str">
        <f>IF(OR(E6286="",E6286="!!!"),"",IF(OR(J6286=0,AND(J6286=1,K6286=1),AND(J6286=1,I6286="SBJ"),AND(J6286=1,I6286=0)),"?IN_FOCUS",IF(J6286&lt;=2,"?ACTIVATED",IF(J6286&lt;&gt;"","?FAMILIAR",IF(F6286="NEW",IF(ISNA(VLOOKUP(E6286,#REF!,1,FALSE())),"?TYPE_IDENTIFIABLE","?REFERENTIAL"),"_")))))</f>
        <v> </v>
      </c>
      <c r="H6286" s="25" t="str">
        <f>IF(J6286&lt;&gt;1,"",IF(I6286="SBJ","CB","?"))</f>
        <v> </v>
      </c>
      <c r="I6286" s="26" t="str">
        <f>IF(OR(E6286="",E6286="!!!",F6286="NEW"),"",INDEX(B6285:B$2,-1+SUMPRODUCT(MAX(ROW(E6285:E$2)*(E6286=E6285:E$2)))))</f>
        <v> </v>
      </c>
      <c r="J6286" s="26" t="str">
        <f>IF(OR(E6286="",E6286="!!!",F6286="NEW"),"",COUNTBLANK(OFFSET(A$1,,,SUMPRODUCT(MAX(ROW(E$2:E6286)*(E6286=E$2:E6286)))))-COUNTBLANK(OFFSET(A$1,,,SUMPRODUCT(MAX(ROW(E$1:E6285)*(E2=E$1:E6285))))))</f>
        <v> </v>
      </c>
      <c r="K6286" s="26" t="str">
        <f>IF(OR(E6286="",E6286="!!!",F6286="NEW"),"",INDEX(J$1:J6285,SUMPRODUCT(MAX(ROW(E$1:E6285)*(E6286=E$1:E6285)))))</f>
        <v> </v>
      </c>
      <c r="L6286" s="27"/>
    </row>
    <row r="6287" spans="1:12">
      <c r="A6287" s="20" t="s">
        <v>1606</v>
      </c>
      <c r="B6287" s="21" t="s">
        <v>1306</v>
      </c>
      <c r="C6287" s="21" t="s">
        <v>1394</v>
      </c>
      <c r="D6287" s="21" t="s">
        <v>1180</v>
      </c>
      <c r="E6287" s="22">
        <f>IF(D6287="?OLD","!!!","")</f>
        <v/>
      </c>
      <c r="F6287" s="23" t="str">
        <f>IF(OR(E6287="",E6287="!!!"),"",IF(NOT(ISNA(VLOOKUP(E6287,E$1:E6286,1,FALSE()))),"OLD",IF(AND(E6287&lt;&gt;"",E6287&lt;&gt;"!!!"),"NEW","")))</f>
        <v> </v>
      </c>
      <c r="G6287" s="24" t="str">
        <f>IF(OR(E6287="",E6287="!!!"),"",IF(OR(J6287=0,AND(J6287=1,K6287=1),AND(J6287=1,I6287="SBJ"),AND(J6287=1,I6287=0)),"?IN_FOCUS",IF(J6287&lt;=2,"?ACTIVATED",IF(J6287&lt;&gt;"","?FAMILIAR",IF(F6287="NEW",IF(ISNA(VLOOKUP(E6287,#REF!,1,FALSE())),"?TYPE_IDENTIFIABLE","?REFERENTIAL"),"_")))))</f>
        <v> </v>
      </c>
      <c r="H6287" s="25" t="str">
        <f>IF(J6287&lt;&gt;1,"",IF(I6287="SBJ","CB","?"))</f>
        <v> </v>
      </c>
      <c r="I6287" s="26" t="str">
        <f>IF(OR(E6287="",E6287="!!!",F6287="NEW"),"",INDEX(B6286:B$2,-1+SUMPRODUCT(MAX(ROW(E6286:E$2)*(E6287=E6286:E$2)))))</f>
        <v> </v>
      </c>
      <c r="J6287" s="26" t="str">
        <f>IF(OR(E6287="",E6287="!!!",F6287="NEW"),"",COUNTBLANK(OFFSET(A$1,,,SUMPRODUCT(MAX(ROW(E$2:E6287)*(E6287=E$2:E6287)))))-COUNTBLANK(OFFSET(A$1,,,SUMPRODUCT(MAX(ROW(E$1:E6286)*(E2=E$1:E6286))))))</f>
        <v> </v>
      </c>
      <c r="K6287" s="26" t="str">
        <f>IF(OR(E6287="",E6287="!!!",F6287="NEW"),"",INDEX(J$1:J6286,SUMPRODUCT(MAX(ROW(E$1:E6286)*(E6287=E$1:E6286)))))</f>
        <v> </v>
      </c>
      <c r="L6287" s="27"/>
    </row>
    <row r="6288" spans="1:12">
      <c r="A6288" s="20" t="s">
        <v>1748</v>
      </c>
      <c r="B6288" s="21" t="s">
        <v>1291</v>
      </c>
      <c r="C6288" s="21" t="s">
        <v>1208</v>
      </c>
      <c r="D6288" s="21" t="s">
        <v>1180</v>
      </c>
      <c r="E6288" s="22">
        <f>IF(D6288="?OLD","!!!","")</f>
        <v/>
      </c>
      <c r="F6288" s="23" t="str">
        <f>IF(OR(E6288="",E6288="!!!"),"",IF(NOT(ISNA(VLOOKUP(E6288,E$1:E6287,1,FALSE()))),"OLD",IF(AND(E6288&lt;&gt;"",E6288&lt;&gt;"!!!"),"NEW","")))</f>
        <v> </v>
      </c>
      <c r="G6288" s="24" t="str">
        <f>IF(OR(E6288="",E6288="!!!"),"",IF(OR(J6288=0,AND(J6288=1,K6288=1),AND(J6288=1,I6288="SBJ"),AND(J6288=1,I6288=0)),"?IN_FOCUS",IF(J6288&lt;=2,"?ACTIVATED",IF(J6288&lt;&gt;"","?FAMILIAR",IF(F6288="NEW",IF(ISNA(VLOOKUP(E6288,#REF!,1,FALSE())),"?TYPE_IDENTIFIABLE","?REFERENTIAL"),"_")))))</f>
        <v> </v>
      </c>
      <c r="H6288" s="25" t="str">
        <f>IF(J6288&lt;&gt;1,"",IF(I6288="SBJ","CB","?"))</f>
        <v> </v>
      </c>
      <c r="I6288" s="26" t="str">
        <f>IF(OR(E6288="",E6288="!!!",F6288="NEW"),"",INDEX(B6287:B$2,-1+SUMPRODUCT(MAX(ROW(E6287:E$2)*(E6288=E6287:E$2)))))</f>
        <v> </v>
      </c>
      <c r="J6288" s="26" t="str">
        <f>IF(OR(E6288="",E6288="!!!",F6288="NEW"),"",COUNTBLANK(OFFSET(A$1,,,SUMPRODUCT(MAX(ROW(E$2:E6288)*(E6288=E$2:E6288)))))-COUNTBLANK(OFFSET(A$1,,,SUMPRODUCT(MAX(ROW(E$1:E6287)*(E2=E$1:E6287))))))</f>
        <v> </v>
      </c>
      <c r="K6288" s="26" t="str">
        <f>IF(OR(E6288="",E6288="!!!",F6288="NEW"),"",INDEX(J$1:J6287,SUMPRODUCT(MAX(ROW(E$1:E6287)*(E6288=E$1:E6287)))))</f>
        <v> </v>
      </c>
      <c r="L6288" s="27"/>
    </row>
    <row r="6289" spans="1:12">
      <c r="A6289" s="20" t="s">
        <v>2880</v>
      </c>
      <c r="B6289" s="21" t="s">
        <v>1278</v>
      </c>
      <c r="C6289" s="21" t="s">
        <v>1210</v>
      </c>
      <c r="D6289" s="21" t="s">
        <v>1180</v>
      </c>
      <c r="E6289" s="22">
        <f>IF(D6289="?OLD","!!!","")</f>
        <v/>
      </c>
      <c r="F6289" s="23" t="str">
        <f>IF(OR(E6289="",E6289="!!!"),"",IF(NOT(ISNA(VLOOKUP(E6289,E$1:E6288,1,FALSE()))),"OLD",IF(AND(E6289&lt;&gt;"",E6289&lt;&gt;"!!!"),"NEW","")))</f>
        <v> </v>
      </c>
      <c r="G6289" s="24" t="str">
        <f>IF(OR(E6289="",E6289="!!!"),"",IF(OR(J6289=0,AND(J6289=1,K6289=1),AND(J6289=1,I6289="SBJ"),AND(J6289=1,I6289=0)),"?IN_FOCUS",IF(J6289&lt;=2,"?ACTIVATED",IF(J6289&lt;&gt;"","?FAMILIAR",IF(F6289="NEW",IF(ISNA(VLOOKUP(E6289,#REF!,1,FALSE())),"?TYPE_IDENTIFIABLE","?REFERENTIAL"),"_")))))</f>
        <v> </v>
      </c>
      <c r="H6289" s="25" t="str">
        <f>IF(J6289&lt;&gt;1,"",IF(I6289="SBJ","CB","?"))</f>
        <v> </v>
      </c>
      <c r="I6289" s="26" t="str">
        <f>IF(OR(E6289="",E6289="!!!",F6289="NEW"),"",INDEX(B6288:B$2,-1+SUMPRODUCT(MAX(ROW(E6288:E$2)*(E6289=E6288:E$2)))))</f>
        <v> </v>
      </c>
      <c r="J6289" s="26" t="str">
        <f>IF(OR(E6289="",E6289="!!!",F6289="NEW"),"",COUNTBLANK(OFFSET(A$1,,,SUMPRODUCT(MAX(ROW(E$2:E6289)*(E6289=E$2:E6289)))))-COUNTBLANK(OFFSET(A$1,,,SUMPRODUCT(MAX(ROW(E$1:E6288)*(E2=E$1:E6288))))))</f>
        <v> </v>
      </c>
      <c r="K6289" s="26" t="str">
        <f>IF(OR(E6289="",E6289="!!!",F6289="NEW"),"",INDEX(J$1:J6288,SUMPRODUCT(MAX(ROW(E$1:E6288)*(E6289=E$1:E6288)))))</f>
        <v> </v>
      </c>
      <c r="L6289" s="27"/>
    </row>
    <row r="6290" spans="1:12">
      <c r="A6290" s="20" t="s">
        <v>2881</v>
      </c>
      <c r="E6290" s="22">
        <f>IF(D6290="?OLD","!!!","")</f>
        <v/>
      </c>
      <c r="F6290" s="23" t="str">
        <f>IF(OR(E6290="",E6290="!!!"),"",IF(NOT(ISNA(VLOOKUP(E6290,E$1:E6289,1,FALSE()))),"OLD",IF(AND(E6290&lt;&gt;"",E6290&lt;&gt;"!!!"),"NEW","")))</f>
        <v> </v>
      </c>
      <c r="G6290" s="24" t="str">
        <f>IF(OR(E6290="",E6290="!!!"),"",IF(OR(J6290=0,AND(J6290=1,K6290=1),AND(J6290=1,I6290="SBJ"),AND(J6290=1,I6290=0)),"?IN_FOCUS",IF(J6290&lt;=2,"?ACTIVATED",IF(J6290&lt;&gt;"","?FAMILIAR",IF(F6290="NEW",IF(ISNA(VLOOKUP(E6290,#REF!,1,FALSE())),"?TYPE_IDENTIFIABLE","?REFERENTIAL"),"_")))))</f>
        <v> </v>
      </c>
      <c r="H6290" s="25" t="str">
        <f>IF(J6290&lt;&gt;1,"",IF(I6290="SBJ","CB","?"))</f>
        <v> </v>
      </c>
      <c r="I6290" s="26" t="str">
        <f>IF(OR(E6290="",E6290="!!!",F6290="NEW"),"",INDEX(B6289:B$2,-1+SUMPRODUCT(MAX(ROW(E6289:E$2)*(E6290=E6289:E$2)))))</f>
        <v> </v>
      </c>
      <c r="J6290" s="26" t="str">
        <f>IF(OR(E6290="",E6290="!!!",F6290="NEW"),"",COUNTBLANK(OFFSET(A$1,,,SUMPRODUCT(MAX(ROW(E$2:E6290)*(E6290=E$2:E6290)))))-COUNTBLANK(OFFSET(A$1,,,SUMPRODUCT(MAX(ROW(E$1:E6289)*(E2=E$1:E6289))))))</f>
        <v> </v>
      </c>
      <c r="K6290" s="26" t="str">
        <f>IF(OR(E6290="",E6290="!!!",F6290="NEW"),"",INDEX(J$1:J6289,SUMPRODUCT(MAX(ROW(E$1:E6289)*(E6290=E$1:E6289)))))</f>
        <v> </v>
      </c>
      <c r="L6290" s="27"/>
    </row>
    <row r="6291" spans="1:12">
      <c r="A6291" s="20" t="s">
        <v>1185</v>
      </c>
      <c r="E6291" s="22">
        <f>IF(D6291="?OLD","!!!","")</f>
        <v/>
      </c>
      <c r="F6291" s="23" t="str">
        <f>IF(OR(E6291="",E6291="!!!"),"",IF(NOT(ISNA(VLOOKUP(E6291,E$1:E6290,1,FALSE()))),"OLD",IF(AND(E6291&lt;&gt;"",E6291&lt;&gt;"!!!"),"NEW","")))</f>
        <v> </v>
      </c>
      <c r="G6291" s="24" t="str">
        <f>IF(OR(E6291="",E6291="!!!"),"",IF(OR(J6291=0,AND(J6291=1,K6291=1),AND(J6291=1,I6291="SBJ"),AND(J6291=1,I6291=0)),"?IN_FOCUS",IF(J6291&lt;=2,"?ACTIVATED",IF(J6291&lt;&gt;"","?FAMILIAR",IF(F6291="NEW",IF(ISNA(VLOOKUP(E6291,#REF!,1,FALSE())),"?TYPE_IDENTIFIABLE","?REFERENTIAL"),"_")))))</f>
        <v> </v>
      </c>
      <c r="H6291" s="25" t="str">
        <f>IF(J6291&lt;&gt;1,"",IF(I6291="SBJ","CB","?"))</f>
        <v> </v>
      </c>
      <c r="I6291" s="26" t="str">
        <f>IF(OR(E6291="",E6291="!!!",F6291="NEW"),"",INDEX(B6290:B$2,-1+SUMPRODUCT(MAX(ROW(E6290:E$2)*(E6291=E6290:E$2)))))</f>
        <v> </v>
      </c>
      <c r="J6291" s="26" t="str">
        <f>IF(OR(E6291="",E6291="!!!",F6291="NEW"),"",COUNTBLANK(OFFSET(A$1,,,SUMPRODUCT(MAX(ROW(E$2:E6291)*(E6291=E$2:E6291)))))-COUNTBLANK(OFFSET(A$1,,,SUMPRODUCT(MAX(ROW(E$1:E6290)*(E2=E$1:E6290))))))</f>
        <v> </v>
      </c>
      <c r="K6291" s="26" t="str">
        <f>IF(OR(E6291="",E6291="!!!",F6291="NEW"),"",INDEX(J$1:J6290,SUMPRODUCT(MAX(ROW(E$1:E6290)*(E6291=E$1:E6290)))))</f>
        <v> </v>
      </c>
      <c r="L6291" s="27"/>
    </row>
    <row r="6292" spans="1:12">
      <c r="A6292" s="20" t="s">
        <v>1334</v>
      </c>
      <c r="E6292" s="22">
        <f>IF(D6292="?OLD","!!!","")</f>
        <v/>
      </c>
      <c r="F6292" s="23" t="str">
        <f>IF(OR(E6292="",E6292="!!!"),"",IF(NOT(ISNA(VLOOKUP(E6292,E$1:E6291,1,FALSE()))),"OLD",IF(AND(E6292&lt;&gt;"",E6292&lt;&gt;"!!!"),"NEW","")))</f>
        <v> </v>
      </c>
      <c r="G6292" s="24" t="str">
        <f>IF(OR(E6292="",E6292="!!!"),"",IF(OR(J6292=0,AND(J6292=1,K6292=1),AND(J6292=1,I6292="SBJ"),AND(J6292=1,I6292=0)),"?IN_FOCUS",IF(J6292&lt;=2,"?ACTIVATED",IF(J6292&lt;&gt;"","?FAMILIAR",IF(F6292="NEW",IF(ISNA(VLOOKUP(E6292,#REF!,1,FALSE())),"?TYPE_IDENTIFIABLE","?REFERENTIAL"),"_")))))</f>
        <v> </v>
      </c>
      <c r="H6292" s="25" t="str">
        <f>IF(J6292&lt;&gt;1,"",IF(I6292="SBJ","CB","?"))</f>
        <v> </v>
      </c>
      <c r="I6292" s="26" t="str">
        <f>IF(OR(E6292="",E6292="!!!",F6292="NEW"),"",INDEX(B6291:B$2,-1+SUMPRODUCT(MAX(ROW(E6291:E$2)*(E6292=E6291:E$2)))))</f>
        <v> </v>
      </c>
      <c r="J6292" s="26" t="str">
        <f>IF(OR(E6292="",E6292="!!!",F6292="NEW"),"",COUNTBLANK(OFFSET(A$1,,,SUMPRODUCT(MAX(ROW(E$2:E6292)*(E6292=E$2:E6292)))))-COUNTBLANK(OFFSET(A$1,,,SUMPRODUCT(MAX(ROW(E$1:E6291)*(E2=E$1:E6291))))))</f>
        <v> </v>
      </c>
      <c r="K6292" s="26" t="str">
        <f>IF(OR(E6292="",E6292="!!!",F6292="NEW"),"",INDEX(J$1:J6291,SUMPRODUCT(MAX(ROW(E$1:E6291)*(E6292=E$1:E6291)))))</f>
        <v> </v>
      </c>
      <c r="L6292" s="27"/>
    </row>
    <row r="6293" spans="1:12">
      <c r="A6293" s="20" t="s">
        <v>1495</v>
      </c>
      <c r="E6293" s="22">
        <f>IF(D6293="?OLD","!!!","")</f>
        <v/>
      </c>
      <c r="F6293" s="23" t="str">
        <f>IF(OR(E6293="",E6293="!!!"),"",IF(NOT(ISNA(VLOOKUP(E6293,E$1:E6292,1,FALSE()))),"OLD",IF(AND(E6293&lt;&gt;"",E6293&lt;&gt;"!!!"),"NEW","")))</f>
        <v> </v>
      </c>
      <c r="G6293" s="24" t="str">
        <f>IF(OR(E6293="",E6293="!!!"),"",IF(OR(J6293=0,AND(J6293=1,K6293=1),AND(J6293=1,I6293="SBJ"),AND(J6293=1,I6293=0)),"?IN_FOCUS",IF(J6293&lt;=2,"?ACTIVATED",IF(J6293&lt;&gt;"","?FAMILIAR",IF(F6293="NEW",IF(ISNA(VLOOKUP(E6293,#REF!,1,FALSE())),"?TYPE_IDENTIFIABLE","?REFERENTIAL"),"_")))))</f>
        <v> </v>
      </c>
      <c r="H6293" s="25" t="str">
        <f>IF(J6293&lt;&gt;1,"",IF(I6293="SBJ","CB","?"))</f>
        <v> </v>
      </c>
      <c r="I6293" s="26" t="str">
        <f>IF(OR(E6293="",E6293="!!!",F6293="NEW"),"",INDEX(B6292:B$2,-1+SUMPRODUCT(MAX(ROW(E6292:E$2)*(E6293=E6292:E$2)))))</f>
        <v> </v>
      </c>
      <c r="J6293" s="26" t="str">
        <f>IF(OR(E6293="",E6293="!!!",F6293="NEW"),"",COUNTBLANK(OFFSET(A$1,,,SUMPRODUCT(MAX(ROW(E$2:E6293)*(E6293=E$2:E6293)))))-COUNTBLANK(OFFSET(A$1,,,SUMPRODUCT(MAX(ROW(E$1:E6292)*(E2=E$1:E6292))))))</f>
        <v> </v>
      </c>
      <c r="K6293" s="26" t="str">
        <f>IF(OR(E6293="",E6293="!!!",F6293="NEW"),"",INDEX(J$1:J6292,SUMPRODUCT(MAX(ROW(E$1:E6292)*(E6293=E$1:E6292)))))</f>
        <v> </v>
      </c>
      <c r="L6293" s="27"/>
    </row>
    <row r="6294" spans="1:12">
      <c r="A6294" s="20" t="s">
        <v>2202</v>
      </c>
      <c r="E6294" s="22">
        <f>IF(D6294="?OLD","!!!","")</f>
        <v/>
      </c>
      <c r="F6294" s="23" t="str">
        <f>IF(OR(E6294="",E6294="!!!"),"",IF(NOT(ISNA(VLOOKUP(E6294,E$1:E6293,1,FALSE()))),"OLD",IF(AND(E6294&lt;&gt;"",E6294&lt;&gt;"!!!"),"NEW","")))</f>
        <v> </v>
      </c>
      <c r="G6294" s="24" t="str">
        <f>IF(OR(E6294="",E6294="!!!"),"",IF(OR(J6294=0,AND(J6294=1,K6294=1),AND(J6294=1,I6294="SBJ"),AND(J6294=1,I6294=0)),"?IN_FOCUS",IF(J6294&lt;=2,"?ACTIVATED",IF(J6294&lt;&gt;"","?FAMILIAR",IF(F6294="NEW",IF(ISNA(VLOOKUP(E6294,#REF!,1,FALSE())),"?TYPE_IDENTIFIABLE","?REFERENTIAL"),"_")))))</f>
        <v> </v>
      </c>
      <c r="H6294" s="25" t="str">
        <f>IF(J6294&lt;&gt;1,"",IF(I6294="SBJ","CB","?"))</f>
        <v> </v>
      </c>
      <c r="I6294" s="26" t="str">
        <f>IF(OR(E6294="",E6294="!!!",F6294="NEW"),"",INDEX(B6293:B$2,-1+SUMPRODUCT(MAX(ROW(E6293:E$2)*(E6294=E6293:E$2)))))</f>
        <v> </v>
      </c>
      <c r="J6294" s="26" t="str">
        <f>IF(OR(E6294="",E6294="!!!",F6294="NEW"),"",COUNTBLANK(OFFSET(A$1,,,SUMPRODUCT(MAX(ROW(E$2:E6294)*(E6294=E$2:E6294)))))-COUNTBLANK(OFFSET(A$1,,,SUMPRODUCT(MAX(ROW(E$1:E6293)*(E2=E$1:E6293))))))</f>
        <v> </v>
      </c>
      <c r="K6294" s="26" t="str">
        <f>IF(OR(E6294="",E6294="!!!",F6294="NEW"),"",INDEX(J$1:J6293,SUMPRODUCT(MAX(ROW(E$1:E6293)*(E6294=E$1:E6293)))))</f>
        <v> </v>
      </c>
      <c r="L6294" s="27"/>
    </row>
    <row r="6295" spans="1:12">
      <c r="A6295" s="20" t="s">
        <v>2203</v>
      </c>
      <c r="B6295" s="21" t="s">
        <v>1178</v>
      </c>
      <c r="C6295" s="21" t="s">
        <v>1188</v>
      </c>
      <c r="D6295" s="21" t="s">
        <v>1180</v>
      </c>
      <c r="E6295" s="22">
        <f>IF(D6295="?OLD","!!!","")</f>
        <v/>
      </c>
      <c r="F6295" s="23" t="str">
        <f>IF(OR(E6295="",E6295="!!!"),"",IF(NOT(ISNA(VLOOKUP(E6295,E$1:E6294,1,FALSE()))),"OLD",IF(AND(E6295&lt;&gt;"",E6295&lt;&gt;"!!!"),"NEW","")))</f>
        <v> </v>
      </c>
      <c r="G6295" s="24" t="str">
        <f>IF(OR(E6295="",E6295="!!!"),"",IF(OR(J6295=0,AND(J6295=1,K6295=1),AND(J6295=1,I6295="SBJ"),AND(J6295=1,I6295=0)),"?IN_FOCUS",IF(J6295&lt;=2,"?ACTIVATED",IF(J6295&lt;&gt;"","?FAMILIAR",IF(F6295="NEW",IF(ISNA(VLOOKUP(E6295,#REF!,1,FALSE())),"?TYPE_IDENTIFIABLE","?REFERENTIAL"),"_")))))</f>
        <v> </v>
      </c>
      <c r="H6295" s="25" t="str">
        <f>IF(J6295&lt;&gt;1,"",IF(I6295="SBJ","CB","?"))</f>
        <v> </v>
      </c>
      <c r="I6295" s="26" t="str">
        <f>IF(OR(E6295="",E6295="!!!",F6295="NEW"),"",INDEX(B6294:B$2,-1+SUMPRODUCT(MAX(ROW(E6294:E$2)*(E6295=E6294:E$2)))))</f>
        <v> </v>
      </c>
      <c r="J6295" s="26" t="str">
        <f>IF(OR(E6295="",E6295="!!!",F6295="NEW"),"",COUNTBLANK(OFFSET(A$1,,,SUMPRODUCT(MAX(ROW(E$2:E6295)*(E6295=E$2:E6295)))))-COUNTBLANK(OFFSET(A$1,,,SUMPRODUCT(MAX(ROW(E$1:E6294)*(E2=E$1:E6294))))))</f>
        <v> </v>
      </c>
      <c r="K6295" s="26" t="str">
        <f>IF(OR(E6295="",E6295="!!!",F6295="NEW"),"",INDEX(J$1:J6294,SUMPRODUCT(MAX(ROW(E$1:E6294)*(E6295=E$1:E6294)))))</f>
        <v> </v>
      </c>
      <c r="L6295" s="27"/>
    </row>
    <row r="6296" spans="1:12">
      <c r="A6296" s="20" t="s">
        <v>1295</v>
      </c>
      <c r="E6296" s="22">
        <f>IF(D6296="?OLD","!!!","")</f>
        <v/>
      </c>
      <c r="F6296" s="23" t="str">
        <f>IF(OR(E6296="",E6296="!!!"),"",IF(NOT(ISNA(VLOOKUP(E6296,E$1:E6295,1,FALSE()))),"OLD",IF(AND(E6296&lt;&gt;"",E6296&lt;&gt;"!!!"),"NEW","")))</f>
        <v> </v>
      </c>
      <c r="G6296" s="24" t="str">
        <f>IF(OR(E6296="",E6296="!!!"),"",IF(OR(J6296=0,AND(J6296=1,K6296=1),AND(J6296=1,I6296="SBJ"),AND(J6296=1,I6296=0)),"?IN_FOCUS",IF(J6296&lt;=2,"?ACTIVATED",IF(J6296&lt;&gt;"","?FAMILIAR",IF(F6296="NEW",IF(ISNA(VLOOKUP(E6296,#REF!,1,FALSE())),"?TYPE_IDENTIFIABLE","?REFERENTIAL"),"_")))))</f>
        <v> </v>
      </c>
      <c r="H6296" s="25" t="str">
        <f>IF(J6296&lt;&gt;1,"",IF(I6296="SBJ","CB","?"))</f>
        <v> </v>
      </c>
      <c r="I6296" s="26" t="str">
        <f>IF(OR(E6296="",E6296="!!!",F6296="NEW"),"",INDEX(B6295:B$2,-1+SUMPRODUCT(MAX(ROW(E6295:E$2)*(E6296=E6295:E$2)))))</f>
        <v> </v>
      </c>
      <c r="J6296" s="26" t="str">
        <f>IF(OR(E6296="",E6296="!!!",F6296="NEW"),"",COUNTBLANK(OFFSET(A$1,,,SUMPRODUCT(MAX(ROW(E$2:E6296)*(E6296=E$2:E6296)))))-COUNTBLANK(OFFSET(A$1,,,SUMPRODUCT(MAX(ROW(E$1:E6295)*(E2=E$1:E6295))))))</f>
        <v> </v>
      </c>
      <c r="K6296" s="26" t="str">
        <f>IF(OR(E6296="",E6296="!!!",F6296="NEW"),"",INDEX(J$1:J6295,SUMPRODUCT(MAX(ROW(E$1:E6295)*(E6296=E$1:E6295)))))</f>
        <v> </v>
      </c>
      <c r="L6296" s="27"/>
    </row>
    <row r="6297" spans="1:12">
      <c r="A6297" s="20" t="s">
        <v>1186</v>
      </c>
      <c r="E6297" s="22">
        <f>IF(D6297="?OLD","!!!","")</f>
        <v/>
      </c>
      <c r="F6297" s="23" t="str">
        <f>IF(OR(E6297="",E6297="!!!"),"",IF(NOT(ISNA(VLOOKUP(E6297,E$1:E6296,1,FALSE()))),"OLD",IF(AND(E6297&lt;&gt;"",E6297&lt;&gt;"!!!"),"NEW","")))</f>
        <v> </v>
      </c>
      <c r="G6297" s="24" t="str">
        <f>IF(OR(E6297="",E6297="!!!"),"",IF(OR(J6297=0,AND(J6297=1,K6297=1),AND(J6297=1,I6297="SBJ"),AND(J6297=1,I6297=0)),"?IN_FOCUS",IF(J6297&lt;=2,"?ACTIVATED",IF(J6297&lt;&gt;"","?FAMILIAR",IF(F6297="NEW",IF(ISNA(VLOOKUP(E6297,#REF!,1,FALSE())),"?TYPE_IDENTIFIABLE","?REFERENTIAL"),"_")))))</f>
        <v> </v>
      </c>
      <c r="H6297" s="25" t="str">
        <f>IF(J6297&lt;&gt;1,"",IF(I6297="SBJ","CB","?"))</f>
        <v> </v>
      </c>
      <c r="I6297" s="26" t="str">
        <f>IF(OR(E6297="",E6297="!!!",F6297="NEW"),"",INDEX(B6296:B$2,-1+SUMPRODUCT(MAX(ROW(E6296:E$2)*(E6297=E6296:E$2)))))</f>
        <v> </v>
      </c>
      <c r="J6297" s="26" t="str">
        <f>IF(OR(E6297="",E6297="!!!",F6297="NEW"),"",COUNTBLANK(OFFSET(A$1,,,SUMPRODUCT(MAX(ROW(E$2:E6297)*(E6297=E$2:E6297)))))-COUNTBLANK(OFFSET(A$1,,,SUMPRODUCT(MAX(ROW(E$1:E6296)*(E2=E$1:E6296))))))</f>
        <v> </v>
      </c>
      <c r="K6297" s="26" t="str">
        <f>IF(OR(E6297="",E6297="!!!",F6297="NEW"),"",INDEX(J$1:J6296,SUMPRODUCT(MAX(ROW(E$1:E6296)*(E6297=E$1:E6296)))))</f>
        <v> </v>
      </c>
      <c r="L6297" s="27"/>
    </row>
    <row r="6298" spans="1:12">
      <c r="A6298" s="20" t="s">
        <v>2882</v>
      </c>
      <c r="B6298" s="21" t="s">
        <v>1178</v>
      </c>
      <c r="C6298" s="21" t="s">
        <v>1188</v>
      </c>
      <c r="D6298" s="21" t="s">
        <v>1180</v>
      </c>
      <c r="E6298" s="22">
        <f>IF(D6298="?OLD","!!!","")</f>
        <v/>
      </c>
      <c r="F6298" s="23" t="str">
        <f>IF(OR(E6298="",E6298="!!!"),"",IF(NOT(ISNA(VLOOKUP(E6298,E$1:E6297,1,FALSE()))),"OLD",IF(AND(E6298&lt;&gt;"",E6298&lt;&gt;"!!!"),"NEW","")))</f>
        <v> </v>
      </c>
      <c r="G6298" s="24" t="str">
        <f>IF(OR(E6298="",E6298="!!!"),"",IF(OR(J6298=0,AND(J6298=1,K6298=1),AND(J6298=1,I6298="SBJ"),AND(J6298=1,I6298=0)),"?IN_FOCUS",IF(J6298&lt;=2,"?ACTIVATED",IF(J6298&lt;&gt;"","?FAMILIAR",IF(F6298="NEW",IF(ISNA(VLOOKUP(E6298,#REF!,1,FALSE())),"?TYPE_IDENTIFIABLE","?REFERENTIAL"),"_")))))</f>
        <v> </v>
      </c>
      <c r="H6298" s="25" t="str">
        <f>IF(J6298&lt;&gt;1,"",IF(I6298="SBJ","CB","?"))</f>
        <v> </v>
      </c>
      <c r="I6298" s="26" t="str">
        <f>IF(OR(E6298="",E6298="!!!",F6298="NEW"),"",INDEX(B6297:B$2,-1+SUMPRODUCT(MAX(ROW(E6297:E$2)*(E6298=E6297:E$2)))))</f>
        <v> </v>
      </c>
      <c r="J6298" s="26" t="str">
        <f>IF(OR(E6298="",E6298="!!!",F6298="NEW"),"",COUNTBLANK(OFFSET(A$1,,,SUMPRODUCT(MAX(ROW(E$2:E6298)*(E6298=E$2:E6298)))))-COUNTBLANK(OFFSET(A$1,,,SUMPRODUCT(MAX(ROW(E$1:E6297)*(E2=E$1:E6297))))))</f>
        <v> </v>
      </c>
      <c r="K6298" s="26" t="str">
        <f>IF(OR(E6298="",E6298="!!!",F6298="NEW"),"",INDEX(J$1:J6297,SUMPRODUCT(MAX(ROW(E$1:E6297)*(E6298=E$1:E6297)))))</f>
        <v> </v>
      </c>
      <c r="L6298" s="27"/>
    </row>
    <row r="6299" spans="1:12">
      <c r="A6299" s="20" t="s">
        <v>1185</v>
      </c>
      <c r="E6299" s="22">
        <f>IF(D6299="?OLD","!!!","")</f>
        <v/>
      </c>
      <c r="F6299" s="23" t="str">
        <f>IF(OR(E6299="",E6299="!!!"),"",IF(NOT(ISNA(VLOOKUP(E6299,E$1:E6298,1,FALSE()))),"OLD",IF(AND(E6299&lt;&gt;"",E6299&lt;&gt;"!!!"),"NEW","")))</f>
        <v> </v>
      </c>
      <c r="G6299" s="24" t="str">
        <f>IF(OR(E6299="",E6299="!!!"),"",IF(OR(J6299=0,AND(J6299=1,K6299=1),AND(J6299=1,I6299="SBJ"),AND(J6299=1,I6299=0)),"?IN_FOCUS",IF(J6299&lt;=2,"?ACTIVATED",IF(J6299&lt;&gt;"","?FAMILIAR",IF(F6299="NEW",IF(ISNA(VLOOKUP(E6299,#REF!,1,FALSE())),"?TYPE_IDENTIFIABLE","?REFERENTIAL"),"_")))))</f>
        <v> </v>
      </c>
      <c r="H6299" s="25" t="str">
        <f>IF(J6299&lt;&gt;1,"",IF(I6299="SBJ","CB","?"))</f>
        <v> </v>
      </c>
      <c r="I6299" s="26" t="str">
        <f>IF(OR(E6299="",E6299="!!!",F6299="NEW"),"",INDEX(B6298:B$2,-1+SUMPRODUCT(MAX(ROW(E6298:E$2)*(E6299=E6298:E$2)))))</f>
        <v> </v>
      </c>
      <c r="J6299" s="26" t="str">
        <f>IF(OR(E6299="",E6299="!!!",F6299="NEW"),"",COUNTBLANK(OFFSET(A$1,,,SUMPRODUCT(MAX(ROW(E$2:E6299)*(E6299=E$2:E6299)))))-COUNTBLANK(OFFSET(A$1,,,SUMPRODUCT(MAX(ROW(E$1:E6298)*(E2=E$1:E6298))))))</f>
        <v> </v>
      </c>
      <c r="K6299" s="26" t="str">
        <f>IF(OR(E6299="",E6299="!!!",F6299="NEW"),"",INDEX(J$1:J6298,SUMPRODUCT(MAX(ROW(E$1:E6298)*(E6299=E$1:E6298)))))</f>
        <v> </v>
      </c>
      <c r="L6299" s="27"/>
    </row>
    <row r="6300" spans="1:12">
      <c r="A6300" s="20" t="s">
        <v>1186</v>
      </c>
      <c r="B6300" s="21" t="s">
        <v>1304</v>
      </c>
      <c r="E6300" s="22">
        <f>IF(D6300="?OLD","!!!","")</f>
        <v/>
      </c>
      <c r="F6300" s="23" t="str">
        <f>IF(OR(E6300="",E6300="!!!"),"",IF(NOT(ISNA(VLOOKUP(E6300,E$1:E6299,1,FALSE()))),"OLD",IF(AND(E6300&lt;&gt;"",E6300&lt;&gt;"!!!"),"NEW","")))</f>
        <v> </v>
      </c>
      <c r="G6300" s="24" t="str">
        <f>IF(OR(E6300="",E6300="!!!"),"",IF(OR(J6300=0,AND(J6300=1,K6300=1),AND(J6300=1,I6300="SBJ"),AND(J6300=1,I6300=0)),"?IN_FOCUS",IF(J6300&lt;=2,"?ACTIVATED",IF(J6300&lt;&gt;"","?FAMILIAR",IF(F6300="NEW",IF(ISNA(VLOOKUP(E6300,#REF!,1,FALSE())),"?TYPE_IDENTIFIABLE","?REFERENTIAL"),"_")))))</f>
        <v> </v>
      </c>
      <c r="H6300" s="25" t="str">
        <f>IF(J6300&lt;&gt;1,"",IF(I6300="SBJ","CB","?"))</f>
        <v> </v>
      </c>
      <c r="I6300" s="26" t="str">
        <f>IF(OR(E6300="",E6300="!!!",F6300="NEW"),"",INDEX(B6299:B$2,-1+SUMPRODUCT(MAX(ROW(E6299:E$2)*(E6300=E6299:E$2)))))</f>
        <v> </v>
      </c>
      <c r="J6300" s="26" t="str">
        <f>IF(OR(E6300="",E6300="!!!",F6300="NEW"),"",COUNTBLANK(OFFSET(A$1,,,SUMPRODUCT(MAX(ROW(E$2:E6300)*(E6300=E$2:E6300)))))-COUNTBLANK(OFFSET(A$1,,,SUMPRODUCT(MAX(ROW(E$1:E6299)*(E2=E$1:E6299))))))</f>
        <v> </v>
      </c>
      <c r="K6300" s="26" t="str">
        <f>IF(OR(E6300="",E6300="!!!",F6300="NEW"),"",INDEX(J$1:J6299,SUMPRODUCT(MAX(ROW(E$1:E6299)*(E6300=E$1:E6299)))))</f>
        <v> </v>
      </c>
      <c r="L6300" s="27"/>
    </row>
    <row r="6301" spans="1:12">
      <c r="A6301" s="20" t="s">
        <v>1202</v>
      </c>
      <c r="E6301" s="22">
        <f>IF(D6301="?OLD","!!!","")</f>
        <v/>
      </c>
      <c r="F6301" s="23" t="str">
        <f>IF(OR(E6301="",E6301="!!!"),"",IF(NOT(ISNA(VLOOKUP(E6301,E$1:E6300,1,FALSE()))),"OLD",IF(AND(E6301&lt;&gt;"",E6301&lt;&gt;"!!!"),"NEW","")))</f>
        <v> </v>
      </c>
      <c r="G6301" s="24" t="str">
        <f>IF(OR(E6301="",E6301="!!!"),"",IF(OR(J6301=0,AND(J6301=1,K6301=1),AND(J6301=1,I6301="SBJ"),AND(J6301=1,I6301=0)),"?IN_FOCUS",IF(J6301&lt;=2,"?ACTIVATED",IF(J6301&lt;&gt;"","?FAMILIAR",IF(F6301="NEW",IF(ISNA(VLOOKUP(E6301,#REF!,1,FALSE())),"?TYPE_IDENTIFIABLE","?REFERENTIAL"),"_")))))</f>
        <v> </v>
      </c>
      <c r="H6301" s="25" t="str">
        <f>IF(J6301&lt;&gt;1,"",IF(I6301="SBJ","CB","?"))</f>
        <v> </v>
      </c>
      <c r="I6301" s="26" t="str">
        <f>IF(OR(E6301="",E6301="!!!",F6301="NEW"),"",INDEX(B6300:B$2,-1+SUMPRODUCT(MAX(ROW(E6300:E$2)*(E6301=E6300:E$2)))))</f>
        <v> </v>
      </c>
      <c r="J6301" s="26" t="str">
        <f>IF(OR(E6301="",E6301="!!!",F6301="NEW"),"",COUNTBLANK(OFFSET(A$1,,,SUMPRODUCT(MAX(ROW(E$2:E6301)*(E6301=E$2:E6301)))))-COUNTBLANK(OFFSET(A$1,,,SUMPRODUCT(MAX(ROW(E$1:E6300)*(E2=E$1:E6300))))))</f>
        <v> </v>
      </c>
      <c r="K6301" s="26" t="str">
        <f>IF(OR(E6301="",E6301="!!!",F6301="NEW"),"",INDEX(J$1:J6300,SUMPRODUCT(MAX(ROW(E$1:E6300)*(E6301=E$1:E6300)))))</f>
        <v> </v>
      </c>
      <c r="L6301" s="27"/>
    </row>
    <row r="6302" spans="1:12">
      <c r="A6302" s="20" t="s">
        <v>2883</v>
      </c>
      <c r="E6302" s="22">
        <f>IF(D6302="?OLD","!!!","")</f>
        <v/>
      </c>
      <c r="F6302" s="23" t="str">
        <f>IF(OR(E6302="",E6302="!!!"),"",IF(NOT(ISNA(VLOOKUP(E6302,E$1:E6301,1,FALSE()))),"OLD",IF(AND(E6302&lt;&gt;"",E6302&lt;&gt;"!!!"),"NEW","")))</f>
        <v> </v>
      </c>
      <c r="G6302" s="24" t="str">
        <f>IF(OR(E6302="",E6302="!!!"),"",IF(OR(J6302=0,AND(J6302=1,K6302=1),AND(J6302=1,I6302="SBJ"),AND(J6302=1,I6302=0)),"?IN_FOCUS",IF(J6302&lt;=2,"?ACTIVATED",IF(J6302&lt;&gt;"","?FAMILIAR",IF(F6302="NEW",IF(ISNA(VLOOKUP(E6302,#REF!,1,FALSE())),"?TYPE_IDENTIFIABLE","?REFERENTIAL"),"_")))))</f>
        <v> </v>
      </c>
      <c r="H6302" s="25" t="str">
        <f>IF(J6302&lt;&gt;1,"",IF(I6302="SBJ","CB","?"))</f>
        <v> </v>
      </c>
      <c r="I6302" s="26" t="str">
        <f>IF(OR(E6302="",E6302="!!!",F6302="NEW"),"",INDEX(B6301:B$2,-1+SUMPRODUCT(MAX(ROW(E6301:E$2)*(E6302=E6301:E$2)))))</f>
        <v> </v>
      </c>
      <c r="J6302" s="26" t="str">
        <f>IF(OR(E6302="",E6302="!!!",F6302="NEW"),"",COUNTBLANK(OFFSET(A$1,,,SUMPRODUCT(MAX(ROW(E$2:E6302)*(E6302=E$2:E6302)))))-COUNTBLANK(OFFSET(A$1,,,SUMPRODUCT(MAX(ROW(E$1:E6301)*(E2=E$1:E6301))))))</f>
        <v> </v>
      </c>
      <c r="K6302" s="26" t="str">
        <f>IF(OR(E6302="",E6302="!!!",F6302="NEW"),"",INDEX(J$1:J6301,SUMPRODUCT(MAX(ROW(E$1:E6301)*(E6302=E$1:E6301)))))</f>
        <v> </v>
      </c>
      <c r="L6302" s="27"/>
    </row>
    <row r="6303" spans="1:12">
      <c r="A6303" s="20" t="s">
        <v>2884</v>
      </c>
      <c r="E6303" s="22">
        <f>IF(D6303="?OLD","!!!","")</f>
        <v/>
      </c>
      <c r="F6303" s="23" t="str">
        <f>IF(OR(E6303="",E6303="!!!"),"",IF(NOT(ISNA(VLOOKUP(E6303,E$1:E6302,1,FALSE()))),"OLD",IF(AND(E6303&lt;&gt;"",E6303&lt;&gt;"!!!"),"NEW","")))</f>
        <v> </v>
      </c>
      <c r="G6303" s="24" t="str">
        <f>IF(OR(E6303="",E6303="!!!"),"",IF(OR(J6303=0,AND(J6303=1,K6303=1),AND(J6303=1,I6303="SBJ"),AND(J6303=1,I6303=0)),"?IN_FOCUS",IF(J6303&lt;=2,"?ACTIVATED",IF(J6303&lt;&gt;"","?FAMILIAR",IF(F6303="NEW",IF(ISNA(VLOOKUP(E6303,#REF!,1,FALSE())),"?TYPE_IDENTIFIABLE","?REFERENTIAL"),"_")))))</f>
        <v> </v>
      </c>
      <c r="H6303" s="25" t="str">
        <f>IF(J6303&lt;&gt;1,"",IF(I6303="SBJ","CB","?"))</f>
        <v> </v>
      </c>
      <c r="I6303" s="26" t="str">
        <f>IF(OR(E6303="",E6303="!!!",F6303="NEW"),"",INDEX(B6302:B$2,-1+SUMPRODUCT(MAX(ROW(E6302:E$2)*(E6303=E6302:E$2)))))</f>
        <v> </v>
      </c>
      <c r="J6303" s="26" t="str">
        <f>IF(OR(E6303="",E6303="!!!",F6303="NEW"),"",COUNTBLANK(OFFSET(A$1,,,SUMPRODUCT(MAX(ROW(E$2:E6303)*(E6303=E$2:E6303)))))-COUNTBLANK(OFFSET(A$1,,,SUMPRODUCT(MAX(ROW(E$1:E6302)*(E2=E$1:E6302))))))</f>
        <v> </v>
      </c>
      <c r="K6303" s="26" t="str">
        <f>IF(OR(E6303="",E6303="!!!",F6303="NEW"),"",INDEX(J$1:J6302,SUMPRODUCT(MAX(ROW(E$1:E6302)*(E6303=E$1:E6302)))))</f>
        <v> </v>
      </c>
      <c r="L6303" s="27"/>
    </row>
    <row r="6304" spans="1:12">
      <c r="A6304" s="20" t="s">
        <v>2885</v>
      </c>
      <c r="B6304" s="21" t="s">
        <v>1306</v>
      </c>
      <c r="C6304" s="21" t="s">
        <v>1188</v>
      </c>
      <c r="D6304" s="21" t="s">
        <v>1180</v>
      </c>
      <c r="E6304" s="22">
        <f>IF(D6304="?OLD","!!!","")</f>
        <v/>
      </c>
      <c r="F6304" s="23" t="str">
        <f>IF(OR(E6304="",E6304="!!!"),"",IF(NOT(ISNA(VLOOKUP(E6304,E$1:E6303,1,FALSE()))),"OLD",IF(AND(E6304&lt;&gt;"",E6304&lt;&gt;"!!!"),"NEW","")))</f>
        <v> </v>
      </c>
      <c r="G6304" s="24" t="str">
        <f>IF(OR(E6304="",E6304="!!!"),"",IF(OR(J6304=0,AND(J6304=1,K6304=1),AND(J6304=1,I6304="SBJ"),AND(J6304=1,I6304=0)),"?IN_FOCUS",IF(J6304&lt;=2,"?ACTIVATED",IF(J6304&lt;&gt;"","?FAMILIAR",IF(F6304="NEW",IF(ISNA(VLOOKUP(E6304,#REF!,1,FALSE())),"?TYPE_IDENTIFIABLE","?REFERENTIAL"),"_")))))</f>
        <v> </v>
      </c>
      <c r="H6304" s="25" t="str">
        <f>IF(J6304&lt;&gt;1,"",IF(I6304="SBJ","CB","?"))</f>
        <v> </v>
      </c>
      <c r="I6304" s="26" t="str">
        <f>IF(OR(E6304="",E6304="!!!",F6304="NEW"),"",INDEX(B6303:B$2,-1+SUMPRODUCT(MAX(ROW(E6303:E$2)*(E6304=E6303:E$2)))))</f>
        <v> </v>
      </c>
      <c r="J6304" s="26" t="str">
        <f>IF(OR(E6304="",E6304="!!!",F6304="NEW"),"",COUNTBLANK(OFFSET(A$1,,,SUMPRODUCT(MAX(ROW(E$2:E6304)*(E6304=E$2:E6304)))))-COUNTBLANK(OFFSET(A$1,,,SUMPRODUCT(MAX(ROW(E$1:E6303)*(E2=E$1:E6303))))))</f>
        <v> </v>
      </c>
      <c r="K6304" s="26" t="str">
        <f>IF(OR(E6304="",E6304="!!!",F6304="NEW"),"",INDEX(J$1:J6303,SUMPRODUCT(MAX(ROW(E$1:E6303)*(E6304=E$1:E6303)))))</f>
        <v> </v>
      </c>
      <c r="L6304" s="27"/>
    </row>
    <row r="6305" spans="1:12">
      <c r="A6305" s="20" t="s">
        <v>1224</v>
      </c>
      <c r="E6305" s="22">
        <f>IF(D6305="?OLD","!!!","")</f>
        <v/>
      </c>
      <c r="F6305" s="23" t="str">
        <f>IF(OR(E6305="",E6305="!!!"),"",IF(NOT(ISNA(VLOOKUP(E6305,E$1:E6304,1,FALSE()))),"OLD",IF(AND(E6305&lt;&gt;"",E6305&lt;&gt;"!!!"),"NEW","")))</f>
        <v> </v>
      </c>
      <c r="G6305" s="24" t="str">
        <f>IF(OR(E6305="",E6305="!!!"),"",IF(OR(J6305=0,AND(J6305=1,K6305=1),AND(J6305=1,I6305="SBJ"),AND(J6305=1,I6305=0)),"?IN_FOCUS",IF(J6305&lt;=2,"?ACTIVATED",IF(J6305&lt;&gt;"","?FAMILIAR",IF(F6305="NEW",IF(ISNA(VLOOKUP(E6305,#REF!,1,FALSE())),"?TYPE_IDENTIFIABLE","?REFERENTIAL"),"_")))))</f>
        <v> </v>
      </c>
      <c r="H6305" s="25" t="str">
        <f>IF(J6305&lt;&gt;1,"",IF(I6305="SBJ","CB","?"))</f>
        <v> </v>
      </c>
      <c r="I6305" s="26" t="str">
        <f>IF(OR(E6305="",E6305="!!!",F6305="NEW"),"",INDEX(B6304:B$2,-1+SUMPRODUCT(MAX(ROW(E6304:E$2)*(E6305=E6304:E$2)))))</f>
        <v> </v>
      </c>
      <c r="J6305" s="26" t="str">
        <f>IF(OR(E6305="",E6305="!!!",F6305="NEW"),"",COUNTBLANK(OFFSET(A$1,,,SUMPRODUCT(MAX(ROW(E$2:E6305)*(E6305=E$2:E6305)))))-COUNTBLANK(OFFSET(A$1,,,SUMPRODUCT(MAX(ROW(E$1:E6304)*(E2=E$1:E6304))))))</f>
        <v> </v>
      </c>
      <c r="K6305" s="26" t="str">
        <f>IF(OR(E6305="",E6305="!!!",F6305="NEW"),"",INDEX(J$1:J6304,SUMPRODUCT(MAX(ROW(E$1:E6304)*(E6305=E$1:E6304)))))</f>
        <v> </v>
      </c>
      <c r="L6305" s="27"/>
    </row>
    <row r="6306" spans="1:12">
      <c r="A6306" s="20" t="s">
        <v>1202</v>
      </c>
      <c r="E6306" s="22">
        <f>IF(D6306="?OLD","!!!","")</f>
        <v/>
      </c>
      <c r="F6306" s="23" t="str">
        <f>IF(OR(E6306="",E6306="!!!"),"",IF(NOT(ISNA(VLOOKUP(E6306,E$1:E6305,1,FALSE()))),"OLD",IF(AND(E6306&lt;&gt;"",E6306&lt;&gt;"!!!"),"NEW","")))</f>
        <v> </v>
      </c>
      <c r="G6306" s="24" t="str">
        <f>IF(OR(E6306="",E6306="!!!"),"",IF(OR(J6306=0,AND(J6306=1,K6306=1),AND(J6306=1,I6306="SBJ"),AND(J6306=1,I6306=0)),"?IN_FOCUS",IF(J6306&lt;=2,"?ACTIVATED",IF(J6306&lt;&gt;"","?FAMILIAR",IF(F6306="NEW",IF(ISNA(VLOOKUP(E6306,#REF!,1,FALSE())),"?TYPE_IDENTIFIABLE","?REFERENTIAL"),"_")))))</f>
        <v> </v>
      </c>
      <c r="H6306" s="25" t="str">
        <f>IF(J6306&lt;&gt;1,"",IF(I6306="SBJ","CB","?"))</f>
        <v> </v>
      </c>
      <c r="I6306" s="26" t="str">
        <f>IF(OR(E6306="",E6306="!!!",F6306="NEW"),"",INDEX(B6305:B$2,-1+SUMPRODUCT(MAX(ROW(E6305:E$2)*(E6306=E6305:E$2)))))</f>
        <v> </v>
      </c>
      <c r="J6306" s="26" t="str">
        <f>IF(OR(E6306="",E6306="!!!",F6306="NEW"),"",COUNTBLANK(OFFSET(A$1,,,SUMPRODUCT(MAX(ROW(E$2:E6306)*(E6306=E$2:E6306)))))-COUNTBLANK(OFFSET(A$1,,,SUMPRODUCT(MAX(ROW(E$1:E6305)*(E2=E$1:E6305))))))</f>
        <v> </v>
      </c>
      <c r="K6306" s="26" t="str">
        <f>IF(OR(E6306="",E6306="!!!",F6306="NEW"),"",INDEX(J$1:J6305,SUMPRODUCT(MAX(ROW(E$1:E6305)*(E6306=E$1:E6305)))))</f>
        <v> </v>
      </c>
      <c r="L6306" s="27"/>
    </row>
    <row r="6307" spans="1:12">
      <c r="A6307" s="20" t="s">
        <v>1596</v>
      </c>
      <c r="B6307" s="21" t="s">
        <v>1278</v>
      </c>
      <c r="C6307" s="21" t="s">
        <v>1179</v>
      </c>
      <c r="D6307" s="21" t="s">
        <v>1180</v>
      </c>
      <c r="E6307" s="22">
        <f>IF(D6307="?OLD","!!!","")</f>
        <v/>
      </c>
      <c r="F6307" s="23" t="str">
        <f>IF(OR(E6307="",E6307="!!!"),"",IF(NOT(ISNA(VLOOKUP(E6307,E$1:E6306,1,FALSE()))),"OLD",IF(AND(E6307&lt;&gt;"",E6307&lt;&gt;"!!!"),"NEW","")))</f>
        <v> </v>
      </c>
      <c r="G6307" s="24" t="str">
        <f>IF(OR(E6307="",E6307="!!!"),"",IF(OR(J6307=0,AND(J6307=1,K6307=1),AND(J6307=1,I6307="SBJ"),AND(J6307=1,I6307=0)),"?IN_FOCUS",IF(J6307&lt;=2,"?ACTIVATED",IF(J6307&lt;&gt;"","?FAMILIAR",IF(F6307="NEW",IF(ISNA(VLOOKUP(E6307,#REF!,1,FALSE())),"?TYPE_IDENTIFIABLE","?REFERENTIAL"),"_")))))</f>
        <v> </v>
      </c>
      <c r="H6307" s="25" t="str">
        <f>IF(J6307&lt;&gt;1,"",IF(I6307="SBJ","CB","?"))</f>
        <v> </v>
      </c>
      <c r="I6307" s="26" t="str">
        <f>IF(OR(E6307="",E6307="!!!",F6307="NEW"),"",INDEX(B6306:B$2,-1+SUMPRODUCT(MAX(ROW(E6306:E$2)*(E6307=E6306:E$2)))))</f>
        <v> </v>
      </c>
      <c r="J6307" s="26" t="str">
        <f>IF(OR(E6307="",E6307="!!!",F6307="NEW"),"",COUNTBLANK(OFFSET(A$1,,,SUMPRODUCT(MAX(ROW(E$2:E6307)*(E6307=E$2:E6307)))))-COUNTBLANK(OFFSET(A$1,,,SUMPRODUCT(MAX(ROW(E$1:E6306)*(E2=E$1:E6306))))))</f>
        <v> </v>
      </c>
      <c r="K6307" s="26" t="str">
        <f>IF(OR(E6307="",E6307="!!!",F6307="NEW"),"",INDEX(J$1:J6306,SUMPRODUCT(MAX(ROW(E$1:E6306)*(E6307=E$1:E6306)))))</f>
        <v> </v>
      </c>
      <c r="L6307" s="27"/>
    </row>
    <row r="6308" spans="1:12">
      <c r="A6308" s="20" t="s">
        <v>1295</v>
      </c>
      <c r="E6308" s="22">
        <f>IF(D6308="?OLD","!!!","")</f>
        <v/>
      </c>
      <c r="F6308" s="23" t="str">
        <f>IF(OR(E6308="",E6308="!!!"),"",IF(NOT(ISNA(VLOOKUP(E6308,E$1:E6307,1,FALSE()))),"OLD",IF(AND(E6308&lt;&gt;"",E6308&lt;&gt;"!!!"),"NEW","")))</f>
        <v> </v>
      </c>
      <c r="G6308" s="24" t="str">
        <f>IF(OR(E6308="",E6308="!!!"),"",IF(OR(J6308=0,AND(J6308=1,K6308=1),AND(J6308=1,I6308="SBJ"),AND(J6308=1,I6308=0)),"?IN_FOCUS",IF(J6308&lt;=2,"?ACTIVATED",IF(J6308&lt;&gt;"","?FAMILIAR",IF(F6308="NEW",IF(ISNA(VLOOKUP(E6308,#REF!,1,FALSE())),"?TYPE_IDENTIFIABLE","?REFERENTIAL"),"_")))))</f>
        <v> </v>
      </c>
      <c r="H6308" s="25" t="str">
        <f>IF(J6308&lt;&gt;1,"",IF(I6308="SBJ","CB","?"))</f>
        <v> </v>
      </c>
      <c r="I6308" s="26" t="str">
        <f>IF(OR(E6308="",E6308="!!!",F6308="NEW"),"",INDEX(B6307:B$2,-1+SUMPRODUCT(MAX(ROW(E6307:E$2)*(E6308=E6307:E$2)))))</f>
        <v> </v>
      </c>
      <c r="J6308" s="26" t="str">
        <f>IF(OR(E6308="",E6308="!!!",F6308="NEW"),"",COUNTBLANK(OFFSET(A$1,,,SUMPRODUCT(MAX(ROW(E$2:E6308)*(E6308=E$2:E6308)))))-COUNTBLANK(OFFSET(A$1,,,SUMPRODUCT(MAX(ROW(E$1:E6307)*(E2=E$1:E6307))))))</f>
        <v> </v>
      </c>
      <c r="K6308" s="26" t="str">
        <f>IF(OR(E6308="",E6308="!!!",F6308="NEW"),"",INDEX(J$1:J6307,SUMPRODUCT(MAX(ROW(E$1:E6307)*(E6308=E$1:E6307)))))</f>
        <v> </v>
      </c>
      <c r="L6308" s="27"/>
    </row>
    <row r="6309" spans="1:12">
      <c r="A6309" s="20" t="s">
        <v>2886</v>
      </c>
      <c r="E6309" s="22">
        <f>IF(D6309="?OLD","!!!","")</f>
        <v/>
      </c>
      <c r="F6309" s="23" t="str">
        <f>IF(OR(E6309="",E6309="!!!"),"",IF(NOT(ISNA(VLOOKUP(E6309,E$1:E6308,1,FALSE()))),"OLD",IF(AND(E6309&lt;&gt;"",E6309&lt;&gt;"!!!"),"NEW","")))</f>
        <v> </v>
      </c>
      <c r="G6309" s="24" t="str">
        <f>IF(OR(E6309="",E6309="!!!"),"",IF(OR(J6309=0,AND(J6309=1,K6309=1),AND(J6309=1,I6309="SBJ"),AND(J6309=1,I6309=0)),"?IN_FOCUS",IF(J6309&lt;=2,"?ACTIVATED",IF(J6309&lt;&gt;"","?FAMILIAR",IF(F6309="NEW",IF(ISNA(VLOOKUP(E6309,#REF!,1,FALSE())),"?TYPE_IDENTIFIABLE","?REFERENTIAL"),"_")))))</f>
        <v> </v>
      </c>
      <c r="H6309" s="25" t="str">
        <f>IF(J6309&lt;&gt;1,"",IF(I6309="SBJ","CB","?"))</f>
        <v> </v>
      </c>
      <c r="I6309" s="26" t="str">
        <f>IF(OR(E6309="",E6309="!!!",F6309="NEW"),"",INDEX(B6308:B$2,-1+SUMPRODUCT(MAX(ROW(E6308:E$2)*(E6309=E6308:E$2)))))</f>
        <v> </v>
      </c>
      <c r="J6309" s="26" t="str">
        <f>IF(OR(E6309="",E6309="!!!",F6309="NEW"),"",COUNTBLANK(OFFSET(A$1,,,SUMPRODUCT(MAX(ROW(E$2:E6309)*(E6309=E$2:E6309)))))-COUNTBLANK(OFFSET(A$1,,,SUMPRODUCT(MAX(ROW(E$1:E6308)*(E2=E$1:E6308))))))</f>
        <v> </v>
      </c>
      <c r="K6309" s="26" t="str">
        <f>IF(OR(E6309="",E6309="!!!",F6309="NEW"),"",INDEX(J$1:J6308,SUMPRODUCT(MAX(ROW(E$1:E6308)*(E6309=E$1:E6308)))))</f>
        <v> </v>
      </c>
      <c r="L6309" s="27"/>
    </row>
    <row r="6310" spans="1:12">
      <c r="A6310" s="20" t="s">
        <v>1513</v>
      </c>
      <c r="E6310" s="22">
        <f>IF(D6310="?OLD","!!!","")</f>
        <v/>
      </c>
      <c r="F6310" s="23" t="str">
        <f>IF(OR(E6310="",E6310="!!!"),"",IF(NOT(ISNA(VLOOKUP(E6310,E$1:E6309,1,FALSE()))),"OLD",IF(AND(E6310&lt;&gt;"",E6310&lt;&gt;"!!!"),"NEW","")))</f>
        <v> </v>
      </c>
      <c r="G6310" s="24" t="str">
        <f>IF(OR(E6310="",E6310="!!!"),"",IF(OR(J6310=0,AND(J6310=1,K6310=1),AND(J6310=1,I6310="SBJ"),AND(J6310=1,I6310=0)),"?IN_FOCUS",IF(J6310&lt;=2,"?ACTIVATED",IF(J6310&lt;&gt;"","?FAMILIAR",IF(F6310="NEW",IF(ISNA(VLOOKUP(E6310,#REF!,1,FALSE())),"?TYPE_IDENTIFIABLE","?REFERENTIAL"),"_")))))</f>
        <v> </v>
      </c>
      <c r="H6310" s="25" t="str">
        <f>IF(J6310&lt;&gt;1,"",IF(I6310="SBJ","CB","?"))</f>
        <v> </v>
      </c>
      <c r="I6310" s="26" t="str">
        <f>IF(OR(E6310="",E6310="!!!",F6310="NEW"),"",INDEX(B6309:B$2,-1+SUMPRODUCT(MAX(ROW(E6309:E$2)*(E6310=E6309:E$2)))))</f>
        <v> </v>
      </c>
      <c r="J6310" s="26" t="str">
        <f>IF(OR(E6310="",E6310="!!!",F6310="NEW"),"",COUNTBLANK(OFFSET(A$1,,,SUMPRODUCT(MAX(ROW(E$2:E6310)*(E6310=E$2:E6310)))))-COUNTBLANK(OFFSET(A$1,,,SUMPRODUCT(MAX(ROW(E$1:E6309)*(E2=E$1:E6309))))))</f>
        <v> </v>
      </c>
      <c r="K6310" s="26" t="str">
        <f>IF(OR(E6310="",E6310="!!!",F6310="NEW"),"",INDEX(J$1:J6309,SUMPRODUCT(MAX(ROW(E$1:E6309)*(E6310=E$1:E6309)))))</f>
        <v> </v>
      </c>
      <c r="L6310" s="27"/>
    </row>
    <row r="6311" spans="1:12">
      <c r="A6311" s="20" t="s">
        <v>1186</v>
      </c>
      <c r="E6311" s="22">
        <f>IF(D6311="?OLD","!!!","")</f>
        <v/>
      </c>
      <c r="F6311" s="23" t="str">
        <f>IF(OR(E6311="",E6311="!!!"),"",IF(NOT(ISNA(VLOOKUP(E6311,E$1:E6310,1,FALSE()))),"OLD",IF(AND(E6311&lt;&gt;"",E6311&lt;&gt;"!!!"),"NEW","")))</f>
        <v> </v>
      </c>
      <c r="G6311" s="24" t="str">
        <f>IF(OR(E6311="",E6311="!!!"),"",IF(OR(J6311=0,AND(J6311=1,K6311=1),AND(J6311=1,I6311="SBJ"),AND(J6311=1,I6311=0)),"?IN_FOCUS",IF(J6311&lt;=2,"?ACTIVATED",IF(J6311&lt;&gt;"","?FAMILIAR",IF(F6311="NEW",IF(ISNA(VLOOKUP(E6311,#REF!,1,FALSE())),"?TYPE_IDENTIFIABLE","?REFERENTIAL"),"_")))))</f>
        <v> </v>
      </c>
      <c r="H6311" s="25" t="str">
        <f>IF(J6311&lt;&gt;1,"",IF(I6311="SBJ","CB","?"))</f>
        <v> </v>
      </c>
      <c r="I6311" s="26" t="str">
        <f>IF(OR(E6311="",E6311="!!!",F6311="NEW"),"",INDEX(B6310:B$2,-1+SUMPRODUCT(MAX(ROW(E6310:E$2)*(E6311=E6310:E$2)))))</f>
        <v> </v>
      </c>
      <c r="J6311" s="26" t="str">
        <f>IF(OR(E6311="",E6311="!!!",F6311="NEW"),"",COUNTBLANK(OFFSET(A$1,,,SUMPRODUCT(MAX(ROW(E$2:E6311)*(E6311=E$2:E6311)))))-COUNTBLANK(OFFSET(A$1,,,SUMPRODUCT(MAX(ROW(E$1:E6310)*(E2=E$1:E6310))))))</f>
        <v> </v>
      </c>
      <c r="K6311" s="26" t="str">
        <f>IF(OR(E6311="",E6311="!!!",F6311="NEW"),"",INDEX(J$1:J6310,SUMPRODUCT(MAX(ROW(E$1:E6310)*(E6311=E$1:E6310)))))</f>
        <v> </v>
      </c>
      <c r="L6311" s="27"/>
    </row>
    <row r="6312" spans="1:12">
      <c r="A6312" s="20" t="s">
        <v>1329</v>
      </c>
      <c r="B6312" s="21" t="s">
        <v>1207</v>
      </c>
      <c r="C6312" s="21" t="s">
        <v>1188</v>
      </c>
      <c r="D6312" s="21" t="s">
        <v>1180</v>
      </c>
      <c r="E6312" s="22">
        <f>IF(D6312="?OLD","!!!","")</f>
        <v/>
      </c>
      <c r="F6312" s="23" t="str">
        <f>IF(OR(E6312="",E6312="!!!"),"",IF(NOT(ISNA(VLOOKUP(E6312,E$1:E6311,1,FALSE()))),"OLD",IF(AND(E6312&lt;&gt;"",E6312&lt;&gt;"!!!"),"NEW","")))</f>
        <v> </v>
      </c>
      <c r="G6312" s="24" t="str">
        <f>IF(OR(E6312="",E6312="!!!"),"",IF(OR(J6312=0,AND(J6312=1,K6312=1),AND(J6312=1,I6312="SBJ"),AND(J6312=1,I6312=0)),"?IN_FOCUS",IF(J6312&lt;=2,"?ACTIVATED",IF(J6312&lt;&gt;"","?FAMILIAR",IF(F6312="NEW",IF(ISNA(VLOOKUP(E6312,#REF!,1,FALSE())),"?TYPE_IDENTIFIABLE","?REFERENTIAL"),"_")))))</f>
        <v> </v>
      </c>
      <c r="H6312" s="25" t="str">
        <f>IF(J6312&lt;&gt;1,"",IF(I6312="SBJ","CB","?"))</f>
        <v> </v>
      </c>
      <c r="I6312" s="26" t="str">
        <f>IF(OR(E6312="",E6312="!!!",F6312="NEW"),"",INDEX(B6311:B$2,-1+SUMPRODUCT(MAX(ROW(E6311:E$2)*(E6312=E6311:E$2)))))</f>
        <v> </v>
      </c>
      <c r="J6312" s="26" t="str">
        <f>IF(OR(E6312="",E6312="!!!",F6312="NEW"),"",COUNTBLANK(OFFSET(A$1,,,SUMPRODUCT(MAX(ROW(E$2:E6312)*(E6312=E$2:E6312)))))-COUNTBLANK(OFFSET(A$1,,,SUMPRODUCT(MAX(ROW(E$1:E6311)*(E2=E$1:E6311))))))</f>
        <v> </v>
      </c>
      <c r="K6312" s="26" t="str">
        <f>IF(OR(E6312="",E6312="!!!",F6312="NEW"),"",INDEX(J$1:J6311,SUMPRODUCT(MAX(ROW(E$1:E6311)*(E6312=E$1:E6311)))))</f>
        <v> </v>
      </c>
      <c r="L6312" s="27"/>
    </row>
    <row r="6313" spans="1:12">
      <c r="A6313" s="20" t="s">
        <v>2887</v>
      </c>
      <c r="E6313" s="22">
        <f>IF(D6313="?OLD","!!!","")</f>
        <v/>
      </c>
      <c r="F6313" s="23" t="str">
        <f>IF(OR(E6313="",E6313="!!!"),"",IF(NOT(ISNA(VLOOKUP(E6313,E$1:E6312,1,FALSE()))),"OLD",IF(AND(E6313&lt;&gt;"",E6313&lt;&gt;"!!!"),"NEW","")))</f>
        <v> </v>
      </c>
      <c r="G6313" s="24" t="str">
        <f>IF(OR(E6313="",E6313="!!!"),"",IF(OR(J6313=0,AND(J6313=1,K6313=1),AND(J6313=1,I6313="SBJ"),AND(J6313=1,I6313=0)),"?IN_FOCUS",IF(J6313&lt;=2,"?ACTIVATED",IF(J6313&lt;&gt;"","?FAMILIAR",IF(F6313="NEW",IF(ISNA(VLOOKUP(E6313,#REF!,1,FALSE())),"?TYPE_IDENTIFIABLE","?REFERENTIAL"),"_")))))</f>
        <v> </v>
      </c>
      <c r="H6313" s="25" t="str">
        <f>IF(J6313&lt;&gt;1,"",IF(I6313="SBJ","CB","?"))</f>
        <v> </v>
      </c>
      <c r="I6313" s="26" t="str">
        <f>IF(OR(E6313="",E6313="!!!",F6313="NEW"),"",INDEX(B6312:B$2,-1+SUMPRODUCT(MAX(ROW(E6312:E$2)*(E6313=E6312:E$2)))))</f>
        <v> </v>
      </c>
      <c r="J6313" s="26" t="str">
        <f>IF(OR(E6313="",E6313="!!!",F6313="NEW"),"",COUNTBLANK(OFFSET(A$1,,,SUMPRODUCT(MAX(ROW(E$2:E6313)*(E6313=E$2:E6313)))))-COUNTBLANK(OFFSET(A$1,,,SUMPRODUCT(MAX(ROW(E$1:E6312)*(E2=E$1:E6312))))))</f>
        <v> </v>
      </c>
      <c r="K6313" s="26" t="str">
        <f>IF(OR(E6313="",E6313="!!!",F6313="NEW"),"",INDEX(J$1:J6312,SUMPRODUCT(MAX(ROW(E$1:E6312)*(E6313=E$1:E6312)))))</f>
        <v> </v>
      </c>
      <c r="L6313" s="27"/>
    </row>
    <row r="6314" spans="1:12">
      <c r="A6314" s="20" t="s">
        <v>1185</v>
      </c>
      <c r="E6314" s="22">
        <f>IF(D6314="?OLD","!!!","")</f>
        <v/>
      </c>
      <c r="F6314" s="23" t="str">
        <f>IF(OR(E6314="",E6314="!!!"),"",IF(NOT(ISNA(VLOOKUP(E6314,E$1:E6313,1,FALSE()))),"OLD",IF(AND(E6314&lt;&gt;"",E6314&lt;&gt;"!!!"),"NEW","")))</f>
        <v> </v>
      </c>
      <c r="G6314" s="24" t="str">
        <f>IF(OR(E6314="",E6314="!!!"),"",IF(OR(J6314=0,AND(J6314=1,K6314=1),AND(J6314=1,I6314="SBJ"),AND(J6314=1,I6314=0)),"?IN_FOCUS",IF(J6314&lt;=2,"?ACTIVATED",IF(J6314&lt;&gt;"","?FAMILIAR",IF(F6314="NEW",IF(ISNA(VLOOKUP(E6314,#REF!,1,FALSE())),"?TYPE_IDENTIFIABLE","?REFERENTIAL"),"_")))))</f>
        <v> </v>
      </c>
      <c r="H6314" s="25" t="str">
        <f>IF(J6314&lt;&gt;1,"",IF(I6314="SBJ","CB","?"))</f>
        <v> </v>
      </c>
      <c r="I6314" s="26" t="str">
        <f>IF(OR(E6314="",E6314="!!!",F6314="NEW"),"",INDEX(B6313:B$2,-1+SUMPRODUCT(MAX(ROW(E6313:E$2)*(E6314=E6313:E$2)))))</f>
        <v> </v>
      </c>
      <c r="J6314" s="26" t="str">
        <f>IF(OR(E6314="",E6314="!!!",F6314="NEW"),"",COUNTBLANK(OFFSET(A$1,,,SUMPRODUCT(MAX(ROW(E$2:E6314)*(E6314=E$2:E6314)))))-COUNTBLANK(OFFSET(A$1,,,SUMPRODUCT(MAX(ROW(E$1:E6313)*(E2=E$1:E6313))))))</f>
        <v> </v>
      </c>
      <c r="K6314" s="26" t="str">
        <f>IF(OR(E6314="",E6314="!!!",F6314="NEW"),"",INDEX(J$1:J6313,SUMPRODUCT(MAX(ROW(E$1:E6313)*(E6314=E$1:E6313)))))</f>
        <v> </v>
      </c>
      <c r="L6314" s="27"/>
    </row>
    <row r="6315" spans="1:12">
      <c r="A6315" s="20" t="s">
        <v>1295</v>
      </c>
      <c r="E6315" s="22">
        <f>IF(D6315="?OLD","!!!","")</f>
        <v/>
      </c>
      <c r="F6315" s="23" t="str">
        <f>IF(OR(E6315="",E6315="!!!"),"",IF(NOT(ISNA(VLOOKUP(E6315,E$1:E6314,1,FALSE()))),"OLD",IF(AND(E6315&lt;&gt;"",E6315&lt;&gt;"!!!"),"NEW","")))</f>
        <v> </v>
      </c>
      <c r="G6315" s="24" t="str">
        <f>IF(OR(E6315="",E6315="!!!"),"",IF(OR(J6315=0,AND(J6315=1,K6315=1),AND(J6315=1,I6315="SBJ"),AND(J6315=1,I6315=0)),"?IN_FOCUS",IF(J6315&lt;=2,"?ACTIVATED",IF(J6315&lt;&gt;"","?FAMILIAR",IF(F6315="NEW",IF(ISNA(VLOOKUP(E6315,#REF!,1,FALSE())),"?TYPE_IDENTIFIABLE","?REFERENTIAL"),"_")))))</f>
        <v> </v>
      </c>
      <c r="H6315" s="25" t="str">
        <f>IF(J6315&lt;&gt;1,"",IF(I6315="SBJ","CB","?"))</f>
        <v> </v>
      </c>
      <c r="I6315" s="26" t="str">
        <f>IF(OR(E6315="",E6315="!!!",F6315="NEW"),"",INDEX(B6314:B$2,-1+SUMPRODUCT(MAX(ROW(E6314:E$2)*(E6315=E6314:E$2)))))</f>
        <v> </v>
      </c>
      <c r="J6315" s="26" t="str">
        <f>IF(OR(E6315="",E6315="!!!",F6315="NEW"),"",COUNTBLANK(OFFSET(A$1,,,SUMPRODUCT(MAX(ROW(E$2:E6315)*(E6315=E$2:E6315)))))-COUNTBLANK(OFFSET(A$1,,,SUMPRODUCT(MAX(ROW(E$1:E6314)*(E2=E$1:E6314))))))</f>
        <v> </v>
      </c>
      <c r="K6315" s="26" t="str">
        <f>IF(OR(E6315="",E6315="!!!",F6315="NEW"),"",INDEX(J$1:J6314,SUMPRODUCT(MAX(ROW(E$1:E6314)*(E6315=E$1:E6314)))))</f>
        <v> </v>
      </c>
      <c r="L6315" s="27"/>
    </row>
    <row r="6316" spans="1:12">
      <c r="A6316" s="20" t="s">
        <v>1263</v>
      </c>
      <c r="B6316" s="21" t="s">
        <v>1240</v>
      </c>
      <c r="C6316" s="21" t="s">
        <v>1195</v>
      </c>
      <c r="D6316" s="21" t="s">
        <v>1180</v>
      </c>
      <c r="E6316" s="22">
        <f>IF(D6316="?OLD","!!!","")</f>
        <v/>
      </c>
      <c r="F6316" s="23" t="str">
        <f>IF(OR(E6316="",E6316="!!!"),"",IF(NOT(ISNA(VLOOKUP(E6316,E$1:E6315,1,FALSE()))),"OLD",IF(AND(E6316&lt;&gt;"",E6316&lt;&gt;"!!!"),"NEW","")))</f>
        <v> </v>
      </c>
      <c r="G6316" s="24" t="str">
        <f>IF(OR(E6316="",E6316="!!!"),"",IF(OR(J6316=0,AND(J6316=1,K6316=1),AND(J6316=1,I6316="SBJ"),AND(J6316=1,I6316=0)),"?IN_FOCUS",IF(J6316&lt;=2,"?ACTIVATED",IF(J6316&lt;&gt;"","?FAMILIAR",IF(F6316="NEW",IF(ISNA(VLOOKUP(E6316,#REF!,1,FALSE())),"?TYPE_IDENTIFIABLE","?REFERENTIAL"),"_")))))</f>
        <v> </v>
      </c>
      <c r="H6316" s="25" t="str">
        <f>IF(J6316&lt;&gt;1,"",IF(I6316="SBJ","CB","?"))</f>
        <v> </v>
      </c>
      <c r="I6316" s="26" t="str">
        <f>IF(OR(E6316="",E6316="!!!",F6316="NEW"),"",INDEX(B6315:B$2,-1+SUMPRODUCT(MAX(ROW(E6315:E$2)*(E6316=E6315:E$2)))))</f>
        <v> </v>
      </c>
      <c r="J6316" s="26" t="str">
        <f>IF(OR(E6316="",E6316="!!!",F6316="NEW"),"",COUNTBLANK(OFFSET(A$1,,,SUMPRODUCT(MAX(ROW(E$2:E6316)*(E6316=E$2:E6316)))))-COUNTBLANK(OFFSET(A$1,,,SUMPRODUCT(MAX(ROW(E$1:E6315)*(E2=E$1:E6315))))))</f>
        <v> </v>
      </c>
      <c r="K6316" s="26" t="str">
        <f>IF(OR(E6316="",E6316="!!!",F6316="NEW"),"",INDEX(J$1:J6315,SUMPRODUCT(MAX(ROW(E$1:E6315)*(E6316=E$1:E6315)))))</f>
        <v> </v>
      </c>
      <c r="L6316" s="27"/>
    </row>
    <row r="6317" spans="1:12">
      <c r="A6317" s="20" t="s">
        <v>1647</v>
      </c>
      <c r="E6317" s="22">
        <f>IF(D6317="?OLD","!!!","")</f>
        <v/>
      </c>
      <c r="F6317" s="23" t="str">
        <f>IF(OR(E6317="",E6317="!!!"),"",IF(NOT(ISNA(VLOOKUP(E6317,E$1:E6316,1,FALSE()))),"OLD",IF(AND(E6317&lt;&gt;"",E6317&lt;&gt;"!!!"),"NEW","")))</f>
        <v> </v>
      </c>
      <c r="G6317" s="24" t="str">
        <f>IF(OR(E6317="",E6317="!!!"),"",IF(OR(J6317=0,AND(J6317=1,K6317=1),AND(J6317=1,I6317="SBJ"),AND(J6317=1,I6317=0)),"?IN_FOCUS",IF(J6317&lt;=2,"?ACTIVATED",IF(J6317&lt;&gt;"","?FAMILIAR",IF(F6317="NEW",IF(ISNA(VLOOKUP(E6317,#REF!,1,FALSE())),"?TYPE_IDENTIFIABLE","?REFERENTIAL"),"_")))))</f>
        <v> </v>
      </c>
      <c r="H6317" s="25" t="str">
        <f>IF(J6317&lt;&gt;1,"",IF(I6317="SBJ","CB","?"))</f>
        <v> </v>
      </c>
      <c r="I6317" s="26" t="str">
        <f>IF(OR(E6317="",E6317="!!!",F6317="NEW"),"",INDEX(B6316:B$2,-1+SUMPRODUCT(MAX(ROW(E6316:E$2)*(E6317=E6316:E$2)))))</f>
        <v> </v>
      </c>
      <c r="J6317" s="26" t="str">
        <f>IF(OR(E6317="",E6317="!!!",F6317="NEW"),"",COUNTBLANK(OFFSET(A$1,,,SUMPRODUCT(MAX(ROW(E$2:E6317)*(E6317=E$2:E6317)))))-COUNTBLANK(OFFSET(A$1,,,SUMPRODUCT(MAX(ROW(E$1:E6316)*(E2=E$1:E6316))))))</f>
        <v> </v>
      </c>
      <c r="K6317" s="26" t="str">
        <f>IF(OR(E6317="",E6317="!!!",F6317="NEW"),"",INDEX(J$1:J6316,SUMPRODUCT(MAX(ROW(E$1:E6316)*(E6317=E$1:E6316)))))</f>
        <v> </v>
      </c>
      <c r="L6317" s="27"/>
    </row>
    <row r="6318" spans="1:12">
      <c r="A6318" s="20" t="s">
        <v>1185</v>
      </c>
      <c r="E6318" s="22">
        <f>IF(D6318="?OLD","!!!","")</f>
        <v/>
      </c>
      <c r="F6318" s="23" t="str">
        <f>IF(OR(E6318="",E6318="!!!"),"",IF(NOT(ISNA(VLOOKUP(E6318,E$1:E6317,1,FALSE()))),"OLD",IF(AND(E6318&lt;&gt;"",E6318&lt;&gt;"!!!"),"NEW","")))</f>
        <v> </v>
      </c>
      <c r="G6318" s="24" t="str">
        <f>IF(OR(E6318="",E6318="!!!"),"",IF(OR(J6318=0,AND(J6318=1,K6318=1),AND(J6318=1,I6318="SBJ"),AND(J6318=1,I6318=0)),"?IN_FOCUS",IF(J6318&lt;=2,"?ACTIVATED",IF(J6318&lt;&gt;"","?FAMILIAR",IF(F6318="NEW",IF(ISNA(VLOOKUP(E6318,#REF!,1,FALSE())),"?TYPE_IDENTIFIABLE","?REFERENTIAL"),"_")))))</f>
        <v> </v>
      </c>
      <c r="H6318" s="25" t="str">
        <f>IF(J6318&lt;&gt;1,"",IF(I6318="SBJ","CB","?"))</f>
        <v> </v>
      </c>
      <c r="I6318" s="26" t="str">
        <f>IF(OR(E6318="",E6318="!!!",F6318="NEW"),"",INDEX(B6317:B$2,-1+SUMPRODUCT(MAX(ROW(E6317:E$2)*(E6318=E6317:E$2)))))</f>
        <v> </v>
      </c>
      <c r="J6318" s="26" t="str">
        <f>IF(OR(E6318="",E6318="!!!",F6318="NEW"),"",COUNTBLANK(OFFSET(A$1,,,SUMPRODUCT(MAX(ROW(E$2:E6318)*(E6318=E$2:E6318)))))-COUNTBLANK(OFFSET(A$1,,,SUMPRODUCT(MAX(ROW(E$1:E6317)*(E2=E$1:E6317))))))</f>
        <v> </v>
      </c>
      <c r="K6318" s="26" t="str">
        <f>IF(OR(E6318="",E6318="!!!",F6318="NEW"),"",INDEX(J$1:J6317,SUMPRODUCT(MAX(ROW(E$1:E6317)*(E6318=E$1:E6317)))))</f>
        <v> </v>
      </c>
      <c r="L6318" s="27"/>
    </row>
    <row r="6319" spans="1:12">
      <c r="A6319" s="20" t="s">
        <v>1310</v>
      </c>
      <c r="E6319" s="22">
        <f>IF(D6319="?OLD","!!!","")</f>
        <v/>
      </c>
      <c r="F6319" s="23" t="str">
        <f>IF(OR(E6319="",E6319="!!!"),"",IF(NOT(ISNA(VLOOKUP(E6319,E$1:E6318,1,FALSE()))),"OLD",IF(AND(E6319&lt;&gt;"",E6319&lt;&gt;"!!!"),"NEW","")))</f>
        <v> </v>
      </c>
      <c r="G6319" s="24" t="str">
        <f>IF(OR(E6319="",E6319="!!!"),"",IF(OR(J6319=0,AND(J6319=1,K6319=1),AND(J6319=1,I6319="SBJ"),AND(J6319=1,I6319=0)),"?IN_FOCUS",IF(J6319&lt;=2,"?ACTIVATED",IF(J6319&lt;&gt;"","?FAMILIAR",IF(F6319="NEW",IF(ISNA(VLOOKUP(E6319,#REF!,1,FALSE())),"?TYPE_IDENTIFIABLE","?REFERENTIAL"),"_")))))</f>
        <v> </v>
      </c>
      <c r="H6319" s="25" t="str">
        <f>IF(J6319&lt;&gt;1,"",IF(I6319="SBJ","CB","?"))</f>
        <v> </v>
      </c>
      <c r="I6319" s="26" t="str">
        <f>IF(OR(E6319="",E6319="!!!",F6319="NEW"),"",INDEX(B6318:B$2,-1+SUMPRODUCT(MAX(ROW(E6318:E$2)*(E6319=E6318:E$2)))))</f>
        <v> </v>
      </c>
      <c r="J6319" s="26" t="str">
        <f>IF(OR(E6319="",E6319="!!!",F6319="NEW"),"",COUNTBLANK(OFFSET(A$1,,,SUMPRODUCT(MAX(ROW(E$2:E6319)*(E6319=E$2:E6319)))))-COUNTBLANK(OFFSET(A$1,,,SUMPRODUCT(MAX(ROW(E$1:E6318)*(E2=E$1:E6318))))))</f>
        <v> </v>
      </c>
      <c r="K6319" s="26" t="str">
        <f>IF(OR(E6319="",E6319="!!!",F6319="NEW"),"",INDEX(J$1:J6318,SUMPRODUCT(MAX(ROW(E$1:E6318)*(E6319=E$1:E6318)))))</f>
        <v> </v>
      </c>
      <c r="L6319" s="27"/>
    </row>
    <row r="6320" spans="1:12">
      <c r="A6320" s="20" t="s">
        <v>1186</v>
      </c>
      <c r="E6320" s="22">
        <f>IF(D6320="?OLD","!!!","")</f>
        <v/>
      </c>
      <c r="F6320" s="23" t="str">
        <f>IF(OR(E6320="",E6320="!!!"),"",IF(NOT(ISNA(VLOOKUP(E6320,E$1:E6319,1,FALSE()))),"OLD",IF(AND(E6320&lt;&gt;"",E6320&lt;&gt;"!!!"),"NEW","")))</f>
        <v> </v>
      </c>
      <c r="G6320" s="24" t="str">
        <f>IF(OR(E6320="",E6320="!!!"),"",IF(OR(J6320=0,AND(J6320=1,K6320=1),AND(J6320=1,I6320="SBJ"),AND(J6320=1,I6320=0)),"?IN_FOCUS",IF(J6320&lt;=2,"?ACTIVATED",IF(J6320&lt;&gt;"","?FAMILIAR",IF(F6320="NEW",IF(ISNA(VLOOKUP(E6320,#REF!,1,FALSE())),"?TYPE_IDENTIFIABLE","?REFERENTIAL"),"_")))))</f>
        <v> </v>
      </c>
      <c r="H6320" s="25" t="str">
        <f>IF(J6320&lt;&gt;1,"",IF(I6320="SBJ","CB","?"))</f>
        <v> </v>
      </c>
      <c r="I6320" s="26" t="str">
        <f>IF(OR(E6320="",E6320="!!!",F6320="NEW"),"",INDEX(B6319:B$2,-1+SUMPRODUCT(MAX(ROW(E6319:E$2)*(E6320=E6319:E$2)))))</f>
        <v> </v>
      </c>
      <c r="J6320" s="26" t="str">
        <f>IF(OR(E6320="",E6320="!!!",F6320="NEW"),"",COUNTBLANK(OFFSET(A$1,,,SUMPRODUCT(MAX(ROW(E$2:E6320)*(E6320=E$2:E6320)))))-COUNTBLANK(OFFSET(A$1,,,SUMPRODUCT(MAX(ROW(E$1:E6319)*(E2=E$1:E6319))))))</f>
        <v> </v>
      </c>
      <c r="K6320" s="26" t="str">
        <f>IF(OR(E6320="",E6320="!!!",F6320="NEW"),"",INDEX(J$1:J6319,SUMPRODUCT(MAX(ROW(E$1:E6319)*(E6320=E$1:E6319)))))</f>
        <v> </v>
      </c>
      <c r="L6320" s="27"/>
    </row>
    <row r="6321" spans="1:12">
      <c r="A6321" s="20" t="s">
        <v>1514</v>
      </c>
      <c r="B6321" s="21" t="s">
        <v>1304</v>
      </c>
      <c r="C6321" s="21" t="s">
        <v>1188</v>
      </c>
      <c r="D6321" s="21" t="s">
        <v>1180</v>
      </c>
      <c r="E6321" s="22">
        <f>IF(D6321="?OLD","!!!","")</f>
        <v/>
      </c>
      <c r="F6321" s="23" t="str">
        <f>IF(OR(E6321="",E6321="!!!"),"",IF(NOT(ISNA(VLOOKUP(E6321,E$1:E6320,1,FALSE()))),"OLD",IF(AND(E6321&lt;&gt;"",E6321&lt;&gt;"!!!"),"NEW","")))</f>
        <v> </v>
      </c>
      <c r="G6321" s="24" t="str">
        <f>IF(OR(E6321="",E6321="!!!"),"",IF(OR(J6321=0,AND(J6321=1,K6321=1),AND(J6321=1,I6321="SBJ"),AND(J6321=1,I6321=0)),"?IN_FOCUS",IF(J6321&lt;=2,"?ACTIVATED",IF(J6321&lt;&gt;"","?FAMILIAR",IF(F6321="NEW",IF(ISNA(VLOOKUP(E6321,#REF!,1,FALSE())),"?TYPE_IDENTIFIABLE","?REFERENTIAL"),"_")))))</f>
        <v> </v>
      </c>
      <c r="H6321" s="25" t="str">
        <f>IF(J6321&lt;&gt;1,"",IF(I6321="SBJ","CB","?"))</f>
        <v> </v>
      </c>
      <c r="I6321" s="26" t="str">
        <f>IF(OR(E6321="",E6321="!!!",F6321="NEW"),"",INDEX(B6320:B$2,-1+SUMPRODUCT(MAX(ROW(E6320:E$2)*(E6321=E6320:E$2)))))</f>
        <v> </v>
      </c>
      <c r="J6321" s="26" t="str">
        <f>IF(OR(E6321="",E6321="!!!",F6321="NEW"),"",COUNTBLANK(OFFSET(A$1,,,SUMPRODUCT(MAX(ROW(E$2:E6321)*(E6321=E$2:E6321)))))-COUNTBLANK(OFFSET(A$1,,,SUMPRODUCT(MAX(ROW(E$1:E6320)*(E2=E$1:E6320))))))</f>
        <v> </v>
      </c>
      <c r="K6321" s="26" t="str">
        <f>IF(OR(E6321="",E6321="!!!",F6321="NEW"),"",INDEX(J$1:J6320,SUMPRODUCT(MAX(ROW(E$1:E6320)*(E6321=E$1:E6320)))))</f>
        <v> </v>
      </c>
      <c r="L6321" s="27"/>
    </row>
    <row r="6322" spans="1:12">
      <c r="A6322" s="20" t="s">
        <v>2042</v>
      </c>
      <c r="E6322" s="22">
        <f>IF(D6322="?OLD","!!!","")</f>
        <v/>
      </c>
      <c r="F6322" s="23" t="str">
        <f>IF(OR(E6322="",E6322="!!!"),"",IF(NOT(ISNA(VLOOKUP(E6322,E$1:E6321,1,FALSE()))),"OLD",IF(AND(E6322&lt;&gt;"",E6322&lt;&gt;"!!!"),"NEW","")))</f>
        <v> </v>
      </c>
      <c r="G6322" s="24" t="str">
        <f>IF(OR(E6322="",E6322="!!!"),"",IF(OR(J6322=0,AND(J6322=1,K6322=1),AND(J6322=1,I6322="SBJ"),AND(J6322=1,I6322=0)),"?IN_FOCUS",IF(J6322&lt;=2,"?ACTIVATED",IF(J6322&lt;&gt;"","?FAMILIAR",IF(F6322="NEW",IF(ISNA(VLOOKUP(E6322,#REF!,1,FALSE())),"?TYPE_IDENTIFIABLE","?REFERENTIAL"),"_")))))</f>
        <v> </v>
      </c>
      <c r="H6322" s="25" t="str">
        <f>IF(J6322&lt;&gt;1,"",IF(I6322="SBJ","CB","?"))</f>
        <v> </v>
      </c>
      <c r="I6322" s="26" t="str">
        <f>IF(OR(E6322="",E6322="!!!",F6322="NEW"),"",INDEX(B6321:B$2,-1+SUMPRODUCT(MAX(ROW(E6321:E$2)*(E6322=E6321:E$2)))))</f>
        <v> </v>
      </c>
      <c r="J6322" s="26" t="str">
        <f>IF(OR(E6322="",E6322="!!!",F6322="NEW"),"",COUNTBLANK(OFFSET(A$1,,,SUMPRODUCT(MAX(ROW(E$2:E6322)*(E6322=E$2:E6322)))))-COUNTBLANK(OFFSET(A$1,,,SUMPRODUCT(MAX(ROW(E$1:E6321)*(E2=E$1:E6321))))))</f>
        <v> </v>
      </c>
      <c r="K6322" s="26" t="str">
        <f>IF(OR(E6322="",E6322="!!!",F6322="NEW"),"",INDEX(J$1:J6321,SUMPRODUCT(MAX(ROW(E$1:E6321)*(E6322=E$1:E6321)))))</f>
        <v> </v>
      </c>
      <c r="L6322" s="27"/>
    </row>
    <row r="6323" spans="1:12">
      <c r="A6323" s="20" t="s">
        <v>1185</v>
      </c>
      <c r="E6323" s="22">
        <f>IF(D6323="?OLD","!!!","")</f>
        <v/>
      </c>
      <c r="F6323" s="23" t="str">
        <f>IF(OR(E6323="",E6323="!!!"),"",IF(NOT(ISNA(VLOOKUP(E6323,E$1:E6322,1,FALSE()))),"OLD",IF(AND(E6323&lt;&gt;"",E6323&lt;&gt;"!!!"),"NEW","")))</f>
        <v> </v>
      </c>
      <c r="G6323" s="24" t="str">
        <f>IF(OR(E6323="",E6323="!!!"),"",IF(OR(J6323=0,AND(J6323=1,K6323=1),AND(J6323=1,I6323="SBJ"),AND(J6323=1,I6323=0)),"?IN_FOCUS",IF(J6323&lt;=2,"?ACTIVATED",IF(J6323&lt;&gt;"","?FAMILIAR",IF(F6323="NEW",IF(ISNA(VLOOKUP(E6323,#REF!,1,FALSE())),"?TYPE_IDENTIFIABLE","?REFERENTIAL"),"_")))))</f>
        <v> </v>
      </c>
      <c r="H6323" s="25" t="str">
        <f>IF(J6323&lt;&gt;1,"",IF(I6323="SBJ","CB","?"))</f>
        <v> </v>
      </c>
      <c r="I6323" s="26" t="str">
        <f>IF(OR(E6323="",E6323="!!!",F6323="NEW"),"",INDEX(B6322:B$2,-1+SUMPRODUCT(MAX(ROW(E6322:E$2)*(E6323=E6322:E$2)))))</f>
        <v> </v>
      </c>
      <c r="J6323" s="26" t="str">
        <f>IF(OR(E6323="",E6323="!!!",F6323="NEW"),"",COUNTBLANK(OFFSET(A$1,,,SUMPRODUCT(MAX(ROW(E$2:E6323)*(E6323=E$2:E6323)))))-COUNTBLANK(OFFSET(A$1,,,SUMPRODUCT(MAX(ROW(E$1:E6322)*(E2=E$1:E6322))))))</f>
        <v> </v>
      </c>
      <c r="K6323" s="26" t="str">
        <f>IF(OR(E6323="",E6323="!!!",F6323="NEW"),"",INDEX(J$1:J6322,SUMPRODUCT(MAX(ROW(E$1:E6322)*(E6323=E$1:E6322)))))</f>
        <v> </v>
      </c>
      <c r="L6323" s="27"/>
    </row>
    <row r="6324" spans="1:12">
      <c r="A6324" s="20" t="s">
        <v>427</v>
      </c>
      <c r="B6324" s="21" t="s">
        <v>1289</v>
      </c>
      <c r="C6324" s="21" t="s">
        <v>1238</v>
      </c>
      <c r="D6324" s="21" t="s">
        <v>1180</v>
      </c>
      <c r="E6324" s="22">
        <f>IF(D6324="?OLD","!!!","")</f>
        <v/>
      </c>
      <c r="F6324" s="23" t="str">
        <f>IF(OR(E6324="",E6324="!!!"),"",IF(NOT(ISNA(VLOOKUP(E6324,E$1:E6323,1,FALSE()))),"OLD",IF(AND(E6324&lt;&gt;"",E6324&lt;&gt;"!!!"),"NEW","")))</f>
        <v> </v>
      </c>
      <c r="G6324" s="24" t="str">
        <f>IF(OR(E6324="",E6324="!!!"),"",IF(OR(J6324=0,AND(J6324=1,K6324=1),AND(J6324=1,I6324="SBJ"),AND(J6324=1,I6324=0)),"?IN_FOCUS",IF(J6324&lt;=2,"?ACTIVATED",IF(J6324&lt;&gt;"","?FAMILIAR",IF(F6324="NEW",IF(ISNA(VLOOKUP(E6324,#REF!,1,FALSE())),"?TYPE_IDENTIFIABLE","?REFERENTIAL"),"_")))))</f>
        <v> </v>
      </c>
      <c r="H6324" s="25" t="str">
        <f>IF(J6324&lt;&gt;1,"",IF(I6324="SBJ","CB","?"))</f>
        <v> </v>
      </c>
      <c r="I6324" s="26" t="str">
        <f>IF(OR(E6324="",E6324="!!!",F6324="NEW"),"",INDEX(B6323:B$2,-1+SUMPRODUCT(MAX(ROW(E6323:E$2)*(E6324=E6323:E$2)))))</f>
        <v> </v>
      </c>
      <c r="J6324" s="26" t="str">
        <f>IF(OR(E6324="",E6324="!!!",F6324="NEW"),"",COUNTBLANK(OFFSET(A$1,,,SUMPRODUCT(MAX(ROW(E$2:E6324)*(E6324=E$2:E6324)))))-COUNTBLANK(OFFSET(A$1,,,SUMPRODUCT(MAX(ROW(E$1:E6323)*(E2=E$1:E6323))))))</f>
        <v> </v>
      </c>
      <c r="K6324" s="26" t="str">
        <f>IF(OR(E6324="",E6324="!!!",F6324="NEW"),"",INDEX(J$1:J6323,SUMPRODUCT(MAX(ROW(E$1:E6323)*(E6324=E$1:E6323)))))</f>
        <v> </v>
      </c>
      <c r="L6324" s="27"/>
    </row>
    <row r="6325" spans="1:12">
      <c r="A6325" s="20" t="s">
        <v>2888</v>
      </c>
      <c r="E6325" s="22">
        <f>IF(D6325="?OLD","!!!","")</f>
        <v/>
      </c>
      <c r="F6325" s="23" t="str">
        <f>IF(OR(E6325="",E6325="!!!"),"",IF(NOT(ISNA(VLOOKUP(E6325,E$1:E6324,1,FALSE()))),"OLD",IF(AND(E6325&lt;&gt;"",E6325&lt;&gt;"!!!"),"NEW","")))</f>
        <v> </v>
      </c>
      <c r="G6325" s="24" t="str">
        <f>IF(OR(E6325="",E6325="!!!"),"",IF(OR(J6325=0,AND(J6325=1,K6325=1),AND(J6325=1,I6325="SBJ"),AND(J6325=1,I6325=0)),"?IN_FOCUS",IF(J6325&lt;=2,"?ACTIVATED",IF(J6325&lt;&gt;"","?FAMILIAR",IF(F6325="NEW",IF(ISNA(VLOOKUP(E6325,#REF!,1,FALSE())),"?TYPE_IDENTIFIABLE","?REFERENTIAL"),"_")))))</f>
        <v> </v>
      </c>
      <c r="H6325" s="25" t="str">
        <f>IF(J6325&lt;&gt;1,"",IF(I6325="SBJ","CB","?"))</f>
        <v> </v>
      </c>
      <c r="I6325" s="26" t="str">
        <f>IF(OR(E6325="",E6325="!!!",F6325="NEW"),"",INDEX(B6324:B$2,-1+SUMPRODUCT(MAX(ROW(E6324:E$2)*(E6325=E6324:E$2)))))</f>
        <v> </v>
      </c>
      <c r="J6325" s="26" t="str">
        <f>IF(OR(E6325="",E6325="!!!",F6325="NEW"),"",COUNTBLANK(OFFSET(A$1,,,SUMPRODUCT(MAX(ROW(E$2:E6325)*(E6325=E$2:E6325)))))-COUNTBLANK(OFFSET(A$1,,,SUMPRODUCT(MAX(ROW(E$1:E6324)*(E2=E$1:E6324))))))</f>
        <v> </v>
      </c>
      <c r="K6325" s="26" t="str">
        <f>IF(OR(E6325="",E6325="!!!",F6325="NEW"),"",INDEX(J$1:J6324,SUMPRODUCT(MAX(ROW(E$1:E6324)*(E6325=E$1:E6324)))))</f>
        <v> </v>
      </c>
      <c r="L6325" s="27"/>
    </row>
    <row r="6326" spans="1:12">
      <c r="A6326" s="20" t="s">
        <v>1495</v>
      </c>
      <c r="E6326" s="22">
        <f>IF(D6326="?OLD","!!!","")</f>
        <v/>
      </c>
      <c r="F6326" s="23" t="str">
        <f>IF(OR(E6326="",E6326="!!!"),"",IF(NOT(ISNA(VLOOKUP(E6326,E$1:E6325,1,FALSE()))),"OLD",IF(AND(E6326&lt;&gt;"",E6326&lt;&gt;"!!!"),"NEW","")))</f>
        <v> </v>
      </c>
      <c r="G6326" s="24" t="str">
        <f>IF(OR(E6326="",E6326="!!!"),"",IF(OR(J6326=0,AND(J6326=1,K6326=1),AND(J6326=1,I6326="SBJ"),AND(J6326=1,I6326=0)),"?IN_FOCUS",IF(J6326&lt;=2,"?ACTIVATED",IF(J6326&lt;&gt;"","?FAMILIAR",IF(F6326="NEW",IF(ISNA(VLOOKUP(E6326,#REF!,1,FALSE())),"?TYPE_IDENTIFIABLE","?REFERENTIAL"),"_")))))</f>
        <v> </v>
      </c>
      <c r="H6326" s="25" t="str">
        <f>IF(J6326&lt;&gt;1,"",IF(I6326="SBJ","CB","?"))</f>
        <v> </v>
      </c>
      <c r="I6326" s="26" t="str">
        <f>IF(OR(E6326="",E6326="!!!",F6326="NEW"),"",INDEX(B6325:B$2,-1+SUMPRODUCT(MAX(ROW(E6325:E$2)*(E6326=E6325:E$2)))))</f>
        <v> </v>
      </c>
      <c r="J6326" s="26" t="str">
        <f>IF(OR(E6326="",E6326="!!!",F6326="NEW"),"",COUNTBLANK(OFFSET(A$1,,,SUMPRODUCT(MAX(ROW(E$2:E6326)*(E6326=E$2:E6326)))))-COUNTBLANK(OFFSET(A$1,,,SUMPRODUCT(MAX(ROW(E$1:E6325)*(E2=E$1:E6325))))))</f>
        <v> </v>
      </c>
      <c r="K6326" s="26" t="str">
        <f>IF(OR(E6326="",E6326="!!!",F6326="NEW"),"",INDEX(J$1:J6325,SUMPRODUCT(MAX(ROW(E$1:E6325)*(E6326=E$1:E6325)))))</f>
        <v> </v>
      </c>
      <c r="L6326" s="27"/>
    </row>
    <row r="6327" spans="1:12">
      <c r="A6327" s="20" t="s">
        <v>1185</v>
      </c>
      <c r="E6327" s="22">
        <f>IF(D6327="?OLD","!!!","")</f>
        <v/>
      </c>
      <c r="F6327" s="23" t="str">
        <f>IF(OR(E6327="",E6327="!!!"),"",IF(NOT(ISNA(VLOOKUP(E6327,E$1:E6326,1,FALSE()))),"OLD",IF(AND(E6327&lt;&gt;"",E6327&lt;&gt;"!!!"),"NEW","")))</f>
        <v> </v>
      </c>
      <c r="G6327" s="24" t="str">
        <f>IF(OR(E6327="",E6327="!!!"),"",IF(OR(J6327=0,AND(J6327=1,K6327=1),AND(J6327=1,I6327="SBJ"),AND(J6327=1,I6327=0)),"?IN_FOCUS",IF(J6327&lt;=2,"?ACTIVATED",IF(J6327&lt;&gt;"","?FAMILIAR",IF(F6327="NEW",IF(ISNA(VLOOKUP(E6327,#REF!,1,FALSE())),"?TYPE_IDENTIFIABLE","?REFERENTIAL"),"_")))))</f>
        <v> </v>
      </c>
      <c r="H6327" s="25" t="str">
        <f>IF(J6327&lt;&gt;1,"",IF(I6327="SBJ","CB","?"))</f>
        <v> </v>
      </c>
      <c r="I6327" s="26" t="str">
        <f>IF(OR(E6327="",E6327="!!!",F6327="NEW"),"",INDEX(B6326:B$2,-1+SUMPRODUCT(MAX(ROW(E6326:E$2)*(E6327=E6326:E$2)))))</f>
        <v> </v>
      </c>
      <c r="J6327" s="26" t="str">
        <f>IF(OR(E6327="",E6327="!!!",F6327="NEW"),"",COUNTBLANK(OFFSET(A$1,,,SUMPRODUCT(MAX(ROW(E$2:E6327)*(E6327=E$2:E6327)))))-COUNTBLANK(OFFSET(A$1,,,SUMPRODUCT(MAX(ROW(E$1:E6326)*(E2=E$1:E6326))))))</f>
        <v> </v>
      </c>
      <c r="K6327" s="26" t="str">
        <f>IF(OR(E6327="",E6327="!!!",F6327="NEW"),"",INDEX(J$1:J6326,SUMPRODUCT(MAX(ROW(E$1:E6326)*(E6327=E$1:E6326)))))</f>
        <v> </v>
      </c>
      <c r="L6327" s="27"/>
    </row>
    <row r="6328" spans="1:12">
      <c r="A6328" s="20" t="s">
        <v>1495</v>
      </c>
      <c r="B6328" s="21" t="s">
        <v>1912</v>
      </c>
      <c r="C6328" s="21" t="s">
        <v>1208</v>
      </c>
      <c r="D6328" s="21" t="s">
        <v>1180</v>
      </c>
      <c r="E6328" s="22">
        <f>IF(D6328="?OLD","!!!","")</f>
        <v/>
      </c>
      <c r="F6328" s="23" t="str">
        <f>IF(OR(E6328="",E6328="!!!"),"",IF(NOT(ISNA(VLOOKUP(E6328,E$1:E6327,1,FALSE()))),"OLD",IF(AND(E6328&lt;&gt;"",E6328&lt;&gt;"!!!"),"NEW","")))</f>
        <v> </v>
      </c>
      <c r="G6328" s="24" t="str">
        <f>IF(OR(E6328="",E6328="!!!"),"",IF(OR(J6328=0,AND(J6328=1,K6328=1),AND(J6328=1,I6328="SBJ"),AND(J6328=1,I6328=0)),"?IN_FOCUS",IF(J6328&lt;=2,"?ACTIVATED",IF(J6328&lt;&gt;"","?FAMILIAR",IF(F6328="NEW",IF(ISNA(VLOOKUP(E6328,#REF!,1,FALSE())),"?TYPE_IDENTIFIABLE","?REFERENTIAL"),"_")))))</f>
        <v> </v>
      </c>
      <c r="H6328" s="25" t="str">
        <f>IF(J6328&lt;&gt;1,"",IF(I6328="SBJ","CB","?"))</f>
        <v> </v>
      </c>
      <c r="I6328" s="26" t="str">
        <f>IF(OR(E6328="",E6328="!!!",F6328="NEW"),"",INDEX(B6327:B$2,-1+SUMPRODUCT(MAX(ROW(E6327:E$2)*(E6328=E6327:E$2)))))</f>
        <v> </v>
      </c>
      <c r="J6328" s="26" t="str">
        <f>IF(OR(E6328="",E6328="!!!",F6328="NEW"),"",COUNTBLANK(OFFSET(A$1,,,SUMPRODUCT(MAX(ROW(E$2:E6328)*(E6328=E$2:E6328)))))-COUNTBLANK(OFFSET(A$1,,,SUMPRODUCT(MAX(ROW(E$1:E6327)*(E2=E$1:E6327))))))</f>
        <v> </v>
      </c>
      <c r="K6328" s="26" t="str">
        <f>IF(OR(E6328="",E6328="!!!",F6328="NEW"),"",INDEX(J$1:J6327,SUMPRODUCT(MAX(ROW(E$1:E6327)*(E6328=E$1:E6327)))))</f>
        <v> </v>
      </c>
      <c r="L6328" s="27"/>
    </row>
    <row r="6329" spans="1:12">
      <c r="A6329" s="20" t="s">
        <v>1257</v>
      </c>
      <c r="E6329" s="22">
        <f>IF(D6329="?OLD","!!!","")</f>
        <v/>
      </c>
      <c r="F6329" s="23" t="str">
        <f>IF(OR(E6329="",E6329="!!!"),"",IF(NOT(ISNA(VLOOKUP(E6329,E$1:E6328,1,FALSE()))),"OLD",IF(AND(E6329&lt;&gt;"",E6329&lt;&gt;"!!!"),"NEW","")))</f>
        <v> </v>
      </c>
      <c r="G6329" s="24" t="str">
        <f>IF(OR(E6329="",E6329="!!!"),"",IF(OR(J6329=0,AND(J6329=1,K6329=1),AND(J6329=1,I6329="SBJ"),AND(J6329=1,I6329=0)),"?IN_FOCUS",IF(J6329&lt;=2,"?ACTIVATED",IF(J6329&lt;&gt;"","?FAMILIAR",IF(F6329="NEW",IF(ISNA(VLOOKUP(E6329,#REF!,1,FALSE())),"?TYPE_IDENTIFIABLE","?REFERENTIAL"),"_")))))</f>
        <v> </v>
      </c>
      <c r="H6329" s="25" t="str">
        <f>IF(J6329&lt;&gt;1,"",IF(I6329="SBJ","CB","?"))</f>
        <v> </v>
      </c>
      <c r="I6329" s="26" t="str">
        <f>IF(OR(E6329="",E6329="!!!",F6329="NEW"),"",INDEX(B6328:B$2,-1+SUMPRODUCT(MAX(ROW(E6328:E$2)*(E6329=E6328:E$2)))))</f>
        <v> </v>
      </c>
      <c r="J6329" s="26" t="str">
        <f>IF(OR(E6329="",E6329="!!!",F6329="NEW"),"",COUNTBLANK(OFFSET(A$1,,,SUMPRODUCT(MAX(ROW(E$2:E6329)*(E6329=E$2:E6329)))))-COUNTBLANK(OFFSET(A$1,,,SUMPRODUCT(MAX(ROW(E$1:E6328)*(E2=E$1:E6328))))))</f>
        <v> </v>
      </c>
      <c r="K6329" s="26" t="str">
        <f>IF(OR(E6329="",E6329="!!!",F6329="NEW"),"",INDEX(J$1:J6328,SUMPRODUCT(MAX(ROW(E$1:E6328)*(E6329=E$1:E6328)))))</f>
        <v> </v>
      </c>
      <c r="L6329" s="27"/>
    </row>
    <row r="6330" spans="1:12">
      <c r="A6330" s="20" t="s">
        <v>1381</v>
      </c>
      <c r="E6330" s="22">
        <f>IF(D6330="?OLD","!!!","")</f>
        <v/>
      </c>
      <c r="F6330" s="23" t="str">
        <f>IF(OR(E6330="",E6330="!!!"),"",IF(NOT(ISNA(VLOOKUP(E6330,E$1:E6329,1,FALSE()))),"OLD",IF(AND(E6330&lt;&gt;"",E6330&lt;&gt;"!!!"),"NEW","")))</f>
        <v> </v>
      </c>
      <c r="G6330" s="24" t="str">
        <f>IF(OR(E6330="",E6330="!!!"),"",IF(OR(J6330=0,AND(J6330=1,K6330=1),AND(J6330=1,I6330="SBJ"),AND(J6330=1,I6330=0)),"?IN_FOCUS",IF(J6330&lt;=2,"?ACTIVATED",IF(J6330&lt;&gt;"","?FAMILIAR",IF(F6330="NEW",IF(ISNA(VLOOKUP(E6330,#REF!,1,FALSE())),"?TYPE_IDENTIFIABLE","?REFERENTIAL"),"_")))))</f>
        <v> </v>
      </c>
      <c r="H6330" s="25" t="str">
        <f>IF(J6330&lt;&gt;1,"",IF(I6330="SBJ","CB","?"))</f>
        <v> </v>
      </c>
      <c r="I6330" s="26" t="str">
        <f>IF(OR(E6330="",E6330="!!!",F6330="NEW"),"",INDEX(B6329:B$2,-1+SUMPRODUCT(MAX(ROW(E6329:E$2)*(E6330=E6329:E$2)))))</f>
        <v> </v>
      </c>
      <c r="J6330" s="26" t="str">
        <f>IF(OR(E6330="",E6330="!!!",F6330="NEW"),"",COUNTBLANK(OFFSET(A$1,,,SUMPRODUCT(MAX(ROW(E$2:E6330)*(E6330=E$2:E6330)))))-COUNTBLANK(OFFSET(A$1,,,SUMPRODUCT(MAX(ROW(E$1:E6329)*(E2=E$1:E6329))))))</f>
        <v> </v>
      </c>
      <c r="K6330" s="26" t="str">
        <f>IF(OR(E6330="",E6330="!!!",F6330="NEW"),"",INDEX(J$1:J6329,SUMPRODUCT(MAX(ROW(E$1:E6329)*(E6330=E$1:E6329)))))</f>
        <v> </v>
      </c>
      <c r="L6330" s="27"/>
    </row>
    <row r="6331" spans="1:12">
      <c r="A6331" s="20" t="s">
        <v>1185</v>
      </c>
      <c r="E6331" s="22">
        <f>IF(D6331="?OLD","!!!","")</f>
        <v/>
      </c>
      <c r="F6331" s="23" t="str">
        <f>IF(OR(E6331="",E6331="!!!"),"",IF(NOT(ISNA(VLOOKUP(E6331,E$1:E6330,1,FALSE()))),"OLD",IF(AND(E6331&lt;&gt;"",E6331&lt;&gt;"!!!"),"NEW","")))</f>
        <v> </v>
      </c>
      <c r="G6331" s="24" t="str">
        <f>IF(OR(E6331="",E6331="!!!"),"",IF(OR(J6331=0,AND(J6331=1,K6331=1),AND(J6331=1,I6331="SBJ"),AND(J6331=1,I6331=0)),"?IN_FOCUS",IF(J6331&lt;=2,"?ACTIVATED",IF(J6331&lt;&gt;"","?FAMILIAR",IF(F6331="NEW",IF(ISNA(VLOOKUP(E6331,#REF!,1,FALSE())),"?TYPE_IDENTIFIABLE","?REFERENTIAL"),"_")))))</f>
        <v> </v>
      </c>
      <c r="H6331" s="25" t="str">
        <f>IF(J6331&lt;&gt;1,"",IF(I6331="SBJ","CB","?"))</f>
        <v> </v>
      </c>
      <c r="I6331" s="26" t="str">
        <f>IF(OR(E6331="",E6331="!!!",F6331="NEW"),"",INDEX(B6330:B$2,-1+SUMPRODUCT(MAX(ROW(E6330:E$2)*(E6331=E6330:E$2)))))</f>
        <v> </v>
      </c>
      <c r="J6331" s="26" t="str">
        <f>IF(OR(E6331="",E6331="!!!",F6331="NEW"),"",COUNTBLANK(OFFSET(A$1,,,SUMPRODUCT(MAX(ROW(E$2:E6331)*(E6331=E$2:E6331)))))-COUNTBLANK(OFFSET(A$1,,,SUMPRODUCT(MAX(ROW(E$1:E6330)*(E2=E$1:E6330))))))</f>
        <v> </v>
      </c>
      <c r="K6331" s="26" t="str">
        <f>IF(OR(E6331="",E6331="!!!",F6331="NEW"),"",INDEX(J$1:J6330,SUMPRODUCT(MAX(ROW(E$1:E6330)*(E6331=E$1:E6330)))))</f>
        <v> </v>
      </c>
      <c r="L6331" s="27"/>
    </row>
    <row r="6332" spans="1:12">
      <c r="A6332" s="20" t="s">
        <v>1495</v>
      </c>
      <c r="B6332" s="21" t="s">
        <v>1341</v>
      </c>
      <c r="E6332" s="22">
        <f>IF(D6332="?OLD","!!!","")</f>
        <v/>
      </c>
      <c r="F6332" s="23" t="str">
        <f>IF(OR(E6332="",E6332="!!!"),"",IF(NOT(ISNA(VLOOKUP(E6332,E$1:E6331,1,FALSE()))),"OLD",IF(AND(E6332&lt;&gt;"",E6332&lt;&gt;"!!!"),"NEW","")))</f>
        <v> </v>
      </c>
      <c r="G6332" s="24" t="str">
        <f>IF(OR(E6332="",E6332="!!!"),"",IF(OR(J6332=0,AND(J6332=1,K6332=1),AND(J6332=1,I6332="SBJ"),AND(J6332=1,I6332=0)),"?IN_FOCUS",IF(J6332&lt;=2,"?ACTIVATED",IF(J6332&lt;&gt;"","?FAMILIAR",IF(F6332="NEW",IF(ISNA(VLOOKUP(E6332,#REF!,1,FALSE())),"?TYPE_IDENTIFIABLE","?REFERENTIAL"),"_")))))</f>
        <v> </v>
      </c>
      <c r="H6332" s="25" t="str">
        <f>IF(J6332&lt;&gt;1,"",IF(I6332="SBJ","CB","?"))</f>
        <v> </v>
      </c>
      <c r="I6332" s="26" t="str">
        <f>IF(OR(E6332="",E6332="!!!",F6332="NEW"),"",INDEX(B6331:B$2,-1+SUMPRODUCT(MAX(ROW(E6331:E$2)*(E6332=E6331:E$2)))))</f>
        <v> </v>
      </c>
      <c r="J6332" s="26" t="str">
        <f>IF(OR(E6332="",E6332="!!!",F6332="NEW"),"",COUNTBLANK(OFFSET(A$1,,,SUMPRODUCT(MAX(ROW(E$2:E6332)*(E6332=E$2:E6332)))))-COUNTBLANK(OFFSET(A$1,,,SUMPRODUCT(MAX(ROW(E$1:E6331)*(E2=E$1:E6331))))))</f>
        <v> </v>
      </c>
      <c r="K6332" s="26" t="str">
        <f>IF(OR(E6332="",E6332="!!!",F6332="NEW"),"",INDEX(J$1:J6331,SUMPRODUCT(MAX(ROW(E$1:E6331)*(E6332=E$1:E6331)))))</f>
        <v> </v>
      </c>
      <c r="L6332" s="27"/>
    </row>
    <row r="6333" spans="1:12">
      <c r="A6333" s="20" t="s">
        <v>2889</v>
      </c>
      <c r="E6333" s="22">
        <f>IF(D6333="?OLD","!!!","")</f>
        <v/>
      </c>
      <c r="F6333" s="23" t="str">
        <f>IF(OR(E6333="",E6333="!!!"),"",IF(NOT(ISNA(VLOOKUP(E6333,E$1:E6332,1,FALSE()))),"OLD",IF(AND(E6333&lt;&gt;"",E6333&lt;&gt;"!!!"),"NEW","")))</f>
        <v> </v>
      </c>
      <c r="G6333" s="24" t="str">
        <f>IF(OR(E6333="",E6333="!!!"),"",IF(OR(J6333=0,AND(J6333=1,K6333=1),AND(J6333=1,I6333="SBJ"),AND(J6333=1,I6333=0)),"?IN_FOCUS",IF(J6333&lt;=2,"?ACTIVATED",IF(J6333&lt;&gt;"","?FAMILIAR",IF(F6333="NEW",IF(ISNA(VLOOKUP(E6333,#REF!,1,FALSE())),"?TYPE_IDENTIFIABLE","?REFERENTIAL"),"_")))))</f>
        <v> </v>
      </c>
      <c r="H6333" s="25" t="str">
        <f>IF(J6333&lt;&gt;1,"",IF(I6333="SBJ","CB","?"))</f>
        <v> </v>
      </c>
      <c r="I6333" s="26" t="str">
        <f>IF(OR(E6333="",E6333="!!!",F6333="NEW"),"",INDEX(B6332:B$2,-1+SUMPRODUCT(MAX(ROW(E6332:E$2)*(E6333=E6332:E$2)))))</f>
        <v> </v>
      </c>
      <c r="J6333" s="26" t="str">
        <f>IF(OR(E6333="",E6333="!!!",F6333="NEW"),"",COUNTBLANK(OFFSET(A$1,,,SUMPRODUCT(MAX(ROW(E$2:E6333)*(E6333=E$2:E6333)))))-COUNTBLANK(OFFSET(A$1,,,SUMPRODUCT(MAX(ROW(E$1:E6332)*(E2=E$1:E6332))))))</f>
        <v> </v>
      </c>
      <c r="K6333" s="26" t="str">
        <f>IF(OR(E6333="",E6333="!!!",F6333="NEW"),"",INDEX(J$1:J6332,SUMPRODUCT(MAX(ROW(E$1:E6332)*(E6333=E$1:E6332)))))</f>
        <v> </v>
      </c>
      <c r="L6333" s="27"/>
    </row>
    <row r="6334" spans="1:12">
      <c r="A6334" s="20" t="s">
        <v>1888</v>
      </c>
      <c r="E6334" s="22">
        <f>IF(D6334="?OLD","!!!","")</f>
        <v/>
      </c>
      <c r="F6334" s="23" t="str">
        <f>IF(OR(E6334="",E6334="!!!"),"",IF(NOT(ISNA(VLOOKUP(E6334,E$1:E6333,1,FALSE()))),"OLD",IF(AND(E6334&lt;&gt;"",E6334&lt;&gt;"!!!"),"NEW","")))</f>
        <v> </v>
      </c>
      <c r="G6334" s="24" t="str">
        <f>IF(OR(E6334="",E6334="!!!"),"",IF(OR(J6334=0,AND(J6334=1,K6334=1),AND(J6334=1,I6334="SBJ"),AND(J6334=1,I6334=0)),"?IN_FOCUS",IF(J6334&lt;=2,"?ACTIVATED",IF(J6334&lt;&gt;"","?FAMILIAR",IF(F6334="NEW",IF(ISNA(VLOOKUP(E6334,#REF!,1,FALSE())),"?TYPE_IDENTIFIABLE","?REFERENTIAL"),"_")))))</f>
        <v> </v>
      </c>
      <c r="H6334" s="25" t="str">
        <f>IF(J6334&lt;&gt;1,"",IF(I6334="SBJ","CB","?"))</f>
        <v> </v>
      </c>
      <c r="I6334" s="26" t="str">
        <f>IF(OR(E6334="",E6334="!!!",F6334="NEW"),"",INDEX(B6333:B$2,-1+SUMPRODUCT(MAX(ROW(E6333:E$2)*(E6334=E6333:E$2)))))</f>
        <v> </v>
      </c>
      <c r="J6334" s="26" t="str">
        <f>IF(OR(E6334="",E6334="!!!",F6334="NEW"),"",COUNTBLANK(OFFSET(A$1,,,SUMPRODUCT(MAX(ROW(E$2:E6334)*(E6334=E$2:E6334)))))-COUNTBLANK(OFFSET(A$1,,,SUMPRODUCT(MAX(ROW(E$1:E6333)*(E2=E$1:E6333))))))</f>
        <v> </v>
      </c>
      <c r="K6334" s="26" t="str">
        <f>IF(OR(E6334="",E6334="!!!",F6334="NEW"),"",INDEX(J$1:J6333,SUMPRODUCT(MAX(ROW(E$1:E6333)*(E6334=E$1:E6333)))))</f>
        <v> </v>
      </c>
      <c r="L6334" s="27"/>
    </row>
    <row r="6335" spans="1:12">
      <c r="A6335" s="20" t="s">
        <v>1185</v>
      </c>
      <c r="E6335" s="22">
        <f>IF(D6335="?OLD","!!!","")</f>
        <v/>
      </c>
      <c r="F6335" s="23" t="str">
        <f>IF(OR(E6335="",E6335="!!!"),"",IF(NOT(ISNA(VLOOKUP(E6335,E$1:E6334,1,FALSE()))),"OLD",IF(AND(E6335&lt;&gt;"",E6335&lt;&gt;"!!!"),"NEW","")))</f>
        <v> </v>
      </c>
      <c r="G6335" s="24" t="str">
        <f>IF(OR(E6335="",E6335="!!!"),"",IF(OR(J6335=0,AND(J6335=1,K6335=1),AND(J6335=1,I6335="SBJ"),AND(J6335=1,I6335=0)),"?IN_FOCUS",IF(J6335&lt;=2,"?ACTIVATED",IF(J6335&lt;&gt;"","?FAMILIAR",IF(F6335="NEW",IF(ISNA(VLOOKUP(E6335,#REF!,1,FALSE())),"?TYPE_IDENTIFIABLE","?REFERENTIAL"),"_")))))</f>
        <v> </v>
      </c>
      <c r="H6335" s="25" t="str">
        <f>IF(J6335&lt;&gt;1,"",IF(I6335="SBJ","CB","?"))</f>
        <v> </v>
      </c>
      <c r="I6335" s="26" t="str">
        <f>IF(OR(E6335="",E6335="!!!",F6335="NEW"),"",INDEX(B6334:B$2,-1+SUMPRODUCT(MAX(ROW(E6334:E$2)*(E6335=E6334:E$2)))))</f>
        <v> </v>
      </c>
      <c r="J6335" s="26" t="str">
        <f>IF(OR(E6335="",E6335="!!!",F6335="NEW"),"",COUNTBLANK(OFFSET(A$1,,,SUMPRODUCT(MAX(ROW(E$2:E6335)*(E6335=E$2:E6335)))))-COUNTBLANK(OFFSET(A$1,,,SUMPRODUCT(MAX(ROW(E$1:E6334)*(E2=E$1:E6334))))))</f>
        <v> </v>
      </c>
      <c r="K6335" s="26" t="str">
        <f>IF(OR(E6335="",E6335="!!!",F6335="NEW"),"",INDEX(J$1:J6334,SUMPRODUCT(MAX(ROW(E$1:E6334)*(E6335=E$1:E6334)))))</f>
        <v> </v>
      </c>
      <c r="L6335" s="27"/>
    </row>
    <row r="6336" spans="1:12">
      <c r="A6336" s="20" t="s">
        <v>1412</v>
      </c>
      <c r="E6336" s="22">
        <f>IF(D6336="?OLD","!!!","")</f>
        <v/>
      </c>
      <c r="F6336" s="23" t="str">
        <f>IF(OR(E6336="",E6336="!!!"),"",IF(NOT(ISNA(VLOOKUP(E6336,E$1:E6335,1,FALSE()))),"OLD",IF(AND(E6336&lt;&gt;"",E6336&lt;&gt;"!!!"),"NEW","")))</f>
        <v> </v>
      </c>
      <c r="G6336" s="24" t="str">
        <f>IF(OR(E6336="",E6336="!!!"),"",IF(OR(J6336=0,AND(J6336=1,K6336=1),AND(J6336=1,I6336="SBJ"),AND(J6336=1,I6336=0)),"?IN_FOCUS",IF(J6336&lt;=2,"?ACTIVATED",IF(J6336&lt;&gt;"","?FAMILIAR",IF(F6336="NEW",IF(ISNA(VLOOKUP(E6336,#REF!,1,FALSE())),"?TYPE_IDENTIFIABLE","?REFERENTIAL"),"_")))))</f>
        <v> </v>
      </c>
      <c r="H6336" s="25" t="str">
        <f>IF(J6336&lt;&gt;1,"",IF(I6336="SBJ","CB","?"))</f>
        <v> </v>
      </c>
      <c r="I6336" s="26" t="str">
        <f>IF(OR(E6336="",E6336="!!!",F6336="NEW"),"",INDEX(B6335:B$2,-1+SUMPRODUCT(MAX(ROW(E6335:E$2)*(E6336=E6335:E$2)))))</f>
        <v> </v>
      </c>
      <c r="J6336" s="26" t="str">
        <f>IF(OR(E6336="",E6336="!!!",F6336="NEW"),"",COUNTBLANK(OFFSET(A$1,,,SUMPRODUCT(MAX(ROW(E$2:E6336)*(E6336=E$2:E6336)))))-COUNTBLANK(OFFSET(A$1,,,SUMPRODUCT(MAX(ROW(E$1:E6335)*(E2=E$1:E6335))))))</f>
        <v> </v>
      </c>
      <c r="K6336" s="26" t="str">
        <f>IF(OR(E6336="",E6336="!!!",F6336="NEW"),"",INDEX(J$1:J6335,SUMPRODUCT(MAX(ROW(E$1:E6335)*(E6336=E$1:E6335)))))</f>
        <v> </v>
      </c>
      <c r="L6336" s="27"/>
    </row>
    <row r="6337" spans="1:12">
      <c r="A6337" s="20" t="s">
        <v>1257</v>
      </c>
      <c r="E6337" s="22">
        <f>IF(D6337="?OLD","!!!","")</f>
        <v/>
      </c>
      <c r="F6337" s="23" t="str">
        <f>IF(OR(E6337="",E6337="!!!"),"",IF(NOT(ISNA(VLOOKUP(E6337,E$1:E6336,1,FALSE()))),"OLD",IF(AND(E6337&lt;&gt;"",E6337&lt;&gt;"!!!"),"NEW","")))</f>
        <v> </v>
      </c>
      <c r="G6337" s="24" t="str">
        <f>IF(OR(E6337="",E6337="!!!"),"",IF(OR(J6337=0,AND(J6337=1,K6337=1),AND(J6337=1,I6337="SBJ"),AND(J6337=1,I6337=0)),"?IN_FOCUS",IF(J6337&lt;=2,"?ACTIVATED",IF(J6337&lt;&gt;"","?FAMILIAR",IF(F6337="NEW",IF(ISNA(VLOOKUP(E6337,#REF!,1,FALSE())),"?TYPE_IDENTIFIABLE","?REFERENTIAL"),"_")))))</f>
        <v> </v>
      </c>
      <c r="H6337" s="25" t="str">
        <f>IF(J6337&lt;&gt;1,"",IF(I6337="SBJ","CB","?"))</f>
        <v> </v>
      </c>
      <c r="I6337" s="26" t="str">
        <f>IF(OR(E6337="",E6337="!!!",F6337="NEW"),"",INDEX(B6336:B$2,-1+SUMPRODUCT(MAX(ROW(E6336:E$2)*(E6337=E6336:E$2)))))</f>
        <v> </v>
      </c>
      <c r="J6337" s="26" t="str">
        <f>IF(OR(E6337="",E6337="!!!",F6337="NEW"),"",COUNTBLANK(OFFSET(A$1,,,SUMPRODUCT(MAX(ROW(E$2:E6337)*(E6337=E$2:E6337)))))-COUNTBLANK(OFFSET(A$1,,,SUMPRODUCT(MAX(ROW(E$1:E6336)*(E2=E$1:E6336))))))</f>
        <v> </v>
      </c>
      <c r="K6337" s="26" t="str">
        <f>IF(OR(E6337="",E6337="!!!",F6337="NEW"),"",INDEX(J$1:J6336,SUMPRODUCT(MAX(ROW(E$1:E6336)*(E6337=E$1:E6336)))))</f>
        <v> </v>
      </c>
      <c r="L6337" s="27"/>
    </row>
    <row r="6338" spans="1:12">
      <c r="A6338" s="20" t="s">
        <v>1495</v>
      </c>
      <c r="B6338" s="21" t="s">
        <v>1429</v>
      </c>
      <c r="C6338" s="21" t="s">
        <v>1208</v>
      </c>
      <c r="D6338" s="21" t="s">
        <v>1180</v>
      </c>
      <c r="E6338" s="22">
        <f>IF(D6338="?OLD","!!!","")</f>
        <v/>
      </c>
      <c r="F6338" s="23" t="str">
        <f>IF(OR(E6338="",E6338="!!!"),"",IF(NOT(ISNA(VLOOKUP(E6338,E$1:E6337,1,FALSE()))),"OLD",IF(AND(E6338&lt;&gt;"",E6338&lt;&gt;"!!!"),"NEW","")))</f>
        <v> </v>
      </c>
      <c r="G6338" s="24" t="str">
        <f>IF(OR(E6338="",E6338="!!!"),"",IF(OR(J6338=0,AND(J6338=1,K6338=1),AND(J6338=1,I6338="SBJ"),AND(J6338=1,I6338=0)),"?IN_FOCUS",IF(J6338&lt;=2,"?ACTIVATED",IF(J6338&lt;&gt;"","?FAMILIAR",IF(F6338="NEW",IF(ISNA(VLOOKUP(E6338,#REF!,1,FALSE())),"?TYPE_IDENTIFIABLE","?REFERENTIAL"),"_")))))</f>
        <v> </v>
      </c>
      <c r="H6338" s="25" t="str">
        <f>IF(J6338&lt;&gt;1,"",IF(I6338="SBJ","CB","?"))</f>
        <v> </v>
      </c>
      <c r="I6338" s="26" t="str">
        <f>IF(OR(E6338="",E6338="!!!",F6338="NEW"),"",INDEX(B6337:B$2,-1+SUMPRODUCT(MAX(ROW(E6337:E$2)*(E6338=E6337:E$2)))))</f>
        <v> </v>
      </c>
      <c r="J6338" s="26" t="str">
        <f>IF(OR(E6338="",E6338="!!!",F6338="NEW"),"",COUNTBLANK(OFFSET(A$1,,,SUMPRODUCT(MAX(ROW(E$2:E6338)*(E6338=E$2:E6338)))))-COUNTBLANK(OFFSET(A$1,,,SUMPRODUCT(MAX(ROW(E$1:E6337)*(E2=E$1:E6337))))))</f>
        <v> </v>
      </c>
      <c r="K6338" s="26" t="str">
        <f>IF(OR(E6338="",E6338="!!!",F6338="NEW"),"",INDEX(J$1:J6337,SUMPRODUCT(MAX(ROW(E$1:E6337)*(E6338=E$1:E6337)))))</f>
        <v> </v>
      </c>
      <c r="L6338" s="27"/>
    </row>
    <row r="6339" spans="1:12">
      <c r="A6339" s="20" t="s">
        <v>1265</v>
      </c>
      <c r="E6339" s="22">
        <f>IF(D6339="?OLD","!!!","")</f>
        <v/>
      </c>
      <c r="F6339" s="23" t="str">
        <f>IF(OR(E6339="",E6339="!!!"),"",IF(NOT(ISNA(VLOOKUP(E6339,E$1:E6338,1,FALSE()))),"OLD",IF(AND(E6339&lt;&gt;"",E6339&lt;&gt;"!!!"),"NEW","")))</f>
        <v> </v>
      </c>
      <c r="G6339" s="24" t="str">
        <f>IF(OR(E6339="",E6339="!!!"),"",IF(OR(J6339=0,AND(J6339=1,K6339=1),AND(J6339=1,I6339="SBJ"),AND(J6339=1,I6339=0)),"?IN_FOCUS",IF(J6339&lt;=2,"?ACTIVATED",IF(J6339&lt;&gt;"","?FAMILIAR",IF(F6339="NEW",IF(ISNA(VLOOKUP(E6339,#REF!,1,FALSE())),"?TYPE_IDENTIFIABLE","?REFERENTIAL"),"_")))))</f>
        <v> </v>
      </c>
      <c r="H6339" s="25" t="str">
        <f>IF(J6339&lt;&gt;1,"",IF(I6339="SBJ","CB","?"))</f>
        <v> </v>
      </c>
      <c r="I6339" s="26" t="str">
        <f>IF(OR(E6339="",E6339="!!!",F6339="NEW"),"",INDEX(B6338:B$2,-1+SUMPRODUCT(MAX(ROW(E6338:E$2)*(E6339=E6338:E$2)))))</f>
        <v> </v>
      </c>
      <c r="J6339" s="26" t="str">
        <f>IF(OR(E6339="",E6339="!!!",F6339="NEW"),"",COUNTBLANK(OFFSET(A$1,,,SUMPRODUCT(MAX(ROW(E$2:E6339)*(E6339=E$2:E6339)))))-COUNTBLANK(OFFSET(A$1,,,SUMPRODUCT(MAX(ROW(E$1:E6338)*(E2=E$1:E6338))))))</f>
        <v> </v>
      </c>
      <c r="K6339" s="26" t="str">
        <f>IF(OR(E6339="",E6339="!!!",F6339="NEW"),"",INDEX(J$1:J6338,SUMPRODUCT(MAX(ROW(E$1:E6338)*(E6339=E$1:E6338)))))</f>
        <v> </v>
      </c>
      <c r="L6339" s="27"/>
    </row>
    <row r="6340" spans="1:12">
      <c r="A6340" s="20" t="s">
        <v>2890</v>
      </c>
      <c r="E6340" s="22">
        <f>IF(D6340="?OLD","!!!","")</f>
        <v/>
      </c>
      <c r="F6340" s="23" t="str">
        <f>IF(OR(E6340="",E6340="!!!"),"",IF(NOT(ISNA(VLOOKUP(E6340,E$1:E6339,1,FALSE()))),"OLD",IF(AND(E6340&lt;&gt;"",E6340&lt;&gt;"!!!"),"NEW","")))</f>
        <v> </v>
      </c>
      <c r="G6340" s="24" t="str">
        <f>IF(OR(E6340="",E6340="!!!"),"",IF(OR(J6340=0,AND(J6340=1,K6340=1),AND(J6340=1,I6340="SBJ"),AND(J6340=1,I6340=0)),"?IN_FOCUS",IF(J6340&lt;=2,"?ACTIVATED",IF(J6340&lt;&gt;"","?FAMILIAR",IF(F6340="NEW",IF(ISNA(VLOOKUP(E6340,#REF!,1,FALSE())),"?TYPE_IDENTIFIABLE","?REFERENTIAL"),"_")))))</f>
        <v> </v>
      </c>
      <c r="H6340" s="25" t="str">
        <f>IF(J6340&lt;&gt;1,"",IF(I6340="SBJ","CB","?"))</f>
        <v> </v>
      </c>
      <c r="I6340" s="26" t="str">
        <f>IF(OR(E6340="",E6340="!!!",F6340="NEW"),"",INDEX(B6339:B$2,-1+SUMPRODUCT(MAX(ROW(E6339:E$2)*(E6340=E6339:E$2)))))</f>
        <v> </v>
      </c>
      <c r="J6340" s="26" t="str">
        <f>IF(OR(E6340="",E6340="!!!",F6340="NEW"),"",COUNTBLANK(OFFSET(A$1,,,SUMPRODUCT(MAX(ROW(E$2:E6340)*(E6340=E$2:E6340)))))-COUNTBLANK(OFFSET(A$1,,,SUMPRODUCT(MAX(ROW(E$1:E6339)*(E2=E$1:E6339))))))</f>
        <v> </v>
      </c>
      <c r="K6340" s="26" t="str">
        <f>IF(OR(E6340="",E6340="!!!",F6340="NEW"),"",INDEX(J$1:J6339,SUMPRODUCT(MAX(ROW(E$1:E6339)*(E6340=E$1:E6339)))))</f>
        <v> </v>
      </c>
      <c r="L6340" s="27"/>
    </row>
    <row r="6341" spans="1:12">
      <c r="A6341" s="20" t="s">
        <v>2891</v>
      </c>
      <c r="B6341" s="21" t="s">
        <v>1340</v>
      </c>
      <c r="C6341" s="21" t="s">
        <v>1210</v>
      </c>
      <c r="D6341" s="21" t="s">
        <v>1180</v>
      </c>
      <c r="E6341" s="22">
        <f>IF(D6341="?OLD","!!!","")</f>
        <v/>
      </c>
      <c r="F6341" s="23" t="str">
        <f>IF(OR(E6341="",E6341="!!!"),"",IF(NOT(ISNA(VLOOKUP(E6341,E$1:E6340,1,FALSE()))),"OLD",IF(AND(E6341&lt;&gt;"",E6341&lt;&gt;"!!!"),"NEW","")))</f>
        <v> </v>
      </c>
      <c r="G6341" s="24" t="str">
        <f>IF(OR(E6341="",E6341="!!!"),"",IF(OR(J6341=0,AND(J6341=1,K6341=1),AND(J6341=1,I6341="SBJ"),AND(J6341=1,I6341=0)),"?IN_FOCUS",IF(J6341&lt;=2,"?ACTIVATED",IF(J6341&lt;&gt;"","?FAMILIAR",IF(F6341="NEW",IF(ISNA(VLOOKUP(E6341,#REF!,1,FALSE())),"?TYPE_IDENTIFIABLE","?REFERENTIAL"),"_")))))</f>
        <v> </v>
      </c>
      <c r="H6341" s="25" t="str">
        <f>IF(J6341&lt;&gt;1,"",IF(I6341="SBJ","CB","?"))</f>
        <v> </v>
      </c>
      <c r="I6341" s="26" t="str">
        <f>IF(OR(E6341="",E6341="!!!",F6341="NEW"),"",INDEX(B6340:B$2,-1+SUMPRODUCT(MAX(ROW(E6340:E$2)*(E6341=E6340:E$2)))))</f>
        <v> </v>
      </c>
      <c r="J6341" s="26" t="str">
        <f>IF(OR(E6341="",E6341="!!!",F6341="NEW"),"",COUNTBLANK(OFFSET(A$1,,,SUMPRODUCT(MAX(ROW(E$2:E6341)*(E6341=E$2:E6341)))))-COUNTBLANK(OFFSET(A$1,,,SUMPRODUCT(MAX(ROW(E$1:E6340)*(E2=E$1:E6340))))))</f>
        <v> </v>
      </c>
      <c r="K6341" s="26" t="str">
        <f>IF(OR(E6341="",E6341="!!!",F6341="NEW"),"",INDEX(J$1:J6340,SUMPRODUCT(MAX(ROW(E$1:E6340)*(E6341=E$1:E6340)))))</f>
        <v> </v>
      </c>
      <c r="L6341" s="27"/>
    </row>
    <row r="6342" spans="1:12">
      <c r="A6342" s="20" t="s">
        <v>1185</v>
      </c>
      <c r="E6342" s="22">
        <f>IF(D6342="?OLD","!!!","")</f>
        <v/>
      </c>
      <c r="F6342" s="23" t="str">
        <f>IF(OR(E6342="",E6342="!!!"),"",IF(NOT(ISNA(VLOOKUP(E6342,E$1:E6341,1,FALSE()))),"OLD",IF(AND(E6342&lt;&gt;"",E6342&lt;&gt;"!!!"),"NEW","")))</f>
        <v> </v>
      </c>
      <c r="G6342" s="24" t="str">
        <f>IF(OR(E6342="",E6342="!!!"),"",IF(OR(J6342=0,AND(J6342=1,K6342=1),AND(J6342=1,I6342="SBJ"),AND(J6342=1,I6342=0)),"?IN_FOCUS",IF(J6342&lt;=2,"?ACTIVATED",IF(J6342&lt;&gt;"","?FAMILIAR",IF(F6342="NEW",IF(ISNA(VLOOKUP(E6342,#REF!,1,FALSE())),"?TYPE_IDENTIFIABLE","?REFERENTIAL"),"_")))))</f>
        <v> </v>
      </c>
      <c r="H6342" s="25" t="str">
        <f>IF(J6342&lt;&gt;1,"",IF(I6342="SBJ","CB","?"))</f>
        <v> </v>
      </c>
      <c r="I6342" s="26" t="str">
        <f>IF(OR(E6342="",E6342="!!!",F6342="NEW"),"",INDEX(B6341:B$2,-1+SUMPRODUCT(MAX(ROW(E6341:E$2)*(E6342=E6341:E$2)))))</f>
        <v> </v>
      </c>
      <c r="J6342" s="26" t="str">
        <f>IF(OR(E6342="",E6342="!!!",F6342="NEW"),"",COUNTBLANK(OFFSET(A$1,,,SUMPRODUCT(MAX(ROW(E$2:E6342)*(E6342=E$2:E6342)))))-COUNTBLANK(OFFSET(A$1,,,SUMPRODUCT(MAX(ROW(E$1:E6341)*(E2=E$1:E6341))))))</f>
        <v> </v>
      </c>
      <c r="K6342" s="26" t="str">
        <f>IF(OR(E6342="",E6342="!!!",F6342="NEW"),"",INDEX(J$1:J6341,SUMPRODUCT(MAX(ROW(E$1:E6341)*(E6342=E$1:E6341)))))</f>
        <v> </v>
      </c>
      <c r="L6342" s="27"/>
    </row>
    <row r="6343" spans="1:12">
      <c r="A6343" s="20" t="s">
        <v>1471</v>
      </c>
      <c r="E6343" s="22">
        <f>IF(D6343="?OLD","!!!","")</f>
        <v/>
      </c>
      <c r="F6343" s="23" t="str">
        <f>IF(OR(E6343="",E6343="!!!"),"",IF(NOT(ISNA(VLOOKUP(E6343,E$1:E6342,1,FALSE()))),"OLD",IF(AND(E6343&lt;&gt;"",E6343&lt;&gt;"!!!"),"NEW","")))</f>
        <v> </v>
      </c>
      <c r="G6343" s="24" t="str">
        <f>IF(OR(E6343="",E6343="!!!"),"",IF(OR(J6343=0,AND(J6343=1,K6343=1),AND(J6343=1,I6343="SBJ"),AND(J6343=1,I6343=0)),"?IN_FOCUS",IF(J6343&lt;=2,"?ACTIVATED",IF(J6343&lt;&gt;"","?FAMILIAR",IF(F6343="NEW",IF(ISNA(VLOOKUP(E6343,#REF!,1,FALSE())),"?TYPE_IDENTIFIABLE","?REFERENTIAL"),"_")))))</f>
        <v> </v>
      </c>
      <c r="H6343" s="25" t="str">
        <f>IF(J6343&lt;&gt;1,"",IF(I6343="SBJ","CB","?"))</f>
        <v> </v>
      </c>
      <c r="I6343" s="26" t="str">
        <f>IF(OR(E6343="",E6343="!!!",F6343="NEW"),"",INDEX(B6342:B$2,-1+SUMPRODUCT(MAX(ROW(E6342:E$2)*(E6343=E6342:E$2)))))</f>
        <v> </v>
      </c>
      <c r="J6343" s="26" t="str">
        <f>IF(OR(E6343="",E6343="!!!",F6343="NEW"),"",COUNTBLANK(OFFSET(A$1,,,SUMPRODUCT(MAX(ROW(E$2:E6343)*(E6343=E$2:E6343)))))-COUNTBLANK(OFFSET(A$1,,,SUMPRODUCT(MAX(ROW(E$1:E6342)*(E2=E$1:E6342))))))</f>
        <v> </v>
      </c>
      <c r="K6343" s="26" t="str">
        <f>IF(OR(E6343="",E6343="!!!",F6343="NEW"),"",INDEX(J$1:J6342,SUMPRODUCT(MAX(ROW(E$1:E6342)*(E6343=E$1:E6342)))))</f>
        <v> </v>
      </c>
      <c r="L6343" s="27"/>
    </row>
    <row r="6344" spans="1:12">
      <c r="A6344" s="20" t="s">
        <v>185</v>
      </c>
      <c r="E6344" s="22">
        <f>IF(D6344="?OLD","!!!","")</f>
        <v/>
      </c>
      <c r="F6344" s="23" t="str">
        <f>IF(OR(E6344="",E6344="!!!"),"",IF(NOT(ISNA(VLOOKUP(E6344,E$1:E6343,1,FALSE()))),"OLD",IF(AND(E6344&lt;&gt;"",E6344&lt;&gt;"!!!"),"NEW","")))</f>
        <v> </v>
      </c>
      <c r="G6344" s="24" t="str">
        <f>IF(OR(E6344="",E6344="!!!"),"",IF(OR(J6344=0,AND(J6344=1,K6344=1),AND(J6344=1,I6344="SBJ"),AND(J6344=1,I6344=0)),"?IN_FOCUS",IF(J6344&lt;=2,"?ACTIVATED",IF(J6344&lt;&gt;"","?FAMILIAR",IF(F6344="NEW",IF(ISNA(VLOOKUP(E6344,#REF!,1,FALSE())),"?TYPE_IDENTIFIABLE","?REFERENTIAL"),"_")))))</f>
        <v> </v>
      </c>
      <c r="H6344" s="25" t="str">
        <f>IF(J6344&lt;&gt;1,"",IF(I6344="SBJ","CB","?"))</f>
        <v> </v>
      </c>
      <c r="I6344" s="26" t="str">
        <f>IF(OR(E6344="",E6344="!!!",F6344="NEW"),"",INDEX(B6343:B$2,-1+SUMPRODUCT(MAX(ROW(E6343:E$2)*(E6344=E6343:E$2)))))</f>
        <v> </v>
      </c>
      <c r="J6344" s="26" t="str">
        <f>IF(OR(E6344="",E6344="!!!",F6344="NEW"),"",COUNTBLANK(OFFSET(A$1,,,SUMPRODUCT(MAX(ROW(E$2:E6344)*(E6344=E$2:E6344)))))-COUNTBLANK(OFFSET(A$1,,,SUMPRODUCT(MAX(ROW(E$1:E6343)*(E2=E$1:E6343))))))</f>
        <v> </v>
      </c>
      <c r="K6344" s="26" t="str">
        <f>IF(OR(E6344="",E6344="!!!",F6344="NEW"),"",INDEX(J$1:J6343,SUMPRODUCT(MAX(ROW(E$1:E6343)*(E6344=E$1:E6343)))))</f>
        <v> </v>
      </c>
      <c r="L6344" s="27"/>
    </row>
    <row r="6345" spans="1:12">
      <c r="A6345" s="20" t="s">
        <v>1257</v>
      </c>
      <c r="E6345" s="22">
        <f>IF(D6345="?OLD","!!!","")</f>
        <v/>
      </c>
      <c r="F6345" s="23" t="str">
        <f>IF(OR(E6345="",E6345="!!!"),"",IF(NOT(ISNA(VLOOKUP(E6345,E$1:E6344,1,FALSE()))),"OLD",IF(AND(E6345&lt;&gt;"",E6345&lt;&gt;"!!!"),"NEW","")))</f>
        <v> </v>
      </c>
      <c r="G6345" s="24" t="str">
        <f>IF(OR(E6345="",E6345="!!!"),"",IF(OR(J6345=0,AND(J6345=1,K6345=1),AND(J6345=1,I6345="SBJ"),AND(J6345=1,I6345=0)),"?IN_FOCUS",IF(J6345&lt;=2,"?ACTIVATED",IF(J6345&lt;&gt;"","?FAMILIAR",IF(F6345="NEW",IF(ISNA(VLOOKUP(E6345,#REF!,1,FALSE())),"?TYPE_IDENTIFIABLE","?REFERENTIAL"),"_")))))</f>
        <v> </v>
      </c>
      <c r="H6345" s="25" t="str">
        <f>IF(J6345&lt;&gt;1,"",IF(I6345="SBJ","CB","?"))</f>
        <v> </v>
      </c>
      <c r="I6345" s="26" t="str">
        <f>IF(OR(E6345="",E6345="!!!",F6345="NEW"),"",INDEX(B6344:B$2,-1+SUMPRODUCT(MAX(ROW(E6344:E$2)*(E6345=E6344:E$2)))))</f>
        <v> </v>
      </c>
      <c r="J6345" s="26" t="str">
        <f>IF(OR(E6345="",E6345="!!!",F6345="NEW"),"",COUNTBLANK(OFFSET(A$1,,,SUMPRODUCT(MAX(ROW(E$2:E6345)*(E6345=E$2:E6345)))))-COUNTBLANK(OFFSET(A$1,,,SUMPRODUCT(MAX(ROW(E$1:E6344)*(E2=E$1:E6344))))))</f>
        <v> </v>
      </c>
      <c r="K6345" s="26" t="str">
        <f>IF(OR(E6345="",E6345="!!!",F6345="NEW"),"",INDEX(J$1:J6344,SUMPRODUCT(MAX(ROW(E$1:E6344)*(E6345=E$1:E6344)))))</f>
        <v> </v>
      </c>
      <c r="L6345" s="27"/>
    </row>
    <row r="6346" spans="1:12">
      <c r="A6346" s="20" t="s">
        <v>1314</v>
      </c>
      <c r="E6346" s="22">
        <f>IF(D6346="?OLD","!!!","")</f>
        <v/>
      </c>
      <c r="F6346" s="23" t="str">
        <f>IF(OR(E6346="",E6346="!!!"),"",IF(NOT(ISNA(VLOOKUP(E6346,E$1:E6345,1,FALSE()))),"OLD",IF(AND(E6346&lt;&gt;"",E6346&lt;&gt;"!!!"),"NEW","")))</f>
        <v> </v>
      </c>
      <c r="G6346" s="24" t="str">
        <f>IF(OR(E6346="",E6346="!!!"),"",IF(OR(J6346=0,AND(J6346=1,K6346=1),AND(J6346=1,I6346="SBJ"),AND(J6346=1,I6346=0)),"?IN_FOCUS",IF(J6346&lt;=2,"?ACTIVATED",IF(J6346&lt;&gt;"","?FAMILIAR",IF(F6346="NEW",IF(ISNA(VLOOKUP(E6346,#REF!,1,FALSE())),"?TYPE_IDENTIFIABLE","?REFERENTIAL"),"_")))))</f>
        <v> </v>
      </c>
      <c r="H6346" s="25" t="str">
        <f>IF(J6346&lt;&gt;1,"",IF(I6346="SBJ","CB","?"))</f>
        <v> </v>
      </c>
      <c r="I6346" s="26" t="str">
        <f>IF(OR(E6346="",E6346="!!!",F6346="NEW"),"",INDEX(B6345:B$2,-1+SUMPRODUCT(MAX(ROW(E6345:E$2)*(E6346=E6345:E$2)))))</f>
        <v> </v>
      </c>
      <c r="J6346" s="26" t="str">
        <f>IF(OR(E6346="",E6346="!!!",F6346="NEW"),"",COUNTBLANK(OFFSET(A$1,,,SUMPRODUCT(MAX(ROW(E$2:E6346)*(E6346=E$2:E6346)))))-COUNTBLANK(OFFSET(A$1,,,SUMPRODUCT(MAX(ROW(E$1:E6345)*(E2=E$1:E6345))))))</f>
        <v> </v>
      </c>
      <c r="K6346" s="26" t="str">
        <f>IF(OR(E6346="",E6346="!!!",F6346="NEW"),"",INDEX(J$1:J6345,SUMPRODUCT(MAX(ROW(E$1:E6345)*(E6346=E$1:E6345)))))</f>
        <v> </v>
      </c>
      <c r="L6346" s="27"/>
    </row>
    <row r="6347" spans="1:12">
      <c r="A6347" s="20" t="s">
        <v>1495</v>
      </c>
      <c r="E6347" s="22">
        <f>IF(D6347="?OLD","!!!","")</f>
        <v/>
      </c>
      <c r="F6347" s="23" t="str">
        <f>IF(OR(E6347="",E6347="!!!"),"",IF(NOT(ISNA(VLOOKUP(E6347,E$1:E6346,1,FALSE()))),"OLD",IF(AND(E6347&lt;&gt;"",E6347&lt;&gt;"!!!"),"NEW","")))</f>
        <v> </v>
      </c>
      <c r="G6347" s="24" t="str">
        <f>IF(OR(E6347="",E6347="!!!"),"",IF(OR(J6347=0,AND(J6347=1,K6347=1),AND(J6347=1,I6347="SBJ"),AND(J6347=1,I6347=0)),"?IN_FOCUS",IF(J6347&lt;=2,"?ACTIVATED",IF(J6347&lt;&gt;"","?FAMILIAR",IF(F6347="NEW",IF(ISNA(VLOOKUP(E6347,#REF!,1,FALSE())),"?TYPE_IDENTIFIABLE","?REFERENTIAL"),"_")))))</f>
        <v> </v>
      </c>
      <c r="H6347" s="25" t="str">
        <f>IF(J6347&lt;&gt;1,"",IF(I6347="SBJ","CB","?"))</f>
        <v> </v>
      </c>
      <c r="I6347" s="26" t="str">
        <f>IF(OR(E6347="",E6347="!!!",F6347="NEW"),"",INDEX(B6346:B$2,-1+SUMPRODUCT(MAX(ROW(E6346:E$2)*(E6347=E6346:E$2)))))</f>
        <v> </v>
      </c>
      <c r="J6347" s="26" t="str">
        <f>IF(OR(E6347="",E6347="!!!",F6347="NEW"),"",COUNTBLANK(OFFSET(A$1,,,SUMPRODUCT(MAX(ROW(E$2:E6347)*(E6347=E$2:E6347)))))-COUNTBLANK(OFFSET(A$1,,,SUMPRODUCT(MAX(ROW(E$1:E6346)*(E2=E$1:E6346))))))</f>
        <v> </v>
      </c>
      <c r="K6347" s="26" t="str">
        <f>IF(OR(E6347="",E6347="!!!",F6347="NEW"),"",INDEX(J$1:J6346,SUMPRODUCT(MAX(ROW(E$1:E6346)*(E6347=E$1:E6346)))))</f>
        <v> </v>
      </c>
      <c r="L6347" s="27"/>
    </row>
    <row r="6348" spans="1:12">
      <c r="A6348" s="20" t="s">
        <v>2892</v>
      </c>
      <c r="E6348" s="22">
        <f>IF(D6348="?OLD","!!!","")</f>
        <v/>
      </c>
      <c r="F6348" s="23" t="str">
        <f>IF(OR(E6348="",E6348="!!!"),"",IF(NOT(ISNA(VLOOKUP(E6348,E$1:E6347,1,FALSE()))),"OLD",IF(AND(E6348&lt;&gt;"",E6348&lt;&gt;"!!!"),"NEW","")))</f>
        <v> </v>
      </c>
      <c r="G6348" s="24" t="str">
        <f>IF(OR(E6348="",E6348="!!!"),"",IF(OR(J6348=0,AND(J6348=1,K6348=1),AND(J6348=1,I6348="SBJ"),AND(J6348=1,I6348=0)),"?IN_FOCUS",IF(J6348&lt;=2,"?ACTIVATED",IF(J6348&lt;&gt;"","?FAMILIAR",IF(F6348="NEW",IF(ISNA(VLOOKUP(E6348,#REF!,1,FALSE())),"?TYPE_IDENTIFIABLE","?REFERENTIAL"),"_")))))</f>
        <v> </v>
      </c>
      <c r="H6348" s="25" t="str">
        <f>IF(J6348&lt;&gt;1,"",IF(I6348="SBJ","CB","?"))</f>
        <v> </v>
      </c>
      <c r="I6348" s="26" t="str">
        <f>IF(OR(E6348="",E6348="!!!",F6348="NEW"),"",INDEX(B6347:B$2,-1+SUMPRODUCT(MAX(ROW(E6347:E$2)*(E6348=E6347:E$2)))))</f>
        <v> </v>
      </c>
      <c r="J6348" s="26" t="str">
        <f>IF(OR(E6348="",E6348="!!!",F6348="NEW"),"",COUNTBLANK(OFFSET(A$1,,,SUMPRODUCT(MAX(ROW(E$2:E6348)*(E6348=E$2:E6348)))))-COUNTBLANK(OFFSET(A$1,,,SUMPRODUCT(MAX(ROW(E$1:E6347)*(E2=E$1:E6347))))))</f>
        <v> </v>
      </c>
      <c r="K6348" s="26" t="str">
        <f>IF(OR(E6348="",E6348="!!!",F6348="NEW"),"",INDEX(J$1:J6347,SUMPRODUCT(MAX(ROW(E$1:E6347)*(E6348=E$1:E6347)))))</f>
        <v> </v>
      </c>
      <c r="L6348" s="27"/>
    </row>
    <row r="6349" spans="1:12">
      <c r="A6349" s="20" t="s">
        <v>2891</v>
      </c>
      <c r="B6349" s="21" t="s">
        <v>1429</v>
      </c>
      <c r="C6349" s="21" t="s">
        <v>1188</v>
      </c>
      <c r="D6349" s="21" t="s">
        <v>1180</v>
      </c>
      <c r="E6349" s="22">
        <f>IF(D6349="?OLD","!!!","")</f>
        <v/>
      </c>
      <c r="F6349" s="23" t="str">
        <f>IF(OR(E6349="",E6349="!!!"),"",IF(NOT(ISNA(VLOOKUP(E6349,E$1:E6348,1,FALSE()))),"OLD",IF(AND(E6349&lt;&gt;"",E6349&lt;&gt;"!!!"),"NEW","")))</f>
        <v> </v>
      </c>
      <c r="G6349" s="24" t="str">
        <f>IF(OR(E6349="",E6349="!!!"),"",IF(OR(J6349=0,AND(J6349=1,K6349=1),AND(J6349=1,I6349="SBJ"),AND(J6349=1,I6349=0)),"?IN_FOCUS",IF(J6349&lt;=2,"?ACTIVATED",IF(J6349&lt;&gt;"","?FAMILIAR",IF(F6349="NEW",IF(ISNA(VLOOKUP(E6349,#REF!,1,FALSE())),"?TYPE_IDENTIFIABLE","?REFERENTIAL"),"_")))))</f>
        <v> </v>
      </c>
      <c r="H6349" s="25" t="str">
        <f>IF(J6349&lt;&gt;1,"",IF(I6349="SBJ","CB","?"))</f>
        <v> </v>
      </c>
      <c r="I6349" s="26" t="str">
        <f>IF(OR(E6349="",E6349="!!!",F6349="NEW"),"",INDEX(B6348:B$2,-1+SUMPRODUCT(MAX(ROW(E6348:E$2)*(E6349=E6348:E$2)))))</f>
        <v> </v>
      </c>
      <c r="J6349" s="26" t="str">
        <f>IF(OR(E6349="",E6349="!!!",F6349="NEW"),"",COUNTBLANK(OFFSET(A$1,,,SUMPRODUCT(MAX(ROW(E$2:E6349)*(E6349=E$2:E6349)))))-COUNTBLANK(OFFSET(A$1,,,SUMPRODUCT(MAX(ROW(E$1:E6348)*(E2=E$1:E6348))))))</f>
        <v> </v>
      </c>
      <c r="K6349" s="26" t="str">
        <f>IF(OR(E6349="",E6349="!!!",F6349="NEW"),"",INDEX(J$1:J6348,SUMPRODUCT(MAX(ROW(E$1:E6348)*(E6349=E$1:E6348)))))</f>
        <v> </v>
      </c>
      <c r="L6349" s="27"/>
    </row>
    <row r="6350" spans="1:12">
      <c r="A6350" s="20" t="s">
        <v>818</v>
      </c>
      <c r="E6350" s="22">
        <f>IF(D6350="?OLD","!!!","")</f>
        <v/>
      </c>
      <c r="F6350" s="23" t="str">
        <f>IF(OR(E6350="",E6350="!!!"),"",IF(NOT(ISNA(VLOOKUP(E6350,E$1:E6349,1,FALSE()))),"OLD",IF(AND(E6350&lt;&gt;"",E6350&lt;&gt;"!!!"),"NEW","")))</f>
        <v> </v>
      </c>
      <c r="G6350" s="24" t="str">
        <f>IF(OR(E6350="",E6350="!!!"),"",IF(OR(J6350=0,AND(J6350=1,K6350=1),AND(J6350=1,I6350="SBJ"),AND(J6350=1,I6350=0)),"?IN_FOCUS",IF(J6350&lt;=2,"?ACTIVATED",IF(J6350&lt;&gt;"","?FAMILIAR",IF(F6350="NEW",IF(ISNA(VLOOKUP(E6350,#REF!,1,FALSE())),"?TYPE_IDENTIFIABLE","?REFERENTIAL"),"_")))))</f>
        <v> </v>
      </c>
      <c r="H6350" s="25" t="str">
        <f>IF(J6350&lt;&gt;1,"",IF(I6350="SBJ","CB","?"))</f>
        <v> </v>
      </c>
      <c r="I6350" s="26" t="str">
        <f>IF(OR(E6350="",E6350="!!!",F6350="NEW"),"",INDEX(B6349:B$2,-1+SUMPRODUCT(MAX(ROW(E6349:E$2)*(E6350=E6349:E$2)))))</f>
        <v> </v>
      </c>
      <c r="J6350" s="26" t="str">
        <f>IF(OR(E6350="",E6350="!!!",F6350="NEW"),"",COUNTBLANK(OFFSET(A$1,,,SUMPRODUCT(MAX(ROW(E$2:E6350)*(E6350=E$2:E6350)))))-COUNTBLANK(OFFSET(A$1,,,SUMPRODUCT(MAX(ROW(E$1:E6349)*(E2=E$1:E6349))))))</f>
        <v> </v>
      </c>
      <c r="K6350" s="26" t="str">
        <f>IF(OR(E6350="",E6350="!!!",F6350="NEW"),"",INDEX(J$1:J6349,SUMPRODUCT(MAX(ROW(E$1:E6349)*(E6350=E$1:E6349)))))</f>
        <v> </v>
      </c>
      <c r="L6350" s="27"/>
    </row>
    <row r="6351" spans="1:12">
      <c r="A6351" s="20"/>
    </row>
    <row r="6352" spans="1:12">
      <c r="A6352" s="20" t="s">
        <v>2893</v>
      </c>
    </row>
    <row r="6353" spans="1:12">
      <c r="A6353" s="20" t="s">
        <v>1193</v>
      </c>
      <c r="B6353" s="21" t="s">
        <v>1194</v>
      </c>
      <c r="C6353" s="21" t="s">
        <v>1195</v>
      </c>
      <c r="D6353" s="21" t="s">
        <v>1180</v>
      </c>
      <c r="E6353" s="22">
        <f>IF(D6353="?OLD","!!!","")</f>
        <v/>
      </c>
      <c r="F6353" s="23" t="str">
        <f>IF(OR(E6353="",E6353="!!!"),"",IF(NOT(ISNA(VLOOKUP(E6353,E$1:E6352,1,FALSE()))),"OLD",IF(AND(E6353&lt;&gt;"",E6353&lt;&gt;"!!!"),"NEW","")))</f>
        <v> </v>
      </c>
      <c r="G6353" s="24" t="str">
        <f>IF(OR(E6353="",E6353="!!!"),"",IF(OR(J6353=0,AND(J6353=1,K6353=1),AND(J6353=1,I6353="SBJ"),AND(J6353=1,I6353=0)),"?IN_FOCUS",IF(J6353&lt;=2,"?ACTIVATED",IF(J6353&lt;&gt;"","?FAMILIAR",IF(F6353="NEW",IF(ISNA(VLOOKUP(E6353,#REF!,1,FALSE())),"?TYPE_IDENTIFIABLE","?REFERENTIAL"),"_")))))</f>
        <v> </v>
      </c>
      <c r="H6353" s="25" t="str">
        <f>IF(J6353&lt;&gt;1,"",IF(I6353="SBJ","CB","?"))</f>
        <v> </v>
      </c>
      <c r="I6353" s="26" t="str">
        <f>IF(OR(E6353="",E6353="!!!",F6353="NEW"),"",INDEX(B6352:B$2,-1+SUMPRODUCT(MAX(ROW(E6352:E$2)*(E6353=E6352:E$2)))))</f>
        <v> </v>
      </c>
      <c r="J6353" s="26" t="str">
        <f>IF(OR(E6353="",E6353="!!!",F6353="NEW"),"",COUNTBLANK(OFFSET(A$1,,,SUMPRODUCT(MAX(ROW(E$2:E6353)*(E6353=E$2:E6353)))))-COUNTBLANK(OFFSET(A$1,,,SUMPRODUCT(MAX(ROW(E$1:E6352)*(E2=E$1:E6352))))))</f>
        <v> </v>
      </c>
      <c r="K6353" s="26" t="str">
        <f>IF(OR(E6353="",E6353="!!!",F6353="NEW"),"",INDEX(J$1:J6352,SUMPRODUCT(MAX(ROW(E$1:E6352)*(E6353=E$1:E6352)))))</f>
        <v> </v>
      </c>
      <c r="L6353" s="27"/>
    </row>
    <row r="6354" spans="1:12">
      <c r="A6354" s="20" t="s">
        <v>1647</v>
      </c>
      <c r="E6354" s="22">
        <f>IF(D6354="?OLD","!!!","")</f>
        <v/>
      </c>
      <c r="F6354" s="23" t="str">
        <f>IF(OR(E6354="",E6354="!!!"),"",IF(NOT(ISNA(VLOOKUP(E6354,E$1:E6353,1,FALSE()))),"OLD",IF(AND(E6354&lt;&gt;"",E6354&lt;&gt;"!!!"),"NEW","")))</f>
        <v> </v>
      </c>
      <c r="G6354" s="24" t="str">
        <f>IF(OR(E6354="",E6354="!!!"),"",IF(OR(J6354=0,AND(J6354=1,K6354=1),AND(J6354=1,I6354="SBJ"),AND(J6354=1,I6354=0)),"?IN_FOCUS",IF(J6354&lt;=2,"?ACTIVATED",IF(J6354&lt;&gt;"","?FAMILIAR",IF(F6354="NEW",IF(ISNA(VLOOKUP(E6354,#REF!,1,FALSE())),"?TYPE_IDENTIFIABLE","?REFERENTIAL"),"_")))))</f>
        <v> </v>
      </c>
      <c r="H6354" s="25" t="str">
        <f>IF(J6354&lt;&gt;1,"",IF(I6354="SBJ","CB","?"))</f>
        <v> </v>
      </c>
      <c r="I6354" s="26" t="str">
        <f>IF(OR(E6354="",E6354="!!!",F6354="NEW"),"",INDEX(B6353:B$2,-1+SUMPRODUCT(MAX(ROW(E6353:E$2)*(E6354=E6353:E$2)))))</f>
        <v> </v>
      </c>
      <c r="J6354" s="26" t="str">
        <f>IF(OR(E6354="",E6354="!!!",F6354="NEW"),"",COUNTBLANK(OFFSET(A$1,,,SUMPRODUCT(MAX(ROW(E$2:E6354)*(E6354=E$2:E6354)))))-COUNTBLANK(OFFSET(A$1,,,SUMPRODUCT(MAX(ROW(E$1:E6353)*(E2=E$1:E6353))))))</f>
        <v> </v>
      </c>
      <c r="K6354" s="26" t="str">
        <f>IF(OR(E6354="",E6354="!!!",F6354="NEW"),"",INDEX(J$1:J6353,SUMPRODUCT(MAX(ROW(E$1:E6353)*(E6354=E$1:E6353)))))</f>
        <v> </v>
      </c>
      <c r="L6354" s="27"/>
    </row>
    <row r="6355" spans="1:12">
      <c r="A6355" s="20" t="s">
        <v>1185</v>
      </c>
      <c r="E6355" s="22">
        <f>IF(D6355="?OLD","!!!","")</f>
        <v/>
      </c>
      <c r="F6355" s="23" t="str">
        <f>IF(OR(E6355="",E6355="!!!"),"",IF(NOT(ISNA(VLOOKUP(E6355,E$1:E6354,1,FALSE()))),"OLD",IF(AND(E6355&lt;&gt;"",E6355&lt;&gt;"!!!"),"NEW","")))</f>
        <v> </v>
      </c>
      <c r="G6355" s="24" t="str">
        <f>IF(OR(E6355="",E6355="!!!"),"",IF(OR(J6355=0,AND(J6355=1,K6355=1),AND(J6355=1,I6355="SBJ"),AND(J6355=1,I6355=0)),"?IN_FOCUS",IF(J6355&lt;=2,"?ACTIVATED",IF(J6355&lt;&gt;"","?FAMILIAR",IF(F6355="NEW",IF(ISNA(VLOOKUP(E6355,#REF!,1,FALSE())),"?TYPE_IDENTIFIABLE","?REFERENTIAL"),"_")))))</f>
        <v> </v>
      </c>
      <c r="H6355" s="25" t="str">
        <f>IF(J6355&lt;&gt;1,"",IF(I6355="SBJ","CB","?"))</f>
        <v> </v>
      </c>
      <c r="I6355" s="26" t="str">
        <f>IF(OR(E6355="",E6355="!!!",F6355="NEW"),"",INDEX(B6354:B$2,-1+SUMPRODUCT(MAX(ROW(E6354:E$2)*(E6355=E6354:E$2)))))</f>
        <v> </v>
      </c>
      <c r="J6355" s="26" t="str">
        <f>IF(OR(E6355="",E6355="!!!",F6355="NEW"),"",COUNTBLANK(OFFSET(A$1,,,SUMPRODUCT(MAX(ROW(E$2:E6355)*(E6355=E$2:E6355)))))-COUNTBLANK(OFFSET(A$1,,,SUMPRODUCT(MAX(ROW(E$1:E6354)*(E2=E$1:E6354))))))</f>
        <v> </v>
      </c>
      <c r="K6355" s="26" t="str">
        <f>IF(OR(E6355="",E6355="!!!",F6355="NEW"),"",INDEX(J$1:J6354,SUMPRODUCT(MAX(ROW(E$1:E6354)*(E6355=E$1:E6354)))))</f>
        <v> </v>
      </c>
      <c r="L6355" s="27"/>
    </row>
    <row r="6356" spans="1:12">
      <c r="A6356" s="20" t="s">
        <v>1495</v>
      </c>
      <c r="B6356" s="21" t="s">
        <v>1240</v>
      </c>
      <c r="C6356" s="21" t="s">
        <v>1208</v>
      </c>
      <c r="D6356" s="21" t="s">
        <v>1180</v>
      </c>
      <c r="E6356" s="22">
        <f>IF(D6356="?OLD","!!!","")</f>
        <v/>
      </c>
      <c r="F6356" s="23" t="str">
        <f>IF(OR(E6356="",E6356="!!!"),"",IF(NOT(ISNA(VLOOKUP(E6356,E$1:E6355,1,FALSE()))),"OLD",IF(AND(E6356&lt;&gt;"",E6356&lt;&gt;"!!!"),"NEW","")))</f>
        <v> </v>
      </c>
      <c r="G6356" s="24" t="str">
        <f>IF(OR(E6356="",E6356="!!!"),"",IF(OR(J6356=0,AND(J6356=1,K6356=1),AND(J6356=1,I6356="SBJ"),AND(J6356=1,I6356=0)),"?IN_FOCUS",IF(J6356&lt;=2,"?ACTIVATED",IF(J6356&lt;&gt;"","?FAMILIAR",IF(F6356="NEW",IF(ISNA(VLOOKUP(E6356,#REF!,1,FALSE())),"?TYPE_IDENTIFIABLE","?REFERENTIAL"),"_")))))</f>
        <v> </v>
      </c>
      <c r="H6356" s="25" t="str">
        <f>IF(J6356&lt;&gt;1,"",IF(I6356="SBJ","CB","?"))</f>
        <v> </v>
      </c>
      <c r="I6356" s="26" t="str">
        <f>IF(OR(E6356="",E6356="!!!",F6356="NEW"),"",INDEX(B6355:B$2,-1+SUMPRODUCT(MAX(ROW(E6355:E$2)*(E6356=E6355:E$2)))))</f>
        <v> </v>
      </c>
      <c r="J6356" s="26" t="str">
        <f>IF(OR(E6356="",E6356="!!!",F6356="NEW"),"",COUNTBLANK(OFFSET(A$1,,,SUMPRODUCT(MAX(ROW(E$2:E6356)*(E6356=E$2:E6356)))))-COUNTBLANK(OFFSET(A$1,,,SUMPRODUCT(MAX(ROW(E$1:E6355)*(E2=E$1:E6355))))))</f>
        <v> </v>
      </c>
      <c r="K6356" s="26" t="str">
        <f>IF(OR(E6356="",E6356="!!!",F6356="NEW"),"",INDEX(J$1:J6355,SUMPRODUCT(MAX(ROW(E$1:E6355)*(E6356=E$1:E6355)))))</f>
        <v> </v>
      </c>
      <c r="L6356" s="27"/>
    </row>
    <row r="6357" spans="1:12">
      <c r="A6357" s="20" t="s">
        <v>1257</v>
      </c>
      <c r="E6357" s="22">
        <f>IF(D6357="?OLD","!!!","")</f>
        <v/>
      </c>
      <c r="F6357" s="23" t="str">
        <f>IF(OR(E6357="",E6357="!!!"),"",IF(NOT(ISNA(VLOOKUP(E6357,E$1:E6356,1,FALSE()))),"OLD",IF(AND(E6357&lt;&gt;"",E6357&lt;&gt;"!!!"),"NEW","")))</f>
        <v> </v>
      </c>
      <c r="G6357" s="24" t="str">
        <f>IF(OR(E6357="",E6357="!!!"),"",IF(OR(J6357=0,AND(J6357=1,K6357=1),AND(J6357=1,I6357="SBJ"),AND(J6357=1,I6357=0)),"?IN_FOCUS",IF(J6357&lt;=2,"?ACTIVATED",IF(J6357&lt;&gt;"","?FAMILIAR",IF(F6357="NEW",IF(ISNA(VLOOKUP(E6357,#REF!,1,FALSE())),"?TYPE_IDENTIFIABLE","?REFERENTIAL"),"_")))))</f>
        <v> </v>
      </c>
      <c r="H6357" s="25" t="str">
        <f>IF(J6357&lt;&gt;1,"",IF(I6357="SBJ","CB","?"))</f>
        <v> </v>
      </c>
      <c r="I6357" s="26" t="str">
        <f>IF(OR(E6357="",E6357="!!!",F6357="NEW"),"",INDEX(B6356:B$2,-1+SUMPRODUCT(MAX(ROW(E6356:E$2)*(E6357=E6356:E$2)))))</f>
        <v> </v>
      </c>
      <c r="J6357" s="26" t="str">
        <f>IF(OR(E6357="",E6357="!!!",F6357="NEW"),"",COUNTBLANK(OFFSET(A$1,,,SUMPRODUCT(MAX(ROW(E$2:E6357)*(E6357=E$2:E6357)))))-COUNTBLANK(OFFSET(A$1,,,SUMPRODUCT(MAX(ROW(E$1:E6356)*(E2=E$1:E6356))))))</f>
        <v> </v>
      </c>
      <c r="K6357" s="26" t="str">
        <f>IF(OR(E6357="",E6357="!!!",F6357="NEW"),"",INDEX(J$1:J6356,SUMPRODUCT(MAX(ROW(E$1:E6356)*(E6357=E$1:E6356)))))</f>
        <v> </v>
      </c>
      <c r="L6357" s="27"/>
    </row>
    <row r="6358" spans="1:12">
      <c r="A6358" s="20" t="s">
        <v>1381</v>
      </c>
      <c r="B6358" s="21" t="s">
        <v>1204</v>
      </c>
      <c r="C6358" s="21" t="s">
        <v>1254</v>
      </c>
      <c r="E6358" s="22">
        <f>IF(D6358="?OLD","!!!","")</f>
        <v/>
      </c>
      <c r="F6358" s="23" t="str">
        <f>IF(OR(E6358="",E6358="!!!"),"",IF(NOT(ISNA(VLOOKUP(E6358,E$1:E6357,1,FALSE()))),"OLD",IF(AND(E6358&lt;&gt;"",E6358&lt;&gt;"!!!"),"NEW","")))</f>
        <v> </v>
      </c>
      <c r="G6358" s="24" t="str">
        <f>IF(OR(E6358="",E6358="!!!"),"",IF(OR(J6358=0,AND(J6358=1,K6358=1),AND(J6358=1,I6358="SBJ"),AND(J6358=1,I6358=0)),"?IN_FOCUS",IF(J6358&lt;=2,"?ACTIVATED",IF(J6358&lt;&gt;"","?FAMILIAR",IF(F6358="NEW",IF(ISNA(VLOOKUP(E6358,#REF!,1,FALSE())),"?TYPE_IDENTIFIABLE","?REFERENTIAL"),"_")))))</f>
        <v> </v>
      </c>
      <c r="H6358" s="25" t="str">
        <f>IF(J6358&lt;&gt;1,"",IF(I6358="SBJ","CB","?"))</f>
        <v> </v>
      </c>
      <c r="I6358" s="26" t="str">
        <f>IF(OR(E6358="",E6358="!!!",F6358="NEW"),"",INDEX(B6357:B$2,-1+SUMPRODUCT(MAX(ROW(E6357:E$2)*(E6358=E6357:E$2)))))</f>
        <v> </v>
      </c>
      <c r="J6358" s="26" t="str">
        <f>IF(OR(E6358="",E6358="!!!",F6358="NEW"),"",COUNTBLANK(OFFSET(A$1,,,SUMPRODUCT(MAX(ROW(E$2:E6358)*(E6358=E$2:E6358)))))-COUNTBLANK(OFFSET(A$1,,,SUMPRODUCT(MAX(ROW(E$1:E6357)*(E2=E$1:E6357))))))</f>
        <v> </v>
      </c>
      <c r="K6358" s="26" t="str">
        <f>IF(OR(E6358="",E6358="!!!",F6358="NEW"),"",INDEX(J$1:J6357,SUMPRODUCT(MAX(ROW(E$1:E6357)*(E6358=E$1:E6357)))))</f>
        <v> </v>
      </c>
      <c r="L6358" s="27"/>
    </row>
    <row r="6359" spans="1:12">
      <c r="A6359" s="20" t="s">
        <v>1185</v>
      </c>
      <c r="E6359" s="22">
        <f>IF(D6359="?OLD","!!!","")</f>
        <v/>
      </c>
      <c r="F6359" s="23" t="str">
        <f>IF(OR(E6359="",E6359="!!!"),"",IF(NOT(ISNA(VLOOKUP(E6359,E$1:E6358,1,FALSE()))),"OLD",IF(AND(E6359&lt;&gt;"",E6359&lt;&gt;"!!!"),"NEW","")))</f>
        <v> </v>
      </c>
      <c r="G6359" s="24" t="str">
        <f>IF(OR(E6359="",E6359="!!!"),"",IF(OR(J6359=0,AND(J6359=1,K6359=1),AND(J6359=1,I6359="SBJ"),AND(J6359=1,I6359=0)),"?IN_FOCUS",IF(J6359&lt;=2,"?ACTIVATED",IF(J6359&lt;&gt;"","?FAMILIAR",IF(F6359="NEW",IF(ISNA(VLOOKUP(E6359,#REF!,1,FALSE())),"?TYPE_IDENTIFIABLE","?REFERENTIAL"),"_")))))</f>
        <v> </v>
      </c>
      <c r="H6359" s="25" t="str">
        <f>IF(J6359&lt;&gt;1,"",IF(I6359="SBJ","CB","?"))</f>
        <v> </v>
      </c>
      <c r="I6359" s="26" t="str">
        <f>IF(OR(E6359="",E6359="!!!",F6359="NEW"),"",INDEX(B6358:B$2,-1+SUMPRODUCT(MAX(ROW(E6358:E$2)*(E6359=E6358:E$2)))))</f>
        <v> </v>
      </c>
      <c r="J6359" s="26" t="str">
        <f>IF(OR(E6359="",E6359="!!!",F6359="NEW"),"",COUNTBLANK(OFFSET(A$1,,,SUMPRODUCT(MAX(ROW(E$2:E6359)*(E6359=E$2:E6359)))))-COUNTBLANK(OFFSET(A$1,,,SUMPRODUCT(MAX(ROW(E$1:E6358)*(E2=E$1:E6358))))))</f>
        <v> </v>
      </c>
      <c r="K6359" s="26" t="str">
        <f>IF(OR(E6359="",E6359="!!!",F6359="NEW"),"",INDEX(J$1:J6358,SUMPRODUCT(MAX(ROW(E$1:E6358)*(E6359=E$1:E6358)))))</f>
        <v> </v>
      </c>
      <c r="L6359" s="27"/>
    </row>
    <row r="6360" spans="1:12">
      <c r="A6360" s="20" t="s">
        <v>1495</v>
      </c>
      <c r="B6360" s="21" t="s">
        <v>1304</v>
      </c>
      <c r="E6360" s="22">
        <f>IF(D6360="?OLD","!!!","")</f>
        <v/>
      </c>
      <c r="F6360" s="23" t="str">
        <f>IF(OR(E6360="",E6360="!!!"),"",IF(NOT(ISNA(VLOOKUP(E6360,E$1:E6359,1,FALSE()))),"OLD",IF(AND(E6360&lt;&gt;"",E6360&lt;&gt;"!!!"),"NEW","")))</f>
        <v> </v>
      </c>
      <c r="G6360" s="24" t="str">
        <f>IF(OR(E6360="",E6360="!!!"),"",IF(OR(J6360=0,AND(J6360=1,K6360=1),AND(J6360=1,I6360="SBJ"),AND(J6360=1,I6360=0)),"?IN_FOCUS",IF(J6360&lt;=2,"?ACTIVATED",IF(J6360&lt;&gt;"","?FAMILIAR",IF(F6360="NEW",IF(ISNA(VLOOKUP(E6360,#REF!,1,FALSE())),"?TYPE_IDENTIFIABLE","?REFERENTIAL"),"_")))))</f>
        <v> </v>
      </c>
      <c r="H6360" s="25" t="str">
        <f>IF(J6360&lt;&gt;1,"",IF(I6360="SBJ","CB","?"))</f>
        <v> </v>
      </c>
      <c r="I6360" s="26" t="str">
        <f>IF(OR(E6360="",E6360="!!!",F6360="NEW"),"",INDEX(B6359:B$2,-1+SUMPRODUCT(MAX(ROW(E6359:E$2)*(E6360=E6359:E$2)))))</f>
        <v> </v>
      </c>
      <c r="J6360" s="26" t="str">
        <f>IF(OR(E6360="",E6360="!!!",F6360="NEW"),"",COUNTBLANK(OFFSET(A$1,,,SUMPRODUCT(MAX(ROW(E$2:E6360)*(E6360=E$2:E6360)))))-COUNTBLANK(OFFSET(A$1,,,SUMPRODUCT(MAX(ROW(E$1:E6359)*(E2=E$1:E6359))))))</f>
        <v> </v>
      </c>
      <c r="K6360" s="26" t="str">
        <f>IF(OR(E6360="",E6360="!!!",F6360="NEW"),"",INDEX(J$1:J6359,SUMPRODUCT(MAX(ROW(E$1:E6359)*(E6360=E$1:E6359)))))</f>
        <v> </v>
      </c>
      <c r="L6360" s="27"/>
    </row>
    <row r="6361" spans="1:12">
      <c r="A6361" s="20" t="s">
        <v>1186</v>
      </c>
      <c r="E6361" s="22">
        <f>IF(D6361="?OLD","!!!","")</f>
        <v/>
      </c>
      <c r="F6361" s="23" t="str">
        <f>IF(OR(E6361="",E6361="!!!"),"",IF(NOT(ISNA(VLOOKUP(E6361,E$1:E6360,1,FALSE()))),"OLD",IF(AND(E6361&lt;&gt;"",E6361&lt;&gt;"!!!"),"NEW","")))</f>
        <v> </v>
      </c>
      <c r="G6361" s="24" t="str">
        <f>IF(OR(E6361="",E6361="!!!"),"",IF(OR(J6361=0,AND(J6361=1,K6361=1),AND(J6361=1,I6361="SBJ"),AND(J6361=1,I6361=0)),"?IN_FOCUS",IF(J6361&lt;=2,"?ACTIVATED",IF(J6361&lt;&gt;"","?FAMILIAR",IF(F6361="NEW",IF(ISNA(VLOOKUP(E6361,#REF!,1,FALSE())),"?TYPE_IDENTIFIABLE","?REFERENTIAL"),"_")))))</f>
        <v> </v>
      </c>
      <c r="H6361" s="25" t="str">
        <f>IF(J6361&lt;&gt;1,"",IF(I6361="SBJ","CB","?"))</f>
        <v> </v>
      </c>
      <c r="I6361" s="26" t="str">
        <f>IF(OR(E6361="",E6361="!!!",F6361="NEW"),"",INDEX(B6360:B$2,-1+SUMPRODUCT(MAX(ROW(E6360:E$2)*(E6361=E6360:E$2)))))</f>
        <v> </v>
      </c>
      <c r="J6361" s="26" t="str">
        <f>IF(OR(E6361="",E6361="!!!",F6361="NEW"),"",COUNTBLANK(OFFSET(A$1,,,SUMPRODUCT(MAX(ROW(E$2:E6361)*(E6361=E$2:E6361)))))-COUNTBLANK(OFFSET(A$1,,,SUMPRODUCT(MAX(ROW(E$1:E6360)*(E2=E$1:E6360))))))</f>
        <v> </v>
      </c>
      <c r="K6361" s="26" t="str">
        <f>IF(OR(E6361="",E6361="!!!",F6361="NEW"),"",INDEX(J$1:J6360,SUMPRODUCT(MAX(ROW(E$1:E6360)*(E6361=E$1:E6360)))))</f>
        <v> </v>
      </c>
      <c r="L6361" s="27"/>
    </row>
    <row r="6362" spans="1:12">
      <c r="A6362" s="20" t="s">
        <v>1449</v>
      </c>
      <c r="B6362" s="21" t="s">
        <v>1306</v>
      </c>
      <c r="C6362" s="21" t="s">
        <v>1188</v>
      </c>
      <c r="D6362" s="21" t="s">
        <v>1180</v>
      </c>
      <c r="E6362" s="22">
        <f>IF(D6362="?OLD","!!!","")</f>
        <v/>
      </c>
      <c r="F6362" s="23" t="str">
        <f>IF(OR(E6362="",E6362="!!!"),"",IF(NOT(ISNA(VLOOKUP(E6362,E$1:E6361,1,FALSE()))),"OLD",IF(AND(E6362&lt;&gt;"",E6362&lt;&gt;"!!!"),"NEW","")))</f>
        <v> </v>
      </c>
      <c r="G6362" s="24" t="str">
        <f>IF(OR(E6362="",E6362="!!!"),"",IF(OR(J6362=0,AND(J6362=1,K6362=1),AND(J6362=1,I6362="SBJ"),AND(J6362=1,I6362=0)),"?IN_FOCUS",IF(J6362&lt;=2,"?ACTIVATED",IF(J6362&lt;&gt;"","?FAMILIAR",IF(F6362="NEW",IF(ISNA(VLOOKUP(E6362,#REF!,1,FALSE())),"?TYPE_IDENTIFIABLE","?REFERENTIAL"),"_")))))</f>
        <v> </v>
      </c>
      <c r="H6362" s="25" t="str">
        <f>IF(J6362&lt;&gt;1,"",IF(I6362="SBJ","CB","?"))</f>
        <v> </v>
      </c>
      <c r="I6362" s="26" t="str">
        <f>IF(OR(E6362="",E6362="!!!",F6362="NEW"),"",INDEX(B6361:B$2,-1+SUMPRODUCT(MAX(ROW(E6361:E$2)*(E6362=E6361:E$2)))))</f>
        <v> </v>
      </c>
      <c r="J6362" s="26" t="str">
        <f>IF(OR(E6362="",E6362="!!!",F6362="NEW"),"",COUNTBLANK(OFFSET(A$1,,,SUMPRODUCT(MAX(ROW(E$2:E6362)*(E6362=E$2:E6362)))))-COUNTBLANK(OFFSET(A$1,,,SUMPRODUCT(MAX(ROW(E$1:E6361)*(E2=E$1:E6361))))))</f>
        <v> </v>
      </c>
      <c r="K6362" s="26" t="str">
        <f>IF(OR(E6362="",E6362="!!!",F6362="NEW"),"",INDEX(J$1:J6361,SUMPRODUCT(MAX(ROW(E$1:E6361)*(E6362=E$1:E6361)))))</f>
        <v> </v>
      </c>
      <c r="L6362" s="27"/>
    </row>
    <row r="6363" spans="1:12">
      <c r="A6363" s="20" t="s">
        <v>219</v>
      </c>
      <c r="E6363" s="22">
        <f>IF(D6363="?OLD","!!!","")</f>
        <v/>
      </c>
      <c r="F6363" s="23" t="str">
        <f>IF(OR(E6363="",E6363="!!!"),"",IF(NOT(ISNA(VLOOKUP(E6363,E$1:E6362,1,FALSE()))),"OLD",IF(AND(E6363&lt;&gt;"",E6363&lt;&gt;"!!!"),"NEW","")))</f>
        <v> </v>
      </c>
      <c r="G6363" s="24" t="str">
        <f>IF(OR(E6363="",E6363="!!!"),"",IF(OR(J6363=0,AND(J6363=1,K6363=1),AND(J6363=1,I6363="SBJ"),AND(J6363=1,I6363=0)),"?IN_FOCUS",IF(J6363&lt;=2,"?ACTIVATED",IF(J6363&lt;&gt;"","?FAMILIAR",IF(F6363="NEW",IF(ISNA(VLOOKUP(E6363,#REF!,1,FALSE())),"?TYPE_IDENTIFIABLE","?REFERENTIAL"),"_")))))</f>
        <v> </v>
      </c>
      <c r="H6363" s="25" t="str">
        <f>IF(J6363&lt;&gt;1,"",IF(I6363="SBJ","CB","?"))</f>
        <v> </v>
      </c>
      <c r="I6363" s="26" t="str">
        <f>IF(OR(E6363="",E6363="!!!",F6363="NEW"),"",INDEX(B6362:B$2,-1+SUMPRODUCT(MAX(ROW(E6362:E$2)*(E6363=E6362:E$2)))))</f>
        <v> </v>
      </c>
      <c r="J6363" s="26" t="str">
        <f>IF(OR(E6363="",E6363="!!!",F6363="NEW"),"",COUNTBLANK(OFFSET(A$1,,,SUMPRODUCT(MAX(ROW(E$2:E6363)*(E6363=E$2:E6363)))))-COUNTBLANK(OFFSET(A$1,,,SUMPRODUCT(MAX(ROW(E$1:E6362)*(E2=E$1:E6362))))))</f>
        <v> </v>
      </c>
      <c r="K6363" s="26" t="str">
        <f>IF(OR(E6363="",E6363="!!!",F6363="NEW"),"",INDEX(J$1:J6362,SUMPRODUCT(MAX(ROW(E$1:E6362)*(E6363=E$1:E6362)))))</f>
        <v> </v>
      </c>
      <c r="L6363" s="27"/>
    </row>
    <row r="6364" spans="1:12">
      <c r="A6364" s="20" t="s">
        <v>1307</v>
      </c>
      <c r="E6364" s="22">
        <f>IF(D6364="?OLD","!!!","")</f>
        <v/>
      </c>
      <c r="F6364" s="23" t="str">
        <f>IF(OR(E6364="",E6364="!!!"),"",IF(NOT(ISNA(VLOOKUP(E6364,E$1:E6363,1,FALSE()))),"OLD",IF(AND(E6364&lt;&gt;"",E6364&lt;&gt;"!!!"),"NEW","")))</f>
        <v> </v>
      </c>
      <c r="G6364" s="24" t="str">
        <f>IF(OR(E6364="",E6364="!!!"),"",IF(OR(J6364=0,AND(J6364=1,K6364=1),AND(J6364=1,I6364="SBJ"),AND(J6364=1,I6364=0)),"?IN_FOCUS",IF(J6364&lt;=2,"?ACTIVATED",IF(J6364&lt;&gt;"","?FAMILIAR",IF(F6364="NEW",IF(ISNA(VLOOKUP(E6364,#REF!,1,FALSE())),"?TYPE_IDENTIFIABLE","?REFERENTIAL"),"_")))))</f>
        <v> </v>
      </c>
      <c r="H6364" s="25" t="str">
        <f>IF(J6364&lt;&gt;1,"",IF(I6364="SBJ","CB","?"))</f>
        <v> </v>
      </c>
      <c r="I6364" s="26" t="str">
        <f>IF(OR(E6364="",E6364="!!!",F6364="NEW"),"",INDEX(B6363:B$2,-1+SUMPRODUCT(MAX(ROW(E6363:E$2)*(E6364=E6363:E$2)))))</f>
        <v> </v>
      </c>
      <c r="J6364" s="26" t="str">
        <f>IF(OR(E6364="",E6364="!!!",F6364="NEW"),"",COUNTBLANK(OFFSET(A$1,,,SUMPRODUCT(MAX(ROW(E$2:E6364)*(E6364=E$2:E6364)))))-COUNTBLANK(OFFSET(A$1,,,SUMPRODUCT(MAX(ROW(E$1:E6363)*(E2=E$1:E6363))))))</f>
        <v> </v>
      </c>
      <c r="K6364" s="26" t="str">
        <f>IF(OR(E6364="",E6364="!!!",F6364="NEW"),"",INDEX(J$1:J6363,SUMPRODUCT(MAX(ROW(E$1:E6363)*(E6364=E$1:E6363)))))</f>
        <v> </v>
      </c>
      <c r="L6364" s="27"/>
    </row>
    <row r="6365" spans="1:12">
      <c r="A6365" s="20" t="s">
        <v>818</v>
      </c>
      <c r="E6365" s="22">
        <f>IF(D6365="?OLD","!!!","")</f>
        <v/>
      </c>
      <c r="F6365" s="23" t="str">
        <f>IF(OR(E6365="",E6365="!!!"),"",IF(NOT(ISNA(VLOOKUP(E6365,E$1:E6364,1,FALSE()))),"OLD",IF(AND(E6365&lt;&gt;"",E6365&lt;&gt;"!!!"),"NEW","")))</f>
        <v> </v>
      </c>
      <c r="G6365" s="24" t="str">
        <f>IF(OR(E6365="",E6365="!!!"),"",IF(OR(J6365=0,AND(J6365=1,K6365=1),AND(J6365=1,I6365="SBJ"),AND(J6365=1,I6365=0)),"?IN_FOCUS",IF(J6365&lt;=2,"?ACTIVATED",IF(J6365&lt;&gt;"","?FAMILIAR",IF(F6365="NEW",IF(ISNA(VLOOKUP(E6365,#REF!,1,FALSE())),"?TYPE_IDENTIFIABLE","?REFERENTIAL"),"_")))))</f>
        <v> </v>
      </c>
      <c r="H6365" s="25" t="str">
        <f>IF(J6365&lt;&gt;1,"",IF(I6365="SBJ","CB","?"))</f>
        <v> </v>
      </c>
      <c r="I6365" s="26" t="str">
        <f>IF(OR(E6365="",E6365="!!!",F6365="NEW"),"",INDEX(B6364:B$2,-1+SUMPRODUCT(MAX(ROW(E6364:E$2)*(E6365=E6364:E$2)))))</f>
        <v> </v>
      </c>
      <c r="J6365" s="26" t="str">
        <f>IF(OR(E6365="",E6365="!!!",F6365="NEW"),"",COUNTBLANK(OFFSET(A$1,,,SUMPRODUCT(MAX(ROW(E$2:E6365)*(E6365=E$2:E6365)))))-COUNTBLANK(OFFSET(A$1,,,SUMPRODUCT(MAX(ROW(E$1:E6364)*(E2=E$1:E6364))))))</f>
        <v> </v>
      </c>
      <c r="K6365" s="26" t="str">
        <f>IF(OR(E6365="",E6365="!!!",F6365="NEW"),"",INDEX(J$1:J6364,SUMPRODUCT(MAX(ROW(E$1:E6364)*(E6365=E$1:E6364)))))</f>
        <v> </v>
      </c>
      <c r="L6365" s="27"/>
    </row>
    <row r="6366" spans="1:12">
      <c r="A6366" s="20"/>
    </row>
    <row r="6367" spans="1:12">
      <c r="A6367" s="20" t="s">
        <v>2894</v>
      </c>
    </row>
    <row r="6368" spans="1:12">
      <c r="A6368" s="20" t="s">
        <v>1309</v>
      </c>
      <c r="E6368" s="22">
        <f>IF(D6368="?OLD","!!!","")</f>
        <v/>
      </c>
      <c r="F6368" s="23" t="str">
        <f>IF(OR(E6368="",E6368="!!!"),"",IF(NOT(ISNA(VLOOKUP(E6368,E$1:E6367,1,FALSE()))),"OLD",IF(AND(E6368&lt;&gt;"",E6368&lt;&gt;"!!!"),"NEW","")))</f>
        <v> </v>
      </c>
      <c r="G6368" s="24" t="str">
        <f>IF(OR(E6368="",E6368="!!!"),"",IF(OR(J6368=0,AND(J6368=1,K6368=1),AND(J6368=1,I6368="SBJ"),AND(J6368=1,I6368=0)),"?IN_FOCUS",IF(J6368&lt;=2,"?ACTIVATED",IF(J6368&lt;&gt;"","?FAMILIAR",IF(F6368="NEW",IF(ISNA(VLOOKUP(E6368,#REF!,1,FALSE())),"?TYPE_IDENTIFIABLE","?REFERENTIAL"),"_")))))</f>
        <v> </v>
      </c>
      <c r="H6368" s="25" t="str">
        <f>IF(J6368&lt;&gt;1,"",IF(I6368="SBJ","CB","?"))</f>
        <v> </v>
      </c>
      <c r="I6368" s="26" t="str">
        <f>IF(OR(E6368="",E6368="!!!",F6368="NEW"),"",INDEX(B6367:B$2,-1+SUMPRODUCT(MAX(ROW(E6367:E$2)*(E6368=E6367:E$2)))))</f>
        <v> </v>
      </c>
      <c r="J6368" s="26" t="str">
        <f>IF(OR(E6368="",E6368="!!!",F6368="NEW"),"",COUNTBLANK(OFFSET(A$1,,,SUMPRODUCT(MAX(ROW(E$2:E6368)*(E6368=E$2:E6368)))))-COUNTBLANK(OFFSET(A$1,,,SUMPRODUCT(MAX(ROW(E$1:E6367)*(E2=E$1:E6367))))))</f>
        <v> </v>
      </c>
      <c r="K6368" s="26" t="str">
        <f>IF(OR(E6368="",E6368="!!!",F6368="NEW"),"",INDEX(J$1:J6367,SUMPRODUCT(MAX(ROW(E$1:E6367)*(E6368=E$1:E6367)))))</f>
        <v> </v>
      </c>
      <c r="L6368" s="27"/>
    </row>
    <row r="6369" spans="1:12">
      <c r="A6369" s="20" t="s">
        <v>1330</v>
      </c>
      <c r="B6369" s="21" t="s">
        <v>1191</v>
      </c>
      <c r="C6369" s="21" t="s">
        <v>1254</v>
      </c>
      <c r="E6369" s="22">
        <f>IF(D6369="?OLD","!!!","")</f>
        <v/>
      </c>
      <c r="F6369" s="23" t="str">
        <f>IF(OR(E6369="",E6369="!!!"),"",IF(NOT(ISNA(VLOOKUP(E6369,E$1:E6368,1,FALSE()))),"OLD",IF(AND(E6369&lt;&gt;"",E6369&lt;&gt;"!!!"),"NEW","")))</f>
        <v> </v>
      </c>
      <c r="G6369" s="24" t="str">
        <f>IF(OR(E6369="",E6369="!!!"),"",IF(OR(J6369=0,AND(J6369=1,K6369=1),AND(J6369=1,I6369="SBJ"),AND(J6369=1,I6369=0)),"?IN_FOCUS",IF(J6369&lt;=2,"?ACTIVATED",IF(J6369&lt;&gt;"","?FAMILIAR",IF(F6369="NEW",IF(ISNA(VLOOKUP(E6369,#REF!,1,FALSE())),"?TYPE_IDENTIFIABLE","?REFERENTIAL"),"_")))))</f>
        <v> </v>
      </c>
      <c r="H6369" s="25" t="str">
        <f>IF(J6369&lt;&gt;1,"",IF(I6369="SBJ","CB","?"))</f>
        <v> </v>
      </c>
      <c r="I6369" s="26" t="str">
        <f>IF(OR(E6369="",E6369="!!!",F6369="NEW"),"",INDEX(B6368:B$2,-1+SUMPRODUCT(MAX(ROW(E6368:E$2)*(E6369=E6368:E$2)))))</f>
        <v> </v>
      </c>
      <c r="J6369" s="26" t="str">
        <f>IF(OR(E6369="",E6369="!!!",F6369="NEW"),"",COUNTBLANK(OFFSET(A$1,,,SUMPRODUCT(MAX(ROW(E$2:E6369)*(E6369=E$2:E6369)))))-COUNTBLANK(OFFSET(A$1,,,SUMPRODUCT(MAX(ROW(E$1:E6368)*(E2=E$1:E6368))))))</f>
        <v> </v>
      </c>
      <c r="K6369" s="26" t="str">
        <f>IF(OR(E6369="",E6369="!!!",F6369="NEW"),"",INDEX(J$1:J6368,SUMPRODUCT(MAX(ROW(E$1:E6368)*(E6369=E$1:E6368)))))</f>
        <v> </v>
      </c>
      <c r="L6369" s="27"/>
    </row>
    <row r="6370" spans="1:12">
      <c r="A6370" s="20" t="s">
        <v>1198</v>
      </c>
      <c r="E6370" s="22">
        <f>IF(D6370="?OLD","!!!","")</f>
        <v/>
      </c>
      <c r="F6370" s="23" t="str">
        <f>IF(OR(E6370="",E6370="!!!"),"",IF(NOT(ISNA(VLOOKUP(E6370,E$1:E6369,1,FALSE()))),"OLD",IF(AND(E6370&lt;&gt;"",E6370&lt;&gt;"!!!"),"NEW","")))</f>
        <v> </v>
      </c>
      <c r="G6370" s="24" t="str">
        <f>IF(OR(E6370="",E6370="!!!"),"",IF(OR(J6370=0,AND(J6370=1,K6370=1),AND(J6370=1,I6370="SBJ"),AND(J6370=1,I6370=0)),"?IN_FOCUS",IF(J6370&lt;=2,"?ACTIVATED",IF(J6370&lt;&gt;"","?FAMILIAR",IF(F6370="NEW",IF(ISNA(VLOOKUP(E6370,#REF!,1,FALSE())),"?TYPE_IDENTIFIABLE","?REFERENTIAL"),"_")))))</f>
        <v> </v>
      </c>
      <c r="H6370" s="25" t="str">
        <f>IF(J6370&lt;&gt;1,"",IF(I6370="SBJ","CB","?"))</f>
        <v> </v>
      </c>
      <c r="I6370" s="26" t="str">
        <f>IF(OR(E6370="",E6370="!!!",F6370="NEW"),"",INDEX(B6369:B$2,-1+SUMPRODUCT(MAX(ROW(E6369:E$2)*(E6370=E6369:E$2)))))</f>
        <v> </v>
      </c>
      <c r="J6370" s="26" t="str">
        <f>IF(OR(E6370="",E6370="!!!",F6370="NEW"),"",COUNTBLANK(OFFSET(A$1,,,SUMPRODUCT(MAX(ROW(E$2:E6370)*(E6370=E$2:E6370)))))-COUNTBLANK(OFFSET(A$1,,,SUMPRODUCT(MAX(ROW(E$1:E6369)*(E2=E$1:E6369))))))</f>
        <v> </v>
      </c>
      <c r="K6370" s="26" t="str">
        <f>IF(OR(E6370="",E6370="!!!",F6370="NEW"),"",INDEX(J$1:J6369,SUMPRODUCT(MAX(ROW(E$1:E6369)*(E6370=E$1:E6369)))))</f>
        <v> </v>
      </c>
      <c r="L6370" s="27"/>
    </row>
    <row r="6371" spans="1:12">
      <c r="A6371" s="20" t="s">
        <v>2895</v>
      </c>
      <c r="E6371" s="22">
        <f>IF(D6371="?OLD","!!!","")</f>
        <v/>
      </c>
      <c r="F6371" s="23" t="str">
        <f>IF(OR(E6371="",E6371="!!!"),"",IF(NOT(ISNA(VLOOKUP(E6371,E$1:E6370,1,FALSE()))),"OLD",IF(AND(E6371&lt;&gt;"",E6371&lt;&gt;"!!!"),"NEW","")))</f>
        <v> </v>
      </c>
      <c r="G6371" s="24" t="str">
        <f>IF(OR(E6371="",E6371="!!!"),"",IF(OR(J6371=0,AND(J6371=1,K6371=1),AND(J6371=1,I6371="SBJ"),AND(J6371=1,I6371=0)),"?IN_FOCUS",IF(J6371&lt;=2,"?ACTIVATED",IF(J6371&lt;&gt;"","?FAMILIAR",IF(F6371="NEW",IF(ISNA(VLOOKUP(E6371,#REF!,1,FALSE())),"?TYPE_IDENTIFIABLE","?REFERENTIAL"),"_")))))</f>
        <v> </v>
      </c>
      <c r="H6371" s="25" t="str">
        <f>IF(J6371&lt;&gt;1,"",IF(I6371="SBJ","CB","?"))</f>
        <v> </v>
      </c>
      <c r="I6371" s="26" t="str">
        <f>IF(OR(E6371="",E6371="!!!",F6371="NEW"),"",INDEX(B6370:B$2,-1+SUMPRODUCT(MAX(ROW(E6370:E$2)*(E6371=E6370:E$2)))))</f>
        <v> </v>
      </c>
      <c r="J6371" s="26" t="str">
        <f>IF(OR(E6371="",E6371="!!!",F6371="NEW"),"",COUNTBLANK(OFFSET(A$1,,,SUMPRODUCT(MAX(ROW(E$2:E6371)*(E6371=E$2:E6371)))))-COUNTBLANK(OFFSET(A$1,,,SUMPRODUCT(MAX(ROW(E$1:E6370)*(E2=E$1:E6370))))))</f>
        <v> </v>
      </c>
      <c r="K6371" s="26" t="str">
        <f>IF(OR(E6371="",E6371="!!!",F6371="NEW"),"",INDEX(J$1:J6370,SUMPRODUCT(MAX(ROW(E$1:E6370)*(E6371=E$1:E6370)))))</f>
        <v> </v>
      </c>
      <c r="L6371" s="27"/>
    </row>
    <row r="6372" spans="1:12">
      <c r="A6372" s="20" t="s">
        <v>2309</v>
      </c>
      <c r="B6372" s="21" t="s">
        <v>1178</v>
      </c>
      <c r="C6372" s="21" t="s">
        <v>1188</v>
      </c>
      <c r="D6372" s="21" t="s">
        <v>1180</v>
      </c>
      <c r="E6372" s="22">
        <f>IF(D6372="?OLD","!!!","")</f>
        <v/>
      </c>
      <c r="F6372" s="23" t="str">
        <f>IF(OR(E6372="",E6372="!!!"),"",IF(NOT(ISNA(VLOOKUP(E6372,E$1:E6371,1,FALSE()))),"OLD",IF(AND(E6372&lt;&gt;"",E6372&lt;&gt;"!!!"),"NEW","")))</f>
        <v> </v>
      </c>
      <c r="G6372" s="24" t="str">
        <f>IF(OR(E6372="",E6372="!!!"),"",IF(OR(J6372=0,AND(J6372=1,K6372=1),AND(J6372=1,I6372="SBJ"),AND(J6372=1,I6372=0)),"?IN_FOCUS",IF(J6372&lt;=2,"?ACTIVATED",IF(J6372&lt;&gt;"","?FAMILIAR",IF(F6372="NEW",IF(ISNA(VLOOKUP(E6372,#REF!,1,FALSE())),"?TYPE_IDENTIFIABLE","?REFERENTIAL"),"_")))))</f>
        <v> </v>
      </c>
      <c r="H6372" s="25" t="str">
        <f>IF(J6372&lt;&gt;1,"",IF(I6372="SBJ","CB","?"))</f>
        <v> </v>
      </c>
      <c r="I6372" s="26" t="str">
        <f>IF(OR(E6372="",E6372="!!!",F6372="NEW"),"",INDEX(B6371:B$2,-1+SUMPRODUCT(MAX(ROW(E6371:E$2)*(E6372=E6371:E$2)))))</f>
        <v> </v>
      </c>
      <c r="J6372" s="26" t="str">
        <f>IF(OR(E6372="",E6372="!!!",F6372="NEW"),"",COUNTBLANK(OFFSET(A$1,,,SUMPRODUCT(MAX(ROW(E$2:E6372)*(E6372=E$2:E6372)))))-COUNTBLANK(OFFSET(A$1,,,SUMPRODUCT(MAX(ROW(E$1:E6371)*(E2=E$1:E6371))))))</f>
        <v> </v>
      </c>
      <c r="K6372" s="26" t="str">
        <f>IF(OR(E6372="",E6372="!!!",F6372="NEW"),"",INDEX(J$1:J6371,SUMPRODUCT(MAX(ROW(E$1:E6371)*(E6372=E$1:E6371)))))</f>
        <v> </v>
      </c>
      <c r="L6372" s="27"/>
    </row>
    <row r="6373" spans="1:12">
      <c r="A6373" s="20" t="s">
        <v>1271</v>
      </c>
      <c r="E6373" s="22">
        <f>IF(D6373="?OLD","!!!","")</f>
        <v/>
      </c>
      <c r="F6373" s="23" t="str">
        <f>IF(OR(E6373="",E6373="!!!"),"",IF(NOT(ISNA(VLOOKUP(E6373,E$1:E6372,1,FALSE()))),"OLD",IF(AND(E6373&lt;&gt;"",E6373&lt;&gt;"!!!"),"NEW","")))</f>
        <v> </v>
      </c>
      <c r="G6373" s="24" t="str">
        <f>IF(OR(E6373="",E6373="!!!"),"",IF(OR(J6373=0,AND(J6373=1,K6373=1),AND(J6373=1,I6373="SBJ"),AND(J6373=1,I6373=0)),"?IN_FOCUS",IF(J6373&lt;=2,"?ACTIVATED",IF(J6373&lt;&gt;"","?FAMILIAR",IF(F6373="NEW",IF(ISNA(VLOOKUP(E6373,#REF!,1,FALSE())),"?TYPE_IDENTIFIABLE","?REFERENTIAL"),"_")))))</f>
        <v> </v>
      </c>
      <c r="H6373" s="25" t="str">
        <f>IF(J6373&lt;&gt;1,"",IF(I6373="SBJ","CB","?"))</f>
        <v> </v>
      </c>
      <c r="I6373" s="26" t="str">
        <f>IF(OR(E6373="",E6373="!!!",F6373="NEW"),"",INDEX(B6372:B$2,-1+SUMPRODUCT(MAX(ROW(E6372:E$2)*(E6373=E6372:E$2)))))</f>
        <v> </v>
      </c>
      <c r="J6373" s="26" t="str">
        <f>IF(OR(E6373="",E6373="!!!",F6373="NEW"),"",COUNTBLANK(OFFSET(A$1,,,SUMPRODUCT(MAX(ROW(E$2:E6373)*(E6373=E$2:E6373)))))-COUNTBLANK(OFFSET(A$1,,,SUMPRODUCT(MAX(ROW(E$1:E6372)*(E2=E$1:E6372))))))</f>
        <v> </v>
      </c>
      <c r="K6373" s="26" t="str">
        <f>IF(OR(E6373="",E6373="!!!",F6373="NEW"),"",INDEX(J$1:J6372,SUMPRODUCT(MAX(ROW(E$1:E6372)*(E6373=E$1:E6372)))))</f>
        <v> </v>
      </c>
      <c r="L6373" s="27"/>
    </row>
    <row r="6374" spans="1:12">
      <c r="A6374" s="20" t="s">
        <v>1186</v>
      </c>
      <c r="E6374" s="22">
        <f>IF(D6374="?OLD","!!!","")</f>
        <v/>
      </c>
      <c r="F6374" s="23" t="str">
        <f>IF(OR(E6374="",E6374="!!!"),"",IF(NOT(ISNA(VLOOKUP(E6374,E$1:E6373,1,FALSE()))),"OLD",IF(AND(E6374&lt;&gt;"",E6374&lt;&gt;"!!!"),"NEW","")))</f>
        <v> </v>
      </c>
      <c r="G6374" s="24" t="str">
        <f>IF(OR(E6374="",E6374="!!!"),"",IF(OR(J6374=0,AND(J6374=1,K6374=1),AND(J6374=1,I6374="SBJ"),AND(J6374=1,I6374=0)),"?IN_FOCUS",IF(J6374&lt;=2,"?ACTIVATED",IF(J6374&lt;&gt;"","?FAMILIAR",IF(F6374="NEW",IF(ISNA(VLOOKUP(E6374,#REF!,1,FALSE())),"?TYPE_IDENTIFIABLE","?REFERENTIAL"),"_")))))</f>
        <v> </v>
      </c>
      <c r="H6374" s="25" t="str">
        <f>IF(J6374&lt;&gt;1,"",IF(I6374="SBJ","CB","?"))</f>
        <v> </v>
      </c>
      <c r="I6374" s="26" t="str">
        <f>IF(OR(E6374="",E6374="!!!",F6374="NEW"),"",INDEX(B6373:B$2,-1+SUMPRODUCT(MAX(ROW(E6373:E$2)*(E6374=E6373:E$2)))))</f>
        <v> </v>
      </c>
      <c r="J6374" s="26" t="str">
        <f>IF(OR(E6374="",E6374="!!!",F6374="NEW"),"",COUNTBLANK(OFFSET(A$1,,,SUMPRODUCT(MAX(ROW(E$2:E6374)*(E6374=E$2:E6374)))))-COUNTBLANK(OFFSET(A$1,,,SUMPRODUCT(MAX(ROW(E$1:E6373)*(E2=E$1:E6373))))))</f>
        <v> </v>
      </c>
      <c r="K6374" s="26" t="str">
        <f>IF(OR(E6374="",E6374="!!!",F6374="NEW"),"",INDEX(J$1:J6373,SUMPRODUCT(MAX(ROW(E$1:E6373)*(E6374=E$1:E6373)))))</f>
        <v> </v>
      </c>
      <c r="L6374" s="27"/>
    </row>
    <row r="6375" spans="1:12">
      <c r="A6375" s="20" t="s">
        <v>1338</v>
      </c>
      <c r="B6375" s="21" t="s">
        <v>1194</v>
      </c>
      <c r="C6375" s="21" t="s">
        <v>1188</v>
      </c>
      <c r="D6375" s="21" t="s">
        <v>1180</v>
      </c>
      <c r="E6375" s="22">
        <f>IF(D6375="?OLD","!!!","")</f>
        <v/>
      </c>
      <c r="F6375" s="23" t="str">
        <f>IF(OR(E6375="",E6375="!!!"),"",IF(NOT(ISNA(VLOOKUP(E6375,E$1:E6374,1,FALSE()))),"OLD",IF(AND(E6375&lt;&gt;"",E6375&lt;&gt;"!!!"),"NEW","")))</f>
        <v> </v>
      </c>
      <c r="G6375" s="24" t="str">
        <f>IF(OR(E6375="",E6375="!!!"),"",IF(OR(J6375=0,AND(J6375=1,K6375=1),AND(J6375=1,I6375="SBJ"),AND(J6375=1,I6375=0)),"?IN_FOCUS",IF(J6375&lt;=2,"?ACTIVATED",IF(J6375&lt;&gt;"","?FAMILIAR",IF(F6375="NEW",IF(ISNA(VLOOKUP(E6375,#REF!,1,FALSE())),"?TYPE_IDENTIFIABLE","?REFERENTIAL"),"_")))))</f>
        <v> </v>
      </c>
      <c r="H6375" s="25" t="str">
        <f>IF(J6375&lt;&gt;1,"",IF(I6375="SBJ","CB","?"))</f>
        <v> </v>
      </c>
      <c r="I6375" s="26" t="str">
        <f>IF(OR(E6375="",E6375="!!!",F6375="NEW"),"",INDEX(B6374:B$2,-1+SUMPRODUCT(MAX(ROW(E6374:E$2)*(E6375=E6374:E$2)))))</f>
        <v> </v>
      </c>
      <c r="J6375" s="26" t="str">
        <f>IF(OR(E6375="",E6375="!!!",F6375="NEW"),"",COUNTBLANK(OFFSET(A$1,,,SUMPRODUCT(MAX(ROW(E$2:E6375)*(E6375=E$2:E6375)))))-COUNTBLANK(OFFSET(A$1,,,SUMPRODUCT(MAX(ROW(E$1:E6374)*(E2=E$1:E6374))))))</f>
        <v> </v>
      </c>
      <c r="K6375" s="26" t="str">
        <f>IF(OR(E6375="",E6375="!!!",F6375="NEW"),"",INDEX(J$1:J6374,SUMPRODUCT(MAX(ROW(E$1:E6374)*(E6375=E$1:E6374)))))</f>
        <v> </v>
      </c>
      <c r="L6375" s="27"/>
    </row>
    <row r="6376" spans="1:12">
      <c r="A6376" s="20" t="s">
        <v>2896</v>
      </c>
      <c r="E6376" s="22">
        <f>IF(D6376="?OLD","!!!","")</f>
        <v/>
      </c>
      <c r="F6376" s="23" t="str">
        <f>IF(OR(E6376="",E6376="!!!"),"",IF(NOT(ISNA(VLOOKUP(E6376,E$1:E6375,1,FALSE()))),"OLD",IF(AND(E6376&lt;&gt;"",E6376&lt;&gt;"!!!"),"NEW","")))</f>
        <v> </v>
      </c>
      <c r="G6376" s="24" t="str">
        <f>IF(OR(E6376="",E6376="!!!"),"",IF(OR(J6376=0,AND(J6376=1,K6376=1),AND(J6376=1,I6376="SBJ"),AND(J6376=1,I6376=0)),"?IN_FOCUS",IF(J6376&lt;=2,"?ACTIVATED",IF(J6376&lt;&gt;"","?FAMILIAR",IF(F6376="NEW",IF(ISNA(VLOOKUP(E6376,#REF!,1,FALSE())),"?TYPE_IDENTIFIABLE","?REFERENTIAL"),"_")))))</f>
        <v> </v>
      </c>
      <c r="H6376" s="25" t="str">
        <f>IF(J6376&lt;&gt;1,"",IF(I6376="SBJ","CB","?"))</f>
        <v> </v>
      </c>
      <c r="I6376" s="26" t="str">
        <f>IF(OR(E6376="",E6376="!!!",F6376="NEW"),"",INDEX(B6375:B$2,-1+SUMPRODUCT(MAX(ROW(E6375:E$2)*(E6376=E6375:E$2)))))</f>
        <v> </v>
      </c>
      <c r="J6376" s="26" t="str">
        <f>IF(OR(E6376="",E6376="!!!",F6376="NEW"),"",COUNTBLANK(OFFSET(A$1,,,SUMPRODUCT(MAX(ROW(E$2:E6376)*(E6376=E$2:E6376)))))-COUNTBLANK(OFFSET(A$1,,,SUMPRODUCT(MAX(ROW(E$1:E6375)*(E2=E$1:E6375))))))</f>
        <v> </v>
      </c>
      <c r="K6376" s="26" t="str">
        <f>IF(OR(E6376="",E6376="!!!",F6376="NEW"),"",INDEX(J$1:J6375,SUMPRODUCT(MAX(ROW(E$1:E6375)*(E6376=E$1:E6375)))))</f>
        <v> </v>
      </c>
      <c r="L6376" s="27"/>
    </row>
    <row r="6377" spans="1:12">
      <c r="A6377" s="20" t="s">
        <v>1185</v>
      </c>
      <c r="E6377" s="22">
        <f>IF(D6377="?OLD","!!!","")</f>
        <v/>
      </c>
      <c r="F6377" s="23" t="str">
        <f>IF(OR(E6377="",E6377="!!!"),"",IF(NOT(ISNA(VLOOKUP(E6377,E$1:E6376,1,FALSE()))),"OLD",IF(AND(E6377&lt;&gt;"",E6377&lt;&gt;"!!!"),"NEW","")))</f>
        <v> </v>
      </c>
      <c r="G6377" s="24" t="str">
        <f>IF(OR(E6377="",E6377="!!!"),"",IF(OR(J6377=0,AND(J6377=1,K6377=1),AND(J6377=1,I6377="SBJ"),AND(J6377=1,I6377=0)),"?IN_FOCUS",IF(J6377&lt;=2,"?ACTIVATED",IF(J6377&lt;&gt;"","?FAMILIAR",IF(F6377="NEW",IF(ISNA(VLOOKUP(E6377,#REF!,1,FALSE())),"?TYPE_IDENTIFIABLE","?REFERENTIAL"),"_")))))</f>
        <v> </v>
      </c>
      <c r="H6377" s="25" t="str">
        <f>IF(J6377&lt;&gt;1,"",IF(I6377="SBJ","CB","?"))</f>
        <v> </v>
      </c>
      <c r="I6377" s="26" t="str">
        <f>IF(OR(E6377="",E6377="!!!",F6377="NEW"),"",INDEX(B6376:B$2,-1+SUMPRODUCT(MAX(ROW(E6376:E$2)*(E6377=E6376:E$2)))))</f>
        <v> </v>
      </c>
      <c r="J6377" s="26" t="str">
        <f>IF(OR(E6377="",E6377="!!!",F6377="NEW"),"",COUNTBLANK(OFFSET(A$1,,,SUMPRODUCT(MAX(ROW(E$2:E6377)*(E6377=E$2:E6377)))))-COUNTBLANK(OFFSET(A$1,,,SUMPRODUCT(MAX(ROW(E$1:E6376)*(E2=E$1:E6376))))))</f>
        <v> </v>
      </c>
      <c r="K6377" s="26" t="str">
        <f>IF(OR(E6377="",E6377="!!!",F6377="NEW"),"",INDEX(J$1:J6376,SUMPRODUCT(MAX(ROW(E$1:E6376)*(E6377=E$1:E6376)))))</f>
        <v> </v>
      </c>
      <c r="L6377" s="27"/>
    </row>
    <row r="6378" spans="1:12">
      <c r="A6378" s="20" t="s">
        <v>1359</v>
      </c>
      <c r="E6378" s="22">
        <f>IF(D6378="?OLD","!!!","")</f>
        <v/>
      </c>
      <c r="F6378" s="23" t="str">
        <f>IF(OR(E6378="",E6378="!!!"),"",IF(NOT(ISNA(VLOOKUP(E6378,E$1:E6377,1,FALSE()))),"OLD",IF(AND(E6378&lt;&gt;"",E6378&lt;&gt;"!!!"),"NEW","")))</f>
        <v> </v>
      </c>
      <c r="G6378" s="24" t="str">
        <f>IF(OR(E6378="",E6378="!!!"),"",IF(OR(J6378=0,AND(J6378=1,K6378=1),AND(J6378=1,I6378="SBJ"),AND(J6378=1,I6378=0)),"?IN_FOCUS",IF(J6378&lt;=2,"?ACTIVATED",IF(J6378&lt;&gt;"","?FAMILIAR",IF(F6378="NEW",IF(ISNA(VLOOKUP(E6378,#REF!,1,FALSE())),"?TYPE_IDENTIFIABLE","?REFERENTIAL"),"_")))))</f>
        <v> </v>
      </c>
      <c r="H6378" s="25" t="str">
        <f>IF(J6378&lt;&gt;1,"",IF(I6378="SBJ","CB","?"))</f>
        <v> </v>
      </c>
      <c r="I6378" s="26" t="str">
        <f>IF(OR(E6378="",E6378="!!!",F6378="NEW"),"",INDEX(B6377:B$2,-1+SUMPRODUCT(MAX(ROW(E6377:E$2)*(E6378=E6377:E$2)))))</f>
        <v> </v>
      </c>
      <c r="J6378" s="26" t="str">
        <f>IF(OR(E6378="",E6378="!!!",F6378="NEW"),"",COUNTBLANK(OFFSET(A$1,,,SUMPRODUCT(MAX(ROW(E$2:E6378)*(E6378=E$2:E6378)))))-COUNTBLANK(OFFSET(A$1,,,SUMPRODUCT(MAX(ROW(E$1:E6377)*(E2=E$1:E6377))))))</f>
        <v> </v>
      </c>
      <c r="K6378" s="26" t="str">
        <f>IF(OR(E6378="",E6378="!!!",F6378="NEW"),"",INDEX(J$1:J6377,SUMPRODUCT(MAX(ROW(E$1:E6377)*(E6378=E$1:E6377)))))</f>
        <v> </v>
      </c>
      <c r="L6378" s="27"/>
    </row>
    <row r="6379" spans="1:12">
      <c r="A6379" s="20" t="s">
        <v>1661</v>
      </c>
      <c r="B6379" s="21" t="s">
        <v>1240</v>
      </c>
      <c r="C6379" s="21" t="s">
        <v>1238</v>
      </c>
      <c r="D6379" s="21" t="s">
        <v>1180</v>
      </c>
      <c r="E6379" s="22">
        <f>IF(D6379="?OLD","!!!","")</f>
        <v/>
      </c>
      <c r="F6379" s="23" t="str">
        <f>IF(OR(E6379="",E6379="!!!"),"",IF(NOT(ISNA(VLOOKUP(E6379,E$1:E6378,1,FALSE()))),"OLD",IF(AND(E6379&lt;&gt;"",E6379&lt;&gt;"!!!"),"NEW","")))</f>
        <v> </v>
      </c>
      <c r="G6379" s="24" t="str">
        <f>IF(OR(E6379="",E6379="!!!"),"",IF(OR(J6379=0,AND(J6379=1,K6379=1),AND(J6379=1,I6379="SBJ"),AND(J6379=1,I6379=0)),"?IN_FOCUS",IF(J6379&lt;=2,"?ACTIVATED",IF(J6379&lt;&gt;"","?FAMILIAR",IF(F6379="NEW",IF(ISNA(VLOOKUP(E6379,#REF!,1,FALSE())),"?TYPE_IDENTIFIABLE","?REFERENTIAL"),"_")))))</f>
        <v> </v>
      </c>
      <c r="H6379" s="25" t="str">
        <f>IF(J6379&lt;&gt;1,"",IF(I6379="SBJ","CB","?"))</f>
        <v> </v>
      </c>
      <c r="I6379" s="26" t="str">
        <f>IF(OR(E6379="",E6379="!!!",F6379="NEW"),"",INDEX(B6378:B$2,-1+SUMPRODUCT(MAX(ROW(E6378:E$2)*(E6379=E6378:E$2)))))</f>
        <v> </v>
      </c>
      <c r="J6379" s="26" t="str">
        <f>IF(OR(E6379="",E6379="!!!",F6379="NEW"),"",COUNTBLANK(OFFSET(A$1,,,SUMPRODUCT(MAX(ROW(E$2:E6379)*(E6379=E$2:E6379)))))-COUNTBLANK(OFFSET(A$1,,,SUMPRODUCT(MAX(ROW(E$1:E6378)*(E2=E$1:E6378))))))</f>
        <v> </v>
      </c>
      <c r="K6379" s="26" t="str">
        <f>IF(OR(E6379="",E6379="!!!",F6379="NEW"),"",INDEX(J$1:J6378,SUMPRODUCT(MAX(ROW(E$1:E6378)*(E6379=E$1:E6378)))))</f>
        <v> </v>
      </c>
      <c r="L6379" s="27"/>
    </row>
    <row r="6380" spans="1:12">
      <c r="A6380" s="20" t="s">
        <v>1487</v>
      </c>
      <c r="E6380" s="22">
        <f>IF(D6380="?OLD","!!!","")</f>
        <v/>
      </c>
      <c r="F6380" s="23" t="str">
        <f>IF(OR(E6380="",E6380="!!!"),"",IF(NOT(ISNA(VLOOKUP(E6380,E$1:E6379,1,FALSE()))),"OLD",IF(AND(E6380&lt;&gt;"",E6380&lt;&gt;"!!!"),"NEW","")))</f>
        <v> </v>
      </c>
      <c r="G6380" s="24" t="str">
        <f>IF(OR(E6380="",E6380="!!!"),"",IF(OR(J6380=0,AND(J6380=1,K6380=1),AND(J6380=1,I6380="SBJ"),AND(J6380=1,I6380=0)),"?IN_FOCUS",IF(J6380&lt;=2,"?ACTIVATED",IF(J6380&lt;&gt;"","?FAMILIAR",IF(F6380="NEW",IF(ISNA(VLOOKUP(E6380,#REF!,1,FALSE())),"?TYPE_IDENTIFIABLE","?REFERENTIAL"),"_")))))</f>
        <v> </v>
      </c>
      <c r="H6380" s="25" t="str">
        <f>IF(J6380&lt;&gt;1,"",IF(I6380="SBJ","CB","?"))</f>
        <v> </v>
      </c>
      <c r="I6380" s="26" t="str">
        <f>IF(OR(E6380="",E6380="!!!",F6380="NEW"),"",INDEX(B6379:B$2,-1+SUMPRODUCT(MAX(ROW(E6379:E$2)*(E6380=E6379:E$2)))))</f>
        <v> </v>
      </c>
      <c r="J6380" s="26" t="str">
        <f>IF(OR(E6380="",E6380="!!!",F6380="NEW"),"",COUNTBLANK(OFFSET(A$1,,,SUMPRODUCT(MAX(ROW(E$2:E6380)*(E6380=E$2:E6380)))))-COUNTBLANK(OFFSET(A$1,,,SUMPRODUCT(MAX(ROW(E$1:E6379)*(E2=E$1:E6379))))))</f>
        <v> </v>
      </c>
      <c r="K6380" s="26" t="str">
        <f>IF(OR(E6380="",E6380="!!!",F6380="NEW"),"",INDEX(J$1:J6379,SUMPRODUCT(MAX(ROW(E$1:E6379)*(E6380=E$1:E6379)))))</f>
        <v> </v>
      </c>
      <c r="L6380" s="27"/>
    </row>
    <row r="6381" spans="1:12">
      <c r="A6381" s="20" t="s">
        <v>1337</v>
      </c>
      <c r="B6381" s="21" t="s">
        <v>1237</v>
      </c>
      <c r="C6381" s="21" t="s">
        <v>1223</v>
      </c>
      <c r="E6381" s="22">
        <f>IF(D6381="?OLD","!!!","")</f>
        <v/>
      </c>
      <c r="F6381" s="23" t="str">
        <f>IF(OR(E6381="",E6381="!!!"),"",IF(NOT(ISNA(VLOOKUP(E6381,E$1:E6380,1,FALSE()))),"OLD",IF(AND(E6381&lt;&gt;"",E6381&lt;&gt;"!!!"),"NEW","")))</f>
        <v> </v>
      </c>
      <c r="G6381" s="24" t="str">
        <f>IF(OR(E6381="",E6381="!!!"),"",IF(OR(J6381=0,AND(J6381=1,K6381=1),AND(J6381=1,I6381="SBJ"),AND(J6381=1,I6381=0)),"?IN_FOCUS",IF(J6381&lt;=2,"?ACTIVATED",IF(J6381&lt;&gt;"","?FAMILIAR",IF(F6381="NEW",IF(ISNA(VLOOKUP(E6381,#REF!,1,FALSE())),"?TYPE_IDENTIFIABLE","?REFERENTIAL"),"_")))))</f>
        <v> </v>
      </c>
      <c r="H6381" s="25" t="str">
        <f>IF(J6381&lt;&gt;1,"",IF(I6381="SBJ","CB","?"))</f>
        <v> </v>
      </c>
      <c r="I6381" s="26" t="str">
        <f>IF(OR(E6381="",E6381="!!!",F6381="NEW"),"",INDEX(B6380:B$2,-1+SUMPRODUCT(MAX(ROW(E6380:E$2)*(E6381=E6380:E$2)))))</f>
        <v> </v>
      </c>
      <c r="J6381" s="26" t="str">
        <f>IF(OR(E6381="",E6381="!!!",F6381="NEW"),"",COUNTBLANK(OFFSET(A$1,,,SUMPRODUCT(MAX(ROW(E$2:E6381)*(E6381=E$2:E6381)))))-COUNTBLANK(OFFSET(A$1,,,SUMPRODUCT(MAX(ROW(E$1:E6380)*(E2=E$1:E6380))))))</f>
        <v> </v>
      </c>
      <c r="K6381" s="26" t="str">
        <f>IF(OR(E6381="",E6381="!!!",F6381="NEW"),"",INDEX(J$1:J6380,SUMPRODUCT(MAX(ROW(E$1:E6380)*(E6381=E$1:E6380)))))</f>
        <v> </v>
      </c>
      <c r="L6381" s="27"/>
    </row>
    <row r="6382" spans="1:12">
      <c r="A6382" s="20" t="s">
        <v>2326</v>
      </c>
      <c r="B6382" s="21" t="s">
        <v>1237</v>
      </c>
      <c r="C6382" s="21" t="s">
        <v>1184</v>
      </c>
      <c r="E6382" s="22">
        <f>IF(D6382="?OLD","!!!","")</f>
        <v/>
      </c>
      <c r="F6382" s="23" t="str">
        <f>IF(OR(E6382="",E6382="!!!"),"",IF(NOT(ISNA(VLOOKUP(E6382,E$1:E6381,1,FALSE()))),"OLD",IF(AND(E6382&lt;&gt;"",E6382&lt;&gt;"!!!"),"NEW","")))</f>
        <v> </v>
      </c>
      <c r="G6382" s="24" t="str">
        <f>IF(OR(E6382="",E6382="!!!"),"",IF(OR(J6382=0,AND(J6382=1,K6382=1),AND(J6382=1,I6382="SBJ"),AND(J6382=1,I6382=0)),"?IN_FOCUS",IF(J6382&lt;=2,"?ACTIVATED",IF(J6382&lt;&gt;"","?FAMILIAR",IF(F6382="NEW",IF(ISNA(VLOOKUP(E6382,#REF!,1,FALSE())),"?TYPE_IDENTIFIABLE","?REFERENTIAL"),"_")))))</f>
        <v> </v>
      </c>
      <c r="H6382" s="25" t="str">
        <f>IF(J6382&lt;&gt;1,"",IF(I6382="SBJ","CB","?"))</f>
        <v> </v>
      </c>
      <c r="I6382" s="26" t="str">
        <f>IF(OR(E6382="",E6382="!!!",F6382="NEW"),"",INDEX(B6381:B$2,-1+SUMPRODUCT(MAX(ROW(E6381:E$2)*(E6382=E6381:E$2)))))</f>
        <v> </v>
      </c>
      <c r="J6382" s="26" t="str">
        <f>IF(OR(E6382="",E6382="!!!",F6382="NEW"),"",COUNTBLANK(OFFSET(A$1,,,SUMPRODUCT(MAX(ROW(E$2:E6382)*(E6382=E$2:E6382)))))-COUNTBLANK(OFFSET(A$1,,,SUMPRODUCT(MAX(ROW(E$1:E6381)*(E2=E$1:E6381))))))</f>
        <v> </v>
      </c>
      <c r="K6382" s="26" t="str">
        <f>IF(OR(E6382="",E6382="!!!",F6382="NEW"),"",INDEX(J$1:J6381,SUMPRODUCT(MAX(ROW(E$1:E6381)*(E6382=E$1:E6381)))))</f>
        <v> </v>
      </c>
      <c r="L6382" s="27"/>
    </row>
    <row r="6383" spans="1:12">
      <c r="A6383" s="20" t="s">
        <v>2897</v>
      </c>
      <c r="E6383" s="22">
        <f>IF(D6383="?OLD","!!!","")</f>
        <v/>
      </c>
      <c r="F6383" s="23" t="str">
        <f>IF(OR(E6383="",E6383="!!!"),"",IF(NOT(ISNA(VLOOKUP(E6383,E$1:E6382,1,FALSE()))),"OLD",IF(AND(E6383&lt;&gt;"",E6383&lt;&gt;"!!!"),"NEW","")))</f>
        <v> </v>
      </c>
      <c r="G6383" s="24" t="str">
        <f>IF(OR(E6383="",E6383="!!!"),"",IF(OR(J6383=0,AND(J6383=1,K6383=1),AND(J6383=1,I6383="SBJ"),AND(J6383=1,I6383=0)),"?IN_FOCUS",IF(J6383&lt;=2,"?ACTIVATED",IF(J6383&lt;&gt;"","?FAMILIAR",IF(F6383="NEW",IF(ISNA(VLOOKUP(E6383,#REF!,1,FALSE())),"?TYPE_IDENTIFIABLE","?REFERENTIAL"),"_")))))</f>
        <v> </v>
      </c>
      <c r="H6383" s="25" t="str">
        <f>IF(J6383&lt;&gt;1,"",IF(I6383="SBJ","CB","?"))</f>
        <v> </v>
      </c>
      <c r="I6383" s="26" t="str">
        <f>IF(OR(E6383="",E6383="!!!",F6383="NEW"),"",INDEX(B6382:B$2,-1+SUMPRODUCT(MAX(ROW(E6382:E$2)*(E6383=E6382:E$2)))))</f>
        <v> </v>
      </c>
      <c r="J6383" s="26" t="str">
        <f>IF(OR(E6383="",E6383="!!!",F6383="NEW"),"",COUNTBLANK(OFFSET(A$1,,,SUMPRODUCT(MAX(ROW(E$2:E6383)*(E6383=E$2:E6383)))))-COUNTBLANK(OFFSET(A$1,,,SUMPRODUCT(MAX(ROW(E$1:E6382)*(E2=E$1:E6382))))))</f>
        <v> </v>
      </c>
      <c r="K6383" s="26" t="str">
        <f>IF(OR(E6383="",E6383="!!!",F6383="NEW"),"",INDEX(J$1:J6382,SUMPRODUCT(MAX(ROW(E$1:E6382)*(E6383=E$1:E6382)))))</f>
        <v> </v>
      </c>
      <c r="L6383" s="27"/>
    </row>
    <row r="6384" spans="1:12">
      <c r="A6384" s="20" t="s">
        <v>1185</v>
      </c>
      <c r="E6384" s="22">
        <f>IF(D6384="?OLD","!!!","")</f>
        <v/>
      </c>
      <c r="F6384" s="23" t="str">
        <f>IF(OR(E6384="",E6384="!!!"),"",IF(NOT(ISNA(VLOOKUP(E6384,E$1:E6383,1,FALSE()))),"OLD",IF(AND(E6384&lt;&gt;"",E6384&lt;&gt;"!!!"),"NEW","")))</f>
        <v> </v>
      </c>
      <c r="G6384" s="24" t="str">
        <f>IF(OR(E6384="",E6384="!!!"),"",IF(OR(J6384=0,AND(J6384=1,K6384=1),AND(J6384=1,I6384="SBJ"),AND(J6384=1,I6384=0)),"?IN_FOCUS",IF(J6384&lt;=2,"?ACTIVATED",IF(J6384&lt;&gt;"","?FAMILIAR",IF(F6384="NEW",IF(ISNA(VLOOKUP(E6384,#REF!,1,FALSE())),"?TYPE_IDENTIFIABLE","?REFERENTIAL"),"_")))))</f>
        <v> </v>
      </c>
      <c r="H6384" s="25" t="str">
        <f>IF(J6384&lt;&gt;1,"",IF(I6384="SBJ","CB","?"))</f>
        <v> </v>
      </c>
      <c r="I6384" s="26" t="str">
        <f>IF(OR(E6384="",E6384="!!!",F6384="NEW"),"",INDEX(B6383:B$2,-1+SUMPRODUCT(MAX(ROW(E6383:E$2)*(E6384=E6383:E$2)))))</f>
        <v> </v>
      </c>
      <c r="J6384" s="26" t="str">
        <f>IF(OR(E6384="",E6384="!!!",F6384="NEW"),"",COUNTBLANK(OFFSET(A$1,,,SUMPRODUCT(MAX(ROW(E$2:E6384)*(E6384=E$2:E6384)))))-COUNTBLANK(OFFSET(A$1,,,SUMPRODUCT(MAX(ROW(E$1:E6383)*(E2=E$1:E6383))))))</f>
        <v> </v>
      </c>
      <c r="K6384" s="26" t="str">
        <f>IF(OR(E6384="",E6384="!!!",F6384="NEW"),"",INDEX(J$1:J6383,SUMPRODUCT(MAX(ROW(E$1:E6383)*(E6384=E$1:E6383)))))</f>
        <v> </v>
      </c>
      <c r="L6384" s="27"/>
    </row>
    <row r="6385" spans="1:12">
      <c r="A6385" s="20" t="s">
        <v>1359</v>
      </c>
      <c r="E6385" s="22">
        <f>IF(D6385="?OLD","!!!","")</f>
        <v/>
      </c>
      <c r="F6385" s="23" t="str">
        <f>IF(OR(E6385="",E6385="!!!"),"",IF(NOT(ISNA(VLOOKUP(E6385,E$1:E6384,1,FALSE()))),"OLD",IF(AND(E6385&lt;&gt;"",E6385&lt;&gt;"!!!"),"NEW","")))</f>
        <v> </v>
      </c>
      <c r="G6385" s="24" t="str">
        <f>IF(OR(E6385="",E6385="!!!"),"",IF(OR(J6385=0,AND(J6385=1,K6385=1),AND(J6385=1,I6385="SBJ"),AND(J6385=1,I6385=0)),"?IN_FOCUS",IF(J6385&lt;=2,"?ACTIVATED",IF(J6385&lt;&gt;"","?FAMILIAR",IF(F6385="NEW",IF(ISNA(VLOOKUP(E6385,#REF!,1,FALSE())),"?TYPE_IDENTIFIABLE","?REFERENTIAL"),"_")))))</f>
        <v> </v>
      </c>
      <c r="H6385" s="25" t="str">
        <f>IF(J6385&lt;&gt;1,"",IF(I6385="SBJ","CB","?"))</f>
        <v> </v>
      </c>
      <c r="I6385" s="26" t="str">
        <f>IF(OR(E6385="",E6385="!!!",F6385="NEW"),"",INDEX(B6384:B$2,-1+SUMPRODUCT(MAX(ROW(E6384:E$2)*(E6385=E6384:E$2)))))</f>
        <v> </v>
      </c>
      <c r="J6385" s="26" t="str">
        <f>IF(OR(E6385="",E6385="!!!",F6385="NEW"),"",COUNTBLANK(OFFSET(A$1,,,SUMPRODUCT(MAX(ROW(E$2:E6385)*(E6385=E$2:E6385)))))-COUNTBLANK(OFFSET(A$1,,,SUMPRODUCT(MAX(ROW(E$1:E6384)*(E2=E$1:E6384))))))</f>
        <v> </v>
      </c>
      <c r="K6385" s="26" t="str">
        <f>IF(OR(E6385="",E6385="!!!",F6385="NEW"),"",INDEX(J$1:J6384,SUMPRODUCT(MAX(ROW(E$1:E6384)*(E6385=E$1:E6384)))))</f>
        <v> </v>
      </c>
      <c r="L6385" s="27"/>
    </row>
    <row r="6386" spans="1:12">
      <c r="A6386" s="20" t="s">
        <v>1661</v>
      </c>
      <c r="B6386" s="21" t="s">
        <v>1240</v>
      </c>
      <c r="C6386" s="21" t="s">
        <v>1238</v>
      </c>
      <c r="D6386" s="21" t="s">
        <v>1180</v>
      </c>
      <c r="E6386" s="22">
        <f>IF(D6386="?OLD","!!!","")</f>
        <v/>
      </c>
      <c r="F6386" s="23" t="str">
        <f>IF(OR(E6386="",E6386="!!!"),"",IF(NOT(ISNA(VLOOKUP(E6386,E$1:E6385,1,FALSE()))),"OLD",IF(AND(E6386&lt;&gt;"",E6386&lt;&gt;"!!!"),"NEW","")))</f>
        <v> </v>
      </c>
      <c r="G6386" s="24" t="str">
        <f>IF(OR(E6386="",E6386="!!!"),"",IF(OR(J6386=0,AND(J6386=1,K6386=1),AND(J6386=1,I6386="SBJ"),AND(J6386=1,I6386=0)),"?IN_FOCUS",IF(J6386&lt;=2,"?ACTIVATED",IF(J6386&lt;&gt;"","?FAMILIAR",IF(F6386="NEW",IF(ISNA(VLOOKUP(E6386,#REF!,1,FALSE())),"?TYPE_IDENTIFIABLE","?REFERENTIAL"),"_")))))</f>
        <v> </v>
      </c>
      <c r="H6386" s="25" t="str">
        <f>IF(J6386&lt;&gt;1,"",IF(I6386="SBJ","CB","?"))</f>
        <v> </v>
      </c>
      <c r="I6386" s="26" t="str">
        <f>IF(OR(E6386="",E6386="!!!",F6386="NEW"),"",INDEX(B6385:B$2,-1+SUMPRODUCT(MAX(ROW(E6385:E$2)*(E6386=E6385:E$2)))))</f>
        <v> </v>
      </c>
      <c r="J6386" s="26" t="str">
        <f>IF(OR(E6386="",E6386="!!!",F6386="NEW"),"",COUNTBLANK(OFFSET(A$1,,,SUMPRODUCT(MAX(ROW(E$2:E6386)*(E6386=E$2:E6386)))))-COUNTBLANK(OFFSET(A$1,,,SUMPRODUCT(MAX(ROW(E$1:E6385)*(E2=E$1:E6385))))))</f>
        <v> </v>
      </c>
      <c r="K6386" s="26" t="str">
        <f>IF(OR(E6386="",E6386="!!!",F6386="NEW"),"",INDEX(J$1:J6385,SUMPRODUCT(MAX(ROW(E$1:E6385)*(E6386=E$1:E6385)))))</f>
        <v> </v>
      </c>
      <c r="L6386" s="27"/>
    </row>
    <row r="6387" spans="1:12">
      <c r="A6387" s="20" t="s">
        <v>1196</v>
      </c>
      <c r="E6387" s="22">
        <f>IF(D6387="?OLD","!!!","")</f>
        <v/>
      </c>
      <c r="F6387" s="23" t="str">
        <f>IF(OR(E6387="",E6387="!!!"),"",IF(NOT(ISNA(VLOOKUP(E6387,E$1:E6386,1,FALSE()))),"OLD",IF(AND(E6387&lt;&gt;"",E6387&lt;&gt;"!!!"),"NEW","")))</f>
        <v> </v>
      </c>
      <c r="G6387" s="24" t="str">
        <f>IF(OR(E6387="",E6387="!!!"),"",IF(OR(J6387=0,AND(J6387=1,K6387=1),AND(J6387=1,I6387="SBJ"),AND(J6387=1,I6387=0)),"?IN_FOCUS",IF(J6387&lt;=2,"?ACTIVATED",IF(J6387&lt;&gt;"","?FAMILIAR",IF(F6387="NEW",IF(ISNA(VLOOKUP(E6387,#REF!,1,FALSE())),"?TYPE_IDENTIFIABLE","?REFERENTIAL"),"_")))))</f>
        <v> </v>
      </c>
      <c r="H6387" s="25" t="str">
        <f>IF(J6387&lt;&gt;1,"",IF(I6387="SBJ","CB","?"))</f>
        <v> </v>
      </c>
      <c r="I6387" s="26" t="str">
        <f>IF(OR(E6387="",E6387="!!!",F6387="NEW"),"",INDEX(B6386:B$2,-1+SUMPRODUCT(MAX(ROW(E6386:E$2)*(E6387=E6386:E$2)))))</f>
        <v> </v>
      </c>
      <c r="J6387" s="26" t="str">
        <f>IF(OR(E6387="",E6387="!!!",F6387="NEW"),"",COUNTBLANK(OFFSET(A$1,,,SUMPRODUCT(MAX(ROW(E$2:E6387)*(E6387=E$2:E6387)))))-COUNTBLANK(OFFSET(A$1,,,SUMPRODUCT(MAX(ROW(E$1:E6386)*(E2=E$1:E6386))))))</f>
        <v> </v>
      </c>
      <c r="K6387" s="26" t="str">
        <f>IF(OR(E6387="",E6387="!!!",F6387="NEW"),"",INDEX(J$1:J6386,SUMPRODUCT(MAX(ROW(E$1:E6386)*(E6387=E$1:E6386)))))</f>
        <v> </v>
      </c>
      <c r="L6387" s="27"/>
    </row>
    <row r="6388" spans="1:12">
      <c r="A6388" s="20" t="s">
        <v>1185</v>
      </c>
      <c r="E6388" s="22">
        <f>IF(D6388="?OLD","!!!","")</f>
        <v/>
      </c>
      <c r="F6388" s="23" t="str">
        <f>IF(OR(E6388="",E6388="!!!"),"",IF(NOT(ISNA(VLOOKUP(E6388,E$1:E6387,1,FALSE()))),"OLD",IF(AND(E6388&lt;&gt;"",E6388&lt;&gt;"!!!"),"NEW","")))</f>
        <v> </v>
      </c>
      <c r="G6388" s="24" t="str">
        <f>IF(OR(E6388="",E6388="!!!"),"",IF(OR(J6388=0,AND(J6388=1,K6388=1),AND(J6388=1,I6388="SBJ"),AND(J6388=1,I6388=0)),"?IN_FOCUS",IF(J6388&lt;=2,"?ACTIVATED",IF(J6388&lt;&gt;"","?FAMILIAR",IF(F6388="NEW",IF(ISNA(VLOOKUP(E6388,#REF!,1,FALSE())),"?TYPE_IDENTIFIABLE","?REFERENTIAL"),"_")))))</f>
        <v> </v>
      </c>
      <c r="H6388" s="25" t="str">
        <f>IF(J6388&lt;&gt;1,"",IF(I6388="SBJ","CB","?"))</f>
        <v> </v>
      </c>
      <c r="I6388" s="26" t="str">
        <f>IF(OR(E6388="",E6388="!!!",F6388="NEW"),"",INDEX(B6387:B$2,-1+SUMPRODUCT(MAX(ROW(E6387:E$2)*(E6388=E6387:E$2)))))</f>
        <v> </v>
      </c>
      <c r="J6388" s="26" t="str">
        <f>IF(OR(E6388="",E6388="!!!",F6388="NEW"),"",COUNTBLANK(OFFSET(A$1,,,SUMPRODUCT(MAX(ROW(E$2:E6388)*(E6388=E$2:E6388)))))-COUNTBLANK(OFFSET(A$1,,,SUMPRODUCT(MAX(ROW(E$1:E6387)*(E2=E$1:E6387))))))</f>
        <v> </v>
      </c>
      <c r="K6388" s="26" t="str">
        <f>IF(OR(E6388="",E6388="!!!",F6388="NEW"),"",INDEX(J$1:J6387,SUMPRODUCT(MAX(ROW(E$1:E6387)*(E6388=E$1:E6387)))))</f>
        <v> </v>
      </c>
      <c r="L6388" s="27"/>
    </row>
    <row r="6389" spans="1:12">
      <c r="A6389" s="20" t="s">
        <v>1359</v>
      </c>
      <c r="E6389" s="22">
        <f>IF(D6389="?OLD","!!!","")</f>
        <v/>
      </c>
      <c r="F6389" s="23" t="str">
        <f>IF(OR(E6389="",E6389="!!!"),"",IF(NOT(ISNA(VLOOKUP(E6389,E$1:E6388,1,FALSE()))),"OLD",IF(AND(E6389&lt;&gt;"",E6389&lt;&gt;"!!!"),"NEW","")))</f>
        <v> </v>
      </c>
      <c r="G6389" s="24" t="str">
        <f>IF(OR(E6389="",E6389="!!!"),"",IF(OR(J6389=0,AND(J6389=1,K6389=1),AND(J6389=1,I6389="SBJ"),AND(J6389=1,I6389=0)),"?IN_FOCUS",IF(J6389&lt;=2,"?ACTIVATED",IF(J6389&lt;&gt;"","?FAMILIAR",IF(F6389="NEW",IF(ISNA(VLOOKUP(E6389,#REF!,1,FALSE())),"?TYPE_IDENTIFIABLE","?REFERENTIAL"),"_")))))</f>
        <v> </v>
      </c>
      <c r="H6389" s="25" t="str">
        <f>IF(J6389&lt;&gt;1,"",IF(I6389="SBJ","CB","?"))</f>
        <v> </v>
      </c>
      <c r="I6389" s="26" t="str">
        <f>IF(OR(E6389="",E6389="!!!",F6389="NEW"),"",INDEX(B6388:B$2,-1+SUMPRODUCT(MAX(ROW(E6388:E$2)*(E6389=E6388:E$2)))))</f>
        <v> </v>
      </c>
      <c r="J6389" s="26" t="str">
        <f>IF(OR(E6389="",E6389="!!!",F6389="NEW"),"",COUNTBLANK(OFFSET(A$1,,,SUMPRODUCT(MAX(ROW(E$2:E6389)*(E6389=E$2:E6389)))))-COUNTBLANK(OFFSET(A$1,,,SUMPRODUCT(MAX(ROW(E$1:E6388)*(E2=E$1:E6388))))))</f>
        <v> </v>
      </c>
      <c r="K6389" s="26" t="str">
        <f>IF(OR(E6389="",E6389="!!!",F6389="NEW"),"",INDEX(J$1:J6388,SUMPRODUCT(MAX(ROW(E$1:E6388)*(E6389=E$1:E6388)))))</f>
        <v> </v>
      </c>
      <c r="L6389" s="27"/>
    </row>
    <row r="6390" spans="1:12">
      <c r="A6390" s="20" t="s">
        <v>1263</v>
      </c>
      <c r="B6390" s="21" t="s">
        <v>1304</v>
      </c>
      <c r="C6390" s="21" t="s">
        <v>1195</v>
      </c>
      <c r="D6390" s="21" t="s">
        <v>1180</v>
      </c>
      <c r="E6390" s="22">
        <f>IF(D6390="?OLD","!!!","")</f>
        <v/>
      </c>
      <c r="F6390" s="23" t="str">
        <f>IF(OR(E6390="",E6390="!!!"),"",IF(NOT(ISNA(VLOOKUP(E6390,E$1:E6389,1,FALSE()))),"OLD",IF(AND(E6390&lt;&gt;"",E6390&lt;&gt;"!!!"),"NEW","")))</f>
        <v> </v>
      </c>
      <c r="G6390" s="24" t="str">
        <f>IF(OR(E6390="",E6390="!!!"),"",IF(OR(J6390=0,AND(J6390=1,K6390=1),AND(J6390=1,I6390="SBJ"),AND(J6390=1,I6390=0)),"?IN_FOCUS",IF(J6390&lt;=2,"?ACTIVATED",IF(J6390&lt;&gt;"","?FAMILIAR",IF(F6390="NEW",IF(ISNA(VLOOKUP(E6390,#REF!,1,FALSE())),"?TYPE_IDENTIFIABLE","?REFERENTIAL"),"_")))))</f>
        <v> </v>
      </c>
      <c r="H6390" s="25" t="str">
        <f>IF(J6390&lt;&gt;1,"",IF(I6390="SBJ","CB","?"))</f>
        <v> </v>
      </c>
      <c r="I6390" s="26" t="str">
        <f>IF(OR(E6390="",E6390="!!!",F6390="NEW"),"",INDEX(B6389:B$2,-1+SUMPRODUCT(MAX(ROW(E6389:E$2)*(E6390=E6389:E$2)))))</f>
        <v> </v>
      </c>
      <c r="J6390" s="26" t="str">
        <f>IF(OR(E6390="",E6390="!!!",F6390="NEW"),"",COUNTBLANK(OFFSET(A$1,,,SUMPRODUCT(MAX(ROW(E$2:E6390)*(E6390=E$2:E6390)))))-COUNTBLANK(OFFSET(A$1,,,SUMPRODUCT(MAX(ROW(E$1:E6389)*(E2=E$1:E6389))))))</f>
        <v> </v>
      </c>
      <c r="K6390" s="26" t="str">
        <f>IF(OR(E6390="",E6390="!!!",F6390="NEW"),"",INDEX(J$1:J6389,SUMPRODUCT(MAX(ROW(E$1:E6389)*(E6390=E$1:E6389)))))</f>
        <v> </v>
      </c>
      <c r="L6390" s="27"/>
    </row>
    <row r="6391" spans="1:12">
      <c r="A6391" s="20" t="s">
        <v>1186</v>
      </c>
      <c r="E6391" s="22">
        <f>IF(D6391="?OLD","!!!","")</f>
        <v/>
      </c>
      <c r="F6391" s="23" t="str">
        <f>IF(OR(E6391="",E6391="!!!"),"",IF(NOT(ISNA(VLOOKUP(E6391,E$1:E6390,1,FALSE()))),"OLD",IF(AND(E6391&lt;&gt;"",E6391&lt;&gt;"!!!"),"NEW","")))</f>
        <v> </v>
      </c>
      <c r="G6391" s="24" t="str">
        <f>IF(OR(E6391="",E6391="!!!"),"",IF(OR(J6391=0,AND(J6391=1,K6391=1),AND(J6391=1,I6391="SBJ"),AND(J6391=1,I6391=0)),"?IN_FOCUS",IF(J6391&lt;=2,"?ACTIVATED",IF(J6391&lt;&gt;"","?FAMILIAR",IF(F6391="NEW",IF(ISNA(VLOOKUP(E6391,#REF!,1,FALSE())),"?TYPE_IDENTIFIABLE","?REFERENTIAL"),"_")))))</f>
        <v> </v>
      </c>
      <c r="H6391" s="25" t="str">
        <f>IF(J6391&lt;&gt;1,"",IF(I6391="SBJ","CB","?"))</f>
        <v> </v>
      </c>
      <c r="I6391" s="26" t="str">
        <f>IF(OR(E6391="",E6391="!!!",F6391="NEW"),"",INDEX(B6390:B$2,-1+SUMPRODUCT(MAX(ROW(E6390:E$2)*(E6391=E6390:E$2)))))</f>
        <v> </v>
      </c>
      <c r="J6391" s="26" t="str">
        <f>IF(OR(E6391="",E6391="!!!",F6391="NEW"),"",COUNTBLANK(OFFSET(A$1,,,SUMPRODUCT(MAX(ROW(E$2:E6391)*(E6391=E$2:E6391)))))-COUNTBLANK(OFFSET(A$1,,,SUMPRODUCT(MAX(ROW(E$1:E6390)*(E2=E$1:E6390))))))</f>
        <v> </v>
      </c>
      <c r="K6391" s="26" t="str">
        <f>IF(OR(E6391="",E6391="!!!",F6391="NEW"),"",INDEX(J$1:J6390,SUMPRODUCT(MAX(ROW(E$1:E6390)*(E6391=E$1:E6390)))))</f>
        <v> </v>
      </c>
      <c r="L6391" s="27"/>
    </row>
    <row r="6392" spans="1:12">
      <c r="A6392" s="20" t="s">
        <v>1410</v>
      </c>
      <c r="B6392" s="21" t="s">
        <v>1306</v>
      </c>
      <c r="C6392" s="21" t="s">
        <v>1188</v>
      </c>
      <c r="D6392" s="21" t="s">
        <v>1180</v>
      </c>
      <c r="E6392" s="22">
        <f>IF(D6392="?OLD","!!!","")</f>
        <v/>
      </c>
      <c r="F6392" s="23" t="str">
        <f>IF(OR(E6392="",E6392="!!!"),"",IF(NOT(ISNA(VLOOKUP(E6392,E$1:E6391,1,FALSE()))),"OLD",IF(AND(E6392&lt;&gt;"",E6392&lt;&gt;"!!!"),"NEW","")))</f>
        <v> </v>
      </c>
      <c r="G6392" s="24" t="str">
        <f>IF(OR(E6392="",E6392="!!!"),"",IF(OR(J6392=0,AND(J6392=1,K6392=1),AND(J6392=1,I6392="SBJ"),AND(J6392=1,I6392=0)),"?IN_FOCUS",IF(J6392&lt;=2,"?ACTIVATED",IF(J6392&lt;&gt;"","?FAMILIAR",IF(F6392="NEW",IF(ISNA(VLOOKUP(E6392,#REF!,1,FALSE())),"?TYPE_IDENTIFIABLE","?REFERENTIAL"),"_")))))</f>
        <v> </v>
      </c>
      <c r="H6392" s="25" t="str">
        <f>IF(J6392&lt;&gt;1,"",IF(I6392="SBJ","CB","?"))</f>
        <v> </v>
      </c>
      <c r="I6392" s="26" t="str">
        <f>IF(OR(E6392="",E6392="!!!",F6392="NEW"),"",INDEX(B6391:B$2,-1+SUMPRODUCT(MAX(ROW(E6391:E$2)*(E6392=E6391:E$2)))))</f>
        <v> </v>
      </c>
      <c r="J6392" s="26" t="str">
        <f>IF(OR(E6392="",E6392="!!!",F6392="NEW"),"",COUNTBLANK(OFFSET(A$1,,,SUMPRODUCT(MAX(ROW(E$2:E6392)*(E6392=E$2:E6392)))))-COUNTBLANK(OFFSET(A$1,,,SUMPRODUCT(MAX(ROW(E$1:E6391)*(E2=E$1:E6391))))))</f>
        <v> </v>
      </c>
      <c r="K6392" s="26" t="str">
        <f>IF(OR(E6392="",E6392="!!!",F6392="NEW"),"",INDEX(J$1:J6391,SUMPRODUCT(MAX(ROW(E$1:E6391)*(E6392=E$1:E6391)))))</f>
        <v> </v>
      </c>
      <c r="L6392" s="27"/>
    </row>
    <row r="6393" spans="1:12">
      <c r="A6393" s="20" t="s">
        <v>1185</v>
      </c>
      <c r="E6393" s="22">
        <f>IF(D6393="?OLD","!!!","")</f>
        <v/>
      </c>
      <c r="F6393" s="23" t="str">
        <f>IF(OR(E6393="",E6393="!!!"),"",IF(NOT(ISNA(VLOOKUP(E6393,E$1:E6392,1,FALSE()))),"OLD",IF(AND(E6393&lt;&gt;"",E6393&lt;&gt;"!!!"),"NEW","")))</f>
        <v> </v>
      </c>
      <c r="G6393" s="24" t="str">
        <f>IF(OR(E6393="",E6393="!!!"),"",IF(OR(J6393=0,AND(J6393=1,K6393=1),AND(J6393=1,I6393="SBJ"),AND(J6393=1,I6393=0)),"?IN_FOCUS",IF(J6393&lt;=2,"?ACTIVATED",IF(J6393&lt;&gt;"","?FAMILIAR",IF(F6393="NEW",IF(ISNA(VLOOKUP(E6393,#REF!,1,FALSE())),"?TYPE_IDENTIFIABLE","?REFERENTIAL"),"_")))))</f>
        <v> </v>
      </c>
      <c r="H6393" s="25" t="str">
        <f>IF(J6393&lt;&gt;1,"",IF(I6393="SBJ","CB","?"))</f>
        <v> </v>
      </c>
      <c r="I6393" s="26" t="str">
        <f>IF(OR(E6393="",E6393="!!!",F6393="NEW"),"",INDEX(B6392:B$2,-1+SUMPRODUCT(MAX(ROW(E6392:E$2)*(E6393=E6392:E$2)))))</f>
        <v> </v>
      </c>
      <c r="J6393" s="26" t="str">
        <f>IF(OR(E6393="",E6393="!!!",F6393="NEW"),"",COUNTBLANK(OFFSET(A$1,,,SUMPRODUCT(MAX(ROW(E$2:E6393)*(E6393=E$2:E6393)))))-COUNTBLANK(OFFSET(A$1,,,SUMPRODUCT(MAX(ROW(E$1:E6392)*(E2=E$1:E6392))))))</f>
        <v> </v>
      </c>
      <c r="K6393" s="26" t="str">
        <f>IF(OR(E6393="",E6393="!!!",F6393="NEW"),"",INDEX(J$1:J6392,SUMPRODUCT(MAX(ROW(E$1:E6392)*(E6393=E$1:E6392)))))</f>
        <v> </v>
      </c>
      <c r="L6393" s="27"/>
    </row>
    <row r="6394" spans="1:12">
      <c r="A6394" s="20" t="s">
        <v>1186</v>
      </c>
      <c r="B6394" s="21" t="s">
        <v>1429</v>
      </c>
      <c r="E6394" s="22">
        <f>IF(D6394="?OLD","!!!","")</f>
        <v/>
      </c>
      <c r="F6394" s="23" t="str">
        <f>IF(OR(E6394="",E6394="!!!"),"",IF(NOT(ISNA(VLOOKUP(E6394,E$1:E6393,1,FALSE()))),"OLD",IF(AND(E6394&lt;&gt;"",E6394&lt;&gt;"!!!"),"NEW","")))</f>
        <v> </v>
      </c>
      <c r="G6394" s="24" t="str">
        <f>IF(OR(E6394="",E6394="!!!"),"",IF(OR(J6394=0,AND(J6394=1,K6394=1),AND(J6394=1,I6394="SBJ"),AND(J6394=1,I6394=0)),"?IN_FOCUS",IF(J6394&lt;=2,"?ACTIVATED",IF(J6394&lt;&gt;"","?FAMILIAR",IF(F6394="NEW",IF(ISNA(VLOOKUP(E6394,#REF!,1,FALSE())),"?TYPE_IDENTIFIABLE","?REFERENTIAL"),"_")))))</f>
        <v> </v>
      </c>
      <c r="H6394" s="25" t="str">
        <f>IF(J6394&lt;&gt;1,"",IF(I6394="SBJ","CB","?"))</f>
        <v> </v>
      </c>
      <c r="I6394" s="26" t="str">
        <f>IF(OR(E6394="",E6394="!!!",F6394="NEW"),"",INDEX(B6393:B$2,-1+SUMPRODUCT(MAX(ROW(E6393:E$2)*(E6394=E6393:E$2)))))</f>
        <v> </v>
      </c>
      <c r="J6394" s="26" t="str">
        <f>IF(OR(E6394="",E6394="!!!",F6394="NEW"),"",COUNTBLANK(OFFSET(A$1,,,SUMPRODUCT(MAX(ROW(E$2:E6394)*(E6394=E$2:E6394)))))-COUNTBLANK(OFFSET(A$1,,,SUMPRODUCT(MAX(ROW(E$1:E6393)*(E2=E$1:E6393))))))</f>
        <v> </v>
      </c>
      <c r="K6394" s="26" t="str">
        <f>IF(OR(E6394="",E6394="!!!",F6394="NEW"),"",INDEX(J$1:J6393,SUMPRODUCT(MAX(ROW(E$1:E6393)*(E6394=E$1:E6393)))))</f>
        <v> </v>
      </c>
      <c r="L6394" s="27"/>
    </row>
    <row r="6395" spans="1:12">
      <c r="A6395" s="20" t="s">
        <v>1293</v>
      </c>
      <c r="E6395" s="22">
        <f>IF(D6395="?OLD","!!!","")</f>
        <v/>
      </c>
      <c r="F6395" s="23" t="str">
        <f>IF(OR(E6395="",E6395="!!!"),"",IF(NOT(ISNA(VLOOKUP(E6395,E$1:E6394,1,FALSE()))),"OLD",IF(AND(E6395&lt;&gt;"",E6395&lt;&gt;"!!!"),"NEW","")))</f>
        <v> </v>
      </c>
      <c r="G6395" s="24" t="str">
        <f>IF(OR(E6395="",E6395="!!!"),"",IF(OR(J6395=0,AND(J6395=1,K6395=1),AND(J6395=1,I6395="SBJ"),AND(J6395=1,I6395=0)),"?IN_FOCUS",IF(J6395&lt;=2,"?ACTIVATED",IF(J6395&lt;&gt;"","?FAMILIAR",IF(F6395="NEW",IF(ISNA(VLOOKUP(E6395,#REF!,1,FALSE())),"?TYPE_IDENTIFIABLE","?REFERENTIAL"),"_")))))</f>
        <v> </v>
      </c>
      <c r="H6395" s="25" t="str">
        <f>IF(J6395&lt;&gt;1,"",IF(I6395="SBJ","CB","?"))</f>
        <v> </v>
      </c>
      <c r="I6395" s="26" t="str">
        <f>IF(OR(E6395="",E6395="!!!",F6395="NEW"),"",INDEX(B6394:B$2,-1+SUMPRODUCT(MAX(ROW(E6394:E$2)*(E6395=E6394:E$2)))))</f>
        <v> </v>
      </c>
      <c r="J6395" s="26" t="str">
        <f>IF(OR(E6395="",E6395="!!!",F6395="NEW"),"",COUNTBLANK(OFFSET(A$1,,,SUMPRODUCT(MAX(ROW(E$2:E6395)*(E6395=E$2:E6395)))))-COUNTBLANK(OFFSET(A$1,,,SUMPRODUCT(MAX(ROW(E$1:E6394)*(E2=E$1:E6394))))))</f>
        <v> </v>
      </c>
      <c r="K6395" s="26" t="str">
        <f>IF(OR(E6395="",E6395="!!!",F6395="NEW"),"",INDEX(J$1:J6394,SUMPRODUCT(MAX(ROW(E$1:E6394)*(E6395=E$1:E6394)))))</f>
        <v> </v>
      </c>
      <c r="L6395" s="27"/>
    </row>
    <row r="6396" spans="1:12">
      <c r="A6396" s="20" t="s">
        <v>1294</v>
      </c>
      <c r="B6396" s="21" t="s">
        <v>1291</v>
      </c>
      <c r="C6396" s="21" t="s">
        <v>1195</v>
      </c>
      <c r="D6396" s="21" t="s">
        <v>1180</v>
      </c>
      <c r="E6396" s="22">
        <f>IF(D6396="?OLD","!!!","")</f>
        <v/>
      </c>
      <c r="F6396" s="23" t="str">
        <f>IF(OR(E6396="",E6396="!!!"),"",IF(NOT(ISNA(VLOOKUP(E6396,E$1:E6395,1,FALSE()))),"OLD",IF(AND(E6396&lt;&gt;"",E6396&lt;&gt;"!!!"),"NEW","")))</f>
        <v> </v>
      </c>
      <c r="G6396" s="24" t="str">
        <f>IF(OR(E6396="",E6396="!!!"),"",IF(OR(J6396=0,AND(J6396=1,K6396=1),AND(J6396=1,I6396="SBJ"),AND(J6396=1,I6396=0)),"?IN_FOCUS",IF(J6396&lt;=2,"?ACTIVATED",IF(J6396&lt;&gt;"","?FAMILIAR",IF(F6396="NEW",IF(ISNA(VLOOKUP(E6396,#REF!,1,FALSE())),"?TYPE_IDENTIFIABLE","?REFERENTIAL"),"_")))))</f>
        <v> </v>
      </c>
      <c r="H6396" s="25" t="str">
        <f>IF(J6396&lt;&gt;1,"",IF(I6396="SBJ","CB","?"))</f>
        <v> </v>
      </c>
      <c r="I6396" s="26" t="str">
        <f>IF(OR(E6396="",E6396="!!!",F6396="NEW"),"",INDEX(B6395:B$2,-1+SUMPRODUCT(MAX(ROW(E6395:E$2)*(E6396=E6395:E$2)))))</f>
        <v> </v>
      </c>
      <c r="J6396" s="26" t="str">
        <f>IF(OR(E6396="",E6396="!!!",F6396="NEW"),"",COUNTBLANK(OFFSET(A$1,,,SUMPRODUCT(MAX(ROW(E$2:E6396)*(E6396=E$2:E6396)))))-COUNTBLANK(OFFSET(A$1,,,SUMPRODUCT(MAX(ROW(E$1:E6395)*(E2=E$1:E6395))))))</f>
        <v> </v>
      </c>
      <c r="K6396" s="26" t="str">
        <f>IF(OR(E6396="",E6396="!!!",F6396="NEW"),"",INDEX(J$1:J6395,SUMPRODUCT(MAX(ROW(E$1:E6395)*(E6396=E$1:E6395)))))</f>
        <v> </v>
      </c>
      <c r="L6396" s="27"/>
    </row>
    <row r="6397" spans="1:12">
      <c r="A6397" s="20" t="s">
        <v>1396</v>
      </c>
      <c r="E6397" s="22">
        <f>IF(D6397="?OLD","!!!","")</f>
        <v/>
      </c>
      <c r="F6397" s="23" t="str">
        <f>IF(OR(E6397="",E6397="!!!"),"",IF(NOT(ISNA(VLOOKUP(E6397,E$1:E6396,1,FALSE()))),"OLD",IF(AND(E6397&lt;&gt;"",E6397&lt;&gt;"!!!"),"NEW","")))</f>
        <v> </v>
      </c>
      <c r="G6397" s="24" t="str">
        <f>IF(OR(E6397="",E6397="!!!"),"",IF(OR(J6397=0,AND(J6397=1,K6397=1),AND(J6397=1,I6397="SBJ"),AND(J6397=1,I6397=0)),"?IN_FOCUS",IF(J6397&lt;=2,"?ACTIVATED",IF(J6397&lt;&gt;"","?FAMILIAR",IF(F6397="NEW",IF(ISNA(VLOOKUP(E6397,#REF!,1,FALSE())),"?TYPE_IDENTIFIABLE","?REFERENTIAL"),"_")))))</f>
        <v> </v>
      </c>
      <c r="H6397" s="25" t="str">
        <f>IF(J6397&lt;&gt;1,"",IF(I6397="SBJ","CB","?"))</f>
        <v> </v>
      </c>
      <c r="I6397" s="26" t="str">
        <f>IF(OR(E6397="",E6397="!!!",F6397="NEW"),"",INDEX(B6396:B$2,-1+SUMPRODUCT(MAX(ROW(E6396:E$2)*(E6397=E6396:E$2)))))</f>
        <v> </v>
      </c>
      <c r="J6397" s="26" t="str">
        <f>IF(OR(E6397="",E6397="!!!",F6397="NEW"),"",COUNTBLANK(OFFSET(A$1,,,SUMPRODUCT(MAX(ROW(E$2:E6397)*(E6397=E$2:E6397)))))-COUNTBLANK(OFFSET(A$1,,,SUMPRODUCT(MAX(ROW(E$1:E6396)*(E2=E$1:E6396))))))</f>
        <v> </v>
      </c>
      <c r="K6397" s="26" t="str">
        <f>IF(OR(E6397="",E6397="!!!",F6397="NEW"),"",INDEX(J$1:J6396,SUMPRODUCT(MAX(ROW(E$1:E6396)*(E6397=E$1:E6396)))))</f>
        <v> </v>
      </c>
      <c r="L6397" s="27"/>
    </row>
    <row r="6398" spans="1:12">
      <c r="A6398" s="20" t="s">
        <v>163</v>
      </c>
      <c r="E6398" s="22">
        <f>IF(D6398="?OLD","!!!","")</f>
        <v/>
      </c>
      <c r="F6398" s="23" t="str">
        <f>IF(OR(E6398="",E6398="!!!"),"",IF(NOT(ISNA(VLOOKUP(E6398,E$1:E6397,1,FALSE()))),"OLD",IF(AND(E6398&lt;&gt;"",E6398&lt;&gt;"!!!"),"NEW","")))</f>
        <v> </v>
      </c>
      <c r="G6398" s="24" t="str">
        <f>IF(OR(E6398="",E6398="!!!"),"",IF(OR(J6398=0,AND(J6398=1,K6398=1),AND(J6398=1,I6398="SBJ"),AND(J6398=1,I6398=0)),"?IN_FOCUS",IF(J6398&lt;=2,"?ACTIVATED",IF(J6398&lt;&gt;"","?FAMILIAR",IF(F6398="NEW",IF(ISNA(VLOOKUP(E6398,#REF!,1,FALSE())),"?TYPE_IDENTIFIABLE","?REFERENTIAL"),"_")))))</f>
        <v> </v>
      </c>
      <c r="H6398" s="25" t="str">
        <f>IF(J6398&lt;&gt;1,"",IF(I6398="SBJ","CB","?"))</f>
        <v> </v>
      </c>
      <c r="I6398" s="26" t="str">
        <f>IF(OR(E6398="",E6398="!!!",F6398="NEW"),"",INDEX(B6397:B$2,-1+SUMPRODUCT(MAX(ROW(E6397:E$2)*(E6398=E6397:E$2)))))</f>
        <v> </v>
      </c>
      <c r="J6398" s="26" t="str">
        <f>IF(OR(E6398="",E6398="!!!",F6398="NEW"),"",COUNTBLANK(OFFSET(A$1,,,SUMPRODUCT(MAX(ROW(E$2:E6398)*(E6398=E$2:E6398)))))-COUNTBLANK(OFFSET(A$1,,,SUMPRODUCT(MAX(ROW(E$1:E6397)*(E2=E$1:E6397))))))</f>
        <v> </v>
      </c>
      <c r="K6398" s="26" t="str">
        <f>IF(OR(E6398="",E6398="!!!",F6398="NEW"),"",INDEX(J$1:J6397,SUMPRODUCT(MAX(ROW(E$1:E6397)*(E6398=E$1:E6397)))))</f>
        <v> </v>
      </c>
      <c r="L6398" s="27"/>
    </row>
    <row r="6399" spans="1:12">
      <c r="A6399" s="20" t="s">
        <v>1185</v>
      </c>
      <c r="E6399" s="22">
        <f>IF(D6399="?OLD","!!!","")</f>
        <v/>
      </c>
      <c r="F6399" s="23" t="str">
        <f>IF(OR(E6399="",E6399="!!!"),"",IF(NOT(ISNA(VLOOKUP(E6399,E$1:E6398,1,FALSE()))),"OLD",IF(AND(E6399&lt;&gt;"",E6399&lt;&gt;"!!!"),"NEW","")))</f>
        <v> </v>
      </c>
      <c r="G6399" s="24" t="str">
        <f>IF(OR(E6399="",E6399="!!!"),"",IF(OR(J6399=0,AND(J6399=1,K6399=1),AND(J6399=1,I6399="SBJ"),AND(J6399=1,I6399=0)),"?IN_FOCUS",IF(J6399&lt;=2,"?ACTIVATED",IF(J6399&lt;&gt;"","?FAMILIAR",IF(F6399="NEW",IF(ISNA(VLOOKUP(E6399,#REF!,1,FALSE())),"?TYPE_IDENTIFIABLE","?REFERENTIAL"),"_")))))</f>
        <v> </v>
      </c>
      <c r="H6399" s="25" t="str">
        <f>IF(J6399&lt;&gt;1,"",IF(I6399="SBJ","CB","?"))</f>
        <v> </v>
      </c>
      <c r="I6399" s="26" t="str">
        <f>IF(OR(E6399="",E6399="!!!",F6399="NEW"),"",INDEX(B6398:B$2,-1+SUMPRODUCT(MAX(ROW(E6398:E$2)*(E6399=E6398:E$2)))))</f>
        <v> </v>
      </c>
      <c r="J6399" s="26" t="str">
        <f>IF(OR(E6399="",E6399="!!!",F6399="NEW"),"",COUNTBLANK(OFFSET(A$1,,,SUMPRODUCT(MAX(ROW(E$2:E6399)*(E6399=E$2:E6399)))))-COUNTBLANK(OFFSET(A$1,,,SUMPRODUCT(MAX(ROW(E$1:E6398)*(E2=E$1:E6398))))))</f>
        <v> </v>
      </c>
      <c r="K6399" s="26" t="str">
        <f>IF(OR(E6399="",E6399="!!!",F6399="NEW"),"",INDEX(J$1:J6398,SUMPRODUCT(MAX(ROW(E$1:E6398)*(E6399=E$1:E6398)))))</f>
        <v> </v>
      </c>
      <c r="L6399" s="27"/>
    </row>
    <row r="6400" spans="1:12">
      <c r="A6400" s="20" t="s">
        <v>2898</v>
      </c>
      <c r="B6400" s="21" t="s">
        <v>1207</v>
      </c>
      <c r="C6400" s="21" t="s">
        <v>1238</v>
      </c>
      <c r="D6400" s="21" t="s">
        <v>1180</v>
      </c>
      <c r="E6400" s="22">
        <f>IF(D6400="?OLD","!!!","")</f>
        <v/>
      </c>
      <c r="F6400" s="23" t="str">
        <f>IF(OR(E6400="",E6400="!!!"),"",IF(NOT(ISNA(VLOOKUP(E6400,E$1:E6399,1,FALSE()))),"OLD",IF(AND(E6400&lt;&gt;"",E6400&lt;&gt;"!!!"),"NEW","")))</f>
        <v> </v>
      </c>
      <c r="G6400" s="24" t="str">
        <f>IF(OR(E6400="",E6400="!!!"),"",IF(OR(J6400=0,AND(J6400=1,K6400=1),AND(J6400=1,I6400="SBJ"),AND(J6400=1,I6400=0)),"?IN_FOCUS",IF(J6400&lt;=2,"?ACTIVATED",IF(J6400&lt;&gt;"","?FAMILIAR",IF(F6400="NEW",IF(ISNA(VLOOKUP(E6400,#REF!,1,FALSE())),"?TYPE_IDENTIFIABLE","?REFERENTIAL"),"_")))))</f>
        <v> </v>
      </c>
      <c r="H6400" s="25" t="str">
        <f>IF(J6400&lt;&gt;1,"",IF(I6400="SBJ","CB","?"))</f>
        <v> </v>
      </c>
      <c r="I6400" s="26" t="str">
        <f>IF(OR(E6400="",E6400="!!!",F6400="NEW"),"",INDEX(B6399:B$2,-1+SUMPRODUCT(MAX(ROW(E6399:E$2)*(E6400=E6399:E$2)))))</f>
        <v> </v>
      </c>
      <c r="J6400" s="26" t="str">
        <f>IF(OR(E6400="",E6400="!!!",F6400="NEW"),"",COUNTBLANK(OFFSET(A$1,,,SUMPRODUCT(MAX(ROW(E$2:E6400)*(E6400=E$2:E6400)))))-COUNTBLANK(OFFSET(A$1,,,SUMPRODUCT(MAX(ROW(E$1:E6399)*(E2=E$1:E6399))))))</f>
        <v> </v>
      </c>
      <c r="K6400" s="26" t="str">
        <f>IF(OR(E6400="",E6400="!!!",F6400="NEW"),"",INDEX(J$1:J6399,SUMPRODUCT(MAX(ROW(E$1:E6399)*(E6400=E$1:E6399)))))</f>
        <v> </v>
      </c>
      <c r="L6400" s="27"/>
    </row>
    <row r="6401" spans="1:12">
      <c r="A6401" s="20" t="s">
        <v>1185</v>
      </c>
      <c r="E6401" s="22">
        <f>IF(D6401="?OLD","!!!","")</f>
        <v/>
      </c>
      <c r="F6401" s="23" t="str">
        <f>IF(OR(E6401="",E6401="!!!"),"",IF(NOT(ISNA(VLOOKUP(E6401,E$1:E6400,1,FALSE()))),"OLD",IF(AND(E6401&lt;&gt;"",E6401&lt;&gt;"!!!"),"NEW","")))</f>
        <v> </v>
      </c>
      <c r="G6401" s="24" t="str">
        <f>IF(OR(E6401="",E6401="!!!"),"",IF(OR(J6401=0,AND(J6401=1,K6401=1),AND(J6401=1,I6401="SBJ"),AND(J6401=1,I6401=0)),"?IN_FOCUS",IF(J6401&lt;=2,"?ACTIVATED",IF(J6401&lt;&gt;"","?FAMILIAR",IF(F6401="NEW",IF(ISNA(VLOOKUP(E6401,#REF!,1,FALSE())),"?TYPE_IDENTIFIABLE","?REFERENTIAL"),"_")))))</f>
        <v> </v>
      </c>
      <c r="H6401" s="25" t="str">
        <f>IF(J6401&lt;&gt;1,"",IF(I6401="SBJ","CB","?"))</f>
        <v> </v>
      </c>
      <c r="I6401" s="26" t="str">
        <f>IF(OR(E6401="",E6401="!!!",F6401="NEW"),"",INDEX(B6400:B$2,-1+SUMPRODUCT(MAX(ROW(E6400:E$2)*(E6401=E6400:E$2)))))</f>
        <v> </v>
      </c>
      <c r="J6401" s="26" t="str">
        <f>IF(OR(E6401="",E6401="!!!",F6401="NEW"),"",COUNTBLANK(OFFSET(A$1,,,SUMPRODUCT(MAX(ROW(E$2:E6401)*(E6401=E$2:E6401)))))-COUNTBLANK(OFFSET(A$1,,,SUMPRODUCT(MAX(ROW(E$1:E6400)*(E2=E$1:E6400))))))</f>
        <v> </v>
      </c>
      <c r="K6401" s="26" t="str">
        <f>IF(OR(E6401="",E6401="!!!",F6401="NEW"),"",INDEX(J$1:J6400,SUMPRODUCT(MAX(ROW(E$1:E6400)*(E6401=E$1:E6400)))))</f>
        <v> </v>
      </c>
      <c r="L6401" s="27"/>
    </row>
    <row r="6402" spans="1:12">
      <c r="A6402" s="20" t="s">
        <v>1300</v>
      </c>
      <c r="E6402" s="22">
        <f>IF(D6402="?OLD","!!!","")</f>
        <v/>
      </c>
      <c r="F6402" s="23" t="str">
        <f>IF(OR(E6402="",E6402="!!!"),"",IF(NOT(ISNA(VLOOKUP(E6402,E$1:E6401,1,FALSE()))),"OLD",IF(AND(E6402&lt;&gt;"",E6402&lt;&gt;"!!!"),"NEW","")))</f>
        <v> </v>
      </c>
      <c r="G6402" s="24" t="str">
        <f>IF(OR(E6402="",E6402="!!!"),"",IF(OR(J6402=0,AND(J6402=1,K6402=1),AND(J6402=1,I6402="SBJ"),AND(J6402=1,I6402=0)),"?IN_FOCUS",IF(J6402&lt;=2,"?ACTIVATED",IF(J6402&lt;&gt;"","?FAMILIAR",IF(F6402="NEW",IF(ISNA(VLOOKUP(E6402,#REF!,1,FALSE())),"?TYPE_IDENTIFIABLE","?REFERENTIAL"),"_")))))</f>
        <v> </v>
      </c>
      <c r="H6402" s="25" t="str">
        <f>IF(J6402&lt;&gt;1,"",IF(I6402="SBJ","CB","?"))</f>
        <v> </v>
      </c>
      <c r="I6402" s="26" t="str">
        <f>IF(OR(E6402="",E6402="!!!",F6402="NEW"),"",INDEX(B6401:B$2,-1+SUMPRODUCT(MAX(ROW(E6401:E$2)*(E6402=E6401:E$2)))))</f>
        <v> </v>
      </c>
      <c r="J6402" s="26" t="str">
        <f>IF(OR(E6402="",E6402="!!!",F6402="NEW"),"",COUNTBLANK(OFFSET(A$1,,,SUMPRODUCT(MAX(ROW(E$2:E6402)*(E6402=E$2:E6402)))))-COUNTBLANK(OFFSET(A$1,,,SUMPRODUCT(MAX(ROW(E$1:E6401)*(E2=E$1:E6401))))))</f>
        <v> </v>
      </c>
      <c r="K6402" s="26" t="str">
        <f>IF(OR(E6402="",E6402="!!!",F6402="NEW"),"",INDEX(J$1:J6401,SUMPRODUCT(MAX(ROW(E$1:E6401)*(E6402=E$1:E6401)))))</f>
        <v> </v>
      </c>
      <c r="L6402" s="27"/>
    </row>
    <row r="6403" spans="1:12">
      <c r="A6403" s="20" t="s">
        <v>1263</v>
      </c>
      <c r="B6403" s="21" t="s">
        <v>1304</v>
      </c>
      <c r="C6403" s="21" t="s">
        <v>1195</v>
      </c>
      <c r="D6403" s="21" t="s">
        <v>1180</v>
      </c>
      <c r="E6403" s="22">
        <f>IF(D6403="?OLD","!!!","")</f>
        <v/>
      </c>
      <c r="F6403" s="23" t="str">
        <f>IF(OR(E6403="",E6403="!!!"),"",IF(NOT(ISNA(VLOOKUP(E6403,E$1:E6402,1,FALSE()))),"OLD",IF(AND(E6403&lt;&gt;"",E6403&lt;&gt;"!!!"),"NEW","")))</f>
        <v> </v>
      </c>
      <c r="G6403" s="24" t="str">
        <f>IF(OR(E6403="",E6403="!!!"),"",IF(OR(J6403=0,AND(J6403=1,K6403=1),AND(J6403=1,I6403="SBJ"),AND(J6403=1,I6403=0)),"?IN_FOCUS",IF(J6403&lt;=2,"?ACTIVATED",IF(J6403&lt;&gt;"","?FAMILIAR",IF(F6403="NEW",IF(ISNA(VLOOKUP(E6403,#REF!,1,FALSE())),"?TYPE_IDENTIFIABLE","?REFERENTIAL"),"_")))))</f>
        <v> </v>
      </c>
      <c r="H6403" s="25" t="str">
        <f>IF(J6403&lt;&gt;1,"",IF(I6403="SBJ","CB","?"))</f>
        <v> </v>
      </c>
      <c r="I6403" s="26" t="str">
        <f>IF(OR(E6403="",E6403="!!!",F6403="NEW"),"",INDEX(B6402:B$2,-1+SUMPRODUCT(MAX(ROW(E6402:E$2)*(E6403=E6402:E$2)))))</f>
        <v> </v>
      </c>
      <c r="J6403" s="26" t="str">
        <f>IF(OR(E6403="",E6403="!!!",F6403="NEW"),"",COUNTBLANK(OFFSET(A$1,,,SUMPRODUCT(MAX(ROW(E$2:E6403)*(E6403=E$2:E6403)))))-COUNTBLANK(OFFSET(A$1,,,SUMPRODUCT(MAX(ROW(E$1:E6402)*(E2=E$1:E6402))))))</f>
        <v> </v>
      </c>
      <c r="K6403" s="26" t="str">
        <f>IF(OR(E6403="",E6403="!!!",F6403="NEW"),"",INDEX(J$1:J6402,SUMPRODUCT(MAX(ROW(E$1:E6402)*(E6403=E$1:E6402)))))</f>
        <v> </v>
      </c>
      <c r="L6403" s="27"/>
    </row>
    <row r="6404" spans="1:12">
      <c r="A6404" s="20" t="s">
        <v>2899</v>
      </c>
      <c r="E6404" s="22">
        <f>IF(D6404="?OLD","!!!","")</f>
        <v/>
      </c>
      <c r="F6404" s="23" t="str">
        <f>IF(OR(E6404="",E6404="!!!"),"",IF(NOT(ISNA(VLOOKUP(E6404,E$1:E6403,1,FALSE()))),"OLD",IF(AND(E6404&lt;&gt;"",E6404&lt;&gt;"!!!"),"NEW","")))</f>
        <v> </v>
      </c>
      <c r="G6404" s="24" t="str">
        <f>IF(OR(E6404="",E6404="!!!"),"",IF(OR(J6404=0,AND(J6404=1,K6404=1),AND(J6404=1,I6404="SBJ"),AND(J6404=1,I6404=0)),"?IN_FOCUS",IF(J6404&lt;=2,"?ACTIVATED",IF(J6404&lt;&gt;"","?FAMILIAR",IF(F6404="NEW",IF(ISNA(VLOOKUP(E6404,#REF!,1,FALSE())),"?TYPE_IDENTIFIABLE","?REFERENTIAL"),"_")))))</f>
        <v> </v>
      </c>
      <c r="H6404" s="25" t="str">
        <f>IF(J6404&lt;&gt;1,"",IF(I6404="SBJ","CB","?"))</f>
        <v> </v>
      </c>
      <c r="I6404" s="26" t="str">
        <f>IF(OR(E6404="",E6404="!!!",F6404="NEW"),"",INDEX(B6403:B$2,-1+SUMPRODUCT(MAX(ROW(E6403:E$2)*(E6404=E6403:E$2)))))</f>
        <v> </v>
      </c>
      <c r="J6404" s="26" t="str">
        <f>IF(OR(E6404="",E6404="!!!",F6404="NEW"),"",COUNTBLANK(OFFSET(A$1,,,SUMPRODUCT(MAX(ROW(E$2:E6404)*(E6404=E$2:E6404)))))-COUNTBLANK(OFFSET(A$1,,,SUMPRODUCT(MAX(ROW(E$1:E6403)*(E2=E$1:E6403))))))</f>
        <v> </v>
      </c>
      <c r="K6404" s="26" t="str">
        <f>IF(OR(E6404="",E6404="!!!",F6404="NEW"),"",INDEX(J$1:J6403,SUMPRODUCT(MAX(ROW(E$1:E6403)*(E6404=E$1:E6403)))))</f>
        <v> </v>
      </c>
      <c r="L6404" s="27"/>
    </row>
    <row r="6405" spans="1:12">
      <c r="A6405" s="20" t="s">
        <v>1252</v>
      </c>
      <c r="E6405" s="22">
        <f>IF(D6405="?OLD","!!!","")</f>
        <v/>
      </c>
      <c r="F6405" s="23" t="str">
        <f>IF(OR(E6405="",E6405="!!!"),"",IF(NOT(ISNA(VLOOKUP(E6405,E$1:E6404,1,FALSE()))),"OLD",IF(AND(E6405&lt;&gt;"",E6405&lt;&gt;"!!!"),"NEW","")))</f>
        <v> </v>
      </c>
      <c r="G6405" s="24" t="str">
        <f>IF(OR(E6405="",E6405="!!!"),"",IF(OR(J6405=0,AND(J6405=1,K6405=1),AND(J6405=1,I6405="SBJ"),AND(J6405=1,I6405=0)),"?IN_FOCUS",IF(J6405&lt;=2,"?ACTIVATED",IF(J6405&lt;&gt;"","?FAMILIAR",IF(F6405="NEW",IF(ISNA(VLOOKUP(E6405,#REF!,1,FALSE())),"?TYPE_IDENTIFIABLE","?REFERENTIAL"),"_")))))</f>
        <v> </v>
      </c>
      <c r="H6405" s="25" t="str">
        <f>IF(J6405&lt;&gt;1,"",IF(I6405="SBJ","CB","?"))</f>
        <v> </v>
      </c>
      <c r="I6405" s="26" t="str">
        <f>IF(OR(E6405="",E6405="!!!",F6405="NEW"),"",INDEX(B6404:B$2,-1+SUMPRODUCT(MAX(ROW(E6404:E$2)*(E6405=E6404:E$2)))))</f>
        <v> </v>
      </c>
      <c r="J6405" s="26" t="str">
        <f>IF(OR(E6405="",E6405="!!!",F6405="NEW"),"",COUNTBLANK(OFFSET(A$1,,,SUMPRODUCT(MAX(ROW(E$2:E6405)*(E6405=E$2:E6405)))))-COUNTBLANK(OFFSET(A$1,,,SUMPRODUCT(MAX(ROW(E$1:E6404)*(E2=E$1:E6404))))))</f>
        <v> </v>
      </c>
      <c r="K6405" s="26" t="str">
        <f>IF(OR(E6405="",E6405="!!!",F6405="NEW"),"",INDEX(J$1:J6404,SUMPRODUCT(MAX(ROW(E$1:E6404)*(E6405=E$1:E6404)))))</f>
        <v> </v>
      </c>
      <c r="L6405" s="27"/>
    </row>
    <row r="6406" spans="1:12">
      <c r="A6406" s="20" t="s">
        <v>818</v>
      </c>
      <c r="E6406" s="22">
        <f>IF(D6406="?OLD","!!!","")</f>
        <v/>
      </c>
      <c r="F6406" s="23" t="str">
        <f>IF(OR(E6406="",E6406="!!!"),"",IF(NOT(ISNA(VLOOKUP(E6406,E$1:E6405,1,FALSE()))),"OLD",IF(AND(E6406&lt;&gt;"",E6406&lt;&gt;"!!!"),"NEW","")))</f>
        <v> </v>
      </c>
      <c r="G6406" s="24" t="str">
        <f>IF(OR(E6406="",E6406="!!!"),"",IF(OR(J6406=0,AND(J6406=1,K6406=1),AND(J6406=1,I6406="SBJ"),AND(J6406=1,I6406=0)),"?IN_FOCUS",IF(J6406&lt;=2,"?ACTIVATED",IF(J6406&lt;&gt;"","?FAMILIAR",IF(F6406="NEW",IF(ISNA(VLOOKUP(E6406,#REF!,1,FALSE())),"?TYPE_IDENTIFIABLE","?REFERENTIAL"),"_")))))</f>
        <v> </v>
      </c>
      <c r="H6406" s="25" t="str">
        <f>IF(J6406&lt;&gt;1,"",IF(I6406="SBJ","CB","?"))</f>
        <v> </v>
      </c>
      <c r="I6406" s="26" t="str">
        <f>IF(OR(E6406="",E6406="!!!",F6406="NEW"),"",INDEX(B6405:B$2,-1+SUMPRODUCT(MAX(ROW(E6405:E$2)*(E6406=E6405:E$2)))))</f>
        <v> </v>
      </c>
      <c r="J6406" s="26" t="str">
        <f>IF(OR(E6406="",E6406="!!!",F6406="NEW"),"",COUNTBLANK(OFFSET(A$1,,,SUMPRODUCT(MAX(ROW(E$2:E6406)*(E6406=E$2:E6406)))))-COUNTBLANK(OFFSET(A$1,,,SUMPRODUCT(MAX(ROW(E$1:E6405)*(E2=E$1:E6405))))))</f>
        <v> </v>
      </c>
      <c r="K6406" s="26" t="str">
        <f>IF(OR(E6406="",E6406="!!!",F6406="NEW"),"",INDEX(J$1:J6405,SUMPRODUCT(MAX(ROW(E$1:E6405)*(E6406=E$1:E6405)))))</f>
        <v> </v>
      </c>
      <c r="L6406" s="27"/>
    </row>
    <row r="6407" spans="1:12">
      <c r="A6407" s="20"/>
    </row>
    <row r="6408" spans="1:12">
      <c r="A6408" s="20" t="s">
        <v>2900</v>
      </c>
    </row>
    <row r="6409" spans="1:12">
      <c r="A6409" s="20" t="s">
        <v>1193</v>
      </c>
      <c r="B6409" s="21" t="s">
        <v>1194</v>
      </c>
      <c r="C6409" s="21" t="s">
        <v>1195</v>
      </c>
      <c r="D6409" s="21" t="s">
        <v>1180</v>
      </c>
      <c r="E6409" s="22">
        <f>IF(D6409="?OLD","!!!","")</f>
        <v/>
      </c>
      <c r="F6409" s="23" t="str">
        <f>IF(OR(E6409="",E6409="!!!"),"",IF(NOT(ISNA(VLOOKUP(E6409,E$1:E6408,1,FALSE()))),"OLD",IF(AND(E6409&lt;&gt;"",E6409&lt;&gt;"!!!"),"NEW","")))</f>
        <v> </v>
      </c>
      <c r="G6409" s="24" t="str">
        <f>IF(OR(E6409="",E6409="!!!"),"",IF(OR(J6409=0,AND(J6409=1,K6409=1),AND(J6409=1,I6409="SBJ"),AND(J6409=1,I6409=0)),"?IN_FOCUS",IF(J6409&lt;=2,"?ACTIVATED",IF(J6409&lt;&gt;"","?FAMILIAR",IF(F6409="NEW",IF(ISNA(VLOOKUP(E6409,#REF!,1,FALSE())),"?TYPE_IDENTIFIABLE","?REFERENTIAL"),"_")))))</f>
        <v> </v>
      </c>
      <c r="H6409" s="25" t="str">
        <f>IF(J6409&lt;&gt;1,"",IF(I6409="SBJ","CB","?"))</f>
        <v> </v>
      </c>
      <c r="I6409" s="26" t="str">
        <f>IF(OR(E6409="",E6409="!!!",F6409="NEW"),"",INDEX(B6408:B$2,-1+SUMPRODUCT(MAX(ROW(E6408:E$2)*(E6409=E6408:E$2)))))</f>
        <v> </v>
      </c>
      <c r="J6409" s="26" t="str">
        <f>IF(OR(E6409="",E6409="!!!",F6409="NEW"),"",COUNTBLANK(OFFSET(A$1,,,SUMPRODUCT(MAX(ROW(E$2:E6409)*(E6409=E$2:E6409)))))-COUNTBLANK(OFFSET(A$1,,,SUMPRODUCT(MAX(ROW(E$1:E6408)*(E2=E$1:E6408))))))</f>
        <v> </v>
      </c>
      <c r="K6409" s="26" t="str">
        <f>IF(OR(E6409="",E6409="!!!",F6409="NEW"),"",INDEX(J$1:J6408,SUMPRODUCT(MAX(ROW(E$1:E6408)*(E6409=E$1:E6408)))))</f>
        <v> </v>
      </c>
      <c r="L6409" s="27"/>
    </row>
    <row r="6410" spans="1:12">
      <c r="A6410" s="20" t="s">
        <v>1196</v>
      </c>
      <c r="E6410" s="22">
        <f>IF(D6410="?OLD","!!!","")</f>
        <v/>
      </c>
      <c r="F6410" s="23" t="str">
        <f>IF(OR(E6410="",E6410="!!!"),"",IF(NOT(ISNA(VLOOKUP(E6410,E$1:E6409,1,FALSE()))),"OLD",IF(AND(E6410&lt;&gt;"",E6410&lt;&gt;"!!!"),"NEW","")))</f>
        <v> </v>
      </c>
      <c r="G6410" s="24" t="str">
        <f>IF(OR(E6410="",E6410="!!!"),"",IF(OR(J6410=0,AND(J6410=1,K6410=1),AND(J6410=1,I6410="SBJ"),AND(J6410=1,I6410=0)),"?IN_FOCUS",IF(J6410&lt;=2,"?ACTIVATED",IF(J6410&lt;&gt;"","?FAMILIAR",IF(F6410="NEW",IF(ISNA(VLOOKUP(E6410,#REF!,1,FALSE())),"?TYPE_IDENTIFIABLE","?REFERENTIAL"),"_")))))</f>
        <v> </v>
      </c>
      <c r="H6410" s="25" t="str">
        <f>IF(J6410&lt;&gt;1,"",IF(I6410="SBJ","CB","?"))</f>
        <v> </v>
      </c>
      <c r="I6410" s="26" t="str">
        <f>IF(OR(E6410="",E6410="!!!",F6410="NEW"),"",INDEX(B6409:B$2,-1+SUMPRODUCT(MAX(ROW(E6409:E$2)*(E6410=E6409:E$2)))))</f>
        <v> </v>
      </c>
      <c r="J6410" s="26" t="str">
        <f>IF(OR(E6410="",E6410="!!!",F6410="NEW"),"",COUNTBLANK(OFFSET(A$1,,,SUMPRODUCT(MAX(ROW(E$2:E6410)*(E6410=E$2:E6410)))))-COUNTBLANK(OFFSET(A$1,,,SUMPRODUCT(MAX(ROW(E$1:E6409)*(E2=E$1:E6409))))))</f>
        <v> </v>
      </c>
      <c r="K6410" s="26" t="str">
        <f>IF(OR(E6410="",E6410="!!!",F6410="NEW"),"",INDEX(J$1:J6409,SUMPRODUCT(MAX(ROW(E$1:E6409)*(E6410=E$1:E6409)))))</f>
        <v> </v>
      </c>
      <c r="L6410" s="27"/>
    </row>
    <row r="6411" spans="1:12">
      <c r="A6411" s="20" t="s">
        <v>1907</v>
      </c>
      <c r="E6411" s="22">
        <f>IF(D6411="?OLD","!!!","")</f>
        <v/>
      </c>
      <c r="F6411" s="23" t="str">
        <f>IF(OR(E6411="",E6411="!!!"),"",IF(NOT(ISNA(VLOOKUP(E6411,E$1:E6410,1,FALSE()))),"OLD",IF(AND(E6411&lt;&gt;"",E6411&lt;&gt;"!!!"),"NEW","")))</f>
        <v> </v>
      </c>
      <c r="G6411" s="24" t="str">
        <f>IF(OR(E6411="",E6411="!!!"),"",IF(OR(J6411=0,AND(J6411=1,K6411=1),AND(J6411=1,I6411="SBJ"),AND(J6411=1,I6411=0)),"?IN_FOCUS",IF(J6411&lt;=2,"?ACTIVATED",IF(J6411&lt;&gt;"","?FAMILIAR",IF(F6411="NEW",IF(ISNA(VLOOKUP(E6411,#REF!,1,FALSE())),"?TYPE_IDENTIFIABLE","?REFERENTIAL"),"_")))))</f>
        <v> </v>
      </c>
      <c r="H6411" s="25" t="str">
        <f>IF(J6411&lt;&gt;1,"",IF(I6411="SBJ","CB","?"))</f>
        <v> </v>
      </c>
      <c r="I6411" s="26" t="str">
        <f>IF(OR(E6411="",E6411="!!!",F6411="NEW"),"",INDEX(B6410:B$2,-1+SUMPRODUCT(MAX(ROW(E6410:E$2)*(E6411=E6410:E$2)))))</f>
        <v> </v>
      </c>
      <c r="J6411" s="26" t="str">
        <f>IF(OR(E6411="",E6411="!!!",F6411="NEW"),"",COUNTBLANK(OFFSET(A$1,,,SUMPRODUCT(MAX(ROW(E$2:E6411)*(E6411=E$2:E6411)))))-COUNTBLANK(OFFSET(A$1,,,SUMPRODUCT(MAX(ROW(E$1:E6410)*(E2=E$1:E6410))))))</f>
        <v> </v>
      </c>
      <c r="K6411" s="26" t="str">
        <f>IF(OR(E6411="",E6411="!!!",F6411="NEW"),"",INDEX(J$1:J6410,SUMPRODUCT(MAX(ROW(E$1:E6410)*(E6411=E$1:E6410)))))</f>
        <v> </v>
      </c>
      <c r="L6411" s="27"/>
    </row>
    <row r="6412" spans="1:12">
      <c r="A6412" s="20" t="s">
        <v>2901</v>
      </c>
      <c r="E6412" s="22">
        <f>IF(D6412="?OLD","!!!","")</f>
        <v/>
      </c>
      <c r="F6412" s="23" t="str">
        <f>IF(OR(E6412="",E6412="!!!"),"",IF(NOT(ISNA(VLOOKUP(E6412,E$1:E6411,1,FALSE()))),"OLD",IF(AND(E6412&lt;&gt;"",E6412&lt;&gt;"!!!"),"NEW","")))</f>
        <v> </v>
      </c>
      <c r="G6412" s="24" t="str">
        <f>IF(OR(E6412="",E6412="!!!"),"",IF(OR(J6412=0,AND(J6412=1,K6412=1),AND(J6412=1,I6412="SBJ"),AND(J6412=1,I6412=0)),"?IN_FOCUS",IF(J6412&lt;=2,"?ACTIVATED",IF(J6412&lt;&gt;"","?FAMILIAR",IF(F6412="NEW",IF(ISNA(VLOOKUP(E6412,#REF!,1,FALSE())),"?TYPE_IDENTIFIABLE","?REFERENTIAL"),"_")))))</f>
        <v> </v>
      </c>
      <c r="H6412" s="25" t="str">
        <f>IF(J6412&lt;&gt;1,"",IF(I6412="SBJ","CB","?"))</f>
        <v> </v>
      </c>
      <c r="I6412" s="26" t="str">
        <f>IF(OR(E6412="",E6412="!!!",F6412="NEW"),"",INDEX(B6411:B$2,-1+SUMPRODUCT(MAX(ROW(E6411:E$2)*(E6412=E6411:E$2)))))</f>
        <v> </v>
      </c>
      <c r="J6412" s="26" t="str">
        <f>IF(OR(E6412="",E6412="!!!",F6412="NEW"),"",COUNTBLANK(OFFSET(A$1,,,SUMPRODUCT(MAX(ROW(E$2:E6412)*(E6412=E$2:E6412)))))-COUNTBLANK(OFFSET(A$1,,,SUMPRODUCT(MAX(ROW(E$1:E6411)*(E2=E$1:E6411))))))</f>
        <v> </v>
      </c>
      <c r="K6412" s="26" t="str">
        <f>IF(OR(E6412="",E6412="!!!",F6412="NEW"),"",INDEX(J$1:J6411,SUMPRODUCT(MAX(ROW(E$1:E6411)*(E6412=E$1:E6411)))))</f>
        <v> </v>
      </c>
      <c r="L6412" s="27"/>
    </row>
    <row r="6413" spans="1:12">
      <c r="A6413" s="20" t="s">
        <v>292</v>
      </c>
      <c r="E6413" s="22">
        <f>IF(D6413="?OLD","!!!","")</f>
        <v/>
      </c>
      <c r="F6413" s="23" t="str">
        <f>IF(OR(E6413="",E6413="!!!"),"",IF(NOT(ISNA(VLOOKUP(E6413,E$1:E6412,1,FALSE()))),"OLD",IF(AND(E6413&lt;&gt;"",E6413&lt;&gt;"!!!"),"NEW","")))</f>
        <v> </v>
      </c>
      <c r="G6413" s="24" t="str">
        <f>IF(OR(E6413="",E6413="!!!"),"",IF(OR(J6413=0,AND(J6413=1,K6413=1),AND(J6413=1,I6413="SBJ"),AND(J6413=1,I6413=0)),"?IN_FOCUS",IF(J6413&lt;=2,"?ACTIVATED",IF(J6413&lt;&gt;"","?FAMILIAR",IF(F6413="NEW",IF(ISNA(VLOOKUP(E6413,#REF!,1,FALSE())),"?TYPE_IDENTIFIABLE","?REFERENTIAL"),"_")))))</f>
        <v> </v>
      </c>
      <c r="H6413" s="25" t="str">
        <f>IF(J6413&lt;&gt;1,"",IF(I6413="SBJ","CB","?"))</f>
        <v> </v>
      </c>
      <c r="I6413" s="26" t="str">
        <f>IF(OR(E6413="",E6413="!!!",F6413="NEW"),"",INDEX(B6412:B$2,-1+SUMPRODUCT(MAX(ROW(E6412:E$2)*(E6413=E6412:E$2)))))</f>
        <v> </v>
      </c>
      <c r="J6413" s="26" t="str">
        <f>IF(OR(E6413="",E6413="!!!",F6413="NEW"),"",COUNTBLANK(OFFSET(A$1,,,SUMPRODUCT(MAX(ROW(E$2:E6413)*(E6413=E$2:E6413)))))-COUNTBLANK(OFFSET(A$1,,,SUMPRODUCT(MAX(ROW(E$1:E6412)*(E2=E$1:E6412))))))</f>
        <v> </v>
      </c>
      <c r="K6413" s="26" t="str">
        <f>IF(OR(E6413="",E6413="!!!",F6413="NEW"),"",INDEX(J$1:J6412,SUMPRODUCT(MAX(ROW(E$1:E6412)*(E6413=E$1:E6412)))))</f>
        <v> </v>
      </c>
      <c r="L6413" s="27"/>
    </row>
    <row r="6414" spans="1:12">
      <c r="A6414" s="20" t="s">
        <v>1185</v>
      </c>
      <c r="E6414" s="22">
        <f>IF(D6414="?OLD","!!!","")</f>
        <v/>
      </c>
      <c r="F6414" s="23" t="str">
        <f>IF(OR(E6414="",E6414="!!!"),"",IF(NOT(ISNA(VLOOKUP(E6414,E$1:E6413,1,FALSE()))),"OLD",IF(AND(E6414&lt;&gt;"",E6414&lt;&gt;"!!!"),"NEW","")))</f>
        <v> </v>
      </c>
      <c r="G6414" s="24" t="str">
        <f>IF(OR(E6414="",E6414="!!!"),"",IF(OR(J6414=0,AND(J6414=1,K6414=1),AND(J6414=1,I6414="SBJ"),AND(J6414=1,I6414=0)),"?IN_FOCUS",IF(J6414&lt;=2,"?ACTIVATED",IF(J6414&lt;&gt;"","?FAMILIAR",IF(F6414="NEW",IF(ISNA(VLOOKUP(E6414,#REF!,1,FALSE())),"?TYPE_IDENTIFIABLE","?REFERENTIAL"),"_")))))</f>
        <v> </v>
      </c>
      <c r="H6414" s="25" t="str">
        <f>IF(J6414&lt;&gt;1,"",IF(I6414="SBJ","CB","?"))</f>
        <v> </v>
      </c>
      <c r="I6414" s="26" t="str">
        <f>IF(OR(E6414="",E6414="!!!",F6414="NEW"),"",INDEX(B6413:B$2,-1+SUMPRODUCT(MAX(ROW(E6413:E$2)*(E6414=E6413:E$2)))))</f>
        <v> </v>
      </c>
      <c r="J6414" s="26" t="str">
        <f>IF(OR(E6414="",E6414="!!!",F6414="NEW"),"",COUNTBLANK(OFFSET(A$1,,,SUMPRODUCT(MAX(ROW(E$2:E6414)*(E6414=E$2:E6414)))))-COUNTBLANK(OFFSET(A$1,,,SUMPRODUCT(MAX(ROW(E$1:E6413)*(E2=E$1:E6413))))))</f>
        <v> </v>
      </c>
      <c r="K6414" s="26" t="str">
        <f>IF(OR(E6414="",E6414="!!!",F6414="NEW"),"",INDEX(J$1:J6413,SUMPRODUCT(MAX(ROW(E$1:E6413)*(E6414=E$1:E6413)))))</f>
        <v> </v>
      </c>
      <c r="L6414" s="27"/>
    </row>
    <row r="6415" spans="1:12">
      <c r="A6415" s="20" t="s">
        <v>1359</v>
      </c>
      <c r="E6415" s="22">
        <f>IF(D6415="?OLD","!!!","")</f>
        <v/>
      </c>
      <c r="F6415" s="23" t="str">
        <f>IF(OR(E6415="",E6415="!!!"),"",IF(NOT(ISNA(VLOOKUP(E6415,E$1:E6414,1,FALSE()))),"OLD",IF(AND(E6415&lt;&gt;"",E6415&lt;&gt;"!!!"),"NEW","")))</f>
        <v> </v>
      </c>
      <c r="G6415" s="24" t="str">
        <f>IF(OR(E6415="",E6415="!!!"),"",IF(OR(J6415=0,AND(J6415=1,K6415=1),AND(J6415=1,I6415="SBJ"),AND(J6415=1,I6415=0)),"?IN_FOCUS",IF(J6415&lt;=2,"?ACTIVATED",IF(J6415&lt;&gt;"","?FAMILIAR",IF(F6415="NEW",IF(ISNA(VLOOKUP(E6415,#REF!,1,FALSE())),"?TYPE_IDENTIFIABLE","?REFERENTIAL"),"_")))))</f>
        <v> </v>
      </c>
      <c r="H6415" s="25" t="str">
        <f>IF(J6415&lt;&gt;1,"",IF(I6415="SBJ","CB","?"))</f>
        <v> </v>
      </c>
      <c r="I6415" s="26" t="str">
        <f>IF(OR(E6415="",E6415="!!!",F6415="NEW"),"",INDEX(B6414:B$2,-1+SUMPRODUCT(MAX(ROW(E6414:E$2)*(E6415=E6414:E$2)))))</f>
        <v> </v>
      </c>
      <c r="J6415" s="26" t="str">
        <f>IF(OR(E6415="",E6415="!!!",F6415="NEW"),"",COUNTBLANK(OFFSET(A$1,,,SUMPRODUCT(MAX(ROW(E$2:E6415)*(E6415=E$2:E6415)))))-COUNTBLANK(OFFSET(A$1,,,SUMPRODUCT(MAX(ROW(E$1:E6414)*(E2=E$1:E6414))))))</f>
        <v> </v>
      </c>
      <c r="K6415" s="26" t="str">
        <f>IF(OR(E6415="",E6415="!!!",F6415="NEW"),"",INDEX(J$1:J6414,SUMPRODUCT(MAX(ROW(E$1:E6414)*(E6415=E$1:E6414)))))</f>
        <v> </v>
      </c>
      <c r="L6415" s="27"/>
    </row>
    <row r="6416" spans="1:12">
      <c r="A6416" s="20" t="s">
        <v>1263</v>
      </c>
      <c r="B6416" s="21" t="s">
        <v>1240</v>
      </c>
      <c r="C6416" s="21" t="s">
        <v>1195</v>
      </c>
      <c r="D6416" s="21" t="s">
        <v>1180</v>
      </c>
      <c r="E6416" s="22">
        <f>IF(D6416="?OLD","!!!","")</f>
        <v/>
      </c>
      <c r="F6416" s="23" t="str">
        <f>IF(OR(E6416="",E6416="!!!"),"",IF(NOT(ISNA(VLOOKUP(E6416,E$1:E6415,1,FALSE()))),"OLD",IF(AND(E6416&lt;&gt;"",E6416&lt;&gt;"!!!"),"NEW","")))</f>
        <v> </v>
      </c>
      <c r="G6416" s="24" t="str">
        <f>IF(OR(E6416="",E6416="!!!"),"",IF(OR(J6416=0,AND(J6416=1,K6416=1),AND(J6416=1,I6416="SBJ"),AND(J6416=1,I6416=0)),"?IN_FOCUS",IF(J6416&lt;=2,"?ACTIVATED",IF(J6416&lt;&gt;"","?FAMILIAR",IF(F6416="NEW",IF(ISNA(VLOOKUP(E6416,#REF!,1,FALSE())),"?TYPE_IDENTIFIABLE","?REFERENTIAL"),"_")))))</f>
        <v> </v>
      </c>
      <c r="H6416" s="25" t="str">
        <f>IF(J6416&lt;&gt;1,"",IF(I6416="SBJ","CB","?"))</f>
        <v> </v>
      </c>
      <c r="I6416" s="26" t="str">
        <f>IF(OR(E6416="",E6416="!!!",F6416="NEW"),"",INDEX(B6415:B$2,-1+SUMPRODUCT(MAX(ROW(E6415:E$2)*(E6416=E6415:E$2)))))</f>
        <v> </v>
      </c>
      <c r="J6416" s="26" t="str">
        <f>IF(OR(E6416="",E6416="!!!",F6416="NEW"),"",COUNTBLANK(OFFSET(A$1,,,SUMPRODUCT(MAX(ROW(E$2:E6416)*(E6416=E$2:E6416)))))-COUNTBLANK(OFFSET(A$1,,,SUMPRODUCT(MAX(ROW(E$1:E6415)*(E2=E$1:E6415))))))</f>
        <v> </v>
      </c>
      <c r="K6416" s="26" t="str">
        <f>IF(OR(E6416="",E6416="!!!",F6416="NEW"),"",INDEX(J$1:J6415,SUMPRODUCT(MAX(ROW(E$1:E6415)*(E6416=E$1:E6415)))))</f>
        <v> </v>
      </c>
      <c r="L6416" s="27"/>
    </row>
    <row r="6417" spans="1:12">
      <c r="A6417" s="20" t="s">
        <v>1495</v>
      </c>
      <c r="B6417" s="21" t="s">
        <v>1237</v>
      </c>
      <c r="E6417" s="22">
        <f>IF(D6417="?OLD","!!!","")</f>
        <v/>
      </c>
      <c r="F6417" s="23" t="str">
        <f>IF(OR(E6417="",E6417="!!!"),"",IF(NOT(ISNA(VLOOKUP(E6417,E$1:E6416,1,FALSE()))),"OLD",IF(AND(E6417&lt;&gt;"",E6417&lt;&gt;"!!!"),"NEW","")))</f>
        <v> </v>
      </c>
      <c r="G6417" s="24" t="str">
        <f>IF(OR(E6417="",E6417="!!!"),"",IF(OR(J6417=0,AND(J6417=1,K6417=1),AND(J6417=1,I6417="SBJ"),AND(J6417=1,I6417=0)),"?IN_FOCUS",IF(J6417&lt;=2,"?ACTIVATED",IF(J6417&lt;&gt;"","?FAMILIAR",IF(F6417="NEW",IF(ISNA(VLOOKUP(E6417,#REF!,1,FALSE())),"?TYPE_IDENTIFIABLE","?REFERENTIAL"),"_")))))</f>
        <v> </v>
      </c>
      <c r="H6417" s="25" t="str">
        <f>IF(J6417&lt;&gt;1,"",IF(I6417="SBJ","CB","?"))</f>
        <v> </v>
      </c>
      <c r="I6417" s="26" t="str">
        <f>IF(OR(E6417="",E6417="!!!",F6417="NEW"),"",INDEX(B6416:B$2,-1+SUMPRODUCT(MAX(ROW(E6416:E$2)*(E6417=E6416:E$2)))))</f>
        <v> </v>
      </c>
      <c r="J6417" s="26" t="str">
        <f>IF(OR(E6417="",E6417="!!!",F6417="NEW"),"",COUNTBLANK(OFFSET(A$1,,,SUMPRODUCT(MAX(ROW(E$2:E6417)*(E6417=E$2:E6417)))))-COUNTBLANK(OFFSET(A$1,,,SUMPRODUCT(MAX(ROW(E$1:E6416)*(E2=E$1:E6416))))))</f>
        <v> </v>
      </c>
      <c r="K6417" s="26" t="str">
        <f>IF(OR(E6417="",E6417="!!!",F6417="NEW"),"",INDEX(J$1:J6416,SUMPRODUCT(MAX(ROW(E$1:E6416)*(E6417=E$1:E6416)))))</f>
        <v> </v>
      </c>
      <c r="L6417" s="27"/>
    </row>
    <row r="6418" spans="1:12">
      <c r="A6418" s="20" t="s">
        <v>1314</v>
      </c>
      <c r="E6418" s="22">
        <f>IF(D6418="?OLD","!!!","")</f>
        <v/>
      </c>
      <c r="F6418" s="23" t="str">
        <f>IF(OR(E6418="",E6418="!!!"),"",IF(NOT(ISNA(VLOOKUP(E6418,E$1:E6417,1,FALSE()))),"OLD",IF(AND(E6418&lt;&gt;"",E6418&lt;&gt;"!!!"),"NEW","")))</f>
        <v> </v>
      </c>
      <c r="G6418" s="24" t="str">
        <f>IF(OR(E6418="",E6418="!!!"),"",IF(OR(J6418=0,AND(J6418=1,K6418=1),AND(J6418=1,I6418="SBJ"),AND(J6418=1,I6418=0)),"?IN_FOCUS",IF(J6418&lt;=2,"?ACTIVATED",IF(J6418&lt;&gt;"","?FAMILIAR",IF(F6418="NEW",IF(ISNA(VLOOKUP(E6418,#REF!,1,FALSE())),"?TYPE_IDENTIFIABLE","?REFERENTIAL"),"_")))))</f>
        <v> </v>
      </c>
      <c r="H6418" s="25" t="str">
        <f>IF(J6418&lt;&gt;1,"",IF(I6418="SBJ","CB","?"))</f>
        <v> </v>
      </c>
      <c r="I6418" s="26" t="str">
        <f>IF(OR(E6418="",E6418="!!!",F6418="NEW"),"",INDEX(B6417:B$2,-1+SUMPRODUCT(MAX(ROW(E6417:E$2)*(E6418=E6417:E$2)))))</f>
        <v> </v>
      </c>
      <c r="J6418" s="26" t="str">
        <f>IF(OR(E6418="",E6418="!!!",F6418="NEW"),"",COUNTBLANK(OFFSET(A$1,,,SUMPRODUCT(MAX(ROW(E$2:E6418)*(E6418=E$2:E6418)))))-COUNTBLANK(OFFSET(A$1,,,SUMPRODUCT(MAX(ROW(E$1:E6417)*(E2=E$1:E6417))))))</f>
        <v> </v>
      </c>
      <c r="K6418" s="26" t="str">
        <f>IF(OR(E6418="",E6418="!!!",F6418="NEW"),"",INDEX(J$1:J6417,SUMPRODUCT(MAX(ROW(E$1:E6417)*(E6418=E$1:E6417)))))</f>
        <v> </v>
      </c>
      <c r="L6418" s="27"/>
    </row>
    <row r="6419" spans="1:12">
      <c r="A6419" s="20" t="s">
        <v>1352</v>
      </c>
      <c r="E6419" s="22">
        <f>IF(D6419="?OLD","!!!","")</f>
        <v/>
      </c>
      <c r="F6419" s="23" t="str">
        <f>IF(OR(E6419="",E6419="!!!"),"",IF(NOT(ISNA(VLOOKUP(E6419,E$1:E6418,1,FALSE()))),"OLD",IF(AND(E6419&lt;&gt;"",E6419&lt;&gt;"!!!"),"NEW","")))</f>
        <v> </v>
      </c>
      <c r="G6419" s="24" t="str">
        <f>IF(OR(E6419="",E6419="!!!"),"",IF(OR(J6419=0,AND(J6419=1,K6419=1),AND(J6419=1,I6419="SBJ"),AND(J6419=1,I6419=0)),"?IN_FOCUS",IF(J6419&lt;=2,"?ACTIVATED",IF(J6419&lt;&gt;"","?FAMILIAR",IF(F6419="NEW",IF(ISNA(VLOOKUP(E6419,#REF!,1,FALSE())),"?TYPE_IDENTIFIABLE","?REFERENTIAL"),"_")))))</f>
        <v> </v>
      </c>
      <c r="H6419" s="25" t="str">
        <f>IF(J6419&lt;&gt;1,"",IF(I6419="SBJ","CB","?"))</f>
        <v> </v>
      </c>
      <c r="I6419" s="26" t="str">
        <f>IF(OR(E6419="",E6419="!!!",F6419="NEW"),"",INDEX(B6418:B$2,-1+SUMPRODUCT(MAX(ROW(E6418:E$2)*(E6419=E6418:E$2)))))</f>
        <v> </v>
      </c>
      <c r="J6419" s="26" t="str">
        <f>IF(OR(E6419="",E6419="!!!",F6419="NEW"),"",COUNTBLANK(OFFSET(A$1,,,SUMPRODUCT(MAX(ROW(E$2:E6419)*(E6419=E$2:E6419)))))-COUNTBLANK(OFFSET(A$1,,,SUMPRODUCT(MAX(ROW(E$1:E6418)*(E2=E$1:E6418))))))</f>
        <v> </v>
      </c>
      <c r="K6419" s="26" t="str">
        <f>IF(OR(E6419="",E6419="!!!",F6419="NEW"),"",INDEX(J$1:J6418,SUMPRODUCT(MAX(ROW(E$1:E6418)*(E6419=E$1:E6418)))))</f>
        <v> </v>
      </c>
      <c r="L6419" s="27"/>
    </row>
    <row r="6420" spans="1:12">
      <c r="A6420" s="20" t="s">
        <v>1532</v>
      </c>
      <c r="B6420" s="21" t="s">
        <v>1207</v>
      </c>
      <c r="C6420" s="21" t="s">
        <v>1297</v>
      </c>
      <c r="D6420" s="21" t="s">
        <v>1180</v>
      </c>
      <c r="E6420" s="22">
        <f>IF(D6420="?OLD","!!!","")</f>
        <v/>
      </c>
      <c r="F6420" s="23" t="str">
        <f>IF(OR(E6420="",E6420="!!!"),"",IF(NOT(ISNA(VLOOKUP(E6420,E$1:E6419,1,FALSE()))),"OLD",IF(AND(E6420&lt;&gt;"",E6420&lt;&gt;"!!!"),"NEW","")))</f>
        <v> </v>
      </c>
      <c r="G6420" s="24" t="str">
        <f>IF(OR(E6420="",E6420="!!!"),"",IF(OR(J6420=0,AND(J6420=1,K6420=1),AND(J6420=1,I6420="SBJ"),AND(J6420=1,I6420=0)),"?IN_FOCUS",IF(J6420&lt;=2,"?ACTIVATED",IF(J6420&lt;&gt;"","?FAMILIAR",IF(F6420="NEW",IF(ISNA(VLOOKUP(E6420,#REF!,1,FALSE())),"?TYPE_IDENTIFIABLE","?REFERENTIAL"),"_")))))</f>
        <v> </v>
      </c>
      <c r="H6420" s="25" t="str">
        <f>IF(J6420&lt;&gt;1,"",IF(I6420="SBJ","CB","?"))</f>
        <v> </v>
      </c>
      <c r="I6420" s="26" t="str">
        <f>IF(OR(E6420="",E6420="!!!",F6420="NEW"),"",INDEX(B6419:B$2,-1+SUMPRODUCT(MAX(ROW(E6419:E$2)*(E6420=E6419:E$2)))))</f>
        <v> </v>
      </c>
      <c r="J6420" s="26" t="str">
        <f>IF(OR(E6420="",E6420="!!!",F6420="NEW"),"",COUNTBLANK(OFFSET(A$1,,,SUMPRODUCT(MAX(ROW(E$2:E6420)*(E6420=E$2:E6420)))))-COUNTBLANK(OFFSET(A$1,,,SUMPRODUCT(MAX(ROW(E$1:E6419)*(E2=E$1:E6419))))))</f>
        <v> </v>
      </c>
      <c r="K6420" s="26" t="str">
        <f>IF(OR(E6420="",E6420="!!!",F6420="NEW"),"",INDEX(J$1:J6419,SUMPRODUCT(MAX(ROW(E$1:E6419)*(E6420=E$1:E6419)))))</f>
        <v> </v>
      </c>
      <c r="L6420" s="27"/>
    </row>
    <row r="6421" spans="1:12">
      <c r="A6421" s="20" t="s">
        <v>1525</v>
      </c>
      <c r="B6421" s="21" t="s">
        <v>1191</v>
      </c>
      <c r="C6421" s="21" t="s">
        <v>1184</v>
      </c>
      <c r="E6421" s="22">
        <f>IF(D6421="?OLD","!!!","")</f>
        <v/>
      </c>
      <c r="F6421" s="23" t="str">
        <f>IF(OR(E6421="",E6421="!!!"),"",IF(NOT(ISNA(VLOOKUP(E6421,E$1:E6420,1,FALSE()))),"OLD",IF(AND(E6421&lt;&gt;"",E6421&lt;&gt;"!!!"),"NEW","")))</f>
        <v> </v>
      </c>
      <c r="G6421" s="24" t="str">
        <f>IF(OR(E6421="",E6421="!!!"),"",IF(OR(J6421=0,AND(J6421=1,K6421=1),AND(J6421=1,I6421="SBJ"),AND(J6421=1,I6421=0)),"?IN_FOCUS",IF(J6421&lt;=2,"?ACTIVATED",IF(J6421&lt;&gt;"","?FAMILIAR",IF(F6421="NEW",IF(ISNA(VLOOKUP(E6421,#REF!,1,FALSE())),"?TYPE_IDENTIFIABLE","?REFERENTIAL"),"_")))))</f>
        <v> </v>
      </c>
      <c r="H6421" s="25" t="str">
        <f>IF(J6421&lt;&gt;1,"",IF(I6421="SBJ","CB","?"))</f>
        <v> </v>
      </c>
      <c r="I6421" s="26" t="str">
        <f>IF(OR(E6421="",E6421="!!!",F6421="NEW"),"",INDEX(B6420:B$2,-1+SUMPRODUCT(MAX(ROW(E6420:E$2)*(E6421=E6420:E$2)))))</f>
        <v> </v>
      </c>
      <c r="J6421" s="26" t="str">
        <f>IF(OR(E6421="",E6421="!!!",F6421="NEW"),"",COUNTBLANK(OFFSET(A$1,,,SUMPRODUCT(MAX(ROW(E$2:E6421)*(E6421=E$2:E6421)))))-COUNTBLANK(OFFSET(A$1,,,SUMPRODUCT(MAX(ROW(E$1:E6420)*(E2=E$1:E6420))))))</f>
        <v> </v>
      </c>
      <c r="K6421" s="26" t="str">
        <f>IF(OR(E6421="",E6421="!!!",F6421="NEW"),"",INDEX(J$1:J6420,SUMPRODUCT(MAX(ROW(E$1:E6420)*(E6421=E$1:E6420)))))</f>
        <v> </v>
      </c>
      <c r="L6421" s="27"/>
    </row>
    <row r="6422" spans="1:12">
      <c r="A6422" s="20" t="s">
        <v>1436</v>
      </c>
      <c r="E6422" s="22">
        <f>IF(D6422="?OLD","!!!","")</f>
        <v/>
      </c>
      <c r="F6422" s="23" t="str">
        <f>IF(OR(E6422="",E6422="!!!"),"",IF(NOT(ISNA(VLOOKUP(E6422,E$1:E6421,1,FALSE()))),"OLD",IF(AND(E6422&lt;&gt;"",E6422&lt;&gt;"!!!"),"NEW","")))</f>
        <v> </v>
      </c>
      <c r="G6422" s="24" t="str">
        <f>IF(OR(E6422="",E6422="!!!"),"",IF(OR(J6422=0,AND(J6422=1,K6422=1),AND(J6422=1,I6422="SBJ"),AND(J6422=1,I6422=0)),"?IN_FOCUS",IF(J6422&lt;=2,"?ACTIVATED",IF(J6422&lt;&gt;"","?FAMILIAR",IF(F6422="NEW",IF(ISNA(VLOOKUP(E6422,#REF!,1,FALSE())),"?TYPE_IDENTIFIABLE","?REFERENTIAL"),"_")))))</f>
        <v> </v>
      </c>
      <c r="H6422" s="25" t="str">
        <f>IF(J6422&lt;&gt;1,"",IF(I6422="SBJ","CB","?"))</f>
        <v> </v>
      </c>
      <c r="I6422" s="26" t="str">
        <f>IF(OR(E6422="",E6422="!!!",F6422="NEW"),"",INDEX(B6421:B$2,-1+SUMPRODUCT(MAX(ROW(E6421:E$2)*(E6422=E6421:E$2)))))</f>
        <v> </v>
      </c>
      <c r="J6422" s="26" t="str">
        <f>IF(OR(E6422="",E6422="!!!",F6422="NEW"),"",COUNTBLANK(OFFSET(A$1,,,SUMPRODUCT(MAX(ROW(E$2:E6422)*(E6422=E$2:E6422)))))-COUNTBLANK(OFFSET(A$1,,,SUMPRODUCT(MAX(ROW(E$1:E6421)*(E2=E$1:E6421))))))</f>
        <v> </v>
      </c>
      <c r="K6422" s="26" t="str">
        <f>IF(OR(E6422="",E6422="!!!",F6422="NEW"),"",INDEX(J$1:J6421,SUMPRODUCT(MAX(ROW(E$1:E6421)*(E6422=E$1:E6421)))))</f>
        <v> </v>
      </c>
      <c r="L6422" s="27"/>
    </row>
    <row r="6423" spans="1:12">
      <c r="A6423" s="20" t="s">
        <v>1264</v>
      </c>
      <c r="E6423" s="22">
        <f>IF(D6423="?OLD","!!!","")</f>
        <v/>
      </c>
      <c r="F6423" s="23" t="str">
        <f>IF(OR(E6423="",E6423="!!!"),"",IF(NOT(ISNA(VLOOKUP(E6423,E$1:E6422,1,FALSE()))),"OLD",IF(AND(E6423&lt;&gt;"",E6423&lt;&gt;"!!!"),"NEW","")))</f>
        <v> </v>
      </c>
      <c r="G6423" s="24" t="str">
        <f>IF(OR(E6423="",E6423="!!!"),"",IF(OR(J6423=0,AND(J6423=1,K6423=1),AND(J6423=1,I6423="SBJ"),AND(J6423=1,I6423=0)),"?IN_FOCUS",IF(J6423&lt;=2,"?ACTIVATED",IF(J6423&lt;&gt;"","?FAMILIAR",IF(F6423="NEW",IF(ISNA(VLOOKUP(E6423,#REF!,1,FALSE())),"?TYPE_IDENTIFIABLE","?REFERENTIAL"),"_")))))</f>
        <v> </v>
      </c>
      <c r="H6423" s="25" t="str">
        <f>IF(J6423&lt;&gt;1,"",IF(I6423="SBJ","CB","?"))</f>
        <v> </v>
      </c>
      <c r="I6423" s="26" t="str">
        <f>IF(OR(E6423="",E6423="!!!",F6423="NEW"),"",INDEX(B6422:B$2,-1+SUMPRODUCT(MAX(ROW(E6422:E$2)*(E6423=E6422:E$2)))))</f>
        <v> </v>
      </c>
      <c r="J6423" s="26" t="str">
        <f>IF(OR(E6423="",E6423="!!!",F6423="NEW"),"",COUNTBLANK(OFFSET(A$1,,,SUMPRODUCT(MAX(ROW(E$2:E6423)*(E6423=E$2:E6423)))))-COUNTBLANK(OFFSET(A$1,,,SUMPRODUCT(MAX(ROW(E$1:E6422)*(E2=E$1:E6422))))))</f>
        <v> </v>
      </c>
      <c r="K6423" s="26" t="str">
        <f>IF(OR(E6423="",E6423="!!!",F6423="NEW"),"",INDEX(J$1:J6422,SUMPRODUCT(MAX(ROW(E$1:E6422)*(E6423=E$1:E6422)))))</f>
        <v> </v>
      </c>
      <c r="L6423" s="27"/>
    </row>
    <row r="6424" spans="1:12">
      <c r="A6424" s="20" t="s">
        <v>818</v>
      </c>
      <c r="E6424" s="22">
        <f>IF(D6424="?OLD","!!!","")</f>
        <v/>
      </c>
      <c r="F6424" s="23" t="str">
        <f>IF(OR(E6424="",E6424="!!!"),"",IF(NOT(ISNA(VLOOKUP(E6424,E$1:E6423,1,FALSE()))),"OLD",IF(AND(E6424&lt;&gt;"",E6424&lt;&gt;"!!!"),"NEW","")))</f>
        <v> </v>
      </c>
      <c r="G6424" s="24" t="str">
        <f>IF(OR(E6424="",E6424="!!!"),"",IF(OR(J6424=0,AND(J6424=1,K6424=1),AND(J6424=1,I6424="SBJ"),AND(J6424=1,I6424=0)),"?IN_FOCUS",IF(J6424&lt;=2,"?ACTIVATED",IF(J6424&lt;&gt;"","?FAMILIAR",IF(F6424="NEW",IF(ISNA(VLOOKUP(E6424,#REF!,1,FALSE())),"?TYPE_IDENTIFIABLE","?REFERENTIAL"),"_")))))</f>
        <v> </v>
      </c>
      <c r="H6424" s="25" t="str">
        <f>IF(J6424&lt;&gt;1,"",IF(I6424="SBJ","CB","?"))</f>
        <v> </v>
      </c>
      <c r="I6424" s="26" t="str">
        <f>IF(OR(E6424="",E6424="!!!",F6424="NEW"),"",INDEX(B6423:B$2,-1+SUMPRODUCT(MAX(ROW(E6423:E$2)*(E6424=E6423:E$2)))))</f>
        <v> </v>
      </c>
      <c r="J6424" s="26" t="str">
        <f>IF(OR(E6424="",E6424="!!!",F6424="NEW"),"",COUNTBLANK(OFFSET(A$1,,,SUMPRODUCT(MAX(ROW(E$2:E6424)*(E6424=E$2:E6424)))))-COUNTBLANK(OFFSET(A$1,,,SUMPRODUCT(MAX(ROW(E$1:E6423)*(E2=E$1:E6423))))))</f>
        <v> </v>
      </c>
      <c r="K6424" s="26" t="str">
        <f>IF(OR(E6424="",E6424="!!!",F6424="NEW"),"",INDEX(J$1:J6423,SUMPRODUCT(MAX(ROW(E$1:E6423)*(E6424=E$1:E6423)))))</f>
        <v> </v>
      </c>
      <c r="L6424" s="27"/>
    </row>
    <row r="6425" spans="1:12">
      <c r="A6425" s="20"/>
    </row>
    <row r="6426" spans="1:12">
      <c r="A6426" s="20" t="s">
        <v>2902</v>
      </c>
    </row>
    <row r="6427" spans="1:12">
      <c r="A6427" s="20" t="s">
        <v>1193</v>
      </c>
      <c r="B6427" s="21" t="s">
        <v>1194</v>
      </c>
      <c r="C6427" s="21" t="s">
        <v>1195</v>
      </c>
      <c r="D6427" s="21" t="s">
        <v>1180</v>
      </c>
      <c r="E6427" s="22">
        <f>IF(D6427="?OLD","!!!","")</f>
        <v/>
      </c>
      <c r="F6427" s="23" t="str">
        <f>IF(OR(E6427="",E6427="!!!"),"",IF(NOT(ISNA(VLOOKUP(E6427,E$1:E6426,1,FALSE()))),"OLD",IF(AND(E6427&lt;&gt;"",E6427&lt;&gt;"!!!"),"NEW","")))</f>
        <v> </v>
      </c>
      <c r="G6427" s="24" t="str">
        <f>IF(OR(E6427="",E6427="!!!"),"",IF(OR(J6427=0,AND(J6427=1,K6427=1),AND(J6427=1,I6427="SBJ"),AND(J6427=1,I6427=0)),"?IN_FOCUS",IF(J6427&lt;=2,"?ACTIVATED",IF(J6427&lt;&gt;"","?FAMILIAR",IF(F6427="NEW",IF(ISNA(VLOOKUP(E6427,#REF!,1,FALSE())),"?TYPE_IDENTIFIABLE","?REFERENTIAL"),"_")))))</f>
        <v> </v>
      </c>
      <c r="H6427" s="25" t="str">
        <f>IF(J6427&lt;&gt;1,"",IF(I6427="SBJ","CB","?"))</f>
        <v> </v>
      </c>
      <c r="I6427" s="26" t="str">
        <f>IF(OR(E6427="",E6427="!!!",F6427="NEW"),"",INDEX(B6426:B$2,-1+SUMPRODUCT(MAX(ROW(E6426:E$2)*(E6427=E6426:E$2)))))</f>
        <v> </v>
      </c>
      <c r="J6427" s="26" t="str">
        <f>IF(OR(E6427="",E6427="!!!",F6427="NEW"),"",COUNTBLANK(OFFSET(A$1,,,SUMPRODUCT(MAX(ROW(E$2:E6427)*(E6427=E$2:E6427)))))-COUNTBLANK(OFFSET(A$1,,,SUMPRODUCT(MAX(ROW(E$1:E6426)*(E2=E$1:E6426))))))</f>
        <v> </v>
      </c>
      <c r="K6427" s="26" t="str">
        <f>IF(OR(E6427="",E6427="!!!",F6427="NEW"),"",INDEX(J$1:J6426,SUMPRODUCT(MAX(ROW(E$1:E6426)*(E6427=E$1:E6426)))))</f>
        <v> </v>
      </c>
      <c r="L6427" s="27"/>
    </row>
    <row r="6428" spans="1:12">
      <c r="A6428" s="20" t="s">
        <v>1264</v>
      </c>
      <c r="E6428" s="22">
        <f>IF(D6428="?OLD","!!!","")</f>
        <v/>
      </c>
      <c r="F6428" s="23" t="str">
        <f>IF(OR(E6428="",E6428="!!!"),"",IF(NOT(ISNA(VLOOKUP(E6428,E$1:E6427,1,FALSE()))),"OLD",IF(AND(E6428&lt;&gt;"",E6428&lt;&gt;"!!!"),"NEW","")))</f>
        <v> </v>
      </c>
      <c r="G6428" s="24" t="str">
        <f>IF(OR(E6428="",E6428="!!!"),"",IF(OR(J6428=0,AND(J6428=1,K6428=1),AND(J6428=1,I6428="SBJ"),AND(J6428=1,I6428=0)),"?IN_FOCUS",IF(J6428&lt;=2,"?ACTIVATED",IF(J6428&lt;&gt;"","?FAMILIAR",IF(F6428="NEW",IF(ISNA(VLOOKUP(E6428,#REF!,1,FALSE())),"?TYPE_IDENTIFIABLE","?REFERENTIAL"),"_")))))</f>
        <v> </v>
      </c>
      <c r="H6428" s="25" t="str">
        <f>IF(J6428&lt;&gt;1,"",IF(I6428="SBJ","CB","?"))</f>
        <v> </v>
      </c>
      <c r="I6428" s="26" t="str">
        <f>IF(OR(E6428="",E6428="!!!",F6428="NEW"),"",INDEX(B6427:B$2,-1+SUMPRODUCT(MAX(ROW(E6427:E$2)*(E6428=E6427:E$2)))))</f>
        <v> </v>
      </c>
      <c r="J6428" s="26" t="str">
        <f>IF(OR(E6428="",E6428="!!!",F6428="NEW"),"",COUNTBLANK(OFFSET(A$1,,,SUMPRODUCT(MAX(ROW(E$2:E6428)*(E6428=E$2:E6428)))))-COUNTBLANK(OFFSET(A$1,,,SUMPRODUCT(MAX(ROW(E$1:E6427)*(E2=E$1:E6427))))))</f>
        <v> </v>
      </c>
      <c r="K6428" s="26" t="str">
        <f>IF(OR(E6428="",E6428="!!!",F6428="NEW"),"",INDEX(J$1:J6427,SUMPRODUCT(MAX(ROW(E$1:E6427)*(E6428=E$1:E6427)))))</f>
        <v> </v>
      </c>
      <c r="L6428" s="27"/>
    </row>
    <row r="6429" spans="1:12">
      <c r="A6429" s="20" t="s">
        <v>1495</v>
      </c>
      <c r="B6429" s="21" t="s">
        <v>1204</v>
      </c>
      <c r="E6429" s="22">
        <f>IF(D6429="?OLD","!!!","")</f>
        <v/>
      </c>
      <c r="F6429" s="23" t="str">
        <f>IF(OR(E6429="",E6429="!!!"),"",IF(NOT(ISNA(VLOOKUP(E6429,E$1:E6428,1,FALSE()))),"OLD",IF(AND(E6429&lt;&gt;"",E6429&lt;&gt;"!!!"),"NEW","")))</f>
        <v> </v>
      </c>
      <c r="G6429" s="24" t="str">
        <f>IF(OR(E6429="",E6429="!!!"),"",IF(OR(J6429=0,AND(J6429=1,K6429=1),AND(J6429=1,I6429="SBJ"),AND(J6429=1,I6429=0)),"?IN_FOCUS",IF(J6429&lt;=2,"?ACTIVATED",IF(J6429&lt;&gt;"","?FAMILIAR",IF(F6429="NEW",IF(ISNA(VLOOKUP(E6429,#REF!,1,FALSE())),"?TYPE_IDENTIFIABLE","?REFERENTIAL"),"_")))))</f>
        <v> </v>
      </c>
      <c r="H6429" s="25" t="str">
        <f>IF(J6429&lt;&gt;1,"",IF(I6429="SBJ","CB","?"))</f>
        <v> </v>
      </c>
      <c r="I6429" s="26" t="str">
        <f>IF(OR(E6429="",E6429="!!!",F6429="NEW"),"",INDEX(B6428:B$2,-1+SUMPRODUCT(MAX(ROW(E6428:E$2)*(E6429=E6428:E$2)))))</f>
        <v> </v>
      </c>
      <c r="J6429" s="26" t="str">
        <f>IF(OR(E6429="",E6429="!!!",F6429="NEW"),"",COUNTBLANK(OFFSET(A$1,,,SUMPRODUCT(MAX(ROW(E$2:E6429)*(E6429=E$2:E6429)))))-COUNTBLANK(OFFSET(A$1,,,SUMPRODUCT(MAX(ROW(E$1:E6428)*(E2=E$1:E6428))))))</f>
        <v> </v>
      </c>
      <c r="K6429" s="26" t="str">
        <f>IF(OR(E6429="",E6429="!!!",F6429="NEW"),"",INDEX(J$1:J6428,SUMPRODUCT(MAX(ROW(E$1:E6428)*(E6429=E$1:E6428)))))</f>
        <v> </v>
      </c>
      <c r="L6429" s="27"/>
    </row>
    <row r="6430" spans="1:12">
      <c r="A6430" s="20" t="s">
        <v>1436</v>
      </c>
      <c r="E6430" s="22">
        <f>IF(D6430="?OLD","!!!","")</f>
        <v/>
      </c>
      <c r="F6430" s="23" t="str">
        <f>IF(OR(E6430="",E6430="!!!"),"",IF(NOT(ISNA(VLOOKUP(E6430,E$1:E6429,1,FALSE()))),"OLD",IF(AND(E6430&lt;&gt;"",E6430&lt;&gt;"!!!"),"NEW","")))</f>
        <v> </v>
      </c>
      <c r="G6430" s="24" t="str">
        <f>IF(OR(E6430="",E6430="!!!"),"",IF(OR(J6430=0,AND(J6430=1,K6430=1),AND(J6430=1,I6430="SBJ"),AND(J6430=1,I6430=0)),"?IN_FOCUS",IF(J6430&lt;=2,"?ACTIVATED",IF(J6430&lt;&gt;"","?FAMILIAR",IF(F6430="NEW",IF(ISNA(VLOOKUP(E6430,#REF!,1,FALSE())),"?TYPE_IDENTIFIABLE","?REFERENTIAL"),"_")))))</f>
        <v> </v>
      </c>
      <c r="H6430" s="25" t="str">
        <f>IF(J6430&lt;&gt;1,"",IF(I6430="SBJ","CB","?"))</f>
        <v> </v>
      </c>
      <c r="I6430" s="26" t="str">
        <f>IF(OR(E6430="",E6430="!!!",F6430="NEW"),"",INDEX(B6429:B$2,-1+SUMPRODUCT(MAX(ROW(E6429:E$2)*(E6430=E6429:E$2)))))</f>
        <v> </v>
      </c>
      <c r="J6430" s="26" t="str">
        <f>IF(OR(E6430="",E6430="!!!",F6430="NEW"),"",COUNTBLANK(OFFSET(A$1,,,SUMPRODUCT(MAX(ROW(E$2:E6430)*(E6430=E$2:E6430)))))-COUNTBLANK(OFFSET(A$1,,,SUMPRODUCT(MAX(ROW(E$1:E6429)*(E2=E$1:E6429))))))</f>
        <v> </v>
      </c>
      <c r="K6430" s="26" t="str">
        <f>IF(OR(E6430="",E6430="!!!",F6430="NEW"),"",INDEX(J$1:J6429,SUMPRODUCT(MAX(ROW(E$1:E6429)*(E6430=E$1:E6429)))))</f>
        <v> </v>
      </c>
      <c r="L6430" s="27"/>
    </row>
    <row r="6431" spans="1:12">
      <c r="A6431" s="20" t="s">
        <v>1185</v>
      </c>
      <c r="E6431" s="22">
        <f>IF(D6431="?OLD","!!!","")</f>
        <v/>
      </c>
      <c r="F6431" s="23" t="str">
        <f>IF(OR(E6431="",E6431="!!!"),"",IF(NOT(ISNA(VLOOKUP(E6431,E$1:E6430,1,FALSE()))),"OLD",IF(AND(E6431&lt;&gt;"",E6431&lt;&gt;"!!!"),"NEW","")))</f>
        <v> </v>
      </c>
      <c r="G6431" s="24" t="str">
        <f>IF(OR(E6431="",E6431="!!!"),"",IF(OR(J6431=0,AND(J6431=1,K6431=1),AND(J6431=1,I6431="SBJ"),AND(J6431=1,I6431=0)),"?IN_FOCUS",IF(J6431&lt;=2,"?ACTIVATED",IF(J6431&lt;&gt;"","?FAMILIAR",IF(F6431="NEW",IF(ISNA(VLOOKUP(E6431,#REF!,1,FALSE())),"?TYPE_IDENTIFIABLE","?REFERENTIAL"),"_")))))</f>
        <v> </v>
      </c>
      <c r="H6431" s="25" t="str">
        <f>IF(J6431&lt;&gt;1,"",IF(I6431="SBJ","CB","?"))</f>
        <v> </v>
      </c>
      <c r="I6431" s="26" t="str">
        <f>IF(OR(E6431="",E6431="!!!",F6431="NEW"),"",INDEX(B6430:B$2,-1+SUMPRODUCT(MAX(ROW(E6430:E$2)*(E6431=E6430:E$2)))))</f>
        <v> </v>
      </c>
      <c r="J6431" s="26" t="str">
        <f>IF(OR(E6431="",E6431="!!!",F6431="NEW"),"",COUNTBLANK(OFFSET(A$1,,,SUMPRODUCT(MAX(ROW(E$2:E6431)*(E6431=E$2:E6431)))))-COUNTBLANK(OFFSET(A$1,,,SUMPRODUCT(MAX(ROW(E$1:E6430)*(E2=E$1:E6430))))))</f>
        <v> </v>
      </c>
      <c r="K6431" s="26" t="str">
        <f>IF(OR(E6431="",E6431="!!!",F6431="NEW"),"",INDEX(J$1:J6430,SUMPRODUCT(MAX(ROW(E$1:E6430)*(E6431=E$1:E6430)))))</f>
        <v> </v>
      </c>
      <c r="L6431" s="27"/>
    </row>
    <row r="6432" spans="1:12">
      <c r="A6432" s="20" t="s">
        <v>1513</v>
      </c>
      <c r="E6432" s="22">
        <f>IF(D6432="?OLD","!!!","")</f>
        <v/>
      </c>
      <c r="F6432" s="23" t="str">
        <f>IF(OR(E6432="",E6432="!!!"),"",IF(NOT(ISNA(VLOOKUP(E6432,E$1:E6431,1,FALSE()))),"OLD",IF(AND(E6432&lt;&gt;"",E6432&lt;&gt;"!!!"),"NEW","")))</f>
        <v> </v>
      </c>
      <c r="G6432" s="24" t="str">
        <f>IF(OR(E6432="",E6432="!!!"),"",IF(OR(J6432=0,AND(J6432=1,K6432=1),AND(J6432=1,I6432="SBJ"),AND(J6432=1,I6432=0)),"?IN_FOCUS",IF(J6432&lt;=2,"?ACTIVATED",IF(J6432&lt;&gt;"","?FAMILIAR",IF(F6432="NEW",IF(ISNA(VLOOKUP(E6432,#REF!,1,FALSE())),"?TYPE_IDENTIFIABLE","?REFERENTIAL"),"_")))))</f>
        <v> </v>
      </c>
      <c r="H6432" s="25" t="str">
        <f>IF(J6432&lt;&gt;1,"",IF(I6432="SBJ","CB","?"))</f>
        <v> </v>
      </c>
      <c r="I6432" s="26" t="str">
        <f>IF(OR(E6432="",E6432="!!!",F6432="NEW"),"",INDEX(B6431:B$2,-1+SUMPRODUCT(MAX(ROW(E6431:E$2)*(E6432=E6431:E$2)))))</f>
        <v> </v>
      </c>
      <c r="J6432" s="26" t="str">
        <f>IF(OR(E6432="",E6432="!!!",F6432="NEW"),"",COUNTBLANK(OFFSET(A$1,,,SUMPRODUCT(MAX(ROW(E$2:E6432)*(E6432=E$2:E6432)))))-COUNTBLANK(OFFSET(A$1,,,SUMPRODUCT(MAX(ROW(E$1:E6431)*(E2=E$1:E6431))))))</f>
        <v> </v>
      </c>
      <c r="K6432" s="26" t="str">
        <f>IF(OR(E6432="",E6432="!!!",F6432="NEW"),"",INDEX(J$1:J6431,SUMPRODUCT(MAX(ROW(E$1:E6431)*(E6432=E$1:E6431)))))</f>
        <v> </v>
      </c>
      <c r="L6432" s="27"/>
    </row>
    <row r="6433" spans="1:12">
      <c r="A6433" s="20" t="s">
        <v>1495</v>
      </c>
      <c r="E6433" s="22">
        <f>IF(D6433="?OLD","!!!","")</f>
        <v/>
      </c>
      <c r="F6433" s="23" t="str">
        <f>IF(OR(E6433="",E6433="!!!"),"",IF(NOT(ISNA(VLOOKUP(E6433,E$1:E6432,1,FALSE()))),"OLD",IF(AND(E6433&lt;&gt;"",E6433&lt;&gt;"!!!"),"NEW","")))</f>
        <v> </v>
      </c>
      <c r="G6433" s="24" t="str">
        <f>IF(OR(E6433="",E6433="!!!"),"",IF(OR(J6433=0,AND(J6433=1,K6433=1),AND(J6433=1,I6433="SBJ"),AND(J6433=1,I6433=0)),"?IN_FOCUS",IF(J6433&lt;=2,"?ACTIVATED",IF(J6433&lt;&gt;"","?FAMILIAR",IF(F6433="NEW",IF(ISNA(VLOOKUP(E6433,#REF!,1,FALSE())),"?TYPE_IDENTIFIABLE","?REFERENTIAL"),"_")))))</f>
        <v> </v>
      </c>
      <c r="H6433" s="25" t="str">
        <f>IF(J6433&lt;&gt;1,"",IF(I6433="SBJ","CB","?"))</f>
        <v> </v>
      </c>
      <c r="I6433" s="26" t="str">
        <f>IF(OR(E6433="",E6433="!!!",F6433="NEW"),"",INDEX(B6432:B$2,-1+SUMPRODUCT(MAX(ROW(E6432:E$2)*(E6433=E6432:E$2)))))</f>
        <v> </v>
      </c>
      <c r="J6433" s="26" t="str">
        <f>IF(OR(E6433="",E6433="!!!",F6433="NEW"),"",COUNTBLANK(OFFSET(A$1,,,SUMPRODUCT(MAX(ROW(E$2:E6433)*(E6433=E$2:E6433)))))-COUNTBLANK(OFFSET(A$1,,,SUMPRODUCT(MAX(ROW(E$1:E6432)*(E2=E$1:E6432))))))</f>
        <v> </v>
      </c>
      <c r="K6433" s="26" t="str">
        <f>IF(OR(E6433="",E6433="!!!",F6433="NEW"),"",INDEX(J$1:J6432,SUMPRODUCT(MAX(ROW(E$1:E6432)*(E6433=E$1:E6432)))))</f>
        <v> </v>
      </c>
      <c r="L6433" s="27"/>
    </row>
    <row r="6434" spans="1:12">
      <c r="A6434" s="20" t="s">
        <v>2074</v>
      </c>
      <c r="B6434" s="21" t="s">
        <v>1237</v>
      </c>
      <c r="C6434" s="21" t="s">
        <v>1188</v>
      </c>
      <c r="D6434" s="21" t="s">
        <v>1180</v>
      </c>
      <c r="E6434" s="22">
        <f>IF(D6434="?OLD","!!!","")</f>
        <v/>
      </c>
      <c r="F6434" s="23" t="str">
        <f>IF(OR(E6434="",E6434="!!!"),"",IF(NOT(ISNA(VLOOKUP(E6434,E$1:E6433,1,FALSE()))),"OLD",IF(AND(E6434&lt;&gt;"",E6434&lt;&gt;"!!!"),"NEW","")))</f>
        <v> </v>
      </c>
      <c r="G6434" s="24" t="str">
        <f>IF(OR(E6434="",E6434="!!!"),"",IF(OR(J6434=0,AND(J6434=1,K6434=1),AND(J6434=1,I6434="SBJ"),AND(J6434=1,I6434=0)),"?IN_FOCUS",IF(J6434&lt;=2,"?ACTIVATED",IF(J6434&lt;&gt;"","?FAMILIAR",IF(F6434="NEW",IF(ISNA(VLOOKUP(E6434,#REF!,1,FALSE())),"?TYPE_IDENTIFIABLE","?REFERENTIAL"),"_")))))</f>
        <v> </v>
      </c>
      <c r="H6434" s="25" t="str">
        <f>IF(J6434&lt;&gt;1,"",IF(I6434="SBJ","CB","?"))</f>
        <v> </v>
      </c>
      <c r="I6434" s="26" t="str">
        <f>IF(OR(E6434="",E6434="!!!",F6434="NEW"),"",INDEX(B6433:B$2,-1+SUMPRODUCT(MAX(ROW(E6433:E$2)*(E6434=E6433:E$2)))))</f>
        <v> </v>
      </c>
      <c r="J6434" s="26" t="str">
        <f>IF(OR(E6434="",E6434="!!!",F6434="NEW"),"",COUNTBLANK(OFFSET(A$1,,,SUMPRODUCT(MAX(ROW(E$2:E6434)*(E6434=E$2:E6434)))))-COUNTBLANK(OFFSET(A$1,,,SUMPRODUCT(MAX(ROW(E$1:E6433)*(E2=E$1:E6433))))))</f>
        <v> </v>
      </c>
      <c r="K6434" s="26" t="str">
        <f>IF(OR(E6434="",E6434="!!!",F6434="NEW"),"",INDEX(J$1:J6433,SUMPRODUCT(MAX(ROW(E$1:E6433)*(E6434=E$1:E6433)))))</f>
        <v> </v>
      </c>
      <c r="L6434" s="27"/>
    </row>
    <row r="6435" spans="1:12">
      <c r="A6435" s="20" t="s">
        <v>1330</v>
      </c>
      <c r="E6435" s="22">
        <f>IF(D6435="?OLD","!!!","")</f>
        <v/>
      </c>
      <c r="F6435" s="23" t="str">
        <f>IF(OR(E6435="",E6435="!!!"),"",IF(NOT(ISNA(VLOOKUP(E6435,E$1:E6434,1,FALSE()))),"OLD",IF(AND(E6435&lt;&gt;"",E6435&lt;&gt;"!!!"),"NEW","")))</f>
        <v> </v>
      </c>
      <c r="G6435" s="24" t="str">
        <f>IF(OR(E6435="",E6435="!!!"),"",IF(OR(J6435=0,AND(J6435=1,K6435=1),AND(J6435=1,I6435="SBJ"),AND(J6435=1,I6435=0)),"?IN_FOCUS",IF(J6435&lt;=2,"?ACTIVATED",IF(J6435&lt;&gt;"","?FAMILIAR",IF(F6435="NEW",IF(ISNA(VLOOKUP(E6435,#REF!,1,FALSE())),"?TYPE_IDENTIFIABLE","?REFERENTIAL"),"_")))))</f>
        <v> </v>
      </c>
      <c r="H6435" s="25" t="str">
        <f>IF(J6435&lt;&gt;1,"",IF(I6435="SBJ","CB","?"))</f>
        <v> </v>
      </c>
      <c r="I6435" s="26" t="str">
        <f>IF(OR(E6435="",E6435="!!!",F6435="NEW"),"",INDEX(B6434:B$2,-1+SUMPRODUCT(MAX(ROW(E6434:E$2)*(E6435=E6434:E$2)))))</f>
        <v> </v>
      </c>
      <c r="J6435" s="26" t="str">
        <f>IF(OR(E6435="",E6435="!!!",F6435="NEW"),"",COUNTBLANK(OFFSET(A$1,,,SUMPRODUCT(MAX(ROW(E$2:E6435)*(E6435=E$2:E6435)))))-COUNTBLANK(OFFSET(A$1,,,SUMPRODUCT(MAX(ROW(E$1:E6434)*(E2=E$1:E6434))))))</f>
        <v> </v>
      </c>
      <c r="K6435" s="26" t="str">
        <f>IF(OR(E6435="",E6435="!!!",F6435="NEW"),"",INDEX(J$1:J6434,SUMPRODUCT(MAX(ROW(E$1:E6434)*(E6435=E$1:E6434)))))</f>
        <v> </v>
      </c>
      <c r="L6435" s="27"/>
    </row>
    <row r="6436" spans="1:12">
      <c r="A6436" s="20" t="s">
        <v>130</v>
      </c>
      <c r="E6436" s="22">
        <f>IF(D6436="?OLD","!!!","")</f>
        <v/>
      </c>
      <c r="F6436" s="23" t="str">
        <f>IF(OR(E6436="",E6436="!!!"),"",IF(NOT(ISNA(VLOOKUP(E6436,E$1:E6435,1,FALSE()))),"OLD",IF(AND(E6436&lt;&gt;"",E6436&lt;&gt;"!!!"),"NEW","")))</f>
        <v> </v>
      </c>
      <c r="G6436" s="24" t="str">
        <f>IF(OR(E6436="",E6436="!!!"),"",IF(OR(J6436=0,AND(J6436=1,K6436=1),AND(J6436=1,I6436="SBJ"),AND(J6436=1,I6436=0)),"?IN_FOCUS",IF(J6436&lt;=2,"?ACTIVATED",IF(J6436&lt;&gt;"","?FAMILIAR",IF(F6436="NEW",IF(ISNA(VLOOKUP(E6436,#REF!,1,FALSE())),"?TYPE_IDENTIFIABLE","?REFERENTIAL"),"_")))))</f>
        <v> </v>
      </c>
      <c r="H6436" s="25" t="str">
        <f>IF(J6436&lt;&gt;1,"",IF(I6436="SBJ","CB","?"))</f>
        <v> </v>
      </c>
      <c r="I6436" s="26" t="str">
        <f>IF(OR(E6436="",E6436="!!!",F6436="NEW"),"",INDEX(B6435:B$2,-1+SUMPRODUCT(MAX(ROW(E6435:E$2)*(E6436=E6435:E$2)))))</f>
        <v> </v>
      </c>
      <c r="J6436" s="26" t="str">
        <f>IF(OR(E6436="",E6436="!!!",F6436="NEW"),"",COUNTBLANK(OFFSET(A$1,,,SUMPRODUCT(MAX(ROW(E$2:E6436)*(E6436=E$2:E6436)))))-COUNTBLANK(OFFSET(A$1,,,SUMPRODUCT(MAX(ROW(E$1:E6435)*(E2=E$1:E6435))))))</f>
        <v> </v>
      </c>
      <c r="K6436" s="26" t="str">
        <f>IF(OR(E6436="",E6436="!!!",F6436="NEW"),"",INDEX(J$1:J6435,SUMPRODUCT(MAX(ROW(E$1:E6435)*(E6436=E$1:E6435)))))</f>
        <v> </v>
      </c>
      <c r="L6436" s="27"/>
    </row>
    <row r="6437" spans="1:12">
      <c r="A6437" s="20" t="s">
        <v>1185</v>
      </c>
      <c r="E6437" s="22">
        <f>IF(D6437="?OLD","!!!","")</f>
        <v/>
      </c>
      <c r="F6437" s="23" t="str">
        <f>IF(OR(E6437="",E6437="!!!"),"",IF(NOT(ISNA(VLOOKUP(E6437,E$1:E6436,1,FALSE()))),"OLD",IF(AND(E6437&lt;&gt;"",E6437&lt;&gt;"!!!"),"NEW","")))</f>
        <v> </v>
      </c>
      <c r="G6437" s="24" t="str">
        <f>IF(OR(E6437="",E6437="!!!"),"",IF(OR(J6437=0,AND(J6437=1,K6437=1),AND(J6437=1,I6437="SBJ"),AND(J6437=1,I6437=0)),"?IN_FOCUS",IF(J6437&lt;=2,"?ACTIVATED",IF(J6437&lt;&gt;"","?FAMILIAR",IF(F6437="NEW",IF(ISNA(VLOOKUP(E6437,#REF!,1,FALSE())),"?TYPE_IDENTIFIABLE","?REFERENTIAL"),"_")))))</f>
        <v> </v>
      </c>
      <c r="H6437" s="25" t="str">
        <f>IF(J6437&lt;&gt;1,"",IF(I6437="SBJ","CB","?"))</f>
        <v> </v>
      </c>
      <c r="I6437" s="26" t="str">
        <f>IF(OR(E6437="",E6437="!!!",F6437="NEW"),"",INDEX(B6436:B$2,-1+SUMPRODUCT(MAX(ROW(E6436:E$2)*(E6437=E6436:E$2)))))</f>
        <v> </v>
      </c>
      <c r="J6437" s="26" t="str">
        <f>IF(OR(E6437="",E6437="!!!",F6437="NEW"),"",COUNTBLANK(OFFSET(A$1,,,SUMPRODUCT(MAX(ROW(E$2:E6437)*(E6437=E$2:E6437)))))-COUNTBLANK(OFFSET(A$1,,,SUMPRODUCT(MAX(ROW(E$1:E6436)*(E2=E$1:E6436))))))</f>
        <v> </v>
      </c>
      <c r="K6437" s="26" t="str">
        <f>IF(OR(E6437="",E6437="!!!",F6437="NEW"),"",INDEX(J$1:J6436,SUMPRODUCT(MAX(ROW(E$1:E6436)*(E6437=E$1:E6436)))))</f>
        <v> </v>
      </c>
      <c r="L6437" s="27"/>
    </row>
    <row r="6438" spans="1:12">
      <c r="A6438" s="20" t="s">
        <v>1295</v>
      </c>
      <c r="E6438" s="22">
        <f>IF(D6438="?OLD","!!!","")</f>
        <v/>
      </c>
      <c r="F6438" s="23" t="str">
        <f>IF(OR(E6438="",E6438="!!!"),"",IF(NOT(ISNA(VLOOKUP(E6438,E$1:E6437,1,FALSE()))),"OLD",IF(AND(E6438&lt;&gt;"",E6438&lt;&gt;"!!!"),"NEW","")))</f>
        <v> </v>
      </c>
      <c r="G6438" s="24" t="str">
        <f>IF(OR(E6438="",E6438="!!!"),"",IF(OR(J6438=0,AND(J6438=1,K6438=1),AND(J6438=1,I6438="SBJ"),AND(J6438=1,I6438=0)),"?IN_FOCUS",IF(J6438&lt;=2,"?ACTIVATED",IF(J6438&lt;&gt;"","?FAMILIAR",IF(F6438="NEW",IF(ISNA(VLOOKUP(E6438,#REF!,1,FALSE())),"?TYPE_IDENTIFIABLE","?REFERENTIAL"),"_")))))</f>
        <v> </v>
      </c>
      <c r="H6438" s="25" t="str">
        <f>IF(J6438&lt;&gt;1,"",IF(I6438="SBJ","CB","?"))</f>
        <v> </v>
      </c>
      <c r="I6438" s="26" t="str">
        <f>IF(OR(E6438="",E6438="!!!",F6438="NEW"),"",INDEX(B6437:B$2,-1+SUMPRODUCT(MAX(ROW(E6437:E$2)*(E6438=E6437:E$2)))))</f>
        <v> </v>
      </c>
      <c r="J6438" s="26" t="str">
        <f>IF(OR(E6438="",E6438="!!!",F6438="NEW"),"",COUNTBLANK(OFFSET(A$1,,,SUMPRODUCT(MAX(ROW(E$2:E6438)*(E6438=E$2:E6438)))))-COUNTBLANK(OFFSET(A$1,,,SUMPRODUCT(MAX(ROW(E$1:E6437)*(E2=E$1:E6437))))))</f>
        <v> </v>
      </c>
      <c r="K6438" s="26" t="str">
        <f>IF(OR(E6438="",E6438="!!!",F6438="NEW"),"",INDEX(J$1:J6437,SUMPRODUCT(MAX(ROW(E$1:E6437)*(E6438=E$1:E6437)))))</f>
        <v> </v>
      </c>
      <c r="L6438" s="27"/>
    </row>
    <row r="6439" spans="1:12">
      <c r="A6439" s="20" t="s">
        <v>1263</v>
      </c>
      <c r="B6439" s="21" t="s">
        <v>1240</v>
      </c>
      <c r="C6439" s="21" t="s">
        <v>1195</v>
      </c>
      <c r="D6439" s="21" t="s">
        <v>1180</v>
      </c>
      <c r="E6439" s="22">
        <f>IF(D6439="?OLD","!!!","")</f>
        <v/>
      </c>
      <c r="F6439" s="23" t="str">
        <f>IF(OR(E6439="",E6439="!!!"),"",IF(NOT(ISNA(VLOOKUP(E6439,E$1:E6438,1,FALSE()))),"OLD",IF(AND(E6439&lt;&gt;"",E6439&lt;&gt;"!!!"),"NEW","")))</f>
        <v> </v>
      </c>
      <c r="G6439" s="24" t="str">
        <f>IF(OR(E6439="",E6439="!!!"),"",IF(OR(J6439=0,AND(J6439=1,K6439=1),AND(J6439=1,I6439="SBJ"),AND(J6439=1,I6439=0)),"?IN_FOCUS",IF(J6439&lt;=2,"?ACTIVATED",IF(J6439&lt;&gt;"","?FAMILIAR",IF(F6439="NEW",IF(ISNA(VLOOKUP(E6439,#REF!,1,FALSE())),"?TYPE_IDENTIFIABLE","?REFERENTIAL"),"_")))))</f>
        <v> </v>
      </c>
      <c r="H6439" s="25" t="str">
        <f>IF(J6439&lt;&gt;1,"",IF(I6439="SBJ","CB","?"))</f>
        <v> </v>
      </c>
      <c r="I6439" s="26" t="str">
        <f>IF(OR(E6439="",E6439="!!!",F6439="NEW"),"",INDEX(B6438:B$2,-1+SUMPRODUCT(MAX(ROW(E6438:E$2)*(E6439=E6438:E$2)))))</f>
        <v> </v>
      </c>
      <c r="J6439" s="26" t="str">
        <f>IF(OR(E6439="",E6439="!!!",F6439="NEW"),"",COUNTBLANK(OFFSET(A$1,,,SUMPRODUCT(MAX(ROW(E$2:E6439)*(E6439=E$2:E6439)))))-COUNTBLANK(OFFSET(A$1,,,SUMPRODUCT(MAX(ROW(E$1:E6438)*(E2=E$1:E6438))))))</f>
        <v> </v>
      </c>
      <c r="K6439" s="26" t="str">
        <f>IF(OR(E6439="",E6439="!!!",F6439="NEW"),"",INDEX(J$1:J6438,SUMPRODUCT(MAX(ROW(E$1:E6438)*(E6439=E$1:E6438)))))</f>
        <v> </v>
      </c>
      <c r="L6439" s="27"/>
    </row>
    <row r="6440" spans="1:12">
      <c r="A6440" s="20" t="s">
        <v>2065</v>
      </c>
      <c r="E6440" s="22">
        <f>IF(D6440="?OLD","!!!","")</f>
        <v/>
      </c>
      <c r="F6440" s="23" t="str">
        <f>IF(OR(E6440="",E6440="!!!"),"",IF(NOT(ISNA(VLOOKUP(E6440,E$1:E6439,1,FALSE()))),"OLD",IF(AND(E6440&lt;&gt;"",E6440&lt;&gt;"!!!"),"NEW","")))</f>
        <v> </v>
      </c>
      <c r="G6440" s="24" t="str">
        <f>IF(OR(E6440="",E6440="!!!"),"",IF(OR(J6440=0,AND(J6440=1,K6440=1),AND(J6440=1,I6440="SBJ"),AND(J6440=1,I6440=0)),"?IN_FOCUS",IF(J6440&lt;=2,"?ACTIVATED",IF(J6440&lt;&gt;"","?FAMILIAR",IF(F6440="NEW",IF(ISNA(VLOOKUP(E6440,#REF!,1,FALSE())),"?TYPE_IDENTIFIABLE","?REFERENTIAL"),"_")))))</f>
        <v> </v>
      </c>
      <c r="H6440" s="25" t="str">
        <f>IF(J6440&lt;&gt;1,"",IF(I6440="SBJ","CB","?"))</f>
        <v> </v>
      </c>
      <c r="I6440" s="26" t="str">
        <f>IF(OR(E6440="",E6440="!!!",F6440="NEW"),"",INDEX(B6439:B$2,-1+SUMPRODUCT(MAX(ROW(E6439:E$2)*(E6440=E6439:E$2)))))</f>
        <v> </v>
      </c>
      <c r="J6440" s="26" t="str">
        <f>IF(OR(E6440="",E6440="!!!",F6440="NEW"),"",COUNTBLANK(OFFSET(A$1,,,SUMPRODUCT(MAX(ROW(E$2:E6440)*(E6440=E$2:E6440)))))-COUNTBLANK(OFFSET(A$1,,,SUMPRODUCT(MAX(ROW(E$1:E6439)*(E2=E$1:E6439))))))</f>
        <v> </v>
      </c>
      <c r="K6440" s="26" t="str">
        <f>IF(OR(E6440="",E6440="!!!",F6440="NEW"),"",INDEX(J$1:J6439,SUMPRODUCT(MAX(ROW(E$1:E6439)*(E6440=E$1:E6439)))))</f>
        <v> </v>
      </c>
      <c r="L6440" s="27"/>
    </row>
    <row r="6441" spans="1:12">
      <c r="A6441" s="20" t="s">
        <v>1532</v>
      </c>
      <c r="E6441" s="22">
        <f>IF(D6441="?OLD","!!!","")</f>
        <v/>
      </c>
      <c r="F6441" s="23" t="str">
        <f>IF(OR(E6441="",E6441="!!!"),"",IF(NOT(ISNA(VLOOKUP(E6441,E$1:E6440,1,FALSE()))),"OLD",IF(AND(E6441&lt;&gt;"",E6441&lt;&gt;"!!!"),"NEW","")))</f>
        <v> </v>
      </c>
      <c r="G6441" s="24" t="str">
        <f>IF(OR(E6441="",E6441="!!!"),"",IF(OR(J6441=0,AND(J6441=1,K6441=1),AND(J6441=1,I6441="SBJ"),AND(J6441=1,I6441=0)),"?IN_FOCUS",IF(J6441&lt;=2,"?ACTIVATED",IF(J6441&lt;&gt;"","?FAMILIAR",IF(F6441="NEW",IF(ISNA(VLOOKUP(E6441,#REF!,1,FALSE())),"?TYPE_IDENTIFIABLE","?REFERENTIAL"),"_")))))</f>
        <v> </v>
      </c>
      <c r="H6441" s="25" t="str">
        <f>IF(J6441&lt;&gt;1,"",IF(I6441="SBJ","CB","?"))</f>
        <v> </v>
      </c>
      <c r="I6441" s="26" t="str">
        <f>IF(OR(E6441="",E6441="!!!",F6441="NEW"),"",INDEX(B6440:B$2,-1+SUMPRODUCT(MAX(ROW(E6440:E$2)*(E6441=E6440:E$2)))))</f>
        <v> </v>
      </c>
      <c r="J6441" s="26" t="str">
        <f>IF(OR(E6441="",E6441="!!!",F6441="NEW"),"",COUNTBLANK(OFFSET(A$1,,,SUMPRODUCT(MAX(ROW(E$2:E6441)*(E6441=E$2:E6441)))))-COUNTBLANK(OFFSET(A$1,,,SUMPRODUCT(MAX(ROW(E$1:E6440)*(E2=E$1:E6440))))))</f>
        <v> </v>
      </c>
      <c r="K6441" s="26" t="str">
        <f>IF(OR(E6441="",E6441="!!!",F6441="NEW"),"",INDEX(J$1:J6440,SUMPRODUCT(MAX(ROW(E$1:E6440)*(E6441=E$1:E6440)))))</f>
        <v> </v>
      </c>
      <c r="L6441" s="27"/>
    </row>
    <row r="6442" spans="1:12">
      <c r="A6442" s="20" t="s">
        <v>2903</v>
      </c>
      <c r="B6442" s="21" t="s">
        <v>1240</v>
      </c>
      <c r="C6442" s="21" t="s">
        <v>1232</v>
      </c>
      <c r="E6442" s="22">
        <f>IF(D6442="?OLD","!!!","")</f>
        <v/>
      </c>
      <c r="F6442" s="23" t="str">
        <f>IF(OR(E6442="",E6442="!!!"),"",IF(NOT(ISNA(VLOOKUP(E6442,E$1:E6441,1,FALSE()))),"OLD",IF(AND(E6442&lt;&gt;"",E6442&lt;&gt;"!!!"),"NEW","")))</f>
        <v> </v>
      </c>
      <c r="G6442" s="24" t="str">
        <f>IF(OR(E6442="",E6442="!!!"),"",IF(OR(J6442=0,AND(J6442=1,K6442=1),AND(J6442=1,I6442="SBJ"),AND(J6442=1,I6442=0)),"?IN_FOCUS",IF(J6442&lt;=2,"?ACTIVATED",IF(J6442&lt;&gt;"","?FAMILIAR",IF(F6442="NEW",IF(ISNA(VLOOKUP(E6442,#REF!,1,FALSE())),"?TYPE_IDENTIFIABLE","?REFERENTIAL"),"_")))))</f>
        <v> </v>
      </c>
      <c r="H6442" s="25" t="str">
        <f>IF(J6442&lt;&gt;1,"",IF(I6442="SBJ","CB","?"))</f>
        <v> </v>
      </c>
      <c r="I6442" s="26" t="str">
        <f>IF(OR(E6442="",E6442="!!!",F6442="NEW"),"",INDEX(B6441:B$2,-1+SUMPRODUCT(MAX(ROW(E6441:E$2)*(E6442=E6441:E$2)))))</f>
        <v> </v>
      </c>
      <c r="J6442" s="26" t="str">
        <f>IF(OR(E6442="",E6442="!!!",F6442="NEW"),"",COUNTBLANK(OFFSET(A$1,,,SUMPRODUCT(MAX(ROW(E$2:E6442)*(E6442=E$2:E6442)))))-COUNTBLANK(OFFSET(A$1,,,SUMPRODUCT(MAX(ROW(E$1:E6441)*(E2=E$1:E6441))))))</f>
        <v> </v>
      </c>
      <c r="K6442" s="26" t="str">
        <f>IF(OR(E6442="",E6442="!!!",F6442="NEW"),"",INDEX(J$1:J6441,SUMPRODUCT(MAX(ROW(E$1:E6441)*(E6442=E$1:E6441)))))</f>
        <v> </v>
      </c>
      <c r="L6442" s="27"/>
    </row>
    <row r="6443" spans="1:12">
      <c r="A6443" s="20" t="s">
        <v>1352</v>
      </c>
      <c r="E6443" s="22">
        <f>IF(D6443="?OLD","!!!","")</f>
        <v/>
      </c>
      <c r="F6443" s="23" t="str">
        <f>IF(OR(E6443="",E6443="!!!"),"",IF(NOT(ISNA(VLOOKUP(E6443,E$1:E6442,1,FALSE()))),"OLD",IF(AND(E6443&lt;&gt;"",E6443&lt;&gt;"!!!"),"NEW","")))</f>
        <v> </v>
      </c>
      <c r="G6443" s="24" t="str">
        <f>IF(OR(E6443="",E6443="!!!"),"",IF(OR(J6443=0,AND(J6443=1,K6443=1),AND(J6443=1,I6443="SBJ"),AND(J6443=1,I6443=0)),"?IN_FOCUS",IF(J6443&lt;=2,"?ACTIVATED",IF(J6443&lt;&gt;"","?FAMILIAR",IF(F6443="NEW",IF(ISNA(VLOOKUP(E6443,#REF!,1,FALSE())),"?TYPE_IDENTIFIABLE","?REFERENTIAL"),"_")))))</f>
        <v> </v>
      </c>
      <c r="H6443" s="25" t="str">
        <f>IF(J6443&lt;&gt;1,"",IF(I6443="SBJ","CB","?"))</f>
        <v> </v>
      </c>
      <c r="I6443" s="26" t="str">
        <f>IF(OR(E6443="",E6443="!!!",F6443="NEW"),"",INDEX(B6442:B$2,-1+SUMPRODUCT(MAX(ROW(E6442:E$2)*(E6443=E6442:E$2)))))</f>
        <v> </v>
      </c>
      <c r="J6443" s="26" t="str">
        <f>IF(OR(E6443="",E6443="!!!",F6443="NEW"),"",COUNTBLANK(OFFSET(A$1,,,SUMPRODUCT(MAX(ROW(E$2:E6443)*(E6443=E$2:E6443)))))-COUNTBLANK(OFFSET(A$1,,,SUMPRODUCT(MAX(ROW(E$1:E6442)*(E2=E$1:E6442))))))</f>
        <v> </v>
      </c>
      <c r="K6443" s="26" t="str">
        <f>IF(OR(E6443="",E6443="!!!",F6443="NEW"),"",INDEX(J$1:J6442,SUMPRODUCT(MAX(ROW(E$1:E6442)*(E6443=E$1:E6442)))))</f>
        <v> </v>
      </c>
      <c r="L6443" s="27"/>
    </row>
    <row r="6444" spans="1:12">
      <c r="A6444" s="20" t="s">
        <v>1495</v>
      </c>
      <c r="E6444" s="22">
        <f>IF(D6444="?OLD","!!!","")</f>
        <v/>
      </c>
      <c r="F6444" s="23" t="str">
        <f>IF(OR(E6444="",E6444="!!!"),"",IF(NOT(ISNA(VLOOKUP(E6444,E$1:E6443,1,FALSE()))),"OLD",IF(AND(E6444&lt;&gt;"",E6444&lt;&gt;"!!!"),"NEW","")))</f>
        <v> </v>
      </c>
      <c r="G6444" s="24" t="str">
        <f>IF(OR(E6444="",E6444="!!!"),"",IF(OR(J6444=0,AND(J6444=1,K6444=1),AND(J6444=1,I6444="SBJ"),AND(J6444=1,I6444=0)),"?IN_FOCUS",IF(J6444&lt;=2,"?ACTIVATED",IF(J6444&lt;&gt;"","?FAMILIAR",IF(F6444="NEW",IF(ISNA(VLOOKUP(E6444,#REF!,1,FALSE())),"?TYPE_IDENTIFIABLE","?REFERENTIAL"),"_")))))</f>
        <v> </v>
      </c>
      <c r="H6444" s="25" t="str">
        <f>IF(J6444&lt;&gt;1,"",IF(I6444="SBJ","CB","?"))</f>
        <v> </v>
      </c>
      <c r="I6444" s="26" t="str">
        <f>IF(OR(E6444="",E6444="!!!",F6444="NEW"),"",INDEX(B6443:B$2,-1+SUMPRODUCT(MAX(ROW(E6443:E$2)*(E6444=E6443:E$2)))))</f>
        <v> </v>
      </c>
      <c r="J6444" s="26" t="str">
        <f>IF(OR(E6444="",E6444="!!!",F6444="NEW"),"",COUNTBLANK(OFFSET(A$1,,,SUMPRODUCT(MAX(ROW(E$2:E6444)*(E6444=E$2:E6444)))))-COUNTBLANK(OFFSET(A$1,,,SUMPRODUCT(MAX(ROW(E$1:E6443)*(E2=E$1:E6443))))))</f>
        <v> </v>
      </c>
      <c r="K6444" s="26" t="str">
        <f>IF(OR(E6444="",E6444="!!!",F6444="NEW"),"",INDEX(J$1:J6443,SUMPRODUCT(MAX(ROW(E$1:E6443)*(E6444=E$1:E6443)))))</f>
        <v> </v>
      </c>
      <c r="L6444" s="27"/>
    </row>
    <row r="6445" spans="1:12">
      <c r="A6445" s="20" t="s">
        <v>2202</v>
      </c>
      <c r="E6445" s="22">
        <f>IF(D6445="?OLD","!!!","")</f>
        <v/>
      </c>
      <c r="F6445" s="23" t="str">
        <f>IF(OR(E6445="",E6445="!!!"),"",IF(NOT(ISNA(VLOOKUP(E6445,E$1:E6444,1,FALSE()))),"OLD",IF(AND(E6445&lt;&gt;"",E6445&lt;&gt;"!!!"),"NEW","")))</f>
        <v> </v>
      </c>
      <c r="G6445" s="24" t="str">
        <f>IF(OR(E6445="",E6445="!!!"),"",IF(OR(J6445=0,AND(J6445=1,K6445=1),AND(J6445=1,I6445="SBJ"),AND(J6445=1,I6445=0)),"?IN_FOCUS",IF(J6445&lt;=2,"?ACTIVATED",IF(J6445&lt;&gt;"","?FAMILIAR",IF(F6445="NEW",IF(ISNA(VLOOKUP(E6445,#REF!,1,FALSE())),"?TYPE_IDENTIFIABLE","?REFERENTIAL"),"_")))))</f>
        <v> </v>
      </c>
      <c r="H6445" s="25" t="str">
        <f>IF(J6445&lt;&gt;1,"",IF(I6445="SBJ","CB","?"))</f>
        <v> </v>
      </c>
      <c r="I6445" s="26" t="str">
        <f>IF(OR(E6445="",E6445="!!!",F6445="NEW"),"",INDEX(B6444:B$2,-1+SUMPRODUCT(MAX(ROW(E6444:E$2)*(E6445=E6444:E$2)))))</f>
        <v> </v>
      </c>
      <c r="J6445" s="26" t="str">
        <f>IF(OR(E6445="",E6445="!!!",F6445="NEW"),"",COUNTBLANK(OFFSET(A$1,,,SUMPRODUCT(MAX(ROW(E$2:E6445)*(E6445=E$2:E6445)))))-COUNTBLANK(OFFSET(A$1,,,SUMPRODUCT(MAX(ROW(E$1:E6444)*(E2=E$1:E6444))))))</f>
        <v> </v>
      </c>
      <c r="K6445" s="26" t="str">
        <f>IF(OR(E6445="",E6445="!!!",F6445="NEW"),"",INDEX(J$1:J6444,SUMPRODUCT(MAX(ROW(E$1:E6444)*(E6445=E$1:E6444)))))</f>
        <v> </v>
      </c>
      <c r="L6445" s="27"/>
    </row>
    <row r="6446" spans="1:12">
      <c r="A6446" s="20" t="s">
        <v>2203</v>
      </c>
      <c r="B6446" s="21" t="s">
        <v>1191</v>
      </c>
      <c r="C6446" s="21" t="s">
        <v>1188</v>
      </c>
      <c r="D6446" s="21" t="s">
        <v>1180</v>
      </c>
      <c r="E6446" s="22">
        <f>IF(D6446="?OLD","!!!","")</f>
        <v/>
      </c>
      <c r="F6446" s="23" t="str">
        <f>IF(OR(E6446="",E6446="!!!"),"",IF(NOT(ISNA(VLOOKUP(E6446,E$1:E6445,1,FALSE()))),"OLD",IF(AND(E6446&lt;&gt;"",E6446&lt;&gt;"!!!"),"NEW","")))</f>
        <v> </v>
      </c>
      <c r="G6446" s="24" t="str">
        <f>IF(OR(E6446="",E6446="!!!"),"",IF(OR(J6446=0,AND(J6446=1,K6446=1),AND(J6446=1,I6446="SBJ"),AND(J6446=1,I6446=0)),"?IN_FOCUS",IF(J6446&lt;=2,"?ACTIVATED",IF(J6446&lt;&gt;"","?FAMILIAR",IF(F6446="NEW",IF(ISNA(VLOOKUP(E6446,#REF!,1,FALSE())),"?TYPE_IDENTIFIABLE","?REFERENTIAL"),"_")))))</f>
        <v> </v>
      </c>
      <c r="H6446" s="25" t="str">
        <f>IF(J6446&lt;&gt;1,"",IF(I6446="SBJ","CB","?"))</f>
        <v> </v>
      </c>
      <c r="I6446" s="26" t="str">
        <f>IF(OR(E6446="",E6446="!!!",F6446="NEW"),"",INDEX(B6445:B$2,-1+SUMPRODUCT(MAX(ROW(E6445:E$2)*(E6446=E6445:E$2)))))</f>
        <v> </v>
      </c>
      <c r="J6446" s="26" t="str">
        <f>IF(OR(E6446="",E6446="!!!",F6446="NEW"),"",COUNTBLANK(OFFSET(A$1,,,SUMPRODUCT(MAX(ROW(E$2:E6446)*(E6446=E$2:E6446)))))-COUNTBLANK(OFFSET(A$1,,,SUMPRODUCT(MAX(ROW(E$1:E6445)*(E2=E$1:E6445))))))</f>
        <v> </v>
      </c>
      <c r="K6446" s="26" t="str">
        <f>IF(OR(E6446="",E6446="!!!",F6446="NEW"),"",INDEX(J$1:J6445,SUMPRODUCT(MAX(ROW(E$1:E6445)*(E6446=E$1:E6445)))))</f>
        <v> </v>
      </c>
      <c r="L6446" s="27"/>
    </row>
    <row r="6447" spans="1:12">
      <c r="A6447" s="20" t="s">
        <v>1314</v>
      </c>
      <c r="E6447" s="22">
        <f>IF(D6447="?OLD","!!!","")</f>
        <v/>
      </c>
      <c r="F6447" s="23" t="str">
        <f>IF(OR(E6447="",E6447="!!!"),"",IF(NOT(ISNA(VLOOKUP(E6447,E$1:E6446,1,FALSE()))),"OLD",IF(AND(E6447&lt;&gt;"",E6447&lt;&gt;"!!!"),"NEW","")))</f>
        <v> </v>
      </c>
      <c r="G6447" s="24" t="str">
        <f>IF(OR(E6447="",E6447="!!!"),"",IF(OR(J6447=0,AND(J6447=1,K6447=1),AND(J6447=1,I6447="SBJ"),AND(J6447=1,I6447=0)),"?IN_FOCUS",IF(J6447&lt;=2,"?ACTIVATED",IF(J6447&lt;&gt;"","?FAMILIAR",IF(F6447="NEW",IF(ISNA(VLOOKUP(E6447,#REF!,1,FALSE())),"?TYPE_IDENTIFIABLE","?REFERENTIAL"),"_")))))</f>
        <v> </v>
      </c>
      <c r="H6447" s="25" t="str">
        <f>IF(J6447&lt;&gt;1,"",IF(I6447="SBJ","CB","?"))</f>
        <v> </v>
      </c>
      <c r="I6447" s="26" t="str">
        <f>IF(OR(E6447="",E6447="!!!",F6447="NEW"),"",INDEX(B6446:B$2,-1+SUMPRODUCT(MAX(ROW(E6446:E$2)*(E6447=E6446:E$2)))))</f>
        <v> </v>
      </c>
      <c r="J6447" s="26" t="str">
        <f>IF(OR(E6447="",E6447="!!!",F6447="NEW"),"",COUNTBLANK(OFFSET(A$1,,,SUMPRODUCT(MAX(ROW(E$2:E6447)*(E6447=E$2:E6447)))))-COUNTBLANK(OFFSET(A$1,,,SUMPRODUCT(MAX(ROW(E$1:E6446)*(E2=E$1:E6446))))))</f>
        <v> </v>
      </c>
      <c r="K6447" s="26" t="str">
        <f>IF(OR(E6447="",E6447="!!!",F6447="NEW"),"",INDEX(J$1:J6446,SUMPRODUCT(MAX(ROW(E$1:E6446)*(E6447=E$1:E6446)))))</f>
        <v> </v>
      </c>
      <c r="L6447" s="27"/>
    </row>
    <row r="6448" spans="1:12">
      <c r="A6448" s="20" t="s">
        <v>1330</v>
      </c>
      <c r="E6448" s="22">
        <f>IF(D6448="?OLD","!!!","")</f>
        <v/>
      </c>
      <c r="F6448" s="23" t="str">
        <f>IF(OR(E6448="",E6448="!!!"),"",IF(NOT(ISNA(VLOOKUP(E6448,E$1:E6447,1,FALSE()))),"OLD",IF(AND(E6448&lt;&gt;"",E6448&lt;&gt;"!!!"),"NEW","")))</f>
        <v> </v>
      </c>
      <c r="G6448" s="24" t="str">
        <f>IF(OR(E6448="",E6448="!!!"),"",IF(OR(J6448=0,AND(J6448=1,K6448=1),AND(J6448=1,I6448="SBJ"),AND(J6448=1,I6448=0)),"?IN_FOCUS",IF(J6448&lt;=2,"?ACTIVATED",IF(J6448&lt;&gt;"","?FAMILIAR",IF(F6448="NEW",IF(ISNA(VLOOKUP(E6448,#REF!,1,FALSE())),"?TYPE_IDENTIFIABLE","?REFERENTIAL"),"_")))))</f>
        <v> </v>
      </c>
      <c r="H6448" s="25" t="str">
        <f>IF(J6448&lt;&gt;1,"",IF(I6448="SBJ","CB","?"))</f>
        <v> </v>
      </c>
      <c r="I6448" s="26" t="str">
        <f>IF(OR(E6448="",E6448="!!!",F6448="NEW"),"",INDEX(B6447:B$2,-1+SUMPRODUCT(MAX(ROW(E6447:E$2)*(E6448=E6447:E$2)))))</f>
        <v> </v>
      </c>
      <c r="J6448" s="26" t="str">
        <f>IF(OR(E6448="",E6448="!!!",F6448="NEW"),"",COUNTBLANK(OFFSET(A$1,,,SUMPRODUCT(MAX(ROW(E$2:E6448)*(E6448=E$2:E6448)))))-COUNTBLANK(OFFSET(A$1,,,SUMPRODUCT(MAX(ROW(E$1:E6447)*(E2=E$1:E6447))))))</f>
        <v> </v>
      </c>
      <c r="K6448" s="26" t="str">
        <f>IF(OR(E6448="",E6448="!!!",F6448="NEW"),"",INDEX(J$1:J6447,SUMPRODUCT(MAX(ROW(E$1:E6447)*(E6448=E$1:E6447)))))</f>
        <v> </v>
      </c>
      <c r="L6448" s="27"/>
    </row>
    <row r="6449" spans="1:12">
      <c r="A6449" s="20" t="s">
        <v>2904</v>
      </c>
      <c r="E6449" s="22">
        <f>IF(D6449="?OLD","!!!","")</f>
        <v/>
      </c>
      <c r="F6449" s="23" t="str">
        <f>IF(OR(E6449="",E6449="!!!"),"",IF(NOT(ISNA(VLOOKUP(E6449,E$1:E6448,1,FALSE()))),"OLD",IF(AND(E6449&lt;&gt;"",E6449&lt;&gt;"!!!"),"NEW","")))</f>
        <v> </v>
      </c>
      <c r="G6449" s="24" t="str">
        <f>IF(OR(E6449="",E6449="!!!"),"",IF(OR(J6449=0,AND(J6449=1,K6449=1),AND(J6449=1,I6449="SBJ"),AND(J6449=1,I6449=0)),"?IN_FOCUS",IF(J6449&lt;=2,"?ACTIVATED",IF(J6449&lt;&gt;"","?FAMILIAR",IF(F6449="NEW",IF(ISNA(VLOOKUP(E6449,#REF!,1,FALSE())),"?TYPE_IDENTIFIABLE","?REFERENTIAL"),"_")))))</f>
        <v> </v>
      </c>
      <c r="H6449" s="25" t="str">
        <f>IF(J6449&lt;&gt;1,"",IF(I6449="SBJ","CB","?"))</f>
        <v> </v>
      </c>
      <c r="I6449" s="26" t="str">
        <f>IF(OR(E6449="",E6449="!!!",F6449="NEW"),"",INDEX(B6448:B$2,-1+SUMPRODUCT(MAX(ROW(E6448:E$2)*(E6449=E6448:E$2)))))</f>
        <v> </v>
      </c>
      <c r="J6449" s="26" t="str">
        <f>IF(OR(E6449="",E6449="!!!",F6449="NEW"),"",COUNTBLANK(OFFSET(A$1,,,SUMPRODUCT(MAX(ROW(E$2:E6449)*(E6449=E$2:E6449)))))-COUNTBLANK(OFFSET(A$1,,,SUMPRODUCT(MAX(ROW(E$1:E6448)*(E2=E$1:E6448))))))</f>
        <v> </v>
      </c>
      <c r="K6449" s="26" t="str">
        <f>IF(OR(E6449="",E6449="!!!",F6449="NEW"),"",INDEX(J$1:J6448,SUMPRODUCT(MAX(ROW(E$1:E6448)*(E6449=E$1:E6448)))))</f>
        <v> </v>
      </c>
      <c r="L6449" s="27"/>
    </row>
    <row r="6450" spans="1:12">
      <c r="A6450" s="20" t="s">
        <v>1718</v>
      </c>
      <c r="E6450" s="22">
        <f>IF(D6450="?OLD","!!!","")</f>
        <v/>
      </c>
      <c r="F6450" s="23" t="str">
        <f>IF(OR(E6450="",E6450="!!!"),"",IF(NOT(ISNA(VLOOKUP(E6450,E$1:E6449,1,FALSE()))),"OLD",IF(AND(E6450&lt;&gt;"",E6450&lt;&gt;"!!!"),"NEW","")))</f>
        <v> </v>
      </c>
      <c r="G6450" s="24" t="str">
        <f>IF(OR(E6450="",E6450="!!!"),"",IF(OR(J6450=0,AND(J6450=1,K6450=1),AND(J6450=1,I6450="SBJ"),AND(J6450=1,I6450=0)),"?IN_FOCUS",IF(J6450&lt;=2,"?ACTIVATED",IF(J6450&lt;&gt;"","?FAMILIAR",IF(F6450="NEW",IF(ISNA(VLOOKUP(E6450,#REF!,1,FALSE())),"?TYPE_IDENTIFIABLE","?REFERENTIAL"),"_")))))</f>
        <v> </v>
      </c>
      <c r="H6450" s="25" t="str">
        <f>IF(J6450&lt;&gt;1,"",IF(I6450="SBJ","CB","?"))</f>
        <v> </v>
      </c>
      <c r="I6450" s="26" t="str">
        <f>IF(OR(E6450="",E6450="!!!",F6450="NEW"),"",INDEX(B6449:B$2,-1+SUMPRODUCT(MAX(ROW(E6449:E$2)*(E6450=E6449:E$2)))))</f>
        <v> </v>
      </c>
      <c r="J6450" s="26" t="str">
        <f>IF(OR(E6450="",E6450="!!!",F6450="NEW"),"",COUNTBLANK(OFFSET(A$1,,,SUMPRODUCT(MAX(ROW(E$2:E6450)*(E6450=E$2:E6450)))))-COUNTBLANK(OFFSET(A$1,,,SUMPRODUCT(MAX(ROW(E$1:E6449)*(E2=E$1:E6449))))))</f>
        <v> </v>
      </c>
      <c r="K6450" s="26" t="str">
        <f>IF(OR(E6450="",E6450="!!!",F6450="NEW"),"",INDEX(J$1:J6449,SUMPRODUCT(MAX(ROW(E$1:E6449)*(E6450=E$1:E6449)))))</f>
        <v> </v>
      </c>
      <c r="L6450" s="27"/>
    </row>
    <row r="6451" spans="1:12">
      <c r="A6451" s="20" t="s">
        <v>2573</v>
      </c>
      <c r="B6451" s="21" t="s">
        <v>1191</v>
      </c>
      <c r="C6451" s="21" t="s">
        <v>1232</v>
      </c>
      <c r="E6451" s="22">
        <f>IF(D6451="?OLD","!!!","")</f>
        <v/>
      </c>
      <c r="F6451" s="23" t="str">
        <f>IF(OR(E6451="",E6451="!!!"),"",IF(NOT(ISNA(VLOOKUP(E6451,E$1:E6450,1,FALSE()))),"OLD",IF(AND(E6451&lt;&gt;"",E6451&lt;&gt;"!!!"),"NEW","")))</f>
        <v> </v>
      </c>
      <c r="G6451" s="24" t="str">
        <f>IF(OR(E6451="",E6451="!!!"),"",IF(OR(J6451=0,AND(J6451=1,K6451=1),AND(J6451=1,I6451="SBJ"),AND(J6451=1,I6451=0)),"?IN_FOCUS",IF(J6451&lt;=2,"?ACTIVATED",IF(J6451&lt;&gt;"","?FAMILIAR",IF(F6451="NEW",IF(ISNA(VLOOKUP(E6451,#REF!,1,FALSE())),"?TYPE_IDENTIFIABLE","?REFERENTIAL"),"_")))))</f>
        <v> </v>
      </c>
      <c r="H6451" s="25" t="str">
        <f>IF(J6451&lt;&gt;1,"",IF(I6451="SBJ","CB","?"))</f>
        <v> </v>
      </c>
      <c r="I6451" s="26" t="str">
        <f>IF(OR(E6451="",E6451="!!!",F6451="NEW"),"",INDEX(B6450:B$2,-1+SUMPRODUCT(MAX(ROW(E6450:E$2)*(E6451=E6450:E$2)))))</f>
        <v> </v>
      </c>
      <c r="J6451" s="26" t="str">
        <f>IF(OR(E6451="",E6451="!!!",F6451="NEW"),"",COUNTBLANK(OFFSET(A$1,,,SUMPRODUCT(MAX(ROW(E$2:E6451)*(E6451=E$2:E6451)))))-COUNTBLANK(OFFSET(A$1,,,SUMPRODUCT(MAX(ROW(E$1:E6450)*(E2=E$1:E6450))))))</f>
        <v> </v>
      </c>
      <c r="K6451" s="26" t="str">
        <f>IF(OR(E6451="",E6451="!!!",F6451="NEW"),"",INDEX(J$1:J6450,SUMPRODUCT(MAX(ROW(E$1:E6450)*(E6451=E$1:E6450)))))</f>
        <v> </v>
      </c>
      <c r="L6451" s="27"/>
    </row>
    <row r="6452" spans="1:12">
      <c r="A6452" s="20" t="s">
        <v>1149</v>
      </c>
      <c r="E6452" s="22">
        <f>IF(D6452="?OLD","!!!","")</f>
        <v/>
      </c>
      <c r="F6452" s="23" t="str">
        <f>IF(OR(E6452="",E6452="!!!"),"",IF(NOT(ISNA(VLOOKUP(E6452,E$1:E6451,1,FALSE()))),"OLD",IF(AND(E6452&lt;&gt;"",E6452&lt;&gt;"!!!"),"NEW","")))</f>
        <v> </v>
      </c>
      <c r="G6452" s="24" t="str">
        <f>IF(OR(E6452="",E6452="!!!"),"",IF(OR(J6452=0,AND(J6452=1,K6452=1),AND(J6452=1,I6452="SBJ"),AND(J6452=1,I6452=0)),"?IN_FOCUS",IF(J6452&lt;=2,"?ACTIVATED",IF(J6452&lt;&gt;"","?FAMILIAR",IF(F6452="NEW",IF(ISNA(VLOOKUP(E6452,#REF!,1,FALSE())),"?TYPE_IDENTIFIABLE","?REFERENTIAL"),"_")))))</f>
        <v> </v>
      </c>
      <c r="H6452" s="25" t="str">
        <f>IF(J6452&lt;&gt;1,"",IF(I6452="SBJ","CB","?"))</f>
        <v> </v>
      </c>
      <c r="I6452" s="26" t="str">
        <f>IF(OR(E6452="",E6452="!!!",F6452="NEW"),"",INDEX(B6451:B$2,-1+SUMPRODUCT(MAX(ROW(E6451:E$2)*(E6452=E6451:E$2)))))</f>
        <v> </v>
      </c>
      <c r="J6452" s="26" t="str">
        <f>IF(OR(E6452="",E6452="!!!",F6452="NEW"),"",COUNTBLANK(OFFSET(A$1,,,SUMPRODUCT(MAX(ROW(E$2:E6452)*(E6452=E$2:E6452)))))-COUNTBLANK(OFFSET(A$1,,,SUMPRODUCT(MAX(ROW(E$1:E6451)*(E2=E$1:E6451))))))</f>
        <v> </v>
      </c>
      <c r="K6452" s="26" t="str">
        <f>IF(OR(E6452="",E6452="!!!",F6452="NEW"),"",INDEX(J$1:J6451,SUMPRODUCT(MAX(ROW(E$1:E6451)*(E6452=E$1:E6451)))))</f>
        <v> </v>
      </c>
      <c r="L6452" s="27"/>
    </row>
    <row r="6453" spans="1:12">
      <c r="A6453" s="20" t="s">
        <v>818</v>
      </c>
      <c r="E6453" s="22">
        <f>IF(D6453="?OLD","!!!","")</f>
        <v/>
      </c>
      <c r="F6453" s="23" t="str">
        <f>IF(OR(E6453="",E6453="!!!"),"",IF(NOT(ISNA(VLOOKUP(E6453,E$1:E6452,1,FALSE()))),"OLD",IF(AND(E6453&lt;&gt;"",E6453&lt;&gt;"!!!"),"NEW","")))</f>
        <v> </v>
      </c>
      <c r="G6453" s="24" t="str">
        <f>IF(OR(E6453="",E6453="!!!"),"",IF(OR(J6453=0,AND(J6453=1,K6453=1),AND(J6453=1,I6453="SBJ"),AND(J6453=1,I6453=0)),"?IN_FOCUS",IF(J6453&lt;=2,"?ACTIVATED",IF(J6453&lt;&gt;"","?FAMILIAR",IF(F6453="NEW",IF(ISNA(VLOOKUP(E6453,#REF!,1,FALSE())),"?TYPE_IDENTIFIABLE","?REFERENTIAL"),"_")))))</f>
        <v> </v>
      </c>
      <c r="H6453" s="25" t="str">
        <f>IF(J6453&lt;&gt;1,"",IF(I6453="SBJ","CB","?"))</f>
        <v> </v>
      </c>
      <c r="I6453" s="26" t="str">
        <f>IF(OR(E6453="",E6453="!!!",F6453="NEW"),"",INDEX(B6452:B$2,-1+SUMPRODUCT(MAX(ROW(E6452:E$2)*(E6453=E6452:E$2)))))</f>
        <v> </v>
      </c>
      <c r="J6453" s="26" t="str">
        <f>IF(OR(E6453="",E6453="!!!",F6453="NEW"),"",COUNTBLANK(OFFSET(A$1,,,SUMPRODUCT(MAX(ROW(E$2:E6453)*(E6453=E$2:E6453)))))-COUNTBLANK(OFFSET(A$1,,,SUMPRODUCT(MAX(ROW(E$1:E6452)*(E2=E$1:E6452))))))</f>
        <v> </v>
      </c>
      <c r="K6453" s="26" t="str">
        <f>IF(OR(E6453="",E6453="!!!",F6453="NEW"),"",INDEX(J$1:J6452,SUMPRODUCT(MAX(ROW(E$1:E6452)*(E6453=E$1:E6452)))))</f>
        <v> </v>
      </c>
      <c r="L6453" s="27"/>
    </row>
    <row r="6454" spans="1:12">
      <c r="A6454" s="20"/>
    </row>
    <row r="6455" spans="1:12">
      <c r="A6455" s="20" t="s">
        <v>2905</v>
      </c>
    </row>
    <row r="6456" spans="1:12">
      <c r="A6456" s="20" t="s">
        <v>1262</v>
      </c>
      <c r="E6456" s="22">
        <f>IF(D6456="?OLD","!!!","")</f>
        <v/>
      </c>
      <c r="F6456" s="23" t="str">
        <f>IF(OR(E6456="",E6456="!!!"),"",IF(NOT(ISNA(VLOOKUP(E6456,E$1:E6455,1,FALSE()))),"OLD",IF(AND(E6456&lt;&gt;"",E6456&lt;&gt;"!!!"),"NEW","")))</f>
        <v> </v>
      </c>
      <c r="G6456" s="24" t="str">
        <f>IF(OR(E6456="",E6456="!!!"),"",IF(OR(J6456=0,AND(J6456=1,K6456=1),AND(J6456=1,I6456="SBJ"),AND(J6456=1,I6456=0)),"?IN_FOCUS",IF(J6456&lt;=2,"?ACTIVATED",IF(J6456&lt;&gt;"","?FAMILIAR",IF(F6456="NEW",IF(ISNA(VLOOKUP(E6456,#REF!,1,FALSE())),"?TYPE_IDENTIFIABLE","?REFERENTIAL"),"_")))))</f>
        <v> </v>
      </c>
      <c r="H6456" s="25" t="str">
        <f>IF(J6456&lt;&gt;1,"",IF(I6456="SBJ","CB","?"))</f>
        <v> </v>
      </c>
      <c r="I6456" s="26" t="str">
        <f>IF(OR(E6456="",E6456="!!!",F6456="NEW"),"",INDEX(B6455:B$2,-1+SUMPRODUCT(MAX(ROW(E6455:E$2)*(E6456=E6455:E$2)))))</f>
        <v> </v>
      </c>
      <c r="J6456" s="26" t="str">
        <f>IF(OR(E6456="",E6456="!!!",F6456="NEW"),"",COUNTBLANK(OFFSET(A$1,,,SUMPRODUCT(MAX(ROW(E$2:E6456)*(E6456=E$2:E6456)))))-COUNTBLANK(OFFSET(A$1,,,SUMPRODUCT(MAX(ROW(E$1:E6455)*(E2=E$1:E6455))))))</f>
        <v> </v>
      </c>
      <c r="K6456" s="26" t="str">
        <f>IF(OR(E6456="",E6456="!!!",F6456="NEW"),"",INDEX(J$1:J6455,SUMPRODUCT(MAX(ROW(E$1:E6455)*(E6456=E$1:E6455)))))</f>
        <v> </v>
      </c>
      <c r="L6456" s="27"/>
    </row>
    <row r="6457" spans="1:12">
      <c r="A6457" s="20" t="s">
        <v>1182</v>
      </c>
      <c r="E6457" s="22">
        <f>IF(D6457="?OLD","!!!","")</f>
        <v/>
      </c>
      <c r="F6457" s="23" t="str">
        <f>IF(OR(E6457="",E6457="!!!"),"",IF(NOT(ISNA(VLOOKUP(E6457,E$1:E6456,1,FALSE()))),"OLD",IF(AND(E6457&lt;&gt;"",E6457&lt;&gt;"!!!"),"NEW","")))</f>
        <v> </v>
      </c>
      <c r="G6457" s="24" t="str">
        <f>IF(OR(E6457="",E6457="!!!"),"",IF(OR(J6457=0,AND(J6457=1,K6457=1),AND(J6457=1,I6457="SBJ"),AND(J6457=1,I6457=0)),"?IN_FOCUS",IF(J6457&lt;=2,"?ACTIVATED",IF(J6457&lt;&gt;"","?FAMILIAR",IF(F6457="NEW",IF(ISNA(VLOOKUP(E6457,#REF!,1,FALSE())),"?TYPE_IDENTIFIABLE","?REFERENTIAL"),"_")))))</f>
        <v> </v>
      </c>
      <c r="H6457" s="25" t="str">
        <f>IF(J6457&lt;&gt;1,"",IF(I6457="SBJ","CB","?"))</f>
        <v> </v>
      </c>
      <c r="I6457" s="26" t="str">
        <f>IF(OR(E6457="",E6457="!!!",F6457="NEW"),"",INDEX(B6456:B$2,-1+SUMPRODUCT(MAX(ROW(E6456:E$2)*(E6457=E6456:E$2)))))</f>
        <v> </v>
      </c>
      <c r="J6457" s="26" t="str">
        <f>IF(OR(E6457="",E6457="!!!",F6457="NEW"),"",COUNTBLANK(OFFSET(A$1,,,SUMPRODUCT(MAX(ROW(E$2:E6457)*(E6457=E$2:E6457)))))-COUNTBLANK(OFFSET(A$1,,,SUMPRODUCT(MAX(ROW(E$1:E6456)*(E2=E$1:E6456))))))</f>
        <v> </v>
      </c>
      <c r="K6457" s="26" t="str">
        <f>IF(OR(E6457="",E6457="!!!",F6457="NEW"),"",INDEX(J$1:J6456,SUMPRODUCT(MAX(ROW(E$1:E6456)*(E6457=E$1:E6456)))))</f>
        <v> </v>
      </c>
      <c r="L6457" s="27"/>
    </row>
    <row r="6458" spans="1:12">
      <c r="A6458" s="20" t="s">
        <v>1281</v>
      </c>
      <c r="E6458" s="22">
        <f>IF(D6458="?OLD","!!!","")</f>
        <v/>
      </c>
      <c r="F6458" s="23" t="str">
        <f>IF(OR(E6458="",E6458="!!!"),"",IF(NOT(ISNA(VLOOKUP(E6458,E$1:E6457,1,FALSE()))),"OLD",IF(AND(E6458&lt;&gt;"",E6458&lt;&gt;"!!!"),"NEW","")))</f>
        <v> </v>
      </c>
      <c r="G6458" s="24" t="str">
        <f>IF(OR(E6458="",E6458="!!!"),"",IF(OR(J6458=0,AND(J6458=1,K6458=1),AND(J6458=1,I6458="SBJ"),AND(J6458=1,I6458=0)),"?IN_FOCUS",IF(J6458&lt;=2,"?ACTIVATED",IF(J6458&lt;&gt;"","?FAMILIAR",IF(F6458="NEW",IF(ISNA(VLOOKUP(E6458,#REF!,1,FALSE())),"?TYPE_IDENTIFIABLE","?REFERENTIAL"),"_")))))</f>
        <v> </v>
      </c>
      <c r="H6458" s="25" t="str">
        <f>IF(J6458&lt;&gt;1,"",IF(I6458="SBJ","CB","?"))</f>
        <v> </v>
      </c>
      <c r="I6458" s="26" t="str">
        <f>IF(OR(E6458="",E6458="!!!",F6458="NEW"),"",INDEX(B6457:B$2,-1+SUMPRODUCT(MAX(ROW(E6457:E$2)*(E6458=E6457:E$2)))))</f>
        <v> </v>
      </c>
      <c r="J6458" s="26" t="str">
        <f>IF(OR(E6458="",E6458="!!!",F6458="NEW"),"",COUNTBLANK(OFFSET(A$1,,,SUMPRODUCT(MAX(ROW(E$2:E6458)*(E6458=E$2:E6458)))))-COUNTBLANK(OFFSET(A$1,,,SUMPRODUCT(MAX(ROW(E$1:E6457)*(E2=E$1:E6457))))))</f>
        <v> </v>
      </c>
      <c r="K6458" s="26" t="str">
        <f>IF(OR(E6458="",E6458="!!!",F6458="NEW"),"",INDEX(J$1:J6457,SUMPRODUCT(MAX(ROW(E$1:E6457)*(E6458=E$1:E6457)))))</f>
        <v> </v>
      </c>
      <c r="L6458" s="27"/>
    </row>
    <row r="6459" spans="1:12">
      <c r="A6459" s="20" t="s">
        <v>1198</v>
      </c>
      <c r="E6459" s="22">
        <f>IF(D6459="?OLD","!!!","")</f>
        <v/>
      </c>
      <c r="F6459" s="23" t="str">
        <f>IF(OR(E6459="",E6459="!!!"),"",IF(NOT(ISNA(VLOOKUP(E6459,E$1:E6458,1,FALSE()))),"OLD",IF(AND(E6459&lt;&gt;"",E6459&lt;&gt;"!!!"),"NEW","")))</f>
        <v> </v>
      </c>
      <c r="G6459" s="24" t="str">
        <f>IF(OR(E6459="",E6459="!!!"),"",IF(OR(J6459=0,AND(J6459=1,K6459=1),AND(J6459=1,I6459="SBJ"),AND(J6459=1,I6459=0)),"?IN_FOCUS",IF(J6459&lt;=2,"?ACTIVATED",IF(J6459&lt;&gt;"","?FAMILIAR",IF(F6459="NEW",IF(ISNA(VLOOKUP(E6459,#REF!,1,FALSE())),"?TYPE_IDENTIFIABLE","?REFERENTIAL"),"_")))))</f>
        <v> </v>
      </c>
      <c r="H6459" s="25" t="str">
        <f>IF(J6459&lt;&gt;1,"",IF(I6459="SBJ","CB","?"))</f>
        <v> </v>
      </c>
      <c r="I6459" s="26" t="str">
        <f>IF(OR(E6459="",E6459="!!!",F6459="NEW"),"",INDEX(B6458:B$2,-1+SUMPRODUCT(MAX(ROW(E6458:E$2)*(E6459=E6458:E$2)))))</f>
        <v> </v>
      </c>
      <c r="J6459" s="26" t="str">
        <f>IF(OR(E6459="",E6459="!!!",F6459="NEW"),"",COUNTBLANK(OFFSET(A$1,,,SUMPRODUCT(MAX(ROW(E$2:E6459)*(E6459=E$2:E6459)))))-COUNTBLANK(OFFSET(A$1,,,SUMPRODUCT(MAX(ROW(E$1:E6458)*(E2=E$1:E6458))))))</f>
        <v> </v>
      </c>
      <c r="K6459" s="26" t="str">
        <f>IF(OR(E6459="",E6459="!!!",F6459="NEW"),"",INDEX(J$1:J6458,SUMPRODUCT(MAX(ROW(E$1:E6458)*(E6459=E$1:E6458)))))</f>
        <v> </v>
      </c>
      <c r="L6459" s="27"/>
    </row>
    <row r="6460" spans="1:12">
      <c r="A6460" s="20" t="s">
        <v>1121</v>
      </c>
      <c r="B6460" s="21" t="s">
        <v>1178</v>
      </c>
      <c r="C6460" s="21" t="s">
        <v>1394</v>
      </c>
      <c r="D6460" s="21" t="s">
        <v>1180</v>
      </c>
      <c r="E6460" s="22">
        <f>IF(D6460="?OLD","!!!","")</f>
        <v/>
      </c>
      <c r="F6460" s="23" t="str">
        <f>IF(OR(E6460="",E6460="!!!"),"",IF(NOT(ISNA(VLOOKUP(E6460,E$1:E6459,1,FALSE()))),"OLD",IF(AND(E6460&lt;&gt;"",E6460&lt;&gt;"!!!"),"NEW","")))</f>
        <v> </v>
      </c>
      <c r="G6460" s="24" t="str">
        <f>IF(OR(E6460="",E6460="!!!"),"",IF(OR(J6460=0,AND(J6460=1,K6460=1),AND(J6460=1,I6460="SBJ"),AND(J6460=1,I6460=0)),"?IN_FOCUS",IF(J6460&lt;=2,"?ACTIVATED",IF(J6460&lt;&gt;"","?FAMILIAR",IF(F6460="NEW",IF(ISNA(VLOOKUP(E6460,#REF!,1,FALSE())),"?TYPE_IDENTIFIABLE","?REFERENTIAL"),"_")))))</f>
        <v> </v>
      </c>
      <c r="H6460" s="25" t="str">
        <f>IF(J6460&lt;&gt;1,"",IF(I6460="SBJ","CB","?"))</f>
        <v> </v>
      </c>
      <c r="I6460" s="26" t="str">
        <f>IF(OR(E6460="",E6460="!!!",F6460="NEW"),"",INDEX(B6459:B$2,-1+SUMPRODUCT(MAX(ROW(E6459:E$2)*(E6460=E6459:E$2)))))</f>
        <v> </v>
      </c>
      <c r="J6460" s="26" t="str">
        <f>IF(OR(E6460="",E6460="!!!",F6460="NEW"),"",COUNTBLANK(OFFSET(A$1,,,SUMPRODUCT(MAX(ROW(E$2:E6460)*(E6460=E$2:E6460)))))-COUNTBLANK(OFFSET(A$1,,,SUMPRODUCT(MAX(ROW(E$1:E6459)*(E2=E$1:E6459))))))</f>
        <v> </v>
      </c>
      <c r="K6460" s="26" t="str">
        <f>IF(OR(E6460="",E6460="!!!",F6460="NEW"),"",INDEX(J$1:J6459,SUMPRODUCT(MAX(ROW(E$1:E6459)*(E6460=E$1:E6459)))))</f>
        <v> </v>
      </c>
      <c r="L6460" s="27"/>
    </row>
    <row r="6461" spans="1:12">
      <c r="A6461" s="20" t="s">
        <v>1185</v>
      </c>
      <c r="E6461" s="22">
        <f>IF(D6461="?OLD","!!!","")</f>
        <v/>
      </c>
      <c r="F6461" s="23" t="str">
        <f>IF(OR(E6461="",E6461="!!!"),"",IF(NOT(ISNA(VLOOKUP(E6461,E$1:E6460,1,FALSE()))),"OLD",IF(AND(E6461&lt;&gt;"",E6461&lt;&gt;"!!!"),"NEW","")))</f>
        <v> </v>
      </c>
      <c r="G6461" s="24" t="str">
        <f>IF(OR(E6461="",E6461="!!!"),"",IF(OR(J6461=0,AND(J6461=1,K6461=1),AND(J6461=1,I6461="SBJ"),AND(J6461=1,I6461=0)),"?IN_FOCUS",IF(J6461&lt;=2,"?ACTIVATED",IF(J6461&lt;&gt;"","?FAMILIAR",IF(F6461="NEW",IF(ISNA(VLOOKUP(E6461,#REF!,1,FALSE())),"?TYPE_IDENTIFIABLE","?REFERENTIAL"),"_")))))</f>
        <v> </v>
      </c>
      <c r="H6461" s="25" t="str">
        <f>IF(J6461&lt;&gt;1,"",IF(I6461="SBJ","CB","?"))</f>
        <v> </v>
      </c>
      <c r="I6461" s="26" t="str">
        <f>IF(OR(E6461="",E6461="!!!",F6461="NEW"),"",INDEX(B6460:B$2,-1+SUMPRODUCT(MAX(ROW(E6460:E$2)*(E6461=E6460:E$2)))))</f>
        <v> </v>
      </c>
      <c r="J6461" s="26" t="str">
        <f>IF(OR(E6461="",E6461="!!!",F6461="NEW"),"",COUNTBLANK(OFFSET(A$1,,,SUMPRODUCT(MAX(ROW(E$2:E6461)*(E6461=E$2:E6461)))))-COUNTBLANK(OFFSET(A$1,,,SUMPRODUCT(MAX(ROW(E$1:E6460)*(E2=E$1:E6460))))))</f>
        <v> </v>
      </c>
      <c r="K6461" s="26" t="str">
        <f>IF(OR(E6461="",E6461="!!!",F6461="NEW"),"",INDEX(J$1:J6460,SUMPRODUCT(MAX(ROW(E$1:E6460)*(E6461=E$1:E6460)))))</f>
        <v> </v>
      </c>
      <c r="L6461" s="27"/>
    </row>
    <row r="6462" spans="1:12">
      <c r="A6462" s="20" t="s">
        <v>2906</v>
      </c>
      <c r="E6462" s="22">
        <f>IF(D6462="?OLD","!!!","")</f>
        <v/>
      </c>
      <c r="F6462" s="23" t="str">
        <f>IF(OR(E6462="",E6462="!!!"),"",IF(NOT(ISNA(VLOOKUP(E6462,E$1:E6461,1,FALSE()))),"OLD",IF(AND(E6462&lt;&gt;"",E6462&lt;&gt;"!!!"),"NEW","")))</f>
        <v> </v>
      </c>
      <c r="G6462" s="24" t="str">
        <f>IF(OR(E6462="",E6462="!!!"),"",IF(OR(J6462=0,AND(J6462=1,K6462=1),AND(J6462=1,I6462="SBJ"),AND(J6462=1,I6462=0)),"?IN_FOCUS",IF(J6462&lt;=2,"?ACTIVATED",IF(J6462&lt;&gt;"","?FAMILIAR",IF(F6462="NEW",IF(ISNA(VLOOKUP(E6462,#REF!,1,FALSE())),"?TYPE_IDENTIFIABLE","?REFERENTIAL"),"_")))))</f>
        <v> </v>
      </c>
      <c r="H6462" s="25" t="str">
        <f>IF(J6462&lt;&gt;1,"",IF(I6462="SBJ","CB","?"))</f>
        <v> </v>
      </c>
      <c r="I6462" s="26" t="str">
        <f>IF(OR(E6462="",E6462="!!!",F6462="NEW"),"",INDEX(B6461:B$2,-1+SUMPRODUCT(MAX(ROW(E6461:E$2)*(E6462=E6461:E$2)))))</f>
        <v> </v>
      </c>
      <c r="J6462" s="26" t="str">
        <f>IF(OR(E6462="",E6462="!!!",F6462="NEW"),"",COUNTBLANK(OFFSET(A$1,,,SUMPRODUCT(MAX(ROW(E$2:E6462)*(E6462=E$2:E6462)))))-COUNTBLANK(OFFSET(A$1,,,SUMPRODUCT(MAX(ROW(E$1:E6461)*(E2=E$1:E6461))))))</f>
        <v> </v>
      </c>
      <c r="K6462" s="26" t="str">
        <f>IF(OR(E6462="",E6462="!!!",F6462="NEW"),"",INDEX(J$1:J6461,SUMPRODUCT(MAX(ROW(E$1:E6461)*(E6462=E$1:E6461)))))</f>
        <v> </v>
      </c>
      <c r="L6462" s="27"/>
    </row>
    <row r="6463" spans="1:12">
      <c r="A6463" s="20" t="s">
        <v>1189</v>
      </c>
      <c r="E6463" s="22">
        <f>IF(D6463="?OLD","!!!","")</f>
        <v/>
      </c>
      <c r="F6463" s="23" t="str">
        <f>IF(OR(E6463="",E6463="!!!"),"",IF(NOT(ISNA(VLOOKUP(E6463,E$1:E6462,1,FALSE()))),"OLD",IF(AND(E6463&lt;&gt;"",E6463&lt;&gt;"!!!"),"NEW","")))</f>
        <v> </v>
      </c>
      <c r="G6463" s="24" t="str">
        <f>IF(OR(E6463="",E6463="!!!"),"",IF(OR(J6463=0,AND(J6463=1,K6463=1),AND(J6463=1,I6463="SBJ"),AND(J6463=1,I6463=0)),"?IN_FOCUS",IF(J6463&lt;=2,"?ACTIVATED",IF(J6463&lt;&gt;"","?FAMILIAR",IF(F6463="NEW",IF(ISNA(VLOOKUP(E6463,#REF!,1,FALSE())),"?TYPE_IDENTIFIABLE","?REFERENTIAL"),"_")))))</f>
        <v> </v>
      </c>
      <c r="H6463" s="25" t="str">
        <f>IF(J6463&lt;&gt;1,"",IF(I6463="SBJ","CB","?"))</f>
        <v> </v>
      </c>
      <c r="I6463" s="26" t="str">
        <f>IF(OR(E6463="",E6463="!!!",F6463="NEW"),"",INDEX(B6462:B$2,-1+SUMPRODUCT(MAX(ROW(E6462:E$2)*(E6463=E6462:E$2)))))</f>
        <v> </v>
      </c>
      <c r="J6463" s="26" t="str">
        <f>IF(OR(E6463="",E6463="!!!",F6463="NEW"),"",COUNTBLANK(OFFSET(A$1,,,SUMPRODUCT(MAX(ROW(E$2:E6463)*(E6463=E$2:E6463)))))-COUNTBLANK(OFFSET(A$1,,,SUMPRODUCT(MAX(ROW(E$1:E6462)*(E2=E$1:E6462))))))</f>
        <v> </v>
      </c>
      <c r="K6463" s="26" t="str">
        <f>IF(OR(E6463="",E6463="!!!",F6463="NEW"),"",INDEX(J$1:J6462,SUMPRODUCT(MAX(ROW(E$1:E6462)*(E6463=E$1:E6462)))))</f>
        <v> </v>
      </c>
      <c r="L6463" s="27"/>
    </row>
    <row r="6464" spans="1:12">
      <c r="A6464" s="20" t="s">
        <v>2907</v>
      </c>
      <c r="B6464" s="21" t="s">
        <v>1178</v>
      </c>
      <c r="C6464" s="21" t="s">
        <v>1179</v>
      </c>
      <c r="D6464" s="21" t="s">
        <v>1180</v>
      </c>
      <c r="E6464" s="22">
        <f>IF(D6464="?OLD","!!!","")</f>
        <v/>
      </c>
      <c r="F6464" s="23" t="str">
        <f>IF(OR(E6464="",E6464="!!!"),"",IF(NOT(ISNA(VLOOKUP(E6464,E$1:E6463,1,FALSE()))),"OLD",IF(AND(E6464&lt;&gt;"",E6464&lt;&gt;"!!!"),"NEW","")))</f>
        <v> </v>
      </c>
      <c r="G6464" s="24" t="str">
        <f>IF(OR(E6464="",E6464="!!!"),"",IF(OR(J6464=0,AND(J6464=1,K6464=1),AND(J6464=1,I6464="SBJ"),AND(J6464=1,I6464=0)),"?IN_FOCUS",IF(J6464&lt;=2,"?ACTIVATED",IF(J6464&lt;&gt;"","?FAMILIAR",IF(F6464="NEW",IF(ISNA(VLOOKUP(E6464,#REF!,1,FALSE())),"?TYPE_IDENTIFIABLE","?REFERENTIAL"),"_")))))</f>
        <v> </v>
      </c>
      <c r="H6464" s="25" t="str">
        <f>IF(J6464&lt;&gt;1,"",IF(I6464="SBJ","CB","?"))</f>
        <v> </v>
      </c>
      <c r="I6464" s="26" t="str">
        <f>IF(OR(E6464="",E6464="!!!",F6464="NEW"),"",INDEX(B6463:B$2,-1+SUMPRODUCT(MAX(ROW(E6463:E$2)*(E6464=E6463:E$2)))))</f>
        <v> </v>
      </c>
      <c r="J6464" s="26" t="str">
        <f>IF(OR(E6464="",E6464="!!!",F6464="NEW"),"",COUNTBLANK(OFFSET(A$1,,,SUMPRODUCT(MAX(ROW(E$2:E6464)*(E6464=E$2:E6464)))))-COUNTBLANK(OFFSET(A$1,,,SUMPRODUCT(MAX(ROW(E$1:E6463)*(E2=E$1:E6463))))))</f>
        <v> </v>
      </c>
      <c r="K6464" s="26" t="str">
        <f>IF(OR(E6464="",E6464="!!!",F6464="NEW"),"",INDEX(J$1:J6463,SUMPRODUCT(MAX(ROW(E$1:E6463)*(E6464=E$1:E6463)))))</f>
        <v> </v>
      </c>
      <c r="L6464" s="27"/>
    </row>
    <row r="6465" spans="1:12">
      <c r="A6465" s="20" t="s">
        <v>1295</v>
      </c>
      <c r="E6465" s="22">
        <f>IF(D6465="?OLD","!!!","")</f>
        <v/>
      </c>
      <c r="F6465" s="23" t="str">
        <f>IF(OR(E6465="",E6465="!!!"),"",IF(NOT(ISNA(VLOOKUP(E6465,E$1:E6464,1,FALSE()))),"OLD",IF(AND(E6465&lt;&gt;"",E6465&lt;&gt;"!!!"),"NEW","")))</f>
        <v> </v>
      </c>
      <c r="G6465" s="24" t="str">
        <f>IF(OR(E6465="",E6465="!!!"),"",IF(OR(J6465=0,AND(J6465=1,K6465=1),AND(J6465=1,I6465="SBJ"),AND(J6465=1,I6465=0)),"?IN_FOCUS",IF(J6465&lt;=2,"?ACTIVATED",IF(J6465&lt;&gt;"","?FAMILIAR",IF(F6465="NEW",IF(ISNA(VLOOKUP(E6465,#REF!,1,FALSE())),"?TYPE_IDENTIFIABLE","?REFERENTIAL"),"_")))))</f>
        <v> </v>
      </c>
      <c r="H6465" s="25" t="str">
        <f>IF(J6465&lt;&gt;1,"",IF(I6465="SBJ","CB","?"))</f>
        <v> </v>
      </c>
      <c r="I6465" s="26" t="str">
        <f>IF(OR(E6465="",E6465="!!!",F6465="NEW"),"",INDEX(B6464:B$2,-1+SUMPRODUCT(MAX(ROW(E6464:E$2)*(E6465=E6464:E$2)))))</f>
        <v> </v>
      </c>
      <c r="J6465" s="26" t="str">
        <f>IF(OR(E6465="",E6465="!!!",F6465="NEW"),"",COUNTBLANK(OFFSET(A$1,,,SUMPRODUCT(MAX(ROW(E$2:E6465)*(E6465=E$2:E6465)))))-COUNTBLANK(OFFSET(A$1,,,SUMPRODUCT(MAX(ROW(E$1:E6464)*(E2=E$1:E6464))))))</f>
        <v> </v>
      </c>
      <c r="K6465" s="26" t="str">
        <f>IF(OR(E6465="",E6465="!!!",F6465="NEW"),"",INDEX(J$1:J6464,SUMPRODUCT(MAX(ROW(E$1:E6464)*(E6465=E$1:E6464)))))</f>
        <v> </v>
      </c>
      <c r="L6465" s="27"/>
    </row>
    <row r="6466" spans="1:12">
      <c r="A6466" s="20" t="s">
        <v>1290</v>
      </c>
      <c r="B6466" s="21" t="s">
        <v>1207</v>
      </c>
      <c r="C6466" s="21" t="s">
        <v>1208</v>
      </c>
      <c r="D6466" s="21" t="s">
        <v>1180</v>
      </c>
      <c r="E6466" s="22">
        <f>IF(D6466="?OLD","!!!","")</f>
        <v/>
      </c>
      <c r="F6466" s="23" t="str">
        <f>IF(OR(E6466="",E6466="!!!"),"",IF(NOT(ISNA(VLOOKUP(E6466,E$1:E6465,1,FALSE()))),"OLD",IF(AND(E6466&lt;&gt;"",E6466&lt;&gt;"!!!"),"NEW","")))</f>
        <v> </v>
      </c>
      <c r="G6466" s="24" t="str">
        <f>IF(OR(E6466="",E6466="!!!"),"",IF(OR(J6466=0,AND(J6466=1,K6466=1),AND(J6466=1,I6466="SBJ"),AND(J6466=1,I6466=0)),"?IN_FOCUS",IF(J6466&lt;=2,"?ACTIVATED",IF(J6466&lt;&gt;"","?FAMILIAR",IF(F6466="NEW",IF(ISNA(VLOOKUP(E6466,#REF!,1,FALSE())),"?TYPE_IDENTIFIABLE","?REFERENTIAL"),"_")))))</f>
        <v> </v>
      </c>
      <c r="H6466" s="25" t="str">
        <f>IF(J6466&lt;&gt;1,"",IF(I6466="SBJ","CB","?"))</f>
        <v> </v>
      </c>
      <c r="I6466" s="26" t="str">
        <f>IF(OR(E6466="",E6466="!!!",F6466="NEW"),"",INDEX(B6465:B$2,-1+SUMPRODUCT(MAX(ROW(E6465:E$2)*(E6466=E6465:E$2)))))</f>
        <v> </v>
      </c>
      <c r="J6466" s="26" t="str">
        <f>IF(OR(E6466="",E6466="!!!",F6466="NEW"),"",COUNTBLANK(OFFSET(A$1,,,SUMPRODUCT(MAX(ROW(E$2:E6466)*(E6466=E$2:E6466)))))-COUNTBLANK(OFFSET(A$1,,,SUMPRODUCT(MAX(ROW(E$1:E6465)*(E2=E$1:E6465))))))</f>
        <v> </v>
      </c>
      <c r="K6466" s="26" t="str">
        <f>IF(OR(E6466="",E6466="!!!",F6466="NEW"),"",INDEX(J$1:J6465,SUMPRODUCT(MAX(ROW(E$1:E6465)*(E6466=E$1:E6465)))))</f>
        <v> </v>
      </c>
      <c r="L6466" s="27"/>
    </row>
    <row r="6467" spans="1:12">
      <c r="A6467" s="20" t="s">
        <v>1706</v>
      </c>
      <c r="B6467" s="21" t="s">
        <v>1191</v>
      </c>
      <c r="C6467" s="21" t="s">
        <v>1210</v>
      </c>
      <c r="D6467" s="21" t="s">
        <v>1180</v>
      </c>
      <c r="E6467" s="22">
        <f>IF(D6467="?OLD","!!!","")</f>
        <v/>
      </c>
      <c r="F6467" s="23" t="str">
        <f>IF(OR(E6467="",E6467="!!!"),"",IF(NOT(ISNA(VLOOKUP(E6467,E$1:E6466,1,FALSE()))),"OLD",IF(AND(E6467&lt;&gt;"",E6467&lt;&gt;"!!!"),"NEW","")))</f>
        <v> </v>
      </c>
      <c r="G6467" s="24" t="str">
        <f>IF(OR(E6467="",E6467="!!!"),"",IF(OR(J6467=0,AND(J6467=1,K6467=1),AND(J6467=1,I6467="SBJ"),AND(J6467=1,I6467=0)),"?IN_FOCUS",IF(J6467&lt;=2,"?ACTIVATED",IF(J6467&lt;&gt;"","?FAMILIAR",IF(F6467="NEW",IF(ISNA(VLOOKUP(E6467,#REF!,1,FALSE())),"?TYPE_IDENTIFIABLE","?REFERENTIAL"),"_")))))</f>
        <v> </v>
      </c>
      <c r="H6467" s="25" t="str">
        <f>IF(J6467&lt;&gt;1,"",IF(I6467="SBJ","CB","?"))</f>
        <v> </v>
      </c>
      <c r="I6467" s="26" t="str">
        <f>IF(OR(E6467="",E6467="!!!",F6467="NEW"),"",INDEX(B6466:B$2,-1+SUMPRODUCT(MAX(ROW(E6466:E$2)*(E6467=E6466:E$2)))))</f>
        <v> </v>
      </c>
      <c r="J6467" s="26" t="str">
        <f>IF(OR(E6467="",E6467="!!!",F6467="NEW"),"",COUNTBLANK(OFFSET(A$1,,,SUMPRODUCT(MAX(ROW(E$2:E6467)*(E6467=E$2:E6467)))))-COUNTBLANK(OFFSET(A$1,,,SUMPRODUCT(MAX(ROW(E$1:E6466)*(E2=E$1:E6466))))))</f>
        <v> </v>
      </c>
      <c r="K6467" s="26" t="str">
        <f>IF(OR(E6467="",E6467="!!!",F6467="NEW"),"",INDEX(J$1:J6466,SUMPRODUCT(MAX(ROW(E$1:E6466)*(E6467=E$1:E6466)))))</f>
        <v> </v>
      </c>
      <c r="L6467" s="27"/>
    </row>
    <row r="6468" spans="1:12">
      <c r="A6468" s="20" t="s">
        <v>1185</v>
      </c>
      <c r="E6468" s="22">
        <f>IF(D6468="?OLD","!!!","")</f>
        <v/>
      </c>
      <c r="F6468" s="23" t="str">
        <f>IF(OR(E6468="",E6468="!!!"),"",IF(NOT(ISNA(VLOOKUP(E6468,E$1:E6467,1,FALSE()))),"OLD",IF(AND(E6468&lt;&gt;"",E6468&lt;&gt;"!!!"),"NEW","")))</f>
        <v> </v>
      </c>
      <c r="G6468" s="24" t="str">
        <f>IF(OR(E6468="",E6468="!!!"),"",IF(OR(J6468=0,AND(J6468=1,K6468=1),AND(J6468=1,I6468="SBJ"),AND(J6468=1,I6468=0)),"?IN_FOCUS",IF(J6468&lt;=2,"?ACTIVATED",IF(J6468&lt;&gt;"","?FAMILIAR",IF(F6468="NEW",IF(ISNA(VLOOKUP(E6468,#REF!,1,FALSE())),"?TYPE_IDENTIFIABLE","?REFERENTIAL"),"_")))))</f>
        <v> </v>
      </c>
      <c r="H6468" s="25" t="str">
        <f>IF(J6468&lt;&gt;1,"",IF(I6468="SBJ","CB","?"))</f>
        <v> </v>
      </c>
      <c r="I6468" s="26" t="str">
        <f>IF(OR(E6468="",E6468="!!!",F6468="NEW"),"",INDEX(B6467:B$2,-1+SUMPRODUCT(MAX(ROW(E6467:E$2)*(E6468=E6467:E$2)))))</f>
        <v> </v>
      </c>
      <c r="J6468" s="26" t="str">
        <f>IF(OR(E6468="",E6468="!!!",F6468="NEW"),"",COUNTBLANK(OFFSET(A$1,,,SUMPRODUCT(MAX(ROW(E$2:E6468)*(E6468=E$2:E6468)))))-COUNTBLANK(OFFSET(A$1,,,SUMPRODUCT(MAX(ROW(E$1:E6467)*(E2=E$1:E6467))))))</f>
        <v> </v>
      </c>
      <c r="K6468" s="26" t="str">
        <f>IF(OR(E6468="",E6468="!!!",F6468="NEW"),"",INDEX(J$1:J6467,SUMPRODUCT(MAX(ROW(E$1:E6467)*(E6468=E$1:E6467)))))</f>
        <v> </v>
      </c>
      <c r="L6468" s="27"/>
    </row>
    <row r="6469" spans="1:12">
      <c r="A6469" s="20" t="s">
        <v>1626</v>
      </c>
      <c r="E6469" s="22">
        <f>IF(D6469="?OLD","!!!","")</f>
        <v/>
      </c>
      <c r="F6469" s="23" t="str">
        <f>IF(OR(E6469="",E6469="!!!"),"",IF(NOT(ISNA(VLOOKUP(E6469,E$1:E6468,1,FALSE()))),"OLD",IF(AND(E6469&lt;&gt;"",E6469&lt;&gt;"!!!"),"NEW","")))</f>
        <v> </v>
      </c>
      <c r="G6469" s="24" t="str">
        <f>IF(OR(E6469="",E6469="!!!"),"",IF(OR(J6469=0,AND(J6469=1,K6469=1),AND(J6469=1,I6469="SBJ"),AND(J6469=1,I6469=0)),"?IN_FOCUS",IF(J6469&lt;=2,"?ACTIVATED",IF(J6469&lt;&gt;"","?FAMILIAR",IF(F6469="NEW",IF(ISNA(VLOOKUP(E6469,#REF!,1,FALSE())),"?TYPE_IDENTIFIABLE","?REFERENTIAL"),"_")))))</f>
        <v> </v>
      </c>
      <c r="H6469" s="25" t="str">
        <f>IF(J6469&lt;&gt;1,"",IF(I6469="SBJ","CB","?"))</f>
        <v> </v>
      </c>
      <c r="I6469" s="26" t="str">
        <f>IF(OR(E6469="",E6469="!!!",F6469="NEW"),"",INDEX(B6468:B$2,-1+SUMPRODUCT(MAX(ROW(E6468:E$2)*(E6469=E6468:E$2)))))</f>
        <v> </v>
      </c>
      <c r="J6469" s="26" t="str">
        <f>IF(OR(E6469="",E6469="!!!",F6469="NEW"),"",COUNTBLANK(OFFSET(A$1,,,SUMPRODUCT(MAX(ROW(E$2:E6469)*(E6469=E$2:E6469)))))-COUNTBLANK(OFFSET(A$1,,,SUMPRODUCT(MAX(ROW(E$1:E6468)*(E2=E$1:E6468))))))</f>
        <v> </v>
      </c>
      <c r="K6469" s="26" t="str">
        <f>IF(OR(E6469="",E6469="!!!",F6469="NEW"),"",INDEX(J$1:J6468,SUMPRODUCT(MAX(ROW(E$1:E6468)*(E6469=E$1:E6468)))))</f>
        <v> </v>
      </c>
      <c r="L6469" s="27"/>
    </row>
    <row r="6470" spans="1:12">
      <c r="A6470" s="20" t="s">
        <v>57</v>
      </c>
      <c r="B6470" s="21" t="s">
        <v>1240</v>
      </c>
      <c r="C6470" s="21" t="s">
        <v>1195</v>
      </c>
      <c r="D6470" s="21" t="s">
        <v>1180</v>
      </c>
      <c r="E6470" s="22">
        <f>IF(D6470="?OLD","!!!","")</f>
        <v/>
      </c>
      <c r="F6470" s="23" t="str">
        <f>IF(OR(E6470="",E6470="!!!"),"",IF(NOT(ISNA(VLOOKUP(E6470,E$1:E6469,1,FALSE()))),"OLD",IF(AND(E6470&lt;&gt;"",E6470&lt;&gt;"!!!"),"NEW","")))</f>
        <v> </v>
      </c>
      <c r="G6470" s="24" t="str">
        <f>IF(OR(E6470="",E6470="!!!"),"",IF(OR(J6470=0,AND(J6470=1,K6470=1),AND(J6470=1,I6470="SBJ"),AND(J6470=1,I6470=0)),"?IN_FOCUS",IF(J6470&lt;=2,"?ACTIVATED",IF(J6470&lt;&gt;"","?FAMILIAR",IF(F6470="NEW",IF(ISNA(VLOOKUP(E6470,#REF!,1,FALSE())),"?TYPE_IDENTIFIABLE","?REFERENTIAL"),"_")))))</f>
        <v> </v>
      </c>
      <c r="H6470" s="25" t="str">
        <f>IF(J6470&lt;&gt;1,"",IF(I6470="SBJ","CB","?"))</f>
        <v> </v>
      </c>
      <c r="I6470" s="26" t="str">
        <f>IF(OR(E6470="",E6470="!!!",F6470="NEW"),"",INDEX(B6469:B$2,-1+SUMPRODUCT(MAX(ROW(E6469:E$2)*(E6470=E6469:E$2)))))</f>
        <v> </v>
      </c>
      <c r="J6470" s="26" t="str">
        <f>IF(OR(E6470="",E6470="!!!",F6470="NEW"),"",COUNTBLANK(OFFSET(A$1,,,SUMPRODUCT(MAX(ROW(E$2:E6470)*(E6470=E$2:E6470)))))-COUNTBLANK(OFFSET(A$1,,,SUMPRODUCT(MAX(ROW(E$1:E6469)*(E2=E$1:E6469))))))</f>
        <v> </v>
      </c>
      <c r="K6470" s="26" t="str">
        <f>IF(OR(E6470="",E6470="!!!",F6470="NEW"),"",INDEX(J$1:J6469,SUMPRODUCT(MAX(ROW(E$1:E6469)*(E6470=E$1:E6469)))))</f>
        <v> </v>
      </c>
      <c r="L6470" s="27"/>
    </row>
    <row r="6471" spans="1:12">
      <c r="A6471" s="20" t="s">
        <v>2534</v>
      </c>
      <c r="E6471" s="22">
        <f>IF(D6471="?OLD","!!!","")</f>
        <v/>
      </c>
      <c r="F6471" s="23" t="str">
        <f>IF(OR(E6471="",E6471="!!!"),"",IF(NOT(ISNA(VLOOKUP(E6471,E$1:E6470,1,FALSE()))),"OLD",IF(AND(E6471&lt;&gt;"",E6471&lt;&gt;"!!!"),"NEW","")))</f>
        <v> </v>
      </c>
      <c r="G6471" s="24" t="str">
        <f>IF(OR(E6471="",E6471="!!!"),"",IF(OR(J6471=0,AND(J6471=1,K6471=1),AND(J6471=1,I6471="SBJ"),AND(J6471=1,I6471=0)),"?IN_FOCUS",IF(J6471&lt;=2,"?ACTIVATED",IF(J6471&lt;&gt;"","?FAMILIAR",IF(F6471="NEW",IF(ISNA(VLOOKUP(E6471,#REF!,1,FALSE())),"?TYPE_IDENTIFIABLE","?REFERENTIAL"),"_")))))</f>
        <v> </v>
      </c>
      <c r="H6471" s="25" t="str">
        <f>IF(J6471&lt;&gt;1,"",IF(I6471="SBJ","CB","?"))</f>
        <v> </v>
      </c>
      <c r="I6471" s="26" t="str">
        <f>IF(OR(E6471="",E6471="!!!",F6471="NEW"),"",INDEX(B6470:B$2,-1+SUMPRODUCT(MAX(ROW(E6470:E$2)*(E6471=E6470:E$2)))))</f>
        <v> </v>
      </c>
      <c r="J6471" s="26" t="str">
        <f>IF(OR(E6471="",E6471="!!!",F6471="NEW"),"",COUNTBLANK(OFFSET(A$1,,,SUMPRODUCT(MAX(ROW(E$2:E6471)*(E6471=E$2:E6471)))))-COUNTBLANK(OFFSET(A$1,,,SUMPRODUCT(MAX(ROW(E$1:E6470)*(E2=E$1:E6470))))))</f>
        <v> </v>
      </c>
      <c r="K6471" s="26" t="str">
        <f>IF(OR(E6471="",E6471="!!!",F6471="NEW"),"",INDEX(J$1:J6470,SUMPRODUCT(MAX(ROW(E$1:E6470)*(E6471=E$1:E6470)))))</f>
        <v> </v>
      </c>
      <c r="L6471" s="27"/>
    </row>
    <row r="6472" spans="1:12">
      <c r="A6472" s="20" t="s">
        <v>2908</v>
      </c>
      <c r="E6472" s="22">
        <f>IF(D6472="?OLD","!!!","")</f>
        <v/>
      </c>
      <c r="F6472" s="23" t="str">
        <f>IF(OR(E6472="",E6472="!!!"),"",IF(NOT(ISNA(VLOOKUP(E6472,E$1:E6471,1,FALSE()))),"OLD",IF(AND(E6472&lt;&gt;"",E6472&lt;&gt;"!!!"),"NEW","")))</f>
        <v> </v>
      </c>
      <c r="G6472" s="24" t="str">
        <f>IF(OR(E6472="",E6472="!!!"),"",IF(OR(J6472=0,AND(J6472=1,K6472=1),AND(J6472=1,I6472="SBJ"),AND(J6472=1,I6472=0)),"?IN_FOCUS",IF(J6472&lt;=2,"?ACTIVATED",IF(J6472&lt;&gt;"","?FAMILIAR",IF(F6472="NEW",IF(ISNA(VLOOKUP(E6472,#REF!,1,FALSE())),"?TYPE_IDENTIFIABLE","?REFERENTIAL"),"_")))))</f>
        <v> </v>
      </c>
      <c r="H6472" s="25" t="str">
        <f>IF(J6472&lt;&gt;1,"",IF(I6472="SBJ","CB","?"))</f>
        <v> </v>
      </c>
      <c r="I6472" s="26" t="str">
        <f>IF(OR(E6472="",E6472="!!!",F6472="NEW"),"",INDEX(B6471:B$2,-1+SUMPRODUCT(MAX(ROW(E6471:E$2)*(E6472=E6471:E$2)))))</f>
        <v> </v>
      </c>
      <c r="J6472" s="26" t="str">
        <f>IF(OR(E6472="",E6472="!!!",F6472="NEW"),"",COUNTBLANK(OFFSET(A$1,,,SUMPRODUCT(MAX(ROW(E$2:E6472)*(E6472=E$2:E6472)))))-COUNTBLANK(OFFSET(A$1,,,SUMPRODUCT(MAX(ROW(E$1:E6471)*(E2=E$1:E6471))))))</f>
        <v> </v>
      </c>
      <c r="K6472" s="26" t="str">
        <f>IF(OR(E6472="",E6472="!!!",F6472="NEW"),"",INDEX(J$1:J6471,SUMPRODUCT(MAX(ROW(E$1:E6471)*(E6472=E$1:E6471)))))</f>
        <v> </v>
      </c>
      <c r="L6472" s="27"/>
    </row>
    <row r="6473" spans="1:12">
      <c r="A6473" s="20" t="s">
        <v>1224</v>
      </c>
      <c r="E6473" s="22">
        <f>IF(D6473="?OLD","!!!","")</f>
        <v/>
      </c>
      <c r="F6473" s="23" t="str">
        <f>IF(OR(E6473="",E6473="!!!"),"",IF(NOT(ISNA(VLOOKUP(E6473,E$1:E6472,1,FALSE()))),"OLD",IF(AND(E6473&lt;&gt;"",E6473&lt;&gt;"!!!"),"NEW","")))</f>
        <v> </v>
      </c>
      <c r="G6473" s="24" t="str">
        <f>IF(OR(E6473="",E6473="!!!"),"",IF(OR(J6473=0,AND(J6473=1,K6473=1),AND(J6473=1,I6473="SBJ"),AND(J6473=1,I6473=0)),"?IN_FOCUS",IF(J6473&lt;=2,"?ACTIVATED",IF(J6473&lt;&gt;"","?FAMILIAR",IF(F6473="NEW",IF(ISNA(VLOOKUP(E6473,#REF!,1,FALSE())),"?TYPE_IDENTIFIABLE","?REFERENTIAL"),"_")))))</f>
        <v> </v>
      </c>
      <c r="H6473" s="25" t="str">
        <f>IF(J6473&lt;&gt;1,"",IF(I6473="SBJ","CB","?"))</f>
        <v> </v>
      </c>
      <c r="I6473" s="26" t="str">
        <f>IF(OR(E6473="",E6473="!!!",F6473="NEW"),"",INDEX(B6472:B$2,-1+SUMPRODUCT(MAX(ROW(E6472:E$2)*(E6473=E6472:E$2)))))</f>
        <v> </v>
      </c>
      <c r="J6473" s="26" t="str">
        <f>IF(OR(E6473="",E6473="!!!",F6473="NEW"),"",COUNTBLANK(OFFSET(A$1,,,SUMPRODUCT(MAX(ROW(E$2:E6473)*(E6473=E$2:E6473)))))-COUNTBLANK(OFFSET(A$1,,,SUMPRODUCT(MAX(ROW(E$1:E6472)*(E2=E$1:E6472))))))</f>
        <v> </v>
      </c>
      <c r="K6473" s="26" t="str">
        <f>IF(OR(E6473="",E6473="!!!",F6473="NEW"),"",INDEX(J$1:J6472,SUMPRODUCT(MAX(ROW(E$1:E6472)*(E6473=E$1:E6472)))))</f>
        <v> </v>
      </c>
      <c r="L6473" s="27"/>
    </row>
    <row r="6474" spans="1:12">
      <c r="A6474" s="20" t="s">
        <v>2909</v>
      </c>
      <c r="B6474" s="21" t="s">
        <v>1191</v>
      </c>
      <c r="C6474" s="21" t="s">
        <v>1179</v>
      </c>
      <c r="D6474" s="21" t="s">
        <v>1180</v>
      </c>
      <c r="E6474" s="22">
        <f>IF(D6474="?OLD","!!!","")</f>
        <v/>
      </c>
      <c r="F6474" s="23" t="str">
        <f>IF(OR(E6474="",E6474="!!!"),"",IF(NOT(ISNA(VLOOKUP(E6474,E$1:E6473,1,FALSE()))),"OLD",IF(AND(E6474&lt;&gt;"",E6474&lt;&gt;"!!!"),"NEW","")))</f>
        <v> </v>
      </c>
      <c r="G6474" s="24" t="str">
        <f>IF(OR(E6474="",E6474="!!!"),"",IF(OR(J6474=0,AND(J6474=1,K6474=1),AND(J6474=1,I6474="SBJ"),AND(J6474=1,I6474=0)),"?IN_FOCUS",IF(J6474&lt;=2,"?ACTIVATED",IF(J6474&lt;&gt;"","?FAMILIAR",IF(F6474="NEW",IF(ISNA(VLOOKUP(E6474,#REF!,1,FALSE())),"?TYPE_IDENTIFIABLE","?REFERENTIAL"),"_")))))</f>
        <v> </v>
      </c>
      <c r="H6474" s="25" t="str">
        <f>IF(J6474&lt;&gt;1,"",IF(I6474="SBJ","CB","?"))</f>
        <v> </v>
      </c>
      <c r="I6474" s="26" t="str">
        <f>IF(OR(E6474="",E6474="!!!",F6474="NEW"),"",INDEX(B6473:B$2,-1+SUMPRODUCT(MAX(ROW(E6473:E$2)*(E6474=E6473:E$2)))))</f>
        <v> </v>
      </c>
      <c r="J6474" s="26" t="str">
        <f>IF(OR(E6474="",E6474="!!!",F6474="NEW"),"",COUNTBLANK(OFFSET(A$1,,,SUMPRODUCT(MAX(ROW(E$2:E6474)*(E6474=E$2:E6474)))))-COUNTBLANK(OFFSET(A$1,,,SUMPRODUCT(MAX(ROW(E$1:E6473)*(E2=E$1:E6473))))))</f>
        <v> </v>
      </c>
      <c r="K6474" s="26" t="str">
        <f>IF(OR(E6474="",E6474="!!!",F6474="NEW"),"",INDEX(J$1:J6473,SUMPRODUCT(MAX(ROW(E$1:E6473)*(E6474=E$1:E6473)))))</f>
        <v> </v>
      </c>
      <c r="L6474" s="27"/>
    </row>
    <row r="6475" spans="1:12">
      <c r="A6475" s="20" t="s">
        <v>1185</v>
      </c>
      <c r="E6475" s="22">
        <f>IF(D6475="?OLD","!!!","")</f>
        <v/>
      </c>
      <c r="F6475" s="23" t="str">
        <f>IF(OR(E6475="",E6475="!!!"),"",IF(NOT(ISNA(VLOOKUP(E6475,E$1:E6474,1,FALSE()))),"OLD",IF(AND(E6475&lt;&gt;"",E6475&lt;&gt;"!!!"),"NEW","")))</f>
        <v> </v>
      </c>
      <c r="G6475" s="24" t="str">
        <f>IF(OR(E6475="",E6475="!!!"),"",IF(OR(J6475=0,AND(J6475=1,K6475=1),AND(J6475=1,I6475="SBJ"),AND(J6475=1,I6475=0)),"?IN_FOCUS",IF(J6475&lt;=2,"?ACTIVATED",IF(J6475&lt;&gt;"","?FAMILIAR",IF(F6475="NEW",IF(ISNA(VLOOKUP(E6475,#REF!,1,FALSE())),"?TYPE_IDENTIFIABLE","?REFERENTIAL"),"_")))))</f>
        <v> </v>
      </c>
      <c r="H6475" s="25" t="str">
        <f>IF(J6475&lt;&gt;1,"",IF(I6475="SBJ","CB","?"))</f>
        <v> </v>
      </c>
      <c r="I6475" s="26" t="str">
        <f>IF(OR(E6475="",E6475="!!!",F6475="NEW"),"",INDEX(B6474:B$2,-1+SUMPRODUCT(MAX(ROW(E6474:E$2)*(E6475=E6474:E$2)))))</f>
        <v> </v>
      </c>
      <c r="J6475" s="26" t="str">
        <f>IF(OR(E6475="",E6475="!!!",F6475="NEW"),"",COUNTBLANK(OFFSET(A$1,,,SUMPRODUCT(MAX(ROW(E$2:E6475)*(E6475=E$2:E6475)))))-COUNTBLANK(OFFSET(A$1,,,SUMPRODUCT(MAX(ROW(E$1:E6474)*(E2=E$1:E6474))))))</f>
        <v> </v>
      </c>
      <c r="K6475" s="26" t="str">
        <f>IF(OR(E6475="",E6475="!!!",F6475="NEW"),"",INDEX(J$1:J6474,SUMPRODUCT(MAX(ROW(E$1:E6474)*(E6475=E$1:E6474)))))</f>
        <v> </v>
      </c>
      <c r="L6475" s="27"/>
    </row>
    <row r="6476" spans="1:12">
      <c r="A6476" s="20" t="s">
        <v>1314</v>
      </c>
      <c r="E6476" s="22">
        <f>IF(D6476="?OLD","!!!","")</f>
        <v/>
      </c>
      <c r="F6476" s="23" t="str">
        <f>IF(OR(E6476="",E6476="!!!"),"",IF(NOT(ISNA(VLOOKUP(E6476,E$1:E6475,1,FALSE()))),"OLD",IF(AND(E6476&lt;&gt;"",E6476&lt;&gt;"!!!"),"NEW","")))</f>
        <v> </v>
      </c>
      <c r="G6476" s="24" t="str">
        <f>IF(OR(E6476="",E6476="!!!"),"",IF(OR(J6476=0,AND(J6476=1,K6476=1),AND(J6476=1,I6476="SBJ"),AND(J6476=1,I6476=0)),"?IN_FOCUS",IF(J6476&lt;=2,"?ACTIVATED",IF(J6476&lt;&gt;"","?FAMILIAR",IF(F6476="NEW",IF(ISNA(VLOOKUP(E6476,#REF!,1,FALSE())),"?TYPE_IDENTIFIABLE","?REFERENTIAL"),"_")))))</f>
        <v> </v>
      </c>
      <c r="H6476" s="25" t="str">
        <f>IF(J6476&lt;&gt;1,"",IF(I6476="SBJ","CB","?"))</f>
        <v> </v>
      </c>
      <c r="I6476" s="26" t="str">
        <f>IF(OR(E6476="",E6476="!!!",F6476="NEW"),"",INDEX(B6475:B$2,-1+SUMPRODUCT(MAX(ROW(E6475:E$2)*(E6476=E6475:E$2)))))</f>
        <v> </v>
      </c>
      <c r="J6476" s="26" t="str">
        <f>IF(OR(E6476="",E6476="!!!",F6476="NEW"),"",COUNTBLANK(OFFSET(A$1,,,SUMPRODUCT(MAX(ROW(E$2:E6476)*(E6476=E$2:E6476)))))-COUNTBLANK(OFFSET(A$1,,,SUMPRODUCT(MAX(ROW(E$1:E6475)*(E2=E$1:E6475))))))</f>
        <v> </v>
      </c>
      <c r="K6476" s="26" t="str">
        <f>IF(OR(E6476="",E6476="!!!",F6476="NEW"),"",INDEX(J$1:J6475,SUMPRODUCT(MAX(ROW(E$1:E6475)*(E6476=E$1:E6475)))))</f>
        <v> </v>
      </c>
      <c r="L6476" s="27"/>
    </row>
    <row r="6477" spans="1:12">
      <c r="A6477" s="20" t="s">
        <v>2162</v>
      </c>
      <c r="E6477" s="22">
        <f>IF(D6477="?OLD","!!!","")</f>
        <v/>
      </c>
      <c r="F6477" s="23" t="str">
        <f>IF(OR(E6477="",E6477="!!!"),"",IF(NOT(ISNA(VLOOKUP(E6477,E$1:E6476,1,FALSE()))),"OLD",IF(AND(E6477&lt;&gt;"",E6477&lt;&gt;"!!!"),"NEW","")))</f>
        <v> </v>
      </c>
      <c r="G6477" s="24" t="str">
        <f>IF(OR(E6477="",E6477="!!!"),"",IF(OR(J6477=0,AND(J6477=1,K6477=1),AND(J6477=1,I6477="SBJ"),AND(J6477=1,I6477=0)),"?IN_FOCUS",IF(J6477&lt;=2,"?ACTIVATED",IF(J6477&lt;&gt;"","?FAMILIAR",IF(F6477="NEW",IF(ISNA(VLOOKUP(E6477,#REF!,1,FALSE())),"?TYPE_IDENTIFIABLE","?REFERENTIAL"),"_")))))</f>
        <v> </v>
      </c>
      <c r="H6477" s="25" t="str">
        <f>IF(J6477&lt;&gt;1,"",IF(I6477="SBJ","CB","?"))</f>
        <v> </v>
      </c>
      <c r="I6477" s="26" t="str">
        <f>IF(OR(E6477="",E6477="!!!",F6477="NEW"),"",INDEX(B6476:B$2,-1+SUMPRODUCT(MAX(ROW(E6476:E$2)*(E6477=E6476:E$2)))))</f>
        <v> </v>
      </c>
      <c r="J6477" s="26" t="str">
        <f>IF(OR(E6477="",E6477="!!!",F6477="NEW"),"",COUNTBLANK(OFFSET(A$1,,,SUMPRODUCT(MAX(ROW(E$2:E6477)*(E6477=E$2:E6477)))))-COUNTBLANK(OFFSET(A$1,,,SUMPRODUCT(MAX(ROW(E$1:E6476)*(E2=E$1:E6476))))))</f>
        <v> </v>
      </c>
      <c r="K6477" s="26" t="str">
        <f>IF(OR(E6477="",E6477="!!!",F6477="NEW"),"",INDEX(J$1:J6476,SUMPRODUCT(MAX(ROW(E$1:E6476)*(E6477=E$1:E6476)))))</f>
        <v> </v>
      </c>
      <c r="L6477" s="27"/>
    </row>
    <row r="6478" spans="1:12">
      <c r="A6478" s="20" t="s">
        <v>1186</v>
      </c>
      <c r="E6478" s="22">
        <f>IF(D6478="?OLD","!!!","")</f>
        <v/>
      </c>
      <c r="F6478" s="23" t="str">
        <f>IF(OR(E6478="",E6478="!!!"),"",IF(NOT(ISNA(VLOOKUP(E6478,E$1:E6477,1,FALSE()))),"OLD",IF(AND(E6478&lt;&gt;"",E6478&lt;&gt;"!!!"),"NEW","")))</f>
        <v> </v>
      </c>
      <c r="G6478" s="24" t="str">
        <f>IF(OR(E6478="",E6478="!!!"),"",IF(OR(J6478=0,AND(J6478=1,K6478=1),AND(J6478=1,I6478="SBJ"),AND(J6478=1,I6478=0)),"?IN_FOCUS",IF(J6478&lt;=2,"?ACTIVATED",IF(J6478&lt;&gt;"","?FAMILIAR",IF(F6478="NEW",IF(ISNA(VLOOKUP(E6478,#REF!,1,FALSE())),"?TYPE_IDENTIFIABLE","?REFERENTIAL"),"_")))))</f>
        <v> </v>
      </c>
      <c r="H6478" s="25" t="str">
        <f>IF(J6478&lt;&gt;1,"",IF(I6478="SBJ","CB","?"))</f>
        <v> </v>
      </c>
      <c r="I6478" s="26" t="str">
        <f>IF(OR(E6478="",E6478="!!!",F6478="NEW"),"",INDEX(B6477:B$2,-1+SUMPRODUCT(MAX(ROW(E6477:E$2)*(E6478=E6477:E$2)))))</f>
        <v> </v>
      </c>
      <c r="J6478" s="26" t="str">
        <f>IF(OR(E6478="",E6478="!!!",F6478="NEW"),"",COUNTBLANK(OFFSET(A$1,,,SUMPRODUCT(MAX(ROW(E$2:E6478)*(E6478=E$2:E6478)))))-COUNTBLANK(OFFSET(A$1,,,SUMPRODUCT(MAX(ROW(E$1:E6477)*(E2=E$1:E6477))))))</f>
        <v> </v>
      </c>
      <c r="K6478" s="26" t="str">
        <f>IF(OR(E6478="",E6478="!!!",F6478="NEW"),"",INDEX(J$1:J6477,SUMPRODUCT(MAX(ROW(E$1:E6477)*(E6478=E$1:E6477)))))</f>
        <v> </v>
      </c>
      <c r="L6478" s="27"/>
    </row>
    <row r="6479" spans="1:12">
      <c r="A6479" s="20" t="s">
        <v>1596</v>
      </c>
      <c r="B6479" s="21" t="s">
        <v>1178</v>
      </c>
      <c r="C6479" s="21" t="s">
        <v>1179</v>
      </c>
      <c r="D6479" s="21" t="s">
        <v>1180</v>
      </c>
      <c r="E6479" s="22">
        <f>IF(D6479="?OLD","!!!","")</f>
        <v/>
      </c>
      <c r="F6479" s="23" t="str">
        <f>IF(OR(E6479="",E6479="!!!"),"",IF(NOT(ISNA(VLOOKUP(E6479,E$1:E6478,1,FALSE()))),"OLD",IF(AND(E6479&lt;&gt;"",E6479&lt;&gt;"!!!"),"NEW","")))</f>
        <v> </v>
      </c>
      <c r="G6479" s="24" t="str">
        <f>IF(OR(E6479="",E6479="!!!"),"",IF(OR(J6479=0,AND(J6479=1,K6479=1),AND(J6479=1,I6479="SBJ"),AND(J6479=1,I6479=0)),"?IN_FOCUS",IF(J6479&lt;=2,"?ACTIVATED",IF(J6479&lt;&gt;"","?FAMILIAR",IF(F6479="NEW",IF(ISNA(VLOOKUP(E6479,#REF!,1,FALSE())),"?TYPE_IDENTIFIABLE","?REFERENTIAL"),"_")))))</f>
        <v> </v>
      </c>
      <c r="H6479" s="25" t="str">
        <f>IF(J6479&lt;&gt;1,"",IF(I6479="SBJ","CB","?"))</f>
        <v> </v>
      </c>
      <c r="I6479" s="26" t="str">
        <f>IF(OR(E6479="",E6479="!!!",F6479="NEW"),"",INDEX(B6478:B$2,-1+SUMPRODUCT(MAX(ROW(E6478:E$2)*(E6479=E6478:E$2)))))</f>
        <v> </v>
      </c>
      <c r="J6479" s="26" t="str">
        <f>IF(OR(E6479="",E6479="!!!",F6479="NEW"),"",COUNTBLANK(OFFSET(A$1,,,SUMPRODUCT(MAX(ROW(E$2:E6479)*(E6479=E$2:E6479)))))-COUNTBLANK(OFFSET(A$1,,,SUMPRODUCT(MAX(ROW(E$1:E6478)*(E2=E$1:E6478))))))</f>
        <v> </v>
      </c>
      <c r="K6479" s="26" t="str">
        <f>IF(OR(E6479="",E6479="!!!",F6479="NEW"),"",INDEX(J$1:J6478,SUMPRODUCT(MAX(ROW(E$1:E6478)*(E6479=E$1:E6478)))))</f>
        <v> </v>
      </c>
      <c r="L6479" s="27"/>
    </row>
    <row r="6480" spans="1:12">
      <c r="A6480" s="20" t="s">
        <v>1185</v>
      </c>
      <c r="E6480" s="22">
        <f>IF(D6480="?OLD","!!!","")</f>
        <v/>
      </c>
      <c r="F6480" s="23" t="str">
        <f>IF(OR(E6480="",E6480="!!!"),"",IF(NOT(ISNA(VLOOKUP(E6480,E$1:E6479,1,FALSE()))),"OLD",IF(AND(E6480&lt;&gt;"",E6480&lt;&gt;"!!!"),"NEW","")))</f>
        <v> </v>
      </c>
      <c r="G6480" s="24" t="str">
        <f>IF(OR(E6480="",E6480="!!!"),"",IF(OR(J6480=0,AND(J6480=1,K6480=1),AND(J6480=1,I6480="SBJ"),AND(J6480=1,I6480=0)),"?IN_FOCUS",IF(J6480&lt;=2,"?ACTIVATED",IF(J6480&lt;&gt;"","?FAMILIAR",IF(F6480="NEW",IF(ISNA(VLOOKUP(E6480,#REF!,1,FALSE())),"?TYPE_IDENTIFIABLE","?REFERENTIAL"),"_")))))</f>
        <v> </v>
      </c>
      <c r="H6480" s="25" t="str">
        <f>IF(J6480&lt;&gt;1,"",IF(I6480="SBJ","CB","?"))</f>
        <v> </v>
      </c>
      <c r="I6480" s="26" t="str">
        <f>IF(OR(E6480="",E6480="!!!",F6480="NEW"),"",INDEX(B6479:B$2,-1+SUMPRODUCT(MAX(ROW(E6479:E$2)*(E6480=E6479:E$2)))))</f>
        <v> </v>
      </c>
      <c r="J6480" s="26" t="str">
        <f>IF(OR(E6480="",E6480="!!!",F6480="NEW"),"",COUNTBLANK(OFFSET(A$1,,,SUMPRODUCT(MAX(ROW(E$2:E6480)*(E6480=E$2:E6480)))))-COUNTBLANK(OFFSET(A$1,,,SUMPRODUCT(MAX(ROW(E$1:E6479)*(E2=E$1:E6479))))))</f>
        <v> </v>
      </c>
      <c r="K6480" s="26" t="str">
        <f>IF(OR(E6480="",E6480="!!!",F6480="NEW"),"",INDEX(J$1:J6479,SUMPRODUCT(MAX(ROW(E$1:E6479)*(E6480=E$1:E6479)))))</f>
        <v> </v>
      </c>
      <c r="L6480" s="27"/>
    </row>
    <row r="6481" spans="1:12">
      <c r="A6481" s="20" t="s">
        <v>1471</v>
      </c>
      <c r="E6481" s="22">
        <f>IF(D6481="?OLD","!!!","")</f>
        <v/>
      </c>
      <c r="F6481" s="23" t="str">
        <f>IF(OR(E6481="",E6481="!!!"),"",IF(NOT(ISNA(VLOOKUP(E6481,E$1:E6480,1,FALSE()))),"OLD",IF(AND(E6481&lt;&gt;"",E6481&lt;&gt;"!!!"),"NEW","")))</f>
        <v> </v>
      </c>
      <c r="G6481" s="24" t="str">
        <f>IF(OR(E6481="",E6481="!!!"),"",IF(OR(J6481=0,AND(J6481=1,K6481=1),AND(J6481=1,I6481="SBJ"),AND(J6481=1,I6481=0)),"?IN_FOCUS",IF(J6481&lt;=2,"?ACTIVATED",IF(J6481&lt;&gt;"","?FAMILIAR",IF(F6481="NEW",IF(ISNA(VLOOKUP(E6481,#REF!,1,FALSE())),"?TYPE_IDENTIFIABLE","?REFERENTIAL"),"_")))))</f>
        <v> </v>
      </c>
      <c r="H6481" s="25" t="str">
        <f>IF(J6481&lt;&gt;1,"",IF(I6481="SBJ","CB","?"))</f>
        <v> </v>
      </c>
      <c r="I6481" s="26" t="str">
        <f>IF(OR(E6481="",E6481="!!!",F6481="NEW"),"",INDEX(B6480:B$2,-1+SUMPRODUCT(MAX(ROW(E6480:E$2)*(E6481=E6480:E$2)))))</f>
        <v> </v>
      </c>
      <c r="J6481" s="26" t="str">
        <f>IF(OR(E6481="",E6481="!!!",F6481="NEW"),"",COUNTBLANK(OFFSET(A$1,,,SUMPRODUCT(MAX(ROW(E$2:E6481)*(E6481=E$2:E6481)))))-COUNTBLANK(OFFSET(A$1,,,SUMPRODUCT(MAX(ROW(E$1:E6480)*(E2=E$1:E6480))))))</f>
        <v> </v>
      </c>
      <c r="K6481" s="26" t="str">
        <f>IF(OR(E6481="",E6481="!!!",F6481="NEW"),"",INDEX(J$1:J6480,SUMPRODUCT(MAX(ROW(E$1:E6480)*(E6481=E$1:E6480)))))</f>
        <v> </v>
      </c>
      <c r="L6481" s="27"/>
    </row>
    <row r="6482" spans="1:12">
      <c r="A6482" s="20" t="s">
        <v>1224</v>
      </c>
      <c r="E6482" s="22">
        <f>IF(D6482="?OLD","!!!","")</f>
        <v/>
      </c>
      <c r="F6482" s="23" t="str">
        <f>IF(OR(E6482="",E6482="!!!"),"",IF(NOT(ISNA(VLOOKUP(E6482,E$1:E6481,1,FALSE()))),"OLD",IF(AND(E6482&lt;&gt;"",E6482&lt;&gt;"!!!"),"NEW","")))</f>
        <v> </v>
      </c>
      <c r="G6482" s="24" t="str">
        <f>IF(OR(E6482="",E6482="!!!"),"",IF(OR(J6482=0,AND(J6482=1,K6482=1),AND(J6482=1,I6482="SBJ"),AND(J6482=1,I6482=0)),"?IN_FOCUS",IF(J6482&lt;=2,"?ACTIVATED",IF(J6482&lt;&gt;"","?FAMILIAR",IF(F6482="NEW",IF(ISNA(VLOOKUP(E6482,#REF!,1,FALSE())),"?TYPE_IDENTIFIABLE","?REFERENTIAL"),"_")))))</f>
        <v> </v>
      </c>
      <c r="H6482" s="25" t="str">
        <f>IF(J6482&lt;&gt;1,"",IF(I6482="SBJ","CB","?"))</f>
        <v> </v>
      </c>
      <c r="I6482" s="26" t="str">
        <f>IF(OR(E6482="",E6482="!!!",F6482="NEW"),"",INDEX(B6481:B$2,-1+SUMPRODUCT(MAX(ROW(E6481:E$2)*(E6482=E6481:E$2)))))</f>
        <v> </v>
      </c>
      <c r="J6482" s="26" t="str">
        <f>IF(OR(E6482="",E6482="!!!",F6482="NEW"),"",COUNTBLANK(OFFSET(A$1,,,SUMPRODUCT(MAX(ROW(E$2:E6482)*(E6482=E$2:E6482)))))-COUNTBLANK(OFFSET(A$1,,,SUMPRODUCT(MAX(ROW(E$1:E6481)*(E2=E$1:E6481))))))</f>
        <v> </v>
      </c>
      <c r="K6482" s="26" t="str">
        <f>IF(OR(E6482="",E6482="!!!",F6482="NEW"),"",INDEX(J$1:J6481,SUMPRODUCT(MAX(ROW(E$1:E6481)*(E6482=E$1:E6481)))))</f>
        <v> </v>
      </c>
      <c r="L6482" s="27"/>
    </row>
    <row r="6483" spans="1:12">
      <c r="A6483" s="20" t="s">
        <v>2910</v>
      </c>
      <c r="B6483" s="21" t="s">
        <v>1191</v>
      </c>
      <c r="C6483" s="21" t="s">
        <v>1179</v>
      </c>
      <c r="D6483" s="21" t="s">
        <v>1180</v>
      </c>
      <c r="E6483" s="22">
        <f>IF(D6483="?OLD","!!!","")</f>
        <v/>
      </c>
      <c r="F6483" s="23" t="str">
        <f>IF(OR(E6483="",E6483="!!!"),"",IF(NOT(ISNA(VLOOKUP(E6483,E$1:E6482,1,FALSE()))),"OLD",IF(AND(E6483&lt;&gt;"",E6483&lt;&gt;"!!!"),"NEW","")))</f>
        <v> </v>
      </c>
      <c r="G6483" s="24" t="str">
        <f>IF(OR(E6483="",E6483="!!!"),"",IF(OR(J6483=0,AND(J6483=1,K6483=1),AND(J6483=1,I6483="SBJ"),AND(J6483=1,I6483=0)),"?IN_FOCUS",IF(J6483&lt;=2,"?ACTIVATED",IF(J6483&lt;&gt;"","?FAMILIAR",IF(F6483="NEW",IF(ISNA(VLOOKUP(E6483,#REF!,1,FALSE())),"?TYPE_IDENTIFIABLE","?REFERENTIAL"),"_")))))</f>
        <v> </v>
      </c>
      <c r="H6483" s="25" t="str">
        <f>IF(J6483&lt;&gt;1,"",IF(I6483="SBJ","CB","?"))</f>
        <v> </v>
      </c>
      <c r="I6483" s="26" t="str">
        <f>IF(OR(E6483="",E6483="!!!",F6483="NEW"),"",INDEX(B6482:B$2,-1+SUMPRODUCT(MAX(ROW(E6482:E$2)*(E6483=E6482:E$2)))))</f>
        <v> </v>
      </c>
      <c r="J6483" s="26" t="str">
        <f>IF(OR(E6483="",E6483="!!!",F6483="NEW"),"",COUNTBLANK(OFFSET(A$1,,,SUMPRODUCT(MAX(ROW(E$2:E6483)*(E6483=E$2:E6483)))))-COUNTBLANK(OFFSET(A$1,,,SUMPRODUCT(MAX(ROW(E$1:E6482)*(E2=E$1:E6482))))))</f>
        <v> </v>
      </c>
      <c r="K6483" s="26" t="str">
        <f>IF(OR(E6483="",E6483="!!!",F6483="NEW"),"",INDEX(J$1:J6482,SUMPRODUCT(MAX(ROW(E$1:E6482)*(E6483=E$1:E6482)))))</f>
        <v> </v>
      </c>
      <c r="L6483" s="27"/>
    </row>
    <row r="6484" spans="1:12">
      <c r="A6484" s="20" t="s">
        <v>1224</v>
      </c>
      <c r="E6484" s="22">
        <f>IF(D6484="?OLD","!!!","")</f>
        <v/>
      </c>
      <c r="F6484" s="23" t="str">
        <f>IF(OR(E6484="",E6484="!!!"),"",IF(NOT(ISNA(VLOOKUP(E6484,E$1:E6483,1,FALSE()))),"OLD",IF(AND(E6484&lt;&gt;"",E6484&lt;&gt;"!!!"),"NEW","")))</f>
        <v> </v>
      </c>
      <c r="G6484" s="24" t="str">
        <f>IF(OR(E6484="",E6484="!!!"),"",IF(OR(J6484=0,AND(J6484=1,K6484=1),AND(J6484=1,I6484="SBJ"),AND(J6484=1,I6484=0)),"?IN_FOCUS",IF(J6484&lt;=2,"?ACTIVATED",IF(J6484&lt;&gt;"","?FAMILIAR",IF(F6484="NEW",IF(ISNA(VLOOKUP(E6484,#REF!,1,FALSE())),"?TYPE_IDENTIFIABLE","?REFERENTIAL"),"_")))))</f>
        <v> </v>
      </c>
      <c r="H6484" s="25" t="str">
        <f>IF(J6484&lt;&gt;1,"",IF(I6484="SBJ","CB","?"))</f>
        <v> </v>
      </c>
      <c r="I6484" s="26" t="str">
        <f>IF(OR(E6484="",E6484="!!!",F6484="NEW"),"",INDEX(B6483:B$2,-1+SUMPRODUCT(MAX(ROW(E6483:E$2)*(E6484=E6483:E$2)))))</f>
        <v> </v>
      </c>
      <c r="J6484" s="26" t="str">
        <f>IF(OR(E6484="",E6484="!!!",F6484="NEW"),"",COUNTBLANK(OFFSET(A$1,,,SUMPRODUCT(MAX(ROW(E$2:E6484)*(E6484=E$2:E6484)))))-COUNTBLANK(OFFSET(A$1,,,SUMPRODUCT(MAX(ROW(E$1:E6483)*(E2=E$1:E6483))))))</f>
        <v> </v>
      </c>
      <c r="K6484" s="26" t="str">
        <f>IF(OR(E6484="",E6484="!!!",F6484="NEW"),"",INDEX(J$1:J6483,SUMPRODUCT(MAX(ROW(E$1:E6483)*(E6484=E$1:E6483)))))</f>
        <v> </v>
      </c>
      <c r="L6484" s="27"/>
    </row>
    <row r="6485" spans="1:12">
      <c r="A6485" s="20" t="s">
        <v>1290</v>
      </c>
      <c r="B6485" s="21" t="s">
        <v>1278</v>
      </c>
      <c r="C6485" s="21" t="s">
        <v>1208</v>
      </c>
      <c r="D6485" s="21" t="s">
        <v>1180</v>
      </c>
      <c r="E6485" s="22">
        <f>IF(D6485="?OLD","!!!","")</f>
        <v/>
      </c>
      <c r="F6485" s="23" t="str">
        <f>IF(OR(E6485="",E6485="!!!"),"",IF(NOT(ISNA(VLOOKUP(E6485,E$1:E6484,1,FALSE()))),"OLD",IF(AND(E6485&lt;&gt;"",E6485&lt;&gt;"!!!"),"NEW","")))</f>
        <v> </v>
      </c>
      <c r="G6485" s="24" t="str">
        <f>IF(OR(E6485="",E6485="!!!"),"",IF(OR(J6485=0,AND(J6485=1,K6485=1),AND(J6485=1,I6485="SBJ"),AND(J6485=1,I6485=0)),"?IN_FOCUS",IF(J6485&lt;=2,"?ACTIVATED",IF(J6485&lt;&gt;"","?FAMILIAR",IF(F6485="NEW",IF(ISNA(VLOOKUP(E6485,#REF!,1,FALSE())),"?TYPE_IDENTIFIABLE","?REFERENTIAL"),"_")))))</f>
        <v> </v>
      </c>
      <c r="H6485" s="25" t="str">
        <f>IF(J6485&lt;&gt;1,"",IF(I6485="SBJ","CB","?"))</f>
        <v> </v>
      </c>
      <c r="I6485" s="26" t="str">
        <f>IF(OR(E6485="",E6485="!!!",F6485="NEW"),"",INDEX(B6484:B$2,-1+SUMPRODUCT(MAX(ROW(E6484:E$2)*(E6485=E6484:E$2)))))</f>
        <v> </v>
      </c>
      <c r="J6485" s="26" t="str">
        <f>IF(OR(E6485="",E6485="!!!",F6485="NEW"),"",COUNTBLANK(OFFSET(A$1,,,SUMPRODUCT(MAX(ROW(E$2:E6485)*(E6485=E$2:E6485)))))-COUNTBLANK(OFFSET(A$1,,,SUMPRODUCT(MAX(ROW(E$1:E6484)*(E2=E$1:E6484))))))</f>
        <v> </v>
      </c>
      <c r="K6485" s="26" t="str">
        <f>IF(OR(E6485="",E6485="!!!",F6485="NEW"),"",INDEX(J$1:J6484,SUMPRODUCT(MAX(ROW(E$1:E6484)*(E6485=E$1:E6484)))))</f>
        <v> </v>
      </c>
      <c r="L6485" s="27"/>
    </row>
    <row r="6486" spans="1:12">
      <c r="A6486" s="20" t="s">
        <v>2911</v>
      </c>
      <c r="B6486" s="21" t="s">
        <v>1207</v>
      </c>
      <c r="C6486" s="21" t="s">
        <v>1210</v>
      </c>
      <c r="D6486" s="21" t="s">
        <v>1180</v>
      </c>
      <c r="E6486" s="22">
        <f>IF(D6486="?OLD","!!!","")</f>
        <v/>
      </c>
      <c r="F6486" s="23" t="str">
        <f>IF(OR(E6486="",E6486="!!!"),"",IF(NOT(ISNA(VLOOKUP(E6486,E$1:E6485,1,FALSE()))),"OLD",IF(AND(E6486&lt;&gt;"",E6486&lt;&gt;"!!!"),"NEW","")))</f>
        <v> </v>
      </c>
      <c r="G6486" s="24" t="str">
        <f>IF(OR(E6486="",E6486="!!!"),"",IF(OR(J6486=0,AND(J6486=1,K6486=1),AND(J6486=1,I6486="SBJ"),AND(J6486=1,I6486=0)),"?IN_FOCUS",IF(J6486&lt;=2,"?ACTIVATED",IF(J6486&lt;&gt;"","?FAMILIAR",IF(F6486="NEW",IF(ISNA(VLOOKUP(E6486,#REF!,1,FALSE())),"?TYPE_IDENTIFIABLE","?REFERENTIAL"),"_")))))</f>
        <v> </v>
      </c>
      <c r="H6486" s="25" t="str">
        <f>IF(J6486&lt;&gt;1,"",IF(I6486="SBJ","CB","?"))</f>
        <v> </v>
      </c>
      <c r="I6486" s="26" t="str">
        <f>IF(OR(E6486="",E6486="!!!",F6486="NEW"),"",INDEX(B6485:B$2,-1+SUMPRODUCT(MAX(ROW(E6485:E$2)*(E6486=E6485:E$2)))))</f>
        <v> </v>
      </c>
      <c r="J6486" s="26" t="str">
        <f>IF(OR(E6486="",E6486="!!!",F6486="NEW"),"",COUNTBLANK(OFFSET(A$1,,,SUMPRODUCT(MAX(ROW(E$2:E6486)*(E6486=E$2:E6486)))))-COUNTBLANK(OFFSET(A$1,,,SUMPRODUCT(MAX(ROW(E$1:E6485)*(E2=E$1:E6485))))))</f>
        <v> </v>
      </c>
      <c r="K6486" s="26" t="str">
        <f>IF(OR(E6486="",E6486="!!!",F6486="NEW"),"",INDEX(J$1:J6485,SUMPRODUCT(MAX(ROW(E$1:E6485)*(E6486=E$1:E6485)))))</f>
        <v> </v>
      </c>
      <c r="L6486" s="27"/>
    </row>
    <row r="6487" spans="1:12">
      <c r="A6487" s="20" t="s">
        <v>818</v>
      </c>
      <c r="E6487" s="22">
        <f>IF(D6487="?OLD","!!!","")</f>
        <v/>
      </c>
      <c r="F6487" s="23" t="str">
        <f>IF(OR(E6487="",E6487="!!!"),"",IF(NOT(ISNA(VLOOKUP(E6487,E$1:E6486,1,FALSE()))),"OLD",IF(AND(E6487&lt;&gt;"",E6487&lt;&gt;"!!!"),"NEW","")))</f>
        <v> </v>
      </c>
      <c r="G6487" s="24" t="str">
        <f>IF(OR(E6487="",E6487="!!!"),"",IF(OR(J6487=0,AND(J6487=1,K6487=1),AND(J6487=1,I6487="SBJ"),AND(J6487=1,I6487=0)),"?IN_FOCUS",IF(J6487&lt;=2,"?ACTIVATED",IF(J6487&lt;&gt;"","?FAMILIAR",IF(F6487="NEW",IF(ISNA(VLOOKUP(E6487,#REF!,1,FALSE())),"?TYPE_IDENTIFIABLE","?REFERENTIAL"),"_")))))</f>
        <v> </v>
      </c>
      <c r="H6487" s="25" t="str">
        <f>IF(J6487&lt;&gt;1,"",IF(I6487="SBJ","CB","?"))</f>
        <v> </v>
      </c>
      <c r="I6487" s="26" t="str">
        <f>IF(OR(E6487="",E6487="!!!",F6487="NEW"),"",INDEX(B6486:B$2,-1+SUMPRODUCT(MAX(ROW(E6486:E$2)*(E6487=E6486:E$2)))))</f>
        <v> </v>
      </c>
      <c r="J6487" s="26" t="str">
        <f>IF(OR(E6487="",E6487="!!!",F6487="NEW"),"",COUNTBLANK(OFFSET(A$1,,,SUMPRODUCT(MAX(ROW(E$2:E6487)*(E6487=E$2:E6487)))))-COUNTBLANK(OFFSET(A$1,,,SUMPRODUCT(MAX(ROW(E$1:E6486)*(E2=E$1:E6486))))))</f>
        <v> </v>
      </c>
      <c r="K6487" s="26" t="str">
        <f>IF(OR(E6487="",E6487="!!!",F6487="NEW"),"",INDEX(J$1:J6486,SUMPRODUCT(MAX(ROW(E$1:E6486)*(E6487=E$1:E6486)))))</f>
        <v> </v>
      </c>
      <c r="L6487" s="27"/>
    </row>
    <row r="6488" spans="1:12">
      <c r="A6488" s="20"/>
    </row>
    <row r="6489" spans="1:12">
      <c r="A6489" s="20" t="s">
        <v>2912</v>
      </c>
    </row>
    <row r="6490" spans="1:12">
      <c r="A6490" s="20" t="s">
        <v>1193</v>
      </c>
      <c r="B6490" s="21" t="s">
        <v>1194</v>
      </c>
      <c r="C6490" s="21" t="s">
        <v>1195</v>
      </c>
      <c r="D6490" s="21" t="s">
        <v>1180</v>
      </c>
      <c r="E6490" s="22">
        <f>IF(D6490="?OLD","!!!","")</f>
        <v/>
      </c>
      <c r="F6490" s="23" t="str">
        <f>IF(OR(E6490="",E6490="!!!"),"",IF(NOT(ISNA(VLOOKUP(E6490,E$1:E6489,1,FALSE()))),"OLD",IF(AND(E6490&lt;&gt;"",E6490&lt;&gt;"!!!"),"NEW","")))</f>
        <v> </v>
      </c>
      <c r="G6490" s="24" t="str">
        <f>IF(OR(E6490="",E6490="!!!"),"",IF(OR(J6490=0,AND(J6490=1,K6490=1),AND(J6490=1,I6490="SBJ"),AND(J6490=1,I6490=0)),"?IN_FOCUS",IF(J6490&lt;=2,"?ACTIVATED",IF(J6490&lt;&gt;"","?FAMILIAR",IF(F6490="NEW",IF(ISNA(VLOOKUP(E6490,#REF!,1,FALSE())),"?TYPE_IDENTIFIABLE","?REFERENTIAL"),"_")))))</f>
        <v> </v>
      </c>
      <c r="H6490" s="25" t="str">
        <f>IF(J6490&lt;&gt;1,"",IF(I6490="SBJ","CB","?"))</f>
        <v> </v>
      </c>
      <c r="I6490" s="26" t="str">
        <f>IF(OR(E6490="",E6490="!!!",F6490="NEW"),"",INDEX(B6489:B$2,-1+SUMPRODUCT(MAX(ROW(E6489:E$2)*(E6490=E6489:E$2)))))</f>
        <v> </v>
      </c>
      <c r="J6490" s="26" t="str">
        <f>IF(OR(E6490="",E6490="!!!",F6490="NEW"),"",COUNTBLANK(OFFSET(A$1,,,SUMPRODUCT(MAX(ROW(E$2:E6490)*(E6490=E$2:E6490)))))-COUNTBLANK(OFFSET(A$1,,,SUMPRODUCT(MAX(ROW(E$1:E6489)*(E2=E$1:E6489))))))</f>
        <v> </v>
      </c>
      <c r="K6490" s="26" t="str">
        <f>IF(OR(E6490="",E6490="!!!",F6490="NEW"),"",INDEX(J$1:J6489,SUMPRODUCT(MAX(ROW(E$1:E6489)*(E6490=E$1:E6489)))))</f>
        <v> </v>
      </c>
      <c r="L6490" s="27"/>
    </row>
    <row r="6491" spans="1:12">
      <c r="A6491" s="20" t="s">
        <v>1320</v>
      </c>
      <c r="E6491" s="22">
        <f>IF(D6491="?OLD","!!!","")</f>
        <v/>
      </c>
      <c r="F6491" s="23" t="str">
        <f>IF(OR(E6491="",E6491="!!!"),"",IF(NOT(ISNA(VLOOKUP(E6491,E$1:E6490,1,FALSE()))),"OLD",IF(AND(E6491&lt;&gt;"",E6491&lt;&gt;"!!!"),"NEW","")))</f>
        <v> </v>
      </c>
      <c r="G6491" s="24" t="str">
        <f>IF(OR(E6491="",E6491="!!!"),"",IF(OR(J6491=0,AND(J6491=1,K6491=1),AND(J6491=1,I6491="SBJ"),AND(J6491=1,I6491=0)),"?IN_FOCUS",IF(J6491&lt;=2,"?ACTIVATED",IF(J6491&lt;&gt;"","?FAMILIAR",IF(F6491="NEW",IF(ISNA(VLOOKUP(E6491,#REF!,1,FALSE())),"?TYPE_IDENTIFIABLE","?REFERENTIAL"),"_")))))</f>
        <v> </v>
      </c>
      <c r="H6491" s="25" t="str">
        <f>IF(J6491&lt;&gt;1,"",IF(I6491="SBJ","CB","?"))</f>
        <v> </v>
      </c>
      <c r="I6491" s="26" t="str">
        <f>IF(OR(E6491="",E6491="!!!",F6491="NEW"),"",INDEX(B6490:B$2,-1+SUMPRODUCT(MAX(ROW(E6490:E$2)*(E6491=E6490:E$2)))))</f>
        <v> </v>
      </c>
      <c r="J6491" s="26" t="str">
        <f>IF(OR(E6491="",E6491="!!!",F6491="NEW"),"",COUNTBLANK(OFFSET(A$1,,,SUMPRODUCT(MAX(ROW(E$2:E6491)*(E6491=E$2:E6491)))))-COUNTBLANK(OFFSET(A$1,,,SUMPRODUCT(MAX(ROW(E$1:E6490)*(E2=E$1:E6490))))))</f>
        <v> </v>
      </c>
      <c r="K6491" s="26" t="str">
        <f>IF(OR(E6491="",E6491="!!!",F6491="NEW"),"",INDEX(J$1:J6490,SUMPRODUCT(MAX(ROW(E$1:E6490)*(E6491=E$1:E6490)))))</f>
        <v> </v>
      </c>
      <c r="L6491" s="27"/>
    </row>
    <row r="6492" spans="1:12">
      <c r="A6492" s="20" t="s">
        <v>2913</v>
      </c>
      <c r="E6492" s="22">
        <f>IF(D6492="?OLD","!!!","")</f>
        <v/>
      </c>
      <c r="F6492" s="23" t="str">
        <f>IF(OR(E6492="",E6492="!!!"),"",IF(NOT(ISNA(VLOOKUP(E6492,E$1:E6491,1,FALSE()))),"OLD",IF(AND(E6492&lt;&gt;"",E6492&lt;&gt;"!!!"),"NEW","")))</f>
        <v> </v>
      </c>
      <c r="G6492" s="24" t="str">
        <f>IF(OR(E6492="",E6492="!!!"),"",IF(OR(J6492=0,AND(J6492=1,K6492=1),AND(J6492=1,I6492="SBJ"),AND(J6492=1,I6492=0)),"?IN_FOCUS",IF(J6492&lt;=2,"?ACTIVATED",IF(J6492&lt;&gt;"","?FAMILIAR",IF(F6492="NEW",IF(ISNA(VLOOKUP(E6492,#REF!,1,FALSE())),"?TYPE_IDENTIFIABLE","?REFERENTIAL"),"_")))))</f>
        <v> </v>
      </c>
      <c r="H6492" s="25" t="str">
        <f>IF(J6492&lt;&gt;1,"",IF(I6492="SBJ","CB","?"))</f>
        <v> </v>
      </c>
      <c r="I6492" s="26" t="str">
        <f>IF(OR(E6492="",E6492="!!!",F6492="NEW"),"",INDEX(B6491:B$2,-1+SUMPRODUCT(MAX(ROW(E6491:E$2)*(E6492=E6491:E$2)))))</f>
        <v> </v>
      </c>
      <c r="J6492" s="26" t="str">
        <f>IF(OR(E6492="",E6492="!!!",F6492="NEW"),"",COUNTBLANK(OFFSET(A$1,,,SUMPRODUCT(MAX(ROW(E$2:E6492)*(E6492=E$2:E6492)))))-COUNTBLANK(OFFSET(A$1,,,SUMPRODUCT(MAX(ROW(E$1:E6491)*(E2=E$1:E6491))))))</f>
        <v> </v>
      </c>
      <c r="K6492" s="26" t="str">
        <f>IF(OR(E6492="",E6492="!!!",F6492="NEW"),"",INDEX(J$1:J6491,SUMPRODUCT(MAX(ROW(E$1:E6491)*(E6492=E$1:E6491)))))</f>
        <v> </v>
      </c>
      <c r="L6492" s="27"/>
    </row>
    <row r="6493" spans="1:12">
      <c r="A6493" s="20" t="s">
        <v>1185</v>
      </c>
      <c r="E6493" s="22">
        <f>IF(D6493="?OLD","!!!","")</f>
        <v/>
      </c>
      <c r="F6493" s="23" t="str">
        <f>IF(OR(E6493="",E6493="!!!"),"",IF(NOT(ISNA(VLOOKUP(E6493,E$1:E6492,1,FALSE()))),"OLD",IF(AND(E6493&lt;&gt;"",E6493&lt;&gt;"!!!"),"NEW","")))</f>
        <v> </v>
      </c>
      <c r="G6493" s="24" t="str">
        <f>IF(OR(E6493="",E6493="!!!"),"",IF(OR(J6493=0,AND(J6493=1,K6493=1),AND(J6493=1,I6493="SBJ"),AND(J6493=1,I6493=0)),"?IN_FOCUS",IF(J6493&lt;=2,"?ACTIVATED",IF(J6493&lt;&gt;"","?FAMILIAR",IF(F6493="NEW",IF(ISNA(VLOOKUP(E6493,#REF!,1,FALSE())),"?TYPE_IDENTIFIABLE","?REFERENTIAL"),"_")))))</f>
        <v> </v>
      </c>
      <c r="H6493" s="25" t="str">
        <f>IF(J6493&lt;&gt;1,"",IF(I6493="SBJ","CB","?"))</f>
        <v> </v>
      </c>
      <c r="I6493" s="26" t="str">
        <f>IF(OR(E6493="",E6493="!!!",F6493="NEW"),"",INDEX(B6492:B$2,-1+SUMPRODUCT(MAX(ROW(E6492:E$2)*(E6493=E6492:E$2)))))</f>
        <v> </v>
      </c>
      <c r="J6493" s="26" t="str">
        <f>IF(OR(E6493="",E6493="!!!",F6493="NEW"),"",COUNTBLANK(OFFSET(A$1,,,SUMPRODUCT(MAX(ROW(E$2:E6493)*(E6493=E$2:E6493)))))-COUNTBLANK(OFFSET(A$1,,,SUMPRODUCT(MAX(ROW(E$1:E6492)*(E2=E$1:E6492))))))</f>
        <v> </v>
      </c>
      <c r="K6493" s="26" t="str">
        <f>IF(OR(E6493="",E6493="!!!",F6493="NEW"),"",INDEX(J$1:J6492,SUMPRODUCT(MAX(ROW(E$1:E6492)*(E6493=E$1:E6492)))))</f>
        <v> </v>
      </c>
      <c r="L6493" s="27"/>
    </row>
    <row r="6494" spans="1:12">
      <c r="A6494" s="20" t="s">
        <v>1302</v>
      </c>
      <c r="E6494" s="22">
        <f>IF(D6494="?OLD","!!!","")</f>
        <v/>
      </c>
      <c r="F6494" s="23" t="str">
        <f>IF(OR(E6494="",E6494="!!!"),"",IF(NOT(ISNA(VLOOKUP(E6494,E$1:E6493,1,FALSE()))),"OLD",IF(AND(E6494&lt;&gt;"",E6494&lt;&gt;"!!!"),"NEW","")))</f>
        <v> </v>
      </c>
      <c r="G6494" s="24" t="str">
        <f>IF(OR(E6494="",E6494="!!!"),"",IF(OR(J6494=0,AND(J6494=1,K6494=1),AND(J6494=1,I6494="SBJ"),AND(J6494=1,I6494=0)),"?IN_FOCUS",IF(J6494&lt;=2,"?ACTIVATED",IF(J6494&lt;&gt;"","?FAMILIAR",IF(F6494="NEW",IF(ISNA(VLOOKUP(E6494,#REF!,1,FALSE())),"?TYPE_IDENTIFIABLE","?REFERENTIAL"),"_")))))</f>
        <v> </v>
      </c>
      <c r="H6494" s="25" t="str">
        <f>IF(J6494&lt;&gt;1,"",IF(I6494="SBJ","CB","?"))</f>
        <v> </v>
      </c>
      <c r="I6494" s="26" t="str">
        <f>IF(OR(E6494="",E6494="!!!",F6494="NEW"),"",INDEX(B6493:B$2,-1+SUMPRODUCT(MAX(ROW(E6493:E$2)*(E6494=E6493:E$2)))))</f>
        <v> </v>
      </c>
      <c r="J6494" s="26" t="str">
        <f>IF(OR(E6494="",E6494="!!!",F6494="NEW"),"",COUNTBLANK(OFFSET(A$1,,,SUMPRODUCT(MAX(ROW(E$2:E6494)*(E6494=E$2:E6494)))))-COUNTBLANK(OFFSET(A$1,,,SUMPRODUCT(MAX(ROW(E$1:E6493)*(E2=E$1:E6493))))))</f>
        <v> </v>
      </c>
      <c r="K6494" s="26" t="str">
        <f>IF(OR(E6494="",E6494="!!!",F6494="NEW"),"",INDEX(J$1:J6493,SUMPRODUCT(MAX(ROW(E$1:E6493)*(E6494=E$1:E6493)))))</f>
        <v> </v>
      </c>
      <c r="L6494" s="27"/>
    </row>
    <row r="6495" spans="1:12">
      <c r="A6495" s="20" t="s">
        <v>2914</v>
      </c>
      <c r="E6495" s="22">
        <f>IF(D6495="?OLD","!!!","")</f>
        <v/>
      </c>
      <c r="F6495" s="23" t="str">
        <f>IF(OR(E6495="",E6495="!!!"),"",IF(NOT(ISNA(VLOOKUP(E6495,E$1:E6494,1,FALSE()))),"OLD",IF(AND(E6495&lt;&gt;"",E6495&lt;&gt;"!!!"),"NEW","")))</f>
        <v> </v>
      </c>
      <c r="G6495" s="24" t="str">
        <f>IF(OR(E6495="",E6495="!!!"),"",IF(OR(J6495=0,AND(J6495=1,K6495=1),AND(J6495=1,I6495="SBJ"),AND(J6495=1,I6495=0)),"?IN_FOCUS",IF(J6495&lt;=2,"?ACTIVATED",IF(J6495&lt;&gt;"","?FAMILIAR",IF(F6495="NEW",IF(ISNA(VLOOKUP(E6495,#REF!,1,FALSE())),"?TYPE_IDENTIFIABLE","?REFERENTIAL"),"_")))))</f>
        <v> </v>
      </c>
      <c r="H6495" s="25" t="str">
        <f>IF(J6495&lt;&gt;1,"",IF(I6495="SBJ","CB","?"))</f>
        <v> </v>
      </c>
      <c r="I6495" s="26" t="str">
        <f>IF(OR(E6495="",E6495="!!!",F6495="NEW"),"",INDEX(B6494:B$2,-1+SUMPRODUCT(MAX(ROW(E6494:E$2)*(E6495=E6494:E$2)))))</f>
        <v> </v>
      </c>
      <c r="J6495" s="26" t="str">
        <f>IF(OR(E6495="",E6495="!!!",F6495="NEW"),"",COUNTBLANK(OFFSET(A$1,,,SUMPRODUCT(MAX(ROW(E$2:E6495)*(E6495=E$2:E6495)))))-COUNTBLANK(OFFSET(A$1,,,SUMPRODUCT(MAX(ROW(E$1:E6494)*(E2=E$1:E6494))))))</f>
        <v> </v>
      </c>
      <c r="K6495" s="26" t="str">
        <f>IF(OR(E6495="",E6495="!!!",F6495="NEW"),"",INDEX(J$1:J6494,SUMPRODUCT(MAX(ROW(E$1:E6494)*(E6495=E$1:E6494)))))</f>
        <v> </v>
      </c>
      <c r="L6495" s="27"/>
    </row>
    <row r="6496" spans="1:12">
      <c r="A6496" s="20" t="s">
        <v>1218</v>
      </c>
      <c r="B6496" s="21" t="s">
        <v>1237</v>
      </c>
      <c r="E6496" s="22">
        <f>IF(D6496="?OLD","!!!","")</f>
        <v/>
      </c>
      <c r="F6496" s="23" t="str">
        <f>IF(OR(E6496="",E6496="!!!"),"",IF(NOT(ISNA(VLOOKUP(E6496,E$1:E6495,1,FALSE()))),"OLD",IF(AND(E6496&lt;&gt;"",E6496&lt;&gt;"!!!"),"NEW","")))</f>
        <v> </v>
      </c>
      <c r="G6496" s="24" t="str">
        <f>IF(OR(E6496="",E6496="!!!"),"",IF(OR(J6496=0,AND(J6496=1,K6496=1),AND(J6496=1,I6496="SBJ"),AND(J6496=1,I6496=0)),"?IN_FOCUS",IF(J6496&lt;=2,"?ACTIVATED",IF(J6496&lt;&gt;"","?FAMILIAR",IF(F6496="NEW",IF(ISNA(VLOOKUP(E6496,#REF!,1,FALSE())),"?TYPE_IDENTIFIABLE","?REFERENTIAL"),"_")))))</f>
        <v> </v>
      </c>
      <c r="H6496" s="25" t="str">
        <f>IF(J6496&lt;&gt;1,"",IF(I6496="SBJ","CB","?"))</f>
        <v> </v>
      </c>
      <c r="I6496" s="26" t="str">
        <f>IF(OR(E6496="",E6496="!!!",F6496="NEW"),"",INDEX(B6495:B$2,-1+SUMPRODUCT(MAX(ROW(E6495:E$2)*(E6496=E6495:E$2)))))</f>
        <v> </v>
      </c>
      <c r="J6496" s="26" t="str">
        <f>IF(OR(E6496="",E6496="!!!",F6496="NEW"),"",COUNTBLANK(OFFSET(A$1,,,SUMPRODUCT(MAX(ROW(E$2:E6496)*(E6496=E$2:E6496)))))-COUNTBLANK(OFFSET(A$1,,,SUMPRODUCT(MAX(ROW(E$1:E6495)*(E2=E$1:E6495))))))</f>
        <v> </v>
      </c>
      <c r="K6496" s="26" t="str">
        <f>IF(OR(E6496="",E6496="!!!",F6496="NEW"),"",INDEX(J$1:J6495,SUMPRODUCT(MAX(ROW(E$1:E6495)*(E6496=E$1:E6495)))))</f>
        <v> </v>
      </c>
      <c r="L6496" s="27"/>
    </row>
    <row r="6497" spans="1:12">
      <c r="A6497" s="20" t="s">
        <v>1495</v>
      </c>
      <c r="B6497" s="21" t="s">
        <v>1240</v>
      </c>
      <c r="E6497" s="22">
        <f>IF(D6497="?OLD","!!!","")</f>
        <v/>
      </c>
      <c r="F6497" s="23" t="str">
        <f>IF(OR(E6497="",E6497="!!!"),"",IF(NOT(ISNA(VLOOKUP(E6497,E$1:E6496,1,FALSE()))),"OLD",IF(AND(E6497&lt;&gt;"",E6497&lt;&gt;"!!!"),"NEW","")))</f>
        <v> </v>
      </c>
      <c r="G6497" s="24" t="str">
        <f>IF(OR(E6497="",E6497="!!!"),"",IF(OR(J6497=0,AND(J6497=1,K6497=1),AND(J6497=1,I6497="SBJ"),AND(J6497=1,I6497=0)),"?IN_FOCUS",IF(J6497&lt;=2,"?ACTIVATED",IF(J6497&lt;&gt;"","?FAMILIAR",IF(F6497="NEW",IF(ISNA(VLOOKUP(E6497,#REF!,1,FALSE())),"?TYPE_IDENTIFIABLE","?REFERENTIAL"),"_")))))</f>
        <v> </v>
      </c>
      <c r="H6497" s="25" t="str">
        <f>IF(J6497&lt;&gt;1,"",IF(I6497="SBJ","CB","?"))</f>
        <v> </v>
      </c>
      <c r="I6497" s="26" t="str">
        <f>IF(OR(E6497="",E6497="!!!",F6497="NEW"),"",INDEX(B6496:B$2,-1+SUMPRODUCT(MAX(ROW(E6496:E$2)*(E6497=E6496:E$2)))))</f>
        <v> </v>
      </c>
      <c r="J6497" s="26" t="str">
        <f>IF(OR(E6497="",E6497="!!!",F6497="NEW"),"",COUNTBLANK(OFFSET(A$1,,,SUMPRODUCT(MAX(ROW(E$2:E6497)*(E6497=E$2:E6497)))))-COUNTBLANK(OFFSET(A$1,,,SUMPRODUCT(MAX(ROW(E$1:E6496)*(E2=E$1:E6496))))))</f>
        <v> </v>
      </c>
      <c r="K6497" s="26" t="str">
        <f>IF(OR(E6497="",E6497="!!!",F6497="NEW"),"",INDEX(J$1:J6496,SUMPRODUCT(MAX(ROW(E$1:E6496)*(E6497=E$1:E6496)))))</f>
        <v> </v>
      </c>
      <c r="L6497" s="27"/>
    </row>
    <row r="6498" spans="1:12">
      <c r="A6498" s="20" t="s">
        <v>1219</v>
      </c>
      <c r="E6498" s="22">
        <f>IF(D6498="?OLD","!!!","")</f>
        <v/>
      </c>
      <c r="F6498" s="23" t="str">
        <f>IF(OR(E6498="",E6498="!!!"),"",IF(NOT(ISNA(VLOOKUP(E6498,E$1:E6497,1,FALSE()))),"OLD",IF(AND(E6498&lt;&gt;"",E6498&lt;&gt;"!!!"),"NEW","")))</f>
        <v> </v>
      </c>
      <c r="G6498" s="24" t="str">
        <f>IF(OR(E6498="",E6498="!!!"),"",IF(OR(J6498=0,AND(J6498=1,K6498=1),AND(J6498=1,I6498="SBJ"),AND(J6498=1,I6498=0)),"?IN_FOCUS",IF(J6498&lt;=2,"?ACTIVATED",IF(J6498&lt;&gt;"","?FAMILIAR",IF(F6498="NEW",IF(ISNA(VLOOKUP(E6498,#REF!,1,FALSE())),"?TYPE_IDENTIFIABLE","?REFERENTIAL"),"_")))))</f>
        <v> </v>
      </c>
      <c r="H6498" s="25" t="str">
        <f>IF(J6498&lt;&gt;1,"",IF(I6498="SBJ","CB","?"))</f>
        <v> </v>
      </c>
      <c r="I6498" s="26" t="str">
        <f>IF(OR(E6498="",E6498="!!!",F6498="NEW"),"",INDEX(B6497:B$2,-1+SUMPRODUCT(MAX(ROW(E6497:E$2)*(E6498=E6497:E$2)))))</f>
        <v> </v>
      </c>
      <c r="J6498" s="26" t="str">
        <f>IF(OR(E6498="",E6498="!!!",F6498="NEW"),"",COUNTBLANK(OFFSET(A$1,,,SUMPRODUCT(MAX(ROW(E$2:E6498)*(E6498=E$2:E6498)))))-COUNTBLANK(OFFSET(A$1,,,SUMPRODUCT(MAX(ROW(E$1:E6497)*(E2=E$1:E6497))))))</f>
        <v> </v>
      </c>
      <c r="K6498" s="26" t="str">
        <f>IF(OR(E6498="",E6498="!!!",F6498="NEW"),"",INDEX(J$1:J6497,SUMPRODUCT(MAX(ROW(E$1:E6497)*(E6498=E$1:E6497)))))</f>
        <v> </v>
      </c>
      <c r="L6498" s="27"/>
    </row>
    <row r="6499" spans="1:12">
      <c r="A6499" s="20" t="s">
        <v>1249</v>
      </c>
      <c r="E6499" s="22">
        <f>IF(D6499="?OLD","!!!","")</f>
        <v/>
      </c>
      <c r="F6499" s="23" t="str">
        <f>IF(OR(E6499="",E6499="!!!"),"",IF(NOT(ISNA(VLOOKUP(E6499,E$1:E6498,1,FALSE()))),"OLD",IF(AND(E6499&lt;&gt;"",E6499&lt;&gt;"!!!"),"NEW","")))</f>
        <v> </v>
      </c>
      <c r="G6499" s="24" t="str">
        <f>IF(OR(E6499="",E6499="!!!"),"",IF(OR(J6499=0,AND(J6499=1,K6499=1),AND(J6499=1,I6499="SBJ"),AND(J6499=1,I6499=0)),"?IN_FOCUS",IF(J6499&lt;=2,"?ACTIVATED",IF(J6499&lt;&gt;"","?FAMILIAR",IF(F6499="NEW",IF(ISNA(VLOOKUP(E6499,#REF!,1,FALSE())),"?TYPE_IDENTIFIABLE","?REFERENTIAL"),"_")))))</f>
        <v> </v>
      </c>
      <c r="H6499" s="25" t="str">
        <f>IF(J6499&lt;&gt;1,"",IF(I6499="SBJ","CB","?"))</f>
        <v> </v>
      </c>
      <c r="I6499" s="26" t="str">
        <f>IF(OR(E6499="",E6499="!!!",F6499="NEW"),"",INDEX(B6498:B$2,-1+SUMPRODUCT(MAX(ROW(E6498:E$2)*(E6499=E6498:E$2)))))</f>
        <v> </v>
      </c>
      <c r="J6499" s="26" t="str">
        <f>IF(OR(E6499="",E6499="!!!",F6499="NEW"),"",COUNTBLANK(OFFSET(A$1,,,SUMPRODUCT(MAX(ROW(E$2:E6499)*(E6499=E$2:E6499)))))-COUNTBLANK(OFFSET(A$1,,,SUMPRODUCT(MAX(ROW(E$1:E6498)*(E2=E$1:E6498))))))</f>
        <v> </v>
      </c>
      <c r="K6499" s="26" t="str">
        <f>IF(OR(E6499="",E6499="!!!",F6499="NEW"),"",INDEX(J$1:J6498,SUMPRODUCT(MAX(ROW(E$1:E6498)*(E6499=E$1:E6498)))))</f>
        <v> </v>
      </c>
      <c r="L6499" s="27"/>
    </row>
    <row r="6500" spans="1:12">
      <c r="A6500" s="20"/>
    </row>
    <row r="6501" spans="1:12">
      <c r="A6501" s="20" t="s">
        <v>2915</v>
      </c>
    </row>
    <row r="6502" spans="1:12">
      <c r="A6502" s="20" t="s">
        <v>1287</v>
      </c>
      <c r="B6502" s="21" t="s">
        <v>1194</v>
      </c>
      <c r="C6502" s="21" t="s">
        <v>1179</v>
      </c>
      <c r="D6502" s="21" t="s">
        <v>1180</v>
      </c>
      <c r="E6502" s="22">
        <f>IF(D6502="?OLD","!!!","")</f>
        <v/>
      </c>
      <c r="F6502" s="23" t="str">
        <f>IF(OR(E6502="",E6502="!!!"),"",IF(NOT(ISNA(VLOOKUP(E6502,E$1:E6501,1,FALSE()))),"OLD",IF(AND(E6502&lt;&gt;"",E6502&lt;&gt;"!!!"),"NEW","")))</f>
        <v> </v>
      </c>
      <c r="G6502" s="24" t="str">
        <f>IF(OR(E6502="",E6502="!!!"),"",IF(OR(J6502=0,AND(J6502=1,K6502=1),AND(J6502=1,I6502="SBJ"),AND(J6502=1,I6502=0)),"?IN_FOCUS",IF(J6502&lt;=2,"?ACTIVATED",IF(J6502&lt;&gt;"","?FAMILIAR",IF(F6502="NEW",IF(ISNA(VLOOKUP(E6502,#REF!,1,FALSE())),"?TYPE_IDENTIFIABLE","?REFERENTIAL"),"_")))))</f>
        <v> </v>
      </c>
      <c r="H6502" s="25" t="str">
        <f>IF(J6502&lt;&gt;1,"",IF(I6502="SBJ","CB","?"))</f>
        <v> </v>
      </c>
      <c r="I6502" s="26" t="str">
        <f>IF(OR(E6502="",E6502="!!!",F6502="NEW"),"",INDEX(B6501:B$2,-1+SUMPRODUCT(MAX(ROW(E6501:E$2)*(E6502=E6501:E$2)))))</f>
        <v> </v>
      </c>
      <c r="J6502" s="26" t="str">
        <f>IF(OR(E6502="",E6502="!!!",F6502="NEW"),"",COUNTBLANK(OFFSET(A$1,,,SUMPRODUCT(MAX(ROW(E$2:E6502)*(E6502=E$2:E6502)))))-COUNTBLANK(OFFSET(A$1,,,SUMPRODUCT(MAX(ROW(E$1:E6501)*(E2=E$1:E6501))))))</f>
        <v> </v>
      </c>
      <c r="K6502" s="26" t="str">
        <f>IF(OR(E6502="",E6502="!!!",F6502="NEW"),"",INDEX(J$1:J6501,SUMPRODUCT(MAX(ROW(E$1:E6501)*(E6502=E$1:E6501)))))</f>
        <v> </v>
      </c>
      <c r="L6502" s="27"/>
    </row>
    <row r="6503" spans="1:12">
      <c r="A6503" s="20" t="s">
        <v>1182</v>
      </c>
      <c r="E6503" s="22">
        <f>IF(D6503="?OLD","!!!","")</f>
        <v/>
      </c>
      <c r="F6503" s="23" t="str">
        <f>IF(OR(E6503="",E6503="!!!"),"",IF(NOT(ISNA(VLOOKUP(E6503,E$1:E6502,1,FALSE()))),"OLD",IF(AND(E6503&lt;&gt;"",E6503&lt;&gt;"!!!"),"NEW","")))</f>
        <v> </v>
      </c>
      <c r="G6503" s="24" t="str">
        <f>IF(OR(E6503="",E6503="!!!"),"",IF(OR(J6503=0,AND(J6503=1,K6503=1),AND(J6503=1,I6503="SBJ"),AND(J6503=1,I6503=0)),"?IN_FOCUS",IF(J6503&lt;=2,"?ACTIVATED",IF(J6503&lt;&gt;"","?FAMILIAR",IF(F6503="NEW",IF(ISNA(VLOOKUP(E6503,#REF!,1,FALSE())),"?TYPE_IDENTIFIABLE","?REFERENTIAL"),"_")))))</f>
        <v> </v>
      </c>
      <c r="H6503" s="25" t="str">
        <f>IF(J6503&lt;&gt;1,"",IF(I6503="SBJ","CB","?"))</f>
        <v> </v>
      </c>
      <c r="I6503" s="26" t="str">
        <f>IF(OR(E6503="",E6503="!!!",F6503="NEW"),"",INDEX(B6502:B$2,-1+SUMPRODUCT(MAX(ROW(E6502:E$2)*(E6503=E6502:E$2)))))</f>
        <v> </v>
      </c>
      <c r="J6503" s="26" t="str">
        <f>IF(OR(E6503="",E6503="!!!",F6503="NEW"),"",COUNTBLANK(OFFSET(A$1,,,SUMPRODUCT(MAX(ROW(E$2:E6503)*(E6503=E$2:E6503)))))-COUNTBLANK(OFFSET(A$1,,,SUMPRODUCT(MAX(ROW(E$1:E6502)*(E2=E$1:E6502))))))</f>
        <v> </v>
      </c>
      <c r="K6503" s="26" t="str">
        <f>IF(OR(E6503="",E6503="!!!",F6503="NEW"),"",INDEX(J$1:J6502,SUMPRODUCT(MAX(ROW(E$1:E6502)*(E6503=E$1:E6502)))))</f>
        <v> </v>
      </c>
      <c r="L6503" s="27"/>
    </row>
    <row r="6504" spans="1:12">
      <c r="A6504" s="20" t="s">
        <v>2910</v>
      </c>
      <c r="B6504" s="21" t="s">
        <v>1191</v>
      </c>
      <c r="C6504" s="21" t="s">
        <v>1179</v>
      </c>
      <c r="D6504" s="21" t="s">
        <v>1180</v>
      </c>
      <c r="E6504" s="22">
        <f>IF(D6504="?OLD","!!!","")</f>
        <v/>
      </c>
      <c r="F6504" s="23" t="str">
        <f>IF(OR(E6504="",E6504="!!!"),"",IF(NOT(ISNA(VLOOKUP(E6504,E$1:E6503,1,FALSE()))),"OLD",IF(AND(E6504&lt;&gt;"",E6504&lt;&gt;"!!!"),"NEW","")))</f>
        <v> </v>
      </c>
      <c r="G6504" s="24" t="str">
        <f>IF(OR(E6504="",E6504="!!!"),"",IF(OR(J6504=0,AND(J6504=1,K6504=1),AND(J6504=1,I6504="SBJ"),AND(J6504=1,I6504=0)),"?IN_FOCUS",IF(J6504&lt;=2,"?ACTIVATED",IF(J6504&lt;&gt;"","?FAMILIAR",IF(F6504="NEW",IF(ISNA(VLOOKUP(E6504,#REF!,1,FALSE())),"?TYPE_IDENTIFIABLE","?REFERENTIAL"),"_")))))</f>
        <v> </v>
      </c>
      <c r="H6504" s="25" t="str">
        <f>IF(J6504&lt;&gt;1,"",IF(I6504="SBJ","CB","?"))</f>
        <v> </v>
      </c>
      <c r="I6504" s="26" t="str">
        <f>IF(OR(E6504="",E6504="!!!",F6504="NEW"),"",INDEX(B6503:B$2,-1+SUMPRODUCT(MAX(ROW(E6503:E$2)*(E6504=E6503:E$2)))))</f>
        <v> </v>
      </c>
      <c r="J6504" s="26" t="str">
        <f>IF(OR(E6504="",E6504="!!!",F6504="NEW"),"",COUNTBLANK(OFFSET(A$1,,,SUMPRODUCT(MAX(ROW(E$2:E6504)*(E6504=E$2:E6504)))))-COUNTBLANK(OFFSET(A$1,,,SUMPRODUCT(MAX(ROW(E$1:E6503)*(E2=E$1:E6503))))))</f>
        <v> </v>
      </c>
      <c r="K6504" s="26" t="str">
        <f>IF(OR(E6504="",E6504="!!!",F6504="NEW"),"",INDEX(J$1:J6503,SUMPRODUCT(MAX(ROW(E$1:E6503)*(E6504=E$1:E6503)))))</f>
        <v> </v>
      </c>
      <c r="L6504" s="27"/>
    </row>
    <row r="6505" spans="1:12">
      <c r="A6505" s="20" t="s">
        <v>1257</v>
      </c>
      <c r="E6505" s="22">
        <f>IF(D6505="?OLD","!!!","")</f>
        <v/>
      </c>
      <c r="F6505" s="23" t="str">
        <f>IF(OR(E6505="",E6505="!!!"),"",IF(NOT(ISNA(VLOOKUP(E6505,E$1:E6504,1,FALSE()))),"OLD",IF(AND(E6505&lt;&gt;"",E6505&lt;&gt;"!!!"),"NEW","")))</f>
        <v> </v>
      </c>
      <c r="G6505" s="24" t="str">
        <f>IF(OR(E6505="",E6505="!!!"),"",IF(OR(J6505=0,AND(J6505=1,K6505=1),AND(J6505=1,I6505="SBJ"),AND(J6505=1,I6505=0)),"?IN_FOCUS",IF(J6505&lt;=2,"?ACTIVATED",IF(J6505&lt;&gt;"","?FAMILIAR",IF(F6505="NEW",IF(ISNA(VLOOKUP(E6505,#REF!,1,FALSE())),"?TYPE_IDENTIFIABLE","?REFERENTIAL"),"_")))))</f>
        <v> </v>
      </c>
      <c r="H6505" s="25" t="str">
        <f>IF(J6505&lt;&gt;1,"",IF(I6505="SBJ","CB","?"))</f>
        <v> </v>
      </c>
      <c r="I6505" s="26" t="str">
        <f>IF(OR(E6505="",E6505="!!!",F6505="NEW"),"",INDEX(B6504:B$2,-1+SUMPRODUCT(MAX(ROW(E6504:E$2)*(E6505=E6504:E$2)))))</f>
        <v> </v>
      </c>
      <c r="J6505" s="26" t="str">
        <f>IF(OR(E6505="",E6505="!!!",F6505="NEW"),"",COUNTBLANK(OFFSET(A$1,,,SUMPRODUCT(MAX(ROW(E$2:E6505)*(E6505=E$2:E6505)))))-COUNTBLANK(OFFSET(A$1,,,SUMPRODUCT(MAX(ROW(E$1:E6504)*(E2=E$1:E6504))))))</f>
        <v> </v>
      </c>
      <c r="K6505" s="26" t="str">
        <f>IF(OR(E6505="",E6505="!!!",F6505="NEW"),"",INDEX(J$1:J6504,SUMPRODUCT(MAX(ROW(E$1:E6504)*(E6505=E$1:E6504)))))</f>
        <v> </v>
      </c>
      <c r="L6505" s="27"/>
    </row>
    <row r="6506" spans="1:12">
      <c r="A6506" s="20" t="s">
        <v>1753</v>
      </c>
      <c r="E6506" s="22">
        <f>IF(D6506="?OLD","!!!","")</f>
        <v/>
      </c>
      <c r="F6506" s="23" t="str">
        <f>IF(OR(E6506="",E6506="!!!"),"",IF(NOT(ISNA(VLOOKUP(E6506,E$1:E6505,1,FALSE()))),"OLD",IF(AND(E6506&lt;&gt;"",E6506&lt;&gt;"!!!"),"NEW","")))</f>
        <v> </v>
      </c>
      <c r="G6506" s="24" t="str">
        <f>IF(OR(E6506="",E6506="!!!"),"",IF(OR(J6506=0,AND(J6506=1,K6506=1),AND(J6506=1,I6506="SBJ"),AND(J6506=1,I6506=0)),"?IN_FOCUS",IF(J6506&lt;=2,"?ACTIVATED",IF(J6506&lt;&gt;"","?FAMILIAR",IF(F6506="NEW",IF(ISNA(VLOOKUP(E6506,#REF!,1,FALSE())),"?TYPE_IDENTIFIABLE","?REFERENTIAL"),"_")))))</f>
        <v> </v>
      </c>
      <c r="H6506" s="25" t="str">
        <f>IF(J6506&lt;&gt;1,"",IF(I6506="SBJ","CB","?"))</f>
        <v> </v>
      </c>
      <c r="I6506" s="26" t="str">
        <f>IF(OR(E6506="",E6506="!!!",F6506="NEW"),"",INDEX(B6505:B$2,-1+SUMPRODUCT(MAX(ROW(E6505:E$2)*(E6506=E6505:E$2)))))</f>
        <v> </v>
      </c>
      <c r="J6506" s="26" t="str">
        <f>IF(OR(E6506="",E6506="!!!",F6506="NEW"),"",COUNTBLANK(OFFSET(A$1,,,SUMPRODUCT(MAX(ROW(E$2:E6506)*(E6506=E$2:E6506)))))-COUNTBLANK(OFFSET(A$1,,,SUMPRODUCT(MAX(ROW(E$1:E6505)*(E2=E$1:E6505))))))</f>
        <v> </v>
      </c>
      <c r="K6506" s="26" t="str">
        <f>IF(OR(E6506="",E6506="!!!",F6506="NEW"),"",INDEX(J$1:J6505,SUMPRODUCT(MAX(ROW(E$1:E6505)*(E6506=E$1:E6505)))))</f>
        <v> </v>
      </c>
      <c r="L6506" s="27"/>
    </row>
    <row r="6507" spans="1:12">
      <c r="A6507" s="20" t="s">
        <v>1185</v>
      </c>
      <c r="E6507" s="22">
        <f>IF(D6507="?OLD","!!!","")</f>
        <v/>
      </c>
      <c r="F6507" s="23" t="str">
        <f>IF(OR(E6507="",E6507="!!!"),"",IF(NOT(ISNA(VLOOKUP(E6507,E$1:E6506,1,FALSE()))),"OLD",IF(AND(E6507&lt;&gt;"",E6507&lt;&gt;"!!!"),"NEW","")))</f>
        <v> </v>
      </c>
      <c r="G6507" s="24" t="str">
        <f>IF(OR(E6507="",E6507="!!!"),"",IF(OR(J6507=0,AND(J6507=1,K6507=1),AND(J6507=1,I6507="SBJ"),AND(J6507=1,I6507=0)),"?IN_FOCUS",IF(J6507&lt;=2,"?ACTIVATED",IF(J6507&lt;&gt;"","?FAMILIAR",IF(F6507="NEW",IF(ISNA(VLOOKUP(E6507,#REF!,1,FALSE())),"?TYPE_IDENTIFIABLE","?REFERENTIAL"),"_")))))</f>
        <v> </v>
      </c>
      <c r="H6507" s="25" t="str">
        <f>IF(J6507&lt;&gt;1,"",IF(I6507="SBJ","CB","?"))</f>
        <v> </v>
      </c>
      <c r="I6507" s="26" t="str">
        <f>IF(OR(E6507="",E6507="!!!",F6507="NEW"),"",INDEX(B6506:B$2,-1+SUMPRODUCT(MAX(ROW(E6506:E$2)*(E6507=E6506:E$2)))))</f>
        <v> </v>
      </c>
      <c r="J6507" s="26" t="str">
        <f>IF(OR(E6507="",E6507="!!!",F6507="NEW"),"",COUNTBLANK(OFFSET(A$1,,,SUMPRODUCT(MAX(ROW(E$2:E6507)*(E6507=E$2:E6507)))))-COUNTBLANK(OFFSET(A$1,,,SUMPRODUCT(MAX(ROW(E$1:E6506)*(E2=E$1:E6506))))))</f>
        <v> </v>
      </c>
      <c r="K6507" s="26" t="str">
        <f>IF(OR(E6507="",E6507="!!!",F6507="NEW"),"",INDEX(J$1:J6506,SUMPRODUCT(MAX(ROW(E$1:E6506)*(E6507=E$1:E6506)))))</f>
        <v> </v>
      </c>
      <c r="L6507" s="27"/>
    </row>
    <row r="6508" spans="1:12">
      <c r="A6508" s="20" t="s">
        <v>1420</v>
      </c>
      <c r="E6508" s="22">
        <f>IF(D6508="?OLD","!!!","")</f>
        <v/>
      </c>
      <c r="F6508" s="23" t="str">
        <f>IF(OR(E6508="",E6508="!!!"),"",IF(NOT(ISNA(VLOOKUP(E6508,E$1:E6507,1,FALSE()))),"OLD",IF(AND(E6508&lt;&gt;"",E6508&lt;&gt;"!!!"),"NEW","")))</f>
        <v> </v>
      </c>
      <c r="G6508" s="24" t="str">
        <f>IF(OR(E6508="",E6508="!!!"),"",IF(OR(J6508=0,AND(J6508=1,K6508=1),AND(J6508=1,I6508="SBJ"),AND(J6508=1,I6508=0)),"?IN_FOCUS",IF(J6508&lt;=2,"?ACTIVATED",IF(J6508&lt;&gt;"","?FAMILIAR",IF(F6508="NEW",IF(ISNA(VLOOKUP(E6508,#REF!,1,FALSE())),"?TYPE_IDENTIFIABLE","?REFERENTIAL"),"_")))))</f>
        <v> </v>
      </c>
      <c r="H6508" s="25" t="str">
        <f>IF(J6508&lt;&gt;1,"",IF(I6508="SBJ","CB","?"))</f>
        <v> </v>
      </c>
      <c r="I6508" s="26" t="str">
        <f>IF(OR(E6508="",E6508="!!!",F6508="NEW"),"",INDEX(B6507:B$2,-1+SUMPRODUCT(MAX(ROW(E6507:E$2)*(E6508=E6507:E$2)))))</f>
        <v> </v>
      </c>
      <c r="J6508" s="26" t="str">
        <f>IF(OR(E6508="",E6508="!!!",F6508="NEW"),"",COUNTBLANK(OFFSET(A$1,,,SUMPRODUCT(MAX(ROW(E$2:E6508)*(E6508=E$2:E6508)))))-COUNTBLANK(OFFSET(A$1,,,SUMPRODUCT(MAX(ROW(E$1:E6507)*(E2=E$1:E6507))))))</f>
        <v> </v>
      </c>
      <c r="K6508" s="26" t="str">
        <f>IF(OR(E6508="",E6508="!!!",F6508="NEW"),"",INDEX(J$1:J6507,SUMPRODUCT(MAX(ROW(E$1:E6507)*(E6508=E$1:E6507)))))</f>
        <v> </v>
      </c>
      <c r="L6508" s="27"/>
    </row>
    <row r="6509" spans="1:12">
      <c r="A6509" s="20" t="s">
        <v>1263</v>
      </c>
      <c r="B6509" s="21" t="s">
        <v>1240</v>
      </c>
      <c r="C6509" s="21" t="s">
        <v>1195</v>
      </c>
      <c r="D6509" s="21" t="s">
        <v>1180</v>
      </c>
      <c r="E6509" s="22">
        <f>IF(D6509="?OLD","!!!","")</f>
        <v/>
      </c>
      <c r="F6509" s="23" t="str">
        <f>IF(OR(E6509="",E6509="!!!"),"",IF(NOT(ISNA(VLOOKUP(E6509,E$1:E6508,1,FALSE()))),"OLD",IF(AND(E6509&lt;&gt;"",E6509&lt;&gt;"!!!"),"NEW","")))</f>
        <v> </v>
      </c>
      <c r="G6509" s="24" t="str">
        <f>IF(OR(E6509="",E6509="!!!"),"",IF(OR(J6509=0,AND(J6509=1,K6509=1),AND(J6509=1,I6509="SBJ"),AND(J6509=1,I6509=0)),"?IN_FOCUS",IF(J6509&lt;=2,"?ACTIVATED",IF(J6509&lt;&gt;"","?FAMILIAR",IF(F6509="NEW",IF(ISNA(VLOOKUP(E6509,#REF!,1,FALSE())),"?TYPE_IDENTIFIABLE","?REFERENTIAL"),"_")))))</f>
        <v> </v>
      </c>
      <c r="H6509" s="25" t="str">
        <f>IF(J6509&lt;&gt;1,"",IF(I6509="SBJ","CB","?"))</f>
        <v> </v>
      </c>
      <c r="I6509" s="26" t="str">
        <f>IF(OR(E6509="",E6509="!!!",F6509="NEW"),"",INDEX(B6508:B$2,-1+SUMPRODUCT(MAX(ROW(E6508:E$2)*(E6509=E6508:E$2)))))</f>
        <v> </v>
      </c>
      <c r="J6509" s="26" t="str">
        <f>IF(OR(E6509="",E6509="!!!",F6509="NEW"),"",COUNTBLANK(OFFSET(A$1,,,SUMPRODUCT(MAX(ROW(E$2:E6509)*(E6509=E$2:E6509)))))-COUNTBLANK(OFFSET(A$1,,,SUMPRODUCT(MAX(ROW(E$1:E6508)*(E2=E$1:E6508))))))</f>
        <v> </v>
      </c>
      <c r="K6509" s="26" t="str">
        <f>IF(OR(E6509="",E6509="!!!",F6509="NEW"),"",INDEX(J$1:J6508,SUMPRODUCT(MAX(ROW(E$1:E6508)*(E6509=E$1:E6508)))))</f>
        <v> </v>
      </c>
      <c r="L6509" s="27"/>
    </row>
    <row r="6510" spans="1:12">
      <c r="A6510" s="20" t="s">
        <v>185</v>
      </c>
      <c r="B6510" s="21" t="s">
        <v>1237</v>
      </c>
      <c r="C6510" s="21" t="s">
        <v>1195</v>
      </c>
      <c r="D6510" s="21" t="s">
        <v>1180</v>
      </c>
      <c r="E6510" s="22">
        <f>IF(D6510="?OLD","!!!","")</f>
        <v/>
      </c>
      <c r="F6510" s="23" t="str">
        <f>IF(OR(E6510="",E6510="!!!"),"",IF(NOT(ISNA(VLOOKUP(E6510,E$1:E6509,1,FALSE()))),"OLD",IF(AND(E6510&lt;&gt;"",E6510&lt;&gt;"!!!"),"NEW","")))</f>
        <v> </v>
      </c>
      <c r="G6510" s="24" t="str">
        <f>IF(OR(E6510="",E6510="!!!"),"",IF(OR(J6510=0,AND(J6510=1,K6510=1),AND(J6510=1,I6510="SBJ"),AND(J6510=1,I6510=0)),"?IN_FOCUS",IF(J6510&lt;=2,"?ACTIVATED",IF(J6510&lt;&gt;"","?FAMILIAR",IF(F6510="NEW",IF(ISNA(VLOOKUP(E6510,#REF!,1,FALSE())),"?TYPE_IDENTIFIABLE","?REFERENTIAL"),"_")))))</f>
        <v> </v>
      </c>
      <c r="H6510" s="25" t="str">
        <f>IF(J6510&lt;&gt;1,"",IF(I6510="SBJ","CB","?"))</f>
        <v> </v>
      </c>
      <c r="I6510" s="26" t="str">
        <f>IF(OR(E6510="",E6510="!!!",F6510="NEW"),"",INDEX(B6509:B$2,-1+SUMPRODUCT(MAX(ROW(E6509:E$2)*(E6510=E6509:E$2)))))</f>
        <v> </v>
      </c>
      <c r="J6510" s="26" t="str">
        <f>IF(OR(E6510="",E6510="!!!",F6510="NEW"),"",COUNTBLANK(OFFSET(A$1,,,SUMPRODUCT(MAX(ROW(E$2:E6510)*(E6510=E$2:E6510)))))-COUNTBLANK(OFFSET(A$1,,,SUMPRODUCT(MAX(ROW(E$1:E6509)*(E2=E$1:E6509))))))</f>
        <v> </v>
      </c>
      <c r="K6510" s="26" t="str">
        <f>IF(OR(E6510="",E6510="!!!",F6510="NEW"),"",INDEX(J$1:J6509,SUMPRODUCT(MAX(ROW(E$1:E6509)*(E6510=E$1:E6509)))))</f>
        <v> </v>
      </c>
      <c r="L6510" s="27"/>
    </row>
    <row r="6511" spans="1:12">
      <c r="A6511" s="20" t="s">
        <v>2691</v>
      </c>
      <c r="E6511" s="22">
        <f>IF(D6511="?OLD","!!!","")</f>
        <v/>
      </c>
      <c r="F6511" s="23" t="str">
        <f>IF(OR(E6511="",E6511="!!!"),"",IF(NOT(ISNA(VLOOKUP(E6511,E$1:E6510,1,FALSE()))),"OLD",IF(AND(E6511&lt;&gt;"",E6511&lt;&gt;"!!!"),"NEW","")))</f>
        <v> </v>
      </c>
      <c r="G6511" s="24" t="str">
        <f>IF(OR(E6511="",E6511="!!!"),"",IF(OR(J6511=0,AND(J6511=1,K6511=1),AND(J6511=1,I6511="SBJ"),AND(J6511=1,I6511=0)),"?IN_FOCUS",IF(J6511&lt;=2,"?ACTIVATED",IF(J6511&lt;&gt;"","?FAMILIAR",IF(F6511="NEW",IF(ISNA(VLOOKUP(E6511,#REF!,1,FALSE())),"?TYPE_IDENTIFIABLE","?REFERENTIAL"),"_")))))</f>
        <v> </v>
      </c>
      <c r="H6511" s="25" t="str">
        <f>IF(J6511&lt;&gt;1,"",IF(I6511="SBJ","CB","?"))</f>
        <v> </v>
      </c>
      <c r="I6511" s="26" t="str">
        <f>IF(OR(E6511="",E6511="!!!",F6511="NEW"),"",INDEX(B6510:B$2,-1+SUMPRODUCT(MAX(ROW(E6510:E$2)*(E6511=E6510:E$2)))))</f>
        <v> </v>
      </c>
      <c r="J6511" s="26" t="str">
        <f>IF(OR(E6511="",E6511="!!!",F6511="NEW"),"",COUNTBLANK(OFFSET(A$1,,,SUMPRODUCT(MAX(ROW(E$2:E6511)*(E6511=E$2:E6511)))))-COUNTBLANK(OFFSET(A$1,,,SUMPRODUCT(MAX(ROW(E$1:E6510)*(E2=E$1:E6510))))))</f>
        <v> </v>
      </c>
      <c r="K6511" s="26" t="str">
        <f>IF(OR(E6511="",E6511="!!!",F6511="NEW"),"",INDEX(J$1:J6510,SUMPRODUCT(MAX(ROW(E$1:E6510)*(E6511=E$1:E6510)))))</f>
        <v> </v>
      </c>
      <c r="L6511" s="27"/>
    </row>
    <row r="6512" spans="1:12">
      <c r="A6512" s="20" t="s">
        <v>1733</v>
      </c>
      <c r="E6512" s="22">
        <f>IF(D6512="?OLD","!!!","")</f>
        <v/>
      </c>
      <c r="F6512" s="23" t="str">
        <f>IF(OR(E6512="",E6512="!!!"),"",IF(NOT(ISNA(VLOOKUP(E6512,E$1:E6511,1,FALSE()))),"OLD",IF(AND(E6512&lt;&gt;"",E6512&lt;&gt;"!!!"),"NEW","")))</f>
        <v> </v>
      </c>
      <c r="G6512" s="24" t="str">
        <f>IF(OR(E6512="",E6512="!!!"),"",IF(OR(J6512=0,AND(J6512=1,K6512=1),AND(J6512=1,I6512="SBJ"),AND(J6512=1,I6512=0)),"?IN_FOCUS",IF(J6512&lt;=2,"?ACTIVATED",IF(J6512&lt;&gt;"","?FAMILIAR",IF(F6512="NEW",IF(ISNA(VLOOKUP(E6512,#REF!,1,FALSE())),"?TYPE_IDENTIFIABLE","?REFERENTIAL"),"_")))))</f>
        <v> </v>
      </c>
      <c r="H6512" s="25" t="str">
        <f>IF(J6512&lt;&gt;1,"",IF(I6512="SBJ","CB","?"))</f>
        <v> </v>
      </c>
      <c r="I6512" s="26" t="str">
        <f>IF(OR(E6512="",E6512="!!!",F6512="NEW"),"",INDEX(B6511:B$2,-1+SUMPRODUCT(MAX(ROW(E6511:E$2)*(E6512=E6511:E$2)))))</f>
        <v> </v>
      </c>
      <c r="J6512" s="26" t="str">
        <f>IF(OR(E6512="",E6512="!!!",F6512="NEW"),"",COUNTBLANK(OFFSET(A$1,,,SUMPRODUCT(MAX(ROW(E$2:E6512)*(E6512=E$2:E6512)))))-COUNTBLANK(OFFSET(A$1,,,SUMPRODUCT(MAX(ROW(E$1:E6511)*(E2=E$1:E6511))))))</f>
        <v> </v>
      </c>
      <c r="K6512" s="26" t="str">
        <f>IF(OR(E6512="",E6512="!!!",F6512="NEW"),"",INDEX(J$1:J6511,SUMPRODUCT(MAX(ROW(E$1:E6511)*(E6512=E$1:E6511)))))</f>
        <v> </v>
      </c>
      <c r="L6512" s="27"/>
    </row>
    <row r="6513" spans="1:12">
      <c r="A6513" s="20" t="s">
        <v>818</v>
      </c>
      <c r="E6513" s="22">
        <f>IF(D6513="?OLD","!!!","")</f>
        <v/>
      </c>
      <c r="F6513" s="23" t="str">
        <f>IF(OR(E6513="",E6513="!!!"),"",IF(NOT(ISNA(VLOOKUP(E6513,E$1:E6512,1,FALSE()))),"OLD",IF(AND(E6513&lt;&gt;"",E6513&lt;&gt;"!!!"),"NEW","")))</f>
        <v> </v>
      </c>
      <c r="G6513" s="24" t="str">
        <f>IF(OR(E6513="",E6513="!!!"),"",IF(OR(J6513=0,AND(J6513=1,K6513=1),AND(J6513=1,I6513="SBJ"),AND(J6513=1,I6513=0)),"?IN_FOCUS",IF(J6513&lt;=2,"?ACTIVATED",IF(J6513&lt;&gt;"","?FAMILIAR",IF(F6513="NEW",IF(ISNA(VLOOKUP(E6513,#REF!,1,FALSE())),"?TYPE_IDENTIFIABLE","?REFERENTIAL"),"_")))))</f>
        <v> </v>
      </c>
      <c r="H6513" s="25" t="str">
        <f>IF(J6513&lt;&gt;1,"",IF(I6513="SBJ","CB","?"))</f>
        <v> </v>
      </c>
      <c r="I6513" s="26" t="str">
        <f>IF(OR(E6513="",E6513="!!!",F6513="NEW"),"",INDEX(B6512:B$2,-1+SUMPRODUCT(MAX(ROW(E6512:E$2)*(E6513=E6512:E$2)))))</f>
        <v> </v>
      </c>
      <c r="J6513" s="26" t="str">
        <f>IF(OR(E6513="",E6513="!!!",F6513="NEW"),"",COUNTBLANK(OFFSET(A$1,,,SUMPRODUCT(MAX(ROW(E$2:E6513)*(E6513=E$2:E6513)))))-COUNTBLANK(OFFSET(A$1,,,SUMPRODUCT(MAX(ROW(E$1:E6512)*(E2=E$1:E6512))))))</f>
        <v> </v>
      </c>
      <c r="K6513" s="26" t="str">
        <f>IF(OR(E6513="",E6513="!!!",F6513="NEW"),"",INDEX(J$1:J6512,SUMPRODUCT(MAX(ROW(E$1:E6512)*(E6513=E$1:E6512)))))</f>
        <v> </v>
      </c>
      <c r="L6513" s="27"/>
    </row>
    <row r="6514" spans="1:12">
      <c r="A6514" s="20"/>
    </row>
    <row r="6515" spans="1:12">
      <c r="A6515" s="20" t="s">
        <v>2916</v>
      </c>
    </row>
    <row r="6516" spans="1:12">
      <c r="A6516" s="20" t="s">
        <v>1256</v>
      </c>
      <c r="B6516" s="21" t="s">
        <v>1194</v>
      </c>
      <c r="C6516" s="21" t="s">
        <v>1195</v>
      </c>
      <c r="D6516" s="21" t="s">
        <v>1180</v>
      </c>
      <c r="E6516" s="22">
        <f>IF(D6516="?OLD","!!!","")</f>
        <v/>
      </c>
      <c r="F6516" s="23" t="str">
        <f>IF(OR(E6516="",E6516="!!!"),"",IF(NOT(ISNA(VLOOKUP(E6516,E$1:E6515,1,FALSE()))),"OLD",IF(AND(E6516&lt;&gt;"",E6516&lt;&gt;"!!!"),"NEW","")))</f>
        <v> </v>
      </c>
      <c r="G6516" s="24" t="str">
        <f>IF(OR(E6516="",E6516="!!!"),"",IF(OR(J6516=0,AND(J6516=1,K6516=1),AND(J6516=1,I6516="SBJ"),AND(J6516=1,I6516=0)),"?IN_FOCUS",IF(J6516&lt;=2,"?ACTIVATED",IF(J6516&lt;&gt;"","?FAMILIAR",IF(F6516="NEW",IF(ISNA(VLOOKUP(E6516,#REF!,1,FALSE())),"?TYPE_IDENTIFIABLE","?REFERENTIAL"),"_")))))</f>
        <v> </v>
      </c>
      <c r="H6516" s="25" t="str">
        <f>IF(J6516&lt;&gt;1,"",IF(I6516="SBJ","CB","?"))</f>
        <v> </v>
      </c>
      <c r="I6516" s="26" t="str">
        <f>IF(OR(E6516="",E6516="!!!",F6516="NEW"),"",INDEX(B6515:B$2,-1+SUMPRODUCT(MAX(ROW(E6515:E$2)*(E6516=E6515:E$2)))))</f>
        <v> </v>
      </c>
      <c r="J6516" s="26" t="str">
        <f>IF(OR(E6516="",E6516="!!!",F6516="NEW"),"",COUNTBLANK(OFFSET(A$1,,,SUMPRODUCT(MAX(ROW(E$2:E6516)*(E6516=E$2:E6516)))))-COUNTBLANK(OFFSET(A$1,,,SUMPRODUCT(MAX(ROW(E$1:E6515)*(E2=E$1:E6515))))))</f>
        <v> </v>
      </c>
      <c r="K6516" s="26" t="str">
        <f>IF(OR(E6516="",E6516="!!!",F6516="NEW"),"",INDEX(J$1:J6515,SUMPRODUCT(MAX(ROW(E$1:E6515)*(E6516=E$1:E6515)))))</f>
        <v> </v>
      </c>
      <c r="L6516" s="27"/>
    </row>
    <row r="6517" spans="1:12">
      <c r="A6517" s="20" t="s">
        <v>1257</v>
      </c>
      <c r="E6517" s="22">
        <f>IF(D6517="?OLD","!!!","")</f>
        <v/>
      </c>
      <c r="F6517" s="23" t="str">
        <f>IF(OR(E6517="",E6517="!!!"),"",IF(NOT(ISNA(VLOOKUP(E6517,E$1:E6516,1,FALSE()))),"OLD",IF(AND(E6517&lt;&gt;"",E6517&lt;&gt;"!!!"),"NEW","")))</f>
        <v> </v>
      </c>
      <c r="G6517" s="24" t="str">
        <f>IF(OR(E6517="",E6517="!!!"),"",IF(OR(J6517=0,AND(J6517=1,K6517=1),AND(J6517=1,I6517="SBJ"),AND(J6517=1,I6517=0)),"?IN_FOCUS",IF(J6517&lt;=2,"?ACTIVATED",IF(J6517&lt;&gt;"","?FAMILIAR",IF(F6517="NEW",IF(ISNA(VLOOKUP(E6517,#REF!,1,FALSE())),"?TYPE_IDENTIFIABLE","?REFERENTIAL"),"_")))))</f>
        <v> </v>
      </c>
      <c r="H6517" s="25" t="str">
        <f>IF(J6517&lt;&gt;1,"",IF(I6517="SBJ","CB","?"))</f>
        <v> </v>
      </c>
      <c r="I6517" s="26" t="str">
        <f>IF(OR(E6517="",E6517="!!!",F6517="NEW"),"",INDEX(B6516:B$2,-1+SUMPRODUCT(MAX(ROW(E6516:E$2)*(E6517=E6516:E$2)))))</f>
        <v> </v>
      </c>
      <c r="J6517" s="26" t="str">
        <f>IF(OR(E6517="",E6517="!!!",F6517="NEW"),"",COUNTBLANK(OFFSET(A$1,,,SUMPRODUCT(MAX(ROW(E$2:E6517)*(E6517=E$2:E6517)))))-COUNTBLANK(OFFSET(A$1,,,SUMPRODUCT(MAX(ROW(E$1:E6516)*(E2=E$1:E6516))))))</f>
        <v> </v>
      </c>
      <c r="K6517" s="26" t="str">
        <f>IF(OR(E6517="",E6517="!!!",F6517="NEW"),"",INDEX(J$1:J6516,SUMPRODUCT(MAX(ROW(E$1:E6516)*(E6517=E$1:E6516)))))</f>
        <v> </v>
      </c>
      <c r="L6517" s="27"/>
    </row>
    <row r="6518" spans="1:12">
      <c r="A6518" s="20" t="s">
        <v>1433</v>
      </c>
      <c r="B6518" s="21" t="s">
        <v>1178</v>
      </c>
      <c r="C6518" s="21" t="s">
        <v>1238</v>
      </c>
      <c r="D6518" s="21" t="s">
        <v>1180</v>
      </c>
      <c r="E6518" s="22">
        <f>IF(D6518="?OLD","!!!","")</f>
        <v/>
      </c>
      <c r="F6518" s="23" t="str">
        <f>IF(OR(E6518="",E6518="!!!"),"",IF(NOT(ISNA(VLOOKUP(E6518,E$1:E6517,1,FALSE()))),"OLD",IF(AND(E6518&lt;&gt;"",E6518&lt;&gt;"!!!"),"NEW","")))</f>
        <v> </v>
      </c>
      <c r="G6518" s="24" t="str">
        <f>IF(OR(E6518="",E6518="!!!"),"",IF(OR(J6518=0,AND(J6518=1,K6518=1),AND(J6518=1,I6518="SBJ"),AND(J6518=1,I6518=0)),"?IN_FOCUS",IF(J6518&lt;=2,"?ACTIVATED",IF(J6518&lt;&gt;"","?FAMILIAR",IF(F6518="NEW",IF(ISNA(VLOOKUP(E6518,#REF!,1,FALSE())),"?TYPE_IDENTIFIABLE","?REFERENTIAL"),"_")))))</f>
        <v> </v>
      </c>
      <c r="H6518" s="25" t="str">
        <f>IF(J6518&lt;&gt;1,"",IF(I6518="SBJ","CB","?"))</f>
        <v> </v>
      </c>
      <c r="I6518" s="26" t="str">
        <f>IF(OR(E6518="",E6518="!!!",F6518="NEW"),"",INDEX(B6517:B$2,-1+SUMPRODUCT(MAX(ROW(E6517:E$2)*(E6518=E6517:E$2)))))</f>
        <v> </v>
      </c>
      <c r="J6518" s="26" t="str">
        <f>IF(OR(E6518="",E6518="!!!",F6518="NEW"),"",COUNTBLANK(OFFSET(A$1,,,SUMPRODUCT(MAX(ROW(E$2:E6518)*(E6518=E$2:E6518)))))-COUNTBLANK(OFFSET(A$1,,,SUMPRODUCT(MAX(ROW(E$1:E6517)*(E2=E$1:E6517))))))</f>
        <v> </v>
      </c>
      <c r="K6518" s="26" t="str">
        <f>IF(OR(E6518="",E6518="!!!",F6518="NEW"),"",INDEX(J$1:J6517,SUMPRODUCT(MAX(ROW(E$1:E6517)*(E6518=E$1:E6517)))))</f>
        <v> </v>
      </c>
      <c r="L6518" s="27"/>
    </row>
    <row r="6519" spans="1:12">
      <c r="A6519" s="20" t="s">
        <v>2917</v>
      </c>
      <c r="E6519" s="22">
        <f>IF(D6519="?OLD","!!!","")</f>
        <v/>
      </c>
      <c r="F6519" s="23" t="str">
        <f>IF(OR(E6519="",E6519="!!!"),"",IF(NOT(ISNA(VLOOKUP(E6519,E$1:E6518,1,FALSE()))),"OLD",IF(AND(E6519&lt;&gt;"",E6519&lt;&gt;"!!!"),"NEW","")))</f>
        <v> </v>
      </c>
      <c r="G6519" s="24" t="str">
        <f>IF(OR(E6519="",E6519="!!!"),"",IF(OR(J6519=0,AND(J6519=1,K6519=1),AND(J6519=1,I6519="SBJ"),AND(J6519=1,I6519=0)),"?IN_FOCUS",IF(J6519&lt;=2,"?ACTIVATED",IF(J6519&lt;&gt;"","?FAMILIAR",IF(F6519="NEW",IF(ISNA(VLOOKUP(E6519,#REF!,1,FALSE())),"?TYPE_IDENTIFIABLE","?REFERENTIAL"),"_")))))</f>
        <v> </v>
      </c>
      <c r="H6519" s="25" t="str">
        <f>IF(J6519&lt;&gt;1,"",IF(I6519="SBJ","CB","?"))</f>
        <v> </v>
      </c>
      <c r="I6519" s="26" t="str">
        <f>IF(OR(E6519="",E6519="!!!",F6519="NEW"),"",INDEX(B6518:B$2,-1+SUMPRODUCT(MAX(ROW(E6518:E$2)*(E6519=E6518:E$2)))))</f>
        <v> </v>
      </c>
      <c r="J6519" s="26" t="str">
        <f>IF(OR(E6519="",E6519="!!!",F6519="NEW"),"",COUNTBLANK(OFFSET(A$1,,,SUMPRODUCT(MAX(ROW(E$2:E6519)*(E6519=E$2:E6519)))))-COUNTBLANK(OFFSET(A$1,,,SUMPRODUCT(MAX(ROW(E$1:E6518)*(E2=E$1:E6518))))))</f>
        <v> </v>
      </c>
      <c r="K6519" s="26" t="str">
        <f>IF(OR(E6519="",E6519="!!!",F6519="NEW"),"",INDEX(J$1:J6518,SUMPRODUCT(MAX(ROW(E$1:E6518)*(E6519=E$1:E6518)))))</f>
        <v> </v>
      </c>
      <c r="L6519" s="27"/>
    </row>
    <row r="6520" spans="1:12">
      <c r="A6520" s="20" t="s">
        <v>818</v>
      </c>
      <c r="E6520" s="22">
        <f>IF(D6520="?OLD","!!!","")</f>
        <v/>
      </c>
      <c r="F6520" s="23" t="str">
        <f>IF(OR(E6520="",E6520="!!!"),"",IF(NOT(ISNA(VLOOKUP(E6520,E$1:E6519,1,FALSE()))),"OLD",IF(AND(E6520&lt;&gt;"",E6520&lt;&gt;"!!!"),"NEW","")))</f>
        <v> </v>
      </c>
      <c r="G6520" s="24" t="str">
        <f>IF(OR(E6520="",E6520="!!!"),"",IF(OR(J6520=0,AND(J6520=1,K6520=1),AND(J6520=1,I6520="SBJ"),AND(J6520=1,I6520=0)),"?IN_FOCUS",IF(J6520&lt;=2,"?ACTIVATED",IF(J6520&lt;&gt;"","?FAMILIAR",IF(F6520="NEW",IF(ISNA(VLOOKUP(E6520,#REF!,1,FALSE())),"?TYPE_IDENTIFIABLE","?REFERENTIAL"),"_")))))</f>
        <v> </v>
      </c>
      <c r="H6520" s="25" t="str">
        <f>IF(J6520&lt;&gt;1,"",IF(I6520="SBJ","CB","?"))</f>
        <v> </v>
      </c>
      <c r="I6520" s="26" t="str">
        <f>IF(OR(E6520="",E6520="!!!",F6520="NEW"),"",INDEX(B6519:B$2,-1+SUMPRODUCT(MAX(ROW(E6519:E$2)*(E6520=E6519:E$2)))))</f>
        <v> </v>
      </c>
      <c r="J6520" s="26" t="str">
        <f>IF(OR(E6520="",E6520="!!!",F6520="NEW"),"",COUNTBLANK(OFFSET(A$1,,,SUMPRODUCT(MAX(ROW(E$2:E6520)*(E6520=E$2:E6520)))))-COUNTBLANK(OFFSET(A$1,,,SUMPRODUCT(MAX(ROW(E$1:E6519)*(E2=E$1:E6519))))))</f>
        <v> </v>
      </c>
      <c r="K6520" s="26" t="str">
        <f>IF(OR(E6520="",E6520="!!!",F6520="NEW"),"",INDEX(J$1:J6519,SUMPRODUCT(MAX(ROW(E$1:E6519)*(E6520=E$1:E6519)))))</f>
        <v> </v>
      </c>
      <c r="L6520" s="27"/>
    </row>
    <row r="6521" spans="1:12">
      <c r="A6521" s="20"/>
    </row>
    <row r="6522" spans="1:12">
      <c r="A6522" s="20" t="s">
        <v>1362</v>
      </c>
      <c r="E6522" s="22">
        <f>IF(D6522="?OLD","!!!","")</f>
        <v/>
      </c>
      <c r="F6522" s="23" t="str">
        <f>IF(OR(E6522="",E6522="!!!"),"",IF(NOT(ISNA(VLOOKUP(E6522,E$1:E6521,1,FALSE()))),"OLD",IF(AND(E6522&lt;&gt;"",E6522&lt;&gt;"!!!"),"NEW","")))</f>
        <v> </v>
      </c>
      <c r="G6522" s="24" t="str">
        <f>IF(OR(E6522="",E6522="!!!"),"",IF(OR(J6522=0,AND(J6522=1,K6522=1),AND(J6522=1,I6522="SBJ"),AND(J6522=1,I6522=0)),"?IN_FOCUS",IF(J6522&lt;=2,"?ACTIVATED",IF(J6522&lt;&gt;"","?FAMILIAR",IF(F6522="NEW",IF(ISNA(VLOOKUP(E6522,#REF!,1,FALSE())),"?TYPE_IDENTIFIABLE","?REFERENTIAL"),"_")))))</f>
        <v> </v>
      </c>
      <c r="H6522" s="25" t="str">
        <f>IF(J6522&lt;&gt;1,"",IF(I6522="SBJ","CB","?"))</f>
        <v> </v>
      </c>
      <c r="I6522" s="26" t="str">
        <f>IF(OR(E6522="",E6522="!!!",F6522="NEW"),"",INDEX(B6521:B$2,-1+SUMPRODUCT(MAX(ROW(E6521:E$2)*(E6522=E6521:E$2)))))</f>
        <v> </v>
      </c>
      <c r="J6522" s="26" t="str">
        <f>IF(OR(E6522="",E6522="!!!",F6522="NEW"),"",COUNTBLANK(OFFSET(A$1,,,SUMPRODUCT(MAX(ROW(E$2:E6522)*(E6522=E$2:E6522)))))-COUNTBLANK(OFFSET(A$1,,,SUMPRODUCT(MAX(ROW(E$1:E6521)*(E2=E$1:E6521))))))</f>
        <v> </v>
      </c>
      <c r="K6522" s="26" t="str">
        <f>IF(OR(E6522="",E6522="!!!",F6522="NEW"),"",INDEX(J$1:J6521,SUMPRODUCT(MAX(ROW(E$1:E6521)*(E6522=E$1:E6521)))))</f>
        <v> </v>
      </c>
      <c r="L6522" s="27"/>
    </row>
    <row r="6523" spans="1:12">
      <c r="A6523" s="20" t="s">
        <v>2918</v>
      </c>
    </row>
    <row r="6524" spans="1:12">
      <c r="A6524" s="20" t="s">
        <v>1262</v>
      </c>
      <c r="E6524" s="22">
        <f>IF(D6524="?OLD","!!!","")</f>
        <v/>
      </c>
      <c r="F6524" s="23" t="str">
        <f>IF(OR(E6524="",E6524="!!!"),"",IF(NOT(ISNA(VLOOKUP(E6524,E$1:E6523,1,FALSE()))),"OLD",IF(AND(E6524&lt;&gt;"",E6524&lt;&gt;"!!!"),"NEW","")))</f>
        <v> </v>
      </c>
      <c r="G6524" s="24" t="str">
        <f>IF(OR(E6524="",E6524="!!!"),"",IF(OR(J6524=0,AND(J6524=1,K6524=1),AND(J6524=1,I6524="SBJ"),AND(J6524=1,I6524=0)),"?IN_FOCUS",IF(J6524&lt;=2,"?ACTIVATED",IF(J6524&lt;&gt;"","?FAMILIAR",IF(F6524="NEW",IF(ISNA(VLOOKUP(E6524,#REF!,1,FALSE())),"?TYPE_IDENTIFIABLE","?REFERENTIAL"),"_")))))</f>
        <v> </v>
      </c>
      <c r="H6524" s="25" t="str">
        <f>IF(J6524&lt;&gt;1,"",IF(I6524="SBJ","CB","?"))</f>
        <v> </v>
      </c>
      <c r="I6524" s="26" t="str">
        <f>IF(OR(E6524="",E6524="!!!",F6524="NEW"),"",INDEX(B6523:B$2,-1+SUMPRODUCT(MAX(ROW(E6523:E$2)*(E6524=E6523:E$2)))))</f>
        <v> </v>
      </c>
      <c r="J6524" s="26" t="str">
        <f>IF(OR(E6524="",E6524="!!!",F6524="NEW"),"",COUNTBLANK(OFFSET(A$1,,,SUMPRODUCT(MAX(ROW(E$2:E6524)*(E6524=E$2:E6524)))))-COUNTBLANK(OFFSET(A$1,,,SUMPRODUCT(MAX(ROW(E$1:E6523)*(E2=E$1:E6523))))))</f>
        <v> </v>
      </c>
      <c r="K6524" s="26" t="str">
        <f>IF(OR(E6524="",E6524="!!!",F6524="NEW"),"",INDEX(J$1:J6523,SUMPRODUCT(MAX(ROW(E$1:E6523)*(E6524=E$1:E6523)))))</f>
        <v> </v>
      </c>
      <c r="L6524" s="27"/>
    </row>
    <row r="6525" spans="1:12">
      <c r="A6525" s="20" t="s">
        <v>1182</v>
      </c>
      <c r="E6525" s="22">
        <f>IF(D6525="?OLD","!!!","")</f>
        <v/>
      </c>
      <c r="F6525" s="23" t="str">
        <f>IF(OR(E6525="",E6525="!!!"),"",IF(NOT(ISNA(VLOOKUP(E6525,E$1:E6524,1,FALSE()))),"OLD",IF(AND(E6525&lt;&gt;"",E6525&lt;&gt;"!!!"),"NEW","")))</f>
        <v> </v>
      </c>
      <c r="G6525" s="24" t="str">
        <f>IF(OR(E6525="",E6525="!!!"),"",IF(OR(J6525=0,AND(J6525=1,K6525=1),AND(J6525=1,I6525="SBJ"),AND(J6525=1,I6525=0)),"?IN_FOCUS",IF(J6525&lt;=2,"?ACTIVATED",IF(J6525&lt;&gt;"","?FAMILIAR",IF(F6525="NEW",IF(ISNA(VLOOKUP(E6525,#REF!,1,FALSE())),"?TYPE_IDENTIFIABLE","?REFERENTIAL"),"_")))))</f>
        <v> </v>
      </c>
      <c r="H6525" s="25" t="str">
        <f>IF(J6525&lt;&gt;1,"",IF(I6525="SBJ","CB","?"))</f>
        <v> </v>
      </c>
      <c r="I6525" s="26" t="str">
        <f>IF(OR(E6525="",E6525="!!!",F6525="NEW"),"",INDEX(B6524:B$2,-1+SUMPRODUCT(MAX(ROW(E6524:E$2)*(E6525=E6524:E$2)))))</f>
        <v> </v>
      </c>
      <c r="J6525" s="26" t="str">
        <f>IF(OR(E6525="",E6525="!!!",F6525="NEW"),"",COUNTBLANK(OFFSET(A$1,,,SUMPRODUCT(MAX(ROW(E$2:E6525)*(E6525=E$2:E6525)))))-COUNTBLANK(OFFSET(A$1,,,SUMPRODUCT(MAX(ROW(E$1:E6524)*(E2=E$1:E6524))))))</f>
        <v> </v>
      </c>
      <c r="K6525" s="26" t="str">
        <f>IF(OR(E6525="",E6525="!!!",F6525="NEW"),"",INDEX(J$1:J6524,SUMPRODUCT(MAX(ROW(E$1:E6524)*(E6525=E$1:E6524)))))</f>
        <v> </v>
      </c>
      <c r="L6525" s="27"/>
    </row>
    <row r="6526" spans="1:12">
      <c r="A6526" s="20" t="s">
        <v>1545</v>
      </c>
      <c r="E6526" s="22">
        <f>IF(D6526="?OLD","!!!","")</f>
        <v/>
      </c>
      <c r="F6526" s="23" t="str">
        <f>IF(OR(E6526="",E6526="!!!"),"",IF(NOT(ISNA(VLOOKUP(E6526,E$1:E6525,1,FALSE()))),"OLD",IF(AND(E6526&lt;&gt;"",E6526&lt;&gt;"!!!"),"NEW","")))</f>
        <v> </v>
      </c>
      <c r="G6526" s="24" t="str">
        <f>IF(OR(E6526="",E6526="!!!"),"",IF(OR(J6526=0,AND(J6526=1,K6526=1),AND(J6526=1,I6526="SBJ"),AND(J6526=1,I6526=0)),"?IN_FOCUS",IF(J6526&lt;=2,"?ACTIVATED",IF(J6526&lt;&gt;"","?FAMILIAR",IF(F6526="NEW",IF(ISNA(VLOOKUP(E6526,#REF!,1,FALSE())),"?TYPE_IDENTIFIABLE","?REFERENTIAL"),"_")))))</f>
        <v> </v>
      </c>
      <c r="H6526" s="25" t="str">
        <f>IF(J6526&lt;&gt;1,"",IF(I6526="SBJ","CB","?"))</f>
        <v> </v>
      </c>
      <c r="I6526" s="26" t="str">
        <f>IF(OR(E6526="",E6526="!!!",F6526="NEW"),"",INDEX(B6525:B$2,-1+SUMPRODUCT(MAX(ROW(E6525:E$2)*(E6526=E6525:E$2)))))</f>
        <v> </v>
      </c>
      <c r="J6526" s="26" t="str">
        <f>IF(OR(E6526="",E6526="!!!",F6526="NEW"),"",COUNTBLANK(OFFSET(A$1,,,SUMPRODUCT(MAX(ROW(E$2:E6526)*(E6526=E$2:E6526)))))-COUNTBLANK(OFFSET(A$1,,,SUMPRODUCT(MAX(ROW(E$1:E6525)*(E2=E$1:E6525))))))</f>
        <v> </v>
      </c>
      <c r="K6526" s="26" t="str">
        <f>IF(OR(E6526="",E6526="!!!",F6526="NEW"),"",INDEX(J$1:J6525,SUMPRODUCT(MAX(ROW(E$1:E6525)*(E6526=E$1:E6525)))))</f>
        <v> </v>
      </c>
      <c r="L6526" s="27"/>
    </row>
    <row r="6527" spans="1:12">
      <c r="A6527" s="20" t="s">
        <v>2919</v>
      </c>
      <c r="B6527" s="21" t="s">
        <v>1194</v>
      </c>
      <c r="C6527" s="21" t="s">
        <v>1188</v>
      </c>
      <c r="D6527" s="21" t="s">
        <v>1180</v>
      </c>
      <c r="E6527" s="22">
        <f>IF(D6527="?OLD","!!!","")</f>
        <v/>
      </c>
      <c r="F6527" s="23" t="str">
        <f>IF(OR(E6527="",E6527="!!!"),"",IF(NOT(ISNA(VLOOKUP(E6527,E$1:E6526,1,FALSE()))),"OLD",IF(AND(E6527&lt;&gt;"",E6527&lt;&gt;"!!!"),"NEW","")))</f>
        <v> </v>
      </c>
      <c r="G6527" s="24" t="str">
        <f>IF(OR(E6527="",E6527="!!!"),"",IF(OR(J6527=0,AND(J6527=1,K6527=1),AND(J6527=1,I6527="SBJ"),AND(J6527=1,I6527=0)),"?IN_FOCUS",IF(J6527&lt;=2,"?ACTIVATED",IF(J6527&lt;&gt;"","?FAMILIAR",IF(F6527="NEW",IF(ISNA(VLOOKUP(E6527,#REF!,1,FALSE())),"?TYPE_IDENTIFIABLE","?REFERENTIAL"),"_")))))</f>
        <v> </v>
      </c>
      <c r="H6527" s="25" t="str">
        <f>IF(J6527&lt;&gt;1,"",IF(I6527="SBJ","CB","?"))</f>
        <v> </v>
      </c>
      <c r="I6527" s="26" t="str">
        <f>IF(OR(E6527="",E6527="!!!",F6527="NEW"),"",INDEX(B6526:B$2,-1+SUMPRODUCT(MAX(ROW(E6526:E$2)*(E6527=E6526:E$2)))))</f>
        <v> </v>
      </c>
      <c r="J6527" s="26" t="str">
        <f>IF(OR(E6527="",E6527="!!!",F6527="NEW"),"",COUNTBLANK(OFFSET(A$1,,,SUMPRODUCT(MAX(ROW(E$2:E6527)*(E6527=E$2:E6527)))))-COUNTBLANK(OFFSET(A$1,,,SUMPRODUCT(MAX(ROW(E$1:E6526)*(E2=E$1:E6526))))))</f>
        <v> </v>
      </c>
      <c r="K6527" s="26" t="str">
        <f>IF(OR(E6527="",E6527="!!!",F6527="NEW"),"",INDEX(J$1:J6526,SUMPRODUCT(MAX(ROW(E$1:E6526)*(E6527=E$1:E6526)))))</f>
        <v> </v>
      </c>
      <c r="L6527" s="27"/>
    </row>
    <row r="6528" spans="1:12">
      <c r="A6528" s="20" t="s">
        <v>1200</v>
      </c>
      <c r="E6528" s="22">
        <f>IF(D6528="?OLD","!!!","")</f>
        <v/>
      </c>
      <c r="F6528" s="23" t="str">
        <f>IF(OR(E6528="",E6528="!!!"),"",IF(NOT(ISNA(VLOOKUP(E6528,E$1:E6527,1,FALSE()))),"OLD",IF(AND(E6528&lt;&gt;"",E6528&lt;&gt;"!!!"),"NEW","")))</f>
        <v> </v>
      </c>
      <c r="G6528" s="24" t="str">
        <f>IF(OR(E6528="",E6528="!!!"),"",IF(OR(J6528=0,AND(J6528=1,K6528=1),AND(J6528=1,I6528="SBJ"),AND(J6528=1,I6528=0)),"?IN_FOCUS",IF(J6528&lt;=2,"?ACTIVATED",IF(J6528&lt;&gt;"","?FAMILIAR",IF(F6528="NEW",IF(ISNA(VLOOKUP(E6528,#REF!,1,FALSE())),"?TYPE_IDENTIFIABLE","?REFERENTIAL"),"_")))))</f>
        <v> </v>
      </c>
      <c r="H6528" s="25" t="str">
        <f>IF(J6528&lt;&gt;1,"",IF(I6528="SBJ","CB","?"))</f>
        <v> </v>
      </c>
      <c r="I6528" s="26" t="str">
        <f>IF(OR(E6528="",E6528="!!!",F6528="NEW"),"",INDEX(B6527:B$2,-1+SUMPRODUCT(MAX(ROW(E6527:E$2)*(E6528=E6527:E$2)))))</f>
        <v> </v>
      </c>
      <c r="J6528" s="26" t="str">
        <f>IF(OR(E6528="",E6528="!!!",F6528="NEW"),"",COUNTBLANK(OFFSET(A$1,,,SUMPRODUCT(MAX(ROW(E$2:E6528)*(E6528=E$2:E6528)))))-COUNTBLANK(OFFSET(A$1,,,SUMPRODUCT(MAX(ROW(E$1:E6527)*(E2=E$1:E6527))))))</f>
        <v> </v>
      </c>
      <c r="K6528" s="26" t="str">
        <f>IF(OR(E6528="",E6528="!!!",F6528="NEW"),"",INDEX(J$1:J6527,SUMPRODUCT(MAX(ROW(E$1:E6527)*(E6528=E$1:E6527)))))</f>
        <v> </v>
      </c>
      <c r="L6528" s="27"/>
    </row>
    <row r="6529" spans="1:12">
      <c r="A6529" s="20" t="s">
        <v>1201</v>
      </c>
      <c r="B6529" s="21" t="s">
        <v>1191</v>
      </c>
      <c r="C6529" s="21" t="s">
        <v>1179</v>
      </c>
      <c r="D6529" s="21" t="s">
        <v>1180</v>
      </c>
      <c r="E6529" s="22">
        <f>IF(D6529="?OLD","!!!","")</f>
        <v/>
      </c>
      <c r="F6529" s="23" t="str">
        <f>IF(OR(E6529="",E6529="!!!"),"",IF(NOT(ISNA(VLOOKUP(E6529,E$1:E6528,1,FALSE()))),"OLD",IF(AND(E6529&lt;&gt;"",E6529&lt;&gt;"!!!"),"NEW","")))</f>
        <v> </v>
      </c>
      <c r="G6529" s="24" t="str">
        <f>IF(OR(E6529="",E6529="!!!"),"",IF(OR(J6529=0,AND(J6529=1,K6529=1),AND(J6529=1,I6529="SBJ"),AND(J6529=1,I6529=0)),"?IN_FOCUS",IF(J6529&lt;=2,"?ACTIVATED",IF(J6529&lt;&gt;"","?FAMILIAR",IF(F6529="NEW",IF(ISNA(VLOOKUP(E6529,#REF!,1,FALSE())),"?TYPE_IDENTIFIABLE","?REFERENTIAL"),"_")))))</f>
        <v> </v>
      </c>
      <c r="H6529" s="25" t="str">
        <f>IF(J6529&lt;&gt;1,"",IF(I6529="SBJ","CB","?"))</f>
        <v> </v>
      </c>
      <c r="I6529" s="26" t="str">
        <f>IF(OR(E6529="",E6529="!!!",F6529="NEW"),"",INDEX(B6528:B$2,-1+SUMPRODUCT(MAX(ROW(E6528:E$2)*(E6529=E6528:E$2)))))</f>
        <v> </v>
      </c>
      <c r="J6529" s="26" t="str">
        <f>IF(OR(E6529="",E6529="!!!",F6529="NEW"),"",COUNTBLANK(OFFSET(A$1,,,SUMPRODUCT(MAX(ROW(E$2:E6529)*(E6529=E$2:E6529)))))-COUNTBLANK(OFFSET(A$1,,,SUMPRODUCT(MAX(ROW(E$1:E6528)*(E2=E$1:E6528))))))</f>
        <v> </v>
      </c>
      <c r="K6529" s="26" t="str">
        <f>IF(OR(E6529="",E6529="!!!",F6529="NEW"),"",INDEX(J$1:J6528,SUMPRODUCT(MAX(ROW(E$1:E6528)*(E6529=E$1:E6528)))))</f>
        <v> </v>
      </c>
      <c r="L6529" s="27"/>
    </row>
    <row r="6530" spans="1:12">
      <c r="A6530" s="20" t="s">
        <v>1334</v>
      </c>
      <c r="E6530" s="22">
        <f>IF(D6530="?OLD","!!!","")</f>
        <v/>
      </c>
      <c r="F6530" s="23" t="str">
        <f>IF(OR(E6530="",E6530="!!!"),"",IF(NOT(ISNA(VLOOKUP(E6530,E$1:E6529,1,FALSE()))),"OLD",IF(AND(E6530&lt;&gt;"",E6530&lt;&gt;"!!!"),"NEW","")))</f>
        <v> </v>
      </c>
      <c r="G6530" s="24" t="str">
        <f>IF(OR(E6530="",E6530="!!!"),"",IF(OR(J6530=0,AND(J6530=1,K6530=1),AND(J6530=1,I6530="SBJ"),AND(J6530=1,I6530=0)),"?IN_FOCUS",IF(J6530&lt;=2,"?ACTIVATED",IF(J6530&lt;&gt;"","?FAMILIAR",IF(F6530="NEW",IF(ISNA(VLOOKUP(E6530,#REF!,1,FALSE())),"?TYPE_IDENTIFIABLE","?REFERENTIAL"),"_")))))</f>
        <v> </v>
      </c>
      <c r="H6530" s="25" t="str">
        <f>IF(J6530&lt;&gt;1,"",IF(I6530="SBJ","CB","?"))</f>
        <v> </v>
      </c>
      <c r="I6530" s="26" t="str">
        <f>IF(OR(E6530="",E6530="!!!",F6530="NEW"),"",INDEX(B6529:B$2,-1+SUMPRODUCT(MAX(ROW(E6529:E$2)*(E6530=E6529:E$2)))))</f>
        <v> </v>
      </c>
      <c r="J6530" s="26" t="str">
        <f>IF(OR(E6530="",E6530="!!!",F6530="NEW"),"",COUNTBLANK(OFFSET(A$1,,,SUMPRODUCT(MAX(ROW(E$2:E6530)*(E6530=E$2:E6530)))))-COUNTBLANK(OFFSET(A$1,,,SUMPRODUCT(MAX(ROW(E$1:E6529)*(E2=E$1:E6529))))))</f>
        <v> </v>
      </c>
      <c r="K6530" s="26" t="str">
        <f>IF(OR(E6530="",E6530="!!!",F6530="NEW"),"",INDEX(J$1:J6529,SUMPRODUCT(MAX(ROW(E$1:E6529)*(E6530=E$1:E6529)))))</f>
        <v> </v>
      </c>
      <c r="L6530" s="27"/>
    </row>
    <row r="6531" spans="1:12">
      <c r="A6531" s="20" t="s">
        <v>1367</v>
      </c>
      <c r="E6531" s="22">
        <f>IF(D6531="?OLD","!!!","")</f>
        <v/>
      </c>
      <c r="F6531" s="23" t="str">
        <f>IF(OR(E6531="",E6531="!!!"),"",IF(NOT(ISNA(VLOOKUP(E6531,E$1:E6530,1,FALSE()))),"OLD",IF(AND(E6531&lt;&gt;"",E6531&lt;&gt;"!!!"),"NEW","")))</f>
        <v> </v>
      </c>
      <c r="G6531" s="24" t="str">
        <f>IF(OR(E6531="",E6531="!!!"),"",IF(OR(J6531=0,AND(J6531=1,K6531=1),AND(J6531=1,I6531="SBJ"),AND(J6531=1,I6531=0)),"?IN_FOCUS",IF(J6531&lt;=2,"?ACTIVATED",IF(J6531&lt;&gt;"","?FAMILIAR",IF(F6531="NEW",IF(ISNA(VLOOKUP(E6531,#REF!,1,FALSE())),"?TYPE_IDENTIFIABLE","?REFERENTIAL"),"_")))))</f>
        <v> </v>
      </c>
      <c r="H6531" s="25" t="str">
        <f>IF(J6531&lt;&gt;1,"",IF(I6531="SBJ","CB","?"))</f>
        <v> </v>
      </c>
      <c r="I6531" s="26" t="str">
        <f>IF(OR(E6531="",E6531="!!!",F6531="NEW"),"",INDEX(B6530:B$2,-1+SUMPRODUCT(MAX(ROW(E6530:E$2)*(E6531=E6530:E$2)))))</f>
        <v> </v>
      </c>
      <c r="J6531" s="26" t="str">
        <f>IF(OR(E6531="",E6531="!!!",F6531="NEW"),"",COUNTBLANK(OFFSET(A$1,,,SUMPRODUCT(MAX(ROW(E$2:E6531)*(E6531=E$2:E6531)))))-COUNTBLANK(OFFSET(A$1,,,SUMPRODUCT(MAX(ROW(E$1:E6530)*(E2=E$1:E6530))))))</f>
        <v> </v>
      </c>
      <c r="K6531" s="26" t="str">
        <f>IF(OR(E6531="",E6531="!!!",F6531="NEW"),"",INDEX(J$1:J6530,SUMPRODUCT(MAX(ROW(E$1:E6530)*(E6531=E$1:E6530)))))</f>
        <v> </v>
      </c>
      <c r="L6531" s="27"/>
    </row>
    <row r="6532" spans="1:12">
      <c r="A6532" s="20" t="s">
        <v>2920</v>
      </c>
      <c r="B6532" s="21" t="s">
        <v>1178</v>
      </c>
      <c r="C6532" s="21" t="s">
        <v>1184</v>
      </c>
      <c r="E6532" s="22">
        <f>IF(D6532="?OLD","!!!","")</f>
        <v/>
      </c>
      <c r="F6532" s="23" t="str">
        <f>IF(OR(E6532="",E6532="!!!"),"",IF(NOT(ISNA(VLOOKUP(E6532,E$1:E6531,1,FALSE()))),"OLD",IF(AND(E6532&lt;&gt;"",E6532&lt;&gt;"!!!"),"NEW","")))</f>
        <v> </v>
      </c>
      <c r="G6532" s="24" t="str">
        <f>IF(OR(E6532="",E6532="!!!"),"",IF(OR(J6532=0,AND(J6532=1,K6532=1),AND(J6532=1,I6532="SBJ"),AND(J6532=1,I6532=0)),"?IN_FOCUS",IF(J6532&lt;=2,"?ACTIVATED",IF(J6532&lt;&gt;"","?FAMILIAR",IF(F6532="NEW",IF(ISNA(VLOOKUP(E6532,#REF!,1,FALSE())),"?TYPE_IDENTIFIABLE","?REFERENTIAL"),"_")))))</f>
        <v> </v>
      </c>
      <c r="H6532" s="25" t="str">
        <f>IF(J6532&lt;&gt;1,"",IF(I6532="SBJ","CB","?"))</f>
        <v> </v>
      </c>
      <c r="I6532" s="26" t="str">
        <f>IF(OR(E6532="",E6532="!!!",F6532="NEW"),"",INDEX(B6531:B$2,-1+SUMPRODUCT(MAX(ROW(E6531:E$2)*(E6532=E6531:E$2)))))</f>
        <v> </v>
      </c>
      <c r="J6532" s="26" t="str">
        <f>IF(OR(E6532="",E6532="!!!",F6532="NEW"),"",COUNTBLANK(OFFSET(A$1,,,SUMPRODUCT(MAX(ROW(E$2:E6532)*(E6532=E$2:E6532)))))-COUNTBLANK(OFFSET(A$1,,,SUMPRODUCT(MAX(ROW(E$1:E6531)*(E2=E$1:E6531))))))</f>
        <v> </v>
      </c>
      <c r="K6532" s="26" t="str">
        <f>IF(OR(E6532="",E6532="!!!",F6532="NEW"),"",INDEX(J$1:J6531,SUMPRODUCT(MAX(ROW(E$1:E6531)*(E6532=E$1:E6531)))))</f>
        <v> </v>
      </c>
      <c r="L6532" s="27"/>
    </row>
    <row r="6533" spans="1:12">
      <c r="A6533" s="20" t="s">
        <v>1293</v>
      </c>
      <c r="E6533" s="22">
        <f>IF(D6533="?OLD","!!!","")</f>
        <v/>
      </c>
      <c r="F6533" s="23" t="str">
        <f>IF(OR(E6533="",E6533="!!!"),"",IF(NOT(ISNA(VLOOKUP(E6533,E$1:E6532,1,FALSE()))),"OLD",IF(AND(E6533&lt;&gt;"",E6533&lt;&gt;"!!!"),"NEW","")))</f>
        <v> </v>
      </c>
      <c r="G6533" s="24" t="str">
        <f>IF(OR(E6533="",E6533="!!!"),"",IF(OR(J6533=0,AND(J6533=1,K6533=1),AND(J6533=1,I6533="SBJ"),AND(J6533=1,I6533=0)),"?IN_FOCUS",IF(J6533&lt;=2,"?ACTIVATED",IF(J6533&lt;&gt;"","?FAMILIAR",IF(F6533="NEW",IF(ISNA(VLOOKUP(E6533,#REF!,1,FALSE())),"?TYPE_IDENTIFIABLE","?REFERENTIAL"),"_")))))</f>
        <v> </v>
      </c>
      <c r="H6533" s="25" t="str">
        <f>IF(J6533&lt;&gt;1,"",IF(I6533="SBJ","CB","?"))</f>
        <v> </v>
      </c>
      <c r="I6533" s="26" t="str">
        <f>IF(OR(E6533="",E6533="!!!",F6533="NEW"),"",INDEX(B6532:B$2,-1+SUMPRODUCT(MAX(ROW(E6532:E$2)*(E6533=E6532:E$2)))))</f>
        <v> </v>
      </c>
      <c r="J6533" s="26" t="str">
        <f>IF(OR(E6533="",E6533="!!!",F6533="NEW"),"",COUNTBLANK(OFFSET(A$1,,,SUMPRODUCT(MAX(ROW(E$2:E6533)*(E6533=E$2:E6533)))))-COUNTBLANK(OFFSET(A$1,,,SUMPRODUCT(MAX(ROW(E$1:E6532)*(E2=E$1:E6532))))))</f>
        <v> </v>
      </c>
      <c r="K6533" s="26" t="str">
        <f>IF(OR(E6533="",E6533="!!!",F6533="NEW"),"",INDEX(J$1:J6532,SUMPRODUCT(MAX(ROW(E$1:E6532)*(E6533=E$1:E6532)))))</f>
        <v> </v>
      </c>
      <c r="L6533" s="27"/>
    </row>
    <row r="6534" spans="1:12">
      <c r="A6534" s="20" t="s">
        <v>2921</v>
      </c>
      <c r="B6534" s="21" t="s">
        <v>1178</v>
      </c>
      <c r="C6534" s="21" t="s">
        <v>1184</v>
      </c>
      <c r="E6534" s="22">
        <f>IF(D6534="?OLD","!!!","")</f>
        <v/>
      </c>
      <c r="F6534" s="23" t="str">
        <f>IF(OR(E6534="",E6534="!!!"),"",IF(NOT(ISNA(VLOOKUP(E6534,E$1:E6533,1,FALSE()))),"OLD",IF(AND(E6534&lt;&gt;"",E6534&lt;&gt;"!!!"),"NEW","")))</f>
        <v> </v>
      </c>
      <c r="G6534" s="24" t="str">
        <f>IF(OR(E6534="",E6534="!!!"),"",IF(OR(J6534=0,AND(J6534=1,K6534=1),AND(J6534=1,I6534="SBJ"),AND(J6534=1,I6534=0)),"?IN_FOCUS",IF(J6534&lt;=2,"?ACTIVATED",IF(J6534&lt;&gt;"","?FAMILIAR",IF(F6534="NEW",IF(ISNA(VLOOKUP(E6534,#REF!,1,FALSE())),"?TYPE_IDENTIFIABLE","?REFERENTIAL"),"_")))))</f>
        <v> </v>
      </c>
      <c r="H6534" s="25" t="str">
        <f>IF(J6534&lt;&gt;1,"",IF(I6534="SBJ","CB","?"))</f>
        <v> </v>
      </c>
      <c r="I6534" s="26" t="str">
        <f>IF(OR(E6534="",E6534="!!!",F6534="NEW"),"",INDEX(B6533:B$2,-1+SUMPRODUCT(MAX(ROW(E6533:E$2)*(E6534=E6533:E$2)))))</f>
        <v> </v>
      </c>
      <c r="J6534" s="26" t="str">
        <f>IF(OR(E6534="",E6534="!!!",F6534="NEW"),"",COUNTBLANK(OFFSET(A$1,,,SUMPRODUCT(MAX(ROW(E$2:E6534)*(E6534=E$2:E6534)))))-COUNTBLANK(OFFSET(A$1,,,SUMPRODUCT(MAX(ROW(E$1:E6533)*(E2=E$1:E6533))))))</f>
        <v> </v>
      </c>
      <c r="K6534" s="26" t="str">
        <f>IF(OR(E6534="",E6534="!!!",F6534="NEW"),"",INDEX(J$1:J6533,SUMPRODUCT(MAX(ROW(E$1:E6533)*(E6534=E$1:E6533)))))</f>
        <v> </v>
      </c>
      <c r="L6534" s="27"/>
    </row>
    <row r="6535" spans="1:12">
      <c r="A6535" s="20" t="s">
        <v>1367</v>
      </c>
      <c r="E6535" s="22">
        <f>IF(D6535="?OLD","!!!","")</f>
        <v/>
      </c>
      <c r="F6535" s="23" t="str">
        <f>IF(OR(E6535="",E6535="!!!"),"",IF(NOT(ISNA(VLOOKUP(E6535,E$1:E6534,1,FALSE()))),"OLD",IF(AND(E6535&lt;&gt;"",E6535&lt;&gt;"!!!"),"NEW","")))</f>
        <v> </v>
      </c>
      <c r="G6535" s="24" t="str">
        <f>IF(OR(E6535="",E6535="!!!"),"",IF(OR(J6535=0,AND(J6535=1,K6535=1),AND(J6535=1,I6535="SBJ"),AND(J6535=1,I6535=0)),"?IN_FOCUS",IF(J6535&lt;=2,"?ACTIVATED",IF(J6535&lt;&gt;"","?FAMILIAR",IF(F6535="NEW",IF(ISNA(VLOOKUP(E6535,#REF!,1,FALSE())),"?TYPE_IDENTIFIABLE","?REFERENTIAL"),"_")))))</f>
        <v> </v>
      </c>
      <c r="H6535" s="25" t="str">
        <f>IF(J6535&lt;&gt;1,"",IF(I6535="SBJ","CB","?"))</f>
        <v> </v>
      </c>
      <c r="I6535" s="26" t="str">
        <f>IF(OR(E6535="",E6535="!!!",F6535="NEW"),"",INDEX(B6534:B$2,-1+SUMPRODUCT(MAX(ROW(E6534:E$2)*(E6535=E6534:E$2)))))</f>
        <v> </v>
      </c>
      <c r="J6535" s="26" t="str">
        <f>IF(OR(E6535="",E6535="!!!",F6535="NEW"),"",COUNTBLANK(OFFSET(A$1,,,SUMPRODUCT(MAX(ROW(E$2:E6535)*(E6535=E$2:E6535)))))-COUNTBLANK(OFFSET(A$1,,,SUMPRODUCT(MAX(ROW(E$1:E6534)*(E2=E$1:E6534))))))</f>
        <v> </v>
      </c>
      <c r="K6535" s="26" t="str">
        <f>IF(OR(E6535="",E6535="!!!",F6535="NEW"),"",INDEX(J$1:J6534,SUMPRODUCT(MAX(ROW(E$1:E6534)*(E6535=E$1:E6534)))))</f>
        <v> </v>
      </c>
      <c r="L6535" s="27"/>
    </row>
    <row r="6536" spans="1:12">
      <c r="A6536" s="20" t="s">
        <v>818</v>
      </c>
      <c r="E6536" s="22">
        <f>IF(D6536="?OLD","!!!","")</f>
        <v/>
      </c>
      <c r="F6536" s="23" t="str">
        <f>IF(OR(E6536="",E6536="!!!"),"",IF(NOT(ISNA(VLOOKUP(E6536,E$1:E6535,1,FALSE()))),"OLD",IF(AND(E6536&lt;&gt;"",E6536&lt;&gt;"!!!"),"NEW","")))</f>
        <v> </v>
      </c>
      <c r="G6536" s="24" t="str">
        <f>IF(OR(E6536="",E6536="!!!"),"",IF(OR(J6536=0,AND(J6536=1,K6536=1),AND(J6536=1,I6536="SBJ"),AND(J6536=1,I6536=0)),"?IN_FOCUS",IF(J6536&lt;=2,"?ACTIVATED",IF(J6536&lt;&gt;"","?FAMILIAR",IF(F6536="NEW",IF(ISNA(VLOOKUP(E6536,#REF!,1,FALSE())),"?TYPE_IDENTIFIABLE","?REFERENTIAL"),"_")))))</f>
        <v> </v>
      </c>
      <c r="H6536" s="25" t="str">
        <f>IF(J6536&lt;&gt;1,"",IF(I6536="SBJ","CB","?"))</f>
        <v> </v>
      </c>
      <c r="I6536" s="26" t="str">
        <f>IF(OR(E6536="",E6536="!!!",F6536="NEW"),"",INDEX(B6535:B$2,-1+SUMPRODUCT(MAX(ROW(E6535:E$2)*(E6536=E6535:E$2)))))</f>
        <v> </v>
      </c>
      <c r="J6536" s="26" t="str">
        <f>IF(OR(E6536="",E6536="!!!",F6536="NEW"),"",COUNTBLANK(OFFSET(A$1,,,SUMPRODUCT(MAX(ROW(E$2:E6536)*(E6536=E$2:E6536)))))-COUNTBLANK(OFFSET(A$1,,,SUMPRODUCT(MAX(ROW(E$1:E6535)*(E2=E$1:E6535))))))</f>
        <v> </v>
      </c>
      <c r="K6536" s="26" t="str">
        <f>IF(OR(E6536="",E6536="!!!",F6536="NEW"),"",INDEX(J$1:J6535,SUMPRODUCT(MAX(ROW(E$1:E6535)*(E6536=E$1:E6535)))))</f>
        <v> </v>
      </c>
      <c r="L6536" s="27"/>
    </row>
    <row r="6537" spans="1:12">
      <c r="A6537" s="20"/>
    </row>
    <row r="6538" spans="1:12">
      <c r="A6538" s="20" t="s">
        <v>2922</v>
      </c>
    </row>
    <row r="6539" spans="1:12">
      <c r="A6539" s="20" t="s">
        <v>1326</v>
      </c>
      <c r="E6539" s="22">
        <f>IF(D6539="?OLD","!!!","")</f>
        <v/>
      </c>
      <c r="F6539" s="23" t="str">
        <f>IF(OR(E6539="",E6539="!!!"),"",IF(NOT(ISNA(VLOOKUP(E6539,E$1:E6538,1,FALSE()))),"OLD",IF(AND(E6539&lt;&gt;"",E6539&lt;&gt;"!!!"),"NEW","")))</f>
        <v> </v>
      </c>
      <c r="G6539" s="24" t="str">
        <f>IF(OR(E6539="",E6539="!!!"),"",IF(OR(J6539=0,AND(J6539=1,K6539=1),AND(J6539=1,I6539="SBJ"),AND(J6539=1,I6539=0)),"?IN_FOCUS",IF(J6539&lt;=2,"?ACTIVATED",IF(J6539&lt;&gt;"","?FAMILIAR",IF(F6539="NEW",IF(ISNA(VLOOKUP(E6539,#REF!,1,FALSE())),"?TYPE_IDENTIFIABLE","?REFERENTIAL"),"_")))))</f>
        <v> </v>
      </c>
      <c r="H6539" s="25" t="str">
        <f>IF(J6539&lt;&gt;1,"",IF(I6539="SBJ","CB","?"))</f>
        <v> </v>
      </c>
      <c r="I6539" s="26" t="str">
        <f>IF(OR(E6539="",E6539="!!!",F6539="NEW"),"",INDEX(B6538:B$2,-1+SUMPRODUCT(MAX(ROW(E6538:E$2)*(E6539=E6538:E$2)))))</f>
        <v> </v>
      </c>
      <c r="J6539" s="26" t="str">
        <f>IF(OR(E6539="",E6539="!!!",F6539="NEW"),"",COUNTBLANK(OFFSET(A$1,,,SUMPRODUCT(MAX(ROW(E$2:E6539)*(E6539=E$2:E6539)))))-COUNTBLANK(OFFSET(A$1,,,SUMPRODUCT(MAX(ROW(E$1:E6538)*(E2=E$1:E6538))))))</f>
        <v> </v>
      </c>
      <c r="K6539" s="26" t="str">
        <f>IF(OR(E6539="",E6539="!!!",F6539="NEW"),"",INDEX(J$1:J6538,SUMPRODUCT(MAX(ROW(E$1:E6538)*(E6539=E$1:E6538)))))</f>
        <v> </v>
      </c>
      <c r="L6539" s="27"/>
    </row>
    <row r="6540" spans="1:12">
      <c r="A6540" s="20" t="s">
        <v>57</v>
      </c>
      <c r="B6540" s="21" t="s">
        <v>1194</v>
      </c>
      <c r="C6540" s="21" t="s">
        <v>1195</v>
      </c>
      <c r="D6540" s="21" t="s">
        <v>1180</v>
      </c>
      <c r="E6540" s="22">
        <f>IF(D6540="?OLD","!!!","")</f>
        <v/>
      </c>
      <c r="F6540" s="23" t="str">
        <f>IF(OR(E6540="",E6540="!!!"),"",IF(NOT(ISNA(VLOOKUP(E6540,E$1:E6539,1,FALSE()))),"OLD",IF(AND(E6540&lt;&gt;"",E6540&lt;&gt;"!!!"),"NEW","")))</f>
        <v> </v>
      </c>
      <c r="G6540" s="24" t="str">
        <f>IF(OR(E6540="",E6540="!!!"),"",IF(OR(J6540=0,AND(J6540=1,K6540=1),AND(J6540=1,I6540="SBJ"),AND(J6540=1,I6540=0)),"?IN_FOCUS",IF(J6540&lt;=2,"?ACTIVATED",IF(J6540&lt;&gt;"","?FAMILIAR",IF(F6540="NEW",IF(ISNA(VLOOKUP(E6540,#REF!,1,FALSE())),"?TYPE_IDENTIFIABLE","?REFERENTIAL"),"_")))))</f>
        <v> </v>
      </c>
      <c r="H6540" s="25" t="str">
        <f>IF(J6540&lt;&gt;1,"",IF(I6540="SBJ","CB","?"))</f>
        <v> </v>
      </c>
      <c r="I6540" s="26" t="str">
        <f>IF(OR(E6540="",E6540="!!!",F6540="NEW"),"",INDEX(B6539:B$2,-1+SUMPRODUCT(MAX(ROW(E6539:E$2)*(E6540=E6539:E$2)))))</f>
        <v> </v>
      </c>
      <c r="J6540" s="26" t="str">
        <f>IF(OR(E6540="",E6540="!!!",F6540="NEW"),"",COUNTBLANK(OFFSET(A$1,,,SUMPRODUCT(MAX(ROW(E$2:E6540)*(E6540=E$2:E6540)))))-COUNTBLANK(OFFSET(A$1,,,SUMPRODUCT(MAX(ROW(E$1:E6539)*(E2=E$1:E6539))))))</f>
        <v> </v>
      </c>
      <c r="K6540" s="26" t="str">
        <f>IF(OR(E6540="",E6540="!!!",F6540="NEW"),"",INDEX(J$1:J6539,SUMPRODUCT(MAX(ROW(E$1:E6539)*(E6540=E$1:E6539)))))</f>
        <v> </v>
      </c>
      <c r="L6540" s="27"/>
    </row>
    <row r="6541" spans="1:12">
      <c r="A6541" s="20" t="s">
        <v>185</v>
      </c>
      <c r="B6541" s="21" t="s">
        <v>1204</v>
      </c>
      <c r="C6541" s="21" t="s">
        <v>1195</v>
      </c>
      <c r="D6541" s="21" t="s">
        <v>1180</v>
      </c>
      <c r="E6541" s="22">
        <f>IF(D6541="?OLD","!!!","")</f>
        <v/>
      </c>
      <c r="F6541" s="23" t="str">
        <f>IF(OR(E6541="",E6541="!!!"),"",IF(NOT(ISNA(VLOOKUP(E6541,E$1:E6540,1,FALSE()))),"OLD",IF(AND(E6541&lt;&gt;"",E6541&lt;&gt;"!!!"),"NEW","")))</f>
        <v> </v>
      </c>
      <c r="G6541" s="24" t="str">
        <f>IF(OR(E6541="",E6541="!!!"),"",IF(OR(J6541=0,AND(J6541=1,K6541=1),AND(J6541=1,I6541="SBJ"),AND(J6541=1,I6541=0)),"?IN_FOCUS",IF(J6541&lt;=2,"?ACTIVATED",IF(J6541&lt;&gt;"","?FAMILIAR",IF(F6541="NEW",IF(ISNA(VLOOKUP(E6541,#REF!,1,FALSE())),"?TYPE_IDENTIFIABLE","?REFERENTIAL"),"_")))))</f>
        <v> </v>
      </c>
      <c r="H6541" s="25" t="str">
        <f>IF(J6541&lt;&gt;1,"",IF(I6541="SBJ","CB","?"))</f>
        <v> </v>
      </c>
      <c r="I6541" s="26" t="str">
        <f>IF(OR(E6541="",E6541="!!!",F6541="NEW"),"",INDEX(B6540:B$2,-1+SUMPRODUCT(MAX(ROW(E6540:E$2)*(E6541=E6540:E$2)))))</f>
        <v> </v>
      </c>
      <c r="J6541" s="26" t="str">
        <f>IF(OR(E6541="",E6541="!!!",F6541="NEW"),"",COUNTBLANK(OFFSET(A$1,,,SUMPRODUCT(MAX(ROW(E$2:E6541)*(E6541=E$2:E6541)))))-COUNTBLANK(OFFSET(A$1,,,SUMPRODUCT(MAX(ROW(E$1:E6540)*(E2=E$1:E6540))))))</f>
        <v> </v>
      </c>
      <c r="K6541" s="26" t="str">
        <f>IF(OR(E6541="",E6541="!!!",F6541="NEW"),"",INDEX(J$1:J6540,SUMPRODUCT(MAX(ROW(E$1:E6540)*(E6541=E$1:E6540)))))</f>
        <v> </v>
      </c>
      <c r="L6541" s="27"/>
    </row>
    <row r="6542" spans="1:12">
      <c r="A6542" s="20" t="s">
        <v>1224</v>
      </c>
      <c r="E6542" s="22">
        <f>IF(D6542="?OLD","!!!","")</f>
        <v/>
      </c>
      <c r="F6542" s="23" t="str">
        <f>IF(OR(E6542="",E6542="!!!"),"",IF(NOT(ISNA(VLOOKUP(E6542,E$1:E6541,1,FALSE()))),"OLD",IF(AND(E6542&lt;&gt;"",E6542&lt;&gt;"!!!"),"NEW","")))</f>
        <v> </v>
      </c>
      <c r="G6542" s="24" t="str">
        <f>IF(OR(E6542="",E6542="!!!"),"",IF(OR(J6542=0,AND(J6542=1,K6542=1),AND(J6542=1,I6542="SBJ"),AND(J6542=1,I6542=0)),"?IN_FOCUS",IF(J6542&lt;=2,"?ACTIVATED",IF(J6542&lt;&gt;"","?FAMILIAR",IF(F6542="NEW",IF(ISNA(VLOOKUP(E6542,#REF!,1,FALSE())),"?TYPE_IDENTIFIABLE","?REFERENTIAL"),"_")))))</f>
        <v> </v>
      </c>
      <c r="H6542" s="25" t="str">
        <f>IF(J6542&lt;&gt;1,"",IF(I6542="SBJ","CB","?"))</f>
        <v> </v>
      </c>
      <c r="I6542" s="26" t="str">
        <f>IF(OR(E6542="",E6542="!!!",F6542="NEW"),"",INDEX(B6541:B$2,-1+SUMPRODUCT(MAX(ROW(E6541:E$2)*(E6542=E6541:E$2)))))</f>
        <v> </v>
      </c>
      <c r="J6542" s="26" t="str">
        <f>IF(OR(E6542="",E6542="!!!",F6542="NEW"),"",COUNTBLANK(OFFSET(A$1,,,SUMPRODUCT(MAX(ROW(E$2:E6542)*(E6542=E$2:E6542)))))-COUNTBLANK(OFFSET(A$1,,,SUMPRODUCT(MAX(ROW(E$1:E6541)*(E2=E$1:E6541))))))</f>
        <v> </v>
      </c>
      <c r="K6542" s="26" t="str">
        <f>IF(OR(E6542="",E6542="!!!",F6542="NEW"),"",INDEX(J$1:J6541,SUMPRODUCT(MAX(ROW(E$1:E6541)*(E6542=E$1:E6541)))))</f>
        <v> </v>
      </c>
      <c r="L6542" s="27"/>
    </row>
    <row r="6543" spans="1:12">
      <c r="A6543" s="20" t="s">
        <v>1894</v>
      </c>
      <c r="E6543" s="22">
        <f>IF(D6543="?OLD","!!!","")</f>
        <v/>
      </c>
      <c r="F6543" s="23" t="str">
        <f>IF(OR(E6543="",E6543="!!!"),"",IF(NOT(ISNA(VLOOKUP(E6543,E$1:E6542,1,FALSE()))),"OLD",IF(AND(E6543&lt;&gt;"",E6543&lt;&gt;"!!!"),"NEW","")))</f>
        <v> </v>
      </c>
      <c r="G6543" s="24" t="str">
        <f>IF(OR(E6543="",E6543="!!!"),"",IF(OR(J6543=0,AND(J6543=1,K6543=1),AND(J6543=1,I6543="SBJ"),AND(J6543=1,I6543=0)),"?IN_FOCUS",IF(J6543&lt;=2,"?ACTIVATED",IF(J6543&lt;&gt;"","?FAMILIAR",IF(F6543="NEW",IF(ISNA(VLOOKUP(E6543,#REF!,1,FALSE())),"?TYPE_IDENTIFIABLE","?REFERENTIAL"),"_")))))</f>
        <v> </v>
      </c>
      <c r="H6543" s="25" t="str">
        <f>IF(J6543&lt;&gt;1,"",IF(I6543="SBJ","CB","?"))</f>
        <v> </v>
      </c>
      <c r="I6543" s="26" t="str">
        <f>IF(OR(E6543="",E6543="!!!",F6543="NEW"),"",INDEX(B6542:B$2,-1+SUMPRODUCT(MAX(ROW(E6542:E$2)*(E6543=E6542:E$2)))))</f>
        <v> </v>
      </c>
      <c r="J6543" s="26" t="str">
        <f>IF(OR(E6543="",E6543="!!!",F6543="NEW"),"",COUNTBLANK(OFFSET(A$1,,,SUMPRODUCT(MAX(ROW(E$2:E6543)*(E6543=E$2:E6543)))))-COUNTBLANK(OFFSET(A$1,,,SUMPRODUCT(MAX(ROW(E$1:E6542)*(E2=E$1:E6542))))))</f>
        <v> </v>
      </c>
      <c r="K6543" s="26" t="str">
        <f>IF(OR(E6543="",E6543="!!!",F6543="NEW"),"",INDEX(J$1:J6542,SUMPRODUCT(MAX(ROW(E$1:E6542)*(E6543=E$1:E6542)))))</f>
        <v> </v>
      </c>
      <c r="L6543" s="27"/>
    </row>
    <row r="6544" spans="1:12">
      <c r="A6544" s="20" t="s">
        <v>2009</v>
      </c>
      <c r="E6544" s="22">
        <f>IF(D6544="?OLD","!!!","")</f>
        <v/>
      </c>
      <c r="F6544" s="23" t="str">
        <f>IF(OR(E6544="",E6544="!!!"),"",IF(NOT(ISNA(VLOOKUP(E6544,E$1:E6543,1,FALSE()))),"OLD",IF(AND(E6544&lt;&gt;"",E6544&lt;&gt;"!!!"),"NEW","")))</f>
        <v> </v>
      </c>
      <c r="G6544" s="24" t="str">
        <f>IF(OR(E6544="",E6544="!!!"),"",IF(OR(J6544=0,AND(J6544=1,K6544=1),AND(J6544=1,I6544="SBJ"),AND(J6544=1,I6544=0)),"?IN_FOCUS",IF(J6544&lt;=2,"?ACTIVATED",IF(J6544&lt;&gt;"","?FAMILIAR",IF(F6544="NEW",IF(ISNA(VLOOKUP(E6544,#REF!,1,FALSE())),"?TYPE_IDENTIFIABLE","?REFERENTIAL"),"_")))))</f>
        <v> </v>
      </c>
      <c r="H6544" s="25" t="str">
        <f>IF(J6544&lt;&gt;1,"",IF(I6544="SBJ","CB","?"))</f>
        <v> </v>
      </c>
      <c r="I6544" s="26" t="str">
        <f>IF(OR(E6544="",E6544="!!!",F6544="NEW"),"",INDEX(B6543:B$2,-1+SUMPRODUCT(MAX(ROW(E6543:E$2)*(E6544=E6543:E$2)))))</f>
        <v> </v>
      </c>
      <c r="J6544" s="26" t="str">
        <f>IF(OR(E6544="",E6544="!!!",F6544="NEW"),"",COUNTBLANK(OFFSET(A$1,,,SUMPRODUCT(MAX(ROW(E$2:E6544)*(E6544=E$2:E6544)))))-COUNTBLANK(OFFSET(A$1,,,SUMPRODUCT(MAX(ROW(E$1:E6543)*(E2=E$1:E6543))))))</f>
        <v> </v>
      </c>
      <c r="K6544" s="26" t="str">
        <f>IF(OR(E6544="",E6544="!!!",F6544="NEW"),"",INDEX(J$1:J6543,SUMPRODUCT(MAX(ROW(E$1:E6543)*(E6544=E$1:E6543)))))</f>
        <v> </v>
      </c>
      <c r="L6544" s="27"/>
    </row>
    <row r="6545" spans="1:12">
      <c r="A6545" s="20" t="s">
        <v>2923</v>
      </c>
      <c r="B6545" s="21" t="s">
        <v>1178</v>
      </c>
      <c r="C6545" s="21" t="s">
        <v>1223</v>
      </c>
      <c r="E6545" s="22">
        <f>IF(D6545="?OLD","!!!","")</f>
        <v/>
      </c>
      <c r="F6545" s="23" t="str">
        <f>IF(OR(E6545="",E6545="!!!"),"",IF(NOT(ISNA(VLOOKUP(E6545,E$1:E6544,1,FALSE()))),"OLD",IF(AND(E6545&lt;&gt;"",E6545&lt;&gt;"!!!"),"NEW","")))</f>
        <v> </v>
      </c>
      <c r="G6545" s="24" t="str">
        <f>IF(OR(E6545="",E6545="!!!"),"",IF(OR(J6545=0,AND(J6545=1,K6545=1),AND(J6545=1,I6545="SBJ"),AND(J6545=1,I6545=0)),"?IN_FOCUS",IF(J6545&lt;=2,"?ACTIVATED",IF(J6545&lt;&gt;"","?FAMILIAR",IF(F6545="NEW",IF(ISNA(VLOOKUP(E6545,#REF!,1,FALSE())),"?TYPE_IDENTIFIABLE","?REFERENTIAL"),"_")))))</f>
        <v> </v>
      </c>
      <c r="H6545" s="25" t="str">
        <f>IF(J6545&lt;&gt;1,"",IF(I6545="SBJ","CB","?"))</f>
        <v> </v>
      </c>
      <c r="I6545" s="26" t="str">
        <f>IF(OR(E6545="",E6545="!!!",F6545="NEW"),"",INDEX(B6544:B$2,-1+SUMPRODUCT(MAX(ROW(E6544:E$2)*(E6545=E6544:E$2)))))</f>
        <v> </v>
      </c>
      <c r="J6545" s="26" t="str">
        <f>IF(OR(E6545="",E6545="!!!",F6545="NEW"),"",COUNTBLANK(OFFSET(A$1,,,SUMPRODUCT(MAX(ROW(E$2:E6545)*(E6545=E$2:E6545)))))-COUNTBLANK(OFFSET(A$1,,,SUMPRODUCT(MAX(ROW(E$1:E6544)*(E2=E$1:E6544))))))</f>
        <v> </v>
      </c>
      <c r="K6545" s="26" t="str">
        <f>IF(OR(E6545="",E6545="!!!",F6545="NEW"),"",INDEX(J$1:J6544,SUMPRODUCT(MAX(ROW(E$1:E6544)*(E6545=E$1:E6544)))))</f>
        <v> </v>
      </c>
      <c r="L6545" s="27"/>
    </row>
    <row r="6546" spans="1:12">
      <c r="A6546" s="20" t="s">
        <v>1141</v>
      </c>
      <c r="E6546" s="22">
        <f>IF(D6546="?OLD","!!!","")</f>
        <v/>
      </c>
      <c r="F6546" s="23" t="str">
        <f>IF(OR(E6546="",E6546="!!!"),"",IF(NOT(ISNA(VLOOKUP(E6546,E$1:E6545,1,FALSE()))),"OLD",IF(AND(E6546&lt;&gt;"",E6546&lt;&gt;"!!!"),"NEW","")))</f>
        <v> </v>
      </c>
      <c r="G6546" s="24" t="str">
        <f>IF(OR(E6546="",E6546="!!!"),"",IF(OR(J6546=0,AND(J6546=1,K6546=1),AND(J6546=1,I6546="SBJ"),AND(J6546=1,I6546=0)),"?IN_FOCUS",IF(J6546&lt;=2,"?ACTIVATED",IF(J6546&lt;&gt;"","?FAMILIAR",IF(F6546="NEW",IF(ISNA(VLOOKUP(E6546,#REF!,1,FALSE())),"?TYPE_IDENTIFIABLE","?REFERENTIAL"),"_")))))</f>
        <v> </v>
      </c>
      <c r="H6546" s="25" t="str">
        <f>IF(J6546&lt;&gt;1,"",IF(I6546="SBJ","CB","?"))</f>
        <v> </v>
      </c>
      <c r="I6546" s="26" t="str">
        <f>IF(OR(E6546="",E6546="!!!",F6546="NEW"),"",INDEX(B6545:B$2,-1+SUMPRODUCT(MAX(ROW(E6545:E$2)*(E6546=E6545:E$2)))))</f>
        <v> </v>
      </c>
      <c r="J6546" s="26" t="str">
        <f>IF(OR(E6546="",E6546="!!!",F6546="NEW"),"",COUNTBLANK(OFFSET(A$1,,,SUMPRODUCT(MAX(ROW(E$2:E6546)*(E6546=E$2:E6546)))))-COUNTBLANK(OFFSET(A$1,,,SUMPRODUCT(MAX(ROW(E$1:E6545)*(E2=E$1:E6545))))))</f>
        <v> </v>
      </c>
      <c r="K6546" s="26" t="str">
        <f>IF(OR(E6546="",E6546="!!!",F6546="NEW"),"",INDEX(J$1:J6545,SUMPRODUCT(MAX(ROW(E$1:E6545)*(E6546=E$1:E6545)))))</f>
        <v> </v>
      </c>
      <c r="L6546" s="27"/>
    </row>
    <row r="6547" spans="1:12">
      <c r="A6547" s="20" t="s">
        <v>2924</v>
      </c>
      <c r="E6547" s="22">
        <f>IF(D6547="?OLD","!!!","")</f>
        <v/>
      </c>
      <c r="F6547" s="23" t="str">
        <f>IF(OR(E6547="",E6547="!!!"),"",IF(NOT(ISNA(VLOOKUP(E6547,E$1:E6546,1,FALSE()))),"OLD",IF(AND(E6547&lt;&gt;"",E6547&lt;&gt;"!!!"),"NEW","")))</f>
        <v> </v>
      </c>
      <c r="G6547" s="24" t="str">
        <f>IF(OR(E6547="",E6547="!!!"),"",IF(OR(J6547=0,AND(J6547=1,K6547=1),AND(J6547=1,I6547="SBJ"),AND(J6547=1,I6547=0)),"?IN_FOCUS",IF(J6547&lt;=2,"?ACTIVATED",IF(J6547&lt;&gt;"","?FAMILIAR",IF(F6547="NEW",IF(ISNA(VLOOKUP(E6547,#REF!,1,FALSE())),"?TYPE_IDENTIFIABLE","?REFERENTIAL"),"_")))))</f>
        <v> </v>
      </c>
      <c r="H6547" s="25" t="str">
        <f>IF(J6547&lt;&gt;1,"",IF(I6547="SBJ","CB","?"))</f>
        <v> </v>
      </c>
      <c r="I6547" s="26" t="str">
        <f>IF(OR(E6547="",E6547="!!!",F6547="NEW"),"",INDEX(B6546:B$2,-1+SUMPRODUCT(MAX(ROW(E6546:E$2)*(E6547=E6546:E$2)))))</f>
        <v> </v>
      </c>
      <c r="J6547" s="26" t="str">
        <f>IF(OR(E6547="",E6547="!!!",F6547="NEW"),"",COUNTBLANK(OFFSET(A$1,,,SUMPRODUCT(MAX(ROW(E$2:E6547)*(E6547=E$2:E6547)))))-COUNTBLANK(OFFSET(A$1,,,SUMPRODUCT(MAX(ROW(E$1:E6546)*(E2=E$1:E6546))))))</f>
        <v> </v>
      </c>
      <c r="K6547" s="26" t="str">
        <f>IF(OR(E6547="",E6547="!!!",F6547="NEW"),"",INDEX(J$1:J6546,SUMPRODUCT(MAX(ROW(E$1:E6546)*(E6547=E$1:E6546)))))</f>
        <v> </v>
      </c>
      <c r="L6547" s="27"/>
    </row>
    <row r="6548" spans="1:12">
      <c r="A6548" s="20" t="s">
        <v>1185</v>
      </c>
      <c r="E6548" s="22">
        <f>IF(D6548="?OLD","!!!","")</f>
        <v/>
      </c>
      <c r="F6548" s="23" t="str">
        <f>IF(OR(E6548="",E6548="!!!"),"",IF(NOT(ISNA(VLOOKUP(E6548,E$1:E6547,1,FALSE()))),"OLD",IF(AND(E6548&lt;&gt;"",E6548&lt;&gt;"!!!"),"NEW","")))</f>
        <v> </v>
      </c>
      <c r="G6548" s="24" t="str">
        <f>IF(OR(E6548="",E6548="!!!"),"",IF(OR(J6548=0,AND(J6548=1,K6548=1),AND(J6548=1,I6548="SBJ"),AND(J6548=1,I6548=0)),"?IN_FOCUS",IF(J6548&lt;=2,"?ACTIVATED",IF(J6548&lt;&gt;"","?FAMILIAR",IF(F6548="NEW",IF(ISNA(VLOOKUP(E6548,#REF!,1,FALSE())),"?TYPE_IDENTIFIABLE","?REFERENTIAL"),"_")))))</f>
        <v> </v>
      </c>
      <c r="H6548" s="25" t="str">
        <f>IF(J6548&lt;&gt;1,"",IF(I6548="SBJ","CB","?"))</f>
        <v> </v>
      </c>
      <c r="I6548" s="26" t="str">
        <f>IF(OR(E6548="",E6548="!!!",F6548="NEW"),"",INDEX(B6547:B$2,-1+SUMPRODUCT(MAX(ROW(E6547:E$2)*(E6548=E6547:E$2)))))</f>
        <v> </v>
      </c>
      <c r="J6548" s="26" t="str">
        <f>IF(OR(E6548="",E6548="!!!",F6548="NEW"),"",COUNTBLANK(OFFSET(A$1,,,SUMPRODUCT(MAX(ROW(E$2:E6548)*(E6548=E$2:E6548)))))-COUNTBLANK(OFFSET(A$1,,,SUMPRODUCT(MAX(ROW(E$1:E6547)*(E2=E$1:E6547))))))</f>
        <v> </v>
      </c>
      <c r="K6548" s="26" t="str">
        <f>IF(OR(E6548="",E6548="!!!",F6548="NEW"),"",INDEX(J$1:J6547,SUMPRODUCT(MAX(ROW(E$1:E6547)*(E6548=E$1:E6547)))))</f>
        <v> </v>
      </c>
      <c r="L6548" s="27"/>
    </row>
    <row r="6549" spans="1:12">
      <c r="A6549" s="20" t="s">
        <v>1245</v>
      </c>
      <c r="B6549" s="21" t="s">
        <v>1240</v>
      </c>
      <c r="C6549" s="21" t="s">
        <v>1238</v>
      </c>
      <c r="D6549" s="21" t="s">
        <v>1180</v>
      </c>
      <c r="E6549" s="22">
        <f>IF(D6549="?OLD","!!!","")</f>
        <v/>
      </c>
      <c r="F6549" s="23" t="str">
        <f>IF(OR(E6549="",E6549="!!!"),"",IF(NOT(ISNA(VLOOKUP(E6549,E$1:E6548,1,FALSE()))),"OLD",IF(AND(E6549&lt;&gt;"",E6549&lt;&gt;"!!!"),"NEW","")))</f>
        <v> </v>
      </c>
      <c r="G6549" s="24" t="str">
        <f>IF(OR(E6549="",E6549="!!!"),"",IF(OR(J6549=0,AND(J6549=1,K6549=1),AND(J6549=1,I6549="SBJ"),AND(J6549=1,I6549=0)),"?IN_FOCUS",IF(J6549&lt;=2,"?ACTIVATED",IF(J6549&lt;&gt;"","?FAMILIAR",IF(F6549="NEW",IF(ISNA(VLOOKUP(E6549,#REF!,1,FALSE())),"?TYPE_IDENTIFIABLE","?REFERENTIAL"),"_")))))</f>
        <v> </v>
      </c>
      <c r="H6549" s="25" t="str">
        <f>IF(J6549&lt;&gt;1,"",IF(I6549="SBJ","CB","?"))</f>
        <v> </v>
      </c>
      <c r="I6549" s="26" t="str">
        <f>IF(OR(E6549="",E6549="!!!",F6549="NEW"),"",INDEX(B6548:B$2,-1+SUMPRODUCT(MAX(ROW(E6548:E$2)*(E6549=E6548:E$2)))))</f>
        <v> </v>
      </c>
      <c r="J6549" s="26" t="str">
        <f>IF(OR(E6549="",E6549="!!!",F6549="NEW"),"",COUNTBLANK(OFFSET(A$1,,,SUMPRODUCT(MAX(ROW(E$2:E6549)*(E6549=E$2:E6549)))))-COUNTBLANK(OFFSET(A$1,,,SUMPRODUCT(MAX(ROW(E$1:E6548)*(E2=E$1:E6548))))))</f>
        <v> </v>
      </c>
      <c r="K6549" s="26" t="str">
        <f>IF(OR(E6549="",E6549="!!!",F6549="NEW"),"",INDEX(J$1:J6548,SUMPRODUCT(MAX(ROW(E$1:E6548)*(E6549=E$1:E6548)))))</f>
        <v> </v>
      </c>
      <c r="L6549" s="27"/>
    </row>
    <row r="6550" spans="1:12">
      <c r="A6550" s="20" t="s">
        <v>1257</v>
      </c>
      <c r="E6550" s="22">
        <f>IF(D6550="?OLD","!!!","")</f>
        <v/>
      </c>
      <c r="F6550" s="23" t="str">
        <f>IF(OR(E6550="",E6550="!!!"),"",IF(NOT(ISNA(VLOOKUP(E6550,E$1:E6549,1,FALSE()))),"OLD",IF(AND(E6550&lt;&gt;"",E6550&lt;&gt;"!!!"),"NEW","")))</f>
        <v> </v>
      </c>
      <c r="G6550" s="24" t="str">
        <f>IF(OR(E6550="",E6550="!!!"),"",IF(OR(J6550=0,AND(J6550=1,K6550=1),AND(J6550=1,I6550="SBJ"),AND(J6550=1,I6550=0)),"?IN_FOCUS",IF(J6550&lt;=2,"?ACTIVATED",IF(J6550&lt;&gt;"","?FAMILIAR",IF(F6550="NEW",IF(ISNA(VLOOKUP(E6550,#REF!,1,FALSE())),"?TYPE_IDENTIFIABLE","?REFERENTIAL"),"_")))))</f>
        <v> </v>
      </c>
      <c r="H6550" s="25" t="str">
        <f>IF(J6550&lt;&gt;1,"",IF(I6550="SBJ","CB","?"))</f>
        <v> </v>
      </c>
      <c r="I6550" s="26" t="str">
        <f>IF(OR(E6550="",E6550="!!!",F6550="NEW"),"",INDEX(B6549:B$2,-1+SUMPRODUCT(MAX(ROW(E6549:E$2)*(E6550=E6549:E$2)))))</f>
        <v> </v>
      </c>
      <c r="J6550" s="26" t="str">
        <f>IF(OR(E6550="",E6550="!!!",F6550="NEW"),"",COUNTBLANK(OFFSET(A$1,,,SUMPRODUCT(MAX(ROW(E$2:E6550)*(E6550=E$2:E6550)))))-COUNTBLANK(OFFSET(A$1,,,SUMPRODUCT(MAX(ROW(E$1:E6549)*(E2=E$1:E6549))))))</f>
        <v> </v>
      </c>
      <c r="K6550" s="26" t="str">
        <f>IF(OR(E6550="",E6550="!!!",F6550="NEW"),"",INDEX(J$1:J6549,SUMPRODUCT(MAX(ROW(E$1:E6549)*(E6550=E$1:E6549)))))</f>
        <v> </v>
      </c>
      <c r="L6550" s="27"/>
    </row>
    <row r="6551" spans="1:12">
      <c r="A6551" s="20" t="s">
        <v>1563</v>
      </c>
      <c r="E6551" s="22">
        <f>IF(D6551="?OLD","!!!","")</f>
        <v/>
      </c>
      <c r="F6551" s="23" t="str">
        <f>IF(OR(E6551="",E6551="!!!"),"",IF(NOT(ISNA(VLOOKUP(E6551,E$1:E6550,1,FALSE()))),"OLD",IF(AND(E6551&lt;&gt;"",E6551&lt;&gt;"!!!"),"NEW","")))</f>
        <v> </v>
      </c>
      <c r="G6551" s="24" t="str">
        <f>IF(OR(E6551="",E6551="!!!"),"",IF(OR(J6551=0,AND(J6551=1,K6551=1),AND(J6551=1,I6551="SBJ"),AND(J6551=1,I6551=0)),"?IN_FOCUS",IF(J6551&lt;=2,"?ACTIVATED",IF(J6551&lt;&gt;"","?FAMILIAR",IF(F6551="NEW",IF(ISNA(VLOOKUP(E6551,#REF!,1,FALSE())),"?TYPE_IDENTIFIABLE","?REFERENTIAL"),"_")))))</f>
        <v> </v>
      </c>
      <c r="H6551" s="25" t="str">
        <f>IF(J6551&lt;&gt;1,"",IF(I6551="SBJ","CB","?"))</f>
        <v> </v>
      </c>
      <c r="I6551" s="26" t="str">
        <f>IF(OR(E6551="",E6551="!!!",F6551="NEW"),"",INDEX(B6550:B$2,-1+SUMPRODUCT(MAX(ROW(E6550:E$2)*(E6551=E6550:E$2)))))</f>
        <v> </v>
      </c>
      <c r="J6551" s="26" t="str">
        <f>IF(OR(E6551="",E6551="!!!",F6551="NEW"),"",COUNTBLANK(OFFSET(A$1,,,SUMPRODUCT(MAX(ROW(E$2:E6551)*(E6551=E$2:E6551)))))-COUNTBLANK(OFFSET(A$1,,,SUMPRODUCT(MAX(ROW(E$1:E6550)*(E2=E$1:E6550))))))</f>
        <v> </v>
      </c>
      <c r="K6551" s="26" t="str">
        <f>IF(OR(E6551="",E6551="!!!",F6551="NEW"),"",INDEX(J$1:J6550,SUMPRODUCT(MAX(ROW(E$1:E6550)*(E6551=E$1:E6550)))))</f>
        <v> </v>
      </c>
      <c r="L6551" s="27"/>
    </row>
    <row r="6552" spans="1:12">
      <c r="A6552" s="20" t="s">
        <v>2923</v>
      </c>
      <c r="B6552" s="21" t="s">
        <v>1178</v>
      </c>
      <c r="C6552" s="21" t="s">
        <v>1232</v>
      </c>
      <c r="E6552" s="22">
        <f>IF(D6552="?OLD","!!!","")</f>
        <v/>
      </c>
      <c r="F6552" s="23" t="str">
        <f>IF(OR(E6552="",E6552="!!!"),"",IF(NOT(ISNA(VLOOKUP(E6552,E$1:E6551,1,FALSE()))),"OLD",IF(AND(E6552&lt;&gt;"",E6552&lt;&gt;"!!!"),"NEW","")))</f>
        <v> </v>
      </c>
      <c r="G6552" s="24" t="str">
        <f>IF(OR(E6552="",E6552="!!!"),"",IF(OR(J6552=0,AND(J6552=1,K6552=1),AND(J6552=1,I6552="SBJ"),AND(J6552=1,I6552=0)),"?IN_FOCUS",IF(J6552&lt;=2,"?ACTIVATED",IF(J6552&lt;&gt;"","?FAMILIAR",IF(F6552="NEW",IF(ISNA(VLOOKUP(E6552,#REF!,1,FALSE())),"?TYPE_IDENTIFIABLE","?REFERENTIAL"),"_")))))</f>
        <v> </v>
      </c>
      <c r="H6552" s="25" t="str">
        <f>IF(J6552&lt;&gt;1,"",IF(I6552="SBJ","CB","?"))</f>
        <v> </v>
      </c>
      <c r="I6552" s="26" t="str">
        <f>IF(OR(E6552="",E6552="!!!",F6552="NEW"),"",INDEX(B6551:B$2,-1+SUMPRODUCT(MAX(ROW(E6551:E$2)*(E6552=E6551:E$2)))))</f>
        <v> </v>
      </c>
      <c r="J6552" s="26" t="str">
        <f>IF(OR(E6552="",E6552="!!!",F6552="NEW"),"",COUNTBLANK(OFFSET(A$1,,,SUMPRODUCT(MAX(ROW(E$2:E6552)*(E6552=E$2:E6552)))))-COUNTBLANK(OFFSET(A$1,,,SUMPRODUCT(MAX(ROW(E$1:E6551)*(E2=E$1:E6551))))))</f>
        <v> </v>
      </c>
      <c r="K6552" s="26" t="str">
        <f>IF(OR(E6552="",E6552="!!!",F6552="NEW"),"",INDEX(J$1:J6551,SUMPRODUCT(MAX(ROW(E$1:E6551)*(E6552=E$1:E6551)))))</f>
        <v> </v>
      </c>
      <c r="L6552" s="27"/>
    </row>
    <row r="6553" spans="1:12">
      <c r="A6553" s="20" t="s">
        <v>1185</v>
      </c>
      <c r="E6553" s="22">
        <f>IF(D6553="?OLD","!!!","")</f>
        <v/>
      </c>
      <c r="F6553" s="23" t="str">
        <f>IF(OR(E6553="",E6553="!!!"),"",IF(NOT(ISNA(VLOOKUP(E6553,E$1:E6552,1,FALSE()))),"OLD",IF(AND(E6553&lt;&gt;"",E6553&lt;&gt;"!!!"),"NEW","")))</f>
        <v> </v>
      </c>
      <c r="G6553" s="24" t="str">
        <f>IF(OR(E6553="",E6553="!!!"),"",IF(OR(J6553=0,AND(J6553=1,K6553=1),AND(J6553=1,I6553="SBJ"),AND(J6553=1,I6553=0)),"?IN_FOCUS",IF(J6553&lt;=2,"?ACTIVATED",IF(J6553&lt;&gt;"","?FAMILIAR",IF(F6553="NEW",IF(ISNA(VLOOKUP(E6553,#REF!,1,FALSE())),"?TYPE_IDENTIFIABLE","?REFERENTIAL"),"_")))))</f>
        <v> </v>
      </c>
      <c r="H6553" s="25" t="str">
        <f>IF(J6553&lt;&gt;1,"",IF(I6553="SBJ","CB","?"))</f>
        <v> </v>
      </c>
      <c r="I6553" s="26" t="str">
        <f>IF(OR(E6553="",E6553="!!!",F6553="NEW"),"",INDEX(B6552:B$2,-1+SUMPRODUCT(MAX(ROW(E6552:E$2)*(E6553=E6552:E$2)))))</f>
        <v> </v>
      </c>
      <c r="J6553" s="26" t="str">
        <f>IF(OR(E6553="",E6553="!!!",F6553="NEW"),"",COUNTBLANK(OFFSET(A$1,,,SUMPRODUCT(MAX(ROW(E$2:E6553)*(E6553=E$2:E6553)))))-COUNTBLANK(OFFSET(A$1,,,SUMPRODUCT(MAX(ROW(E$1:E6552)*(E2=E$1:E6552))))))</f>
        <v> </v>
      </c>
      <c r="K6553" s="26" t="str">
        <f>IF(OR(E6553="",E6553="!!!",F6553="NEW"),"",INDEX(J$1:J6552,SUMPRODUCT(MAX(ROW(E$1:E6552)*(E6553=E$1:E6552)))))</f>
        <v> </v>
      </c>
      <c r="L6553" s="27"/>
    </row>
    <row r="6554" spans="1:12">
      <c r="A6554" s="20" t="s">
        <v>1186</v>
      </c>
      <c r="B6554" s="21" t="s">
        <v>1304</v>
      </c>
      <c r="E6554" s="22">
        <f>IF(D6554="?OLD","!!!","")</f>
        <v/>
      </c>
      <c r="F6554" s="23" t="str">
        <f>IF(OR(E6554="",E6554="!!!"),"",IF(NOT(ISNA(VLOOKUP(E6554,E$1:E6553,1,FALSE()))),"OLD",IF(AND(E6554&lt;&gt;"",E6554&lt;&gt;"!!!"),"NEW","")))</f>
        <v> </v>
      </c>
      <c r="G6554" s="24" t="str">
        <f>IF(OR(E6554="",E6554="!!!"),"",IF(OR(J6554=0,AND(J6554=1,K6554=1),AND(J6554=1,I6554="SBJ"),AND(J6554=1,I6554=0)),"?IN_FOCUS",IF(J6554&lt;=2,"?ACTIVATED",IF(J6554&lt;&gt;"","?FAMILIAR",IF(F6554="NEW",IF(ISNA(VLOOKUP(E6554,#REF!,1,FALSE())),"?TYPE_IDENTIFIABLE","?REFERENTIAL"),"_")))))</f>
        <v> </v>
      </c>
      <c r="H6554" s="25" t="str">
        <f>IF(J6554&lt;&gt;1,"",IF(I6554="SBJ","CB","?"))</f>
        <v> </v>
      </c>
      <c r="I6554" s="26" t="str">
        <f>IF(OR(E6554="",E6554="!!!",F6554="NEW"),"",INDEX(B6553:B$2,-1+SUMPRODUCT(MAX(ROW(E6553:E$2)*(E6554=E6553:E$2)))))</f>
        <v> </v>
      </c>
      <c r="J6554" s="26" t="str">
        <f>IF(OR(E6554="",E6554="!!!",F6554="NEW"),"",COUNTBLANK(OFFSET(A$1,,,SUMPRODUCT(MAX(ROW(E$2:E6554)*(E6554=E$2:E6554)))))-COUNTBLANK(OFFSET(A$1,,,SUMPRODUCT(MAX(ROW(E$1:E6553)*(E2=E$1:E6553))))))</f>
        <v> </v>
      </c>
      <c r="K6554" s="26" t="str">
        <f>IF(OR(E6554="",E6554="!!!",F6554="NEW"),"",INDEX(J$1:J6553,SUMPRODUCT(MAX(ROW(E$1:E6553)*(E6554=E$1:E6553)))))</f>
        <v> </v>
      </c>
      <c r="L6554" s="27"/>
    </row>
    <row r="6555" spans="1:12">
      <c r="A6555" s="20" t="s">
        <v>185</v>
      </c>
      <c r="B6555" s="21" t="s">
        <v>1304</v>
      </c>
      <c r="C6555" s="21" t="s">
        <v>1195</v>
      </c>
      <c r="D6555" s="21" t="s">
        <v>1180</v>
      </c>
      <c r="E6555" s="22">
        <f>IF(D6555="?OLD","!!!","")</f>
        <v/>
      </c>
      <c r="F6555" s="23" t="str">
        <f>IF(OR(E6555="",E6555="!!!"),"",IF(NOT(ISNA(VLOOKUP(E6555,E$1:E6554,1,FALSE()))),"OLD",IF(AND(E6555&lt;&gt;"",E6555&lt;&gt;"!!!"),"NEW","")))</f>
        <v> </v>
      </c>
      <c r="G6555" s="24" t="str">
        <f>IF(OR(E6555="",E6555="!!!"),"",IF(OR(J6555=0,AND(J6555=1,K6555=1),AND(J6555=1,I6555="SBJ"),AND(J6555=1,I6555=0)),"?IN_FOCUS",IF(J6555&lt;=2,"?ACTIVATED",IF(J6555&lt;&gt;"","?FAMILIAR",IF(F6555="NEW",IF(ISNA(VLOOKUP(E6555,#REF!,1,FALSE())),"?TYPE_IDENTIFIABLE","?REFERENTIAL"),"_")))))</f>
        <v> </v>
      </c>
      <c r="H6555" s="25" t="str">
        <f>IF(J6555&lt;&gt;1,"",IF(I6555="SBJ","CB","?"))</f>
        <v> </v>
      </c>
      <c r="I6555" s="26" t="str">
        <f>IF(OR(E6555="",E6555="!!!",F6555="NEW"),"",INDEX(B6554:B$2,-1+SUMPRODUCT(MAX(ROW(E6554:E$2)*(E6555=E6554:E$2)))))</f>
        <v> </v>
      </c>
      <c r="J6555" s="26" t="str">
        <f>IF(OR(E6555="",E6555="!!!",F6555="NEW"),"",COUNTBLANK(OFFSET(A$1,,,SUMPRODUCT(MAX(ROW(E$2:E6555)*(E6555=E$2:E6555)))))-COUNTBLANK(OFFSET(A$1,,,SUMPRODUCT(MAX(ROW(E$1:E6554)*(E2=E$1:E6554))))))</f>
        <v> </v>
      </c>
      <c r="K6555" s="26" t="str">
        <f>IF(OR(E6555="",E6555="!!!",F6555="NEW"),"",INDEX(J$1:J6554,SUMPRODUCT(MAX(ROW(E$1:E6554)*(E6555=E$1:E6554)))))</f>
        <v> </v>
      </c>
      <c r="L6555" s="27"/>
    </row>
    <row r="6556" spans="1:12">
      <c r="A6556" s="20" t="s">
        <v>2392</v>
      </c>
      <c r="E6556" s="22">
        <f>IF(D6556="?OLD","!!!","")</f>
        <v/>
      </c>
      <c r="F6556" s="23" t="str">
        <f>IF(OR(E6556="",E6556="!!!"),"",IF(NOT(ISNA(VLOOKUP(E6556,E$1:E6555,1,FALSE()))),"OLD",IF(AND(E6556&lt;&gt;"",E6556&lt;&gt;"!!!"),"NEW","")))</f>
        <v> </v>
      </c>
      <c r="G6556" s="24" t="str">
        <f>IF(OR(E6556="",E6556="!!!"),"",IF(OR(J6556=0,AND(J6556=1,K6556=1),AND(J6556=1,I6556="SBJ"),AND(J6556=1,I6556=0)),"?IN_FOCUS",IF(J6556&lt;=2,"?ACTIVATED",IF(J6556&lt;&gt;"","?FAMILIAR",IF(F6556="NEW",IF(ISNA(VLOOKUP(E6556,#REF!,1,FALSE())),"?TYPE_IDENTIFIABLE","?REFERENTIAL"),"_")))))</f>
        <v> </v>
      </c>
      <c r="H6556" s="25" t="str">
        <f>IF(J6556&lt;&gt;1,"",IF(I6556="SBJ","CB","?"))</f>
        <v> </v>
      </c>
      <c r="I6556" s="26" t="str">
        <f>IF(OR(E6556="",E6556="!!!",F6556="NEW"),"",INDEX(B6555:B$2,-1+SUMPRODUCT(MAX(ROW(E6555:E$2)*(E6556=E6555:E$2)))))</f>
        <v> </v>
      </c>
      <c r="J6556" s="26" t="str">
        <f>IF(OR(E6556="",E6556="!!!",F6556="NEW"),"",COUNTBLANK(OFFSET(A$1,,,SUMPRODUCT(MAX(ROW(E$2:E6556)*(E6556=E$2:E6556)))))-COUNTBLANK(OFFSET(A$1,,,SUMPRODUCT(MAX(ROW(E$1:E6555)*(E2=E$1:E6555))))))</f>
        <v> </v>
      </c>
      <c r="K6556" s="26" t="str">
        <f>IF(OR(E6556="",E6556="!!!",F6556="NEW"),"",INDEX(J$1:J6555,SUMPRODUCT(MAX(ROW(E$1:E6555)*(E6556=E$1:E6555)))))</f>
        <v> </v>
      </c>
      <c r="L6556" s="27"/>
    </row>
    <row r="6557" spans="1:12">
      <c r="A6557" s="20" t="s">
        <v>1257</v>
      </c>
      <c r="E6557" s="22">
        <f>IF(D6557="?OLD","!!!","")</f>
        <v/>
      </c>
      <c r="F6557" s="23" t="str">
        <f>IF(OR(E6557="",E6557="!!!"),"",IF(NOT(ISNA(VLOOKUP(E6557,E$1:E6556,1,FALSE()))),"OLD",IF(AND(E6557&lt;&gt;"",E6557&lt;&gt;"!!!"),"NEW","")))</f>
        <v> </v>
      </c>
      <c r="G6557" s="24" t="str">
        <f>IF(OR(E6557="",E6557="!!!"),"",IF(OR(J6557=0,AND(J6557=1,K6557=1),AND(J6557=1,I6557="SBJ"),AND(J6557=1,I6557=0)),"?IN_FOCUS",IF(J6557&lt;=2,"?ACTIVATED",IF(J6557&lt;&gt;"","?FAMILIAR",IF(F6557="NEW",IF(ISNA(VLOOKUP(E6557,#REF!,1,FALSE())),"?TYPE_IDENTIFIABLE","?REFERENTIAL"),"_")))))</f>
        <v> </v>
      </c>
      <c r="H6557" s="25" t="str">
        <f>IF(J6557&lt;&gt;1,"",IF(I6557="SBJ","CB","?"))</f>
        <v> </v>
      </c>
      <c r="I6557" s="26" t="str">
        <f>IF(OR(E6557="",E6557="!!!",F6557="NEW"),"",INDEX(B6556:B$2,-1+SUMPRODUCT(MAX(ROW(E6556:E$2)*(E6557=E6556:E$2)))))</f>
        <v> </v>
      </c>
      <c r="J6557" s="26" t="str">
        <f>IF(OR(E6557="",E6557="!!!",F6557="NEW"),"",COUNTBLANK(OFFSET(A$1,,,SUMPRODUCT(MAX(ROW(E$2:E6557)*(E6557=E$2:E6557)))))-COUNTBLANK(OFFSET(A$1,,,SUMPRODUCT(MAX(ROW(E$1:E6556)*(E2=E$1:E6556))))))</f>
        <v> </v>
      </c>
      <c r="K6557" s="26" t="str">
        <f>IF(OR(E6557="",E6557="!!!",F6557="NEW"),"",INDEX(J$1:J6556,SUMPRODUCT(MAX(ROW(E$1:E6556)*(E6557=E$1:E6556)))))</f>
        <v> </v>
      </c>
      <c r="L6557" s="27"/>
    </row>
    <row r="6558" spans="1:12">
      <c r="A6558" s="20" t="s">
        <v>1185</v>
      </c>
      <c r="E6558" s="22">
        <f>IF(D6558="?OLD","!!!","")</f>
        <v/>
      </c>
      <c r="F6558" s="23" t="str">
        <f>IF(OR(E6558="",E6558="!!!"),"",IF(NOT(ISNA(VLOOKUP(E6558,E$1:E6557,1,FALSE()))),"OLD",IF(AND(E6558&lt;&gt;"",E6558&lt;&gt;"!!!"),"NEW","")))</f>
        <v> </v>
      </c>
      <c r="G6558" s="24" t="str">
        <f>IF(OR(E6558="",E6558="!!!"),"",IF(OR(J6558=0,AND(J6558=1,K6558=1),AND(J6558=1,I6558="SBJ"),AND(J6558=1,I6558=0)),"?IN_FOCUS",IF(J6558&lt;=2,"?ACTIVATED",IF(J6558&lt;&gt;"","?FAMILIAR",IF(F6558="NEW",IF(ISNA(VLOOKUP(E6558,#REF!,1,FALSE())),"?TYPE_IDENTIFIABLE","?REFERENTIAL"),"_")))))</f>
        <v> </v>
      </c>
      <c r="H6558" s="25" t="str">
        <f>IF(J6558&lt;&gt;1,"",IF(I6558="SBJ","CB","?"))</f>
        <v> </v>
      </c>
      <c r="I6558" s="26" t="str">
        <f>IF(OR(E6558="",E6558="!!!",F6558="NEW"),"",INDEX(B6557:B$2,-1+SUMPRODUCT(MAX(ROW(E6557:E$2)*(E6558=E6557:E$2)))))</f>
        <v> </v>
      </c>
      <c r="J6558" s="26" t="str">
        <f>IF(OR(E6558="",E6558="!!!",F6558="NEW"),"",COUNTBLANK(OFFSET(A$1,,,SUMPRODUCT(MAX(ROW(E$2:E6558)*(E6558=E$2:E6558)))))-COUNTBLANK(OFFSET(A$1,,,SUMPRODUCT(MAX(ROW(E$1:E6557)*(E2=E$1:E6557))))))</f>
        <v> </v>
      </c>
      <c r="K6558" s="26" t="str">
        <f>IF(OR(E6558="",E6558="!!!",F6558="NEW"),"",INDEX(J$1:J6557,SUMPRODUCT(MAX(ROW(E$1:E6557)*(E6558=E$1:E6557)))))</f>
        <v> </v>
      </c>
      <c r="L6558" s="27"/>
    </row>
    <row r="6559" spans="1:12">
      <c r="A6559" s="20" t="s">
        <v>1702</v>
      </c>
      <c r="E6559" s="22">
        <f>IF(D6559="?OLD","!!!","")</f>
        <v/>
      </c>
      <c r="F6559" s="23" t="str">
        <f>IF(OR(E6559="",E6559="!!!"),"",IF(NOT(ISNA(VLOOKUP(E6559,E$1:E6558,1,FALSE()))),"OLD",IF(AND(E6559&lt;&gt;"",E6559&lt;&gt;"!!!"),"NEW","")))</f>
        <v> </v>
      </c>
      <c r="G6559" s="24" t="str">
        <f>IF(OR(E6559="",E6559="!!!"),"",IF(OR(J6559=0,AND(J6559=1,K6559=1),AND(J6559=1,I6559="SBJ"),AND(J6559=1,I6559=0)),"?IN_FOCUS",IF(J6559&lt;=2,"?ACTIVATED",IF(J6559&lt;&gt;"","?FAMILIAR",IF(F6559="NEW",IF(ISNA(VLOOKUP(E6559,#REF!,1,FALSE())),"?TYPE_IDENTIFIABLE","?REFERENTIAL"),"_")))))</f>
        <v> </v>
      </c>
      <c r="H6559" s="25" t="str">
        <f>IF(J6559&lt;&gt;1,"",IF(I6559="SBJ","CB","?"))</f>
        <v> </v>
      </c>
      <c r="I6559" s="26" t="str">
        <f>IF(OR(E6559="",E6559="!!!",F6559="NEW"),"",INDEX(B6558:B$2,-1+SUMPRODUCT(MAX(ROW(E6558:E$2)*(E6559=E6558:E$2)))))</f>
        <v> </v>
      </c>
      <c r="J6559" s="26" t="str">
        <f>IF(OR(E6559="",E6559="!!!",F6559="NEW"),"",COUNTBLANK(OFFSET(A$1,,,SUMPRODUCT(MAX(ROW(E$2:E6559)*(E6559=E$2:E6559)))))-COUNTBLANK(OFFSET(A$1,,,SUMPRODUCT(MAX(ROW(E$1:E6558)*(E2=E$1:E6558))))))</f>
        <v> </v>
      </c>
      <c r="K6559" s="26" t="str">
        <f>IF(OR(E6559="",E6559="!!!",F6559="NEW"),"",INDEX(J$1:J6558,SUMPRODUCT(MAX(ROW(E$1:E6558)*(E6559=E$1:E6558)))))</f>
        <v> </v>
      </c>
      <c r="L6559" s="27"/>
    </row>
    <row r="6560" spans="1:12">
      <c r="A6560" s="20" t="s">
        <v>1295</v>
      </c>
      <c r="E6560" s="22">
        <f>IF(D6560="?OLD","!!!","")</f>
        <v/>
      </c>
      <c r="F6560" s="23" t="str">
        <f>IF(OR(E6560="",E6560="!!!"),"",IF(NOT(ISNA(VLOOKUP(E6560,E$1:E6559,1,FALSE()))),"OLD",IF(AND(E6560&lt;&gt;"",E6560&lt;&gt;"!!!"),"NEW","")))</f>
        <v> </v>
      </c>
      <c r="G6560" s="24" t="str">
        <f>IF(OR(E6560="",E6560="!!!"),"",IF(OR(J6560=0,AND(J6560=1,K6560=1),AND(J6560=1,I6560="SBJ"),AND(J6560=1,I6560=0)),"?IN_FOCUS",IF(J6560&lt;=2,"?ACTIVATED",IF(J6560&lt;&gt;"","?FAMILIAR",IF(F6560="NEW",IF(ISNA(VLOOKUP(E6560,#REF!,1,FALSE())),"?TYPE_IDENTIFIABLE","?REFERENTIAL"),"_")))))</f>
        <v> </v>
      </c>
      <c r="H6560" s="25" t="str">
        <f>IF(J6560&lt;&gt;1,"",IF(I6560="SBJ","CB","?"))</f>
        <v> </v>
      </c>
      <c r="I6560" s="26" t="str">
        <f>IF(OR(E6560="",E6560="!!!",F6560="NEW"),"",INDEX(B6559:B$2,-1+SUMPRODUCT(MAX(ROW(E6559:E$2)*(E6560=E6559:E$2)))))</f>
        <v> </v>
      </c>
      <c r="J6560" s="26" t="str">
        <f>IF(OR(E6560="",E6560="!!!",F6560="NEW"),"",COUNTBLANK(OFFSET(A$1,,,SUMPRODUCT(MAX(ROW(E$2:E6560)*(E6560=E$2:E6560)))))-COUNTBLANK(OFFSET(A$1,,,SUMPRODUCT(MAX(ROW(E$1:E6559)*(E2=E$1:E6559))))))</f>
        <v> </v>
      </c>
      <c r="K6560" s="26" t="str">
        <f>IF(OR(E6560="",E6560="!!!",F6560="NEW"),"",INDEX(J$1:J6559,SUMPRODUCT(MAX(ROW(E$1:E6559)*(E6560=E$1:E6559)))))</f>
        <v> </v>
      </c>
      <c r="L6560" s="27"/>
    </row>
    <row r="6561" spans="1:12">
      <c r="A6561" s="20" t="s">
        <v>1566</v>
      </c>
      <c r="E6561" s="22">
        <f>IF(D6561="?OLD","!!!","")</f>
        <v/>
      </c>
      <c r="F6561" s="23" t="str">
        <f>IF(OR(E6561="",E6561="!!!"),"",IF(NOT(ISNA(VLOOKUP(E6561,E$1:E6560,1,FALSE()))),"OLD",IF(AND(E6561&lt;&gt;"",E6561&lt;&gt;"!!!"),"NEW","")))</f>
        <v> </v>
      </c>
      <c r="G6561" s="24" t="str">
        <f>IF(OR(E6561="",E6561="!!!"),"",IF(OR(J6561=0,AND(J6561=1,K6561=1),AND(J6561=1,I6561="SBJ"),AND(J6561=1,I6561=0)),"?IN_FOCUS",IF(J6561&lt;=2,"?ACTIVATED",IF(J6561&lt;&gt;"","?FAMILIAR",IF(F6561="NEW",IF(ISNA(VLOOKUP(E6561,#REF!,1,FALSE())),"?TYPE_IDENTIFIABLE","?REFERENTIAL"),"_")))))</f>
        <v> </v>
      </c>
      <c r="H6561" s="25" t="str">
        <f>IF(J6561&lt;&gt;1,"",IF(I6561="SBJ","CB","?"))</f>
        <v> </v>
      </c>
      <c r="I6561" s="26" t="str">
        <f>IF(OR(E6561="",E6561="!!!",F6561="NEW"),"",INDEX(B6560:B$2,-1+SUMPRODUCT(MAX(ROW(E6560:E$2)*(E6561=E6560:E$2)))))</f>
        <v> </v>
      </c>
      <c r="J6561" s="26" t="str">
        <f>IF(OR(E6561="",E6561="!!!",F6561="NEW"),"",COUNTBLANK(OFFSET(A$1,,,SUMPRODUCT(MAX(ROW(E$2:E6561)*(E6561=E$2:E6561)))))-COUNTBLANK(OFFSET(A$1,,,SUMPRODUCT(MAX(ROW(E$1:E6560)*(E2=E$1:E6560))))))</f>
        <v> </v>
      </c>
      <c r="K6561" s="26" t="str">
        <f>IF(OR(E6561="",E6561="!!!",F6561="NEW"),"",INDEX(J$1:J6560,SUMPRODUCT(MAX(ROW(E$1:E6560)*(E6561=E$1:E6560)))))</f>
        <v> </v>
      </c>
      <c r="L6561" s="27"/>
    </row>
    <row r="6562" spans="1:12">
      <c r="A6562" s="20" t="s">
        <v>2925</v>
      </c>
      <c r="E6562" s="22">
        <f>IF(D6562="?OLD","!!!","")</f>
        <v/>
      </c>
      <c r="F6562" s="23" t="str">
        <f>IF(OR(E6562="",E6562="!!!"),"",IF(NOT(ISNA(VLOOKUP(E6562,E$1:E6561,1,FALSE()))),"OLD",IF(AND(E6562&lt;&gt;"",E6562&lt;&gt;"!!!"),"NEW","")))</f>
        <v> </v>
      </c>
      <c r="G6562" s="24" t="str">
        <f>IF(OR(E6562="",E6562="!!!"),"",IF(OR(J6562=0,AND(J6562=1,K6562=1),AND(J6562=1,I6562="SBJ"),AND(J6562=1,I6562=0)),"?IN_FOCUS",IF(J6562&lt;=2,"?ACTIVATED",IF(J6562&lt;&gt;"","?FAMILIAR",IF(F6562="NEW",IF(ISNA(VLOOKUP(E6562,#REF!,1,FALSE())),"?TYPE_IDENTIFIABLE","?REFERENTIAL"),"_")))))</f>
        <v> </v>
      </c>
      <c r="H6562" s="25" t="str">
        <f>IF(J6562&lt;&gt;1,"",IF(I6562="SBJ","CB","?"))</f>
        <v> </v>
      </c>
      <c r="I6562" s="26" t="str">
        <f>IF(OR(E6562="",E6562="!!!",F6562="NEW"),"",INDEX(B6561:B$2,-1+SUMPRODUCT(MAX(ROW(E6561:E$2)*(E6562=E6561:E$2)))))</f>
        <v> </v>
      </c>
      <c r="J6562" s="26" t="str">
        <f>IF(OR(E6562="",E6562="!!!",F6562="NEW"),"",COUNTBLANK(OFFSET(A$1,,,SUMPRODUCT(MAX(ROW(E$2:E6562)*(E6562=E$2:E6562)))))-COUNTBLANK(OFFSET(A$1,,,SUMPRODUCT(MAX(ROW(E$1:E6561)*(E2=E$1:E6561))))))</f>
        <v> </v>
      </c>
      <c r="K6562" s="26" t="str">
        <f>IF(OR(E6562="",E6562="!!!",F6562="NEW"),"",INDEX(J$1:J6561,SUMPRODUCT(MAX(ROW(E$1:E6561)*(E6562=E$1:E6561)))))</f>
        <v> </v>
      </c>
      <c r="L6562" s="27"/>
    </row>
    <row r="6563" spans="1:12">
      <c r="A6563" s="20" t="s">
        <v>1330</v>
      </c>
      <c r="E6563" s="22">
        <f>IF(D6563="?OLD","!!!","")</f>
        <v/>
      </c>
      <c r="F6563" s="23" t="str">
        <f>IF(OR(E6563="",E6563="!!!"),"",IF(NOT(ISNA(VLOOKUP(E6563,E$1:E6562,1,FALSE()))),"OLD",IF(AND(E6563&lt;&gt;"",E6563&lt;&gt;"!!!"),"NEW","")))</f>
        <v> </v>
      </c>
      <c r="G6563" s="24" t="str">
        <f>IF(OR(E6563="",E6563="!!!"),"",IF(OR(J6563=0,AND(J6563=1,K6563=1),AND(J6563=1,I6563="SBJ"),AND(J6563=1,I6563=0)),"?IN_FOCUS",IF(J6563&lt;=2,"?ACTIVATED",IF(J6563&lt;&gt;"","?FAMILIAR",IF(F6563="NEW",IF(ISNA(VLOOKUP(E6563,#REF!,1,FALSE())),"?TYPE_IDENTIFIABLE","?REFERENTIAL"),"_")))))</f>
        <v> </v>
      </c>
      <c r="H6563" s="25" t="str">
        <f>IF(J6563&lt;&gt;1,"",IF(I6563="SBJ","CB","?"))</f>
        <v> </v>
      </c>
      <c r="I6563" s="26" t="str">
        <f>IF(OR(E6563="",E6563="!!!",F6563="NEW"),"",INDEX(B6562:B$2,-1+SUMPRODUCT(MAX(ROW(E6562:E$2)*(E6563=E6562:E$2)))))</f>
        <v> </v>
      </c>
      <c r="J6563" s="26" t="str">
        <f>IF(OR(E6563="",E6563="!!!",F6563="NEW"),"",COUNTBLANK(OFFSET(A$1,,,SUMPRODUCT(MAX(ROW(E$2:E6563)*(E6563=E$2:E6563)))))-COUNTBLANK(OFFSET(A$1,,,SUMPRODUCT(MAX(ROW(E$1:E6562)*(E2=E$1:E6562))))))</f>
        <v> </v>
      </c>
      <c r="K6563" s="26" t="str">
        <f>IF(OR(E6563="",E6563="!!!",F6563="NEW"),"",INDEX(J$1:J6562,SUMPRODUCT(MAX(ROW(E$1:E6562)*(E6563=E$1:E6562)))))</f>
        <v> </v>
      </c>
      <c r="L6563" s="27"/>
    </row>
    <row r="6564" spans="1:12">
      <c r="A6564" s="20" t="s">
        <v>670</v>
      </c>
      <c r="E6564" s="22">
        <f>IF(D6564="?OLD","!!!","")</f>
        <v/>
      </c>
      <c r="F6564" s="23" t="str">
        <f>IF(OR(E6564="",E6564="!!!"),"",IF(NOT(ISNA(VLOOKUP(E6564,E$1:E6563,1,FALSE()))),"OLD",IF(AND(E6564&lt;&gt;"",E6564&lt;&gt;"!!!"),"NEW","")))</f>
        <v> </v>
      </c>
      <c r="G6564" s="24" t="str">
        <f>IF(OR(E6564="",E6564="!!!"),"",IF(OR(J6564=0,AND(J6564=1,K6564=1),AND(J6564=1,I6564="SBJ"),AND(J6564=1,I6564=0)),"?IN_FOCUS",IF(J6564&lt;=2,"?ACTIVATED",IF(J6564&lt;&gt;"","?FAMILIAR",IF(F6564="NEW",IF(ISNA(VLOOKUP(E6564,#REF!,1,FALSE())),"?TYPE_IDENTIFIABLE","?REFERENTIAL"),"_")))))</f>
        <v> </v>
      </c>
      <c r="H6564" s="25" t="str">
        <f>IF(J6564&lt;&gt;1,"",IF(I6564="SBJ","CB","?"))</f>
        <v> </v>
      </c>
      <c r="I6564" s="26" t="str">
        <f>IF(OR(E6564="",E6564="!!!",F6564="NEW"),"",INDEX(B6563:B$2,-1+SUMPRODUCT(MAX(ROW(E6563:E$2)*(E6564=E6563:E$2)))))</f>
        <v> </v>
      </c>
      <c r="J6564" s="26" t="str">
        <f>IF(OR(E6564="",E6564="!!!",F6564="NEW"),"",COUNTBLANK(OFFSET(A$1,,,SUMPRODUCT(MAX(ROW(E$2:E6564)*(E6564=E$2:E6564)))))-COUNTBLANK(OFFSET(A$1,,,SUMPRODUCT(MAX(ROW(E$1:E6563)*(E2=E$1:E6563))))))</f>
        <v> </v>
      </c>
      <c r="K6564" s="26" t="str">
        <f>IF(OR(E6564="",E6564="!!!",F6564="NEW"),"",INDEX(J$1:J6563,SUMPRODUCT(MAX(ROW(E$1:E6563)*(E6564=E$1:E6563)))))</f>
        <v> </v>
      </c>
      <c r="L6564" s="27"/>
    </row>
    <row r="6565" spans="1:12">
      <c r="A6565" s="20" t="s">
        <v>1249</v>
      </c>
      <c r="E6565" s="22">
        <f>IF(D6565="?OLD","!!!","")</f>
        <v/>
      </c>
      <c r="F6565" s="23" t="str">
        <f>IF(OR(E6565="",E6565="!!!"),"",IF(NOT(ISNA(VLOOKUP(E6565,E$1:E6564,1,FALSE()))),"OLD",IF(AND(E6565&lt;&gt;"",E6565&lt;&gt;"!!!"),"NEW","")))</f>
        <v> </v>
      </c>
      <c r="G6565" s="24" t="str">
        <f>IF(OR(E6565="",E6565="!!!"),"",IF(OR(J6565=0,AND(J6565=1,K6565=1),AND(J6565=1,I6565="SBJ"),AND(J6565=1,I6565=0)),"?IN_FOCUS",IF(J6565&lt;=2,"?ACTIVATED",IF(J6565&lt;&gt;"","?FAMILIAR",IF(F6565="NEW",IF(ISNA(VLOOKUP(E6565,#REF!,1,FALSE())),"?TYPE_IDENTIFIABLE","?REFERENTIAL"),"_")))))</f>
        <v> </v>
      </c>
      <c r="H6565" s="25" t="str">
        <f>IF(J6565&lt;&gt;1,"",IF(I6565="SBJ","CB","?"))</f>
        <v> </v>
      </c>
      <c r="I6565" s="26" t="str">
        <f>IF(OR(E6565="",E6565="!!!",F6565="NEW"),"",INDEX(B6564:B$2,-1+SUMPRODUCT(MAX(ROW(E6564:E$2)*(E6565=E6564:E$2)))))</f>
        <v> </v>
      </c>
      <c r="J6565" s="26" t="str">
        <f>IF(OR(E6565="",E6565="!!!",F6565="NEW"),"",COUNTBLANK(OFFSET(A$1,,,SUMPRODUCT(MAX(ROW(E$2:E6565)*(E6565=E$2:E6565)))))-COUNTBLANK(OFFSET(A$1,,,SUMPRODUCT(MAX(ROW(E$1:E6564)*(E2=E$1:E6564))))))</f>
        <v> </v>
      </c>
      <c r="K6565" s="26" t="str">
        <f>IF(OR(E6565="",E6565="!!!",F6565="NEW"),"",INDEX(J$1:J6564,SUMPRODUCT(MAX(ROW(E$1:E6564)*(E6565=E$1:E6564)))))</f>
        <v> </v>
      </c>
      <c r="L6565" s="27"/>
    </row>
    <row r="6566" spans="1:12">
      <c r="A6566" s="20"/>
    </row>
    <row r="6567" spans="1:12">
      <c r="A6567" s="20" t="s">
        <v>2926</v>
      </c>
    </row>
    <row r="6568" spans="1:12">
      <c r="A6568" s="20" t="s">
        <v>1287</v>
      </c>
      <c r="E6568" s="22">
        <f>IF(D6568="?OLD","!!!","")</f>
        <v/>
      </c>
      <c r="F6568" s="23" t="str">
        <f>IF(OR(E6568="",E6568="!!!"),"",IF(NOT(ISNA(VLOOKUP(E6568,E$1:E6567,1,FALSE()))),"OLD",IF(AND(E6568&lt;&gt;"",E6568&lt;&gt;"!!!"),"NEW","")))</f>
        <v> </v>
      </c>
      <c r="G6568" s="24" t="str">
        <f>IF(OR(E6568="",E6568="!!!"),"",IF(OR(J6568=0,AND(J6568=1,K6568=1),AND(J6568=1,I6568="SBJ"),AND(J6568=1,I6568=0)),"?IN_FOCUS",IF(J6568&lt;=2,"?ACTIVATED",IF(J6568&lt;&gt;"","?FAMILIAR",IF(F6568="NEW",IF(ISNA(VLOOKUP(E6568,#REF!,1,FALSE())),"?TYPE_IDENTIFIABLE","?REFERENTIAL"),"_")))))</f>
        <v> </v>
      </c>
      <c r="H6568" s="25" t="str">
        <f>IF(J6568&lt;&gt;1,"",IF(I6568="SBJ","CB","?"))</f>
        <v> </v>
      </c>
      <c r="I6568" s="26" t="str">
        <f>IF(OR(E6568="",E6568="!!!",F6568="NEW"),"",INDEX(B6567:B$2,-1+SUMPRODUCT(MAX(ROW(E6567:E$2)*(E6568=E6567:E$2)))))</f>
        <v> </v>
      </c>
      <c r="J6568" s="26" t="str">
        <f>IF(OR(E6568="",E6568="!!!",F6568="NEW"),"",COUNTBLANK(OFFSET(A$1,,,SUMPRODUCT(MAX(ROW(E$2:E6568)*(E6568=E$2:E6568)))))-COUNTBLANK(OFFSET(A$1,,,SUMPRODUCT(MAX(ROW(E$1:E6567)*(E2=E$1:E6567))))))</f>
        <v> </v>
      </c>
      <c r="K6568" s="26" t="str">
        <f>IF(OR(E6568="",E6568="!!!",F6568="NEW"),"",INDEX(J$1:J6567,SUMPRODUCT(MAX(ROW(E$1:E6567)*(E6568=E$1:E6567)))))</f>
        <v> </v>
      </c>
      <c r="L6568" s="27"/>
    </row>
    <row r="6569" spans="1:12">
      <c r="A6569" s="20" t="s">
        <v>1182</v>
      </c>
      <c r="E6569" s="22">
        <f>IF(D6569="?OLD","!!!","")</f>
        <v/>
      </c>
      <c r="F6569" s="23" t="str">
        <f>IF(OR(E6569="",E6569="!!!"),"",IF(NOT(ISNA(VLOOKUP(E6569,E$1:E6568,1,FALSE()))),"OLD",IF(AND(E6569&lt;&gt;"",E6569&lt;&gt;"!!!"),"NEW","")))</f>
        <v> </v>
      </c>
      <c r="G6569" s="24" t="str">
        <f>IF(OR(E6569="",E6569="!!!"),"",IF(OR(J6569=0,AND(J6569=1,K6569=1),AND(J6569=1,I6569="SBJ"),AND(J6569=1,I6569=0)),"?IN_FOCUS",IF(J6569&lt;=2,"?ACTIVATED",IF(J6569&lt;&gt;"","?FAMILIAR",IF(F6569="NEW",IF(ISNA(VLOOKUP(E6569,#REF!,1,FALSE())),"?TYPE_IDENTIFIABLE","?REFERENTIAL"),"_")))))</f>
        <v> </v>
      </c>
      <c r="H6569" s="25" t="str">
        <f>IF(J6569&lt;&gt;1,"",IF(I6569="SBJ","CB","?"))</f>
        <v> </v>
      </c>
      <c r="I6569" s="26" t="str">
        <f>IF(OR(E6569="",E6569="!!!",F6569="NEW"),"",INDEX(B6568:B$2,-1+SUMPRODUCT(MAX(ROW(E6568:E$2)*(E6569=E6568:E$2)))))</f>
        <v> </v>
      </c>
      <c r="J6569" s="26" t="str">
        <f>IF(OR(E6569="",E6569="!!!",F6569="NEW"),"",COUNTBLANK(OFFSET(A$1,,,SUMPRODUCT(MAX(ROW(E$2:E6569)*(E6569=E$2:E6569)))))-COUNTBLANK(OFFSET(A$1,,,SUMPRODUCT(MAX(ROW(E$1:E6568)*(E2=E$1:E6568))))))</f>
        <v> </v>
      </c>
      <c r="K6569" s="26" t="str">
        <f>IF(OR(E6569="",E6569="!!!",F6569="NEW"),"",INDEX(J$1:J6568,SUMPRODUCT(MAX(ROW(E$1:E6568)*(E6569=E$1:E6568)))))</f>
        <v> </v>
      </c>
      <c r="L6569" s="27"/>
    </row>
    <row r="6570" spans="1:12">
      <c r="A6570" s="20" t="s">
        <v>1193</v>
      </c>
      <c r="B6570" s="21" t="s">
        <v>1194</v>
      </c>
      <c r="C6570" s="21" t="s">
        <v>1195</v>
      </c>
      <c r="D6570" s="21" t="s">
        <v>1180</v>
      </c>
      <c r="E6570" s="22">
        <f>IF(D6570="?OLD","!!!","")</f>
        <v/>
      </c>
      <c r="F6570" s="23" t="str">
        <f>IF(OR(E6570="",E6570="!!!"),"",IF(NOT(ISNA(VLOOKUP(E6570,E$1:E6569,1,FALSE()))),"OLD",IF(AND(E6570&lt;&gt;"",E6570&lt;&gt;"!!!"),"NEW","")))</f>
        <v> </v>
      </c>
      <c r="G6570" s="24" t="str">
        <f>IF(OR(E6570="",E6570="!!!"),"",IF(OR(J6570=0,AND(J6570=1,K6570=1),AND(J6570=1,I6570="SBJ"),AND(J6570=1,I6570=0)),"?IN_FOCUS",IF(J6570&lt;=2,"?ACTIVATED",IF(J6570&lt;&gt;"","?FAMILIAR",IF(F6570="NEW",IF(ISNA(VLOOKUP(E6570,#REF!,1,FALSE())),"?TYPE_IDENTIFIABLE","?REFERENTIAL"),"_")))))</f>
        <v> </v>
      </c>
      <c r="H6570" s="25" t="str">
        <f>IF(J6570&lt;&gt;1,"",IF(I6570="SBJ","CB","?"))</f>
        <v> </v>
      </c>
      <c r="I6570" s="26" t="str">
        <f>IF(OR(E6570="",E6570="!!!",F6570="NEW"),"",INDEX(B6569:B$2,-1+SUMPRODUCT(MAX(ROW(E6569:E$2)*(E6570=E6569:E$2)))))</f>
        <v> </v>
      </c>
      <c r="J6570" s="26" t="str">
        <f>IF(OR(E6570="",E6570="!!!",F6570="NEW"),"",COUNTBLANK(OFFSET(A$1,,,SUMPRODUCT(MAX(ROW(E$2:E6570)*(E6570=E$2:E6570)))))-COUNTBLANK(OFFSET(A$1,,,SUMPRODUCT(MAX(ROW(E$1:E6569)*(E2=E$1:E6569))))))</f>
        <v> </v>
      </c>
      <c r="K6570" s="26" t="str">
        <f>IF(OR(E6570="",E6570="!!!",F6570="NEW"),"",INDEX(J$1:J6569,SUMPRODUCT(MAX(ROW(E$1:E6569)*(E6570=E$1:E6569)))))</f>
        <v> </v>
      </c>
      <c r="L6570" s="27"/>
    </row>
    <row r="6571" spans="1:12">
      <c r="A6571" s="20" t="s">
        <v>1365</v>
      </c>
      <c r="E6571" s="22">
        <f>IF(D6571="?OLD","!!!","")</f>
        <v/>
      </c>
      <c r="F6571" s="23" t="str">
        <f>IF(OR(E6571="",E6571="!!!"),"",IF(NOT(ISNA(VLOOKUP(E6571,E$1:E6570,1,FALSE()))),"OLD",IF(AND(E6571&lt;&gt;"",E6571&lt;&gt;"!!!"),"NEW","")))</f>
        <v> </v>
      </c>
      <c r="G6571" s="24" t="str">
        <f>IF(OR(E6571="",E6571="!!!"),"",IF(OR(J6571=0,AND(J6571=1,K6571=1),AND(J6571=1,I6571="SBJ"),AND(J6571=1,I6571=0)),"?IN_FOCUS",IF(J6571&lt;=2,"?ACTIVATED",IF(J6571&lt;&gt;"","?FAMILIAR",IF(F6571="NEW",IF(ISNA(VLOOKUP(E6571,#REF!,1,FALSE())),"?TYPE_IDENTIFIABLE","?REFERENTIAL"),"_")))))</f>
        <v> </v>
      </c>
      <c r="H6571" s="25" t="str">
        <f>IF(J6571&lt;&gt;1,"",IF(I6571="SBJ","CB","?"))</f>
        <v> </v>
      </c>
      <c r="I6571" s="26" t="str">
        <f>IF(OR(E6571="",E6571="!!!",F6571="NEW"),"",INDEX(B6570:B$2,-1+SUMPRODUCT(MAX(ROW(E6570:E$2)*(E6571=E6570:E$2)))))</f>
        <v> </v>
      </c>
      <c r="J6571" s="26" t="str">
        <f>IF(OR(E6571="",E6571="!!!",F6571="NEW"),"",COUNTBLANK(OFFSET(A$1,,,SUMPRODUCT(MAX(ROW(E$2:E6571)*(E6571=E$2:E6571)))))-COUNTBLANK(OFFSET(A$1,,,SUMPRODUCT(MAX(ROW(E$1:E6570)*(E2=E$1:E6570))))))</f>
        <v> </v>
      </c>
      <c r="K6571" s="26" t="str">
        <f>IF(OR(E6571="",E6571="!!!",F6571="NEW"),"",INDEX(J$1:J6570,SUMPRODUCT(MAX(ROW(E$1:E6570)*(E6571=E$1:E6570)))))</f>
        <v> </v>
      </c>
      <c r="L6571" s="27"/>
    </row>
    <row r="6572" spans="1:12">
      <c r="A6572" s="20" t="s">
        <v>96</v>
      </c>
      <c r="E6572" s="22">
        <f>IF(D6572="?OLD","!!!","")</f>
        <v/>
      </c>
      <c r="F6572" s="23" t="str">
        <f>IF(OR(E6572="",E6572="!!!"),"",IF(NOT(ISNA(VLOOKUP(E6572,E$1:E6571,1,FALSE()))),"OLD",IF(AND(E6572&lt;&gt;"",E6572&lt;&gt;"!!!"),"NEW","")))</f>
        <v> </v>
      </c>
      <c r="G6572" s="24" t="str">
        <f>IF(OR(E6572="",E6572="!!!"),"",IF(OR(J6572=0,AND(J6572=1,K6572=1),AND(J6572=1,I6572="SBJ"),AND(J6572=1,I6572=0)),"?IN_FOCUS",IF(J6572&lt;=2,"?ACTIVATED",IF(J6572&lt;&gt;"","?FAMILIAR",IF(F6572="NEW",IF(ISNA(VLOOKUP(E6572,#REF!,1,FALSE())),"?TYPE_IDENTIFIABLE","?REFERENTIAL"),"_")))))</f>
        <v> </v>
      </c>
      <c r="H6572" s="25" t="str">
        <f>IF(J6572&lt;&gt;1,"",IF(I6572="SBJ","CB","?"))</f>
        <v> </v>
      </c>
      <c r="I6572" s="26" t="str">
        <f>IF(OR(E6572="",E6572="!!!",F6572="NEW"),"",INDEX(B6571:B$2,-1+SUMPRODUCT(MAX(ROW(E6571:E$2)*(E6572=E6571:E$2)))))</f>
        <v> </v>
      </c>
      <c r="J6572" s="26" t="str">
        <f>IF(OR(E6572="",E6572="!!!",F6572="NEW"),"",COUNTBLANK(OFFSET(A$1,,,SUMPRODUCT(MAX(ROW(E$2:E6572)*(E6572=E$2:E6572)))))-COUNTBLANK(OFFSET(A$1,,,SUMPRODUCT(MAX(ROW(E$1:E6571)*(E2=E$1:E6571))))))</f>
        <v> </v>
      </c>
      <c r="K6572" s="26" t="str">
        <f>IF(OR(E6572="",E6572="!!!",F6572="NEW"),"",INDEX(J$1:J6571,SUMPRODUCT(MAX(ROW(E$1:E6571)*(E6572=E$1:E6571)))))</f>
        <v> </v>
      </c>
      <c r="L6572" s="27"/>
    </row>
    <row r="6573" spans="1:12">
      <c r="A6573" s="20" t="s">
        <v>1185</v>
      </c>
      <c r="E6573" s="22">
        <f>IF(D6573="?OLD","!!!","")</f>
        <v/>
      </c>
      <c r="F6573" s="23" t="str">
        <f>IF(OR(E6573="",E6573="!!!"),"",IF(NOT(ISNA(VLOOKUP(E6573,E$1:E6572,1,FALSE()))),"OLD",IF(AND(E6573&lt;&gt;"",E6573&lt;&gt;"!!!"),"NEW","")))</f>
        <v> </v>
      </c>
      <c r="G6573" s="24" t="str">
        <f>IF(OR(E6573="",E6573="!!!"),"",IF(OR(J6573=0,AND(J6573=1,K6573=1),AND(J6573=1,I6573="SBJ"),AND(J6573=1,I6573=0)),"?IN_FOCUS",IF(J6573&lt;=2,"?ACTIVATED",IF(J6573&lt;&gt;"","?FAMILIAR",IF(F6573="NEW",IF(ISNA(VLOOKUP(E6573,#REF!,1,FALSE())),"?TYPE_IDENTIFIABLE","?REFERENTIAL"),"_")))))</f>
        <v> </v>
      </c>
      <c r="H6573" s="25" t="str">
        <f>IF(J6573&lt;&gt;1,"",IF(I6573="SBJ","CB","?"))</f>
        <v> </v>
      </c>
      <c r="I6573" s="26" t="str">
        <f>IF(OR(E6573="",E6573="!!!",F6573="NEW"),"",INDEX(B6572:B$2,-1+SUMPRODUCT(MAX(ROW(E6572:E$2)*(E6573=E6572:E$2)))))</f>
        <v> </v>
      </c>
      <c r="J6573" s="26" t="str">
        <f>IF(OR(E6573="",E6573="!!!",F6573="NEW"),"",COUNTBLANK(OFFSET(A$1,,,SUMPRODUCT(MAX(ROW(E$2:E6573)*(E6573=E$2:E6573)))))-COUNTBLANK(OFFSET(A$1,,,SUMPRODUCT(MAX(ROW(E$1:E6572)*(E2=E$1:E6572))))))</f>
        <v> </v>
      </c>
      <c r="K6573" s="26" t="str">
        <f>IF(OR(E6573="",E6573="!!!",F6573="NEW"),"",INDEX(J$1:J6572,SUMPRODUCT(MAX(ROW(E$1:E6572)*(E6573=E$1:E6572)))))</f>
        <v> </v>
      </c>
      <c r="L6573" s="27"/>
    </row>
    <row r="6574" spans="1:12">
      <c r="A6574" s="20" t="s">
        <v>1359</v>
      </c>
      <c r="E6574" s="22">
        <f>IF(D6574="?OLD","!!!","")</f>
        <v/>
      </c>
      <c r="F6574" s="23" t="str">
        <f>IF(OR(E6574="",E6574="!!!"),"",IF(NOT(ISNA(VLOOKUP(E6574,E$1:E6573,1,FALSE()))),"OLD",IF(AND(E6574&lt;&gt;"",E6574&lt;&gt;"!!!"),"NEW","")))</f>
        <v> </v>
      </c>
      <c r="G6574" s="24" t="str">
        <f>IF(OR(E6574="",E6574="!!!"),"",IF(OR(J6574=0,AND(J6574=1,K6574=1),AND(J6574=1,I6574="SBJ"),AND(J6574=1,I6574=0)),"?IN_FOCUS",IF(J6574&lt;=2,"?ACTIVATED",IF(J6574&lt;&gt;"","?FAMILIAR",IF(F6574="NEW",IF(ISNA(VLOOKUP(E6574,#REF!,1,FALSE())),"?TYPE_IDENTIFIABLE","?REFERENTIAL"),"_")))))</f>
        <v> </v>
      </c>
      <c r="H6574" s="25" t="str">
        <f>IF(J6574&lt;&gt;1,"",IF(I6574="SBJ","CB","?"))</f>
        <v> </v>
      </c>
      <c r="I6574" s="26" t="str">
        <f>IF(OR(E6574="",E6574="!!!",F6574="NEW"),"",INDEX(B6573:B$2,-1+SUMPRODUCT(MAX(ROW(E6573:E$2)*(E6574=E6573:E$2)))))</f>
        <v> </v>
      </c>
      <c r="J6574" s="26" t="str">
        <f>IF(OR(E6574="",E6574="!!!",F6574="NEW"),"",COUNTBLANK(OFFSET(A$1,,,SUMPRODUCT(MAX(ROW(E$2:E6574)*(E6574=E$2:E6574)))))-COUNTBLANK(OFFSET(A$1,,,SUMPRODUCT(MAX(ROW(E$1:E6573)*(E2=E$1:E6573))))))</f>
        <v> </v>
      </c>
      <c r="K6574" s="26" t="str">
        <f>IF(OR(E6574="",E6574="!!!",F6574="NEW"),"",INDEX(J$1:J6573,SUMPRODUCT(MAX(ROW(E$1:E6573)*(E6574=E$1:E6573)))))</f>
        <v> </v>
      </c>
      <c r="L6574" s="27"/>
    </row>
    <row r="6575" spans="1:12">
      <c r="A6575" s="20" t="s">
        <v>1495</v>
      </c>
      <c r="E6575" s="22">
        <f>IF(D6575="?OLD","!!!","")</f>
        <v/>
      </c>
      <c r="F6575" s="23" t="str">
        <f>IF(OR(E6575="",E6575="!!!"),"",IF(NOT(ISNA(VLOOKUP(E6575,E$1:E6574,1,FALSE()))),"OLD",IF(AND(E6575&lt;&gt;"",E6575&lt;&gt;"!!!"),"NEW","")))</f>
        <v> </v>
      </c>
      <c r="G6575" s="24" t="str">
        <f>IF(OR(E6575="",E6575="!!!"),"",IF(OR(J6575=0,AND(J6575=1,K6575=1),AND(J6575=1,I6575="SBJ"),AND(J6575=1,I6575=0)),"?IN_FOCUS",IF(J6575&lt;=2,"?ACTIVATED",IF(J6575&lt;&gt;"","?FAMILIAR",IF(F6575="NEW",IF(ISNA(VLOOKUP(E6575,#REF!,1,FALSE())),"?TYPE_IDENTIFIABLE","?REFERENTIAL"),"_")))))</f>
        <v> </v>
      </c>
      <c r="H6575" s="25" t="str">
        <f>IF(J6575&lt;&gt;1,"",IF(I6575="SBJ","CB","?"))</f>
        <v> </v>
      </c>
      <c r="I6575" s="26" t="str">
        <f>IF(OR(E6575="",E6575="!!!",F6575="NEW"),"",INDEX(B6574:B$2,-1+SUMPRODUCT(MAX(ROW(E6574:E$2)*(E6575=E6574:E$2)))))</f>
        <v> </v>
      </c>
      <c r="J6575" s="26" t="str">
        <f>IF(OR(E6575="",E6575="!!!",F6575="NEW"),"",COUNTBLANK(OFFSET(A$1,,,SUMPRODUCT(MAX(ROW(E$2:E6575)*(E6575=E$2:E6575)))))-COUNTBLANK(OFFSET(A$1,,,SUMPRODUCT(MAX(ROW(E$1:E6574)*(E2=E$1:E6574))))))</f>
        <v> </v>
      </c>
      <c r="K6575" s="26" t="str">
        <f>IF(OR(E6575="",E6575="!!!",F6575="NEW"),"",INDEX(J$1:J6574,SUMPRODUCT(MAX(ROW(E$1:E6574)*(E6575=E$1:E6574)))))</f>
        <v> </v>
      </c>
      <c r="L6575" s="27"/>
    </row>
    <row r="6576" spans="1:12">
      <c r="A6576" s="20" t="s">
        <v>2892</v>
      </c>
      <c r="E6576" s="22">
        <f>IF(D6576="?OLD","!!!","")</f>
        <v/>
      </c>
      <c r="F6576" s="23" t="str">
        <f>IF(OR(E6576="",E6576="!!!"),"",IF(NOT(ISNA(VLOOKUP(E6576,E$1:E6575,1,FALSE()))),"OLD",IF(AND(E6576&lt;&gt;"",E6576&lt;&gt;"!!!"),"NEW","")))</f>
        <v> </v>
      </c>
      <c r="G6576" s="24" t="str">
        <f>IF(OR(E6576="",E6576="!!!"),"",IF(OR(J6576=0,AND(J6576=1,K6576=1),AND(J6576=1,I6576="SBJ"),AND(J6576=1,I6576=0)),"?IN_FOCUS",IF(J6576&lt;=2,"?ACTIVATED",IF(J6576&lt;&gt;"","?FAMILIAR",IF(F6576="NEW",IF(ISNA(VLOOKUP(E6576,#REF!,1,FALSE())),"?TYPE_IDENTIFIABLE","?REFERENTIAL"),"_")))))</f>
        <v> </v>
      </c>
      <c r="H6576" s="25" t="str">
        <f>IF(J6576&lt;&gt;1,"",IF(I6576="SBJ","CB","?"))</f>
        <v> </v>
      </c>
      <c r="I6576" s="26" t="str">
        <f>IF(OR(E6576="",E6576="!!!",F6576="NEW"),"",INDEX(B6575:B$2,-1+SUMPRODUCT(MAX(ROW(E6575:E$2)*(E6576=E6575:E$2)))))</f>
        <v> </v>
      </c>
      <c r="J6576" s="26" t="str">
        <f>IF(OR(E6576="",E6576="!!!",F6576="NEW"),"",COUNTBLANK(OFFSET(A$1,,,SUMPRODUCT(MAX(ROW(E$2:E6576)*(E6576=E$2:E6576)))))-COUNTBLANK(OFFSET(A$1,,,SUMPRODUCT(MAX(ROW(E$1:E6575)*(E2=E$1:E6575))))))</f>
        <v> </v>
      </c>
      <c r="K6576" s="26" t="str">
        <f>IF(OR(E6576="",E6576="!!!",F6576="NEW"),"",INDEX(J$1:J6575,SUMPRODUCT(MAX(ROW(E$1:E6575)*(E6576=E$1:E6575)))))</f>
        <v> </v>
      </c>
      <c r="L6576" s="27"/>
    </row>
    <row r="6577" spans="1:12">
      <c r="A6577" s="20" t="s">
        <v>1388</v>
      </c>
      <c r="B6577" s="21" t="s">
        <v>1240</v>
      </c>
      <c r="C6577" s="21" t="s">
        <v>1188</v>
      </c>
      <c r="D6577" s="21" t="s">
        <v>1180</v>
      </c>
      <c r="E6577" s="22">
        <f>IF(D6577="?OLD","!!!","")</f>
        <v/>
      </c>
      <c r="F6577" s="23" t="str">
        <f>IF(OR(E6577="",E6577="!!!"),"",IF(NOT(ISNA(VLOOKUP(E6577,E$1:E6576,1,FALSE()))),"OLD",IF(AND(E6577&lt;&gt;"",E6577&lt;&gt;"!!!"),"NEW","")))</f>
        <v> </v>
      </c>
      <c r="G6577" s="24" t="str">
        <f>IF(OR(E6577="",E6577="!!!"),"",IF(OR(J6577=0,AND(J6577=1,K6577=1),AND(J6577=1,I6577="SBJ"),AND(J6577=1,I6577=0)),"?IN_FOCUS",IF(J6577&lt;=2,"?ACTIVATED",IF(J6577&lt;&gt;"","?FAMILIAR",IF(F6577="NEW",IF(ISNA(VLOOKUP(E6577,#REF!,1,FALSE())),"?TYPE_IDENTIFIABLE","?REFERENTIAL"),"_")))))</f>
        <v> </v>
      </c>
      <c r="H6577" s="25" t="str">
        <f>IF(J6577&lt;&gt;1,"",IF(I6577="SBJ","CB","?"))</f>
        <v> </v>
      </c>
      <c r="I6577" s="26" t="str">
        <f>IF(OR(E6577="",E6577="!!!",F6577="NEW"),"",INDEX(B6576:B$2,-1+SUMPRODUCT(MAX(ROW(E6576:E$2)*(E6577=E6576:E$2)))))</f>
        <v> </v>
      </c>
      <c r="J6577" s="26" t="str">
        <f>IF(OR(E6577="",E6577="!!!",F6577="NEW"),"",COUNTBLANK(OFFSET(A$1,,,SUMPRODUCT(MAX(ROW(E$2:E6577)*(E6577=E$2:E6577)))))-COUNTBLANK(OFFSET(A$1,,,SUMPRODUCT(MAX(ROW(E$1:E6576)*(E2=E$1:E6576))))))</f>
        <v> </v>
      </c>
      <c r="K6577" s="26" t="str">
        <f>IF(OR(E6577="",E6577="!!!",F6577="NEW"),"",INDEX(J$1:J6576,SUMPRODUCT(MAX(ROW(E$1:E6576)*(E6577=E$1:E6576)))))</f>
        <v> </v>
      </c>
      <c r="L6577" s="27"/>
    </row>
    <row r="6578" spans="1:12">
      <c r="A6578" s="20" t="s">
        <v>1508</v>
      </c>
      <c r="B6578" s="21" t="s">
        <v>1237</v>
      </c>
      <c r="C6578" s="21" t="s">
        <v>1238</v>
      </c>
      <c r="D6578" s="21" t="s">
        <v>1180</v>
      </c>
      <c r="E6578" s="22">
        <f>IF(D6578="?OLD","!!!","")</f>
        <v/>
      </c>
      <c r="F6578" s="23" t="str">
        <f>IF(OR(E6578="",E6578="!!!"),"",IF(NOT(ISNA(VLOOKUP(E6578,E$1:E6577,1,FALSE()))),"OLD",IF(AND(E6578&lt;&gt;"",E6578&lt;&gt;"!!!"),"NEW","")))</f>
        <v> </v>
      </c>
      <c r="G6578" s="24" t="str">
        <f>IF(OR(E6578="",E6578="!!!"),"",IF(OR(J6578=0,AND(J6578=1,K6578=1),AND(J6578=1,I6578="SBJ"),AND(J6578=1,I6578=0)),"?IN_FOCUS",IF(J6578&lt;=2,"?ACTIVATED",IF(J6578&lt;&gt;"","?FAMILIAR",IF(F6578="NEW",IF(ISNA(VLOOKUP(E6578,#REF!,1,FALSE())),"?TYPE_IDENTIFIABLE","?REFERENTIAL"),"_")))))</f>
        <v> </v>
      </c>
      <c r="H6578" s="25" t="str">
        <f>IF(J6578&lt;&gt;1,"",IF(I6578="SBJ","CB","?"))</f>
        <v> </v>
      </c>
      <c r="I6578" s="26" t="str">
        <f>IF(OR(E6578="",E6578="!!!",F6578="NEW"),"",INDEX(B6577:B$2,-1+SUMPRODUCT(MAX(ROW(E6577:E$2)*(E6578=E6577:E$2)))))</f>
        <v> </v>
      </c>
      <c r="J6578" s="26" t="str">
        <f>IF(OR(E6578="",E6578="!!!",F6578="NEW"),"",COUNTBLANK(OFFSET(A$1,,,SUMPRODUCT(MAX(ROW(E$2:E6578)*(E6578=E$2:E6578)))))-COUNTBLANK(OFFSET(A$1,,,SUMPRODUCT(MAX(ROW(E$1:E6577)*(E2=E$1:E6577))))))</f>
        <v> </v>
      </c>
      <c r="K6578" s="26" t="str">
        <f>IF(OR(E6578="",E6578="!!!",F6578="NEW"),"",INDEX(J$1:J6577,SUMPRODUCT(MAX(ROW(E$1:E6577)*(E6578=E$1:E6577)))))</f>
        <v> </v>
      </c>
      <c r="L6578" s="27"/>
    </row>
    <row r="6579" spans="1:12">
      <c r="A6579" s="20" t="s">
        <v>2003</v>
      </c>
      <c r="B6579" s="21" t="s">
        <v>1191</v>
      </c>
      <c r="C6579" s="21" t="s">
        <v>1301</v>
      </c>
      <c r="D6579" s="21" t="s">
        <v>1180</v>
      </c>
      <c r="E6579" s="22">
        <f>IF(D6579="?OLD","!!!","")</f>
        <v/>
      </c>
      <c r="F6579" s="23" t="str">
        <f>IF(OR(E6579="",E6579="!!!"),"",IF(NOT(ISNA(VLOOKUP(E6579,E$1:E6578,1,FALSE()))),"OLD",IF(AND(E6579&lt;&gt;"",E6579&lt;&gt;"!!!"),"NEW","")))</f>
        <v> </v>
      </c>
      <c r="G6579" s="24" t="str">
        <f>IF(OR(E6579="",E6579="!!!"),"",IF(OR(J6579=0,AND(J6579=1,K6579=1),AND(J6579=1,I6579="SBJ"),AND(J6579=1,I6579=0)),"?IN_FOCUS",IF(J6579&lt;=2,"?ACTIVATED",IF(J6579&lt;&gt;"","?FAMILIAR",IF(F6579="NEW",IF(ISNA(VLOOKUP(E6579,#REF!,1,FALSE())),"?TYPE_IDENTIFIABLE","?REFERENTIAL"),"_")))))</f>
        <v> </v>
      </c>
      <c r="H6579" s="25" t="str">
        <f>IF(J6579&lt;&gt;1,"",IF(I6579="SBJ","CB","?"))</f>
        <v> </v>
      </c>
      <c r="I6579" s="26" t="str">
        <f>IF(OR(E6579="",E6579="!!!",F6579="NEW"),"",INDEX(B6578:B$2,-1+SUMPRODUCT(MAX(ROW(E6578:E$2)*(E6579=E6578:E$2)))))</f>
        <v> </v>
      </c>
      <c r="J6579" s="26" t="str">
        <f>IF(OR(E6579="",E6579="!!!",F6579="NEW"),"",COUNTBLANK(OFFSET(A$1,,,SUMPRODUCT(MAX(ROW(E$2:E6579)*(E6579=E$2:E6579)))))-COUNTBLANK(OFFSET(A$1,,,SUMPRODUCT(MAX(ROW(E$1:E6578)*(E2=E$1:E6578))))))</f>
        <v> </v>
      </c>
      <c r="K6579" s="26" t="str">
        <f>IF(OR(E6579="",E6579="!!!",F6579="NEW"),"",INDEX(J$1:J6578,SUMPRODUCT(MAX(ROW(E$1:E6578)*(E6579=E$1:E6578)))))</f>
        <v> </v>
      </c>
      <c r="L6579" s="27"/>
    </row>
    <row r="6580" spans="1:12">
      <c r="A6580" s="20" t="s">
        <v>2927</v>
      </c>
      <c r="E6580" s="22">
        <f>IF(D6580="?OLD","!!!","")</f>
        <v/>
      </c>
      <c r="F6580" s="23" t="str">
        <f>IF(OR(E6580="",E6580="!!!"),"",IF(NOT(ISNA(VLOOKUP(E6580,E$1:E6579,1,FALSE()))),"OLD",IF(AND(E6580&lt;&gt;"",E6580&lt;&gt;"!!!"),"NEW","")))</f>
        <v> </v>
      </c>
      <c r="G6580" s="24" t="str">
        <f>IF(OR(E6580="",E6580="!!!"),"",IF(OR(J6580=0,AND(J6580=1,K6580=1),AND(J6580=1,I6580="SBJ"),AND(J6580=1,I6580=0)),"?IN_FOCUS",IF(J6580&lt;=2,"?ACTIVATED",IF(J6580&lt;&gt;"","?FAMILIAR",IF(F6580="NEW",IF(ISNA(VLOOKUP(E6580,#REF!,1,FALSE())),"?TYPE_IDENTIFIABLE","?REFERENTIAL"),"_")))))</f>
        <v> </v>
      </c>
      <c r="H6580" s="25" t="str">
        <f>IF(J6580&lt;&gt;1,"",IF(I6580="SBJ","CB","?"))</f>
        <v> </v>
      </c>
      <c r="I6580" s="26" t="str">
        <f>IF(OR(E6580="",E6580="!!!",F6580="NEW"),"",INDEX(B6579:B$2,-1+SUMPRODUCT(MAX(ROW(E6579:E$2)*(E6580=E6579:E$2)))))</f>
        <v> </v>
      </c>
      <c r="J6580" s="26" t="str">
        <f>IF(OR(E6580="",E6580="!!!",F6580="NEW"),"",COUNTBLANK(OFFSET(A$1,,,SUMPRODUCT(MAX(ROW(E$2:E6580)*(E6580=E$2:E6580)))))-COUNTBLANK(OFFSET(A$1,,,SUMPRODUCT(MAX(ROW(E$1:E6579)*(E2=E$1:E6579))))))</f>
        <v> </v>
      </c>
      <c r="K6580" s="26" t="str">
        <f>IF(OR(E6580="",E6580="!!!",F6580="NEW"),"",INDEX(J$1:J6579,SUMPRODUCT(MAX(ROW(E$1:E6579)*(E6580=E$1:E6579)))))</f>
        <v> </v>
      </c>
      <c r="L6580" s="27"/>
    </row>
    <row r="6581" spans="1:12">
      <c r="A6581" s="20" t="s">
        <v>1271</v>
      </c>
      <c r="E6581" s="22">
        <f>IF(D6581="?OLD","!!!","")</f>
        <v/>
      </c>
      <c r="F6581" s="23" t="str">
        <f>IF(OR(E6581="",E6581="!!!"),"",IF(NOT(ISNA(VLOOKUP(E6581,E$1:E6580,1,FALSE()))),"OLD",IF(AND(E6581&lt;&gt;"",E6581&lt;&gt;"!!!"),"NEW","")))</f>
        <v> </v>
      </c>
      <c r="G6581" s="24" t="str">
        <f>IF(OR(E6581="",E6581="!!!"),"",IF(OR(J6581=0,AND(J6581=1,K6581=1),AND(J6581=1,I6581="SBJ"),AND(J6581=1,I6581=0)),"?IN_FOCUS",IF(J6581&lt;=2,"?ACTIVATED",IF(J6581&lt;&gt;"","?FAMILIAR",IF(F6581="NEW",IF(ISNA(VLOOKUP(E6581,#REF!,1,FALSE())),"?TYPE_IDENTIFIABLE","?REFERENTIAL"),"_")))))</f>
        <v> </v>
      </c>
      <c r="H6581" s="25" t="str">
        <f>IF(J6581&lt;&gt;1,"",IF(I6581="SBJ","CB","?"))</f>
        <v> </v>
      </c>
      <c r="I6581" s="26" t="str">
        <f>IF(OR(E6581="",E6581="!!!",F6581="NEW"),"",INDEX(B6580:B$2,-1+SUMPRODUCT(MAX(ROW(E6580:E$2)*(E6581=E6580:E$2)))))</f>
        <v> </v>
      </c>
      <c r="J6581" s="26" t="str">
        <f>IF(OR(E6581="",E6581="!!!",F6581="NEW"),"",COUNTBLANK(OFFSET(A$1,,,SUMPRODUCT(MAX(ROW(E$2:E6581)*(E6581=E$2:E6581)))))-COUNTBLANK(OFFSET(A$1,,,SUMPRODUCT(MAX(ROW(E$1:E6580)*(E2=E$1:E6580))))))</f>
        <v> </v>
      </c>
      <c r="K6581" s="26" t="str">
        <f>IF(OR(E6581="",E6581="!!!",F6581="NEW"),"",INDEX(J$1:J6580,SUMPRODUCT(MAX(ROW(E$1:E6580)*(E6581=E$1:E6580)))))</f>
        <v> </v>
      </c>
      <c r="L6581" s="27"/>
    </row>
    <row r="6582" spans="1:12">
      <c r="A6582" s="20" t="s">
        <v>1185</v>
      </c>
      <c r="E6582" s="22">
        <f>IF(D6582="?OLD","!!!","")</f>
        <v/>
      </c>
      <c r="F6582" s="23" t="str">
        <f>IF(OR(E6582="",E6582="!!!"),"",IF(NOT(ISNA(VLOOKUP(E6582,E$1:E6581,1,FALSE()))),"OLD",IF(AND(E6582&lt;&gt;"",E6582&lt;&gt;"!!!"),"NEW","")))</f>
        <v> </v>
      </c>
      <c r="G6582" s="24" t="str">
        <f>IF(OR(E6582="",E6582="!!!"),"",IF(OR(J6582=0,AND(J6582=1,K6582=1),AND(J6582=1,I6582="SBJ"),AND(J6582=1,I6582=0)),"?IN_FOCUS",IF(J6582&lt;=2,"?ACTIVATED",IF(J6582&lt;&gt;"","?FAMILIAR",IF(F6582="NEW",IF(ISNA(VLOOKUP(E6582,#REF!,1,FALSE())),"?TYPE_IDENTIFIABLE","?REFERENTIAL"),"_")))))</f>
        <v> </v>
      </c>
      <c r="H6582" s="25" t="str">
        <f>IF(J6582&lt;&gt;1,"",IF(I6582="SBJ","CB","?"))</f>
        <v> </v>
      </c>
      <c r="I6582" s="26" t="str">
        <f>IF(OR(E6582="",E6582="!!!",F6582="NEW"),"",INDEX(B6581:B$2,-1+SUMPRODUCT(MAX(ROW(E6581:E$2)*(E6582=E6581:E$2)))))</f>
        <v> </v>
      </c>
      <c r="J6582" s="26" t="str">
        <f>IF(OR(E6582="",E6582="!!!",F6582="NEW"),"",COUNTBLANK(OFFSET(A$1,,,SUMPRODUCT(MAX(ROW(E$2:E6582)*(E6582=E$2:E6582)))))-COUNTBLANK(OFFSET(A$1,,,SUMPRODUCT(MAX(ROW(E$1:E6581)*(E2=E$1:E6581))))))</f>
        <v> </v>
      </c>
      <c r="K6582" s="26" t="str">
        <f>IF(OR(E6582="",E6582="!!!",F6582="NEW"),"",INDEX(J$1:J6581,SUMPRODUCT(MAX(ROW(E$1:E6581)*(E6582=E$1:E6581)))))</f>
        <v> </v>
      </c>
      <c r="L6582" s="27"/>
    </row>
    <row r="6583" spans="1:12">
      <c r="A6583" s="20" t="s">
        <v>1359</v>
      </c>
      <c r="E6583" s="22">
        <f>IF(D6583="?OLD","!!!","")</f>
        <v/>
      </c>
      <c r="F6583" s="23" t="str">
        <f>IF(OR(E6583="",E6583="!!!"),"",IF(NOT(ISNA(VLOOKUP(E6583,E$1:E6582,1,FALSE()))),"OLD",IF(AND(E6583&lt;&gt;"",E6583&lt;&gt;"!!!"),"NEW","")))</f>
        <v> </v>
      </c>
      <c r="G6583" s="24" t="str">
        <f>IF(OR(E6583="",E6583="!!!"),"",IF(OR(J6583=0,AND(J6583=1,K6583=1),AND(J6583=1,I6583="SBJ"),AND(J6583=1,I6583=0)),"?IN_FOCUS",IF(J6583&lt;=2,"?ACTIVATED",IF(J6583&lt;&gt;"","?FAMILIAR",IF(F6583="NEW",IF(ISNA(VLOOKUP(E6583,#REF!,1,FALSE())),"?TYPE_IDENTIFIABLE","?REFERENTIAL"),"_")))))</f>
        <v> </v>
      </c>
      <c r="H6583" s="25" t="str">
        <f>IF(J6583&lt;&gt;1,"",IF(I6583="SBJ","CB","?"))</f>
        <v> </v>
      </c>
      <c r="I6583" s="26" t="str">
        <f>IF(OR(E6583="",E6583="!!!",F6583="NEW"),"",INDEX(B6582:B$2,-1+SUMPRODUCT(MAX(ROW(E6582:E$2)*(E6583=E6582:E$2)))))</f>
        <v> </v>
      </c>
      <c r="J6583" s="26" t="str">
        <f>IF(OR(E6583="",E6583="!!!",F6583="NEW"),"",COUNTBLANK(OFFSET(A$1,,,SUMPRODUCT(MAX(ROW(E$2:E6583)*(E6583=E$2:E6583)))))-COUNTBLANK(OFFSET(A$1,,,SUMPRODUCT(MAX(ROW(E$1:E6582)*(E2=E$1:E6582))))))</f>
        <v> </v>
      </c>
      <c r="K6583" s="26" t="str">
        <f>IF(OR(E6583="",E6583="!!!",F6583="NEW"),"",INDEX(J$1:J6582,SUMPRODUCT(MAX(ROW(E$1:E6582)*(E6583=E$1:E6582)))))</f>
        <v> </v>
      </c>
      <c r="L6583" s="27"/>
    </row>
    <row r="6584" spans="1:12">
      <c r="A6584" s="20" t="s">
        <v>2928</v>
      </c>
      <c r="B6584" s="21" t="s">
        <v>1304</v>
      </c>
      <c r="C6584" s="21" t="s">
        <v>1184</v>
      </c>
      <c r="E6584" s="22">
        <f>IF(D6584="?OLD","!!!","")</f>
        <v/>
      </c>
      <c r="F6584" s="23" t="str">
        <f>IF(OR(E6584="",E6584="!!!"),"",IF(NOT(ISNA(VLOOKUP(E6584,E$1:E6583,1,FALSE()))),"OLD",IF(AND(E6584&lt;&gt;"",E6584&lt;&gt;"!!!"),"NEW","")))</f>
        <v> </v>
      </c>
      <c r="G6584" s="24" t="str">
        <f>IF(OR(E6584="",E6584="!!!"),"",IF(OR(J6584=0,AND(J6584=1,K6584=1),AND(J6584=1,I6584="SBJ"),AND(J6584=1,I6584=0)),"?IN_FOCUS",IF(J6584&lt;=2,"?ACTIVATED",IF(J6584&lt;&gt;"","?FAMILIAR",IF(F6584="NEW",IF(ISNA(VLOOKUP(E6584,#REF!,1,FALSE())),"?TYPE_IDENTIFIABLE","?REFERENTIAL"),"_")))))</f>
        <v> </v>
      </c>
      <c r="H6584" s="25" t="str">
        <f>IF(J6584&lt;&gt;1,"",IF(I6584="SBJ","CB","?"))</f>
        <v> </v>
      </c>
      <c r="I6584" s="26" t="str">
        <f>IF(OR(E6584="",E6584="!!!",F6584="NEW"),"",INDEX(B6583:B$2,-1+SUMPRODUCT(MAX(ROW(E6583:E$2)*(E6584=E6583:E$2)))))</f>
        <v> </v>
      </c>
      <c r="J6584" s="26" t="str">
        <f>IF(OR(E6584="",E6584="!!!",F6584="NEW"),"",COUNTBLANK(OFFSET(A$1,,,SUMPRODUCT(MAX(ROW(E$2:E6584)*(E6584=E$2:E6584)))))-COUNTBLANK(OFFSET(A$1,,,SUMPRODUCT(MAX(ROW(E$1:E6583)*(E2=E$1:E6583))))))</f>
        <v> </v>
      </c>
      <c r="K6584" s="26" t="str">
        <f>IF(OR(E6584="",E6584="!!!",F6584="NEW"),"",INDEX(J$1:J6583,SUMPRODUCT(MAX(ROW(E$1:E6583)*(E6584=E$1:E6583)))))</f>
        <v> </v>
      </c>
      <c r="L6584" s="27"/>
    </row>
    <row r="6585" spans="1:12">
      <c r="A6585" s="20" t="s">
        <v>1205</v>
      </c>
      <c r="E6585" s="22">
        <f>IF(D6585="?OLD","!!!","")</f>
        <v/>
      </c>
      <c r="F6585" s="23" t="str">
        <f>IF(OR(E6585="",E6585="!!!"),"",IF(NOT(ISNA(VLOOKUP(E6585,E$1:E6584,1,FALSE()))),"OLD",IF(AND(E6585&lt;&gt;"",E6585&lt;&gt;"!!!"),"NEW","")))</f>
        <v> </v>
      </c>
      <c r="G6585" s="24" t="str">
        <f>IF(OR(E6585="",E6585="!!!"),"",IF(OR(J6585=0,AND(J6585=1,K6585=1),AND(J6585=1,I6585="SBJ"),AND(J6585=1,I6585=0)),"?IN_FOCUS",IF(J6585&lt;=2,"?ACTIVATED",IF(J6585&lt;&gt;"","?FAMILIAR",IF(F6585="NEW",IF(ISNA(VLOOKUP(E6585,#REF!,1,FALSE())),"?TYPE_IDENTIFIABLE","?REFERENTIAL"),"_")))))</f>
        <v> </v>
      </c>
      <c r="H6585" s="25" t="str">
        <f>IF(J6585&lt;&gt;1,"",IF(I6585="SBJ","CB","?"))</f>
        <v> </v>
      </c>
      <c r="I6585" s="26" t="str">
        <f>IF(OR(E6585="",E6585="!!!",F6585="NEW"),"",INDEX(B6584:B$2,-1+SUMPRODUCT(MAX(ROW(E6584:E$2)*(E6585=E6584:E$2)))))</f>
        <v> </v>
      </c>
      <c r="J6585" s="26" t="str">
        <f>IF(OR(E6585="",E6585="!!!",F6585="NEW"),"",COUNTBLANK(OFFSET(A$1,,,SUMPRODUCT(MAX(ROW(E$2:E6585)*(E6585=E$2:E6585)))))-COUNTBLANK(OFFSET(A$1,,,SUMPRODUCT(MAX(ROW(E$1:E6584)*(E2=E$1:E6584))))))</f>
        <v> </v>
      </c>
      <c r="K6585" s="26" t="str">
        <f>IF(OR(E6585="",E6585="!!!",F6585="NEW"),"",INDEX(J$1:J6584,SUMPRODUCT(MAX(ROW(E$1:E6584)*(E6585=E$1:E6584)))))</f>
        <v> </v>
      </c>
      <c r="L6585" s="27"/>
    </row>
    <row r="6586" spans="1:12">
      <c r="A6586" s="20" t="s">
        <v>2493</v>
      </c>
      <c r="E6586" s="22">
        <f>IF(D6586="?OLD","!!!","")</f>
        <v/>
      </c>
      <c r="F6586" s="23" t="str">
        <f>IF(OR(E6586="",E6586="!!!"),"",IF(NOT(ISNA(VLOOKUP(E6586,E$1:E6585,1,FALSE()))),"OLD",IF(AND(E6586&lt;&gt;"",E6586&lt;&gt;"!!!"),"NEW","")))</f>
        <v> </v>
      </c>
      <c r="G6586" s="24" t="str">
        <f>IF(OR(E6586="",E6586="!!!"),"",IF(OR(J6586=0,AND(J6586=1,K6586=1),AND(J6586=1,I6586="SBJ"),AND(J6586=1,I6586=0)),"?IN_FOCUS",IF(J6586&lt;=2,"?ACTIVATED",IF(J6586&lt;&gt;"","?FAMILIAR",IF(F6586="NEW",IF(ISNA(VLOOKUP(E6586,#REF!,1,FALSE())),"?TYPE_IDENTIFIABLE","?REFERENTIAL"),"_")))))</f>
        <v> </v>
      </c>
      <c r="H6586" s="25" t="str">
        <f>IF(J6586&lt;&gt;1,"",IF(I6586="SBJ","CB","?"))</f>
        <v> </v>
      </c>
      <c r="I6586" s="26" t="str">
        <f>IF(OR(E6586="",E6586="!!!",F6586="NEW"),"",INDEX(B6585:B$2,-1+SUMPRODUCT(MAX(ROW(E6585:E$2)*(E6586=E6585:E$2)))))</f>
        <v> </v>
      </c>
      <c r="J6586" s="26" t="str">
        <f>IF(OR(E6586="",E6586="!!!",F6586="NEW"),"",COUNTBLANK(OFFSET(A$1,,,SUMPRODUCT(MAX(ROW(E$2:E6586)*(E6586=E$2:E6586)))))-COUNTBLANK(OFFSET(A$1,,,SUMPRODUCT(MAX(ROW(E$1:E6585)*(E2=E$1:E6585))))))</f>
        <v> </v>
      </c>
      <c r="K6586" s="26" t="str">
        <f>IF(OR(E6586="",E6586="!!!",F6586="NEW"),"",INDEX(J$1:J6585,SUMPRODUCT(MAX(ROW(E$1:E6585)*(E6586=E$1:E6585)))))</f>
        <v> </v>
      </c>
      <c r="L6586" s="27"/>
    </row>
    <row r="6587" spans="1:12">
      <c r="A6587" s="20" t="s">
        <v>2494</v>
      </c>
      <c r="B6587" s="21" t="s">
        <v>1207</v>
      </c>
      <c r="C6587" s="21" t="s">
        <v>1184</v>
      </c>
      <c r="E6587" s="22">
        <f>IF(D6587="?OLD","!!!","")</f>
        <v/>
      </c>
      <c r="F6587" s="23" t="str">
        <f>IF(OR(E6587="",E6587="!!!"),"",IF(NOT(ISNA(VLOOKUP(E6587,E$1:E6586,1,FALSE()))),"OLD",IF(AND(E6587&lt;&gt;"",E6587&lt;&gt;"!!!"),"NEW","")))</f>
        <v> </v>
      </c>
      <c r="G6587" s="24" t="str">
        <f>IF(OR(E6587="",E6587="!!!"),"",IF(OR(J6587=0,AND(J6587=1,K6587=1),AND(J6587=1,I6587="SBJ"),AND(J6587=1,I6587=0)),"?IN_FOCUS",IF(J6587&lt;=2,"?ACTIVATED",IF(J6587&lt;&gt;"","?FAMILIAR",IF(F6587="NEW",IF(ISNA(VLOOKUP(E6587,#REF!,1,FALSE())),"?TYPE_IDENTIFIABLE","?REFERENTIAL"),"_")))))</f>
        <v> </v>
      </c>
      <c r="H6587" s="25" t="str">
        <f>IF(J6587&lt;&gt;1,"",IF(I6587="SBJ","CB","?"))</f>
        <v> </v>
      </c>
      <c r="I6587" s="26" t="str">
        <f>IF(OR(E6587="",E6587="!!!",F6587="NEW"),"",INDEX(B6586:B$2,-1+SUMPRODUCT(MAX(ROW(E6586:E$2)*(E6587=E6586:E$2)))))</f>
        <v> </v>
      </c>
      <c r="J6587" s="26" t="str">
        <f>IF(OR(E6587="",E6587="!!!",F6587="NEW"),"",COUNTBLANK(OFFSET(A$1,,,SUMPRODUCT(MAX(ROW(E$2:E6587)*(E6587=E$2:E6587)))))-COUNTBLANK(OFFSET(A$1,,,SUMPRODUCT(MAX(ROW(E$1:E6586)*(E2=E$1:E6586))))))</f>
        <v> </v>
      </c>
      <c r="K6587" s="26" t="str">
        <f>IF(OR(E6587="",E6587="!!!",F6587="NEW"),"",INDEX(J$1:J6586,SUMPRODUCT(MAX(ROW(E$1:E6586)*(E6587=E$1:E6586)))))</f>
        <v> </v>
      </c>
      <c r="L6587" s="27"/>
    </row>
    <row r="6588" spans="1:12">
      <c r="A6588" s="20" t="s">
        <v>2929</v>
      </c>
      <c r="E6588" s="22">
        <f>IF(D6588="?OLD","!!!","")</f>
        <v/>
      </c>
      <c r="F6588" s="23" t="str">
        <f>IF(OR(E6588="",E6588="!!!"),"",IF(NOT(ISNA(VLOOKUP(E6588,E$1:E6587,1,FALSE()))),"OLD",IF(AND(E6588&lt;&gt;"",E6588&lt;&gt;"!!!"),"NEW","")))</f>
        <v> </v>
      </c>
      <c r="G6588" s="24" t="str">
        <f>IF(OR(E6588="",E6588="!!!"),"",IF(OR(J6588=0,AND(J6588=1,K6588=1),AND(J6588=1,I6588="SBJ"),AND(J6588=1,I6588=0)),"?IN_FOCUS",IF(J6588&lt;=2,"?ACTIVATED",IF(J6588&lt;&gt;"","?FAMILIAR",IF(F6588="NEW",IF(ISNA(VLOOKUP(E6588,#REF!,1,FALSE())),"?TYPE_IDENTIFIABLE","?REFERENTIAL"),"_")))))</f>
        <v> </v>
      </c>
      <c r="H6588" s="25" t="str">
        <f>IF(J6588&lt;&gt;1,"",IF(I6588="SBJ","CB","?"))</f>
        <v> </v>
      </c>
      <c r="I6588" s="26" t="str">
        <f>IF(OR(E6588="",E6588="!!!",F6588="NEW"),"",INDEX(B6587:B$2,-1+SUMPRODUCT(MAX(ROW(E6587:E$2)*(E6588=E6587:E$2)))))</f>
        <v> </v>
      </c>
      <c r="J6588" s="26" t="str">
        <f>IF(OR(E6588="",E6588="!!!",F6588="NEW"),"",COUNTBLANK(OFFSET(A$1,,,SUMPRODUCT(MAX(ROW(E$2:E6588)*(E6588=E$2:E6588)))))-COUNTBLANK(OFFSET(A$1,,,SUMPRODUCT(MAX(ROW(E$1:E6587)*(E2=E$1:E6587))))))</f>
        <v> </v>
      </c>
      <c r="K6588" s="26" t="str">
        <f>IF(OR(E6588="",E6588="!!!",F6588="NEW"),"",INDEX(J$1:J6587,SUMPRODUCT(MAX(ROW(E$1:E6587)*(E6588=E$1:E6587)))))</f>
        <v> </v>
      </c>
      <c r="L6588" s="27"/>
    </row>
    <row r="6589" spans="1:12">
      <c r="A6589" s="20" t="s">
        <v>1252</v>
      </c>
      <c r="E6589" s="22">
        <f>IF(D6589="?OLD","!!!","")</f>
        <v/>
      </c>
      <c r="F6589" s="23" t="str">
        <f>IF(OR(E6589="",E6589="!!!"),"",IF(NOT(ISNA(VLOOKUP(E6589,E$1:E6588,1,FALSE()))),"OLD",IF(AND(E6589&lt;&gt;"",E6589&lt;&gt;"!!!"),"NEW","")))</f>
        <v> </v>
      </c>
      <c r="G6589" s="24" t="str">
        <f>IF(OR(E6589="",E6589="!!!"),"",IF(OR(J6589=0,AND(J6589=1,K6589=1),AND(J6589=1,I6589="SBJ"),AND(J6589=1,I6589=0)),"?IN_FOCUS",IF(J6589&lt;=2,"?ACTIVATED",IF(J6589&lt;&gt;"","?FAMILIAR",IF(F6589="NEW",IF(ISNA(VLOOKUP(E6589,#REF!,1,FALSE())),"?TYPE_IDENTIFIABLE","?REFERENTIAL"),"_")))))</f>
        <v> </v>
      </c>
      <c r="H6589" s="25" t="str">
        <f>IF(J6589&lt;&gt;1,"",IF(I6589="SBJ","CB","?"))</f>
        <v> </v>
      </c>
      <c r="I6589" s="26" t="str">
        <f>IF(OR(E6589="",E6589="!!!",F6589="NEW"),"",INDEX(B6588:B$2,-1+SUMPRODUCT(MAX(ROW(E6588:E$2)*(E6589=E6588:E$2)))))</f>
        <v> </v>
      </c>
      <c r="J6589" s="26" t="str">
        <f>IF(OR(E6589="",E6589="!!!",F6589="NEW"),"",COUNTBLANK(OFFSET(A$1,,,SUMPRODUCT(MAX(ROW(E$2:E6589)*(E6589=E$2:E6589)))))-COUNTBLANK(OFFSET(A$1,,,SUMPRODUCT(MAX(ROW(E$1:E6588)*(E2=E$1:E6588))))))</f>
        <v> </v>
      </c>
      <c r="K6589" s="26" t="str">
        <f>IF(OR(E6589="",E6589="!!!",F6589="NEW"),"",INDEX(J$1:J6588,SUMPRODUCT(MAX(ROW(E$1:E6588)*(E6589=E$1:E6588)))))</f>
        <v> </v>
      </c>
      <c r="L6589" s="27"/>
    </row>
    <row r="6590" spans="1:12">
      <c r="A6590" s="20" t="s">
        <v>1185</v>
      </c>
      <c r="E6590" s="22">
        <f>IF(D6590="?OLD","!!!","")</f>
        <v/>
      </c>
      <c r="F6590" s="23" t="str">
        <f>IF(OR(E6590="",E6590="!!!"),"",IF(NOT(ISNA(VLOOKUP(E6590,E$1:E6589,1,FALSE()))),"OLD",IF(AND(E6590&lt;&gt;"",E6590&lt;&gt;"!!!"),"NEW","")))</f>
        <v> </v>
      </c>
      <c r="G6590" s="24" t="str">
        <f>IF(OR(E6590="",E6590="!!!"),"",IF(OR(J6590=0,AND(J6590=1,K6590=1),AND(J6590=1,I6590="SBJ"),AND(J6590=1,I6590=0)),"?IN_FOCUS",IF(J6590&lt;=2,"?ACTIVATED",IF(J6590&lt;&gt;"","?FAMILIAR",IF(F6590="NEW",IF(ISNA(VLOOKUP(E6590,#REF!,1,FALSE())),"?TYPE_IDENTIFIABLE","?REFERENTIAL"),"_")))))</f>
        <v> </v>
      </c>
      <c r="H6590" s="25" t="str">
        <f>IF(J6590&lt;&gt;1,"",IF(I6590="SBJ","CB","?"))</f>
        <v> </v>
      </c>
      <c r="I6590" s="26" t="str">
        <f>IF(OR(E6590="",E6590="!!!",F6590="NEW"),"",INDEX(B6589:B$2,-1+SUMPRODUCT(MAX(ROW(E6589:E$2)*(E6590=E6589:E$2)))))</f>
        <v> </v>
      </c>
      <c r="J6590" s="26" t="str">
        <f>IF(OR(E6590="",E6590="!!!",F6590="NEW"),"",COUNTBLANK(OFFSET(A$1,,,SUMPRODUCT(MAX(ROW(E$2:E6590)*(E6590=E$2:E6590)))))-COUNTBLANK(OFFSET(A$1,,,SUMPRODUCT(MAX(ROW(E$1:E6589)*(E2=E$1:E6589))))))</f>
        <v> </v>
      </c>
      <c r="K6590" s="26" t="str">
        <f>IF(OR(E6590="",E6590="!!!",F6590="NEW"),"",INDEX(J$1:J6589,SUMPRODUCT(MAX(ROW(E$1:E6589)*(E6590=E$1:E6589)))))</f>
        <v> </v>
      </c>
      <c r="L6590" s="27"/>
    </row>
    <row r="6591" spans="1:12">
      <c r="A6591" s="20" t="s">
        <v>1471</v>
      </c>
      <c r="E6591" s="22">
        <f>IF(D6591="?OLD","!!!","")</f>
        <v/>
      </c>
      <c r="F6591" s="23" t="str">
        <f>IF(OR(E6591="",E6591="!!!"),"",IF(NOT(ISNA(VLOOKUP(E6591,E$1:E6590,1,FALSE()))),"OLD",IF(AND(E6591&lt;&gt;"",E6591&lt;&gt;"!!!"),"NEW","")))</f>
        <v> </v>
      </c>
      <c r="G6591" s="24" t="str">
        <f>IF(OR(E6591="",E6591="!!!"),"",IF(OR(J6591=0,AND(J6591=1,K6591=1),AND(J6591=1,I6591="SBJ"),AND(J6591=1,I6591=0)),"?IN_FOCUS",IF(J6591&lt;=2,"?ACTIVATED",IF(J6591&lt;&gt;"","?FAMILIAR",IF(F6591="NEW",IF(ISNA(VLOOKUP(E6591,#REF!,1,FALSE())),"?TYPE_IDENTIFIABLE","?REFERENTIAL"),"_")))))</f>
        <v> </v>
      </c>
      <c r="H6591" s="25" t="str">
        <f>IF(J6591&lt;&gt;1,"",IF(I6591="SBJ","CB","?"))</f>
        <v> </v>
      </c>
      <c r="I6591" s="26" t="str">
        <f>IF(OR(E6591="",E6591="!!!",F6591="NEW"),"",INDEX(B6590:B$2,-1+SUMPRODUCT(MAX(ROW(E6590:E$2)*(E6591=E6590:E$2)))))</f>
        <v> </v>
      </c>
      <c r="J6591" s="26" t="str">
        <f>IF(OR(E6591="",E6591="!!!",F6591="NEW"),"",COUNTBLANK(OFFSET(A$1,,,SUMPRODUCT(MAX(ROW(E$2:E6591)*(E6591=E$2:E6591)))))-COUNTBLANK(OFFSET(A$1,,,SUMPRODUCT(MAX(ROW(E$1:E6590)*(E2=E$1:E6590))))))</f>
        <v> </v>
      </c>
      <c r="K6591" s="26" t="str">
        <f>IF(OR(E6591="",E6591="!!!",F6591="NEW"),"",INDEX(J$1:J6590,SUMPRODUCT(MAX(ROW(E$1:E6590)*(E6591=E$1:E6590)))))</f>
        <v> </v>
      </c>
      <c r="L6591" s="27"/>
    </row>
    <row r="6592" spans="1:12">
      <c r="A6592" s="20" t="s">
        <v>427</v>
      </c>
      <c r="B6592" s="21" t="s">
        <v>1289</v>
      </c>
      <c r="C6592" s="21" t="s">
        <v>1238</v>
      </c>
      <c r="D6592" s="21" t="s">
        <v>1180</v>
      </c>
      <c r="E6592" s="22">
        <f>IF(D6592="?OLD","!!!","")</f>
        <v/>
      </c>
      <c r="F6592" s="23" t="str">
        <f>IF(OR(E6592="",E6592="!!!"),"",IF(NOT(ISNA(VLOOKUP(E6592,E$1:E6591,1,FALSE()))),"OLD",IF(AND(E6592&lt;&gt;"",E6592&lt;&gt;"!!!"),"NEW","")))</f>
        <v> </v>
      </c>
      <c r="G6592" s="24" t="str">
        <f>IF(OR(E6592="",E6592="!!!"),"",IF(OR(J6592=0,AND(J6592=1,K6592=1),AND(J6592=1,I6592="SBJ"),AND(J6592=1,I6592=0)),"?IN_FOCUS",IF(J6592&lt;=2,"?ACTIVATED",IF(J6592&lt;&gt;"","?FAMILIAR",IF(F6592="NEW",IF(ISNA(VLOOKUP(E6592,#REF!,1,FALSE())),"?TYPE_IDENTIFIABLE","?REFERENTIAL"),"_")))))</f>
        <v> </v>
      </c>
      <c r="H6592" s="25" t="str">
        <f>IF(J6592&lt;&gt;1,"",IF(I6592="SBJ","CB","?"))</f>
        <v> </v>
      </c>
      <c r="I6592" s="26" t="str">
        <f>IF(OR(E6592="",E6592="!!!",F6592="NEW"),"",INDEX(B6591:B$2,-1+SUMPRODUCT(MAX(ROW(E6591:E$2)*(E6592=E6591:E$2)))))</f>
        <v> </v>
      </c>
      <c r="J6592" s="26" t="str">
        <f>IF(OR(E6592="",E6592="!!!",F6592="NEW"),"",COUNTBLANK(OFFSET(A$1,,,SUMPRODUCT(MAX(ROW(E$2:E6592)*(E6592=E$2:E6592)))))-COUNTBLANK(OFFSET(A$1,,,SUMPRODUCT(MAX(ROW(E$1:E6591)*(E2=E$1:E6591))))))</f>
        <v> </v>
      </c>
      <c r="K6592" s="26" t="str">
        <f>IF(OR(E6592="",E6592="!!!",F6592="NEW"),"",INDEX(J$1:J6591,SUMPRODUCT(MAX(ROW(E$1:E6591)*(E6592=E$1:E6591)))))</f>
        <v> </v>
      </c>
      <c r="L6592" s="27"/>
    </row>
    <row r="6593" spans="1:12">
      <c r="A6593" s="20" t="s">
        <v>1420</v>
      </c>
      <c r="E6593" s="22">
        <f>IF(D6593="?OLD","!!!","")</f>
        <v/>
      </c>
      <c r="F6593" s="23" t="str">
        <f>IF(OR(E6593="",E6593="!!!"),"",IF(NOT(ISNA(VLOOKUP(E6593,E$1:E6592,1,FALSE()))),"OLD",IF(AND(E6593&lt;&gt;"",E6593&lt;&gt;"!!!"),"NEW","")))</f>
        <v> </v>
      </c>
      <c r="G6593" s="24" t="str">
        <f>IF(OR(E6593="",E6593="!!!"),"",IF(OR(J6593=0,AND(J6593=1,K6593=1),AND(J6593=1,I6593="SBJ"),AND(J6593=1,I6593=0)),"?IN_FOCUS",IF(J6593&lt;=2,"?ACTIVATED",IF(J6593&lt;&gt;"","?FAMILIAR",IF(F6593="NEW",IF(ISNA(VLOOKUP(E6593,#REF!,1,FALSE())),"?TYPE_IDENTIFIABLE","?REFERENTIAL"),"_")))))</f>
        <v> </v>
      </c>
      <c r="H6593" s="25" t="str">
        <f>IF(J6593&lt;&gt;1,"",IF(I6593="SBJ","CB","?"))</f>
        <v> </v>
      </c>
      <c r="I6593" s="26" t="str">
        <f>IF(OR(E6593="",E6593="!!!",F6593="NEW"),"",INDEX(B6592:B$2,-1+SUMPRODUCT(MAX(ROW(E6592:E$2)*(E6593=E6592:E$2)))))</f>
        <v> </v>
      </c>
      <c r="J6593" s="26" t="str">
        <f>IF(OR(E6593="",E6593="!!!",F6593="NEW"),"",COUNTBLANK(OFFSET(A$1,,,SUMPRODUCT(MAX(ROW(E$2:E6593)*(E6593=E$2:E6593)))))-COUNTBLANK(OFFSET(A$1,,,SUMPRODUCT(MAX(ROW(E$1:E6592)*(E2=E$1:E6592))))))</f>
        <v> </v>
      </c>
      <c r="K6593" s="26" t="str">
        <f>IF(OR(E6593="",E6593="!!!",F6593="NEW"),"",INDEX(J$1:J6592,SUMPRODUCT(MAX(ROW(E$1:E6592)*(E6593=E$1:E6592)))))</f>
        <v> </v>
      </c>
      <c r="L6593" s="27"/>
    </row>
    <row r="6594" spans="1:12">
      <c r="A6594" s="20" t="s">
        <v>2930</v>
      </c>
      <c r="B6594" s="21" t="s">
        <v>1278</v>
      </c>
      <c r="C6594" s="21" t="s">
        <v>1184</v>
      </c>
      <c r="E6594" s="22">
        <f>IF(D6594="?OLD","!!!","")</f>
        <v/>
      </c>
      <c r="F6594" s="23" t="str">
        <f>IF(OR(E6594="",E6594="!!!"),"",IF(NOT(ISNA(VLOOKUP(E6594,E$1:E6593,1,FALSE()))),"OLD",IF(AND(E6594&lt;&gt;"",E6594&lt;&gt;"!!!"),"NEW","")))</f>
        <v> </v>
      </c>
      <c r="G6594" s="24" t="str">
        <f>IF(OR(E6594="",E6594="!!!"),"",IF(OR(J6594=0,AND(J6594=1,K6594=1),AND(J6594=1,I6594="SBJ"),AND(J6594=1,I6594=0)),"?IN_FOCUS",IF(J6594&lt;=2,"?ACTIVATED",IF(J6594&lt;&gt;"","?FAMILIAR",IF(F6594="NEW",IF(ISNA(VLOOKUP(E6594,#REF!,1,FALSE())),"?TYPE_IDENTIFIABLE","?REFERENTIAL"),"_")))))</f>
        <v> </v>
      </c>
      <c r="H6594" s="25" t="str">
        <f>IF(J6594&lt;&gt;1,"",IF(I6594="SBJ","CB","?"))</f>
        <v> </v>
      </c>
      <c r="I6594" s="26" t="str">
        <f>IF(OR(E6594="",E6594="!!!",F6594="NEW"),"",INDEX(B6593:B$2,-1+SUMPRODUCT(MAX(ROW(E6593:E$2)*(E6594=E6593:E$2)))))</f>
        <v> </v>
      </c>
      <c r="J6594" s="26" t="str">
        <f>IF(OR(E6594="",E6594="!!!",F6594="NEW"),"",COUNTBLANK(OFFSET(A$1,,,SUMPRODUCT(MAX(ROW(E$2:E6594)*(E6594=E$2:E6594)))))-COUNTBLANK(OFFSET(A$1,,,SUMPRODUCT(MAX(ROW(E$1:E6593)*(E2=E$1:E6593))))))</f>
        <v> </v>
      </c>
      <c r="K6594" s="26" t="str">
        <f>IF(OR(E6594="",E6594="!!!",F6594="NEW"),"",INDEX(J$1:J6593,SUMPRODUCT(MAX(ROW(E$1:E6593)*(E6594=E$1:E6593)))))</f>
        <v> </v>
      </c>
      <c r="L6594" s="27"/>
    </row>
    <row r="6595" spans="1:12">
      <c r="A6595" s="20" t="s">
        <v>670</v>
      </c>
      <c r="E6595" s="22">
        <f>IF(D6595="?OLD","!!!","")</f>
        <v/>
      </c>
      <c r="F6595" s="23" t="str">
        <f>IF(OR(E6595="",E6595="!!!"),"",IF(NOT(ISNA(VLOOKUP(E6595,E$1:E6594,1,FALSE()))),"OLD",IF(AND(E6595&lt;&gt;"",E6595&lt;&gt;"!!!"),"NEW","")))</f>
        <v> </v>
      </c>
      <c r="G6595" s="24" t="str">
        <f>IF(OR(E6595="",E6595="!!!"),"",IF(OR(J6595=0,AND(J6595=1,K6595=1),AND(J6595=1,I6595="SBJ"),AND(J6595=1,I6595=0)),"?IN_FOCUS",IF(J6595&lt;=2,"?ACTIVATED",IF(J6595&lt;&gt;"","?FAMILIAR",IF(F6595="NEW",IF(ISNA(VLOOKUP(E6595,#REF!,1,FALSE())),"?TYPE_IDENTIFIABLE","?REFERENTIAL"),"_")))))</f>
        <v> </v>
      </c>
      <c r="H6595" s="25" t="str">
        <f>IF(J6595&lt;&gt;1,"",IF(I6595="SBJ","CB","?"))</f>
        <v> </v>
      </c>
      <c r="I6595" s="26" t="str">
        <f>IF(OR(E6595="",E6595="!!!",F6595="NEW"),"",INDEX(B6594:B$2,-1+SUMPRODUCT(MAX(ROW(E6594:E$2)*(E6595=E6594:E$2)))))</f>
        <v> </v>
      </c>
      <c r="J6595" s="26" t="str">
        <f>IF(OR(E6595="",E6595="!!!",F6595="NEW"),"",COUNTBLANK(OFFSET(A$1,,,SUMPRODUCT(MAX(ROW(E$2:E6595)*(E6595=E$2:E6595)))))-COUNTBLANK(OFFSET(A$1,,,SUMPRODUCT(MAX(ROW(E$1:E6594)*(E2=E$1:E6594))))))</f>
        <v> </v>
      </c>
      <c r="K6595" s="26" t="str">
        <f>IF(OR(E6595="",E6595="!!!",F6595="NEW"),"",INDEX(J$1:J6594,SUMPRODUCT(MAX(ROW(E$1:E6594)*(E6595=E$1:E6594)))))</f>
        <v> </v>
      </c>
      <c r="L6595" s="27"/>
    </row>
    <row r="6596" spans="1:12">
      <c r="A6596" s="20" t="s">
        <v>1205</v>
      </c>
      <c r="E6596" s="22">
        <f>IF(D6596="?OLD","!!!","")</f>
        <v/>
      </c>
      <c r="F6596" s="23" t="str">
        <f>IF(OR(E6596="",E6596="!!!"),"",IF(NOT(ISNA(VLOOKUP(E6596,E$1:E6595,1,FALSE()))),"OLD",IF(AND(E6596&lt;&gt;"",E6596&lt;&gt;"!!!"),"NEW","")))</f>
        <v> </v>
      </c>
      <c r="G6596" s="24" t="str">
        <f>IF(OR(E6596="",E6596="!!!"),"",IF(OR(J6596=0,AND(J6596=1,K6596=1),AND(J6596=1,I6596="SBJ"),AND(J6596=1,I6596=0)),"?IN_FOCUS",IF(J6596&lt;=2,"?ACTIVATED",IF(J6596&lt;&gt;"","?FAMILIAR",IF(F6596="NEW",IF(ISNA(VLOOKUP(E6596,#REF!,1,FALSE())),"?TYPE_IDENTIFIABLE","?REFERENTIAL"),"_")))))</f>
        <v> </v>
      </c>
      <c r="H6596" s="25" t="str">
        <f>IF(J6596&lt;&gt;1,"",IF(I6596="SBJ","CB","?"))</f>
        <v> </v>
      </c>
      <c r="I6596" s="26" t="str">
        <f>IF(OR(E6596="",E6596="!!!",F6596="NEW"),"",INDEX(B6595:B$2,-1+SUMPRODUCT(MAX(ROW(E6595:E$2)*(E6596=E6595:E$2)))))</f>
        <v> </v>
      </c>
      <c r="J6596" s="26" t="str">
        <f>IF(OR(E6596="",E6596="!!!",F6596="NEW"),"",COUNTBLANK(OFFSET(A$1,,,SUMPRODUCT(MAX(ROW(E$2:E6596)*(E6596=E$2:E6596)))))-COUNTBLANK(OFFSET(A$1,,,SUMPRODUCT(MAX(ROW(E$1:E6595)*(E2=E$1:E6595))))))</f>
        <v> </v>
      </c>
      <c r="K6596" s="26" t="str">
        <f>IF(OR(E6596="",E6596="!!!",F6596="NEW"),"",INDEX(J$1:J6595,SUMPRODUCT(MAX(ROW(E$1:E6595)*(E6596=E$1:E6595)))))</f>
        <v> </v>
      </c>
      <c r="L6596" s="27"/>
    </row>
    <row r="6597" spans="1:12">
      <c r="A6597" s="20" t="s">
        <v>2931</v>
      </c>
      <c r="E6597" s="22">
        <f>IF(D6597="?OLD","!!!","")</f>
        <v/>
      </c>
      <c r="F6597" s="23" t="str">
        <f>IF(OR(E6597="",E6597="!!!"),"",IF(NOT(ISNA(VLOOKUP(E6597,E$1:E6596,1,FALSE()))),"OLD",IF(AND(E6597&lt;&gt;"",E6597&lt;&gt;"!!!"),"NEW","")))</f>
        <v> </v>
      </c>
      <c r="G6597" s="24" t="str">
        <f>IF(OR(E6597="",E6597="!!!"),"",IF(OR(J6597=0,AND(J6597=1,K6597=1),AND(J6597=1,I6597="SBJ"),AND(J6597=1,I6597=0)),"?IN_FOCUS",IF(J6597&lt;=2,"?ACTIVATED",IF(J6597&lt;&gt;"","?FAMILIAR",IF(F6597="NEW",IF(ISNA(VLOOKUP(E6597,#REF!,1,FALSE())),"?TYPE_IDENTIFIABLE","?REFERENTIAL"),"_")))))</f>
        <v> </v>
      </c>
      <c r="H6597" s="25" t="str">
        <f>IF(J6597&lt;&gt;1,"",IF(I6597="SBJ","CB","?"))</f>
        <v> </v>
      </c>
      <c r="I6597" s="26" t="str">
        <f>IF(OR(E6597="",E6597="!!!",F6597="NEW"),"",INDEX(B6596:B$2,-1+SUMPRODUCT(MAX(ROW(E6596:E$2)*(E6597=E6596:E$2)))))</f>
        <v> </v>
      </c>
      <c r="J6597" s="26" t="str">
        <f>IF(OR(E6597="",E6597="!!!",F6597="NEW"),"",COUNTBLANK(OFFSET(A$1,,,SUMPRODUCT(MAX(ROW(E$2:E6597)*(E6597=E$2:E6597)))))-COUNTBLANK(OFFSET(A$1,,,SUMPRODUCT(MAX(ROW(E$1:E6596)*(E2=E$1:E6596))))))</f>
        <v> </v>
      </c>
      <c r="K6597" s="26" t="str">
        <f>IF(OR(E6597="",E6597="!!!",F6597="NEW"),"",INDEX(J$1:J6596,SUMPRODUCT(MAX(ROW(E$1:E6596)*(E6597=E$1:E6596)))))</f>
        <v> </v>
      </c>
      <c r="L6597" s="27"/>
    </row>
    <row r="6598" spans="1:12">
      <c r="A6598" s="20" t="s">
        <v>2493</v>
      </c>
      <c r="E6598" s="22">
        <f>IF(D6598="?OLD","!!!","")</f>
        <v/>
      </c>
      <c r="F6598" s="23" t="str">
        <f>IF(OR(E6598="",E6598="!!!"),"",IF(NOT(ISNA(VLOOKUP(E6598,E$1:E6597,1,FALSE()))),"OLD",IF(AND(E6598&lt;&gt;"",E6598&lt;&gt;"!!!"),"NEW","")))</f>
        <v> </v>
      </c>
      <c r="G6598" s="24" t="str">
        <f>IF(OR(E6598="",E6598="!!!"),"",IF(OR(J6598=0,AND(J6598=1,K6598=1),AND(J6598=1,I6598="SBJ"),AND(J6598=1,I6598=0)),"?IN_FOCUS",IF(J6598&lt;=2,"?ACTIVATED",IF(J6598&lt;&gt;"","?FAMILIAR",IF(F6598="NEW",IF(ISNA(VLOOKUP(E6598,#REF!,1,FALSE())),"?TYPE_IDENTIFIABLE","?REFERENTIAL"),"_")))))</f>
        <v> </v>
      </c>
      <c r="H6598" s="25" t="str">
        <f>IF(J6598&lt;&gt;1,"",IF(I6598="SBJ","CB","?"))</f>
        <v> </v>
      </c>
      <c r="I6598" s="26" t="str">
        <f>IF(OR(E6598="",E6598="!!!",F6598="NEW"),"",INDEX(B6597:B$2,-1+SUMPRODUCT(MAX(ROW(E6597:E$2)*(E6598=E6597:E$2)))))</f>
        <v> </v>
      </c>
      <c r="J6598" s="26" t="str">
        <f>IF(OR(E6598="",E6598="!!!",F6598="NEW"),"",COUNTBLANK(OFFSET(A$1,,,SUMPRODUCT(MAX(ROW(E$2:E6598)*(E6598=E$2:E6598)))))-COUNTBLANK(OFFSET(A$1,,,SUMPRODUCT(MAX(ROW(E$1:E6597)*(E2=E$1:E6597))))))</f>
        <v> </v>
      </c>
      <c r="K6598" s="26" t="str">
        <f>IF(OR(E6598="",E6598="!!!",F6598="NEW"),"",INDEX(J$1:J6597,SUMPRODUCT(MAX(ROW(E$1:E6597)*(E6598=E$1:E6597)))))</f>
        <v> </v>
      </c>
      <c r="L6598" s="27"/>
    </row>
    <row r="6599" spans="1:12">
      <c r="A6599" s="20" t="s">
        <v>2494</v>
      </c>
      <c r="B6599" s="21" t="s">
        <v>1278</v>
      </c>
      <c r="C6599" s="21" t="s">
        <v>1184</v>
      </c>
      <c r="E6599" s="22">
        <f>IF(D6599="?OLD","!!!","")</f>
        <v/>
      </c>
      <c r="F6599" s="23" t="str">
        <f>IF(OR(E6599="",E6599="!!!"),"",IF(NOT(ISNA(VLOOKUP(E6599,E$1:E6598,1,FALSE()))),"OLD",IF(AND(E6599&lt;&gt;"",E6599&lt;&gt;"!!!"),"NEW","")))</f>
        <v> </v>
      </c>
      <c r="G6599" s="24" t="str">
        <f>IF(OR(E6599="",E6599="!!!"),"",IF(OR(J6599=0,AND(J6599=1,K6599=1),AND(J6599=1,I6599="SBJ"),AND(J6599=1,I6599=0)),"?IN_FOCUS",IF(J6599&lt;=2,"?ACTIVATED",IF(J6599&lt;&gt;"","?FAMILIAR",IF(F6599="NEW",IF(ISNA(VLOOKUP(E6599,#REF!,1,FALSE())),"?TYPE_IDENTIFIABLE","?REFERENTIAL"),"_")))))</f>
        <v> </v>
      </c>
      <c r="H6599" s="25" t="str">
        <f>IF(J6599&lt;&gt;1,"",IF(I6599="SBJ","CB","?"))</f>
        <v> </v>
      </c>
      <c r="I6599" s="26" t="str">
        <f>IF(OR(E6599="",E6599="!!!",F6599="NEW"),"",INDEX(B6598:B$2,-1+SUMPRODUCT(MAX(ROW(E6598:E$2)*(E6599=E6598:E$2)))))</f>
        <v> </v>
      </c>
      <c r="J6599" s="26" t="str">
        <f>IF(OR(E6599="",E6599="!!!",F6599="NEW"),"",COUNTBLANK(OFFSET(A$1,,,SUMPRODUCT(MAX(ROW(E$2:E6599)*(E6599=E$2:E6599)))))-COUNTBLANK(OFFSET(A$1,,,SUMPRODUCT(MAX(ROW(E$1:E6598)*(E2=E$1:E6598))))))</f>
        <v> </v>
      </c>
      <c r="K6599" s="26" t="str">
        <f>IF(OR(E6599="",E6599="!!!",F6599="NEW"),"",INDEX(J$1:J6598,SUMPRODUCT(MAX(ROW(E$1:E6598)*(E6599=E$1:E6598)))))</f>
        <v> </v>
      </c>
      <c r="L6599" s="27"/>
    </row>
    <row r="6600" spans="1:12">
      <c r="A6600" s="20" t="s">
        <v>2932</v>
      </c>
      <c r="E6600" s="22">
        <f>IF(D6600="?OLD","!!!","")</f>
        <v/>
      </c>
      <c r="F6600" s="23" t="str">
        <f>IF(OR(E6600="",E6600="!!!"),"",IF(NOT(ISNA(VLOOKUP(E6600,E$1:E6599,1,FALSE()))),"OLD",IF(AND(E6600&lt;&gt;"",E6600&lt;&gt;"!!!"),"NEW","")))</f>
        <v> </v>
      </c>
      <c r="G6600" s="24" t="str">
        <f>IF(OR(E6600="",E6600="!!!"),"",IF(OR(J6600=0,AND(J6600=1,K6600=1),AND(J6600=1,I6600="SBJ"),AND(J6600=1,I6600=0)),"?IN_FOCUS",IF(J6600&lt;=2,"?ACTIVATED",IF(J6600&lt;&gt;"","?FAMILIAR",IF(F6600="NEW",IF(ISNA(VLOOKUP(E6600,#REF!,1,FALSE())),"?TYPE_IDENTIFIABLE","?REFERENTIAL"),"_")))))</f>
        <v> </v>
      </c>
      <c r="H6600" s="25" t="str">
        <f>IF(J6600&lt;&gt;1,"",IF(I6600="SBJ","CB","?"))</f>
        <v> </v>
      </c>
      <c r="I6600" s="26" t="str">
        <f>IF(OR(E6600="",E6600="!!!",F6600="NEW"),"",INDEX(B6599:B$2,-1+SUMPRODUCT(MAX(ROW(E6599:E$2)*(E6600=E6599:E$2)))))</f>
        <v> </v>
      </c>
      <c r="J6600" s="26" t="str">
        <f>IF(OR(E6600="",E6600="!!!",F6600="NEW"),"",COUNTBLANK(OFFSET(A$1,,,SUMPRODUCT(MAX(ROW(E$2:E6600)*(E6600=E$2:E6600)))))-COUNTBLANK(OFFSET(A$1,,,SUMPRODUCT(MAX(ROW(E$1:E6599)*(E2=E$1:E6599))))))</f>
        <v> </v>
      </c>
      <c r="K6600" s="26" t="str">
        <f>IF(OR(E6600="",E6600="!!!",F6600="NEW"),"",INDEX(J$1:J6599,SUMPRODUCT(MAX(ROW(E$1:E6599)*(E6600=E$1:E6599)))))</f>
        <v> </v>
      </c>
      <c r="L6600" s="27"/>
    </row>
    <row r="6601" spans="1:12">
      <c r="A6601" s="20" t="s">
        <v>1185</v>
      </c>
      <c r="E6601" s="22">
        <f>IF(D6601="?OLD","!!!","")</f>
        <v/>
      </c>
      <c r="F6601" s="23" t="str">
        <f>IF(OR(E6601="",E6601="!!!"),"",IF(NOT(ISNA(VLOOKUP(E6601,E$1:E6600,1,FALSE()))),"OLD",IF(AND(E6601&lt;&gt;"",E6601&lt;&gt;"!!!"),"NEW","")))</f>
        <v> </v>
      </c>
      <c r="G6601" s="24" t="str">
        <f>IF(OR(E6601="",E6601="!!!"),"",IF(OR(J6601=0,AND(J6601=1,K6601=1),AND(J6601=1,I6601="SBJ"),AND(J6601=1,I6601=0)),"?IN_FOCUS",IF(J6601&lt;=2,"?ACTIVATED",IF(J6601&lt;&gt;"","?FAMILIAR",IF(F6601="NEW",IF(ISNA(VLOOKUP(E6601,#REF!,1,FALSE())),"?TYPE_IDENTIFIABLE","?REFERENTIAL"),"_")))))</f>
        <v> </v>
      </c>
      <c r="H6601" s="25" t="str">
        <f>IF(J6601&lt;&gt;1,"",IF(I6601="SBJ","CB","?"))</f>
        <v> </v>
      </c>
      <c r="I6601" s="26" t="str">
        <f>IF(OR(E6601="",E6601="!!!",F6601="NEW"),"",INDEX(B6600:B$2,-1+SUMPRODUCT(MAX(ROW(E6600:E$2)*(E6601=E6600:E$2)))))</f>
        <v> </v>
      </c>
      <c r="J6601" s="26" t="str">
        <f>IF(OR(E6601="",E6601="!!!",F6601="NEW"),"",COUNTBLANK(OFFSET(A$1,,,SUMPRODUCT(MAX(ROW(E$2:E6601)*(E6601=E$2:E6601)))))-COUNTBLANK(OFFSET(A$1,,,SUMPRODUCT(MAX(ROW(E$1:E6600)*(E2=E$1:E6600))))))</f>
        <v> </v>
      </c>
      <c r="K6601" s="26" t="str">
        <f>IF(OR(E6601="",E6601="!!!",F6601="NEW"),"",INDEX(J$1:J6600,SUMPRODUCT(MAX(ROW(E$1:E6600)*(E6601=E$1:E6600)))))</f>
        <v> </v>
      </c>
      <c r="L6601" s="27"/>
    </row>
    <row r="6602" spans="1:12">
      <c r="A6602" s="20" t="s">
        <v>1295</v>
      </c>
      <c r="E6602" s="22">
        <f>IF(D6602="?OLD","!!!","")</f>
        <v/>
      </c>
      <c r="F6602" s="23" t="str">
        <f>IF(OR(E6602="",E6602="!!!"),"",IF(NOT(ISNA(VLOOKUP(E6602,E$1:E6601,1,FALSE()))),"OLD",IF(AND(E6602&lt;&gt;"",E6602&lt;&gt;"!!!"),"NEW","")))</f>
        <v> </v>
      </c>
      <c r="G6602" s="24" t="str">
        <f>IF(OR(E6602="",E6602="!!!"),"",IF(OR(J6602=0,AND(J6602=1,K6602=1),AND(J6602=1,I6602="SBJ"),AND(J6602=1,I6602=0)),"?IN_FOCUS",IF(J6602&lt;=2,"?ACTIVATED",IF(J6602&lt;&gt;"","?FAMILIAR",IF(F6602="NEW",IF(ISNA(VLOOKUP(E6602,#REF!,1,FALSE())),"?TYPE_IDENTIFIABLE","?REFERENTIAL"),"_")))))</f>
        <v> </v>
      </c>
      <c r="H6602" s="25" t="str">
        <f>IF(J6602&lt;&gt;1,"",IF(I6602="SBJ","CB","?"))</f>
        <v> </v>
      </c>
      <c r="I6602" s="26" t="str">
        <f>IF(OR(E6602="",E6602="!!!",F6602="NEW"),"",INDEX(B6601:B$2,-1+SUMPRODUCT(MAX(ROW(E6601:E$2)*(E6602=E6601:E$2)))))</f>
        <v> </v>
      </c>
      <c r="J6602" s="26" t="str">
        <f>IF(OR(E6602="",E6602="!!!",F6602="NEW"),"",COUNTBLANK(OFFSET(A$1,,,SUMPRODUCT(MAX(ROW(E$2:E6602)*(E6602=E$2:E6602)))))-COUNTBLANK(OFFSET(A$1,,,SUMPRODUCT(MAX(ROW(E$1:E6601)*(E2=E$1:E6601))))))</f>
        <v> </v>
      </c>
      <c r="K6602" s="26" t="str">
        <f>IF(OR(E6602="",E6602="!!!",F6602="NEW"),"",INDEX(J$1:J6601,SUMPRODUCT(MAX(ROW(E$1:E6601)*(E6602=E$1:E6601)))))</f>
        <v> </v>
      </c>
      <c r="L6602" s="27"/>
    </row>
    <row r="6603" spans="1:12">
      <c r="A6603" s="20" t="s">
        <v>427</v>
      </c>
      <c r="B6603" s="21" t="s">
        <v>1240</v>
      </c>
      <c r="C6603" s="21" t="s">
        <v>1238</v>
      </c>
      <c r="D6603" s="21" t="s">
        <v>1180</v>
      </c>
      <c r="E6603" s="22">
        <f>IF(D6603="?OLD","!!!","")</f>
        <v/>
      </c>
      <c r="F6603" s="23" t="str">
        <f>IF(OR(E6603="",E6603="!!!"),"",IF(NOT(ISNA(VLOOKUP(E6603,E$1:E6602,1,FALSE()))),"OLD",IF(AND(E6603&lt;&gt;"",E6603&lt;&gt;"!!!"),"NEW","")))</f>
        <v> </v>
      </c>
      <c r="G6603" s="24" t="str">
        <f>IF(OR(E6603="",E6603="!!!"),"",IF(OR(J6603=0,AND(J6603=1,K6603=1),AND(J6603=1,I6603="SBJ"),AND(J6603=1,I6603=0)),"?IN_FOCUS",IF(J6603&lt;=2,"?ACTIVATED",IF(J6603&lt;&gt;"","?FAMILIAR",IF(F6603="NEW",IF(ISNA(VLOOKUP(E6603,#REF!,1,FALSE())),"?TYPE_IDENTIFIABLE","?REFERENTIAL"),"_")))))</f>
        <v> </v>
      </c>
      <c r="H6603" s="25" t="str">
        <f>IF(J6603&lt;&gt;1,"",IF(I6603="SBJ","CB","?"))</f>
        <v> </v>
      </c>
      <c r="I6603" s="26" t="str">
        <f>IF(OR(E6603="",E6603="!!!",F6603="NEW"),"",INDEX(B6602:B$2,-1+SUMPRODUCT(MAX(ROW(E6602:E$2)*(E6603=E6602:E$2)))))</f>
        <v> </v>
      </c>
      <c r="J6603" s="26" t="str">
        <f>IF(OR(E6603="",E6603="!!!",F6603="NEW"),"",COUNTBLANK(OFFSET(A$1,,,SUMPRODUCT(MAX(ROW(E$2:E6603)*(E6603=E$2:E6603)))))-COUNTBLANK(OFFSET(A$1,,,SUMPRODUCT(MAX(ROW(E$1:E6602)*(E2=E$1:E6602))))))</f>
        <v> </v>
      </c>
      <c r="K6603" s="26" t="str">
        <f>IF(OR(E6603="",E6603="!!!",F6603="NEW"),"",INDEX(J$1:J6602,SUMPRODUCT(MAX(ROW(E$1:E6602)*(E6603=E$1:E6602)))))</f>
        <v> </v>
      </c>
      <c r="L6603" s="27"/>
    </row>
    <row r="6604" spans="1:12">
      <c r="A6604" s="20" t="s">
        <v>1437</v>
      </c>
      <c r="E6604" s="22">
        <f>IF(D6604="?OLD","!!!","")</f>
        <v/>
      </c>
      <c r="F6604" s="23" t="str">
        <f>IF(OR(E6604="",E6604="!!!"),"",IF(NOT(ISNA(VLOOKUP(E6604,E$1:E6603,1,FALSE()))),"OLD",IF(AND(E6604&lt;&gt;"",E6604&lt;&gt;"!!!"),"NEW","")))</f>
        <v> </v>
      </c>
      <c r="G6604" s="24" t="str">
        <f>IF(OR(E6604="",E6604="!!!"),"",IF(OR(J6604=0,AND(J6604=1,K6604=1),AND(J6604=1,I6604="SBJ"),AND(J6604=1,I6604=0)),"?IN_FOCUS",IF(J6604&lt;=2,"?ACTIVATED",IF(J6604&lt;&gt;"","?FAMILIAR",IF(F6604="NEW",IF(ISNA(VLOOKUP(E6604,#REF!,1,FALSE())),"?TYPE_IDENTIFIABLE","?REFERENTIAL"),"_")))))</f>
        <v> </v>
      </c>
      <c r="H6604" s="25" t="str">
        <f>IF(J6604&lt;&gt;1,"",IF(I6604="SBJ","CB","?"))</f>
        <v> </v>
      </c>
      <c r="I6604" s="26" t="str">
        <f>IF(OR(E6604="",E6604="!!!",F6604="NEW"),"",INDEX(B6603:B$2,-1+SUMPRODUCT(MAX(ROW(E6603:E$2)*(E6604=E6603:E$2)))))</f>
        <v> </v>
      </c>
      <c r="J6604" s="26" t="str">
        <f>IF(OR(E6604="",E6604="!!!",F6604="NEW"),"",COUNTBLANK(OFFSET(A$1,,,SUMPRODUCT(MAX(ROW(E$2:E6604)*(E6604=E$2:E6604)))))-COUNTBLANK(OFFSET(A$1,,,SUMPRODUCT(MAX(ROW(E$1:E6603)*(E2=E$1:E6603))))))</f>
        <v> </v>
      </c>
      <c r="K6604" s="26" t="str">
        <f>IF(OR(E6604="",E6604="!!!",F6604="NEW"),"",INDEX(J$1:J6603,SUMPRODUCT(MAX(ROW(E$1:E6603)*(E6604=E$1:E6603)))))</f>
        <v> </v>
      </c>
      <c r="L6604" s="27"/>
    </row>
    <row r="6605" spans="1:12">
      <c r="A6605" s="20" t="s">
        <v>1455</v>
      </c>
      <c r="B6605" s="21" t="s">
        <v>1207</v>
      </c>
      <c r="C6605" s="21" t="s">
        <v>1297</v>
      </c>
      <c r="D6605" s="21" t="s">
        <v>1180</v>
      </c>
      <c r="E6605" s="22">
        <f>IF(D6605="?OLD","!!!","")</f>
        <v/>
      </c>
      <c r="F6605" s="23" t="str">
        <f>IF(OR(E6605="",E6605="!!!"),"",IF(NOT(ISNA(VLOOKUP(E6605,E$1:E6604,1,FALSE()))),"OLD",IF(AND(E6605&lt;&gt;"",E6605&lt;&gt;"!!!"),"NEW","")))</f>
        <v> </v>
      </c>
      <c r="G6605" s="24" t="str">
        <f>IF(OR(E6605="",E6605="!!!"),"",IF(OR(J6605=0,AND(J6605=1,K6605=1),AND(J6605=1,I6605="SBJ"),AND(J6605=1,I6605=0)),"?IN_FOCUS",IF(J6605&lt;=2,"?ACTIVATED",IF(J6605&lt;&gt;"","?FAMILIAR",IF(F6605="NEW",IF(ISNA(VLOOKUP(E6605,#REF!,1,FALSE())),"?TYPE_IDENTIFIABLE","?REFERENTIAL"),"_")))))</f>
        <v> </v>
      </c>
      <c r="H6605" s="25" t="str">
        <f>IF(J6605&lt;&gt;1,"",IF(I6605="SBJ","CB","?"))</f>
        <v> </v>
      </c>
      <c r="I6605" s="26" t="str">
        <f>IF(OR(E6605="",E6605="!!!",F6605="NEW"),"",INDEX(B6604:B$2,-1+SUMPRODUCT(MAX(ROW(E6604:E$2)*(E6605=E6604:E$2)))))</f>
        <v> </v>
      </c>
      <c r="J6605" s="26" t="str">
        <f>IF(OR(E6605="",E6605="!!!",F6605="NEW"),"",COUNTBLANK(OFFSET(A$1,,,SUMPRODUCT(MAX(ROW(E$2:E6605)*(E6605=E$2:E6605)))))-COUNTBLANK(OFFSET(A$1,,,SUMPRODUCT(MAX(ROW(E$1:E6604)*(E2=E$1:E6604))))))</f>
        <v> </v>
      </c>
      <c r="K6605" s="26" t="str">
        <f>IF(OR(E6605="",E6605="!!!",F6605="NEW"),"",INDEX(J$1:J6604,SUMPRODUCT(MAX(ROW(E$1:E6604)*(E6605=E$1:E6604)))))</f>
        <v> </v>
      </c>
      <c r="L6605" s="27"/>
    </row>
    <row r="6606" spans="1:12">
      <c r="A6606" s="20" t="s">
        <v>2933</v>
      </c>
      <c r="B6606" s="21" t="s">
        <v>1237</v>
      </c>
      <c r="C6606" s="21" t="s">
        <v>1184</v>
      </c>
      <c r="E6606" s="22">
        <f>IF(D6606="?OLD","!!!","")</f>
        <v/>
      </c>
      <c r="F6606" s="23" t="str">
        <f>IF(OR(E6606="",E6606="!!!"),"",IF(NOT(ISNA(VLOOKUP(E6606,E$1:E6605,1,FALSE()))),"OLD",IF(AND(E6606&lt;&gt;"",E6606&lt;&gt;"!!!"),"NEW","")))</f>
        <v> </v>
      </c>
      <c r="G6606" s="24" t="str">
        <f>IF(OR(E6606="",E6606="!!!"),"",IF(OR(J6606=0,AND(J6606=1,K6606=1),AND(J6606=1,I6606="SBJ"),AND(J6606=1,I6606=0)),"?IN_FOCUS",IF(J6606&lt;=2,"?ACTIVATED",IF(J6606&lt;&gt;"","?FAMILIAR",IF(F6606="NEW",IF(ISNA(VLOOKUP(E6606,#REF!,1,FALSE())),"?TYPE_IDENTIFIABLE","?REFERENTIAL"),"_")))))</f>
        <v> </v>
      </c>
      <c r="H6606" s="25" t="str">
        <f>IF(J6606&lt;&gt;1,"",IF(I6606="SBJ","CB","?"))</f>
        <v> </v>
      </c>
      <c r="I6606" s="26" t="str">
        <f>IF(OR(E6606="",E6606="!!!",F6606="NEW"),"",INDEX(B6605:B$2,-1+SUMPRODUCT(MAX(ROW(E6605:E$2)*(E6606=E6605:E$2)))))</f>
        <v> </v>
      </c>
      <c r="J6606" s="26" t="str">
        <f>IF(OR(E6606="",E6606="!!!",F6606="NEW"),"",COUNTBLANK(OFFSET(A$1,,,SUMPRODUCT(MAX(ROW(E$2:E6606)*(E6606=E$2:E6606)))))-COUNTBLANK(OFFSET(A$1,,,SUMPRODUCT(MAX(ROW(E$1:E6605)*(E2=E$1:E6605))))))</f>
        <v> </v>
      </c>
      <c r="K6606" s="26" t="str">
        <f>IF(OR(E6606="",E6606="!!!",F6606="NEW"),"",INDEX(J$1:J6605,SUMPRODUCT(MAX(ROW(E$1:E6605)*(E6606=E$1:E6605)))))</f>
        <v> </v>
      </c>
      <c r="L6606" s="27"/>
    </row>
    <row r="6607" spans="1:12">
      <c r="A6607" s="20" t="s">
        <v>1314</v>
      </c>
      <c r="E6607" s="22">
        <f>IF(D6607="?OLD","!!!","")</f>
        <v/>
      </c>
      <c r="F6607" s="23" t="str">
        <f>IF(OR(E6607="",E6607="!!!"),"",IF(NOT(ISNA(VLOOKUP(E6607,E$1:E6606,1,FALSE()))),"OLD",IF(AND(E6607&lt;&gt;"",E6607&lt;&gt;"!!!"),"NEW","")))</f>
        <v> </v>
      </c>
      <c r="G6607" s="24" t="str">
        <f>IF(OR(E6607="",E6607="!!!"),"",IF(OR(J6607=0,AND(J6607=1,K6607=1),AND(J6607=1,I6607="SBJ"),AND(J6607=1,I6607=0)),"?IN_FOCUS",IF(J6607&lt;=2,"?ACTIVATED",IF(J6607&lt;&gt;"","?FAMILIAR",IF(F6607="NEW",IF(ISNA(VLOOKUP(E6607,#REF!,1,FALSE())),"?TYPE_IDENTIFIABLE","?REFERENTIAL"),"_")))))</f>
        <v> </v>
      </c>
      <c r="H6607" s="25" t="str">
        <f>IF(J6607&lt;&gt;1,"",IF(I6607="SBJ","CB","?"))</f>
        <v> </v>
      </c>
      <c r="I6607" s="26" t="str">
        <f>IF(OR(E6607="",E6607="!!!",F6607="NEW"),"",INDEX(B6606:B$2,-1+SUMPRODUCT(MAX(ROW(E6606:E$2)*(E6607=E6606:E$2)))))</f>
        <v> </v>
      </c>
      <c r="J6607" s="26" t="str">
        <f>IF(OR(E6607="",E6607="!!!",F6607="NEW"),"",COUNTBLANK(OFFSET(A$1,,,SUMPRODUCT(MAX(ROW(E$2:E6607)*(E6607=E$2:E6607)))))-COUNTBLANK(OFFSET(A$1,,,SUMPRODUCT(MAX(ROW(E$1:E6606)*(E2=E$1:E6606))))))</f>
        <v> </v>
      </c>
      <c r="K6607" s="26" t="str">
        <f>IF(OR(E6607="",E6607="!!!",F6607="NEW"),"",INDEX(J$1:J6606,SUMPRODUCT(MAX(ROW(E$1:E6606)*(E6607=E$1:E6606)))))</f>
        <v> </v>
      </c>
      <c r="L6607" s="27"/>
    </row>
    <row r="6608" spans="1:12">
      <c r="A6608" s="20" t="s">
        <v>1149</v>
      </c>
      <c r="E6608" s="22">
        <f>IF(D6608="?OLD","!!!","")</f>
        <v/>
      </c>
      <c r="F6608" s="23" t="str">
        <f>IF(OR(E6608="",E6608="!!!"),"",IF(NOT(ISNA(VLOOKUP(E6608,E$1:E6607,1,FALSE()))),"OLD",IF(AND(E6608&lt;&gt;"",E6608&lt;&gt;"!!!"),"NEW","")))</f>
        <v> </v>
      </c>
      <c r="G6608" s="24" t="str">
        <f>IF(OR(E6608="",E6608="!!!"),"",IF(OR(J6608=0,AND(J6608=1,K6608=1),AND(J6608=1,I6608="SBJ"),AND(J6608=1,I6608=0)),"?IN_FOCUS",IF(J6608&lt;=2,"?ACTIVATED",IF(J6608&lt;&gt;"","?FAMILIAR",IF(F6608="NEW",IF(ISNA(VLOOKUP(E6608,#REF!,1,FALSE())),"?TYPE_IDENTIFIABLE","?REFERENTIAL"),"_")))))</f>
        <v> </v>
      </c>
      <c r="H6608" s="25" t="str">
        <f>IF(J6608&lt;&gt;1,"",IF(I6608="SBJ","CB","?"))</f>
        <v> </v>
      </c>
      <c r="I6608" s="26" t="str">
        <f>IF(OR(E6608="",E6608="!!!",F6608="NEW"),"",INDEX(B6607:B$2,-1+SUMPRODUCT(MAX(ROW(E6607:E$2)*(E6608=E6607:E$2)))))</f>
        <v> </v>
      </c>
      <c r="J6608" s="26" t="str">
        <f>IF(OR(E6608="",E6608="!!!",F6608="NEW"),"",COUNTBLANK(OFFSET(A$1,,,SUMPRODUCT(MAX(ROW(E$2:E6608)*(E6608=E$2:E6608)))))-COUNTBLANK(OFFSET(A$1,,,SUMPRODUCT(MAX(ROW(E$1:E6607)*(E2=E$1:E6607))))))</f>
        <v> </v>
      </c>
      <c r="K6608" s="26" t="str">
        <f>IF(OR(E6608="",E6608="!!!",F6608="NEW"),"",INDEX(J$1:J6607,SUMPRODUCT(MAX(ROW(E$1:E6607)*(E6608=E$1:E6607)))))</f>
        <v> </v>
      </c>
      <c r="L6608" s="27"/>
    </row>
    <row r="6609" spans="1:12">
      <c r="A6609" s="20" t="s">
        <v>1185</v>
      </c>
      <c r="E6609" s="22">
        <f>IF(D6609="?OLD","!!!","")</f>
        <v/>
      </c>
      <c r="F6609" s="23" t="str">
        <f>IF(OR(E6609="",E6609="!!!"),"",IF(NOT(ISNA(VLOOKUP(E6609,E$1:E6608,1,FALSE()))),"OLD",IF(AND(E6609&lt;&gt;"",E6609&lt;&gt;"!!!"),"NEW","")))</f>
        <v> </v>
      </c>
      <c r="G6609" s="24" t="str">
        <f>IF(OR(E6609="",E6609="!!!"),"",IF(OR(J6609=0,AND(J6609=1,K6609=1),AND(J6609=1,I6609="SBJ"),AND(J6609=1,I6609=0)),"?IN_FOCUS",IF(J6609&lt;=2,"?ACTIVATED",IF(J6609&lt;&gt;"","?FAMILIAR",IF(F6609="NEW",IF(ISNA(VLOOKUP(E6609,#REF!,1,FALSE())),"?TYPE_IDENTIFIABLE","?REFERENTIAL"),"_")))))</f>
        <v> </v>
      </c>
      <c r="H6609" s="25" t="str">
        <f>IF(J6609&lt;&gt;1,"",IF(I6609="SBJ","CB","?"))</f>
        <v> </v>
      </c>
      <c r="I6609" s="26" t="str">
        <f>IF(OR(E6609="",E6609="!!!",F6609="NEW"),"",INDEX(B6608:B$2,-1+SUMPRODUCT(MAX(ROW(E6608:E$2)*(E6609=E6608:E$2)))))</f>
        <v> </v>
      </c>
      <c r="J6609" s="26" t="str">
        <f>IF(OR(E6609="",E6609="!!!",F6609="NEW"),"",COUNTBLANK(OFFSET(A$1,,,SUMPRODUCT(MAX(ROW(E$2:E6609)*(E6609=E$2:E6609)))))-COUNTBLANK(OFFSET(A$1,,,SUMPRODUCT(MAX(ROW(E$1:E6608)*(E2=E$1:E6608))))))</f>
        <v> </v>
      </c>
      <c r="K6609" s="26" t="str">
        <f>IF(OR(E6609="",E6609="!!!",F6609="NEW"),"",INDEX(J$1:J6608,SUMPRODUCT(MAX(ROW(E$1:E6608)*(E6609=E$1:E6608)))))</f>
        <v> </v>
      </c>
      <c r="L6609" s="27"/>
    </row>
    <row r="6610" spans="1:12">
      <c r="A6610" s="20" t="s">
        <v>1513</v>
      </c>
      <c r="E6610" s="22">
        <f>IF(D6610="?OLD","!!!","")</f>
        <v/>
      </c>
      <c r="F6610" s="23" t="str">
        <f>IF(OR(E6610="",E6610="!!!"),"",IF(NOT(ISNA(VLOOKUP(E6610,E$1:E6609,1,FALSE()))),"OLD",IF(AND(E6610&lt;&gt;"",E6610&lt;&gt;"!!!"),"NEW","")))</f>
        <v> </v>
      </c>
      <c r="G6610" s="24" t="str">
        <f>IF(OR(E6610="",E6610="!!!"),"",IF(OR(J6610=0,AND(J6610=1,K6610=1),AND(J6610=1,I6610="SBJ"),AND(J6610=1,I6610=0)),"?IN_FOCUS",IF(J6610&lt;=2,"?ACTIVATED",IF(J6610&lt;&gt;"","?FAMILIAR",IF(F6610="NEW",IF(ISNA(VLOOKUP(E6610,#REF!,1,FALSE())),"?TYPE_IDENTIFIABLE","?REFERENTIAL"),"_")))))</f>
        <v> </v>
      </c>
      <c r="H6610" s="25" t="str">
        <f>IF(J6610&lt;&gt;1,"",IF(I6610="SBJ","CB","?"))</f>
        <v> </v>
      </c>
      <c r="I6610" s="26" t="str">
        <f>IF(OR(E6610="",E6610="!!!",F6610="NEW"),"",INDEX(B6609:B$2,-1+SUMPRODUCT(MAX(ROW(E6609:E$2)*(E6610=E6609:E$2)))))</f>
        <v> </v>
      </c>
      <c r="J6610" s="26" t="str">
        <f>IF(OR(E6610="",E6610="!!!",F6610="NEW"),"",COUNTBLANK(OFFSET(A$1,,,SUMPRODUCT(MAX(ROW(E$2:E6610)*(E6610=E$2:E6610)))))-COUNTBLANK(OFFSET(A$1,,,SUMPRODUCT(MAX(ROW(E$1:E6609)*(E2=E$1:E6609))))))</f>
        <v> </v>
      </c>
      <c r="K6610" s="26" t="str">
        <f>IF(OR(E6610="",E6610="!!!",F6610="NEW"),"",INDEX(J$1:J6609,SUMPRODUCT(MAX(ROW(E$1:E6609)*(E6610=E$1:E6609)))))</f>
        <v> </v>
      </c>
      <c r="L6610" s="27"/>
    </row>
    <row r="6611" spans="1:12">
      <c r="A6611" s="20" t="s">
        <v>1487</v>
      </c>
      <c r="E6611" s="22">
        <f>IF(D6611="?OLD","!!!","")</f>
        <v/>
      </c>
      <c r="F6611" s="23" t="str">
        <f>IF(OR(E6611="",E6611="!!!"),"",IF(NOT(ISNA(VLOOKUP(E6611,E$1:E6610,1,FALSE()))),"OLD",IF(AND(E6611&lt;&gt;"",E6611&lt;&gt;"!!!"),"NEW","")))</f>
        <v> </v>
      </c>
      <c r="G6611" s="24" t="str">
        <f>IF(OR(E6611="",E6611="!!!"),"",IF(OR(J6611=0,AND(J6611=1,K6611=1),AND(J6611=1,I6611="SBJ"),AND(J6611=1,I6611=0)),"?IN_FOCUS",IF(J6611&lt;=2,"?ACTIVATED",IF(J6611&lt;&gt;"","?FAMILIAR",IF(F6611="NEW",IF(ISNA(VLOOKUP(E6611,#REF!,1,FALSE())),"?TYPE_IDENTIFIABLE","?REFERENTIAL"),"_")))))</f>
        <v> </v>
      </c>
      <c r="H6611" s="25" t="str">
        <f>IF(J6611&lt;&gt;1,"",IF(I6611="SBJ","CB","?"))</f>
        <v> </v>
      </c>
      <c r="I6611" s="26" t="str">
        <f>IF(OR(E6611="",E6611="!!!",F6611="NEW"),"",INDEX(B6610:B$2,-1+SUMPRODUCT(MAX(ROW(E6610:E$2)*(E6611=E6610:E$2)))))</f>
        <v> </v>
      </c>
      <c r="J6611" s="26" t="str">
        <f>IF(OR(E6611="",E6611="!!!",F6611="NEW"),"",COUNTBLANK(OFFSET(A$1,,,SUMPRODUCT(MAX(ROW(E$2:E6611)*(E6611=E$2:E6611)))))-COUNTBLANK(OFFSET(A$1,,,SUMPRODUCT(MAX(ROW(E$1:E6610)*(E2=E$1:E6610))))))</f>
        <v> </v>
      </c>
      <c r="K6611" s="26" t="str">
        <f>IF(OR(E6611="",E6611="!!!",F6611="NEW"),"",INDEX(J$1:J6610,SUMPRODUCT(MAX(ROW(E$1:E6610)*(E6611=E$1:E6610)))))</f>
        <v> </v>
      </c>
      <c r="L6611" s="27"/>
    </row>
    <row r="6612" spans="1:12">
      <c r="A6612" s="20" t="s">
        <v>2934</v>
      </c>
      <c r="E6612" s="22">
        <f>IF(D6612="?OLD","!!!","")</f>
        <v/>
      </c>
      <c r="F6612" s="23" t="str">
        <f>IF(OR(E6612="",E6612="!!!"),"",IF(NOT(ISNA(VLOOKUP(E6612,E$1:E6611,1,FALSE()))),"OLD",IF(AND(E6612&lt;&gt;"",E6612&lt;&gt;"!!!"),"NEW","")))</f>
        <v> </v>
      </c>
      <c r="G6612" s="24" t="str">
        <f>IF(OR(E6612="",E6612="!!!"),"",IF(OR(J6612=0,AND(J6612=1,K6612=1),AND(J6612=1,I6612="SBJ"),AND(J6612=1,I6612=0)),"?IN_FOCUS",IF(J6612&lt;=2,"?ACTIVATED",IF(J6612&lt;&gt;"","?FAMILIAR",IF(F6612="NEW",IF(ISNA(VLOOKUP(E6612,#REF!,1,FALSE())),"?TYPE_IDENTIFIABLE","?REFERENTIAL"),"_")))))</f>
        <v> </v>
      </c>
      <c r="H6612" s="25" t="str">
        <f>IF(J6612&lt;&gt;1,"",IF(I6612="SBJ","CB","?"))</f>
        <v> </v>
      </c>
      <c r="I6612" s="26" t="str">
        <f>IF(OR(E6612="",E6612="!!!",F6612="NEW"),"",INDEX(B6611:B$2,-1+SUMPRODUCT(MAX(ROW(E6611:E$2)*(E6612=E6611:E$2)))))</f>
        <v> </v>
      </c>
      <c r="J6612" s="26" t="str">
        <f>IF(OR(E6612="",E6612="!!!",F6612="NEW"),"",COUNTBLANK(OFFSET(A$1,,,SUMPRODUCT(MAX(ROW(E$2:E6612)*(E6612=E$2:E6612)))))-COUNTBLANK(OFFSET(A$1,,,SUMPRODUCT(MAX(ROW(E$1:E6611)*(E2=E$1:E6611))))))</f>
        <v> </v>
      </c>
      <c r="K6612" s="26" t="str">
        <f>IF(OR(E6612="",E6612="!!!",F6612="NEW"),"",INDEX(J$1:J6611,SUMPRODUCT(MAX(ROW(E$1:E6611)*(E6612=E$1:E6611)))))</f>
        <v> </v>
      </c>
      <c r="L6612" s="27"/>
    </row>
    <row r="6613" spans="1:12">
      <c r="A6613" s="20" t="s">
        <v>1338</v>
      </c>
      <c r="B6613" s="21" t="s">
        <v>1306</v>
      </c>
      <c r="C6613" s="21" t="s">
        <v>1223</v>
      </c>
      <c r="E6613" s="22">
        <f>IF(D6613="?OLD","!!!","")</f>
        <v/>
      </c>
      <c r="F6613" s="23" t="str">
        <f>IF(OR(E6613="",E6613="!!!"),"",IF(NOT(ISNA(VLOOKUP(E6613,E$1:E6612,1,FALSE()))),"OLD",IF(AND(E6613&lt;&gt;"",E6613&lt;&gt;"!!!"),"NEW","")))</f>
        <v> </v>
      </c>
      <c r="G6613" s="24" t="str">
        <f>IF(OR(E6613="",E6613="!!!"),"",IF(OR(J6613=0,AND(J6613=1,K6613=1),AND(J6613=1,I6613="SBJ"),AND(J6613=1,I6613=0)),"?IN_FOCUS",IF(J6613&lt;=2,"?ACTIVATED",IF(J6613&lt;&gt;"","?FAMILIAR",IF(F6613="NEW",IF(ISNA(VLOOKUP(E6613,#REF!,1,FALSE())),"?TYPE_IDENTIFIABLE","?REFERENTIAL"),"_")))))</f>
        <v> </v>
      </c>
      <c r="H6613" s="25" t="str">
        <f>IF(J6613&lt;&gt;1,"",IF(I6613="SBJ","CB","?"))</f>
        <v> </v>
      </c>
      <c r="I6613" s="26" t="str">
        <f>IF(OR(E6613="",E6613="!!!",F6613="NEW"),"",INDEX(B6612:B$2,-1+SUMPRODUCT(MAX(ROW(E6612:E$2)*(E6613=E6612:E$2)))))</f>
        <v> </v>
      </c>
      <c r="J6613" s="26" t="str">
        <f>IF(OR(E6613="",E6613="!!!",F6613="NEW"),"",COUNTBLANK(OFFSET(A$1,,,SUMPRODUCT(MAX(ROW(E$2:E6613)*(E6613=E$2:E6613)))))-COUNTBLANK(OFFSET(A$1,,,SUMPRODUCT(MAX(ROW(E$1:E6612)*(E2=E$1:E6612))))))</f>
        <v> </v>
      </c>
      <c r="K6613" s="26" t="str">
        <f>IF(OR(E6613="",E6613="!!!",F6613="NEW"),"",INDEX(J$1:J6612,SUMPRODUCT(MAX(ROW(E$1:E6612)*(E6613=E$1:E6612)))))</f>
        <v> </v>
      </c>
      <c r="L6613" s="27"/>
    </row>
    <row r="6614" spans="1:12">
      <c r="A6614" s="20" t="s">
        <v>1330</v>
      </c>
      <c r="E6614" s="22">
        <f>IF(D6614="?OLD","!!!","")</f>
        <v/>
      </c>
      <c r="F6614" s="23" t="str">
        <f>IF(OR(E6614="",E6614="!!!"),"",IF(NOT(ISNA(VLOOKUP(E6614,E$1:E6613,1,FALSE()))),"OLD",IF(AND(E6614&lt;&gt;"",E6614&lt;&gt;"!!!"),"NEW","")))</f>
        <v> </v>
      </c>
      <c r="G6614" s="24" t="str">
        <f>IF(OR(E6614="",E6614="!!!"),"",IF(OR(J6614=0,AND(J6614=1,K6614=1),AND(J6614=1,I6614="SBJ"),AND(J6614=1,I6614=0)),"?IN_FOCUS",IF(J6614&lt;=2,"?ACTIVATED",IF(J6614&lt;&gt;"","?FAMILIAR",IF(F6614="NEW",IF(ISNA(VLOOKUP(E6614,#REF!,1,FALSE())),"?TYPE_IDENTIFIABLE","?REFERENTIAL"),"_")))))</f>
        <v> </v>
      </c>
      <c r="H6614" s="25" t="str">
        <f>IF(J6614&lt;&gt;1,"",IF(I6614="SBJ","CB","?"))</f>
        <v> </v>
      </c>
      <c r="I6614" s="26" t="str">
        <f>IF(OR(E6614="",E6614="!!!",F6614="NEW"),"",INDEX(B6613:B$2,-1+SUMPRODUCT(MAX(ROW(E6613:E$2)*(E6614=E6613:E$2)))))</f>
        <v> </v>
      </c>
      <c r="J6614" s="26" t="str">
        <f>IF(OR(E6614="",E6614="!!!",F6614="NEW"),"",COUNTBLANK(OFFSET(A$1,,,SUMPRODUCT(MAX(ROW(E$2:E6614)*(E6614=E$2:E6614)))))-COUNTBLANK(OFFSET(A$1,,,SUMPRODUCT(MAX(ROW(E$1:E6613)*(E2=E$1:E6613))))))</f>
        <v> </v>
      </c>
      <c r="K6614" s="26" t="str">
        <f>IF(OR(E6614="",E6614="!!!",F6614="NEW"),"",INDEX(J$1:J6613,SUMPRODUCT(MAX(ROW(E$1:E6613)*(E6614=E$1:E6613)))))</f>
        <v> </v>
      </c>
      <c r="L6614" s="27"/>
    </row>
    <row r="6615" spans="1:12">
      <c r="A6615" s="20" t="s">
        <v>163</v>
      </c>
      <c r="E6615" s="22">
        <f>IF(D6615="?OLD","!!!","")</f>
        <v/>
      </c>
      <c r="F6615" s="23" t="str">
        <f>IF(OR(E6615="",E6615="!!!"),"",IF(NOT(ISNA(VLOOKUP(E6615,E$1:E6614,1,FALSE()))),"OLD",IF(AND(E6615&lt;&gt;"",E6615&lt;&gt;"!!!"),"NEW","")))</f>
        <v> </v>
      </c>
      <c r="G6615" s="24" t="str">
        <f>IF(OR(E6615="",E6615="!!!"),"",IF(OR(J6615=0,AND(J6615=1,K6615=1),AND(J6615=1,I6615="SBJ"),AND(J6615=1,I6615=0)),"?IN_FOCUS",IF(J6615&lt;=2,"?ACTIVATED",IF(J6615&lt;&gt;"","?FAMILIAR",IF(F6615="NEW",IF(ISNA(VLOOKUP(E6615,#REF!,1,FALSE())),"?TYPE_IDENTIFIABLE","?REFERENTIAL"),"_")))))</f>
        <v> </v>
      </c>
      <c r="H6615" s="25" t="str">
        <f>IF(J6615&lt;&gt;1,"",IF(I6615="SBJ","CB","?"))</f>
        <v> </v>
      </c>
      <c r="I6615" s="26" t="str">
        <f>IF(OR(E6615="",E6615="!!!",F6615="NEW"),"",INDEX(B6614:B$2,-1+SUMPRODUCT(MAX(ROW(E6614:E$2)*(E6615=E6614:E$2)))))</f>
        <v> </v>
      </c>
      <c r="J6615" s="26" t="str">
        <f>IF(OR(E6615="",E6615="!!!",F6615="NEW"),"",COUNTBLANK(OFFSET(A$1,,,SUMPRODUCT(MAX(ROW(E$2:E6615)*(E6615=E$2:E6615)))))-COUNTBLANK(OFFSET(A$1,,,SUMPRODUCT(MAX(ROW(E$1:E6614)*(E2=E$1:E6614))))))</f>
        <v> </v>
      </c>
      <c r="K6615" s="26" t="str">
        <f>IF(OR(E6615="",E6615="!!!",F6615="NEW"),"",INDEX(J$1:J6614,SUMPRODUCT(MAX(ROW(E$1:E6614)*(E6615=E$1:E6614)))))</f>
        <v> </v>
      </c>
      <c r="L6615" s="27"/>
    </row>
    <row r="6616" spans="1:12">
      <c r="A6616" s="20" t="s">
        <v>818</v>
      </c>
      <c r="E6616" s="22">
        <f>IF(D6616="?OLD","!!!","")</f>
        <v/>
      </c>
      <c r="F6616" s="23" t="str">
        <f>IF(OR(E6616="",E6616="!!!"),"",IF(NOT(ISNA(VLOOKUP(E6616,E$1:E6615,1,FALSE()))),"OLD",IF(AND(E6616&lt;&gt;"",E6616&lt;&gt;"!!!"),"NEW","")))</f>
        <v> </v>
      </c>
      <c r="G6616" s="24" t="str">
        <f>IF(OR(E6616="",E6616="!!!"),"",IF(OR(J6616=0,AND(J6616=1,K6616=1),AND(J6616=1,I6616="SBJ"),AND(J6616=1,I6616=0)),"?IN_FOCUS",IF(J6616&lt;=2,"?ACTIVATED",IF(J6616&lt;&gt;"","?FAMILIAR",IF(F6616="NEW",IF(ISNA(VLOOKUP(E6616,#REF!,1,FALSE())),"?TYPE_IDENTIFIABLE","?REFERENTIAL"),"_")))))</f>
        <v> </v>
      </c>
      <c r="H6616" s="25" t="str">
        <f>IF(J6616&lt;&gt;1,"",IF(I6616="SBJ","CB","?"))</f>
        <v> </v>
      </c>
      <c r="I6616" s="26" t="str">
        <f>IF(OR(E6616="",E6616="!!!",F6616="NEW"),"",INDEX(B6615:B$2,-1+SUMPRODUCT(MAX(ROW(E6615:E$2)*(E6616=E6615:E$2)))))</f>
        <v> </v>
      </c>
      <c r="J6616" s="26" t="str">
        <f>IF(OR(E6616="",E6616="!!!",F6616="NEW"),"",COUNTBLANK(OFFSET(A$1,,,SUMPRODUCT(MAX(ROW(E$2:E6616)*(E6616=E$2:E6616)))))-COUNTBLANK(OFFSET(A$1,,,SUMPRODUCT(MAX(ROW(E$1:E6615)*(E2=E$1:E6615))))))</f>
        <v> </v>
      </c>
      <c r="K6616" s="26" t="str">
        <f>IF(OR(E6616="",E6616="!!!",F6616="NEW"),"",INDEX(J$1:J6615,SUMPRODUCT(MAX(ROW(E$1:E6615)*(E6616=E$1:E6615)))))</f>
        <v> </v>
      </c>
      <c r="L6616" s="27"/>
    </row>
    <row r="6617" spans="1:12">
      <c r="A6617" s="20"/>
    </row>
    <row r="6618" spans="1:12">
      <c r="A6618" s="20" t="s">
        <v>2935</v>
      </c>
    </row>
    <row r="6619" spans="1:12">
      <c r="A6619" s="20" t="s">
        <v>1357</v>
      </c>
      <c r="B6619" s="21" t="s">
        <v>1194</v>
      </c>
      <c r="C6619" s="21" t="s">
        <v>1238</v>
      </c>
      <c r="D6619" s="21" t="s">
        <v>1180</v>
      </c>
      <c r="E6619" s="22">
        <f>IF(D6619="?OLD","!!!","")</f>
        <v/>
      </c>
      <c r="F6619" s="23" t="str">
        <f>IF(OR(E6619="",E6619="!!!"),"",IF(NOT(ISNA(VLOOKUP(E6619,E$1:E6618,1,FALSE()))),"OLD",IF(AND(E6619&lt;&gt;"",E6619&lt;&gt;"!!!"),"NEW","")))</f>
        <v> </v>
      </c>
      <c r="G6619" s="24" t="str">
        <f>IF(OR(E6619="",E6619="!!!"),"",IF(OR(J6619=0,AND(J6619=1,K6619=1),AND(J6619=1,I6619="SBJ"),AND(J6619=1,I6619=0)),"?IN_FOCUS",IF(J6619&lt;=2,"?ACTIVATED",IF(J6619&lt;&gt;"","?FAMILIAR",IF(F6619="NEW",IF(ISNA(VLOOKUP(E6619,#REF!,1,FALSE())),"?TYPE_IDENTIFIABLE","?REFERENTIAL"),"_")))))</f>
        <v> </v>
      </c>
      <c r="H6619" s="25" t="str">
        <f>IF(J6619&lt;&gt;1,"",IF(I6619="SBJ","CB","?"))</f>
        <v> </v>
      </c>
      <c r="I6619" s="26" t="str">
        <f>IF(OR(E6619="",E6619="!!!",F6619="NEW"),"",INDEX(B6618:B$2,-1+SUMPRODUCT(MAX(ROW(E6618:E$2)*(E6619=E6618:E$2)))))</f>
        <v> </v>
      </c>
      <c r="J6619" s="26" t="str">
        <f>IF(OR(E6619="",E6619="!!!",F6619="NEW"),"",COUNTBLANK(OFFSET(A$1,,,SUMPRODUCT(MAX(ROW(E$2:E6619)*(E6619=E$2:E6619)))))-COUNTBLANK(OFFSET(A$1,,,SUMPRODUCT(MAX(ROW(E$1:E6618)*(E2=E$1:E6618))))))</f>
        <v> </v>
      </c>
      <c r="K6619" s="26" t="str">
        <f>IF(OR(E6619="",E6619="!!!",F6619="NEW"),"",INDEX(J$1:J6618,SUMPRODUCT(MAX(ROW(E$1:E6618)*(E6619=E$1:E6618)))))</f>
        <v> </v>
      </c>
      <c r="L6619" s="27"/>
    </row>
    <row r="6620" spans="1:12">
      <c r="A6620" s="20" t="s">
        <v>1437</v>
      </c>
      <c r="E6620" s="22">
        <f>IF(D6620="?OLD","!!!","")</f>
        <v/>
      </c>
      <c r="F6620" s="23" t="str">
        <f>IF(OR(E6620="",E6620="!!!"),"",IF(NOT(ISNA(VLOOKUP(E6620,E$1:E6619,1,FALSE()))),"OLD",IF(AND(E6620&lt;&gt;"",E6620&lt;&gt;"!!!"),"NEW","")))</f>
        <v> </v>
      </c>
      <c r="G6620" s="24" t="str">
        <f>IF(OR(E6620="",E6620="!!!"),"",IF(OR(J6620=0,AND(J6620=1,K6620=1),AND(J6620=1,I6620="SBJ"),AND(J6620=1,I6620=0)),"?IN_FOCUS",IF(J6620&lt;=2,"?ACTIVATED",IF(J6620&lt;&gt;"","?FAMILIAR",IF(F6620="NEW",IF(ISNA(VLOOKUP(E6620,#REF!,1,FALSE())),"?TYPE_IDENTIFIABLE","?REFERENTIAL"),"_")))))</f>
        <v> </v>
      </c>
      <c r="H6620" s="25" t="str">
        <f>IF(J6620&lt;&gt;1,"",IF(I6620="SBJ","CB","?"))</f>
        <v> </v>
      </c>
      <c r="I6620" s="26" t="str">
        <f>IF(OR(E6620="",E6620="!!!",F6620="NEW"),"",INDEX(B6619:B$2,-1+SUMPRODUCT(MAX(ROW(E6619:E$2)*(E6620=E6619:E$2)))))</f>
        <v> </v>
      </c>
      <c r="J6620" s="26" t="str">
        <f>IF(OR(E6620="",E6620="!!!",F6620="NEW"),"",COUNTBLANK(OFFSET(A$1,,,SUMPRODUCT(MAX(ROW(E$2:E6620)*(E6620=E$2:E6620)))))-COUNTBLANK(OFFSET(A$1,,,SUMPRODUCT(MAX(ROW(E$1:E6619)*(E2=E$1:E6619))))))</f>
        <v> </v>
      </c>
      <c r="K6620" s="26" t="str">
        <f>IF(OR(E6620="",E6620="!!!",F6620="NEW"),"",INDEX(J$1:J6619,SUMPRODUCT(MAX(ROW(E$1:E6619)*(E6620=E$1:E6619)))))</f>
        <v> </v>
      </c>
      <c r="L6620" s="27"/>
    </row>
    <row r="6621" spans="1:12">
      <c r="A6621" s="20" t="s">
        <v>1455</v>
      </c>
      <c r="B6621" s="21" t="s">
        <v>1191</v>
      </c>
      <c r="C6621" s="21" t="s">
        <v>1297</v>
      </c>
      <c r="D6621" s="21" t="s">
        <v>1180</v>
      </c>
      <c r="E6621" s="22">
        <f>IF(D6621="?OLD","!!!","")</f>
        <v/>
      </c>
      <c r="F6621" s="23" t="str">
        <f>IF(OR(E6621="",E6621="!!!"),"",IF(NOT(ISNA(VLOOKUP(E6621,E$1:E6620,1,FALSE()))),"OLD",IF(AND(E6621&lt;&gt;"",E6621&lt;&gt;"!!!"),"NEW","")))</f>
        <v> </v>
      </c>
      <c r="G6621" s="24" t="str">
        <f>IF(OR(E6621="",E6621="!!!"),"",IF(OR(J6621=0,AND(J6621=1,K6621=1),AND(J6621=1,I6621="SBJ"),AND(J6621=1,I6621=0)),"?IN_FOCUS",IF(J6621&lt;=2,"?ACTIVATED",IF(J6621&lt;&gt;"","?FAMILIAR",IF(F6621="NEW",IF(ISNA(VLOOKUP(E6621,#REF!,1,FALSE())),"?TYPE_IDENTIFIABLE","?REFERENTIAL"),"_")))))</f>
        <v> </v>
      </c>
      <c r="H6621" s="25" t="str">
        <f>IF(J6621&lt;&gt;1,"",IF(I6621="SBJ","CB","?"))</f>
        <v> </v>
      </c>
      <c r="I6621" s="26" t="str">
        <f>IF(OR(E6621="",E6621="!!!",F6621="NEW"),"",INDEX(B6620:B$2,-1+SUMPRODUCT(MAX(ROW(E6620:E$2)*(E6621=E6620:E$2)))))</f>
        <v> </v>
      </c>
      <c r="J6621" s="26" t="str">
        <f>IF(OR(E6621="",E6621="!!!",F6621="NEW"),"",COUNTBLANK(OFFSET(A$1,,,SUMPRODUCT(MAX(ROW(E$2:E6621)*(E6621=E$2:E6621)))))-COUNTBLANK(OFFSET(A$1,,,SUMPRODUCT(MAX(ROW(E$1:E6620)*(E2=E$1:E6620))))))</f>
        <v> </v>
      </c>
      <c r="K6621" s="26" t="str">
        <f>IF(OR(E6621="",E6621="!!!",F6621="NEW"),"",INDEX(J$1:J6620,SUMPRODUCT(MAX(ROW(E$1:E6620)*(E6621=E$1:E6620)))))</f>
        <v> </v>
      </c>
      <c r="L6621" s="27"/>
    </row>
    <row r="6622" spans="1:12">
      <c r="A6622" s="20" t="s">
        <v>906</v>
      </c>
      <c r="B6622" s="21" t="s">
        <v>1194</v>
      </c>
      <c r="C6622" s="21" t="s">
        <v>1184</v>
      </c>
      <c r="E6622" s="22">
        <f>IF(D6622="?OLD","!!!","")</f>
        <v/>
      </c>
      <c r="F6622" s="23" t="str">
        <f>IF(OR(E6622="",E6622="!!!"),"",IF(NOT(ISNA(VLOOKUP(E6622,E$1:E6621,1,FALSE()))),"OLD",IF(AND(E6622&lt;&gt;"",E6622&lt;&gt;"!!!"),"NEW","")))</f>
        <v> </v>
      </c>
      <c r="G6622" s="24" t="str">
        <f>IF(OR(E6622="",E6622="!!!"),"",IF(OR(J6622=0,AND(J6622=1,K6622=1),AND(J6622=1,I6622="SBJ"),AND(J6622=1,I6622=0)),"?IN_FOCUS",IF(J6622&lt;=2,"?ACTIVATED",IF(J6622&lt;&gt;"","?FAMILIAR",IF(F6622="NEW",IF(ISNA(VLOOKUP(E6622,#REF!,1,FALSE())),"?TYPE_IDENTIFIABLE","?REFERENTIAL"),"_")))))</f>
        <v> </v>
      </c>
      <c r="H6622" s="25" t="str">
        <f>IF(J6622&lt;&gt;1,"",IF(I6622="SBJ","CB","?"))</f>
        <v> </v>
      </c>
      <c r="I6622" s="26" t="str">
        <f>IF(OR(E6622="",E6622="!!!",F6622="NEW"),"",INDEX(B6621:B$2,-1+SUMPRODUCT(MAX(ROW(E6621:E$2)*(E6622=E6621:E$2)))))</f>
        <v> </v>
      </c>
      <c r="J6622" s="26" t="str">
        <f>IF(OR(E6622="",E6622="!!!",F6622="NEW"),"",COUNTBLANK(OFFSET(A$1,,,SUMPRODUCT(MAX(ROW(E$2:E6622)*(E6622=E$2:E6622)))))-COUNTBLANK(OFFSET(A$1,,,SUMPRODUCT(MAX(ROW(E$1:E6621)*(E2=E$1:E6621))))))</f>
        <v> </v>
      </c>
      <c r="K6622" s="26" t="str">
        <f>IF(OR(E6622="",E6622="!!!",F6622="NEW"),"",INDEX(J$1:J6621,SUMPRODUCT(MAX(ROW(E$1:E6621)*(E6622=E$1:E6621)))))</f>
        <v> </v>
      </c>
      <c r="L6622" s="27"/>
    </row>
    <row r="6623" spans="1:12">
      <c r="A6623" s="20" t="s">
        <v>1314</v>
      </c>
      <c r="E6623" s="22">
        <f>IF(D6623="?OLD","!!!","")</f>
        <v/>
      </c>
      <c r="F6623" s="23" t="str">
        <f>IF(OR(E6623="",E6623="!!!"),"",IF(NOT(ISNA(VLOOKUP(E6623,E$1:E6622,1,FALSE()))),"OLD",IF(AND(E6623&lt;&gt;"",E6623&lt;&gt;"!!!"),"NEW","")))</f>
        <v> </v>
      </c>
      <c r="G6623" s="24" t="str">
        <f>IF(OR(E6623="",E6623="!!!"),"",IF(OR(J6623=0,AND(J6623=1,K6623=1),AND(J6623=1,I6623="SBJ"),AND(J6623=1,I6623=0)),"?IN_FOCUS",IF(J6623&lt;=2,"?ACTIVATED",IF(J6623&lt;&gt;"","?FAMILIAR",IF(F6623="NEW",IF(ISNA(VLOOKUP(E6623,#REF!,1,FALSE())),"?TYPE_IDENTIFIABLE","?REFERENTIAL"),"_")))))</f>
        <v> </v>
      </c>
      <c r="H6623" s="25" t="str">
        <f>IF(J6623&lt;&gt;1,"",IF(I6623="SBJ","CB","?"))</f>
        <v> </v>
      </c>
      <c r="I6623" s="26" t="str">
        <f>IF(OR(E6623="",E6623="!!!",F6623="NEW"),"",INDEX(B6622:B$2,-1+SUMPRODUCT(MAX(ROW(E6622:E$2)*(E6623=E6622:E$2)))))</f>
        <v> </v>
      </c>
      <c r="J6623" s="26" t="str">
        <f>IF(OR(E6623="",E6623="!!!",F6623="NEW"),"",COUNTBLANK(OFFSET(A$1,,,SUMPRODUCT(MAX(ROW(E$2:E6623)*(E6623=E$2:E6623)))))-COUNTBLANK(OFFSET(A$1,,,SUMPRODUCT(MAX(ROW(E$1:E6622)*(E2=E$1:E6622))))))</f>
        <v> </v>
      </c>
      <c r="K6623" s="26" t="str">
        <f>IF(OR(E6623="",E6623="!!!",F6623="NEW"),"",INDEX(J$1:J6622,SUMPRODUCT(MAX(ROW(E$1:E6622)*(E6623=E$1:E6622)))))</f>
        <v> </v>
      </c>
      <c r="L6623" s="27"/>
    </row>
    <row r="6624" spans="1:12">
      <c r="A6624" s="20" t="s">
        <v>1149</v>
      </c>
      <c r="E6624" s="22">
        <f>IF(D6624="?OLD","!!!","")</f>
        <v/>
      </c>
      <c r="F6624" s="23" t="str">
        <f>IF(OR(E6624="",E6624="!!!"),"",IF(NOT(ISNA(VLOOKUP(E6624,E$1:E6623,1,FALSE()))),"OLD",IF(AND(E6624&lt;&gt;"",E6624&lt;&gt;"!!!"),"NEW","")))</f>
        <v> </v>
      </c>
      <c r="G6624" s="24" t="str">
        <f>IF(OR(E6624="",E6624="!!!"),"",IF(OR(J6624=0,AND(J6624=1,K6624=1),AND(J6624=1,I6624="SBJ"),AND(J6624=1,I6624=0)),"?IN_FOCUS",IF(J6624&lt;=2,"?ACTIVATED",IF(J6624&lt;&gt;"","?FAMILIAR",IF(F6624="NEW",IF(ISNA(VLOOKUP(E6624,#REF!,1,FALSE())),"?TYPE_IDENTIFIABLE","?REFERENTIAL"),"_")))))</f>
        <v> </v>
      </c>
      <c r="H6624" s="25" t="str">
        <f>IF(J6624&lt;&gt;1,"",IF(I6624="SBJ","CB","?"))</f>
        <v> </v>
      </c>
      <c r="I6624" s="26" t="str">
        <f>IF(OR(E6624="",E6624="!!!",F6624="NEW"),"",INDEX(B6623:B$2,-1+SUMPRODUCT(MAX(ROW(E6623:E$2)*(E6624=E6623:E$2)))))</f>
        <v> </v>
      </c>
      <c r="J6624" s="26" t="str">
        <f>IF(OR(E6624="",E6624="!!!",F6624="NEW"),"",COUNTBLANK(OFFSET(A$1,,,SUMPRODUCT(MAX(ROW(E$2:E6624)*(E6624=E$2:E6624)))))-COUNTBLANK(OFFSET(A$1,,,SUMPRODUCT(MAX(ROW(E$1:E6623)*(E2=E$1:E6623))))))</f>
        <v> </v>
      </c>
      <c r="K6624" s="26" t="str">
        <f>IF(OR(E6624="",E6624="!!!",F6624="NEW"),"",INDEX(J$1:J6623,SUMPRODUCT(MAX(ROW(E$1:E6623)*(E6624=E$1:E6623)))))</f>
        <v> </v>
      </c>
      <c r="L6624" s="27"/>
    </row>
    <row r="6625" spans="1:12">
      <c r="A6625" s="20" t="s">
        <v>1185</v>
      </c>
      <c r="E6625" s="22">
        <f>IF(D6625="?OLD","!!!","")</f>
        <v/>
      </c>
      <c r="F6625" s="23" t="str">
        <f>IF(OR(E6625="",E6625="!!!"),"",IF(NOT(ISNA(VLOOKUP(E6625,E$1:E6624,1,FALSE()))),"OLD",IF(AND(E6625&lt;&gt;"",E6625&lt;&gt;"!!!"),"NEW","")))</f>
        <v> </v>
      </c>
      <c r="G6625" s="24" t="str">
        <f>IF(OR(E6625="",E6625="!!!"),"",IF(OR(J6625=0,AND(J6625=1,K6625=1),AND(J6625=1,I6625="SBJ"),AND(J6625=1,I6625=0)),"?IN_FOCUS",IF(J6625&lt;=2,"?ACTIVATED",IF(J6625&lt;&gt;"","?FAMILIAR",IF(F6625="NEW",IF(ISNA(VLOOKUP(E6625,#REF!,1,FALSE())),"?TYPE_IDENTIFIABLE","?REFERENTIAL"),"_")))))</f>
        <v> </v>
      </c>
      <c r="H6625" s="25" t="str">
        <f>IF(J6625&lt;&gt;1,"",IF(I6625="SBJ","CB","?"))</f>
        <v> </v>
      </c>
      <c r="I6625" s="26" t="str">
        <f>IF(OR(E6625="",E6625="!!!",F6625="NEW"),"",INDEX(B6624:B$2,-1+SUMPRODUCT(MAX(ROW(E6624:E$2)*(E6625=E6624:E$2)))))</f>
        <v> </v>
      </c>
      <c r="J6625" s="26" t="str">
        <f>IF(OR(E6625="",E6625="!!!",F6625="NEW"),"",COUNTBLANK(OFFSET(A$1,,,SUMPRODUCT(MAX(ROW(E$2:E6625)*(E6625=E$2:E6625)))))-COUNTBLANK(OFFSET(A$1,,,SUMPRODUCT(MAX(ROW(E$1:E6624)*(E2=E$1:E6624))))))</f>
        <v> </v>
      </c>
      <c r="K6625" s="26" t="str">
        <f>IF(OR(E6625="",E6625="!!!",F6625="NEW"),"",INDEX(J$1:J6624,SUMPRODUCT(MAX(ROW(E$1:E6624)*(E6625=E$1:E6624)))))</f>
        <v> </v>
      </c>
      <c r="L6625" s="27"/>
    </row>
    <row r="6626" spans="1:12">
      <c r="A6626" s="20" t="s">
        <v>1513</v>
      </c>
      <c r="E6626" s="22">
        <f>IF(D6626="?OLD","!!!","")</f>
        <v/>
      </c>
      <c r="F6626" s="23" t="str">
        <f>IF(OR(E6626="",E6626="!!!"),"",IF(NOT(ISNA(VLOOKUP(E6626,E$1:E6625,1,FALSE()))),"OLD",IF(AND(E6626&lt;&gt;"",E6626&lt;&gt;"!!!"),"NEW","")))</f>
        <v> </v>
      </c>
      <c r="G6626" s="24" t="str">
        <f>IF(OR(E6626="",E6626="!!!"),"",IF(OR(J6626=0,AND(J6626=1,K6626=1),AND(J6626=1,I6626="SBJ"),AND(J6626=1,I6626=0)),"?IN_FOCUS",IF(J6626&lt;=2,"?ACTIVATED",IF(J6626&lt;&gt;"","?FAMILIAR",IF(F6626="NEW",IF(ISNA(VLOOKUP(E6626,#REF!,1,FALSE())),"?TYPE_IDENTIFIABLE","?REFERENTIAL"),"_")))))</f>
        <v> </v>
      </c>
      <c r="H6626" s="25" t="str">
        <f>IF(J6626&lt;&gt;1,"",IF(I6626="SBJ","CB","?"))</f>
        <v> </v>
      </c>
      <c r="I6626" s="26" t="str">
        <f>IF(OR(E6626="",E6626="!!!",F6626="NEW"),"",INDEX(B6625:B$2,-1+SUMPRODUCT(MAX(ROW(E6625:E$2)*(E6626=E6625:E$2)))))</f>
        <v> </v>
      </c>
      <c r="J6626" s="26" t="str">
        <f>IF(OR(E6626="",E6626="!!!",F6626="NEW"),"",COUNTBLANK(OFFSET(A$1,,,SUMPRODUCT(MAX(ROW(E$2:E6626)*(E6626=E$2:E6626)))))-COUNTBLANK(OFFSET(A$1,,,SUMPRODUCT(MAX(ROW(E$1:E6625)*(E2=E$1:E6625))))))</f>
        <v> </v>
      </c>
      <c r="K6626" s="26" t="str">
        <f>IF(OR(E6626="",E6626="!!!",F6626="NEW"),"",INDEX(J$1:J6625,SUMPRODUCT(MAX(ROW(E$1:E6625)*(E6626=E$1:E6625)))))</f>
        <v> </v>
      </c>
      <c r="L6626" s="27"/>
    </row>
    <row r="6627" spans="1:12">
      <c r="A6627" s="20" t="s">
        <v>1525</v>
      </c>
      <c r="B6627" s="21" t="s">
        <v>1237</v>
      </c>
      <c r="C6627" s="21" t="s">
        <v>1184</v>
      </c>
      <c r="E6627" s="22">
        <f>IF(D6627="?OLD","!!!","")</f>
        <v/>
      </c>
      <c r="F6627" s="23" t="str">
        <f>IF(OR(E6627="",E6627="!!!"),"",IF(NOT(ISNA(VLOOKUP(E6627,E$1:E6626,1,FALSE()))),"OLD",IF(AND(E6627&lt;&gt;"",E6627&lt;&gt;"!!!"),"NEW","")))</f>
        <v> </v>
      </c>
      <c r="G6627" s="24" t="str">
        <f>IF(OR(E6627="",E6627="!!!"),"",IF(OR(J6627=0,AND(J6627=1,K6627=1),AND(J6627=1,I6627="SBJ"),AND(J6627=1,I6627=0)),"?IN_FOCUS",IF(J6627&lt;=2,"?ACTIVATED",IF(J6627&lt;&gt;"","?FAMILIAR",IF(F6627="NEW",IF(ISNA(VLOOKUP(E6627,#REF!,1,FALSE())),"?TYPE_IDENTIFIABLE","?REFERENTIAL"),"_")))))</f>
        <v> </v>
      </c>
      <c r="H6627" s="25" t="str">
        <f>IF(J6627&lt;&gt;1,"",IF(I6627="SBJ","CB","?"))</f>
        <v> </v>
      </c>
      <c r="I6627" s="26" t="str">
        <f>IF(OR(E6627="",E6627="!!!",F6627="NEW"),"",INDEX(B6626:B$2,-1+SUMPRODUCT(MAX(ROW(E6626:E$2)*(E6627=E6626:E$2)))))</f>
        <v> </v>
      </c>
      <c r="J6627" s="26" t="str">
        <f>IF(OR(E6627="",E6627="!!!",F6627="NEW"),"",COUNTBLANK(OFFSET(A$1,,,SUMPRODUCT(MAX(ROW(E$2:E6627)*(E6627=E$2:E6627)))))-COUNTBLANK(OFFSET(A$1,,,SUMPRODUCT(MAX(ROW(E$1:E6626)*(E2=E$1:E6626))))))</f>
        <v> </v>
      </c>
      <c r="K6627" s="26" t="str">
        <f>IF(OR(E6627="",E6627="!!!",F6627="NEW"),"",INDEX(J$1:J6626,SUMPRODUCT(MAX(ROW(E$1:E6626)*(E6627=E$1:E6626)))))</f>
        <v> </v>
      </c>
      <c r="L6627" s="27"/>
    </row>
    <row r="6628" spans="1:12">
      <c r="A6628" s="20" t="s">
        <v>1330</v>
      </c>
      <c r="E6628" s="22">
        <f>IF(D6628="?OLD","!!!","")</f>
        <v/>
      </c>
      <c r="F6628" s="23" t="str">
        <f>IF(OR(E6628="",E6628="!!!"),"",IF(NOT(ISNA(VLOOKUP(E6628,E$1:E6627,1,FALSE()))),"OLD",IF(AND(E6628&lt;&gt;"",E6628&lt;&gt;"!!!"),"NEW","")))</f>
        <v> </v>
      </c>
      <c r="G6628" s="24" t="str">
        <f>IF(OR(E6628="",E6628="!!!"),"",IF(OR(J6628=0,AND(J6628=1,K6628=1),AND(J6628=1,I6628="SBJ"),AND(J6628=1,I6628=0)),"?IN_FOCUS",IF(J6628&lt;=2,"?ACTIVATED",IF(J6628&lt;&gt;"","?FAMILIAR",IF(F6628="NEW",IF(ISNA(VLOOKUP(E6628,#REF!,1,FALSE())),"?TYPE_IDENTIFIABLE","?REFERENTIAL"),"_")))))</f>
        <v> </v>
      </c>
      <c r="H6628" s="25" t="str">
        <f>IF(J6628&lt;&gt;1,"",IF(I6628="SBJ","CB","?"))</f>
        <v> </v>
      </c>
      <c r="I6628" s="26" t="str">
        <f>IF(OR(E6628="",E6628="!!!",F6628="NEW"),"",INDEX(B6627:B$2,-1+SUMPRODUCT(MAX(ROW(E6627:E$2)*(E6628=E6627:E$2)))))</f>
        <v> </v>
      </c>
      <c r="J6628" s="26" t="str">
        <f>IF(OR(E6628="",E6628="!!!",F6628="NEW"),"",COUNTBLANK(OFFSET(A$1,,,SUMPRODUCT(MAX(ROW(E$2:E6628)*(E6628=E$2:E6628)))))-COUNTBLANK(OFFSET(A$1,,,SUMPRODUCT(MAX(ROW(E$1:E6627)*(E2=E$1:E6627))))))</f>
        <v> </v>
      </c>
      <c r="K6628" s="26" t="str">
        <f>IF(OR(E6628="",E6628="!!!",F6628="NEW"),"",INDEX(J$1:J6627,SUMPRODUCT(MAX(ROW(E$1:E6627)*(E6628=E$1:E6627)))))</f>
        <v> </v>
      </c>
      <c r="L6628" s="27"/>
    </row>
    <row r="6629" spans="1:12">
      <c r="A6629" s="20" t="s">
        <v>163</v>
      </c>
      <c r="E6629" s="22">
        <f>IF(D6629="?OLD","!!!","")</f>
        <v/>
      </c>
      <c r="F6629" s="23" t="str">
        <f>IF(OR(E6629="",E6629="!!!"),"",IF(NOT(ISNA(VLOOKUP(E6629,E$1:E6628,1,FALSE()))),"OLD",IF(AND(E6629&lt;&gt;"",E6629&lt;&gt;"!!!"),"NEW","")))</f>
        <v> </v>
      </c>
      <c r="G6629" s="24" t="str">
        <f>IF(OR(E6629="",E6629="!!!"),"",IF(OR(J6629=0,AND(J6629=1,K6629=1),AND(J6629=1,I6629="SBJ"),AND(J6629=1,I6629=0)),"?IN_FOCUS",IF(J6629&lt;=2,"?ACTIVATED",IF(J6629&lt;&gt;"","?FAMILIAR",IF(F6629="NEW",IF(ISNA(VLOOKUP(E6629,#REF!,1,FALSE())),"?TYPE_IDENTIFIABLE","?REFERENTIAL"),"_")))))</f>
        <v> </v>
      </c>
      <c r="H6629" s="25" t="str">
        <f>IF(J6629&lt;&gt;1,"",IF(I6629="SBJ","CB","?"))</f>
        <v> </v>
      </c>
      <c r="I6629" s="26" t="str">
        <f>IF(OR(E6629="",E6629="!!!",F6629="NEW"),"",INDEX(B6628:B$2,-1+SUMPRODUCT(MAX(ROW(E6628:E$2)*(E6629=E6628:E$2)))))</f>
        <v> </v>
      </c>
      <c r="J6629" s="26" t="str">
        <f>IF(OR(E6629="",E6629="!!!",F6629="NEW"),"",COUNTBLANK(OFFSET(A$1,,,SUMPRODUCT(MAX(ROW(E$2:E6629)*(E6629=E$2:E6629)))))-COUNTBLANK(OFFSET(A$1,,,SUMPRODUCT(MAX(ROW(E$1:E6628)*(E2=E$1:E6628))))))</f>
        <v> </v>
      </c>
      <c r="K6629" s="26" t="str">
        <f>IF(OR(E6629="",E6629="!!!",F6629="NEW"),"",INDEX(J$1:J6628,SUMPRODUCT(MAX(ROW(E$1:E6628)*(E6629=E$1:E6628)))))</f>
        <v> </v>
      </c>
      <c r="L6629" s="27"/>
    </row>
    <row r="6630" spans="1:12">
      <c r="A6630" s="20" t="s">
        <v>818</v>
      </c>
      <c r="E6630" s="22">
        <f>IF(D6630="?OLD","!!!","")</f>
        <v/>
      </c>
      <c r="F6630" s="23" t="str">
        <f>IF(OR(E6630="",E6630="!!!"),"",IF(NOT(ISNA(VLOOKUP(E6630,E$1:E6629,1,FALSE()))),"OLD",IF(AND(E6630&lt;&gt;"",E6630&lt;&gt;"!!!"),"NEW","")))</f>
        <v> </v>
      </c>
      <c r="G6630" s="24" t="str">
        <f>IF(OR(E6630="",E6630="!!!"),"",IF(OR(J6630=0,AND(J6630=1,K6630=1),AND(J6630=1,I6630="SBJ"),AND(J6630=1,I6630=0)),"?IN_FOCUS",IF(J6630&lt;=2,"?ACTIVATED",IF(J6630&lt;&gt;"","?FAMILIAR",IF(F6630="NEW",IF(ISNA(VLOOKUP(E6630,#REF!,1,FALSE())),"?TYPE_IDENTIFIABLE","?REFERENTIAL"),"_")))))</f>
        <v> </v>
      </c>
      <c r="H6630" s="25" t="str">
        <f>IF(J6630&lt;&gt;1,"",IF(I6630="SBJ","CB","?"))</f>
        <v> </v>
      </c>
      <c r="I6630" s="26" t="str">
        <f>IF(OR(E6630="",E6630="!!!",F6630="NEW"),"",INDEX(B6629:B$2,-1+SUMPRODUCT(MAX(ROW(E6629:E$2)*(E6630=E6629:E$2)))))</f>
        <v> </v>
      </c>
      <c r="J6630" s="26" t="str">
        <f>IF(OR(E6630="",E6630="!!!",F6630="NEW"),"",COUNTBLANK(OFFSET(A$1,,,SUMPRODUCT(MAX(ROW(E$2:E6630)*(E6630=E$2:E6630)))))-COUNTBLANK(OFFSET(A$1,,,SUMPRODUCT(MAX(ROW(E$1:E6629)*(E2=E$1:E6629))))))</f>
        <v> </v>
      </c>
      <c r="K6630" s="26" t="str">
        <f>IF(OR(E6630="",E6630="!!!",F6630="NEW"),"",INDEX(J$1:J6629,SUMPRODUCT(MAX(ROW(E$1:E6629)*(E6630=E$1:E6629)))))</f>
        <v> </v>
      </c>
      <c r="L6630" s="27"/>
    </row>
    <row r="6631" spans="1:12">
      <c r="A6631" s="20"/>
    </row>
    <row r="6632" spans="1:12">
      <c r="A6632" s="20" t="s">
        <v>2936</v>
      </c>
    </row>
    <row r="6633" spans="1:12">
      <c r="A6633" s="20" t="s">
        <v>951</v>
      </c>
      <c r="E6633" s="22">
        <f>IF(D6633="?OLD","!!!","")</f>
        <v/>
      </c>
      <c r="F6633" s="23" t="str">
        <f>IF(OR(E6633="",E6633="!!!"),"",IF(NOT(ISNA(VLOOKUP(E6633,E$1:E6632,1,FALSE()))),"OLD",IF(AND(E6633&lt;&gt;"",E6633&lt;&gt;"!!!"),"NEW","")))</f>
        <v> </v>
      </c>
      <c r="G6633" s="24" t="str">
        <f>IF(OR(E6633="",E6633="!!!"),"",IF(OR(J6633=0,AND(J6633=1,K6633=1),AND(J6633=1,I6633="SBJ"),AND(J6633=1,I6633=0)),"?IN_FOCUS",IF(J6633&lt;=2,"?ACTIVATED",IF(J6633&lt;&gt;"","?FAMILIAR",IF(F6633="NEW",IF(ISNA(VLOOKUP(E6633,#REF!,1,FALSE())),"?TYPE_IDENTIFIABLE","?REFERENTIAL"),"_")))))</f>
        <v> </v>
      </c>
      <c r="H6633" s="25" t="str">
        <f>IF(J6633&lt;&gt;1,"",IF(I6633="SBJ","CB","?"))</f>
        <v> </v>
      </c>
      <c r="I6633" s="26" t="str">
        <f>IF(OR(E6633="",E6633="!!!",F6633="NEW"),"",INDEX(B6632:B$2,-1+SUMPRODUCT(MAX(ROW(E6632:E$2)*(E6633=E6632:E$2)))))</f>
        <v> </v>
      </c>
      <c r="J6633" s="26" t="str">
        <f>IF(OR(E6633="",E6633="!!!",F6633="NEW"),"",COUNTBLANK(OFFSET(A$1,,,SUMPRODUCT(MAX(ROW(E$2:E6633)*(E6633=E$2:E6633)))))-COUNTBLANK(OFFSET(A$1,,,SUMPRODUCT(MAX(ROW(E$1:E6632)*(E2=E$1:E6632))))))</f>
        <v> </v>
      </c>
      <c r="K6633" s="26" t="str">
        <f>IF(OR(E6633="",E6633="!!!",F6633="NEW"),"",INDEX(J$1:J6632,SUMPRODUCT(MAX(ROW(E$1:E6632)*(E6633=E$1:E6632)))))</f>
        <v> </v>
      </c>
      <c r="L6633" s="27"/>
    </row>
    <row r="6634" spans="1:12">
      <c r="A6634" s="20" t="s">
        <v>1263</v>
      </c>
      <c r="B6634" s="21" t="s">
        <v>1194</v>
      </c>
      <c r="C6634" s="21" t="s">
        <v>1195</v>
      </c>
      <c r="D6634" s="21" t="s">
        <v>1180</v>
      </c>
      <c r="E6634" s="22">
        <f>IF(D6634="?OLD","!!!","")</f>
        <v/>
      </c>
      <c r="F6634" s="23" t="str">
        <f>IF(OR(E6634="",E6634="!!!"),"",IF(NOT(ISNA(VLOOKUP(E6634,E$1:E6633,1,FALSE()))),"OLD",IF(AND(E6634&lt;&gt;"",E6634&lt;&gt;"!!!"),"NEW","")))</f>
        <v> </v>
      </c>
      <c r="G6634" s="24" t="str">
        <f>IF(OR(E6634="",E6634="!!!"),"",IF(OR(J6634=0,AND(J6634=1,K6634=1),AND(J6634=1,I6634="SBJ"),AND(J6634=1,I6634=0)),"?IN_FOCUS",IF(J6634&lt;=2,"?ACTIVATED",IF(J6634&lt;&gt;"","?FAMILIAR",IF(F6634="NEW",IF(ISNA(VLOOKUP(E6634,#REF!,1,FALSE())),"?TYPE_IDENTIFIABLE","?REFERENTIAL"),"_")))))</f>
        <v> </v>
      </c>
      <c r="H6634" s="25" t="str">
        <f>IF(J6634&lt;&gt;1,"",IF(I6634="SBJ","CB","?"))</f>
        <v> </v>
      </c>
      <c r="I6634" s="26" t="str">
        <f>IF(OR(E6634="",E6634="!!!",F6634="NEW"),"",INDEX(B6633:B$2,-1+SUMPRODUCT(MAX(ROW(E6633:E$2)*(E6634=E6633:E$2)))))</f>
        <v> </v>
      </c>
      <c r="J6634" s="26" t="str">
        <f>IF(OR(E6634="",E6634="!!!",F6634="NEW"),"",COUNTBLANK(OFFSET(A$1,,,SUMPRODUCT(MAX(ROW(E$2:E6634)*(E6634=E$2:E6634)))))-COUNTBLANK(OFFSET(A$1,,,SUMPRODUCT(MAX(ROW(E$1:E6633)*(E2=E$1:E6633))))))</f>
        <v> </v>
      </c>
      <c r="K6634" s="26" t="str">
        <f>IF(OR(E6634="",E6634="!!!",F6634="NEW"),"",INDEX(J$1:J6633,SUMPRODUCT(MAX(ROW(E$1:E6633)*(E6634=E$1:E6633)))))</f>
        <v> </v>
      </c>
      <c r="L6634" s="27"/>
    </row>
    <row r="6635" spans="1:12">
      <c r="A6635" s="20" t="s">
        <v>1647</v>
      </c>
      <c r="E6635" s="22">
        <f>IF(D6635="?OLD","!!!","")</f>
        <v/>
      </c>
      <c r="F6635" s="23" t="str">
        <f>IF(OR(E6635="",E6635="!!!"),"",IF(NOT(ISNA(VLOOKUP(E6635,E$1:E6634,1,FALSE()))),"OLD",IF(AND(E6635&lt;&gt;"",E6635&lt;&gt;"!!!"),"NEW","")))</f>
        <v> </v>
      </c>
      <c r="G6635" s="24" t="str">
        <f>IF(OR(E6635="",E6635="!!!"),"",IF(OR(J6635=0,AND(J6635=1,K6635=1),AND(J6635=1,I6635="SBJ"),AND(J6635=1,I6635=0)),"?IN_FOCUS",IF(J6635&lt;=2,"?ACTIVATED",IF(J6635&lt;&gt;"","?FAMILIAR",IF(F6635="NEW",IF(ISNA(VLOOKUP(E6635,#REF!,1,FALSE())),"?TYPE_IDENTIFIABLE","?REFERENTIAL"),"_")))))</f>
        <v> </v>
      </c>
      <c r="H6635" s="25" t="str">
        <f>IF(J6635&lt;&gt;1,"",IF(I6635="SBJ","CB","?"))</f>
        <v> </v>
      </c>
      <c r="I6635" s="26" t="str">
        <f>IF(OR(E6635="",E6635="!!!",F6635="NEW"),"",INDEX(B6634:B$2,-1+SUMPRODUCT(MAX(ROW(E6634:E$2)*(E6635=E6634:E$2)))))</f>
        <v> </v>
      </c>
      <c r="J6635" s="26" t="str">
        <f>IF(OR(E6635="",E6635="!!!",F6635="NEW"),"",COUNTBLANK(OFFSET(A$1,,,SUMPRODUCT(MAX(ROW(E$2:E6635)*(E6635=E$2:E6635)))))-COUNTBLANK(OFFSET(A$1,,,SUMPRODUCT(MAX(ROW(E$1:E6634)*(E2=E$1:E6634))))))</f>
        <v> </v>
      </c>
      <c r="K6635" s="26" t="str">
        <f>IF(OR(E6635="",E6635="!!!",F6635="NEW"),"",INDEX(J$1:J6634,SUMPRODUCT(MAX(ROW(E$1:E6634)*(E6635=E$1:E6634)))))</f>
        <v> </v>
      </c>
      <c r="L6635" s="27"/>
    </row>
    <row r="6636" spans="1:12">
      <c r="A6636" s="20" t="s">
        <v>1185</v>
      </c>
      <c r="E6636" s="22">
        <f>IF(D6636="?OLD","!!!","")</f>
        <v/>
      </c>
      <c r="F6636" s="23" t="str">
        <f>IF(OR(E6636="",E6636="!!!"),"",IF(NOT(ISNA(VLOOKUP(E6636,E$1:E6635,1,FALSE()))),"OLD",IF(AND(E6636&lt;&gt;"",E6636&lt;&gt;"!!!"),"NEW","")))</f>
        <v> </v>
      </c>
      <c r="G6636" s="24" t="str">
        <f>IF(OR(E6636="",E6636="!!!"),"",IF(OR(J6636=0,AND(J6636=1,K6636=1),AND(J6636=1,I6636="SBJ"),AND(J6636=1,I6636=0)),"?IN_FOCUS",IF(J6636&lt;=2,"?ACTIVATED",IF(J6636&lt;&gt;"","?FAMILIAR",IF(F6636="NEW",IF(ISNA(VLOOKUP(E6636,#REF!,1,FALSE())),"?TYPE_IDENTIFIABLE","?REFERENTIAL"),"_")))))</f>
        <v> </v>
      </c>
      <c r="H6636" s="25" t="str">
        <f>IF(J6636&lt;&gt;1,"",IF(I6636="SBJ","CB","?"))</f>
        <v> </v>
      </c>
      <c r="I6636" s="26" t="str">
        <f>IF(OR(E6636="",E6636="!!!",F6636="NEW"),"",INDEX(B6635:B$2,-1+SUMPRODUCT(MAX(ROW(E6635:E$2)*(E6636=E6635:E$2)))))</f>
        <v> </v>
      </c>
      <c r="J6636" s="26" t="str">
        <f>IF(OR(E6636="",E6636="!!!",F6636="NEW"),"",COUNTBLANK(OFFSET(A$1,,,SUMPRODUCT(MAX(ROW(E$2:E6636)*(E6636=E$2:E6636)))))-COUNTBLANK(OFFSET(A$1,,,SUMPRODUCT(MAX(ROW(E$1:E6635)*(E2=E$1:E6635))))))</f>
        <v> </v>
      </c>
      <c r="K6636" s="26" t="str">
        <f>IF(OR(E6636="",E6636="!!!",F6636="NEW"),"",INDEX(J$1:J6635,SUMPRODUCT(MAX(ROW(E$1:E6635)*(E6636=E$1:E6635)))))</f>
        <v> </v>
      </c>
      <c r="L6636" s="27"/>
    </row>
    <row r="6637" spans="1:12">
      <c r="A6637" s="20" t="s">
        <v>1530</v>
      </c>
      <c r="E6637" s="22">
        <f>IF(D6637="?OLD","!!!","")</f>
        <v/>
      </c>
      <c r="F6637" s="23" t="str">
        <f>IF(OR(E6637="",E6637="!!!"),"",IF(NOT(ISNA(VLOOKUP(E6637,E$1:E6636,1,FALSE()))),"OLD",IF(AND(E6637&lt;&gt;"",E6637&lt;&gt;"!!!"),"NEW","")))</f>
        <v> </v>
      </c>
      <c r="G6637" s="24" t="str">
        <f>IF(OR(E6637="",E6637="!!!"),"",IF(OR(J6637=0,AND(J6637=1,K6637=1),AND(J6637=1,I6637="SBJ"),AND(J6637=1,I6637=0)),"?IN_FOCUS",IF(J6637&lt;=2,"?ACTIVATED",IF(J6637&lt;&gt;"","?FAMILIAR",IF(F6637="NEW",IF(ISNA(VLOOKUP(E6637,#REF!,1,FALSE())),"?TYPE_IDENTIFIABLE","?REFERENTIAL"),"_")))))</f>
        <v> </v>
      </c>
      <c r="H6637" s="25" t="str">
        <f>IF(J6637&lt;&gt;1,"",IF(I6637="SBJ","CB","?"))</f>
        <v> </v>
      </c>
      <c r="I6637" s="26" t="str">
        <f>IF(OR(E6637="",E6637="!!!",F6637="NEW"),"",INDEX(B6636:B$2,-1+SUMPRODUCT(MAX(ROW(E6636:E$2)*(E6637=E6636:E$2)))))</f>
        <v> </v>
      </c>
      <c r="J6637" s="26" t="str">
        <f>IF(OR(E6637="",E6637="!!!",F6637="NEW"),"",COUNTBLANK(OFFSET(A$1,,,SUMPRODUCT(MAX(ROW(E$2:E6637)*(E6637=E$2:E6637)))))-COUNTBLANK(OFFSET(A$1,,,SUMPRODUCT(MAX(ROW(E$1:E6636)*(E2=E$1:E6636))))))</f>
        <v> </v>
      </c>
      <c r="K6637" s="26" t="str">
        <f>IF(OR(E6637="",E6637="!!!",F6637="NEW"),"",INDEX(J$1:J6636,SUMPRODUCT(MAX(ROW(E$1:E6636)*(E6637=E$1:E6636)))))</f>
        <v> </v>
      </c>
      <c r="L6637" s="27"/>
    </row>
    <row r="6638" spans="1:12">
      <c r="A6638" s="20" t="s">
        <v>427</v>
      </c>
      <c r="B6638" s="21" t="s">
        <v>1240</v>
      </c>
      <c r="C6638" s="21" t="s">
        <v>1238</v>
      </c>
      <c r="D6638" s="21" t="s">
        <v>1180</v>
      </c>
      <c r="E6638" s="22">
        <f>IF(D6638="?OLD","!!!","")</f>
        <v/>
      </c>
      <c r="F6638" s="23" t="str">
        <f>IF(OR(E6638="",E6638="!!!"),"",IF(NOT(ISNA(VLOOKUP(E6638,E$1:E6637,1,FALSE()))),"OLD",IF(AND(E6638&lt;&gt;"",E6638&lt;&gt;"!!!"),"NEW","")))</f>
        <v> </v>
      </c>
      <c r="G6638" s="24" t="str">
        <f>IF(OR(E6638="",E6638="!!!"),"",IF(OR(J6638=0,AND(J6638=1,K6638=1),AND(J6638=1,I6638="SBJ"),AND(J6638=1,I6638=0)),"?IN_FOCUS",IF(J6638&lt;=2,"?ACTIVATED",IF(J6638&lt;&gt;"","?FAMILIAR",IF(F6638="NEW",IF(ISNA(VLOOKUP(E6638,#REF!,1,FALSE())),"?TYPE_IDENTIFIABLE","?REFERENTIAL"),"_")))))</f>
        <v> </v>
      </c>
      <c r="H6638" s="25" t="str">
        <f>IF(J6638&lt;&gt;1,"",IF(I6638="SBJ","CB","?"))</f>
        <v> </v>
      </c>
      <c r="I6638" s="26" t="str">
        <f>IF(OR(E6638="",E6638="!!!",F6638="NEW"),"",INDEX(B6637:B$2,-1+SUMPRODUCT(MAX(ROW(E6637:E$2)*(E6638=E6637:E$2)))))</f>
        <v> </v>
      </c>
      <c r="J6638" s="26" t="str">
        <f>IF(OR(E6638="",E6638="!!!",F6638="NEW"),"",COUNTBLANK(OFFSET(A$1,,,SUMPRODUCT(MAX(ROW(E$2:E6638)*(E6638=E$2:E6638)))))-COUNTBLANK(OFFSET(A$1,,,SUMPRODUCT(MAX(ROW(E$1:E6637)*(E2=E$1:E6637))))))</f>
        <v> </v>
      </c>
      <c r="K6638" s="26" t="str">
        <f>IF(OR(E6638="",E6638="!!!",F6638="NEW"),"",INDEX(J$1:J6637,SUMPRODUCT(MAX(ROW(E$1:E6637)*(E6638=E$1:E6637)))))</f>
        <v> </v>
      </c>
      <c r="L6638" s="27"/>
    </row>
    <row r="6639" spans="1:12">
      <c r="A6639" s="20" t="s">
        <v>2937</v>
      </c>
      <c r="E6639" s="22">
        <f>IF(D6639="?OLD","!!!","")</f>
        <v/>
      </c>
      <c r="F6639" s="23" t="str">
        <f>IF(OR(E6639="",E6639="!!!"),"",IF(NOT(ISNA(VLOOKUP(E6639,E$1:E6638,1,FALSE()))),"OLD",IF(AND(E6639&lt;&gt;"",E6639&lt;&gt;"!!!"),"NEW","")))</f>
        <v> </v>
      </c>
      <c r="G6639" s="24" t="str">
        <f>IF(OR(E6639="",E6639="!!!"),"",IF(OR(J6639=0,AND(J6639=1,K6639=1),AND(J6639=1,I6639="SBJ"),AND(J6639=1,I6639=0)),"?IN_FOCUS",IF(J6639&lt;=2,"?ACTIVATED",IF(J6639&lt;&gt;"","?FAMILIAR",IF(F6639="NEW",IF(ISNA(VLOOKUP(E6639,#REF!,1,FALSE())),"?TYPE_IDENTIFIABLE","?REFERENTIAL"),"_")))))</f>
        <v> </v>
      </c>
      <c r="H6639" s="25" t="str">
        <f>IF(J6639&lt;&gt;1,"",IF(I6639="SBJ","CB","?"))</f>
        <v> </v>
      </c>
      <c r="I6639" s="26" t="str">
        <f>IF(OR(E6639="",E6639="!!!",F6639="NEW"),"",INDEX(B6638:B$2,-1+SUMPRODUCT(MAX(ROW(E6638:E$2)*(E6639=E6638:E$2)))))</f>
        <v> </v>
      </c>
      <c r="J6639" s="26" t="str">
        <f>IF(OR(E6639="",E6639="!!!",F6639="NEW"),"",COUNTBLANK(OFFSET(A$1,,,SUMPRODUCT(MAX(ROW(E$2:E6639)*(E6639=E$2:E6639)))))-COUNTBLANK(OFFSET(A$1,,,SUMPRODUCT(MAX(ROW(E$1:E6638)*(E2=E$1:E6638))))))</f>
        <v> </v>
      </c>
      <c r="K6639" s="26" t="str">
        <f>IF(OR(E6639="",E6639="!!!",F6639="NEW"),"",INDEX(J$1:J6638,SUMPRODUCT(MAX(ROW(E$1:E6638)*(E6639=E$1:E6638)))))</f>
        <v> </v>
      </c>
      <c r="L6639" s="27"/>
    </row>
    <row r="6640" spans="1:12">
      <c r="A6640" s="20" t="s">
        <v>1185</v>
      </c>
      <c r="E6640" s="22">
        <f>IF(D6640="?OLD","!!!","")</f>
        <v/>
      </c>
      <c r="F6640" s="23" t="str">
        <f>IF(OR(E6640="",E6640="!!!"),"",IF(NOT(ISNA(VLOOKUP(E6640,E$1:E6639,1,FALSE()))),"OLD",IF(AND(E6640&lt;&gt;"",E6640&lt;&gt;"!!!"),"NEW","")))</f>
        <v> </v>
      </c>
      <c r="G6640" s="24" t="str">
        <f>IF(OR(E6640="",E6640="!!!"),"",IF(OR(J6640=0,AND(J6640=1,K6640=1),AND(J6640=1,I6640="SBJ"),AND(J6640=1,I6640=0)),"?IN_FOCUS",IF(J6640&lt;=2,"?ACTIVATED",IF(J6640&lt;&gt;"","?FAMILIAR",IF(F6640="NEW",IF(ISNA(VLOOKUP(E6640,#REF!,1,FALSE())),"?TYPE_IDENTIFIABLE","?REFERENTIAL"),"_")))))</f>
        <v> </v>
      </c>
      <c r="H6640" s="25" t="str">
        <f>IF(J6640&lt;&gt;1,"",IF(I6640="SBJ","CB","?"))</f>
        <v> </v>
      </c>
      <c r="I6640" s="26" t="str">
        <f>IF(OR(E6640="",E6640="!!!",F6640="NEW"),"",INDEX(B6639:B$2,-1+SUMPRODUCT(MAX(ROW(E6639:E$2)*(E6640=E6639:E$2)))))</f>
        <v> </v>
      </c>
      <c r="J6640" s="26" t="str">
        <f>IF(OR(E6640="",E6640="!!!",F6640="NEW"),"",COUNTBLANK(OFFSET(A$1,,,SUMPRODUCT(MAX(ROW(E$2:E6640)*(E6640=E$2:E6640)))))-COUNTBLANK(OFFSET(A$1,,,SUMPRODUCT(MAX(ROW(E$1:E6639)*(E2=E$1:E6639))))))</f>
        <v> </v>
      </c>
      <c r="K6640" s="26" t="str">
        <f>IF(OR(E6640="",E6640="!!!",F6640="NEW"),"",INDEX(J$1:J6639,SUMPRODUCT(MAX(ROW(E$1:E6639)*(E6640=E$1:E6639)))))</f>
        <v> </v>
      </c>
      <c r="L6640" s="27"/>
    </row>
    <row r="6641" spans="1:12">
      <c r="A6641" s="20" t="s">
        <v>1523</v>
      </c>
      <c r="E6641" s="22">
        <f>IF(D6641="?OLD","!!!","")</f>
        <v/>
      </c>
      <c r="F6641" s="23" t="str">
        <f>IF(OR(E6641="",E6641="!!!"),"",IF(NOT(ISNA(VLOOKUP(E6641,E$1:E6640,1,FALSE()))),"OLD",IF(AND(E6641&lt;&gt;"",E6641&lt;&gt;"!!!"),"NEW","")))</f>
        <v> </v>
      </c>
      <c r="G6641" s="24" t="str">
        <f>IF(OR(E6641="",E6641="!!!"),"",IF(OR(J6641=0,AND(J6641=1,K6641=1),AND(J6641=1,I6641="SBJ"),AND(J6641=1,I6641=0)),"?IN_FOCUS",IF(J6641&lt;=2,"?ACTIVATED",IF(J6641&lt;&gt;"","?FAMILIAR",IF(F6641="NEW",IF(ISNA(VLOOKUP(E6641,#REF!,1,FALSE())),"?TYPE_IDENTIFIABLE","?REFERENTIAL"),"_")))))</f>
        <v> </v>
      </c>
      <c r="H6641" s="25" t="str">
        <f>IF(J6641&lt;&gt;1,"",IF(I6641="SBJ","CB","?"))</f>
        <v> </v>
      </c>
      <c r="I6641" s="26" t="str">
        <f>IF(OR(E6641="",E6641="!!!",F6641="NEW"),"",INDEX(B6640:B$2,-1+SUMPRODUCT(MAX(ROW(E6640:E$2)*(E6641=E6640:E$2)))))</f>
        <v> </v>
      </c>
      <c r="J6641" s="26" t="str">
        <f>IF(OR(E6641="",E6641="!!!",F6641="NEW"),"",COUNTBLANK(OFFSET(A$1,,,SUMPRODUCT(MAX(ROW(E$2:E6641)*(E6641=E$2:E6641)))))-COUNTBLANK(OFFSET(A$1,,,SUMPRODUCT(MAX(ROW(E$1:E6640)*(E2=E$1:E6640))))))</f>
        <v> </v>
      </c>
      <c r="K6641" s="26" t="str">
        <f>IF(OR(E6641="",E6641="!!!",F6641="NEW"),"",INDEX(J$1:J6640,SUMPRODUCT(MAX(ROW(E$1:E6640)*(E6641=E$1:E6640)))))</f>
        <v> </v>
      </c>
      <c r="L6641" s="27"/>
    </row>
    <row r="6642" spans="1:12">
      <c r="A6642" s="20" t="s">
        <v>427</v>
      </c>
      <c r="B6642" s="21" t="s">
        <v>1304</v>
      </c>
      <c r="C6642" s="21" t="s">
        <v>1238</v>
      </c>
      <c r="D6642" s="21" t="s">
        <v>1180</v>
      </c>
      <c r="E6642" s="22">
        <f>IF(D6642="?OLD","!!!","")</f>
        <v/>
      </c>
      <c r="F6642" s="23" t="str">
        <f>IF(OR(E6642="",E6642="!!!"),"",IF(NOT(ISNA(VLOOKUP(E6642,E$1:E6641,1,FALSE()))),"OLD",IF(AND(E6642&lt;&gt;"",E6642&lt;&gt;"!!!"),"NEW","")))</f>
        <v> </v>
      </c>
      <c r="G6642" s="24" t="str">
        <f>IF(OR(E6642="",E6642="!!!"),"",IF(OR(J6642=0,AND(J6642=1,K6642=1),AND(J6642=1,I6642="SBJ"),AND(J6642=1,I6642=0)),"?IN_FOCUS",IF(J6642&lt;=2,"?ACTIVATED",IF(J6642&lt;&gt;"","?FAMILIAR",IF(F6642="NEW",IF(ISNA(VLOOKUP(E6642,#REF!,1,FALSE())),"?TYPE_IDENTIFIABLE","?REFERENTIAL"),"_")))))</f>
        <v> </v>
      </c>
      <c r="H6642" s="25" t="str">
        <f>IF(J6642&lt;&gt;1,"",IF(I6642="SBJ","CB","?"))</f>
        <v> </v>
      </c>
      <c r="I6642" s="26" t="str">
        <f>IF(OR(E6642="",E6642="!!!",F6642="NEW"),"",INDEX(B6641:B$2,-1+SUMPRODUCT(MAX(ROW(E6641:E$2)*(E6642=E6641:E$2)))))</f>
        <v> </v>
      </c>
      <c r="J6642" s="26" t="str">
        <f>IF(OR(E6642="",E6642="!!!",F6642="NEW"),"",COUNTBLANK(OFFSET(A$1,,,SUMPRODUCT(MAX(ROW(E$2:E6642)*(E6642=E$2:E6642)))))-COUNTBLANK(OFFSET(A$1,,,SUMPRODUCT(MAX(ROW(E$1:E6641)*(E2=E$1:E6641))))))</f>
        <v> </v>
      </c>
      <c r="K6642" s="26" t="str">
        <f>IF(OR(E6642="",E6642="!!!",F6642="NEW"),"",INDEX(J$1:J6641,SUMPRODUCT(MAX(ROW(E$1:E6641)*(E6642=E$1:E6641)))))</f>
        <v> </v>
      </c>
      <c r="L6642" s="27"/>
    </row>
    <row r="6643" spans="1:12">
      <c r="A6643" s="20" t="s">
        <v>1487</v>
      </c>
      <c r="E6643" s="22">
        <f>IF(D6643="?OLD","!!!","")</f>
        <v/>
      </c>
      <c r="F6643" s="23" t="str">
        <f>IF(OR(E6643="",E6643="!!!"),"",IF(NOT(ISNA(VLOOKUP(E6643,E$1:E6642,1,FALSE()))),"OLD",IF(AND(E6643&lt;&gt;"",E6643&lt;&gt;"!!!"),"NEW","")))</f>
        <v> </v>
      </c>
      <c r="G6643" s="24" t="str">
        <f>IF(OR(E6643="",E6643="!!!"),"",IF(OR(J6643=0,AND(J6643=1,K6643=1),AND(J6643=1,I6643="SBJ"),AND(J6643=1,I6643=0)),"?IN_FOCUS",IF(J6643&lt;=2,"?ACTIVATED",IF(J6643&lt;&gt;"","?FAMILIAR",IF(F6643="NEW",IF(ISNA(VLOOKUP(E6643,#REF!,1,FALSE())),"?TYPE_IDENTIFIABLE","?REFERENTIAL"),"_")))))</f>
        <v> </v>
      </c>
      <c r="H6643" s="25" t="str">
        <f>IF(J6643&lt;&gt;1,"",IF(I6643="SBJ","CB","?"))</f>
        <v> </v>
      </c>
      <c r="I6643" s="26" t="str">
        <f>IF(OR(E6643="",E6643="!!!",F6643="NEW"),"",INDEX(B6642:B$2,-1+SUMPRODUCT(MAX(ROW(E6642:E$2)*(E6643=E6642:E$2)))))</f>
        <v> </v>
      </c>
      <c r="J6643" s="26" t="str">
        <f>IF(OR(E6643="",E6643="!!!",F6643="NEW"),"",COUNTBLANK(OFFSET(A$1,,,SUMPRODUCT(MAX(ROW(E$2:E6643)*(E6643=E$2:E6643)))))-COUNTBLANK(OFFSET(A$1,,,SUMPRODUCT(MAX(ROW(E$1:E6642)*(E2=E$1:E6642))))))</f>
        <v> </v>
      </c>
      <c r="K6643" s="26" t="str">
        <f>IF(OR(E6643="",E6643="!!!",F6643="NEW"),"",INDEX(J$1:J6642,SUMPRODUCT(MAX(ROW(E$1:E6642)*(E6643=E$1:E6642)))))</f>
        <v> </v>
      </c>
      <c r="L6643" s="27"/>
    </row>
    <row r="6644" spans="1:12">
      <c r="A6644" s="20" t="s">
        <v>2938</v>
      </c>
      <c r="E6644" s="22">
        <f>IF(D6644="?OLD","!!!","")</f>
        <v/>
      </c>
      <c r="F6644" s="23" t="str">
        <f>IF(OR(E6644="",E6644="!!!"),"",IF(NOT(ISNA(VLOOKUP(E6644,E$1:E6643,1,FALSE()))),"OLD",IF(AND(E6644&lt;&gt;"",E6644&lt;&gt;"!!!"),"NEW","")))</f>
        <v> </v>
      </c>
      <c r="G6644" s="24" t="str">
        <f>IF(OR(E6644="",E6644="!!!"),"",IF(OR(J6644=0,AND(J6644=1,K6644=1),AND(J6644=1,I6644="SBJ"),AND(J6644=1,I6644=0)),"?IN_FOCUS",IF(J6644&lt;=2,"?ACTIVATED",IF(J6644&lt;&gt;"","?FAMILIAR",IF(F6644="NEW",IF(ISNA(VLOOKUP(E6644,#REF!,1,FALSE())),"?TYPE_IDENTIFIABLE","?REFERENTIAL"),"_")))))</f>
        <v> </v>
      </c>
      <c r="H6644" s="25" t="str">
        <f>IF(J6644&lt;&gt;1,"",IF(I6644="SBJ","CB","?"))</f>
        <v> </v>
      </c>
      <c r="I6644" s="26" t="str">
        <f>IF(OR(E6644="",E6644="!!!",F6644="NEW"),"",INDEX(B6643:B$2,-1+SUMPRODUCT(MAX(ROW(E6643:E$2)*(E6644=E6643:E$2)))))</f>
        <v> </v>
      </c>
      <c r="J6644" s="26" t="str">
        <f>IF(OR(E6644="",E6644="!!!",F6644="NEW"),"",COUNTBLANK(OFFSET(A$1,,,SUMPRODUCT(MAX(ROW(E$2:E6644)*(E6644=E$2:E6644)))))-COUNTBLANK(OFFSET(A$1,,,SUMPRODUCT(MAX(ROW(E$1:E6643)*(E2=E$1:E6643))))))</f>
        <v> </v>
      </c>
      <c r="K6644" s="26" t="str">
        <f>IF(OR(E6644="",E6644="!!!",F6644="NEW"),"",INDEX(J$1:J6643,SUMPRODUCT(MAX(ROW(E$1:E6643)*(E6644=E$1:E6643)))))</f>
        <v> </v>
      </c>
      <c r="L6644" s="27"/>
    </row>
    <row r="6645" spans="1:12">
      <c r="A6645" s="20" t="s">
        <v>1338</v>
      </c>
      <c r="B6645" s="21" t="s">
        <v>1306</v>
      </c>
      <c r="C6645" s="21" t="s">
        <v>1223</v>
      </c>
      <c r="E6645" s="22">
        <f>IF(D6645="?OLD","!!!","")</f>
        <v/>
      </c>
      <c r="F6645" s="23" t="str">
        <f>IF(OR(E6645="",E6645="!!!"),"",IF(NOT(ISNA(VLOOKUP(E6645,E$1:E6644,1,FALSE()))),"OLD",IF(AND(E6645&lt;&gt;"",E6645&lt;&gt;"!!!"),"NEW","")))</f>
        <v> </v>
      </c>
      <c r="G6645" s="24" t="str">
        <f>IF(OR(E6645="",E6645="!!!"),"",IF(OR(J6645=0,AND(J6645=1,K6645=1),AND(J6645=1,I6645="SBJ"),AND(J6645=1,I6645=0)),"?IN_FOCUS",IF(J6645&lt;=2,"?ACTIVATED",IF(J6645&lt;&gt;"","?FAMILIAR",IF(F6645="NEW",IF(ISNA(VLOOKUP(E6645,#REF!,1,FALSE())),"?TYPE_IDENTIFIABLE","?REFERENTIAL"),"_")))))</f>
        <v> </v>
      </c>
      <c r="H6645" s="25" t="str">
        <f>IF(J6645&lt;&gt;1,"",IF(I6645="SBJ","CB","?"))</f>
        <v> </v>
      </c>
      <c r="I6645" s="26" t="str">
        <f>IF(OR(E6645="",E6645="!!!",F6645="NEW"),"",INDEX(B6644:B$2,-1+SUMPRODUCT(MAX(ROW(E6644:E$2)*(E6645=E6644:E$2)))))</f>
        <v> </v>
      </c>
      <c r="J6645" s="26" t="str">
        <f>IF(OR(E6645="",E6645="!!!",F6645="NEW"),"",COUNTBLANK(OFFSET(A$1,,,SUMPRODUCT(MAX(ROW(E$2:E6645)*(E6645=E$2:E6645)))))-COUNTBLANK(OFFSET(A$1,,,SUMPRODUCT(MAX(ROW(E$1:E6644)*(E2=E$1:E6644))))))</f>
        <v> </v>
      </c>
      <c r="K6645" s="26" t="str">
        <f>IF(OR(E6645="",E6645="!!!",F6645="NEW"),"",INDEX(J$1:J6644,SUMPRODUCT(MAX(ROW(E$1:E6644)*(E6645=E$1:E6644)))))</f>
        <v> </v>
      </c>
      <c r="L6645" s="27"/>
    </row>
    <row r="6646" spans="1:12">
      <c r="A6646" s="20" t="s">
        <v>163</v>
      </c>
      <c r="E6646" s="22">
        <f>IF(D6646="?OLD","!!!","")</f>
        <v/>
      </c>
      <c r="F6646" s="23" t="str">
        <f>IF(OR(E6646="",E6646="!!!"),"",IF(NOT(ISNA(VLOOKUP(E6646,E$1:E6645,1,FALSE()))),"OLD",IF(AND(E6646&lt;&gt;"",E6646&lt;&gt;"!!!"),"NEW","")))</f>
        <v> </v>
      </c>
      <c r="G6646" s="24" t="str">
        <f>IF(OR(E6646="",E6646="!!!"),"",IF(OR(J6646=0,AND(J6646=1,K6646=1),AND(J6646=1,I6646="SBJ"),AND(J6646=1,I6646=0)),"?IN_FOCUS",IF(J6646&lt;=2,"?ACTIVATED",IF(J6646&lt;&gt;"","?FAMILIAR",IF(F6646="NEW",IF(ISNA(VLOOKUP(E6646,#REF!,1,FALSE())),"?TYPE_IDENTIFIABLE","?REFERENTIAL"),"_")))))</f>
        <v> </v>
      </c>
      <c r="H6646" s="25" t="str">
        <f>IF(J6646&lt;&gt;1,"",IF(I6646="SBJ","CB","?"))</f>
        <v> </v>
      </c>
      <c r="I6646" s="26" t="str">
        <f>IF(OR(E6646="",E6646="!!!",F6646="NEW"),"",INDEX(B6645:B$2,-1+SUMPRODUCT(MAX(ROW(E6645:E$2)*(E6646=E6645:E$2)))))</f>
        <v> </v>
      </c>
      <c r="J6646" s="26" t="str">
        <f>IF(OR(E6646="",E6646="!!!",F6646="NEW"),"",COUNTBLANK(OFFSET(A$1,,,SUMPRODUCT(MAX(ROW(E$2:E6646)*(E6646=E$2:E6646)))))-COUNTBLANK(OFFSET(A$1,,,SUMPRODUCT(MAX(ROW(E$1:E6645)*(E2=E$1:E6645))))))</f>
        <v> </v>
      </c>
      <c r="K6646" s="26" t="str">
        <f>IF(OR(E6646="",E6646="!!!",F6646="NEW"),"",INDEX(J$1:J6645,SUMPRODUCT(MAX(ROW(E$1:E6645)*(E6646=E$1:E6645)))))</f>
        <v> </v>
      </c>
      <c r="L6646" s="27"/>
    </row>
    <row r="6647" spans="1:12">
      <c r="A6647" s="20" t="s">
        <v>1295</v>
      </c>
      <c r="E6647" s="22">
        <f>IF(D6647="?OLD","!!!","")</f>
        <v/>
      </c>
      <c r="F6647" s="23" t="str">
        <f>IF(OR(E6647="",E6647="!!!"),"",IF(NOT(ISNA(VLOOKUP(E6647,E$1:E6646,1,FALSE()))),"OLD",IF(AND(E6647&lt;&gt;"",E6647&lt;&gt;"!!!"),"NEW","")))</f>
        <v> </v>
      </c>
      <c r="G6647" s="24" t="str">
        <f>IF(OR(E6647="",E6647="!!!"),"",IF(OR(J6647=0,AND(J6647=1,K6647=1),AND(J6647=1,I6647="SBJ"),AND(J6647=1,I6647=0)),"?IN_FOCUS",IF(J6647&lt;=2,"?ACTIVATED",IF(J6647&lt;&gt;"","?FAMILIAR",IF(F6647="NEW",IF(ISNA(VLOOKUP(E6647,#REF!,1,FALSE())),"?TYPE_IDENTIFIABLE","?REFERENTIAL"),"_")))))</f>
        <v> </v>
      </c>
      <c r="H6647" s="25" t="str">
        <f>IF(J6647&lt;&gt;1,"",IF(I6647="SBJ","CB","?"))</f>
        <v> </v>
      </c>
      <c r="I6647" s="26" t="str">
        <f>IF(OR(E6647="",E6647="!!!",F6647="NEW"),"",INDEX(B6646:B$2,-1+SUMPRODUCT(MAX(ROW(E6646:E$2)*(E6647=E6646:E$2)))))</f>
        <v> </v>
      </c>
      <c r="J6647" s="26" t="str">
        <f>IF(OR(E6647="",E6647="!!!",F6647="NEW"),"",COUNTBLANK(OFFSET(A$1,,,SUMPRODUCT(MAX(ROW(E$2:E6647)*(E6647=E$2:E6647)))))-COUNTBLANK(OFFSET(A$1,,,SUMPRODUCT(MAX(ROW(E$1:E6646)*(E2=E$1:E6646))))))</f>
        <v> </v>
      </c>
      <c r="K6647" s="26" t="str">
        <f>IF(OR(E6647="",E6647="!!!",F6647="NEW"),"",INDEX(J$1:J6646,SUMPRODUCT(MAX(ROW(E$1:E6646)*(E6647=E$1:E6646)))))</f>
        <v> </v>
      </c>
      <c r="L6647" s="27"/>
    </row>
    <row r="6648" spans="1:12">
      <c r="A6648" s="20" t="s">
        <v>1876</v>
      </c>
      <c r="B6648" s="21" t="s">
        <v>1207</v>
      </c>
      <c r="C6648" s="21" t="s">
        <v>1184</v>
      </c>
      <c r="E6648" s="22">
        <f>IF(D6648="?OLD","!!!","")</f>
        <v/>
      </c>
      <c r="F6648" s="23" t="str">
        <f>IF(OR(E6648="",E6648="!!!"),"",IF(NOT(ISNA(VLOOKUP(E6648,E$1:E6647,1,FALSE()))),"OLD",IF(AND(E6648&lt;&gt;"",E6648&lt;&gt;"!!!"),"NEW","")))</f>
        <v> </v>
      </c>
      <c r="G6648" s="24" t="str">
        <f>IF(OR(E6648="",E6648="!!!"),"",IF(OR(J6648=0,AND(J6648=1,K6648=1),AND(J6648=1,I6648="SBJ"),AND(J6648=1,I6648=0)),"?IN_FOCUS",IF(J6648&lt;=2,"?ACTIVATED",IF(J6648&lt;&gt;"","?FAMILIAR",IF(F6648="NEW",IF(ISNA(VLOOKUP(E6648,#REF!,1,FALSE())),"?TYPE_IDENTIFIABLE","?REFERENTIAL"),"_")))))</f>
        <v> </v>
      </c>
      <c r="H6648" s="25" t="str">
        <f>IF(J6648&lt;&gt;1,"",IF(I6648="SBJ","CB","?"))</f>
        <v> </v>
      </c>
      <c r="I6648" s="26" t="str">
        <f>IF(OR(E6648="",E6648="!!!",F6648="NEW"),"",INDEX(B6647:B$2,-1+SUMPRODUCT(MAX(ROW(E6647:E$2)*(E6648=E6647:E$2)))))</f>
        <v> </v>
      </c>
      <c r="J6648" s="26" t="str">
        <f>IF(OR(E6648="",E6648="!!!",F6648="NEW"),"",COUNTBLANK(OFFSET(A$1,,,SUMPRODUCT(MAX(ROW(E$2:E6648)*(E6648=E$2:E6648)))))-COUNTBLANK(OFFSET(A$1,,,SUMPRODUCT(MAX(ROW(E$1:E6647)*(E2=E$1:E6647))))))</f>
        <v> </v>
      </c>
      <c r="K6648" s="26" t="str">
        <f>IF(OR(E6648="",E6648="!!!",F6648="NEW"),"",INDEX(J$1:J6647,SUMPRODUCT(MAX(ROW(E$1:E6647)*(E6648=E$1:E6647)))))</f>
        <v> </v>
      </c>
      <c r="L6648" s="27"/>
    </row>
    <row r="6649" spans="1:12">
      <c r="A6649" s="20" t="s">
        <v>818</v>
      </c>
      <c r="E6649" s="22">
        <f>IF(D6649="?OLD","!!!","")</f>
        <v/>
      </c>
      <c r="F6649" s="23" t="str">
        <f>IF(OR(E6649="",E6649="!!!"),"",IF(NOT(ISNA(VLOOKUP(E6649,E$1:E6648,1,FALSE()))),"OLD",IF(AND(E6649&lt;&gt;"",E6649&lt;&gt;"!!!"),"NEW","")))</f>
        <v> </v>
      </c>
      <c r="G6649" s="24" t="str">
        <f>IF(OR(E6649="",E6649="!!!"),"",IF(OR(J6649=0,AND(J6649=1,K6649=1),AND(J6649=1,I6649="SBJ"),AND(J6649=1,I6649=0)),"?IN_FOCUS",IF(J6649&lt;=2,"?ACTIVATED",IF(J6649&lt;&gt;"","?FAMILIAR",IF(F6649="NEW",IF(ISNA(VLOOKUP(E6649,#REF!,1,FALSE())),"?TYPE_IDENTIFIABLE","?REFERENTIAL"),"_")))))</f>
        <v> </v>
      </c>
      <c r="H6649" s="25" t="str">
        <f>IF(J6649&lt;&gt;1,"",IF(I6649="SBJ","CB","?"))</f>
        <v> </v>
      </c>
      <c r="I6649" s="26" t="str">
        <f>IF(OR(E6649="",E6649="!!!",F6649="NEW"),"",INDEX(B6648:B$2,-1+SUMPRODUCT(MAX(ROW(E6648:E$2)*(E6649=E6648:E$2)))))</f>
        <v> </v>
      </c>
      <c r="J6649" s="26" t="str">
        <f>IF(OR(E6649="",E6649="!!!",F6649="NEW"),"",COUNTBLANK(OFFSET(A$1,,,SUMPRODUCT(MAX(ROW(E$2:E6649)*(E6649=E$2:E6649)))))-COUNTBLANK(OFFSET(A$1,,,SUMPRODUCT(MAX(ROW(E$1:E6648)*(E2=E$1:E6648))))))</f>
        <v> </v>
      </c>
      <c r="K6649" s="26" t="str">
        <f>IF(OR(E6649="",E6649="!!!",F6649="NEW"),"",INDEX(J$1:J6648,SUMPRODUCT(MAX(ROW(E$1:E6648)*(E6649=E$1:E6648)))))</f>
        <v> </v>
      </c>
      <c r="L6649" s="27"/>
    </row>
    <row r="6650" spans="1:12">
      <c r="A6650" s="20"/>
    </row>
    <row r="6651" spans="1:12">
      <c r="A6651" s="20" t="s">
        <v>2939</v>
      </c>
    </row>
    <row r="6652" spans="1:12">
      <c r="A6652" s="20" t="s">
        <v>1193</v>
      </c>
      <c r="B6652" s="21" t="s">
        <v>1194</v>
      </c>
      <c r="C6652" s="21" t="s">
        <v>1195</v>
      </c>
      <c r="D6652" s="21" t="s">
        <v>1180</v>
      </c>
      <c r="E6652" s="22">
        <f>IF(D6652="?OLD","!!!","")</f>
        <v/>
      </c>
      <c r="F6652" s="23" t="str">
        <f>IF(OR(E6652="",E6652="!!!"),"",IF(NOT(ISNA(VLOOKUP(E6652,E$1:E6651,1,FALSE()))),"OLD",IF(AND(E6652&lt;&gt;"",E6652&lt;&gt;"!!!"),"NEW","")))</f>
        <v> </v>
      </c>
      <c r="G6652" s="24" t="str">
        <f>IF(OR(E6652="",E6652="!!!"),"",IF(OR(J6652=0,AND(J6652=1,K6652=1),AND(J6652=1,I6652="SBJ"),AND(J6652=1,I6652=0)),"?IN_FOCUS",IF(J6652&lt;=2,"?ACTIVATED",IF(J6652&lt;&gt;"","?FAMILIAR",IF(F6652="NEW",IF(ISNA(VLOOKUP(E6652,#REF!,1,FALSE())),"?TYPE_IDENTIFIABLE","?REFERENTIAL"),"_")))))</f>
        <v> </v>
      </c>
      <c r="H6652" s="25" t="str">
        <f>IF(J6652&lt;&gt;1,"",IF(I6652="SBJ","CB","?"))</f>
        <v> </v>
      </c>
      <c r="I6652" s="26" t="str">
        <f>IF(OR(E6652="",E6652="!!!",F6652="NEW"),"",INDEX(B6651:B$2,-1+SUMPRODUCT(MAX(ROW(E6651:E$2)*(E6652=E6651:E$2)))))</f>
        <v> </v>
      </c>
      <c r="J6652" s="26" t="str">
        <f>IF(OR(E6652="",E6652="!!!",F6652="NEW"),"",COUNTBLANK(OFFSET(A$1,,,SUMPRODUCT(MAX(ROW(E$2:E6652)*(E6652=E$2:E6652)))))-COUNTBLANK(OFFSET(A$1,,,SUMPRODUCT(MAX(ROW(E$1:E6651)*(E2=E$1:E6651))))))</f>
        <v> </v>
      </c>
      <c r="K6652" s="26" t="str">
        <f>IF(OR(E6652="",E6652="!!!",F6652="NEW"),"",INDEX(J$1:J6651,SUMPRODUCT(MAX(ROW(E$1:E6651)*(E6652=E$1:E6651)))))</f>
        <v> </v>
      </c>
      <c r="L6652" s="27"/>
    </row>
    <row r="6653" spans="1:12">
      <c r="A6653" s="20" t="s">
        <v>2940</v>
      </c>
      <c r="E6653" s="22">
        <f>IF(D6653="?OLD","!!!","")</f>
        <v/>
      </c>
      <c r="F6653" s="23" t="str">
        <f>IF(OR(E6653="",E6653="!!!"),"",IF(NOT(ISNA(VLOOKUP(E6653,E$1:E6652,1,FALSE()))),"OLD",IF(AND(E6653&lt;&gt;"",E6653&lt;&gt;"!!!"),"NEW","")))</f>
        <v> </v>
      </c>
      <c r="G6653" s="24" t="str">
        <f>IF(OR(E6653="",E6653="!!!"),"",IF(OR(J6653=0,AND(J6653=1,K6653=1),AND(J6653=1,I6653="SBJ"),AND(J6653=1,I6653=0)),"?IN_FOCUS",IF(J6653&lt;=2,"?ACTIVATED",IF(J6653&lt;&gt;"","?FAMILIAR",IF(F6653="NEW",IF(ISNA(VLOOKUP(E6653,#REF!,1,FALSE())),"?TYPE_IDENTIFIABLE","?REFERENTIAL"),"_")))))</f>
        <v> </v>
      </c>
      <c r="H6653" s="25" t="str">
        <f>IF(J6653&lt;&gt;1,"",IF(I6653="SBJ","CB","?"))</f>
        <v> </v>
      </c>
      <c r="I6653" s="26" t="str">
        <f>IF(OR(E6653="",E6653="!!!",F6653="NEW"),"",INDEX(B6652:B$2,-1+SUMPRODUCT(MAX(ROW(E6652:E$2)*(E6653=E6652:E$2)))))</f>
        <v> </v>
      </c>
      <c r="J6653" s="26" t="str">
        <f>IF(OR(E6653="",E6653="!!!",F6653="NEW"),"",COUNTBLANK(OFFSET(A$1,,,SUMPRODUCT(MAX(ROW(E$2:E6653)*(E6653=E$2:E6653)))))-COUNTBLANK(OFFSET(A$1,,,SUMPRODUCT(MAX(ROW(E$1:E6652)*(E2=E$1:E6652))))))</f>
        <v> </v>
      </c>
      <c r="K6653" s="26" t="str">
        <f>IF(OR(E6653="",E6653="!!!",F6653="NEW"),"",INDEX(J$1:J6652,SUMPRODUCT(MAX(ROW(E$1:E6652)*(E6653=E$1:E6652)))))</f>
        <v> </v>
      </c>
      <c r="L6653" s="27"/>
    </row>
    <row r="6654" spans="1:12">
      <c r="A6654" s="20" t="s">
        <v>1305</v>
      </c>
      <c r="B6654" s="21" t="s">
        <v>1204</v>
      </c>
      <c r="E6654" s="22">
        <f>IF(D6654="?OLD","!!!","")</f>
        <v/>
      </c>
      <c r="F6654" s="23" t="str">
        <f>IF(OR(E6654="",E6654="!!!"),"",IF(NOT(ISNA(VLOOKUP(E6654,E$1:E6653,1,FALSE()))),"OLD",IF(AND(E6654&lt;&gt;"",E6654&lt;&gt;"!!!"),"NEW","")))</f>
        <v> </v>
      </c>
      <c r="G6654" s="24" t="str">
        <f>IF(OR(E6654="",E6654="!!!"),"",IF(OR(J6654=0,AND(J6654=1,K6654=1),AND(J6654=1,I6654="SBJ"),AND(J6654=1,I6654=0)),"?IN_FOCUS",IF(J6654&lt;=2,"?ACTIVATED",IF(J6654&lt;&gt;"","?FAMILIAR",IF(F6654="NEW",IF(ISNA(VLOOKUP(E6654,#REF!,1,FALSE())),"?TYPE_IDENTIFIABLE","?REFERENTIAL"),"_")))))</f>
        <v> </v>
      </c>
      <c r="H6654" s="25" t="str">
        <f>IF(J6654&lt;&gt;1,"",IF(I6654="SBJ","CB","?"))</f>
        <v> </v>
      </c>
      <c r="I6654" s="26" t="str">
        <f>IF(OR(E6654="",E6654="!!!",F6654="NEW"),"",INDEX(B6653:B$2,-1+SUMPRODUCT(MAX(ROW(E6653:E$2)*(E6654=E6653:E$2)))))</f>
        <v> </v>
      </c>
      <c r="J6654" s="26" t="str">
        <f>IF(OR(E6654="",E6654="!!!",F6654="NEW"),"",COUNTBLANK(OFFSET(A$1,,,SUMPRODUCT(MAX(ROW(E$2:E6654)*(E6654=E$2:E6654)))))-COUNTBLANK(OFFSET(A$1,,,SUMPRODUCT(MAX(ROW(E$1:E6653)*(E2=E$1:E6653))))))</f>
        <v> </v>
      </c>
      <c r="K6654" s="26" t="str">
        <f>IF(OR(E6654="",E6654="!!!",F6654="NEW"),"",INDEX(J$1:J6653,SUMPRODUCT(MAX(ROW(E$1:E6653)*(E6654=E$1:E6653)))))</f>
        <v> </v>
      </c>
      <c r="L6654" s="27"/>
    </row>
    <row r="6655" spans="1:12">
      <c r="A6655" s="20" t="s">
        <v>2069</v>
      </c>
      <c r="E6655" s="22">
        <f>IF(D6655="?OLD","!!!","")</f>
        <v/>
      </c>
      <c r="F6655" s="23" t="str">
        <f>IF(OR(E6655="",E6655="!!!"),"",IF(NOT(ISNA(VLOOKUP(E6655,E$1:E6654,1,FALSE()))),"OLD",IF(AND(E6655&lt;&gt;"",E6655&lt;&gt;"!!!"),"NEW","")))</f>
        <v> </v>
      </c>
      <c r="G6655" s="24" t="str">
        <f>IF(OR(E6655="",E6655="!!!"),"",IF(OR(J6655=0,AND(J6655=1,K6655=1),AND(J6655=1,I6655="SBJ"),AND(J6655=1,I6655=0)),"?IN_FOCUS",IF(J6655&lt;=2,"?ACTIVATED",IF(J6655&lt;&gt;"","?FAMILIAR",IF(F6655="NEW",IF(ISNA(VLOOKUP(E6655,#REF!,1,FALSE())),"?TYPE_IDENTIFIABLE","?REFERENTIAL"),"_")))))</f>
        <v> </v>
      </c>
      <c r="H6655" s="25" t="str">
        <f>IF(J6655&lt;&gt;1,"",IF(I6655="SBJ","CB","?"))</f>
        <v> </v>
      </c>
      <c r="I6655" s="26" t="str">
        <f>IF(OR(E6655="",E6655="!!!",F6655="NEW"),"",INDEX(B6654:B$2,-1+SUMPRODUCT(MAX(ROW(E6654:E$2)*(E6655=E6654:E$2)))))</f>
        <v> </v>
      </c>
      <c r="J6655" s="26" t="str">
        <f>IF(OR(E6655="",E6655="!!!",F6655="NEW"),"",COUNTBLANK(OFFSET(A$1,,,SUMPRODUCT(MAX(ROW(E$2:E6655)*(E6655=E$2:E6655)))))-COUNTBLANK(OFFSET(A$1,,,SUMPRODUCT(MAX(ROW(E$1:E6654)*(E2=E$1:E6654))))))</f>
        <v> </v>
      </c>
      <c r="K6655" s="26" t="str">
        <f>IF(OR(E6655="",E6655="!!!",F6655="NEW"),"",INDEX(J$1:J6654,SUMPRODUCT(MAX(ROW(E$1:E6654)*(E6655=E$1:E6654)))))</f>
        <v> </v>
      </c>
      <c r="L6655" s="27"/>
    </row>
    <row r="6656" spans="1:12">
      <c r="A6656" s="20" t="s">
        <v>1185</v>
      </c>
      <c r="E6656" s="22">
        <f>IF(D6656="?OLD","!!!","")</f>
        <v/>
      </c>
      <c r="F6656" s="23" t="str">
        <f>IF(OR(E6656="",E6656="!!!"),"",IF(NOT(ISNA(VLOOKUP(E6656,E$1:E6655,1,FALSE()))),"OLD",IF(AND(E6656&lt;&gt;"",E6656&lt;&gt;"!!!"),"NEW","")))</f>
        <v> </v>
      </c>
      <c r="G6656" s="24" t="str">
        <f>IF(OR(E6656="",E6656="!!!"),"",IF(OR(J6656=0,AND(J6656=1,K6656=1),AND(J6656=1,I6656="SBJ"),AND(J6656=1,I6656=0)),"?IN_FOCUS",IF(J6656&lt;=2,"?ACTIVATED",IF(J6656&lt;&gt;"","?FAMILIAR",IF(F6656="NEW",IF(ISNA(VLOOKUP(E6656,#REF!,1,FALSE())),"?TYPE_IDENTIFIABLE","?REFERENTIAL"),"_")))))</f>
        <v> </v>
      </c>
      <c r="H6656" s="25" t="str">
        <f>IF(J6656&lt;&gt;1,"",IF(I6656="SBJ","CB","?"))</f>
        <v> </v>
      </c>
      <c r="I6656" s="26" t="str">
        <f>IF(OR(E6656="",E6656="!!!",F6656="NEW"),"",INDEX(B6655:B$2,-1+SUMPRODUCT(MAX(ROW(E6655:E$2)*(E6656=E6655:E$2)))))</f>
        <v> </v>
      </c>
      <c r="J6656" s="26" t="str">
        <f>IF(OR(E6656="",E6656="!!!",F6656="NEW"),"",COUNTBLANK(OFFSET(A$1,,,SUMPRODUCT(MAX(ROW(E$2:E6656)*(E6656=E$2:E6656)))))-COUNTBLANK(OFFSET(A$1,,,SUMPRODUCT(MAX(ROW(E$1:E6655)*(E2=E$1:E6655))))))</f>
        <v> </v>
      </c>
      <c r="K6656" s="26" t="str">
        <f>IF(OR(E6656="",E6656="!!!",F6656="NEW"),"",INDEX(J$1:J6655,SUMPRODUCT(MAX(ROW(E$1:E6655)*(E6656=E$1:E6655)))))</f>
        <v> </v>
      </c>
      <c r="L6656" s="27"/>
    </row>
    <row r="6657" spans="1:12">
      <c r="A6657" s="20" t="s">
        <v>1293</v>
      </c>
      <c r="E6657" s="22">
        <f>IF(D6657="?OLD","!!!","")</f>
        <v/>
      </c>
      <c r="F6657" s="23" t="str">
        <f>IF(OR(E6657="",E6657="!!!"),"",IF(NOT(ISNA(VLOOKUP(E6657,E$1:E6656,1,FALSE()))),"OLD",IF(AND(E6657&lt;&gt;"",E6657&lt;&gt;"!!!"),"NEW","")))</f>
        <v> </v>
      </c>
      <c r="G6657" s="24" t="str">
        <f>IF(OR(E6657="",E6657="!!!"),"",IF(OR(J6657=0,AND(J6657=1,K6657=1),AND(J6657=1,I6657="SBJ"),AND(J6657=1,I6657=0)),"?IN_FOCUS",IF(J6657&lt;=2,"?ACTIVATED",IF(J6657&lt;&gt;"","?FAMILIAR",IF(F6657="NEW",IF(ISNA(VLOOKUP(E6657,#REF!,1,FALSE())),"?TYPE_IDENTIFIABLE","?REFERENTIAL"),"_")))))</f>
        <v> </v>
      </c>
      <c r="H6657" s="25" t="str">
        <f>IF(J6657&lt;&gt;1,"",IF(I6657="SBJ","CB","?"))</f>
        <v> </v>
      </c>
      <c r="I6657" s="26" t="str">
        <f>IF(OR(E6657="",E6657="!!!",F6657="NEW"),"",INDEX(B6656:B$2,-1+SUMPRODUCT(MAX(ROW(E6656:E$2)*(E6657=E6656:E$2)))))</f>
        <v> </v>
      </c>
      <c r="J6657" s="26" t="str">
        <f>IF(OR(E6657="",E6657="!!!",F6657="NEW"),"",COUNTBLANK(OFFSET(A$1,,,SUMPRODUCT(MAX(ROW(E$2:E6657)*(E6657=E$2:E6657)))))-COUNTBLANK(OFFSET(A$1,,,SUMPRODUCT(MAX(ROW(E$1:E6656)*(E2=E$1:E6656))))))</f>
        <v> </v>
      </c>
      <c r="K6657" s="26" t="str">
        <f>IF(OR(E6657="",E6657="!!!",F6657="NEW"),"",INDEX(J$1:J6656,SUMPRODUCT(MAX(ROW(E$1:E6656)*(E6657=E$1:E6656)))))</f>
        <v> </v>
      </c>
      <c r="L6657" s="27"/>
    </row>
    <row r="6658" spans="1:12">
      <c r="A6658" s="20" t="s">
        <v>2941</v>
      </c>
      <c r="B6658" s="21" t="s">
        <v>1237</v>
      </c>
      <c r="C6658" s="21" t="s">
        <v>1254</v>
      </c>
      <c r="E6658" s="22">
        <f>IF(D6658="?OLD","!!!","")</f>
        <v/>
      </c>
      <c r="F6658" s="23" t="str">
        <f>IF(OR(E6658="",E6658="!!!"),"",IF(NOT(ISNA(VLOOKUP(E6658,E$1:E6657,1,FALSE()))),"OLD",IF(AND(E6658&lt;&gt;"",E6658&lt;&gt;"!!!"),"NEW","")))</f>
        <v> </v>
      </c>
      <c r="G6658" s="24" t="str">
        <f>IF(OR(E6658="",E6658="!!!"),"",IF(OR(J6658=0,AND(J6658=1,K6658=1),AND(J6658=1,I6658="SBJ"),AND(J6658=1,I6658=0)),"?IN_FOCUS",IF(J6658&lt;=2,"?ACTIVATED",IF(J6658&lt;&gt;"","?FAMILIAR",IF(F6658="NEW",IF(ISNA(VLOOKUP(E6658,#REF!,1,FALSE())),"?TYPE_IDENTIFIABLE","?REFERENTIAL"),"_")))))</f>
        <v> </v>
      </c>
      <c r="H6658" s="25" t="str">
        <f>IF(J6658&lt;&gt;1,"",IF(I6658="SBJ","CB","?"))</f>
        <v> </v>
      </c>
      <c r="I6658" s="26" t="str">
        <f>IF(OR(E6658="",E6658="!!!",F6658="NEW"),"",INDEX(B6657:B$2,-1+SUMPRODUCT(MAX(ROW(E6657:E$2)*(E6658=E6657:E$2)))))</f>
        <v> </v>
      </c>
      <c r="J6658" s="26" t="str">
        <f>IF(OR(E6658="",E6658="!!!",F6658="NEW"),"",COUNTBLANK(OFFSET(A$1,,,SUMPRODUCT(MAX(ROW(E$2:E6658)*(E6658=E$2:E6658)))))-COUNTBLANK(OFFSET(A$1,,,SUMPRODUCT(MAX(ROW(E$1:E6657)*(E2=E$1:E6657))))))</f>
        <v> </v>
      </c>
      <c r="K6658" s="26" t="str">
        <f>IF(OR(E6658="",E6658="!!!",F6658="NEW"),"",INDEX(J$1:J6657,SUMPRODUCT(MAX(ROW(E$1:E6657)*(E6658=E$1:E6657)))))</f>
        <v> </v>
      </c>
      <c r="L6658" s="27"/>
    </row>
    <row r="6659" spans="1:12">
      <c r="A6659" s="20" t="s">
        <v>1224</v>
      </c>
      <c r="E6659" s="22">
        <f>IF(D6659="?OLD","!!!","")</f>
        <v/>
      </c>
      <c r="F6659" s="23" t="str">
        <f>IF(OR(E6659="",E6659="!!!"),"",IF(NOT(ISNA(VLOOKUP(E6659,E$1:E6658,1,FALSE()))),"OLD",IF(AND(E6659&lt;&gt;"",E6659&lt;&gt;"!!!"),"NEW","")))</f>
        <v> </v>
      </c>
      <c r="G6659" s="24" t="str">
        <f>IF(OR(E6659="",E6659="!!!"),"",IF(OR(J6659=0,AND(J6659=1,K6659=1),AND(J6659=1,I6659="SBJ"),AND(J6659=1,I6659=0)),"?IN_FOCUS",IF(J6659&lt;=2,"?ACTIVATED",IF(J6659&lt;&gt;"","?FAMILIAR",IF(F6659="NEW",IF(ISNA(VLOOKUP(E6659,#REF!,1,FALSE())),"?TYPE_IDENTIFIABLE","?REFERENTIAL"),"_")))))</f>
        <v> </v>
      </c>
      <c r="H6659" s="25" t="str">
        <f>IF(J6659&lt;&gt;1,"",IF(I6659="SBJ","CB","?"))</f>
        <v> </v>
      </c>
      <c r="I6659" s="26" t="str">
        <f>IF(OR(E6659="",E6659="!!!",F6659="NEW"),"",INDEX(B6658:B$2,-1+SUMPRODUCT(MAX(ROW(E6658:E$2)*(E6659=E6658:E$2)))))</f>
        <v> </v>
      </c>
      <c r="J6659" s="26" t="str">
        <f>IF(OR(E6659="",E6659="!!!",F6659="NEW"),"",COUNTBLANK(OFFSET(A$1,,,SUMPRODUCT(MAX(ROW(E$2:E6659)*(E6659=E$2:E6659)))))-COUNTBLANK(OFFSET(A$1,,,SUMPRODUCT(MAX(ROW(E$1:E6658)*(E2=E$1:E6658))))))</f>
        <v> </v>
      </c>
      <c r="K6659" s="26" t="str">
        <f>IF(OR(E6659="",E6659="!!!",F6659="NEW"),"",INDEX(J$1:J6658,SUMPRODUCT(MAX(ROW(E$1:E6658)*(E6659=E$1:E6658)))))</f>
        <v> </v>
      </c>
      <c r="L6659" s="27"/>
    </row>
    <row r="6660" spans="1:12">
      <c r="A6660" s="20" t="s">
        <v>1198</v>
      </c>
      <c r="E6660" s="22">
        <f>IF(D6660="?OLD","!!!","")</f>
        <v/>
      </c>
      <c r="F6660" s="23" t="str">
        <f>IF(OR(E6660="",E6660="!!!"),"",IF(NOT(ISNA(VLOOKUP(E6660,E$1:E6659,1,FALSE()))),"OLD",IF(AND(E6660&lt;&gt;"",E6660&lt;&gt;"!!!"),"NEW","")))</f>
        <v> </v>
      </c>
      <c r="G6660" s="24" t="str">
        <f>IF(OR(E6660="",E6660="!!!"),"",IF(OR(J6660=0,AND(J6660=1,K6660=1),AND(J6660=1,I6660="SBJ"),AND(J6660=1,I6660=0)),"?IN_FOCUS",IF(J6660&lt;=2,"?ACTIVATED",IF(J6660&lt;&gt;"","?FAMILIAR",IF(F6660="NEW",IF(ISNA(VLOOKUP(E6660,#REF!,1,FALSE())),"?TYPE_IDENTIFIABLE","?REFERENTIAL"),"_")))))</f>
        <v> </v>
      </c>
      <c r="H6660" s="25" t="str">
        <f>IF(J6660&lt;&gt;1,"",IF(I6660="SBJ","CB","?"))</f>
        <v> </v>
      </c>
      <c r="I6660" s="26" t="str">
        <f>IF(OR(E6660="",E6660="!!!",F6660="NEW"),"",INDEX(B6659:B$2,-1+SUMPRODUCT(MAX(ROW(E6659:E$2)*(E6660=E6659:E$2)))))</f>
        <v> </v>
      </c>
      <c r="J6660" s="26" t="str">
        <f>IF(OR(E6660="",E6660="!!!",F6660="NEW"),"",COUNTBLANK(OFFSET(A$1,,,SUMPRODUCT(MAX(ROW(E$2:E6660)*(E6660=E$2:E6660)))))-COUNTBLANK(OFFSET(A$1,,,SUMPRODUCT(MAX(ROW(E$1:E6659)*(E2=E$1:E6659))))))</f>
        <v> </v>
      </c>
      <c r="K6660" s="26" t="str">
        <f>IF(OR(E6660="",E6660="!!!",F6660="NEW"),"",INDEX(J$1:J6659,SUMPRODUCT(MAX(ROW(E$1:E6659)*(E6660=E$1:E6659)))))</f>
        <v> </v>
      </c>
      <c r="L6660" s="27"/>
    </row>
    <row r="6661" spans="1:12">
      <c r="A6661" s="20" t="s">
        <v>1329</v>
      </c>
      <c r="B6661" s="21" t="s">
        <v>1207</v>
      </c>
      <c r="C6661" s="21" t="s">
        <v>1188</v>
      </c>
      <c r="D6661" s="21" t="s">
        <v>1180</v>
      </c>
      <c r="E6661" s="22">
        <f>IF(D6661="?OLD","!!!","")</f>
        <v/>
      </c>
      <c r="F6661" s="23" t="str">
        <f>IF(OR(E6661="",E6661="!!!"),"",IF(NOT(ISNA(VLOOKUP(E6661,E$1:E6660,1,FALSE()))),"OLD",IF(AND(E6661&lt;&gt;"",E6661&lt;&gt;"!!!"),"NEW","")))</f>
        <v> </v>
      </c>
      <c r="G6661" s="24" t="str">
        <f>IF(OR(E6661="",E6661="!!!"),"",IF(OR(J6661=0,AND(J6661=1,K6661=1),AND(J6661=1,I6661="SBJ"),AND(J6661=1,I6661=0)),"?IN_FOCUS",IF(J6661&lt;=2,"?ACTIVATED",IF(J6661&lt;&gt;"","?FAMILIAR",IF(F6661="NEW",IF(ISNA(VLOOKUP(E6661,#REF!,1,FALSE())),"?TYPE_IDENTIFIABLE","?REFERENTIAL"),"_")))))</f>
        <v> </v>
      </c>
      <c r="H6661" s="25" t="str">
        <f>IF(J6661&lt;&gt;1,"",IF(I6661="SBJ","CB","?"))</f>
        <v> </v>
      </c>
      <c r="I6661" s="26" t="str">
        <f>IF(OR(E6661="",E6661="!!!",F6661="NEW"),"",INDEX(B6660:B$2,-1+SUMPRODUCT(MAX(ROW(E6660:E$2)*(E6661=E6660:E$2)))))</f>
        <v> </v>
      </c>
      <c r="J6661" s="26" t="str">
        <f>IF(OR(E6661="",E6661="!!!",F6661="NEW"),"",COUNTBLANK(OFFSET(A$1,,,SUMPRODUCT(MAX(ROW(E$2:E6661)*(E6661=E$2:E6661)))))-COUNTBLANK(OFFSET(A$1,,,SUMPRODUCT(MAX(ROW(E$1:E6660)*(E2=E$1:E6660))))))</f>
        <v> </v>
      </c>
      <c r="K6661" s="26" t="str">
        <f>IF(OR(E6661="",E6661="!!!",F6661="NEW"),"",INDEX(J$1:J6660,SUMPRODUCT(MAX(ROW(E$1:E6660)*(E6661=E$1:E6660)))))</f>
        <v> </v>
      </c>
      <c r="L6661" s="27"/>
    </row>
    <row r="6662" spans="1:12">
      <c r="A6662" s="20" t="s">
        <v>2942</v>
      </c>
      <c r="E6662" s="22">
        <f>IF(D6662="?OLD","!!!","")</f>
        <v/>
      </c>
      <c r="F6662" s="23" t="str">
        <f>IF(OR(E6662="",E6662="!!!"),"",IF(NOT(ISNA(VLOOKUP(E6662,E$1:E6661,1,FALSE()))),"OLD",IF(AND(E6662&lt;&gt;"",E6662&lt;&gt;"!!!"),"NEW","")))</f>
        <v> </v>
      </c>
      <c r="G6662" s="24" t="str">
        <f>IF(OR(E6662="",E6662="!!!"),"",IF(OR(J6662=0,AND(J6662=1,K6662=1),AND(J6662=1,I6662="SBJ"),AND(J6662=1,I6662=0)),"?IN_FOCUS",IF(J6662&lt;=2,"?ACTIVATED",IF(J6662&lt;&gt;"","?FAMILIAR",IF(F6662="NEW",IF(ISNA(VLOOKUP(E6662,#REF!,1,FALSE())),"?TYPE_IDENTIFIABLE","?REFERENTIAL"),"_")))))</f>
        <v> </v>
      </c>
      <c r="H6662" s="25" t="str">
        <f>IF(J6662&lt;&gt;1,"",IF(I6662="SBJ","CB","?"))</f>
        <v> </v>
      </c>
      <c r="I6662" s="26" t="str">
        <f>IF(OR(E6662="",E6662="!!!",F6662="NEW"),"",INDEX(B6661:B$2,-1+SUMPRODUCT(MAX(ROW(E6661:E$2)*(E6662=E6661:E$2)))))</f>
        <v> </v>
      </c>
      <c r="J6662" s="26" t="str">
        <f>IF(OR(E6662="",E6662="!!!",F6662="NEW"),"",COUNTBLANK(OFFSET(A$1,,,SUMPRODUCT(MAX(ROW(E$2:E6662)*(E6662=E$2:E6662)))))-COUNTBLANK(OFFSET(A$1,,,SUMPRODUCT(MAX(ROW(E$1:E6661)*(E2=E$1:E6661))))))</f>
        <v> </v>
      </c>
      <c r="K6662" s="26" t="str">
        <f>IF(OR(E6662="",E6662="!!!",F6662="NEW"),"",INDEX(J$1:J6661,SUMPRODUCT(MAX(ROW(E$1:E6661)*(E6662=E$1:E6661)))))</f>
        <v> </v>
      </c>
      <c r="L6662" s="27"/>
    </row>
    <row r="6663" spans="1:12">
      <c r="A6663" s="20" t="s">
        <v>1185</v>
      </c>
      <c r="E6663" s="22">
        <f>IF(D6663="?OLD","!!!","")</f>
        <v/>
      </c>
      <c r="F6663" s="23" t="str">
        <f>IF(OR(E6663="",E6663="!!!"),"",IF(NOT(ISNA(VLOOKUP(E6663,E$1:E6662,1,FALSE()))),"OLD",IF(AND(E6663&lt;&gt;"",E6663&lt;&gt;"!!!"),"NEW","")))</f>
        <v> </v>
      </c>
      <c r="G6663" s="24" t="str">
        <f>IF(OR(E6663="",E6663="!!!"),"",IF(OR(J6663=0,AND(J6663=1,K6663=1),AND(J6663=1,I6663="SBJ"),AND(J6663=1,I6663=0)),"?IN_FOCUS",IF(J6663&lt;=2,"?ACTIVATED",IF(J6663&lt;&gt;"","?FAMILIAR",IF(F6663="NEW",IF(ISNA(VLOOKUP(E6663,#REF!,1,FALSE())),"?TYPE_IDENTIFIABLE","?REFERENTIAL"),"_")))))</f>
        <v> </v>
      </c>
      <c r="H6663" s="25" t="str">
        <f>IF(J6663&lt;&gt;1,"",IF(I6663="SBJ","CB","?"))</f>
        <v> </v>
      </c>
      <c r="I6663" s="26" t="str">
        <f>IF(OR(E6663="",E6663="!!!",F6663="NEW"),"",INDEX(B6662:B$2,-1+SUMPRODUCT(MAX(ROW(E6662:E$2)*(E6663=E6662:E$2)))))</f>
        <v> </v>
      </c>
      <c r="J6663" s="26" t="str">
        <f>IF(OR(E6663="",E6663="!!!",F6663="NEW"),"",COUNTBLANK(OFFSET(A$1,,,SUMPRODUCT(MAX(ROW(E$2:E6663)*(E6663=E$2:E6663)))))-COUNTBLANK(OFFSET(A$1,,,SUMPRODUCT(MAX(ROW(E$1:E6662)*(E2=E$1:E6662))))))</f>
        <v> </v>
      </c>
      <c r="K6663" s="26" t="str">
        <f>IF(OR(E6663="",E6663="!!!",F6663="NEW"),"",INDEX(J$1:J6662,SUMPRODUCT(MAX(ROW(E$1:E6662)*(E6663=E$1:E6662)))))</f>
        <v> </v>
      </c>
      <c r="L6663" s="27"/>
    </row>
    <row r="6664" spans="1:12">
      <c r="A6664" s="20" t="s">
        <v>1513</v>
      </c>
      <c r="E6664" s="22">
        <f>IF(D6664="?OLD","!!!","")</f>
        <v/>
      </c>
      <c r="F6664" s="23" t="str">
        <f>IF(OR(E6664="",E6664="!!!"),"",IF(NOT(ISNA(VLOOKUP(E6664,E$1:E6663,1,FALSE()))),"OLD",IF(AND(E6664&lt;&gt;"",E6664&lt;&gt;"!!!"),"NEW","")))</f>
        <v> </v>
      </c>
      <c r="G6664" s="24" t="str">
        <f>IF(OR(E6664="",E6664="!!!"),"",IF(OR(J6664=0,AND(J6664=1,K6664=1),AND(J6664=1,I6664="SBJ"),AND(J6664=1,I6664=0)),"?IN_FOCUS",IF(J6664&lt;=2,"?ACTIVATED",IF(J6664&lt;&gt;"","?FAMILIAR",IF(F6664="NEW",IF(ISNA(VLOOKUP(E6664,#REF!,1,FALSE())),"?TYPE_IDENTIFIABLE","?REFERENTIAL"),"_")))))</f>
        <v> </v>
      </c>
      <c r="H6664" s="25" t="str">
        <f>IF(J6664&lt;&gt;1,"",IF(I6664="SBJ","CB","?"))</f>
        <v> </v>
      </c>
      <c r="I6664" s="26" t="str">
        <f>IF(OR(E6664="",E6664="!!!",F6664="NEW"),"",INDEX(B6663:B$2,-1+SUMPRODUCT(MAX(ROW(E6663:E$2)*(E6664=E6663:E$2)))))</f>
        <v> </v>
      </c>
      <c r="J6664" s="26" t="str">
        <f>IF(OR(E6664="",E6664="!!!",F6664="NEW"),"",COUNTBLANK(OFFSET(A$1,,,SUMPRODUCT(MAX(ROW(E$2:E6664)*(E6664=E$2:E6664)))))-COUNTBLANK(OFFSET(A$1,,,SUMPRODUCT(MAX(ROW(E$1:E6663)*(E2=E$1:E6663))))))</f>
        <v> </v>
      </c>
      <c r="K6664" s="26" t="str">
        <f>IF(OR(E6664="",E6664="!!!",F6664="NEW"),"",INDEX(J$1:J6663,SUMPRODUCT(MAX(ROW(E$1:E6663)*(E6664=E$1:E6663)))))</f>
        <v> </v>
      </c>
      <c r="L6664" s="27"/>
    </row>
    <row r="6665" spans="1:12">
      <c r="A6665" s="20" t="s">
        <v>1495</v>
      </c>
      <c r="B6665" s="21" t="s">
        <v>1306</v>
      </c>
      <c r="C6665" s="21" t="s">
        <v>1208</v>
      </c>
      <c r="D6665" s="21" t="s">
        <v>1180</v>
      </c>
      <c r="E6665" s="22">
        <f>IF(D6665="?OLD","!!!","")</f>
        <v/>
      </c>
      <c r="F6665" s="23" t="str">
        <f>IF(OR(E6665="",E6665="!!!"),"",IF(NOT(ISNA(VLOOKUP(E6665,E$1:E6664,1,FALSE()))),"OLD",IF(AND(E6665&lt;&gt;"",E6665&lt;&gt;"!!!"),"NEW","")))</f>
        <v> </v>
      </c>
      <c r="G6665" s="24" t="str">
        <f>IF(OR(E6665="",E6665="!!!"),"",IF(OR(J6665=0,AND(J6665=1,K6665=1),AND(J6665=1,I6665="SBJ"),AND(J6665=1,I6665=0)),"?IN_FOCUS",IF(J6665&lt;=2,"?ACTIVATED",IF(J6665&lt;&gt;"","?FAMILIAR",IF(F6665="NEW",IF(ISNA(VLOOKUP(E6665,#REF!,1,FALSE())),"?TYPE_IDENTIFIABLE","?REFERENTIAL"),"_")))))</f>
        <v> </v>
      </c>
      <c r="H6665" s="25" t="str">
        <f>IF(J6665&lt;&gt;1,"",IF(I6665="SBJ","CB","?"))</f>
        <v> </v>
      </c>
      <c r="I6665" s="26" t="str">
        <f>IF(OR(E6665="",E6665="!!!",F6665="NEW"),"",INDEX(B6664:B$2,-1+SUMPRODUCT(MAX(ROW(E6664:E$2)*(E6665=E6664:E$2)))))</f>
        <v> </v>
      </c>
      <c r="J6665" s="26" t="str">
        <f>IF(OR(E6665="",E6665="!!!",F6665="NEW"),"",COUNTBLANK(OFFSET(A$1,,,SUMPRODUCT(MAX(ROW(E$2:E6665)*(E6665=E$2:E6665)))))-COUNTBLANK(OFFSET(A$1,,,SUMPRODUCT(MAX(ROW(E$1:E6664)*(E2=E$1:E6664))))))</f>
        <v> </v>
      </c>
      <c r="K6665" s="26" t="str">
        <f>IF(OR(E6665="",E6665="!!!",F6665="NEW"),"",INDEX(J$1:J6664,SUMPRODUCT(MAX(ROW(E$1:E6664)*(E6665=E$1:E6664)))))</f>
        <v> </v>
      </c>
      <c r="L6665" s="27"/>
    </row>
    <row r="6666" spans="1:12">
      <c r="A6666" s="20" t="s">
        <v>2943</v>
      </c>
      <c r="E6666" s="22">
        <f>IF(D6666="?OLD","!!!","")</f>
        <v/>
      </c>
      <c r="F6666" s="23" t="str">
        <f>IF(OR(E6666="",E6666="!!!"),"",IF(NOT(ISNA(VLOOKUP(E6666,E$1:E6665,1,FALSE()))),"OLD",IF(AND(E6666&lt;&gt;"",E6666&lt;&gt;"!!!"),"NEW","")))</f>
        <v> </v>
      </c>
      <c r="G6666" s="24" t="str">
        <f>IF(OR(E6666="",E6666="!!!"),"",IF(OR(J6666=0,AND(J6666=1,K6666=1),AND(J6666=1,I6666="SBJ"),AND(J6666=1,I6666=0)),"?IN_FOCUS",IF(J6666&lt;=2,"?ACTIVATED",IF(J6666&lt;&gt;"","?FAMILIAR",IF(F6666="NEW",IF(ISNA(VLOOKUP(E6666,#REF!,1,FALSE())),"?TYPE_IDENTIFIABLE","?REFERENTIAL"),"_")))))</f>
        <v> </v>
      </c>
      <c r="H6666" s="25" t="str">
        <f>IF(J6666&lt;&gt;1,"",IF(I6666="SBJ","CB","?"))</f>
        <v> </v>
      </c>
      <c r="I6666" s="26" t="str">
        <f>IF(OR(E6666="",E6666="!!!",F6666="NEW"),"",INDEX(B6665:B$2,-1+SUMPRODUCT(MAX(ROW(E6665:E$2)*(E6666=E6665:E$2)))))</f>
        <v> </v>
      </c>
      <c r="J6666" s="26" t="str">
        <f>IF(OR(E6666="",E6666="!!!",F6666="NEW"),"",COUNTBLANK(OFFSET(A$1,,,SUMPRODUCT(MAX(ROW(E$2:E6666)*(E6666=E$2:E6666)))))-COUNTBLANK(OFFSET(A$1,,,SUMPRODUCT(MAX(ROW(E$1:E6665)*(E2=E$1:E6665))))))</f>
        <v> </v>
      </c>
      <c r="K6666" s="26" t="str">
        <f>IF(OR(E6666="",E6666="!!!",F6666="NEW"),"",INDEX(J$1:J6665,SUMPRODUCT(MAX(ROW(E$1:E6665)*(E6666=E$1:E6665)))))</f>
        <v> </v>
      </c>
      <c r="L6666" s="27"/>
    </row>
    <row r="6667" spans="1:12">
      <c r="A6667" s="20" t="s">
        <v>818</v>
      </c>
      <c r="E6667" s="22">
        <f>IF(D6667="?OLD","!!!","")</f>
        <v/>
      </c>
      <c r="F6667" s="23" t="str">
        <f>IF(OR(E6667="",E6667="!!!"),"",IF(NOT(ISNA(VLOOKUP(E6667,E$1:E6666,1,FALSE()))),"OLD",IF(AND(E6667&lt;&gt;"",E6667&lt;&gt;"!!!"),"NEW","")))</f>
        <v> </v>
      </c>
      <c r="G6667" s="24" t="str">
        <f>IF(OR(E6667="",E6667="!!!"),"",IF(OR(J6667=0,AND(J6667=1,K6667=1),AND(J6667=1,I6667="SBJ"),AND(J6667=1,I6667=0)),"?IN_FOCUS",IF(J6667&lt;=2,"?ACTIVATED",IF(J6667&lt;&gt;"","?FAMILIAR",IF(F6667="NEW",IF(ISNA(VLOOKUP(E6667,#REF!,1,FALSE())),"?TYPE_IDENTIFIABLE","?REFERENTIAL"),"_")))))</f>
        <v> </v>
      </c>
      <c r="H6667" s="25" t="str">
        <f>IF(J6667&lt;&gt;1,"",IF(I6667="SBJ","CB","?"))</f>
        <v> </v>
      </c>
      <c r="I6667" s="26" t="str">
        <f>IF(OR(E6667="",E6667="!!!",F6667="NEW"),"",INDEX(B6666:B$2,-1+SUMPRODUCT(MAX(ROW(E6666:E$2)*(E6667=E6666:E$2)))))</f>
        <v> </v>
      </c>
      <c r="J6667" s="26" t="str">
        <f>IF(OR(E6667="",E6667="!!!",F6667="NEW"),"",COUNTBLANK(OFFSET(A$1,,,SUMPRODUCT(MAX(ROW(E$2:E6667)*(E6667=E$2:E6667)))))-COUNTBLANK(OFFSET(A$1,,,SUMPRODUCT(MAX(ROW(E$1:E6666)*(E2=E$1:E6666))))))</f>
        <v> </v>
      </c>
      <c r="K6667" s="26" t="str">
        <f>IF(OR(E6667="",E6667="!!!",F6667="NEW"),"",INDEX(J$1:J6666,SUMPRODUCT(MAX(ROW(E$1:E6666)*(E6667=E$1:E6666)))))</f>
        <v> </v>
      </c>
      <c r="L6667" s="27"/>
    </row>
    <row r="6668" spans="1:12">
      <c r="A6668" s="20"/>
    </row>
    <row r="6669" spans="1:12">
      <c r="A6669" s="20" t="s">
        <v>2944</v>
      </c>
    </row>
    <row r="6670" spans="1:12">
      <c r="A6670" s="20" t="s">
        <v>1193</v>
      </c>
      <c r="B6670" s="21" t="s">
        <v>1194</v>
      </c>
      <c r="C6670" s="21" t="s">
        <v>1195</v>
      </c>
      <c r="D6670" s="21" t="s">
        <v>1180</v>
      </c>
      <c r="E6670" s="22">
        <f>IF(D6670="?OLD","!!!","")</f>
        <v/>
      </c>
      <c r="F6670" s="23" t="str">
        <f>IF(OR(E6670="",E6670="!!!"),"",IF(NOT(ISNA(VLOOKUP(E6670,E$1:E6669,1,FALSE()))),"OLD",IF(AND(E6670&lt;&gt;"",E6670&lt;&gt;"!!!"),"NEW","")))</f>
        <v> </v>
      </c>
      <c r="G6670" s="24" t="str">
        <f>IF(OR(E6670="",E6670="!!!"),"",IF(OR(J6670=0,AND(J6670=1,K6670=1),AND(J6670=1,I6670="SBJ"),AND(J6670=1,I6670=0)),"?IN_FOCUS",IF(J6670&lt;=2,"?ACTIVATED",IF(J6670&lt;&gt;"","?FAMILIAR",IF(F6670="NEW",IF(ISNA(VLOOKUP(E6670,#REF!,1,FALSE())),"?TYPE_IDENTIFIABLE","?REFERENTIAL"),"_")))))</f>
        <v> </v>
      </c>
      <c r="H6670" s="25" t="str">
        <f>IF(J6670&lt;&gt;1,"",IF(I6670="SBJ","CB","?"))</f>
        <v> </v>
      </c>
      <c r="I6670" s="26" t="str">
        <f>IF(OR(E6670="",E6670="!!!",F6670="NEW"),"",INDEX(B6669:B$2,-1+SUMPRODUCT(MAX(ROW(E6669:E$2)*(E6670=E6669:E$2)))))</f>
        <v> </v>
      </c>
      <c r="J6670" s="26" t="str">
        <f>IF(OR(E6670="",E6670="!!!",F6670="NEW"),"",COUNTBLANK(OFFSET(A$1,,,SUMPRODUCT(MAX(ROW(E$2:E6670)*(E6670=E$2:E6670)))))-COUNTBLANK(OFFSET(A$1,,,SUMPRODUCT(MAX(ROW(E$1:E6669)*(E2=E$1:E6669))))))</f>
        <v> </v>
      </c>
      <c r="K6670" s="26" t="str">
        <f>IF(OR(E6670="",E6670="!!!",F6670="NEW"),"",INDEX(J$1:J6669,SUMPRODUCT(MAX(ROW(E$1:E6669)*(E6670=E$1:E6669)))))</f>
        <v> </v>
      </c>
      <c r="L6670" s="27"/>
    </row>
    <row r="6671" spans="1:12">
      <c r="A6671" s="20" t="s">
        <v>2275</v>
      </c>
      <c r="E6671" s="22">
        <f>IF(D6671="?OLD","!!!","")</f>
        <v/>
      </c>
      <c r="F6671" s="23" t="str">
        <f>IF(OR(E6671="",E6671="!!!"),"",IF(NOT(ISNA(VLOOKUP(E6671,E$1:E6670,1,FALSE()))),"OLD",IF(AND(E6671&lt;&gt;"",E6671&lt;&gt;"!!!"),"NEW","")))</f>
        <v> </v>
      </c>
      <c r="G6671" s="24" t="str">
        <f>IF(OR(E6671="",E6671="!!!"),"",IF(OR(J6671=0,AND(J6671=1,K6671=1),AND(J6671=1,I6671="SBJ"),AND(J6671=1,I6671=0)),"?IN_FOCUS",IF(J6671&lt;=2,"?ACTIVATED",IF(J6671&lt;&gt;"","?FAMILIAR",IF(F6671="NEW",IF(ISNA(VLOOKUP(E6671,#REF!,1,FALSE())),"?TYPE_IDENTIFIABLE","?REFERENTIAL"),"_")))))</f>
        <v> </v>
      </c>
      <c r="H6671" s="25" t="str">
        <f>IF(J6671&lt;&gt;1,"",IF(I6671="SBJ","CB","?"))</f>
        <v> </v>
      </c>
      <c r="I6671" s="26" t="str">
        <f>IF(OR(E6671="",E6671="!!!",F6671="NEW"),"",INDEX(B6670:B$2,-1+SUMPRODUCT(MAX(ROW(E6670:E$2)*(E6671=E6670:E$2)))))</f>
        <v> </v>
      </c>
      <c r="J6671" s="26" t="str">
        <f>IF(OR(E6671="",E6671="!!!",F6671="NEW"),"",COUNTBLANK(OFFSET(A$1,,,SUMPRODUCT(MAX(ROW(E$2:E6671)*(E6671=E$2:E6671)))))-COUNTBLANK(OFFSET(A$1,,,SUMPRODUCT(MAX(ROW(E$1:E6670)*(E2=E$1:E6670))))))</f>
        <v> </v>
      </c>
      <c r="K6671" s="26" t="str">
        <f>IF(OR(E6671="",E6671="!!!",F6671="NEW"),"",INDEX(J$1:J6670,SUMPRODUCT(MAX(ROW(E$1:E6670)*(E6671=E$1:E6670)))))</f>
        <v> </v>
      </c>
      <c r="L6671" s="27"/>
    </row>
    <row r="6672" spans="1:12">
      <c r="A6672" s="20" t="s">
        <v>2592</v>
      </c>
      <c r="B6672" s="21" t="s">
        <v>1204</v>
      </c>
      <c r="C6672" s="21" t="s">
        <v>1195</v>
      </c>
      <c r="D6672" s="21" t="s">
        <v>1180</v>
      </c>
      <c r="E6672" s="22">
        <f>IF(D6672="?OLD","!!!","")</f>
        <v/>
      </c>
      <c r="F6672" s="23" t="str">
        <f>IF(OR(E6672="",E6672="!!!"),"",IF(NOT(ISNA(VLOOKUP(E6672,E$1:E6671,1,FALSE()))),"OLD",IF(AND(E6672&lt;&gt;"",E6672&lt;&gt;"!!!"),"NEW","")))</f>
        <v> </v>
      </c>
      <c r="G6672" s="24" t="str">
        <f>IF(OR(E6672="",E6672="!!!"),"",IF(OR(J6672=0,AND(J6672=1,K6672=1),AND(J6672=1,I6672="SBJ"),AND(J6672=1,I6672=0)),"?IN_FOCUS",IF(J6672&lt;=2,"?ACTIVATED",IF(J6672&lt;&gt;"","?FAMILIAR",IF(F6672="NEW",IF(ISNA(VLOOKUP(E6672,#REF!,1,FALSE())),"?TYPE_IDENTIFIABLE","?REFERENTIAL"),"_")))))</f>
        <v> </v>
      </c>
      <c r="H6672" s="25" t="str">
        <f>IF(J6672&lt;&gt;1,"",IF(I6672="SBJ","CB","?"))</f>
        <v> </v>
      </c>
      <c r="I6672" s="26" t="str">
        <f>IF(OR(E6672="",E6672="!!!",F6672="NEW"),"",INDEX(B6671:B$2,-1+SUMPRODUCT(MAX(ROW(E6671:E$2)*(E6672=E6671:E$2)))))</f>
        <v> </v>
      </c>
      <c r="J6672" s="26" t="str">
        <f>IF(OR(E6672="",E6672="!!!",F6672="NEW"),"",COUNTBLANK(OFFSET(A$1,,,SUMPRODUCT(MAX(ROW(E$2:E6672)*(E6672=E$2:E6672)))))-COUNTBLANK(OFFSET(A$1,,,SUMPRODUCT(MAX(ROW(E$1:E6671)*(E2=E$1:E6671))))))</f>
        <v> </v>
      </c>
      <c r="K6672" s="26" t="str">
        <f>IF(OR(E6672="",E6672="!!!",F6672="NEW"),"",INDEX(J$1:J6671,SUMPRODUCT(MAX(ROW(E$1:E6671)*(E6672=E$1:E6671)))))</f>
        <v> </v>
      </c>
      <c r="L6672" s="27"/>
    </row>
    <row r="6673" spans="1:12">
      <c r="A6673" s="20" t="s">
        <v>1907</v>
      </c>
      <c r="E6673" s="22">
        <f>IF(D6673="?OLD","!!!","")</f>
        <v/>
      </c>
      <c r="F6673" s="23" t="str">
        <f>IF(OR(E6673="",E6673="!!!"),"",IF(NOT(ISNA(VLOOKUP(E6673,E$1:E6672,1,FALSE()))),"OLD",IF(AND(E6673&lt;&gt;"",E6673&lt;&gt;"!!!"),"NEW","")))</f>
        <v> </v>
      </c>
      <c r="G6673" s="24" t="str">
        <f>IF(OR(E6673="",E6673="!!!"),"",IF(OR(J6673=0,AND(J6673=1,K6673=1),AND(J6673=1,I6673="SBJ"),AND(J6673=1,I6673=0)),"?IN_FOCUS",IF(J6673&lt;=2,"?ACTIVATED",IF(J6673&lt;&gt;"","?FAMILIAR",IF(F6673="NEW",IF(ISNA(VLOOKUP(E6673,#REF!,1,FALSE())),"?TYPE_IDENTIFIABLE","?REFERENTIAL"),"_")))))</f>
        <v> </v>
      </c>
      <c r="H6673" s="25" t="str">
        <f>IF(J6673&lt;&gt;1,"",IF(I6673="SBJ","CB","?"))</f>
        <v> </v>
      </c>
      <c r="I6673" s="26" t="str">
        <f>IF(OR(E6673="",E6673="!!!",F6673="NEW"),"",INDEX(B6672:B$2,-1+SUMPRODUCT(MAX(ROW(E6672:E$2)*(E6673=E6672:E$2)))))</f>
        <v> </v>
      </c>
      <c r="J6673" s="26" t="str">
        <f>IF(OR(E6673="",E6673="!!!",F6673="NEW"),"",COUNTBLANK(OFFSET(A$1,,,SUMPRODUCT(MAX(ROW(E$2:E6673)*(E6673=E$2:E6673)))))-COUNTBLANK(OFFSET(A$1,,,SUMPRODUCT(MAX(ROW(E$1:E6672)*(E2=E$1:E6672))))))</f>
        <v> </v>
      </c>
      <c r="K6673" s="26" t="str">
        <f>IF(OR(E6673="",E6673="!!!",F6673="NEW"),"",INDEX(J$1:J6672,SUMPRODUCT(MAX(ROW(E$1:E6672)*(E6673=E$1:E6672)))))</f>
        <v> </v>
      </c>
      <c r="L6673" s="27"/>
    </row>
    <row r="6674" spans="1:12">
      <c r="A6674" s="20" t="s">
        <v>818</v>
      </c>
      <c r="E6674" s="22">
        <f>IF(D6674="?OLD","!!!","")</f>
        <v/>
      </c>
      <c r="F6674" s="23" t="str">
        <f>IF(OR(E6674="",E6674="!!!"),"",IF(NOT(ISNA(VLOOKUP(E6674,E$1:E6673,1,FALSE()))),"OLD",IF(AND(E6674&lt;&gt;"",E6674&lt;&gt;"!!!"),"NEW","")))</f>
        <v> </v>
      </c>
      <c r="G6674" s="24" t="str">
        <f>IF(OR(E6674="",E6674="!!!"),"",IF(OR(J6674=0,AND(J6674=1,K6674=1),AND(J6674=1,I6674="SBJ"),AND(J6674=1,I6674=0)),"?IN_FOCUS",IF(J6674&lt;=2,"?ACTIVATED",IF(J6674&lt;&gt;"","?FAMILIAR",IF(F6674="NEW",IF(ISNA(VLOOKUP(E6674,#REF!,1,FALSE())),"?TYPE_IDENTIFIABLE","?REFERENTIAL"),"_")))))</f>
        <v> </v>
      </c>
      <c r="H6674" s="25" t="str">
        <f>IF(J6674&lt;&gt;1,"",IF(I6674="SBJ","CB","?"))</f>
        <v> </v>
      </c>
      <c r="I6674" s="26" t="str">
        <f>IF(OR(E6674="",E6674="!!!",F6674="NEW"),"",INDEX(B6673:B$2,-1+SUMPRODUCT(MAX(ROW(E6673:E$2)*(E6674=E6673:E$2)))))</f>
        <v> </v>
      </c>
      <c r="J6674" s="26" t="str">
        <f>IF(OR(E6674="",E6674="!!!",F6674="NEW"),"",COUNTBLANK(OFFSET(A$1,,,SUMPRODUCT(MAX(ROW(E$2:E6674)*(E6674=E$2:E6674)))))-COUNTBLANK(OFFSET(A$1,,,SUMPRODUCT(MAX(ROW(E$1:E6673)*(E2=E$1:E6673))))))</f>
        <v> </v>
      </c>
      <c r="K6674" s="26" t="str">
        <f>IF(OR(E6674="",E6674="!!!",F6674="NEW"),"",INDEX(J$1:J6673,SUMPRODUCT(MAX(ROW(E$1:E6673)*(E6674=E$1:E6673)))))</f>
        <v> </v>
      </c>
      <c r="L6674" s="27"/>
    </row>
    <row r="6675" spans="1:12">
      <c r="A6675" s="20"/>
    </row>
    <row r="6676" spans="1:12">
      <c r="A6676" s="20" t="s">
        <v>2945</v>
      </c>
    </row>
    <row r="6677" spans="1:12">
      <c r="A6677" s="20" t="s">
        <v>1262</v>
      </c>
      <c r="B6677" s="21" t="s">
        <v>1194</v>
      </c>
      <c r="C6677" s="21" t="s">
        <v>1179</v>
      </c>
      <c r="D6677" s="21" t="s">
        <v>1180</v>
      </c>
      <c r="E6677" s="22">
        <f>IF(D6677="?OLD","!!!","")</f>
        <v/>
      </c>
      <c r="F6677" s="23" t="str">
        <f>IF(OR(E6677="",E6677="!!!"),"",IF(NOT(ISNA(VLOOKUP(E6677,E$1:E6676,1,FALSE()))),"OLD",IF(AND(E6677&lt;&gt;"",E6677&lt;&gt;"!!!"),"NEW","")))</f>
        <v> </v>
      </c>
      <c r="G6677" s="24" t="str">
        <f>IF(OR(E6677="",E6677="!!!"),"",IF(OR(J6677=0,AND(J6677=1,K6677=1),AND(J6677=1,I6677="SBJ"),AND(J6677=1,I6677=0)),"?IN_FOCUS",IF(J6677&lt;=2,"?ACTIVATED",IF(J6677&lt;&gt;"","?FAMILIAR",IF(F6677="NEW",IF(ISNA(VLOOKUP(E6677,#REF!,1,FALSE())),"?TYPE_IDENTIFIABLE","?REFERENTIAL"),"_")))))</f>
        <v> </v>
      </c>
      <c r="H6677" s="25" t="str">
        <f>IF(J6677&lt;&gt;1,"",IF(I6677="SBJ","CB","?"))</f>
        <v> </v>
      </c>
      <c r="I6677" s="26" t="str">
        <f>IF(OR(E6677="",E6677="!!!",F6677="NEW"),"",INDEX(B6676:B$2,-1+SUMPRODUCT(MAX(ROW(E6676:E$2)*(E6677=E6676:E$2)))))</f>
        <v> </v>
      </c>
      <c r="J6677" s="26" t="str">
        <f>IF(OR(E6677="",E6677="!!!",F6677="NEW"),"",COUNTBLANK(OFFSET(A$1,,,SUMPRODUCT(MAX(ROW(E$2:E6677)*(E6677=E$2:E6677)))))-COUNTBLANK(OFFSET(A$1,,,SUMPRODUCT(MAX(ROW(E$1:E6676)*(E2=E$1:E6676))))))</f>
        <v> </v>
      </c>
      <c r="K6677" s="26" t="str">
        <f>IF(OR(E6677="",E6677="!!!",F6677="NEW"),"",INDEX(J$1:J6676,SUMPRODUCT(MAX(ROW(E$1:E6676)*(E6677=E$1:E6676)))))</f>
        <v> </v>
      </c>
      <c r="L6677" s="27"/>
    </row>
    <row r="6678" spans="1:12">
      <c r="A6678" s="20" t="s">
        <v>1182</v>
      </c>
      <c r="E6678" s="22">
        <f>IF(D6678="?OLD","!!!","")</f>
        <v/>
      </c>
      <c r="F6678" s="23" t="str">
        <f>IF(OR(E6678="",E6678="!!!"),"",IF(NOT(ISNA(VLOOKUP(E6678,E$1:E6677,1,FALSE()))),"OLD",IF(AND(E6678&lt;&gt;"",E6678&lt;&gt;"!!!"),"NEW","")))</f>
        <v> </v>
      </c>
      <c r="G6678" s="24" t="str">
        <f>IF(OR(E6678="",E6678="!!!"),"",IF(OR(J6678=0,AND(J6678=1,K6678=1),AND(J6678=1,I6678="SBJ"),AND(J6678=1,I6678=0)),"?IN_FOCUS",IF(J6678&lt;=2,"?ACTIVATED",IF(J6678&lt;&gt;"","?FAMILIAR",IF(F6678="NEW",IF(ISNA(VLOOKUP(E6678,#REF!,1,FALSE())),"?TYPE_IDENTIFIABLE","?REFERENTIAL"),"_")))))</f>
        <v> </v>
      </c>
      <c r="H6678" s="25" t="str">
        <f>IF(J6678&lt;&gt;1,"",IF(I6678="SBJ","CB","?"))</f>
        <v> </v>
      </c>
      <c r="I6678" s="26" t="str">
        <f>IF(OR(E6678="",E6678="!!!",F6678="NEW"),"",INDEX(B6677:B$2,-1+SUMPRODUCT(MAX(ROW(E6677:E$2)*(E6678=E6677:E$2)))))</f>
        <v> </v>
      </c>
      <c r="J6678" s="26" t="str">
        <f>IF(OR(E6678="",E6678="!!!",F6678="NEW"),"",COUNTBLANK(OFFSET(A$1,,,SUMPRODUCT(MAX(ROW(E$2:E6678)*(E6678=E$2:E6678)))))-COUNTBLANK(OFFSET(A$1,,,SUMPRODUCT(MAX(ROW(E$1:E6677)*(E2=E$1:E6677))))))</f>
        <v> </v>
      </c>
      <c r="K6678" s="26" t="str">
        <f>IF(OR(E6678="",E6678="!!!",F6678="NEW"),"",INDEX(J$1:J6677,SUMPRODUCT(MAX(ROW(E$1:E6677)*(E6678=E$1:E6677)))))</f>
        <v> </v>
      </c>
      <c r="L6678" s="27"/>
    </row>
    <row r="6679" spans="1:12">
      <c r="A6679" s="20" t="s">
        <v>1211</v>
      </c>
      <c r="E6679" s="22">
        <f>IF(D6679="?OLD","!!!","")</f>
        <v/>
      </c>
      <c r="F6679" s="23" t="str">
        <f>IF(OR(E6679="",E6679="!!!"),"",IF(NOT(ISNA(VLOOKUP(E6679,E$1:E6678,1,FALSE()))),"OLD",IF(AND(E6679&lt;&gt;"",E6679&lt;&gt;"!!!"),"NEW","")))</f>
        <v> </v>
      </c>
      <c r="G6679" s="24" t="str">
        <f>IF(OR(E6679="",E6679="!!!"),"",IF(OR(J6679=0,AND(J6679=1,K6679=1),AND(J6679=1,I6679="SBJ"),AND(J6679=1,I6679=0)),"?IN_FOCUS",IF(J6679&lt;=2,"?ACTIVATED",IF(J6679&lt;&gt;"","?FAMILIAR",IF(F6679="NEW",IF(ISNA(VLOOKUP(E6679,#REF!,1,FALSE())),"?TYPE_IDENTIFIABLE","?REFERENTIAL"),"_")))))</f>
        <v> </v>
      </c>
      <c r="H6679" s="25" t="str">
        <f>IF(J6679&lt;&gt;1,"",IF(I6679="SBJ","CB","?"))</f>
        <v> </v>
      </c>
      <c r="I6679" s="26" t="str">
        <f>IF(OR(E6679="",E6679="!!!",F6679="NEW"),"",INDEX(B6678:B$2,-1+SUMPRODUCT(MAX(ROW(E6678:E$2)*(E6679=E6678:E$2)))))</f>
        <v> </v>
      </c>
      <c r="J6679" s="26" t="str">
        <f>IF(OR(E6679="",E6679="!!!",F6679="NEW"),"",COUNTBLANK(OFFSET(A$1,,,SUMPRODUCT(MAX(ROW(E$2:E6679)*(E6679=E$2:E6679)))))-COUNTBLANK(OFFSET(A$1,,,SUMPRODUCT(MAX(ROW(E$1:E6678)*(E2=E$1:E6678))))))</f>
        <v> </v>
      </c>
      <c r="K6679" s="26" t="str">
        <f>IF(OR(E6679="",E6679="!!!",F6679="NEW"),"",INDEX(J$1:J6678,SUMPRODUCT(MAX(ROW(E$1:E6678)*(E6679=E$1:E6678)))))</f>
        <v> </v>
      </c>
      <c r="L6679" s="27"/>
    </row>
    <row r="6680" spans="1:12">
      <c r="A6680" s="20" t="s">
        <v>1185</v>
      </c>
      <c r="E6680" s="22">
        <f>IF(D6680="?OLD","!!!","")</f>
        <v/>
      </c>
      <c r="F6680" s="23" t="str">
        <f>IF(OR(E6680="",E6680="!!!"),"",IF(NOT(ISNA(VLOOKUP(E6680,E$1:E6679,1,FALSE()))),"OLD",IF(AND(E6680&lt;&gt;"",E6680&lt;&gt;"!!!"),"NEW","")))</f>
        <v> </v>
      </c>
      <c r="G6680" s="24" t="str">
        <f>IF(OR(E6680="",E6680="!!!"),"",IF(OR(J6680=0,AND(J6680=1,K6680=1),AND(J6680=1,I6680="SBJ"),AND(J6680=1,I6680=0)),"?IN_FOCUS",IF(J6680&lt;=2,"?ACTIVATED",IF(J6680&lt;&gt;"","?FAMILIAR",IF(F6680="NEW",IF(ISNA(VLOOKUP(E6680,#REF!,1,FALSE())),"?TYPE_IDENTIFIABLE","?REFERENTIAL"),"_")))))</f>
        <v> </v>
      </c>
      <c r="H6680" s="25" t="str">
        <f>IF(J6680&lt;&gt;1,"",IF(I6680="SBJ","CB","?"))</f>
        <v> </v>
      </c>
      <c r="I6680" s="26" t="str">
        <f>IF(OR(E6680="",E6680="!!!",F6680="NEW"),"",INDEX(B6679:B$2,-1+SUMPRODUCT(MAX(ROW(E6679:E$2)*(E6680=E6679:E$2)))))</f>
        <v> </v>
      </c>
      <c r="J6680" s="26" t="str">
        <f>IF(OR(E6680="",E6680="!!!",F6680="NEW"),"",COUNTBLANK(OFFSET(A$1,,,SUMPRODUCT(MAX(ROW(E$2:E6680)*(E6680=E$2:E6680)))))-COUNTBLANK(OFFSET(A$1,,,SUMPRODUCT(MAX(ROW(E$1:E6679)*(E2=E$1:E6679))))))</f>
        <v> </v>
      </c>
      <c r="K6680" s="26" t="str">
        <f>IF(OR(E6680="",E6680="!!!",F6680="NEW"),"",INDEX(J$1:J6679,SUMPRODUCT(MAX(ROW(E$1:E6679)*(E6680=E$1:E6679)))))</f>
        <v> </v>
      </c>
      <c r="L6680" s="27"/>
    </row>
    <row r="6681" spans="1:12">
      <c r="A6681" s="20" t="s">
        <v>2275</v>
      </c>
      <c r="E6681" s="22">
        <f>IF(D6681="?OLD","!!!","")</f>
        <v/>
      </c>
      <c r="F6681" s="23" t="str">
        <f>IF(OR(E6681="",E6681="!!!"),"",IF(NOT(ISNA(VLOOKUP(E6681,E$1:E6680,1,FALSE()))),"OLD",IF(AND(E6681&lt;&gt;"",E6681&lt;&gt;"!!!"),"NEW","")))</f>
        <v> </v>
      </c>
      <c r="G6681" s="24" t="str">
        <f>IF(OR(E6681="",E6681="!!!"),"",IF(OR(J6681=0,AND(J6681=1,K6681=1),AND(J6681=1,I6681="SBJ"),AND(J6681=1,I6681=0)),"?IN_FOCUS",IF(J6681&lt;=2,"?ACTIVATED",IF(J6681&lt;&gt;"","?FAMILIAR",IF(F6681="NEW",IF(ISNA(VLOOKUP(E6681,#REF!,1,FALSE())),"?TYPE_IDENTIFIABLE","?REFERENTIAL"),"_")))))</f>
        <v> </v>
      </c>
      <c r="H6681" s="25" t="str">
        <f>IF(J6681&lt;&gt;1,"",IF(I6681="SBJ","CB","?"))</f>
        <v> </v>
      </c>
      <c r="I6681" s="26" t="str">
        <f>IF(OR(E6681="",E6681="!!!",F6681="NEW"),"",INDEX(B6680:B$2,-1+SUMPRODUCT(MAX(ROW(E6680:E$2)*(E6681=E6680:E$2)))))</f>
        <v> </v>
      </c>
      <c r="J6681" s="26" t="str">
        <f>IF(OR(E6681="",E6681="!!!",F6681="NEW"),"",COUNTBLANK(OFFSET(A$1,,,SUMPRODUCT(MAX(ROW(E$2:E6681)*(E6681=E$2:E6681)))))-COUNTBLANK(OFFSET(A$1,,,SUMPRODUCT(MAX(ROW(E$1:E6680)*(E2=E$1:E6680))))))</f>
        <v> </v>
      </c>
      <c r="K6681" s="26" t="str">
        <f>IF(OR(E6681="",E6681="!!!",F6681="NEW"),"",INDEX(J$1:J6680,SUMPRODUCT(MAX(ROW(E$1:E6680)*(E6681=E$1:E6680)))))</f>
        <v> </v>
      </c>
      <c r="L6681" s="27"/>
    </row>
    <row r="6682" spans="1:12">
      <c r="A6682" s="20" t="s">
        <v>1243</v>
      </c>
      <c r="E6682" s="22">
        <f>IF(D6682="?OLD","!!!","")</f>
        <v/>
      </c>
      <c r="F6682" s="23" t="str">
        <f>IF(OR(E6682="",E6682="!!!"),"",IF(NOT(ISNA(VLOOKUP(E6682,E$1:E6681,1,FALSE()))),"OLD",IF(AND(E6682&lt;&gt;"",E6682&lt;&gt;"!!!"),"NEW","")))</f>
        <v> </v>
      </c>
      <c r="G6682" s="24" t="str">
        <f>IF(OR(E6682="",E6682="!!!"),"",IF(OR(J6682=0,AND(J6682=1,K6682=1),AND(J6682=1,I6682="SBJ"),AND(J6682=1,I6682=0)),"?IN_FOCUS",IF(J6682&lt;=2,"?ACTIVATED",IF(J6682&lt;&gt;"","?FAMILIAR",IF(F6682="NEW",IF(ISNA(VLOOKUP(E6682,#REF!,1,FALSE())),"?TYPE_IDENTIFIABLE","?REFERENTIAL"),"_")))))</f>
        <v> </v>
      </c>
      <c r="H6682" s="25" t="str">
        <f>IF(J6682&lt;&gt;1,"",IF(I6682="SBJ","CB","?"))</f>
        <v> </v>
      </c>
      <c r="I6682" s="26" t="str">
        <f>IF(OR(E6682="",E6682="!!!",F6682="NEW"),"",INDEX(B6681:B$2,-1+SUMPRODUCT(MAX(ROW(E6681:E$2)*(E6682=E6681:E$2)))))</f>
        <v> </v>
      </c>
      <c r="J6682" s="26" t="str">
        <f>IF(OR(E6682="",E6682="!!!",F6682="NEW"),"",COUNTBLANK(OFFSET(A$1,,,SUMPRODUCT(MAX(ROW(E$2:E6682)*(E6682=E$2:E6682)))))-COUNTBLANK(OFFSET(A$1,,,SUMPRODUCT(MAX(ROW(E$1:E6681)*(E2=E$1:E6681))))))</f>
        <v> </v>
      </c>
      <c r="K6682" s="26" t="str">
        <f>IF(OR(E6682="",E6682="!!!",F6682="NEW"),"",INDEX(J$1:J6681,SUMPRODUCT(MAX(ROW(E$1:E6681)*(E6682=E$1:E6681)))))</f>
        <v> </v>
      </c>
      <c r="L6682" s="27"/>
    </row>
    <row r="6683" spans="1:12">
      <c r="A668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2024-05-20T20:25:33Z</dcterms:created>
  <dcterms:modified xsi:type="dcterms:W3CDTF">2024-05-20T20:25:33Z</dcterms:modified>
</cp:coreProperties>
</file>