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<sst xmlns="http://schemas.openxmlformats.org/spreadsheetml/2006/main" count="1369" uniqueCount="479">
  <si>
    <t>ID</t>
  </si>
  <si>
    <t>PRED_ID</t>
  </si>
  <si>
    <t>MARKER_AUTO</t>
  </si>
  <si>
    <t>PREDICATE</t>
  </si>
  <si>
    <t>TEXT</t>
  </si>
  <si>
    <t>SENTENCE</t>
  </si>
  <si>
    <t>MARKER</t>
  </si>
  <si>
    <t>TARGET</t>
  </si>
  <si>
    <t>RELATION</t>
  </si>
  <si>
    <t>COMMENT</t>
  </si>
  <si>
    <t>1</t>
  </si>
  <si>
    <t>4</t>
  </si>
  <si>
    <t>_</t>
  </si>
  <si>
    <t>Stabschef</t>
  </si>
  <si>
    <t>Russlands Putin feuert Stabschef Sergei Ivanov</t>
  </si>
  <si>
    <t>file://conllu/de/bbc.242436.conllu#s1_0</t>
  </si>
  <si>
    <t>2</t>
  </si>
  <si>
    <t>6</t>
  </si>
  <si>
    <t>haben</t>
  </si>
  <si>
    <t>Der russische Präsident Vladimir Putin hat unerwarteterweise seinen Stabschef Sergei Ivanov entlassen .</t>
  </si>
  <si>
    <t>file://conllu/de/bbc.242436.conllu#s2_0</t>
  </si>
  <si>
    <t>3</t>
  </si>
  <si>
    <t>sein (sein Teil)</t>
  </si>
  <si>
    <t>Ivanov war viele Jahre Teil des engsten Vertrauenskreises von Putin .</t>
  </si>
  <si>
    <t>file://conllu/de/bbc.242436.conllu#s3_0</t>
  </si>
  <si>
    <t>14</t>
  </si>
  <si>
    <t>ernennen</t>
  </si>
  <si>
    <t>Der 63 Jährige wurde zum zu dem Sonderbeauftragten für Umwelt und Transportangelegenheiten ernannt .</t>
  </si>
  <si>
    <t>file://conllu/de/bbc.242436.conllu#s4_0</t>
  </si>
  <si>
    <t>5</t>
  </si>
  <si>
    <t>lauten</t>
  </si>
  <si>
    <t>In einer Stellungnahme des Kreml lautet es , dass Putin ohne Angabe von Gründen &amp;quot; die Entlassung Ivanovs von seinen Pflichten als Vorsitzender der russischen Präsidialverwaltung angeordnet habe &amp;quot; .</t>
  </si>
  <si>
    <t>file://conllu/de/bbc.242436.conllu#s5_0</t>
  </si>
  <si>
    <t>15</t>
  </si>
  <si>
    <t>Anton Vaino , der seit 2012 Ivanovs Stellvertreter war , wurde zu seinem Nachfolger ernannt .</t>
  </si>
  <si>
    <t>file://conllu/de/bbc.242436.conllu#s6_0</t>
  </si>
  <si>
    <t>7</t>
  </si>
  <si>
    <t>sein (sein Diplomat)</t>
  </si>
  <si>
    <t>Vaino , 44 , ist ehemaliger Diplomat .</t>
  </si>
  <si>
    <t>file://conllu/de/bbc.242436.conllu#s7_0</t>
  </si>
  <si>
    <t>8</t>
  </si>
  <si>
    <t>9</t>
  </si>
  <si>
    <t>machen</t>
  </si>
  <si>
    <t>1972 in der estnischen Hauptstadt Tallinn geboren , machte er seinen Abschluss am an dem renommierten Staatlichen Moskauer Institut für Internationale Beziehungen ( MGIMO ) und arbeitete in der Botschaft in Tokyo .</t>
  </si>
  <si>
    <t>file://conllu/de/bbc.242436.conllu#s8_0</t>
  </si>
  <si>
    <t>heißen</t>
  </si>
  <si>
    <t>Auf der Website des Kreml heißt es ( auf Russisch ) , dass er später Protokollchef und Stabsleiter des Regierungspersonals war .</t>
  </si>
  <si>
    <t>file://conllu/de/bbc.242436.conllu#s9_0</t>
  </si>
  <si>
    <t>10</t>
  </si>
  <si>
    <t>sagen</t>
  </si>
  <si>
    <t>Über seine Ernennung sagte er zu Putin :&amp;quot; Danke für Ihr Vertrauen . &amp;quot;</t>
  </si>
  <si>
    <t>file://conllu/de/bbc.242436.conllu#s10_0</t>
  </si>
  <si>
    <t>11</t>
  </si>
  <si>
    <t>denken</t>
  </si>
  <si>
    <t>Ich denke , dass es die wichtigste Aufgabe der Regierung ist , Ihre Tätigkeit als Staatschef bezüglich Gesetzesentwürfen und Kontrollen zur zu der Umsetzung Ihrer Anweisungen zu unterstützen .</t>
  </si>
  <si>
    <t>file://conllu/de/bbc.242436.conllu#s11_0</t>
  </si>
  <si>
    <t>12</t>
  </si>
  <si>
    <t>teilen</t>
  </si>
  <si>
    <t>Putin teilte dem russischen TV Sender am an dem Freitag mit , dass Ivanov darum gebeten habe , seinen Posten zu verlassen und Vaino als seinen Nachfolger empfohlen habe .</t>
  </si>
  <si>
    <t>file://conllu/de/bbc.242436.conllu#s12_0</t>
  </si>
  <si>
    <t>13</t>
  </si>
  <si>
    <t>überzeugen</t>
  </si>
  <si>
    <t>Überzeugen die lächelnden Gesichter ?</t>
  </si>
  <si>
    <t>file://conllu/de/bbc.242436.conllu#s13_0</t>
  </si>
  <si>
    <t>Dieser Schritt hat Moskau geheimnisumwoben gemacht .</t>
  </si>
  <si>
    <t>file://conllu/de/bbc.242436.conllu#s14_0</t>
  </si>
  <si>
    <t>sein (sein Zeit)</t>
  </si>
  <si>
    <t>Sergei Ivanov war lange Zeit einer der engsten Vertrauten Vladimir Putins und arbeitet wie er für den sowjetischen Geheimdienst , dem KGB .</t>
  </si>
  <si>
    <t>file://conllu/de/bbc.242436.conllu#s15_0</t>
  </si>
  <si>
    <t>16</t>
  </si>
  <si>
    <t>sein (sein ein)</t>
  </si>
  <si>
    <t>Als Stabschef war er einer der mächtigsten Männer der Landes .</t>
  </si>
  <si>
    <t>file://conllu/de/bbc.242436.conllu#s16_0</t>
  </si>
  <si>
    <t>17</t>
  </si>
  <si>
    <t>behaupten</t>
  </si>
  <si>
    <t>Bei einem Treffen mit Präsident Putin , das im in dem Fernsehen ausgestrahlt wurde , behaupteten beide Männer , dass der Stabschef auf eigenen Wunsch zurücktritt .</t>
  </si>
  <si>
    <t>file://conllu/de/bbc.242436.conllu#s17_0</t>
  </si>
  <si>
    <t>18</t>
  </si>
  <si>
    <t>sein (sein Parlamentswahl)</t>
  </si>
  <si>
    <t>Aber trotz des Lächelns für die Kameras , sind hier nur wenige davon überzeugt vor allem jetzt , kurz vor den Parlamentswahlen .</t>
  </si>
  <si>
    <t>file://conllu/de/bbc.242436.conllu#s18_0</t>
  </si>
  <si>
    <t>19</t>
  </si>
  <si>
    <t>liegen</t>
  </si>
  <si>
    <t>Liegt hier also die Folge einer Art Machtkampf vor ?</t>
  </si>
  <si>
    <t>file://conllu/de/bbc.242436.conllu#s19_0</t>
  </si>
  <si>
    <t>20</t>
  </si>
  <si>
    <t>niemehen</t>
  </si>
  <si>
    <t>Das weiß derzeit niemand .</t>
  </si>
  <si>
    <t>file://conllu/de/bbc.242436.conllu#s20_0</t>
  </si>
  <si>
    <t>21</t>
  </si>
  <si>
    <t>Behauptung</t>
  </si>
  <si>
    <t>Aber die offizielle Behauptung dass ein Mann , der einst als potenzieller Präsident angepriesen wurde , auf einmal die russische Umweltpolitik leiten möchte stieß auf große Skepsis .</t>
  </si>
  <si>
    <t>file://conllu/de/bbc.242436.conllu#s21_0</t>
  </si>
  <si>
    <t>22</t>
  </si>
  <si>
    <t>In seinen Bemerkungen an Putin , die auf der Website des Kreml zitiert werden , sagte Ivanov &amp;quot; es ist wahr , dass ich Sie Anfang 2012 in einem Gespräch gebeten habe , mir diesen sehr komplizierten Posten man könnte beinahe sagen beschwerlichen Posten vier Jahre lang anzuvertrauen .</t>
  </si>
  <si>
    <t>file://conllu/de/bbc.242436.conllu#s22_0</t>
  </si>
  <si>
    <t>23</t>
  </si>
  <si>
    <t>sein (sein Vorsitzende)</t>
  </si>
  <si>
    <t>Wie es sich herausstellt , bin ich seit vier Jahren und acht Monaten Vorsitzender der russischen Präsidialverwaltung .</t>
  </si>
  <si>
    <t>file://conllu/de/bbc.242436.conllu#s23_0</t>
  </si>
  <si>
    <t>24</t>
  </si>
  <si>
    <t>nehmen</t>
  </si>
  <si>
    <t>Ivanov nahm den Posten im in dem Dezember 2011 an .</t>
  </si>
  <si>
    <t>file://conllu/de/bbc.242436.conllu#s24_0</t>
  </si>
  <si>
    <t>25</t>
  </si>
  <si>
    <t>sein (sein Ministerpräsident)</t>
  </si>
  <si>
    <t>Zuvor war er stellvertretender Ministerpräsident und Verteidigungsminister .</t>
  </si>
  <si>
    <t>file://conllu/de/bbc.242436.conllu#s25_0</t>
  </si>
  <si>
    <t>26</t>
  </si>
  <si>
    <t>sein (sein Mitglied)</t>
  </si>
  <si>
    <t>Er ist Mitglied des russischen Sicherheitsrates und wie Putin ehemaliges Mitglied des Staatssicherheitsdienstes KGB .</t>
  </si>
  <si>
    <t>file://conllu/de/bbc.242436.conllu#s26_0</t>
  </si>
  <si>
    <t>27</t>
  </si>
  <si>
    <t>In den späten 1990er Jahren , als Putin Vorsitzender des Bundessicherheitsdienstes ( FSB ) war , der den KGB ersetzte , wurde Ivanov zu seinem Stellvertreter ernannt .</t>
  </si>
  <si>
    <t>file://conllu/de/bbc.242436.conllu#s27_0</t>
  </si>
  <si>
    <t>28</t>
  </si>
  <si>
    <t>nennen</t>
  </si>
  <si>
    <t>Als Putin an die Macht gelangte nannte er Ivanov als einen von fünf Leuten , denen er am an dem meisten vertraute .</t>
  </si>
  <si>
    <t>file://conllu/de/bbc.242436.conllu#s28_0</t>
  </si>
  <si>
    <t>29</t>
  </si>
  <si>
    <t>annehmen</t>
  </si>
  <si>
    <t>Einst wurde angenommen , dass Ivanov nach Putins zweiter Amtszeit Präsident von Russland werden könnte , da eine dritte Amtszeit Putins gegen die Verfassung verstoßen hätte .</t>
  </si>
  <si>
    <t>file://conllu/de/bbc.242436.conllu#s29_0</t>
  </si>
  <si>
    <t>30</t>
  </si>
  <si>
    <t>einnehmen</t>
  </si>
  <si>
    <t>Aber dieser Posten wurde von einem weiteren , nahestehenden Verbündeten Putins eingenommen , Dmitry Medvedev .</t>
  </si>
  <si>
    <t>file://conllu/de/bbc.242436.conllu#s30_0</t>
  </si>
  <si>
    <t>31</t>
  </si>
  <si>
    <t>werden</t>
  </si>
  <si>
    <t>Putin wurde Ministerpräsident , bevor er dreieinhalb Jahre später wieder zum zu dem Präsidenten wurde .</t>
  </si>
  <si>
    <t>file://conllu/de/bbc.242436.conllu#s31_0</t>
  </si>
  <si>
    <t>WORD</t>
  </si>
  <si>
    <t>GR</t>
  </si>
  <si>
    <t>NP_TYPE</t>
  </si>
  <si>
    <t>REF_AUTO</t>
  </si>
  <si>
    <t>COREF</t>
  </si>
  <si>
    <t>REF</t>
  </si>
  <si>
    <t>IS</t>
  </si>
  <si>
    <t>CB</t>
  </si>
  <si>
    <t>GR_ANTE</t>
  </si>
  <si>
    <t>REF_DIST</t>
  </si>
  <si>
    <t>REF_DIST_ANTE</t>
  </si>
  <si>
    <t># text = Russlands Putin feuert Stabschef Sergei Ivanov</t>
  </si>
  <si>
    <t>Russlands</t>
  </si>
  <si>
    <t>other_2</t>
  </si>
  <si>
    <t>ne</t>
  </si>
  <si>
    <t>?OLD</t>
  </si>
  <si>
    <t>Putin</t>
  </si>
  <si>
    <t>feuert</t>
  </si>
  <si>
    <t>other</t>
  </si>
  <si>
    <t>indef-np.bare</t>
  </si>
  <si>
    <t>Sergei</t>
  </si>
  <si>
    <t>Ivanov</t>
  </si>
  <si>
    <t># text = Der russische Präsident Vladimir Putin hat unerwarteterweise seinen Stabschef Sergei Ivanov entlassen.</t>
  </si>
  <si>
    <t>Der</t>
  </si>
  <si>
    <t>russische</t>
  </si>
  <si>
    <t>Präsident</t>
  </si>
  <si>
    <t>SBJ</t>
  </si>
  <si>
    <t>def-np.the</t>
  </si>
  <si>
    <t>Vladimir</t>
  </si>
  <si>
    <t>hat</t>
  </si>
  <si>
    <t>unerwarteterweise</t>
  </si>
  <si>
    <t>seinen</t>
  </si>
  <si>
    <t>SBJ_2</t>
  </si>
  <si>
    <t>indef-np</t>
  </si>
  <si>
    <t>other_3</t>
  </si>
  <si>
    <t>entlassen</t>
  </si>
  <si>
    <t>.</t>
  </si>
  <si>
    <t># text = Ivanov war viele Jahre Teil des engsten Vertrauenskreises von Putin.</t>
  </si>
  <si>
    <t>war</t>
  </si>
  <si>
    <t>viele</t>
  </si>
  <si>
    <t>Jahre</t>
  </si>
  <si>
    <t>indef-np.quant</t>
  </si>
  <si>
    <t>Teil</t>
  </si>
  <si>
    <t>des</t>
  </si>
  <si>
    <t>engsten</t>
  </si>
  <si>
    <t>Vertrauenskreises</t>
  </si>
  <si>
    <t>von</t>
  </si>
  <si>
    <t># text = Der 63-Jährige wurde zum Sonderbeauftragten für Umwelt- und Transportangelegenheiten ernannt.</t>
  </si>
  <si>
    <t>63</t>
  </si>
  <si>
    <t>Jährige</t>
  </si>
  <si>
    <t>def-np.quant</t>
  </si>
  <si>
    <t>wurde</t>
  </si>
  <si>
    <t>zu</t>
  </si>
  <si>
    <t>pron.pind</t>
  </si>
  <si>
    <t>dem</t>
  </si>
  <si>
    <t>Sonderbeauftragten</t>
  </si>
  <si>
    <t>für</t>
  </si>
  <si>
    <t>Umwelt</t>
  </si>
  <si>
    <t>und</t>
  </si>
  <si>
    <t>Transportangelegenheiten</t>
  </si>
  <si>
    <t>ernannt</t>
  </si>
  <si>
    <t>--</t>
  </si>
  <si>
    <t># text = In einer Stellungnahme des Kreml lautet es, dass Putin ohne Angabe von Gründen \"die Entlassung Ivanovs von seinen Pflichten als Vorsitzender der russischen Präsidialverwaltung angeordnet habe\".</t>
  </si>
  <si>
    <t>In</t>
  </si>
  <si>
    <t>einer</t>
  </si>
  <si>
    <t>Stellungnahme</t>
  </si>
  <si>
    <t>indef-np.a</t>
  </si>
  <si>
    <t>Kreml</t>
  </si>
  <si>
    <t>lautet</t>
  </si>
  <si>
    <t>es</t>
  </si>
  <si>
    <t>pron.pper</t>
  </si>
  <si>
    <t>,</t>
  </si>
  <si>
    <t>dass</t>
  </si>
  <si>
    <t>ohne</t>
  </si>
  <si>
    <t>Angabe</t>
  </si>
  <si>
    <t>Gründen</t>
  </si>
  <si>
    <t>&amp;quot;</t>
  </si>
  <si>
    <t>die</t>
  </si>
  <si>
    <t>Entlassung</t>
  </si>
  <si>
    <t>Ivanovs</t>
  </si>
  <si>
    <t>Pflichten</t>
  </si>
  <si>
    <t>als</t>
  </si>
  <si>
    <t>Vorsitzender</t>
  </si>
  <si>
    <t>der</t>
  </si>
  <si>
    <t>russischen</t>
  </si>
  <si>
    <t>Präsidialverwaltung</t>
  </si>
  <si>
    <t>angeordnet</t>
  </si>
  <si>
    <t>habe</t>
  </si>
  <si>
    <t># text = Anton Vaino, der seit 2012 Ivanovs Stellvertreter war, wurde zu seinem Nachfolger ernannt.</t>
  </si>
  <si>
    <t>Anton</t>
  </si>
  <si>
    <t>Vaino</t>
  </si>
  <si>
    <t>SBJ_3</t>
  </si>
  <si>
    <t>pron</t>
  </si>
  <si>
    <t>seit</t>
  </si>
  <si>
    <t>2012</t>
  </si>
  <si>
    <t>Stellvertreter</t>
  </si>
  <si>
    <t>seinem</t>
  </si>
  <si>
    <t>Nachfolger</t>
  </si>
  <si>
    <t># text = Vaino, 44, ist ehemaliger Diplomat.</t>
  </si>
  <si>
    <t>44</t>
  </si>
  <si>
    <t>ist</t>
  </si>
  <si>
    <t>ehemaliger</t>
  </si>
  <si>
    <t>Diplomat</t>
  </si>
  <si>
    <t># text = 1972 in der estnischen Hauptstadt Tallinn geboren, machte er seinen Abschluss am renommierten Staatlichen Moskauer Institut für Internationale Beziehungen (MGIMO) und arbeitete in der Botschaft in Tokyo.</t>
  </si>
  <si>
    <t>1972</t>
  </si>
  <si>
    <t>in</t>
  </si>
  <si>
    <t>estnischen</t>
  </si>
  <si>
    <t>Hauptstadt</t>
  </si>
  <si>
    <t>Tallinn</t>
  </si>
  <si>
    <t>geboren</t>
  </si>
  <si>
    <t>machte</t>
  </si>
  <si>
    <t>er</t>
  </si>
  <si>
    <t>Abschluss</t>
  </si>
  <si>
    <t>OBJ</t>
  </si>
  <si>
    <t>an</t>
  </si>
  <si>
    <t>renommierten</t>
  </si>
  <si>
    <t>Staatlichen</t>
  </si>
  <si>
    <t>Moskauer</t>
  </si>
  <si>
    <t>Institut</t>
  </si>
  <si>
    <t>Internationale</t>
  </si>
  <si>
    <t>Beziehungen</t>
  </si>
  <si>
    <t>(</t>
  </si>
  <si>
    <t>MGIMO</t>
  </si>
  <si>
    <t>)</t>
  </si>
  <si>
    <t>arbeitete</t>
  </si>
  <si>
    <t>Botschaft</t>
  </si>
  <si>
    <t>Tokyo</t>
  </si>
  <si>
    <t># text = Auf der Website des Kreml heißt es (auf Russisch), dass er später Protokollchef und Stabsleiter des Regierungspersonals war.</t>
  </si>
  <si>
    <t>Auf</t>
  </si>
  <si>
    <t>Website</t>
  </si>
  <si>
    <t>heißt</t>
  </si>
  <si>
    <t>auf</t>
  </si>
  <si>
    <t>Russisch</t>
  </si>
  <si>
    <t>später</t>
  </si>
  <si>
    <t>Protokollchef</t>
  </si>
  <si>
    <t>Stabsleiter</t>
  </si>
  <si>
    <t>Regierungspersonals</t>
  </si>
  <si>
    <t># text = Über seine Ernennung sagte er zu Putin:"Danke für Ihr Vertrauen."</t>
  </si>
  <si>
    <t>Über</t>
  </si>
  <si>
    <t>seine</t>
  </si>
  <si>
    <t>Ernennung</t>
  </si>
  <si>
    <t>sagte</t>
  </si>
  <si>
    <t>:&amp;quot;</t>
  </si>
  <si>
    <t>Danke</t>
  </si>
  <si>
    <t>Ihr</t>
  </si>
  <si>
    <t>pron.ppos</t>
  </si>
  <si>
    <t>Vertrauen</t>
  </si>
  <si>
    <t># text = Ich denke, dass es die wichtigste Aufgabe der Regierung ist, Ihre Tätigkeit als Staatschef bezüglich Gesetzesentwürfen und Kontrollen zur Umsetzung Ihrer Anweisungen zu unterstützen.</t>
  </si>
  <si>
    <t>Ich</t>
  </si>
  <si>
    <t>denke</t>
  </si>
  <si>
    <t>wichtigste</t>
  </si>
  <si>
    <t>Aufgabe</t>
  </si>
  <si>
    <t>Regierung</t>
  </si>
  <si>
    <t>Ihre</t>
  </si>
  <si>
    <t>other_4</t>
  </si>
  <si>
    <t>Tätigkeit</t>
  </si>
  <si>
    <t>OBJ_3</t>
  </si>
  <si>
    <t>Staatschef</t>
  </si>
  <si>
    <t>other_5</t>
  </si>
  <si>
    <t>bezüglich</t>
  </si>
  <si>
    <t>Gesetzesentwürfen</t>
  </si>
  <si>
    <t>Kontrollen</t>
  </si>
  <si>
    <t>Umsetzung</t>
  </si>
  <si>
    <t>Ihrer</t>
  </si>
  <si>
    <t>other_6</t>
  </si>
  <si>
    <t>Anweisungen</t>
  </si>
  <si>
    <t>unterstützen</t>
  </si>
  <si>
    <t># text = Putin teilte dem russischen TV Sender am Freitag mit, dass Ivanov darum gebeten habe, seinen Posten zu verlassen und Vaino als seinen Nachfolger empfohlen habe.</t>
  </si>
  <si>
    <t>teilte</t>
  </si>
  <si>
    <t>TV</t>
  </si>
  <si>
    <t>OBJ_2</t>
  </si>
  <si>
    <t>Sender</t>
  </si>
  <si>
    <t>Freitag</t>
  </si>
  <si>
    <t>mit</t>
  </si>
  <si>
    <t>darum</t>
  </si>
  <si>
    <t>gebeten</t>
  </si>
  <si>
    <t>Posten</t>
  </si>
  <si>
    <t>verlassen</t>
  </si>
  <si>
    <t>empfohlen</t>
  </si>
  <si>
    <t># text = Überzeugen die lächelnden Gesichter?</t>
  </si>
  <si>
    <t>Überzeugen</t>
  </si>
  <si>
    <t>lächelnden</t>
  </si>
  <si>
    <t>Gesichter</t>
  </si>
  <si>
    <t>?</t>
  </si>
  <si>
    <t># text = Dieser Schritt hat Moskau geheimnisumwoben gemacht.</t>
  </si>
  <si>
    <t>Dieser</t>
  </si>
  <si>
    <t>pron.pds</t>
  </si>
  <si>
    <t>Schritt</t>
  </si>
  <si>
    <t>def-np.dem</t>
  </si>
  <si>
    <t>Moskau</t>
  </si>
  <si>
    <t>geheimnisumwoben</t>
  </si>
  <si>
    <t>gemacht</t>
  </si>
  <si>
    <t># text = Sergei Ivanov war lange Zeit einer der engsten Vertrauten Vladimir Putins und arbeitet wie er für den sowjetischen Geheimdienst, dem KGB.</t>
  </si>
  <si>
    <t>lange</t>
  </si>
  <si>
    <t>Zeit</t>
  </si>
  <si>
    <t>Vertrauten</t>
  </si>
  <si>
    <t>Putins</t>
  </si>
  <si>
    <t>arbeitet</t>
  </si>
  <si>
    <t>wie</t>
  </si>
  <si>
    <t>den</t>
  </si>
  <si>
    <t>sowjetischen</t>
  </si>
  <si>
    <t>Geheimdienst</t>
  </si>
  <si>
    <t>KGB</t>
  </si>
  <si>
    <t># text = Als Stabschef war er einer der mächtigsten Männer der Landes.</t>
  </si>
  <si>
    <t>Als</t>
  </si>
  <si>
    <t>mächtigsten</t>
  </si>
  <si>
    <t>Männer</t>
  </si>
  <si>
    <t>Landes</t>
  </si>
  <si>
    <t># text = Bei einem Treffen mit Präsident Putin, das im Fernsehen ausgestrahlt wurde, behaupteten beide Männer, dass der Stabschef auf eigenen Wunsch zurücktritt.</t>
  </si>
  <si>
    <t>Bei</t>
  </si>
  <si>
    <t>einem</t>
  </si>
  <si>
    <t>Treffen</t>
  </si>
  <si>
    <t>das</t>
  </si>
  <si>
    <t>Fernsehen</t>
  </si>
  <si>
    <t>ausgestrahlt</t>
  </si>
  <si>
    <t>behaupteten</t>
  </si>
  <si>
    <t>beide</t>
  </si>
  <si>
    <t>eigenen</t>
  </si>
  <si>
    <t>Wunsch</t>
  </si>
  <si>
    <t>zurücktritt</t>
  </si>
  <si>
    <t># text = Aber trotz des Lächelns für die Kameras, sind hier nur wenige davon überzeugt - vor allem jetzt, kurz vor den Parlamentswahlen.</t>
  </si>
  <si>
    <t>Aber</t>
  </si>
  <si>
    <t>trotz</t>
  </si>
  <si>
    <t>Lächelns</t>
  </si>
  <si>
    <t>Kameras</t>
  </si>
  <si>
    <t>sind</t>
  </si>
  <si>
    <t>hier</t>
  </si>
  <si>
    <t>nur</t>
  </si>
  <si>
    <t>wenige</t>
  </si>
  <si>
    <t>davon</t>
  </si>
  <si>
    <t>überzeugt</t>
  </si>
  <si>
    <t>vor</t>
  </si>
  <si>
    <t>allem</t>
  </si>
  <si>
    <t>jetzt</t>
  </si>
  <si>
    <t>kurz</t>
  </si>
  <si>
    <t>Parlamentswahlen</t>
  </si>
  <si>
    <t># text = Liegt hier also die Folge einer Art Machtkampf vor?</t>
  </si>
  <si>
    <t>Liegt</t>
  </si>
  <si>
    <t>also</t>
  </si>
  <si>
    <t>Folge</t>
  </si>
  <si>
    <t>Art</t>
  </si>
  <si>
    <t>Machtkampf</t>
  </si>
  <si>
    <t># text = Das weiß derzeit niemand.</t>
  </si>
  <si>
    <t>Das</t>
  </si>
  <si>
    <t>weiß</t>
  </si>
  <si>
    <t>derzeit</t>
  </si>
  <si>
    <t>niemand</t>
  </si>
  <si>
    <t># text = Aber die offizielle Behauptung - dass ein Mann, der einst als potenzieller Präsident angepriesen wurde, auf einmal die russische Umweltpolitik leiten möchte - stieß auf große Skepsis.</t>
  </si>
  <si>
    <t>offizielle</t>
  </si>
  <si>
    <t>ein</t>
  </si>
  <si>
    <t>Mann</t>
  </si>
  <si>
    <t>SBJ_4</t>
  </si>
  <si>
    <t>einst</t>
  </si>
  <si>
    <t>potenzieller</t>
  </si>
  <si>
    <t>angepriesen</t>
  </si>
  <si>
    <t>einmal</t>
  </si>
  <si>
    <t>Umweltpolitik</t>
  </si>
  <si>
    <t>leiten</t>
  </si>
  <si>
    <t>möchte</t>
  </si>
  <si>
    <t>stieß</t>
  </si>
  <si>
    <t>große</t>
  </si>
  <si>
    <t>Skepsis</t>
  </si>
  <si>
    <t># text = In seinen Bemerkungen an Putin, die auf der Website des Kreml zitiert werden, sagte Ivanov "es ist wahr, dass ich Sie Anfang 2012 in einem Gespräch gebeten habe, mir diesen sehr komplizierten Posten - man könnte beinahe sagen - beschwerlichen Posten vier Jahre lang anzuvertrauen.</t>
  </si>
  <si>
    <t>Bemerkungen</t>
  </si>
  <si>
    <t>zitiert</t>
  </si>
  <si>
    <t>wahr</t>
  </si>
  <si>
    <t>ich</t>
  </si>
  <si>
    <t>Sie</t>
  </si>
  <si>
    <t>Anfang</t>
  </si>
  <si>
    <t>Gespräch</t>
  </si>
  <si>
    <t>mir</t>
  </si>
  <si>
    <t>OBJ_4</t>
  </si>
  <si>
    <t>diesen</t>
  </si>
  <si>
    <t>sehr</t>
  </si>
  <si>
    <t>komplizierten</t>
  </si>
  <si>
    <t>man</t>
  </si>
  <si>
    <t>könnte</t>
  </si>
  <si>
    <t>beinahe</t>
  </si>
  <si>
    <t>beschwerlichen</t>
  </si>
  <si>
    <t>vier</t>
  </si>
  <si>
    <t>lang</t>
  </si>
  <si>
    <t>anzuvertrauen</t>
  </si>
  <si>
    <t># text = Wie es sich herausstellt, bin ich seit vier Jahren und acht Monaten Vorsitzender der russischen Präsidialverwaltung.</t>
  </si>
  <si>
    <t>Wie</t>
  </si>
  <si>
    <t>sich</t>
  </si>
  <si>
    <t>herausstellt</t>
  </si>
  <si>
    <t>bin</t>
  </si>
  <si>
    <t>Jahren</t>
  </si>
  <si>
    <t>acht</t>
  </si>
  <si>
    <t>Monaten</t>
  </si>
  <si>
    <t># text = Ivanov nahm den Posten im Dezember 2011 an.</t>
  </si>
  <si>
    <t>nahm</t>
  </si>
  <si>
    <t>Dezember</t>
  </si>
  <si>
    <t>2011</t>
  </si>
  <si>
    <t># text = Zuvor war er stellvertretender Ministerpräsident und Verteidigungsminister.</t>
  </si>
  <si>
    <t>Zuvor</t>
  </si>
  <si>
    <t>stellvertretender</t>
  </si>
  <si>
    <t>Ministerpräsident</t>
  </si>
  <si>
    <t>Verteidigungsminister</t>
  </si>
  <si>
    <t># text = Er ist Mitglied des russischen Sicherheitsrates und wie Putin ehemaliges Mitglied des Staatssicherheitsdienstes KGB.</t>
  </si>
  <si>
    <t>Er</t>
  </si>
  <si>
    <t>Mitglied</t>
  </si>
  <si>
    <t>Sicherheitsrates</t>
  </si>
  <si>
    <t>ehemaliges</t>
  </si>
  <si>
    <t>Staatssicherheitsdienstes</t>
  </si>
  <si>
    <t># text = In den späten 1990er Jahren, als Putin Vorsitzender des Bundessicherheitsdienstes (FSB) war, der den KGB ersetzte, wurde Ivanov zu seinem Stellvertreter ernannt.</t>
  </si>
  <si>
    <t>späten</t>
  </si>
  <si>
    <t>1990er</t>
  </si>
  <si>
    <t>Bundessicherheitsdienstes</t>
  </si>
  <si>
    <t>FSB</t>
  </si>
  <si>
    <t>ersetzte</t>
  </si>
  <si>
    <t># text = Als Putin an die Macht gelangte nannte er Ivanov als einen von fünf Leuten, denen er am meisten vertraute.</t>
  </si>
  <si>
    <t>Macht</t>
  </si>
  <si>
    <t>gelangte</t>
  </si>
  <si>
    <t>nannte</t>
  </si>
  <si>
    <t>einen</t>
  </si>
  <si>
    <t>fünf</t>
  </si>
  <si>
    <t>Leuten</t>
  </si>
  <si>
    <t>denen</t>
  </si>
  <si>
    <t>meisten</t>
  </si>
  <si>
    <t>vertraute</t>
  </si>
  <si>
    <t># text = Einst wurde angenommen, dass Ivanov nach Putins zweiter Amtszeit Präsident von Russland werden könnte, da eine dritte Amtszeit Putins gegen die Verfassung verstoßen hätte.</t>
  </si>
  <si>
    <t>Einst</t>
  </si>
  <si>
    <t>angenommen</t>
  </si>
  <si>
    <t>nach</t>
  </si>
  <si>
    <t>zweiter</t>
  </si>
  <si>
    <t>Amtszeit</t>
  </si>
  <si>
    <t>Russland</t>
  </si>
  <si>
    <t>da</t>
  </si>
  <si>
    <t>eine</t>
  </si>
  <si>
    <t>dritte</t>
  </si>
  <si>
    <t>gegen</t>
  </si>
  <si>
    <t>Verfassung</t>
  </si>
  <si>
    <t>verstoßen</t>
  </si>
  <si>
    <t>hätte</t>
  </si>
  <si>
    <t># text = Aber dieser Posten wurde von einem weiteren, nahestehenden Verbündeten Putins eingenommen, Dmitry Medvedev.</t>
  </si>
  <si>
    <t>dieser</t>
  </si>
  <si>
    <t>weiteren</t>
  </si>
  <si>
    <t>nahestehenden</t>
  </si>
  <si>
    <t>Verbündeten</t>
  </si>
  <si>
    <t>eingenommen</t>
  </si>
  <si>
    <t>Dmitry</t>
  </si>
  <si>
    <t>Medvedev</t>
  </si>
  <si>
    <t># text = Putin wurde Ministerpräsident, bevor er dreieinhalb Jahre später wieder zum Präsidenten wurde.</t>
  </si>
  <si>
    <t>bevor</t>
  </si>
  <si>
    <t>dreieinhalb</t>
  </si>
  <si>
    <t>wieder</t>
  </si>
  <si>
    <t>Präsidenten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</si>
</sst>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3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17</v>
      </c>
      <c r="C3" s="6" t="s">
        <v>12</v>
      </c>
      <c r="D3" s="7" t="s">
        <v>18</v>
      </c>
      <c r="E3" s="8" t="s">
        <v>19</v>
      </c>
      <c r="F3" s="6" t="s">
        <v>20</v>
      </c>
      <c r="G3" s="9">
        <f>IF(A3=1,"_",IF(C3="_","???",C3))</f>
        <v/>
      </c>
      <c r="H3" s="10" t="s">
        <v>12</v>
      </c>
      <c r="I3" s="11" t="s">
        <v>12</v>
      </c>
      <c r="J3" s="12"/>
    </row>
    <row r="4" spans="1:10" ht="60" customHeight="1">
      <c r="A4" s="6" t="s">
        <v>21</v>
      </c>
      <c r="B4" s="6" t="s">
        <v>16</v>
      </c>
      <c r="C4" s="6" t="s">
        <v>12</v>
      </c>
      <c r="D4" s="7" t="s">
        <v>22</v>
      </c>
      <c r="E4" s="8" t="s">
        <v>23</v>
      </c>
      <c r="F4" s="6" t="s">
        <v>24</v>
      </c>
      <c r="G4" s="9">
        <f>IF(A4=1,"_",IF(C4="_","???",C4))</f>
        <v/>
      </c>
      <c r="H4" s="10" t="s">
        <v>12</v>
      </c>
      <c r="I4" s="11" t="s">
        <v>12</v>
      </c>
      <c r="J4" s="12"/>
    </row>
    <row r="5" spans="1:10" ht="60" customHeight="1">
      <c r="A5" s="6" t="s">
        <v>11</v>
      </c>
      <c r="B5" s="6" t="s">
        <v>25</v>
      </c>
      <c r="C5" s="6" t="s">
        <v>12</v>
      </c>
      <c r="D5" s="7" t="s">
        <v>26</v>
      </c>
      <c r="E5" s="8" t="s">
        <v>27</v>
      </c>
      <c r="F5" s="6" t="s">
        <v>28</v>
      </c>
      <c r="G5" s="9">
        <f>IF(A5=1,"_",IF(C5="_","???",C5))</f>
        <v/>
      </c>
      <c r="H5" s="10" t="s">
        <v>12</v>
      </c>
      <c r="I5" s="11" t="s">
        <v>12</v>
      </c>
      <c r="J5" s="12"/>
    </row>
    <row r="6" spans="1:10" ht="60" customHeight="1">
      <c r="A6" s="6" t="s">
        <v>29</v>
      </c>
      <c r="B6" s="6" t="s">
        <v>17</v>
      </c>
      <c r="C6" s="6" t="s">
        <v>12</v>
      </c>
      <c r="D6" s="7" t="s">
        <v>30</v>
      </c>
      <c r="E6" s="8" t="s">
        <v>31</v>
      </c>
      <c r="F6" s="6" t="s">
        <v>32</v>
      </c>
      <c r="G6" s="9">
        <f>IF(A6=1,"_",IF(C6="_","???",C6))</f>
        <v/>
      </c>
      <c r="H6" s="10" t="s">
        <v>12</v>
      </c>
      <c r="I6" s="11" t="s">
        <v>12</v>
      </c>
      <c r="J6" s="12"/>
    </row>
    <row r="7" spans="1:10" ht="60" customHeight="1">
      <c r="A7" s="6" t="s">
        <v>17</v>
      </c>
      <c r="B7" s="6" t="s">
        <v>33</v>
      </c>
      <c r="C7" s="6" t="s">
        <v>12</v>
      </c>
      <c r="D7" s="7" t="s">
        <v>26</v>
      </c>
      <c r="E7" s="8" t="s">
        <v>34</v>
      </c>
      <c r="F7" s="6" t="s">
        <v>35</v>
      </c>
      <c r="G7" s="9">
        <f>IF(A7=1,"_",IF(C7="_","???",C7))</f>
        <v/>
      </c>
      <c r="H7" s="10" t="s">
        <v>12</v>
      </c>
      <c r="I7" s="11" t="s">
        <v>12</v>
      </c>
      <c r="J7" s="12"/>
    </row>
    <row r="8" spans="1:10" ht="60" customHeight="1">
      <c r="A8" s="6" t="s">
        <v>36</v>
      </c>
      <c r="B8" s="6" t="s">
        <v>29</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41</v>
      </c>
      <c r="B10" s="6" t="s">
        <v>17</v>
      </c>
      <c r="C10" s="6" t="s">
        <v>12</v>
      </c>
      <c r="D10" s="7" t="s">
        <v>45</v>
      </c>
      <c r="E10" s="8" t="s">
        <v>46</v>
      </c>
      <c r="F10" s="6" t="s">
        <v>47</v>
      </c>
      <c r="G10" s="9">
        <f>IF(A10=1,"_",IF(C10="_","???",C10))</f>
        <v/>
      </c>
      <c r="H10" s="10" t="s">
        <v>12</v>
      </c>
      <c r="I10" s="11" t="s">
        <v>12</v>
      </c>
      <c r="J10" s="12"/>
    </row>
    <row r="11" spans="1:10" ht="60" customHeight="1">
      <c r="A11" s="6" t="s">
        <v>48</v>
      </c>
      <c r="B11" s="6" t="s">
        <v>11</v>
      </c>
      <c r="C11" s="6" t="s">
        <v>12</v>
      </c>
      <c r="D11" s="7" t="s">
        <v>49</v>
      </c>
      <c r="E11" s="8" t="s">
        <v>50</v>
      </c>
      <c r="F11" s="6" t="s">
        <v>51</v>
      </c>
      <c r="G11" s="9">
        <f>IF(A11=1,"_",IF(C11="_","???",C11))</f>
        <v/>
      </c>
      <c r="H11" s="10" t="s">
        <v>12</v>
      </c>
      <c r="I11" s="11" t="s">
        <v>12</v>
      </c>
      <c r="J11" s="12"/>
    </row>
    <row r="12" spans="1:10" ht="60" customHeight="1">
      <c r="A12" s="6" t="s">
        <v>52</v>
      </c>
      <c r="B12" s="6" t="s">
        <v>16</v>
      </c>
      <c r="C12" s="6" t="s">
        <v>12</v>
      </c>
      <c r="D12" s="7" t="s">
        <v>53</v>
      </c>
      <c r="E12" s="8" t="s">
        <v>54</v>
      </c>
      <c r="F12" s="6" t="s">
        <v>55</v>
      </c>
      <c r="G12" s="9">
        <f>IF(A12=1,"_",IF(C12="_","???",C12))</f>
        <v/>
      </c>
      <c r="H12" s="10" t="s">
        <v>12</v>
      </c>
      <c r="I12" s="11" t="s">
        <v>12</v>
      </c>
      <c r="J12" s="12"/>
    </row>
    <row r="13" spans="1:10" ht="60" customHeight="1">
      <c r="A13" s="6" t="s">
        <v>56</v>
      </c>
      <c r="B13" s="6" t="s">
        <v>16</v>
      </c>
      <c r="C13" s="6" t="s">
        <v>12</v>
      </c>
      <c r="D13" s="7" t="s">
        <v>57</v>
      </c>
      <c r="E13" s="8" t="s">
        <v>58</v>
      </c>
      <c r="F13" s="6" t="s">
        <v>59</v>
      </c>
      <c r="G13" s="9">
        <f>IF(A13=1,"_",IF(C13="_","???",C13))</f>
        <v/>
      </c>
      <c r="H13" s="10" t="s">
        <v>12</v>
      </c>
      <c r="I13" s="11" t="s">
        <v>12</v>
      </c>
      <c r="J13" s="12"/>
    </row>
    <row r="14" spans="1:10" ht="60" customHeight="1">
      <c r="A14" s="6" t="s">
        <v>60</v>
      </c>
      <c r="B14" s="6" t="s">
        <v>10</v>
      </c>
      <c r="C14" s="6" t="s">
        <v>12</v>
      </c>
      <c r="D14" s="7" t="s">
        <v>61</v>
      </c>
      <c r="E14" s="8" t="s">
        <v>62</v>
      </c>
      <c r="F14" s="6" t="s">
        <v>63</v>
      </c>
      <c r="G14" s="9">
        <f>IF(A14=1,"_",IF(C14="_","???",C14))</f>
        <v/>
      </c>
      <c r="H14" s="10" t="s">
        <v>12</v>
      </c>
      <c r="I14" s="11" t="s">
        <v>12</v>
      </c>
      <c r="J14" s="12"/>
    </row>
    <row r="15" spans="1:10" ht="60" customHeight="1">
      <c r="A15" s="6" t="s">
        <v>25</v>
      </c>
      <c r="B15" s="6" t="s">
        <v>17</v>
      </c>
      <c r="C15" s="6" t="s">
        <v>12</v>
      </c>
      <c r="D15" s="7" t="s">
        <v>42</v>
      </c>
      <c r="E15" s="8" t="s">
        <v>64</v>
      </c>
      <c r="F15" s="6" t="s">
        <v>65</v>
      </c>
      <c r="G15" s="9">
        <f>IF(A15=1,"_",IF(C15="_","???",C15))</f>
        <v/>
      </c>
      <c r="H15" s="10" t="s">
        <v>12</v>
      </c>
      <c r="I15" s="11" t="s">
        <v>12</v>
      </c>
      <c r="J15" s="12"/>
    </row>
    <row r="16" spans="1:10" ht="60" customHeight="1">
      <c r="A16" s="6" t="s">
        <v>33</v>
      </c>
      <c r="B16" s="6" t="s">
        <v>21</v>
      </c>
      <c r="C16" s="6" t="s">
        <v>12</v>
      </c>
      <c r="D16" s="7" t="s">
        <v>66</v>
      </c>
      <c r="E16" s="8" t="s">
        <v>67</v>
      </c>
      <c r="F16" s="6" t="s">
        <v>68</v>
      </c>
      <c r="G16" s="9">
        <f>IF(A16=1,"_",IF(C16="_","???",C16))</f>
        <v/>
      </c>
      <c r="H16" s="10" t="s">
        <v>12</v>
      </c>
      <c r="I16" s="11" t="s">
        <v>12</v>
      </c>
      <c r="J16" s="12"/>
    </row>
    <row r="17" spans="1:10" ht="60" customHeight="1">
      <c r="A17" s="6" t="s">
        <v>69</v>
      </c>
      <c r="B17" s="6" t="s">
        <v>21</v>
      </c>
      <c r="C17" s="6" t="s">
        <v>12</v>
      </c>
      <c r="D17" s="7" t="s">
        <v>70</v>
      </c>
      <c r="E17" s="8" t="s">
        <v>71</v>
      </c>
      <c r="F17" s="6" t="s">
        <v>72</v>
      </c>
      <c r="G17" s="9">
        <f>IF(A17=1,"_",IF(C17="_","???",C17))</f>
        <v/>
      </c>
      <c r="H17" s="10" t="s">
        <v>12</v>
      </c>
      <c r="I17" s="11" t="s">
        <v>12</v>
      </c>
      <c r="J17" s="12"/>
    </row>
    <row r="18" spans="1:10" ht="60" customHeight="1">
      <c r="A18" s="6" t="s">
        <v>73</v>
      </c>
      <c r="B18" s="6" t="s">
        <v>33</v>
      </c>
      <c r="C18" s="6" t="s">
        <v>12</v>
      </c>
      <c r="D18" s="7" t="s">
        <v>74</v>
      </c>
      <c r="E18" s="8" t="s">
        <v>75</v>
      </c>
      <c r="F18" s="6" t="s">
        <v>76</v>
      </c>
      <c r="G18" s="9">
        <f>IF(A18=1,"_",IF(C18="_","???",C18))</f>
        <v/>
      </c>
      <c r="H18" s="10" t="s">
        <v>12</v>
      </c>
      <c r="I18" s="11" t="s">
        <v>12</v>
      </c>
      <c r="J18" s="12"/>
    </row>
    <row r="19" spans="1:10" ht="60" customHeight="1">
      <c r="A19" s="6" t="s">
        <v>77</v>
      </c>
      <c r="B19" s="6" t="s">
        <v>41</v>
      </c>
      <c r="C19" s="6" t="s">
        <v>12</v>
      </c>
      <c r="D19" s="7" t="s">
        <v>78</v>
      </c>
      <c r="E19" s="8" t="s">
        <v>79</v>
      </c>
      <c r="F19" s="6" t="s">
        <v>80</v>
      </c>
      <c r="G19" s="9">
        <f>IF(A19=1,"_",IF(C19="_","???",C19))</f>
        <v/>
      </c>
      <c r="H19" s="10" t="s">
        <v>12</v>
      </c>
      <c r="I19" s="11" t="s">
        <v>12</v>
      </c>
      <c r="J19" s="12"/>
    </row>
    <row r="20" spans="1:10" ht="60" customHeight="1">
      <c r="A20" s="6" t="s">
        <v>81</v>
      </c>
      <c r="B20" s="6" t="s">
        <v>10</v>
      </c>
      <c r="C20" s="6" t="s">
        <v>12</v>
      </c>
      <c r="D20" s="7" t="s">
        <v>82</v>
      </c>
      <c r="E20" s="8" t="s">
        <v>83</v>
      </c>
      <c r="F20" s="6" t="s">
        <v>84</v>
      </c>
      <c r="G20" s="9">
        <f>IF(A20=1,"_",IF(C20="_","???",C20))</f>
        <v/>
      </c>
      <c r="H20" s="10" t="s">
        <v>12</v>
      </c>
      <c r="I20" s="11" t="s">
        <v>12</v>
      </c>
      <c r="J20" s="12"/>
    </row>
    <row r="21" spans="1:10" ht="60" customHeight="1">
      <c r="A21" s="6" t="s">
        <v>85</v>
      </c>
      <c r="B21" s="6" t="s">
        <v>11</v>
      </c>
      <c r="C21" s="6" t="s">
        <v>12</v>
      </c>
      <c r="D21" s="7" t="s">
        <v>86</v>
      </c>
      <c r="E21" s="8" t="s">
        <v>87</v>
      </c>
      <c r="F21" s="6" t="s">
        <v>88</v>
      </c>
      <c r="G21" s="9">
        <f>IF(A21=1,"_",IF(C21="_","???",C21))</f>
        <v/>
      </c>
      <c r="H21" s="10" t="s">
        <v>12</v>
      </c>
      <c r="I21" s="11" t="s">
        <v>12</v>
      </c>
      <c r="J21" s="12"/>
    </row>
    <row r="22" spans="1:10" ht="60" customHeight="1">
      <c r="A22" s="6" t="s">
        <v>89</v>
      </c>
      <c r="B22" s="6" t="s">
        <v>11</v>
      </c>
      <c r="C22" s="6" t="s">
        <v>12</v>
      </c>
      <c r="D22" s="7" t="s">
        <v>90</v>
      </c>
      <c r="E22" s="8" t="s">
        <v>91</v>
      </c>
      <c r="F22" s="6" t="s">
        <v>92</v>
      </c>
      <c r="G22" s="9">
        <f>IF(A22=1,"_",IF(C22="_","???",C22))</f>
        <v/>
      </c>
      <c r="H22" s="10" t="s">
        <v>12</v>
      </c>
      <c r="I22" s="11" t="s">
        <v>12</v>
      </c>
      <c r="J22" s="12"/>
    </row>
    <row r="23" spans="1:10" ht="60" customHeight="1">
      <c r="A23" s="6" t="s">
        <v>93</v>
      </c>
      <c r="B23" s="6" t="s">
        <v>69</v>
      </c>
      <c r="C23" s="6" t="s">
        <v>12</v>
      </c>
      <c r="D23" s="7" t="s">
        <v>49</v>
      </c>
      <c r="E23" s="8" t="s">
        <v>94</v>
      </c>
      <c r="F23" s="6" t="s">
        <v>95</v>
      </c>
      <c r="G23" s="9">
        <f>IF(A23=1,"_",IF(C23="_","???",C23))</f>
        <v/>
      </c>
      <c r="H23" s="10" t="s">
        <v>12</v>
      </c>
      <c r="I23" s="11" t="s">
        <v>12</v>
      </c>
      <c r="J23" s="12"/>
    </row>
    <row r="24" spans="1:10" ht="60" customHeight="1">
      <c r="A24" s="6" t="s">
        <v>96</v>
      </c>
      <c r="B24" s="6" t="s">
        <v>17</v>
      </c>
      <c r="C24" s="6" t="s">
        <v>12</v>
      </c>
      <c r="D24" s="7" t="s">
        <v>97</v>
      </c>
      <c r="E24" s="8" t="s">
        <v>98</v>
      </c>
      <c r="F24" s="6" t="s">
        <v>99</v>
      </c>
      <c r="G24" s="9">
        <f>IF(A24=1,"_",IF(C24="_","???",C24))</f>
        <v/>
      </c>
      <c r="H24" s="10" t="s">
        <v>12</v>
      </c>
      <c r="I24" s="11" t="s">
        <v>12</v>
      </c>
      <c r="J24" s="12"/>
    </row>
    <row r="25" spans="1:10" ht="60" customHeight="1">
      <c r="A25" s="6" t="s">
        <v>100</v>
      </c>
      <c r="B25" s="6" t="s">
        <v>16</v>
      </c>
      <c r="C25" s="6" t="s">
        <v>12</v>
      </c>
      <c r="D25" s="7" t="s">
        <v>101</v>
      </c>
      <c r="E25" s="8" t="s">
        <v>102</v>
      </c>
      <c r="F25" s="6" t="s">
        <v>103</v>
      </c>
      <c r="G25" s="9">
        <f>IF(A25=1,"_",IF(C25="_","???",C25))</f>
        <v/>
      </c>
      <c r="H25" s="10" t="s">
        <v>12</v>
      </c>
      <c r="I25" s="11" t="s">
        <v>12</v>
      </c>
      <c r="J25" s="12"/>
    </row>
    <row r="26" spans="1:10" ht="60" customHeight="1">
      <c r="A26" s="6" t="s">
        <v>104</v>
      </c>
      <c r="B26" s="6" t="s">
        <v>16</v>
      </c>
      <c r="C26" s="6" t="s">
        <v>12</v>
      </c>
      <c r="D26" s="7" t="s">
        <v>105</v>
      </c>
      <c r="E26" s="8" t="s">
        <v>106</v>
      </c>
      <c r="F26" s="6" t="s">
        <v>107</v>
      </c>
      <c r="G26" s="9">
        <f>IF(A26=1,"_",IF(C26="_","???",C26))</f>
        <v/>
      </c>
      <c r="H26" s="10" t="s">
        <v>12</v>
      </c>
      <c r="I26" s="11" t="s">
        <v>12</v>
      </c>
      <c r="J26" s="12"/>
    </row>
    <row r="27" spans="1:10" ht="60" customHeight="1">
      <c r="A27" s="6" t="s">
        <v>108</v>
      </c>
      <c r="B27" s="6" t="s">
        <v>16</v>
      </c>
      <c r="C27" s="6" t="s">
        <v>12</v>
      </c>
      <c r="D27" s="7" t="s">
        <v>109</v>
      </c>
      <c r="E27" s="8" t="s">
        <v>110</v>
      </c>
      <c r="F27" s="6" t="s">
        <v>111</v>
      </c>
      <c r="G27" s="9">
        <f>IF(A27=1,"_",IF(C27="_","???",C27))</f>
        <v/>
      </c>
      <c r="H27" s="10" t="s">
        <v>12</v>
      </c>
      <c r="I27" s="11" t="s">
        <v>12</v>
      </c>
      <c r="J27" s="12"/>
    </row>
    <row r="28" spans="1:10" ht="60" customHeight="1">
      <c r="A28" s="6" t="s">
        <v>112</v>
      </c>
      <c r="B28" s="6" t="s">
        <v>112</v>
      </c>
      <c r="C28" s="6" t="s">
        <v>12</v>
      </c>
      <c r="D28" s="7" t="s">
        <v>26</v>
      </c>
      <c r="E28" s="8" t="s">
        <v>113</v>
      </c>
      <c r="F28" s="6" t="s">
        <v>114</v>
      </c>
      <c r="G28" s="9">
        <f>IF(A28=1,"_",IF(C28="_","???",C28))</f>
        <v/>
      </c>
      <c r="H28" s="10" t="s">
        <v>12</v>
      </c>
      <c r="I28" s="11" t="s">
        <v>12</v>
      </c>
      <c r="J28" s="12"/>
    </row>
    <row r="29" spans="1:10" ht="60" customHeight="1">
      <c r="A29" s="6" t="s">
        <v>115</v>
      </c>
      <c r="B29" s="6" t="s">
        <v>36</v>
      </c>
      <c r="C29" s="6" t="s">
        <v>12</v>
      </c>
      <c r="D29" s="7" t="s">
        <v>116</v>
      </c>
      <c r="E29" s="8" t="s">
        <v>117</v>
      </c>
      <c r="F29" s="6" t="s">
        <v>118</v>
      </c>
      <c r="G29" s="9">
        <f>IF(A29=1,"_",IF(C29="_","???",C29))</f>
        <v/>
      </c>
      <c r="H29" s="10" t="s">
        <v>12</v>
      </c>
      <c r="I29" s="11" t="s">
        <v>12</v>
      </c>
      <c r="J29" s="12"/>
    </row>
    <row r="30" spans="1:10" ht="60" customHeight="1">
      <c r="A30" s="6" t="s">
        <v>119</v>
      </c>
      <c r="B30" s="6" t="s">
        <v>21</v>
      </c>
      <c r="C30" s="6" t="s">
        <v>12</v>
      </c>
      <c r="D30" s="7" t="s">
        <v>120</v>
      </c>
      <c r="E30" s="8" t="s">
        <v>121</v>
      </c>
      <c r="F30" s="6" t="s">
        <v>122</v>
      </c>
      <c r="G30" s="9">
        <f>IF(A30=1,"_",IF(C30="_","???",C30))</f>
        <v/>
      </c>
      <c r="H30" s="10" t="s">
        <v>12</v>
      </c>
      <c r="I30" s="11" t="s">
        <v>12</v>
      </c>
      <c r="J30" s="12"/>
    </row>
    <row r="31" spans="1:10" ht="60" customHeight="1">
      <c r="A31" s="6" t="s">
        <v>123</v>
      </c>
      <c r="B31" s="6" t="s">
        <v>56</v>
      </c>
      <c r="C31" s="6" t="s">
        <v>12</v>
      </c>
      <c r="D31" s="7" t="s">
        <v>124</v>
      </c>
      <c r="E31" s="8" t="s">
        <v>125</v>
      </c>
      <c r="F31" s="6" t="s">
        <v>126</v>
      </c>
      <c r="G31" s="9">
        <f>IF(A31=1,"_",IF(C31="_","???",C31))</f>
        <v/>
      </c>
      <c r="H31" s="10" t="s">
        <v>12</v>
      </c>
      <c r="I31" s="11" t="s">
        <v>12</v>
      </c>
      <c r="J31" s="12"/>
    </row>
    <row r="32" spans="1:10" ht="60" customHeight="1">
      <c r="A32" s="6" t="s">
        <v>127</v>
      </c>
      <c r="B32" s="6" t="s">
        <v>16</v>
      </c>
      <c r="C32" s="6" t="s">
        <v>12</v>
      </c>
      <c r="D32" s="7" t="s">
        <v>128</v>
      </c>
      <c r="E32" s="8" t="s">
        <v>129</v>
      </c>
      <c r="F32" s="6" t="s">
        <v>130</v>
      </c>
      <c r="G32" s="9">
        <f>IF(A32=1,"_",IF(C32="_","???",C32))</f>
        <v/>
      </c>
      <c r="H32" s="10" t="s">
        <v>12</v>
      </c>
      <c r="I32" s="11" t="s">
        <v>12</v>
      </c>
      <c r="J3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64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131</v>
      </c>
      <c r="B1" s="13" t="s">
        <v>132</v>
      </c>
      <c r="C1" s="13" t="s">
        <v>133</v>
      </c>
      <c r="D1" s="13" t="s">
        <v>134</v>
      </c>
      <c r="E1" s="14" t="s">
        <v>135</v>
      </c>
      <c r="F1" s="15" t="s">
        <v>136</v>
      </c>
      <c r="G1" s="16" t="s">
        <v>137</v>
      </c>
      <c r="H1" s="17" t="s">
        <v>138</v>
      </c>
      <c r="I1" s="18" t="s">
        <v>139</v>
      </c>
      <c r="J1" s="18" t="s">
        <v>140</v>
      </c>
      <c r="K1" s="18" t="s">
        <v>141</v>
      </c>
      <c r="L1" s="19" t="s">
        <v>9</v>
      </c>
    </row>
    <row r="2" spans="1:12">
      <c r="A2" s="20" t="s">
        <v>142</v>
      </c>
    </row>
    <row r="3" spans="1:12">
      <c r="A3" s="20" t="s">
        <v>143</v>
      </c>
      <c r="B3" s="21" t="s">
        <v>144</v>
      </c>
      <c r="C3" s="21" t="s">
        <v>145</v>
      </c>
      <c r="D3" s="21" t="s">
        <v>146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147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148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t="s">
        <v>13</v>
      </c>
      <c r="B6" s="21" t="s">
        <v>149</v>
      </c>
      <c r="C6" s="21" t="s">
        <v>150</v>
      </c>
      <c r="E6" s="22">
        <f>IF(D6="?OLD","!!!","")</f>
        <v/>
      </c>
      <c r="F6" s="23" t="str">
        <f>IF(OR(E6="",E6="!!!"),"",IF(NOT(ISNA(VLOOKUP(E6,E$1:E5,1,FALSE()))),"OLD",IF(AND(E6&lt;&gt;"",E6&lt;&gt;"!!!"),"NEW","")))</f>
        <v> </v>
      </c>
      <c r="G6" s="24" t="str">
        <f>IF(OR(E6="",E6="!!!"),"",IF(OR(J6=0,AND(J6=1,K6=1),AND(J6=1,I6="SBJ"),AND(J6=1,I6=0)),"?IN_FOCUS",IF(J6&lt;=2,"?ACTIVATED",IF(J6&lt;&gt;"","?FAMILIAR",IF(F6="NEW",IF(ISNA(VLOOKUP(E6,#REF!,1,FALSE())),"?TYPE_IDENTIFIABLE","?REFERENTIAL"),"_")))))</f>
        <v> </v>
      </c>
      <c r="H6" s="25" t="str">
        <f>IF(J6&lt;&gt;1,"",IF(I6="SBJ","CB","?"))</f>
        <v> </v>
      </c>
      <c r="I6" s="26" t="str">
        <f>IF(OR(E6="",E6="!!!",F6="NEW"),"",INDEX(B5:B$2,-1+SUMPRODUCT(MAX(ROW(E5:E$2)*(E6=E5:E$2)))))</f>
        <v> </v>
      </c>
      <c r="J6" s="26" t="str">
        <f>IF(OR(E6="",E6="!!!",F6="NEW"),"",COUNTBLANK(OFFSET(A$1,,,SUMPRODUCT(MAX(ROW(E$2:E6)*(E6=E$2:E6)))))-COUNTBLANK(OFFSET(A$1,,,SUMPRODUCT(MAX(ROW(E$1:E5)*(E2=E$1:E5))))))</f>
        <v> </v>
      </c>
      <c r="K6" s="26" t="str">
        <f>IF(OR(E6="",E6="!!!",F6="NEW"),"",INDEX(J$1:J5,SUMPRODUCT(MAX(ROW(E$1:E5)*(E6=E$1:E5)))))</f>
        <v> </v>
      </c>
      <c r="L6" s="27"/>
    </row>
    <row r="7" spans="1:12">
      <c r="A7" s="20" t="s">
        <v>151</v>
      </c>
      <c r="B7" s="21" t="s">
        <v>149</v>
      </c>
      <c r="C7" s="21" t="s">
        <v>145</v>
      </c>
      <c r="D7" s="21" t="s">
        <v>146</v>
      </c>
      <c r="E7" s="22">
        <f>IF(D7="?OLD","!!!","")</f>
        <v/>
      </c>
      <c r="F7" s="23" t="str">
        <f>IF(OR(E7="",E7="!!!"),"",IF(NOT(ISNA(VLOOKUP(E7,E$1:E6,1,FALSE()))),"OLD",IF(AND(E7&lt;&gt;"",E7&lt;&gt;"!!!"),"NEW","")))</f>
        <v> </v>
      </c>
      <c r="G7" s="24" t="str">
        <f>IF(OR(E7="",E7="!!!"),"",IF(OR(J7=0,AND(J7=1,K7=1),AND(J7=1,I7="SBJ"),AND(J7=1,I7=0)),"?IN_FOCUS",IF(J7&lt;=2,"?ACTIVATED",IF(J7&lt;&gt;"","?FAMILIAR",IF(F7="NEW",IF(ISNA(VLOOKUP(E7,#REF!,1,FALSE())),"?TYPE_IDENTIFIABLE","?REFERENTIAL"),"_")))))</f>
        <v> </v>
      </c>
      <c r="H7" s="25" t="str">
        <f>IF(J7&lt;&gt;1,"",IF(I7="SBJ","CB","?"))</f>
        <v> </v>
      </c>
      <c r="I7" s="26" t="str">
        <f>IF(OR(E7="",E7="!!!",F7="NEW"),"",INDEX(B6:B$2,-1+SUMPRODUCT(MAX(ROW(E6:E$2)*(E7=E6:E$2)))))</f>
        <v> </v>
      </c>
      <c r="J7" s="26" t="str">
        <f>IF(OR(E7="",E7="!!!",F7="NEW"),"",COUNTBLANK(OFFSET(A$1,,,SUMPRODUCT(MAX(ROW(E$2:E7)*(E7=E$2:E7)))))-COUNTBLANK(OFFSET(A$1,,,SUMPRODUCT(MAX(ROW(E$1:E6)*(E2=E$1:E6))))))</f>
        <v> </v>
      </c>
      <c r="K7" s="26" t="str">
        <f>IF(OR(E7="",E7="!!!",F7="NEW"),"",INDEX(J$1:J6,SUMPRODUCT(MAX(ROW(E$1:E6)*(E7=E$1:E6)))))</f>
        <v> </v>
      </c>
      <c r="L7" s="27"/>
    </row>
    <row r="8" spans="1:12">
      <c r="A8" s="20" t="s">
        <v>152</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row>
    <row r="10" spans="1:12">
      <c r="A10" s="20" t="s">
        <v>153</v>
      </c>
    </row>
    <row r="11" spans="1:12">
      <c r="A11" s="20" t="s">
        <v>154</v>
      </c>
      <c r="E11" s="22">
        <f>IF(D11="?OLD","!!!","")</f>
        <v/>
      </c>
      <c r="F11" s="23" t="str">
        <f>IF(OR(E11="",E11="!!!"),"",IF(NOT(ISNA(VLOOKUP(E11,E$1:E10,1,FALSE()))),"OLD",IF(AND(E11&lt;&gt;"",E11&lt;&gt;"!!!"),"NEW","")))</f>
        <v> </v>
      </c>
      <c r="G11" s="24" t="str">
        <f>IF(OR(E11="",E11="!!!"),"",IF(OR(J11=0,AND(J11=1,K11=1),AND(J11=1,I11="SBJ"),AND(J11=1,I11=0)),"?IN_FOCUS",IF(J11&lt;=2,"?ACTIVATED",IF(J11&lt;&gt;"","?FAMILIAR",IF(F11="NEW",IF(ISNA(VLOOKUP(E11,#REF!,1,FALSE())),"?TYPE_IDENTIFIABLE","?REFERENTIAL"),"_")))))</f>
        <v> </v>
      </c>
      <c r="H11" s="25" t="str">
        <f>IF(J11&lt;&gt;1,"",IF(I11="SBJ","CB","?"))</f>
        <v> </v>
      </c>
      <c r="I11" s="26" t="str">
        <f>IF(OR(E11="",E11="!!!",F11="NEW"),"",INDEX(B10:B$2,-1+SUMPRODUCT(MAX(ROW(E10:E$2)*(E11=E10:E$2)))))</f>
        <v> </v>
      </c>
      <c r="J11" s="26" t="str">
        <f>IF(OR(E11="",E11="!!!",F11="NEW"),"",COUNTBLANK(OFFSET(A$1,,,SUMPRODUCT(MAX(ROW(E$2:E11)*(E11=E$2:E11)))))-COUNTBLANK(OFFSET(A$1,,,SUMPRODUCT(MAX(ROW(E$1:E10)*(E2=E$1:E10))))))</f>
        <v> </v>
      </c>
      <c r="K11" s="26" t="str">
        <f>IF(OR(E11="",E11="!!!",F11="NEW"),"",INDEX(J$1:J10,SUMPRODUCT(MAX(ROW(E$1:E10)*(E11=E$1:E10)))))</f>
        <v> </v>
      </c>
      <c r="L11" s="27"/>
    </row>
    <row r="12" spans="1:12">
      <c r="A12" s="20" t="s">
        <v>155</v>
      </c>
      <c r="E12" s="22">
        <f>IF(D12="?OLD","!!!","")</f>
        <v/>
      </c>
      <c r="F12" s="23" t="str">
        <f>IF(OR(E12="",E12="!!!"),"",IF(NOT(ISNA(VLOOKUP(E12,E$1:E11,1,FALSE()))),"OLD",IF(AND(E12&lt;&gt;"",E12&lt;&gt;"!!!"),"NEW","")))</f>
        <v> </v>
      </c>
      <c r="G12" s="24" t="str">
        <f>IF(OR(E12="",E12="!!!"),"",IF(OR(J12=0,AND(J12=1,K12=1),AND(J12=1,I12="SBJ"),AND(J12=1,I12=0)),"?IN_FOCUS",IF(J12&lt;=2,"?ACTIVATED",IF(J12&lt;&gt;"","?FAMILIAR",IF(F12="NEW",IF(ISNA(VLOOKUP(E12,#REF!,1,FALSE())),"?TYPE_IDENTIFIABLE","?REFERENTIAL"),"_")))))</f>
        <v> </v>
      </c>
      <c r="H12" s="25" t="str">
        <f>IF(J12&lt;&gt;1,"",IF(I12="SBJ","CB","?"))</f>
        <v> </v>
      </c>
      <c r="I12" s="26" t="str">
        <f>IF(OR(E12="",E12="!!!",F12="NEW"),"",INDEX(B11:B$2,-1+SUMPRODUCT(MAX(ROW(E11:E$2)*(E12=E11:E$2)))))</f>
        <v> </v>
      </c>
      <c r="J12" s="26" t="str">
        <f>IF(OR(E12="",E12="!!!",F12="NEW"),"",COUNTBLANK(OFFSET(A$1,,,SUMPRODUCT(MAX(ROW(E$2:E12)*(E12=E$2:E12)))))-COUNTBLANK(OFFSET(A$1,,,SUMPRODUCT(MAX(ROW(E$1:E11)*(E2=E$1:E11))))))</f>
        <v> </v>
      </c>
      <c r="K12" s="26" t="str">
        <f>IF(OR(E12="",E12="!!!",F12="NEW"),"",INDEX(J$1:J11,SUMPRODUCT(MAX(ROW(E$1:E11)*(E12=E$1:E11)))))</f>
        <v> </v>
      </c>
      <c r="L12" s="27"/>
    </row>
    <row r="13" spans="1:12">
      <c r="A13" s="20" t="s">
        <v>156</v>
      </c>
      <c r="B13" s="21" t="s">
        <v>157</v>
      </c>
      <c r="C13" s="21" t="s">
        <v>158</v>
      </c>
      <c r="D13" s="21" t="s">
        <v>146</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159</v>
      </c>
      <c r="B14" s="21" t="s">
        <v>144</v>
      </c>
      <c r="C14" s="21" t="s">
        <v>145</v>
      </c>
      <c r="D14" s="21" t="s">
        <v>146</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147</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160</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161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162</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13</v>
      </c>
      <c r="B19" s="21" t="s">
        <v>163</v>
      </c>
      <c r="C19" s="21" t="s">
        <v>164</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151</v>
      </c>
      <c r="B20" s="21" t="s">
        <v>165</v>
      </c>
      <c r="C20" s="21" t="s">
        <v>145</v>
      </c>
      <c r="D20" s="21" t="s">
        <v>146</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152</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166</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167</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row>
    <row r="25" spans="1:12">
      <c r="A25" s="20" t="s">
        <v>168</v>
      </c>
    </row>
    <row r="26" spans="1:12">
      <c r="A26" s="20" t="s">
        <v>152</v>
      </c>
      <c r="B26" s="21" t="s">
        <v>157</v>
      </c>
      <c r="C26" s="21" t="s">
        <v>145</v>
      </c>
      <c r="D26" s="21" t="s">
        <v>146</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t="s">
        <v>169</v>
      </c>
      <c r="E27" s="22">
        <f>IF(D27="?OLD","!!!","")</f>
        <v/>
      </c>
      <c r="F27" s="23" t="str">
        <f>IF(OR(E27="",E27="!!!"),"",IF(NOT(ISNA(VLOOKUP(E27,E$1:E26,1,FALSE()))),"OLD",IF(AND(E27&lt;&gt;"",E27&lt;&gt;"!!!"),"NEW","")))</f>
        <v> </v>
      </c>
      <c r="G27" s="24" t="str">
        <f>IF(OR(E27="",E27="!!!"),"",IF(OR(J27=0,AND(J27=1,K27=1),AND(J27=1,I27="SBJ"),AND(J27=1,I27=0)),"?IN_FOCUS",IF(J27&lt;=2,"?ACTIVATED",IF(J27&lt;&gt;"","?FAMILIAR",IF(F27="NEW",IF(ISNA(VLOOKUP(E27,#REF!,1,FALSE())),"?TYPE_IDENTIFIABLE","?REFERENTIAL"),"_")))))</f>
        <v> </v>
      </c>
      <c r="H27" s="25" t="str">
        <f>IF(J27&lt;&gt;1,"",IF(I27="SBJ","CB","?"))</f>
        <v> </v>
      </c>
      <c r="I27" s="26" t="str">
        <f>IF(OR(E27="",E27="!!!",F27="NEW"),"",INDEX(B26:B$2,-1+SUMPRODUCT(MAX(ROW(E26:E$2)*(E27=E26:E$2)))))</f>
        <v> </v>
      </c>
      <c r="J27" s="26" t="str">
        <f>IF(OR(E27="",E27="!!!",F27="NEW"),"",COUNTBLANK(OFFSET(A$1,,,SUMPRODUCT(MAX(ROW(E$2:E27)*(E27=E$2:E27)))))-COUNTBLANK(OFFSET(A$1,,,SUMPRODUCT(MAX(ROW(E$1:E26)*(E2=E$1:E26))))))</f>
        <v> </v>
      </c>
      <c r="K27" s="26" t="str">
        <f>IF(OR(E27="",E27="!!!",F27="NEW"),"",INDEX(J$1:J26,SUMPRODUCT(MAX(ROW(E$1:E26)*(E27=E$1:E26)))))</f>
        <v> </v>
      </c>
      <c r="L27" s="27"/>
    </row>
    <row r="28" spans="1:12">
      <c r="A28" s="20" t="s">
        <v>170</v>
      </c>
      <c r="E28" s="22">
        <f>IF(D28="?OLD","!!!","")</f>
        <v/>
      </c>
      <c r="F28" s="23" t="str">
        <f>IF(OR(E28="",E28="!!!"),"",IF(NOT(ISNA(VLOOKUP(E28,E$1:E27,1,FALSE()))),"OLD",IF(AND(E28&lt;&gt;"",E28&lt;&gt;"!!!"),"NEW","")))</f>
        <v> </v>
      </c>
      <c r="G28" s="24" t="str">
        <f>IF(OR(E28="",E28="!!!"),"",IF(OR(J28=0,AND(J28=1,K28=1),AND(J28=1,I28="SBJ"),AND(J28=1,I28=0)),"?IN_FOCUS",IF(J28&lt;=2,"?ACTIVATED",IF(J28&lt;&gt;"","?FAMILIAR",IF(F28="NEW",IF(ISNA(VLOOKUP(E28,#REF!,1,FALSE())),"?TYPE_IDENTIFIABLE","?REFERENTIAL"),"_")))))</f>
        <v> </v>
      </c>
      <c r="H28" s="25" t="str">
        <f>IF(J28&lt;&gt;1,"",IF(I28="SBJ","CB","?"))</f>
        <v> </v>
      </c>
      <c r="I28" s="26" t="str">
        <f>IF(OR(E28="",E28="!!!",F28="NEW"),"",INDEX(B27:B$2,-1+SUMPRODUCT(MAX(ROW(E27:E$2)*(E28=E27:E$2)))))</f>
        <v> </v>
      </c>
      <c r="J28" s="26" t="str">
        <f>IF(OR(E28="",E28="!!!",F28="NEW"),"",COUNTBLANK(OFFSET(A$1,,,SUMPRODUCT(MAX(ROW(E$2:E28)*(E28=E$2:E28)))))-COUNTBLANK(OFFSET(A$1,,,SUMPRODUCT(MAX(ROW(E$1:E27)*(E2=E$1:E27))))))</f>
        <v> </v>
      </c>
      <c r="K28" s="26" t="str">
        <f>IF(OR(E28="",E28="!!!",F28="NEW"),"",INDEX(J$1:J27,SUMPRODUCT(MAX(ROW(E$1:E27)*(E28=E$1:E27)))))</f>
        <v> </v>
      </c>
      <c r="L28" s="27"/>
    </row>
    <row r="29" spans="1:12">
      <c r="A29" s="20" t="s">
        <v>171</v>
      </c>
      <c r="B29" s="21" t="s">
        <v>149</v>
      </c>
      <c r="C29" s="21" t="s">
        <v>172</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173</v>
      </c>
      <c r="B30" s="21" t="s">
        <v>149</v>
      </c>
      <c r="C30" s="21" t="s">
        <v>150</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174</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175</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176</v>
      </c>
      <c r="B33" s="21" t="s">
        <v>149</v>
      </c>
      <c r="C33" s="21" t="s">
        <v>158</v>
      </c>
      <c r="D33" s="21" t="s">
        <v>146</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177</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147</v>
      </c>
      <c r="B35" s="21" t="s">
        <v>144</v>
      </c>
      <c r="C35" s="21" t="s">
        <v>150</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t="s">
        <v>167</v>
      </c>
      <c r="E36" s="22">
        <f>IF(D36="?OLD","!!!","")</f>
        <v/>
      </c>
      <c r="F36" s="23" t="str">
        <f>IF(OR(E36="",E36="!!!"),"",IF(NOT(ISNA(VLOOKUP(E36,E$1:E35,1,FALSE()))),"OLD",IF(AND(E36&lt;&gt;"",E36&lt;&gt;"!!!"),"NEW","")))</f>
        <v> </v>
      </c>
      <c r="G36" s="24" t="str">
        <f>IF(OR(E36="",E36="!!!"),"",IF(OR(J36=0,AND(J36=1,K36=1),AND(J36=1,I36="SBJ"),AND(J36=1,I36=0)),"?IN_FOCUS",IF(J36&lt;=2,"?ACTIVATED",IF(J36&lt;&gt;"","?FAMILIAR",IF(F36="NEW",IF(ISNA(VLOOKUP(E36,#REF!,1,FALSE())),"?TYPE_IDENTIFIABLE","?REFERENTIAL"),"_")))))</f>
        <v> </v>
      </c>
      <c r="H36" s="25" t="str">
        <f>IF(J36&lt;&gt;1,"",IF(I36="SBJ","CB","?"))</f>
        <v> </v>
      </c>
      <c r="I36" s="26" t="str">
        <f>IF(OR(E36="",E36="!!!",F36="NEW"),"",INDEX(B35:B$2,-1+SUMPRODUCT(MAX(ROW(E35:E$2)*(E36=E35:E$2)))))</f>
        <v> </v>
      </c>
      <c r="J36" s="26" t="str">
        <f>IF(OR(E36="",E36="!!!",F36="NEW"),"",COUNTBLANK(OFFSET(A$1,,,SUMPRODUCT(MAX(ROW(E$2:E36)*(E36=E$2:E36)))))-COUNTBLANK(OFFSET(A$1,,,SUMPRODUCT(MAX(ROW(E$1:E35)*(E2=E$1:E35))))))</f>
        <v> </v>
      </c>
      <c r="K36" s="26" t="str">
        <f>IF(OR(E36="",E36="!!!",F36="NEW"),"",INDEX(J$1:J35,SUMPRODUCT(MAX(ROW(E$1:E35)*(E36=E$1:E35)))))</f>
        <v> </v>
      </c>
      <c r="L36" s="27"/>
    </row>
    <row r="37" spans="1:12">
      <c r="A37" s="20"/>
    </row>
    <row r="38" spans="1:12">
      <c r="A38" s="20" t="s">
        <v>178</v>
      </c>
    </row>
    <row r="39" spans="1:12">
      <c r="A39" s="20" t="s">
        <v>154</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179</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12</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180</v>
      </c>
      <c r="B42" s="21" t="s">
        <v>157</v>
      </c>
      <c r="C42" s="21" t="s">
        <v>181</v>
      </c>
      <c r="D42" s="21" t="s">
        <v>146</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182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183</v>
      </c>
      <c r="B44" s="21" t="s">
        <v>144</v>
      </c>
      <c r="C44" s="21" t="s">
        <v>184</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185</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186</v>
      </c>
      <c r="B46" s="21" t="s">
        <v>149</v>
      </c>
      <c r="C46" s="21" t="s">
        <v>158</v>
      </c>
      <c r="D46" s="21" t="s">
        <v>146</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187</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188</v>
      </c>
      <c r="B48" s="21" t="s">
        <v>144</v>
      </c>
      <c r="C48" s="21" t="s">
        <v>150</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12</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189</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190</v>
      </c>
      <c r="B51" s="21" t="s">
        <v>165</v>
      </c>
      <c r="C51" s="21" t="s">
        <v>150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191</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167</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row>
    <row r="55" spans="1:12">
      <c r="A55" s="20" t="s">
        <v>192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193</v>
      </c>
    </row>
    <row r="57" spans="1:12">
      <c r="A57" s="20" t="s">
        <v>194</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195</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196</v>
      </c>
      <c r="B59" s="21" t="s">
        <v>149</v>
      </c>
      <c r="C59" s="21" t="s">
        <v>197</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174</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198</v>
      </c>
      <c r="B61" s="21" t="s">
        <v>144</v>
      </c>
      <c r="C61" s="21" t="s">
        <v>158</v>
      </c>
      <c r="D61" s="21" t="s">
        <v>146</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199</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200</v>
      </c>
      <c r="B63" s="21" t="s">
        <v>157</v>
      </c>
      <c r="C63" s="21" t="s">
        <v>201</v>
      </c>
      <c r="D63" s="21" t="s">
        <v>146</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202</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203</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147</v>
      </c>
      <c r="B66" s="21" t="s">
        <v>163</v>
      </c>
      <c r="C66" s="21" t="s">
        <v>145</v>
      </c>
      <c r="D66" s="21" t="s">
        <v>146</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204</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205</v>
      </c>
      <c r="B68" s="21" t="s">
        <v>144</v>
      </c>
      <c r="C68" s="21" t="s">
        <v>150</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177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206</v>
      </c>
      <c r="B70" s="21" t="s">
        <v>165</v>
      </c>
      <c r="C70" s="21" t="s">
        <v>150</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207</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t="s">
        <v>208</v>
      </c>
      <c r="E72" s="22">
        <f>IF(D72="?OLD","!!!","")</f>
        <v/>
      </c>
      <c r="F72" s="23" t="str">
        <f>IF(OR(E72="",E72="!!!"),"",IF(NOT(ISNA(VLOOKUP(E72,E$1:E71,1,FALSE()))),"OLD",IF(AND(E72&lt;&gt;"",E72&lt;&gt;"!!!"),"NEW","")))</f>
        <v> </v>
      </c>
      <c r="G72" s="24" t="str">
        <f>IF(OR(E72="",E72="!!!"),"",IF(OR(J72=0,AND(J72=1,K72=1),AND(J72=1,I72="SBJ"),AND(J72=1,I72=0)),"?IN_FOCUS",IF(J72&lt;=2,"?ACTIVATED",IF(J72&lt;&gt;"","?FAMILIAR",IF(F72="NEW",IF(ISNA(VLOOKUP(E72,#REF!,1,FALSE())),"?TYPE_IDENTIFIABLE","?REFERENTIAL"),"_")))))</f>
        <v> </v>
      </c>
      <c r="H72" s="25" t="str">
        <f>IF(J72&lt;&gt;1,"",IF(I72="SBJ","CB","?"))</f>
        <v> </v>
      </c>
      <c r="I72" s="26" t="str">
        <f>IF(OR(E72="",E72="!!!",F72="NEW"),"",INDEX(B71:B$2,-1+SUMPRODUCT(MAX(ROW(E71:E$2)*(E72=E71:E$2)))))</f>
        <v> </v>
      </c>
      <c r="J72" s="26" t="str">
        <f>IF(OR(E72="",E72="!!!",F72="NEW"),"",COUNTBLANK(OFFSET(A$1,,,SUMPRODUCT(MAX(ROW(E$2:E72)*(E72=E$2:E72)))))-COUNTBLANK(OFFSET(A$1,,,SUMPRODUCT(MAX(ROW(E$1:E71)*(E2=E$1:E71))))))</f>
        <v> </v>
      </c>
      <c r="K72" s="26" t="str">
        <f>IF(OR(E72="",E72="!!!",F72="NEW"),"",INDEX(J$1:J71,SUMPRODUCT(MAX(ROW(E$1:E71)*(E72=E$1:E71)))))</f>
        <v> </v>
      </c>
      <c r="L72" s="27"/>
    </row>
    <row r="73" spans="1:12">
      <c r="A73" s="20" t="s">
        <v>209</v>
      </c>
      <c r="B73" s="21" t="s">
        <v>163</v>
      </c>
      <c r="C73" s="21" t="s">
        <v>158</v>
      </c>
      <c r="D73" s="21" t="s">
        <v>146</v>
      </c>
      <c r="E73" s="22">
        <f>IF(D73="?OLD","!!!","")</f>
        <v/>
      </c>
      <c r="F73" s="23" t="str">
        <f>IF(OR(E73="",E73="!!!"),"",IF(NOT(ISNA(VLOOKUP(E73,E$1:E72,1,FALSE()))),"OLD",IF(AND(E73&lt;&gt;"",E73&lt;&gt;"!!!"),"NEW","")))</f>
        <v> </v>
      </c>
      <c r="G73" s="24" t="str">
        <f>IF(OR(E73="",E73="!!!"),"",IF(OR(J73=0,AND(J73=1,K73=1),AND(J73=1,I73="SBJ"),AND(J73=1,I73=0)),"?IN_FOCUS",IF(J73&lt;=2,"?ACTIVATED",IF(J73&lt;&gt;"","?FAMILIAR",IF(F73="NEW",IF(ISNA(VLOOKUP(E73,#REF!,1,FALSE())),"?TYPE_IDENTIFIABLE","?REFERENTIAL"),"_")))))</f>
        <v> </v>
      </c>
      <c r="H73" s="25" t="str">
        <f>IF(J73&lt;&gt;1,"",IF(I73="SBJ","CB","?"))</f>
        <v> </v>
      </c>
      <c r="I73" s="26" t="str">
        <f>IF(OR(E73="",E73="!!!",F73="NEW"),"",INDEX(B72:B$2,-1+SUMPRODUCT(MAX(ROW(E72:E$2)*(E73=E72:E$2)))))</f>
        <v> </v>
      </c>
      <c r="J73" s="26" t="str">
        <f>IF(OR(E73="",E73="!!!",F73="NEW"),"",COUNTBLANK(OFFSET(A$1,,,SUMPRODUCT(MAX(ROW(E$2:E73)*(E73=E$2:E73)))))-COUNTBLANK(OFFSET(A$1,,,SUMPRODUCT(MAX(ROW(E$1:E72)*(E2=E$1:E72))))))</f>
        <v> </v>
      </c>
      <c r="K73" s="26" t="str">
        <f>IF(OR(E73="",E73="!!!",F73="NEW"),"",INDEX(J$1:J72,SUMPRODUCT(MAX(ROW(E$1:E72)*(E73=E$1:E72)))))</f>
        <v> </v>
      </c>
      <c r="L73" s="27"/>
    </row>
    <row r="74" spans="1:12">
      <c r="A74" s="20" t="s">
        <v>210</v>
      </c>
      <c r="B74" s="21" t="s">
        <v>165</v>
      </c>
      <c r="C74" s="21" t="s">
        <v>145</v>
      </c>
      <c r="D74" s="21" t="s">
        <v>146</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177</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162</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211</v>
      </c>
      <c r="B77" s="21" t="s">
        <v>144</v>
      </c>
      <c r="C77" s="21" t="s">
        <v>164</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212</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213</v>
      </c>
      <c r="B79" s="21" t="s">
        <v>144</v>
      </c>
      <c r="C79" s="21" t="s">
        <v>150</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214</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215</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216</v>
      </c>
      <c r="B82" s="21" t="s">
        <v>165</v>
      </c>
      <c r="C82" s="21" t="s">
        <v>158</v>
      </c>
      <c r="D82" s="21" t="s">
        <v>146</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217</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218</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207</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167</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row>
    <row r="88" spans="1:12">
      <c r="A88" s="20" t="s">
        <v>219</v>
      </c>
    </row>
    <row r="89" spans="1:12">
      <c r="A89" s="20" t="s">
        <v>220</v>
      </c>
      <c r="B89" s="21" t="s">
        <v>157</v>
      </c>
      <c r="C89" s="21" t="s">
        <v>145</v>
      </c>
      <c r="D89" s="21" t="s">
        <v>146</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221</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202</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214</v>
      </c>
      <c r="B92" s="21" t="s">
        <v>222</v>
      </c>
      <c r="C92" s="21" t="s">
        <v>223</v>
      </c>
      <c r="D92" s="21" t="s">
        <v>146</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224</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225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210</v>
      </c>
      <c r="B95" s="21" t="s">
        <v>165</v>
      </c>
      <c r="C95" s="21" t="s">
        <v>172</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226</v>
      </c>
      <c r="B96" s="21" t="s">
        <v>144</v>
      </c>
      <c r="C96" s="21" t="s">
        <v>150</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169</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202</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182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183</v>
      </c>
      <c r="B100" s="21" t="s">
        <v>144</v>
      </c>
      <c r="C100" s="21" t="s">
        <v>184</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227</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228</v>
      </c>
      <c r="B102" s="21" t="s">
        <v>149</v>
      </c>
      <c r="C102" s="21" t="s">
        <v>164</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t="s">
        <v>191</v>
      </c>
      <c r="E103" s="22">
        <f>IF(D103="?OLD","!!!","")</f>
        <v/>
      </c>
      <c r="F103" s="23" t="str">
        <f>IF(OR(E103="",E103="!!!"),"",IF(NOT(ISNA(VLOOKUP(E103,E$1:E102,1,FALSE()))),"OLD",IF(AND(E103&lt;&gt;"",E103&lt;&gt;"!!!"),"NEW","")))</f>
        <v> </v>
      </c>
      <c r="G103" s="24" t="str">
        <f>IF(OR(E103="",E103="!!!"),"",IF(OR(J103=0,AND(J103=1,K103=1),AND(J103=1,I103="SBJ"),AND(J103=1,I103=0)),"?IN_FOCUS",IF(J103&lt;=2,"?ACTIVATED",IF(J103&lt;&gt;"","?FAMILIAR",IF(F103="NEW",IF(ISNA(VLOOKUP(E103,#REF!,1,FALSE())),"?TYPE_IDENTIFIABLE","?REFERENTIAL"),"_")))))</f>
        <v> </v>
      </c>
      <c r="H103" s="25" t="str">
        <f>IF(J103&lt;&gt;1,"",IF(I103="SBJ","CB","?"))</f>
        <v> </v>
      </c>
      <c r="I103" s="26" t="str">
        <f>IF(OR(E103="",E103="!!!",F103="NEW"),"",INDEX(B102:B$2,-1+SUMPRODUCT(MAX(ROW(E102:E$2)*(E103=E102:E$2)))))</f>
        <v> </v>
      </c>
      <c r="J103" s="26" t="str">
        <f>IF(OR(E103="",E103="!!!",F103="NEW"),"",COUNTBLANK(OFFSET(A$1,,,SUMPRODUCT(MAX(ROW(E$2:E103)*(E103=E$2:E103)))))-COUNTBLANK(OFFSET(A$1,,,SUMPRODUCT(MAX(ROW(E$1:E102)*(E2=E$1:E102))))))</f>
        <v> </v>
      </c>
      <c r="K103" s="26" t="str">
        <f>IF(OR(E103="",E103="!!!",F103="NEW"),"",INDEX(J$1:J102,SUMPRODUCT(MAX(ROW(E$1:E102)*(E103=E$1:E102)))))</f>
        <v> </v>
      </c>
      <c r="L103" s="27"/>
    </row>
    <row r="104" spans="1:12">
      <c r="A104" s="20" t="s">
        <v>167</v>
      </c>
      <c r="E104" s="22">
        <f>IF(D104="?OLD","!!!","")</f>
        <v/>
      </c>
      <c r="F104" s="23" t="str">
        <f>IF(OR(E104="",E104="!!!"),"",IF(NOT(ISNA(VLOOKUP(E104,E$1:E103,1,FALSE()))),"OLD",IF(AND(E104&lt;&gt;"",E104&lt;&gt;"!!!"),"NEW","")))</f>
        <v> </v>
      </c>
      <c r="G104" s="24" t="str">
        <f>IF(OR(E104="",E104="!!!"),"",IF(OR(J104=0,AND(J104=1,K104=1),AND(J104=1,I104="SBJ"),AND(J104=1,I104=0)),"?IN_FOCUS",IF(J104&lt;=2,"?ACTIVATED",IF(J104&lt;&gt;"","?FAMILIAR",IF(F104="NEW",IF(ISNA(VLOOKUP(E104,#REF!,1,FALSE())),"?TYPE_IDENTIFIABLE","?REFERENTIAL"),"_")))))</f>
        <v> </v>
      </c>
      <c r="H104" s="25" t="str">
        <f>IF(J104&lt;&gt;1,"",IF(I104="SBJ","CB","?"))</f>
        <v> </v>
      </c>
      <c r="I104" s="26" t="str">
        <f>IF(OR(E104="",E104="!!!",F104="NEW"),"",INDEX(B103:B$2,-1+SUMPRODUCT(MAX(ROW(E103:E$2)*(E104=E103:E$2)))))</f>
        <v> </v>
      </c>
      <c r="J104" s="26" t="str">
        <f>IF(OR(E104="",E104="!!!",F104="NEW"),"",COUNTBLANK(OFFSET(A$1,,,SUMPRODUCT(MAX(ROW(E$2:E104)*(E104=E$2:E104)))))-COUNTBLANK(OFFSET(A$1,,,SUMPRODUCT(MAX(ROW(E$1:E103)*(E2=E$1:E103))))))</f>
        <v> </v>
      </c>
      <c r="K104" s="26" t="str">
        <f>IF(OR(E104="",E104="!!!",F104="NEW"),"",INDEX(J$1:J103,SUMPRODUCT(MAX(ROW(E$1:E103)*(E104=E$1:E103)))))</f>
        <v> </v>
      </c>
      <c r="L104" s="27"/>
    </row>
    <row r="105" spans="1:12">
      <c r="A105" s="20"/>
    </row>
    <row r="106" spans="1:12">
      <c r="A106" s="20" t="s">
        <v>229</v>
      </c>
    </row>
    <row r="107" spans="1:12">
      <c r="A107" s="20" t="s">
        <v>221</v>
      </c>
      <c r="B107" s="21" t="s">
        <v>157</v>
      </c>
      <c r="C107" s="21" t="s">
        <v>145</v>
      </c>
      <c r="D107" s="21" t="s">
        <v>146</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202</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230</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202</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231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232</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233</v>
      </c>
      <c r="B113" s="21" t="s">
        <v>149</v>
      </c>
      <c r="C113" s="21" t="s">
        <v>150</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167</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row>
    <row r="116" spans="1:12">
      <c r="A116" s="20" t="s">
        <v>234</v>
      </c>
    </row>
    <row r="117" spans="1:12">
      <c r="A117" s="20" t="s">
        <v>235</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236</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214</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237</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238</v>
      </c>
      <c r="B121" s="21" t="s">
        <v>144</v>
      </c>
      <c r="C121" s="21" t="s">
        <v>158</v>
      </c>
      <c r="D121" s="21" t="s">
        <v>146</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239</v>
      </c>
      <c r="B122" s="21" t="s">
        <v>165</v>
      </c>
      <c r="C122" s="21" t="s">
        <v>145</v>
      </c>
      <c r="D122" s="21" t="s">
        <v>146</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240</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202</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241</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242</v>
      </c>
      <c r="B126" s="21" t="s">
        <v>157</v>
      </c>
      <c r="C126" s="21" t="s">
        <v>201</v>
      </c>
      <c r="D126" s="21" t="s">
        <v>146</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162</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243</v>
      </c>
      <c r="B128" s="21" t="s">
        <v>244</v>
      </c>
      <c r="C128" s="21" t="s">
        <v>164</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245</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185</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246</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247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248</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249</v>
      </c>
      <c r="B134" s="21" t="s">
        <v>149</v>
      </c>
      <c r="C134" s="21" t="s">
        <v>145</v>
      </c>
      <c r="D134" s="21" t="s">
        <v>146</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187</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250</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251</v>
      </c>
      <c r="B137" s="21" t="s">
        <v>144</v>
      </c>
      <c r="C137" s="21" t="s">
        <v>150</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252</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253</v>
      </c>
      <c r="B139" s="21" t="s">
        <v>165</v>
      </c>
      <c r="C139" s="21" t="s">
        <v>145</v>
      </c>
      <c r="D139" s="21" t="s">
        <v>146</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254</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189</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255</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236</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214</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256</v>
      </c>
      <c r="B145" s="21" t="s">
        <v>144</v>
      </c>
      <c r="C145" s="21" t="s">
        <v>158</v>
      </c>
      <c r="D145" s="21" t="s">
        <v>146</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236</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257</v>
      </c>
      <c r="B147" s="21" t="s">
        <v>144</v>
      </c>
      <c r="C147" s="21" t="s">
        <v>145</v>
      </c>
      <c r="D147" s="21" t="s">
        <v>146</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167</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row>
    <row r="150" spans="1:12">
      <c r="A150" s="20" t="s">
        <v>258</v>
      </c>
    </row>
    <row r="151" spans="1:12">
      <c r="A151" s="20" t="s">
        <v>259</v>
      </c>
      <c r="E151" s="22">
        <f>IF(D151="?OLD","!!!","")</f>
        <v/>
      </c>
      <c r="F151" s="23" t="str">
        <f>IF(OR(E151="",E151="!!!"),"",IF(NOT(ISNA(VLOOKUP(E151,E$1:E150,1,FALSE()))),"OLD",IF(AND(E151&lt;&gt;"",E151&lt;&gt;"!!!"),"NEW","")))</f>
        <v> </v>
      </c>
      <c r="G151" s="24" t="str">
        <f>IF(OR(E151="",E151="!!!"),"",IF(OR(J151=0,AND(J151=1,K151=1),AND(J151=1,I151="SBJ"),AND(J151=1,I151=0)),"?IN_FOCUS",IF(J151&lt;=2,"?ACTIVATED",IF(J151&lt;&gt;"","?FAMILIAR",IF(F151="NEW",IF(ISNA(VLOOKUP(E151,#REF!,1,FALSE())),"?TYPE_IDENTIFIABLE","?REFERENTIAL"),"_")))))</f>
        <v> </v>
      </c>
      <c r="H151" s="25" t="str">
        <f>IF(J151&lt;&gt;1,"",IF(I151="SBJ","CB","?"))</f>
        <v> </v>
      </c>
      <c r="I151" s="26" t="str">
        <f>IF(OR(E151="",E151="!!!",F151="NEW"),"",INDEX(B150:B$2,-1+SUMPRODUCT(MAX(ROW(E150:E$2)*(E151=E150:E$2)))))</f>
        <v> </v>
      </c>
      <c r="J151" s="26" t="str">
        <f>IF(OR(E151="",E151="!!!",F151="NEW"),"",COUNTBLANK(OFFSET(A$1,,,SUMPRODUCT(MAX(ROW(E$2:E151)*(E151=E$2:E151)))))-COUNTBLANK(OFFSET(A$1,,,SUMPRODUCT(MAX(ROW(E$1:E150)*(E2=E$1:E150))))))</f>
        <v> </v>
      </c>
      <c r="K151" s="26" t="str">
        <f>IF(OR(E151="",E151="!!!",F151="NEW"),"",INDEX(J$1:J150,SUMPRODUCT(MAX(ROW(E$1:E150)*(E151=E$1:E150)))))</f>
        <v> </v>
      </c>
      <c r="L151" s="27"/>
    </row>
    <row r="152" spans="1:12">
      <c r="A152" s="20" t="s">
        <v>214</v>
      </c>
      <c r="E152" s="22">
        <f>IF(D152="?OLD","!!!","")</f>
        <v/>
      </c>
      <c r="F152" s="23" t="str">
        <f>IF(OR(E152="",E152="!!!"),"",IF(NOT(ISNA(VLOOKUP(E152,E$1:E151,1,FALSE()))),"OLD",IF(AND(E152&lt;&gt;"",E152&lt;&gt;"!!!"),"NEW","")))</f>
        <v> </v>
      </c>
      <c r="G152" s="24" t="str">
        <f>IF(OR(E152="",E152="!!!"),"",IF(OR(J152=0,AND(J152=1,K152=1),AND(J152=1,I152="SBJ"),AND(J152=1,I152=0)),"?IN_FOCUS",IF(J152&lt;=2,"?ACTIVATED",IF(J152&lt;&gt;"","?FAMILIAR",IF(F152="NEW",IF(ISNA(VLOOKUP(E152,#REF!,1,FALSE())),"?TYPE_IDENTIFIABLE","?REFERENTIAL"),"_")))))</f>
        <v> </v>
      </c>
      <c r="H152" s="25" t="str">
        <f>IF(J152&lt;&gt;1,"",IF(I152="SBJ","CB","?"))</f>
        <v> </v>
      </c>
      <c r="I152" s="26" t="str">
        <f>IF(OR(E152="",E152="!!!",F152="NEW"),"",INDEX(B151:B$2,-1+SUMPRODUCT(MAX(ROW(E151:E$2)*(E152=E151:E$2)))))</f>
        <v> </v>
      </c>
      <c r="J152" s="26" t="str">
        <f>IF(OR(E152="",E152="!!!",F152="NEW"),"",COUNTBLANK(OFFSET(A$1,,,SUMPRODUCT(MAX(ROW(E$2:E152)*(E152=E$2:E152)))))-COUNTBLANK(OFFSET(A$1,,,SUMPRODUCT(MAX(ROW(E$1:E151)*(E2=E$1:E151))))))</f>
        <v> </v>
      </c>
      <c r="K152" s="26" t="str">
        <f>IF(OR(E152="",E152="!!!",F152="NEW"),"",INDEX(J$1:J151,SUMPRODUCT(MAX(ROW(E$1:E151)*(E152=E$1:E151)))))</f>
        <v> </v>
      </c>
      <c r="L152" s="27"/>
    </row>
    <row r="153" spans="1:12">
      <c r="A153" s="20" t="s">
        <v>260</v>
      </c>
      <c r="B153" s="21" t="s">
        <v>149</v>
      </c>
      <c r="C153" s="21" t="s">
        <v>158</v>
      </c>
      <c r="D153" s="21" t="s">
        <v>146</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174</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198</v>
      </c>
      <c r="B155" s="21" t="s">
        <v>144</v>
      </c>
      <c r="C155" s="21" t="s">
        <v>145</v>
      </c>
      <c r="D155" s="21" t="s">
        <v>146</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261</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200</v>
      </c>
      <c r="B157" s="21" t="s">
        <v>157</v>
      </c>
      <c r="C157" s="21" t="s">
        <v>201</v>
      </c>
      <c r="D157" s="21" t="s">
        <v>146</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252</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262</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t="s">
        <v>263</v>
      </c>
      <c r="B160" s="21" t="s">
        <v>149</v>
      </c>
      <c r="C160" s="21" t="s">
        <v>145</v>
      </c>
      <c r="D160" s="21" t="s">
        <v>146</v>
      </c>
      <c r="E160" s="22">
        <f>IF(D160="?OLD","!!!","")</f>
        <v/>
      </c>
      <c r="F160" s="23" t="str">
        <f>IF(OR(E160="",E160="!!!"),"",IF(NOT(ISNA(VLOOKUP(E160,E$1:E159,1,FALSE()))),"OLD",IF(AND(E160&lt;&gt;"",E160&lt;&gt;"!!!"),"NEW","")))</f>
        <v> </v>
      </c>
      <c r="G160" s="24" t="str">
        <f>IF(OR(E160="",E160="!!!"),"",IF(OR(J160=0,AND(J160=1,K160=1),AND(J160=1,I160="SBJ"),AND(J160=1,I160=0)),"?IN_FOCUS",IF(J160&lt;=2,"?ACTIVATED",IF(J160&lt;&gt;"","?FAMILIAR",IF(F160="NEW",IF(ISNA(VLOOKUP(E160,#REF!,1,FALSE())),"?TYPE_IDENTIFIABLE","?REFERENTIAL"),"_")))))</f>
        <v> </v>
      </c>
      <c r="H160" s="25" t="str">
        <f>IF(J160&lt;&gt;1,"",IF(I160="SBJ","CB","?"))</f>
        <v> </v>
      </c>
      <c r="I160" s="26" t="str">
        <f>IF(OR(E160="",E160="!!!",F160="NEW"),"",INDEX(B159:B$2,-1+SUMPRODUCT(MAX(ROW(E159:E$2)*(E160=E159:E$2)))))</f>
        <v> </v>
      </c>
      <c r="J160" s="26" t="str">
        <f>IF(OR(E160="",E160="!!!",F160="NEW"),"",COUNTBLANK(OFFSET(A$1,,,SUMPRODUCT(MAX(ROW(E$2:E160)*(E160=E$2:E160)))))-COUNTBLANK(OFFSET(A$1,,,SUMPRODUCT(MAX(ROW(E$1:E159)*(E2=E$1:E159))))))</f>
        <v> </v>
      </c>
      <c r="K160" s="26" t="str">
        <f>IF(OR(E160="",E160="!!!",F160="NEW"),"",INDEX(J$1:J159,SUMPRODUCT(MAX(ROW(E$1:E159)*(E160=E$1:E159)))))</f>
        <v> </v>
      </c>
      <c r="L160" s="27"/>
    </row>
    <row r="161" spans="1:12">
      <c r="A161" s="20" t="s">
        <v>254</v>
      </c>
      <c r="E161" s="22">
        <f>IF(D161="?OLD","!!!","")</f>
        <v/>
      </c>
      <c r="F161" s="23" t="str">
        <f>IF(OR(E161="",E161="!!!"),"",IF(NOT(ISNA(VLOOKUP(E161,E$1:E160,1,FALSE()))),"OLD",IF(AND(E161&lt;&gt;"",E161&lt;&gt;"!!!"),"NEW","")))</f>
        <v> </v>
      </c>
      <c r="G161" s="24" t="str">
        <f>IF(OR(E161="",E161="!!!"),"",IF(OR(J161=0,AND(J161=1,K161=1),AND(J161=1,I161="SBJ"),AND(J161=1,I161=0)),"?IN_FOCUS",IF(J161&lt;=2,"?ACTIVATED",IF(J161&lt;&gt;"","?FAMILIAR",IF(F161="NEW",IF(ISNA(VLOOKUP(E161,#REF!,1,FALSE())),"?TYPE_IDENTIFIABLE","?REFERENTIAL"),"_")))))</f>
        <v> </v>
      </c>
      <c r="H161" s="25" t="str">
        <f>IF(J161&lt;&gt;1,"",IF(I161="SBJ","CB","?"))</f>
        <v> </v>
      </c>
      <c r="I161" s="26" t="str">
        <f>IF(OR(E161="",E161="!!!",F161="NEW"),"",INDEX(B160:B$2,-1+SUMPRODUCT(MAX(ROW(E160:E$2)*(E161=E160:E$2)))))</f>
        <v> </v>
      </c>
      <c r="J161" s="26" t="str">
        <f>IF(OR(E161="",E161="!!!",F161="NEW"),"",COUNTBLANK(OFFSET(A$1,,,SUMPRODUCT(MAX(ROW(E$2:E161)*(E161=E$2:E161)))))-COUNTBLANK(OFFSET(A$1,,,SUMPRODUCT(MAX(ROW(E$1:E160)*(E2=E$1:E160))))))</f>
        <v> </v>
      </c>
      <c r="K161" s="26" t="str">
        <f>IF(OR(E161="",E161="!!!",F161="NEW"),"",INDEX(J$1:J160,SUMPRODUCT(MAX(ROW(E$1:E160)*(E161=E$1:E160)))))</f>
        <v> </v>
      </c>
      <c r="L161" s="27"/>
    </row>
    <row r="162" spans="1:12">
      <c r="A162" s="20" t="s">
        <v>202</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203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242</v>
      </c>
      <c r="B164" s="21" t="s">
        <v>163</v>
      </c>
      <c r="C164" s="21" t="s">
        <v>201</v>
      </c>
      <c r="D164" s="21" t="s">
        <v>146</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264</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265</v>
      </c>
      <c r="B166" s="21" t="s">
        <v>149</v>
      </c>
      <c r="C166" s="21" t="s">
        <v>150</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189</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266</v>
      </c>
      <c r="B168" s="21" t="s">
        <v>144</v>
      </c>
      <c r="C168" s="21" t="s">
        <v>150</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174</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267</v>
      </c>
      <c r="B170" s="21" t="s">
        <v>144</v>
      </c>
      <c r="C170" s="21" t="s">
        <v>158</v>
      </c>
      <c r="D170" s="21" t="s">
        <v>146</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169</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167</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row>
    <row r="174" spans="1:12">
      <c r="A174" s="20" t="s">
        <v>192</v>
      </c>
      <c r="E174" s="22">
        <f>IF(D174="?OLD","!!!","")</f>
        <v/>
      </c>
      <c r="F174" s="23" t="str">
        <f>IF(OR(E174="",E174="!!!"),"",IF(NOT(ISNA(VLOOKUP(E174,E$1:E173,1,FALSE()))),"OLD",IF(AND(E174&lt;&gt;"",E174&lt;&gt;"!!!"),"NEW","")))</f>
        <v> </v>
      </c>
      <c r="G174" s="24" t="str">
        <f>IF(OR(E174="",E174="!!!"),"",IF(OR(J174=0,AND(J174=1,K174=1),AND(J174=1,I174="SBJ"),AND(J174=1,I174=0)),"?IN_FOCUS",IF(J174&lt;=2,"?ACTIVATED",IF(J174&lt;&gt;"","?FAMILIAR",IF(F174="NEW",IF(ISNA(VLOOKUP(E174,#REF!,1,FALSE())),"?TYPE_IDENTIFIABLE","?REFERENTIAL"),"_")))))</f>
        <v> </v>
      </c>
      <c r="H174" s="25" t="str">
        <f>IF(J174&lt;&gt;1,"",IF(I174="SBJ","CB","?"))</f>
        <v> </v>
      </c>
      <c r="I174" s="26" t="str">
        <f>IF(OR(E174="",E174="!!!",F174="NEW"),"",INDEX(B173:B$2,-1+SUMPRODUCT(MAX(ROW(E173:E$2)*(E174=E173:E$2)))))</f>
        <v> </v>
      </c>
      <c r="J174" s="26" t="str">
        <f>IF(OR(E174="",E174="!!!",F174="NEW"),"",COUNTBLANK(OFFSET(A$1,,,SUMPRODUCT(MAX(ROW(E$2:E174)*(E174=E$2:E174)))))-COUNTBLANK(OFFSET(A$1,,,SUMPRODUCT(MAX(ROW(E$1:E173)*(E2=E$1:E173))))))</f>
        <v> </v>
      </c>
      <c r="K174" s="26" t="str">
        <f>IF(OR(E174="",E174="!!!",F174="NEW"),"",INDEX(J$1:J173,SUMPRODUCT(MAX(ROW(E$1:E173)*(E174=E$1:E173)))))</f>
        <v> </v>
      </c>
      <c r="L174" s="27"/>
    </row>
    <row r="175" spans="1:12">
      <c r="A175" s="20" t="s">
        <v>268</v>
      </c>
    </row>
    <row r="176" spans="1:12">
      <c r="A176" s="20" t="s">
        <v>269</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270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271</v>
      </c>
      <c r="B178" s="21" t="s">
        <v>149</v>
      </c>
      <c r="C178" s="21" t="s">
        <v>164</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272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242</v>
      </c>
      <c r="B180" s="21" t="s">
        <v>157</v>
      </c>
      <c r="C180" s="21" t="s">
        <v>201</v>
      </c>
      <c r="D180" s="21" t="s">
        <v>146</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183</v>
      </c>
      <c r="B181" s="21" t="s">
        <v>144</v>
      </c>
      <c r="C181" s="21" t="s">
        <v>184</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147</v>
      </c>
      <c r="B182" s="21" t="s">
        <v>149</v>
      </c>
      <c r="C182" s="21" t="s">
        <v>145</v>
      </c>
      <c r="D182" s="21" t="s">
        <v>146</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273</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274</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187</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275</v>
      </c>
      <c r="B186" s="21" t="s">
        <v>165</v>
      </c>
      <c r="C186" s="21" t="s">
        <v>276</v>
      </c>
      <c r="D186" s="21" t="s">
        <v>146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277</v>
      </c>
      <c r="B187" s="21" t="s">
        <v>144</v>
      </c>
      <c r="C187" s="21" t="s">
        <v>150</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167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207</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row>
    <row r="191" spans="1:12">
      <c r="A191" s="20" t="s">
        <v>278</v>
      </c>
    </row>
    <row r="192" spans="1:12">
      <c r="A192" s="20" t="s">
        <v>279</v>
      </c>
      <c r="B192" s="21" t="s">
        <v>157</v>
      </c>
      <c r="C192" s="21" t="s">
        <v>201</v>
      </c>
      <c r="D192" s="21" t="s">
        <v>146</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280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202</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203</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200</v>
      </c>
      <c r="B196" s="21" t="s">
        <v>163</v>
      </c>
      <c r="C196" s="21" t="s">
        <v>201</v>
      </c>
      <c r="D196" s="21" t="s">
        <v>146</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208</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281</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282</v>
      </c>
      <c r="B199" s="21" t="s">
        <v>149</v>
      </c>
      <c r="C199" s="21" t="s">
        <v>158</v>
      </c>
      <c r="D199" s="21" t="s">
        <v>146</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214</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283</v>
      </c>
      <c r="B201" s="21" t="s">
        <v>144</v>
      </c>
      <c r="C201" s="21" t="s">
        <v>158</v>
      </c>
      <c r="D201" s="21" t="s">
        <v>146</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231</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202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284</v>
      </c>
      <c r="B204" s="21" t="s">
        <v>285</v>
      </c>
      <c r="C204" s="21" t="s">
        <v>276</v>
      </c>
      <c r="D204" s="21" t="s">
        <v>146</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286</v>
      </c>
      <c r="B205" s="21" t="s">
        <v>287</v>
      </c>
      <c r="C205" s="21" t="s">
        <v>150</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212</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288</v>
      </c>
      <c r="B207" s="21" t="s">
        <v>289</v>
      </c>
      <c r="C207" s="21" t="s">
        <v>150</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290</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291</v>
      </c>
      <c r="B209" s="21" t="s">
        <v>287</v>
      </c>
      <c r="C209" s="21" t="s">
        <v>150</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189</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t="s">
        <v>292</v>
      </c>
      <c r="B211" s="21" t="s">
        <v>285</v>
      </c>
      <c r="C211" s="21" t="s">
        <v>150</v>
      </c>
      <c r="E211" s="22">
        <f>IF(D211="?OLD","!!!","")</f>
        <v/>
      </c>
      <c r="F211" s="23" t="str">
        <f>IF(OR(E211="",E211="!!!"),"",IF(NOT(ISNA(VLOOKUP(E211,E$1:E210,1,FALSE()))),"OLD",IF(AND(E211&lt;&gt;"",E211&lt;&gt;"!!!"),"NEW","")))</f>
        <v> </v>
      </c>
      <c r="G211" s="24" t="str">
        <f>IF(OR(E211="",E211="!!!"),"",IF(OR(J211=0,AND(J211=1,K211=1),AND(J211=1,I211="SBJ"),AND(J211=1,I211=0)),"?IN_FOCUS",IF(J211&lt;=2,"?ACTIVATED",IF(J211&lt;&gt;"","?FAMILIAR",IF(F211="NEW",IF(ISNA(VLOOKUP(E211,#REF!,1,FALSE())),"?TYPE_IDENTIFIABLE","?REFERENTIAL"),"_")))))</f>
        <v> </v>
      </c>
      <c r="H211" s="25" t="str">
        <f>IF(J211&lt;&gt;1,"",IF(I211="SBJ","CB","?"))</f>
        <v> </v>
      </c>
      <c r="I211" s="26" t="str">
        <f>IF(OR(E211="",E211="!!!",F211="NEW"),"",INDEX(B210:B$2,-1+SUMPRODUCT(MAX(ROW(E210:E$2)*(E211=E210:E$2)))))</f>
        <v> </v>
      </c>
      <c r="J211" s="26" t="str">
        <f>IF(OR(E211="",E211="!!!",F211="NEW"),"",COUNTBLANK(OFFSET(A$1,,,SUMPRODUCT(MAX(ROW(E$2:E211)*(E211=E$2:E211)))))-COUNTBLANK(OFFSET(A$1,,,SUMPRODUCT(MAX(ROW(E$1:E210)*(E2=E$1:E210))))))</f>
        <v> </v>
      </c>
      <c r="K211" s="26" t="str">
        <f>IF(OR(E211="",E211="!!!",F211="NEW"),"",INDEX(J$1:J210,SUMPRODUCT(MAX(ROW(E$1:E210)*(E211=E$1:E210)))))</f>
        <v> </v>
      </c>
      <c r="L211" s="27"/>
    </row>
    <row r="212" spans="1:12">
      <c r="A212" s="20" t="s">
        <v>183</v>
      </c>
      <c r="B212" s="21" t="s">
        <v>289</v>
      </c>
      <c r="C212" s="21" t="s">
        <v>184</v>
      </c>
      <c r="E212" s="22">
        <f>IF(D212="?OLD","!!!","")</f>
        <v/>
      </c>
      <c r="F212" s="23" t="str">
        <f>IF(OR(E212="",E212="!!!"),"",IF(NOT(ISNA(VLOOKUP(E212,E$1:E211,1,FALSE()))),"OLD",IF(AND(E212&lt;&gt;"",E212&lt;&gt;"!!!"),"NEW","")))</f>
        <v> </v>
      </c>
      <c r="G212" s="24" t="str">
        <f>IF(OR(E212="",E212="!!!"),"",IF(OR(J212=0,AND(J212=1,K212=1),AND(J212=1,I212="SBJ"),AND(J212=1,I212=0)),"?IN_FOCUS",IF(J212&lt;=2,"?ACTIVATED",IF(J212&lt;&gt;"","?FAMILIAR",IF(F212="NEW",IF(ISNA(VLOOKUP(E212,#REF!,1,FALSE())),"?TYPE_IDENTIFIABLE","?REFERENTIAL"),"_")))))</f>
        <v> </v>
      </c>
      <c r="H212" s="25" t="str">
        <f>IF(J212&lt;&gt;1,"",IF(I212="SBJ","CB","?"))</f>
        <v> </v>
      </c>
      <c r="I212" s="26" t="str">
        <f>IF(OR(E212="",E212="!!!",F212="NEW"),"",INDEX(B211:B$2,-1+SUMPRODUCT(MAX(ROW(E211:E$2)*(E212=E211:E$2)))))</f>
        <v> </v>
      </c>
      <c r="J212" s="26" t="str">
        <f>IF(OR(E212="",E212="!!!",F212="NEW"),"",COUNTBLANK(OFFSET(A$1,,,SUMPRODUCT(MAX(ROW(E$2:E212)*(E212=E$2:E212)))))-COUNTBLANK(OFFSET(A$1,,,SUMPRODUCT(MAX(ROW(E$1:E211)*(E2=E$1:E211))))))</f>
        <v> </v>
      </c>
      <c r="K212" s="26" t="str">
        <f>IF(OR(E212="",E212="!!!",F212="NEW"),"",INDEX(J$1:J211,SUMPRODUCT(MAX(ROW(E$1:E211)*(E212=E$1:E211)))))</f>
        <v> </v>
      </c>
      <c r="L212" s="27"/>
    </row>
    <row r="213" spans="1:12">
      <c r="A213" s="20" t="s">
        <v>214</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293</v>
      </c>
      <c r="B214" s="21" t="s">
        <v>285</v>
      </c>
      <c r="C214" s="21" t="s">
        <v>158</v>
      </c>
      <c r="D214" s="21" t="s">
        <v>146</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294</v>
      </c>
      <c r="B215" s="21" t="s">
        <v>295</v>
      </c>
      <c r="C215" s="21" t="s">
        <v>276</v>
      </c>
      <c r="D215" s="21" t="s">
        <v>146</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296</v>
      </c>
      <c r="B216" s="21" t="s">
        <v>289</v>
      </c>
      <c r="C216" s="21" t="s">
        <v>150</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183</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297</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167</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row>
    <row r="221" spans="1:12">
      <c r="A221" s="20" t="s">
        <v>298</v>
      </c>
    </row>
    <row r="222" spans="1:12">
      <c r="A222" s="20" t="s">
        <v>147</v>
      </c>
      <c r="B222" s="21" t="s">
        <v>157</v>
      </c>
      <c r="C222" s="21" t="s">
        <v>145</v>
      </c>
      <c r="D222" s="21" t="s">
        <v>146</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299</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185</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215</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300</v>
      </c>
      <c r="B226" s="21" t="s">
        <v>301</v>
      </c>
      <c r="C226" s="21" t="s">
        <v>158</v>
      </c>
      <c r="D226" s="21" t="s">
        <v>146</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302</v>
      </c>
      <c r="B227" s="21" t="s">
        <v>244</v>
      </c>
      <c r="C227" s="21" t="s">
        <v>150</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t="s">
        <v>245</v>
      </c>
      <c r="E228" s="22">
        <f>IF(D228="?OLD","!!!","")</f>
        <v/>
      </c>
      <c r="F228" s="23" t="str">
        <f>IF(OR(E228="",E228="!!!"),"",IF(NOT(ISNA(VLOOKUP(E228,E$1:E227,1,FALSE()))),"OLD",IF(AND(E228&lt;&gt;"",E228&lt;&gt;"!!!"),"NEW","")))</f>
        <v> </v>
      </c>
      <c r="G228" s="24" t="str">
        <f>IF(OR(E228="",E228="!!!"),"",IF(OR(J228=0,AND(J228=1,K228=1),AND(J228=1,I228="SBJ"),AND(J228=1,I228=0)),"?IN_FOCUS",IF(J228&lt;=2,"?ACTIVATED",IF(J228&lt;&gt;"","?FAMILIAR",IF(F228="NEW",IF(ISNA(VLOOKUP(E228,#REF!,1,FALSE())),"?TYPE_IDENTIFIABLE","?REFERENTIAL"),"_")))))</f>
        <v> </v>
      </c>
      <c r="H228" s="25" t="str">
        <f>IF(J228&lt;&gt;1,"",IF(I228="SBJ","CB","?"))</f>
        <v> </v>
      </c>
      <c r="I228" s="26" t="str">
        <f>IF(OR(E228="",E228="!!!",F228="NEW"),"",INDEX(B227:B$2,-1+SUMPRODUCT(MAX(ROW(E227:E$2)*(E228=E227:E$2)))))</f>
        <v> </v>
      </c>
      <c r="J228" s="26" t="str">
        <f>IF(OR(E228="",E228="!!!",F228="NEW"),"",COUNTBLANK(OFFSET(A$1,,,SUMPRODUCT(MAX(ROW(E$2:E228)*(E228=E$2:E228)))))-COUNTBLANK(OFFSET(A$1,,,SUMPRODUCT(MAX(ROW(E$1:E227)*(E2=E$1:E227))))))</f>
        <v> </v>
      </c>
      <c r="K228" s="26" t="str">
        <f>IF(OR(E228="",E228="!!!",F228="NEW"),"",INDEX(J$1:J227,SUMPRODUCT(MAX(ROW(E$1:E227)*(E228=E$1:E227)))))</f>
        <v> </v>
      </c>
      <c r="L228" s="27"/>
    </row>
    <row r="229" spans="1:12">
      <c r="A229" s="20" t="s">
        <v>185</v>
      </c>
      <c r="E229" s="22">
        <f>IF(D229="?OLD","!!!","")</f>
        <v/>
      </c>
      <c r="F229" s="23" t="str">
        <f>IF(OR(E229="",E229="!!!"),"",IF(NOT(ISNA(VLOOKUP(E229,E$1:E228,1,FALSE()))),"OLD",IF(AND(E229&lt;&gt;"",E229&lt;&gt;"!!!"),"NEW","")))</f>
        <v> </v>
      </c>
      <c r="G229" s="24" t="str">
        <f>IF(OR(E229="",E229="!!!"),"",IF(OR(J229=0,AND(J229=1,K229=1),AND(J229=1,I229="SBJ"),AND(J229=1,I229=0)),"?IN_FOCUS",IF(J229&lt;=2,"?ACTIVATED",IF(J229&lt;&gt;"","?FAMILIAR",IF(F229="NEW",IF(ISNA(VLOOKUP(E229,#REF!,1,FALSE())),"?TYPE_IDENTIFIABLE","?REFERENTIAL"),"_")))))</f>
        <v> </v>
      </c>
      <c r="H229" s="25" t="str">
        <f>IF(J229&lt;&gt;1,"",IF(I229="SBJ","CB","?"))</f>
        <v> </v>
      </c>
      <c r="I229" s="26" t="str">
        <f>IF(OR(E229="",E229="!!!",F229="NEW"),"",INDEX(B228:B$2,-1+SUMPRODUCT(MAX(ROW(E228:E$2)*(E229=E228:E$2)))))</f>
        <v> </v>
      </c>
      <c r="J229" s="26" t="str">
        <f>IF(OR(E229="",E229="!!!",F229="NEW"),"",COUNTBLANK(OFFSET(A$1,,,SUMPRODUCT(MAX(ROW(E$2:E229)*(E229=E$2:E229)))))-COUNTBLANK(OFFSET(A$1,,,SUMPRODUCT(MAX(ROW(E$1:E228)*(E2=E$1:E228))))))</f>
        <v> </v>
      </c>
      <c r="K229" s="26" t="str">
        <f>IF(OR(E229="",E229="!!!",F229="NEW"),"",INDEX(J$1:J228,SUMPRODUCT(MAX(ROW(E$1:E228)*(E229=E$1:E228)))))</f>
        <v> </v>
      </c>
      <c r="L229" s="27"/>
    </row>
    <row r="230" spans="1:12">
      <c r="A230" s="20" t="s">
        <v>303</v>
      </c>
      <c r="B230" s="21" t="s">
        <v>144</v>
      </c>
      <c r="C230" s="21" t="s">
        <v>145</v>
      </c>
      <c r="D230" s="21" t="s">
        <v>146</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304</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202</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203</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152</v>
      </c>
      <c r="B234" s="21" t="s">
        <v>163</v>
      </c>
      <c r="C234" s="21" t="s">
        <v>145</v>
      </c>
      <c r="D234" s="21" t="s">
        <v>146</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305</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306</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t="s">
        <v>218</v>
      </c>
      <c r="E237" s="22">
        <f>IF(D237="?OLD","!!!","")</f>
        <v/>
      </c>
      <c r="F237" s="23" t="str">
        <f>IF(OR(E237="",E237="!!!"),"",IF(NOT(ISNA(VLOOKUP(E237,E$1:E236,1,FALSE()))),"OLD",IF(AND(E237&lt;&gt;"",E237&lt;&gt;"!!!"),"NEW","")))</f>
        <v> </v>
      </c>
      <c r="G237" s="24" t="str">
        <f>IF(OR(E237="",E237="!!!"),"",IF(OR(J237=0,AND(J237=1,K237=1),AND(J237=1,I237="SBJ"),AND(J237=1,I237=0)),"?IN_FOCUS",IF(J237&lt;=2,"?ACTIVATED",IF(J237&lt;&gt;"","?FAMILIAR",IF(F237="NEW",IF(ISNA(VLOOKUP(E237,#REF!,1,FALSE())),"?TYPE_IDENTIFIABLE","?REFERENTIAL"),"_")))))</f>
        <v> </v>
      </c>
      <c r="H237" s="25" t="str">
        <f>IF(J237&lt;&gt;1,"",IF(I237="SBJ","CB","?"))</f>
        <v> </v>
      </c>
      <c r="I237" s="26" t="str">
        <f>IF(OR(E237="",E237="!!!",F237="NEW"),"",INDEX(B236:B$2,-1+SUMPRODUCT(MAX(ROW(E236:E$2)*(E237=E236:E$2)))))</f>
        <v> </v>
      </c>
      <c r="J237" s="26" t="str">
        <f>IF(OR(E237="",E237="!!!",F237="NEW"),"",COUNTBLANK(OFFSET(A$1,,,SUMPRODUCT(MAX(ROW(E$2:E237)*(E237=E$2:E237)))))-COUNTBLANK(OFFSET(A$1,,,SUMPRODUCT(MAX(ROW(E$1:E236)*(E2=E$1:E236))))))</f>
        <v> </v>
      </c>
      <c r="K237" s="26" t="str">
        <f>IF(OR(E237="",E237="!!!",F237="NEW"),"",INDEX(J$1:J236,SUMPRODUCT(MAX(ROW(E$1:E236)*(E237=E$1:E236)))))</f>
        <v> </v>
      </c>
      <c r="L237" s="27"/>
    </row>
    <row r="238" spans="1:12">
      <c r="A238" s="20" t="s">
        <v>202</v>
      </c>
      <c r="E238" s="22">
        <f>IF(D238="?OLD","!!!","")</f>
        <v/>
      </c>
      <c r="F238" s="23" t="str">
        <f>IF(OR(E238="",E238="!!!"),"",IF(NOT(ISNA(VLOOKUP(E238,E$1:E237,1,FALSE()))),"OLD",IF(AND(E238&lt;&gt;"",E238&lt;&gt;"!!!"),"NEW","")))</f>
        <v> </v>
      </c>
      <c r="G238" s="24" t="str">
        <f>IF(OR(E238="",E238="!!!"),"",IF(OR(J238=0,AND(J238=1,K238=1),AND(J238=1,I238="SBJ"),AND(J238=1,I238=0)),"?IN_FOCUS",IF(J238&lt;=2,"?ACTIVATED",IF(J238&lt;&gt;"","?FAMILIAR",IF(F238="NEW",IF(ISNA(VLOOKUP(E238,#REF!,1,FALSE())),"?TYPE_IDENTIFIABLE","?REFERENTIAL"),"_")))))</f>
        <v> </v>
      </c>
      <c r="H238" s="25" t="str">
        <f>IF(J238&lt;&gt;1,"",IF(I238="SBJ","CB","?"))</f>
        <v> </v>
      </c>
      <c r="I238" s="26" t="str">
        <f>IF(OR(E238="",E238="!!!",F238="NEW"),"",INDEX(B237:B$2,-1+SUMPRODUCT(MAX(ROW(E237:E$2)*(E238=E237:E$2)))))</f>
        <v> </v>
      </c>
      <c r="J238" s="26" t="str">
        <f>IF(OR(E238="",E238="!!!",F238="NEW"),"",COUNTBLANK(OFFSET(A$1,,,SUMPRODUCT(MAX(ROW(E$2:E238)*(E238=E$2:E238)))))-COUNTBLANK(OFFSET(A$1,,,SUMPRODUCT(MAX(ROW(E$1:E237)*(E2=E$1:E237))))))</f>
        <v> </v>
      </c>
      <c r="K238" s="26" t="str">
        <f>IF(OR(E238="",E238="!!!",F238="NEW"),"",INDEX(J$1:J237,SUMPRODUCT(MAX(ROW(E$1:E237)*(E238=E$1:E237)))))</f>
        <v> </v>
      </c>
      <c r="L238" s="27"/>
    </row>
    <row r="239" spans="1:12">
      <c r="A239" s="20" t="s">
        <v>162</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307</v>
      </c>
      <c r="B240" s="21" t="s">
        <v>287</v>
      </c>
      <c r="C240" s="21" t="s">
        <v>164</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183</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308</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189</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t="s">
        <v>221</v>
      </c>
      <c r="B244" s="21" t="s">
        <v>149</v>
      </c>
      <c r="C244" s="21" t="s">
        <v>145</v>
      </c>
      <c r="D244" s="21" t="s">
        <v>146</v>
      </c>
      <c r="E244" s="22">
        <f>IF(D244="?OLD","!!!","")</f>
        <v/>
      </c>
      <c r="F244" s="23" t="str">
        <f>IF(OR(E244="",E244="!!!"),"",IF(NOT(ISNA(VLOOKUP(E244,E$1:E243,1,FALSE()))),"OLD",IF(AND(E244&lt;&gt;"",E244&lt;&gt;"!!!"),"NEW","")))</f>
        <v> </v>
      </c>
      <c r="G244" s="24" t="str">
        <f>IF(OR(E244="",E244="!!!"),"",IF(OR(J244=0,AND(J244=1,K244=1),AND(J244=1,I244="SBJ"),AND(J244=1,I244=0)),"?IN_FOCUS",IF(J244&lt;=2,"?ACTIVATED",IF(J244&lt;&gt;"","?FAMILIAR",IF(F244="NEW",IF(ISNA(VLOOKUP(E244,#REF!,1,FALSE())),"?TYPE_IDENTIFIABLE","?REFERENTIAL"),"_")))))</f>
        <v> </v>
      </c>
      <c r="H244" s="25" t="str">
        <f>IF(J244&lt;&gt;1,"",IF(I244="SBJ","CB","?"))</f>
        <v> </v>
      </c>
      <c r="I244" s="26" t="str">
        <f>IF(OR(E244="",E244="!!!",F244="NEW"),"",INDEX(B243:B$2,-1+SUMPRODUCT(MAX(ROW(E243:E$2)*(E244=E243:E$2)))))</f>
        <v> </v>
      </c>
      <c r="J244" s="26" t="str">
        <f>IF(OR(E244="",E244="!!!",F244="NEW"),"",COUNTBLANK(OFFSET(A$1,,,SUMPRODUCT(MAX(ROW(E$2:E244)*(E244=E$2:E244)))))-COUNTBLANK(OFFSET(A$1,,,SUMPRODUCT(MAX(ROW(E$1:E243)*(E2=E$1:E243))))))</f>
        <v> </v>
      </c>
      <c r="K244" s="26" t="str">
        <f>IF(OR(E244="",E244="!!!",F244="NEW"),"",INDEX(J$1:J243,SUMPRODUCT(MAX(ROW(E$1:E243)*(E244=E$1:E243)))))</f>
        <v> </v>
      </c>
      <c r="L244" s="27"/>
    </row>
    <row r="245" spans="1:12">
      <c r="A245" s="20" t="s">
        <v>212</v>
      </c>
      <c r="E245" s="22">
        <f>IF(D245="?OLD","!!!","")</f>
        <v/>
      </c>
      <c r="F245" s="23" t="str">
        <f>IF(OR(E245="",E245="!!!"),"",IF(NOT(ISNA(VLOOKUP(E245,E$1:E244,1,FALSE()))),"OLD",IF(AND(E245&lt;&gt;"",E245&lt;&gt;"!!!"),"NEW","")))</f>
        <v> </v>
      </c>
      <c r="G245" s="24" t="str">
        <f>IF(OR(E245="",E245="!!!"),"",IF(OR(J245=0,AND(J245=1,K245=1),AND(J245=1,I245="SBJ"),AND(J245=1,I245=0)),"?IN_FOCUS",IF(J245&lt;=2,"?ACTIVATED",IF(J245&lt;&gt;"","?FAMILIAR",IF(F245="NEW",IF(ISNA(VLOOKUP(E245,#REF!,1,FALSE())),"?TYPE_IDENTIFIABLE","?REFERENTIAL"),"_")))))</f>
        <v> </v>
      </c>
      <c r="H245" s="25" t="str">
        <f>IF(J245&lt;&gt;1,"",IF(I245="SBJ","CB","?"))</f>
        <v> </v>
      </c>
      <c r="I245" s="26" t="str">
        <f>IF(OR(E245="",E245="!!!",F245="NEW"),"",INDEX(B244:B$2,-1+SUMPRODUCT(MAX(ROW(E244:E$2)*(E245=E244:E$2)))))</f>
        <v> </v>
      </c>
      <c r="J245" s="26" t="str">
        <f>IF(OR(E245="",E245="!!!",F245="NEW"),"",COUNTBLANK(OFFSET(A$1,,,SUMPRODUCT(MAX(ROW(E$2:E245)*(E245=E$2:E245)))))-COUNTBLANK(OFFSET(A$1,,,SUMPRODUCT(MAX(ROW(E$1:E244)*(E2=E$1:E244))))))</f>
        <v> </v>
      </c>
      <c r="K245" s="26" t="str">
        <f>IF(OR(E245="",E245="!!!",F245="NEW"),"",INDEX(J$1:J244,SUMPRODUCT(MAX(ROW(E$1:E244)*(E245=E$1:E244)))))</f>
        <v> </v>
      </c>
      <c r="L245" s="27"/>
    </row>
    <row r="246" spans="1:12">
      <c r="A246" s="20" t="s">
        <v>162</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228</v>
      </c>
      <c r="B247" s="21" t="s">
        <v>149</v>
      </c>
      <c r="C247" s="21" t="s">
        <v>164</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309</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218</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167</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row>
    <row r="252" spans="1:12">
      <c r="A252" s="20" t="s">
        <v>310</v>
      </c>
    </row>
    <row r="253" spans="1:12">
      <c r="A253" s="20" t="s">
        <v>311</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208</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312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313</v>
      </c>
      <c r="B256" s="21" t="s">
        <v>157</v>
      </c>
      <c r="C256" s="21" t="s">
        <v>158</v>
      </c>
      <c r="D256" s="21" t="s">
        <v>146</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314</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row>
    <row r="259" spans="1:12">
      <c r="A259" s="20" t="s">
        <v>315</v>
      </c>
    </row>
    <row r="260" spans="1:12">
      <c r="A260" s="20" t="s">
        <v>316</v>
      </c>
      <c r="B260" s="21" t="s">
        <v>144</v>
      </c>
      <c r="C260" s="21" t="s">
        <v>317</v>
      </c>
      <c r="D260" s="21" t="s">
        <v>146</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318</v>
      </c>
      <c r="B261" s="21" t="s">
        <v>157</v>
      </c>
      <c r="C261" s="21" t="s">
        <v>319</v>
      </c>
      <c r="D261" s="21" t="s">
        <v>146</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160</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320</v>
      </c>
      <c r="B263" s="21" t="s">
        <v>144</v>
      </c>
      <c r="C263" s="21" t="s">
        <v>276</v>
      </c>
      <c r="D263" s="21" t="s">
        <v>146</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321</v>
      </c>
      <c r="B264" s="21" t="s">
        <v>244</v>
      </c>
      <c r="C264" s="21" t="s">
        <v>150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322</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167</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row>
    <row r="268" spans="1:12">
      <c r="A268" s="20" t="s">
        <v>323</v>
      </c>
    </row>
    <row r="269" spans="1:12">
      <c r="A269" s="20" t="s">
        <v>151</v>
      </c>
      <c r="B269" s="21" t="s">
        <v>157</v>
      </c>
      <c r="C269" s="21" t="s">
        <v>145</v>
      </c>
      <c r="D269" s="21" t="s">
        <v>146</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152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169</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324</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325</v>
      </c>
      <c r="B273" s="21" t="s">
        <v>149</v>
      </c>
      <c r="C273" s="21" t="s">
        <v>150</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195</v>
      </c>
      <c r="B274" s="21" t="s">
        <v>149</v>
      </c>
      <c r="C274" s="21" t="s">
        <v>184</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t="s">
        <v>214</v>
      </c>
      <c r="E275" s="22">
        <f>IF(D275="?OLD","!!!","")</f>
        <v/>
      </c>
      <c r="F275" s="23" t="str">
        <f>IF(OR(E275="",E275="!!!"),"",IF(NOT(ISNA(VLOOKUP(E275,E$1:E274,1,FALSE()))),"OLD",IF(AND(E275&lt;&gt;"",E275&lt;&gt;"!!!"),"NEW","")))</f>
        <v> </v>
      </c>
      <c r="G275" s="24" t="str">
        <f>IF(OR(E275="",E275="!!!"),"",IF(OR(J275=0,AND(J275=1,K275=1),AND(J275=1,I275="SBJ"),AND(J275=1,I275=0)),"?IN_FOCUS",IF(J275&lt;=2,"?ACTIVATED",IF(J275&lt;&gt;"","?FAMILIAR",IF(F275="NEW",IF(ISNA(VLOOKUP(E275,#REF!,1,FALSE())),"?TYPE_IDENTIFIABLE","?REFERENTIAL"),"_")))))</f>
        <v> </v>
      </c>
      <c r="H275" s="25" t="str">
        <f>IF(J275&lt;&gt;1,"",IF(I275="SBJ","CB","?"))</f>
        <v> </v>
      </c>
      <c r="I275" s="26" t="str">
        <f>IF(OR(E275="",E275="!!!",F275="NEW"),"",INDEX(B274:B$2,-1+SUMPRODUCT(MAX(ROW(E274:E$2)*(E275=E274:E$2)))))</f>
        <v> </v>
      </c>
      <c r="J275" s="26" t="str">
        <f>IF(OR(E275="",E275="!!!",F275="NEW"),"",COUNTBLANK(OFFSET(A$1,,,SUMPRODUCT(MAX(ROW(E$2:E275)*(E275=E$2:E275)))))-COUNTBLANK(OFFSET(A$1,,,SUMPRODUCT(MAX(ROW(E$1:E274)*(E2=E$1:E274))))))</f>
        <v> </v>
      </c>
      <c r="K275" s="26" t="str">
        <f>IF(OR(E275="",E275="!!!",F275="NEW"),"",INDEX(J$1:J274,SUMPRODUCT(MAX(ROW(E$1:E274)*(E275=E$1:E274)))))</f>
        <v> </v>
      </c>
      <c r="L275" s="27"/>
    </row>
    <row r="276" spans="1:12">
      <c r="A276" s="20" t="s">
        <v>175</v>
      </c>
      <c r="E276" s="22">
        <f>IF(D276="?OLD","!!!","")</f>
        <v/>
      </c>
      <c r="F276" s="23" t="str">
        <f>IF(OR(E276="",E276="!!!"),"",IF(NOT(ISNA(VLOOKUP(E276,E$1:E275,1,FALSE()))),"OLD",IF(AND(E276&lt;&gt;"",E276&lt;&gt;"!!!"),"NEW","")))</f>
        <v> </v>
      </c>
      <c r="G276" s="24" t="str">
        <f>IF(OR(E276="",E276="!!!"),"",IF(OR(J276=0,AND(J276=1,K276=1),AND(J276=1,I276="SBJ"),AND(J276=1,I276=0)),"?IN_FOCUS",IF(J276&lt;=2,"?ACTIVATED",IF(J276&lt;&gt;"","?FAMILIAR",IF(F276="NEW",IF(ISNA(VLOOKUP(E276,#REF!,1,FALSE())),"?TYPE_IDENTIFIABLE","?REFERENTIAL"),"_")))))</f>
        <v> </v>
      </c>
      <c r="H276" s="25" t="str">
        <f>IF(J276&lt;&gt;1,"",IF(I276="SBJ","CB","?"))</f>
        <v> </v>
      </c>
      <c r="I276" s="26" t="str">
        <f>IF(OR(E276="",E276="!!!",F276="NEW"),"",INDEX(B275:B$2,-1+SUMPRODUCT(MAX(ROW(E275:E$2)*(E276=E275:E$2)))))</f>
        <v> </v>
      </c>
      <c r="J276" s="26" t="str">
        <f>IF(OR(E276="",E276="!!!",F276="NEW"),"",COUNTBLANK(OFFSET(A$1,,,SUMPRODUCT(MAX(ROW(E$2:E276)*(E276=E$2:E276)))))-COUNTBLANK(OFFSET(A$1,,,SUMPRODUCT(MAX(ROW(E$1:E275)*(E2=E$1:E275))))))</f>
        <v> </v>
      </c>
      <c r="K276" s="26" t="str">
        <f>IF(OR(E276="",E276="!!!",F276="NEW"),"",INDEX(J$1:J275,SUMPRODUCT(MAX(ROW(E$1:E275)*(E276=E$1:E275)))))</f>
        <v> </v>
      </c>
      <c r="L276" s="27"/>
    </row>
    <row r="277" spans="1:12">
      <c r="A277" s="20" t="s">
        <v>326</v>
      </c>
      <c r="B277" s="21" t="s">
        <v>144</v>
      </c>
      <c r="C277" s="21" t="s">
        <v>158</v>
      </c>
      <c r="D277" s="21" t="s">
        <v>146</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159</v>
      </c>
      <c r="B278" s="21" t="s">
        <v>165</v>
      </c>
      <c r="C278" s="21" t="s">
        <v>145</v>
      </c>
      <c r="D278" s="21" t="s">
        <v>146</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327</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189</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328</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329</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242</v>
      </c>
      <c r="B283" s="21" t="s">
        <v>222</v>
      </c>
      <c r="C283" s="21" t="s">
        <v>201</v>
      </c>
      <c r="D283" s="21" t="s">
        <v>146</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187</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330</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331</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332</v>
      </c>
      <c r="B287" s="21" t="s">
        <v>144</v>
      </c>
      <c r="C287" s="21" t="s">
        <v>158</v>
      </c>
      <c r="D287" s="21" t="s">
        <v>146</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202</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185</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333</v>
      </c>
      <c r="B290" s="21" t="s">
        <v>165</v>
      </c>
      <c r="C290" s="21" t="s">
        <v>145</v>
      </c>
      <c r="D290" s="21" t="s">
        <v>146</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167</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row>
    <row r="293" spans="1:12">
      <c r="A293" s="20" t="s">
        <v>334</v>
      </c>
    </row>
    <row r="294" spans="1:12">
      <c r="A294" s="20" t="s">
        <v>335</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13</v>
      </c>
      <c r="B295" s="21" t="s">
        <v>149</v>
      </c>
      <c r="C295" s="21" t="s">
        <v>150</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169</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242</v>
      </c>
      <c r="B297" s="21" t="s">
        <v>157</v>
      </c>
      <c r="C297" s="21" t="s">
        <v>201</v>
      </c>
      <c r="D297" s="21" t="s">
        <v>146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195</v>
      </c>
      <c r="B298" s="21" t="s">
        <v>149</v>
      </c>
      <c r="C298" s="21" t="s">
        <v>184</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214</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336</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337</v>
      </c>
      <c r="B301" s="21" t="s">
        <v>149</v>
      </c>
      <c r="C301" s="21" t="s">
        <v>158</v>
      </c>
      <c r="D301" s="21" t="s">
        <v>146</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214</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338</v>
      </c>
      <c r="B303" s="21" t="s">
        <v>144</v>
      </c>
      <c r="C303" s="21" t="s">
        <v>158</v>
      </c>
      <c r="D303" s="21" t="s">
        <v>146</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167</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row>
    <row r="306" spans="1:12">
      <c r="A306" s="20" t="s">
        <v>339</v>
      </c>
    </row>
    <row r="307" spans="1:12">
      <c r="A307" s="20" t="s">
        <v>340</v>
      </c>
      <c r="E307" s="22">
        <f>IF(D307="?OLD","!!!","")</f>
        <v/>
      </c>
      <c r="F307" s="23" t="str">
        <f>IF(OR(E307="",E307="!!!"),"",IF(NOT(ISNA(VLOOKUP(E307,E$1:E306,1,FALSE()))),"OLD",IF(AND(E307&lt;&gt;"",E307&lt;&gt;"!!!"),"NEW","")))</f>
        <v> </v>
      </c>
      <c r="G307" s="24" t="str">
        <f>IF(OR(E307="",E307="!!!"),"",IF(OR(J307=0,AND(J307=1,K307=1),AND(J307=1,I307="SBJ"),AND(J307=1,I307=0)),"?IN_FOCUS",IF(J307&lt;=2,"?ACTIVATED",IF(J307&lt;&gt;"","?FAMILIAR",IF(F307="NEW",IF(ISNA(VLOOKUP(E307,#REF!,1,FALSE())),"?TYPE_IDENTIFIABLE","?REFERENTIAL"),"_")))))</f>
        <v> </v>
      </c>
      <c r="H307" s="25" t="str">
        <f>IF(J307&lt;&gt;1,"",IF(I307="SBJ","CB","?"))</f>
        <v> </v>
      </c>
      <c r="I307" s="26" t="str">
        <f>IF(OR(E307="",E307="!!!",F307="NEW"),"",INDEX(B306:B$2,-1+SUMPRODUCT(MAX(ROW(E306:E$2)*(E307=E306:E$2)))))</f>
        <v> </v>
      </c>
      <c r="J307" s="26" t="str">
        <f>IF(OR(E307="",E307="!!!",F307="NEW"),"",COUNTBLANK(OFFSET(A$1,,,SUMPRODUCT(MAX(ROW(E$2:E307)*(E307=E$2:E307)))))-COUNTBLANK(OFFSET(A$1,,,SUMPRODUCT(MAX(ROW(E$1:E306)*(E2=E$1:E306))))))</f>
        <v> </v>
      </c>
      <c r="K307" s="26" t="str">
        <f>IF(OR(E307="",E307="!!!",F307="NEW"),"",INDEX(J$1:J306,SUMPRODUCT(MAX(ROW(E$1:E306)*(E307=E$1:E306)))))</f>
        <v> </v>
      </c>
      <c r="L307" s="27"/>
    </row>
    <row r="308" spans="1:12">
      <c r="A308" s="20" t="s">
        <v>341</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342</v>
      </c>
      <c r="B309" s="21" t="s">
        <v>149</v>
      </c>
      <c r="C309" s="21" t="s">
        <v>197</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304</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156</v>
      </c>
      <c r="B311" s="21" t="s">
        <v>144</v>
      </c>
      <c r="C311" s="21" t="s">
        <v>150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147</v>
      </c>
      <c r="B312" s="21" t="s">
        <v>165</v>
      </c>
      <c r="C312" s="21" t="s">
        <v>145</v>
      </c>
      <c r="D312" s="21" t="s">
        <v>146</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202</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343</v>
      </c>
      <c r="B314" s="21" t="s">
        <v>222</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236</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185</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t="s">
        <v>344</v>
      </c>
      <c r="B317" s="21" t="s">
        <v>165</v>
      </c>
      <c r="C317" s="21" t="s">
        <v>158</v>
      </c>
      <c r="D317" s="21" t="s">
        <v>146</v>
      </c>
      <c r="E317" s="22">
        <f>IF(D317="?OLD","!!!","")</f>
        <v/>
      </c>
      <c r="F317" s="23" t="str">
        <f>IF(OR(E317="",E317="!!!"),"",IF(NOT(ISNA(VLOOKUP(E317,E$1:E316,1,FALSE()))),"OLD",IF(AND(E317&lt;&gt;"",E317&lt;&gt;"!!!"),"NEW","")))</f>
        <v> </v>
      </c>
      <c r="G317" s="24" t="str">
        <f>IF(OR(E317="",E317="!!!"),"",IF(OR(J317=0,AND(J317=1,K317=1),AND(J317=1,I317="SBJ"),AND(J317=1,I317=0)),"?IN_FOCUS",IF(J317&lt;=2,"?ACTIVATED",IF(J317&lt;&gt;"","?FAMILIAR",IF(F317="NEW",IF(ISNA(VLOOKUP(E317,#REF!,1,FALSE())),"?TYPE_IDENTIFIABLE","?REFERENTIAL"),"_")))))</f>
        <v> </v>
      </c>
      <c r="H317" s="25" t="str">
        <f>IF(J317&lt;&gt;1,"",IF(I317="SBJ","CB","?"))</f>
        <v> </v>
      </c>
      <c r="I317" s="26" t="str">
        <f>IF(OR(E317="",E317="!!!",F317="NEW"),"",INDEX(B316:B$2,-1+SUMPRODUCT(MAX(ROW(E316:E$2)*(E317=E316:E$2)))))</f>
        <v> </v>
      </c>
      <c r="J317" s="26" t="str">
        <f>IF(OR(E317="",E317="!!!",F317="NEW"),"",COUNTBLANK(OFFSET(A$1,,,SUMPRODUCT(MAX(ROW(E$2:E317)*(E317=E$2:E317)))))-COUNTBLANK(OFFSET(A$1,,,SUMPRODUCT(MAX(ROW(E$1:E316)*(E2=E$1:E316))))))</f>
        <v> </v>
      </c>
      <c r="K317" s="26" t="str">
        <f>IF(OR(E317="",E317="!!!",F317="NEW"),"",INDEX(J$1:J316,SUMPRODUCT(MAX(ROW(E$1:E316)*(E317=E$1:E316)))))</f>
        <v> </v>
      </c>
      <c r="L317" s="27"/>
    </row>
    <row r="318" spans="1:12">
      <c r="A318" s="20" t="s">
        <v>345</v>
      </c>
      <c r="E318" s="22">
        <f>IF(D318="?OLD","!!!","")</f>
        <v/>
      </c>
      <c r="F318" s="23" t="str">
        <f>IF(OR(E318="",E318="!!!"),"",IF(NOT(ISNA(VLOOKUP(E318,E$1:E317,1,FALSE()))),"OLD",IF(AND(E318&lt;&gt;"",E318&lt;&gt;"!!!"),"NEW","")))</f>
        <v> </v>
      </c>
      <c r="G318" s="24" t="str">
        <f>IF(OR(E318="",E318="!!!"),"",IF(OR(J318=0,AND(J318=1,K318=1),AND(J318=1,I318="SBJ"),AND(J318=1,I318=0)),"?IN_FOCUS",IF(J318&lt;=2,"?ACTIVATED",IF(J318&lt;&gt;"","?FAMILIAR",IF(F318="NEW",IF(ISNA(VLOOKUP(E318,#REF!,1,FALSE())),"?TYPE_IDENTIFIABLE","?REFERENTIAL"),"_")))))</f>
        <v> </v>
      </c>
      <c r="H318" s="25" t="str">
        <f>IF(J318&lt;&gt;1,"",IF(I318="SBJ","CB","?"))</f>
        <v> </v>
      </c>
      <c r="I318" s="26" t="str">
        <f>IF(OR(E318="",E318="!!!",F318="NEW"),"",INDEX(B317:B$2,-1+SUMPRODUCT(MAX(ROW(E317:E$2)*(E318=E317:E$2)))))</f>
        <v> </v>
      </c>
      <c r="J318" s="26" t="str">
        <f>IF(OR(E318="",E318="!!!",F318="NEW"),"",COUNTBLANK(OFFSET(A$1,,,SUMPRODUCT(MAX(ROW(E$2:E318)*(E318=E$2:E318)))))-COUNTBLANK(OFFSET(A$1,,,SUMPRODUCT(MAX(ROW(E$1:E317)*(E2=E$1:E317))))))</f>
        <v> </v>
      </c>
      <c r="K318" s="26" t="str">
        <f>IF(OR(E318="",E318="!!!",F318="NEW"),"",INDEX(J$1:J317,SUMPRODUCT(MAX(ROW(E$1:E317)*(E318=E$1:E317)))))</f>
        <v> </v>
      </c>
      <c r="L318" s="27"/>
    </row>
    <row r="319" spans="1:12">
      <c r="A319" s="20" t="s">
        <v>182</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202</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346</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347</v>
      </c>
      <c r="B322" s="21" t="s">
        <v>157</v>
      </c>
      <c r="C322" s="21" t="s">
        <v>184</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337</v>
      </c>
      <c r="B323" s="21" t="s">
        <v>244</v>
      </c>
      <c r="C323" s="21" t="s">
        <v>150</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202</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203</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214</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13</v>
      </c>
      <c r="B327" s="21" t="s">
        <v>222</v>
      </c>
      <c r="C327" s="21" t="s">
        <v>158</v>
      </c>
      <c r="D327" s="21" t="s">
        <v>146</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t="s">
        <v>262</v>
      </c>
      <c r="E328" s="22">
        <f>IF(D328="?OLD","!!!","")</f>
        <v/>
      </c>
      <c r="F328" s="23" t="str">
        <f>IF(OR(E328="",E328="!!!"),"",IF(NOT(ISNA(VLOOKUP(E328,E$1:E327,1,FALSE()))),"OLD",IF(AND(E328&lt;&gt;"",E328&lt;&gt;"!!!"),"NEW","")))</f>
        <v> </v>
      </c>
      <c r="G328" s="24" t="str">
        <f>IF(OR(E328="",E328="!!!"),"",IF(OR(J328=0,AND(J328=1,K328=1),AND(J328=1,I328="SBJ"),AND(J328=1,I328=0)),"?IN_FOCUS",IF(J328&lt;=2,"?ACTIVATED",IF(J328&lt;&gt;"","?FAMILIAR",IF(F328="NEW",IF(ISNA(VLOOKUP(E328,#REF!,1,FALSE())),"?TYPE_IDENTIFIABLE","?REFERENTIAL"),"_")))))</f>
        <v> </v>
      </c>
      <c r="H328" s="25" t="str">
        <f>IF(J328&lt;&gt;1,"",IF(I328="SBJ","CB","?"))</f>
        <v> </v>
      </c>
      <c r="I328" s="26" t="str">
        <f>IF(OR(E328="",E328="!!!",F328="NEW"),"",INDEX(B327:B$2,-1+SUMPRODUCT(MAX(ROW(E327:E$2)*(E328=E327:E$2)))))</f>
        <v> </v>
      </c>
      <c r="J328" s="26" t="str">
        <f>IF(OR(E328="",E328="!!!",F328="NEW"),"",COUNTBLANK(OFFSET(A$1,,,SUMPRODUCT(MAX(ROW(E$2:E328)*(E328=E$2:E328)))))-COUNTBLANK(OFFSET(A$1,,,SUMPRODUCT(MAX(ROW(E$1:E327)*(E2=E$1:E327))))))</f>
        <v> </v>
      </c>
      <c r="K328" s="26" t="str">
        <f>IF(OR(E328="",E328="!!!",F328="NEW"),"",INDEX(J$1:J327,SUMPRODUCT(MAX(ROW(E$1:E327)*(E328=E$1:E327)))))</f>
        <v> </v>
      </c>
      <c r="L328" s="27"/>
    </row>
    <row r="329" spans="1:12">
      <c r="A329" s="20" t="s">
        <v>348</v>
      </c>
      <c r="E329" s="22">
        <f>IF(D329="?OLD","!!!","")</f>
        <v/>
      </c>
      <c r="F329" s="23" t="str">
        <f>IF(OR(E329="",E329="!!!"),"",IF(NOT(ISNA(VLOOKUP(E329,E$1:E328,1,FALSE()))),"OLD",IF(AND(E329&lt;&gt;"",E329&lt;&gt;"!!!"),"NEW","")))</f>
        <v> </v>
      </c>
      <c r="G329" s="24" t="str">
        <f>IF(OR(E329="",E329="!!!"),"",IF(OR(J329=0,AND(J329=1,K329=1),AND(J329=1,I329="SBJ"),AND(J329=1,I329=0)),"?IN_FOCUS",IF(J329&lt;=2,"?ACTIVATED",IF(J329&lt;&gt;"","?FAMILIAR",IF(F329="NEW",IF(ISNA(VLOOKUP(E329,#REF!,1,FALSE())),"?TYPE_IDENTIFIABLE","?REFERENTIAL"),"_")))))</f>
        <v> </v>
      </c>
      <c r="H329" s="25" t="str">
        <f>IF(J329&lt;&gt;1,"",IF(I329="SBJ","CB","?"))</f>
        <v> </v>
      </c>
      <c r="I329" s="26" t="str">
        <f>IF(OR(E329="",E329="!!!",F329="NEW"),"",INDEX(B328:B$2,-1+SUMPRODUCT(MAX(ROW(E328:E$2)*(E329=E328:E$2)))))</f>
        <v> </v>
      </c>
      <c r="J329" s="26" t="str">
        <f>IF(OR(E329="",E329="!!!",F329="NEW"),"",COUNTBLANK(OFFSET(A$1,,,SUMPRODUCT(MAX(ROW(E$2:E329)*(E329=E$2:E329)))))-COUNTBLANK(OFFSET(A$1,,,SUMPRODUCT(MAX(ROW(E$1:E328)*(E2=E$1:E328))))))</f>
        <v> </v>
      </c>
      <c r="K329" s="26" t="str">
        <f>IF(OR(E329="",E329="!!!",F329="NEW"),"",INDEX(J$1:J328,SUMPRODUCT(MAX(ROW(E$1:E328)*(E329=E$1:E328)))))</f>
        <v> </v>
      </c>
      <c r="L329" s="27"/>
    </row>
    <row r="330" spans="1:12">
      <c r="A330" s="20" t="s">
        <v>349</v>
      </c>
      <c r="B330" s="21" t="s">
        <v>165</v>
      </c>
      <c r="C330" s="21" t="s">
        <v>150</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350</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167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row>
    <row r="334" spans="1:12">
      <c r="A334" s="20" t="s">
        <v>351</v>
      </c>
    </row>
    <row r="335" spans="1:12">
      <c r="A335" s="20" t="s">
        <v>352</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353</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174</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354</v>
      </c>
      <c r="B338" s="21" t="s">
        <v>149</v>
      </c>
      <c r="C338" s="21" t="s">
        <v>158</v>
      </c>
      <c r="D338" s="21" t="s">
        <v>146</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187</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208</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355</v>
      </c>
      <c r="B341" s="21" t="s">
        <v>144</v>
      </c>
      <c r="C341" s="21" t="s">
        <v>158</v>
      </c>
      <c r="D341" s="21" t="s">
        <v>146</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202</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356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t="s">
        <v>357</v>
      </c>
      <c r="E344" s="22">
        <f>IF(D344="?OLD","!!!","")</f>
        <v/>
      </c>
      <c r="F344" s="23" t="str">
        <f>IF(OR(E344="",E344="!!!"),"",IF(NOT(ISNA(VLOOKUP(E344,E$1:E343,1,FALSE()))),"OLD",IF(AND(E344&lt;&gt;"",E344&lt;&gt;"!!!"),"NEW","")))</f>
        <v> </v>
      </c>
      <c r="G344" s="24" t="str">
        <f>IF(OR(E344="",E344="!!!"),"",IF(OR(J344=0,AND(J344=1,K344=1),AND(J344=1,I344="SBJ"),AND(J344=1,I344=0)),"?IN_FOCUS",IF(J344&lt;=2,"?ACTIVATED",IF(J344&lt;&gt;"","?FAMILIAR",IF(F344="NEW",IF(ISNA(VLOOKUP(E344,#REF!,1,FALSE())),"?TYPE_IDENTIFIABLE","?REFERENTIAL"),"_")))))</f>
        <v> </v>
      </c>
      <c r="H344" s="25" t="str">
        <f>IF(J344&lt;&gt;1,"",IF(I344="SBJ","CB","?"))</f>
        <v> </v>
      </c>
      <c r="I344" s="26" t="str">
        <f>IF(OR(E344="",E344="!!!",F344="NEW"),"",INDEX(B343:B$2,-1+SUMPRODUCT(MAX(ROW(E343:E$2)*(E344=E343:E$2)))))</f>
        <v> </v>
      </c>
      <c r="J344" s="26" t="str">
        <f>IF(OR(E344="",E344="!!!",F344="NEW"),"",COUNTBLANK(OFFSET(A$1,,,SUMPRODUCT(MAX(ROW(E$2:E344)*(E344=E$2:E344)))))-COUNTBLANK(OFFSET(A$1,,,SUMPRODUCT(MAX(ROW(E$1:E343)*(E2=E$1:E343))))))</f>
        <v> </v>
      </c>
      <c r="K344" s="26" t="str">
        <f>IF(OR(E344="",E344="!!!",F344="NEW"),"",INDEX(J$1:J343,SUMPRODUCT(MAX(ROW(E$1:E343)*(E344=E$1:E343)))))</f>
        <v> </v>
      </c>
      <c r="L344" s="27"/>
    </row>
    <row r="345" spans="1:12">
      <c r="A345" s="20" t="s">
        <v>358</v>
      </c>
      <c r="E345" s="22">
        <f>IF(D345="?OLD","!!!","")</f>
        <v/>
      </c>
      <c r="F345" s="23" t="str">
        <f>IF(OR(E345="",E345="!!!"),"",IF(NOT(ISNA(VLOOKUP(E345,E$1:E344,1,FALSE()))),"OLD",IF(AND(E345&lt;&gt;"",E345&lt;&gt;"!!!"),"NEW","")))</f>
        <v> </v>
      </c>
      <c r="G345" s="24" t="str">
        <f>IF(OR(E345="",E345="!!!"),"",IF(OR(J345=0,AND(J345=1,K345=1),AND(J345=1,I345="SBJ"),AND(J345=1,I345=0)),"?IN_FOCUS",IF(J345&lt;=2,"?ACTIVATED",IF(J345&lt;&gt;"","?FAMILIAR",IF(F345="NEW",IF(ISNA(VLOOKUP(E345,#REF!,1,FALSE())),"?TYPE_IDENTIFIABLE","?REFERENTIAL"),"_")))))</f>
        <v> </v>
      </c>
      <c r="H345" s="25" t="str">
        <f>IF(J345&lt;&gt;1,"",IF(I345="SBJ","CB","?"))</f>
        <v> </v>
      </c>
      <c r="I345" s="26" t="str">
        <f>IF(OR(E345="",E345="!!!",F345="NEW"),"",INDEX(B344:B$2,-1+SUMPRODUCT(MAX(ROW(E344:E$2)*(E345=E344:E$2)))))</f>
        <v> </v>
      </c>
      <c r="J345" s="26" t="str">
        <f>IF(OR(E345="",E345="!!!",F345="NEW"),"",COUNTBLANK(OFFSET(A$1,,,SUMPRODUCT(MAX(ROW(E$2:E345)*(E345=E$2:E345)))))-COUNTBLANK(OFFSET(A$1,,,SUMPRODUCT(MAX(ROW(E$1:E344)*(E2=E$1:E344))))))</f>
        <v> </v>
      </c>
      <c r="K345" s="26" t="str">
        <f>IF(OR(E345="",E345="!!!",F345="NEW"),"",INDEX(J$1:J344,SUMPRODUCT(MAX(ROW(E$1:E344)*(E345=E$1:E344)))))</f>
        <v> </v>
      </c>
      <c r="L345" s="27"/>
    </row>
    <row r="346" spans="1:12">
      <c r="A346" s="20" t="s">
        <v>359</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360</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361</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12</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362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363</v>
      </c>
      <c r="B351" s="21" t="s">
        <v>149</v>
      </c>
      <c r="C351" s="21" t="s">
        <v>184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364</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202</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365</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362</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330</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366</v>
      </c>
      <c r="B357" s="21" t="s">
        <v>149</v>
      </c>
      <c r="C357" s="21" t="s">
        <v>158</v>
      </c>
      <c r="D357" s="21" t="s">
        <v>146</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167</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row>
    <row r="360" spans="1:12">
      <c r="A360" s="20" t="s">
        <v>367</v>
      </c>
    </row>
    <row r="361" spans="1:12">
      <c r="A361" s="20" t="s">
        <v>368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357</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369</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t="s">
        <v>208</v>
      </c>
      <c r="E364" s="22">
        <f>IF(D364="?OLD","!!!","")</f>
        <v/>
      </c>
      <c r="F364" s="23" t="str">
        <f>IF(OR(E364="",E364="!!!"),"",IF(NOT(ISNA(VLOOKUP(E364,E$1:E363,1,FALSE()))),"OLD",IF(AND(E364&lt;&gt;"",E364&lt;&gt;"!!!"),"NEW","")))</f>
        <v> </v>
      </c>
      <c r="G364" s="24" t="str">
        <f>IF(OR(E364="",E364="!!!"),"",IF(OR(J364=0,AND(J364=1,K364=1),AND(J364=1,I364="SBJ"),AND(J364=1,I364=0)),"?IN_FOCUS",IF(J364&lt;=2,"?ACTIVATED",IF(J364&lt;&gt;"","?FAMILIAR",IF(F364="NEW",IF(ISNA(VLOOKUP(E364,#REF!,1,FALSE())),"?TYPE_IDENTIFIABLE","?REFERENTIAL"),"_")))))</f>
        <v> </v>
      </c>
      <c r="H364" s="25" t="str">
        <f>IF(J364&lt;&gt;1,"",IF(I364="SBJ","CB","?"))</f>
        <v> </v>
      </c>
      <c r="I364" s="26" t="str">
        <f>IF(OR(E364="",E364="!!!",F364="NEW"),"",INDEX(B363:B$2,-1+SUMPRODUCT(MAX(ROW(E363:E$2)*(E364=E363:E$2)))))</f>
        <v> </v>
      </c>
      <c r="J364" s="26" t="str">
        <f>IF(OR(E364="",E364="!!!",F364="NEW"),"",COUNTBLANK(OFFSET(A$1,,,SUMPRODUCT(MAX(ROW(E$2:E364)*(E364=E$2:E364)))))-COUNTBLANK(OFFSET(A$1,,,SUMPRODUCT(MAX(ROW(E$1:E363)*(E2=E$1:E363))))))</f>
        <v> </v>
      </c>
      <c r="K364" s="26" t="str">
        <f>IF(OR(E364="",E364="!!!",F364="NEW"),"",INDEX(J$1:J363,SUMPRODUCT(MAX(ROW(E$1:E363)*(E364=E$1:E363)))))</f>
        <v> </v>
      </c>
      <c r="L364" s="27"/>
    </row>
    <row r="365" spans="1:12">
      <c r="A365" s="20" t="s">
        <v>370</v>
      </c>
      <c r="B365" s="21" t="s">
        <v>244</v>
      </c>
      <c r="C365" s="21" t="s">
        <v>158</v>
      </c>
      <c r="D365" s="21" t="s">
        <v>146</v>
      </c>
      <c r="E365" s="22">
        <f>IF(D365="?OLD","!!!","")</f>
        <v/>
      </c>
      <c r="F365" s="23" t="str">
        <f>IF(OR(E365="",E365="!!!"),"",IF(NOT(ISNA(VLOOKUP(E365,E$1:E364,1,FALSE()))),"OLD",IF(AND(E365&lt;&gt;"",E365&lt;&gt;"!!!"),"NEW","")))</f>
        <v> </v>
      </c>
      <c r="G365" s="24" t="str">
        <f>IF(OR(E365="",E365="!!!"),"",IF(OR(J365=0,AND(J365=1,K365=1),AND(J365=1,I365="SBJ"),AND(J365=1,I365=0)),"?IN_FOCUS",IF(J365&lt;=2,"?ACTIVATED",IF(J365&lt;&gt;"","?FAMILIAR",IF(F365="NEW",IF(ISNA(VLOOKUP(E365,#REF!,1,FALSE())),"?TYPE_IDENTIFIABLE","?REFERENTIAL"),"_")))))</f>
        <v> </v>
      </c>
      <c r="H365" s="25" t="str">
        <f>IF(J365&lt;&gt;1,"",IF(I365="SBJ","CB","?"))</f>
        <v> </v>
      </c>
      <c r="I365" s="26" t="str">
        <f>IF(OR(E365="",E365="!!!",F365="NEW"),"",INDEX(B364:B$2,-1+SUMPRODUCT(MAX(ROW(E364:E$2)*(E365=E364:E$2)))))</f>
        <v> </v>
      </c>
      <c r="J365" s="26" t="str">
        <f>IF(OR(E365="",E365="!!!",F365="NEW"),"",COUNTBLANK(OFFSET(A$1,,,SUMPRODUCT(MAX(ROW(E$2:E365)*(E365=E$2:E365)))))-COUNTBLANK(OFFSET(A$1,,,SUMPRODUCT(MAX(ROW(E$1:E364)*(E2=E$1:E364))))))</f>
        <v> </v>
      </c>
      <c r="K365" s="26" t="str">
        <f>IF(OR(E365="",E365="!!!",F365="NEW"),"",INDEX(J$1:J364,SUMPRODUCT(MAX(ROW(E$1:E364)*(E365=E$1:E364)))))</f>
        <v> </v>
      </c>
      <c r="L365" s="27"/>
    </row>
    <row r="366" spans="1:12">
      <c r="A366" s="20" t="s">
        <v>195</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371</v>
      </c>
      <c r="B367" s="21" t="s">
        <v>144</v>
      </c>
      <c r="C367" s="21" t="s">
        <v>197</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372</v>
      </c>
      <c r="B368" s="21" t="s">
        <v>165</v>
      </c>
      <c r="C368" s="21" t="s">
        <v>150</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362</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314</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row>
    <row r="372" spans="1:12">
      <c r="A372" s="20" t="s">
        <v>373</v>
      </c>
    </row>
    <row r="373" spans="1:12">
      <c r="A373" s="20" t="s">
        <v>374</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375</v>
      </c>
      <c r="B374" s="21" t="s">
        <v>157</v>
      </c>
      <c r="C374" s="21" t="s">
        <v>319</v>
      </c>
      <c r="D374" s="21" t="s">
        <v>146</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376</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377</v>
      </c>
      <c r="B376" s="21" t="s">
        <v>149</v>
      </c>
      <c r="C376" s="21" t="s">
        <v>184</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167</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row>
    <row r="379" spans="1:12">
      <c r="A379" s="20" t="s">
        <v>378</v>
      </c>
    </row>
    <row r="380" spans="1:12">
      <c r="A380" s="20" t="s">
        <v>352</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208</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379</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t="s">
        <v>90</v>
      </c>
      <c r="B383" s="21" t="s">
        <v>149</v>
      </c>
      <c r="C383" s="21" t="s">
        <v>158</v>
      </c>
      <c r="D383" s="21" t="s">
        <v>146</v>
      </c>
      <c r="E383" s="22">
        <f>IF(D383="?OLD","!!!","")</f>
        <v/>
      </c>
      <c r="F383" s="23" t="str">
        <f>IF(OR(E383="",E383="!!!"),"",IF(NOT(ISNA(VLOOKUP(E383,E$1:E382,1,FALSE()))),"OLD",IF(AND(E383&lt;&gt;"",E383&lt;&gt;"!!!"),"NEW","")))</f>
        <v> </v>
      </c>
      <c r="G383" s="24" t="str">
        <f>IF(OR(E383="",E383="!!!"),"",IF(OR(J383=0,AND(J383=1,K383=1),AND(J383=1,I383="SBJ"),AND(J383=1,I383=0)),"?IN_FOCUS",IF(J383&lt;=2,"?ACTIVATED",IF(J383&lt;&gt;"","?FAMILIAR",IF(F383="NEW",IF(ISNA(VLOOKUP(E383,#REF!,1,FALSE())),"?TYPE_IDENTIFIABLE","?REFERENTIAL"),"_")))))</f>
        <v> </v>
      </c>
      <c r="H383" s="25" t="str">
        <f>IF(J383&lt;&gt;1,"",IF(I383="SBJ","CB","?"))</f>
        <v> </v>
      </c>
      <c r="I383" s="26" t="str">
        <f>IF(OR(E383="",E383="!!!",F383="NEW"),"",INDEX(B382:B$2,-1+SUMPRODUCT(MAX(ROW(E382:E$2)*(E383=E382:E$2)))))</f>
        <v> </v>
      </c>
      <c r="J383" s="26" t="str">
        <f>IF(OR(E383="",E383="!!!",F383="NEW"),"",COUNTBLANK(OFFSET(A$1,,,SUMPRODUCT(MAX(ROW(E$2:E383)*(E383=E$2:E383)))))-COUNTBLANK(OFFSET(A$1,,,SUMPRODUCT(MAX(ROW(E$1:E382)*(E2=E$1:E382))))))</f>
        <v> </v>
      </c>
      <c r="K383" s="26" t="str">
        <f>IF(OR(E383="",E383="!!!",F383="NEW"),"",INDEX(J$1:J382,SUMPRODUCT(MAX(ROW(E$1:E382)*(E383=E$1:E382)))))</f>
        <v> </v>
      </c>
      <c r="L383" s="27"/>
    </row>
    <row r="384" spans="1:12">
      <c r="A384" s="20" t="s">
        <v>12</v>
      </c>
      <c r="E384" s="22">
        <f>IF(D384="?OLD","!!!","")</f>
        <v/>
      </c>
      <c r="F384" s="23" t="str">
        <f>IF(OR(E384="",E384="!!!"),"",IF(NOT(ISNA(VLOOKUP(E384,E$1:E383,1,FALSE()))),"OLD",IF(AND(E384&lt;&gt;"",E384&lt;&gt;"!!!"),"NEW","")))</f>
        <v> </v>
      </c>
      <c r="G384" s="24" t="str">
        <f>IF(OR(E384="",E384="!!!"),"",IF(OR(J384=0,AND(J384=1,K384=1),AND(J384=1,I384="SBJ"),AND(J384=1,I384=0)),"?IN_FOCUS",IF(J384&lt;=2,"?ACTIVATED",IF(J384&lt;&gt;"","?FAMILIAR",IF(F384="NEW",IF(ISNA(VLOOKUP(E384,#REF!,1,FALSE())),"?TYPE_IDENTIFIABLE","?REFERENTIAL"),"_")))))</f>
        <v> </v>
      </c>
      <c r="H384" s="25" t="str">
        <f>IF(J384&lt;&gt;1,"",IF(I384="SBJ","CB","?"))</f>
        <v> </v>
      </c>
      <c r="I384" s="26" t="str">
        <f>IF(OR(E384="",E384="!!!",F384="NEW"),"",INDEX(B383:B$2,-1+SUMPRODUCT(MAX(ROW(E383:E$2)*(E384=E383:E$2)))))</f>
        <v> </v>
      </c>
      <c r="J384" s="26" t="str">
        <f>IF(OR(E384="",E384="!!!",F384="NEW"),"",COUNTBLANK(OFFSET(A$1,,,SUMPRODUCT(MAX(ROW(E$2:E384)*(E384=E$2:E384)))))-COUNTBLANK(OFFSET(A$1,,,SUMPRODUCT(MAX(ROW(E$1:E383)*(E2=E$1:E383))))))</f>
        <v> </v>
      </c>
      <c r="K384" s="26" t="str">
        <f>IF(OR(E384="",E384="!!!",F384="NEW"),"",INDEX(J$1:J383,SUMPRODUCT(MAX(ROW(E$1:E383)*(E384=E$1:E383)))))</f>
        <v> </v>
      </c>
      <c r="L384" s="27"/>
    </row>
    <row r="385" spans="1:12">
      <c r="A385" s="20" t="s">
        <v>203</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380</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381</v>
      </c>
      <c r="B387" s="21" t="s">
        <v>163</v>
      </c>
      <c r="C387" s="21" t="s">
        <v>197</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202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214</v>
      </c>
      <c r="B389" s="21" t="s">
        <v>382</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383</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212</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384</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t="s">
        <v>156</v>
      </c>
      <c r="B393" s="21" t="s">
        <v>285</v>
      </c>
      <c r="C393" s="21" t="s">
        <v>150</v>
      </c>
      <c r="E393" s="22">
        <f>IF(D393="?OLD","!!!","")</f>
        <v/>
      </c>
      <c r="F393" s="23" t="str">
        <f>IF(OR(E393="",E393="!!!"),"",IF(NOT(ISNA(VLOOKUP(E393,E$1:E392,1,FALSE()))),"OLD",IF(AND(E393&lt;&gt;"",E393&lt;&gt;"!!!"),"NEW","")))</f>
        <v> </v>
      </c>
      <c r="G393" s="24" t="str">
        <f>IF(OR(E393="",E393="!!!"),"",IF(OR(J393=0,AND(J393=1,K393=1),AND(J393=1,I393="SBJ"),AND(J393=1,I393=0)),"?IN_FOCUS",IF(J393&lt;=2,"?ACTIVATED",IF(J393&lt;&gt;"","?FAMILIAR",IF(F393="NEW",IF(ISNA(VLOOKUP(E393,#REF!,1,FALSE())),"?TYPE_IDENTIFIABLE","?REFERENTIAL"),"_")))))</f>
        <v> </v>
      </c>
      <c r="H393" s="25" t="str">
        <f>IF(J393&lt;&gt;1,"",IF(I393="SBJ","CB","?"))</f>
        <v> </v>
      </c>
      <c r="I393" s="26" t="str">
        <f>IF(OR(E393="",E393="!!!",F393="NEW"),"",INDEX(B392:B$2,-1+SUMPRODUCT(MAX(ROW(E392:E$2)*(E393=E392:E$2)))))</f>
        <v> </v>
      </c>
      <c r="J393" s="26" t="str">
        <f>IF(OR(E393="",E393="!!!",F393="NEW"),"",COUNTBLANK(OFFSET(A$1,,,SUMPRODUCT(MAX(ROW(E$2:E393)*(E393=E$2:E393)))))-COUNTBLANK(OFFSET(A$1,,,SUMPRODUCT(MAX(ROW(E$1:E392)*(E2=E$1:E392))))))</f>
        <v> </v>
      </c>
      <c r="K393" s="26" t="str">
        <f>IF(OR(E393="",E393="!!!",F393="NEW"),"",INDEX(J$1:J392,SUMPRODUCT(MAX(ROW(E$1:E392)*(E393=E$1:E392)))))</f>
        <v> </v>
      </c>
      <c r="L393" s="27"/>
    </row>
    <row r="394" spans="1:12">
      <c r="A394" s="20" t="s">
        <v>385</v>
      </c>
      <c r="E394" s="22">
        <f>IF(D394="?OLD","!!!","")</f>
        <v/>
      </c>
      <c r="F394" s="23" t="str">
        <f>IF(OR(E394="",E394="!!!"),"",IF(NOT(ISNA(VLOOKUP(E394,E$1:E393,1,FALSE()))),"OLD",IF(AND(E394&lt;&gt;"",E394&lt;&gt;"!!!"),"NEW","")))</f>
        <v> </v>
      </c>
      <c r="G394" s="24" t="str">
        <f>IF(OR(E394="",E394="!!!"),"",IF(OR(J394=0,AND(J394=1,K394=1),AND(J394=1,I394="SBJ"),AND(J394=1,I394=0)),"?IN_FOCUS",IF(J394&lt;=2,"?ACTIVATED",IF(J394&lt;&gt;"","?FAMILIAR",IF(F394="NEW",IF(ISNA(VLOOKUP(E394,#REF!,1,FALSE())),"?TYPE_IDENTIFIABLE","?REFERENTIAL"),"_")))))</f>
        <v> </v>
      </c>
      <c r="H394" s="25" t="str">
        <f>IF(J394&lt;&gt;1,"",IF(I394="SBJ","CB","?"))</f>
        <v> </v>
      </c>
      <c r="I394" s="26" t="str">
        <f>IF(OR(E394="",E394="!!!",F394="NEW"),"",INDEX(B393:B$2,-1+SUMPRODUCT(MAX(ROW(E393:E$2)*(E394=E393:E$2)))))</f>
        <v> </v>
      </c>
      <c r="J394" s="26" t="str">
        <f>IF(OR(E394="",E394="!!!",F394="NEW"),"",COUNTBLANK(OFFSET(A$1,,,SUMPRODUCT(MAX(ROW(E$2:E394)*(E394=E$2:E394)))))-COUNTBLANK(OFFSET(A$1,,,SUMPRODUCT(MAX(ROW(E$1:E393)*(E2=E$1:E393))))))</f>
        <v> </v>
      </c>
      <c r="K394" s="26" t="str">
        <f>IF(OR(E394="",E394="!!!",F394="NEW"),"",INDEX(J$1:J393,SUMPRODUCT(MAX(ROW(E$1:E393)*(E394=E$1:E393)))))</f>
        <v> </v>
      </c>
      <c r="L394" s="27"/>
    </row>
    <row r="395" spans="1:12">
      <c r="A395" s="20" t="s">
        <v>182</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202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262</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386</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208</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155</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387</v>
      </c>
      <c r="B401" s="21" t="s">
        <v>301</v>
      </c>
      <c r="C401" s="21" t="s">
        <v>158</v>
      </c>
      <c r="D401" s="21" t="s">
        <v>146</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388</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389</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12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390</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t="s">
        <v>262</v>
      </c>
      <c r="E406" s="22">
        <f>IF(D406="?OLD","!!!","")</f>
        <v/>
      </c>
      <c r="F406" s="23" t="str">
        <f>IF(OR(E406="",E406="!!!"),"",IF(NOT(ISNA(VLOOKUP(E406,E$1:E405,1,FALSE()))),"OLD",IF(AND(E406&lt;&gt;"",E406&lt;&gt;"!!!"),"NEW","")))</f>
        <v> </v>
      </c>
      <c r="G406" s="24" t="str">
        <f>IF(OR(E406="",E406="!!!"),"",IF(OR(J406=0,AND(J406=1,K406=1),AND(J406=1,I406="SBJ"),AND(J406=1,I406=0)),"?IN_FOCUS",IF(J406&lt;=2,"?ACTIVATED",IF(J406&lt;&gt;"","?FAMILIAR",IF(F406="NEW",IF(ISNA(VLOOKUP(E406,#REF!,1,FALSE())),"?TYPE_IDENTIFIABLE","?REFERENTIAL"),"_")))))</f>
        <v> </v>
      </c>
      <c r="H406" s="25" t="str">
        <f>IF(J406&lt;&gt;1,"",IF(I406="SBJ","CB","?"))</f>
        <v> </v>
      </c>
      <c r="I406" s="26" t="str">
        <f>IF(OR(E406="",E406="!!!",F406="NEW"),"",INDEX(B405:B$2,-1+SUMPRODUCT(MAX(ROW(E405:E$2)*(E406=E405:E$2)))))</f>
        <v> </v>
      </c>
      <c r="J406" s="26" t="str">
        <f>IF(OR(E406="",E406="!!!",F406="NEW"),"",COUNTBLANK(OFFSET(A$1,,,SUMPRODUCT(MAX(ROW(E$2:E406)*(E406=E$2:E406)))))-COUNTBLANK(OFFSET(A$1,,,SUMPRODUCT(MAX(ROW(E$1:E405)*(E2=E$1:E405))))))</f>
        <v> </v>
      </c>
      <c r="K406" s="26" t="str">
        <f>IF(OR(E406="",E406="!!!",F406="NEW"),"",INDEX(J$1:J405,SUMPRODUCT(MAX(ROW(E$1:E405)*(E406=E$1:E405)))))</f>
        <v> </v>
      </c>
      <c r="L406" s="27"/>
    </row>
    <row r="407" spans="1:12">
      <c r="A407" s="20" t="s">
        <v>391</v>
      </c>
      <c r="E407" s="22">
        <f>IF(D407="?OLD","!!!","")</f>
        <v/>
      </c>
      <c r="F407" s="23" t="str">
        <f>IF(OR(E407="",E407="!!!"),"",IF(NOT(ISNA(VLOOKUP(E407,E$1:E406,1,FALSE()))),"OLD",IF(AND(E407&lt;&gt;"",E407&lt;&gt;"!!!"),"NEW","")))</f>
        <v> </v>
      </c>
      <c r="G407" s="24" t="str">
        <f>IF(OR(E407="",E407="!!!"),"",IF(OR(J407=0,AND(J407=1,K407=1),AND(J407=1,I407="SBJ"),AND(J407=1,I407=0)),"?IN_FOCUS",IF(J407&lt;=2,"?ACTIVATED",IF(J407&lt;&gt;"","?FAMILIAR",IF(F407="NEW",IF(ISNA(VLOOKUP(E407,#REF!,1,FALSE())),"?TYPE_IDENTIFIABLE","?REFERENTIAL"),"_")))))</f>
        <v> </v>
      </c>
      <c r="H407" s="25" t="str">
        <f>IF(J407&lt;&gt;1,"",IF(I407="SBJ","CB","?"))</f>
        <v> </v>
      </c>
      <c r="I407" s="26" t="str">
        <f>IF(OR(E407="",E407="!!!",F407="NEW"),"",INDEX(B406:B$2,-1+SUMPRODUCT(MAX(ROW(E406:E$2)*(E407=E406:E$2)))))</f>
        <v> </v>
      </c>
      <c r="J407" s="26" t="str">
        <f>IF(OR(E407="",E407="!!!",F407="NEW"),"",COUNTBLANK(OFFSET(A$1,,,SUMPRODUCT(MAX(ROW(E$2:E407)*(E407=E$2:E407)))))-COUNTBLANK(OFFSET(A$1,,,SUMPRODUCT(MAX(ROW(E$1:E406)*(E2=E$1:E406))))))</f>
        <v> </v>
      </c>
      <c r="K407" s="26" t="str">
        <f>IF(OR(E407="",E407="!!!",F407="NEW"),"",INDEX(J$1:J406,SUMPRODUCT(MAX(ROW(E$1:E406)*(E407=E$1:E406)))))</f>
        <v> </v>
      </c>
      <c r="L407" s="27"/>
    </row>
    <row r="408" spans="1:12">
      <c r="A408" s="20" t="s">
        <v>392</v>
      </c>
      <c r="B408" s="21" t="s">
        <v>165</v>
      </c>
      <c r="C408" s="21" t="s">
        <v>150</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167</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row>
    <row r="411" spans="1:12">
      <c r="A411" s="20" t="s">
        <v>192</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393</v>
      </c>
    </row>
    <row r="413" spans="1:12">
      <c r="A413" s="20" t="s">
        <v>194</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162</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394</v>
      </c>
      <c r="B415" s="21" t="s">
        <v>149</v>
      </c>
      <c r="C415" s="21" t="s">
        <v>164</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245</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147</v>
      </c>
      <c r="B417" s="21" t="s">
        <v>144</v>
      </c>
      <c r="C417" s="21" t="s">
        <v>150</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202</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t="s">
        <v>208</v>
      </c>
      <c r="B419" s="21" t="s">
        <v>382</v>
      </c>
      <c r="E419" s="22">
        <f>IF(D419="?OLD","!!!","")</f>
        <v/>
      </c>
      <c r="F419" s="23" t="str">
        <f>IF(OR(E419="",E419="!!!"),"",IF(NOT(ISNA(VLOOKUP(E419,E$1:E418,1,FALSE()))),"OLD",IF(AND(E419&lt;&gt;"",E419&lt;&gt;"!!!"),"NEW","")))</f>
        <v> </v>
      </c>
      <c r="G419" s="24" t="str">
        <f>IF(OR(E419="",E419="!!!"),"",IF(OR(J419=0,AND(J419=1,K419=1),AND(J419=1,I419="SBJ"),AND(J419=1,I419=0)),"?IN_FOCUS",IF(J419&lt;=2,"?ACTIVATED",IF(J419&lt;&gt;"","?FAMILIAR",IF(F419="NEW",IF(ISNA(VLOOKUP(E419,#REF!,1,FALSE())),"?TYPE_IDENTIFIABLE","?REFERENTIAL"),"_")))))</f>
        <v> </v>
      </c>
      <c r="H419" s="25" t="str">
        <f>IF(J419&lt;&gt;1,"",IF(I419="SBJ","CB","?"))</f>
        <v> </v>
      </c>
      <c r="I419" s="26" t="str">
        <f>IF(OR(E419="",E419="!!!",F419="NEW"),"",INDEX(B418:B$2,-1+SUMPRODUCT(MAX(ROW(E418:E$2)*(E419=E418:E$2)))))</f>
        <v> </v>
      </c>
      <c r="J419" s="26" t="str">
        <f>IF(OR(E419="",E419="!!!",F419="NEW"),"",COUNTBLANK(OFFSET(A$1,,,SUMPRODUCT(MAX(ROW(E$2:E419)*(E419=E$2:E419)))))-COUNTBLANK(OFFSET(A$1,,,SUMPRODUCT(MAX(ROW(E$1:E418)*(E2=E$1:E418))))))</f>
        <v> </v>
      </c>
      <c r="K419" s="26" t="str">
        <f>IF(OR(E419="",E419="!!!",F419="NEW"),"",INDEX(J$1:J418,SUMPRODUCT(MAX(ROW(E$1:E418)*(E419=E$1:E418)))))</f>
        <v> </v>
      </c>
      <c r="L419" s="27"/>
    </row>
    <row r="420" spans="1:12">
      <c r="A420" s="20" t="s">
        <v>262</v>
      </c>
      <c r="E420" s="22">
        <f>IF(D420="?OLD","!!!","")</f>
        <v/>
      </c>
      <c r="F420" s="23" t="str">
        <f>IF(OR(E420="",E420="!!!"),"",IF(NOT(ISNA(VLOOKUP(E420,E$1:E419,1,FALSE()))),"OLD",IF(AND(E420&lt;&gt;"",E420&lt;&gt;"!!!"),"NEW","")))</f>
        <v> </v>
      </c>
      <c r="G420" s="24" t="str">
        <f>IF(OR(E420="",E420="!!!"),"",IF(OR(J420=0,AND(J420=1,K420=1),AND(J420=1,I420="SBJ"),AND(J420=1,I420=0)),"?IN_FOCUS",IF(J420&lt;=2,"?ACTIVATED",IF(J420&lt;&gt;"","?FAMILIAR",IF(F420="NEW",IF(ISNA(VLOOKUP(E420,#REF!,1,FALSE())),"?TYPE_IDENTIFIABLE","?REFERENTIAL"),"_")))))</f>
        <v> </v>
      </c>
      <c r="H420" s="25" t="str">
        <f>IF(J420&lt;&gt;1,"",IF(I420="SBJ","CB","?"))</f>
        <v> </v>
      </c>
      <c r="I420" s="26" t="str">
        <f>IF(OR(E420="",E420="!!!",F420="NEW"),"",INDEX(B419:B$2,-1+SUMPRODUCT(MAX(ROW(E419:E$2)*(E420=E419:E$2)))))</f>
        <v> </v>
      </c>
      <c r="J420" s="26" t="str">
        <f>IF(OR(E420="",E420="!!!",F420="NEW"),"",COUNTBLANK(OFFSET(A$1,,,SUMPRODUCT(MAX(ROW(E$2:E420)*(E420=E$2:E420)))))-COUNTBLANK(OFFSET(A$1,,,SUMPRODUCT(MAX(ROW(E$1:E419)*(E2=E$1:E419))))))</f>
        <v> </v>
      </c>
      <c r="K420" s="26" t="str">
        <f>IF(OR(E420="",E420="!!!",F420="NEW"),"",INDEX(J$1:J419,SUMPRODUCT(MAX(ROW(E$1:E419)*(E420=E$1:E419)))))</f>
        <v> </v>
      </c>
      <c r="L420" s="27"/>
    </row>
    <row r="421" spans="1:12">
      <c r="A421" s="20" t="s">
        <v>214</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260</v>
      </c>
      <c r="B422" s="21" t="s">
        <v>285</v>
      </c>
      <c r="C422" s="21" t="s">
        <v>158</v>
      </c>
      <c r="D422" s="21" t="s">
        <v>146</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174</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198</v>
      </c>
      <c r="B424" s="21" t="s">
        <v>289</v>
      </c>
      <c r="C424" s="21" t="s">
        <v>145</v>
      </c>
      <c r="D424" s="21" t="s">
        <v>146</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395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128</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202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272</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152</v>
      </c>
      <c r="B429" s="21" t="s">
        <v>157</v>
      </c>
      <c r="C429" s="21" t="s">
        <v>145</v>
      </c>
      <c r="D429" s="21" t="s">
        <v>146</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207</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200</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231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396</v>
      </c>
      <c r="B433" s="21" t="s">
        <v>157</v>
      </c>
      <c r="C433" s="21" t="s">
        <v>223</v>
      </c>
      <c r="D433" s="21" t="s">
        <v>146</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202</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203</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397</v>
      </c>
      <c r="B436" s="21" t="s">
        <v>222</v>
      </c>
      <c r="C436" s="21" t="s">
        <v>201</v>
      </c>
      <c r="D436" s="21" t="s">
        <v>146</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398</v>
      </c>
      <c r="B437" s="21" t="s">
        <v>287</v>
      </c>
      <c r="C437" s="21" t="s">
        <v>201</v>
      </c>
      <c r="D437" s="21" t="s">
        <v>146</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399</v>
      </c>
      <c r="B438" s="21" t="s">
        <v>285</v>
      </c>
      <c r="C438" s="21" t="s">
        <v>150</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225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236</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341</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400</v>
      </c>
      <c r="B442" s="21" t="s">
        <v>165</v>
      </c>
      <c r="C442" s="21" t="s">
        <v>197</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306</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218</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202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401</v>
      </c>
      <c r="B446" s="21" t="s">
        <v>402</v>
      </c>
      <c r="C446" s="21" t="s">
        <v>201</v>
      </c>
      <c r="D446" s="21" t="s">
        <v>146</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403</v>
      </c>
      <c r="B447" s="21" t="s">
        <v>289</v>
      </c>
      <c r="C447" s="21" t="s">
        <v>317</v>
      </c>
      <c r="D447" s="21" t="s">
        <v>146</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404</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405</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307</v>
      </c>
      <c r="B450" s="21" t="s">
        <v>402</v>
      </c>
      <c r="C450" s="21" t="s">
        <v>319</v>
      </c>
      <c r="D450" s="21" t="s">
        <v>146</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12</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406</v>
      </c>
      <c r="B452" s="21" t="s">
        <v>382</v>
      </c>
      <c r="C452" s="21" t="s">
        <v>184</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407</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408</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49</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12</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t="s">
        <v>409</v>
      </c>
      <c r="E457" s="22">
        <f>IF(D457="?OLD","!!!","")</f>
        <v/>
      </c>
      <c r="F457" s="23" t="str">
        <f>IF(OR(E457="",E457="!!!"),"",IF(NOT(ISNA(VLOOKUP(E457,E$1:E456,1,FALSE()))),"OLD",IF(AND(E457&lt;&gt;"",E457&lt;&gt;"!!!"),"NEW","")))</f>
        <v> </v>
      </c>
      <c r="G457" s="24" t="str">
        <f>IF(OR(E457="",E457="!!!"),"",IF(OR(J457=0,AND(J457=1,K457=1),AND(J457=1,I457="SBJ"),AND(J457=1,I457=0)),"?IN_FOCUS",IF(J457&lt;=2,"?ACTIVATED",IF(J457&lt;&gt;"","?FAMILIAR",IF(F457="NEW",IF(ISNA(VLOOKUP(E457,#REF!,1,FALSE())),"?TYPE_IDENTIFIABLE","?REFERENTIAL"),"_")))))</f>
        <v> </v>
      </c>
      <c r="H457" s="25" t="str">
        <f>IF(J457&lt;&gt;1,"",IF(I457="SBJ","CB","?"))</f>
        <v> </v>
      </c>
      <c r="I457" s="26" t="str">
        <f>IF(OR(E457="",E457="!!!",F457="NEW"),"",INDEX(B456:B$2,-1+SUMPRODUCT(MAX(ROW(E456:E$2)*(E457=E456:E$2)))))</f>
        <v> </v>
      </c>
      <c r="J457" s="26" t="str">
        <f>IF(OR(E457="",E457="!!!",F457="NEW"),"",COUNTBLANK(OFFSET(A$1,,,SUMPRODUCT(MAX(ROW(E$2:E457)*(E457=E$2:E457)))))-COUNTBLANK(OFFSET(A$1,,,SUMPRODUCT(MAX(ROW(E$1:E456)*(E2=E$1:E456))))))</f>
        <v> </v>
      </c>
      <c r="K457" s="26" t="str">
        <f>IF(OR(E457="",E457="!!!",F457="NEW"),"",INDEX(J$1:J456,SUMPRODUCT(MAX(ROW(E$1:E456)*(E457=E$1:E456)))))</f>
        <v> </v>
      </c>
      <c r="L457" s="27"/>
    </row>
    <row r="458" spans="1:12">
      <c r="A458" s="20" t="s">
        <v>307</v>
      </c>
      <c r="B458" s="21" t="s">
        <v>402</v>
      </c>
      <c r="C458" s="21" t="s">
        <v>150</v>
      </c>
      <c r="E458" s="22">
        <f>IF(D458="?OLD","!!!","")</f>
        <v/>
      </c>
      <c r="F458" s="23" t="str">
        <f>IF(OR(E458="",E458="!!!"),"",IF(NOT(ISNA(VLOOKUP(E458,E$1:E457,1,FALSE()))),"OLD",IF(AND(E458&lt;&gt;"",E458&lt;&gt;"!!!"),"NEW","")))</f>
        <v> </v>
      </c>
      <c r="G458" s="24" t="str">
        <f>IF(OR(E458="",E458="!!!"),"",IF(OR(J458=0,AND(J458=1,K458=1),AND(J458=1,I458="SBJ"),AND(J458=1,I458=0)),"?IN_FOCUS",IF(J458&lt;=2,"?ACTIVATED",IF(J458&lt;&gt;"","?FAMILIAR",IF(F458="NEW",IF(ISNA(VLOOKUP(E458,#REF!,1,FALSE())),"?TYPE_IDENTIFIABLE","?REFERENTIAL"),"_")))))</f>
        <v> </v>
      </c>
      <c r="H458" s="25" t="str">
        <f>IF(J458&lt;&gt;1,"",IF(I458="SBJ","CB","?"))</f>
        <v> </v>
      </c>
      <c r="I458" s="26" t="str">
        <f>IF(OR(E458="",E458="!!!",F458="NEW"),"",INDEX(B457:B$2,-1+SUMPRODUCT(MAX(ROW(E457:E$2)*(E458=E457:E$2)))))</f>
        <v> </v>
      </c>
      <c r="J458" s="26" t="str">
        <f>IF(OR(E458="",E458="!!!",F458="NEW"),"",COUNTBLANK(OFFSET(A$1,,,SUMPRODUCT(MAX(ROW(E$2:E458)*(E458=E$2:E458)))))-COUNTBLANK(OFFSET(A$1,,,SUMPRODUCT(MAX(ROW(E$1:E457)*(E2=E$1:E457))))))</f>
        <v> </v>
      </c>
      <c r="K458" s="26" t="str">
        <f>IF(OR(E458="",E458="!!!",F458="NEW"),"",INDEX(J$1:J457,SUMPRODUCT(MAX(ROW(E$1:E457)*(E458=E$1:E457)))))</f>
        <v> </v>
      </c>
      <c r="L458" s="27"/>
    </row>
    <row r="459" spans="1:12">
      <c r="A459" s="20" t="s">
        <v>410</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171</v>
      </c>
      <c r="B460" s="21" t="s">
        <v>289</v>
      </c>
      <c r="C460" s="21" t="s">
        <v>172</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411</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412</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167</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row>
    <row r="465" spans="1:12">
      <c r="A465" s="20" t="s">
        <v>413</v>
      </c>
    </row>
    <row r="466" spans="1:12">
      <c r="A466" s="20" t="s">
        <v>414</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200</v>
      </c>
      <c r="B467" s="21" t="s">
        <v>163</v>
      </c>
      <c r="C467" s="21" t="s">
        <v>201</v>
      </c>
      <c r="D467" s="21" t="s">
        <v>146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t="s">
        <v>415</v>
      </c>
      <c r="B468" s="21" t="s">
        <v>301</v>
      </c>
      <c r="E468" s="22">
        <f>IF(D468="?OLD","!!!","")</f>
        <v/>
      </c>
      <c r="F468" s="23" t="str">
        <f>IF(OR(E468="",E468="!!!"),"",IF(NOT(ISNA(VLOOKUP(E468,E$1:E467,1,FALSE()))),"OLD",IF(AND(E468&lt;&gt;"",E468&lt;&gt;"!!!"),"NEW","")))</f>
        <v> </v>
      </c>
      <c r="G468" s="24" t="str">
        <f>IF(OR(E468="",E468="!!!"),"",IF(OR(J468=0,AND(J468=1,K468=1),AND(J468=1,I468="SBJ"),AND(J468=1,I468=0)),"?IN_FOCUS",IF(J468&lt;=2,"?ACTIVATED",IF(J468&lt;&gt;"","?FAMILIAR",IF(F468="NEW",IF(ISNA(VLOOKUP(E468,#REF!,1,FALSE())),"?TYPE_IDENTIFIABLE","?REFERENTIAL"),"_")))))</f>
        <v> </v>
      </c>
      <c r="H468" s="25" t="str">
        <f>IF(J468&lt;&gt;1,"",IF(I468="SBJ","CB","?"))</f>
        <v> </v>
      </c>
      <c r="I468" s="26" t="str">
        <f>IF(OR(E468="",E468="!!!",F468="NEW"),"",INDEX(B467:B$2,-1+SUMPRODUCT(MAX(ROW(E467:E$2)*(E468=E467:E$2)))))</f>
        <v> </v>
      </c>
      <c r="J468" s="26" t="str">
        <f>IF(OR(E468="",E468="!!!",F468="NEW"),"",COUNTBLANK(OFFSET(A$1,,,SUMPRODUCT(MAX(ROW(E$2:E468)*(E468=E$2:E468)))))-COUNTBLANK(OFFSET(A$1,,,SUMPRODUCT(MAX(ROW(E$1:E467)*(E2=E$1:E467))))))</f>
        <v> </v>
      </c>
      <c r="K468" s="26" t="str">
        <f>IF(OR(E468="",E468="!!!",F468="NEW"),"",INDEX(J$1:J467,SUMPRODUCT(MAX(ROW(E$1:E467)*(E468=E$1:E467)))))</f>
        <v> </v>
      </c>
      <c r="L468" s="27"/>
    </row>
    <row r="469" spans="1:12">
      <c r="A469" s="20" t="s">
        <v>416</v>
      </c>
      <c r="E469" s="22">
        <f>IF(D469="?OLD","!!!","")</f>
        <v/>
      </c>
      <c r="F469" s="23" t="str">
        <f>IF(OR(E469="",E469="!!!"),"",IF(NOT(ISNA(VLOOKUP(E469,E$1:E468,1,FALSE()))),"OLD",IF(AND(E469&lt;&gt;"",E469&lt;&gt;"!!!"),"NEW","")))</f>
        <v> </v>
      </c>
      <c r="G469" s="24" t="str">
        <f>IF(OR(E469="",E469="!!!"),"",IF(OR(J469=0,AND(J469=1,K469=1),AND(J469=1,I469="SBJ"),AND(J469=1,I469=0)),"?IN_FOCUS",IF(J469&lt;=2,"?ACTIVATED",IF(J469&lt;&gt;"","?FAMILIAR",IF(F469="NEW",IF(ISNA(VLOOKUP(E469,#REF!,1,FALSE())),"?TYPE_IDENTIFIABLE","?REFERENTIAL"),"_")))))</f>
        <v> </v>
      </c>
      <c r="H469" s="25" t="str">
        <f>IF(J469&lt;&gt;1,"",IF(I469="SBJ","CB","?"))</f>
        <v> </v>
      </c>
      <c r="I469" s="26" t="str">
        <f>IF(OR(E469="",E469="!!!",F469="NEW"),"",INDEX(B468:B$2,-1+SUMPRODUCT(MAX(ROW(E468:E$2)*(E469=E468:E$2)))))</f>
        <v> </v>
      </c>
      <c r="J469" s="26" t="str">
        <f>IF(OR(E469="",E469="!!!",F469="NEW"),"",COUNTBLANK(OFFSET(A$1,,,SUMPRODUCT(MAX(ROW(E$2:E469)*(E469=E$2:E469)))))-COUNTBLANK(OFFSET(A$1,,,SUMPRODUCT(MAX(ROW(E$1:E468)*(E2=E$1:E468))))))</f>
        <v> </v>
      </c>
      <c r="K469" s="26" t="str">
        <f>IF(OR(E469="",E469="!!!",F469="NEW"),"",INDEX(J$1:J468,SUMPRODUCT(MAX(ROW(E$1:E468)*(E469=E$1:E468)))))</f>
        <v> </v>
      </c>
      <c r="L469" s="27"/>
    </row>
    <row r="470" spans="1:12">
      <c r="A470" s="20" t="s">
        <v>202</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417</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397</v>
      </c>
      <c r="B472" s="21" t="s">
        <v>157</v>
      </c>
      <c r="C472" s="21" t="s">
        <v>201</v>
      </c>
      <c r="D472" s="21" t="s">
        <v>146</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224</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410</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418</v>
      </c>
      <c r="B475" s="21" t="s">
        <v>149</v>
      </c>
      <c r="C475" s="21" t="s">
        <v>172</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189</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419</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420</v>
      </c>
      <c r="B478" s="21" t="s">
        <v>144</v>
      </c>
      <c r="C478" s="21" t="s">
        <v>172</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213</v>
      </c>
      <c r="B479" s="21" t="s">
        <v>149</v>
      </c>
      <c r="C479" s="21" t="s">
        <v>150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214</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215</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216</v>
      </c>
      <c r="B482" s="21" t="s">
        <v>149</v>
      </c>
      <c r="C482" s="21" t="s">
        <v>158</v>
      </c>
      <c r="D482" s="21" t="s">
        <v>146</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167</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row>
    <row r="485" spans="1:12">
      <c r="A485" s="20" t="s">
        <v>421</v>
      </c>
    </row>
    <row r="486" spans="1:12">
      <c r="A486" s="20" t="s">
        <v>152</v>
      </c>
      <c r="B486" s="21" t="s">
        <v>157</v>
      </c>
      <c r="C486" s="21" t="s">
        <v>145</v>
      </c>
      <c r="D486" s="21" t="s">
        <v>146</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422</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t="s">
        <v>330</v>
      </c>
      <c r="E488" s="22">
        <f>IF(D488="?OLD","!!!","")</f>
        <v/>
      </c>
      <c r="F488" s="23" t="str">
        <f>IF(OR(E488="",E488="!!!"),"",IF(NOT(ISNA(VLOOKUP(E488,E$1:E487,1,FALSE()))),"OLD",IF(AND(E488&lt;&gt;"",E488&lt;&gt;"!!!"),"NEW","")))</f>
        <v> </v>
      </c>
      <c r="G488" s="24" t="str">
        <f>IF(OR(E488="",E488="!!!"),"",IF(OR(J488=0,AND(J488=1,K488=1),AND(J488=1,I488="SBJ"),AND(J488=1,I488=0)),"?IN_FOCUS",IF(J488&lt;=2,"?ACTIVATED",IF(J488&lt;&gt;"","?FAMILIAR",IF(F488="NEW",IF(ISNA(VLOOKUP(E488,#REF!,1,FALSE())),"?TYPE_IDENTIFIABLE","?REFERENTIAL"),"_")))))</f>
        <v> </v>
      </c>
      <c r="H488" s="25" t="str">
        <f>IF(J488&lt;&gt;1,"",IF(I488="SBJ","CB","?"))</f>
        <v> </v>
      </c>
      <c r="I488" s="26" t="str">
        <f>IF(OR(E488="",E488="!!!",F488="NEW"),"",INDEX(B487:B$2,-1+SUMPRODUCT(MAX(ROW(E487:E$2)*(E488=E487:E$2)))))</f>
        <v> </v>
      </c>
      <c r="J488" s="26" t="str">
        <f>IF(OR(E488="",E488="!!!",F488="NEW"),"",COUNTBLANK(OFFSET(A$1,,,SUMPRODUCT(MAX(ROW(E$2:E488)*(E488=E$2:E488)))))-COUNTBLANK(OFFSET(A$1,,,SUMPRODUCT(MAX(ROW(E$1:E487)*(E2=E$1:E487))))))</f>
        <v> </v>
      </c>
      <c r="K488" s="26" t="str">
        <f>IF(OR(E488="",E488="!!!",F488="NEW"),"",INDEX(J$1:J487,SUMPRODUCT(MAX(ROW(E$1:E487)*(E488=E$1:E487)))))</f>
        <v> </v>
      </c>
      <c r="L488" s="27"/>
    </row>
    <row r="489" spans="1:12">
      <c r="A489" s="20" t="s">
        <v>307</v>
      </c>
      <c r="B489" s="21" t="s">
        <v>244</v>
      </c>
      <c r="C489" s="21" t="s">
        <v>158</v>
      </c>
      <c r="D489" s="21" t="s">
        <v>146</v>
      </c>
      <c r="E489" s="22">
        <f>IF(D489="?OLD","!!!","")</f>
        <v/>
      </c>
      <c r="F489" s="23" t="str">
        <f>IF(OR(E489="",E489="!!!"),"",IF(NOT(ISNA(VLOOKUP(E489,E$1:E488,1,FALSE()))),"OLD",IF(AND(E489&lt;&gt;"",E489&lt;&gt;"!!!"),"NEW","")))</f>
        <v> </v>
      </c>
      <c r="G489" s="24" t="str">
        <f>IF(OR(E489="",E489="!!!"),"",IF(OR(J489=0,AND(J489=1,K489=1),AND(J489=1,I489="SBJ"),AND(J489=1,I489=0)),"?IN_FOCUS",IF(J489&lt;=2,"?ACTIVATED",IF(J489&lt;&gt;"","?FAMILIAR",IF(F489="NEW",IF(ISNA(VLOOKUP(E489,#REF!,1,FALSE())),"?TYPE_IDENTIFIABLE","?REFERENTIAL"),"_")))))</f>
        <v> </v>
      </c>
      <c r="H489" s="25" t="str">
        <f>IF(J489&lt;&gt;1,"",IF(I489="SBJ","CB","?"))</f>
        <v> </v>
      </c>
      <c r="I489" s="26" t="str">
        <f>IF(OR(E489="",E489="!!!",F489="NEW"),"",INDEX(B488:B$2,-1+SUMPRODUCT(MAX(ROW(E488:E$2)*(E489=E488:E$2)))))</f>
        <v> </v>
      </c>
      <c r="J489" s="26" t="str">
        <f>IF(OR(E489="",E489="!!!",F489="NEW"),"",COUNTBLANK(OFFSET(A$1,,,SUMPRODUCT(MAX(ROW(E$2:E489)*(E489=E$2:E489)))))-COUNTBLANK(OFFSET(A$1,,,SUMPRODUCT(MAX(ROW(E$1:E488)*(E2=E$1:E488))))))</f>
        <v> </v>
      </c>
      <c r="K489" s="26" t="str">
        <f>IF(OR(E489="",E489="!!!",F489="NEW"),"",INDEX(J$1:J488,SUMPRODUCT(MAX(ROW(E$1:E488)*(E489=E$1:E488)))))</f>
        <v> </v>
      </c>
      <c r="L489" s="27"/>
    </row>
    <row r="490" spans="1:12">
      <c r="A490" s="20" t="s">
        <v>236</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185</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423</v>
      </c>
      <c r="B492" s="21" t="s">
        <v>144</v>
      </c>
      <c r="C492" s="21" t="s">
        <v>145</v>
      </c>
      <c r="D492" s="21" t="s">
        <v>146</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424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245</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167</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row>
    <row r="497" spans="1:12">
      <c r="A497" s="20" t="s">
        <v>425</v>
      </c>
    </row>
    <row r="498" spans="1:12">
      <c r="A498" s="20" t="s">
        <v>426</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169</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242</v>
      </c>
      <c r="B500" s="21" t="s">
        <v>157</v>
      </c>
      <c r="C500" s="21" t="s">
        <v>201</v>
      </c>
      <c r="D500" s="21" t="s">
        <v>146</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427</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428</v>
      </c>
      <c r="B502" s="21" t="s">
        <v>149</v>
      </c>
      <c r="C502" s="21" t="s">
        <v>150</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189</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429</v>
      </c>
      <c r="B504" s="21" t="s">
        <v>149</v>
      </c>
      <c r="C504" s="21" t="s">
        <v>150</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167</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row>
    <row r="507" spans="1:12">
      <c r="A507" s="20" t="s">
        <v>430</v>
      </c>
    </row>
    <row r="508" spans="1:12">
      <c r="A508" s="20" t="s">
        <v>431</v>
      </c>
      <c r="B508" s="21" t="s">
        <v>157</v>
      </c>
      <c r="C508" s="21" t="s">
        <v>201</v>
      </c>
      <c r="D508" s="21" t="s">
        <v>146</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231</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432</v>
      </c>
      <c r="B510" s="21" t="s">
        <v>149</v>
      </c>
      <c r="C510" s="21" t="s">
        <v>150</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174</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215</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433</v>
      </c>
      <c r="B513" s="21" t="s">
        <v>149</v>
      </c>
      <c r="C513" s="21" t="s">
        <v>158</v>
      </c>
      <c r="D513" s="21" t="s">
        <v>146</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189</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329</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147</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434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432</v>
      </c>
      <c r="B518" s="21" t="s">
        <v>149</v>
      </c>
      <c r="C518" s="21" t="s">
        <v>150</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174</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435</v>
      </c>
      <c r="B520" s="21" t="s">
        <v>144</v>
      </c>
      <c r="C520" s="21" t="s">
        <v>158</v>
      </c>
      <c r="D520" s="21" t="s">
        <v>146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t="s">
        <v>333</v>
      </c>
      <c r="B521" s="21" t="s">
        <v>165</v>
      </c>
      <c r="C521" s="21" t="s">
        <v>145</v>
      </c>
      <c r="D521" s="21" t="s">
        <v>146</v>
      </c>
      <c r="E521" s="22">
        <f>IF(D521="?OLD","!!!","")</f>
        <v/>
      </c>
      <c r="F521" s="23" t="str">
        <f>IF(OR(E521="",E521="!!!"),"",IF(NOT(ISNA(VLOOKUP(E521,E$1:E520,1,FALSE()))),"OLD",IF(AND(E521&lt;&gt;"",E521&lt;&gt;"!!!"),"NEW","")))</f>
        <v> </v>
      </c>
      <c r="G521" s="24" t="str">
        <f>IF(OR(E521="",E521="!!!"),"",IF(OR(J521=0,AND(J521=1,K521=1),AND(J521=1,I521="SBJ"),AND(J521=1,I521=0)),"?IN_FOCUS",IF(J521&lt;=2,"?ACTIVATED",IF(J521&lt;&gt;"","?FAMILIAR",IF(F521="NEW",IF(ISNA(VLOOKUP(E521,#REF!,1,FALSE())),"?TYPE_IDENTIFIABLE","?REFERENTIAL"),"_")))))</f>
        <v> </v>
      </c>
      <c r="H521" s="25" t="str">
        <f>IF(J521&lt;&gt;1,"",IF(I521="SBJ","CB","?"))</f>
        <v> </v>
      </c>
      <c r="I521" s="26" t="str">
        <f>IF(OR(E521="",E521="!!!",F521="NEW"),"",INDEX(B520:B$2,-1+SUMPRODUCT(MAX(ROW(E520:E$2)*(E521=E520:E$2)))))</f>
        <v> </v>
      </c>
      <c r="J521" s="26" t="str">
        <f>IF(OR(E521="",E521="!!!",F521="NEW"),"",COUNTBLANK(OFFSET(A$1,,,SUMPRODUCT(MAX(ROW(E$2:E521)*(E521=E$2:E521)))))-COUNTBLANK(OFFSET(A$1,,,SUMPRODUCT(MAX(ROW(E$1:E520)*(E2=E$1:E520))))))</f>
        <v> </v>
      </c>
      <c r="K521" s="26" t="str">
        <f>IF(OR(E521="",E521="!!!",F521="NEW"),"",INDEX(J$1:J520,SUMPRODUCT(MAX(ROW(E$1:E520)*(E521=E$1:E520)))))</f>
        <v> </v>
      </c>
      <c r="L521" s="27"/>
    </row>
    <row r="522" spans="1:12">
      <c r="A522" s="20" t="s">
        <v>167</v>
      </c>
      <c r="E522" s="22">
        <f>IF(D522="?OLD","!!!","")</f>
        <v/>
      </c>
      <c r="F522" s="23" t="str">
        <f>IF(OR(E522="",E522="!!!"),"",IF(NOT(ISNA(VLOOKUP(E522,E$1:E521,1,FALSE()))),"OLD",IF(AND(E522&lt;&gt;"",E522&lt;&gt;"!!!"),"NEW","")))</f>
        <v> </v>
      </c>
      <c r="G522" s="24" t="str">
        <f>IF(OR(E522="",E522="!!!"),"",IF(OR(J522=0,AND(J522=1,K522=1),AND(J522=1,I522="SBJ"),AND(J522=1,I522=0)),"?IN_FOCUS",IF(J522&lt;=2,"?ACTIVATED",IF(J522&lt;&gt;"","?FAMILIAR",IF(F522="NEW",IF(ISNA(VLOOKUP(E522,#REF!,1,FALSE())),"?TYPE_IDENTIFIABLE","?REFERENTIAL"),"_")))))</f>
        <v> </v>
      </c>
      <c r="H522" s="25" t="str">
        <f>IF(J522&lt;&gt;1,"",IF(I522="SBJ","CB","?"))</f>
        <v> </v>
      </c>
      <c r="I522" s="26" t="str">
        <f>IF(OR(E522="",E522="!!!",F522="NEW"),"",INDEX(B521:B$2,-1+SUMPRODUCT(MAX(ROW(E521:E$2)*(E522=E521:E$2)))))</f>
        <v> </v>
      </c>
      <c r="J522" s="26" t="str">
        <f>IF(OR(E522="",E522="!!!",F522="NEW"),"",COUNTBLANK(OFFSET(A$1,,,SUMPRODUCT(MAX(ROW(E$2:E522)*(E522=E$2:E522)))))-COUNTBLANK(OFFSET(A$1,,,SUMPRODUCT(MAX(ROW(E$1:E521)*(E2=E$1:E521))))))</f>
        <v> </v>
      </c>
      <c r="K522" s="26" t="str">
        <f>IF(OR(E522="",E522="!!!",F522="NEW"),"",INDEX(J$1:J521,SUMPRODUCT(MAX(ROW(E$1:E521)*(E522=E$1:E521)))))</f>
        <v> </v>
      </c>
      <c r="L522" s="27"/>
    </row>
    <row r="523" spans="1:12">
      <c r="A523" s="20"/>
    </row>
    <row r="524" spans="1:12">
      <c r="A524" s="20" t="s">
        <v>436</v>
      </c>
    </row>
    <row r="525" spans="1:12">
      <c r="A525" s="20" t="s">
        <v>194</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330</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437</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438</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418</v>
      </c>
      <c r="B529" s="21" t="s">
        <v>144</v>
      </c>
      <c r="C529" s="21" t="s">
        <v>158</v>
      </c>
      <c r="D529" s="21" t="s">
        <v>146</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202</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t="s">
        <v>212</v>
      </c>
      <c r="E531" s="22">
        <f>IF(D531="?OLD","!!!","")</f>
        <v/>
      </c>
      <c r="F531" s="23" t="str">
        <f>IF(OR(E531="",E531="!!!"),"",IF(NOT(ISNA(VLOOKUP(E531,E$1:E530,1,FALSE()))),"OLD",IF(AND(E531&lt;&gt;"",E531&lt;&gt;"!!!"),"NEW","")))</f>
        <v> </v>
      </c>
      <c r="G531" s="24" t="str">
        <f>IF(OR(E531="",E531="!!!"),"",IF(OR(J531=0,AND(J531=1,K531=1),AND(J531=1,I531="SBJ"),AND(J531=1,I531=0)),"?IN_FOCUS",IF(J531&lt;=2,"?ACTIVATED",IF(J531&lt;&gt;"","?FAMILIAR",IF(F531="NEW",IF(ISNA(VLOOKUP(E531,#REF!,1,FALSE())),"?TYPE_IDENTIFIABLE","?REFERENTIAL"),"_")))))</f>
        <v> </v>
      </c>
      <c r="H531" s="25" t="str">
        <f>IF(J531&lt;&gt;1,"",IF(I531="SBJ","CB","?"))</f>
        <v> </v>
      </c>
      <c r="I531" s="26" t="str">
        <f>IF(OR(E531="",E531="!!!",F531="NEW"),"",INDEX(B530:B$2,-1+SUMPRODUCT(MAX(ROW(E530:E$2)*(E531=E530:E$2)))))</f>
        <v> </v>
      </c>
      <c r="J531" s="26" t="str">
        <f>IF(OR(E531="",E531="!!!",F531="NEW"),"",COUNTBLANK(OFFSET(A$1,,,SUMPRODUCT(MAX(ROW(E$2:E531)*(E531=E$2:E531)))))-COUNTBLANK(OFFSET(A$1,,,SUMPRODUCT(MAX(ROW(E$1:E530)*(E2=E$1:E530))))))</f>
        <v> </v>
      </c>
      <c r="K531" s="26" t="str">
        <f>IF(OR(E531="",E531="!!!",F531="NEW"),"",INDEX(J$1:J530,SUMPRODUCT(MAX(ROW(E$1:E530)*(E531=E$1:E530)))))</f>
        <v> </v>
      </c>
      <c r="L531" s="27"/>
    </row>
    <row r="532" spans="1:12">
      <c r="A532" s="20" t="s">
        <v>147</v>
      </c>
      <c r="B532" s="21" t="s">
        <v>144</v>
      </c>
      <c r="C532" s="21" t="s">
        <v>150</v>
      </c>
      <c r="E532" s="22">
        <f>IF(D532="?OLD","!!!","")</f>
        <v/>
      </c>
      <c r="F532" s="23" t="str">
        <f>IF(OR(E532="",E532="!!!"),"",IF(NOT(ISNA(VLOOKUP(E532,E$1:E531,1,FALSE()))),"OLD",IF(AND(E532&lt;&gt;"",E532&lt;&gt;"!!!"),"NEW","")))</f>
        <v> </v>
      </c>
      <c r="G532" s="24" t="str">
        <f>IF(OR(E532="",E532="!!!"),"",IF(OR(J532=0,AND(J532=1,K532=1),AND(J532=1,I532="SBJ"),AND(J532=1,I532=0)),"?IN_FOCUS",IF(J532&lt;=2,"?ACTIVATED",IF(J532&lt;&gt;"","?FAMILIAR",IF(F532="NEW",IF(ISNA(VLOOKUP(E532,#REF!,1,FALSE())),"?TYPE_IDENTIFIABLE","?REFERENTIAL"),"_")))))</f>
        <v> </v>
      </c>
      <c r="H532" s="25" t="str">
        <f>IF(J532&lt;&gt;1,"",IF(I532="SBJ","CB","?"))</f>
        <v> </v>
      </c>
      <c r="I532" s="26" t="str">
        <f>IF(OR(E532="",E532="!!!",F532="NEW"),"",INDEX(B531:B$2,-1+SUMPRODUCT(MAX(ROW(E531:E$2)*(E532=E531:E$2)))))</f>
        <v> </v>
      </c>
      <c r="J532" s="26" t="str">
        <f>IF(OR(E532="",E532="!!!",F532="NEW"),"",COUNTBLANK(OFFSET(A$1,,,SUMPRODUCT(MAX(ROW(E$2:E532)*(E532=E$2:E532)))))-COUNTBLANK(OFFSET(A$1,,,SUMPRODUCT(MAX(ROW(E$1:E531)*(E2=E$1:E531))))))</f>
        <v> </v>
      </c>
      <c r="K532" s="26" t="str">
        <f>IF(OR(E532="",E532="!!!",F532="NEW"),"",INDEX(J$1:J531,SUMPRODUCT(MAX(ROW(E$1:E531)*(E532=E$1:E531)))))</f>
        <v> </v>
      </c>
      <c r="L532" s="27"/>
    </row>
    <row r="533" spans="1:12">
      <c r="A533" s="20" t="s">
        <v>213</v>
      </c>
      <c r="B533" s="21" t="s">
        <v>149</v>
      </c>
      <c r="C533" s="21" t="s">
        <v>150</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174</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439</v>
      </c>
      <c r="B535" s="21" t="s">
        <v>144</v>
      </c>
      <c r="C535" s="21" t="s">
        <v>158</v>
      </c>
      <c r="D535" s="21" t="s">
        <v>146</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252</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440</v>
      </c>
      <c r="B537" s="21" t="s">
        <v>144</v>
      </c>
      <c r="C537" s="21" t="s">
        <v>145</v>
      </c>
      <c r="D537" s="21" t="s">
        <v>146</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254</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169</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t="s">
        <v>202</v>
      </c>
      <c r="E540" s="22">
        <f>IF(D540="?OLD","!!!","")</f>
        <v/>
      </c>
      <c r="F540" s="23" t="str">
        <f>IF(OR(E540="",E540="!!!"),"",IF(NOT(ISNA(VLOOKUP(E540,E$1:E539,1,FALSE()))),"OLD",IF(AND(E540&lt;&gt;"",E540&lt;&gt;"!!!"),"NEW","")))</f>
        <v> </v>
      </c>
      <c r="G540" s="24" t="str">
        <f>IF(OR(E540="",E540="!!!"),"",IF(OR(J540=0,AND(J540=1,K540=1),AND(J540=1,I540="SBJ"),AND(J540=1,I540=0)),"?IN_FOCUS",IF(J540&lt;=2,"?ACTIVATED",IF(J540&lt;&gt;"","?FAMILIAR",IF(F540="NEW",IF(ISNA(VLOOKUP(E540,#REF!,1,FALSE())),"?TYPE_IDENTIFIABLE","?REFERENTIAL"),"_")))))</f>
        <v> </v>
      </c>
      <c r="H540" s="25" t="str">
        <f>IF(J540&lt;&gt;1,"",IF(I540="SBJ","CB","?"))</f>
        <v> </v>
      </c>
      <c r="I540" s="26" t="str">
        <f>IF(OR(E540="",E540="!!!",F540="NEW"),"",INDEX(B539:B$2,-1+SUMPRODUCT(MAX(ROW(E539:E$2)*(E540=E539:E$2)))))</f>
        <v> </v>
      </c>
      <c r="J540" s="26" t="str">
        <f>IF(OR(E540="",E540="!!!",F540="NEW"),"",COUNTBLANK(OFFSET(A$1,,,SUMPRODUCT(MAX(ROW(E$2:E540)*(E540=E$2:E540)))))-COUNTBLANK(OFFSET(A$1,,,SUMPRODUCT(MAX(ROW(E$1:E539)*(E2=E$1:E539))))))</f>
        <v> </v>
      </c>
      <c r="K540" s="26" t="str">
        <f>IF(OR(E540="",E540="!!!",F540="NEW"),"",INDEX(J$1:J539,SUMPRODUCT(MAX(ROW(E$1:E539)*(E540=E$1:E539)))))</f>
        <v> </v>
      </c>
      <c r="L540" s="27"/>
    </row>
    <row r="541" spans="1:12">
      <c r="A541" s="20" t="s">
        <v>214</v>
      </c>
      <c r="B541" s="21" t="s">
        <v>222</v>
      </c>
      <c r="E541" s="22">
        <f>IF(D541="?OLD","!!!","")</f>
        <v/>
      </c>
      <c r="F541" s="23" t="str">
        <f>IF(OR(E541="",E541="!!!"),"",IF(NOT(ISNA(VLOOKUP(E541,E$1:E540,1,FALSE()))),"OLD",IF(AND(E541&lt;&gt;"",E541&lt;&gt;"!!!"),"NEW","")))</f>
        <v> </v>
      </c>
      <c r="G541" s="24" t="str">
        <f>IF(OR(E541="",E541="!!!"),"",IF(OR(J541=0,AND(J541=1,K541=1),AND(J541=1,I541="SBJ"),AND(J541=1,I541=0)),"?IN_FOCUS",IF(J541&lt;=2,"?ACTIVATED",IF(J541&lt;&gt;"","?FAMILIAR",IF(F541="NEW",IF(ISNA(VLOOKUP(E541,#REF!,1,FALSE())),"?TYPE_IDENTIFIABLE","?REFERENTIAL"),"_")))))</f>
        <v> </v>
      </c>
      <c r="H541" s="25" t="str">
        <f>IF(J541&lt;&gt;1,"",IF(I541="SBJ","CB","?"))</f>
        <v> </v>
      </c>
      <c r="I541" s="26" t="str">
        <f>IF(OR(E541="",E541="!!!",F541="NEW"),"",INDEX(B540:B$2,-1+SUMPRODUCT(MAX(ROW(E540:E$2)*(E541=E540:E$2)))))</f>
        <v> </v>
      </c>
      <c r="J541" s="26" t="str">
        <f>IF(OR(E541="",E541="!!!",F541="NEW"),"",COUNTBLANK(OFFSET(A$1,,,SUMPRODUCT(MAX(ROW(E$2:E541)*(E541=E$2:E541)))))-COUNTBLANK(OFFSET(A$1,,,SUMPRODUCT(MAX(ROW(E$1:E540)*(E2=E$1:E540))))))</f>
        <v> </v>
      </c>
      <c r="K541" s="26" t="str">
        <f>IF(OR(E541="",E541="!!!",F541="NEW"),"",INDEX(J$1:J540,SUMPRODUCT(MAX(ROW(E$1:E540)*(E541=E$1:E540)))))</f>
        <v> </v>
      </c>
      <c r="L541" s="27"/>
    </row>
    <row r="542" spans="1:12">
      <c r="A542" s="20" t="s">
        <v>330</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333</v>
      </c>
      <c r="B543" s="21" t="s">
        <v>287</v>
      </c>
      <c r="C543" s="21" t="s">
        <v>145</v>
      </c>
      <c r="D543" s="21" t="s">
        <v>146</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441</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202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182</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152</v>
      </c>
      <c r="B547" s="21" t="s">
        <v>157</v>
      </c>
      <c r="C547" s="21" t="s">
        <v>145</v>
      </c>
      <c r="D547" s="21" t="s">
        <v>146</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183</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227</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t="s">
        <v>226</v>
      </c>
      <c r="B550" s="21" t="s">
        <v>149</v>
      </c>
      <c r="C550" s="21" t="s">
        <v>164</v>
      </c>
      <c r="E550" s="22">
        <f>IF(D550="?OLD","!!!","")</f>
        <v/>
      </c>
      <c r="F550" s="23" t="str">
        <f>IF(OR(E550="",E550="!!!"),"",IF(NOT(ISNA(VLOOKUP(E550,E$1:E549,1,FALSE()))),"OLD",IF(AND(E550&lt;&gt;"",E550&lt;&gt;"!!!"),"NEW","")))</f>
        <v> </v>
      </c>
      <c r="G550" s="24" t="str">
        <f>IF(OR(E550="",E550="!!!"),"",IF(OR(J550=0,AND(J550=1,K550=1),AND(J550=1,I550="SBJ"),AND(J550=1,I550=0)),"?IN_FOCUS",IF(J550&lt;=2,"?ACTIVATED",IF(J550&lt;&gt;"","?FAMILIAR",IF(F550="NEW",IF(ISNA(VLOOKUP(E550,#REF!,1,FALSE())),"?TYPE_IDENTIFIABLE","?REFERENTIAL"),"_")))))</f>
        <v> </v>
      </c>
      <c r="H550" s="25" t="str">
        <f>IF(J550&lt;&gt;1,"",IF(I550="SBJ","CB","?"))</f>
        <v> </v>
      </c>
      <c r="I550" s="26" t="str">
        <f>IF(OR(E550="",E550="!!!",F550="NEW"),"",INDEX(B549:B$2,-1+SUMPRODUCT(MAX(ROW(E549:E$2)*(E550=E549:E$2)))))</f>
        <v> </v>
      </c>
      <c r="J550" s="26" t="str">
        <f>IF(OR(E550="",E550="!!!",F550="NEW"),"",COUNTBLANK(OFFSET(A$1,,,SUMPRODUCT(MAX(ROW(E$2:E550)*(E550=E$2:E550)))))-COUNTBLANK(OFFSET(A$1,,,SUMPRODUCT(MAX(ROW(E$1:E549)*(E2=E$1:E549))))))</f>
        <v> </v>
      </c>
      <c r="K550" s="26" t="str">
        <f>IF(OR(E550="",E550="!!!",F550="NEW"),"",INDEX(J$1:J549,SUMPRODUCT(MAX(ROW(E$1:E549)*(E550=E$1:E549)))))</f>
        <v> </v>
      </c>
      <c r="L550" s="27"/>
    </row>
    <row r="551" spans="1:12">
      <c r="A551" s="20" t="s">
        <v>191</v>
      </c>
      <c r="E551" s="22">
        <f>IF(D551="?OLD","!!!","")</f>
        <v/>
      </c>
      <c r="F551" s="23" t="str">
        <f>IF(OR(E551="",E551="!!!"),"",IF(NOT(ISNA(VLOOKUP(E551,E$1:E550,1,FALSE()))),"OLD",IF(AND(E551&lt;&gt;"",E551&lt;&gt;"!!!"),"NEW","")))</f>
        <v> </v>
      </c>
      <c r="G551" s="24" t="str">
        <f>IF(OR(E551="",E551="!!!"),"",IF(OR(J551=0,AND(J551=1,K551=1),AND(J551=1,I551="SBJ"),AND(J551=1,I551=0)),"?IN_FOCUS",IF(J551&lt;=2,"?ACTIVATED",IF(J551&lt;&gt;"","?FAMILIAR",IF(F551="NEW",IF(ISNA(VLOOKUP(E551,#REF!,1,FALSE())),"?TYPE_IDENTIFIABLE","?REFERENTIAL"),"_")))))</f>
        <v> </v>
      </c>
      <c r="H551" s="25" t="str">
        <f>IF(J551&lt;&gt;1,"",IF(I551="SBJ","CB","?"))</f>
        <v> </v>
      </c>
      <c r="I551" s="26" t="str">
        <f>IF(OR(E551="",E551="!!!",F551="NEW"),"",INDEX(B550:B$2,-1+SUMPRODUCT(MAX(ROW(E550:E$2)*(E551=E550:E$2)))))</f>
        <v> </v>
      </c>
      <c r="J551" s="26" t="str">
        <f>IF(OR(E551="",E551="!!!",F551="NEW"),"",COUNTBLANK(OFFSET(A$1,,,SUMPRODUCT(MAX(ROW(E$2:E551)*(E551=E$2:E551)))))-COUNTBLANK(OFFSET(A$1,,,SUMPRODUCT(MAX(ROW(E$1:E550)*(E2=E$1:E550))))))</f>
        <v> </v>
      </c>
      <c r="K551" s="26" t="str">
        <f>IF(OR(E551="",E551="!!!",F551="NEW"),"",INDEX(J$1:J550,SUMPRODUCT(MAX(ROW(E$1:E550)*(E551=E$1:E550)))))</f>
        <v> </v>
      </c>
      <c r="L551" s="27"/>
    </row>
    <row r="552" spans="1:12">
      <c r="A552" s="20" t="s">
        <v>167</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row>
    <row r="554" spans="1:12">
      <c r="A554" s="20" t="s">
        <v>442</v>
      </c>
    </row>
    <row r="555" spans="1:12">
      <c r="A555" s="20" t="s">
        <v>335</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147</v>
      </c>
      <c r="B556" s="21" t="s">
        <v>149</v>
      </c>
      <c r="C556" s="21" t="s">
        <v>150</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245</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208</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443</v>
      </c>
      <c r="B559" s="21" t="s">
        <v>144</v>
      </c>
      <c r="C559" s="21" t="s">
        <v>158</v>
      </c>
      <c r="D559" s="21" t="s">
        <v>146</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444</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445</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242</v>
      </c>
      <c r="B562" s="21" t="s">
        <v>157</v>
      </c>
      <c r="C562" s="21" t="s">
        <v>201</v>
      </c>
      <c r="D562" s="21" t="s">
        <v>146</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152</v>
      </c>
      <c r="B563" s="21" t="s">
        <v>157</v>
      </c>
      <c r="C563" s="21" t="s">
        <v>145</v>
      </c>
      <c r="D563" s="21" t="s">
        <v>146</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212</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446</v>
      </c>
      <c r="B565" s="21" t="s">
        <v>144</v>
      </c>
      <c r="C565" s="21" t="s">
        <v>223</v>
      </c>
      <c r="D565" s="21" t="s">
        <v>146</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177</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447</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448</v>
      </c>
      <c r="B568" s="21" t="s">
        <v>144</v>
      </c>
      <c r="C568" s="21" t="s">
        <v>172</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202</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t="s">
        <v>449</v>
      </c>
      <c r="B570" s="21" t="s">
        <v>301</v>
      </c>
      <c r="E570" s="22">
        <f>IF(D570="?OLD","!!!","")</f>
        <v/>
      </c>
      <c r="F570" s="23" t="str">
        <f>IF(OR(E570="",E570="!!!"),"",IF(NOT(ISNA(VLOOKUP(E570,E$1:E569,1,FALSE()))),"OLD",IF(AND(E570&lt;&gt;"",E570&lt;&gt;"!!!"),"NEW","")))</f>
        <v> </v>
      </c>
      <c r="G570" s="24" t="str">
        <f>IF(OR(E570="",E570="!!!"),"",IF(OR(J570=0,AND(J570=1,K570=1),AND(J570=1,I570="SBJ"),AND(J570=1,I570=0)),"?IN_FOCUS",IF(J570&lt;=2,"?ACTIVATED",IF(J570&lt;&gt;"","?FAMILIAR",IF(F570="NEW",IF(ISNA(VLOOKUP(E570,#REF!,1,FALSE())),"?TYPE_IDENTIFIABLE","?REFERENTIAL"),"_")))))</f>
        <v> </v>
      </c>
      <c r="H570" s="25" t="str">
        <f>IF(J570&lt;&gt;1,"",IF(I570="SBJ","CB","?"))</f>
        <v> </v>
      </c>
      <c r="I570" s="26" t="str">
        <f>IF(OR(E570="",E570="!!!",F570="NEW"),"",INDEX(B569:B$2,-1+SUMPRODUCT(MAX(ROW(E569:E$2)*(E570=E569:E$2)))))</f>
        <v> </v>
      </c>
      <c r="J570" s="26" t="str">
        <f>IF(OR(E570="",E570="!!!",F570="NEW"),"",COUNTBLANK(OFFSET(A$1,,,SUMPRODUCT(MAX(ROW(E$2:E570)*(E570=E$2:E570)))))-COUNTBLANK(OFFSET(A$1,,,SUMPRODUCT(MAX(ROW(E$1:E569)*(E2=E$1:E569))))))</f>
        <v> </v>
      </c>
      <c r="K570" s="26" t="str">
        <f>IF(OR(E570="",E570="!!!",F570="NEW"),"",INDEX(J$1:J569,SUMPRODUCT(MAX(ROW(E$1:E569)*(E570=E$1:E569)))))</f>
        <v> </v>
      </c>
      <c r="L570" s="27"/>
    </row>
    <row r="571" spans="1:12">
      <c r="A571" s="20" t="s">
        <v>242</v>
      </c>
      <c r="B571" s="21" t="s">
        <v>222</v>
      </c>
      <c r="C571" s="21" t="s">
        <v>201</v>
      </c>
      <c r="D571" s="21" t="s">
        <v>146</v>
      </c>
      <c r="E571" s="22">
        <f>IF(D571="?OLD","!!!","")</f>
        <v/>
      </c>
      <c r="F571" s="23" t="str">
        <f>IF(OR(E571="",E571="!!!"),"",IF(NOT(ISNA(VLOOKUP(E571,E$1:E570,1,FALSE()))),"OLD",IF(AND(E571&lt;&gt;"",E571&lt;&gt;"!!!"),"NEW","")))</f>
        <v> </v>
      </c>
      <c r="G571" s="24" t="str">
        <f>IF(OR(E571="",E571="!!!"),"",IF(OR(J571=0,AND(J571=1,K571=1),AND(J571=1,I571="SBJ"),AND(J571=1,I571=0)),"?IN_FOCUS",IF(J571&lt;=2,"?ACTIVATED",IF(J571&lt;&gt;"","?FAMILIAR",IF(F571="NEW",IF(ISNA(VLOOKUP(E571,#REF!,1,FALSE())),"?TYPE_IDENTIFIABLE","?REFERENTIAL"),"_")))))</f>
        <v> </v>
      </c>
      <c r="H571" s="25" t="str">
        <f>IF(J571&lt;&gt;1,"",IF(I571="SBJ","CB","?"))</f>
        <v> </v>
      </c>
      <c r="I571" s="26" t="str">
        <f>IF(OR(E571="",E571="!!!",F571="NEW"),"",INDEX(B570:B$2,-1+SUMPRODUCT(MAX(ROW(E570:E$2)*(E571=E570:E$2)))))</f>
        <v> </v>
      </c>
      <c r="J571" s="26" t="str">
        <f>IF(OR(E571="",E571="!!!",F571="NEW"),"",COUNTBLANK(OFFSET(A$1,,,SUMPRODUCT(MAX(ROW(E$2:E571)*(E571=E$2:E571)))))-COUNTBLANK(OFFSET(A$1,,,SUMPRODUCT(MAX(ROW(E$1:E570)*(E2=E$1:E570))))))</f>
        <v> </v>
      </c>
      <c r="K571" s="26" t="str">
        <f>IF(OR(E571="",E571="!!!",F571="NEW"),"",INDEX(J$1:J570,SUMPRODUCT(MAX(ROW(E$1:E570)*(E571=E$1:E570)))))</f>
        <v> </v>
      </c>
      <c r="L571" s="27"/>
    </row>
    <row r="572" spans="1:12">
      <c r="A572" s="20" t="s">
        <v>245</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185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450</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451</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167</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row>
    <row r="578" spans="1:12">
      <c r="A578" s="20" t="s">
        <v>452</v>
      </c>
    </row>
    <row r="579" spans="1:12">
      <c r="A579" s="20" t="s">
        <v>453</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182</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454</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202</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203</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152</v>
      </c>
      <c r="B584" s="21" t="s">
        <v>163</v>
      </c>
      <c r="C584" s="21" t="s">
        <v>145</v>
      </c>
      <c r="D584" s="21" t="s">
        <v>146</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455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327</v>
      </c>
      <c r="B586" s="21" t="s">
        <v>285</v>
      </c>
      <c r="C586" s="21" t="s">
        <v>145</v>
      </c>
      <c r="D586" s="21" t="s">
        <v>146</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456</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457</v>
      </c>
      <c r="B588" s="21" t="s">
        <v>301</v>
      </c>
      <c r="C588" s="21" t="s">
        <v>150</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t="s">
        <v>156</v>
      </c>
      <c r="B589" s="21" t="s">
        <v>144</v>
      </c>
      <c r="C589" s="21" t="s">
        <v>150</v>
      </c>
      <c r="E589" s="22">
        <f>IF(D589="?OLD","!!!","")</f>
        <v/>
      </c>
      <c r="F589" s="23" t="str">
        <f>IF(OR(E589="",E589="!!!"),"",IF(NOT(ISNA(VLOOKUP(E589,E$1:E588,1,FALSE()))),"OLD",IF(AND(E589&lt;&gt;"",E589&lt;&gt;"!!!"),"NEW","")))</f>
        <v> </v>
      </c>
      <c r="G589" s="24" t="str">
        <f>IF(OR(E589="",E589="!!!"),"",IF(OR(J589=0,AND(J589=1,K589=1),AND(J589=1,I589="SBJ"),AND(J589=1,I589=0)),"?IN_FOCUS",IF(J589&lt;=2,"?ACTIVATED",IF(J589&lt;&gt;"","?FAMILIAR",IF(F589="NEW",IF(ISNA(VLOOKUP(E589,#REF!,1,FALSE())),"?TYPE_IDENTIFIABLE","?REFERENTIAL"),"_")))))</f>
        <v> </v>
      </c>
      <c r="H589" s="25" t="str">
        <f>IF(J589&lt;&gt;1,"",IF(I589="SBJ","CB","?"))</f>
        <v> </v>
      </c>
      <c r="I589" s="26" t="str">
        <f>IF(OR(E589="",E589="!!!",F589="NEW"),"",INDEX(B588:B$2,-1+SUMPRODUCT(MAX(ROW(E588:E$2)*(E589=E588:E$2)))))</f>
        <v> </v>
      </c>
      <c r="J589" s="26" t="str">
        <f>IF(OR(E589="",E589="!!!",F589="NEW"),"",COUNTBLANK(OFFSET(A$1,,,SUMPRODUCT(MAX(ROW(E$2:E589)*(E589=E$2:E589)))))-COUNTBLANK(OFFSET(A$1,,,SUMPRODUCT(MAX(ROW(E$1:E588)*(E2=E$1:E588))))))</f>
        <v> </v>
      </c>
      <c r="K589" s="26" t="str">
        <f>IF(OR(E589="",E589="!!!",F589="NEW"),"",INDEX(J$1:J588,SUMPRODUCT(MAX(ROW(E$1:E588)*(E589=E$1:E588)))))</f>
        <v> </v>
      </c>
      <c r="L589" s="27"/>
    </row>
    <row r="590" spans="1:12">
      <c r="A590" s="20" t="s">
        <v>177</v>
      </c>
      <c r="E590" s="22">
        <f>IF(D590="?OLD","!!!","")</f>
        <v/>
      </c>
      <c r="F590" s="23" t="str">
        <f>IF(OR(E590="",E590="!!!"),"",IF(NOT(ISNA(VLOOKUP(E590,E$1:E589,1,FALSE()))),"OLD",IF(AND(E590&lt;&gt;"",E590&lt;&gt;"!!!"),"NEW","")))</f>
        <v> </v>
      </c>
      <c r="G590" s="24" t="str">
        <f>IF(OR(E590="",E590="!!!"),"",IF(OR(J590=0,AND(J590=1,K590=1),AND(J590=1,I590="SBJ"),AND(J590=1,I590=0)),"?IN_FOCUS",IF(J590&lt;=2,"?ACTIVATED",IF(J590&lt;&gt;"","?FAMILIAR",IF(F590="NEW",IF(ISNA(VLOOKUP(E590,#REF!,1,FALSE())),"?TYPE_IDENTIFIABLE","?REFERENTIAL"),"_")))))</f>
        <v> </v>
      </c>
      <c r="H590" s="25" t="str">
        <f>IF(J590&lt;&gt;1,"",IF(I590="SBJ","CB","?"))</f>
        <v> </v>
      </c>
      <c r="I590" s="26" t="str">
        <f>IF(OR(E590="",E590="!!!",F590="NEW"),"",INDEX(B589:B$2,-1+SUMPRODUCT(MAX(ROW(E589:E$2)*(E590=E589:E$2)))))</f>
        <v> </v>
      </c>
      <c r="J590" s="26" t="str">
        <f>IF(OR(E590="",E590="!!!",F590="NEW"),"",COUNTBLANK(OFFSET(A$1,,,SUMPRODUCT(MAX(ROW(E$2:E590)*(E590=E$2:E590)))))-COUNTBLANK(OFFSET(A$1,,,SUMPRODUCT(MAX(ROW(E$1:E589)*(E2=E$1:E589))))))</f>
        <v> </v>
      </c>
      <c r="K590" s="26" t="str">
        <f>IF(OR(E590="",E590="!!!",F590="NEW"),"",INDEX(J$1:J589,SUMPRODUCT(MAX(ROW(E$1:E589)*(E590=E$1:E589)))))</f>
        <v> </v>
      </c>
      <c r="L590" s="27"/>
    </row>
    <row r="591" spans="1:12">
      <c r="A591" s="20" t="s">
        <v>458</v>
      </c>
      <c r="B591" s="21" t="s">
        <v>165</v>
      </c>
      <c r="C591" s="21" t="s">
        <v>145</v>
      </c>
      <c r="D591" s="21" t="s">
        <v>146</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128</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407</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202</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459</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460</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461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457</v>
      </c>
      <c r="B598" s="21" t="s">
        <v>163</v>
      </c>
      <c r="C598" s="21" t="s">
        <v>197</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t="s">
        <v>327</v>
      </c>
      <c r="B599" s="21" t="s">
        <v>301</v>
      </c>
      <c r="C599" s="21" t="s">
        <v>145</v>
      </c>
      <c r="D599" s="21" t="s">
        <v>146</v>
      </c>
      <c r="E599" s="22">
        <f>IF(D599="?OLD","!!!","")</f>
        <v/>
      </c>
      <c r="F599" s="23" t="str">
        <f>IF(OR(E599="",E599="!!!"),"",IF(NOT(ISNA(VLOOKUP(E599,E$1:E598,1,FALSE()))),"OLD",IF(AND(E599&lt;&gt;"",E599&lt;&gt;"!!!"),"NEW","")))</f>
        <v> </v>
      </c>
      <c r="G599" s="24" t="str">
        <f>IF(OR(E599="",E599="!!!"),"",IF(OR(J599=0,AND(J599=1,K599=1),AND(J599=1,I599="SBJ"),AND(J599=1,I599=0)),"?IN_FOCUS",IF(J599&lt;=2,"?ACTIVATED",IF(J599&lt;&gt;"","?FAMILIAR",IF(F599="NEW",IF(ISNA(VLOOKUP(E599,#REF!,1,FALSE())),"?TYPE_IDENTIFIABLE","?REFERENTIAL"),"_")))))</f>
        <v> </v>
      </c>
      <c r="H599" s="25" t="str">
        <f>IF(J599&lt;&gt;1,"",IF(I599="SBJ","CB","?"))</f>
        <v> </v>
      </c>
      <c r="I599" s="26" t="str">
        <f>IF(OR(E599="",E599="!!!",F599="NEW"),"",INDEX(B598:B$2,-1+SUMPRODUCT(MAX(ROW(E598:E$2)*(E599=E598:E$2)))))</f>
        <v> </v>
      </c>
      <c r="J599" s="26" t="str">
        <f>IF(OR(E599="",E599="!!!",F599="NEW"),"",COUNTBLANK(OFFSET(A$1,,,SUMPRODUCT(MAX(ROW(E$2:E599)*(E599=E$2:E599)))))-COUNTBLANK(OFFSET(A$1,,,SUMPRODUCT(MAX(ROW(E$1:E598)*(E2=E$1:E598))))))</f>
        <v> </v>
      </c>
      <c r="K599" s="26" t="str">
        <f>IF(OR(E599="",E599="!!!",F599="NEW"),"",INDEX(J$1:J598,SUMPRODUCT(MAX(ROW(E$1:E598)*(E599=E$1:E598)))))</f>
        <v> </v>
      </c>
      <c r="L599" s="27"/>
    </row>
    <row r="600" spans="1:12">
      <c r="A600" s="20" t="s">
        <v>462</v>
      </c>
      <c r="E600" s="22">
        <f>IF(D600="?OLD","!!!","")</f>
        <v/>
      </c>
      <c r="F600" s="23" t="str">
        <f>IF(OR(E600="",E600="!!!"),"",IF(NOT(ISNA(VLOOKUP(E600,E$1:E599,1,FALSE()))),"OLD",IF(AND(E600&lt;&gt;"",E600&lt;&gt;"!!!"),"NEW","")))</f>
        <v> </v>
      </c>
      <c r="G600" s="24" t="str">
        <f>IF(OR(E600="",E600="!!!"),"",IF(OR(J600=0,AND(J600=1,K600=1),AND(J600=1,I600="SBJ"),AND(J600=1,I600=0)),"?IN_FOCUS",IF(J600&lt;=2,"?ACTIVATED",IF(J600&lt;&gt;"","?FAMILIAR",IF(F600="NEW",IF(ISNA(VLOOKUP(E600,#REF!,1,FALSE())),"?TYPE_IDENTIFIABLE","?REFERENTIAL"),"_")))))</f>
        <v> </v>
      </c>
      <c r="H600" s="25" t="str">
        <f>IF(J600&lt;&gt;1,"",IF(I600="SBJ","CB","?"))</f>
        <v> </v>
      </c>
      <c r="I600" s="26" t="str">
        <f>IF(OR(E600="",E600="!!!",F600="NEW"),"",INDEX(B599:B$2,-1+SUMPRODUCT(MAX(ROW(E599:E$2)*(E600=E599:E$2)))))</f>
        <v> </v>
      </c>
      <c r="J600" s="26" t="str">
        <f>IF(OR(E600="",E600="!!!",F600="NEW"),"",COUNTBLANK(OFFSET(A$1,,,SUMPRODUCT(MAX(ROW(E$2:E600)*(E600=E$2:E600)))))-COUNTBLANK(OFFSET(A$1,,,SUMPRODUCT(MAX(ROW(E$1:E599)*(E2=E$1:E599))))))</f>
        <v> </v>
      </c>
      <c r="K600" s="26" t="str">
        <f>IF(OR(E600="",E600="!!!",F600="NEW"),"",INDEX(J$1:J599,SUMPRODUCT(MAX(ROW(E$1:E599)*(E600=E$1:E599)))))</f>
        <v> </v>
      </c>
      <c r="L600" s="27"/>
    </row>
    <row r="601" spans="1:12">
      <c r="A601" s="20" t="s">
        <v>208</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463</v>
      </c>
      <c r="B602" s="21" t="s">
        <v>165</v>
      </c>
      <c r="C602" s="21" t="s">
        <v>158</v>
      </c>
      <c r="D602" s="21" t="s">
        <v>146</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464</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465</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167</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row>
    <row r="607" spans="1:12">
      <c r="A607" s="20" t="s">
        <v>466</v>
      </c>
    </row>
    <row r="608" spans="1:12">
      <c r="A608" s="20" t="s">
        <v>352</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467</v>
      </c>
      <c r="B609" s="21" t="s">
        <v>144</v>
      </c>
      <c r="C609" s="21" t="s">
        <v>317</v>
      </c>
      <c r="D609" s="21" t="s">
        <v>146</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307</v>
      </c>
      <c r="B610" s="21" t="s">
        <v>149</v>
      </c>
      <c r="C610" s="21" t="s">
        <v>319</v>
      </c>
      <c r="D610" s="21" t="s">
        <v>146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182</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177</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341</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468</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202</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469</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470</v>
      </c>
      <c r="B617" s="21" t="s">
        <v>149</v>
      </c>
      <c r="C617" s="21" t="s">
        <v>197</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327</v>
      </c>
      <c r="B618" s="21" t="s">
        <v>144</v>
      </c>
      <c r="C618" s="21" t="s">
        <v>145</v>
      </c>
      <c r="D618" s="21" t="s">
        <v>146</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471</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202</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472</v>
      </c>
      <c r="B621" s="21" t="s">
        <v>149</v>
      </c>
      <c r="C621" s="21" t="s">
        <v>145</v>
      </c>
      <c r="D621" s="21" t="s">
        <v>146</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473</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167</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row>
    <row r="625" spans="1:12">
      <c r="A625" s="20" t="s">
        <v>474</v>
      </c>
    </row>
    <row r="626" spans="1:12">
      <c r="A626" s="20" t="s">
        <v>147</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182</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428</v>
      </c>
      <c r="B628" s="21" t="s">
        <v>149</v>
      </c>
      <c r="C628" s="21" t="s">
        <v>150</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202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475</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242</v>
      </c>
      <c r="B631" s="21" t="s">
        <v>222</v>
      </c>
      <c r="C631" s="21" t="s">
        <v>201</v>
      </c>
      <c r="D631" s="21" t="s">
        <v>146</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476</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171</v>
      </c>
      <c r="B633" s="21" t="s">
        <v>165</v>
      </c>
      <c r="C633" s="21" t="s">
        <v>172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264</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477</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183</v>
      </c>
      <c r="B636" s="21" t="s">
        <v>285</v>
      </c>
      <c r="C636" s="21" t="s">
        <v>184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185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478</v>
      </c>
      <c r="B638" s="21" t="s">
        <v>165</v>
      </c>
      <c r="C638" s="21" t="s">
        <v>158</v>
      </c>
      <c r="D638" s="21" t="s">
        <v>146</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182</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167</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
      <c r="A64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2024-12-05T17:52:25Z</dcterms:created>
  <dcterms:modified xsi:type="dcterms:W3CDTF">2024-12-05T17:52:25Z</dcterms:modified>
</cp:coreProperties>
</file>