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abea\Desktop\Git\AURIS\annotators\team\tg\de\in-progress\"/>
    </mc:Choice>
  </mc:AlternateContent>
  <xr:revisionPtr revIDLastSave="0" documentId="13_ncr:1_{3190039B-CC2F-4E2B-AF92-ED711734E71E}" xr6:coauthVersionLast="47" xr6:coauthVersionMax="47" xr10:uidLastSave="{00000000-0000-0000-0000-000000000000}"/>
  <bookViews>
    <workbookView xWindow="-108" yWindow="-108" windowWidth="23256" windowHeight="12456"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G578" i="2" l="1"/>
  <c r="E578" i="2"/>
  <c r="G577" i="2"/>
  <c r="F577" i="2"/>
  <c r="K577" i="2" s="1"/>
  <c r="E577" i="2"/>
  <c r="E575" i="2"/>
  <c r="G574" i="2"/>
  <c r="G573" i="2"/>
  <c r="E573" i="2"/>
  <c r="F573" i="2" s="1"/>
  <c r="I573" i="2" s="1"/>
  <c r="J572" i="2"/>
  <c r="H572" i="2" s="1"/>
  <c r="E571" i="2"/>
  <c r="G570" i="2"/>
  <c r="E570" i="2"/>
  <c r="F569" i="2"/>
  <c r="E568" i="2"/>
  <c r="E567" i="2"/>
  <c r="G565" i="2"/>
  <c r="F565" i="2"/>
  <c r="I565" i="2" s="1"/>
  <c r="E565" i="2"/>
  <c r="I564" i="2"/>
  <c r="E563" i="2"/>
  <c r="G562" i="2"/>
  <c r="F562" i="2"/>
  <c r="I562" i="2" s="1"/>
  <c r="E562" i="2"/>
  <c r="F561" i="2"/>
  <c r="J561" i="2" s="1"/>
  <c r="H561" i="2" s="1"/>
  <c r="E560" i="2"/>
  <c r="F560" i="2" s="1"/>
  <c r="J560" i="2" s="1"/>
  <c r="H560" i="2" s="1"/>
  <c r="E559" i="2"/>
  <c r="G558" i="2"/>
  <c r="E558" i="2"/>
  <c r="F558" i="2" s="1"/>
  <c r="J558" i="2" s="1"/>
  <c r="H558" i="2" s="1"/>
  <c r="G557" i="2"/>
  <c r="F557" i="2"/>
  <c r="I557" i="2" s="1"/>
  <c r="E557" i="2"/>
  <c r="F556" i="2"/>
  <c r="J556" i="2" s="1"/>
  <c r="H556" i="2" s="1"/>
  <c r="E555" i="2"/>
  <c r="G554" i="2"/>
  <c r="F554" i="2"/>
  <c r="I554" i="2" s="1"/>
  <c r="E554" i="2"/>
  <c r="F553" i="2"/>
  <c r="J553" i="2" s="1"/>
  <c r="H553" i="2" s="1"/>
  <c r="E552" i="2"/>
  <c r="G550" i="2"/>
  <c r="E550" i="2"/>
  <c r="F550" i="2" s="1"/>
  <c r="J550" i="2" s="1"/>
  <c r="H550" i="2" s="1"/>
  <c r="G549" i="2"/>
  <c r="F549" i="2"/>
  <c r="I549" i="2" s="1"/>
  <c r="E549" i="2"/>
  <c r="F548" i="2"/>
  <c r="J548" i="2" s="1"/>
  <c r="H548" i="2" s="1"/>
  <c r="E548" i="2"/>
  <c r="E547" i="2"/>
  <c r="G546" i="2"/>
  <c r="K546" i="2"/>
  <c r="G545" i="2"/>
  <c r="J545" i="2"/>
  <c r="H545" i="2" s="1"/>
  <c r="E544" i="2"/>
  <c r="E543" i="2"/>
  <c r="G542" i="2"/>
  <c r="E542" i="2"/>
  <c r="F542" i="2" s="1"/>
  <c r="K542" i="2" s="1"/>
  <c r="G541" i="2"/>
  <c r="F541" i="2"/>
  <c r="I541" i="2" s="1"/>
  <c r="E541" i="2"/>
  <c r="F540" i="2"/>
  <c r="I540" i="2" s="1"/>
  <c r="E540" i="2"/>
  <c r="G538" i="2"/>
  <c r="F538" i="2"/>
  <c r="K538" i="2" s="1"/>
  <c r="E538" i="2"/>
  <c r="G537" i="2"/>
  <c r="F537" i="2"/>
  <c r="J537" i="2" s="1"/>
  <c r="H537" i="2" s="1"/>
  <c r="E537" i="2"/>
  <c r="F536" i="2"/>
  <c r="J536" i="2" s="1"/>
  <c r="H536" i="2" s="1"/>
  <c r="E536" i="2"/>
  <c r="E535" i="2"/>
  <c r="G534" i="2"/>
  <c r="E534" i="2"/>
  <c r="F534" i="2" s="1"/>
  <c r="K534" i="2" s="1"/>
  <c r="G533" i="2"/>
  <c r="I533" i="2"/>
  <c r="F532" i="2"/>
  <c r="I532" i="2" s="1"/>
  <c r="E532" i="2"/>
  <c r="E531" i="2"/>
  <c r="G530" i="2"/>
  <c r="F530" i="2"/>
  <c r="K530" i="2" s="1"/>
  <c r="E530" i="2"/>
  <c r="G529" i="2"/>
  <c r="F529" i="2"/>
  <c r="J529" i="2" s="1"/>
  <c r="H529" i="2" s="1"/>
  <c r="E529" i="2"/>
  <c r="E528" i="2"/>
  <c r="F528" i="2" s="1"/>
  <c r="J528" i="2" s="1"/>
  <c r="H528" i="2" s="1"/>
  <c r="E527" i="2"/>
  <c r="G526" i="2"/>
  <c r="E526" i="2"/>
  <c r="F526" i="2" s="1"/>
  <c r="G525" i="2"/>
  <c r="F525" i="2"/>
  <c r="I525" i="2" s="1"/>
  <c r="E525" i="2"/>
  <c r="F524" i="2"/>
  <c r="J524" i="2" s="1"/>
  <c r="H524" i="2" s="1"/>
  <c r="E524" i="2"/>
  <c r="E523" i="2"/>
  <c r="G522" i="2"/>
  <c r="F522" i="2"/>
  <c r="K522" i="2" s="1"/>
  <c r="E522" i="2"/>
  <c r="G521" i="2"/>
  <c r="J521" i="2"/>
  <c r="H521" i="2" s="1"/>
  <c r="E520" i="2"/>
  <c r="G518" i="2"/>
  <c r="E518" i="2"/>
  <c r="F518" i="2" s="1"/>
  <c r="G517" i="2"/>
  <c r="F517" i="2"/>
  <c r="I517" i="2" s="1"/>
  <c r="E517" i="2"/>
  <c r="F516" i="2"/>
  <c r="J516" i="2" s="1"/>
  <c r="H516" i="2" s="1"/>
  <c r="E516" i="2"/>
  <c r="E515" i="2"/>
  <c r="G514" i="2"/>
  <c r="F514" i="2"/>
  <c r="K514" i="2" s="1"/>
  <c r="E514" i="2"/>
  <c r="G513" i="2"/>
  <c r="F513" i="2"/>
  <c r="J513" i="2" s="1"/>
  <c r="H513" i="2" s="1"/>
  <c r="E513" i="2"/>
  <c r="E512" i="2"/>
  <c r="E511" i="2"/>
  <c r="G510" i="2"/>
  <c r="E510" i="2"/>
  <c r="F510" i="2" s="1"/>
  <c r="K510" i="2" s="1"/>
  <c r="G509" i="2"/>
  <c r="F509" i="2"/>
  <c r="I509" i="2" s="1"/>
  <c r="E509" i="2"/>
  <c r="E508" i="2"/>
  <c r="E507" i="2"/>
  <c r="G506" i="2"/>
  <c r="F506" i="2"/>
  <c r="K506" i="2" s="1"/>
  <c r="E506" i="2"/>
  <c r="G505" i="2"/>
  <c r="F505" i="2"/>
  <c r="K505" i="2" s="1"/>
  <c r="E505" i="2"/>
  <c r="F504" i="2"/>
  <c r="J504" i="2" s="1"/>
  <c r="H504" i="2" s="1"/>
  <c r="E504" i="2"/>
  <c r="G502" i="2"/>
  <c r="E502" i="2"/>
  <c r="F502" i="2" s="1"/>
  <c r="G501" i="2"/>
  <c r="F501" i="2"/>
  <c r="I501" i="2" s="1"/>
  <c r="E501" i="2"/>
  <c r="F500" i="2"/>
  <c r="J500" i="2" s="1"/>
  <c r="H500" i="2" s="1"/>
  <c r="E500" i="2"/>
  <c r="E499" i="2"/>
  <c r="G498" i="2"/>
  <c r="F498" i="2"/>
  <c r="K498" i="2" s="1"/>
  <c r="E498" i="2"/>
  <c r="G497" i="2"/>
  <c r="F497" i="2"/>
  <c r="K497" i="2" s="1"/>
  <c r="E497" i="2"/>
  <c r="E495" i="2"/>
  <c r="G492" i="2"/>
  <c r="F492" i="2"/>
  <c r="I492" i="2" s="1"/>
  <c r="E492" i="2"/>
  <c r="G491" i="2"/>
  <c r="F491" i="2"/>
  <c r="E491" i="2"/>
  <c r="E489" i="2"/>
  <c r="G488" i="2"/>
  <c r="F488" i="2"/>
  <c r="J488" i="2" s="1"/>
  <c r="H488" i="2" s="1"/>
  <c r="E488" i="2"/>
  <c r="G487" i="2"/>
  <c r="F487" i="2"/>
  <c r="K487" i="2" s="1"/>
  <c r="E486" i="2"/>
  <c r="E485" i="2"/>
  <c r="F484" i="2"/>
  <c r="J484" i="2" s="1"/>
  <c r="H484" i="2" s="1"/>
  <c r="G483" i="2"/>
  <c r="F483" i="2"/>
  <c r="J483" i="2" s="1"/>
  <c r="H483" i="2" s="1"/>
  <c r="E483" i="2"/>
  <c r="F482" i="2"/>
  <c r="I482" i="2" s="1"/>
  <c r="E482" i="2"/>
  <c r="G481" i="2"/>
  <c r="E481" i="2"/>
  <c r="G480" i="2"/>
  <c r="F480" i="2"/>
  <c r="J480" i="2" s="1"/>
  <c r="H480" i="2" s="1"/>
  <c r="E480" i="2"/>
  <c r="F479" i="2"/>
  <c r="J479" i="2" s="1"/>
  <c r="H479" i="2" s="1"/>
  <c r="E479" i="2"/>
  <c r="F478" i="2"/>
  <c r="E478" i="2"/>
  <c r="G476" i="2"/>
  <c r="F476" i="2"/>
  <c r="K476" i="2" s="1"/>
  <c r="E476" i="2"/>
  <c r="G475" i="2"/>
  <c r="F475" i="2"/>
  <c r="K475" i="2" s="1"/>
  <c r="E475" i="2"/>
  <c r="E474" i="2"/>
  <c r="E473" i="2"/>
  <c r="F472" i="2"/>
  <c r="J472" i="2" s="1"/>
  <c r="H472" i="2" s="1"/>
  <c r="G471" i="2"/>
  <c r="E471" i="2"/>
  <c r="G469" i="2"/>
  <c r="E469" i="2"/>
  <c r="G468" i="2"/>
  <c r="F468" i="2"/>
  <c r="F467" i="2"/>
  <c r="E466" i="2"/>
  <c r="G465" i="2"/>
  <c r="G464" i="2"/>
  <c r="F464" i="2"/>
  <c r="J464" i="2" s="1"/>
  <c r="H464" i="2" s="1"/>
  <c r="E464" i="2"/>
  <c r="E463" i="2"/>
  <c r="G462" i="2"/>
  <c r="E462" i="2"/>
  <c r="F461" i="2"/>
  <c r="J461" i="2" s="1"/>
  <c r="H461" i="2" s="1"/>
  <c r="E461" i="2"/>
  <c r="G458" i="2"/>
  <c r="E458" i="2"/>
  <c r="F457" i="2"/>
  <c r="E457" i="2"/>
  <c r="G457" i="2" s="1"/>
  <c r="E456" i="2"/>
  <c r="G455" i="2"/>
  <c r="F455" i="2"/>
  <c r="J455" i="2" s="1"/>
  <c r="H455" i="2" s="1"/>
  <c r="E455" i="2"/>
  <c r="E454" i="2"/>
  <c r="G453" i="2"/>
  <c r="F453" i="2"/>
  <c r="J453" i="2" s="1"/>
  <c r="H453" i="2" s="1"/>
  <c r="E453" i="2"/>
  <c r="G452" i="2"/>
  <c r="E452" i="2"/>
  <c r="F452" i="2" s="1"/>
  <c r="F451" i="2"/>
  <c r="J451" i="2" s="1"/>
  <c r="H451" i="2" s="1"/>
  <c r="E451" i="2"/>
  <c r="G450" i="2"/>
  <c r="E450" i="2"/>
  <c r="F449" i="2"/>
  <c r="E449" i="2"/>
  <c r="G449" i="2" s="1"/>
  <c r="E448" i="2"/>
  <c r="G447" i="2"/>
  <c r="F447" i="2"/>
  <c r="E447" i="2"/>
  <c r="E446" i="2"/>
  <c r="F445" i="2"/>
  <c r="J445" i="2" s="1"/>
  <c r="H445" i="2" s="1"/>
  <c r="G444" i="2"/>
  <c r="E444" i="2"/>
  <c r="F444" i="2" s="1"/>
  <c r="I444" i="2" s="1"/>
  <c r="F443" i="2"/>
  <c r="J443" i="2" s="1"/>
  <c r="H443" i="2" s="1"/>
  <c r="E443" i="2"/>
  <c r="E442" i="2"/>
  <c r="F441" i="2"/>
  <c r="E441" i="2"/>
  <c r="G441" i="2" s="1"/>
  <c r="G440" i="2"/>
  <c r="E440" i="2"/>
  <c r="F440" i="2" s="1"/>
  <c r="I440" i="2" s="1"/>
  <c r="F439" i="2"/>
  <c r="K439" i="2" s="1"/>
  <c r="G438" i="2"/>
  <c r="E438" i="2"/>
  <c r="G437" i="2"/>
  <c r="F437" i="2"/>
  <c r="J437" i="2" s="1"/>
  <c r="H437" i="2" s="1"/>
  <c r="E437" i="2"/>
  <c r="G436" i="2"/>
  <c r="E436" i="2"/>
  <c r="E435" i="2"/>
  <c r="E434" i="2"/>
  <c r="F433" i="2"/>
  <c r="E433" i="2"/>
  <c r="G433" i="2" s="1"/>
  <c r="E432" i="2"/>
  <c r="F432" i="2" s="1"/>
  <c r="K432" i="2" s="1"/>
  <c r="G431" i="2"/>
  <c r="F431" i="2"/>
  <c r="K431" i="2" s="1"/>
  <c r="E431" i="2"/>
  <c r="G429" i="2"/>
  <c r="F429" i="2"/>
  <c r="J429" i="2" s="1"/>
  <c r="H429" i="2" s="1"/>
  <c r="E429" i="2"/>
  <c r="G428" i="2"/>
  <c r="F428" i="2"/>
  <c r="K428" i="2" s="1"/>
  <c r="E428" i="2"/>
  <c r="F427" i="2"/>
  <c r="J427" i="2" s="1"/>
  <c r="H427" i="2" s="1"/>
  <c r="E427" i="2"/>
  <c r="G426" i="2"/>
  <c r="E426" i="2"/>
  <c r="F425" i="2"/>
  <c r="I425" i="2" s="1"/>
  <c r="E425" i="2"/>
  <c r="G425" i="2" s="1"/>
  <c r="F424" i="2"/>
  <c r="G422" i="2"/>
  <c r="F422" i="2"/>
  <c r="K422" i="2" s="1"/>
  <c r="E422" i="2"/>
  <c r="E420" i="2"/>
  <c r="G419" i="2"/>
  <c r="F419" i="2"/>
  <c r="I419" i="2" s="1"/>
  <c r="E419" i="2"/>
  <c r="G418" i="2"/>
  <c r="F418" i="2"/>
  <c r="E418" i="2"/>
  <c r="E416" i="2"/>
  <c r="E415" i="2"/>
  <c r="G414" i="2"/>
  <c r="E414" i="2"/>
  <c r="F414" i="2" s="1"/>
  <c r="J414" i="2" s="1"/>
  <c r="H414" i="2" s="1"/>
  <c r="G413" i="2"/>
  <c r="F413" i="2"/>
  <c r="I413" i="2" s="1"/>
  <c r="E413" i="2"/>
  <c r="G411" i="2"/>
  <c r="F411" i="2"/>
  <c r="E411" i="2"/>
  <c r="F410" i="2"/>
  <c r="E410" i="2"/>
  <c r="G409" i="2"/>
  <c r="F409" i="2"/>
  <c r="K409" i="2" s="1"/>
  <c r="E409" i="2"/>
  <c r="F407" i="2"/>
  <c r="I407" i="2" s="1"/>
  <c r="E406" i="2"/>
  <c r="G405" i="2"/>
  <c r="F405" i="2"/>
  <c r="J405" i="2" s="1"/>
  <c r="H405" i="2" s="1"/>
  <c r="E405" i="2"/>
  <c r="G404" i="2"/>
  <c r="F404" i="2"/>
  <c r="K404" i="2" s="1"/>
  <c r="E404" i="2"/>
  <c r="E403" i="2"/>
  <c r="F402" i="2"/>
  <c r="F399" i="2"/>
  <c r="E399" i="2"/>
  <c r="G398" i="2"/>
  <c r="F398" i="2"/>
  <c r="I398" i="2" s="1"/>
  <c r="E398" i="2"/>
  <c r="E397" i="2"/>
  <c r="G397" i="2" s="1"/>
  <c r="F396" i="2"/>
  <c r="I396" i="2" s="1"/>
  <c r="G395" i="2"/>
  <c r="F395" i="2"/>
  <c r="E395" i="2"/>
  <c r="F394" i="2"/>
  <c r="E394" i="2"/>
  <c r="G393" i="2"/>
  <c r="F393" i="2"/>
  <c r="J393" i="2" s="1"/>
  <c r="H393" i="2" s="1"/>
  <c r="E393" i="2"/>
  <c r="G391" i="2"/>
  <c r="F391" i="2"/>
  <c r="E391" i="2"/>
  <c r="E390" i="2"/>
  <c r="F389" i="2"/>
  <c r="K389" i="2" s="1"/>
  <c r="E389" i="2"/>
  <c r="G389" i="2" s="1"/>
  <c r="E388" i="2"/>
  <c r="F388" i="2" s="1"/>
  <c r="K388" i="2" s="1"/>
  <c r="G387" i="2"/>
  <c r="F387" i="2"/>
  <c r="K387" i="2" s="1"/>
  <c r="E387" i="2"/>
  <c r="G386" i="2"/>
  <c r="F386" i="2"/>
  <c r="E386" i="2"/>
  <c r="F385" i="2"/>
  <c r="E385" i="2"/>
  <c r="F384" i="2"/>
  <c r="E383" i="2"/>
  <c r="E380" i="2"/>
  <c r="G380" i="2" s="1"/>
  <c r="G379" i="2"/>
  <c r="E379" i="2"/>
  <c r="F379" i="2" s="1"/>
  <c r="J379" i="2" s="1"/>
  <c r="H379" i="2" s="1"/>
  <c r="G378" i="2"/>
  <c r="F378" i="2"/>
  <c r="J378" i="2" s="1"/>
  <c r="H378" i="2" s="1"/>
  <c r="E378" i="2"/>
  <c r="G377" i="2"/>
  <c r="E377" i="2"/>
  <c r="F376" i="2"/>
  <c r="G375" i="2"/>
  <c r="E375" i="2"/>
  <c r="G374" i="2"/>
  <c r="F374" i="2"/>
  <c r="E374" i="2"/>
  <c r="E373" i="2"/>
  <c r="G373" i="2" s="1"/>
  <c r="G371" i="2"/>
  <c r="E371" i="2"/>
  <c r="F371" i="2" s="1"/>
  <c r="J371" i="2" s="1"/>
  <c r="H371" i="2" s="1"/>
  <c r="G370" i="2"/>
  <c r="F370" i="2"/>
  <c r="I370" i="2" s="1"/>
  <c r="E370" i="2"/>
  <c r="F369" i="2"/>
  <c r="J369" i="2" s="1"/>
  <c r="H369" i="2" s="1"/>
  <c r="E368" i="2"/>
  <c r="G367" i="2"/>
  <c r="E367" i="2"/>
  <c r="G366" i="2"/>
  <c r="F366" i="2"/>
  <c r="K366" i="2" s="1"/>
  <c r="E366" i="2"/>
  <c r="F365" i="2"/>
  <c r="K365" i="2" s="1"/>
  <c r="E365" i="2"/>
  <c r="G365" i="2" s="1"/>
  <c r="E364" i="2"/>
  <c r="G363" i="2"/>
  <c r="J363" i="2"/>
  <c r="H363" i="2" s="1"/>
  <c r="G362" i="2"/>
  <c r="F362" i="2"/>
  <c r="I362" i="2" s="1"/>
  <c r="E362" i="2"/>
  <c r="E361" i="2"/>
  <c r="F360" i="2"/>
  <c r="E359" i="2"/>
  <c r="G358" i="2"/>
  <c r="F358" i="2"/>
  <c r="K358" i="2" s="1"/>
  <c r="E358" i="2"/>
  <c r="E357" i="2"/>
  <c r="G357" i="2" s="1"/>
  <c r="E356" i="2"/>
  <c r="F355" i="2"/>
  <c r="I355" i="2" s="1"/>
  <c r="G354" i="2"/>
  <c r="F354" i="2"/>
  <c r="E354" i="2"/>
  <c r="G351" i="2"/>
  <c r="E351" i="2"/>
  <c r="E350" i="2"/>
  <c r="E349" i="2"/>
  <c r="G348" i="2"/>
  <c r="F348" i="2"/>
  <c r="K348" i="2" s="1"/>
  <c r="E348" i="2"/>
  <c r="E346" i="2"/>
  <c r="G345" i="2"/>
  <c r="E345" i="2"/>
  <c r="F345" i="2" s="1"/>
  <c r="I345" i="2" s="1"/>
  <c r="G344" i="2"/>
  <c r="F344" i="2"/>
  <c r="E344" i="2"/>
  <c r="E343" i="2"/>
  <c r="G342" i="2"/>
  <c r="F342" i="2"/>
  <c r="J342" i="2" s="1"/>
  <c r="H342" i="2" s="1"/>
  <c r="E342" i="2"/>
  <c r="F341" i="2"/>
  <c r="I341" i="2" s="1"/>
  <c r="E341" i="2"/>
  <c r="G340" i="2"/>
  <c r="F340" i="2"/>
  <c r="J340" i="2" s="1"/>
  <c r="H340" i="2" s="1"/>
  <c r="E340" i="2"/>
  <c r="E339" i="2"/>
  <c r="F338" i="2"/>
  <c r="E338" i="2"/>
  <c r="G338" i="2" s="1"/>
  <c r="G337" i="2"/>
  <c r="E337" i="2"/>
  <c r="F337" i="2" s="1"/>
  <c r="J337" i="2" s="1"/>
  <c r="H337" i="2" s="1"/>
  <c r="G336" i="2"/>
  <c r="F336" i="2"/>
  <c r="I336" i="2" s="1"/>
  <c r="E336" i="2"/>
  <c r="G335" i="2"/>
  <c r="F335" i="2"/>
  <c r="K335" i="2" s="1"/>
  <c r="E335" i="2"/>
  <c r="E334" i="2"/>
  <c r="G333" i="2"/>
  <c r="F333" i="2"/>
  <c r="K333" i="2" s="1"/>
  <c r="E333" i="2"/>
  <c r="F332" i="2"/>
  <c r="J332" i="2" s="1"/>
  <c r="H332" i="2" s="1"/>
  <c r="E332" i="2"/>
  <c r="G331" i="2"/>
  <c r="F331" i="2"/>
  <c r="J331" i="2" s="1"/>
  <c r="H331" i="2" s="1"/>
  <c r="E331" i="2"/>
  <c r="E330" i="2"/>
  <c r="G329" i="2"/>
  <c r="E329" i="2"/>
  <c r="F329" i="2" s="1"/>
  <c r="K329" i="2" s="1"/>
  <c r="G328" i="2"/>
  <c r="F328" i="2"/>
  <c r="K328" i="2" s="1"/>
  <c r="E328" i="2"/>
  <c r="F327" i="2"/>
  <c r="I327" i="2" s="1"/>
  <c r="E327" i="2"/>
  <c r="G327" i="2" s="1"/>
  <c r="G326" i="2"/>
  <c r="F326" i="2"/>
  <c r="I326" i="2" s="1"/>
  <c r="E326" i="2"/>
  <c r="E325" i="2"/>
  <c r="G324" i="2"/>
  <c r="F324" i="2"/>
  <c r="K324" i="2" s="1"/>
  <c r="E324" i="2"/>
  <c r="J323" i="2"/>
  <c r="H323" i="2" s="1"/>
  <c r="F322" i="2"/>
  <c r="J322" i="2" s="1"/>
  <c r="H322" i="2" s="1"/>
  <c r="E322" i="2"/>
  <c r="G322" i="2" s="1"/>
  <c r="G320" i="2"/>
  <c r="F320" i="2"/>
  <c r="K320" i="2" s="1"/>
  <c r="E320" i="2"/>
  <c r="G319" i="2"/>
  <c r="F319" i="2"/>
  <c r="J319" i="2" s="1"/>
  <c r="H319" i="2" s="1"/>
  <c r="E319" i="2"/>
  <c r="E316" i="2"/>
  <c r="F315" i="2"/>
  <c r="I315" i="2" s="1"/>
  <c r="E315" i="2"/>
  <c r="G315" i="2" s="1"/>
  <c r="G314" i="2"/>
  <c r="E314" i="2"/>
  <c r="F314" i="2" s="1"/>
  <c r="K314" i="2" s="1"/>
  <c r="G313" i="2"/>
  <c r="F313" i="2"/>
  <c r="K313" i="2" s="1"/>
  <c r="E313" i="2"/>
  <c r="F312" i="2"/>
  <c r="I312" i="2" s="1"/>
  <c r="E312" i="2"/>
  <c r="E311" i="2"/>
  <c r="G310" i="2"/>
  <c r="F310" i="2"/>
  <c r="I310" i="2" s="1"/>
  <c r="E310" i="2"/>
  <c r="F309" i="2"/>
  <c r="E308" i="2"/>
  <c r="F307" i="2"/>
  <c r="I307" i="2" s="1"/>
  <c r="E307" i="2"/>
  <c r="G307" i="2" s="1"/>
  <c r="G306" i="2"/>
  <c r="E306" i="2"/>
  <c r="F306" i="2" s="1"/>
  <c r="K306" i="2" s="1"/>
  <c r="G305" i="2"/>
  <c r="F305" i="2"/>
  <c r="K305" i="2" s="1"/>
  <c r="E305" i="2"/>
  <c r="F304" i="2"/>
  <c r="I304" i="2" s="1"/>
  <c r="E303" i="2"/>
  <c r="G302" i="2"/>
  <c r="K302" i="2"/>
  <c r="G301" i="2"/>
  <c r="F301" i="2"/>
  <c r="J301" i="2" s="1"/>
  <c r="H301" i="2" s="1"/>
  <c r="E301" i="2"/>
  <c r="E300" i="2"/>
  <c r="F299" i="2"/>
  <c r="I299" i="2" s="1"/>
  <c r="E299" i="2"/>
  <c r="G299" i="2" s="1"/>
  <c r="G298" i="2"/>
  <c r="E298" i="2"/>
  <c r="F298" i="2" s="1"/>
  <c r="K298" i="2" s="1"/>
  <c r="G297" i="2"/>
  <c r="F297" i="2"/>
  <c r="K297" i="2" s="1"/>
  <c r="E297" i="2"/>
  <c r="F296" i="2"/>
  <c r="I296" i="2" s="1"/>
  <c r="G294" i="2"/>
  <c r="F294" i="2"/>
  <c r="K294" i="2" s="1"/>
  <c r="E294" i="2"/>
  <c r="G291" i="2"/>
  <c r="F291" i="2"/>
  <c r="J291" i="2" s="1"/>
  <c r="H291" i="2" s="1"/>
  <c r="E291" i="2"/>
  <c r="E290" i="2"/>
  <c r="F289" i="2"/>
  <c r="I289" i="2" s="1"/>
  <c r="E289" i="2"/>
  <c r="G289" i="2" s="1"/>
  <c r="F288" i="2"/>
  <c r="G287" i="2"/>
  <c r="F287" i="2"/>
  <c r="K287" i="2" s="1"/>
  <c r="E287" i="2"/>
  <c r="I286" i="2"/>
  <c r="E285" i="2"/>
  <c r="G284" i="2"/>
  <c r="F284" i="2"/>
  <c r="K284" i="2" s="1"/>
  <c r="E284" i="2"/>
  <c r="G283" i="2"/>
  <c r="F283" i="2"/>
  <c r="J283" i="2" s="1"/>
  <c r="H283" i="2" s="1"/>
  <c r="E283" i="2"/>
  <c r="F281" i="2"/>
  <c r="I281" i="2" s="1"/>
  <c r="E281" i="2"/>
  <c r="G281" i="2" s="1"/>
  <c r="G280" i="2"/>
  <c r="E280" i="2"/>
  <c r="F280" i="2" s="1"/>
  <c r="K280" i="2" s="1"/>
  <c r="F279" i="2"/>
  <c r="K279" i="2" s="1"/>
  <c r="F278" i="2"/>
  <c r="I278" i="2" s="1"/>
  <c r="E278" i="2"/>
  <c r="E277" i="2"/>
  <c r="G276" i="2"/>
  <c r="F276" i="2"/>
  <c r="K276" i="2" s="1"/>
  <c r="E276" i="2"/>
  <c r="F275" i="2"/>
  <c r="E274" i="2"/>
  <c r="F272" i="2"/>
  <c r="I272" i="2" s="1"/>
  <c r="E272" i="2"/>
  <c r="G272" i="2" s="1"/>
  <c r="G270" i="2"/>
  <c r="E270" i="2"/>
  <c r="F270" i="2" s="1"/>
  <c r="K270" i="2" s="1"/>
  <c r="G269" i="2"/>
  <c r="F269" i="2"/>
  <c r="E269" i="2"/>
  <c r="E268" i="2"/>
  <c r="E267" i="2"/>
  <c r="G266" i="2"/>
  <c r="F266" i="2"/>
  <c r="K266" i="2" s="1"/>
  <c r="E266" i="2"/>
  <c r="G265" i="2"/>
  <c r="F265" i="2"/>
  <c r="K265" i="2" s="1"/>
  <c r="E265" i="2"/>
  <c r="E264" i="2"/>
  <c r="F263" i="2"/>
  <c r="I263" i="2" s="1"/>
  <c r="E263" i="2"/>
  <c r="G263" i="2" s="1"/>
  <c r="G262" i="2"/>
  <c r="E262" i="2"/>
  <c r="F262" i="2" s="1"/>
  <c r="K262" i="2" s="1"/>
  <c r="G261" i="2"/>
  <c r="F261" i="2"/>
  <c r="J261" i="2" s="1"/>
  <c r="H261" i="2" s="1"/>
  <c r="E261" i="2"/>
  <c r="F260" i="2"/>
  <c r="E260" i="2"/>
  <c r="G258" i="2"/>
  <c r="F258" i="2"/>
  <c r="K258" i="2" s="1"/>
  <c r="E258" i="2"/>
  <c r="G257" i="2"/>
  <c r="F257" i="2"/>
  <c r="K257" i="2" s="1"/>
  <c r="E257" i="2"/>
  <c r="E256" i="2"/>
  <c r="F255" i="2"/>
  <c r="I255" i="2" s="1"/>
  <c r="G254" i="2"/>
  <c r="E254" i="2"/>
  <c r="F254" i="2" s="1"/>
  <c r="K254" i="2" s="1"/>
  <c r="G253" i="2"/>
  <c r="F253" i="2"/>
  <c r="E253" i="2"/>
  <c r="E251" i="2"/>
  <c r="G250" i="2"/>
  <c r="F250" i="2"/>
  <c r="K250" i="2" s="1"/>
  <c r="E250" i="2"/>
  <c r="G249" i="2"/>
  <c r="F249" i="2"/>
  <c r="E249" i="2"/>
  <c r="F245" i="2"/>
  <c r="I245" i="2" s="1"/>
  <c r="E245" i="2"/>
  <c r="G245" i="2" s="1"/>
  <c r="E244" i="2"/>
  <c r="G243" i="2"/>
  <c r="F243" i="2"/>
  <c r="E243" i="2"/>
  <c r="E242" i="2"/>
  <c r="E241" i="2"/>
  <c r="G240" i="2"/>
  <c r="F240" i="2"/>
  <c r="K240" i="2" s="1"/>
  <c r="E240" i="2"/>
  <c r="G239" i="2"/>
  <c r="F239" i="2"/>
  <c r="K239" i="2" s="1"/>
  <c r="E239" i="2"/>
  <c r="G238" i="2"/>
  <c r="E238" i="2"/>
  <c r="F237" i="2"/>
  <c r="I237" i="2" s="1"/>
  <c r="E237" i="2"/>
  <c r="G237" i="2" s="1"/>
  <c r="G236" i="2"/>
  <c r="E236" i="2"/>
  <c r="G235" i="2"/>
  <c r="F235" i="2"/>
  <c r="J235" i="2" s="1"/>
  <c r="H235" i="2" s="1"/>
  <c r="E235" i="2"/>
  <c r="F234" i="2"/>
  <c r="K234" i="2" s="1"/>
  <c r="E233" i="2"/>
  <c r="G232" i="2"/>
  <c r="F232" i="2"/>
  <c r="K232" i="2" s="1"/>
  <c r="E232" i="2"/>
  <c r="G231" i="2"/>
  <c r="F231" i="2"/>
  <c r="K231" i="2" s="1"/>
  <c r="E231" i="2"/>
  <c r="G230" i="2"/>
  <c r="E230" i="2"/>
  <c r="F229" i="2"/>
  <c r="I229" i="2" s="1"/>
  <c r="E229" i="2"/>
  <c r="G229" i="2" s="1"/>
  <c r="G227" i="2"/>
  <c r="F227" i="2"/>
  <c r="E227" i="2"/>
  <c r="K226" i="2"/>
  <c r="G226" i="2"/>
  <c r="E225" i="2"/>
  <c r="G224" i="2"/>
  <c r="F224" i="2"/>
  <c r="I224" i="2" s="1"/>
  <c r="E224" i="2"/>
  <c r="F223" i="2"/>
  <c r="G222" i="2"/>
  <c r="F222" i="2"/>
  <c r="J222" i="2" s="1"/>
  <c r="H222" i="2" s="1"/>
  <c r="E222" i="2"/>
  <c r="E221" i="2"/>
  <c r="G220" i="2"/>
  <c r="E220" i="2"/>
  <c r="G217" i="2"/>
  <c r="F217" i="2"/>
  <c r="I217" i="2" s="1"/>
  <c r="E217" i="2"/>
  <c r="F216" i="2"/>
  <c r="E216" i="2"/>
  <c r="E215" i="2"/>
  <c r="G214" i="2"/>
  <c r="K214" i="2"/>
  <c r="G213" i="2"/>
  <c r="F213" i="2"/>
  <c r="E213" i="2"/>
  <c r="F212" i="2"/>
  <c r="E212" i="2"/>
  <c r="F211" i="2"/>
  <c r="I211" i="2" s="1"/>
  <c r="E211" i="2"/>
  <c r="G210" i="2"/>
  <c r="E210" i="2"/>
  <c r="G209" i="2"/>
  <c r="F209" i="2"/>
  <c r="I209" i="2" s="1"/>
  <c r="E209" i="2"/>
  <c r="E208" i="2"/>
  <c r="E207" i="2"/>
  <c r="G206" i="2"/>
  <c r="F206" i="2"/>
  <c r="I206" i="2" s="1"/>
  <c r="E206" i="2"/>
  <c r="F205" i="2"/>
  <c r="E204" i="2"/>
  <c r="E203" i="2"/>
  <c r="E202" i="2"/>
  <c r="G201" i="2"/>
  <c r="F201" i="2"/>
  <c r="E201" i="2"/>
  <c r="F200" i="2"/>
  <c r="K200" i="2" s="1"/>
  <c r="E200" i="2"/>
  <c r="G200" i="2" s="1"/>
  <c r="G198" i="2"/>
  <c r="F198" i="2"/>
  <c r="K198" i="2" s="1"/>
  <c r="E198" i="2"/>
  <c r="G197" i="2"/>
  <c r="F197" i="2"/>
  <c r="K197" i="2" s="1"/>
  <c r="E197" i="2"/>
  <c r="F196" i="2"/>
  <c r="J196" i="2" s="1"/>
  <c r="H196" i="2" s="1"/>
  <c r="E196" i="2"/>
  <c r="F195" i="2"/>
  <c r="E195" i="2"/>
  <c r="G194" i="2"/>
  <c r="E194" i="2"/>
  <c r="G193" i="2"/>
  <c r="F193" i="2"/>
  <c r="K193" i="2" s="1"/>
  <c r="E193" i="2"/>
  <c r="K192" i="2"/>
  <c r="G192" i="2"/>
  <c r="G191" i="2"/>
  <c r="E191" i="2"/>
  <c r="G190" i="2"/>
  <c r="F190" i="2"/>
  <c r="K190" i="2" s="1"/>
  <c r="E190" i="2"/>
  <c r="G189" i="2"/>
  <c r="E189" i="2"/>
  <c r="E188" i="2"/>
  <c r="E187" i="2"/>
  <c r="G184" i="2"/>
  <c r="E184" i="2"/>
  <c r="G183" i="2"/>
  <c r="F183" i="2"/>
  <c r="J183" i="2" s="1"/>
  <c r="H183" i="2" s="1"/>
  <c r="E183" i="2"/>
  <c r="F182" i="2"/>
  <c r="K182" i="2" s="1"/>
  <c r="E182" i="2"/>
  <c r="G182" i="2" s="1"/>
  <c r="E181" i="2"/>
  <c r="G180" i="2"/>
  <c r="F180" i="2"/>
  <c r="K180" i="2" s="1"/>
  <c r="E180" i="2"/>
  <c r="G179" i="2"/>
  <c r="F179" i="2"/>
  <c r="J179" i="2" s="1"/>
  <c r="H179" i="2" s="1"/>
  <c r="E179" i="2"/>
  <c r="F178" i="2"/>
  <c r="I178" i="2" s="1"/>
  <c r="E178" i="2"/>
  <c r="E177" i="2"/>
  <c r="G176" i="2"/>
  <c r="E176" i="2"/>
  <c r="G175" i="2"/>
  <c r="F175" i="2"/>
  <c r="K175" i="2" s="1"/>
  <c r="E175" i="2"/>
  <c r="I174" i="2"/>
  <c r="G174" i="2"/>
  <c r="G173" i="2"/>
  <c r="E173" i="2"/>
  <c r="G172" i="2"/>
  <c r="F172" i="2"/>
  <c r="K172" i="2" s="1"/>
  <c r="E172" i="2"/>
  <c r="G170" i="2"/>
  <c r="E170" i="2"/>
  <c r="E169" i="2"/>
  <c r="G167" i="2"/>
  <c r="F167" i="2"/>
  <c r="J167" i="2" s="1"/>
  <c r="H167" i="2" s="1"/>
  <c r="E167" i="2"/>
  <c r="E166" i="2"/>
  <c r="F165" i="2"/>
  <c r="J165" i="2" s="1"/>
  <c r="H165" i="2" s="1"/>
  <c r="E165" i="2"/>
  <c r="G164" i="2"/>
  <c r="F164" i="2"/>
  <c r="I164" i="2" s="1"/>
  <c r="E164" i="2"/>
  <c r="G163" i="2"/>
  <c r="E163" i="2"/>
  <c r="E162" i="2"/>
  <c r="F161" i="2"/>
  <c r="J161" i="2" s="1"/>
  <c r="H161" i="2" s="1"/>
  <c r="E161" i="2"/>
  <c r="G161" i="2" s="1"/>
  <c r="G160" i="2"/>
  <c r="E160" i="2"/>
  <c r="F160" i="2" s="1"/>
  <c r="I160" i="2" s="1"/>
  <c r="G159" i="2"/>
  <c r="F159" i="2"/>
  <c r="J159" i="2" s="1"/>
  <c r="H159" i="2" s="1"/>
  <c r="E159" i="2"/>
  <c r="E157" i="2"/>
  <c r="F156" i="2"/>
  <c r="K156" i="2" s="1"/>
  <c r="E156" i="2"/>
  <c r="G155" i="2"/>
  <c r="F155" i="2"/>
  <c r="K155" i="2" s="1"/>
  <c r="E155" i="2"/>
  <c r="G154" i="2"/>
  <c r="E154" i="2"/>
  <c r="G152" i="2"/>
  <c r="E152" i="2"/>
  <c r="F152" i="2" s="1"/>
  <c r="J152" i="2" s="1"/>
  <c r="H152" i="2" s="1"/>
  <c r="G151" i="2"/>
  <c r="F151" i="2"/>
  <c r="I151" i="2" s="1"/>
  <c r="E151" i="2"/>
  <c r="G150" i="2"/>
  <c r="F150" i="2"/>
  <c r="K150" i="2" s="1"/>
  <c r="E150" i="2"/>
  <c r="E149" i="2"/>
  <c r="E148" i="2"/>
  <c r="E147" i="2"/>
  <c r="G146" i="2"/>
  <c r="F146" i="2"/>
  <c r="K146" i="2" s="1"/>
  <c r="E146" i="2"/>
  <c r="F145" i="2"/>
  <c r="E145" i="2"/>
  <c r="G145" i="2" s="1"/>
  <c r="E144" i="2"/>
  <c r="F143" i="2"/>
  <c r="I143" i="2" s="1"/>
  <c r="F142" i="2"/>
  <c r="K142" i="2" s="1"/>
  <c r="E142" i="2"/>
  <c r="G142" i="2" s="1"/>
  <c r="F141" i="2"/>
  <c r="J141" i="2" s="1"/>
  <c r="H141" i="2" s="1"/>
  <c r="G139" i="2"/>
  <c r="F139" i="2"/>
  <c r="K139" i="2" s="1"/>
  <c r="E139" i="2"/>
  <c r="G138" i="2"/>
  <c r="E137" i="2"/>
  <c r="F137" i="2" s="1"/>
  <c r="K137" i="2" s="1"/>
  <c r="G136" i="2"/>
  <c r="F136" i="2"/>
  <c r="J136" i="2" s="1"/>
  <c r="H136" i="2" s="1"/>
  <c r="E136" i="2"/>
  <c r="G135" i="2"/>
  <c r="E135" i="2"/>
  <c r="F135" i="2" s="1"/>
  <c r="F134" i="2"/>
  <c r="J134" i="2" s="1"/>
  <c r="H134" i="2" s="1"/>
  <c r="G133" i="2"/>
  <c r="E131" i="2"/>
  <c r="G129" i="2"/>
  <c r="E129" i="2"/>
  <c r="F129" i="2" s="1"/>
  <c r="F128" i="2"/>
  <c r="K128" i="2" s="1"/>
  <c r="E128" i="2"/>
  <c r="G128" i="2" s="1"/>
  <c r="E127" i="2"/>
  <c r="F127" i="2" s="1"/>
  <c r="G126" i="2"/>
  <c r="F126" i="2"/>
  <c r="J126" i="2" s="1"/>
  <c r="H126" i="2" s="1"/>
  <c r="E126" i="2"/>
  <c r="E125" i="2"/>
  <c r="G124" i="2"/>
  <c r="E124" i="2"/>
  <c r="G123" i="2"/>
  <c r="I123" i="2"/>
  <c r="E122" i="2"/>
  <c r="E121" i="2"/>
  <c r="E120" i="2"/>
  <c r="G120" i="2" s="1"/>
  <c r="G119" i="2"/>
  <c r="E119" i="2"/>
  <c r="F119" i="2" s="1"/>
  <c r="J119" i="2" s="1"/>
  <c r="H119" i="2" s="1"/>
  <c r="G118" i="2"/>
  <c r="F118" i="2"/>
  <c r="K118" i="2" s="1"/>
  <c r="E118" i="2"/>
  <c r="E117" i="2"/>
  <c r="E116" i="2"/>
  <c r="G115" i="2"/>
  <c r="E115" i="2"/>
  <c r="G114" i="2"/>
  <c r="F114" i="2"/>
  <c r="J114" i="2" s="1"/>
  <c r="H114" i="2" s="1"/>
  <c r="E114" i="2"/>
  <c r="E112" i="2"/>
  <c r="G112" i="2" s="1"/>
  <c r="E111" i="2"/>
  <c r="F111" i="2" s="1"/>
  <c r="K111" i="2" s="1"/>
  <c r="G110" i="2"/>
  <c r="F110" i="2"/>
  <c r="K110" i="2" s="1"/>
  <c r="E110" i="2"/>
  <c r="G109" i="2"/>
  <c r="F109" i="2"/>
  <c r="I109" i="2" s="1"/>
  <c r="E109" i="2"/>
  <c r="E108" i="2"/>
  <c r="G108" i="2" s="1"/>
  <c r="E107" i="2"/>
  <c r="E106" i="2"/>
  <c r="G106" i="2" s="1"/>
  <c r="F105" i="2"/>
  <c r="G104" i="2"/>
  <c r="F104" i="2"/>
  <c r="K104" i="2" s="1"/>
  <c r="E104" i="2"/>
  <c r="G103" i="2"/>
  <c r="F103" i="2"/>
  <c r="I103" i="2" s="1"/>
  <c r="E103" i="2"/>
  <c r="F100" i="2"/>
  <c r="E100" i="2"/>
  <c r="E99" i="2"/>
  <c r="F98" i="2"/>
  <c r="J98" i="2" s="1"/>
  <c r="H98" i="2" s="1"/>
  <c r="E98" i="2"/>
  <c r="E97" i="2"/>
  <c r="E96" i="2"/>
  <c r="G96" i="2" s="1"/>
  <c r="F95" i="2"/>
  <c r="G94" i="2"/>
  <c r="F94" i="2"/>
  <c r="K94" i="2" s="1"/>
  <c r="E94" i="2"/>
  <c r="G93" i="2"/>
  <c r="F93" i="2"/>
  <c r="I93" i="2" s="1"/>
  <c r="E93" i="2"/>
  <c r="F92" i="2"/>
  <c r="E92" i="2"/>
  <c r="E91" i="2"/>
  <c r="G90" i="2"/>
  <c r="F90" i="2"/>
  <c r="J90" i="2" s="1"/>
  <c r="H90" i="2" s="1"/>
  <c r="E90" i="2"/>
  <c r="E89" i="2"/>
  <c r="E88" i="2"/>
  <c r="G88" i="2" s="1"/>
  <c r="G87" i="2"/>
  <c r="E87" i="2"/>
  <c r="F87" i="2" s="1"/>
  <c r="G86" i="2"/>
  <c r="K86" i="2"/>
  <c r="G85" i="2"/>
  <c r="F85" i="2"/>
  <c r="I85" i="2" s="1"/>
  <c r="E85" i="2"/>
  <c r="F84" i="2"/>
  <c r="E84" i="2"/>
  <c r="E83" i="2"/>
  <c r="G82" i="2"/>
  <c r="F82" i="2"/>
  <c r="J82" i="2" s="1"/>
  <c r="H82" i="2" s="1"/>
  <c r="E82" i="2"/>
  <c r="E80" i="2"/>
  <c r="G80" i="2" s="1"/>
  <c r="G79" i="2"/>
  <c r="E79" i="2"/>
  <c r="F79" i="2" s="1"/>
  <c r="G78" i="2"/>
  <c r="F78" i="2"/>
  <c r="K78" i="2" s="1"/>
  <c r="E78" i="2"/>
  <c r="G77" i="2"/>
  <c r="F77" i="2"/>
  <c r="I77" i="2" s="1"/>
  <c r="E77" i="2"/>
  <c r="F76" i="2"/>
  <c r="E76" i="2"/>
  <c r="E75" i="2"/>
  <c r="G74" i="2"/>
  <c r="F74" i="2"/>
  <c r="J74" i="2" s="1"/>
  <c r="H74" i="2" s="1"/>
  <c r="E74" i="2"/>
  <c r="E72" i="2"/>
  <c r="G72" i="2" s="1"/>
  <c r="G71" i="2"/>
  <c r="E71" i="2"/>
  <c r="F71" i="2" s="1"/>
  <c r="G70" i="2"/>
  <c r="F70" i="2"/>
  <c r="K70" i="2" s="1"/>
  <c r="E70" i="2"/>
  <c r="F69" i="2"/>
  <c r="I69" i="2" s="1"/>
  <c r="F68" i="2"/>
  <c r="E67" i="2"/>
  <c r="J66" i="2"/>
  <c r="H66" i="2" s="1"/>
  <c r="E65" i="2"/>
  <c r="E64" i="2"/>
  <c r="G64" i="2" s="1"/>
  <c r="G62" i="2"/>
  <c r="E62" i="2"/>
  <c r="F62" i="2" s="1"/>
  <c r="G60" i="2"/>
  <c r="F60" i="2"/>
  <c r="K60" i="2" s="1"/>
  <c r="E60" i="2"/>
  <c r="G59" i="2"/>
  <c r="F59" i="2"/>
  <c r="I59" i="2" s="1"/>
  <c r="E59" i="2"/>
  <c r="F58" i="2"/>
  <c r="E57" i="2"/>
  <c r="G56" i="2"/>
  <c r="F56" i="2"/>
  <c r="J56" i="2" s="1"/>
  <c r="H56" i="2" s="1"/>
  <c r="E56" i="2"/>
  <c r="E55" i="2"/>
  <c r="E54" i="2"/>
  <c r="G54" i="2" s="1"/>
  <c r="G53" i="2"/>
  <c r="E53" i="2"/>
  <c r="F53" i="2" s="1"/>
  <c r="G52" i="2"/>
  <c r="F52" i="2"/>
  <c r="K52" i="2" s="1"/>
  <c r="E52" i="2"/>
  <c r="G51" i="2"/>
  <c r="F51" i="2"/>
  <c r="I51" i="2" s="1"/>
  <c r="E51" i="2"/>
  <c r="F50" i="2"/>
  <c r="E50" i="2"/>
  <c r="G48" i="2"/>
  <c r="F48" i="2"/>
  <c r="J48" i="2" s="1"/>
  <c r="H48" i="2" s="1"/>
  <c r="E48" i="2"/>
  <c r="E47" i="2"/>
  <c r="G45" i="2"/>
  <c r="E45" i="2"/>
  <c r="F45" i="2" s="1"/>
  <c r="G44" i="2"/>
  <c r="F44" i="2"/>
  <c r="K44" i="2" s="1"/>
  <c r="E44" i="2"/>
  <c r="G43" i="2"/>
  <c r="F43" i="2"/>
  <c r="I43" i="2" s="1"/>
  <c r="E43" i="2"/>
  <c r="F42" i="2"/>
  <c r="E42" i="2"/>
  <c r="E41" i="2"/>
  <c r="G40" i="2"/>
  <c r="F40" i="2"/>
  <c r="J40" i="2" s="1"/>
  <c r="H40" i="2" s="1"/>
  <c r="E40" i="2"/>
  <c r="E38" i="2"/>
  <c r="G38" i="2" s="1"/>
  <c r="G37" i="2"/>
  <c r="E37" i="2"/>
  <c r="F37" i="2" s="1"/>
  <c r="G36" i="2"/>
  <c r="F36" i="2"/>
  <c r="K36" i="2" s="1"/>
  <c r="E36" i="2"/>
  <c r="F35" i="2"/>
  <c r="I35" i="2" s="1"/>
  <c r="F34" i="2"/>
  <c r="E34" i="2"/>
  <c r="E33" i="2"/>
  <c r="F32" i="2"/>
  <c r="J32" i="2" s="1"/>
  <c r="H32" i="2" s="1"/>
  <c r="E31" i="2"/>
  <c r="E30" i="2"/>
  <c r="G30" i="2" s="1"/>
  <c r="G29" i="2"/>
  <c r="E29" i="2"/>
  <c r="F29" i="2" s="1"/>
  <c r="G28" i="2"/>
  <c r="F28" i="2"/>
  <c r="K28" i="2" s="1"/>
  <c r="E28" i="2"/>
  <c r="G27" i="2"/>
  <c r="F27" i="2"/>
  <c r="I27" i="2" s="1"/>
  <c r="F26" i="2"/>
  <c r="E26" i="2"/>
  <c r="E25" i="2"/>
  <c r="F24" i="2"/>
  <c r="J24" i="2" s="1"/>
  <c r="H24" i="2" s="1"/>
  <c r="E23" i="2"/>
  <c r="F22" i="2"/>
  <c r="J22" i="2" s="1"/>
  <c r="H22" i="2" s="1"/>
  <c r="E22" i="2"/>
  <c r="G22" i="2" s="1"/>
  <c r="G21" i="2"/>
  <c r="E21" i="2"/>
  <c r="F21" i="2" s="1"/>
  <c r="G20" i="2"/>
  <c r="F20" i="2"/>
  <c r="K20" i="2" s="1"/>
  <c r="E20" i="2"/>
  <c r="F19" i="2"/>
  <c r="I19" i="2" s="1"/>
  <c r="F18" i="2"/>
  <c r="E18" i="2"/>
  <c r="E15" i="2"/>
  <c r="G14" i="2"/>
  <c r="F14" i="2"/>
  <c r="J14" i="2" s="1"/>
  <c r="H14" i="2" s="1"/>
  <c r="E14" i="2"/>
  <c r="E12" i="2"/>
  <c r="G12" i="2" s="1"/>
  <c r="F11" i="2"/>
  <c r="F10" i="2"/>
  <c r="G9" i="2"/>
  <c r="F9" i="2"/>
  <c r="I9" i="2" s="1"/>
  <c r="E9" i="2"/>
  <c r="F8" i="2"/>
  <c r="E8" i="2"/>
  <c r="E7" i="2"/>
  <c r="G6" i="2"/>
  <c r="F6" i="2"/>
  <c r="J6" i="2" s="1"/>
  <c r="H6" i="2" s="1"/>
  <c r="E6" i="2"/>
  <c r="E5" i="2"/>
  <c r="E4" i="2"/>
  <c r="G4" i="2" s="1"/>
  <c r="F3" i="2"/>
  <c r="K6" i="2" l="1"/>
  <c r="K9" i="2"/>
  <c r="J439" i="2"/>
  <c r="J541" i="2"/>
  <c r="H541" i="2" s="1"/>
  <c r="J562" i="2"/>
  <c r="H562" i="2" s="1"/>
  <c r="I414" i="2"/>
  <c r="I428" i="2"/>
  <c r="K310" i="2"/>
  <c r="J564" i="2"/>
  <c r="H564" i="2" s="1"/>
  <c r="K541" i="2"/>
  <c r="I480" i="2"/>
  <c r="K340" i="2"/>
  <c r="K398" i="2"/>
  <c r="K443" i="2"/>
  <c r="I484" i="2"/>
  <c r="I146" i="2"/>
  <c r="I234" i="2"/>
  <c r="I240" i="2"/>
  <c r="K224" i="2"/>
  <c r="J231" i="2"/>
  <c r="H231" i="2" s="1"/>
  <c r="I258" i="2"/>
  <c r="K40" i="2"/>
  <c r="J160" i="2"/>
  <c r="H160" i="2" s="1"/>
  <c r="I198" i="2"/>
  <c r="K206" i="2"/>
  <c r="K183" i="2"/>
  <c r="I214" i="2"/>
  <c r="K396" i="2"/>
  <c r="K484" i="2"/>
  <c r="J517" i="2"/>
  <c r="H517" i="2" s="1"/>
  <c r="K521" i="2"/>
  <c r="K90" i="2"/>
  <c r="J362" i="2"/>
  <c r="H362" i="2" s="1"/>
  <c r="K160" i="2"/>
  <c r="J501" i="2"/>
  <c r="H501" i="2" s="1"/>
  <c r="K69" i="2"/>
  <c r="I329" i="2"/>
  <c r="J217" i="2"/>
  <c r="H217" i="2" s="1"/>
  <c r="I371" i="2"/>
  <c r="J143" i="2"/>
  <c r="J266" i="2"/>
  <c r="H266" i="2" s="1"/>
  <c r="J276" i="2"/>
  <c r="H276" i="2" s="1"/>
  <c r="J366" i="2"/>
  <c r="H366" i="2" s="1"/>
  <c r="I439" i="2"/>
  <c r="I183" i="2"/>
  <c r="J320" i="2"/>
  <c r="H320" i="2" s="1"/>
  <c r="I369" i="2"/>
  <c r="J396" i="2"/>
  <c r="I14" i="2"/>
  <c r="I22" i="2"/>
  <c r="K34" i="2"/>
  <c r="K109" i="2"/>
  <c r="K123" i="2"/>
  <c r="K136" i="2"/>
  <c r="K143" i="2"/>
  <c r="J146" i="2"/>
  <c r="H146" i="2" s="1"/>
  <c r="K217" i="2"/>
  <c r="I337" i="2"/>
  <c r="K331" i="2"/>
  <c r="J413" i="2"/>
  <c r="H413" i="2" s="1"/>
  <c r="K444" i="2"/>
  <c r="K66" i="2"/>
  <c r="J198" i="2"/>
  <c r="H198" i="2" s="1"/>
  <c r="J206" i="2"/>
  <c r="H206" i="2" s="1"/>
  <c r="J224" i="2"/>
  <c r="H224" i="2" s="1"/>
  <c r="I231" i="2"/>
  <c r="J302" i="2"/>
  <c r="H302" i="2" s="1"/>
  <c r="K370" i="2"/>
  <c r="K413" i="2"/>
  <c r="J533" i="2"/>
  <c r="H533" i="2" s="1"/>
  <c r="J60" i="2"/>
  <c r="H60" i="2" s="1"/>
  <c r="J258" i="2"/>
  <c r="H258" i="2" s="1"/>
  <c r="I404" i="2"/>
  <c r="K533" i="2"/>
  <c r="I40" i="2"/>
  <c r="K92" i="2"/>
  <c r="J214" i="2"/>
  <c r="H214" i="2" s="1"/>
  <c r="K419" i="2"/>
  <c r="I553" i="2"/>
  <c r="K42" i="2"/>
  <c r="K50" i="2"/>
  <c r="I74" i="2"/>
  <c r="I82" i="2"/>
  <c r="I172" i="2"/>
  <c r="J305" i="2"/>
  <c r="H305" i="2" s="1"/>
  <c r="J336" i="2"/>
  <c r="H336" i="2" s="1"/>
  <c r="J345" i="2"/>
  <c r="H345" i="2" s="1"/>
  <c r="K371" i="2"/>
  <c r="I388" i="2"/>
  <c r="J424" i="2"/>
  <c r="J505" i="2"/>
  <c r="H505" i="2" s="1"/>
  <c r="J540" i="2"/>
  <c r="H540" i="2" s="1"/>
  <c r="K565" i="2"/>
  <c r="I24" i="2"/>
  <c r="K35" i="2"/>
  <c r="J52" i="2"/>
  <c r="H52" i="2" s="1"/>
  <c r="I90" i="2"/>
  <c r="J180" i="2"/>
  <c r="H180" i="2" s="1"/>
  <c r="J209" i="2"/>
  <c r="H209" i="2" s="1"/>
  <c r="J279" i="2"/>
  <c r="K296" i="2" s="1"/>
  <c r="I302" i="2"/>
  <c r="I320" i="2"/>
  <c r="K336" i="2"/>
  <c r="K345" i="2"/>
  <c r="J388" i="2"/>
  <c r="H388" i="2" s="1"/>
  <c r="J398" i="2"/>
  <c r="H398" i="2" s="1"/>
  <c r="K453" i="2"/>
  <c r="K480" i="2"/>
  <c r="I483" i="2"/>
  <c r="J506" i="2"/>
  <c r="H506" i="2" s="1"/>
  <c r="J514" i="2"/>
  <c r="H514" i="2" s="1"/>
  <c r="J538" i="2"/>
  <c r="H538" i="2" s="1"/>
  <c r="J577" i="2"/>
  <c r="H577" i="2" s="1"/>
  <c r="I32" i="2"/>
  <c r="K43" i="2"/>
  <c r="K51" i="2"/>
  <c r="I98" i="2"/>
  <c r="J151" i="2"/>
  <c r="H151" i="2" s="1"/>
  <c r="J250" i="2"/>
  <c r="H250" i="2" s="1"/>
  <c r="J310" i="2"/>
  <c r="H310" i="2" s="1"/>
  <c r="J419" i="2"/>
  <c r="H419" i="2" s="1"/>
  <c r="K483" i="2"/>
  <c r="J487" i="2"/>
  <c r="H487" i="2" s="1"/>
  <c r="K151" i="2"/>
  <c r="K24" i="2"/>
  <c r="K59" i="2"/>
  <c r="K84" i="2"/>
  <c r="J86" i="2"/>
  <c r="H86" i="2" s="1"/>
  <c r="K98" i="2"/>
  <c r="K126" i="2"/>
  <c r="I136" i="2"/>
  <c r="I205" i="2"/>
  <c r="J294" i="2"/>
  <c r="H294" i="2" s="1"/>
  <c r="K332" i="2"/>
  <c r="J482" i="2"/>
  <c r="H482" i="2" s="1"/>
  <c r="J522" i="2"/>
  <c r="H522" i="2" s="1"/>
  <c r="J530" i="2"/>
  <c r="H530" i="2" s="1"/>
  <c r="J569" i="2"/>
  <c r="J172" i="2"/>
  <c r="H172" i="2" s="1"/>
  <c r="I193" i="2"/>
  <c r="J232" i="2"/>
  <c r="H232" i="2" s="1"/>
  <c r="I250" i="2"/>
  <c r="J313" i="2"/>
  <c r="H313" i="2" s="1"/>
  <c r="K451" i="2"/>
  <c r="I476" i="2"/>
  <c r="J498" i="2"/>
  <c r="H498" i="2" s="1"/>
  <c r="K545" i="2"/>
  <c r="K8" i="2"/>
  <c r="J44" i="2"/>
  <c r="H44" i="2" s="1"/>
  <c r="K48" i="2"/>
  <c r="I56" i="2"/>
  <c r="K85" i="2"/>
  <c r="K114" i="2"/>
  <c r="I152" i="2"/>
  <c r="I159" i="2"/>
  <c r="K164" i="2"/>
  <c r="I175" i="2"/>
  <c r="J178" i="2"/>
  <c r="H178" i="2" s="1"/>
  <c r="I190" i="2"/>
  <c r="K209" i="2"/>
  <c r="J284" i="2"/>
  <c r="H284" i="2" s="1"/>
  <c r="K322" i="2"/>
  <c r="J335" i="2"/>
  <c r="H335" i="2" s="1"/>
  <c r="K362" i="2"/>
  <c r="J497" i="2"/>
  <c r="H497" i="2" s="1"/>
  <c r="K509" i="2"/>
  <c r="J546" i="2"/>
  <c r="H546" i="2" s="1"/>
  <c r="J557" i="2"/>
  <c r="H557" i="2" s="1"/>
  <c r="K572" i="2"/>
  <c r="J10" i="2"/>
  <c r="K26" i="2"/>
  <c r="K159" i="2"/>
  <c r="J239" i="2"/>
  <c r="H239" i="2" s="1"/>
  <c r="I266" i="2"/>
  <c r="I294" i="2"/>
  <c r="J297" i="2"/>
  <c r="H297" i="2" s="1"/>
  <c r="I379" i="2"/>
  <c r="I387" i="2"/>
  <c r="I405" i="2"/>
  <c r="J425" i="2"/>
  <c r="H425" i="2" s="1"/>
  <c r="J492" i="2"/>
  <c r="H492" i="2" s="1"/>
  <c r="K513" i="2"/>
  <c r="J525" i="2"/>
  <c r="H525" i="2" s="1"/>
  <c r="K554" i="2"/>
  <c r="K557" i="2"/>
  <c r="K379" i="2"/>
  <c r="J387" i="2"/>
  <c r="H387" i="2" s="1"/>
  <c r="K405" i="2"/>
  <c r="K425" i="2"/>
  <c r="J476" i="2"/>
  <c r="H476" i="2" s="1"/>
  <c r="K492" i="2"/>
  <c r="K525" i="2"/>
  <c r="J532" i="2"/>
  <c r="H532" i="2" s="1"/>
  <c r="I572" i="2"/>
  <c r="I200" i="2"/>
  <c r="K14" i="2"/>
  <c r="J110" i="2"/>
  <c r="H110" i="2" s="1"/>
  <c r="I167" i="2"/>
  <c r="J175" i="2"/>
  <c r="H175" i="2" s="1"/>
  <c r="J28" i="2"/>
  <c r="H28" i="2" s="1"/>
  <c r="I196" i="2"/>
  <c r="J205" i="2"/>
  <c r="I226" i="2"/>
  <c r="I6" i="2"/>
  <c r="K18" i="2"/>
  <c r="K27" i="2"/>
  <c r="K56" i="2"/>
  <c r="I66" i="2"/>
  <c r="K76" i="2"/>
  <c r="K93" i="2"/>
  <c r="K100" i="2"/>
  <c r="I111" i="2"/>
  <c r="J174" i="2"/>
  <c r="H174" i="2" s="1"/>
  <c r="J193" i="2"/>
  <c r="H193" i="2" s="1"/>
  <c r="J240" i="2"/>
  <c r="H240" i="2" s="1"/>
  <c r="I284" i="2"/>
  <c r="K301" i="2"/>
  <c r="I323" i="2"/>
  <c r="I328" i="2"/>
  <c r="K341" i="2"/>
  <c r="K429" i="2"/>
  <c r="J549" i="2"/>
  <c r="H549" i="2" s="1"/>
  <c r="K74" i="2"/>
  <c r="J94" i="2"/>
  <c r="H94" i="2" s="1"/>
  <c r="J78" i="2"/>
  <c r="H78" i="2" s="1"/>
  <c r="K82" i="2"/>
  <c r="J104" i="2"/>
  <c r="H104" i="2" s="1"/>
  <c r="J111" i="2"/>
  <c r="H111" i="2" s="1"/>
  <c r="I165" i="2"/>
  <c r="K174" i="2"/>
  <c r="I232" i="2"/>
  <c r="J265" i="2"/>
  <c r="H265" i="2" s="1"/>
  <c r="I276" i="2"/>
  <c r="J287" i="2"/>
  <c r="H287" i="2" s="1"/>
  <c r="J326" i="2"/>
  <c r="H326" i="2" s="1"/>
  <c r="J328" i="2"/>
  <c r="H328" i="2" s="1"/>
  <c r="I363" i="2"/>
  <c r="J404" i="2"/>
  <c r="H404" i="2" s="1"/>
  <c r="I431" i="2"/>
  <c r="K464" i="2"/>
  <c r="K549" i="2"/>
  <c r="J70" i="2"/>
  <c r="H70" i="2" s="1"/>
  <c r="K167" i="2"/>
  <c r="J20" i="2"/>
  <c r="H20" i="2" s="1"/>
  <c r="K19" i="2"/>
  <c r="J36" i="2"/>
  <c r="H36" i="2" s="1"/>
  <c r="I48" i="2"/>
  <c r="K58" i="2"/>
  <c r="K77" i="2"/>
  <c r="K103" i="2"/>
  <c r="J190" i="2"/>
  <c r="H190" i="2" s="1"/>
  <c r="I239" i="2"/>
  <c r="K363" i="2"/>
  <c r="J431" i="2"/>
  <c r="H431" i="2" s="1"/>
  <c r="I497" i="2"/>
  <c r="J554" i="2"/>
  <c r="H554" i="2" s="1"/>
  <c r="K562" i="2"/>
  <c r="J565" i="2"/>
  <c r="H565" i="2" s="1"/>
  <c r="J573" i="2"/>
  <c r="H573" i="2" s="1"/>
  <c r="I21" i="2"/>
  <c r="K21" i="2"/>
  <c r="K79" i="2"/>
  <c r="I79" i="2"/>
  <c r="K37" i="2"/>
  <c r="I37" i="2"/>
  <c r="J129" i="2"/>
  <c r="H129" i="2" s="1"/>
  <c r="K129" i="2"/>
  <c r="I129" i="2"/>
  <c r="K87" i="2"/>
  <c r="I87" i="2"/>
  <c r="I45" i="2"/>
  <c r="K45" i="2"/>
  <c r="K11" i="2"/>
  <c r="I11" i="2"/>
  <c r="I71" i="2"/>
  <c r="K71" i="2"/>
  <c r="K3" i="2"/>
  <c r="I3" i="2"/>
  <c r="I62" i="2"/>
  <c r="K62" i="2"/>
  <c r="K29" i="2"/>
  <c r="I29" i="2"/>
  <c r="I95" i="2"/>
  <c r="K95" i="2"/>
  <c r="I53" i="2"/>
  <c r="K53" i="2"/>
  <c r="I105" i="2"/>
  <c r="K105" i="2"/>
  <c r="I135" i="2"/>
  <c r="K135" i="2"/>
  <c r="J135" i="2"/>
  <c r="H135" i="2" s="1"/>
  <c r="F158" i="2"/>
  <c r="F163" i="2"/>
  <c r="K163" i="2" s="1"/>
  <c r="F171" i="2"/>
  <c r="J171" i="2" s="1"/>
  <c r="G188" i="2"/>
  <c r="F188" i="2"/>
  <c r="I188" i="2" s="1"/>
  <c r="G195" i="2"/>
  <c r="J195" i="2"/>
  <c r="H195" i="2" s="1"/>
  <c r="I195" i="2"/>
  <c r="I213" i="2"/>
  <c r="K253" i="2"/>
  <c r="I253" i="2"/>
  <c r="J253" i="2"/>
  <c r="H253" i="2" s="1"/>
  <c r="G259" i="2"/>
  <c r="I259" i="2"/>
  <c r="G268" i="2"/>
  <c r="F268" i="2"/>
  <c r="K268" i="2" s="1"/>
  <c r="J309" i="2"/>
  <c r="G325" i="2"/>
  <c r="F325" i="2"/>
  <c r="J325" i="2" s="1"/>
  <c r="H325" i="2" s="1"/>
  <c r="G349" i="2"/>
  <c r="F349" i="2"/>
  <c r="I349" i="2" s="1"/>
  <c r="G203" i="2"/>
  <c r="J3" i="2"/>
  <c r="K10" i="2" s="1"/>
  <c r="F7" i="2"/>
  <c r="K7" i="2" s="1"/>
  <c r="G8" i="2"/>
  <c r="I10" i="2"/>
  <c r="J11" i="2"/>
  <c r="K68" i="2" s="1"/>
  <c r="F15" i="2"/>
  <c r="I15" i="2" s="1"/>
  <c r="G18" i="2"/>
  <c r="I20" i="2"/>
  <c r="J21" i="2"/>
  <c r="H21" i="2" s="1"/>
  <c r="K22" i="2"/>
  <c r="F25" i="2"/>
  <c r="K25" i="2" s="1"/>
  <c r="G26" i="2"/>
  <c r="I28" i="2"/>
  <c r="J29" i="2"/>
  <c r="H29" i="2" s="1"/>
  <c r="F33" i="2"/>
  <c r="K33" i="2" s="1"/>
  <c r="G34" i="2"/>
  <c r="I36" i="2"/>
  <c r="J37" i="2"/>
  <c r="H37" i="2" s="1"/>
  <c r="F41" i="2"/>
  <c r="K41" i="2" s="1"/>
  <c r="G42" i="2"/>
  <c r="I44" i="2"/>
  <c r="J45" i="2"/>
  <c r="H45" i="2" s="1"/>
  <c r="F49" i="2"/>
  <c r="K49" i="2" s="1"/>
  <c r="G50" i="2"/>
  <c r="I52" i="2"/>
  <c r="J53" i="2"/>
  <c r="H53" i="2" s="1"/>
  <c r="F57" i="2"/>
  <c r="K57" i="2" s="1"/>
  <c r="I60" i="2"/>
  <c r="J62" i="2"/>
  <c r="H62" i="2" s="1"/>
  <c r="F67" i="2"/>
  <c r="K67" i="2" s="1"/>
  <c r="I70" i="2"/>
  <c r="J71" i="2"/>
  <c r="H71" i="2" s="1"/>
  <c r="F75" i="2"/>
  <c r="K75" i="2" s="1"/>
  <c r="G76" i="2"/>
  <c r="I78" i="2"/>
  <c r="J79" i="2"/>
  <c r="H79" i="2" s="1"/>
  <c r="F83" i="2"/>
  <c r="I83" i="2" s="1"/>
  <c r="G84" i="2"/>
  <c r="I86" i="2"/>
  <c r="J87" i="2"/>
  <c r="H87" i="2" s="1"/>
  <c r="F91" i="2"/>
  <c r="K91" i="2" s="1"/>
  <c r="G92" i="2"/>
  <c r="I94" i="2"/>
  <c r="J95" i="2"/>
  <c r="K445" i="2" s="1"/>
  <c r="F99" i="2"/>
  <c r="K99" i="2" s="1"/>
  <c r="G100" i="2"/>
  <c r="I104" i="2"/>
  <c r="J105" i="2"/>
  <c r="F108" i="2"/>
  <c r="J108" i="2" s="1"/>
  <c r="H108" i="2" s="1"/>
  <c r="I110" i="2"/>
  <c r="F113" i="2"/>
  <c r="K113" i="2" s="1"/>
  <c r="F117" i="2"/>
  <c r="K117" i="2" s="1"/>
  <c r="I119" i="2"/>
  <c r="F122" i="2"/>
  <c r="K122" i="2" s="1"/>
  <c r="G127" i="2"/>
  <c r="I128" i="2"/>
  <c r="F133" i="2"/>
  <c r="J133" i="2" s="1"/>
  <c r="H133" i="2" s="1"/>
  <c r="J138" i="2"/>
  <c r="H138" i="2" s="1"/>
  <c r="I142" i="2"/>
  <c r="F148" i="2"/>
  <c r="K148" i="2" s="1"/>
  <c r="I161" i="2"/>
  <c r="G169" i="2"/>
  <c r="F169" i="2"/>
  <c r="K169" i="2" s="1"/>
  <c r="F177" i="2"/>
  <c r="K177" i="2" s="1"/>
  <c r="K195" i="2"/>
  <c r="F203" i="2"/>
  <c r="K203" i="2" s="1"/>
  <c r="G216" i="2"/>
  <c r="K216" i="2"/>
  <c r="J216" i="2"/>
  <c r="H216" i="2" s="1"/>
  <c r="I216" i="2"/>
  <c r="J223" i="2"/>
  <c r="K376" i="2" s="1"/>
  <c r="G7" i="2"/>
  <c r="G15" i="2"/>
  <c r="G33" i="2"/>
  <c r="G41" i="2"/>
  <c r="G57" i="2"/>
  <c r="G67" i="2"/>
  <c r="G75" i="2"/>
  <c r="G83" i="2"/>
  <c r="G91" i="2"/>
  <c r="G99" i="2"/>
  <c r="G113" i="2"/>
  <c r="G117" i="2"/>
  <c r="G122" i="2"/>
  <c r="J128" i="2"/>
  <c r="H128" i="2" s="1"/>
  <c r="I134" i="2"/>
  <c r="J142" i="2"/>
  <c r="H142" i="2" s="1"/>
  <c r="F144" i="2"/>
  <c r="J144" i="2" s="1"/>
  <c r="H144" i="2" s="1"/>
  <c r="I145" i="2"/>
  <c r="G148" i="2"/>
  <c r="I156" i="2"/>
  <c r="G208" i="2"/>
  <c r="F208" i="2"/>
  <c r="K208" i="2" s="1"/>
  <c r="G316" i="2"/>
  <c r="F316" i="2"/>
  <c r="K316" i="2" s="1"/>
  <c r="K344" i="2"/>
  <c r="J344" i="2"/>
  <c r="H344" i="2" s="1"/>
  <c r="I344" i="2"/>
  <c r="G25" i="2"/>
  <c r="F5" i="2"/>
  <c r="I5" i="2" s="1"/>
  <c r="I8" i="2"/>
  <c r="J9" i="2"/>
  <c r="H9" i="2" s="1"/>
  <c r="F13" i="2"/>
  <c r="I18" i="2"/>
  <c r="J19" i="2"/>
  <c r="K355" i="2" s="1"/>
  <c r="F23" i="2"/>
  <c r="I23" i="2" s="1"/>
  <c r="I26" i="2"/>
  <c r="J27" i="2"/>
  <c r="H27" i="2" s="1"/>
  <c r="F31" i="2"/>
  <c r="K31" i="2" s="1"/>
  <c r="I34" i="2"/>
  <c r="J35" i="2"/>
  <c r="F39" i="2"/>
  <c r="I42" i="2"/>
  <c r="J43" i="2"/>
  <c r="H43" i="2" s="1"/>
  <c r="F47" i="2"/>
  <c r="I47" i="2" s="1"/>
  <c r="I50" i="2"/>
  <c r="J51" i="2"/>
  <c r="H51" i="2" s="1"/>
  <c r="F55" i="2"/>
  <c r="I58" i="2"/>
  <c r="J59" i="2"/>
  <c r="H59" i="2" s="1"/>
  <c r="F65" i="2"/>
  <c r="I68" i="2"/>
  <c r="J69" i="2"/>
  <c r="F73" i="2"/>
  <c r="I76" i="2"/>
  <c r="J77" i="2"/>
  <c r="H77" i="2" s="1"/>
  <c r="F81" i="2"/>
  <c r="I84" i="2"/>
  <c r="J85" i="2"/>
  <c r="H85" i="2" s="1"/>
  <c r="F89" i="2"/>
  <c r="I89" i="2" s="1"/>
  <c r="I92" i="2"/>
  <c r="J93" i="2"/>
  <c r="H93" i="2" s="1"/>
  <c r="F97" i="2"/>
  <c r="G98" i="2"/>
  <c r="I100" i="2"/>
  <c r="J103" i="2"/>
  <c r="H103" i="2" s="1"/>
  <c r="F107" i="2"/>
  <c r="K107" i="2" s="1"/>
  <c r="J109" i="2"/>
  <c r="H109" i="2" s="1"/>
  <c r="F112" i="2"/>
  <c r="K112" i="2" s="1"/>
  <c r="F116" i="2"/>
  <c r="J116" i="2" s="1"/>
  <c r="H116" i="2" s="1"/>
  <c r="I118" i="2"/>
  <c r="K119" i="2"/>
  <c r="F121" i="2"/>
  <c r="K121" i="2" s="1"/>
  <c r="F125" i="2"/>
  <c r="I127" i="2"/>
  <c r="F131" i="2"/>
  <c r="K131" i="2" s="1"/>
  <c r="G137" i="2"/>
  <c r="F140" i="2"/>
  <c r="G144" i="2"/>
  <c r="J145" i="2"/>
  <c r="H145" i="2" s="1"/>
  <c r="G147" i="2"/>
  <c r="F153" i="2"/>
  <c r="I153" i="2" s="1"/>
  <c r="G157" i="2"/>
  <c r="G162" i="2"/>
  <c r="G241" i="2"/>
  <c r="F241" i="2"/>
  <c r="I241" i="2" s="1"/>
  <c r="K213" i="2"/>
  <c r="J213" i="2"/>
  <c r="H213" i="2" s="1"/>
  <c r="J26" i="2"/>
  <c r="H26" i="2" s="1"/>
  <c r="F30" i="2"/>
  <c r="G31" i="2"/>
  <c r="J34" i="2"/>
  <c r="H34" i="2" s="1"/>
  <c r="F38" i="2"/>
  <c r="K38" i="2" s="1"/>
  <c r="J42" i="2"/>
  <c r="H42" i="2" s="1"/>
  <c r="F46" i="2"/>
  <c r="G47" i="2"/>
  <c r="J50" i="2"/>
  <c r="H50" i="2" s="1"/>
  <c r="F54" i="2"/>
  <c r="K54" i="2" s="1"/>
  <c r="G55" i="2"/>
  <c r="J58" i="2"/>
  <c r="H58" i="2" s="1"/>
  <c r="F64" i="2"/>
  <c r="K64" i="2" s="1"/>
  <c r="G65" i="2"/>
  <c r="J68" i="2"/>
  <c r="H68" i="2" s="1"/>
  <c r="F72" i="2"/>
  <c r="J76" i="2"/>
  <c r="H76" i="2" s="1"/>
  <c r="F80" i="2"/>
  <c r="K80" i="2" s="1"/>
  <c r="J84" i="2"/>
  <c r="H84" i="2" s="1"/>
  <c r="F88" i="2"/>
  <c r="G89" i="2"/>
  <c r="J92" i="2"/>
  <c r="H92" i="2" s="1"/>
  <c r="F96" i="2"/>
  <c r="G97" i="2"/>
  <c r="J100" i="2"/>
  <c r="H100" i="2" s="1"/>
  <c r="F106" i="2"/>
  <c r="K106" i="2" s="1"/>
  <c r="G107" i="2"/>
  <c r="G116" i="2"/>
  <c r="J118" i="2"/>
  <c r="H118" i="2" s="1"/>
  <c r="G121" i="2"/>
  <c r="G125" i="2"/>
  <c r="J127" i="2"/>
  <c r="H127" i="2" s="1"/>
  <c r="G131" i="2"/>
  <c r="I141" i="2"/>
  <c r="K145" i="2"/>
  <c r="F147" i="2"/>
  <c r="K147" i="2" s="1"/>
  <c r="F157" i="2"/>
  <c r="K157" i="2" s="1"/>
  <c r="F162" i="2"/>
  <c r="J162" i="2" s="1"/>
  <c r="H162" i="2" s="1"/>
  <c r="G166" i="2"/>
  <c r="F170" i="2"/>
  <c r="K170" i="2" s="1"/>
  <c r="K338" i="2"/>
  <c r="I338" i="2"/>
  <c r="G177" i="2"/>
  <c r="F4" i="2"/>
  <c r="G5" i="2"/>
  <c r="J8" i="2"/>
  <c r="H8" i="2" s="1"/>
  <c r="F12" i="2"/>
  <c r="K12" i="2" s="1"/>
  <c r="J18" i="2"/>
  <c r="H18" i="2" s="1"/>
  <c r="G23" i="2"/>
  <c r="J7" i="2"/>
  <c r="H7" i="2" s="1"/>
  <c r="G111" i="2"/>
  <c r="F115" i="2"/>
  <c r="F120" i="2"/>
  <c r="F124" i="2"/>
  <c r="K124" i="2" s="1"/>
  <c r="I126" i="2"/>
  <c r="K127" i="2"/>
  <c r="I137" i="2"/>
  <c r="I139" i="2"/>
  <c r="J139" i="2"/>
  <c r="H139" i="2" s="1"/>
  <c r="F149" i="2"/>
  <c r="I150" i="2"/>
  <c r="J155" i="2"/>
  <c r="H155" i="2" s="1"/>
  <c r="F166" i="2"/>
  <c r="K166" i="2" s="1"/>
  <c r="G187" i="2"/>
  <c r="F187" i="2"/>
  <c r="J187" i="2" s="1"/>
  <c r="H187" i="2" s="1"/>
  <c r="J192" i="2"/>
  <c r="H192" i="2" s="1"/>
  <c r="I192" i="2"/>
  <c r="I201" i="2"/>
  <c r="K201" i="2"/>
  <c r="J201" i="2"/>
  <c r="H201" i="2" s="1"/>
  <c r="K249" i="2"/>
  <c r="J249" i="2"/>
  <c r="H249" i="2" s="1"/>
  <c r="I114" i="2"/>
  <c r="J123" i="2"/>
  <c r="H123" i="2" s="1"/>
  <c r="K134" i="2"/>
  <c r="J137" i="2"/>
  <c r="H137" i="2" s="1"/>
  <c r="G149" i="2"/>
  <c r="J150" i="2"/>
  <c r="H150" i="2" s="1"/>
  <c r="F154" i="2"/>
  <c r="I154" i="2" s="1"/>
  <c r="F176" i="2"/>
  <c r="K176" i="2" s="1"/>
  <c r="I180" i="2"/>
  <c r="K243" i="2"/>
  <c r="I243" i="2"/>
  <c r="J243" i="2"/>
  <c r="H243" i="2" s="1"/>
  <c r="G311" i="2"/>
  <c r="F311" i="2"/>
  <c r="J311" i="2" s="1"/>
  <c r="H311" i="2" s="1"/>
  <c r="F228" i="2"/>
  <c r="I228" i="2" s="1"/>
  <c r="F230" i="2"/>
  <c r="K230" i="2" s="1"/>
  <c r="I249" i="2"/>
  <c r="G274" i="2"/>
  <c r="F274" i="2"/>
  <c r="I274" i="2" s="1"/>
  <c r="G285" i="2"/>
  <c r="F285" i="2"/>
  <c r="J285" i="2" s="1"/>
  <c r="H285" i="2" s="1"/>
  <c r="G290" i="2"/>
  <c r="F290" i="2"/>
  <c r="J290" i="2" s="1"/>
  <c r="H290" i="2" s="1"/>
  <c r="I309" i="2"/>
  <c r="I354" i="2"/>
  <c r="K354" i="2"/>
  <c r="J354" i="2"/>
  <c r="H354" i="2" s="1"/>
  <c r="F406" i="2"/>
  <c r="I406" i="2" s="1"/>
  <c r="G406" i="2"/>
  <c r="I433" i="2"/>
  <c r="K433" i="2"/>
  <c r="J433" i="2"/>
  <c r="H433" i="2" s="1"/>
  <c r="F456" i="2"/>
  <c r="K456" i="2" s="1"/>
  <c r="G456" i="2"/>
  <c r="K152" i="2"/>
  <c r="K161" i="2"/>
  <c r="F173" i="2"/>
  <c r="J173" i="2" s="1"/>
  <c r="H173" i="2" s="1"/>
  <c r="I179" i="2"/>
  <c r="F191" i="2"/>
  <c r="K191" i="2" s="1"/>
  <c r="I197" i="2"/>
  <c r="F220" i="2"/>
  <c r="K220" i="2" s="1"/>
  <c r="K222" i="2"/>
  <c r="J226" i="2"/>
  <c r="H226" i="2" s="1"/>
  <c r="J234" i="2"/>
  <c r="H234" i="2" s="1"/>
  <c r="F236" i="2"/>
  <c r="K236" i="2" s="1"/>
  <c r="F238" i="2"/>
  <c r="K238" i="2" s="1"/>
  <c r="J257" i="2"/>
  <c r="H257" i="2" s="1"/>
  <c r="G264" i="2"/>
  <c r="F264" i="2"/>
  <c r="K264" i="2" s="1"/>
  <c r="K283" i="2"/>
  <c r="K286" i="2"/>
  <c r="I291" i="2"/>
  <c r="G339" i="2"/>
  <c r="F339" i="2"/>
  <c r="I339" i="2" s="1"/>
  <c r="G350" i="2"/>
  <c r="F350" i="2"/>
  <c r="K350" i="2" s="1"/>
  <c r="J355" i="2"/>
  <c r="F194" i="2"/>
  <c r="I194" i="2" s="1"/>
  <c r="F210" i="2"/>
  <c r="J210" i="2" s="1"/>
  <c r="H210" i="2" s="1"/>
  <c r="K212" i="2"/>
  <c r="G225" i="2"/>
  <c r="F225" i="2"/>
  <c r="K225" i="2" s="1"/>
  <c r="G251" i="2"/>
  <c r="F251" i="2"/>
  <c r="K251" i="2" s="1"/>
  <c r="K260" i="2"/>
  <c r="J260" i="2"/>
  <c r="H260" i="2" s="1"/>
  <c r="G260" i="2"/>
  <c r="I275" i="2"/>
  <c r="F295" i="2"/>
  <c r="I295" i="2" s="1"/>
  <c r="G300" i="2"/>
  <c r="F300" i="2"/>
  <c r="J300" i="2" s="1"/>
  <c r="H300" i="2" s="1"/>
  <c r="K312" i="2"/>
  <c r="I319" i="2"/>
  <c r="G330" i="2"/>
  <c r="F330" i="2"/>
  <c r="I330" i="2" s="1"/>
  <c r="G364" i="2"/>
  <c r="F364" i="2"/>
  <c r="J364" i="2" s="1"/>
  <c r="H364" i="2" s="1"/>
  <c r="K374" i="2"/>
  <c r="J374" i="2"/>
  <c r="H374" i="2" s="1"/>
  <c r="F202" i="2"/>
  <c r="J202" i="2" s="1"/>
  <c r="H202" i="2" s="1"/>
  <c r="G215" i="2"/>
  <c r="F215" i="2"/>
  <c r="K215" i="2" s="1"/>
  <c r="G242" i="2"/>
  <c r="F244" i="2"/>
  <c r="J244" i="2" s="1"/>
  <c r="H244" i="2" s="1"/>
  <c r="F248" i="2"/>
  <c r="J248" i="2" s="1"/>
  <c r="H248" i="2" s="1"/>
  <c r="G256" i="2"/>
  <c r="F256" i="2"/>
  <c r="K256" i="2" s="1"/>
  <c r="F321" i="2"/>
  <c r="K321" i="2" s="1"/>
  <c r="F359" i="2"/>
  <c r="J359" i="2" s="1"/>
  <c r="H359" i="2" s="1"/>
  <c r="G359" i="2"/>
  <c r="J156" i="2"/>
  <c r="H156" i="2" s="1"/>
  <c r="K165" i="2"/>
  <c r="K178" i="2"/>
  <c r="K196" i="2"/>
  <c r="J200" i="2"/>
  <c r="H200" i="2" s="1"/>
  <c r="G202" i="2"/>
  <c r="F204" i="2"/>
  <c r="J204" i="2" s="1"/>
  <c r="H204" i="2" s="1"/>
  <c r="G207" i="2"/>
  <c r="F207" i="2"/>
  <c r="J207" i="2" s="1"/>
  <c r="H207" i="2" s="1"/>
  <c r="G212" i="2"/>
  <c r="I222" i="2"/>
  <c r="K227" i="2"/>
  <c r="I227" i="2"/>
  <c r="F242" i="2"/>
  <c r="K242" i="2" s="1"/>
  <c r="G244" i="2"/>
  <c r="G248" i="2"/>
  <c r="I260" i="2"/>
  <c r="I265" i="2"/>
  <c r="K269" i="2"/>
  <c r="I269" i="2"/>
  <c r="G277" i="2"/>
  <c r="F277" i="2"/>
  <c r="K277" i="2" s="1"/>
  <c r="F282" i="2"/>
  <c r="J282" i="2" s="1"/>
  <c r="H282" i="2" s="1"/>
  <c r="K291" i="2"/>
  <c r="I301" i="2"/>
  <c r="I360" i="2"/>
  <c r="F181" i="2"/>
  <c r="I181" i="2" s="1"/>
  <c r="I182" i="2"/>
  <c r="J197" i="2"/>
  <c r="H197" i="2" s="1"/>
  <c r="F199" i="2"/>
  <c r="G204" i="2"/>
  <c r="I212" i="2"/>
  <c r="G221" i="2"/>
  <c r="F252" i="2"/>
  <c r="K252" i="2" s="1"/>
  <c r="J275" i="2"/>
  <c r="G303" i="2"/>
  <c r="F303" i="2"/>
  <c r="J303" i="2" s="1"/>
  <c r="H303" i="2" s="1"/>
  <c r="G308" i="2"/>
  <c r="F308" i="2"/>
  <c r="K308" i="2" s="1"/>
  <c r="K319" i="2"/>
  <c r="G343" i="2"/>
  <c r="F343" i="2"/>
  <c r="K343" i="2" s="1"/>
  <c r="K386" i="2"/>
  <c r="I386" i="2"/>
  <c r="J386" i="2"/>
  <c r="H386" i="2" s="1"/>
  <c r="F417" i="2"/>
  <c r="K417" i="2" s="1"/>
  <c r="K141" i="2"/>
  <c r="I155" i="2"/>
  <c r="G156" i="2"/>
  <c r="J164" i="2"/>
  <c r="H164" i="2" s="1"/>
  <c r="G165" i="2"/>
  <c r="I168" i="2"/>
  <c r="G178" i="2"/>
  <c r="K179" i="2"/>
  <c r="G181" i="2"/>
  <c r="J182" i="2"/>
  <c r="H182" i="2" s="1"/>
  <c r="F184" i="2"/>
  <c r="I184" i="2" s="1"/>
  <c r="F189" i="2"/>
  <c r="K189" i="2" s="1"/>
  <c r="G196" i="2"/>
  <c r="G211" i="2"/>
  <c r="K211" i="2"/>
  <c r="J211" i="2"/>
  <c r="H211" i="2" s="1"/>
  <c r="J212" i="2"/>
  <c r="H212" i="2" s="1"/>
  <c r="F221" i="2"/>
  <c r="I221" i="2" s="1"/>
  <c r="I223" i="2"/>
  <c r="J227" i="2"/>
  <c r="H227" i="2" s="1"/>
  <c r="G233" i="2"/>
  <c r="F233" i="2"/>
  <c r="J233" i="2" s="1"/>
  <c r="H233" i="2" s="1"/>
  <c r="K235" i="2"/>
  <c r="I235" i="2"/>
  <c r="I257" i="2"/>
  <c r="K261" i="2"/>
  <c r="I261" i="2"/>
  <c r="G267" i="2"/>
  <c r="F267" i="2"/>
  <c r="J267" i="2" s="1"/>
  <c r="H267" i="2" s="1"/>
  <c r="J269" i="2"/>
  <c r="H269" i="2" s="1"/>
  <c r="K278" i="2"/>
  <c r="J278" i="2"/>
  <c r="H278" i="2" s="1"/>
  <c r="G278" i="2"/>
  <c r="I283" i="2"/>
  <c r="G334" i="2"/>
  <c r="F334" i="2"/>
  <c r="K334" i="2" s="1"/>
  <c r="G361" i="2"/>
  <c r="F361" i="2"/>
  <c r="J361" i="2" s="1"/>
  <c r="H361" i="2" s="1"/>
  <c r="K430" i="2"/>
  <c r="G430" i="2"/>
  <c r="J229" i="2"/>
  <c r="H229" i="2" s="1"/>
  <c r="J237" i="2"/>
  <c r="H237" i="2" s="1"/>
  <c r="J245" i="2"/>
  <c r="H245" i="2" s="1"/>
  <c r="I254" i="2"/>
  <c r="J255" i="2"/>
  <c r="K275" i="2" s="1"/>
  <c r="I262" i="2"/>
  <c r="J263" i="2"/>
  <c r="H263" i="2" s="1"/>
  <c r="I270" i="2"/>
  <c r="J272" i="2"/>
  <c r="H272" i="2" s="1"/>
  <c r="I280" i="2"/>
  <c r="J281" i="2"/>
  <c r="H281" i="2" s="1"/>
  <c r="G286" i="2"/>
  <c r="I288" i="2"/>
  <c r="J289" i="2"/>
  <c r="H289" i="2" s="1"/>
  <c r="I298" i="2"/>
  <c r="J299" i="2"/>
  <c r="H299" i="2" s="1"/>
  <c r="I306" i="2"/>
  <c r="J307" i="2"/>
  <c r="H307" i="2" s="1"/>
  <c r="G312" i="2"/>
  <c r="I314" i="2"/>
  <c r="J315" i="2"/>
  <c r="H315" i="2" s="1"/>
  <c r="I322" i="2"/>
  <c r="K323" i="2"/>
  <c r="J327" i="2"/>
  <c r="H327" i="2" s="1"/>
  <c r="I331" i="2"/>
  <c r="K337" i="2"/>
  <c r="J348" i="2"/>
  <c r="H348" i="2" s="1"/>
  <c r="J358" i="2"/>
  <c r="H358" i="2" s="1"/>
  <c r="I365" i="2"/>
  <c r="F367" i="2"/>
  <c r="K367" i="2" s="1"/>
  <c r="F372" i="2"/>
  <c r="K391" i="2"/>
  <c r="J391" i="2"/>
  <c r="H391" i="2" s="1"/>
  <c r="J410" i="2"/>
  <c r="H410" i="2" s="1"/>
  <c r="K410" i="2"/>
  <c r="I410" i="2"/>
  <c r="G410" i="2"/>
  <c r="I447" i="2"/>
  <c r="K447" i="2"/>
  <c r="J447" i="2"/>
  <c r="H447" i="2" s="1"/>
  <c r="K229" i="2"/>
  <c r="K237" i="2"/>
  <c r="K245" i="2"/>
  <c r="J254" i="2"/>
  <c r="H254" i="2" s="1"/>
  <c r="J262" i="2"/>
  <c r="H262" i="2" s="1"/>
  <c r="K263" i="2"/>
  <c r="J270" i="2"/>
  <c r="H270" i="2" s="1"/>
  <c r="K272" i="2"/>
  <c r="I279" i="2"/>
  <c r="J280" i="2"/>
  <c r="H280" i="2" s="1"/>
  <c r="K281" i="2"/>
  <c r="I287" i="2"/>
  <c r="J288" i="2"/>
  <c r="K304" i="2" s="1"/>
  <c r="K289" i="2"/>
  <c r="I297" i="2"/>
  <c r="J298" i="2"/>
  <c r="H298" i="2" s="1"/>
  <c r="K299" i="2"/>
  <c r="I305" i="2"/>
  <c r="J306" i="2"/>
  <c r="H306" i="2" s="1"/>
  <c r="K307" i="2"/>
  <c r="I313" i="2"/>
  <c r="J314" i="2"/>
  <c r="H314" i="2" s="1"/>
  <c r="K315" i="2"/>
  <c r="I324" i="2"/>
  <c r="K327" i="2"/>
  <c r="J333" i="2"/>
  <c r="H333" i="2" s="1"/>
  <c r="I335" i="2"/>
  <c r="K342" i="2"/>
  <c r="F347" i="2"/>
  <c r="F357" i="2"/>
  <c r="J365" i="2"/>
  <c r="H365" i="2" s="1"/>
  <c r="J370" i="2"/>
  <c r="H370" i="2" s="1"/>
  <c r="I374" i="2"/>
  <c r="J376" i="2"/>
  <c r="H376" i="2" s="1"/>
  <c r="I376" i="2"/>
  <c r="K378" i="2"/>
  <c r="I378" i="2"/>
  <c r="K402" i="2"/>
  <c r="I402" i="2"/>
  <c r="I441" i="2"/>
  <c r="K441" i="2"/>
  <c r="J441" i="2"/>
  <c r="H441" i="2" s="1"/>
  <c r="J286" i="2"/>
  <c r="H286" i="2" s="1"/>
  <c r="J296" i="2"/>
  <c r="H296" i="2" s="1"/>
  <c r="J304" i="2"/>
  <c r="H304" i="2" s="1"/>
  <c r="J312" i="2"/>
  <c r="H312" i="2" s="1"/>
  <c r="I332" i="2"/>
  <c r="J341" i="2"/>
  <c r="H341" i="2" s="1"/>
  <c r="G346" i="2"/>
  <c r="F346" i="2"/>
  <c r="I346" i="2" s="1"/>
  <c r="I366" i="2"/>
  <c r="K394" i="2"/>
  <c r="J394" i="2"/>
  <c r="H394" i="2" s="1"/>
  <c r="I394" i="2"/>
  <c r="G394" i="2"/>
  <c r="J411" i="2"/>
  <c r="H411" i="2" s="1"/>
  <c r="I411" i="2"/>
  <c r="K452" i="2"/>
  <c r="I452" i="2"/>
  <c r="G356" i="2"/>
  <c r="F356" i="2"/>
  <c r="K356" i="2" s="1"/>
  <c r="G368" i="2"/>
  <c r="G390" i="2"/>
  <c r="G415" i="2"/>
  <c r="K418" i="2"/>
  <c r="I418" i="2"/>
  <c r="F420" i="2"/>
  <c r="K420" i="2" s="1"/>
  <c r="G420" i="2"/>
  <c r="K449" i="2"/>
  <c r="J449" i="2"/>
  <c r="H449" i="2" s="1"/>
  <c r="I449" i="2"/>
  <c r="J324" i="2"/>
  <c r="H324" i="2" s="1"/>
  <c r="K326" i="2"/>
  <c r="J329" i="2"/>
  <c r="H329" i="2" s="1"/>
  <c r="G332" i="2"/>
  <c r="I333" i="2"/>
  <c r="J338" i="2"/>
  <c r="H338" i="2" s="1"/>
  <c r="I340" i="2"/>
  <c r="G341" i="2"/>
  <c r="I342" i="2"/>
  <c r="I348" i="2"/>
  <c r="F351" i="2"/>
  <c r="I351" i="2" s="1"/>
  <c r="I358" i="2"/>
  <c r="F368" i="2"/>
  <c r="I368" i="2" s="1"/>
  <c r="F373" i="2"/>
  <c r="K373" i="2" s="1"/>
  <c r="F377" i="2"/>
  <c r="I377" i="2" s="1"/>
  <c r="F390" i="2"/>
  <c r="I390" i="2" s="1"/>
  <c r="J407" i="2"/>
  <c r="K467" i="2" s="1"/>
  <c r="F415" i="2"/>
  <c r="I415" i="2" s="1"/>
  <c r="G435" i="2"/>
  <c r="F435" i="2"/>
  <c r="I435" i="2" s="1"/>
  <c r="J360" i="2"/>
  <c r="H360" i="2" s="1"/>
  <c r="F375" i="2"/>
  <c r="K375" i="2" s="1"/>
  <c r="G383" i="2"/>
  <c r="F383" i="2"/>
  <c r="I383" i="2" s="1"/>
  <c r="K385" i="2"/>
  <c r="J385" i="2"/>
  <c r="H385" i="2" s="1"/>
  <c r="I385" i="2"/>
  <c r="G385" i="2"/>
  <c r="K395" i="2"/>
  <c r="J395" i="2"/>
  <c r="H395" i="2" s="1"/>
  <c r="I395" i="2"/>
  <c r="I399" i="2"/>
  <c r="K399" i="2"/>
  <c r="J399" i="2"/>
  <c r="H399" i="2" s="1"/>
  <c r="G399" i="2"/>
  <c r="G463" i="2"/>
  <c r="F463" i="2"/>
  <c r="I463" i="2" s="1"/>
  <c r="F470" i="2"/>
  <c r="J470" i="2" s="1"/>
  <c r="H470" i="2" s="1"/>
  <c r="F473" i="2"/>
  <c r="J473" i="2" s="1"/>
  <c r="H473" i="2" s="1"/>
  <c r="G473" i="2"/>
  <c r="J384" i="2"/>
  <c r="K569" i="2" s="1"/>
  <c r="K393" i="2"/>
  <c r="I409" i="2"/>
  <c r="I422" i="2"/>
  <c r="K427" i="2"/>
  <c r="I427" i="2"/>
  <c r="G427" i="2"/>
  <c r="K437" i="2"/>
  <c r="F450" i="2"/>
  <c r="I450" i="2" s="1"/>
  <c r="G454" i="2"/>
  <c r="F454" i="2"/>
  <c r="K461" i="2"/>
  <c r="F471" i="2"/>
  <c r="K471" i="2" s="1"/>
  <c r="J422" i="2"/>
  <c r="H422" i="2" s="1"/>
  <c r="K468" i="2"/>
  <c r="J468" i="2"/>
  <c r="H468" i="2" s="1"/>
  <c r="G432" i="2"/>
  <c r="F442" i="2"/>
  <c r="K442" i="2" s="1"/>
  <c r="F448" i="2"/>
  <c r="J448" i="2" s="1"/>
  <c r="H448" i="2" s="1"/>
  <c r="J478" i="2"/>
  <c r="H478" i="2" s="1"/>
  <c r="I478" i="2"/>
  <c r="K491" i="2"/>
  <c r="J491" i="2"/>
  <c r="H491" i="2" s="1"/>
  <c r="I491" i="2"/>
  <c r="F380" i="2"/>
  <c r="G388" i="2"/>
  <c r="I389" i="2"/>
  <c r="F392" i="2"/>
  <c r="F397" i="2"/>
  <c r="F403" i="2"/>
  <c r="K403" i="2" s="1"/>
  <c r="F408" i="2"/>
  <c r="F412" i="2"/>
  <c r="F416" i="2"/>
  <c r="I432" i="2"/>
  <c r="F434" i="2"/>
  <c r="J434" i="2" s="1"/>
  <c r="H434" i="2" s="1"/>
  <c r="J440" i="2"/>
  <c r="H440" i="2" s="1"/>
  <c r="G442" i="2"/>
  <c r="G446" i="2"/>
  <c r="F446" i="2"/>
  <c r="K446" i="2" s="1"/>
  <c r="G448" i="2"/>
  <c r="K457" i="2"/>
  <c r="J457" i="2"/>
  <c r="H457" i="2" s="1"/>
  <c r="I457" i="2"/>
  <c r="K479" i="2"/>
  <c r="I384" i="2"/>
  <c r="J389" i="2"/>
  <c r="H389" i="2" s="1"/>
  <c r="I391" i="2"/>
  <c r="I393" i="2"/>
  <c r="J402" i="2"/>
  <c r="K424" i="2" s="1"/>
  <c r="G403" i="2"/>
  <c r="J409" i="2"/>
  <c r="H409" i="2" s="1"/>
  <c r="K411" i="2"/>
  <c r="K414" i="2"/>
  <c r="G416" i="2"/>
  <c r="J418" i="2"/>
  <c r="H418" i="2" s="1"/>
  <c r="I424" i="2"/>
  <c r="F426" i="2"/>
  <c r="J426" i="2" s="1"/>
  <c r="H426" i="2" s="1"/>
  <c r="J428" i="2"/>
  <c r="H428" i="2" s="1"/>
  <c r="J432" i="2"/>
  <c r="H432" i="2" s="1"/>
  <c r="G434" i="2"/>
  <c r="F436" i="2"/>
  <c r="J436" i="2" s="1"/>
  <c r="H436" i="2" s="1"/>
  <c r="K440" i="2"/>
  <c r="I455" i="2"/>
  <c r="K455" i="2"/>
  <c r="F438" i="2"/>
  <c r="I438" i="2" s="1"/>
  <c r="F458" i="2"/>
  <c r="I458" i="2" s="1"/>
  <c r="J467" i="2"/>
  <c r="I467" i="2"/>
  <c r="J475" i="2"/>
  <c r="H475" i="2" s="1"/>
  <c r="I475" i="2"/>
  <c r="G486" i="2"/>
  <c r="F486" i="2"/>
  <c r="I486" i="2" s="1"/>
  <c r="I429" i="2"/>
  <c r="I437" i="2"/>
  <c r="G443" i="2"/>
  <c r="I445" i="2"/>
  <c r="G451" i="2"/>
  <c r="I453" i="2"/>
  <c r="G461" i="2"/>
  <c r="J465" i="2"/>
  <c r="H465" i="2" s="1"/>
  <c r="I468" i="2"/>
  <c r="G479" i="2"/>
  <c r="F481" i="2"/>
  <c r="I481" i="2" s="1"/>
  <c r="G489" i="2"/>
  <c r="F496" i="2"/>
  <c r="I496" i="2" s="1"/>
  <c r="K500" i="2"/>
  <c r="G500" i="2"/>
  <c r="K501" i="2"/>
  <c r="G504" i="2"/>
  <c r="K504" i="2"/>
  <c r="J509" i="2"/>
  <c r="H509" i="2" s="1"/>
  <c r="K524" i="2"/>
  <c r="I537" i="2"/>
  <c r="K556" i="2"/>
  <c r="K573" i="2"/>
  <c r="J502" i="2"/>
  <c r="H502" i="2" s="1"/>
  <c r="I502" i="2"/>
  <c r="G508" i="2"/>
  <c r="G512" i="2"/>
  <c r="G520" i="2"/>
  <c r="J526" i="2"/>
  <c r="H526" i="2" s="1"/>
  <c r="I526" i="2"/>
  <c r="G539" i="2"/>
  <c r="K539" i="2"/>
  <c r="G543" i="2"/>
  <c r="F543" i="2"/>
  <c r="K543" i="2" s="1"/>
  <c r="G552" i="2"/>
  <c r="I443" i="2"/>
  <c r="J444" i="2"/>
  <c r="H444" i="2" s="1"/>
  <c r="I451" i="2"/>
  <c r="J452" i="2"/>
  <c r="H452" i="2" s="1"/>
  <c r="I461" i="2"/>
  <c r="I464" i="2"/>
  <c r="G478" i="2"/>
  <c r="K478" i="2"/>
  <c r="I488" i="2"/>
  <c r="I500" i="2"/>
  <c r="I504" i="2"/>
  <c r="F508" i="2"/>
  <c r="J508" i="2" s="1"/>
  <c r="H508" i="2" s="1"/>
  <c r="J510" i="2"/>
  <c r="H510" i="2" s="1"/>
  <c r="I510" i="2"/>
  <c r="F512" i="2"/>
  <c r="K512" i="2" s="1"/>
  <c r="K516" i="2"/>
  <c r="G516" i="2"/>
  <c r="K517" i="2"/>
  <c r="F520" i="2"/>
  <c r="K520" i="2" s="1"/>
  <c r="I524" i="2"/>
  <c r="I529" i="2"/>
  <c r="K548" i="2"/>
  <c r="F552" i="2"/>
  <c r="K552" i="2" s="1"/>
  <c r="I556" i="2"/>
  <c r="I561" i="2"/>
  <c r="G567" i="2"/>
  <c r="F567" i="2"/>
  <c r="I567" i="2" s="1"/>
  <c r="G490" i="2"/>
  <c r="J518" i="2"/>
  <c r="H518" i="2" s="1"/>
  <c r="I518" i="2"/>
  <c r="G531" i="2"/>
  <c r="F531" i="2"/>
  <c r="K531" i="2" s="1"/>
  <c r="G535" i="2"/>
  <c r="F535" i="2"/>
  <c r="I535" i="2" s="1"/>
  <c r="K537" i="2"/>
  <c r="G544" i="2"/>
  <c r="G563" i="2"/>
  <c r="F563" i="2"/>
  <c r="K563" i="2" s="1"/>
  <c r="I472" i="2"/>
  <c r="K482" i="2"/>
  <c r="G482" i="2"/>
  <c r="F490" i="2"/>
  <c r="J490" i="2" s="1"/>
  <c r="H490" i="2" s="1"/>
  <c r="G495" i="2"/>
  <c r="F495" i="2"/>
  <c r="I495" i="2" s="1"/>
  <c r="K502" i="2"/>
  <c r="I505" i="2"/>
  <c r="I516" i="2"/>
  <c r="I521" i="2"/>
  <c r="K526" i="2"/>
  <c r="K540" i="2"/>
  <c r="F544" i="2"/>
  <c r="I544" i="2" s="1"/>
  <c r="I548" i="2"/>
  <c r="K558" i="2"/>
  <c r="G568" i="2"/>
  <c r="G575" i="2"/>
  <c r="F575" i="2"/>
  <c r="K575" i="2" s="1"/>
  <c r="G466" i="2"/>
  <c r="G474" i="2"/>
  <c r="G485" i="2"/>
  <c r="F485" i="2"/>
  <c r="I485" i="2" s="1"/>
  <c r="I487" i="2"/>
  <c r="G499" i="2"/>
  <c r="F499" i="2"/>
  <c r="I499" i="2" s="1"/>
  <c r="F503" i="2"/>
  <c r="I503" i="2" s="1"/>
  <c r="I513" i="2"/>
  <c r="G523" i="2"/>
  <c r="F523" i="2"/>
  <c r="I523" i="2" s="1"/>
  <c r="G527" i="2"/>
  <c r="F527" i="2"/>
  <c r="I527" i="2" s="1"/>
  <c r="K529" i="2"/>
  <c r="I536" i="2"/>
  <c r="G536" i="2"/>
  <c r="K536" i="2"/>
  <c r="J542" i="2"/>
  <c r="H542" i="2" s="1"/>
  <c r="I542" i="2"/>
  <c r="G555" i="2"/>
  <c r="F555" i="2"/>
  <c r="I555" i="2" s="1"/>
  <c r="G559" i="2"/>
  <c r="F559" i="2"/>
  <c r="I559" i="2" s="1"/>
  <c r="F568" i="2"/>
  <c r="J568" i="2" s="1"/>
  <c r="H568" i="2" s="1"/>
  <c r="F462" i="2"/>
  <c r="I462" i="2" s="1"/>
  <c r="F466" i="2"/>
  <c r="J466" i="2" s="1"/>
  <c r="H466" i="2" s="1"/>
  <c r="F469" i="2"/>
  <c r="I469" i="2" s="1"/>
  <c r="F474" i="2"/>
  <c r="J474" i="2" s="1"/>
  <c r="H474" i="2" s="1"/>
  <c r="F477" i="2"/>
  <c r="K477" i="2" s="1"/>
  <c r="I479" i="2"/>
  <c r="K488" i="2"/>
  <c r="G507" i="2"/>
  <c r="F507" i="2"/>
  <c r="I507" i="2" s="1"/>
  <c r="G511" i="2"/>
  <c r="F511" i="2"/>
  <c r="I511" i="2" s="1"/>
  <c r="K518" i="2"/>
  <c r="K532" i="2"/>
  <c r="I545" i="2"/>
  <c r="K550" i="2"/>
  <c r="K564" i="2"/>
  <c r="G571" i="2"/>
  <c r="F571" i="2"/>
  <c r="K571" i="2" s="1"/>
  <c r="G576" i="2"/>
  <c r="F489" i="2"/>
  <c r="I489" i="2" s="1"/>
  <c r="G515" i="2"/>
  <c r="F515" i="2"/>
  <c r="I515" i="2" s="1"/>
  <c r="G519" i="2"/>
  <c r="I519" i="2"/>
  <c r="I528" i="2"/>
  <c r="G528" i="2"/>
  <c r="K528" i="2"/>
  <c r="J534" i="2"/>
  <c r="H534" i="2" s="1"/>
  <c r="I534" i="2"/>
  <c r="G547" i="2"/>
  <c r="F547" i="2"/>
  <c r="I547" i="2" s="1"/>
  <c r="G551" i="2"/>
  <c r="I551" i="2"/>
  <c r="I560" i="2"/>
  <c r="G560" i="2"/>
  <c r="K560" i="2"/>
  <c r="J576" i="2"/>
  <c r="H576" i="2" s="1"/>
  <c r="G524" i="2"/>
  <c r="G532" i="2"/>
  <c r="G540" i="2"/>
  <c r="G548" i="2"/>
  <c r="I550" i="2"/>
  <c r="I558" i="2"/>
  <c r="G564" i="2"/>
  <c r="G572" i="2"/>
  <c r="F570" i="2"/>
  <c r="K570" i="2" s="1"/>
  <c r="F578" i="2"/>
  <c r="I578" i="2" s="1"/>
  <c r="I498" i="2"/>
  <c r="I506" i="2"/>
  <c r="I514" i="2"/>
  <c r="I522" i="2"/>
  <c r="I530" i="2"/>
  <c r="I538" i="2"/>
  <c r="I546" i="2"/>
  <c r="F566" i="2"/>
  <c r="K566" i="2" s="1"/>
  <c r="I569" i="2"/>
  <c r="K574" i="2"/>
  <c r="I577" i="2"/>
  <c r="H69" i="2" l="1"/>
  <c r="K46" i="2"/>
  <c r="H143" i="2"/>
  <c r="H569" i="2"/>
  <c r="H467" i="2"/>
  <c r="H439" i="2"/>
  <c r="H279" i="2"/>
  <c r="K199" i="2"/>
  <c r="H171" i="2"/>
  <c r="H105" i="2"/>
  <c r="K384" i="2"/>
  <c r="K372" i="2"/>
  <c r="K309" i="2"/>
  <c r="H309" i="2"/>
  <c r="H288" i="2"/>
  <c r="H223" i="2"/>
  <c r="H95" i="2"/>
  <c r="H35" i="2"/>
  <c r="J41" i="2"/>
  <c r="H41" i="2" s="1"/>
  <c r="I41" i="2"/>
  <c r="J57" i="2"/>
  <c r="H57" i="2" s="1"/>
  <c r="I25" i="2"/>
  <c r="G323" i="2"/>
  <c r="G66" i="2"/>
  <c r="H407" i="2"/>
  <c r="H402" i="2"/>
  <c r="H396" i="2"/>
  <c r="H355" i="2"/>
  <c r="K255" i="2"/>
  <c r="H255" i="2"/>
  <c r="I208" i="2"/>
  <c r="I140" i="2"/>
  <c r="J208" i="2"/>
  <c r="H208" i="2" s="1"/>
  <c r="K108" i="2"/>
  <c r="K133" i="2"/>
  <c r="J236" i="2"/>
  <c r="H236" i="2" s="1"/>
  <c r="I248" i="2"/>
  <c r="J158" i="2"/>
  <c r="K168" i="2" s="1"/>
  <c r="I121" i="2"/>
  <c r="K187" i="2"/>
  <c r="I108" i="2"/>
  <c r="J99" i="2"/>
  <c r="H99" i="2" s="1"/>
  <c r="J75" i="2"/>
  <c r="H75" i="2" s="1"/>
  <c r="I75" i="2"/>
  <c r="I144" i="2"/>
  <c r="J225" i="2"/>
  <c r="H225" i="2" s="1"/>
  <c r="K171" i="2"/>
  <c r="K511" i="2"/>
  <c r="J406" i="2"/>
  <c r="H406" i="2" s="1"/>
  <c r="J112" i="2"/>
  <c r="H112" i="2" s="1"/>
  <c r="K527" i="2"/>
  <c r="I520" i="2"/>
  <c r="K463" i="2"/>
  <c r="I256" i="2"/>
  <c r="K248" i="2"/>
  <c r="I187" i="2"/>
  <c r="H19" i="2"/>
  <c r="J194" i="2"/>
  <c r="H194" i="2" s="1"/>
  <c r="K364" i="2"/>
  <c r="I112" i="2"/>
  <c r="K495" i="2"/>
  <c r="J463" i="2"/>
  <c r="H463" i="2" s="1"/>
  <c r="J430" i="2"/>
  <c r="H430" i="2" s="1"/>
  <c r="J241" i="2"/>
  <c r="H241" i="2" s="1"/>
  <c r="J169" i="2"/>
  <c r="H169" i="2" s="1"/>
  <c r="H11" i="2"/>
  <c r="J375" i="2"/>
  <c r="H375" i="2" s="1"/>
  <c r="J308" i="2"/>
  <c r="H308" i="2" s="1"/>
  <c r="I267" i="2"/>
  <c r="J511" i="2"/>
  <c r="H511" i="2" s="1"/>
  <c r="J559" i="2"/>
  <c r="H559" i="2" s="1"/>
  <c r="I508" i="2"/>
  <c r="K508" i="2"/>
  <c r="J481" i="2"/>
  <c r="H481" i="2" s="1"/>
  <c r="I430" i="2"/>
  <c r="K267" i="2"/>
  <c r="I308" i="2"/>
  <c r="K181" i="2"/>
  <c r="K359" i="2"/>
  <c r="I364" i="2"/>
  <c r="J25" i="2"/>
  <c r="H25" i="2" s="1"/>
  <c r="I57" i="2"/>
  <c r="K194" i="2"/>
  <c r="I162" i="2"/>
  <c r="I359" i="2"/>
  <c r="K228" i="2"/>
  <c r="K162" i="2"/>
  <c r="J131" i="2"/>
  <c r="H131" i="2" s="1"/>
  <c r="I91" i="2"/>
  <c r="K473" i="2"/>
  <c r="J157" i="2"/>
  <c r="H157" i="2" s="1"/>
  <c r="K547" i="2"/>
  <c r="K568" i="2"/>
  <c r="I420" i="2"/>
  <c r="I285" i="2"/>
  <c r="J91" i="2"/>
  <c r="H91" i="2" s="1"/>
  <c r="I133" i="2"/>
  <c r="K241" i="2"/>
  <c r="K559" i="2"/>
  <c r="J485" i="2"/>
  <c r="H485" i="2" s="1"/>
  <c r="K567" i="2"/>
  <c r="K377" i="2"/>
  <c r="I215" i="2"/>
  <c r="J551" i="2"/>
  <c r="H551" i="2" s="1"/>
  <c r="K496" i="2"/>
  <c r="I531" i="2"/>
  <c r="J539" i="2"/>
  <c r="H539" i="2" s="1"/>
  <c r="K481" i="2"/>
  <c r="J420" i="2"/>
  <c r="H420" i="2" s="1"/>
  <c r="J220" i="2"/>
  <c r="H220" i="2" s="1"/>
  <c r="J176" i="2"/>
  <c r="H176" i="2" s="1"/>
  <c r="J67" i="2"/>
  <c r="H67" i="2" s="1"/>
  <c r="J520" i="2"/>
  <c r="H520" i="2" s="1"/>
  <c r="J417" i="2"/>
  <c r="K503" i="2" s="1"/>
  <c r="J256" i="2"/>
  <c r="H256" i="2" s="1"/>
  <c r="I244" i="2"/>
  <c r="K339" i="2"/>
  <c r="I176" i="2"/>
  <c r="I171" i="2"/>
  <c r="J274" i="2"/>
  <c r="H274" i="2" s="1"/>
  <c r="I207" i="2"/>
  <c r="K303" i="2"/>
  <c r="H10" i="2"/>
  <c r="I575" i="2"/>
  <c r="I477" i="2"/>
  <c r="J215" i="2"/>
  <c r="H215" i="2" s="1"/>
  <c r="I417" i="2"/>
  <c r="I67" i="2"/>
  <c r="I113" i="2"/>
  <c r="I169" i="2"/>
  <c r="K435" i="2"/>
  <c r="J519" i="2"/>
  <c r="H519" i="2" s="1"/>
  <c r="K576" i="2"/>
  <c r="K466" i="2"/>
  <c r="I539" i="2"/>
  <c r="J543" i="2"/>
  <c r="H543" i="2" s="1"/>
  <c r="J321" i="2"/>
  <c r="J230" i="2"/>
  <c r="H230" i="2" s="1"/>
  <c r="K285" i="2"/>
  <c r="J122" i="2"/>
  <c r="H122" i="2" s="1"/>
  <c r="I99" i="2"/>
  <c r="H3" i="2"/>
  <c r="I570" i="2"/>
  <c r="K551" i="2"/>
  <c r="I576" i="2"/>
  <c r="J507" i="2"/>
  <c r="H507" i="2" s="1"/>
  <c r="I568" i="2"/>
  <c r="J535" i="2"/>
  <c r="H535" i="2" s="1"/>
  <c r="K448" i="2"/>
  <c r="I470" i="2"/>
  <c r="K390" i="2"/>
  <c r="I361" i="2"/>
  <c r="K210" i="2"/>
  <c r="I282" i="2"/>
  <c r="I225" i="2"/>
  <c r="J295" i="2"/>
  <c r="I251" i="2"/>
  <c r="I236" i="2"/>
  <c r="I220" i="2"/>
  <c r="K173" i="2"/>
  <c r="K290" i="2"/>
  <c r="I311" i="2"/>
  <c r="I116" i="2"/>
  <c r="J117" i="2"/>
  <c r="H117" i="2" s="1"/>
  <c r="I49" i="2"/>
  <c r="I33" i="2"/>
  <c r="I203" i="2"/>
  <c r="I325" i="2"/>
  <c r="J259" i="2"/>
  <c r="H259" i="2" s="1"/>
  <c r="J163" i="2"/>
  <c r="H163" i="2" s="1"/>
  <c r="J330" i="2"/>
  <c r="H330" i="2" s="1"/>
  <c r="K325" i="2"/>
  <c r="K259" i="2"/>
  <c r="I163" i="2"/>
  <c r="K204" i="2"/>
  <c r="I552" i="2"/>
  <c r="K295" i="2"/>
  <c r="K470" i="2"/>
  <c r="I367" i="2"/>
  <c r="J147" i="2"/>
  <c r="H147" i="2" s="1"/>
  <c r="J49" i="2"/>
  <c r="I117" i="2"/>
  <c r="K311" i="2"/>
  <c r="J499" i="2"/>
  <c r="H499" i="2" s="1"/>
  <c r="K490" i="2"/>
  <c r="I448" i="2"/>
  <c r="I571" i="2"/>
  <c r="J435" i="2"/>
  <c r="H435" i="2" s="1"/>
  <c r="I252" i="2"/>
  <c r="I204" i="2"/>
  <c r="I277" i="2"/>
  <c r="I173" i="2"/>
  <c r="I290" i="2"/>
  <c r="I170" i="2"/>
  <c r="I148" i="2"/>
  <c r="K153" i="2"/>
  <c r="J188" i="2"/>
  <c r="H188" i="2" s="1"/>
  <c r="J515" i="2"/>
  <c r="H515" i="2" s="1"/>
  <c r="J571" i="2"/>
  <c r="H571" i="2" s="1"/>
  <c r="J523" i="2"/>
  <c r="H523" i="2" s="1"/>
  <c r="I563" i="2"/>
  <c r="K499" i="2"/>
  <c r="J552" i="2"/>
  <c r="H552" i="2" s="1"/>
  <c r="K485" i="2"/>
  <c r="I334" i="2"/>
  <c r="K202" i="2"/>
  <c r="K221" i="2"/>
  <c r="J277" i="2"/>
  <c r="H277" i="2" s="1"/>
  <c r="J228" i="2"/>
  <c r="K360" i="2" s="1"/>
  <c r="I166" i="2"/>
  <c r="J148" i="2"/>
  <c r="H148" i="2" s="1"/>
  <c r="J33" i="2"/>
  <c r="H33" i="2" s="1"/>
  <c r="I7" i="2"/>
  <c r="J113" i="2"/>
  <c r="H113" i="2" s="1"/>
  <c r="I316" i="2"/>
  <c r="K349" i="2"/>
  <c r="K188" i="2"/>
  <c r="I490" i="2"/>
  <c r="K361" i="2"/>
  <c r="J555" i="2"/>
  <c r="H555" i="2" s="1"/>
  <c r="J547" i="2"/>
  <c r="H547" i="2" s="1"/>
  <c r="J544" i="2"/>
  <c r="H544" i="2" s="1"/>
  <c r="J527" i="2"/>
  <c r="H527" i="2" s="1"/>
  <c r="J503" i="2"/>
  <c r="J531" i="2"/>
  <c r="H531" i="2" s="1"/>
  <c r="J462" i="2"/>
  <c r="H462" i="2" s="1"/>
  <c r="J496" i="2"/>
  <c r="K553" i="2" s="1"/>
  <c r="J415" i="2"/>
  <c r="H415" i="2" s="1"/>
  <c r="J334" i="2"/>
  <c r="H334" i="2" s="1"/>
  <c r="K244" i="2"/>
  <c r="I303" i="2"/>
  <c r="K207" i="2"/>
  <c r="I300" i="2"/>
  <c r="I230" i="2"/>
  <c r="I122" i="2"/>
  <c r="J349" i="2"/>
  <c r="H349" i="2" s="1"/>
  <c r="K392" i="2"/>
  <c r="I392" i="2"/>
  <c r="I147" i="2"/>
  <c r="K125" i="2"/>
  <c r="J125" i="2"/>
  <c r="H125" i="2" s="1"/>
  <c r="K65" i="2"/>
  <c r="J65" i="2"/>
  <c r="H65" i="2" s="1"/>
  <c r="I65" i="2"/>
  <c r="J578" i="2"/>
  <c r="H578" i="2" s="1"/>
  <c r="J574" i="2"/>
  <c r="H574" i="2" s="1"/>
  <c r="K519" i="2"/>
  <c r="K507" i="2"/>
  <c r="J469" i="2"/>
  <c r="H469" i="2" s="1"/>
  <c r="K555" i="2"/>
  <c r="K523" i="2"/>
  <c r="J567" i="2"/>
  <c r="H567" i="2" s="1"/>
  <c r="I543" i="2"/>
  <c r="J486" i="2"/>
  <c r="H486" i="2" s="1"/>
  <c r="J458" i="2"/>
  <c r="H458" i="2" s="1"/>
  <c r="J446" i="2"/>
  <c r="H446" i="2" s="1"/>
  <c r="J392" i="2"/>
  <c r="K472" i="2" s="1"/>
  <c r="K415" i="2"/>
  <c r="J346" i="2"/>
  <c r="H346" i="2" s="1"/>
  <c r="K346" i="2"/>
  <c r="K383" i="2"/>
  <c r="I321" i="2"/>
  <c r="I202" i="2"/>
  <c r="K300" i="2"/>
  <c r="J251" i="2"/>
  <c r="H251" i="2" s="1"/>
  <c r="I210" i="2"/>
  <c r="I456" i="2"/>
  <c r="K406" i="2"/>
  <c r="K274" i="2"/>
  <c r="K144" i="2"/>
  <c r="K120" i="2"/>
  <c r="I120" i="2"/>
  <c r="J120" i="2"/>
  <c r="H120" i="2" s="1"/>
  <c r="J83" i="2"/>
  <c r="H83" i="2" s="1"/>
  <c r="J15" i="2"/>
  <c r="H15" i="2" s="1"/>
  <c r="J170" i="2"/>
  <c r="H170" i="2" s="1"/>
  <c r="K39" i="2"/>
  <c r="J39" i="2"/>
  <c r="K140" i="2" s="1"/>
  <c r="K116" i="2"/>
  <c r="J203" i="2"/>
  <c r="H203" i="2" s="1"/>
  <c r="I268" i="2"/>
  <c r="K15" i="2"/>
  <c r="I39" i="2"/>
  <c r="I31" i="2"/>
  <c r="K347" i="2"/>
  <c r="J347" i="2"/>
  <c r="I347" i="2"/>
  <c r="J563" i="2"/>
  <c r="H563" i="2" s="1"/>
  <c r="K486" i="2"/>
  <c r="K458" i="2"/>
  <c r="I474" i="2"/>
  <c r="J368" i="2"/>
  <c r="H368" i="2" s="1"/>
  <c r="J372" i="2"/>
  <c r="I372" i="2"/>
  <c r="I350" i="2"/>
  <c r="J238" i="2"/>
  <c r="H238" i="2" s="1"/>
  <c r="I238" i="2"/>
  <c r="J456" i="2"/>
  <c r="H456" i="2" s="1"/>
  <c r="I107" i="2"/>
  <c r="K81" i="2"/>
  <c r="J81" i="2"/>
  <c r="K407" i="2" s="1"/>
  <c r="K13" i="2"/>
  <c r="J13" i="2"/>
  <c r="J140" i="2"/>
  <c r="K223" i="2" s="1"/>
  <c r="K83" i="2"/>
  <c r="K462" i="2"/>
  <c r="J512" i="2"/>
  <c r="H512" i="2" s="1"/>
  <c r="K535" i="2"/>
  <c r="J438" i="2"/>
  <c r="H438" i="2" s="1"/>
  <c r="K426" i="2"/>
  <c r="I426" i="2"/>
  <c r="K416" i="2"/>
  <c r="I416" i="2"/>
  <c r="J380" i="2"/>
  <c r="H380" i="2" s="1"/>
  <c r="I380" i="2"/>
  <c r="J471" i="2"/>
  <c r="H471" i="2" s="1"/>
  <c r="J450" i="2"/>
  <c r="H450" i="2" s="1"/>
  <c r="I473" i="2"/>
  <c r="K368" i="2"/>
  <c r="J168" i="2"/>
  <c r="I189" i="2"/>
  <c r="J350" i="2"/>
  <c r="H350" i="2" s="1"/>
  <c r="I115" i="2"/>
  <c r="K115" i="2"/>
  <c r="J4" i="2"/>
  <c r="H4" i="2" s="1"/>
  <c r="I4" i="2"/>
  <c r="J166" i="2"/>
  <c r="H166" i="2" s="1"/>
  <c r="J106" i="2"/>
  <c r="H106" i="2" s="1"/>
  <c r="I106" i="2"/>
  <c r="J88" i="2"/>
  <c r="H88" i="2" s="1"/>
  <c r="I88" i="2"/>
  <c r="J72" i="2"/>
  <c r="H72" i="2" s="1"/>
  <c r="I72" i="2"/>
  <c r="J54" i="2"/>
  <c r="H54" i="2" s="1"/>
  <c r="I54" i="2"/>
  <c r="I38" i="2"/>
  <c r="J38" i="2"/>
  <c r="H38" i="2" s="1"/>
  <c r="K55" i="2"/>
  <c r="J55" i="2"/>
  <c r="H55" i="2" s="1"/>
  <c r="J153" i="2"/>
  <c r="I138" i="2"/>
  <c r="J107" i="2"/>
  <c r="H107" i="2" s="1"/>
  <c r="J268" i="2"/>
  <c r="H268" i="2" s="1"/>
  <c r="I125" i="2"/>
  <c r="J570" i="2"/>
  <c r="H570" i="2" s="1"/>
  <c r="J489" i="2"/>
  <c r="H489" i="2" s="1"/>
  <c r="J575" i="2"/>
  <c r="H575" i="2" s="1"/>
  <c r="I446" i="2"/>
  <c r="J412" i="2"/>
  <c r="I412" i="2"/>
  <c r="I471" i="2"/>
  <c r="K450" i="2"/>
  <c r="K438" i="2"/>
  <c r="I233" i="2"/>
  <c r="I343" i="2"/>
  <c r="J252" i="2"/>
  <c r="J242" i="2"/>
  <c r="H242" i="2" s="1"/>
  <c r="J177" i="2"/>
  <c r="H177" i="2" s="1"/>
  <c r="K138" i="2"/>
  <c r="I157" i="2"/>
  <c r="K97" i="2"/>
  <c r="J97" i="2"/>
  <c r="H97" i="2" s="1"/>
  <c r="J316" i="2"/>
  <c r="H316" i="2" s="1"/>
  <c r="K88" i="2"/>
  <c r="J121" i="2"/>
  <c r="H121" i="2" s="1"/>
  <c r="J566" i="2"/>
  <c r="I574" i="2"/>
  <c r="K489" i="2"/>
  <c r="J477" i="2"/>
  <c r="K561" i="2" s="1"/>
  <c r="K578" i="2"/>
  <c r="K544" i="2"/>
  <c r="I512" i="2"/>
  <c r="I442" i="2"/>
  <c r="K408" i="2"/>
  <c r="I408" i="2"/>
  <c r="J408" i="2"/>
  <c r="J442" i="2"/>
  <c r="H442" i="2" s="1"/>
  <c r="I466" i="2"/>
  <c r="J390" i="2"/>
  <c r="H390" i="2" s="1"/>
  <c r="I356" i="2"/>
  <c r="J356" i="2"/>
  <c r="H356" i="2" s="1"/>
  <c r="K233" i="2"/>
  <c r="K184" i="2"/>
  <c r="J184" i="2"/>
  <c r="H184" i="2" s="1"/>
  <c r="J343" i="2"/>
  <c r="H343" i="2" s="1"/>
  <c r="I242" i="2"/>
  <c r="K282" i="2"/>
  <c r="K330" i="2"/>
  <c r="J154" i="2"/>
  <c r="H154" i="2" s="1"/>
  <c r="K73" i="2"/>
  <c r="J73" i="2"/>
  <c r="K369" i="2" s="1"/>
  <c r="K5" i="2"/>
  <c r="J5" i="2"/>
  <c r="H5" i="2" s="1"/>
  <c r="I131" i="2"/>
  <c r="J181" i="2"/>
  <c r="H181" i="2" s="1"/>
  <c r="I158" i="2"/>
  <c r="I13" i="2"/>
  <c r="I97" i="2"/>
  <c r="I73" i="2"/>
  <c r="J199" i="2"/>
  <c r="I199" i="2"/>
  <c r="J351" i="2"/>
  <c r="H351" i="2" s="1"/>
  <c r="J264" i="2"/>
  <c r="H264" i="2" s="1"/>
  <c r="I264" i="2"/>
  <c r="I149" i="2"/>
  <c r="J149" i="2"/>
  <c r="H149" i="2" s="1"/>
  <c r="K47" i="2"/>
  <c r="J47" i="2"/>
  <c r="H47" i="2" s="1"/>
  <c r="I177" i="2"/>
  <c r="K72" i="2"/>
  <c r="K4" i="2"/>
  <c r="I55" i="2"/>
  <c r="K154" i="2"/>
  <c r="K474" i="2"/>
  <c r="K454" i="2"/>
  <c r="I454" i="2"/>
  <c r="I566" i="2"/>
  <c r="I403" i="2"/>
  <c r="J403" i="2"/>
  <c r="H403" i="2" s="1"/>
  <c r="K515" i="2"/>
  <c r="J495" i="2"/>
  <c r="H495" i="2" s="1"/>
  <c r="K465" i="2"/>
  <c r="I465" i="2"/>
  <c r="K469" i="2"/>
  <c r="K436" i="2"/>
  <c r="I436" i="2"/>
  <c r="I434" i="2"/>
  <c r="K434" i="2"/>
  <c r="K397" i="2"/>
  <c r="J397" i="2"/>
  <c r="H397" i="2" s="1"/>
  <c r="I397" i="2"/>
  <c r="J416" i="2"/>
  <c r="H416" i="2" s="1"/>
  <c r="J454" i="2"/>
  <c r="H454" i="2" s="1"/>
  <c r="K380" i="2"/>
  <c r="I375" i="2"/>
  <c r="I373" i="2"/>
  <c r="J373" i="2"/>
  <c r="H373" i="2" s="1"/>
  <c r="J377" i="2"/>
  <c r="H377" i="2" s="1"/>
  <c r="K351" i="2"/>
  <c r="K357" i="2"/>
  <c r="J357" i="2"/>
  <c r="H357" i="2" s="1"/>
  <c r="I357" i="2"/>
  <c r="J383" i="2"/>
  <c r="H383" i="2" s="1"/>
  <c r="J367" i="2"/>
  <c r="H367" i="2" s="1"/>
  <c r="J221" i="2"/>
  <c r="H221" i="2" s="1"/>
  <c r="J339" i="2"/>
  <c r="H339" i="2" s="1"/>
  <c r="J191" i="2"/>
  <c r="H191" i="2" s="1"/>
  <c r="I191" i="2"/>
  <c r="K149" i="2"/>
  <c r="J124" i="2"/>
  <c r="H124" i="2" s="1"/>
  <c r="I124" i="2"/>
  <c r="J12" i="2"/>
  <c r="H12" i="2" s="1"/>
  <c r="I12" i="2"/>
  <c r="J115" i="2"/>
  <c r="H115" i="2" s="1"/>
  <c r="J96" i="2"/>
  <c r="H96" i="2" s="1"/>
  <c r="I96" i="2"/>
  <c r="J80" i="2"/>
  <c r="H80" i="2" s="1"/>
  <c r="I80" i="2"/>
  <c r="J64" i="2"/>
  <c r="H64" i="2" s="1"/>
  <c r="I64" i="2"/>
  <c r="J46" i="2"/>
  <c r="K412" i="2" s="1"/>
  <c r="I46" i="2"/>
  <c r="J30" i="2"/>
  <c r="H30" i="2" s="1"/>
  <c r="I30" i="2"/>
  <c r="K89" i="2"/>
  <c r="J89" i="2"/>
  <c r="H89" i="2" s="1"/>
  <c r="K23" i="2"/>
  <c r="J23" i="2"/>
  <c r="H23" i="2" s="1"/>
  <c r="J189" i="2"/>
  <c r="H189" i="2" s="1"/>
  <c r="K96" i="2"/>
  <c r="K30" i="2"/>
  <c r="J31" i="2"/>
  <c r="H31" i="2" s="1"/>
  <c r="I81" i="2"/>
  <c r="H13" i="2" l="1"/>
  <c r="K32" i="2"/>
  <c r="H566" i="2"/>
  <c r="H503" i="2"/>
  <c r="H496" i="2"/>
  <c r="H477" i="2"/>
  <c r="H408" i="2"/>
  <c r="G408" i="2"/>
  <c r="H412" i="2"/>
  <c r="H347" i="2"/>
  <c r="H252" i="2"/>
  <c r="H199" i="2"/>
  <c r="K205" i="2"/>
  <c r="H168" i="2"/>
  <c r="H153" i="2"/>
  <c r="K288" i="2"/>
  <c r="H417" i="2"/>
  <c r="H392" i="2"/>
  <c r="H372" i="2"/>
  <c r="H321" i="2"/>
  <c r="H228" i="2"/>
  <c r="H158" i="2"/>
  <c r="K158" i="2"/>
  <c r="H140" i="2"/>
  <c r="H49" i="2"/>
  <c r="H39" i="2"/>
  <c r="H81" i="2"/>
</calcChain>
</file>

<file path=xl/sharedStrings.xml><?xml version="1.0" encoding="utf-8"?>
<sst xmlns="http://schemas.openxmlformats.org/spreadsheetml/2006/main" count="1294" uniqueCount="479">
  <si>
    <t>ID</t>
  </si>
  <si>
    <t>PRED_ID</t>
  </si>
  <si>
    <t>MARKER_AUTO</t>
  </si>
  <si>
    <t>PREDICATE</t>
  </si>
  <si>
    <t>TEXT</t>
  </si>
  <si>
    <t>SENTENCE</t>
  </si>
  <si>
    <t>MARKER</t>
  </si>
  <si>
    <t>TARGET</t>
  </si>
  <si>
    <t>RELATION</t>
  </si>
  <si>
    <t>COMMENT</t>
  </si>
  <si>
    <t>1</t>
  </si>
  <si>
    <t>5</t>
  </si>
  <si>
    <t>Nachdem?</t>
  </si>
  <si>
    <t>organisieren</t>
  </si>
  <si>
    <t>Assistenzärzte möchten weitere Streiks organisieren , nachdem sie Jeremy Hunts Vorschlag abgelehnt haben</t>
  </si>
  <si>
    <t>file://conllu/de/dailymail.co.uk.170661.conllu#s1_0</t>
  </si>
  <si>
    <t>_</t>
  </si>
  <si>
    <t>2</t>
  </si>
  <si>
    <t>4</t>
  </si>
  <si>
    <t>hoffen</t>
  </si>
  <si>
    <t>Die Minister hatten gehofft , den Streit über die Änderungen durch Annahme eines reformierten Vertrages mit den Funktionären der British Medical Association beenden zu können , aber 58 Prozent der 37.000 Assistenzärzte , die bei einer Wahl abstimmten , lehnten ihn ab .</t>
  </si>
  <si>
    <t>file://conllu/de/dailymail.co.uk.170661.conllu#s2_0</t>
  </si>
  <si>
    <t>8</t>
  </si>
  <si>
    <t>erhalten</t>
  </si>
  <si>
    <t>Die ersten Assistenzärzte sollen einen neuen Vertrag erhalten , der Änderungen zu Nacht und Wochenendarbeiten enthält , um die Pflege zu ungastlichen Uhrzeiten zu verbessern .</t>
  </si>
  <si>
    <t>file://conllu/de/dailymail.co.uk.170661.conllu#s4_0</t>
  </si>
  <si>
    <t>22</t>
  </si>
  <si>
    <t>haben</t>
  </si>
  <si>
    <t>Dr Ellen McCourt , die Vorsitzende des BMA Kommittees für Assistenzärzte teilte letzte Nacht in einer Mitteilung mit : &amp;quot; Assistenzärzte haben zu dem vorgeschlagenen Vertrag nach wie vor ernsthafte Bedenken , insbesondere , dass es die derzeitige Belegschaftskrise anheizen und es verabsäumen wird , alle Ärzte gerecht zu behandeln . &amp;quot;</t>
  </si>
  <si>
    <t>file://conllu/de/dailymail.co.uk.170661.conllu#s5_0</t>
  </si>
  <si>
    <t>6</t>
  </si>
  <si>
    <t>29</t>
  </si>
  <si>
    <t>laufen</t>
  </si>
  <si>
    <t>Bei nur acht Wochen , die noch verbleiben , bis die erste Gruppe von Ärzten unter den neuen Vertrag fallen , müssen Fortschritte gemacht werden und die Zeit läuft aus .</t>
  </si>
  <si>
    <t>file://conllu/de/dailymail.co.uk.170661.conllu#s6_0</t>
  </si>
  <si>
    <t>7</t>
  </si>
  <si>
    <t>12</t>
  </si>
  <si>
    <t>stoßen</t>
  </si>
  <si>
    <t>Bemühungen seitens des BMA zur zu der Lösung der Streitigkeiten durch Gespräche stießen bei der Regierung auf Widerwillen sich zu beteiligen und manchmal auf ohrenbetäubendes Schweigen .</t>
  </si>
  <si>
    <t>file://conllu/de/dailymail.co.uk.170661.conllu#s7_0</t>
  </si>
  <si>
    <t>geschehen</t>
  </si>
  <si>
    <t>Das geschah des eines Versprechens , das Jeremy Hunt erst letzten Monat darüber gemacht hatte , dass seine Tür immer offenstehen würde .</t>
  </si>
  <si>
    <t>file://conllu/de/dailymail.co.uk.170661.conllu#s8_0</t>
  </si>
  <si>
    <t>9</t>
  </si>
  <si>
    <t>handeln</t>
  </si>
  <si>
    <t>&amp;quot; Jeremy Hunt muss jetzt handeln , die Aufzwingung aufheben und die Sorgen der Assistenzärzte ansprechen &amp;quot; .</t>
  </si>
  <si>
    <t>file://conllu/de/dailymail.co.uk.170661.conllu#s9_0</t>
  </si>
  <si>
    <t>10</t>
  </si>
  <si>
    <t>13</t>
  </si>
  <si>
    <t>machen</t>
  </si>
  <si>
    <t>Sollte er dies nicht tun , so haben es die Assistenzärzte deutlich gemacht , dass sie bereit sind , weitere Arbeitskampfmaßnahmen durchzuführen .</t>
  </si>
  <si>
    <t>file://conllu/de/dailymail.co.uk.170661.conllu#s10_0</t>
  </si>
  <si>
    <t>11</t>
  </si>
  <si>
    <t>einbeziehen (einbeziehen sehen)</t>
  </si>
  <si>
    <t>Der letzte Streik Ende April sah einen Aufschub von beinahe 13.000 Routineoperationen und 100.000 Terminen vor , da Krankenschwestern und Fachärzte einbezogen wurden , um Ärzten auf der Streikpostenkette Deckung zu gewähren .</t>
  </si>
  <si>
    <t>file://conllu/de/dailymail.co.uk.170661.conllu#s11_0</t>
  </si>
  <si>
    <t>Die Minister hatten gehofft , den Streit über die Änderungen durch eine Annahme des reformierten Vertrages mit den Funktionären der British Medical Association beenden zu können .</t>
  </si>
  <si>
    <t>file://conllu/de/dailymail.co.uk.170661.conllu#s12_0</t>
  </si>
  <si>
    <t>Wochendentlohnung</t>
  </si>
  <si>
    <t>Die BMA möchte eine bessere Wochendentlohnung für die 54.000 Assistenzärzte , die dem Vertrag unterliegen werden .</t>
  </si>
  <si>
    <t>file://conllu/de/dailymail.co.uk.170661.conllu#s13_0</t>
  </si>
  <si>
    <t>14</t>
  </si>
  <si>
    <t>fordern</t>
  </si>
  <si>
    <t>Daniel Mortimer , Generaldirektor der NHS Mitarbeiter , forderte die Assistenzärzte dazu auf , den Streik zu beenden .</t>
  </si>
  <si>
    <t>file://conllu/de/dailymail.co.uk.170661.conllu#s14_0</t>
  </si>
  <si>
    <t>15</t>
  </si>
  <si>
    <t>sagen</t>
  </si>
  <si>
    <t>Mortimer sagte : &amp;quot; Arbeitskampfmaßnahmen erreichen nichts der nur wenig , belasten aber bereits überbelastete Teams und Dienstleister und bereiten den Patienten , Pflegern und ihren Familien nur Sorgen , Not und Unterbrechung . &amp;quot;</t>
  </si>
  <si>
    <t>file://conllu/de/dailymail.co.uk.170661.conllu#s15_0</t>
  </si>
  <si>
    <t>16</t>
  </si>
  <si>
    <t>31</t>
  </si>
  <si>
    <t>antworten (antworten sprechen)</t>
  </si>
  <si>
    <t>In den letzten zwei Monaten haben wir mir dem Kommittee der Assistenzärzte gesprochen und mit dem Gesundheitsministerium sowie anderen Ministerien positiv auf die Bedenken hinsichtlich der Vormundschaft und des Whistleblowings geantwortet .</t>
  </si>
  <si>
    <t>file://conllu/de/dailymail.co.uk.170661.conllu#s16_0</t>
  </si>
  <si>
    <t>17</t>
  </si>
  <si>
    <t>3</t>
  </si>
  <si>
    <t>Die Arbeitgeber hofften , dass das fortgeführte positive Engagement zu anderen wichtigen Themen wie Entsendung , Flexibilität bei Schulungen , zusätzliche Schulungen für diejenigen , die von einer beruflichen Auszeit zurückkehren , Schulungsksten , gegenseitige Anerkennung des Lehrplans , Fortbildungsurlaub und das geschlechtsspezifische Lohngefälle in der Medizin ein Zeichen dafür waren , wie ernst es die Arbeitgeber , das Health Education England und das Gesundheitsministerium bezüglich der Einhaltung der Vereinbarungen mit der BMA im in dem November , Februar und Mai waren .</t>
  </si>
  <si>
    <t>file://conllu/de/dailymail.co.uk.170661.conllu#s17_0</t>
  </si>
  <si>
    <t>WORD</t>
  </si>
  <si>
    <t>GR</t>
  </si>
  <si>
    <t>NP_TYPE</t>
  </si>
  <si>
    <t>REF_AUTO</t>
  </si>
  <si>
    <t>COREF</t>
  </si>
  <si>
    <t>REF</t>
  </si>
  <si>
    <t>IS</t>
  </si>
  <si>
    <t>CB</t>
  </si>
  <si>
    <t>GR_ANTE</t>
  </si>
  <si>
    <t>REF_DIST</t>
  </si>
  <si>
    <t>REF_DIST_ANTE</t>
  </si>
  <si>
    <t># text = Assistenzärzte möchten weitere Streiks organisieren, nachdem sie Jeremy Hunts Vorschlag abgelehnt haben</t>
  </si>
  <si>
    <t>Assistenzärzte</t>
  </si>
  <si>
    <t>SBJ</t>
  </si>
  <si>
    <t>indef-np.bare</t>
  </si>
  <si>
    <t>möchten</t>
  </si>
  <si>
    <t>weitere</t>
  </si>
  <si>
    <t>Streiks</t>
  </si>
  <si>
    <t>OBJ</t>
  </si>
  <si>
    <t>,</t>
  </si>
  <si>
    <t>nachdem</t>
  </si>
  <si>
    <t>sie</t>
  </si>
  <si>
    <t>SBJ_2</t>
  </si>
  <si>
    <t>pron</t>
  </si>
  <si>
    <t>?OLD</t>
  </si>
  <si>
    <t>Jeremy</t>
  </si>
  <si>
    <t>ne</t>
  </si>
  <si>
    <t>Hunts</t>
  </si>
  <si>
    <t>Vorschlag</t>
  </si>
  <si>
    <t>OBJ_2</t>
  </si>
  <si>
    <t>abgelehnt</t>
  </si>
  <si>
    <t># text = Die Minister hatten gehofft, den Streit über die Änderungen durch Annahme eines reformierten Vertrages mit den Funktionären der British Medical Association beenden zu können, aber 58 Prozent der 37.000 Assistenzärzte, die bei einer Wahl abstimmten, lehnten ihn ab.</t>
  </si>
  <si>
    <t>Die</t>
  </si>
  <si>
    <t>Minister</t>
  </si>
  <si>
    <t>def-np.the</t>
  </si>
  <si>
    <t>hatten</t>
  </si>
  <si>
    <t>gehofft</t>
  </si>
  <si>
    <t>den</t>
  </si>
  <si>
    <t>Streit</t>
  </si>
  <si>
    <t>über</t>
  </si>
  <si>
    <t>die</t>
  </si>
  <si>
    <t>Änderungen</t>
  </si>
  <si>
    <t>other_3</t>
  </si>
  <si>
    <t>durch</t>
  </si>
  <si>
    <t>Annahme</t>
  </si>
  <si>
    <t>other_4</t>
  </si>
  <si>
    <t>eines</t>
  </si>
  <si>
    <t>reformierten</t>
  </si>
  <si>
    <t>Vertrages</t>
  </si>
  <si>
    <t>other_5</t>
  </si>
  <si>
    <t>indef-np.a</t>
  </si>
  <si>
    <t>mit</t>
  </si>
  <si>
    <t>Funktionären</t>
  </si>
  <si>
    <t>def-np.poss</t>
  </si>
  <si>
    <t>der</t>
  </si>
  <si>
    <t>British</t>
  </si>
  <si>
    <t>Medical</t>
  </si>
  <si>
    <t>Association</t>
  </si>
  <si>
    <t>beenden</t>
  </si>
  <si>
    <t>zu</t>
  </si>
  <si>
    <t>können</t>
  </si>
  <si>
    <t>aber</t>
  </si>
  <si>
    <t>58</t>
  </si>
  <si>
    <t>Prozent</t>
  </si>
  <si>
    <t>indef-np.quant</t>
  </si>
  <si>
    <t>37.000</t>
  </si>
  <si>
    <t>SBJ_3</t>
  </si>
  <si>
    <t>def-np.quant</t>
  </si>
  <si>
    <t>SBJ_5</t>
  </si>
  <si>
    <t>bei</t>
  </si>
  <si>
    <t>einer</t>
  </si>
  <si>
    <t>Wahl</t>
  </si>
  <si>
    <t>abstimmten</t>
  </si>
  <si>
    <t>lehnten</t>
  </si>
  <si>
    <t>ihn</t>
  </si>
  <si>
    <t>pron.pper</t>
  </si>
  <si>
    <t>ab</t>
  </si>
  <si>
    <t>.</t>
  </si>
  <si>
    <t>--</t>
  </si>
  <si>
    <t># text = Im Juli hatte Hunt Pläne enthüllt, den Vertrag zwangsweise einzuführen und sagte, dass die NHS sich in einem \"Niemandsland\" befände und jede weitere Verzögerung für die Mitarbeiter und Patienten schädlich wäre.</t>
  </si>
  <si>
    <t>In</t>
  </si>
  <si>
    <t>dem</t>
  </si>
  <si>
    <t>Juli</t>
  </si>
  <si>
    <t>other</t>
  </si>
  <si>
    <t>hatte</t>
  </si>
  <si>
    <t>Hunt</t>
  </si>
  <si>
    <t>Pläne</t>
  </si>
  <si>
    <t>enthüllt</t>
  </si>
  <si>
    <t>Vertrag</t>
  </si>
  <si>
    <t>zwangsweise</t>
  </si>
  <si>
    <t>einzuführen</t>
  </si>
  <si>
    <t>und</t>
  </si>
  <si>
    <t>sagte</t>
  </si>
  <si>
    <t>dass</t>
  </si>
  <si>
    <t>NHS</t>
  </si>
  <si>
    <t>sich</t>
  </si>
  <si>
    <t>OBJ_3</t>
  </si>
  <si>
    <t>in</t>
  </si>
  <si>
    <t>einem</t>
  </si>
  <si>
    <t>&amp;quot;</t>
  </si>
  <si>
    <t>Niemandsland</t>
  </si>
  <si>
    <t>befände</t>
  </si>
  <si>
    <t>jede</t>
  </si>
  <si>
    <t>pron.pind</t>
  </si>
  <si>
    <t>Verzögerung</t>
  </si>
  <si>
    <t>SBJ_4</t>
  </si>
  <si>
    <t>für</t>
  </si>
  <si>
    <t>Mitarbeiter</t>
  </si>
  <si>
    <t>Patienten</t>
  </si>
  <si>
    <t>schädlich</t>
  </si>
  <si>
    <t>wäre</t>
  </si>
  <si>
    <t># text = Die ersten Assistenzärzte sollen einen neuen Vertrag erhalten, der Änderungen zu Nacht- und Wochenendarbeiten enthält, um die Pflege zu ungastlichen Uhrzeiten zu verbessern.</t>
  </si>
  <si>
    <t>ersten</t>
  </si>
  <si>
    <t>sollen</t>
  </si>
  <si>
    <t>einen</t>
  </si>
  <si>
    <t>neuen</t>
  </si>
  <si>
    <t>Nacht</t>
  </si>
  <si>
    <t>other_2</t>
  </si>
  <si>
    <t>Wochenendarbeiten</t>
  </si>
  <si>
    <t>enthält</t>
  </si>
  <si>
    <t>um</t>
  </si>
  <si>
    <t>Pflege</t>
  </si>
  <si>
    <t>ungastlichen</t>
  </si>
  <si>
    <t>Uhrzeiten</t>
  </si>
  <si>
    <t>verbessern</t>
  </si>
  <si>
    <t># text = Dr Ellen McCourt, die Vorsitzende des BMA Kommittees für Assistenzärzte teilte letzte Nacht in einer Mitteilung mit: \"Assistenzärzte haben zu dem vorgeschlagenen Vertrag nach wie vor ernsthafte Bedenken, insbesondere, dass es die derzeitige Belegschaftskrise anheizen und es verabsäumen wird, alle Ärzte gerecht zu behandeln.\"</t>
  </si>
  <si>
    <t>Dr</t>
  </si>
  <si>
    <t>Ellen</t>
  </si>
  <si>
    <t>McCourt</t>
  </si>
  <si>
    <t>Vorsitzende</t>
  </si>
  <si>
    <t>des</t>
  </si>
  <si>
    <t>BMA</t>
  </si>
  <si>
    <t>Kommittees</t>
  </si>
  <si>
    <t>teilte</t>
  </si>
  <si>
    <t>letzte</t>
  </si>
  <si>
    <t>Mitteilung</t>
  </si>
  <si>
    <t>:</t>
  </si>
  <si>
    <t>vorgeschlagenen</t>
  </si>
  <si>
    <t>nach</t>
  </si>
  <si>
    <t>wie</t>
  </si>
  <si>
    <t>vor</t>
  </si>
  <si>
    <t>ernsthafte</t>
  </si>
  <si>
    <t>Bedenken</t>
  </si>
  <si>
    <t>insbesondere</t>
  </si>
  <si>
    <t>es</t>
  </si>
  <si>
    <t>derzeitige</t>
  </si>
  <si>
    <t>Belegschaftskrise</t>
  </si>
  <si>
    <t>anheizen</t>
  </si>
  <si>
    <t>verabsäumen</t>
  </si>
  <si>
    <t>wird</t>
  </si>
  <si>
    <t>alle</t>
  </si>
  <si>
    <t>Ärzte</t>
  </si>
  <si>
    <t>gerecht</t>
  </si>
  <si>
    <t>behandeln</t>
  </si>
  <si>
    <t># text = Bei nur acht Wochen, die noch verbleiben, bis die erste Gruppe von Ärzten unter den neuen Vertrag fallen, müssen Fortschritte gemacht werden und die Zeit läuft aus.</t>
  </si>
  <si>
    <t>Bei</t>
  </si>
  <si>
    <t>nur</t>
  </si>
  <si>
    <t>acht</t>
  </si>
  <si>
    <t>Wochen</t>
  </si>
  <si>
    <t>noch</t>
  </si>
  <si>
    <t>verbleiben</t>
  </si>
  <si>
    <t>bis</t>
  </si>
  <si>
    <t>erste</t>
  </si>
  <si>
    <t>Gruppe</t>
  </si>
  <si>
    <t>von</t>
  </si>
  <si>
    <t>Ärzten</t>
  </si>
  <si>
    <t>other_6</t>
  </si>
  <si>
    <t>unter</t>
  </si>
  <si>
    <t>fallen</t>
  </si>
  <si>
    <t>müssen</t>
  </si>
  <si>
    <t>Fortschritte</t>
  </si>
  <si>
    <t>gemacht</t>
  </si>
  <si>
    <t>werden</t>
  </si>
  <si>
    <t>Zeit</t>
  </si>
  <si>
    <t>läuft</t>
  </si>
  <si>
    <t>aus</t>
  </si>
  <si>
    <t># text = Bemühungen seitens des BMA zur Lösung der Streitigkeiten durch Gespräche stießen bei der Regierung auf Widerwillen sich zu beteiligen und manchmal auf ohrenbetäubendes Schweigen.</t>
  </si>
  <si>
    <t>Bemühungen</t>
  </si>
  <si>
    <t>seitens</t>
  </si>
  <si>
    <t>Lösung</t>
  </si>
  <si>
    <t>Streitigkeiten</t>
  </si>
  <si>
    <t>Gespräche</t>
  </si>
  <si>
    <t>stießen</t>
  </si>
  <si>
    <t>Regierung</t>
  </si>
  <si>
    <t>auf</t>
  </si>
  <si>
    <t>Widerwillen</t>
  </si>
  <si>
    <t>beteiligen</t>
  </si>
  <si>
    <t>manchmal</t>
  </si>
  <si>
    <t>ohrenbetäubendes</t>
  </si>
  <si>
    <t>Schweigen</t>
  </si>
  <si>
    <t># text = Das geschah des eines Versprechens, das Jeremy Hunt erst letzten Monat darüber gemacht hatte, dass seine Tür immer offenstehen würde.</t>
  </si>
  <si>
    <t>Das</t>
  </si>
  <si>
    <t>pron.pds</t>
  </si>
  <si>
    <t>geschah</t>
  </si>
  <si>
    <t>Versprechens</t>
  </si>
  <si>
    <t>das</t>
  </si>
  <si>
    <t>erst</t>
  </si>
  <si>
    <t>letzten</t>
  </si>
  <si>
    <t>Monat</t>
  </si>
  <si>
    <t>darüber</t>
  </si>
  <si>
    <t>seine</t>
  </si>
  <si>
    <t>Tür</t>
  </si>
  <si>
    <t>indef-np</t>
  </si>
  <si>
    <t>immer</t>
  </si>
  <si>
    <t>offenstehen</t>
  </si>
  <si>
    <t>würde</t>
  </si>
  <si>
    <t># text = "Jeremy Hunt muss jetzt handeln, die Aufzwingung aufheben und die Sorgen der Assistenzärzte ansprechen".</t>
  </si>
  <si>
    <t>muss</t>
  </si>
  <si>
    <t>jetzt</t>
  </si>
  <si>
    <t>Aufzwingung</t>
  </si>
  <si>
    <t>aufheben</t>
  </si>
  <si>
    <t>Sorgen</t>
  </si>
  <si>
    <t>ansprechen</t>
  </si>
  <si>
    <t># text = Sollte er dies nicht tun, so haben es die Assistenzärzte deutlich gemacht, dass sie bereit sind, weitere Arbeitskampfmaßnahmen durchzuführen.</t>
  </si>
  <si>
    <t>Sollte</t>
  </si>
  <si>
    <t>er</t>
  </si>
  <si>
    <t>dies</t>
  </si>
  <si>
    <t>nicht</t>
  </si>
  <si>
    <t>tun</t>
  </si>
  <si>
    <t>so</t>
  </si>
  <si>
    <t>deutlich</t>
  </si>
  <si>
    <t>bereit</t>
  </si>
  <si>
    <t>sind</t>
  </si>
  <si>
    <t>Arbeitskampfmaßnahmen</t>
  </si>
  <si>
    <t>durchzuführen</t>
  </si>
  <si>
    <t># text = Der letzte Streik Ende April sah einen Aufschub von beinahe 13.000 Routineoperationen und 100.000 Terminen vor, da Krankenschwestern und Fachärzte einbezogen wurden, um Ärzten auf der Streikpostenkette Deckung zu gewähren.</t>
  </si>
  <si>
    <t>Der</t>
  </si>
  <si>
    <t>Streik</t>
  </si>
  <si>
    <t>Ende</t>
  </si>
  <si>
    <t>April</t>
  </si>
  <si>
    <t>sah</t>
  </si>
  <si>
    <t>Aufschub</t>
  </si>
  <si>
    <t>beinahe</t>
  </si>
  <si>
    <t>13.000</t>
  </si>
  <si>
    <t>Routineoperationen</t>
  </si>
  <si>
    <t>100.000</t>
  </si>
  <si>
    <t>Terminen</t>
  </si>
  <si>
    <t>da</t>
  </si>
  <si>
    <t>Krankenschwestern</t>
  </si>
  <si>
    <t>Fachärzte</t>
  </si>
  <si>
    <t>einbezogen</t>
  </si>
  <si>
    <t>wurden</t>
  </si>
  <si>
    <t>Streikpostenkette</t>
  </si>
  <si>
    <t>Deckung</t>
  </si>
  <si>
    <t>gewähren</t>
  </si>
  <si>
    <t># text = Die Minister hatten gehofft, den Streit über die Änderungen durch eine Annahme des reformierten Vertrages mit den Funktionären der British Medical Association beenden zu können.</t>
  </si>
  <si>
    <t>eine</t>
  </si>
  <si>
    <t># text = Die BMA möchte eine bessere Wochendentlohnung für die 54.000 Assistenzärzte, die dem Vertrag unterliegen werden.</t>
  </si>
  <si>
    <t>möchte</t>
  </si>
  <si>
    <t>bessere</t>
  </si>
  <si>
    <t>54.000</t>
  </si>
  <si>
    <t>unterliegen</t>
  </si>
  <si>
    <t># text = Daniel Mortimer, Generaldirektor der NHS Mitarbeiter, forderte die Assistenzärzte dazu auf, den Streik zu beenden.</t>
  </si>
  <si>
    <t>Daniel</t>
  </si>
  <si>
    <t>Mortimer</t>
  </si>
  <si>
    <t>Generaldirektor</t>
  </si>
  <si>
    <t>forderte</t>
  </si>
  <si>
    <t>dazu</t>
  </si>
  <si>
    <t># text = Mortimer sagte: "Arbeitskampfmaßnahmen erreichen nichts der nur wenig, belasten aber bereits überbelastete Teams und Dienstleister und bereiten den Patienten, Pflegern und ihren Familien nur Sorgen, Not und Unterbrechung."</t>
  </si>
  <si>
    <t>erreichen</t>
  </si>
  <si>
    <t>nichts</t>
  </si>
  <si>
    <t>wenig</t>
  </si>
  <si>
    <t>belasten</t>
  </si>
  <si>
    <t>bereits</t>
  </si>
  <si>
    <t>überbelastete</t>
  </si>
  <si>
    <t>Teams</t>
  </si>
  <si>
    <t>Dienstleister</t>
  </si>
  <si>
    <t>bereiten</t>
  </si>
  <si>
    <t>OBJ_4</t>
  </si>
  <si>
    <t>Pflegern</t>
  </si>
  <si>
    <t>ihren</t>
  </si>
  <si>
    <t>Familien</t>
  </si>
  <si>
    <t>Not</t>
  </si>
  <si>
    <t>Unterbrechung</t>
  </si>
  <si>
    <t># text = In den letzten zwei Monaten haben wir mir dem Kommittee der Assistenzärzte gesprochen und mit dem Gesundheitsministerium sowie anderen Ministerien positiv auf die Bedenken hinsichtlich der Vormundschaft und des Whistleblowings geantwortet.</t>
  </si>
  <si>
    <t>zwei</t>
  </si>
  <si>
    <t>Monaten</t>
  </si>
  <si>
    <t>wir</t>
  </si>
  <si>
    <t>mir</t>
  </si>
  <si>
    <t>Kommittee</t>
  </si>
  <si>
    <t>gesprochen</t>
  </si>
  <si>
    <t>Gesundheitsministerium</t>
  </si>
  <si>
    <t>sowie</t>
  </si>
  <si>
    <t>anderen</t>
  </si>
  <si>
    <t>Ministerien</t>
  </si>
  <si>
    <t>positiv</t>
  </si>
  <si>
    <t>hinsichtlich</t>
  </si>
  <si>
    <t>Vormundschaft</t>
  </si>
  <si>
    <t>Whistleblowings</t>
  </si>
  <si>
    <t>geantwortet</t>
  </si>
  <si>
    <t># text = Die Arbeitgeber hofften, dass das fortgeführte positive Engagement zu anderen wichtigen Themen - wie Entsendung, Flexibilität bei Schulungen, zusätzliche Schulungen für diejenigen, die von einer beruflichen Auszeit zurückkehren, Schulungsksten, gegenseitige Anerkennung des Lehrplans, Fortbildungsurlaub und das geschlechtsspezifische Lohngefälle in der Medizin - ein Zeichen dafür waren, wie ernst es die Arbeitgeber, das Health Education England und das Gesundheitsministerium bezüglich der Einhaltung der Vereinbarungen mit der BMA im November, Februar und Mai waren.</t>
  </si>
  <si>
    <t>Arbeitgeber</t>
  </si>
  <si>
    <t>hofften</t>
  </si>
  <si>
    <t>fortgeführte</t>
  </si>
  <si>
    <t>positive</t>
  </si>
  <si>
    <t>Engagement</t>
  </si>
  <si>
    <t>wichtigen</t>
  </si>
  <si>
    <t>Themen</t>
  </si>
  <si>
    <t>Entsendung</t>
  </si>
  <si>
    <t>Flexibilität</t>
  </si>
  <si>
    <t>Schulungen</t>
  </si>
  <si>
    <t>zusätzliche</t>
  </si>
  <si>
    <t>diejenigen</t>
  </si>
  <si>
    <t>SBJ_6</t>
  </si>
  <si>
    <t>beruflichen</t>
  </si>
  <si>
    <t>Auszeit</t>
  </si>
  <si>
    <t>zurückkehren</t>
  </si>
  <si>
    <t>Schulungsksten</t>
  </si>
  <si>
    <t>gegenseitige</t>
  </si>
  <si>
    <t>Anerkennung</t>
  </si>
  <si>
    <t>Lehrplans</t>
  </si>
  <si>
    <t>Fortbildungsurlaub</t>
  </si>
  <si>
    <t>geschlechtsspezifische</t>
  </si>
  <si>
    <t>Lohngefälle</t>
  </si>
  <si>
    <t>Medizin</t>
  </si>
  <si>
    <t>ein</t>
  </si>
  <si>
    <t>Zeichen</t>
  </si>
  <si>
    <t>dafür</t>
  </si>
  <si>
    <t>pron.padv</t>
  </si>
  <si>
    <t>waren</t>
  </si>
  <si>
    <t>ernst</t>
  </si>
  <si>
    <t>Health</t>
  </si>
  <si>
    <t>Education</t>
  </si>
  <si>
    <t>England</t>
  </si>
  <si>
    <t>bezüglich</t>
  </si>
  <si>
    <t>Einhaltung</t>
  </si>
  <si>
    <t>Vereinbarungen</t>
  </si>
  <si>
    <t>November</t>
  </si>
  <si>
    <t>Februar</t>
  </si>
  <si>
    <t>Mai</t>
  </si>
  <si>
    <t>assistenzaerzte</t>
  </si>
  <si>
    <t>Antezedens</t>
  </si>
  <si>
    <t>jeremy_hunt</t>
  </si>
  <si>
    <t>minister</t>
  </si>
  <si>
    <t>vertrag</t>
  </si>
  <si>
    <t>SIT</t>
  </si>
  <si>
    <t>nhs</t>
  </si>
  <si>
    <t>ellen_mccourt</t>
  </si>
  <si>
    <t>PRED</t>
  </si>
  <si>
    <t>EXPL</t>
  </si>
  <si>
    <t>daniel_mortimer</t>
  </si>
  <si>
    <t>ablehnende_assaerzte</t>
  </si>
  <si>
    <t>streit</t>
  </si>
  <si>
    <t>abstimmende_assaerzte</t>
  </si>
  <si>
    <t>IDIOM</t>
  </si>
  <si>
    <t>mitarbeiter_patienten</t>
  </si>
  <si>
    <t>bma</t>
  </si>
  <si>
    <t>funktionaere_bma</t>
  </si>
  <si>
    <t>BOUND</t>
  </si>
  <si>
    <t>regierung</t>
  </si>
  <si>
    <t>letzter_streik</t>
  </si>
  <si>
    <t>aktueller_streik</t>
  </si>
  <si>
    <t>GEN</t>
  </si>
  <si>
    <t>belegschaftskrise</t>
  </si>
  <si>
    <t>erste_gruppe</t>
  </si>
  <si>
    <t>siehe log</t>
  </si>
  <si>
    <t>vesprechen_junt</t>
  </si>
  <si>
    <t>handlung_hunt</t>
  </si>
  <si>
    <t>streikpostenkette</t>
  </si>
  <si>
    <t>teams_dienstleiter</t>
  </si>
  <si>
    <t>bma_komitee</t>
  </si>
  <si>
    <t>gesundheitsministerium</t>
  </si>
  <si>
    <t>bedenken</t>
  </si>
  <si>
    <t>arbeitgeber</t>
  </si>
  <si>
    <t>healt_education</t>
  </si>
  <si>
    <t>engagement</t>
  </si>
  <si>
    <t>vereinbarungen</t>
  </si>
  <si>
    <t>aufzwingung_vertrag</t>
  </si>
  <si>
    <t>FOCUS</t>
  </si>
  <si>
    <t>FAMILIAR</t>
  </si>
  <si>
    <t>UNIQUE</t>
  </si>
  <si>
    <t>ACTIVATED</t>
  </si>
  <si>
    <t>OLD</t>
  </si>
  <si>
    <t>text extraction error</t>
  </si>
  <si>
    <t>contra-expectation</t>
  </si>
  <si>
    <t>(allerdings)</t>
  </si>
  <si>
    <t>before</t>
  </si>
  <si>
    <t>(denn)</t>
  </si>
  <si>
    <t>reason</t>
  </si>
  <si>
    <t>(gleichzeitig)</t>
  </si>
  <si>
    <t>synchrony</t>
  </si>
  <si>
    <t>(daher)</t>
  </si>
  <si>
    <t>result</t>
  </si>
  <si>
    <t>(doch)</t>
  </si>
  <si>
    <t>contrast</t>
  </si>
  <si>
    <t>neg_consequence</t>
  </si>
  <si>
    <t>sollte er dies nicht tun (andernfalls)</t>
  </si>
  <si>
    <t>letzten Monat</t>
  </si>
  <si>
    <t>enablement</t>
  </si>
  <si>
    <t>(deshalb)</t>
  </si>
  <si>
    <t>Unklarer Satzbeginn; evtl. auch kausal</t>
  </si>
  <si>
    <t>specific</t>
  </si>
  <si>
    <t>(konkret)</t>
  </si>
  <si>
    <t>broad</t>
  </si>
  <si>
    <t>(zusammenfassend)</t>
  </si>
  <si>
    <t>Ende April (zuvor)</t>
  </si>
  <si>
    <t>(dagegen)</t>
  </si>
  <si>
    <t>unklar, wer "wir" ist</t>
  </si>
  <si>
    <t>in den letzten zwei Monaten (zuvor)</t>
  </si>
  <si>
    <t>(außerdem)</t>
  </si>
  <si>
    <t>conjunction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</si>
</sst>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tabSelected="1" workbookViewId="0">
      <pane xSplit="5" ySplit="1" topLeftCell="G2" activePane="bottomRight" state="frozen"/>
      <selection pane="topRight" activeCell="F1" sqref="F1"/>
      <selection pane="bottomLeft" activeCell="A2" sqref="A2"/>
      <selection pane="bottomRight" activeCell="I5" sqref="I5"/>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
        <v>472</v>
      </c>
      <c r="H2" s="10">
        <v>2</v>
      </c>
      <c r="I2" s="11" t="s">
        <v>471</v>
      </c>
      <c r="J2" s="12"/>
    </row>
    <row r="3" spans="1:10" ht="60" customHeight="1" x14ac:dyDescent="0.3">
      <c r="A3" s="6" t="s">
        <v>17</v>
      </c>
      <c r="B3" s="6" t="s">
        <v>18</v>
      </c>
      <c r="C3" s="6" t="s">
        <v>16</v>
      </c>
      <c r="D3" s="7" t="s">
        <v>19</v>
      </c>
      <c r="E3" s="8" t="s">
        <v>20</v>
      </c>
      <c r="F3" s="6" t="s">
        <v>21</v>
      </c>
      <c r="G3" s="9" t="s">
        <v>470</v>
      </c>
      <c r="H3" s="10">
        <v>1</v>
      </c>
      <c r="I3" s="11" t="s">
        <v>469</v>
      </c>
      <c r="J3" s="12"/>
    </row>
    <row r="4" spans="1:10" ht="60" customHeight="1" x14ac:dyDescent="0.3">
      <c r="A4" s="6" t="s">
        <v>18</v>
      </c>
      <c r="B4" s="6" t="s">
        <v>22</v>
      </c>
      <c r="C4" s="6" t="s">
        <v>16</v>
      </c>
      <c r="D4" s="7" t="s">
        <v>23</v>
      </c>
      <c r="E4" s="8" t="s">
        <v>24</v>
      </c>
      <c r="F4" s="6" t="s">
        <v>25</v>
      </c>
      <c r="G4" s="9" t="s">
        <v>457</v>
      </c>
      <c r="H4" s="10">
        <v>1</v>
      </c>
      <c r="I4" s="11" t="s">
        <v>458</v>
      </c>
      <c r="J4" s="12"/>
    </row>
    <row r="5" spans="1:10" ht="60" customHeight="1" x14ac:dyDescent="0.3">
      <c r="A5" s="6" t="s">
        <v>11</v>
      </c>
      <c r="B5" s="6" t="s">
        <v>26</v>
      </c>
      <c r="C5" s="6" t="s">
        <v>16</v>
      </c>
      <c r="D5" s="7" t="s">
        <v>27</v>
      </c>
      <c r="E5" s="8" t="s">
        <v>28</v>
      </c>
      <c r="F5" s="6" t="s">
        <v>29</v>
      </c>
      <c r="G5" s="9" t="s">
        <v>453</v>
      </c>
      <c r="H5" s="10">
        <v>4</v>
      </c>
      <c r="I5" s="11" t="s">
        <v>452</v>
      </c>
      <c r="J5" s="12"/>
    </row>
    <row r="6" spans="1:10" ht="60" customHeight="1" x14ac:dyDescent="0.3">
      <c r="A6" s="6" t="s">
        <v>30</v>
      </c>
      <c r="B6" s="6" t="s">
        <v>31</v>
      </c>
      <c r="C6" s="6" t="s">
        <v>16</v>
      </c>
      <c r="D6" s="7" t="s">
        <v>32</v>
      </c>
      <c r="E6" s="8" t="s">
        <v>33</v>
      </c>
      <c r="F6" s="6" t="s">
        <v>34</v>
      </c>
      <c r="G6" s="9" t="s">
        <v>459</v>
      </c>
      <c r="H6" s="10">
        <v>5</v>
      </c>
      <c r="I6" s="11" t="s">
        <v>460</v>
      </c>
      <c r="J6" s="12"/>
    </row>
    <row r="7" spans="1:10" ht="60" customHeight="1" x14ac:dyDescent="0.3">
      <c r="A7" s="6" t="s">
        <v>35</v>
      </c>
      <c r="B7" s="6" t="s">
        <v>36</v>
      </c>
      <c r="C7" s="6" t="s">
        <v>16</v>
      </c>
      <c r="D7" s="7" t="s">
        <v>37</v>
      </c>
      <c r="E7" s="8" t="s">
        <v>38</v>
      </c>
      <c r="F7" s="6" t="s">
        <v>39</v>
      </c>
      <c r="G7" s="9" t="s">
        <v>461</v>
      </c>
      <c r="H7" s="10">
        <v>5</v>
      </c>
      <c r="I7" s="11" t="s">
        <v>462</v>
      </c>
      <c r="J7" s="12"/>
    </row>
    <row r="8" spans="1:10" ht="60" customHeight="1" x14ac:dyDescent="0.3">
      <c r="A8" s="6" t="s">
        <v>22</v>
      </c>
      <c r="B8" s="6" t="s">
        <v>17</v>
      </c>
      <c r="C8" s="6" t="s">
        <v>16</v>
      </c>
      <c r="D8" s="7" t="s">
        <v>40</v>
      </c>
      <c r="E8" s="8" t="s">
        <v>41</v>
      </c>
      <c r="F8" s="6" t="s">
        <v>42</v>
      </c>
      <c r="G8" s="9" t="s">
        <v>465</v>
      </c>
      <c r="H8" s="10">
        <v>7</v>
      </c>
      <c r="I8" s="11" t="s">
        <v>454</v>
      </c>
      <c r="J8" s="12" t="s">
        <v>468</v>
      </c>
    </row>
    <row r="9" spans="1:10" ht="60" customHeight="1" x14ac:dyDescent="0.3">
      <c r="A9" s="6" t="s">
        <v>43</v>
      </c>
      <c r="B9" s="6" t="s">
        <v>30</v>
      </c>
      <c r="C9" s="6" t="s">
        <v>16</v>
      </c>
      <c r="D9" s="7" t="s">
        <v>44</v>
      </c>
      <c r="E9" s="8" t="s">
        <v>45</v>
      </c>
      <c r="F9" s="6" t="s">
        <v>46</v>
      </c>
      <c r="G9" s="9" t="s">
        <v>467</v>
      </c>
      <c r="H9" s="10">
        <v>8</v>
      </c>
      <c r="I9" s="11" t="s">
        <v>466</v>
      </c>
      <c r="J9" s="12"/>
    </row>
    <row r="10" spans="1:10" ht="60" customHeight="1" x14ac:dyDescent="0.3">
      <c r="A10" s="6" t="s">
        <v>47</v>
      </c>
      <c r="B10" s="6" t="s">
        <v>48</v>
      </c>
      <c r="C10" s="6" t="s">
        <v>16</v>
      </c>
      <c r="D10" s="7" t="s">
        <v>49</v>
      </c>
      <c r="E10" s="8" t="s">
        <v>50</v>
      </c>
      <c r="F10" s="6" t="s">
        <v>51</v>
      </c>
      <c r="G10" s="9" t="s">
        <v>464</v>
      </c>
      <c r="H10" s="10">
        <v>9</v>
      </c>
      <c r="I10" s="11" t="s">
        <v>463</v>
      </c>
      <c r="J10" s="12"/>
    </row>
    <row r="11" spans="1:10" ht="60" customHeight="1" x14ac:dyDescent="0.3">
      <c r="A11" s="6" t="s">
        <v>52</v>
      </c>
      <c r="B11" s="6" t="s">
        <v>26</v>
      </c>
      <c r="C11" s="6" t="s">
        <v>16</v>
      </c>
      <c r="D11" s="7" t="s">
        <v>53</v>
      </c>
      <c r="E11" s="8" t="s">
        <v>54</v>
      </c>
      <c r="F11" s="6" t="s">
        <v>55</v>
      </c>
      <c r="G11" s="9" t="s">
        <v>473</v>
      </c>
      <c r="H11" s="10">
        <v>10</v>
      </c>
      <c r="I11" s="11" t="s">
        <v>454</v>
      </c>
      <c r="J11" s="12"/>
    </row>
    <row r="12" spans="1:10" ht="60" customHeight="1" x14ac:dyDescent="0.3">
      <c r="A12" s="6" t="s">
        <v>36</v>
      </c>
      <c r="B12" s="6" t="s">
        <v>18</v>
      </c>
      <c r="C12" s="6" t="s">
        <v>16</v>
      </c>
      <c r="D12" s="7" t="s">
        <v>19</v>
      </c>
      <c r="E12" s="8" t="s">
        <v>56</v>
      </c>
      <c r="F12" s="6" t="s">
        <v>57</v>
      </c>
      <c r="G12" s="9" t="s">
        <v>459</v>
      </c>
      <c r="H12" s="10">
        <v>11</v>
      </c>
      <c r="I12" s="11" t="s">
        <v>460</v>
      </c>
      <c r="J12" s="12"/>
    </row>
    <row r="13" spans="1:10" ht="60" customHeight="1" x14ac:dyDescent="0.3">
      <c r="A13" s="6" t="s">
        <v>48</v>
      </c>
      <c r="B13" s="6" t="s">
        <v>30</v>
      </c>
      <c r="C13" s="6" t="s">
        <v>16</v>
      </c>
      <c r="D13" s="7" t="s">
        <v>58</v>
      </c>
      <c r="E13" s="8" t="s">
        <v>59</v>
      </c>
      <c r="F13" s="6" t="s">
        <v>60</v>
      </c>
      <c r="G13" s="9" t="s">
        <v>470</v>
      </c>
      <c r="H13" s="10">
        <v>12</v>
      </c>
      <c r="I13" s="11" t="s">
        <v>469</v>
      </c>
      <c r="J13" s="12"/>
    </row>
    <row r="14" spans="1:10" ht="60" customHeight="1" x14ac:dyDescent="0.3">
      <c r="A14" s="6" t="s">
        <v>61</v>
      </c>
      <c r="B14" s="6" t="s">
        <v>43</v>
      </c>
      <c r="C14" s="6" t="s">
        <v>16</v>
      </c>
      <c r="D14" s="7" t="s">
        <v>62</v>
      </c>
      <c r="E14" s="8" t="s">
        <v>63</v>
      </c>
      <c r="F14" s="6" t="s">
        <v>64</v>
      </c>
      <c r="G14" s="9" t="s">
        <v>474</v>
      </c>
      <c r="H14" s="10">
        <v>13</v>
      </c>
      <c r="I14" s="11" t="s">
        <v>462</v>
      </c>
      <c r="J14" s="12"/>
    </row>
    <row r="15" spans="1:10" ht="60" customHeight="1" x14ac:dyDescent="0.3">
      <c r="A15" s="6" t="s">
        <v>65</v>
      </c>
      <c r="B15" s="6" t="s">
        <v>17</v>
      </c>
      <c r="C15" s="6" t="s">
        <v>16</v>
      </c>
      <c r="D15" s="7" t="s">
        <v>66</v>
      </c>
      <c r="E15" s="8" t="s">
        <v>67</v>
      </c>
      <c r="F15" s="6" t="s">
        <v>68</v>
      </c>
      <c r="G15" s="9" t="s">
        <v>455</v>
      </c>
      <c r="H15" s="10">
        <v>14</v>
      </c>
      <c r="I15" s="11" t="s">
        <v>456</v>
      </c>
      <c r="J15" s="12"/>
    </row>
    <row r="16" spans="1:10" ht="60" customHeight="1" x14ac:dyDescent="0.3">
      <c r="A16" s="6" t="s">
        <v>69</v>
      </c>
      <c r="B16" s="6" t="s">
        <v>70</v>
      </c>
      <c r="C16" s="6" t="s">
        <v>16</v>
      </c>
      <c r="D16" s="7" t="s">
        <v>71</v>
      </c>
      <c r="E16" s="8" t="s">
        <v>72</v>
      </c>
      <c r="F16" s="6" t="s">
        <v>73</v>
      </c>
      <c r="G16" s="9" t="s">
        <v>476</v>
      </c>
      <c r="H16" s="10">
        <v>15</v>
      </c>
      <c r="I16" s="11" t="s">
        <v>454</v>
      </c>
      <c r="J16" s="12" t="s">
        <v>475</v>
      </c>
    </row>
    <row r="17" spans="1:10" ht="60" customHeight="1" x14ac:dyDescent="0.3">
      <c r="A17" s="6" t="s">
        <v>74</v>
      </c>
      <c r="B17" s="6" t="s">
        <v>75</v>
      </c>
      <c r="C17" s="6" t="s">
        <v>16</v>
      </c>
      <c r="D17" s="7" t="s">
        <v>19</v>
      </c>
      <c r="E17" s="8" t="s">
        <v>76</v>
      </c>
      <c r="F17" s="6" t="s">
        <v>77</v>
      </c>
      <c r="G17" s="9" t="s">
        <v>477</v>
      </c>
      <c r="H17" s="10">
        <v>14</v>
      </c>
      <c r="I17" s="11" t="s">
        <v>478</v>
      </c>
      <c r="J1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78"/>
  <sheetViews>
    <sheetView workbookViewId="0">
      <pane xSplit="1" ySplit="1" topLeftCell="B450" activePane="bottomRight" state="frozen"/>
      <selection pane="topRight" activeCell="B1" sqref="B1"/>
      <selection pane="bottomLeft" activeCell="A2" sqref="A2"/>
      <selection pane="bottomRight" activeCell="L455" sqref="L455"/>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78</v>
      </c>
      <c r="B1" s="13" t="s">
        <v>79</v>
      </c>
      <c r="C1" s="13" t="s">
        <v>80</v>
      </c>
      <c r="D1" s="13" t="s">
        <v>81</v>
      </c>
      <c r="E1" s="14" t="s">
        <v>82</v>
      </c>
      <c r="F1" s="15" t="s">
        <v>83</v>
      </c>
      <c r="G1" s="16" t="s">
        <v>84</v>
      </c>
      <c r="H1" s="17" t="s">
        <v>85</v>
      </c>
      <c r="I1" s="18" t="s">
        <v>86</v>
      </c>
      <c r="J1" s="18" t="s">
        <v>87</v>
      </c>
      <c r="K1" s="18" t="s">
        <v>88</v>
      </c>
      <c r="L1" s="19" t="s">
        <v>9</v>
      </c>
    </row>
    <row r="2" spans="1:12" x14ac:dyDescent="0.3">
      <c r="A2" t="s">
        <v>89</v>
      </c>
    </row>
    <row r="3" spans="1:12" x14ac:dyDescent="0.3">
      <c r="A3" t="s">
        <v>90</v>
      </c>
      <c r="B3" s="20" t="s">
        <v>91</v>
      </c>
      <c r="C3" s="20" t="s">
        <v>92</v>
      </c>
      <c r="E3" s="21" t="s">
        <v>419</v>
      </c>
      <c r="F3" s="22" t="str">
        <f>IF(OR(E3="",E3="!!!"),"",IF(NOT(ISNA(VLOOKUP(E3,E$1:E2,1,FALSE()))),"OLD",IF(AND(E3&lt;&gt;"",E3&lt;&gt;"!!!"),"NEW","")))</f>
        <v>NEW</v>
      </c>
      <c r="G3" s="23" t="s">
        <v>447</v>
      </c>
      <c r="H3" s="24" t="str">
        <f t="shared" ref="H3:H15"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t="s">
        <v>409</v>
      </c>
    </row>
    <row r="4" spans="1:12" x14ac:dyDescent="0.3">
      <c r="A4" t="s">
        <v>93</v>
      </c>
      <c r="E4" s="21" t="str">
        <f t="shared" ref="E4:E15"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94</v>
      </c>
      <c r="E5" s="21" t="str">
        <f t="shared" si="1"/>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95</v>
      </c>
      <c r="B6" s="20" t="s">
        <v>96</v>
      </c>
      <c r="C6" s="20" t="s">
        <v>92</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13</v>
      </c>
      <c r="E7" s="21" t="str">
        <f t="shared" si="1"/>
        <v/>
      </c>
      <c r="F7" s="22" t="str">
        <f>IF(OR(E7="",E7="!!!"),"",IF(NOT(ISNA(VLOOKUP(E7,E$1:E6,1,FALSE()))),"OLD",IF(AND(E7&lt;&gt;"",E7&lt;&gt;"!!!"),"NEW","")))</f>
        <v/>
      </c>
      <c r="G7" s="23" t="str">
        <f>IF(OR(E7="",E7="!!!"),"",IF(OR(J7=0,AND(J7=1,K7=1),AND(J7=1,I7="SBJ"),AND(J7=1,I7=0)),"?IN_FOCUS",IF(J7&lt;=2,"?ACTIVATED",IF(J7&lt;&gt;"","?FAMILIAR",IF(F7="NEW",IF(ISNA(VLOOKUP(E7,#REF!,1,FALSE())),"?TYPE_IDENTIFIABLE","?REFERENTIAL"),"_")))))</f>
        <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row>
    <row r="8" spans="1:12" x14ac:dyDescent="0.3">
      <c r="A8" t="s">
        <v>97</v>
      </c>
      <c r="E8" s="21" t="str">
        <f t="shared" si="1"/>
        <v/>
      </c>
      <c r="F8" s="22" t="str">
        <f>IF(OR(E8="",E8="!!!"),"",IF(NOT(ISNA(VLOOKUP(E8,E$1:E7,1,FALSE()))),"OLD",IF(AND(E8&lt;&gt;"",E8&lt;&gt;"!!!"),"NEW","")))</f>
        <v/>
      </c>
      <c r="G8" s="23" t="str">
        <f>IF(OR(E8="",E8="!!!"),"",IF(OR(J8=0,AND(J8=1,K8=1),AND(J8=1,I8="SBJ"),AND(J8=1,I8=0)),"?IN_FOCUS",IF(J8&lt;=2,"?ACTIVATED",IF(J8&lt;&gt;"","?FAMILIAR",IF(F8="NEW",IF(ISNA(VLOOKUP(E8,#REF!,1,FALSE())),"?TYPE_IDENTIFIABLE","?REFERENTIAL"),"_")))))</f>
        <v/>
      </c>
      <c r="H8" s="24" t="str">
        <f t="shared" ca="1" si="0"/>
        <v/>
      </c>
      <c r="I8" s="25" t="str">
        <f>IF(OR(E8="",E8="!!!",F8="NEW"),"",INDEX(B$2:B7,-1+SUMPRODUCT(MAX(ROW(E$2:E7)*(E8=E$2:E7)))))</f>
        <v/>
      </c>
      <c r="J8" s="25" t="str">
        <f ca="1">IF(OR(E8="",E8="!!!",F8="NEW"),"",COUNTBLANK(OFFSET(A$1,,,SUMPRODUCT(MAX(ROW(E$2:E8)*(E8=E$2:E8)))))-COUNTBLANK(OFFSET(A$1,,,SUMPRODUCT(MAX(ROW(E$1:E7)*(E2=E$1:E7))))))</f>
        <v/>
      </c>
      <c r="K8" s="25" t="str">
        <f>IF(OR(E8="",E8="!!!",F8="NEW"),"",INDEX(J$1:J7,SUMPRODUCT(MAX(ROW(E$1:E7)*(E8=E$1:E7)))))</f>
        <v/>
      </c>
      <c r="L8" s="26"/>
    </row>
    <row r="9" spans="1:12" x14ac:dyDescent="0.3">
      <c r="A9" t="s">
        <v>98</v>
      </c>
      <c r="E9" s="21" t="str">
        <f t="shared" si="1"/>
        <v/>
      </c>
      <c r="F9" s="22" t="str">
        <f>IF(OR(E9="",E9="!!!"),"",IF(NOT(ISNA(VLOOKUP(E9,E$1:E8,1,FALSE()))),"OLD",IF(AND(E9&lt;&gt;"",E9&lt;&gt;"!!!"),"NEW","")))</f>
        <v/>
      </c>
      <c r="G9" s="23" t="str">
        <f>IF(OR(E9="",E9="!!!"),"",IF(OR(J9=0,AND(J9=1,K9=1),AND(J9=1,I9="SBJ"),AND(J9=1,I9=0)),"?IN_FOCUS",IF(J9&lt;=2,"?ACTIVATED",IF(J9&lt;&gt;"","?FAMILIAR",IF(F9="NEW",IF(ISNA(VLOOKUP(E9,#REF!,1,FALSE())),"?TYPE_IDENTIFIABLE","?REFERENTIAL"),"_")))))</f>
        <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row>
    <row r="10" spans="1:12" x14ac:dyDescent="0.3">
      <c r="A10" t="s">
        <v>99</v>
      </c>
      <c r="B10" s="20" t="s">
        <v>100</v>
      </c>
      <c r="C10" s="20" t="s">
        <v>101</v>
      </c>
      <c r="D10" s="20" t="s">
        <v>102</v>
      </c>
      <c r="E10" s="21" t="s">
        <v>419</v>
      </c>
      <c r="F10" s="22" t="str">
        <f>IF(OR(E10="",E10="!!!"),"",IF(NOT(ISNA(VLOOKUP(E10,E$1:E9,1,FALSE()))),"OLD",IF(AND(E10&lt;&gt;"",E10&lt;&gt;"!!!"),"NEW","")))</f>
        <v>OLD</v>
      </c>
      <c r="G10" s="23" t="s">
        <v>446</v>
      </c>
      <c r="H10" s="24" t="str">
        <f t="shared" ca="1" si="0"/>
        <v/>
      </c>
      <c r="I10" s="25" t="str">
        <f>IF(OR(E10="",E10="!!!",F10="NEW"),"",INDEX(B$2:B9,-1+SUMPRODUCT(MAX(ROW(E$2:E9)*(E10=E$2:E9)))))</f>
        <v>SBJ</v>
      </c>
      <c r="J10" s="25">
        <f ca="1">IF(OR(E10="",E10="!!!",F10="NEW"),"",COUNTBLANK(OFFSET(A$1,,,SUMPRODUCT(MAX(ROW(E$2:E10)*(E10=E$2:E10)))))-COUNTBLANK(OFFSET(A$1,,,SUMPRODUCT(MAX(ROW(E$1:E9)*(E2=E$1:E9))))))</f>
        <v>0</v>
      </c>
      <c r="K10" s="25" t="str">
        <f ca="1">IF(OR(E10="",E10="!!!",F10="NEW"),"",INDEX(J$1:J9,SUMPRODUCT(MAX(ROW(E$1:E9)*(E10=E$1:E9)))))</f>
        <v/>
      </c>
      <c r="L10" s="26"/>
    </row>
    <row r="11" spans="1:12" x14ac:dyDescent="0.3">
      <c r="A11" t="s">
        <v>103</v>
      </c>
      <c r="B11" s="20" t="s">
        <v>100</v>
      </c>
      <c r="C11" s="20" t="s">
        <v>104</v>
      </c>
      <c r="D11" s="20" t="s">
        <v>102</v>
      </c>
      <c r="E11" s="21" t="s">
        <v>410</v>
      </c>
      <c r="F11" s="22" t="str">
        <f>IF(OR(E11="",E11="!!!"),"",IF(NOT(ISNA(VLOOKUP(E11,E$1:E10,1,FALSE()))),"OLD",IF(AND(E11&lt;&gt;"",E11&lt;&gt;"!!!"),"NEW","")))</f>
        <v>NEW</v>
      </c>
      <c r="G11" s="23" t="s">
        <v>83</v>
      </c>
      <c r="H11" s="24" t="str">
        <f t="shared" ca="1" si="0"/>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105</v>
      </c>
      <c r="E12" s="21" t="str">
        <f t="shared" si="1"/>
        <v/>
      </c>
      <c r="F12" s="22" t="str">
        <f>IF(OR(E12="",E12="!!!"),"",IF(NOT(ISNA(VLOOKUP(E12,E$1:E11,1,FALSE()))),"OLD",IF(AND(E12&lt;&gt;"",E12&lt;&gt;"!!!"),"NEW","")))</f>
        <v/>
      </c>
      <c r="G12" s="23" t="str">
        <f>IF(OR(E12="",E12="!!!"),"",IF(OR(J12=0,AND(J12=1,K12=1),AND(J12=1,I12="SBJ"),AND(J12=1,I12=0)),"?IN_FOCUS",IF(J12&lt;=2,"?ACTIVATED",IF(J12&lt;&gt;"","?FAMILIAR",IF(F12="NEW",IF(ISNA(VLOOKUP(E12,#REF!,1,FALSE())),"?TYPE_IDENTIFIABLE","?REFERENTIAL"),"_")))))</f>
        <v/>
      </c>
      <c r="H12" s="24" t="str">
        <f t="shared" ca="1" si="0"/>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3" spans="1:12" x14ac:dyDescent="0.3">
      <c r="A13" t="s">
        <v>106</v>
      </c>
      <c r="B13" s="20" t="s">
        <v>107</v>
      </c>
      <c r="C13" s="20" t="s">
        <v>92</v>
      </c>
      <c r="E13" s="21" t="s">
        <v>412</v>
      </c>
      <c r="F13" s="22" t="str">
        <f>IF(OR(E13="",E13="!!!"),"",IF(NOT(ISNA(VLOOKUP(E13,E$1:E12,1,FALSE()))),"OLD",IF(AND(E13&lt;&gt;"",E13&lt;&gt;"!!!"),"NEW","")))</f>
        <v>NEW</v>
      </c>
      <c r="G13" s="23" t="s">
        <v>83</v>
      </c>
      <c r="H13" s="24" t="str">
        <f t="shared" ca="1" si="0"/>
        <v/>
      </c>
      <c r="I13" s="25" t="str">
        <f>IF(OR(E13="",E13="!!!",F13="NEW"),"",INDEX(B$2:B12,-1+SUMPRODUCT(MAX(ROW(E$2:E12)*(E13=E$2:E12)))))</f>
        <v/>
      </c>
      <c r="J13" s="25" t="str">
        <f ca="1">IF(OR(E13="",E13="!!!",F13="NEW"),"",COUNTBLANK(OFFSET(A$1,,,SUMPRODUCT(MAX(ROW(E$2:E13)*(E13=E$2:E13)))))-COUNTBLANK(OFFSET(A$1,,,SUMPRODUCT(MAX(ROW(E$1:E12)*(E2=E$1:E12))))))</f>
        <v/>
      </c>
      <c r="K13" s="25" t="str">
        <f>IF(OR(E13="",E13="!!!",F13="NEW"),"",INDEX(J$1:J12,SUMPRODUCT(MAX(ROW(E$1:E12)*(E13=E$1:E12)))))</f>
        <v/>
      </c>
      <c r="L13" s="26"/>
    </row>
    <row r="14" spans="1:12" x14ac:dyDescent="0.3">
      <c r="A14" t="s">
        <v>108</v>
      </c>
      <c r="E14" s="21" t="str">
        <f t="shared" si="1"/>
        <v/>
      </c>
      <c r="F14" s="22" t="str">
        <f>IF(OR(E14="",E14="!!!"),"",IF(NOT(ISNA(VLOOKUP(E14,E$1:E13,1,FALSE()))),"OLD",IF(AND(E14&lt;&gt;"",E14&lt;&gt;"!!!"),"NEW","")))</f>
        <v/>
      </c>
      <c r="G14" s="23" t="str">
        <f>IF(OR(E14="",E14="!!!"),"",IF(OR(J14=0,AND(J14=1,K14=1),AND(J14=1,I14="SBJ"),AND(J14=1,I14=0)),"?IN_FOCUS",IF(J14&lt;=2,"?ACTIVATED",IF(J14&lt;&gt;"","?FAMILIAR",IF(F14="NEW",IF(ISNA(VLOOKUP(E14,#REF!,1,FALSE())),"?TYPE_IDENTIFIABLE","?REFERENTIAL"),"_")))))</f>
        <v/>
      </c>
      <c r="H14" s="24" t="str">
        <f t="shared" ca="1" si="0"/>
        <v/>
      </c>
      <c r="I14" s="25" t="str">
        <f>IF(OR(E14="",E14="!!!",F14="NEW"),"",INDEX(B$2:B13,-1+SUMPRODUCT(MAX(ROW(E$2:E13)*(E14=E$2:E13)))))</f>
        <v/>
      </c>
      <c r="J14" s="25" t="str">
        <f ca="1">IF(OR(E14="",E14="!!!",F14="NEW"),"",COUNTBLANK(OFFSET(A$1,,,SUMPRODUCT(MAX(ROW(E$2:E14)*(E14=E$2:E14)))))-COUNTBLANK(OFFSET(A$1,,,SUMPRODUCT(MAX(ROW(E$1:E13)*(E2=E$1:E13))))))</f>
        <v/>
      </c>
      <c r="K14" s="25" t="str">
        <f>IF(OR(E14="",E14="!!!",F14="NEW"),"",INDEX(J$1:J13,SUMPRODUCT(MAX(ROW(E$1:E13)*(E14=E$1:E13)))))</f>
        <v/>
      </c>
      <c r="L14" s="26"/>
    </row>
    <row r="15" spans="1:12" x14ac:dyDescent="0.3">
      <c r="A15" t="s">
        <v>27</v>
      </c>
      <c r="E15" s="21" t="str">
        <f t="shared" si="1"/>
        <v/>
      </c>
      <c r="F15" s="22" t="str">
        <f>IF(OR(E15="",E15="!!!"),"",IF(NOT(ISNA(VLOOKUP(E15,E$1:E14,1,FALSE()))),"OLD",IF(AND(E15&lt;&gt;"",E15&lt;&gt;"!!!"),"NEW","")))</f>
        <v/>
      </c>
      <c r="G15" s="23" t="str">
        <f>IF(OR(E15="",E15="!!!"),"",IF(OR(J15=0,AND(J15=1,K15=1),AND(J15=1,I15="SBJ"),AND(J15=1,I15=0)),"?IN_FOCUS",IF(J15&lt;=2,"?ACTIVATED",IF(J15&lt;&gt;"","?FAMILIAR",IF(F15="NEW",IF(ISNA(VLOOKUP(E15,#REF!,1,FALSE())),"?TYPE_IDENTIFIABLE","?REFERENTIAL"),"_")))))</f>
        <v/>
      </c>
      <c r="H15" s="24" t="str">
        <f t="shared" ca="1" si="0"/>
        <v/>
      </c>
      <c r="I15" s="25" t="str">
        <f>IF(OR(E15="",E15="!!!",F15="NEW"),"",INDEX(B$2:B14,-1+SUMPRODUCT(MAX(ROW(E$2:E14)*(E15=E$2:E14)))))</f>
        <v/>
      </c>
      <c r="J15" s="25" t="str">
        <f ca="1">IF(OR(E15="",E15="!!!",F15="NEW"),"",COUNTBLANK(OFFSET(A$1,,,SUMPRODUCT(MAX(ROW(E$2:E15)*(E15=E$2:E15)))))-COUNTBLANK(OFFSET(A$1,,,SUMPRODUCT(MAX(ROW(E$1:E14)*(E2=E$1:E14))))))</f>
        <v/>
      </c>
      <c r="K15" s="25" t="str">
        <f>IF(OR(E15="",E15="!!!",F15="NEW"),"",INDEX(J$1:J14,SUMPRODUCT(MAX(ROW(E$1:E14)*(E15=E$1:E14)))))</f>
        <v/>
      </c>
      <c r="L15" s="26"/>
    </row>
    <row r="17" spans="1:12" x14ac:dyDescent="0.3">
      <c r="A17" t="s">
        <v>109</v>
      </c>
    </row>
    <row r="18" spans="1:12" x14ac:dyDescent="0.3">
      <c r="A18" t="s">
        <v>110</v>
      </c>
      <c r="E18" s="21" t="str">
        <f t="shared" ref="E18:E60" si="2">IF(D18="?OLD","!!!","")</f>
        <v/>
      </c>
      <c r="F18" s="22" t="str">
        <f>IF(OR(E18="",E18="!!!"),"",IF(NOT(ISNA(VLOOKUP(E18,E$1:E17,1,FALSE()))),"OLD",IF(AND(E18&lt;&gt;"",E18&lt;&gt;"!!!"),"NEW","")))</f>
        <v/>
      </c>
      <c r="G18" s="23" t="str">
        <f>IF(OR(E18="",E18="!!!"),"",IF(OR(J18=0,AND(J18=1,K18=1),AND(J18=1,I18="SBJ"),AND(J18=1,I18=0)),"?IN_FOCUS",IF(J18&lt;=2,"?ACTIVATED",IF(J18&lt;&gt;"","?FAMILIAR",IF(F18="NEW",IF(ISNA(VLOOKUP(E18,#REF!,1,FALSE())),"?TYPE_IDENTIFIABLE","?REFERENTIAL"),"_")))))</f>
        <v/>
      </c>
      <c r="H18" s="24" t="str">
        <f t="shared" ref="H18:H60" ca="1" si="3">IF(J18&lt;&gt;1,"",IF(I18="SBJ","CB","?"))</f>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111</v>
      </c>
      <c r="B19" s="20" t="s">
        <v>91</v>
      </c>
      <c r="C19" s="20" t="s">
        <v>112</v>
      </c>
      <c r="D19" s="20" t="s">
        <v>102</v>
      </c>
      <c r="E19" s="21" t="s">
        <v>411</v>
      </c>
      <c r="F19" s="22" t="str">
        <f>IF(OR(E19="",E19="!!!"),"",IF(NOT(ISNA(VLOOKUP(E19,E$1:E18,1,FALSE()))),"OLD",IF(AND(E19&lt;&gt;"",E19&lt;&gt;"!!!"),"NEW","")))</f>
        <v>NEW</v>
      </c>
      <c r="G19" s="23" t="s">
        <v>447</v>
      </c>
      <c r="H19" s="24" t="str">
        <f t="shared" ca="1" si="3"/>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113</v>
      </c>
      <c r="E20" s="21" t="str">
        <f t="shared" si="2"/>
        <v/>
      </c>
      <c r="F20" s="22" t="str">
        <f>IF(OR(E20="",E20="!!!"),"",IF(NOT(ISNA(VLOOKUP(E20,E$1:E19,1,FALSE()))),"OLD",IF(AND(E20&lt;&gt;"",E20&lt;&gt;"!!!"),"NEW","")))</f>
        <v/>
      </c>
      <c r="G20" s="23" t="str">
        <f>IF(OR(E20="",E20="!!!"),"",IF(OR(J20=0,AND(J20=1,K20=1),AND(J20=1,I20="SBJ"),AND(J20=1,I20=0)),"?IN_FOCUS",IF(J20&lt;=2,"?ACTIVATED",IF(J20&lt;&gt;"","?FAMILIAR",IF(F20="NEW",IF(ISNA(VLOOKUP(E20,#REF!,1,FALSE())),"?TYPE_IDENTIFIABLE","?REFERENTIAL"),"_")))))</f>
        <v/>
      </c>
      <c r="H20" s="24" t="str">
        <f t="shared" ca="1" si="3"/>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114</v>
      </c>
      <c r="E21" s="21" t="str">
        <f t="shared" si="2"/>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3"/>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97</v>
      </c>
      <c r="E22" s="21" t="str">
        <f t="shared" si="2"/>
        <v/>
      </c>
      <c r="F22" s="22" t="str">
        <f>IF(OR(E22="",E22="!!!"),"",IF(NOT(ISNA(VLOOKUP(E22,E$1:E21,1,FALSE()))),"OLD",IF(AND(E22&lt;&gt;"",E22&lt;&gt;"!!!"),"NEW","")))</f>
        <v/>
      </c>
      <c r="G22" s="23" t="str">
        <f>IF(OR(E22="",E22="!!!"),"",IF(OR(J22=0,AND(J22=1,K22=1),AND(J22=1,I22="SBJ"),AND(J22=1,I22=0)),"?IN_FOCUS",IF(J22&lt;=2,"?ACTIVATED",IF(J22&lt;&gt;"","?FAMILIAR",IF(F22="NEW",IF(ISNA(VLOOKUP(E22,#REF!,1,FALSE())),"?TYPE_IDENTIFIABLE","?REFERENTIAL"),"_")))))</f>
        <v/>
      </c>
      <c r="H22" s="24" t="str">
        <f t="shared" ca="1" si="3"/>
        <v/>
      </c>
      <c r="I22" s="25" t="str">
        <f>IF(OR(E22="",E22="!!!",F22="NEW"),"",INDEX(B$2:B21,-1+SUMPRODUCT(MAX(ROW(E$2:E21)*(E22=E$2:E21)))))</f>
        <v/>
      </c>
      <c r="J22" s="25" t="str">
        <f ca="1">IF(OR(E22="",E22="!!!",F22="NEW"),"",COUNTBLANK(OFFSET(A$1,,,SUMPRODUCT(MAX(ROW(E$2:E22)*(E22=E$2:E22)))))-COUNTBLANK(OFFSET(A$1,,,SUMPRODUCT(MAX(ROW(E$1:E21)*(E2=E$1:E21))))))</f>
        <v/>
      </c>
      <c r="K22" s="25" t="str">
        <f>IF(OR(E22="",E22="!!!",F22="NEW"),"",INDEX(J$1:J21,SUMPRODUCT(MAX(ROW(E$1:E21)*(E22=E$1:E21)))))</f>
        <v/>
      </c>
      <c r="L22" s="26"/>
    </row>
    <row r="23" spans="1:12" x14ac:dyDescent="0.3">
      <c r="A23" t="s">
        <v>115</v>
      </c>
      <c r="E23" s="21" t="str">
        <f t="shared" si="2"/>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3"/>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4" spans="1:12" x14ac:dyDescent="0.3">
      <c r="A24" t="s">
        <v>116</v>
      </c>
      <c r="B24" s="20" t="s">
        <v>107</v>
      </c>
      <c r="C24" s="20" t="s">
        <v>112</v>
      </c>
      <c r="D24" s="20" t="s">
        <v>102</v>
      </c>
      <c r="E24" s="21" t="s">
        <v>420</v>
      </c>
      <c r="F24" s="22" t="str">
        <f>IF(OR(E24="",E24="!!!"),"",IF(NOT(ISNA(VLOOKUP(E24,E$1:E23,1,FALSE()))),"OLD",IF(AND(E24&lt;&gt;"",E24&lt;&gt;"!!!"),"NEW","")))</f>
        <v>NEW</v>
      </c>
      <c r="G24" s="23" t="s">
        <v>448</v>
      </c>
      <c r="H24" s="24" t="str">
        <f t="shared" ca="1" si="3"/>
        <v/>
      </c>
      <c r="I24" s="25" t="str">
        <f>IF(OR(E24="",E24="!!!",F24="NEW"),"",INDEX(B$2:B23,-1+SUMPRODUCT(MAX(ROW(E$2:E23)*(E24=E$2:E23)))))</f>
        <v/>
      </c>
      <c r="J24" s="25" t="str">
        <f ca="1">IF(OR(E24="",E24="!!!",F24="NEW"),"",COUNTBLANK(OFFSET(A$1,,,SUMPRODUCT(MAX(ROW(E$2:E24)*(E24=E$2:E24)))))-COUNTBLANK(OFFSET(A$1,,,SUMPRODUCT(MAX(ROW(E$1:E23)*(E2=E$1:E23))))))</f>
        <v/>
      </c>
      <c r="K24" s="25" t="str">
        <f>IF(OR(E24="",E24="!!!",F24="NEW"),"",INDEX(J$1:J23,SUMPRODUCT(MAX(ROW(E$1:E23)*(E24=E$1:E23)))))</f>
        <v/>
      </c>
      <c r="L24" s="26"/>
    </row>
    <row r="25" spans="1:12" x14ac:dyDescent="0.3">
      <c r="A25" t="s">
        <v>117</v>
      </c>
      <c r="E25" s="21" t="str">
        <f t="shared" si="2"/>
        <v/>
      </c>
      <c r="F25" s="22" t="str">
        <f>IF(OR(E25="",E25="!!!"),"",IF(NOT(ISNA(VLOOKUP(E25,E$1:E24,1,FALSE()))),"OLD",IF(AND(E25&lt;&gt;"",E25&lt;&gt;"!!!"),"NEW","")))</f>
        <v/>
      </c>
      <c r="G25" s="23" t="str">
        <f>IF(OR(E25="",E25="!!!"),"",IF(OR(J25=0,AND(J25=1,K25=1),AND(J25=1,I25="SBJ"),AND(J25=1,I25=0)),"?IN_FOCUS",IF(J25&lt;=2,"?ACTIVATED",IF(J25&lt;&gt;"","?FAMILIAR",IF(F25="NEW",IF(ISNA(VLOOKUP(E25,#REF!,1,FALSE())),"?TYPE_IDENTIFIABLE","?REFERENTIAL"),"_")))))</f>
        <v/>
      </c>
      <c r="H25" s="24" t="str">
        <f t="shared" ca="1" si="3"/>
        <v/>
      </c>
      <c r="I25" s="25" t="str">
        <f>IF(OR(E25="",E25="!!!",F25="NEW"),"",INDEX(B$2:B24,-1+SUMPRODUCT(MAX(ROW(E$2:E24)*(E25=E$2:E24)))))</f>
        <v/>
      </c>
      <c r="J25" s="25" t="str">
        <f ca="1">IF(OR(E25="",E25="!!!",F25="NEW"),"",COUNTBLANK(OFFSET(A$1,,,SUMPRODUCT(MAX(ROW(E$2:E25)*(E25=E$2:E25)))))-COUNTBLANK(OFFSET(A$1,,,SUMPRODUCT(MAX(ROW(E$1:E24)*(E2=E$1:E24))))))</f>
        <v/>
      </c>
      <c r="K25" s="25" t="str">
        <f>IF(OR(E25="",E25="!!!",F25="NEW"),"",INDEX(J$1:J24,SUMPRODUCT(MAX(ROW(E$1:E24)*(E25=E$1:E24)))))</f>
        <v/>
      </c>
      <c r="L25" s="26"/>
    </row>
    <row r="26" spans="1:12" x14ac:dyDescent="0.3">
      <c r="A26" t="s">
        <v>118</v>
      </c>
      <c r="E26" s="21" t="str">
        <f t="shared" si="2"/>
        <v/>
      </c>
      <c r="F26" s="22" t="str">
        <f>IF(OR(E26="",E26="!!!"),"",IF(NOT(ISNA(VLOOKUP(E26,E$1:E25,1,FALSE()))),"OLD",IF(AND(E26&lt;&gt;"",E26&lt;&gt;"!!!"),"NEW","")))</f>
        <v/>
      </c>
      <c r="G26" s="23" t="str">
        <f>IF(OR(E26="",E26="!!!"),"",IF(OR(J26=0,AND(J26=1,K26=1),AND(J26=1,I26="SBJ"),AND(J26=1,I26=0)),"?IN_FOCUS",IF(J26&lt;=2,"?ACTIVATED",IF(J26&lt;&gt;"","?FAMILIAR",IF(F26="NEW",IF(ISNA(VLOOKUP(E26,#REF!,1,FALSE())),"?TYPE_IDENTIFIABLE","?REFERENTIAL"),"_")))))</f>
        <v/>
      </c>
      <c r="H26" s="24" t="str">
        <f t="shared" ca="1" si="3"/>
        <v/>
      </c>
      <c r="I26" s="25" t="str">
        <f>IF(OR(E26="",E26="!!!",F26="NEW"),"",INDEX(B$2:B25,-1+SUMPRODUCT(MAX(ROW(E$2:E25)*(E26=E$2:E25)))))</f>
        <v/>
      </c>
      <c r="J26" s="25" t="str">
        <f ca="1">IF(OR(E26="",E26="!!!",F26="NEW"),"",COUNTBLANK(OFFSET(A$1,,,SUMPRODUCT(MAX(ROW(E$2:E26)*(E26=E$2:E26)))))-COUNTBLANK(OFFSET(A$1,,,SUMPRODUCT(MAX(ROW(E$1:E25)*(E2=E$1:E25))))))</f>
        <v/>
      </c>
      <c r="K26" s="25" t="str">
        <f>IF(OR(E26="",E26="!!!",F26="NEW"),"",INDEX(J$1:J25,SUMPRODUCT(MAX(ROW(E$1:E25)*(E26=E$1:E25)))))</f>
        <v/>
      </c>
      <c r="L26" s="26"/>
    </row>
    <row r="27" spans="1:12" x14ac:dyDescent="0.3">
      <c r="A27" t="s">
        <v>119</v>
      </c>
      <c r="B27" s="20" t="s">
        <v>120</v>
      </c>
      <c r="C27" s="20" t="s">
        <v>112</v>
      </c>
      <c r="D27" s="20" t="s">
        <v>102</v>
      </c>
      <c r="E27" s="21"/>
      <c r="F27" s="22" t="str">
        <f>IF(OR(E27="",E27="!!!"),"",IF(NOT(ISNA(VLOOKUP(E27,E$1:E26,1,FALSE()))),"OLD",IF(AND(E27&lt;&gt;"",E27&lt;&gt;"!!!"),"NEW","")))</f>
        <v/>
      </c>
      <c r="G27" s="23" t="str">
        <f>IF(OR(E27="",E27="!!!"),"",IF(OR(J27=0,AND(J27=1,K27=1),AND(J27=1,I27="SBJ"),AND(J27=1,I27=0)),"?IN_FOCUS",IF(J27&lt;=2,"?ACTIVATED",IF(J27&lt;&gt;"","?FAMILIAR",IF(F27="NEW",IF(ISNA(VLOOKUP(E27,#REF!,1,FALSE())),"?TYPE_IDENTIFIABLE","?REFERENTIAL"),"_")))))</f>
        <v/>
      </c>
      <c r="H27" s="24" t="str">
        <f t="shared" ca="1" si="3"/>
        <v/>
      </c>
      <c r="I27" s="25" t="str">
        <f>IF(OR(E27="",E27="!!!",F27="NEW"),"",INDEX(B$2:B26,-1+SUMPRODUCT(MAX(ROW(E$2:E26)*(E27=E$2:E26)))))</f>
        <v/>
      </c>
      <c r="J27" s="25" t="str">
        <f ca="1">IF(OR(E27="",E27="!!!",F27="NEW"),"",COUNTBLANK(OFFSET(A$1,,,SUMPRODUCT(MAX(ROW(E$2:E27)*(E27=E$2:E27)))))-COUNTBLANK(OFFSET(A$1,,,SUMPRODUCT(MAX(ROW(E$1:E26)*(E2=E$1:E26))))))</f>
        <v/>
      </c>
      <c r="K27" s="25" t="str">
        <f>IF(OR(E27="",E27="!!!",F27="NEW"),"",INDEX(J$1:J26,SUMPRODUCT(MAX(ROW(E$1:E26)*(E27=E$1:E26)))))</f>
        <v/>
      </c>
      <c r="L27" s="26"/>
    </row>
    <row r="28" spans="1:12" x14ac:dyDescent="0.3">
      <c r="A28" t="s">
        <v>121</v>
      </c>
      <c r="E28" s="21" t="str">
        <f t="shared" si="2"/>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3"/>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29" spans="1:12" x14ac:dyDescent="0.3">
      <c r="A29" t="s">
        <v>122</v>
      </c>
      <c r="B29" s="20" t="s">
        <v>123</v>
      </c>
      <c r="C29" s="20" t="s">
        <v>92</v>
      </c>
      <c r="E29" s="21" t="str">
        <f t="shared" si="2"/>
        <v/>
      </c>
      <c r="F29" s="22" t="str">
        <f>IF(OR(E29="",E29="!!!"),"",IF(NOT(ISNA(VLOOKUP(E29,E$1:E28,1,FALSE()))),"OLD",IF(AND(E29&lt;&gt;"",E29&lt;&gt;"!!!"),"NEW","")))</f>
        <v/>
      </c>
      <c r="G29" s="23" t="str">
        <f>IF(OR(E29="",E29="!!!"),"",IF(OR(J29=0,AND(J29=1,K29=1),AND(J29=1,I29="SBJ"),AND(J29=1,I29=0)),"?IN_FOCUS",IF(J29&lt;=2,"?ACTIVATED",IF(J29&lt;&gt;"","?FAMILIAR",IF(F29="NEW",IF(ISNA(VLOOKUP(E29,#REF!,1,FALSE())),"?TYPE_IDENTIFIABLE","?REFERENTIAL"),"_")))))</f>
        <v/>
      </c>
      <c r="H29" s="24" t="str">
        <f t="shared" ca="1" si="3"/>
        <v/>
      </c>
      <c r="I29" s="25" t="str">
        <f>IF(OR(E29="",E29="!!!",F29="NEW"),"",INDEX(B$2:B28,-1+SUMPRODUCT(MAX(ROW(E$2:E28)*(E29=E$2:E28)))))</f>
        <v/>
      </c>
      <c r="J29" s="25" t="str">
        <f ca="1">IF(OR(E29="",E29="!!!",F29="NEW"),"",COUNTBLANK(OFFSET(A$1,,,SUMPRODUCT(MAX(ROW(E$2:E29)*(E29=E$2:E29)))))-COUNTBLANK(OFFSET(A$1,,,SUMPRODUCT(MAX(ROW(E$1:E28)*(E2=E$1:E28))))))</f>
        <v/>
      </c>
      <c r="K29" s="25" t="str">
        <f>IF(OR(E29="",E29="!!!",F29="NEW"),"",INDEX(J$1:J28,SUMPRODUCT(MAX(ROW(E$1:E28)*(E29=E$1:E28)))))</f>
        <v/>
      </c>
      <c r="L29" s="26"/>
    </row>
    <row r="30" spans="1:12" x14ac:dyDescent="0.3">
      <c r="A30" t="s">
        <v>124</v>
      </c>
      <c r="E30" s="21" t="str">
        <f t="shared" si="2"/>
        <v/>
      </c>
      <c r="F30" s="22" t="str">
        <f>IF(OR(E30="",E30="!!!"),"",IF(NOT(ISNA(VLOOKUP(E30,E$1:E29,1,FALSE()))),"OLD",IF(AND(E30&lt;&gt;"",E30&lt;&gt;"!!!"),"NEW","")))</f>
        <v/>
      </c>
      <c r="G30" s="23" t="str">
        <f>IF(OR(E30="",E30="!!!"),"",IF(OR(J30=0,AND(J30=1,K30=1),AND(J30=1,I30="SBJ"),AND(J30=1,I30=0)),"?IN_FOCUS",IF(J30&lt;=2,"?ACTIVATED",IF(J30&lt;&gt;"","?FAMILIAR",IF(F30="NEW",IF(ISNA(VLOOKUP(E30,#REF!,1,FALSE())),"?TYPE_IDENTIFIABLE","?REFERENTIAL"),"_")))))</f>
        <v/>
      </c>
      <c r="H30" s="24" t="str">
        <f t="shared" ca="1" si="3"/>
        <v/>
      </c>
      <c r="I30" s="25" t="str">
        <f>IF(OR(E30="",E30="!!!",F30="NEW"),"",INDEX(B$2:B29,-1+SUMPRODUCT(MAX(ROW(E$2:E29)*(E30=E$2:E29)))))</f>
        <v/>
      </c>
      <c r="J30" s="25" t="str">
        <f ca="1">IF(OR(E30="",E30="!!!",F30="NEW"),"",COUNTBLANK(OFFSET(A$1,,,SUMPRODUCT(MAX(ROW(E$2:E30)*(E30=E$2:E30)))))-COUNTBLANK(OFFSET(A$1,,,SUMPRODUCT(MAX(ROW(E$1:E29)*(E2=E$1:E29))))))</f>
        <v/>
      </c>
      <c r="K30" s="25" t="str">
        <f>IF(OR(E30="",E30="!!!",F30="NEW"),"",INDEX(J$1:J29,SUMPRODUCT(MAX(ROW(E$1:E29)*(E30=E$1:E29)))))</f>
        <v/>
      </c>
      <c r="L30" s="26"/>
    </row>
    <row r="31" spans="1:12" x14ac:dyDescent="0.3">
      <c r="A31" t="s">
        <v>125</v>
      </c>
      <c r="E31" s="21" t="str">
        <f t="shared" si="2"/>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ca="1" si="3"/>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126</v>
      </c>
      <c r="B32" s="20" t="s">
        <v>127</v>
      </c>
      <c r="C32" s="20" t="s">
        <v>128</v>
      </c>
      <c r="E32" s="21" t="s">
        <v>412</v>
      </c>
      <c r="F32" s="22" t="str">
        <f>IF(OR(E32="",E32="!!!"),"",IF(NOT(ISNA(VLOOKUP(E32,E$1:E31,1,FALSE()))),"OLD",IF(AND(E32&lt;&gt;"",E32&lt;&gt;"!!!"),"NEW","")))</f>
        <v>OLD</v>
      </c>
      <c r="G32" s="23" t="s">
        <v>449</v>
      </c>
      <c r="H32" s="24" t="str">
        <f t="shared" ca="1" si="3"/>
        <v/>
      </c>
      <c r="I32" s="25" t="str">
        <f>IF(OR(E32="",E32="!!!",F32="NEW"),"",INDEX(B$2:B31,-1+SUMPRODUCT(MAX(ROW(E$2:E31)*(E32=E$2:E31)))))</f>
        <v>OBJ_2</v>
      </c>
      <c r="J32" s="25">
        <f ca="1">IF(OR(E32="",E32="!!!",F32="NEW"),"",COUNTBLANK(OFFSET(A$1,,,SUMPRODUCT(MAX(ROW(E$2:E32)*(E32=E$2:E32)))))-COUNTBLANK(OFFSET(A$1,,,SUMPRODUCT(MAX(ROW(E$1:E31)*(E2=E$1:E31))))))</f>
        <v>0</v>
      </c>
      <c r="K32" s="25" t="str">
        <f ca="1">IF(OR(E32="",E32="!!!",F32="NEW"),"",INDEX(J$1:J31,SUMPRODUCT(MAX(ROW(E$1:E31)*(E32=E$1:E31)))))</f>
        <v/>
      </c>
      <c r="L32" s="26"/>
    </row>
    <row r="33" spans="1:12" x14ac:dyDescent="0.3">
      <c r="A33" t="s">
        <v>129</v>
      </c>
      <c r="E33" s="21" t="str">
        <f t="shared" si="2"/>
        <v/>
      </c>
      <c r="F33" s="22" t="str">
        <f>IF(OR(E33="",E33="!!!"),"",IF(NOT(ISNA(VLOOKUP(E33,E$1:E32,1,FALSE()))),"OLD",IF(AND(E33&lt;&gt;"",E33&lt;&gt;"!!!"),"NEW","")))</f>
        <v/>
      </c>
      <c r="G33" s="23" t="str">
        <f>IF(OR(E33="",E33="!!!"),"",IF(OR(J33=0,AND(J33=1,K33=1),AND(J33=1,I33="SBJ"),AND(J33=1,I33=0)),"?IN_FOCUS",IF(J33&lt;=2,"?ACTIVATED",IF(J33&lt;&gt;"","?FAMILIAR",IF(F33="NEW",IF(ISNA(VLOOKUP(E33,#REF!,1,FALSE())),"?TYPE_IDENTIFIABLE","?REFERENTIAL"),"_")))))</f>
        <v/>
      </c>
      <c r="H33" s="24" t="str">
        <f t="shared" ca="1" si="3"/>
        <v/>
      </c>
      <c r="I33" s="25" t="str">
        <f>IF(OR(E33="",E33="!!!",F33="NEW"),"",INDEX(B$2:B32,-1+SUMPRODUCT(MAX(ROW(E$2:E32)*(E33=E$2:E32)))))</f>
        <v/>
      </c>
      <c r="J33" s="25" t="str">
        <f ca="1">IF(OR(E33="",E33="!!!",F33="NEW"),"",COUNTBLANK(OFFSET(A$1,,,SUMPRODUCT(MAX(ROW(E$2:E33)*(E33=E$2:E33)))))-COUNTBLANK(OFFSET(A$1,,,SUMPRODUCT(MAX(ROW(E$1:E32)*(E2=E$1:E32))))))</f>
        <v/>
      </c>
      <c r="K33" s="25" t="str">
        <f>IF(OR(E33="",E33="!!!",F33="NEW"),"",INDEX(J$1:J32,SUMPRODUCT(MAX(ROW(E$1:E32)*(E33=E$1:E32)))))</f>
        <v/>
      </c>
      <c r="L33" s="26"/>
    </row>
    <row r="34" spans="1:12" x14ac:dyDescent="0.3">
      <c r="A34" t="s">
        <v>115</v>
      </c>
      <c r="E34" s="21" t="str">
        <f t="shared" si="2"/>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3"/>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130</v>
      </c>
      <c r="B35" s="20" t="s">
        <v>123</v>
      </c>
      <c r="C35" s="20" t="s">
        <v>131</v>
      </c>
      <c r="D35" s="20" t="s">
        <v>102</v>
      </c>
      <c r="E35" s="21" t="s">
        <v>425</v>
      </c>
      <c r="F35" s="22" t="str">
        <f>IF(OR(E35="",E35="!!!"),"",IF(NOT(ISNA(VLOOKUP(E35,E$1:E34,1,FALSE()))),"OLD",IF(AND(E35&lt;&gt;"",E35&lt;&gt;"!!!"),"NEW","")))</f>
        <v>NEW</v>
      </c>
      <c r="G35" s="23" t="s">
        <v>448</v>
      </c>
      <c r="H35" s="24" t="str">
        <f t="shared" ca="1" si="3"/>
        <v/>
      </c>
      <c r="I35" s="25" t="str">
        <f>IF(OR(E35="",E35="!!!",F35="NEW"),"",INDEX(B$2:B34,-1+SUMPRODUCT(MAX(ROW(E$2:E34)*(E35=E$2:E34)))))</f>
        <v/>
      </c>
      <c r="J35" s="25" t="str">
        <f ca="1">IF(OR(E35="",E35="!!!",F35="NEW"),"",COUNTBLANK(OFFSET(A$1,,,SUMPRODUCT(MAX(ROW(E$2:E35)*(E35=E$2:E35)))))-COUNTBLANK(OFFSET(A$1,,,SUMPRODUCT(MAX(ROW(E$1:E34)*(E2=E$1:E34))))))</f>
        <v/>
      </c>
      <c r="K35" s="25" t="str">
        <f>IF(OR(E35="",E35="!!!",F35="NEW"),"",INDEX(J$1:J34,SUMPRODUCT(MAX(ROW(E$1:E34)*(E35=E$1:E34)))))</f>
        <v/>
      </c>
      <c r="L35" s="26"/>
    </row>
    <row r="36" spans="1:12" x14ac:dyDescent="0.3">
      <c r="A36" t="s">
        <v>132</v>
      </c>
      <c r="E36" s="21" t="str">
        <f t="shared" si="2"/>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ca="1" si="3"/>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133</v>
      </c>
      <c r="E37" s="21" t="str">
        <f t="shared" si="2"/>
        <v/>
      </c>
      <c r="F37" s="22" t="str">
        <f>IF(OR(E37="",E37="!!!"),"",IF(NOT(ISNA(VLOOKUP(E37,E$1:E36,1,FALSE()))),"OLD",IF(AND(E37&lt;&gt;"",E37&lt;&gt;"!!!"),"NEW","")))</f>
        <v/>
      </c>
      <c r="G37" s="23" t="str">
        <f>IF(OR(E37="",E37="!!!"),"",IF(OR(J37=0,AND(J37=1,K37=1),AND(J37=1,I37="SBJ"),AND(J37=1,I37=0)),"?IN_FOCUS",IF(J37&lt;=2,"?ACTIVATED",IF(J37&lt;&gt;"","?FAMILIAR",IF(F37="NEW",IF(ISNA(VLOOKUP(E37,#REF!,1,FALSE())),"?TYPE_IDENTIFIABLE","?REFERENTIAL"),"_")))))</f>
        <v/>
      </c>
      <c r="H37" s="24" t="str">
        <f t="shared" ca="1" si="3"/>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134</v>
      </c>
      <c r="E38" s="21" t="str">
        <f t="shared" si="2"/>
        <v/>
      </c>
      <c r="F38" s="22" t="str">
        <f>IF(OR(E38="",E38="!!!"),"",IF(NOT(ISNA(VLOOKUP(E38,E$1:E37,1,FALSE()))),"OLD",IF(AND(E38&lt;&gt;"",E38&lt;&gt;"!!!"),"NEW","")))</f>
        <v/>
      </c>
      <c r="G38" s="23" t="str">
        <f>IF(OR(E38="",E38="!!!"),"",IF(OR(J38=0,AND(J38=1,K38=1),AND(J38=1,I38="SBJ"),AND(J38=1,I38=0)),"?IN_FOCUS",IF(J38&lt;=2,"?ACTIVATED",IF(J38&lt;&gt;"","?FAMILIAR",IF(F38="NEW",IF(ISNA(VLOOKUP(E38,#REF!,1,FALSE())),"?TYPE_IDENTIFIABLE","?REFERENTIAL"),"_")))))</f>
        <v/>
      </c>
      <c r="H38" s="24" t="str">
        <f t="shared" ca="1" si="3"/>
        <v/>
      </c>
      <c r="I38" s="25" t="str">
        <f>IF(OR(E38="",E38="!!!",F38="NEW"),"",INDEX(B$2:B37,-1+SUMPRODUCT(MAX(ROW(E$2:E37)*(E38=E$2:E37)))))</f>
        <v/>
      </c>
      <c r="J38" s="25" t="str">
        <f ca="1">IF(OR(E38="",E38="!!!",F38="NEW"),"",COUNTBLANK(OFFSET(A$1,,,SUMPRODUCT(MAX(ROW(E$2:E38)*(E38=E$2:E38)))))-COUNTBLANK(OFFSET(A$1,,,SUMPRODUCT(MAX(ROW(E$1:E37)*(E2=E$1:E37))))))</f>
        <v/>
      </c>
      <c r="K38" s="25" t="str">
        <f>IF(OR(E38="",E38="!!!",F38="NEW"),"",INDEX(J$1:J37,SUMPRODUCT(MAX(ROW(E$1:E37)*(E38=E$1:E37)))))</f>
        <v/>
      </c>
      <c r="L38" s="26"/>
    </row>
    <row r="39" spans="1:12" x14ac:dyDescent="0.3">
      <c r="A39" t="s">
        <v>135</v>
      </c>
      <c r="B39" s="20" t="s">
        <v>127</v>
      </c>
      <c r="C39" s="20" t="s">
        <v>104</v>
      </c>
      <c r="D39" s="20" t="s">
        <v>102</v>
      </c>
      <c r="E39" s="21" t="s">
        <v>424</v>
      </c>
      <c r="F39" s="22" t="str">
        <f>IF(OR(E39="",E39="!!!"),"",IF(NOT(ISNA(VLOOKUP(E39,E$1:E38,1,FALSE()))),"OLD",IF(AND(E39&lt;&gt;"",E39&lt;&gt;"!!!"),"NEW","")))</f>
        <v>NEW</v>
      </c>
      <c r="G39" s="23" t="s">
        <v>447</v>
      </c>
      <c r="H39" s="24" t="str">
        <f t="shared" ca="1" si="3"/>
        <v/>
      </c>
      <c r="I39" s="25" t="str">
        <f>IF(OR(E39="",E39="!!!",F39="NEW"),"",INDEX(B$2:B38,-1+SUMPRODUCT(MAX(ROW(E$2:E38)*(E39=E$2:E38)))))</f>
        <v/>
      </c>
      <c r="J39" s="25" t="str">
        <f ca="1">IF(OR(E39="",E39="!!!",F39="NEW"),"",COUNTBLANK(OFFSET(A$1,,,SUMPRODUCT(MAX(ROW(E$2:E39)*(E39=E$2:E39)))))-COUNTBLANK(OFFSET(A$1,,,SUMPRODUCT(MAX(ROW(E$1:E38)*(E2=E$1:E38))))))</f>
        <v/>
      </c>
      <c r="K39" s="25" t="str">
        <f>IF(OR(E39="",E39="!!!",F39="NEW"),"",INDEX(J$1:J38,SUMPRODUCT(MAX(ROW(E$1:E38)*(E39=E$1:E38)))))</f>
        <v/>
      </c>
      <c r="L39" s="26"/>
    </row>
    <row r="40" spans="1:12" x14ac:dyDescent="0.3">
      <c r="A40" t="s">
        <v>136</v>
      </c>
      <c r="E40" s="21" t="str">
        <f t="shared" si="2"/>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3"/>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137</v>
      </c>
      <c r="E41" s="21" t="str">
        <f t="shared" si="2"/>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3"/>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138</v>
      </c>
      <c r="E42" s="21" t="str">
        <f t="shared" si="2"/>
        <v/>
      </c>
      <c r="F42" s="22" t="str">
        <f>IF(OR(E42="",E42="!!!"),"",IF(NOT(ISNA(VLOOKUP(E42,E$1:E41,1,FALSE()))),"OLD",IF(AND(E42&lt;&gt;"",E42&lt;&gt;"!!!"),"NEW","")))</f>
        <v/>
      </c>
      <c r="G42" s="23" t="str">
        <f>IF(OR(E42="",E42="!!!"),"",IF(OR(J42=0,AND(J42=1,K42=1),AND(J42=1,I42="SBJ"),AND(J42=1,I42=0)),"?IN_FOCUS",IF(J42&lt;=2,"?ACTIVATED",IF(J42&lt;&gt;"","?FAMILIAR",IF(F42="NEW",IF(ISNA(VLOOKUP(E42,#REF!,1,FALSE())),"?TYPE_IDENTIFIABLE","?REFERENTIAL"),"_")))))</f>
        <v/>
      </c>
      <c r="H42" s="24" t="str">
        <f t="shared" ca="1" si="3"/>
        <v/>
      </c>
      <c r="I42" s="25" t="str">
        <f>IF(OR(E42="",E42="!!!",F42="NEW"),"",INDEX(B$2:B41,-1+SUMPRODUCT(MAX(ROW(E$2:E41)*(E42=E$2:E41)))))</f>
        <v/>
      </c>
      <c r="J42" s="25" t="str">
        <f ca="1">IF(OR(E42="",E42="!!!",F42="NEW"),"",COUNTBLANK(OFFSET(A$1,,,SUMPRODUCT(MAX(ROW(E$2:E42)*(E42=E$2:E42)))))-COUNTBLANK(OFFSET(A$1,,,SUMPRODUCT(MAX(ROW(E$1:E41)*(E2=E$1:E41))))))</f>
        <v/>
      </c>
      <c r="K42" s="25" t="str">
        <f>IF(OR(E42="",E42="!!!",F42="NEW"),"",INDEX(J$1:J41,SUMPRODUCT(MAX(ROW(E$1:E41)*(E42=E$1:E41)))))</f>
        <v/>
      </c>
      <c r="L42" s="26"/>
    </row>
    <row r="43" spans="1:12" x14ac:dyDescent="0.3">
      <c r="A43" t="s">
        <v>97</v>
      </c>
      <c r="E43" s="21" t="str">
        <f t="shared" si="2"/>
        <v/>
      </c>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t="shared" ca="1" si="3"/>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139</v>
      </c>
      <c r="E44" s="21" t="str">
        <f t="shared" si="2"/>
        <v/>
      </c>
      <c r="F44" s="22" t="str">
        <f>IF(OR(E44="",E44="!!!"),"",IF(NOT(ISNA(VLOOKUP(E44,E$1:E43,1,FALSE()))),"OLD",IF(AND(E44&lt;&gt;"",E44&lt;&gt;"!!!"),"NEW","")))</f>
        <v/>
      </c>
      <c r="G44" s="23" t="str">
        <f>IF(OR(E44="",E44="!!!"),"",IF(OR(J44=0,AND(J44=1,K44=1),AND(J44=1,I44="SBJ"),AND(J44=1,I44=0)),"?IN_FOCUS",IF(J44&lt;=2,"?ACTIVATED",IF(J44&lt;&gt;"","?FAMILIAR",IF(F44="NEW",IF(ISNA(VLOOKUP(E44,#REF!,1,FALSE())),"?TYPE_IDENTIFIABLE","?REFERENTIAL"),"_")))))</f>
        <v/>
      </c>
      <c r="H44" s="24" t="str">
        <f t="shared" ca="1" si="3"/>
        <v/>
      </c>
      <c r="I44" s="25" t="str">
        <f>IF(OR(E44="",E44="!!!",F44="NEW"),"",INDEX(B$2:B43,-1+SUMPRODUCT(MAX(ROW(E$2:E43)*(E44=E$2:E43)))))</f>
        <v/>
      </c>
      <c r="J44" s="25" t="str">
        <f ca="1">IF(OR(E44="",E44="!!!",F44="NEW"),"",COUNTBLANK(OFFSET(A$1,,,SUMPRODUCT(MAX(ROW(E$2:E44)*(E44=E$2:E44)))))-COUNTBLANK(OFFSET(A$1,,,SUMPRODUCT(MAX(ROW(E$1:E43)*(E2=E$1:E43))))))</f>
        <v/>
      </c>
      <c r="K44" s="25" t="str">
        <f>IF(OR(E44="",E44="!!!",F44="NEW"),"",INDEX(J$1:J43,SUMPRODUCT(MAX(ROW(E$1:E43)*(E44=E$1:E43)))))</f>
        <v/>
      </c>
      <c r="L44" s="26"/>
    </row>
    <row r="45" spans="1:12" x14ac:dyDescent="0.3">
      <c r="A45" t="s">
        <v>140</v>
      </c>
      <c r="E45" s="21" t="str">
        <f t="shared" si="2"/>
        <v/>
      </c>
      <c r="F45" s="22" t="str">
        <f>IF(OR(E45="",E45="!!!"),"",IF(NOT(ISNA(VLOOKUP(E45,E$1:E44,1,FALSE()))),"OLD",IF(AND(E45&lt;&gt;"",E45&lt;&gt;"!!!"),"NEW","")))</f>
        <v/>
      </c>
      <c r="G45" s="23" t="str">
        <f>IF(OR(E45="",E45="!!!"),"",IF(OR(J45=0,AND(J45=1,K45=1),AND(J45=1,I45="SBJ"),AND(J45=1,I45=0)),"?IN_FOCUS",IF(J45&lt;=2,"?ACTIVATED",IF(J45&lt;&gt;"","?FAMILIAR",IF(F45="NEW",IF(ISNA(VLOOKUP(E45,#REF!,1,FALSE())),"?TYPE_IDENTIFIABLE","?REFERENTIAL"),"_")))))</f>
        <v/>
      </c>
      <c r="H45" s="24" t="str">
        <f t="shared" ca="1" si="3"/>
        <v/>
      </c>
      <c r="I45" s="25" t="str">
        <f>IF(OR(E45="",E45="!!!",F45="NEW"),"",INDEX(B$2:B44,-1+SUMPRODUCT(MAX(ROW(E$2:E44)*(E45=E$2:E44)))))</f>
        <v/>
      </c>
      <c r="J45" s="25" t="str">
        <f ca="1">IF(OR(E45="",E45="!!!",F45="NEW"),"",COUNTBLANK(OFFSET(A$1,,,SUMPRODUCT(MAX(ROW(E$2:E45)*(E45=E$2:E45)))))-COUNTBLANK(OFFSET(A$1,,,SUMPRODUCT(MAX(ROW(E$1:E44)*(E2=E$1:E44))))))</f>
        <v/>
      </c>
      <c r="K45" s="25" t="str">
        <f>IF(OR(E45="",E45="!!!",F45="NEW"),"",INDEX(J$1:J44,SUMPRODUCT(MAX(ROW(E$1:E44)*(E45=E$1:E44)))))</f>
        <v/>
      </c>
      <c r="L45" s="26"/>
    </row>
    <row r="46" spans="1:12" x14ac:dyDescent="0.3">
      <c r="A46" t="s">
        <v>141</v>
      </c>
      <c r="B46" s="20" t="s">
        <v>100</v>
      </c>
      <c r="C46" s="20" t="s">
        <v>142</v>
      </c>
      <c r="E46" s="21" t="s">
        <v>419</v>
      </c>
      <c r="F46" s="22" t="str">
        <f>IF(OR(E46="",E46="!!!"),"",IF(NOT(ISNA(VLOOKUP(E46,E$1:E45,1,FALSE()))),"OLD",IF(AND(E46&lt;&gt;"",E46&lt;&gt;"!!!"),"NEW","")))</f>
        <v>OLD</v>
      </c>
      <c r="G46" s="23" t="s">
        <v>446</v>
      </c>
      <c r="H46" s="24" t="s">
        <v>85</v>
      </c>
      <c r="I46" s="25" t="str">
        <f>IF(OR(E46="",E46="!!!",F46="NEW"),"",INDEX(B$2:B45,-1+SUMPRODUCT(MAX(ROW(E$2:E45)*(E46=E$2:E45)))))</f>
        <v>SBJ_2</v>
      </c>
      <c r="J46" s="25">
        <f ca="1">IF(OR(E46="",E46="!!!",F46="NEW"),"",COUNTBLANK(OFFSET(A$1,,,SUMPRODUCT(MAX(ROW(E$2:E46)*(E46=E$2:E46)))))-COUNTBLANK(OFFSET(A$1,,,SUMPRODUCT(MAX(ROW(E$1:E45)*(E2=E$1:E45))))))</f>
        <v>0</v>
      </c>
      <c r="K46" s="25">
        <f ca="1">IF(OR(E46="",E46="!!!",F46="NEW"),"",INDEX(J$1:J45,SUMPRODUCT(MAX(ROW(E$1:E45)*(E46=E$1:E45)))))</f>
        <v>0</v>
      </c>
      <c r="L46" s="26"/>
    </row>
    <row r="47" spans="1:12" x14ac:dyDescent="0.3">
      <c r="A47" t="s">
        <v>132</v>
      </c>
      <c r="E47" s="21" t="str">
        <f t="shared" si="2"/>
        <v/>
      </c>
      <c r="F47" s="22" t="str">
        <f>IF(OR(E47="",E47="!!!"),"",IF(NOT(ISNA(VLOOKUP(E47,E$1:E46,1,FALSE()))),"OLD",IF(AND(E47&lt;&gt;"",E47&lt;&gt;"!!!"),"NEW","")))</f>
        <v/>
      </c>
      <c r="G47" s="23" t="str">
        <f>IF(OR(E47="",E47="!!!"),"",IF(OR(J47=0,AND(J47=1,K47=1),AND(J47=1,I47="SBJ"),AND(J47=1,I47=0)),"?IN_FOCUS",IF(J47&lt;=2,"?ACTIVATED",IF(J47&lt;&gt;"","?FAMILIAR",IF(F47="NEW",IF(ISNA(VLOOKUP(E47,#REF!,1,FALSE())),"?TYPE_IDENTIFIABLE","?REFERENTIAL"),"_")))))</f>
        <v/>
      </c>
      <c r="H47" s="24" t="str">
        <f t="shared" ca="1" si="3"/>
        <v/>
      </c>
      <c r="I47" s="25" t="str">
        <f>IF(OR(E47="",E47="!!!",F47="NEW"),"",INDEX(B$2:B46,-1+SUMPRODUCT(MAX(ROW(E$2:E46)*(E47=E$2:E46)))))</f>
        <v/>
      </c>
      <c r="J47" s="25" t="str">
        <f ca="1">IF(OR(E47="",E47="!!!",F47="NEW"),"",COUNTBLANK(OFFSET(A$1,,,SUMPRODUCT(MAX(ROW(E$2:E47)*(E47=E$2:E47)))))-COUNTBLANK(OFFSET(A$1,,,SUMPRODUCT(MAX(ROW(E$1:E46)*(E2=E$1:E46))))))</f>
        <v/>
      </c>
      <c r="K47" s="25" t="str">
        <f>IF(OR(E47="",E47="!!!",F47="NEW"),"",INDEX(J$1:J46,SUMPRODUCT(MAX(ROW(E$1:E46)*(E47=E$1:E46)))))</f>
        <v/>
      </c>
      <c r="L47" s="26"/>
    </row>
    <row r="48" spans="1:12" x14ac:dyDescent="0.3">
      <c r="A48" t="s">
        <v>143</v>
      </c>
      <c r="E48" s="21" t="str">
        <f t="shared" si="2"/>
        <v/>
      </c>
      <c r="F48" s="22" t="str">
        <f>IF(OR(E48="",E48="!!!"),"",IF(NOT(ISNA(VLOOKUP(E48,E$1:E47,1,FALSE()))),"OLD",IF(AND(E48&lt;&gt;"",E48&lt;&gt;"!!!"),"NEW","")))</f>
        <v/>
      </c>
      <c r="G48" s="23" t="str">
        <f>IF(OR(E48="",E48="!!!"),"",IF(OR(J48=0,AND(J48=1,K48=1),AND(J48=1,I48="SBJ"),AND(J48=1,I48=0)),"?IN_FOCUS",IF(J48&lt;=2,"?ACTIVATED",IF(J48&lt;&gt;"","?FAMILIAR",IF(F48="NEW",IF(ISNA(VLOOKUP(E48,#REF!,1,FALSE())),"?TYPE_IDENTIFIABLE","?REFERENTIAL"),"_")))))</f>
        <v/>
      </c>
      <c r="H48" s="24" t="str">
        <f t="shared" ca="1" si="3"/>
        <v/>
      </c>
      <c r="I48" s="25" t="str">
        <f>IF(OR(E48="",E48="!!!",F48="NEW"),"",INDEX(B$2:B47,-1+SUMPRODUCT(MAX(ROW(E$2:E47)*(E48=E$2:E47)))))</f>
        <v/>
      </c>
      <c r="J48" s="25" t="str">
        <f ca="1">IF(OR(E48="",E48="!!!",F48="NEW"),"",COUNTBLANK(OFFSET(A$1,,,SUMPRODUCT(MAX(ROW(E$2:E48)*(E48=E$2:E48)))))-COUNTBLANK(OFFSET(A$1,,,SUMPRODUCT(MAX(ROW(E$1:E47)*(E2=E$1:E47))))))</f>
        <v/>
      </c>
      <c r="K48" s="25" t="str">
        <f>IF(OR(E48="",E48="!!!",F48="NEW"),"",INDEX(J$1:J47,SUMPRODUCT(MAX(ROW(E$1:E47)*(E48=E$1:E47)))))</f>
        <v/>
      </c>
      <c r="L48" s="26"/>
    </row>
    <row r="49" spans="1:12" x14ac:dyDescent="0.3">
      <c r="A49" t="s">
        <v>90</v>
      </c>
      <c r="B49" s="20" t="s">
        <v>144</v>
      </c>
      <c r="C49" s="20" t="s">
        <v>145</v>
      </c>
      <c r="D49" s="20" t="s">
        <v>102</v>
      </c>
      <c r="E49" s="21" t="s">
        <v>421</v>
      </c>
      <c r="F49" s="22" t="str">
        <f>IF(OR(E49="",E49="!!!"),"",IF(NOT(ISNA(VLOOKUP(E49,E$1:E48,1,FALSE()))),"OLD",IF(AND(E49&lt;&gt;"",E49&lt;&gt;"!!!"),"NEW","")))</f>
        <v>NEW</v>
      </c>
      <c r="G49" s="23" t="s">
        <v>447</v>
      </c>
      <c r="H49" s="24" t="str">
        <f t="shared" ca="1" si="3"/>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97</v>
      </c>
      <c r="E50" s="21" t="str">
        <f t="shared" si="2"/>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3"/>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118</v>
      </c>
      <c r="B51" s="20" t="s">
        <v>146</v>
      </c>
      <c r="E51" s="21" t="str">
        <f t="shared" si="2"/>
        <v/>
      </c>
      <c r="F51" s="22" t="str">
        <f>IF(OR(E51="",E51="!!!"),"",IF(NOT(ISNA(VLOOKUP(E51,E$1:E50,1,FALSE()))),"OLD",IF(AND(E51&lt;&gt;"",E51&lt;&gt;"!!!"),"NEW","")))</f>
        <v/>
      </c>
      <c r="G51" s="23" t="str">
        <f>IF(OR(E51="",E51="!!!"),"",IF(OR(J51=0,AND(J51=1,K51=1),AND(J51=1,I51="SBJ"),AND(J51=1,I51=0)),"?IN_FOCUS",IF(J51&lt;=2,"?ACTIVATED",IF(J51&lt;&gt;"","?FAMILIAR",IF(F51="NEW",IF(ISNA(VLOOKUP(E51,#REF!,1,FALSE())),"?TYPE_IDENTIFIABLE","?REFERENTIAL"),"_")))))</f>
        <v/>
      </c>
      <c r="H51" s="24" t="str">
        <f t="shared" ca="1" si="3"/>
        <v/>
      </c>
      <c r="I51" s="25" t="str">
        <f>IF(OR(E51="",E51="!!!",F51="NEW"),"",INDEX(B$2:B50,-1+SUMPRODUCT(MAX(ROW(E$2:E50)*(E51=E$2:E50)))))</f>
        <v/>
      </c>
      <c r="J51" s="25" t="str">
        <f ca="1">IF(OR(E51="",E51="!!!",F51="NEW"),"",COUNTBLANK(OFFSET(A$1,,,SUMPRODUCT(MAX(ROW(E$2:E51)*(E51=E$2:E51)))))-COUNTBLANK(OFFSET(A$1,,,SUMPRODUCT(MAX(ROW(E$1:E50)*(E2=E$1:E50))))))</f>
        <v/>
      </c>
      <c r="K51" s="25" t="str">
        <f>IF(OR(E51="",E51="!!!",F51="NEW"),"",INDEX(J$1:J50,SUMPRODUCT(MAX(ROW(E$1:E50)*(E51=E$1:E50)))))</f>
        <v/>
      </c>
      <c r="L51" s="26"/>
    </row>
    <row r="52" spans="1:12" x14ac:dyDescent="0.3">
      <c r="A52" t="s">
        <v>147</v>
      </c>
      <c r="E52" s="21" t="str">
        <f t="shared" si="2"/>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3"/>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148</v>
      </c>
      <c r="E53" s="21" t="str">
        <f t="shared" si="2"/>
        <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3"/>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149</v>
      </c>
      <c r="B54" s="20" t="s">
        <v>127</v>
      </c>
      <c r="C54" s="20" t="s">
        <v>128</v>
      </c>
      <c r="E54" s="21" t="str">
        <f t="shared" si="2"/>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t="shared" ca="1" si="3"/>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150</v>
      </c>
      <c r="E55" s="21" t="str">
        <f t="shared" si="2"/>
        <v/>
      </c>
      <c r="F55" s="22" t="str">
        <f>IF(OR(E55="",E55="!!!"),"",IF(NOT(ISNA(VLOOKUP(E55,E$1:E54,1,FALSE()))),"OLD",IF(AND(E55&lt;&gt;"",E55&lt;&gt;"!!!"),"NEW","")))</f>
        <v/>
      </c>
      <c r="G55" s="23" t="str">
        <f>IF(OR(E55="",E55="!!!"),"",IF(OR(J55=0,AND(J55=1,K55=1),AND(J55=1,I55="SBJ"),AND(J55=1,I55=0)),"?IN_FOCUS",IF(J55&lt;=2,"?ACTIVATED",IF(J55&lt;&gt;"","?FAMILIAR",IF(F55="NEW",IF(ISNA(VLOOKUP(E55,#REF!,1,FALSE())),"?TYPE_IDENTIFIABLE","?REFERENTIAL"),"_")))))</f>
        <v/>
      </c>
      <c r="H55" s="24" t="str">
        <f t="shared" ca="1" si="3"/>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6" spans="1:12" x14ac:dyDescent="0.3">
      <c r="A56" t="s">
        <v>97</v>
      </c>
      <c r="E56" s="21" t="str">
        <f t="shared" si="2"/>
        <v/>
      </c>
      <c r="F56" s="22" t="str">
        <f>IF(OR(E56="",E56="!!!"),"",IF(NOT(ISNA(VLOOKUP(E56,E$1:E55,1,FALSE()))),"OLD",IF(AND(E56&lt;&gt;"",E56&lt;&gt;"!!!"),"NEW","")))</f>
        <v/>
      </c>
      <c r="G56" s="23" t="str">
        <f>IF(OR(E56="",E56="!!!"),"",IF(OR(J56=0,AND(J56=1,K56=1),AND(J56=1,I56="SBJ"),AND(J56=1,I56=0)),"?IN_FOCUS",IF(J56&lt;=2,"?ACTIVATED",IF(J56&lt;&gt;"","?FAMILIAR",IF(F56="NEW",IF(ISNA(VLOOKUP(E56,#REF!,1,FALSE())),"?TYPE_IDENTIFIABLE","?REFERENTIAL"),"_")))))</f>
        <v/>
      </c>
      <c r="H56" s="24" t="str">
        <f t="shared" ca="1" si="3"/>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row>
    <row r="57" spans="1:12" x14ac:dyDescent="0.3">
      <c r="A57" t="s">
        <v>151</v>
      </c>
      <c r="E57" s="21" t="str">
        <f t="shared" si="2"/>
        <v/>
      </c>
      <c r="F57" s="22" t="str">
        <f>IF(OR(E57="",E57="!!!"),"",IF(NOT(ISNA(VLOOKUP(E57,E$1:E56,1,FALSE()))),"OLD",IF(AND(E57&lt;&gt;"",E57&lt;&gt;"!!!"),"NEW","")))</f>
        <v/>
      </c>
      <c r="G57" s="23" t="str">
        <f>IF(OR(E57="",E57="!!!"),"",IF(OR(J57=0,AND(J57=1,K57=1),AND(J57=1,I57="SBJ"),AND(J57=1,I57=0)),"?IN_FOCUS",IF(J57&lt;=2,"?ACTIVATED",IF(J57&lt;&gt;"","?FAMILIAR",IF(F57="NEW",IF(ISNA(VLOOKUP(E57,#REF!,1,FALSE())),"?TYPE_IDENTIFIABLE","?REFERENTIAL"),"_")))))</f>
        <v/>
      </c>
      <c r="H57" s="24" t="str">
        <f t="shared" ca="1" si="3"/>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152</v>
      </c>
      <c r="B58" s="20" t="s">
        <v>107</v>
      </c>
      <c r="C58" s="20" t="s">
        <v>153</v>
      </c>
      <c r="D58" s="20" t="s">
        <v>102</v>
      </c>
      <c r="E58" s="21" t="s">
        <v>412</v>
      </c>
      <c r="F58" s="22" t="str">
        <f>IF(OR(E58="",E58="!!!"),"",IF(NOT(ISNA(VLOOKUP(E58,E$1:E57,1,FALSE()))),"OLD",IF(AND(E58&lt;&gt;"",E58&lt;&gt;"!!!"),"NEW","")))</f>
        <v>OLD</v>
      </c>
      <c r="G58" s="23" t="s">
        <v>446</v>
      </c>
      <c r="H58" s="24" t="str">
        <f t="shared" ca="1" si="3"/>
        <v/>
      </c>
      <c r="I58" s="25" t="str">
        <f>IF(OR(E58="",E58="!!!",F58="NEW"),"",INDEX(B$2:B57,-1+SUMPRODUCT(MAX(ROW(E$2:E57)*(E58=E$2:E57)))))</f>
        <v>other_5</v>
      </c>
      <c r="J58" s="25">
        <f ca="1">IF(OR(E58="",E58="!!!",F58="NEW"),"",COUNTBLANK(OFFSET(A$1,,,SUMPRODUCT(MAX(ROW(E$2:E58)*(E58=E$2:E58)))))-COUNTBLANK(OFFSET(A$1,,,SUMPRODUCT(MAX(ROW(E$1:E57)*(E2=E$1:E57))))))</f>
        <v>0</v>
      </c>
      <c r="K58" s="25">
        <f ca="1">IF(OR(E58="",E58="!!!",F58="NEW"),"",INDEX(J$1:J57,SUMPRODUCT(MAX(ROW(E$1:E57)*(E58=E$1:E57)))))</f>
        <v>0</v>
      </c>
      <c r="L58" s="26"/>
    </row>
    <row r="59" spans="1:12" x14ac:dyDescent="0.3">
      <c r="A59" t="s">
        <v>154</v>
      </c>
      <c r="E59" s="21" t="str">
        <f t="shared" si="2"/>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3"/>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155</v>
      </c>
      <c r="E60" s="21" t="str">
        <f t="shared" si="2"/>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3"/>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2" spans="1:12" x14ac:dyDescent="0.3">
      <c r="A62" t="s">
        <v>156</v>
      </c>
      <c r="E62" s="21" t="str">
        <f>IF(D62="?OLD","!!!","")</f>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ca="1">IF(J62&lt;&gt;1,"",IF(I62="SBJ","CB","?"))</f>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157</v>
      </c>
    </row>
    <row r="64" spans="1:12" x14ac:dyDescent="0.3">
      <c r="A64" t="s">
        <v>158</v>
      </c>
      <c r="E64" s="21" t="str">
        <f t="shared" ref="E64:E100" si="4">IF(D64="?OLD","!!!","")</f>
        <v/>
      </c>
      <c r="F64" s="22" t="str">
        <f>IF(OR(E64="",E64="!!!"),"",IF(NOT(ISNA(VLOOKUP(E64,E$1:E63,1,FALSE()))),"OLD",IF(AND(E64&lt;&gt;"",E64&lt;&gt;"!!!"),"NEW","")))</f>
        <v/>
      </c>
      <c r="G64" s="23" t="str">
        <f>IF(OR(E64="",E64="!!!"),"",IF(OR(J64=0,AND(J64=1,K64=1),AND(J64=1,I64="SBJ"),AND(J64=1,I64=0)),"?IN_FOCUS",IF(J64&lt;=2,"?ACTIVATED",IF(J64&lt;&gt;"","?FAMILIAR",IF(F64="NEW",IF(ISNA(VLOOKUP(E64,#REF!,1,FALSE())),"?TYPE_IDENTIFIABLE","?REFERENTIAL"),"_")))))</f>
        <v/>
      </c>
      <c r="H64" s="24" t="str">
        <f t="shared" ref="H64:H100" ca="1" si="5">IF(J64&lt;&gt;1,"",IF(I64="SBJ","CB","?"))</f>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159</v>
      </c>
      <c r="E65" s="21" t="str">
        <f t="shared" si="4"/>
        <v/>
      </c>
      <c r="F65" s="22" t="str">
        <f>IF(OR(E65="",E65="!!!"),"",IF(NOT(ISNA(VLOOKUP(E65,E$1:E64,1,FALSE()))),"OLD",IF(AND(E65&lt;&gt;"",E65&lt;&gt;"!!!"),"NEW","")))</f>
        <v/>
      </c>
      <c r="G65" s="23" t="str">
        <f>IF(OR(E65="",E65="!!!"),"",IF(OR(J65=0,AND(J65=1,K65=1),AND(J65=1,I65="SBJ"),AND(J65=1,I65=0)),"?IN_FOCUS",IF(J65&lt;=2,"?ACTIVATED",IF(J65&lt;&gt;"","?FAMILIAR",IF(F65="NEW",IF(ISNA(VLOOKUP(E65,#REF!,1,FALSE())),"?TYPE_IDENTIFIABLE","?REFERENTIAL"),"_")))))</f>
        <v/>
      </c>
      <c r="H65" s="24" t="str">
        <f t="shared" ca="1" si="5"/>
        <v/>
      </c>
      <c r="I65" s="25" t="str">
        <f>IF(OR(E65="",E65="!!!",F65="NEW"),"",INDEX(B$2:B64,-1+SUMPRODUCT(MAX(ROW(E$2:E64)*(E65=E$2:E64)))))</f>
        <v/>
      </c>
      <c r="J65" s="25" t="str">
        <f ca="1">IF(OR(E65="",E65="!!!",F65="NEW"),"",COUNTBLANK(OFFSET(A$1,,,SUMPRODUCT(MAX(ROW(E$2:E65)*(E65=E$2:E65)))))-COUNTBLANK(OFFSET(A$1,,,SUMPRODUCT(MAX(ROW(E$1:E64)*(E2=E$1:E64))))))</f>
        <v/>
      </c>
      <c r="K65" s="25" t="str">
        <f>IF(OR(E65="",E65="!!!",F65="NEW"),"",INDEX(J$1:J64,SUMPRODUCT(MAX(ROW(E$1:E64)*(E65=E$1:E64)))))</f>
        <v/>
      </c>
      <c r="L65" s="26"/>
    </row>
    <row r="66" spans="1:12" x14ac:dyDescent="0.3">
      <c r="A66" t="s">
        <v>160</v>
      </c>
      <c r="B66" s="20" t="s">
        <v>161</v>
      </c>
      <c r="C66" s="20" t="s">
        <v>104</v>
      </c>
      <c r="D66" s="20" t="s">
        <v>102</v>
      </c>
      <c r="E66" s="21"/>
      <c r="F66" s="22" t="s">
        <v>413</v>
      </c>
      <c r="G66" s="23" t="str">
        <f>IF(OR(E66="",E66="!!!"),"",IF(OR(J66=0,AND(J66=1,K66=1),AND(J66=1,I66="SBJ"),AND(J66=1,I66=0)),"?IN_FOCUS",IF(J66&lt;=2,"?ACTIVATED",IF(J66&lt;&gt;"","?FAMILIAR",IF(F66="NEW",IF(ISNA(VLOOKUP(E66,#REF!,1,FALSE())),"?TYPE_IDENTIFIABLE","?REFERENTIAL"),"_")))))</f>
        <v/>
      </c>
      <c r="H66" s="24" t="str">
        <f t="shared" ca="1" si="5"/>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162</v>
      </c>
      <c r="E67" s="21" t="str">
        <f t="shared" si="4"/>
        <v/>
      </c>
      <c r="F67" s="22" t="str">
        <f>IF(OR(E67="",E67="!!!"),"",IF(NOT(ISNA(VLOOKUP(E67,E$1:E66,1,FALSE()))),"OLD",IF(AND(E67&lt;&gt;"",E67&lt;&gt;"!!!"),"NEW","")))</f>
        <v/>
      </c>
      <c r="G67" s="23" t="str">
        <f>IF(OR(E67="",E67="!!!"),"",IF(OR(J67=0,AND(J67=1,K67=1),AND(J67=1,I67="SBJ"),AND(J67=1,I67=0)),"?IN_FOCUS",IF(J67&lt;=2,"?ACTIVATED",IF(J67&lt;&gt;"","?FAMILIAR",IF(F67="NEW",IF(ISNA(VLOOKUP(E67,#REF!,1,FALSE())),"?TYPE_IDENTIFIABLE","?REFERENTIAL"),"_")))))</f>
        <v/>
      </c>
      <c r="H67" s="24" t="str">
        <f t="shared" ca="1" si="5"/>
        <v/>
      </c>
      <c r="I67" s="25" t="str">
        <f>IF(OR(E67="",E67="!!!",F67="NEW"),"",INDEX(B$2:B66,-1+SUMPRODUCT(MAX(ROW(E$2:E66)*(E67=E$2:E66)))))</f>
        <v/>
      </c>
      <c r="J67" s="25" t="str">
        <f ca="1">IF(OR(E67="",E67="!!!",F67="NEW"),"",COUNTBLANK(OFFSET(A$1,,,SUMPRODUCT(MAX(ROW(E$2:E67)*(E67=E$2:E67)))))-COUNTBLANK(OFFSET(A$1,,,SUMPRODUCT(MAX(ROW(E$1:E66)*(E2=E$1:E66))))))</f>
        <v/>
      </c>
      <c r="K67" s="25" t="str">
        <f>IF(OR(E67="",E67="!!!",F67="NEW"),"",INDEX(J$1:J66,SUMPRODUCT(MAX(ROW(E$1:E66)*(E67=E$1:E66)))))</f>
        <v/>
      </c>
      <c r="L67" s="26"/>
    </row>
    <row r="68" spans="1:12" x14ac:dyDescent="0.3">
      <c r="A68" t="s">
        <v>163</v>
      </c>
      <c r="B68" s="20" t="s">
        <v>91</v>
      </c>
      <c r="C68" s="20" t="s">
        <v>104</v>
      </c>
      <c r="D68" s="20" t="s">
        <v>102</v>
      </c>
      <c r="E68" s="21" t="s">
        <v>410</v>
      </c>
      <c r="F68" s="22" t="str">
        <f>IF(OR(E68="",E68="!!!"),"",IF(NOT(ISNA(VLOOKUP(E68,E$1:E67,1,FALSE()))),"OLD",IF(AND(E68&lt;&gt;"",E68&lt;&gt;"!!!"),"NEW","")))</f>
        <v>OLD</v>
      </c>
      <c r="G68" s="23" t="s">
        <v>447</v>
      </c>
      <c r="H68" s="24" t="str">
        <f t="shared" ca="1" si="5"/>
        <v/>
      </c>
      <c r="I68" s="25" t="str">
        <f>IF(OR(E68="",E68="!!!",F68="NEW"),"",INDEX(B$2:B67,-1+SUMPRODUCT(MAX(ROW(E$2:E67)*(E68=E$2:E67)))))</f>
        <v>SBJ_2</v>
      </c>
      <c r="J68" s="25">
        <f ca="1">IF(OR(E68="",E68="!!!",F68="NEW"),"",COUNTBLANK(OFFSET(A$1,,,SUMPRODUCT(MAX(ROW(E$2:E68)*(E68=E$2:E68)))))-COUNTBLANK(OFFSET(A$1,,,SUMPRODUCT(MAX(ROW(E$1:E67)*(E2=E$1:E67))))))</f>
        <v>0</v>
      </c>
      <c r="K68" s="25" t="str">
        <f ca="1">IF(OR(E68="",E68="!!!",F68="NEW"),"",INDEX(J$1:J67,SUMPRODUCT(MAX(ROW(E$1:E67)*(E68=E$1:E67)))))</f>
        <v/>
      </c>
      <c r="L68" s="26"/>
    </row>
    <row r="69" spans="1:12" x14ac:dyDescent="0.3">
      <c r="A69" t="s">
        <v>164</v>
      </c>
      <c r="B69" s="20" t="s">
        <v>96</v>
      </c>
      <c r="C69" s="20" t="s">
        <v>92</v>
      </c>
      <c r="E69" s="21" t="s">
        <v>445</v>
      </c>
      <c r="F69" s="22" t="str">
        <f>IF(OR(E69="",E69="!!!"),"",IF(NOT(ISNA(VLOOKUP(E69,E$1:E68,1,FALSE()))),"OLD",IF(AND(E69&lt;&gt;"",E69&lt;&gt;"!!!"),"NEW","")))</f>
        <v>NEW</v>
      </c>
      <c r="G69" s="23" t="s">
        <v>448</v>
      </c>
      <c r="H69" s="24" t="str">
        <f t="shared" ca="1" si="5"/>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t="s">
        <v>409</v>
      </c>
    </row>
    <row r="70" spans="1:12" x14ac:dyDescent="0.3">
      <c r="A70" t="s">
        <v>165</v>
      </c>
      <c r="E70" s="21" t="str">
        <f t="shared" si="4"/>
        <v/>
      </c>
      <c r="F70" s="22" t="str">
        <f>IF(OR(E70="",E70="!!!"),"",IF(NOT(ISNA(VLOOKUP(E70,E$1:E69,1,FALSE()))),"OLD",IF(AND(E70&lt;&gt;"",E70&lt;&gt;"!!!"),"NEW","")))</f>
        <v/>
      </c>
      <c r="G70" s="23" t="str">
        <f>IF(OR(E70="",E70="!!!"),"",IF(OR(J70=0,AND(J70=1,K70=1),AND(J70=1,I70="SBJ"),AND(J70=1,I70=0)),"?IN_FOCUS",IF(J70&lt;=2,"?ACTIVATED",IF(J70&lt;&gt;"","?FAMILIAR",IF(F70="NEW",IF(ISNA(VLOOKUP(E70,#REF!,1,FALSE())),"?TYPE_IDENTIFIABLE","?REFERENTIAL"),"_")))))</f>
        <v/>
      </c>
      <c r="H70" s="24" t="str">
        <f t="shared" ca="1" si="5"/>
        <v/>
      </c>
      <c r="I70" s="25" t="str">
        <f>IF(OR(E70="",E70="!!!",F70="NEW"),"",INDEX(B$2:B69,-1+SUMPRODUCT(MAX(ROW(E$2:E69)*(E70=E$2:E69)))))</f>
        <v/>
      </c>
      <c r="J70" s="25" t="str">
        <f ca="1">IF(OR(E70="",E70="!!!",F70="NEW"),"",COUNTBLANK(OFFSET(A$1,,,SUMPRODUCT(MAX(ROW(E$2:E70)*(E70=E$2:E70)))))-COUNTBLANK(OFFSET(A$1,,,SUMPRODUCT(MAX(ROW(E$1:E69)*(E2=E$1:E69))))))</f>
        <v/>
      </c>
      <c r="K70" s="25" t="str">
        <f>IF(OR(E70="",E70="!!!",F70="NEW"),"",INDEX(J$1:J69,SUMPRODUCT(MAX(ROW(E$1:E69)*(E70=E$1:E69)))))</f>
        <v/>
      </c>
      <c r="L70" s="26"/>
    </row>
    <row r="71" spans="1:12" x14ac:dyDescent="0.3">
      <c r="A71" t="s">
        <v>97</v>
      </c>
      <c r="E71" s="21" t="str">
        <f t="shared" si="4"/>
        <v/>
      </c>
      <c r="F71" s="22" t="str">
        <f>IF(OR(E71="",E71="!!!"),"",IF(NOT(ISNA(VLOOKUP(E71,E$1:E70,1,FALSE()))),"OLD",IF(AND(E71&lt;&gt;"",E71&lt;&gt;"!!!"),"NEW","")))</f>
        <v/>
      </c>
      <c r="G71" s="23" t="str">
        <f>IF(OR(E71="",E71="!!!"),"",IF(OR(J71=0,AND(J71=1,K71=1),AND(J71=1,I71="SBJ"),AND(J71=1,I71=0)),"?IN_FOCUS",IF(J71&lt;=2,"?ACTIVATED",IF(J71&lt;&gt;"","?FAMILIAR",IF(F71="NEW",IF(ISNA(VLOOKUP(E71,#REF!,1,FALSE())),"?TYPE_IDENTIFIABLE","?REFERENTIAL"),"_")))))</f>
        <v/>
      </c>
      <c r="H71" s="24" t="str">
        <f t="shared" ca="1" si="5"/>
        <v/>
      </c>
      <c r="I71" s="25" t="str">
        <f>IF(OR(E71="",E71="!!!",F71="NEW"),"",INDEX(B$2:B70,-1+SUMPRODUCT(MAX(ROW(E$2:E70)*(E71=E$2:E70)))))</f>
        <v/>
      </c>
      <c r="J71" s="25" t="str">
        <f ca="1">IF(OR(E71="",E71="!!!",F71="NEW"),"",COUNTBLANK(OFFSET(A$1,,,SUMPRODUCT(MAX(ROW(E$2:E71)*(E71=E$2:E71)))))-COUNTBLANK(OFFSET(A$1,,,SUMPRODUCT(MAX(ROW(E$1:E70)*(E2=E$1:E70))))))</f>
        <v/>
      </c>
      <c r="K71" s="25" t="str">
        <f>IF(OR(E71="",E71="!!!",F71="NEW"),"",INDEX(J$1:J70,SUMPRODUCT(MAX(ROW(E$1:E70)*(E71=E$1:E70)))))</f>
        <v/>
      </c>
      <c r="L71" s="26"/>
    </row>
    <row r="72" spans="1:12" x14ac:dyDescent="0.3">
      <c r="A72" t="s">
        <v>115</v>
      </c>
      <c r="E72" s="21" t="str">
        <f t="shared" si="4"/>
        <v/>
      </c>
      <c r="F72" s="22" t="str">
        <f>IF(OR(E72="",E72="!!!"),"",IF(NOT(ISNA(VLOOKUP(E72,E$1:E71,1,FALSE()))),"OLD",IF(AND(E72&lt;&gt;"",E72&lt;&gt;"!!!"),"NEW","")))</f>
        <v/>
      </c>
      <c r="G72" s="23" t="str">
        <f>IF(OR(E72="",E72="!!!"),"",IF(OR(J72=0,AND(J72=1,K72=1),AND(J72=1,I72="SBJ"),AND(J72=1,I72=0)),"?IN_FOCUS",IF(J72&lt;=2,"?ACTIVATED",IF(J72&lt;&gt;"","?FAMILIAR",IF(F72="NEW",IF(ISNA(VLOOKUP(E72,#REF!,1,FALSE())),"?TYPE_IDENTIFIABLE","?REFERENTIAL"),"_")))))</f>
        <v/>
      </c>
      <c r="H72" s="24" t="str">
        <f t="shared" ca="1" si="5"/>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3" spans="1:12" x14ac:dyDescent="0.3">
      <c r="A73" t="s">
        <v>166</v>
      </c>
      <c r="B73" s="20" t="s">
        <v>107</v>
      </c>
      <c r="C73" s="20" t="s">
        <v>112</v>
      </c>
      <c r="D73" s="20" t="s">
        <v>102</v>
      </c>
      <c r="E73" s="21" t="s">
        <v>412</v>
      </c>
      <c r="F73" s="22" t="str">
        <f>IF(OR(E73="",E73="!!!"),"",IF(NOT(ISNA(VLOOKUP(E73,E$1:E72,1,FALSE()))),"OLD",IF(AND(E73&lt;&gt;"",E73&lt;&gt;"!!!"),"NEW","")))</f>
        <v>OLD</v>
      </c>
      <c r="G73" s="23" t="s">
        <v>449</v>
      </c>
      <c r="H73" s="24" t="s">
        <v>85</v>
      </c>
      <c r="I73" s="25" t="str">
        <f>IF(OR(E73="",E73="!!!",F73="NEW"),"",INDEX(B$2:B72,-1+SUMPRODUCT(MAX(ROW(E$2:E72)*(E73=E$2:E72)))))</f>
        <v>OBJ_2</v>
      </c>
      <c r="J73" s="25">
        <f ca="1">IF(OR(E73="",E73="!!!",F73="NEW"),"",COUNTBLANK(OFFSET(A$1,,,SUMPRODUCT(MAX(ROW(E$2:E73)*(E73=E$2:E73)))))-COUNTBLANK(OFFSET(A$1,,,SUMPRODUCT(MAX(ROW(E$1:E72)*(E2=E$1:E72))))))</f>
        <v>0</v>
      </c>
      <c r="K73" s="25">
        <f ca="1">IF(OR(E73="",E73="!!!",F73="NEW"),"",INDEX(J$1:J72,SUMPRODUCT(MAX(ROW(E$1:E72)*(E73=E$1:E72)))))</f>
        <v>0</v>
      </c>
      <c r="L73" s="26"/>
    </row>
    <row r="74" spans="1:12" x14ac:dyDescent="0.3">
      <c r="A74" t="s">
        <v>167</v>
      </c>
      <c r="E74" s="21" t="str">
        <f t="shared" si="4"/>
        <v/>
      </c>
      <c r="F74" s="22" t="str">
        <f>IF(OR(E74="",E74="!!!"),"",IF(NOT(ISNA(VLOOKUP(E74,E$1:E73,1,FALSE()))),"OLD",IF(AND(E74&lt;&gt;"",E74&lt;&gt;"!!!"),"NEW","")))</f>
        <v/>
      </c>
      <c r="G74" s="23" t="str">
        <f>IF(OR(E74="",E74="!!!"),"",IF(OR(J74=0,AND(J74=1,K74=1),AND(J74=1,I74="SBJ"),AND(J74=1,I74=0)),"?IN_FOCUS",IF(J74&lt;=2,"?ACTIVATED",IF(J74&lt;&gt;"","?FAMILIAR",IF(F74="NEW",IF(ISNA(VLOOKUP(E74,#REF!,1,FALSE())),"?TYPE_IDENTIFIABLE","?REFERENTIAL"),"_")))))</f>
        <v/>
      </c>
      <c r="H74" s="24" t="str">
        <f t="shared" ca="1" si="5"/>
        <v/>
      </c>
      <c r="I74" s="25" t="str">
        <f>IF(OR(E74="",E74="!!!",F74="NEW"),"",INDEX(B$2:B73,-1+SUMPRODUCT(MAX(ROW(E$2:E73)*(E74=E$2:E73)))))</f>
        <v/>
      </c>
      <c r="J74" s="25" t="str">
        <f ca="1">IF(OR(E74="",E74="!!!",F74="NEW"),"",COUNTBLANK(OFFSET(A$1,,,SUMPRODUCT(MAX(ROW(E$2:E74)*(E74=E$2:E74)))))-COUNTBLANK(OFFSET(A$1,,,SUMPRODUCT(MAX(ROW(E$1:E73)*(E2=E$1:E73))))))</f>
        <v/>
      </c>
      <c r="K74" s="25" t="str">
        <f>IF(OR(E74="",E74="!!!",F74="NEW"),"",INDEX(J$1:J73,SUMPRODUCT(MAX(ROW(E$1:E73)*(E74=E$1:E73)))))</f>
        <v/>
      </c>
      <c r="L74" s="26"/>
    </row>
    <row r="75" spans="1:12" x14ac:dyDescent="0.3">
      <c r="A75" t="s">
        <v>168</v>
      </c>
      <c r="E75" s="21" t="str">
        <f t="shared" si="4"/>
        <v/>
      </c>
      <c r="F75" s="22" t="str">
        <f>IF(OR(E75="",E75="!!!"),"",IF(NOT(ISNA(VLOOKUP(E75,E$1:E74,1,FALSE()))),"OLD",IF(AND(E75&lt;&gt;"",E75&lt;&gt;"!!!"),"NEW","")))</f>
        <v/>
      </c>
      <c r="G75" s="23" t="str">
        <f>IF(OR(E75="",E75="!!!"),"",IF(OR(J75=0,AND(J75=1,K75=1),AND(J75=1,I75="SBJ"),AND(J75=1,I75=0)),"?IN_FOCUS",IF(J75&lt;=2,"?ACTIVATED",IF(J75&lt;&gt;"","?FAMILIAR",IF(F75="NEW",IF(ISNA(VLOOKUP(E75,#REF!,1,FALSE())),"?TYPE_IDENTIFIABLE","?REFERENTIAL"),"_")))))</f>
        <v/>
      </c>
      <c r="H75" s="24" t="str">
        <f t="shared" ca="1" si="5"/>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x14ac:dyDescent="0.3">
      <c r="A76" t="s">
        <v>169</v>
      </c>
      <c r="E76" s="21" t="str">
        <f t="shared" si="4"/>
        <v/>
      </c>
      <c r="F76" s="22" t="str">
        <f>IF(OR(E76="",E76="!!!"),"",IF(NOT(ISNA(VLOOKUP(E76,E$1:E75,1,FALSE()))),"OLD",IF(AND(E76&lt;&gt;"",E76&lt;&gt;"!!!"),"NEW","")))</f>
        <v/>
      </c>
      <c r="G76" s="23" t="str">
        <f>IF(OR(E76="",E76="!!!"),"",IF(OR(J76=0,AND(J76=1,K76=1),AND(J76=1,I76="SBJ"),AND(J76=1,I76=0)),"?IN_FOCUS",IF(J76&lt;=2,"?ACTIVATED",IF(J76&lt;&gt;"","?FAMILIAR",IF(F76="NEW",IF(ISNA(VLOOKUP(E76,#REF!,1,FALSE())),"?TYPE_IDENTIFIABLE","?REFERENTIAL"),"_")))))</f>
        <v/>
      </c>
      <c r="H76" s="24" t="str">
        <f t="shared" ca="1" si="5"/>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170</v>
      </c>
      <c r="E77" s="21" t="str">
        <f t="shared" si="4"/>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5"/>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97</v>
      </c>
      <c r="E78" s="21" t="str">
        <f t="shared" si="4"/>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5"/>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171</v>
      </c>
      <c r="E79" s="21" t="str">
        <f t="shared" si="4"/>
        <v/>
      </c>
      <c r="F79" s="22" t="str">
        <f>IF(OR(E79="",E79="!!!"),"",IF(NOT(ISNA(VLOOKUP(E79,E$1:E78,1,FALSE()))),"OLD",IF(AND(E79&lt;&gt;"",E79&lt;&gt;"!!!"),"NEW","")))</f>
        <v/>
      </c>
      <c r="G79" s="23" t="str">
        <f>IF(OR(E79="",E79="!!!"),"",IF(OR(J79=0,AND(J79=1,K79=1),AND(J79=1,I79="SBJ"),AND(J79=1,I79=0)),"?IN_FOCUS",IF(J79&lt;=2,"?ACTIVATED",IF(J79&lt;&gt;"","?FAMILIAR",IF(F79="NEW",IF(ISNA(VLOOKUP(E79,#REF!,1,FALSE())),"?TYPE_IDENTIFIABLE","?REFERENTIAL"),"_")))))</f>
        <v/>
      </c>
      <c r="H79" s="24" t="str">
        <f t="shared" ca="1" si="5"/>
        <v/>
      </c>
      <c r="I79" s="25" t="str">
        <f>IF(OR(E79="",E79="!!!",F79="NEW"),"",INDEX(B$2:B78,-1+SUMPRODUCT(MAX(ROW(E$2:E78)*(E79=E$2:E78)))))</f>
        <v/>
      </c>
      <c r="J79" s="25" t="str">
        <f ca="1">IF(OR(E79="",E79="!!!",F79="NEW"),"",COUNTBLANK(OFFSET(A$1,,,SUMPRODUCT(MAX(ROW(E$2:E79)*(E79=E$2:E79)))))-COUNTBLANK(OFFSET(A$1,,,SUMPRODUCT(MAX(ROW(E$1:E78)*(E2=E$1:E78))))))</f>
        <v/>
      </c>
      <c r="K79" s="25" t="str">
        <f>IF(OR(E79="",E79="!!!",F79="NEW"),"",INDEX(J$1:J78,SUMPRODUCT(MAX(ROW(E$1:E78)*(E79=E$1:E78)))))</f>
        <v/>
      </c>
      <c r="L79" s="26"/>
    </row>
    <row r="80" spans="1:12" x14ac:dyDescent="0.3">
      <c r="A80" t="s">
        <v>118</v>
      </c>
      <c r="E80" s="21" t="str">
        <f t="shared" si="4"/>
        <v/>
      </c>
      <c r="F80" s="22" t="str">
        <f>IF(OR(E80="",E80="!!!"),"",IF(NOT(ISNA(VLOOKUP(E80,E$1:E79,1,FALSE()))),"OLD",IF(AND(E80&lt;&gt;"",E80&lt;&gt;"!!!"),"NEW","")))</f>
        <v/>
      </c>
      <c r="G80" s="23" t="str">
        <f>IF(OR(E80="",E80="!!!"),"",IF(OR(J80=0,AND(J80=1,K80=1),AND(J80=1,I80="SBJ"),AND(J80=1,I80=0)),"?IN_FOCUS",IF(J80&lt;=2,"?ACTIVATED",IF(J80&lt;&gt;"","?FAMILIAR",IF(F80="NEW",IF(ISNA(VLOOKUP(E80,#REF!,1,FALSE())),"?TYPE_IDENTIFIABLE","?REFERENTIAL"),"_")))))</f>
        <v/>
      </c>
      <c r="H80" s="24" t="str">
        <f t="shared" ca="1" si="5"/>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row>
    <row r="81" spans="1:12" x14ac:dyDescent="0.3">
      <c r="A81" t="s">
        <v>172</v>
      </c>
      <c r="B81" s="20" t="s">
        <v>144</v>
      </c>
      <c r="C81" s="20" t="s">
        <v>104</v>
      </c>
      <c r="D81" s="20" t="s">
        <v>102</v>
      </c>
      <c r="E81" s="21" t="s">
        <v>414</v>
      </c>
      <c r="F81" s="22" t="str">
        <f>IF(OR(E81="",E81="!!!"),"",IF(NOT(ISNA(VLOOKUP(E81,E$1:E80,1,FALSE()))),"OLD",IF(AND(E81&lt;&gt;"",E81&lt;&gt;"!!!"),"NEW","")))</f>
        <v>NEW</v>
      </c>
      <c r="G81" s="23" t="s">
        <v>83</v>
      </c>
      <c r="H81" s="24" t="str">
        <f t="shared" ca="1" si="5"/>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173</v>
      </c>
      <c r="B82" s="20" t="s">
        <v>174</v>
      </c>
      <c r="E82" s="21" t="str">
        <f t="shared" si="4"/>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5"/>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175</v>
      </c>
      <c r="E83" s="21" t="str">
        <f t="shared" si="4"/>
        <v/>
      </c>
      <c r="F83" s="22" t="str">
        <f>IF(OR(E83="",E83="!!!"),"",IF(NOT(ISNA(VLOOKUP(E83,E$1:E82,1,FALSE()))),"OLD",IF(AND(E83&lt;&gt;"",E83&lt;&gt;"!!!"),"NEW","")))</f>
        <v/>
      </c>
      <c r="G83" s="23" t="str">
        <f>IF(OR(E83="",E83="!!!"),"",IF(OR(J83=0,AND(J83=1,K83=1),AND(J83=1,I83="SBJ"),AND(J83=1,I83=0)),"?IN_FOCUS",IF(J83&lt;=2,"?ACTIVATED",IF(J83&lt;&gt;"","?FAMILIAR",IF(F83="NEW",IF(ISNA(VLOOKUP(E83,#REF!,1,FALSE())),"?TYPE_IDENTIFIABLE","?REFERENTIAL"),"_")))))</f>
        <v/>
      </c>
      <c r="H83" s="24" t="str">
        <f t="shared" ca="1" si="5"/>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176</v>
      </c>
      <c r="E84" s="21" t="str">
        <f t="shared" si="4"/>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5"/>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177</v>
      </c>
      <c r="E85" s="21" t="str">
        <f t="shared" si="4"/>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5"/>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178</v>
      </c>
      <c r="B86" s="20" t="s">
        <v>120</v>
      </c>
      <c r="C86" s="20" t="s">
        <v>104</v>
      </c>
      <c r="D86" s="20" t="s">
        <v>102</v>
      </c>
      <c r="E86" s="21"/>
      <c r="F86" s="22" t="s">
        <v>422</v>
      </c>
      <c r="G86" s="23" t="str">
        <f>IF(OR(E86="",E86="!!!"),"",IF(OR(J86=0,AND(J86=1,K86=1),AND(J86=1,I86="SBJ"),AND(J86=1,I86=0)),"?IN_FOCUS",IF(J86&lt;=2,"?ACTIVATED",IF(J86&lt;&gt;"","?FAMILIAR",IF(F86="NEW",IF(ISNA(VLOOKUP(E86,#REF!,1,FALSE())),"?TYPE_IDENTIFIABLE","?REFERENTIAL"),"_")))))</f>
        <v/>
      </c>
      <c r="H86" s="24" t="str">
        <f t="shared" ca="1" si="5"/>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7" spans="1:12" x14ac:dyDescent="0.3">
      <c r="A87" t="s">
        <v>177</v>
      </c>
      <c r="E87" s="21" t="str">
        <f t="shared" si="4"/>
        <v/>
      </c>
      <c r="F87" s="22" t="str">
        <f>IF(OR(E87="",E87="!!!"),"",IF(NOT(ISNA(VLOOKUP(E87,E$1:E86,1,FALSE()))),"OLD",IF(AND(E87&lt;&gt;"",E87&lt;&gt;"!!!"),"NEW","")))</f>
        <v/>
      </c>
      <c r="G87" s="23" t="str">
        <f>IF(OR(E87="",E87="!!!"),"",IF(OR(J87=0,AND(J87=1,K87=1),AND(J87=1,I87="SBJ"),AND(J87=1,I87=0)),"?IN_FOCUS",IF(J87&lt;=2,"?ACTIVATED",IF(J87&lt;&gt;"","?FAMILIAR",IF(F87="NEW",IF(ISNA(VLOOKUP(E87,#REF!,1,FALSE())),"?TYPE_IDENTIFIABLE","?REFERENTIAL"),"_")))))</f>
        <v/>
      </c>
      <c r="H87" s="24" t="str">
        <f t="shared" ca="1" si="5"/>
        <v/>
      </c>
      <c r="I87" s="25" t="str">
        <f>IF(OR(E87="",E87="!!!",F87="NEW"),"",INDEX(B$2:B86,-1+SUMPRODUCT(MAX(ROW(E$2:E86)*(E87=E$2:E86)))))</f>
        <v/>
      </c>
      <c r="J87" s="25" t="str">
        <f ca="1">IF(OR(E87="",E87="!!!",F87="NEW"),"",COUNTBLANK(OFFSET(A$1,,,SUMPRODUCT(MAX(ROW(E$2:E87)*(E87=E$2:E87)))))-COUNTBLANK(OFFSET(A$1,,,SUMPRODUCT(MAX(ROW(E$1:E86)*(E2=E$1:E86))))))</f>
        <v/>
      </c>
      <c r="K87" s="25" t="str">
        <f>IF(OR(E87="",E87="!!!",F87="NEW"),"",INDEX(J$1:J86,SUMPRODUCT(MAX(ROW(E$1:E86)*(E87=E$1:E86)))))</f>
        <v/>
      </c>
      <c r="L87" s="26"/>
    </row>
    <row r="88" spans="1:12" x14ac:dyDescent="0.3">
      <c r="A88" t="s">
        <v>179</v>
      </c>
      <c r="E88" s="21" t="str">
        <f t="shared" si="4"/>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5"/>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169</v>
      </c>
      <c r="E89" s="21" t="str">
        <f t="shared" si="4"/>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5"/>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180</v>
      </c>
      <c r="B90" s="20" t="s">
        <v>127</v>
      </c>
      <c r="C90" s="20" t="s">
        <v>181</v>
      </c>
      <c r="E90" s="21" t="str">
        <f t="shared" si="4"/>
        <v/>
      </c>
      <c r="F90" s="22" t="str">
        <f>IF(OR(E90="",E90="!!!"),"",IF(NOT(ISNA(VLOOKUP(E90,E$1:E89,1,FALSE()))),"OLD",IF(AND(E90&lt;&gt;"",E90&lt;&gt;"!!!"),"NEW","")))</f>
        <v/>
      </c>
      <c r="G90" s="23" t="str">
        <f>IF(OR(E90="",E90="!!!"),"",IF(OR(J90=0,AND(J90=1,K90=1),AND(J90=1,I90="SBJ"),AND(J90=1,I90=0)),"?IN_FOCUS",IF(J90&lt;=2,"?ACTIVATED",IF(J90&lt;&gt;"","?FAMILIAR",IF(F90="NEW",IF(ISNA(VLOOKUP(E90,#REF!,1,FALSE())),"?TYPE_IDENTIFIABLE","?REFERENTIAL"),"_")))))</f>
        <v/>
      </c>
      <c r="H90" s="24" t="str">
        <f t="shared" ca="1" si="5"/>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94</v>
      </c>
      <c r="E91" s="21" t="str">
        <f t="shared" si="4"/>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5"/>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182</v>
      </c>
      <c r="B92" s="20" t="s">
        <v>183</v>
      </c>
      <c r="C92" s="20" t="s">
        <v>92</v>
      </c>
      <c r="E92" s="21" t="str">
        <f t="shared" si="4"/>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ca="1" si="5"/>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3" spans="1:12" x14ac:dyDescent="0.3">
      <c r="A93" t="s">
        <v>184</v>
      </c>
      <c r="E93" s="21" t="str">
        <f t="shared" si="4"/>
        <v/>
      </c>
      <c r="F93" s="22" t="str">
        <f>IF(OR(E93="",E93="!!!"),"",IF(NOT(ISNA(VLOOKUP(E93,E$1:E92,1,FALSE()))),"OLD",IF(AND(E93&lt;&gt;"",E93&lt;&gt;"!!!"),"NEW","")))</f>
        <v/>
      </c>
      <c r="G93" s="23" t="str">
        <f>IF(OR(E93="",E93="!!!"),"",IF(OR(J93=0,AND(J93=1,K93=1),AND(J93=1,I93="SBJ"),AND(J93=1,I93=0)),"?IN_FOCUS",IF(J93&lt;=2,"?ACTIVATED",IF(J93&lt;&gt;"","?FAMILIAR",IF(F93="NEW",IF(ISNA(VLOOKUP(E93,#REF!,1,FALSE())),"?TYPE_IDENTIFIABLE","?REFERENTIAL"),"_")))))</f>
        <v/>
      </c>
      <c r="H93" s="24" t="str">
        <f t="shared" ca="1" si="5"/>
        <v/>
      </c>
      <c r="I93" s="25" t="str">
        <f>IF(OR(E93="",E93="!!!",F93="NEW"),"",INDEX(B$2:B92,-1+SUMPRODUCT(MAX(ROW(E$2:E92)*(E93=E$2:E92)))))</f>
        <v/>
      </c>
      <c r="J93" s="25" t="str">
        <f ca="1">IF(OR(E93="",E93="!!!",F93="NEW"),"",COUNTBLANK(OFFSET(A$1,,,SUMPRODUCT(MAX(ROW(E$2:E93)*(E93=E$2:E93)))))-COUNTBLANK(OFFSET(A$1,,,SUMPRODUCT(MAX(ROW(E$1:E92)*(E2=E$1:E92))))))</f>
        <v/>
      </c>
      <c r="K93" s="25" t="str">
        <f>IF(OR(E93="",E93="!!!",F93="NEW"),"",INDEX(J$1:J92,SUMPRODUCT(MAX(ROW(E$1:E92)*(E93=E$1:E92)))))</f>
        <v/>
      </c>
      <c r="L93" s="26"/>
    </row>
    <row r="94" spans="1:12" x14ac:dyDescent="0.3">
      <c r="A94" t="s">
        <v>118</v>
      </c>
      <c r="E94" s="21" t="str">
        <f t="shared" si="4"/>
        <v/>
      </c>
      <c r="F94" s="22" t="str">
        <f>IF(OR(E94="",E94="!!!"),"",IF(NOT(ISNA(VLOOKUP(E94,E$1:E93,1,FALSE()))),"OLD",IF(AND(E94&lt;&gt;"",E94&lt;&gt;"!!!"),"NEW","")))</f>
        <v/>
      </c>
      <c r="G94" s="23" t="str">
        <f>IF(OR(E94="",E94="!!!"),"",IF(OR(J94=0,AND(J94=1,K94=1),AND(J94=1,I94="SBJ"),AND(J94=1,I94=0)),"?IN_FOCUS",IF(J94&lt;=2,"?ACTIVATED",IF(J94&lt;&gt;"","?FAMILIAR",IF(F94="NEW",IF(ISNA(VLOOKUP(E94,#REF!,1,FALSE())),"?TYPE_IDENTIFIABLE","?REFERENTIAL"),"_")))))</f>
        <v/>
      </c>
      <c r="H94" s="24" t="str">
        <f t="shared" ca="1" si="5"/>
        <v/>
      </c>
      <c r="I94" s="25" t="str">
        <f>IF(OR(E94="",E94="!!!",F94="NEW"),"",INDEX(B$2:B93,-1+SUMPRODUCT(MAX(ROW(E$2:E93)*(E94=E$2:E93)))))</f>
        <v/>
      </c>
      <c r="J94" s="25" t="str">
        <f ca="1">IF(OR(E94="",E94="!!!",F94="NEW"),"",COUNTBLANK(OFFSET(A$1,,,SUMPRODUCT(MAX(ROW(E$2:E94)*(E94=E$2:E94)))))-COUNTBLANK(OFFSET(A$1,,,SUMPRODUCT(MAX(ROW(E$1:E93)*(E2=E$1:E93))))))</f>
        <v/>
      </c>
      <c r="K94" s="25" t="str">
        <f>IF(OR(E94="",E94="!!!",F94="NEW"),"",INDEX(J$1:J93,SUMPRODUCT(MAX(ROW(E$1:E93)*(E94=E$1:E93)))))</f>
        <v/>
      </c>
      <c r="L94" s="26"/>
    </row>
    <row r="95" spans="1:12" x14ac:dyDescent="0.3">
      <c r="A95" t="s">
        <v>185</v>
      </c>
      <c r="B95" s="20" t="s">
        <v>123</v>
      </c>
      <c r="C95" s="20" t="s">
        <v>112</v>
      </c>
      <c r="D95" s="20" t="s">
        <v>102</v>
      </c>
      <c r="E95" s="21" t="s">
        <v>423</v>
      </c>
      <c r="F95" s="22" t="str">
        <f>IF(OR(E95="",E95="!!!"),"",IF(NOT(ISNA(VLOOKUP(E95,E$1:E94,1,FALSE()))),"OLD",IF(AND(E95&lt;&gt;"",E95&lt;&gt;"!!!"),"NEW","")))</f>
        <v>NEW</v>
      </c>
      <c r="G95" s="23" t="s">
        <v>447</v>
      </c>
      <c r="H95" s="24" t="str">
        <f t="shared" ca="1" si="5"/>
        <v/>
      </c>
      <c r="I95" s="25" t="str">
        <f>IF(OR(E95="",E95="!!!",F95="NEW"),"",INDEX(B$2:B94,-1+SUMPRODUCT(MAX(ROW(E$2:E94)*(E95=E$2:E94)))))</f>
        <v/>
      </c>
      <c r="J95" s="25" t="str">
        <f ca="1">IF(OR(E95="",E95="!!!",F95="NEW"),"",COUNTBLANK(OFFSET(A$1,,,SUMPRODUCT(MAX(ROW(E$2:E95)*(E95=E$2:E95)))))-COUNTBLANK(OFFSET(A$1,,,SUMPRODUCT(MAX(ROW(E$1:E94)*(E2=E$1:E94))))))</f>
        <v/>
      </c>
      <c r="K95" s="25" t="str">
        <f>IF(OR(E95="",E95="!!!",F95="NEW"),"",INDEX(J$1:J94,SUMPRODUCT(MAX(ROW(E$1:E94)*(E95=E$1:E94)))))</f>
        <v/>
      </c>
      <c r="L95" s="26"/>
    </row>
    <row r="96" spans="1:12" x14ac:dyDescent="0.3">
      <c r="A96" t="s">
        <v>169</v>
      </c>
      <c r="E96" s="21" t="str">
        <f t="shared" si="4"/>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t="shared" ca="1" si="5"/>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186</v>
      </c>
      <c r="B97" s="20" t="s">
        <v>127</v>
      </c>
      <c r="C97" s="20" t="s">
        <v>92</v>
      </c>
      <c r="E97" s="21" t="str">
        <f t="shared" si="4"/>
        <v/>
      </c>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5"/>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187</v>
      </c>
      <c r="E98" s="21" t="str">
        <f t="shared" si="4"/>
        <v/>
      </c>
      <c r="F98" s="22" t="str">
        <f>IF(OR(E98="",E98="!!!"),"",IF(NOT(ISNA(VLOOKUP(E98,E$1:E97,1,FALSE()))),"OLD",IF(AND(E98&lt;&gt;"",E98&lt;&gt;"!!!"),"NEW","")))</f>
        <v/>
      </c>
      <c r="G98" s="23" t="str">
        <f>IF(OR(E98="",E98="!!!"),"",IF(OR(J98=0,AND(J98=1,K98=1),AND(J98=1,I98="SBJ"),AND(J98=1,I98=0)),"?IN_FOCUS",IF(J98&lt;=2,"?ACTIVATED",IF(J98&lt;&gt;"","?FAMILIAR",IF(F98="NEW",IF(ISNA(VLOOKUP(E98,#REF!,1,FALSE())),"?TYPE_IDENTIFIABLE","?REFERENTIAL"),"_")))))</f>
        <v/>
      </c>
      <c r="H98" s="24" t="str">
        <f t="shared" ca="1" si="5"/>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row>
    <row r="99" spans="1:12" x14ac:dyDescent="0.3">
      <c r="A99" t="s">
        <v>188</v>
      </c>
      <c r="E99" s="21" t="str">
        <f t="shared" si="4"/>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5"/>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155</v>
      </c>
      <c r="E100" s="21" t="str">
        <f t="shared" si="4"/>
        <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5"/>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2" spans="1:12" x14ac:dyDescent="0.3">
      <c r="A102" t="s">
        <v>189</v>
      </c>
    </row>
    <row r="103" spans="1:12" x14ac:dyDescent="0.3">
      <c r="A103" t="s">
        <v>110</v>
      </c>
      <c r="E103" s="21" t="str">
        <f t="shared" ref="E103:E129" si="6">IF(D103="?OLD","!!!","")</f>
        <v/>
      </c>
      <c r="F103" s="22" t="str">
        <f>IF(OR(E103="",E103="!!!"),"",IF(NOT(ISNA(VLOOKUP(E103,E$1:E102,1,FALSE()))),"OLD",IF(AND(E103&lt;&gt;"",E103&lt;&gt;"!!!"),"NEW","")))</f>
        <v/>
      </c>
      <c r="G103" s="23" t="str">
        <f>IF(OR(E103="",E103="!!!"),"",IF(OR(J103=0,AND(J103=1,K103=1),AND(J103=1,I103="SBJ"),AND(J103=1,I103=0)),"?IN_FOCUS",IF(J103&lt;=2,"?ACTIVATED",IF(J103&lt;&gt;"","?FAMILIAR",IF(F103="NEW",IF(ISNA(VLOOKUP(E103,#REF!,1,FALSE())),"?TYPE_IDENTIFIABLE","?REFERENTIAL"),"_")))))</f>
        <v/>
      </c>
      <c r="H103" s="24" t="str">
        <f t="shared" ref="H103:H129" ca="1" si="7">IF(J103&lt;&gt;1,"",IF(I103="SBJ","CB","?"))</f>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190</v>
      </c>
      <c r="E104" s="21" t="str">
        <f t="shared" si="6"/>
        <v/>
      </c>
      <c r="F104" s="22" t="str">
        <f>IF(OR(E104="",E104="!!!"),"",IF(NOT(ISNA(VLOOKUP(E104,E$1:E103,1,FALSE()))),"OLD",IF(AND(E104&lt;&gt;"",E104&lt;&gt;"!!!"),"NEW","")))</f>
        <v/>
      </c>
      <c r="G104" s="23" t="str">
        <f>IF(OR(E104="",E104="!!!"),"",IF(OR(J104=0,AND(J104=1,K104=1),AND(J104=1,I104="SBJ"),AND(J104=1,I104=0)),"?IN_FOCUS",IF(J104&lt;=2,"?ACTIVATED",IF(J104&lt;&gt;"","?FAMILIAR",IF(F104="NEW",IF(ISNA(VLOOKUP(E104,#REF!,1,FALSE())),"?TYPE_IDENTIFIABLE","?REFERENTIAL"),"_")))))</f>
        <v/>
      </c>
      <c r="H104" s="24" t="str">
        <f t="shared" ca="1" si="7"/>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5" spans="1:12" x14ac:dyDescent="0.3">
      <c r="A105" t="s">
        <v>90</v>
      </c>
      <c r="B105" s="20" t="s">
        <v>91</v>
      </c>
      <c r="C105" s="20" t="s">
        <v>112</v>
      </c>
      <c r="D105" s="20" t="s">
        <v>102</v>
      </c>
      <c r="E105" s="21" t="s">
        <v>432</v>
      </c>
      <c r="F105" s="22" t="str">
        <f>IF(OR(E105="",E105="!!!"),"",IF(NOT(ISNA(VLOOKUP(E105,E$1:E104,1,FALSE()))),"OLD",IF(AND(E105&lt;&gt;"",E105&lt;&gt;"!!!"),"NEW","")))</f>
        <v>NEW</v>
      </c>
      <c r="G105" s="23" t="s">
        <v>447</v>
      </c>
      <c r="H105" s="24" t="str">
        <f t="shared" ca="1" si="7"/>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191</v>
      </c>
      <c r="E106" s="21" t="str">
        <f t="shared" si="6"/>
        <v/>
      </c>
      <c r="F106" s="22" t="str">
        <f>IF(OR(E106="",E106="!!!"),"",IF(NOT(ISNA(VLOOKUP(E106,E$1:E105,1,FALSE()))),"OLD",IF(AND(E106&lt;&gt;"",E106&lt;&gt;"!!!"),"NEW","")))</f>
        <v/>
      </c>
      <c r="G106" s="23" t="str">
        <f>IF(OR(E106="",E106="!!!"),"",IF(OR(J106=0,AND(J106=1,K106=1),AND(J106=1,I106="SBJ"),AND(J106=1,I106=0)),"?IN_FOCUS",IF(J106&lt;=2,"?ACTIVATED",IF(J106&lt;&gt;"","?FAMILIAR",IF(F106="NEW",IF(ISNA(VLOOKUP(E106,#REF!,1,FALSE())),"?TYPE_IDENTIFIABLE","?REFERENTIAL"),"_")))))</f>
        <v/>
      </c>
      <c r="H106" s="24" t="str">
        <f t="shared" ca="1" si="7"/>
        <v/>
      </c>
      <c r="I106" s="25" t="str">
        <f>IF(OR(E106="",E106="!!!",F106="NEW"),"",INDEX(B$2:B105,-1+SUMPRODUCT(MAX(ROW(E$2:E105)*(E106=E$2:E105)))))</f>
        <v/>
      </c>
      <c r="J106" s="25" t="str">
        <f ca="1">IF(OR(E106="",E106="!!!",F106="NEW"),"",COUNTBLANK(OFFSET(A$1,,,SUMPRODUCT(MAX(ROW(E$2:E106)*(E106=E$2:E106)))))-COUNTBLANK(OFFSET(A$1,,,SUMPRODUCT(MAX(ROW(E$1:E105)*(E2=E$1:E105))))))</f>
        <v/>
      </c>
      <c r="K106" s="25" t="str">
        <f>IF(OR(E106="",E106="!!!",F106="NEW"),"",INDEX(J$1:J105,SUMPRODUCT(MAX(ROW(E$1:E105)*(E106=E$1:E105)))))</f>
        <v/>
      </c>
      <c r="L106" s="26"/>
    </row>
    <row r="107" spans="1:12" x14ac:dyDescent="0.3">
      <c r="A107" t="s">
        <v>192</v>
      </c>
      <c r="E107" s="21" t="str">
        <f t="shared" si="6"/>
        <v/>
      </c>
      <c r="F107" s="22" t="str">
        <f>IF(OR(E107="",E107="!!!"),"",IF(NOT(ISNA(VLOOKUP(E107,E$1:E106,1,FALSE()))),"OLD",IF(AND(E107&lt;&gt;"",E107&lt;&gt;"!!!"),"NEW","")))</f>
        <v/>
      </c>
      <c r="G107" s="23" t="str">
        <f>IF(OR(E107="",E107="!!!"),"",IF(OR(J107=0,AND(J107=1,K107=1),AND(J107=1,I107="SBJ"),AND(J107=1,I107=0)),"?IN_FOCUS",IF(J107&lt;=2,"?ACTIVATED",IF(J107&lt;&gt;"","?FAMILIAR",IF(F107="NEW",IF(ISNA(VLOOKUP(E107,#REF!,1,FALSE())),"?TYPE_IDENTIFIABLE","?REFERENTIAL"),"_")))))</f>
        <v/>
      </c>
      <c r="H107" s="24" t="str">
        <f t="shared" ca="1" si="7"/>
        <v/>
      </c>
      <c r="I107" s="25" t="str">
        <f>IF(OR(E107="",E107="!!!",F107="NEW"),"",INDEX(B$2:B106,-1+SUMPRODUCT(MAX(ROW(E$2:E106)*(E107=E$2:E106)))))</f>
        <v/>
      </c>
      <c r="J107" s="25" t="str">
        <f ca="1">IF(OR(E107="",E107="!!!",F107="NEW"),"",COUNTBLANK(OFFSET(A$1,,,SUMPRODUCT(MAX(ROW(E$2:E107)*(E107=E$2:E107)))))-COUNTBLANK(OFFSET(A$1,,,SUMPRODUCT(MAX(ROW(E$1:E106)*(E2=E$1:E106))))))</f>
        <v/>
      </c>
      <c r="K107" s="25" t="str">
        <f>IF(OR(E107="",E107="!!!",F107="NEW"),"",INDEX(J$1:J106,SUMPRODUCT(MAX(ROW(E$1:E106)*(E107=E$1:E106)))))</f>
        <v/>
      </c>
      <c r="L107" s="26"/>
    </row>
    <row r="108" spans="1:12" x14ac:dyDescent="0.3">
      <c r="A108" t="s">
        <v>193</v>
      </c>
      <c r="E108" s="21" t="str">
        <f t="shared" si="6"/>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7"/>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166</v>
      </c>
      <c r="B109" s="20" t="s">
        <v>96</v>
      </c>
      <c r="C109" s="20" t="s">
        <v>128</v>
      </c>
      <c r="E109" s="21" t="str">
        <f t="shared" si="6"/>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7"/>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23</v>
      </c>
      <c r="E110" s="21" t="str">
        <f t="shared" si="6"/>
        <v/>
      </c>
      <c r="F110" s="22" t="str">
        <f>IF(OR(E110="",E110="!!!"),"",IF(NOT(ISNA(VLOOKUP(E110,E$1:E109,1,FALSE()))),"OLD",IF(AND(E110&lt;&gt;"",E110&lt;&gt;"!!!"),"NEW","")))</f>
        <v/>
      </c>
      <c r="G110" s="23" t="str">
        <f>IF(OR(E110="",E110="!!!"),"",IF(OR(J110=0,AND(J110=1,K110=1),AND(J110=1,I110="SBJ"),AND(J110=1,I110=0)),"?IN_FOCUS",IF(J110&lt;=2,"?ACTIVATED",IF(J110&lt;&gt;"","?FAMILIAR",IF(F110="NEW",IF(ISNA(VLOOKUP(E110,#REF!,1,FALSE())),"?TYPE_IDENTIFIABLE","?REFERENTIAL"),"_")))))</f>
        <v/>
      </c>
      <c r="H110" s="24" t="str">
        <f t="shared" ca="1" si="7"/>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97</v>
      </c>
      <c r="E111" s="21" t="str">
        <f t="shared" si="6"/>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7"/>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132</v>
      </c>
      <c r="E112" s="21" t="str">
        <f t="shared" si="6"/>
        <v/>
      </c>
      <c r="F112" s="22" t="str">
        <f>IF(OR(E112="",E112="!!!"),"",IF(NOT(ISNA(VLOOKUP(E112,E$1:E111,1,FALSE()))),"OLD",IF(AND(E112&lt;&gt;"",E112&lt;&gt;"!!!"),"NEW","")))</f>
        <v/>
      </c>
      <c r="G112" s="23" t="str">
        <f>IF(OR(E112="",E112="!!!"),"",IF(OR(J112=0,AND(J112=1,K112=1),AND(J112=1,I112="SBJ"),AND(J112=1,I112=0)),"?IN_FOCUS",IF(J112&lt;=2,"?ACTIVATED",IF(J112&lt;&gt;"","?FAMILIAR",IF(F112="NEW",IF(ISNA(VLOOKUP(E112,#REF!,1,FALSE())),"?TYPE_IDENTIFIABLE","?REFERENTIAL"),"_")))))</f>
        <v/>
      </c>
      <c r="H112" s="24" t="str">
        <f t="shared" ca="1" si="7"/>
        <v/>
      </c>
      <c r="I112" s="25" t="str">
        <f>IF(OR(E112="",E112="!!!",F112="NEW"),"",INDEX(B$2:B111,-1+SUMPRODUCT(MAX(ROW(E$2:E111)*(E112=E$2:E111)))))</f>
        <v/>
      </c>
      <c r="J112" s="25" t="str">
        <f ca="1">IF(OR(E112="",E112="!!!",F112="NEW"),"",COUNTBLANK(OFFSET(A$1,,,SUMPRODUCT(MAX(ROW(E$2:E112)*(E112=E$2:E112)))))-COUNTBLANK(OFFSET(A$1,,,SUMPRODUCT(MAX(ROW(E$1:E111)*(E2=E$1:E111))))))</f>
        <v/>
      </c>
      <c r="K112" s="25" t="str">
        <f>IF(OR(E112="",E112="!!!",F112="NEW"),"",INDEX(J$1:J111,SUMPRODUCT(MAX(ROW(E$1:E111)*(E112=E$1:E111)))))</f>
        <v/>
      </c>
      <c r="L112" s="26"/>
    </row>
    <row r="113" spans="1:12" x14ac:dyDescent="0.3">
      <c r="A113" t="s">
        <v>119</v>
      </c>
      <c r="B113" s="20" t="s">
        <v>100</v>
      </c>
      <c r="C113" s="20" t="s">
        <v>112</v>
      </c>
      <c r="D113" s="20" t="s">
        <v>102</v>
      </c>
      <c r="E113" s="21"/>
      <c r="F113" s="22" t="str">
        <f>IF(OR(E113="",E113="!!!"),"",IF(NOT(ISNA(VLOOKUP(E113,E$1:E112,1,FALSE()))),"OLD",IF(AND(E113&lt;&gt;"",E113&lt;&gt;"!!!"),"NEW","")))</f>
        <v/>
      </c>
      <c r="G113" s="23" t="str">
        <f>IF(OR(E113="",E113="!!!"),"",IF(OR(J113=0,AND(J113=1,K113=1),AND(J113=1,I113="SBJ"),AND(J113=1,I113=0)),"?IN_FOCUS",IF(J113&lt;=2,"?ACTIVATED",IF(J113&lt;&gt;"","?FAMILIAR",IF(F113="NEW",IF(ISNA(VLOOKUP(E113,#REF!,1,FALSE())),"?TYPE_IDENTIFIABLE","?REFERENTIAL"),"_")))))</f>
        <v/>
      </c>
      <c r="H113" s="24" t="str">
        <f t="shared" ca="1" si="7"/>
        <v/>
      </c>
      <c r="I113" s="25" t="str">
        <f>IF(OR(E113="",E113="!!!",F113="NEW"),"",INDEX(B$2:B112,-1+SUMPRODUCT(MAX(ROW(E$2:E112)*(E113=E$2:E112)))))</f>
        <v/>
      </c>
      <c r="J113" s="25" t="str">
        <f ca="1">IF(OR(E113="",E113="!!!",F113="NEW"),"",COUNTBLANK(OFFSET(A$1,,,SUMPRODUCT(MAX(ROW(E$2:E113)*(E113=E$2:E113)))))-COUNTBLANK(OFFSET(A$1,,,SUMPRODUCT(MAX(ROW(E$1:E112)*(E2=E$1:E112))))))</f>
        <v/>
      </c>
      <c r="K113" s="25" t="str">
        <f>IF(OR(E113="",E113="!!!",F113="NEW"),"",INDEX(J$1:J112,SUMPRODUCT(MAX(ROW(E$1:E112)*(E113=E$1:E112)))))</f>
        <v/>
      </c>
      <c r="L113" s="26"/>
    </row>
    <row r="114" spans="1:12" x14ac:dyDescent="0.3">
      <c r="A114" t="s">
        <v>137</v>
      </c>
      <c r="E114" s="21" t="str">
        <f t="shared" si="6"/>
        <v/>
      </c>
      <c r="F114" s="22" t="str">
        <f>IF(OR(E114="",E114="!!!"),"",IF(NOT(ISNA(VLOOKUP(E114,E$1:E113,1,FALSE()))),"OLD",IF(AND(E114&lt;&gt;"",E114&lt;&gt;"!!!"),"NEW","")))</f>
        <v/>
      </c>
      <c r="G114" s="23" t="str">
        <f>IF(OR(E114="",E114="!!!"),"",IF(OR(J114=0,AND(J114=1,K114=1),AND(J114=1,I114="SBJ"),AND(J114=1,I114=0)),"?IN_FOCUS",IF(J114&lt;=2,"?ACTIVATED",IF(J114&lt;&gt;"","?FAMILIAR",IF(F114="NEW",IF(ISNA(VLOOKUP(E114,#REF!,1,FALSE())),"?TYPE_IDENTIFIABLE","?REFERENTIAL"),"_")))))</f>
        <v/>
      </c>
      <c r="H114" s="24" t="str">
        <f t="shared" ca="1" si="7"/>
        <v/>
      </c>
      <c r="I114" s="25" t="str">
        <f>IF(OR(E114="",E114="!!!",F114="NEW"),"",INDEX(B$2:B113,-1+SUMPRODUCT(MAX(ROW(E$2:E113)*(E114=E$2:E113)))))</f>
        <v/>
      </c>
      <c r="J114" s="25" t="str">
        <f ca="1">IF(OR(E114="",E114="!!!",F114="NEW"),"",COUNTBLANK(OFFSET(A$1,,,SUMPRODUCT(MAX(ROW(E$2:E114)*(E114=E$2:E114)))))-COUNTBLANK(OFFSET(A$1,,,SUMPRODUCT(MAX(ROW(E$1:E113)*(E2=E$1:E113))))))</f>
        <v/>
      </c>
      <c r="K114" s="25" t="str">
        <f>IF(OR(E114="",E114="!!!",F114="NEW"),"",INDEX(J$1:J113,SUMPRODUCT(MAX(ROW(E$1:E113)*(E114=E$1:E113)))))</f>
        <v/>
      </c>
      <c r="L114" s="26"/>
    </row>
    <row r="115" spans="1:12" x14ac:dyDescent="0.3">
      <c r="A115" t="s">
        <v>194</v>
      </c>
      <c r="B115" s="20" t="s">
        <v>195</v>
      </c>
      <c r="C115" s="20" t="s">
        <v>92</v>
      </c>
      <c r="E115" s="21" t="str">
        <f t="shared" si="6"/>
        <v/>
      </c>
      <c r="F115" s="22" t="str">
        <f>IF(OR(E115="",E115="!!!"),"",IF(NOT(ISNA(VLOOKUP(E115,E$1:E114,1,FALSE()))),"OLD",IF(AND(E115&lt;&gt;"",E115&lt;&gt;"!!!"),"NEW","")))</f>
        <v/>
      </c>
      <c r="G115" s="23" t="str">
        <f>IF(OR(E115="",E115="!!!"),"",IF(OR(J115=0,AND(J115=1,K115=1),AND(J115=1,I115="SBJ"),AND(J115=1,I115=0)),"?IN_FOCUS",IF(J115&lt;=2,"?ACTIVATED",IF(J115&lt;&gt;"","?FAMILIAR",IF(F115="NEW",IF(ISNA(VLOOKUP(E115,#REF!,1,FALSE())),"?TYPE_IDENTIFIABLE","?REFERENTIAL"),"_")))))</f>
        <v/>
      </c>
      <c r="H115" s="24" t="str">
        <f t="shared" ca="1" si="7"/>
        <v/>
      </c>
      <c r="I115" s="25" t="str">
        <f>IF(OR(E115="",E115="!!!",F115="NEW"),"",INDEX(B$2:B114,-1+SUMPRODUCT(MAX(ROW(E$2:E114)*(E115=E$2:E114)))))</f>
        <v/>
      </c>
      <c r="J115" s="25" t="str">
        <f ca="1">IF(OR(E115="",E115="!!!",F115="NEW"),"",COUNTBLANK(OFFSET(A$1,,,SUMPRODUCT(MAX(ROW(E$2:E115)*(E115=E$2:E115)))))-COUNTBLANK(OFFSET(A$1,,,SUMPRODUCT(MAX(ROW(E$1:E114)*(E2=E$1:E114))))))</f>
        <v/>
      </c>
      <c r="K115" s="25" t="str">
        <f>IF(OR(E115="",E115="!!!",F115="NEW"),"",INDEX(J$1:J114,SUMPRODUCT(MAX(ROW(E$1:E114)*(E115=E$1:E114)))))</f>
        <v/>
      </c>
      <c r="L115" s="26"/>
    </row>
    <row r="116" spans="1:12" x14ac:dyDescent="0.3">
      <c r="A116" t="s">
        <v>16</v>
      </c>
      <c r="E116" s="21" t="str">
        <f t="shared" si="6"/>
        <v/>
      </c>
      <c r="F116" s="22" t="str">
        <f>IF(OR(E116="",E116="!!!"),"",IF(NOT(ISNA(VLOOKUP(E116,E$1:E115,1,FALSE()))),"OLD",IF(AND(E116&lt;&gt;"",E116&lt;&gt;"!!!"),"NEW","")))</f>
        <v/>
      </c>
      <c r="G116" s="23" t="str">
        <f>IF(OR(E116="",E116="!!!"),"",IF(OR(J116=0,AND(J116=1,K116=1),AND(J116=1,I116="SBJ"),AND(J116=1,I116=0)),"?IN_FOCUS",IF(J116&lt;=2,"?ACTIVATED",IF(J116&lt;&gt;"","?FAMILIAR",IF(F116="NEW",IF(ISNA(VLOOKUP(E116,#REF!,1,FALSE())),"?TYPE_IDENTIFIABLE","?REFERENTIAL"),"_")))))</f>
        <v/>
      </c>
      <c r="H116" s="24" t="str">
        <f t="shared" ca="1" si="7"/>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169</v>
      </c>
      <c r="E117" s="21" t="str">
        <f t="shared" si="6"/>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7"/>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196</v>
      </c>
      <c r="B118" s="20" t="s">
        <v>120</v>
      </c>
      <c r="C118" s="20" t="s">
        <v>92</v>
      </c>
      <c r="E118" s="21" t="str">
        <f t="shared" si="6"/>
        <v/>
      </c>
      <c r="F118" s="22" t="str">
        <f>IF(OR(E118="",E118="!!!"),"",IF(NOT(ISNA(VLOOKUP(E118,E$1:E117,1,FALSE()))),"OLD",IF(AND(E118&lt;&gt;"",E118&lt;&gt;"!!!"),"NEW","")))</f>
        <v/>
      </c>
      <c r="G118" s="23" t="str">
        <f>IF(OR(E118="",E118="!!!"),"",IF(OR(J118=0,AND(J118=1,K118=1),AND(J118=1,I118="SBJ"),AND(J118=1,I118=0)),"?IN_FOCUS",IF(J118&lt;=2,"?ACTIVATED",IF(J118&lt;&gt;"","?FAMILIAR",IF(F118="NEW",IF(ISNA(VLOOKUP(E118,#REF!,1,FALSE())),"?TYPE_IDENTIFIABLE","?REFERENTIAL"),"_")))))</f>
        <v/>
      </c>
      <c r="H118" s="24" t="str">
        <f t="shared" ca="1" si="7"/>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197</v>
      </c>
      <c r="E119" s="21" t="str">
        <f t="shared" si="6"/>
        <v/>
      </c>
      <c r="F119" s="22" t="str">
        <f>IF(OR(E119="",E119="!!!"),"",IF(NOT(ISNA(VLOOKUP(E119,E$1:E118,1,FALSE()))),"OLD",IF(AND(E119&lt;&gt;"",E119&lt;&gt;"!!!"),"NEW","")))</f>
        <v/>
      </c>
      <c r="G119" s="23" t="str">
        <f>IF(OR(E119="",E119="!!!"),"",IF(OR(J119=0,AND(J119=1,K119=1),AND(J119=1,I119="SBJ"),AND(J119=1,I119=0)),"?IN_FOCUS",IF(J119&lt;=2,"?ACTIVATED",IF(J119&lt;&gt;"","?FAMILIAR",IF(F119="NEW",IF(ISNA(VLOOKUP(E119,#REF!,1,FALSE())),"?TYPE_IDENTIFIABLE","?REFERENTIAL"),"_")))))</f>
        <v/>
      </c>
      <c r="H119" s="24" t="str">
        <f t="shared" ca="1" si="7"/>
        <v/>
      </c>
      <c r="I119" s="25" t="str">
        <f>IF(OR(E119="",E119="!!!",F119="NEW"),"",INDEX(B$2:B118,-1+SUMPRODUCT(MAX(ROW(E$2:E118)*(E119=E$2:E118)))))</f>
        <v/>
      </c>
      <c r="J119" s="25" t="str">
        <f ca="1">IF(OR(E119="",E119="!!!",F119="NEW"),"",COUNTBLANK(OFFSET(A$1,,,SUMPRODUCT(MAX(ROW(E$2:E119)*(E119=E$2:E119)))))-COUNTBLANK(OFFSET(A$1,,,SUMPRODUCT(MAX(ROW(E$1:E118)*(E2=E$1:E118))))))</f>
        <v/>
      </c>
      <c r="K119" s="25" t="str">
        <f>IF(OR(E119="",E119="!!!",F119="NEW"),"",INDEX(J$1:J118,SUMPRODUCT(MAX(ROW(E$1:E118)*(E119=E$1:E118)))))</f>
        <v/>
      </c>
      <c r="L119" s="26"/>
    </row>
    <row r="120" spans="1:12" x14ac:dyDescent="0.3">
      <c r="A120" t="s">
        <v>97</v>
      </c>
      <c r="E120" s="21" t="str">
        <f t="shared" si="6"/>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7"/>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198</v>
      </c>
      <c r="E121" s="21" t="str">
        <f t="shared" si="6"/>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7"/>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118</v>
      </c>
      <c r="E122" s="21" t="str">
        <f t="shared" si="6"/>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7"/>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199</v>
      </c>
      <c r="B123" s="20" t="s">
        <v>174</v>
      </c>
      <c r="C123" s="20" t="s">
        <v>112</v>
      </c>
      <c r="D123" s="20" t="s">
        <v>102</v>
      </c>
      <c r="E123" s="21"/>
      <c r="F123" s="22" t="s">
        <v>430</v>
      </c>
      <c r="G123" s="23" t="str">
        <f>IF(OR(E123="",E123="!!!"),"",IF(OR(J123=0,AND(J123=1,K123=1),AND(J123=1,I123="SBJ"),AND(J123=1,I123=0)),"?IN_FOCUS",IF(J123&lt;=2,"?ACTIVATED",IF(J123&lt;&gt;"","?FAMILIAR",IF(F123="NEW",IF(ISNA(VLOOKUP(E123,#REF!,1,FALSE())),"?TYPE_IDENTIFIABLE","?REFERENTIAL"),"_")))))</f>
        <v/>
      </c>
      <c r="H123" s="24" t="str">
        <f t="shared" ca="1" si="7"/>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137</v>
      </c>
      <c r="E124" s="21" t="str">
        <f t="shared" si="6"/>
        <v/>
      </c>
      <c r="F124" s="22" t="str">
        <f>IF(OR(E124="",E124="!!!"),"",IF(NOT(ISNA(VLOOKUP(E124,E$1:E123,1,FALSE()))),"OLD",IF(AND(E124&lt;&gt;"",E124&lt;&gt;"!!!"),"NEW","")))</f>
        <v/>
      </c>
      <c r="G124" s="23" t="str">
        <f>IF(OR(E124="",E124="!!!"),"",IF(OR(J124=0,AND(J124=1,K124=1),AND(J124=1,I124="SBJ"),AND(J124=1,I124=0)),"?IN_FOCUS",IF(J124&lt;=2,"?ACTIVATED",IF(J124&lt;&gt;"","?FAMILIAR",IF(F124="NEW",IF(ISNA(VLOOKUP(E124,#REF!,1,FALSE())),"?TYPE_IDENTIFIABLE","?REFERENTIAL"),"_")))))</f>
        <v/>
      </c>
      <c r="H124" s="24" t="str">
        <f t="shared" ca="1" si="7"/>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200</v>
      </c>
      <c r="E125" s="21" t="str">
        <f t="shared" si="6"/>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7"/>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201</v>
      </c>
      <c r="B126" s="20" t="s">
        <v>123</v>
      </c>
      <c r="C126" s="20" t="s">
        <v>92</v>
      </c>
      <c r="E126" s="21" t="str">
        <f t="shared" si="6"/>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7"/>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137</v>
      </c>
      <c r="E127" s="21" t="str">
        <f t="shared" si="6"/>
        <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ca="1" si="7"/>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202</v>
      </c>
      <c r="E128" s="21" t="str">
        <f t="shared" si="6"/>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7"/>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155</v>
      </c>
      <c r="E129" s="21" t="str">
        <f t="shared" si="6"/>
        <v/>
      </c>
      <c r="F129" s="22" t="str">
        <f>IF(OR(E129="",E129="!!!"),"",IF(NOT(ISNA(VLOOKUP(E129,E$1:E128,1,FALSE()))),"OLD",IF(AND(E129&lt;&gt;"",E129&lt;&gt;"!!!"),"NEW","")))</f>
        <v/>
      </c>
      <c r="G129" s="23" t="str">
        <f>IF(OR(E129="",E129="!!!"),"",IF(OR(J129=0,AND(J129=1,K129=1),AND(J129=1,I129="SBJ"),AND(J129=1,I129=0)),"?IN_FOCUS",IF(J129&lt;=2,"?ACTIVATED",IF(J129&lt;&gt;"","?FAMILIAR",IF(F129="NEW",IF(ISNA(VLOOKUP(E129,#REF!,1,FALSE())),"?TYPE_IDENTIFIABLE","?REFERENTIAL"),"_")))))</f>
        <v/>
      </c>
      <c r="H129" s="24" t="str">
        <f t="shared" ca="1" si="7"/>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1" spans="1:12" x14ac:dyDescent="0.3">
      <c r="A131" t="s">
        <v>156</v>
      </c>
      <c r="E131" s="21" t="str">
        <f>IF(D131="?OLD","!!!","")</f>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ca="1">IF(J131&lt;&gt;1,"",IF(I131="SBJ","CB","?"))</f>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203</v>
      </c>
    </row>
    <row r="133" spans="1:12" x14ac:dyDescent="0.3">
      <c r="A133" t="s">
        <v>204</v>
      </c>
      <c r="B133" s="20" t="s">
        <v>144</v>
      </c>
      <c r="C133" s="20" t="s">
        <v>104</v>
      </c>
      <c r="D133" s="20" t="s">
        <v>102</v>
      </c>
      <c r="E133" s="21"/>
      <c r="F133" s="22" t="str">
        <f>IF(OR(E133="",E133="!!!"),"",IF(NOT(ISNA(VLOOKUP(E133,E$1:E132,1,FALSE()))),"OLD",IF(AND(E133&lt;&gt;"",E133&lt;&gt;"!!!"),"NEW","")))</f>
        <v/>
      </c>
      <c r="G133" s="23" t="str">
        <f>IF(OR(E133="",E133="!!!"),"",IF(OR(J133=0,AND(J133=1,K133=1),AND(J133=1,I133="SBJ"),AND(J133=1,I133=0)),"?IN_FOCUS",IF(J133&lt;=2,"?ACTIVATED",IF(J133&lt;&gt;"","?FAMILIAR",IF(F133="NEW",IF(ISNA(VLOOKUP(E133,#REF!,1,FALSE())),"?TYPE_IDENTIFIABLE","?REFERENTIAL"),"_")))))</f>
        <v/>
      </c>
      <c r="H133" s="24" t="str">
        <f t="shared" ref="H133:H164" ca="1" si="8">IF(J133&lt;&gt;1,"",IF(I133="SBJ","CB","?"))</f>
        <v/>
      </c>
      <c r="I133" s="25" t="str">
        <f>IF(OR(E133="",E133="!!!",F133="NEW"),"",INDEX(B$2:B132,-1+SUMPRODUCT(MAX(ROW(E$2:E132)*(E133=E$2:E132)))))</f>
        <v/>
      </c>
      <c r="J133" s="25" t="str">
        <f ca="1">IF(OR(E133="",E133="!!!",F133="NEW"),"",COUNTBLANK(OFFSET(A$1,,,SUMPRODUCT(MAX(ROW(E$2:E133)*(E133=E$2:E133)))))-COUNTBLANK(OFFSET(A$1,,,SUMPRODUCT(MAX(ROW(E$1:E132)*(E2=E$1:E132))))))</f>
        <v/>
      </c>
      <c r="K133" s="25" t="str">
        <f>IF(OR(E133="",E133="!!!",F133="NEW"),"",INDEX(J$1:J132,SUMPRODUCT(MAX(ROW(E$1:E132)*(E133=E$1:E132)))))</f>
        <v/>
      </c>
      <c r="L133" s="26"/>
    </row>
    <row r="134" spans="1:12" x14ac:dyDescent="0.3">
      <c r="A134" t="s">
        <v>205</v>
      </c>
      <c r="E134" s="21" t="s">
        <v>415</v>
      </c>
      <c r="F134" s="22" t="str">
        <f>IF(OR(E134="",E134="!!!"),"",IF(NOT(ISNA(VLOOKUP(E134,E$1:E133,1,FALSE()))),"OLD",IF(AND(E134&lt;&gt;"",E134&lt;&gt;"!!!"),"NEW","")))</f>
        <v>NEW</v>
      </c>
      <c r="G134" s="23" t="s">
        <v>448</v>
      </c>
      <c r="H134" s="24" t="str">
        <f t="shared" ca="1" si="8"/>
        <v/>
      </c>
      <c r="I134" s="25" t="str">
        <f>IF(OR(E134="",E134="!!!",F134="NEW"),"",INDEX(B$2:B133,-1+SUMPRODUCT(MAX(ROW(E$2:E133)*(E134=E$2:E133)))))</f>
        <v/>
      </c>
      <c r="J134" s="25" t="str">
        <f ca="1">IF(OR(E134="",E134="!!!",F134="NEW"),"",COUNTBLANK(OFFSET(A$1,,,SUMPRODUCT(MAX(ROW(E$2:E134)*(E134=E$2:E134)))))-COUNTBLANK(OFFSET(A$1,,,SUMPRODUCT(MAX(ROW(E$1:E133)*(E2=E$1:E133))))))</f>
        <v/>
      </c>
      <c r="K134" s="25" t="str">
        <f>IF(OR(E134="",E134="!!!",F134="NEW"),"",INDEX(J$1:J133,SUMPRODUCT(MAX(ROW(E$1:E133)*(E134=E$1:E133)))))</f>
        <v/>
      </c>
      <c r="L134" s="26"/>
    </row>
    <row r="135" spans="1:12" x14ac:dyDescent="0.3">
      <c r="A135" t="s">
        <v>206</v>
      </c>
      <c r="E135" s="21" t="str">
        <f t="shared" ref="E135:E164" si="9">IF(D135="?OLD","!!!","")</f>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8"/>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6" spans="1:12" x14ac:dyDescent="0.3">
      <c r="A136" t="s">
        <v>97</v>
      </c>
      <c r="E136" s="21" t="str">
        <f t="shared" si="9"/>
        <v/>
      </c>
      <c r="F136" s="22" t="str">
        <f>IF(OR(E136="",E136="!!!"),"",IF(NOT(ISNA(VLOOKUP(E136,E$1:E135,1,FALSE()))),"OLD",IF(AND(E136&lt;&gt;"",E136&lt;&gt;"!!!"),"NEW","")))</f>
        <v/>
      </c>
      <c r="G136" s="23" t="str">
        <f>IF(OR(E136="",E136="!!!"),"",IF(OR(J136=0,AND(J136=1,K136=1),AND(J136=1,I136="SBJ"),AND(J136=1,I136=0)),"?IN_FOCUS",IF(J136&lt;=2,"?ACTIVATED",IF(J136&lt;&gt;"","?FAMILIAR",IF(F136="NEW",IF(ISNA(VLOOKUP(E136,#REF!,1,FALSE())),"?TYPE_IDENTIFIABLE","?REFERENTIAL"),"_")))))</f>
        <v/>
      </c>
      <c r="H136" s="24" t="str">
        <f t="shared" ca="1" si="8"/>
        <v/>
      </c>
      <c r="I136" s="25" t="str">
        <f>IF(OR(E136="",E136="!!!",F136="NEW"),"",INDEX(B$2:B135,-1+SUMPRODUCT(MAX(ROW(E$2:E135)*(E136=E$2:E135)))))</f>
        <v/>
      </c>
      <c r="J136" s="25" t="str">
        <f ca="1">IF(OR(E136="",E136="!!!",F136="NEW"),"",COUNTBLANK(OFFSET(A$1,,,SUMPRODUCT(MAX(ROW(E$2:E136)*(E136=E$2:E136)))))-COUNTBLANK(OFFSET(A$1,,,SUMPRODUCT(MAX(ROW(E$1:E135)*(E2=E$1:E135))))))</f>
        <v/>
      </c>
      <c r="K136" s="25" t="str">
        <f>IF(OR(E136="",E136="!!!",F136="NEW"),"",INDEX(J$1:J135,SUMPRODUCT(MAX(ROW(E$1:E135)*(E136=E$1:E135)))))</f>
        <v/>
      </c>
      <c r="L136" s="26"/>
    </row>
    <row r="137" spans="1:12" x14ac:dyDescent="0.3">
      <c r="A137" t="s">
        <v>118</v>
      </c>
      <c r="E137" s="21" t="str">
        <f t="shared" si="9"/>
        <v/>
      </c>
      <c r="F137" s="22" t="str">
        <f>IF(OR(E137="",E137="!!!"),"",IF(NOT(ISNA(VLOOKUP(E137,E$1:E136,1,FALSE()))),"OLD",IF(AND(E137&lt;&gt;"",E137&lt;&gt;"!!!"),"NEW","")))</f>
        <v/>
      </c>
      <c r="G137" s="23" t="str">
        <f>IF(OR(E137="",E137="!!!"),"",IF(OR(J137=0,AND(J137=1,K137=1),AND(J137=1,I137="SBJ"),AND(J137=1,I137=0)),"?IN_FOCUS",IF(J137&lt;=2,"?ACTIVATED",IF(J137&lt;&gt;"","?FAMILIAR",IF(F137="NEW",IF(ISNA(VLOOKUP(E137,#REF!,1,FALSE())),"?TYPE_IDENTIFIABLE","?REFERENTIAL"),"_")))))</f>
        <v/>
      </c>
      <c r="H137" s="24" t="str">
        <f t="shared" ca="1" si="8"/>
        <v/>
      </c>
      <c r="I137" s="25" t="str">
        <f>IF(OR(E137="",E137="!!!",F137="NEW"),"",INDEX(B$2:B136,-1+SUMPRODUCT(MAX(ROW(E$2:E136)*(E137=E$2:E136)))))</f>
        <v/>
      </c>
      <c r="J137" s="25" t="str">
        <f ca="1">IF(OR(E137="",E137="!!!",F137="NEW"),"",COUNTBLANK(OFFSET(A$1,,,SUMPRODUCT(MAX(ROW(E$2:E137)*(E137=E$2:E137)))))-COUNTBLANK(OFFSET(A$1,,,SUMPRODUCT(MAX(ROW(E$1:E136)*(E2=E$1:E136))))))</f>
        <v/>
      </c>
      <c r="K137" s="25" t="str">
        <f>IF(OR(E137="",E137="!!!",F137="NEW"),"",INDEX(J$1:J136,SUMPRODUCT(MAX(ROW(E$1:E136)*(E137=E$1:E136)))))</f>
        <v/>
      </c>
      <c r="L137" s="26"/>
    </row>
    <row r="138" spans="1:12" x14ac:dyDescent="0.3">
      <c r="A138" t="s">
        <v>207</v>
      </c>
      <c r="B138" s="20" t="s">
        <v>123</v>
      </c>
      <c r="C138" s="20" t="s">
        <v>112</v>
      </c>
      <c r="D138" s="20" t="s">
        <v>102</v>
      </c>
      <c r="E138" s="21"/>
      <c r="F138" s="22" t="s">
        <v>416</v>
      </c>
      <c r="G138" s="23" t="str">
        <f>IF(OR(E138="",E138="!!!"),"",IF(OR(J138=0,AND(J138=1,K138=1),AND(J138=1,I138="SBJ"),AND(J138=1,I138=0)),"?IN_FOCUS",IF(J138&lt;=2,"?ACTIVATED",IF(J138&lt;&gt;"","?FAMILIAR",IF(F138="NEW",IF(ISNA(VLOOKUP(E138,#REF!,1,FALSE())),"?TYPE_IDENTIFIABLE","?REFERENTIAL"),"_")))))</f>
        <v/>
      </c>
      <c r="H138" s="24" t="str">
        <f t="shared" ca="1" si="8"/>
        <v/>
      </c>
      <c r="I138" s="25" t="str">
        <f>IF(OR(E138="",E138="!!!",F138="NEW"),"",INDEX(B$2:B137,-1+SUMPRODUCT(MAX(ROW(E$2:E137)*(E138=E$2:E137)))))</f>
        <v/>
      </c>
      <c r="J138" s="25" t="str">
        <f ca="1">IF(OR(E138="",E138="!!!",F138="NEW"),"",COUNTBLANK(OFFSET(A$1,,,SUMPRODUCT(MAX(ROW(E$2:E138)*(E138=E$2:E138)))))-COUNTBLANK(OFFSET(A$1,,,SUMPRODUCT(MAX(ROW(E$1:E137)*(E2=E$1:E137))))))</f>
        <v/>
      </c>
      <c r="K138" s="25" t="str">
        <f>IF(OR(E138="",E138="!!!",F138="NEW"),"",INDEX(J$1:J137,SUMPRODUCT(MAX(ROW(E$1:E137)*(E138=E$1:E137)))))</f>
        <v/>
      </c>
      <c r="L138" s="26"/>
    </row>
    <row r="139" spans="1:12" x14ac:dyDescent="0.3">
      <c r="A139" t="s">
        <v>208</v>
      </c>
      <c r="E139" s="21" t="str">
        <f t="shared" si="9"/>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ca="1" si="8"/>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209</v>
      </c>
      <c r="B140" s="20" t="s">
        <v>127</v>
      </c>
      <c r="C140" s="20" t="s">
        <v>104</v>
      </c>
      <c r="D140" s="20" t="s">
        <v>102</v>
      </c>
      <c r="E140" s="21" t="s">
        <v>424</v>
      </c>
      <c r="F140" s="22" t="str">
        <f>IF(OR(E140="",E140="!!!"),"",IF(NOT(ISNA(VLOOKUP(E140,E$1:E139,1,FALSE()))),"OLD",IF(AND(E140&lt;&gt;"",E140&lt;&gt;"!!!"),"NEW","")))</f>
        <v>OLD</v>
      </c>
      <c r="G140" s="23" t="s">
        <v>447</v>
      </c>
      <c r="H140" s="24" t="str">
        <f t="shared" ca="1" si="8"/>
        <v/>
      </c>
      <c r="I140" s="25" t="str">
        <f>IF(OR(E140="",E140="!!!",F140="NEW"),"",INDEX(B$2:B139,-1+SUMPRODUCT(MAX(ROW(E$2:E139)*(E140=E$2:E139)))))</f>
        <v>other_5</v>
      </c>
      <c r="J140" s="25">
        <f ca="1">IF(OR(E140="",E140="!!!",F140="NEW"),"",COUNTBLANK(OFFSET(A$1,,,SUMPRODUCT(MAX(ROW(E$2:E140)*(E140=E$2:E140)))))-COUNTBLANK(OFFSET(A$1,,,SUMPRODUCT(MAX(ROW(E$1:E139)*(E2=E$1:E139))))))</f>
        <v>0</v>
      </c>
      <c r="K140" s="25" t="str">
        <f ca="1">IF(OR(E140="",E140="!!!",F140="NEW"),"",INDEX(J$1:J139,SUMPRODUCT(MAX(ROW(E$1:E139)*(E140=E$1:E139)))))</f>
        <v/>
      </c>
      <c r="L140" s="26"/>
    </row>
    <row r="141" spans="1:12" x14ac:dyDescent="0.3">
      <c r="A141" t="s">
        <v>210</v>
      </c>
      <c r="E141" s="21" t="s">
        <v>438</v>
      </c>
      <c r="F141" s="22" t="str">
        <f>IF(OR(E141="",E141="!!!"),"",IF(NOT(ISNA(VLOOKUP(E141,E$1:E140,1,FALSE()))),"OLD",IF(AND(E141&lt;&gt;"",E141&lt;&gt;"!!!"),"NEW","")))</f>
        <v>NEW</v>
      </c>
      <c r="G141" s="23" t="s">
        <v>448</v>
      </c>
      <c r="H141" s="24" t="str">
        <f t="shared" ca="1" si="8"/>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184</v>
      </c>
      <c r="E142" s="21" t="str">
        <f t="shared" si="9"/>
        <v/>
      </c>
      <c r="F142" s="22" t="str">
        <f>IF(OR(E142="",E142="!!!"),"",IF(NOT(ISNA(VLOOKUP(E142,E$1:E141,1,FALSE()))),"OLD",IF(AND(E142&lt;&gt;"",E142&lt;&gt;"!!!"),"NEW","")))</f>
        <v/>
      </c>
      <c r="G142" s="23" t="str">
        <f>IF(OR(E142="",E142="!!!"),"",IF(OR(J142=0,AND(J142=1,K142=1),AND(J142=1,I142="SBJ"),AND(J142=1,I142=0)),"?IN_FOCUS",IF(J142&lt;=2,"?ACTIVATED",IF(J142&lt;&gt;"","?FAMILIAR",IF(F142="NEW",IF(ISNA(VLOOKUP(E142,#REF!,1,FALSE())),"?TYPE_IDENTIFIABLE","?REFERENTIAL"),"_")))))</f>
        <v/>
      </c>
      <c r="H142" s="24" t="str">
        <f t="shared" ca="1" si="8"/>
        <v/>
      </c>
      <c r="I142" s="25" t="str">
        <f>IF(OR(E142="",E142="!!!",F142="NEW"),"",INDEX(B$2:B141,-1+SUMPRODUCT(MAX(ROW(E$2:E141)*(E142=E$2:E141)))))</f>
        <v/>
      </c>
      <c r="J142" s="25" t="str">
        <f ca="1">IF(OR(E142="",E142="!!!",F142="NEW"),"",COUNTBLANK(OFFSET(A$1,,,SUMPRODUCT(MAX(ROW(E$2:E142)*(E142=E$2:E142)))))-COUNTBLANK(OFFSET(A$1,,,SUMPRODUCT(MAX(ROW(E$1:E141)*(E2=E$1:E141))))))</f>
        <v/>
      </c>
      <c r="K142" s="25" t="str">
        <f>IF(OR(E142="",E142="!!!",F142="NEW"),"",INDEX(J$1:J141,SUMPRODUCT(MAX(ROW(E$1:E141)*(E142=E$1:E141)))))</f>
        <v/>
      </c>
      <c r="L142" s="26"/>
    </row>
    <row r="143" spans="1:12" x14ac:dyDescent="0.3">
      <c r="A143" t="s">
        <v>90</v>
      </c>
      <c r="B143" s="20" t="s">
        <v>127</v>
      </c>
      <c r="C143" s="20" t="s">
        <v>92</v>
      </c>
      <c r="E143" s="21" t="s">
        <v>408</v>
      </c>
      <c r="F143" s="22" t="str">
        <f>IF(OR(E143="",E143="!!!"),"",IF(NOT(ISNA(VLOOKUP(E143,E$1:E142,1,FALSE()))),"OLD",IF(AND(E143&lt;&gt;"",E143&lt;&gt;"!!!"),"NEW","")))</f>
        <v>NEW</v>
      </c>
      <c r="G143" s="23" t="s">
        <v>447</v>
      </c>
      <c r="H143" s="24" t="str">
        <f t="shared" ca="1" si="8"/>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211</v>
      </c>
      <c r="E144" s="21" t="str">
        <f t="shared" si="9"/>
        <v/>
      </c>
      <c r="F144" s="22" t="str">
        <f>IF(OR(E144="",E144="!!!"),"",IF(NOT(ISNA(VLOOKUP(E144,E$1:E143,1,FALSE()))),"OLD",IF(AND(E144&lt;&gt;"",E144&lt;&gt;"!!!"),"NEW","")))</f>
        <v/>
      </c>
      <c r="G144" s="23" t="str">
        <f>IF(OR(E144="",E144="!!!"),"",IF(OR(J144=0,AND(J144=1,K144=1),AND(J144=1,I144="SBJ"),AND(J144=1,I144=0)),"?IN_FOCUS",IF(J144&lt;=2,"?ACTIVATED",IF(J144&lt;&gt;"","?FAMILIAR",IF(F144="NEW",IF(ISNA(VLOOKUP(E144,#REF!,1,FALSE())),"?TYPE_IDENTIFIABLE","?REFERENTIAL"),"_")))))</f>
        <v/>
      </c>
      <c r="H144" s="24" t="str">
        <f t="shared" ca="1" si="8"/>
        <v/>
      </c>
      <c r="I144" s="25" t="str">
        <f>IF(OR(E144="",E144="!!!",F144="NEW"),"",INDEX(B$2:B143,-1+SUMPRODUCT(MAX(ROW(E$2:E143)*(E144=E$2:E143)))))</f>
        <v/>
      </c>
      <c r="J144" s="25" t="str">
        <f ca="1">IF(OR(E144="",E144="!!!",F144="NEW"),"",COUNTBLANK(OFFSET(A$1,,,SUMPRODUCT(MAX(ROW(E$2:E144)*(E144=E$2:E144)))))-COUNTBLANK(OFFSET(A$1,,,SUMPRODUCT(MAX(ROW(E$1:E143)*(E2=E$1:E143))))))</f>
        <v/>
      </c>
      <c r="K144" s="25" t="str">
        <f>IF(OR(E144="",E144="!!!",F144="NEW"),"",INDEX(J$1:J143,SUMPRODUCT(MAX(ROW(E$1:E143)*(E144=E$1:E143)))))</f>
        <v/>
      </c>
      <c r="L144" s="26"/>
    </row>
    <row r="145" spans="1:12" x14ac:dyDescent="0.3">
      <c r="A145" t="s">
        <v>212</v>
      </c>
      <c r="E145" s="21" t="str">
        <f t="shared" si="9"/>
        <v/>
      </c>
      <c r="F145" s="22" t="str">
        <f>IF(OR(E145="",E145="!!!"),"",IF(NOT(ISNA(VLOOKUP(E145,E$1:E144,1,FALSE()))),"OLD",IF(AND(E145&lt;&gt;"",E145&lt;&gt;"!!!"),"NEW","")))</f>
        <v/>
      </c>
      <c r="G145" s="23" t="str">
        <f>IF(OR(E145="",E145="!!!"),"",IF(OR(J145=0,AND(J145=1,K145=1),AND(J145=1,I145="SBJ"),AND(J145=1,I145=0)),"?IN_FOCUS",IF(J145&lt;=2,"?ACTIVATED",IF(J145&lt;&gt;"","?FAMILIAR",IF(F145="NEW",IF(ISNA(VLOOKUP(E145,#REF!,1,FALSE())),"?TYPE_IDENTIFIABLE","?REFERENTIAL"),"_")))))</f>
        <v/>
      </c>
      <c r="H145" s="24" t="str">
        <f t="shared" ca="1" si="8"/>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194</v>
      </c>
      <c r="B146" s="20" t="s">
        <v>96</v>
      </c>
      <c r="C146" s="20" t="s">
        <v>92</v>
      </c>
      <c r="E146" s="21" t="str">
        <f t="shared" si="9"/>
        <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8"/>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175</v>
      </c>
      <c r="E147" s="21" t="str">
        <f t="shared" si="9"/>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8"/>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148</v>
      </c>
      <c r="E148" s="21" t="str">
        <f t="shared" si="9"/>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8"/>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49" spans="1:12" x14ac:dyDescent="0.3">
      <c r="A149" t="s">
        <v>213</v>
      </c>
      <c r="B149" s="20" t="s">
        <v>195</v>
      </c>
      <c r="C149" s="20" t="s">
        <v>128</v>
      </c>
      <c r="E149" s="21" t="str">
        <f t="shared" si="9"/>
        <v/>
      </c>
      <c r="F149" s="22" t="str">
        <f>IF(OR(E149="",E149="!!!"),"",IF(NOT(ISNA(VLOOKUP(E149,E$1:E148,1,FALSE()))),"OLD",IF(AND(E149&lt;&gt;"",E149&lt;&gt;"!!!"),"NEW","")))</f>
        <v/>
      </c>
      <c r="G149" s="23" t="str">
        <f>IF(OR(E149="",E149="!!!"),"",IF(OR(J149=0,AND(J149=1,K149=1),AND(J149=1,I149="SBJ"),AND(J149=1,I149=0)),"?IN_FOCUS",IF(J149&lt;=2,"?ACTIVATED",IF(J149&lt;&gt;"","?FAMILIAR",IF(F149="NEW",IF(ISNA(VLOOKUP(E149,#REF!,1,FALSE())),"?TYPE_IDENTIFIABLE","?REFERENTIAL"),"_")))))</f>
        <v/>
      </c>
      <c r="H149" s="24" t="str">
        <f t="shared" ca="1" si="8"/>
        <v/>
      </c>
      <c r="I149" s="25" t="str">
        <f>IF(OR(E149="",E149="!!!",F149="NEW"),"",INDEX(B$2:B148,-1+SUMPRODUCT(MAX(ROW(E$2:E148)*(E149=E$2:E148)))))</f>
        <v/>
      </c>
      <c r="J149" s="25" t="str">
        <f ca="1">IF(OR(E149="",E149="!!!",F149="NEW"),"",COUNTBLANK(OFFSET(A$1,,,SUMPRODUCT(MAX(ROW(E$2:E149)*(E149=E$2:E149)))))-COUNTBLANK(OFFSET(A$1,,,SUMPRODUCT(MAX(ROW(E$1:E148)*(E2=E$1:E148))))))</f>
        <v/>
      </c>
      <c r="K149" s="25" t="str">
        <f>IF(OR(E149="",E149="!!!",F149="NEW"),"",INDEX(J$1:J148,SUMPRODUCT(MAX(ROW(E$1:E148)*(E149=E$1:E148)))))</f>
        <v/>
      </c>
      <c r="L149" s="26"/>
    </row>
    <row r="150" spans="1:12" x14ac:dyDescent="0.3">
      <c r="A150" t="s">
        <v>129</v>
      </c>
      <c r="E150" s="21" t="str">
        <f t="shared" si="9"/>
        <v/>
      </c>
      <c r="F150" s="22" t="str">
        <f>IF(OR(E150="",E150="!!!"),"",IF(NOT(ISNA(VLOOKUP(E150,E$1:E149,1,FALSE()))),"OLD",IF(AND(E150&lt;&gt;"",E150&lt;&gt;"!!!"),"NEW","")))</f>
        <v/>
      </c>
      <c r="G150" s="23" t="str">
        <f>IF(OR(E150="",E150="!!!"),"",IF(OR(J150=0,AND(J150=1,K150=1),AND(J150=1,I150="SBJ"),AND(J150=1,I150=0)),"?IN_FOCUS",IF(J150&lt;=2,"?ACTIVATED",IF(J150&lt;&gt;"","?FAMILIAR",IF(F150="NEW",IF(ISNA(VLOOKUP(E150,#REF!,1,FALSE())),"?TYPE_IDENTIFIABLE","?REFERENTIAL"),"_")))))</f>
        <v/>
      </c>
      <c r="H150" s="24" t="str">
        <f t="shared" ca="1" si="8"/>
        <v/>
      </c>
      <c r="I150" s="25" t="str">
        <f>IF(OR(E150="",E150="!!!",F150="NEW"),"",INDEX(B$2:B149,-1+SUMPRODUCT(MAX(ROW(E$2:E149)*(E150=E$2:E149)))))</f>
        <v/>
      </c>
      <c r="J150" s="25" t="str">
        <f ca="1">IF(OR(E150="",E150="!!!",F150="NEW"),"",COUNTBLANK(OFFSET(A$1,,,SUMPRODUCT(MAX(ROW(E$2:E150)*(E150=E$2:E150)))))-COUNTBLANK(OFFSET(A$1,,,SUMPRODUCT(MAX(ROW(E$1:E149)*(E2=E$1:E149))))))</f>
        <v/>
      </c>
      <c r="K150" s="25" t="str">
        <f>IF(OR(E150="",E150="!!!",F150="NEW"),"",INDEX(J$1:J149,SUMPRODUCT(MAX(ROW(E$1:E149)*(E150=E$1:E149)))))</f>
        <v/>
      </c>
      <c r="L150" s="26"/>
    </row>
    <row r="151" spans="1:12" x14ac:dyDescent="0.3">
      <c r="A151" t="s">
        <v>214</v>
      </c>
      <c r="E151" s="21" t="str">
        <f t="shared" si="9"/>
        <v/>
      </c>
      <c r="F151" s="22" t="str">
        <f>IF(OR(E151="",E151="!!!"),"",IF(NOT(ISNA(VLOOKUP(E151,E$1:E150,1,FALSE()))),"OLD",IF(AND(E151&lt;&gt;"",E151&lt;&gt;"!!!"),"NEW","")))</f>
        <v/>
      </c>
      <c r="G151" s="23" t="str">
        <f>IF(OR(E151="",E151="!!!"),"",IF(OR(J151=0,AND(J151=1,K151=1),AND(J151=1,I151="SBJ"),AND(J151=1,I151=0)),"?IN_FOCUS",IF(J151&lt;=2,"?ACTIVATED",IF(J151&lt;&gt;"","?FAMILIAR",IF(F151="NEW",IF(ISNA(VLOOKUP(E151,#REF!,1,FALSE())),"?TYPE_IDENTIFIABLE","?REFERENTIAL"),"_")))))</f>
        <v/>
      </c>
      <c r="H151" s="24" t="str">
        <f t="shared" ca="1" si="8"/>
        <v/>
      </c>
      <c r="I151" s="25" t="str">
        <f>IF(OR(E151="",E151="!!!",F151="NEW"),"",INDEX(B$2:B150,-1+SUMPRODUCT(MAX(ROW(E$2:E150)*(E151=E$2:E150)))))</f>
        <v/>
      </c>
      <c r="J151" s="25" t="str">
        <f ca="1">IF(OR(E151="",E151="!!!",F151="NEW"),"",COUNTBLANK(OFFSET(A$1,,,SUMPRODUCT(MAX(ROW(E$2:E151)*(E151=E$2:E151)))))-COUNTBLANK(OFFSET(A$1,,,SUMPRODUCT(MAX(ROW(E$1:E150)*(E2=E$1:E150))))))</f>
        <v/>
      </c>
      <c r="K151" s="25" t="str">
        <f>IF(OR(E151="",E151="!!!",F151="NEW"),"",INDEX(J$1:J150,SUMPRODUCT(MAX(ROW(E$1:E150)*(E151=E$1:E150)))))</f>
        <v/>
      </c>
      <c r="L151" s="26"/>
    </row>
    <row r="152" spans="1:12" x14ac:dyDescent="0.3">
      <c r="A152" t="s">
        <v>177</v>
      </c>
      <c r="E152" s="21" t="str">
        <f t="shared" si="9"/>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ca="1" si="8"/>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90</v>
      </c>
      <c r="B153" s="20" t="s">
        <v>91</v>
      </c>
      <c r="C153" s="20" t="s">
        <v>92</v>
      </c>
      <c r="E153" s="21" t="s">
        <v>408</v>
      </c>
      <c r="F153" s="22" t="str">
        <f>IF(OR(E153="",E153="!!!"),"",IF(NOT(ISNA(VLOOKUP(E153,E$1:E152,1,FALSE()))),"OLD",IF(AND(E153&lt;&gt;"",E153&lt;&gt;"!!!"),"NEW","")))</f>
        <v>OLD</v>
      </c>
      <c r="G153" s="23" t="s">
        <v>446</v>
      </c>
      <c r="H153" s="24" t="str">
        <f t="shared" ca="1" si="8"/>
        <v/>
      </c>
      <c r="I153" s="25" t="str">
        <f>IF(OR(E153="",E153="!!!",F153="NEW"),"",INDEX(B$2:B152,-1+SUMPRODUCT(MAX(ROW(E$2:E152)*(E153=E$2:E152)))))</f>
        <v>other_5</v>
      </c>
      <c r="J153" s="25">
        <f ca="1">IF(OR(E153="",E153="!!!",F153="NEW"),"",COUNTBLANK(OFFSET(A$1,,,SUMPRODUCT(MAX(ROW(E$2:E153)*(E153=E$2:E153)))))-COUNTBLANK(OFFSET(A$1,,,SUMPRODUCT(MAX(ROW(E$1:E152)*(E2=E$1:E152))))))</f>
        <v>0</v>
      </c>
      <c r="K153" s="25" t="str">
        <f ca="1">IF(OR(E153="",E153="!!!",F153="NEW"),"",INDEX(J$1:J152,SUMPRODUCT(MAX(ROW(E$1:E152)*(E153=E$1:E152)))))</f>
        <v/>
      </c>
      <c r="L153" s="26"/>
    </row>
    <row r="154" spans="1:12" x14ac:dyDescent="0.3">
      <c r="A154" t="s">
        <v>27</v>
      </c>
      <c r="E154" s="21" t="str">
        <f t="shared" si="9"/>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8"/>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137</v>
      </c>
      <c r="B155" s="20" t="s">
        <v>195</v>
      </c>
      <c r="C155" s="20" t="s">
        <v>181</v>
      </c>
      <c r="E155" s="21" t="str">
        <f t="shared" si="9"/>
        <v/>
      </c>
      <c r="F155" s="22" t="str">
        <f>IF(OR(E155="",E155="!!!"),"",IF(NOT(ISNA(VLOOKUP(E155,E$1:E154,1,FALSE()))),"OLD",IF(AND(E155&lt;&gt;"",E155&lt;&gt;"!!!"),"NEW","")))</f>
        <v/>
      </c>
      <c r="G155" s="23" t="str">
        <f>IF(OR(E155="",E155="!!!"),"",IF(OR(J155=0,AND(J155=1,K155=1),AND(J155=1,I155="SBJ"),AND(J155=1,I155=0)),"?IN_FOCUS",IF(J155&lt;=2,"?ACTIVATED",IF(J155&lt;&gt;"","?FAMILIAR",IF(F155="NEW",IF(ISNA(VLOOKUP(E155,#REF!,1,FALSE())),"?TYPE_IDENTIFIABLE","?REFERENTIAL"),"_")))))</f>
        <v/>
      </c>
      <c r="H155" s="24" t="str">
        <f t="shared" ca="1" si="8"/>
        <v/>
      </c>
      <c r="I155" s="25" t="str">
        <f>IF(OR(E155="",E155="!!!",F155="NEW"),"",INDEX(B$2:B154,-1+SUMPRODUCT(MAX(ROW(E$2:E154)*(E155=E$2:E154)))))</f>
        <v/>
      </c>
      <c r="J155" s="25" t="str">
        <f ca="1">IF(OR(E155="",E155="!!!",F155="NEW"),"",COUNTBLANK(OFFSET(A$1,,,SUMPRODUCT(MAX(ROW(E$2:E155)*(E155=E$2:E155)))))-COUNTBLANK(OFFSET(A$1,,,SUMPRODUCT(MAX(ROW(E$1:E154)*(E2=E$1:E154))))))</f>
        <v/>
      </c>
      <c r="K155" s="25" t="str">
        <f>IF(OR(E155="",E155="!!!",F155="NEW"),"",INDEX(J$1:J154,SUMPRODUCT(MAX(ROW(E$1:E154)*(E155=E$1:E154)))))</f>
        <v/>
      </c>
      <c r="L155" s="26"/>
    </row>
    <row r="156" spans="1:12" x14ac:dyDescent="0.3">
      <c r="A156" t="s">
        <v>159</v>
      </c>
      <c r="E156" s="21" t="str">
        <f t="shared" si="9"/>
        <v/>
      </c>
      <c r="F156" s="22" t="str">
        <f>IF(OR(E156="",E156="!!!"),"",IF(NOT(ISNA(VLOOKUP(E156,E$1:E155,1,FALSE()))),"OLD",IF(AND(E156&lt;&gt;"",E156&lt;&gt;"!!!"),"NEW","")))</f>
        <v/>
      </c>
      <c r="G156" s="23" t="str">
        <f>IF(OR(E156="",E156="!!!"),"",IF(OR(J156=0,AND(J156=1,K156=1),AND(J156=1,I156="SBJ"),AND(J156=1,I156=0)),"?IN_FOCUS",IF(J156&lt;=2,"?ACTIVATED",IF(J156&lt;&gt;"","?FAMILIAR",IF(F156="NEW",IF(ISNA(VLOOKUP(E156,#REF!,1,FALSE())),"?TYPE_IDENTIFIABLE","?REFERENTIAL"),"_")))))</f>
        <v/>
      </c>
      <c r="H156" s="24" t="str">
        <f t="shared" ca="1" si="8"/>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215</v>
      </c>
      <c r="E157" s="21" t="str">
        <f t="shared" si="9"/>
        <v/>
      </c>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8"/>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166</v>
      </c>
      <c r="B158" s="20" t="s">
        <v>161</v>
      </c>
      <c r="C158" s="20" t="s">
        <v>112</v>
      </c>
      <c r="D158" s="20" t="s">
        <v>102</v>
      </c>
      <c r="E158" s="21" t="s">
        <v>412</v>
      </c>
      <c r="F158" s="22" t="str">
        <f>IF(OR(E158="",E158="!!!"),"",IF(NOT(ISNA(VLOOKUP(E158,E$1:E157,1,FALSE()))),"OLD",IF(AND(E158&lt;&gt;"",E158&lt;&gt;"!!!"),"NEW","")))</f>
        <v>OLD</v>
      </c>
      <c r="G158" s="23" t="s">
        <v>449</v>
      </c>
      <c r="H158" s="24" t="str">
        <f t="shared" ca="1" si="8"/>
        <v/>
      </c>
      <c r="I158" s="25" t="str">
        <f>IF(OR(E158="",E158="!!!",F158="NEW"),"",INDEX(B$2:B157,-1+SUMPRODUCT(MAX(ROW(E$2:E157)*(E158=E$2:E157)))))</f>
        <v>OBJ_2</v>
      </c>
      <c r="J158" s="25">
        <f ca="1">IF(OR(E158="",E158="!!!",F158="NEW"),"",COUNTBLANK(OFFSET(A$1,,,SUMPRODUCT(MAX(ROW(E$2:E158)*(E158=E$2:E158)))))-COUNTBLANK(OFFSET(A$1,,,SUMPRODUCT(MAX(ROW(E$1:E157)*(E2=E$1:E157))))))</f>
        <v>0</v>
      </c>
      <c r="K158" s="25">
        <f ca="1">IF(OR(E158="",E158="!!!",F158="NEW"),"",INDEX(J$1:J157,SUMPRODUCT(MAX(ROW(E$1:E157)*(E158=E$1:E157)))))</f>
        <v>0</v>
      </c>
      <c r="L158" s="26"/>
    </row>
    <row r="159" spans="1:12" x14ac:dyDescent="0.3">
      <c r="A159" t="s">
        <v>216</v>
      </c>
      <c r="E159" s="21" t="str">
        <f t="shared" si="9"/>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8"/>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0" spans="1:12" x14ac:dyDescent="0.3">
      <c r="A160" t="s">
        <v>217</v>
      </c>
      <c r="E160" s="21" t="str">
        <f t="shared" si="9"/>
        <v/>
      </c>
      <c r="F160" s="22" t="str">
        <f>IF(OR(E160="",E160="!!!"),"",IF(NOT(ISNA(VLOOKUP(E160,E$1:E159,1,FALSE()))),"OLD",IF(AND(E160&lt;&gt;"",E160&lt;&gt;"!!!"),"NEW","")))</f>
        <v/>
      </c>
      <c r="G160" s="23" t="str">
        <f>IF(OR(E160="",E160="!!!"),"",IF(OR(J160=0,AND(J160=1,K160=1),AND(J160=1,I160="SBJ"),AND(J160=1,I160=0)),"?IN_FOCUS",IF(J160&lt;=2,"?ACTIVATED",IF(J160&lt;&gt;"","?FAMILIAR",IF(F160="NEW",IF(ISNA(VLOOKUP(E160,#REF!,1,FALSE())),"?TYPE_IDENTIFIABLE","?REFERENTIAL"),"_")))))</f>
        <v/>
      </c>
      <c r="H160" s="24" t="str">
        <f t="shared" ca="1" si="8"/>
        <v/>
      </c>
      <c r="I160" s="25" t="str">
        <f>IF(OR(E160="",E160="!!!",F160="NEW"),"",INDEX(B$2:B159,-1+SUMPRODUCT(MAX(ROW(E$2:E159)*(E160=E$2:E159)))))</f>
        <v/>
      </c>
      <c r="J160" s="25" t="str">
        <f ca="1">IF(OR(E160="",E160="!!!",F160="NEW"),"",COUNTBLANK(OFFSET(A$1,,,SUMPRODUCT(MAX(ROW(E$2:E160)*(E160=E$2:E160)))))-COUNTBLANK(OFFSET(A$1,,,SUMPRODUCT(MAX(ROW(E$1:E159)*(E2=E$1:E159))))))</f>
        <v/>
      </c>
      <c r="K160" s="25" t="str">
        <f>IF(OR(E160="",E160="!!!",F160="NEW"),"",INDEX(J$1:J159,SUMPRODUCT(MAX(ROW(E$1:E159)*(E160=E$1:E159)))))</f>
        <v/>
      </c>
      <c r="L160" s="26"/>
    </row>
    <row r="161" spans="1:12" x14ac:dyDescent="0.3">
      <c r="A161" t="s">
        <v>218</v>
      </c>
      <c r="E161" s="21" t="str">
        <f t="shared" si="9"/>
        <v/>
      </c>
      <c r="F161" s="22" t="str">
        <f>IF(OR(E161="",E161="!!!"),"",IF(NOT(ISNA(VLOOKUP(E161,E$1:E160,1,FALSE()))),"OLD",IF(AND(E161&lt;&gt;"",E161&lt;&gt;"!!!"),"NEW","")))</f>
        <v/>
      </c>
      <c r="G161" s="23" t="str">
        <f>IF(OR(E161="",E161="!!!"),"",IF(OR(J161=0,AND(J161=1,K161=1),AND(J161=1,I161="SBJ"),AND(J161=1,I161=0)),"?IN_FOCUS",IF(J161&lt;=2,"?ACTIVATED",IF(J161&lt;&gt;"","?FAMILIAR",IF(F161="NEW",IF(ISNA(VLOOKUP(E161,#REF!,1,FALSE())),"?TYPE_IDENTIFIABLE","?REFERENTIAL"),"_")))))</f>
        <v/>
      </c>
      <c r="H161" s="24" t="str">
        <f t="shared" ca="1" si="8"/>
        <v/>
      </c>
      <c r="I161" s="25" t="str">
        <f>IF(OR(E161="",E161="!!!",F161="NEW"),"",INDEX(B$2:B160,-1+SUMPRODUCT(MAX(ROW(E$2:E160)*(E161=E$2:E160)))))</f>
        <v/>
      </c>
      <c r="J161" s="25" t="str">
        <f ca="1">IF(OR(E161="",E161="!!!",F161="NEW"),"",COUNTBLANK(OFFSET(A$1,,,SUMPRODUCT(MAX(ROW(E$2:E161)*(E161=E$2:E161)))))-COUNTBLANK(OFFSET(A$1,,,SUMPRODUCT(MAX(ROW(E$1:E160)*(E2=E$1:E160))))))</f>
        <v/>
      </c>
      <c r="K161" s="25" t="str">
        <f>IF(OR(E161="",E161="!!!",F161="NEW"),"",INDEX(J$1:J160,SUMPRODUCT(MAX(ROW(E$1:E160)*(E161=E$1:E160)))))</f>
        <v/>
      </c>
      <c r="L161" s="26"/>
    </row>
    <row r="162" spans="1:12" x14ac:dyDescent="0.3">
      <c r="A162" t="s">
        <v>219</v>
      </c>
      <c r="E162" s="21" t="str">
        <f t="shared" si="9"/>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8"/>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220</v>
      </c>
      <c r="B163" s="20" t="s">
        <v>195</v>
      </c>
      <c r="C163" s="20" t="s">
        <v>92</v>
      </c>
      <c r="E163" s="21" t="str">
        <f t="shared" si="9"/>
        <v/>
      </c>
      <c r="F163" s="22" t="str">
        <f>IF(OR(E163="",E163="!!!"),"",IF(NOT(ISNA(VLOOKUP(E163,E$1:E162,1,FALSE()))),"OLD",IF(AND(E163&lt;&gt;"",E163&lt;&gt;"!!!"),"NEW","")))</f>
        <v/>
      </c>
      <c r="G163" s="23" t="str">
        <f>IF(OR(E163="",E163="!!!"),"",IF(OR(J163=0,AND(J163=1,K163=1),AND(J163=1,I163="SBJ"),AND(J163=1,I163=0)),"?IN_FOCUS",IF(J163&lt;=2,"?ACTIVATED",IF(J163&lt;&gt;"","?FAMILIAR",IF(F163="NEW",IF(ISNA(VLOOKUP(E163,#REF!,1,FALSE())),"?TYPE_IDENTIFIABLE","?REFERENTIAL"),"_")))))</f>
        <v/>
      </c>
      <c r="H163" s="24" t="str">
        <f t="shared" ca="1" si="8"/>
        <v/>
      </c>
      <c r="I163" s="25" t="str">
        <f>IF(OR(E163="",E163="!!!",F163="NEW"),"",INDEX(B$2:B162,-1+SUMPRODUCT(MAX(ROW(E$2:E162)*(E163=E$2:E162)))))</f>
        <v/>
      </c>
      <c r="J163" s="25" t="str">
        <f ca="1">IF(OR(E163="",E163="!!!",F163="NEW"),"",COUNTBLANK(OFFSET(A$1,,,SUMPRODUCT(MAX(ROW(E$2:E163)*(E163=E$2:E163)))))-COUNTBLANK(OFFSET(A$1,,,SUMPRODUCT(MAX(ROW(E$1:E162)*(E2=E$1:E162))))))</f>
        <v/>
      </c>
      <c r="K163" s="25" t="str">
        <f>IF(OR(E163="",E163="!!!",F163="NEW"),"",INDEX(J$1:J162,SUMPRODUCT(MAX(ROW(E$1:E162)*(E163=E$1:E162)))))</f>
        <v/>
      </c>
      <c r="L163" s="26"/>
    </row>
    <row r="164" spans="1:12" x14ac:dyDescent="0.3">
      <c r="A164" t="s">
        <v>97</v>
      </c>
      <c r="E164" s="21" t="str">
        <f t="shared" si="9"/>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8"/>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5" spans="1:12" x14ac:dyDescent="0.3">
      <c r="A165" t="s">
        <v>221</v>
      </c>
      <c r="E165" s="21" t="str">
        <f t="shared" ref="E165:E184" si="10">IF(D165="?OLD","!!!","")</f>
        <v/>
      </c>
      <c r="F165" s="22" t="str">
        <f>IF(OR(E165="",E165="!!!"),"",IF(NOT(ISNA(VLOOKUP(E165,E$1:E164,1,FALSE()))),"OLD",IF(AND(E165&lt;&gt;"",E165&lt;&gt;"!!!"),"NEW","")))</f>
        <v/>
      </c>
      <c r="G165" s="23" t="str">
        <f>IF(OR(E165="",E165="!!!"),"",IF(OR(J165=0,AND(J165=1,K165=1),AND(J165=1,I165="SBJ"),AND(J165=1,I165=0)),"?IN_FOCUS",IF(J165&lt;=2,"?ACTIVATED",IF(J165&lt;&gt;"","?FAMILIAR",IF(F165="NEW",IF(ISNA(VLOOKUP(E165,#REF!,1,FALSE())),"?TYPE_IDENTIFIABLE","?REFERENTIAL"),"_")))))</f>
        <v/>
      </c>
      <c r="H165" s="24" t="str">
        <f t="shared" ref="H165:H184" ca="1" si="11">IF(J165&lt;&gt;1,"",IF(I165="SBJ","CB","?"))</f>
        <v/>
      </c>
      <c r="I165" s="25" t="str">
        <f>IF(OR(E165="",E165="!!!",F165="NEW"),"",INDEX(B$2:B164,-1+SUMPRODUCT(MAX(ROW(E$2:E164)*(E165=E$2:E164)))))</f>
        <v/>
      </c>
      <c r="J165" s="25" t="str">
        <f ca="1">IF(OR(E165="",E165="!!!",F165="NEW"),"",COUNTBLANK(OFFSET(A$1,,,SUMPRODUCT(MAX(ROW(E$2:E165)*(E165=E$2:E165)))))-COUNTBLANK(OFFSET(A$1,,,SUMPRODUCT(MAX(ROW(E$1:E164)*(E2=E$1:E164))))))</f>
        <v/>
      </c>
      <c r="K165" s="25" t="str">
        <f>IF(OR(E165="",E165="!!!",F165="NEW"),"",INDEX(J$1:J164,SUMPRODUCT(MAX(ROW(E$1:E164)*(E165=E$1:E164)))))</f>
        <v/>
      </c>
      <c r="L165" s="26"/>
    </row>
    <row r="166" spans="1:12" x14ac:dyDescent="0.3">
      <c r="A166" t="s">
        <v>97</v>
      </c>
      <c r="E166" s="21" t="str">
        <f t="shared" si="10"/>
        <v/>
      </c>
      <c r="F166" s="22" t="str">
        <f>IF(OR(E166="",E166="!!!"),"",IF(NOT(ISNA(VLOOKUP(E166,E$1:E165,1,FALSE()))),"OLD",IF(AND(E166&lt;&gt;"",E166&lt;&gt;"!!!"),"NEW","")))</f>
        <v/>
      </c>
      <c r="G166" s="23" t="str">
        <f>IF(OR(E166="",E166="!!!"),"",IF(OR(J166=0,AND(J166=1,K166=1),AND(J166=1,I166="SBJ"),AND(J166=1,I166=0)),"?IN_FOCUS",IF(J166&lt;=2,"?ACTIVATED",IF(J166&lt;&gt;"","?FAMILIAR",IF(F166="NEW",IF(ISNA(VLOOKUP(E166,#REF!,1,FALSE())),"?TYPE_IDENTIFIABLE","?REFERENTIAL"),"_")))))</f>
        <v/>
      </c>
      <c r="H166" s="24" t="str">
        <f t="shared" ca="1" si="11"/>
        <v/>
      </c>
      <c r="I166" s="25" t="str">
        <f>IF(OR(E166="",E166="!!!",F166="NEW"),"",INDEX(B$2:B165,-1+SUMPRODUCT(MAX(ROW(E$2:E165)*(E166=E$2:E165)))))</f>
        <v/>
      </c>
      <c r="J166" s="25" t="str">
        <f ca="1">IF(OR(E166="",E166="!!!",F166="NEW"),"",COUNTBLANK(OFFSET(A$1,,,SUMPRODUCT(MAX(ROW(E$2:E166)*(E166=E$2:E166)))))-COUNTBLANK(OFFSET(A$1,,,SUMPRODUCT(MAX(ROW(E$1:E165)*(E2=E$1:E165))))))</f>
        <v/>
      </c>
      <c r="K166" s="25" t="str">
        <f>IF(OR(E166="",E166="!!!",F166="NEW"),"",INDEX(J$1:J165,SUMPRODUCT(MAX(ROW(E$1:E165)*(E166=E$1:E165)))))</f>
        <v/>
      </c>
      <c r="L166" s="26"/>
    </row>
    <row r="167" spans="1:12" x14ac:dyDescent="0.3">
      <c r="A167" t="s">
        <v>171</v>
      </c>
      <c r="E167" s="21" t="str">
        <f t="shared" si="10"/>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1"/>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222</v>
      </c>
      <c r="B168" s="20" t="s">
        <v>100</v>
      </c>
      <c r="C168" s="20" t="s">
        <v>153</v>
      </c>
      <c r="D168" s="20" t="s">
        <v>102</v>
      </c>
      <c r="E168" s="21" t="s">
        <v>412</v>
      </c>
      <c r="F168" s="22" t="s">
        <v>450</v>
      </c>
      <c r="G168" s="23" t="s">
        <v>446</v>
      </c>
      <c r="H168" s="24" t="str">
        <f t="shared" ca="1" si="11"/>
        <v/>
      </c>
      <c r="I168" s="25" t="str">
        <f>IF(OR(E168="",E168="!!!",F168="NEW"),"",INDEX(B$2:B167,-1+SUMPRODUCT(MAX(ROW(E$2:E167)*(E168=E$2:E167)))))</f>
        <v>other</v>
      </c>
      <c r="J168" s="25">
        <f ca="1">IF(OR(E168="",E168="!!!",F168="NEW"),"",COUNTBLANK(OFFSET(A$1,,,SUMPRODUCT(MAX(ROW(E$2:E168)*(E168=E$2:E168)))))-COUNTBLANK(OFFSET(A$1,,,SUMPRODUCT(MAX(ROW(E$1:E167)*(E2=E$1:E167))))))</f>
        <v>0</v>
      </c>
      <c r="K168" s="25">
        <f ca="1">IF(OR(E168="",E168="!!!",F168="NEW"),"",INDEX(J$1:J167,SUMPRODUCT(MAX(ROW(E$1:E167)*(E168=E$1:E167)))))</f>
        <v>0</v>
      </c>
      <c r="L168" s="26"/>
    </row>
    <row r="169" spans="1:12" x14ac:dyDescent="0.3">
      <c r="A169" t="s">
        <v>118</v>
      </c>
      <c r="E169" s="21" t="str">
        <f t="shared" si="10"/>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1"/>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223</v>
      </c>
      <c r="E170" s="21" t="str">
        <f t="shared" si="10"/>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1"/>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224</v>
      </c>
      <c r="B171" s="20" t="s">
        <v>107</v>
      </c>
      <c r="C171" s="20" t="s">
        <v>112</v>
      </c>
      <c r="D171" s="20" t="s">
        <v>102</v>
      </c>
      <c r="E171" s="21" t="s">
        <v>431</v>
      </c>
      <c r="F171" s="22" t="str">
        <f>IF(OR(E171="",E171="!!!"),"",IF(NOT(ISNA(VLOOKUP(E171,E$1:E170,1,FALSE()))),"OLD",IF(AND(E171&lt;&gt;"",E171&lt;&gt;"!!!"),"NEW","")))</f>
        <v>NEW</v>
      </c>
      <c r="G171" s="23" t="s">
        <v>447</v>
      </c>
      <c r="H171" s="24" t="str">
        <f t="shared" ca="1" si="11"/>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225</v>
      </c>
      <c r="E172" s="21" t="str">
        <f t="shared" si="10"/>
        <v/>
      </c>
      <c r="F172" s="22" t="str">
        <f>IF(OR(E172="",E172="!!!"),"",IF(NOT(ISNA(VLOOKUP(E172,E$1:E171,1,FALSE()))),"OLD",IF(AND(E172&lt;&gt;"",E172&lt;&gt;"!!!"),"NEW","")))</f>
        <v/>
      </c>
      <c r="G172" s="23" t="str">
        <f>IF(OR(E172="",E172="!!!"),"",IF(OR(J172=0,AND(J172=1,K172=1),AND(J172=1,I172="SBJ"),AND(J172=1,I172=0)),"?IN_FOCUS",IF(J172&lt;=2,"?ACTIVATED",IF(J172&lt;&gt;"","?FAMILIAR",IF(F172="NEW",IF(ISNA(VLOOKUP(E172,#REF!,1,FALSE())),"?TYPE_IDENTIFIABLE","?REFERENTIAL"),"_")))))</f>
        <v/>
      </c>
      <c r="H172" s="24" t="str">
        <f t="shared" ca="1" si="11"/>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3" spans="1:12" x14ac:dyDescent="0.3">
      <c r="A173" t="s">
        <v>169</v>
      </c>
      <c r="E173" s="21" t="str">
        <f t="shared" si="10"/>
        <v/>
      </c>
      <c r="F173" s="22" t="str">
        <f>IF(OR(E173="",E173="!!!"),"",IF(NOT(ISNA(VLOOKUP(E173,E$1:E172,1,FALSE()))),"OLD",IF(AND(E173&lt;&gt;"",E173&lt;&gt;"!!!"),"NEW","")))</f>
        <v/>
      </c>
      <c r="G173" s="23" t="str">
        <f>IF(OR(E173="",E173="!!!"),"",IF(OR(J173=0,AND(J173=1,K173=1),AND(J173=1,I173="SBJ"),AND(J173=1,I173=0)),"?IN_FOCUS",IF(J173&lt;=2,"?ACTIVATED",IF(J173&lt;&gt;"","?FAMILIAR",IF(F173="NEW",IF(ISNA(VLOOKUP(E173,#REF!,1,FALSE())),"?TYPE_IDENTIFIABLE","?REFERENTIAL"),"_")))))</f>
        <v/>
      </c>
      <c r="H173" s="24" t="str">
        <f t="shared" ca="1" si="11"/>
        <v/>
      </c>
      <c r="I173" s="25" t="str">
        <f>IF(OR(E173="",E173="!!!",F173="NEW"),"",INDEX(B$2:B172,-1+SUMPRODUCT(MAX(ROW(E$2:E172)*(E173=E$2:E172)))))</f>
        <v/>
      </c>
      <c r="J173" s="25" t="str">
        <f ca="1">IF(OR(E173="",E173="!!!",F173="NEW"),"",COUNTBLANK(OFFSET(A$1,,,SUMPRODUCT(MAX(ROW(E$2:E173)*(E173=E$2:E173)))))-COUNTBLANK(OFFSET(A$1,,,SUMPRODUCT(MAX(ROW(E$1:E172)*(E2=E$1:E172))))))</f>
        <v/>
      </c>
      <c r="K173" s="25" t="str">
        <f>IF(OR(E173="",E173="!!!",F173="NEW"),"",INDEX(J$1:J172,SUMPRODUCT(MAX(ROW(E$1:E172)*(E173=E$1:E172)))))</f>
        <v/>
      </c>
      <c r="L173" s="26"/>
    </row>
    <row r="174" spans="1:12" x14ac:dyDescent="0.3">
      <c r="A174" t="s">
        <v>222</v>
      </c>
      <c r="B174" s="20" t="s">
        <v>107</v>
      </c>
      <c r="C174" s="20" t="s">
        <v>153</v>
      </c>
      <c r="D174" s="20" t="s">
        <v>102</v>
      </c>
      <c r="E174" s="21"/>
      <c r="F174" s="22" t="s">
        <v>417</v>
      </c>
      <c r="G174" s="23" t="str">
        <f>IF(OR(E174="",E174="!!!"),"",IF(OR(J174=0,AND(J174=1,K174=1),AND(J174=1,I174="SBJ"),AND(J174=1,I174=0)),"?IN_FOCUS",IF(J174&lt;=2,"?ACTIVATED",IF(J174&lt;&gt;"","?FAMILIAR",IF(F174="NEW",IF(ISNA(VLOOKUP(E174,#REF!,1,FALSE())),"?TYPE_IDENTIFIABLE","?REFERENTIAL"),"_")))))</f>
        <v/>
      </c>
      <c r="H174" s="24" t="str">
        <f t="shared" ca="1" si="11"/>
        <v/>
      </c>
      <c r="I174" s="25" t="str">
        <f>IF(OR(E174="",E174="!!!",F174="NEW"),"",INDEX(B$2:B173,-1+SUMPRODUCT(MAX(ROW(E$2:E173)*(E174=E$2:E173)))))</f>
        <v/>
      </c>
      <c r="J174" s="25" t="str">
        <f ca="1">IF(OR(E174="",E174="!!!",F174="NEW"),"",COUNTBLANK(OFFSET(A$1,,,SUMPRODUCT(MAX(ROW(E$2:E174)*(E174=E$2:E174)))))-COUNTBLANK(OFFSET(A$1,,,SUMPRODUCT(MAX(ROW(E$1:E173)*(E2=E$1:E173))))))</f>
        <v/>
      </c>
      <c r="K174" s="25" t="str">
        <f>IF(OR(E174="",E174="!!!",F174="NEW"),"",INDEX(J$1:J173,SUMPRODUCT(MAX(ROW(E$1:E173)*(E174=E$1:E173)))))</f>
        <v/>
      </c>
      <c r="L174" s="26"/>
    </row>
    <row r="175" spans="1:12" x14ac:dyDescent="0.3">
      <c r="A175" t="s">
        <v>226</v>
      </c>
      <c r="E175" s="21" t="str">
        <f t="shared" si="10"/>
        <v/>
      </c>
      <c r="F175" s="22" t="str">
        <f>IF(OR(E175="",E175="!!!"),"",IF(NOT(ISNA(VLOOKUP(E175,E$1:E174,1,FALSE()))),"OLD",IF(AND(E175&lt;&gt;"",E175&lt;&gt;"!!!"),"NEW","")))</f>
        <v/>
      </c>
      <c r="G175" s="23" t="str">
        <f>IF(OR(E175="",E175="!!!"),"",IF(OR(J175=0,AND(J175=1,K175=1),AND(J175=1,I175="SBJ"),AND(J175=1,I175=0)),"?IN_FOCUS",IF(J175&lt;=2,"?ACTIVATED",IF(J175&lt;&gt;"","?FAMILIAR",IF(F175="NEW",IF(ISNA(VLOOKUP(E175,#REF!,1,FALSE())),"?TYPE_IDENTIFIABLE","?REFERENTIAL"),"_")))))</f>
        <v/>
      </c>
      <c r="H175" s="24" t="str">
        <f t="shared" ca="1" si="11"/>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227</v>
      </c>
      <c r="E176" s="21" t="str">
        <f t="shared" si="10"/>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1"/>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97</v>
      </c>
      <c r="E177" s="21" t="str">
        <f t="shared" si="10"/>
        <v/>
      </c>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1"/>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row>
    <row r="178" spans="1:12" x14ac:dyDescent="0.3">
      <c r="A178" t="s">
        <v>228</v>
      </c>
      <c r="B178" s="20" t="s">
        <v>120</v>
      </c>
      <c r="C178" s="20" t="s">
        <v>181</v>
      </c>
      <c r="E178" s="21" t="str">
        <f t="shared" si="10"/>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1"/>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229</v>
      </c>
      <c r="B179" s="20" t="s">
        <v>107</v>
      </c>
      <c r="C179" s="20" t="s">
        <v>142</v>
      </c>
      <c r="E179" s="21" t="str">
        <f t="shared" si="10"/>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1"/>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230</v>
      </c>
      <c r="E180" s="21" t="str">
        <f t="shared" si="10"/>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1"/>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137</v>
      </c>
      <c r="E181" s="21" t="str">
        <f t="shared" si="10"/>
        <v/>
      </c>
      <c r="F181" s="22" t="str">
        <f>IF(OR(E181="",E181="!!!"),"",IF(NOT(ISNA(VLOOKUP(E181,E$1:E180,1,FALSE()))),"OLD",IF(AND(E181&lt;&gt;"",E181&lt;&gt;"!!!"),"NEW","")))</f>
        <v/>
      </c>
      <c r="G181" s="23" t="str">
        <f>IF(OR(E181="",E181="!!!"),"",IF(OR(J181=0,AND(J181=1,K181=1),AND(J181=1,I181="SBJ"),AND(J181=1,I181=0)),"?IN_FOCUS",IF(J181&lt;=2,"?ACTIVATED",IF(J181&lt;&gt;"","?FAMILIAR",IF(F181="NEW",IF(ISNA(VLOOKUP(E181,#REF!,1,FALSE())),"?TYPE_IDENTIFIABLE","?REFERENTIAL"),"_")))))</f>
        <v/>
      </c>
      <c r="H181" s="24" t="str">
        <f t="shared" ca="1" si="11"/>
        <v/>
      </c>
      <c r="I181" s="25" t="str">
        <f>IF(OR(E181="",E181="!!!",F181="NEW"),"",INDEX(B$2:B180,-1+SUMPRODUCT(MAX(ROW(E$2:E180)*(E181=E$2:E180)))))</f>
        <v/>
      </c>
      <c r="J181" s="25" t="str">
        <f ca="1">IF(OR(E181="",E181="!!!",F181="NEW"),"",COUNTBLANK(OFFSET(A$1,,,SUMPRODUCT(MAX(ROW(E$2:E181)*(E181=E$2:E181)))))-COUNTBLANK(OFFSET(A$1,,,SUMPRODUCT(MAX(ROW(E$1:E180)*(E2=E$1:E180))))))</f>
        <v/>
      </c>
      <c r="K181" s="25" t="str">
        <f>IF(OR(E181="",E181="!!!",F181="NEW"),"",INDEX(J$1:J180,SUMPRODUCT(MAX(ROW(E$1:E180)*(E181=E$1:E180)))))</f>
        <v/>
      </c>
      <c r="L181" s="26"/>
    </row>
    <row r="182" spans="1:12" x14ac:dyDescent="0.3">
      <c r="A182" t="s">
        <v>231</v>
      </c>
      <c r="E182" s="21" t="str">
        <f t="shared" si="10"/>
        <v/>
      </c>
      <c r="F182" s="22" t="str">
        <f>IF(OR(E182="",E182="!!!"),"",IF(NOT(ISNA(VLOOKUP(E182,E$1:E181,1,FALSE()))),"OLD",IF(AND(E182&lt;&gt;"",E182&lt;&gt;"!!!"),"NEW","")))</f>
        <v/>
      </c>
      <c r="G182" s="23" t="str">
        <f>IF(OR(E182="",E182="!!!"),"",IF(OR(J182=0,AND(J182=1,K182=1),AND(J182=1,I182="SBJ"),AND(J182=1,I182=0)),"?IN_FOCUS",IF(J182&lt;=2,"?ACTIVATED",IF(J182&lt;&gt;"","?FAMILIAR",IF(F182="NEW",IF(ISNA(VLOOKUP(E182,#REF!,1,FALSE())),"?TYPE_IDENTIFIABLE","?REFERENTIAL"),"_")))))</f>
        <v/>
      </c>
      <c r="H182" s="24" t="str">
        <f t="shared" ca="1" si="11"/>
        <v/>
      </c>
      <c r="I182" s="25" t="str">
        <f>IF(OR(E182="",E182="!!!",F182="NEW"),"",INDEX(B$2:B181,-1+SUMPRODUCT(MAX(ROW(E$2:E181)*(E182=E$2:E181)))))</f>
        <v/>
      </c>
      <c r="J182" s="25" t="str">
        <f ca="1">IF(OR(E182="",E182="!!!",F182="NEW"),"",COUNTBLANK(OFFSET(A$1,,,SUMPRODUCT(MAX(ROW(E$2:E182)*(E182=E$2:E182)))))-COUNTBLANK(OFFSET(A$1,,,SUMPRODUCT(MAX(ROW(E$1:E181)*(E2=E$1:E181))))))</f>
        <v/>
      </c>
      <c r="K182" s="25" t="str">
        <f>IF(OR(E182="",E182="!!!",F182="NEW"),"",INDEX(J$1:J181,SUMPRODUCT(MAX(ROW(E$1:E181)*(E182=E$1:E181)))))</f>
        <v/>
      </c>
      <c r="L182" s="26"/>
    </row>
    <row r="183" spans="1:12" x14ac:dyDescent="0.3">
      <c r="A183" t="s">
        <v>155</v>
      </c>
      <c r="E183" s="21" t="str">
        <f t="shared" si="10"/>
        <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ca="1" si="11"/>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177</v>
      </c>
      <c r="E184" s="21" t="str">
        <f t="shared" si="10"/>
        <v/>
      </c>
      <c r="F184" s="22" t="str">
        <f>IF(OR(E184="",E184="!!!"),"",IF(NOT(ISNA(VLOOKUP(E184,E$1:E183,1,FALSE()))),"OLD",IF(AND(E184&lt;&gt;"",E184&lt;&gt;"!!!"),"NEW","")))</f>
        <v/>
      </c>
      <c r="G184" s="23" t="str">
        <f>IF(OR(E184="",E184="!!!"),"",IF(OR(J184=0,AND(J184=1,K184=1),AND(J184=1,I184="SBJ"),AND(J184=1,I184=0)),"?IN_FOCUS",IF(J184&lt;=2,"?ACTIVATED",IF(J184&lt;&gt;"","?FAMILIAR",IF(F184="NEW",IF(ISNA(VLOOKUP(E184,#REF!,1,FALSE())),"?TYPE_IDENTIFIABLE","?REFERENTIAL"),"_")))))</f>
        <v/>
      </c>
      <c r="H184" s="24" t="str">
        <f t="shared" ca="1" si="11"/>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6" spans="1:12" x14ac:dyDescent="0.3">
      <c r="A186" t="s">
        <v>232</v>
      </c>
    </row>
    <row r="187" spans="1:12" x14ac:dyDescent="0.3">
      <c r="A187" t="s">
        <v>233</v>
      </c>
      <c r="E187" s="21" t="str">
        <f t="shared" ref="E187:E217" si="12">IF(D187="?OLD","!!!","")</f>
        <v/>
      </c>
      <c r="F187" s="22" t="str">
        <f>IF(OR(E187="",E187="!!!"),"",IF(NOT(ISNA(VLOOKUP(E187,E$1:E186,1,FALSE()))),"OLD",IF(AND(E187&lt;&gt;"",E187&lt;&gt;"!!!"),"NEW","")))</f>
        <v/>
      </c>
      <c r="G187" s="23" t="str">
        <f>IF(OR(E187="",E187="!!!"),"",IF(OR(J187=0,AND(J187=1,K187=1),AND(J187=1,I187="SBJ"),AND(J187=1,I187=0)),"?IN_FOCUS",IF(J187&lt;=2,"?ACTIVATED",IF(J187&lt;&gt;"","?FAMILIAR",IF(F187="NEW",IF(ISNA(VLOOKUP(E187,#REF!,1,FALSE())),"?TYPE_IDENTIFIABLE","?REFERENTIAL"),"_")))))</f>
        <v/>
      </c>
      <c r="H187" s="24" t="str">
        <f t="shared" ref="H187:H217" ca="1" si="13">IF(J187&lt;&gt;1,"",IF(I187="SBJ","CB","?"))</f>
        <v/>
      </c>
      <c r="I187" s="25" t="str">
        <f>IF(OR(E187="",E187="!!!",F187="NEW"),"",INDEX(B$2:B186,-1+SUMPRODUCT(MAX(ROW(E$2:E186)*(E187=E$2:E186)))))</f>
        <v/>
      </c>
      <c r="J187" s="25" t="str">
        <f ca="1">IF(OR(E187="",E187="!!!",F187="NEW"),"",COUNTBLANK(OFFSET(A$1,,,SUMPRODUCT(MAX(ROW(E$2:E187)*(E187=E$2:E187)))))-COUNTBLANK(OFFSET(A$1,,,SUMPRODUCT(MAX(ROW(E$1:E186)*(E2=E$1:E186))))))</f>
        <v/>
      </c>
      <c r="K187" s="25" t="str">
        <f>IF(OR(E187="",E187="!!!",F187="NEW"),"",INDEX(J$1:J186,SUMPRODUCT(MAX(ROW(E$1:E186)*(E187=E$1:E186)))))</f>
        <v/>
      </c>
      <c r="L187" s="26"/>
    </row>
    <row r="188" spans="1:12" x14ac:dyDescent="0.3">
      <c r="A188" t="s">
        <v>234</v>
      </c>
      <c r="E188" s="21" t="str">
        <f t="shared" si="12"/>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3"/>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235</v>
      </c>
      <c r="E189" s="21" t="str">
        <f t="shared" si="12"/>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3"/>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236</v>
      </c>
      <c r="B190" s="20" t="s">
        <v>161</v>
      </c>
      <c r="C190" s="20" t="s">
        <v>142</v>
      </c>
      <c r="E190" s="21" t="str">
        <f t="shared" si="12"/>
        <v/>
      </c>
      <c r="F190" s="22" t="str">
        <f>IF(OR(E190="",E190="!!!"),"",IF(NOT(ISNA(VLOOKUP(E190,E$1:E189,1,FALSE()))),"OLD",IF(AND(E190&lt;&gt;"",E190&lt;&gt;"!!!"),"NEW","")))</f>
        <v/>
      </c>
      <c r="G190" s="23" t="str">
        <f>IF(OR(E190="",E190="!!!"),"",IF(OR(J190=0,AND(J190=1,K190=1),AND(J190=1,I190="SBJ"),AND(J190=1,I190=0)),"?IN_FOCUS",IF(J190&lt;=2,"?ACTIVATED",IF(J190&lt;&gt;"","?FAMILIAR",IF(F190="NEW",IF(ISNA(VLOOKUP(E190,#REF!,1,FALSE())),"?TYPE_IDENTIFIABLE","?REFERENTIAL"),"_")))))</f>
        <v/>
      </c>
      <c r="H190" s="24" t="str">
        <f t="shared" ca="1" si="13"/>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97</v>
      </c>
      <c r="E191" s="21" t="str">
        <f t="shared" si="12"/>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3"/>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118</v>
      </c>
      <c r="B192" s="20" t="s">
        <v>144</v>
      </c>
      <c r="C192" s="20" t="s">
        <v>101</v>
      </c>
      <c r="D192" s="20" t="s">
        <v>102</v>
      </c>
      <c r="E192" s="21"/>
      <c r="F192" s="22" t="s">
        <v>426</v>
      </c>
      <c r="G192" s="23" t="str">
        <f>IF(OR(E192="",E192="!!!"),"",IF(OR(J192=0,AND(J192=1,K192=1),AND(J192=1,I192="SBJ"),AND(J192=1,I192=0)),"?IN_FOCUS",IF(J192&lt;=2,"?ACTIVATED",IF(J192&lt;&gt;"","?FAMILIAR",IF(F192="NEW",IF(ISNA(VLOOKUP(E192,#REF!,1,FALSE())),"?TYPE_IDENTIFIABLE","?REFERENTIAL"),"_")))))</f>
        <v/>
      </c>
      <c r="H192" s="24" t="str">
        <f t="shared" ca="1" si="13"/>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237</v>
      </c>
      <c r="E193" s="21" t="str">
        <f t="shared" si="12"/>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3"/>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238</v>
      </c>
      <c r="E194" s="21" t="str">
        <f t="shared" si="12"/>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3"/>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97</v>
      </c>
      <c r="E195" s="21" t="str">
        <f t="shared" si="12"/>
        <v/>
      </c>
      <c r="F195" s="22" t="str">
        <f>IF(OR(E195="",E195="!!!"),"",IF(NOT(ISNA(VLOOKUP(E195,E$1:E194,1,FALSE()))),"OLD",IF(AND(E195&lt;&gt;"",E195&lt;&gt;"!!!"),"NEW","")))</f>
        <v/>
      </c>
      <c r="G195" s="23" t="str">
        <f>IF(OR(E195="",E195="!!!"),"",IF(OR(J195=0,AND(J195=1,K195=1),AND(J195=1,I195="SBJ"),AND(J195=1,I195=0)),"?IN_FOCUS",IF(J195&lt;=2,"?ACTIVATED",IF(J195&lt;&gt;"","?FAMILIAR",IF(F195="NEW",IF(ISNA(VLOOKUP(E195,#REF!,1,FALSE())),"?TYPE_IDENTIFIABLE","?REFERENTIAL"),"_")))))</f>
        <v/>
      </c>
      <c r="H195" s="24" t="str">
        <f t="shared" ca="1" si="13"/>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239</v>
      </c>
      <c r="E196" s="21" t="str">
        <f t="shared" si="12"/>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3"/>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7" spans="1:12" x14ac:dyDescent="0.3">
      <c r="A197" t="s">
        <v>118</v>
      </c>
      <c r="E197" s="21" t="str">
        <f t="shared" si="12"/>
        <v/>
      </c>
      <c r="F197" s="22" t="str">
        <f>IF(OR(E197="",E197="!!!"),"",IF(NOT(ISNA(VLOOKUP(E197,E$1:E196,1,FALSE()))),"OLD",IF(AND(E197&lt;&gt;"",E197&lt;&gt;"!!!"),"NEW","")))</f>
        <v/>
      </c>
      <c r="G197" s="23" t="str">
        <f>IF(OR(E197="",E197="!!!"),"",IF(OR(J197=0,AND(J197=1,K197=1),AND(J197=1,I197="SBJ"),AND(J197=1,I197=0)),"?IN_FOCUS",IF(J197&lt;=2,"?ACTIVATED",IF(J197&lt;&gt;"","?FAMILIAR",IF(F197="NEW",IF(ISNA(VLOOKUP(E197,#REF!,1,FALSE())),"?TYPE_IDENTIFIABLE","?REFERENTIAL"),"_")))))</f>
        <v/>
      </c>
      <c r="H197" s="24" t="str">
        <f t="shared" ca="1" si="13"/>
        <v/>
      </c>
      <c r="I197" s="25" t="str">
        <f>IF(OR(E197="",E197="!!!",F197="NEW"),"",INDEX(B$2:B196,-1+SUMPRODUCT(MAX(ROW(E$2:E196)*(E197=E$2:E196)))))</f>
        <v/>
      </c>
      <c r="J197" s="25" t="str">
        <f ca="1">IF(OR(E197="",E197="!!!",F197="NEW"),"",COUNTBLANK(OFFSET(A$1,,,SUMPRODUCT(MAX(ROW(E$2:E197)*(E197=E$2:E197)))))-COUNTBLANK(OFFSET(A$1,,,SUMPRODUCT(MAX(ROW(E$1:E196)*(E2=E$1:E196))))))</f>
        <v/>
      </c>
      <c r="K197" s="25" t="str">
        <f>IF(OR(E197="",E197="!!!",F197="NEW"),"",INDEX(J$1:J196,SUMPRODUCT(MAX(ROW(E$1:E196)*(E197=E$1:E196)))))</f>
        <v/>
      </c>
      <c r="L197" s="26"/>
    </row>
    <row r="198" spans="1:12" x14ac:dyDescent="0.3">
      <c r="A198" t="s">
        <v>240</v>
      </c>
      <c r="E198" s="21" t="str">
        <f t="shared" si="12"/>
        <v/>
      </c>
      <c r="F198" s="22" t="str">
        <f>IF(OR(E198="",E198="!!!"),"",IF(NOT(ISNA(VLOOKUP(E198,E$1:E197,1,FALSE()))),"OLD",IF(AND(E198&lt;&gt;"",E198&lt;&gt;"!!!"),"NEW","")))</f>
        <v/>
      </c>
      <c r="G198" s="23" t="str">
        <f>IF(OR(E198="",E198="!!!"),"",IF(OR(J198=0,AND(J198=1,K198=1),AND(J198=1,I198="SBJ"),AND(J198=1,I198=0)),"?IN_FOCUS",IF(J198&lt;=2,"?ACTIVATED",IF(J198&lt;&gt;"","?FAMILIAR",IF(F198="NEW",IF(ISNA(VLOOKUP(E198,#REF!,1,FALSE())),"?TYPE_IDENTIFIABLE","?REFERENTIAL"),"_")))))</f>
        <v/>
      </c>
      <c r="H198" s="24" t="str">
        <f t="shared" ca="1" si="13"/>
        <v/>
      </c>
      <c r="I198" s="25" t="str">
        <f>IF(OR(E198="",E198="!!!",F198="NEW"),"",INDEX(B$2:B197,-1+SUMPRODUCT(MAX(ROW(E$2:E197)*(E198=E$2:E197)))))</f>
        <v/>
      </c>
      <c r="J198" s="25" t="str">
        <f ca="1">IF(OR(E198="",E198="!!!",F198="NEW"),"",COUNTBLANK(OFFSET(A$1,,,SUMPRODUCT(MAX(ROW(E$2:E198)*(E198=E$2:E198)))))-COUNTBLANK(OFFSET(A$1,,,SUMPRODUCT(MAX(ROW(E$1:E197)*(E2=E$1:E197))))))</f>
        <v/>
      </c>
      <c r="K198" s="25" t="str">
        <f>IF(OR(E198="",E198="!!!",F198="NEW"),"",INDEX(J$1:J197,SUMPRODUCT(MAX(ROW(E$1:E197)*(E198=E$1:E197)))))</f>
        <v/>
      </c>
      <c r="L198" s="26"/>
    </row>
    <row r="199" spans="1:12" x14ac:dyDescent="0.3">
      <c r="A199" t="s">
        <v>241</v>
      </c>
      <c r="B199" s="20" t="s">
        <v>146</v>
      </c>
      <c r="C199" s="20" t="s">
        <v>112</v>
      </c>
      <c r="D199" s="20" t="s">
        <v>102</v>
      </c>
      <c r="E199" s="21" t="s">
        <v>432</v>
      </c>
      <c r="F199" s="22" t="str">
        <f>IF(OR(E199="",E199="!!!"),"",IF(NOT(ISNA(VLOOKUP(E199,E$1:E198,1,FALSE()))),"OLD",IF(AND(E199&lt;&gt;"",E199&lt;&gt;"!!!"),"NEW","")))</f>
        <v>OLD</v>
      </c>
      <c r="G199" s="23" t="s">
        <v>449</v>
      </c>
      <c r="H199" s="24" t="str">
        <f t="shared" ca="1" si="13"/>
        <v/>
      </c>
      <c r="I199" s="25" t="str">
        <f>IF(OR(E199="",E199="!!!",F199="NEW"),"",INDEX(B$2:B198,-1+SUMPRODUCT(MAX(ROW(E$2:E198)*(E199=E$2:E198)))))</f>
        <v>SBJ</v>
      </c>
      <c r="J199" s="25">
        <f ca="1">IF(OR(E199="",E199="!!!",F199="NEW"),"",COUNTBLANK(OFFSET(A$1,,,SUMPRODUCT(MAX(ROW(E$2:E199)*(E199=E$2:E199)))))-COUNTBLANK(OFFSET(A$1,,,SUMPRODUCT(MAX(ROW(E$1:E198)*(E2=E$1:E198))))))</f>
        <v>0</v>
      </c>
      <c r="K199" s="25" t="str">
        <f ca="1">IF(OR(E199="",E199="!!!",F199="NEW"),"",INDEX(J$1:J198,SUMPRODUCT(MAX(ROW(E$1:E198)*(E199=E$1:E198)))))</f>
        <v/>
      </c>
      <c r="L199" s="26"/>
    </row>
    <row r="200" spans="1:12" x14ac:dyDescent="0.3">
      <c r="A200" t="s">
        <v>242</v>
      </c>
      <c r="E200" s="21" t="str">
        <f t="shared" si="12"/>
        <v/>
      </c>
      <c r="F200" s="22" t="str">
        <f>IF(OR(E200="",E200="!!!"),"",IF(NOT(ISNA(VLOOKUP(E200,E$1:E199,1,FALSE()))),"OLD",IF(AND(E200&lt;&gt;"",E200&lt;&gt;"!!!"),"NEW","")))</f>
        <v/>
      </c>
      <c r="G200" s="23" t="str">
        <f>IF(OR(E200="",E200="!!!"),"",IF(OR(J200=0,AND(J200=1,K200=1),AND(J200=1,I200="SBJ"),AND(J200=1,I200=0)),"?IN_FOCUS",IF(J200&lt;=2,"?ACTIVATED",IF(J200&lt;&gt;"","?FAMILIAR",IF(F200="NEW",IF(ISNA(VLOOKUP(E200,#REF!,1,FALSE())),"?TYPE_IDENTIFIABLE","?REFERENTIAL"),"_")))))</f>
        <v/>
      </c>
      <c r="H200" s="24" t="str">
        <f t="shared" ca="1" si="13"/>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243</v>
      </c>
      <c r="B201" s="20" t="s">
        <v>244</v>
      </c>
      <c r="C201" s="20" t="s">
        <v>92</v>
      </c>
      <c r="E201" s="21" t="str">
        <f t="shared" si="12"/>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13"/>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245</v>
      </c>
      <c r="E202" s="21" t="str">
        <f t="shared" si="12"/>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ca="1" si="13"/>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115</v>
      </c>
      <c r="E203" s="21" t="str">
        <f t="shared" si="12"/>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13"/>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193</v>
      </c>
      <c r="E204" s="21" t="str">
        <f t="shared" si="12"/>
        <v/>
      </c>
      <c r="F204" s="22" t="str">
        <f>IF(OR(E204="",E204="!!!"),"",IF(NOT(ISNA(VLOOKUP(E204,E$1:E203,1,FALSE()))),"OLD",IF(AND(E204&lt;&gt;"",E204&lt;&gt;"!!!"),"NEW","")))</f>
        <v/>
      </c>
      <c r="G204" s="23" t="str">
        <f>IF(OR(E204="",E204="!!!"),"",IF(OR(J204=0,AND(J204=1,K204=1),AND(J204=1,I204="SBJ"),AND(J204=1,I204=0)),"?IN_FOCUS",IF(J204&lt;=2,"?ACTIVATED",IF(J204&lt;&gt;"","?FAMILIAR",IF(F204="NEW",IF(ISNA(VLOOKUP(E204,#REF!,1,FALSE())),"?TYPE_IDENTIFIABLE","?REFERENTIAL"),"_")))))</f>
        <v/>
      </c>
      <c r="H204" s="24" t="str">
        <f t="shared" ca="1" si="13"/>
        <v/>
      </c>
      <c r="I204" s="25" t="str">
        <f>IF(OR(E204="",E204="!!!",F204="NEW"),"",INDEX(B$2:B203,-1+SUMPRODUCT(MAX(ROW(E$2:E203)*(E204=E$2:E203)))))</f>
        <v/>
      </c>
      <c r="J204" s="25" t="str">
        <f ca="1">IF(OR(E204="",E204="!!!",F204="NEW"),"",COUNTBLANK(OFFSET(A$1,,,SUMPRODUCT(MAX(ROW(E$2:E204)*(E204=E$2:E204)))))-COUNTBLANK(OFFSET(A$1,,,SUMPRODUCT(MAX(ROW(E$1:E203)*(E2=E$1:E203))))))</f>
        <v/>
      </c>
      <c r="K204" s="25" t="str">
        <f>IF(OR(E204="",E204="!!!",F204="NEW"),"",INDEX(J$1:J203,SUMPRODUCT(MAX(ROW(E$1:E203)*(E204=E$1:E203)))))</f>
        <v/>
      </c>
      <c r="L204" s="26"/>
    </row>
    <row r="205" spans="1:12" x14ac:dyDescent="0.3">
      <c r="A205" t="s">
        <v>166</v>
      </c>
      <c r="B205" s="20" t="s">
        <v>127</v>
      </c>
      <c r="C205" s="20" t="s">
        <v>112</v>
      </c>
      <c r="D205" s="20" t="s">
        <v>102</v>
      </c>
      <c r="E205" s="21" t="s">
        <v>412</v>
      </c>
      <c r="F205" s="22" t="str">
        <f>IF(OR(E205="",E205="!!!"),"",IF(NOT(ISNA(VLOOKUP(E205,E$1:E204,1,FALSE()))),"OLD",IF(AND(E205&lt;&gt;"",E205&lt;&gt;"!!!"),"NEW","")))</f>
        <v>OLD</v>
      </c>
      <c r="G205" s="23" t="s">
        <v>449</v>
      </c>
      <c r="H205" s="24" t="s">
        <v>85</v>
      </c>
      <c r="I205" s="25" t="str">
        <f>IF(OR(E205="",E205="!!!",F205="NEW"),"",INDEX(B$2:B204,-1+SUMPRODUCT(MAX(ROW(E$2:E204)*(E205=E$2:E204)))))</f>
        <v>SBJ_2</v>
      </c>
      <c r="J205" s="25">
        <f ca="1">IF(OR(E205="",E205="!!!",F205="NEW"),"",COUNTBLANK(OFFSET(A$1,,,SUMPRODUCT(MAX(ROW(E$2:E205)*(E205=E$2:E205)))))-COUNTBLANK(OFFSET(A$1,,,SUMPRODUCT(MAX(ROW(E$1:E204)*(E2=E$1:E204))))))</f>
        <v>0</v>
      </c>
      <c r="K205" s="25">
        <f ca="1">IF(OR(E205="",E205="!!!",F205="NEW"),"",INDEX(J$1:J204,SUMPRODUCT(MAX(ROW(E$1:E204)*(E205=E$1:E204)))))</f>
        <v>0</v>
      </c>
      <c r="L205" s="26"/>
    </row>
    <row r="206" spans="1:12" x14ac:dyDescent="0.3">
      <c r="A206" t="s">
        <v>246</v>
      </c>
      <c r="E206" s="21" t="str">
        <f t="shared" si="12"/>
        <v/>
      </c>
      <c r="F206" s="22" t="str">
        <f>IF(OR(E206="",E206="!!!"),"",IF(NOT(ISNA(VLOOKUP(E206,E$1:E205,1,FALSE()))),"OLD",IF(AND(E206&lt;&gt;"",E206&lt;&gt;"!!!"),"NEW","")))</f>
        <v/>
      </c>
      <c r="G206" s="23" t="str">
        <f>IF(OR(E206="",E206="!!!"),"",IF(OR(J206=0,AND(J206=1,K206=1),AND(J206=1,I206="SBJ"),AND(J206=1,I206=0)),"?IN_FOCUS",IF(J206&lt;=2,"?ACTIVATED",IF(J206&lt;&gt;"","?FAMILIAR",IF(F206="NEW",IF(ISNA(VLOOKUP(E206,#REF!,1,FALSE())),"?TYPE_IDENTIFIABLE","?REFERENTIAL"),"_")))))</f>
        <v/>
      </c>
      <c r="H206" s="24" t="str">
        <f t="shared" ca="1" si="13"/>
        <v/>
      </c>
      <c r="I206" s="25" t="str">
        <f>IF(OR(E206="",E206="!!!",F206="NEW"),"",INDEX(B$2:B205,-1+SUMPRODUCT(MAX(ROW(E$2:E205)*(E206=E$2:E205)))))</f>
        <v/>
      </c>
      <c r="J206" s="25" t="str">
        <f ca="1">IF(OR(E206="",E206="!!!",F206="NEW"),"",COUNTBLANK(OFFSET(A$1,,,SUMPRODUCT(MAX(ROW(E$2:E206)*(E206=E$2:E206)))))-COUNTBLANK(OFFSET(A$1,,,SUMPRODUCT(MAX(ROW(E$1:E205)*(E2=E$1:E205))))))</f>
        <v/>
      </c>
      <c r="K206" s="25" t="str">
        <f>IF(OR(E206="",E206="!!!",F206="NEW"),"",INDEX(J$1:J205,SUMPRODUCT(MAX(ROW(E$1:E205)*(E206=E$1:E205)))))</f>
        <v/>
      </c>
      <c r="L206" s="26"/>
    </row>
    <row r="207" spans="1:12" x14ac:dyDescent="0.3">
      <c r="A207" t="s">
        <v>97</v>
      </c>
      <c r="E207" s="21" t="str">
        <f t="shared" si="12"/>
        <v/>
      </c>
      <c r="F207" s="22" t="str">
        <f>IF(OR(E207="",E207="!!!"),"",IF(NOT(ISNA(VLOOKUP(E207,E$1:E206,1,FALSE()))),"OLD",IF(AND(E207&lt;&gt;"",E207&lt;&gt;"!!!"),"NEW","")))</f>
        <v/>
      </c>
      <c r="G207" s="23" t="str">
        <f>IF(OR(E207="",E207="!!!"),"",IF(OR(J207=0,AND(J207=1,K207=1),AND(J207=1,I207="SBJ"),AND(J207=1,I207=0)),"?IN_FOCUS",IF(J207&lt;=2,"?ACTIVATED",IF(J207&lt;&gt;"","?FAMILIAR",IF(F207="NEW",IF(ISNA(VLOOKUP(E207,#REF!,1,FALSE())),"?TYPE_IDENTIFIABLE","?REFERENTIAL"),"_")))))</f>
        <v/>
      </c>
      <c r="H207" s="24" t="str">
        <f t="shared" ca="1" si="13"/>
        <v/>
      </c>
      <c r="I207" s="25" t="str">
        <f>IF(OR(E207="",E207="!!!",F207="NEW"),"",INDEX(B$2:B206,-1+SUMPRODUCT(MAX(ROW(E$2:E206)*(E207=E$2:E206)))))</f>
        <v/>
      </c>
      <c r="J207" s="25" t="str">
        <f ca="1">IF(OR(E207="",E207="!!!",F207="NEW"),"",COUNTBLANK(OFFSET(A$1,,,SUMPRODUCT(MAX(ROW(E$2:E207)*(E207=E$2:E207)))))-COUNTBLANK(OFFSET(A$1,,,SUMPRODUCT(MAX(ROW(E$1:E206)*(E2=E$1:E206))))))</f>
        <v/>
      </c>
      <c r="K207" s="25" t="str">
        <f>IF(OR(E207="",E207="!!!",F207="NEW"),"",INDEX(J$1:J206,SUMPRODUCT(MAX(ROW(E$1:E206)*(E207=E$1:E206)))))</f>
        <v/>
      </c>
      <c r="L207" s="26"/>
    </row>
    <row r="208" spans="1:12" x14ac:dyDescent="0.3">
      <c r="A208" t="s">
        <v>247</v>
      </c>
      <c r="E208" s="21" t="str">
        <f t="shared" si="12"/>
        <v/>
      </c>
      <c r="F208" s="22" t="str">
        <f>IF(OR(E208="",E208="!!!"),"",IF(NOT(ISNA(VLOOKUP(E208,E$1:E207,1,FALSE()))),"OLD",IF(AND(E208&lt;&gt;"",E208&lt;&gt;"!!!"),"NEW","")))</f>
        <v/>
      </c>
      <c r="G208" s="23" t="str">
        <f>IF(OR(E208="",E208="!!!"),"",IF(OR(J208=0,AND(J208=1,K208=1),AND(J208=1,I208="SBJ"),AND(J208=1,I208=0)),"?IN_FOCUS",IF(J208&lt;=2,"?ACTIVATED",IF(J208&lt;&gt;"","?FAMILIAR",IF(F208="NEW",IF(ISNA(VLOOKUP(E208,#REF!,1,FALSE())),"?TYPE_IDENTIFIABLE","?REFERENTIAL"),"_")))))</f>
        <v/>
      </c>
      <c r="H208" s="24" t="str">
        <f t="shared" ca="1" si="13"/>
        <v/>
      </c>
      <c r="I208" s="25" t="str">
        <f>IF(OR(E208="",E208="!!!",F208="NEW"),"",INDEX(B$2:B207,-1+SUMPRODUCT(MAX(ROW(E$2:E207)*(E208=E$2:E207)))))</f>
        <v/>
      </c>
      <c r="J208" s="25" t="str">
        <f ca="1">IF(OR(E208="",E208="!!!",F208="NEW"),"",COUNTBLANK(OFFSET(A$1,,,SUMPRODUCT(MAX(ROW(E$2:E208)*(E208=E$2:E208)))))-COUNTBLANK(OFFSET(A$1,,,SUMPRODUCT(MAX(ROW(E$1:E207)*(E2=E$1:E207))))))</f>
        <v/>
      </c>
      <c r="K208" s="25" t="str">
        <f>IF(OR(E208="",E208="!!!",F208="NEW"),"",INDEX(J$1:J207,SUMPRODUCT(MAX(ROW(E$1:E207)*(E208=E$1:E207)))))</f>
        <v/>
      </c>
      <c r="L208" s="26"/>
    </row>
    <row r="209" spans="1:12" x14ac:dyDescent="0.3">
      <c r="A209" t="s">
        <v>248</v>
      </c>
      <c r="B209" s="20" t="s">
        <v>183</v>
      </c>
      <c r="C209" s="20" t="s">
        <v>92</v>
      </c>
      <c r="E209" s="21" t="str">
        <f t="shared" si="12"/>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ca="1" si="13"/>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249</v>
      </c>
      <c r="E210" s="21" t="str">
        <f t="shared" si="12"/>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13"/>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250</v>
      </c>
      <c r="E211" s="21" t="str">
        <f t="shared" si="12"/>
        <v/>
      </c>
      <c r="F211" s="22" t="str">
        <f>IF(OR(E211="",E211="!!!"),"",IF(NOT(ISNA(VLOOKUP(E211,E$1:E210,1,FALSE()))),"OLD",IF(AND(E211&lt;&gt;"",E211&lt;&gt;"!!!"),"NEW","")))</f>
        <v/>
      </c>
      <c r="G211" s="23" t="str">
        <f>IF(OR(E211="",E211="!!!"),"",IF(OR(J211=0,AND(J211=1,K211=1),AND(J211=1,I211="SBJ"),AND(J211=1,I211=0)),"?IN_FOCUS",IF(J211&lt;=2,"?ACTIVATED",IF(J211&lt;&gt;"","?FAMILIAR",IF(F211="NEW",IF(ISNA(VLOOKUP(E211,#REF!,1,FALSE())),"?TYPE_IDENTIFIABLE","?REFERENTIAL"),"_")))))</f>
        <v/>
      </c>
      <c r="H211" s="24" t="str">
        <f t="shared" ca="1" si="13"/>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169</v>
      </c>
      <c r="E212" s="21" t="str">
        <f t="shared" si="12"/>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13"/>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118</v>
      </c>
      <c r="E213" s="21" t="str">
        <f t="shared" si="12"/>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13"/>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251</v>
      </c>
      <c r="B214" s="20" t="s">
        <v>96</v>
      </c>
      <c r="C214" s="20" t="s">
        <v>112</v>
      </c>
      <c r="D214" s="20" t="s">
        <v>102</v>
      </c>
      <c r="E214" s="21"/>
      <c r="F214" s="22" t="s">
        <v>422</v>
      </c>
      <c r="G214" s="23" t="str">
        <f>IF(OR(E214="",E214="!!!"),"",IF(OR(J214=0,AND(J214=1,K214=1),AND(J214=1,I214="SBJ"),AND(J214=1,I214=0)),"?IN_FOCUS",IF(J214&lt;=2,"?ACTIVATED",IF(J214&lt;&gt;"","?FAMILIAR",IF(F214="NEW",IF(ISNA(VLOOKUP(E214,#REF!,1,FALSE())),"?TYPE_IDENTIFIABLE","?REFERENTIAL"),"_")))))</f>
        <v/>
      </c>
      <c r="H214" s="24" t="str">
        <f t="shared" ca="1" si="13"/>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252</v>
      </c>
      <c r="E215" s="21" t="str">
        <f t="shared" si="12"/>
        <v/>
      </c>
      <c r="F215" s="22" t="str">
        <f>IF(OR(E215="",E215="!!!"),"",IF(NOT(ISNA(VLOOKUP(E215,E$1:E214,1,FALSE()))),"OLD",IF(AND(E215&lt;&gt;"",E215&lt;&gt;"!!!"),"NEW","")))</f>
        <v/>
      </c>
      <c r="G215" s="23" t="str">
        <f>IF(OR(E215="",E215="!!!"),"",IF(OR(J215=0,AND(J215=1,K215=1),AND(J215=1,I215="SBJ"),AND(J215=1,I215=0)),"?IN_FOCUS",IF(J215&lt;=2,"?ACTIVATED",IF(J215&lt;&gt;"","?FAMILIAR",IF(F215="NEW",IF(ISNA(VLOOKUP(E215,#REF!,1,FALSE())),"?TYPE_IDENTIFIABLE","?REFERENTIAL"),"_")))))</f>
        <v/>
      </c>
      <c r="H215" s="24" t="str">
        <f t="shared" ca="1" si="13"/>
        <v/>
      </c>
      <c r="I215" s="25" t="str">
        <f>IF(OR(E215="",E215="!!!",F215="NEW"),"",INDEX(B$2:B214,-1+SUMPRODUCT(MAX(ROW(E$2:E214)*(E215=E$2:E214)))))</f>
        <v/>
      </c>
      <c r="J215" s="25" t="str">
        <f ca="1">IF(OR(E215="",E215="!!!",F215="NEW"),"",COUNTBLANK(OFFSET(A$1,,,SUMPRODUCT(MAX(ROW(E$2:E215)*(E215=E$2:E215)))))-COUNTBLANK(OFFSET(A$1,,,SUMPRODUCT(MAX(ROW(E$1:E214)*(E2=E$1:E214))))))</f>
        <v/>
      </c>
      <c r="K215" s="25" t="str">
        <f>IF(OR(E215="",E215="!!!",F215="NEW"),"",INDEX(J$1:J214,SUMPRODUCT(MAX(ROW(E$1:E214)*(E215=E$1:E214)))))</f>
        <v/>
      </c>
      <c r="L215" s="26"/>
    </row>
    <row r="216" spans="1:12" x14ac:dyDescent="0.3">
      <c r="A216" t="s">
        <v>253</v>
      </c>
      <c r="E216" s="21" t="str">
        <f t="shared" si="12"/>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13"/>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155</v>
      </c>
      <c r="E217" s="21" t="str">
        <f t="shared" si="12"/>
        <v/>
      </c>
      <c r="F217" s="22" t="str">
        <f>IF(OR(E217="",E217="!!!"),"",IF(NOT(ISNA(VLOOKUP(E217,E$1:E216,1,FALSE()))),"OLD",IF(AND(E217&lt;&gt;"",E217&lt;&gt;"!!!"),"NEW","")))</f>
        <v/>
      </c>
      <c r="G217" s="23" t="str">
        <f>IF(OR(E217="",E217="!!!"),"",IF(OR(J217=0,AND(J217=1,K217=1),AND(J217=1,I217="SBJ"),AND(J217=1,I217=0)),"?IN_FOCUS",IF(J217&lt;=2,"?ACTIVATED",IF(J217&lt;&gt;"","?FAMILIAR",IF(F217="NEW",IF(ISNA(VLOOKUP(E217,#REF!,1,FALSE())),"?TYPE_IDENTIFIABLE","?REFERENTIAL"),"_")))))</f>
        <v/>
      </c>
      <c r="H217" s="24" t="str">
        <f t="shared" ca="1" si="13"/>
        <v/>
      </c>
      <c r="I217" s="25" t="str">
        <f>IF(OR(E217="",E217="!!!",F217="NEW"),"",INDEX(B$2:B216,-1+SUMPRODUCT(MAX(ROW(E$2:E216)*(E217=E$2:E216)))))</f>
        <v/>
      </c>
      <c r="J217" s="25" t="str">
        <f ca="1">IF(OR(E217="",E217="!!!",F217="NEW"),"",COUNTBLANK(OFFSET(A$1,,,SUMPRODUCT(MAX(ROW(E$2:E217)*(E217=E$2:E217)))))-COUNTBLANK(OFFSET(A$1,,,SUMPRODUCT(MAX(ROW(E$1:E216)*(E2=E$1:E216))))))</f>
        <v/>
      </c>
      <c r="K217" s="25" t="str">
        <f>IF(OR(E217="",E217="!!!",F217="NEW"),"",INDEX(J$1:J216,SUMPRODUCT(MAX(ROW(E$1:E216)*(E217=E$1:E216)))))</f>
        <v/>
      </c>
      <c r="L217" s="26"/>
    </row>
    <row r="219" spans="1:12" x14ac:dyDescent="0.3">
      <c r="A219" t="s">
        <v>254</v>
      </c>
    </row>
    <row r="220" spans="1:12" x14ac:dyDescent="0.3">
      <c r="A220" t="s">
        <v>255</v>
      </c>
      <c r="B220" s="20" t="s">
        <v>91</v>
      </c>
      <c r="C220" s="20" t="s">
        <v>92</v>
      </c>
      <c r="E220" s="21" t="str">
        <f t="shared" ref="E220:E245" si="14">IF(D220="?OLD","!!!","")</f>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ref="H220:H245" ca="1" si="15">IF(J220&lt;&gt;1,"",IF(I220="SBJ","CB","?"))</f>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1" spans="1:12" x14ac:dyDescent="0.3">
      <c r="A221" t="s">
        <v>256</v>
      </c>
      <c r="E221" s="21" t="str">
        <f t="shared" si="14"/>
        <v/>
      </c>
      <c r="F221" s="22" t="str">
        <f>IF(OR(E221="",E221="!!!"),"",IF(NOT(ISNA(VLOOKUP(E221,E$1:E220,1,FALSE()))),"OLD",IF(AND(E221&lt;&gt;"",E221&lt;&gt;"!!!"),"NEW","")))</f>
        <v/>
      </c>
      <c r="G221" s="23" t="str">
        <f>IF(OR(E221="",E221="!!!"),"",IF(OR(J221=0,AND(J221=1,K221=1),AND(J221=1,I221="SBJ"),AND(J221=1,I221=0)),"?IN_FOCUS",IF(J221&lt;=2,"?ACTIVATED",IF(J221&lt;&gt;"","?FAMILIAR",IF(F221="NEW",IF(ISNA(VLOOKUP(E221,#REF!,1,FALSE())),"?TYPE_IDENTIFIABLE","?REFERENTIAL"),"_")))))</f>
        <v/>
      </c>
      <c r="H221" s="24" t="str">
        <f t="shared" ca="1" si="15"/>
        <v/>
      </c>
      <c r="I221" s="25" t="str">
        <f>IF(OR(E221="",E221="!!!",F221="NEW"),"",INDEX(B$2:B220,-1+SUMPRODUCT(MAX(ROW(E$2:E220)*(E221=E$2:E220)))))</f>
        <v/>
      </c>
      <c r="J221" s="25" t="str">
        <f ca="1">IF(OR(E221="",E221="!!!",F221="NEW"),"",COUNTBLANK(OFFSET(A$1,,,SUMPRODUCT(MAX(ROW(E$2:E221)*(E221=E$2:E221)))))-COUNTBLANK(OFFSET(A$1,,,SUMPRODUCT(MAX(ROW(E$1:E220)*(E2=E$1:E220))))))</f>
        <v/>
      </c>
      <c r="K221" s="25" t="str">
        <f>IF(OR(E221="",E221="!!!",F221="NEW"),"",INDEX(J$1:J220,SUMPRODUCT(MAX(ROW(E$1:E220)*(E221=E$1:E220)))))</f>
        <v/>
      </c>
      <c r="L221" s="26"/>
    </row>
    <row r="222" spans="1:12" x14ac:dyDescent="0.3">
      <c r="A222" t="s">
        <v>208</v>
      </c>
      <c r="E222" s="21" t="str">
        <f t="shared" si="14"/>
        <v/>
      </c>
      <c r="F222" s="22" t="str">
        <f>IF(OR(E222="",E222="!!!"),"",IF(NOT(ISNA(VLOOKUP(E222,E$1:E221,1,FALSE()))),"OLD",IF(AND(E222&lt;&gt;"",E222&lt;&gt;"!!!"),"NEW","")))</f>
        <v/>
      </c>
      <c r="G222" s="23" t="str">
        <f>IF(OR(E222="",E222="!!!"),"",IF(OR(J222=0,AND(J222=1,K222=1),AND(J222=1,I222="SBJ"),AND(J222=1,I222=0)),"?IN_FOCUS",IF(J222&lt;=2,"?ACTIVATED",IF(J222&lt;&gt;"","?FAMILIAR",IF(F222="NEW",IF(ISNA(VLOOKUP(E222,#REF!,1,FALSE())),"?TYPE_IDENTIFIABLE","?REFERENTIAL"),"_")))))</f>
        <v/>
      </c>
      <c r="H222" s="24" t="str">
        <f t="shared" ca="1" si="15"/>
        <v/>
      </c>
      <c r="I222" s="25" t="str">
        <f>IF(OR(E222="",E222="!!!",F222="NEW"),"",INDEX(B$2:B221,-1+SUMPRODUCT(MAX(ROW(E$2:E221)*(E222=E$2:E221)))))</f>
        <v/>
      </c>
      <c r="J222" s="25" t="str">
        <f ca="1">IF(OR(E222="",E222="!!!",F222="NEW"),"",COUNTBLANK(OFFSET(A$1,,,SUMPRODUCT(MAX(ROW(E$2:E222)*(E222=E$2:E222)))))-COUNTBLANK(OFFSET(A$1,,,SUMPRODUCT(MAX(ROW(E$1:E221)*(E2=E$1:E221))))))</f>
        <v/>
      </c>
      <c r="K222" s="25" t="str">
        <f>IF(OR(E222="",E222="!!!",F222="NEW"),"",INDEX(J$1:J221,SUMPRODUCT(MAX(ROW(E$1:E221)*(E222=E$1:E221)))))</f>
        <v/>
      </c>
      <c r="L222" s="26"/>
    </row>
    <row r="223" spans="1:12" x14ac:dyDescent="0.3">
      <c r="A223" t="s">
        <v>209</v>
      </c>
      <c r="B223" s="20" t="s">
        <v>195</v>
      </c>
      <c r="C223" s="20" t="s">
        <v>104</v>
      </c>
      <c r="D223" s="20" t="s">
        <v>102</v>
      </c>
      <c r="E223" s="21" t="s">
        <v>424</v>
      </c>
      <c r="F223" s="22" t="str">
        <f>IF(OR(E223="",E223="!!!"),"",IF(NOT(ISNA(VLOOKUP(E223,E$1:E222,1,FALSE()))),"OLD",IF(AND(E223&lt;&gt;"",E223&lt;&gt;"!!!"),"NEW","")))</f>
        <v>OLD</v>
      </c>
      <c r="G223" s="23" t="s">
        <v>449</v>
      </c>
      <c r="H223" s="24" t="str">
        <f t="shared" ca="1" si="15"/>
        <v/>
      </c>
      <c r="I223" s="25" t="str">
        <f>IF(OR(E223="",E223="!!!",F223="NEW"),"",INDEX(B$2:B222,-1+SUMPRODUCT(MAX(ROW(E$2:E222)*(E223=E$2:E222)))))</f>
        <v>other_5</v>
      </c>
      <c r="J223" s="25">
        <f ca="1">IF(OR(E223="",E223="!!!",F223="NEW"),"",COUNTBLANK(OFFSET(A$1,,,SUMPRODUCT(MAX(ROW(E$2:E223)*(E223=E$2:E223)))))-COUNTBLANK(OFFSET(A$1,,,SUMPRODUCT(MAX(ROW(E$1:E222)*(E2=E$1:E222))))))</f>
        <v>0</v>
      </c>
      <c r="K223" s="25">
        <f ca="1">IF(OR(E223="",E223="!!!",F223="NEW"),"",INDEX(J$1:J222,SUMPRODUCT(MAX(ROW(E$1:E222)*(E223=E$1:E222)))))</f>
        <v>0</v>
      </c>
      <c r="L223" s="26"/>
    </row>
    <row r="224" spans="1:12" x14ac:dyDescent="0.3">
      <c r="A224" t="s">
        <v>137</v>
      </c>
      <c r="B224" s="20" t="s">
        <v>120</v>
      </c>
      <c r="C224" s="20" t="s">
        <v>181</v>
      </c>
      <c r="E224" s="21" t="str">
        <f t="shared" si="14"/>
        <v/>
      </c>
      <c r="F224" s="22" t="str">
        <f>IF(OR(E224="",E224="!!!"),"",IF(NOT(ISNA(VLOOKUP(E224,E$1:E223,1,FALSE()))),"OLD",IF(AND(E224&lt;&gt;"",E224&lt;&gt;"!!!"),"NEW","")))</f>
        <v/>
      </c>
      <c r="G224" s="23" t="str">
        <f>IF(OR(E224="",E224="!!!"),"",IF(OR(J224=0,AND(J224=1,K224=1),AND(J224=1,I224="SBJ"),AND(J224=1,I224=0)),"?IN_FOCUS",IF(J224&lt;=2,"?ACTIVATED",IF(J224&lt;&gt;"","?FAMILIAR",IF(F224="NEW",IF(ISNA(VLOOKUP(E224,#REF!,1,FALSE())),"?TYPE_IDENTIFIABLE","?REFERENTIAL"),"_")))))</f>
        <v/>
      </c>
      <c r="H224" s="24" t="str">
        <f t="shared" ca="1" si="15"/>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132</v>
      </c>
      <c r="E225" s="21" t="str">
        <f t="shared" si="14"/>
        <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15"/>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6" spans="1:12" x14ac:dyDescent="0.3">
      <c r="A226" t="s">
        <v>257</v>
      </c>
      <c r="B226" s="20" t="s">
        <v>195</v>
      </c>
      <c r="C226" s="20" t="s">
        <v>112</v>
      </c>
      <c r="D226" s="20" t="s">
        <v>102</v>
      </c>
      <c r="E226" s="21"/>
      <c r="F226" s="22" t="s">
        <v>430</v>
      </c>
      <c r="G226" s="23" t="str">
        <f>IF(OR(E226="",E226="!!!"),"",IF(OR(J226=0,AND(J226=1,K226=1),AND(J226=1,I226="SBJ"),AND(J226=1,I226=0)),"?IN_FOCUS",IF(J226&lt;=2,"?ACTIVATED",IF(J226&lt;&gt;"","?FAMILIAR",IF(F226="NEW",IF(ISNA(VLOOKUP(E226,#REF!,1,FALSE())),"?TYPE_IDENTIFIABLE","?REFERENTIAL"),"_")))))</f>
        <v/>
      </c>
      <c r="H226" s="24" t="str">
        <f t="shared" ca="1" si="15"/>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132</v>
      </c>
      <c r="E227" s="21" t="str">
        <f t="shared" si="14"/>
        <v/>
      </c>
      <c r="F227" s="22" t="str">
        <f>IF(OR(E227="",E227="!!!"),"",IF(NOT(ISNA(VLOOKUP(E227,E$1:E226,1,FALSE()))),"OLD",IF(AND(E227&lt;&gt;"",E227&lt;&gt;"!!!"),"NEW","")))</f>
        <v/>
      </c>
      <c r="G227" s="23" t="str">
        <f>IF(OR(E227="",E227="!!!"),"",IF(OR(J227=0,AND(J227=1,K227=1),AND(J227=1,I227="SBJ"),AND(J227=1,I227=0)),"?IN_FOCUS",IF(J227&lt;=2,"?ACTIVATED",IF(J227&lt;&gt;"","?FAMILIAR",IF(F227="NEW",IF(ISNA(VLOOKUP(E227,#REF!,1,FALSE())),"?TYPE_IDENTIFIABLE","?REFERENTIAL"),"_")))))</f>
        <v/>
      </c>
      <c r="H227" s="24" t="str">
        <f t="shared" ca="1" si="15"/>
        <v/>
      </c>
      <c r="I227" s="25" t="str">
        <f>IF(OR(E227="",E227="!!!",F227="NEW"),"",INDEX(B$2:B226,-1+SUMPRODUCT(MAX(ROW(E$2:E226)*(E227=E$2:E226)))))</f>
        <v/>
      </c>
      <c r="J227" s="25" t="str">
        <f ca="1">IF(OR(E227="",E227="!!!",F227="NEW"),"",COUNTBLANK(OFFSET(A$1,,,SUMPRODUCT(MAX(ROW(E$2:E227)*(E227=E$2:E227)))))-COUNTBLANK(OFFSET(A$1,,,SUMPRODUCT(MAX(ROW(E$1:E226)*(E2=E$1:E226))))))</f>
        <v/>
      </c>
      <c r="K227" s="25" t="str">
        <f>IF(OR(E227="",E227="!!!",F227="NEW"),"",INDEX(J$1:J226,SUMPRODUCT(MAX(ROW(E$1:E226)*(E227=E$1:E226)))))</f>
        <v/>
      </c>
      <c r="L227" s="26"/>
    </row>
    <row r="228" spans="1:12" x14ac:dyDescent="0.3">
      <c r="A228" t="s">
        <v>258</v>
      </c>
      <c r="B228" s="20" t="s">
        <v>120</v>
      </c>
      <c r="C228" s="20" t="s">
        <v>112</v>
      </c>
      <c r="D228" s="20" t="s">
        <v>102</v>
      </c>
      <c r="E228" s="21" t="s">
        <v>420</v>
      </c>
      <c r="F228" s="22" t="str">
        <f>IF(OR(E228="",E228="!!!"),"",IF(NOT(ISNA(VLOOKUP(E228,E$1:E227,1,FALSE()))),"OLD",IF(AND(E228&lt;&gt;"",E228&lt;&gt;"!!!"),"NEW","")))</f>
        <v>OLD</v>
      </c>
      <c r="G228" s="23" t="s">
        <v>447</v>
      </c>
      <c r="H228" s="24" t="str">
        <f t="shared" ca="1" si="15"/>
        <v/>
      </c>
      <c r="I228" s="25" t="str">
        <f>IF(OR(E228="",E228="!!!",F228="NEW"),"",INDEX(B$2:B227,-1+SUMPRODUCT(MAX(ROW(E$2:E227)*(E228=E$2:E227)))))</f>
        <v>OBJ_2</v>
      </c>
      <c r="J228" s="25">
        <f ca="1">IF(OR(E228="",E228="!!!",F228="NEW"),"",COUNTBLANK(OFFSET(A$1,,,SUMPRODUCT(MAX(ROW(E$2:E228)*(E228=E$2:E228)))))-COUNTBLANK(OFFSET(A$1,,,SUMPRODUCT(MAX(ROW(E$1:E227)*(E2=E$1:E227))))))</f>
        <v>0</v>
      </c>
      <c r="K228" s="25" t="str">
        <f ca="1">IF(OR(E228="",E228="!!!",F228="NEW"),"",INDEX(J$1:J227,SUMPRODUCT(MAX(ROW(E$1:E227)*(E228=E$1:E227)))))</f>
        <v/>
      </c>
      <c r="L228" s="26"/>
    </row>
    <row r="229" spans="1:12" x14ac:dyDescent="0.3">
      <c r="A229" t="s">
        <v>121</v>
      </c>
      <c r="E229" s="21" t="str">
        <f t="shared" si="14"/>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15"/>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259</v>
      </c>
      <c r="B230" s="20" t="s">
        <v>120</v>
      </c>
      <c r="C230" s="20" t="s">
        <v>92</v>
      </c>
      <c r="E230" s="21" t="str">
        <f t="shared" si="14"/>
        <v/>
      </c>
      <c r="F230" s="22" t="str">
        <f>IF(OR(E230="",E230="!!!"),"",IF(NOT(ISNA(VLOOKUP(E230,E$1:E229,1,FALSE()))),"OLD",IF(AND(E230&lt;&gt;"",E230&lt;&gt;"!!!"),"NEW","")))</f>
        <v/>
      </c>
      <c r="G230" s="23" t="str">
        <f>IF(OR(E230="",E230="!!!"),"",IF(OR(J230=0,AND(J230=1,K230=1),AND(J230=1,I230="SBJ"),AND(J230=1,I230=0)),"?IN_FOCUS",IF(J230&lt;=2,"?ACTIVATED",IF(J230&lt;&gt;"","?FAMILIAR",IF(F230="NEW",IF(ISNA(VLOOKUP(E230,#REF!,1,FALSE())),"?TYPE_IDENTIFIABLE","?REFERENTIAL"),"_")))))</f>
        <v/>
      </c>
      <c r="H230" s="24" t="str">
        <f t="shared" ca="1" si="15"/>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260</v>
      </c>
      <c r="E231" s="21" t="str">
        <f t="shared" si="14"/>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ca="1" si="15"/>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147</v>
      </c>
      <c r="E232" s="21" t="str">
        <f t="shared" si="14"/>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15"/>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132</v>
      </c>
      <c r="E233" s="21" t="str">
        <f t="shared" si="14"/>
        <v/>
      </c>
      <c r="F233" s="22" t="str">
        <f>IF(OR(E233="",E233="!!!"),"",IF(NOT(ISNA(VLOOKUP(E233,E$1:E232,1,FALSE()))),"OLD",IF(AND(E233&lt;&gt;"",E233&lt;&gt;"!!!"),"NEW","")))</f>
        <v/>
      </c>
      <c r="G233" s="23" t="str">
        <f>IF(OR(E233="",E233="!!!"),"",IF(OR(J233=0,AND(J233=1,K233=1),AND(J233=1,I233="SBJ"),AND(J233=1,I233=0)),"?IN_FOCUS",IF(J233&lt;=2,"?ACTIVATED",IF(J233&lt;&gt;"","?FAMILIAR",IF(F233="NEW",IF(ISNA(VLOOKUP(E233,#REF!,1,FALSE())),"?TYPE_IDENTIFIABLE","?REFERENTIAL"),"_")))))</f>
        <v/>
      </c>
      <c r="H233" s="24" t="str">
        <f t="shared" ca="1" si="15"/>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row>
    <row r="234" spans="1:12" x14ac:dyDescent="0.3">
      <c r="A234" t="s">
        <v>261</v>
      </c>
      <c r="B234" s="20" t="s">
        <v>161</v>
      </c>
      <c r="C234" s="20" t="s">
        <v>112</v>
      </c>
      <c r="D234" s="20" t="s">
        <v>102</v>
      </c>
      <c r="E234" s="21" t="s">
        <v>427</v>
      </c>
      <c r="F234" s="22" t="str">
        <f>IF(OR(E234="",E234="!!!"),"",IF(NOT(ISNA(VLOOKUP(E234,E$1:E233,1,FALSE()))),"OLD",IF(AND(E234&lt;&gt;"",E234&lt;&gt;"!!!"),"NEW","")))</f>
        <v>NEW</v>
      </c>
      <c r="G234" s="23" t="s">
        <v>447</v>
      </c>
      <c r="H234" s="24" t="str">
        <f t="shared" ca="1" si="15"/>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262</v>
      </c>
      <c r="E235" s="21" t="str">
        <f t="shared" si="14"/>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15"/>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263</v>
      </c>
      <c r="B236" s="20" t="s">
        <v>195</v>
      </c>
      <c r="C236" s="20" t="s">
        <v>92</v>
      </c>
      <c r="E236" s="21" t="str">
        <f t="shared" si="14"/>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15"/>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173</v>
      </c>
      <c r="B237" s="20" t="s">
        <v>107</v>
      </c>
      <c r="E237" s="21" t="str">
        <f t="shared" si="14"/>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15"/>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137</v>
      </c>
      <c r="E238" s="21" t="str">
        <f t="shared" si="14"/>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15"/>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264</v>
      </c>
      <c r="E239" s="21" t="str">
        <f t="shared" si="14"/>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15"/>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169</v>
      </c>
      <c r="E240" s="21" t="str">
        <f t="shared" si="14"/>
        <v/>
      </c>
      <c r="F240" s="22" t="str">
        <f>IF(OR(E240="",E240="!!!"),"",IF(NOT(ISNA(VLOOKUP(E240,E$1:E239,1,FALSE()))),"OLD",IF(AND(E240&lt;&gt;"",E240&lt;&gt;"!!!"),"NEW","")))</f>
        <v/>
      </c>
      <c r="G240" s="23" t="str">
        <f>IF(OR(E240="",E240="!!!"),"",IF(OR(J240=0,AND(J240=1,K240=1),AND(J240=1,I240="SBJ"),AND(J240=1,I240=0)),"?IN_FOCUS",IF(J240&lt;=2,"?ACTIVATED",IF(J240&lt;&gt;"","?FAMILIAR",IF(F240="NEW",IF(ISNA(VLOOKUP(E240,#REF!,1,FALSE())),"?TYPE_IDENTIFIABLE","?REFERENTIAL"),"_")))))</f>
        <v/>
      </c>
      <c r="H240" s="24" t="str">
        <f t="shared" ca="1" si="15"/>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row>
    <row r="241" spans="1:12" x14ac:dyDescent="0.3">
      <c r="A241" t="s">
        <v>265</v>
      </c>
      <c r="E241" s="21" t="str">
        <f t="shared" si="14"/>
        <v/>
      </c>
      <c r="F241" s="22" t="str">
        <f>IF(OR(E241="",E241="!!!"),"",IF(NOT(ISNA(VLOOKUP(E241,E$1:E240,1,FALSE()))),"OLD",IF(AND(E241&lt;&gt;"",E241&lt;&gt;"!!!"),"NEW","")))</f>
        <v/>
      </c>
      <c r="G241" s="23" t="str">
        <f>IF(OR(E241="",E241="!!!"),"",IF(OR(J241=0,AND(J241=1,K241=1),AND(J241=1,I241="SBJ"),AND(J241=1,I241=0)),"?IN_FOCUS",IF(J241&lt;=2,"?ACTIVATED",IF(J241&lt;&gt;"","?FAMILIAR",IF(F241="NEW",IF(ISNA(VLOOKUP(E241,#REF!,1,FALSE())),"?TYPE_IDENTIFIABLE","?REFERENTIAL"),"_")))))</f>
        <v/>
      </c>
      <c r="H241" s="24" t="str">
        <f t="shared" ca="1" si="15"/>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262</v>
      </c>
      <c r="E242" s="21" t="str">
        <f t="shared" si="14"/>
        <v/>
      </c>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15"/>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266</v>
      </c>
      <c r="E243" s="21" t="str">
        <f t="shared" si="14"/>
        <v/>
      </c>
      <c r="F243" s="22" t="str">
        <f>IF(OR(E243="",E243="!!!"),"",IF(NOT(ISNA(VLOOKUP(E243,E$1:E242,1,FALSE()))),"OLD",IF(AND(E243&lt;&gt;"",E243&lt;&gt;"!!!"),"NEW","")))</f>
        <v/>
      </c>
      <c r="G243" s="23" t="str">
        <f>IF(OR(E243="",E243="!!!"),"",IF(OR(J243=0,AND(J243=1,K243=1),AND(J243=1,I243="SBJ"),AND(J243=1,I243=0)),"?IN_FOCUS",IF(J243&lt;=2,"?ACTIVATED",IF(J243&lt;&gt;"","?FAMILIAR",IF(F243="NEW",IF(ISNA(VLOOKUP(E243,#REF!,1,FALSE())),"?TYPE_IDENTIFIABLE","?REFERENTIAL"),"_")))))</f>
        <v/>
      </c>
      <c r="H243" s="24" t="str">
        <f t="shared" ca="1" si="15"/>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267</v>
      </c>
      <c r="B244" s="20" t="s">
        <v>195</v>
      </c>
      <c r="C244" s="20" t="s">
        <v>92</v>
      </c>
      <c r="E244" s="21" t="str">
        <f t="shared" si="14"/>
        <v/>
      </c>
      <c r="F244" s="22" t="str">
        <f>IF(OR(E244="",E244="!!!"),"",IF(NOT(ISNA(VLOOKUP(E244,E$1:E243,1,FALSE()))),"OLD",IF(AND(E244&lt;&gt;"",E244&lt;&gt;"!!!"),"NEW","")))</f>
        <v/>
      </c>
      <c r="G244" s="23" t="str">
        <f>IF(OR(E244="",E244="!!!"),"",IF(OR(J244=0,AND(J244=1,K244=1),AND(J244=1,I244="SBJ"),AND(J244=1,I244=0)),"?IN_FOCUS",IF(J244&lt;=2,"?ACTIVATED",IF(J244&lt;&gt;"","?FAMILIAR",IF(F244="NEW",IF(ISNA(VLOOKUP(E244,#REF!,1,FALSE())),"?TYPE_IDENTIFIABLE","?REFERENTIAL"),"_")))))</f>
        <v/>
      </c>
      <c r="H244" s="24" t="str">
        <f t="shared" ca="1" si="15"/>
        <v/>
      </c>
      <c r="I244" s="25" t="str">
        <f>IF(OR(E244="",E244="!!!",F244="NEW"),"",INDEX(B$2:B243,-1+SUMPRODUCT(MAX(ROW(E$2:E243)*(E244=E$2:E243)))))</f>
        <v/>
      </c>
      <c r="J244" s="25" t="str">
        <f ca="1">IF(OR(E244="",E244="!!!",F244="NEW"),"",COUNTBLANK(OFFSET(A$1,,,SUMPRODUCT(MAX(ROW(E$2:E244)*(E244=E$2:E244)))))-COUNTBLANK(OFFSET(A$1,,,SUMPRODUCT(MAX(ROW(E$1:E243)*(E2=E$1:E243))))))</f>
        <v/>
      </c>
      <c r="K244" s="25" t="str">
        <f>IF(OR(E244="",E244="!!!",F244="NEW"),"",INDEX(J$1:J243,SUMPRODUCT(MAX(ROW(E$1:E243)*(E244=E$1:E243)))))</f>
        <v/>
      </c>
      <c r="L244" s="26"/>
    </row>
    <row r="245" spans="1:12" x14ac:dyDescent="0.3">
      <c r="A245" t="s">
        <v>155</v>
      </c>
      <c r="E245" s="21" t="str">
        <f t="shared" si="14"/>
        <v/>
      </c>
      <c r="F245" s="22" t="str">
        <f>IF(OR(E245="",E245="!!!"),"",IF(NOT(ISNA(VLOOKUP(E245,E$1:E244,1,FALSE()))),"OLD",IF(AND(E245&lt;&gt;"",E245&lt;&gt;"!!!"),"NEW","")))</f>
        <v/>
      </c>
      <c r="G245" s="23" t="str">
        <f>IF(OR(E245="",E245="!!!"),"",IF(OR(J245=0,AND(J245=1,K245=1),AND(J245=1,I245="SBJ"),AND(J245=1,I245=0)),"?IN_FOCUS",IF(J245&lt;=2,"?ACTIVATED",IF(J245&lt;&gt;"","?FAMILIAR",IF(F245="NEW",IF(ISNA(VLOOKUP(E245,#REF!,1,FALSE())),"?TYPE_IDENTIFIABLE","?REFERENTIAL"),"_")))))</f>
        <v/>
      </c>
      <c r="H245" s="24" t="str">
        <f t="shared" ca="1" si="15"/>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7" spans="1:12" x14ac:dyDescent="0.3">
      <c r="A247" t="s">
        <v>268</v>
      </c>
    </row>
    <row r="248" spans="1:12" x14ac:dyDescent="0.3">
      <c r="A248" t="s">
        <v>269</v>
      </c>
      <c r="B248" s="20" t="s">
        <v>91</v>
      </c>
      <c r="C248" s="20" t="s">
        <v>270</v>
      </c>
      <c r="D248" s="20" t="s">
        <v>102</v>
      </c>
      <c r="E248" s="21"/>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ref="H248:H270" ca="1" si="16">IF(J248&lt;&gt;1,"",IF(I248="SBJ","CB","?"))</f>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t="s">
        <v>433</v>
      </c>
    </row>
    <row r="249" spans="1:12" x14ac:dyDescent="0.3">
      <c r="A249" t="s">
        <v>271</v>
      </c>
      <c r="E249" s="21" t="str">
        <f t="shared" ref="E249:E270" si="17">IF(D249="?OLD","!!!","")</f>
        <v/>
      </c>
      <c r="F249" s="22" t="str">
        <f>IF(OR(E249="",E249="!!!"),"",IF(NOT(ISNA(VLOOKUP(E249,E$1:E248,1,FALSE()))),"OLD",IF(AND(E249&lt;&gt;"",E249&lt;&gt;"!!!"),"NEW","")))</f>
        <v/>
      </c>
      <c r="G249" s="23" t="str">
        <f>IF(OR(E249="",E249="!!!"),"",IF(OR(J249=0,AND(J249=1,K249=1),AND(J249=1,I249="SBJ"),AND(J249=1,I249=0)),"?IN_FOCUS",IF(J249&lt;=2,"?ACTIVATED",IF(J249&lt;&gt;"","?FAMILIAR",IF(F249="NEW",IF(ISNA(VLOOKUP(E249,#REF!,1,FALSE())),"?TYPE_IDENTIFIABLE","?REFERENTIAL"),"_")))))</f>
        <v/>
      </c>
      <c r="H249" s="24" t="str">
        <f t="shared" ca="1" si="16"/>
        <v/>
      </c>
      <c r="I249" s="25" t="str">
        <f>IF(OR(E249="",E249="!!!",F249="NEW"),"",INDEX(B$2:B248,-1+SUMPRODUCT(MAX(ROW(E$2:E248)*(E249=E$2:E248)))))</f>
        <v/>
      </c>
      <c r="J249" s="25" t="str">
        <f ca="1">IF(OR(E249="",E249="!!!",F249="NEW"),"",COUNTBLANK(OFFSET(A$1,,,SUMPRODUCT(MAX(ROW(E$2:E249)*(E249=E$2:E249)))))-COUNTBLANK(OFFSET(A$1,,,SUMPRODUCT(MAX(ROW(E$1:E248)*(E2=E$1:E248))))))</f>
        <v/>
      </c>
      <c r="K249" s="25" t="str">
        <f>IF(OR(E249="",E249="!!!",F249="NEW"),"",INDEX(J$1:J248,SUMPRODUCT(MAX(ROW(E$1:E248)*(E249=E$1:E248)))))</f>
        <v/>
      </c>
      <c r="L249" s="26"/>
    </row>
    <row r="250" spans="1:12" x14ac:dyDescent="0.3">
      <c r="A250" t="s">
        <v>208</v>
      </c>
      <c r="E250" s="21" t="str">
        <f t="shared" si="17"/>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t="shared" ca="1" si="16"/>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1" spans="1:12" x14ac:dyDescent="0.3">
      <c r="A251" t="s">
        <v>124</v>
      </c>
      <c r="E251" s="21" t="str">
        <f t="shared" si="17"/>
        <v/>
      </c>
      <c r="F251" s="22" t="str">
        <f>IF(OR(E251="",E251="!!!"),"",IF(NOT(ISNA(VLOOKUP(E251,E$1:E250,1,FALSE()))),"OLD",IF(AND(E251&lt;&gt;"",E251&lt;&gt;"!!!"),"NEW","")))</f>
        <v/>
      </c>
      <c r="G251" s="23" t="str">
        <f>IF(OR(E251="",E251="!!!"),"",IF(OR(J251=0,AND(J251=1,K251=1),AND(J251=1,I251="SBJ"),AND(J251=1,I251=0)),"?IN_FOCUS",IF(J251&lt;=2,"?ACTIVATED",IF(J251&lt;&gt;"","?FAMILIAR",IF(F251="NEW",IF(ISNA(VLOOKUP(E251,#REF!,1,FALSE())),"?TYPE_IDENTIFIABLE","?REFERENTIAL"),"_")))))</f>
        <v/>
      </c>
      <c r="H251" s="24" t="str">
        <f t="shared" ca="1" si="16"/>
        <v/>
      </c>
      <c r="I251" s="25" t="str">
        <f>IF(OR(E251="",E251="!!!",F251="NEW"),"",INDEX(B$2:B250,-1+SUMPRODUCT(MAX(ROW(E$2:E250)*(E251=E$2:E250)))))</f>
        <v/>
      </c>
      <c r="J251" s="25" t="str">
        <f ca="1">IF(OR(E251="",E251="!!!",F251="NEW"),"",COUNTBLANK(OFFSET(A$1,,,SUMPRODUCT(MAX(ROW(E$2:E251)*(E251=E$2:E251)))))-COUNTBLANK(OFFSET(A$1,,,SUMPRODUCT(MAX(ROW(E$1:E250)*(E2=E$1:E250))))))</f>
        <v/>
      </c>
      <c r="K251" s="25" t="str">
        <f>IF(OR(E251="",E251="!!!",F251="NEW"),"",INDEX(J$1:J250,SUMPRODUCT(MAX(ROW(E$1:E250)*(E251=E$1:E250)))))</f>
        <v/>
      </c>
      <c r="L251" s="26"/>
    </row>
    <row r="252" spans="1:12" x14ac:dyDescent="0.3">
      <c r="A252" t="s">
        <v>272</v>
      </c>
      <c r="B252" s="20" t="s">
        <v>107</v>
      </c>
      <c r="C252" s="20" t="s">
        <v>112</v>
      </c>
      <c r="D252" s="20" t="s">
        <v>102</v>
      </c>
      <c r="E252" s="21" t="s">
        <v>434</v>
      </c>
      <c r="F252" s="22" t="str">
        <f>IF(OR(E252="",E252="!!!"),"",IF(NOT(ISNA(VLOOKUP(E252,E$1:E251,1,FALSE()))),"OLD",IF(AND(E252&lt;&gt;"",E252&lt;&gt;"!!!"),"NEW","")))</f>
        <v>NEW</v>
      </c>
      <c r="G252" s="23" t="s">
        <v>448</v>
      </c>
      <c r="H252" s="24" t="str">
        <f t="shared" ca="1" si="16"/>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97</v>
      </c>
      <c r="E253" s="21" t="str">
        <f t="shared" si="17"/>
        <v/>
      </c>
      <c r="F253" s="22" t="str">
        <f>IF(OR(E253="",E253="!!!"),"",IF(NOT(ISNA(VLOOKUP(E253,E$1:E252,1,FALSE()))),"OLD",IF(AND(E253&lt;&gt;"",E253&lt;&gt;"!!!"),"NEW","")))</f>
        <v/>
      </c>
      <c r="G253" s="23" t="str">
        <f>IF(OR(E253="",E253="!!!"),"",IF(OR(J253=0,AND(J253=1,K253=1),AND(J253=1,I253="SBJ"),AND(J253=1,I253=0)),"?IN_FOCUS",IF(J253&lt;=2,"?ACTIVATED",IF(J253&lt;&gt;"","?FAMILIAR",IF(F253="NEW",IF(ISNA(VLOOKUP(E253,#REF!,1,FALSE())),"?TYPE_IDENTIFIABLE","?REFERENTIAL"),"_")))))</f>
        <v/>
      </c>
      <c r="H253" s="24" t="str">
        <f t="shared" ca="1" si="16"/>
        <v/>
      </c>
      <c r="I253" s="25" t="str">
        <f>IF(OR(E253="",E253="!!!",F253="NEW"),"",INDEX(B$2:B252,-1+SUMPRODUCT(MAX(ROW(E$2:E252)*(E253=E$2:E252)))))</f>
        <v/>
      </c>
      <c r="J253" s="25" t="str">
        <f ca="1">IF(OR(E253="",E253="!!!",F253="NEW"),"",COUNTBLANK(OFFSET(A$1,,,SUMPRODUCT(MAX(ROW(E$2:E253)*(E253=E$2:E253)))))-COUNTBLANK(OFFSET(A$1,,,SUMPRODUCT(MAX(ROW(E$1:E252)*(E2=E$1:E252))))))</f>
        <v/>
      </c>
      <c r="K253" s="25" t="str">
        <f>IF(OR(E253="",E253="!!!",F253="NEW"),"",INDEX(J$1:J252,SUMPRODUCT(MAX(ROW(E$1:E252)*(E253=E$1:E252)))))</f>
        <v/>
      </c>
      <c r="L253" s="26"/>
    </row>
    <row r="254" spans="1:12" x14ac:dyDescent="0.3">
      <c r="A254" t="s">
        <v>273</v>
      </c>
      <c r="E254" s="21" t="str">
        <f t="shared" si="17"/>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t="shared" ca="1" si="16"/>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103</v>
      </c>
      <c r="E255" s="21" t="s">
        <v>410</v>
      </c>
      <c r="F255" s="22" t="str">
        <f>IF(OR(E255="",E255="!!!"),"",IF(NOT(ISNA(VLOOKUP(E255,E$1:E254,1,FALSE()))),"OLD",IF(AND(E255&lt;&gt;"",E255&lt;&gt;"!!!"),"NEW","")))</f>
        <v>OLD</v>
      </c>
      <c r="G255" s="23" t="s">
        <v>447</v>
      </c>
      <c r="H255" s="24" t="str">
        <f t="shared" ca="1" si="16"/>
        <v/>
      </c>
      <c r="I255" s="25" t="str">
        <f>IF(OR(E255="",E255="!!!",F255="NEW"),"",INDEX(B$2:B254,-1+SUMPRODUCT(MAX(ROW(E$2:E254)*(E255=E$2:E254)))))</f>
        <v>SBJ</v>
      </c>
      <c r="J255" s="25">
        <f ca="1">IF(OR(E255="",E255="!!!",F255="NEW"),"",COUNTBLANK(OFFSET(A$1,,,SUMPRODUCT(MAX(ROW(E$2:E255)*(E255=E$2:E255)))))-COUNTBLANK(OFFSET(A$1,,,SUMPRODUCT(MAX(ROW(E$1:E254)*(E2=E$1:E254))))))</f>
        <v>0</v>
      </c>
      <c r="K255" s="25">
        <f ca="1">IF(OR(E255="",E255="!!!",F255="NEW"),"",INDEX(J$1:J254,SUMPRODUCT(MAX(ROW(E$1:E254)*(E255=E$1:E254)))))</f>
        <v>0</v>
      </c>
      <c r="L255" s="26"/>
    </row>
    <row r="256" spans="1:12" x14ac:dyDescent="0.3">
      <c r="A256" t="s">
        <v>163</v>
      </c>
      <c r="E256" s="21" t="str">
        <f t="shared" si="17"/>
        <v/>
      </c>
      <c r="F256" s="22" t="str">
        <f>IF(OR(E256="",E256="!!!"),"",IF(NOT(ISNA(VLOOKUP(E256,E$1:E255,1,FALSE()))),"OLD",IF(AND(E256&lt;&gt;"",E256&lt;&gt;"!!!"),"NEW","")))</f>
        <v/>
      </c>
      <c r="G256" s="23" t="str">
        <f>IF(OR(E256="",E256="!!!"),"",IF(OR(J256=0,AND(J256=1,K256=1),AND(J256=1,I256="SBJ"),AND(J256=1,I256=0)),"?IN_FOCUS",IF(J256&lt;=2,"?ACTIVATED",IF(J256&lt;&gt;"","?FAMILIAR",IF(F256="NEW",IF(ISNA(VLOOKUP(E256,#REF!,1,FALSE())),"?TYPE_IDENTIFIABLE","?REFERENTIAL"),"_")))))</f>
        <v/>
      </c>
      <c r="H256" s="24" t="str">
        <f t="shared" ca="1" si="16"/>
        <v/>
      </c>
      <c r="I256" s="25" t="str">
        <f>IF(OR(E256="",E256="!!!",F256="NEW"),"",INDEX(B$2:B255,-1+SUMPRODUCT(MAX(ROW(E$2:E255)*(E256=E$2:E255)))))</f>
        <v/>
      </c>
      <c r="J256" s="25" t="str">
        <f ca="1">IF(OR(E256="",E256="!!!",F256="NEW"),"",COUNTBLANK(OFFSET(A$1,,,SUMPRODUCT(MAX(ROW(E$2:E256)*(E256=E$2:E256)))))-COUNTBLANK(OFFSET(A$1,,,SUMPRODUCT(MAX(ROW(E$1:E255)*(E2=E$1:E255))))))</f>
        <v/>
      </c>
      <c r="K256" s="25" t="str">
        <f>IF(OR(E256="",E256="!!!",F256="NEW"),"",INDEX(J$1:J255,SUMPRODUCT(MAX(ROW(E$1:E255)*(E256=E$1:E255)))))</f>
        <v/>
      </c>
      <c r="L256" s="26"/>
    </row>
    <row r="257" spans="1:12" x14ac:dyDescent="0.3">
      <c r="A257" t="s">
        <v>274</v>
      </c>
      <c r="E257" s="21" t="str">
        <f t="shared" si="17"/>
        <v/>
      </c>
      <c r="F257" s="22" t="str">
        <f>IF(OR(E257="",E257="!!!"),"",IF(NOT(ISNA(VLOOKUP(E257,E$1:E256,1,FALSE()))),"OLD",IF(AND(E257&lt;&gt;"",E257&lt;&gt;"!!!"),"NEW","")))</f>
        <v/>
      </c>
      <c r="G257" s="23" t="str">
        <f>IF(OR(E257="",E257="!!!"),"",IF(OR(J257=0,AND(J257=1,K257=1),AND(J257=1,I257="SBJ"),AND(J257=1,I257=0)),"?IN_FOCUS",IF(J257&lt;=2,"?ACTIVATED",IF(J257&lt;&gt;"","?FAMILIAR",IF(F257="NEW",IF(ISNA(VLOOKUP(E257,#REF!,1,FALSE())),"?TYPE_IDENTIFIABLE","?REFERENTIAL"),"_")))))</f>
        <v/>
      </c>
      <c r="H257" s="24" t="str">
        <f t="shared" ca="1" si="16"/>
        <v/>
      </c>
      <c r="I257" s="25" t="str">
        <f>IF(OR(E257="",E257="!!!",F257="NEW"),"",INDEX(B$2:B256,-1+SUMPRODUCT(MAX(ROW(E$2:E256)*(E257=E$2:E256)))))</f>
        <v/>
      </c>
      <c r="J257" s="25" t="str">
        <f ca="1">IF(OR(E257="",E257="!!!",F257="NEW"),"",COUNTBLANK(OFFSET(A$1,,,SUMPRODUCT(MAX(ROW(E$2:E257)*(E257=E$2:E257)))))-COUNTBLANK(OFFSET(A$1,,,SUMPRODUCT(MAX(ROW(E$1:E256)*(E2=E$1:E256))))))</f>
        <v/>
      </c>
      <c r="K257" s="25" t="str">
        <f>IF(OR(E257="",E257="!!!",F257="NEW"),"",INDEX(J$1:J256,SUMPRODUCT(MAX(ROW(E$1:E256)*(E257=E$1:E256)))))</f>
        <v/>
      </c>
      <c r="L257" s="26"/>
    </row>
    <row r="258" spans="1:12" x14ac:dyDescent="0.3">
      <c r="A258" t="s">
        <v>275</v>
      </c>
      <c r="E258" s="21" t="str">
        <f t="shared" si="17"/>
        <v/>
      </c>
      <c r="F258" s="22" t="str">
        <f>IF(OR(E258="",E258="!!!"),"",IF(NOT(ISNA(VLOOKUP(E258,E$1:E257,1,FALSE()))),"OLD",IF(AND(E258&lt;&gt;"",E258&lt;&gt;"!!!"),"NEW","")))</f>
        <v/>
      </c>
      <c r="G258" s="23" t="str">
        <f>IF(OR(E258="",E258="!!!"),"",IF(OR(J258=0,AND(J258=1,K258=1),AND(J258=1,I258="SBJ"),AND(J258=1,I258=0)),"?IN_FOCUS",IF(J258&lt;=2,"?ACTIVATED",IF(J258&lt;&gt;"","?FAMILIAR",IF(F258="NEW",IF(ISNA(VLOOKUP(E258,#REF!,1,FALSE())),"?TYPE_IDENTIFIABLE","?REFERENTIAL"),"_")))))</f>
        <v/>
      </c>
      <c r="H258" s="24" t="str">
        <f t="shared" ca="1" si="16"/>
        <v/>
      </c>
      <c r="I258" s="25" t="str">
        <f>IF(OR(E258="",E258="!!!",F258="NEW"),"",INDEX(B$2:B257,-1+SUMPRODUCT(MAX(ROW(E$2:E257)*(E258=E$2:E257)))))</f>
        <v/>
      </c>
      <c r="J258" s="25" t="str">
        <f ca="1">IF(OR(E258="",E258="!!!",F258="NEW"),"",COUNTBLANK(OFFSET(A$1,,,SUMPRODUCT(MAX(ROW(E$2:E258)*(E258=E$2:E258)))))-COUNTBLANK(OFFSET(A$1,,,SUMPRODUCT(MAX(ROW(E$1:E257)*(E2=E$1:E257))))))</f>
        <v/>
      </c>
      <c r="K258" s="25" t="str">
        <f>IF(OR(E258="",E258="!!!",F258="NEW"),"",INDEX(J$1:J257,SUMPRODUCT(MAX(ROW(E$1:E257)*(E258=E$1:E257)))))</f>
        <v/>
      </c>
      <c r="L258" s="26"/>
    </row>
    <row r="259" spans="1:12" x14ac:dyDescent="0.3">
      <c r="A259" t="s">
        <v>276</v>
      </c>
      <c r="B259" s="20" t="s">
        <v>107</v>
      </c>
      <c r="C259" s="20" t="s">
        <v>112</v>
      </c>
      <c r="D259" s="20" t="s">
        <v>102</v>
      </c>
      <c r="E259" s="21"/>
      <c r="F259" s="22" t="s">
        <v>413</v>
      </c>
      <c r="G259" s="23" t="str">
        <f>IF(OR(E259="",E259="!!!"),"",IF(OR(J259=0,AND(J259=1,K259=1),AND(J259=1,I259="SBJ"),AND(J259=1,I259=0)),"?IN_FOCUS",IF(J259&lt;=2,"?ACTIVATED",IF(J259&lt;&gt;"","?FAMILIAR",IF(F259="NEW",IF(ISNA(VLOOKUP(E259,#REF!,1,FALSE())),"?TYPE_IDENTIFIABLE","?REFERENTIAL"),"_")))))</f>
        <v/>
      </c>
      <c r="H259" s="24" t="str">
        <f t="shared" ca="1" si="16"/>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277</v>
      </c>
      <c r="E260" s="21" t="str">
        <f t="shared" si="17"/>
        <v/>
      </c>
      <c r="F260" s="22" t="str">
        <f>IF(OR(E260="",E260="!!!"),"",IF(NOT(ISNA(VLOOKUP(E260,E$1:E259,1,FALSE()))),"OLD",IF(AND(E260&lt;&gt;"",E260&lt;&gt;"!!!"),"NEW","")))</f>
        <v/>
      </c>
      <c r="G260" s="23" t="str">
        <f>IF(OR(E260="",E260="!!!"),"",IF(OR(J260=0,AND(J260=1,K260=1),AND(J260=1,I260="SBJ"),AND(J260=1,I260=0)),"?IN_FOCUS",IF(J260&lt;=2,"?ACTIVATED",IF(J260&lt;&gt;"","?FAMILIAR",IF(F260="NEW",IF(ISNA(VLOOKUP(E260,#REF!,1,FALSE())),"?TYPE_IDENTIFIABLE","?REFERENTIAL"),"_")))))</f>
        <v/>
      </c>
      <c r="H260" s="24" t="str">
        <f t="shared" ca="1" si="16"/>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row>
    <row r="261" spans="1:12" x14ac:dyDescent="0.3">
      <c r="A261" t="s">
        <v>249</v>
      </c>
      <c r="E261" s="21" t="str">
        <f t="shared" si="17"/>
        <v/>
      </c>
      <c r="F261" s="22" t="str">
        <f>IF(OR(E261="",E261="!!!"),"",IF(NOT(ISNA(VLOOKUP(E261,E$1:E260,1,FALSE()))),"OLD",IF(AND(E261&lt;&gt;"",E261&lt;&gt;"!!!"),"NEW","")))</f>
        <v/>
      </c>
      <c r="G261" s="23" t="str">
        <f>IF(OR(E261="",E261="!!!"),"",IF(OR(J261=0,AND(J261=1,K261=1),AND(J261=1,I261="SBJ"),AND(J261=1,I261=0)),"?IN_FOCUS",IF(J261&lt;=2,"?ACTIVATED",IF(J261&lt;&gt;"","?FAMILIAR",IF(F261="NEW",IF(ISNA(VLOOKUP(E261,#REF!,1,FALSE())),"?TYPE_IDENTIFIABLE","?REFERENTIAL"),"_")))))</f>
        <v/>
      </c>
      <c r="H261" s="24" t="str">
        <f t="shared" ca="1" si="16"/>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2" spans="1:12" x14ac:dyDescent="0.3">
      <c r="A262" t="s">
        <v>162</v>
      </c>
      <c r="E262" s="21" t="str">
        <f t="shared" si="17"/>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16"/>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97</v>
      </c>
      <c r="E263" s="21" t="str">
        <f t="shared" si="17"/>
        <v/>
      </c>
      <c r="F263" s="22" t="str">
        <f>IF(OR(E263="",E263="!!!"),"",IF(NOT(ISNA(VLOOKUP(E263,E$1:E262,1,FALSE()))),"OLD",IF(AND(E263&lt;&gt;"",E263&lt;&gt;"!!!"),"NEW","")))</f>
        <v/>
      </c>
      <c r="G263" s="23" t="str">
        <f>IF(OR(E263="",E263="!!!"),"",IF(OR(J263=0,AND(J263=1,K263=1),AND(J263=1,I263="SBJ"),AND(J263=1,I263=0)),"?IN_FOCUS",IF(J263&lt;=2,"?ACTIVATED",IF(J263&lt;&gt;"","?FAMILIAR",IF(F263="NEW",IF(ISNA(VLOOKUP(E263,#REF!,1,FALSE())),"?TYPE_IDENTIFIABLE","?REFERENTIAL"),"_")))))</f>
        <v/>
      </c>
      <c r="H263" s="24" t="str">
        <f t="shared" ca="1" si="16"/>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171</v>
      </c>
      <c r="E264" s="21" t="str">
        <f t="shared" si="17"/>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16"/>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278</v>
      </c>
      <c r="E265" s="21" t="str">
        <f t="shared" si="17"/>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16"/>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279</v>
      </c>
      <c r="B266" s="20" t="s">
        <v>174</v>
      </c>
      <c r="C266" s="20" t="s">
        <v>280</v>
      </c>
      <c r="E266" s="21" t="str">
        <f t="shared" si="17"/>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16"/>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7" spans="1:12" x14ac:dyDescent="0.3">
      <c r="A267" t="s">
        <v>281</v>
      </c>
      <c r="E267" s="21" t="str">
        <f t="shared" si="17"/>
        <v/>
      </c>
      <c r="F267" s="22" t="str">
        <f>IF(OR(E267="",E267="!!!"),"",IF(NOT(ISNA(VLOOKUP(E267,E$1:E266,1,FALSE()))),"OLD",IF(AND(E267&lt;&gt;"",E267&lt;&gt;"!!!"),"NEW","")))</f>
        <v/>
      </c>
      <c r="G267" s="23" t="str">
        <f>IF(OR(E267="",E267="!!!"),"",IF(OR(J267=0,AND(J267=1,K267=1),AND(J267=1,I267="SBJ"),AND(J267=1,I267=0)),"?IN_FOCUS",IF(J267&lt;=2,"?ACTIVATED",IF(J267&lt;&gt;"","?FAMILIAR",IF(F267="NEW",IF(ISNA(VLOOKUP(E267,#REF!,1,FALSE())),"?TYPE_IDENTIFIABLE","?REFERENTIAL"),"_")))))</f>
        <v/>
      </c>
      <c r="H267" s="24" t="str">
        <f t="shared" ca="1" si="16"/>
        <v/>
      </c>
      <c r="I267" s="25" t="str">
        <f>IF(OR(E267="",E267="!!!",F267="NEW"),"",INDEX(B$2:B266,-1+SUMPRODUCT(MAX(ROW(E$2:E266)*(E267=E$2:E266)))))</f>
        <v/>
      </c>
      <c r="J267" s="25" t="str">
        <f ca="1">IF(OR(E267="",E267="!!!",F267="NEW"),"",COUNTBLANK(OFFSET(A$1,,,SUMPRODUCT(MAX(ROW(E$2:E267)*(E267=E$2:E267)))))-COUNTBLANK(OFFSET(A$1,,,SUMPRODUCT(MAX(ROW(E$1:E266)*(E2=E$1:E266))))))</f>
        <v/>
      </c>
      <c r="K267" s="25" t="str">
        <f>IF(OR(E267="",E267="!!!",F267="NEW"),"",INDEX(J$1:J266,SUMPRODUCT(MAX(ROW(E$1:E266)*(E267=E$1:E266)))))</f>
        <v/>
      </c>
      <c r="L267" s="26"/>
    </row>
    <row r="268" spans="1:12" x14ac:dyDescent="0.3">
      <c r="A268" t="s">
        <v>282</v>
      </c>
      <c r="E268" s="21" t="str">
        <f t="shared" si="17"/>
        <v/>
      </c>
      <c r="F268" s="22" t="str">
        <f>IF(OR(E268="",E268="!!!"),"",IF(NOT(ISNA(VLOOKUP(E268,E$1:E267,1,FALSE()))),"OLD",IF(AND(E268&lt;&gt;"",E268&lt;&gt;"!!!"),"NEW","")))</f>
        <v/>
      </c>
      <c r="G268" s="23" t="str">
        <f>IF(OR(E268="",E268="!!!"),"",IF(OR(J268=0,AND(J268=1,K268=1),AND(J268=1,I268="SBJ"),AND(J268=1,I268=0)),"?IN_FOCUS",IF(J268&lt;=2,"?ACTIVATED",IF(J268&lt;&gt;"","?FAMILIAR",IF(F268="NEW",IF(ISNA(VLOOKUP(E268,#REF!,1,FALSE())),"?TYPE_IDENTIFIABLE","?REFERENTIAL"),"_")))))</f>
        <v/>
      </c>
      <c r="H268" s="24" t="str">
        <f t="shared" ca="1" si="16"/>
        <v/>
      </c>
      <c r="I268" s="25" t="str">
        <f>IF(OR(E268="",E268="!!!",F268="NEW"),"",INDEX(B$2:B267,-1+SUMPRODUCT(MAX(ROW(E$2:E267)*(E268=E$2:E267)))))</f>
        <v/>
      </c>
      <c r="J268" s="25" t="str">
        <f ca="1">IF(OR(E268="",E268="!!!",F268="NEW"),"",COUNTBLANK(OFFSET(A$1,,,SUMPRODUCT(MAX(ROW(E$2:E268)*(E268=E$2:E268)))))-COUNTBLANK(OFFSET(A$1,,,SUMPRODUCT(MAX(ROW(E$1:E267)*(E2=E$1:E267))))))</f>
        <v/>
      </c>
      <c r="K268" s="25" t="str">
        <f>IF(OR(E268="",E268="!!!",F268="NEW"),"",INDEX(J$1:J267,SUMPRODUCT(MAX(ROW(E$1:E267)*(E268=E$1:E267)))))</f>
        <v/>
      </c>
      <c r="L268" s="26"/>
    </row>
    <row r="269" spans="1:12" x14ac:dyDescent="0.3">
      <c r="A269" t="s">
        <v>283</v>
      </c>
      <c r="E269" s="21" t="str">
        <f t="shared" si="17"/>
        <v/>
      </c>
      <c r="F269" s="22" t="str">
        <f>IF(OR(E269="",E269="!!!"),"",IF(NOT(ISNA(VLOOKUP(E269,E$1:E268,1,FALSE()))),"OLD",IF(AND(E269&lt;&gt;"",E269&lt;&gt;"!!!"),"NEW","")))</f>
        <v/>
      </c>
      <c r="G269" s="23" t="str">
        <f>IF(OR(E269="",E269="!!!"),"",IF(OR(J269=0,AND(J269=1,K269=1),AND(J269=1,I269="SBJ"),AND(J269=1,I269=0)),"?IN_FOCUS",IF(J269&lt;=2,"?ACTIVATED",IF(J269&lt;&gt;"","?FAMILIAR",IF(F269="NEW",IF(ISNA(VLOOKUP(E269,#REF!,1,FALSE())),"?TYPE_IDENTIFIABLE","?REFERENTIAL"),"_")))))</f>
        <v/>
      </c>
      <c r="H269" s="24" t="str">
        <f t="shared" ca="1" si="16"/>
        <v/>
      </c>
      <c r="I269" s="25" t="str">
        <f>IF(OR(E269="",E269="!!!",F269="NEW"),"",INDEX(B$2:B268,-1+SUMPRODUCT(MAX(ROW(E$2:E268)*(E269=E$2:E268)))))</f>
        <v/>
      </c>
      <c r="J269" s="25" t="str">
        <f ca="1">IF(OR(E269="",E269="!!!",F269="NEW"),"",COUNTBLANK(OFFSET(A$1,,,SUMPRODUCT(MAX(ROW(E$2:E269)*(E269=E$2:E269)))))-COUNTBLANK(OFFSET(A$1,,,SUMPRODUCT(MAX(ROW(E$1:E268)*(E2=E$1:E268))))))</f>
        <v/>
      </c>
      <c r="K269" s="25" t="str">
        <f>IF(OR(E269="",E269="!!!",F269="NEW"),"",INDEX(J$1:J268,SUMPRODUCT(MAX(ROW(E$1:E268)*(E269=E$1:E268)))))</f>
        <v/>
      </c>
      <c r="L269" s="26"/>
    </row>
    <row r="270" spans="1:12" x14ac:dyDescent="0.3">
      <c r="A270" t="s">
        <v>155</v>
      </c>
      <c r="E270" s="21" t="str">
        <f t="shared" si="17"/>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16"/>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2" spans="1:12" x14ac:dyDescent="0.3">
      <c r="A272" t="s">
        <v>156</v>
      </c>
      <c r="E272" s="21" t="str">
        <f>IF(D272="?OLD","!!!","")</f>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ca="1">IF(J272&lt;&gt;1,"",IF(I272="SBJ","CB","?"))</f>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284</v>
      </c>
    </row>
    <row r="274" spans="1:12" x14ac:dyDescent="0.3">
      <c r="A274" t="s">
        <v>177</v>
      </c>
      <c r="E274" s="21" t="str">
        <f t="shared" ref="E274:E291" si="18">IF(D274="?OLD","!!!","")</f>
        <v/>
      </c>
      <c r="F274" s="22" t="str">
        <f>IF(OR(E274="",E274="!!!"),"",IF(NOT(ISNA(VLOOKUP(E274,E$1:E273,1,FALSE()))),"OLD",IF(AND(E274&lt;&gt;"",E274&lt;&gt;"!!!"),"NEW","")))</f>
        <v/>
      </c>
      <c r="G274" s="23" t="str">
        <f>IF(OR(E274="",E274="!!!"),"",IF(OR(J274=0,AND(J274=1,K274=1),AND(J274=1,I274="SBJ"),AND(J274=1,I274=0)),"?IN_FOCUS",IF(J274&lt;=2,"?ACTIVATED",IF(J274&lt;&gt;"","?FAMILIAR",IF(F274="NEW",IF(ISNA(VLOOKUP(E274,#REF!,1,FALSE())),"?TYPE_IDENTIFIABLE","?REFERENTIAL"),"_")))))</f>
        <v/>
      </c>
      <c r="H274" s="24" t="str">
        <f t="shared" ref="H274:H291" ca="1" si="19">IF(J274&lt;&gt;1,"",IF(I274="SBJ","CB","?"))</f>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103</v>
      </c>
      <c r="B275" s="20" t="s">
        <v>91</v>
      </c>
      <c r="C275" s="20" t="s">
        <v>104</v>
      </c>
      <c r="D275" s="20" t="s">
        <v>102</v>
      </c>
      <c r="E275" s="21" t="s">
        <v>410</v>
      </c>
      <c r="F275" s="22" t="str">
        <f>IF(OR(E275="",E275="!!!"),"",IF(NOT(ISNA(VLOOKUP(E275,E$1:E274,1,FALSE()))),"OLD",IF(AND(E275&lt;&gt;"",E275&lt;&gt;"!!!"),"NEW","")))</f>
        <v>OLD</v>
      </c>
      <c r="G275" s="23" t="s">
        <v>446</v>
      </c>
      <c r="H275" s="24" t="s">
        <v>85</v>
      </c>
      <c r="I275" s="25">
        <f>IF(OR(E275="",E275="!!!",F275="NEW"),"",INDEX(B$2:B274,-1+SUMPRODUCT(MAX(ROW(E$2:E274)*(E275=E$2:E274)))))</f>
        <v>0</v>
      </c>
      <c r="J275" s="25">
        <f ca="1">IF(OR(E275="",E275="!!!",F275="NEW"),"",COUNTBLANK(OFFSET(A$1,,,SUMPRODUCT(MAX(ROW(E$2:E275)*(E275=E$2:E275)))))-COUNTBLANK(OFFSET(A$1,,,SUMPRODUCT(MAX(ROW(E$1:E274)*(E2=E$1:E274))))))</f>
        <v>0</v>
      </c>
      <c r="K275" s="25">
        <f ca="1">IF(OR(E275="",E275="!!!",F275="NEW"),"",INDEX(J$1:J274,SUMPRODUCT(MAX(ROW(E$1:E274)*(E275=E$1:E274)))))</f>
        <v>0</v>
      </c>
      <c r="L275" s="26"/>
    </row>
    <row r="276" spans="1:12" x14ac:dyDescent="0.3">
      <c r="A276" t="s">
        <v>163</v>
      </c>
      <c r="E276" s="21" t="str">
        <f t="shared" si="18"/>
        <v/>
      </c>
      <c r="F276" s="22" t="str">
        <f>IF(OR(E276="",E276="!!!"),"",IF(NOT(ISNA(VLOOKUP(E276,E$1:E275,1,FALSE()))),"OLD",IF(AND(E276&lt;&gt;"",E276&lt;&gt;"!!!"),"NEW","")))</f>
        <v/>
      </c>
      <c r="G276" s="23" t="str">
        <f>IF(OR(E276="",E276="!!!"),"",IF(OR(J276=0,AND(J276=1,K276=1),AND(J276=1,I276="SBJ"),AND(J276=1,I276=0)),"?IN_FOCUS",IF(J276&lt;=2,"?ACTIVATED",IF(J276&lt;&gt;"","?FAMILIAR",IF(F276="NEW",IF(ISNA(VLOOKUP(E276,#REF!,1,FALSE())),"?TYPE_IDENTIFIABLE","?REFERENTIAL"),"_")))))</f>
        <v/>
      </c>
      <c r="H276" s="24" t="str">
        <f t="shared" ca="1" si="19"/>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285</v>
      </c>
      <c r="E277" s="21" t="str">
        <f t="shared" si="18"/>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19"/>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286</v>
      </c>
      <c r="E278" s="21" t="str">
        <f t="shared" si="18"/>
        <v/>
      </c>
      <c r="F278" s="22" t="str">
        <f>IF(OR(E278="",E278="!!!"),"",IF(NOT(ISNA(VLOOKUP(E278,E$1:E277,1,FALSE()))),"OLD",IF(AND(E278&lt;&gt;"",E278&lt;&gt;"!!!"),"NEW","")))</f>
        <v/>
      </c>
      <c r="G278" s="23" t="str">
        <f>IF(OR(E278="",E278="!!!"),"",IF(OR(J278=0,AND(J278=1,K278=1),AND(J278=1,I278="SBJ"),AND(J278=1,I278=0)),"?IN_FOCUS",IF(J278&lt;=2,"?ACTIVATED",IF(J278&lt;&gt;"","?FAMILIAR",IF(F278="NEW",IF(ISNA(VLOOKUP(E278,#REF!,1,FALSE())),"?TYPE_IDENTIFIABLE","?REFERENTIAL"),"_")))))</f>
        <v/>
      </c>
      <c r="H278" s="24" t="str">
        <f t="shared" ca="1" si="19"/>
        <v/>
      </c>
      <c r="I278" s="25" t="str">
        <f>IF(OR(E278="",E278="!!!",F278="NEW"),"",INDEX(B$2:B277,-1+SUMPRODUCT(MAX(ROW(E$2:E277)*(E278=E$2:E277)))))</f>
        <v/>
      </c>
      <c r="J278" s="25" t="str">
        <f ca="1">IF(OR(E278="",E278="!!!",F278="NEW"),"",COUNTBLANK(OFFSET(A$1,,,SUMPRODUCT(MAX(ROW(E$2:E278)*(E278=E$2:E278)))))-COUNTBLANK(OFFSET(A$1,,,SUMPRODUCT(MAX(ROW(E$1:E277)*(E2=E$1:E277))))))</f>
        <v/>
      </c>
      <c r="K278" s="25" t="str">
        <f>IF(OR(E278="",E278="!!!",F278="NEW"),"",INDEX(J$1:J277,SUMPRODUCT(MAX(ROW(E$1:E277)*(E278=E$1:E277)))))</f>
        <v/>
      </c>
      <c r="L278" s="26"/>
    </row>
    <row r="279" spans="1:12" x14ac:dyDescent="0.3">
      <c r="A279" t="s">
        <v>44</v>
      </c>
      <c r="E279" s="21" t="s">
        <v>435</v>
      </c>
      <c r="F279" s="22" t="str">
        <f>IF(OR(E279="",E279="!!!"),"",IF(NOT(ISNA(VLOOKUP(E279,E$1:E278,1,FALSE()))),"OLD",IF(AND(E279&lt;&gt;"",E279&lt;&gt;"!!!"),"NEW","")))</f>
        <v>NEW</v>
      </c>
      <c r="G279" s="23" t="s">
        <v>448</v>
      </c>
      <c r="H279" s="24" t="str">
        <f t="shared" ca="1" si="19"/>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t="s">
        <v>409</v>
      </c>
    </row>
    <row r="280" spans="1:12" x14ac:dyDescent="0.3">
      <c r="A280" t="s">
        <v>97</v>
      </c>
      <c r="E280" s="21" t="str">
        <f t="shared" si="18"/>
        <v/>
      </c>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19"/>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row>
    <row r="281" spans="1:12" x14ac:dyDescent="0.3">
      <c r="A281" t="s">
        <v>118</v>
      </c>
      <c r="E281" s="21" t="str">
        <f t="shared" si="18"/>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19"/>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287</v>
      </c>
      <c r="B282" s="20" t="s">
        <v>107</v>
      </c>
      <c r="C282" s="20" t="s">
        <v>112</v>
      </c>
      <c r="D282" s="20" t="s">
        <v>102</v>
      </c>
      <c r="E282" s="21" t="s">
        <v>445</v>
      </c>
      <c r="F282" s="22" t="str">
        <f>IF(OR(E282="",E282="!!!"),"",IF(NOT(ISNA(VLOOKUP(E282,E$1:E281,1,FALSE()))),"OLD",IF(AND(E282&lt;&gt;"",E282&lt;&gt;"!!!"),"NEW","")))</f>
        <v>OLD</v>
      </c>
      <c r="G282" s="23" t="s">
        <v>447</v>
      </c>
      <c r="H282" s="24" t="str">
        <f t="shared" ca="1" si="19"/>
        <v/>
      </c>
      <c r="I282" s="25" t="str">
        <f>IF(OR(E282="",E282="!!!",F282="NEW"),"",INDEX(B$2:B281,-1+SUMPRODUCT(MAX(ROW(E$2:E281)*(E282=E$2:E281)))))</f>
        <v>OBJ</v>
      </c>
      <c r="J282" s="25">
        <f ca="1">IF(OR(E282="",E282="!!!",F282="NEW"),"",COUNTBLANK(OFFSET(A$1,,,SUMPRODUCT(MAX(ROW(E$2:E282)*(E282=E$2:E282)))))-COUNTBLANK(OFFSET(A$1,,,SUMPRODUCT(MAX(ROW(E$1:E281)*(E2=E$1:E281))))))</f>
        <v>0</v>
      </c>
      <c r="K282" s="25" t="str">
        <f ca="1">IF(OR(E282="",E282="!!!",F282="NEW"),"",INDEX(J$1:J281,SUMPRODUCT(MAX(ROW(E$1:E281)*(E282=E$1:E281)))))</f>
        <v/>
      </c>
      <c r="L282" s="26"/>
    </row>
    <row r="283" spans="1:12" x14ac:dyDescent="0.3">
      <c r="A283" t="s">
        <v>288</v>
      </c>
      <c r="E283" s="21" t="str">
        <f t="shared" si="18"/>
        <v/>
      </c>
      <c r="F283" s="22" t="str">
        <f>IF(OR(E283="",E283="!!!"),"",IF(NOT(ISNA(VLOOKUP(E283,E$1:E282,1,FALSE()))),"OLD",IF(AND(E283&lt;&gt;"",E283&lt;&gt;"!!!"),"NEW","")))</f>
        <v/>
      </c>
      <c r="G283" s="23" t="str">
        <f>IF(OR(E283="",E283="!!!"),"",IF(OR(J283=0,AND(J283=1,K283=1),AND(J283=1,I283="SBJ"),AND(J283=1,I283=0)),"?IN_FOCUS",IF(J283&lt;=2,"?ACTIVATED",IF(J283&lt;&gt;"","?FAMILIAR",IF(F283="NEW",IF(ISNA(VLOOKUP(E283,#REF!,1,FALSE())),"?TYPE_IDENTIFIABLE","?REFERENTIAL"),"_")))))</f>
        <v/>
      </c>
      <c r="H283" s="24" t="str">
        <f t="shared" ca="1" si="19"/>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row>
    <row r="284" spans="1:12" x14ac:dyDescent="0.3">
      <c r="A284" t="s">
        <v>169</v>
      </c>
      <c r="E284" s="21" t="str">
        <f t="shared" si="18"/>
        <v/>
      </c>
      <c r="F284" s="22" t="str">
        <f>IF(OR(E284="",E284="!!!"),"",IF(NOT(ISNA(VLOOKUP(E284,E$1:E283,1,FALSE()))),"OLD",IF(AND(E284&lt;&gt;"",E284&lt;&gt;"!!!"),"NEW","")))</f>
        <v/>
      </c>
      <c r="G284" s="23" t="str">
        <f>IF(OR(E284="",E284="!!!"),"",IF(OR(J284=0,AND(J284=1,K284=1),AND(J284=1,I284="SBJ"),AND(J284=1,I284=0)),"?IN_FOCUS",IF(J284&lt;=2,"?ACTIVATED",IF(J284&lt;&gt;"","?FAMILIAR",IF(F284="NEW",IF(ISNA(VLOOKUP(E284,#REF!,1,FALSE())),"?TYPE_IDENTIFIABLE","?REFERENTIAL"),"_")))))</f>
        <v/>
      </c>
      <c r="H284" s="24" t="str">
        <f t="shared" ca="1" si="19"/>
        <v/>
      </c>
      <c r="I284" s="25" t="str">
        <f>IF(OR(E284="",E284="!!!",F284="NEW"),"",INDEX(B$2:B283,-1+SUMPRODUCT(MAX(ROW(E$2:E283)*(E284=E$2:E283)))))</f>
        <v/>
      </c>
      <c r="J284" s="25" t="str">
        <f ca="1">IF(OR(E284="",E284="!!!",F284="NEW"),"",COUNTBLANK(OFFSET(A$1,,,SUMPRODUCT(MAX(ROW(E$2:E284)*(E284=E$2:E284)))))-COUNTBLANK(OFFSET(A$1,,,SUMPRODUCT(MAX(ROW(E$1:E283)*(E2=E$1:E283))))))</f>
        <v/>
      </c>
      <c r="K284" s="25" t="str">
        <f>IF(OR(E284="",E284="!!!",F284="NEW"),"",INDEX(J$1:J283,SUMPRODUCT(MAX(ROW(E$1:E283)*(E284=E$1:E283)))))</f>
        <v/>
      </c>
      <c r="L284" s="26"/>
    </row>
    <row r="285" spans="1:12" x14ac:dyDescent="0.3">
      <c r="A285" t="s">
        <v>118</v>
      </c>
      <c r="E285" s="21" t="str">
        <f t="shared" si="18"/>
        <v/>
      </c>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19"/>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row>
    <row r="286" spans="1:12" x14ac:dyDescent="0.3">
      <c r="A286" t="s">
        <v>289</v>
      </c>
      <c r="B286" s="20" t="s">
        <v>107</v>
      </c>
      <c r="C286" s="20" t="s">
        <v>112</v>
      </c>
      <c r="D286" s="20" t="s">
        <v>102</v>
      </c>
      <c r="E286" s="21"/>
      <c r="F286" s="22" t="s">
        <v>430</v>
      </c>
      <c r="G286" s="23" t="str">
        <f>IF(OR(E286="",E286="!!!"),"",IF(OR(J286=0,AND(J286=1,K286=1),AND(J286=1,I286="SBJ"),AND(J286=1,I286=0)),"?IN_FOCUS",IF(J286&lt;=2,"?ACTIVATED",IF(J286&lt;&gt;"","?FAMILIAR",IF(F286="NEW",IF(ISNA(VLOOKUP(E286,#REF!,1,FALSE())),"?TYPE_IDENTIFIABLE","?REFERENTIAL"),"_")))))</f>
        <v/>
      </c>
      <c r="H286" s="24" t="str">
        <f t="shared" ca="1" si="19"/>
        <v/>
      </c>
      <c r="I286" s="25" t="str">
        <f>IF(OR(E286="",E286="!!!",F286="NEW"),"",INDEX(B$2:B285,-1+SUMPRODUCT(MAX(ROW(E$2:E285)*(E286=E$2:E285)))))</f>
        <v/>
      </c>
      <c r="J286" s="25" t="str">
        <f ca="1">IF(OR(E286="",E286="!!!",F286="NEW"),"",COUNTBLANK(OFFSET(A$1,,,SUMPRODUCT(MAX(ROW(E$2:E286)*(E286=E$2:E286)))))-COUNTBLANK(OFFSET(A$1,,,SUMPRODUCT(MAX(ROW(E$1:E285)*(E2=E$1:E285))))))</f>
        <v/>
      </c>
      <c r="K286" s="25" t="str">
        <f>IF(OR(E286="",E286="!!!",F286="NEW"),"",INDEX(J$1:J285,SUMPRODUCT(MAX(ROW(E$1:E285)*(E286=E$1:E285)))))</f>
        <v/>
      </c>
      <c r="L286" s="26"/>
    </row>
    <row r="287" spans="1:12" x14ac:dyDescent="0.3">
      <c r="A287" t="s">
        <v>132</v>
      </c>
      <c r="E287" s="21" t="str">
        <f t="shared" si="18"/>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19"/>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90</v>
      </c>
      <c r="B288" s="20" t="s">
        <v>120</v>
      </c>
      <c r="C288" s="20" t="s">
        <v>112</v>
      </c>
      <c r="D288" s="20" t="s">
        <v>102</v>
      </c>
      <c r="E288" s="21" t="s">
        <v>408</v>
      </c>
      <c r="F288" s="22" t="str">
        <f>IF(OR(E288="",E288="!!!"),"",IF(NOT(ISNA(VLOOKUP(E288,E$1:E287,1,FALSE()))),"OLD",IF(AND(E288&lt;&gt;"",E288&lt;&gt;"!!!"),"NEW","")))</f>
        <v>OLD</v>
      </c>
      <c r="G288" s="23" t="s">
        <v>447</v>
      </c>
      <c r="H288" s="24" t="str">
        <f t="shared" ca="1" si="19"/>
        <v/>
      </c>
      <c r="I288" s="25" t="str">
        <f>IF(OR(E288="",E288="!!!",F288="NEW"),"",INDEX(B$2:B287,-1+SUMPRODUCT(MAX(ROW(E$2:E287)*(E288=E$2:E287)))))</f>
        <v>SBJ</v>
      </c>
      <c r="J288" s="25">
        <f ca="1">IF(OR(E288="",E288="!!!",F288="NEW"),"",COUNTBLANK(OFFSET(A$1,,,SUMPRODUCT(MAX(ROW(E$2:E288)*(E288=E$2:E288)))))-COUNTBLANK(OFFSET(A$1,,,SUMPRODUCT(MAX(ROW(E$1:E287)*(E2=E$1:E287))))))</f>
        <v>0</v>
      </c>
      <c r="K288" s="25">
        <f ca="1">IF(OR(E288="",E288="!!!",F288="NEW"),"",INDEX(J$1:J287,SUMPRODUCT(MAX(ROW(E$1:E287)*(E288=E$1:E287)))))</f>
        <v>0</v>
      </c>
      <c r="L288" s="26"/>
    </row>
    <row r="289" spans="1:12" x14ac:dyDescent="0.3">
      <c r="A289" t="s">
        <v>290</v>
      </c>
      <c r="E289" s="21" t="str">
        <f t="shared" si="18"/>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19"/>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177</v>
      </c>
      <c r="E290" s="21" t="str">
        <f t="shared" si="18"/>
        <v/>
      </c>
      <c r="F290" s="22" t="str">
        <f>IF(OR(E290="",E290="!!!"),"",IF(NOT(ISNA(VLOOKUP(E290,E$1:E289,1,FALSE()))),"OLD",IF(AND(E290&lt;&gt;"",E290&lt;&gt;"!!!"),"NEW","")))</f>
        <v/>
      </c>
      <c r="G290" s="23" t="str">
        <f>IF(OR(E290="",E290="!!!"),"",IF(OR(J290=0,AND(J290=1,K290=1),AND(J290=1,I290="SBJ"),AND(J290=1,I290=0)),"?IN_FOCUS",IF(J290&lt;=2,"?ACTIVATED",IF(J290&lt;&gt;"","?FAMILIAR",IF(F290="NEW",IF(ISNA(VLOOKUP(E290,#REF!,1,FALSE())),"?TYPE_IDENTIFIABLE","?REFERENTIAL"),"_")))))</f>
        <v/>
      </c>
      <c r="H290" s="24" t="str">
        <f t="shared" ca="1" si="19"/>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155</v>
      </c>
      <c r="E291" s="21" t="str">
        <f t="shared" si="18"/>
        <v/>
      </c>
      <c r="F291" s="22" t="str">
        <f>IF(OR(E291="",E291="!!!"),"",IF(NOT(ISNA(VLOOKUP(E291,E$1:E290,1,FALSE()))),"OLD",IF(AND(E291&lt;&gt;"",E291&lt;&gt;"!!!"),"NEW","")))</f>
        <v/>
      </c>
      <c r="G291" s="23" t="str">
        <f>IF(OR(E291="",E291="!!!"),"",IF(OR(J291=0,AND(J291=1,K291=1),AND(J291=1,I291="SBJ"),AND(J291=1,I291=0)),"?IN_FOCUS",IF(J291&lt;=2,"?ACTIVATED",IF(J291&lt;&gt;"","?FAMILIAR",IF(F291="NEW",IF(ISNA(VLOOKUP(E291,#REF!,1,FALSE())),"?TYPE_IDENTIFIABLE","?REFERENTIAL"),"_")))))</f>
        <v/>
      </c>
      <c r="H291" s="24" t="str">
        <f t="shared" ca="1" si="19"/>
        <v/>
      </c>
      <c r="I291" s="25" t="str">
        <f>IF(OR(E291="",E291="!!!",F291="NEW"),"",INDEX(B$2:B290,-1+SUMPRODUCT(MAX(ROW(E$2:E290)*(E291=E$2:E290)))))</f>
        <v/>
      </c>
      <c r="J291" s="25" t="str">
        <f ca="1">IF(OR(E291="",E291="!!!",F291="NEW"),"",COUNTBLANK(OFFSET(A$1,,,SUMPRODUCT(MAX(ROW(E$2:E291)*(E291=E$2:E291)))))-COUNTBLANK(OFFSET(A$1,,,SUMPRODUCT(MAX(ROW(E$1:E290)*(E2=E$1:E290))))))</f>
        <v/>
      </c>
      <c r="K291" s="25" t="str">
        <f>IF(OR(E291="",E291="!!!",F291="NEW"),"",INDEX(J$1:J290,SUMPRODUCT(MAX(ROW(E$1:E290)*(E291=E$1:E290)))))</f>
        <v/>
      </c>
      <c r="L291" s="26"/>
    </row>
    <row r="293" spans="1:12" x14ac:dyDescent="0.3">
      <c r="A293" t="s">
        <v>291</v>
      </c>
    </row>
    <row r="294" spans="1:12" x14ac:dyDescent="0.3">
      <c r="A294" t="s">
        <v>292</v>
      </c>
      <c r="E294" s="21" t="str">
        <f t="shared" ref="E294:E316" si="20">IF(D294="?OLD","!!!","")</f>
        <v/>
      </c>
      <c r="F294" s="22" t="str">
        <f>IF(OR(E294="",E294="!!!"),"",IF(NOT(ISNA(VLOOKUP(E294,E$1:E293,1,FALSE()))),"OLD",IF(AND(E294&lt;&gt;"",E294&lt;&gt;"!!!"),"NEW","")))</f>
        <v/>
      </c>
      <c r="G294" s="23" t="str">
        <f>IF(OR(E294="",E294="!!!"),"",IF(OR(J294=0,AND(J294=1,K294=1),AND(J294=1,I294="SBJ"),AND(J294=1,I294=0)),"?IN_FOCUS",IF(J294&lt;=2,"?ACTIVATED",IF(J294&lt;&gt;"","?FAMILIAR",IF(F294="NEW",IF(ISNA(VLOOKUP(E294,#REF!,1,FALSE())),"?TYPE_IDENTIFIABLE","?REFERENTIAL"),"_")))))</f>
        <v/>
      </c>
      <c r="H294" s="24" t="str">
        <f t="shared" ref="H294:H316" ca="1" si="21">IF(J294&lt;&gt;1,"",IF(I294="SBJ","CB","?"))</f>
        <v/>
      </c>
      <c r="I294" s="25" t="str">
        <f>IF(OR(E294="",E294="!!!",F294="NEW"),"",INDEX(B$2:B293,-1+SUMPRODUCT(MAX(ROW(E$2:E293)*(E294=E$2:E293)))))</f>
        <v/>
      </c>
      <c r="J294" s="25" t="str">
        <f ca="1">IF(OR(E294="",E294="!!!",F294="NEW"),"",COUNTBLANK(OFFSET(A$1,,,SUMPRODUCT(MAX(ROW(E$2:E294)*(E294=E$2:E294)))))-COUNTBLANK(OFFSET(A$1,,,SUMPRODUCT(MAX(ROW(E$1:E293)*(E2=E$1:E293))))))</f>
        <v/>
      </c>
      <c r="K294" s="25" t="str">
        <f>IF(OR(E294="",E294="!!!",F294="NEW"),"",INDEX(J$1:J293,SUMPRODUCT(MAX(ROW(E$1:E293)*(E294=E$1:E293)))))</f>
        <v/>
      </c>
      <c r="L294" s="26"/>
    </row>
    <row r="295" spans="1:12" x14ac:dyDescent="0.3">
      <c r="A295" t="s">
        <v>293</v>
      </c>
      <c r="B295" s="20" t="s">
        <v>100</v>
      </c>
      <c r="C295" s="20" t="s">
        <v>153</v>
      </c>
      <c r="D295" s="20" t="s">
        <v>102</v>
      </c>
      <c r="E295" s="21" t="s">
        <v>410</v>
      </c>
      <c r="F295" s="22" t="str">
        <f>IF(OR(E295="",E295="!!!"),"",IF(NOT(ISNA(VLOOKUP(E295,E$1:E294,1,FALSE()))),"OLD",IF(AND(E295&lt;&gt;"",E295&lt;&gt;"!!!"),"NEW","")))</f>
        <v>OLD</v>
      </c>
      <c r="G295" s="23" t="s">
        <v>446</v>
      </c>
      <c r="H295" s="24" t="s">
        <v>85</v>
      </c>
      <c r="I295" s="25" t="str">
        <f>IF(OR(E295="",E295="!!!",F295="NEW"),"",INDEX(B$2:B294,-1+SUMPRODUCT(MAX(ROW(E$2:E294)*(E295=E$2:E294)))))</f>
        <v>SBJ</v>
      </c>
      <c r="J295" s="25">
        <f ca="1">IF(OR(E295="",E295="!!!",F295="NEW"),"",COUNTBLANK(OFFSET(A$1,,,SUMPRODUCT(MAX(ROW(E$2:E295)*(E295=E$2:E295)))))-COUNTBLANK(OFFSET(A$1,,,SUMPRODUCT(MAX(ROW(E$1:E294)*(E2=E$1:E294))))))</f>
        <v>0</v>
      </c>
      <c r="K295" s="25">
        <f ca="1">IF(OR(E295="",E295="!!!",F295="NEW"),"",INDEX(J$1:J294,SUMPRODUCT(MAX(ROW(E$1:E294)*(E295=E$1:E294)))))</f>
        <v>0</v>
      </c>
      <c r="L295" s="26"/>
    </row>
    <row r="296" spans="1:12" x14ac:dyDescent="0.3">
      <c r="A296" t="s">
        <v>294</v>
      </c>
      <c r="B296" s="20" t="s">
        <v>107</v>
      </c>
      <c r="C296" s="20" t="s">
        <v>270</v>
      </c>
      <c r="D296" s="20" t="s">
        <v>102</v>
      </c>
      <c r="E296" s="21" t="s">
        <v>435</v>
      </c>
      <c r="F296" s="22" t="str">
        <f>IF(OR(E296="",E296="!!!"),"",IF(NOT(ISNA(VLOOKUP(E296,E$1:E295,1,FALSE()))),"OLD",IF(AND(E296&lt;&gt;"",E296&lt;&gt;"!!!"),"NEW","")))</f>
        <v>OLD</v>
      </c>
      <c r="G296" s="23" t="s">
        <v>449</v>
      </c>
      <c r="H296" s="24" t="str">
        <f t="shared" ca="1" si="21"/>
        <v/>
      </c>
      <c r="I296" s="25">
        <f>IF(OR(E296="",E296="!!!",F296="NEW"),"",INDEX(B$2:B295,-1+SUMPRODUCT(MAX(ROW(E$2:E295)*(E296=E$2:E295)))))</f>
        <v>0</v>
      </c>
      <c r="J296" s="25">
        <f ca="1">IF(OR(E296="",E296="!!!",F296="NEW"),"",COUNTBLANK(OFFSET(A$1,,,SUMPRODUCT(MAX(ROW(E$2:E296)*(E296=E$2:E296)))))-COUNTBLANK(OFFSET(A$1,,,SUMPRODUCT(MAX(ROW(E$1:E295)*(E2=E$1:E295))))))</f>
        <v>0</v>
      </c>
      <c r="K296" s="25" t="str">
        <f ca="1">IF(OR(E296="",E296="!!!",F296="NEW"),"",INDEX(J$1:J295,SUMPRODUCT(MAX(ROW(E$1:E295)*(E296=E$1:E295)))))</f>
        <v/>
      </c>
      <c r="L296" s="26"/>
    </row>
    <row r="297" spans="1:12" x14ac:dyDescent="0.3">
      <c r="A297" t="s">
        <v>295</v>
      </c>
      <c r="E297" s="21" t="str">
        <f t="shared" si="20"/>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1"/>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8" spans="1:12" x14ac:dyDescent="0.3">
      <c r="A298" t="s">
        <v>296</v>
      </c>
      <c r="E298" s="21" t="str">
        <f t="shared" si="20"/>
        <v/>
      </c>
      <c r="F298" s="22" t="str">
        <f>IF(OR(E298="",E298="!!!"),"",IF(NOT(ISNA(VLOOKUP(E298,E$1:E297,1,FALSE()))),"OLD",IF(AND(E298&lt;&gt;"",E298&lt;&gt;"!!!"),"NEW","")))</f>
        <v/>
      </c>
      <c r="G298" s="23" t="str">
        <f>IF(OR(E298="",E298="!!!"),"",IF(OR(J298=0,AND(J298=1,K298=1),AND(J298=1,I298="SBJ"),AND(J298=1,I298=0)),"?IN_FOCUS",IF(J298&lt;=2,"?ACTIVATED",IF(J298&lt;&gt;"","?FAMILIAR",IF(F298="NEW",IF(ISNA(VLOOKUP(E298,#REF!,1,FALSE())),"?TYPE_IDENTIFIABLE","?REFERENTIAL"),"_")))))</f>
        <v/>
      </c>
      <c r="H298" s="24" t="str">
        <f t="shared" ca="1" si="21"/>
        <v/>
      </c>
      <c r="I298" s="25" t="str">
        <f>IF(OR(E298="",E298="!!!",F298="NEW"),"",INDEX(B$2:B297,-1+SUMPRODUCT(MAX(ROW(E$2:E297)*(E298=E$2:E297)))))</f>
        <v/>
      </c>
      <c r="J298" s="25" t="str">
        <f ca="1">IF(OR(E298="",E298="!!!",F298="NEW"),"",COUNTBLANK(OFFSET(A$1,,,SUMPRODUCT(MAX(ROW(E$2:E298)*(E298=E$2:E298)))))-COUNTBLANK(OFFSET(A$1,,,SUMPRODUCT(MAX(ROW(E$1:E297)*(E2=E$1:E297))))))</f>
        <v/>
      </c>
      <c r="K298" s="25" t="str">
        <f>IF(OR(E298="",E298="!!!",F298="NEW"),"",INDEX(J$1:J297,SUMPRODUCT(MAX(ROW(E$1:E297)*(E298=E$1:E297)))))</f>
        <v/>
      </c>
      <c r="L298" s="26"/>
    </row>
    <row r="299" spans="1:12" x14ac:dyDescent="0.3">
      <c r="A299" t="s">
        <v>97</v>
      </c>
      <c r="E299" s="21" t="str">
        <f t="shared" si="20"/>
        <v/>
      </c>
      <c r="F299" s="22" t="str">
        <f>IF(OR(E299="",E299="!!!"),"",IF(NOT(ISNA(VLOOKUP(E299,E$1:E298,1,FALSE()))),"OLD",IF(AND(E299&lt;&gt;"",E299&lt;&gt;"!!!"),"NEW","")))</f>
        <v/>
      </c>
      <c r="G299" s="23" t="str">
        <f>IF(OR(E299="",E299="!!!"),"",IF(OR(J299=0,AND(J299=1,K299=1),AND(J299=1,I299="SBJ"),AND(J299=1,I299=0)),"?IN_FOCUS",IF(J299&lt;=2,"?ACTIVATED",IF(J299&lt;&gt;"","?FAMILIAR",IF(F299="NEW",IF(ISNA(VLOOKUP(E299,#REF!,1,FALSE())),"?TYPE_IDENTIFIABLE","?REFERENTIAL"),"_")))))</f>
        <v/>
      </c>
      <c r="H299" s="24" t="str">
        <f t="shared" ca="1" si="21"/>
        <v/>
      </c>
      <c r="I299" s="25" t="str">
        <f>IF(OR(E299="",E299="!!!",F299="NEW"),"",INDEX(B$2:B298,-1+SUMPRODUCT(MAX(ROW(E$2:E298)*(E299=E$2:E298)))))</f>
        <v/>
      </c>
      <c r="J299" s="25" t="str">
        <f ca="1">IF(OR(E299="",E299="!!!",F299="NEW"),"",COUNTBLANK(OFFSET(A$1,,,SUMPRODUCT(MAX(ROW(E$2:E299)*(E299=E$2:E299)))))-COUNTBLANK(OFFSET(A$1,,,SUMPRODUCT(MAX(ROW(E$1:E298)*(E2=E$1:E298))))))</f>
        <v/>
      </c>
      <c r="K299" s="25" t="str">
        <f>IF(OR(E299="",E299="!!!",F299="NEW"),"",INDEX(J$1:J298,SUMPRODUCT(MAX(ROW(E$1:E298)*(E299=E$1:E298)))))</f>
        <v/>
      </c>
      <c r="L299" s="26"/>
    </row>
    <row r="300" spans="1:12" x14ac:dyDescent="0.3">
      <c r="A300" t="s">
        <v>297</v>
      </c>
      <c r="E300" s="21" t="str">
        <f t="shared" si="20"/>
        <v/>
      </c>
      <c r="F300" s="22" t="str">
        <f>IF(OR(E300="",E300="!!!"),"",IF(NOT(ISNA(VLOOKUP(E300,E$1:E299,1,FALSE()))),"OLD",IF(AND(E300&lt;&gt;"",E300&lt;&gt;"!!!"),"NEW","")))</f>
        <v/>
      </c>
      <c r="G300" s="23" t="str">
        <f>IF(OR(E300="",E300="!!!"),"",IF(OR(J300=0,AND(J300=1,K300=1),AND(J300=1,I300="SBJ"),AND(J300=1,I300=0)),"?IN_FOCUS",IF(J300&lt;=2,"?ACTIVATED",IF(J300&lt;&gt;"","?FAMILIAR",IF(F300="NEW",IF(ISNA(VLOOKUP(E300,#REF!,1,FALSE())),"?TYPE_IDENTIFIABLE","?REFERENTIAL"),"_")))))</f>
        <v/>
      </c>
      <c r="H300" s="24" t="str">
        <f t="shared" ca="1" si="21"/>
        <v/>
      </c>
      <c r="I300" s="25" t="str">
        <f>IF(OR(E300="",E300="!!!",F300="NEW"),"",INDEX(B$2:B299,-1+SUMPRODUCT(MAX(ROW(E$2:E299)*(E300=E$2:E299)))))</f>
        <v/>
      </c>
      <c r="J300" s="25" t="str">
        <f ca="1">IF(OR(E300="",E300="!!!",F300="NEW"),"",COUNTBLANK(OFFSET(A$1,,,SUMPRODUCT(MAX(ROW(E$2:E300)*(E300=E$2:E300)))))-COUNTBLANK(OFFSET(A$1,,,SUMPRODUCT(MAX(ROW(E$1:E299)*(E2=E$1:E299))))))</f>
        <v/>
      </c>
      <c r="K300" s="25" t="str">
        <f>IF(OR(E300="",E300="!!!",F300="NEW"),"",INDEX(J$1:J299,SUMPRODUCT(MAX(ROW(E$1:E299)*(E300=E$1:E299)))))</f>
        <v/>
      </c>
      <c r="L300" s="26"/>
    </row>
    <row r="301" spans="1:12" x14ac:dyDescent="0.3">
      <c r="A301" t="s">
        <v>27</v>
      </c>
      <c r="E301" s="21" t="str">
        <f t="shared" si="20"/>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ca="1" si="21"/>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222</v>
      </c>
      <c r="B302" s="20" t="s">
        <v>100</v>
      </c>
      <c r="C302" s="20" t="s">
        <v>153</v>
      </c>
      <c r="D302" s="20" t="s">
        <v>102</v>
      </c>
      <c r="E302" s="21"/>
      <c r="F302" s="22" t="s">
        <v>417</v>
      </c>
      <c r="G302" s="23" t="str">
        <f>IF(OR(E302="",E302="!!!"),"",IF(OR(J302=0,AND(J302=1,K302=1),AND(J302=1,I302="SBJ"),AND(J302=1,I302=0)),"?IN_FOCUS",IF(J302&lt;=2,"?ACTIVATED",IF(J302&lt;&gt;"","?FAMILIAR",IF(F302="NEW",IF(ISNA(VLOOKUP(E302,#REF!,1,FALSE())),"?TYPE_IDENTIFIABLE","?REFERENTIAL"),"_")))))</f>
        <v/>
      </c>
      <c r="H302" s="24" t="str">
        <f t="shared" ca="1" si="21"/>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118</v>
      </c>
      <c r="E303" s="21" t="str">
        <f t="shared" si="20"/>
        <v/>
      </c>
      <c r="F303" s="22" t="str">
        <f>IF(OR(E303="",E303="!!!"),"",IF(NOT(ISNA(VLOOKUP(E303,E$1:E302,1,FALSE()))),"OLD",IF(AND(E303&lt;&gt;"",E303&lt;&gt;"!!!"),"NEW","")))</f>
        <v/>
      </c>
      <c r="G303" s="23" t="str">
        <f>IF(OR(E303="",E303="!!!"),"",IF(OR(J303=0,AND(J303=1,K303=1),AND(J303=1,I303="SBJ"),AND(J303=1,I303=0)),"?IN_FOCUS",IF(J303&lt;=2,"?ACTIVATED",IF(J303&lt;&gt;"","?FAMILIAR",IF(F303="NEW",IF(ISNA(VLOOKUP(E303,#REF!,1,FALSE())),"?TYPE_IDENTIFIABLE","?REFERENTIAL"),"_")))))</f>
        <v/>
      </c>
      <c r="H303" s="24" t="str">
        <f t="shared" ca="1" si="21"/>
        <v/>
      </c>
      <c r="I303" s="25" t="str">
        <f>IF(OR(E303="",E303="!!!",F303="NEW"),"",INDEX(B$2:B302,-1+SUMPRODUCT(MAX(ROW(E$2:E302)*(E303=E$2:E302)))))</f>
        <v/>
      </c>
      <c r="J303" s="25" t="str">
        <f ca="1">IF(OR(E303="",E303="!!!",F303="NEW"),"",COUNTBLANK(OFFSET(A$1,,,SUMPRODUCT(MAX(ROW(E$2:E303)*(E303=E$2:E303)))))-COUNTBLANK(OFFSET(A$1,,,SUMPRODUCT(MAX(ROW(E$1:E302)*(E2=E$1:E302))))))</f>
        <v/>
      </c>
      <c r="K303" s="25" t="str">
        <f>IF(OR(E303="",E303="!!!",F303="NEW"),"",INDEX(J$1:J302,SUMPRODUCT(MAX(ROW(E$1:E302)*(E303=E$1:E302)))))</f>
        <v/>
      </c>
      <c r="L303" s="26"/>
    </row>
    <row r="304" spans="1:12" x14ac:dyDescent="0.3">
      <c r="A304" t="s">
        <v>90</v>
      </c>
      <c r="B304" s="20" t="s">
        <v>100</v>
      </c>
      <c r="C304" s="20" t="s">
        <v>112</v>
      </c>
      <c r="D304" s="20" t="s">
        <v>102</v>
      </c>
      <c r="E304" s="21" t="s">
        <v>408</v>
      </c>
      <c r="F304" s="22" t="str">
        <f>IF(OR(E304="",E304="!!!"),"",IF(NOT(ISNA(VLOOKUP(E304,E$1:E303,1,FALSE()))),"OLD",IF(AND(E304&lt;&gt;"",E304&lt;&gt;"!!!"),"NEW","")))</f>
        <v>OLD</v>
      </c>
      <c r="G304" s="23" t="s">
        <v>449</v>
      </c>
      <c r="H304" s="24" t="str">
        <f t="shared" ca="1" si="21"/>
        <v/>
      </c>
      <c r="I304" s="25" t="str">
        <f>IF(OR(E304="",E304="!!!",F304="NEW"),"",INDEX(B$2:B303,-1+SUMPRODUCT(MAX(ROW(E$2:E303)*(E304=E$2:E303)))))</f>
        <v>other_3</v>
      </c>
      <c r="J304" s="25">
        <f ca="1">IF(OR(E304="",E304="!!!",F304="NEW"),"",COUNTBLANK(OFFSET(A$1,,,SUMPRODUCT(MAX(ROW(E$2:E304)*(E304=E$2:E304)))))-COUNTBLANK(OFFSET(A$1,,,SUMPRODUCT(MAX(ROW(E$1:E303)*(E2=E$1:E303))))))</f>
        <v>0</v>
      </c>
      <c r="K304" s="25">
        <f ca="1">IF(OR(E304="",E304="!!!",F304="NEW"),"",INDEX(J$1:J303,SUMPRODUCT(MAX(ROW(E$1:E303)*(E304=E$1:E303)))))</f>
        <v>0</v>
      </c>
      <c r="L304" s="26"/>
    </row>
    <row r="305" spans="1:12" x14ac:dyDescent="0.3">
      <c r="A305" t="s">
        <v>298</v>
      </c>
      <c r="E305" s="21" t="str">
        <f t="shared" si="20"/>
        <v/>
      </c>
      <c r="F305" s="22" t="str">
        <f>IF(OR(E305="",E305="!!!"),"",IF(NOT(ISNA(VLOOKUP(E305,E$1:E304,1,FALSE()))),"OLD",IF(AND(E305&lt;&gt;"",E305&lt;&gt;"!!!"),"NEW","")))</f>
        <v/>
      </c>
      <c r="G305" s="23" t="str">
        <f>IF(OR(E305="",E305="!!!"),"",IF(OR(J305=0,AND(J305=1,K305=1),AND(J305=1,I305="SBJ"),AND(J305=1,I305=0)),"?IN_FOCUS",IF(J305&lt;=2,"?ACTIVATED",IF(J305&lt;&gt;"","?FAMILIAR",IF(F305="NEW",IF(ISNA(VLOOKUP(E305,#REF!,1,FALSE())),"?TYPE_IDENTIFIABLE","?REFERENTIAL"),"_")))))</f>
        <v/>
      </c>
      <c r="H305" s="24" t="str">
        <f t="shared" ca="1" si="21"/>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249</v>
      </c>
      <c r="E306" s="21" t="str">
        <f t="shared" si="20"/>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21"/>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97</v>
      </c>
      <c r="E307" s="21" t="str">
        <f t="shared" si="20"/>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21"/>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171</v>
      </c>
      <c r="E308" s="21" t="str">
        <f t="shared" si="20"/>
        <v/>
      </c>
      <c r="F308" s="22" t="str">
        <f>IF(OR(E308="",E308="!!!"),"",IF(NOT(ISNA(VLOOKUP(E308,E$1:E307,1,FALSE()))),"OLD",IF(AND(E308&lt;&gt;"",E308&lt;&gt;"!!!"),"NEW","")))</f>
        <v/>
      </c>
      <c r="G308" s="23" t="str">
        <f>IF(OR(E308="",E308="!!!"),"",IF(OR(J308=0,AND(J308=1,K308=1),AND(J308=1,I308="SBJ"),AND(J308=1,I308=0)),"?IN_FOCUS",IF(J308&lt;=2,"?ACTIVATED",IF(J308&lt;&gt;"","?FAMILIAR",IF(F308="NEW",IF(ISNA(VLOOKUP(E308,#REF!,1,FALSE())),"?TYPE_IDENTIFIABLE","?REFERENTIAL"),"_")))))</f>
        <v/>
      </c>
      <c r="H308" s="24" t="str">
        <f t="shared" ca="1" si="21"/>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09" spans="1:12" x14ac:dyDescent="0.3">
      <c r="A309" t="s">
        <v>99</v>
      </c>
      <c r="B309" s="20" t="s">
        <v>100</v>
      </c>
      <c r="C309" s="20" t="s">
        <v>101</v>
      </c>
      <c r="D309" s="20" t="s">
        <v>102</v>
      </c>
      <c r="E309" s="21" t="s">
        <v>408</v>
      </c>
      <c r="F309" s="22" t="str">
        <f>IF(OR(E309="",E309="!!!"),"",IF(NOT(ISNA(VLOOKUP(E309,E$1:E308,1,FALSE()))),"OLD",IF(AND(E309&lt;&gt;"",E309&lt;&gt;"!!!"),"NEW","")))</f>
        <v>OLD</v>
      </c>
      <c r="G309" s="23" t="s">
        <v>446</v>
      </c>
      <c r="H309" s="24" t="str">
        <f t="shared" ca="1" si="21"/>
        <v/>
      </c>
      <c r="I309" s="25" t="str">
        <f>IF(OR(E309="",E309="!!!",F309="NEW"),"",INDEX(B$2:B308,-1+SUMPRODUCT(MAX(ROW(E$2:E308)*(E309=E$2:E308)))))</f>
        <v>SBJ_2</v>
      </c>
      <c r="J309" s="25">
        <f ca="1">IF(OR(E309="",E309="!!!",F309="NEW"),"",COUNTBLANK(OFFSET(A$1,,,SUMPRODUCT(MAX(ROW(E$2:E309)*(E309=E$2:E309)))))-COUNTBLANK(OFFSET(A$1,,,SUMPRODUCT(MAX(ROW(E$1:E308)*(E2=E$1:E308))))))</f>
        <v>0</v>
      </c>
      <c r="K309" s="25">
        <f ca="1">IF(OR(E309="",E309="!!!",F309="NEW"),"",INDEX(J$1:J308,SUMPRODUCT(MAX(ROW(E$1:E308)*(E309=E$1:E308)))))</f>
        <v>0</v>
      </c>
      <c r="L309" s="26"/>
    </row>
    <row r="310" spans="1:12" x14ac:dyDescent="0.3">
      <c r="A310" t="s">
        <v>299</v>
      </c>
      <c r="E310" s="21" t="str">
        <f t="shared" si="20"/>
        <v/>
      </c>
      <c r="F310" s="22" t="str">
        <f>IF(OR(E310="",E310="!!!"),"",IF(NOT(ISNA(VLOOKUP(E310,E$1:E309,1,FALSE()))),"OLD",IF(AND(E310&lt;&gt;"",E310&lt;&gt;"!!!"),"NEW","")))</f>
        <v/>
      </c>
      <c r="G310" s="23" t="str">
        <f>IF(OR(E310="",E310="!!!"),"",IF(OR(J310=0,AND(J310=1,K310=1),AND(J310=1,I310="SBJ"),AND(J310=1,I310=0)),"?IN_FOCUS",IF(J310&lt;=2,"?ACTIVATED",IF(J310&lt;&gt;"","?FAMILIAR",IF(F310="NEW",IF(ISNA(VLOOKUP(E310,#REF!,1,FALSE())),"?TYPE_IDENTIFIABLE","?REFERENTIAL"),"_")))))</f>
        <v/>
      </c>
      <c r="H310" s="24" t="str">
        <f t="shared" ca="1" si="21"/>
        <v/>
      </c>
      <c r="I310" s="25" t="str">
        <f>IF(OR(E310="",E310="!!!",F310="NEW"),"",INDEX(B$2:B309,-1+SUMPRODUCT(MAX(ROW(E$2:E309)*(E310=E$2:E309)))))</f>
        <v/>
      </c>
      <c r="J310" s="25" t="str">
        <f ca="1">IF(OR(E310="",E310="!!!",F310="NEW"),"",COUNTBLANK(OFFSET(A$1,,,SUMPRODUCT(MAX(ROW(E$2:E310)*(E310=E$2:E310)))))-COUNTBLANK(OFFSET(A$1,,,SUMPRODUCT(MAX(ROW(E$1:E309)*(E2=E$1:E309))))))</f>
        <v/>
      </c>
      <c r="K310" s="25" t="str">
        <f>IF(OR(E310="",E310="!!!",F310="NEW"),"",INDEX(J$1:J309,SUMPRODUCT(MAX(ROW(E$1:E309)*(E310=E$1:E309)))))</f>
        <v/>
      </c>
      <c r="L310" s="26"/>
    </row>
    <row r="311" spans="1:12" x14ac:dyDescent="0.3">
      <c r="A311" t="s">
        <v>300</v>
      </c>
      <c r="E311" s="21" t="str">
        <f t="shared" si="20"/>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21"/>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97</v>
      </c>
      <c r="E312" s="21" t="str">
        <f t="shared" si="20"/>
        <v/>
      </c>
      <c r="F312" s="22" t="str">
        <f>IF(OR(E312="",E312="!!!"),"",IF(NOT(ISNA(VLOOKUP(E312,E$1:E311,1,FALSE()))),"OLD",IF(AND(E312&lt;&gt;"",E312&lt;&gt;"!!!"),"NEW","")))</f>
        <v/>
      </c>
      <c r="G312" s="23" t="str">
        <f>IF(OR(E312="",E312="!!!"),"",IF(OR(J312=0,AND(J312=1,K312=1),AND(J312=1,I312="SBJ"),AND(J312=1,I312=0)),"?IN_FOCUS",IF(J312&lt;=2,"?ACTIVATED",IF(J312&lt;&gt;"","?FAMILIAR",IF(F312="NEW",IF(ISNA(VLOOKUP(E312,#REF!,1,FALSE())),"?TYPE_IDENTIFIABLE","?REFERENTIAL"),"_")))))</f>
        <v/>
      </c>
      <c r="H312" s="24" t="str">
        <f t="shared" ca="1" si="21"/>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94</v>
      </c>
      <c r="E313" s="21" t="str">
        <f t="shared" si="20"/>
        <v/>
      </c>
      <c r="F313" s="22" t="str">
        <f>IF(OR(E313="",E313="!!!"),"",IF(NOT(ISNA(VLOOKUP(E313,E$1:E312,1,FALSE()))),"OLD",IF(AND(E313&lt;&gt;"",E313&lt;&gt;"!!!"),"NEW","")))</f>
        <v/>
      </c>
      <c r="G313" s="23" t="str">
        <f>IF(OR(E313="",E313="!!!"),"",IF(OR(J313=0,AND(J313=1,K313=1),AND(J313=1,I313="SBJ"),AND(J313=1,I313=0)),"?IN_FOCUS",IF(J313&lt;=2,"?ACTIVATED",IF(J313&lt;&gt;"","?FAMILIAR",IF(F313="NEW",IF(ISNA(VLOOKUP(E313,#REF!,1,FALSE())),"?TYPE_IDENTIFIABLE","?REFERENTIAL"),"_")))))</f>
        <v/>
      </c>
      <c r="H313" s="24" t="str">
        <f t="shared" ca="1" si="21"/>
        <v/>
      </c>
      <c r="I313" s="25" t="str">
        <f>IF(OR(E313="",E313="!!!",F313="NEW"),"",INDEX(B$2:B312,-1+SUMPRODUCT(MAX(ROW(E$2:E312)*(E313=E$2:E312)))))</f>
        <v/>
      </c>
      <c r="J313" s="25" t="str">
        <f ca="1">IF(OR(E313="",E313="!!!",F313="NEW"),"",COUNTBLANK(OFFSET(A$1,,,SUMPRODUCT(MAX(ROW(E$2:E313)*(E313=E$2:E313)))))-COUNTBLANK(OFFSET(A$1,,,SUMPRODUCT(MAX(ROW(E$1:E312)*(E2=E$1:E312))))))</f>
        <v/>
      </c>
      <c r="K313" s="25" t="str">
        <f>IF(OR(E313="",E313="!!!",F313="NEW"),"",INDEX(J$1:J312,SUMPRODUCT(MAX(ROW(E$1:E312)*(E313=E$1:E312)))))</f>
        <v/>
      </c>
      <c r="L313" s="26"/>
    </row>
    <row r="314" spans="1:12" x14ac:dyDescent="0.3">
      <c r="A314" t="s">
        <v>301</v>
      </c>
      <c r="B314" s="20" t="s">
        <v>174</v>
      </c>
      <c r="C314" s="20" t="s">
        <v>92</v>
      </c>
      <c r="E314" s="21" t="str">
        <f t="shared" si="20"/>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21"/>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302</v>
      </c>
      <c r="E315" s="21" t="str">
        <f t="shared" si="20"/>
        <v/>
      </c>
      <c r="F315" s="22" t="str">
        <f>IF(OR(E315="",E315="!!!"),"",IF(NOT(ISNA(VLOOKUP(E315,E$1:E314,1,FALSE()))),"OLD",IF(AND(E315&lt;&gt;"",E315&lt;&gt;"!!!"),"NEW","")))</f>
        <v/>
      </c>
      <c r="G315" s="23" t="str">
        <f>IF(OR(E315="",E315="!!!"),"",IF(OR(J315=0,AND(J315=1,K315=1),AND(J315=1,I315="SBJ"),AND(J315=1,I315=0)),"?IN_FOCUS",IF(J315&lt;=2,"?ACTIVATED",IF(J315&lt;&gt;"","?FAMILIAR",IF(F315="NEW",IF(ISNA(VLOOKUP(E315,#REF!,1,FALSE())),"?TYPE_IDENTIFIABLE","?REFERENTIAL"),"_")))))</f>
        <v/>
      </c>
      <c r="H315" s="24" t="str">
        <f t="shared" ca="1" si="21"/>
        <v/>
      </c>
      <c r="I315" s="25" t="str">
        <f>IF(OR(E315="",E315="!!!",F315="NEW"),"",INDEX(B$2:B314,-1+SUMPRODUCT(MAX(ROW(E$2:E314)*(E315=E$2:E314)))))</f>
        <v/>
      </c>
      <c r="J315" s="25" t="str">
        <f ca="1">IF(OR(E315="",E315="!!!",F315="NEW"),"",COUNTBLANK(OFFSET(A$1,,,SUMPRODUCT(MAX(ROW(E$2:E315)*(E315=E$2:E315)))))-COUNTBLANK(OFFSET(A$1,,,SUMPRODUCT(MAX(ROW(E$1:E314)*(E2=E$1:E314))))))</f>
        <v/>
      </c>
      <c r="K315" s="25" t="str">
        <f>IF(OR(E315="",E315="!!!",F315="NEW"),"",INDEX(J$1:J314,SUMPRODUCT(MAX(ROW(E$1:E314)*(E315=E$1:E314)))))</f>
        <v/>
      </c>
      <c r="L315" s="26"/>
    </row>
    <row r="316" spans="1:12" x14ac:dyDescent="0.3">
      <c r="A316" t="s">
        <v>155</v>
      </c>
      <c r="E316" s="21" t="str">
        <f t="shared" si="20"/>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21"/>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8" spans="1:12" x14ac:dyDescent="0.3">
      <c r="A318" t="s">
        <v>303</v>
      </c>
    </row>
    <row r="319" spans="1:12" x14ac:dyDescent="0.3">
      <c r="A319" t="s">
        <v>304</v>
      </c>
      <c r="E319" s="21" t="str">
        <f t="shared" ref="E319:E351" si="22">IF(D319="?OLD","!!!","")</f>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ref="H319:H351" ca="1" si="23">IF(J319&lt;&gt;1,"",IF(I319="SBJ","CB","?"))</f>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212</v>
      </c>
      <c r="E320" s="21" t="str">
        <f t="shared" si="22"/>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23"/>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305</v>
      </c>
      <c r="B321" s="20" t="s">
        <v>91</v>
      </c>
      <c r="C321" s="20" t="s">
        <v>112</v>
      </c>
      <c r="D321" s="20" t="s">
        <v>102</v>
      </c>
      <c r="E321" s="21" t="s">
        <v>428</v>
      </c>
      <c r="F321" s="22" t="str">
        <f>IF(OR(E321="",E321="!!!"),"",IF(NOT(ISNA(VLOOKUP(E321,E$1:E320,1,FALSE()))),"OLD",IF(AND(E321&lt;&gt;"",E321&lt;&gt;"!!!"),"NEW","")))</f>
        <v>NEW</v>
      </c>
      <c r="G321" s="23" t="s">
        <v>448</v>
      </c>
      <c r="H321" s="24" t="str">
        <f t="shared" ca="1" si="23"/>
        <v/>
      </c>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306</v>
      </c>
      <c r="B322" s="20" t="s">
        <v>120</v>
      </c>
      <c r="C322" s="20" t="s">
        <v>92</v>
      </c>
      <c r="E322" s="21" t="str">
        <f t="shared" si="22"/>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23"/>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307</v>
      </c>
      <c r="B323" s="20" t="s">
        <v>195</v>
      </c>
      <c r="C323" s="20" t="s">
        <v>104</v>
      </c>
      <c r="D323" s="20" t="s">
        <v>102</v>
      </c>
      <c r="E323" s="21"/>
      <c r="F323" s="22" t="s">
        <v>413</v>
      </c>
      <c r="G323" s="23" t="str">
        <f>IF(OR(E323="",E323="!!!"),"",IF(OR(J323=0,AND(J323=1,K323=1),AND(J323=1,I323="SBJ"),AND(J323=1,I323=0)),"?IN_FOCUS",IF(J323&lt;=2,"?ACTIVATED",IF(J323&lt;&gt;"","?FAMILIAR",IF(F323="NEW",IF(ISNA(VLOOKUP(E323,#REF!,1,FALSE())),"?TYPE_IDENTIFIABLE","?REFERENTIAL"),"_")))))</f>
        <v/>
      </c>
      <c r="H323" s="24" t="str">
        <f t="shared" ca="1" si="23"/>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4" spans="1:12" x14ac:dyDescent="0.3">
      <c r="A324" t="s">
        <v>308</v>
      </c>
      <c r="E324" s="21" t="str">
        <f t="shared" si="22"/>
        <v/>
      </c>
      <c r="F324" s="22" t="str">
        <f>IF(OR(E324="",E324="!!!"),"",IF(NOT(ISNA(VLOOKUP(E324,E$1:E323,1,FALSE()))),"OLD",IF(AND(E324&lt;&gt;"",E324&lt;&gt;"!!!"),"NEW","")))</f>
        <v/>
      </c>
      <c r="G324" s="23" t="str">
        <f>IF(OR(E324="",E324="!!!"),"",IF(OR(J324=0,AND(J324=1,K324=1),AND(J324=1,I324="SBJ"),AND(J324=1,I324=0)),"?IN_FOCUS",IF(J324&lt;=2,"?ACTIVATED",IF(J324&lt;&gt;"","?FAMILIAR",IF(F324="NEW",IF(ISNA(VLOOKUP(E324,#REF!,1,FALSE())),"?TYPE_IDENTIFIABLE","?REFERENTIAL"),"_")))))</f>
        <v/>
      </c>
      <c r="H324" s="24" t="str">
        <f t="shared" ca="1" si="23"/>
        <v/>
      </c>
      <c r="I324" s="25" t="str">
        <f>IF(OR(E324="",E324="!!!",F324="NEW"),"",INDEX(B$2:B323,-1+SUMPRODUCT(MAX(ROW(E$2:E323)*(E324=E$2:E323)))))</f>
        <v/>
      </c>
      <c r="J324" s="25" t="str">
        <f ca="1">IF(OR(E324="",E324="!!!",F324="NEW"),"",COUNTBLANK(OFFSET(A$1,,,SUMPRODUCT(MAX(ROW(E$2:E324)*(E324=E$2:E324)))))-COUNTBLANK(OFFSET(A$1,,,SUMPRODUCT(MAX(ROW(E$1:E323)*(E2=E$1:E323))))))</f>
        <v/>
      </c>
      <c r="K324" s="25" t="str">
        <f>IF(OR(E324="",E324="!!!",F324="NEW"),"",INDEX(J$1:J323,SUMPRODUCT(MAX(ROW(E$1:E323)*(E324=E$1:E323)))))</f>
        <v/>
      </c>
      <c r="L324" s="26"/>
    </row>
    <row r="325" spans="1:12" x14ac:dyDescent="0.3">
      <c r="A325" t="s">
        <v>192</v>
      </c>
      <c r="E325" s="21" t="str">
        <f t="shared" si="22"/>
        <v/>
      </c>
      <c r="F325" s="22" t="str">
        <f>IF(OR(E325="",E325="!!!"),"",IF(NOT(ISNA(VLOOKUP(E325,E$1:E324,1,FALSE()))),"OLD",IF(AND(E325&lt;&gt;"",E325&lt;&gt;"!!!"),"NEW","")))</f>
        <v/>
      </c>
      <c r="G325" s="23" t="str">
        <f>IF(OR(E325="",E325="!!!"),"",IF(OR(J325=0,AND(J325=1,K325=1),AND(J325=1,I325="SBJ"),AND(J325=1,I325=0)),"?IN_FOCUS",IF(J325&lt;=2,"?ACTIVATED",IF(J325&lt;&gt;"","?FAMILIAR",IF(F325="NEW",IF(ISNA(VLOOKUP(E325,#REF!,1,FALSE())),"?TYPE_IDENTIFIABLE","?REFERENTIAL"),"_")))))</f>
        <v/>
      </c>
      <c r="H325" s="24" t="str">
        <f t="shared" ca="1" si="23"/>
        <v/>
      </c>
      <c r="I325" s="25" t="str">
        <f>IF(OR(E325="",E325="!!!",F325="NEW"),"",INDEX(B$2:B324,-1+SUMPRODUCT(MAX(ROW(E$2:E324)*(E325=E$2:E324)))))</f>
        <v/>
      </c>
      <c r="J325" s="25" t="str">
        <f ca="1">IF(OR(E325="",E325="!!!",F325="NEW"),"",COUNTBLANK(OFFSET(A$1,,,SUMPRODUCT(MAX(ROW(E$2:E325)*(E325=E$2:E325)))))-COUNTBLANK(OFFSET(A$1,,,SUMPRODUCT(MAX(ROW(E$1:E324)*(E2=E$1:E324))))))</f>
        <v/>
      </c>
      <c r="K325" s="25" t="str">
        <f>IF(OR(E325="",E325="!!!",F325="NEW"),"",INDEX(J$1:J324,SUMPRODUCT(MAX(ROW(E$1:E324)*(E325=E$1:E324)))))</f>
        <v/>
      </c>
      <c r="L325" s="26"/>
    </row>
    <row r="326" spans="1:12" x14ac:dyDescent="0.3">
      <c r="A326" t="s">
        <v>309</v>
      </c>
      <c r="B326" s="20" t="s">
        <v>96</v>
      </c>
      <c r="C326" s="20" t="s">
        <v>128</v>
      </c>
      <c r="E326" s="21" t="str">
        <f t="shared" si="22"/>
        <v/>
      </c>
      <c r="F326" s="22" t="str">
        <f>IF(OR(E326="",E326="!!!"),"",IF(NOT(ISNA(VLOOKUP(E326,E$1:E325,1,FALSE()))),"OLD",IF(AND(E326&lt;&gt;"",E326&lt;&gt;"!!!"),"NEW","")))</f>
        <v/>
      </c>
      <c r="G326" s="23" t="str">
        <f>IF(OR(E326="",E326="!!!"),"",IF(OR(J326=0,AND(J326=1,K326=1),AND(J326=1,I326="SBJ"),AND(J326=1,I326=0)),"?IN_FOCUS",IF(J326&lt;=2,"?ACTIVATED",IF(J326&lt;&gt;"","?FAMILIAR",IF(F326="NEW",IF(ISNA(VLOOKUP(E326,#REF!,1,FALSE())),"?TYPE_IDENTIFIABLE","?REFERENTIAL"),"_")))))</f>
        <v/>
      </c>
      <c r="H326" s="24" t="str">
        <f t="shared" ca="1" si="23"/>
        <v/>
      </c>
      <c r="I326" s="25" t="str">
        <f>IF(OR(E326="",E326="!!!",F326="NEW"),"",INDEX(B$2:B325,-1+SUMPRODUCT(MAX(ROW(E$2:E325)*(E326=E$2:E325)))))</f>
        <v/>
      </c>
      <c r="J326" s="25" t="str">
        <f ca="1">IF(OR(E326="",E326="!!!",F326="NEW"),"",COUNTBLANK(OFFSET(A$1,,,SUMPRODUCT(MAX(ROW(E$2:E326)*(E326=E$2:E326)))))-COUNTBLANK(OFFSET(A$1,,,SUMPRODUCT(MAX(ROW(E$1:E325)*(E2=E$1:E325))))))</f>
        <v/>
      </c>
      <c r="K326" s="25" t="str">
        <f>IF(OR(E326="",E326="!!!",F326="NEW"),"",INDEX(J$1:J325,SUMPRODUCT(MAX(ROW(E$1:E325)*(E326=E$1:E325)))))</f>
        <v/>
      </c>
      <c r="L326" s="26"/>
    </row>
    <row r="327" spans="1:12" x14ac:dyDescent="0.3">
      <c r="A327" t="s">
        <v>242</v>
      </c>
      <c r="E327" s="21" t="str">
        <f t="shared" si="22"/>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ca="1" si="23"/>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8" spans="1:12" x14ac:dyDescent="0.3">
      <c r="A328" t="s">
        <v>310</v>
      </c>
      <c r="E328" s="21" t="str">
        <f t="shared" si="22"/>
        <v/>
      </c>
      <c r="F328" s="22" t="str">
        <f>IF(OR(E328="",E328="!!!"),"",IF(NOT(ISNA(VLOOKUP(E328,E$1:E327,1,FALSE()))),"OLD",IF(AND(E328&lt;&gt;"",E328&lt;&gt;"!!!"),"NEW","")))</f>
        <v/>
      </c>
      <c r="G328" s="23" t="str">
        <f>IF(OR(E328="",E328="!!!"),"",IF(OR(J328=0,AND(J328=1,K328=1),AND(J328=1,I328="SBJ"),AND(J328=1,I328=0)),"?IN_FOCUS",IF(J328&lt;=2,"?ACTIVATED",IF(J328&lt;&gt;"","?FAMILIAR",IF(F328="NEW",IF(ISNA(VLOOKUP(E328,#REF!,1,FALSE())),"?TYPE_IDENTIFIABLE","?REFERENTIAL"),"_")))))</f>
        <v/>
      </c>
      <c r="H328" s="24" t="str">
        <f t="shared" ca="1" si="23"/>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311</v>
      </c>
      <c r="E329" s="21" t="str">
        <f t="shared" si="22"/>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23"/>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312</v>
      </c>
      <c r="B330" s="20" t="s">
        <v>195</v>
      </c>
      <c r="C330" s="20" t="s">
        <v>142</v>
      </c>
      <c r="E330" s="21" t="str">
        <f t="shared" si="22"/>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23"/>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169</v>
      </c>
      <c r="E331" s="21" t="str">
        <f t="shared" si="22"/>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23"/>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313</v>
      </c>
      <c r="E332" s="21" t="str">
        <f t="shared" si="22"/>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23"/>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314</v>
      </c>
      <c r="B333" s="20" t="s">
        <v>120</v>
      </c>
      <c r="C333" s="20" t="s">
        <v>142</v>
      </c>
      <c r="E333" s="21" t="str">
        <f t="shared" si="22"/>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23"/>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218</v>
      </c>
      <c r="E334" s="21" t="str">
        <f t="shared" si="22"/>
        <v/>
      </c>
      <c r="F334" s="22" t="str">
        <f>IF(OR(E334="",E334="!!!"),"",IF(NOT(ISNA(VLOOKUP(E334,E$1:E333,1,FALSE()))),"OLD",IF(AND(E334&lt;&gt;"",E334&lt;&gt;"!!!"),"NEW","")))</f>
        <v/>
      </c>
      <c r="G334" s="23" t="str">
        <f>IF(OR(E334="",E334="!!!"),"",IF(OR(J334=0,AND(J334=1,K334=1),AND(J334=1,I334="SBJ"),AND(J334=1,I334=0)),"?IN_FOCUS",IF(J334&lt;=2,"?ACTIVATED",IF(J334&lt;&gt;"","?FAMILIAR",IF(F334="NEW",IF(ISNA(VLOOKUP(E334,#REF!,1,FALSE())),"?TYPE_IDENTIFIABLE","?REFERENTIAL"),"_")))))</f>
        <v/>
      </c>
      <c r="H334" s="24" t="str">
        <f t="shared" ca="1" si="23"/>
        <v/>
      </c>
      <c r="I334" s="25" t="str">
        <f>IF(OR(E334="",E334="!!!",F334="NEW"),"",INDEX(B$2:B333,-1+SUMPRODUCT(MAX(ROW(E$2:E333)*(E334=E$2:E333)))))</f>
        <v/>
      </c>
      <c r="J334" s="25" t="str">
        <f ca="1">IF(OR(E334="",E334="!!!",F334="NEW"),"",COUNTBLANK(OFFSET(A$1,,,SUMPRODUCT(MAX(ROW(E$2:E334)*(E334=E$2:E334)))))-COUNTBLANK(OFFSET(A$1,,,SUMPRODUCT(MAX(ROW(E$1:E333)*(E2=E$1:E333))))))</f>
        <v/>
      </c>
      <c r="K334" s="25" t="str">
        <f>IF(OR(E334="",E334="!!!",F334="NEW"),"",INDEX(J$1:J333,SUMPRODUCT(MAX(ROW(E$1:E333)*(E334=E$1:E333)))))</f>
        <v/>
      </c>
      <c r="L334" s="26"/>
    </row>
    <row r="335" spans="1:12" x14ac:dyDescent="0.3">
      <c r="A335" t="s">
        <v>97</v>
      </c>
      <c r="E335" s="21" t="str">
        <f t="shared" si="22"/>
        <v/>
      </c>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ca="1" si="23"/>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315</v>
      </c>
      <c r="E336" s="21" t="str">
        <f t="shared" si="22"/>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23"/>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316</v>
      </c>
      <c r="B337" s="20" t="s">
        <v>100</v>
      </c>
      <c r="C337" s="20" t="s">
        <v>92</v>
      </c>
      <c r="E337" s="21" t="str">
        <f t="shared" si="22"/>
        <v/>
      </c>
      <c r="F337" s="22" t="str">
        <f>IF(OR(E337="",E337="!!!"),"",IF(NOT(ISNA(VLOOKUP(E337,E$1:E336,1,FALSE()))),"OLD",IF(AND(E337&lt;&gt;"",E337&lt;&gt;"!!!"),"NEW","")))</f>
        <v/>
      </c>
      <c r="G337" s="23" t="str">
        <f>IF(OR(E337="",E337="!!!"),"",IF(OR(J337=0,AND(J337=1,K337=1),AND(J337=1,I337="SBJ"),AND(J337=1,I337=0)),"?IN_FOCUS",IF(J337&lt;=2,"?ACTIVATED",IF(J337&lt;&gt;"","?FAMILIAR",IF(F337="NEW",IF(ISNA(VLOOKUP(E337,#REF!,1,FALSE())),"?TYPE_IDENTIFIABLE","?REFERENTIAL"),"_")))))</f>
        <v/>
      </c>
      <c r="H337" s="24" t="str">
        <f t="shared" ca="1" si="23"/>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169</v>
      </c>
      <c r="E338" s="21" t="str">
        <f t="shared" si="22"/>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23"/>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317</v>
      </c>
      <c r="B339" s="20" t="s">
        <v>120</v>
      </c>
      <c r="C339" s="20" t="s">
        <v>92</v>
      </c>
      <c r="E339" s="21" t="str">
        <f t="shared" si="22"/>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23"/>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318</v>
      </c>
      <c r="E340" s="21" t="str">
        <f t="shared" si="22"/>
        <v/>
      </c>
      <c r="F340" s="22" t="str">
        <f>IF(OR(E340="",E340="!!!"),"",IF(NOT(ISNA(VLOOKUP(E340,E$1:E339,1,FALSE()))),"OLD",IF(AND(E340&lt;&gt;"",E340&lt;&gt;"!!!"),"NEW","")))</f>
        <v/>
      </c>
      <c r="G340" s="23" t="str">
        <f>IF(OR(E340="",E340="!!!"),"",IF(OR(J340=0,AND(J340=1,K340=1),AND(J340=1,I340="SBJ"),AND(J340=1,I340=0)),"?IN_FOCUS",IF(J340&lt;=2,"?ACTIVATED",IF(J340&lt;&gt;"","?FAMILIAR",IF(F340="NEW",IF(ISNA(VLOOKUP(E340,#REF!,1,FALSE())),"?TYPE_IDENTIFIABLE","?REFERENTIAL"),"_")))))</f>
        <v/>
      </c>
      <c r="H340" s="24" t="str">
        <f t="shared" ca="1" si="23"/>
        <v/>
      </c>
      <c r="I340" s="25" t="str">
        <f>IF(OR(E340="",E340="!!!",F340="NEW"),"",INDEX(B$2:B339,-1+SUMPRODUCT(MAX(ROW(E$2:E339)*(E340=E$2:E339)))))</f>
        <v/>
      </c>
      <c r="J340" s="25" t="str">
        <f ca="1">IF(OR(E340="",E340="!!!",F340="NEW"),"",COUNTBLANK(OFFSET(A$1,,,SUMPRODUCT(MAX(ROW(E$2:E340)*(E340=E$2:E340)))))-COUNTBLANK(OFFSET(A$1,,,SUMPRODUCT(MAX(ROW(E$1:E339)*(E2=E$1:E339))))))</f>
        <v/>
      </c>
      <c r="K340" s="25" t="str">
        <f>IF(OR(E340="",E340="!!!",F340="NEW"),"",INDEX(J$1:J339,SUMPRODUCT(MAX(ROW(E$1:E339)*(E340=E$1:E339)))))</f>
        <v/>
      </c>
      <c r="L340" s="26"/>
    </row>
    <row r="341" spans="1:12" x14ac:dyDescent="0.3">
      <c r="A341" t="s">
        <v>319</v>
      </c>
      <c r="E341" s="21" t="str">
        <f t="shared" si="22"/>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23"/>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97</v>
      </c>
      <c r="E342" s="21" t="str">
        <f t="shared" si="22"/>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23"/>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198</v>
      </c>
      <c r="E343" s="21" t="str">
        <f t="shared" si="22"/>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23"/>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243</v>
      </c>
      <c r="B344" s="20" t="s">
        <v>174</v>
      </c>
      <c r="C344" s="20" t="s">
        <v>92</v>
      </c>
      <c r="E344" s="21" t="str">
        <f t="shared" si="22"/>
        <v/>
      </c>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23"/>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row>
    <row r="345" spans="1:12" x14ac:dyDescent="0.3">
      <c r="A345" t="s">
        <v>262</v>
      </c>
      <c r="E345" s="21" t="str">
        <f t="shared" si="22"/>
        <v/>
      </c>
      <c r="F345" s="22" t="str">
        <f>IF(OR(E345="",E345="!!!"),"",IF(NOT(ISNA(VLOOKUP(E345,E$1:E344,1,FALSE()))),"OLD",IF(AND(E345&lt;&gt;"",E345&lt;&gt;"!!!"),"NEW","")))</f>
        <v/>
      </c>
      <c r="G345" s="23" t="str">
        <f>IF(OR(E345="",E345="!!!"),"",IF(OR(J345=0,AND(J345=1,K345=1),AND(J345=1,I345="SBJ"),AND(J345=1,I345=0)),"?IN_FOCUS",IF(J345&lt;=2,"?ACTIVATED",IF(J345&lt;&gt;"","?FAMILIAR",IF(F345="NEW",IF(ISNA(VLOOKUP(E345,#REF!,1,FALSE())),"?TYPE_IDENTIFIABLE","?REFERENTIAL"),"_")))))</f>
        <v/>
      </c>
      <c r="H345" s="24" t="str">
        <f t="shared" ca="1" si="23"/>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132</v>
      </c>
      <c r="E346" s="21" t="str">
        <f t="shared" si="22"/>
        <v/>
      </c>
      <c r="F346" s="22" t="str">
        <f>IF(OR(E346="",E346="!!!"),"",IF(NOT(ISNA(VLOOKUP(E346,E$1:E345,1,FALSE()))),"OLD",IF(AND(E346&lt;&gt;"",E346&lt;&gt;"!!!"),"NEW","")))</f>
        <v/>
      </c>
      <c r="G346" s="23" t="str">
        <f>IF(OR(E346="",E346="!!!"),"",IF(OR(J346=0,AND(J346=1,K346=1),AND(J346=1,I346="SBJ"),AND(J346=1,I346=0)),"?IN_FOCUS",IF(J346&lt;=2,"?ACTIVATED",IF(J346&lt;&gt;"","?FAMILIAR",IF(F346="NEW",IF(ISNA(VLOOKUP(E346,#REF!,1,FALSE())),"?TYPE_IDENTIFIABLE","?REFERENTIAL"),"_")))))</f>
        <v/>
      </c>
      <c r="H346" s="24" t="str">
        <f t="shared" ca="1" si="23"/>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7" spans="1:12" x14ac:dyDescent="0.3">
      <c r="A347" t="s">
        <v>320</v>
      </c>
      <c r="B347" s="20" t="s">
        <v>120</v>
      </c>
      <c r="C347" s="20" t="s">
        <v>112</v>
      </c>
      <c r="D347" s="20" t="s">
        <v>102</v>
      </c>
      <c r="E347" s="21" t="s">
        <v>436</v>
      </c>
      <c r="F347" s="22" t="str">
        <f>IF(OR(E347="",E347="!!!"),"",IF(NOT(ISNA(VLOOKUP(E347,E$1:E346,1,FALSE()))),"OLD",IF(AND(E347&lt;&gt;"",E347&lt;&gt;"!!!"),"NEW","")))</f>
        <v>NEW</v>
      </c>
      <c r="G347" s="23" t="s">
        <v>448</v>
      </c>
      <c r="H347" s="24" t="str">
        <f t="shared" ca="1" si="23"/>
        <v/>
      </c>
      <c r="I347" s="25" t="str">
        <f>IF(OR(E347="",E347="!!!",F347="NEW"),"",INDEX(B$2:B346,-1+SUMPRODUCT(MAX(ROW(E$2:E346)*(E347=E$2:E346)))))</f>
        <v/>
      </c>
      <c r="J347" s="25" t="str">
        <f ca="1">IF(OR(E347="",E347="!!!",F347="NEW"),"",COUNTBLANK(OFFSET(A$1,,,SUMPRODUCT(MAX(ROW(E$2:E347)*(E347=E$2:E347)))))-COUNTBLANK(OFFSET(A$1,,,SUMPRODUCT(MAX(ROW(E$1:E346)*(E2=E$1:E346))))))</f>
        <v/>
      </c>
      <c r="K347" s="25" t="str">
        <f>IF(OR(E347="",E347="!!!",F347="NEW"),"",INDEX(J$1:J346,SUMPRODUCT(MAX(ROW(E$1:E346)*(E347=E$1:E346)))))</f>
        <v/>
      </c>
      <c r="L347" s="26"/>
    </row>
    <row r="348" spans="1:12" x14ac:dyDescent="0.3">
      <c r="A348" t="s">
        <v>321</v>
      </c>
      <c r="B348" s="20" t="s">
        <v>174</v>
      </c>
      <c r="C348" s="20" t="s">
        <v>92</v>
      </c>
      <c r="E348" s="21" t="str">
        <f t="shared" si="22"/>
        <v/>
      </c>
      <c r="F348" s="22" t="str">
        <f>IF(OR(E348="",E348="!!!"),"",IF(NOT(ISNA(VLOOKUP(E348,E$1:E347,1,FALSE()))),"OLD",IF(AND(E348&lt;&gt;"",E348&lt;&gt;"!!!"),"NEW","")))</f>
        <v/>
      </c>
      <c r="G348" s="23" t="str">
        <f>IF(OR(E348="",E348="!!!"),"",IF(OR(J348=0,AND(J348=1,K348=1),AND(J348=1,I348="SBJ"),AND(J348=1,I348=0)),"?IN_FOCUS",IF(J348&lt;=2,"?ACTIVATED",IF(J348&lt;&gt;"","?FAMILIAR",IF(F348="NEW",IF(ISNA(VLOOKUP(E348,#REF!,1,FALSE())),"?TYPE_IDENTIFIABLE","?REFERENTIAL"),"_")))))</f>
        <v/>
      </c>
      <c r="H348" s="24" t="str">
        <f t="shared" ca="1" si="23"/>
        <v/>
      </c>
      <c r="I348" s="25" t="str">
        <f>IF(OR(E348="",E348="!!!",F348="NEW"),"",INDEX(B$2:B347,-1+SUMPRODUCT(MAX(ROW(E$2:E347)*(E348=E$2:E347)))))</f>
        <v/>
      </c>
      <c r="J348" s="25" t="str">
        <f ca="1">IF(OR(E348="",E348="!!!",F348="NEW"),"",COUNTBLANK(OFFSET(A$1,,,SUMPRODUCT(MAX(ROW(E$2:E348)*(E348=E$2:E348)))))-COUNTBLANK(OFFSET(A$1,,,SUMPRODUCT(MAX(ROW(E$1:E347)*(E2=E$1:E347))))))</f>
        <v/>
      </c>
      <c r="K348" s="25" t="str">
        <f>IF(OR(E348="",E348="!!!",F348="NEW"),"",INDEX(J$1:J347,SUMPRODUCT(MAX(ROW(E$1:E347)*(E348=E$1:E347)))))</f>
        <v/>
      </c>
      <c r="L348" s="26"/>
    </row>
    <row r="349" spans="1:12" x14ac:dyDescent="0.3">
      <c r="A349" t="s">
        <v>137</v>
      </c>
      <c r="E349" s="21" t="str">
        <f t="shared" si="22"/>
        <v/>
      </c>
      <c r="F349" s="22" t="str">
        <f>IF(OR(E349="",E349="!!!"),"",IF(NOT(ISNA(VLOOKUP(E349,E$1:E348,1,FALSE()))),"OLD",IF(AND(E349&lt;&gt;"",E349&lt;&gt;"!!!"),"NEW","")))</f>
        <v/>
      </c>
      <c r="G349" s="23" t="str">
        <f>IF(OR(E349="",E349="!!!"),"",IF(OR(J349=0,AND(J349=1,K349=1),AND(J349=1,I349="SBJ"),AND(J349=1,I349=0)),"?IN_FOCUS",IF(J349&lt;=2,"?ACTIVATED",IF(J349&lt;&gt;"","?FAMILIAR",IF(F349="NEW",IF(ISNA(VLOOKUP(E349,#REF!,1,FALSE())),"?TYPE_IDENTIFIABLE","?REFERENTIAL"),"_")))))</f>
        <v/>
      </c>
      <c r="H349" s="24" t="str">
        <f t="shared" ca="1" si="23"/>
        <v/>
      </c>
      <c r="I349" s="25" t="str">
        <f>IF(OR(E349="",E349="!!!",F349="NEW"),"",INDEX(B$2:B348,-1+SUMPRODUCT(MAX(ROW(E$2:E348)*(E349=E$2:E348)))))</f>
        <v/>
      </c>
      <c r="J349" s="25" t="str">
        <f ca="1">IF(OR(E349="",E349="!!!",F349="NEW"),"",COUNTBLANK(OFFSET(A$1,,,SUMPRODUCT(MAX(ROW(E$2:E349)*(E349=E$2:E349)))))-COUNTBLANK(OFFSET(A$1,,,SUMPRODUCT(MAX(ROW(E$1:E348)*(E2=E$1:E348))))))</f>
        <v/>
      </c>
      <c r="K349" s="25" t="str">
        <f>IF(OR(E349="",E349="!!!",F349="NEW"),"",INDEX(J$1:J348,SUMPRODUCT(MAX(ROW(E$1:E348)*(E349=E$1:E348)))))</f>
        <v/>
      </c>
      <c r="L349" s="26"/>
    </row>
    <row r="350" spans="1:12" x14ac:dyDescent="0.3">
      <c r="A350" t="s">
        <v>322</v>
      </c>
      <c r="E350" s="21" t="str">
        <f t="shared" si="22"/>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23"/>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155</v>
      </c>
      <c r="E351" s="21" t="str">
        <f t="shared" si="22"/>
        <v/>
      </c>
      <c r="F351" s="22" t="str">
        <f>IF(OR(E351="",E351="!!!"),"",IF(NOT(ISNA(VLOOKUP(E351,E$1:E350,1,FALSE()))),"OLD",IF(AND(E351&lt;&gt;"",E351&lt;&gt;"!!!"),"NEW","")))</f>
        <v/>
      </c>
      <c r="G351" s="23" t="str">
        <f>IF(OR(E351="",E351="!!!"),"",IF(OR(J351=0,AND(J351=1,K351=1),AND(J351=1,I351="SBJ"),AND(J351=1,I351=0)),"?IN_FOCUS",IF(J351&lt;=2,"?ACTIVATED",IF(J351&lt;&gt;"","?FAMILIAR",IF(F351="NEW",IF(ISNA(VLOOKUP(E351,#REF!,1,FALSE())),"?TYPE_IDENTIFIABLE","?REFERENTIAL"),"_")))))</f>
        <v/>
      </c>
      <c r="H351" s="24" t="str">
        <f t="shared" ca="1" si="23"/>
        <v/>
      </c>
      <c r="I351" s="25" t="str">
        <f>IF(OR(E351="",E351="!!!",F351="NEW"),"",INDEX(B$2:B350,-1+SUMPRODUCT(MAX(ROW(E$2:E350)*(E351=E$2:E350)))))</f>
        <v/>
      </c>
      <c r="J351" s="25" t="str">
        <f ca="1">IF(OR(E351="",E351="!!!",F351="NEW"),"",COUNTBLANK(OFFSET(A$1,,,SUMPRODUCT(MAX(ROW(E$2:E351)*(E351=E$2:E351)))))-COUNTBLANK(OFFSET(A$1,,,SUMPRODUCT(MAX(ROW(E$1:E350)*(E2=E$1:E350))))))</f>
        <v/>
      </c>
      <c r="K351" s="25" t="str">
        <f>IF(OR(E351="",E351="!!!",F351="NEW"),"",INDEX(J$1:J350,SUMPRODUCT(MAX(ROW(E$1:E350)*(E351=E$1:E350)))))</f>
        <v/>
      </c>
      <c r="L351" s="26"/>
    </row>
    <row r="353" spans="1:12" x14ac:dyDescent="0.3">
      <c r="A353" t="s">
        <v>323</v>
      </c>
    </row>
    <row r="354" spans="1:12" x14ac:dyDescent="0.3">
      <c r="A354" t="s">
        <v>110</v>
      </c>
      <c r="E354" s="21" t="str">
        <f t="shared" ref="E354:E380" si="24">IF(D354="?OLD","!!!","")</f>
        <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ref="H354:H380" ca="1" si="25">IF(J354&lt;&gt;1,"",IF(I354="SBJ","CB","?"))</f>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111</v>
      </c>
      <c r="B355" s="20" t="s">
        <v>91</v>
      </c>
      <c r="C355" s="20" t="s">
        <v>112</v>
      </c>
      <c r="D355" s="20" t="s">
        <v>102</v>
      </c>
      <c r="E355" s="21" t="s">
        <v>411</v>
      </c>
      <c r="F355" s="22" t="str">
        <f>IF(OR(E355="",E355="!!!"),"",IF(NOT(ISNA(VLOOKUP(E355,E$1:E354,1,FALSE()))),"OLD",IF(AND(E355&lt;&gt;"",E355&lt;&gt;"!!!"),"NEW","")))</f>
        <v>OLD</v>
      </c>
      <c r="G355" s="23" t="s">
        <v>447</v>
      </c>
      <c r="H355" s="24" t="str">
        <f t="shared" ca="1" si="25"/>
        <v/>
      </c>
      <c r="I355" s="25" t="str">
        <f>IF(OR(E355="",E355="!!!",F355="NEW"),"",INDEX(B$2:B354,-1+SUMPRODUCT(MAX(ROW(E$2:E354)*(E355=E$2:E354)))))</f>
        <v>SBJ</v>
      </c>
      <c r="J355" s="25">
        <f ca="1">IF(OR(E355="",E355="!!!",F355="NEW"),"",COUNTBLANK(OFFSET(A$1,,,SUMPRODUCT(MAX(ROW(E$2:E355)*(E355=E$2:E355)))))-COUNTBLANK(OFFSET(A$1,,,SUMPRODUCT(MAX(ROW(E$1:E354)*(E2=E$1:E354))))))</f>
        <v>0</v>
      </c>
      <c r="K355" s="25" t="str">
        <f ca="1">IF(OR(E355="",E355="!!!",F355="NEW"),"",INDEX(J$1:J354,SUMPRODUCT(MAX(ROW(E$1:E354)*(E355=E$1:E354)))))</f>
        <v/>
      </c>
      <c r="L355" s="26"/>
    </row>
    <row r="356" spans="1:12" x14ac:dyDescent="0.3">
      <c r="A356" t="s">
        <v>113</v>
      </c>
      <c r="E356" s="21" t="str">
        <f t="shared" si="24"/>
        <v/>
      </c>
      <c r="F356" s="22" t="str">
        <f>IF(OR(E356="",E356="!!!"),"",IF(NOT(ISNA(VLOOKUP(E356,E$1:E355,1,FALSE()))),"OLD",IF(AND(E356&lt;&gt;"",E356&lt;&gt;"!!!"),"NEW","")))</f>
        <v/>
      </c>
      <c r="G356" s="23" t="str">
        <f>IF(OR(E356="",E356="!!!"),"",IF(OR(J356=0,AND(J356=1,K356=1),AND(J356=1,I356="SBJ"),AND(J356=1,I356=0)),"?IN_FOCUS",IF(J356&lt;=2,"?ACTIVATED",IF(J356&lt;&gt;"","?FAMILIAR",IF(F356="NEW",IF(ISNA(VLOOKUP(E356,#REF!,1,FALSE())),"?TYPE_IDENTIFIABLE","?REFERENTIAL"),"_")))))</f>
        <v/>
      </c>
      <c r="H356" s="24" t="str">
        <f t="shared" ca="1" si="25"/>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114</v>
      </c>
      <c r="E357" s="21" t="str">
        <f t="shared" si="24"/>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25"/>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97</v>
      </c>
      <c r="E358" s="21" t="str">
        <f t="shared" si="24"/>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25"/>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115</v>
      </c>
      <c r="E359" s="21" t="str">
        <f t="shared" si="24"/>
        <v/>
      </c>
      <c r="F359" s="22" t="str">
        <f>IF(OR(E359="",E359="!!!"),"",IF(NOT(ISNA(VLOOKUP(E359,E$1:E358,1,FALSE()))),"OLD",IF(AND(E359&lt;&gt;"",E359&lt;&gt;"!!!"),"NEW","")))</f>
        <v/>
      </c>
      <c r="G359" s="23" t="str">
        <f>IF(OR(E359="",E359="!!!"),"",IF(OR(J359=0,AND(J359=1,K359=1),AND(J359=1,I359="SBJ"),AND(J359=1,I359=0)),"?IN_FOCUS",IF(J359&lt;=2,"?ACTIVATED",IF(J359&lt;&gt;"","?FAMILIAR",IF(F359="NEW",IF(ISNA(VLOOKUP(E359,#REF!,1,FALSE())),"?TYPE_IDENTIFIABLE","?REFERENTIAL"),"_")))))</f>
        <v/>
      </c>
      <c r="H359" s="24" t="str">
        <f t="shared" ca="1" si="25"/>
        <v/>
      </c>
      <c r="I359" s="25" t="str">
        <f>IF(OR(E359="",E359="!!!",F359="NEW"),"",INDEX(B$2:B358,-1+SUMPRODUCT(MAX(ROW(E$2:E358)*(E359=E$2:E358)))))</f>
        <v/>
      </c>
      <c r="J359" s="25" t="str">
        <f ca="1">IF(OR(E359="",E359="!!!",F359="NEW"),"",COUNTBLANK(OFFSET(A$1,,,SUMPRODUCT(MAX(ROW(E$2:E359)*(E359=E$2:E359)))))-COUNTBLANK(OFFSET(A$1,,,SUMPRODUCT(MAX(ROW(E$1:E358)*(E2=E$1:E358))))))</f>
        <v/>
      </c>
      <c r="K359" s="25" t="str">
        <f>IF(OR(E359="",E359="!!!",F359="NEW"),"",INDEX(J$1:J358,SUMPRODUCT(MAX(ROW(E$1:E358)*(E359=E$1:E358)))))</f>
        <v/>
      </c>
      <c r="L359" s="26"/>
    </row>
    <row r="360" spans="1:12" x14ac:dyDescent="0.3">
      <c r="A360" t="s">
        <v>116</v>
      </c>
      <c r="B360" s="20" t="s">
        <v>107</v>
      </c>
      <c r="C360" s="20" t="s">
        <v>112</v>
      </c>
      <c r="D360" s="20" t="s">
        <v>102</v>
      </c>
      <c r="E360" s="21" t="s">
        <v>420</v>
      </c>
      <c r="F360" s="22" t="str">
        <f>IF(OR(E360="",E360="!!!"),"",IF(NOT(ISNA(VLOOKUP(E360,E$1:E359,1,FALSE()))),"OLD",IF(AND(E360&lt;&gt;"",E360&lt;&gt;"!!!"),"NEW","")))</f>
        <v>OLD</v>
      </c>
      <c r="G360" s="23" t="s">
        <v>447</v>
      </c>
      <c r="H360" s="24" t="str">
        <f t="shared" ca="1" si="25"/>
        <v/>
      </c>
      <c r="I360" s="25" t="str">
        <f>IF(OR(E360="",E360="!!!",F360="NEW"),"",INDEX(B$2:B359,-1+SUMPRODUCT(MAX(ROW(E$2:E359)*(E360=E$2:E359)))))</f>
        <v>other_3</v>
      </c>
      <c r="J360" s="25">
        <f ca="1">IF(OR(E360="",E360="!!!",F360="NEW"),"",COUNTBLANK(OFFSET(A$1,,,SUMPRODUCT(MAX(ROW(E$2:E360)*(E360=E$2:E360)))))-COUNTBLANK(OFFSET(A$1,,,SUMPRODUCT(MAX(ROW(E$1:E359)*(E2=E$1:E359))))))</f>
        <v>0</v>
      </c>
      <c r="K360" s="25">
        <f ca="1">IF(OR(E360="",E360="!!!",F360="NEW"),"",INDEX(J$1:J359,SUMPRODUCT(MAX(ROW(E$1:E359)*(E360=E$1:E359)))))</f>
        <v>0</v>
      </c>
      <c r="L360" s="26"/>
    </row>
    <row r="361" spans="1:12" x14ac:dyDescent="0.3">
      <c r="A361" t="s">
        <v>117</v>
      </c>
      <c r="E361" s="21" t="str">
        <f t="shared" si="24"/>
        <v/>
      </c>
      <c r="F361" s="22" t="str">
        <f>IF(OR(E361="",E361="!!!"),"",IF(NOT(ISNA(VLOOKUP(E361,E$1:E360,1,FALSE()))),"OLD",IF(AND(E361&lt;&gt;"",E361&lt;&gt;"!!!"),"NEW","")))</f>
        <v/>
      </c>
      <c r="G361" s="23" t="str">
        <f>IF(OR(E361="",E361="!!!"),"",IF(OR(J361=0,AND(J361=1,K361=1),AND(J361=1,I361="SBJ"),AND(J361=1,I361=0)),"?IN_FOCUS",IF(J361&lt;=2,"?ACTIVATED",IF(J361&lt;&gt;"","?FAMILIAR",IF(F361="NEW",IF(ISNA(VLOOKUP(E361,#REF!,1,FALSE())),"?TYPE_IDENTIFIABLE","?REFERENTIAL"),"_")))))</f>
        <v/>
      </c>
      <c r="H361" s="24" t="str">
        <f t="shared" ca="1" si="25"/>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118</v>
      </c>
      <c r="E362" s="21" t="str">
        <f t="shared" si="24"/>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25"/>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119</v>
      </c>
      <c r="B363" s="20" t="s">
        <v>195</v>
      </c>
      <c r="C363" s="20" t="s">
        <v>112</v>
      </c>
      <c r="D363" s="20" t="s">
        <v>102</v>
      </c>
      <c r="E363" s="21"/>
      <c r="F363" s="22" t="s">
        <v>430</v>
      </c>
      <c r="G363" s="23" t="str">
        <f>IF(OR(E363="",E363="!!!"),"",IF(OR(J363=0,AND(J363=1,K363=1),AND(J363=1,I363="SBJ"),AND(J363=1,I363=0)),"?IN_FOCUS",IF(J363&lt;=2,"?ACTIVATED",IF(J363&lt;&gt;"","?FAMILIAR",IF(F363="NEW",IF(ISNA(VLOOKUP(E363,#REF!,1,FALSE())),"?TYPE_IDENTIFIABLE","?REFERENTIAL"),"_")))))</f>
        <v/>
      </c>
      <c r="H363" s="24" t="str">
        <f t="shared" ca="1" si="25"/>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121</v>
      </c>
      <c r="E364" s="21" t="str">
        <f t="shared" si="24"/>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25"/>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324</v>
      </c>
      <c r="E365" s="21" t="str">
        <f t="shared" si="24"/>
        <v/>
      </c>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25"/>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122</v>
      </c>
      <c r="B366" s="20" t="s">
        <v>120</v>
      </c>
      <c r="C366" s="20" t="s">
        <v>128</v>
      </c>
      <c r="E366" s="21" t="str">
        <f t="shared" si="24"/>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25"/>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208</v>
      </c>
      <c r="E367" s="21" t="str">
        <f t="shared" si="24"/>
        <v/>
      </c>
      <c r="F367" s="22" t="str">
        <f>IF(OR(E367="",E367="!!!"),"",IF(NOT(ISNA(VLOOKUP(E367,E$1:E366,1,FALSE()))),"OLD",IF(AND(E367&lt;&gt;"",E367&lt;&gt;"!!!"),"NEW","")))</f>
        <v/>
      </c>
      <c r="G367" s="23" t="str">
        <f>IF(OR(E367="",E367="!!!"),"",IF(OR(J367=0,AND(J367=1,K367=1),AND(J367=1,I367="SBJ"),AND(J367=1,I367=0)),"?IN_FOCUS",IF(J367&lt;=2,"?ACTIVATED",IF(J367&lt;&gt;"","?FAMILIAR",IF(F367="NEW",IF(ISNA(VLOOKUP(E367,#REF!,1,FALSE())),"?TYPE_IDENTIFIABLE","?REFERENTIAL"),"_")))))</f>
        <v/>
      </c>
      <c r="H367" s="24" t="str">
        <f t="shared" ca="1" si="25"/>
        <v/>
      </c>
      <c r="I367" s="25" t="str">
        <f>IF(OR(E367="",E367="!!!",F367="NEW"),"",INDEX(B$2:B366,-1+SUMPRODUCT(MAX(ROW(E$2:E366)*(E367=E$2:E366)))))</f>
        <v/>
      </c>
      <c r="J367" s="25" t="str">
        <f ca="1">IF(OR(E367="",E367="!!!",F367="NEW"),"",COUNTBLANK(OFFSET(A$1,,,SUMPRODUCT(MAX(ROW(E$2:E367)*(E367=E$2:E367)))))-COUNTBLANK(OFFSET(A$1,,,SUMPRODUCT(MAX(ROW(E$1:E366)*(E2=E$1:E366))))))</f>
        <v/>
      </c>
      <c r="K367" s="25" t="str">
        <f>IF(OR(E367="",E367="!!!",F367="NEW"),"",INDEX(J$1:J366,SUMPRODUCT(MAX(ROW(E$1:E366)*(E367=E$1:E366)))))</f>
        <v/>
      </c>
      <c r="L367" s="26"/>
    </row>
    <row r="368" spans="1:12" x14ac:dyDescent="0.3">
      <c r="A368" t="s">
        <v>125</v>
      </c>
      <c r="E368" s="21" t="str">
        <f t="shared" si="24"/>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25"/>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126</v>
      </c>
      <c r="B369" s="20" t="s">
        <v>123</v>
      </c>
      <c r="C369" s="20" t="s">
        <v>112</v>
      </c>
      <c r="D369" s="20" t="s">
        <v>102</v>
      </c>
      <c r="E369" s="21" t="s">
        <v>412</v>
      </c>
      <c r="F369" s="22" t="str">
        <f>IF(OR(E369="",E369="!!!"),"",IF(NOT(ISNA(VLOOKUP(E369,E$1:E368,1,FALSE()))),"OLD",IF(AND(E369&lt;&gt;"",E369&lt;&gt;"!!!"),"NEW","")))</f>
        <v>OLD</v>
      </c>
      <c r="G369" s="23" t="s">
        <v>447</v>
      </c>
      <c r="H369" s="24" t="str">
        <f t="shared" ca="1" si="25"/>
        <v/>
      </c>
      <c r="I369" s="25" t="str">
        <f>IF(OR(E369="",E369="!!!",F369="NEW"),"",INDEX(B$2:B368,-1+SUMPRODUCT(MAX(ROW(E$2:E368)*(E369=E$2:E368)))))</f>
        <v>other_5</v>
      </c>
      <c r="J369" s="25">
        <f ca="1">IF(OR(E369="",E369="!!!",F369="NEW"),"",COUNTBLANK(OFFSET(A$1,,,SUMPRODUCT(MAX(ROW(E$2:E369)*(E369=E$2:E369)))))-COUNTBLANK(OFFSET(A$1,,,SUMPRODUCT(MAX(ROW(E$1:E368)*(E2=E$1:E368))))))</f>
        <v>0</v>
      </c>
      <c r="K369" s="25">
        <f ca="1">IF(OR(E369="",E369="!!!",F369="NEW"),"",INDEX(J$1:J368,SUMPRODUCT(MAX(ROW(E$1:E368)*(E369=E$1:E368)))))</f>
        <v>0</v>
      </c>
      <c r="L369" s="26"/>
    </row>
    <row r="370" spans="1:12" x14ac:dyDescent="0.3">
      <c r="A370" t="s">
        <v>129</v>
      </c>
      <c r="E370" s="21" t="str">
        <f t="shared" si="24"/>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25"/>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1" spans="1:12" x14ac:dyDescent="0.3">
      <c r="A371" t="s">
        <v>115</v>
      </c>
      <c r="E371" s="21" t="str">
        <f t="shared" si="24"/>
        <v/>
      </c>
      <c r="F371" s="22" t="str">
        <f>IF(OR(E371="",E371="!!!"),"",IF(NOT(ISNA(VLOOKUP(E371,E$1:E370,1,FALSE()))),"OLD",IF(AND(E371&lt;&gt;"",E371&lt;&gt;"!!!"),"NEW","")))</f>
        <v/>
      </c>
      <c r="G371" s="23" t="str">
        <f>IF(OR(E371="",E371="!!!"),"",IF(OR(J371=0,AND(J371=1,K371=1),AND(J371=1,I371="SBJ"),AND(J371=1,I371=0)),"?IN_FOCUS",IF(J371&lt;=2,"?ACTIVATED",IF(J371&lt;&gt;"","?FAMILIAR",IF(F371="NEW",IF(ISNA(VLOOKUP(E371,#REF!,1,FALSE())),"?TYPE_IDENTIFIABLE","?REFERENTIAL"),"_")))))</f>
        <v/>
      </c>
      <c r="H371" s="24" t="str">
        <f t="shared" ca="1" si="25"/>
        <v/>
      </c>
      <c r="I371" s="25" t="str">
        <f>IF(OR(E371="",E371="!!!",F371="NEW"),"",INDEX(B$2:B370,-1+SUMPRODUCT(MAX(ROW(E$2:E370)*(E371=E$2:E370)))))</f>
        <v/>
      </c>
      <c r="J371" s="25" t="str">
        <f ca="1">IF(OR(E371="",E371="!!!",F371="NEW"),"",COUNTBLANK(OFFSET(A$1,,,SUMPRODUCT(MAX(ROW(E$2:E371)*(E371=E$2:E371)))))-COUNTBLANK(OFFSET(A$1,,,SUMPRODUCT(MAX(ROW(E$1:E370)*(E2=E$1:E370))))))</f>
        <v/>
      </c>
      <c r="K371" s="25" t="str">
        <f>IF(OR(E371="",E371="!!!",F371="NEW"),"",INDEX(J$1:J370,SUMPRODUCT(MAX(ROW(E$1:E370)*(E371=E$1:E370)))))</f>
        <v/>
      </c>
      <c r="L371" s="26"/>
    </row>
    <row r="372" spans="1:12" x14ac:dyDescent="0.3">
      <c r="A372" t="s">
        <v>130</v>
      </c>
      <c r="B372" s="20" t="s">
        <v>120</v>
      </c>
      <c r="C372" s="20" t="s">
        <v>131</v>
      </c>
      <c r="D372" s="20" t="s">
        <v>102</v>
      </c>
      <c r="E372" s="21" t="s">
        <v>425</v>
      </c>
      <c r="F372" s="22" t="str">
        <f>IF(OR(E372="",E372="!!!"),"",IF(NOT(ISNA(VLOOKUP(E372,E$1:E371,1,FALSE()))),"OLD",IF(AND(E372&lt;&gt;"",E372&lt;&gt;"!!!"),"NEW","")))</f>
        <v>OLD</v>
      </c>
      <c r="G372" s="23" t="s">
        <v>447</v>
      </c>
      <c r="H372" s="24" t="str">
        <f t="shared" ca="1" si="25"/>
        <v/>
      </c>
      <c r="I372" s="25" t="str">
        <f>IF(OR(E372="",E372="!!!",F372="NEW"),"",INDEX(B$2:B371,-1+SUMPRODUCT(MAX(ROW(E$2:E371)*(E372=E$2:E371)))))</f>
        <v>other_4</v>
      </c>
      <c r="J372" s="25">
        <f ca="1">IF(OR(E372="",E372="!!!",F372="NEW"),"",COUNTBLANK(OFFSET(A$1,,,SUMPRODUCT(MAX(ROW(E$2:E372)*(E372=E$2:E372)))))-COUNTBLANK(OFFSET(A$1,,,SUMPRODUCT(MAX(ROW(E$1:E371)*(E2=E$1:E371))))))</f>
        <v>0</v>
      </c>
      <c r="K372" s="25" t="str">
        <f ca="1">IF(OR(E372="",E372="!!!",F372="NEW"),"",INDEX(J$1:J371,SUMPRODUCT(MAX(ROW(E$1:E371)*(E372=E$1:E371)))))</f>
        <v/>
      </c>
      <c r="L372" s="26"/>
    </row>
    <row r="373" spans="1:12" x14ac:dyDescent="0.3">
      <c r="A373" t="s">
        <v>132</v>
      </c>
      <c r="E373" s="21" t="str">
        <f t="shared" si="24"/>
        <v/>
      </c>
      <c r="F373" s="22" t="str">
        <f>IF(OR(E373="",E373="!!!"),"",IF(NOT(ISNA(VLOOKUP(E373,E$1:E372,1,FALSE()))),"OLD",IF(AND(E373&lt;&gt;"",E373&lt;&gt;"!!!"),"NEW","")))</f>
        <v/>
      </c>
      <c r="G373" s="23" t="str">
        <f>IF(OR(E373="",E373="!!!"),"",IF(OR(J373=0,AND(J373=1,K373=1),AND(J373=1,I373="SBJ"),AND(J373=1,I373=0)),"?IN_FOCUS",IF(J373&lt;=2,"?ACTIVATED",IF(J373&lt;&gt;"","?FAMILIAR",IF(F373="NEW",IF(ISNA(VLOOKUP(E373,#REF!,1,FALSE())),"?TYPE_IDENTIFIABLE","?REFERENTIAL"),"_")))))</f>
        <v/>
      </c>
      <c r="H373" s="24" t="str">
        <f t="shared" ca="1" si="25"/>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133</v>
      </c>
      <c r="E374" s="21" t="str">
        <f t="shared" si="24"/>
        <v/>
      </c>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t="shared" ca="1" si="25"/>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row>
    <row r="375" spans="1:12" x14ac:dyDescent="0.3">
      <c r="A375" t="s">
        <v>134</v>
      </c>
      <c r="E375" s="21" t="str">
        <f t="shared" si="24"/>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ca="1" si="25"/>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135</v>
      </c>
      <c r="B376" s="20" t="s">
        <v>123</v>
      </c>
      <c r="C376" s="20" t="s">
        <v>104</v>
      </c>
      <c r="D376" s="20" t="s">
        <v>102</v>
      </c>
      <c r="E376" s="21" t="s">
        <v>424</v>
      </c>
      <c r="F376" s="22" t="str">
        <f>IF(OR(E376="",E376="!!!"),"",IF(NOT(ISNA(VLOOKUP(E376,E$1:E375,1,FALSE()))),"OLD",IF(AND(E376&lt;&gt;"",E376&lt;&gt;"!!!"),"NEW","")))</f>
        <v>OLD</v>
      </c>
      <c r="G376" s="23" t="s">
        <v>447</v>
      </c>
      <c r="H376" s="24" t="str">
        <f t="shared" ca="1" si="25"/>
        <v/>
      </c>
      <c r="I376" s="25" t="str">
        <f>IF(OR(E376="",E376="!!!",F376="NEW"),"",INDEX(B$2:B375,-1+SUMPRODUCT(MAX(ROW(E$2:E375)*(E376=E$2:E375)))))</f>
        <v>other_2</v>
      </c>
      <c r="J376" s="25">
        <f ca="1">IF(OR(E376="",E376="!!!",F376="NEW"),"",COUNTBLANK(OFFSET(A$1,,,SUMPRODUCT(MAX(ROW(E$2:E376)*(E376=E$2:E376)))))-COUNTBLANK(OFFSET(A$1,,,SUMPRODUCT(MAX(ROW(E$1:E375)*(E2=E$1:E375))))))</f>
        <v>0</v>
      </c>
      <c r="K376" s="25">
        <f ca="1">IF(OR(E376="",E376="!!!",F376="NEW"),"",INDEX(J$1:J375,SUMPRODUCT(MAX(ROW(E$1:E375)*(E376=E$1:E375)))))</f>
        <v>0</v>
      </c>
      <c r="L376" s="26"/>
    </row>
    <row r="377" spans="1:12" x14ac:dyDescent="0.3">
      <c r="A377" t="s">
        <v>136</v>
      </c>
      <c r="E377" s="21" t="str">
        <f t="shared" si="24"/>
        <v/>
      </c>
      <c r="F377" s="22" t="str">
        <f>IF(OR(E377="",E377="!!!"),"",IF(NOT(ISNA(VLOOKUP(E377,E$1:E376,1,FALSE()))),"OLD",IF(AND(E377&lt;&gt;"",E377&lt;&gt;"!!!"),"NEW","")))</f>
        <v/>
      </c>
      <c r="G377" s="23" t="str">
        <f>IF(OR(E377="",E377="!!!"),"",IF(OR(J377=0,AND(J377=1,K377=1),AND(J377=1,I377="SBJ"),AND(J377=1,I377=0)),"?IN_FOCUS",IF(J377&lt;=2,"?ACTIVATED",IF(J377&lt;&gt;"","?FAMILIAR",IF(F377="NEW",IF(ISNA(VLOOKUP(E377,#REF!,1,FALSE())),"?TYPE_IDENTIFIABLE","?REFERENTIAL"),"_")))))</f>
        <v/>
      </c>
      <c r="H377" s="24" t="str">
        <f t="shared" ca="1" si="25"/>
        <v/>
      </c>
      <c r="I377" s="25" t="str">
        <f>IF(OR(E377="",E377="!!!",F377="NEW"),"",INDEX(B$2:B376,-1+SUMPRODUCT(MAX(ROW(E$2:E376)*(E377=E$2:E376)))))</f>
        <v/>
      </c>
      <c r="J377" s="25" t="str">
        <f ca="1">IF(OR(E377="",E377="!!!",F377="NEW"),"",COUNTBLANK(OFFSET(A$1,,,SUMPRODUCT(MAX(ROW(E$2:E377)*(E377=E$2:E377)))))-COUNTBLANK(OFFSET(A$1,,,SUMPRODUCT(MAX(ROW(E$1:E376)*(E2=E$1:E376))))))</f>
        <v/>
      </c>
      <c r="K377" s="25" t="str">
        <f>IF(OR(E377="",E377="!!!",F377="NEW"),"",INDEX(J$1:J376,SUMPRODUCT(MAX(ROW(E$1:E376)*(E377=E$1:E376)))))</f>
        <v/>
      </c>
      <c r="L377" s="26"/>
    </row>
    <row r="378" spans="1:12" x14ac:dyDescent="0.3">
      <c r="A378" t="s">
        <v>137</v>
      </c>
      <c r="E378" s="21" t="str">
        <f t="shared" si="24"/>
        <v/>
      </c>
      <c r="F378" s="22" t="str">
        <f>IF(OR(E378="",E378="!!!"),"",IF(NOT(ISNA(VLOOKUP(E378,E$1:E377,1,FALSE()))),"OLD",IF(AND(E378&lt;&gt;"",E378&lt;&gt;"!!!"),"NEW","")))</f>
        <v/>
      </c>
      <c r="G378" s="23" t="str">
        <f>IF(OR(E378="",E378="!!!"),"",IF(OR(J378=0,AND(J378=1,K378=1),AND(J378=1,I378="SBJ"),AND(J378=1,I378=0)),"?IN_FOCUS",IF(J378&lt;=2,"?ACTIVATED",IF(J378&lt;&gt;"","?FAMILIAR",IF(F378="NEW",IF(ISNA(VLOOKUP(E378,#REF!,1,FALSE())),"?TYPE_IDENTIFIABLE","?REFERENTIAL"),"_")))))</f>
        <v/>
      </c>
      <c r="H378" s="24" t="str">
        <f t="shared" ca="1" si="25"/>
        <v/>
      </c>
      <c r="I378" s="25" t="str">
        <f>IF(OR(E378="",E378="!!!",F378="NEW"),"",INDEX(B$2:B377,-1+SUMPRODUCT(MAX(ROW(E$2:E377)*(E378=E$2:E377)))))</f>
        <v/>
      </c>
      <c r="J378" s="25" t="str">
        <f ca="1">IF(OR(E378="",E378="!!!",F378="NEW"),"",COUNTBLANK(OFFSET(A$1,,,SUMPRODUCT(MAX(ROW(E$2:E378)*(E378=E$2:E378)))))-COUNTBLANK(OFFSET(A$1,,,SUMPRODUCT(MAX(ROW(E$1:E377)*(E2=E$1:E377))))))</f>
        <v/>
      </c>
      <c r="K378" s="25" t="str">
        <f>IF(OR(E378="",E378="!!!",F378="NEW"),"",INDEX(J$1:J377,SUMPRODUCT(MAX(ROW(E$1:E377)*(E378=E$1:E377)))))</f>
        <v/>
      </c>
      <c r="L378" s="26"/>
    </row>
    <row r="379" spans="1:12" x14ac:dyDescent="0.3">
      <c r="A379" t="s">
        <v>138</v>
      </c>
      <c r="E379" s="21" t="str">
        <f t="shared" si="24"/>
        <v/>
      </c>
      <c r="F379" s="22" t="str">
        <f>IF(OR(E379="",E379="!!!"),"",IF(NOT(ISNA(VLOOKUP(E379,E$1:E378,1,FALSE()))),"OLD",IF(AND(E379&lt;&gt;"",E379&lt;&gt;"!!!"),"NEW","")))</f>
        <v/>
      </c>
      <c r="G379" s="23" t="str">
        <f>IF(OR(E379="",E379="!!!"),"",IF(OR(J379=0,AND(J379=1,K379=1),AND(J379=1,I379="SBJ"),AND(J379=1,I379=0)),"?IN_FOCUS",IF(J379&lt;=2,"?ACTIVATED",IF(J379&lt;&gt;"","?FAMILIAR",IF(F379="NEW",IF(ISNA(VLOOKUP(E379,#REF!,1,FALSE())),"?TYPE_IDENTIFIABLE","?REFERENTIAL"),"_")))))</f>
        <v/>
      </c>
      <c r="H379" s="24" t="str">
        <f t="shared" ca="1" si="25"/>
        <v/>
      </c>
      <c r="I379" s="25" t="str">
        <f>IF(OR(E379="",E379="!!!",F379="NEW"),"",INDEX(B$2:B378,-1+SUMPRODUCT(MAX(ROW(E$2:E378)*(E379=E$2:E378)))))</f>
        <v/>
      </c>
      <c r="J379" s="25" t="str">
        <f ca="1">IF(OR(E379="",E379="!!!",F379="NEW"),"",COUNTBLANK(OFFSET(A$1,,,SUMPRODUCT(MAX(ROW(E$2:E379)*(E379=E$2:E379)))))-COUNTBLANK(OFFSET(A$1,,,SUMPRODUCT(MAX(ROW(E$1:E378)*(E2=E$1:E378))))))</f>
        <v/>
      </c>
      <c r="K379" s="25" t="str">
        <f>IF(OR(E379="",E379="!!!",F379="NEW"),"",INDEX(J$1:J378,SUMPRODUCT(MAX(ROW(E$1:E378)*(E379=E$1:E378)))))</f>
        <v/>
      </c>
      <c r="L379" s="26"/>
    </row>
    <row r="380" spans="1:12" x14ac:dyDescent="0.3">
      <c r="A380" t="s">
        <v>155</v>
      </c>
      <c r="E380" s="21" t="str">
        <f t="shared" si="24"/>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ca="1" si="25"/>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2" spans="1:12" x14ac:dyDescent="0.3">
      <c r="A382" t="s">
        <v>325</v>
      </c>
    </row>
    <row r="383" spans="1:12" x14ac:dyDescent="0.3">
      <c r="A383" t="s">
        <v>110</v>
      </c>
      <c r="E383" s="21" t="str">
        <f t="shared" ref="E383:E399" si="26">IF(D383="?OLD","!!!","")</f>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ref="H383:H399" ca="1" si="27">IF(J383&lt;&gt;1,"",IF(I383="SBJ","CB","?"))</f>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209</v>
      </c>
      <c r="B384" s="20" t="s">
        <v>91</v>
      </c>
      <c r="C384" s="20" t="s">
        <v>104</v>
      </c>
      <c r="D384" s="20" t="s">
        <v>102</v>
      </c>
      <c r="E384" s="21" t="s">
        <v>424</v>
      </c>
      <c r="F384" s="22" t="str">
        <f>IF(OR(E384="",E384="!!!"),"",IF(NOT(ISNA(VLOOKUP(E384,E$1:E383,1,FALSE()))),"OLD",IF(AND(E384&lt;&gt;"",E384&lt;&gt;"!!!"),"NEW","")))</f>
        <v>OLD</v>
      </c>
      <c r="G384" s="23" t="s">
        <v>449</v>
      </c>
      <c r="H384" s="24" t="s">
        <v>85</v>
      </c>
      <c r="I384" s="25" t="str">
        <f>IF(OR(E384="",E384="!!!",F384="NEW"),"",INDEX(B$2:B383,-1+SUMPRODUCT(MAX(ROW(E$2:E383)*(E384=E$2:E383)))))</f>
        <v>other_4</v>
      </c>
      <c r="J384" s="25">
        <f ca="1">IF(OR(E384="",E384="!!!",F384="NEW"),"",COUNTBLANK(OFFSET(A$1,,,SUMPRODUCT(MAX(ROW(E$2:E384)*(E384=E$2:E384)))))-COUNTBLANK(OFFSET(A$1,,,SUMPRODUCT(MAX(ROW(E$1:E383)*(E2=E$1:E383))))))</f>
        <v>0</v>
      </c>
      <c r="K384" s="25">
        <f ca="1">IF(OR(E384="",E384="!!!",F384="NEW"),"",INDEX(J$1:J383,SUMPRODUCT(MAX(ROW(E$1:E383)*(E384=E$1:E383)))))</f>
        <v>0</v>
      </c>
      <c r="L384" s="26"/>
    </row>
    <row r="385" spans="1:12" x14ac:dyDescent="0.3">
      <c r="A385" t="s">
        <v>326</v>
      </c>
      <c r="E385" s="21" t="str">
        <f t="shared" si="26"/>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27"/>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324</v>
      </c>
      <c r="E386" s="21" t="str">
        <f t="shared" si="26"/>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27"/>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327</v>
      </c>
      <c r="E387" s="21" t="str">
        <f t="shared" si="26"/>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27"/>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8" spans="1:12" x14ac:dyDescent="0.3">
      <c r="A388" t="s">
        <v>58</v>
      </c>
      <c r="B388" s="20" t="s">
        <v>161</v>
      </c>
      <c r="C388" s="20" t="s">
        <v>128</v>
      </c>
      <c r="E388" s="21" t="str">
        <f t="shared" si="26"/>
        <v/>
      </c>
      <c r="F388" s="22" t="str">
        <f>IF(OR(E388="",E388="!!!"),"",IF(NOT(ISNA(VLOOKUP(E388,E$1:E387,1,FALSE()))),"OLD",IF(AND(E388&lt;&gt;"",E388&lt;&gt;"!!!"),"NEW","")))</f>
        <v/>
      </c>
      <c r="G388" s="23" t="str">
        <f>IF(OR(E388="",E388="!!!"),"",IF(OR(J388=0,AND(J388=1,K388=1),AND(J388=1,I388="SBJ"),AND(J388=1,I388=0)),"?IN_FOCUS",IF(J388&lt;=2,"?ACTIVATED",IF(J388&lt;&gt;"","?FAMILIAR",IF(F388="NEW",IF(ISNA(VLOOKUP(E388,#REF!,1,FALSE())),"?TYPE_IDENTIFIABLE","?REFERENTIAL"),"_")))))</f>
        <v/>
      </c>
      <c r="H388" s="24" t="str">
        <f t="shared" ca="1" si="27"/>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row>
    <row r="389" spans="1:12" x14ac:dyDescent="0.3">
      <c r="A389" t="s">
        <v>184</v>
      </c>
      <c r="E389" s="21" t="str">
        <f t="shared" si="26"/>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27"/>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118</v>
      </c>
      <c r="E390" s="21" t="str">
        <f t="shared" si="26"/>
        <v/>
      </c>
      <c r="F390" s="22" t="str">
        <f>IF(OR(E390="",E390="!!!"),"",IF(NOT(ISNA(VLOOKUP(E390,E$1:E389,1,FALSE()))),"OLD",IF(AND(E390&lt;&gt;"",E390&lt;&gt;"!!!"),"NEW","")))</f>
        <v/>
      </c>
      <c r="G390" s="23" t="str">
        <f>IF(OR(E390="",E390="!!!"),"",IF(OR(J390=0,AND(J390=1,K390=1),AND(J390=1,I390="SBJ"),AND(J390=1,I390=0)),"?IN_FOCUS",IF(J390&lt;=2,"?ACTIVATED",IF(J390&lt;&gt;"","?FAMILIAR",IF(F390="NEW",IF(ISNA(VLOOKUP(E390,#REF!,1,FALSE())),"?TYPE_IDENTIFIABLE","?REFERENTIAL"),"_")))))</f>
        <v/>
      </c>
      <c r="H390" s="24" t="str">
        <f t="shared" ca="1" si="27"/>
        <v/>
      </c>
      <c r="I390" s="25" t="str">
        <f>IF(OR(E390="",E390="!!!",F390="NEW"),"",INDEX(B$2:B389,-1+SUMPRODUCT(MAX(ROW(E$2:E389)*(E390=E$2:E389)))))</f>
        <v/>
      </c>
      <c r="J390" s="25" t="str">
        <f ca="1">IF(OR(E390="",E390="!!!",F390="NEW"),"",COUNTBLANK(OFFSET(A$1,,,SUMPRODUCT(MAX(ROW(E$2:E390)*(E390=E$2:E390)))))-COUNTBLANK(OFFSET(A$1,,,SUMPRODUCT(MAX(ROW(E$1:E389)*(E2=E$1:E389))))))</f>
        <v/>
      </c>
      <c r="K390" s="25" t="str">
        <f>IF(OR(E390="",E390="!!!",F390="NEW"),"",INDEX(J$1:J389,SUMPRODUCT(MAX(ROW(E$1:E389)*(E390=E$1:E389)))))</f>
        <v/>
      </c>
      <c r="L390" s="26"/>
    </row>
    <row r="391" spans="1:12" x14ac:dyDescent="0.3">
      <c r="A391" t="s">
        <v>328</v>
      </c>
      <c r="E391" s="21" t="str">
        <f t="shared" si="26"/>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27"/>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90</v>
      </c>
      <c r="B392" s="20" t="s">
        <v>161</v>
      </c>
      <c r="C392" s="20" t="s">
        <v>145</v>
      </c>
      <c r="D392" s="20" t="s">
        <v>102</v>
      </c>
      <c r="E392" s="21" t="s">
        <v>408</v>
      </c>
      <c r="F392" s="22" t="str">
        <f>IF(OR(E392="",E392="!!!"),"",IF(NOT(ISNA(VLOOKUP(E392,E$1:E391,1,FALSE()))),"OLD",IF(AND(E392&lt;&gt;"",E392&lt;&gt;"!!!"),"NEW","")))</f>
        <v>OLD</v>
      </c>
      <c r="G392" s="23" t="s">
        <v>447</v>
      </c>
      <c r="H392" s="24" t="str">
        <f t="shared" ca="1" si="27"/>
        <v/>
      </c>
      <c r="I392" s="25" t="str">
        <f>IF(OR(E392="",E392="!!!",F392="NEW"),"",INDEX(B$2:B391,-1+SUMPRODUCT(MAX(ROW(E$2:E391)*(E392=E$2:E391)))))</f>
        <v>SBJ_2</v>
      </c>
      <c r="J392" s="25">
        <f ca="1">IF(OR(E392="",E392="!!!",F392="NEW"),"",COUNTBLANK(OFFSET(A$1,,,SUMPRODUCT(MAX(ROW(E$2:E392)*(E392=E$2:E392)))))-COUNTBLANK(OFFSET(A$1,,,SUMPRODUCT(MAX(ROW(E$1:E391)*(E2=E$1:E391))))))</f>
        <v>0</v>
      </c>
      <c r="K392" s="25">
        <f ca="1">IF(OR(E392="",E392="!!!",F392="NEW"),"",INDEX(J$1:J391,SUMPRODUCT(MAX(ROW(E$1:E391)*(E392=E$1:E391)))))</f>
        <v>0</v>
      </c>
      <c r="L392" s="26"/>
    </row>
    <row r="393" spans="1:12" x14ac:dyDescent="0.3">
      <c r="A393" t="s">
        <v>97</v>
      </c>
      <c r="E393" s="21" t="str">
        <f t="shared" si="26"/>
        <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27"/>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4" spans="1:12" x14ac:dyDescent="0.3">
      <c r="A394" t="s">
        <v>118</v>
      </c>
      <c r="B394" s="20" t="s">
        <v>144</v>
      </c>
      <c r="E394" s="21" t="str">
        <f t="shared" si="26"/>
        <v/>
      </c>
      <c r="F394" s="22" t="str">
        <f>IF(OR(E394="",E394="!!!"),"",IF(NOT(ISNA(VLOOKUP(E394,E$1:E393,1,FALSE()))),"OLD",IF(AND(E394&lt;&gt;"",E394&lt;&gt;"!!!"),"NEW","")))</f>
        <v/>
      </c>
      <c r="G394" s="23" t="str">
        <f>IF(OR(E394="",E394="!!!"),"",IF(OR(J394=0,AND(J394=1,K394=1),AND(J394=1,I394="SBJ"),AND(J394=1,I394=0)),"?IN_FOCUS",IF(J394&lt;=2,"?ACTIVATED",IF(J394&lt;&gt;"","?FAMILIAR",IF(F394="NEW",IF(ISNA(VLOOKUP(E394,#REF!,1,FALSE())),"?TYPE_IDENTIFIABLE","?REFERENTIAL"),"_")))))</f>
        <v/>
      </c>
      <c r="H394" s="24" t="str">
        <f t="shared" ca="1" si="27"/>
        <v/>
      </c>
      <c r="I394" s="25" t="str">
        <f>IF(OR(E394="",E394="!!!",F394="NEW"),"",INDEX(B$2:B393,-1+SUMPRODUCT(MAX(ROW(E$2:E393)*(E394=E$2:E393)))))</f>
        <v/>
      </c>
      <c r="J394" s="25" t="str">
        <f ca="1">IF(OR(E394="",E394="!!!",F394="NEW"),"",COUNTBLANK(OFFSET(A$1,,,SUMPRODUCT(MAX(ROW(E$2:E394)*(E394=E$2:E394)))))-COUNTBLANK(OFFSET(A$1,,,SUMPRODUCT(MAX(ROW(E$1:E393)*(E2=E$1:E393))))))</f>
        <v/>
      </c>
      <c r="K394" s="25" t="str">
        <f>IF(OR(E394="",E394="!!!",F394="NEW"),"",INDEX(J$1:J393,SUMPRODUCT(MAX(ROW(E$1:E393)*(E394=E$1:E393)))))</f>
        <v/>
      </c>
      <c r="L394" s="26"/>
    </row>
    <row r="395" spans="1:12" x14ac:dyDescent="0.3">
      <c r="A395" t="s">
        <v>159</v>
      </c>
      <c r="E395" s="21" t="str">
        <f t="shared" si="26"/>
        <v/>
      </c>
      <c r="F395" s="22" t="str">
        <f>IF(OR(E395="",E395="!!!"),"",IF(NOT(ISNA(VLOOKUP(E395,E$1:E394,1,FALSE()))),"OLD",IF(AND(E395&lt;&gt;"",E395&lt;&gt;"!!!"),"NEW","")))</f>
        <v/>
      </c>
      <c r="G395" s="23" t="str">
        <f>IF(OR(E395="",E395="!!!"),"",IF(OR(J395=0,AND(J395=1,K395=1),AND(J395=1,I395="SBJ"),AND(J395=1,I395=0)),"?IN_FOCUS",IF(J395&lt;=2,"?ACTIVATED",IF(J395&lt;&gt;"","?FAMILIAR",IF(F395="NEW",IF(ISNA(VLOOKUP(E395,#REF!,1,FALSE())),"?TYPE_IDENTIFIABLE","?REFERENTIAL"),"_")))))</f>
        <v/>
      </c>
      <c r="H395" s="24" t="str">
        <f t="shared" ca="1" si="27"/>
        <v/>
      </c>
      <c r="I395" s="25" t="str">
        <f>IF(OR(E395="",E395="!!!",F395="NEW"),"",INDEX(B$2:B394,-1+SUMPRODUCT(MAX(ROW(E$2:E394)*(E395=E$2:E394)))))</f>
        <v/>
      </c>
      <c r="J395" s="25" t="str">
        <f ca="1">IF(OR(E395="",E395="!!!",F395="NEW"),"",COUNTBLANK(OFFSET(A$1,,,SUMPRODUCT(MAX(ROW(E$2:E395)*(E395=E$2:E395)))))-COUNTBLANK(OFFSET(A$1,,,SUMPRODUCT(MAX(ROW(E$1:E394)*(E2=E$1:E394))))))</f>
        <v/>
      </c>
      <c r="K395" s="25" t="str">
        <f>IF(OR(E395="",E395="!!!",F395="NEW"),"",INDEX(J$1:J394,SUMPRODUCT(MAX(ROW(E$1:E394)*(E395=E$1:E394)))))</f>
        <v/>
      </c>
      <c r="L395" s="26"/>
    </row>
    <row r="396" spans="1:12" x14ac:dyDescent="0.3">
      <c r="A396" t="s">
        <v>166</v>
      </c>
      <c r="B396" s="20" t="s">
        <v>174</v>
      </c>
      <c r="C396" s="20" t="s">
        <v>112</v>
      </c>
      <c r="D396" s="20" t="s">
        <v>102</v>
      </c>
      <c r="E396" s="21" t="s">
        <v>412</v>
      </c>
      <c r="F396" s="22" t="str">
        <f>IF(OR(E396="",E396="!!!"),"",IF(NOT(ISNA(VLOOKUP(E396,E$1:E395,1,FALSE()))),"OLD",IF(AND(E396&lt;&gt;"",E396&lt;&gt;"!!!"),"NEW","")))</f>
        <v>OLD</v>
      </c>
      <c r="G396" s="23" t="s">
        <v>449</v>
      </c>
      <c r="H396" s="24" t="str">
        <f t="shared" ca="1" si="27"/>
        <v/>
      </c>
      <c r="I396" s="25" t="str">
        <f>IF(OR(E396="",E396="!!!",F396="NEW"),"",INDEX(B$2:B395,-1+SUMPRODUCT(MAX(ROW(E$2:E395)*(E396=E$2:E395)))))</f>
        <v>other_4</v>
      </c>
      <c r="J396" s="25">
        <f ca="1">IF(OR(E396="",E396="!!!",F396="NEW"),"",COUNTBLANK(OFFSET(A$1,,,SUMPRODUCT(MAX(ROW(E$2:E396)*(E396=E$2:E396)))))-COUNTBLANK(OFFSET(A$1,,,SUMPRODUCT(MAX(ROW(E$1:E395)*(E2=E$1:E395))))))</f>
        <v>0</v>
      </c>
      <c r="K396" s="25">
        <f ca="1">IF(OR(E396="",E396="!!!",F396="NEW"),"",INDEX(J$1:J395,SUMPRODUCT(MAX(ROW(E$1:E395)*(E396=E$1:E395)))))</f>
        <v>0</v>
      </c>
      <c r="L396" s="26"/>
    </row>
    <row r="397" spans="1:12" x14ac:dyDescent="0.3">
      <c r="A397" t="s">
        <v>329</v>
      </c>
      <c r="E397" s="21" t="str">
        <f t="shared" si="26"/>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ca="1" si="27"/>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250</v>
      </c>
      <c r="E398" s="21" t="str">
        <f t="shared" si="26"/>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27"/>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155</v>
      </c>
      <c r="E399" s="21" t="str">
        <f t="shared" si="26"/>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27"/>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1" spans="1:12" x14ac:dyDescent="0.3">
      <c r="A401" t="s">
        <v>330</v>
      </c>
    </row>
    <row r="402" spans="1:12" x14ac:dyDescent="0.3">
      <c r="A402" t="s">
        <v>331</v>
      </c>
      <c r="B402" s="20" t="s">
        <v>91</v>
      </c>
      <c r="C402" s="20" t="s">
        <v>104</v>
      </c>
      <c r="D402" s="20" t="s">
        <v>102</v>
      </c>
      <c r="E402" s="21" t="s">
        <v>418</v>
      </c>
      <c r="F402" s="22" t="str">
        <f>IF(OR(E402="",E402="!!!"),"",IF(NOT(ISNA(VLOOKUP(E402,E$1:E401,1,FALSE()))),"OLD",IF(AND(E402&lt;&gt;"",E402&lt;&gt;"!!!"),"NEW","")))</f>
        <v>NEW</v>
      </c>
      <c r="G402" s="23" t="s">
        <v>448</v>
      </c>
      <c r="H402" s="24" t="str">
        <f t="shared" ref="H402:H420" ca="1" si="28">IF(J402&lt;&gt;1,"",IF(I402="SBJ","CB","?"))</f>
        <v/>
      </c>
      <c r="I402" s="25" t="str">
        <f>IF(OR(E402="",E402="!!!",F402="NEW"),"",INDEX(B$2:B401,-1+SUMPRODUCT(MAX(ROW(E$2:E401)*(E402=E$2:E401)))))</f>
        <v/>
      </c>
      <c r="J402" s="25" t="str">
        <f ca="1">IF(OR(E402="",E402="!!!",F402="NEW"),"",COUNTBLANK(OFFSET(A$1,,,SUMPRODUCT(MAX(ROW(E$2:E402)*(E402=E$2:E402)))))-COUNTBLANK(OFFSET(A$1,,,SUMPRODUCT(MAX(ROW(E$1:E401)*(E2=E$1:E401))))))</f>
        <v/>
      </c>
      <c r="K402" s="25" t="str">
        <f>IF(OR(E402="",E402="!!!",F402="NEW"),"",INDEX(J$1:J401,SUMPRODUCT(MAX(ROW(E$1:E401)*(E402=E$1:E401)))))</f>
        <v/>
      </c>
      <c r="L402" s="26"/>
    </row>
    <row r="403" spans="1:12" x14ac:dyDescent="0.3">
      <c r="A403" t="s">
        <v>332</v>
      </c>
      <c r="E403" s="21" t="str">
        <f t="shared" ref="E403:E420" si="29">IF(D403="?OLD","!!!","")</f>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28"/>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97</v>
      </c>
      <c r="E404" s="21" t="str">
        <f t="shared" si="29"/>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28"/>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333</v>
      </c>
      <c r="B405" s="20" t="s">
        <v>195</v>
      </c>
      <c r="C405" s="20" t="s">
        <v>92</v>
      </c>
      <c r="E405" s="21" t="str">
        <f t="shared" si="29"/>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28"/>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132</v>
      </c>
      <c r="E406" s="21" t="str">
        <f t="shared" si="29"/>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28"/>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172</v>
      </c>
      <c r="E407" s="21" t="s">
        <v>414</v>
      </c>
      <c r="F407" s="22" t="str">
        <f>IF(OR(E407="",E407="!!!"),"",IF(NOT(ISNA(VLOOKUP(E407,E$1:E406,1,FALSE()))),"OLD",IF(AND(E407&lt;&gt;"",E407&lt;&gt;"!!!"),"NEW","")))</f>
        <v>OLD</v>
      </c>
      <c r="G407" s="23" t="s">
        <v>447</v>
      </c>
      <c r="H407" s="24" t="str">
        <f t="shared" ca="1" si="28"/>
        <v/>
      </c>
      <c r="I407" s="25" t="str">
        <f>IF(OR(E407="",E407="!!!",F407="NEW"),"",INDEX(B$2:B406,-1+SUMPRODUCT(MAX(ROW(E$2:E406)*(E407=E$2:E406)))))</f>
        <v>SBJ_3</v>
      </c>
      <c r="J407" s="25">
        <f ca="1">IF(OR(E407="",E407="!!!",F407="NEW"),"",COUNTBLANK(OFFSET(A$1,,,SUMPRODUCT(MAX(ROW(E$2:E407)*(E407=E$2:E407)))))-COUNTBLANK(OFFSET(A$1,,,SUMPRODUCT(MAX(ROW(E$1:E406)*(E2=E$1:E406))))))</f>
        <v>0</v>
      </c>
      <c r="K407" s="25" t="str">
        <f ca="1">IF(OR(E407="",E407="!!!",F407="NEW"),"",INDEX(J$1:J406,SUMPRODUCT(MAX(ROW(E$1:E406)*(E407=E$1:E406)))))</f>
        <v/>
      </c>
      <c r="L407" s="26"/>
    </row>
    <row r="408" spans="1:12" x14ac:dyDescent="0.3">
      <c r="A408" t="s">
        <v>185</v>
      </c>
      <c r="B408" s="20" t="s">
        <v>120</v>
      </c>
      <c r="C408" s="20" t="s">
        <v>112</v>
      </c>
      <c r="D408" s="20" t="s">
        <v>102</v>
      </c>
      <c r="E408" s="21"/>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28"/>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97</v>
      </c>
      <c r="E409" s="21" t="str">
        <f t="shared" si="29"/>
        <v/>
      </c>
      <c r="F409" s="22" t="str">
        <f>IF(OR(E409="",E409="!!!"),"",IF(NOT(ISNA(VLOOKUP(E409,E$1:E408,1,FALSE()))),"OLD",IF(AND(E409&lt;&gt;"",E409&lt;&gt;"!!!"),"NEW","")))</f>
        <v/>
      </c>
      <c r="G409" s="23" t="str">
        <f>IF(OR(E409="",E409="!!!"),"",IF(OR(J409=0,AND(J409=1,K409=1),AND(J409=1,I409="SBJ"),AND(J409=1,I409=0)),"?IN_FOCUS",IF(J409&lt;=2,"?ACTIVATED",IF(J409&lt;&gt;"","?FAMILIAR",IF(F409="NEW",IF(ISNA(VLOOKUP(E409,#REF!,1,FALSE())),"?TYPE_IDENTIFIABLE","?REFERENTIAL"),"_")))))</f>
        <v/>
      </c>
      <c r="H409" s="24" t="str">
        <f t="shared" ca="1" si="28"/>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334</v>
      </c>
      <c r="E410" s="21" t="str">
        <f t="shared" si="29"/>
        <v/>
      </c>
      <c r="F410" s="22" t="str">
        <f>IF(OR(E410="",E410="!!!"),"",IF(NOT(ISNA(VLOOKUP(E410,E$1:E409,1,FALSE()))),"OLD",IF(AND(E410&lt;&gt;"",E410&lt;&gt;"!!!"),"NEW","")))</f>
        <v/>
      </c>
      <c r="G410" s="23" t="str">
        <f>IF(OR(E410="",E410="!!!"),"",IF(OR(J410=0,AND(J410=1,K410=1),AND(J410=1,I410="SBJ"),AND(J410=1,I410=0)),"?IN_FOCUS",IF(J410&lt;=2,"?ACTIVATED",IF(J410&lt;&gt;"","?FAMILIAR",IF(F410="NEW",IF(ISNA(VLOOKUP(E410,#REF!,1,FALSE())),"?TYPE_IDENTIFIABLE","?REFERENTIAL"),"_")))))</f>
        <v/>
      </c>
      <c r="H410" s="24" t="str">
        <f t="shared" ca="1" si="28"/>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118</v>
      </c>
      <c r="E411" s="21" t="str">
        <f t="shared" si="29"/>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28"/>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90</v>
      </c>
      <c r="B412" s="20" t="s">
        <v>96</v>
      </c>
      <c r="C412" s="20" t="s">
        <v>112</v>
      </c>
      <c r="D412" s="20" t="s">
        <v>102</v>
      </c>
      <c r="E412" s="21" t="s">
        <v>419</v>
      </c>
      <c r="F412" s="22" t="str">
        <f>IF(OR(E412="",E412="!!!"),"",IF(NOT(ISNA(VLOOKUP(E412,E$1:E411,1,FALSE()))),"OLD",IF(AND(E412&lt;&gt;"",E412&lt;&gt;"!!!"),"NEW","")))</f>
        <v>OLD</v>
      </c>
      <c r="G412" s="23" t="s">
        <v>447</v>
      </c>
      <c r="H412" s="24" t="str">
        <f t="shared" ca="1" si="28"/>
        <v/>
      </c>
      <c r="I412" s="25" t="str">
        <f>IF(OR(E412="",E412="!!!",F412="NEW"),"",INDEX(B$2:B411,-1+SUMPRODUCT(MAX(ROW(E$2:E411)*(E412=E$2:E411)))))</f>
        <v>SBJ_2</v>
      </c>
      <c r="J412" s="25">
        <f ca="1">IF(OR(E412="",E412="!!!",F412="NEW"),"",COUNTBLANK(OFFSET(A$1,,,SUMPRODUCT(MAX(ROW(E$2:E412)*(E412=E$2:E412)))))-COUNTBLANK(OFFSET(A$1,,,SUMPRODUCT(MAX(ROW(E$1:E411)*(E2=E$1:E411))))))</f>
        <v>0</v>
      </c>
      <c r="K412" s="25">
        <f ca="1">IF(OR(E412="",E412="!!!",F412="NEW"),"",INDEX(J$1:J411,SUMPRODUCT(MAX(ROW(E$1:E411)*(E412=E$1:E411)))))</f>
        <v>0</v>
      </c>
      <c r="L412" s="26"/>
    </row>
    <row r="413" spans="1:12" x14ac:dyDescent="0.3">
      <c r="A413" t="s">
        <v>335</v>
      </c>
      <c r="E413" s="21" t="str">
        <f t="shared" si="29"/>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28"/>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262</v>
      </c>
      <c r="E414" s="21" t="str">
        <f t="shared" si="29"/>
        <v/>
      </c>
      <c r="F414" s="22" t="str">
        <f>IF(OR(E414="",E414="!!!"),"",IF(NOT(ISNA(VLOOKUP(E414,E$1:E413,1,FALSE()))),"OLD",IF(AND(E414&lt;&gt;"",E414&lt;&gt;"!!!"),"NEW","")))</f>
        <v/>
      </c>
      <c r="G414" s="23" t="str">
        <f>IF(OR(E414="",E414="!!!"),"",IF(OR(J414=0,AND(J414=1,K414=1),AND(J414=1,I414="SBJ"),AND(J414=1,I414=0)),"?IN_FOCUS",IF(J414&lt;=2,"?ACTIVATED",IF(J414&lt;&gt;"","?FAMILIAR",IF(F414="NEW",IF(ISNA(VLOOKUP(E414,#REF!,1,FALSE())),"?TYPE_IDENTIFIABLE","?REFERENTIAL"),"_")))))</f>
        <v/>
      </c>
      <c r="H414" s="24" t="str">
        <f t="shared" ca="1" si="28"/>
        <v/>
      </c>
      <c r="I414" s="25" t="str">
        <f>IF(OR(E414="",E414="!!!",F414="NEW"),"",INDEX(B$2:B413,-1+SUMPRODUCT(MAX(ROW(E$2:E413)*(E414=E$2:E413)))))</f>
        <v/>
      </c>
      <c r="J414" s="25" t="str">
        <f ca="1">IF(OR(E414="",E414="!!!",F414="NEW"),"",COUNTBLANK(OFFSET(A$1,,,SUMPRODUCT(MAX(ROW(E$2:E414)*(E414=E$2:E414)))))-COUNTBLANK(OFFSET(A$1,,,SUMPRODUCT(MAX(ROW(E$1:E413)*(E2=E$1:E413))))))</f>
        <v/>
      </c>
      <c r="K414" s="25" t="str">
        <f>IF(OR(E414="",E414="!!!",F414="NEW"),"",INDEX(J$1:J413,SUMPRODUCT(MAX(ROW(E$1:E413)*(E414=E$1:E413)))))</f>
        <v/>
      </c>
      <c r="L414" s="26"/>
    </row>
    <row r="415" spans="1:12" x14ac:dyDescent="0.3">
      <c r="A415" t="s">
        <v>97</v>
      </c>
      <c r="E415" s="21" t="str">
        <f t="shared" si="29"/>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ca="1" si="28"/>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115</v>
      </c>
      <c r="E416" s="21" t="str">
        <f t="shared" si="29"/>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28"/>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305</v>
      </c>
      <c r="B417" s="20" t="s">
        <v>107</v>
      </c>
      <c r="C417" s="20" t="s">
        <v>112</v>
      </c>
      <c r="D417" s="20" t="s">
        <v>102</v>
      </c>
      <c r="E417" s="21" t="s">
        <v>429</v>
      </c>
      <c r="F417" s="22" t="str">
        <f>IF(OR(E417="",E417="!!!"),"",IF(NOT(ISNA(VLOOKUP(E417,E$1:E416,1,FALSE()))),"OLD",IF(AND(E417&lt;&gt;"",E417&lt;&gt;"!!!"),"NEW","")))</f>
        <v>NEW</v>
      </c>
      <c r="G417" s="23" t="s">
        <v>447</v>
      </c>
      <c r="H417" s="24" t="str">
        <f t="shared" ca="1" si="28"/>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137</v>
      </c>
      <c r="E418" s="21" t="str">
        <f t="shared" si="29"/>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28"/>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19" spans="1:12" x14ac:dyDescent="0.3">
      <c r="A419" t="s">
        <v>136</v>
      </c>
      <c r="E419" s="21" t="str">
        <f t="shared" si="29"/>
        <v/>
      </c>
      <c r="F419" s="22" t="str">
        <f>IF(OR(E419="",E419="!!!"),"",IF(NOT(ISNA(VLOOKUP(E419,E$1:E418,1,FALSE()))),"OLD",IF(AND(E419&lt;&gt;"",E419&lt;&gt;"!!!"),"NEW","")))</f>
        <v/>
      </c>
      <c r="G419" s="23" t="str">
        <f>IF(OR(E419="",E419="!!!"),"",IF(OR(J419=0,AND(J419=1,K419=1),AND(J419=1,I419="SBJ"),AND(J419=1,I419=0)),"?IN_FOCUS",IF(J419&lt;=2,"?ACTIVATED",IF(J419&lt;&gt;"","?FAMILIAR",IF(F419="NEW",IF(ISNA(VLOOKUP(E419,#REF!,1,FALSE())),"?TYPE_IDENTIFIABLE","?REFERENTIAL"),"_")))))</f>
        <v/>
      </c>
      <c r="H419" s="24" t="str">
        <f t="shared" ca="1" si="28"/>
        <v/>
      </c>
      <c r="I419" s="25" t="str">
        <f>IF(OR(E419="",E419="!!!",F419="NEW"),"",INDEX(B$2:B418,-1+SUMPRODUCT(MAX(ROW(E$2:E418)*(E419=E$2:E418)))))</f>
        <v/>
      </c>
      <c r="J419" s="25" t="str">
        <f ca="1">IF(OR(E419="",E419="!!!",F419="NEW"),"",COUNTBLANK(OFFSET(A$1,,,SUMPRODUCT(MAX(ROW(E$2:E419)*(E419=E$2:E419)))))-COUNTBLANK(OFFSET(A$1,,,SUMPRODUCT(MAX(ROW(E$1:E418)*(E2=E$1:E418))))))</f>
        <v/>
      </c>
      <c r="K419" s="25" t="str">
        <f>IF(OR(E419="",E419="!!!",F419="NEW"),"",INDEX(J$1:J418,SUMPRODUCT(MAX(ROW(E$1:E418)*(E419=E$1:E418)))))</f>
        <v/>
      </c>
      <c r="L419" s="26"/>
    </row>
    <row r="420" spans="1:12" x14ac:dyDescent="0.3">
      <c r="A420" t="s">
        <v>155</v>
      </c>
      <c r="E420" s="21" t="str">
        <f t="shared" si="29"/>
        <v/>
      </c>
      <c r="F420" s="22" t="str">
        <f>IF(OR(E420="",E420="!!!"),"",IF(NOT(ISNA(VLOOKUP(E420,E$1:E419,1,FALSE()))),"OLD",IF(AND(E420&lt;&gt;"",E420&lt;&gt;"!!!"),"NEW","")))</f>
        <v/>
      </c>
      <c r="G420" s="23" t="str">
        <f>IF(OR(E420="",E420="!!!"),"",IF(OR(J420=0,AND(J420=1,K420=1),AND(J420=1,I420="SBJ"),AND(J420=1,I420=0)),"?IN_FOCUS",IF(J420&lt;=2,"?ACTIVATED",IF(J420&lt;&gt;"","?FAMILIAR",IF(F420="NEW",IF(ISNA(VLOOKUP(E420,#REF!,1,FALSE())),"?TYPE_IDENTIFIABLE","?REFERENTIAL"),"_")))))</f>
        <v/>
      </c>
      <c r="H420" s="24" t="str">
        <f t="shared" ca="1" si="28"/>
        <v/>
      </c>
      <c r="I420" s="25" t="str">
        <f>IF(OR(E420="",E420="!!!",F420="NEW"),"",INDEX(B$2:B419,-1+SUMPRODUCT(MAX(ROW(E$2:E419)*(E420=E$2:E419)))))</f>
        <v/>
      </c>
      <c r="J420" s="25" t="str">
        <f ca="1">IF(OR(E420="",E420="!!!",F420="NEW"),"",COUNTBLANK(OFFSET(A$1,,,SUMPRODUCT(MAX(ROW(E$2:E420)*(E420=E$2:E420)))))-COUNTBLANK(OFFSET(A$1,,,SUMPRODUCT(MAX(ROW(E$1:E419)*(E2=E$1:E419))))))</f>
        <v/>
      </c>
      <c r="K420" s="25" t="str">
        <f>IF(OR(E420="",E420="!!!",F420="NEW"),"",INDEX(J$1:J419,SUMPRODUCT(MAX(ROW(E$1:E419)*(E420=E$1:E419)))))</f>
        <v/>
      </c>
      <c r="L420" s="26"/>
    </row>
    <row r="422" spans="1:12" x14ac:dyDescent="0.3">
      <c r="A422" t="s">
        <v>156</v>
      </c>
      <c r="E422" s="21" t="str">
        <f>IF(D422="?OLD","!!!","")</f>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ca="1">IF(J422&lt;&gt;1,"",IF(I422="SBJ","CB","?"))</f>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336</v>
      </c>
    </row>
    <row r="424" spans="1:12" x14ac:dyDescent="0.3">
      <c r="A424" t="s">
        <v>332</v>
      </c>
      <c r="B424" s="20" t="s">
        <v>91</v>
      </c>
      <c r="C424" s="20" t="s">
        <v>104</v>
      </c>
      <c r="D424" s="20" t="s">
        <v>102</v>
      </c>
      <c r="E424" s="21" t="s">
        <v>418</v>
      </c>
      <c r="F424" s="22" t="str">
        <f>IF(OR(E424="",E424="!!!"),"",IF(NOT(ISNA(VLOOKUP(E424,E$1:E423,1,FALSE()))),"OLD",IF(AND(E424&lt;&gt;"",E424&lt;&gt;"!!!"),"NEW","")))</f>
        <v>OLD</v>
      </c>
      <c r="G424" s="23" t="s">
        <v>446</v>
      </c>
      <c r="H424" s="24" t="s">
        <v>85</v>
      </c>
      <c r="I424" s="25" t="str">
        <f>IF(OR(E424="",E424="!!!",F424="NEW"),"",INDEX(B$2:B423,-1+SUMPRODUCT(MAX(ROW(E$2:E423)*(E424=E$2:E423)))))</f>
        <v>SBJ</v>
      </c>
      <c r="J424" s="25">
        <f ca="1">IF(OR(E424="",E424="!!!",F424="NEW"),"",COUNTBLANK(OFFSET(A$1,,,SUMPRODUCT(MAX(ROW(E$2:E424)*(E424=E$2:E424)))))-COUNTBLANK(OFFSET(A$1,,,SUMPRODUCT(MAX(ROW(E$1:E423)*(E2=E$1:E423))))))</f>
        <v>0</v>
      </c>
      <c r="K424" s="25" t="str">
        <f ca="1">IF(OR(E424="",E424="!!!",F424="NEW"),"",INDEX(J$1:J423,SUMPRODUCT(MAX(ROW(E$1:E423)*(E424=E$1:E423)))))</f>
        <v/>
      </c>
      <c r="L424" s="26"/>
    </row>
    <row r="425" spans="1:12" x14ac:dyDescent="0.3">
      <c r="A425" t="s">
        <v>170</v>
      </c>
      <c r="E425" s="21" t="str">
        <f t="shared" ref="E425:E458" si="30">IF(D425="?OLD","!!!","")</f>
        <v/>
      </c>
      <c r="F425" s="22" t="str">
        <f>IF(OR(E425="",E425="!!!"),"",IF(NOT(ISNA(VLOOKUP(E425,E$1:E424,1,FALSE()))),"OLD",IF(AND(E425&lt;&gt;"",E425&lt;&gt;"!!!"),"NEW","")))</f>
        <v/>
      </c>
      <c r="G425" s="23" t="str">
        <f>IF(OR(E425="",E425="!!!"),"",IF(OR(J425=0,AND(J425=1,K425=1),AND(J425=1,I425="SBJ"),AND(J425=1,I425=0)),"?IN_FOCUS",IF(J425&lt;=2,"?ACTIVATED",IF(J425&lt;&gt;"","?FAMILIAR",IF(F425="NEW",IF(ISNA(VLOOKUP(E425,#REF!,1,FALSE())),"?TYPE_IDENTIFIABLE","?REFERENTIAL"),"_")))))</f>
        <v/>
      </c>
      <c r="H425" s="24" t="str">
        <f t="shared" ref="H425:H458" ca="1" si="31">IF(J425&lt;&gt;1,"",IF(I425="SBJ","CB","?"))</f>
        <v/>
      </c>
      <c r="I425" s="25" t="str">
        <f>IF(OR(E425="",E425="!!!",F425="NEW"),"",INDEX(B$2:B424,-1+SUMPRODUCT(MAX(ROW(E$2:E424)*(E425=E$2:E424)))))</f>
        <v/>
      </c>
      <c r="J425" s="25" t="str">
        <f ca="1">IF(OR(E425="",E425="!!!",F425="NEW"),"",COUNTBLANK(OFFSET(A$1,,,SUMPRODUCT(MAX(ROW(E$2:E425)*(E425=E$2:E425)))))-COUNTBLANK(OFFSET(A$1,,,SUMPRODUCT(MAX(ROW(E$1:E424)*(E2=E$1:E424))))))</f>
        <v/>
      </c>
      <c r="K425" s="25" t="str">
        <f>IF(OR(E425="",E425="!!!",F425="NEW"),"",INDEX(J$1:J424,SUMPRODUCT(MAX(ROW(E$1:E424)*(E425=E$1:E424)))))</f>
        <v/>
      </c>
      <c r="L425" s="26"/>
    </row>
    <row r="426" spans="1:12" x14ac:dyDescent="0.3">
      <c r="A426" t="s">
        <v>214</v>
      </c>
      <c r="E426" s="21" t="str">
        <f t="shared" si="30"/>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31"/>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177</v>
      </c>
      <c r="E427" s="21" t="str">
        <f t="shared" si="30"/>
        <v/>
      </c>
      <c r="F427" s="22" t="str">
        <f>IF(OR(E427="",E427="!!!"),"",IF(NOT(ISNA(VLOOKUP(E427,E$1:E426,1,FALSE()))),"OLD",IF(AND(E427&lt;&gt;"",E427&lt;&gt;"!!!"),"NEW","")))</f>
        <v/>
      </c>
      <c r="G427" s="23" t="str">
        <f>IF(OR(E427="",E427="!!!"),"",IF(OR(J427=0,AND(J427=1,K427=1),AND(J427=1,I427="SBJ"),AND(J427=1,I427=0)),"?IN_FOCUS",IF(J427&lt;=2,"?ACTIVATED",IF(J427&lt;&gt;"","?FAMILIAR",IF(F427="NEW",IF(ISNA(VLOOKUP(E427,#REF!,1,FALSE())),"?TYPE_IDENTIFIABLE","?REFERENTIAL"),"_")))))</f>
        <v/>
      </c>
      <c r="H427" s="24" t="str">
        <f t="shared" ca="1" si="31"/>
        <v/>
      </c>
      <c r="I427" s="25" t="str">
        <f>IF(OR(E427="",E427="!!!",F427="NEW"),"",INDEX(B$2:B426,-1+SUMPRODUCT(MAX(ROW(E$2:E426)*(E427=E$2:E426)))))</f>
        <v/>
      </c>
      <c r="J427" s="25" t="str">
        <f ca="1">IF(OR(E427="",E427="!!!",F427="NEW"),"",COUNTBLANK(OFFSET(A$1,,,SUMPRODUCT(MAX(ROW(E$2:E427)*(E427=E$2:E427)))))-COUNTBLANK(OFFSET(A$1,,,SUMPRODUCT(MAX(ROW(E$1:E426)*(E2=E$1:E426))))))</f>
        <v/>
      </c>
      <c r="K427" s="25" t="str">
        <f>IF(OR(E427="",E427="!!!",F427="NEW"),"",INDEX(J$1:J426,SUMPRODUCT(MAX(ROW(E$1:E426)*(E427=E$1:E426)))))</f>
        <v/>
      </c>
      <c r="L427" s="26"/>
    </row>
    <row r="428" spans="1:12" x14ac:dyDescent="0.3">
      <c r="A428" t="s">
        <v>301</v>
      </c>
      <c r="B428" s="20" t="s">
        <v>100</v>
      </c>
      <c r="C428" s="20" t="s">
        <v>92</v>
      </c>
      <c r="E428" s="21" t="str">
        <f t="shared" si="30"/>
        <v/>
      </c>
      <c r="F428" s="22" t="str">
        <f>IF(OR(E428="",E428="!!!"),"",IF(NOT(ISNA(VLOOKUP(E428,E$1:E427,1,FALSE()))),"OLD",IF(AND(E428&lt;&gt;"",E428&lt;&gt;"!!!"),"NEW","")))</f>
        <v/>
      </c>
      <c r="G428" s="23" t="str">
        <f>IF(OR(E428="",E428="!!!"),"",IF(OR(J428=0,AND(J428=1,K428=1),AND(J428=1,I428="SBJ"),AND(J428=1,I428=0)),"?IN_FOCUS",IF(J428&lt;=2,"?ACTIVATED",IF(J428&lt;&gt;"","?FAMILIAR",IF(F428="NEW",IF(ISNA(VLOOKUP(E428,#REF!,1,FALSE())),"?TYPE_IDENTIFIABLE","?REFERENTIAL"),"_")))))</f>
        <v/>
      </c>
      <c r="H428" s="24" t="str">
        <f t="shared" ca="1" si="31"/>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337</v>
      </c>
      <c r="E429" s="21" t="str">
        <f t="shared" si="30"/>
        <v/>
      </c>
      <c r="F429" s="22" t="str">
        <f>IF(OR(E429="",E429="!!!"),"",IF(NOT(ISNA(VLOOKUP(E429,E$1:E428,1,FALSE()))),"OLD",IF(AND(E429&lt;&gt;"",E429&lt;&gt;"!!!"),"NEW","")))</f>
        <v/>
      </c>
      <c r="G429" s="23" t="str">
        <f>IF(OR(E429="",E429="!!!"),"",IF(OR(J429=0,AND(J429=1,K429=1),AND(J429=1,I429="SBJ"),AND(J429=1,I429=0)),"?IN_FOCUS",IF(J429&lt;=2,"?ACTIVATED",IF(J429&lt;&gt;"","?FAMILIAR",IF(F429="NEW",IF(ISNA(VLOOKUP(E429,#REF!,1,FALSE())),"?TYPE_IDENTIFIABLE","?REFERENTIAL"),"_")))))</f>
        <v/>
      </c>
      <c r="H429" s="24" t="str">
        <f t="shared" ca="1" si="31"/>
        <v/>
      </c>
      <c r="I429" s="25" t="str">
        <f>IF(OR(E429="",E429="!!!",F429="NEW"),"",INDEX(B$2:B428,-1+SUMPRODUCT(MAX(ROW(E$2:E428)*(E429=E$2:E428)))))</f>
        <v/>
      </c>
      <c r="J429" s="25" t="str">
        <f ca="1">IF(OR(E429="",E429="!!!",F429="NEW"),"",COUNTBLANK(OFFSET(A$1,,,SUMPRODUCT(MAX(ROW(E$2:E429)*(E429=E$2:E429)))))-COUNTBLANK(OFFSET(A$1,,,SUMPRODUCT(MAX(ROW(E$1:E428)*(E2=E$1:E428))))))</f>
        <v/>
      </c>
      <c r="K429" s="25" t="str">
        <f>IF(OR(E429="",E429="!!!",F429="NEW"),"",INDEX(J$1:J428,SUMPRODUCT(MAX(ROW(E$1:E428)*(E429=E$1:E428)))))</f>
        <v/>
      </c>
      <c r="L429" s="26"/>
    </row>
    <row r="430" spans="1:12" x14ac:dyDescent="0.3">
      <c r="A430" t="s">
        <v>338</v>
      </c>
      <c r="B430" s="20" t="s">
        <v>107</v>
      </c>
      <c r="C430" s="20" t="s">
        <v>101</v>
      </c>
      <c r="D430" s="20" t="s">
        <v>102</v>
      </c>
      <c r="E430" s="21"/>
      <c r="F430" s="22" t="s">
        <v>430</v>
      </c>
      <c r="G430" s="23" t="str">
        <f>IF(OR(E430="",E430="!!!"),"",IF(OR(J430=0,AND(J430=1,K430=1),AND(J430=1,I430="SBJ"),AND(J430=1,I430=0)),"?IN_FOCUS",IF(J430&lt;=2,"?ACTIVATED",IF(J430&lt;&gt;"","?FAMILIAR",IF(F430="NEW",IF(ISNA(VLOOKUP(E430,#REF!,1,FALSE())),"?TYPE_IDENTIFIABLE","?REFERENTIAL"),"_")))))</f>
        <v/>
      </c>
      <c r="H430" s="24" t="str">
        <f t="shared" ca="1" si="31"/>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row>
    <row r="431" spans="1:12" x14ac:dyDescent="0.3">
      <c r="A431" t="s">
        <v>132</v>
      </c>
      <c r="E431" s="21" t="str">
        <f t="shared" si="30"/>
        <v/>
      </c>
      <c r="F431" s="22" t="str">
        <f>IF(OR(E431="",E431="!!!"),"",IF(NOT(ISNA(VLOOKUP(E431,E$1:E430,1,FALSE()))),"OLD",IF(AND(E431&lt;&gt;"",E431&lt;&gt;"!!!"),"NEW","")))</f>
        <v/>
      </c>
      <c r="G431" s="23" t="str">
        <f>IF(OR(E431="",E431="!!!"),"",IF(OR(J431=0,AND(J431=1,K431=1),AND(J431=1,I431="SBJ"),AND(J431=1,I431=0)),"?IN_FOCUS",IF(J431&lt;=2,"?ACTIVATED",IF(J431&lt;&gt;"","?FAMILIAR",IF(F431="NEW",IF(ISNA(VLOOKUP(E431,#REF!,1,FALSE())),"?TYPE_IDENTIFIABLE","?REFERENTIAL"),"_")))))</f>
        <v/>
      </c>
      <c r="H431" s="24" t="str">
        <f t="shared" ca="1" si="31"/>
        <v/>
      </c>
      <c r="I431" s="25" t="str">
        <f>IF(OR(E431="",E431="!!!",F431="NEW"),"",INDEX(B$2:B430,-1+SUMPRODUCT(MAX(ROW(E$2:E430)*(E431=E$2:E430)))))</f>
        <v/>
      </c>
      <c r="J431" s="25" t="str">
        <f ca="1">IF(OR(E431="",E431="!!!",F431="NEW"),"",COUNTBLANK(OFFSET(A$1,,,SUMPRODUCT(MAX(ROW(E$2:E431)*(E431=E$2:E431)))))-COUNTBLANK(OFFSET(A$1,,,SUMPRODUCT(MAX(ROW(E$1:E430)*(E2=E$1:E430))))))</f>
        <v/>
      </c>
      <c r="K431" s="25" t="str">
        <f>IF(OR(E431="",E431="!!!",F431="NEW"),"",INDEX(J$1:J430,SUMPRODUCT(MAX(ROW(E$1:E430)*(E431=E$1:E430)))))</f>
        <v/>
      </c>
      <c r="L431" s="26"/>
    </row>
    <row r="432" spans="1:12" x14ac:dyDescent="0.3">
      <c r="A432" t="s">
        <v>234</v>
      </c>
      <c r="E432" s="21" t="str">
        <f t="shared" si="30"/>
        <v/>
      </c>
      <c r="F432" s="22" t="str">
        <f>IF(OR(E432="",E432="!!!"),"",IF(NOT(ISNA(VLOOKUP(E432,E$1:E431,1,FALSE()))),"OLD",IF(AND(E432&lt;&gt;"",E432&lt;&gt;"!!!"),"NEW","")))</f>
        <v/>
      </c>
      <c r="G432" s="23" t="str">
        <f>IF(OR(E432="",E432="!!!"),"",IF(OR(J432=0,AND(J432=1,K432=1),AND(J432=1,I432="SBJ"),AND(J432=1,I432=0)),"?IN_FOCUS",IF(J432&lt;=2,"?ACTIVATED",IF(J432&lt;&gt;"","?FAMILIAR",IF(F432="NEW",IF(ISNA(VLOOKUP(E432,#REF!,1,FALSE())),"?TYPE_IDENTIFIABLE","?REFERENTIAL"),"_")))))</f>
        <v/>
      </c>
      <c r="H432" s="24" t="str">
        <f t="shared" ca="1" si="31"/>
        <v/>
      </c>
      <c r="I432" s="25" t="str">
        <f>IF(OR(E432="",E432="!!!",F432="NEW"),"",INDEX(B$2:B431,-1+SUMPRODUCT(MAX(ROW(E$2:E431)*(E432=E$2:E431)))))</f>
        <v/>
      </c>
      <c r="J432" s="25" t="str">
        <f ca="1">IF(OR(E432="",E432="!!!",F432="NEW"),"",COUNTBLANK(OFFSET(A$1,,,SUMPRODUCT(MAX(ROW(E$2:E432)*(E432=E$2:E432)))))-COUNTBLANK(OFFSET(A$1,,,SUMPRODUCT(MAX(ROW(E$1:E431)*(E2=E$1:E431))))))</f>
        <v/>
      </c>
      <c r="K432" s="25" t="str">
        <f>IF(OR(E432="",E432="!!!",F432="NEW"),"",INDEX(J$1:J431,SUMPRODUCT(MAX(ROW(E$1:E431)*(E432=E$1:E431)))))</f>
        <v/>
      </c>
      <c r="L432" s="26"/>
    </row>
    <row r="433" spans="1:12" x14ac:dyDescent="0.3">
      <c r="A433" t="s">
        <v>339</v>
      </c>
      <c r="E433" s="21" t="str">
        <f t="shared" si="30"/>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ca="1" si="31"/>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97</v>
      </c>
      <c r="E434" s="21" t="str">
        <f t="shared" si="30"/>
        <v/>
      </c>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31"/>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340</v>
      </c>
      <c r="E435" s="21" t="str">
        <f t="shared" si="30"/>
        <v/>
      </c>
      <c r="F435" s="22" t="str">
        <f>IF(OR(E435="",E435="!!!"),"",IF(NOT(ISNA(VLOOKUP(E435,E$1:E434,1,FALSE()))),"OLD",IF(AND(E435&lt;&gt;"",E435&lt;&gt;"!!!"),"NEW","")))</f>
        <v/>
      </c>
      <c r="G435" s="23" t="str">
        <f>IF(OR(E435="",E435="!!!"),"",IF(OR(J435=0,AND(J435=1,K435=1),AND(J435=1,I435="SBJ"),AND(J435=1,I435=0)),"?IN_FOCUS",IF(J435&lt;=2,"?ACTIVATED",IF(J435&lt;&gt;"","?FAMILIAR",IF(F435="NEW",IF(ISNA(VLOOKUP(E435,#REF!,1,FALSE())),"?TYPE_IDENTIFIABLE","?REFERENTIAL"),"_")))))</f>
        <v/>
      </c>
      <c r="H435" s="24" t="str">
        <f t="shared" ca="1" si="31"/>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139</v>
      </c>
      <c r="E436" s="21" t="str">
        <f t="shared" si="30"/>
        <v/>
      </c>
      <c r="F436" s="22" t="str">
        <f>IF(OR(E436="",E436="!!!"),"",IF(NOT(ISNA(VLOOKUP(E436,E$1:E435,1,FALSE()))),"OLD",IF(AND(E436&lt;&gt;"",E436&lt;&gt;"!!!"),"NEW","")))</f>
        <v/>
      </c>
      <c r="G436" s="23" t="str">
        <f>IF(OR(E436="",E436="!!!"),"",IF(OR(J436=0,AND(J436=1,K436=1),AND(J436=1,I436="SBJ"),AND(J436=1,I436=0)),"?IN_FOCUS",IF(J436&lt;=2,"?ACTIVATED",IF(J436&lt;&gt;"","?FAMILIAR",IF(F436="NEW",IF(ISNA(VLOOKUP(E436,#REF!,1,FALSE())),"?TYPE_IDENTIFIABLE","?REFERENTIAL"),"_")))))</f>
        <v/>
      </c>
      <c r="H436" s="24" t="str">
        <f t="shared" ca="1" si="31"/>
        <v/>
      </c>
      <c r="I436" s="25" t="str">
        <f>IF(OR(E436="",E436="!!!",F436="NEW"),"",INDEX(B$2:B435,-1+SUMPRODUCT(MAX(ROW(E$2:E435)*(E436=E$2:E435)))))</f>
        <v/>
      </c>
      <c r="J436" s="25" t="str">
        <f ca="1">IF(OR(E436="",E436="!!!",F436="NEW"),"",COUNTBLANK(OFFSET(A$1,,,SUMPRODUCT(MAX(ROW(E$2:E436)*(E436=E$2:E436)))))-COUNTBLANK(OFFSET(A$1,,,SUMPRODUCT(MAX(ROW(E$1:E435)*(E2=E$1:E435))))))</f>
        <v/>
      </c>
      <c r="K436" s="25" t="str">
        <f>IF(OR(E436="",E436="!!!",F436="NEW"),"",INDEX(J$1:J435,SUMPRODUCT(MAX(ROW(E$1:E435)*(E436=E$1:E435)))))</f>
        <v/>
      </c>
      <c r="L436" s="26"/>
    </row>
    <row r="437" spans="1:12" x14ac:dyDescent="0.3">
      <c r="A437" t="s">
        <v>341</v>
      </c>
      <c r="E437" s="21" t="str">
        <f t="shared" si="30"/>
        <v/>
      </c>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ca="1" si="31"/>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342</v>
      </c>
      <c r="E438" s="21" t="str">
        <f t="shared" si="30"/>
        <v/>
      </c>
      <c r="F438" s="22" t="str">
        <f>IF(OR(E438="",E438="!!!"),"",IF(NOT(ISNA(VLOOKUP(E438,E$1:E437,1,FALSE()))),"OLD",IF(AND(E438&lt;&gt;"",E438&lt;&gt;"!!!"),"NEW","")))</f>
        <v/>
      </c>
      <c r="G438" s="23" t="str">
        <f>IF(OR(E438="",E438="!!!"),"",IF(OR(J438=0,AND(J438=1,K438=1),AND(J438=1,I438="SBJ"),AND(J438=1,I438=0)),"?IN_FOCUS",IF(J438&lt;=2,"?ACTIVATED",IF(J438&lt;&gt;"","?FAMILIAR",IF(F438="NEW",IF(ISNA(VLOOKUP(E438,#REF!,1,FALSE())),"?TYPE_IDENTIFIABLE","?REFERENTIAL"),"_")))))</f>
        <v/>
      </c>
      <c r="H438" s="24" t="str">
        <f t="shared" ca="1" si="31"/>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row>
    <row r="439" spans="1:12" x14ac:dyDescent="0.3">
      <c r="A439" t="s">
        <v>343</v>
      </c>
      <c r="B439" s="20" t="s">
        <v>107</v>
      </c>
      <c r="C439" s="20" t="s">
        <v>112</v>
      </c>
      <c r="D439" s="20" t="s">
        <v>102</v>
      </c>
      <c r="E439" s="21" t="s">
        <v>437</v>
      </c>
      <c r="F439" s="22" t="str">
        <f>IF(OR(E439="",E439="!!!"),"",IF(NOT(ISNA(VLOOKUP(E439,E$1:E438,1,FALSE()))),"OLD",IF(AND(E439&lt;&gt;"",E439&lt;&gt;"!!!"),"NEW","")))</f>
        <v>NEW</v>
      </c>
      <c r="G439" s="23" t="s">
        <v>448</v>
      </c>
      <c r="H439" s="24" t="str">
        <f t="shared" ca="1" si="31"/>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169</v>
      </c>
      <c r="E440" s="21" t="str">
        <f t="shared" si="30"/>
        <v/>
      </c>
      <c r="F440" s="22" t="str">
        <f>IF(OR(E440="",E440="!!!"),"",IF(NOT(ISNA(VLOOKUP(E440,E$1:E439,1,FALSE()))),"OLD",IF(AND(E440&lt;&gt;"",E440&lt;&gt;"!!!"),"NEW","")))</f>
        <v/>
      </c>
      <c r="G440" s="23" t="str">
        <f>IF(OR(E440="",E440="!!!"),"",IF(OR(J440=0,AND(J440=1,K440=1),AND(J440=1,I440="SBJ"),AND(J440=1,I440=0)),"?IN_FOCUS",IF(J440&lt;=2,"?ACTIVATED",IF(J440&lt;&gt;"","?FAMILIAR",IF(F440="NEW",IF(ISNA(VLOOKUP(E440,#REF!,1,FALSE())),"?TYPE_IDENTIFIABLE","?REFERENTIAL"),"_")))))</f>
        <v/>
      </c>
      <c r="H440" s="24" t="str">
        <f t="shared" ca="1" si="31"/>
        <v/>
      </c>
      <c r="I440" s="25" t="str">
        <f>IF(OR(E440="",E440="!!!",F440="NEW"),"",INDEX(B$2:B439,-1+SUMPRODUCT(MAX(ROW(E$2:E439)*(E440=E$2:E439)))))</f>
        <v/>
      </c>
      <c r="J440" s="25" t="str">
        <f ca="1">IF(OR(E440="",E440="!!!",F440="NEW"),"",COUNTBLANK(OFFSET(A$1,,,SUMPRODUCT(MAX(ROW(E$2:E440)*(E440=E$2:E440)))))-COUNTBLANK(OFFSET(A$1,,,SUMPRODUCT(MAX(ROW(E$1:E439)*(E2=E$1:E439))))))</f>
        <v/>
      </c>
      <c r="K440" s="25" t="str">
        <f>IF(OR(E440="",E440="!!!",F440="NEW"),"",INDEX(J$1:J439,SUMPRODUCT(MAX(ROW(E$1:E439)*(E440=E$1:E439)))))</f>
        <v/>
      </c>
      <c r="L440" s="26"/>
    </row>
    <row r="441" spans="1:12" x14ac:dyDescent="0.3">
      <c r="A441" t="s">
        <v>344</v>
      </c>
      <c r="B441" s="20" t="s">
        <v>120</v>
      </c>
      <c r="C441" s="20" t="s">
        <v>92</v>
      </c>
      <c r="E441" s="21" t="str">
        <f t="shared" si="30"/>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31"/>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169</v>
      </c>
      <c r="E442" s="21" t="str">
        <f t="shared" si="30"/>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31"/>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345</v>
      </c>
      <c r="E443" s="21" t="str">
        <f t="shared" si="30"/>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31"/>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115</v>
      </c>
      <c r="E444" s="21" t="str">
        <f t="shared" si="30"/>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31"/>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186</v>
      </c>
      <c r="B445" s="20" t="s">
        <v>346</v>
      </c>
      <c r="C445" s="20" t="s">
        <v>112</v>
      </c>
      <c r="D445" s="20" t="s">
        <v>102</v>
      </c>
      <c r="E445" s="21" t="s">
        <v>423</v>
      </c>
      <c r="F445" s="22" t="str">
        <f>IF(OR(E445="",E445="!!!"),"",IF(NOT(ISNA(VLOOKUP(E445,E$1:E444,1,FALSE()))),"OLD",IF(AND(E445&lt;&gt;"",E445&lt;&gt;"!!!"),"NEW","")))</f>
        <v>OLD</v>
      </c>
      <c r="G445" s="23" t="s">
        <v>447</v>
      </c>
      <c r="H445" s="24" t="str">
        <f t="shared" ca="1" si="31"/>
        <v/>
      </c>
      <c r="I445" s="25" t="str">
        <f>IF(OR(E445="",E445="!!!",F445="NEW"),"",INDEX(B$2:B444,-1+SUMPRODUCT(MAX(ROW(E$2:E444)*(E445=E$2:E444)))))</f>
        <v>other_4</v>
      </c>
      <c r="J445" s="25">
        <f ca="1">IF(OR(E445="",E445="!!!",F445="NEW"),"",COUNTBLANK(OFFSET(A$1,,,SUMPRODUCT(MAX(ROW(E$2:E445)*(E445=E$2:E445)))))-COUNTBLANK(OFFSET(A$1,,,SUMPRODUCT(MAX(ROW(E$1:E444)*(E2=E$1:E444))))))</f>
        <v>0</v>
      </c>
      <c r="K445" s="25" t="str">
        <f ca="1">IF(OR(E445="",E445="!!!",F445="NEW"),"",INDEX(J$1:J444,SUMPRODUCT(MAX(ROW(E$1:E444)*(E445=E$1:E444)))))</f>
        <v/>
      </c>
      <c r="L445" s="26"/>
    </row>
    <row r="446" spans="1:12" x14ac:dyDescent="0.3">
      <c r="A446" t="s">
        <v>97</v>
      </c>
      <c r="E446" s="21" t="str">
        <f t="shared" si="30"/>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31"/>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347</v>
      </c>
      <c r="B447" s="20" t="s">
        <v>127</v>
      </c>
      <c r="C447" s="20" t="s">
        <v>92</v>
      </c>
      <c r="E447" s="21" t="str">
        <f t="shared" si="30"/>
        <v/>
      </c>
      <c r="F447" s="22" t="str">
        <f>IF(OR(E447="",E447="!!!"),"",IF(NOT(ISNA(VLOOKUP(E447,E$1:E446,1,FALSE()))),"OLD",IF(AND(E447&lt;&gt;"",E447&lt;&gt;"!!!"),"NEW","")))</f>
        <v/>
      </c>
      <c r="G447" s="23" t="str">
        <f>IF(OR(E447="",E447="!!!"),"",IF(OR(J447=0,AND(J447=1,K447=1),AND(J447=1,I447="SBJ"),AND(J447=1,I447=0)),"?IN_FOCUS",IF(J447&lt;=2,"?ACTIVATED",IF(J447&lt;&gt;"","?FAMILIAR",IF(F447="NEW",IF(ISNA(VLOOKUP(E447,#REF!,1,FALSE())),"?TYPE_IDENTIFIABLE","?REFERENTIAL"),"_")))))</f>
        <v/>
      </c>
      <c r="H447" s="24" t="str">
        <f t="shared" ca="1" si="31"/>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169</v>
      </c>
      <c r="E448" s="21" t="str">
        <f t="shared" si="30"/>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31"/>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348</v>
      </c>
      <c r="E449" s="21" t="str">
        <f t="shared" si="30"/>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31"/>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349</v>
      </c>
      <c r="B450" s="20" t="s">
        <v>127</v>
      </c>
      <c r="C450" s="20" t="s">
        <v>280</v>
      </c>
      <c r="E450" s="21" t="str">
        <f t="shared" si="30"/>
        <v/>
      </c>
      <c r="F450" s="22" t="str">
        <f>IF(OR(E450="",E450="!!!"),"",IF(NOT(ISNA(VLOOKUP(E450,E$1:E449,1,FALSE()))),"OLD",IF(AND(E450&lt;&gt;"",E450&lt;&gt;"!!!"),"NEW","")))</f>
        <v/>
      </c>
      <c r="G450" s="23" t="str">
        <f>IF(OR(E450="",E450="!!!"),"",IF(OR(J450=0,AND(J450=1,K450=1),AND(J450=1,I450="SBJ"),AND(J450=1,I450=0)),"?IN_FOCUS",IF(J450&lt;=2,"?ACTIVATED",IF(J450&lt;&gt;"","?FAMILIAR",IF(F450="NEW",IF(ISNA(VLOOKUP(E450,#REF!,1,FALSE())),"?TYPE_IDENTIFIABLE","?REFERENTIAL"),"_")))))</f>
        <v/>
      </c>
      <c r="H450" s="24" t="str">
        <f t="shared" ca="1" si="31"/>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row>
    <row r="451" spans="1:12" x14ac:dyDescent="0.3">
      <c r="A451" t="s">
        <v>234</v>
      </c>
      <c r="E451" s="21" t="str">
        <f t="shared" si="30"/>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31"/>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2" spans="1:12" x14ac:dyDescent="0.3">
      <c r="A452" t="s">
        <v>289</v>
      </c>
      <c r="B452" s="20" t="s">
        <v>346</v>
      </c>
      <c r="C452" s="20" t="s">
        <v>92</v>
      </c>
      <c r="E452" s="21" t="str">
        <f t="shared" si="30"/>
        <v/>
      </c>
      <c r="F452" s="22" t="str">
        <f>IF(OR(E452="",E452="!!!"),"",IF(NOT(ISNA(VLOOKUP(E452,E$1:E451,1,FALSE()))),"OLD",IF(AND(E452&lt;&gt;"",E452&lt;&gt;"!!!"),"NEW","")))</f>
        <v/>
      </c>
      <c r="G452" s="23" t="str">
        <f>IF(OR(E452="",E452="!!!"),"",IF(OR(J452=0,AND(J452=1,K452=1),AND(J452=1,I452="SBJ"),AND(J452=1,I452=0)),"?IN_FOCUS",IF(J452&lt;=2,"?ACTIVATED",IF(J452&lt;&gt;"","?FAMILIAR",IF(F452="NEW",IF(ISNA(VLOOKUP(E452,#REF!,1,FALSE())),"?TYPE_IDENTIFIABLE","?REFERENTIAL"),"_")))))</f>
        <v/>
      </c>
      <c r="H452" s="24" t="str">
        <f t="shared" ca="1" si="31"/>
        <v/>
      </c>
      <c r="I452" s="25" t="str">
        <f>IF(OR(E452="",E452="!!!",F452="NEW"),"",INDEX(B$2:B451,-1+SUMPRODUCT(MAX(ROW(E$2:E451)*(E452=E$2:E451)))))</f>
        <v/>
      </c>
      <c r="J452" s="25" t="str">
        <f ca="1">IF(OR(E452="",E452="!!!",F452="NEW"),"",COUNTBLANK(OFFSET(A$1,,,SUMPRODUCT(MAX(ROW(E$2:E452)*(E452=E$2:E452)))))-COUNTBLANK(OFFSET(A$1,,,SUMPRODUCT(MAX(ROW(E$1:E451)*(E2=E$1:E451))))))</f>
        <v/>
      </c>
      <c r="K452" s="25" t="str">
        <f>IF(OR(E452="",E452="!!!",F452="NEW"),"",INDEX(J$1:J451,SUMPRODUCT(MAX(ROW(E$1:E451)*(E452=E$1:E451)))))</f>
        <v/>
      </c>
      <c r="L452" s="26"/>
    </row>
    <row r="453" spans="1:12" x14ac:dyDescent="0.3">
      <c r="A453" t="s">
        <v>97</v>
      </c>
      <c r="E453" s="21" t="str">
        <f t="shared" si="30"/>
        <v/>
      </c>
      <c r="F453" s="22" t="str">
        <f>IF(OR(E453="",E453="!!!"),"",IF(NOT(ISNA(VLOOKUP(E453,E$1:E452,1,FALSE()))),"OLD",IF(AND(E453&lt;&gt;"",E453&lt;&gt;"!!!"),"NEW","")))</f>
        <v/>
      </c>
      <c r="G453" s="23" t="str">
        <f>IF(OR(E453="",E453="!!!"),"",IF(OR(J453=0,AND(J453=1,K453=1),AND(J453=1,I453="SBJ"),AND(J453=1,I453=0)),"?IN_FOCUS",IF(J453&lt;=2,"?ACTIVATED",IF(J453&lt;&gt;"","?FAMILIAR",IF(F453="NEW",IF(ISNA(VLOOKUP(E453,#REF!,1,FALSE())),"?TYPE_IDENTIFIABLE","?REFERENTIAL"),"_")))))</f>
        <v/>
      </c>
      <c r="H453" s="24" t="str">
        <f t="shared" ca="1" si="31"/>
        <v/>
      </c>
      <c r="I453" s="25" t="str">
        <f>IF(OR(E453="",E453="!!!",F453="NEW"),"",INDEX(B$2:B452,-1+SUMPRODUCT(MAX(ROW(E$2:E452)*(E453=E$2:E452)))))</f>
        <v/>
      </c>
      <c r="J453" s="25" t="str">
        <f ca="1">IF(OR(E453="",E453="!!!",F453="NEW"),"",COUNTBLANK(OFFSET(A$1,,,SUMPRODUCT(MAX(ROW(E$2:E453)*(E453=E$2:E453)))))-COUNTBLANK(OFFSET(A$1,,,SUMPRODUCT(MAX(ROW(E$1:E452)*(E2=E$1:E452))))))</f>
        <v/>
      </c>
      <c r="K453" s="25" t="str">
        <f>IF(OR(E453="",E453="!!!",F453="NEW"),"",INDEX(J$1:J452,SUMPRODUCT(MAX(ROW(E$1:E452)*(E453=E$1:E452)))))</f>
        <v/>
      </c>
      <c r="L453" s="26"/>
    </row>
    <row r="454" spans="1:12" x14ac:dyDescent="0.3">
      <c r="A454" t="s">
        <v>350</v>
      </c>
      <c r="B454" s="20" t="s">
        <v>127</v>
      </c>
      <c r="C454" s="20" t="s">
        <v>92</v>
      </c>
      <c r="E454" s="21" t="str">
        <f t="shared" si="30"/>
        <v/>
      </c>
      <c r="F454" s="22" t="str">
        <f>IF(OR(E454="",E454="!!!"),"",IF(NOT(ISNA(VLOOKUP(E454,E$1:E453,1,FALSE()))),"OLD",IF(AND(E454&lt;&gt;"",E454&lt;&gt;"!!!"),"NEW","")))</f>
        <v/>
      </c>
      <c r="G454" s="23" t="str">
        <f>IF(OR(E454="",E454="!!!"),"",IF(OR(J454=0,AND(J454=1,K454=1),AND(J454=1,I454="SBJ"),AND(J454=1,I454=0)),"?IN_FOCUS",IF(J454&lt;=2,"?ACTIVATED",IF(J454&lt;&gt;"","?FAMILIAR",IF(F454="NEW",IF(ISNA(VLOOKUP(E454,#REF!,1,FALSE())),"?TYPE_IDENTIFIABLE","?REFERENTIAL"),"_")))))</f>
        <v/>
      </c>
      <c r="H454" s="24" t="str">
        <f t="shared" ca="1" si="31"/>
        <v/>
      </c>
      <c r="I454" s="25" t="str">
        <f>IF(OR(E454="",E454="!!!",F454="NEW"),"",INDEX(B$2:B453,-1+SUMPRODUCT(MAX(ROW(E$2:E453)*(E454=E$2:E453)))))</f>
        <v/>
      </c>
      <c r="J454" s="25" t="str">
        <f ca="1">IF(OR(E454="",E454="!!!",F454="NEW"),"",COUNTBLANK(OFFSET(A$1,,,SUMPRODUCT(MAX(ROW(E$2:E454)*(E454=E$2:E454)))))-COUNTBLANK(OFFSET(A$1,,,SUMPRODUCT(MAX(ROW(E$1:E453)*(E2=E$1:E453))))))</f>
        <v/>
      </c>
      <c r="K454" s="25" t="str">
        <f>IF(OR(E454="",E454="!!!",F454="NEW"),"",INDEX(J$1:J453,SUMPRODUCT(MAX(ROW(E$1:E453)*(E454=E$1:E453)))))</f>
        <v/>
      </c>
      <c r="L454" s="26"/>
    </row>
    <row r="455" spans="1:12" x14ac:dyDescent="0.3">
      <c r="A455" t="s">
        <v>169</v>
      </c>
      <c r="E455" s="21" t="str">
        <f t="shared" si="30"/>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t="shared" ca="1" si="31"/>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351</v>
      </c>
      <c r="B456" s="20" t="s">
        <v>127</v>
      </c>
      <c r="C456" s="20" t="s">
        <v>92</v>
      </c>
      <c r="E456" s="21" t="str">
        <f t="shared" si="30"/>
        <v/>
      </c>
      <c r="F456" s="22" t="str">
        <f>IF(OR(E456="",E456="!!!"),"",IF(NOT(ISNA(VLOOKUP(E456,E$1:E455,1,FALSE()))),"OLD",IF(AND(E456&lt;&gt;"",E456&lt;&gt;"!!!"),"NEW","")))</f>
        <v/>
      </c>
      <c r="G456" s="23" t="str">
        <f>IF(OR(E456="",E456="!!!"),"",IF(OR(J456=0,AND(J456=1,K456=1),AND(J456=1,I456="SBJ"),AND(J456=1,I456=0)),"?IN_FOCUS",IF(J456&lt;=2,"?ACTIVATED",IF(J456&lt;&gt;"","?FAMILIAR",IF(F456="NEW",IF(ISNA(VLOOKUP(E456,#REF!,1,FALSE())),"?TYPE_IDENTIFIABLE","?REFERENTIAL"),"_")))))</f>
        <v/>
      </c>
      <c r="H456" s="24" t="str">
        <f t="shared" ca="1" si="31"/>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155</v>
      </c>
      <c r="E457" s="21" t="str">
        <f t="shared" si="30"/>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t="shared" ca="1" si="31"/>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8" spans="1:12" x14ac:dyDescent="0.3">
      <c r="A458" t="s">
        <v>177</v>
      </c>
      <c r="E458" s="21" t="str">
        <f t="shared" si="30"/>
        <v/>
      </c>
      <c r="F458" s="22" t="str">
        <f>IF(OR(E458="",E458="!!!"),"",IF(NOT(ISNA(VLOOKUP(E458,E$1:E457,1,FALSE()))),"OLD",IF(AND(E458&lt;&gt;"",E458&lt;&gt;"!!!"),"NEW","")))</f>
        <v/>
      </c>
      <c r="G458" s="23" t="str">
        <f>IF(OR(E458="",E458="!!!"),"",IF(OR(J458=0,AND(J458=1,K458=1),AND(J458=1,I458="SBJ"),AND(J458=1,I458=0)),"?IN_FOCUS",IF(J458&lt;=2,"?ACTIVATED",IF(J458&lt;&gt;"","?FAMILIAR",IF(F458="NEW",IF(ISNA(VLOOKUP(E458,#REF!,1,FALSE())),"?TYPE_IDENTIFIABLE","?REFERENTIAL"),"_")))))</f>
        <v/>
      </c>
      <c r="H458" s="24" t="str">
        <f t="shared" ca="1" si="31"/>
        <v/>
      </c>
      <c r="I458" s="25" t="str">
        <f>IF(OR(E458="",E458="!!!",F458="NEW"),"",INDEX(B$2:B457,-1+SUMPRODUCT(MAX(ROW(E$2:E457)*(E458=E$2:E457)))))</f>
        <v/>
      </c>
      <c r="J458" s="25" t="str">
        <f ca="1">IF(OR(E458="",E458="!!!",F458="NEW"),"",COUNTBLANK(OFFSET(A$1,,,SUMPRODUCT(MAX(ROW(E$2:E458)*(E458=E$2:E458)))))-COUNTBLANK(OFFSET(A$1,,,SUMPRODUCT(MAX(ROW(E$1:E457)*(E2=E$1:E457))))))</f>
        <v/>
      </c>
      <c r="K458" s="25" t="str">
        <f>IF(OR(E458="",E458="!!!",F458="NEW"),"",INDEX(J$1:J457,SUMPRODUCT(MAX(ROW(E$1:E457)*(E458=E$1:E457)))))</f>
        <v/>
      </c>
      <c r="L458" s="26"/>
    </row>
    <row r="460" spans="1:12" x14ac:dyDescent="0.3">
      <c r="A460" t="s">
        <v>352</v>
      </c>
    </row>
    <row r="461" spans="1:12" x14ac:dyDescent="0.3">
      <c r="A461" t="s">
        <v>158</v>
      </c>
      <c r="E461" s="21" t="str">
        <f t="shared" ref="E461:E492" si="32">IF(D461="?OLD","!!!","")</f>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ref="H461:H492" ca="1" si="33">IF(J461&lt;&gt;1,"",IF(I461="SBJ","CB","?"))</f>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115</v>
      </c>
      <c r="E462" s="21" t="str">
        <f t="shared" si="32"/>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33"/>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275</v>
      </c>
      <c r="E463" s="21" t="str">
        <f t="shared" si="32"/>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33"/>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353</v>
      </c>
      <c r="E464" s="21" t="str">
        <f t="shared" si="32"/>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33"/>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354</v>
      </c>
      <c r="B465" s="20" t="s">
        <v>161</v>
      </c>
      <c r="C465" s="20" t="s">
        <v>145</v>
      </c>
      <c r="D465" s="20" t="s">
        <v>102</v>
      </c>
      <c r="E465" s="21"/>
      <c r="F465" s="22" t="s">
        <v>413</v>
      </c>
      <c r="G465" s="23" t="str">
        <f>IF(OR(E465="",E465="!!!"),"",IF(OR(J465=0,AND(J465=1,K465=1),AND(J465=1,I465="SBJ"),AND(J465=1,I465=0)),"?IN_FOCUS",IF(J465&lt;=2,"?ACTIVATED",IF(J465&lt;&gt;"","?FAMILIAR",IF(F465="NEW",IF(ISNA(VLOOKUP(E465,#REF!,1,FALSE())),"?TYPE_IDENTIFIABLE","?REFERENTIAL"),"_")))))</f>
        <v/>
      </c>
      <c r="H465" s="24" t="str">
        <f t="shared" ca="1" si="33"/>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27</v>
      </c>
      <c r="E466" s="21" t="str">
        <f t="shared" si="32"/>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ca="1" si="33"/>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7" spans="1:12" x14ac:dyDescent="0.3">
      <c r="A467" t="s">
        <v>355</v>
      </c>
      <c r="B467" s="20" t="s">
        <v>91</v>
      </c>
      <c r="C467" s="20" t="s">
        <v>101</v>
      </c>
      <c r="D467" s="20" t="s">
        <v>102</v>
      </c>
      <c r="E467" s="21" t="s">
        <v>414</v>
      </c>
      <c r="F467" s="22" t="str">
        <f>IF(OR(E467="",E467="!!!"),"",IF(NOT(ISNA(VLOOKUP(E467,E$1:E466,1,FALSE()))),"OLD",IF(AND(E467&lt;&gt;"",E467&lt;&gt;"!!!"),"NEW","")))</f>
        <v>OLD</v>
      </c>
      <c r="G467" s="23" t="s">
        <v>449</v>
      </c>
      <c r="H467" s="24" t="str">
        <f t="shared" ca="1" si="33"/>
        <v/>
      </c>
      <c r="I467" s="25">
        <f>IF(OR(E467="",E467="!!!",F467="NEW"),"",INDEX(B$2:B466,-1+SUMPRODUCT(MAX(ROW(E$2:E466)*(E467=E$2:E466)))))</f>
        <v>0</v>
      </c>
      <c r="J467" s="25">
        <f ca="1">IF(OR(E467="",E467="!!!",F467="NEW"),"",COUNTBLANK(OFFSET(A$1,,,SUMPRODUCT(MAX(ROW(E$2:E467)*(E467=E$2:E467)))))-COUNTBLANK(OFFSET(A$1,,,SUMPRODUCT(MAX(ROW(E$1:E466)*(E2=E$1:E466))))))</f>
        <v>0</v>
      </c>
      <c r="K467" s="25">
        <f ca="1">IF(OR(E467="",E467="!!!",F467="NEW"),"",INDEX(J$1:J466,SUMPRODUCT(MAX(ROW(E$1:E466)*(E467=E$1:E466)))))</f>
        <v>0</v>
      </c>
      <c r="L467" s="26"/>
    </row>
    <row r="468" spans="1:12" x14ac:dyDescent="0.3">
      <c r="A468" t="s">
        <v>356</v>
      </c>
      <c r="B468" s="20" t="s">
        <v>96</v>
      </c>
      <c r="C468" s="20" t="s">
        <v>153</v>
      </c>
      <c r="D468" s="20" t="s">
        <v>102</v>
      </c>
      <c r="E468" s="21"/>
      <c r="F468" s="22" t="str">
        <f>IF(OR(E468="",E468="!!!"),"",IF(NOT(ISNA(VLOOKUP(E468,E$1:E467,1,FALSE()))),"OLD",IF(AND(E468&lt;&gt;"",E468&lt;&gt;"!!!"),"NEW","")))</f>
        <v/>
      </c>
      <c r="G468" s="23" t="str">
        <f>IF(OR(E468="",E468="!!!"),"",IF(OR(J468=0,AND(J468=1,K468=1),AND(J468=1,I468="SBJ"),AND(J468=1,I468=0)),"?IN_FOCUS",IF(J468&lt;=2,"?ACTIVATED",IF(J468&lt;&gt;"","?FAMILIAR",IF(F468="NEW",IF(ISNA(VLOOKUP(E468,#REF!,1,FALSE())),"?TYPE_IDENTIFIABLE","?REFERENTIAL"),"_")))))</f>
        <v/>
      </c>
      <c r="H468" s="24" t="str">
        <f t="shared" ca="1" si="33"/>
        <v/>
      </c>
      <c r="I468" s="25" t="str">
        <f>IF(OR(E468="",E468="!!!",F468="NEW"),"",INDEX(B$2:B467,-1+SUMPRODUCT(MAX(ROW(E$2:E467)*(E468=E$2:E467)))))</f>
        <v/>
      </c>
      <c r="J468" s="25" t="str">
        <f ca="1">IF(OR(E468="",E468="!!!",F468="NEW"),"",COUNTBLANK(OFFSET(A$1,,,SUMPRODUCT(MAX(ROW(E$2:E468)*(E468=E$2:E468)))))-COUNTBLANK(OFFSET(A$1,,,SUMPRODUCT(MAX(ROW(E$1:E467)*(E2=E$1:E467))))))</f>
        <v/>
      </c>
      <c r="K468" s="25" t="str">
        <f>IF(OR(E468="",E468="!!!",F468="NEW"),"",INDEX(J$1:J467,SUMPRODUCT(MAX(ROW(E$1:E467)*(E468=E$1:E467)))))</f>
        <v/>
      </c>
      <c r="L468" s="26" t="s">
        <v>451</v>
      </c>
    </row>
    <row r="469" spans="1:12" x14ac:dyDescent="0.3">
      <c r="A469" t="s">
        <v>159</v>
      </c>
      <c r="E469" s="21" t="str">
        <f t="shared" si="32"/>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33"/>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357</v>
      </c>
      <c r="B470" s="20" t="s">
        <v>96</v>
      </c>
      <c r="C470" s="20" t="s">
        <v>112</v>
      </c>
      <c r="D470" s="20" t="s">
        <v>102</v>
      </c>
      <c r="E470" s="21" t="s">
        <v>438</v>
      </c>
      <c r="F470" s="22" t="str">
        <f>IF(OR(E470="",E470="!!!"),"",IF(NOT(ISNA(VLOOKUP(E470,E$1:E469,1,FALSE()))),"OLD",IF(AND(E470&lt;&gt;"",E470&lt;&gt;"!!!"),"NEW","")))</f>
        <v>OLD</v>
      </c>
      <c r="G470" s="23" t="s">
        <v>447</v>
      </c>
      <c r="H470" s="24" t="str">
        <f t="shared" ca="1" si="33"/>
        <v/>
      </c>
      <c r="I470" s="25">
        <f>IF(OR(E470="",E470="!!!",F470="NEW"),"",INDEX(B$2:B469,-1+SUMPRODUCT(MAX(ROW(E$2:E469)*(E470=E$2:E469)))))</f>
        <v>0</v>
      </c>
      <c r="J470" s="25">
        <f ca="1">IF(OR(E470="",E470="!!!",F470="NEW"),"",COUNTBLANK(OFFSET(A$1,,,SUMPRODUCT(MAX(ROW(E$2:E470)*(E470=E$2:E470)))))-COUNTBLANK(OFFSET(A$1,,,SUMPRODUCT(MAX(ROW(E$1:E469)*(E2=E$1:E469))))))</f>
        <v>0</v>
      </c>
      <c r="K470" s="25" t="str">
        <f ca="1">IF(OR(E470="",E470="!!!",F470="NEW"),"",INDEX(J$1:J469,SUMPRODUCT(MAX(ROW(E$1:E469)*(E470=E$1:E469)))))</f>
        <v/>
      </c>
      <c r="L470" s="26"/>
    </row>
    <row r="471" spans="1:12" x14ac:dyDescent="0.3">
      <c r="A471" t="s">
        <v>132</v>
      </c>
      <c r="E471" s="21" t="str">
        <f t="shared" si="32"/>
        <v/>
      </c>
      <c r="F471" s="22" t="str">
        <f>IF(OR(E471="",E471="!!!"),"",IF(NOT(ISNA(VLOOKUP(E471,E$1:E470,1,FALSE()))),"OLD",IF(AND(E471&lt;&gt;"",E471&lt;&gt;"!!!"),"NEW","")))</f>
        <v/>
      </c>
      <c r="G471" s="23" t="str">
        <f>IF(OR(E471="",E471="!!!"),"",IF(OR(J471=0,AND(J471=1,K471=1),AND(J471=1,I471="SBJ"),AND(J471=1,I471=0)),"?IN_FOCUS",IF(J471&lt;=2,"?ACTIVATED",IF(J471&lt;&gt;"","?FAMILIAR",IF(F471="NEW",IF(ISNA(VLOOKUP(E471,#REF!,1,FALSE())),"?TYPE_IDENTIFIABLE","?REFERENTIAL"),"_")))))</f>
        <v/>
      </c>
      <c r="H471" s="24" t="str">
        <f t="shared" ca="1" si="33"/>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90</v>
      </c>
      <c r="B472" s="20" t="s">
        <v>195</v>
      </c>
      <c r="C472" s="20" t="s">
        <v>112</v>
      </c>
      <c r="D472" s="20" t="s">
        <v>102</v>
      </c>
      <c r="E472" s="21" t="s">
        <v>408</v>
      </c>
      <c r="F472" s="22" t="str">
        <f>IF(OR(E472="",E472="!!!"),"",IF(NOT(ISNA(VLOOKUP(E472,E$1:E471,1,FALSE()))),"OLD",IF(AND(E472&lt;&gt;"",E472&lt;&gt;"!!!"),"NEW","")))</f>
        <v>OLD</v>
      </c>
      <c r="G472" s="23" t="s">
        <v>449</v>
      </c>
      <c r="H472" s="24" t="str">
        <f t="shared" ca="1" si="33"/>
        <v/>
      </c>
      <c r="I472" s="25" t="str">
        <f>IF(OR(E472="",E472="!!!",F472="NEW"),"",INDEX(B$2:B471,-1+SUMPRODUCT(MAX(ROW(E$2:E471)*(E472=E$2:E471)))))</f>
        <v>other</v>
      </c>
      <c r="J472" s="25">
        <f ca="1">IF(OR(E472="",E472="!!!",F472="NEW"),"",COUNTBLANK(OFFSET(A$1,,,SUMPRODUCT(MAX(ROW(E$2:E472)*(E472=E$2:E472)))))-COUNTBLANK(OFFSET(A$1,,,SUMPRODUCT(MAX(ROW(E$1:E471)*(E2=E$1:E471))))))</f>
        <v>0</v>
      </c>
      <c r="K472" s="25">
        <f ca="1">IF(OR(E472="",E472="!!!",F472="NEW"),"",INDEX(J$1:J471,SUMPRODUCT(MAX(ROW(E$1:E471)*(E472=E$1:E471)))))</f>
        <v>0</v>
      </c>
      <c r="L472" s="26"/>
    </row>
    <row r="473" spans="1:12" x14ac:dyDescent="0.3">
      <c r="A473" t="s">
        <v>358</v>
      </c>
      <c r="E473" s="21" t="str">
        <f t="shared" si="32"/>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33"/>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169</v>
      </c>
      <c r="E474" s="21" t="str">
        <f t="shared" si="32"/>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33"/>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129</v>
      </c>
      <c r="E475" s="21" t="str">
        <f t="shared" si="32"/>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33"/>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6" spans="1:12" x14ac:dyDescent="0.3">
      <c r="A476" t="s">
        <v>159</v>
      </c>
      <c r="E476" s="21" t="str">
        <f t="shared" si="32"/>
        <v/>
      </c>
      <c r="F476" s="22" t="str">
        <f>IF(OR(E476="",E476="!!!"),"",IF(NOT(ISNA(VLOOKUP(E476,E$1:E475,1,FALSE()))),"OLD",IF(AND(E476&lt;&gt;"",E476&lt;&gt;"!!!"),"NEW","")))</f>
        <v/>
      </c>
      <c r="G476" s="23" t="str">
        <f>IF(OR(E476="",E476="!!!"),"",IF(OR(J476=0,AND(J476=1,K476=1),AND(J476=1,I476="SBJ"),AND(J476=1,I476=0)),"?IN_FOCUS",IF(J476&lt;=2,"?ACTIVATED",IF(J476&lt;&gt;"","?FAMILIAR",IF(F476="NEW",IF(ISNA(VLOOKUP(E476,#REF!,1,FALSE())),"?TYPE_IDENTIFIABLE","?REFERENTIAL"),"_")))))</f>
        <v/>
      </c>
      <c r="H476" s="24" t="str">
        <f t="shared" ca="1" si="33"/>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359</v>
      </c>
      <c r="B477" s="20" t="s">
        <v>195</v>
      </c>
      <c r="C477" s="20" t="s">
        <v>112</v>
      </c>
      <c r="D477" s="20" t="s">
        <v>102</v>
      </c>
      <c r="E477" s="21" t="s">
        <v>439</v>
      </c>
      <c r="F477" s="22" t="str">
        <f>IF(OR(E477="",E477="!!!"),"",IF(NOT(ISNA(VLOOKUP(E477,E$1:E476,1,FALSE()))),"OLD",IF(AND(E477&lt;&gt;"",E477&lt;&gt;"!!!"),"NEW","")))</f>
        <v>NEW</v>
      </c>
      <c r="G477" s="23" t="s">
        <v>447</v>
      </c>
      <c r="H477" s="24" t="str">
        <f t="shared" ca="1" si="33"/>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360</v>
      </c>
      <c r="E478" s="21" t="str">
        <f t="shared" si="32"/>
        <v/>
      </c>
      <c r="F478" s="22" t="str">
        <f>IF(OR(E478="",E478="!!!"),"",IF(NOT(ISNA(VLOOKUP(E478,E$1:E477,1,FALSE()))),"OLD",IF(AND(E478&lt;&gt;"",E478&lt;&gt;"!!!"),"NEW","")))</f>
        <v/>
      </c>
      <c r="G478" s="23" t="str">
        <f>IF(OR(E478="",E478="!!!"),"",IF(OR(J478=0,AND(J478=1,K478=1),AND(J478=1,I478="SBJ"),AND(J478=1,I478=0)),"?IN_FOCUS",IF(J478&lt;=2,"?ACTIVATED",IF(J478&lt;&gt;"","?FAMILIAR",IF(F478="NEW",IF(ISNA(VLOOKUP(E478,#REF!,1,FALSE())),"?TYPE_IDENTIFIABLE","?REFERENTIAL"),"_")))))</f>
        <v/>
      </c>
      <c r="H478" s="24" t="str">
        <f t="shared" ca="1" si="33"/>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361</v>
      </c>
      <c r="E479" s="21" t="str">
        <f t="shared" si="32"/>
        <v/>
      </c>
      <c r="F479" s="22" t="str">
        <f>IF(OR(E479="",E479="!!!"),"",IF(NOT(ISNA(VLOOKUP(E479,E$1:E478,1,FALSE()))),"OLD",IF(AND(E479&lt;&gt;"",E479&lt;&gt;"!!!"),"NEW","")))</f>
        <v/>
      </c>
      <c r="G479" s="23" t="str">
        <f>IF(OR(E479="",E479="!!!"),"",IF(OR(J479=0,AND(J479=1,K479=1),AND(J479=1,I479="SBJ"),AND(J479=1,I479=0)),"?IN_FOCUS",IF(J479&lt;=2,"?ACTIVATED",IF(J479&lt;&gt;"","?FAMILIAR",IF(F479="NEW",IF(ISNA(VLOOKUP(E479,#REF!,1,FALSE())),"?TYPE_IDENTIFIABLE","?REFERENTIAL"),"_")))))</f>
        <v/>
      </c>
      <c r="H479" s="24" t="str">
        <f t="shared" ca="1" si="33"/>
        <v/>
      </c>
      <c r="I479" s="25" t="str">
        <f>IF(OR(E479="",E479="!!!",F479="NEW"),"",INDEX(B$2:B478,-1+SUMPRODUCT(MAX(ROW(E$2:E478)*(E479=E$2:E478)))))</f>
        <v/>
      </c>
      <c r="J479" s="25" t="str">
        <f ca="1">IF(OR(E479="",E479="!!!",F479="NEW"),"",COUNTBLANK(OFFSET(A$1,,,SUMPRODUCT(MAX(ROW(E$2:E479)*(E479=E$2:E479)))))-COUNTBLANK(OFFSET(A$1,,,SUMPRODUCT(MAX(ROW(E$1:E478)*(E2=E$1:E478))))))</f>
        <v/>
      </c>
      <c r="K479" s="25" t="str">
        <f>IF(OR(E479="",E479="!!!",F479="NEW"),"",INDEX(J$1:J478,SUMPRODUCT(MAX(ROW(E$1:E478)*(E479=E$1:E478)))))</f>
        <v/>
      </c>
      <c r="L479" s="26"/>
    </row>
    <row r="480" spans="1:12" x14ac:dyDescent="0.3">
      <c r="A480" t="s">
        <v>362</v>
      </c>
      <c r="B480" s="20" t="s">
        <v>120</v>
      </c>
      <c r="C480" s="20" t="s">
        <v>92</v>
      </c>
      <c r="E480" s="21" t="str">
        <f t="shared" si="32"/>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33"/>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363</v>
      </c>
      <c r="E481" s="21" t="str">
        <f t="shared" si="32"/>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33"/>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262</v>
      </c>
      <c r="E482" s="21" t="str">
        <f t="shared" si="32"/>
        <v/>
      </c>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33"/>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3" spans="1:12" x14ac:dyDescent="0.3">
      <c r="A483" t="s">
        <v>118</v>
      </c>
      <c r="E483" s="21" t="str">
        <f t="shared" si="32"/>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33"/>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4" spans="1:12" x14ac:dyDescent="0.3">
      <c r="A484" t="s">
        <v>220</v>
      </c>
      <c r="B484" s="20" t="s">
        <v>195</v>
      </c>
      <c r="C484" s="20" t="s">
        <v>112</v>
      </c>
      <c r="D484" s="20" t="s">
        <v>102</v>
      </c>
      <c r="E484" s="21" t="s">
        <v>440</v>
      </c>
      <c r="F484" s="22" t="str">
        <f>IF(OR(E484="",E484="!!!"),"",IF(NOT(ISNA(VLOOKUP(E484,E$1:E483,1,FALSE()))),"OLD",IF(AND(E484&lt;&gt;"",E484&lt;&gt;"!!!"),"NEW","")))</f>
        <v>NEW</v>
      </c>
      <c r="G484" s="23" t="s">
        <v>448</v>
      </c>
      <c r="H484" s="24" t="str">
        <f t="shared" ca="1" si="33"/>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5" spans="1:12" x14ac:dyDescent="0.3">
      <c r="A485" t="s">
        <v>364</v>
      </c>
      <c r="E485" s="21" t="str">
        <f t="shared" si="32"/>
        <v/>
      </c>
      <c r="F485" s="22" t="str">
        <f>IF(OR(E485="",E485="!!!"),"",IF(NOT(ISNA(VLOOKUP(E485,E$1:E484,1,FALSE()))),"OLD",IF(AND(E485&lt;&gt;"",E485&lt;&gt;"!!!"),"NEW","")))</f>
        <v/>
      </c>
      <c r="G485" s="23" t="str">
        <f>IF(OR(E485="",E485="!!!"),"",IF(OR(J485=0,AND(J485=1,K485=1),AND(J485=1,I485="SBJ"),AND(J485=1,I485=0)),"?IN_FOCUS",IF(J485&lt;=2,"?ACTIVATED",IF(J485&lt;&gt;"","?FAMILIAR",IF(F485="NEW",IF(ISNA(VLOOKUP(E485,#REF!,1,FALSE())),"?TYPE_IDENTIFIABLE","?REFERENTIAL"),"_")))))</f>
        <v/>
      </c>
      <c r="H485" s="24" t="str">
        <f t="shared" ca="1" si="33"/>
        <v/>
      </c>
      <c r="I485" s="25" t="str">
        <f>IF(OR(E485="",E485="!!!",F485="NEW"),"",INDEX(B$2:B484,-1+SUMPRODUCT(MAX(ROW(E$2:E484)*(E485=E$2:E484)))))</f>
        <v/>
      </c>
      <c r="J485" s="25" t="str">
        <f ca="1">IF(OR(E485="",E485="!!!",F485="NEW"),"",COUNTBLANK(OFFSET(A$1,,,SUMPRODUCT(MAX(ROW(E$2:E485)*(E485=E$2:E485)))))-COUNTBLANK(OFFSET(A$1,,,SUMPRODUCT(MAX(ROW(E$1:E484)*(E2=E$1:E484))))))</f>
        <v/>
      </c>
      <c r="K485" s="25" t="str">
        <f>IF(OR(E485="",E485="!!!",F485="NEW"),"",INDEX(J$1:J484,SUMPRODUCT(MAX(ROW(E$1:E484)*(E485=E$1:E484)))))</f>
        <v/>
      </c>
      <c r="L485" s="26"/>
    </row>
    <row r="486" spans="1:12" x14ac:dyDescent="0.3">
      <c r="A486" t="s">
        <v>132</v>
      </c>
      <c r="E486" s="21" t="str">
        <f t="shared" si="32"/>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33"/>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7" spans="1:12" x14ac:dyDescent="0.3">
      <c r="A487" t="s">
        <v>365</v>
      </c>
      <c r="B487" s="20" t="s">
        <v>120</v>
      </c>
      <c r="C487" s="20" t="s">
        <v>112</v>
      </c>
      <c r="D487" s="20" t="s">
        <v>102</v>
      </c>
      <c r="E487" s="21"/>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ca="1" si="33"/>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169</v>
      </c>
      <c r="E488" s="21" t="str">
        <f t="shared" si="32"/>
        <v/>
      </c>
      <c r="F488" s="22" t="str">
        <f>IF(OR(E488="",E488="!!!"),"",IF(NOT(ISNA(VLOOKUP(E488,E$1:E487,1,FALSE()))),"OLD",IF(AND(E488&lt;&gt;"",E488&lt;&gt;"!!!"),"NEW","")))</f>
        <v/>
      </c>
      <c r="G488" s="23" t="str">
        <f>IF(OR(E488="",E488="!!!"),"",IF(OR(J488=0,AND(J488=1,K488=1),AND(J488=1,I488="SBJ"),AND(J488=1,I488=0)),"?IN_FOCUS",IF(J488&lt;=2,"?ACTIVATED",IF(J488&lt;&gt;"","?FAMILIAR",IF(F488="NEW",IF(ISNA(VLOOKUP(E488,#REF!,1,FALSE())),"?TYPE_IDENTIFIABLE","?REFERENTIAL"),"_")))))</f>
        <v/>
      </c>
      <c r="H488" s="24" t="str">
        <f t="shared" ca="1" si="33"/>
        <v/>
      </c>
      <c r="I488" s="25" t="str">
        <f>IF(OR(E488="",E488="!!!",F488="NEW"),"",INDEX(B$2:B487,-1+SUMPRODUCT(MAX(ROW(E$2:E487)*(E488=E$2:E487)))))</f>
        <v/>
      </c>
      <c r="J488" s="25" t="str">
        <f ca="1">IF(OR(E488="",E488="!!!",F488="NEW"),"",COUNTBLANK(OFFSET(A$1,,,SUMPRODUCT(MAX(ROW(E$2:E488)*(E488=E$2:E488)))))-COUNTBLANK(OFFSET(A$1,,,SUMPRODUCT(MAX(ROW(E$1:E487)*(E2=E$1:E487))))))</f>
        <v/>
      </c>
      <c r="K488" s="25" t="str">
        <f>IF(OR(E488="",E488="!!!",F488="NEW"),"",INDEX(J$1:J487,SUMPRODUCT(MAX(ROW(E$1:E487)*(E488=E$1:E487)))))</f>
        <v/>
      </c>
      <c r="L488" s="26"/>
    </row>
    <row r="489" spans="1:12" x14ac:dyDescent="0.3">
      <c r="A489" t="s">
        <v>208</v>
      </c>
      <c r="E489" s="21" t="str">
        <f t="shared" si="32"/>
        <v/>
      </c>
      <c r="F489" s="22" t="str">
        <f>IF(OR(E489="",E489="!!!"),"",IF(NOT(ISNA(VLOOKUP(E489,E$1:E488,1,FALSE()))),"OLD",IF(AND(E489&lt;&gt;"",E489&lt;&gt;"!!!"),"NEW","")))</f>
        <v/>
      </c>
      <c r="G489" s="23" t="str">
        <f>IF(OR(E489="",E489="!!!"),"",IF(OR(J489=0,AND(J489=1,K489=1),AND(J489=1,I489="SBJ"),AND(J489=1,I489=0)),"?IN_FOCUS",IF(J489&lt;=2,"?ACTIVATED",IF(J489&lt;&gt;"","?FAMILIAR",IF(F489="NEW",IF(ISNA(VLOOKUP(E489,#REF!,1,FALSE())),"?TYPE_IDENTIFIABLE","?REFERENTIAL"),"_")))))</f>
        <v/>
      </c>
      <c r="H489" s="24" t="str">
        <f t="shared" ca="1" si="33"/>
        <v/>
      </c>
      <c r="I489" s="25" t="str">
        <f>IF(OR(E489="",E489="!!!",F489="NEW"),"",INDEX(B$2:B488,-1+SUMPRODUCT(MAX(ROW(E$2:E488)*(E489=E$2:E488)))))</f>
        <v/>
      </c>
      <c r="J489" s="25" t="str">
        <f ca="1">IF(OR(E489="",E489="!!!",F489="NEW"),"",COUNTBLANK(OFFSET(A$1,,,SUMPRODUCT(MAX(ROW(E$2:E489)*(E489=E$2:E489)))))-COUNTBLANK(OFFSET(A$1,,,SUMPRODUCT(MAX(ROW(E$1:E488)*(E2=E$1:E488))))))</f>
        <v/>
      </c>
      <c r="K489" s="25" t="str">
        <f>IF(OR(E489="",E489="!!!",F489="NEW"),"",INDEX(J$1:J488,SUMPRODUCT(MAX(ROW(E$1:E488)*(E489=E$1:E488)))))</f>
        <v/>
      </c>
      <c r="L489" s="26"/>
    </row>
    <row r="490" spans="1:12" x14ac:dyDescent="0.3">
      <c r="A490" t="s">
        <v>366</v>
      </c>
      <c r="B490" s="20" t="s">
        <v>123</v>
      </c>
      <c r="C490" s="20" t="s">
        <v>112</v>
      </c>
      <c r="D490" s="20" t="s">
        <v>102</v>
      </c>
      <c r="E490" s="21"/>
      <c r="F490" s="22" t="str">
        <f>IF(OR(E490="",E490="!!!"),"",IF(NOT(ISNA(VLOOKUP(E490,E$1:E489,1,FALSE()))),"OLD",IF(AND(E490&lt;&gt;"",E490&lt;&gt;"!!!"),"NEW","")))</f>
        <v/>
      </c>
      <c r="G490" s="23" t="str">
        <f>IF(OR(E490="",E490="!!!"),"",IF(OR(J490=0,AND(J490=1,K490=1),AND(J490=1,I490="SBJ"),AND(J490=1,I490=0)),"?IN_FOCUS",IF(J490&lt;=2,"?ACTIVATED",IF(J490&lt;&gt;"","?FAMILIAR",IF(F490="NEW",IF(ISNA(VLOOKUP(E490,#REF!,1,FALSE())),"?TYPE_IDENTIFIABLE","?REFERENTIAL"),"_")))))</f>
        <v/>
      </c>
      <c r="H490" s="24" t="str">
        <f t="shared" ca="1" si="33"/>
        <v/>
      </c>
      <c r="I490" s="25" t="str">
        <f>IF(OR(E490="",E490="!!!",F490="NEW"),"",INDEX(B$2:B489,-1+SUMPRODUCT(MAX(ROW(E$2:E489)*(E490=E$2:E489)))))</f>
        <v/>
      </c>
      <c r="J490" s="25" t="str">
        <f ca="1">IF(OR(E490="",E490="!!!",F490="NEW"),"",COUNTBLANK(OFFSET(A$1,,,SUMPRODUCT(MAX(ROW(E$2:E490)*(E490=E$2:E490)))))-COUNTBLANK(OFFSET(A$1,,,SUMPRODUCT(MAX(ROW(E$1:E489)*(E2=E$1:E489))))))</f>
        <v/>
      </c>
      <c r="K490" s="25" t="str">
        <f>IF(OR(E490="",E490="!!!",F490="NEW"),"",INDEX(J$1:J489,SUMPRODUCT(MAX(ROW(E$1:E489)*(E490=E$1:E489)))))</f>
        <v/>
      </c>
      <c r="L490" s="26"/>
    </row>
    <row r="491" spans="1:12" x14ac:dyDescent="0.3">
      <c r="A491" t="s">
        <v>367</v>
      </c>
      <c r="E491" s="21" t="str">
        <f t="shared" si="32"/>
        <v/>
      </c>
      <c r="F491" s="22" t="str">
        <f>IF(OR(E491="",E491="!!!"),"",IF(NOT(ISNA(VLOOKUP(E491,E$1:E490,1,FALSE()))),"OLD",IF(AND(E491&lt;&gt;"",E491&lt;&gt;"!!!"),"NEW","")))</f>
        <v/>
      </c>
      <c r="G491" s="23" t="str">
        <f>IF(OR(E491="",E491="!!!"),"",IF(OR(J491=0,AND(J491=1,K491=1),AND(J491=1,I491="SBJ"),AND(J491=1,I491=0)),"?IN_FOCUS",IF(J491&lt;=2,"?ACTIVATED",IF(J491&lt;&gt;"","?FAMILIAR",IF(F491="NEW",IF(ISNA(VLOOKUP(E491,#REF!,1,FALSE())),"?TYPE_IDENTIFIABLE","?REFERENTIAL"),"_")))))</f>
        <v/>
      </c>
      <c r="H491" s="24" t="str">
        <f t="shared" ca="1" si="33"/>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155</v>
      </c>
      <c r="E492" s="21" t="str">
        <f t="shared" si="32"/>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33"/>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4" spans="1:12" x14ac:dyDescent="0.3">
      <c r="A494" t="s">
        <v>368</v>
      </c>
    </row>
    <row r="495" spans="1:12" x14ac:dyDescent="0.3">
      <c r="A495" t="s">
        <v>110</v>
      </c>
      <c r="E495" s="21" t="str">
        <f t="shared" ref="E495:E526" si="34">IF(D495="?OLD","!!!","")</f>
        <v/>
      </c>
      <c r="F495" s="22" t="str">
        <f>IF(OR(E495="",E495="!!!"),"",IF(NOT(ISNA(VLOOKUP(E495,E$1:E494,1,FALSE()))),"OLD",IF(AND(E495&lt;&gt;"",E495&lt;&gt;"!!!"),"NEW","")))</f>
        <v/>
      </c>
      <c r="G495" s="23" t="str">
        <f>IF(OR(E495="",E495="!!!"),"",IF(OR(J495=0,AND(J495=1,K495=1),AND(J495=1,I495="SBJ"),AND(J495=1,I495=0)),"?IN_FOCUS",IF(J495&lt;=2,"?ACTIVATED",IF(J495&lt;&gt;"","?FAMILIAR",IF(F495="NEW",IF(ISNA(VLOOKUP(E495,#REF!,1,FALSE())),"?TYPE_IDENTIFIABLE","?REFERENTIAL"),"_")))))</f>
        <v/>
      </c>
      <c r="H495" s="24" t="str">
        <f t="shared" ref="H495:H526" ca="1" si="35">IF(J495&lt;&gt;1,"",IF(I495="SBJ","CB","?"))</f>
        <v/>
      </c>
      <c r="I495" s="25" t="str">
        <f>IF(OR(E495="",E495="!!!",F495="NEW"),"",INDEX(B$2:B494,-1+SUMPRODUCT(MAX(ROW(E$2:E494)*(E495=E$2:E494)))))</f>
        <v/>
      </c>
      <c r="J495" s="25" t="str">
        <f ca="1">IF(OR(E495="",E495="!!!",F495="NEW"),"",COUNTBLANK(OFFSET(A$1,,,SUMPRODUCT(MAX(ROW(E$2:E495)*(E495=E$2:E495)))))-COUNTBLANK(OFFSET(A$1,,,SUMPRODUCT(MAX(ROW(E$1:E494)*(E2=E$1:E494))))))</f>
        <v/>
      </c>
      <c r="K495" s="25" t="str">
        <f>IF(OR(E495="",E495="!!!",F495="NEW"),"",INDEX(J$1:J494,SUMPRODUCT(MAX(ROW(E$1:E494)*(E495=E$1:E494)))))</f>
        <v/>
      </c>
      <c r="L495" s="26"/>
    </row>
    <row r="496" spans="1:12" x14ac:dyDescent="0.3">
      <c r="A496" t="s">
        <v>369</v>
      </c>
      <c r="B496" s="20" t="s">
        <v>91</v>
      </c>
      <c r="C496" s="20" t="s">
        <v>112</v>
      </c>
      <c r="D496" s="20" t="s">
        <v>102</v>
      </c>
      <c r="E496" s="21" t="s">
        <v>441</v>
      </c>
      <c r="F496" s="22" t="str">
        <f>IF(OR(E496="",E496="!!!"),"",IF(NOT(ISNA(VLOOKUP(E496,E$1:E495,1,FALSE()))),"OLD",IF(AND(E496&lt;&gt;"",E496&lt;&gt;"!!!"),"NEW","")))</f>
        <v>NEW</v>
      </c>
      <c r="G496" s="23" t="s">
        <v>448</v>
      </c>
      <c r="H496" s="24" t="str">
        <f t="shared" ca="1" si="35"/>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370</v>
      </c>
      <c r="E497" s="21" t="str">
        <f t="shared" si="34"/>
        <v/>
      </c>
      <c r="F497" s="22" t="str">
        <f>IF(OR(E497="",E497="!!!"),"",IF(NOT(ISNA(VLOOKUP(E497,E$1:E496,1,FALSE()))),"OLD",IF(AND(E497&lt;&gt;"",E497&lt;&gt;"!!!"),"NEW","")))</f>
        <v/>
      </c>
      <c r="G497" s="23" t="str">
        <f>IF(OR(E497="",E497="!!!"),"",IF(OR(J497=0,AND(J497=1,K497=1),AND(J497=1,I497="SBJ"),AND(J497=1,I497=0)),"?IN_FOCUS",IF(J497&lt;=2,"?ACTIVATED",IF(J497&lt;&gt;"","?FAMILIAR",IF(F497="NEW",IF(ISNA(VLOOKUP(E497,#REF!,1,FALSE())),"?TYPE_IDENTIFIABLE","?REFERENTIAL"),"_")))))</f>
        <v/>
      </c>
      <c r="H497" s="24" t="str">
        <f t="shared" ca="1" si="35"/>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97</v>
      </c>
      <c r="E498" s="21" t="str">
        <f t="shared" si="34"/>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35"/>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171</v>
      </c>
      <c r="E499" s="21" t="str">
        <f t="shared" si="34"/>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35"/>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273</v>
      </c>
      <c r="E500" s="21" t="str">
        <f t="shared" si="34"/>
        <v/>
      </c>
      <c r="F500" s="22" t="str">
        <f>IF(OR(E500="",E500="!!!"),"",IF(NOT(ISNA(VLOOKUP(E500,E$1:E499,1,FALSE()))),"OLD",IF(AND(E500&lt;&gt;"",E500&lt;&gt;"!!!"),"NEW","")))</f>
        <v/>
      </c>
      <c r="G500" s="23" t="str">
        <f>IF(OR(E500="",E500="!!!"),"",IF(OR(J500=0,AND(J500=1,K500=1),AND(J500=1,I500="SBJ"),AND(J500=1,I500=0)),"?IN_FOCUS",IF(J500&lt;=2,"?ACTIVATED",IF(J500&lt;&gt;"","?FAMILIAR",IF(F500="NEW",IF(ISNA(VLOOKUP(E500,#REF!,1,FALSE())),"?TYPE_IDENTIFIABLE","?REFERENTIAL"),"_")))))</f>
        <v/>
      </c>
      <c r="H500" s="24" t="str">
        <f t="shared" ca="1" si="35"/>
        <v/>
      </c>
      <c r="I500" s="25" t="str">
        <f>IF(OR(E500="",E500="!!!",F500="NEW"),"",INDEX(B$2:B499,-1+SUMPRODUCT(MAX(ROW(E$2:E499)*(E500=E$2:E499)))))</f>
        <v/>
      </c>
      <c r="J500" s="25" t="str">
        <f ca="1">IF(OR(E500="",E500="!!!",F500="NEW"),"",COUNTBLANK(OFFSET(A$1,,,SUMPRODUCT(MAX(ROW(E$2:E500)*(E500=E$2:E500)))))-COUNTBLANK(OFFSET(A$1,,,SUMPRODUCT(MAX(ROW(E$1:E499)*(E2=E$1:E499))))))</f>
        <v/>
      </c>
      <c r="K500" s="25" t="str">
        <f>IF(OR(E500="",E500="!!!",F500="NEW"),"",INDEX(J$1:J499,SUMPRODUCT(MAX(ROW(E$1:E499)*(E500=E$1:E499)))))</f>
        <v/>
      </c>
      <c r="L500" s="26"/>
    </row>
    <row r="501" spans="1:12" x14ac:dyDescent="0.3">
      <c r="A501" t="s">
        <v>371</v>
      </c>
      <c r="E501" s="21" t="str">
        <f t="shared" si="34"/>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35"/>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372</v>
      </c>
      <c r="E502" s="21" t="str">
        <f t="shared" si="34"/>
        <v/>
      </c>
      <c r="F502" s="22" t="str">
        <f>IF(OR(E502="",E502="!!!"),"",IF(NOT(ISNA(VLOOKUP(E502,E$1:E501,1,FALSE()))),"OLD",IF(AND(E502&lt;&gt;"",E502&lt;&gt;"!!!"),"NEW","")))</f>
        <v/>
      </c>
      <c r="G502" s="23" t="str">
        <f>IF(OR(E502="",E502="!!!"),"",IF(OR(J502=0,AND(J502=1,K502=1),AND(J502=1,I502="SBJ"),AND(J502=1,I502=0)),"?IN_FOCUS",IF(J502&lt;=2,"?ACTIVATED",IF(J502&lt;&gt;"","?FAMILIAR",IF(F502="NEW",IF(ISNA(VLOOKUP(E502,#REF!,1,FALSE())),"?TYPE_IDENTIFIABLE","?REFERENTIAL"),"_")))))</f>
        <v/>
      </c>
      <c r="H502" s="24" t="str">
        <f t="shared" ca="1" si="35"/>
        <v/>
      </c>
      <c r="I502" s="25" t="str">
        <f>IF(OR(E502="",E502="!!!",F502="NEW"),"",INDEX(B$2:B501,-1+SUMPRODUCT(MAX(ROW(E$2:E501)*(E502=E$2:E501)))))</f>
        <v/>
      </c>
      <c r="J502" s="25" t="str">
        <f ca="1">IF(OR(E502="",E502="!!!",F502="NEW"),"",COUNTBLANK(OFFSET(A$1,,,SUMPRODUCT(MAX(ROW(E$2:E502)*(E502=E$2:E502)))))-COUNTBLANK(OFFSET(A$1,,,SUMPRODUCT(MAX(ROW(E$1:E501)*(E2=E$1:E501))))))</f>
        <v/>
      </c>
      <c r="K502" s="25" t="str">
        <f>IF(OR(E502="",E502="!!!",F502="NEW"),"",INDEX(J$1:J501,SUMPRODUCT(MAX(ROW(E$1:E501)*(E502=E$1:E501)))))</f>
        <v/>
      </c>
      <c r="L502" s="26"/>
    </row>
    <row r="503" spans="1:12" x14ac:dyDescent="0.3">
      <c r="A503" t="s">
        <v>373</v>
      </c>
      <c r="B503" s="20" t="s">
        <v>161</v>
      </c>
      <c r="C503" s="20" t="s">
        <v>112</v>
      </c>
      <c r="D503" s="20" t="s">
        <v>102</v>
      </c>
      <c r="E503" s="21" t="s">
        <v>443</v>
      </c>
      <c r="F503" s="22" t="str">
        <f>IF(OR(E503="",E503="!!!"),"",IF(NOT(ISNA(VLOOKUP(E503,E$1:E502,1,FALSE()))),"OLD",IF(AND(E503&lt;&gt;"",E503&lt;&gt;"!!!"),"NEW","")))</f>
        <v>NEW</v>
      </c>
      <c r="G503" s="23" t="s">
        <v>448</v>
      </c>
      <c r="H503" s="24" t="str">
        <f t="shared" ca="1" si="35"/>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137</v>
      </c>
      <c r="E504" s="21" t="str">
        <f t="shared" si="34"/>
        <v/>
      </c>
      <c r="F504" s="22" t="str">
        <f>IF(OR(E504="",E504="!!!"),"",IF(NOT(ISNA(VLOOKUP(E504,E$1:E503,1,FALSE()))),"OLD",IF(AND(E504&lt;&gt;"",E504&lt;&gt;"!!!"),"NEW","")))</f>
        <v/>
      </c>
      <c r="G504" s="23" t="str">
        <f>IF(OR(E504="",E504="!!!"),"",IF(OR(J504=0,AND(J504=1,K504=1),AND(J504=1,I504="SBJ"),AND(J504=1,I504=0)),"?IN_FOCUS",IF(J504&lt;=2,"?ACTIVATED",IF(J504&lt;&gt;"","?FAMILIAR",IF(F504="NEW",IF(ISNA(VLOOKUP(E504,#REF!,1,FALSE())),"?TYPE_IDENTIFIABLE","?REFERENTIAL"),"_")))))</f>
        <v/>
      </c>
      <c r="H504" s="24" t="str">
        <f t="shared" ca="1" si="35"/>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361</v>
      </c>
      <c r="E505" s="21" t="str">
        <f t="shared" si="34"/>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35"/>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374</v>
      </c>
      <c r="E506" s="21" t="str">
        <f t="shared" si="34"/>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35"/>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375</v>
      </c>
      <c r="B507" s="20" t="s">
        <v>195</v>
      </c>
      <c r="C507" s="20" t="s">
        <v>280</v>
      </c>
      <c r="E507" s="21" t="str">
        <f t="shared" si="34"/>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35"/>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16</v>
      </c>
      <c r="E508" s="21" t="str">
        <f t="shared" si="34"/>
        <v/>
      </c>
      <c r="F508" s="22" t="str">
        <f>IF(OR(E508="",E508="!!!"),"",IF(NOT(ISNA(VLOOKUP(E508,E$1:E507,1,FALSE()))),"OLD",IF(AND(E508&lt;&gt;"",E508&lt;&gt;"!!!"),"NEW","")))</f>
        <v/>
      </c>
      <c r="G508" s="23" t="str">
        <f>IF(OR(E508="",E508="!!!"),"",IF(OR(J508=0,AND(J508=1,K508=1),AND(J508=1,I508="SBJ"),AND(J508=1,I508=0)),"?IN_FOCUS",IF(J508&lt;=2,"?ACTIVATED",IF(J508&lt;&gt;"","?FAMILIAR",IF(F508="NEW",IF(ISNA(VLOOKUP(E508,#REF!,1,FALSE())),"?TYPE_IDENTIFIABLE","?REFERENTIAL"),"_")))))</f>
        <v/>
      </c>
      <c r="H508" s="24" t="str">
        <f t="shared" ca="1" si="35"/>
        <v/>
      </c>
      <c r="I508" s="25" t="str">
        <f>IF(OR(E508="",E508="!!!",F508="NEW"),"",INDEX(B$2:B507,-1+SUMPRODUCT(MAX(ROW(E$2:E507)*(E508=E$2:E507)))))</f>
        <v/>
      </c>
      <c r="J508" s="25" t="str">
        <f ca="1">IF(OR(E508="",E508="!!!",F508="NEW"),"",COUNTBLANK(OFFSET(A$1,,,SUMPRODUCT(MAX(ROW(E$2:E508)*(E508=E$2:E508)))))-COUNTBLANK(OFFSET(A$1,,,SUMPRODUCT(MAX(ROW(E$1:E507)*(E2=E$1:E507))))))</f>
        <v/>
      </c>
      <c r="K508" s="25" t="str">
        <f>IF(OR(E508="",E508="!!!",F508="NEW"),"",INDEX(J$1:J507,SUMPRODUCT(MAX(ROW(E$1:E507)*(E508=E$1:E507)))))</f>
        <v/>
      </c>
      <c r="L508" s="26"/>
    </row>
    <row r="509" spans="1:12" x14ac:dyDescent="0.3">
      <c r="A509" t="s">
        <v>217</v>
      </c>
      <c r="E509" s="21" t="str">
        <f t="shared" si="34"/>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ca="1" si="35"/>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376</v>
      </c>
      <c r="B510" s="20" t="s">
        <v>120</v>
      </c>
      <c r="C510" s="20" t="s">
        <v>92</v>
      </c>
      <c r="E510" s="21" t="str">
        <f t="shared" si="34"/>
        <v/>
      </c>
      <c r="F510" s="22" t="str">
        <f>IF(OR(E510="",E510="!!!"),"",IF(NOT(ISNA(VLOOKUP(E510,E$1:E509,1,FALSE()))),"OLD",IF(AND(E510&lt;&gt;"",E510&lt;&gt;"!!!"),"NEW","")))</f>
        <v/>
      </c>
      <c r="G510" s="23" t="str">
        <f>IF(OR(E510="",E510="!!!"),"",IF(OR(J510=0,AND(J510=1,K510=1),AND(J510=1,I510="SBJ"),AND(J510=1,I510=0)),"?IN_FOCUS",IF(J510&lt;=2,"?ACTIVATED",IF(J510&lt;&gt;"","?FAMILIAR",IF(F510="NEW",IF(ISNA(VLOOKUP(E510,#REF!,1,FALSE())),"?TYPE_IDENTIFIABLE","?REFERENTIAL"),"_")))))</f>
        <v/>
      </c>
      <c r="H510" s="24" t="str">
        <f t="shared" ca="1" si="35"/>
        <v/>
      </c>
      <c r="I510" s="25" t="str">
        <f>IF(OR(E510="",E510="!!!",F510="NEW"),"",INDEX(B$2:B509,-1+SUMPRODUCT(MAX(ROW(E$2:E509)*(E510=E$2:E509)))))</f>
        <v/>
      </c>
      <c r="J510" s="25" t="str">
        <f ca="1">IF(OR(E510="",E510="!!!",F510="NEW"),"",COUNTBLANK(OFFSET(A$1,,,SUMPRODUCT(MAX(ROW(E$2:E510)*(E510=E$2:E510)))))-COUNTBLANK(OFFSET(A$1,,,SUMPRODUCT(MAX(ROW(E$1:E509)*(E2=E$1:E509))))))</f>
        <v/>
      </c>
      <c r="K510" s="25" t="str">
        <f>IF(OR(E510="",E510="!!!",F510="NEW"),"",INDEX(J$1:J509,SUMPRODUCT(MAX(ROW(E$1:E509)*(E510=E$1:E509)))))</f>
        <v/>
      </c>
      <c r="L510" s="26"/>
    </row>
    <row r="511" spans="1:12" x14ac:dyDescent="0.3">
      <c r="A511" t="s">
        <v>97</v>
      </c>
      <c r="E511" s="21" t="str">
        <f t="shared" si="34"/>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35"/>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2" spans="1:12" x14ac:dyDescent="0.3">
      <c r="A512" t="s">
        <v>377</v>
      </c>
      <c r="B512" s="20" t="s">
        <v>120</v>
      </c>
      <c r="C512" s="20" t="s">
        <v>92</v>
      </c>
      <c r="E512" s="21" t="str">
        <f t="shared" si="34"/>
        <v/>
      </c>
      <c r="F512" s="22" t="str">
        <f>IF(OR(E512="",E512="!!!"),"",IF(NOT(ISNA(VLOOKUP(E512,E$1:E511,1,FALSE()))),"OLD",IF(AND(E512&lt;&gt;"",E512&lt;&gt;"!!!"),"NEW","")))</f>
        <v/>
      </c>
      <c r="G512" s="23" t="str">
        <f>IF(OR(E512="",E512="!!!"),"",IF(OR(J512=0,AND(J512=1,K512=1),AND(J512=1,I512="SBJ"),AND(J512=1,I512=0)),"?IN_FOCUS",IF(J512&lt;=2,"?ACTIVATED",IF(J512&lt;&gt;"","?FAMILIAR",IF(F512="NEW",IF(ISNA(VLOOKUP(E512,#REF!,1,FALSE())),"?TYPE_IDENTIFIABLE","?REFERENTIAL"),"_")))))</f>
        <v/>
      </c>
      <c r="H512" s="24" t="str">
        <f t="shared" ca="1" si="35"/>
        <v/>
      </c>
      <c r="I512" s="25" t="str">
        <f>IF(OR(E512="",E512="!!!",F512="NEW"),"",INDEX(B$2:B511,-1+SUMPRODUCT(MAX(ROW(E$2:E511)*(E512=E$2:E511)))))</f>
        <v/>
      </c>
      <c r="J512" s="25" t="str">
        <f ca="1">IF(OR(E512="",E512="!!!",F512="NEW"),"",COUNTBLANK(OFFSET(A$1,,,SUMPRODUCT(MAX(ROW(E$2:E512)*(E512=E$2:E512)))))-COUNTBLANK(OFFSET(A$1,,,SUMPRODUCT(MAX(ROW(E$1:E511)*(E2=E$1:E511))))))</f>
        <v/>
      </c>
      <c r="K512" s="25" t="str">
        <f>IF(OR(E512="",E512="!!!",F512="NEW"),"",INDEX(J$1:J511,SUMPRODUCT(MAX(ROW(E$1:E511)*(E512=E$1:E511)))))</f>
        <v/>
      </c>
      <c r="L512" s="26"/>
    </row>
    <row r="513" spans="1:12" x14ac:dyDescent="0.3">
      <c r="A513" t="s">
        <v>147</v>
      </c>
      <c r="E513" s="21" t="str">
        <f t="shared" si="34"/>
        <v/>
      </c>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ca="1" si="35"/>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378</v>
      </c>
      <c r="B514" s="20" t="s">
        <v>123</v>
      </c>
      <c r="C514" s="20" t="s">
        <v>92</v>
      </c>
      <c r="E514" s="21" t="str">
        <f t="shared" si="34"/>
        <v/>
      </c>
      <c r="F514" s="22" t="str">
        <f>IF(OR(E514="",E514="!!!"),"",IF(NOT(ISNA(VLOOKUP(E514,E$1:E513,1,FALSE()))),"OLD",IF(AND(E514&lt;&gt;"",E514&lt;&gt;"!!!"),"NEW","")))</f>
        <v/>
      </c>
      <c r="G514" s="23" t="str">
        <f>IF(OR(E514="",E514="!!!"),"",IF(OR(J514=0,AND(J514=1,K514=1),AND(J514=1,I514="SBJ"),AND(J514=1,I514=0)),"?IN_FOCUS",IF(J514&lt;=2,"?ACTIVATED",IF(J514&lt;&gt;"","?FAMILIAR",IF(F514="NEW",IF(ISNA(VLOOKUP(E514,#REF!,1,FALSE())),"?TYPE_IDENTIFIABLE","?REFERENTIAL"),"_")))))</f>
        <v/>
      </c>
      <c r="H514" s="24" t="str">
        <f t="shared" ca="1" si="35"/>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97</v>
      </c>
      <c r="E515" s="21" t="str">
        <f t="shared" si="34"/>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ca="1" si="35"/>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379</v>
      </c>
      <c r="E516" s="21" t="str">
        <f t="shared" si="34"/>
        <v/>
      </c>
      <c r="F516" s="22" t="str">
        <f>IF(OR(E516="",E516="!!!"),"",IF(NOT(ISNA(VLOOKUP(E516,E$1:E515,1,FALSE()))),"OLD",IF(AND(E516&lt;&gt;"",E516&lt;&gt;"!!!"),"NEW","")))</f>
        <v/>
      </c>
      <c r="G516" s="23" t="str">
        <f>IF(OR(E516="",E516="!!!"),"",IF(OR(J516=0,AND(J516=1,K516=1),AND(J516=1,I516="SBJ"),AND(J516=1,I516=0)),"?IN_FOCUS",IF(J516&lt;=2,"?ACTIVATED",IF(J516&lt;&gt;"","?FAMILIAR",IF(F516="NEW",IF(ISNA(VLOOKUP(E516,#REF!,1,FALSE())),"?TYPE_IDENTIFIABLE","?REFERENTIAL"),"_")))))</f>
        <v/>
      </c>
      <c r="H516" s="24" t="str">
        <f t="shared" ca="1" si="35"/>
        <v/>
      </c>
      <c r="I516" s="25" t="str">
        <f>IF(OR(E516="",E516="!!!",F516="NEW"),"",INDEX(B$2:B515,-1+SUMPRODUCT(MAX(ROW(E$2:E515)*(E516=E$2:E515)))))</f>
        <v/>
      </c>
      <c r="J516" s="25" t="str">
        <f ca="1">IF(OR(E516="",E516="!!!",F516="NEW"),"",COUNTBLANK(OFFSET(A$1,,,SUMPRODUCT(MAX(ROW(E$2:E516)*(E516=E$2:E516)))))-COUNTBLANK(OFFSET(A$1,,,SUMPRODUCT(MAX(ROW(E$1:E515)*(E2=E$1:E515))))))</f>
        <v/>
      </c>
      <c r="K516" s="25" t="str">
        <f>IF(OR(E516="",E516="!!!",F516="NEW"),"",INDEX(J$1:J515,SUMPRODUCT(MAX(ROW(E$1:E515)*(E516=E$1:E515)))))</f>
        <v/>
      </c>
      <c r="L516" s="26"/>
    </row>
    <row r="517" spans="1:12" x14ac:dyDescent="0.3">
      <c r="A517" t="s">
        <v>378</v>
      </c>
      <c r="B517" s="20" t="s">
        <v>120</v>
      </c>
      <c r="C517" s="20" t="s">
        <v>92</v>
      </c>
      <c r="E517" s="21" t="str">
        <f t="shared" si="34"/>
        <v/>
      </c>
      <c r="F517" s="22" t="str">
        <f>IF(OR(E517="",E517="!!!"),"",IF(NOT(ISNA(VLOOKUP(E517,E$1:E516,1,FALSE()))),"OLD",IF(AND(E517&lt;&gt;"",E517&lt;&gt;"!!!"),"NEW","")))</f>
        <v/>
      </c>
      <c r="G517" s="23" t="str">
        <f>IF(OR(E517="",E517="!!!"),"",IF(OR(J517=0,AND(J517=1,K517=1),AND(J517=1,I517="SBJ"),AND(J517=1,I517=0)),"?IN_FOCUS",IF(J517&lt;=2,"?ACTIVATED",IF(J517&lt;&gt;"","?FAMILIAR",IF(F517="NEW",IF(ISNA(VLOOKUP(E517,#REF!,1,FALSE())),"?TYPE_IDENTIFIABLE","?REFERENTIAL"),"_")))))</f>
        <v/>
      </c>
      <c r="H517" s="24" t="str">
        <f t="shared" ca="1" si="35"/>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184</v>
      </c>
      <c r="E518" s="21" t="str">
        <f t="shared" si="34"/>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35"/>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380</v>
      </c>
      <c r="B519" s="20" t="s">
        <v>123</v>
      </c>
      <c r="C519" s="20" t="s">
        <v>270</v>
      </c>
      <c r="D519" s="20" t="s">
        <v>102</v>
      </c>
      <c r="E519" s="21"/>
      <c r="F519" s="22" t="s">
        <v>416</v>
      </c>
      <c r="G519" s="23" t="str">
        <f>IF(OR(E519="",E519="!!!"),"",IF(OR(J519=0,AND(J519=1,K519=1),AND(J519=1,I519="SBJ"),AND(J519=1,I519=0)),"?IN_FOCUS",IF(J519&lt;=2,"?ACTIVATED",IF(J519&lt;&gt;"","?FAMILIAR",IF(F519="NEW",IF(ISNA(VLOOKUP(E519,#REF!,1,FALSE())),"?TYPE_IDENTIFIABLE","?REFERENTIAL"),"_")))))</f>
        <v/>
      </c>
      <c r="H519" s="24" t="str">
        <f t="shared" ca="1" si="35"/>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97</v>
      </c>
      <c r="E520" s="21" t="str">
        <f t="shared" si="34"/>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35"/>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118</v>
      </c>
      <c r="B521" s="20" t="s">
        <v>381</v>
      </c>
      <c r="C521" s="20" t="s">
        <v>101</v>
      </c>
      <c r="D521" s="20" t="s">
        <v>102</v>
      </c>
      <c r="E521" s="21"/>
      <c r="F521" s="22" t="s">
        <v>426</v>
      </c>
      <c r="G521" s="23" t="str">
        <f>IF(OR(E521="",E521="!!!"),"",IF(OR(J521=0,AND(J521=1,K521=1),AND(J521=1,I521="SBJ"),AND(J521=1,I521=0)),"?IN_FOCUS",IF(J521&lt;=2,"?ACTIVATED",IF(J521&lt;&gt;"","?FAMILIAR",IF(F521="NEW",IF(ISNA(VLOOKUP(E521,#REF!,1,FALSE())),"?TYPE_IDENTIFIABLE","?REFERENTIAL"),"_")))))</f>
        <v/>
      </c>
      <c r="H521" s="24" t="str">
        <f t="shared" ca="1" si="35"/>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242</v>
      </c>
      <c r="E522" s="21" t="str">
        <f t="shared" si="34"/>
        <v/>
      </c>
      <c r="F522" s="22" t="str">
        <f>IF(OR(E522="",E522="!!!"),"",IF(NOT(ISNA(VLOOKUP(E522,E$1:E521,1,FALSE()))),"OLD",IF(AND(E522&lt;&gt;"",E522&lt;&gt;"!!!"),"NEW","")))</f>
        <v/>
      </c>
      <c r="G522" s="23" t="str">
        <f>IF(OR(E522="",E522="!!!"),"",IF(OR(J522=0,AND(J522=1,K522=1),AND(J522=1,I522="SBJ"),AND(J522=1,I522=0)),"?IN_FOCUS",IF(J522&lt;=2,"?ACTIVATED",IF(J522&lt;&gt;"","?FAMILIAR",IF(F522="NEW",IF(ISNA(VLOOKUP(E522,#REF!,1,FALSE())),"?TYPE_IDENTIFIABLE","?REFERENTIAL"),"_")))))</f>
        <v/>
      </c>
      <c r="H522" s="24" t="str">
        <f t="shared" ca="1" si="35"/>
        <v/>
      </c>
      <c r="I522" s="25" t="str">
        <f>IF(OR(E522="",E522="!!!",F522="NEW"),"",INDEX(B$2:B521,-1+SUMPRODUCT(MAX(ROW(E$2:E521)*(E522=E$2:E521)))))</f>
        <v/>
      </c>
      <c r="J522" s="25" t="str">
        <f ca="1">IF(OR(E522="",E522="!!!",F522="NEW"),"",COUNTBLANK(OFFSET(A$1,,,SUMPRODUCT(MAX(ROW(E$2:E522)*(E522=E$2:E522)))))-COUNTBLANK(OFFSET(A$1,,,SUMPRODUCT(MAX(ROW(E$1:E521)*(E2=E$1:E521))))))</f>
        <v/>
      </c>
      <c r="K522" s="25" t="str">
        <f>IF(OR(E522="",E522="!!!",F522="NEW"),"",INDEX(J$1:J521,SUMPRODUCT(MAX(ROW(E$1:E521)*(E522=E$1:E521)))))</f>
        <v/>
      </c>
      <c r="L522" s="26"/>
    </row>
    <row r="523" spans="1:12" x14ac:dyDescent="0.3">
      <c r="A523" t="s">
        <v>148</v>
      </c>
      <c r="E523" s="21" t="str">
        <f t="shared" si="34"/>
        <v/>
      </c>
      <c r="F523" s="22" t="str">
        <f>IF(OR(E523="",E523="!!!"),"",IF(NOT(ISNA(VLOOKUP(E523,E$1:E522,1,FALSE()))),"OLD",IF(AND(E523&lt;&gt;"",E523&lt;&gt;"!!!"),"NEW","")))</f>
        <v/>
      </c>
      <c r="G523" s="23" t="str">
        <f>IF(OR(E523="",E523="!!!"),"",IF(OR(J523=0,AND(J523=1,K523=1),AND(J523=1,I523="SBJ"),AND(J523=1,I523=0)),"?IN_FOCUS",IF(J523&lt;=2,"?ACTIVATED",IF(J523&lt;&gt;"","?FAMILIAR",IF(F523="NEW",IF(ISNA(VLOOKUP(E523,#REF!,1,FALSE())),"?TYPE_IDENTIFIABLE","?REFERENTIAL"),"_")))))</f>
        <v/>
      </c>
      <c r="H523" s="24" t="str">
        <f t="shared" ca="1" si="35"/>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382</v>
      </c>
      <c r="E524" s="21" t="str">
        <f t="shared" si="34"/>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35"/>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383</v>
      </c>
      <c r="B525" s="20" t="s">
        <v>244</v>
      </c>
      <c r="C525" s="20" t="s">
        <v>128</v>
      </c>
      <c r="E525" s="21" t="str">
        <f t="shared" si="34"/>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35"/>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6" spans="1:12" x14ac:dyDescent="0.3">
      <c r="A526" t="s">
        <v>384</v>
      </c>
      <c r="E526" s="21" t="str">
        <f t="shared" si="34"/>
        <v/>
      </c>
      <c r="F526" s="22" t="str">
        <f>IF(OR(E526="",E526="!!!"),"",IF(NOT(ISNA(VLOOKUP(E526,E$1:E525,1,FALSE()))),"OLD",IF(AND(E526&lt;&gt;"",E526&lt;&gt;"!!!"),"NEW","")))</f>
        <v/>
      </c>
      <c r="G526" s="23" t="str">
        <f>IF(OR(E526="",E526="!!!"),"",IF(OR(J526=0,AND(J526=1,K526=1),AND(J526=1,I526="SBJ"),AND(J526=1,I526=0)),"?IN_FOCUS",IF(J526&lt;=2,"?ACTIVATED",IF(J526&lt;&gt;"","?FAMILIAR",IF(F526="NEW",IF(ISNA(VLOOKUP(E526,#REF!,1,FALSE())),"?TYPE_IDENTIFIABLE","?REFERENTIAL"),"_")))))</f>
        <v/>
      </c>
      <c r="H526" s="24" t="str">
        <f t="shared" ca="1" si="35"/>
        <v/>
      </c>
      <c r="I526" s="25" t="str">
        <f>IF(OR(E526="",E526="!!!",F526="NEW"),"",INDEX(B$2:B525,-1+SUMPRODUCT(MAX(ROW(E$2:E525)*(E526=E$2:E525)))))</f>
        <v/>
      </c>
      <c r="J526" s="25" t="str">
        <f ca="1">IF(OR(E526="",E526="!!!",F526="NEW"),"",COUNTBLANK(OFFSET(A$1,,,SUMPRODUCT(MAX(ROW(E$2:E526)*(E526=E$2:E526)))))-COUNTBLANK(OFFSET(A$1,,,SUMPRODUCT(MAX(ROW(E$1:E525)*(E2=E$1:E525))))))</f>
        <v/>
      </c>
      <c r="K526" s="25" t="str">
        <f>IF(OR(E526="",E526="!!!",F526="NEW"),"",INDEX(J$1:J525,SUMPRODUCT(MAX(ROW(E$1:E525)*(E526=E$1:E525)))))</f>
        <v/>
      </c>
      <c r="L526" s="26"/>
    </row>
    <row r="527" spans="1:12" x14ac:dyDescent="0.3">
      <c r="A527" t="s">
        <v>97</v>
      </c>
      <c r="E527" s="21" t="str">
        <f t="shared" ref="E527:E558" si="36">IF(D527="?OLD","!!!","")</f>
        <v/>
      </c>
      <c r="F527" s="22" t="str">
        <f>IF(OR(E527="",E527="!!!"),"",IF(NOT(ISNA(VLOOKUP(E527,E$1:E526,1,FALSE()))),"OLD",IF(AND(E527&lt;&gt;"",E527&lt;&gt;"!!!"),"NEW","")))</f>
        <v/>
      </c>
      <c r="G527" s="23" t="str">
        <f>IF(OR(E527="",E527="!!!"),"",IF(OR(J527=0,AND(J527=1,K527=1),AND(J527=1,I527="SBJ"),AND(J527=1,I527=0)),"?IN_FOCUS",IF(J527&lt;=2,"?ACTIVATED",IF(J527&lt;&gt;"","?FAMILIAR",IF(F527="NEW",IF(ISNA(VLOOKUP(E527,#REF!,1,FALSE())),"?TYPE_IDENTIFIABLE","?REFERENTIAL"),"_")))))</f>
        <v/>
      </c>
      <c r="H527" s="24" t="str">
        <f t="shared" ref="H527:H558" ca="1" si="37">IF(J527&lt;&gt;1,"",IF(I527="SBJ","CB","?"))</f>
        <v/>
      </c>
      <c r="I527" s="25" t="str">
        <f>IF(OR(E527="",E527="!!!",F527="NEW"),"",INDEX(B$2:B526,-1+SUMPRODUCT(MAX(ROW(E$2:E526)*(E527=E$2:E526)))))</f>
        <v/>
      </c>
      <c r="J527" s="25" t="str">
        <f ca="1">IF(OR(E527="",E527="!!!",F527="NEW"),"",COUNTBLANK(OFFSET(A$1,,,SUMPRODUCT(MAX(ROW(E$2:E527)*(E527=E$2:E527)))))-COUNTBLANK(OFFSET(A$1,,,SUMPRODUCT(MAX(ROW(E$1:E526)*(E2=E$1:E526))))))</f>
        <v/>
      </c>
      <c r="K527" s="25" t="str">
        <f>IF(OR(E527="",E527="!!!",F527="NEW"),"",INDEX(J$1:J526,SUMPRODUCT(MAX(ROW(E$1:E526)*(E527=E$1:E526)))))</f>
        <v/>
      </c>
      <c r="L527" s="26"/>
    </row>
    <row r="528" spans="1:12" x14ac:dyDescent="0.3">
      <c r="A528" t="s">
        <v>385</v>
      </c>
      <c r="B528" s="20" t="s">
        <v>120</v>
      </c>
      <c r="C528" s="20" t="s">
        <v>92</v>
      </c>
      <c r="E528" s="21" t="str">
        <f t="shared" si="36"/>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ca="1" si="37"/>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97</v>
      </c>
      <c r="E529" s="21" t="str">
        <f t="shared" si="36"/>
        <v/>
      </c>
      <c r="F529" s="22" t="str">
        <f>IF(OR(E529="",E529="!!!"),"",IF(NOT(ISNA(VLOOKUP(E529,E$1:E528,1,FALSE()))),"OLD",IF(AND(E529&lt;&gt;"",E529&lt;&gt;"!!!"),"NEW","")))</f>
        <v/>
      </c>
      <c r="G529" s="23" t="str">
        <f>IF(OR(E529="",E529="!!!"),"",IF(OR(J529=0,AND(J529=1,K529=1),AND(J529=1,I529="SBJ"),AND(J529=1,I529=0)),"?IN_FOCUS",IF(J529&lt;=2,"?ACTIVATED",IF(J529&lt;&gt;"","?FAMILIAR",IF(F529="NEW",IF(ISNA(VLOOKUP(E529,#REF!,1,FALSE())),"?TYPE_IDENTIFIABLE","?REFERENTIAL"),"_")))))</f>
        <v/>
      </c>
      <c r="H529" s="24" t="str">
        <f t="shared" ca="1" si="37"/>
        <v/>
      </c>
      <c r="I529" s="25" t="str">
        <f>IF(OR(E529="",E529="!!!",F529="NEW"),"",INDEX(B$2:B528,-1+SUMPRODUCT(MAX(ROW(E$2:E528)*(E529=E$2:E528)))))</f>
        <v/>
      </c>
      <c r="J529" s="25" t="str">
        <f ca="1">IF(OR(E529="",E529="!!!",F529="NEW"),"",COUNTBLANK(OFFSET(A$1,,,SUMPRODUCT(MAX(ROW(E$2:E529)*(E529=E$2:E529)))))-COUNTBLANK(OFFSET(A$1,,,SUMPRODUCT(MAX(ROW(E$1:E528)*(E2=E$1:E528))))))</f>
        <v/>
      </c>
      <c r="K529" s="25" t="str">
        <f>IF(OR(E529="",E529="!!!",F529="NEW"),"",INDEX(J$1:J528,SUMPRODUCT(MAX(ROW(E$1:E528)*(E529=E$1:E528)))))</f>
        <v/>
      </c>
      <c r="L529" s="26"/>
    </row>
    <row r="530" spans="1:12" x14ac:dyDescent="0.3">
      <c r="A530" t="s">
        <v>386</v>
      </c>
      <c r="E530" s="21" t="str">
        <f t="shared" si="36"/>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37"/>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387</v>
      </c>
      <c r="B531" s="20" t="s">
        <v>120</v>
      </c>
      <c r="C531" s="20" t="s">
        <v>92</v>
      </c>
      <c r="E531" s="21" t="str">
        <f t="shared" si="36"/>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37"/>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208</v>
      </c>
      <c r="E532" s="21" t="str">
        <f t="shared" si="36"/>
        <v/>
      </c>
      <c r="F532" s="22" t="str">
        <f>IF(OR(E532="",E532="!!!"),"",IF(NOT(ISNA(VLOOKUP(E532,E$1:E531,1,FALSE()))),"OLD",IF(AND(E532&lt;&gt;"",E532&lt;&gt;"!!!"),"NEW","")))</f>
        <v/>
      </c>
      <c r="G532" s="23" t="str">
        <f>IF(OR(E532="",E532="!!!"),"",IF(OR(J532=0,AND(J532=1,K532=1),AND(J532=1,I532="SBJ"),AND(J532=1,I532=0)),"?IN_FOCUS",IF(J532&lt;=2,"?ACTIVATED",IF(J532&lt;&gt;"","?FAMILIAR",IF(F532="NEW",IF(ISNA(VLOOKUP(E532,#REF!,1,FALSE())),"?TYPE_IDENTIFIABLE","?REFERENTIAL"),"_")))))</f>
        <v/>
      </c>
      <c r="H532" s="24" t="str">
        <f t="shared" ca="1" si="37"/>
        <v/>
      </c>
      <c r="I532" s="25" t="str">
        <f>IF(OR(E532="",E532="!!!",F532="NEW"),"",INDEX(B$2:B531,-1+SUMPRODUCT(MAX(ROW(E$2:E531)*(E532=E$2:E531)))))</f>
        <v/>
      </c>
      <c r="J532" s="25" t="str">
        <f ca="1">IF(OR(E532="",E532="!!!",F532="NEW"),"",COUNTBLANK(OFFSET(A$1,,,SUMPRODUCT(MAX(ROW(E$2:E532)*(E532=E$2:E532)))))-COUNTBLANK(OFFSET(A$1,,,SUMPRODUCT(MAX(ROW(E$1:E531)*(E2=E$1:E531))))))</f>
        <v/>
      </c>
      <c r="K532" s="25" t="str">
        <f>IF(OR(E532="",E532="!!!",F532="NEW"),"",INDEX(J$1:J531,SUMPRODUCT(MAX(ROW(E$1:E531)*(E532=E$1:E531)))))</f>
        <v/>
      </c>
      <c r="L532" s="26"/>
    </row>
    <row r="533" spans="1:12" x14ac:dyDescent="0.3">
      <c r="A533" t="s">
        <v>388</v>
      </c>
      <c r="B533" s="20" t="s">
        <v>123</v>
      </c>
      <c r="C533" s="20" t="s">
        <v>112</v>
      </c>
      <c r="D533" s="20" t="s">
        <v>102</v>
      </c>
      <c r="E533" s="21"/>
      <c r="F533" s="22" t="s">
        <v>416</v>
      </c>
      <c r="G533" s="23" t="str">
        <f>IF(OR(E533="",E533="!!!"),"",IF(OR(J533=0,AND(J533=1,K533=1),AND(J533=1,I533="SBJ"),AND(J533=1,I533=0)),"?IN_FOCUS",IF(J533&lt;=2,"?ACTIVATED",IF(J533&lt;&gt;"","?FAMILIAR",IF(F533="NEW",IF(ISNA(VLOOKUP(E533,#REF!,1,FALSE())),"?TYPE_IDENTIFIABLE","?REFERENTIAL"),"_")))))</f>
        <v/>
      </c>
      <c r="H533" s="24" t="str">
        <f t="shared" ca="1" si="37"/>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97</v>
      </c>
      <c r="E534" s="21" t="str">
        <f t="shared" si="36"/>
        <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ca="1" si="37"/>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389</v>
      </c>
      <c r="B535" s="20" t="s">
        <v>120</v>
      </c>
      <c r="C535" s="20" t="s">
        <v>92</v>
      </c>
      <c r="E535" s="21" t="str">
        <f t="shared" si="36"/>
        <v/>
      </c>
      <c r="F535" s="22" t="str">
        <f>IF(OR(E535="",E535="!!!"),"",IF(NOT(ISNA(VLOOKUP(E535,E$1:E534,1,FALSE()))),"OLD",IF(AND(E535&lt;&gt;"",E535&lt;&gt;"!!!"),"NEW","")))</f>
        <v/>
      </c>
      <c r="G535" s="23" t="str">
        <f>IF(OR(E535="",E535="!!!"),"",IF(OR(J535=0,AND(J535=1,K535=1),AND(J535=1,I535="SBJ"),AND(J535=1,I535=0)),"?IN_FOCUS",IF(J535&lt;=2,"?ACTIVATED",IF(J535&lt;&gt;"","?FAMILIAR",IF(F535="NEW",IF(ISNA(VLOOKUP(E535,#REF!,1,FALSE())),"?TYPE_IDENTIFIABLE","?REFERENTIAL"),"_")))))</f>
        <v/>
      </c>
      <c r="H535" s="24" t="str">
        <f t="shared" ca="1" si="37"/>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169</v>
      </c>
      <c r="E536" s="21" t="str">
        <f t="shared" si="36"/>
        <v/>
      </c>
      <c r="F536" s="22" t="str">
        <f>IF(OR(E536="",E536="!!!"),"",IF(NOT(ISNA(VLOOKUP(E536,E$1:E535,1,FALSE()))),"OLD",IF(AND(E536&lt;&gt;"",E536&lt;&gt;"!!!"),"NEW","")))</f>
        <v/>
      </c>
      <c r="G536" s="23" t="str">
        <f>IF(OR(E536="",E536="!!!"),"",IF(OR(J536=0,AND(J536=1,K536=1),AND(J536=1,I536="SBJ"),AND(J536=1,I536=0)),"?IN_FOCUS",IF(J536&lt;=2,"?ACTIVATED",IF(J536&lt;&gt;"","?FAMILIAR",IF(F536="NEW",IF(ISNA(VLOOKUP(E536,#REF!,1,FALSE())),"?TYPE_IDENTIFIABLE","?REFERENTIAL"),"_")))))</f>
        <v/>
      </c>
      <c r="H536" s="24" t="str">
        <f t="shared" ca="1" si="37"/>
        <v/>
      </c>
      <c r="I536" s="25" t="str">
        <f>IF(OR(E536="",E536="!!!",F536="NEW"),"",INDEX(B$2:B535,-1+SUMPRODUCT(MAX(ROW(E$2:E535)*(E536=E$2:E535)))))</f>
        <v/>
      </c>
      <c r="J536" s="25" t="str">
        <f ca="1">IF(OR(E536="",E536="!!!",F536="NEW"),"",COUNTBLANK(OFFSET(A$1,,,SUMPRODUCT(MAX(ROW(E$2:E536)*(E536=E$2:E536)))))-COUNTBLANK(OFFSET(A$1,,,SUMPRODUCT(MAX(ROW(E$1:E535)*(E2=E$1:E535))))))</f>
        <v/>
      </c>
      <c r="K536" s="25" t="str">
        <f>IF(OR(E536="",E536="!!!",F536="NEW"),"",INDEX(J$1:J535,SUMPRODUCT(MAX(ROW(E$1:E535)*(E536=E$1:E535)))))</f>
        <v/>
      </c>
      <c r="L536" s="26"/>
    </row>
    <row r="537" spans="1:12" x14ac:dyDescent="0.3">
      <c r="A537" t="s">
        <v>273</v>
      </c>
      <c r="E537" s="21" t="str">
        <f t="shared" si="36"/>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37"/>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390</v>
      </c>
      <c r="E538" s="21" t="str">
        <f t="shared" si="36"/>
        <v/>
      </c>
      <c r="F538" s="22" t="str">
        <f>IF(OR(E538="",E538="!!!"),"",IF(NOT(ISNA(VLOOKUP(E538,E$1:E537,1,FALSE()))),"OLD",IF(AND(E538&lt;&gt;"",E538&lt;&gt;"!!!"),"NEW","")))</f>
        <v/>
      </c>
      <c r="G538" s="23" t="str">
        <f>IF(OR(E538="",E538="!!!"),"",IF(OR(J538=0,AND(J538=1,K538=1),AND(J538=1,I538="SBJ"),AND(J538=1,I538=0)),"?IN_FOCUS",IF(J538&lt;=2,"?ACTIVATED",IF(J538&lt;&gt;"","?FAMILIAR",IF(F538="NEW",IF(ISNA(VLOOKUP(E538,#REF!,1,FALSE())),"?TYPE_IDENTIFIABLE","?REFERENTIAL"),"_")))))</f>
        <v/>
      </c>
      <c r="H538" s="24" t="str">
        <f t="shared" ca="1" si="37"/>
        <v/>
      </c>
      <c r="I538" s="25" t="str">
        <f>IF(OR(E538="",E538="!!!",F538="NEW"),"",INDEX(B$2:B537,-1+SUMPRODUCT(MAX(ROW(E$2:E537)*(E538=E$2:E537)))))</f>
        <v/>
      </c>
      <c r="J538" s="25" t="str">
        <f ca="1">IF(OR(E538="",E538="!!!",F538="NEW"),"",COUNTBLANK(OFFSET(A$1,,,SUMPRODUCT(MAX(ROW(E$2:E538)*(E538=E$2:E538)))))-COUNTBLANK(OFFSET(A$1,,,SUMPRODUCT(MAX(ROW(E$1:E537)*(E2=E$1:E537))))))</f>
        <v/>
      </c>
      <c r="K538" s="25" t="str">
        <f>IF(OR(E538="",E538="!!!",F538="NEW"),"",INDEX(J$1:J537,SUMPRODUCT(MAX(ROW(E$1:E537)*(E538=E$1:E537)))))</f>
        <v/>
      </c>
      <c r="L538" s="26"/>
    </row>
    <row r="539" spans="1:12" x14ac:dyDescent="0.3">
      <c r="A539" t="s">
        <v>391</v>
      </c>
      <c r="B539" s="20" t="s">
        <v>120</v>
      </c>
      <c r="C539" s="20" t="s">
        <v>112</v>
      </c>
      <c r="D539" s="20" t="s">
        <v>102</v>
      </c>
      <c r="E539" s="21"/>
      <c r="F539" s="22" t="s">
        <v>416</v>
      </c>
      <c r="G539" s="23" t="str">
        <f>IF(OR(E539="",E539="!!!"),"",IF(OR(J539=0,AND(J539=1,K539=1),AND(J539=1,I539="SBJ"),AND(J539=1,I539=0)),"?IN_FOCUS",IF(J539&lt;=2,"?ACTIVATED",IF(J539&lt;&gt;"","?FAMILIAR",IF(F539="NEW",IF(ISNA(VLOOKUP(E539,#REF!,1,FALSE())),"?TYPE_IDENTIFIABLE","?REFERENTIAL"),"_")))))</f>
        <v/>
      </c>
      <c r="H539" s="24" t="str">
        <f t="shared" ca="1" si="37"/>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175</v>
      </c>
      <c r="E540" s="21" t="str">
        <f t="shared" si="36"/>
        <v/>
      </c>
      <c r="F540" s="22" t="str">
        <f>IF(OR(E540="",E540="!!!"),"",IF(NOT(ISNA(VLOOKUP(E540,E$1:E539,1,FALSE()))),"OLD",IF(AND(E540&lt;&gt;"",E540&lt;&gt;"!!!"),"NEW","")))</f>
        <v/>
      </c>
      <c r="G540" s="23" t="str">
        <f>IF(OR(E540="",E540="!!!"),"",IF(OR(J540=0,AND(J540=1,K540=1),AND(J540=1,I540="SBJ"),AND(J540=1,I540=0)),"?IN_FOCUS",IF(J540&lt;=2,"?ACTIVATED",IF(J540&lt;&gt;"","?FAMILIAR",IF(F540="NEW",IF(ISNA(VLOOKUP(E540,#REF!,1,FALSE())),"?TYPE_IDENTIFIABLE","?REFERENTIAL"),"_")))))</f>
        <v/>
      </c>
      <c r="H540" s="24" t="str">
        <f t="shared" ca="1" si="37"/>
        <v/>
      </c>
      <c r="I540" s="25" t="str">
        <f>IF(OR(E540="",E540="!!!",F540="NEW"),"",INDEX(B$2:B539,-1+SUMPRODUCT(MAX(ROW(E$2:E539)*(E540=E$2:E539)))))</f>
        <v/>
      </c>
      <c r="J540" s="25" t="str">
        <f ca="1">IF(OR(E540="",E540="!!!",F540="NEW"),"",COUNTBLANK(OFFSET(A$1,,,SUMPRODUCT(MAX(ROW(E$2:E540)*(E540=E$2:E540)))))-COUNTBLANK(OFFSET(A$1,,,SUMPRODUCT(MAX(ROW(E$1:E539)*(E2=E$1:E539))))))</f>
        <v/>
      </c>
      <c r="K540" s="25" t="str">
        <f>IF(OR(E540="",E540="!!!",F540="NEW"),"",INDEX(J$1:J539,SUMPRODUCT(MAX(ROW(E$1:E539)*(E540=E$1:E539)))))</f>
        <v/>
      </c>
      <c r="L540" s="26"/>
    </row>
    <row r="541" spans="1:12" x14ac:dyDescent="0.3">
      <c r="A541" t="s">
        <v>132</v>
      </c>
      <c r="E541" s="21" t="str">
        <f t="shared" si="36"/>
        <v/>
      </c>
      <c r="F541" s="22" t="str">
        <f>IF(OR(E541="",E541="!!!"),"",IF(NOT(ISNA(VLOOKUP(E541,E$1:E540,1,FALSE()))),"OLD",IF(AND(E541&lt;&gt;"",E541&lt;&gt;"!!!"),"NEW","")))</f>
        <v/>
      </c>
      <c r="G541" s="23" t="str">
        <f>IF(OR(E541="",E541="!!!"),"",IF(OR(J541=0,AND(J541=1,K541=1),AND(J541=1,I541="SBJ"),AND(J541=1,I541=0)),"?IN_FOCUS",IF(J541&lt;=2,"?ACTIVATED",IF(J541&lt;&gt;"","?FAMILIAR",IF(F541="NEW",IF(ISNA(VLOOKUP(E541,#REF!,1,FALSE())),"?TYPE_IDENTIFIABLE","?REFERENTIAL"),"_")))))</f>
        <v/>
      </c>
      <c r="H541" s="24" t="str">
        <f t="shared" ca="1" si="37"/>
        <v/>
      </c>
      <c r="I541" s="25" t="str">
        <f>IF(OR(E541="",E541="!!!",F541="NEW"),"",INDEX(B$2:B540,-1+SUMPRODUCT(MAX(ROW(E$2:E540)*(E541=E$2:E540)))))</f>
        <v/>
      </c>
      <c r="J541" s="25" t="str">
        <f ca="1">IF(OR(E541="",E541="!!!",F541="NEW"),"",COUNTBLANK(OFFSET(A$1,,,SUMPRODUCT(MAX(ROW(E$2:E541)*(E541=E$2:E541)))))-COUNTBLANK(OFFSET(A$1,,,SUMPRODUCT(MAX(ROW(E$1:E540)*(E2=E$1:E540))))))</f>
        <v/>
      </c>
      <c r="K541" s="25" t="str">
        <f>IF(OR(E541="",E541="!!!",F541="NEW"),"",INDEX(J$1:J540,SUMPRODUCT(MAX(ROW(E$1:E540)*(E541=E$1:E540)))))</f>
        <v/>
      </c>
      <c r="L541" s="26"/>
    </row>
    <row r="542" spans="1:12" x14ac:dyDescent="0.3">
      <c r="A542" t="s">
        <v>392</v>
      </c>
      <c r="E542" s="21" t="str">
        <f t="shared" si="36"/>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ca="1" si="37"/>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16</v>
      </c>
      <c r="E543" s="21" t="str">
        <f t="shared" si="36"/>
        <v/>
      </c>
      <c r="F543" s="22" t="str">
        <f>IF(OR(E543="",E543="!!!"),"",IF(NOT(ISNA(VLOOKUP(E543,E$1:E542,1,FALSE()))),"OLD",IF(AND(E543&lt;&gt;"",E543&lt;&gt;"!!!"),"NEW","")))</f>
        <v/>
      </c>
      <c r="G543" s="23" t="str">
        <f>IF(OR(E543="",E543="!!!"),"",IF(OR(J543=0,AND(J543=1,K543=1),AND(J543=1,I543="SBJ"),AND(J543=1,I543=0)),"?IN_FOCUS",IF(J543&lt;=2,"?ACTIVATED",IF(J543&lt;&gt;"","?FAMILIAR",IF(F543="NEW",IF(ISNA(VLOOKUP(E543,#REF!,1,FALSE())),"?TYPE_IDENTIFIABLE","?REFERENTIAL"),"_")))))</f>
        <v/>
      </c>
      <c r="H543" s="24" t="str">
        <f t="shared" ca="1" si="37"/>
        <v/>
      </c>
      <c r="I543" s="25" t="str">
        <f>IF(OR(E543="",E543="!!!",F543="NEW"),"",INDEX(B$2:B542,-1+SUMPRODUCT(MAX(ROW(E$2:E542)*(E543=E$2:E542)))))</f>
        <v/>
      </c>
      <c r="J543" s="25" t="str">
        <f ca="1">IF(OR(E543="",E543="!!!",F543="NEW"),"",COUNTBLANK(OFFSET(A$1,,,SUMPRODUCT(MAX(ROW(E$2:E543)*(E543=E$2:E543)))))-COUNTBLANK(OFFSET(A$1,,,SUMPRODUCT(MAX(ROW(E$1:E542)*(E2=E$1:E542))))))</f>
        <v/>
      </c>
      <c r="K543" s="25" t="str">
        <f>IF(OR(E543="",E543="!!!",F543="NEW"),"",INDEX(J$1:J542,SUMPRODUCT(MAX(ROW(E$1:E542)*(E543=E$1:E542)))))</f>
        <v/>
      </c>
      <c r="L543" s="26"/>
    </row>
    <row r="544" spans="1:12" x14ac:dyDescent="0.3">
      <c r="A544" t="s">
        <v>393</v>
      </c>
      <c r="E544" s="21" t="str">
        <f t="shared" si="36"/>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37"/>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394</v>
      </c>
      <c r="B545" s="20" t="s">
        <v>123</v>
      </c>
      <c r="C545" s="20" t="s">
        <v>112</v>
      </c>
      <c r="D545" s="20" t="s">
        <v>102</v>
      </c>
      <c r="E545" s="21"/>
      <c r="F545" s="22" t="s">
        <v>422</v>
      </c>
      <c r="G545" s="23" t="str">
        <f>IF(OR(E545="",E545="!!!"),"",IF(OR(J545=0,AND(J545=1,K545=1),AND(J545=1,I545="SBJ"),AND(J545=1,I545=0)),"?IN_FOCUS",IF(J545&lt;=2,"?ACTIVATED",IF(J545&lt;&gt;"","?FAMILIAR",IF(F545="NEW",IF(ISNA(VLOOKUP(E545,#REF!,1,FALSE())),"?TYPE_IDENTIFIABLE","?REFERENTIAL"),"_")))))</f>
        <v/>
      </c>
      <c r="H545" s="24" t="str">
        <f t="shared" ca="1" si="37"/>
        <v/>
      </c>
      <c r="I545" s="25" t="str">
        <f>IF(OR(E545="",E545="!!!",F545="NEW"),"",INDEX(B$2:B544,-1+SUMPRODUCT(MAX(ROW(E$2:E544)*(E545=E$2:E544)))))</f>
        <v/>
      </c>
      <c r="J545" s="25" t="str">
        <f ca="1">IF(OR(E545="",E545="!!!",F545="NEW"),"",COUNTBLANK(OFFSET(A$1,,,SUMPRODUCT(MAX(ROW(E$2:E545)*(E545=E$2:E545)))))-COUNTBLANK(OFFSET(A$1,,,SUMPRODUCT(MAX(ROW(E$1:E544)*(E2=E$1:E544))))))</f>
        <v/>
      </c>
      <c r="K545" s="25" t="str">
        <f>IF(OR(E545="",E545="!!!",F545="NEW"),"",INDEX(J$1:J544,SUMPRODUCT(MAX(ROW(E$1:E544)*(E545=E$1:E544)))))</f>
        <v/>
      </c>
      <c r="L545" s="26"/>
    </row>
    <row r="546" spans="1:12" x14ac:dyDescent="0.3">
      <c r="A546" t="s">
        <v>395</v>
      </c>
      <c r="B546" s="20" t="s">
        <v>127</v>
      </c>
      <c r="C546" s="20" t="s">
        <v>396</v>
      </c>
      <c r="D546" s="20" t="s">
        <v>102</v>
      </c>
      <c r="E546" s="21"/>
      <c r="F546" s="22" t="s">
        <v>426</v>
      </c>
      <c r="G546" s="23" t="str">
        <f>IF(OR(E546="",E546="!!!"),"",IF(OR(J546=0,AND(J546=1,K546=1),AND(J546=1,I546="SBJ"),AND(J546=1,I546=0)),"?IN_FOCUS",IF(J546&lt;=2,"?ACTIVATED",IF(J546&lt;&gt;"","?FAMILIAR",IF(F546="NEW",IF(ISNA(VLOOKUP(E546,#REF!,1,FALSE())),"?TYPE_IDENTIFIABLE","?REFERENTIAL"),"_")))))</f>
        <v/>
      </c>
      <c r="H546" s="24" t="str">
        <f t="shared" ca="1" si="37"/>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397</v>
      </c>
      <c r="E547" s="21" t="str">
        <f t="shared" si="36"/>
        <v/>
      </c>
      <c r="F547" s="22" t="str">
        <f>IF(OR(E547="",E547="!!!"),"",IF(NOT(ISNA(VLOOKUP(E547,E$1:E546,1,FALSE()))),"OLD",IF(AND(E547&lt;&gt;"",E547&lt;&gt;"!!!"),"NEW","")))</f>
        <v/>
      </c>
      <c r="G547" s="23" t="str">
        <f>IF(OR(E547="",E547="!!!"),"",IF(OR(J547=0,AND(J547=1,K547=1),AND(J547=1,I547="SBJ"),AND(J547=1,I547=0)),"?IN_FOCUS",IF(J547&lt;=2,"?ACTIVATED",IF(J547&lt;&gt;"","?FAMILIAR",IF(F547="NEW",IF(ISNA(VLOOKUP(E547,#REF!,1,FALSE())),"?TYPE_IDENTIFIABLE","?REFERENTIAL"),"_")))))</f>
        <v/>
      </c>
      <c r="H547" s="24" t="str">
        <f t="shared" ca="1" si="37"/>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97</v>
      </c>
      <c r="E548" s="21" t="str">
        <f t="shared" si="36"/>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37"/>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49" spans="1:12" x14ac:dyDescent="0.3">
      <c r="A549" t="s">
        <v>217</v>
      </c>
      <c r="E549" s="21" t="str">
        <f t="shared" si="36"/>
        <v/>
      </c>
      <c r="F549" s="22" t="str">
        <f>IF(OR(E549="",E549="!!!"),"",IF(NOT(ISNA(VLOOKUP(E549,E$1:E548,1,FALSE()))),"OLD",IF(AND(E549&lt;&gt;"",E549&lt;&gt;"!!!"),"NEW","")))</f>
        <v/>
      </c>
      <c r="G549" s="23" t="str">
        <f>IF(OR(E549="",E549="!!!"),"",IF(OR(J549=0,AND(J549=1,K549=1),AND(J549=1,I549="SBJ"),AND(J549=1,I549=0)),"?IN_FOCUS",IF(J549&lt;=2,"?ACTIVATED",IF(J549&lt;&gt;"","?FAMILIAR",IF(F549="NEW",IF(ISNA(VLOOKUP(E549,#REF!,1,FALSE())),"?TYPE_IDENTIFIABLE","?REFERENTIAL"),"_")))))</f>
        <v/>
      </c>
      <c r="H549" s="24" t="str">
        <f t="shared" ca="1" si="37"/>
        <v/>
      </c>
      <c r="I549" s="25" t="str">
        <f>IF(OR(E549="",E549="!!!",F549="NEW"),"",INDEX(B$2:B548,-1+SUMPRODUCT(MAX(ROW(E$2:E548)*(E549=E$2:E548)))))</f>
        <v/>
      </c>
      <c r="J549" s="25" t="str">
        <f ca="1">IF(OR(E549="",E549="!!!",F549="NEW"),"",COUNTBLANK(OFFSET(A$1,,,SUMPRODUCT(MAX(ROW(E$2:E549)*(E549=E$2:E549)))))-COUNTBLANK(OFFSET(A$1,,,SUMPRODUCT(MAX(ROW(E$1:E548)*(E2=E$1:E548))))))</f>
        <v/>
      </c>
      <c r="K549" s="25" t="str">
        <f>IF(OR(E549="",E549="!!!",F549="NEW"),"",INDEX(J$1:J548,SUMPRODUCT(MAX(ROW(E$1:E548)*(E549=E$1:E548)))))</f>
        <v/>
      </c>
      <c r="L549" s="26"/>
    </row>
    <row r="550" spans="1:12" x14ac:dyDescent="0.3">
      <c r="A550" t="s">
        <v>398</v>
      </c>
      <c r="E550" s="21" t="str">
        <f t="shared" si="36"/>
        <v/>
      </c>
      <c r="F550" s="22" t="str">
        <f>IF(OR(E550="",E550="!!!"),"",IF(NOT(ISNA(VLOOKUP(E550,E$1:E549,1,FALSE()))),"OLD",IF(AND(E550&lt;&gt;"",E550&lt;&gt;"!!!"),"NEW","")))</f>
        <v/>
      </c>
      <c r="G550" s="23" t="str">
        <f>IF(OR(E550="",E550="!!!"),"",IF(OR(J550=0,AND(J550=1,K550=1),AND(J550=1,I550="SBJ"),AND(J550=1,I550=0)),"?IN_FOCUS",IF(J550&lt;=2,"?ACTIVATED",IF(J550&lt;&gt;"","?FAMILIAR",IF(F550="NEW",IF(ISNA(VLOOKUP(E550,#REF!,1,FALSE())),"?TYPE_IDENTIFIABLE","?REFERENTIAL"),"_")))))</f>
        <v/>
      </c>
      <c r="H550" s="24" t="str">
        <f t="shared" ca="1" si="37"/>
        <v/>
      </c>
      <c r="I550" s="25" t="str">
        <f>IF(OR(E550="",E550="!!!",F550="NEW"),"",INDEX(B$2:B549,-1+SUMPRODUCT(MAX(ROW(E$2:E549)*(E550=E$2:E549)))))</f>
        <v/>
      </c>
      <c r="J550" s="25" t="str">
        <f ca="1">IF(OR(E550="",E550="!!!",F550="NEW"),"",COUNTBLANK(OFFSET(A$1,,,SUMPRODUCT(MAX(ROW(E$2:E550)*(E550=E$2:E550)))))-COUNTBLANK(OFFSET(A$1,,,SUMPRODUCT(MAX(ROW(E$1:E549)*(E2=E$1:E549))))))</f>
        <v/>
      </c>
      <c r="K550" s="25" t="str">
        <f>IF(OR(E550="",E550="!!!",F550="NEW"),"",INDEX(J$1:J549,SUMPRODUCT(MAX(ROW(E$1:E549)*(E550=E$1:E549)))))</f>
        <v/>
      </c>
      <c r="L550" s="26"/>
    </row>
    <row r="551" spans="1:12" x14ac:dyDescent="0.3">
      <c r="A551" t="s">
        <v>222</v>
      </c>
      <c r="B551" s="20" t="s">
        <v>100</v>
      </c>
      <c r="C551" s="20" t="s">
        <v>153</v>
      </c>
      <c r="D551" s="20" t="s">
        <v>102</v>
      </c>
      <c r="E551" s="21"/>
      <c r="F551" s="22" t="s">
        <v>417</v>
      </c>
      <c r="G551" s="23" t="str">
        <f>IF(OR(E551="",E551="!!!"),"",IF(OR(J551=0,AND(J551=1,K551=1),AND(J551=1,I551="SBJ"),AND(J551=1,I551=0)),"?IN_FOCUS",IF(J551&lt;=2,"?ACTIVATED",IF(J551&lt;&gt;"","?FAMILIAR",IF(F551="NEW",IF(ISNA(VLOOKUP(E551,#REF!,1,FALSE())),"?TYPE_IDENTIFIABLE","?REFERENTIAL"),"_")))))</f>
        <v/>
      </c>
      <c r="H551" s="24" t="str">
        <f t="shared" ca="1" si="37"/>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118</v>
      </c>
      <c r="E552" s="21" t="str">
        <f t="shared" si="36"/>
        <v/>
      </c>
      <c r="F552" s="22" t="str">
        <f>IF(OR(E552="",E552="!!!"),"",IF(NOT(ISNA(VLOOKUP(E552,E$1:E551,1,FALSE()))),"OLD",IF(AND(E552&lt;&gt;"",E552&lt;&gt;"!!!"),"NEW","")))</f>
        <v/>
      </c>
      <c r="G552" s="23" t="str">
        <f>IF(OR(E552="",E552="!!!"),"",IF(OR(J552=0,AND(J552=1,K552=1),AND(J552=1,I552="SBJ"),AND(J552=1,I552=0)),"?IN_FOCUS",IF(J552&lt;=2,"?ACTIVATED",IF(J552&lt;&gt;"","?FAMILIAR",IF(F552="NEW",IF(ISNA(VLOOKUP(E552,#REF!,1,FALSE())),"?TYPE_IDENTIFIABLE","?REFERENTIAL"),"_")))))</f>
        <v/>
      </c>
      <c r="H552" s="24" t="str">
        <f t="shared" ca="1" si="37"/>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3" spans="1:12" x14ac:dyDescent="0.3">
      <c r="A553" t="s">
        <v>369</v>
      </c>
      <c r="B553" s="20" t="s">
        <v>107</v>
      </c>
      <c r="C553" s="20" t="s">
        <v>112</v>
      </c>
      <c r="D553" s="20" t="s">
        <v>102</v>
      </c>
      <c r="E553" s="21" t="s">
        <v>441</v>
      </c>
      <c r="F553" s="22" t="str">
        <f>IF(OR(E553="",E553="!!!"),"",IF(NOT(ISNA(VLOOKUP(E553,E$1:E552,1,FALSE()))),"OLD",IF(AND(E553&lt;&gt;"",E553&lt;&gt;"!!!"),"NEW","")))</f>
        <v>OLD</v>
      </c>
      <c r="G553" s="23" t="s">
        <v>446</v>
      </c>
      <c r="H553" s="24" t="str">
        <f t="shared" ca="1" si="37"/>
        <v/>
      </c>
      <c r="I553" s="25" t="str">
        <f>IF(OR(E553="",E553="!!!",F553="NEW"),"",INDEX(B$2:B552,-1+SUMPRODUCT(MAX(ROW(E$2:E552)*(E553=E$2:E552)))))</f>
        <v>SBJ</v>
      </c>
      <c r="J553" s="25">
        <f ca="1">IF(OR(E553="",E553="!!!",F553="NEW"),"",COUNTBLANK(OFFSET(A$1,,,SUMPRODUCT(MAX(ROW(E$2:E553)*(E553=E$2:E553)))))-COUNTBLANK(OFFSET(A$1,,,SUMPRODUCT(MAX(ROW(E$1:E552)*(E2=E$1:E552))))))</f>
        <v>0</v>
      </c>
      <c r="K553" s="25" t="str">
        <f ca="1">IF(OR(E553="",E553="!!!",F553="NEW"),"",INDEX(J$1:J552,SUMPRODUCT(MAX(ROW(E$1:E552)*(E553=E$1:E552)))))</f>
        <v/>
      </c>
      <c r="L553" s="26"/>
    </row>
    <row r="554" spans="1:12" x14ac:dyDescent="0.3">
      <c r="A554" t="s">
        <v>97</v>
      </c>
      <c r="E554" s="21" t="str">
        <f t="shared" si="36"/>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37"/>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273</v>
      </c>
      <c r="E555" s="21" t="str">
        <f t="shared" si="36"/>
        <v/>
      </c>
      <c r="F555" s="22" t="str">
        <f>IF(OR(E555="",E555="!!!"),"",IF(NOT(ISNA(VLOOKUP(E555,E$1:E554,1,FALSE()))),"OLD",IF(AND(E555&lt;&gt;"",E555&lt;&gt;"!!!"),"NEW","")))</f>
        <v/>
      </c>
      <c r="G555" s="23" t="str">
        <f>IF(OR(E555="",E555="!!!"),"",IF(OR(J555=0,AND(J555=1,K555=1),AND(J555=1,I555="SBJ"),AND(J555=1,I555=0)),"?IN_FOCUS",IF(J555&lt;=2,"?ACTIVATED",IF(J555&lt;&gt;"","?FAMILIAR",IF(F555="NEW",IF(ISNA(VLOOKUP(E555,#REF!,1,FALSE())),"?TYPE_IDENTIFIABLE","?REFERENTIAL"),"_")))))</f>
        <v/>
      </c>
      <c r="H555" s="24" t="str">
        <f t="shared" ca="1" si="37"/>
        <v/>
      </c>
      <c r="I555" s="25" t="str">
        <f>IF(OR(E555="",E555="!!!",F555="NEW"),"",INDEX(B$2:B554,-1+SUMPRODUCT(MAX(ROW(E$2:E554)*(E555=E$2:E554)))))</f>
        <v/>
      </c>
      <c r="J555" s="25" t="str">
        <f ca="1">IF(OR(E555="",E555="!!!",F555="NEW"),"",COUNTBLANK(OFFSET(A$1,,,SUMPRODUCT(MAX(ROW(E$2:E555)*(E555=E$2:E555)))))-COUNTBLANK(OFFSET(A$1,,,SUMPRODUCT(MAX(ROW(E$1:E554)*(E2=E$1:E554))))))</f>
        <v/>
      </c>
      <c r="K555" s="25" t="str">
        <f>IF(OR(E555="",E555="!!!",F555="NEW"),"",INDEX(J$1:J554,SUMPRODUCT(MAX(ROW(E$1:E554)*(E555=E$1:E554)))))</f>
        <v/>
      </c>
      <c r="L555" s="26"/>
    </row>
    <row r="556" spans="1:12" x14ac:dyDescent="0.3">
      <c r="A556" t="s">
        <v>399</v>
      </c>
      <c r="B556" s="20" t="s">
        <v>195</v>
      </c>
      <c r="C556" s="20" t="s">
        <v>104</v>
      </c>
      <c r="D556" s="20" t="s">
        <v>102</v>
      </c>
      <c r="E556" s="21" t="s">
        <v>442</v>
      </c>
      <c r="F556" s="22" t="str">
        <f>IF(OR(E556="",E556="!!!"),"",IF(NOT(ISNA(VLOOKUP(E556,E$1:E555,1,FALSE()))),"OLD",IF(AND(E556&lt;&gt;"",E556&lt;&gt;"!!!"),"NEW","")))</f>
        <v>NEW</v>
      </c>
      <c r="G556" s="23" t="s">
        <v>447</v>
      </c>
      <c r="H556" s="24" t="str">
        <f t="shared" ca="1" si="37"/>
        <v/>
      </c>
      <c r="I556" s="25" t="str">
        <f>IF(OR(E556="",E556="!!!",F556="NEW"),"",INDEX(B$2:B555,-1+SUMPRODUCT(MAX(ROW(E$2:E555)*(E556=E$2:E555)))))</f>
        <v/>
      </c>
      <c r="J556" s="25" t="str">
        <f ca="1">IF(OR(E556="",E556="!!!",F556="NEW"),"",COUNTBLANK(OFFSET(A$1,,,SUMPRODUCT(MAX(ROW(E$2:E556)*(E556=E$2:E556)))))-COUNTBLANK(OFFSET(A$1,,,SUMPRODUCT(MAX(ROW(E$1:E555)*(E2=E$1:E555))))))</f>
        <v/>
      </c>
      <c r="K556" s="25" t="str">
        <f>IF(OR(E556="",E556="!!!",F556="NEW"),"",INDEX(J$1:J555,SUMPRODUCT(MAX(ROW(E$1:E555)*(E556=E$1:E555)))))</f>
        <v/>
      </c>
      <c r="L556" s="26"/>
    </row>
    <row r="557" spans="1:12" x14ac:dyDescent="0.3">
      <c r="A557" t="s">
        <v>400</v>
      </c>
      <c r="E557" s="21" t="str">
        <f t="shared" si="36"/>
        <v/>
      </c>
      <c r="F557" s="22" t="str">
        <f>IF(OR(E557="",E557="!!!"),"",IF(NOT(ISNA(VLOOKUP(E557,E$1:E556,1,FALSE()))),"OLD",IF(AND(E557&lt;&gt;"",E557&lt;&gt;"!!!"),"NEW","")))</f>
        <v/>
      </c>
      <c r="G557" s="23" t="str">
        <f>IF(OR(E557="",E557="!!!"),"",IF(OR(J557=0,AND(J557=1,K557=1),AND(J557=1,I557="SBJ"),AND(J557=1,I557=0)),"?IN_FOCUS",IF(J557&lt;=2,"?ACTIVATED",IF(J557&lt;&gt;"","?FAMILIAR",IF(F557="NEW",IF(ISNA(VLOOKUP(E557,#REF!,1,FALSE())),"?TYPE_IDENTIFIABLE","?REFERENTIAL"),"_")))))</f>
        <v/>
      </c>
      <c r="H557" s="24" t="str">
        <f t="shared" ca="1" si="37"/>
        <v/>
      </c>
      <c r="I557" s="25" t="str">
        <f>IF(OR(E557="",E557="!!!",F557="NEW"),"",INDEX(B$2:B556,-1+SUMPRODUCT(MAX(ROW(E$2:E556)*(E557=E$2:E556)))))</f>
        <v/>
      </c>
      <c r="J557" s="25" t="str">
        <f ca="1">IF(OR(E557="",E557="!!!",F557="NEW"),"",COUNTBLANK(OFFSET(A$1,,,SUMPRODUCT(MAX(ROW(E$2:E557)*(E557=E$2:E557)))))-COUNTBLANK(OFFSET(A$1,,,SUMPRODUCT(MAX(ROW(E$1:E556)*(E2=E$1:E556))))))</f>
        <v/>
      </c>
      <c r="K557" s="25" t="str">
        <f>IF(OR(E557="",E557="!!!",F557="NEW"),"",INDEX(J$1:J556,SUMPRODUCT(MAX(ROW(E$1:E556)*(E557=E$1:E556)))))</f>
        <v/>
      </c>
      <c r="L557" s="26"/>
    </row>
    <row r="558" spans="1:12" x14ac:dyDescent="0.3">
      <c r="A558" t="s">
        <v>401</v>
      </c>
      <c r="E558" s="21" t="str">
        <f t="shared" si="36"/>
        <v/>
      </c>
      <c r="F558" s="22" t="str">
        <f>IF(OR(E558="",E558="!!!"),"",IF(NOT(ISNA(VLOOKUP(E558,E$1:E557,1,FALSE()))),"OLD",IF(AND(E558&lt;&gt;"",E558&lt;&gt;"!!!"),"NEW","")))</f>
        <v/>
      </c>
      <c r="G558" s="23" t="str">
        <f>IF(OR(E558="",E558="!!!"),"",IF(OR(J558=0,AND(J558=1,K558=1),AND(J558=1,I558="SBJ"),AND(J558=1,I558=0)),"?IN_FOCUS",IF(J558&lt;=2,"?ACTIVATED",IF(J558&lt;&gt;"","?FAMILIAR",IF(F558="NEW",IF(ISNA(VLOOKUP(E558,#REF!,1,FALSE())),"?TYPE_IDENTIFIABLE","?REFERENTIAL"),"_")))))</f>
        <v/>
      </c>
      <c r="H558" s="24" t="str">
        <f t="shared" ca="1" si="37"/>
        <v/>
      </c>
      <c r="I558" s="25" t="str">
        <f>IF(OR(E558="",E558="!!!",F558="NEW"),"",INDEX(B$2:B557,-1+SUMPRODUCT(MAX(ROW(E$2:E557)*(E558=E$2:E557)))))</f>
        <v/>
      </c>
      <c r="J558" s="25" t="str">
        <f ca="1">IF(OR(E558="",E558="!!!",F558="NEW"),"",COUNTBLANK(OFFSET(A$1,,,SUMPRODUCT(MAX(ROW(E$2:E558)*(E558=E$2:E558)))))-COUNTBLANK(OFFSET(A$1,,,SUMPRODUCT(MAX(ROW(E$1:E557)*(E2=E$1:E557))))))</f>
        <v/>
      </c>
      <c r="K558" s="25" t="str">
        <f>IF(OR(E558="",E558="!!!",F558="NEW"),"",INDEX(J$1:J557,SUMPRODUCT(MAX(ROW(E$1:E557)*(E558=E$1:E557)))))</f>
        <v/>
      </c>
      <c r="L558" s="26"/>
    </row>
    <row r="559" spans="1:12" x14ac:dyDescent="0.3">
      <c r="A559" t="s">
        <v>169</v>
      </c>
      <c r="E559" s="21" t="str">
        <f t="shared" ref="E559:E578" si="38">IF(D559="?OLD","!!!","")</f>
        <v/>
      </c>
      <c r="F559" s="22" t="str">
        <f>IF(OR(E559="",E559="!!!"),"",IF(NOT(ISNA(VLOOKUP(E559,E$1:E558,1,FALSE()))),"OLD",IF(AND(E559&lt;&gt;"",E559&lt;&gt;"!!!"),"NEW","")))</f>
        <v/>
      </c>
      <c r="G559" s="23" t="str">
        <f>IF(OR(E559="",E559="!!!"),"",IF(OR(J559=0,AND(J559=1,K559=1),AND(J559=1,I559="SBJ"),AND(J559=1,I559=0)),"?IN_FOCUS",IF(J559&lt;=2,"?ACTIVATED",IF(J559&lt;&gt;"","?FAMILIAR",IF(F559="NEW",IF(ISNA(VLOOKUP(E559,#REF!,1,FALSE())),"?TYPE_IDENTIFIABLE","?REFERENTIAL"),"_")))))</f>
        <v/>
      </c>
      <c r="H559" s="24" t="str">
        <f t="shared" ref="H559:H578" ca="1" si="39">IF(J559&lt;&gt;1,"",IF(I559="SBJ","CB","?"))</f>
        <v/>
      </c>
      <c r="I559" s="25" t="str">
        <f>IF(OR(E559="",E559="!!!",F559="NEW"),"",INDEX(B$2:B558,-1+SUMPRODUCT(MAX(ROW(E$2:E558)*(E559=E$2:E558)))))</f>
        <v/>
      </c>
      <c r="J559" s="25" t="str">
        <f ca="1">IF(OR(E559="",E559="!!!",F559="NEW"),"",COUNTBLANK(OFFSET(A$1,,,SUMPRODUCT(MAX(ROW(E$2:E559)*(E559=E$2:E559)))))-COUNTBLANK(OFFSET(A$1,,,SUMPRODUCT(MAX(ROW(E$1:E558)*(E2=E$1:E558))))))</f>
        <v/>
      </c>
      <c r="K559" s="25" t="str">
        <f>IF(OR(E559="",E559="!!!",F559="NEW"),"",INDEX(J$1:J558,SUMPRODUCT(MAX(ROW(E$1:E558)*(E559=E$1:E558)))))</f>
        <v/>
      </c>
      <c r="L559" s="26"/>
    </row>
    <row r="560" spans="1:12" x14ac:dyDescent="0.3">
      <c r="A560" t="s">
        <v>273</v>
      </c>
      <c r="E560" s="21" t="str">
        <f t="shared" si="38"/>
        <v/>
      </c>
      <c r="F560" s="22" t="str">
        <f>IF(OR(E560="",E560="!!!"),"",IF(NOT(ISNA(VLOOKUP(E560,E$1:E559,1,FALSE()))),"OLD",IF(AND(E560&lt;&gt;"",E560&lt;&gt;"!!!"),"NEW","")))</f>
        <v/>
      </c>
      <c r="G560" s="23" t="str">
        <f>IF(OR(E560="",E560="!!!"),"",IF(OR(J560=0,AND(J560=1,K560=1),AND(J560=1,I560="SBJ"),AND(J560=1,I560=0)),"?IN_FOCUS",IF(J560&lt;=2,"?ACTIVATED",IF(J560&lt;&gt;"","?FAMILIAR",IF(F560="NEW",IF(ISNA(VLOOKUP(E560,#REF!,1,FALSE())),"?TYPE_IDENTIFIABLE","?REFERENTIAL"),"_")))))</f>
        <v/>
      </c>
      <c r="H560" s="24" t="str">
        <f t="shared" ca="1" si="39"/>
        <v/>
      </c>
      <c r="I560" s="25" t="str">
        <f>IF(OR(E560="",E560="!!!",F560="NEW"),"",INDEX(B$2:B559,-1+SUMPRODUCT(MAX(ROW(E$2:E559)*(E560=E$2:E559)))))</f>
        <v/>
      </c>
      <c r="J560" s="25" t="str">
        <f ca="1">IF(OR(E560="",E560="!!!",F560="NEW"),"",COUNTBLANK(OFFSET(A$1,,,SUMPRODUCT(MAX(ROW(E$2:E560)*(E560=E$2:E560)))))-COUNTBLANK(OFFSET(A$1,,,SUMPRODUCT(MAX(ROW(E$1:E559)*(E2=E$1:E559))))))</f>
        <v/>
      </c>
      <c r="K560" s="25" t="str">
        <f>IF(OR(E560="",E560="!!!",F560="NEW"),"",INDEX(J$1:J559,SUMPRODUCT(MAX(ROW(E$1:E559)*(E560=E$1:E559)))))</f>
        <v/>
      </c>
      <c r="L560" s="26"/>
    </row>
    <row r="561" spans="1:12" x14ac:dyDescent="0.3">
      <c r="A561" t="s">
        <v>359</v>
      </c>
      <c r="B561" s="20" t="s">
        <v>195</v>
      </c>
      <c r="C561" s="20" t="s">
        <v>112</v>
      </c>
      <c r="D561" s="20" t="s">
        <v>102</v>
      </c>
      <c r="E561" s="21" t="s">
        <v>439</v>
      </c>
      <c r="F561" s="22" t="str">
        <f>IF(OR(E561="",E561="!!!"),"",IF(NOT(ISNA(VLOOKUP(E561,E$1:E560,1,FALSE()))),"OLD",IF(AND(E561&lt;&gt;"",E561&lt;&gt;"!!!"),"NEW","")))</f>
        <v>OLD</v>
      </c>
      <c r="G561" s="23" t="s">
        <v>449</v>
      </c>
      <c r="H561" s="24" t="str">
        <f t="shared" ca="1" si="39"/>
        <v/>
      </c>
      <c r="I561" s="25" t="str">
        <f>IF(OR(E561="",E561="!!!",F561="NEW"),"",INDEX(B$2:B560,-1+SUMPRODUCT(MAX(ROW(E$2:E560)*(E561=E$2:E560)))))</f>
        <v>other_2</v>
      </c>
      <c r="J561" s="25">
        <f ca="1">IF(OR(E561="",E561="!!!",F561="NEW"),"",COUNTBLANK(OFFSET(A$1,,,SUMPRODUCT(MAX(ROW(E$2:E561)*(E561=E$2:E561)))))-COUNTBLANK(OFFSET(A$1,,,SUMPRODUCT(MAX(ROW(E$1:E560)*(E2=E$1:E560))))))</f>
        <v>0</v>
      </c>
      <c r="K561" s="25" t="str">
        <f ca="1">IF(OR(E561="",E561="!!!",F561="NEW"),"",INDEX(J$1:J560,SUMPRODUCT(MAX(ROW(E$1:E560)*(E561=E$1:E560)))))</f>
        <v/>
      </c>
      <c r="L561" s="26"/>
    </row>
    <row r="562" spans="1:12" x14ac:dyDescent="0.3">
      <c r="A562" t="s">
        <v>402</v>
      </c>
      <c r="E562" s="21" t="str">
        <f t="shared" si="38"/>
        <v/>
      </c>
      <c r="F562" s="22" t="str">
        <f>IF(OR(E562="",E562="!!!"),"",IF(NOT(ISNA(VLOOKUP(E562,E$1:E561,1,FALSE()))),"OLD",IF(AND(E562&lt;&gt;"",E562&lt;&gt;"!!!"),"NEW","")))</f>
        <v/>
      </c>
      <c r="G562" s="23" t="str">
        <f>IF(OR(E562="",E562="!!!"),"",IF(OR(J562=0,AND(J562=1,K562=1),AND(J562=1,I562="SBJ"),AND(J562=1,I562=0)),"?IN_FOCUS",IF(J562&lt;=2,"?ACTIVATED",IF(J562&lt;&gt;"","?FAMILIAR",IF(F562="NEW",IF(ISNA(VLOOKUP(E562,#REF!,1,FALSE())),"?TYPE_IDENTIFIABLE","?REFERENTIAL"),"_")))))</f>
        <v/>
      </c>
      <c r="H562" s="24" t="str">
        <f t="shared" ca="1" si="39"/>
        <v/>
      </c>
      <c r="I562" s="25" t="str">
        <f>IF(OR(E562="",E562="!!!",F562="NEW"),"",INDEX(B$2:B561,-1+SUMPRODUCT(MAX(ROW(E$2:E561)*(E562=E$2:E561)))))</f>
        <v/>
      </c>
      <c r="J562" s="25" t="str">
        <f ca="1">IF(OR(E562="",E562="!!!",F562="NEW"),"",COUNTBLANK(OFFSET(A$1,,,SUMPRODUCT(MAX(ROW(E$2:E562)*(E562=E$2:E562)))))-COUNTBLANK(OFFSET(A$1,,,SUMPRODUCT(MAX(ROW(E$1:E561)*(E2=E$1:E561))))))</f>
        <v/>
      </c>
      <c r="K562" s="25" t="str">
        <f>IF(OR(E562="",E562="!!!",F562="NEW"),"",INDEX(J$1:J561,SUMPRODUCT(MAX(ROW(E$1:E561)*(E562=E$1:E561)))))</f>
        <v/>
      </c>
      <c r="L562" s="26"/>
    </row>
    <row r="563" spans="1:12" x14ac:dyDescent="0.3">
      <c r="A563" t="s">
        <v>132</v>
      </c>
      <c r="E563" s="21" t="str">
        <f t="shared" si="38"/>
        <v/>
      </c>
      <c r="F563" s="22" t="str">
        <f>IF(OR(E563="",E563="!!!"),"",IF(NOT(ISNA(VLOOKUP(E563,E$1:E562,1,FALSE()))),"OLD",IF(AND(E563&lt;&gt;"",E563&lt;&gt;"!!!"),"NEW","")))</f>
        <v/>
      </c>
      <c r="G563" s="23" t="str">
        <f>IF(OR(E563="",E563="!!!"),"",IF(OR(J563=0,AND(J563=1,K563=1),AND(J563=1,I563="SBJ"),AND(J563=1,I563=0)),"?IN_FOCUS",IF(J563&lt;=2,"?ACTIVATED",IF(J563&lt;&gt;"","?FAMILIAR",IF(F563="NEW",IF(ISNA(VLOOKUP(E563,#REF!,1,FALSE())),"?TYPE_IDENTIFIABLE","?REFERENTIAL"),"_")))))</f>
        <v/>
      </c>
      <c r="H563" s="24" t="str">
        <f t="shared" ca="1" si="39"/>
        <v/>
      </c>
      <c r="I563" s="25" t="str">
        <f>IF(OR(E563="",E563="!!!",F563="NEW"),"",INDEX(B$2:B562,-1+SUMPRODUCT(MAX(ROW(E$2:E562)*(E563=E$2:E562)))))</f>
        <v/>
      </c>
      <c r="J563" s="25" t="str">
        <f ca="1">IF(OR(E563="",E563="!!!",F563="NEW"),"",COUNTBLANK(OFFSET(A$1,,,SUMPRODUCT(MAX(ROW(E$2:E563)*(E563=E$2:E563)))))-COUNTBLANK(OFFSET(A$1,,,SUMPRODUCT(MAX(ROW(E$1:E562)*(E2=E$1:E562))))))</f>
        <v/>
      </c>
      <c r="K563" s="25" t="str">
        <f>IF(OR(E563="",E563="!!!",F563="NEW"),"",INDEX(J$1:J562,SUMPRODUCT(MAX(ROW(E$1:E562)*(E563=E$1:E562)))))</f>
        <v/>
      </c>
      <c r="L563" s="26"/>
    </row>
    <row r="564" spans="1:12" x14ac:dyDescent="0.3">
      <c r="A564" t="s">
        <v>403</v>
      </c>
      <c r="B564" s="20" t="s">
        <v>120</v>
      </c>
      <c r="C564" s="20" t="s">
        <v>112</v>
      </c>
      <c r="D564" s="20" t="s">
        <v>102</v>
      </c>
      <c r="E564" s="21"/>
      <c r="F564" s="22" t="s">
        <v>430</v>
      </c>
      <c r="G564" s="23" t="str">
        <f>IF(OR(E564="",E564="!!!"),"",IF(OR(J564=0,AND(J564=1,K564=1),AND(J564=1,I564="SBJ"),AND(J564=1,I564=0)),"?IN_FOCUS",IF(J564&lt;=2,"?ACTIVATED",IF(J564&lt;&gt;"","?FAMILIAR",IF(F564="NEW",IF(ISNA(VLOOKUP(E564,#REF!,1,FALSE())),"?TYPE_IDENTIFIABLE","?REFERENTIAL"),"_")))))</f>
        <v/>
      </c>
      <c r="H564" s="24" t="str">
        <f t="shared" ca="1" si="39"/>
        <v/>
      </c>
      <c r="I564" s="25" t="str">
        <f>IF(OR(E564="",E564="!!!",F564="NEW"),"",INDEX(B$2:B563,-1+SUMPRODUCT(MAX(ROW(E$2:E563)*(E564=E$2:E563)))))</f>
        <v/>
      </c>
      <c r="J564" s="25" t="str">
        <f ca="1">IF(OR(E564="",E564="!!!",F564="NEW"),"",COUNTBLANK(OFFSET(A$1,,,SUMPRODUCT(MAX(ROW(E$2:E564)*(E564=E$2:E564)))))-COUNTBLANK(OFFSET(A$1,,,SUMPRODUCT(MAX(ROW(E$1:E563)*(E2=E$1:E563))))))</f>
        <v/>
      </c>
      <c r="K564" s="25" t="str">
        <f>IF(OR(E564="",E564="!!!",F564="NEW"),"",INDEX(J$1:J563,SUMPRODUCT(MAX(ROW(E$1:E563)*(E564=E$1:E563)))))</f>
        <v/>
      </c>
      <c r="L564" s="26"/>
    </row>
    <row r="565" spans="1:12" x14ac:dyDescent="0.3">
      <c r="A565" t="s">
        <v>132</v>
      </c>
      <c r="E565" s="21" t="str">
        <f t="shared" si="38"/>
        <v/>
      </c>
      <c r="F565" s="22" t="str">
        <f>IF(OR(E565="",E565="!!!"),"",IF(NOT(ISNA(VLOOKUP(E565,E$1:E564,1,FALSE()))),"OLD",IF(AND(E565&lt;&gt;"",E565&lt;&gt;"!!!"),"NEW","")))</f>
        <v/>
      </c>
      <c r="G565" s="23" t="str">
        <f>IF(OR(E565="",E565="!!!"),"",IF(OR(J565=0,AND(J565=1,K565=1),AND(J565=1,I565="SBJ"),AND(J565=1,I565=0)),"?IN_FOCUS",IF(J565&lt;=2,"?ACTIVATED",IF(J565&lt;&gt;"","?FAMILIAR",IF(F565="NEW",IF(ISNA(VLOOKUP(E565,#REF!,1,FALSE())),"?TYPE_IDENTIFIABLE","?REFERENTIAL"),"_")))))</f>
        <v/>
      </c>
      <c r="H565" s="24" t="str">
        <f t="shared" ca="1" si="39"/>
        <v/>
      </c>
      <c r="I565" s="25" t="str">
        <f>IF(OR(E565="",E565="!!!",F565="NEW"),"",INDEX(B$2:B564,-1+SUMPRODUCT(MAX(ROW(E$2:E564)*(E565=E$2:E564)))))</f>
        <v/>
      </c>
      <c r="J565" s="25" t="str">
        <f ca="1">IF(OR(E565="",E565="!!!",F565="NEW"),"",COUNTBLANK(OFFSET(A$1,,,SUMPRODUCT(MAX(ROW(E$2:E565)*(E565=E$2:E565)))))-COUNTBLANK(OFFSET(A$1,,,SUMPRODUCT(MAX(ROW(E$1:E564)*(E2=E$1:E564))))))</f>
        <v/>
      </c>
      <c r="K565" s="25" t="str">
        <f>IF(OR(E565="",E565="!!!",F565="NEW"),"",INDEX(J$1:J564,SUMPRODUCT(MAX(ROW(E$1:E564)*(E565=E$1:E564)))))</f>
        <v/>
      </c>
      <c r="L565" s="26"/>
    </row>
    <row r="566" spans="1:12" x14ac:dyDescent="0.3">
      <c r="A566" t="s">
        <v>404</v>
      </c>
      <c r="B566" s="20" t="s">
        <v>123</v>
      </c>
      <c r="C566" s="20" t="s">
        <v>112</v>
      </c>
      <c r="D566" s="20" t="s">
        <v>102</v>
      </c>
      <c r="E566" s="21" t="s">
        <v>444</v>
      </c>
      <c r="F566" s="22" t="str">
        <f>IF(OR(E566="",E566="!!!"),"",IF(NOT(ISNA(VLOOKUP(E566,E$1:E565,1,FALSE()))),"OLD",IF(AND(E566&lt;&gt;"",E566&lt;&gt;"!!!"),"NEW","")))</f>
        <v>NEW</v>
      </c>
      <c r="G566" s="23" t="s">
        <v>448</v>
      </c>
      <c r="H566" s="24" t="str">
        <f t="shared" ca="1" si="39"/>
        <v/>
      </c>
      <c r="I566" s="25" t="str">
        <f>IF(OR(E566="",E566="!!!",F566="NEW"),"",INDEX(B$2:B565,-1+SUMPRODUCT(MAX(ROW(E$2:E565)*(E566=E$2:E565)))))</f>
        <v/>
      </c>
      <c r="J566" s="25" t="str">
        <f ca="1">IF(OR(E566="",E566="!!!",F566="NEW"),"",COUNTBLANK(OFFSET(A$1,,,SUMPRODUCT(MAX(ROW(E$2:E566)*(E566=E$2:E566)))))-COUNTBLANK(OFFSET(A$1,,,SUMPRODUCT(MAX(ROW(E$1:E565)*(E2=E$1:E565))))))</f>
        <v/>
      </c>
      <c r="K566" s="25" t="str">
        <f>IF(OR(E566="",E566="!!!",F566="NEW"),"",INDEX(J$1:J565,SUMPRODUCT(MAX(ROW(E$1:E565)*(E566=E$1:E565)))))</f>
        <v/>
      </c>
      <c r="L566" s="26"/>
    </row>
    <row r="567" spans="1:12" x14ac:dyDescent="0.3">
      <c r="A567" t="s">
        <v>129</v>
      </c>
      <c r="E567" s="21" t="str">
        <f t="shared" si="38"/>
        <v/>
      </c>
      <c r="F567" s="22" t="str">
        <f>IF(OR(E567="",E567="!!!"),"",IF(NOT(ISNA(VLOOKUP(E567,E$1:E566,1,FALSE()))),"OLD",IF(AND(E567&lt;&gt;"",E567&lt;&gt;"!!!"),"NEW","")))</f>
        <v/>
      </c>
      <c r="G567" s="23" t="str">
        <f>IF(OR(E567="",E567="!!!"),"",IF(OR(J567=0,AND(J567=1,K567=1),AND(J567=1,I567="SBJ"),AND(J567=1,I567=0)),"?IN_FOCUS",IF(J567&lt;=2,"?ACTIVATED",IF(J567&lt;&gt;"","?FAMILIAR",IF(F567="NEW",IF(ISNA(VLOOKUP(E567,#REF!,1,FALSE())),"?TYPE_IDENTIFIABLE","?REFERENTIAL"),"_")))))</f>
        <v/>
      </c>
      <c r="H567" s="24" t="str">
        <f t="shared" ca="1" si="39"/>
        <v/>
      </c>
      <c r="I567" s="25" t="str">
        <f>IF(OR(E567="",E567="!!!",F567="NEW"),"",INDEX(B$2:B566,-1+SUMPRODUCT(MAX(ROW(E$2:E566)*(E567=E$2:E566)))))</f>
        <v/>
      </c>
      <c r="J567" s="25" t="str">
        <f ca="1">IF(OR(E567="",E567="!!!",F567="NEW"),"",COUNTBLANK(OFFSET(A$1,,,SUMPRODUCT(MAX(ROW(E$2:E567)*(E567=E$2:E567)))))-COUNTBLANK(OFFSET(A$1,,,SUMPRODUCT(MAX(ROW(E$1:E566)*(E2=E$1:E566))))))</f>
        <v/>
      </c>
      <c r="K567" s="25" t="str">
        <f>IF(OR(E567="",E567="!!!",F567="NEW"),"",INDEX(J$1:J566,SUMPRODUCT(MAX(ROW(E$1:E566)*(E567=E$1:E566)))))</f>
        <v/>
      </c>
      <c r="L567" s="26"/>
    </row>
    <row r="568" spans="1:12" x14ac:dyDescent="0.3">
      <c r="A568" t="s">
        <v>132</v>
      </c>
      <c r="E568" s="21" t="str">
        <f t="shared" si="38"/>
        <v/>
      </c>
      <c r="F568" s="22" t="str">
        <f>IF(OR(E568="",E568="!!!"),"",IF(NOT(ISNA(VLOOKUP(E568,E$1:E567,1,FALSE()))),"OLD",IF(AND(E568&lt;&gt;"",E568&lt;&gt;"!!!"),"NEW","")))</f>
        <v/>
      </c>
      <c r="G568" s="23" t="str">
        <f>IF(OR(E568="",E568="!!!"),"",IF(OR(J568=0,AND(J568=1,K568=1),AND(J568=1,I568="SBJ"),AND(J568=1,I568=0)),"?IN_FOCUS",IF(J568&lt;=2,"?ACTIVATED",IF(J568&lt;&gt;"","?FAMILIAR",IF(F568="NEW",IF(ISNA(VLOOKUP(E568,#REF!,1,FALSE())),"?TYPE_IDENTIFIABLE","?REFERENTIAL"),"_")))))</f>
        <v/>
      </c>
      <c r="H568" s="24" t="str">
        <f t="shared" ca="1" si="39"/>
        <v/>
      </c>
      <c r="I568" s="25" t="str">
        <f>IF(OR(E568="",E568="!!!",F568="NEW"),"",INDEX(B$2:B567,-1+SUMPRODUCT(MAX(ROW(E$2:E567)*(E568=E$2:E567)))))</f>
        <v/>
      </c>
      <c r="J568" s="25" t="str">
        <f ca="1">IF(OR(E568="",E568="!!!",F568="NEW"),"",COUNTBLANK(OFFSET(A$1,,,SUMPRODUCT(MAX(ROW(E$2:E568)*(E568=E$2:E568)))))-COUNTBLANK(OFFSET(A$1,,,SUMPRODUCT(MAX(ROW(E$1:E567)*(E2=E$1:E567))))))</f>
        <v/>
      </c>
      <c r="K568" s="25" t="str">
        <f>IF(OR(E568="",E568="!!!",F568="NEW"),"",INDEX(J$1:J567,SUMPRODUCT(MAX(ROW(E$1:E567)*(E568=E$1:E567)))))</f>
        <v/>
      </c>
      <c r="L568" s="26"/>
    </row>
    <row r="569" spans="1:12" x14ac:dyDescent="0.3">
      <c r="A569" t="s">
        <v>209</v>
      </c>
      <c r="B569" s="20" t="s">
        <v>123</v>
      </c>
      <c r="C569" s="20" t="s">
        <v>104</v>
      </c>
      <c r="D569" s="20" t="s">
        <v>102</v>
      </c>
      <c r="E569" s="21" t="s">
        <v>424</v>
      </c>
      <c r="F569" s="22" t="str">
        <f>IF(OR(E569="",E569="!!!"),"",IF(NOT(ISNA(VLOOKUP(E569,E$1:E568,1,FALSE()))),"OLD",IF(AND(E569&lt;&gt;"",E569&lt;&gt;"!!!"),"NEW","")))</f>
        <v>OLD</v>
      </c>
      <c r="G569" s="23" t="s">
        <v>449</v>
      </c>
      <c r="H569" s="24" t="str">
        <f t="shared" ca="1" si="39"/>
        <v/>
      </c>
      <c r="I569" s="25" t="str">
        <f>IF(OR(E569="",E569="!!!",F569="NEW"),"",INDEX(B$2:B568,-1+SUMPRODUCT(MAX(ROW(E$2:E568)*(E569=E$2:E568)))))</f>
        <v>SBJ</v>
      </c>
      <c r="J569" s="25">
        <f ca="1">IF(OR(E569="",E569="!!!",F569="NEW"),"",COUNTBLANK(OFFSET(A$1,,,SUMPRODUCT(MAX(ROW(E$2:E569)*(E569=E$2:E569)))))-COUNTBLANK(OFFSET(A$1,,,SUMPRODUCT(MAX(ROW(E$1:E568)*(E2=E$1:E568))))))</f>
        <v>0</v>
      </c>
      <c r="K569" s="25">
        <f ca="1">IF(OR(E569="",E569="!!!",F569="NEW"),"",INDEX(J$1:J568,SUMPRODUCT(MAX(ROW(E$1:E568)*(E569=E$1:E568)))))</f>
        <v>0</v>
      </c>
      <c r="L569" s="26"/>
    </row>
    <row r="570" spans="1:12" x14ac:dyDescent="0.3">
      <c r="A570" t="s">
        <v>175</v>
      </c>
      <c r="E570" s="21" t="str">
        <f t="shared" si="38"/>
        <v/>
      </c>
      <c r="F570" s="22" t="str">
        <f>IF(OR(E570="",E570="!!!"),"",IF(NOT(ISNA(VLOOKUP(E570,E$1:E569,1,FALSE()))),"OLD",IF(AND(E570&lt;&gt;"",E570&lt;&gt;"!!!"),"NEW","")))</f>
        <v/>
      </c>
      <c r="G570" s="23" t="str">
        <f>IF(OR(E570="",E570="!!!"),"",IF(OR(J570=0,AND(J570=1,K570=1),AND(J570=1,I570="SBJ"),AND(J570=1,I570=0)),"?IN_FOCUS",IF(J570&lt;=2,"?ACTIVATED",IF(J570&lt;&gt;"","?FAMILIAR",IF(F570="NEW",IF(ISNA(VLOOKUP(E570,#REF!,1,FALSE())),"?TYPE_IDENTIFIABLE","?REFERENTIAL"),"_")))))</f>
        <v/>
      </c>
      <c r="H570" s="24" t="str">
        <f t="shared" ca="1" si="39"/>
        <v/>
      </c>
      <c r="I570" s="25" t="str">
        <f>IF(OR(E570="",E570="!!!",F570="NEW"),"",INDEX(B$2:B569,-1+SUMPRODUCT(MAX(ROW(E$2:E569)*(E570=E$2:E569)))))</f>
        <v/>
      </c>
      <c r="J570" s="25" t="str">
        <f ca="1">IF(OR(E570="",E570="!!!",F570="NEW"),"",COUNTBLANK(OFFSET(A$1,,,SUMPRODUCT(MAX(ROW(E$2:E570)*(E570=E$2:E570)))))-COUNTBLANK(OFFSET(A$1,,,SUMPRODUCT(MAX(ROW(E$1:E569)*(E2=E$1:E569))))))</f>
        <v/>
      </c>
      <c r="K570" s="25" t="str">
        <f>IF(OR(E570="",E570="!!!",F570="NEW"),"",INDEX(J$1:J569,SUMPRODUCT(MAX(ROW(E$1:E569)*(E570=E$1:E569)))))</f>
        <v/>
      </c>
      <c r="L570" s="26"/>
    </row>
    <row r="571" spans="1:12" x14ac:dyDescent="0.3">
      <c r="A571" t="s">
        <v>159</v>
      </c>
      <c r="E571" s="21" t="str">
        <f t="shared" si="38"/>
        <v/>
      </c>
      <c r="F571" s="22" t="str">
        <f>IF(OR(E571="",E571="!!!"),"",IF(NOT(ISNA(VLOOKUP(E571,E$1:E570,1,FALSE()))),"OLD",IF(AND(E571&lt;&gt;"",E571&lt;&gt;"!!!"),"NEW","")))</f>
        <v/>
      </c>
      <c r="G571" s="23" t="str">
        <f>IF(OR(E571="",E571="!!!"),"",IF(OR(J571=0,AND(J571=1,K571=1),AND(J571=1,I571="SBJ"),AND(J571=1,I571=0)),"?IN_FOCUS",IF(J571&lt;=2,"?ACTIVATED",IF(J571&lt;&gt;"","?FAMILIAR",IF(F571="NEW",IF(ISNA(VLOOKUP(E571,#REF!,1,FALSE())),"?TYPE_IDENTIFIABLE","?REFERENTIAL"),"_")))))</f>
        <v/>
      </c>
      <c r="H571" s="24" t="str">
        <f t="shared" ca="1" si="39"/>
        <v/>
      </c>
      <c r="I571" s="25" t="str">
        <f>IF(OR(E571="",E571="!!!",F571="NEW"),"",INDEX(B$2:B570,-1+SUMPRODUCT(MAX(ROW(E$2:E570)*(E571=E$2:E570)))))</f>
        <v/>
      </c>
      <c r="J571" s="25" t="str">
        <f ca="1">IF(OR(E571="",E571="!!!",F571="NEW"),"",COUNTBLANK(OFFSET(A$1,,,SUMPRODUCT(MAX(ROW(E$2:E571)*(E571=E$2:E571)))))-COUNTBLANK(OFFSET(A$1,,,SUMPRODUCT(MAX(ROW(E$1:E570)*(E2=E$1:E570))))))</f>
        <v/>
      </c>
      <c r="K571" s="25" t="str">
        <f>IF(OR(E571="",E571="!!!",F571="NEW"),"",INDEX(J$1:J570,SUMPRODUCT(MAX(ROW(E$1:E570)*(E571=E$1:E570)))))</f>
        <v/>
      </c>
      <c r="L571" s="26"/>
    </row>
    <row r="572" spans="1:12" x14ac:dyDescent="0.3">
      <c r="A572" t="s">
        <v>405</v>
      </c>
      <c r="B572" s="20" t="s">
        <v>123</v>
      </c>
      <c r="C572" s="20" t="s">
        <v>104</v>
      </c>
      <c r="D572" s="20" t="s">
        <v>102</v>
      </c>
      <c r="E572" s="21"/>
      <c r="F572" s="22" t="s">
        <v>413</v>
      </c>
      <c r="G572" s="23" t="str">
        <f>IF(OR(E572="",E572="!!!"),"",IF(OR(J572=0,AND(J572=1,K572=1),AND(J572=1,I572="SBJ"),AND(J572=1,I572=0)),"?IN_FOCUS",IF(J572&lt;=2,"?ACTIVATED",IF(J572&lt;&gt;"","?FAMILIAR",IF(F572="NEW",IF(ISNA(VLOOKUP(E572,#REF!,1,FALSE())),"?TYPE_IDENTIFIABLE","?REFERENTIAL"),"_")))))</f>
        <v/>
      </c>
      <c r="H572" s="24" t="str">
        <f t="shared" ca="1" si="39"/>
        <v/>
      </c>
      <c r="I572" s="25" t="str">
        <f>IF(OR(E572="",E572="!!!",F572="NEW"),"",INDEX(B$2:B571,-1+SUMPRODUCT(MAX(ROW(E$2:E571)*(E572=E$2:E571)))))</f>
        <v/>
      </c>
      <c r="J572" s="25" t="str">
        <f ca="1">IF(OR(E572="",E572="!!!",F572="NEW"),"",COUNTBLANK(OFFSET(A$1,,,SUMPRODUCT(MAX(ROW(E$2:E572)*(E572=E$2:E572)))))-COUNTBLANK(OFFSET(A$1,,,SUMPRODUCT(MAX(ROW(E$1:E571)*(E2=E$1:E571))))))</f>
        <v/>
      </c>
      <c r="K572" s="25" t="str">
        <f>IF(OR(E572="",E572="!!!",F572="NEW"),"",INDEX(J$1:J571,SUMPRODUCT(MAX(ROW(E$1:E571)*(E572=E$1:E571)))))</f>
        <v/>
      </c>
      <c r="L572" s="26"/>
    </row>
    <row r="573" spans="1:12" x14ac:dyDescent="0.3">
      <c r="A573" t="s">
        <v>97</v>
      </c>
      <c r="E573" s="21" t="str">
        <f t="shared" si="38"/>
        <v/>
      </c>
      <c r="F573" s="22" t="str">
        <f>IF(OR(E573="",E573="!!!"),"",IF(NOT(ISNA(VLOOKUP(E573,E$1:E572,1,FALSE()))),"OLD",IF(AND(E573&lt;&gt;"",E573&lt;&gt;"!!!"),"NEW","")))</f>
        <v/>
      </c>
      <c r="G573" s="23" t="str">
        <f>IF(OR(E573="",E573="!!!"),"",IF(OR(J573=0,AND(J573=1,K573=1),AND(J573=1,I573="SBJ"),AND(J573=1,I573=0)),"?IN_FOCUS",IF(J573&lt;=2,"?ACTIVATED",IF(J573&lt;&gt;"","?FAMILIAR",IF(F573="NEW",IF(ISNA(VLOOKUP(E573,#REF!,1,FALSE())),"?TYPE_IDENTIFIABLE","?REFERENTIAL"),"_")))))</f>
        <v/>
      </c>
      <c r="H573" s="24" t="str">
        <f t="shared" ca="1" si="39"/>
        <v/>
      </c>
      <c r="I573" s="25" t="str">
        <f>IF(OR(E573="",E573="!!!",F573="NEW"),"",INDEX(B$2:B572,-1+SUMPRODUCT(MAX(ROW(E$2:E572)*(E573=E$2:E572)))))</f>
        <v/>
      </c>
      <c r="J573" s="25" t="str">
        <f ca="1">IF(OR(E573="",E573="!!!",F573="NEW"),"",COUNTBLANK(OFFSET(A$1,,,SUMPRODUCT(MAX(ROW(E$2:E573)*(E573=E$2:E573)))))-COUNTBLANK(OFFSET(A$1,,,SUMPRODUCT(MAX(ROW(E$1:E572)*(E2=E$1:E572))))))</f>
        <v/>
      </c>
      <c r="K573" s="25" t="str">
        <f>IF(OR(E573="",E573="!!!",F573="NEW"),"",INDEX(J$1:J572,SUMPRODUCT(MAX(ROW(E$1:E572)*(E573=E$1:E572)))))</f>
        <v/>
      </c>
      <c r="L573" s="26"/>
    </row>
    <row r="574" spans="1:12" x14ac:dyDescent="0.3">
      <c r="A574" t="s">
        <v>406</v>
      </c>
      <c r="B574" s="20" t="s">
        <v>127</v>
      </c>
      <c r="C574" s="20" t="s">
        <v>104</v>
      </c>
      <c r="D574" s="20" t="s">
        <v>102</v>
      </c>
      <c r="E574" s="21"/>
      <c r="F574" s="22" t="s">
        <v>413</v>
      </c>
      <c r="G574" s="23" t="str">
        <f>IF(OR(E574="",E574="!!!"),"",IF(OR(J574=0,AND(J574=1,K574=1),AND(J574=1,I574="SBJ"),AND(J574=1,I574=0)),"?IN_FOCUS",IF(J574&lt;=2,"?ACTIVATED",IF(J574&lt;&gt;"","?FAMILIAR",IF(F574="NEW",IF(ISNA(VLOOKUP(E574,#REF!,1,FALSE())),"?TYPE_IDENTIFIABLE","?REFERENTIAL"),"_")))))</f>
        <v/>
      </c>
      <c r="H574" s="24" t="str">
        <f t="shared" ca="1" si="39"/>
        <v/>
      </c>
      <c r="I574" s="25" t="str">
        <f>IF(OR(E574="",E574="!!!",F574="NEW"),"",INDEX(B$2:B573,-1+SUMPRODUCT(MAX(ROW(E$2:E573)*(E574=E$2:E573)))))</f>
        <v/>
      </c>
      <c r="J574" s="25" t="str">
        <f ca="1">IF(OR(E574="",E574="!!!",F574="NEW"),"",COUNTBLANK(OFFSET(A$1,,,SUMPRODUCT(MAX(ROW(E$2:E574)*(E574=E$2:E574)))))-COUNTBLANK(OFFSET(A$1,,,SUMPRODUCT(MAX(ROW(E$1:E573)*(E2=E$1:E573))))))</f>
        <v/>
      </c>
      <c r="K574" s="25" t="str">
        <f>IF(OR(E574="",E574="!!!",F574="NEW"),"",INDEX(J$1:J573,SUMPRODUCT(MAX(ROW(E$1:E573)*(E574=E$1:E573)))))</f>
        <v/>
      </c>
      <c r="L574" s="26"/>
    </row>
    <row r="575" spans="1:12" x14ac:dyDescent="0.3">
      <c r="A575" t="s">
        <v>169</v>
      </c>
      <c r="E575" s="21" t="str">
        <f t="shared" si="38"/>
        <v/>
      </c>
      <c r="F575" s="22" t="str">
        <f>IF(OR(E575="",E575="!!!"),"",IF(NOT(ISNA(VLOOKUP(E575,E$1:E574,1,FALSE()))),"OLD",IF(AND(E575&lt;&gt;"",E575&lt;&gt;"!!!"),"NEW","")))</f>
        <v/>
      </c>
      <c r="G575" s="23" t="str">
        <f>IF(OR(E575="",E575="!!!"),"",IF(OR(J575=0,AND(J575=1,K575=1),AND(J575=1,I575="SBJ"),AND(J575=1,I575=0)),"?IN_FOCUS",IF(J575&lt;=2,"?ACTIVATED",IF(J575&lt;&gt;"","?FAMILIAR",IF(F575="NEW",IF(ISNA(VLOOKUP(E575,#REF!,1,FALSE())),"?TYPE_IDENTIFIABLE","?REFERENTIAL"),"_")))))</f>
        <v/>
      </c>
      <c r="H575" s="24" t="str">
        <f t="shared" ca="1" si="39"/>
        <v/>
      </c>
      <c r="I575" s="25" t="str">
        <f>IF(OR(E575="",E575="!!!",F575="NEW"),"",INDEX(B$2:B574,-1+SUMPRODUCT(MAX(ROW(E$2:E574)*(E575=E$2:E574)))))</f>
        <v/>
      </c>
      <c r="J575" s="25" t="str">
        <f ca="1">IF(OR(E575="",E575="!!!",F575="NEW"),"",COUNTBLANK(OFFSET(A$1,,,SUMPRODUCT(MAX(ROW(E$2:E575)*(E575=E$2:E575)))))-COUNTBLANK(OFFSET(A$1,,,SUMPRODUCT(MAX(ROW(E$1:E574)*(E2=E$1:E574))))))</f>
        <v/>
      </c>
      <c r="K575" s="25" t="str">
        <f>IF(OR(E575="",E575="!!!",F575="NEW"),"",INDEX(J$1:J574,SUMPRODUCT(MAX(ROW(E$1:E574)*(E575=E$1:E574)))))</f>
        <v/>
      </c>
      <c r="L575" s="26"/>
    </row>
    <row r="576" spans="1:12" x14ac:dyDescent="0.3">
      <c r="A576" t="s">
        <v>407</v>
      </c>
      <c r="B576" s="20" t="s">
        <v>127</v>
      </c>
      <c r="C576" s="20" t="s">
        <v>104</v>
      </c>
      <c r="D576" s="20" t="s">
        <v>102</v>
      </c>
      <c r="E576" s="21"/>
      <c r="F576" s="22" t="s">
        <v>413</v>
      </c>
      <c r="G576" s="23" t="str">
        <f>IF(OR(E576="",E576="!!!"),"",IF(OR(J576=0,AND(J576=1,K576=1),AND(J576=1,I576="SBJ"),AND(J576=1,I576=0)),"?IN_FOCUS",IF(J576&lt;=2,"?ACTIVATED",IF(J576&lt;&gt;"","?FAMILIAR",IF(F576="NEW",IF(ISNA(VLOOKUP(E576,#REF!,1,FALSE())),"?TYPE_IDENTIFIABLE","?REFERENTIAL"),"_")))))</f>
        <v/>
      </c>
      <c r="H576" s="24" t="str">
        <f t="shared" ca="1" si="39"/>
        <v/>
      </c>
      <c r="I576" s="25" t="str">
        <f>IF(OR(E576="",E576="!!!",F576="NEW"),"",INDEX(B$2:B575,-1+SUMPRODUCT(MAX(ROW(E$2:E575)*(E576=E$2:E575)))))</f>
        <v/>
      </c>
      <c r="J576" s="25" t="str">
        <f ca="1">IF(OR(E576="",E576="!!!",F576="NEW"),"",COUNTBLANK(OFFSET(A$1,,,SUMPRODUCT(MAX(ROW(E$2:E576)*(E576=E$2:E576)))))-COUNTBLANK(OFFSET(A$1,,,SUMPRODUCT(MAX(ROW(E$1:E575)*(E2=E$1:E575))))))</f>
        <v/>
      </c>
      <c r="K576" s="25" t="str">
        <f>IF(OR(E576="",E576="!!!",F576="NEW"),"",INDEX(J$1:J575,SUMPRODUCT(MAX(ROW(E$1:E575)*(E576=E$1:E575)))))</f>
        <v/>
      </c>
      <c r="L576" s="26"/>
    </row>
    <row r="577" spans="1:12" x14ac:dyDescent="0.3">
      <c r="A577" t="s">
        <v>397</v>
      </c>
      <c r="E577" s="21" t="str">
        <f t="shared" si="38"/>
        <v/>
      </c>
      <c r="F577" s="22" t="str">
        <f>IF(OR(E577="",E577="!!!"),"",IF(NOT(ISNA(VLOOKUP(E577,E$1:E576,1,FALSE()))),"OLD",IF(AND(E577&lt;&gt;"",E577&lt;&gt;"!!!"),"NEW","")))</f>
        <v/>
      </c>
      <c r="G577" s="23" t="str">
        <f>IF(OR(E577="",E577="!!!"),"",IF(OR(J577=0,AND(J577=1,K577=1),AND(J577=1,I577="SBJ"),AND(J577=1,I577=0)),"?IN_FOCUS",IF(J577&lt;=2,"?ACTIVATED",IF(J577&lt;&gt;"","?FAMILIAR",IF(F577="NEW",IF(ISNA(VLOOKUP(E577,#REF!,1,FALSE())),"?TYPE_IDENTIFIABLE","?REFERENTIAL"),"_")))))</f>
        <v/>
      </c>
      <c r="H577" s="24" t="str">
        <f t="shared" ca="1" si="39"/>
        <v/>
      </c>
      <c r="I577" s="25" t="str">
        <f>IF(OR(E577="",E577="!!!",F577="NEW"),"",INDEX(B$2:B576,-1+SUMPRODUCT(MAX(ROW(E$2:E576)*(E577=E$2:E576)))))</f>
        <v/>
      </c>
      <c r="J577" s="25" t="str">
        <f ca="1">IF(OR(E577="",E577="!!!",F577="NEW"),"",COUNTBLANK(OFFSET(A$1,,,SUMPRODUCT(MAX(ROW(E$2:E577)*(E577=E$2:E577)))))-COUNTBLANK(OFFSET(A$1,,,SUMPRODUCT(MAX(ROW(E$1:E576)*(E2=E$1:E576))))))</f>
        <v/>
      </c>
      <c r="K577" s="25" t="str">
        <f>IF(OR(E577="",E577="!!!",F577="NEW"),"",INDEX(J$1:J576,SUMPRODUCT(MAX(ROW(E$1:E576)*(E577=E$1:E576)))))</f>
        <v/>
      </c>
      <c r="L577" s="26"/>
    </row>
    <row r="578" spans="1:12" x14ac:dyDescent="0.3">
      <c r="A578" t="s">
        <v>155</v>
      </c>
      <c r="E578" s="21" t="str">
        <f t="shared" si="38"/>
        <v/>
      </c>
      <c r="F578" s="22" t="str">
        <f>IF(OR(E578="",E578="!!!"),"",IF(NOT(ISNA(VLOOKUP(E578,E$1:E577,1,FALSE()))),"OLD",IF(AND(E578&lt;&gt;"",E578&lt;&gt;"!!!"),"NEW","")))</f>
        <v/>
      </c>
      <c r="G578" s="23" t="str">
        <f>IF(OR(E578="",E578="!!!"),"",IF(OR(J578=0,AND(J578=1,K578=1),AND(J578=1,I578="SBJ"),AND(J578=1,I578=0)),"?IN_FOCUS",IF(J578&lt;=2,"?ACTIVATED",IF(J578&lt;&gt;"","?FAMILIAR",IF(F578="NEW",IF(ISNA(VLOOKUP(E578,#REF!,1,FALSE())),"?TYPE_IDENTIFIABLE","?REFERENTIAL"),"_")))))</f>
        <v/>
      </c>
      <c r="H578" s="24" t="str">
        <f t="shared" ca="1" si="39"/>
        <v/>
      </c>
      <c r="I578" s="25" t="str">
        <f>IF(OR(E578="",E578="!!!",F578="NEW"),"",INDEX(B$2:B577,-1+SUMPRODUCT(MAX(ROW(E$2:E577)*(E578=E$2:E577)))))</f>
        <v/>
      </c>
      <c r="J578" s="25" t="str">
        <f ca="1">IF(OR(E578="",E578="!!!",F578="NEW"),"",COUNTBLANK(OFFSET(A$1,,,SUMPRODUCT(MAX(ROW(E$2:E578)*(E578=E$2:E578)))))-COUNTBLANK(OFFSET(A$1,,,SUMPRODUCT(MAX(ROW(E$1:E577)*(E2=E$1:E577))))))</f>
        <v/>
      </c>
      <c r="K578" s="25" t="str">
        <f>IF(OR(E578="",E578="!!!",F578="NEW"),"",INDEX(J$1:J577,SUMPRODUCT(MAX(ROW(E$1:E577)*(E578=E$1:E577)))))</f>
        <v/>
      </c>
      <c r="L578"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2024-12-05T17:54:44Z</dcterms:created>
  <dcterms:modified xsi:type="dcterms:W3CDTF">2025-09-02T14:36:44Z</dcterms:modified>
</cp:coreProperties>
</file>